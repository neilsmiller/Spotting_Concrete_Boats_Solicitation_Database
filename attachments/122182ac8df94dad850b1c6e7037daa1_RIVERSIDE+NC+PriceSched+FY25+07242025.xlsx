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vagov-my.sharepoint.com/personal/ralph_crum_va_gov/Documents/01 NCA/03 Cemeteries/l PCD/PCD Riverside 901/F369146-25-2000019 Base plus 4 GMC/03 Solicitation/Insert Attach/Post Policy Review/"/>
    </mc:Choice>
  </mc:AlternateContent>
  <xr:revisionPtr revIDLastSave="110" documentId="11_851ECDBF5F32E16C4A8498F75D88B445C210DD6A" xr6:coauthVersionLast="47" xr6:coauthVersionMax="47" xr10:uidLastSave="{010170FA-6D77-4489-917D-126E1FA0F422}"/>
  <bookViews>
    <workbookView xWindow="-120" yWindow="-120" windowWidth="29040" windowHeight="15720" xr2:uid="{00000000-000D-0000-FFFF-FFFF00000000}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3" i="1" l="1"/>
  <c r="M32" i="1"/>
  <c r="M31" i="1"/>
  <c r="M30" i="1"/>
  <c r="M35" i="1" s="1"/>
  <c r="M27" i="1"/>
  <c r="M26" i="1"/>
  <c r="M25" i="1"/>
  <c r="M24" i="1"/>
  <c r="M23" i="1"/>
  <c r="M28" i="1" s="1"/>
  <c r="M20" i="1"/>
  <c r="M19" i="1"/>
  <c r="M18" i="1"/>
  <c r="M17" i="1"/>
  <c r="M16" i="1"/>
  <c r="M13" i="1"/>
  <c r="M12" i="1"/>
  <c r="M11" i="1"/>
  <c r="M10" i="1"/>
  <c r="M9" i="1"/>
  <c r="M14" i="1" s="1"/>
  <c r="M6" i="1"/>
  <c r="M5" i="1"/>
  <c r="M4" i="1"/>
  <c r="M3" i="1"/>
  <c r="M2" i="1"/>
  <c r="M7" i="1" s="1"/>
  <c r="M21" i="1" l="1"/>
  <c r="M38" i="1" s="1"/>
</calcChain>
</file>

<file path=xl/sharedStrings.xml><?xml version="1.0" encoding="utf-8"?>
<sst xmlns="http://schemas.openxmlformats.org/spreadsheetml/2006/main" count="762" uniqueCount="79">
  <si>
    <t>Line Type</t>
  </si>
  <si>
    <t>Line #</t>
  </si>
  <si>
    <t>Subline #</t>
  </si>
  <si>
    <t>Description</t>
  </si>
  <si>
    <t>Quantity</t>
  </si>
  <si>
    <t>Unit</t>
  </si>
  <si>
    <t>Currency</t>
  </si>
  <si>
    <t>Currency 2</t>
  </si>
  <si>
    <t>Currency 3</t>
  </si>
  <si>
    <t>Currency 4</t>
  </si>
  <si>
    <t>Sub Line Funding Total Amount</t>
  </si>
  <si>
    <t>Currency 5</t>
  </si>
  <si>
    <t>PoP Start Date</t>
  </si>
  <si>
    <t>PoP End Date</t>
  </si>
  <si>
    <t>Base/Option Ind</t>
  </si>
  <si>
    <t>Base Line #</t>
  </si>
  <si>
    <t>Option Period</t>
  </si>
  <si>
    <t>Commodity Code</t>
  </si>
  <si>
    <t>Commodity Name</t>
  </si>
  <si>
    <t>Price Basis</t>
  </si>
  <si>
    <t>Delivery Date</t>
  </si>
  <si>
    <t>Delivery Office</t>
  </si>
  <si>
    <t>Delivery Address Code</t>
  </si>
  <si>
    <t>Ref Doc Type</t>
  </si>
  <si>
    <t>Ref Doc #</t>
  </si>
  <si>
    <t>Ref Line #</t>
  </si>
  <si>
    <t>Ref Final</t>
  </si>
  <si>
    <t>Ref Misc</t>
  </si>
  <si>
    <t>Local Stock Number</t>
  </si>
  <si>
    <t>Currency 6</t>
  </si>
  <si>
    <t>Currency 7</t>
  </si>
  <si>
    <t>Currency 8</t>
  </si>
  <si>
    <t>Separately Identified Line</t>
  </si>
  <si>
    <t>1</t>
  </si>
  <si>
    <t/>
  </si>
  <si>
    <t>TURF &amp; GRASSES MAINTENANCE</t>
  </si>
  <si>
    <t>12</t>
  </si>
  <si>
    <t>MO</t>
  </si>
  <si>
    <t>USD</t>
  </si>
  <si>
    <t>Base</t>
  </si>
  <si>
    <t>SVC-LIQ</t>
  </si>
  <si>
    <t>Service - Liquidating</t>
  </si>
  <si>
    <t>APR</t>
  </si>
  <si>
    <t>F369146-25-2000019</t>
  </si>
  <si>
    <t>False</t>
  </si>
  <si>
    <t>2</t>
  </si>
  <si>
    <t>IRRIGATION SYSTEM SERVICES</t>
  </si>
  <si>
    <t>3</t>
  </si>
  <si>
    <t>POND SERVICES</t>
  </si>
  <si>
    <t>4</t>
  </si>
  <si>
    <t>DRAINAGE SYSTEM MAINTENANCE</t>
  </si>
  <si>
    <t>5</t>
  </si>
  <si>
    <t>TRASH &amp; DEBRIS REMOVAL </t>
  </si>
  <si>
    <t>10001</t>
  </si>
  <si>
    <t>Option</t>
  </si>
  <si>
    <t>10002</t>
  </si>
  <si>
    <t>10003</t>
  </si>
  <si>
    <t>10004</t>
  </si>
  <si>
    <t>10005</t>
  </si>
  <si>
    <t>20001</t>
  </si>
  <si>
    <t>20002</t>
  </si>
  <si>
    <t>20003</t>
  </si>
  <si>
    <t>20004</t>
  </si>
  <si>
    <t>20005</t>
  </si>
  <si>
    <t>30001</t>
  </si>
  <si>
    <t>30002</t>
  </si>
  <si>
    <t>30003</t>
  </si>
  <si>
    <t>30004</t>
  </si>
  <si>
    <t>30005</t>
  </si>
  <si>
    <t>40001</t>
  </si>
  <si>
    <t>40002</t>
  </si>
  <si>
    <t>40003</t>
  </si>
  <si>
    <t>40004</t>
  </si>
  <si>
    <t>40005</t>
  </si>
  <si>
    <t>IGCE Unit Price</t>
  </si>
  <si>
    <t>IGCE Net Total</t>
  </si>
  <si>
    <t>Proposed Unit Price</t>
  </si>
  <si>
    <t>Proposed Extended Price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</si>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</sst>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#,##0.000000"/>
  </numFmts>
  <fonts count="3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164" fontId="0" fillId="0" borderId="0" xfId="0" applyNumberFormat="1" applyAlignment="1">
      <alignment horizontal="right"/>
    </xf>
    <xf numFmtId="44" fontId="0" fillId="0" borderId="0" xfId="1" applyFont="1"/>
    <xf numFmtId="44" fontId="0" fillId="0" borderId="0" xfId="1" applyFont="1" applyAlignment="1">
      <alignment horizontal="right"/>
    </xf>
    <xf numFmtId="44" fontId="0" fillId="2" borderId="0" xfId="1" applyFont="1" applyFill="1" applyAlignment="1">
      <alignment horizontal="right"/>
    </xf>
    <xf numFmtId="0" fontId="2" fillId="3" borderId="0" xfId="0" applyFont="1" applyFill="1" applyAlignment="1">
      <alignment horizontal="center" wrapText="1"/>
    </xf>
    <xf numFmtId="14" fontId="0" fillId="0" borderId="0" xfId="0" applyNumberFormat="1"/>
    <xf numFmtId="44" fontId="0" fillId="0" borderId="0" xfId="0" applyNumberFormat="1" applyFont="1"/>
    <xf numFmtId="44" fontId="0" fillId="2" borderId="0" xfId="0" applyNumberFormat="1" applyFont="1" applyFill="1"/>
  </cellXfs>
  <cellStyles count="2">
    <cellStyle name="Currency" xfId="1" builtinId="4"/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solid">
          <fgColor indexed="64"/>
          <bgColor theme="7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numFmt numFmtId="34" formatCode="_(&quot;$&quot;* #,##0.00_);_(&quot;$&quot;* \(#,##0.00\);_(&quot;$&quot;* &quot;-&quot;??_);_(@_)"/>
    </dxf>
    <dxf>
      <fill>
        <patternFill patternType="solid">
          <fgColor indexed="64"/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J35" totalsRowCount="1">
  <tableColumns count="36">
    <tableColumn id="1" xr3:uid="{00000000-0010-0000-0000-000001000000}" name="Line Type"/>
    <tableColumn id="2" xr3:uid="{00000000-0010-0000-0000-000002000000}" name="Line #"/>
    <tableColumn id="3" xr3:uid="{00000000-0010-0000-0000-000003000000}" name="Subline #"/>
    <tableColumn id="4" xr3:uid="{00000000-0010-0000-0000-000004000000}" name="Description"/>
    <tableColumn id="5" xr3:uid="{00000000-0010-0000-0000-000005000000}" name="Quantity"/>
    <tableColumn id="6" xr3:uid="{00000000-0010-0000-0000-000006000000}" name="Unit"/>
    <tableColumn id="7" xr3:uid="{00000000-0010-0000-0000-000007000000}" name="IGCE Unit Price" totalsRowDxfId="3" dataCellStyle="Currency"/>
    <tableColumn id="8" xr3:uid="{00000000-0010-0000-0000-000008000000}" name="Currency"/>
    <tableColumn id="9" xr3:uid="{00000000-0010-0000-0000-000009000000}" name="IGCE Net Total" totalsRowDxfId="2" dataCellStyle="Currency"/>
    <tableColumn id="10" xr3:uid="{00000000-0010-0000-0000-00000A000000}" name="Currency 2"/>
    <tableColumn id="11" xr3:uid="{00000000-0010-0000-0000-00000B000000}" name="Proposed Unit Price" dataDxfId="4" totalsRowDxfId="1" dataCellStyle="Currency"/>
    <tableColumn id="12" xr3:uid="{00000000-0010-0000-0000-00000C000000}" name="Currency 3"/>
    <tableColumn id="13" xr3:uid="{00000000-0010-0000-0000-00000D000000}" name="Proposed Extended Price" totalsRowFunction="custom" totalsRowDxfId="0" dataCellStyle="Currency">
      <totalsRowFormula>SUM(M30:M34)</totalsRowFormula>
    </tableColumn>
    <tableColumn id="14" xr3:uid="{00000000-0010-0000-0000-00000E000000}" name="Currency 4"/>
    <tableColumn id="15" xr3:uid="{00000000-0010-0000-0000-00000F000000}" name="Sub Line Funding Total Amount"/>
    <tableColumn id="16" xr3:uid="{00000000-0010-0000-0000-000010000000}" name="Currency 5"/>
    <tableColumn id="17" xr3:uid="{00000000-0010-0000-0000-000011000000}" name="PoP Start Date"/>
    <tableColumn id="18" xr3:uid="{00000000-0010-0000-0000-000012000000}" name="PoP End Date"/>
    <tableColumn id="19" xr3:uid="{00000000-0010-0000-0000-000013000000}" name="Base/Option Ind"/>
    <tableColumn id="20" xr3:uid="{00000000-0010-0000-0000-000014000000}" name="Base Line #"/>
    <tableColumn id="21" xr3:uid="{00000000-0010-0000-0000-000015000000}" name="Option Period"/>
    <tableColumn id="22" xr3:uid="{00000000-0010-0000-0000-000016000000}" name="Commodity Code"/>
    <tableColumn id="23" xr3:uid="{00000000-0010-0000-0000-000017000000}" name="Commodity Name"/>
    <tableColumn id="24" xr3:uid="{00000000-0010-0000-0000-000018000000}" name="Price Basis"/>
    <tableColumn id="25" xr3:uid="{00000000-0010-0000-0000-000019000000}" name="Delivery Date"/>
    <tableColumn id="26" xr3:uid="{00000000-0010-0000-0000-00001A000000}" name="Delivery Office"/>
    <tableColumn id="27" xr3:uid="{00000000-0010-0000-0000-00001B000000}" name="Delivery Address Code"/>
    <tableColumn id="28" xr3:uid="{00000000-0010-0000-0000-00001C000000}" name="Ref Doc Type"/>
    <tableColumn id="29" xr3:uid="{00000000-0010-0000-0000-00001D000000}" name="Ref Doc #"/>
    <tableColumn id="30" xr3:uid="{00000000-0010-0000-0000-00001E000000}" name="Ref Line #"/>
    <tableColumn id="31" xr3:uid="{00000000-0010-0000-0000-00001F000000}" name="Ref Final"/>
    <tableColumn id="32" xr3:uid="{00000000-0010-0000-0000-000020000000}" name="Ref Misc"/>
    <tableColumn id="33" xr3:uid="{00000000-0010-0000-0000-000021000000}" name="Local Stock Number"/>
    <tableColumn id="34" xr3:uid="{00000000-0010-0000-0000-000022000000}" name="Currency 6"/>
    <tableColumn id="35" xr3:uid="{00000000-0010-0000-0000-000023000000}" name="Currency 7"/>
    <tableColumn id="36" xr3:uid="{00000000-0010-0000-0000-000024000000}" name="Currency 8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8"/>
  <sheetViews>
    <sheetView tabSelected="1" topLeftCell="A15" workbookViewId="0">
      <selection activeCell="AM28" sqref="AM28"/>
    </sheetView>
  </sheetViews>
  <sheetFormatPr defaultRowHeight="15" x14ac:dyDescent="0.25"/>
  <cols>
    <col min="3" max="3" width="0" hidden="1" customWidth="1"/>
    <col min="4" max="4" width="37" customWidth="1"/>
    <col min="7" max="7" width="17.85546875" style="2" hidden="1" customWidth="1"/>
    <col min="8" max="8" width="0" hidden="1" customWidth="1"/>
    <col min="9" max="9" width="21.42578125" style="2" hidden="1" customWidth="1"/>
    <col min="10" max="10" width="0" hidden="1" customWidth="1"/>
    <col min="11" max="11" width="14.28515625" customWidth="1"/>
    <col min="13" max="13" width="25" style="2" customWidth="1"/>
    <col min="17" max="17" width="12.140625" customWidth="1"/>
    <col min="18" max="18" width="15.5703125" customWidth="1"/>
    <col min="21" max="21" width="13.85546875" customWidth="1"/>
    <col min="22" max="37" width="0" hidden="1" customWidth="1"/>
  </cols>
  <sheetData>
    <row r="1" spans="1:36" ht="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74</v>
      </c>
      <c r="H1" t="s">
        <v>6</v>
      </c>
      <c r="I1" s="2" t="s">
        <v>75</v>
      </c>
      <c r="J1" t="s">
        <v>7</v>
      </c>
      <c r="K1" s="5" t="s">
        <v>76</v>
      </c>
      <c r="L1" t="s">
        <v>8</v>
      </c>
      <c r="M1" s="5" t="s">
        <v>77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</row>
    <row r="2" spans="1:36" x14ac:dyDescent="0.25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s="3"/>
      <c r="H2" t="s">
        <v>38</v>
      </c>
      <c r="I2" s="3"/>
      <c r="J2" t="s">
        <v>38</v>
      </c>
      <c r="K2" s="4">
        <v>0</v>
      </c>
      <c r="L2" t="s">
        <v>38</v>
      </c>
      <c r="M2" s="4">
        <f>Table1[[#This Row],[Quantity]]*Table1[[#This Row],[Proposed Unit Price]]</f>
        <v>0</v>
      </c>
      <c r="N2" t="s">
        <v>38</v>
      </c>
      <c r="O2" s="1">
        <v>0</v>
      </c>
      <c r="P2" t="s">
        <v>38</v>
      </c>
      <c r="Q2" s="6">
        <v>45915</v>
      </c>
      <c r="R2" s="6">
        <v>46279</v>
      </c>
      <c r="S2" t="s">
        <v>39</v>
      </c>
      <c r="T2" t="s">
        <v>34</v>
      </c>
      <c r="U2" t="s">
        <v>34</v>
      </c>
      <c r="V2" t="s">
        <v>40</v>
      </c>
      <c r="W2" t="s">
        <v>41</v>
      </c>
      <c r="X2" t="s">
        <v>34</v>
      </c>
      <c r="Y2" t="s">
        <v>34</v>
      </c>
      <c r="Z2" t="s">
        <v>34</v>
      </c>
      <c r="AA2" t="s">
        <v>34</v>
      </c>
      <c r="AB2" t="s">
        <v>42</v>
      </c>
      <c r="AC2" t="s">
        <v>43</v>
      </c>
      <c r="AD2" t="s">
        <v>33</v>
      </c>
      <c r="AE2" t="s">
        <v>44</v>
      </c>
      <c r="AF2" t="s">
        <v>44</v>
      </c>
      <c r="AG2" t="s">
        <v>34</v>
      </c>
      <c r="AH2" t="s">
        <v>38</v>
      </c>
      <c r="AI2" t="s">
        <v>38</v>
      </c>
      <c r="AJ2" t="s">
        <v>38</v>
      </c>
    </row>
    <row r="3" spans="1:36" x14ac:dyDescent="0.25">
      <c r="A3" t="s">
        <v>32</v>
      </c>
      <c r="B3" t="s">
        <v>45</v>
      </c>
      <c r="C3" t="s">
        <v>34</v>
      </c>
      <c r="D3" t="s">
        <v>46</v>
      </c>
      <c r="E3" t="s">
        <v>36</v>
      </c>
      <c r="F3" t="s">
        <v>37</v>
      </c>
      <c r="G3" s="3"/>
      <c r="H3" t="s">
        <v>38</v>
      </c>
      <c r="I3" s="3"/>
      <c r="J3" t="s">
        <v>38</v>
      </c>
      <c r="K3" s="4">
        <v>0</v>
      </c>
      <c r="L3" t="s">
        <v>38</v>
      </c>
      <c r="M3" s="4">
        <f>Table1[[#This Row],[Quantity]]*Table1[[#This Row],[Proposed Unit Price]]</f>
        <v>0</v>
      </c>
      <c r="N3" t="s">
        <v>38</v>
      </c>
      <c r="O3" s="1">
        <v>0</v>
      </c>
      <c r="P3" t="s">
        <v>38</v>
      </c>
      <c r="Q3" s="6">
        <v>45915</v>
      </c>
      <c r="R3" s="6">
        <v>46279</v>
      </c>
      <c r="S3" t="s">
        <v>39</v>
      </c>
      <c r="T3" t="s">
        <v>34</v>
      </c>
      <c r="U3" t="s">
        <v>34</v>
      </c>
      <c r="V3" t="s">
        <v>40</v>
      </c>
      <c r="W3" t="s">
        <v>41</v>
      </c>
      <c r="X3" t="s">
        <v>34</v>
      </c>
      <c r="Y3" t="s">
        <v>34</v>
      </c>
      <c r="Z3" t="s">
        <v>34</v>
      </c>
      <c r="AA3" t="s">
        <v>34</v>
      </c>
      <c r="AB3" t="s">
        <v>42</v>
      </c>
      <c r="AC3" t="s">
        <v>43</v>
      </c>
      <c r="AD3" t="s">
        <v>45</v>
      </c>
      <c r="AE3" t="s">
        <v>44</v>
      </c>
      <c r="AF3" t="s">
        <v>44</v>
      </c>
      <c r="AG3" t="s">
        <v>34</v>
      </c>
      <c r="AH3" t="s">
        <v>38</v>
      </c>
      <c r="AI3" t="s">
        <v>38</v>
      </c>
      <c r="AJ3" t="s">
        <v>38</v>
      </c>
    </row>
    <row r="4" spans="1:36" x14ac:dyDescent="0.25">
      <c r="A4" t="s">
        <v>32</v>
      </c>
      <c r="B4" t="s">
        <v>47</v>
      </c>
      <c r="C4" t="s">
        <v>34</v>
      </c>
      <c r="D4" t="s">
        <v>48</v>
      </c>
      <c r="E4" t="s">
        <v>36</v>
      </c>
      <c r="F4" t="s">
        <v>37</v>
      </c>
      <c r="G4" s="3"/>
      <c r="H4" t="s">
        <v>38</v>
      </c>
      <c r="I4" s="3"/>
      <c r="J4" t="s">
        <v>38</v>
      </c>
      <c r="K4" s="4">
        <v>0</v>
      </c>
      <c r="L4" t="s">
        <v>38</v>
      </c>
      <c r="M4" s="4">
        <f>Table1[[#This Row],[Quantity]]*Table1[[#This Row],[Proposed Unit Price]]</f>
        <v>0</v>
      </c>
      <c r="N4" t="s">
        <v>38</v>
      </c>
      <c r="O4" s="1">
        <v>0</v>
      </c>
      <c r="P4" t="s">
        <v>38</v>
      </c>
      <c r="Q4" s="6">
        <v>45915</v>
      </c>
      <c r="R4" s="6">
        <v>46279</v>
      </c>
      <c r="S4" t="s">
        <v>39</v>
      </c>
      <c r="T4" t="s">
        <v>34</v>
      </c>
      <c r="U4" t="s">
        <v>34</v>
      </c>
      <c r="V4" t="s">
        <v>40</v>
      </c>
      <c r="W4" t="s">
        <v>41</v>
      </c>
      <c r="X4" t="s">
        <v>34</v>
      </c>
      <c r="Y4" t="s">
        <v>34</v>
      </c>
      <c r="Z4" t="s">
        <v>34</v>
      </c>
      <c r="AA4" t="s">
        <v>34</v>
      </c>
      <c r="AB4" t="s">
        <v>42</v>
      </c>
      <c r="AC4" t="s">
        <v>43</v>
      </c>
      <c r="AD4" t="s">
        <v>47</v>
      </c>
      <c r="AE4" t="s">
        <v>44</v>
      </c>
      <c r="AF4" t="s">
        <v>44</v>
      </c>
      <c r="AG4" t="s">
        <v>34</v>
      </c>
      <c r="AH4" t="s">
        <v>38</v>
      </c>
      <c r="AI4" t="s">
        <v>38</v>
      </c>
      <c r="AJ4" t="s">
        <v>38</v>
      </c>
    </row>
    <row r="5" spans="1:36" x14ac:dyDescent="0.25">
      <c r="A5" t="s">
        <v>32</v>
      </c>
      <c r="B5" t="s">
        <v>49</v>
      </c>
      <c r="C5" t="s">
        <v>34</v>
      </c>
      <c r="D5" t="s">
        <v>50</v>
      </c>
      <c r="E5" t="s">
        <v>36</v>
      </c>
      <c r="F5" t="s">
        <v>37</v>
      </c>
      <c r="G5" s="3"/>
      <c r="H5" t="s">
        <v>38</v>
      </c>
      <c r="I5" s="3"/>
      <c r="J5" t="s">
        <v>38</v>
      </c>
      <c r="K5" s="4">
        <v>0</v>
      </c>
      <c r="L5" t="s">
        <v>38</v>
      </c>
      <c r="M5" s="4">
        <f>Table1[[#This Row],[Quantity]]*Table1[[#This Row],[Proposed Unit Price]]</f>
        <v>0</v>
      </c>
      <c r="N5" t="s">
        <v>38</v>
      </c>
      <c r="O5" s="1">
        <v>0</v>
      </c>
      <c r="P5" t="s">
        <v>38</v>
      </c>
      <c r="Q5" s="6">
        <v>45915</v>
      </c>
      <c r="R5" s="6">
        <v>46279</v>
      </c>
      <c r="S5" t="s">
        <v>39</v>
      </c>
      <c r="T5" t="s">
        <v>34</v>
      </c>
      <c r="U5" t="s">
        <v>34</v>
      </c>
      <c r="V5" t="s">
        <v>40</v>
      </c>
      <c r="W5" t="s">
        <v>41</v>
      </c>
      <c r="X5" t="s">
        <v>34</v>
      </c>
      <c r="Y5" t="s">
        <v>34</v>
      </c>
      <c r="Z5" t="s">
        <v>34</v>
      </c>
      <c r="AA5" t="s">
        <v>34</v>
      </c>
      <c r="AB5" t="s">
        <v>42</v>
      </c>
      <c r="AC5" t="s">
        <v>43</v>
      </c>
      <c r="AD5" t="s">
        <v>49</v>
      </c>
      <c r="AE5" t="s">
        <v>44</v>
      </c>
      <c r="AF5" t="s">
        <v>44</v>
      </c>
      <c r="AG5" t="s">
        <v>34</v>
      </c>
      <c r="AH5" t="s">
        <v>38</v>
      </c>
      <c r="AI5" t="s">
        <v>38</v>
      </c>
      <c r="AJ5" t="s">
        <v>38</v>
      </c>
    </row>
    <row r="6" spans="1:36" x14ac:dyDescent="0.25">
      <c r="A6" t="s">
        <v>32</v>
      </c>
      <c r="B6" t="s">
        <v>51</v>
      </c>
      <c r="C6" t="s">
        <v>34</v>
      </c>
      <c r="D6" t="s">
        <v>52</v>
      </c>
      <c r="E6" t="s">
        <v>36</v>
      </c>
      <c r="F6" t="s">
        <v>37</v>
      </c>
      <c r="G6" s="3"/>
      <c r="H6" t="s">
        <v>38</v>
      </c>
      <c r="I6" s="3"/>
      <c r="J6" t="s">
        <v>38</v>
      </c>
      <c r="K6" s="4">
        <v>0</v>
      </c>
      <c r="L6" t="s">
        <v>38</v>
      </c>
      <c r="M6" s="4">
        <f>Table1[[#This Row],[Quantity]]*Table1[[#This Row],[Proposed Unit Price]]</f>
        <v>0</v>
      </c>
      <c r="N6" t="s">
        <v>38</v>
      </c>
      <c r="O6" s="1">
        <v>0</v>
      </c>
      <c r="P6" t="s">
        <v>38</v>
      </c>
      <c r="Q6" s="6">
        <v>45915</v>
      </c>
      <c r="R6" s="6">
        <v>46279</v>
      </c>
      <c r="S6" t="s">
        <v>39</v>
      </c>
      <c r="T6" t="s">
        <v>34</v>
      </c>
      <c r="U6" t="s">
        <v>34</v>
      </c>
      <c r="V6" t="s">
        <v>40</v>
      </c>
      <c r="W6" t="s">
        <v>41</v>
      </c>
      <c r="X6" t="s">
        <v>34</v>
      </c>
      <c r="Y6" t="s">
        <v>34</v>
      </c>
      <c r="Z6" t="s">
        <v>34</v>
      </c>
      <c r="AA6" t="s">
        <v>34</v>
      </c>
      <c r="AB6" t="s">
        <v>42</v>
      </c>
      <c r="AC6" t="s">
        <v>43</v>
      </c>
      <c r="AD6" t="s">
        <v>51</v>
      </c>
      <c r="AE6" t="s">
        <v>44</v>
      </c>
      <c r="AF6" t="s">
        <v>44</v>
      </c>
      <c r="AG6" t="s">
        <v>34</v>
      </c>
      <c r="AH6" t="s">
        <v>38</v>
      </c>
      <c r="AI6" t="s">
        <v>38</v>
      </c>
      <c r="AJ6" t="s">
        <v>38</v>
      </c>
    </row>
    <row r="7" spans="1:36" x14ac:dyDescent="0.25">
      <c r="G7" s="3"/>
      <c r="I7" s="3"/>
      <c r="K7" s="4"/>
      <c r="M7" s="4">
        <f>SUM(M2:M6)</f>
        <v>0</v>
      </c>
      <c r="O7" s="1"/>
    </row>
    <row r="8" spans="1:36" x14ac:dyDescent="0.25">
      <c r="G8" s="3"/>
      <c r="I8" s="3"/>
      <c r="K8" s="4"/>
      <c r="M8" s="4"/>
      <c r="O8" s="1"/>
    </row>
    <row r="9" spans="1:36" x14ac:dyDescent="0.25">
      <c r="A9" t="s">
        <v>32</v>
      </c>
      <c r="B9" t="s">
        <v>53</v>
      </c>
      <c r="C9" t="s">
        <v>34</v>
      </c>
      <c r="D9" t="s">
        <v>35</v>
      </c>
      <c r="E9" t="s">
        <v>36</v>
      </c>
      <c r="F9" t="s">
        <v>37</v>
      </c>
      <c r="G9" s="3"/>
      <c r="H9" t="s">
        <v>38</v>
      </c>
      <c r="I9" s="3"/>
      <c r="J9" t="s">
        <v>38</v>
      </c>
      <c r="K9" s="4">
        <v>0</v>
      </c>
      <c r="L9" t="s">
        <v>38</v>
      </c>
      <c r="M9" s="4">
        <f>Table1[[#This Row],[Quantity]]*Table1[[#This Row],[Proposed Unit Price]]</f>
        <v>0</v>
      </c>
      <c r="N9" t="s">
        <v>38</v>
      </c>
      <c r="O9" s="1">
        <v>0</v>
      </c>
      <c r="P9" t="s">
        <v>38</v>
      </c>
      <c r="Q9" s="6">
        <v>46280</v>
      </c>
      <c r="R9" s="6">
        <v>46644</v>
      </c>
      <c r="S9" t="s">
        <v>54</v>
      </c>
      <c r="T9" t="s">
        <v>33</v>
      </c>
      <c r="U9" t="s">
        <v>33</v>
      </c>
      <c r="V9" t="s">
        <v>40</v>
      </c>
      <c r="W9" t="s">
        <v>41</v>
      </c>
      <c r="X9" t="s">
        <v>34</v>
      </c>
      <c r="Y9" t="s">
        <v>34</v>
      </c>
      <c r="Z9" t="s">
        <v>34</v>
      </c>
      <c r="AA9" t="s">
        <v>34</v>
      </c>
      <c r="AB9" t="s">
        <v>42</v>
      </c>
      <c r="AC9" t="s">
        <v>43</v>
      </c>
      <c r="AD9" t="s">
        <v>53</v>
      </c>
      <c r="AE9" t="s">
        <v>44</v>
      </c>
      <c r="AF9" t="s">
        <v>44</v>
      </c>
      <c r="AG9" t="s">
        <v>34</v>
      </c>
      <c r="AH9" t="s">
        <v>38</v>
      </c>
      <c r="AI9" t="s">
        <v>38</v>
      </c>
      <c r="AJ9" t="s">
        <v>38</v>
      </c>
    </row>
    <row r="10" spans="1:36" x14ac:dyDescent="0.25">
      <c r="A10" t="s">
        <v>32</v>
      </c>
      <c r="B10" t="s">
        <v>55</v>
      </c>
      <c r="C10" t="s">
        <v>34</v>
      </c>
      <c r="D10" t="s">
        <v>46</v>
      </c>
      <c r="E10" t="s">
        <v>36</v>
      </c>
      <c r="F10" t="s">
        <v>37</v>
      </c>
      <c r="G10" s="3"/>
      <c r="H10" t="s">
        <v>38</v>
      </c>
      <c r="I10" s="3"/>
      <c r="J10" t="s">
        <v>38</v>
      </c>
      <c r="K10" s="4">
        <v>0</v>
      </c>
      <c r="L10" t="s">
        <v>38</v>
      </c>
      <c r="M10" s="4">
        <f>Table1[[#This Row],[Quantity]]*Table1[[#This Row],[Proposed Unit Price]]</f>
        <v>0</v>
      </c>
      <c r="N10" t="s">
        <v>38</v>
      </c>
      <c r="O10" s="1">
        <v>0</v>
      </c>
      <c r="P10" t="s">
        <v>38</v>
      </c>
      <c r="Q10" s="6">
        <v>46280</v>
      </c>
      <c r="R10" s="6">
        <v>46644</v>
      </c>
      <c r="S10" t="s">
        <v>54</v>
      </c>
      <c r="T10" t="s">
        <v>45</v>
      </c>
      <c r="U10" t="s">
        <v>33</v>
      </c>
      <c r="V10" t="s">
        <v>40</v>
      </c>
      <c r="W10" t="s">
        <v>41</v>
      </c>
      <c r="X10" t="s">
        <v>34</v>
      </c>
      <c r="Y10" t="s">
        <v>34</v>
      </c>
      <c r="Z10" t="s">
        <v>34</v>
      </c>
      <c r="AA10" t="s">
        <v>34</v>
      </c>
      <c r="AB10" t="s">
        <v>42</v>
      </c>
      <c r="AC10" t="s">
        <v>43</v>
      </c>
      <c r="AD10" t="s">
        <v>55</v>
      </c>
      <c r="AE10" t="s">
        <v>44</v>
      </c>
      <c r="AF10" t="s">
        <v>44</v>
      </c>
      <c r="AG10" t="s">
        <v>34</v>
      </c>
      <c r="AH10" t="s">
        <v>38</v>
      </c>
      <c r="AI10" t="s">
        <v>38</v>
      </c>
      <c r="AJ10" t="s">
        <v>38</v>
      </c>
    </row>
    <row r="11" spans="1:36" x14ac:dyDescent="0.25">
      <c r="A11" t="s">
        <v>32</v>
      </c>
      <c r="B11" t="s">
        <v>56</v>
      </c>
      <c r="C11" t="s">
        <v>34</v>
      </c>
      <c r="D11" t="s">
        <v>48</v>
      </c>
      <c r="E11" t="s">
        <v>36</v>
      </c>
      <c r="F11" t="s">
        <v>37</v>
      </c>
      <c r="G11" s="3"/>
      <c r="H11" t="s">
        <v>38</v>
      </c>
      <c r="I11" s="3"/>
      <c r="J11" t="s">
        <v>38</v>
      </c>
      <c r="K11" s="4">
        <v>0</v>
      </c>
      <c r="L11" t="s">
        <v>38</v>
      </c>
      <c r="M11" s="4">
        <f>Table1[[#This Row],[Quantity]]*Table1[[#This Row],[Proposed Unit Price]]</f>
        <v>0</v>
      </c>
      <c r="N11" t="s">
        <v>38</v>
      </c>
      <c r="O11" s="1">
        <v>0</v>
      </c>
      <c r="P11" t="s">
        <v>38</v>
      </c>
      <c r="Q11" s="6">
        <v>46280</v>
      </c>
      <c r="R11" s="6">
        <v>46644</v>
      </c>
      <c r="S11" t="s">
        <v>54</v>
      </c>
      <c r="T11" t="s">
        <v>47</v>
      </c>
      <c r="U11" t="s">
        <v>33</v>
      </c>
      <c r="V11" t="s">
        <v>40</v>
      </c>
      <c r="W11" t="s">
        <v>41</v>
      </c>
      <c r="X11" t="s">
        <v>34</v>
      </c>
      <c r="Y11" t="s">
        <v>34</v>
      </c>
      <c r="Z11" t="s">
        <v>34</v>
      </c>
      <c r="AA11" t="s">
        <v>34</v>
      </c>
      <c r="AB11" t="s">
        <v>42</v>
      </c>
      <c r="AC11" t="s">
        <v>43</v>
      </c>
      <c r="AD11" t="s">
        <v>56</v>
      </c>
      <c r="AE11" t="s">
        <v>44</v>
      </c>
      <c r="AF11" t="s">
        <v>44</v>
      </c>
      <c r="AG11" t="s">
        <v>34</v>
      </c>
      <c r="AH11" t="s">
        <v>38</v>
      </c>
      <c r="AI11" t="s">
        <v>38</v>
      </c>
      <c r="AJ11" t="s">
        <v>38</v>
      </c>
    </row>
    <row r="12" spans="1:36" x14ac:dyDescent="0.25">
      <c r="A12" t="s">
        <v>32</v>
      </c>
      <c r="B12" t="s">
        <v>57</v>
      </c>
      <c r="C12" t="s">
        <v>34</v>
      </c>
      <c r="D12" t="s">
        <v>50</v>
      </c>
      <c r="E12" t="s">
        <v>36</v>
      </c>
      <c r="F12" t="s">
        <v>37</v>
      </c>
      <c r="G12" s="3"/>
      <c r="H12" t="s">
        <v>38</v>
      </c>
      <c r="I12" s="3"/>
      <c r="J12" t="s">
        <v>38</v>
      </c>
      <c r="K12" s="4">
        <v>0</v>
      </c>
      <c r="L12" t="s">
        <v>38</v>
      </c>
      <c r="M12" s="4">
        <f>Table1[[#This Row],[Quantity]]*Table1[[#This Row],[Proposed Unit Price]]</f>
        <v>0</v>
      </c>
      <c r="N12" t="s">
        <v>38</v>
      </c>
      <c r="O12" s="1">
        <v>0</v>
      </c>
      <c r="P12" t="s">
        <v>38</v>
      </c>
      <c r="Q12" s="6">
        <v>46280</v>
      </c>
      <c r="R12" s="6">
        <v>46644</v>
      </c>
      <c r="S12" t="s">
        <v>54</v>
      </c>
      <c r="T12" t="s">
        <v>49</v>
      </c>
      <c r="U12" t="s">
        <v>33</v>
      </c>
      <c r="V12" t="s">
        <v>40</v>
      </c>
      <c r="W12" t="s">
        <v>41</v>
      </c>
      <c r="X12" t="s">
        <v>34</v>
      </c>
      <c r="Y12" t="s">
        <v>34</v>
      </c>
      <c r="Z12" t="s">
        <v>34</v>
      </c>
      <c r="AA12" t="s">
        <v>34</v>
      </c>
      <c r="AB12" t="s">
        <v>42</v>
      </c>
      <c r="AC12" t="s">
        <v>43</v>
      </c>
      <c r="AD12" t="s">
        <v>57</v>
      </c>
      <c r="AE12" t="s">
        <v>44</v>
      </c>
      <c r="AF12" t="s">
        <v>44</v>
      </c>
      <c r="AG12" t="s">
        <v>34</v>
      </c>
      <c r="AH12" t="s">
        <v>38</v>
      </c>
      <c r="AI12" t="s">
        <v>38</v>
      </c>
      <c r="AJ12" t="s">
        <v>38</v>
      </c>
    </row>
    <row r="13" spans="1:36" x14ac:dyDescent="0.25">
      <c r="A13" t="s">
        <v>32</v>
      </c>
      <c r="B13" t="s">
        <v>58</v>
      </c>
      <c r="C13" t="s">
        <v>34</v>
      </c>
      <c r="D13" t="s">
        <v>52</v>
      </c>
      <c r="E13" t="s">
        <v>36</v>
      </c>
      <c r="F13" t="s">
        <v>37</v>
      </c>
      <c r="G13" s="3"/>
      <c r="H13" t="s">
        <v>38</v>
      </c>
      <c r="I13" s="3"/>
      <c r="J13" t="s">
        <v>38</v>
      </c>
      <c r="K13" s="4">
        <v>0</v>
      </c>
      <c r="L13" t="s">
        <v>38</v>
      </c>
      <c r="M13" s="4">
        <f>Table1[[#This Row],[Quantity]]*Table1[[#This Row],[Proposed Unit Price]]</f>
        <v>0</v>
      </c>
      <c r="N13" t="s">
        <v>38</v>
      </c>
      <c r="O13" s="1">
        <v>0</v>
      </c>
      <c r="P13" t="s">
        <v>38</v>
      </c>
      <c r="Q13" s="6">
        <v>46280</v>
      </c>
      <c r="R13" s="6">
        <v>46644</v>
      </c>
      <c r="S13" t="s">
        <v>54</v>
      </c>
      <c r="T13" t="s">
        <v>51</v>
      </c>
      <c r="U13" t="s">
        <v>33</v>
      </c>
      <c r="V13" t="s">
        <v>40</v>
      </c>
      <c r="W13" t="s">
        <v>41</v>
      </c>
      <c r="X13" t="s">
        <v>34</v>
      </c>
      <c r="Y13" t="s">
        <v>34</v>
      </c>
      <c r="Z13" t="s">
        <v>34</v>
      </c>
      <c r="AA13" t="s">
        <v>34</v>
      </c>
      <c r="AB13" t="s">
        <v>42</v>
      </c>
      <c r="AC13" t="s">
        <v>43</v>
      </c>
      <c r="AD13" t="s">
        <v>58</v>
      </c>
      <c r="AE13" t="s">
        <v>44</v>
      </c>
      <c r="AF13" t="s">
        <v>44</v>
      </c>
      <c r="AG13" t="s">
        <v>34</v>
      </c>
      <c r="AH13" t="s">
        <v>38</v>
      </c>
      <c r="AI13" t="s">
        <v>38</v>
      </c>
      <c r="AJ13" t="s">
        <v>38</v>
      </c>
    </row>
    <row r="14" spans="1:36" x14ac:dyDescent="0.25">
      <c r="G14" s="3"/>
      <c r="I14" s="3"/>
      <c r="K14" s="4"/>
      <c r="M14" s="4">
        <f>SUM(M9:M13)</f>
        <v>0</v>
      </c>
      <c r="O14" s="1"/>
    </row>
    <row r="15" spans="1:36" x14ac:dyDescent="0.25">
      <c r="G15" s="3"/>
      <c r="I15" s="3"/>
      <c r="K15" s="4"/>
      <c r="M15" s="4"/>
      <c r="O15" s="1"/>
    </row>
    <row r="16" spans="1:36" x14ac:dyDescent="0.25">
      <c r="A16" t="s">
        <v>32</v>
      </c>
      <c r="B16" t="s">
        <v>59</v>
      </c>
      <c r="C16" t="s">
        <v>34</v>
      </c>
      <c r="D16" t="s">
        <v>35</v>
      </c>
      <c r="E16" t="s">
        <v>36</v>
      </c>
      <c r="F16" t="s">
        <v>37</v>
      </c>
      <c r="G16" s="3"/>
      <c r="H16" t="s">
        <v>38</v>
      </c>
      <c r="I16" s="3"/>
      <c r="J16" t="s">
        <v>38</v>
      </c>
      <c r="K16" s="4">
        <v>0</v>
      </c>
      <c r="L16" t="s">
        <v>38</v>
      </c>
      <c r="M16" s="4">
        <f>Table1[[#This Row],[Quantity]]*Table1[[#This Row],[Proposed Unit Price]]</f>
        <v>0</v>
      </c>
      <c r="N16" t="s">
        <v>38</v>
      </c>
      <c r="O16" s="1">
        <v>0</v>
      </c>
      <c r="P16" t="s">
        <v>38</v>
      </c>
      <c r="Q16" s="6">
        <v>46645</v>
      </c>
      <c r="R16" s="6">
        <v>47010</v>
      </c>
      <c r="S16" t="s">
        <v>54</v>
      </c>
      <c r="T16" t="s">
        <v>33</v>
      </c>
      <c r="U16" t="s">
        <v>45</v>
      </c>
      <c r="V16" t="s">
        <v>40</v>
      </c>
      <c r="W16" t="s">
        <v>41</v>
      </c>
      <c r="X16" t="s">
        <v>34</v>
      </c>
      <c r="Y16" t="s">
        <v>34</v>
      </c>
      <c r="Z16" t="s">
        <v>34</v>
      </c>
      <c r="AA16" t="s">
        <v>34</v>
      </c>
      <c r="AB16" t="s">
        <v>42</v>
      </c>
      <c r="AC16" t="s">
        <v>43</v>
      </c>
      <c r="AD16" t="s">
        <v>59</v>
      </c>
      <c r="AE16" t="s">
        <v>44</v>
      </c>
      <c r="AF16" t="s">
        <v>44</v>
      </c>
      <c r="AG16" t="s">
        <v>34</v>
      </c>
      <c r="AH16" t="s">
        <v>38</v>
      </c>
      <c r="AI16" t="s">
        <v>38</v>
      </c>
      <c r="AJ16" t="s">
        <v>38</v>
      </c>
    </row>
    <row r="17" spans="1:36" x14ac:dyDescent="0.25">
      <c r="A17" t="s">
        <v>32</v>
      </c>
      <c r="B17" t="s">
        <v>60</v>
      </c>
      <c r="C17" t="s">
        <v>34</v>
      </c>
      <c r="D17" t="s">
        <v>46</v>
      </c>
      <c r="E17" t="s">
        <v>36</v>
      </c>
      <c r="F17" t="s">
        <v>37</v>
      </c>
      <c r="G17" s="3"/>
      <c r="H17" t="s">
        <v>38</v>
      </c>
      <c r="I17" s="3"/>
      <c r="J17" t="s">
        <v>38</v>
      </c>
      <c r="K17" s="4">
        <v>0</v>
      </c>
      <c r="L17" t="s">
        <v>38</v>
      </c>
      <c r="M17" s="4">
        <f>Table1[[#This Row],[Quantity]]*Table1[[#This Row],[Proposed Unit Price]]</f>
        <v>0</v>
      </c>
      <c r="N17" t="s">
        <v>38</v>
      </c>
      <c r="O17" s="1">
        <v>0</v>
      </c>
      <c r="P17" t="s">
        <v>38</v>
      </c>
      <c r="Q17" s="6">
        <v>46645</v>
      </c>
      <c r="R17" s="6">
        <v>47010</v>
      </c>
      <c r="S17" t="s">
        <v>54</v>
      </c>
      <c r="T17" t="s">
        <v>45</v>
      </c>
      <c r="U17" t="s">
        <v>45</v>
      </c>
      <c r="V17" t="s">
        <v>40</v>
      </c>
      <c r="W17" t="s">
        <v>41</v>
      </c>
      <c r="X17" t="s">
        <v>34</v>
      </c>
      <c r="Y17" t="s">
        <v>34</v>
      </c>
      <c r="Z17" t="s">
        <v>34</v>
      </c>
      <c r="AA17" t="s">
        <v>34</v>
      </c>
      <c r="AB17" t="s">
        <v>42</v>
      </c>
      <c r="AC17" t="s">
        <v>43</v>
      </c>
      <c r="AD17" t="s">
        <v>60</v>
      </c>
      <c r="AE17" t="s">
        <v>44</v>
      </c>
      <c r="AF17" t="s">
        <v>44</v>
      </c>
      <c r="AG17" t="s">
        <v>34</v>
      </c>
      <c r="AH17" t="s">
        <v>38</v>
      </c>
      <c r="AI17" t="s">
        <v>38</v>
      </c>
      <c r="AJ17" t="s">
        <v>38</v>
      </c>
    </row>
    <row r="18" spans="1:36" x14ac:dyDescent="0.25">
      <c r="A18" t="s">
        <v>32</v>
      </c>
      <c r="B18" t="s">
        <v>61</v>
      </c>
      <c r="C18" t="s">
        <v>34</v>
      </c>
      <c r="D18" t="s">
        <v>48</v>
      </c>
      <c r="E18" t="s">
        <v>36</v>
      </c>
      <c r="F18" t="s">
        <v>37</v>
      </c>
      <c r="G18" s="3"/>
      <c r="H18" t="s">
        <v>38</v>
      </c>
      <c r="I18" s="3"/>
      <c r="J18" t="s">
        <v>38</v>
      </c>
      <c r="K18" s="4">
        <v>0</v>
      </c>
      <c r="L18" t="s">
        <v>38</v>
      </c>
      <c r="M18" s="4">
        <f>Table1[[#This Row],[Quantity]]*Table1[[#This Row],[Proposed Unit Price]]</f>
        <v>0</v>
      </c>
      <c r="N18" t="s">
        <v>38</v>
      </c>
      <c r="O18" s="1">
        <v>0</v>
      </c>
      <c r="P18" t="s">
        <v>38</v>
      </c>
      <c r="Q18" s="6">
        <v>46645</v>
      </c>
      <c r="R18" s="6">
        <v>47010</v>
      </c>
      <c r="S18" t="s">
        <v>54</v>
      </c>
      <c r="T18" t="s">
        <v>47</v>
      </c>
      <c r="U18" t="s">
        <v>45</v>
      </c>
      <c r="V18" t="s">
        <v>40</v>
      </c>
      <c r="W18" t="s">
        <v>41</v>
      </c>
      <c r="X18" t="s">
        <v>34</v>
      </c>
      <c r="Y18" t="s">
        <v>34</v>
      </c>
      <c r="Z18" t="s">
        <v>34</v>
      </c>
      <c r="AA18" t="s">
        <v>34</v>
      </c>
      <c r="AB18" t="s">
        <v>42</v>
      </c>
      <c r="AC18" t="s">
        <v>43</v>
      </c>
      <c r="AD18" t="s">
        <v>61</v>
      </c>
      <c r="AE18" t="s">
        <v>44</v>
      </c>
      <c r="AF18" t="s">
        <v>44</v>
      </c>
      <c r="AG18" t="s">
        <v>34</v>
      </c>
      <c r="AH18" t="s">
        <v>38</v>
      </c>
      <c r="AI18" t="s">
        <v>38</v>
      </c>
      <c r="AJ18" t="s">
        <v>38</v>
      </c>
    </row>
    <row r="19" spans="1:36" x14ac:dyDescent="0.25">
      <c r="A19" t="s">
        <v>32</v>
      </c>
      <c r="B19" t="s">
        <v>62</v>
      </c>
      <c r="C19" t="s">
        <v>34</v>
      </c>
      <c r="D19" t="s">
        <v>50</v>
      </c>
      <c r="E19" t="s">
        <v>36</v>
      </c>
      <c r="F19" t="s">
        <v>37</v>
      </c>
      <c r="G19" s="3"/>
      <c r="H19" t="s">
        <v>38</v>
      </c>
      <c r="I19" s="3"/>
      <c r="J19" t="s">
        <v>38</v>
      </c>
      <c r="K19" s="4">
        <v>0</v>
      </c>
      <c r="L19" t="s">
        <v>38</v>
      </c>
      <c r="M19" s="4">
        <f>Table1[[#This Row],[Quantity]]*Table1[[#This Row],[Proposed Unit Price]]</f>
        <v>0</v>
      </c>
      <c r="N19" t="s">
        <v>38</v>
      </c>
      <c r="O19" s="1">
        <v>0</v>
      </c>
      <c r="P19" t="s">
        <v>38</v>
      </c>
      <c r="Q19" s="6">
        <v>46645</v>
      </c>
      <c r="R19" s="6">
        <v>47010</v>
      </c>
      <c r="S19" t="s">
        <v>54</v>
      </c>
      <c r="T19" t="s">
        <v>49</v>
      </c>
      <c r="U19" t="s">
        <v>45</v>
      </c>
      <c r="V19" t="s">
        <v>40</v>
      </c>
      <c r="W19" t="s">
        <v>41</v>
      </c>
      <c r="X19" t="s">
        <v>34</v>
      </c>
      <c r="Y19" t="s">
        <v>34</v>
      </c>
      <c r="Z19" t="s">
        <v>34</v>
      </c>
      <c r="AA19" t="s">
        <v>34</v>
      </c>
      <c r="AB19" t="s">
        <v>42</v>
      </c>
      <c r="AC19" t="s">
        <v>43</v>
      </c>
      <c r="AD19" t="s">
        <v>62</v>
      </c>
      <c r="AE19" t="s">
        <v>44</v>
      </c>
      <c r="AF19" t="s">
        <v>44</v>
      </c>
      <c r="AG19" t="s">
        <v>34</v>
      </c>
      <c r="AH19" t="s">
        <v>38</v>
      </c>
      <c r="AI19" t="s">
        <v>38</v>
      </c>
      <c r="AJ19" t="s">
        <v>38</v>
      </c>
    </row>
    <row r="20" spans="1:36" x14ac:dyDescent="0.25">
      <c r="A20" t="s">
        <v>32</v>
      </c>
      <c r="B20" t="s">
        <v>63</v>
      </c>
      <c r="C20" t="s">
        <v>34</v>
      </c>
      <c r="D20" t="s">
        <v>52</v>
      </c>
      <c r="E20" t="s">
        <v>36</v>
      </c>
      <c r="F20" t="s">
        <v>37</v>
      </c>
      <c r="G20" s="3"/>
      <c r="H20" t="s">
        <v>38</v>
      </c>
      <c r="I20" s="3"/>
      <c r="J20" t="s">
        <v>38</v>
      </c>
      <c r="K20" s="4">
        <v>0</v>
      </c>
      <c r="L20" t="s">
        <v>38</v>
      </c>
      <c r="M20" s="4">
        <f>Table1[[#This Row],[Quantity]]*Table1[[#This Row],[Proposed Unit Price]]</f>
        <v>0</v>
      </c>
      <c r="N20" t="s">
        <v>38</v>
      </c>
      <c r="O20" s="1">
        <v>0</v>
      </c>
      <c r="P20" t="s">
        <v>38</v>
      </c>
      <c r="Q20" s="6">
        <v>46645</v>
      </c>
      <c r="R20" s="6">
        <v>47010</v>
      </c>
      <c r="S20" t="s">
        <v>54</v>
      </c>
      <c r="T20" t="s">
        <v>51</v>
      </c>
      <c r="U20" t="s">
        <v>45</v>
      </c>
      <c r="V20" t="s">
        <v>40</v>
      </c>
      <c r="W20" t="s">
        <v>41</v>
      </c>
      <c r="X20" t="s">
        <v>34</v>
      </c>
      <c r="Y20" t="s">
        <v>34</v>
      </c>
      <c r="Z20" t="s">
        <v>34</v>
      </c>
      <c r="AA20" t="s">
        <v>34</v>
      </c>
      <c r="AB20" t="s">
        <v>42</v>
      </c>
      <c r="AC20" t="s">
        <v>43</v>
      </c>
      <c r="AD20" t="s">
        <v>63</v>
      </c>
      <c r="AE20" t="s">
        <v>44</v>
      </c>
      <c r="AF20" t="s">
        <v>44</v>
      </c>
      <c r="AG20" t="s">
        <v>34</v>
      </c>
      <c r="AH20" t="s">
        <v>38</v>
      </c>
      <c r="AI20" t="s">
        <v>38</v>
      </c>
      <c r="AJ20" t="s">
        <v>38</v>
      </c>
    </row>
    <row r="21" spans="1:36" x14ac:dyDescent="0.25">
      <c r="G21" s="3"/>
      <c r="I21" s="3"/>
      <c r="K21" s="4"/>
      <c r="M21" s="4">
        <f>SUM(M16:M20)</f>
        <v>0</v>
      </c>
      <c r="O21" s="1"/>
    </row>
    <row r="22" spans="1:36" x14ac:dyDescent="0.25">
      <c r="G22" s="3"/>
      <c r="I22" s="3"/>
      <c r="K22" s="4"/>
      <c r="M22" s="4"/>
      <c r="O22" s="1"/>
    </row>
    <row r="23" spans="1:36" x14ac:dyDescent="0.25">
      <c r="A23" t="s">
        <v>32</v>
      </c>
      <c r="B23" t="s">
        <v>64</v>
      </c>
      <c r="C23" t="s">
        <v>34</v>
      </c>
      <c r="D23" t="s">
        <v>35</v>
      </c>
      <c r="E23" t="s">
        <v>36</v>
      </c>
      <c r="F23" t="s">
        <v>37</v>
      </c>
      <c r="G23" s="3"/>
      <c r="H23" t="s">
        <v>38</v>
      </c>
      <c r="I23" s="3"/>
      <c r="J23" t="s">
        <v>38</v>
      </c>
      <c r="K23" s="4">
        <v>0</v>
      </c>
      <c r="L23" t="s">
        <v>38</v>
      </c>
      <c r="M23" s="4">
        <f>Table1[[#This Row],[Quantity]]*Table1[[#This Row],[Proposed Unit Price]]</f>
        <v>0</v>
      </c>
      <c r="N23" t="s">
        <v>38</v>
      </c>
      <c r="O23" s="1">
        <v>0</v>
      </c>
      <c r="P23" t="s">
        <v>38</v>
      </c>
      <c r="Q23" s="6">
        <v>47011</v>
      </c>
      <c r="R23" s="6">
        <v>47375</v>
      </c>
      <c r="S23" t="s">
        <v>54</v>
      </c>
      <c r="T23" t="s">
        <v>33</v>
      </c>
      <c r="U23" t="s">
        <v>47</v>
      </c>
      <c r="V23" t="s">
        <v>40</v>
      </c>
      <c r="W23" t="s">
        <v>41</v>
      </c>
      <c r="X23" t="s">
        <v>34</v>
      </c>
      <c r="Y23" t="s">
        <v>34</v>
      </c>
      <c r="Z23" t="s">
        <v>34</v>
      </c>
      <c r="AA23" t="s">
        <v>34</v>
      </c>
      <c r="AB23" t="s">
        <v>42</v>
      </c>
      <c r="AC23" t="s">
        <v>43</v>
      </c>
      <c r="AD23" t="s">
        <v>64</v>
      </c>
      <c r="AE23" t="s">
        <v>44</v>
      </c>
      <c r="AF23" t="s">
        <v>44</v>
      </c>
      <c r="AG23" t="s">
        <v>34</v>
      </c>
      <c r="AH23" t="s">
        <v>38</v>
      </c>
      <c r="AI23" t="s">
        <v>38</v>
      </c>
      <c r="AJ23" t="s">
        <v>38</v>
      </c>
    </row>
    <row r="24" spans="1:36" x14ac:dyDescent="0.25">
      <c r="A24" t="s">
        <v>32</v>
      </c>
      <c r="B24" t="s">
        <v>65</v>
      </c>
      <c r="C24" t="s">
        <v>34</v>
      </c>
      <c r="D24" t="s">
        <v>46</v>
      </c>
      <c r="E24" t="s">
        <v>36</v>
      </c>
      <c r="F24" t="s">
        <v>37</v>
      </c>
      <c r="G24" s="3"/>
      <c r="H24" t="s">
        <v>38</v>
      </c>
      <c r="I24" s="3"/>
      <c r="J24" t="s">
        <v>38</v>
      </c>
      <c r="K24" s="4">
        <v>0</v>
      </c>
      <c r="L24" t="s">
        <v>38</v>
      </c>
      <c r="M24" s="4">
        <f>Table1[[#This Row],[Quantity]]*Table1[[#This Row],[Proposed Unit Price]]</f>
        <v>0</v>
      </c>
      <c r="N24" t="s">
        <v>38</v>
      </c>
      <c r="O24" s="1">
        <v>0</v>
      </c>
      <c r="P24" t="s">
        <v>38</v>
      </c>
      <c r="Q24" s="6">
        <v>47011</v>
      </c>
      <c r="R24" s="6">
        <v>47375</v>
      </c>
      <c r="S24" t="s">
        <v>54</v>
      </c>
      <c r="T24" t="s">
        <v>45</v>
      </c>
      <c r="U24" t="s">
        <v>47</v>
      </c>
      <c r="V24" t="s">
        <v>40</v>
      </c>
      <c r="W24" t="s">
        <v>41</v>
      </c>
      <c r="X24" t="s">
        <v>34</v>
      </c>
      <c r="Y24" t="s">
        <v>34</v>
      </c>
      <c r="Z24" t="s">
        <v>34</v>
      </c>
      <c r="AA24" t="s">
        <v>34</v>
      </c>
      <c r="AB24" t="s">
        <v>42</v>
      </c>
      <c r="AC24" t="s">
        <v>43</v>
      </c>
      <c r="AD24" t="s">
        <v>65</v>
      </c>
      <c r="AE24" t="s">
        <v>44</v>
      </c>
      <c r="AF24" t="s">
        <v>44</v>
      </c>
      <c r="AG24" t="s">
        <v>34</v>
      </c>
      <c r="AH24" t="s">
        <v>38</v>
      </c>
      <c r="AI24" t="s">
        <v>38</v>
      </c>
      <c r="AJ24" t="s">
        <v>38</v>
      </c>
    </row>
    <row r="25" spans="1:36" x14ac:dyDescent="0.25">
      <c r="A25" t="s">
        <v>32</v>
      </c>
      <c r="B25" t="s">
        <v>66</v>
      </c>
      <c r="C25" t="s">
        <v>34</v>
      </c>
      <c r="D25" t="s">
        <v>48</v>
      </c>
      <c r="E25" t="s">
        <v>36</v>
      </c>
      <c r="F25" t="s">
        <v>37</v>
      </c>
      <c r="G25" s="3"/>
      <c r="H25" t="s">
        <v>38</v>
      </c>
      <c r="I25" s="3"/>
      <c r="J25" t="s">
        <v>38</v>
      </c>
      <c r="K25" s="4">
        <v>0</v>
      </c>
      <c r="L25" t="s">
        <v>38</v>
      </c>
      <c r="M25" s="4">
        <f>Table1[[#This Row],[Quantity]]*Table1[[#This Row],[Proposed Unit Price]]</f>
        <v>0</v>
      </c>
      <c r="N25" t="s">
        <v>38</v>
      </c>
      <c r="O25" s="1">
        <v>0</v>
      </c>
      <c r="P25" t="s">
        <v>38</v>
      </c>
      <c r="Q25" s="6">
        <v>47011</v>
      </c>
      <c r="R25" s="6">
        <v>47375</v>
      </c>
      <c r="S25" t="s">
        <v>54</v>
      </c>
      <c r="T25" t="s">
        <v>47</v>
      </c>
      <c r="U25" t="s">
        <v>47</v>
      </c>
      <c r="V25" t="s">
        <v>40</v>
      </c>
      <c r="W25" t="s">
        <v>41</v>
      </c>
      <c r="X25" t="s">
        <v>34</v>
      </c>
      <c r="Y25" t="s">
        <v>34</v>
      </c>
      <c r="Z25" t="s">
        <v>34</v>
      </c>
      <c r="AA25" t="s">
        <v>34</v>
      </c>
      <c r="AB25" t="s">
        <v>42</v>
      </c>
      <c r="AC25" t="s">
        <v>43</v>
      </c>
      <c r="AD25" t="s">
        <v>66</v>
      </c>
      <c r="AE25" t="s">
        <v>44</v>
      </c>
      <c r="AF25" t="s">
        <v>44</v>
      </c>
      <c r="AG25" t="s">
        <v>34</v>
      </c>
      <c r="AH25" t="s">
        <v>38</v>
      </c>
      <c r="AI25" t="s">
        <v>38</v>
      </c>
      <c r="AJ25" t="s">
        <v>38</v>
      </c>
    </row>
    <row r="26" spans="1:36" x14ac:dyDescent="0.25">
      <c r="A26" t="s">
        <v>32</v>
      </c>
      <c r="B26" t="s">
        <v>67</v>
      </c>
      <c r="C26" t="s">
        <v>34</v>
      </c>
      <c r="D26" t="s">
        <v>50</v>
      </c>
      <c r="E26" t="s">
        <v>36</v>
      </c>
      <c r="F26" t="s">
        <v>37</v>
      </c>
      <c r="G26" s="3"/>
      <c r="H26" t="s">
        <v>38</v>
      </c>
      <c r="I26" s="3"/>
      <c r="J26" t="s">
        <v>38</v>
      </c>
      <c r="K26" s="4">
        <v>0</v>
      </c>
      <c r="L26" t="s">
        <v>38</v>
      </c>
      <c r="M26" s="4">
        <f>Table1[[#This Row],[Quantity]]*Table1[[#This Row],[Proposed Unit Price]]</f>
        <v>0</v>
      </c>
      <c r="N26" t="s">
        <v>38</v>
      </c>
      <c r="O26" s="1">
        <v>0</v>
      </c>
      <c r="P26" t="s">
        <v>38</v>
      </c>
      <c r="Q26" s="6">
        <v>47011</v>
      </c>
      <c r="R26" s="6">
        <v>47375</v>
      </c>
      <c r="S26" t="s">
        <v>54</v>
      </c>
      <c r="T26" t="s">
        <v>49</v>
      </c>
      <c r="U26" t="s">
        <v>47</v>
      </c>
      <c r="V26" t="s">
        <v>40</v>
      </c>
      <c r="W26" t="s">
        <v>41</v>
      </c>
      <c r="X26" t="s">
        <v>34</v>
      </c>
      <c r="Y26" t="s">
        <v>34</v>
      </c>
      <c r="Z26" t="s">
        <v>34</v>
      </c>
      <c r="AA26" t="s">
        <v>34</v>
      </c>
      <c r="AB26" t="s">
        <v>42</v>
      </c>
      <c r="AC26" t="s">
        <v>43</v>
      </c>
      <c r="AD26" t="s">
        <v>67</v>
      </c>
      <c r="AE26" t="s">
        <v>44</v>
      </c>
      <c r="AF26" t="s">
        <v>44</v>
      </c>
      <c r="AG26" t="s">
        <v>34</v>
      </c>
      <c r="AH26" t="s">
        <v>38</v>
      </c>
      <c r="AI26" t="s">
        <v>38</v>
      </c>
      <c r="AJ26" t="s">
        <v>38</v>
      </c>
    </row>
    <row r="27" spans="1:36" x14ac:dyDescent="0.25">
      <c r="A27" t="s">
        <v>32</v>
      </c>
      <c r="B27" t="s">
        <v>68</v>
      </c>
      <c r="C27" t="s">
        <v>34</v>
      </c>
      <c r="D27" t="s">
        <v>52</v>
      </c>
      <c r="E27" t="s">
        <v>36</v>
      </c>
      <c r="F27" t="s">
        <v>37</v>
      </c>
      <c r="G27" s="3"/>
      <c r="H27" t="s">
        <v>38</v>
      </c>
      <c r="I27" s="3"/>
      <c r="J27" t="s">
        <v>38</v>
      </c>
      <c r="K27" s="4">
        <v>0</v>
      </c>
      <c r="L27" t="s">
        <v>38</v>
      </c>
      <c r="M27" s="4">
        <f>Table1[[#This Row],[Quantity]]*Table1[[#This Row],[Proposed Unit Price]]</f>
        <v>0</v>
      </c>
      <c r="N27" t="s">
        <v>38</v>
      </c>
      <c r="O27" s="1">
        <v>0</v>
      </c>
      <c r="P27" t="s">
        <v>38</v>
      </c>
      <c r="Q27" s="6">
        <v>47011</v>
      </c>
      <c r="R27" s="6">
        <v>47375</v>
      </c>
      <c r="S27" t="s">
        <v>54</v>
      </c>
      <c r="T27" t="s">
        <v>51</v>
      </c>
      <c r="U27" t="s">
        <v>47</v>
      </c>
      <c r="V27" t="s">
        <v>40</v>
      </c>
      <c r="W27" t="s">
        <v>41</v>
      </c>
      <c r="X27" t="s">
        <v>34</v>
      </c>
      <c r="Y27" t="s">
        <v>34</v>
      </c>
      <c r="Z27" t="s">
        <v>34</v>
      </c>
      <c r="AA27" t="s">
        <v>34</v>
      </c>
      <c r="AB27" t="s">
        <v>42</v>
      </c>
      <c r="AC27" t="s">
        <v>43</v>
      </c>
      <c r="AD27" t="s">
        <v>68</v>
      </c>
      <c r="AE27" t="s">
        <v>44</v>
      </c>
      <c r="AF27" t="s">
        <v>44</v>
      </c>
      <c r="AG27" t="s">
        <v>34</v>
      </c>
      <c r="AH27" t="s">
        <v>38</v>
      </c>
      <c r="AI27" t="s">
        <v>38</v>
      </c>
      <c r="AJ27" t="s">
        <v>38</v>
      </c>
    </row>
    <row r="28" spans="1:36" x14ac:dyDescent="0.25">
      <c r="G28" s="3"/>
      <c r="I28" s="3"/>
      <c r="K28" s="4"/>
      <c r="M28" s="4">
        <f>SUM(M23:M27)</f>
        <v>0</v>
      </c>
      <c r="O28" s="1"/>
    </row>
    <row r="29" spans="1:36" x14ac:dyDescent="0.25">
      <c r="G29" s="3"/>
      <c r="I29" s="3"/>
      <c r="K29" s="4"/>
      <c r="M29" s="4"/>
      <c r="O29" s="1"/>
    </row>
    <row r="30" spans="1:36" x14ac:dyDescent="0.25">
      <c r="A30" t="s">
        <v>32</v>
      </c>
      <c r="B30" t="s">
        <v>69</v>
      </c>
      <c r="C30" t="s">
        <v>34</v>
      </c>
      <c r="D30" t="s">
        <v>35</v>
      </c>
      <c r="E30" t="s">
        <v>36</v>
      </c>
      <c r="F30" t="s">
        <v>37</v>
      </c>
      <c r="G30" s="3"/>
      <c r="H30" t="s">
        <v>38</v>
      </c>
      <c r="I30" s="3"/>
      <c r="J30" t="s">
        <v>38</v>
      </c>
      <c r="K30" s="4">
        <v>0</v>
      </c>
      <c r="L30" t="s">
        <v>38</v>
      </c>
      <c r="M30" s="4">
        <f>Table1[[#This Row],[Quantity]]*Table1[[#This Row],[Proposed Unit Price]]</f>
        <v>0</v>
      </c>
      <c r="N30" t="s">
        <v>38</v>
      </c>
      <c r="O30" s="1">
        <v>0</v>
      </c>
      <c r="P30" t="s">
        <v>38</v>
      </c>
      <c r="Q30" s="6">
        <v>47376</v>
      </c>
      <c r="R30" s="6">
        <v>47740</v>
      </c>
      <c r="S30" t="s">
        <v>54</v>
      </c>
      <c r="T30" t="s">
        <v>33</v>
      </c>
      <c r="U30" t="s">
        <v>49</v>
      </c>
      <c r="V30" t="s">
        <v>40</v>
      </c>
      <c r="W30" t="s">
        <v>41</v>
      </c>
      <c r="X30" t="s">
        <v>34</v>
      </c>
      <c r="Y30" t="s">
        <v>34</v>
      </c>
      <c r="Z30" t="s">
        <v>34</v>
      </c>
      <c r="AA30" t="s">
        <v>34</v>
      </c>
      <c r="AB30" t="s">
        <v>42</v>
      </c>
      <c r="AC30" t="s">
        <v>43</v>
      </c>
      <c r="AD30" t="s">
        <v>69</v>
      </c>
      <c r="AE30" t="s">
        <v>44</v>
      </c>
      <c r="AF30" t="s">
        <v>44</v>
      </c>
      <c r="AG30" t="s">
        <v>34</v>
      </c>
      <c r="AH30" t="s">
        <v>38</v>
      </c>
      <c r="AI30" t="s">
        <v>38</v>
      </c>
      <c r="AJ30" t="s">
        <v>38</v>
      </c>
    </row>
    <row r="31" spans="1:36" x14ac:dyDescent="0.25">
      <c r="A31" t="s">
        <v>32</v>
      </c>
      <c r="B31" t="s">
        <v>70</v>
      </c>
      <c r="C31" t="s">
        <v>34</v>
      </c>
      <c r="D31" t="s">
        <v>46</v>
      </c>
      <c r="E31" t="s">
        <v>36</v>
      </c>
      <c r="F31" t="s">
        <v>37</v>
      </c>
      <c r="G31" s="3"/>
      <c r="H31" t="s">
        <v>38</v>
      </c>
      <c r="I31" s="3"/>
      <c r="J31" t="s">
        <v>38</v>
      </c>
      <c r="K31" s="4">
        <v>0</v>
      </c>
      <c r="L31" t="s">
        <v>38</v>
      </c>
      <c r="M31" s="4">
        <f>Table1[[#This Row],[Quantity]]*Table1[[#This Row],[Proposed Unit Price]]</f>
        <v>0</v>
      </c>
      <c r="N31" t="s">
        <v>38</v>
      </c>
      <c r="O31" s="1">
        <v>0</v>
      </c>
      <c r="P31" t="s">
        <v>38</v>
      </c>
      <c r="Q31" s="6">
        <v>47376</v>
      </c>
      <c r="R31" s="6">
        <v>47740</v>
      </c>
      <c r="S31" t="s">
        <v>54</v>
      </c>
      <c r="T31" t="s">
        <v>45</v>
      </c>
      <c r="U31" t="s">
        <v>49</v>
      </c>
      <c r="V31" t="s">
        <v>40</v>
      </c>
      <c r="W31" t="s">
        <v>41</v>
      </c>
      <c r="X31" t="s">
        <v>34</v>
      </c>
      <c r="Y31" t="s">
        <v>34</v>
      </c>
      <c r="Z31" t="s">
        <v>34</v>
      </c>
      <c r="AA31" t="s">
        <v>34</v>
      </c>
      <c r="AB31" t="s">
        <v>42</v>
      </c>
      <c r="AC31" t="s">
        <v>43</v>
      </c>
      <c r="AD31" t="s">
        <v>70</v>
      </c>
      <c r="AE31" t="s">
        <v>44</v>
      </c>
      <c r="AF31" t="s">
        <v>44</v>
      </c>
      <c r="AG31" t="s">
        <v>34</v>
      </c>
      <c r="AH31" t="s">
        <v>38</v>
      </c>
      <c r="AI31" t="s">
        <v>38</v>
      </c>
      <c r="AJ31" t="s">
        <v>38</v>
      </c>
    </row>
    <row r="32" spans="1:36" x14ac:dyDescent="0.25">
      <c r="A32" t="s">
        <v>32</v>
      </c>
      <c r="B32" t="s">
        <v>71</v>
      </c>
      <c r="C32" t="s">
        <v>34</v>
      </c>
      <c r="D32" t="s">
        <v>48</v>
      </c>
      <c r="E32" t="s">
        <v>36</v>
      </c>
      <c r="F32" t="s">
        <v>37</v>
      </c>
      <c r="G32" s="3"/>
      <c r="H32" t="s">
        <v>38</v>
      </c>
      <c r="I32" s="3"/>
      <c r="J32" t="s">
        <v>38</v>
      </c>
      <c r="K32" s="4">
        <v>0</v>
      </c>
      <c r="L32" t="s">
        <v>38</v>
      </c>
      <c r="M32" s="4">
        <f>Table1[[#This Row],[Quantity]]*Table1[[#This Row],[Proposed Unit Price]]</f>
        <v>0</v>
      </c>
      <c r="N32" t="s">
        <v>38</v>
      </c>
      <c r="O32" s="1">
        <v>0</v>
      </c>
      <c r="P32" t="s">
        <v>38</v>
      </c>
      <c r="Q32" s="6">
        <v>47376</v>
      </c>
      <c r="R32" s="6">
        <v>47740</v>
      </c>
      <c r="S32" t="s">
        <v>54</v>
      </c>
      <c r="T32" t="s">
        <v>47</v>
      </c>
      <c r="U32" t="s">
        <v>49</v>
      </c>
      <c r="V32" t="s">
        <v>40</v>
      </c>
      <c r="W32" t="s">
        <v>41</v>
      </c>
      <c r="X32" t="s">
        <v>34</v>
      </c>
      <c r="Y32" t="s">
        <v>34</v>
      </c>
      <c r="Z32" t="s">
        <v>34</v>
      </c>
      <c r="AA32" t="s">
        <v>34</v>
      </c>
      <c r="AB32" t="s">
        <v>42</v>
      </c>
      <c r="AC32" t="s">
        <v>43</v>
      </c>
      <c r="AD32" t="s">
        <v>71</v>
      </c>
      <c r="AE32" t="s">
        <v>44</v>
      </c>
      <c r="AF32" t="s">
        <v>44</v>
      </c>
      <c r="AG32" t="s">
        <v>34</v>
      </c>
      <c r="AH32" t="s">
        <v>38</v>
      </c>
      <c r="AI32" t="s">
        <v>38</v>
      </c>
      <c r="AJ32" t="s">
        <v>38</v>
      </c>
    </row>
    <row r="33" spans="1:36" x14ac:dyDescent="0.25">
      <c r="A33" t="s">
        <v>32</v>
      </c>
      <c r="B33" t="s">
        <v>72</v>
      </c>
      <c r="C33" t="s">
        <v>34</v>
      </c>
      <c r="D33" t="s">
        <v>50</v>
      </c>
      <c r="E33" t="s">
        <v>36</v>
      </c>
      <c r="F33" t="s">
        <v>37</v>
      </c>
      <c r="G33" s="3"/>
      <c r="H33" t="s">
        <v>38</v>
      </c>
      <c r="I33" s="3"/>
      <c r="J33" t="s">
        <v>38</v>
      </c>
      <c r="K33" s="4">
        <v>0</v>
      </c>
      <c r="L33" t="s">
        <v>38</v>
      </c>
      <c r="M33" s="4">
        <f>Table1[[#This Row],[Quantity]]*Table1[[#This Row],[Proposed Unit Price]]</f>
        <v>0</v>
      </c>
      <c r="N33" t="s">
        <v>38</v>
      </c>
      <c r="O33" s="1">
        <v>0</v>
      </c>
      <c r="P33" t="s">
        <v>38</v>
      </c>
      <c r="Q33" s="6">
        <v>47376</v>
      </c>
      <c r="R33" s="6">
        <v>47740</v>
      </c>
      <c r="S33" t="s">
        <v>54</v>
      </c>
      <c r="T33" t="s">
        <v>49</v>
      </c>
      <c r="U33" t="s">
        <v>49</v>
      </c>
      <c r="V33" t="s">
        <v>40</v>
      </c>
      <c r="W33" t="s">
        <v>41</v>
      </c>
      <c r="X33" t="s">
        <v>34</v>
      </c>
      <c r="Y33" t="s">
        <v>34</v>
      </c>
      <c r="Z33" t="s">
        <v>34</v>
      </c>
      <c r="AA33" t="s">
        <v>34</v>
      </c>
      <c r="AB33" t="s">
        <v>42</v>
      </c>
      <c r="AC33" t="s">
        <v>43</v>
      </c>
      <c r="AD33" t="s">
        <v>72</v>
      </c>
      <c r="AE33" t="s">
        <v>44</v>
      </c>
      <c r="AF33" t="s">
        <v>44</v>
      </c>
      <c r="AG33" t="s">
        <v>34</v>
      </c>
      <c r="AH33" t="s">
        <v>38</v>
      </c>
      <c r="AI33" t="s">
        <v>38</v>
      </c>
      <c r="AJ33" t="s">
        <v>38</v>
      </c>
    </row>
    <row r="34" spans="1:36" x14ac:dyDescent="0.25">
      <c r="A34" t="s">
        <v>32</v>
      </c>
      <c r="B34" t="s">
        <v>73</v>
      </c>
      <c r="C34" t="s">
        <v>34</v>
      </c>
      <c r="D34" t="s">
        <v>52</v>
      </c>
      <c r="E34" t="s">
        <v>36</v>
      </c>
      <c r="F34" t="s">
        <v>37</v>
      </c>
      <c r="G34" s="3"/>
      <c r="H34" t="s">
        <v>38</v>
      </c>
      <c r="I34" s="3"/>
      <c r="J34" t="s">
        <v>38</v>
      </c>
      <c r="K34" s="4">
        <v>0</v>
      </c>
      <c r="L34" t="s">
        <v>38</v>
      </c>
      <c r="M34" s="4">
        <v>0</v>
      </c>
      <c r="N34" t="s">
        <v>38</v>
      </c>
      <c r="O34" s="1">
        <v>0</v>
      </c>
      <c r="P34" t="s">
        <v>38</v>
      </c>
      <c r="Q34" s="6">
        <v>47376</v>
      </c>
      <c r="R34" s="6">
        <v>47740</v>
      </c>
      <c r="S34" t="s">
        <v>54</v>
      </c>
      <c r="T34" t="s">
        <v>51</v>
      </c>
      <c r="U34" t="s">
        <v>49</v>
      </c>
      <c r="V34" t="s">
        <v>40</v>
      </c>
      <c r="W34" t="s">
        <v>41</v>
      </c>
      <c r="X34" t="s">
        <v>34</v>
      </c>
      <c r="Y34" t="s">
        <v>34</v>
      </c>
      <c r="Z34" t="s">
        <v>34</v>
      </c>
      <c r="AA34" t="s">
        <v>34</v>
      </c>
      <c r="AB34" t="s">
        <v>42</v>
      </c>
      <c r="AC34" t="s">
        <v>43</v>
      </c>
      <c r="AD34" t="s">
        <v>73</v>
      </c>
      <c r="AE34" t="s">
        <v>44</v>
      </c>
      <c r="AF34" t="s">
        <v>44</v>
      </c>
      <c r="AG34" t="s">
        <v>34</v>
      </c>
      <c r="AH34" t="s">
        <v>38</v>
      </c>
      <c r="AI34" t="s">
        <v>38</v>
      </c>
      <c r="AJ34" t="s">
        <v>38</v>
      </c>
    </row>
    <row r="35" spans="1:36" x14ac:dyDescent="0.25">
      <c r="G35" s="7"/>
      <c r="I35" s="7"/>
      <c r="K35" s="8"/>
      <c r="M35" s="7">
        <f>SUM(M30:M34)</f>
        <v>0</v>
      </c>
    </row>
    <row r="38" spans="1:36" x14ac:dyDescent="0.25">
      <c r="K38" s="2" t="s">
        <v>78</v>
      </c>
      <c r="M38" s="2">
        <f>Table1[[#Totals],[Proposed Extended Price]]+M28+M21+M14+M7</f>
        <v>0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40f5b659-45e0-406d-ada9-08e0b284cfc4}" enabled="1" method="Standard" siteId="{e95f1b23-abaf-45ee-821d-b7ab251ab3b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Crum, Ralph R.</cp:lastModifiedBy>
  <dcterms:created xsi:type="dcterms:W3CDTF">2025-03-25T14:20:55Z</dcterms:created>
  <dcterms:modified xsi:type="dcterms:W3CDTF">2025-07-24T17:44:32Z</dcterms:modified>
</cp:coreProperties>
</file>