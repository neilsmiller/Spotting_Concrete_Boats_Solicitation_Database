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showInkAnnotation="0" codeName="ThisWorkbook" defaultThemeVersion="166925"/>
  <mc:AlternateContent xmlns:mc="http://schemas.openxmlformats.org/markup-compatibility/2006">
    <mc:Choice Requires="x15">
      <x15ac:absPath xmlns:x15ac="http://schemas.microsoft.com/office/spreadsheetml/2010/11/ac" url="https://ustsa-my.sharepoint.com/personal/lindsay_alexander_tsa_dhs_gov/Documents/H-drive/SEDS recompete/SEDS CB/final RFP/attachments/"/>
    </mc:Choice>
  </mc:AlternateContent>
  <xr:revisionPtr revIDLastSave="0" documentId="8_{5E720675-7E44-46A1-852C-7D1A4557246F}" xr6:coauthVersionLast="47" xr6:coauthVersionMax="47" xr10:uidLastSave="{00000000-0000-0000-0000-000000000000}"/>
  <bookViews>
    <workbookView xWindow="-120" yWindow="-120" windowWidth="29040" windowHeight="15720" tabRatio="740" activeTab="1" xr2:uid="{00000000-000D-0000-FFFF-FFFF00000000}"/>
  </bookViews>
  <sheets>
    <sheet name="AROW - Instructions" sheetId="15" r:id="rId1"/>
    <sheet name="AROW" sheetId="9" r:id="rId2"/>
    <sheet name="AROW - COR" sheetId="14" state="hidden" r:id="rId3"/>
    <sheet name="Hidden Data Sheet" sheetId="8" state="veryHidden" r:id="rId4"/>
    <sheet name="Hidden CLINs" sheetId="16" state="veryHidden" r:id="rId5"/>
    <sheet name="Dev Notes" sheetId="13" state="veryHidden" r:id="rId6"/>
  </sheets>
  <externalReferences>
    <externalReference r:id="rId7"/>
  </externalReferences>
  <definedNames>
    <definedName name="Choose_Description">'[1]Smiths CLINs'!$C$2:$C$44</definedName>
    <definedName name="maintable">'[1]Smiths CLINs'!$B$2:$D$33</definedName>
    <definedName name="_xlnm.Print_Area" localSheetId="1">AROW!$A$1:$D$140</definedName>
    <definedName name="_xlnm.Print_Area" localSheetId="2">'AROW - COR'!$A$1:$D$144</definedName>
    <definedName name="_xlnm.Print_Area" localSheetId="0">'AROW - Instructions'!$A$1:$D$114</definedName>
    <definedName name="table1" localSheetId="2">#REF!</definedName>
    <definedName name="table1" localSheetId="0">#REF!</definedName>
    <definedName name="table1">#REF!</definedName>
    <definedName name="table2" localSheetId="2">#REF!</definedName>
    <definedName name="table2" localSheetId="0">#REF!</definedName>
    <definedName name="table2">#REF!</definedName>
    <definedName name="table3" localSheetId="2">#REF!</definedName>
    <definedName name="table3" localSheetId="0">#REF!</definedName>
    <definedName name="table3">#REF!</definedName>
    <definedName name="Type_1">'Hidden Data Sheet'!$O$1:$O$6</definedName>
    <definedName name="Type_2">'Hidden Data Sheet'!$P$1:$P$4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16" l="1"/>
  <c r="B33" i="16"/>
  <c r="B32" i="16"/>
  <c r="B31" i="16"/>
  <c r="B26" i="16"/>
  <c r="B25" i="16"/>
  <c r="B24" i="16"/>
  <c r="B23" i="16"/>
  <c r="E37" i="16" l="1" a="1"/>
  <c r="E37" i="16" s="1"/>
  <c r="E38" i="16" a="1"/>
  <c r="E38" i="16" s="1"/>
  <c r="B57" i="14" l="1"/>
  <c r="A140" i="14" l="1"/>
  <c r="B32" i="14" l="1"/>
  <c r="D33" i="14" s="1"/>
  <c r="B33" i="14"/>
  <c r="D35" i="14" s="1"/>
  <c r="B34" i="14"/>
  <c r="B38" i="14"/>
  <c r="B6" i="14" l="1"/>
  <c r="D6" i="14"/>
  <c r="D5" i="14"/>
  <c r="B7" i="14" l="1"/>
  <c r="D7" i="14"/>
  <c r="B8" i="14"/>
  <c r="E74" i="8" l="1"/>
  <c r="E72" i="8"/>
  <c r="E71" i="8"/>
  <c r="B28" i="16" s="1"/>
  <c r="E70" i="8"/>
  <c r="B27" i="16" s="1"/>
  <c r="E73" i="8"/>
  <c r="B30" i="16" l="1"/>
  <c r="B29" i="16"/>
  <c r="AC32" i="8" a="1"/>
  <c r="AC32" i="8" s="1"/>
  <c r="AC31" i="8" a="1"/>
  <c r="AC31" i="8" s="1"/>
  <c r="AC30" i="8" a="1"/>
  <c r="AC30" i="8" s="1"/>
  <c r="AC29" i="8" a="1"/>
  <c r="AC29" i="8" s="1"/>
  <c r="AC28" i="8" a="1"/>
  <c r="AC28" i="8" s="1"/>
  <c r="AC27" i="8" a="1"/>
  <c r="AC27" i="8" s="1"/>
  <c r="AC26" i="8" a="1"/>
  <c r="AC26" i="8" s="1"/>
  <c r="AC25" i="8" a="1"/>
  <c r="AC25" i="8" s="1"/>
  <c r="AC24" i="8" a="1"/>
  <c r="AC24" i="8" s="1"/>
  <c r="AC23" i="8" a="1"/>
  <c r="AC23" i="8" s="1"/>
  <c r="AC22" i="8" a="1"/>
  <c r="AC22" i="8" s="1"/>
  <c r="AC21" i="8" a="1"/>
  <c r="AC21" i="8" s="1"/>
  <c r="AC20" i="8" a="1"/>
  <c r="AC20" i="8" s="1"/>
  <c r="AC19" i="8" a="1"/>
  <c r="AC19" i="8" s="1"/>
  <c r="AC18" i="8" a="1"/>
  <c r="AC18" i="8" s="1"/>
  <c r="AC17" i="8" a="1"/>
  <c r="AC17" i="8" s="1"/>
  <c r="AC16" i="8" a="1"/>
  <c r="AC16" i="8" s="1"/>
  <c r="AC15" i="8" a="1"/>
  <c r="AC15" i="8" s="1"/>
  <c r="AC14" i="8" a="1"/>
  <c r="AC14" i="8" s="1"/>
  <c r="AC13" i="8" a="1"/>
  <c r="AC13" i="8" s="1"/>
  <c r="AC12" i="8" a="1"/>
  <c r="AC12" i="8" s="1"/>
  <c r="AC11" i="8" a="1"/>
  <c r="AC11" i="8" s="1"/>
  <c r="AC10" i="8" a="1"/>
  <c r="AC10" i="8" s="1"/>
  <c r="AC9" i="8" a="1"/>
  <c r="AC9" i="8" s="1"/>
  <c r="AC8" i="8" a="1"/>
  <c r="AC8" i="8" s="1"/>
  <c r="AC7" i="8" a="1"/>
  <c r="AC7" i="8" s="1"/>
  <c r="AC6" i="8" a="1"/>
  <c r="AC6" i="8" s="1"/>
  <c r="AC5" i="8" a="1"/>
  <c r="AC5" i="8" s="1"/>
  <c r="AC4" i="8" a="1"/>
  <c r="AC4" i="8" s="1"/>
  <c r="AC3" i="8" a="1"/>
  <c r="AC3" i="8" s="1"/>
  <c r="AC2" i="8" a="1"/>
  <c r="AC2" i="8" s="1"/>
  <c r="D135" i="9" l="1"/>
  <c r="D129" i="9"/>
  <c r="D123" i="9"/>
  <c r="D117" i="9"/>
  <c r="D111" i="9"/>
  <c r="D105" i="9"/>
  <c r="D99" i="9"/>
  <c r="D93" i="9"/>
  <c r="D87" i="9"/>
  <c r="D81" i="9"/>
  <c r="D75" i="9"/>
  <c r="D69" i="9"/>
  <c r="D63" i="9"/>
  <c r="D57" i="9"/>
  <c r="D51" i="9"/>
  <c r="D45" i="9"/>
  <c r="D39" i="9"/>
  <c r="D33" i="9"/>
  <c r="D27" i="9"/>
  <c r="E101" i="16" l="1" a="1"/>
  <c r="E101" i="16" s="1"/>
  <c r="E100" i="16" a="1"/>
  <c r="E100" i="16" s="1"/>
  <c r="E99" i="16" a="1"/>
  <c r="E99" i="16" s="1"/>
  <c r="E98" i="16" a="1"/>
  <c r="E98" i="16" s="1"/>
  <c r="E97" i="16" a="1"/>
  <c r="E97" i="16" s="1"/>
  <c r="E96" i="16" a="1"/>
  <c r="E96" i="16" s="1"/>
  <c r="E95" i="16" a="1"/>
  <c r="E95" i="16" s="1"/>
  <c r="E94" i="16" a="1"/>
  <c r="E94" i="16" s="1"/>
  <c r="E93" i="16" a="1"/>
  <c r="E93" i="16" s="1"/>
  <c r="E92" i="16" a="1"/>
  <c r="E92" i="16" s="1"/>
  <c r="E91" i="16" a="1"/>
  <c r="E91" i="16" s="1"/>
  <c r="E90" i="16" a="1"/>
  <c r="E90" i="16" s="1"/>
  <c r="E89" i="16" a="1"/>
  <c r="E89" i="16" s="1"/>
  <c r="E88" i="16" a="1"/>
  <c r="E88" i="16" s="1"/>
  <c r="E87" i="16" a="1"/>
  <c r="E87" i="16" s="1"/>
  <c r="E86" i="16" a="1"/>
  <c r="E86" i="16" s="1"/>
  <c r="E85" i="16" a="1"/>
  <c r="E85" i="16" s="1"/>
  <c r="E84" i="16" a="1"/>
  <c r="E84" i="16" s="1"/>
  <c r="E83" i="16" a="1"/>
  <c r="E83" i="16" s="1"/>
  <c r="E82" i="16" a="1"/>
  <c r="E82" i="16" s="1"/>
  <c r="E81" i="16" a="1"/>
  <c r="E81" i="16" s="1"/>
  <c r="E80" i="16" a="1"/>
  <c r="E80" i="16" s="1"/>
  <c r="E79" i="16" a="1"/>
  <c r="E79" i="16" s="1"/>
  <c r="E78" i="16" a="1"/>
  <c r="E78" i="16" s="1"/>
  <c r="E77" i="16" a="1"/>
  <c r="E77" i="16" s="1"/>
  <c r="E76" i="16" a="1"/>
  <c r="E76" i="16" s="1"/>
  <c r="E75" i="16" a="1"/>
  <c r="E75" i="16" s="1"/>
  <c r="E74" i="16" a="1"/>
  <c r="E74" i="16" s="1"/>
  <c r="E73" i="16" a="1"/>
  <c r="E73" i="16" s="1"/>
  <c r="E72" i="16" a="1"/>
  <c r="E72" i="16" s="1"/>
  <c r="E71" i="16" a="1"/>
  <c r="E71" i="16" s="1"/>
  <c r="E70" i="16" a="1"/>
  <c r="E70" i="16" s="1"/>
  <c r="E69" i="16" a="1"/>
  <c r="E69" i="16" s="1"/>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C38" i="16"/>
  <c r="C37" i="16"/>
  <c r="C36" i="16"/>
  <c r="C35" i="16"/>
  <c r="C34" i="16"/>
  <c r="C33" i="16"/>
  <c r="C32" i="16"/>
  <c r="C31" i="16"/>
  <c r="C30" i="16"/>
  <c r="C29" i="16"/>
  <c r="C28" i="16"/>
  <c r="C27" i="16"/>
  <c r="C26" i="16"/>
  <c r="C25" i="16"/>
  <c r="C24" i="16"/>
  <c r="C23" i="16"/>
  <c r="C22" i="16"/>
  <c r="B22" i="16"/>
  <c r="C21" i="16"/>
  <c r="B21" i="16"/>
  <c r="C20" i="16"/>
  <c r="B20" i="16"/>
  <c r="C19" i="16"/>
  <c r="B19" i="16"/>
  <c r="C18" i="16"/>
  <c r="B18" i="16"/>
  <c r="C17" i="16"/>
  <c r="B17" i="16"/>
  <c r="C16" i="16"/>
  <c r="B16" i="16"/>
  <c r="C15" i="16"/>
  <c r="B15" i="16"/>
  <c r="C14" i="16"/>
  <c r="B14" i="16"/>
  <c r="C13" i="16"/>
  <c r="B13" i="16"/>
  <c r="C12" i="16"/>
  <c r="B12" i="16"/>
  <c r="C11" i="16"/>
  <c r="B11" i="16"/>
  <c r="C10" i="16"/>
  <c r="B10" i="16"/>
  <c r="C9" i="16"/>
  <c r="B9" i="16"/>
  <c r="C8" i="16"/>
  <c r="B8" i="16"/>
  <c r="C7" i="16"/>
  <c r="B7" i="16"/>
  <c r="C6" i="16"/>
  <c r="B6" i="16"/>
  <c r="C5" i="16"/>
  <c r="B5" i="16"/>
  <c r="C4" i="16"/>
  <c r="B4" i="16"/>
  <c r="C3" i="16"/>
  <c r="B3" i="16"/>
  <c r="C2" i="16"/>
  <c r="B2" i="16"/>
  <c r="E80" i="8" l="1"/>
  <c r="E81" i="8"/>
  <c r="E82" i="8"/>
  <c r="B35" i="16" s="1"/>
  <c r="E83" i="8"/>
  <c r="B36" i="16" s="1"/>
  <c r="E84" i="8"/>
  <c r="B37" i="16" s="1"/>
  <c r="E79" i="8"/>
  <c r="AJ5" i="8"/>
  <c r="AJ6" i="8"/>
  <c r="AJ7" i="8"/>
  <c r="AJ8" i="8"/>
  <c r="AJ9" i="8"/>
  <c r="AJ4" i="8"/>
  <c r="AJ2" i="8"/>
  <c r="AK2" i="8" s="1"/>
  <c r="AJ3" i="8"/>
  <c r="J79" i="8"/>
  <c r="J80" i="8"/>
  <c r="J81" i="8"/>
  <c r="J82" i="8"/>
  <c r="J83" i="8"/>
  <c r="J84" i="8"/>
  <c r="V2" i="8"/>
  <c r="V3" i="8"/>
  <c r="V4" i="8" l="1"/>
  <c r="B69" i="14" l="1"/>
  <c r="D71" i="14" l="1"/>
  <c r="G47" i="9" l="1"/>
  <c r="G48" i="9"/>
  <c r="F50" i="9"/>
  <c r="F49" i="9"/>
  <c r="F47" i="9"/>
  <c r="F48" i="9"/>
  <c r="F46" i="9"/>
  <c r="F45" i="9"/>
  <c r="F44" i="9"/>
  <c r="F43" i="9"/>
  <c r="F40" i="9"/>
  <c r="F39" i="9"/>
  <c r="F38" i="9"/>
  <c r="F37" i="9"/>
  <c r="F34" i="9"/>
  <c r="F33" i="9"/>
  <c r="F32" i="9"/>
  <c r="F31" i="9"/>
  <c r="F28" i="9"/>
  <c r="F27" i="9"/>
  <c r="F26" i="9"/>
  <c r="F25" i="9"/>
  <c r="F29" i="9"/>
  <c r="G29" i="9"/>
  <c r="F30" i="9"/>
  <c r="G30" i="9"/>
  <c r="F35" i="9"/>
  <c r="G35" i="9"/>
  <c r="F36" i="9"/>
  <c r="G36" i="9"/>
  <c r="F41" i="9"/>
  <c r="G41" i="9"/>
  <c r="F42" i="9"/>
  <c r="G42" i="9"/>
  <c r="H48" i="9" l="1"/>
  <c r="H47" i="9"/>
  <c r="J122" i="8"/>
  <c r="J123" i="8"/>
  <c r="J124" i="8"/>
  <c r="J125" i="8"/>
  <c r="J126" i="8"/>
  <c r="J127" i="8"/>
  <c r="J128" i="8"/>
  <c r="J129" i="8"/>
  <c r="J130" i="8"/>
  <c r="J131" i="8"/>
  <c r="J132" i="8"/>
  <c r="J133" i="8"/>
  <c r="J134" i="8"/>
  <c r="J135" i="8"/>
  <c r="J136" i="8"/>
  <c r="J137" i="8"/>
  <c r="J138" i="8"/>
  <c r="J139" i="8"/>
  <c r="E123" i="8" l="1"/>
  <c r="D3" i="16" s="1"/>
  <c r="E124" i="8"/>
  <c r="D4" i="16" s="1"/>
  <c r="E125" i="8"/>
  <c r="D5" i="16" s="1"/>
  <c r="B1" i="14" l="1"/>
  <c r="E126" i="8" l="1"/>
  <c r="D6" i="16" s="1"/>
  <c r="E127" i="8"/>
  <c r="D7" i="16" s="1"/>
  <c r="E128" i="8"/>
  <c r="D8" i="16" s="1"/>
  <c r="E129" i="8"/>
  <c r="D9" i="16" s="1"/>
  <c r="E130" i="8"/>
  <c r="D10" i="16" s="1"/>
  <c r="E131" i="8"/>
  <c r="D11" i="16" s="1"/>
  <c r="E132" i="8"/>
  <c r="D12" i="16" s="1"/>
  <c r="E133" i="8"/>
  <c r="D13" i="16" s="1"/>
  <c r="E134" i="8"/>
  <c r="D14" i="16" s="1"/>
  <c r="E135" i="8"/>
  <c r="D15" i="16" s="1"/>
  <c r="E136" i="8"/>
  <c r="D16" i="16" s="1"/>
  <c r="E137" i="8"/>
  <c r="D17" i="16" s="1"/>
  <c r="E138" i="8"/>
  <c r="D18" i="16" s="1"/>
  <c r="E139" i="8"/>
  <c r="D19" i="16" s="1"/>
  <c r="E140" i="8"/>
  <c r="D20" i="16" s="1"/>
  <c r="E141" i="8"/>
  <c r="D21" i="16" s="1"/>
  <c r="E142" i="8"/>
  <c r="D22" i="16" s="1"/>
  <c r="E143" i="8"/>
  <c r="D23" i="16" s="1"/>
  <c r="E144" i="8"/>
  <c r="D24" i="16" s="1"/>
  <c r="E145" i="8"/>
  <c r="D25" i="16" s="1"/>
  <c r="E146" i="8"/>
  <c r="D26" i="16" s="1"/>
  <c r="E147" i="8"/>
  <c r="D27" i="16" s="1"/>
  <c r="E148" i="8"/>
  <c r="D28" i="16" s="1"/>
  <c r="E149" i="8"/>
  <c r="D29" i="16" s="1"/>
  <c r="E150" i="8"/>
  <c r="D30" i="16" s="1"/>
  <c r="E122" i="8" l="1"/>
  <c r="D2" i="16" s="1"/>
  <c r="B105" i="14" l="1"/>
  <c r="D107" i="14" s="1"/>
  <c r="B99" i="14"/>
  <c r="D101" i="14" s="1"/>
  <c r="B87" i="14"/>
  <c r="D89" i="14" s="1"/>
  <c r="B81" i="14"/>
  <c r="D83" i="14" s="1"/>
  <c r="B75" i="14"/>
  <c r="D77" i="14" s="1"/>
  <c r="B21" i="14"/>
  <c r="B27" i="14"/>
  <c r="D29" i="14" s="1"/>
  <c r="B9" i="9" l="1"/>
  <c r="B9" i="14" s="1"/>
  <c r="B11" i="14" l="1"/>
  <c r="B12" i="14"/>
  <c r="D11" i="14"/>
  <c r="B22" i="14" l="1"/>
  <c r="D23" i="9"/>
  <c r="D23" i="14"/>
  <c r="B5" i="14"/>
  <c r="B28" i="14"/>
  <c r="B98" i="14"/>
  <c r="B88" i="14"/>
  <c r="F33" i="14" s="1"/>
  <c r="B92" i="14"/>
  <c r="B86" i="14"/>
  <c r="B80" i="14"/>
  <c r="B74" i="14"/>
  <c r="B68" i="14"/>
  <c r="B62" i="14"/>
  <c r="B56" i="14"/>
  <c r="B50" i="14"/>
  <c r="B44" i="14"/>
  <c r="B26" i="14"/>
  <c r="B52" i="14"/>
  <c r="B70" i="14"/>
  <c r="F36" i="14" s="1"/>
  <c r="B100" i="14"/>
  <c r="F35" i="14" s="1"/>
  <c r="F29" i="14" l="1"/>
  <c r="F42" i="14"/>
  <c r="G31" i="9"/>
  <c r="H31" i="9" s="1"/>
  <c r="AK3" i="8" l="1"/>
  <c r="AK4" i="8"/>
  <c r="C18" i="14" l="1"/>
  <c r="C17" i="14"/>
  <c r="J13" i="8" l="1"/>
  <c r="J14" i="8"/>
  <c r="J15" i="8"/>
  <c r="J12" i="8"/>
  <c r="G23" i="9" l="1"/>
  <c r="G24" i="9"/>
  <c r="H29" i="9"/>
  <c r="J8" i="8"/>
  <c r="J9" i="8"/>
  <c r="J10" i="8"/>
  <c r="J11" i="8"/>
  <c r="J7" i="8"/>
  <c r="H41" i="9" l="1"/>
  <c r="H36" i="9"/>
  <c r="H35" i="9"/>
  <c r="H42" i="9"/>
  <c r="E11" i="8" l="1"/>
  <c r="A6" i="16" s="1"/>
  <c r="E6" i="16" s="1" a="1"/>
  <c r="E6" i="16" s="1"/>
  <c r="B136" i="14" l="1"/>
  <c r="F43" i="14" s="1"/>
  <c r="B135" i="14"/>
  <c r="B134" i="14"/>
  <c r="B130" i="14"/>
  <c r="F41" i="14" s="1"/>
  <c r="B129" i="14"/>
  <c r="B128" i="14"/>
  <c r="B124" i="14"/>
  <c r="F40" i="14" s="1"/>
  <c r="B123" i="14"/>
  <c r="B122" i="14"/>
  <c r="B118" i="14"/>
  <c r="F39" i="14" s="1"/>
  <c r="B117" i="14"/>
  <c r="D119" i="14" s="1"/>
  <c r="B116" i="14"/>
  <c r="B112" i="14"/>
  <c r="F38" i="14" s="1"/>
  <c r="B111" i="14"/>
  <c r="D113" i="14" s="1"/>
  <c r="B110" i="14"/>
  <c r="B106" i="14"/>
  <c r="F37" i="14" s="1"/>
  <c r="B104" i="14"/>
  <c r="G50" i="9"/>
  <c r="H50" i="9" s="1"/>
  <c r="G49" i="9"/>
  <c r="H49" i="9" s="1"/>
  <c r="G46" i="9"/>
  <c r="H46" i="9" s="1"/>
  <c r="G45" i="9"/>
  <c r="H45" i="9" s="1"/>
  <c r="G44" i="9"/>
  <c r="H44" i="9" s="1"/>
  <c r="G43" i="9"/>
  <c r="H43" i="9" s="1"/>
  <c r="G40" i="9"/>
  <c r="H40" i="9" s="1"/>
  <c r="G39" i="9"/>
  <c r="H39" i="9" s="1"/>
  <c r="G38" i="9"/>
  <c r="H38" i="9" s="1"/>
  <c r="G37" i="9"/>
  <c r="H37" i="9" s="1"/>
  <c r="J121" i="8" l="1"/>
  <c r="J16" i="8" l="1"/>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5" i="8"/>
  <c r="J76" i="8"/>
  <c r="J77" i="8"/>
  <c r="J78"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F138" i="14" l="1"/>
  <c r="F132" i="14"/>
  <c r="F126" i="14"/>
  <c r="F120" i="14"/>
  <c r="F114" i="14"/>
  <c r="D111" i="14"/>
  <c r="G38" i="14" s="1"/>
  <c r="F108" i="14"/>
  <c r="D105" i="14"/>
  <c r="G37" i="14" s="1"/>
  <c r="F102" i="14"/>
  <c r="D99" i="14"/>
  <c r="G35" i="14" s="1"/>
  <c r="F96" i="14"/>
  <c r="B94" i="14"/>
  <c r="F34" i="14" s="1"/>
  <c r="G34" i="14" s="1"/>
  <c r="B93" i="14"/>
  <c r="D93" i="14"/>
  <c r="F90" i="14"/>
  <c r="D87" i="14"/>
  <c r="G33" i="14" s="1"/>
  <c r="F84" i="14"/>
  <c r="B82" i="14"/>
  <c r="F32" i="14" s="1"/>
  <c r="D81" i="14"/>
  <c r="F138" i="9"/>
  <c r="H138" i="9" s="1"/>
  <c r="F132" i="9"/>
  <c r="H132" i="9" s="1"/>
  <c r="F126" i="9"/>
  <c r="H126" i="9" s="1"/>
  <c r="F120" i="9"/>
  <c r="H120" i="9" s="1"/>
  <c r="F114" i="9"/>
  <c r="H114" i="9" s="1"/>
  <c r="F108" i="9"/>
  <c r="H108" i="9" s="1"/>
  <c r="F102" i="9"/>
  <c r="H102" i="9" s="1"/>
  <c r="F96" i="9"/>
  <c r="H96" i="9" s="1"/>
  <c r="F90" i="9"/>
  <c r="H90" i="9" s="1"/>
  <c r="F84" i="9"/>
  <c r="H84" i="9" s="1"/>
  <c r="G32" i="14" l="1"/>
  <c r="F75" i="15"/>
  <c r="G75" i="15" s="1"/>
  <c r="F27" i="15"/>
  <c r="F26" i="15"/>
  <c r="F25" i="15"/>
  <c r="F24" i="15"/>
  <c r="F23" i="15"/>
  <c r="F22" i="15"/>
  <c r="F21" i="15"/>
  <c r="F20" i="15"/>
  <c r="F19" i="15"/>
  <c r="F18" i="15"/>
  <c r="B76" i="14" l="1"/>
  <c r="B64" i="14"/>
  <c r="B63" i="14"/>
  <c r="D65" i="14" s="1"/>
  <c r="B58" i="14"/>
  <c r="D59" i="14"/>
  <c r="B51" i="14"/>
  <c r="D53" i="14" s="1"/>
  <c r="B46" i="14"/>
  <c r="B45" i="14"/>
  <c r="D47" i="14" s="1"/>
  <c r="B40" i="14"/>
  <c r="B39" i="14"/>
  <c r="D41" i="14" s="1"/>
  <c r="F31" i="14" l="1"/>
  <c r="F30" i="14"/>
  <c r="D135" i="14"/>
  <c r="G43" i="14" s="1"/>
  <c r="D129" i="14"/>
  <c r="G41" i="14" s="1"/>
  <c r="D123" i="14"/>
  <c r="G40" i="14" s="1"/>
  <c r="D117" i="14"/>
  <c r="G39" i="14" s="1"/>
  <c r="F21" i="14"/>
  <c r="B20" i="14"/>
  <c r="D15" i="14"/>
  <c r="G36" i="14" s="1"/>
  <c r="D14" i="14"/>
  <c r="B15" i="14"/>
  <c r="B14" i="14"/>
  <c r="D12" i="14"/>
  <c r="F78" i="14"/>
  <c r="D75" i="14"/>
  <c r="D69" i="14"/>
  <c r="G29" i="14" s="1"/>
  <c r="D63" i="14"/>
  <c r="D57" i="14"/>
  <c r="D51" i="14"/>
  <c r="D45" i="14"/>
  <c r="D39" i="14"/>
  <c r="F28" i="14"/>
  <c r="F27" i="14"/>
  <c r="D27" i="14"/>
  <c r="F26" i="14"/>
  <c r="F25" i="14"/>
  <c r="F24" i="14"/>
  <c r="F23" i="14"/>
  <c r="F22" i="14"/>
  <c r="AK5" i="8"/>
  <c r="AK6" i="8"/>
  <c r="G25" i="14" l="1"/>
  <c r="G23" i="14"/>
  <c r="G28" i="14"/>
  <c r="G27" i="14"/>
  <c r="G22" i="14"/>
  <c r="G26" i="14"/>
  <c r="G30" i="14"/>
  <c r="G42" i="14"/>
  <c r="G31" i="14"/>
  <c r="G132" i="14"/>
  <c r="G126" i="14"/>
  <c r="G120" i="14"/>
  <c r="G96" i="14"/>
  <c r="G84" i="14"/>
  <c r="G90" i="14"/>
  <c r="G138" i="14"/>
  <c r="G114" i="14"/>
  <c r="G102" i="14"/>
  <c r="G108" i="14"/>
  <c r="G78" i="14"/>
  <c r="G24" i="14"/>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Q3" i="8" l="1" a="1"/>
  <c r="Q3" i="8" s="1"/>
  <c r="R3" i="8" s="1"/>
  <c r="Q4" i="8" a="1"/>
  <c r="Q4" i="8" s="1"/>
  <c r="R4" i="8" s="1"/>
  <c r="Q5" i="8" a="1"/>
  <c r="Q5" i="8" s="1"/>
  <c r="R5" i="8" s="1"/>
  <c r="Q2" i="8" a="1"/>
  <c r="Q2" i="8" s="1"/>
  <c r="R2" i="8" s="1"/>
  <c r="AD28" i="8"/>
  <c r="AD27" i="8"/>
  <c r="AD26" i="8"/>
  <c r="AD25" i="8"/>
  <c r="AD24" i="8"/>
  <c r="AD23" i="8"/>
  <c r="AD22" i="8"/>
  <c r="AD21" i="8"/>
  <c r="AD20" i="8"/>
  <c r="AD19" i="8"/>
  <c r="AD18" i="8"/>
  <c r="AD17" i="8"/>
  <c r="AD16" i="8"/>
  <c r="AD15" i="8"/>
  <c r="AD14" i="8"/>
  <c r="AD13" i="8"/>
  <c r="AD12" i="8"/>
  <c r="AD11" i="8"/>
  <c r="AD10" i="8"/>
  <c r="AD9" i="8"/>
  <c r="AD8" i="8"/>
  <c r="AD7" i="8"/>
  <c r="AD6" i="8"/>
  <c r="AD5" i="8"/>
  <c r="AD4" i="8"/>
  <c r="AD3" i="8"/>
  <c r="AD2" i="8"/>
  <c r="E9" i="8" l="1"/>
  <c r="A4" i="16" s="1"/>
  <c r="E4" i="16" s="1" a="1"/>
  <c r="E4" i="16" s="1"/>
  <c r="E10" i="8"/>
  <c r="A5" i="16" s="1"/>
  <c r="E5" i="16" s="1" a="1"/>
  <c r="E5" i="16" s="1"/>
  <c r="E12" i="8"/>
  <c r="A7" i="16" s="1"/>
  <c r="E7" i="16" s="1" a="1"/>
  <c r="E7" i="16" s="1"/>
  <c r="E13" i="8"/>
  <c r="A8" i="16" s="1"/>
  <c r="E8" i="16" s="1" a="1"/>
  <c r="E8" i="16" s="1"/>
  <c r="E14" i="8"/>
  <c r="A9" i="16" s="1"/>
  <c r="E9" i="16" s="1" a="1"/>
  <c r="E9" i="16" s="1"/>
  <c r="E15" i="8"/>
  <c r="A10" i="16" s="1"/>
  <c r="E10" i="16" s="1" a="1"/>
  <c r="E10" i="16" s="1"/>
  <c r="E16" i="8"/>
  <c r="A11" i="16" s="1"/>
  <c r="E11" i="16" s="1" a="1"/>
  <c r="E11" i="16" s="1"/>
  <c r="E17" i="8"/>
  <c r="A12" i="16" s="1"/>
  <c r="E12" i="16" s="1" a="1"/>
  <c r="E12" i="16" s="1"/>
  <c r="E18" i="8"/>
  <c r="A13" i="16" s="1"/>
  <c r="E13" i="16" s="1" a="1"/>
  <c r="E13" i="16" s="1"/>
  <c r="E19" i="8"/>
  <c r="A14" i="16" s="1"/>
  <c r="E14" i="16" s="1" a="1"/>
  <c r="E14" i="16" s="1"/>
  <c r="E20" i="8"/>
  <c r="A15" i="16" s="1"/>
  <c r="E15" i="16" s="1" a="1"/>
  <c r="E15" i="16" s="1"/>
  <c r="E21" i="8"/>
  <c r="A16" i="16" s="1"/>
  <c r="E16" i="16" s="1" a="1"/>
  <c r="E16" i="16" s="1"/>
  <c r="E22" i="8"/>
  <c r="A17" i="16" s="1"/>
  <c r="E17" i="16" s="1" a="1"/>
  <c r="E17" i="16" s="1"/>
  <c r="E23" i="8"/>
  <c r="A18" i="16" s="1"/>
  <c r="E18" i="16" s="1" a="1"/>
  <c r="E18" i="16" s="1"/>
  <c r="E24" i="8"/>
  <c r="A19" i="16" s="1"/>
  <c r="E19" i="16" s="1" a="1"/>
  <c r="E19" i="16" s="1"/>
  <c r="E25" i="8"/>
  <c r="A20" i="16" s="1"/>
  <c r="E20" i="16" s="1" a="1"/>
  <c r="E20" i="16" s="1"/>
  <c r="E26" i="8"/>
  <c r="A21" i="16" s="1"/>
  <c r="E21" i="16" s="1" a="1"/>
  <c r="E21" i="16" s="1"/>
  <c r="E27" i="8"/>
  <c r="A22" i="16" s="1"/>
  <c r="E22" i="16" s="1" a="1"/>
  <c r="E22" i="16" s="1"/>
  <c r="E28" i="8"/>
  <c r="A23" i="16" s="1"/>
  <c r="E23" i="16" s="1" a="1"/>
  <c r="E23" i="16" s="1"/>
  <c r="E29" i="8"/>
  <c r="A24" i="16" s="1"/>
  <c r="E24" i="16" s="1" a="1"/>
  <c r="E24" i="16" s="1"/>
  <c r="E30" i="8"/>
  <c r="A25" i="16" s="1"/>
  <c r="E25" i="16" s="1" a="1"/>
  <c r="E25" i="16" s="1"/>
  <c r="E31" i="8"/>
  <c r="A26" i="16" s="1"/>
  <c r="E26" i="16" s="1" a="1"/>
  <c r="E26" i="16" s="1"/>
  <c r="E32" i="8"/>
  <c r="A27" i="16" s="1"/>
  <c r="E27" i="16" s="1" a="1"/>
  <c r="E27" i="16" s="1"/>
  <c r="E33" i="8"/>
  <c r="A28" i="16" s="1"/>
  <c r="E28" i="16" s="1" a="1"/>
  <c r="E28" i="16" s="1"/>
  <c r="E34" i="8"/>
  <c r="A29" i="16" s="1"/>
  <c r="E29" i="16" s="1" a="1"/>
  <c r="E29" i="16" s="1"/>
  <c r="E35" i="8"/>
  <c r="A30" i="16" s="1"/>
  <c r="E30" i="16" s="1" a="1"/>
  <c r="E30" i="16" s="1"/>
  <c r="E36" i="8"/>
  <c r="A31" i="16" s="1"/>
  <c r="E31" i="16" s="1" a="1"/>
  <c r="E31" i="16" s="1"/>
  <c r="E37" i="8"/>
  <c r="A32" i="16" s="1"/>
  <c r="E32" i="16" s="1" a="1"/>
  <c r="E32" i="16" s="1"/>
  <c r="E38" i="8"/>
  <c r="A33" i="16" s="1"/>
  <c r="E33" i="16" s="1" a="1"/>
  <c r="E33" i="16" s="1"/>
  <c r="E39" i="8"/>
  <c r="E40" i="8"/>
  <c r="E41" i="8"/>
  <c r="A36" i="16" s="1"/>
  <c r="E42" i="8"/>
  <c r="A37" i="16" s="1"/>
  <c r="E43" i="8"/>
  <c r="A38" i="16" s="1"/>
  <c r="E8" i="8"/>
  <c r="A3" i="16" s="1"/>
  <c r="E3" i="16" s="1" a="1"/>
  <c r="E3" i="16" s="1"/>
  <c r="E7" i="8"/>
  <c r="E35" i="16" l="1" a="1"/>
  <c r="E35" i="16" s="1"/>
  <c r="A35" i="16"/>
  <c r="E34" i="16" a="1"/>
  <c r="E34" i="16" s="1"/>
  <c r="A34" i="16"/>
  <c r="E36" i="16" a="1"/>
  <c r="E36" i="16" s="1"/>
  <c r="A2" i="16"/>
  <c r="E2" i="16" s="1" a="1"/>
  <c r="E2" i="16" s="1"/>
  <c r="D21" i="9"/>
  <c r="G21" i="9" s="1"/>
  <c r="D21" i="14"/>
  <c r="D54" i="15"/>
  <c r="G24" i="15" s="1"/>
  <c r="D30" i="15"/>
  <c r="G20" i="15" s="1"/>
  <c r="D18" i="15"/>
  <c r="G18" i="15" s="1"/>
  <c r="D60" i="15"/>
  <c r="G25" i="15" s="1"/>
  <c r="D72" i="15"/>
  <c r="G27" i="15" s="1"/>
  <c r="D48" i="15"/>
  <c r="G23" i="15" s="1"/>
  <c r="D24" i="15"/>
  <c r="G19" i="15" s="1"/>
  <c r="D36" i="15"/>
  <c r="G21" i="15" s="1"/>
  <c r="D66" i="15"/>
  <c r="G26" i="15" s="1"/>
  <c r="D42" i="15"/>
  <c r="G22" i="15" s="1"/>
  <c r="G34" i="9"/>
  <c r="H34" i="9" s="1"/>
  <c r="G33" i="9"/>
  <c r="H33" i="9" s="1"/>
  <c r="G22" i="9"/>
  <c r="G28" i="9"/>
  <c r="H28" i="9" s="1"/>
  <c r="G25" i="9"/>
  <c r="H25" i="9" s="1"/>
  <c r="G26" i="9"/>
  <c r="H26" i="9" s="1"/>
  <c r="G32" i="9"/>
  <c r="H32" i="9" s="1"/>
  <c r="G27" i="9"/>
  <c r="H27" i="9" s="1"/>
  <c r="G21" i="14" l="1"/>
  <c r="G44" i="14" s="1"/>
  <c r="G28" i="15"/>
  <c r="G29" i="15" s="1"/>
  <c r="G45" i="14" l="1"/>
  <c r="E3" i="14"/>
  <c r="E3" i="15"/>
  <c r="H30" i="9"/>
  <c r="F24" i="9"/>
  <c r="H24" i="9" s="1"/>
  <c r="F23" i="9"/>
  <c r="H23" i="9" s="1"/>
  <c r="F22" i="9"/>
  <c r="H22" i="9" s="1"/>
  <c r="F21" i="9"/>
  <c r="H21" i="9" s="1"/>
  <c r="I20" i="9" l="1"/>
  <c r="I21" i="9" s="1"/>
  <c r="D2" i="9" s="1"/>
  <c r="D3" i="14" s="1"/>
  <c r="F78" i="9"/>
  <c r="H78" i="9" s="1"/>
  <c r="V11" i="8" l="1"/>
  <c r="W11" i="8" s="1"/>
  <c r="V10" i="8"/>
  <c r="W10" i="8" s="1"/>
  <c r="V9" i="8"/>
  <c r="W9" i="8" s="1"/>
  <c r="V8" i="8"/>
  <c r="W8" i="8" s="1"/>
  <c r="V7" i="8"/>
  <c r="W7" i="8" s="1"/>
  <c r="V6" i="8"/>
  <c r="W6" i="8" s="1"/>
  <c r="V5" i="8"/>
  <c r="W5" i="8" s="1"/>
  <c r="W4" i="8"/>
  <c r="W3" i="8"/>
  <c r="W2" i="8"/>
  <c r="W12" i="8" l="1"/>
  <c r="W13" i="8" s="1"/>
  <c r="E3" i="9" l="1"/>
</calcChain>
</file>

<file path=xl/sharedStrings.xml><?xml version="1.0" encoding="utf-8"?>
<sst xmlns="http://schemas.openxmlformats.org/spreadsheetml/2006/main" count="22950" uniqueCount="1191">
  <si>
    <t xml:space="preserve">                     Transportation
                     Security
                     Administration</t>
  </si>
  <si>
    <t xml:space="preserve">*Requests take approximately 9 weeks from submission to delivery. 
Expedited requests must be submitted at the Branch Manager level for concurrence. </t>
  </si>
  <si>
    <t>SECTION IV: Additional information (if applicable)</t>
  </si>
  <si>
    <t>CLIN</t>
  </si>
  <si>
    <t>OEM</t>
  </si>
  <si>
    <t>Base or Option</t>
  </si>
  <si>
    <t>Name</t>
  </si>
  <si>
    <t>DO Type (Purchase, Ancillary, STSS, Services, ODC)</t>
  </si>
  <si>
    <t>IDIQ / Contract Vehicle'</t>
  </si>
  <si>
    <t>Delivery Order</t>
  </si>
  <si>
    <t>cost</t>
  </si>
  <si>
    <t>Base</t>
  </si>
  <si>
    <t>CLIN 0001</t>
  </si>
  <si>
    <t>ODC</t>
  </si>
  <si>
    <t>SD_MSEDS_P&amp;I_70T04018D9CAP1035</t>
  </si>
  <si>
    <t>CLIN 0002</t>
  </si>
  <si>
    <t>Project Coordination</t>
  </si>
  <si>
    <t>Services</t>
  </si>
  <si>
    <t>CLIN 0003</t>
  </si>
  <si>
    <t>Design and Pre-Planning Technical Consultation/ Support</t>
  </si>
  <si>
    <t>CLIN 0004</t>
  </si>
  <si>
    <t>MSEDS Installation &amp; Site Acceptance Testing (SAT)</t>
  </si>
  <si>
    <t>CLIN 0005</t>
  </si>
  <si>
    <t>Integration Support</t>
  </si>
  <si>
    <t>CLIN 0006</t>
  </si>
  <si>
    <t>Network Installation Support</t>
  </si>
  <si>
    <t>CLIN 0007</t>
  </si>
  <si>
    <t>Integration Site Acceptance Testing (iSAT) Support</t>
  </si>
  <si>
    <t>CLIN 0008</t>
  </si>
  <si>
    <t>Training</t>
  </si>
  <si>
    <t>CLIN 0009</t>
  </si>
  <si>
    <t>30 Day Run-In Support</t>
  </si>
  <si>
    <t>CLIN 0010</t>
  </si>
  <si>
    <t>Purchase</t>
  </si>
  <si>
    <t>CLIN 0010A</t>
  </si>
  <si>
    <t>CLIN 0010B</t>
  </si>
  <si>
    <t>CLIN 0010C</t>
  </si>
  <si>
    <t>CLIN 0010AA</t>
  </si>
  <si>
    <t>CLIN 0010BB</t>
  </si>
  <si>
    <t>CLIN 0010CC</t>
  </si>
  <si>
    <t>CLIN 0010DD</t>
  </si>
  <si>
    <t>CLIN 0011</t>
  </si>
  <si>
    <t>Primary Viewing Station (PVS)</t>
  </si>
  <si>
    <t>Ancillary</t>
  </si>
  <si>
    <t>CLIN 0012</t>
  </si>
  <si>
    <t>CLIN 0013</t>
  </si>
  <si>
    <t>SVS Mounting Kits</t>
  </si>
  <si>
    <t>CLIN 0014</t>
  </si>
  <si>
    <t>Bar Code Readers</t>
  </si>
  <si>
    <t>CLIN 0015</t>
  </si>
  <si>
    <t>Printers</t>
  </si>
  <si>
    <t>CLIN 0016</t>
  </si>
  <si>
    <t>CLIN 0016A</t>
  </si>
  <si>
    <t>CLIN 0016B</t>
  </si>
  <si>
    <t>CLIN 0016C</t>
  </si>
  <si>
    <t>CLIN 0016AA</t>
  </si>
  <si>
    <t>CLIN 0016BB</t>
  </si>
  <si>
    <t>CLIN 0016CC</t>
  </si>
  <si>
    <t>CLIN 0017</t>
  </si>
  <si>
    <t xml:space="preserve">Master Control Station </t>
  </si>
  <si>
    <t>CLIN 0018</t>
  </si>
  <si>
    <t>CLIN 0018A</t>
  </si>
  <si>
    <t>CLIN 0018B</t>
  </si>
  <si>
    <t>CLIN 0018C</t>
  </si>
  <si>
    <t>CLIN 0018D</t>
  </si>
  <si>
    <t>CLIN 0019</t>
  </si>
  <si>
    <t>Corrective Maintenance/Preventative Maintenance (CM/PM) Warranty</t>
  </si>
  <si>
    <t>CLIN 0020</t>
  </si>
  <si>
    <t>Installation, Integration, Networking and Testing Services - Surge Support</t>
  </si>
  <si>
    <t>CLIN 0021</t>
  </si>
  <si>
    <t>Seismic Anchors</t>
  </si>
  <si>
    <t>CLIN 0022</t>
  </si>
  <si>
    <t>Training Simulator</t>
  </si>
  <si>
    <t>Smiths</t>
  </si>
  <si>
    <t>Reveal</t>
  </si>
  <si>
    <t>CLIN 0010D</t>
  </si>
  <si>
    <t>NTE 10000000</t>
  </si>
  <si>
    <t>NTE 5000000</t>
  </si>
  <si>
    <t>ReMAG number (if applicable)</t>
  </si>
  <si>
    <t>Requestor Name</t>
  </si>
  <si>
    <t>Requestor Email</t>
  </si>
  <si>
    <t>Requestor Phone</t>
  </si>
  <si>
    <t>Signature</t>
  </si>
  <si>
    <t>Date</t>
  </si>
  <si>
    <t>Airport Code</t>
  </si>
  <si>
    <r>
      <t>Warehouse Quantity</t>
    </r>
    <r>
      <rPr>
        <i/>
        <sz val="12"/>
        <rFont val="Times New Roman"/>
        <family val="1"/>
      </rPr>
      <t/>
    </r>
  </si>
  <si>
    <t>Requested OEM Quantity</t>
  </si>
  <si>
    <r>
      <t xml:space="preserve">2.   Task/ Item Description </t>
    </r>
    <r>
      <rPr>
        <i/>
        <sz val="12"/>
        <rFont val="Times New Roman"/>
        <family val="1"/>
      </rPr>
      <t>(Select 1)</t>
    </r>
  </si>
  <si>
    <r>
      <t xml:space="preserve">3.   Task/ Item Description </t>
    </r>
    <r>
      <rPr>
        <i/>
        <sz val="12"/>
        <rFont val="Times New Roman"/>
        <family val="1"/>
      </rPr>
      <t>(Select 1)</t>
    </r>
  </si>
  <si>
    <r>
      <t xml:space="preserve">4.   Task/ Item Description </t>
    </r>
    <r>
      <rPr>
        <i/>
        <sz val="12"/>
        <rFont val="Times New Roman"/>
        <family val="1"/>
      </rPr>
      <t>(Select 1)</t>
    </r>
  </si>
  <si>
    <r>
      <t xml:space="preserve">5.   Task/ Item Description </t>
    </r>
    <r>
      <rPr>
        <i/>
        <sz val="12"/>
        <rFont val="Times New Roman"/>
        <family val="1"/>
      </rPr>
      <t>(Select 1)</t>
    </r>
  </si>
  <si>
    <r>
      <t xml:space="preserve">6.   Task/ Item Description </t>
    </r>
    <r>
      <rPr>
        <i/>
        <sz val="12"/>
        <rFont val="Times New Roman"/>
        <family val="1"/>
      </rPr>
      <t>(Select 1)</t>
    </r>
  </si>
  <si>
    <r>
      <t xml:space="preserve">7.   Task/ Item Description </t>
    </r>
    <r>
      <rPr>
        <i/>
        <sz val="12"/>
        <rFont val="Times New Roman"/>
        <family val="1"/>
      </rPr>
      <t>(Select 1)</t>
    </r>
  </si>
  <si>
    <r>
      <t xml:space="preserve">8.   Task/ Item Description </t>
    </r>
    <r>
      <rPr>
        <i/>
        <sz val="12"/>
        <rFont val="Times New Roman"/>
        <family val="1"/>
      </rPr>
      <t>(Select 1)</t>
    </r>
  </si>
  <si>
    <r>
      <t xml:space="preserve">9.   Task/ Item Description </t>
    </r>
    <r>
      <rPr>
        <i/>
        <sz val="12"/>
        <rFont val="Times New Roman"/>
        <family val="1"/>
      </rPr>
      <t>(Select 1)</t>
    </r>
  </si>
  <si>
    <r>
      <t xml:space="preserve">10.   Task/ Item Description </t>
    </r>
    <r>
      <rPr>
        <i/>
        <sz val="12"/>
        <rFont val="Times New Roman"/>
        <family val="1"/>
      </rPr>
      <t>(Select 1)</t>
    </r>
  </si>
  <si>
    <t>FOR EXPEDITED REQUESTS: 
Branch Manager Approvals</t>
  </si>
  <si>
    <r>
      <rPr>
        <b/>
        <sz val="12"/>
        <rFont val="Times New Roman"/>
        <family val="1"/>
      </rPr>
      <t xml:space="preserve">OEM Lead Time: </t>
    </r>
    <r>
      <rPr>
        <sz val="12"/>
        <rFont val="Times New Roman"/>
        <family val="1"/>
      </rPr>
      <t>Do not select</t>
    </r>
  </si>
  <si>
    <t>Lead Time</t>
  </si>
  <si>
    <t>Airport</t>
  </si>
  <si>
    <t>ABE</t>
  </si>
  <si>
    <t>ABI</t>
  </si>
  <si>
    <t>ABQ</t>
  </si>
  <si>
    <t>ABR</t>
  </si>
  <si>
    <t>ABY</t>
  </si>
  <si>
    <t>ACK</t>
  </si>
  <si>
    <t>ACT</t>
  </si>
  <si>
    <t>ACV</t>
  </si>
  <si>
    <t>ACY</t>
  </si>
  <si>
    <t>ADK</t>
  </si>
  <si>
    <t>ADQ</t>
  </si>
  <si>
    <t>AGS</t>
  </si>
  <si>
    <t>AIA</t>
  </si>
  <si>
    <t>AKN</t>
  </si>
  <si>
    <t>ALB</t>
  </si>
  <si>
    <t>ALO</t>
  </si>
  <si>
    <t>ALS</t>
  </si>
  <si>
    <t>ALW</t>
  </si>
  <si>
    <t>AMA</t>
  </si>
  <si>
    <t>ANC</t>
  </si>
  <si>
    <t>AOO</t>
  </si>
  <si>
    <t>APN</t>
  </si>
  <si>
    <t>ART</t>
  </si>
  <si>
    <t>ASE</t>
  </si>
  <si>
    <t>ATL</t>
  </si>
  <si>
    <t>ATW</t>
  </si>
  <si>
    <t>ATY</t>
  </si>
  <si>
    <t>AUG</t>
  </si>
  <si>
    <t>AUS</t>
  </si>
  <si>
    <t>AVL</t>
  </si>
  <si>
    <t>AZO</t>
  </si>
  <si>
    <t>BDL</t>
  </si>
  <si>
    <t>BET</t>
  </si>
  <si>
    <t>BFD</t>
  </si>
  <si>
    <t>BFF</t>
  </si>
  <si>
    <t>BFL</t>
  </si>
  <si>
    <t>BGM</t>
  </si>
  <si>
    <t>BGR</t>
  </si>
  <si>
    <t>BHB</t>
  </si>
  <si>
    <t>BIL</t>
  </si>
  <si>
    <t>BIS</t>
  </si>
  <si>
    <t>Secondary Viewing Station (SVS)</t>
  </si>
  <si>
    <t>Select</t>
  </si>
  <si>
    <t>Lead Time Total</t>
  </si>
  <si>
    <t>EDS Type</t>
  </si>
  <si>
    <t>Project Manager</t>
  </si>
  <si>
    <t>Type 1: MSEDS</t>
  </si>
  <si>
    <t>Type 2: RSEDS</t>
  </si>
  <si>
    <t>project</t>
  </si>
  <si>
    <t>pickup</t>
  </si>
  <si>
    <t>NOT Xpd</t>
  </si>
  <si>
    <r>
      <t xml:space="preserve">SECTION I: Points of Contact </t>
    </r>
    <r>
      <rPr>
        <b/>
        <strike/>
        <sz val="12"/>
        <color theme="0"/>
        <rFont val="Times New Roman"/>
        <family val="1"/>
      </rPr>
      <t/>
    </r>
  </si>
  <si>
    <t>DO Quantity</t>
  </si>
  <si>
    <t>Airport Delivery Address</t>
  </si>
  <si>
    <t>Concatenate C+D</t>
  </si>
  <si>
    <t>Smiths Delivery Orders</t>
  </si>
  <si>
    <t>Reveal Delivery Orders</t>
  </si>
  <si>
    <t>Project Coordination (CLIN 0002)</t>
  </si>
  <si>
    <t>Design and Pre-Planning Technical Consultation/ Support (CLIN 0003)</t>
  </si>
  <si>
    <t>MSEDS Installation &amp; Site Acceptance Testing (SAT) (CLIN 0004)</t>
  </si>
  <si>
    <t>Integration Support (CLIN 0005)</t>
  </si>
  <si>
    <t>Network Installation Support (CLIN 0006)</t>
  </si>
  <si>
    <t>Integration Site Acceptance Testing (iSAT) Support (CLIN 0007)</t>
  </si>
  <si>
    <t>Training (CLIN 0008)</t>
  </si>
  <si>
    <t>30 Day Run-In Support (CLIN 0009)</t>
  </si>
  <si>
    <t>Primary Viewing Station (PVS) (CLIN 0011)</t>
  </si>
  <si>
    <t>Secondary Viewing Station (SVS) (CLIN 0012)</t>
  </si>
  <si>
    <t>SVS Mounting Kits (CLIN 0013)</t>
  </si>
  <si>
    <t>Bar Code Readers (CLIN 0014)</t>
  </si>
  <si>
    <t>Printers (CLIN 0015)</t>
  </si>
  <si>
    <t>Master Control Station  (CLIN 0017)</t>
  </si>
  <si>
    <t>Corrective Maintenance/Preventative Maintenance (CM/PM) Warranty (CLIN 0019)</t>
  </si>
  <si>
    <t>Installation, Integration, Networking and Testing Services - Surge Support (CLIN 0020)</t>
  </si>
  <si>
    <t>Seismic Anchors (CLIN 0021)</t>
  </si>
  <si>
    <t>Training Simulator (CLIN 0022)</t>
  </si>
  <si>
    <t>Smiths CLIN</t>
  </si>
  <si>
    <t>Reveal CLIN</t>
  </si>
  <si>
    <t>OEM PM</t>
  </si>
  <si>
    <t>COR and OEM PM Approvals</t>
  </si>
  <si>
    <r>
      <t xml:space="preserve">1.   Task/ Item Description </t>
    </r>
    <r>
      <rPr>
        <i/>
        <sz val="12"/>
        <rFont val="Times New Roman"/>
        <family val="1"/>
      </rPr>
      <t>(Select 1)</t>
    </r>
  </si>
  <si>
    <t>Requestor's Branch Manager</t>
  </si>
  <si>
    <t>CBTD PnP  Branch Manager</t>
  </si>
  <si>
    <t>MM/DD/YYYY</t>
  </si>
  <si>
    <t>IMS Airport Project Name 
(if applicable)</t>
  </si>
  <si>
    <t>Network Equipment Package (1-3 unit network)</t>
  </si>
  <si>
    <t>Network Equipment Package (4-6 unit network)</t>
  </si>
  <si>
    <t>State of Washington - Network Equipment Package w/ sales/use tax (1-3 unit network)</t>
  </si>
  <si>
    <t>Network Equipment Package  (7+ unit network)</t>
  </si>
  <si>
    <t>State of Washington - Network Equipment Package w/ sales/use tax (4-6 unit network)</t>
  </si>
  <si>
    <t>State of Washington Network Equipment Package w/ sales/use tax (7+ unit network)</t>
  </si>
  <si>
    <t>CLINs requiring tax are for the State of Washington only</t>
  </si>
  <si>
    <t>Form</t>
  </si>
  <si>
    <t xml:space="preserve">Date of the request must be included for Expedite flags to work </t>
  </si>
  <si>
    <t>OEM must be selected for CLINs to be available</t>
  </si>
  <si>
    <t>COR will be responsible for DO and Warehouse assignments. Details on DOs listed elsewhere</t>
  </si>
  <si>
    <t>COR responsible for sharing an updated form with teams (CBTD, DLD) when new DOs are added</t>
  </si>
  <si>
    <t>CLINs</t>
  </si>
  <si>
    <t>IDIQ - A: 1-3; B: 4-6; C: 7-9; D; 10+</t>
  </si>
  <si>
    <t>DOs executed prior to FY19 will not follow the same structure and the TDL to OEM will need to be updated and adjusted accordingly</t>
  </si>
  <si>
    <t>OEM COR</t>
  </si>
  <si>
    <t>As the COR, I am not authorized to delete, change, waive, or negotiate any of the technical requirements or other terms and conditions of the contract.  Should a change to the contract become necessary, it must be made by a contract modification issued by the Contracting Officer.</t>
  </si>
  <si>
    <t>Network Equipment Package (1-3 unit network) (CLIN 0016A)</t>
  </si>
  <si>
    <t>Network Equipment Package (4-6 unit network) (CLIN 0016B)</t>
  </si>
  <si>
    <t>Network Equipment Package  (7+ unit network) (CLIN 0016C)</t>
  </si>
  <si>
    <t>Type 1</t>
  </si>
  <si>
    <t>Type 2</t>
  </si>
  <si>
    <t>0AK</t>
  </si>
  <si>
    <t>16A</t>
  </si>
  <si>
    <t>1G4</t>
  </si>
  <si>
    <t>2A3</t>
  </si>
  <si>
    <t>2A9</t>
  </si>
  <si>
    <t>3A5</t>
  </si>
  <si>
    <t>3T7</t>
  </si>
  <si>
    <t>3W2</t>
  </si>
  <si>
    <t>74S</t>
  </si>
  <si>
    <t>A61</t>
  </si>
  <si>
    <t>A85</t>
  </si>
  <si>
    <t>ACB</t>
  </si>
  <si>
    <t>AFM</t>
  </si>
  <si>
    <t>AGC</t>
  </si>
  <si>
    <t>AGN</t>
  </si>
  <si>
    <t>AID</t>
  </si>
  <si>
    <t>AIY</t>
  </si>
  <si>
    <t>AIZ</t>
  </si>
  <si>
    <t>AKP</t>
  </si>
  <si>
    <t>AKW</t>
  </si>
  <si>
    <t>ALM</t>
  </si>
  <si>
    <t>ANB</t>
  </si>
  <si>
    <t>AND</t>
  </si>
  <si>
    <t>APF</t>
  </si>
  <si>
    <t>AQH</t>
  </si>
  <si>
    <t>AQT</t>
  </si>
  <si>
    <t>ASN</t>
  </si>
  <si>
    <t>AST</t>
  </si>
  <si>
    <t>ATK</t>
  </si>
  <si>
    <t>AUK</t>
  </si>
  <si>
    <t>AWI</t>
  </si>
  <si>
    <t>AXN</t>
  </si>
  <si>
    <t>BAF</t>
  </si>
  <si>
    <t>BCE</t>
  </si>
  <si>
    <t>BDE</t>
  </si>
  <si>
    <t>BDR</t>
  </si>
  <si>
    <t>BED</t>
  </si>
  <si>
    <t>BEH</t>
  </si>
  <si>
    <t>BID</t>
  </si>
  <si>
    <t>BIG</t>
  </si>
  <si>
    <t>BJI</t>
  </si>
  <si>
    <t>BKL</t>
  </si>
  <si>
    <t>BKW</t>
  </si>
  <si>
    <t>BKX</t>
  </si>
  <si>
    <t>BLI</t>
  </si>
  <si>
    <t>BLM</t>
  </si>
  <si>
    <t>BLV</t>
  </si>
  <si>
    <t>BMG</t>
  </si>
  <si>
    <t>BMI</t>
  </si>
  <si>
    <t>BNA</t>
  </si>
  <si>
    <t>BOI</t>
  </si>
  <si>
    <t>BOS</t>
  </si>
  <si>
    <t>BPK</t>
  </si>
  <si>
    <t>BPT</t>
  </si>
  <si>
    <t>BQK</t>
  </si>
  <si>
    <t>BQN</t>
  </si>
  <si>
    <t>BRD</t>
  </si>
  <si>
    <t>BRL</t>
  </si>
  <si>
    <t>BRO</t>
  </si>
  <si>
    <t>BRW</t>
  </si>
  <si>
    <t>BTI</t>
  </si>
  <si>
    <t>BTL</t>
  </si>
  <si>
    <t>BTM</t>
  </si>
  <si>
    <t>BTR</t>
  </si>
  <si>
    <t>BTV</t>
  </si>
  <si>
    <t>BUF</t>
  </si>
  <si>
    <t>BUR</t>
  </si>
  <si>
    <t>BVK</t>
  </si>
  <si>
    <t>BWG</t>
  </si>
  <si>
    <t>BWI</t>
  </si>
  <si>
    <t>CAE</t>
  </si>
  <si>
    <t>CAK</t>
  </si>
  <si>
    <t>CCR</t>
  </si>
  <si>
    <t>CDB</t>
  </si>
  <si>
    <t>CDC</t>
  </si>
  <si>
    <t>CDV</t>
  </si>
  <si>
    <t>CDW</t>
  </si>
  <si>
    <t>CEC</t>
  </si>
  <si>
    <t>CEF</t>
  </si>
  <si>
    <t>CEZ</t>
  </si>
  <si>
    <t>CFK</t>
  </si>
  <si>
    <t>CGA</t>
  </si>
  <si>
    <t>CGF</t>
  </si>
  <si>
    <t>CGI</t>
  </si>
  <si>
    <t>CGX</t>
  </si>
  <si>
    <t>CHA</t>
  </si>
  <si>
    <t>CHO</t>
  </si>
  <si>
    <t>CHS</t>
  </si>
  <si>
    <t>CIC</t>
  </si>
  <si>
    <t>CID</t>
  </si>
  <si>
    <t>CIU</t>
  </si>
  <si>
    <t>CKB</t>
  </si>
  <si>
    <t>CLE</t>
  </si>
  <si>
    <t>CLL</t>
  </si>
  <si>
    <t>CLM</t>
  </si>
  <si>
    <t>CLT</t>
  </si>
  <si>
    <t>CMH</t>
  </si>
  <si>
    <t>CMI</t>
  </si>
  <si>
    <t>CMX</t>
  </si>
  <si>
    <t>CNM</t>
  </si>
  <si>
    <t>CNY</t>
  </si>
  <si>
    <t>COD</t>
  </si>
  <si>
    <t>COE</t>
  </si>
  <si>
    <t>COS</t>
  </si>
  <si>
    <t>COU</t>
  </si>
  <si>
    <t>CPR</t>
  </si>
  <si>
    <t>CPX</t>
  </si>
  <si>
    <t>CRP</t>
  </si>
  <si>
    <t>CRQ</t>
  </si>
  <si>
    <t>CRW</t>
  </si>
  <si>
    <t>CSG</t>
  </si>
  <si>
    <t>CVG</t>
  </si>
  <si>
    <t>CVO</t>
  </si>
  <si>
    <t>CVX</t>
  </si>
  <si>
    <t>CWA</t>
  </si>
  <si>
    <t>CWI</t>
  </si>
  <si>
    <t>CYS</t>
  </si>
  <si>
    <t>D76</t>
  </si>
  <si>
    <t>DAB</t>
  </si>
  <si>
    <t>DAL</t>
  </si>
  <si>
    <t>DAN</t>
  </si>
  <si>
    <t>DAY</t>
  </si>
  <si>
    <t>DBQ</t>
  </si>
  <si>
    <t>DCA</t>
  </si>
  <si>
    <t>DDC</t>
  </si>
  <si>
    <t>DDH</t>
  </si>
  <si>
    <t>DEC</t>
  </si>
  <si>
    <t>DEN</t>
  </si>
  <si>
    <t>DET</t>
  </si>
  <si>
    <t>DFW</t>
  </si>
  <si>
    <t>DHN</t>
  </si>
  <si>
    <t>DIK</t>
  </si>
  <si>
    <t>DLG</t>
  </si>
  <si>
    <t>DLH</t>
  </si>
  <si>
    <t>DNV</t>
  </si>
  <si>
    <t>DRO</t>
  </si>
  <si>
    <t>DRT</t>
  </si>
  <si>
    <t>DSM</t>
  </si>
  <si>
    <t>DTW</t>
  </si>
  <si>
    <t>DUJ</t>
  </si>
  <si>
    <t>DUT</t>
  </si>
  <si>
    <t>DUY</t>
  </si>
  <si>
    <t>DVL</t>
  </si>
  <si>
    <t>DVT</t>
  </si>
  <si>
    <t>DXR</t>
  </si>
  <si>
    <t>EAR</t>
  </si>
  <si>
    <t>EAT</t>
  </si>
  <si>
    <t>EAU</t>
  </si>
  <si>
    <t>EEK</t>
  </si>
  <si>
    <t>EEN</t>
  </si>
  <si>
    <t>EFD</t>
  </si>
  <si>
    <t>EFK</t>
  </si>
  <si>
    <t>EGE</t>
  </si>
  <si>
    <t>EKM</t>
  </si>
  <si>
    <t>EKO</t>
  </si>
  <si>
    <t>ELI</t>
  </si>
  <si>
    <t>ELM</t>
  </si>
  <si>
    <t>ELO</t>
  </si>
  <si>
    <t>ELP</t>
  </si>
  <si>
    <t>ELY</t>
  </si>
  <si>
    <t>ENA</t>
  </si>
  <si>
    <t>ENM</t>
  </si>
  <si>
    <t>ENW</t>
  </si>
  <si>
    <t>ERI</t>
  </si>
  <si>
    <t>ESC</t>
  </si>
  <si>
    <t>ESF</t>
  </si>
  <si>
    <t>EUG</t>
  </si>
  <si>
    <t>EVV</t>
  </si>
  <si>
    <t>EWB</t>
  </si>
  <si>
    <t>EWN</t>
  </si>
  <si>
    <t>EWR</t>
  </si>
  <si>
    <t>EWU</t>
  </si>
  <si>
    <t>EYW</t>
  </si>
  <si>
    <t>FAI</t>
  </si>
  <si>
    <t>FAQ</t>
  </si>
  <si>
    <t>FAR</t>
  </si>
  <si>
    <t>FAT</t>
  </si>
  <si>
    <t>FAY</t>
  </si>
  <si>
    <t>FHR</t>
  </si>
  <si>
    <t>FHU</t>
  </si>
  <si>
    <t>FKL</t>
  </si>
  <si>
    <t>FLG</t>
  </si>
  <si>
    <t>FLL</t>
  </si>
  <si>
    <t>FLO</t>
  </si>
  <si>
    <t>FMN</t>
  </si>
  <si>
    <t>FNL</t>
  </si>
  <si>
    <t>FNT</t>
  </si>
  <si>
    <t>FOD</t>
  </si>
  <si>
    <t>FOE</t>
  </si>
  <si>
    <t>FRG</t>
  </si>
  <si>
    <t>FRM</t>
  </si>
  <si>
    <t>FSD</t>
  </si>
  <si>
    <t>FSM</t>
  </si>
  <si>
    <t>FTW</t>
  </si>
  <si>
    <t>FWA</t>
  </si>
  <si>
    <t>FYU</t>
  </si>
  <si>
    <t>FYV</t>
  </si>
  <si>
    <t>GAL</t>
  </si>
  <si>
    <t>GAM</t>
  </si>
  <si>
    <t>GBD</t>
  </si>
  <si>
    <t>GBH</t>
  </si>
  <si>
    <t>GCC</t>
  </si>
  <si>
    <t>GCK</t>
  </si>
  <si>
    <t>GCN</t>
  </si>
  <si>
    <t>GED</t>
  </si>
  <si>
    <t>GEG</t>
  </si>
  <si>
    <t>GFK</t>
  </si>
  <si>
    <t>GFL</t>
  </si>
  <si>
    <t>GGG</t>
  </si>
  <si>
    <t>GGV</t>
  </si>
  <si>
    <t>GGW</t>
  </si>
  <si>
    <t>GJT</t>
  </si>
  <si>
    <t>GKN</t>
  </si>
  <si>
    <t>GLD</t>
  </si>
  <si>
    <t>GLH</t>
  </si>
  <si>
    <t>GLR</t>
  </si>
  <si>
    <t>GLS</t>
  </si>
  <si>
    <t>GNV</t>
  </si>
  <si>
    <t>GON</t>
  </si>
  <si>
    <t>GPI</t>
  </si>
  <si>
    <t>GPT</t>
  </si>
  <si>
    <t>GPZ</t>
  </si>
  <si>
    <t>GRB</t>
  </si>
  <si>
    <t>GRI</t>
  </si>
  <si>
    <t>GRK</t>
  </si>
  <si>
    <t>GRO</t>
  </si>
  <si>
    <t>GRR</t>
  </si>
  <si>
    <t>GSN</t>
  </si>
  <si>
    <t>GSO</t>
  </si>
  <si>
    <t>GSP</t>
  </si>
  <si>
    <t>GST</t>
  </si>
  <si>
    <t>GTF</t>
  </si>
  <si>
    <t>GTR</t>
  </si>
  <si>
    <t>GUC</t>
  </si>
  <si>
    <t>GUM</t>
  </si>
  <si>
    <t>GUP</t>
  </si>
  <si>
    <t>GYH</t>
  </si>
  <si>
    <t>GYR</t>
  </si>
  <si>
    <t>GYY</t>
  </si>
  <si>
    <t>HDN</t>
  </si>
  <si>
    <t>HFD</t>
  </si>
  <si>
    <t>HGR</t>
  </si>
  <si>
    <t>HIB</t>
  </si>
  <si>
    <t>HII</t>
  </si>
  <si>
    <t>HKS</t>
  </si>
  <si>
    <t>HKY</t>
  </si>
  <si>
    <t>HLA</t>
  </si>
  <si>
    <t>HLN</t>
  </si>
  <si>
    <t>HND</t>
  </si>
  <si>
    <t>HNH</t>
  </si>
  <si>
    <t>HNL</t>
  </si>
  <si>
    <t>HNM</t>
  </si>
  <si>
    <t>HNS</t>
  </si>
  <si>
    <t>HOB</t>
  </si>
  <si>
    <t>HOM</t>
  </si>
  <si>
    <t>HON</t>
  </si>
  <si>
    <t>HOT</t>
  </si>
  <si>
    <t>HOU</t>
  </si>
  <si>
    <t>HPB</t>
  </si>
  <si>
    <t>HPN</t>
  </si>
  <si>
    <t>HRL</t>
  </si>
  <si>
    <t>HRO</t>
  </si>
  <si>
    <t>HSL</t>
  </si>
  <si>
    <t>HSV</t>
  </si>
  <si>
    <t>HTS</t>
  </si>
  <si>
    <t>HUF</t>
  </si>
  <si>
    <t>HUT</t>
  </si>
  <si>
    <t>HVN</t>
  </si>
  <si>
    <t>HXD</t>
  </si>
  <si>
    <t>HYA</t>
  </si>
  <si>
    <t>HYL</t>
  </si>
  <si>
    <t>HYS</t>
  </si>
  <si>
    <t>IAD</t>
  </si>
  <si>
    <t>IAH</t>
  </si>
  <si>
    <t>IAN</t>
  </si>
  <si>
    <t>ICT</t>
  </si>
  <si>
    <t>IDA</t>
  </si>
  <si>
    <t>IFP</t>
  </si>
  <si>
    <t>IGM</t>
  </si>
  <si>
    <t>IIK</t>
  </si>
  <si>
    <t>ILE</t>
  </si>
  <si>
    <t>ILG</t>
  </si>
  <si>
    <t>ILI</t>
  </si>
  <si>
    <t>ILL</t>
  </si>
  <si>
    <t>ILM</t>
  </si>
  <si>
    <t>IMT</t>
  </si>
  <si>
    <t>IND</t>
  </si>
  <si>
    <t>INL</t>
  </si>
  <si>
    <t>INT</t>
  </si>
  <si>
    <t>IPL</t>
  </si>
  <si>
    <t>IPT</t>
  </si>
  <si>
    <t>IRK</t>
  </si>
  <si>
    <t>ISN</t>
  </si>
  <si>
    <t>ISO</t>
  </si>
  <si>
    <t>ISP</t>
  </si>
  <si>
    <t>ITH</t>
  </si>
  <si>
    <t>ITO</t>
  </si>
  <si>
    <t>IWA</t>
  </si>
  <si>
    <t>IWD</t>
  </si>
  <si>
    <t>IXD</t>
  </si>
  <si>
    <t>IYK</t>
  </si>
  <si>
    <t>JAC</t>
  </si>
  <si>
    <t>JAN</t>
  </si>
  <si>
    <t>JAX</t>
  </si>
  <si>
    <t>JBR</t>
  </si>
  <si>
    <t>JEF</t>
  </si>
  <si>
    <t>JFK</t>
  </si>
  <si>
    <t>JHW</t>
  </si>
  <si>
    <t>JLN</t>
  </si>
  <si>
    <t>JMS</t>
  </si>
  <si>
    <t>JNU</t>
  </si>
  <si>
    <t>JQF</t>
  </si>
  <si>
    <t>JRB</t>
  </si>
  <si>
    <t>JST</t>
  </si>
  <si>
    <t>JVL</t>
  </si>
  <si>
    <t>JXN</t>
  </si>
  <si>
    <t>KAE</t>
  </si>
  <si>
    <t>KAL</t>
  </si>
  <si>
    <t>KDK</t>
  </si>
  <si>
    <t>KEB</t>
  </si>
  <si>
    <t>KKA</t>
  </si>
  <si>
    <t>KLG</t>
  </si>
  <si>
    <t>KOA</t>
  </si>
  <si>
    <t>KSM</t>
  </si>
  <si>
    <t>KTB</t>
  </si>
  <si>
    <t>KTN</t>
  </si>
  <si>
    <t>KVC</t>
  </si>
  <si>
    <t>KVL</t>
  </si>
  <si>
    <t>KWT</t>
  </si>
  <si>
    <t>LAA</t>
  </si>
  <si>
    <t>LAF</t>
  </si>
  <si>
    <t>LAL</t>
  </si>
  <si>
    <t>LAN</t>
  </si>
  <si>
    <t>LAR</t>
  </si>
  <si>
    <t>LAS</t>
  </si>
  <si>
    <t>LAW</t>
  </si>
  <si>
    <t>LAX</t>
  </si>
  <si>
    <t>LBB</t>
  </si>
  <si>
    <t>LBE</t>
  </si>
  <si>
    <t>LBF</t>
  </si>
  <si>
    <t>LBL</t>
  </si>
  <si>
    <t>LBX</t>
  </si>
  <si>
    <t>LCH</t>
  </si>
  <si>
    <t>LCK</t>
  </si>
  <si>
    <t>LEB</t>
  </si>
  <si>
    <t>LEX</t>
  </si>
  <si>
    <t>LFT</t>
  </si>
  <si>
    <t>LGA</t>
  </si>
  <si>
    <t>LGB</t>
  </si>
  <si>
    <t>LHD</t>
  </si>
  <si>
    <t>LIH</t>
  </si>
  <si>
    <t>LIT</t>
  </si>
  <si>
    <t>LMT</t>
  </si>
  <si>
    <t>LNK</t>
  </si>
  <si>
    <t>LNS</t>
  </si>
  <si>
    <t>LNY</t>
  </si>
  <si>
    <t>LPR</t>
  </si>
  <si>
    <t>LRD</t>
  </si>
  <si>
    <t>LRU</t>
  </si>
  <si>
    <t>LSE</t>
  </si>
  <si>
    <t>LUK</t>
  </si>
  <si>
    <t>LWB</t>
  </si>
  <si>
    <t>LWS</t>
  </si>
  <si>
    <t>LYH</t>
  </si>
  <si>
    <t>MAF</t>
  </si>
  <si>
    <t>MAZ</t>
  </si>
  <si>
    <t>MBA</t>
  </si>
  <si>
    <t>MBL</t>
  </si>
  <si>
    <t>MBS</t>
  </si>
  <si>
    <t>MCC</t>
  </si>
  <si>
    <t>MCE</t>
  </si>
  <si>
    <t>MCG</t>
  </si>
  <si>
    <t>MCI</t>
  </si>
  <si>
    <t>MCK</t>
  </si>
  <si>
    <t>MCN</t>
  </si>
  <si>
    <t>MCO</t>
  </si>
  <si>
    <t>MCW</t>
  </si>
  <si>
    <t>MDH</t>
  </si>
  <si>
    <t>MDM</t>
  </si>
  <si>
    <t>MDT</t>
  </si>
  <si>
    <t>MDW</t>
  </si>
  <si>
    <t>MDY</t>
  </si>
  <si>
    <t>MEI</t>
  </si>
  <si>
    <t>MEM</t>
  </si>
  <si>
    <t>MFD</t>
  </si>
  <si>
    <t>MFE</t>
  </si>
  <si>
    <t>MFR</t>
  </si>
  <si>
    <t>MGM</t>
  </si>
  <si>
    <t>MGW</t>
  </si>
  <si>
    <t>MHE</t>
  </si>
  <si>
    <t>MHK</t>
  </si>
  <si>
    <t>MHT</t>
  </si>
  <si>
    <t>MIA</t>
  </si>
  <si>
    <t>MIE</t>
  </si>
  <si>
    <t>MIV</t>
  </si>
  <si>
    <t>MJX</t>
  </si>
  <si>
    <t>MKC</t>
  </si>
  <si>
    <t>MKE</t>
  </si>
  <si>
    <t>MKG</t>
  </si>
  <si>
    <t>MKK</t>
  </si>
  <si>
    <t>MKL</t>
  </si>
  <si>
    <t>MKT</t>
  </si>
  <si>
    <t>MLB</t>
  </si>
  <si>
    <t>MLI</t>
  </si>
  <si>
    <t>MLL</t>
  </si>
  <si>
    <t>MLU</t>
  </si>
  <si>
    <t>MMH</t>
  </si>
  <si>
    <t>MMU</t>
  </si>
  <si>
    <t>MMV</t>
  </si>
  <si>
    <t>MNM</t>
  </si>
  <si>
    <t>MOB</t>
  </si>
  <si>
    <t>MOD</t>
  </si>
  <si>
    <t>MOT</t>
  </si>
  <si>
    <t>MOU</t>
  </si>
  <si>
    <t>MPV</t>
  </si>
  <si>
    <t>MQI</t>
  </si>
  <si>
    <t>MQJ</t>
  </si>
  <si>
    <t>MQY</t>
  </si>
  <si>
    <t>MRI</t>
  </si>
  <si>
    <t>MRY</t>
  </si>
  <si>
    <t>MSL</t>
  </si>
  <si>
    <t>MSN</t>
  </si>
  <si>
    <t>MSO</t>
  </si>
  <si>
    <t>MSP</t>
  </si>
  <si>
    <t>MSS</t>
  </si>
  <si>
    <t>MSV</t>
  </si>
  <si>
    <t>MSY</t>
  </si>
  <si>
    <t>MTH</t>
  </si>
  <si>
    <t>MTJ</t>
  </si>
  <si>
    <t>MTM</t>
  </si>
  <si>
    <t>MTO</t>
  </si>
  <si>
    <t>MUE</t>
  </si>
  <si>
    <t>MVL</t>
  </si>
  <si>
    <t>MVN</t>
  </si>
  <si>
    <t>MVY</t>
  </si>
  <si>
    <t>MWA</t>
  </si>
  <si>
    <t>MWH</t>
  </si>
  <si>
    <t>MYR</t>
  </si>
  <si>
    <t>MZJ</t>
  </si>
  <si>
    <t>N93</t>
  </si>
  <si>
    <t>NEW</t>
  </si>
  <si>
    <t>NQA</t>
  </si>
  <si>
    <t>NUL</t>
  </si>
  <si>
    <t>OAJ</t>
  </si>
  <si>
    <t>OAK</t>
  </si>
  <si>
    <t>OCF</t>
  </si>
  <si>
    <t>OFK</t>
  </si>
  <si>
    <t>OGD</t>
  </si>
  <si>
    <t>OGG</t>
  </si>
  <si>
    <t>OGS</t>
  </si>
  <si>
    <t>OKC</t>
  </si>
  <si>
    <t>OLM</t>
  </si>
  <si>
    <t>OMA</t>
  </si>
  <si>
    <t>OME</t>
  </si>
  <si>
    <t>ONP</t>
  </si>
  <si>
    <t>ONT</t>
  </si>
  <si>
    <t>OOK</t>
  </si>
  <si>
    <t>OQU</t>
  </si>
  <si>
    <t>ORD</t>
  </si>
  <si>
    <t>ORF</t>
  </si>
  <si>
    <t>ORH</t>
  </si>
  <si>
    <t>ORI</t>
  </si>
  <si>
    <t>ORS</t>
  </si>
  <si>
    <t>ORV</t>
  </si>
  <si>
    <t>OSH</t>
  </si>
  <si>
    <t>OSU</t>
  </si>
  <si>
    <t>OTG</t>
  </si>
  <si>
    <t>OTH</t>
  </si>
  <si>
    <t>OTM</t>
  </si>
  <si>
    <t>OTZ</t>
  </si>
  <si>
    <t>OWB</t>
  </si>
  <si>
    <t>OXC</t>
  </si>
  <si>
    <t>OXR</t>
  </si>
  <si>
    <t>PAE</t>
  </si>
  <si>
    <t>PAH</t>
  </si>
  <si>
    <t>PBI</t>
  </si>
  <si>
    <t>PCW</t>
  </si>
  <si>
    <t>PDT</t>
  </si>
  <si>
    <t>PDX</t>
  </si>
  <si>
    <t>PFN</t>
  </si>
  <si>
    <t>PGA</t>
  </si>
  <si>
    <t>PGD</t>
  </si>
  <si>
    <t>PGM</t>
  </si>
  <si>
    <t>PGV</t>
  </si>
  <si>
    <t>PHF</t>
  </si>
  <si>
    <t>PHL</t>
  </si>
  <si>
    <t>PHO</t>
  </si>
  <si>
    <t>PHX</t>
  </si>
  <si>
    <t>PIA</t>
  </si>
  <si>
    <t>PIB</t>
  </si>
  <si>
    <t>PIE</t>
  </si>
  <si>
    <t>PIH</t>
  </si>
  <si>
    <t>PIR</t>
  </si>
  <si>
    <t>PIT</t>
  </si>
  <si>
    <t>PKB</t>
  </si>
  <si>
    <t>PLB</t>
  </si>
  <si>
    <t>PLK</t>
  </si>
  <si>
    <t>PLN</t>
  </si>
  <si>
    <t>PMD</t>
  </si>
  <si>
    <t>PNC</t>
  </si>
  <si>
    <t>PNS</t>
  </si>
  <si>
    <t>POU</t>
  </si>
  <si>
    <t>PPC</t>
  </si>
  <si>
    <t>PPG</t>
  </si>
  <si>
    <t>PQI</t>
  </si>
  <si>
    <t>PQL</t>
  </si>
  <si>
    <t>PRB</t>
  </si>
  <si>
    <t>PRC</t>
  </si>
  <si>
    <t>PSC</t>
  </si>
  <si>
    <t>PSE</t>
  </si>
  <si>
    <t>PSG</t>
  </si>
  <si>
    <t>PSM</t>
  </si>
  <si>
    <t>PSP</t>
  </si>
  <si>
    <t>PTH</t>
  </si>
  <si>
    <t>PTK</t>
  </si>
  <si>
    <t>PUB</t>
  </si>
  <si>
    <t>PUW</t>
  </si>
  <si>
    <t>PVC</t>
  </si>
  <si>
    <t>PVD</t>
  </si>
  <si>
    <t>PVU</t>
  </si>
  <si>
    <t>PWM</t>
  </si>
  <si>
    <t>PWT</t>
  </si>
  <si>
    <t>RAP</t>
  </si>
  <si>
    <t>RDD</t>
  </si>
  <si>
    <t>RDG</t>
  </si>
  <si>
    <t>RDM</t>
  </si>
  <si>
    <t>RDU</t>
  </si>
  <si>
    <t>RFD</t>
  </si>
  <si>
    <t>RHI</t>
  </si>
  <si>
    <t>RIC</t>
  </si>
  <si>
    <t>RIW</t>
  </si>
  <si>
    <t>RKD</t>
  </si>
  <si>
    <t>RKS</t>
  </si>
  <si>
    <t>RME</t>
  </si>
  <si>
    <t>RMG</t>
  </si>
  <si>
    <t>RNO</t>
  </si>
  <si>
    <t>ROA</t>
  </si>
  <si>
    <t>ROC</t>
  </si>
  <si>
    <t>ROW</t>
  </si>
  <si>
    <t>RSH</t>
  </si>
  <si>
    <t>RST</t>
  </si>
  <si>
    <t>RSW</t>
  </si>
  <si>
    <t>RUT</t>
  </si>
  <si>
    <t>RWI</t>
  </si>
  <si>
    <t>SAF</t>
  </si>
  <si>
    <t>SAN</t>
  </si>
  <si>
    <t>SAT</t>
  </si>
  <si>
    <t>SAV</t>
  </si>
  <si>
    <t>SAW</t>
  </si>
  <si>
    <t>SBA</t>
  </si>
  <si>
    <t>SBD</t>
  </si>
  <si>
    <t>SBN</t>
  </si>
  <si>
    <t>SBP</t>
  </si>
  <si>
    <t>SBY</t>
  </si>
  <si>
    <t>SCC</t>
  </si>
  <si>
    <t>SCK</t>
  </si>
  <si>
    <t>SCM</t>
  </si>
  <si>
    <t>SDF</t>
  </si>
  <si>
    <t>SDP</t>
  </si>
  <si>
    <t>SDY</t>
  </si>
  <si>
    <t>SEA</t>
  </si>
  <si>
    <t>SFB</t>
  </si>
  <si>
    <t>SFO</t>
  </si>
  <si>
    <t>SFZ</t>
  </si>
  <si>
    <t>SGF</t>
  </si>
  <si>
    <t>SGH</t>
  </si>
  <si>
    <t>SGJ</t>
  </si>
  <si>
    <t>SGU</t>
  </si>
  <si>
    <t>SGY</t>
  </si>
  <si>
    <t>SHD</t>
  </si>
  <si>
    <t>SHG</t>
  </si>
  <si>
    <t>SHH</t>
  </si>
  <si>
    <t>SHR</t>
  </si>
  <si>
    <t>SHV</t>
  </si>
  <si>
    <t>SIG</t>
  </si>
  <si>
    <t>SIT</t>
  </si>
  <si>
    <t>SJC</t>
  </si>
  <si>
    <t>SJT</t>
  </si>
  <si>
    <t>SJU</t>
  </si>
  <si>
    <t>SKX</t>
  </si>
  <si>
    <t>SLC</t>
  </si>
  <si>
    <t>SLE</t>
  </si>
  <si>
    <t>SLK</t>
  </si>
  <si>
    <t>SLN</t>
  </si>
  <si>
    <t>SMF</t>
  </si>
  <si>
    <t>SMX</t>
  </si>
  <si>
    <t>SNA</t>
  </si>
  <si>
    <t>SNP</t>
  </si>
  <si>
    <t>SOP</t>
  </si>
  <si>
    <t>SOV</t>
  </si>
  <si>
    <t>SOW</t>
  </si>
  <si>
    <t>SPI</t>
  </si>
  <si>
    <t>SPS</t>
  </si>
  <si>
    <t>SQI</t>
  </si>
  <si>
    <t>SRQ</t>
  </si>
  <si>
    <t>SRR</t>
  </si>
  <si>
    <t>STC</t>
  </si>
  <si>
    <t>STJ</t>
  </si>
  <si>
    <t>STL</t>
  </si>
  <si>
    <t>STP</t>
  </si>
  <si>
    <t>STS</t>
  </si>
  <si>
    <t>STT</t>
  </si>
  <si>
    <t>STX</t>
  </si>
  <si>
    <t>SUN</t>
  </si>
  <si>
    <t>SUS</t>
  </si>
  <si>
    <t>SUX</t>
  </si>
  <si>
    <t>SVA</t>
  </si>
  <si>
    <t>SVC</t>
  </si>
  <si>
    <t>SWF</t>
  </si>
  <si>
    <t>SWO</t>
  </si>
  <si>
    <t>SYR</t>
  </si>
  <si>
    <t>T44</t>
  </si>
  <si>
    <t>TAL</t>
  </si>
  <si>
    <t>TBN</t>
  </si>
  <si>
    <t>TCL</t>
  </si>
  <si>
    <t>TEB</t>
  </si>
  <si>
    <t>TEX</t>
  </si>
  <si>
    <t>TIX</t>
  </si>
  <si>
    <t>TLH</t>
  </si>
  <si>
    <t>TLT</t>
  </si>
  <si>
    <t>TNI</t>
  </si>
  <si>
    <t>TOG</t>
  </si>
  <si>
    <t>TOL</t>
  </si>
  <si>
    <t>TPA</t>
  </si>
  <si>
    <t>TPL</t>
  </si>
  <si>
    <t>TRI</t>
  </si>
  <si>
    <t>TTN</t>
  </si>
  <si>
    <t>TUL</t>
  </si>
  <si>
    <t>TUP</t>
  </si>
  <si>
    <t>TUS</t>
  </si>
  <si>
    <t>TVC</t>
  </si>
  <si>
    <t>TVF</t>
  </si>
  <si>
    <t>TVL</t>
  </si>
  <si>
    <t>TVR</t>
  </si>
  <si>
    <t>TWF</t>
  </si>
  <si>
    <t>TXK</t>
  </si>
  <si>
    <t>TYR</t>
  </si>
  <si>
    <t>TYS</t>
  </si>
  <si>
    <t>UCA</t>
  </si>
  <si>
    <t>UIN</t>
  </si>
  <si>
    <t>UNK</t>
  </si>
  <si>
    <t>UNV</t>
  </si>
  <si>
    <t>UOX</t>
  </si>
  <si>
    <t>UUU</t>
  </si>
  <si>
    <t>VAK</t>
  </si>
  <si>
    <t>VCT</t>
  </si>
  <si>
    <t>VCV</t>
  </si>
  <si>
    <t>VDZ</t>
  </si>
  <si>
    <t>VGT</t>
  </si>
  <si>
    <t>VIS</t>
  </si>
  <si>
    <t>VLD</t>
  </si>
  <si>
    <t>VPS</t>
  </si>
  <si>
    <t>VPZ</t>
  </si>
  <si>
    <t>VQQ</t>
  </si>
  <si>
    <t>VQS</t>
  </si>
  <si>
    <t>VRB</t>
  </si>
  <si>
    <t>WBB</t>
  </si>
  <si>
    <t>WDG</t>
  </si>
  <si>
    <t>WLK</t>
  </si>
  <si>
    <t>WNA</t>
  </si>
  <si>
    <t>WRG</t>
  </si>
  <si>
    <t>WRL</t>
  </si>
  <si>
    <t>WST</t>
  </si>
  <si>
    <t>WTK</t>
  </si>
  <si>
    <t>WWD</t>
  </si>
  <si>
    <t>WYS</t>
  </si>
  <si>
    <t>X44</t>
  </si>
  <si>
    <t>X95</t>
  </si>
  <si>
    <t>XNA</t>
  </si>
  <si>
    <t>YAK</t>
  </si>
  <si>
    <t>YKM</t>
  </si>
  <si>
    <t>YKN</t>
  </si>
  <si>
    <t>YNG</t>
  </si>
  <si>
    <t>YUM</t>
  </si>
  <si>
    <t>Z09</t>
  </si>
  <si>
    <t>Model</t>
  </si>
  <si>
    <t>eXaminer 3DX6700</t>
  </si>
  <si>
    <t>eXaminer 3DX-ES</t>
  </si>
  <si>
    <t>eXaminer 6600</t>
  </si>
  <si>
    <t>CTX-5800</t>
  </si>
  <si>
    <t>CTX-9800</t>
  </si>
  <si>
    <t>CT-80DR</t>
  </si>
  <si>
    <t>CT-80DR+</t>
  </si>
  <si>
    <t>SECTION II: Airport Project Information</t>
  </si>
  <si>
    <r>
      <t>SECTION III: Equipment/ Task Requested</t>
    </r>
    <r>
      <rPr>
        <sz val="12"/>
        <rFont val="Times New Roman"/>
        <family val="1"/>
      </rPr>
      <t/>
    </r>
  </si>
  <si>
    <r>
      <t xml:space="preserve">Other Direct Costs: </t>
    </r>
    <r>
      <rPr>
        <sz val="11"/>
        <rFont val="Calibri"/>
        <family val="2"/>
        <scheme val="minor"/>
      </rPr>
      <t>Specify in Section</t>
    </r>
    <r>
      <rPr>
        <sz val="11"/>
        <color theme="1"/>
        <rFont val="Calibri"/>
        <family val="2"/>
        <scheme val="minor"/>
      </rPr>
      <t xml:space="preserve"> IV below</t>
    </r>
  </si>
  <si>
    <t>Other Direct Costs: Specify in Section IV below (CLIN 0001)</t>
  </si>
  <si>
    <r>
      <t xml:space="preserve">*Expedited Request? </t>
    </r>
    <r>
      <rPr>
        <sz val="12"/>
        <rFont val="Times New Roman"/>
        <family val="1"/>
      </rPr>
      <t>(Do not select)</t>
    </r>
  </si>
  <si>
    <t>Reveal Model</t>
  </si>
  <si>
    <t xml:space="preserve">Date Submitted* </t>
  </si>
  <si>
    <r>
      <rPr>
        <b/>
        <sz val="12"/>
        <rFont val="Times New Roman"/>
        <family val="1"/>
      </rPr>
      <t>OEM (Select)</t>
    </r>
    <r>
      <rPr>
        <b/>
        <sz val="12"/>
        <color rgb="FFFF0000"/>
        <rFont val="Times New Roman"/>
        <family val="1"/>
      </rPr>
      <t/>
    </r>
  </si>
  <si>
    <t>Configuration Type</t>
  </si>
  <si>
    <t>If this box turns red, then the number of days to procure the requested items is less than the final due date and will need Branch Manager approval.</t>
  </si>
  <si>
    <t>Please type your name here</t>
  </si>
  <si>
    <r>
      <rPr>
        <b/>
        <sz val="20"/>
        <color theme="0"/>
        <rFont val="Times New Roman"/>
        <family val="1"/>
      </rPr>
      <t>Acquisitions Requirements Order Worksheet: Instructions</t>
    </r>
    <r>
      <rPr>
        <sz val="14"/>
        <color theme="0"/>
        <rFont val="Times New Roman"/>
        <family val="1"/>
      </rPr>
      <t xml:space="preserve">  </t>
    </r>
  </si>
  <si>
    <r>
      <rPr>
        <i/>
        <sz val="12"/>
        <rFont val="Times New Roman"/>
        <family val="1"/>
      </rPr>
      <t>Today's date, format:</t>
    </r>
    <r>
      <rPr>
        <sz val="12"/>
        <rFont val="Times New Roman"/>
        <family val="1"/>
      </rPr>
      <t xml:space="preserve"> MM/DD/YYYY</t>
    </r>
  </si>
  <si>
    <t>Please type your e-mail address here</t>
  </si>
  <si>
    <t>Please type your phone contact here</t>
  </si>
  <si>
    <t>Select Configuration Type from dropdown</t>
  </si>
  <si>
    <t>Select OEM from dropdown (Configuration Type must be chosen first)</t>
  </si>
  <si>
    <t>Select Model from dropdown
(Configuration and OEM must be chose first) (Multiple model types require multiple forms)</t>
  </si>
  <si>
    <t>This will auto-populate with your assigned OEM COR based on your request type</t>
  </si>
  <si>
    <r>
      <rPr>
        <i/>
        <sz val="12"/>
        <rFont val="Times New Roman"/>
        <family val="1"/>
      </rPr>
      <t>(Only necessary when form shows red for expedited requests)</t>
    </r>
    <r>
      <rPr>
        <b/>
        <sz val="12"/>
        <rFont val="Times New Roman"/>
        <family val="1"/>
      </rPr>
      <t xml:space="preserve">
Requestor's Branch Manager</t>
    </r>
  </si>
  <si>
    <r>
      <t xml:space="preserve">All boxes filled in this shade of green are to be completed by the Federal Project Manager and submitted to the appropriate OEM COR for processing. Cells on this tab reflect 
</t>
    </r>
    <r>
      <rPr>
        <i/>
        <sz val="12"/>
        <rFont val="Times New Roman"/>
        <family val="1"/>
      </rPr>
      <t>(If you run into any problems or have questions, please contact the appropriate OEM COR for assistance)</t>
    </r>
  </si>
  <si>
    <r>
      <rPr>
        <i/>
        <sz val="12"/>
        <color theme="1"/>
        <rFont val="Times New Roman"/>
        <family val="1"/>
      </rPr>
      <t>Requested pickup/service for project date,
 OEM does not provide shipping, format:</t>
    </r>
    <r>
      <rPr>
        <sz val="12"/>
        <color theme="1"/>
        <rFont val="Times New Roman"/>
        <family val="1"/>
      </rPr>
      <t xml:space="preserve"> MM/DD/YYYY</t>
    </r>
  </si>
  <si>
    <t>Select number of tasks/ items for project</t>
  </si>
  <si>
    <r>
      <rPr>
        <i/>
        <sz val="12"/>
        <rFont val="Times New Roman"/>
        <family val="1"/>
      </rPr>
      <t>Box to the right will auto-populate with days needed for production of selected Task/ Item to assist in schedule creation</t>
    </r>
    <r>
      <rPr>
        <b/>
        <sz val="12"/>
        <rFont val="Times New Roman"/>
        <family val="1"/>
      </rPr>
      <t xml:space="preserve">
OEM Lead Time: </t>
    </r>
    <r>
      <rPr>
        <sz val="12"/>
        <rFont val="Times New Roman"/>
        <family val="1"/>
      </rPr>
      <t>Do not select</t>
    </r>
  </si>
  <si>
    <t>Select Task/ Item from dropdown - Additional details maybe prompted for in Red Text, please respond appropriately in space provided at the bottom in Section IV
(Configuration and OEM must be chosen first)</t>
  </si>
  <si>
    <t>Select Airport Code from dropdown, if applicable</t>
  </si>
  <si>
    <t>Please type the delivery address
(Reminder: shipping is the responsibility of the Federal Project Manager)</t>
  </si>
  <si>
    <t>Please type project name as shown in IMS here</t>
  </si>
  <si>
    <t>Please type ReMAG number here</t>
  </si>
  <si>
    <r>
      <rPr>
        <i/>
        <sz val="12"/>
        <rFont val="Times New Roman"/>
        <family val="1"/>
      </rPr>
      <t>Date of signature, format</t>
    </r>
    <r>
      <rPr>
        <sz val="12"/>
        <rFont val="Times New Roman"/>
        <family val="1"/>
      </rPr>
      <t>: MM/DD/YYYY</t>
    </r>
  </si>
  <si>
    <r>
      <rPr>
        <i/>
        <sz val="12"/>
        <rFont val="Times New Roman"/>
        <family val="1"/>
      </rPr>
      <t>Please type or sign approving Branch Manager's name here:</t>
    </r>
    <r>
      <rPr>
        <sz val="12"/>
        <rFont val="Times New Roman"/>
        <family val="1"/>
      </rPr>
      <t xml:space="preserve">
Signature</t>
    </r>
  </si>
  <si>
    <t>Same as Task/ Item #1</t>
  </si>
  <si>
    <t>Diane Reid, Diane.Reid@tsa.dhs.gov, 571-227-2293</t>
  </si>
  <si>
    <t>Other Direct Costs: Specify in Section IV below</t>
  </si>
  <si>
    <t>MSEDS (1-20 unit network)</t>
  </si>
  <si>
    <t>MSEDS (1-20 unit network) (CLIN 0010A)</t>
  </si>
  <si>
    <t>MSEDS (21-30 unit network)</t>
  </si>
  <si>
    <t>MSEDS (21-30 unit network) (CLIN 0010B)</t>
  </si>
  <si>
    <t>MSEDS (31-40 unit network)</t>
  </si>
  <si>
    <t>MSEDS (31-40 unit network) (CLIN 0010C)</t>
  </si>
  <si>
    <t>MSEDS (41+ unit network)</t>
  </si>
  <si>
    <t>MSEDS (41+ unit network) (CLIN 0010D)</t>
  </si>
  <si>
    <t>State of Washington - MSEDS tax (1-20 unit network)</t>
  </si>
  <si>
    <t>State of Washington - MSEDS tax (21-30 unit network)</t>
  </si>
  <si>
    <t>State of Washington - MSEDS tax (31-40 unit network)</t>
  </si>
  <si>
    <t>State of Washington - MSEDS tax (41+ unit network)</t>
  </si>
  <si>
    <t>L3_MSEDS_P&amp;I_70T04019D9CAP1049</t>
  </si>
  <si>
    <t>HSTS04-12-D-CT1173 DO 84</t>
  </si>
  <si>
    <t>HSTS04-12-D-CT1200 DO 71</t>
  </si>
  <si>
    <t>HSTS04-12-D-CT1200 DO 78</t>
  </si>
  <si>
    <t>HSTS04-12-D-CT1200 DO 80</t>
  </si>
  <si>
    <t>HSTS04-12-D-CT1200 DO 82</t>
  </si>
  <si>
    <t>HSTS04-12-D-CT1200 DO 83</t>
  </si>
  <si>
    <t>HSTS04-12-D-CT1200 DO 84</t>
  </si>
  <si>
    <t>HSTS04-17-C-CT1070 Competition</t>
  </si>
  <si>
    <t>HSTS04-17-D-CT1087 TO 3</t>
  </si>
  <si>
    <t>(1) Requestor Name</t>
  </si>
  <si>
    <r>
      <t xml:space="preserve">(2) Required </t>
    </r>
    <r>
      <rPr>
        <b/>
        <sz val="12"/>
        <rFont val="Times New Roman"/>
        <family val="1"/>
      </rPr>
      <t xml:space="preserve">Date Submitted* </t>
    </r>
  </si>
  <si>
    <t>(3) Requestor Email</t>
  </si>
  <si>
    <t>(4) Requestor Phone</t>
  </si>
  <si>
    <r>
      <t xml:space="preserve">(6) Required </t>
    </r>
    <r>
      <rPr>
        <b/>
        <sz val="12"/>
        <rFont val="Times New Roman"/>
        <family val="1"/>
      </rPr>
      <t>OEM (Select)</t>
    </r>
    <r>
      <rPr>
        <b/>
        <sz val="12"/>
        <color rgb="FFFF0000"/>
        <rFont val="Times New Roman"/>
        <family val="1"/>
      </rPr>
      <t/>
    </r>
  </si>
  <si>
    <t>(7) Model</t>
  </si>
  <si>
    <t>(9) IMS Airport Project Name 
(if applicable)</t>
  </si>
  <si>
    <r>
      <t xml:space="preserve">(5) </t>
    </r>
    <r>
      <rPr>
        <b/>
        <sz val="12"/>
        <color rgb="FFFF0000"/>
        <rFont val="Times New Roman"/>
        <family val="1"/>
      </rPr>
      <t xml:space="preserve">Required </t>
    </r>
    <r>
      <rPr>
        <b/>
        <sz val="12"/>
        <rFont val="Times New Roman"/>
        <family val="1"/>
      </rPr>
      <t>Configuration Type (select)</t>
    </r>
  </si>
  <si>
    <t>(10 Airport Delivery Address</t>
  </si>
  <si>
    <t>(11) ReMAG number (if applicable)</t>
  </si>
  <si>
    <t>(8) Airport Code (Select)</t>
  </si>
  <si>
    <t>70T04018D9CAP1112 DO 1</t>
  </si>
  <si>
    <t>70T04018D9CAP1048 DO 2</t>
  </si>
  <si>
    <t>70T04018D9CAP1065 DO 3</t>
  </si>
  <si>
    <r>
      <t xml:space="preserve">AROW Number 
</t>
    </r>
    <r>
      <rPr>
        <sz val="11"/>
        <color rgb="FFFF0000"/>
        <rFont val="Times New Roman"/>
        <family val="1"/>
      </rPr>
      <t>[Assigned by COR post-submission]</t>
    </r>
  </si>
  <si>
    <t>Various - See Notes Section</t>
  </si>
  <si>
    <t>Reduced Speed Explosive Detection System (CLIN 0010)</t>
  </si>
  <si>
    <t>RSEDS Installation &amp; Site Acceptance Testing (SAT) (CLIN 0004)</t>
  </si>
  <si>
    <t>Delivery Date to Airport</t>
  </si>
  <si>
    <t xml:space="preserve">Space for additional information for the request; if you need additional task/items, please create a new form </t>
  </si>
  <si>
    <r>
      <t xml:space="preserve">Delivery Date to Airport
</t>
    </r>
    <r>
      <rPr>
        <i/>
        <sz val="12"/>
        <rFont val="Times New Roman"/>
        <family val="1"/>
      </rPr>
      <t>(Will flag red for expedited requests)</t>
    </r>
  </si>
  <si>
    <t xml:space="preserve">*Expedited Request? </t>
  </si>
  <si>
    <t xml:space="preserve">(8) Airport Code </t>
  </si>
  <si>
    <t>OEM Lead Time:</t>
  </si>
  <si>
    <t>2.   Task/ Item Description</t>
  </si>
  <si>
    <t>3.   Task/ Item Description</t>
  </si>
  <si>
    <t>4.   Task/ Item Description</t>
  </si>
  <si>
    <t xml:space="preserve">5.   Task/ Item Description </t>
  </si>
  <si>
    <t>6.   Task/ Item Description</t>
  </si>
  <si>
    <t>7.   Task/ Item Description</t>
  </si>
  <si>
    <t xml:space="preserve">8.   Task/ Item Description </t>
  </si>
  <si>
    <t>9.   Task/ Item Description</t>
  </si>
  <si>
    <t xml:space="preserve">10.   Task/ Item Description </t>
  </si>
  <si>
    <t xml:space="preserve">11.   Task/ Item Description </t>
  </si>
  <si>
    <t>12.   Task/ Item Description</t>
  </si>
  <si>
    <t xml:space="preserve">13.   Task/ Item Description </t>
  </si>
  <si>
    <t xml:space="preserve">14.   Task/ Item Description </t>
  </si>
  <si>
    <t>15.   Task/ Item Description</t>
  </si>
  <si>
    <t xml:space="preserve">20.   Task/ Item Description </t>
  </si>
  <si>
    <t xml:space="preserve">19.   Task/ Item Description </t>
  </si>
  <si>
    <t xml:space="preserve">18.   Task/ Item Description </t>
  </si>
  <si>
    <t xml:space="preserve">17.   Task/ Item Description </t>
  </si>
  <si>
    <t>16.   Task/ Item Description</t>
  </si>
  <si>
    <t>Inline Pre-Planning (up to 4 EDS) (CLIN 0003A)</t>
  </si>
  <si>
    <t>BHS Integration (CLIN 0005)</t>
  </si>
  <si>
    <t>Networking (1-3 Units) (CLIN 0006A)</t>
  </si>
  <si>
    <t>Networking (4-8 Units) (CLIN 0006B)</t>
  </si>
  <si>
    <t>Networking (9+ Units) (CLIN 0006C)</t>
  </si>
  <si>
    <t>ISAT Support (CLIN 0007)</t>
  </si>
  <si>
    <t>30-Day Run-In (CLIN 0009)</t>
  </si>
  <si>
    <t>Secondary Viewing Station (CLIN 0012)</t>
  </si>
  <si>
    <t>Bar Code Reader (CLIN 0014)</t>
  </si>
  <si>
    <t>Printer (CLIN 0015)</t>
  </si>
  <si>
    <t>Multiplex Network Solution - Up to 8 RSEDS (CLIN 0016)</t>
  </si>
  <si>
    <t>Master Control Station (CLIN 0017)</t>
  </si>
  <si>
    <t>Uninterruptible Power Supply (CLIN 0018)</t>
  </si>
  <si>
    <t>Seismic Anchors - Standard (CLIN 0021A)</t>
  </si>
  <si>
    <t>Seismic Anchors - with Pedestals (CLIN 0021B)</t>
  </si>
  <si>
    <t>Extended Length (XL) Conveyor Kit (CLIN 0023)</t>
  </si>
  <si>
    <t>Air Conditioner (CLIN 0024)</t>
  </si>
  <si>
    <t>Scanner Pedestal (CLIN 0025)</t>
  </si>
  <si>
    <t>Conveyor Pedestal (CLIN 0026)</t>
  </si>
  <si>
    <t>XL Conveyor Pedestal (CLIN 0027)</t>
  </si>
  <si>
    <t>DR+ Extension Pedestal (CLIN 0028)</t>
  </si>
  <si>
    <t>Air Conditioner Pedestal (CLIN 0029)</t>
  </si>
  <si>
    <t>Slope Conveyor (Infeed/Outfeed) (CLIN 0031)</t>
  </si>
  <si>
    <t>Emergency Stop Key Switch (Estop) (CLIN 0032)</t>
  </si>
  <si>
    <t>Inline Pre-Planning (up to 4 EDS)</t>
  </si>
  <si>
    <t>Stand Alone Site Visits (up to 4 EDS) (CLIN 0003B)</t>
  </si>
  <si>
    <t>Stand Alone Site Visits (up to 4 EDS)</t>
  </si>
  <si>
    <t>RSEDS Installation &amp; Site Acceptance Testing (SAT)</t>
  </si>
  <si>
    <t>BHS Integration</t>
  </si>
  <si>
    <t>Networking (1-3 Units)</t>
  </si>
  <si>
    <t>Networking (4-8 Units)</t>
  </si>
  <si>
    <t xml:space="preserve">ISAt Support </t>
  </si>
  <si>
    <t>30-Day Run-In</t>
  </si>
  <si>
    <t>Reduced Speed Explosive Detection System</t>
  </si>
  <si>
    <t xml:space="preserve">Primary Viewing Station </t>
  </si>
  <si>
    <t xml:space="preserve">Secondary Viewing Station </t>
  </si>
  <si>
    <t>Bar Code Reader</t>
  </si>
  <si>
    <t>Printer</t>
  </si>
  <si>
    <t>Multiplex Network Solution - Up to 8 RSEDS</t>
  </si>
  <si>
    <t>Seismic Anchors - Standard</t>
  </si>
  <si>
    <t>Seismic Anchors - with Pedestals</t>
  </si>
  <si>
    <t>Extended Length (XL) Conveyor Kit</t>
  </si>
  <si>
    <t>Air Conditioner</t>
  </si>
  <si>
    <t>Scanner Pedestal</t>
  </si>
  <si>
    <t>Conveyor Pedestal</t>
  </si>
  <si>
    <t>XL Conveyor Pedestal</t>
  </si>
  <si>
    <t>DR+ Extension Pedestal</t>
  </si>
  <si>
    <t>Air Conditioner Pedestal</t>
  </si>
  <si>
    <t>Flat Conveyor (Infeed/Outfeed) (CLIN 0030)</t>
  </si>
  <si>
    <t>Flat Conveyor (Infeed/Outfeed)</t>
  </si>
  <si>
    <t>Slope Conveyor (Infeed/Outfeed)</t>
  </si>
  <si>
    <t>Emergency Stop Key Switch (Estop)</t>
  </si>
  <si>
    <t>CLIN 0032</t>
  </si>
  <si>
    <t>CLIN 0003A</t>
  </si>
  <si>
    <t>CLIN 0003B</t>
  </si>
  <si>
    <t>CLIN 0006A</t>
  </si>
  <si>
    <t>CLIN 0006B</t>
  </si>
  <si>
    <t>CLIN 0006C</t>
  </si>
  <si>
    <t>CLIN 0021A</t>
  </si>
  <si>
    <t>CLIN 0021B</t>
  </si>
  <si>
    <t>CLIN 0023</t>
  </si>
  <si>
    <t>CLIN 0024</t>
  </si>
  <si>
    <t>CLIN 0025</t>
  </si>
  <si>
    <t>CLIN 0026</t>
  </si>
  <si>
    <t>CLIN 0027</t>
  </si>
  <si>
    <t>CLIN 0028</t>
  </si>
  <si>
    <t>CLIN 0029</t>
  </si>
  <si>
    <t>CLIN 0030</t>
  </si>
  <si>
    <t>CLIN 0031</t>
  </si>
  <si>
    <t>70T04019D9CAP1067 DO 1</t>
  </si>
  <si>
    <t>3DX-ES MSEDS (1-20 Units) (CLIN 0010AA)</t>
  </si>
  <si>
    <t>3DX-ES MSEDS (21-30 Units) (CLIN 0010BB)</t>
  </si>
  <si>
    <t>3DX-ES MSEDS (31-40 Units (CLIN 0010CC)</t>
  </si>
  <si>
    <t>3DX-ES MSEDS (41+ Units) (CLIN 0010DD)</t>
  </si>
  <si>
    <t>3DX-ES MSEDS (1-20 Units)</t>
  </si>
  <si>
    <t xml:space="preserve">3DX-ES MSEDS (21-30 Units) </t>
  </si>
  <si>
    <t xml:space="preserve">3DX-ES MSEDS (31-40 Units </t>
  </si>
  <si>
    <t>3DX-ES MSEDS (41+ Units)</t>
  </si>
  <si>
    <t>SECTION IV: Additional information (if applicable</t>
  </si>
  <si>
    <t>Networking (9+ Units)</t>
  </si>
  <si>
    <t>Reveal_RSEDS_P&amp;I_70T04020D9CAP1022</t>
  </si>
  <si>
    <t>HSTS04-17-J-CT1095</t>
  </si>
  <si>
    <t xml:space="preserve">70T04018F5CAP1120 </t>
  </si>
  <si>
    <t>70T04018F5CAP1058</t>
  </si>
  <si>
    <t>70T04019F5CAP1118</t>
  </si>
  <si>
    <t>70T04020F5CAP1024</t>
  </si>
  <si>
    <t xml:space="preserve">Requests for EDS-related equipment must be completed by the Federal project lead and submitted to the CBT Planning and Procurement Branch Portfolio Manager. 
Allow for 10 business days for TSA processing.
Individual items have specific lead times. Expedited requests require Branch Manager approval and signature. </t>
  </si>
  <si>
    <r>
      <t xml:space="preserve">All forms require at least </t>
    </r>
    <r>
      <rPr>
        <sz val="11"/>
        <color rgb="FFFF0000"/>
        <rFont val="Times New Roman"/>
        <family val="1"/>
      </rPr>
      <t xml:space="preserve"># </t>
    </r>
    <r>
      <rPr>
        <sz val="11"/>
        <rFont val="Times New Roman"/>
        <family val="1"/>
      </rPr>
      <t>days to be fully processed by P&amp;P and C&amp;P, additional days for OEM production may arise depend on the nature of the request. The Federal Project Manager is responsible for tracking schedules.</t>
    </r>
  </si>
  <si>
    <t xml:space="preserve">2.   Task/ Item Description </t>
  </si>
  <si>
    <t>10.   Task/ Item Description</t>
  </si>
  <si>
    <t>11.   Task/ Item Description</t>
  </si>
  <si>
    <t>18.   Task/ Item Description</t>
  </si>
  <si>
    <t xml:space="preserve">OEM Lead Time: </t>
  </si>
  <si>
    <t>19.   Task/ Item Description</t>
  </si>
  <si>
    <t>20.   Task/ Item Description</t>
  </si>
  <si>
    <t>OEM COR Signature</t>
  </si>
  <si>
    <t>OEM PM Signature</t>
  </si>
  <si>
    <t>Per Airport</t>
  </si>
  <si>
    <t>is text</t>
  </si>
  <si>
    <r>
      <t>Construction MUX required?</t>
    </r>
    <r>
      <rPr>
        <b/>
        <sz val="12"/>
        <color rgb="FFFF0000"/>
        <rFont val="Times New Roman"/>
        <family val="1"/>
      </rPr>
      <t xml:space="preserve"> (Type 1 - Smiths ONLY)</t>
    </r>
  </si>
  <si>
    <t>Communication Card Type</t>
  </si>
  <si>
    <t>Ethernet</t>
  </si>
  <si>
    <t>ModBus TCP/IP Module</t>
  </si>
  <si>
    <t>ProfiBus Scanner Module</t>
  </si>
  <si>
    <r>
      <t>Construction MUX required?</t>
    </r>
    <r>
      <rPr>
        <b/>
        <sz val="12"/>
        <color rgb="FFFF0000"/>
        <rFont val="Times New Roman"/>
        <family val="1"/>
      </rPr>
      <t xml:space="preserve"> </t>
    </r>
    <r>
      <rPr>
        <b/>
        <i/>
        <sz val="12"/>
        <color rgb="FFFF0000"/>
        <rFont val="Times New Roman"/>
        <family val="1"/>
      </rPr>
      <t>(Type 1 - Smiths ONLY)</t>
    </r>
  </si>
  <si>
    <t>Construction Mux?</t>
  </si>
  <si>
    <t>Yes</t>
  </si>
  <si>
    <t>No</t>
  </si>
  <si>
    <t>Smiths Type 1</t>
  </si>
  <si>
    <t>Smiths Type 2</t>
  </si>
  <si>
    <t>70T04020F5CAP1101 DO 3</t>
  </si>
  <si>
    <t>70T04020Q5CAP1137 DO 4</t>
  </si>
  <si>
    <t>Reduced Size Explosive Detection System Scanner</t>
  </si>
  <si>
    <t>SD_RSEDS_P&amp;I_70T04018C9CAP1094</t>
  </si>
  <si>
    <t>Optional</t>
  </si>
  <si>
    <t>Reduced Size Explosive Detection Systems Scanner</t>
  </si>
  <si>
    <t>Primary Viewing Station (PVS) Base</t>
  </si>
  <si>
    <t xml:space="preserve">Base </t>
  </si>
  <si>
    <t>SVS Mounting Kit(SVS)</t>
  </si>
  <si>
    <t>Reserved</t>
  </si>
  <si>
    <t>Seismic Anchor</t>
  </si>
  <si>
    <t>Pre Installation Support, Site Surveys</t>
  </si>
  <si>
    <t>RSEDS Equipment Installation</t>
  </si>
  <si>
    <t>Operational Run-In Support</t>
  </si>
  <si>
    <t>Training Classes</t>
  </si>
  <si>
    <t>Equipment Warranty</t>
  </si>
  <si>
    <t>2-Year Extended Equipment Warranty SOW</t>
  </si>
  <si>
    <t>70T04018C9CAP1094</t>
  </si>
  <si>
    <t>Smiths Type 2 Delivery Orders</t>
  </si>
  <si>
    <t>Smiths Type 2 CLIN</t>
  </si>
  <si>
    <t>CLIN 0001B</t>
  </si>
  <si>
    <t>CLIN 0001A</t>
  </si>
  <si>
    <t>Conveyor Entrance - Flat</t>
  </si>
  <si>
    <t>Conveyor Entrance - Slope</t>
  </si>
  <si>
    <t>Conveyor Exit - Flat</t>
  </si>
  <si>
    <t>CLIN 0002B</t>
  </si>
  <si>
    <t>CLIN 003B</t>
  </si>
  <si>
    <t>CLIN 0004B</t>
  </si>
  <si>
    <t>CLIN 0005B</t>
  </si>
  <si>
    <t>CLIN 0008B</t>
  </si>
  <si>
    <t>CLIN 0009B</t>
  </si>
  <si>
    <t>CLIN 0012B</t>
  </si>
  <si>
    <t>CLIN 0013B</t>
  </si>
  <si>
    <t xml:space="preserve">1.   Task/ Item Description </t>
  </si>
  <si>
    <r>
      <t>Communication Card Type?</t>
    </r>
    <r>
      <rPr>
        <b/>
        <i/>
        <sz val="12"/>
        <rFont val="Times New Roman"/>
        <family val="1"/>
      </rPr>
      <t xml:space="preserve"> </t>
    </r>
    <r>
      <rPr>
        <b/>
        <i/>
        <sz val="12"/>
        <color rgb="FFFF0000"/>
        <rFont val="Times New Roman"/>
        <family val="1"/>
      </rPr>
      <t>(Type 1 ONLY)</t>
    </r>
  </si>
  <si>
    <t>70T04021F7672N013 DO 5</t>
  </si>
  <si>
    <t>70T04021F7672N007 DO 4</t>
  </si>
  <si>
    <t>Communication Card Type? (Type 1 ONLY)</t>
  </si>
  <si>
    <t>70T04022F7672N012 DO 5</t>
  </si>
  <si>
    <t>70T04022F7672N007 DO 6</t>
  </si>
  <si>
    <t>Leidos</t>
  </si>
  <si>
    <t>Leidos Delivery Orders</t>
  </si>
  <si>
    <t>Leidos Model</t>
  </si>
  <si>
    <t>X016A1</t>
  </si>
  <si>
    <t>X016B1</t>
  </si>
  <si>
    <t>X016BC1</t>
  </si>
  <si>
    <t>X033</t>
  </si>
  <si>
    <t>X034A</t>
  </si>
  <si>
    <t>X034B</t>
  </si>
  <si>
    <t>Network Equipment Package (1-3 EDS)</t>
  </si>
  <si>
    <t>Network Equipment Package (4-6 EDS)</t>
  </si>
  <si>
    <t>Network Equipment Package (7-10 EDS)</t>
  </si>
  <si>
    <t>Enhanced Speed Upgrade Kit (ES-Kit)</t>
  </si>
  <si>
    <t>Enhanced Speed Upgrade Kit (ES-Kit) Installation -Single</t>
  </si>
  <si>
    <t>Enhanced Speed Upgrade Kit (ES-Kit) Installation -Multiple</t>
  </si>
  <si>
    <t>Leidos CLIN</t>
  </si>
  <si>
    <t>BZN</t>
  </si>
  <si>
    <t>Paula Brathwaite, paula.brathwaite@tsa.dhs.gov, 571-227-2170</t>
  </si>
  <si>
    <t>CLIN 0018E</t>
  </si>
  <si>
    <t xml:space="preserve">4.   Task/ Item Description </t>
  </si>
  <si>
    <t>5.   Task/ Item Description</t>
  </si>
  <si>
    <t xml:space="preserve">6.   Task/ Item Description </t>
  </si>
  <si>
    <t>8.   Task/ Item Description</t>
  </si>
  <si>
    <t xml:space="preserve">9.   Task/ Item Description </t>
  </si>
  <si>
    <t xml:space="preserve">14.  Task/ Item Description </t>
  </si>
  <si>
    <t xml:space="preserve">15.   Task/ Item Description </t>
  </si>
  <si>
    <t xml:space="preserve">16.   Task/ Item Description </t>
  </si>
  <si>
    <t>17.   Task/ Item Description</t>
  </si>
  <si>
    <t>70T04023F7672N025 DO 7</t>
  </si>
  <si>
    <t>70T04023F7672N029 DO 6</t>
  </si>
  <si>
    <t>TDL-FY24-00XX</t>
  </si>
  <si>
    <t>ProfiNet Module</t>
  </si>
  <si>
    <t>70T04020C9CAP1112 FY20 Competition</t>
  </si>
  <si>
    <t>70T04021C7672N003 FY21 Competition</t>
  </si>
  <si>
    <t>70T040247672N008 DO7</t>
  </si>
  <si>
    <t>HSTS04-17-C-CT1069 Competition</t>
  </si>
  <si>
    <t>Uninterruptable Power Supply (UPS) (Q-LS120 kVA)</t>
  </si>
  <si>
    <t>Uninterruptable Power Supply (UPS) (Q-LS240 kVA)</t>
  </si>
  <si>
    <t>Uninterruptable Power Supply (UPS) (Q-LS400 kVA)</t>
  </si>
  <si>
    <t>Uninterruptable Power Supply (UPS) (Mix of multiple UPS)</t>
  </si>
  <si>
    <t>Uninterruptable Power Supply (UPS) (40kVA)</t>
  </si>
  <si>
    <t>Uninterruptable Power Supply (UPS) (80kVA)</t>
  </si>
  <si>
    <t>Uninterruptable Power Supply (UPS) (160kVA)</t>
  </si>
  <si>
    <t>Uninterruptable Power Supply (UPS) (20kVA)</t>
  </si>
  <si>
    <t>Uninterruptable Power Supply (UPS) (50kVA</t>
  </si>
  <si>
    <t>Primary Viewing Station (CLIN 0011)</t>
  </si>
  <si>
    <t>Uninterruptible Power Supply</t>
  </si>
  <si>
    <t>CLIN 0011B</t>
  </si>
  <si>
    <t>70T04024F7672N019 DO 8</t>
  </si>
  <si>
    <t>Acquisitions Requirements Order Worksheet: Version 2.2</t>
  </si>
  <si>
    <t xml:space="preserve">(2) Date Submitted </t>
  </si>
  <si>
    <t xml:space="preserve">(5) Configuration Type </t>
  </si>
  <si>
    <t xml:space="preserve">(6) OEM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</si>
</sst>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DO&quot;\ 0#"/>
  </numFmts>
  <fonts count="31" x14ac:knownFonts="1">
    <font>
      <sz val="11"/>
      <color theme="1"/>
      <name val="Calibri"/>
      <family val="2"/>
      <scheme val="minor"/>
    </font>
    <font>
      <sz val="11"/>
      <color theme="1"/>
      <name val="Calibri"/>
      <family val="2"/>
      <scheme val="minor"/>
    </font>
    <font>
      <b/>
      <sz val="12"/>
      <color rgb="FFB0B1B3"/>
      <name val="Times New Roman"/>
      <family val="1"/>
    </font>
    <font>
      <sz val="14"/>
      <color theme="0"/>
      <name val="Times New Roman"/>
      <family val="1"/>
    </font>
    <font>
      <b/>
      <sz val="20"/>
      <color theme="0"/>
      <name val="Times New Roman"/>
      <family val="1"/>
    </font>
    <font>
      <sz val="12"/>
      <color indexed="9"/>
      <name val="Times New Roman"/>
      <family val="1"/>
    </font>
    <font>
      <sz val="10"/>
      <name val="Arial"/>
      <family val="2"/>
    </font>
    <font>
      <sz val="10"/>
      <name val="Times New Roman"/>
      <family val="1"/>
    </font>
    <font>
      <sz val="11"/>
      <name val="Times New Roman"/>
      <family val="1"/>
    </font>
    <font>
      <b/>
      <sz val="11"/>
      <name val="Times New Roman"/>
      <family val="1"/>
    </font>
    <font>
      <b/>
      <sz val="12"/>
      <name val="Times New Roman"/>
      <family val="1"/>
    </font>
    <font>
      <sz val="12"/>
      <name val="Times New Roman"/>
      <family val="1"/>
    </font>
    <font>
      <i/>
      <sz val="12"/>
      <name val="Times New Roman"/>
      <family val="1"/>
    </font>
    <font>
      <sz val="12"/>
      <color theme="1"/>
      <name val="Times New Roman"/>
      <family val="1"/>
    </font>
    <font>
      <sz val="10"/>
      <color rgb="FFFF0000"/>
      <name val="Times New Roman"/>
      <family val="1"/>
    </font>
    <font>
      <b/>
      <sz val="11"/>
      <color theme="1"/>
      <name val="Calibri"/>
      <family val="2"/>
      <scheme val="minor"/>
    </font>
    <font>
      <b/>
      <strike/>
      <sz val="12"/>
      <color theme="0"/>
      <name val="Times New Roman"/>
      <family val="1"/>
    </font>
    <font>
      <sz val="10"/>
      <color indexed="8"/>
      <name val="Arial"/>
      <family val="2"/>
    </font>
    <font>
      <sz val="11"/>
      <color indexed="8"/>
      <name val="Calibri"/>
      <family val="2"/>
    </font>
    <font>
      <b/>
      <sz val="12"/>
      <color rgb="FFFF0000"/>
      <name val="Times New Roman"/>
      <family val="1"/>
    </font>
    <font>
      <sz val="11"/>
      <color rgb="FFFF0000"/>
      <name val="Times New Roman"/>
      <family val="1"/>
    </font>
    <font>
      <sz val="10"/>
      <color theme="1"/>
      <name val="Calibri"/>
      <family val="2"/>
      <scheme val="minor"/>
    </font>
    <font>
      <sz val="11"/>
      <name val="Calibri"/>
      <family val="2"/>
      <scheme val="minor"/>
    </font>
    <font>
      <b/>
      <sz val="12"/>
      <color theme="0"/>
      <name val="Times New Roman"/>
      <family val="1"/>
    </font>
    <font>
      <i/>
      <sz val="12"/>
      <color theme="1"/>
      <name val="Times New Roman"/>
      <family val="1"/>
    </font>
    <font>
      <b/>
      <sz val="10"/>
      <name val="Times New Roman"/>
      <family val="1"/>
    </font>
    <font>
      <sz val="11"/>
      <color rgb="FF000000"/>
      <name val="Calibri"/>
      <family val="2"/>
    </font>
    <font>
      <b/>
      <i/>
      <sz val="12"/>
      <name val="Times New Roman"/>
      <family val="1"/>
    </font>
    <font>
      <b/>
      <i/>
      <sz val="12"/>
      <color rgb="FFFF0000"/>
      <name val="Times New Roman"/>
      <family val="1"/>
    </font>
    <font>
      <sz val="11"/>
      <color theme="1"/>
      <name val="Times New Roman"/>
      <family val="1"/>
    </font>
    <font>
      <u/>
      <sz val="11"/>
      <color theme="10"/>
      <name val="Calibri"/>
      <family val="2"/>
      <scheme val="minor"/>
    </font>
  </fonts>
  <fills count="15">
    <fill>
      <patternFill patternType="none"/>
    </fill>
    <fill>
      <patternFill patternType="gray125"/>
    </fill>
    <fill>
      <patternFill patternType="solid">
        <fgColor rgb="FF002F80"/>
        <bgColor indexed="64"/>
      </patternFill>
    </fill>
    <fill>
      <patternFill patternType="solid">
        <fgColor rgb="FFFFFF9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4" tint="0.79998168889431442"/>
        <bgColor theme="4" tint="0.79998168889431442"/>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rgb="FFFFFFFF"/>
        <bgColor indexed="64"/>
      </patternFill>
    </fill>
    <fill>
      <patternFill patternType="solid">
        <fgColor theme="9" tint="0.59999389629810485"/>
        <bgColor indexed="64"/>
      </patternFill>
    </fill>
    <fill>
      <patternFill patternType="solid">
        <fgColor theme="0"/>
        <bgColor indexed="64"/>
      </patternFill>
    </fill>
    <fill>
      <patternFill patternType="solid">
        <fgColor theme="0" tint="-0.34998626667073579"/>
        <bgColor indexed="64"/>
      </patternFill>
    </fill>
    <fill>
      <patternFill patternType="solid">
        <fgColor theme="5"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right style="thin">
        <color indexed="64"/>
      </right>
      <top/>
      <bottom/>
      <diagonal/>
    </border>
    <border>
      <left/>
      <right style="thin">
        <color indexed="64"/>
      </right>
      <top style="thin">
        <color indexed="64"/>
      </top>
      <bottom style="medium">
        <color indexed="64"/>
      </bottom>
      <diagonal/>
    </border>
    <border>
      <left style="thin">
        <color indexed="64"/>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0"/>
      </left>
      <right style="thin">
        <color theme="0"/>
      </right>
      <top style="thin">
        <color theme="0"/>
      </top>
      <bottom style="thin">
        <color theme="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22"/>
      </left>
      <right style="thin">
        <color indexed="22"/>
      </right>
      <top style="thin">
        <color indexed="22"/>
      </top>
      <bottom/>
      <diagonal/>
    </border>
    <border>
      <left/>
      <right/>
      <top style="thin">
        <color theme="4" tint="0.39997558519241921"/>
      </top>
      <bottom style="thin">
        <color theme="4" tint="0.39997558519241921"/>
      </bottom>
      <diagonal/>
    </border>
  </borders>
  <cellStyleXfs count="5">
    <xf numFmtId="0" fontId="0" fillId="0" borderId="0"/>
    <xf numFmtId="44" fontId="1" fillId="0" borderId="0" applyFont="0" applyFill="0" applyBorder="0" applyAlignment="0" applyProtection="0"/>
    <xf numFmtId="0" fontId="6" fillId="0" borderId="0"/>
    <xf numFmtId="0" fontId="17" fillId="0" borderId="0"/>
    <xf numFmtId="0" fontId="30" fillId="0" borderId="0" applyNumberFormat="0" applyFill="0" applyBorder="0" applyAlignment="0" applyProtection="0"/>
  </cellStyleXfs>
  <cellXfs count="177">
    <xf numFmtId="0" fontId="0" fillId="0" borderId="0" xfId="0"/>
    <xf numFmtId="0" fontId="7" fillId="0" borderId="0" xfId="2" applyFont="1"/>
    <xf numFmtId="0" fontId="7" fillId="0" borderId="5" xfId="2" applyFont="1" applyBorder="1"/>
    <xf numFmtId="0" fontId="14" fillId="0" borderId="0" xfId="2" applyFont="1"/>
    <xf numFmtId="0" fontId="7" fillId="0" borderId="0" xfId="2" applyFont="1" applyFill="1"/>
    <xf numFmtId="0" fontId="15" fillId="0" borderId="0" xfId="0" applyFont="1"/>
    <xf numFmtId="1" fontId="0" fillId="0" borderId="0" xfId="0" applyNumberFormat="1"/>
    <xf numFmtId="0" fontId="7" fillId="0" borderId="0" xfId="2" applyFont="1" applyBorder="1"/>
    <xf numFmtId="0" fontId="7" fillId="0" borderId="0" xfId="2" applyFont="1" applyFill="1" applyBorder="1"/>
    <xf numFmtId="0" fontId="10" fillId="5" borderId="1" xfId="2" applyFont="1" applyFill="1" applyBorder="1" applyAlignment="1">
      <alignment horizontal="left" vertical="center" wrapText="1"/>
    </xf>
    <xf numFmtId="0" fontId="11" fillId="0" borderId="9" xfId="2" applyFont="1" applyBorder="1" applyAlignment="1"/>
    <xf numFmtId="0" fontId="18" fillId="0" borderId="11" xfId="3" applyFont="1" applyFill="1" applyBorder="1" applyAlignment="1"/>
    <xf numFmtId="1" fontId="12" fillId="6" borderId="1" xfId="1" applyNumberFormat="1" applyFont="1" applyFill="1" applyBorder="1" applyAlignment="1">
      <alignment horizontal="right"/>
    </xf>
    <xf numFmtId="14" fontId="11" fillId="0" borderId="1" xfId="2" applyNumberFormat="1" applyFont="1" applyFill="1" applyBorder="1" applyAlignment="1">
      <alignment horizontal="left"/>
    </xf>
    <xf numFmtId="0" fontId="11" fillId="0" borderId="9" xfId="2" applyFont="1" applyFill="1" applyBorder="1" applyAlignment="1"/>
    <xf numFmtId="0" fontId="11" fillId="0" borderId="0" xfId="2" applyFont="1"/>
    <xf numFmtId="14" fontId="7" fillId="0" borderId="0" xfId="2" applyNumberFormat="1" applyFont="1"/>
    <xf numFmtId="0" fontId="10" fillId="5" borderId="1" xfId="0" applyFont="1" applyFill="1" applyBorder="1" applyAlignment="1">
      <alignment horizontal="right" wrapText="1"/>
    </xf>
    <xf numFmtId="0" fontId="10" fillId="5" borderId="1" xfId="2" applyFont="1" applyFill="1" applyBorder="1" applyAlignment="1">
      <alignment horizontal="right" vertical="center" wrapText="1"/>
    </xf>
    <xf numFmtId="0" fontId="10" fillId="0" borderId="1" xfId="2" applyFont="1" applyFill="1" applyBorder="1" applyAlignment="1">
      <alignment horizontal="left" vertical="center" wrapText="1"/>
    </xf>
    <xf numFmtId="0" fontId="10" fillId="0" borderId="1" xfId="0" applyFont="1" applyFill="1" applyBorder="1" applyAlignment="1">
      <alignment horizontal="right" wrapText="1"/>
    </xf>
    <xf numFmtId="0" fontId="10" fillId="0" borderId="1" xfId="2" applyFont="1" applyFill="1" applyBorder="1" applyAlignment="1">
      <alignment horizontal="right" vertical="center" wrapText="1"/>
    </xf>
    <xf numFmtId="0" fontId="7" fillId="0" borderId="12" xfId="2" applyFont="1" applyBorder="1"/>
    <xf numFmtId="0" fontId="7" fillId="0" borderId="14" xfId="2" applyFont="1" applyBorder="1"/>
    <xf numFmtId="0" fontId="10" fillId="0" borderId="1" xfId="2" applyFont="1" applyFill="1" applyBorder="1" applyAlignment="1">
      <alignment horizontal="right" vertical="center" wrapText="1" indent="3"/>
    </xf>
    <xf numFmtId="0" fontId="2" fillId="2" borderId="2" xfId="0" applyFont="1" applyFill="1" applyBorder="1" applyAlignment="1">
      <alignment horizontal="left" vertical="center" wrapText="1"/>
    </xf>
    <xf numFmtId="14" fontId="5" fillId="2" borderId="4" xfId="0" applyNumberFormat="1" applyFont="1" applyFill="1" applyBorder="1" applyAlignment="1">
      <alignment horizontal="right" wrapText="1"/>
    </xf>
    <xf numFmtId="164" fontId="18" fillId="0" borderId="0" xfId="3" applyNumberFormat="1" applyFont="1" applyFill="1" applyBorder="1" applyAlignment="1"/>
    <xf numFmtId="164" fontId="0" fillId="0" borderId="0" xfId="0" applyNumberFormat="1"/>
    <xf numFmtId="164" fontId="0" fillId="7" borderId="15" xfId="0" applyNumberFormat="1" applyFont="1" applyFill="1" applyBorder="1"/>
    <xf numFmtId="0" fontId="0" fillId="8" borderId="16" xfId="0" applyFont="1" applyFill="1" applyBorder="1"/>
    <xf numFmtId="0" fontId="10" fillId="5" borderId="1" xfId="2" applyFont="1" applyFill="1" applyBorder="1"/>
    <xf numFmtId="0" fontId="11" fillId="0" borderId="0" xfId="2" applyFont="1" applyFill="1" applyBorder="1" applyAlignment="1">
      <alignment horizontal="center" vertical="center" wrapText="1"/>
    </xf>
    <xf numFmtId="0" fontId="11" fillId="3" borderId="0" xfId="2" applyFont="1" applyFill="1" applyBorder="1" applyAlignment="1">
      <alignment horizontal="center" vertical="center" wrapText="1"/>
    </xf>
    <xf numFmtId="0" fontId="0" fillId="0" borderId="0" xfId="0" applyFont="1"/>
    <xf numFmtId="0" fontId="15" fillId="5" borderId="0" xfId="0" applyFont="1" applyFill="1" applyAlignment="1">
      <alignment wrapText="1"/>
    </xf>
    <xf numFmtId="0" fontId="0" fillId="0" borderId="0" xfId="0" applyAlignment="1">
      <alignment wrapText="1"/>
    </xf>
    <xf numFmtId="0" fontId="10" fillId="5" borderId="1" xfId="2" applyFont="1" applyFill="1" applyBorder="1" applyAlignment="1">
      <alignment horizontal="left" vertical="center"/>
    </xf>
    <xf numFmtId="0" fontId="21" fillId="10" borderId="17" xfId="0" applyFont="1" applyFill="1" applyBorder="1" applyAlignment="1">
      <alignment wrapText="1"/>
    </xf>
    <xf numFmtId="0" fontId="0" fillId="0" borderId="0" xfId="0" applyNumberFormat="1"/>
    <xf numFmtId="0" fontId="10" fillId="12" borderId="1" xfId="2" applyFont="1" applyFill="1" applyBorder="1"/>
    <xf numFmtId="1" fontId="13" fillId="11" borderId="1" xfId="0" applyNumberFormat="1" applyFont="1" applyFill="1" applyBorder="1"/>
    <xf numFmtId="14" fontId="13" fillId="11" borderId="1" xfId="0" applyNumberFormat="1" applyFont="1" applyFill="1" applyBorder="1" applyAlignment="1">
      <alignment horizontal="right"/>
    </xf>
    <xf numFmtId="0" fontId="10" fillId="0" borderId="1" xfId="2" applyFont="1" applyFill="1" applyBorder="1" applyAlignment="1">
      <alignment horizontal="left" vertical="center"/>
    </xf>
    <xf numFmtId="0" fontId="11" fillId="11" borderId="1" xfId="2" applyFont="1" applyFill="1" applyBorder="1" applyAlignment="1"/>
    <xf numFmtId="0" fontId="19" fillId="0" borderId="1" xfId="2" applyFont="1" applyFill="1" applyBorder="1" applyAlignment="1">
      <alignment horizontal="left" vertical="center" wrapText="1"/>
    </xf>
    <xf numFmtId="0" fontId="19" fillId="0" borderId="18" xfId="2" applyFont="1" applyFill="1" applyBorder="1" applyAlignment="1">
      <alignment horizontal="left" vertical="center" wrapText="1"/>
    </xf>
    <xf numFmtId="14" fontId="11" fillId="11" borderId="1" xfId="2" applyNumberFormat="1" applyFont="1" applyFill="1" applyBorder="1" applyAlignment="1">
      <alignment horizontal="left"/>
    </xf>
    <xf numFmtId="0" fontId="11" fillId="11" borderId="1" xfId="2" applyFont="1" applyFill="1" applyBorder="1" applyAlignment="1">
      <alignment vertical="center"/>
    </xf>
    <xf numFmtId="0" fontId="12" fillId="13" borderId="9" xfId="2" applyFont="1" applyFill="1" applyBorder="1" applyAlignment="1">
      <alignment horizontal="right"/>
    </xf>
    <xf numFmtId="0" fontId="13" fillId="3" borderId="1" xfId="0" applyFont="1" applyFill="1" applyBorder="1" applyAlignment="1">
      <alignment horizontal="right"/>
    </xf>
    <xf numFmtId="164" fontId="13" fillId="3" borderId="1" xfId="0" applyNumberFormat="1" applyFont="1" applyFill="1" applyBorder="1" applyAlignment="1">
      <alignment horizontal="right"/>
    </xf>
    <xf numFmtId="0" fontId="13" fillId="3" borderId="1" xfId="0" applyFont="1" applyFill="1" applyBorder="1"/>
    <xf numFmtId="0" fontId="10" fillId="3" borderId="1" xfId="2" applyFont="1" applyFill="1" applyBorder="1"/>
    <xf numFmtId="0" fontId="11" fillId="0" borderId="1" xfId="2" applyFont="1" applyFill="1" applyBorder="1" applyAlignment="1">
      <alignment horizontal="left"/>
    </xf>
    <xf numFmtId="0" fontId="11" fillId="0" borderId="1" xfId="2" applyFont="1" applyFill="1" applyBorder="1" applyAlignment="1">
      <alignment vertical="center"/>
    </xf>
    <xf numFmtId="1" fontId="13" fillId="0" borderId="1" xfId="0" applyNumberFormat="1" applyFont="1" applyFill="1" applyBorder="1"/>
    <xf numFmtId="14" fontId="13" fillId="0" borderId="1" xfId="0" applyNumberFormat="1" applyFont="1" applyFill="1" applyBorder="1" applyAlignment="1">
      <alignment horizontal="right"/>
    </xf>
    <xf numFmtId="0" fontId="10" fillId="4" borderId="1" xfId="2" applyFont="1" applyFill="1" applyBorder="1" applyAlignment="1">
      <alignment horizontal="left" vertical="center"/>
    </xf>
    <xf numFmtId="0" fontId="19" fillId="4" borderId="18" xfId="2" applyFont="1" applyFill="1" applyBorder="1" applyAlignment="1">
      <alignment horizontal="left" vertical="center" wrapText="1"/>
    </xf>
    <xf numFmtId="0" fontId="10" fillId="4" borderId="1" xfId="2" applyFont="1" applyFill="1" applyBorder="1" applyAlignment="1">
      <alignment horizontal="left" vertical="center" wrapText="1"/>
    </xf>
    <xf numFmtId="0" fontId="10" fillId="4" borderId="1" xfId="0" applyFont="1" applyFill="1" applyBorder="1" applyAlignment="1">
      <alignment horizontal="right" wrapText="1"/>
    </xf>
    <xf numFmtId="0" fontId="10" fillId="4" borderId="1" xfId="2" applyFont="1" applyFill="1" applyBorder="1" applyAlignment="1">
      <alignment horizontal="right" vertical="center" wrapText="1" indent="3"/>
    </xf>
    <xf numFmtId="0" fontId="9" fillId="4" borderId="1" xfId="2" applyFont="1" applyFill="1" applyBorder="1" applyAlignment="1">
      <alignment horizontal="right" wrapText="1"/>
    </xf>
    <xf numFmtId="0" fontId="10" fillId="4" borderId="1" xfId="2" applyFont="1" applyFill="1" applyBorder="1" applyAlignment="1">
      <alignment horizontal="right"/>
    </xf>
    <xf numFmtId="0" fontId="10" fillId="4" borderId="1" xfId="2" applyFont="1" applyFill="1" applyBorder="1"/>
    <xf numFmtId="0" fontId="12" fillId="11" borderId="1" xfId="2" applyFont="1" applyFill="1" applyBorder="1" applyAlignment="1">
      <alignment horizontal="left"/>
    </xf>
    <xf numFmtId="0" fontId="12" fillId="11" borderId="1" xfId="2" applyFont="1" applyFill="1" applyBorder="1" applyAlignment="1">
      <alignment wrapText="1"/>
    </xf>
    <xf numFmtId="0" fontId="12" fillId="11" borderId="1" xfId="2" applyFont="1" applyFill="1" applyBorder="1" applyAlignment="1">
      <alignment vertical="center" wrapText="1"/>
    </xf>
    <xf numFmtId="0" fontId="10" fillId="14" borderId="1" xfId="2" applyFont="1" applyFill="1" applyBorder="1" applyAlignment="1">
      <alignment wrapText="1"/>
    </xf>
    <xf numFmtId="14" fontId="13" fillId="11" borderId="1" xfId="0" applyNumberFormat="1" applyFont="1" applyFill="1" applyBorder="1" applyAlignment="1">
      <alignment horizontal="right" wrapText="1"/>
    </xf>
    <xf numFmtId="1" fontId="24" fillId="11" borderId="1" xfId="0" applyNumberFormat="1" applyFont="1" applyFill="1" applyBorder="1"/>
    <xf numFmtId="14" fontId="11" fillId="0" borderId="1" xfId="2" applyNumberFormat="1" applyFont="1" applyFill="1" applyBorder="1" applyAlignment="1">
      <alignment horizontal="left" wrapText="1"/>
    </xf>
    <xf numFmtId="0" fontId="11" fillId="0" borderId="9" xfId="2" applyFont="1" applyBorder="1" applyAlignment="1">
      <alignment wrapText="1"/>
    </xf>
    <xf numFmtId="0" fontId="11" fillId="11" borderId="1" xfId="2" applyFont="1" applyFill="1" applyBorder="1" applyAlignment="1">
      <alignment vertical="center" wrapText="1"/>
    </xf>
    <xf numFmtId="44" fontId="7" fillId="0" borderId="0" xfId="1" applyFont="1"/>
    <xf numFmtId="0" fontId="10" fillId="0" borderId="1" xfId="2" applyFont="1" applyFill="1" applyBorder="1" applyAlignment="1">
      <alignment vertical="center" wrapText="1"/>
    </xf>
    <xf numFmtId="44" fontId="0" fillId="0" borderId="0" xfId="1" applyNumberFormat="1" applyFont="1"/>
    <xf numFmtId="0" fontId="0" fillId="8" borderId="16" xfId="0" applyNumberFormat="1" applyFont="1" applyFill="1" applyBorder="1"/>
    <xf numFmtId="0" fontId="18" fillId="0" borderId="23" xfId="3" applyFont="1" applyFill="1" applyBorder="1" applyAlignment="1"/>
    <xf numFmtId="0" fontId="0" fillId="0" borderId="19" xfId="0" applyFont="1" applyBorder="1" applyAlignment="1">
      <alignment horizontal="left" vertical="top" wrapText="1"/>
    </xf>
    <xf numFmtId="0" fontId="0" fillId="0" borderId="1" xfId="0" applyBorder="1"/>
    <xf numFmtId="0" fontId="10" fillId="4" borderId="1" xfId="2" applyFont="1" applyFill="1" applyBorder="1" applyAlignment="1">
      <alignment horizontal="right" wrapText="1"/>
    </xf>
    <xf numFmtId="0" fontId="0" fillId="9" borderId="16" xfId="0" applyNumberFormat="1" applyFont="1" applyFill="1" applyBorder="1"/>
    <xf numFmtId="0" fontId="0" fillId="0" borderId="0" xfId="0" applyNumberFormat="1" applyFont="1"/>
    <xf numFmtId="1" fontId="13" fillId="3" borderId="1" xfId="0" applyNumberFormat="1" applyFont="1" applyFill="1" applyBorder="1" applyAlignment="1">
      <alignment horizontal="right"/>
    </xf>
    <xf numFmtId="0" fontId="29" fillId="0" borderId="0" xfId="0" applyFont="1"/>
    <xf numFmtId="0" fontId="0" fillId="11" borderId="0" xfId="0" applyFill="1"/>
    <xf numFmtId="0" fontId="29" fillId="11" borderId="0" xfId="0" applyFont="1" applyFill="1"/>
    <xf numFmtId="0" fontId="10" fillId="4" borderId="1" xfId="2" applyFont="1" applyFill="1" applyBorder="1" applyAlignment="1">
      <alignment vertical="center" wrapText="1"/>
    </xf>
    <xf numFmtId="0" fontId="10" fillId="4" borderId="1" xfId="2" applyFont="1" applyFill="1" applyBorder="1" applyAlignment="1">
      <alignment horizontal="right" vertical="center" wrapText="1"/>
    </xf>
    <xf numFmtId="0" fontId="0" fillId="0" borderId="0" xfId="0" applyFill="1"/>
    <xf numFmtId="0" fontId="11" fillId="11" borderId="1" xfId="2" applyFont="1" applyFill="1" applyBorder="1" applyAlignment="1">
      <alignment horizontal="left"/>
    </xf>
    <xf numFmtId="14" fontId="13" fillId="0" borderId="1" xfId="0" applyNumberFormat="1" applyFont="1" applyFill="1" applyBorder="1" applyAlignment="1">
      <alignment horizontal="right" wrapText="1"/>
    </xf>
    <xf numFmtId="0" fontId="11" fillId="0" borderId="1" xfId="2" applyFont="1" applyFill="1" applyBorder="1" applyAlignment="1">
      <alignment vertical="center" wrapText="1"/>
    </xf>
    <xf numFmtId="0" fontId="11" fillId="11" borderId="0" xfId="4" applyFont="1" applyFill="1" applyAlignment="1">
      <alignment horizontal="left" vertical="center" wrapText="1"/>
    </xf>
    <xf numFmtId="164" fontId="18" fillId="0" borderId="24" xfId="3" applyNumberFormat="1" applyFont="1" applyFill="1" applyBorder="1" applyAlignment="1"/>
    <xf numFmtId="14" fontId="29" fillId="11" borderId="1" xfId="0" applyNumberFormat="1" applyFont="1" applyFill="1" applyBorder="1" applyAlignment="1">
      <alignment horizontal="right"/>
    </xf>
    <xf numFmtId="14" fontId="29" fillId="11" borderId="0" xfId="0" applyNumberFormat="1" applyFont="1" applyFill="1" applyAlignment="1">
      <alignment horizontal="right"/>
    </xf>
    <xf numFmtId="1" fontId="13" fillId="0" borderId="1" xfId="0" applyNumberFormat="1" applyFont="1" applyFill="1" applyBorder="1" applyAlignment="1">
      <alignment horizontal="right" wrapText="1"/>
    </xf>
    <xf numFmtId="0" fontId="10" fillId="0" borderId="18" xfId="2" applyFont="1" applyFill="1" applyBorder="1" applyAlignment="1">
      <alignment horizontal="left" vertical="center" wrapText="1"/>
    </xf>
    <xf numFmtId="0" fontId="12" fillId="0" borderId="9" xfId="2" applyFont="1" applyBorder="1" applyAlignment="1">
      <alignment horizontal="left"/>
    </xf>
    <xf numFmtId="0" fontId="11" fillId="0" borderId="7" xfId="2" applyFont="1" applyBorder="1" applyAlignment="1">
      <alignment horizontal="left"/>
    </xf>
    <xf numFmtId="0" fontId="11" fillId="0" borderId="8" xfId="2" applyFont="1" applyBorder="1" applyAlignment="1">
      <alignment horizontal="left"/>
    </xf>
    <xf numFmtId="0" fontId="23" fillId="2" borderId="7" xfId="0" applyFont="1" applyFill="1" applyBorder="1" applyAlignment="1">
      <alignment horizontal="center" vertical="center" wrapText="1"/>
    </xf>
    <xf numFmtId="0" fontId="11" fillId="0" borderId="3" xfId="2" applyFont="1" applyFill="1" applyBorder="1" applyAlignment="1">
      <alignment horizontal="center" vertical="center" wrapText="1"/>
    </xf>
    <xf numFmtId="0" fontId="11" fillId="0" borderId="4" xfId="2" applyFont="1" applyFill="1" applyBorder="1" applyAlignment="1">
      <alignment horizontal="center" vertical="center" wrapText="1"/>
    </xf>
    <xf numFmtId="0" fontId="11" fillId="3" borderId="2" xfId="2" applyFont="1" applyFill="1" applyBorder="1" applyAlignment="1">
      <alignment horizontal="center" vertical="center" wrapText="1"/>
    </xf>
    <xf numFmtId="0" fontId="11" fillId="3" borderId="3" xfId="2" applyFont="1" applyFill="1" applyBorder="1" applyAlignment="1">
      <alignment horizontal="center" vertical="center" wrapText="1"/>
    </xf>
    <xf numFmtId="0" fontId="11" fillId="3" borderId="4" xfId="2" applyFont="1" applyFill="1" applyBorder="1" applyAlignment="1">
      <alignment horizontal="center" vertical="center" wrapText="1"/>
    </xf>
    <xf numFmtId="0" fontId="3" fillId="2" borderId="3" xfId="0" applyFont="1" applyFill="1" applyBorder="1" applyAlignment="1">
      <alignment horizontal="center" vertical="center" wrapText="1"/>
    </xf>
    <xf numFmtId="0" fontId="11" fillId="11" borderId="0" xfId="2" applyFont="1" applyFill="1" applyBorder="1" applyAlignment="1">
      <alignment horizontal="center" vertical="center" wrapText="1"/>
    </xf>
    <xf numFmtId="0" fontId="8" fillId="11" borderId="12" xfId="2" applyFont="1" applyFill="1" applyBorder="1" applyAlignment="1">
      <alignment horizontal="center" vertical="center" wrapText="1"/>
    </xf>
    <xf numFmtId="0" fontId="8" fillId="11" borderId="19" xfId="2" applyFont="1" applyFill="1" applyBorder="1" applyAlignment="1">
      <alignment horizontal="center" vertical="center" wrapText="1"/>
    </xf>
    <xf numFmtId="0" fontId="8" fillId="11" borderId="20" xfId="2" applyFont="1" applyFill="1" applyBorder="1" applyAlignment="1">
      <alignment horizontal="center" vertical="center" wrapText="1"/>
    </xf>
    <xf numFmtId="0" fontId="8" fillId="0" borderId="18" xfId="2" applyFont="1" applyFill="1" applyBorder="1" applyAlignment="1">
      <alignment horizontal="center" vertical="center" wrapText="1"/>
    </xf>
    <xf numFmtId="0" fontId="9" fillId="0" borderId="21" xfId="2" applyFont="1" applyFill="1" applyBorder="1" applyAlignment="1">
      <alignment horizontal="center" vertical="center"/>
    </xf>
    <xf numFmtId="0" fontId="12" fillId="14" borderId="2" xfId="2" applyFont="1" applyFill="1" applyBorder="1" applyAlignment="1">
      <alignment horizontal="center" vertical="center" wrapText="1"/>
    </xf>
    <xf numFmtId="0" fontId="12" fillId="14" borderId="22" xfId="2" applyFont="1" applyFill="1" applyBorder="1" applyAlignment="1">
      <alignment horizontal="center" vertical="center" wrapText="1"/>
    </xf>
    <xf numFmtId="0" fontId="12" fillId="11" borderId="9" xfId="2" applyFont="1" applyFill="1" applyBorder="1" applyAlignment="1">
      <alignment horizontal="left" wrapText="1"/>
    </xf>
    <xf numFmtId="0" fontId="12" fillId="11" borderId="7" xfId="2" applyFont="1" applyFill="1" applyBorder="1" applyAlignment="1">
      <alignment horizontal="left"/>
    </xf>
    <xf numFmtId="0" fontId="12" fillId="11" borderId="8" xfId="2" applyFont="1" applyFill="1" applyBorder="1" applyAlignment="1">
      <alignment horizontal="left"/>
    </xf>
    <xf numFmtId="0" fontId="11" fillId="5" borderId="18" xfId="2" applyFont="1" applyFill="1" applyBorder="1" applyAlignment="1">
      <alignment horizontal="center" wrapText="1"/>
    </xf>
    <xf numFmtId="0" fontId="11" fillId="5" borderId="21" xfId="2" applyFont="1" applyFill="1" applyBorder="1" applyAlignment="1">
      <alignment horizontal="center" wrapText="1"/>
    </xf>
    <xf numFmtId="1" fontId="12" fillId="6" borderId="18" xfId="1" applyNumberFormat="1" applyFont="1" applyFill="1" applyBorder="1" applyAlignment="1">
      <alignment horizontal="center"/>
    </xf>
    <xf numFmtId="1" fontId="12" fillId="6" borderId="21" xfId="1" applyNumberFormat="1" applyFont="1" applyFill="1" applyBorder="1" applyAlignment="1">
      <alignment horizontal="center"/>
    </xf>
    <xf numFmtId="0" fontId="24" fillId="11" borderId="9" xfId="0" applyFont="1" applyFill="1" applyBorder="1" applyAlignment="1">
      <alignment horizontal="left"/>
    </xf>
    <xf numFmtId="0" fontId="24" fillId="11" borderId="7" xfId="0" applyFont="1" applyFill="1" applyBorder="1" applyAlignment="1">
      <alignment horizontal="left"/>
    </xf>
    <xf numFmtId="0" fontId="24" fillId="11" borderId="8" xfId="0" applyFont="1" applyFill="1" applyBorder="1" applyAlignment="1">
      <alignment horizontal="left"/>
    </xf>
    <xf numFmtId="0" fontId="10" fillId="0" borderId="10" xfId="2" applyFont="1" applyBorder="1" applyAlignment="1">
      <alignment horizontal="left" vertical="top"/>
    </xf>
    <xf numFmtId="0" fontId="11" fillId="0" borderId="6" xfId="2" applyFont="1" applyBorder="1" applyAlignment="1">
      <alignment horizontal="left" vertical="top"/>
    </xf>
    <xf numFmtId="0" fontId="11" fillId="0" borderId="13" xfId="2" applyFont="1" applyBorder="1" applyAlignment="1">
      <alignment horizontal="left" vertical="top"/>
    </xf>
    <xf numFmtId="0" fontId="11" fillId="3" borderId="9" xfId="2" applyFont="1" applyFill="1" applyBorder="1" applyAlignment="1">
      <alignment horizontal="left" wrapText="1"/>
    </xf>
    <xf numFmtId="0" fontId="11" fillId="3" borderId="7" xfId="2" applyFont="1" applyFill="1" applyBorder="1" applyAlignment="1">
      <alignment horizontal="left" wrapText="1"/>
    </xf>
    <xf numFmtId="0" fontId="11" fillId="3" borderId="8" xfId="2" applyFont="1" applyFill="1" applyBorder="1" applyAlignment="1">
      <alignment horizontal="left" wrapText="1"/>
    </xf>
    <xf numFmtId="0" fontId="25" fillId="0" borderId="14" xfId="2" applyFont="1" applyBorder="1" applyAlignment="1">
      <alignment horizontal="left" vertical="top" wrapText="1"/>
    </xf>
    <xf numFmtId="0" fontId="25" fillId="0" borderId="0" xfId="2" applyFont="1" applyBorder="1" applyAlignment="1">
      <alignment horizontal="left" vertical="top" wrapText="1"/>
    </xf>
    <xf numFmtId="0" fontId="25" fillId="0" borderId="12" xfId="2" applyFont="1" applyBorder="1" applyAlignment="1">
      <alignment horizontal="left" vertical="top" wrapText="1"/>
    </xf>
    <xf numFmtId="0" fontId="10" fillId="5" borderId="9" xfId="2" applyFont="1" applyFill="1" applyBorder="1" applyAlignment="1">
      <alignment horizontal="left" vertical="center" wrapText="1"/>
    </xf>
    <xf numFmtId="0" fontId="10" fillId="5" borderId="8" xfId="2" applyFont="1" applyFill="1" applyBorder="1" applyAlignment="1">
      <alignment horizontal="left" vertical="center" wrapText="1"/>
    </xf>
    <xf numFmtId="0" fontId="13" fillId="11" borderId="7" xfId="0" applyFont="1" applyFill="1" applyBorder="1" applyAlignment="1">
      <alignment horizontal="left"/>
    </xf>
    <xf numFmtId="0" fontId="13" fillId="11" borderId="8" xfId="0" applyFont="1" applyFill="1" applyBorder="1" applyAlignment="1">
      <alignment horizontal="left"/>
    </xf>
    <xf numFmtId="0" fontId="10" fillId="5" borderId="18" xfId="2" applyFont="1" applyFill="1" applyBorder="1" applyAlignment="1">
      <alignment horizontal="center" wrapText="1"/>
    </xf>
    <xf numFmtId="0" fontId="13" fillId="11" borderId="9" xfId="0" applyFont="1" applyFill="1" applyBorder="1" applyAlignment="1">
      <alignment horizontal="left"/>
    </xf>
    <xf numFmtId="0" fontId="4" fillId="2" borderId="3" xfId="0" applyFont="1" applyFill="1" applyBorder="1" applyAlignment="1">
      <alignment horizontal="center" vertical="center" wrapText="1"/>
    </xf>
    <xf numFmtId="0" fontId="8" fillId="11" borderId="0" xfId="2" applyFont="1" applyFill="1" applyBorder="1" applyAlignment="1">
      <alignment horizontal="center" vertical="center" wrapText="1"/>
    </xf>
    <xf numFmtId="0" fontId="11" fillId="11" borderId="9" xfId="2" applyFont="1" applyFill="1" applyBorder="1" applyAlignment="1">
      <alignment horizontal="left"/>
    </xf>
    <xf numFmtId="0" fontId="11" fillId="11" borderId="7" xfId="2" applyFont="1" applyFill="1" applyBorder="1" applyAlignment="1">
      <alignment horizontal="left"/>
    </xf>
    <xf numFmtId="0" fontId="11" fillId="11" borderId="8" xfId="2" applyFont="1" applyFill="1" applyBorder="1" applyAlignment="1">
      <alignment horizontal="left"/>
    </xf>
    <xf numFmtId="0" fontId="10" fillId="0" borderId="18" xfId="2" applyFont="1" applyFill="1" applyBorder="1" applyAlignment="1">
      <alignment horizontal="center"/>
    </xf>
    <xf numFmtId="0" fontId="10" fillId="0" borderId="21" xfId="2" applyFont="1" applyFill="1" applyBorder="1" applyAlignment="1">
      <alignment horizontal="center"/>
    </xf>
    <xf numFmtId="0" fontId="12" fillId="13" borderId="2" xfId="2" applyFont="1" applyFill="1" applyBorder="1" applyAlignment="1">
      <alignment horizontal="center"/>
    </xf>
    <xf numFmtId="0" fontId="12" fillId="13" borderId="22" xfId="2" applyFont="1" applyFill="1" applyBorder="1" applyAlignment="1">
      <alignment horizontal="center"/>
    </xf>
    <xf numFmtId="0" fontId="7" fillId="0" borderId="2" xfId="2" applyFont="1" applyBorder="1" applyAlignment="1">
      <alignment horizontal="left" vertical="top" wrapText="1"/>
    </xf>
    <xf numFmtId="0" fontId="7" fillId="0" borderId="3" xfId="2" applyFont="1" applyBorder="1" applyAlignment="1">
      <alignment horizontal="left" vertical="top" wrapText="1"/>
    </xf>
    <xf numFmtId="0" fontId="7" fillId="0" borderId="4" xfId="2" applyFont="1" applyBorder="1" applyAlignment="1">
      <alignment horizontal="left" vertical="top" wrapText="1"/>
    </xf>
    <xf numFmtId="0" fontId="11" fillId="0" borderId="9" xfId="2" applyFont="1" applyFill="1" applyBorder="1" applyAlignment="1">
      <alignment horizontal="left" wrapText="1"/>
    </xf>
    <xf numFmtId="0" fontId="11" fillId="0" borderId="7" xfId="2" applyFont="1" applyFill="1" applyBorder="1" applyAlignment="1">
      <alignment horizontal="left" wrapText="1"/>
    </xf>
    <xf numFmtId="0" fontId="11" fillId="0" borderId="8" xfId="2" applyFont="1" applyFill="1" applyBorder="1" applyAlignment="1">
      <alignment horizontal="left" wrapText="1"/>
    </xf>
    <xf numFmtId="0" fontId="7" fillId="0" borderId="22" xfId="2" applyFont="1" applyBorder="1" applyAlignment="1">
      <alignment horizontal="left" vertical="top" wrapText="1"/>
    </xf>
    <xf numFmtId="0" fontId="7" fillId="0" borderId="19" xfId="2" applyFont="1" applyBorder="1" applyAlignment="1">
      <alignment horizontal="left" vertical="top" wrapText="1"/>
    </xf>
    <xf numFmtId="0" fontId="7" fillId="0" borderId="20" xfId="2" applyFont="1" applyBorder="1" applyAlignment="1">
      <alignment horizontal="left" vertical="top" wrapText="1"/>
    </xf>
    <xf numFmtId="0" fontId="13" fillId="0" borderId="9" xfId="0" applyFont="1" applyFill="1" applyBorder="1" applyAlignment="1">
      <alignment horizontal="left"/>
    </xf>
    <xf numFmtId="0" fontId="13" fillId="0" borderId="7" xfId="0" applyFont="1" applyFill="1" applyBorder="1" applyAlignment="1">
      <alignment horizontal="left"/>
    </xf>
    <xf numFmtId="0" fontId="13" fillId="0" borderId="8" xfId="0" applyFont="1" applyFill="1" applyBorder="1" applyAlignment="1">
      <alignment horizontal="left"/>
    </xf>
    <xf numFmtId="44" fontId="23" fillId="2" borderId="7" xfId="1" applyFont="1" applyFill="1" applyBorder="1" applyAlignment="1">
      <alignment horizontal="center" vertical="center" wrapText="1"/>
    </xf>
    <xf numFmtId="0" fontId="8" fillId="0" borderId="0" xfId="2" applyFont="1" applyFill="1" applyBorder="1" applyAlignment="1">
      <alignment horizontal="center" vertical="center" wrapText="1"/>
    </xf>
    <xf numFmtId="0" fontId="8" fillId="0" borderId="12" xfId="2" applyFont="1" applyFill="1" applyBorder="1" applyAlignment="1">
      <alignment horizontal="center" vertical="center" wrapText="1"/>
    </xf>
    <xf numFmtId="0" fontId="8" fillId="0" borderId="19" xfId="2" applyFont="1" applyFill="1" applyBorder="1" applyAlignment="1">
      <alignment horizontal="center" vertical="center" wrapText="1"/>
    </xf>
    <xf numFmtId="0" fontId="8" fillId="0" borderId="20" xfId="2" applyFont="1" applyFill="1" applyBorder="1" applyAlignment="1">
      <alignment horizontal="center" vertical="center" wrapText="1"/>
    </xf>
    <xf numFmtId="0" fontId="11" fillId="0" borderId="9" xfId="2" applyFont="1" applyFill="1" applyBorder="1" applyAlignment="1">
      <alignment horizontal="left"/>
    </xf>
    <xf numFmtId="0" fontId="11" fillId="0" borderId="7" xfId="2" applyFont="1" applyFill="1" applyBorder="1" applyAlignment="1">
      <alignment horizontal="left"/>
    </xf>
    <xf numFmtId="0" fontId="11" fillId="0" borderId="8" xfId="2" applyFont="1" applyFill="1" applyBorder="1" applyAlignment="1">
      <alignment horizontal="left"/>
    </xf>
    <xf numFmtId="0" fontId="10" fillId="4" borderId="9" xfId="2" applyFont="1" applyFill="1" applyBorder="1" applyAlignment="1">
      <alignment horizontal="left" vertical="center" wrapText="1"/>
    </xf>
    <xf numFmtId="0" fontId="10" fillId="4" borderId="8" xfId="2" applyFont="1" applyFill="1" applyBorder="1" applyAlignment="1">
      <alignment horizontal="left" vertical="center" wrapText="1"/>
    </xf>
    <xf numFmtId="0" fontId="13" fillId="12" borderId="7" xfId="0" applyFont="1" applyFill="1" applyBorder="1" applyAlignment="1">
      <alignment horizontal="left"/>
    </xf>
    <xf numFmtId="0" fontId="13" fillId="12" borderId="8" xfId="0" applyFont="1" applyFill="1" applyBorder="1" applyAlignment="1">
      <alignment horizontal="left"/>
    </xf>
  </cellXfs>
  <cellStyles count="5">
    <cellStyle name="Currency" xfId="1" builtinId="4"/>
    <cellStyle name="Hyperlink" xfId="4" builtinId="8"/>
    <cellStyle name="Normal" xfId="0" builtinId="0"/>
    <cellStyle name="Normal 6 2" xfId="2" xr:uid="{00000000-0005-0000-0000-000003000000}"/>
    <cellStyle name="Normal_Sheet1" xfId="3" xr:uid="{00000000-0005-0000-0000-000004000000}"/>
  </cellStyles>
  <dxfs count="33">
    <dxf>
      <numFmt numFmtId="0" formatCode="General"/>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style="thin">
          <color indexed="22"/>
        </top>
        <bottom style="thin">
          <color indexed="22"/>
        </bottom>
        <vertical/>
        <horizontal/>
      </border>
    </dxf>
    <dxf>
      <numFmt numFmtId="34" formatCode="_(&quot;$&quot;* #,##0.00_);_(&quot;$&quot;* \(#,##0.00\);_(&quot;$&quot;* &quot;-&quot;??_);_(@_)"/>
    </dxf>
    <dxf>
      <numFmt numFmtId="0" formatCode="General"/>
    </dxf>
    <dxf>
      <font>
        <color auto="1"/>
      </font>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auto="1"/>
      </font>
      <fill>
        <patternFill>
          <bgColor theme="5" tint="0.59996337778862885"/>
        </patternFill>
      </fill>
    </dxf>
    <dxf>
      <fill>
        <patternFill>
          <bgColor theme="5" tint="0.59996337778862885"/>
        </patternFill>
      </fill>
    </dxf>
    <dxf>
      <font>
        <color auto="1"/>
      </font>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xdr:colOff>
      <xdr:row>0</xdr:row>
      <xdr:rowOff>23288</xdr:rowOff>
    </xdr:from>
    <xdr:to>
      <xdr:col>0</xdr:col>
      <xdr:colOff>857250</xdr:colOff>
      <xdr:row>0</xdr:row>
      <xdr:rowOff>805054</xdr:rowOff>
    </xdr:to>
    <xdr:pic>
      <xdr:nvPicPr>
        <xdr:cNvPr id="2" name="Picture 3"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 y="23288"/>
          <a:ext cx="857247" cy="78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xdr:colOff>
      <xdr:row>0</xdr:row>
      <xdr:rowOff>23288</xdr:rowOff>
    </xdr:from>
    <xdr:to>
      <xdr:col>0</xdr:col>
      <xdr:colOff>857250</xdr:colOff>
      <xdr:row>0</xdr:row>
      <xdr:rowOff>805054</xdr:rowOff>
    </xdr:to>
    <xdr:pic>
      <xdr:nvPicPr>
        <xdr:cNvPr id="2" name="Picture 3" descr="image00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 y="23288"/>
          <a:ext cx="857247" cy="78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3</xdr:col>
          <xdr:colOff>800100</xdr:colOff>
          <xdr:row>0</xdr:row>
          <xdr:rowOff>285750</xdr:rowOff>
        </xdr:from>
        <xdr:to>
          <xdr:col>3</xdr:col>
          <xdr:colOff>1819275</xdr:colOff>
          <xdr:row>0</xdr:row>
          <xdr:rowOff>581025</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Send Email</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3</xdr:colOff>
      <xdr:row>0</xdr:row>
      <xdr:rowOff>23288</xdr:rowOff>
    </xdr:from>
    <xdr:to>
      <xdr:col>0</xdr:col>
      <xdr:colOff>857250</xdr:colOff>
      <xdr:row>0</xdr:row>
      <xdr:rowOff>805054</xdr:rowOff>
    </xdr:to>
    <xdr:pic>
      <xdr:nvPicPr>
        <xdr:cNvPr id="2" name="Picture 3" descr="image002">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 y="23288"/>
          <a:ext cx="857247" cy="78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o%20Update_ETR%20Form_V2_20180925_cop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TR Form"/>
      <sheetName val="Smiths"/>
      <sheetName val="Smiths CLINs"/>
      <sheetName val="L3"/>
      <sheetName val="L3 CLINs"/>
      <sheetName val="Reveal"/>
      <sheetName val="Reveal CLINs"/>
      <sheetName val="To Update_ETR Form_V2_20180925_"/>
    </sheetNames>
    <sheetDataSet>
      <sheetData sheetId="0" refreshError="1"/>
      <sheetData sheetId="1" refreshError="1"/>
      <sheetData sheetId="2">
        <row r="2">
          <cell r="B2" t="str">
            <v>Reveal_ 0001A</v>
          </cell>
          <cell r="C2" t="str">
            <v>System Management Support Year 1</v>
          </cell>
          <cell r="D2">
            <v>500000</v>
          </cell>
        </row>
        <row r="3">
          <cell r="B3" t="str">
            <v>Reveal_0002B</v>
          </cell>
          <cell r="C3" t="str">
            <v>Engineering Support Services</v>
          </cell>
          <cell r="D3">
            <v>500000</v>
          </cell>
        </row>
        <row r="4">
          <cell r="B4" t="str">
            <v>Reveal_0003A</v>
          </cell>
          <cell r="C4" t="str">
            <v>IT Security Support Services</v>
          </cell>
          <cell r="D4">
            <v>500000</v>
          </cell>
        </row>
        <row r="5">
          <cell r="B5" t="str">
            <v>Reveal_0003B</v>
          </cell>
          <cell r="C5" t="str">
            <v>IT Security Support Services</v>
          </cell>
          <cell r="D5">
            <v>500000</v>
          </cell>
        </row>
        <row r="6">
          <cell r="B6" t="str">
            <v>0004AC_Reveal</v>
          </cell>
          <cell r="C6" t="str">
            <v>SME Training (1/1/2019 - 12/31/2019)</v>
          </cell>
          <cell r="D6">
            <v>500000</v>
          </cell>
        </row>
        <row r="7">
          <cell r="B7" t="str">
            <v>0004BC_Reveal</v>
          </cell>
          <cell r="C7" t="str">
            <v>Operator Training (1/1/2019 - 12/31/2019)</v>
          </cell>
          <cell r="D7">
            <v>500000</v>
          </cell>
        </row>
        <row r="8">
          <cell r="B8" t="str">
            <v>0004CC_Reveal</v>
          </cell>
          <cell r="C8" t="str">
            <v>Security Technology Training</v>
          </cell>
          <cell r="D8">
            <v>500000</v>
          </cell>
        </row>
        <row r="9">
          <cell r="B9" t="str">
            <v>0005AC_Reveal</v>
          </cell>
          <cell r="C9" t="str">
            <v>EDS Relocation (1/1/2019 - 12/31/2019)</v>
          </cell>
          <cell r="D9">
            <v>500000</v>
          </cell>
        </row>
        <row r="10">
          <cell r="B10" t="str">
            <v>0005ABC_Reveal</v>
          </cell>
          <cell r="C10" t="str">
            <v>EDS Relocation - Crate Packaging Materials and Labor (1/1/2019 - 12/31/2019)</v>
          </cell>
          <cell r="D10">
            <v>500000</v>
          </cell>
        </row>
        <row r="11">
          <cell r="B11" t="str">
            <v>0005BC_Reveal</v>
          </cell>
          <cell r="C11" t="str">
            <v>EDS Reinstallation (1/1/2019 - 12/31/2019)</v>
          </cell>
          <cell r="D11">
            <v>500000</v>
          </cell>
        </row>
        <row r="12">
          <cell r="B12" t="str">
            <v>0005CB_Reveal</v>
          </cell>
          <cell r="C12" t="str">
            <v>EDS Deinstallation (1/1/2018 - 12/31/2018)</v>
          </cell>
          <cell r="D12">
            <v>500000</v>
          </cell>
        </row>
        <row r="13">
          <cell r="B13" t="str">
            <v>0005CC_Reveal</v>
          </cell>
          <cell r="C13" t="str">
            <v>EDS Deinstallation (1/1/2019 - 12/31/2019)</v>
          </cell>
          <cell r="D13">
            <v>500000</v>
          </cell>
        </row>
        <row r="14">
          <cell r="B14" t="str">
            <v>0005DC_Reveal</v>
          </cell>
          <cell r="C14" t="str">
            <v>EDS Decommission (1/1/2019 - 12/31/2019)</v>
          </cell>
          <cell r="D14">
            <v>500000</v>
          </cell>
        </row>
        <row r="15">
          <cell r="B15" t="str">
            <v>0005F_Reveal</v>
          </cell>
          <cell r="C15" t="str">
            <v>Other Equipment Movements</v>
          </cell>
          <cell r="D15">
            <v>500000</v>
          </cell>
        </row>
        <row r="16">
          <cell r="B16" t="str">
            <v>0002AA_L3</v>
          </cell>
          <cell r="C16" t="str">
            <v>Engineering Support Services</v>
          </cell>
          <cell r="D16">
            <v>500000</v>
          </cell>
        </row>
        <row r="17">
          <cell r="B17" t="str">
            <v>0003CA_L3</v>
          </cell>
          <cell r="C17" t="str">
            <v>IT Security Support Services</v>
          </cell>
          <cell r="D17">
            <v>500000</v>
          </cell>
        </row>
        <row r="18">
          <cell r="B18" t="str">
            <v>0004BA_L3</v>
          </cell>
          <cell r="C18" t="str">
            <v>EBSP SME Training, Year 1</v>
          </cell>
          <cell r="D18">
            <v>500000</v>
          </cell>
        </row>
        <row r="19">
          <cell r="B19" t="str">
            <v>0004CAF_L3</v>
          </cell>
          <cell r="C19" t="str">
            <v>Additional Security Technology Training</v>
          </cell>
          <cell r="D19">
            <v>500000</v>
          </cell>
        </row>
        <row r="20">
          <cell r="B20" t="str">
            <v>0005AA_L3</v>
          </cell>
          <cell r="C20" t="str">
            <v>EDS Relocation</v>
          </cell>
          <cell r="D20">
            <v>500000</v>
          </cell>
        </row>
        <row r="21">
          <cell r="B21" t="str">
            <v>0005BA_L3</v>
          </cell>
          <cell r="C21" t="str">
            <v>EDS Reinstallation</v>
          </cell>
          <cell r="D21">
            <v>500000</v>
          </cell>
        </row>
        <row r="22">
          <cell r="B22" t="str">
            <v>0005CA_L3</v>
          </cell>
          <cell r="C22" t="str">
            <v>EDS Deinstallation</v>
          </cell>
          <cell r="D22">
            <v>500000</v>
          </cell>
        </row>
        <row r="23">
          <cell r="B23" t="str">
            <v>0005DA_L3</v>
          </cell>
          <cell r="C23" t="str">
            <v>EDS Decommission</v>
          </cell>
          <cell r="D23">
            <v>500000</v>
          </cell>
        </row>
        <row r="24">
          <cell r="B24" t="str">
            <v>0005EA_L3</v>
          </cell>
          <cell r="C24" t="str">
            <v>Other Equipment Movements</v>
          </cell>
          <cell r="D24">
            <v>500000</v>
          </cell>
        </row>
        <row r="25">
          <cell r="B25" t="str">
            <v>0001AA_SD</v>
          </cell>
          <cell r="C25" t="str">
            <v>System Management Support Year 1</v>
          </cell>
          <cell r="D25">
            <v>500000</v>
          </cell>
        </row>
        <row r="26">
          <cell r="B26" t="str">
            <v>0002AA_SD</v>
          </cell>
          <cell r="C26" t="str">
            <v>Engineering Support Services</v>
          </cell>
          <cell r="D26">
            <v>500000</v>
          </cell>
        </row>
        <row r="27">
          <cell r="B27" t="str">
            <v>0003AC_SD</v>
          </cell>
          <cell r="C27" t="str">
            <v>IT Security Support Services</v>
          </cell>
          <cell r="D27">
            <v>500000</v>
          </cell>
        </row>
        <row r="28">
          <cell r="B28" t="str">
            <v>0004AA_SD</v>
          </cell>
          <cell r="C28" t="str">
            <v>Security Technology Operator Training Year 1</v>
          </cell>
          <cell r="D28">
            <v>500000</v>
          </cell>
        </row>
        <row r="29">
          <cell r="B29" t="str">
            <v>0004BE_SD</v>
          </cell>
          <cell r="C29" t="str">
            <v>Security Technology SME Training Year 1</v>
          </cell>
          <cell r="D29">
            <v>500000</v>
          </cell>
        </row>
        <row r="30">
          <cell r="B30" t="str">
            <v>0004CA_SD</v>
          </cell>
          <cell r="C30" t="str">
            <v>Security Technology Training</v>
          </cell>
          <cell r="D30">
            <v>500000</v>
          </cell>
        </row>
        <row r="31">
          <cell r="B31" t="str">
            <v>0004DA_SD</v>
          </cell>
          <cell r="C31" t="str">
            <v>Security Technology Training</v>
          </cell>
          <cell r="D31">
            <v>500000</v>
          </cell>
        </row>
        <row r="32">
          <cell r="B32" t="str">
            <v>0005AA_SD</v>
          </cell>
          <cell r="C32" t="str">
            <v>EDS Relocation - Year 1</v>
          </cell>
          <cell r="D32">
            <v>500000</v>
          </cell>
        </row>
        <row r="33">
          <cell r="B33" t="str">
            <v>1005AA_SD</v>
          </cell>
          <cell r="C33" t="str">
            <v>EDS Relocation Crate Set Year 1</v>
          </cell>
          <cell r="D33">
            <v>500000</v>
          </cell>
        </row>
        <row r="34">
          <cell r="C34" t="str">
            <v>EDS Relocation Crate Materials Year 1</v>
          </cell>
        </row>
        <row r="35">
          <cell r="C35" t="str">
            <v>EDS UPS Relocation Year 1</v>
          </cell>
        </row>
        <row r="36">
          <cell r="C36" t="str">
            <v>EDS Reinstallation Year 1</v>
          </cell>
        </row>
        <row r="37">
          <cell r="C37" t="str">
            <v>EDS UPS Reinstallation Year 1</v>
          </cell>
        </row>
        <row r="38">
          <cell r="C38" t="str">
            <v>EDS Deinstallation Year 1</v>
          </cell>
        </row>
        <row r="39">
          <cell r="C39" t="str">
            <v>EDS Decommission Year 1</v>
          </cell>
        </row>
        <row r="40">
          <cell r="C40" t="str">
            <v>EDS Decommission Crate Set Year 1</v>
          </cell>
        </row>
        <row r="41">
          <cell r="C41" t="str">
            <v>EDS Decommission Crate Materials Year 1</v>
          </cell>
        </row>
        <row r="42">
          <cell r="C42" t="str">
            <v>EDS UPS Decommission Year 1</v>
          </cell>
        </row>
        <row r="43">
          <cell r="C43" t="str">
            <v>Other Equipment Movements</v>
          </cell>
        </row>
        <row r="44">
          <cell r="C44" t="str">
            <v>Other Equipment Movements</v>
          </cell>
        </row>
      </sheetData>
      <sheetData sheetId="3" refreshError="1"/>
      <sheetData sheetId="4" refreshError="1"/>
      <sheetData sheetId="5" refreshError="1"/>
      <sheetData sheetId="6" refreshError="1"/>
      <sheetData sheetId="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_Sheet" displayName="Data_Sheet" ref="A1:M739" totalsRowShown="0">
  <autoFilter ref="A1:M739" xr:uid="{00000000-0009-0000-0100-000001000000}"/>
  <tableColumns count="13">
    <tableColumn id="1" xr3:uid="{00000000-0010-0000-0000-000001000000}" name="Base or Option"/>
    <tableColumn id="6" xr3:uid="{00000000-0010-0000-0000-000006000000}" name="OEM"/>
    <tableColumn id="2" xr3:uid="{00000000-0010-0000-0000-000002000000}" name="CLIN"/>
    <tableColumn id="3" xr3:uid="{00000000-0010-0000-0000-000003000000}" name="Name"/>
    <tableColumn id="14" xr3:uid="{00000000-0010-0000-0000-00000E000000}" name="Concatenate C+D" dataDxfId="3">
      <calculatedColumnFormula>CONCATENATE(Data_Sheet[[#This Row],[Name]],"( ",Data_Sheet[[#This Row],[CLIN]],")")</calculatedColumnFormula>
    </tableColumn>
    <tableColumn id="4" xr3:uid="{00000000-0010-0000-0000-000004000000}" name="DO Type (Purchase, Ancillary, STSS, Services, ODC)"/>
    <tableColumn id="9" xr3:uid="{00000000-0010-0000-0000-000009000000}" name="IDIQ / Contract Vehicle'"/>
    <tableColumn id="5" xr3:uid="{00000000-0010-0000-0000-000005000000}" name="cost" dataDxfId="2" dataCellStyle="Currency"/>
    <tableColumn id="8" xr3:uid="{00000000-0010-0000-0000-000008000000}" name="Lead Time"/>
    <tableColumn id="7" xr3:uid="{00000000-0010-0000-0000-000007000000}" name="Lead Time Total"/>
    <tableColumn id="11" xr3:uid="{00000000-0010-0000-0000-00000B000000}" name="Airport" dataDxfId="1" dataCellStyle="Normal_Sheet1"/>
    <tableColumn id="12" xr3:uid="{00000000-0010-0000-0000-00000C000000}" name="EDS Type"/>
    <tableColumn id="13" xr3:uid="{00000000-0010-0000-0000-00000D000000}" name="Project Manager"/>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Delivery_Orders0" displayName="Delivery_Orders0" ref="Y1:AB32" totalsRowShown="0">
  <autoFilter ref="Y1:AB32" xr:uid="{00000000-0009-0000-0100-000006000000}"/>
  <tableColumns count="4">
    <tableColumn id="1" xr3:uid="{00000000-0010-0000-0100-000001000000}" name="Smiths Delivery Orders"/>
    <tableColumn id="2" xr3:uid="{00000000-0010-0000-0100-000002000000}" name="Leidos Delivery Orders"/>
    <tableColumn id="4" xr3:uid="{00000000-0010-0000-0100-000004000000}" name="Smiths Type 2 Delivery Orders"/>
    <tableColumn id="3" xr3:uid="{00000000-0010-0000-0100-000003000000}" name="Reveal Delivery Orde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Models" displayName="Models" ref="AF1:AI9" totalsRowShown="0">
  <autoFilter ref="AF1:AI9" xr:uid="{00000000-0009-0000-0100-000002000000}"/>
  <tableColumns count="4">
    <tableColumn id="1" xr3:uid="{00000000-0010-0000-0200-000001000000}" name="Smiths Type 1"/>
    <tableColumn id="4" xr3:uid="{00000000-0010-0000-0200-000004000000}" name="Smiths Type 2"/>
    <tableColumn id="2" xr3:uid="{00000000-0010-0000-0200-000002000000}" name="Leidos Model"/>
    <tableColumn id="3" xr3:uid="{00000000-0010-0000-0200-000003000000}" name="Reveal Mode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LIN_Filter" displayName="CLIN_Filter" ref="E1:E101" totalsRowShown="0">
  <autoFilter ref="E1:E101" xr:uid="{00000000-0009-0000-0100-000004000000}"/>
  <tableColumns count="1">
    <tableColumn id="1" xr3:uid="{00000000-0010-0000-0300-000001000000}" name="Selec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CLINs" displayName="CLINs" ref="A1:D101" totalsRowShown="0">
  <autoFilter ref="A1:D101" xr:uid="{00000000-0009-0000-0100-000007000000}"/>
  <tableColumns count="4">
    <tableColumn id="1" xr3:uid="{00000000-0010-0000-0400-000001000000}" name="Smiths CLIN"/>
    <tableColumn id="2" xr3:uid="{00000000-0010-0000-0400-000002000000}" name="Leidos CLIN"/>
    <tableColumn id="3" xr3:uid="{00000000-0010-0000-0400-000003000000}" name="Reveal CLIN"/>
    <tableColumn id="4" xr3:uid="{00000000-0010-0000-0400-000004000000}" name="Smiths Type 2 CLIN" dataDxfId="0">
      <calculatedColumnFormula>'Hidden Data Sheet'!E122</calculatedColumnFormula>
    </tableColumn>
  </tableColumns>
  <tableStyleInfo name="TableStyleMedium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pageSetUpPr fitToPage="1"/>
  </sheetPr>
  <dimension ref="A1:XEZ146"/>
  <sheetViews>
    <sheetView zoomScale="70" zoomScaleNormal="70" workbookViewId="0">
      <selection activeCell="C36" sqref="C36:C37"/>
    </sheetView>
  </sheetViews>
  <sheetFormatPr defaultColWidth="0" defaultRowHeight="0" customHeight="1" zeroHeight="1" x14ac:dyDescent="0.2"/>
  <cols>
    <col min="1" max="1" width="43.140625" style="23" customWidth="1"/>
    <col min="2" max="2" width="38" style="1" customWidth="1"/>
    <col min="3" max="3" width="41.5703125" style="1" customWidth="1"/>
    <col min="4" max="4" width="35" style="22" customWidth="1"/>
    <col min="5" max="5" width="9.5703125" style="1" hidden="1" customWidth="1"/>
    <col min="6" max="6" width="19.140625" style="1" hidden="1" customWidth="1"/>
    <col min="7" max="16382" width="9.140625" style="1" hidden="1"/>
    <col min="16383" max="16384" width="9.140625" style="1" hidden="1" customWidth="1"/>
  </cols>
  <sheetData>
    <row r="1" spans="1:16380" ht="65.25" customHeight="1" x14ac:dyDescent="0.25">
      <c r="A1" s="25" t="s">
        <v>0</v>
      </c>
      <c r="B1" s="110" t="s">
        <v>900</v>
      </c>
      <c r="C1" s="110"/>
      <c r="D1" s="26"/>
    </row>
    <row r="2" spans="1:16380" ht="44.25" customHeight="1" x14ac:dyDescent="0.2">
      <c r="A2" s="111" t="s">
        <v>909</v>
      </c>
      <c r="B2" s="112"/>
      <c r="C2" s="115" t="s">
        <v>1075</v>
      </c>
      <c r="D2" s="117" t="s">
        <v>898</v>
      </c>
    </row>
    <row r="3" spans="1:16380" ht="44.25" customHeight="1" x14ac:dyDescent="0.25">
      <c r="A3" s="113"/>
      <c r="B3" s="114"/>
      <c r="C3" s="116"/>
      <c r="D3" s="118"/>
      <c r="E3" s="15" t="str">
        <f>IF(ISNUMBER(COUNTIF(G19:G28, "false")), "Yes", "No")</f>
        <v>Yes</v>
      </c>
    </row>
    <row r="4" spans="1:16380" ht="22.5" customHeight="1" x14ac:dyDescent="0.2">
      <c r="A4" s="104" t="s">
        <v>151</v>
      </c>
      <c r="B4" s="104"/>
      <c r="C4" s="104"/>
      <c r="D4" s="104"/>
    </row>
    <row r="5" spans="1:16380" ht="17.25" customHeight="1" x14ac:dyDescent="0.25">
      <c r="A5" s="43" t="s">
        <v>945</v>
      </c>
      <c r="B5" s="66" t="s">
        <v>899</v>
      </c>
      <c r="C5" s="45" t="s">
        <v>946</v>
      </c>
      <c r="D5" s="47" t="s">
        <v>901</v>
      </c>
    </row>
    <row r="6" spans="1:16380" ht="17.25" customHeight="1" x14ac:dyDescent="0.25">
      <c r="A6" s="43" t="s">
        <v>947</v>
      </c>
      <c r="B6" s="66" t="s">
        <v>902</v>
      </c>
      <c r="C6" s="43" t="s">
        <v>948</v>
      </c>
      <c r="D6" s="66" t="s">
        <v>903</v>
      </c>
    </row>
    <row r="7" spans="1:16380" ht="47.25" customHeight="1" x14ac:dyDescent="0.25">
      <c r="A7" s="43" t="s">
        <v>952</v>
      </c>
      <c r="B7" s="68" t="s">
        <v>904</v>
      </c>
      <c r="C7" s="46" t="s">
        <v>949</v>
      </c>
      <c r="D7" s="67" t="s">
        <v>905</v>
      </c>
    </row>
    <row r="8" spans="1:16380" ht="33.75" customHeight="1" x14ac:dyDescent="0.25">
      <c r="A8" s="43" t="s">
        <v>950</v>
      </c>
      <c r="B8" s="119" t="s">
        <v>906</v>
      </c>
      <c r="C8" s="120"/>
      <c r="D8" s="121"/>
    </row>
    <row r="9" spans="1:16380" ht="17.25" customHeight="1" x14ac:dyDescent="0.25">
      <c r="A9" s="37" t="s">
        <v>199</v>
      </c>
      <c r="B9" s="101" t="s">
        <v>907</v>
      </c>
      <c r="C9" s="102"/>
      <c r="D9" s="103"/>
    </row>
    <row r="10" spans="1:16380" ht="22.5" customHeight="1" x14ac:dyDescent="0.2">
      <c r="A10" s="104" t="s">
        <v>889</v>
      </c>
      <c r="B10" s="104"/>
      <c r="C10" s="104"/>
      <c r="D10" s="104"/>
    </row>
    <row r="11" spans="1:16380" ht="44.25" customHeight="1" x14ac:dyDescent="0.2">
      <c r="A11" s="43" t="s">
        <v>955</v>
      </c>
      <c r="B11" s="68" t="s">
        <v>914</v>
      </c>
      <c r="C11" s="19" t="s">
        <v>951</v>
      </c>
      <c r="D11" s="68" t="s">
        <v>916</v>
      </c>
    </row>
    <row r="12" spans="1:16380" ht="49.5" customHeight="1" x14ac:dyDescent="0.2">
      <c r="A12" s="43" t="s">
        <v>953</v>
      </c>
      <c r="B12" s="68" t="s">
        <v>915</v>
      </c>
      <c r="C12" s="43" t="s">
        <v>954</v>
      </c>
      <c r="D12" s="68" t="s">
        <v>917</v>
      </c>
    </row>
    <row r="13" spans="1:16380" ht="34.5" customHeight="1" x14ac:dyDescent="0.2">
      <c r="A13" s="104" t="s">
        <v>96</v>
      </c>
      <c r="B13" s="104"/>
      <c r="C13" s="104"/>
      <c r="D13" s="104"/>
      <c r="E13" s="4"/>
      <c r="F13" s="4"/>
      <c r="G13" s="4"/>
      <c r="H13" s="4"/>
    </row>
    <row r="14" spans="1:16380" ht="65.25" customHeight="1" x14ac:dyDescent="0.25">
      <c r="A14" s="69" t="s">
        <v>908</v>
      </c>
      <c r="B14" s="73" t="s">
        <v>919</v>
      </c>
      <c r="C14" s="31" t="s">
        <v>83</v>
      </c>
      <c r="D14" s="72" t="s">
        <v>918</v>
      </c>
      <c r="E14" s="105"/>
      <c r="F14" s="105"/>
      <c r="G14" s="105"/>
      <c r="H14" s="106"/>
      <c r="I14" s="107" t="s">
        <v>1</v>
      </c>
      <c r="J14" s="108"/>
      <c r="K14" s="108"/>
      <c r="L14" s="109"/>
      <c r="M14" s="107" t="s">
        <v>1</v>
      </c>
      <c r="N14" s="108"/>
      <c r="O14" s="108"/>
      <c r="P14" s="109"/>
      <c r="Q14" s="107" t="s">
        <v>1</v>
      </c>
      <c r="R14" s="108"/>
      <c r="S14" s="108"/>
      <c r="T14" s="109"/>
      <c r="U14" s="107" t="s">
        <v>1</v>
      </c>
      <c r="V14" s="108"/>
      <c r="W14" s="108"/>
      <c r="X14" s="109"/>
      <c r="Y14" s="107" t="s">
        <v>1</v>
      </c>
      <c r="Z14" s="108"/>
      <c r="AA14" s="108"/>
      <c r="AB14" s="109"/>
      <c r="AC14" s="107" t="s">
        <v>1</v>
      </c>
      <c r="AD14" s="108"/>
      <c r="AE14" s="108"/>
      <c r="AF14" s="109"/>
      <c r="AG14" s="107" t="s">
        <v>1</v>
      </c>
      <c r="AH14" s="108"/>
      <c r="AI14" s="108"/>
      <c r="AJ14" s="109"/>
      <c r="AK14" s="107" t="s">
        <v>1</v>
      </c>
      <c r="AL14" s="108"/>
      <c r="AM14" s="108"/>
      <c r="AN14" s="109"/>
      <c r="AO14" s="107" t="s">
        <v>1</v>
      </c>
      <c r="AP14" s="108"/>
      <c r="AQ14" s="108"/>
      <c r="AR14" s="109"/>
      <c r="AS14" s="107" t="s">
        <v>1</v>
      </c>
      <c r="AT14" s="108"/>
      <c r="AU14" s="108"/>
      <c r="AV14" s="109"/>
      <c r="AW14" s="107" t="s">
        <v>1</v>
      </c>
      <c r="AX14" s="108"/>
      <c r="AY14" s="108"/>
      <c r="AZ14" s="109"/>
      <c r="BA14" s="107" t="s">
        <v>1</v>
      </c>
      <c r="BB14" s="108"/>
      <c r="BC14" s="108"/>
      <c r="BD14" s="109"/>
      <c r="BE14" s="107" t="s">
        <v>1</v>
      </c>
      <c r="BF14" s="108"/>
      <c r="BG14" s="108"/>
      <c r="BH14" s="109"/>
      <c r="BI14" s="107" t="s">
        <v>1</v>
      </c>
      <c r="BJ14" s="108"/>
      <c r="BK14" s="108"/>
      <c r="BL14" s="109"/>
      <c r="BM14" s="107" t="s">
        <v>1</v>
      </c>
      <c r="BN14" s="108"/>
      <c r="BO14" s="108"/>
      <c r="BP14" s="109"/>
      <c r="BQ14" s="107" t="s">
        <v>1</v>
      </c>
      <c r="BR14" s="108"/>
      <c r="BS14" s="108"/>
      <c r="BT14" s="109"/>
      <c r="BU14" s="107" t="s">
        <v>1</v>
      </c>
      <c r="BV14" s="108"/>
      <c r="BW14" s="108"/>
      <c r="BX14" s="109"/>
      <c r="BY14" s="107" t="s">
        <v>1</v>
      </c>
      <c r="BZ14" s="108"/>
      <c r="CA14" s="108"/>
      <c r="CB14" s="109"/>
      <c r="CC14" s="107" t="s">
        <v>1</v>
      </c>
      <c r="CD14" s="108"/>
      <c r="CE14" s="108"/>
      <c r="CF14" s="109"/>
      <c r="CG14" s="107" t="s">
        <v>1</v>
      </c>
      <c r="CH14" s="108"/>
      <c r="CI14" s="108"/>
      <c r="CJ14" s="109"/>
      <c r="CK14" s="107" t="s">
        <v>1</v>
      </c>
      <c r="CL14" s="108"/>
      <c r="CM14" s="108"/>
      <c r="CN14" s="109"/>
      <c r="CO14" s="107" t="s">
        <v>1</v>
      </c>
      <c r="CP14" s="108"/>
      <c r="CQ14" s="108"/>
      <c r="CR14" s="109"/>
      <c r="CS14" s="107" t="s">
        <v>1</v>
      </c>
      <c r="CT14" s="108"/>
      <c r="CU14" s="108"/>
      <c r="CV14" s="109"/>
      <c r="CW14" s="107" t="s">
        <v>1</v>
      </c>
      <c r="CX14" s="108"/>
      <c r="CY14" s="108"/>
      <c r="CZ14" s="109"/>
      <c r="DA14" s="107" t="s">
        <v>1</v>
      </c>
      <c r="DB14" s="108"/>
      <c r="DC14" s="108"/>
      <c r="DD14" s="109"/>
      <c r="DE14" s="107" t="s">
        <v>1</v>
      </c>
      <c r="DF14" s="108"/>
      <c r="DG14" s="108"/>
      <c r="DH14" s="109"/>
      <c r="DI14" s="107" t="s">
        <v>1</v>
      </c>
      <c r="DJ14" s="108"/>
      <c r="DK14" s="108"/>
      <c r="DL14" s="109"/>
      <c r="DM14" s="107" t="s">
        <v>1</v>
      </c>
      <c r="DN14" s="108"/>
      <c r="DO14" s="108"/>
      <c r="DP14" s="109"/>
      <c r="DQ14" s="107" t="s">
        <v>1</v>
      </c>
      <c r="DR14" s="108"/>
      <c r="DS14" s="108"/>
      <c r="DT14" s="109"/>
      <c r="DU14" s="107" t="s">
        <v>1</v>
      </c>
      <c r="DV14" s="108"/>
      <c r="DW14" s="108"/>
      <c r="DX14" s="109"/>
      <c r="DY14" s="107" t="s">
        <v>1</v>
      </c>
      <c r="DZ14" s="108"/>
      <c r="EA14" s="108"/>
      <c r="EB14" s="109"/>
      <c r="EC14" s="107" t="s">
        <v>1</v>
      </c>
      <c r="ED14" s="108"/>
      <c r="EE14" s="108"/>
      <c r="EF14" s="109"/>
      <c r="EG14" s="107" t="s">
        <v>1</v>
      </c>
      <c r="EH14" s="108"/>
      <c r="EI14" s="108"/>
      <c r="EJ14" s="109"/>
      <c r="EK14" s="107" t="s">
        <v>1</v>
      </c>
      <c r="EL14" s="108"/>
      <c r="EM14" s="108"/>
      <c r="EN14" s="109"/>
      <c r="EO14" s="107" t="s">
        <v>1</v>
      </c>
      <c r="EP14" s="108"/>
      <c r="EQ14" s="108"/>
      <c r="ER14" s="109"/>
      <c r="ES14" s="107" t="s">
        <v>1</v>
      </c>
      <c r="ET14" s="108"/>
      <c r="EU14" s="108"/>
      <c r="EV14" s="109"/>
      <c r="EW14" s="107" t="s">
        <v>1</v>
      </c>
      <c r="EX14" s="108"/>
      <c r="EY14" s="108"/>
      <c r="EZ14" s="109"/>
      <c r="FA14" s="107" t="s">
        <v>1</v>
      </c>
      <c r="FB14" s="108"/>
      <c r="FC14" s="108"/>
      <c r="FD14" s="109"/>
      <c r="FE14" s="107" t="s">
        <v>1</v>
      </c>
      <c r="FF14" s="108"/>
      <c r="FG14" s="108"/>
      <c r="FH14" s="109"/>
      <c r="FI14" s="107" t="s">
        <v>1</v>
      </c>
      <c r="FJ14" s="108"/>
      <c r="FK14" s="108"/>
      <c r="FL14" s="109"/>
      <c r="FM14" s="107" t="s">
        <v>1</v>
      </c>
      <c r="FN14" s="108"/>
      <c r="FO14" s="108"/>
      <c r="FP14" s="109"/>
      <c r="FQ14" s="107" t="s">
        <v>1</v>
      </c>
      <c r="FR14" s="108"/>
      <c r="FS14" s="108"/>
      <c r="FT14" s="109"/>
      <c r="FU14" s="107" t="s">
        <v>1</v>
      </c>
      <c r="FV14" s="108"/>
      <c r="FW14" s="108"/>
      <c r="FX14" s="109"/>
      <c r="FY14" s="107" t="s">
        <v>1</v>
      </c>
      <c r="FZ14" s="108"/>
      <c r="GA14" s="108"/>
      <c r="GB14" s="109"/>
      <c r="GC14" s="107" t="s">
        <v>1</v>
      </c>
      <c r="GD14" s="108"/>
      <c r="GE14" s="108"/>
      <c r="GF14" s="109"/>
      <c r="GG14" s="107" t="s">
        <v>1</v>
      </c>
      <c r="GH14" s="108"/>
      <c r="GI14" s="108"/>
      <c r="GJ14" s="109"/>
      <c r="GK14" s="107" t="s">
        <v>1</v>
      </c>
      <c r="GL14" s="108"/>
      <c r="GM14" s="108"/>
      <c r="GN14" s="109"/>
      <c r="GO14" s="107" t="s">
        <v>1</v>
      </c>
      <c r="GP14" s="108"/>
      <c r="GQ14" s="108"/>
      <c r="GR14" s="109"/>
      <c r="GS14" s="107" t="s">
        <v>1</v>
      </c>
      <c r="GT14" s="108"/>
      <c r="GU14" s="108"/>
      <c r="GV14" s="109"/>
      <c r="GW14" s="107" t="s">
        <v>1</v>
      </c>
      <c r="GX14" s="108"/>
      <c r="GY14" s="108"/>
      <c r="GZ14" s="109"/>
      <c r="HA14" s="107" t="s">
        <v>1</v>
      </c>
      <c r="HB14" s="108"/>
      <c r="HC14" s="108"/>
      <c r="HD14" s="109"/>
      <c r="HE14" s="107" t="s">
        <v>1</v>
      </c>
      <c r="HF14" s="108"/>
      <c r="HG14" s="108"/>
      <c r="HH14" s="109"/>
      <c r="HI14" s="107" t="s">
        <v>1</v>
      </c>
      <c r="HJ14" s="108"/>
      <c r="HK14" s="108"/>
      <c r="HL14" s="109"/>
      <c r="HM14" s="107" t="s">
        <v>1</v>
      </c>
      <c r="HN14" s="108"/>
      <c r="HO14" s="108"/>
      <c r="HP14" s="109"/>
      <c r="HQ14" s="107" t="s">
        <v>1</v>
      </c>
      <c r="HR14" s="108"/>
      <c r="HS14" s="108"/>
      <c r="HT14" s="109"/>
      <c r="HU14" s="107" t="s">
        <v>1</v>
      </c>
      <c r="HV14" s="108"/>
      <c r="HW14" s="108"/>
      <c r="HX14" s="109"/>
      <c r="HY14" s="107" t="s">
        <v>1</v>
      </c>
      <c r="HZ14" s="108"/>
      <c r="IA14" s="108"/>
      <c r="IB14" s="109"/>
      <c r="IC14" s="107" t="s">
        <v>1</v>
      </c>
      <c r="ID14" s="108"/>
      <c r="IE14" s="108"/>
      <c r="IF14" s="109"/>
      <c r="IG14" s="107" t="s">
        <v>1</v>
      </c>
      <c r="IH14" s="108"/>
      <c r="II14" s="108"/>
      <c r="IJ14" s="109"/>
      <c r="IK14" s="107" t="s">
        <v>1</v>
      </c>
      <c r="IL14" s="108"/>
      <c r="IM14" s="108"/>
      <c r="IN14" s="109"/>
      <c r="IO14" s="107" t="s">
        <v>1</v>
      </c>
      <c r="IP14" s="108"/>
      <c r="IQ14" s="108"/>
      <c r="IR14" s="109"/>
      <c r="IS14" s="107" t="s">
        <v>1</v>
      </c>
      <c r="IT14" s="108"/>
      <c r="IU14" s="108"/>
      <c r="IV14" s="109"/>
      <c r="IW14" s="107" t="s">
        <v>1</v>
      </c>
      <c r="IX14" s="108"/>
      <c r="IY14" s="108"/>
      <c r="IZ14" s="109"/>
      <c r="JA14" s="107" t="s">
        <v>1</v>
      </c>
      <c r="JB14" s="108"/>
      <c r="JC14" s="108"/>
      <c r="JD14" s="109"/>
      <c r="JE14" s="107" t="s">
        <v>1</v>
      </c>
      <c r="JF14" s="108"/>
      <c r="JG14" s="108"/>
      <c r="JH14" s="109"/>
      <c r="JI14" s="107" t="s">
        <v>1</v>
      </c>
      <c r="JJ14" s="108"/>
      <c r="JK14" s="108"/>
      <c r="JL14" s="109"/>
      <c r="JM14" s="107" t="s">
        <v>1</v>
      </c>
      <c r="JN14" s="108"/>
      <c r="JO14" s="108"/>
      <c r="JP14" s="109"/>
      <c r="JQ14" s="107" t="s">
        <v>1</v>
      </c>
      <c r="JR14" s="108"/>
      <c r="JS14" s="108"/>
      <c r="JT14" s="109"/>
      <c r="JU14" s="107" t="s">
        <v>1</v>
      </c>
      <c r="JV14" s="108"/>
      <c r="JW14" s="108"/>
      <c r="JX14" s="109"/>
      <c r="JY14" s="107" t="s">
        <v>1</v>
      </c>
      <c r="JZ14" s="108"/>
      <c r="KA14" s="108"/>
      <c r="KB14" s="109"/>
      <c r="KC14" s="107" t="s">
        <v>1</v>
      </c>
      <c r="KD14" s="108"/>
      <c r="KE14" s="108"/>
      <c r="KF14" s="109"/>
      <c r="KG14" s="107" t="s">
        <v>1</v>
      </c>
      <c r="KH14" s="108"/>
      <c r="KI14" s="108"/>
      <c r="KJ14" s="109"/>
      <c r="KK14" s="107" t="s">
        <v>1</v>
      </c>
      <c r="KL14" s="108"/>
      <c r="KM14" s="108"/>
      <c r="KN14" s="109"/>
      <c r="KO14" s="107" t="s">
        <v>1</v>
      </c>
      <c r="KP14" s="108"/>
      <c r="KQ14" s="108"/>
      <c r="KR14" s="109"/>
      <c r="KS14" s="107" t="s">
        <v>1</v>
      </c>
      <c r="KT14" s="108"/>
      <c r="KU14" s="108"/>
      <c r="KV14" s="109"/>
      <c r="KW14" s="107" t="s">
        <v>1</v>
      </c>
      <c r="KX14" s="108"/>
      <c r="KY14" s="108"/>
      <c r="KZ14" s="109"/>
      <c r="LA14" s="107" t="s">
        <v>1</v>
      </c>
      <c r="LB14" s="108"/>
      <c r="LC14" s="108"/>
      <c r="LD14" s="109"/>
      <c r="LE14" s="107" t="s">
        <v>1</v>
      </c>
      <c r="LF14" s="108"/>
      <c r="LG14" s="108"/>
      <c r="LH14" s="109"/>
      <c r="LI14" s="107" t="s">
        <v>1</v>
      </c>
      <c r="LJ14" s="108"/>
      <c r="LK14" s="108"/>
      <c r="LL14" s="109"/>
      <c r="LM14" s="107" t="s">
        <v>1</v>
      </c>
      <c r="LN14" s="108"/>
      <c r="LO14" s="108"/>
      <c r="LP14" s="109"/>
      <c r="LQ14" s="107" t="s">
        <v>1</v>
      </c>
      <c r="LR14" s="108"/>
      <c r="LS14" s="108"/>
      <c r="LT14" s="109"/>
      <c r="LU14" s="107" t="s">
        <v>1</v>
      </c>
      <c r="LV14" s="108"/>
      <c r="LW14" s="108"/>
      <c r="LX14" s="109"/>
      <c r="LY14" s="107" t="s">
        <v>1</v>
      </c>
      <c r="LZ14" s="108"/>
      <c r="MA14" s="108"/>
      <c r="MB14" s="109"/>
      <c r="MC14" s="107" t="s">
        <v>1</v>
      </c>
      <c r="MD14" s="108"/>
      <c r="ME14" s="108"/>
      <c r="MF14" s="109"/>
      <c r="MG14" s="107" t="s">
        <v>1</v>
      </c>
      <c r="MH14" s="108"/>
      <c r="MI14" s="108"/>
      <c r="MJ14" s="109"/>
      <c r="MK14" s="107" t="s">
        <v>1</v>
      </c>
      <c r="ML14" s="108"/>
      <c r="MM14" s="108"/>
      <c r="MN14" s="109"/>
      <c r="MO14" s="107" t="s">
        <v>1</v>
      </c>
      <c r="MP14" s="108"/>
      <c r="MQ14" s="108"/>
      <c r="MR14" s="109"/>
      <c r="MS14" s="107" t="s">
        <v>1</v>
      </c>
      <c r="MT14" s="108"/>
      <c r="MU14" s="108"/>
      <c r="MV14" s="109"/>
      <c r="MW14" s="107" t="s">
        <v>1</v>
      </c>
      <c r="MX14" s="108"/>
      <c r="MY14" s="108"/>
      <c r="MZ14" s="109"/>
      <c r="NA14" s="107" t="s">
        <v>1</v>
      </c>
      <c r="NB14" s="108"/>
      <c r="NC14" s="108"/>
      <c r="ND14" s="109"/>
      <c r="NE14" s="107" t="s">
        <v>1</v>
      </c>
      <c r="NF14" s="108"/>
      <c r="NG14" s="108"/>
      <c r="NH14" s="109"/>
      <c r="NI14" s="107" t="s">
        <v>1</v>
      </c>
      <c r="NJ14" s="108"/>
      <c r="NK14" s="108"/>
      <c r="NL14" s="109"/>
      <c r="NM14" s="107" t="s">
        <v>1</v>
      </c>
      <c r="NN14" s="108"/>
      <c r="NO14" s="108"/>
      <c r="NP14" s="109"/>
      <c r="NQ14" s="107" t="s">
        <v>1</v>
      </c>
      <c r="NR14" s="108"/>
      <c r="NS14" s="108"/>
      <c r="NT14" s="109"/>
      <c r="NU14" s="107" t="s">
        <v>1</v>
      </c>
      <c r="NV14" s="108"/>
      <c r="NW14" s="108"/>
      <c r="NX14" s="109"/>
      <c r="NY14" s="107" t="s">
        <v>1</v>
      </c>
      <c r="NZ14" s="108"/>
      <c r="OA14" s="108"/>
      <c r="OB14" s="109"/>
      <c r="OC14" s="107" t="s">
        <v>1</v>
      </c>
      <c r="OD14" s="108"/>
      <c r="OE14" s="108"/>
      <c r="OF14" s="109"/>
      <c r="OG14" s="107" t="s">
        <v>1</v>
      </c>
      <c r="OH14" s="108"/>
      <c r="OI14" s="108"/>
      <c r="OJ14" s="109"/>
      <c r="OK14" s="107" t="s">
        <v>1</v>
      </c>
      <c r="OL14" s="108"/>
      <c r="OM14" s="108"/>
      <c r="ON14" s="109"/>
      <c r="OO14" s="107" t="s">
        <v>1</v>
      </c>
      <c r="OP14" s="108"/>
      <c r="OQ14" s="108"/>
      <c r="OR14" s="109"/>
      <c r="OS14" s="107" t="s">
        <v>1</v>
      </c>
      <c r="OT14" s="108"/>
      <c r="OU14" s="108"/>
      <c r="OV14" s="109"/>
      <c r="OW14" s="107" t="s">
        <v>1</v>
      </c>
      <c r="OX14" s="108"/>
      <c r="OY14" s="108"/>
      <c r="OZ14" s="109"/>
      <c r="PA14" s="107" t="s">
        <v>1</v>
      </c>
      <c r="PB14" s="108"/>
      <c r="PC14" s="108"/>
      <c r="PD14" s="109"/>
      <c r="PE14" s="107" t="s">
        <v>1</v>
      </c>
      <c r="PF14" s="108"/>
      <c r="PG14" s="108"/>
      <c r="PH14" s="109"/>
      <c r="PI14" s="107" t="s">
        <v>1</v>
      </c>
      <c r="PJ14" s="108"/>
      <c r="PK14" s="108"/>
      <c r="PL14" s="109"/>
      <c r="PM14" s="107" t="s">
        <v>1</v>
      </c>
      <c r="PN14" s="108"/>
      <c r="PO14" s="108"/>
      <c r="PP14" s="109"/>
      <c r="PQ14" s="107" t="s">
        <v>1</v>
      </c>
      <c r="PR14" s="108"/>
      <c r="PS14" s="108"/>
      <c r="PT14" s="109"/>
      <c r="PU14" s="107" t="s">
        <v>1</v>
      </c>
      <c r="PV14" s="108"/>
      <c r="PW14" s="108"/>
      <c r="PX14" s="109"/>
      <c r="PY14" s="107" t="s">
        <v>1</v>
      </c>
      <c r="PZ14" s="108"/>
      <c r="QA14" s="108"/>
      <c r="QB14" s="109"/>
      <c r="QC14" s="107" t="s">
        <v>1</v>
      </c>
      <c r="QD14" s="108"/>
      <c r="QE14" s="108"/>
      <c r="QF14" s="109"/>
      <c r="QG14" s="107" t="s">
        <v>1</v>
      </c>
      <c r="QH14" s="108"/>
      <c r="QI14" s="108"/>
      <c r="QJ14" s="109"/>
      <c r="QK14" s="107" t="s">
        <v>1</v>
      </c>
      <c r="QL14" s="108"/>
      <c r="QM14" s="108"/>
      <c r="QN14" s="109"/>
      <c r="QO14" s="107" t="s">
        <v>1</v>
      </c>
      <c r="QP14" s="108"/>
      <c r="QQ14" s="108"/>
      <c r="QR14" s="109"/>
      <c r="QS14" s="107" t="s">
        <v>1</v>
      </c>
      <c r="QT14" s="108"/>
      <c r="QU14" s="108"/>
      <c r="QV14" s="109"/>
      <c r="QW14" s="107" t="s">
        <v>1</v>
      </c>
      <c r="QX14" s="108"/>
      <c r="QY14" s="108"/>
      <c r="QZ14" s="109"/>
      <c r="RA14" s="107" t="s">
        <v>1</v>
      </c>
      <c r="RB14" s="108"/>
      <c r="RC14" s="108"/>
      <c r="RD14" s="109"/>
      <c r="RE14" s="107" t="s">
        <v>1</v>
      </c>
      <c r="RF14" s="108"/>
      <c r="RG14" s="108"/>
      <c r="RH14" s="109"/>
      <c r="RI14" s="107" t="s">
        <v>1</v>
      </c>
      <c r="RJ14" s="108"/>
      <c r="RK14" s="108"/>
      <c r="RL14" s="109"/>
      <c r="RM14" s="107" t="s">
        <v>1</v>
      </c>
      <c r="RN14" s="108"/>
      <c r="RO14" s="108"/>
      <c r="RP14" s="109"/>
      <c r="RQ14" s="107" t="s">
        <v>1</v>
      </c>
      <c r="RR14" s="108"/>
      <c r="RS14" s="108"/>
      <c r="RT14" s="109"/>
      <c r="RU14" s="107" t="s">
        <v>1</v>
      </c>
      <c r="RV14" s="108"/>
      <c r="RW14" s="108"/>
      <c r="RX14" s="109"/>
      <c r="RY14" s="107" t="s">
        <v>1</v>
      </c>
      <c r="RZ14" s="108"/>
      <c r="SA14" s="108"/>
      <c r="SB14" s="109"/>
      <c r="SC14" s="107" t="s">
        <v>1</v>
      </c>
      <c r="SD14" s="108"/>
      <c r="SE14" s="108"/>
      <c r="SF14" s="109"/>
      <c r="SG14" s="107" t="s">
        <v>1</v>
      </c>
      <c r="SH14" s="108"/>
      <c r="SI14" s="108"/>
      <c r="SJ14" s="109"/>
      <c r="SK14" s="107" t="s">
        <v>1</v>
      </c>
      <c r="SL14" s="108"/>
      <c r="SM14" s="108"/>
      <c r="SN14" s="109"/>
      <c r="SO14" s="107" t="s">
        <v>1</v>
      </c>
      <c r="SP14" s="108"/>
      <c r="SQ14" s="108"/>
      <c r="SR14" s="109"/>
      <c r="SS14" s="107" t="s">
        <v>1</v>
      </c>
      <c r="ST14" s="108"/>
      <c r="SU14" s="108"/>
      <c r="SV14" s="109"/>
      <c r="SW14" s="107" t="s">
        <v>1</v>
      </c>
      <c r="SX14" s="108"/>
      <c r="SY14" s="108"/>
      <c r="SZ14" s="109"/>
      <c r="TA14" s="107" t="s">
        <v>1</v>
      </c>
      <c r="TB14" s="108"/>
      <c r="TC14" s="108"/>
      <c r="TD14" s="109"/>
      <c r="TE14" s="107" t="s">
        <v>1</v>
      </c>
      <c r="TF14" s="108"/>
      <c r="TG14" s="108"/>
      <c r="TH14" s="109"/>
      <c r="TI14" s="107" t="s">
        <v>1</v>
      </c>
      <c r="TJ14" s="108"/>
      <c r="TK14" s="108"/>
      <c r="TL14" s="109"/>
      <c r="TM14" s="107" t="s">
        <v>1</v>
      </c>
      <c r="TN14" s="108"/>
      <c r="TO14" s="108"/>
      <c r="TP14" s="109"/>
      <c r="TQ14" s="107" t="s">
        <v>1</v>
      </c>
      <c r="TR14" s="108"/>
      <c r="TS14" s="108"/>
      <c r="TT14" s="109"/>
      <c r="TU14" s="107" t="s">
        <v>1</v>
      </c>
      <c r="TV14" s="108"/>
      <c r="TW14" s="108"/>
      <c r="TX14" s="109"/>
      <c r="TY14" s="107" t="s">
        <v>1</v>
      </c>
      <c r="TZ14" s="108"/>
      <c r="UA14" s="108"/>
      <c r="UB14" s="109"/>
      <c r="UC14" s="107" t="s">
        <v>1</v>
      </c>
      <c r="UD14" s="108"/>
      <c r="UE14" s="108"/>
      <c r="UF14" s="109"/>
      <c r="UG14" s="107" t="s">
        <v>1</v>
      </c>
      <c r="UH14" s="108"/>
      <c r="UI14" s="108"/>
      <c r="UJ14" s="109"/>
      <c r="UK14" s="107" t="s">
        <v>1</v>
      </c>
      <c r="UL14" s="108"/>
      <c r="UM14" s="108"/>
      <c r="UN14" s="109"/>
      <c r="UO14" s="107" t="s">
        <v>1</v>
      </c>
      <c r="UP14" s="108"/>
      <c r="UQ14" s="108"/>
      <c r="UR14" s="109"/>
      <c r="US14" s="107" t="s">
        <v>1</v>
      </c>
      <c r="UT14" s="108"/>
      <c r="UU14" s="108"/>
      <c r="UV14" s="109"/>
      <c r="UW14" s="107" t="s">
        <v>1</v>
      </c>
      <c r="UX14" s="108"/>
      <c r="UY14" s="108"/>
      <c r="UZ14" s="109"/>
      <c r="VA14" s="107" t="s">
        <v>1</v>
      </c>
      <c r="VB14" s="108"/>
      <c r="VC14" s="108"/>
      <c r="VD14" s="109"/>
      <c r="VE14" s="107" t="s">
        <v>1</v>
      </c>
      <c r="VF14" s="108"/>
      <c r="VG14" s="108"/>
      <c r="VH14" s="109"/>
      <c r="VI14" s="107" t="s">
        <v>1</v>
      </c>
      <c r="VJ14" s="108"/>
      <c r="VK14" s="108"/>
      <c r="VL14" s="109"/>
      <c r="VM14" s="107" t="s">
        <v>1</v>
      </c>
      <c r="VN14" s="108"/>
      <c r="VO14" s="108"/>
      <c r="VP14" s="109"/>
      <c r="VQ14" s="107" t="s">
        <v>1</v>
      </c>
      <c r="VR14" s="108"/>
      <c r="VS14" s="108"/>
      <c r="VT14" s="109"/>
      <c r="VU14" s="107" t="s">
        <v>1</v>
      </c>
      <c r="VV14" s="108"/>
      <c r="VW14" s="108"/>
      <c r="VX14" s="109"/>
      <c r="VY14" s="107" t="s">
        <v>1</v>
      </c>
      <c r="VZ14" s="108"/>
      <c r="WA14" s="108"/>
      <c r="WB14" s="109"/>
      <c r="WC14" s="107" t="s">
        <v>1</v>
      </c>
      <c r="WD14" s="108"/>
      <c r="WE14" s="108"/>
      <c r="WF14" s="109"/>
      <c r="WG14" s="107" t="s">
        <v>1</v>
      </c>
      <c r="WH14" s="108"/>
      <c r="WI14" s="108"/>
      <c r="WJ14" s="109"/>
      <c r="WK14" s="107" t="s">
        <v>1</v>
      </c>
      <c r="WL14" s="108"/>
      <c r="WM14" s="108"/>
      <c r="WN14" s="109"/>
      <c r="WO14" s="107" t="s">
        <v>1</v>
      </c>
      <c r="WP14" s="108"/>
      <c r="WQ14" s="108"/>
      <c r="WR14" s="109"/>
      <c r="WS14" s="107" t="s">
        <v>1</v>
      </c>
      <c r="WT14" s="108"/>
      <c r="WU14" s="108"/>
      <c r="WV14" s="109"/>
      <c r="WW14" s="107" t="s">
        <v>1</v>
      </c>
      <c r="WX14" s="108"/>
      <c r="WY14" s="108"/>
      <c r="WZ14" s="109"/>
      <c r="XA14" s="107" t="s">
        <v>1</v>
      </c>
      <c r="XB14" s="108"/>
      <c r="XC14" s="108"/>
      <c r="XD14" s="109"/>
      <c r="XE14" s="107" t="s">
        <v>1</v>
      </c>
      <c r="XF14" s="108"/>
      <c r="XG14" s="108"/>
      <c r="XH14" s="109"/>
      <c r="XI14" s="107" t="s">
        <v>1</v>
      </c>
      <c r="XJ14" s="108"/>
      <c r="XK14" s="108"/>
      <c r="XL14" s="109"/>
      <c r="XM14" s="107" t="s">
        <v>1</v>
      </c>
      <c r="XN14" s="108"/>
      <c r="XO14" s="108"/>
      <c r="XP14" s="109"/>
      <c r="XQ14" s="107" t="s">
        <v>1</v>
      </c>
      <c r="XR14" s="108"/>
      <c r="XS14" s="108"/>
      <c r="XT14" s="109"/>
      <c r="XU14" s="107" t="s">
        <v>1</v>
      </c>
      <c r="XV14" s="108"/>
      <c r="XW14" s="108"/>
      <c r="XX14" s="109"/>
      <c r="XY14" s="107" t="s">
        <v>1</v>
      </c>
      <c r="XZ14" s="108"/>
      <c r="YA14" s="108"/>
      <c r="YB14" s="109"/>
      <c r="YC14" s="107" t="s">
        <v>1</v>
      </c>
      <c r="YD14" s="108"/>
      <c r="YE14" s="108"/>
      <c r="YF14" s="109"/>
      <c r="YG14" s="107" t="s">
        <v>1</v>
      </c>
      <c r="YH14" s="108"/>
      <c r="YI14" s="108"/>
      <c r="YJ14" s="109"/>
      <c r="YK14" s="107" t="s">
        <v>1</v>
      </c>
      <c r="YL14" s="108"/>
      <c r="YM14" s="108"/>
      <c r="YN14" s="109"/>
      <c r="YO14" s="107" t="s">
        <v>1</v>
      </c>
      <c r="YP14" s="108"/>
      <c r="YQ14" s="108"/>
      <c r="YR14" s="109"/>
      <c r="YS14" s="107" t="s">
        <v>1</v>
      </c>
      <c r="YT14" s="108"/>
      <c r="YU14" s="108"/>
      <c r="YV14" s="109"/>
      <c r="YW14" s="107" t="s">
        <v>1</v>
      </c>
      <c r="YX14" s="108"/>
      <c r="YY14" s="108"/>
      <c r="YZ14" s="109"/>
      <c r="ZA14" s="107" t="s">
        <v>1</v>
      </c>
      <c r="ZB14" s="108"/>
      <c r="ZC14" s="108"/>
      <c r="ZD14" s="109"/>
      <c r="ZE14" s="107" t="s">
        <v>1</v>
      </c>
      <c r="ZF14" s="108"/>
      <c r="ZG14" s="108"/>
      <c r="ZH14" s="109"/>
      <c r="ZI14" s="107" t="s">
        <v>1</v>
      </c>
      <c r="ZJ14" s="108"/>
      <c r="ZK14" s="108"/>
      <c r="ZL14" s="109"/>
      <c r="ZM14" s="107" t="s">
        <v>1</v>
      </c>
      <c r="ZN14" s="108"/>
      <c r="ZO14" s="108"/>
      <c r="ZP14" s="109"/>
      <c r="ZQ14" s="107" t="s">
        <v>1</v>
      </c>
      <c r="ZR14" s="108"/>
      <c r="ZS14" s="108"/>
      <c r="ZT14" s="109"/>
      <c r="ZU14" s="107" t="s">
        <v>1</v>
      </c>
      <c r="ZV14" s="108"/>
      <c r="ZW14" s="108"/>
      <c r="ZX14" s="109"/>
      <c r="ZY14" s="107" t="s">
        <v>1</v>
      </c>
      <c r="ZZ14" s="108"/>
      <c r="AAA14" s="108"/>
      <c r="AAB14" s="109"/>
      <c r="AAC14" s="107" t="s">
        <v>1</v>
      </c>
      <c r="AAD14" s="108"/>
      <c r="AAE14" s="108"/>
      <c r="AAF14" s="109"/>
      <c r="AAG14" s="107" t="s">
        <v>1</v>
      </c>
      <c r="AAH14" s="108"/>
      <c r="AAI14" s="108"/>
      <c r="AAJ14" s="109"/>
      <c r="AAK14" s="107" t="s">
        <v>1</v>
      </c>
      <c r="AAL14" s="108"/>
      <c r="AAM14" s="108"/>
      <c r="AAN14" s="109"/>
      <c r="AAO14" s="107" t="s">
        <v>1</v>
      </c>
      <c r="AAP14" s="108"/>
      <c r="AAQ14" s="108"/>
      <c r="AAR14" s="109"/>
      <c r="AAS14" s="107" t="s">
        <v>1</v>
      </c>
      <c r="AAT14" s="108"/>
      <c r="AAU14" s="108"/>
      <c r="AAV14" s="109"/>
      <c r="AAW14" s="107" t="s">
        <v>1</v>
      </c>
      <c r="AAX14" s="108"/>
      <c r="AAY14" s="108"/>
      <c r="AAZ14" s="109"/>
      <c r="ABA14" s="107" t="s">
        <v>1</v>
      </c>
      <c r="ABB14" s="108"/>
      <c r="ABC14" s="108"/>
      <c r="ABD14" s="109"/>
      <c r="ABE14" s="107" t="s">
        <v>1</v>
      </c>
      <c r="ABF14" s="108"/>
      <c r="ABG14" s="108"/>
      <c r="ABH14" s="109"/>
      <c r="ABI14" s="107" t="s">
        <v>1</v>
      </c>
      <c r="ABJ14" s="108"/>
      <c r="ABK14" s="108"/>
      <c r="ABL14" s="109"/>
      <c r="ABM14" s="107" t="s">
        <v>1</v>
      </c>
      <c r="ABN14" s="108"/>
      <c r="ABO14" s="108"/>
      <c r="ABP14" s="109"/>
      <c r="ABQ14" s="107" t="s">
        <v>1</v>
      </c>
      <c r="ABR14" s="108"/>
      <c r="ABS14" s="108"/>
      <c r="ABT14" s="109"/>
      <c r="ABU14" s="107" t="s">
        <v>1</v>
      </c>
      <c r="ABV14" s="108"/>
      <c r="ABW14" s="108"/>
      <c r="ABX14" s="109"/>
      <c r="ABY14" s="107" t="s">
        <v>1</v>
      </c>
      <c r="ABZ14" s="108"/>
      <c r="ACA14" s="108"/>
      <c r="ACB14" s="109"/>
      <c r="ACC14" s="107" t="s">
        <v>1</v>
      </c>
      <c r="ACD14" s="108"/>
      <c r="ACE14" s="108"/>
      <c r="ACF14" s="109"/>
      <c r="ACG14" s="107" t="s">
        <v>1</v>
      </c>
      <c r="ACH14" s="108"/>
      <c r="ACI14" s="108"/>
      <c r="ACJ14" s="109"/>
      <c r="ACK14" s="107" t="s">
        <v>1</v>
      </c>
      <c r="ACL14" s="108"/>
      <c r="ACM14" s="108"/>
      <c r="ACN14" s="109"/>
      <c r="ACO14" s="107" t="s">
        <v>1</v>
      </c>
      <c r="ACP14" s="108"/>
      <c r="ACQ14" s="108"/>
      <c r="ACR14" s="109"/>
      <c r="ACS14" s="107" t="s">
        <v>1</v>
      </c>
      <c r="ACT14" s="108"/>
      <c r="ACU14" s="108"/>
      <c r="ACV14" s="109"/>
      <c r="ACW14" s="107" t="s">
        <v>1</v>
      </c>
      <c r="ACX14" s="108"/>
      <c r="ACY14" s="108"/>
      <c r="ACZ14" s="109"/>
      <c r="ADA14" s="107" t="s">
        <v>1</v>
      </c>
      <c r="ADB14" s="108"/>
      <c r="ADC14" s="108"/>
      <c r="ADD14" s="109"/>
      <c r="ADE14" s="107" t="s">
        <v>1</v>
      </c>
      <c r="ADF14" s="108"/>
      <c r="ADG14" s="108"/>
      <c r="ADH14" s="109"/>
      <c r="ADI14" s="107" t="s">
        <v>1</v>
      </c>
      <c r="ADJ14" s="108"/>
      <c r="ADK14" s="108"/>
      <c r="ADL14" s="109"/>
      <c r="ADM14" s="107" t="s">
        <v>1</v>
      </c>
      <c r="ADN14" s="108"/>
      <c r="ADO14" s="108"/>
      <c r="ADP14" s="109"/>
      <c r="ADQ14" s="107" t="s">
        <v>1</v>
      </c>
      <c r="ADR14" s="108"/>
      <c r="ADS14" s="108"/>
      <c r="ADT14" s="109"/>
      <c r="ADU14" s="107" t="s">
        <v>1</v>
      </c>
      <c r="ADV14" s="108"/>
      <c r="ADW14" s="108"/>
      <c r="ADX14" s="109"/>
      <c r="ADY14" s="107" t="s">
        <v>1</v>
      </c>
      <c r="ADZ14" s="108"/>
      <c r="AEA14" s="108"/>
      <c r="AEB14" s="109"/>
      <c r="AEC14" s="107" t="s">
        <v>1</v>
      </c>
      <c r="AED14" s="108"/>
      <c r="AEE14" s="108"/>
      <c r="AEF14" s="109"/>
      <c r="AEG14" s="107" t="s">
        <v>1</v>
      </c>
      <c r="AEH14" s="108"/>
      <c r="AEI14" s="108"/>
      <c r="AEJ14" s="109"/>
      <c r="AEK14" s="107" t="s">
        <v>1</v>
      </c>
      <c r="AEL14" s="108"/>
      <c r="AEM14" s="108"/>
      <c r="AEN14" s="109"/>
      <c r="AEO14" s="107" t="s">
        <v>1</v>
      </c>
      <c r="AEP14" s="108"/>
      <c r="AEQ14" s="108"/>
      <c r="AER14" s="109"/>
      <c r="AES14" s="107" t="s">
        <v>1</v>
      </c>
      <c r="AET14" s="108"/>
      <c r="AEU14" s="108"/>
      <c r="AEV14" s="109"/>
      <c r="AEW14" s="107" t="s">
        <v>1</v>
      </c>
      <c r="AEX14" s="108"/>
      <c r="AEY14" s="108"/>
      <c r="AEZ14" s="109"/>
      <c r="AFA14" s="107" t="s">
        <v>1</v>
      </c>
      <c r="AFB14" s="108"/>
      <c r="AFC14" s="108"/>
      <c r="AFD14" s="109"/>
      <c r="AFE14" s="107" t="s">
        <v>1</v>
      </c>
      <c r="AFF14" s="108"/>
      <c r="AFG14" s="108"/>
      <c r="AFH14" s="109"/>
      <c r="AFI14" s="107" t="s">
        <v>1</v>
      </c>
      <c r="AFJ14" s="108"/>
      <c r="AFK14" s="108"/>
      <c r="AFL14" s="109"/>
      <c r="AFM14" s="107" t="s">
        <v>1</v>
      </c>
      <c r="AFN14" s="108"/>
      <c r="AFO14" s="108"/>
      <c r="AFP14" s="109"/>
      <c r="AFQ14" s="107" t="s">
        <v>1</v>
      </c>
      <c r="AFR14" s="108"/>
      <c r="AFS14" s="108"/>
      <c r="AFT14" s="109"/>
      <c r="AFU14" s="107" t="s">
        <v>1</v>
      </c>
      <c r="AFV14" s="108"/>
      <c r="AFW14" s="108"/>
      <c r="AFX14" s="109"/>
      <c r="AFY14" s="107" t="s">
        <v>1</v>
      </c>
      <c r="AFZ14" s="108"/>
      <c r="AGA14" s="108"/>
      <c r="AGB14" s="109"/>
      <c r="AGC14" s="107" t="s">
        <v>1</v>
      </c>
      <c r="AGD14" s="108"/>
      <c r="AGE14" s="108"/>
      <c r="AGF14" s="109"/>
      <c r="AGG14" s="107" t="s">
        <v>1</v>
      </c>
      <c r="AGH14" s="108"/>
      <c r="AGI14" s="108"/>
      <c r="AGJ14" s="109"/>
      <c r="AGK14" s="107" t="s">
        <v>1</v>
      </c>
      <c r="AGL14" s="108"/>
      <c r="AGM14" s="108"/>
      <c r="AGN14" s="109"/>
      <c r="AGO14" s="107" t="s">
        <v>1</v>
      </c>
      <c r="AGP14" s="108"/>
      <c r="AGQ14" s="108"/>
      <c r="AGR14" s="109"/>
      <c r="AGS14" s="107" t="s">
        <v>1</v>
      </c>
      <c r="AGT14" s="108"/>
      <c r="AGU14" s="108"/>
      <c r="AGV14" s="109"/>
      <c r="AGW14" s="107" t="s">
        <v>1</v>
      </c>
      <c r="AGX14" s="108"/>
      <c r="AGY14" s="108"/>
      <c r="AGZ14" s="109"/>
      <c r="AHA14" s="107" t="s">
        <v>1</v>
      </c>
      <c r="AHB14" s="108"/>
      <c r="AHC14" s="108"/>
      <c r="AHD14" s="109"/>
      <c r="AHE14" s="107" t="s">
        <v>1</v>
      </c>
      <c r="AHF14" s="108"/>
      <c r="AHG14" s="108"/>
      <c r="AHH14" s="109"/>
      <c r="AHI14" s="107" t="s">
        <v>1</v>
      </c>
      <c r="AHJ14" s="108"/>
      <c r="AHK14" s="108"/>
      <c r="AHL14" s="109"/>
      <c r="AHM14" s="107" t="s">
        <v>1</v>
      </c>
      <c r="AHN14" s="108"/>
      <c r="AHO14" s="108"/>
      <c r="AHP14" s="109"/>
      <c r="AHQ14" s="107" t="s">
        <v>1</v>
      </c>
      <c r="AHR14" s="108"/>
      <c r="AHS14" s="108"/>
      <c r="AHT14" s="109"/>
      <c r="AHU14" s="107" t="s">
        <v>1</v>
      </c>
      <c r="AHV14" s="108"/>
      <c r="AHW14" s="108"/>
      <c r="AHX14" s="109"/>
      <c r="AHY14" s="107" t="s">
        <v>1</v>
      </c>
      <c r="AHZ14" s="108"/>
      <c r="AIA14" s="108"/>
      <c r="AIB14" s="109"/>
      <c r="AIC14" s="107" t="s">
        <v>1</v>
      </c>
      <c r="AID14" s="108"/>
      <c r="AIE14" s="108"/>
      <c r="AIF14" s="109"/>
      <c r="AIG14" s="107" t="s">
        <v>1</v>
      </c>
      <c r="AIH14" s="108"/>
      <c r="AII14" s="108"/>
      <c r="AIJ14" s="109"/>
      <c r="AIK14" s="107" t="s">
        <v>1</v>
      </c>
      <c r="AIL14" s="108"/>
      <c r="AIM14" s="108"/>
      <c r="AIN14" s="109"/>
      <c r="AIO14" s="107" t="s">
        <v>1</v>
      </c>
      <c r="AIP14" s="108"/>
      <c r="AIQ14" s="108"/>
      <c r="AIR14" s="109"/>
      <c r="AIS14" s="107" t="s">
        <v>1</v>
      </c>
      <c r="AIT14" s="108"/>
      <c r="AIU14" s="108"/>
      <c r="AIV14" s="109"/>
      <c r="AIW14" s="107" t="s">
        <v>1</v>
      </c>
      <c r="AIX14" s="108"/>
      <c r="AIY14" s="108"/>
      <c r="AIZ14" s="109"/>
      <c r="AJA14" s="107" t="s">
        <v>1</v>
      </c>
      <c r="AJB14" s="108"/>
      <c r="AJC14" s="108"/>
      <c r="AJD14" s="109"/>
      <c r="AJE14" s="107" t="s">
        <v>1</v>
      </c>
      <c r="AJF14" s="108"/>
      <c r="AJG14" s="108"/>
      <c r="AJH14" s="109"/>
      <c r="AJI14" s="107" t="s">
        <v>1</v>
      </c>
      <c r="AJJ14" s="108"/>
      <c r="AJK14" s="108"/>
      <c r="AJL14" s="109"/>
      <c r="AJM14" s="107" t="s">
        <v>1</v>
      </c>
      <c r="AJN14" s="108"/>
      <c r="AJO14" s="108"/>
      <c r="AJP14" s="109"/>
      <c r="AJQ14" s="107" t="s">
        <v>1</v>
      </c>
      <c r="AJR14" s="108"/>
      <c r="AJS14" s="108"/>
      <c r="AJT14" s="109"/>
      <c r="AJU14" s="107" t="s">
        <v>1</v>
      </c>
      <c r="AJV14" s="108"/>
      <c r="AJW14" s="108"/>
      <c r="AJX14" s="109"/>
      <c r="AJY14" s="107" t="s">
        <v>1</v>
      </c>
      <c r="AJZ14" s="108"/>
      <c r="AKA14" s="108"/>
      <c r="AKB14" s="109"/>
      <c r="AKC14" s="107" t="s">
        <v>1</v>
      </c>
      <c r="AKD14" s="108"/>
      <c r="AKE14" s="108"/>
      <c r="AKF14" s="109"/>
      <c r="AKG14" s="107" t="s">
        <v>1</v>
      </c>
      <c r="AKH14" s="108"/>
      <c r="AKI14" s="108"/>
      <c r="AKJ14" s="109"/>
      <c r="AKK14" s="107" t="s">
        <v>1</v>
      </c>
      <c r="AKL14" s="108"/>
      <c r="AKM14" s="108"/>
      <c r="AKN14" s="109"/>
      <c r="AKO14" s="107" t="s">
        <v>1</v>
      </c>
      <c r="AKP14" s="108"/>
      <c r="AKQ14" s="108"/>
      <c r="AKR14" s="109"/>
      <c r="AKS14" s="107" t="s">
        <v>1</v>
      </c>
      <c r="AKT14" s="108"/>
      <c r="AKU14" s="108"/>
      <c r="AKV14" s="109"/>
      <c r="AKW14" s="107" t="s">
        <v>1</v>
      </c>
      <c r="AKX14" s="108"/>
      <c r="AKY14" s="108"/>
      <c r="AKZ14" s="109"/>
      <c r="ALA14" s="107" t="s">
        <v>1</v>
      </c>
      <c r="ALB14" s="108"/>
      <c r="ALC14" s="108"/>
      <c r="ALD14" s="109"/>
      <c r="ALE14" s="107" t="s">
        <v>1</v>
      </c>
      <c r="ALF14" s="108"/>
      <c r="ALG14" s="108"/>
      <c r="ALH14" s="109"/>
      <c r="ALI14" s="107" t="s">
        <v>1</v>
      </c>
      <c r="ALJ14" s="108"/>
      <c r="ALK14" s="108"/>
      <c r="ALL14" s="109"/>
      <c r="ALM14" s="107" t="s">
        <v>1</v>
      </c>
      <c r="ALN14" s="108"/>
      <c r="ALO14" s="108"/>
      <c r="ALP14" s="109"/>
      <c r="ALQ14" s="107" t="s">
        <v>1</v>
      </c>
      <c r="ALR14" s="108"/>
      <c r="ALS14" s="108"/>
      <c r="ALT14" s="109"/>
      <c r="ALU14" s="107" t="s">
        <v>1</v>
      </c>
      <c r="ALV14" s="108"/>
      <c r="ALW14" s="108"/>
      <c r="ALX14" s="109"/>
      <c r="ALY14" s="107" t="s">
        <v>1</v>
      </c>
      <c r="ALZ14" s="108"/>
      <c r="AMA14" s="108"/>
      <c r="AMB14" s="109"/>
      <c r="AMC14" s="107" t="s">
        <v>1</v>
      </c>
      <c r="AMD14" s="108"/>
      <c r="AME14" s="108"/>
      <c r="AMF14" s="109"/>
      <c r="AMG14" s="107" t="s">
        <v>1</v>
      </c>
      <c r="AMH14" s="108"/>
      <c r="AMI14" s="108"/>
      <c r="AMJ14" s="109"/>
      <c r="AMK14" s="107" t="s">
        <v>1</v>
      </c>
      <c r="AML14" s="108"/>
      <c r="AMM14" s="108"/>
      <c r="AMN14" s="109"/>
      <c r="AMO14" s="107" t="s">
        <v>1</v>
      </c>
      <c r="AMP14" s="108"/>
      <c r="AMQ14" s="108"/>
      <c r="AMR14" s="109"/>
      <c r="AMS14" s="107" t="s">
        <v>1</v>
      </c>
      <c r="AMT14" s="108"/>
      <c r="AMU14" s="108"/>
      <c r="AMV14" s="109"/>
      <c r="AMW14" s="107" t="s">
        <v>1</v>
      </c>
      <c r="AMX14" s="108"/>
      <c r="AMY14" s="108"/>
      <c r="AMZ14" s="109"/>
      <c r="ANA14" s="107" t="s">
        <v>1</v>
      </c>
      <c r="ANB14" s="108"/>
      <c r="ANC14" s="108"/>
      <c r="AND14" s="109"/>
      <c r="ANE14" s="107" t="s">
        <v>1</v>
      </c>
      <c r="ANF14" s="108"/>
      <c r="ANG14" s="108"/>
      <c r="ANH14" s="109"/>
      <c r="ANI14" s="107" t="s">
        <v>1</v>
      </c>
      <c r="ANJ14" s="108"/>
      <c r="ANK14" s="108"/>
      <c r="ANL14" s="109"/>
      <c r="ANM14" s="107" t="s">
        <v>1</v>
      </c>
      <c r="ANN14" s="108"/>
      <c r="ANO14" s="108"/>
      <c r="ANP14" s="109"/>
      <c r="ANQ14" s="107" t="s">
        <v>1</v>
      </c>
      <c r="ANR14" s="108"/>
      <c r="ANS14" s="108"/>
      <c r="ANT14" s="109"/>
      <c r="ANU14" s="107" t="s">
        <v>1</v>
      </c>
      <c r="ANV14" s="108"/>
      <c r="ANW14" s="108"/>
      <c r="ANX14" s="109"/>
      <c r="ANY14" s="107" t="s">
        <v>1</v>
      </c>
      <c r="ANZ14" s="108"/>
      <c r="AOA14" s="108"/>
      <c r="AOB14" s="109"/>
      <c r="AOC14" s="107" t="s">
        <v>1</v>
      </c>
      <c r="AOD14" s="108"/>
      <c r="AOE14" s="108"/>
      <c r="AOF14" s="109"/>
      <c r="AOG14" s="107" t="s">
        <v>1</v>
      </c>
      <c r="AOH14" s="108"/>
      <c r="AOI14" s="108"/>
      <c r="AOJ14" s="109"/>
      <c r="AOK14" s="107" t="s">
        <v>1</v>
      </c>
      <c r="AOL14" s="108"/>
      <c r="AOM14" s="108"/>
      <c r="AON14" s="109"/>
      <c r="AOO14" s="107" t="s">
        <v>1</v>
      </c>
      <c r="AOP14" s="108"/>
      <c r="AOQ14" s="108"/>
      <c r="AOR14" s="109"/>
      <c r="AOS14" s="107" t="s">
        <v>1</v>
      </c>
      <c r="AOT14" s="108"/>
      <c r="AOU14" s="108"/>
      <c r="AOV14" s="109"/>
      <c r="AOW14" s="107" t="s">
        <v>1</v>
      </c>
      <c r="AOX14" s="108"/>
      <c r="AOY14" s="108"/>
      <c r="AOZ14" s="109"/>
      <c r="APA14" s="107" t="s">
        <v>1</v>
      </c>
      <c r="APB14" s="108"/>
      <c r="APC14" s="108"/>
      <c r="APD14" s="109"/>
      <c r="APE14" s="107" t="s">
        <v>1</v>
      </c>
      <c r="APF14" s="108"/>
      <c r="APG14" s="108"/>
      <c r="APH14" s="109"/>
      <c r="API14" s="107" t="s">
        <v>1</v>
      </c>
      <c r="APJ14" s="108"/>
      <c r="APK14" s="108"/>
      <c r="APL14" s="109"/>
      <c r="APM14" s="107" t="s">
        <v>1</v>
      </c>
      <c r="APN14" s="108"/>
      <c r="APO14" s="108"/>
      <c r="APP14" s="109"/>
      <c r="APQ14" s="107" t="s">
        <v>1</v>
      </c>
      <c r="APR14" s="108"/>
      <c r="APS14" s="108"/>
      <c r="APT14" s="109"/>
      <c r="APU14" s="107" t="s">
        <v>1</v>
      </c>
      <c r="APV14" s="108"/>
      <c r="APW14" s="108"/>
      <c r="APX14" s="109"/>
      <c r="APY14" s="107" t="s">
        <v>1</v>
      </c>
      <c r="APZ14" s="108"/>
      <c r="AQA14" s="108"/>
      <c r="AQB14" s="109"/>
      <c r="AQC14" s="107" t="s">
        <v>1</v>
      </c>
      <c r="AQD14" s="108"/>
      <c r="AQE14" s="108"/>
      <c r="AQF14" s="109"/>
      <c r="AQG14" s="107" t="s">
        <v>1</v>
      </c>
      <c r="AQH14" s="108"/>
      <c r="AQI14" s="108"/>
      <c r="AQJ14" s="109"/>
      <c r="AQK14" s="107" t="s">
        <v>1</v>
      </c>
      <c r="AQL14" s="108"/>
      <c r="AQM14" s="108"/>
      <c r="AQN14" s="109"/>
      <c r="AQO14" s="107" t="s">
        <v>1</v>
      </c>
      <c r="AQP14" s="108"/>
      <c r="AQQ14" s="108"/>
      <c r="AQR14" s="109"/>
      <c r="AQS14" s="107" t="s">
        <v>1</v>
      </c>
      <c r="AQT14" s="108"/>
      <c r="AQU14" s="108"/>
      <c r="AQV14" s="109"/>
      <c r="AQW14" s="107" t="s">
        <v>1</v>
      </c>
      <c r="AQX14" s="108"/>
      <c r="AQY14" s="108"/>
      <c r="AQZ14" s="109"/>
      <c r="ARA14" s="107" t="s">
        <v>1</v>
      </c>
      <c r="ARB14" s="108"/>
      <c r="ARC14" s="108"/>
      <c r="ARD14" s="109"/>
      <c r="ARE14" s="107" t="s">
        <v>1</v>
      </c>
      <c r="ARF14" s="108"/>
      <c r="ARG14" s="108"/>
      <c r="ARH14" s="109"/>
      <c r="ARI14" s="107" t="s">
        <v>1</v>
      </c>
      <c r="ARJ14" s="108"/>
      <c r="ARK14" s="108"/>
      <c r="ARL14" s="109"/>
      <c r="ARM14" s="107" t="s">
        <v>1</v>
      </c>
      <c r="ARN14" s="108"/>
      <c r="ARO14" s="108"/>
      <c r="ARP14" s="109"/>
      <c r="ARQ14" s="107" t="s">
        <v>1</v>
      </c>
      <c r="ARR14" s="108"/>
      <c r="ARS14" s="108"/>
      <c r="ART14" s="109"/>
      <c r="ARU14" s="107" t="s">
        <v>1</v>
      </c>
      <c r="ARV14" s="108"/>
      <c r="ARW14" s="108"/>
      <c r="ARX14" s="109"/>
      <c r="ARY14" s="107" t="s">
        <v>1</v>
      </c>
      <c r="ARZ14" s="108"/>
      <c r="ASA14" s="108"/>
      <c r="ASB14" s="109"/>
      <c r="ASC14" s="107" t="s">
        <v>1</v>
      </c>
      <c r="ASD14" s="108"/>
      <c r="ASE14" s="108"/>
      <c r="ASF14" s="109"/>
      <c r="ASG14" s="107" t="s">
        <v>1</v>
      </c>
      <c r="ASH14" s="108"/>
      <c r="ASI14" s="108"/>
      <c r="ASJ14" s="109"/>
      <c r="ASK14" s="107" t="s">
        <v>1</v>
      </c>
      <c r="ASL14" s="108"/>
      <c r="ASM14" s="108"/>
      <c r="ASN14" s="109"/>
      <c r="ASO14" s="107" t="s">
        <v>1</v>
      </c>
      <c r="ASP14" s="108"/>
      <c r="ASQ14" s="108"/>
      <c r="ASR14" s="109"/>
      <c r="ASS14" s="107" t="s">
        <v>1</v>
      </c>
      <c r="AST14" s="108"/>
      <c r="ASU14" s="108"/>
      <c r="ASV14" s="109"/>
      <c r="ASW14" s="107" t="s">
        <v>1</v>
      </c>
      <c r="ASX14" s="108"/>
      <c r="ASY14" s="108"/>
      <c r="ASZ14" s="109"/>
      <c r="ATA14" s="107" t="s">
        <v>1</v>
      </c>
      <c r="ATB14" s="108"/>
      <c r="ATC14" s="108"/>
      <c r="ATD14" s="109"/>
      <c r="ATE14" s="107" t="s">
        <v>1</v>
      </c>
      <c r="ATF14" s="108"/>
      <c r="ATG14" s="108"/>
      <c r="ATH14" s="109"/>
      <c r="ATI14" s="107" t="s">
        <v>1</v>
      </c>
      <c r="ATJ14" s="108"/>
      <c r="ATK14" s="108"/>
      <c r="ATL14" s="109"/>
      <c r="ATM14" s="107" t="s">
        <v>1</v>
      </c>
      <c r="ATN14" s="108"/>
      <c r="ATO14" s="108"/>
      <c r="ATP14" s="109"/>
      <c r="ATQ14" s="107" t="s">
        <v>1</v>
      </c>
      <c r="ATR14" s="108"/>
      <c r="ATS14" s="108"/>
      <c r="ATT14" s="109"/>
      <c r="ATU14" s="107" t="s">
        <v>1</v>
      </c>
      <c r="ATV14" s="108"/>
      <c r="ATW14" s="108"/>
      <c r="ATX14" s="109"/>
      <c r="ATY14" s="107" t="s">
        <v>1</v>
      </c>
      <c r="ATZ14" s="108"/>
      <c r="AUA14" s="108"/>
      <c r="AUB14" s="109"/>
      <c r="AUC14" s="107" t="s">
        <v>1</v>
      </c>
      <c r="AUD14" s="108"/>
      <c r="AUE14" s="108"/>
      <c r="AUF14" s="109"/>
      <c r="AUG14" s="107" t="s">
        <v>1</v>
      </c>
      <c r="AUH14" s="108"/>
      <c r="AUI14" s="108"/>
      <c r="AUJ14" s="109"/>
      <c r="AUK14" s="107" t="s">
        <v>1</v>
      </c>
      <c r="AUL14" s="108"/>
      <c r="AUM14" s="108"/>
      <c r="AUN14" s="109"/>
      <c r="AUO14" s="107" t="s">
        <v>1</v>
      </c>
      <c r="AUP14" s="108"/>
      <c r="AUQ14" s="108"/>
      <c r="AUR14" s="109"/>
      <c r="AUS14" s="107" t="s">
        <v>1</v>
      </c>
      <c r="AUT14" s="108"/>
      <c r="AUU14" s="108"/>
      <c r="AUV14" s="109"/>
      <c r="AUW14" s="107" t="s">
        <v>1</v>
      </c>
      <c r="AUX14" s="108"/>
      <c r="AUY14" s="108"/>
      <c r="AUZ14" s="109"/>
      <c r="AVA14" s="107" t="s">
        <v>1</v>
      </c>
      <c r="AVB14" s="108"/>
      <c r="AVC14" s="108"/>
      <c r="AVD14" s="109"/>
      <c r="AVE14" s="107" t="s">
        <v>1</v>
      </c>
      <c r="AVF14" s="108"/>
      <c r="AVG14" s="108"/>
      <c r="AVH14" s="109"/>
      <c r="AVI14" s="107" t="s">
        <v>1</v>
      </c>
      <c r="AVJ14" s="108"/>
      <c r="AVK14" s="108"/>
      <c r="AVL14" s="109"/>
      <c r="AVM14" s="107" t="s">
        <v>1</v>
      </c>
      <c r="AVN14" s="108"/>
      <c r="AVO14" s="108"/>
      <c r="AVP14" s="109"/>
      <c r="AVQ14" s="107" t="s">
        <v>1</v>
      </c>
      <c r="AVR14" s="108"/>
      <c r="AVS14" s="108"/>
      <c r="AVT14" s="109"/>
      <c r="AVU14" s="107" t="s">
        <v>1</v>
      </c>
      <c r="AVV14" s="108"/>
      <c r="AVW14" s="108"/>
      <c r="AVX14" s="109"/>
      <c r="AVY14" s="107" t="s">
        <v>1</v>
      </c>
      <c r="AVZ14" s="108"/>
      <c r="AWA14" s="108"/>
      <c r="AWB14" s="109"/>
      <c r="AWC14" s="107" t="s">
        <v>1</v>
      </c>
      <c r="AWD14" s="108"/>
      <c r="AWE14" s="108"/>
      <c r="AWF14" s="109"/>
      <c r="AWG14" s="107" t="s">
        <v>1</v>
      </c>
      <c r="AWH14" s="108"/>
      <c r="AWI14" s="108"/>
      <c r="AWJ14" s="109"/>
      <c r="AWK14" s="107" t="s">
        <v>1</v>
      </c>
      <c r="AWL14" s="108"/>
      <c r="AWM14" s="108"/>
      <c r="AWN14" s="109"/>
      <c r="AWO14" s="107" t="s">
        <v>1</v>
      </c>
      <c r="AWP14" s="108"/>
      <c r="AWQ14" s="108"/>
      <c r="AWR14" s="109"/>
      <c r="AWS14" s="107" t="s">
        <v>1</v>
      </c>
      <c r="AWT14" s="108"/>
      <c r="AWU14" s="108"/>
      <c r="AWV14" s="109"/>
      <c r="AWW14" s="107" t="s">
        <v>1</v>
      </c>
      <c r="AWX14" s="108"/>
      <c r="AWY14" s="108"/>
      <c r="AWZ14" s="109"/>
      <c r="AXA14" s="107" t="s">
        <v>1</v>
      </c>
      <c r="AXB14" s="108"/>
      <c r="AXC14" s="108"/>
      <c r="AXD14" s="109"/>
      <c r="AXE14" s="107" t="s">
        <v>1</v>
      </c>
      <c r="AXF14" s="108"/>
      <c r="AXG14" s="108"/>
      <c r="AXH14" s="109"/>
      <c r="AXI14" s="107" t="s">
        <v>1</v>
      </c>
      <c r="AXJ14" s="108"/>
      <c r="AXK14" s="108"/>
      <c r="AXL14" s="109"/>
      <c r="AXM14" s="107" t="s">
        <v>1</v>
      </c>
      <c r="AXN14" s="108"/>
      <c r="AXO14" s="108"/>
      <c r="AXP14" s="109"/>
      <c r="AXQ14" s="107" t="s">
        <v>1</v>
      </c>
      <c r="AXR14" s="108"/>
      <c r="AXS14" s="108"/>
      <c r="AXT14" s="109"/>
      <c r="AXU14" s="107" t="s">
        <v>1</v>
      </c>
      <c r="AXV14" s="108"/>
      <c r="AXW14" s="108"/>
      <c r="AXX14" s="109"/>
      <c r="AXY14" s="107" t="s">
        <v>1</v>
      </c>
      <c r="AXZ14" s="108"/>
      <c r="AYA14" s="108"/>
      <c r="AYB14" s="109"/>
      <c r="AYC14" s="107" t="s">
        <v>1</v>
      </c>
      <c r="AYD14" s="108"/>
      <c r="AYE14" s="108"/>
      <c r="AYF14" s="109"/>
      <c r="AYG14" s="107" t="s">
        <v>1</v>
      </c>
      <c r="AYH14" s="108"/>
      <c r="AYI14" s="108"/>
      <c r="AYJ14" s="109"/>
      <c r="AYK14" s="107" t="s">
        <v>1</v>
      </c>
      <c r="AYL14" s="108"/>
      <c r="AYM14" s="108"/>
      <c r="AYN14" s="109"/>
      <c r="AYO14" s="107" t="s">
        <v>1</v>
      </c>
      <c r="AYP14" s="108"/>
      <c r="AYQ14" s="108"/>
      <c r="AYR14" s="109"/>
      <c r="AYS14" s="107" t="s">
        <v>1</v>
      </c>
      <c r="AYT14" s="108"/>
      <c r="AYU14" s="108"/>
      <c r="AYV14" s="109"/>
      <c r="AYW14" s="107" t="s">
        <v>1</v>
      </c>
      <c r="AYX14" s="108"/>
      <c r="AYY14" s="108"/>
      <c r="AYZ14" s="109"/>
      <c r="AZA14" s="107" t="s">
        <v>1</v>
      </c>
      <c r="AZB14" s="108"/>
      <c r="AZC14" s="108"/>
      <c r="AZD14" s="109"/>
      <c r="AZE14" s="107" t="s">
        <v>1</v>
      </c>
      <c r="AZF14" s="108"/>
      <c r="AZG14" s="108"/>
      <c r="AZH14" s="109"/>
      <c r="AZI14" s="107" t="s">
        <v>1</v>
      </c>
      <c r="AZJ14" s="108"/>
      <c r="AZK14" s="108"/>
      <c r="AZL14" s="109"/>
      <c r="AZM14" s="107" t="s">
        <v>1</v>
      </c>
      <c r="AZN14" s="108"/>
      <c r="AZO14" s="108"/>
      <c r="AZP14" s="109"/>
      <c r="AZQ14" s="107" t="s">
        <v>1</v>
      </c>
      <c r="AZR14" s="108"/>
      <c r="AZS14" s="108"/>
      <c r="AZT14" s="109"/>
      <c r="AZU14" s="107" t="s">
        <v>1</v>
      </c>
      <c r="AZV14" s="108"/>
      <c r="AZW14" s="108"/>
      <c r="AZX14" s="109"/>
      <c r="AZY14" s="107" t="s">
        <v>1</v>
      </c>
      <c r="AZZ14" s="108"/>
      <c r="BAA14" s="108"/>
      <c r="BAB14" s="109"/>
      <c r="BAC14" s="107" t="s">
        <v>1</v>
      </c>
      <c r="BAD14" s="108"/>
      <c r="BAE14" s="108"/>
      <c r="BAF14" s="109"/>
      <c r="BAG14" s="107" t="s">
        <v>1</v>
      </c>
      <c r="BAH14" s="108"/>
      <c r="BAI14" s="108"/>
      <c r="BAJ14" s="109"/>
      <c r="BAK14" s="107" t="s">
        <v>1</v>
      </c>
      <c r="BAL14" s="108"/>
      <c r="BAM14" s="108"/>
      <c r="BAN14" s="109"/>
      <c r="BAO14" s="107" t="s">
        <v>1</v>
      </c>
      <c r="BAP14" s="108"/>
      <c r="BAQ14" s="108"/>
      <c r="BAR14" s="109"/>
      <c r="BAS14" s="107" t="s">
        <v>1</v>
      </c>
      <c r="BAT14" s="108"/>
      <c r="BAU14" s="108"/>
      <c r="BAV14" s="109"/>
      <c r="BAW14" s="107" t="s">
        <v>1</v>
      </c>
      <c r="BAX14" s="108"/>
      <c r="BAY14" s="108"/>
      <c r="BAZ14" s="109"/>
      <c r="BBA14" s="107" t="s">
        <v>1</v>
      </c>
      <c r="BBB14" s="108"/>
      <c r="BBC14" s="108"/>
      <c r="BBD14" s="109"/>
      <c r="BBE14" s="107" t="s">
        <v>1</v>
      </c>
      <c r="BBF14" s="108"/>
      <c r="BBG14" s="108"/>
      <c r="BBH14" s="109"/>
      <c r="BBI14" s="107" t="s">
        <v>1</v>
      </c>
      <c r="BBJ14" s="108"/>
      <c r="BBK14" s="108"/>
      <c r="BBL14" s="109"/>
      <c r="BBM14" s="107" t="s">
        <v>1</v>
      </c>
      <c r="BBN14" s="108"/>
      <c r="BBO14" s="108"/>
      <c r="BBP14" s="109"/>
      <c r="BBQ14" s="107" t="s">
        <v>1</v>
      </c>
      <c r="BBR14" s="108"/>
      <c r="BBS14" s="108"/>
      <c r="BBT14" s="109"/>
      <c r="BBU14" s="107" t="s">
        <v>1</v>
      </c>
      <c r="BBV14" s="108"/>
      <c r="BBW14" s="108"/>
      <c r="BBX14" s="109"/>
      <c r="BBY14" s="107" t="s">
        <v>1</v>
      </c>
      <c r="BBZ14" s="108"/>
      <c r="BCA14" s="108"/>
      <c r="BCB14" s="109"/>
      <c r="BCC14" s="107" t="s">
        <v>1</v>
      </c>
      <c r="BCD14" s="108"/>
      <c r="BCE14" s="108"/>
      <c r="BCF14" s="109"/>
      <c r="BCG14" s="107" t="s">
        <v>1</v>
      </c>
      <c r="BCH14" s="108"/>
      <c r="BCI14" s="108"/>
      <c r="BCJ14" s="109"/>
      <c r="BCK14" s="107" t="s">
        <v>1</v>
      </c>
      <c r="BCL14" s="108"/>
      <c r="BCM14" s="108"/>
      <c r="BCN14" s="109"/>
      <c r="BCO14" s="107" t="s">
        <v>1</v>
      </c>
      <c r="BCP14" s="108"/>
      <c r="BCQ14" s="108"/>
      <c r="BCR14" s="109"/>
      <c r="BCS14" s="107" t="s">
        <v>1</v>
      </c>
      <c r="BCT14" s="108"/>
      <c r="BCU14" s="108"/>
      <c r="BCV14" s="109"/>
      <c r="BCW14" s="107" t="s">
        <v>1</v>
      </c>
      <c r="BCX14" s="108"/>
      <c r="BCY14" s="108"/>
      <c r="BCZ14" s="109"/>
      <c r="BDA14" s="107" t="s">
        <v>1</v>
      </c>
      <c r="BDB14" s="108"/>
      <c r="BDC14" s="108"/>
      <c r="BDD14" s="109"/>
      <c r="BDE14" s="107" t="s">
        <v>1</v>
      </c>
      <c r="BDF14" s="108"/>
      <c r="BDG14" s="108"/>
      <c r="BDH14" s="109"/>
      <c r="BDI14" s="107" t="s">
        <v>1</v>
      </c>
      <c r="BDJ14" s="108"/>
      <c r="BDK14" s="108"/>
      <c r="BDL14" s="109"/>
      <c r="BDM14" s="107" t="s">
        <v>1</v>
      </c>
      <c r="BDN14" s="108"/>
      <c r="BDO14" s="108"/>
      <c r="BDP14" s="109"/>
      <c r="BDQ14" s="107" t="s">
        <v>1</v>
      </c>
      <c r="BDR14" s="108"/>
      <c r="BDS14" s="108"/>
      <c r="BDT14" s="109"/>
      <c r="BDU14" s="107" t="s">
        <v>1</v>
      </c>
      <c r="BDV14" s="108"/>
      <c r="BDW14" s="108"/>
      <c r="BDX14" s="109"/>
      <c r="BDY14" s="107" t="s">
        <v>1</v>
      </c>
      <c r="BDZ14" s="108"/>
      <c r="BEA14" s="108"/>
      <c r="BEB14" s="109"/>
      <c r="BEC14" s="107" t="s">
        <v>1</v>
      </c>
      <c r="BED14" s="108"/>
      <c r="BEE14" s="108"/>
      <c r="BEF14" s="109"/>
      <c r="BEG14" s="107" t="s">
        <v>1</v>
      </c>
      <c r="BEH14" s="108"/>
      <c r="BEI14" s="108"/>
      <c r="BEJ14" s="109"/>
      <c r="BEK14" s="107" t="s">
        <v>1</v>
      </c>
      <c r="BEL14" s="108"/>
      <c r="BEM14" s="108"/>
      <c r="BEN14" s="109"/>
      <c r="BEO14" s="107" t="s">
        <v>1</v>
      </c>
      <c r="BEP14" s="108"/>
      <c r="BEQ14" s="108"/>
      <c r="BER14" s="109"/>
      <c r="BES14" s="107" t="s">
        <v>1</v>
      </c>
      <c r="BET14" s="108"/>
      <c r="BEU14" s="108"/>
      <c r="BEV14" s="109"/>
      <c r="BEW14" s="107" t="s">
        <v>1</v>
      </c>
      <c r="BEX14" s="108"/>
      <c r="BEY14" s="108"/>
      <c r="BEZ14" s="109"/>
      <c r="BFA14" s="107" t="s">
        <v>1</v>
      </c>
      <c r="BFB14" s="108"/>
      <c r="BFC14" s="108"/>
      <c r="BFD14" s="109"/>
      <c r="BFE14" s="107" t="s">
        <v>1</v>
      </c>
      <c r="BFF14" s="108"/>
      <c r="BFG14" s="108"/>
      <c r="BFH14" s="109"/>
      <c r="BFI14" s="107" t="s">
        <v>1</v>
      </c>
      <c r="BFJ14" s="108"/>
      <c r="BFK14" s="108"/>
      <c r="BFL14" s="109"/>
      <c r="BFM14" s="107" t="s">
        <v>1</v>
      </c>
      <c r="BFN14" s="108"/>
      <c r="BFO14" s="108"/>
      <c r="BFP14" s="109"/>
      <c r="BFQ14" s="107" t="s">
        <v>1</v>
      </c>
      <c r="BFR14" s="108"/>
      <c r="BFS14" s="108"/>
      <c r="BFT14" s="109"/>
      <c r="BFU14" s="107" t="s">
        <v>1</v>
      </c>
      <c r="BFV14" s="108"/>
      <c r="BFW14" s="108"/>
      <c r="BFX14" s="109"/>
      <c r="BFY14" s="107" t="s">
        <v>1</v>
      </c>
      <c r="BFZ14" s="108"/>
      <c r="BGA14" s="108"/>
      <c r="BGB14" s="109"/>
      <c r="BGC14" s="107" t="s">
        <v>1</v>
      </c>
      <c r="BGD14" s="108"/>
      <c r="BGE14" s="108"/>
      <c r="BGF14" s="109"/>
      <c r="BGG14" s="107" t="s">
        <v>1</v>
      </c>
      <c r="BGH14" s="108"/>
      <c r="BGI14" s="108"/>
      <c r="BGJ14" s="109"/>
      <c r="BGK14" s="107" t="s">
        <v>1</v>
      </c>
      <c r="BGL14" s="108"/>
      <c r="BGM14" s="108"/>
      <c r="BGN14" s="109"/>
      <c r="BGO14" s="107" t="s">
        <v>1</v>
      </c>
      <c r="BGP14" s="108"/>
      <c r="BGQ14" s="108"/>
      <c r="BGR14" s="109"/>
      <c r="BGS14" s="107" t="s">
        <v>1</v>
      </c>
      <c r="BGT14" s="108"/>
      <c r="BGU14" s="108"/>
      <c r="BGV14" s="109"/>
      <c r="BGW14" s="107" t="s">
        <v>1</v>
      </c>
      <c r="BGX14" s="108"/>
      <c r="BGY14" s="108"/>
      <c r="BGZ14" s="109"/>
      <c r="BHA14" s="107" t="s">
        <v>1</v>
      </c>
      <c r="BHB14" s="108"/>
      <c r="BHC14" s="108"/>
      <c r="BHD14" s="109"/>
      <c r="BHE14" s="107" t="s">
        <v>1</v>
      </c>
      <c r="BHF14" s="108"/>
      <c r="BHG14" s="108"/>
      <c r="BHH14" s="109"/>
      <c r="BHI14" s="107" t="s">
        <v>1</v>
      </c>
      <c r="BHJ14" s="108"/>
      <c r="BHK14" s="108"/>
      <c r="BHL14" s="109"/>
      <c r="BHM14" s="107" t="s">
        <v>1</v>
      </c>
      <c r="BHN14" s="108"/>
      <c r="BHO14" s="108"/>
      <c r="BHP14" s="109"/>
      <c r="BHQ14" s="107" t="s">
        <v>1</v>
      </c>
      <c r="BHR14" s="108"/>
      <c r="BHS14" s="108"/>
      <c r="BHT14" s="109"/>
      <c r="BHU14" s="107" t="s">
        <v>1</v>
      </c>
      <c r="BHV14" s="108"/>
      <c r="BHW14" s="108"/>
      <c r="BHX14" s="109"/>
      <c r="BHY14" s="107" t="s">
        <v>1</v>
      </c>
      <c r="BHZ14" s="108"/>
      <c r="BIA14" s="108"/>
      <c r="BIB14" s="109"/>
      <c r="BIC14" s="107" t="s">
        <v>1</v>
      </c>
      <c r="BID14" s="108"/>
      <c r="BIE14" s="108"/>
      <c r="BIF14" s="109"/>
      <c r="BIG14" s="107" t="s">
        <v>1</v>
      </c>
      <c r="BIH14" s="108"/>
      <c r="BII14" s="108"/>
      <c r="BIJ14" s="109"/>
      <c r="BIK14" s="107" t="s">
        <v>1</v>
      </c>
      <c r="BIL14" s="108"/>
      <c r="BIM14" s="108"/>
      <c r="BIN14" s="109"/>
      <c r="BIO14" s="107" t="s">
        <v>1</v>
      </c>
      <c r="BIP14" s="108"/>
      <c r="BIQ14" s="108"/>
      <c r="BIR14" s="109"/>
      <c r="BIS14" s="107" t="s">
        <v>1</v>
      </c>
      <c r="BIT14" s="108"/>
      <c r="BIU14" s="108"/>
      <c r="BIV14" s="109"/>
      <c r="BIW14" s="107" t="s">
        <v>1</v>
      </c>
      <c r="BIX14" s="108"/>
      <c r="BIY14" s="108"/>
      <c r="BIZ14" s="109"/>
      <c r="BJA14" s="107" t="s">
        <v>1</v>
      </c>
      <c r="BJB14" s="108"/>
      <c r="BJC14" s="108"/>
      <c r="BJD14" s="109"/>
      <c r="BJE14" s="107" t="s">
        <v>1</v>
      </c>
      <c r="BJF14" s="108"/>
      <c r="BJG14" s="108"/>
      <c r="BJH14" s="109"/>
      <c r="BJI14" s="107" t="s">
        <v>1</v>
      </c>
      <c r="BJJ14" s="108"/>
      <c r="BJK14" s="108"/>
      <c r="BJL14" s="109"/>
      <c r="BJM14" s="107" t="s">
        <v>1</v>
      </c>
      <c r="BJN14" s="108"/>
      <c r="BJO14" s="108"/>
      <c r="BJP14" s="109"/>
      <c r="BJQ14" s="107" t="s">
        <v>1</v>
      </c>
      <c r="BJR14" s="108"/>
      <c r="BJS14" s="108"/>
      <c r="BJT14" s="109"/>
      <c r="BJU14" s="107" t="s">
        <v>1</v>
      </c>
      <c r="BJV14" s="108"/>
      <c r="BJW14" s="108"/>
      <c r="BJX14" s="109"/>
      <c r="BJY14" s="107" t="s">
        <v>1</v>
      </c>
      <c r="BJZ14" s="108"/>
      <c r="BKA14" s="108"/>
      <c r="BKB14" s="109"/>
      <c r="BKC14" s="107" t="s">
        <v>1</v>
      </c>
      <c r="BKD14" s="108"/>
      <c r="BKE14" s="108"/>
      <c r="BKF14" s="109"/>
      <c r="BKG14" s="107" t="s">
        <v>1</v>
      </c>
      <c r="BKH14" s="108"/>
      <c r="BKI14" s="108"/>
      <c r="BKJ14" s="109"/>
      <c r="BKK14" s="107" t="s">
        <v>1</v>
      </c>
      <c r="BKL14" s="108"/>
      <c r="BKM14" s="108"/>
      <c r="BKN14" s="109"/>
      <c r="BKO14" s="107" t="s">
        <v>1</v>
      </c>
      <c r="BKP14" s="108"/>
      <c r="BKQ14" s="108"/>
      <c r="BKR14" s="109"/>
      <c r="BKS14" s="107" t="s">
        <v>1</v>
      </c>
      <c r="BKT14" s="108"/>
      <c r="BKU14" s="108"/>
      <c r="BKV14" s="109"/>
      <c r="BKW14" s="107" t="s">
        <v>1</v>
      </c>
      <c r="BKX14" s="108"/>
      <c r="BKY14" s="108"/>
      <c r="BKZ14" s="109"/>
      <c r="BLA14" s="107" t="s">
        <v>1</v>
      </c>
      <c r="BLB14" s="108"/>
      <c r="BLC14" s="108"/>
      <c r="BLD14" s="109"/>
      <c r="BLE14" s="107" t="s">
        <v>1</v>
      </c>
      <c r="BLF14" s="108"/>
      <c r="BLG14" s="108"/>
      <c r="BLH14" s="109"/>
      <c r="BLI14" s="107" t="s">
        <v>1</v>
      </c>
      <c r="BLJ14" s="108"/>
      <c r="BLK14" s="108"/>
      <c r="BLL14" s="109"/>
      <c r="BLM14" s="107" t="s">
        <v>1</v>
      </c>
      <c r="BLN14" s="108"/>
      <c r="BLO14" s="108"/>
      <c r="BLP14" s="109"/>
      <c r="BLQ14" s="107" t="s">
        <v>1</v>
      </c>
      <c r="BLR14" s="108"/>
      <c r="BLS14" s="108"/>
      <c r="BLT14" s="109"/>
      <c r="BLU14" s="107" t="s">
        <v>1</v>
      </c>
      <c r="BLV14" s="108"/>
      <c r="BLW14" s="108"/>
      <c r="BLX14" s="109"/>
      <c r="BLY14" s="107" t="s">
        <v>1</v>
      </c>
      <c r="BLZ14" s="108"/>
      <c r="BMA14" s="108"/>
      <c r="BMB14" s="109"/>
      <c r="BMC14" s="107" t="s">
        <v>1</v>
      </c>
      <c r="BMD14" s="108"/>
      <c r="BME14" s="108"/>
      <c r="BMF14" s="109"/>
      <c r="BMG14" s="107" t="s">
        <v>1</v>
      </c>
      <c r="BMH14" s="108"/>
      <c r="BMI14" s="108"/>
      <c r="BMJ14" s="109"/>
      <c r="BMK14" s="107" t="s">
        <v>1</v>
      </c>
      <c r="BML14" s="108"/>
      <c r="BMM14" s="108"/>
      <c r="BMN14" s="109"/>
      <c r="BMO14" s="107" t="s">
        <v>1</v>
      </c>
      <c r="BMP14" s="108"/>
      <c r="BMQ14" s="108"/>
      <c r="BMR14" s="109"/>
      <c r="BMS14" s="107" t="s">
        <v>1</v>
      </c>
      <c r="BMT14" s="108"/>
      <c r="BMU14" s="108"/>
      <c r="BMV14" s="109"/>
      <c r="BMW14" s="107" t="s">
        <v>1</v>
      </c>
      <c r="BMX14" s="108"/>
      <c r="BMY14" s="108"/>
      <c r="BMZ14" s="109"/>
      <c r="BNA14" s="107" t="s">
        <v>1</v>
      </c>
      <c r="BNB14" s="108"/>
      <c r="BNC14" s="108"/>
      <c r="BND14" s="109"/>
      <c r="BNE14" s="107" t="s">
        <v>1</v>
      </c>
      <c r="BNF14" s="108"/>
      <c r="BNG14" s="108"/>
      <c r="BNH14" s="109"/>
      <c r="BNI14" s="107" t="s">
        <v>1</v>
      </c>
      <c r="BNJ14" s="108"/>
      <c r="BNK14" s="108"/>
      <c r="BNL14" s="109"/>
      <c r="BNM14" s="107" t="s">
        <v>1</v>
      </c>
      <c r="BNN14" s="108"/>
      <c r="BNO14" s="108"/>
      <c r="BNP14" s="109"/>
      <c r="BNQ14" s="107" t="s">
        <v>1</v>
      </c>
      <c r="BNR14" s="108"/>
      <c r="BNS14" s="108"/>
      <c r="BNT14" s="109"/>
      <c r="BNU14" s="107" t="s">
        <v>1</v>
      </c>
      <c r="BNV14" s="108"/>
      <c r="BNW14" s="108"/>
      <c r="BNX14" s="109"/>
      <c r="BNY14" s="107" t="s">
        <v>1</v>
      </c>
      <c r="BNZ14" s="108"/>
      <c r="BOA14" s="108"/>
      <c r="BOB14" s="109"/>
      <c r="BOC14" s="107" t="s">
        <v>1</v>
      </c>
      <c r="BOD14" s="108"/>
      <c r="BOE14" s="108"/>
      <c r="BOF14" s="109"/>
      <c r="BOG14" s="107" t="s">
        <v>1</v>
      </c>
      <c r="BOH14" s="108"/>
      <c r="BOI14" s="108"/>
      <c r="BOJ14" s="109"/>
      <c r="BOK14" s="107" t="s">
        <v>1</v>
      </c>
      <c r="BOL14" s="108"/>
      <c r="BOM14" s="108"/>
      <c r="BON14" s="109"/>
      <c r="BOO14" s="107" t="s">
        <v>1</v>
      </c>
      <c r="BOP14" s="108"/>
      <c r="BOQ14" s="108"/>
      <c r="BOR14" s="109"/>
      <c r="BOS14" s="107" t="s">
        <v>1</v>
      </c>
      <c r="BOT14" s="108"/>
      <c r="BOU14" s="108"/>
      <c r="BOV14" s="109"/>
      <c r="BOW14" s="107" t="s">
        <v>1</v>
      </c>
      <c r="BOX14" s="108"/>
      <c r="BOY14" s="108"/>
      <c r="BOZ14" s="109"/>
      <c r="BPA14" s="107" t="s">
        <v>1</v>
      </c>
      <c r="BPB14" s="108"/>
      <c r="BPC14" s="108"/>
      <c r="BPD14" s="109"/>
      <c r="BPE14" s="107" t="s">
        <v>1</v>
      </c>
      <c r="BPF14" s="108"/>
      <c r="BPG14" s="108"/>
      <c r="BPH14" s="109"/>
      <c r="BPI14" s="107" t="s">
        <v>1</v>
      </c>
      <c r="BPJ14" s="108"/>
      <c r="BPK14" s="108"/>
      <c r="BPL14" s="109"/>
      <c r="BPM14" s="107" t="s">
        <v>1</v>
      </c>
      <c r="BPN14" s="108"/>
      <c r="BPO14" s="108"/>
      <c r="BPP14" s="109"/>
      <c r="BPQ14" s="107" t="s">
        <v>1</v>
      </c>
      <c r="BPR14" s="108"/>
      <c r="BPS14" s="108"/>
      <c r="BPT14" s="109"/>
      <c r="BPU14" s="107" t="s">
        <v>1</v>
      </c>
      <c r="BPV14" s="108"/>
      <c r="BPW14" s="108"/>
      <c r="BPX14" s="109"/>
      <c r="BPY14" s="107" t="s">
        <v>1</v>
      </c>
      <c r="BPZ14" s="108"/>
      <c r="BQA14" s="108"/>
      <c r="BQB14" s="109"/>
      <c r="BQC14" s="107" t="s">
        <v>1</v>
      </c>
      <c r="BQD14" s="108"/>
      <c r="BQE14" s="108"/>
      <c r="BQF14" s="109"/>
      <c r="BQG14" s="107" t="s">
        <v>1</v>
      </c>
      <c r="BQH14" s="108"/>
      <c r="BQI14" s="108"/>
      <c r="BQJ14" s="109"/>
      <c r="BQK14" s="107" t="s">
        <v>1</v>
      </c>
      <c r="BQL14" s="108"/>
      <c r="BQM14" s="108"/>
      <c r="BQN14" s="109"/>
      <c r="BQO14" s="107" t="s">
        <v>1</v>
      </c>
      <c r="BQP14" s="108"/>
      <c r="BQQ14" s="108"/>
      <c r="BQR14" s="109"/>
      <c r="BQS14" s="107" t="s">
        <v>1</v>
      </c>
      <c r="BQT14" s="108"/>
      <c r="BQU14" s="108"/>
      <c r="BQV14" s="109"/>
      <c r="BQW14" s="107" t="s">
        <v>1</v>
      </c>
      <c r="BQX14" s="108"/>
      <c r="BQY14" s="108"/>
      <c r="BQZ14" s="109"/>
      <c r="BRA14" s="107" t="s">
        <v>1</v>
      </c>
      <c r="BRB14" s="108"/>
      <c r="BRC14" s="108"/>
      <c r="BRD14" s="109"/>
      <c r="BRE14" s="107" t="s">
        <v>1</v>
      </c>
      <c r="BRF14" s="108"/>
      <c r="BRG14" s="108"/>
      <c r="BRH14" s="109"/>
      <c r="BRI14" s="107" t="s">
        <v>1</v>
      </c>
      <c r="BRJ14" s="108"/>
      <c r="BRK14" s="108"/>
      <c r="BRL14" s="109"/>
      <c r="BRM14" s="107" t="s">
        <v>1</v>
      </c>
      <c r="BRN14" s="108"/>
      <c r="BRO14" s="108"/>
      <c r="BRP14" s="109"/>
      <c r="BRQ14" s="107" t="s">
        <v>1</v>
      </c>
      <c r="BRR14" s="108"/>
      <c r="BRS14" s="108"/>
      <c r="BRT14" s="109"/>
      <c r="BRU14" s="107" t="s">
        <v>1</v>
      </c>
      <c r="BRV14" s="108"/>
      <c r="BRW14" s="108"/>
      <c r="BRX14" s="109"/>
      <c r="BRY14" s="107" t="s">
        <v>1</v>
      </c>
      <c r="BRZ14" s="108"/>
      <c r="BSA14" s="108"/>
      <c r="BSB14" s="109"/>
      <c r="BSC14" s="107" t="s">
        <v>1</v>
      </c>
      <c r="BSD14" s="108"/>
      <c r="BSE14" s="108"/>
      <c r="BSF14" s="109"/>
      <c r="BSG14" s="107" t="s">
        <v>1</v>
      </c>
      <c r="BSH14" s="108"/>
      <c r="BSI14" s="108"/>
      <c r="BSJ14" s="109"/>
      <c r="BSK14" s="107" t="s">
        <v>1</v>
      </c>
      <c r="BSL14" s="108"/>
      <c r="BSM14" s="108"/>
      <c r="BSN14" s="109"/>
      <c r="BSO14" s="107" t="s">
        <v>1</v>
      </c>
      <c r="BSP14" s="108"/>
      <c r="BSQ14" s="108"/>
      <c r="BSR14" s="109"/>
      <c r="BSS14" s="107" t="s">
        <v>1</v>
      </c>
      <c r="BST14" s="108"/>
      <c r="BSU14" s="108"/>
      <c r="BSV14" s="109"/>
      <c r="BSW14" s="107" t="s">
        <v>1</v>
      </c>
      <c r="BSX14" s="108"/>
      <c r="BSY14" s="108"/>
      <c r="BSZ14" s="109"/>
      <c r="BTA14" s="107" t="s">
        <v>1</v>
      </c>
      <c r="BTB14" s="108"/>
      <c r="BTC14" s="108"/>
      <c r="BTD14" s="109"/>
      <c r="BTE14" s="107" t="s">
        <v>1</v>
      </c>
      <c r="BTF14" s="108"/>
      <c r="BTG14" s="108"/>
      <c r="BTH14" s="109"/>
      <c r="BTI14" s="107" t="s">
        <v>1</v>
      </c>
      <c r="BTJ14" s="108"/>
      <c r="BTK14" s="108"/>
      <c r="BTL14" s="109"/>
      <c r="BTM14" s="107" t="s">
        <v>1</v>
      </c>
      <c r="BTN14" s="108"/>
      <c r="BTO14" s="108"/>
      <c r="BTP14" s="109"/>
      <c r="BTQ14" s="107" t="s">
        <v>1</v>
      </c>
      <c r="BTR14" s="108"/>
      <c r="BTS14" s="108"/>
      <c r="BTT14" s="109"/>
      <c r="BTU14" s="107" t="s">
        <v>1</v>
      </c>
      <c r="BTV14" s="108"/>
      <c r="BTW14" s="108"/>
      <c r="BTX14" s="109"/>
      <c r="BTY14" s="107" t="s">
        <v>1</v>
      </c>
      <c r="BTZ14" s="108"/>
      <c r="BUA14" s="108"/>
      <c r="BUB14" s="109"/>
      <c r="BUC14" s="107" t="s">
        <v>1</v>
      </c>
      <c r="BUD14" s="108"/>
      <c r="BUE14" s="108"/>
      <c r="BUF14" s="109"/>
      <c r="BUG14" s="107" t="s">
        <v>1</v>
      </c>
      <c r="BUH14" s="108"/>
      <c r="BUI14" s="108"/>
      <c r="BUJ14" s="109"/>
      <c r="BUK14" s="107" t="s">
        <v>1</v>
      </c>
      <c r="BUL14" s="108"/>
      <c r="BUM14" s="108"/>
      <c r="BUN14" s="109"/>
      <c r="BUO14" s="107" t="s">
        <v>1</v>
      </c>
      <c r="BUP14" s="108"/>
      <c r="BUQ14" s="108"/>
      <c r="BUR14" s="109"/>
      <c r="BUS14" s="107" t="s">
        <v>1</v>
      </c>
      <c r="BUT14" s="108"/>
      <c r="BUU14" s="108"/>
      <c r="BUV14" s="109"/>
      <c r="BUW14" s="107" t="s">
        <v>1</v>
      </c>
      <c r="BUX14" s="108"/>
      <c r="BUY14" s="108"/>
      <c r="BUZ14" s="109"/>
      <c r="BVA14" s="107" t="s">
        <v>1</v>
      </c>
      <c r="BVB14" s="108"/>
      <c r="BVC14" s="108"/>
      <c r="BVD14" s="109"/>
      <c r="BVE14" s="107" t="s">
        <v>1</v>
      </c>
      <c r="BVF14" s="108"/>
      <c r="BVG14" s="108"/>
      <c r="BVH14" s="109"/>
      <c r="BVI14" s="107" t="s">
        <v>1</v>
      </c>
      <c r="BVJ14" s="108"/>
      <c r="BVK14" s="108"/>
      <c r="BVL14" s="109"/>
      <c r="BVM14" s="107" t="s">
        <v>1</v>
      </c>
      <c r="BVN14" s="108"/>
      <c r="BVO14" s="108"/>
      <c r="BVP14" s="109"/>
      <c r="BVQ14" s="107" t="s">
        <v>1</v>
      </c>
      <c r="BVR14" s="108"/>
      <c r="BVS14" s="108"/>
      <c r="BVT14" s="109"/>
      <c r="BVU14" s="107" t="s">
        <v>1</v>
      </c>
      <c r="BVV14" s="108"/>
      <c r="BVW14" s="108"/>
      <c r="BVX14" s="109"/>
      <c r="BVY14" s="107" t="s">
        <v>1</v>
      </c>
      <c r="BVZ14" s="108"/>
      <c r="BWA14" s="108"/>
      <c r="BWB14" s="109"/>
      <c r="BWC14" s="107" t="s">
        <v>1</v>
      </c>
      <c r="BWD14" s="108"/>
      <c r="BWE14" s="108"/>
      <c r="BWF14" s="109"/>
      <c r="BWG14" s="107" t="s">
        <v>1</v>
      </c>
      <c r="BWH14" s="108"/>
      <c r="BWI14" s="108"/>
      <c r="BWJ14" s="109"/>
      <c r="BWK14" s="107" t="s">
        <v>1</v>
      </c>
      <c r="BWL14" s="108"/>
      <c r="BWM14" s="108"/>
      <c r="BWN14" s="109"/>
      <c r="BWO14" s="107" t="s">
        <v>1</v>
      </c>
      <c r="BWP14" s="108"/>
      <c r="BWQ14" s="108"/>
      <c r="BWR14" s="109"/>
      <c r="BWS14" s="107" t="s">
        <v>1</v>
      </c>
      <c r="BWT14" s="108"/>
      <c r="BWU14" s="108"/>
      <c r="BWV14" s="109"/>
      <c r="BWW14" s="107" t="s">
        <v>1</v>
      </c>
      <c r="BWX14" s="108"/>
      <c r="BWY14" s="108"/>
      <c r="BWZ14" s="109"/>
      <c r="BXA14" s="107" t="s">
        <v>1</v>
      </c>
      <c r="BXB14" s="108"/>
      <c r="BXC14" s="108"/>
      <c r="BXD14" s="109"/>
      <c r="BXE14" s="107" t="s">
        <v>1</v>
      </c>
      <c r="BXF14" s="108"/>
      <c r="BXG14" s="108"/>
      <c r="BXH14" s="109"/>
      <c r="BXI14" s="107" t="s">
        <v>1</v>
      </c>
      <c r="BXJ14" s="108"/>
      <c r="BXK14" s="108"/>
      <c r="BXL14" s="109"/>
      <c r="BXM14" s="107" t="s">
        <v>1</v>
      </c>
      <c r="BXN14" s="108"/>
      <c r="BXO14" s="108"/>
      <c r="BXP14" s="109"/>
      <c r="BXQ14" s="107" t="s">
        <v>1</v>
      </c>
      <c r="BXR14" s="108"/>
      <c r="BXS14" s="108"/>
      <c r="BXT14" s="109"/>
      <c r="BXU14" s="107" t="s">
        <v>1</v>
      </c>
      <c r="BXV14" s="108"/>
      <c r="BXW14" s="108"/>
      <c r="BXX14" s="109"/>
      <c r="BXY14" s="107" t="s">
        <v>1</v>
      </c>
      <c r="BXZ14" s="108"/>
      <c r="BYA14" s="108"/>
      <c r="BYB14" s="109"/>
      <c r="BYC14" s="107" t="s">
        <v>1</v>
      </c>
      <c r="BYD14" s="108"/>
      <c r="BYE14" s="108"/>
      <c r="BYF14" s="109"/>
      <c r="BYG14" s="107" t="s">
        <v>1</v>
      </c>
      <c r="BYH14" s="108"/>
      <c r="BYI14" s="108"/>
      <c r="BYJ14" s="109"/>
      <c r="BYK14" s="107" t="s">
        <v>1</v>
      </c>
      <c r="BYL14" s="108"/>
      <c r="BYM14" s="108"/>
      <c r="BYN14" s="109"/>
      <c r="BYO14" s="107" t="s">
        <v>1</v>
      </c>
      <c r="BYP14" s="108"/>
      <c r="BYQ14" s="108"/>
      <c r="BYR14" s="109"/>
      <c r="BYS14" s="107" t="s">
        <v>1</v>
      </c>
      <c r="BYT14" s="108"/>
      <c r="BYU14" s="108"/>
      <c r="BYV14" s="109"/>
      <c r="BYW14" s="107" t="s">
        <v>1</v>
      </c>
      <c r="BYX14" s="108"/>
      <c r="BYY14" s="108"/>
      <c r="BYZ14" s="109"/>
      <c r="BZA14" s="107" t="s">
        <v>1</v>
      </c>
      <c r="BZB14" s="108"/>
      <c r="BZC14" s="108"/>
      <c r="BZD14" s="109"/>
      <c r="BZE14" s="107" t="s">
        <v>1</v>
      </c>
      <c r="BZF14" s="108"/>
      <c r="BZG14" s="108"/>
      <c r="BZH14" s="109"/>
      <c r="BZI14" s="107" t="s">
        <v>1</v>
      </c>
      <c r="BZJ14" s="108"/>
      <c r="BZK14" s="108"/>
      <c r="BZL14" s="109"/>
      <c r="BZM14" s="107" t="s">
        <v>1</v>
      </c>
      <c r="BZN14" s="108"/>
      <c r="BZO14" s="108"/>
      <c r="BZP14" s="109"/>
      <c r="BZQ14" s="107" t="s">
        <v>1</v>
      </c>
      <c r="BZR14" s="108"/>
      <c r="BZS14" s="108"/>
      <c r="BZT14" s="109"/>
      <c r="BZU14" s="107" t="s">
        <v>1</v>
      </c>
      <c r="BZV14" s="108"/>
      <c r="BZW14" s="108"/>
      <c r="BZX14" s="109"/>
      <c r="BZY14" s="107" t="s">
        <v>1</v>
      </c>
      <c r="BZZ14" s="108"/>
      <c r="CAA14" s="108"/>
      <c r="CAB14" s="109"/>
      <c r="CAC14" s="107" t="s">
        <v>1</v>
      </c>
      <c r="CAD14" s="108"/>
      <c r="CAE14" s="108"/>
      <c r="CAF14" s="109"/>
      <c r="CAG14" s="107" t="s">
        <v>1</v>
      </c>
      <c r="CAH14" s="108"/>
      <c r="CAI14" s="108"/>
      <c r="CAJ14" s="109"/>
      <c r="CAK14" s="107" t="s">
        <v>1</v>
      </c>
      <c r="CAL14" s="108"/>
      <c r="CAM14" s="108"/>
      <c r="CAN14" s="109"/>
      <c r="CAO14" s="107" t="s">
        <v>1</v>
      </c>
      <c r="CAP14" s="108"/>
      <c r="CAQ14" s="108"/>
      <c r="CAR14" s="109"/>
      <c r="CAS14" s="107" t="s">
        <v>1</v>
      </c>
      <c r="CAT14" s="108"/>
      <c r="CAU14" s="108"/>
      <c r="CAV14" s="109"/>
      <c r="CAW14" s="107" t="s">
        <v>1</v>
      </c>
      <c r="CAX14" s="108"/>
      <c r="CAY14" s="108"/>
      <c r="CAZ14" s="109"/>
      <c r="CBA14" s="107" t="s">
        <v>1</v>
      </c>
      <c r="CBB14" s="108"/>
      <c r="CBC14" s="108"/>
      <c r="CBD14" s="109"/>
      <c r="CBE14" s="107" t="s">
        <v>1</v>
      </c>
      <c r="CBF14" s="108"/>
      <c r="CBG14" s="108"/>
      <c r="CBH14" s="109"/>
      <c r="CBI14" s="107" t="s">
        <v>1</v>
      </c>
      <c r="CBJ14" s="108"/>
      <c r="CBK14" s="108"/>
      <c r="CBL14" s="109"/>
      <c r="CBM14" s="107" t="s">
        <v>1</v>
      </c>
      <c r="CBN14" s="108"/>
      <c r="CBO14" s="108"/>
      <c r="CBP14" s="109"/>
      <c r="CBQ14" s="107" t="s">
        <v>1</v>
      </c>
      <c r="CBR14" s="108"/>
      <c r="CBS14" s="108"/>
      <c r="CBT14" s="109"/>
      <c r="CBU14" s="107" t="s">
        <v>1</v>
      </c>
      <c r="CBV14" s="108"/>
      <c r="CBW14" s="108"/>
      <c r="CBX14" s="109"/>
      <c r="CBY14" s="107" t="s">
        <v>1</v>
      </c>
      <c r="CBZ14" s="108"/>
      <c r="CCA14" s="108"/>
      <c r="CCB14" s="109"/>
      <c r="CCC14" s="107" t="s">
        <v>1</v>
      </c>
      <c r="CCD14" s="108"/>
      <c r="CCE14" s="108"/>
      <c r="CCF14" s="109"/>
      <c r="CCG14" s="107" t="s">
        <v>1</v>
      </c>
      <c r="CCH14" s="108"/>
      <c r="CCI14" s="108"/>
      <c r="CCJ14" s="109"/>
      <c r="CCK14" s="107" t="s">
        <v>1</v>
      </c>
      <c r="CCL14" s="108"/>
      <c r="CCM14" s="108"/>
      <c r="CCN14" s="109"/>
      <c r="CCO14" s="107" t="s">
        <v>1</v>
      </c>
      <c r="CCP14" s="108"/>
      <c r="CCQ14" s="108"/>
      <c r="CCR14" s="109"/>
      <c r="CCS14" s="107" t="s">
        <v>1</v>
      </c>
      <c r="CCT14" s="108"/>
      <c r="CCU14" s="108"/>
      <c r="CCV14" s="109"/>
      <c r="CCW14" s="107" t="s">
        <v>1</v>
      </c>
      <c r="CCX14" s="108"/>
      <c r="CCY14" s="108"/>
      <c r="CCZ14" s="109"/>
      <c r="CDA14" s="107" t="s">
        <v>1</v>
      </c>
      <c r="CDB14" s="108"/>
      <c r="CDC14" s="108"/>
      <c r="CDD14" s="109"/>
      <c r="CDE14" s="107" t="s">
        <v>1</v>
      </c>
      <c r="CDF14" s="108"/>
      <c r="CDG14" s="108"/>
      <c r="CDH14" s="109"/>
      <c r="CDI14" s="107" t="s">
        <v>1</v>
      </c>
      <c r="CDJ14" s="108"/>
      <c r="CDK14" s="108"/>
      <c r="CDL14" s="109"/>
      <c r="CDM14" s="107" t="s">
        <v>1</v>
      </c>
      <c r="CDN14" s="108"/>
      <c r="CDO14" s="108"/>
      <c r="CDP14" s="109"/>
      <c r="CDQ14" s="107" t="s">
        <v>1</v>
      </c>
      <c r="CDR14" s="108"/>
      <c r="CDS14" s="108"/>
      <c r="CDT14" s="109"/>
      <c r="CDU14" s="107" t="s">
        <v>1</v>
      </c>
      <c r="CDV14" s="108"/>
      <c r="CDW14" s="108"/>
      <c r="CDX14" s="109"/>
      <c r="CDY14" s="107" t="s">
        <v>1</v>
      </c>
      <c r="CDZ14" s="108"/>
      <c r="CEA14" s="108"/>
      <c r="CEB14" s="109"/>
      <c r="CEC14" s="107" t="s">
        <v>1</v>
      </c>
      <c r="CED14" s="108"/>
      <c r="CEE14" s="108"/>
      <c r="CEF14" s="109"/>
      <c r="CEG14" s="107" t="s">
        <v>1</v>
      </c>
      <c r="CEH14" s="108"/>
      <c r="CEI14" s="108"/>
      <c r="CEJ14" s="109"/>
      <c r="CEK14" s="107" t="s">
        <v>1</v>
      </c>
      <c r="CEL14" s="108"/>
      <c r="CEM14" s="108"/>
      <c r="CEN14" s="109"/>
      <c r="CEO14" s="107" t="s">
        <v>1</v>
      </c>
      <c r="CEP14" s="108"/>
      <c r="CEQ14" s="108"/>
      <c r="CER14" s="109"/>
      <c r="CES14" s="107" t="s">
        <v>1</v>
      </c>
      <c r="CET14" s="108"/>
      <c r="CEU14" s="108"/>
      <c r="CEV14" s="109"/>
      <c r="CEW14" s="107" t="s">
        <v>1</v>
      </c>
      <c r="CEX14" s="108"/>
      <c r="CEY14" s="108"/>
      <c r="CEZ14" s="109"/>
      <c r="CFA14" s="107" t="s">
        <v>1</v>
      </c>
      <c r="CFB14" s="108"/>
      <c r="CFC14" s="108"/>
      <c r="CFD14" s="109"/>
      <c r="CFE14" s="107" t="s">
        <v>1</v>
      </c>
      <c r="CFF14" s="108"/>
      <c r="CFG14" s="108"/>
      <c r="CFH14" s="109"/>
      <c r="CFI14" s="107" t="s">
        <v>1</v>
      </c>
      <c r="CFJ14" s="108"/>
      <c r="CFK14" s="108"/>
      <c r="CFL14" s="109"/>
      <c r="CFM14" s="107" t="s">
        <v>1</v>
      </c>
      <c r="CFN14" s="108"/>
      <c r="CFO14" s="108"/>
      <c r="CFP14" s="109"/>
      <c r="CFQ14" s="107" t="s">
        <v>1</v>
      </c>
      <c r="CFR14" s="108"/>
      <c r="CFS14" s="108"/>
      <c r="CFT14" s="109"/>
      <c r="CFU14" s="107" t="s">
        <v>1</v>
      </c>
      <c r="CFV14" s="108"/>
      <c r="CFW14" s="108"/>
      <c r="CFX14" s="109"/>
      <c r="CFY14" s="107" t="s">
        <v>1</v>
      </c>
      <c r="CFZ14" s="108"/>
      <c r="CGA14" s="108"/>
      <c r="CGB14" s="109"/>
      <c r="CGC14" s="107" t="s">
        <v>1</v>
      </c>
      <c r="CGD14" s="108"/>
      <c r="CGE14" s="108"/>
      <c r="CGF14" s="109"/>
      <c r="CGG14" s="107" t="s">
        <v>1</v>
      </c>
      <c r="CGH14" s="108"/>
      <c r="CGI14" s="108"/>
      <c r="CGJ14" s="109"/>
      <c r="CGK14" s="107" t="s">
        <v>1</v>
      </c>
      <c r="CGL14" s="108"/>
      <c r="CGM14" s="108"/>
      <c r="CGN14" s="109"/>
      <c r="CGO14" s="107" t="s">
        <v>1</v>
      </c>
      <c r="CGP14" s="108"/>
      <c r="CGQ14" s="108"/>
      <c r="CGR14" s="109"/>
      <c r="CGS14" s="107" t="s">
        <v>1</v>
      </c>
      <c r="CGT14" s="108"/>
      <c r="CGU14" s="108"/>
      <c r="CGV14" s="109"/>
      <c r="CGW14" s="107" t="s">
        <v>1</v>
      </c>
      <c r="CGX14" s="108"/>
      <c r="CGY14" s="108"/>
      <c r="CGZ14" s="109"/>
      <c r="CHA14" s="107" t="s">
        <v>1</v>
      </c>
      <c r="CHB14" s="108"/>
      <c r="CHC14" s="108"/>
      <c r="CHD14" s="109"/>
      <c r="CHE14" s="107" t="s">
        <v>1</v>
      </c>
      <c r="CHF14" s="108"/>
      <c r="CHG14" s="108"/>
      <c r="CHH14" s="109"/>
      <c r="CHI14" s="107" t="s">
        <v>1</v>
      </c>
      <c r="CHJ14" s="108"/>
      <c r="CHK14" s="108"/>
      <c r="CHL14" s="109"/>
      <c r="CHM14" s="107" t="s">
        <v>1</v>
      </c>
      <c r="CHN14" s="108"/>
      <c r="CHO14" s="108"/>
      <c r="CHP14" s="109"/>
      <c r="CHQ14" s="107" t="s">
        <v>1</v>
      </c>
      <c r="CHR14" s="108"/>
      <c r="CHS14" s="108"/>
      <c r="CHT14" s="109"/>
      <c r="CHU14" s="107" t="s">
        <v>1</v>
      </c>
      <c r="CHV14" s="108"/>
      <c r="CHW14" s="108"/>
      <c r="CHX14" s="109"/>
      <c r="CHY14" s="107" t="s">
        <v>1</v>
      </c>
      <c r="CHZ14" s="108"/>
      <c r="CIA14" s="108"/>
      <c r="CIB14" s="109"/>
      <c r="CIC14" s="107" t="s">
        <v>1</v>
      </c>
      <c r="CID14" s="108"/>
      <c r="CIE14" s="108"/>
      <c r="CIF14" s="109"/>
      <c r="CIG14" s="107" t="s">
        <v>1</v>
      </c>
      <c r="CIH14" s="108"/>
      <c r="CII14" s="108"/>
      <c r="CIJ14" s="109"/>
      <c r="CIK14" s="107" t="s">
        <v>1</v>
      </c>
      <c r="CIL14" s="108"/>
      <c r="CIM14" s="108"/>
      <c r="CIN14" s="109"/>
      <c r="CIO14" s="107" t="s">
        <v>1</v>
      </c>
      <c r="CIP14" s="108"/>
      <c r="CIQ14" s="108"/>
      <c r="CIR14" s="109"/>
      <c r="CIS14" s="107" t="s">
        <v>1</v>
      </c>
      <c r="CIT14" s="108"/>
      <c r="CIU14" s="108"/>
      <c r="CIV14" s="109"/>
      <c r="CIW14" s="107" t="s">
        <v>1</v>
      </c>
      <c r="CIX14" s="108"/>
      <c r="CIY14" s="108"/>
      <c r="CIZ14" s="109"/>
      <c r="CJA14" s="107" t="s">
        <v>1</v>
      </c>
      <c r="CJB14" s="108"/>
      <c r="CJC14" s="108"/>
      <c r="CJD14" s="109"/>
      <c r="CJE14" s="107" t="s">
        <v>1</v>
      </c>
      <c r="CJF14" s="108"/>
      <c r="CJG14" s="108"/>
      <c r="CJH14" s="109"/>
      <c r="CJI14" s="107" t="s">
        <v>1</v>
      </c>
      <c r="CJJ14" s="108"/>
      <c r="CJK14" s="108"/>
      <c r="CJL14" s="109"/>
      <c r="CJM14" s="107" t="s">
        <v>1</v>
      </c>
      <c r="CJN14" s="108"/>
      <c r="CJO14" s="108"/>
      <c r="CJP14" s="109"/>
      <c r="CJQ14" s="107" t="s">
        <v>1</v>
      </c>
      <c r="CJR14" s="108"/>
      <c r="CJS14" s="108"/>
      <c r="CJT14" s="109"/>
      <c r="CJU14" s="107" t="s">
        <v>1</v>
      </c>
      <c r="CJV14" s="108"/>
      <c r="CJW14" s="108"/>
      <c r="CJX14" s="109"/>
      <c r="CJY14" s="107" t="s">
        <v>1</v>
      </c>
      <c r="CJZ14" s="108"/>
      <c r="CKA14" s="108"/>
      <c r="CKB14" s="109"/>
      <c r="CKC14" s="107" t="s">
        <v>1</v>
      </c>
      <c r="CKD14" s="108"/>
      <c r="CKE14" s="108"/>
      <c r="CKF14" s="109"/>
      <c r="CKG14" s="107" t="s">
        <v>1</v>
      </c>
      <c r="CKH14" s="108"/>
      <c r="CKI14" s="108"/>
      <c r="CKJ14" s="109"/>
      <c r="CKK14" s="107" t="s">
        <v>1</v>
      </c>
      <c r="CKL14" s="108"/>
      <c r="CKM14" s="108"/>
      <c r="CKN14" s="109"/>
      <c r="CKO14" s="107" t="s">
        <v>1</v>
      </c>
      <c r="CKP14" s="108"/>
      <c r="CKQ14" s="108"/>
      <c r="CKR14" s="109"/>
      <c r="CKS14" s="107" t="s">
        <v>1</v>
      </c>
      <c r="CKT14" s="108"/>
      <c r="CKU14" s="108"/>
      <c r="CKV14" s="109"/>
      <c r="CKW14" s="107" t="s">
        <v>1</v>
      </c>
      <c r="CKX14" s="108"/>
      <c r="CKY14" s="108"/>
      <c r="CKZ14" s="109"/>
      <c r="CLA14" s="107" t="s">
        <v>1</v>
      </c>
      <c r="CLB14" s="108"/>
      <c r="CLC14" s="108"/>
      <c r="CLD14" s="109"/>
      <c r="CLE14" s="107" t="s">
        <v>1</v>
      </c>
      <c r="CLF14" s="108"/>
      <c r="CLG14" s="108"/>
      <c r="CLH14" s="109"/>
      <c r="CLI14" s="107" t="s">
        <v>1</v>
      </c>
      <c r="CLJ14" s="108"/>
      <c r="CLK14" s="108"/>
      <c r="CLL14" s="109"/>
      <c r="CLM14" s="107" t="s">
        <v>1</v>
      </c>
      <c r="CLN14" s="108"/>
      <c r="CLO14" s="108"/>
      <c r="CLP14" s="109"/>
      <c r="CLQ14" s="107" t="s">
        <v>1</v>
      </c>
      <c r="CLR14" s="108"/>
      <c r="CLS14" s="108"/>
      <c r="CLT14" s="109"/>
      <c r="CLU14" s="107" t="s">
        <v>1</v>
      </c>
      <c r="CLV14" s="108"/>
      <c r="CLW14" s="108"/>
      <c r="CLX14" s="109"/>
      <c r="CLY14" s="107" t="s">
        <v>1</v>
      </c>
      <c r="CLZ14" s="108"/>
      <c r="CMA14" s="108"/>
      <c r="CMB14" s="109"/>
      <c r="CMC14" s="107" t="s">
        <v>1</v>
      </c>
      <c r="CMD14" s="108"/>
      <c r="CME14" s="108"/>
      <c r="CMF14" s="109"/>
      <c r="CMG14" s="107" t="s">
        <v>1</v>
      </c>
      <c r="CMH14" s="108"/>
      <c r="CMI14" s="108"/>
      <c r="CMJ14" s="109"/>
      <c r="CMK14" s="107" t="s">
        <v>1</v>
      </c>
      <c r="CML14" s="108"/>
      <c r="CMM14" s="108"/>
      <c r="CMN14" s="109"/>
      <c r="CMO14" s="107" t="s">
        <v>1</v>
      </c>
      <c r="CMP14" s="108"/>
      <c r="CMQ14" s="108"/>
      <c r="CMR14" s="109"/>
      <c r="CMS14" s="107" t="s">
        <v>1</v>
      </c>
      <c r="CMT14" s="108"/>
      <c r="CMU14" s="108"/>
      <c r="CMV14" s="109"/>
      <c r="CMW14" s="107" t="s">
        <v>1</v>
      </c>
      <c r="CMX14" s="108"/>
      <c r="CMY14" s="108"/>
      <c r="CMZ14" s="109"/>
      <c r="CNA14" s="107" t="s">
        <v>1</v>
      </c>
      <c r="CNB14" s="108"/>
      <c r="CNC14" s="108"/>
      <c r="CND14" s="109"/>
      <c r="CNE14" s="107" t="s">
        <v>1</v>
      </c>
      <c r="CNF14" s="108"/>
      <c r="CNG14" s="108"/>
      <c r="CNH14" s="109"/>
      <c r="CNI14" s="107" t="s">
        <v>1</v>
      </c>
      <c r="CNJ14" s="108"/>
      <c r="CNK14" s="108"/>
      <c r="CNL14" s="109"/>
      <c r="CNM14" s="107" t="s">
        <v>1</v>
      </c>
      <c r="CNN14" s="108"/>
      <c r="CNO14" s="108"/>
      <c r="CNP14" s="109"/>
      <c r="CNQ14" s="107" t="s">
        <v>1</v>
      </c>
      <c r="CNR14" s="108"/>
      <c r="CNS14" s="108"/>
      <c r="CNT14" s="109"/>
      <c r="CNU14" s="107" t="s">
        <v>1</v>
      </c>
      <c r="CNV14" s="108"/>
      <c r="CNW14" s="108"/>
      <c r="CNX14" s="109"/>
      <c r="CNY14" s="107" t="s">
        <v>1</v>
      </c>
      <c r="CNZ14" s="108"/>
      <c r="COA14" s="108"/>
      <c r="COB14" s="109"/>
      <c r="COC14" s="107" t="s">
        <v>1</v>
      </c>
      <c r="COD14" s="108"/>
      <c r="COE14" s="108"/>
      <c r="COF14" s="109"/>
      <c r="COG14" s="107" t="s">
        <v>1</v>
      </c>
      <c r="COH14" s="108"/>
      <c r="COI14" s="108"/>
      <c r="COJ14" s="109"/>
      <c r="COK14" s="107" t="s">
        <v>1</v>
      </c>
      <c r="COL14" s="108"/>
      <c r="COM14" s="108"/>
      <c r="CON14" s="109"/>
      <c r="COO14" s="107" t="s">
        <v>1</v>
      </c>
      <c r="COP14" s="108"/>
      <c r="COQ14" s="108"/>
      <c r="COR14" s="109"/>
      <c r="COS14" s="107" t="s">
        <v>1</v>
      </c>
      <c r="COT14" s="108"/>
      <c r="COU14" s="108"/>
      <c r="COV14" s="109"/>
      <c r="COW14" s="107" t="s">
        <v>1</v>
      </c>
      <c r="COX14" s="108"/>
      <c r="COY14" s="108"/>
      <c r="COZ14" s="109"/>
      <c r="CPA14" s="107" t="s">
        <v>1</v>
      </c>
      <c r="CPB14" s="108"/>
      <c r="CPC14" s="108"/>
      <c r="CPD14" s="109"/>
      <c r="CPE14" s="107" t="s">
        <v>1</v>
      </c>
      <c r="CPF14" s="108"/>
      <c r="CPG14" s="108"/>
      <c r="CPH14" s="109"/>
      <c r="CPI14" s="107" t="s">
        <v>1</v>
      </c>
      <c r="CPJ14" s="108"/>
      <c r="CPK14" s="108"/>
      <c r="CPL14" s="109"/>
      <c r="CPM14" s="107" t="s">
        <v>1</v>
      </c>
      <c r="CPN14" s="108"/>
      <c r="CPO14" s="108"/>
      <c r="CPP14" s="109"/>
      <c r="CPQ14" s="107" t="s">
        <v>1</v>
      </c>
      <c r="CPR14" s="108"/>
      <c r="CPS14" s="108"/>
      <c r="CPT14" s="109"/>
      <c r="CPU14" s="107" t="s">
        <v>1</v>
      </c>
      <c r="CPV14" s="108"/>
      <c r="CPW14" s="108"/>
      <c r="CPX14" s="109"/>
      <c r="CPY14" s="107" t="s">
        <v>1</v>
      </c>
      <c r="CPZ14" s="108"/>
      <c r="CQA14" s="108"/>
      <c r="CQB14" s="109"/>
      <c r="CQC14" s="107" t="s">
        <v>1</v>
      </c>
      <c r="CQD14" s="108"/>
      <c r="CQE14" s="108"/>
      <c r="CQF14" s="109"/>
      <c r="CQG14" s="107" t="s">
        <v>1</v>
      </c>
      <c r="CQH14" s="108"/>
      <c r="CQI14" s="108"/>
      <c r="CQJ14" s="109"/>
      <c r="CQK14" s="107" t="s">
        <v>1</v>
      </c>
      <c r="CQL14" s="108"/>
      <c r="CQM14" s="108"/>
      <c r="CQN14" s="109"/>
      <c r="CQO14" s="107" t="s">
        <v>1</v>
      </c>
      <c r="CQP14" s="108"/>
      <c r="CQQ14" s="108"/>
      <c r="CQR14" s="109"/>
      <c r="CQS14" s="107" t="s">
        <v>1</v>
      </c>
      <c r="CQT14" s="108"/>
      <c r="CQU14" s="108"/>
      <c r="CQV14" s="109"/>
      <c r="CQW14" s="107" t="s">
        <v>1</v>
      </c>
      <c r="CQX14" s="108"/>
      <c r="CQY14" s="108"/>
      <c r="CQZ14" s="109"/>
      <c r="CRA14" s="107" t="s">
        <v>1</v>
      </c>
      <c r="CRB14" s="108"/>
      <c r="CRC14" s="108"/>
      <c r="CRD14" s="109"/>
      <c r="CRE14" s="107" t="s">
        <v>1</v>
      </c>
      <c r="CRF14" s="108"/>
      <c r="CRG14" s="108"/>
      <c r="CRH14" s="109"/>
      <c r="CRI14" s="107" t="s">
        <v>1</v>
      </c>
      <c r="CRJ14" s="108"/>
      <c r="CRK14" s="108"/>
      <c r="CRL14" s="109"/>
      <c r="CRM14" s="107" t="s">
        <v>1</v>
      </c>
      <c r="CRN14" s="108"/>
      <c r="CRO14" s="108"/>
      <c r="CRP14" s="109"/>
      <c r="CRQ14" s="107" t="s">
        <v>1</v>
      </c>
      <c r="CRR14" s="108"/>
      <c r="CRS14" s="108"/>
      <c r="CRT14" s="109"/>
      <c r="CRU14" s="107" t="s">
        <v>1</v>
      </c>
      <c r="CRV14" s="108"/>
      <c r="CRW14" s="108"/>
      <c r="CRX14" s="109"/>
      <c r="CRY14" s="107" t="s">
        <v>1</v>
      </c>
      <c r="CRZ14" s="108"/>
      <c r="CSA14" s="108"/>
      <c r="CSB14" s="109"/>
      <c r="CSC14" s="107" t="s">
        <v>1</v>
      </c>
      <c r="CSD14" s="108"/>
      <c r="CSE14" s="108"/>
      <c r="CSF14" s="109"/>
      <c r="CSG14" s="107" t="s">
        <v>1</v>
      </c>
      <c r="CSH14" s="108"/>
      <c r="CSI14" s="108"/>
      <c r="CSJ14" s="109"/>
      <c r="CSK14" s="107" t="s">
        <v>1</v>
      </c>
      <c r="CSL14" s="108"/>
      <c r="CSM14" s="108"/>
      <c r="CSN14" s="109"/>
      <c r="CSO14" s="107" t="s">
        <v>1</v>
      </c>
      <c r="CSP14" s="108"/>
      <c r="CSQ14" s="108"/>
      <c r="CSR14" s="109"/>
      <c r="CSS14" s="107" t="s">
        <v>1</v>
      </c>
      <c r="CST14" s="108"/>
      <c r="CSU14" s="108"/>
      <c r="CSV14" s="109"/>
      <c r="CSW14" s="107" t="s">
        <v>1</v>
      </c>
      <c r="CSX14" s="108"/>
      <c r="CSY14" s="108"/>
      <c r="CSZ14" s="109"/>
      <c r="CTA14" s="107" t="s">
        <v>1</v>
      </c>
      <c r="CTB14" s="108"/>
      <c r="CTC14" s="108"/>
      <c r="CTD14" s="109"/>
      <c r="CTE14" s="107" t="s">
        <v>1</v>
      </c>
      <c r="CTF14" s="108"/>
      <c r="CTG14" s="108"/>
      <c r="CTH14" s="109"/>
      <c r="CTI14" s="107" t="s">
        <v>1</v>
      </c>
      <c r="CTJ14" s="108"/>
      <c r="CTK14" s="108"/>
      <c r="CTL14" s="109"/>
      <c r="CTM14" s="107" t="s">
        <v>1</v>
      </c>
      <c r="CTN14" s="108"/>
      <c r="CTO14" s="108"/>
      <c r="CTP14" s="109"/>
      <c r="CTQ14" s="107" t="s">
        <v>1</v>
      </c>
      <c r="CTR14" s="108"/>
      <c r="CTS14" s="108"/>
      <c r="CTT14" s="109"/>
      <c r="CTU14" s="107" t="s">
        <v>1</v>
      </c>
      <c r="CTV14" s="108"/>
      <c r="CTW14" s="108"/>
      <c r="CTX14" s="109"/>
      <c r="CTY14" s="107" t="s">
        <v>1</v>
      </c>
      <c r="CTZ14" s="108"/>
      <c r="CUA14" s="108"/>
      <c r="CUB14" s="109"/>
      <c r="CUC14" s="107" t="s">
        <v>1</v>
      </c>
      <c r="CUD14" s="108"/>
      <c r="CUE14" s="108"/>
      <c r="CUF14" s="109"/>
      <c r="CUG14" s="107" t="s">
        <v>1</v>
      </c>
      <c r="CUH14" s="108"/>
      <c r="CUI14" s="108"/>
      <c r="CUJ14" s="109"/>
      <c r="CUK14" s="107" t="s">
        <v>1</v>
      </c>
      <c r="CUL14" s="108"/>
      <c r="CUM14" s="108"/>
      <c r="CUN14" s="109"/>
      <c r="CUO14" s="107" t="s">
        <v>1</v>
      </c>
      <c r="CUP14" s="108"/>
      <c r="CUQ14" s="108"/>
      <c r="CUR14" s="109"/>
      <c r="CUS14" s="107" t="s">
        <v>1</v>
      </c>
      <c r="CUT14" s="108"/>
      <c r="CUU14" s="108"/>
      <c r="CUV14" s="109"/>
      <c r="CUW14" s="107" t="s">
        <v>1</v>
      </c>
      <c r="CUX14" s="108"/>
      <c r="CUY14" s="108"/>
      <c r="CUZ14" s="109"/>
      <c r="CVA14" s="107" t="s">
        <v>1</v>
      </c>
      <c r="CVB14" s="108"/>
      <c r="CVC14" s="108"/>
      <c r="CVD14" s="109"/>
      <c r="CVE14" s="107" t="s">
        <v>1</v>
      </c>
      <c r="CVF14" s="108"/>
      <c r="CVG14" s="108"/>
      <c r="CVH14" s="109"/>
      <c r="CVI14" s="107" t="s">
        <v>1</v>
      </c>
      <c r="CVJ14" s="108"/>
      <c r="CVK14" s="108"/>
      <c r="CVL14" s="109"/>
      <c r="CVM14" s="107" t="s">
        <v>1</v>
      </c>
      <c r="CVN14" s="108"/>
      <c r="CVO14" s="108"/>
      <c r="CVP14" s="109"/>
      <c r="CVQ14" s="107" t="s">
        <v>1</v>
      </c>
      <c r="CVR14" s="108"/>
      <c r="CVS14" s="108"/>
      <c r="CVT14" s="109"/>
      <c r="CVU14" s="107" t="s">
        <v>1</v>
      </c>
      <c r="CVV14" s="108"/>
      <c r="CVW14" s="108"/>
      <c r="CVX14" s="109"/>
      <c r="CVY14" s="107" t="s">
        <v>1</v>
      </c>
      <c r="CVZ14" s="108"/>
      <c r="CWA14" s="108"/>
      <c r="CWB14" s="109"/>
      <c r="CWC14" s="107" t="s">
        <v>1</v>
      </c>
      <c r="CWD14" s="108"/>
      <c r="CWE14" s="108"/>
      <c r="CWF14" s="109"/>
      <c r="CWG14" s="107" t="s">
        <v>1</v>
      </c>
      <c r="CWH14" s="108"/>
      <c r="CWI14" s="108"/>
      <c r="CWJ14" s="109"/>
      <c r="CWK14" s="107" t="s">
        <v>1</v>
      </c>
      <c r="CWL14" s="108"/>
      <c r="CWM14" s="108"/>
      <c r="CWN14" s="109"/>
      <c r="CWO14" s="107" t="s">
        <v>1</v>
      </c>
      <c r="CWP14" s="108"/>
      <c r="CWQ14" s="108"/>
      <c r="CWR14" s="109"/>
      <c r="CWS14" s="107" t="s">
        <v>1</v>
      </c>
      <c r="CWT14" s="108"/>
      <c r="CWU14" s="108"/>
      <c r="CWV14" s="109"/>
      <c r="CWW14" s="107" t="s">
        <v>1</v>
      </c>
      <c r="CWX14" s="108"/>
      <c r="CWY14" s="108"/>
      <c r="CWZ14" s="109"/>
      <c r="CXA14" s="107" t="s">
        <v>1</v>
      </c>
      <c r="CXB14" s="108"/>
      <c r="CXC14" s="108"/>
      <c r="CXD14" s="109"/>
      <c r="CXE14" s="107" t="s">
        <v>1</v>
      </c>
      <c r="CXF14" s="108"/>
      <c r="CXG14" s="108"/>
      <c r="CXH14" s="109"/>
      <c r="CXI14" s="107" t="s">
        <v>1</v>
      </c>
      <c r="CXJ14" s="108"/>
      <c r="CXK14" s="108"/>
      <c r="CXL14" s="109"/>
      <c r="CXM14" s="107" t="s">
        <v>1</v>
      </c>
      <c r="CXN14" s="108"/>
      <c r="CXO14" s="108"/>
      <c r="CXP14" s="109"/>
      <c r="CXQ14" s="107" t="s">
        <v>1</v>
      </c>
      <c r="CXR14" s="108"/>
      <c r="CXS14" s="108"/>
      <c r="CXT14" s="109"/>
      <c r="CXU14" s="107" t="s">
        <v>1</v>
      </c>
      <c r="CXV14" s="108"/>
      <c r="CXW14" s="108"/>
      <c r="CXX14" s="109"/>
      <c r="CXY14" s="107" t="s">
        <v>1</v>
      </c>
      <c r="CXZ14" s="108"/>
      <c r="CYA14" s="108"/>
      <c r="CYB14" s="109"/>
      <c r="CYC14" s="107" t="s">
        <v>1</v>
      </c>
      <c r="CYD14" s="108"/>
      <c r="CYE14" s="108"/>
      <c r="CYF14" s="109"/>
      <c r="CYG14" s="107" t="s">
        <v>1</v>
      </c>
      <c r="CYH14" s="108"/>
      <c r="CYI14" s="108"/>
      <c r="CYJ14" s="109"/>
      <c r="CYK14" s="107" t="s">
        <v>1</v>
      </c>
      <c r="CYL14" s="108"/>
      <c r="CYM14" s="108"/>
      <c r="CYN14" s="109"/>
      <c r="CYO14" s="107" t="s">
        <v>1</v>
      </c>
      <c r="CYP14" s="108"/>
      <c r="CYQ14" s="108"/>
      <c r="CYR14" s="109"/>
      <c r="CYS14" s="107" t="s">
        <v>1</v>
      </c>
      <c r="CYT14" s="108"/>
      <c r="CYU14" s="108"/>
      <c r="CYV14" s="109"/>
      <c r="CYW14" s="107" t="s">
        <v>1</v>
      </c>
      <c r="CYX14" s="108"/>
      <c r="CYY14" s="108"/>
      <c r="CYZ14" s="109"/>
      <c r="CZA14" s="107" t="s">
        <v>1</v>
      </c>
      <c r="CZB14" s="108"/>
      <c r="CZC14" s="108"/>
      <c r="CZD14" s="109"/>
      <c r="CZE14" s="107" t="s">
        <v>1</v>
      </c>
      <c r="CZF14" s="108"/>
      <c r="CZG14" s="108"/>
      <c r="CZH14" s="109"/>
      <c r="CZI14" s="107" t="s">
        <v>1</v>
      </c>
      <c r="CZJ14" s="108"/>
      <c r="CZK14" s="108"/>
      <c r="CZL14" s="109"/>
      <c r="CZM14" s="107" t="s">
        <v>1</v>
      </c>
      <c r="CZN14" s="108"/>
      <c r="CZO14" s="108"/>
      <c r="CZP14" s="109"/>
      <c r="CZQ14" s="107" t="s">
        <v>1</v>
      </c>
      <c r="CZR14" s="108"/>
      <c r="CZS14" s="108"/>
      <c r="CZT14" s="109"/>
      <c r="CZU14" s="107" t="s">
        <v>1</v>
      </c>
      <c r="CZV14" s="108"/>
      <c r="CZW14" s="108"/>
      <c r="CZX14" s="109"/>
      <c r="CZY14" s="107" t="s">
        <v>1</v>
      </c>
      <c r="CZZ14" s="108"/>
      <c r="DAA14" s="108"/>
      <c r="DAB14" s="109"/>
      <c r="DAC14" s="107" t="s">
        <v>1</v>
      </c>
      <c r="DAD14" s="108"/>
      <c r="DAE14" s="108"/>
      <c r="DAF14" s="109"/>
      <c r="DAG14" s="107" t="s">
        <v>1</v>
      </c>
      <c r="DAH14" s="108"/>
      <c r="DAI14" s="108"/>
      <c r="DAJ14" s="109"/>
      <c r="DAK14" s="107" t="s">
        <v>1</v>
      </c>
      <c r="DAL14" s="108"/>
      <c r="DAM14" s="108"/>
      <c r="DAN14" s="109"/>
      <c r="DAO14" s="107" t="s">
        <v>1</v>
      </c>
      <c r="DAP14" s="108"/>
      <c r="DAQ14" s="108"/>
      <c r="DAR14" s="109"/>
      <c r="DAS14" s="107" t="s">
        <v>1</v>
      </c>
      <c r="DAT14" s="108"/>
      <c r="DAU14" s="108"/>
      <c r="DAV14" s="109"/>
      <c r="DAW14" s="107" t="s">
        <v>1</v>
      </c>
      <c r="DAX14" s="108"/>
      <c r="DAY14" s="108"/>
      <c r="DAZ14" s="109"/>
      <c r="DBA14" s="107" t="s">
        <v>1</v>
      </c>
      <c r="DBB14" s="108"/>
      <c r="DBC14" s="108"/>
      <c r="DBD14" s="109"/>
      <c r="DBE14" s="107" t="s">
        <v>1</v>
      </c>
      <c r="DBF14" s="108"/>
      <c r="DBG14" s="108"/>
      <c r="DBH14" s="109"/>
      <c r="DBI14" s="107" t="s">
        <v>1</v>
      </c>
      <c r="DBJ14" s="108"/>
      <c r="DBK14" s="108"/>
      <c r="DBL14" s="109"/>
      <c r="DBM14" s="107" t="s">
        <v>1</v>
      </c>
      <c r="DBN14" s="108"/>
      <c r="DBO14" s="108"/>
      <c r="DBP14" s="109"/>
      <c r="DBQ14" s="107" t="s">
        <v>1</v>
      </c>
      <c r="DBR14" s="108"/>
      <c r="DBS14" s="108"/>
      <c r="DBT14" s="109"/>
      <c r="DBU14" s="107" t="s">
        <v>1</v>
      </c>
      <c r="DBV14" s="108"/>
      <c r="DBW14" s="108"/>
      <c r="DBX14" s="109"/>
      <c r="DBY14" s="107" t="s">
        <v>1</v>
      </c>
      <c r="DBZ14" s="108"/>
      <c r="DCA14" s="108"/>
      <c r="DCB14" s="109"/>
      <c r="DCC14" s="107" t="s">
        <v>1</v>
      </c>
      <c r="DCD14" s="108"/>
      <c r="DCE14" s="108"/>
      <c r="DCF14" s="109"/>
      <c r="DCG14" s="107" t="s">
        <v>1</v>
      </c>
      <c r="DCH14" s="108"/>
      <c r="DCI14" s="108"/>
      <c r="DCJ14" s="109"/>
      <c r="DCK14" s="107" t="s">
        <v>1</v>
      </c>
      <c r="DCL14" s="108"/>
      <c r="DCM14" s="108"/>
      <c r="DCN14" s="109"/>
      <c r="DCO14" s="107" t="s">
        <v>1</v>
      </c>
      <c r="DCP14" s="108"/>
      <c r="DCQ14" s="108"/>
      <c r="DCR14" s="109"/>
      <c r="DCS14" s="107" t="s">
        <v>1</v>
      </c>
      <c r="DCT14" s="108"/>
      <c r="DCU14" s="108"/>
      <c r="DCV14" s="109"/>
      <c r="DCW14" s="107" t="s">
        <v>1</v>
      </c>
      <c r="DCX14" s="108"/>
      <c r="DCY14" s="108"/>
      <c r="DCZ14" s="109"/>
      <c r="DDA14" s="107" t="s">
        <v>1</v>
      </c>
      <c r="DDB14" s="108"/>
      <c r="DDC14" s="108"/>
      <c r="DDD14" s="109"/>
      <c r="DDE14" s="107" t="s">
        <v>1</v>
      </c>
      <c r="DDF14" s="108"/>
      <c r="DDG14" s="108"/>
      <c r="DDH14" s="109"/>
      <c r="DDI14" s="107" t="s">
        <v>1</v>
      </c>
      <c r="DDJ14" s="108"/>
      <c r="DDK14" s="108"/>
      <c r="DDL14" s="109"/>
      <c r="DDM14" s="107" t="s">
        <v>1</v>
      </c>
      <c r="DDN14" s="108"/>
      <c r="DDO14" s="108"/>
      <c r="DDP14" s="109"/>
      <c r="DDQ14" s="107" t="s">
        <v>1</v>
      </c>
      <c r="DDR14" s="108"/>
      <c r="DDS14" s="108"/>
      <c r="DDT14" s="109"/>
      <c r="DDU14" s="107" t="s">
        <v>1</v>
      </c>
      <c r="DDV14" s="108"/>
      <c r="DDW14" s="108"/>
      <c r="DDX14" s="109"/>
      <c r="DDY14" s="107" t="s">
        <v>1</v>
      </c>
      <c r="DDZ14" s="108"/>
      <c r="DEA14" s="108"/>
      <c r="DEB14" s="109"/>
      <c r="DEC14" s="107" t="s">
        <v>1</v>
      </c>
      <c r="DED14" s="108"/>
      <c r="DEE14" s="108"/>
      <c r="DEF14" s="109"/>
      <c r="DEG14" s="107" t="s">
        <v>1</v>
      </c>
      <c r="DEH14" s="108"/>
      <c r="DEI14" s="108"/>
      <c r="DEJ14" s="109"/>
      <c r="DEK14" s="107" t="s">
        <v>1</v>
      </c>
      <c r="DEL14" s="108"/>
      <c r="DEM14" s="108"/>
      <c r="DEN14" s="109"/>
      <c r="DEO14" s="107" t="s">
        <v>1</v>
      </c>
      <c r="DEP14" s="108"/>
      <c r="DEQ14" s="108"/>
      <c r="DER14" s="109"/>
      <c r="DES14" s="107" t="s">
        <v>1</v>
      </c>
      <c r="DET14" s="108"/>
      <c r="DEU14" s="108"/>
      <c r="DEV14" s="109"/>
      <c r="DEW14" s="107" t="s">
        <v>1</v>
      </c>
      <c r="DEX14" s="108"/>
      <c r="DEY14" s="108"/>
      <c r="DEZ14" s="109"/>
      <c r="DFA14" s="107" t="s">
        <v>1</v>
      </c>
      <c r="DFB14" s="108"/>
      <c r="DFC14" s="108"/>
      <c r="DFD14" s="109"/>
      <c r="DFE14" s="107" t="s">
        <v>1</v>
      </c>
      <c r="DFF14" s="108"/>
      <c r="DFG14" s="108"/>
      <c r="DFH14" s="109"/>
      <c r="DFI14" s="107" t="s">
        <v>1</v>
      </c>
      <c r="DFJ14" s="108"/>
      <c r="DFK14" s="108"/>
      <c r="DFL14" s="109"/>
      <c r="DFM14" s="107" t="s">
        <v>1</v>
      </c>
      <c r="DFN14" s="108"/>
      <c r="DFO14" s="108"/>
      <c r="DFP14" s="109"/>
      <c r="DFQ14" s="107" t="s">
        <v>1</v>
      </c>
      <c r="DFR14" s="108"/>
      <c r="DFS14" s="108"/>
      <c r="DFT14" s="109"/>
      <c r="DFU14" s="107" t="s">
        <v>1</v>
      </c>
      <c r="DFV14" s="108"/>
      <c r="DFW14" s="108"/>
      <c r="DFX14" s="109"/>
      <c r="DFY14" s="107" t="s">
        <v>1</v>
      </c>
      <c r="DFZ14" s="108"/>
      <c r="DGA14" s="108"/>
      <c r="DGB14" s="109"/>
      <c r="DGC14" s="107" t="s">
        <v>1</v>
      </c>
      <c r="DGD14" s="108"/>
      <c r="DGE14" s="108"/>
      <c r="DGF14" s="109"/>
      <c r="DGG14" s="107" t="s">
        <v>1</v>
      </c>
      <c r="DGH14" s="108"/>
      <c r="DGI14" s="108"/>
      <c r="DGJ14" s="109"/>
      <c r="DGK14" s="107" t="s">
        <v>1</v>
      </c>
      <c r="DGL14" s="108"/>
      <c r="DGM14" s="108"/>
      <c r="DGN14" s="109"/>
      <c r="DGO14" s="107" t="s">
        <v>1</v>
      </c>
      <c r="DGP14" s="108"/>
      <c r="DGQ14" s="108"/>
      <c r="DGR14" s="109"/>
      <c r="DGS14" s="107" t="s">
        <v>1</v>
      </c>
      <c r="DGT14" s="108"/>
      <c r="DGU14" s="108"/>
      <c r="DGV14" s="109"/>
      <c r="DGW14" s="107" t="s">
        <v>1</v>
      </c>
      <c r="DGX14" s="108"/>
      <c r="DGY14" s="108"/>
      <c r="DGZ14" s="109"/>
      <c r="DHA14" s="107" t="s">
        <v>1</v>
      </c>
      <c r="DHB14" s="108"/>
      <c r="DHC14" s="108"/>
      <c r="DHD14" s="109"/>
      <c r="DHE14" s="107" t="s">
        <v>1</v>
      </c>
      <c r="DHF14" s="108"/>
      <c r="DHG14" s="108"/>
      <c r="DHH14" s="109"/>
      <c r="DHI14" s="107" t="s">
        <v>1</v>
      </c>
      <c r="DHJ14" s="108"/>
      <c r="DHK14" s="108"/>
      <c r="DHL14" s="109"/>
      <c r="DHM14" s="107" t="s">
        <v>1</v>
      </c>
      <c r="DHN14" s="108"/>
      <c r="DHO14" s="108"/>
      <c r="DHP14" s="109"/>
      <c r="DHQ14" s="107" t="s">
        <v>1</v>
      </c>
      <c r="DHR14" s="108"/>
      <c r="DHS14" s="108"/>
      <c r="DHT14" s="109"/>
      <c r="DHU14" s="107" t="s">
        <v>1</v>
      </c>
      <c r="DHV14" s="108"/>
      <c r="DHW14" s="108"/>
      <c r="DHX14" s="109"/>
      <c r="DHY14" s="107" t="s">
        <v>1</v>
      </c>
      <c r="DHZ14" s="108"/>
      <c r="DIA14" s="108"/>
      <c r="DIB14" s="109"/>
      <c r="DIC14" s="107" t="s">
        <v>1</v>
      </c>
      <c r="DID14" s="108"/>
      <c r="DIE14" s="108"/>
      <c r="DIF14" s="109"/>
      <c r="DIG14" s="107" t="s">
        <v>1</v>
      </c>
      <c r="DIH14" s="108"/>
      <c r="DII14" s="108"/>
      <c r="DIJ14" s="109"/>
      <c r="DIK14" s="107" t="s">
        <v>1</v>
      </c>
      <c r="DIL14" s="108"/>
      <c r="DIM14" s="108"/>
      <c r="DIN14" s="109"/>
      <c r="DIO14" s="107" t="s">
        <v>1</v>
      </c>
      <c r="DIP14" s="108"/>
      <c r="DIQ14" s="108"/>
      <c r="DIR14" s="109"/>
      <c r="DIS14" s="107" t="s">
        <v>1</v>
      </c>
      <c r="DIT14" s="108"/>
      <c r="DIU14" s="108"/>
      <c r="DIV14" s="109"/>
      <c r="DIW14" s="107" t="s">
        <v>1</v>
      </c>
      <c r="DIX14" s="108"/>
      <c r="DIY14" s="108"/>
      <c r="DIZ14" s="109"/>
      <c r="DJA14" s="107" t="s">
        <v>1</v>
      </c>
      <c r="DJB14" s="108"/>
      <c r="DJC14" s="108"/>
      <c r="DJD14" s="109"/>
      <c r="DJE14" s="107" t="s">
        <v>1</v>
      </c>
      <c r="DJF14" s="108"/>
      <c r="DJG14" s="108"/>
      <c r="DJH14" s="109"/>
      <c r="DJI14" s="107" t="s">
        <v>1</v>
      </c>
      <c r="DJJ14" s="108"/>
      <c r="DJK14" s="108"/>
      <c r="DJL14" s="109"/>
      <c r="DJM14" s="107" t="s">
        <v>1</v>
      </c>
      <c r="DJN14" s="108"/>
      <c r="DJO14" s="108"/>
      <c r="DJP14" s="109"/>
      <c r="DJQ14" s="107" t="s">
        <v>1</v>
      </c>
      <c r="DJR14" s="108"/>
      <c r="DJS14" s="108"/>
      <c r="DJT14" s="109"/>
      <c r="DJU14" s="107" t="s">
        <v>1</v>
      </c>
      <c r="DJV14" s="108"/>
      <c r="DJW14" s="108"/>
      <c r="DJX14" s="109"/>
      <c r="DJY14" s="107" t="s">
        <v>1</v>
      </c>
      <c r="DJZ14" s="108"/>
      <c r="DKA14" s="108"/>
      <c r="DKB14" s="109"/>
      <c r="DKC14" s="107" t="s">
        <v>1</v>
      </c>
      <c r="DKD14" s="108"/>
      <c r="DKE14" s="108"/>
      <c r="DKF14" s="109"/>
      <c r="DKG14" s="107" t="s">
        <v>1</v>
      </c>
      <c r="DKH14" s="108"/>
      <c r="DKI14" s="108"/>
      <c r="DKJ14" s="109"/>
      <c r="DKK14" s="107" t="s">
        <v>1</v>
      </c>
      <c r="DKL14" s="108"/>
      <c r="DKM14" s="108"/>
      <c r="DKN14" s="109"/>
      <c r="DKO14" s="107" t="s">
        <v>1</v>
      </c>
      <c r="DKP14" s="108"/>
      <c r="DKQ14" s="108"/>
      <c r="DKR14" s="109"/>
      <c r="DKS14" s="107" t="s">
        <v>1</v>
      </c>
      <c r="DKT14" s="108"/>
      <c r="DKU14" s="108"/>
      <c r="DKV14" s="109"/>
      <c r="DKW14" s="107" t="s">
        <v>1</v>
      </c>
      <c r="DKX14" s="108"/>
      <c r="DKY14" s="108"/>
      <c r="DKZ14" s="109"/>
      <c r="DLA14" s="107" t="s">
        <v>1</v>
      </c>
      <c r="DLB14" s="108"/>
      <c r="DLC14" s="108"/>
      <c r="DLD14" s="109"/>
      <c r="DLE14" s="107" t="s">
        <v>1</v>
      </c>
      <c r="DLF14" s="108"/>
      <c r="DLG14" s="108"/>
      <c r="DLH14" s="109"/>
      <c r="DLI14" s="107" t="s">
        <v>1</v>
      </c>
      <c r="DLJ14" s="108"/>
      <c r="DLK14" s="108"/>
      <c r="DLL14" s="109"/>
      <c r="DLM14" s="107" t="s">
        <v>1</v>
      </c>
      <c r="DLN14" s="108"/>
      <c r="DLO14" s="108"/>
      <c r="DLP14" s="109"/>
      <c r="DLQ14" s="107" t="s">
        <v>1</v>
      </c>
      <c r="DLR14" s="108"/>
      <c r="DLS14" s="108"/>
      <c r="DLT14" s="109"/>
      <c r="DLU14" s="107" t="s">
        <v>1</v>
      </c>
      <c r="DLV14" s="108"/>
      <c r="DLW14" s="108"/>
      <c r="DLX14" s="109"/>
      <c r="DLY14" s="107" t="s">
        <v>1</v>
      </c>
      <c r="DLZ14" s="108"/>
      <c r="DMA14" s="108"/>
      <c r="DMB14" s="109"/>
      <c r="DMC14" s="107" t="s">
        <v>1</v>
      </c>
      <c r="DMD14" s="108"/>
      <c r="DME14" s="108"/>
      <c r="DMF14" s="109"/>
      <c r="DMG14" s="107" t="s">
        <v>1</v>
      </c>
      <c r="DMH14" s="108"/>
      <c r="DMI14" s="108"/>
      <c r="DMJ14" s="109"/>
      <c r="DMK14" s="107" t="s">
        <v>1</v>
      </c>
      <c r="DML14" s="108"/>
      <c r="DMM14" s="108"/>
      <c r="DMN14" s="109"/>
      <c r="DMO14" s="107" t="s">
        <v>1</v>
      </c>
      <c r="DMP14" s="108"/>
      <c r="DMQ14" s="108"/>
      <c r="DMR14" s="109"/>
      <c r="DMS14" s="107" t="s">
        <v>1</v>
      </c>
      <c r="DMT14" s="108"/>
      <c r="DMU14" s="108"/>
      <c r="DMV14" s="109"/>
      <c r="DMW14" s="107" t="s">
        <v>1</v>
      </c>
      <c r="DMX14" s="108"/>
      <c r="DMY14" s="108"/>
      <c r="DMZ14" s="109"/>
      <c r="DNA14" s="107" t="s">
        <v>1</v>
      </c>
      <c r="DNB14" s="108"/>
      <c r="DNC14" s="108"/>
      <c r="DND14" s="109"/>
      <c r="DNE14" s="107" t="s">
        <v>1</v>
      </c>
      <c r="DNF14" s="108"/>
      <c r="DNG14" s="108"/>
      <c r="DNH14" s="109"/>
      <c r="DNI14" s="107" t="s">
        <v>1</v>
      </c>
      <c r="DNJ14" s="108"/>
      <c r="DNK14" s="108"/>
      <c r="DNL14" s="109"/>
      <c r="DNM14" s="107" t="s">
        <v>1</v>
      </c>
      <c r="DNN14" s="108"/>
      <c r="DNO14" s="108"/>
      <c r="DNP14" s="109"/>
      <c r="DNQ14" s="107" t="s">
        <v>1</v>
      </c>
      <c r="DNR14" s="108"/>
      <c r="DNS14" s="108"/>
      <c r="DNT14" s="109"/>
      <c r="DNU14" s="107" t="s">
        <v>1</v>
      </c>
      <c r="DNV14" s="108"/>
      <c r="DNW14" s="108"/>
      <c r="DNX14" s="109"/>
      <c r="DNY14" s="107" t="s">
        <v>1</v>
      </c>
      <c r="DNZ14" s="108"/>
      <c r="DOA14" s="108"/>
      <c r="DOB14" s="109"/>
      <c r="DOC14" s="107" t="s">
        <v>1</v>
      </c>
      <c r="DOD14" s="108"/>
      <c r="DOE14" s="108"/>
      <c r="DOF14" s="109"/>
      <c r="DOG14" s="107" t="s">
        <v>1</v>
      </c>
      <c r="DOH14" s="108"/>
      <c r="DOI14" s="108"/>
      <c r="DOJ14" s="109"/>
      <c r="DOK14" s="107" t="s">
        <v>1</v>
      </c>
      <c r="DOL14" s="108"/>
      <c r="DOM14" s="108"/>
      <c r="DON14" s="109"/>
      <c r="DOO14" s="107" t="s">
        <v>1</v>
      </c>
      <c r="DOP14" s="108"/>
      <c r="DOQ14" s="108"/>
      <c r="DOR14" s="109"/>
      <c r="DOS14" s="107" t="s">
        <v>1</v>
      </c>
      <c r="DOT14" s="108"/>
      <c r="DOU14" s="108"/>
      <c r="DOV14" s="109"/>
      <c r="DOW14" s="107" t="s">
        <v>1</v>
      </c>
      <c r="DOX14" s="108"/>
      <c r="DOY14" s="108"/>
      <c r="DOZ14" s="109"/>
      <c r="DPA14" s="107" t="s">
        <v>1</v>
      </c>
      <c r="DPB14" s="108"/>
      <c r="DPC14" s="108"/>
      <c r="DPD14" s="109"/>
      <c r="DPE14" s="107" t="s">
        <v>1</v>
      </c>
      <c r="DPF14" s="108"/>
      <c r="DPG14" s="108"/>
      <c r="DPH14" s="109"/>
      <c r="DPI14" s="107" t="s">
        <v>1</v>
      </c>
      <c r="DPJ14" s="108"/>
      <c r="DPK14" s="108"/>
      <c r="DPL14" s="109"/>
      <c r="DPM14" s="107" t="s">
        <v>1</v>
      </c>
      <c r="DPN14" s="108"/>
      <c r="DPO14" s="108"/>
      <c r="DPP14" s="109"/>
      <c r="DPQ14" s="107" t="s">
        <v>1</v>
      </c>
      <c r="DPR14" s="108"/>
      <c r="DPS14" s="108"/>
      <c r="DPT14" s="109"/>
      <c r="DPU14" s="107" t="s">
        <v>1</v>
      </c>
      <c r="DPV14" s="108"/>
      <c r="DPW14" s="108"/>
      <c r="DPX14" s="109"/>
      <c r="DPY14" s="107" t="s">
        <v>1</v>
      </c>
      <c r="DPZ14" s="108"/>
      <c r="DQA14" s="108"/>
      <c r="DQB14" s="109"/>
      <c r="DQC14" s="107" t="s">
        <v>1</v>
      </c>
      <c r="DQD14" s="108"/>
      <c r="DQE14" s="108"/>
      <c r="DQF14" s="109"/>
      <c r="DQG14" s="107" t="s">
        <v>1</v>
      </c>
      <c r="DQH14" s="108"/>
      <c r="DQI14" s="108"/>
      <c r="DQJ14" s="109"/>
      <c r="DQK14" s="107" t="s">
        <v>1</v>
      </c>
      <c r="DQL14" s="108"/>
      <c r="DQM14" s="108"/>
      <c r="DQN14" s="109"/>
      <c r="DQO14" s="107" t="s">
        <v>1</v>
      </c>
      <c r="DQP14" s="108"/>
      <c r="DQQ14" s="108"/>
      <c r="DQR14" s="109"/>
      <c r="DQS14" s="107" t="s">
        <v>1</v>
      </c>
      <c r="DQT14" s="108"/>
      <c r="DQU14" s="108"/>
      <c r="DQV14" s="109"/>
      <c r="DQW14" s="107" t="s">
        <v>1</v>
      </c>
      <c r="DQX14" s="108"/>
      <c r="DQY14" s="108"/>
      <c r="DQZ14" s="109"/>
      <c r="DRA14" s="107" t="s">
        <v>1</v>
      </c>
      <c r="DRB14" s="108"/>
      <c r="DRC14" s="108"/>
      <c r="DRD14" s="109"/>
      <c r="DRE14" s="107" t="s">
        <v>1</v>
      </c>
      <c r="DRF14" s="108"/>
      <c r="DRG14" s="108"/>
      <c r="DRH14" s="109"/>
      <c r="DRI14" s="107" t="s">
        <v>1</v>
      </c>
      <c r="DRJ14" s="108"/>
      <c r="DRK14" s="108"/>
      <c r="DRL14" s="109"/>
      <c r="DRM14" s="107" t="s">
        <v>1</v>
      </c>
      <c r="DRN14" s="108"/>
      <c r="DRO14" s="108"/>
      <c r="DRP14" s="109"/>
      <c r="DRQ14" s="107" t="s">
        <v>1</v>
      </c>
      <c r="DRR14" s="108"/>
      <c r="DRS14" s="108"/>
      <c r="DRT14" s="109"/>
      <c r="DRU14" s="107" t="s">
        <v>1</v>
      </c>
      <c r="DRV14" s="108"/>
      <c r="DRW14" s="108"/>
      <c r="DRX14" s="109"/>
      <c r="DRY14" s="107" t="s">
        <v>1</v>
      </c>
      <c r="DRZ14" s="108"/>
      <c r="DSA14" s="108"/>
      <c r="DSB14" s="109"/>
      <c r="DSC14" s="107" t="s">
        <v>1</v>
      </c>
      <c r="DSD14" s="108"/>
      <c r="DSE14" s="108"/>
      <c r="DSF14" s="109"/>
      <c r="DSG14" s="107" t="s">
        <v>1</v>
      </c>
      <c r="DSH14" s="108"/>
      <c r="DSI14" s="108"/>
      <c r="DSJ14" s="109"/>
      <c r="DSK14" s="107" t="s">
        <v>1</v>
      </c>
      <c r="DSL14" s="108"/>
      <c r="DSM14" s="108"/>
      <c r="DSN14" s="109"/>
      <c r="DSO14" s="107" t="s">
        <v>1</v>
      </c>
      <c r="DSP14" s="108"/>
      <c r="DSQ14" s="108"/>
      <c r="DSR14" s="109"/>
      <c r="DSS14" s="107" t="s">
        <v>1</v>
      </c>
      <c r="DST14" s="108"/>
      <c r="DSU14" s="108"/>
      <c r="DSV14" s="109"/>
      <c r="DSW14" s="107" t="s">
        <v>1</v>
      </c>
      <c r="DSX14" s="108"/>
      <c r="DSY14" s="108"/>
      <c r="DSZ14" s="109"/>
      <c r="DTA14" s="107" t="s">
        <v>1</v>
      </c>
      <c r="DTB14" s="108"/>
      <c r="DTC14" s="108"/>
      <c r="DTD14" s="109"/>
      <c r="DTE14" s="107" t="s">
        <v>1</v>
      </c>
      <c r="DTF14" s="108"/>
      <c r="DTG14" s="108"/>
      <c r="DTH14" s="109"/>
      <c r="DTI14" s="107" t="s">
        <v>1</v>
      </c>
      <c r="DTJ14" s="108"/>
      <c r="DTK14" s="108"/>
      <c r="DTL14" s="109"/>
      <c r="DTM14" s="107" t="s">
        <v>1</v>
      </c>
      <c r="DTN14" s="108"/>
      <c r="DTO14" s="108"/>
      <c r="DTP14" s="109"/>
      <c r="DTQ14" s="107" t="s">
        <v>1</v>
      </c>
      <c r="DTR14" s="108"/>
      <c r="DTS14" s="108"/>
      <c r="DTT14" s="109"/>
      <c r="DTU14" s="107" t="s">
        <v>1</v>
      </c>
      <c r="DTV14" s="108"/>
      <c r="DTW14" s="108"/>
      <c r="DTX14" s="109"/>
      <c r="DTY14" s="107" t="s">
        <v>1</v>
      </c>
      <c r="DTZ14" s="108"/>
      <c r="DUA14" s="108"/>
      <c r="DUB14" s="109"/>
      <c r="DUC14" s="107" t="s">
        <v>1</v>
      </c>
      <c r="DUD14" s="108"/>
      <c r="DUE14" s="108"/>
      <c r="DUF14" s="109"/>
      <c r="DUG14" s="107" t="s">
        <v>1</v>
      </c>
      <c r="DUH14" s="108"/>
      <c r="DUI14" s="108"/>
      <c r="DUJ14" s="109"/>
      <c r="DUK14" s="107" t="s">
        <v>1</v>
      </c>
      <c r="DUL14" s="108"/>
      <c r="DUM14" s="108"/>
      <c r="DUN14" s="109"/>
      <c r="DUO14" s="107" t="s">
        <v>1</v>
      </c>
      <c r="DUP14" s="108"/>
      <c r="DUQ14" s="108"/>
      <c r="DUR14" s="109"/>
      <c r="DUS14" s="107" t="s">
        <v>1</v>
      </c>
      <c r="DUT14" s="108"/>
      <c r="DUU14" s="108"/>
      <c r="DUV14" s="109"/>
      <c r="DUW14" s="107" t="s">
        <v>1</v>
      </c>
      <c r="DUX14" s="108"/>
      <c r="DUY14" s="108"/>
      <c r="DUZ14" s="109"/>
      <c r="DVA14" s="107" t="s">
        <v>1</v>
      </c>
      <c r="DVB14" s="108"/>
      <c r="DVC14" s="108"/>
      <c r="DVD14" s="109"/>
      <c r="DVE14" s="107" t="s">
        <v>1</v>
      </c>
      <c r="DVF14" s="108"/>
      <c r="DVG14" s="108"/>
      <c r="DVH14" s="109"/>
      <c r="DVI14" s="107" t="s">
        <v>1</v>
      </c>
      <c r="DVJ14" s="108"/>
      <c r="DVK14" s="108"/>
      <c r="DVL14" s="109"/>
      <c r="DVM14" s="107" t="s">
        <v>1</v>
      </c>
      <c r="DVN14" s="108"/>
      <c r="DVO14" s="108"/>
      <c r="DVP14" s="109"/>
      <c r="DVQ14" s="107" t="s">
        <v>1</v>
      </c>
      <c r="DVR14" s="108"/>
      <c r="DVS14" s="108"/>
      <c r="DVT14" s="109"/>
      <c r="DVU14" s="107" t="s">
        <v>1</v>
      </c>
      <c r="DVV14" s="108"/>
      <c r="DVW14" s="108"/>
      <c r="DVX14" s="109"/>
      <c r="DVY14" s="107" t="s">
        <v>1</v>
      </c>
      <c r="DVZ14" s="108"/>
      <c r="DWA14" s="108"/>
      <c r="DWB14" s="109"/>
      <c r="DWC14" s="107" t="s">
        <v>1</v>
      </c>
      <c r="DWD14" s="108"/>
      <c r="DWE14" s="108"/>
      <c r="DWF14" s="109"/>
      <c r="DWG14" s="107" t="s">
        <v>1</v>
      </c>
      <c r="DWH14" s="108"/>
      <c r="DWI14" s="108"/>
      <c r="DWJ14" s="109"/>
      <c r="DWK14" s="107" t="s">
        <v>1</v>
      </c>
      <c r="DWL14" s="108"/>
      <c r="DWM14" s="108"/>
      <c r="DWN14" s="109"/>
      <c r="DWO14" s="107" t="s">
        <v>1</v>
      </c>
      <c r="DWP14" s="108"/>
      <c r="DWQ14" s="108"/>
      <c r="DWR14" s="109"/>
      <c r="DWS14" s="107" t="s">
        <v>1</v>
      </c>
      <c r="DWT14" s="108"/>
      <c r="DWU14" s="108"/>
      <c r="DWV14" s="109"/>
      <c r="DWW14" s="107" t="s">
        <v>1</v>
      </c>
      <c r="DWX14" s="108"/>
      <c r="DWY14" s="108"/>
      <c r="DWZ14" s="109"/>
      <c r="DXA14" s="107" t="s">
        <v>1</v>
      </c>
      <c r="DXB14" s="108"/>
      <c r="DXC14" s="108"/>
      <c r="DXD14" s="109"/>
      <c r="DXE14" s="107" t="s">
        <v>1</v>
      </c>
      <c r="DXF14" s="108"/>
      <c r="DXG14" s="108"/>
      <c r="DXH14" s="109"/>
      <c r="DXI14" s="107" t="s">
        <v>1</v>
      </c>
      <c r="DXJ14" s="108"/>
      <c r="DXK14" s="108"/>
      <c r="DXL14" s="109"/>
      <c r="DXM14" s="107" t="s">
        <v>1</v>
      </c>
      <c r="DXN14" s="108"/>
      <c r="DXO14" s="108"/>
      <c r="DXP14" s="109"/>
      <c r="DXQ14" s="107" t="s">
        <v>1</v>
      </c>
      <c r="DXR14" s="108"/>
      <c r="DXS14" s="108"/>
      <c r="DXT14" s="109"/>
      <c r="DXU14" s="107" t="s">
        <v>1</v>
      </c>
      <c r="DXV14" s="108"/>
      <c r="DXW14" s="108"/>
      <c r="DXX14" s="109"/>
      <c r="DXY14" s="107" t="s">
        <v>1</v>
      </c>
      <c r="DXZ14" s="108"/>
      <c r="DYA14" s="108"/>
      <c r="DYB14" s="109"/>
      <c r="DYC14" s="107" t="s">
        <v>1</v>
      </c>
      <c r="DYD14" s="108"/>
      <c r="DYE14" s="108"/>
      <c r="DYF14" s="109"/>
      <c r="DYG14" s="107" t="s">
        <v>1</v>
      </c>
      <c r="DYH14" s="108"/>
      <c r="DYI14" s="108"/>
      <c r="DYJ14" s="109"/>
      <c r="DYK14" s="107" t="s">
        <v>1</v>
      </c>
      <c r="DYL14" s="108"/>
      <c r="DYM14" s="108"/>
      <c r="DYN14" s="109"/>
      <c r="DYO14" s="107" t="s">
        <v>1</v>
      </c>
      <c r="DYP14" s="108"/>
      <c r="DYQ14" s="108"/>
      <c r="DYR14" s="109"/>
      <c r="DYS14" s="107" t="s">
        <v>1</v>
      </c>
      <c r="DYT14" s="108"/>
      <c r="DYU14" s="108"/>
      <c r="DYV14" s="109"/>
      <c r="DYW14" s="107" t="s">
        <v>1</v>
      </c>
      <c r="DYX14" s="108"/>
      <c r="DYY14" s="108"/>
      <c r="DYZ14" s="109"/>
      <c r="DZA14" s="107" t="s">
        <v>1</v>
      </c>
      <c r="DZB14" s="108"/>
      <c r="DZC14" s="108"/>
      <c r="DZD14" s="109"/>
      <c r="DZE14" s="107" t="s">
        <v>1</v>
      </c>
      <c r="DZF14" s="108"/>
      <c r="DZG14" s="108"/>
      <c r="DZH14" s="109"/>
      <c r="DZI14" s="107" t="s">
        <v>1</v>
      </c>
      <c r="DZJ14" s="108"/>
      <c r="DZK14" s="108"/>
      <c r="DZL14" s="109"/>
      <c r="DZM14" s="107" t="s">
        <v>1</v>
      </c>
      <c r="DZN14" s="108"/>
      <c r="DZO14" s="108"/>
      <c r="DZP14" s="109"/>
      <c r="DZQ14" s="107" t="s">
        <v>1</v>
      </c>
      <c r="DZR14" s="108"/>
      <c r="DZS14" s="108"/>
      <c r="DZT14" s="109"/>
      <c r="DZU14" s="107" t="s">
        <v>1</v>
      </c>
      <c r="DZV14" s="108"/>
      <c r="DZW14" s="108"/>
      <c r="DZX14" s="109"/>
      <c r="DZY14" s="107" t="s">
        <v>1</v>
      </c>
      <c r="DZZ14" s="108"/>
      <c r="EAA14" s="108"/>
      <c r="EAB14" s="109"/>
      <c r="EAC14" s="107" t="s">
        <v>1</v>
      </c>
      <c r="EAD14" s="108"/>
      <c r="EAE14" s="108"/>
      <c r="EAF14" s="109"/>
      <c r="EAG14" s="107" t="s">
        <v>1</v>
      </c>
      <c r="EAH14" s="108"/>
      <c r="EAI14" s="108"/>
      <c r="EAJ14" s="109"/>
      <c r="EAK14" s="107" t="s">
        <v>1</v>
      </c>
      <c r="EAL14" s="108"/>
      <c r="EAM14" s="108"/>
      <c r="EAN14" s="109"/>
      <c r="EAO14" s="107" t="s">
        <v>1</v>
      </c>
      <c r="EAP14" s="108"/>
      <c r="EAQ14" s="108"/>
      <c r="EAR14" s="109"/>
      <c r="EAS14" s="107" t="s">
        <v>1</v>
      </c>
      <c r="EAT14" s="108"/>
      <c r="EAU14" s="108"/>
      <c r="EAV14" s="109"/>
      <c r="EAW14" s="107" t="s">
        <v>1</v>
      </c>
      <c r="EAX14" s="108"/>
      <c r="EAY14" s="108"/>
      <c r="EAZ14" s="109"/>
      <c r="EBA14" s="107" t="s">
        <v>1</v>
      </c>
      <c r="EBB14" s="108"/>
      <c r="EBC14" s="108"/>
      <c r="EBD14" s="109"/>
      <c r="EBE14" s="107" t="s">
        <v>1</v>
      </c>
      <c r="EBF14" s="108"/>
      <c r="EBG14" s="108"/>
      <c r="EBH14" s="109"/>
      <c r="EBI14" s="107" t="s">
        <v>1</v>
      </c>
      <c r="EBJ14" s="108"/>
      <c r="EBK14" s="108"/>
      <c r="EBL14" s="109"/>
      <c r="EBM14" s="107" t="s">
        <v>1</v>
      </c>
      <c r="EBN14" s="108"/>
      <c r="EBO14" s="108"/>
      <c r="EBP14" s="109"/>
      <c r="EBQ14" s="107" t="s">
        <v>1</v>
      </c>
      <c r="EBR14" s="108"/>
      <c r="EBS14" s="108"/>
      <c r="EBT14" s="109"/>
      <c r="EBU14" s="107" t="s">
        <v>1</v>
      </c>
      <c r="EBV14" s="108"/>
      <c r="EBW14" s="108"/>
      <c r="EBX14" s="109"/>
      <c r="EBY14" s="107" t="s">
        <v>1</v>
      </c>
      <c r="EBZ14" s="108"/>
      <c r="ECA14" s="108"/>
      <c r="ECB14" s="109"/>
      <c r="ECC14" s="107" t="s">
        <v>1</v>
      </c>
      <c r="ECD14" s="108"/>
      <c r="ECE14" s="108"/>
      <c r="ECF14" s="109"/>
      <c r="ECG14" s="107" t="s">
        <v>1</v>
      </c>
      <c r="ECH14" s="108"/>
      <c r="ECI14" s="108"/>
      <c r="ECJ14" s="109"/>
      <c r="ECK14" s="107" t="s">
        <v>1</v>
      </c>
      <c r="ECL14" s="108"/>
      <c r="ECM14" s="108"/>
      <c r="ECN14" s="109"/>
      <c r="ECO14" s="107" t="s">
        <v>1</v>
      </c>
      <c r="ECP14" s="108"/>
      <c r="ECQ14" s="108"/>
      <c r="ECR14" s="109"/>
      <c r="ECS14" s="107" t="s">
        <v>1</v>
      </c>
      <c r="ECT14" s="108"/>
      <c r="ECU14" s="108"/>
      <c r="ECV14" s="109"/>
      <c r="ECW14" s="107" t="s">
        <v>1</v>
      </c>
      <c r="ECX14" s="108"/>
      <c r="ECY14" s="108"/>
      <c r="ECZ14" s="109"/>
      <c r="EDA14" s="107" t="s">
        <v>1</v>
      </c>
      <c r="EDB14" s="108"/>
      <c r="EDC14" s="108"/>
      <c r="EDD14" s="109"/>
      <c r="EDE14" s="107" t="s">
        <v>1</v>
      </c>
      <c r="EDF14" s="108"/>
      <c r="EDG14" s="108"/>
      <c r="EDH14" s="109"/>
      <c r="EDI14" s="107" t="s">
        <v>1</v>
      </c>
      <c r="EDJ14" s="108"/>
      <c r="EDK14" s="108"/>
      <c r="EDL14" s="109"/>
      <c r="EDM14" s="107" t="s">
        <v>1</v>
      </c>
      <c r="EDN14" s="108"/>
      <c r="EDO14" s="108"/>
      <c r="EDP14" s="109"/>
      <c r="EDQ14" s="107" t="s">
        <v>1</v>
      </c>
      <c r="EDR14" s="108"/>
      <c r="EDS14" s="108"/>
      <c r="EDT14" s="109"/>
      <c r="EDU14" s="107" t="s">
        <v>1</v>
      </c>
      <c r="EDV14" s="108"/>
      <c r="EDW14" s="108"/>
      <c r="EDX14" s="109"/>
      <c r="EDY14" s="107" t="s">
        <v>1</v>
      </c>
      <c r="EDZ14" s="108"/>
      <c r="EEA14" s="108"/>
      <c r="EEB14" s="109"/>
      <c r="EEC14" s="107" t="s">
        <v>1</v>
      </c>
      <c r="EED14" s="108"/>
      <c r="EEE14" s="108"/>
      <c r="EEF14" s="109"/>
      <c r="EEG14" s="107" t="s">
        <v>1</v>
      </c>
      <c r="EEH14" s="108"/>
      <c r="EEI14" s="108"/>
      <c r="EEJ14" s="109"/>
      <c r="EEK14" s="107" t="s">
        <v>1</v>
      </c>
      <c r="EEL14" s="108"/>
      <c r="EEM14" s="108"/>
      <c r="EEN14" s="109"/>
      <c r="EEO14" s="107" t="s">
        <v>1</v>
      </c>
      <c r="EEP14" s="108"/>
      <c r="EEQ14" s="108"/>
      <c r="EER14" s="109"/>
      <c r="EES14" s="107" t="s">
        <v>1</v>
      </c>
      <c r="EET14" s="108"/>
      <c r="EEU14" s="108"/>
      <c r="EEV14" s="109"/>
      <c r="EEW14" s="107" t="s">
        <v>1</v>
      </c>
      <c r="EEX14" s="108"/>
      <c r="EEY14" s="108"/>
      <c r="EEZ14" s="109"/>
      <c r="EFA14" s="107" t="s">
        <v>1</v>
      </c>
      <c r="EFB14" s="108"/>
      <c r="EFC14" s="108"/>
      <c r="EFD14" s="109"/>
      <c r="EFE14" s="107" t="s">
        <v>1</v>
      </c>
      <c r="EFF14" s="108"/>
      <c r="EFG14" s="108"/>
      <c r="EFH14" s="109"/>
      <c r="EFI14" s="107" t="s">
        <v>1</v>
      </c>
      <c r="EFJ14" s="108"/>
      <c r="EFK14" s="108"/>
      <c r="EFL14" s="109"/>
      <c r="EFM14" s="107" t="s">
        <v>1</v>
      </c>
      <c r="EFN14" s="108"/>
      <c r="EFO14" s="108"/>
      <c r="EFP14" s="109"/>
      <c r="EFQ14" s="107" t="s">
        <v>1</v>
      </c>
      <c r="EFR14" s="108"/>
      <c r="EFS14" s="108"/>
      <c r="EFT14" s="109"/>
      <c r="EFU14" s="107" t="s">
        <v>1</v>
      </c>
      <c r="EFV14" s="108"/>
      <c r="EFW14" s="108"/>
      <c r="EFX14" s="109"/>
      <c r="EFY14" s="107" t="s">
        <v>1</v>
      </c>
      <c r="EFZ14" s="108"/>
      <c r="EGA14" s="108"/>
      <c r="EGB14" s="109"/>
      <c r="EGC14" s="107" t="s">
        <v>1</v>
      </c>
      <c r="EGD14" s="108"/>
      <c r="EGE14" s="108"/>
      <c r="EGF14" s="109"/>
      <c r="EGG14" s="107" t="s">
        <v>1</v>
      </c>
      <c r="EGH14" s="108"/>
      <c r="EGI14" s="108"/>
      <c r="EGJ14" s="109"/>
      <c r="EGK14" s="107" t="s">
        <v>1</v>
      </c>
      <c r="EGL14" s="108"/>
      <c r="EGM14" s="108"/>
      <c r="EGN14" s="109"/>
      <c r="EGO14" s="107" t="s">
        <v>1</v>
      </c>
      <c r="EGP14" s="108"/>
      <c r="EGQ14" s="108"/>
      <c r="EGR14" s="109"/>
      <c r="EGS14" s="107" t="s">
        <v>1</v>
      </c>
      <c r="EGT14" s="108"/>
      <c r="EGU14" s="108"/>
      <c r="EGV14" s="109"/>
      <c r="EGW14" s="107" t="s">
        <v>1</v>
      </c>
      <c r="EGX14" s="108"/>
      <c r="EGY14" s="108"/>
      <c r="EGZ14" s="109"/>
      <c r="EHA14" s="107" t="s">
        <v>1</v>
      </c>
      <c r="EHB14" s="108"/>
      <c r="EHC14" s="108"/>
      <c r="EHD14" s="109"/>
      <c r="EHE14" s="107" t="s">
        <v>1</v>
      </c>
      <c r="EHF14" s="108"/>
      <c r="EHG14" s="108"/>
      <c r="EHH14" s="109"/>
      <c r="EHI14" s="107" t="s">
        <v>1</v>
      </c>
      <c r="EHJ14" s="108"/>
      <c r="EHK14" s="108"/>
      <c r="EHL14" s="109"/>
      <c r="EHM14" s="107" t="s">
        <v>1</v>
      </c>
      <c r="EHN14" s="108"/>
      <c r="EHO14" s="108"/>
      <c r="EHP14" s="109"/>
      <c r="EHQ14" s="107" t="s">
        <v>1</v>
      </c>
      <c r="EHR14" s="108"/>
      <c r="EHS14" s="108"/>
      <c r="EHT14" s="109"/>
      <c r="EHU14" s="107" t="s">
        <v>1</v>
      </c>
      <c r="EHV14" s="108"/>
      <c r="EHW14" s="108"/>
      <c r="EHX14" s="109"/>
      <c r="EHY14" s="107" t="s">
        <v>1</v>
      </c>
      <c r="EHZ14" s="108"/>
      <c r="EIA14" s="108"/>
      <c r="EIB14" s="109"/>
      <c r="EIC14" s="107" t="s">
        <v>1</v>
      </c>
      <c r="EID14" s="108"/>
      <c r="EIE14" s="108"/>
      <c r="EIF14" s="109"/>
      <c r="EIG14" s="107" t="s">
        <v>1</v>
      </c>
      <c r="EIH14" s="108"/>
      <c r="EII14" s="108"/>
      <c r="EIJ14" s="109"/>
      <c r="EIK14" s="107" t="s">
        <v>1</v>
      </c>
      <c r="EIL14" s="108"/>
      <c r="EIM14" s="108"/>
      <c r="EIN14" s="109"/>
      <c r="EIO14" s="107" t="s">
        <v>1</v>
      </c>
      <c r="EIP14" s="108"/>
      <c r="EIQ14" s="108"/>
      <c r="EIR14" s="109"/>
      <c r="EIS14" s="107" t="s">
        <v>1</v>
      </c>
      <c r="EIT14" s="108"/>
      <c r="EIU14" s="108"/>
      <c r="EIV14" s="109"/>
      <c r="EIW14" s="107" t="s">
        <v>1</v>
      </c>
      <c r="EIX14" s="108"/>
      <c r="EIY14" s="108"/>
      <c r="EIZ14" s="109"/>
      <c r="EJA14" s="107" t="s">
        <v>1</v>
      </c>
      <c r="EJB14" s="108"/>
      <c r="EJC14" s="108"/>
      <c r="EJD14" s="109"/>
      <c r="EJE14" s="107" t="s">
        <v>1</v>
      </c>
      <c r="EJF14" s="108"/>
      <c r="EJG14" s="108"/>
      <c r="EJH14" s="109"/>
      <c r="EJI14" s="107" t="s">
        <v>1</v>
      </c>
      <c r="EJJ14" s="108"/>
      <c r="EJK14" s="108"/>
      <c r="EJL14" s="109"/>
      <c r="EJM14" s="107" t="s">
        <v>1</v>
      </c>
      <c r="EJN14" s="108"/>
      <c r="EJO14" s="108"/>
      <c r="EJP14" s="109"/>
      <c r="EJQ14" s="107" t="s">
        <v>1</v>
      </c>
      <c r="EJR14" s="108"/>
      <c r="EJS14" s="108"/>
      <c r="EJT14" s="109"/>
      <c r="EJU14" s="107" t="s">
        <v>1</v>
      </c>
      <c r="EJV14" s="108"/>
      <c r="EJW14" s="108"/>
      <c r="EJX14" s="109"/>
      <c r="EJY14" s="107" t="s">
        <v>1</v>
      </c>
      <c r="EJZ14" s="108"/>
      <c r="EKA14" s="108"/>
      <c r="EKB14" s="109"/>
      <c r="EKC14" s="107" t="s">
        <v>1</v>
      </c>
      <c r="EKD14" s="108"/>
      <c r="EKE14" s="108"/>
      <c r="EKF14" s="109"/>
      <c r="EKG14" s="107" t="s">
        <v>1</v>
      </c>
      <c r="EKH14" s="108"/>
      <c r="EKI14" s="108"/>
      <c r="EKJ14" s="109"/>
      <c r="EKK14" s="107" t="s">
        <v>1</v>
      </c>
      <c r="EKL14" s="108"/>
      <c r="EKM14" s="108"/>
      <c r="EKN14" s="109"/>
      <c r="EKO14" s="107" t="s">
        <v>1</v>
      </c>
      <c r="EKP14" s="108"/>
      <c r="EKQ14" s="108"/>
      <c r="EKR14" s="109"/>
      <c r="EKS14" s="107" t="s">
        <v>1</v>
      </c>
      <c r="EKT14" s="108"/>
      <c r="EKU14" s="108"/>
      <c r="EKV14" s="109"/>
      <c r="EKW14" s="107" t="s">
        <v>1</v>
      </c>
      <c r="EKX14" s="108"/>
      <c r="EKY14" s="108"/>
      <c r="EKZ14" s="109"/>
      <c r="ELA14" s="107" t="s">
        <v>1</v>
      </c>
      <c r="ELB14" s="108"/>
      <c r="ELC14" s="108"/>
      <c r="ELD14" s="109"/>
      <c r="ELE14" s="107" t="s">
        <v>1</v>
      </c>
      <c r="ELF14" s="108"/>
      <c r="ELG14" s="108"/>
      <c r="ELH14" s="109"/>
      <c r="ELI14" s="107" t="s">
        <v>1</v>
      </c>
      <c r="ELJ14" s="108"/>
      <c r="ELK14" s="108"/>
      <c r="ELL14" s="109"/>
      <c r="ELM14" s="107" t="s">
        <v>1</v>
      </c>
      <c r="ELN14" s="108"/>
      <c r="ELO14" s="108"/>
      <c r="ELP14" s="109"/>
      <c r="ELQ14" s="107" t="s">
        <v>1</v>
      </c>
      <c r="ELR14" s="108"/>
      <c r="ELS14" s="108"/>
      <c r="ELT14" s="109"/>
      <c r="ELU14" s="107" t="s">
        <v>1</v>
      </c>
      <c r="ELV14" s="108"/>
      <c r="ELW14" s="108"/>
      <c r="ELX14" s="109"/>
      <c r="ELY14" s="107" t="s">
        <v>1</v>
      </c>
      <c r="ELZ14" s="108"/>
      <c r="EMA14" s="108"/>
      <c r="EMB14" s="109"/>
      <c r="EMC14" s="107" t="s">
        <v>1</v>
      </c>
      <c r="EMD14" s="108"/>
      <c r="EME14" s="108"/>
      <c r="EMF14" s="109"/>
      <c r="EMG14" s="107" t="s">
        <v>1</v>
      </c>
      <c r="EMH14" s="108"/>
      <c r="EMI14" s="108"/>
      <c r="EMJ14" s="109"/>
      <c r="EMK14" s="107" t="s">
        <v>1</v>
      </c>
      <c r="EML14" s="108"/>
      <c r="EMM14" s="108"/>
      <c r="EMN14" s="109"/>
      <c r="EMO14" s="107" t="s">
        <v>1</v>
      </c>
      <c r="EMP14" s="108"/>
      <c r="EMQ14" s="108"/>
      <c r="EMR14" s="109"/>
      <c r="EMS14" s="107" t="s">
        <v>1</v>
      </c>
      <c r="EMT14" s="108"/>
      <c r="EMU14" s="108"/>
      <c r="EMV14" s="109"/>
      <c r="EMW14" s="107" t="s">
        <v>1</v>
      </c>
      <c r="EMX14" s="108"/>
      <c r="EMY14" s="108"/>
      <c r="EMZ14" s="109"/>
      <c r="ENA14" s="107" t="s">
        <v>1</v>
      </c>
      <c r="ENB14" s="108"/>
      <c r="ENC14" s="108"/>
      <c r="END14" s="109"/>
      <c r="ENE14" s="107" t="s">
        <v>1</v>
      </c>
      <c r="ENF14" s="108"/>
      <c r="ENG14" s="108"/>
      <c r="ENH14" s="109"/>
      <c r="ENI14" s="107" t="s">
        <v>1</v>
      </c>
      <c r="ENJ14" s="108"/>
      <c r="ENK14" s="108"/>
      <c r="ENL14" s="109"/>
      <c r="ENM14" s="107" t="s">
        <v>1</v>
      </c>
      <c r="ENN14" s="108"/>
      <c r="ENO14" s="108"/>
      <c r="ENP14" s="109"/>
      <c r="ENQ14" s="107" t="s">
        <v>1</v>
      </c>
      <c r="ENR14" s="108"/>
      <c r="ENS14" s="108"/>
      <c r="ENT14" s="109"/>
      <c r="ENU14" s="107" t="s">
        <v>1</v>
      </c>
      <c r="ENV14" s="108"/>
      <c r="ENW14" s="108"/>
      <c r="ENX14" s="109"/>
      <c r="ENY14" s="107" t="s">
        <v>1</v>
      </c>
      <c r="ENZ14" s="108"/>
      <c r="EOA14" s="108"/>
      <c r="EOB14" s="109"/>
      <c r="EOC14" s="107" t="s">
        <v>1</v>
      </c>
      <c r="EOD14" s="108"/>
      <c r="EOE14" s="108"/>
      <c r="EOF14" s="109"/>
      <c r="EOG14" s="107" t="s">
        <v>1</v>
      </c>
      <c r="EOH14" s="108"/>
      <c r="EOI14" s="108"/>
      <c r="EOJ14" s="109"/>
      <c r="EOK14" s="107" t="s">
        <v>1</v>
      </c>
      <c r="EOL14" s="108"/>
      <c r="EOM14" s="108"/>
      <c r="EON14" s="109"/>
      <c r="EOO14" s="107" t="s">
        <v>1</v>
      </c>
      <c r="EOP14" s="108"/>
      <c r="EOQ14" s="108"/>
      <c r="EOR14" s="109"/>
      <c r="EOS14" s="107" t="s">
        <v>1</v>
      </c>
      <c r="EOT14" s="108"/>
      <c r="EOU14" s="108"/>
      <c r="EOV14" s="109"/>
      <c r="EOW14" s="107" t="s">
        <v>1</v>
      </c>
      <c r="EOX14" s="108"/>
      <c r="EOY14" s="108"/>
      <c r="EOZ14" s="109"/>
      <c r="EPA14" s="107" t="s">
        <v>1</v>
      </c>
      <c r="EPB14" s="108"/>
      <c r="EPC14" s="108"/>
      <c r="EPD14" s="109"/>
      <c r="EPE14" s="107" t="s">
        <v>1</v>
      </c>
      <c r="EPF14" s="108"/>
      <c r="EPG14" s="108"/>
      <c r="EPH14" s="109"/>
      <c r="EPI14" s="107" t="s">
        <v>1</v>
      </c>
      <c r="EPJ14" s="108"/>
      <c r="EPK14" s="108"/>
      <c r="EPL14" s="109"/>
      <c r="EPM14" s="107" t="s">
        <v>1</v>
      </c>
      <c r="EPN14" s="108"/>
      <c r="EPO14" s="108"/>
      <c r="EPP14" s="109"/>
      <c r="EPQ14" s="107" t="s">
        <v>1</v>
      </c>
      <c r="EPR14" s="108"/>
      <c r="EPS14" s="108"/>
      <c r="EPT14" s="109"/>
      <c r="EPU14" s="107" t="s">
        <v>1</v>
      </c>
      <c r="EPV14" s="108"/>
      <c r="EPW14" s="108"/>
      <c r="EPX14" s="109"/>
      <c r="EPY14" s="107" t="s">
        <v>1</v>
      </c>
      <c r="EPZ14" s="108"/>
      <c r="EQA14" s="108"/>
      <c r="EQB14" s="109"/>
      <c r="EQC14" s="107" t="s">
        <v>1</v>
      </c>
      <c r="EQD14" s="108"/>
      <c r="EQE14" s="108"/>
      <c r="EQF14" s="109"/>
      <c r="EQG14" s="107" t="s">
        <v>1</v>
      </c>
      <c r="EQH14" s="108"/>
      <c r="EQI14" s="108"/>
      <c r="EQJ14" s="109"/>
      <c r="EQK14" s="107" t="s">
        <v>1</v>
      </c>
      <c r="EQL14" s="108"/>
      <c r="EQM14" s="108"/>
      <c r="EQN14" s="109"/>
      <c r="EQO14" s="107" t="s">
        <v>1</v>
      </c>
      <c r="EQP14" s="108"/>
      <c r="EQQ14" s="108"/>
      <c r="EQR14" s="109"/>
      <c r="EQS14" s="107" t="s">
        <v>1</v>
      </c>
      <c r="EQT14" s="108"/>
      <c r="EQU14" s="108"/>
      <c r="EQV14" s="109"/>
      <c r="EQW14" s="107" t="s">
        <v>1</v>
      </c>
      <c r="EQX14" s="108"/>
      <c r="EQY14" s="108"/>
      <c r="EQZ14" s="109"/>
      <c r="ERA14" s="107" t="s">
        <v>1</v>
      </c>
      <c r="ERB14" s="108"/>
      <c r="ERC14" s="108"/>
      <c r="ERD14" s="109"/>
      <c r="ERE14" s="107" t="s">
        <v>1</v>
      </c>
      <c r="ERF14" s="108"/>
      <c r="ERG14" s="108"/>
      <c r="ERH14" s="109"/>
      <c r="ERI14" s="107" t="s">
        <v>1</v>
      </c>
      <c r="ERJ14" s="108"/>
      <c r="ERK14" s="108"/>
      <c r="ERL14" s="109"/>
      <c r="ERM14" s="107" t="s">
        <v>1</v>
      </c>
      <c r="ERN14" s="108"/>
      <c r="ERO14" s="108"/>
      <c r="ERP14" s="109"/>
      <c r="ERQ14" s="107" t="s">
        <v>1</v>
      </c>
      <c r="ERR14" s="108"/>
      <c r="ERS14" s="108"/>
      <c r="ERT14" s="109"/>
      <c r="ERU14" s="107" t="s">
        <v>1</v>
      </c>
      <c r="ERV14" s="108"/>
      <c r="ERW14" s="108"/>
      <c r="ERX14" s="109"/>
      <c r="ERY14" s="107" t="s">
        <v>1</v>
      </c>
      <c r="ERZ14" s="108"/>
      <c r="ESA14" s="108"/>
      <c r="ESB14" s="109"/>
      <c r="ESC14" s="107" t="s">
        <v>1</v>
      </c>
      <c r="ESD14" s="108"/>
      <c r="ESE14" s="108"/>
      <c r="ESF14" s="109"/>
      <c r="ESG14" s="107" t="s">
        <v>1</v>
      </c>
      <c r="ESH14" s="108"/>
      <c r="ESI14" s="108"/>
      <c r="ESJ14" s="109"/>
      <c r="ESK14" s="107" t="s">
        <v>1</v>
      </c>
      <c r="ESL14" s="108"/>
      <c r="ESM14" s="108"/>
      <c r="ESN14" s="109"/>
      <c r="ESO14" s="107" t="s">
        <v>1</v>
      </c>
      <c r="ESP14" s="108"/>
      <c r="ESQ14" s="108"/>
      <c r="ESR14" s="109"/>
      <c r="ESS14" s="107" t="s">
        <v>1</v>
      </c>
      <c r="EST14" s="108"/>
      <c r="ESU14" s="108"/>
      <c r="ESV14" s="109"/>
      <c r="ESW14" s="107" t="s">
        <v>1</v>
      </c>
      <c r="ESX14" s="108"/>
      <c r="ESY14" s="108"/>
      <c r="ESZ14" s="109"/>
      <c r="ETA14" s="107" t="s">
        <v>1</v>
      </c>
      <c r="ETB14" s="108"/>
      <c r="ETC14" s="108"/>
      <c r="ETD14" s="109"/>
      <c r="ETE14" s="107" t="s">
        <v>1</v>
      </c>
      <c r="ETF14" s="108"/>
      <c r="ETG14" s="108"/>
      <c r="ETH14" s="109"/>
      <c r="ETI14" s="107" t="s">
        <v>1</v>
      </c>
      <c r="ETJ14" s="108"/>
      <c r="ETK14" s="108"/>
      <c r="ETL14" s="109"/>
      <c r="ETM14" s="107" t="s">
        <v>1</v>
      </c>
      <c r="ETN14" s="108"/>
      <c r="ETO14" s="108"/>
      <c r="ETP14" s="109"/>
      <c r="ETQ14" s="107" t="s">
        <v>1</v>
      </c>
      <c r="ETR14" s="108"/>
      <c r="ETS14" s="108"/>
      <c r="ETT14" s="109"/>
      <c r="ETU14" s="107" t="s">
        <v>1</v>
      </c>
      <c r="ETV14" s="108"/>
      <c r="ETW14" s="108"/>
      <c r="ETX14" s="109"/>
      <c r="ETY14" s="107" t="s">
        <v>1</v>
      </c>
      <c r="ETZ14" s="108"/>
      <c r="EUA14" s="108"/>
      <c r="EUB14" s="109"/>
      <c r="EUC14" s="107" t="s">
        <v>1</v>
      </c>
      <c r="EUD14" s="108"/>
      <c r="EUE14" s="108"/>
      <c r="EUF14" s="109"/>
      <c r="EUG14" s="107" t="s">
        <v>1</v>
      </c>
      <c r="EUH14" s="108"/>
      <c r="EUI14" s="108"/>
      <c r="EUJ14" s="109"/>
      <c r="EUK14" s="107" t="s">
        <v>1</v>
      </c>
      <c r="EUL14" s="108"/>
      <c r="EUM14" s="108"/>
      <c r="EUN14" s="109"/>
      <c r="EUO14" s="107" t="s">
        <v>1</v>
      </c>
      <c r="EUP14" s="108"/>
      <c r="EUQ14" s="108"/>
      <c r="EUR14" s="109"/>
      <c r="EUS14" s="107" t="s">
        <v>1</v>
      </c>
      <c r="EUT14" s="108"/>
      <c r="EUU14" s="108"/>
      <c r="EUV14" s="109"/>
      <c r="EUW14" s="107" t="s">
        <v>1</v>
      </c>
      <c r="EUX14" s="108"/>
      <c r="EUY14" s="108"/>
      <c r="EUZ14" s="109"/>
      <c r="EVA14" s="107" t="s">
        <v>1</v>
      </c>
      <c r="EVB14" s="108"/>
      <c r="EVC14" s="108"/>
      <c r="EVD14" s="109"/>
      <c r="EVE14" s="107" t="s">
        <v>1</v>
      </c>
      <c r="EVF14" s="108"/>
      <c r="EVG14" s="108"/>
      <c r="EVH14" s="109"/>
      <c r="EVI14" s="107" t="s">
        <v>1</v>
      </c>
      <c r="EVJ14" s="108"/>
      <c r="EVK14" s="108"/>
      <c r="EVL14" s="109"/>
      <c r="EVM14" s="107" t="s">
        <v>1</v>
      </c>
      <c r="EVN14" s="108"/>
      <c r="EVO14" s="108"/>
      <c r="EVP14" s="109"/>
      <c r="EVQ14" s="107" t="s">
        <v>1</v>
      </c>
      <c r="EVR14" s="108"/>
      <c r="EVS14" s="108"/>
      <c r="EVT14" s="109"/>
      <c r="EVU14" s="107" t="s">
        <v>1</v>
      </c>
      <c r="EVV14" s="108"/>
      <c r="EVW14" s="108"/>
      <c r="EVX14" s="109"/>
      <c r="EVY14" s="107" t="s">
        <v>1</v>
      </c>
      <c r="EVZ14" s="108"/>
      <c r="EWA14" s="108"/>
      <c r="EWB14" s="109"/>
      <c r="EWC14" s="107" t="s">
        <v>1</v>
      </c>
      <c r="EWD14" s="108"/>
      <c r="EWE14" s="108"/>
      <c r="EWF14" s="109"/>
      <c r="EWG14" s="107" t="s">
        <v>1</v>
      </c>
      <c r="EWH14" s="108"/>
      <c r="EWI14" s="108"/>
      <c r="EWJ14" s="109"/>
      <c r="EWK14" s="107" t="s">
        <v>1</v>
      </c>
      <c r="EWL14" s="108"/>
      <c r="EWM14" s="108"/>
      <c r="EWN14" s="109"/>
      <c r="EWO14" s="107" t="s">
        <v>1</v>
      </c>
      <c r="EWP14" s="108"/>
      <c r="EWQ14" s="108"/>
      <c r="EWR14" s="109"/>
      <c r="EWS14" s="107" t="s">
        <v>1</v>
      </c>
      <c r="EWT14" s="108"/>
      <c r="EWU14" s="108"/>
      <c r="EWV14" s="109"/>
      <c r="EWW14" s="107" t="s">
        <v>1</v>
      </c>
      <c r="EWX14" s="108"/>
      <c r="EWY14" s="108"/>
      <c r="EWZ14" s="109"/>
      <c r="EXA14" s="107" t="s">
        <v>1</v>
      </c>
      <c r="EXB14" s="108"/>
      <c r="EXC14" s="108"/>
      <c r="EXD14" s="109"/>
      <c r="EXE14" s="107" t="s">
        <v>1</v>
      </c>
      <c r="EXF14" s="108"/>
      <c r="EXG14" s="108"/>
      <c r="EXH14" s="109"/>
      <c r="EXI14" s="107" t="s">
        <v>1</v>
      </c>
      <c r="EXJ14" s="108"/>
      <c r="EXK14" s="108"/>
      <c r="EXL14" s="109"/>
      <c r="EXM14" s="107" t="s">
        <v>1</v>
      </c>
      <c r="EXN14" s="108"/>
      <c r="EXO14" s="108"/>
      <c r="EXP14" s="109"/>
      <c r="EXQ14" s="107" t="s">
        <v>1</v>
      </c>
      <c r="EXR14" s="108"/>
      <c r="EXS14" s="108"/>
      <c r="EXT14" s="109"/>
      <c r="EXU14" s="107" t="s">
        <v>1</v>
      </c>
      <c r="EXV14" s="108"/>
      <c r="EXW14" s="108"/>
      <c r="EXX14" s="109"/>
      <c r="EXY14" s="107" t="s">
        <v>1</v>
      </c>
      <c r="EXZ14" s="108"/>
      <c r="EYA14" s="108"/>
      <c r="EYB14" s="109"/>
      <c r="EYC14" s="107" t="s">
        <v>1</v>
      </c>
      <c r="EYD14" s="108"/>
      <c r="EYE14" s="108"/>
      <c r="EYF14" s="109"/>
      <c r="EYG14" s="107" t="s">
        <v>1</v>
      </c>
      <c r="EYH14" s="108"/>
      <c r="EYI14" s="108"/>
      <c r="EYJ14" s="109"/>
      <c r="EYK14" s="107" t="s">
        <v>1</v>
      </c>
      <c r="EYL14" s="108"/>
      <c r="EYM14" s="108"/>
      <c r="EYN14" s="109"/>
      <c r="EYO14" s="107" t="s">
        <v>1</v>
      </c>
      <c r="EYP14" s="108"/>
      <c r="EYQ14" s="108"/>
      <c r="EYR14" s="109"/>
      <c r="EYS14" s="107" t="s">
        <v>1</v>
      </c>
      <c r="EYT14" s="108"/>
      <c r="EYU14" s="108"/>
      <c r="EYV14" s="109"/>
      <c r="EYW14" s="107" t="s">
        <v>1</v>
      </c>
      <c r="EYX14" s="108"/>
      <c r="EYY14" s="108"/>
      <c r="EYZ14" s="109"/>
      <c r="EZA14" s="107" t="s">
        <v>1</v>
      </c>
      <c r="EZB14" s="108"/>
      <c r="EZC14" s="108"/>
      <c r="EZD14" s="109"/>
      <c r="EZE14" s="107" t="s">
        <v>1</v>
      </c>
      <c r="EZF14" s="108"/>
      <c r="EZG14" s="108"/>
      <c r="EZH14" s="109"/>
      <c r="EZI14" s="107" t="s">
        <v>1</v>
      </c>
      <c r="EZJ14" s="108"/>
      <c r="EZK14" s="108"/>
      <c r="EZL14" s="109"/>
      <c r="EZM14" s="107" t="s">
        <v>1</v>
      </c>
      <c r="EZN14" s="108"/>
      <c r="EZO14" s="108"/>
      <c r="EZP14" s="109"/>
      <c r="EZQ14" s="107" t="s">
        <v>1</v>
      </c>
      <c r="EZR14" s="108"/>
      <c r="EZS14" s="108"/>
      <c r="EZT14" s="109"/>
      <c r="EZU14" s="107" t="s">
        <v>1</v>
      </c>
      <c r="EZV14" s="108"/>
      <c r="EZW14" s="108"/>
      <c r="EZX14" s="109"/>
      <c r="EZY14" s="107" t="s">
        <v>1</v>
      </c>
      <c r="EZZ14" s="108"/>
      <c r="FAA14" s="108"/>
      <c r="FAB14" s="109"/>
      <c r="FAC14" s="107" t="s">
        <v>1</v>
      </c>
      <c r="FAD14" s="108"/>
      <c r="FAE14" s="108"/>
      <c r="FAF14" s="109"/>
      <c r="FAG14" s="107" t="s">
        <v>1</v>
      </c>
      <c r="FAH14" s="108"/>
      <c r="FAI14" s="108"/>
      <c r="FAJ14" s="109"/>
      <c r="FAK14" s="107" t="s">
        <v>1</v>
      </c>
      <c r="FAL14" s="108"/>
      <c r="FAM14" s="108"/>
      <c r="FAN14" s="109"/>
      <c r="FAO14" s="107" t="s">
        <v>1</v>
      </c>
      <c r="FAP14" s="108"/>
      <c r="FAQ14" s="108"/>
      <c r="FAR14" s="109"/>
      <c r="FAS14" s="107" t="s">
        <v>1</v>
      </c>
      <c r="FAT14" s="108"/>
      <c r="FAU14" s="108"/>
      <c r="FAV14" s="109"/>
      <c r="FAW14" s="107" t="s">
        <v>1</v>
      </c>
      <c r="FAX14" s="108"/>
      <c r="FAY14" s="108"/>
      <c r="FAZ14" s="109"/>
      <c r="FBA14" s="107" t="s">
        <v>1</v>
      </c>
      <c r="FBB14" s="108"/>
      <c r="FBC14" s="108"/>
      <c r="FBD14" s="109"/>
      <c r="FBE14" s="107" t="s">
        <v>1</v>
      </c>
      <c r="FBF14" s="108"/>
      <c r="FBG14" s="108"/>
      <c r="FBH14" s="109"/>
      <c r="FBI14" s="107" t="s">
        <v>1</v>
      </c>
      <c r="FBJ14" s="108"/>
      <c r="FBK14" s="108"/>
      <c r="FBL14" s="109"/>
      <c r="FBM14" s="107" t="s">
        <v>1</v>
      </c>
      <c r="FBN14" s="108"/>
      <c r="FBO14" s="108"/>
      <c r="FBP14" s="109"/>
      <c r="FBQ14" s="107" t="s">
        <v>1</v>
      </c>
      <c r="FBR14" s="108"/>
      <c r="FBS14" s="108"/>
      <c r="FBT14" s="109"/>
      <c r="FBU14" s="107" t="s">
        <v>1</v>
      </c>
      <c r="FBV14" s="108"/>
      <c r="FBW14" s="108"/>
      <c r="FBX14" s="109"/>
      <c r="FBY14" s="107" t="s">
        <v>1</v>
      </c>
      <c r="FBZ14" s="108"/>
      <c r="FCA14" s="108"/>
      <c r="FCB14" s="109"/>
      <c r="FCC14" s="107" t="s">
        <v>1</v>
      </c>
      <c r="FCD14" s="108"/>
      <c r="FCE14" s="108"/>
      <c r="FCF14" s="109"/>
      <c r="FCG14" s="107" t="s">
        <v>1</v>
      </c>
      <c r="FCH14" s="108"/>
      <c r="FCI14" s="108"/>
      <c r="FCJ14" s="109"/>
      <c r="FCK14" s="107" t="s">
        <v>1</v>
      </c>
      <c r="FCL14" s="108"/>
      <c r="FCM14" s="108"/>
      <c r="FCN14" s="109"/>
      <c r="FCO14" s="107" t="s">
        <v>1</v>
      </c>
      <c r="FCP14" s="108"/>
      <c r="FCQ14" s="108"/>
      <c r="FCR14" s="109"/>
      <c r="FCS14" s="107" t="s">
        <v>1</v>
      </c>
      <c r="FCT14" s="108"/>
      <c r="FCU14" s="108"/>
      <c r="FCV14" s="109"/>
      <c r="FCW14" s="107" t="s">
        <v>1</v>
      </c>
      <c r="FCX14" s="108"/>
      <c r="FCY14" s="108"/>
      <c r="FCZ14" s="109"/>
      <c r="FDA14" s="107" t="s">
        <v>1</v>
      </c>
      <c r="FDB14" s="108"/>
      <c r="FDC14" s="108"/>
      <c r="FDD14" s="109"/>
      <c r="FDE14" s="107" t="s">
        <v>1</v>
      </c>
      <c r="FDF14" s="108"/>
      <c r="FDG14" s="108"/>
      <c r="FDH14" s="109"/>
      <c r="FDI14" s="107" t="s">
        <v>1</v>
      </c>
      <c r="FDJ14" s="108"/>
      <c r="FDK14" s="108"/>
      <c r="FDL14" s="109"/>
      <c r="FDM14" s="107" t="s">
        <v>1</v>
      </c>
      <c r="FDN14" s="108"/>
      <c r="FDO14" s="108"/>
      <c r="FDP14" s="109"/>
      <c r="FDQ14" s="107" t="s">
        <v>1</v>
      </c>
      <c r="FDR14" s="108"/>
      <c r="FDS14" s="108"/>
      <c r="FDT14" s="109"/>
      <c r="FDU14" s="107" t="s">
        <v>1</v>
      </c>
      <c r="FDV14" s="108"/>
      <c r="FDW14" s="108"/>
      <c r="FDX14" s="109"/>
      <c r="FDY14" s="107" t="s">
        <v>1</v>
      </c>
      <c r="FDZ14" s="108"/>
      <c r="FEA14" s="108"/>
      <c r="FEB14" s="109"/>
      <c r="FEC14" s="107" t="s">
        <v>1</v>
      </c>
      <c r="FED14" s="108"/>
      <c r="FEE14" s="108"/>
      <c r="FEF14" s="109"/>
      <c r="FEG14" s="107" t="s">
        <v>1</v>
      </c>
      <c r="FEH14" s="108"/>
      <c r="FEI14" s="108"/>
      <c r="FEJ14" s="109"/>
      <c r="FEK14" s="107" t="s">
        <v>1</v>
      </c>
      <c r="FEL14" s="108"/>
      <c r="FEM14" s="108"/>
      <c r="FEN14" s="109"/>
      <c r="FEO14" s="107" t="s">
        <v>1</v>
      </c>
      <c r="FEP14" s="108"/>
      <c r="FEQ14" s="108"/>
      <c r="FER14" s="109"/>
      <c r="FES14" s="107" t="s">
        <v>1</v>
      </c>
      <c r="FET14" s="108"/>
      <c r="FEU14" s="108"/>
      <c r="FEV14" s="109"/>
      <c r="FEW14" s="107" t="s">
        <v>1</v>
      </c>
      <c r="FEX14" s="108"/>
      <c r="FEY14" s="108"/>
      <c r="FEZ14" s="109"/>
      <c r="FFA14" s="107" t="s">
        <v>1</v>
      </c>
      <c r="FFB14" s="108"/>
      <c r="FFC14" s="108"/>
      <c r="FFD14" s="109"/>
      <c r="FFE14" s="107" t="s">
        <v>1</v>
      </c>
      <c r="FFF14" s="108"/>
      <c r="FFG14" s="108"/>
      <c r="FFH14" s="109"/>
      <c r="FFI14" s="107" t="s">
        <v>1</v>
      </c>
      <c r="FFJ14" s="108"/>
      <c r="FFK14" s="108"/>
      <c r="FFL14" s="109"/>
      <c r="FFM14" s="107" t="s">
        <v>1</v>
      </c>
      <c r="FFN14" s="108"/>
      <c r="FFO14" s="108"/>
      <c r="FFP14" s="109"/>
      <c r="FFQ14" s="107" t="s">
        <v>1</v>
      </c>
      <c r="FFR14" s="108"/>
      <c r="FFS14" s="108"/>
      <c r="FFT14" s="109"/>
      <c r="FFU14" s="107" t="s">
        <v>1</v>
      </c>
      <c r="FFV14" s="108"/>
      <c r="FFW14" s="108"/>
      <c r="FFX14" s="109"/>
      <c r="FFY14" s="107" t="s">
        <v>1</v>
      </c>
      <c r="FFZ14" s="108"/>
      <c r="FGA14" s="108"/>
      <c r="FGB14" s="109"/>
      <c r="FGC14" s="107" t="s">
        <v>1</v>
      </c>
      <c r="FGD14" s="108"/>
      <c r="FGE14" s="108"/>
      <c r="FGF14" s="109"/>
      <c r="FGG14" s="107" t="s">
        <v>1</v>
      </c>
      <c r="FGH14" s="108"/>
      <c r="FGI14" s="108"/>
      <c r="FGJ14" s="109"/>
      <c r="FGK14" s="107" t="s">
        <v>1</v>
      </c>
      <c r="FGL14" s="108"/>
      <c r="FGM14" s="108"/>
      <c r="FGN14" s="109"/>
      <c r="FGO14" s="107" t="s">
        <v>1</v>
      </c>
      <c r="FGP14" s="108"/>
      <c r="FGQ14" s="108"/>
      <c r="FGR14" s="109"/>
      <c r="FGS14" s="107" t="s">
        <v>1</v>
      </c>
      <c r="FGT14" s="108"/>
      <c r="FGU14" s="108"/>
      <c r="FGV14" s="109"/>
      <c r="FGW14" s="107" t="s">
        <v>1</v>
      </c>
      <c r="FGX14" s="108"/>
      <c r="FGY14" s="108"/>
      <c r="FGZ14" s="109"/>
      <c r="FHA14" s="107" t="s">
        <v>1</v>
      </c>
      <c r="FHB14" s="108"/>
      <c r="FHC14" s="108"/>
      <c r="FHD14" s="109"/>
      <c r="FHE14" s="107" t="s">
        <v>1</v>
      </c>
      <c r="FHF14" s="108"/>
      <c r="FHG14" s="108"/>
      <c r="FHH14" s="109"/>
      <c r="FHI14" s="107" t="s">
        <v>1</v>
      </c>
      <c r="FHJ14" s="108"/>
      <c r="FHK14" s="108"/>
      <c r="FHL14" s="109"/>
      <c r="FHM14" s="107" t="s">
        <v>1</v>
      </c>
      <c r="FHN14" s="108"/>
      <c r="FHO14" s="108"/>
      <c r="FHP14" s="109"/>
      <c r="FHQ14" s="107" t="s">
        <v>1</v>
      </c>
      <c r="FHR14" s="108"/>
      <c r="FHS14" s="108"/>
      <c r="FHT14" s="109"/>
      <c r="FHU14" s="107" t="s">
        <v>1</v>
      </c>
      <c r="FHV14" s="108"/>
      <c r="FHW14" s="108"/>
      <c r="FHX14" s="109"/>
      <c r="FHY14" s="107" t="s">
        <v>1</v>
      </c>
      <c r="FHZ14" s="108"/>
      <c r="FIA14" s="108"/>
      <c r="FIB14" s="109"/>
      <c r="FIC14" s="107" t="s">
        <v>1</v>
      </c>
      <c r="FID14" s="108"/>
      <c r="FIE14" s="108"/>
      <c r="FIF14" s="109"/>
      <c r="FIG14" s="107" t="s">
        <v>1</v>
      </c>
      <c r="FIH14" s="108"/>
      <c r="FII14" s="108"/>
      <c r="FIJ14" s="109"/>
      <c r="FIK14" s="107" t="s">
        <v>1</v>
      </c>
      <c r="FIL14" s="108"/>
      <c r="FIM14" s="108"/>
      <c r="FIN14" s="109"/>
      <c r="FIO14" s="107" t="s">
        <v>1</v>
      </c>
      <c r="FIP14" s="108"/>
      <c r="FIQ14" s="108"/>
      <c r="FIR14" s="109"/>
      <c r="FIS14" s="107" t="s">
        <v>1</v>
      </c>
      <c r="FIT14" s="108"/>
      <c r="FIU14" s="108"/>
      <c r="FIV14" s="109"/>
      <c r="FIW14" s="107" t="s">
        <v>1</v>
      </c>
      <c r="FIX14" s="108"/>
      <c r="FIY14" s="108"/>
      <c r="FIZ14" s="109"/>
      <c r="FJA14" s="107" t="s">
        <v>1</v>
      </c>
      <c r="FJB14" s="108"/>
      <c r="FJC14" s="108"/>
      <c r="FJD14" s="109"/>
      <c r="FJE14" s="107" t="s">
        <v>1</v>
      </c>
      <c r="FJF14" s="108"/>
      <c r="FJG14" s="108"/>
      <c r="FJH14" s="109"/>
      <c r="FJI14" s="107" t="s">
        <v>1</v>
      </c>
      <c r="FJJ14" s="108"/>
      <c r="FJK14" s="108"/>
      <c r="FJL14" s="109"/>
      <c r="FJM14" s="107" t="s">
        <v>1</v>
      </c>
      <c r="FJN14" s="108"/>
      <c r="FJO14" s="108"/>
      <c r="FJP14" s="109"/>
      <c r="FJQ14" s="107" t="s">
        <v>1</v>
      </c>
      <c r="FJR14" s="108"/>
      <c r="FJS14" s="108"/>
      <c r="FJT14" s="109"/>
      <c r="FJU14" s="107" t="s">
        <v>1</v>
      </c>
      <c r="FJV14" s="108"/>
      <c r="FJW14" s="108"/>
      <c r="FJX14" s="109"/>
      <c r="FJY14" s="107" t="s">
        <v>1</v>
      </c>
      <c r="FJZ14" s="108"/>
      <c r="FKA14" s="108"/>
      <c r="FKB14" s="109"/>
      <c r="FKC14" s="107" t="s">
        <v>1</v>
      </c>
      <c r="FKD14" s="108"/>
      <c r="FKE14" s="108"/>
      <c r="FKF14" s="109"/>
      <c r="FKG14" s="107" t="s">
        <v>1</v>
      </c>
      <c r="FKH14" s="108"/>
      <c r="FKI14" s="108"/>
      <c r="FKJ14" s="109"/>
      <c r="FKK14" s="107" t="s">
        <v>1</v>
      </c>
      <c r="FKL14" s="108"/>
      <c r="FKM14" s="108"/>
      <c r="FKN14" s="109"/>
      <c r="FKO14" s="107" t="s">
        <v>1</v>
      </c>
      <c r="FKP14" s="108"/>
      <c r="FKQ14" s="108"/>
      <c r="FKR14" s="109"/>
      <c r="FKS14" s="107" t="s">
        <v>1</v>
      </c>
      <c r="FKT14" s="108"/>
      <c r="FKU14" s="108"/>
      <c r="FKV14" s="109"/>
      <c r="FKW14" s="107" t="s">
        <v>1</v>
      </c>
      <c r="FKX14" s="108"/>
      <c r="FKY14" s="108"/>
      <c r="FKZ14" s="109"/>
      <c r="FLA14" s="107" t="s">
        <v>1</v>
      </c>
      <c r="FLB14" s="108"/>
      <c r="FLC14" s="108"/>
      <c r="FLD14" s="109"/>
      <c r="FLE14" s="107" t="s">
        <v>1</v>
      </c>
      <c r="FLF14" s="108"/>
      <c r="FLG14" s="108"/>
      <c r="FLH14" s="109"/>
      <c r="FLI14" s="107" t="s">
        <v>1</v>
      </c>
      <c r="FLJ14" s="108"/>
      <c r="FLK14" s="108"/>
      <c r="FLL14" s="109"/>
      <c r="FLM14" s="107" t="s">
        <v>1</v>
      </c>
      <c r="FLN14" s="108"/>
      <c r="FLO14" s="108"/>
      <c r="FLP14" s="109"/>
      <c r="FLQ14" s="107" t="s">
        <v>1</v>
      </c>
      <c r="FLR14" s="108"/>
      <c r="FLS14" s="108"/>
      <c r="FLT14" s="109"/>
      <c r="FLU14" s="107" t="s">
        <v>1</v>
      </c>
      <c r="FLV14" s="108"/>
      <c r="FLW14" s="108"/>
      <c r="FLX14" s="109"/>
      <c r="FLY14" s="107" t="s">
        <v>1</v>
      </c>
      <c r="FLZ14" s="108"/>
      <c r="FMA14" s="108"/>
      <c r="FMB14" s="109"/>
      <c r="FMC14" s="107" t="s">
        <v>1</v>
      </c>
      <c r="FMD14" s="108"/>
      <c r="FME14" s="108"/>
      <c r="FMF14" s="109"/>
      <c r="FMG14" s="107" t="s">
        <v>1</v>
      </c>
      <c r="FMH14" s="108"/>
      <c r="FMI14" s="108"/>
      <c r="FMJ14" s="109"/>
      <c r="FMK14" s="107" t="s">
        <v>1</v>
      </c>
      <c r="FML14" s="108"/>
      <c r="FMM14" s="108"/>
      <c r="FMN14" s="109"/>
      <c r="FMO14" s="107" t="s">
        <v>1</v>
      </c>
      <c r="FMP14" s="108"/>
      <c r="FMQ14" s="108"/>
      <c r="FMR14" s="109"/>
      <c r="FMS14" s="107" t="s">
        <v>1</v>
      </c>
      <c r="FMT14" s="108"/>
      <c r="FMU14" s="108"/>
      <c r="FMV14" s="109"/>
      <c r="FMW14" s="107" t="s">
        <v>1</v>
      </c>
      <c r="FMX14" s="108"/>
      <c r="FMY14" s="108"/>
      <c r="FMZ14" s="109"/>
      <c r="FNA14" s="107" t="s">
        <v>1</v>
      </c>
      <c r="FNB14" s="108"/>
      <c r="FNC14" s="108"/>
      <c r="FND14" s="109"/>
      <c r="FNE14" s="107" t="s">
        <v>1</v>
      </c>
      <c r="FNF14" s="108"/>
      <c r="FNG14" s="108"/>
      <c r="FNH14" s="109"/>
      <c r="FNI14" s="107" t="s">
        <v>1</v>
      </c>
      <c r="FNJ14" s="108"/>
      <c r="FNK14" s="108"/>
      <c r="FNL14" s="109"/>
      <c r="FNM14" s="107" t="s">
        <v>1</v>
      </c>
      <c r="FNN14" s="108"/>
      <c r="FNO14" s="108"/>
      <c r="FNP14" s="109"/>
      <c r="FNQ14" s="107" t="s">
        <v>1</v>
      </c>
      <c r="FNR14" s="108"/>
      <c r="FNS14" s="108"/>
      <c r="FNT14" s="109"/>
      <c r="FNU14" s="107" t="s">
        <v>1</v>
      </c>
      <c r="FNV14" s="108"/>
      <c r="FNW14" s="108"/>
      <c r="FNX14" s="109"/>
      <c r="FNY14" s="107" t="s">
        <v>1</v>
      </c>
      <c r="FNZ14" s="108"/>
      <c r="FOA14" s="108"/>
      <c r="FOB14" s="109"/>
      <c r="FOC14" s="107" t="s">
        <v>1</v>
      </c>
      <c r="FOD14" s="108"/>
      <c r="FOE14" s="108"/>
      <c r="FOF14" s="109"/>
      <c r="FOG14" s="107" t="s">
        <v>1</v>
      </c>
      <c r="FOH14" s="108"/>
      <c r="FOI14" s="108"/>
      <c r="FOJ14" s="109"/>
      <c r="FOK14" s="107" t="s">
        <v>1</v>
      </c>
      <c r="FOL14" s="108"/>
      <c r="FOM14" s="108"/>
      <c r="FON14" s="109"/>
      <c r="FOO14" s="107" t="s">
        <v>1</v>
      </c>
      <c r="FOP14" s="108"/>
      <c r="FOQ14" s="108"/>
      <c r="FOR14" s="109"/>
      <c r="FOS14" s="107" t="s">
        <v>1</v>
      </c>
      <c r="FOT14" s="108"/>
      <c r="FOU14" s="108"/>
      <c r="FOV14" s="109"/>
      <c r="FOW14" s="107" t="s">
        <v>1</v>
      </c>
      <c r="FOX14" s="108"/>
      <c r="FOY14" s="108"/>
      <c r="FOZ14" s="109"/>
      <c r="FPA14" s="107" t="s">
        <v>1</v>
      </c>
      <c r="FPB14" s="108"/>
      <c r="FPC14" s="108"/>
      <c r="FPD14" s="109"/>
      <c r="FPE14" s="107" t="s">
        <v>1</v>
      </c>
      <c r="FPF14" s="108"/>
      <c r="FPG14" s="108"/>
      <c r="FPH14" s="109"/>
      <c r="FPI14" s="107" t="s">
        <v>1</v>
      </c>
      <c r="FPJ14" s="108"/>
      <c r="FPK14" s="108"/>
      <c r="FPL14" s="109"/>
      <c r="FPM14" s="107" t="s">
        <v>1</v>
      </c>
      <c r="FPN14" s="108"/>
      <c r="FPO14" s="108"/>
      <c r="FPP14" s="109"/>
      <c r="FPQ14" s="107" t="s">
        <v>1</v>
      </c>
      <c r="FPR14" s="108"/>
      <c r="FPS14" s="108"/>
      <c r="FPT14" s="109"/>
      <c r="FPU14" s="107" t="s">
        <v>1</v>
      </c>
      <c r="FPV14" s="108"/>
      <c r="FPW14" s="108"/>
      <c r="FPX14" s="109"/>
      <c r="FPY14" s="107" t="s">
        <v>1</v>
      </c>
      <c r="FPZ14" s="108"/>
      <c r="FQA14" s="108"/>
      <c r="FQB14" s="109"/>
      <c r="FQC14" s="107" t="s">
        <v>1</v>
      </c>
      <c r="FQD14" s="108"/>
      <c r="FQE14" s="108"/>
      <c r="FQF14" s="109"/>
      <c r="FQG14" s="107" t="s">
        <v>1</v>
      </c>
      <c r="FQH14" s="108"/>
      <c r="FQI14" s="108"/>
      <c r="FQJ14" s="109"/>
      <c r="FQK14" s="107" t="s">
        <v>1</v>
      </c>
      <c r="FQL14" s="108"/>
      <c r="FQM14" s="108"/>
      <c r="FQN14" s="109"/>
      <c r="FQO14" s="107" t="s">
        <v>1</v>
      </c>
      <c r="FQP14" s="108"/>
      <c r="FQQ14" s="108"/>
      <c r="FQR14" s="109"/>
      <c r="FQS14" s="107" t="s">
        <v>1</v>
      </c>
      <c r="FQT14" s="108"/>
      <c r="FQU14" s="108"/>
      <c r="FQV14" s="109"/>
      <c r="FQW14" s="107" t="s">
        <v>1</v>
      </c>
      <c r="FQX14" s="108"/>
      <c r="FQY14" s="108"/>
      <c r="FQZ14" s="109"/>
      <c r="FRA14" s="107" t="s">
        <v>1</v>
      </c>
      <c r="FRB14" s="108"/>
      <c r="FRC14" s="108"/>
      <c r="FRD14" s="109"/>
      <c r="FRE14" s="107" t="s">
        <v>1</v>
      </c>
      <c r="FRF14" s="108"/>
      <c r="FRG14" s="108"/>
      <c r="FRH14" s="109"/>
      <c r="FRI14" s="107" t="s">
        <v>1</v>
      </c>
      <c r="FRJ14" s="108"/>
      <c r="FRK14" s="108"/>
      <c r="FRL14" s="109"/>
      <c r="FRM14" s="107" t="s">
        <v>1</v>
      </c>
      <c r="FRN14" s="108"/>
      <c r="FRO14" s="108"/>
      <c r="FRP14" s="109"/>
      <c r="FRQ14" s="107" t="s">
        <v>1</v>
      </c>
      <c r="FRR14" s="108"/>
      <c r="FRS14" s="108"/>
      <c r="FRT14" s="109"/>
      <c r="FRU14" s="107" t="s">
        <v>1</v>
      </c>
      <c r="FRV14" s="108"/>
      <c r="FRW14" s="108"/>
      <c r="FRX14" s="109"/>
      <c r="FRY14" s="107" t="s">
        <v>1</v>
      </c>
      <c r="FRZ14" s="108"/>
      <c r="FSA14" s="108"/>
      <c r="FSB14" s="109"/>
      <c r="FSC14" s="107" t="s">
        <v>1</v>
      </c>
      <c r="FSD14" s="108"/>
      <c r="FSE14" s="108"/>
      <c r="FSF14" s="109"/>
      <c r="FSG14" s="107" t="s">
        <v>1</v>
      </c>
      <c r="FSH14" s="108"/>
      <c r="FSI14" s="108"/>
      <c r="FSJ14" s="109"/>
      <c r="FSK14" s="107" t="s">
        <v>1</v>
      </c>
      <c r="FSL14" s="108"/>
      <c r="FSM14" s="108"/>
      <c r="FSN14" s="109"/>
      <c r="FSO14" s="107" t="s">
        <v>1</v>
      </c>
      <c r="FSP14" s="108"/>
      <c r="FSQ14" s="108"/>
      <c r="FSR14" s="109"/>
      <c r="FSS14" s="107" t="s">
        <v>1</v>
      </c>
      <c r="FST14" s="108"/>
      <c r="FSU14" s="108"/>
      <c r="FSV14" s="109"/>
      <c r="FSW14" s="107" t="s">
        <v>1</v>
      </c>
      <c r="FSX14" s="108"/>
      <c r="FSY14" s="108"/>
      <c r="FSZ14" s="109"/>
      <c r="FTA14" s="107" t="s">
        <v>1</v>
      </c>
      <c r="FTB14" s="108"/>
      <c r="FTC14" s="108"/>
      <c r="FTD14" s="109"/>
      <c r="FTE14" s="107" t="s">
        <v>1</v>
      </c>
      <c r="FTF14" s="108"/>
      <c r="FTG14" s="108"/>
      <c r="FTH14" s="109"/>
      <c r="FTI14" s="107" t="s">
        <v>1</v>
      </c>
      <c r="FTJ14" s="108"/>
      <c r="FTK14" s="108"/>
      <c r="FTL14" s="109"/>
      <c r="FTM14" s="107" t="s">
        <v>1</v>
      </c>
      <c r="FTN14" s="108"/>
      <c r="FTO14" s="108"/>
      <c r="FTP14" s="109"/>
      <c r="FTQ14" s="107" t="s">
        <v>1</v>
      </c>
      <c r="FTR14" s="108"/>
      <c r="FTS14" s="108"/>
      <c r="FTT14" s="109"/>
      <c r="FTU14" s="107" t="s">
        <v>1</v>
      </c>
      <c r="FTV14" s="108"/>
      <c r="FTW14" s="108"/>
      <c r="FTX14" s="109"/>
      <c r="FTY14" s="107" t="s">
        <v>1</v>
      </c>
      <c r="FTZ14" s="108"/>
      <c r="FUA14" s="108"/>
      <c r="FUB14" s="109"/>
      <c r="FUC14" s="107" t="s">
        <v>1</v>
      </c>
      <c r="FUD14" s="108"/>
      <c r="FUE14" s="108"/>
      <c r="FUF14" s="109"/>
      <c r="FUG14" s="107" t="s">
        <v>1</v>
      </c>
      <c r="FUH14" s="108"/>
      <c r="FUI14" s="108"/>
      <c r="FUJ14" s="109"/>
      <c r="FUK14" s="107" t="s">
        <v>1</v>
      </c>
      <c r="FUL14" s="108"/>
      <c r="FUM14" s="108"/>
      <c r="FUN14" s="109"/>
      <c r="FUO14" s="107" t="s">
        <v>1</v>
      </c>
      <c r="FUP14" s="108"/>
      <c r="FUQ14" s="108"/>
      <c r="FUR14" s="109"/>
      <c r="FUS14" s="107" t="s">
        <v>1</v>
      </c>
      <c r="FUT14" s="108"/>
      <c r="FUU14" s="108"/>
      <c r="FUV14" s="109"/>
      <c r="FUW14" s="107" t="s">
        <v>1</v>
      </c>
      <c r="FUX14" s="108"/>
      <c r="FUY14" s="108"/>
      <c r="FUZ14" s="109"/>
      <c r="FVA14" s="107" t="s">
        <v>1</v>
      </c>
      <c r="FVB14" s="108"/>
      <c r="FVC14" s="108"/>
      <c r="FVD14" s="109"/>
      <c r="FVE14" s="107" t="s">
        <v>1</v>
      </c>
      <c r="FVF14" s="108"/>
      <c r="FVG14" s="108"/>
      <c r="FVH14" s="109"/>
      <c r="FVI14" s="107" t="s">
        <v>1</v>
      </c>
      <c r="FVJ14" s="108"/>
      <c r="FVK14" s="108"/>
      <c r="FVL14" s="109"/>
      <c r="FVM14" s="107" t="s">
        <v>1</v>
      </c>
      <c r="FVN14" s="108"/>
      <c r="FVO14" s="108"/>
      <c r="FVP14" s="109"/>
      <c r="FVQ14" s="107" t="s">
        <v>1</v>
      </c>
      <c r="FVR14" s="108"/>
      <c r="FVS14" s="108"/>
      <c r="FVT14" s="109"/>
      <c r="FVU14" s="107" t="s">
        <v>1</v>
      </c>
      <c r="FVV14" s="108"/>
      <c r="FVW14" s="108"/>
      <c r="FVX14" s="109"/>
      <c r="FVY14" s="107" t="s">
        <v>1</v>
      </c>
      <c r="FVZ14" s="108"/>
      <c r="FWA14" s="108"/>
      <c r="FWB14" s="109"/>
      <c r="FWC14" s="107" t="s">
        <v>1</v>
      </c>
      <c r="FWD14" s="108"/>
      <c r="FWE14" s="108"/>
      <c r="FWF14" s="109"/>
      <c r="FWG14" s="107" t="s">
        <v>1</v>
      </c>
      <c r="FWH14" s="108"/>
      <c r="FWI14" s="108"/>
      <c r="FWJ14" s="109"/>
      <c r="FWK14" s="107" t="s">
        <v>1</v>
      </c>
      <c r="FWL14" s="108"/>
      <c r="FWM14" s="108"/>
      <c r="FWN14" s="109"/>
      <c r="FWO14" s="107" t="s">
        <v>1</v>
      </c>
      <c r="FWP14" s="108"/>
      <c r="FWQ14" s="108"/>
      <c r="FWR14" s="109"/>
      <c r="FWS14" s="107" t="s">
        <v>1</v>
      </c>
      <c r="FWT14" s="108"/>
      <c r="FWU14" s="108"/>
      <c r="FWV14" s="109"/>
      <c r="FWW14" s="107" t="s">
        <v>1</v>
      </c>
      <c r="FWX14" s="108"/>
      <c r="FWY14" s="108"/>
      <c r="FWZ14" s="109"/>
      <c r="FXA14" s="107" t="s">
        <v>1</v>
      </c>
      <c r="FXB14" s="108"/>
      <c r="FXC14" s="108"/>
      <c r="FXD14" s="109"/>
      <c r="FXE14" s="107" t="s">
        <v>1</v>
      </c>
      <c r="FXF14" s="108"/>
      <c r="FXG14" s="108"/>
      <c r="FXH14" s="109"/>
      <c r="FXI14" s="107" t="s">
        <v>1</v>
      </c>
      <c r="FXJ14" s="108"/>
      <c r="FXK14" s="108"/>
      <c r="FXL14" s="109"/>
      <c r="FXM14" s="107" t="s">
        <v>1</v>
      </c>
      <c r="FXN14" s="108"/>
      <c r="FXO14" s="108"/>
      <c r="FXP14" s="109"/>
      <c r="FXQ14" s="107" t="s">
        <v>1</v>
      </c>
      <c r="FXR14" s="108"/>
      <c r="FXS14" s="108"/>
      <c r="FXT14" s="109"/>
      <c r="FXU14" s="107" t="s">
        <v>1</v>
      </c>
      <c r="FXV14" s="108"/>
      <c r="FXW14" s="108"/>
      <c r="FXX14" s="109"/>
      <c r="FXY14" s="107" t="s">
        <v>1</v>
      </c>
      <c r="FXZ14" s="108"/>
      <c r="FYA14" s="108"/>
      <c r="FYB14" s="109"/>
      <c r="FYC14" s="107" t="s">
        <v>1</v>
      </c>
      <c r="FYD14" s="108"/>
      <c r="FYE14" s="108"/>
      <c r="FYF14" s="109"/>
      <c r="FYG14" s="107" t="s">
        <v>1</v>
      </c>
      <c r="FYH14" s="108"/>
      <c r="FYI14" s="108"/>
      <c r="FYJ14" s="109"/>
      <c r="FYK14" s="107" t="s">
        <v>1</v>
      </c>
      <c r="FYL14" s="108"/>
      <c r="FYM14" s="108"/>
      <c r="FYN14" s="109"/>
      <c r="FYO14" s="107" t="s">
        <v>1</v>
      </c>
      <c r="FYP14" s="108"/>
      <c r="FYQ14" s="108"/>
      <c r="FYR14" s="109"/>
      <c r="FYS14" s="107" t="s">
        <v>1</v>
      </c>
      <c r="FYT14" s="108"/>
      <c r="FYU14" s="108"/>
      <c r="FYV14" s="109"/>
      <c r="FYW14" s="107" t="s">
        <v>1</v>
      </c>
      <c r="FYX14" s="108"/>
      <c r="FYY14" s="108"/>
      <c r="FYZ14" s="109"/>
      <c r="FZA14" s="107" t="s">
        <v>1</v>
      </c>
      <c r="FZB14" s="108"/>
      <c r="FZC14" s="108"/>
      <c r="FZD14" s="109"/>
      <c r="FZE14" s="107" t="s">
        <v>1</v>
      </c>
      <c r="FZF14" s="108"/>
      <c r="FZG14" s="108"/>
      <c r="FZH14" s="109"/>
      <c r="FZI14" s="107" t="s">
        <v>1</v>
      </c>
      <c r="FZJ14" s="108"/>
      <c r="FZK14" s="108"/>
      <c r="FZL14" s="109"/>
      <c r="FZM14" s="107" t="s">
        <v>1</v>
      </c>
      <c r="FZN14" s="108"/>
      <c r="FZO14" s="108"/>
      <c r="FZP14" s="109"/>
      <c r="FZQ14" s="107" t="s">
        <v>1</v>
      </c>
      <c r="FZR14" s="108"/>
      <c r="FZS14" s="108"/>
      <c r="FZT14" s="109"/>
      <c r="FZU14" s="107" t="s">
        <v>1</v>
      </c>
      <c r="FZV14" s="108"/>
      <c r="FZW14" s="108"/>
      <c r="FZX14" s="109"/>
      <c r="FZY14" s="107" t="s">
        <v>1</v>
      </c>
      <c r="FZZ14" s="108"/>
      <c r="GAA14" s="108"/>
      <c r="GAB14" s="109"/>
      <c r="GAC14" s="107" t="s">
        <v>1</v>
      </c>
      <c r="GAD14" s="108"/>
      <c r="GAE14" s="108"/>
      <c r="GAF14" s="109"/>
      <c r="GAG14" s="107" t="s">
        <v>1</v>
      </c>
      <c r="GAH14" s="108"/>
      <c r="GAI14" s="108"/>
      <c r="GAJ14" s="109"/>
      <c r="GAK14" s="107" t="s">
        <v>1</v>
      </c>
      <c r="GAL14" s="108"/>
      <c r="GAM14" s="108"/>
      <c r="GAN14" s="109"/>
      <c r="GAO14" s="107" t="s">
        <v>1</v>
      </c>
      <c r="GAP14" s="108"/>
      <c r="GAQ14" s="108"/>
      <c r="GAR14" s="109"/>
      <c r="GAS14" s="107" t="s">
        <v>1</v>
      </c>
      <c r="GAT14" s="108"/>
      <c r="GAU14" s="108"/>
      <c r="GAV14" s="109"/>
      <c r="GAW14" s="107" t="s">
        <v>1</v>
      </c>
      <c r="GAX14" s="108"/>
      <c r="GAY14" s="108"/>
      <c r="GAZ14" s="109"/>
      <c r="GBA14" s="107" t="s">
        <v>1</v>
      </c>
      <c r="GBB14" s="108"/>
      <c r="GBC14" s="108"/>
      <c r="GBD14" s="109"/>
      <c r="GBE14" s="107" t="s">
        <v>1</v>
      </c>
      <c r="GBF14" s="108"/>
      <c r="GBG14" s="108"/>
      <c r="GBH14" s="109"/>
      <c r="GBI14" s="107" t="s">
        <v>1</v>
      </c>
      <c r="GBJ14" s="108"/>
      <c r="GBK14" s="108"/>
      <c r="GBL14" s="109"/>
      <c r="GBM14" s="107" t="s">
        <v>1</v>
      </c>
      <c r="GBN14" s="108"/>
      <c r="GBO14" s="108"/>
      <c r="GBP14" s="109"/>
      <c r="GBQ14" s="107" t="s">
        <v>1</v>
      </c>
      <c r="GBR14" s="108"/>
      <c r="GBS14" s="108"/>
      <c r="GBT14" s="109"/>
      <c r="GBU14" s="107" t="s">
        <v>1</v>
      </c>
      <c r="GBV14" s="108"/>
      <c r="GBW14" s="108"/>
      <c r="GBX14" s="109"/>
      <c r="GBY14" s="107" t="s">
        <v>1</v>
      </c>
      <c r="GBZ14" s="108"/>
      <c r="GCA14" s="108"/>
      <c r="GCB14" s="109"/>
      <c r="GCC14" s="107" t="s">
        <v>1</v>
      </c>
      <c r="GCD14" s="108"/>
      <c r="GCE14" s="108"/>
      <c r="GCF14" s="109"/>
      <c r="GCG14" s="107" t="s">
        <v>1</v>
      </c>
      <c r="GCH14" s="108"/>
      <c r="GCI14" s="108"/>
      <c r="GCJ14" s="109"/>
      <c r="GCK14" s="107" t="s">
        <v>1</v>
      </c>
      <c r="GCL14" s="108"/>
      <c r="GCM14" s="108"/>
      <c r="GCN14" s="109"/>
      <c r="GCO14" s="107" t="s">
        <v>1</v>
      </c>
      <c r="GCP14" s="108"/>
      <c r="GCQ14" s="108"/>
      <c r="GCR14" s="109"/>
      <c r="GCS14" s="107" t="s">
        <v>1</v>
      </c>
      <c r="GCT14" s="108"/>
      <c r="GCU14" s="108"/>
      <c r="GCV14" s="109"/>
      <c r="GCW14" s="107" t="s">
        <v>1</v>
      </c>
      <c r="GCX14" s="108"/>
      <c r="GCY14" s="108"/>
      <c r="GCZ14" s="109"/>
      <c r="GDA14" s="107" t="s">
        <v>1</v>
      </c>
      <c r="GDB14" s="108"/>
      <c r="GDC14" s="108"/>
      <c r="GDD14" s="109"/>
      <c r="GDE14" s="107" t="s">
        <v>1</v>
      </c>
      <c r="GDF14" s="108"/>
      <c r="GDG14" s="108"/>
      <c r="GDH14" s="109"/>
      <c r="GDI14" s="107" t="s">
        <v>1</v>
      </c>
      <c r="GDJ14" s="108"/>
      <c r="GDK14" s="108"/>
      <c r="GDL14" s="109"/>
      <c r="GDM14" s="107" t="s">
        <v>1</v>
      </c>
      <c r="GDN14" s="108"/>
      <c r="GDO14" s="108"/>
      <c r="GDP14" s="109"/>
      <c r="GDQ14" s="107" t="s">
        <v>1</v>
      </c>
      <c r="GDR14" s="108"/>
      <c r="GDS14" s="108"/>
      <c r="GDT14" s="109"/>
      <c r="GDU14" s="107" t="s">
        <v>1</v>
      </c>
      <c r="GDV14" s="108"/>
      <c r="GDW14" s="108"/>
      <c r="GDX14" s="109"/>
      <c r="GDY14" s="107" t="s">
        <v>1</v>
      </c>
      <c r="GDZ14" s="108"/>
      <c r="GEA14" s="108"/>
      <c r="GEB14" s="109"/>
      <c r="GEC14" s="107" t="s">
        <v>1</v>
      </c>
      <c r="GED14" s="108"/>
      <c r="GEE14" s="108"/>
      <c r="GEF14" s="109"/>
      <c r="GEG14" s="107" t="s">
        <v>1</v>
      </c>
      <c r="GEH14" s="108"/>
      <c r="GEI14" s="108"/>
      <c r="GEJ14" s="109"/>
      <c r="GEK14" s="107" t="s">
        <v>1</v>
      </c>
      <c r="GEL14" s="108"/>
      <c r="GEM14" s="108"/>
      <c r="GEN14" s="109"/>
      <c r="GEO14" s="107" t="s">
        <v>1</v>
      </c>
      <c r="GEP14" s="108"/>
      <c r="GEQ14" s="108"/>
      <c r="GER14" s="109"/>
      <c r="GES14" s="107" t="s">
        <v>1</v>
      </c>
      <c r="GET14" s="108"/>
      <c r="GEU14" s="108"/>
      <c r="GEV14" s="109"/>
      <c r="GEW14" s="107" t="s">
        <v>1</v>
      </c>
      <c r="GEX14" s="108"/>
      <c r="GEY14" s="108"/>
      <c r="GEZ14" s="109"/>
      <c r="GFA14" s="107" t="s">
        <v>1</v>
      </c>
      <c r="GFB14" s="108"/>
      <c r="GFC14" s="108"/>
      <c r="GFD14" s="109"/>
      <c r="GFE14" s="107" t="s">
        <v>1</v>
      </c>
      <c r="GFF14" s="108"/>
      <c r="GFG14" s="108"/>
      <c r="GFH14" s="109"/>
      <c r="GFI14" s="107" t="s">
        <v>1</v>
      </c>
      <c r="GFJ14" s="108"/>
      <c r="GFK14" s="108"/>
      <c r="GFL14" s="109"/>
      <c r="GFM14" s="107" t="s">
        <v>1</v>
      </c>
      <c r="GFN14" s="108"/>
      <c r="GFO14" s="108"/>
      <c r="GFP14" s="109"/>
      <c r="GFQ14" s="107" t="s">
        <v>1</v>
      </c>
      <c r="GFR14" s="108"/>
      <c r="GFS14" s="108"/>
      <c r="GFT14" s="109"/>
      <c r="GFU14" s="107" t="s">
        <v>1</v>
      </c>
      <c r="GFV14" s="108"/>
      <c r="GFW14" s="108"/>
      <c r="GFX14" s="109"/>
      <c r="GFY14" s="107" t="s">
        <v>1</v>
      </c>
      <c r="GFZ14" s="108"/>
      <c r="GGA14" s="108"/>
      <c r="GGB14" s="109"/>
      <c r="GGC14" s="107" t="s">
        <v>1</v>
      </c>
      <c r="GGD14" s="108"/>
      <c r="GGE14" s="108"/>
      <c r="GGF14" s="109"/>
      <c r="GGG14" s="107" t="s">
        <v>1</v>
      </c>
      <c r="GGH14" s="108"/>
      <c r="GGI14" s="108"/>
      <c r="GGJ14" s="109"/>
      <c r="GGK14" s="107" t="s">
        <v>1</v>
      </c>
      <c r="GGL14" s="108"/>
      <c r="GGM14" s="108"/>
      <c r="GGN14" s="109"/>
      <c r="GGO14" s="107" t="s">
        <v>1</v>
      </c>
      <c r="GGP14" s="108"/>
      <c r="GGQ14" s="108"/>
      <c r="GGR14" s="109"/>
      <c r="GGS14" s="107" t="s">
        <v>1</v>
      </c>
      <c r="GGT14" s="108"/>
      <c r="GGU14" s="108"/>
      <c r="GGV14" s="109"/>
      <c r="GGW14" s="107" t="s">
        <v>1</v>
      </c>
      <c r="GGX14" s="108"/>
      <c r="GGY14" s="108"/>
      <c r="GGZ14" s="109"/>
      <c r="GHA14" s="107" t="s">
        <v>1</v>
      </c>
      <c r="GHB14" s="108"/>
      <c r="GHC14" s="108"/>
      <c r="GHD14" s="109"/>
      <c r="GHE14" s="107" t="s">
        <v>1</v>
      </c>
      <c r="GHF14" s="108"/>
      <c r="GHG14" s="108"/>
      <c r="GHH14" s="109"/>
      <c r="GHI14" s="107" t="s">
        <v>1</v>
      </c>
      <c r="GHJ14" s="108"/>
      <c r="GHK14" s="108"/>
      <c r="GHL14" s="109"/>
      <c r="GHM14" s="107" t="s">
        <v>1</v>
      </c>
      <c r="GHN14" s="108"/>
      <c r="GHO14" s="108"/>
      <c r="GHP14" s="109"/>
      <c r="GHQ14" s="107" t="s">
        <v>1</v>
      </c>
      <c r="GHR14" s="108"/>
      <c r="GHS14" s="108"/>
      <c r="GHT14" s="109"/>
      <c r="GHU14" s="107" t="s">
        <v>1</v>
      </c>
      <c r="GHV14" s="108"/>
      <c r="GHW14" s="108"/>
      <c r="GHX14" s="109"/>
      <c r="GHY14" s="107" t="s">
        <v>1</v>
      </c>
      <c r="GHZ14" s="108"/>
      <c r="GIA14" s="108"/>
      <c r="GIB14" s="109"/>
      <c r="GIC14" s="107" t="s">
        <v>1</v>
      </c>
      <c r="GID14" s="108"/>
      <c r="GIE14" s="108"/>
      <c r="GIF14" s="109"/>
      <c r="GIG14" s="107" t="s">
        <v>1</v>
      </c>
      <c r="GIH14" s="108"/>
      <c r="GII14" s="108"/>
      <c r="GIJ14" s="109"/>
      <c r="GIK14" s="107" t="s">
        <v>1</v>
      </c>
      <c r="GIL14" s="108"/>
      <c r="GIM14" s="108"/>
      <c r="GIN14" s="109"/>
      <c r="GIO14" s="107" t="s">
        <v>1</v>
      </c>
      <c r="GIP14" s="108"/>
      <c r="GIQ14" s="108"/>
      <c r="GIR14" s="109"/>
      <c r="GIS14" s="107" t="s">
        <v>1</v>
      </c>
      <c r="GIT14" s="108"/>
      <c r="GIU14" s="108"/>
      <c r="GIV14" s="109"/>
      <c r="GIW14" s="107" t="s">
        <v>1</v>
      </c>
      <c r="GIX14" s="108"/>
      <c r="GIY14" s="108"/>
      <c r="GIZ14" s="109"/>
      <c r="GJA14" s="107" t="s">
        <v>1</v>
      </c>
      <c r="GJB14" s="108"/>
      <c r="GJC14" s="108"/>
      <c r="GJD14" s="109"/>
      <c r="GJE14" s="107" t="s">
        <v>1</v>
      </c>
      <c r="GJF14" s="108"/>
      <c r="GJG14" s="108"/>
      <c r="GJH14" s="109"/>
      <c r="GJI14" s="107" t="s">
        <v>1</v>
      </c>
      <c r="GJJ14" s="108"/>
      <c r="GJK14" s="108"/>
      <c r="GJL14" s="109"/>
      <c r="GJM14" s="107" t="s">
        <v>1</v>
      </c>
      <c r="GJN14" s="108"/>
      <c r="GJO14" s="108"/>
      <c r="GJP14" s="109"/>
      <c r="GJQ14" s="107" t="s">
        <v>1</v>
      </c>
      <c r="GJR14" s="108"/>
      <c r="GJS14" s="108"/>
      <c r="GJT14" s="109"/>
      <c r="GJU14" s="107" t="s">
        <v>1</v>
      </c>
      <c r="GJV14" s="108"/>
      <c r="GJW14" s="108"/>
      <c r="GJX14" s="109"/>
      <c r="GJY14" s="107" t="s">
        <v>1</v>
      </c>
      <c r="GJZ14" s="108"/>
      <c r="GKA14" s="108"/>
      <c r="GKB14" s="109"/>
      <c r="GKC14" s="107" t="s">
        <v>1</v>
      </c>
      <c r="GKD14" s="108"/>
      <c r="GKE14" s="108"/>
      <c r="GKF14" s="109"/>
      <c r="GKG14" s="107" t="s">
        <v>1</v>
      </c>
      <c r="GKH14" s="108"/>
      <c r="GKI14" s="108"/>
      <c r="GKJ14" s="109"/>
      <c r="GKK14" s="107" t="s">
        <v>1</v>
      </c>
      <c r="GKL14" s="108"/>
      <c r="GKM14" s="108"/>
      <c r="GKN14" s="109"/>
      <c r="GKO14" s="107" t="s">
        <v>1</v>
      </c>
      <c r="GKP14" s="108"/>
      <c r="GKQ14" s="108"/>
      <c r="GKR14" s="109"/>
      <c r="GKS14" s="107" t="s">
        <v>1</v>
      </c>
      <c r="GKT14" s="108"/>
      <c r="GKU14" s="108"/>
      <c r="GKV14" s="109"/>
      <c r="GKW14" s="107" t="s">
        <v>1</v>
      </c>
      <c r="GKX14" s="108"/>
      <c r="GKY14" s="108"/>
      <c r="GKZ14" s="109"/>
      <c r="GLA14" s="107" t="s">
        <v>1</v>
      </c>
      <c r="GLB14" s="108"/>
      <c r="GLC14" s="108"/>
      <c r="GLD14" s="109"/>
      <c r="GLE14" s="107" t="s">
        <v>1</v>
      </c>
      <c r="GLF14" s="108"/>
      <c r="GLG14" s="108"/>
      <c r="GLH14" s="109"/>
      <c r="GLI14" s="107" t="s">
        <v>1</v>
      </c>
      <c r="GLJ14" s="108"/>
      <c r="GLK14" s="108"/>
      <c r="GLL14" s="109"/>
      <c r="GLM14" s="107" t="s">
        <v>1</v>
      </c>
      <c r="GLN14" s="108"/>
      <c r="GLO14" s="108"/>
      <c r="GLP14" s="109"/>
      <c r="GLQ14" s="107" t="s">
        <v>1</v>
      </c>
      <c r="GLR14" s="108"/>
      <c r="GLS14" s="108"/>
      <c r="GLT14" s="109"/>
      <c r="GLU14" s="107" t="s">
        <v>1</v>
      </c>
      <c r="GLV14" s="108"/>
      <c r="GLW14" s="108"/>
      <c r="GLX14" s="109"/>
      <c r="GLY14" s="107" t="s">
        <v>1</v>
      </c>
      <c r="GLZ14" s="108"/>
      <c r="GMA14" s="108"/>
      <c r="GMB14" s="109"/>
      <c r="GMC14" s="107" t="s">
        <v>1</v>
      </c>
      <c r="GMD14" s="108"/>
      <c r="GME14" s="108"/>
      <c r="GMF14" s="109"/>
      <c r="GMG14" s="107" t="s">
        <v>1</v>
      </c>
      <c r="GMH14" s="108"/>
      <c r="GMI14" s="108"/>
      <c r="GMJ14" s="109"/>
      <c r="GMK14" s="107" t="s">
        <v>1</v>
      </c>
      <c r="GML14" s="108"/>
      <c r="GMM14" s="108"/>
      <c r="GMN14" s="109"/>
      <c r="GMO14" s="107" t="s">
        <v>1</v>
      </c>
      <c r="GMP14" s="108"/>
      <c r="GMQ14" s="108"/>
      <c r="GMR14" s="109"/>
      <c r="GMS14" s="107" t="s">
        <v>1</v>
      </c>
      <c r="GMT14" s="108"/>
      <c r="GMU14" s="108"/>
      <c r="GMV14" s="109"/>
      <c r="GMW14" s="107" t="s">
        <v>1</v>
      </c>
      <c r="GMX14" s="108"/>
      <c r="GMY14" s="108"/>
      <c r="GMZ14" s="109"/>
      <c r="GNA14" s="107" t="s">
        <v>1</v>
      </c>
      <c r="GNB14" s="108"/>
      <c r="GNC14" s="108"/>
      <c r="GND14" s="109"/>
      <c r="GNE14" s="107" t="s">
        <v>1</v>
      </c>
      <c r="GNF14" s="108"/>
      <c r="GNG14" s="108"/>
      <c r="GNH14" s="109"/>
      <c r="GNI14" s="107" t="s">
        <v>1</v>
      </c>
      <c r="GNJ14" s="108"/>
      <c r="GNK14" s="108"/>
      <c r="GNL14" s="109"/>
      <c r="GNM14" s="107" t="s">
        <v>1</v>
      </c>
      <c r="GNN14" s="108"/>
      <c r="GNO14" s="108"/>
      <c r="GNP14" s="109"/>
      <c r="GNQ14" s="107" t="s">
        <v>1</v>
      </c>
      <c r="GNR14" s="108"/>
      <c r="GNS14" s="108"/>
      <c r="GNT14" s="109"/>
      <c r="GNU14" s="107" t="s">
        <v>1</v>
      </c>
      <c r="GNV14" s="108"/>
      <c r="GNW14" s="108"/>
      <c r="GNX14" s="109"/>
      <c r="GNY14" s="107" t="s">
        <v>1</v>
      </c>
      <c r="GNZ14" s="108"/>
      <c r="GOA14" s="108"/>
      <c r="GOB14" s="109"/>
      <c r="GOC14" s="107" t="s">
        <v>1</v>
      </c>
      <c r="GOD14" s="108"/>
      <c r="GOE14" s="108"/>
      <c r="GOF14" s="109"/>
      <c r="GOG14" s="107" t="s">
        <v>1</v>
      </c>
      <c r="GOH14" s="108"/>
      <c r="GOI14" s="108"/>
      <c r="GOJ14" s="109"/>
      <c r="GOK14" s="107" t="s">
        <v>1</v>
      </c>
      <c r="GOL14" s="108"/>
      <c r="GOM14" s="108"/>
      <c r="GON14" s="109"/>
      <c r="GOO14" s="107" t="s">
        <v>1</v>
      </c>
      <c r="GOP14" s="108"/>
      <c r="GOQ14" s="108"/>
      <c r="GOR14" s="109"/>
      <c r="GOS14" s="107" t="s">
        <v>1</v>
      </c>
      <c r="GOT14" s="108"/>
      <c r="GOU14" s="108"/>
      <c r="GOV14" s="109"/>
      <c r="GOW14" s="107" t="s">
        <v>1</v>
      </c>
      <c r="GOX14" s="108"/>
      <c r="GOY14" s="108"/>
      <c r="GOZ14" s="109"/>
      <c r="GPA14" s="107" t="s">
        <v>1</v>
      </c>
      <c r="GPB14" s="108"/>
      <c r="GPC14" s="108"/>
      <c r="GPD14" s="109"/>
      <c r="GPE14" s="107" t="s">
        <v>1</v>
      </c>
      <c r="GPF14" s="108"/>
      <c r="GPG14" s="108"/>
      <c r="GPH14" s="109"/>
      <c r="GPI14" s="107" t="s">
        <v>1</v>
      </c>
      <c r="GPJ14" s="108"/>
      <c r="GPK14" s="108"/>
      <c r="GPL14" s="109"/>
      <c r="GPM14" s="107" t="s">
        <v>1</v>
      </c>
      <c r="GPN14" s="108"/>
      <c r="GPO14" s="108"/>
      <c r="GPP14" s="109"/>
      <c r="GPQ14" s="107" t="s">
        <v>1</v>
      </c>
      <c r="GPR14" s="108"/>
      <c r="GPS14" s="108"/>
      <c r="GPT14" s="109"/>
      <c r="GPU14" s="107" t="s">
        <v>1</v>
      </c>
      <c r="GPV14" s="108"/>
      <c r="GPW14" s="108"/>
      <c r="GPX14" s="109"/>
      <c r="GPY14" s="107" t="s">
        <v>1</v>
      </c>
      <c r="GPZ14" s="108"/>
      <c r="GQA14" s="108"/>
      <c r="GQB14" s="109"/>
      <c r="GQC14" s="107" t="s">
        <v>1</v>
      </c>
      <c r="GQD14" s="108"/>
      <c r="GQE14" s="108"/>
      <c r="GQF14" s="109"/>
      <c r="GQG14" s="107" t="s">
        <v>1</v>
      </c>
      <c r="GQH14" s="108"/>
      <c r="GQI14" s="108"/>
      <c r="GQJ14" s="109"/>
      <c r="GQK14" s="107" t="s">
        <v>1</v>
      </c>
      <c r="GQL14" s="108"/>
      <c r="GQM14" s="108"/>
      <c r="GQN14" s="109"/>
      <c r="GQO14" s="107" t="s">
        <v>1</v>
      </c>
      <c r="GQP14" s="108"/>
      <c r="GQQ14" s="108"/>
      <c r="GQR14" s="109"/>
      <c r="GQS14" s="107" t="s">
        <v>1</v>
      </c>
      <c r="GQT14" s="108"/>
      <c r="GQU14" s="108"/>
      <c r="GQV14" s="109"/>
      <c r="GQW14" s="107" t="s">
        <v>1</v>
      </c>
      <c r="GQX14" s="108"/>
      <c r="GQY14" s="108"/>
      <c r="GQZ14" s="109"/>
      <c r="GRA14" s="107" t="s">
        <v>1</v>
      </c>
      <c r="GRB14" s="108"/>
      <c r="GRC14" s="108"/>
      <c r="GRD14" s="109"/>
      <c r="GRE14" s="107" t="s">
        <v>1</v>
      </c>
      <c r="GRF14" s="108"/>
      <c r="GRG14" s="108"/>
      <c r="GRH14" s="109"/>
      <c r="GRI14" s="107" t="s">
        <v>1</v>
      </c>
      <c r="GRJ14" s="108"/>
      <c r="GRK14" s="108"/>
      <c r="GRL14" s="109"/>
      <c r="GRM14" s="107" t="s">
        <v>1</v>
      </c>
      <c r="GRN14" s="108"/>
      <c r="GRO14" s="108"/>
      <c r="GRP14" s="109"/>
      <c r="GRQ14" s="107" t="s">
        <v>1</v>
      </c>
      <c r="GRR14" s="108"/>
      <c r="GRS14" s="108"/>
      <c r="GRT14" s="109"/>
      <c r="GRU14" s="107" t="s">
        <v>1</v>
      </c>
      <c r="GRV14" s="108"/>
      <c r="GRW14" s="108"/>
      <c r="GRX14" s="109"/>
      <c r="GRY14" s="107" t="s">
        <v>1</v>
      </c>
      <c r="GRZ14" s="108"/>
      <c r="GSA14" s="108"/>
      <c r="GSB14" s="109"/>
      <c r="GSC14" s="107" t="s">
        <v>1</v>
      </c>
      <c r="GSD14" s="108"/>
      <c r="GSE14" s="108"/>
      <c r="GSF14" s="109"/>
      <c r="GSG14" s="107" t="s">
        <v>1</v>
      </c>
      <c r="GSH14" s="108"/>
      <c r="GSI14" s="108"/>
      <c r="GSJ14" s="109"/>
      <c r="GSK14" s="107" t="s">
        <v>1</v>
      </c>
      <c r="GSL14" s="108"/>
      <c r="GSM14" s="108"/>
      <c r="GSN14" s="109"/>
      <c r="GSO14" s="107" t="s">
        <v>1</v>
      </c>
      <c r="GSP14" s="108"/>
      <c r="GSQ14" s="108"/>
      <c r="GSR14" s="109"/>
      <c r="GSS14" s="107" t="s">
        <v>1</v>
      </c>
      <c r="GST14" s="108"/>
      <c r="GSU14" s="108"/>
      <c r="GSV14" s="109"/>
      <c r="GSW14" s="107" t="s">
        <v>1</v>
      </c>
      <c r="GSX14" s="108"/>
      <c r="GSY14" s="108"/>
      <c r="GSZ14" s="109"/>
      <c r="GTA14" s="107" t="s">
        <v>1</v>
      </c>
      <c r="GTB14" s="108"/>
      <c r="GTC14" s="108"/>
      <c r="GTD14" s="109"/>
      <c r="GTE14" s="107" t="s">
        <v>1</v>
      </c>
      <c r="GTF14" s="108"/>
      <c r="GTG14" s="108"/>
      <c r="GTH14" s="109"/>
      <c r="GTI14" s="107" t="s">
        <v>1</v>
      </c>
      <c r="GTJ14" s="108"/>
      <c r="GTK14" s="108"/>
      <c r="GTL14" s="109"/>
      <c r="GTM14" s="107" t="s">
        <v>1</v>
      </c>
      <c r="GTN14" s="108"/>
      <c r="GTO14" s="108"/>
      <c r="GTP14" s="109"/>
      <c r="GTQ14" s="107" t="s">
        <v>1</v>
      </c>
      <c r="GTR14" s="108"/>
      <c r="GTS14" s="108"/>
      <c r="GTT14" s="109"/>
      <c r="GTU14" s="107" t="s">
        <v>1</v>
      </c>
      <c r="GTV14" s="108"/>
      <c r="GTW14" s="108"/>
      <c r="GTX14" s="109"/>
      <c r="GTY14" s="107" t="s">
        <v>1</v>
      </c>
      <c r="GTZ14" s="108"/>
      <c r="GUA14" s="108"/>
      <c r="GUB14" s="109"/>
      <c r="GUC14" s="107" t="s">
        <v>1</v>
      </c>
      <c r="GUD14" s="108"/>
      <c r="GUE14" s="108"/>
      <c r="GUF14" s="109"/>
      <c r="GUG14" s="107" t="s">
        <v>1</v>
      </c>
      <c r="GUH14" s="108"/>
      <c r="GUI14" s="108"/>
      <c r="GUJ14" s="109"/>
      <c r="GUK14" s="107" t="s">
        <v>1</v>
      </c>
      <c r="GUL14" s="108"/>
      <c r="GUM14" s="108"/>
      <c r="GUN14" s="109"/>
      <c r="GUO14" s="107" t="s">
        <v>1</v>
      </c>
      <c r="GUP14" s="108"/>
      <c r="GUQ14" s="108"/>
      <c r="GUR14" s="109"/>
      <c r="GUS14" s="107" t="s">
        <v>1</v>
      </c>
      <c r="GUT14" s="108"/>
      <c r="GUU14" s="108"/>
      <c r="GUV14" s="109"/>
      <c r="GUW14" s="107" t="s">
        <v>1</v>
      </c>
      <c r="GUX14" s="108"/>
      <c r="GUY14" s="108"/>
      <c r="GUZ14" s="109"/>
      <c r="GVA14" s="107" t="s">
        <v>1</v>
      </c>
      <c r="GVB14" s="108"/>
      <c r="GVC14" s="108"/>
      <c r="GVD14" s="109"/>
      <c r="GVE14" s="107" t="s">
        <v>1</v>
      </c>
      <c r="GVF14" s="108"/>
      <c r="GVG14" s="108"/>
      <c r="GVH14" s="109"/>
      <c r="GVI14" s="107" t="s">
        <v>1</v>
      </c>
      <c r="GVJ14" s="108"/>
      <c r="GVK14" s="108"/>
      <c r="GVL14" s="109"/>
      <c r="GVM14" s="107" t="s">
        <v>1</v>
      </c>
      <c r="GVN14" s="108"/>
      <c r="GVO14" s="108"/>
      <c r="GVP14" s="109"/>
      <c r="GVQ14" s="107" t="s">
        <v>1</v>
      </c>
      <c r="GVR14" s="108"/>
      <c r="GVS14" s="108"/>
      <c r="GVT14" s="109"/>
      <c r="GVU14" s="107" t="s">
        <v>1</v>
      </c>
      <c r="GVV14" s="108"/>
      <c r="GVW14" s="108"/>
      <c r="GVX14" s="109"/>
      <c r="GVY14" s="107" t="s">
        <v>1</v>
      </c>
      <c r="GVZ14" s="108"/>
      <c r="GWA14" s="108"/>
      <c r="GWB14" s="109"/>
      <c r="GWC14" s="107" t="s">
        <v>1</v>
      </c>
      <c r="GWD14" s="108"/>
      <c r="GWE14" s="108"/>
      <c r="GWF14" s="109"/>
      <c r="GWG14" s="107" t="s">
        <v>1</v>
      </c>
      <c r="GWH14" s="108"/>
      <c r="GWI14" s="108"/>
      <c r="GWJ14" s="109"/>
      <c r="GWK14" s="107" t="s">
        <v>1</v>
      </c>
      <c r="GWL14" s="108"/>
      <c r="GWM14" s="108"/>
      <c r="GWN14" s="109"/>
      <c r="GWO14" s="107" t="s">
        <v>1</v>
      </c>
      <c r="GWP14" s="108"/>
      <c r="GWQ14" s="108"/>
      <c r="GWR14" s="109"/>
      <c r="GWS14" s="107" t="s">
        <v>1</v>
      </c>
      <c r="GWT14" s="108"/>
      <c r="GWU14" s="108"/>
      <c r="GWV14" s="109"/>
      <c r="GWW14" s="107" t="s">
        <v>1</v>
      </c>
      <c r="GWX14" s="108"/>
      <c r="GWY14" s="108"/>
      <c r="GWZ14" s="109"/>
      <c r="GXA14" s="107" t="s">
        <v>1</v>
      </c>
      <c r="GXB14" s="108"/>
      <c r="GXC14" s="108"/>
      <c r="GXD14" s="109"/>
      <c r="GXE14" s="107" t="s">
        <v>1</v>
      </c>
      <c r="GXF14" s="108"/>
      <c r="GXG14" s="108"/>
      <c r="GXH14" s="109"/>
      <c r="GXI14" s="107" t="s">
        <v>1</v>
      </c>
      <c r="GXJ14" s="108"/>
      <c r="GXK14" s="108"/>
      <c r="GXL14" s="109"/>
      <c r="GXM14" s="107" t="s">
        <v>1</v>
      </c>
      <c r="GXN14" s="108"/>
      <c r="GXO14" s="108"/>
      <c r="GXP14" s="109"/>
      <c r="GXQ14" s="107" t="s">
        <v>1</v>
      </c>
      <c r="GXR14" s="108"/>
      <c r="GXS14" s="108"/>
      <c r="GXT14" s="109"/>
      <c r="GXU14" s="107" t="s">
        <v>1</v>
      </c>
      <c r="GXV14" s="108"/>
      <c r="GXW14" s="108"/>
      <c r="GXX14" s="109"/>
      <c r="GXY14" s="107" t="s">
        <v>1</v>
      </c>
      <c r="GXZ14" s="108"/>
      <c r="GYA14" s="108"/>
      <c r="GYB14" s="109"/>
      <c r="GYC14" s="107" t="s">
        <v>1</v>
      </c>
      <c r="GYD14" s="108"/>
      <c r="GYE14" s="108"/>
      <c r="GYF14" s="109"/>
      <c r="GYG14" s="107" t="s">
        <v>1</v>
      </c>
      <c r="GYH14" s="108"/>
      <c r="GYI14" s="108"/>
      <c r="GYJ14" s="109"/>
      <c r="GYK14" s="107" t="s">
        <v>1</v>
      </c>
      <c r="GYL14" s="108"/>
      <c r="GYM14" s="108"/>
      <c r="GYN14" s="109"/>
      <c r="GYO14" s="107" t="s">
        <v>1</v>
      </c>
      <c r="GYP14" s="108"/>
      <c r="GYQ14" s="108"/>
      <c r="GYR14" s="109"/>
      <c r="GYS14" s="107" t="s">
        <v>1</v>
      </c>
      <c r="GYT14" s="108"/>
      <c r="GYU14" s="108"/>
      <c r="GYV14" s="109"/>
      <c r="GYW14" s="107" t="s">
        <v>1</v>
      </c>
      <c r="GYX14" s="108"/>
      <c r="GYY14" s="108"/>
      <c r="GYZ14" s="109"/>
      <c r="GZA14" s="107" t="s">
        <v>1</v>
      </c>
      <c r="GZB14" s="108"/>
      <c r="GZC14" s="108"/>
      <c r="GZD14" s="109"/>
      <c r="GZE14" s="107" t="s">
        <v>1</v>
      </c>
      <c r="GZF14" s="108"/>
      <c r="GZG14" s="108"/>
      <c r="GZH14" s="109"/>
      <c r="GZI14" s="107" t="s">
        <v>1</v>
      </c>
      <c r="GZJ14" s="108"/>
      <c r="GZK14" s="108"/>
      <c r="GZL14" s="109"/>
      <c r="GZM14" s="107" t="s">
        <v>1</v>
      </c>
      <c r="GZN14" s="108"/>
      <c r="GZO14" s="108"/>
      <c r="GZP14" s="109"/>
      <c r="GZQ14" s="107" t="s">
        <v>1</v>
      </c>
      <c r="GZR14" s="108"/>
      <c r="GZS14" s="108"/>
      <c r="GZT14" s="109"/>
      <c r="GZU14" s="107" t="s">
        <v>1</v>
      </c>
      <c r="GZV14" s="108"/>
      <c r="GZW14" s="108"/>
      <c r="GZX14" s="109"/>
      <c r="GZY14" s="107" t="s">
        <v>1</v>
      </c>
      <c r="GZZ14" s="108"/>
      <c r="HAA14" s="108"/>
      <c r="HAB14" s="109"/>
      <c r="HAC14" s="107" t="s">
        <v>1</v>
      </c>
      <c r="HAD14" s="108"/>
      <c r="HAE14" s="108"/>
      <c r="HAF14" s="109"/>
      <c r="HAG14" s="107" t="s">
        <v>1</v>
      </c>
      <c r="HAH14" s="108"/>
      <c r="HAI14" s="108"/>
      <c r="HAJ14" s="109"/>
      <c r="HAK14" s="107" t="s">
        <v>1</v>
      </c>
      <c r="HAL14" s="108"/>
      <c r="HAM14" s="108"/>
      <c r="HAN14" s="109"/>
      <c r="HAO14" s="107" t="s">
        <v>1</v>
      </c>
      <c r="HAP14" s="108"/>
      <c r="HAQ14" s="108"/>
      <c r="HAR14" s="109"/>
      <c r="HAS14" s="107" t="s">
        <v>1</v>
      </c>
      <c r="HAT14" s="108"/>
      <c r="HAU14" s="108"/>
      <c r="HAV14" s="109"/>
      <c r="HAW14" s="107" t="s">
        <v>1</v>
      </c>
      <c r="HAX14" s="108"/>
      <c r="HAY14" s="108"/>
      <c r="HAZ14" s="109"/>
      <c r="HBA14" s="107" t="s">
        <v>1</v>
      </c>
      <c r="HBB14" s="108"/>
      <c r="HBC14" s="108"/>
      <c r="HBD14" s="109"/>
      <c r="HBE14" s="107" t="s">
        <v>1</v>
      </c>
      <c r="HBF14" s="108"/>
      <c r="HBG14" s="108"/>
      <c r="HBH14" s="109"/>
      <c r="HBI14" s="107" t="s">
        <v>1</v>
      </c>
      <c r="HBJ14" s="108"/>
      <c r="HBK14" s="108"/>
      <c r="HBL14" s="109"/>
      <c r="HBM14" s="107" t="s">
        <v>1</v>
      </c>
      <c r="HBN14" s="108"/>
      <c r="HBO14" s="108"/>
      <c r="HBP14" s="109"/>
      <c r="HBQ14" s="107" t="s">
        <v>1</v>
      </c>
      <c r="HBR14" s="108"/>
      <c r="HBS14" s="108"/>
      <c r="HBT14" s="109"/>
      <c r="HBU14" s="107" t="s">
        <v>1</v>
      </c>
      <c r="HBV14" s="108"/>
      <c r="HBW14" s="108"/>
      <c r="HBX14" s="109"/>
      <c r="HBY14" s="107" t="s">
        <v>1</v>
      </c>
      <c r="HBZ14" s="108"/>
      <c r="HCA14" s="108"/>
      <c r="HCB14" s="109"/>
      <c r="HCC14" s="107" t="s">
        <v>1</v>
      </c>
      <c r="HCD14" s="108"/>
      <c r="HCE14" s="108"/>
      <c r="HCF14" s="109"/>
      <c r="HCG14" s="107" t="s">
        <v>1</v>
      </c>
      <c r="HCH14" s="108"/>
      <c r="HCI14" s="108"/>
      <c r="HCJ14" s="109"/>
      <c r="HCK14" s="107" t="s">
        <v>1</v>
      </c>
      <c r="HCL14" s="108"/>
      <c r="HCM14" s="108"/>
      <c r="HCN14" s="109"/>
      <c r="HCO14" s="107" t="s">
        <v>1</v>
      </c>
      <c r="HCP14" s="108"/>
      <c r="HCQ14" s="108"/>
      <c r="HCR14" s="109"/>
      <c r="HCS14" s="107" t="s">
        <v>1</v>
      </c>
      <c r="HCT14" s="108"/>
      <c r="HCU14" s="108"/>
      <c r="HCV14" s="109"/>
      <c r="HCW14" s="107" t="s">
        <v>1</v>
      </c>
      <c r="HCX14" s="108"/>
      <c r="HCY14" s="108"/>
      <c r="HCZ14" s="109"/>
      <c r="HDA14" s="107" t="s">
        <v>1</v>
      </c>
      <c r="HDB14" s="108"/>
      <c r="HDC14" s="108"/>
      <c r="HDD14" s="109"/>
      <c r="HDE14" s="107" t="s">
        <v>1</v>
      </c>
      <c r="HDF14" s="108"/>
      <c r="HDG14" s="108"/>
      <c r="HDH14" s="109"/>
      <c r="HDI14" s="107" t="s">
        <v>1</v>
      </c>
      <c r="HDJ14" s="108"/>
      <c r="HDK14" s="108"/>
      <c r="HDL14" s="109"/>
      <c r="HDM14" s="107" t="s">
        <v>1</v>
      </c>
      <c r="HDN14" s="108"/>
      <c r="HDO14" s="108"/>
      <c r="HDP14" s="109"/>
      <c r="HDQ14" s="107" t="s">
        <v>1</v>
      </c>
      <c r="HDR14" s="108"/>
      <c r="HDS14" s="108"/>
      <c r="HDT14" s="109"/>
      <c r="HDU14" s="107" t="s">
        <v>1</v>
      </c>
      <c r="HDV14" s="108"/>
      <c r="HDW14" s="108"/>
      <c r="HDX14" s="109"/>
      <c r="HDY14" s="107" t="s">
        <v>1</v>
      </c>
      <c r="HDZ14" s="108"/>
      <c r="HEA14" s="108"/>
      <c r="HEB14" s="109"/>
      <c r="HEC14" s="107" t="s">
        <v>1</v>
      </c>
      <c r="HED14" s="108"/>
      <c r="HEE14" s="108"/>
      <c r="HEF14" s="109"/>
      <c r="HEG14" s="107" t="s">
        <v>1</v>
      </c>
      <c r="HEH14" s="108"/>
      <c r="HEI14" s="108"/>
      <c r="HEJ14" s="109"/>
      <c r="HEK14" s="107" t="s">
        <v>1</v>
      </c>
      <c r="HEL14" s="108"/>
      <c r="HEM14" s="108"/>
      <c r="HEN14" s="109"/>
      <c r="HEO14" s="107" t="s">
        <v>1</v>
      </c>
      <c r="HEP14" s="108"/>
      <c r="HEQ14" s="108"/>
      <c r="HER14" s="109"/>
      <c r="HES14" s="107" t="s">
        <v>1</v>
      </c>
      <c r="HET14" s="108"/>
      <c r="HEU14" s="108"/>
      <c r="HEV14" s="109"/>
      <c r="HEW14" s="107" t="s">
        <v>1</v>
      </c>
      <c r="HEX14" s="108"/>
      <c r="HEY14" s="108"/>
      <c r="HEZ14" s="109"/>
      <c r="HFA14" s="107" t="s">
        <v>1</v>
      </c>
      <c r="HFB14" s="108"/>
      <c r="HFC14" s="108"/>
      <c r="HFD14" s="109"/>
      <c r="HFE14" s="107" t="s">
        <v>1</v>
      </c>
      <c r="HFF14" s="108"/>
      <c r="HFG14" s="108"/>
      <c r="HFH14" s="109"/>
      <c r="HFI14" s="107" t="s">
        <v>1</v>
      </c>
      <c r="HFJ14" s="108"/>
      <c r="HFK14" s="108"/>
      <c r="HFL14" s="109"/>
      <c r="HFM14" s="107" t="s">
        <v>1</v>
      </c>
      <c r="HFN14" s="108"/>
      <c r="HFO14" s="108"/>
      <c r="HFP14" s="109"/>
      <c r="HFQ14" s="107" t="s">
        <v>1</v>
      </c>
      <c r="HFR14" s="108"/>
      <c r="HFS14" s="108"/>
      <c r="HFT14" s="109"/>
      <c r="HFU14" s="107" t="s">
        <v>1</v>
      </c>
      <c r="HFV14" s="108"/>
      <c r="HFW14" s="108"/>
      <c r="HFX14" s="109"/>
      <c r="HFY14" s="107" t="s">
        <v>1</v>
      </c>
      <c r="HFZ14" s="108"/>
      <c r="HGA14" s="108"/>
      <c r="HGB14" s="109"/>
      <c r="HGC14" s="107" t="s">
        <v>1</v>
      </c>
      <c r="HGD14" s="108"/>
      <c r="HGE14" s="108"/>
      <c r="HGF14" s="109"/>
      <c r="HGG14" s="107" t="s">
        <v>1</v>
      </c>
      <c r="HGH14" s="108"/>
      <c r="HGI14" s="108"/>
      <c r="HGJ14" s="109"/>
      <c r="HGK14" s="107" t="s">
        <v>1</v>
      </c>
      <c r="HGL14" s="108"/>
      <c r="HGM14" s="108"/>
      <c r="HGN14" s="109"/>
      <c r="HGO14" s="107" t="s">
        <v>1</v>
      </c>
      <c r="HGP14" s="108"/>
      <c r="HGQ14" s="108"/>
      <c r="HGR14" s="109"/>
      <c r="HGS14" s="107" t="s">
        <v>1</v>
      </c>
      <c r="HGT14" s="108"/>
      <c r="HGU14" s="108"/>
      <c r="HGV14" s="109"/>
      <c r="HGW14" s="107" t="s">
        <v>1</v>
      </c>
      <c r="HGX14" s="108"/>
      <c r="HGY14" s="108"/>
      <c r="HGZ14" s="109"/>
      <c r="HHA14" s="107" t="s">
        <v>1</v>
      </c>
      <c r="HHB14" s="108"/>
      <c r="HHC14" s="108"/>
      <c r="HHD14" s="109"/>
      <c r="HHE14" s="107" t="s">
        <v>1</v>
      </c>
      <c r="HHF14" s="108"/>
      <c r="HHG14" s="108"/>
      <c r="HHH14" s="109"/>
      <c r="HHI14" s="107" t="s">
        <v>1</v>
      </c>
      <c r="HHJ14" s="108"/>
      <c r="HHK14" s="108"/>
      <c r="HHL14" s="109"/>
      <c r="HHM14" s="107" t="s">
        <v>1</v>
      </c>
      <c r="HHN14" s="108"/>
      <c r="HHO14" s="108"/>
      <c r="HHP14" s="109"/>
      <c r="HHQ14" s="107" t="s">
        <v>1</v>
      </c>
      <c r="HHR14" s="108"/>
      <c r="HHS14" s="108"/>
      <c r="HHT14" s="109"/>
      <c r="HHU14" s="107" t="s">
        <v>1</v>
      </c>
      <c r="HHV14" s="108"/>
      <c r="HHW14" s="108"/>
      <c r="HHX14" s="109"/>
      <c r="HHY14" s="107" t="s">
        <v>1</v>
      </c>
      <c r="HHZ14" s="108"/>
      <c r="HIA14" s="108"/>
      <c r="HIB14" s="109"/>
      <c r="HIC14" s="107" t="s">
        <v>1</v>
      </c>
      <c r="HID14" s="108"/>
      <c r="HIE14" s="108"/>
      <c r="HIF14" s="109"/>
      <c r="HIG14" s="107" t="s">
        <v>1</v>
      </c>
      <c r="HIH14" s="108"/>
      <c r="HII14" s="108"/>
      <c r="HIJ14" s="109"/>
      <c r="HIK14" s="107" t="s">
        <v>1</v>
      </c>
      <c r="HIL14" s="108"/>
      <c r="HIM14" s="108"/>
      <c r="HIN14" s="109"/>
      <c r="HIO14" s="107" t="s">
        <v>1</v>
      </c>
      <c r="HIP14" s="108"/>
      <c r="HIQ14" s="108"/>
      <c r="HIR14" s="109"/>
      <c r="HIS14" s="107" t="s">
        <v>1</v>
      </c>
      <c r="HIT14" s="108"/>
      <c r="HIU14" s="108"/>
      <c r="HIV14" s="109"/>
      <c r="HIW14" s="107" t="s">
        <v>1</v>
      </c>
      <c r="HIX14" s="108"/>
      <c r="HIY14" s="108"/>
      <c r="HIZ14" s="109"/>
      <c r="HJA14" s="107" t="s">
        <v>1</v>
      </c>
      <c r="HJB14" s="108"/>
      <c r="HJC14" s="108"/>
      <c r="HJD14" s="109"/>
      <c r="HJE14" s="107" t="s">
        <v>1</v>
      </c>
      <c r="HJF14" s="108"/>
      <c r="HJG14" s="108"/>
      <c r="HJH14" s="109"/>
      <c r="HJI14" s="107" t="s">
        <v>1</v>
      </c>
      <c r="HJJ14" s="108"/>
      <c r="HJK14" s="108"/>
      <c r="HJL14" s="109"/>
      <c r="HJM14" s="107" t="s">
        <v>1</v>
      </c>
      <c r="HJN14" s="108"/>
      <c r="HJO14" s="108"/>
      <c r="HJP14" s="109"/>
      <c r="HJQ14" s="107" t="s">
        <v>1</v>
      </c>
      <c r="HJR14" s="108"/>
      <c r="HJS14" s="108"/>
      <c r="HJT14" s="109"/>
      <c r="HJU14" s="107" t="s">
        <v>1</v>
      </c>
      <c r="HJV14" s="108"/>
      <c r="HJW14" s="108"/>
      <c r="HJX14" s="109"/>
      <c r="HJY14" s="107" t="s">
        <v>1</v>
      </c>
      <c r="HJZ14" s="108"/>
      <c r="HKA14" s="108"/>
      <c r="HKB14" s="109"/>
      <c r="HKC14" s="107" t="s">
        <v>1</v>
      </c>
      <c r="HKD14" s="108"/>
      <c r="HKE14" s="108"/>
      <c r="HKF14" s="109"/>
      <c r="HKG14" s="107" t="s">
        <v>1</v>
      </c>
      <c r="HKH14" s="108"/>
      <c r="HKI14" s="108"/>
      <c r="HKJ14" s="109"/>
      <c r="HKK14" s="107" t="s">
        <v>1</v>
      </c>
      <c r="HKL14" s="108"/>
      <c r="HKM14" s="108"/>
      <c r="HKN14" s="109"/>
      <c r="HKO14" s="107" t="s">
        <v>1</v>
      </c>
      <c r="HKP14" s="108"/>
      <c r="HKQ14" s="108"/>
      <c r="HKR14" s="109"/>
      <c r="HKS14" s="107" t="s">
        <v>1</v>
      </c>
      <c r="HKT14" s="108"/>
      <c r="HKU14" s="108"/>
      <c r="HKV14" s="109"/>
      <c r="HKW14" s="107" t="s">
        <v>1</v>
      </c>
      <c r="HKX14" s="108"/>
      <c r="HKY14" s="108"/>
      <c r="HKZ14" s="109"/>
      <c r="HLA14" s="107" t="s">
        <v>1</v>
      </c>
      <c r="HLB14" s="108"/>
      <c r="HLC14" s="108"/>
      <c r="HLD14" s="109"/>
      <c r="HLE14" s="107" t="s">
        <v>1</v>
      </c>
      <c r="HLF14" s="108"/>
      <c r="HLG14" s="108"/>
      <c r="HLH14" s="109"/>
      <c r="HLI14" s="107" t="s">
        <v>1</v>
      </c>
      <c r="HLJ14" s="108"/>
      <c r="HLK14" s="108"/>
      <c r="HLL14" s="109"/>
      <c r="HLM14" s="107" t="s">
        <v>1</v>
      </c>
      <c r="HLN14" s="108"/>
      <c r="HLO14" s="108"/>
      <c r="HLP14" s="109"/>
      <c r="HLQ14" s="107" t="s">
        <v>1</v>
      </c>
      <c r="HLR14" s="108"/>
      <c r="HLS14" s="108"/>
      <c r="HLT14" s="109"/>
      <c r="HLU14" s="107" t="s">
        <v>1</v>
      </c>
      <c r="HLV14" s="108"/>
      <c r="HLW14" s="108"/>
      <c r="HLX14" s="109"/>
      <c r="HLY14" s="107" t="s">
        <v>1</v>
      </c>
      <c r="HLZ14" s="108"/>
      <c r="HMA14" s="108"/>
      <c r="HMB14" s="109"/>
      <c r="HMC14" s="107" t="s">
        <v>1</v>
      </c>
      <c r="HMD14" s="108"/>
      <c r="HME14" s="108"/>
      <c r="HMF14" s="109"/>
      <c r="HMG14" s="107" t="s">
        <v>1</v>
      </c>
      <c r="HMH14" s="108"/>
      <c r="HMI14" s="108"/>
      <c r="HMJ14" s="109"/>
      <c r="HMK14" s="107" t="s">
        <v>1</v>
      </c>
      <c r="HML14" s="108"/>
      <c r="HMM14" s="108"/>
      <c r="HMN14" s="109"/>
      <c r="HMO14" s="107" t="s">
        <v>1</v>
      </c>
      <c r="HMP14" s="108"/>
      <c r="HMQ14" s="108"/>
      <c r="HMR14" s="109"/>
      <c r="HMS14" s="107" t="s">
        <v>1</v>
      </c>
      <c r="HMT14" s="108"/>
      <c r="HMU14" s="108"/>
      <c r="HMV14" s="109"/>
      <c r="HMW14" s="107" t="s">
        <v>1</v>
      </c>
      <c r="HMX14" s="108"/>
      <c r="HMY14" s="108"/>
      <c r="HMZ14" s="109"/>
      <c r="HNA14" s="107" t="s">
        <v>1</v>
      </c>
      <c r="HNB14" s="108"/>
      <c r="HNC14" s="108"/>
      <c r="HND14" s="109"/>
      <c r="HNE14" s="107" t="s">
        <v>1</v>
      </c>
      <c r="HNF14" s="108"/>
      <c r="HNG14" s="108"/>
      <c r="HNH14" s="109"/>
      <c r="HNI14" s="107" t="s">
        <v>1</v>
      </c>
      <c r="HNJ14" s="108"/>
      <c r="HNK14" s="108"/>
      <c r="HNL14" s="109"/>
      <c r="HNM14" s="107" t="s">
        <v>1</v>
      </c>
      <c r="HNN14" s="108"/>
      <c r="HNO14" s="108"/>
      <c r="HNP14" s="109"/>
      <c r="HNQ14" s="107" t="s">
        <v>1</v>
      </c>
      <c r="HNR14" s="108"/>
      <c r="HNS14" s="108"/>
      <c r="HNT14" s="109"/>
      <c r="HNU14" s="107" t="s">
        <v>1</v>
      </c>
      <c r="HNV14" s="108"/>
      <c r="HNW14" s="108"/>
      <c r="HNX14" s="109"/>
      <c r="HNY14" s="107" t="s">
        <v>1</v>
      </c>
      <c r="HNZ14" s="108"/>
      <c r="HOA14" s="108"/>
      <c r="HOB14" s="109"/>
      <c r="HOC14" s="107" t="s">
        <v>1</v>
      </c>
      <c r="HOD14" s="108"/>
      <c r="HOE14" s="108"/>
      <c r="HOF14" s="109"/>
      <c r="HOG14" s="107" t="s">
        <v>1</v>
      </c>
      <c r="HOH14" s="108"/>
      <c r="HOI14" s="108"/>
      <c r="HOJ14" s="109"/>
      <c r="HOK14" s="107" t="s">
        <v>1</v>
      </c>
      <c r="HOL14" s="108"/>
      <c r="HOM14" s="108"/>
      <c r="HON14" s="109"/>
      <c r="HOO14" s="107" t="s">
        <v>1</v>
      </c>
      <c r="HOP14" s="108"/>
      <c r="HOQ14" s="108"/>
      <c r="HOR14" s="109"/>
      <c r="HOS14" s="107" t="s">
        <v>1</v>
      </c>
      <c r="HOT14" s="108"/>
      <c r="HOU14" s="108"/>
      <c r="HOV14" s="109"/>
      <c r="HOW14" s="107" t="s">
        <v>1</v>
      </c>
      <c r="HOX14" s="108"/>
      <c r="HOY14" s="108"/>
      <c r="HOZ14" s="109"/>
      <c r="HPA14" s="107" t="s">
        <v>1</v>
      </c>
      <c r="HPB14" s="108"/>
      <c r="HPC14" s="108"/>
      <c r="HPD14" s="109"/>
      <c r="HPE14" s="107" t="s">
        <v>1</v>
      </c>
      <c r="HPF14" s="108"/>
      <c r="HPG14" s="108"/>
      <c r="HPH14" s="109"/>
      <c r="HPI14" s="107" t="s">
        <v>1</v>
      </c>
      <c r="HPJ14" s="108"/>
      <c r="HPK14" s="108"/>
      <c r="HPL14" s="109"/>
      <c r="HPM14" s="107" t="s">
        <v>1</v>
      </c>
      <c r="HPN14" s="108"/>
      <c r="HPO14" s="108"/>
      <c r="HPP14" s="109"/>
      <c r="HPQ14" s="107" t="s">
        <v>1</v>
      </c>
      <c r="HPR14" s="108"/>
      <c r="HPS14" s="108"/>
      <c r="HPT14" s="109"/>
      <c r="HPU14" s="107" t="s">
        <v>1</v>
      </c>
      <c r="HPV14" s="108"/>
      <c r="HPW14" s="108"/>
      <c r="HPX14" s="109"/>
      <c r="HPY14" s="107" t="s">
        <v>1</v>
      </c>
      <c r="HPZ14" s="108"/>
      <c r="HQA14" s="108"/>
      <c r="HQB14" s="109"/>
      <c r="HQC14" s="107" t="s">
        <v>1</v>
      </c>
      <c r="HQD14" s="108"/>
      <c r="HQE14" s="108"/>
      <c r="HQF14" s="109"/>
      <c r="HQG14" s="107" t="s">
        <v>1</v>
      </c>
      <c r="HQH14" s="108"/>
      <c r="HQI14" s="108"/>
      <c r="HQJ14" s="109"/>
      <c r="HQK14" s="107" t="s">
        <v>1</v>
      </c>
      <c r="HQL14" s="108"/>
      <c r="HQM14" s="108"/>
      <c r="HQN14" s="109"/>
      <c r="HQO14" s="107" t="s">
        <v>1</v>
      </c>
      <c r="HQP14" s="108"/>
      <c r="HQQ14" s="108"/>
      <c r="HQR14" s="109"/>
      <c r="HQS14" s="107" t="s">
        <v>1</v>
      </c>
      <c r="HQT14" s="108"/>
      <c r="HQU14" s="108"/>
      <c r="HQV14" s="109"/>
      <c r="HQW14" s="107" t="s">
        <v>1</v>
      </c>
      <c r="HQX14" s="108"/>
      <c r="HQY14" s="108"/>
      <c r="HQZ14" s="109"/>
      <c r="HRA14" s="107" t="s">
        <v>1</v>
      </c>
      <c r="HRB14" s="108"/>
      <c r="HRC14" s="108"/>
      <c r="HRD14" s="109"/>
      <c r="HRE14" s="107" t="s">
        <v>1</v>
      </c>
      <c r="HRF14" s="108"/>
      <c r="HRG14" s="108"/>
      <c r="HRH14" s="109"/>
      <c r="HRI14" s="107" t="s">
        <v>1</v>
      </c>
      <c r="HRJ14" s="108"/>
      <c r="HRK14" s="108"/>
      <c r="HRL14" s="109"/>
      <c r="HRM14" s="107" t="s">
        <v>1</v>
      </c>
      <c r="HRN14" s="108"/>
      <c r="HRO14" s="108"/>
      <c r="HRP14" s="109"/>
      <c r="HRQ14" s="107" t="s">
        <v>1</v>
      </c>
      <c r="HRR14" s="108"/>
      <c r="HRS14" s="108"/>
      <c r="HRT14" s="109"/>
      <c r="HRU14" s="107" t="s">
        <v>1</v>
      </c>
      <c r="HRV14" s="108"/>
      <c r="HRW14" s="108"/>
      <c r="HRX14" s="109"/>
      <c r="HRY14" s="107" t="s">
        <v>1</v>
      </c>
      <c r="HRZ14" s="108"/>
      <c r="HSA14" s="108"/>
      <c r="HSB14" s="109"/>
      <c r="HSC14" s="107" t="s">
        <v>1</v>
      </c>
      <c r="HSD14" s="108"/>
      <c r="HSE14" s="108"/>
      <c r="HSF14" s="109"/>
      <c r="HSG14" s="107" t="s">
        <v>1</v>
      </c>
      <c r="HSH14" s="108"/>
      <c r="HSI14" s="108"/>
      <c r="HSJ14" s="109"/>
      <c r="HSK14" s="107" t="s">
        <v>1</v>
      </c>
      <c r="HSL14" s="108"/>
      <c r="HSM14" s="108"/>
      <c r="HSN14" s="109"/>
      <c r="HSO14" s="107" t="s">
        <v>1</v>
      </c>
      <c r="HSP14" s="108"/>
      <c r="HSQ14" s="108"/>
      <c r="HSR14" s="109"/>
      <c r="HSS14" s="107" t="s">
        <v>1</v>
      </c>
      <c r="HST14" s="108"/>
      <c r="HSU14" s="108"/>
      <c r="HSV14" s="109"/>
      <c r="HSW14" s="107" t="s">
        <v>1</v>
      </c>
      <c r="HSX14" s="108"/>
      <c r="HSY14" s="108"/>
      <c r="HSZ14" s="109"/>
      <c r="HTA14" s="107" t="s">
        <v>1</v>
      </c>
      <c r="HTB14" s="108"/>
      <c r="HTC14" s="108"/>
      <c r="HTD14" s="109"/>
      <c r="HTE14" s="107" t="s">
        <v>1</v>
      </c>
      <c r="HTF14" s="108"/>
      <c r="HTG14" s="108"/>
      <c r="HTH14" s="109"/>
      <c r="HTI14" s="107" t="s">
        <v>1</v>
      </c>
      <c r="HTJ14" s="108"/>
      <c r="HTK14" s="108"/>
      <c r="HTL14" s="109"/>
      <c r="HTM14" s="107" t="s">
        <v>1</v>
      </c>
      <c r="HTN14" s="108"/>
      <c r="HTO14" s="108"/>
      <c r="HTP14" s="109"/>
      <c r="HTQ14" s="107" t="s">
        <v>1</v>
      </c>
      <c r="HTR14" s="108"/>
      <c r="HTS14" s="108"/>
      <c r="HTT14" s="109"/>
      <c r="HTU14" s="107" t="s">
        <v>1</v>
      </c>
      <c r="HTV14" s="108"/>
      <c r="HTW14" s="108"/>
      <c r="HTX14" s="109"/>
      <c r="HTY14" s="107" t="s">
        <v>1</v>
      </c>
      <c r="HTZ14" s="108"/>
      <c r="HUA14" s="108"/>
      <c r="HUB14" s="109"/>
      <c r="HUC14" s="107" t="s">
        <v>1</v>
      </c>
      <c r="HUD14" s="108"/>
      <c r="HUE14" s="108"/>
      <c r="HUF14" s="109"/>
      <c r="HUG14" s="107" t="s">
        <v>1</v>
      </c>
      <c r="HUH14" s="108"/>
      <c r="HUI14" s="108"/>
      <c r="HUJ14" s="109"/>
      <c r="HUK14" s="107" t="s">
        <v>1</v>
      </c>
      <c r="HUL14" s="108"/>
      <c r="HUM14" s="108"/>
      <c r="HUN14" s="109"/>
      <c r="HUO14" s="107" t="s">
        <v>1</v>
      </c>
      <c r="HUP14" s="108"/>
      <c r="HUQ14" s="108"/>
      <c r="HUR14" s="109"/>
      <c r="HUS14" s="107" t="s">
        <v>1</v>
      </c>
      <c r="HUT14" s="108"/>
      <c r="HUU14" s="108"/>
      <c r="HUV14" s="109"/>
      <c r="HUW14" s="107" t="s">
        <v>1</v>
      </c>
      <c r="HUX14" s="108"/>
      <c r="HUY14" s="108"/>
      <c r="HUZ14" s="109"/>
      <c r="HVA14" s="107" t="s">
        <v>1</v>
      </c>
      <c r="HVB14" s="108"/>
      <c r="HVC14" s="108"/>
      <c r="HVD14" s="109"/>
      <c r="HVE14" s="107" t="s">
        <v>1</v>
      </c>
      <c r="HVF14" s="108"/>
      <c r="HVG14" s="108"/>
      <c r="HVH14" s="109"/>
      <c r="HVI14" s="107" t="s">
        <v>1</v>
      </c>
      <c r="HVJ14" s="108"/>
      <c r="HVK14" s="108"/>
      <c r="HVL14" s="109"/>
      <c r="HVM14" s="107" t="s">
        <v>1</v>
      </c>
      <c r="HVN14" s="108"/>
      <c r="HVO14" s="108"/>
      <c r="HVP14" s="109"/>
      <c r="HVQ14" s="107" t="s">
        <v>1</v>
      </c>
      <c r="HVR14" s="108"/>
      <c r="HVS14" s="108"/>
      <c r="HVT14" s="109"/>
      <c r="HVU14" s="107" t="s">
        <v>1</v>
      </c>
      <c r="HVV14" s="108"/>
      <c r="HVW14" s="108"/>
      <c r="HVX14" s="109"/>
      <c r="HVY14" s="107" t="s">
        <v>1</v>
      </c>
      <c r="HVZ14" s="108"/>
      <c r="HWA14" s="108"/>
      <c r="HWB14" s="109"/>
      <c r="HWC14" s="107" t="s">
        <v>1</v>
      </c>
      <c r="HWD14" s="108"/>
      <c r="HWE14" s="108"/>
      <c r="HWF14" s="109"/>
      <c r="HWG14" s="107" t="s">
        <v>1</v>
      </c>
      <c r="HWH14" s="108"/>
      <c r="HWI14" s="108"/>
      <c r="HWJ14" s="109"/>
      <c r="HWK14" s="107" t="s">
        <v>1</v>
      </c>
      <c r="HWL14" s="108"/>
      <c r="HWM14" s="108"/>
      <c r="HWN14" s="109"/>
      <c r="HWO14" s="107" t="s">
        <v>1</v>
      </c>
      <c r="HWP14" s="108"/>
      <c r="HWQ14" s="108"/>
      <c r="HWR14" s="109"/>
      <c r="HWS14" s="107" t="s">
        <v>1</v>
      </c>
      <c r="HWT14" s="108"/>
      <c r="HWU14" s="108"/>
      <c r="HWV14" s="109"/>
      <c r="HWW14" s="107" t="s">
        <v>1</v>
      </c>
      <c r="HWX14" s="108"/>
      <c r="HWY14" s="108"/>
      <c r="HWZ14" s="109"/>
      <c r="HXA14" s="107" t="s">
        <v>1</v>
      </c>
      <c r="HXB14" s="108"/>
      <c r="HXC14" s="108"/>
      <c r="HXD14" s="109"/>
      <c r="HXE14" s="107" t="s">
        <v>1</v>
      </c>
      <c r="HXF14" s="108"/>
      <c r="HXG14" s="108"/>
      <c r="HXH14" s="109"/>
      <c r="HXI14" s="107" t="s">
        <v>1</v>
      </c>
      <c r="HXJ14" s="108"/>
      <c r="HXK14" s="108"/>
      <c r="HXL14" s="109"/>
      <c r="HXM14" s="107" t="s">
        <v>1</v>
      </c>
      <c r="HXN14" s="108"/>
      <c r="HXO14" s="108"/>
      <c r="HXP14" s="109"/>
      <c r="HXQ14" s="107" t="s">
        <v>1</v>
      </c>
      <c r="HXR14" s="108"/>
      <c r="HXS14" s="108"/>
      <c r="HXT14" s="109"/>
      <c r="HXU14" s="107" t="s">
        <v>1</v>
      </c>
      <c r="HXV14" s="108"/>
      <c r="HXW14" s="108"/>
      <c r="HXX14" s="109"/>
      <c r="HXY14" s="107" t="s">
        <v>1</v>
      </c>
      <c r="HXZ14" s="108"/>
      <c r="HYA14" s="108"/>
      <c r="HYB14" s="109"/>
      <c r="HYC14" s="107" t="s">
        <v>1</v>
      </c>
      <c r="HYD14" s="108"/>
      <c r="HYE14" s="108"/>
      <c r="HYF14" s="109"/>
      <c r="HYG14" s="107" t="s">
        <v>1</v>
      </c>
      <c r="HYH14" s="108"/>
      <c r="HYI14" s="108"/>
      <c r="HYJ14" s="109"/>
      <c r="HYK14" s="107" t="s">
        <v>1</v>
      </c>
      <c r="HYL14" s="108"/>
      <c r="HYM14" s="108"/>
      <c r="HYN14" s="109"/>
      <c r="HYO14" s="107" t="s">
        <v>1</v>
      </c>
      <c r="HYP14" s="108"/>
      <c r="HYQ14" s="108"/>
      <c r="HYR14" s="109"/>
      <c r="HYS14" s="107" t="s">
        <v>1</v>
      </c>
      <c r="HYT14" s="108"/>
      <c r="HYU14" s="108"/>
      <c r="HYV14" s="109"/>
      <c r="HYW14" s="107" t="s">
        <v>1</v>
      </c>
      <c r="HYX14" s="108"/>
      <c r="HYY14" s="108"/>
      <c r="HYZ14" s="109"/>
      <c r="HZA14" s="107" t="s">
        <v>1</v>
      </c>
      <c r="HZB14" s="108"/>
      <c r="HZC14" s="108"/>
      <c r="HZD14" s="109"/>
      <c r="HZE14" s="107" t="s">
        <v>1</v>
      </c>
      <c r="HZF14" s="108"/>
      <c r="HZG14" s="108"/>
      <c r="HZH14" s="109"/>
      <c r="HZI14" s="107" t="s">
        <v>1</v>
      </c>
      <c r="HZJ14" s="108"/>
      <c r="HZK14" s="108"/>
      <c r="HZL14" s="109"/>
      <c r="HZM14" s="107" t="s">
        <v>1</v>
      </c>
      <c r="HZN14" s="108"/>
      <c r="HZO14" s="108"/>
      <c r="HZP14" s="109"/>
      <c r="HZQ14" s="107" t="s">
        <v>1</v>
      </c>
      <c r="HZR14" s="108"/>
      <c r="HZS14" s="108"/>
      <c r="HZT14" s="109"/>
      <c r="HZU14" s="107" t="s">
        <v>1</v>
      </c>
      <c r="HZV14" s="108"/>
      <c r="HZW14" s="108"/>
      <c r="HZX14" s="109"/>
      <c r="HZY14" s="107" t="s">
        <v>1</v>
      </c>
      <c r="HZZ14" s="108"/>
      <c r="IAA14" s="108"/>
      <c r="IAB14" s="109"/>
      <c r="IAC14" s="107" t="s">
        <v>1</v>
      </c>
      <c r="IAD14" s="108"/>
      <c r="IAE14" s="108"/>
      <c r="IAF14" s="109"/>
      <c r="IAG14" s="107" t="s">
        <v>1</v>
      </c>
      <c r="IAH14" s="108"/>
      <c r="IAI14" s="108"/>
      <c r="IAJ14" s="109"/>
      <c r="IAK14" s="107" t="s">
        <v>1</v>
      </c>
      <c r="IAL14" s="108"/>
      <c r="IAM14" s="108"/>
      <c r="IAN14" s="109"/>
      <c r="IAO14" s="107" t="s">
        <v>1</v>
      </c>
      <c r="IAP14" s="108"/>
      <c r="IAQ14" s="108"/>
      <c r="IAR14" s="109"/>
      <c r="IAS14" s="107" t="s">
        <v>1</v>
      </c>
      <c r="IAT14" s="108"/>
      <c r="IAU14" s="108"/>
      <c r="IAV14" s="109"/>
      <c r="IAW14" s="107" t="s">
        <v>1</v>
      </c>
      <c r="IAX14" s="108"/>
      <c r="IAY14" s="108"/>
      <c r="IAZ14" s="109"/>
      <c r="IBA14" s="107" t="s">
        <v>1</v>
      </c>
      <c r="IBB14" s="108"/>
      <c r="IBC14" s="108"/>
      <c r="IBD14" s="109"/>
      <c r="IBE14" s="107" t="s">
        <v>1</v>
      </c>
      <c r="IBF14" s="108"/>
      <c r="IBG14" s="108"/>
      <c r="IBH14" s="109"/>
      <c r="IBI14" s="107" t="s">
        <v>1</v>
      </c>
      <c r="IBJ14" s="108"/>
      <c r="IBK14" s="108"/>
      <c r="IBL14" s="109"/>
      <c r="IBM14" s="107" t="s">
        <v>1</v>
      </c>
      <c r="IBN14" s="108"/>
      <c r="IBO14" s="108"/>
      <c r="IBP14" s="109"/>
      <c r="IBQ14" s="107" t="s">
        <v>1</v>
      </c>
      <c r="IBR14" s="108"/>
      <c r="IBS14" s="108"/>
      <c r="IBT14" s="109"/>
      <c r="IBU14" s="107" t="s">
        <v>1</v>
      </c>
      <c r="IBV14" s="108"/>
      <c r="IBW14" s="108"/>
      <c r="IBX14" s="109"/>
      <c r="IBY14" s="107" t="s">
        <v>1</v>
      </c>
      <c r="IBZ14" s="108"/>
      <c r="ICA14" s="108"/>
      <c r="ICB14" s="109"/>
      <c r="ICC14" s="107" t="s">
        <v>1</v>
      </c>
      <c r="ICD14" s="108"/>
      <c r="ICE14" s="108"/>
      <c r="ICF14" s="109"/>
      <c r="ICG14" s="107" t="s">
        <v>1</v>
      </c>
      <c r="ICH14" s="108"/>
      <c r="ICI14" s="108"/>
      <c r="ICJ14" s="109"/>
      <c r="ICK14" s="107" t="s">
        <v>1</v>
      </c>
      <c r="ICL14" s="108"/>
      <c r="ICM14" s="108"/>
      <c r="ICN14" s="109"/>
      <c r="ICO14" s="107" t="s">
        <v>1</v>
      </c>
      <c r="ICP14" s="108"/>
      <c r="ICQ14" s="108"/>
      <c r="ICR14" s="109"/>
      <c r="ICS14" s="107" t="s">
        <v>1</v>
      </c>
      <c r="ICT14" s="108"/>
      <c r="ICU14" s="108"/>
      <c r="ICV14" s="109"/>
      <c r="ICW14" s="107" t="s">
        <v>1</v>
      </c>
      <c r="ICX14" s="108"/>
      <c r="ICY14" s="108"/>
      <c r="ICZ14" s="109"/>
      <c r="IDA14" s="107" t="s">
        <v>1</v>
      </c>
      <c r="IDB14" s="108"/>
      <c r="IDC14" s="108"/>
      <c r="IDD14" s="109"/>
      <c r="IDE14" s="107" t="s">
        <v>1</v>
      </c>
      <c r="IDF14" s="108"/>
      <c r="IDG14" s="108"/>
      <c r="IDH14" s="109"/>
      <c r="IDI14" s="107" t="s">
        <v>1</v>
      </c>
      <c r="IDJ14" s="108"/>
      <c r="IDK14" s="108"/>
      <c r="IDL14" s="109"/>
      <c r="IDM14" s="107" t="s">
        <v>1</v>
      </c>
      <c r="IDN14" s="108"/>
      <c r="IDO14" s="108"/>
      <c r="IDP14" s="109"/>
      <c r="IDQ14" s="107" t="s">
        <v>1</v>
      </c>
      <c r="IDR14" s="108"/>
      <c r="IDS14" s="108"/>
      <c r="IDT14" s="109"/>
      <c r="IDU14" s="107" t="s">
        <v>1</v>
      </c>
      <c r="IDV14" s="108"/>
      <c r="IDW14" s="108"/>
      <c r="IDX14" s="109"/>
      <c r="IDY14" s="107" t="s">
        <v>1</v>
      </c>
      <c r="IDZ14" s="108"/>
      <c r="IEA14" s="108"/>
      <c r="IEB14" s="109"/>
      <c r="IEC14" s="107" t="s">
        <v>1</v>
      </c>
      <c r="IED14" s="108"/>
      <c r="IEE14" s="108"/>
      <c r="IEF14" s="109"/>
      <c r="IEG14" s="107" t="s">
        <v>1</v>
      </c>
      <c r="IEH14" s="108"/>
      <c r="IEI14" s="108"/>
      <c r="IEJ14" s="109"/>
      <c r="IEK14" s="107" t="s">
        <v>1</v>
      </c>
      <c r="IEL14" s="108"/>
      <c r="IEM14" s="108"/>
      <c r="IEN14" s="109"/>
      <c r="IEO14" s="107" t="s">
        <v>1</v>
      </c>
      <c r="IEP14" s="108"/>
      <c r="IEQ14" s="108"/>
      <c r="IER14" s="109"/>
      <c r="IES14" s="107" t="s">
        <v>1</v>
      </c>
      <c r="IET14" s="108"/>
      <c r="IEU14" s="108"/>
      <c r="IEV14" s="109"/>
      <c r="IEW14" s="107" t="s">
        <v>1</v>
      </c>
      <c r="IEX14" s="108"/>
      <c r="IEY14" s="108"/>
      <c r="IEZ14" s="109"/>
      <c r="IFA14" s="107" t="s">
        <v>1</v>
      </c>
      <c r="IFB14" s="108"/>
      <c r="IFC14" s="108"/>
      <c r="IFD14" s="109"/>
      <c r="IFE14" s="107" t="s">
        <v>1</v>
      </c>
      <c r="IFF14" s="108"/>
      <c r="IFG14" s="108"/>
      <c r="IFH14" s="109"/>
      <c r="IFI14" s="107" t="s">
        <v>1</v>
      </c>
      <c r="IFJ14" s="108"/>
      <c r="IFK14" s="108"/>
      <c r="IFL14" s="109"/>
      <c r="IFM14" s="107" t="s">
        <v>1</v>
      </c>
      <c r="IFN14" s="108"/>
      <c r="IFO14" s="108"/>
      <c r="IFP14" s="109"/>
      <c r="IFQ14" s="107" t="s">
        <v>1</v>
      </c>
      <c r="IFR14" s="108"/>
      <c r="IFS14" s="108"/>
      <c r="IFT14" s="109"/>
      <c r="IFU14" s="107" t="s">
        <v>1</v>
      </c>
      <c r="IFV14" s="108"/>
      <c r="IFW14" s="108"/>
      <c r="IFX14" s="109"/>
      <c r="IFY14" s="107" t="s">
        <v>1</v>
      </c>
      <c r="IFZ14" s="108"/>
      <c r="IGA14" s="108"/>
      <c r="IGB14" s="109"/>
      <c r="IGC14" s="107" t="s">
        <v>1</v>
      </c>
      <c r="IGD14" s="108"/>
      <c r="IGE14" s="108"/>
      <c r="IGF14" s="109"/>
      <c r="IGG14" s="107" t="s">
        <v>1</v>
      </c>
      <c r="IGH14" s="108"/>
      <c r="IGI14" s="108"/>
      <c r="IGJ14" s="109"/>
      <c r="IGK14" s="107" t="s">
        <v>1</v>
      </c>
      <c r="IGL14" s="108"/>
      <c r="IGM14" s="108"/>
      <c r="IGN14" s="109"/>
      <c r="IGO14" s="107" t="s">
        <v>1</v>
      </c>
      <c r="IGP14" s="108"/>
      <c r="IGQ14" s="108"/>
      <c r="IGR14" s="109"/>
      <c r="IGS14" s="107" t="s">
        <v>1</v>
      </c>
      <c r="IGT14" s="108"/>
      <c r="IGU14" s="108"/>
      <c r="IGV14" s="109"/>
      <c r="IGW14" s="107" t="s">
        <v>1</v>
      </c>
      <c r="IGX14" s="108"/>
      <c r="IGY14" s="108"/>
      <c r="IGZ14" s="109"/>
      <c r="IHA14" s="107" t="s">
        <v>1</v>
      </c>
      <c r="IHB14" s="108"/>
      <c r="IHC14" s="108"/>
      <c r="IHD14" s="109"/>
      <c r="IHE14" s="107" t="s">
        <v>1</v>
      </c>
      <c r="IHF14" s="108"/>
      <c r="IHG14" s="108"/>
      <c r="IHH14" s="109"/>
      <c r="IHI14" s="107" t="s">
        <v>1</v>
      </c>
      <c r="IHJ14" s="108"/>
      <c r="IHK14" s="108"/>
      <c r="IHL14" s="109"/>
      <c r="IHM14" s="107" t="s">
        <v>1</v>
      </c>
      <c r="IHN14" s="108"/>
      <c r="IHO14" s="108"/>
      <c r="IHP14" s="109"/>
      <c r="IHQ14" s="107" t="s">
        <v>1</v>
      </c>
      <c r="IHR14" s="108"/>
      <c r="IHS14" s="108"/>
      <c r="IHT14" s="109"/>
      <c r="IHU14" s="107" t="s">
        <v>1</v>
      </c>
      <c r="IHV14" s="108"/>
      <c r="IHW14" s="108"/>
      <c r="IHX14" s="109"/>
      <c r="IHY14" s="107" t="s">
        <v>1</v>
      </c>
      <c r="IHZ14" s="108"/>
      <c r="IIA14" s="108"/>
      <c r="IIB14" s="109"/>
      <c r="IIC14" s="107" t="s">
        <v>1</v>
      </c>
      <c r="IID14" s="108"/>
      <c r="IIE14" s="108"/>
      <c r="IIF14" s="109"/>
      <c r="IIG14" s="107" t="s">
        <v>1</v>
      </c>
      <c r="IIH14" s="108"/>
      <c r="III14" s="108"/>
      <c r="IIJ14" s="109"/>
      <c r="IIK14" s="107" t="s">
        <v>1</v>
      </c>
      <c r="IIL14" s="108"/>
      <c r="IIM14" s="108"/>
      <c r="IIN14" s="109"/>
      <c r="IIO14" s="107" t="s">
        <v>1</v>
      </c>
      <c r="IIP14" s="108"/>
      <c r="IIQ14" s="108"/>
      <c r="IIR14" s="109"/>
      <c r="IIS14" s="107" t="s">
        <v>1</v>
      </c>
      <c r="IIT14" s="108"/>
      <c r="IIU14" s="108"/>
      <c r="IIV14" s="109"/>
      <c r="IIW14" s="107" t="s">
        <v>1</v>
      </c>
      <c r="IIX14" s="108"/>
      <c r="IIY14" s="108"/>
      <c r="IIZ14" s="109"/>
      <c r="IJA14" s="107" t="s">
        <v>1</v>
      </c>
      <c r="IJB14" s="108"/>
      <c r="IJC14" s="108"/>
      <c r="IJD14" s="109"/>
      <c r="IJE14" s="107" t="s">
        <v>1</v>
      </c>
      <c r="IJF14" s="108"/>
      <c r="IJG14" s="108"/>
      <c r="IJH14" s="109"/>
      <c r="IJI14" s="107" t="s">
        <v>1</v>
      </c>
      <c r="IJJ14" s="108"/>
      <c r="IJK14" s="108"/>
      <c r="IJL14" s="109"/>
      <c r="IJM14" s="107" t="s">
        <v>1</v>
      </c>
      <c r="IJN14" s="108"/>
      <c r="IJO14" s="108"/>
      <c r="IJP14" s="109"/>
      <c r="IJQ14" s="107" t="s">
        <v>1</v>
      </c>
      <c r="IJR14" s="108"/>
      <c r="IJS14" s="108"/>
      <c r="IJT14" s="109"/>
      <c r="IJU14" s="107" t="s">
        <v>1</v>
      </c>
      <c r="IJV14" s="108"/>
      <c r="IJW14" s="108"/>
      <c r="IJX14" s="109"/>
      <c r="IJY14" s="107" t="s">
        <v>1</v>
      </c>
      <c r="IJZ14" s="108"/>
      <c r="IKA14" s="108"/>
      <c r="IKB14" s="109"/>
      <c r="IKC14" s="107" t="s">
        <v>1</v>
      </c>
      <c r="IKD14" s="108"/>
      <c r="IKE14" s="108"/>
      <c r="IKF14" s="109"/>
      <c r="IKG14" s="107" t="s">
        <v>1</v>
      </c>
      <c r="IKH14" s="108"/>
      <c r="IKI14" s="108"/>
      <c r="IKJ14" s="109"/>
      <c r="IKK14" s="107" t="s">
        <v>1</v>
      </c>
      <c r="IKL14" s="108"/>
      <c r="IKM14" s="108"/>
      <c r="IKN14" s="109"/>
      <c r="IKO14" s="107" t="s">
        <v>1</v>
      </c>
      <c r="IKP14" s="108"/>
      <c r="IKQ14" s="108"/>
      <c r="IKR14" s="109"/>
      <c r="IKS14" s="107" t="s">
        <v>1</v>
      </c>
      <c r="IKT14" s="108"/>
      <c r="IKU14" s="108"/>
      <c r="IKV14" s="109"/>
      <c r="IKW14" s="107" t="s">
        <v>1</v>
      </c>
      <c r="IKX14" s="108"/>
      <c r="IKY14" s="108"/>
      <c r="IKZ14" s="109"/>
      <c r="ILA14" s="107" t="s">
        <v>1</v>
      </c>
      <c r="ILB14" s="108"/>
      <c r="ILC14" s="108"/>
      <c r="ILD14" s="109"/>
      <c r="ILE14" s="107" t="s">
        <v>1</v>
      </c>
      <c r="ILF14" s="108"/>
      <c r="ILG14" s="108"/>
      <c r="ILH14" s="109"/>
      <c r="ILI14" s="107" t="s">
        <v>1</v>
      </c>
      <c r="ILJ14" s="108"/>
      <c r="ILK14" s="108"/>
      <c r="ILL14" s="109"/>
      <c r="ILM14" s="107" t="s">
        <v>1</v>
      </c>
      <c r="ILN14" s="108"/>
      <c r="ILO14" s="108"/>
      <c r="ILP14" s="109"/>
      <c r="ILQ14" s="107" t="s">
        <v>1</v>
      </c>
      <c r="ILR14" s="108"/>
      <c r="ILS14" s="108"/>
      <c r="ILT14" s="109"/>
      <c r="ILU14" s="107" t="s">
        <v>1</v>
      </c>
      <c r="ILV14" s="108"/>
      <c r="ILW14" s="108"/>
      <c r="ILX14" s="109"/>
      <c r="ILY14" s="107" t="s">
        <v>1</v>
      </c>
      <c r="ILZ14" s="108"/>
      <c r="IMA14" s="108"/>
      <c r="IMB14" s="109"/>
      <c r="IMC14" s="107" t="s">
        <v>1</v>
      </c>
      <c r="IMD14" s="108"/>
      <c r="IME14" s="108"/>
      <c r="IMF14" s="109"/>
      <c r="IMG14" s="107" t="s">
        <v>1</v>
      </c>
      <c r="IMH14" s="108"/>
      <c r="IMI14" s="108"/>
      <c r="IMJ14" s="109"/>
      <c r="IMK14" s="107" t="s">
        <v>1</v>
      </c>
      <c r="IML14" s="108"/>
      <c r="IMM14" s="108"/>
      <c r="IMN14" s="109"/>
      <c r="IMO14" s="107" t="s">
        <v>1</v>
      </c>
      <c r="IMP14" s="108"/>
      <c r="IMQ14" s="108"/>
      <c r="IMR14" s="109"/>
      <c r="IMS14" s="107" t="s">
        <v>1</v>
      </c>
      <c r="IMT14" s="108"/>
      <c r="IMU14" s="108"/>
      <c r="IMV14" s="109"/>
      <c r="IMW14" s="107" t="s">
        <v>1</v>
      </c>
      <c r="IMX14" s="108"/>
      <c r="IMY14" s="108"/>
      <c r="IMZ14" s="109"/>
      <c r="INA14" s="107" t="s">
        <v>1</v>
      </c>
      <c r="INB14" s="108"/>
      <c r="INC14" s="108"/>
      <c r="IND14" s="109"/>
      <c r="INE14" s="107" t="s">
        <v>1</v>
      </c>
      <c r="INF14" s="108"/>
      <c r="ING14" s="108"/>
      <c r="INH14" s="109"/>
      <c r="INI14" s="107" t="s">
        <v>1</v>
      </c>
      <c r="INJ14" s="108"/>
      <c r="INK14" s="108"/>
      <c r="INL14" s="109"/>
      <c r="INM14" s="107" t="s">
        <v>1</v>
      </c>
      <c r="INN14" s="108"/>
      <c r="INO14" s="108"/>
      <c r="INP14" s="109"/>
      <c r="INQ14" s="107" t="s">
        <v>1</v>
      </c>
      <c r="INR14" s="108"/>
      <c r="INS14" s="108"/>
      <c r="INT14" s="109"/>
      <c r="INU14" s="107" t="s">
        <v>1</v>
      </c>
      <c r="INV14" s="108"/>
      <c r="INW14" s="108"/>
      <c r="INX14" s="109"/>
      <c r="INY14" s="107" t="s">
        <v>1</v>
      </c>
      <c r="INZ14" s="108"/>
      <c r="IOA14" s="108"/>
      <c r="IOB14" s="109"/>
      <c r="IOC14" s="107" t="s">
        <v>1</v>
      </c>
      <c r="IOD14" s="108"/>
      <c r="IOE14" s="108"/>
      <c r="IOF14" s="109"/>
      <c r="IOG14" s="107" t="s">
        <v>1</v>
      </c>
      <c r="IOH14" s="108"/>
      <c r="IOI14" s="108"/>
      <c r="IOJ14" s="109"/>
      <c r="IOK14" s="107" t="s">
        <v>1</v>
      </c>
      <c r="IOL14" s="108"/>
      <c r="IOM14" s="108"/>
      <c r="ION14" s="109"/>
      <c r="IOO14" s="107" t="s">
        <v>1</v>
      </c>
      <c r="IOP14" s="108"/>
      <c r="IOQ14" s="108"/>
      <c r="IOR14" s="109"/>
      <c r="IOS14" s="107" t="s">
        <v>1</v>
      </c>
      <c r="IOT14" s="108"/>
      <c r="IOU14" s="108"/>
      <c r="IOV14" s="109"/>
      <c r="IOW14" s="107" t="s">
        <v>1</v>
      </c>
      <c r="IOX14" s="108"/>
      <c r="IOY14" s="108"/>
      <c r="IOZ14" s="109"/>
      <c r="IPA14" s="107" t="s">
        <v>1</v>
      </c>
      <c r="IPB14" s="108"/>
      <c r="IPC14" s="108"/>
      <c r="IPD14" s="109"/>
      <c r="IPE14" s="107" t="s">
        <v>1</v>
      </c>
      <c r="IPF14" s="108"/>
      <c r="IPG14" s="108"/>
      <c r="IPH14" s="109"/>
      <c r="IPI14" s="107" t="s">
        <v>1</v>
      </c>
      <c r="IPJ14" s="108"/>
      <c r="IPK14" s="108"/>
      <c r="IPL14" s="109"/>
      <c r="IPM14" s="107" t="s">
        <v>1</v>
      </c>
      <c r="IPN14" s="108"/>
      <c r="IPO14" s="108"/>
      <c r="IPP14" s="109"/>
      <c r="IPQ14" s="107" t="s">
        <v>1</v>
      </c>
      <c r="IPR14" s="108"/>
      <c r="IPS14" s="108"/>
      <c r="IPT14" s="109"/>
      <c r="IPU14" s="107" t="s">
        <v>1</v>
      </c>
      <c r="IPV14" s="108"/>
      <c r="IPW14" s="108"/>
      <c r="IPX14" s="109"/>
      <c r="IPY14" s="107" t="s">
        <v>1</v>
      </c>
      <c r="IPZ14" s="108"/>
      <c r="IQA14" s="108"/>
      <c r="IQB14" s="109"/>
      <c r="IQC14" s="107" t="s">
        <v>1</v>
      </c>
      <c r="IQD14" s="108"/>
      <c r="IQE14" s="108"/>
      <c r="IQF14" s="109"/>
      <c r="IQG14" s="107" t="s">
        <v>1</v>
      </c>
      <c r="IQH14" s="108"/>
      <c r="IQI14" s="108"/>
      <c r="IQJ14" s="109"/>
      <c r="IQK14" s="107" t="s">
        <v>1</v>
      </c>
      <c r="IQL14" s="108"/>
      <c r="IQM14" s="108"/>
      <c r="IQN14" s="109"/>
      <c r="IQO14" s="107" t="s">
        <v>1</v>
      </c>
      <c r="IQP14" s="108"/>
      <c r="IQQ14" s="108"/>
      <c r="IQR14" s="109"/>
      <c r="IQS14" s="107" t="s">
        <v>1</v>
      </c>
      <c r="IQT14" s="108"/>
      <c r="IQU14" s="108"/>
      <c r="IQV14" s="109"/>
      <c r="IQW14" s="107" t="s">
        <v>1</v>
      </c>
      <c r="IQX14" s="108"/>
      <c r="IQY14" s="108"/>
      <c r="IQZ14" s="109"/>
      <c r="IRA14" s="107" t="s">
        <v>1</v>
      </c>
      <c r="IRB14" s="108"/>
      <c r="IRC14" s="108"/>
      <c r="IRD14" s="109"/>
      <c r="IRE14" s="107" t="s">
        <v>1</v>
      </c>
      <c r="IRF14" s="108"/>
      <c r="IRG14" s="108"/>
      <c r="IRH14" s="109"/>
      <c r="IRI14" s="107" t="s">
        <v>1</v>
      </c>
      <c r="IRJ14" s="108"/>
      <c r="IRK14" s="108"/>
      <c r="IRL14" s="109"/>
      <c r="IRM14" s="107" t="s">
        <v>1</v>
      </c>
      <c r="IRN14" s="108"/>
      <c r="IRO14" s="108"/>
      <c r="IRP14" s="109"/>
      <c r="IRQ14" s="107" t="s">
        <v>1</v>
      </c>
      <c r="IRR14" s="108"/>
      <c r="IRS14" s="108"/>
      <c r="IRT14" s="109"/>
      <c r="IRU14" s="107" t="s">
        <v>1</v>
      </c>
      <c r="IRV14" s="108"/>
      <c r="IRW14" s="108"/>
      <c r="IRX14" s="109"/>
      <c r="IRY14" s="107" t="s">
        <v>1</v>
      </c>
      <c r="IRZ14" s="108"/>
      <c r="ISA14" s="108"/>
      <c r="ISB14" s="109"/>
      <c r="ISC14" s="107" t="s">
        <v>1</v>
      </c>
      <c r="ISD14" s="108"/>
      <c r="ISE14" s="108"/>
      <c r="ISF14" s="109"/>
      <c r="ISG14" s="107" t="s">
        <v>1</v>
      </c>
      <c r="ISH14" s="108"/>
      <c r="ISI14" s="108"/>
      <c r="ISJ14" s="109"/>
      <c r="ISK14" s="107" t="s">
        <v>1</v>
      </c>
      <c r="ISL14" s="108"/>
      <c r="ISM14" s="108"/>
      <c r="ISN14" s="109"/>
      <c r="ISO14" s="107" t="s">
        <v>1</v>
      </c>
      <c r="ISP14" s="108"/>
      <c r="ISQ14" s="108"/>
      <c r="ISR14" s="109"/>
      <c r="ISS14" s="107" t="s">
        <v>1</v>
      </c>
      <c r="IST14" s="108"/>
      <c r="ISU14" s="108"/>
      <c r="ISV14" s="109"/>
      <c r="ISW14" s="107" t="s">
        <v>1</v>
      </c>
      <c r="ISX14" s="108"/>
      <c r="ISY14" s="108"/>
      <c r="ISZ14" s="109"/>
      <c r="ITA14" s="107" t="s">
        <v>1</v>
      </c>
      <c r="ITB14" s="108"/>
      <c r="ITC14" s="108"/>
      <c r="ITD14" s="109"/>
      <c r="ITE14" s="107" t="s">
        <v>1</v>
      </c>
      <c r="ITF14" s="108"/>
      <c r="ITG14" s="108"/>
      <c r="ITH14" s="109"/>
      <c r="ITI14" s="107" t="s">
        <v>1</v>
      </c>
      <c r="ITJ14" s="108"/>
      <c r="ITK14" s="108"/>
      <c r="ITL14" s="109"/>
      <c r="ITM14" s="107" t="s">
        <v>1</v>
      </c>
      <c r="ITN14" s="108"/>
      <c r="ITO14" s="108"/>
      <c r="ITP14" s="109"/>
      <c r="ITQ14" s="107" t="s">
        <v>1</v>
      </c>
      <c r="ITR14" s="108"/>
      <c r="ITS14" s="108"/>
      <c r="ITT14" s="109"/>
      <c r="ITU14" s="107" t="s">
        <v>1</v>
      </c>
      <c r="ITV14" s="108"/>
      <c r="ITW14" s="108"/>
      <c r="ITX14" s="109"/>
      <c r="ITY14" s="107" t="s">
        <v>1</v>
      </c>
      <c r="ITZ14" s="108"/>
      <c r="IUA14" s="108"/>
      <c r="IUB14" s="109"/>
      <c r="IUC14" s="107" t="s">
        <v>1</v>
      </c>
      <c r="IUD14" s="108"/>
      <c r="IUE14" s="108"/>
      <c r="IUF14" s="109"/>
      <c r="IUG14" s="107" t="s">
        <v>1</v>
      </c>
      <c r="IUH14" s="108"/>
      <c r="IUI14" s="108"/>
      <c r="IUJ14" s="109"/>
      <c r="IUK14" s="107" t="s">
        <v>1</v>
      </c>
      <c r="IUL14" s="108"/>
      <c r="IUM14" s="108"/>
      <c r="IUN14" s="109"/>
      <c r="IUO14" s="107" t="s">
        <v>1</v>
      </c>
      <c r="IUP14" s="108"/>
      <c r="IUQ14" s="108"/>
      <c r="IUR14" s="109"/>
      <c r="IUS14" s="107" t="s">
        <v>1</v>
      </c>
      <c r="IUT14" s="108"/>
      <c r="IUU14" s="108"/>
      <c r="IUV14" s="109"/>
      <c r="IUW14" s="107" t="s">
        <v>1</v>
      </c>
      <c r="IUX14" s="108"/>
      <c r="IUY14" s="108"/>
      <c r="IUZ14" s="109"/>
      <c r="IVA14" s="107" t="s">
        <v>1</v>
      </c>
      <c r="IVB14" s="108"/>
      <c r="IVC14" s="108"/>
      <c r="IVD14" s="109"/>
      <c r="IVE14" s="107" t="s">
        <v>1</v>
      </c>
      <c r="IVF14" s="108"/>
      <c r="IVG14" s="108"/>
      <c r="IVH14" s="109"/>
      <c r="IVI14" s="107" t="s">
        <v>1</v>
      </c>
      <c r="IVJ14" s="108"/>
      <c r="IVK14" s="108"/>
      <c r="IVL14" s="109"/>
      <c r="IVM14" s="107" t="s">
        <v>1</v>
      </c>
      <c r="IVN14" s="108"/>
      <c r="IVO14" s="108"/>
      <c r="IVP14" s="109"/>
      <c r="IVQ14" s="107" t="s">
        <v>1</v>
      </c>
      <c r="IVR14" s="108"/>
      <c r="IVS14" s="108"/>
      <c r="IVT14" s="109"/>
      <c r="IVU14" s="107" t="s">
        <v>1</v>
      </c>
      <c r="IVV14" s="108"/>
      <c r="IVW14" s="108"/>
      <c r="IVX14" s="109"/>
      <c r="IVY14" s="107" t="s">
        <v>1</v>
      </c>
      <c r="IVZ14" s="108"/>
      <c r="IWA14" s="108"/>
      <c r="IWB14" s="109"/>
      <c r="IWC14" s="107" t="s">
        <v>1</v>
      </c>
      <c r="IWD14" s="108"/>
      <c r="IWE14" s="108"/>
      <c r="IWF14" s="109"/>
      <c r="IWG14" s="107" t="s">
        <v>1</v>
      </c>
      <c r="IWH14" s="108"/>
      <c r="IWI14" s="108"/>
      <c r="IWJ14" s="109"/>
      <c r="IWK14" s="107" t="s">
        <v>1</v>
      </c>
      <c r="IWL14" s="108"/>
      <c r="IWM14" s="108"/>
      <c r="IWN14" s="109"/>
      <c r="IWO14" s="107" t="s">
        <v>1</v>
      </c>
      <c r="IWP14" s="108"/>
      <c r="IWQ14" s="108"/>
      <c r="IWR14" s="109"/>
      <c r="IWS14" s="107" t="s">
        <v>1</v>
      </c>
      <c r="IWT14" s="108"/>
      <c r="IWU14" s="108"/>
      <c r="IWV14" s="109"/>
      <c r="IWW14" s="107" t="s">
        <v>1</v>
      </c>
      <c r="IWX14" s="108"/>
      <c r="IWY14" s="108"/>
      <c r="IWZ14" s="109"/>
      <c r="IXA14" s="107" t="s">
        <v>1</v>
      </c>
      <c r="IXB14" s="108"/>
      <c r="IXC14" s="108"/>
      <c r="IXD14" s="109"/>
      <c r="IXE14" s="107" t="s">
        <v>1</v>
      </c>
      <c r="IXF14" s="108"/>
      <c r="IXG14" s="108"/>
      <c r="IXH14" s="109"/>
      <c r="IXI14" s="107" t="s">
        <v>1</v>
      </c>
      <c r="IXJ14" s="108"/>
      <c r="IXK14" s="108"/>
      <c r="IXL14" s="109"/>
      <c r="IXM14" s="107" t="s">
        <v>1</v>
      </c>
      <c r="IXN14" s="108"/>
      <c r="IXO14" s="108"/>
      <c r="IXP14" s="109"/>
      <c r="IXQ14" s="107" t="s">
        <v>1</v>
      </c>
      <c r="IXR14" s="108"/>
      <c r="IXS14" s="108"/>
      <c r="IXT14" s="109"/>
      <c r="IXU14" s="107" t="s">
        <v>1</v>
      </c>
      <c r="IXV14" s="108"/>
      <c r="IXW14" s="108"/>
      <c r="IXX14" s="109"/>
      <c r="IXY14" s="107" t="s">
        <v>1</v>
      </c>
      <c r="IXZ14" s="108"/>
      <c r="IYA14" s="108"/>
      <c r="IYB14" s="109"/>
      <c r="IYC14" s="107" t="s">
        <v>1</v>
      </c>
      <c r="IYD14" s="108"/>
      <c r="IYE14" s="108"/>
      <c r="IYF14" s="109"/>
      <c r="IYG14" s="107" t="s">
        <v>1</v>
      </c>
      <c r="IYH14" s="108"/>
      <c r="IYI14" s="108"/>
      <c r="IYJ14" s="109"/>
      <c r="IYK14" s="107" t="s">
        <v>1</v>
      </c>
      <c r="IYL14" s="108"/>
      <c r="IYM14" s="108"/>
      <c r="IYN14" s="109"/>
      <c r="IYO14" s="107" t="s">
        <v>1</v>
      </c>
      <c r="IYP14" s="108"/>
      <c r="IYQ14" s="108"/>
      <c r="IYR14" s="109"/>
      <c r="IYS14" s="107" t="s">
        <v>1</v>
      </c>
      <c r="IYT14" s="108"/>
      <c r="IYU14" s="108"/>
      <c r="IYV14" s="109"/>
      <c r="IYW14" s="107" t="s">
        <v>1</v>
      </c>
      <c r="IYX14" s="108"/>
      <c r="IYY14" s="108"/>
      <c r="IYZ14" s="109"/>
      <c r="IZA14" s="107" t="s">
        <v>1</v>
      </c>
      <c r="IZB14" s="108"/>
      <c r="IZC14" s="108"/>
      <c r="IZD14" s="109"/>
      <c r="IZE14" s="107" t="s">
        <v>1</v>
      </c>
      <c r="IZF14" s="108"/>
      <c r="IZG14" s="108"/>
      <c r="IZH14" s="109"/>
      <c r="IZI14" s="107" t="s">
        <v>1</v>
      </c>
      <c r="IZJ14" s="108"/>
      <c r="IZK14" s="108"/>
      <c r="IZL14" s="109"/>
      <c r="IZM14" s="107" t="s">
        <v>1</v>
      </c>
      <c r="IZN14" s="108"/>
      <c r="IZO14" s="108"/>
      <c r="IZP14" s="109"/>
      <c r="IZQ14" s="107" t="s">
        <v>1</v>
      </c>
      <c r="IZR14" s="108"/>
      <c r="IZS14" s="108"/>
      <c r="IZT14" s="109"/>
      <c r="IZU14" s="107" t="s">
        <v>1</v>
      </c>
      <c r="IZV14" s="108"/>
      <c r="IZW14" s="108"/>
      <c r="IZX14" s="109"/>
      <c r="IZY14" s="107" t="s">
        <v>1</v>
      </c>
      <c r="IZZ14" s="108"/>
      <c r="JAA14" s="108"/>
      <c r="JAB14" s="109"/>
      <c r="JAC14" s="107" t="s">
        <v>1</v>
      </c>
      <c r="JAD14" s="108"/>
      <c r="JAE14" s="108"/>
      <c r="JAF14" s="109"/>
      <c r="JAG14" s="107" t="s">
        <v>1</v>
      </c>
      <c r="JAH14" s="108"/>
      <c r="JAI14" s="108"/>
      <c r="JAJ14" s="109"/>
      <c r="JAK14" s="107" t="s">
        <v>1</v>
      </c>
      <c r="JAL14" s="108"/>
      <c r="JAM14" s="108"/>
      <c r="JAN14" s="109"/>
      <c r="JAO14" s="107" t="s">
        <v>1</v>
      </c>
      <c r="JAP14" s="108"/>
      <c r="JAQ14" s="108"/>
      <c r="JAR14" s="109"/>
      <c r="JAS14" s="107" t="s">
        <v>1</v>
      </c>
      <c r="JAT14" s="108"/>
      <c r="JAU14" s="108"/>
      <c r="JAV14" s="109"/>
      <c r="JAW14" s="107" t="s">
        <v>1</v>
      </c>
      <c r="JAX14" s="108"/>
      <c r="JAY14" s="108"/>
      <c r="JAZ14" s="109"/>
      <c r="JBA14" s="107" t="s">
        <v>1</v>
      </c>
      <c r="JBB14" s="108"/>
      <c r="JBC14" s="108"/>
      <c r="JBD14" s="109"/>
      <c r="JBE14" s="107" t="s">
        <v>1</v>
      </c>
      <c r="JBF14" s="108"/>
      <c r="JBG14" s="108"/>
      <c r="JBH14" s="109"/>
      <c r="JBI14" s="107" t="s">
        <v>1</v>
      </c>
      <c r="JBJ14" s="108"/>
      <c r="JBK14" s="108"/>
      <c r="JBL14" s="109"/>
      <c r="JBM14" s="107" t="s">
        <v>1</v>
      </c>
      <c r="JBN14" s="108"/>
      <c r="JBO14" s="108"/>
      <c r="JBP14" s="109"/>
      <c r="JBQ14" s="107" t="s">
        <v>1</v>
      </c>
      <c r="JBR14" s="108"/>
      <c r="JBS14" s="108"/>
      <c r="JBT14" s="109"/>
      <c r="JBU14" s="107" t="s">
        <v>1</v>
      </c>
      <c r="JBV14" s="108"/>
      <c r="JBW14" s="108"/>
      <c r="JBX14" s="109"/>
      <c r="JBY14" s="107" t="s">
        <v>1</v>
      </c>
      <c r="JBZ14" s="108"/>
      <c r="JCA14" s="108"/>
      <c r="JCB14" s="109"/>
      <c r="JCC14" s="107" t="s">
        <v>1</v>
      </c>
      <c r="JCD14" s="108"/>
      <c r="JCE14" s="108"/>
      <c r="JCF14" s="109"/>
      <c r="JCG14" s="107" t="s">
        <v>1</v>
      </c>
      <c r="JCH14" s="108"/>
      <c r="JCI14" s="108"/>
      <c r="JCJ14" s="109"/>
      <c r="JCK14" s="107" t="s">
        <v>1</v>
      </c>
      <c r="JCL14" s="108"/>
      <c r="JCM14" s="108"/>
      <c r="JCN14" s="109"/>
      <c r="JCO14" s="107" t="s">
        <v>1</v>
      </c>
      <c r="JCP14" s="108"/>
      <c r="JCQ14" s="108"/>
      <c r="JCR14" s="109"/>
      <c r="JCS14" s="107" t="s">
        <v>1</v>
      </c>
      <c r="JCT14" s="108"/>
      <c r="JCU14" s="108"/>
      <c r="JCV14" s="109"/>
      <c r="JCW14" s="107" t="s">
        <v>1</v>
      </c>
      <c r="JCX14" s="108"/>
      <c r="JCY14" s="108"/>
      <c r="JCZ14" s="109"/>
      <c r="JDA14" s="107" t="s">
        <v>1</v>
      </c>
      <c r="JDB14" s="108"/>
      <c r="JDC14" s="108"/>
      <c r="JDD14" s="109"/>
      <c r="JDE14" s="107" t="s">
        <v>1</v>
      </c>
      <c r="JDF14" s="108"/>
      <c r="JDG14" s="108"/>
      <c r="JDH14" s="109"/>
      <c r="JDI14" s="107" t="s">
        <v>1</v>
      </c>
      <c r="JDJ14" s="108"/>
      <c r="JDK14" s="108"/>
      <c r="JDL14" s="109"/>
      <c r="JDM14" s="107" t="s">
        <v>1</v>
      </c>
      <c r="JDN14" s="108"/>
      <c r="JDO14" s="108"/>
      <c r="JDP14" s="109"/>
      <c r="JDQ14" s="107" t="s">
        <v>1</v>
      </c>
      <c r="JDR14" s="108"/>
      <c r="JDS14" s="108"/>
      <c r="JDT14" s="109"/>
      <c r="JDU14" s="107" t="s">
        <v>1</v>
      </c>
      <c r="JDV14" s="108"/>
      <c r="JDW14" s="108"/>
      <c r="JDX14" s="109"/>
      <c r="JDY14" s="107" t="s">
        <v>1</v>
      </c>
      <c r="JDZ14" s="108"/>
      <c r="JEA14" s="108"/>
      <c r="JEB14" s="109"/>
      <c r="JEC14" s="107" t="s">
        <v>1</v>
      </c>
      <c r="JED14" s="108"/>
      <c r="JEE14" s="108"/>
      <c r="JEF14" s="109"/>
      <c r="JEG14" s="107" t="s">
        <v>1</v>
      </c>
      <c r="JEH14" s="108"/>
      <c r="JEI14" s="108"/>
      <c r="JEJ14" s="109"/>
      <c r="JEK14" s="107" t="s">
        <v>1</v>
      </c>
      <c r="JEL14" s="108"/>
      <c r="JEM14" s="108"/>
      <c r="JEN14" s="109"/>
      <c r="JEO14" s="107" t="s">
        <v>1</v>
      </c>
      <c r="JEP14" s="108"/>
      <c r="JEQ14" s="108"/>
      <c r="JER14" s="109"/>
      <c r="JES14" s="107" t="s">
        <v>1</v>
      </c>
      <c r="JET14" s="108"/>
      <c r="JEU14" s="108"/>
      <c r="JEV14" s="109"/>
      <c r="JEW14" s="107" t="s">
        <v>1</v>
      </c>
      <c r="JEX14" s="108"/>
      <c r="JEY14" s="108"/>
      <c r="JEZ14" s="109"/>
      <c r="JFA14" s="107" t="s">
        <v>1</v>
      </c>
      <c r="JFB14" s="108"/>
      <c r="JFC14" s="108"/>
      <c r="JFD14" s="109"/>
      <c r="JFE14" s="107" t="s">
        <v>1</v>
      </c>
      <c r="JFF14" s="108"/>
      <c r="JFG14" s="108"/>
      <c r="JFH14" s="109"/>
      <c r="JFI14" s="107" t="s">
        <v>1</v>
      </c>
      <c r="JFJ14" s="108"/>
      <c r="JFK14" s="108"/>
      <c r="JFL14" s="109"/>
      <c r="JFM14" s="107" t="s">
        <v>1</v>
      </c>
      <c r="JFN14" s="108"/>
      <c r="JFO14" s="108"/>
      <c r="JFP14" s="109"/>
      <c r="JFQ14" s="107" t="s">
        <v>1</v>
      </c>
      <c r="JFR14" s="108"/>
      <c r="JFS14" s="108"/>
      <c r="JFT14" s="109"/>
      <c r="JFU14" s="107" t="s">
        <v>1</v>
      </c>
      <c r="JFV14" s="108"/>
      <c r="JFW14" s="108"/>
      <c r="JFX14" s="109"/>
      <c r="JFY14" s="107" t="s">
        <v>1</v>
      </c>
      <c r="JFZ14" s="108"/>
      <c r="JGA14" s="108"/>
      <c r="JGB14" s="109"/>
      <c r="JGC14" s="107" t="s">
        <v>1</v>
      </c>
      <c r="JGD14" s="108"/>
      <c r="JGE14" s="108"/>
      <c r="JGF14" s="109"/>
      <c r="JGG14" s="107" t="s">
        <v>1</v>
      </c>
      <c r="JGH14" s="108"/>
      <c r="JGI14" s="108"/>
      <c r="JGJ14" s="109"/>
      <c r="JGK14" s="107" t="s">
        <v>1</v>
      </c>
      <c r="JGL14" s="108"/>
      <c r="JGM14" s="108"/>
      <c r="JGN14" s="109"/>
      <c r="JGO14" s="107" t="s">
        <v>1</v>
      </c>
      <c r="JGP14" s="108"/>
      <c r="JGQ14" s="108"/>
      <c r="JGR14" s="109"/>
      <c r="JGS14" s="107" t="s">
        <v>1</v>
      </c>
      <c r="JGT14" s="108"/>
      <c r="JGU14" s="108"/>
      <c r="JGV14" s="109"/>
      <c r="JGW14" s="107" t="s">
        <v>1</v>
      </c>
      <c r="JGX14" s="108"/>
      <c r="JGY14" s="108"/>
      <c r="JGZ14" s="109"/>
      <c r="JHA14" s="107" t="s">
        <v>1</v>
      </c>
      <c r="JHB14" s="108"/>
      <c r="JHC14" s="108"/>
      <c r="JHD14" s="109"/>
      <c r="JHE14" s="107" t="s">
        <v>1</v>
      </c>
      <c r="JHF14" s="108"/>
      <c r="JHG14" s="108"/>
      <c r="JHH14" s="109"/>
      <c r="JHI14" s="107" t="s">
        <v>1</v>
      </c>
      <c r="JHJ14" s="108"/>
      <c r="JHK14" s="108"/>
      <c r="JHL14" s="109"/>
      <c r="JHM14" s="107" t="s">
        <v>1</v>
      </c>
      <c r="JHN14" s="108"/>
      <c r="JHO14" s="108"/>
      <c r="JHP14" s="109"/>
      <c r="JHQ14" s="107" t="s">
        <v>1</v>
      </c>
      <c r="JHR14" s="108"/>
      <c r="JHS14" s="108"/>
      <c r="JHT14" s="109"/>
      <c r="JHU14" s="107" t="s">
        <v>1</v>
      </c>
      <c r="JHV14" s="108"/>
      <c r="JHW14" s="108"/>
      <c r="JHX14" s="109"/>
      <c r="JHY14" s="107" t="s">
        <v>1</v>
      </c>
      <c r="JHZ14" s="108"/>
      <c r="JIA14" s="108"/>
      <c r="JIB14" s="109"/>
      <c r="JIC14" s="107" t="s">
        <v>1</v>
      </c>
      <c r="JID14" s="108"/>
      <c r="JIE14" s="108"/>
      <c r="JIF14" s="109"/>
      <c r="JIG14" s="107" t="s">
        <v>1</v>
      </c>
      <c r="JIH14" s="108"/>
      <c r="JII14" s="108"/>
      <c r="JIJ14" s="109"/>
      <c r="JIK14" s="107" t="s">
        <v>1</v>
      </c>
      <c r="JIL14" s="108"/>
      <c r="JIM14" s="108"/>
      <c r="JIN14" s="109"/>
      <c r="JIO14" s="107" t="s">
        <v>1</v>
      </c>
      <c r="JIP14" s="108"/>
      <c r="JIQ14" s="108"/>
      <c r="JIR14" s="109"/>
      <c r="JIS14" s="107" t="s">
        <v>1</v>
      </c>
      <c r="JIT14" s="108"/>
      <c r="JIU14" s="108"/>
      <c r="JIV14" s="109"/>
      <c r="JIW14" s="107" t="s">
        <v>1</v>
      </c>
      <c r="JIX14" s="108"/>
      <c r="JIY14" s="108"/>
      <c r="JIZ14" s="109"/>
      <c r="JJA14" s="107" t="s">
        <v>1</v>
      </c>
      <c r="JJB14" s="108"/>
      <c r="JJC14" s="108"/>
      <c r="JJD14" s="109"/>
      <c r="JJE14" s="107" t="s">
        <v>1</v>
      </c>
      <c r="JJF14" s="108"/>
      <c r="JJG14" s="108"/>
      <c r="JJH14" s="109"/>
      <c r="JJI14" s="107" t="s">
        <v>1</v>
      </c>
      <c r="JJJ14" s="108"/>
      <c r="JJK14" s="108"/>
      <c r="JJL14" s="109"/>
      <c r="JJM14" s="107" t="s">
        <v>1</v>
      </c>
      <c r="JJN14" s="108"/>
      <c r="JJO14" s="108"/>
      <c r="JJP14" s="109"/>
      <c r="JJQ14" s="107" t="s">
        <v>1</v>
      </c>
      <c r="JJR14" s="108"/>
      <c r="JJS14" s="108"/>
      <c r="JJT14" s="109"/>
      <c r="JJU14" s="107" t="s">
        <v>1</v>
      </c>
      <c r="JJV14" s="108"/>
      <c r="JJW14" s="108"/>
      <c r="JJX14" s="109"/>
      <c r="JJY14" s="107" t="s">
        <v>1</v>
      </c>
      <c r="JJZ14" s="108"/>
      <c r="JKA14" s="108"/>
      <c r="JKB14" s="109"/>
      <c r="JKC14" s="107" t="s">
        <v>1</v>
      </c>
      <c r="JKD14" s="108"/>
      <c r="JKE14" s="108"/>
      <c r="JKF14" s="109"/>
      <c r="JKG14" s="107" t="s">
        <v>1</v>
      </c>
      <c r="JKH14" s="108"/>
      <c r="JKI14" s="108"/>
      <c r="JKJ14" s="109"/>
      <c r="JKK14" s="107" t="s">
        <v>1</v>
      </c>
      <c r="JKL14" s="108"/>
      <c r="JKM14" s="108"/>
      <c r="JKN14" s="109"/>
      <c r="JKO14" s="107" t="s">
        <v>1</v>
      </c>
      <c r="JKP14" s="108"/>
      <c r="JKQ14" s="108"/>
      <c r="JKR14" s="109"/>
      <c r="JKS14" s="107" t="s">
        <v>1</v>
      </c>
      <c r="JKT14" s="108"/>
      <c r="JKU14" s="108"/>
      <c r="JKV14" s="109"/>
      <c r="JKW14" s="107" t="s">
        <v>1</v>
      </c>
      <c r="JKX14" s="108"/>
      <c r="JKY14" s="108"/>
      <c r="JKZ14" s="109"/>
      <c r="JLA14" s="107" t="s">
        <v>1</v>
      </c>
      <c r="JLB14" s="108"/>
      <c r="JLC14" s="108"/>
      <c r="JLD14" s="109"/>
      <c r="JLE14" s="107" t="s">
        <v>1</v>
      </c>
      <c r="JLF14" s="108"/>
      <c r="JLG14" s="108"/>
      <c r="JLH14" s="109"/>
      <c r="JLI14" s="107" t="s">
        <v>1</v>
      </c>
      <c r="JLJ14" s="108"/>
      <c r="JLK14" s="108"/>
      <c r="JLL14" s="109"/>
      <c r="JLM14" s="107" t="s">
        <v>1</v>
      </c>
      <c r="JLN14" s="108"/>
      <c r="JLO14" s="108"/>
      <c r="JLP14" s="109"/>
      <c r="JLQ14" s="107" t="s">
        <v>1</v>
      </c>
      <c r="JLR14" s="108"/>
      <c r="JLS14" s="108"/>
      <c r="JLT14" s="109"/>
      <c r="JLU14" s="107" t="s">
        <v>1</v>
      </c>
      <c r="JLV14" s="108"/>
      <c r="JLW14" s="108"/>
      <c r="JLX14" s="109"/>
      <c r="JLY14" s="107" t="s">
        <v>1</v>
      </c>
      <c r="JLZ14" s="108"/>
      <c r="JMA14" s="108"/>
      <c r="JMB14" s="109"/>
      <c r="JMC14" s="107" t="s">
        <v>1</v>
      </c>
      <c r="JMD14" s="108"/>
      <c r="JME14" s="108"/>
      <c r="JMF14" s="109"/>
      <c r="JMG14" s="107" t="s">
        <v>1</v>
      </c>
      <c r="JMH14" s="108"/>
      <c r="JMI14" s="108"/>
      <c r="JMJ14" s="109"/>
      <c r="JMK14" s="107" t="s">
        <v>1</v>
      </c>
      <c r="JML14" s="108"/>
      <c r="JMM14" s="108"/>
      <c r="JMN14" s="109"/>
      <c r="JMO14" s="107" t="s">
        <v>1</v>
      </c>
      <c r="JMP14" s="108"/>
      <c r="JMQ14" s="108"/>
      <c r="JMR14" s="109"/>
      <c r="JMS14" s="107" t="s">
        <v>1</v>
      </c>
      <c r="JMT14" s="108"/>
      <c r="JMU14" s="108"/>
      <c r="JMV14" s="109"/>
      <c r="JMW14" s="107" t="s">
        <v>1</v>
      </c>
      <c r="JMX14" s="108"/>
      <c r="JMY14" s="108"/>
      <c r="JMZ14" s="109"/>
      <c r="JNA14" s="107" t="s">
        <v>1</v>
      </c>
      <c r="JNB14" s="108"/>
      <c r="JNC14" s="108"/>
      <c r="JND14" s="109"/>
      <c r="JNE14" s="107" t="s">
        <v>1</v>
      </c>
      <c r="JNF14" s="108"/>
      <c r="JNG14" s="108"/>
      <c r="JNH14" s="109"/>
      <c r="JNI14" s="107" t="s">
        <v>1</v>
      </c>
      <c r="JNJ14" s="108"/>
      <c r="JNK14" s="108"/>
      <c r="JNL14" s="109"/>
      <c r="JNM14" s="107" t="s">
        <v>1</v>
      </c>
      <c r="JNN14" s="108"/>
      <c r="JNO14" s="108"/>
      <c r="JNP14" s="109"/>
      <c r="JNQ14" s="107" t="s">
        <v>1</v>
      </c>
      <c r="JNR14" s="108"/>
      <c r="JNS14" s="108"/>
      <c r="JNT14" s="109"/>
      <c r="JNU14" s="107" t="s">
        <v>1</v>
      </c>
      <c r="JNV14" s="108"/>
      <c r="JNW14" s="108"/>
      <c r="JNX14" s="109"/>
      <c r="JNY14" s="107" t="s">
        <v>1</v>
      </c>
      <c r="JNZ14" s="108"/>
      <c r="JOA14" s="108"/>
      <c r="JOB14" s="109"/>
      <c r="JOC14" s="107" t="s">
        <v>1</v>
      </c>
      <c r="JOD14" s="108"/>
      <c r="JOE14" s="108"/>
      <c r="JOF14" s="109"/>
      <c r="JOG14" s="107" t="s">
        <v>1</v>
      </c>
      <c r="JOH14" s="108"/>
      <c r="JOI14" s="108"/>
      <c r="JOJ14" s="109"/>
      <c r="JOK14" s="107" t="s">
        <v>1</v>
      </c>
      <c r="JOL14" s="108"/>
      <c r="JOM14" s="108"/>
      <c r="JON14" s="109"/>
      <c r="JOO14" s="107" t="s">
        <v>1</v>
      </c>
      <c r="JOP14" s="108"/>
      <c r="JOQ14" s="108"/>
      <c r="JOR14" s="109"/>
      <c r="JOS14" s="107" t="s">
        <v>1</v>
      </c>
      <c r="JOT14" s="108"/>
      <c r="JOU14" s="108"/>
      <c r="JOV14" s="109"/>
      <c r="JOW14" s="107" t="s">
        <v>1</v>
      </c>
      <c r="JOX14" s="108"/>
      <c r="JOY14" s="108"/>
      <c r="JOZ14" s="109"/>
      <c r="JPA14" s="107" t="s">
        <v>1</v>
      </c>
      <c r="JPB14" s="108"/>
      <c r="JPC14" s="108"/>
      <c r="JPD14" s="109"/>
      <c r="JPE14" s="107" t="s">
        <v>1</v>
      </c>
      <c r="JPF14" s="108"/>
      <c r="JPG14" s="108"/>
      <c r="JPH14" s="109"/>
      <c r="JPI14" s="107" t="s">
        <v>1</v>
      </c>
      <c r="JPJ14" s="108"/>
      <c r="JPK14" s="108"/>
      <c r="JPL14" s="109"/>
      <c r="JPM14" s="107" t="s">
        <v>1</v>
      </c>
      <c r="JPN14" s="108"/>
      <c r="JPO14" s="108"/>
      <c r="JPP14" s="109"/>
      <c r="JPQ14" s="107" t="s">
        <v>1</v>
      </c>
      <c r="JPR14" s="108"/>
      <c r="JPS14" s="108"/>
      <c r="JPT14" s="109"/>
      <c r="JPU14" s="107" t="s">
        <v>1</v>
      </c>
      <c r="JPV14" s="108"/>
      <c r="JPW14" s="108"/>
      <c r="JPX14" s="109"/>
      <c r="JPY14" s="107" t="s">
        <v>1</v>
      </c>
      <c r="JPZ14" s="108"/>
      <c r="JQA14" s="108"/>
      <c r="JQB14" s="109"/>
      <c r="JQC14" s="107" t="s">
        <v>1</v>
      </c>
      <c r="JQD14" s="108"/>
      <c r="JQE14" s="108"/>
      <c r="JQF14" s="109"/>
      <c r="JQG14" s="107" t="s">
        <v>1</v>
      </c>
      <c r="JQH14" s="108"/>
      <c r="JQI14" s="108"/>
      <c r="JQJ14" s="109"/>
      <c r="JQK14" s="107" t="s">
        <v>1</v>
      </c>
      <c r="JQL14" s="108"/>
      <c r="JQM14" s="108"/>
      <c r="JQN14" s="109"/>
      <c r="JQO14" s="107" t="s">
        <v>1</v>
      </c>
      <c r="JQP14" s="108"/>
      <c r="JQQ14" s="108"/>
      <c r="JQR14" s="109"/>
      <c r="JQS14" s="107" t="s">
        <v>1</v>
      </c>
      <c r="JQT14" s="108"/>
      <c r="JQU14" s="108"/>
      <c r="JQV14" s="109"/>
      <c r="JQW14" s="107" t="s">
        <v>1</v>
      </c>
      <c r="JQX14" s="108"/>
      <c r="JQY14" s="108"/>
      <c r="JQZ14" s="109"/>
      <c r="JRA14" s="107" t="s">
        <v>1</v>
      </c>
      <c r="JRB14" s="108"/>
      <c r="JRC14" s="108"/>
      <c r="JRD14" s="109"/>
      <c r="JRE14" s="107" t="s">
        <v>1</v>
      </c>
      <c r="JRF14" s="108"/>
      <c r="JRG14" s="108"/>
      <c r="JRH14" s="109"/>
      <c r="JRI14" s="107" t="s">
        <v>1</v>
      </c>
      <c r="JRJ14" s="108"/>
      <c r="JRK14" s="108"/>
      <c r="JRL14" s="109"/>
      <c r="JRM14" s="107" t="s">
        <v>1</v>
      </c>
      <c r="JRN14" s="108"/>
      <c r="JRO14" s="108"/>
      <c r="JRP14" s="109"/>
      <c r="JRQ14" s="107" t="s">
        <v>1</v>
      </c>
      <c r="JRR14" s="108"/>
      <c r="JRS14" s="108"/>
      <c r="JRT14" s="109"/>
      <c r="JRU14" s="107" t="s">
        <v>1</v>
      </c>
      <c r="JRV14" s="108"/>
      <c r="JRW14" s="108"/>
      <c r="JRX14" s="109"/>
      <c r="JRY14" s="107" t="s">
        <v>1</v>
      </c>
      <c r="JRZ14" s="108"/>
      <c r="JSA14" s="108"/>
      <c r="JSB14" s="109"/>
      <c r="JSC14" s="107" t="s">
        <v>1</v>
      </c>
      <c r="JSD14" s="108"/>
      <c r="JSE14" s="108"/>
      <c r="JSF14" s="109"/>
      <c r="JSG14" s="107" t="s">
        <v>1</v>
      </c>
      <c r="JSH14" s="108"/>
      <c r="JSI14" s="108"/>
      <c r="JSJ14" s="109"/>
      <c r="JSK14" s="107" t="s">
        <v>1</v>
      </c>
      <c r="JSL14" s="108"/>
      <c r="JSM14" s="108"/>
      <c r="JSN14" s="109"/>
      <c r="JSO14" s="107" t="s">
        <v>1</v>
      </c>
      <c r="JSP14" s="108"/>
      <c r="JSQ14" s="108"/>
      <c r="JSR14" s="109"/>
      <c r="JSS14" s="107" t="s">
        <v>1</v>
      </c>
      <c r="JST14" s="108"/>
      <c r="JSU14" s="108"/>
      <c r="JSV14" s="109"/>
      <c r="JSW14" s="107" t="s">
        <v>1</v>
      </c>
      <c r="JSX14" s="108"/>
      <c r="JSY14" s="108"/>
      <c r="JSZ14" s="109"/>
      <c r="JTA14" s="107" t="s">
        <v>1</v>
      </c>
      <c r="JTB14" s="108"/>
      <c r="JTC14" s="108"/>
      <c r="JTD14" s="109"/>
      <c r="JTE14" s="107" t="s">
        <v>1</v>
      </c>
      <c r="JTF14" s="108"/>
      <c r="JTG14" s="108"/>
      <c r="JTH14" s="109"/>
      <c r="JTI14" s="107" t="s">
        <v>1</v>
      </c>
      <c r="JTJ14" s="108"/>
      <c r="JTK14" s="108"/>
      <c r="JTL14" s="109"/>
      <c r="JTM14" s="107" t="s">
        <v>1</v>
      </c>
      <c r="JTN14" s="108"/>
      <c r="JTO14" s="108"/>
      <c r="JTP14" s="109"/>
      <c r="JTQ14" s="107" t="s">
        <v>1</v>
      </c>
      <c r="JTR14" s="108"/>
      <c r="JTS14" s="108"/>
      <c r="JTT14" s="109"/>
      <c r="JTU14" s="107" t="s">
        <v>1</v>
      </c>
      <c r="JTV14" s="108"/>
      <c r="JTW14" s="108"/>
      <c r="JTX14" s="109"/>
      <c r="JTY14" s="107" t="s">
        <v>1</v>
      </c>
      <c r="JTZ14" s="108"/>
      <c r="JUA14" s="108"/>
      <c r="JUB14" s="109"/>
      <c r="JUC14" s="107" t="s">
        <v>1</v>
      </c>
      <c r="JUD14" s="108"/>
      <c r="JUE14" s="108"/>
      <c r="JUF14" s="109"/>
      <c r="JUG14" s="107" t="s">
        <v>1</v>
      </c>
      <c r="JUH14" s="108"/>
      <c r="JUI14" s="108"/>
      <c r="JUJ14" s="109"/>
      <c r="JUK14" s="107" t="s">
        <v>1</v>
      </c>
      <c r="JUL14" s="108"/>
      <c r="JUM14" s="108"/>
      <c r="JUN14" s="109"/>
      <c r="JUO14" s="107" t="s">
        <v>1</v>
      </c>
      <c r="JUP14" s="108"/>
      <c r="JUQ14" s="108"/>
      <c r="JUR14" s="109"/>
      <c r="JUS14" s="107" t="s">
        <v>1</v>
      </c>
      <c r="JUT14" s="108"/>
      <c r="JUU14" s="108"/>
      <c r="JUV14" s="109"/>
      <c r="JUW14" s="107" t="s">
        <v>1</v>
      </c>
      <c r="JUX14" s="108"/>
      <c r="JUY14" s="108"/>
      <c r="JUZ14" s="109"/>
      <c r="JVA14" s="107" t="s">
        <v>1</v>
      </c>
      <c r="JVB14" s="108"/>
      <c r="JVC14" s="108"/>
      <c r="JVD14" s="109"/>
      <c r="JVE14" s="107" t="s">
        <v>1</v>
      </c>
      <c r="JVF14" s="108"/>
      <c r="JVG14" s="108"/>
      <c r="JVH14" s="109"/>
      <c r="JVI14" s="107" t="s">
        <v>1</v>
      </c>
      <c r="JVJ14" s="108"/>
      <c r="JVK14" s="108"/>
      <c r="JVL14" s="109"/>
      <c r="JVM14" s="107" t="s">
        <v>1</v>
      </c>
      <c r="JVN14" s="108"/>
      <c r="JVO14" s="108"/>
      <c r="JVP14" s="109"/>
      <c r="JVQ14" s="107" t="s">
        <v>1</v>
      </c>
      <c r="JVR14" s="108"/>
      <c r="JVS14" s="108"/>
      <c r="JVT14" s="109"/>
      <c r="JVU14" s="107" t="s">
        <v>1</v>
      </c>
      <c r="JVV14" s="108"/>
      <c r="JVW14" s="108"/>
      <c r="JVX14" s="109"/>
      <c r="JVY14" s="107" t="s">
        <v>1</v>
      </c>
      <c r="JVZ14" s="108"/>
      <c r="JWA14" s="108"/>
      <c r="JWB14" s="109"/>
      <c r="JWC14" s="107" t="s">
        <v>1</v>
      </c>
      <c r="JWD14" s="108"/>
      <c r="JWE14" s="108"/>
      <c r="JWF14" s="109"/>
      <c r="JWG14" s="107" t="s">
        <v>1</v>
      </c>
      <c r="JWH14" s="108"/>
      <c r="JWI14" s="108"/>
      <c r="JWJ14" s="109"/>
      <c r="JWK14" s="107" t="s">
        <v>1</v>
      </c>
      <c r="JWL14" s="108"/>
      <c r="JWM14" s="108"/>
      <c r="JWN14" s="109"/>
      <c r="JWO14" s="107" t="s">
        <v>1</v>
      </c>
      <c r="JWP14" s="108"/>
      <c r="JWQ14" s="108"/>
      <c r="JWR14" s="109"/>
      <c r="JWS14" s="107" t="s">
        <v>1</v>
      </c>
      <c r="JWT14" s="108"/>
      <c r="JWU14" s="108"/>
      <c r="JWV14" s="109"/>
      <c r="JWW14" s="107" t="s">
        <v>1</v>
      </c>
      <c r="JWX14" s="108"/>
      <c r="JWY14" s="108"/>
      <c r="JWZ14" s="109"/>
      <c r="JXA14" s="107" t="s">
        <v>1</v>
      </c>
      <c r="JXB14" s="108"/>
      <c r="JXC14" s="108"/>
      <c r="JXD14" s="109"/>
      <c r="JXE14" s="107" t="s">
        <v>1</v>
      </c>
      <c r="JXF14" s="108"/>
      <c r="JXG14" s="108"/>
      <c r="JXH14" s="109"/>
      <c r="JXI14" s="107" t="s">
        <v>1</v>
      </c>
      <c r="JXJ14" s="108"/>
      <c r="JXK14" s="108"/>
      <c r="JXL14" s="109"/>
      <c r="JXM14" s="107" t="s">
        <v>1</v>
      </c>
      <c r="JXN14" s="108"/>
      <c r="JXO14" s="108"/>
      <c r="JXP14" s="109"/>
      <c r="JXQ14" s="107" t="s">
        <v>1</v>
      </c>
      <c r="JXR14" s="108"/>
      <c r="JXS14" s="108"/>
      <c r="JXT14" s="109"/>
      <c r="JXU14" s="107" t="s">
        <v>1</v>
      </c>
      <c r="JXV14" s="108"/>
      <c r="JXW14" s="108"/>
      <c r="JXX14" s="109"/>
      <c r="JXY14" s="107" t="s">
        <v>1</v>
      </c>
      <c r="JXZ14" s="108"/>
      <c r="JYA14" s="108"/>
      <c r="JYB14" s="109"/>
      <c r="JYC14" s="107" t="s">
        <v>1</v>
      </c>
      <c r="JYD14" s="108"/>
      <c r="JYE14" s="108"/>
      <c r="JYF14" s="109"/>
      <c r="JYG14" s="107" t="s">
        <v>1</v>
      </c>
      <c r="JYH14" s="108"/>
      <c r="JYI14" s="108"/>
      <c r="JYJ14" s="109"/>
      <c r="JYK14" s="107" t="s">
        <v>1</v>
      </c>
      <c r="JYL14" s="108"/>
      <c r="JYM14" s="108"/>
      <c r="JYN14" s="109"/>
      <c r="JYO14" s="107" t="s">
        <v>1</v>
      </c>
      <c r="JYP14" s="108"/>
      <c r="JYQ14" s="108"/>
      <c r="JYR14" s="109"/>
      <c r="JYS14" s="107" t="s">
        <v>1</v>
      </c>
      <c r="JYT14" s="108"/>
      <c r="JYU14" s="108"/>
      <c r="JYV14" s="109"/>
      <c r="JYW14" s="107" t="s">
        <v>1</v>
      </c>
      <c r="JYX14" s="108"/>
      <c r="JYY14" s="108"/>
      <c r="JYZ14" s="109"/>
      <c r="JZA14" s="107" t="s">
        <v>1</v>
      </c>
      <c r="JZB14" s="108"/>
      <c r="JZC14" s="108"/>
      <c r="JZD14" s="109"/>
      <c r="JZE14" s="107" t="s">
        <v>1</v>
      </c>
      <c r="JZF14" s="108"/>
      <c r="JZG14" s="108"/>
      <c r="JZH14" s="109"/>
      <c r="JZI14" s="107" t="s">
        <v>1</v>
      </c>
      <c r="JZJ14" s="108"/>
      <c r="JZK14" s="108"/>
      <c r="JZL14" s="109"/>
      <c r="JZM14" s="107" t="s">
        <v>1</v>
      </c>
      <c r="JZN14" s="108"/>
      <c r="JZO14" s="108"/>
      <c r="JZP14" s="109"/>
      <c r="JZQ14" s="107" t="s">
        <v>1</v>
      </c>
      <c r="JZR14" s="108"/>
      <c r="JZS14" s="108"/>
      <c r="JZT14" s="109"/>
      <c r="JZU14" s="107" t="s">
        <v>1</v>
      </c>
      <c r="JZV14" s="108"/>
      <c r="JZW14" s="108"/>
      <c r="JZX14" s="109"/>
      <c r="JZY14" s="107" t="s">
        <v>1</v>
      </c>
      <c r="JZZ14" s="108"/>
      <c r="KAA14" s="108"/>
      <c r="KAB14" s="109"/>
      <c r="KAC14" s="107" t="s">
        <v>1</v>
      </c>
      <c r="KAD14" s="108"/>
      <c r="KAE14" s="108"/>
      <c r="KAF14" s="109"/>
      <c r="KAG14" s="107" t="s">
        <v>1</v>
      </c>
      <c r="KAH14" s="108"/>
      <c r="KAI14" s="108"/>
      <c r="KAJ14" s="109"/>
      <c r="KAK14" s="107" t="s">
        <v>1</v>
      </c>
      <c r="KAL14" s="108"/>
      <c r="KAM14" s="108"/>
      <c r="KAN14" s="109"/>
      <c r="KAO14" s="107" t="s">
        <v>1</v>
      </c>
      <c r="KAP14" s="108"/>
      <c r="KAQ14" s="108"/>
      <c r="KAR14" s="109"/>
      <c r="KAS14" s="107" t="s">
        <v>1</v>
      </c>
      <c r="KAT14" s="108"/>
      <c r="KAU14" s="108"/>
      <c r="KAV14" s="109"/>
      <c r="KAW14" s="107" t="s">
        <v>1</v>
      </c>
      <c r="KAX14" s="108"/>
      <c r="KAY14" s="108"/>
      <c r="KAZ14" s="109"/>
      <c r="KBA14" s="107" t="s">
        <v>1</v>
      </c>
      <c r="KBB14" s="108"/>
      <c r="KBC14" s="108"/>
      <c r="KBD14" s="109"/>
      <c r="KBE14" s="107" t="s">
        <v>1</v>
      </c>
      <c r="KBF14" s="108"/>
      <c r="KBG14" s="108"/>
      <c r="KBH14" s="109"/>
      <c r="KBI14" s="107" t="s">
        <v>1</v>
      </c>
      <c r="KBJ14" s="108"/>
      <c r="KBK14" s="108"/>
      <c r="KBL14" s="109"/>
      <c r="KBM14" s="107" t="s">
        <v>1</v>
      </c>
      <c r="KBN14" s="108"/>
      <c r="KBO14" s="108"/>
      <c r="KBP14" s="109"/>
      <c r="KBQ14" s="107" t="s">
        <v>1</v>
      </c>
      <c r="KBR14" s="108"/>
      <c r="KBS14" s="108"/>
      <c r="KBT14" s="109"/>
      <c r="KBU14" s="107" t="s">
        <v>1</v>
      </c>
      <c r="KBV14" s="108"/>
      <c r="KBW14" s="108"/>
      <c r="KBX14" s="109"/>
      <c r="KBY14" s="107" t="s">
        <v>1</v>
      </c>
      <c r="KBZ14" s="108"/>
      <c r="KCA14" s="108"/>
      <c r="KCB14" s="109"/>
      <c r="KCC14" s="107" t="s">
        <v>1</v>
      </c>
      <c r="KCD14" s="108"/>
      <c r="KCE14" s="108"/>
      <c r="KCF14" s="109"/>
      <c r="KCG14" s="107" t="s">
        <v>1</v>
      </c>
      <c r="KCH14" s="108"/>
      <c r="KCI14" s="108"/>
      <c r="KCJ14" s="109"/>
      <c r="KCK14" s="107" t="s">
        <v>1</v>
      </c>
      <c r="KCL14" s="108"/>
      <c r="KCM14" s="108"/>
      <c r="KCN14" s="109"/>
      <c r="KCO14" s="107" t="s">
        <v>1</v>
      </c>
      <c r="KCP14" s="108"/>
      <c r="KCQ14" s="108"/>
      <c r="KCR14" s="109"/>
      <c r="KCS14" s="107" t="s">
        <v>1</v>
      </c>
      <c r="KCT14" s="108"/>
      <c r="KCU14" s="108"/>
      <c r="KCV14" s="109"/>
      <c r="KCW14" s="107" t="s">
        <v>1</v>
      </c>
      <c r="KCX14" s="108"/>
      <c r="KCY14" s="108"/>
      <c r="KCZ14" s="109"/>
      <c r="KDA14" s="107" t="s">
        <v>1</v>
      </c>
      <c r="KDB14" s="108"/>
      <c r="KDC14" s="108"/>
      <c r="KDD14" s="109"/>
      <c r="KDE14" s="107" t="s">
        <v>1</v>
      </c>
      <c r="KDF14" s="108"/>
      <c r="KDG14" s="108"/>
      <c r="KDH14" s="109"/>
      <c r="KDI14" s="107" t="s">
        <v>1</v>
      </c>
      <c r="KDJ14" s="108"/>
      <c r="KDK14" s="108"/>
      <c r="KDL14" s="109"/>
      <c r="KDM14" s="107" t="s">
        <v>1</v>
      </c>
      <c r="KDN14" s="108"/>
      <c r="KDO14" s="108"/>
      <c r="KDP14" s="109"/>
      <c r="KDQ14" s="107" t="s">
        <v>1</v>
      </c>
      <c r="KDR14" s="108"/>
      <c r="KDS14" s="108"/>
      <c r="KDT14" s="109"/>
      <c r="KDU14" s="107" t="s">
        <v>1</v>
      </c>
      <c r="KDV14" s="108"/>
      <c r="KDW14" s="108"/>
      <c r="KDX14" s="109"/>
      <c r="KDY14" s="107" t="s">
        <v>1</v>
      </c>
      <c r="KDZ14" s="108"/>
      <c r="KEA14" s="108"/>
      <c r="KEB14" s="109"/>
      <c r="KEC14" s="107" t="s">
        <v>1</v>
      </c>
      <c r="KED14" s="108"/>
      <c r="KEE14" s="108"/>
      <c r="KEF14" s="109"/>
      <c r="KEG14" s="107" t="s">
        <v>1</v>
      </c>
      <c r="KEH14" s="108"/>
      <c r="KEI14" s="108"/>
      <c r="KEJ14" s="109"/>
      <c r="KEK14" s="107" t="s">
        <v>1</v>
      </c>
      <c r="KEL14" s="108"/>
      <c r="KEM14" s="108"/>
      <c r="KEN14" s="109"/>
      <c r="KEO14" s="107" t="s">
        <v>1</v>
      </c>
      <c r="KEP14" s="108"/>
      <c r="KEQ14" s="108"/>
      <c r="KER14" s="109"/>
      <c r="KES14" s="107" t="s">
        <v>1</v>
      </c>
      <c r="KET14" s="108"/>
      <c r="KEU14" s="108"/>
      <c r="KEV14" s="109"/>
      <c r="KEW14" s="107" t="s">
        <v>1</v>
      </c>
      <c r="KEX14" s="108"/>
      <c r="KEY14" s="108"/>
      <c r="KEZ14" s="109"/>
      <c r="KFA14" s="107" t="s">
        <v>1</v>
      </c>
      <c r="KFB14" s="108"/>
      <c r="KFC14" s="108"/>
      <c r="KFD14" s="109"/>
      <c r="KFE14" s="107" t="s">
        <v>1</v>
      </c>
      <c r="KFF14" s="108"/>
      <c r="KFG14" s="108"/>
      <c r="KFH14" s="109"/>
      <c r="KFI14" s="107" t="s">
        <v>1</v>
      </c>
      <c r="KFJ14" s="108"/>
      <c r="KFK14" s="108"/>
      <c r="KFL14" s="109"/>
      <c r="KFM14" s="107" t="s">
        <v>1</v>
      </c>
      <c r="KFN14" s="108"/>
      <c r="KFO14" s="108"/>
      <c r="KFP14" s="109"/>
      <c r="KFQ14" s="107" t="s">
        <v>1</v>
      </c>
      <c r="KFR14" s="108"/>
      <c r="KFS14" s="108"/>
      <c r="KFT14" s="109"/>
      <c r="KFU14" s="107" t="s">
        <v>1</v>
      </c>
      <c r="KFV14" s="108"/>
      <c r="KFW14" s="108"/>
      <c r="KFX14" s="109"/>
      <c r="KFY14" s="107" t="s">
        <v>1</v>
      </c>
      <c r="KFZ14" s="108"/>
      <c r="KGA14" s="108"/>
      <c r="KGB14" s="109"/>
      <c r="KGC14" s="107" t="s">
        <v>1</v>
      </c>
      <c r="KGD14" s="108"/>
      <c r="KGE14" s="108"/>
      <c r="KGF14" s="109"/>
      <c r="KGG14" s="107" t="s">
        <v>1</v>
      </c>
      <c r="KGH14" s="108"/>
      <c r="KGI14" s="108"/>
      <c r="KGJ14" s="109"/>
      <c r="KGK14" s="107" t="s">
        <v>1</v>
      </c>
      <c r="KGL14" s="108"/>
      <c r="KGM14" s="108"/>
      <c r="KGN14" s="109"/>
      <c r="KGO14" s="107" t="s">
        <v>1</v>
      </c>
      <c r="KGP14" s="108"/>
      <c r="KGQ14" s="108"/>
      <c r="KGR14" s="109"/>
      <c r="KGS14" s="107" t="s">
        <v>1</v>
      </c>
      <c r="KGT14" s="108"/>
      <c r="KGU14" s="108"/>
      <c r="KGV14" s="109"/>
      <c r="KGW14" s="107" t="s">
        <v>1</v>
      </c>
      <c r="KGX14" s="108"/>
      <c r="KGY14" s="108"/>
      <c r="KGZ14" s="109"/>
      <c r="KHA14" s="107" t="s">
        <v>1</v>
      </c>
      <c r="KHB14" s="108"/>
      <c r="KHC14" s="108"/>
      <c r="KHD14" s="109"/>
      <c r="KHE14" s="107" t="s">
        <v>1</v>
      </c>
      <c r="KHF14" s="108"/>
      <c r="KHG14" s="108"/>
      <c r="KHH14" s="109"/>
      <c r="KHI14" s="107" t="s">
        <v>1</v>
      </c>
      <c r="KHJ14" s="108"/>
      <c r="KHK14" s="108"/>
      <c r="KHL14" s="109"/>
      <c r="KHM14" s="107" t="s">
        <v>1</v>
      </c>
      <c r="KHN14" s="108"/>
      <c r="KHO14" s="108"/>
      <c r="KHP14" s="109"/>
      <c r="KHQ14" s="107" t="s">
        <v>1</v>
      </c>
      <c r="KHR14" s="108"/>
      <c r="KHS14" s="108"/>
      <c r="KHT14" s="109"/>
      <c r="KHU14" s="107" t="s">
        <v>1</v>
      </c>
      <c r="KHV14" s="108"/>
      <c r="KHW14" s="108"/>
      <c r="KHX14" s="109"/>
      <c r="KHY14" s="107" t="s">
        <v>1</v>
      </c>
      <c r="KHZ14" s="108"/>
      <c r="KIA14" s="108"/>
      <c r="KIB14" s="109"/>
      <c r="KIC14" s="107" t="s">
        <v>1</v>
      </c>
      <c r="KID14" s="108"/>
      <c r="KIE14" s="108"/>
      <c r="KIF14" s="109"/>
      <c r="KIG14" s="107" t="s">
        <v>1</v>
      </c>
      <c r="KIH14" s="108"/>
      <c r="KII14" s="108"/>
      <c r="KIJ14" s="109"/>
      <c r="KIK14" s="107" t="s">
        <v>1</v>
      </c>
      <c r="KIL14" s="108"/>
      <c r="KIM14" s="108"/>
      <c r="KIN14" s="109"/>
      <c r="KIO14" s="107" t="s">
        <v>1</v>
      </c>
      <c r="KIP14" s="108"/>
      <c r="KIQ14" s="108"/>
      <c r="KIR14" s="109"/>
      <c r="KIS14" s="107" t="s">
        <v>1</v>
      </c>
      <c r="KIT14" s="108"/>
      <c r="KIU14" s="108"/>
      <c r="KIV14" s="109"/>
      <c r="KIW14" s="107" t="s">
        <v>1</v>
      </c>
      <c r="KIX14" s="108"/>
      <c r="KIY14" s="108"/>
      <c r="KIZ14" s="109"/>
      <c r="KJA14" s="107" t="s">
        <v>1</v>
      </c>
      <c r="KJB14" s="108"/>
      <c r="KJC14" s="108"/>
      <c r="KJD14" s="109"/>
      <c r="KJE14" s="107" t="s">
        <v>1</v>
      </c>
      <c r="KJF14" s="108"/>
      <c r="KJG14" s="108"/>
      <c r="KJH14" s="109"/>
      <c r="KJI14" s="107" t="s">
        <v>1</v>
      </c>
      <c r="KJJ14" s="108"/>
      <c r="KJK14" s="108"/>
      <c r="KJL14" s="109"/>
      <c r="KJM14" s="107" t="s">
        <v>1</v>
      </c>
      <c r="KJN14" s="108"/>
      <c r="KJO14" s="108"/>
      <c r="KJP14" s="109"/>
      <c r="KJQ14" s="107" t="s">
        <v>1</v>
      </c>
      <c r="KJR14" s="108"/>
      <c r="KJS14" s="108"/>
      <c r="KJT14" s="109"/>
      <c r="KJU14" s="107" t="s">
        <v>1</v>
      </c>
      <c r="KJV14" s="108"/>
      <c r="KJW14" s="108"/>
      <c r="KJX14" s="109"/>
      <c r="KJY14" s="107" t="s">
        <v>1</v>
      </c>
      <c r="KJZ14" s="108"/>
      <c r="KKA14" s="108"/>
      <c r="KKB14" s="109"/>
      <c r="KKC14" s="107" t="s">
        <v>1</v>
      </c>
      <c r="KKD14" s="108"/>
      <c r="KKE14" s="108"/>
      <c r="KKF14" s="109"/>
      <c r="KKG14" s="107" t="s">
        <v>1</v>
      </c>
      <c r="KKH14" s="108"/>
      <c r="KKI14" s="108"/>
      <c r="KKJ14" s="109"/>
      <c r="KKK14" s="107" t="s">
        <v>1</v>
      </c>
      <c r="KKL14" s="108"/>
      <c r="KKM14" s="108"/>
      <c r="KKN14" s="109"/>
      <c r="KKO14" s="107" t="s">
        <v>1</v>
      </c>
      <c r="KKP14" s="108"/>
      <c r="KKQ14" s="108"/>
      <c r="KKR14" s="109"/>
      <c r="KKS14" s="107" t="s">
        <v>1</v>
      </c>
      <c r="KKT14" s="108"/>
      <c r="KKU14" s="108"/>
      <c r="KKV14" s="109"/>
      <c r="KKW14" s="107" t="s">
        <v>1</v>
      </c>
      <c r="KKX14" s="108"/>
      <c r="KKY14" s="108"/>
      <c r="KKZ14" s="109"/>
      <c r="KLA14" s="107" t="s">
        <v>1</v>
      </c>
      <c r="KLB14" s="108"/>
      <c r="KLC14" s="108"/>
      <c r="KLD14" s="109"/>
      <c r="KLE14" s="107" t="s">
        <v>1</v>
      </c>
      <c r="KLF14" s="108"/>
      <c r="KLG14" s="108"/>
      <c r="KLH14" s="109"/>
      <c r="KLI14" s="107" t="s">
        <v>1</v>
      </c>
      <c r="KLJ14" s="108"/>
      <c r="KLK14" s="108"/>
      <c r="KLL14" s="109"/>
      <c r="KLM14" s="107" t="s">
        <v>1</v>
      </c>
      <c r="KLN14" s="108"/>
      <c r="KLO14" s="108"/>
      <c r="KLP14" s="109"/>
      <c r="KLQ14" s="107" t="s">
        <v>1</v>
      </c>
      <c r="KLR14" s="108"/>
      <c r="KLS14" s="108"/>
      <c r="KLT14" s="109"/>
      <c r="KLU14" s="107" t="s">
        <v>1</v>
      </c>
      <c r="KLV14" s="108"/>
      <c r="KLW14" s="108"/>
      <c r="KLX14" s="109"/>
      <c r="KLY14" s="107" t="s">
        <v>1</v>
      </c>
      <c r="KLZ14" s="108"/>
      <c r="KMA14" s="108"/>
      <c r="KMB14" s="109"/>
      <c r="KMC14" s="107" t="s">
        <v>1</v>
      </c>
      <c r="KMD14" s="108"/>
      <c r="KME14" s="108"/>
      <c r="KMF14" s="109"/>
      <c r="KMG14" s="107" t="s">
        <v>1</v>
      </c>
      <c r="KMH14" s="108"/>
      <c r="KMI14" s="108"/>
      <c r="KMJ14" s="109"/>
      <c r="KMK14" s="107" t="s">
        <v>1</v>
      </c>
      <c r="KML14" s="108"/>
      <c r="KMM14" s="108"/>
      <c r="KMN14" s="109"/>
      <c r="KMO14" s="107" t="s">
        <v>1</v>
      </c>
      <c r="KMP14" s="108"/>
      <c r="KMQ14" s="108"/>
      <c r="KMR14" s="109"/>
      <c r="KMS14" s="107" t="s">
        <v>1</v>
      </c>
      <c r="KMT14" s="108"/>
      <c r="KMU14" s="108"/>
      <c r="KMV14" s="109"/>
      <c r="KMW14" s="107" t="s">
        <v>1</v>
      </c>
      <c r="KMX14" s="108"/>
      <c r="KMY14" s="108"/>
      <c r="KMZ14" s="109"/>
      <c r="KNA14" s="107" t="s">
        <v>1</v>
      </c>
      <c r="KNB14" s="108"/>
      <c r="KNC14" s="108"/>
      <c r="KND14" s="109"/>
      <c r="KNE14" s="107" t="s">
        <v>1</v>
      </c>
      <c r="KNF14" s="108"/>
      <c r="KNG14" s="108"/>
      <c r="KNH14" s="109"/>
      <c r="KNI14" s="107" t="s">
        <v>1</v>
      </c>
      <c r="KNJ14" s="108"/>
      <c r="KNK14" s="108"/>
      <c r="KNL14" s="109"/>
      <c r="KNM14" s="107" t="s">
        <v>1</v>
      </c>
      <c r="KNN14" s="108"/>
      <c r="KNO14" s="108"/>
      <c r="KNP14" s="109"/>
      <c r="KNQ14" s="107" t="s">
        <v>1</v>
      </c>
      <c r="KNR14" s="108"/>
      <c r="KNS14" s="108"/>
      <c r="KNT14" s="109"/>
      <c r="KNU14" s="107" t="s">
        <v>1</v>
      </c>
      <c r="KNV14" s="108"/>
      <c r="KNW14" s="108"/>
      <c r="KNX14" s="109"/>
      <c r="KNY14" s="107" t="s">
        <v>1</v>
      </c>
      <c r="KNZ14" s="108"/>
      <c r="KOA14" s="108"/>
      <c r="KOB14" s="109"/>
      <c r="KOC14" s="107" t="s">
        <v>1</v>
      </c>
      <c r="KOD14" s="108"/>
      <c r="KOE14" s="108"/>
      <c r="KOF14" s="109"/>
      <c r="KOG14" s="107" t="s">
        <v>1</v>
      </c>
      <c r="KOH14" s="108"/>
      <c r="KOI14" s="108"/>
      <c r="KOJ14" s="109"/>
      <c r="KOK14" s="107" t="s">
        <v>1</v>
      </c>
      <c r="KOL14" s="108"/>
      <c r="KOM14" s="108"/>
      <c r="KON14" s="109"/>
      <c r="KOO14" s="107" t="s">
        <v>1</v>
      </c>
      <c r="KOP14" s="108"/>
      <c r="KOQ14" s="108"/>
      <c r="KOR14" s="109"/>
      <c r="KOS14" s="107" t="s">
        <v>1</v>
      </c>
      <c r="KOT14" s="108"/>
      <c r="KOU14" s="108"/>
      <c r="KOV14" s="109"/>
      <c r="KOW14" s="107" t="s">
        <v>1</v>
      </c>
      <c r="KOX14" s="108"/>
      <c r="KOY14" s="108"/>
      <c r="KOZ14" s="109"/>
      <c r="KPA14" s="107" t="s">
        <v>1</v>
      </c>
      <c r="KPB14" s="108"/>
      <c r="KPC14" s="108"/>
      <c r="KPD14" s="109"/>
      <c r="KPE14" s="107" t="s">
        <v>1</v>
      </c>
      <c r="KPF14" s="108"/>
      <c r="KPG14" s="108"/>
      <c r="KPH14" s="109"/>
      <c r="KPI14" s="107" t="s">
        <v>1</v>
      </c>
      <c r="KPJ14" s="108"/>
      <c r="KPK14" s="108"/>
      <c r="KPL14" s="109"/>
      <c r="KPM14" s="107" t="s">
        <v>1</v>
      </c>
      <c r="KPN14" s="108"/>
      <c r="KPO14" s="108"/>
      <c r="KPP14" s="109"/>
      <c r="KPQ14" s="107" t="s">
        <v>1</v>
      </c>
      <c r="KPR14" s="108"/>
      <c r="KPS14" s="108"/>
      <c r="KPT14" s="109"/>
      <c r="KPU14" s="107" t="s">
        <v>1</v>
      </c>
      <c r="KPV14" s="108"/>
      <c r="KPW14" s="108"/>
      <c r="KPX14" s="109"/>
      <c r="KPY14" s="107" t="s">
        <v>1</v>
      </c>
      <c r="KPZ14" s="108"/>
      <c r="KQA14" s="108"/>
      <c r="KQB14" s="109"/>
      <c r="KQC14" s="107" t="s">
        <v>1</v>
      </c>
      <c r="KQD14" s="108"/>
      <c r="KQE14" s="108"/>
      <c r="KQF14" s="109"/>
      <c r="KQG14" s="107" t="s">
        <v>1</v>
      </c>
      <c r="KQH14" s="108"/>
      <c r="KQI14" s="108"/>
      <c r="KQJ14" s="109"/>
      <c r="KQK14" s="107" t="s">
        <v>1</v>
      </c>
      <c r="KQL14" s="108"/>
      <c r="KQM14" s="108"/>
      <c r="KQN14" s="109"/>
      <c r="KQO14" s="107" t="s">
        <v>1</v>
      </c>
      <c r="KQP14" s="108"/>
      <c r="KQQ14" s="108"/>
      <c r="KQR14" s="109"/>
      <c r="KQS14" s="107" t="s">
        <v>1</v>
      </c>
      <c r="KQT14" s="108"/>
      <c r="KQU14" s="108"/>
      <c r="KQV14" s="109"/>
      <c r="KQW14" s="107" t="s">
        <v>1</v>
      </c>
      <c r="KQX14" s="108"/>
      <c r="KQY14" s="108"/>
      <c r="KQZ14" s="109"/>
      <c r="KRA14" s="107" t="s">
        <v>1</v>
      </c>
      <c r="KRB14" s="108"/>
      <c r="KRC14" s="108"/>
      <c r="KRD14" s="109"/>
      <c r="KRE14" s="107" t="s">
        <v>1</v>
      </c>
      <c r="KRF14" s="108"/>
      <c r="KRG14" s="108"/>
      <c r="KRH14" s="109"/>
      <c r="KRI14" s="107" t="s">
        <v>1</v>
      </c>
      <c r="KRJ14" s="108"/>
      <c r="KRK14" s="108"/>
      <c r="KRL14" s="109"/>
      <c r="KRM14" s="107" t="s">
        <v>1</v>
      </c>
      <c r="KRN14" s="108"/>
      <c r="KRO14" s="108"/>
      <c r="KRP14" s="109"/>
      <c r="KRQ14" s="107" t="s">
        <v>1</v>
      </c>
      <c r="KRR14" s="108"/>
      <c r="KRS14" s="108"/>
      <c r="KRT14" s="109"/>
      <c r="KRU14" s="107" t="s">
        <v>1</v>
      </c>
      <c r="KRV14" s="108"/>
      <c r="KRW14" s="108"/>
      <c r="KRX14" s="109"/>
      <c r="KRY14" s="107" t="s">
        <v>1</v>
      </c>
      <c r="KRZ14" s="108"/>
      <c r="KSA14" s="108"/>
      <c r="KSB14" s="109"/>
      <c r="KSC14" s="107" t="s">
        <v>1</v>
      </c>
      <c r="KSD14" s="108"/>
      <c r="KSE14" s="108"/>
      <c r="KSF14" s="109"/>
      <c r="KSG14" s="107" t="s">
        <v>1</v>
      </c>
      <c r="KSH14" s="108"/>
      <c r="KSI14" s="108"/>
      <c r="KSJ14" s="109"/>
      <c r="KSK14" s="107" t="s">
        <v>1</v>
      </c>
      <c r="KSL14" s="108"/>
      <c r="KSM14" s="108"/>
      <c r="KSN14" s="109"/>
      <c r="KSO14" s="107" t="s">
        <v>1</v>
      </c>
      <c r="KSP14" s="108"/>
      <c r="KSQ14" s="108"/>
      <c r="KSR14" s="109"/>
      <c r="KSS14" s="107" t="s">
        <v>1</v>
      </c>
      <c r="KST14" s="108"/>
      <c r="KSU14" s="108"/>
      <c r="KSV14" s="109"/>
      <c r="KSW14" s="107" t="s">
        <v>1</v>
      </c>
      <c r="KSX14" s="108"/>
      <c r="KSY14" s="108"/>
      <c r="KSZ14" s="109"/>
      <c r="KTA14" s="107" t="s">
        <v>1</v>
      </c>
      <c r="KTB14" s="108"/>
      <c r="KTC14" s="108"/>
      <c r="KTD14" s="109"/>
      <c r="KTE14" s="107" t="s">
        <v>1</v>
      </c>
      <c r="KTF14" s="108"/>
      <c r="KTG14" s="108"/>
      <c r="KTH14" s="109"/>
      <c r="KTI14" s="107" t="s">
        <v>1</v>
      </c>
      <c r="KTJ14" s="108"/>
      <c r="KTK14" s="108"/>
      <c r="KTL14" s="109"/>
      <c r="KTM14" s="107" t="s">
        <v>1</v>
      </c>
      <c r="KTN14" s="108"/>
      <c r="KTO14" s="108"/>
      <c r="KTP14" s="109"/>
      <c r="KTQ14" s="107" t="s">
        <v>1</v>
      </c>
      <c r="KTR14" s="108"/>
      <c r="KTS14" s="108"/>
      <c r="KTT14" s="109"/>
      <c r="KTU14" s="107" t="s">
        <v>1</v>
      </c>
      <c r="KTV14" s="108"/>
      <c r="KTW14" s="108"/>
      <c r="KTX14" s="109"/>
      <c r="KTY14" s="107" t="s">
        <v>1</v>
      </c>
      <c r="KTZ14" s="108"/>
      <c r="KUA14" s="108"/>
      <c r="KUB14" s="109"/>
      <c r="KUC14" s="107" t="s">
        <v>1</v>
      </c>
      <c r="KUD14" s="108"/>
      <c r="KUE14" s="108"/>
      <c r="KUF14" s="109"/>
      <c r="KUG14" s="107" t="s">
        <v>1</v>
      </c>
      <c r="KUH14" s="108"/>
      <c r="KUI14" s="108"/>
      <c r="KUJ14" s="109"/>
      <c r="KUK14" s="107" t="s">
        <v>1</v>
      </c>
      <c r="KUL14" s="108"/>
      <c r="KUM14" s="108"/>
      <c r="KUN14" s="109"/>
      <c r="KUO14" s="107" t="s">
        <v>1</v>
      </c>
      <c r="KUP14" s="108"/>
      <c r="KUQ14" s="108"/>
      <c r="KUR14" s="109"/>
      <c r="KUS14" s="107" t="s">
        <v>1</v>
      </c>
      <c r="KUT14" s="108"/>
      <c r="KUU14" s="108"/>
      <c r="KUV14" s="109"/>
      <c r="KUW14" s="107" t="s">
        <v>1</v>
      </c>
      <c r="KUX14" s="108"/>
      <c r="KUY14" s="108"/>
      <c r="KUZ14" s="109"/>
      <c r="KVA14" s="107" t="s">
        <v>1</v>
      </c>
      <c r="KVB14" s="108"/>
      <c r="KVC14" s="108"/>
      <c r="KVD14" s="109"/>
      <c r="KVE14" s="107" t="s">
        <v>1</v>
      </c>
      <c r="KVF14" s="108"/>
      <c r="KVG14" s="108"/>
      <c r="KVH14" s="109"/>
      <c r="KVI14" s="107" t="s">
        <v>1</v>
      </c>
      <c r="KVJ14" s="108"/>
      <c r="KVK14" s="108"/>
      <c r="KVL14" s="109"/>
      <c r="KVM14" s="107" t="s">
        <v>1</v>
      </c>
      <c r="KVN14" s="108"/>
      <c r="KVO14" s="108"/>
      <c r="KVP14" s="109"/>
      <c r="KVQ14" s="107" t="s">
        <v>1</v>
      </c>
      <c r="KVR14" s="108"/>
      <c r="KVS14" s="108"/>
      <c r="KVT14" s="109"/>
      <c r="KVU14" s="107" t="s">
        <v>1</v>
      </c>
      <c r="KVV14" s="108"/>
      <c r="KVW14" s="108"/>
      <c r="KVX14" s="109"/>
      <c r="KVY14" s="107" t="s">
        <v>1</v>
      </c>
      <c r="KVZ14" s="108"/>
      <c r="KWA14" s="108"/>
      <c r="KWB14" s="109"/>
      <c r="KWC14" s="107" t="s">
        <v>1</v>
      </c>
      <c r="KWD14" s="108"/>
      <c r="KWE14" s="108"/>
      <c r="KWF14" s="109"/>
      <c r="KWG14" s="107" t="s">
        <v>1</v>
      </c>
      <c r="KWH14" s="108"/>
      <c r="KWI14" s="108"/>
      <c r="KWJ14" s="109"/>
      <c r="KWK14" s="107" t="s">
        <v>1</v>
      </c>
      <c r="KWL14" s="108"/>
      <c r="KWM14" s="108"/>
      <c r="KWN14" s="109"/>
      <c r="KWO14" s="107" t="s">
        <v>1</v>
      </c>
      <c r="KWP14" s="108"/>
      <c r="KWQ14" s="108"/>
      <c r="KWR14" s="109"/>
      <c r="KWS14" s="107" t="s">
        <v>1</v>
      </c>
      <c r="KWT14" s="108"/>
      <c r="KWU14" s="108"/>
      <c r="KWV14" s="109"/>
      <c r="KWW14" s="107" t="s">
        <v>1</v>
      </c>
      <c r="KWX14" s="108"/>
      <c r="KWY14" s="108"/>
      <c r="KWZ14" s="109"/>
      <c r="KXA14" s="107" t="s">
        <v>1</v>
      </c>
      <c r="KXB14" s="108"/>
      <c r="KXC14" s="108"/>
      <c r="KXD14" s="109"/>
      <c r="KXE14" s="107" t="s">
        <v>1</v>
      </c>
      <c r="KXF14" s="108"/>
      <c r="KXG14" s="108"/>
      <c r="KXH14" s="109"/>
      <c r="KXI14" s="107" t="s">
        <v>1</v>
      </c>
      <c r="KXJ14" s="108"/>
      <c r="KXK14" s="108"/>
      <c r="KXL14" s="109"/>
      <c r="KXM14" s="107" t="s">
        <v>1</v>
      </c>
      <c r="KXN14" s="108"/>
      <c r="KXO14" s="108"/>
      <c r="KXP14" s="109"/>
      <c r="KXQ14" s="107" t="s">
        <v>1</v>
      </c>
      <c r="KXR14" s="108"/>
      <c r="KXS14" s="108"/>
      <c r="KXT14" s="109"/>
      <c r="KXU14" s="107" t="s">
        <v>1</v>
      </c>
      <c r="KXV14" s="108"/>
      <c r="KXW14" s="108"/>
      <c r="KXX14" s="109"/>
      <c r="KXY14" s="107" t="s">
        <v>1</v>
      </c>
      <c r="KXZ14" s="108"/>
      <c r="KYA14" s="108"/>
      <c r="KYB14" s="109"/>
      <c r="KYC14" s="107" t="s">
        <v>1</v>
      </c>
      <c r="KYD14" s="108"/>
      <c r="KYE14" s="108"/>
      <c r="KYF14" s="109"/>
      <c r="KYG14" s="107" t="s">
        <v>1</v>
      </c>
      <c r="KYH14" s="108"/>
      <c r="KYI14" s="108"/>
      <c r="KYJ14" s="109"/>
      <c r="KYK14" s="107" t="s">
        <v>1</v>
      </c>
      <c r="KYL14" s="108"/>
      <c r="KYM14" s="108"/>
      <c r="KYN14" s="109"/>
      <c r="KYO14" s="107" t="s">
        <v>1</v>
      </c>
      <c r="KYP14" s="108"/>
      <c r="KYQ14" s="108"/>
      <c r="KYR14" s="109"/>
      <c r="KYS14" s="107" t="s">
        <v>1</v>
      </c>
      <c r="KYT14" s="108"/>
      <c r="KYU14" s="108"/>
      <c r="KYV14" s="109"/>
      <c r="KYW14" s="107" t="s">
        <v>1</v>
      </c>
      <c r="KYX14" s="108"/>
      <c r="KYY14" s="108"/>
      <c r="KYZ14" s="109"/>
      <c r="KZA14" s="107" t="s">
        <v>1</v>
      </c>
      <c r="KZB14" s="108"/>
      <c r="KZC14" s="108"/>
      <c r="KZD14" s="109"/>
      <c r="KZE14" s="107" t="s">
        <v>1</v>
      </c>
      <c r="KZF14" s="108"/>
      <c r="KZG14" s="108"/>
      <c r="KZH14" s="109"/>
      <c r="KZI14" s="107" t="s">
        <v>1</v>
      </c>
      <c r="KZJ14" s="108"/>
      <c r="KZK14" s="108"/>
      <c r="KZL14" s="109"/>
      <c r="KZM14" s="107" t="s">
        <v>1</v>
      </c>
      <c r="KZN14" s="108"/>
      <c r="KZO14" s="108"/>
      <c r="KZP14" s="109"/>
      <c r="KZQ14" s="107" t="s">
        <v>1</v>
      </c>
      <c r="KZR14" s="108"/>
      <c r="KZS14" s="108"/>
      <c r="KZT14" s="109"/>
      <c r="KZU14" s="107" t="s">
        <v>1</v>
      </c>
      <c r="KZV14" s="108"/>
      <c r="KZW14" s="108"/>
      <c r="KZX14" s="109"/>
      <c r="KZY14" s="107" t="s">
        <v>1</v>
      </c>
      <c r="KZZ14" s="108"/>
      <c r="LAA14" s="108"/>
      <c r="LAB14" s="109"/>
      <c r="LAC14" s="107" t="s">
        <v>1</v>
      </c>
      <c r="LAD14" s="108"/>
      <c r="LAE14" s="108"/>
      <c r="LAF14" s="109"/>
      <c r="LAG14" s="107" t="s">
        <v>1</v>
      </c>
      <c r="LAH14" s="108"/>
      <c r="LAI14" s="108"/>
      <c r="LAJ14" s="109"/>
      <c r="LAK14" s="107" t="s">
        <v>1</v>
      </c>
      <c r="LAL14" s="108"/>
      <c r="LAM14" s="108"/>
      <c r="LAN14" s="109"/>
      <c r="LAO14" s="107" t="s">
        <v>1</v>
      </c>
      <c r="LAP14" s="108"/>
      <c r="LAQ14" s="108"/>
      <c r="LAR14" s="109"/>
      <c r="LAS14" s="107" t="s">
        <v>1</v>
      </c>
      <c r="LAT14" s="108"/>
      <c r="LAU14" s="108"/>
      <c r="LAV14" s="109"/>
      <c r="LAW14" s="107" t="s">
        <v>1</v>
      </c>
      <c r="LAX14" s="108"/>
      <c r="LAY14" s="108"/>
      <c r="LAZ14" s="109"/>
      <c r="LBA14" s="107" t="s">
        <v>1</v>
      </c>
      <c r="LBB14" s="108"/>
      <c r="LBC14" s="108"/>
      <c r="LBD14" s="109"/>
      <c r="LBE14" s="107" t="s">
        <v>1</v>
      </c>
      <c r="LBF14" s="108"/>
      <c r="LBG14" s="108"/>
      <c r="LBH14" s="109"/>
      <c r="LBI14" s="107" t="s">
        <v>1</v>
      </c>
      <c r="LBJ14" s="108"/>
      <c r="LBK14" s="108"/>
      <c r="LBL14" s="109"/>
      <c r="LBM14" s="107" t="s">
        <v>1</v>
      </c>
      <c r="LBN14" s="108"/>
      <c r="LBO14" s="108"/>
      <c r="LBP14" s="109"/>
      <c r="LBQ14" s="107" t="s">
        <v>1</v>
      </c>
      <c r="LBR14" s="108"/>
      <c r="LBS14" s="108"/>
      <c r="LBT14" s="109"/>
      <c r="LBU14" s="107" t="s">
        <v>1</v>
      </c>
      <c r="LBV14" s="108"/>
      <c r="LBW14" s="108"/>
      <c r="LBX14" s="109"/>
      <c r="LBY14" s="107" t="s">
        <v>1</v>
      </c>
      <c r="LBZ14" s="108"/>
      <c r="LCA14" s="108"/>
      <c r="LCB14" s="109"/>
      <c r="LCC14" s="107" t="s">
        <v>1</v>
      </c>
      <c r="LCD14" s="108"/>
      <c r="LCE14" s="108"/>
      <c r="LCF14" s="109"/>
      <c r="LCG14" s="107" t="s">
        <v>1</v>
      </c>
      <c r="LCH14" s="108"/>
      <c r="LCI14" s="108"/>
      <c r="LCJ14" s="109"/>
      <c r="LCK14" s="107" t="s">
        <v>1</v>
      </c>
      <c r="LCL14" s="108"/>
      <c r="LCM14" s="108"/>
      <c r="LCN14" s="109"/>
      <c r="LCO14" s="107" t="s">
        <v>1</v>
      </c>
      <c r="LCP14" s="108"/>
      <c r="LCQ14" s="108"/>
      <c r="LCR14" s="109"/>
      <c r="LCS14" s="107" t="s">
        <v>1</v>
      </c>
      <c r="LCT14" s="108"/>
      <c r="LCU14" s="108"/>
      <c r="LCV14" s="109"/>
      <c r="LCW14" s="107" t="s">
        <v>1</v>
      </c>
      <c r="LCX14" s="108"/>
      <c r="LCY14" s="108"/>
      <c r="LCZ14" s="109"/>
      <c r="LDA14" s="107" t="s">
        <v>1</v>
      </c>
      <c r="LDB14" s="108"/>
      <c r="LDC14" s="108"/>
      <c r="LDD14" s="109"/>
      <c r="LDE14" s="107" t="s">
        <v>1</v>
      </c>
      <c r="LDF14" s="108"/>
      <c r="LDG14" s="108"/>
      <c r="LDH14" s="109"/>
      <c r="LDI14" s="107" t="s">
        <v>1</v>
      </c>
      <c r="LDJ14" s="108"/>
      <c r="LDK14" s="108"/>
      <c r="LDL14" s="109"/>
      <c r="LDM14" s="107" t="s">
        <v>1</v>
      </c>
      <c r="LDN14" s="108"/>
      <c r="LDO14" s="108"/>
      <c r="LDP14" s="109"/>
      <c r="LDQ14" s="107" t="s">
        <v>1</v>
      </c>
      <c r="LDR14" s="108"/>
      <c r="LDS14" s="108"/>
      <c r="LDT14" s="109"/>
      <c r="LDU14" s="107" t="s">
        <v>1</v>
      </c>
      <c r="LDV14" s="108"/>
      <c r="LDW14" s="108"/>
      <c r="LDX14" s="109"/>
      <c r="LDY14" s="107" t="s">
        <v>1</v>
      </c>
      <c r="LDZ14" s="108"/>
      <c r="LEA14" s="108"/>
      <c r="LEB14" s="109"/>
      <c r="LEC14" s="107" t="s">
        <v>1</v>
      </c>
      <c r="LED14" s="108"/>
      <c r="LEE14" s="108"/>
      <c r="LEF14" s="109"/>
      <c r="LEG14" s="107" t="s">
        <v>1</v>
      </c>
      <c r="LEH14" s="108"/>
      <c r="LEI14" s="108"/>
      <c r="LEJ14" s="109"/>
      <c r="LEK14" s="107" t="s">
        <v>1</v>
      </c>
      <c r="LEL14" s="108"/>
      <c r="LEM14" s="108"/>
      <c r="LEN14" s="109"/>
      <c r="LEO14" s="107" t="s">
        <v>1</v>
      </c>
      <c r="LEP14" s="108"/>
      <c r="LEQ14" s="108"/>
      <c r="LER14" s="109"/>
      <c r="LES14" s="107" t="s">
        <v>1</v>
      </c>
      <c r="LET14" s="108"/>
      <c r="LEU14" s="108"/>
      <c r="LEV14" s="109"/>
      <c r="LEW14" s="107" t="s">
        <v>1</v>
      </c>
      <c r="LEX14" s="108"/>
      <c r="LEY14" s="108"/>
      <c r="LEZ14" s="109"/>
      <c r="LFA14" s="107" t="s">
        <v>1</v>
      </c>
      <c r="LFB14" s="108"/>
      <c r="LFC14" s="108"/>
      <c r="LFD14" s="109"/>
      <c r="LFE14" s="107" t="s">
        <v>1</v>
      </c>
      <c r="LFF14" s="108"/>
      <c r="LFG14" s="108"/>
      <c r="LFH14" s="109"/>
      <c r="LFI14" s="107" t="s">
        <v>1</v>
      </c>
      <c r="LFJ14" s="108"/>
      <c r="LFK14" s="108"/>
      <c r="LFL14" s="109"/>
      <c r="LFM14" s="107" t="s">
        <v>1</v>
      </c>
      <c r="LFN14" s="108"/>
      <c r="LFO14" s="108"/>
      <c r="LFP14" s="109"/>
      <c r="LFQ14" s="107" t="s">
        <v>1</v>
      </c>
      <c r="LFR14" s="108"/>
      <c r="LFS14" s="108"/>
      <c r="LFT14" s="109"/>
      <c r="LFU14" s="107" t="s">
        <v>1</v>
      </c>
      <c r="LFV14" s="108"/>
      <c r="LFW14" s="108"/>
      <c r="LFX14" s="109"/>
      <c r="LFY14" s="107" t="s">
        <v>1</v>
      </c>
      <c r="LFZ14" s="108"/>
      <c r="LGA14" s="108"/>
      <c r="LGB14" s="109"/>
      <c r="LGC14" s="107" t="s">
        <v>1</v>
      </c>
      <c r="LGD14" s="108"/>
      <c r="LGE14" s="108"/>
      <c r="LGF14" s="109"/>
      <c r="LGG14" s="107" t="s">
        <v>1</v>
      </c>
      <c r="LGH14" s="108"/>
      <c r="LGI14" s="108"/>
      <c r="LGJ14" s="109"/>
      <c r="LGK14" s="107" t="s">
        <v>1</v>
      </c>
      <c r="LGL14" s="108"/>
      <c r="LGM14" s="108"/>
      <c r="LGN14" s="109"/>
      <c r="LGO14" s="107" t="s">
        <v>1</v>
      </c>
      <c r="LGP14" s="108"/>
      <c r="LGQ14" s="108"/>
      <c r="LGR14" s="109"/>
      <c r="LGS14" s="107" t="s">
        <v>1</v>
      </c>
      <c r="LGT14" s="108"/>
      <c r="LGU14" s="108"/>
      <c r="LGV14" s="109"/>
      <c r="LGW14" s="107" t="s">
        <v>1</v>
      </c>
      <c r="LGX14" s="108"/>
      <c r="LGY14" s="108"/>
      <c r="LGZ14" s="109"/>
      <c r="LHA14" s="107" t="s">
        <v>1</v>
      </c>
      <c r="LHB14" s="108"/>
      <c r="LHC14" s="108"/>
      <c r="LHD14" s="109"/>
      <c r="LHE14" s="107" t="s">
        <v>1</v>
      </c>
      <c r="LHF14" s="108"/>
      <c r="LHG14" s="108"/>
      <c r="LHH14" s="109"/>
      <c r="LHI14" s="107" t="s">
        <v>1</v>
      </c>
      <c r="LHJ14" s="108"/>
      <c r="LHK14" s="108"/>
      <c r="LHL14" s="109"/>
      <c r="LHM14" s="107" t="s">
        <v>1</v>
      </c>
      <c r="LHN14" s="108"/>
      <c r="LHO14" s="108"/>
      <c r="LHP14" s="109"/>
      <c r="LHQ14" s="107" t="s">
        <v>1</v>
      </c>
      <c r="LHR14" s="108"/>
      <c r="LHS14" s="108"/>
      <c r="LHT14" s="109"/>
      <c r="LHU14" s="107" t="s">
        <v>1</v>
      </c>
      <c r="LHV14" s="108"/>
      <c r="LHW14" s="108"/>
      <c r="LHX14" s="109"/>
      <c r="LHY14" s="107" t="s">
        <v>1</v>
      </c>
      <c r="LHZ14" s="108"/>
      <c r="LIA14" s="108"/>
      <c r="LIB14" s="109"/>
      <c r="LIC14" s="107" t="s">
        <v>1</v>
      </c>
      <c r="LID14" s="108"/>
      <c r="LIE14" s="108"/>
      <c r="LIF14" s="109"/>
      <c r="LIG14" s="107" t="s">
        <v>1</v>
      </c>
      <c r="LIH14" s="108"/>
      <c r="LII14" s="108"/>
      <c r="LIJ14" s="109"/>
      <c r="LIK14" s="107" t="s">
        <v>1</v>
      </c>
      <c r="LIL14" s="108"/>
      <c r="LIM14" s="108"/>
      <c r="LIN14" s="109"/>
      <c r="LIO14" s="107" t="s">
        <v>1</v>
      </c>
      <c r="LIP14" s="108"/>
      <c r="LIQ14" s="108"/>
      <c r="LIR14" s="109"/>
      <c r="LIS14" s="107" t="s">
        <v>1</v>
      </c>
      <c r="LIT14" s="108"/>
      <c r="LIU14" s="108"/>
      <c r="LIV14" s="109"/>
      <c r="LIW14" s="107" t="s">
        <v>1</v>
      </c>
      <c r="LIX14" s="108"/>
      <c r="LIY14" s="108"/>
      <c r="LIZ14" s="109"/>
      <c r="LJA14" s="107" t="s">
        <v>1</v>
      </c>
      <c r="LJB14" s="108"/>
      <c r="LJC14" s="108"/>
      <c r="LJD14" s="109"/>
      <c r="LJE14" s="107" t="s">
        <v>1</v>
      </c>
      <c r="LJF14" s="108"/>
      <c r="LJG14" s="108"/>
      <c r="LJH14" s="109"/>
      <c r="LJI14" s="107" t="s">
        <v>1</v>
      </c>
      <c r="LJJ14" s="108"/>
      <c r="LJK14" s="108"/>
      <c r="LJL14" s="109"/>
      <c r="LJM14" s="107" t="s">
        <v>1</v>
      </c>
      <c r="LJN14" s="108"/>
      <c r="LJO14" s="108"/>
      <c r="LJP14" s="109"/>
      <c r="LJQ14" s="107" t="s">
        <v>1</v>
      </c>
      <c r="LJR14" s="108"/>
      <c r="LJS14" s="108"/>
      <c r="LJT14" s="109"/>
      <c r="LJU14" s="107" t="s">
        <v>1</v>
      </c>
      <c r="LJV14" s="108"/>
      <c r="LJW14" s="108"/>
      <c r="LJX14" s="109"/>
      <c r="LJY14" s="107" t="s">
        <v>1</v>
      </c>
      <c r="LJZ14" s="108"/>
      <c r="LKA14" s="108"/>
      <c r="LKB14" s="109"/>
      <c r="LKC14" s="107" t="s">
        <v>1</v>
      </c>
      <c r="LKD14" s="108"/>
      <c r="LKE14" s="108"/>
      <c r="LKF14" s="109"/>
      <c r="LKG14" s="107" t="s">
        <v>1</v>
      </c>
      <c r="LKH14" s="108"/>
      <c r="LKI14" s="108"/>
      <c r="LKJ14" s="109"/>
      <c r="LKK14" s="107" t="s">
        <v>1</v>
      </c>
      <c r="LKL14" s="108"/>
      <c r="LKM14" s="108"/>
      <c r="LKN14" s="109"/>
      <c r="LKO14" s="107" t="s">
        <v>1</v>
      </c>
      <c r="LKP14" s="108"/>
      <c r="LKQ14" s="108"/>
      <c r="LKR14" s="109"/>
      <c r="LKS14" s="107" t="s">
        <v>1</v>
      </c>
      <c r="LKT14" s="108"/>
      <c r="LKU14" s="108"/>
      <c r="LKV14" s="109"/>
      <c r="LKW14" s="107" t="s">
        <v>1</v>
      </c>
      <c r="LKX14" s="108"/>
      <c r="LKY14" s="108"/>
      <c r="LKZ14" s="109"/>
      <c r="LLA14" s="107" t="s">
        <v>1</v>
      </c>
      <c r="LLB14" s="108"/>
      <c r="LLC14" s="108"/>
      <c r="LLD14" s="109"/>
      <c r="LLE14" s="107" t="s">
        <v>1</v>
      </c>
      <c r="LLF14" s="108"/>
      <c r="LLG14" s="108"/>
      <c r="LLH14" s="109"/>
      <c r="LLI14" s="107" t="s">
        <v>1</v>
      </c>
      <c r="LLJ14" s="108"/>
      <c r="LLK14" s="108"/>
      <c r="LLL14" s="109"/>
      <c r="LLM14" s="107" t="s">
        <v>1</v>
      </c>
      <c r="LLN14" s="108"/>
      <c r="LLO14" s="108"/>
      <c r="LLP14" s="109"/>
      <c r="LLQ14" s="107" t="s">
        <v>1</v>
      </c>
      <c r="LLR14" s="108"/>
      <c r="LLS14" s="108"/>
      <c r="LLT14" s="109"/>
      <c r="LLU14" s="107" t="s">
        <v>1</v>
      </c>
      <c r="LLV14" s="108"/>
      <c r="LLW14" s="108"/>
      <c r="LLX14" s="109"/>
      <c r="LLY14" s="107" t="s">
        <v>1</v>
      </c>
      <c r="LLZ14" s="108"/>
      <c r="LMA14" s="108"/>
      <c r="LMB14" s="109"/>
      <c r="LMC14" s="107" t="s">
        <v>1</v>
      </c>
      <c r="LMD14" s="108"/>
      <c r="LME14" s="108"/>
      <c r="LMF14" s="109"/>
      <c r="LMG14" s="107" t="s">
        <v>1</v>
      </c>
      <c r="LMH14" s="108"/>
      <c r="LMI14" s="108"/>
      <c r="LMJ14" s="109"/>
      <c r="LMK14" s="107" t="s">
        <v>1</v>
      </c>
      <c r="LML14" s="108"/>
      <c r="LMM14" s="108"/>
      <c r="LMN14" s="109"/>
      <c r="LMO14" s="107" t="s">
        <v>1</v>
      </c>
      <c r="LMP14" s="108"/>
      <c r="LMQ14" s="108"/>
      <c r="LMR14" s="109"/>
      <c r="LMS14" s="107" t="s">
        <v>1</v>
      </c>
      <c r="LMT14" s="108"/>
      <c r="LMU14" s="108"/>
      <c r="LMV14" s="109"/>
      <c r="LMW14" s="107" t="s">
        <v>1</v>
      </c>
      <c r="LMX14" s="108"/>
      <c r="LMY14" s="108"/>
      <c r="LMZ14" s="109"/>
      <c r="LNA14" s="107" t="s">
        <v>1</v>
      </c>
      <c r="LNB14" s="108"/>
      <c r="LNC14" s="108"/>
      <c r="LND14" s="109"/>
      <c r="LNE14" s="107" t="s">
        <v>1</v>
      </c>
      <c r="LNF14" s="108"/>
      <c r="LNG14" s="108"/>
      <c r="LNH14" s="109"/>
      <c r="LNI14" s="107" t="s">
        <v>1</v>
      </c>
      <c r="LNJ14" s="108"/>
      <c r="LNK14" s="108"/>
      <c r="LNL14" s="109"/>
      <c r="LNM14" s="107" t="s">
        <v>1</v>
      </c>
      <c r="LNN14" s="108"/>
      <c r="LNO14" s="108"/>
      <c r="LNP14" s="109"/>
      <c r="LNQ14" s="107" t="s">
        <v>1</v>
      </c>
      <c r="LNR14" s="108"/>
      <c r="LNS14" s="108"/>
      <c r="LNT14" s="109"/>
      <c r="LNU14" s="107" t="s">
        <v>1</v>
      </c>
      <c r="LNV14" s="108"/>
      <c r="LNW14" s="108"/>
      <c r="LNX14" s="109"/>
      <c r="LNY14" s="107" t="s">
        <v>1</v>
      </c>
      <c r="LNZ14" s="108"/>
      <c r="LOA14" s="108"/>
      <c r="LOB14" s="109"/>
      <c r="LOC14" s="107" t="s">
        <v>1</v>
      </c>
      <c r="LOD14" s="108"/>
      <c r="LOE14" s="108"/>
      <c r="LOF14" s="109"/>
      <c r="LOG14" s="107" t="s">
        <v>1</v>
      </c>
      <c r="LOH14" s="108"/>
      <c r="LOI14" s="108"/>
      <c r="LOJ14" s="109"/>
      <c r="LOK14" s="107" t="s">
        <v>1</v>
      </c>
      <c r="LOL14" s="108"/>
      <c r="LOM14" s="108"/>
      <c r="LON14" s="109"/>
      <c r="LOO14" s="107" t="s">
        <v>1</v>
      </c>
      <c r="LOP14" s="108"/>
      <c r="LOQ14" s="108"/>
      <c r="LOR14" s="109"/>
      <c r="LOS14" s="107" t="s">
        <v>1</v>
      </c>
      <c r="LOT14" s="108"/>
      <c r="LOU14" s="108"/>
      <c r="LOV14" s="109"/>
      <c r="LOW14" s="107" t="s">
        <v>1</v>
      </c>
      <c r="LOX14" s="108"/>
      <c r="LOY14" s="108"/>
      <c r="LOZ14" s="109"/>
      <c r="LPA14" s="107" t="s">
        <v>1</v>
      </c>
      <c r="LPB14" s="108"/>
      <c r="LPC14" s="108"/>
      <c r="LPD14" s="109"/>
      <c r="LPE14" s="107" t="s">
        <v>1</v>
      </c>
      <c r="LPF14" s="108"/>
      <c r="LPG14" s="108"/>
      <c r="LPH14" s="109"/>
      <c r="LPI14" s="107" t="s">
        <v>1</v>
      </c>
      <c r="LPJ14" s="108"/>
      <c r="LPK14" s="108"/>
      <c r="LPL14" s="109"/>
      <c r="LPM14" s="107" t="s">
        <v>1</v>
      </c>
      <c r="LPN14" s="108"/>
      <c r="LPO14" s="108"/>
      <c r="LPP14" s="109"/>
      <c r="LPQ14" s="107" t="s">
        <v>1</v>
      </c>
      <c r="LPR14" s="108"/>
      <c r="LPS14" s="108"/>
      <c r="LPT14" s="109"/>
      <c r="LPU14" s="107" t="s">
        <v>1</v>
      </c>
      <c r="LPV14" s="108"/>
      <c r="LPW14" s="108"/>
      <c r="LPX14" s="109"/>
      <c r="LPY14" s="107" t="s">
        <v>1</v>
      </c>
      <c r="LPZ14" s="108"/>
      <c r="LQA14" s="108"/>
      <c r="LQB14" s="109"/>
      <c r="LQC14" s="107" t="s">
        <v>1</v>
      </c>
      <c r="LQD14" s="108"/>
      <c r="LQE14" s="108"/>
      <c r="LQF14" s="109"/>
      <c r="LQG14" s="107" t="s">
        <v>1</v>
      </c>
      <c r="LQH14" s="108"/>
      <c r="LQI14" s="108"/>
      <c r="LQJ14" s="109"/>
      <c r="LQK14" s="107" t="s">
        <v>1</v>
      </c>
      <c r="LQL14" s="108"/>
      <c r="LQM14" s="108"/>
      <c r="LQN14" s="109"/>
      <c r="LQO14" s="107" t="s">
        <v>1</v>
      </c>
      <c r="LQP14" s="108"/>
      <c r="LQQ14" s="108"/>
      <c r="LQR14" s="109"/>
      <c r="LQS14" s="107" t="s">
        <v>1</v>
      </c>
      <c r="LQT14" s="108"/>
      <c r="LQU14" s="108"/>
      <c r="LQV14" s="109"/>
      <c r="LQW14" s="107" t="s">
        <v>1</v>
      </c>
      <c r="LQX14" s="108"/>
      <c r="LQY14" s="108"/>
      <c r="LQZ14" s="109"/>
      <c r="LRA14" s="107" t="s">
        <v>1</v>
      </c>
      <c r="LRB14" s="108"/>
      <c r="LRC14" s="108"/>
      <c r="LRD14" s="109"/>
      <c r="LRE14" s="107" t="s">
        <v>1</v>
      </c>
      <c r="LRF14" s="108"/>
      <c r="LRG14" s="108"/>
      <c r="LRH14" s="109"/>
      <c r="LRI14" s="107" t="s">
        <v>1</v>
      </c>
      <c r="LRJ14" s="108"/>
      <c r="LRK14" s="108"/>
      <c r="LRL14" s="109"/>
      <c r="LRM14" s="107" t="s">
        <v>1</v>
      </c>
      <c r="LRN14" s="108"/>
      <c r="LRO14" s="108"/>
      <c r="LRP14" s="109"/>
      <c r="LRQ14" s="107" t="s">
        <v>1</v>
      </c>
      <c r="LRR14" s="108"/>
      <c r="LRS14" s="108"/>
      <c r="LRT14" s="109"/>
      <c r="LRU14" s="107" t="s">
        <v>1</v>
      </c>
      <c r="LRV14" s="108"/>
      <c r="LRW14" s="108"/>
      <c r="LRX14" s="109"/>
      <c r="LRY14" s="107" t="s">
        <v>1</v>
      </c>
      <c r="LRZ14" s="108"/>
      <c r="LSA14" s="108"/>
      <c r="LSB14" s="109"/>
      <c r="LSC14" s="107" t="s">
        <v>1</v>
      </c>
      <c r="LSD14" s="108"/>
      <c r="LSE14" s="108"/>
      <c r="LSF14" s="109"/>
      <c r="LSG14" s="107" t="s">
        <v>1</v>
      </c>
      <c r="LSH14" s="108"/>
      <c r="LSI14" s="108"/>
      <c r="LSJ14" s="109"/>
      <c r="LSK14" s="107" t="s">
        <v>1</v>
      </c>
      <c r="LSL14" s="108"/>
      <c r="LSM14" s="108"/>
      <c r="LSN14" s="109"/>
      <c r="LSO14" s="107" t="s">
        <v>1</v>
      </c>
      <c r="LSP14" s="108"/>
      <c r="LSQ14" s="108"/>
      <c r="LSR14" s="109"/>
      <c r="LSS14" s="107" t="s">
        <v>1</v>
      </c>
      <c r="LST14" s="108"/>
      <c r="LSU14" s="108"/>
      <c r="LSV14" s="109"/>
      <c r="LSW14" s="107" t="s">
        <v>1</v>
      </c>
      <c r="LSX14" s="108"/>
      <c r="LSY14" s="108"/>
      <c r="LSZ14" s="109"/>
      <c r="LTA14" s="107" t="s">
        <v>1</v>
      </c>
      <c r="LTB14" s="108"/>
      <c r="LTC14" s="108"/>
      <c r="LTD14" s="109"/>
      <c r="LTE14" s="107" t="s">
        <v>1</v>
      </c>
      <c r="LTF14" s="108"/>
      <c r="LTG14" s="108"/>
      <c r="LTH14" s="109"/>
      <c r="LTI14" s="107" t="s">
        <v>1</v>
      </c>
      <c r="LTJ14" s="108"/>
      <c r="LTK14" s="108"/>
      <c r="LTL14" s="109"/>
      <c r="LTM14" s="107" t="s">
        <v>1</v>
      </c>
      <c r="LTN14" s="108"/>
      <c r="LTO14" s="108"/>
      <c r="LTP14" s="109"/>
      <c r="LTQ14" s="107" t="s">
        <v>1</v>
      </c>
      <c r="LTR14" s="108"/>
      <c r="LTS14" s="108"/>
      <c r="LTT14" s="109"/>
      <c r="LTU14" s="107" t="s">
        <v>1</v>
      </c>
      <c r="LTV14" s="108"/>
      <c r="LTW14" s="108"/>
      <c r="LTX14" s="109"/>
      <c r="LTY14" s="107" t="s">
        <v>1</v>
      </c>
      <c r="LTZ14" s="108"/>
      <c r="LUA14" s="108"/>
      <c r="LUB14" s="109"/>
      <c r="LUC14" s="107" t="s">
        <v>1</v>
      </c>
      <c r="LUD14" s="108"/>
      <c r="LUE14" s="108"/>
      <c r="LUF14" s="109"/>
      <c r="LUG14" s="107" t="s">
        <v>1</v>
      </c>
      <c r="LUH14" s="108"/>
      <c r="LUI14" s="108"/>
      <c r="LUJ14" s="109"/>
      <c r="LUK14" s="107" t="s">
        <v>1</v>
      </c>
      <c r="LUL14" s="108"/>
      <c r="LUM14" s="108"/>
      <c r="LUN14" s="109"/>
      <c r="LUO14" s="107" t="s">
        <v>1</v>
      </c>
      <c r="LUP14" s="108"/>
      <c r="LUQ14" s="108"/>
      <c r="LUR14" s="109"/>
      <c r="LUS14" s="107" t="s">
        <v>1</v>
      </c>
      <c r="LUT14" s="108"/>
      <c r="LUU14" s="108"/>
      <c r="LUV14" s="109"/>
      <c r="LUW14" s="107" t="s">
        <v>1</v>
      </c>
      <c r="LUX14" s="108"/>
      <c r="LUY14" s="108"/>
      <c r="LUZ14" s="109"/>
      <c r="LVA14" s="107" t="s">
        <v>1</v>
      </c>
      <c r="LVB14" s="108"/>
      <c r="LVC14" s="108"/>
      <c r="LVD14" s="109"/>
      <c r="LVE14" s="107" t="s">
        <v>1</v>
      </c>
      <c r="LVF14" s="108"/>
      <c r="LVG14" s="108"/>
      <c r="LVH14" s="109"/>
      <c r="LVI14" s="107" t="s">
        <v>1</v>
      </c>
      <c r="LVJ14" s="108"/>
      <c r="LVK14" s="108"/>
      <c r="LVL14" s="109"/>
      <c r="LVM14" s="107" t="s">
        <v>1</v>
      </c>
      <c r="LVN14" s="108"/>
      <c r="LVO14" s="108"/>
      <c r="LVP14" s="109"/>
      <c r="LVQ14" s="107" t="s">
        <v>1</v>
      </c>
      <c r="LVR14" s="108"/>
      <c r="LVS14" s="108"/>
      <c r="LVT14" s="109"/>
      <c r="LVU14" s="107" t="s">
        <v>1</v>
      </c>
      <c r="LVV14" s="108"/>
      <c r="LVW14" s="108"/>
      <c r="LVX14" s="109"/>
      <c r="LVY14" s="107" t="s">
        <v>1</v>
      </c>
      <c r="LVZ14" s="108"/>
      <c r="LWA14" s="108"/>
      <c r="LWB14" s="109"/>
      <c r="LWC14" s="107" t="s">
        <v>1</v>
      </c>
      <c r="LWD14" s="108"/>
      <c r="LWE14" s="108"/>
      <c r="LWF14" s="109"/>
      <c r="LWG14" s="107" t="s">
        <v>1</v>
      </c>
      <c r="LWH14" s="108"/>
      <c r="LWI14" s="108"/>
      <c r="LWJ14" s="109"/>
      <c r="LWK14" s="107" t="s">
        <v>1</v>
      </c>
      <c r="LWL14" s="108"/>
      <c r="LWM14" s="108"/>
      <c r="LWN14" s="109"/>
      <c r="LWO14" s="107" t="s">
        <v>1</v>
      </c>
      <c r="LWP14" s="108"/>
      <c r="LWQ14" s="108"/>
      <c r="LWR14" s="109"/>
      <c r="LWS14" s="107" t="s">
        <v>1</v>
      </c>
      <c r="LWT14" s="108"/>
      <c r="LWU14" s="108"/>
      <c r="LWV14" s="109"/>
      <c r="LWW14" s="107" t="s">
        <v>1</v>
      </c>
      <c r="LWX14" s="108"/>
      <c r="LWY14" s="108"/>
      <c r="LWZ14" s="109"/>
      <c r="LXA14" s="107" t="s">
        <v>1</v>
      </c>
      <c r="LXB14" s="108"/>
      <c r="LXC14" s="108"/>
      <c r="LXD14" s="109"/>
      <c r="LXE14" s="107" t="s">
        <v>1</v>
      </c>
      <c r="LXF14" s="108"/>
      <c r="LXG14" s="108"/>
      <c r="LXH14" s="109"/>
      <c r="LXI14" s="107" t="s">
        <v>1</v>
      </c>
      <c r="LXJ14" s="108"/>
      <c r="LXK14" s="108"/>
      <c r="LXL14" s="109"/>
      <c r="LXM14" s="107" t="s">
        <v>1</v>
      </c>
      <c r="LXN14" s="108"/>
      <c r="LXO14" s="108"/>
      <c r="LXP14" s="109"/>
      <c r="LXQ14" s="107" t="s">
        <v>1</v>
      </c>
      <c r="LXR14" s="108"/>
      <c r="LXS14" s="108"/>
      <c r="LXT14" s="109"/>
      <c r="LXU14" s="107" t="s">
        <v>1</v>
      </c>
      <c r="LXV14" s="108"/>
      <c r="LXW14" s="108"/>
      <c r="LXX14" s="109"/>
      <c r="LXY14" s="107" t="s">
        <v>1</v>
      </c>
      <c r="LXZ14" s="108"/>
      <c r="LYA14" s="108"/>
      <c r="LYB14" s="109"/>
      <c r="LYC14" s="107" t="s">
        <v>1</v>
      </c>
      <c r="LYD14" s="108"/>
      <c r="LYE14" s="108"/>
      <c r="LYF14" s="109"/>
      <c r="LYG14" s="107" t="s">
        <v>1</v>
      </c>
      <c r="LYH14" s="108"/>
      <c r="LYI14" s="108"/>
      <c r="LYJ14" s="109"/>
      <c r="LYK14" s="107" t="s">
        <v>1</v>
      </c>
      <c r="LYL14" s="108"/>
      <c r="LYM14" s="108"/>
      <c r="LYN14" s="109"/>
      <c r="LYO14" s="107" t="s">
        <v>1</v>
      </c>
      <c r="LYP14" s="108"/>
      <c r="LYQ14" s="108"/>
      <c r="LYR14" s="109"/>
      <c r="LYS14" s="107" t="s">
        <v>1</v>
      </c>
      <c r="LYT14" s="108"/>
      <c r="LYU14" s="108"/>
      <c r="LYV14" s="109"/>
      <c r="LYW14" s="107" t="s">
        <v>1</v>
      </c>
      <c r="LYX14" s="108"/>
      <c r="LYY14" s="108"/>
      <c r="LYZ14" s="109"/>
      <c r="LZA14" s="107" t="s">
        <v>1</v>
      </c>
      <c r="LZB14" s="108"/>
      <c r="LZC14" s="108"/>
      <c r="LZD14" s="109"/>
      <c r="LZE14" s="107" t="s">
        <v>1</v>
      </c>
      <c r="LZF14" s="108"/>
      <c r="LZG14" s="108"/>
      <c r="LZH14" s="109"/>
      <c r="LZI14" s="107" t="s">
        <v>1</v>
      </c>
      <c r="LZJ14" s="108"/>
      <c r="LZK14" s="108"/>
      <c r="LZL14" s="109"/>
      <c r="LZM14" s="107" t="s">
        <v>1</v>
      </c>
      <c r="LZN14" s="108"/>
      <c r="LZO14" s="108"/>
      <c r="LZP14" s="109"/>
      <c r="LZQ14" s="107" t="s">
        <v>1</v>
      </c>
      <c r="LZR14" s="108"/>
      <c r="LZS14" s="108"/>
      <c r="LZT14" s="109"/>
      <c r="LZU14" s="107" t="s">
        <v>1</v>
      </c>
      <c r="LZV14" s="108"/>
      <c r="LZW14" s="108"/>
      <c r="LZX14" s="109"/>
      <c r="LZY14" s="107" t="s">
        <v>1</v>
      </c>
      <c r="LZZ14" s="108"/>
      <c r="MAA14" s="108"/>
      <c r="MAB14" s="109"/>
      <c r="MAC14" s="107" t="s">
        <v>1</v>
      </c>
      <c r="MAD14" s="108"/>
      <c r="MAE14" s="108"/>
      <c r="MAF14" s="109"/>
      <c r="MAG14" s="107" t="s">
        <v>1</v>
      </c>
      <c r="MAH14" s="108"/>
      <c r="MAI14" s="108"/>
      <c r="MAJ14" s="109"/>
      <c r="MAK14" s="107" t="s">
        <v>1</v>
      </c>
      <c r="MAL14" s="108"/>
      <c r="MAM14" s="108"/>
      <c r="MAN14" s="109"/>
      <c r="MAO14" s="107" t="s">
        <v>1</v>
      </c>
      <c r="MAP14" s="108"/>
      <c r="MAQ14" s="108"/>
      <c r="MAR14" s="109"/>
      <c r="MAS14" s="107" t="s">
        <v>1</v>
      </c>
      <c r="MAT14" s="108"/>
      <c r="MAU14" s="108"/>
      <c r="MAV14" s="109"/>
      <c r="MAW14" s="107" t="s">
        <v>1</v>
      </c>
      <c r="MAX14" s="108"/>
      <c r="MAY14" s="108"/>
      <c r="MAZ14" s="109"/>
      <c r="MBA14" s="107" t="s">
        <v>1</v>
      </c>
      <c r="MBB14" s="108"/>
      <c r="MBC14" s="108"/>
      <c r="MBD14" s="109"/>
      <c r="MBE14" s="107" t="s">
        <v>1</v>
      </c>
      <c r="MBF14" s="108"/>
      <c r="MBG14" s="108"/>
      <c r="MBH14" s="109"/>
      <c r="MBI14" s="107" t="s">
        <v>1</v>
      </c>
      <c r="MBJ14" s="108"/>
      <c r="MBK14" s="108"/>
      <c r="MBL14" s="109"/>
      <c r="MBM14" s="107" t="s">
        <v>1</v>
      </c>
      <c r="MBN14" s="108"/>
      <c r="MBO14" s="108"/>
      <c r="MBP14" s="109"/>
      <c r="MBQ14" s="107" t="s">
        <v>1</v>
      </c>
      <c r="MBR14" s="108"/>
      <c r="MBS14" s="108"/>
      <c r="MBT14" s="109"/>
      <c r="MBU14" s="107" t="s">
        <v>1</v>
      </c>
      <c r="MBV14" s="108"/>
      <c r="MBW14" s="108"/>
      <c r="MBX14" s="109"/>
      <c r="MBY14" s="107" t="s">
        <v>1</v>
      </c>
      <c r="MBZ14" s="108"/>
      <c r="MCA14" s="108"/>
      <c r="MCB14" s="109"/>
      <c r="MCC14" s="107" t="s">
        <v>1</v>
      </c>
      <c r="MCD14" s="108"/>
      <c r="MCE14" s="108"/>
      <c r="MCF14" s="109"/>
      <c r="MCG14" s="107" t="s">
        <v>1</v>
      </c>
      <c r="MCH14" s="108"/>
      <c r="MCI14" s="108"/>
      <c r="MCJ14" s="109"/>
      <c r="MCK14" s="107" t="s">
        <v>1</v>
      </c>
      <c r="MCL14" s="108"/>
      <c r="MCM14" s="108"/>
      <c r="MCN14" s="109"/>
      <c r="MCO14" s="107" t="s">
        <v>1</v>
      </c>
      <c r="MCP14" s="108"/>
      <c r="MCQ14" s="108"/>
      <c r="MCR14" s="109"/>
      <c r="MCS14" s="107" t="s">
        <v>1</v>
      </c>
      <c r="MCT14" s="108"/>
      <c r="MCU14" s="108"/>
      <c r="MCV14" s="109"/>
      <c r="MCW14" s="107" t="s">
        <v>1</v>
      </c>
      <c r="MCX14" s="108"/>
      <c r="MCY14" s="108"/>
      <c r="MCZ14" s="109"/>
      <c r="MDA14" s="107" t="s">
        <v>1</v>
      </c>
      <c r="MDB14" s="108"/>
      <c r="MDC14" s="108"/>
      <c r="MDD14" s="109"/>
      <c r="MDE14" s="107" t="s">
        <v>1</v>
      </c>
      <c r="MDF14" s="108"/>
      <c r="MDG14" s="108"/>
      <c r="MDH14" s="109"/>
      <c r="MDI14" s="107" t="s">
        <v>1</v>
      </c>
      <c r="MDJ14" s="108"/>
      <c r="MDK14" s="108"/>
      <c r="MDL14" s="109"/>
      <c r="MDM14" s="107" t="s">
        <v>1</v>
      </c>
      <c r="MDN14" s="108"/>
      <c r="MDO14" s="108"/>
      <c r="MDP14" s="109"/>
      <c r="MDQ14" s="107" t="s">
        <v>1</v>
      </c>
      <c r="MDR14" s="108"/>
      <c r="MDS14" s="108"/>
      <c r="MDT14" s="109"/>
      <c r="MDU14" s="107" t="s">
        <v>1</v>
      </c>
      <c r="MDV14" s="108"/>
      <c r="MDW14" s="108"/>
      <c r="MDX14" s="109"/>
      <c r="MDY14" s="107" t="s">
        <v>1</v>
      </c>
      <c r="MDZ14" s="108"/>
      <c r="MEA14" s="108"/>
      <c r="MEB14" s="109"/>
      <c r="MEC14" s="107" t="s">
        <v>1</v>
      </c>
      <c r="MED14" s="108"/>
      <c r="MEE14" s="108"/>
      <c r="MEF14" s="109"/>
      <c r="MEG14" s="107" t="s">
        <v>1</v>
      </c>
      <c r="MEH14" s="108"/>
      <c r="MEI14" s="108"/>
      <c r="MEJ14" s="109"/>
      <c r="MEK14" s="107" t="s">
        <v>1</v>
      </c>
      <c r="MEL14" s="108"/>
      <c r="MEM14" s="108"/>
      <c r="MEN14" s="109"/>
      <c r="MEO14" s="107" t="s">
        <v>1</v>
      </c>
      <c r="MEP14" s="108"/>
      <c r="MEQ14" s="108"/>
      <c r="MER14" s="109"/>
      <c r="MES14" s="107" t="s">
        <v>1</v>
      </c>
      <c r="MET14" s="108"/>
      <c r="MEU14" s="108"/>
      <c r="MEV14" s="109"/>
      <c r="MEW14" s="107" t="s">
        <v>1</v>
      </c>
      <c r="MEX14" s="108"/>
      <c r="MEY14" s="108"/>
      <c r="MEZ14" s="109"/>
      <c r="MFA14" s="107" t="s">
        <v>1</v>
      </c>
      <c r="MFB14" s="108"/>
      <c r="MFC14" s="108"/>
      <c r="MFD14" s="109"/>
      <c r="MFE14" s="107" t="s">
        <v>1</v>
      </c>
      <c r="MFF14" s="108"/>
      <c r="MFG14" s="108"/>
      <c r="MFH14" s="109"/>
      <c r="MFI14" s="107" t="s">
        <v>1</v>
      </c>
      <c r="MFJ14" s="108"/>
      <c r="MFK14" s="108"/>
      <c r="MFL14" s="109"/>
      <c r="MFM14" s="107" t="s">
        <v>1</v>
      </c>
      <c r="MFN14" s="108"/>
      <c r="MFO14" s="108"/>
      <c r="MFP14" s="109"/>
      <c r="MFQ14" s="107" t="s">
        <v>1</v>
      </c>
      <c r="MFR14" s="108"/>
      <c r="MFS14" s="108"/>
      <c r="MFT14" s="109"/>
      <c r="MFU14" s="107" t="s">
        <v>1</v>
      </c>
      <c r="MFV14" s="108"/>
      <c r="MFW14" s="108"/>
      <c r="MFX14" s="109"/>
      <c r="MFY14" s="107" t="s">
        <v>1</v>
      </c>
      <c r="MFZ14" s="108"/>
      <c r="MGA14" s="108"/>
      <c r="MGB14" s="109"/>
      <c r="MGC14" s="107" t="s">
        <v>1</v>
      </c>
      <c r="MGD14" s="108"/>
      <c r="MGE14" s="108"/>
      <c r="MGF14" s="109"/>
      <c r="MGG14" s="107" t="s">
        <v>1</v>
      </c>
      <c r="MGH14" s="108"/>
      <c r="MGI14" s="108"/>
      <c r="MGJ14" s="109"/>
      <c r="MGK14" s="107" t="s">
        <v>1</v>
      </c>
      <c r="MGL14" s="108"/>
      <c r="MGM14" s="108"/>
      <c r="MGN14" s="109"/>
      <c r="MGO14" s="107" t="s">
        <v>1</v>
      </c>
      <c r="MGP14" s="108"/>
      <c r="MGQ14" s="108"/>
      <c r="MGR14" s="109"/>
      <c r="MGS14" s="107" t="s">
        <v>1</v>
      </c>
      <c r="MGT14" s="108"/>
      <c r="MGU14" s="108"/>
      <c r="MGV14" s="109"/>
      <c r="MGW14" s="107" t="s">
        <v>1</v>
      </c>
      <c r="MGX14" s="108"/>
      <c r="MGY14" s="108"/>
      <c r="MGZ14" s="109"/>
      <c r="MHA14" s="107" t="s">
        <v>1</v>
      </c>
      <c r="MHB14" s="108"/>
      <c r="MHC14" s="108"/>
      <c r="MHD14" s="109"/>
      <c r="MHE14" s="107" t="s">
        <v>1</v>
      </c>
      <c r="MHF14" s="108"/>
      <c r="MHG14" s="108"/>
      <c r="MHH14" s="109"/>
      <c r="MHI14" s="107" t="s">
        <v>1</v>
      </c>
      <c r="MHJ14" s="108"/>
      <c r="MHK14" s="108"/>
      <c r="MHL14" s="109"/>
      <c r="MHM14" s="107" t="s">
        <v>1</v>
      </c>
      <c r="MHN14" s="108"/>
      <c r="MHO14" s="108"/>
      <c r="MHP14" s="109"/>
      <c r="MHQ14" s="107" t="s">
        <v>1</v>
      </c>
      <c r="MHR14" s="108"/>
      <c r="MHS14" s="108"/>
      <c r="MHT14" s="109"/>
      <c r="MHU14" s="107" t="s">
        <v>1</v>
      </c>
      <c r="MHV14" s="108"/>
      <c r="MHW14" s="108"/>
      <c r="MHX14" s="109"/>
      <c r="MHY14" s="107" t="s">
        <v>1</v>
      </c>
      <c r="MHZ14" s="108"/>
      <c r="MIA14" s="108"/>
      <c r="MIB14" s="109"/>
      <c r="MIC14" s="107" t="s">
        <v>1</v>
      </c>
      <c r="MID14" s="108"/>
      <c r="MIE14" s="108"/>
      <c r="MIF14" s="109"/>
      <c r="MIG14" s="107" t="s">
        <v>1</v>
      </c>
      <c r="MIH14" s="108"/>
      <c r="MII14" s="108"/>
      <c r="MIJ14" s="109"/>
      <c r="MIK14" s="107" t="s">
        <v>1</v>
      </c>
      <c r="MIL14" s="108"/>
      <c r="MIM14" s="108"/>
      <c r="MIN14" s="109"/>
      <c r="MIO14" s="107" t="s">
        <v>1</v>
      </c>
      <c r="MIP14" s="108"/>
      <c r="MIQ14" s="108"/>
      <c r="MIR14" s="109"/>
      <c r="MIS14" s="107" t="s">
        <v>1</v>
      </c>
      <c r="MIT14" s="108"/>
      <c r="MIU14" s="108"/>
      <c r="MIV14" s="109"/>
      <c r="MIW14" s="107" t="s">
        <v>1</v>
      </c>
      <c r="MIX14" s="108"/>
      <c r="MIY14" s="108"/>
      <c r="MIZ14" s="109"/>
      <c r="MJA14" s="107" t="s">
        <v>1</v>
      </c>
      <c r="MJB14" s="108"/>
      <c r="MJC14" s="108"/>
      <c r="MJD14" s="109"/>
      <c r="MJE14" s="107" t="s">
        <v>1</v>
      </c>
      <c r="MJF14" s="108"/>
      <c r="MJG14" s="108"/>
      <c r="MJH14" s="109"/>
      <c r="MJI14" s="107" t="s">
        <v>1</v>
      </c>
      <c r="MJJ14" s="108"/>
      <c r="MJK14" s="108"/>
      <c r="MJL14" s="109"/>
      <c r="MJM14" s="107" t="s">
        <v>1</v>
      </c>
      <c r="MJN14" s="108"/>
      <c r="MJO14" s="108"/>
      <c r="MJP14" s="109"/>
      <c r="MJQ14" s="107" t="s">
        <v>1</v>
      </c>
      <c r="MJR14" s="108"/>
      <c r="MJS14" s="108"/>
      <c r="MJT14" s="109"/>
      <c r="MJU14" s="107" t="s">
        <v>1</v>
      </c>
      <c r="MJV14" s="108"/>
      <c r="MJW14" s="108"/>
      <c r="MJX14" s="109"/>
      <c r="MJY14" s="107" t="s">
        <v>1</v>
      </c>
      <c r="MJZ14" s="108"/>
      <c r="MKA14" s="108"/>
      <c r="MKB14" s="109"/>
      <c r="MKC14" s="107" t="s">
        <v>1</v>
      </c>
      <c r="MKD14" s="108"/>
      <c r="MKE14" s="108"/>
      <c r="MKF14" s="109"/>
      <c r="MKG14" s="107" t="s">
        <v>1</v>
      </c>
      <c r="MKH14" s="108"/>
      <c r="MKI14" s="108"/>
      <c r="MKJ14" s="109"/>
      <c r="MKK14" s="107" t="s">
        <v>1</v>
      </c>
      <c r="MKL14" s="108"/>
      <c r="MKM14" s="108"/>
      <c r="MKN14" s="109"/>
      <c r="MKO14" s="107" t="s">
        <v>1</v>
      </c>
      <c r="MKP14" s="108"/>
      <c r="MKQ14" s="108"/>
      <c r="MKR14" s="109"/>
      <c r="MKS14" s="107" t="s">
        <v>1</v>
      </c>
      <c r="MKT14" s="108"/>
      <c r="MKU14" s="108"/>
      <c r="MKV14" s="109"/>
      <c r="MKW14" s="107" t="s">
        <v>1</v>
      </c>
      <c r="MKX14" s="108"/>
      <c r="MKY14" s="108"/>
      <c r="MKZ14" s="109"/>
      <c r="MLA14" s="107" t="s">
        <v>1</v>
      </c>
      <c r="MLB14" s="108"/>
      <c r="MLC14" s="108"/>
      <c r="MLD14" s="109"/>
      <c r="MLE14" s="107" t="s">
        <v>1</v>
      </c>
      <c r="MLF14" s="108"/>
      <c r="MLG14" s="108"/>
      <c r="MLH14" s="109"/>
      <c r="MLI14" s="107" t="s">
        <v>1</v>
      </c>
      <c r="MLJ14" s="108"/>
      <c r="MLK14" s="108"/>
      <c r="MLL14" s="109"/>
      <c r="MLM14" s="107" t="s">
        <v>1</v>
      </c>
      <c r="MLN14" s="108"/>
      <c r="MLO14" s="108"/>
      <c r="MLP14" s="109"/>
      <c r="MLQ14" s="107" t="s">
        <v>1</v>
      </c>
      <c r="MLR14" s="108"/>
      <c r="MLS14" s="108"/>
      <c r="MLT14" s="109"/>
      <c r="MLU14" s="107" t="s">
        <v>1</v>
      </c>
      <c r="MLV14" s="108"/>
      <c r="MLW14" s="108"/>
      <c r="MLX14" s="109"/>
      <c r="MLY14" s="107" t="s">
        <v>1</v>
      </c>
      <c r="MLZ14" s="108"/>
      <c r="MMA14" s="108"/>
      <c r="MMB14" s="109"/>
      <c r="MMC14" s="107" t="s">
        <v>1</v>
      </c>
      <c r="MMD14" s="108"/>
      <c r="MME14" s="108"/>
      <c r="MMF14" s="109"/>
      <c r="MMG14" s="107" t="s">
        <v>1</v>
      </c>
      <c r="MMH14" s="108"/>
      <c r="MMI14" s="108"/>
      <c r="MMJ14" s="109"/>
      <c r="MMK14" s="107" t="s">
        <v>1</v>
      </c>
      <c r="MML14" s="108"/>
      <c r="MMM14" s="108"/>
      <c r="MMN14" s="109"/>
      <c r="MMO14" s="107" t="s">
        <v>1</v>
      </c>
      <c r="MMP14" s="108"/>
      <c r="MMQ14" s="108"/>
      <c r="MMR14" s="109"/>
      <c r="MMS14" s="107" t="s">
        <v>1</v>
      </c>
      <c r="MMT14" s="108"/>
      <c r="MMU14" s="108"/>
      <c r="MMV14" s="109"/>
      <c r="MMW14" s="107" t="s">
        <v>1</v>
      </c>
      <c r="MMX14" s="108"/>
      <c r="MMY14" s="108"/>
      <c r="MMZ14" s="109"/>
      <c r="MNA14" s="107" t="s">
        <v>1</v>
      </c>
      <c r="MNB14" s="108"/>
      <c r="MNC14" s="108"/>
      <c r="MND14" s="109"/>
      <c r="MNE14" s="107" t="s">
        <v>1</v>
      </c>
      <c r="MNF14" s="108"/>
      <c r="MNG14" s="108"/>
      <c r="MNH14" s="109"/>
      <c r="MNI14" s="107" t="s">
        <v>1</v>
      </c>
      <c r="MNJ14" s="108"/>
      <c r="MNK14" s="108"/>
      <c r="MNL14" s="109"/>
      <c r="MNM14" s="107" t="s">
        <v>1</v>
      </c>
      <c r="MNN14" s="108"/>
      <c r="MNO14" s="108"/>
      <c r="MNP14" s="109"/>
      <c r="MNQ14" s="107" t="s">
        <v>1</v>
      </c>
      <c r="MNR14" s="108"/>
      <c r="MNS14" s="108"/>
      <c r="MNT14" s="109"/>
      <c r="MNU14" s="107" t="s">
        <v>1</v>
      </c>
      <c r="MNV14" s="108"/>
      <c r="MNW14" s="108"/>
      <c r="MNX14" s="109"/>
      <c r="MNY14" s="107" t="s">
        <v>1</v>
      </c>
      <c r="MNZ14" s="108"/>
      <c r="MOA14" s="108"/>
      <c r="MOB14" s="109"/>
      <c r="MOC14" s="107" t="s">
        <v>1</v>
      </c>
      <c r="MOD14" s="108"/>
      <c r="MOE14" s="108"/>
      <c r="MOF14" s="109"/>
      <c r="MOG14" s="107" t="s">
        <v>1</v>
      </c>
      <c r="MOH14" s="108"/>
      <c r="MOI14" s="108"/>
      <c r="MOJ14" s="109"/>
      <c r="MOK14" s="107" t="s">
        <v>1</v>
      </c>
      <c r="MOL14" s="108"/>
      <c r="MOM14" s="108"/>
      <c r="MON14" s="109"/>
      <c r="MOO14" s="107" t="s">
        <v>1</v>
      </c>
      <c r="MOP14" s="108"/>
      <c r="MOQ14" s="108"/>
      <c r="MOR14" s="109"/>
      <c r="MOS14" s="107" t="s">
        <v>1</v>
      </c>
      <c r="MOT14" s="108"/>
      <c r="MOU14" s="108"/>
      <c r="MOV14" s="109"/>
      <c r="MOW14" s="107" t="s">
        <v>1</v>
      </c>
      <c r="MOX14" s="108"/>
      <c r="MOY14" s="108"/>
      <c r="MOZ14" s="109"/>
      <c r="MPA14" s="107" t="s">
        <v>1</v>
      </c>
      <c r="MPB14" s="108"/>
      <c r="MPC14" s="108"/>
      <c r="MPD14" s="109"/>
      <c r="MPE14" s="107" t="s">
        <v>1</v>
      </c>
      <c r="MPF14" s="108"/>
      <c r="MPG14" s="108"/>
      <c r="MPH14" s="109"/>
      <c r="MPI14" s="107" t="s">
        <v>1</v>
      </c>
      <c r="MPJ14" s="108"/>
      <c r="MPK14" s="108"/>
      <c r="MPL14" s="109"/>
      <c r="MPM14" s="107" t="s">
        <v>1</v>
      </c>
      <c r="MPN14" s="108"/>
      <c r="MPO14" s="108"/>
      <c r="MPP14" s="109"/>
      <c r="MPQ14" s="107" t="s">
        <v>1</v>
      </c>
      <c r="MPR14" s="108"/>
      <c r="MPS14" s="108"/>
      <c r="MPT14" s="109"/>
      <c r="MPU14" s="107" t="s">
        <v>1</v>
      </c>
      <c r="MPV14" s="108"/>
      <c r="MPW14" s="108"/>
      <c r="MPX14" s="109"/>
      <c r="MPY14" s="107" t="s">
        <v>1</v>
      </c>
      <c r="MPZ14" s="108"/>
      <c r="MQA14" s="108"/>
      <c r="MQB14" s="109"/>
      <c r="MQC14" s="107" t="s">
        <v>1</v>
      </c>
      <c r="MQD14" s="108"/>
      <c r="MQE14" s="108"/>
      <c r="MQF14" s="109"/>
      <c r="MQG14" s="107" t="s">
        <v>1</v>
      </c>
      <c r="MQH14" s="108"/>
      <c r="MQI14" s="108"/>
      <c r="MQJ14" s="109"/>
      <c r="MQK14" s="107" t="s">
        <v>1</v>
      </c>
      <c r="MQL14" s="108"/>
      <c r="MQM14" s="108"/>
      <c r="MQN14" s="109"/>
      <c r="MQO14" s="107" t="s">
        <v>1</v>
      </c>
      <c r="MQP14" s="108"/>
      <c r="MQQ14" s="108"/>
      <c r="MQR14" s="109"/>
      <c r="MQS14" s="107" t="s">
        <v>1</v>
      </c>
      <c r="MQT14" s="108"/>
      <c r="MQU14" s="108"/>
      <c r="MQV14" s="109"/>
      <c r="MQW14" s="107" t="s">
        <v>1</v>
      </c>
      <c r="MQX14" s="108"/>
      <c r="MQY14" s="108"/>
      <c r="MQZ14" s="109"/>
      <c r="MRA14" s="107" t="s">
        <v>1</v>
      </c>
      <c r="MRB14" s="108"/>
      <c r="MRC14" s="108"/>
      <c r="MRD14" s="109"/>
      <c r="MRE14" s="107" t="s">
        <v>1</v>
      </c>
      <c r="MRF14" s="108"/>
      <c r="MRG14" s="108"/>
      <c r="MRH14" s="109"/>
      <c r="MRI14" s="107" t="s">
        <v>1</v>
      </c>
      <c r="MRJ14" s="108"/>
      <c r="MRK14" s="108"/>
      <c r="MRL14" s="109"/>
      <c r="MRM14" s="107" t="s">
        <v>1</v>
      </c>
      <c r="MRN14" s="108"/>
      <c r="MRO14" s="108"/>
      <c r="MRP14" s="109"/>
      <c r="MRQ14" s="107" t="s">
        <v>1</v>
      </c>
      <c r="MRR14" s="108"/>
      <c r="MRS14" s="108"/>
      <c r="MRT14" s="109"/>
      <c r="MRU14" s="107" t="s">
        <v>1</v>
      </c>
      <c r="MRV14" s="108"/>
      <c r="MRW14" s="108"/>
      <c r="MRX14" s="109"/>
      <c r="MRY14" s="107" t="s">
        <v>1</v>
      </c>
      <c r="MRZ14" s="108"/>
      <c r="MSA14" s="108"/>
      <c r="MSB14" s="109"/>
      <c r="MSC14" s="107" t="s">
        <v>1</v>
      </c>
      <c r="MSD14" s="108"/>
      <c r="MSE14" s="108"/>
      <c r="MSF14" s="109"/>
      <c r="MSG14" s="107" t="s">
        <v>1</v>
      </c>
      <c r="MSH14" s="108"/>
      <c r="MSI14" s="108"/>
      <c r="MSJ14" s="109"/>
      <c r="MSK14" s="107" t="s">
        <v>1</v>
      </c>
      <c r="MSL14" s="108"/>
      <c r="MSM14" s="108"/>
      <c r="MSN14" s="109"/>
      <c r="MSO14" s="107" t="s">
        <v>1</v>
      </c>
      <c r="MSP14" s="108"/>
      <c r="MSQ14" s="108"/>
      <c r="MSR14" s="109"/>
      <c r="MSS14" s="107" t="s">
        <v>1</v>
      </c>
      <c r="MST14" s="108"/>
      <c r="MSU14" s="108"/>
      <c r="MSV14" s="109"/>
      <c r="MSW14" s="107" t="s">
        <v>1</v>
      </c>
      <c r="MSX14" s="108"/>
      <c r="MSY14" s="108"/>
      <c r="MSZ14" s="109"/>
      <c r="MTA14" s="107" t="s">
        <v>1</v>
      </c>
      <c r="MTB14" s="108"/>
      <c r="MTC14" s="108"/>
      <c r="MTD14" s="109"/>
      <c r="MTE14" s="107" t="s">
        <v>1</v>
      </c>
      <c r="MTF14" s="108"/>
      <c r="MTG14" s="108"/>
      <c r="MTH14" s="109"/>
      <c r="MTI14" s="107" t="s">
        <v>1</v>
      </c>
      <c r="MTJ14" s="108"/>
      <c r="MTK14" s="108"/>
      <c r="MTL14" s="109"/>
      <c r="MTM14" s="107" t="s">
        <v>1</v>
      </c>
      <c r="MTN14" s="108"/>
      <c r="MTO14" s="108"/>
      <c r="MTP14" s="109"/>
      <c r="MTQ14" s="107" t="s">
        <v>1</v>
      </c>
      <c r="MTR14" s="108"/>
      <c r="MTS14" s="108"/>
      <c r="MTT14" s="109"/>
      <c r="MTU14" s="107" t="s">
        <v>1</v>
      </c>
      <c r="MTV14" s="108"/>
      <c r="MTW14" s="108"/>
      <c r="MTX14" s="109"/>
      <c r="MTY14" s="107" t="s">
        <v>1</v>
      </c>
      <c r="MTZ14" s="108"/>
      <c r="MUA14" s="108"/>
      <c r="MUB14" s="109"/>
      <c r="MUC14" s="107" t="s">
        <v>1</v>
      </c>
      <c r="MUD14" s="108"/>
      <c r="MUE14" s="108"/>
      <c r="MUF14" s="109"/>
      <c r="MUG14" s="107" t="s">
        <v>1</v>
      </c>
      <c r="MUH14" s="108"/>
      <c r="MUI14" s="108"/>
      <c r="MUJ14" s="109"/>
      <c r="MUK14" s="107" t="s">
        <v>1</v>
      </c>
      <c r="MUL14" s="108"/>
      <c r="MUM14" s="108"/>
      <c r="MUN14" s="109"/>
      <c r="MUO14" s="107" t="s">
        <v>1</v>
      </c>
      <c r="MUP14" s="108"/>
      <c r="MUQ14" s="108"/>
      <c r="MUR14" s="109"/>
      <c r="MUS14" s="107" t="s">
        <v>1</v>
      </c>
      <c r="MUT14" s="108"/>
      <c r="MUU14" s="108"/>
      <c r="MUV14" s="109"/>
      <c r="MUW14" s="107" t="s">
        <v>1</v>
      </c>
      <c r="MUX14" s="108"/>
      <c r="MUY14" s="108"/>
      <c r="MUZ14" s="109"/>
      <c r="MVA14" s="107" t="s">
        <v>1</v>
      </c>
      <c r="MVB14" s="108"/>
      <c r="MVC14" s="108"/>
      <c r="MVD14" s="109"/>
      <c r="MVE14" s="107" t="s">
        <v>1</v>
      </c>
      <c r="MVF14" s="108"/>
      <c r="MVG14" s="108"/>
      <c r="MVH14" s="109"/>
      <c r="MVI14" s="107" t="s">
        <v>1</v>
      </c>
      <c r="MVJ14" s="108"/>
      <c r="MVK14" s="108"/>
      <c r="MVL14" s="109"/>
      <c r="MVM14" s="107" t="s">
        <v>1</v>
      </c>
      <c r="MVN14" s="108"/>
      <c r="MVO14" s="108"/>
      <c r="MVP14" s="109"/>
      <c r="MVQ14" s="107" t="s">
        <v>1</v>
      </c>
      <c r="MVR14" s="108"/>
      <c r="MVS14" s="108"/>
      <c r="MVT14" s="109"/>
      <c r="MVU14" s="107" t="s">
        <v>1</v>
      </c>
      <c r="MVV14" s="108"/>
      <c r="MVW14" s="108"/>
      <c r="MVX14" s="109"/>
      <c r="MVY14" s="107" t="s">
        <v>1</v>
      </c>
      <c r="MVZ14" s="108"/>
      <c r="MWA14" s="108"/>
      <c r="MWB14" s="109"/>
      <c r="MWC14" s="107" t="s">
        <v>1</v>
      </c>
      <c r="MWD14" s="108"/>
      <c r="MWE14" s="108"/>
      <c r="MWF14" s="109"/>
      <c r="MWG14" s="107" t="s">
        <v>1</v>
      </c>
      <c r="MWH14" s="108"/>
      <c r="MWI14" s="108"/>
      <c r="MWJ14" s="109"/>
      <c r="MWK14" s="107" t="s">
        <v>1</v>
      </c>
      <c r="MWL14" s="108"/>
      <c r="MWM14" s="108"/>
      <c r="MWN14" s="109"/>
      <c r="MWO14" s="107" t="s">
        <v>1</v>
      </c>
      <c r="MWP14" s="108"/>
      <c r="MWQ14" s="108"/>
      <c r="MWR14" s="109"/>
      <c r="MWS14" s="107" t="s">
        <v>1</v>
      </c>
      <c r="MWT14" s="108"/>
      <c r="MWU14" s="108"/>
      <c r="MWV14" s="109"/>
      <c r="MWW14" s="107" t="s">
        <v>1</v>
      </c>
      <c r="MWX14" s="108"/>
      <c r="MWY14" s="108"/>
      <c r="MWZ14" s="109"/>
      <c r="MXA14" s="107" t="s">
        <v>1</v>
      </c>
      <c r="MXB14" s="108"/>
      <c r="MXC14" s="108"/>
      <c r="MXD14" s="109"/>
      <c r="MXE14" s="107" t="s">
        <v>1</v>
      </c>
      <c r="MXF14" s="108"/>
      <c r="MXG14" s="108"/>
      <c r="MXH14" s="109"/>
      <c r="MXI14" s="107" t="s">
        <v>1</v>
      </c>
      <c r="MXJ14" s="108"/>
      <c r="MXK14" s="108"/>
      <c r="MXL14" s="109"/>
      <c r="MXM14" s="107" t="s">
        <v>1</v>
      </c>
      <c r="MXN14" s="108"/>
      <c r="MXO14" s="108"/>
      <c r="MXP14" s="109"/>
      <c r="MXQ14" s="107" t="s">
        <v>1</v>
      </c>
      <c r="MXR14" s="108"/>
      <c r="MXS14" s="108"/>
      <c r="MXT14" s="109"/>
      <c r="MXU14" s="107" t="s">
        <v>1</v>
      </c>
      <c r="MXV14" s="108"/>
      <c r="MXW14" s="108"/>
      <c r="MXX14" s="109"/>
      <c r="MXY14" s="107" t="s">
        <v>1</v>
      </c>
      <c r="MXZ14" s="108"/>
      <c r="MYA14" s="108"/>
      <c r="MYB14" s="109"/>
      <c r="MYC14" s="107" t="s">
        <v>1</v>
      </c>
      <c r="MYD14" s="108"/>
      <c r="MYE14" s="108"/>
      <c r="MYF14" s="109"/>
      <c r="MYG14" s="107" t="s">
        <v>1</v>
      </c>
      <c r="MYH14" s="108"/>
      <c r="MYI14" s="108"/>
      <c r="MYJ14" s="109"/>
      <c r="MYK14" s="107" t="s">
        <v>1</v>
      </c>
      <c r="MYL14" s="108"/>
      <c r="MYM14" s="108"/>
      <c r="MYN14" s="109"/>
      <c r="MYO14" s="107" t="s">
        <v>1</v>
      </c>
      <c r="MYP14" s="108"/>
      <c r="MYQ14" s="108"/>
      <c r="MYR14" s="109"/>
      <c r="MYS14" s="107" t="s">
        <v>1</v>
      </c>
      <c r="MYT14" s="108"/>
      <c r="MYU14" s="108"/>
      <c r="MYV14" s="109"/>
      <c r="MYW14" s="107" t="s">
        <v>1</v>
      </c>
      <c r="MYX14" s="108"/>
      <c r="MYY14" s="108"/>
      <c r="MYZ14" s="109"/>
      <c r="MZA14" s="107" t="s">
        <v>1</v>
      </c>
      <c r="MZB14" s="108"/>
      <c r="MZC14" s="108"/>
      <c r="MZD14" s="109"/>
      <c r="MZE14" s="107" t="s">
        <v>1</v>
      </c>
      <c r="MZF14" s="108"/>
      <c r="MZG14" s="108"/>
      <c r="MZH14" s="109"/>
      <c r="MZI14" s="107" t="s">
        <v>1</v>
      </c>
      <c r="MZJ14" s="108"/>
      <c r="MZK14" s="108"/>
      <c r="MZL14" s="109"/>
      <c r="MZM14" s="107" t="s">
        <v>1</v>
      </c>
      <c r="MZN14" s="108"/>
      <c r="MZO14" s="108"/>
      <c r="MZP14" s="109"/>
      <c r="MZQ14" s="107" t="s">
        <v>1</v>
      </c>
      <c r="MZR14" s="108"/>
      <c r="MZS14" s="108"/>
      <c r="MZT14" s="109"/>
      <c r="MZU14" s="107" t="s">
        <v>1</v>
      </c>
      <c r="MZV14" s="108"/>
      <c r="MZW14" s="108"/>
      <c r="MZX14" s="109"/>
      <c r="MZY14" s="107" t="s">
        <v>1</v>
      </c>
      <c r="MZZ14" s="108"/>
      <c r="NAA14" s="108"/>
      <c r="NAB14" s="109"/>
      <c r="NAC14" s="107" t="s">
        <v>1</v>
      </c>
      <c r="NAD14" s="108"/>
      <c r="NAE14" s="108"/>
      <c r="NAF14" s="109"/>
      <c r="NAG14" s="107" t="s">
        <v>1</v>
      </c>
      <c r="NAH14" s="108"/>
      <c r="NAI14" s="108"/>
      <c r="NAJ14" s="109"/>
      <c r="NAK14" s="107" t="s">
        <v>1</v>
      </c>
      <c r="NAL14" s="108"/>
      <c r="NAM14" s="108"/>
      <c r="NAN14" s="109"/>
      <c r="NAO14" s="107" t="s">
        <v>1</v>
      </c>
      <c r="NAP14" s="108"/>
      <c r="NAQ14" s="108"/>
      <c r="NAR14" s="109"/>
      <c r="NAS14" s="107" t="s">
        <v>1</v>
      </c>
      <c r="NAT14" s="108"/>
      <c r="NAU14" s="108"/>
      <c r="NAV14" s="109"/>
      <c r="NAW14" s="107" t="s">
        <v>1</v>
      </c>
      <c r="NAX14" s="108"/>
      <c r="NAY14" s="108"/>
      <c r="NAZ14" s="109"/>
      <c r="NBA14" s="107" t="s">
        <v>1</v>
      </c>
      <c r="NBB14" s="108"/>
      <c r="NBC14" s="108"/>
      <c r="NBD14" s="109"/>
      <c r="NBE14" s="107" t="s">
        <v>1</v>
      </c>
      <c r="NBF14" s="108"/>
      <c r="NBG14" s="108"/>
      <c r="NBH14" s="109"/>
      <c r="NBI14" s="107" t="s">
        <v>1</v>
      </c>
      <c r="NBJ14" s="108"/>
      <c r="NBK14" s="108"/>
      <c r="NBL14" s="109"/>
      <c r="NBM14" s="107" t="s">
        <v>1</v>
      </c>
      <c r="NBN14" s="108"/>
      <c r="NBO14" s="108"/>
      <c r="NBP14" s="109"/>
      <c r="NBQ14" s="107" t="s">
        <v>1</v>
      </c>
      <c r="NBR14" s="108"/>
      <c r="NBS14" s="108"/>
      <c r="NBT14" s="109"/>
      <c r="NBU14" s="107" t="s">
        <v>1</v>
      </c>
      <c r="NBV14" s="108"/>
      <c r="NBW14" s="108"/>
      <c r="NBX14" s="109"/>
      <c r="NBY14" s="107" t="s">
        <v>1</v>
      </c>
      <c r="NBZ14" s="108"/>
      <c r="NCA14" s="108"/>
      <c r="NCB14" s="109"/>
      <c r="NCC14" s="107" t="s">
        <v>1</v>
      </c>
      <c r="NCD14" s="108"/>
      <c r="NCE14" s="108"/>
      <c r="NCF14" s="109"/>
      <c r="NCG14" s="107" t="s">
        <v>1</v>
      </c>
      <c r="NCH14" s="108"/>
      <c r="NCI14" s="108"/>
      <c r="NCJ14" s="109"/>
      <c r="NCK14" s="107" t="s">
        <v>1</v>
      </c>
      <c r="NCL14" s="108"/>
      <c r="NCM14" s="108"/>
      <c r="NCN14" s="109"/>
      <c r="NCO14" s="107" t="s">
        <v>1</v>
      </c>
      <c r="NCP14" s="108"/>
      <c r="NCQ14" s="108"/>
      <c r="NCR14" s="109"/>
      <c r="NCS14" s="107" t="s">
        <v>1</v>
      </c>
      <c r="NCT14" s="108"/>
      <c r="NCU14" s="108"/>
      <c r="NCV14" s="109"/>
      <c r="NCW14" s="107" t="s">
        <v>1</v>
      </c>
      <c r="NCX14" s="108"/>
      <c r="NCY14" s="108"/>
      <c r="NCZ14" s="109"/>
      <c r="NDA14" s="107" t="s">
        <v>1</v>
      </c>
      <c r="NDB14" s="108"/>
      <c r="NDC14" s="108"/>
      <c r="NDD14" s="109"/>
      <c r="NDE14" s="107" t="s">
        <v>1</v>
      </c>
      <c r="NDF14" s="108"/>
      <c r="NDG14" s="108"/>
      <c r="NDH14" s="109"/>
      <c r="NDI14" s="107" t="s">
        <v>1</v>
      </c>
      <c r="NDJ14" s="108"/>
      <c r="NDK14" s="108"/>
      <c r="NDL14" s="109"/>
      <c r="NDM14" s="107" t="s">
        <v>1</v>
      </c>
      <c r="NDN14" s="108"/>
      <c r="NDO14" s="108"/>
      <c r="NDP14" s="109"/>
      <c r="NDQ14" s="107" t="s">
        <v>1</v>
      </c>
      <c r="NDR14" s="108"/>
      <c r="NDS14" s="108"/>
      <c r="NDT14" s="109"/>
      <c r="NDU14" s="107" t="s">
        <v>1</v>
      </c>
      <c r="NDV14" s="108"/>
      <c r="NDW14" s="108"/>
      <c r="NDX14" s="109"/>
      <c r="NDY14" s="107" t="s">
        <v>1</v>
      </c>
      <c r="NDZ14" s="108"/>
      <c r="NEA14" s="108"/>
      <c r="NEB14" s="109"/>
      <c r="NEC14" s="107" t="s">
        <v>1</v>
      </c>
      <c r="NED14" s="108"/>
      <c r="NEE14" s="108"/>
      <c r="NEF14" s="109"/>
      <c r="NEG14" s="107" t="s">
        <v>1</v>
      </c>
      <c r="NEH14" s="108"/>
      <c r="NEI14" s="108"/>
      <c r="NEJ14" s="109"/>
      <c r="NEK14" s="107" t="s">
        <v>1</v>
      </c>
      <c r="NEL14" s="108"/>
      <c r="NEM14" s="108"/>
      <c r="NEN14" s="109"/>
      <c r="NEO14" s="107" t="s">
        <v>1</v>
      </c>
      <c r="NEP14" s="108"/>
      <c r="NEQ14" s="108"/>
      <c r="NER14" s="109"/>
      <c r="NES14" s="107" t="s">
        <v>1</v>
      </c>
      <c r="NET14" s="108"/>
      <c r="NEU14" s="108"/>
      <c r="NEV14" s="109"/>
      <c r="NEW14" s="107" t="s">
        <v>1</v>
      </c>
      <c r="NEX14" s="108"/>
      <c r="NEY14" s="108"/>
      <c r="NEZ14" s="109"/>
      <c r="NFA14" s="107" t="s">
        <v>1</v>
      </c>
      <c r="NFB14" s="108"/>
      <c r="NFC14" s="108"/>
      <c r="NFD14" s="109"/>
      <c r="NFE14" s="107" t="s">
        <v>1</v>
      </c>
      <c r="NFF14" s="108"/>
      <c r="NFG14" s="108"/>
      <c r="NFH14" s="109"/>
      <c r="NFI14" s="107" t="s">
        <v>1</v>
      </c>
      <c r="NFJ14" s="108"/>
      <c r="NFK14" s="108"/>
      <c r="NFL14" s="109"/>
      <c r="NFM14" s="107" t="s">
        <v>1</v>
      </c>
      <c r="NFN14" s="108"/>
      <c r="NFO14" s="108"/>
      <c r="NFP14" s="109"/>
      <c r="NFQ14" s="107" t="s">
        <v>1</v>
      </c>
      <c r="NFR14" s="108"/>
      <c r="NFS14" s="108"/>
      <c r="NFT14" s="109"/>
      <c r="NFU14" s="107" t="s">
        <v>1</v>
      </c>
      <c r="NFV14" s="108"/>
      <c r="NFW14" s="108"/>
      <c r="NFX14" s="109"/>
      <c r="NFY14" s="107" t="s">
        <v>1</v>
      </c>
      <c r="NFZ14" s="108"/>
      <c r="NGA14" s="108"/>
      <c r="NGB14" s="109"/>
      <c r="NGC14" s="107" t="s">
        <v>1</v>
      </c>
      <c r="NGD14" s="108"/>
      <c r="NGE14" s="108"/>
      <c r="NGF14" s="109"/>
      <c r="NGG14" s="107" t="s">
        <v>1</v>
      </c>
      <c r="NGH14" s="108"/>
      <c r="NGI14" s="108"/>
      <c r="NGJ14" s="109"/>
      <c r="NGK14" s="107" t="s">
        <v>1</v>
      </c>
      <c r="NGL14" s="108"/>
      <c r="NGM14" s="108"/>
      <c r="NGN14" s="109"/>
      <c r="NGO14" s="107" t="s">
        <v>1</v>
      </c>
      <c r="NGP14" s="108"/>
      <c r="NGQ14" s="108"/>
      <c r="NGR14" s="109"/>
      <c r="NGS14" s="107" t="s">
        <v>1</v>
      </c>
      <c r="NGT14" s="108"/>
      <c r="NGU14" s="108"/>
      <c r="NGV14" s="109"/>
      <c r="NGW14" s="107" t="s">
        <v>1</v>
      </c>
      <c r="NGX14" s="108"/>
      <c r="NGY14" s="108"/>
      <c r="NGZ14" s="109"/>
      <c r="NHA14" s="107" t="s">
        <v>1</v>
      </c>
      <c r="NHB14" s="108"/>
      <c r="NHC14" s="108"/>
      <c r="NHD14" s="109"/>
      <c r="NHE14" s="107" t="s">
        <v>1</v>
      </c>
      <c r="NHF14" s="108"/>
      <c r="NHG14" s="108"/>
      <c r="NHH14" s="109"/>
      <c r="NHI14" s="107" t="s">
        <v>1</v>
      </c>
      <c r="NHJ14" s="108"/>
      <c r="NHK14" s="108"/>
      <c r="NHL14" s="109"/>
      <c r="NHM14" s="107" t="s">
        <v>1</v>
      </c>
      <c r="NHN14" s="108"/>
      <c r="NHO14" s="108"/>
      <c r="NHP14" s="109"/>
      <c r="NHQ14" s="107" t="s">
        <v>1</v>
      </c>
      <c r="NHR14" s="108"/>
      <c r="NHS14" s="108"/>
      <c r="NHT14" s="109"/>
      <c r="NHU14" s="107" t="s">
        <v>1</v>
      </c>
      <c r="NHV14" s="108"/>
      <c r="NHW14" s="108"/>
      <c r="NHX14" s="109"/>
      <c r="NHY14" s="107" t="s">
        <v>1</v>
      </c>
      <c r="NHZ14" s="108"/>
      <c r="NIA14" s="108"/>
      <c r="NIB14" s="109"/>
      <c r="NIC14" s="107" t="s">
        <v>1</v>
      </c>
      <c r="NID14" s="108"/>
      <c r="NIE14" s="108"/>
      <c r="NIF14" s="109"/>
      <c r="NIG14" s="107" t="s">
        <v>1</v>
      </c>
      <c r="NIH14" s="108"/>
      <c r="NII14" s="108"/>
      <c r="NIJ14" s="109"/>
      <c r="NIK14" s="107" t="s">
        <v>1</v>
      </c>
      <c r="NIL14" s="108"/>
      <c r="NIM14" s="108"/>
      <c r="NIN14" s="109"/>
      <c r="NIO14" s="107" t="s">
        <v>1</v>
      </c>
      <c r="NIP14" s="108"/>
      <c r="NIQ14" s="108"/>
      <c r="NIR14" s="109"/>
      <c r="NIS14" s="107" t="s">
        <v>1</v>
      </c>
      <c r="NIT14" s="108"/>
      <c r="NIU14" s="108"/>
      <c r="NIV14" s="109"/>
      <c r="NIW14" s="107" t="s">
        <v>1</v>
      </c>
      <c r="NIX14" s="108"/>
      <c r="NIY14" s="108"/>
      <c r="NIZ14" s="109"/>
      <c r="NJA14" s="107" t="s">
        <v>1</v>
      </c>
      <c r="NJB14" s="108"/>
      <c r="NJC14" s="108"/>
      <c r="NJD14" s="109"/>
      <c r="NJE14" s="107" t="s">
        <v>1</v>
      </c>
      <c r="NJF14" s="108"/>
      <c r="NJG14" s="108"/>
      <c r="NJH14" s="109"/>
      <c r="NJI14" s="107" t="s">
        <v>1</v>
      </c>
      <c r="NJJ14" s="108"/>
      <c r="NJK14" s="108"/>
      <c r="NJL14" s="109"/>
      <c r="NJM14" s="107" t="s">
        <v>1</v>
      </c>
      <c r="NJN14" s="108"/>
      <c r="NJO14" s="108"/>
      <c r="NJP14" s="109"/>
      <c r="NJQ14" s="107" t="s">
        <v>1</v>
      </c>
      <c r="NJR14" s="108"/>
      <c r="NJS14" s="108"/>
      <c r="NJT14" s="109"/>
      <c r="NJU14" s="107" t="s">
        <v>1</v>
      </c>
      <c r="NJV14" s="108"/>
      <c r="NJW14" s="108"/>
      <c r="NJX14" s="109"/>
      <c r="NJY14" s="107" t="s">
        <v>1</v>
      </c>
      <c r="NJZ14" s="108"/>
      <c r="NKA14" s="108"/>
      <c r="NKB14" s="109"/>
      <c r="NKC14" s="107" t="s">
        <v>1</v>
      </c>
      <c r="NKD14" s="108"/>
      <c r="NKE14" s="108"/>
      <c r="NKF14" s="109"/>
      <c r="NKG14" s="107" t="s">
        <v>1</v>
      </c>
      <c r="NKH14" s="108"/>
      <c r="NKI14" s="108"/>
      <c r="NKJ14" s="109"/>
      <c r="NKK14" s="107" t="s">
        <v>1</v>
      </c>
      <c r="NKL14" s="108"/>
      <c r="NKM14" s="108"/>
      <c r="NKN14" s="109"/>
      <c r="NKO14" s="107" t="s">
        <v>1</v>
      </c>
      <c r="NKP14" s="108"/>
      <c r="NKQ14" s="108"/>
      <c r="NKR14" s="109"/>
      <c r="NKS14" s="107" t="s">
        <v>1</v>
      </c>
      <c r="NKT14" s="108"/>
      <c r="NKU14" s="108"/>
      <c r="NKV14" s="109"/>
      <c r="NKW14" s="107" t="s">
        <v>1</v>
      </c>
      <c r="NKX14" s="108"/>
      <c r="NKY14" s="108"/>
      <c r="NKZ14" s="109"/>
      <c r="NLA14" s="107" t="s">
        <v>1</v>
      </c>
      <c r="NLB14" s="108"/>
      <c r="NLC14" s="108"/>
      <c r="NLD14" s="109"/>
      <c r="NLE14" s="107" t="s">
        <v>1</v>
      </c>
      <c r="NLF14" s="108"/>
      <c r="NLG14" s="108"/>
      <c r="NLH14" s="109"/>
      <c r="NLI14" s="107" t="s">
        <v>1</v>
      </c>
      <c r="NLJ14" s="108"/>
      <c r="NLK14" s="108"/>
      <c r="NLL14" s="109"/>
      <c r="NLM14" s="107" t="s">
        <v>1</v>
      </c>
      <c r="NLN14" s="108"/>
      <c r="NLO14" s="108"/>
      <c r="NLP14" s="109"/>
      <c r="NLQ14" s="107" t="s">
        <v>1</v>
      </c>
      <c r="NLR14" s="108"/>
      <c r="NLS14" s="108"/>
      <c r="NLT14" s="109"/>
      <c r="NLU14" s="107" t="s">
        <v>1</v>
      </c>
      <c r="NLV14" s="108"/>
      <c r="NLW14" s="108"/>
      <c r="NLX14" s="109"/>
      <c r="NLY14" s="107" t="s">
        <v>1</v>
      </c>
      <c r="NLZ14" s="108"/>
      <c r="NMA14" s="108"/>
      <c r="NMB14" s="109"/>
      <c r="NMC14" s="107" t="s">
        <v>1</v>
      </c>
      <c r="NMD14" s="108"/>
      <c r="NME14" s="108"/>
      <c r="NMF14" s="109"/>
      <c r="NMG14" s="107" t="s">
        <v>1</v>
      </c>
      <c r="NMH14" s="108"/>
      <c r="NMI14" s="108"/>
      <c r="NMJ14" s="109"/>
      <c r="NMK14" s="107" t="s">
        <v>1</v>
      </c>
      <c r="NML14" s="108"/>
      <c r="NMM14" s="108"/>
      <c r="NMN14" s="109"/>
      <c r="NMO14" s="107" t="s">
        <v>1</v>
      </c>
      <c r="NMP14" s="108"/>
      <c r="NMQ14" s="108"/>
      <c r="NMR14" s="109"/>
      <c r="NMS14" s="107" t="s">
        <v>1</v>
      </c>
      <c r="NMT14" s="108"/>
      <c r="NMU14" s="108"/>
      <c r="NMV14" s="109"/>
      <c r="NMW14" s="107" t="s">
        <v>1</v>
      </c>
      <c r="NMX14" s="108"/>
      <c r="NMY14" s="108"/>
      <c r="NMZ14" s="109"/>
      <c r="NNA14" s="107" t="s">
        <v>1</v>
      </c>
      <c r="NNB14" s="108"/>
      <c r="NNC14" s="108"/>
      <c r="NND14" s="109"/>
      <c r="NNE14" s="107" t="s">
        <v>1</v>
      </c>
      <c r="NNF14" s="108"/>
      <c r="NNG14" s="108"/>
      <c r="NNH14" s="109"/>
      <c r="NNI14" s="107" t="s">
        <v>1</v>
      </c>
      <c r="NNJ14" s="108"/>
      <c r="NNK14" s="108"/>
      <c r="NNL14" s="109"/>
      <c r="NNM14" s="107" t="s">
        <v>1</v>
      </c>
      <c r="NNN14" s="108"/>
      <c r="NNO14" s="108"/>
      <c r="NNP14" s="109"/>
      <c r="NNQ14" s="107" t="s">
        <v>1</v>
      </c>
      <c r="NNR14" s="108"/>
      <c r="NNS14" s="108"/>
      <c r="NNT14" s="109"/>
      <c r="NNU14" s="107" t="s">
        <v>1</v>
      </c>
      <c r="NNV14" s="108"/>
      <c r="NNW14" s="108"/>
      <c r="NNX14" s="109"/>
      <c r="NNY14" s="107" t="s">
        <v>1</v>
      </c>
      <c r="NNZ14" s="108"/>
      <c r="NOA14" s="108"/>
      <c r="NOB14" s="109"/>
      <c r="NOC14" s="107" t="s">
        <v>1</v>
      </c>
      <c r="NOD14" s="108"/>
      <c r="NOE14" s="108"/>
      <c r="NOF14" s="109"/>
      <c r="NOG14" s="107" t="s">
        <v>1</v>
      </c>
      <c r="NOH14" s="108"/>
      <c r="NOI14" s="108"/>
      <c r="NOJ14" s="109"/>
      <c r="NOK14" s="107" t="s">
        <v>1</v>
      </c>
      <c r="NOL14" s="108"/>
      <c r="NOM14" s="108"/>
      <c r="NON14" s="109"/>
      <c r="NOO14" s="107" t="s">
        <v>1</v>
      </c>
      <c r="NOP14" s="108"/>
      <c r="NOQ14" s="108"/>
      <c r="NOR14" s="109"/>
      <c r="NOS14" s="107" t="s">
        <v>1</v>
      </c>
      <c r="NOT14" s="108"/>
      <c r="NOU14" s="108"/>
      <c r="NOV14" s="109"/>
      <c r="NOW14" s="107" t="s">
        <v>1</v>
      </c>
      <c r="NOX14" s="108"/>
      <c r="NOY14" s="108"/>
      <c r="NOZ14" s="109"/>
      <c r="NPA14" s="107" t="s">
        <v>1</v>
      </c>
      <c r="NPB14" s="108"/>
      <c r="NPC14" s="108"/>
      <c r="NPD14" s="109"/>
      <c r="NPE14" s="107" t="s">
        <v>1</v>
      </c>
      <c r="NPF14" s="108"/>
      <c r="NPG14" s="108"/>
      <c r="NPH14" s="109"/>
      <c r="NPI14" s="107" t="s">
        <v>1</v>
      </c>
      <c r="NPJ14" s="108"/>
      <c r="NPK14" s="108"/>
      <c r="NPL14" s="109"/>
      <c r="NPM14" s="107" t="s">
        <v>1</v>
      </c>
      <c r="NPN14" s="108"/>
      <c r="NPO14" s="108"/>
      <c r="NPP14" s="109"/>
      <c r="NPQ14" s="107" t="s">
        <v>1</v>
      </c>
      <c r="NPR14" s="108"/>
      <c r="NPS14" s="108"/>
      <c r="NPT14" s="109"/>
      <c r="NPU14" s="107" t="s">
        <v>1</v>
      </c>
      <c r="NPV14" s="108"/>
      <c r="NPW14" s="108"/>
      <c r="NPX14" s="109"/>
      <c r="NPY14" s="107" t="s">
        <v>1</v>
      </c>
      <c r="NPZ14" s="108"/>
      <c r="NQA14" s="108"/>
      <c r="NQB14" s="109"/>
      <c r="NQC14" s="107" t="s">
        <v>1</v>
      </c>
      <c r="NQD14" s="108"/>
      <c r="NQE14" s="108"/>
      <c r="NQF14" s="109"/>
      <c r="NQG14" s="107" t="s">
        <v>1</v>
      </c>
      <c r="NQH14" s="108"/>
      <c r="NQI14" s="108"/>
      <c r="NQJ14" s="109"/>
      <c r="NQK14" s="107" t="s">
        <v>1</v>
      </c>
      <c r="NQL14" s="108"/>
      <c r="NQM14" s="108"/>
      <c r="NQN14" s="109"/>
      <c r="NQO14" s="107" t="s">
        <v>1</v>
      </c>
      <c r="NQP14" s="108"/>
      <c r="NQQ14" s="108"/>
      <c r="NQR14" s="109"/>
      <c r="NQS14" s="107" t="s">
        <v>1</v>
      </c>
      <c r="NQT14" s="108"/>
      <c r="NQU14" s="108"/>
      <c r="NQV14" s="109"/>
      <c r="NQW14" s="107" t="s">
        <v>1</v>
      </c>
      <c r="NQX14" s="108"/>
      <c r="NQY14" s="108"/>
      <c r="NQZ14" s="109"/>
      <c r="NRA14" s="107" t="s">
        <v>1</v>
      </c>
      <c r="NRB14" s="108"/>
      <c r="NRC14" s="108"/>
      <c r="NRD14" s="109"/>
      <c r="NRE14" s="107" t="s">
        <v>1</v>
      </c>
      <c r="NRF14" s="108"/>
      <c r="NRG14" s="108"/>
      <c r="NRH14" s="109"/>
      <c r="NRI14" s="107" t="s">
        <v>1</v>
      </c>
      <c r="NRJ14" s="108"/>
      <c r="NRK14" s="108"/>
      <c r="NRL14" s="109"/>
      <c r="NRM14" s="107" t="s">
        <v>1</v>
      </c>
      <c r="NRN14" s="108"/>
      <c r="NRO14" s="108"/>
      <c r="NRP14" s="109"/>
      <c r="NRQ14" s="107" t="s">
        <v>1</v>
      </c>
      <c r="NRR14" s="108"/>
      <c r="NRS14" s="108"/>
      <c r="NRT14" s="109"/>
      <c r="NRU14" s="107" t="s">
        <v>1</v>
      </c>
      <c r="NRV14" s="108"/>
      <c r="NRW14" s="108"/>
      <c r="NRX14" s="109"/>
      <c r="NRY14" s="107" t="s">
        <v>1</v>
      </c>
      <c r="NRZ14" s="108"/>
      <c r="NSA14" s="108"/>
      <c r="NSB14" s="109"/>
      <c r="NSC14" s="107" t="s">
        <v>1</v>
      </c>
      <c r="NSD14" s="108"/>
      <c r="NSE14" s="108"/>
      <c r="NSF14" s="109"/>
      <c r="NSG14" s="107" t="s">
        <v>1</v>
      </c>
      <c r="NSH14" s="108"/>
      <c r="NSI14" s="108"/>
      <c r="NSJ14" s="109"/>
      <c r="NSK14" s="107" t="s">
        <v>1</v>
      </c>
      <c r="NSL14" s="108"/>
      <c r="NSM14" s="108"/>
      <c r="NSN14" s="109"/>
      <c r="NSO14" s="107" t="s">
        <v>1</v>
      </c>
      <c r="NSP14" s="108"/>
      <c r="NSQ14" s="108"/>
      <c r="NSR14" s="109"/>
      <c r="NSS14" s="107" t="s">
        <v>1</v>
      </c>
      <c r="NST14" s="108"/>
      <c r="NSU14" s="108"/>
      <c r="NSV14" s="109"/>
      <c r="NSW14" s="107" t="s">
        <v>1</v>
      </c>
      <c r="NSX14" s="108"/>
      <c r="NSY14" s="108"/>
      <c r="NSZ14" s="109"/>
      <c r="NTA14" s="107" t="s">
        <v>1</v>
      </c>
      <c r="NTB14" s="108"/>
      <c r="NTC14" s="108"/>
      <c r="NTD14" s="109"/>
      <c r="NTE14" s="107" t="s">
        <v>1</v>
      </c>
      <c r="NTF14" s="108"/>
      <c r="NTG14" s="108"/>
      <c r="NTH14" s="109"/>
      <c r="NTI14" s="107" t="s">
        <v>1</v>
      </c>
      <c r="NTJ14" s="108"/>
      <c r="NTK14" s="108"/>
      <c r="NTL14" s="109"/>
      <c r="NTM14" s="107" t="s">
        <v>1</v>
      </c>
      <c r="NTN14" s="108"/>
      <c r="NTO14" s="108"/>
      <c r="NTP14" s="109"/>
      <c r="NTQ14" s="107" t="s">
        <v>1</v>
      </c>
      <c r="NTR14" s="108"/>
      <c r="NTS14" s="108"/>
      <c r="NTT14" s="109"/>
      <c r="NTU14" s="107" t="s">
        <v>1</v>
      </c>
      <c r="NTV14" s="108"/>
      <c r="NTW14" s="108"/>
      <c r="NTX14" s="109"/>
      <c r="NTY14" s="107" t="s">
        <v>1</v>
      </c>
      <c r="NTZ14" s="108"/>
      <c r="NUA14" s="108"/>
      <c r="NUB14" s="109"/>
      <c r="NUC14" s="107" t="s">
        <v>1</v>
      </c>
      <c r="NUD14" s="108"/>
      <c r="NUE14" s="108"/>
      <c r="NUF14" s="109"/>
      <c r="NUG14" s="107" t="s">
        <v>1</v>
      </c>
      <c r="NUH14" s="108"/>
      <c r="NUI14" s="108"/>
      <c r="NUJ14" s="109"/>
      <c r="NUK14" s="107" t="s">
        <v>1</v>
      </c>
      <c r="NUL14" s="108"/>
      <c r="NUM14" s="108"/>
      <c r="NUN14" s="109"/>
      <c r="NUO14" s="107" t="s">
        <v>1</v>
      </c>
      <c r="NUP14" s="108"/>
      <c r="NUQ14" s="108"/>
      <c r="NUR14" s="109"/>
      <c r="NUS14" s="107" t="s">
        <v>1</v>
      </c>
      <c r="NUT14" s="108"/>
      <c r="NUU14" s="108"/>
      <c r="NUV14" s="109"/>
      <c r="NUW14" s="107" t="s">
        <v>1</v>
      </c>
      <c r="NUX14" s="108"/>
      <c r="NUY14" s="108"/>
      <c r="NUZ14" s="109"/>
      <c r="NVA14" s="107" t="s">
        <v>1</v>
      </c>
      <c r="NVB14" s="108"/>
      <c r="NVC14" s="108"/>
      <c r="NVD14" s="109"/>
      <c r="NVE14" s="107" t="s">
        <v>1</v>
      </c>
      <c r="NVF14" s="108"/>
      <c r="NVG14" s="108"/>
      <c r="NVH14" s="109"/>
      <c r="NVI14" s="107" t="s">
        <v>1</v>
      </c>
      <c r="NVJ14" s="108"/>
      <c r="NVK14" s="108"/>
      <c r="NVL14" s="109"/>
      <c r="NVM14" s="107" t="s">
        <v>1</v>
      </c>
      <c r="NVN14" s="108"/>
      <c r="NVO14" s="108"/>
      <c r="NVP14" s="109"/>
      <c r="NVQ14" s="107" t="s">
        <v>1</v>
      </c>
      <c r="NVR14" s="108"/>
      <c r="NVS14" s="108"/>
      <c r="NVT14" s="109"/>
      <c r="NVU14" s="107" t="s">
        <v>1</v>
      </c>
      <c r="NVV14" s="108"/>
      <c r="NVW14" s="108"/>
      <c r="NVX14" s="109"/>
      <c r="NVY14" s="107" t="s">
        <v>1</v>
      </c>
      <c r="NVZ14" s="108"/>
      <c r="NWA14" s="108"/>
      <c r="NWB14" s="109"/>
      <c r="NWC14" s="107" t="s">
        <v>1</v>
      </c>
      <c r="NWD14" s="108"/>
      <c r="NWE14" s="108"/>
      <c r="NWF14" s="109"/>
      <c r="NWG14" s="107" t="s">
        <v>1</v>
      </c>
      <c r="NWH14" s="108"/>
      <c r="NWI14" s="108"/>
      <c r="NWJ14" s="109"/>
      <c r="NWK14" s="107" t="s">
        <v>1</v>
      </c>
      <c r="NWL14" s="108"/>
      <c r="NWM14" s="108"/>
      <c r="NWN14" s="109"/>
      <c r="NWO14" s="107" t="s">
        <v>1</v>
      </c>
      <c r="NWP14" s="108"/>
      <c r="NWQ14" s="108"/>
      <c r="NWR14" s="109"/>
      <c r="NWS14" s="107" t="s">
        <v>1</v>
      </c>
      <c r="NWT14" s="108"/>
      <c r="NWU14" s="108"/>
      <c r="NWV14" s="109"/>
      <c r="NWW14" s="107" t="s">
        <v>1</v>
      </c>
      <c r="NWX14" s="108"/>
      <c r="NWY14" s="108"/>
      <c r="NWZ14" s="109"/>
      <c r="NXA14" s="107" t="s">
        <v>1</v>
      </c>
      <c r="NXB14" s="108"/>
      <c r="NXC14" s="108"/>
      <c r="NXD14" s="109"/>
      <c r="NXE14" s="107" t="s">
        <v>1</v>
      </c>
      <c r="NXF14" s="108"/>
      <c r="NXG14" s="108"/>
      <c r="NXH14" s="109"/>
      <c r="NXI14" s="107" t="s">
        <v>1</v>
      </c>
      <c r="NXJ14" s="108"/>
      <c r="NXK14" s="108"/>
      <c r="NXL14" s="109"/>
      <c r="NXM14" s="107" t="s">
        <v>1</v>
      </c>
      <c r="NXN14" s="108"/>
      <c r="NXO14" s="108"/>
      <c r="NXP14" s="109"/>
      <c r="NXQ14" s="107" t="s">
        <v>1</v>
      </c>
      <c r="NXR14" s="108"/>
      <c r="NXS14" s="108"/>
      <c r="NXT14" s="109"/>
      <c r="NXU14" s="107" t="s">
        <v>1</v>
      </c>
      <c r="NXV14" s="108"/>
      <c r="NXW14" s="108"/>
      <c r="NXX14" s="109"/>
      <c r="NXY14" s="107" t="s">
        <v>1</v>
      </c>
      <c r="NXZ14" s="108"/>
      <c r="NYA14" s="108"/>
      <c r="NYB14" s="109"/>
      <c r="NYC14" s="107" t="s">
        <v>1</v>
      </c>
      <c r="NYD14" s="108"/>
      <c r="NYE14" s="108"/>
      <c r="NYF14" s="109"/>
      <c r="NYG14" s="107" t="s">
        <v>1</v>
      </c>
      <c r="NYH14" s="108"/>
      <c r="NYI14" s="108"/>
      <c r="NYJ14" s="109"/>
      <c r="NYK14" s="107" t="s">
        <v>1</v>
      </c>
      <c r="NYL14" s="108"/>
      <c r="NYM14" s="108"/>
      <c r="NYN14" s="109"/>
      <c r="NYO14" s="107" t="s">
        <v>1</v>
      </c>
      <c r="NYP14" s="108"/>
      <c r="NYQ14" s="108"/>
      <c r="NYR14" s="109"/>
      <c r="NYS14" s="107" t="s">
        <v>1</v>
      </c>
      <c r="NYT14" s="108"/>
      <c r="NYU14" s="108"/>
      <c r="NYV14" s="109"/>
      <c r="NYW14" s="107" t="s">
        <v>1</v>
      </c>
      <c r="NYX14" s="108"/>
      <c r="NYY14" s="108"/>
      <c r="NYZ14" s="109"/>
      <c r="NZA14" s="107" t="s">
        <v>1</v>
      </c>
      <c r="NZB14" s="108"/>
      <c r="NZC14" s="108"/>
      <c r="NZD14" s="109"/>
      <c r="NZE14" s="107" t="s">
        <v>1</v>
      </c>
      <c r="NZF14" s="108"/>
      <c r="NZG14" s="108"/>
      <c r="NZH14" s="109"/>
      <c r="NZI14" s="107" t="s">
        <v>1</v>
      </c>
      <c r="NZJ14" s="108"/>
      <c r="NZK14" s="108"/>
      <c r="NZL14" s="109"/>
      <c r="NZM14" s="107" t="s">
        <v>1</v>
      </c>
      <c r="NZN14" s="108"/>
      <c r="NZO14" s="108"/>
      <c r="NZP14" s="109"/>
      <c r="NZQ14" s="107" t="s">
        <v>1</v>
      </c>
      <c r="NZR14" s="108"/>
      <c r="NZS14" s="108"/>
      <c r="NZT14" s="109"/>
      <c r="NZU14" s="107" t="s">
        <v>1</v>
      </c>
      <c r="NZV14" s="108"/>
      <c r="NZW14" s="108"/>
      <c r="NZX14" s="109"/>
      <c r="NZY14" s="107" t="s">
        <v>1</v>
      </c>
      <c r="NZZ14" s="108"/>
      <c r="OAA14" s="108"/>
      <c r="OAB14" s="109"/>
      <c r="OAC14" s="107" t="s">
        <v>1</v>
      </c>
      <c r="OAD14" s="108"/>
      <c r="OAE14" s="108"/>
      <c r="OAF14" s="109"/>
      <c r="OAG14" s="107" t="s">
        <v>1</v>
      </c>
      <c r="OAH14" s="108"/>
      <c r="OAI14" s="108"/>
      <c r="OAJ14" s="109"/>
      <c r="OAK14" s="107" t="s">
        <v>1</v>
      </c>
      <c r="OAL14" s="108"/>
      <c r="OAM14" s="108"/>
      <c r="OAN14" s="109"/>
      <c r="OAO14" s="107" t="s">
        <v>1</v>
      </c>
      <c r="OAP14" s="108"/>
      <c r="OAQ14" s="108"/>
      <c r="OAR14" s="109"/>
      <c r="OAS14" s="107" t="s">
        <v>1</v>
      </c>
      <c r="OAT14" s="108"/>
      <c r="OAU14" s="108"/>
      <c r="OAV14" s="109"/>
      <c r="OAW14" s="107" t="s">
        <v>1</v>
      </c>
      <c r="OAX14" s="108"/>
      <c r="OAY14" s="108"/>
      <c r="OAZ14" s="109"/>
      <c r="OBA14" s="107" t="s">
        <v>1</v>
      </c>
      <c r="OBB14" s="108"/>
      <c r="OBC14" s="108"/>
      <c r="OBD14" s="109"/>
      <c r="OBE14" s="107" t="s">
        <v>1</v>
      </c>
      <c r="OBF14" s="108"/>
      <c r="OBG14" s="108"/>
      <c r="OBH14" s="109"/>
      <c r="OBI14" s="107" t="s">
        <v>1</v>
      </c>
      <c r="OBJ14" s="108"/>
      <c r="OBK14" s="108"/>
      <c r="OBL14" s="109"/>
      <c r="OBM14" s="107" t="s">
        <v>1</v>
      </c>
      <c r="OBN14" s="108"/>
      <c r="OBO14" s="108"/>
      <c r="OBP14" s="109"/>
      <c r="OBQ14" s="107" t="s">
        <v>1</v>
      </c>
      <c r="OBR14" s="108"/>
      <c r="OBS14" s="108"/>
      <c r="OBT14" s="109"/>
      <c r="OBU14" s="107" t="s">
        <v>1</v>
      </c>
      <c r="OBV14" s="108"/>
      <c r="OBW14" s="108"/>
      <c r="OBX14" s="109"/>
      <c r="OBY14" s="107" t="s">
        <v>1</v>
      </c>
      <c r="OBZ14" s="108"/>
      <c r="OCA14" s="108"/>
      <c r="OCB14" s="109"/>
      <c r="OCC14" s="107" t="s">
        <v>1</v>
      </c>
      <c r="OCD14" s="108"/>
      <c r="OCE14" s="108"/>
      <c r="OCF14" s="109"/>
      <c r="OCG14" s="107" t="s">
        <v>1</v>
      </c>
      <c r="OCH14" s="108"/>
      <c r="OCI14" s="108"/>
      <c r="OCJ14" s="109"/>
      <c r="OCK14" s="107" t="s">
        <v>1</v>
      </c>
      <c r="OCL14" s="108"/>
      <c r="OCM14" s="108"/>
      <c r="OCN14" s="109"/>
      <c r="OCO14" s="107" t="s">
        <v>1</v>
      </c>
      <c r="OCP14" s="108"/>
      <c r="OCQ14" s="108"/>
      <c r="OCR14" s="109"/>
      <c r="OCS14" s="107" t="s">
        <v>1</v>
      </c>
      <c r="OCT14" s="108"/>
      <c r="OCU14" s="108"/>
      <c r="OCV14" s="109"/>
      <c r="OCW14" s="107" t="s">
        <v>1</v>
      </c>
      <c r="OCX14" s="108"/>
      <c r="OCY14" s="108"/>
      <c r="OCZ14" s="109"/>
      <c r="ODA14" s="107" t="s">
        <v>1</v>
      </c>
      <c r="ODB14" s="108"/>
      <c r="ODC14" s="108"/>
      <c r="ODD14" s="109"/>
      <c r="ODE14" s="107" t="s">
        <v>1</v>
      </c>
      <c r="ODF14" s="108"/>
      <c r="ODG14" s="108"/>
      <c r="ODH14" s="109"/>
      <c r="ODI14" s="107" t="s">
        <v>1</v>
      </c>
      <c r="ODJ14" s="108"/>
      <c r="ODK14" s="108"/>
      <c r="ODL14" s="109"/>
      <c r="ODM14" s="107" t="s">
        <v>1</v>
      </c>
      <c r="ODN14" s="108"/>
      <c r="ODO14" s="108"/>
      <c r="ODP14" s="109"/>
      <c r="ODQ14" s="107" t="s">
        <v>1</v>
      </c>
      <c r="ODR14" s="108"/>
      <c r="ODS14" s="108"/>
      <c r="ODT14" s="109"/>
      <c r="ODU14" s="107" t="s">
        <v>1</v>
      </c>
      <c r="ODV14" s="108"/>
      <c r="ODW14" s="108"/>
      <c r="ODX14" s="109"/>
      <c r="ODY14" s="107" t="s">
        <v>1</v>
      </c>
      <c r="ODZ14" s="108"/>
      <c r="OEA14" s="108"/>
      <c r="OEB14" s="109"/>
      <c r="OEC14" s="107" t="s">
        <v>1</v>
      </c>
      <c r="OED14" s="108"/>
      <c r="OEE14" s="108"/>
      <c r="OEF14" s="109"/>
      <c r="OEG14" s="107" t="s">
        <v>1</v>
      </c>
      <c r="OEH14" s="108"/>
      <c r="OEI14" s="108"/>
      <c r="OEJ14" s="109"/>
      <c r="OEK14" s="107" t="s">
        <v>1</v>
      </c>
      <c r="OEL14" s="108"/>
      <c r="OEM14" s="108"/>
      <c r="OEN14" s="109"/>
      <c r="OEO14" s="107" t="s">
        <v>1</v>
      </c>
      <c r="OEP14" s="108"/>
      <c r="OEQ14" s="108"/>
      <c r="OER14" s="109"/>
      <c r="OES14" s="107" t="s">
        <v>1</v>
      </c>
      <c r="OET14" s="108"/>
      <c r="OEU14" s="108"/>
      <c r="OEV14" s="109"/>
      <c r="OEW14" s="107" t="s">
        <v>1</v>
      </c>
      <c r="OEX14" s="108"/>
      <c r="OEY14" s="108"/>
      <c r="OEZ14" s="109"/>
      <c r="OFA14" s="107" t="s">
        <v>1</v>
      </c>
      <c r="OFB14" s="108"/>
      <c r="OFC14" s="108"/>
      <c r="OFD14" s="109"/>
      <c r="OFE14" s="107" t="s">
        <v>1</v>
      </c>
      <c r="OFF14" s="108"/>
      <c r="OFG14" s="108"/>
      <c r="OFH14" s="109"/>
      <c r="OFI14" s="107" t="s">
        <v>1</v>
      </c>
      <c r="OFJ14" s="108"/>
      <c r="OFK14" s="108"/>
      <c r="OFL14" s="109"/>
      <c r="OFM14" s="107" t="s">
        <v>1</v>
      </c>
      <c r="OFN14" s="108"/>
      <c r="OFO14" s="108"/>
      <c r="OFP14" s="109"/>
      <c r="OFQ14" s="107" t="s">
        <v>1</v>
      </c>
      <c r="OFR14" s="108"/>
      <c r="OFS14" s="108"/>
      <c r="OFT14" s="109"/>
      <c r="OFU14" s="107" t="s">
        <v>1</v>
      </c>
      <c r="OFV14" s="108"/>
      <c r="OFW14" s="108"/>
      <c r="OFX14" s="109"/>
      <c r="OFY14" s="107" t="s">
        <v>1</v>
      </c>
      <c r="OFZ14" s="108"/>
      <c r="OGA14" s="108"/>
      <c r="OGB14" s="109"/>
      <c r="OGC14" s="107" t="s">
        <v>1</v>
      </c>
      <c r="OGD14" s="108"/>
      <c r="OGE14" s="108"/>
      <c r="OGF14" s="109"/>
      <c r="OGG14" s="107" t="s">
        <v>1</v>
      </c>
      <c r="OGH14" s="108"/>
      <c r="OGI14" s="108"/>
      <c r="OGJ14" s="109"/>
      <c r="OGK14" s="107" t="s">
        <v>1</v>
      </c>
      <c r="OGL14" s="108"/>
      <c r="OGM14" s="108"/>
      <c r="OGN14" s="109"/>
      <c r="OGO14" s="107" t="s">
        <v>1</v>
      </c>
      <c r="OGP14" s="108"/>
      <c r="OGQ14" s="108"/>
      <c r="OGR14" s="109"/>
      <c r="OGS14" s="107" t="s">
        <v>1</v>
      </c>
      <c r="OGT14" s="108"/>
      <c r="OGU14" s="108"/>
      <c r="OGV14" s="109"/>
      <c r="OGW14" s="107" t="s">
        <v>1</v>
      </c>
      <c r="OGX14" s="108"/>
      <c r="OGY14" s="108"/>
      <c r="OGZ14" s="109"/>
      <c r="OHA14" s="107" t="s">
        <v>1</v>
      </c>
      <c r="OHB14" s="108"/>
      <c r="OHC14" s="108"/>
      <c r="OHD14" s="109"/>
      <c r="OHE14" s="107" t="s">
        <v>1</v>
      </c>
      <c r="OHF14" s="108"/>
      <c r="OHG14" s="108"/>
      <c r="OHH14" s="109"/>
      <c r="OHI14" s="107" t="s">
        <v>1</v>
      </c>
      <c r="OHJ14" s="108"/>
      <c r="OHK14" s="108"/>
      <c r="OHL14" s="109"/>
      <c r="OHM14" s="107" t="s">
        <v>1</v>
      </c>
      <c r="OHN14" s="108"/>
      <c r="OHO14" s="108"/>
      <c r="OHP14" s="109"/>
      <c r="OHQ14" s="107" t="s">
        <v>1</v>
      </c>
      <c r="OHR14" s="108"/>
      <c r="OHS14" s="108"/>
      <c r="OHT14" s="109"/>
      <c r="OHU14" s="107" t="s">
        <v>1</v>
      </c>
      <c r="OHV14" s="108"/>
      <c r="OHW14" s="108"/>
      <c r="OHX14" s="109"/>
      <c r="OHY14" s="107" t="s">
        <v>1</v>
      </c>
      <c r="OHZ14" s="108"/>
      <c r="OIA14" s="108"/>
      <c r="OIB14" s="109"/>
      <c r="OIC14" s="107" t="s">
        <v>1</v>
      </c>
      <c r="OID14" s="108"/>
      <c r="OIE14" s="108"/>
      <c r="OIF14" s="109"/>
      <c r="OIG14" s="107" t="s">
        <v>1</v>
      </c>
      <c r="OIH14" s="108"/>
      <c r="OII14" s="108"/>
      <c r="OIJ14" s="109"/>
      <c r="OIK14" s="107" t="s">
        <v>1</v>
      </c>
      <c r="OIL14" s="108"/>
      <c r="OIM14" s="108"/>
      <c r="OIN14" s="109"/>
      <c r="OIO14" s="107" t="s">
        <v>1</v>
      </c>
      <c r="OIP14" s="108"/>
      <c r="OIQ14" s="108"/>
      <c r="OIR14" s="109"/>
      <c r="OIS14" s="107" t="s">
        <v>1</v>
      </c>
      <c r="OIT14" s="108"/>
      <c r="OIU14" s="108"/>
      <c r="OIV14" s="109"/>
      <c r="OIW14" s="107" t="s">
        <v>1</v>
      </c>
      <c r="OIX14" s="108"/>
      <c r="OIY14" s="108"/>
      <c r="OIZ14" s="109"/>
      <c r="OJA14" s="107" t="s">
        <v>1</v>
      </c>
      <c r="OJB14" s="108"/>
      <c r="OJC14" s="108"/>
      <c r="OJD14" s="109"/>
      <c r="OJE14" s="107" t="s">
        <v>1</v>
      </c>
      <c r="OJF14" s="108"/>
      <c r="OJG14" s="108"/>
      <c r="OJH14" s="109"/>
      <c r="OJI14" s="107" t="s">
        <v>1</v>
      </c>
      <c r="OJJ14" s="108"/>
      <c r="OJK14" s="108"/>
      <c r="OJL14" s="109"/>
      <c r="OJM14" s="107" t="s">
        <v>1</v>
      </c>
      <c r="OJN14" s="108"/>
      <c r="OJO14" s="108"/>
      <c r="OJP14" s="109"/>
      <c r="OJQ14" s="107" t="s">
        <v>1</v>
      </c>
      <c r="OJR14" s="108"/>
      <c r="OJS14" s="108"/>
      <c r="OJT14" s="109"/>
      <c r="OJU14" s="107" t="s">
        <v>1</v>
      </c>
      <c r="OJV14" s="108"/>
      <c r="OJW14" s="108"/>
      <c r="OJX14" s="109"/>
      <c r="OJY14" s="107" t="s">
        <v>1</v>
      </c>
      <c r="OJZ14" s="108"/>
      <c r="OKA14" s="108"/>
      <c r="OKB14" s="109"/>
      <c r="OKC14" s="107" t="s">
        <v>1</v>
      </c>
      <c r="OKD14" s="108"/>
      <c r="OKE14" s="108"/>
      <c r="OKF14" s="109"/>
      <c r="OKG14" s="107" t="s">
        <v>1</v>
      </c>
      <c r="OKH14" s="108"/>
      <c r="OKI14" s="108"/>
      <c r="OKJ14" s="109"/>
      <c r="OKK14" s="107" t="s">
        <v>1</v>
      </c>
      <c r="OKL14" s="108"/>
      <c r="OKM14" s="108"/>
      <c r="OKN14" s="109"/>
      <c r="OKO14" s="107" t="s">
        <v>1</v>
      </c>
      <c r="OKP14" s="108"/>
      <c r="OKQ14" s="108"/>
      <c r="OKR14" s="109"/>
      <c r="OKS14" s="107" t="s">
        <v>1</v>
      </c>
      <c r="OKT14" s="108"/>
      <c r="OKU14" s="108"/>
      <c r="OKV14" s="109"/>
      <c r="OKW14" s="107" t="s">
        <v>1</v>
      </c>
      <c r="OKX14" s="108"/>
      <c r="OKY14" s="108"/>
      <c r="OKZ14" s="109"/>
      <c r="OLA14" s="107" t="s">
        <v>1</v>
      </c>
      <c r="OLB14" s="108"/>
      <c r="OLC14" s="108"/>
      <c r="OLD14" s="109"/>
      <c r="OLE14" s="107" t="s">
        <v>1</v>
      </c>
      <c r="OLF14" s="108"/>
      <c r="OLG14" s="108"/>
      <c r="OLH14" s="109"/>
      <c r="OLI14" s="107" t="s">
        <v>1</v>
      </c>
      <c r="OLJ14" s="108"/>
      <c r="OLK14" s="108"/>
      <c r="OLL14" s="109"/>
      <c r="OLM14" s="107" t="s">
        <v>1</v>
      </c>
      <c r="OLN14" s="108"/>
      <c r="OLO14" s="108"/>
      <c r="OLP14" s="109"/>
      <c r="OLQ14" s="107" t="s">
        <v>1</v>
      </c>
      <c r="OLR14" s="108"/>
      <c r="OLS14" s="108"/>
      <c r="OLT14" s="109"/>
      <c r="OLU14" s="107" t="s">
        <v>1</v>
      </c>
      <c r="OLV14" s="108"/>
      <c r="OLW14" s="108"/>
      <c r="OLX14" s="109"/>
      <c r="OLY14" s="107" t="s">
        <v>1</v>
      </c>
      <c r="OLZ14" s="108"/>
      <c r="OMA14" s="108"/>
      <c r="OMB14" s="109"/>
      <c r="OMC14" s="107" t="s">
        <v>1</v>
      </c>
      <c r="OMD14" s="108"/>
      <c r="OME14" s="108"/>
      <c r="OMF14" s="109"/>
      <c r="OMG14" s="107" t="s">
        <v>1</v>
      </c>
      <c r="OMH14" s="108"/>
      <c r="OMI14" s="108"/>
      <c r="OMJ14" s="109"/>
      <c r="OMK14" s="107" t="s">
        <v>1</v>
      </c>
      <c r="OML14" s="108"/>
      <c r="OMM14" s="108"/>
      <c r="OMN14" s="109"/>
      <c r="OMO14" s="107" t="s">
        <v>1</v>
      </c>
      <c r="OMP14" s="108"/>
      <c r="OMQ14" s="108"/>
      <c r="OMR14" s="109"/>
      <c r="OMS14" s="107" t="s">
        <v>1</v>
      </c>
      <c r="OMT14" s="108"/>
      <c r="OMU14" s="108"/>
      <c r="OMV14" s="109"/>
      <c r="OMW14" s="107" t="s">
        <v>1</v>
      </c>
      <c r="OMX14" s="108"/>
      <c r="OMY14" s="108"/>
      <c r="OMZ14" s="109"/>
      <c r="ONA14" s="107" t="s">
        <v>1</v>
      </c>
      <c r="ONB14" s="108"/>
      <c r="ONC14" s="108"/>
      <c r="OND14" s="109"/>
      <c r="ONE14" s="107" t="s">
        <v>1</v>
      </c>
      <c r="ONF14" s="108"/>
      <c r="ONG14" s="108"/>
      <c r="ONH14" s="109"/>
      <c r="ONI14" s="107" t="s">
        <v>1</v>
      </c>
      <c r="ONJ14" s="108"/>
      <c r="ONK14" s="108"/>
      <c r="ONL14" s="109"/>
      <c r="ONM14" s="107" t="s">
        <v>1</v>
      </c>
      <c r="ONN14" s="108"/>
      <c r="ONO14" s="108"/>
      <c r="ONP14" s="109"/>
      <c r="ONQ14" s="107" t="s">
        <v>1</v>
      </c>
      <c r="ONR14" s="108"/>
      <c r="ONS14" s="108"/>
      <c r="ONT14" s="109"/>
      <c r="ONU14" s="107" t="s">
        <v>1</v>
      </c>
      <c r="ONV14" s="108"/>
      <c r="ONW14" s="108"/>
      <c r="ONX14" s="109"/>
      <c r="ONY14" s="107" t="s">
        <v>1</v>
      </c>
      <c r="ONZ14" s="108"/>
      <c r="OOA14" s="108"/>
      <c r="OOB14" s="109"/>
      <c r="OOC14" s="107" t="s">
        <v>1</v>
      </c>
      <c r="OOD14" s="108"/>
      <c r="OOE14" s="108"/>
      <c r="OOF14" s="109"/>
      <c r="OOG14" s="107" t="s">
        <v>1</v>
      </c>
      <c r="OOH14" s="108"/>
      <c r="OOI14" s="108"/>
      <c r="OOJ14" s="109"/>
      <c r="OOK14" s="107" t="s">
        <v>1</v>
      </c>
      <c r="OOL14" s="108"/>
      <c r="OOM14" s="108"/>
      <c r="OON14" s="109"/>
      <c r="OOO14" s="107" t="s">
        <v>1</v>
      </c>
      <c r="OOP14" s="108"/>
      <c r="OOQ14" s="108"/>
      <c r="OOR14" s="109"/>
      <c r="OOS14" s="107" t="s">
        <v>1</v>
      </c>
      <c r="OOT14" s="108"/>
      <c r="OOU14" s="108"/>
      <c r="OOV14" s="109"/>
      <c r="OOW14" s="107" t="s">
        <v>1</v>
      </c>
      <c r="OOX14" s="108"/>
      <c r="OOY14" s="108"/>
      <c r="OOZ14" s="109"/>
      <c r="OPA14" s="107" t="s">
        <v>1</v>
      </c>
      <c r="OPB14" s="108"/>
      <c r="OPC14" s="108"/>
      <c r="OPD14" s="109"/>
      <c r="OPE14" s="107" t="s">
        <v>1</v>
      </c>
      <c r="OPF14" s="108"/>
      <c r="OPG14" s="108"/>
      <c r="OPH14" s="109"/>
      <c r="OPI14" s="107" t="s">
        <v>1</v>
      </c>
      <c r="OPJ14" s="108"/>
      <c r="OPK14" s="108"/>
      <c r="OPL14" s="109"/>
      <c r="OPM14" s="107" t="s">
        <v>1</v>
      </c>
      <c r="OPN14" s="108"/>
      <c r="OPO14" s="108"/>
      <c r="OPP14" s="109"/>
      <c r="OPQ14" s="107" t="s">
        <v>1</v>
      </c>
      <c r="OPR14" s="108"/>
      <c r="OPS14" s="108"/>
      <c r="OPT14" s="109"/>
      <c r="OPU14" s="107" t="s">
        <v>1</v>
      </c>
      <c r="OPV14" s="108"/>
      <c r="OPW14" s="108"/>
      <c r="OPX14" s="109"/>
      <c r="OPY14" s="107" t="s">
        <v>1</v>
      </c>
      <c r="OPZ14" s="108"/>
      <c r="OQA14" s="108"/>
      <c r="OQB14" s="109"/>
      <c r="OQC14" s="107" t="s">
        <v>1</v>
      </c>
      <c r="OQD14" s="108"/>
      <c r="OQE14" s="108"/>
      <c r="OQF14" s="109"/>
      <c r="OQG14" s="107" t="s">
        <v>1</v>
      </c>
      <c r="OQH14" s="108"/>
      <c r="OQI14" s="108"/>
      <c r="OQJ14" s="109"/>
      <c r="OQK14" s="107" t="s">
        <v>1</v>
      </c>
      <c r="OQL14" s="108"/>
      <c r="OQM14" s="108"/>
      <c r="OQN14" s="109"/>
      <c r="OQO14" s="107" t="s">
        <v>1</v>
      </c>
      <c r="OQP14" s="108"/>
      <c r="OQQ14" s="108"/>
      <c r="OQR14" s="109"/>
      <c r="OQS14" s="107" t="s">
        <v>1</v>
      </c>
      <c r="OQT14" s="108"/>
      <c r="OQU14" s="108"/>
      <c r="OQV14" s="109"/>
      <c r="OQW14" s="107" t="s">
        <v>1</v>
      </c>
      <c r="OQX14" s="108"/>
      <c r="OQY14" s="108"/>
      <c r="OQZ14" s="109"/>
      <c r="ORA14" s="107" t="s">
        <v>1</v>
      </c>
      <c r="ORB14" s="108"/>
      <c r="ORC14" s="108"/>
      <c r="ORD14" s="109"/>
      <c r="ORE14" s="107" t="s">
        <v>1</v>
      </c>
      <c r="ORF14" s="108"/>
      <c r="ORG14" s="108"/>
      <c r="ORH14" s="109"/>
      <c r="ORI14" s="107" t="s">
        <v>1</v>
      </c>
      <c r="ORJ14" s="108"/>
      <c r="ORK14" s="108"/>
      <c r="ORL14" s="109"/>
      <c r="ORM14" s="107" t="s">
        <v>1</v>
      </c>
      <c r="ORN14" s="108"/>
      <c r="ORO14" s="108"/>
      <c r="ORP14" s="109"/>
      <c r="ORQ14" s="107" t="s">
        <v>1</v>
      </c>
      <c r="ORR14" s="108"/>
      <c r="ORS14" s="108"/>
      <c r="ORT14" s="109"/>
      <c r="ORU14" s="107" t="s">
        <v>1</v>
      </c>
      <c r="ORV14" s="108"/>
      <c r="ORW14" s="108"/>
      <c r="ORX14" s="109"/>
      <c r="ORY14" s="107" t="s">
        <v>1</v>
      </c>
      <c r="ORZ14" s="108"/>
      <c r="OSA14" s="108"/>
      <c r="OSB14" s="109"/>
      <c r="OSC14" s="107" t="s">
        <v>1</v>
      </c>
      <c r="OSD14" s="108"/>
      <c r="OSE14" s="108"/>
      <c r="OSF14" s="109"/>
      <c r="OSG14" s="107" t="s">
        <v>1</v>
      </c>
      <c r="OSH14" s="108"/>
      <c r="OSI14" s="108"/>
      <c r="OSJ14" s="109"/>
      <c r="OSK14" s="107" t="s">
        <v>1</v>
      </c>
      <c r="OSL14" s="108"/>
      <c r="OSM14" s="108"/>
      <c r="OSN14" s="109"/>
      <c r="OSO14" s="107" t="s">
        <v>1</v>
      </c>
      <c r="OSP14" s="108"/>
      <c r="OSQ14" s="108"/>
      <c r="OSR14" s="109"/>
      <c r="OSS14" s="107" t="s">
        <v>1</v>
      </c>
      <c r="OST14" s="108"/>
      <c r="OSU14" s="108"/>
      <c r="OSV14" s="109"/>
      <c r="OSW14" s="107" t="s">
        <v>1</v>
      </c>
      <c r="OSX14" s="108"/>
      <c r="OSY14" s="108"/>
      <c r="OSZ14" s="109"/>
      <c r="OTA14" s="107" t="s">
        <v>1</v>
      </c>
      <c r="OTB14" s="108"/>
      <c r="OTC14" s="108"/>
      <c r="OTD14" s="109"/>
      <c r="OTE14" s="107" t="s">
        <v>1</v>
      </c>
      <c r="OTF14" s="108"/>
      <c r="OTG14" s="108"/>
      <c r="OTH14" s="109"/>
      <c r="OTI14" s="107" t="s">
        <v>1</v>
      </c>
      <c r="OTJ14" s="108"/>
      <c r="OTK14" s="108"/>
      <c r="OTL14" s="109"/>
      <c r="OTM14" s="107" t="s">
        <v>1</v>
      </c>
      <c r="OTN14" s="108"/>
      <c r="OTO14" s="108"/>
      <c r="OTP14" s="109"/>
      <c r="OTQ14" s="107" t="s">
        <v>1</v>
      </c>
      <c r="OTR14" s="108"/>
      <c r="OTS14" s="108"/>
      <c r="OTT14" s="109"/>
      <c r="OTU14" s="107" t="s">
        <v>1</v>
      </c>
      <c r="OTV14" s="108"/>
      <c r="OTW14" s="108"/>
      <c r="OTX14" s="109"/>
      <c r="OTY14" s="107" t="s">
        <v>1</v>
      </c>
      <c r="OTZ14" s="108"/>
      <c r="OUA14" s="108"/>
      <c r="OUB14" s="109"/>
      <c r="OUC14" s="107" t="s">
        <v>1</v>
      </c>
      <c r="OUD14" s="108"/>
      <c r="OUE14" s="108"/>
      <c r="OUF14" s="109"/>
      <c r="OUG14" s="107" t="s">
        <v>1</v>
      </c>
      <c r="OUH14" s="108"/>
      <c r="OUI14" s="108"/>
      <c r="OUJ14" s="109"/>
      <c r="OUK14" s="107" t="s">
        <v>1</v>
      </c>
      <c r="OUL14" s="108"/>
      <c r="OUM14" s="108"/>
      <c r="OUN14" s="109"/>
      <c r="OUO14" s="107" t="s">
        <v>1</v>
      </c>
      <c r="OUP14" s="108"/>
      <c r="OUQ14" s="108"/>
      <c r="OUR14" s="109"/>
      <c r="OUS14" s="107" t="s">
        <v>1</v>
      </c>
      <c r="OUT14" s="108"/>
      <c r="OUU14" s="108"/>
      <c r="OUV14" s="109"/>
      <c r="OUW14" s="107" t="s">
        <v>1</v>
      </c>
      <c r="OUX14" s="108"/>
      <c r="OUY14" s="108"/>
      <c r="OUZ14" s="109"/>
      <c r="OVA14" s="107" t="s">
        <v>1</v>
      </c>
      <c r="OVB14" s="108"/>
      <c r="OVC14" s="108"/>
      <c r="OVD14" s="109"/>
      <c r="OVE14" s="107" t="s">
        <v>1</v>
      </c>
      <c r="OVF14" s="108"/>
      <c r="OVG14" s="108"/>
      <c r="OVH14" s="109"/>
      <c r="OVI14" s="107" t="s">
        <v>1</v>
      </c>
      <c r="OVJ14" s="108"/>
      <c r="OVK14" s="108"/>
      <c r="OVL14" s="109"/>
      <c r="OVM14" s="107" t="s">
        <v>1</v>
      </c>
      <c r="OVN14" s="108"/>
      <c r="OVO14" s="108"/>
      <c r="OVP14" s="109"/>
      <c r="OVQ14" s="107" t="s">
        <v>1</v>
      </c>
      <c r="OVR14" s="108"/>
      <c r="OVS14" s="108"/>
      <c r="OVT14" s="109"/>
      <c r="OVU14" s="107" t="s">
        <v>1</v>
      </c>
      <c r="OVV14" s="108"/>
      <c r="OVW14" s="108"/>
      <c r="OVX14" s="109"/>
      <c r="OVY14" s="107" t="s">
        <v>1</v>
      </c>
      <c r="OVZ14" s="108"/>
      <c r="OWA14" s="108"/>
      <c r="OWB14" s="109"/>
      <c r="OWC14" s="107" t="s">
        <v>1</v>
      </c>
      <c r="OWD14" s="108"/>
      <c r="OWE14" s="108"/>
      <c r="OWF14" s="109"/>
      <c r="OWG14" s="107" t="s">
        <v>1</v>
      </c>
      <c r="OWH14" s="108"/>
      <c r="OWI14" s="108"/>
      <c r="OWJ14" s="109"/>
      <c r="OWK14" s="107" t="s">
        <v>1</v>
      </c>
      <c r="OWL14" s="108"/>
      <c r="OWM14" s="108"/>
      <c r="OWN14" s="109"/>
      <c r="OWO14" s="107" t="s">
        <v>1</v>
      </c>
      <c r="OWP14" s="108"/>
      <c r="OWQ14" s="108"/>
      <c r="OWR14" s="109"/>
      <c r="OWS14" s="107" t="s">
        <v>1</v>
      </c>
      <c r="OWT14" s="108"/>
      <c r="OWU14" s="108"/>
      <c r="OWV14" s="109"/>
      <c r="OWW14" s="107" t="s">
        <v>1</v>
      </c>
      <c r="OWX14" s="108"/>
      <c r="OWY14" s="108"/>
      <c r="OWZ14" s="109"/>
      <c r="OXA14" s="107" t="s">
        <v>1</v>
      </c>
      <c r="OXB14" s="108"/>
      <c r="OXC14" s="108"/>
      <c r="OXD14" s="109"/>
      <c r="OXE14" s="107" t="s">
        <v>1</v>
      </c>
      <c r="OXF14" s="108"/>
      <c r="OXG14" s="108"/>
      <c r="OXH14" s="109"/>
      <c r="OXI14" s="107" t="s">
        <v>1</v>
      </c>
      <c r="OXJ14" s="108"/>
      <c r="OXK14" s="108"/>
      <c r="OXL14" s="109"/>
      <c r="OXM14" s="107" t="s">
        <v>1</v>
      </c>
      <c r="OXN14" s="108"/>
      <c r="OXO14" s="108"/>
      <c r="OXP14" s="109"/>
      <c r="OXQ14" s="107" t="s">
        <v>1</v>
      </c>
      <c r="OXR14" s="108"/>
      <c r="OXS14" s="108"/>
      <c r="OXT14" s="109"/>
      <c r="OXU14" s="107" t="s">
        <v>1</v>
      </c>
      <c r="OXV14" s="108"/>
      <c r="OXW14" s="108"/>
      <c r="OXX14" s="109"/>
      <c r="OXY14" s="107" t="s">
        <v>1</v>
      </c>
      <c r="OXZ14" s="108"/>
      <c r="OYA14" s="108"/>
      <c r="OYB14" s="109"/>
      <c r="OYC14" s="107" t="s">
        <v>1</v>
      </c>
      <c r="OYD14" s="108"/>
      <c r="OYE14" s="108"/>
      <c r="OYF14" s="109"/>
      <c r="OYG14" s="107" t="s">
        <v>1</v>
      </c>
      <c r="OYH14" s="108"/>
      <c r="OYI14" s="108"/>
      <c r="OYJ14" s="109"/>
      <c r="OYK14" s="107" t="s">
        <v>1</v>
      </c>
      <c r="OYL14" s="108"/>
      <c r="OYM14" s="108"/>
      <c r="OYN14" s="109"/>
      <c r="OYO14" s="107" t="s">
        <v>1</v>
      </c>
      <c r="OYP14" s="108"/>
      <c r="OYQ14" s="108"/>
      <c r="OYR14" s="109"/>
      <c r="OYS14" s="107" t="s">
        <v>1</v>
      </c>
      <c r="OYT14" s="108"/>
      <c r="OYU14" s="108"/>
      <c r="OYV14" s="109"/>
      <c r="OYW14" s="107" t="s">
        <v>1</v>
      </c>
      <c r="OYX14" s="108"/>
      <c r="OYY14" s="108"/>
      <c r="OYZ14" s="109"/>
      <c r="OZA14" s="107" t="s">
        <v>1</v>
      </c>
      <c r="OZB14" s="108"/>
      <c r="OZC14" s="108"/>
      <c r="OZD14" s="109"/>
      <c r="OZE14" s="107" t="s">
        <v>1</v>
      </c>
      <c r="OZF14" s="108"/>
      <c r="OZG14" s="108"/>
      <c r="OZH14" s="109"/>
      <c r="OZI14" s="107" t="s">
        <v>1</v>
      </c>
      <c r="OZJ14" s="108"/>
      <c r="OZK14" s="108"/>
      <c r="OZL14" s="109"/>
      <c r="OZM14" s="107" t="s">
        <v>1</v>
      </c>
      <c r="OZN14" s="108"/>
      <c r="OZO14" s="108"/>
      <c r="OZP14" s="109"/>
      <c r="OZQ14" s="107" t="s">
        <v>1</v>
      </c>
      <c r="OZR14" s="108"/>
      <c r="OZS14" s="108"/>
      <c r="OZT14" s="109"/>
      <c r="OZU14" s="107" t="s">
        <v>1</v>
      </c>
      <c r="OZV14" s="108"/>
      <c r="OZW14" s="108"/>
      <c r="OZX14" s="109"/>
      <c r="OZY14" s="107" t="s">
        <v>1</v>
      </c>
      <c r="OZZ14" s="108"/>
      <c r="PAA14" s="108"/>
      <c r="PAB14" s="109"/>
      <c r="PAC14" s="107" t="s">
        <v>1</v>
      </c>
      <c r="PAD14" s="108"/>
      <c r="PAE14" s="108"/>
      <c r="PAF14" s="109"/>
      <c r="PAG14" s="107" t="s">
        <v>1</v>
      </c>
      <c r="PAH14" s="108"/>
      <c r="PAI14" s="108"/>
      <c r="PAJ14" s="109"/>
      <c r="PAK14" s="107" t="s">
        <v>1</v>
      </c>
      <c r="PAL14" s="108"/>
      <c r="PAM14" s="108"/>
      <c r="PAN14" s="109"/>
      <c r="PAO14" s="107" t="s">
        <v>1</v>
      </c>
      <c r="PAP14" s="108"/>
      <c r="PAQ14" s="108"/>
      <c r="PAR14" s="109"/>
      <c r="PAS14" s="107" t="s">
        <v>1</v>
      </c>
      <c r="PAT14" s="108"/>
      <c r="PAU14" s="108"/>
      <c r="PAV14" s="109"/>
      <c r="PAW14" s="107" t="s">
        <v>1</v>
      </c>
      <c r="PAX14" s="108"/>
      <c r="PAY14" s="108"/>
      <c r="PAZ14" s="109"/>
      <c r="PBA14" s="107" t="s">
        <v>1</v>
      </c>
      <c r="PBB14" s="108"/>
      <c r="PBC14" s="108"/>
      <c r="PBD14" s="109"/>
      <c r="PBE14" s="107" t="s">
        <v>1</v>
      </c>
      <c r="PBF14" s="108"/>
      <c r="PBG14" s="108"/>
      <c r="PBH14" s="109"/>
      <c r="PBI14" s="107" t="s">
        <v>1</v>
      </c>
      <c r="PBJ14" s="108"/>
      <c r="PBK14" s="108"/>
      <c r="PBL14" s="109"/>
      <c r="PBM14" s="107" t="s">
        <v>1</v>
      </c>
      <c r="PBN14" s="108"/>
      <c r="PBO14" s="108"/>
      <c r="PBP14" s="109"/>
      <c r="PBQ14" s="107" t="s">
        <v>1</v>
      </c>
      <c r="PBR14" s="108"/>
      <c r="PBS14" s="108"/>
      <c r="PBT14" s="109"/>
      <c r="PBU14" s="107" t="s">
        <v>1</v>
      </c>
      <c r="PBV14" s="108"/>
      <c r="PBW14" s="108"/>
      <c r="PBX14" s="109"/>
      <c r="PBY14" s="107" t="s">
        <v>1</v>
      </c>
      <c r="PBZ14" s="108"/>
      <c r="PCA14" s="108"/>
      <c r="PCB14" s="109"/>
      <c r="PCC14" s="107" t="s">
        <v>1</v>
      </c>
      <c r="PCD14" s="108"/>
      <c r="PCE14" s="108"/>
      <c r="PCF14" s="109"/>
      <c r="PCG14" s="107" t="s">
        <v>1</v>
      </c>
      <c r="PCH14" s="108"/>
      <c r="PCI14" s="108"/>
      <c r="PCJ14" s="109"/>
      <c r="PCK14" s="107" t="s">
        <v>1</v>
      </c>
      <c r="PCL14" s="108"/>
      <c r="PCM14" s="108"/>
      <c r="PCN14" s="109"/>
      <c r="PCO14" s="107" t="s">
        <v>1</v>
      </c>
      <c r="PCP14" s="108"/>
      <c r="PCQ14" s="108"/>
      <c r="PCR14" s="109"/>
      <c r="PCS14" s="107" t="s">
        <v>1</v>
      </c>
      <c r="PCT14" s="108"/>
      <c r="PCU14" s="108"/>
      <c r="PCV14" s="109"/>
      <c r="PCW14" s="107" t="s">
        <v>1</v>
      </c>
      <c r="PCX14" s="108"/>
      <c r="PCY14" s="108"/>
      <c r="PCZ14" s="109"/>
      <c r="PDA14" s="107" t="s">
        <v>1</v>
      </c>
      <c r="PDB14" s="108"/>
      <c r="PDC14" s="108"/>
      <c r="PDD14" s="109"/>
      <c r="PDE14" s="107" t="s">
        <v>1</v>
      </c>
      <c r="PDF14" s="108"/>
      <c r="PDG14" s="108"/>
      <c r="PDH14" s="109"/>
      <c r="PDI14" s="107" t="s">
        <v>1</v>
      </c>
      <c r="PDJ14" s="108"/>
      <c r="PDK14" s="108"/>
      <c r="PDL14" s="109"/>
      <c r="PDM14" s="107" t="s">
        <v>1</v>
      </c>
      <c r="PDN14" s="108"/>
      <c r="PDO14" s="108"/>
      <c r="PDP14" s="109"/>
      <c r="PDQ14" s="107" t="s">
        <v>1</v>
      </c>
      <c r="PDR14" s="108"/>
      <c r="PDS14" s="108"/>
      <c r="PDT14" s="109"/>
      <c r="PDU14" s="107" t="s">
        <v>1</v>
      </c>
      <c r="PDV14" s="108"/>
      <c r="PDW14" s="108"/>
      <c r="PDX14" s="109"/>
      <c r="PDY14" s="107" t="s">
        <v>1</v>
      </c>
      <c r="PDZ14" s="108"/>
      <c r="PEA14" s="108"/>
      <c r="PEB14" s="109"/>
      <c r="PEC14" s="107" t="s">
        <v>1</v>
      </c>
      <c r="PED14" s="108"/>
      <c r="PEE14" s="108"/>
      <c r="PEF14" s="109"/>
      <c r="PEG14" s="107" t="s">
        <v>1</v>
      </c>
      <c r="PEH14" s="108"/>
      <c r="PEI14" s="108"/>
      <c r="PEJ14" s="109"/>
      <c r="PEK14" s="107" t="s">
        <v>1</v>
      </c>
      <c r="PEL14" s="108"/>
      <c r="PEM14" s="108"/>
      <c r="PEN14" s="109"/>
      <c r="PEO14" s="107" t="s">
        <v>1</v>
      </c>
      <c r="PEP14" s="108"/>
      <c r="PEQ14" s="108"/>
      <c r="PER14" s="109"/>
      <c r="PES14" s="107" t="s">
        <v>1</v>
      </c>
      <c r="PET14" s="108"/>
      <c r="PEU14" s="108"/>
      <c r="PEV14" s="109"/>
      <c r="PEW14" s="107" t="s">
        <v>1</v>
      </c>
      <c r="PEX14" s="108"/>
      <c r="PEY14" s="108"/>
      <c r="PEZ14" s="109"/>
      <c r="PFA14" s="107" t="s">
        <v>1</v>
      </c>
      <c r="PFB14" s="108"/>
      <c r="PFC14" s="108"/>
      <c r="PFD14" s="109"/>
      <c r="PFE14" s="107" t="s">
        <v>1</v>
      </c>
      <c r="PFF14" s="108"/>
      <c r="PFG14" s="108"/>
      <c r="PFH14" s="109"/>
      <c r="PFI14" s="107" t="s">
        <v>1</v>
      </c>
      <c r="PFJ14" s="108"/>
      <c r="PFK14" s="108"/>
      <c r="PFL14" s="109"/>
      <c r="PFM14" s="107" t="s">
        <v>1</v>
      </c>
      <c r="PFN14" s="108"/>
      <c r="PFO14" s="108"/>
      <c r="PFP14" s="109"/>
      <c r="PFQ14" s="107" t="s">
        <v>1</v>
      </c>
      <c r="PFR14" s="108"/>
      <c r="PFS14" s="108"/>
      <c r="PFT14" s="109"/>
      <c r="PFU14" s="107" t="s">
        <v>1</v>
      </c>
      <c r="PFV14" s="108"/>
      <c r="PFW14" s="108"/>
      <c r="PFX14" s="109"/>
      <c r="PFY14" s="107" t="s">
        <v>1</v>
      </c>
      <c r="PFZ14" s="108"/>
      <c r="PGA14" s="108"/>
      <c r="PGB14" s="109"/>
      <c r="PGC14" s="107" t="s">
        <v>1</v>
      </c>
      <c r="PGD14" s="108"/>
      <c r="PGE14" s="108"/>
      <c r="PGF14" s="109"/>
      <c r="PGG14" s="107" t="s">
        <v>1</v>
      </c>
      <c r="PGH14" s="108"/>
      <c r="PGI14" s="108"/>
      <c r="PGJ14" s="109"/>
      <c r="PGK14" s="107" t="s">
        <v>1</v>
      </c>
      <c r="PGL14" s="108"/>
      <c r="PGM14" s="108"/>
      <c r="PGN14" s="109"/>
      <c r="PGO14" s="107" t="s">
        <v>1</v>
      </c>
      <c r="PGP14" s="108"/>
      <c r="PGQ14" s="108"/>
      <c r="PGR14" s="109"/>
      <c r="PGS14" s="107" t="s">
        <v>1</v>
      </c>
      <c r="PGT14" s="108"/>
      <c r="PGU14" s="108"/>
      <c r="PGV14" s="109"/>
      <c r="PGW14" s="107" t="s">
        <v>1</v>
      </c>
      <c r="PGX14" s="108"/>
      <c r="PGY14" s="108"/>
      <c r="PGZ14" s="109"/>
      <c r="PHA14" s="107" t="s">
        <v>1</v>
      </c>
      <c r="PHB14" s="108"/>
      <c r="PHC14" s="108"/>
      <c r="PHD14" s="109"/>
      <c r="PHE14" s="107" t="s">
        <v>1</v>
      </c>
      <c r="PHF14" s="108"/>
      <c r="PHG14" s="108"/>
      <c r="PHH14" s="109"/>
      <c r="PHI14" s="107" t="s">
        <v>1</v>
      </c>
      <c r="PHJ14" s="108"/>
      <c r="PHK14" s="108"/>
      <c r="PHL14" s="109"/>
      <c r="PHM14" s="107" t="s">
        <v>1</v>
      </c>
      <c r="PHN14" s="108"/>
      <c r="PHO14" s="108"/>
      <c r="PHP14" s="109"/>
      <c r="PHQ14" s="107" t="s">
        <v>1</v>
      </c>
      <c r="PHR14" s="108"/>
      <c r="PHS14" s="108"/>
      <c r="PHT14" s="109"/>
      <c r="PHU14" s="107" t="s">
        <v>1</v>
      </c>
      <c r="PHV14" s="108"/>
      <c r="PHW14" s="108"/>
      <c r="PHX14" s="109"/>
      <c r="PHY14" s="107" t="s">
        <v>1</v>
      </c>
      <c r="PHZ14" s="108"/>
      <c r="PIA14" s="108"/>
      <c r="PIB14" s="109"/>
      <c r="PIC14" s="107" t="s">
        <v>1</v>
      </c>
      <c r="PID14" s="108"/>
      <c r="PIE14" s="108"/>
      <c r="PIF14" s="109"/>
      <c r="PIG14" s="107" t="s">
        <v>1</v>
      </c>
      <c r="PIH14" s="108"/>
      <c r="PII14" s="108"/>
      <c r="PIJ14" s="109"/>
      <c r="PIK14" s="107" t="s">
        <v>1</v>
      </c>
      <c r="PIL14" s="108"/>
      <c r="PIM14" s="108"/>
      <c r="PIN14" s="109"/>
      <c r="PIO14" s="107" t="s">
        <v>1</v>
      </c>
      <c r="PIP14" s="108"/>
      <c r="PIQ14" s="108"/>
      <c r="PIR14" s="109"/>
      <c r="PIS14" s="107" t="s">
        <v>1</v>
      </c>
      <c r="PIT14" s="108"/>
      <c r="PIU14" s="108"/>
      <c r="PIV14" s="109"/>
      <c r="PIW14" s="107" t="s">
        <v>1</v>
      </c>
      <c r="PIX14" s="108"/>
      <c r="PIY14" s="108"/>
      <c r="PIZ14" s="109"/>
      <c r="PJA14" s="107" t="s">
        <v>1</v>
      </c>
      <c r="PJB14" s="108"/>
      <c r="PJC14" s="108"/>
      <c r="PJD14" s="109"/>
      <c r="PJE14" s="107" t="s">
        <v>1</v>
      </c>
      <c r="PJF14" s="108"/>
      <c r="PJG14" s="108"/>
      <c r="PJH14" s="109"/>
      <c r="PJI14" s="107" t="s">
        <v>1</v>
      </c>
      <c r="PJJ14" s="108"/>
      <c r="PJK14" s="108"/>
      <c r="PJL14" s="109"/>
      <c r="PJM14" s="107" t="s">
        <v>1</v>
      </c>
      <c r="PJN14" s="108"/>
      <c r="PJO14" s="108"/>
      <c r="PJP14" s="109"/>
      <c r="PJQ14" s="107" t="s">
        <v>1</v>
      </c>
      <c r="PJR14" s="108"/>
      <c r="PJS14" s="108"/>
      <c r="PJT14" s="109"/>
      <c r="PJU14" s="107" t="s">
        <v>1</v>
      </c>
      <c r="PJV14" s="108"/>
      <c r="PJW14" s="108"/>
      <c r="PJX14" s="109"/>
      <c r="PJY14" s="107" t="s">
        <v>1</v>
      </c>
      <c r="PJZ14" s="108"/>
      <c r="PKA14" s="108"/>
      <c r="PKB14" s="109"/>
      <c r="PKC14" s="107" t="s">
        <v>1</v>
      </c>
      <c r="PKD14" s="108"/>
      <c r="PKE14" s="108"/>
      <c r="PKF14" s="109"/>
      <c r="PKG14" s="107" t="s">
        <v>1</v>
      </c>
      <c r="PKH14" s="108"/>
      <c r="PKI14" s="108"/>
      <c r="PKJ14" s="109"/>
      <c r="PKK14" s="107" t="s">
        <v>1</v>
      </c>
      <c r="PKL14" s="108"/>
      <c r="PKM14" s="108"/>
      <c r="PKN14" s="109"/>
      <c r="PKO14" s="107" t="s">
        <v>1</v>
      </c>
      <c r="PKP14" s="108"/>
      <c r="PKQ14" s="108"/>
      <c r="PKR14" s="109"/>
      <c r="PKS14" s="107" t="s">
        <v>1</v>
      </c>
      <c r="PKT14" s="108"/>
      <c r="PKU14" s="108"/>
      <c r="PKV14" s="109"/>
      <c r="PKW14" s="107" t="s">
        <v>1</v>
      </c>
      <c r="PKX14" s="108"/>
      <c r="PKY14" s="108"/>
      <c r="PKZ14" s="109"/>
      <c r="PLA14" s="107" t="s">
        <v>1</v>
      </c>
      <c r="PLB14" s="108"/>
      <c r="PLC14" s="108"/>
      <c r="PLD14" s="109"/>
      <c r="PLE14" s="107" t="s">
        <v>1</v>
      </c>
      <c r="PLF14" s="108"/>
      <c r="PLG14" s="108"/>
      <c r="PLH14" s="109"/>
      <c r="PLI14" s="107" t="s">
        <v>1</v>
      </c>
      <c r="PLJ14" s="108"/>
      <c r="PLK14" s="108"/>
      <c r="PLL14" s="109"/>
      <c r="PLM14" s="107" t="s">
        <v>1</v>
      </c>
      <c r="PLN14" s="108"/>
      <c r="PLO14" s="108"/>
      <c r="PLP14" s="109"/>
      <c r="PLQ14" s="107" t="s">
        <v>1</v>
      </c>
      <c r="PLR14" s="108"/>
      <c r="PLS14" s="108"/>
      <c r="PLT14" s="109"/>
      <c r="PLU14" s="107" t="s">
        <v>1</v>
      </c>
      <c r="PLV14" s="108"/>
      <c r="PLW14" s="108"/>
      <c r="PLX14" s="109"/>
      <c r="PLY14" s="107" t="s">
        <v>1</v>
      </c>
      <c r="PLZ14" s="108"/>
      <c r="PMA14" s="108"/>
      <c r="PMB14" s="109"/>
      <c r="PMC14" s="107" t="s">
        <v>1</v>
      </c>
      <c r="PMD14" s="108"/>
      <c r="PME14" s="108"/>
      <c r="PMF14" s="109"/>
      <c r="PMG14" s="107" t="s">
        <v>1</v>
      </c>
      <c r="PMH14" s="108"/>
      <c r="PMI14" s="108"/>
      <c r="PMJ14" s="109"/>
      <c r="PMK14" s="107" t="s">
        <v>1</v>
      </c>
      <c r="PML14" s="108"/>
      <c r="PMM14" s="108"/>
      <c r="PMN14" s="109"/>
      <c r="PMO14" s="107" t="s">
        <v>1</v>
      </c>
      <c r="PMP14" s="108"/>
      <c r="PMQ14" s="108"/>
      <c r="PMR14" s="109"/>
      <c r="PMS14" s="107" t="s">
        <v>1</v>
      </c>
      <c r="PMT14" s="108"/>
      <c r="PMU14" s="108"/>
      <c r="PMV14" s="109"/>
      <c r="PMW14" s="107" t="s">
        <v>1</v>
      </c>
      <c r="PMX14" s="108"/>
      <c r="PMY14" s="108"/>
      <c r="PMZ14" s="109"/>
      <c r="PNA14" s="107" t="s">
        <v>1</v>
      </c>
      <c r="PNB14" s="108"/>
      <c r="PNC14" s="108"/>
      <c r="PND14" s="109"/>
      <c r="PNE14" s="107" t="s">
        <v>1</v>
      </c>
      <c r="PNF14" s="108"/>
      <c r="PNG14" s="108"/>
      <c r="PNH14" s="109"/>
      <c r="PNI14" s="107" t="s">
        <v>1</v>
      </c>
      <c r="PNJ14" s="108"/>
      <c r="PNK14" s="108"/>
      <c r="PNL14" s="109"/>
      <c r="PNM14" s="107" t="s">
        <v>1</v>
      </c>
      <c r="PNN14" s="108"/>
      <c r="PNO14" s="108"/>
      <c r="PNP14" s="109"/>
      <c r="PNQ14" s="107" t="s">
        <v>1</v>
      </c>
      <c r="PNR14" s="108"/>
      <c r="PNS14" s="108"/>
      <c r="PNT14" s="109"/>
      <c r="PNU14" s="107" t="s">
        <v>1</v>
      </c>
      <c r="PNV14" s="108"/>
      <c r="PNW14" s="108"/>
      <c r="PNX14" s="109"/>
      <c r="PNY14" s="107" t="s">
        <v>1</v>
      </c>
      <c r="PNZ14" s="108"/>
      <c r="POA14" s="108"/>
      <c r="POB14" s="109"/>
      <c r="POC14" s="107" t="s">
        <v>1</v>
      </c>
      <c r="POD14" s="108"/>
      <c r="POE14" s="108"/>
      <c r="POF14" s="109"/>
      <c r="POG14" s="107" t="s">
        <v>1</v>
      </c>
      <c r="POH14" s="108"/>
      <c r="POI14" s="108"/>
      <c r="POJ14" s="109"/>
      <c r="POK14" s="107" t="s">
        <v>1</v>
      </c>
      <c r="POL14" s="108"/>
      <c r="POM14" s="108"/>
      <c r="PON14" s="109"/>
      <c r="POO14" s="107" t="s">
        <v>1</v>
      </c>
      <c r="POP14" s="108"/>
      <c r="POQ14" s="108"/>
      <c r="POR14" s="109"/>
      <c r="POS14" s="107" t="s">
        <v>1</v>
      </c>
      <c r="POT14" s="108"/>
      <c r="POU14" s="108"/>
      <c r="POV14" s="109"/>
      <c r="POW14" s="107" t="s">
        <v>1</v>
      </c>
      <c r="POX14" s="108"/>
      <c r="POY14" s="108"/>
      <c r="POZ14" s="109"/>
      <c r="PPA14" s="107" t="s">
        <v>1</v>
      </c>
      <c r="PPB14" s="108"/>
      <c r="PPC14" s="108"/>
      <c r="PPD14" s="109"/>
      <c r="PPE14" s="107" t="s">
        <v>1</v>
      </c>
      <c r="PPF14" s="108"/>
      <c r="PPG14" s="108"/>
      <c r="PPH14" s="109"/>
      <c r="PPI14" s="107" t="s">
        <v>1</v>
      </c>
      <c r="PPJ14" s="108"/>
      <c r="PPK14" s="108"/>
      <c r="PPL14" s="109"/>
      <c r="PPM14" s="107" t="s">
        <v>1</v>
      </c>
      <c r="PPN14" s="108"/>
      <c r="PPO14" s="108"/>
      <c r="PPP14" s="109"/>
      <c r="PPQ14" s="107" t="s">
        <v>1</v>
      </c>
      <c r="PPR14" s="108"/>
      <c r="PPS14" s="108"/>
      <c r="PPT14" s="109"/>
      <c r="PPU14" s="107" t="s">
        <v>1</v>
      </c>
      <c r="PPV14" s="108"/>
      <c r="PPW14" s="108"/>
      <c r="PPX14" s="109"/>
      <c r="PPY14" s="107" t="s">
        <v>1</v>
      </c>
      <c r="PPZ14" s="108"/>
      <c r="PQA14" s="108"/>
      <c r="PQB14" s="109"/>
      <c r="PQC14" s="107" t="s">
        <v>1</v>
      </c>
      <c r="PQD14" s="108"/>
      <c r="PQE14" s="108"/>
      <c r="PQF14" s="109"/>
      <c r="PQG14" s="107" t="s">
        <v>1</v>
      </c>
      <c r="PQH14" s="108"/>
      <c r="PQI14" s="108"/>
      <c r="PQJ14" s="109"/>
      <c r="PQK14" s="107" t="s">
        <v>1</v>
      </c>
      <c r="PQL14" s="108"/>
      <c r="PQM14" s="108"/>
      <c r="PQN14" s="109"/>
      <c r="PQO14" s="107" t="s">
        <v>1</v>
      </c>
      <c r="PQP14" s="108"/>
      <c r="PQQ14" s="108"/>
      <c r="PQR14" s="109"/>
      <c r="PQS14" s="107" t="s">
        <v>1</v>
      </c>
      <c r="PQT14" s="108"/>
      <c r="PQU14" s="108"/>
      <c r="PQV14" s="109"/>
      <c r="PQW14" s="107" t="s">
        <v>1</v>
      </c>
      <c r="PQX14" s="108"/>
      <c r="PQY14" s="108"/>
      <c r="PQZ14" s="109"/>
      <c r="PRA14" s="107" t="s">
        <v>1</v>
      </c>
      <c r="PRB14" s="108"/>
      <c r="PRC14" s="108"/>
      <c r="PRD14" s="109"/>
      <c r="PRE14" s="107" t="s">
        <v>1</v>
      </c>
      <c r="PRF14" s="108"/>
      <c r="PRG14" s="108"/>
      <c r="PRH14" s="109"/>
      <c r="PRI14" s="107" t="s">
        <v>1</v>
      </c>
      <c r="PRJ14" s="108"/>
      <c r="PRK14" s="108"/>
      <c r="PRL14" s="109"/>
      <c r="PRM14" s="107" t="s">
        <v>1</v>
      </c>
      <c r="PRN14" s="108"/>
      <c r="PRO14" s="108"/>
      <c r="PRP14" s="109"/>
      <c r="PRQ14" s="107" t="s">
        <v>1</v>
      </c>
      <c r="PRR14" s="108"/>
      <c r="PRS14" s="108"/>
      <c r="PRT14" s="109"/>
      <c r="PRU14" s="107" t="s">
        <v>1</v>
      </c>
      <c r="PRV14" s="108"/>
      <c r="PRW14" s="108"/>
      <c r="PRX14" s="109"/>
      <c r="PRY14" s="107" t="s">
        <v>1</v>
      </c>
      <c r="PRZ14" s="108"/>
      <c r="PSA14" s="108"/>
      <c r="PSB14" s="109"/>
      <c r="PSC14" s="107" t="s">
        <v>1</v>
      </c>
      <c r="PSD14" s="108"/>
      <c r="PSE14" s="108"/>
      <c r="PSF14" s="109"/>
      <c r="PSG14" s="107" t="s">
        <v>1</v>
      </c>
      <c r="PSH14" s="108"/>
      <c r="PSI14" s="108"/>
      <c r="PSJ14" s="109"/>
      <c r="PSK14" s="107" t="s">
        <v>1</v>
      </c>
      <c r="PSL14" s="108"/>
      <c r="PSM14" s="108"/>
      <c r="PSN14" s="109"/>
      <c r="PSO14" s="107" t="s">
        <v>1</v>
      </c>
      <c r="PSP14" s="108"/>
      <c r="PSQ14" s="108"/>
      <c r="PSR14" s="109"/>
      <c r="PSS14" s="107" t="s">
        <v>1</v>
      </c>
      <c r="PST14" s="108"/>
      <c r="PSU14" s="108"/>
      <c r="PSV14" s="109"/>
      <c r="PSW14" s="107" t="s">
        <v>1</v>
      </c>
      <c r="PSX14" s="108"/>
      <c r="PSY14" s="108"/>
      <c r="PSZ14" s="109"/>
      <c r="PTA14" s="107" t="s">
        <v>1</v>
      </c>
      <c r="PTB14" s="108"/>
      <c r="PTC14" s="108"/>
      <c r="PTD14" s="109"/>
      <c r="PTE14" s="107" t="s">
        <v>1</v>
      </c>
      <c r="PTF14" s="108"/>
      <c r="PTG14" s="108"/>
      <c r="PTH14" s="109"/>
      <c r="PTI14" s="107" t="s">
        <v>1</v>
      </c>
      <c r="PTJ14" s="108"/>
      <c r="PTK14" s="108"/>
      <c r="PTL14" s="109"/>
      <c r="PTM14" s="107" t="s">
        <v>1</v>
      </c>
      <c r="PTN14" s="108"/>
      <c r="PTO14" s="108"/>
      <c r="PTP14" s="109"/>
      <c r="PTQ14" s="107" t="s">
        <v>1</v>
      </c>
      <c r="PTR14" s="108"/>
      <c r="PTS14" s="108"/>
      <c r="PTT14" s="109"/>
      <c r="PTU14" s="107" t="s">
        <v>1</v>
      </c>
      <c r="PTV14" s="108"/>
      <c r="PTW14" s="108"/>
      <c r="PTX14" s="109"/>
      <c r="PTY14" s="107" t="s">
        <v>1</v>
      </c>
      <c r="PTZ14" s="108"/>
      <c r="PUA14" s="108"/>
      <c r="PUB14" s="109"/>
      <c r="PUC14" s="107" t="s">
        <v>1</v>
      </c>
      <c r="PUD14" s="108"/>
      <c r="PUE14" s="108"/>
      <c r="PUF14" s="109"/>
      <c r="PUG14" s="107" t="s">
        <v>1</v>
      </c>
      <c r="PUH14" s="108"/>
      <c r="PUI14" s="108"/>
      <c r="PUJ14" s="109"/>
      <c r="PUK14" s="107" t="s">
        <v>1</v>
      </c>
      <c r="PUL14" s="108"/>
      <c r="PUM14" s="108"/>
      <c r="PUN14" s="109"/>
      <c r="PUO14" s="107" t="s">
        <v>1</v>
      </c>
      <c r="PUP14" s="108"/>
      <c r="PUQ14" s="108"/>
      <c r="PUR14" s="109"/>
      <c r="PUS14" s="107" t="s">
        <v>1</v>
      </c>
      <c r="PUT14" s="108"/>
      <c r="PUU14" s="108"/>
      <c r="PUV14" s="109"/>
      <c r="PUW14" s="107" t="s">
        <v>1</v>
      </c>
      <c r="PUX14" s="108"/>
      <c r="PUY14" s="108"/>
      <c r="PUZ14" s="109"/>
      <c r="PVA14" s="107" t="s">
        <v>1</v>
      </c>
      <c r="PVB14" s="108"/>
      <c r="PVC14" s="108"/>
      <c r="PVD14" s="109"/>
      <c r="PVE14" s="107" t="s">
        <v>1</v>
      </c>
      <c r="PVF14" s="108"/>
      <c r="PVG14" s="108"/>
      <c r="PVH14" s="109"/>
      <c r="PVI14" s="107" t="s">
        <v>1</v>
      </c>
      <c r="PVJ14" s="108"/>
      <c r="PVK14" s="108"/>
      <c r="PVL14" s="109"/>
      <c r="PVM14" s="107" t="s">
        <v>1</v>
      </c>
      <c r="PVN14" s="108"/>
      <c r="PVO14" s="108"/>
      <c r="PVP14" s="109"/>
      <c r="PVQ14" s="107" t="s">
        <v>1</v>
      </c>
      <c r="PVR14" s="108"/>
      <c r="PVS14" s="108"/>
      <c r="PVT14" s="109"/>
      <c r="PVU14" s="107" t="s">
        <v>1</v>
      </c>
      <c r="PVV14" s="108"/>
      <c r="PVW14" s="108"/>
      <c r="PVX14" s="109"/>
      <c r="PVY14" s="107" t="s">
        <v>1</v>
      </c>
      <c r="PVZ14" s="108"/>
      <c r="PWA14" s="108"/>
      <c r="PWB14" s="109"/>
      <c r="PWC14" s="107" t="s">
        <v>1</v>
      </c>
      <c r="PWD14" s="108"/>
      <c r="PWE14" s="108"/>
      <c r="PWF14" s="109"/>
      <c r="PWG14" s="107" t="s">
        <v>1</v>
      </c>
      <c r="PWH14" s="108"/>
      <c r="PWI14" s="108"/>
      <c r="PWJ14" s="109"/>
      <c r="PWK14" s="107" t="s">
        <v>1</v>
      </c>
      <c r="PWL14" s="108"/>
      <c r="PWM14" s="108"/>
      <c r="PWN14" s="109"/>
      <c r="PWO14" s="107" t="s">
        <v>1</v>
      </c>
      <c r="PWP14" s="108"/>
      <c r="PWQ14" s="108"/>
      <c r="PWR14" s="109"/>
      <c r="PWS14" s="107" t="s">
        <v>1</v>
      </c>
      <c r="PWT14" s="108"/>
      <c r="PWU14" s="108"/>
      <c r="PWV14" s="109"/>
      <c r="PWW14" s="107" t="s">
        <v>1</v>
      </c>
      <c r="PWX14" s="108"/>
      <c r="PWY14" s="108"/>
      <c r="PWZ14" s="109"/>
      <c r="PXA14" s="107" t="s">
        <v>1</v>
      </c>
      <c r="PXB14" s="108"/>
      <c r="PXC14" s="108"/>
      <c r="PXD14" s="109"/>
      <c r="PXE14" s="107" t="s">
        <v>1</v>
      </c>
      <c r="PXF14" s="108"/>
      <c r="PXG14" s="108"/>
      <c r="PXH14" s="109"/>
      <c r="PXI14" s="107" t="s">
        <v>1</v>
      </c>
      <c r="PXJ14" s="108"/>
      <c r="PXK14" s="108"/>
      <c r="PXL14" s="109"/>
      <c r="PXM14" s="107" t="s">
        <v>1</v>
      </c>
      <c r="PXN14" s="108"/>
      <c r="PXO14" s="108"/>
      <c r="PXP14" s="109"/>
      <c r="PXQ14" s="107" t="s">
        <v>1</v>
      </c>
      <c r="PXR14" s="108"/>
      <c r="PXS14" s="108"/>
      <c r="PXT14" s="109"/>
      <c r="PXU14" s="107" t="s">
        <v>1</v>
      </c>
      <c r="PXV14" s="108"/>
      <c r="PXW14" s="108"/>
      <c r="PXX14" s="109"/>
      <c r="PXY14" s="107" t="s">
        <v>1</v>
      </c>
      <c r="PXZ14" s="108"/>
      <c r="PYA14" s="108"/>
      <c r="PYB14" s="109"/>
      <c r="PYC14" s="107" t="s">
        <v>1</v>
      </c>
      <c r="PYD14" s="108"/>
      <c r="PYE14" s="108"/>
      <c r="PYF14" s="109"/>
      <c r="PYG14" s="107" t="s">
        <v>1</v>
      </c>
      <c r="PYH14" s="108"/>
      <c r="PYI14" s="108"/>
      <c r="PYJ14" s="109"/>
      <c r="PYK14" s="107" t="s">
        <v>1</v>
      </c>
      <c r="PYL14" s="108"/>
      <c r="PYM14" s="108"/>
      <c r="PYN14" s="109"/>
      <c r="PYO14" s="107" t="s">
        <v>1</v>
      </c>
      <c r="PYP14" s="108"/>
      <c r="PYQ14" s="108"/>
      <c r="PYR14" s="109"/>
      <c r="PYS14" s="107" t="s">
        <v>1</v>
      </c>
      <c r="PYT14" s="108"/>
      <c r="PYU14" s="108"/>
      <c r="PYV14" s="109"/>
      <c r="PYW14" s="107" t="s">
        <v>1</v>
      </c>
      <c r="PYX14" s="108"/>
      <c r="PYY14" s="108"/>
      <c r="PYZ14" s="109"/>
      <c r="PZA14" s="107" t="s">
        <v>1</v>
      </c>
      <c r="PZB14" s="108"/>
      <c r="PZC14" s="108"/>
      <c r="PZD14" s="109"/>
      <c r="PZE14" s="107" t="s">
        <v>1</v>
      </c>
      <c r="PZF14" s="108"/>
      <c r="PZG14" s="108"/>
      <c r="PZH14" s="109"/>
      <c r="PZI14" s="107" t="s">
        <v>1</v>
      </c>
      <c r="PZJ14" s="108"/>
      <c r="PZK14" s="108"/>
      <c r="PZL14" s="109"/>
      <c r="PZM14" s="107" t="s">
        <v>1</v>
      </c>
      <c r="PZN14" s="108"/>
      <c r="PZO14" s="108"/>
      <c r="PZP14" s="109"/>
      <c r="PZQ14" s="107" t="s">
        <v>1</v>
      </c>
      <c r="PZR14" s="108"/>
      <c r="PZS14" s="108"/>
      <c r="PZT14" s="109"/>
      <c r="PZU14" s="107" t="s">
        <v>1</v>
      </c>
      <c r="PZV14" s="108"/>
      <c r="PZW14" s="108"/>
      <c r="PZX14" s="109"/>
      <c r="PZY14" s="107" t="s">
        <v>1</v>
      </c>
      <c r="PZZ14" s="108"/>
      <c r="QAA14" s="108"/>
      <c r="QAB14" s="109"/>
      <c r="QAC14" s="107" t="s">
        <v>1</v>
      </c>
      <c r="QAD14" s="108"/>
      <c r="QAE14" s="108"/>
      <c r="QAF14" s="109"/>
      <c r="QAG14" s="107" t="s">
        <v>1</v>
      </c>
      <c r="QAH14" s="108"/>
      <c r="QAI14" s="108"/>
      <c r="QAJ14" s="109"/>
      <c r="QAK14" s="107" t="s">
        <v>1</v>
      </c>
      <c r="QAL14" s="108"/>
      <c r="QAM14" s="108"/>
      <c r="QAN14" s="109"/>
      <c r="QAO14" s="107" t="s">
        <v>1</v>
      </c>
      <c r="QAP14" s="108"/>
      <c r="QAQ14" s="108"/>
      <c r="QAR14" s="109"/>
      <c r="QAS14" s="107" t="s">
        <v>1</v>
      </c>
      <c r="QAT14" s="108"/>
      <c r="QAU14" s="108"/>
      <c r="QAV14" s="109"/>
      <c r="QAW14" s="107" t="s">
        <v>1</v>
      </c>
      <c r="QAX14" s="108"/>
      <c r="QAY14" s="108"/>
      <c r="QAZ14" s="109"/>
      <c r="QBA14" s="107" t="s">
        <v>1</v>
      </c>
      <c r="QBB14" s="108"/>
      <c r="QBC14" s="108"/>
      <c r="QBD14" s="109"/>
      <c r="QBE14" s="107" t="s">
        <v>1</v>
      </c>
      <c r="QBF14" s="108"/>
      <c r="QBG14" s="108"/>
      <c r="QBH14" s="109"/>
      <c r="QBI14" s="107" t="s">
        <v>1</v>
      </c>
      <c r="QBJ14" s="108"/>
      <c r="QBK14" s="108"/>
      <c r="QBL14" s="109"/>
      <c r="QBM14" s="107" t="s">
        <v>1</v>
      </c>
      <c r="QBN14" s="108"/>
      <c r="QBO14" s="108"/>
      <c r="QBP14" s="109"/>
      <c r="QBQ14" s="107" t="s">
        <v>1</v>
      </c>
      <c r="QBR14" s="108"/>
      <c r="QBS14" s="108"/>
      <c r="QBT14" s="109"/>
      <c r="QBU14" s="107" t="s">
        <v>1</v>
      </c>
      <c r="QBV14" s="108"/>
      <c r="QBW14" s="108"/>
      <c r="QBX14" s="109"/>
      <c r="QBY14" s="107" t="s">
        <v>1</v>
      </c>
      <c r="QBZ14" s="108"/>
      <c r="QCA14" s="108"/>
      <c r="QCB14" s="109"/>
      <c r="QCC14" s="107" t="s">
        <v>1</v>
      </c>
      <c r="QCD14" s="108"/>
      <c r="QCE14" s="108"/>
      <c r="QCF14" s="109"/>
      <c r="QCG14" s="107" t="s">
        <v>1</v>
      </c>
      <c r="QCH14" s="108"/>
      <c r="QCI14" s="108"/>
      <c r="QCJ14" s="109"/>
      <c r="QCK14" s="107" t="s">
        <v>1</v>
      </c>
      <c r="QCL14" s="108"/>
      <c r="QCM14" s="108"/>
      <c r="QCN14" s="109"/>
      <c r="QCO14" s="107" t="s">
        <v>1</v>
      </c>
      <c r="QCP14" s="108"/>
      <c r="QCQ14" s="108"/>
      <c r="QCR14" s="109"/>
      <c r="QCS14" s="107" t="s">
        <v>1</v>
      </c>
      <c r="QCT14" s="108"/>
      <c r="QCU14" s="108"/>
      <c r="QCV14" s="109"/>
      <c r="QCW14" s="107" t="s">
        <v>1</v>
      </c>
      <c r="QCX14" s="108"/>
      <c r="QCY14" s="108"/>
      <c r="QCZ14" s="109"/>
      <c r="QDA14" s="107" t="s">
        <v>1</v>
      </c>
      <c r="QDB14" s="108"/>
      <c r="QDC14" s="108"/>
      <c r="QDD14" s="109"/>
      <c r="QDE14" s="107" t="s">
        <v>1</v>
      </c>
      <c r="QDF14" s="108"/>
      <c r="QDG14" s="108"/>
      <c r="QDH14" s="109"/>
      <c r="QDI14" s="107" t="s">
        <v>1</v>
      </c>
      <c r="QDJ14" s="108"/>
      <c r="QDK14" s="108"/>
      <c r="QDL14" s="109"/>
      <c r="QDM14" s="107" t="s">
        <v>1</v>
      </c>
      <c r="QDN14" s="108"/>
      <c r="QDO14" s="108"/>
      <c r="QDP14" s="109"/>
      <c r="QDQ14" s="107" t="s">
        <v>1</v>
      </c>
      <c r="QDR14" s="108"/>
      <c r="QDS14" s="108"/>
      <c r="QDT14" s="109"/>
      <c r="QDU14" s="107" t="s">
        <v>1</v>
      </c>
      <c r="QDV14" s="108"/>
      <c r="QDW14" s="108"/>
      <c r="QDX14" s="109"/>
      <c r="QDY14" s="107" t="s">
        <v>1</v>
      </c>
      <c r="QDZ14" s="108"/>
      <c r="QEA14" s="108"/>
      <c r="QEB14" s="109"/>
      <c r="QEC14" s="107" t="s">
        <v>1</v>
      </c>
      <c r="QED14" s="108"/>
      <c r="QEE14" s="108"/>
      <c r="QEF14" s="109"/>
      <c r="QEG14" s="107" t="s">
        <v>1</v>
      </c>
      <c r="QEH14" s="108"/>
      <c r="QEI14" s="108"/>
      <c r="QEJ14" s="109"/>
      <c r="QEK14" s="107" t="s">
        <v>1</v>
      </c>
      <c r="QEL14" s="108"/>
      <c r="QEM14" s="108"/>
      <c r="QEN14" s="109"/>
      <c r="QEO14" s="107" t="s">
        <v>1</v>
      </c>
      <c r="QEP14" s="108"/>
      <c r="QEQ14" s="108"/>
      <c r="QER14" s="109"/>
      <c r="QES14" s="107" t="s">
        <v>1</v>
      </c>
      <c r="QET14" s="108"/>
      <c r="QEU14" s="108"/>
      <c r="QEV14" s="109"/>
      <c r="QEW14" s="107" t="s">
        <v>1</v>
      </c>
      <c r="QEX14" s="108"/>
      <c r="QEY14" s="108"/>
      <c r="QEZ14" s="109"/>
      <c r="QFA14" s="107" t="s">
        <v>1</v>
      </c>
      <c r="QFB14" s="108"/>
      <c r="QFC14" s="108"/>
      <c r="QFD14" s="109"/>
      <c r="QFE14" s="107" t="s">
        <v>1</v>
      </c>
      <c r="QFF14" s="108"/>
      <c r="QFG14" s="108"/>
      <c r="QFH14" s="109"/>
      <c r="QFI14" s="107" t="s">
        <v>1</v>
      </c>
      <c r="QFJ14" s="108"/>
      <c r="QFK14" s="108"/>
      <c r="QFL14" s="109"/>
      <c r="QFM14" s="107" t="s">
        <v>1</v>
      </c>
      <c r="QFN14" s="108"/>
      <c r="QFO14" s="108"/>
      <c r="QFP14" s="109"/>
      <c r="QFQ14" s="107" t="s">
        <v>1</v>
      </c>
      <c r="QFR14" s="108"/>
      <c r="QFS14" s="108"/>
      <c r="QFT14" s="109"/>
      <c r="QFU14" s="107" t="s">
        <v>1</v>
      </c>
      <c r="QFV14" s="108"/>
      <c r="QFW14" s="108"/>
      <c r="QFX14" s="109"/>
      <c r="QFY14" s="107" t="s">
        <v>1</v>
      </c>
      <c r="QFZ14" s="108"/>
      <c r="QGA14" s="108"/>
      <c r="QGB14" s="109"/>
      <c r="QGC14" s="107" t="s">
        <v>1</v>
      </c>
      <c r="QGD14" s="108"/>
      <c r="QGE14" s="108"/>
      <c r="QGF14" s="109"/>
      <c r="QGG14" s="107" t="s">
        <v>1</v>
      </c>
      <c r="QGH14" s="108"/>
      <c r="QGI14" s="108"/>
      <c r="QGJ14" s="109"/>
      <c r="QGK14" s="107" t="s">
        <v>1</v>
      </c>
      <c r="QGL14" s="108"/>
      <c r="QGM14" s="108"/>
      <c r="QGN14" s="109"/>
      <c r="QGO14" s="107" t="s">
        <v>1</v>
      </c>
      <c r="QGP14" s="108"/>
      <c r="QGQ14" s="108"/>
      <c r="QGR14" s="109"/>
      <c r="QGS14" s="107" t="s">
        <v>1</v>
      </c>
      <c r="QGT14" s="108"/>
      <c r="QGU14" s="108"/>
      <c r="QGV14" s="109"/>
      <c r="QGW14" s="107" t="s">
        <v>1</v>
      </c>
      <c r="QGX14" s="108"/>
      <c r="QGY14" s="108"/>
      <c r="QGZ14" s="109"/>
      <c r="QHA14" s="107" t="s">
        <v>1</v>
      </c>
      <c r="QHB14" s="108"/>
      <c r="QHC14" s="108"/>
      <c r="QHD14" s="109"/>
      <c r="QHE14" s="107" t="s">
        <v>1</v>
      </c>
      <c r="QHF14" s="108"/>
      <c r="QHG14" s="108"/>
      <c r="QHH14" s="109"/>
      <c r="QHI14" s="107" t="s">
        <v>1</v>
      </c>
      <c r="QHJ14" s="108"/>
      <c r="QHK14" s="108"/>
      <c r="QHL14" s="109"/>
      <c r="QHM14" s="107" t="s">
        <v>1</v>
      </c>
      <c r="QHN14" s="108"/>
      <c r="QHO14" s="108"/>
      <c r="QHP14" s="109"/>
      <c r="QHQ14" s="107" t="s">
        <v>1</v>
      </c>
      <c r="QHR14" s="108"/>
      <c r="QHS14" s="108"/>
      <c r="QHT14" s="109"/>
      <c r="QHU14" s="107" t="s">
        <v>1</v>
      </c>
      <c r="QHV14" s="108"/>
      <c r="QHW14" s="108"/>
      <c r="QHX14" s="109"/>
      <c r="QHY14" s="107" t="s">
        <v>1</v>
      </c>
      <c r="QHZ14" s="108"/>
      <c r="QIA14" s="108"/>
      <c r="QIB14" s="109"/>
      <c r="QIC14" s="107" t="s">
        <v>1</v>
      </c>
      <c r="QID14" s="108"/>
      <c r="QIE14" s="108"/>
      <c r="QIF14" s="109"/>
      <c r="QIG14" s="107" t="s">
        <v>1</v>
      </c>
      <c r="QIH14" s="108"/>
      <c r="QII14" s="108"/>
      <c r="QIJ14" s="109"/>
      <c r="QIK14" s="107" t="s">
        <v>1</v>
      </c>
      <c r="QIL14" s="108"/>
      <c r="QIM14" s="108"/>
      <c r="QIN14" s="109"/>
      <c r="QIO14" s="107" t="s">
        <v>1</v>
      </c>
      <c r="QIP14" s="108"/>
      <c r="QIQ14" s="108"/>
      <c r="QIR14" s="109"/>
      <c r="QIS14" s="107" t="s">
        <v>1</v>
      </c>
      <c r="QIT14" s="108"/>
      <c r="QIU14" s="108"/>
      <c r="QIV14" s="109"/>
      <c r="QIW14" s="107" t="s">
        <v>1</v>
      </c>
      <c r="QIX14" s="108"/>
      <c r="QIY14" s="108"/>
      <c r="QIZ14" s="109"/>
      <c r="QJA14" s="107" t="s">
        <v>1</v>
      </c>
      <c r="QJB14" s="108"/>
      <c r="QJC14" s="108"/>
      <c r="QJD14" s="109"/>
      <c r="QJE14" s="107" t="s">
        <v>1</v>
      </c>
      <c r="QJF14" s="108"/>
      <c r="QJG14" s="108"/>
      <c r="QJH14" s="109"/>
      <c r="QJI14" s="107" t="s">
        <v>1</v>
      </c>
      <c r="QJJ14" s="108"/>
      <c r="QJK14" s="108"/>
      <c r="QJL14" s="109"/>
      <c r="QJM14" s="107" t="s">
        <v>1</v>
      </c>
      <c r="QJN14" s="108"/>
      <c r="QJO14" s="108"/>
      <c r="QJP14" s="109"/>
      <c r="QJQ14" s="107" t="s">
        <v>1</v>
      </c>
      <c r="QJR14" s="108"/>
      <c r="QJS14" s="108"/>
      <c r="QJT14" s="109"/>
      <c r="QJU14" s="107" t="s">
        <v>1</v>
      </c>
      <c r="QJV14" s="108"/>
      <c r="QJW14" s="108"/>
      <c r="QJX14" s="109"/>
      <c r="QJY14" s="107" t="s">
        <v>1</v>
      </c>
      <c r="QJZ14" s="108"/>
      <c r="QKA14" s="108"/>
      <c r="QKB14" s="109"/>
      <c r="QKC14" s="107" t="s">
        <v>1</v>
      </c>
      <c r="QKD14" s="108"/>
      <c r="QKE14" s="108"/>
      <c r="QKF14" s="109"/>
      <c r="QKG14" s="107" t="s">
        <v>1</v>
      </c>
      <c r="QKH14" s="108"/>
      <c r="QKI14" s="108"/>
      <c r="QKJ14" s="109"/>
      <c r="QKK14" s="107" t="s">
        <v>1</v>
      </c>
      <c r="QKL14" s="108"/>
      <c r="QKM14" s="108"/>
      <c r="QKN14" s="109"/>
      <c r="QKO14" s="107" t="s">
        <v>1</v>
      </c>
      <c r="QKP14" s="108"/>
      <c r="QKQ14" s="108"/>
      <c r="QKR14" s="109"/>
      <c r="QKS14" s="107" t="s">
        <v>1</v>
      </c>
      <c r="QKT14" s="108"/>
      <c r="QKU14" s="108"/>
      <c r="QKV14" s="109"/>
      <c r="QKW14" s="107" t="s">
        <v>1</v>
      </c>
      <c r="QKX14" s="108"/>
      <c r="QKY14" s="108"/>
      <c r="QKZ14" s="109"/>
      <c r="QLA14" s="107" t="s">
        <v>1</v>
      </c>
      <c r="QLB14" s="108"/>
      <c r="QLC14" s="108"/>
      <c r="QLD14" s="109"/>
      <c r="QLE14" s="107" t="s">
        <v>1</v>
      </c>
      <c r="QLF14" s="108"/>
      <c r="QLG14" s="108"/>
      <c r="QLH14" s="109"/>
      <c r="QLI14" s="107" t="s">
        <v>1</v>
      </c>
      <c r="QLJ14" s="108"/>
      <c r="QLK14" s="108"/>
      <c r="QLL14" s="109"/>
      <c r="QLM14" s="107" t="s">
        <v>1</v>
      </c>
      <c r="QLN14" s="108"/>
      <c r="QLO14" s="108"/>
      <c r="QLP14" s="109"/>
      <c r="QLQ14" s="107" t="s">
        <v>1</v>
      </c>
      <c r="QLR14" s="108"/>
      <c r="QLS14" s="108"/>
      <c r="QLT14" s="109"/>
      <c r="QLU14" s="107" t="s">
        <v>1</v>
      </c>
      <c r="QLV14" s="108"/>
      <c r="QLW14" s="108"/>
      <c r="QLX14" s="109"/>
      <c r="QLY14" s="107" t="s">
        <v>1</v>
      </c>
      <c r="QLZ14" s="108"/>
      <c r="QMA14" s="108"/>
      <c r="QMB14" s="109"/>
      <c r="QMC14" s="107" t="s">
        <v>1</v>
      </c>
      <c r="QMD14" s="108"/>
      <c r="QME14" s="108"/>
      <c r="QMF14" s="109"/>
      <c r="QMG14" s="107" t="s">
        <v>1</v>
      </c>
      <c r="QMH14" s="108"/>
      <c r="QMI14" s="108"/>
      <c r="QMJ14" s="109"/>
      <c r="QMK14" s="107" t="s">
        <v>1</v>
      </c>
      <c r="QML14" s="108"/>
      <c r="QMM14" s="108"/>
      <c r="QMN14" s="109"/>
      <c r="QMO14" s="107" t="s">
        <v>1</v>
      </c>
      <c r="QMP14" s="108"/>
      <c r="QMQ14" s="108"/>
      <c r="QMR14" s="109"/>
      <c r="QMS14" s="107" t="s">
        <v>1</v>
      </c>
      <c r="QMT14" s="108"/>
      <c r="QMU14" s="108"/>
      <c r="QMV14" s="109"/>
      <c r="QMW14" s="107" t="s">
        <v>1</v>
      </c>
      <c r="QMX14" s="108"/>
      <c r="QMY14" s="108"/>
      <c r="QMZ14" s="109"/>
      <c r="QNA14" s="107" t="s">
        <v>1</v>
      </c>
      <c r="QNB14" s="108"/>
      <c r="QNC14" s="108"/>
      <c r="QND14" s="109"/>
      <c r="QNE14" s="107" t="s">
        <v>1</v>
      </c>
      <c r="QNF14" s="108"/>
      <c r="QNG14" s="108"/>
      <c r="QNH14" s="109"/>
      <c r="QNI14" s="107" t="s">
        <v>1</v>
      </c>
      <c r="QNJ14" s="108"/>
      <c r="QNK14" s="108"/>
      <c r="QNL14" s="109"/>
      <c r="QNM14" s="107" t="s">
        <v>1</v>
      </c>
      <c r="QNN14" s="108"/>
      <c r="QNO14" s="108"/>
      <c r="QNP14" s="109"/>
      <c r="QNQ14" s="107" t="s">
        <v>1</v>
      </c>
      <c r="QNR14" s="108"/>
      <c r="QNS14" s="108"/>
      <c r="QNT14" s="109"/>
      <c r="QNU14" s="107" t="s">
        <v>1</v>
      </c>
      <c r="QNV14" s="108"/>
      <c r="QNW14" s="108"/>
      <c r="QNX14" s="109"/>
      <c r="QNY14" s="107" t="s">
        <v>1</v>
      </c>
      <c r="QNZ14" s="108"/>
      <c r="QOA14" s="108"/>
      <c r="QOB14" s="109"/>
      <c r="QOC14" s="107" t="s">
        <v>1</v>
      </c>
      <c r="QOD14" s="108"/>
      <c r="QOE14" s="108"/>
      <c r="QOF14" s="109"/>
      <c r="QOG14" s="107" t="s">
        <v>1</v>
      </c>
      <c r="QOH14" s="108"/>
      <c r="QOI14" s="108"/>
      <c r="QOJ14" s="109"/>
      <c r="QOK14" s="107" t="s">
        <v>1</v>
      </c>
      <c r="QOL14" s="108"/>
      <c r="QOM14" s="108"/>
      <c r="QON14" s="109"/>
      <c r="QOO14" s="107" t="s">
        <v>1</v>
      </c>
      <c r="QOP14" s="108"/>
      <c r="QOQ14" s="108"/>
      <c r="QOR14" s="109"/>
      <c r="QOS14" s="107" t="s">
        <v>1</v>
      </c>
      <c r="QOT14" s="108"/>
      <c r="QOU14" s="108"/>
      <c r="QOV14" s="109"/>
      <c r="QOW14" s="107" t="s">
        <v>1</v>
      </c>
      <c r="QOX14" s="108"/>
      <c r="QOY14" s="108"/>
      <c r="QOZ14" s="109"/>
      <c r="QPA14" s="107" t="s">
        <v>1</v>
      </c>
      <c r="QPB14" s="108"/>
      <c r="QPC14" s="108"/>
      <c r="QPD14" s="109"/>
      <c r="QPE14" s="107" t="s">
        <v>1</v>
      </c>
      <c r="QPF14" s="108"/>
      <c r="QPG14" s="108"/>
      <c r="QPH14" s="109"/>
      <c r="QPI14" s="107" t="s">
        <v>1</v>
      </c>
      <c r="QPJ14" s="108"/>
      <c r="QPK14" s="108"/>
      <c r="QPL14" s="109"/>
      <c r="QPM14" s="107" t="s">
        <v>1</v>
      </c>
      <c r="QPN14" s="108"/>
      <c r="QPO14" s="108"/>
      <c r="QPP14" s="109"/>
      <c r="QPQ14" s="107" t="s">
        <v>1</v>
      </c>
      <c r="QPR14" s="108"/>
      <c r="QPS14" s="108"/>
      <c r="QPT14" s="109"/>
      <c r="QPU14" s="107" t="s">
        <v>1</v>
      </c>
      <c r="QPV14" s="108"/>
      <c r="QPW14" s="108"/>
      <c r="QPX14" s="109"/>
      <c r="QPY14" s="107" t="s">
        <v>1</v>
      </c>
      <c r="QPZ14" s="108"/>
      <c r="QQA14" s="108"/>
      <c r="QQB14" s="109"/>
      <c r="QQC14" s="107" t="s">
        <v>1</v>
      </c>
      <c r="QQD14" s="108"/>
      <c r="QQE14" s="108"/>
      <c r="QQF14" s="109"/>
      <c r="QQG14" s="107" t="s">
        <v>1</v>
      </c>
      <c r="QQH14" s="108"/>
      <c r="QQI14" s="108"/>
      <c r="QQJ14" s="109"/>
      <c r="QQK14" s="107" t="s">
        <v>1</v>
      </c>
      <c r="QQL14" s="108"/>
      <c r="QQM14" s="108"/>
      <c r="QQN14" s="109"/>
      <c r="QQO14" s="107" t="s">
        <v>1</v>
      </c>
      <c r="QQP14" s="108"/>
      <c r="QQQ14" s="108"/>
      <c r="QQR14" s="109"/>
      <c r="QQS14" s="107" t="s">
        <v>1</v>
      </c>
      <c r="QQT14" s="108"/>
      <c r="QQU14" s="108"/>
      <c r="QQV14" s="109"/>
      <c r="QQW14" s="107" t="s">
        <v>1</v>
      </c>
      <c r="QQX14" s="108"/>
      <c r="QQY14" s="108"/>
      <c r="QQZ14" s="109"/>
      <c r="QRA14" s="107" t="s">
        <v>1</v>
      </c>
      <c r="QRB14" s="108"/>
      <c r="QRC14" s="108"/>
      <c r="QRD14" s="109"/>
      <c r="QRE14" s="107" t="s">
        <v>1</v>
      </c>
      <c r="QRF14" s="108"/>
      <c r="QRG14" s="108"/>
      <c r="QRH14" s="109"/>
      <c r="QRI14" s="107" t="s">
        <v>1</v>
      </c>
      <c r="QRJ14" s="108"/>
      <c r="QRK14" s="108"/>
      <c r="QRL14" s="109"/>
      <c r="QRM14" s="107" t="s">
        <v>1</v>
      </c>
      <c r="QRN14" s="108"/>
      <c r="QRO14" s="108"/>
      <c r="QRP14" s="109"/>
      <c r="QRQ14" s="107" t="s">
        <v>1</v>
      </c>
      <c r="QRR14" s="108"/>
      <c r="QRS14" s="108"/>
      <c r="QRT14" s="109"/>
      <c r="QRU14" s="107" t="s">
        <v>1</v>
      </c>
      <c r="QRV14" s="108"/>
      <c r="QRW14" s="108"/>
      <c r="QRX14" s="109"/>
      <c r="QRY14" s="107" t="s">
        <v>1</v>
      </c>
      <c r="QRZ14" s="108"/>
      <c r="QSA14" s="108"/>
      <c r="QSB14" s="109"/>
      <c r="QSC14" s="107" t="s">
        <v>1</v>
      </c>
      <c r="QSD14" s="108"/>
      <c r="QSE14" s="108"/>
      <c r="QSF14" s="109"/>
      <c r="QSG14" s="107" t="s">
        <v>1</v>
      </c>
      <c r="QSH14" s="108"/>
      <c r="QSI14" s="108"/>
      <c r="QSJ14" s="109"/>
      <c r="QSK14" s="107" t="s">
        <v>1</v>
      </c>
      <c r="QSL14" s="108"/>
      <c r="QSM14" s="108"/>
      <c r="QSN14" s="109"/>
      <c r="QSO14" s="107" t="s">
        <v>1</v>
      </c>
      <c r="QSP14" s="108"/>
      <c r="QSQ14" s="108"/>
      <c r="QSR14" s="109"/>
      <c r="QSS14" s="107" t="s">
        <v>1</v>
      </c>
      <c r="QST14" s="108"/>
      <c r="QSU14" s="108"/>
      <c r="QSV14" s="109"/>
      <c r="QSW14" s="107" t="s">
        <v>1</v>
      </c>
      <c r="QSX14" s="108"/>
      <c r="QSY14" s="108"/>
      <c r="QSZ14" s="109"/>
      <c r="QTA14" s="107" t="s">
        <v>1</v>
      </c>
      <c r="QTB14" s="108"/>
      <c r="QTC14" s="108"/>
      <c r="QTD14" s="109"/>
      <c r="QTE14" s="107" t="s">
        <v>1</v>
      </c>
      <c r="QTF14" s="108"/>
      <c r="QTG14" s="108"/>
      <c r="QTH14" s="109"/>
      <c r="QTI14" s="107" t="s">
        <v>1</v>
      </c>
      <c r="QTJ14" s="108"/>
      <c r="QTK14" s="108"/>
      <c r="QTL14" s="109"/>
      <c r="QTM14" s="107" t="s">
        <v>1</v>
      </c>
      <c r="QTN14" s="108"/>
      <c r="QTO14" s="108"/>
      <c r="QTP14" s="109"/>
      <c r="QTQ14" s="107" t="s">
        <v>1</v>
      </c>
      <c r="QTR14" s="108"/>
      <c r="QTS14" s="108"/>
      <c r="QTT14" s="109"/>
      <c r="QTU14" s="107" t="s">
        <v>1</v>
      </c>
      <c r="QTV14" s="108"/>
      <c r="QTW14" s="108"/>
      <c r="QTX14" s="109"/>
      <c r="QTY14" s="107" t="s">
        <v>1</v>
      </c>
      <c r="QTZ14" s="108"/>
      <c r="QUA14" s="108"/>
      <c r="QUB14" s="109"/>
      <c r="QUC14" s="107" t="s">
        <v>1</v>
      </c>
      <c r="QUD14" s="108"/>
      <c r="QUE14" s="108"/>
      <c r="QUF14" s="109"/>
      <c r="QUG14" s="107" t="s">
        <v>1</v>
      </c>
      <c r="QUH14" s="108"/>
      <c r="QUI14" s="108"/>
      <c r="QUJ14" s="109"/>
      <c r="QUK14" s="107" t="s">
        <v>1</v>
      </c>
      <c r="QUL14" s="108"/>
      <c r="QUM14" s="108"/>
      <c r="QUN14" s="109"/>
      <c r="QUO14" s="107" t="s">
        <v>1</v>
      </c>
      <c r="QUP14" s="108"/>
      <c r="QUQ14" s="108"/>
      <c r="QUR14" s="109"/>
      <c r="QUS14" s="107" t="s">
        <v>1</v>
      </c>
      <c r="QUT14" s="108"/>
      <c r="QUU14" s="108"/>
      <c r="QUV14" s="109"/>
      <c r="QUW14" s="107" t="s">
        <v>1</v>
      </c>
      <c r="QUX14" s="108"/>
      <c r="QUY14" s="108"/>
      <c r="QUZ14" s="109"/>
      <c r="QVA14" s="107" t="s">
        <v>1</v>
      </c>
      <c r="QVB14" s="108"/>
      <c r="QVC14" s="108"/>
      <c r="QVD14" s="109"/>
      <c r="QVE14" s="107" t="s">
        <v>1</v>
      </c>
      <c r="QVF14" s="108"/>
      <c r="QVG14" s="108"/>
      <c r="QVH14" s="109"/>
      <c r="QVI14" s="107" t="s">
        <v>1</v>
      </c>
      <c r="QVJ14" s="108"/>
      <c r="QVK14" s="108"/>
      <c r="QVL14" s="109"/>
      <c r="QVM14" s="107" t="s">
        <v>1</v>
      </c>
      <c r="QVN14" s="108"/>
      <c r="QVO14" s="108"/>
      <c r="QVP14" s="109"/>
      <c r="QVQ14" s="107" t="s">
        <v>1</v>
      </c>
      <c r="QVR14" s="108"/>
      <c r="QVS14" s="108"/>
      <c r="QVT14" s="109"/>
      <c r="QVU14" s="107" t="s">
        <v>1</v>
      </c>
      <c r="QVV14" s="108"/>
      <c r="QVW14" s="108"/>
      <c r="QVX14" s="109"/>
      <c r="QVY14" s="107" t="s">
        <v>1</v>
      </c>
      <c r="QVZ14" s="108"/>
      <c r="QWA14" s="108"/>
      <c r="QWB14" s="109"/>
      <c r="QWC14" s="107" t="s">
        <v>1</v>
      </c>
      <c r="QWD14" s="108"/>
      <c r="QWE14" s="108"/>
      <c r="QWF14" s="109"/>
      <c r="QWG14" s="107" t="s">
        <v>1</v>
      </c>
      <c r="QWH14" s="108"/>
      <c r="QWI14" s="108"/>
      <c r="QWJ14" s="109"/>
      <c r="QWK14" s="107" t="s">
        <v>1</v>
      </c>
      <c r="QWL14" s="108"/>
      <c r="QWM14" s="108"/>
      <c r="QWN14" s="109"/>
      <c r="QWO14" s="107" t="s">
        <v>1</v>
      </c>
      <c r="QWP14" s="108"/>
      <c r="QWQ14" s="108"/>
      <c r="QWR14" s="109"/>
      <c r="QWS14" s="107" t="s">
        <v>1</v>
      </c>
      <c r="QWT14" s="108"/>
      <c r="QWU14" s="108"/>
      <c r="QWV14" s="109"/>
      <c r="QWW14" s="107" t="s">
        <v>1</v>
      </c>
      <c r="QWX14" s="108"/>
      <c r="QWY14" s="108"/>
      <c r="QWZ14" s="109"/>
      <c r="QXA14" s="107" t="s">
        <v>1</v>
      </c>
      <c r="QXB14" s="108"/>
      <c r="QXC14" s="108"/>
      <c r="QXD14" s="109"/>
      <c r="QXE14" s="107" t="s">
        <v>1</v>
      </c>
      <c r="QXF14" s="108"/>
      <c r="QXG14" s="108"/>
      <c r="QXH14" s="109"/>
      <c r="QXI14" s="107" t="s">
        <v>1</v>
      </c>
      <c r="QXJ14" s="108"/>
      <c r="QXK14" s="108"/>
      <c r="QXL14" s="109"/>
      <c r="QXM14" s="107" t="s">
        <v>1</v>
      </c>
      <c r="QXN14" s="108"/>
      <c r="QXO14" s="108"/>
      <c r="QXP14" s="109"/>
      <c r="QXQ14" s="107" t="s">
        <v>1</v>
      </c>
      <c r="QXR14" s="108"/>
      <c r="QXS14" s="108"/>
      <c r="QXT14" s="109"/>
      <c r="QXU14" s="107" t="s">
        <v>1</v>
      </c>
      <c r="QXV14" s="108"/>
      <c r="QXW14" s="108"/>
      <c r="QXX14" s="109"/>
      <c r="QXY14" s="107" t="s">
        <v>1</v>
      </c>
      <c r="QXZ14" s="108"/>
      <c r="QYA14" s="108"/>
      <c r="QYB14" s="109"/>
      <c r="QYC14" s="107" t="s">
        <v>1</v>
      </c>
      <c r="QYD14" s="108"/>
      <c r="QYE14" s="108"/>
      <c r="QYF14" s="109"/>
      <c r="QYG14" s="107" t="s">
        <v>1</v>
      </c>
      <c r="QYH14" s="108"/>
      <c r="QYI14" s="108"/>
      <c r="QYJ14" s="109"/>
      <c r="QYK14" s="107" t="s">
        <v>1</v>
      </c>
      <c r="QYL14" s="108"/>
      <c r="QYM14" s="108"/>
      <c r="QYN14" s="109"/>
      <c r="QYO14" s="107" t="s">
        <v>1</v>
      </c>
      <c r="QYP14" s="108"/>
      <c r="QYQ14" s="108"/>
      <c r="QYR14" s="109"/>
      <c r="QYS14" s="107" t="s">
        <v>1</v>
      </c>
      <c r="QYT14" s="108"/>
      <c r="QYU14" s="108"/>
      <c r="QYV14" s="109"/>
      <c r="QYW14" s="107" t="s">
        <v>1</v>
      </c>
      <c r="QYX14" s="108"/>
      <c r="QYY14" s="108"/>
      <c r="QYZ14" s="109"/>
      <c r="QZA14" s="107" t="s">
        <v>1</v>
      </c>
      <c r="QZB14" s="108"/>
      <c r="QZC14" s="108"/>
      <c r="QZD14" s="109"/>
      <c r="QZE14" s="107" t="s">
        <v>1</v>
      </c>
      <c r="QZF14" s="108"/>
      <c r="QZG14" s="108"/>
      <c r="QZH14" s="109"/>
      <c r="QZI14" s="107" t="s">
        <v>1</v>
      </c>
      <c r="QZJ14" s="108"/>
      <c r="QZK14" s="108"/>
      <c r="QZL14" s="109"/>
      <c r="QZM14" s="107" t="s">
        <v>1</v>
      </c>
      <c r="QZN14" s="108"/>
      <c r="QZO14" s="108"/>
      <c r="QZP14" s="109"/>
      <c r="QZQ14" s="107" t="s">
        <v>1</v>
      </c>
      <c r="QZR14" s="108"/>
      <c r="QZS14" s="108"/>
      <c r="QZT14" s="109"/>
      <c r="QZU14" s="107" t="s">
        <v>1</v>
      </c>
      <c r="QZV14" s="108"/>
      <c r="QZW14" s="108"/>
      <c r="QZX14" s="109"/>
      <c r="QZY14" s="107" t="s">
        <v>1</v>
      </c>
      <c r="QZZ14" s="108"/>
      <c r="RAA14" s="108"/>
      <c r="RAB14" s="109"/>
      <c r="RAC14" s="107" t="s">
        <v>1</v>
      </c>
      <c r="RAD14" s="108"/>
      <c r="RAE14" s="108"/>
      <c r="RAF14" s="109"/>
      <c r="RAG14" s="107" t="s">
        <v>1</v>
      </c>
      <c r="RAH14" s="108"/>
      <c r="RAI14" s="108"/>
      <c r="RAJ14" s="109"/>
      <c r="RAK14" s="107" t="s">
        <v>1</v>
      </c>
      <c r="RAL14" s="108"/>
      <c r="RAM14" s="108"/>
      <c r="RAN14" s="109"/>
      <c r="RAO14" s="107" t="s">
        <v>1</v>
      </c>
      <c r="RAP14" s="108"/>
      <c r="RAQ14" s="108"/>
      <c r="RAR14" s="109"/>
      <c r="RAS14" s="107" t="s">
        <v>1</v>
      </c>
      <c r="RAT14" s="108"/>
      <c r="RAU14" s="108"/>
      <c r="RAV14" s="109"/>
      <c r="RAW14" s="107" t="s">
        <v>1</v>
      </c>
      <c r="RAX14" s="108"/>
      <c r="RAY14" s="108"/>
      <c r="RAZ14" s="109"/>
      <c r="RBA14" s="107" t="s">
        <v>1</v>
      </c>
      <c r="RBB14" s="108"/>
      <c r="RBC14" s="108"/>
      <c r="RBD14" s="109"/>
      <c r="RBE14" s="107" t="s">
        <v>1</v>
      </c>
      <c r="RBF14" s="108"/>
      <c r="RBG14" s="108"/>
      <c r="RBH14" s="109"/>
      <c r="RBI14" s="107" t="s">
        <v>1</v>
      </c>
      <c r="RBJ14" s="108"/>
      <c r="RBK14" s="108"/>
      <c r="RBL14" s="109"/>
      <c r="RBM14" s="107" t="s">
        <v>1</v>
      </c>
      <c r="RBN14" s="108"/>
      <c r="RBO14" s="108"/>
      <c r="RBP14" s="109"/>
      <c r="RBQ14" s="107" t="s">
        <v>1</v>
      </c>
      <c r="RBR14" s="108"/>
      <c r="RBS14" s="108"/>
      <c r="RBT14" s="109"/>
      <c r="RBU14" s="107" t="s">
        <v>1</v>
      </c>
      <c r="RBV14" s="108"/>
      <c r="RBW14" s="108"/>
      <c r="RBX14" s="109"/>
      <c r="RBY14" s="107" t="s">
        <v>1</v>
      </c>
      <c r="RBZ14" s="108"/>
      <c r="RCA14" s="108"/>
      <c r="RCB14" s="109"/>
      <c r="RCC14" s="107" t="s">
        <v>1</v>
      </c>
      <c r="RCD14" s="108"/>
      <c r="RCE14" s="108"/>
      <c r="RCF14" s="109"/>
      <c r="RCG14" s="107" t="s">
        <v>1</v>
      </c>
      <c r="RCH14" s="108"/>
      <c r="RCI14" s="108"/>
      <c r="RCJ14" s="109"/>
      <c r="RCK14" s="107" t="s">
        <v>1</v>
      </c>
      <c r="RCL14" s="108"/>
      <c r="RCM14" s="108"/>
      <c r="RCN14" s="109"/>
      <c r="RCO14" s="107" t="s">
        <v>1</v>
      </c>
      <c r="RCP14" s="108"/>
      <c r="RCQ14" s="108"/>
      <c r="RCR14" s="109"/>
      <c r="RCS14" s="107" t="s">
        <v>1</v>
      </c>
      <c r="RCT14" s="108"/>
      <c r="RCU14" s="108"/>
      <c r="RCV14" s="109"/>
      <c r="RCW14" s="107" t="s">
        <v>1</v>
      </c>
      <c r="RCX14" s="108"/>
      <c r="RCY14" s="108"/>
      <c r="RCZ14" s="109"/>
      <c r="RDA14" s="107" t="s">
        <v>1</v>
      </c>
      <c r="RDB14" s="108"/>
      <c r="RDC14" s="108"/>
      <c r="RDD14" s="109"/>
      <c r="RDE14" s="107" t="s">
        <v>1</v>
      </c>
      <c r="RDF14" s="108"/>
      <c r="RDG14" s="108"/>
      <c r="RDH14" s="109"/>
      <c r="RDI14" s="107" t="s">
        <v>1</v>
      </c>
      <c r="RDJ14" s="108"/>
      <c r="RDK14" s="108"/>
      <c r="RDL14" s="109"/>
      <c r="RDM14" s="107" t="s">
        <v>1</v>
      </c>
      <c r="RDN14" s="108"/>
      <c r="RDO14" s="108"/>
      <c r="RDP14" s="109"/>
      <c r="RDQ14" s="107" t="s">
        <v>1</v>
      </c>
      <c r="RDR14" s="108"/>
      <c r="RDS14" s="108"/>
      <c r="RDT14" s="109"/>
      <c r="RDU14" s="107" t="s">
        <v>1</v>
      </c>
      <c r="RDV14" s="108"/>
      <c r="RDW14" s="108"/>
      <c r="RDX14" s="109"/>
      <c r="RDY14" s="107" t="s">
        <v>1</v>
      </c>
      <c r="RDZ14" s="108"/>
      <c r="REA14" s="108"/>
      <c r="REB14" s="109"/>
      <c r="REC14" s="107" t="s">
        <v>1</v>
      </c>
      <c r="RED14" s="108"/>
      <c r="REE14" s="108"/>
      <c r="REF14" s="109"/>
      <c r="REG14" s="107" t="s">
        <v>1</v>
      </c>
      <c r="REH14" s="108"/>
      <c r="REI14" s="108"/>
      <c r="REJ14" s="109"/>
      <c r="REK14" s="107" t="s">
        <v>1</v>
      </c>
      <c r="REL14" s="108"/>
      <c r="REM14" s="108"/>
      <c r="REN14" s="109"/>
      <c r="REO14" s="107" t="s">
        <v>1</v>
      </c>
      <c r="REP14" s="108"/>
      <c r="REQ14" s="108"/>
      <c r="RER14" s="109"/>
      <c r="RES14" s="107" t="s">
        <v>1</v>
      </c>
      <c r="RET14" s="108"/>
      <c r="REU14" s="108"/>
      <c r="REV14" s="109"/>
      <c r="REW14" s="107" t="s">
        <v>1</v>
      </c>
      <c r="REX14" s="108"/>
      <c r="REY14" s="108"/>
      <c r="REZ14" s="109"/>
      <c r="RFA14" s="107" t="s">
        <v>1</v>
      </c>
      <c r="RFB14" s="108"/>
      <c r="RFC14" s="108"/>
      <c r="RFD14" s="109"/>
      <c r="RFE14" s="107" t="s">
        <v>1</v>
      </c>
      <c r="RFF14" s="108"/>
      <c r="RFG14" s="108"/>
      <c r="RFH14" s="109"/>
      <c r="RFI14" s="107" t="s">
        <v>1</v>
      </c>
      <c r="RFJ14" s="108"/>
      <c r="RFK14" s="108"/>
      <c r="RFL14" s="109"/>
      <c r="RFM14" s="107" t="s">
        <v>1</v>
      </c>
      <c r="RFN14" s="108"/>
      <c r="RFO14" s="108"/>
      <c r="RFP14" s="109"/>
      <c r="RFQ14" s="107" t="s">
        <v>1</v>
      </c>
      <c r="RFR14" s="108"/>
      <c r="RFS14" s="108"/>
      <c r="RFT14" s="109"/>
      <c r="RFU14" s="107" t="s">
        <v>1</v>
      </c>
      <c r="RFV14" s="108"/>
      <c r="RFW14" s="108"/>
      <c r="RFX14" s="109"/>
      <c r="RFY14" s="107" t="s">
        <v>1</v>
      </c>
      <c r="RFZ14" s="108"/>
      <c r="RGA14" s="108"/>
      <c r="RGB14" s="109"/>
      <c r="RGC14" s="107" t="s">
        <v>1</v>
      </c>
      <c r="RGD14" s="108"/>
      <c r="RGE14" s="108"/>
      <c r="RGF14" s="109"/>
      <c r="RGG14" s="107" t="s">
        <v>1</v>
      </c>
      <c r="RGH14" s="108"/>
      <c r="RGI14" s="108"/>
      <c r="RGJ14" s="109"/>
      <c r="RGK14" s="107" t="s">
        <v>1</v>
      </c>
      <c r="RGL14" s="108"/>
      <c r="RGM14" s="108"/>
      <c r="RGN14" s="109"/>
      <c r="RGO14" s="107" t="s">
        <v>1</v>
      </c>
      <c r="RGP14" s="108"/>
      <c r="RGQ14" s="108"/>
      <c r="RGR14" s="109"/>
      <c r="RGS14" s="107" t="s">
        <v>1</v>
      </c>
      <c r="RGT14" s="108"/>
      <c r="RGU14" s="108"/>
      <c r="RGV14" s="109"/>
      <c r="RGW14" s="107" t="s">
        <v>1</v>
      </c>
      <c r="RGX14" s="108"/>
      <c r="RGY14" s="108"/>
      <c r="RGZ14" s="109"/>
      <c r="RHA14" s="107" t="s">
        <v>1</v>
      </c>
      <c r="RHB14" s="108"/>
      <c r="RHC14" s="108"/>
      <c r="RHD14" s="109"/>
      <c r="RHE14" s="107" t="s">
        <v>1</v>
      </c>
      <c r="RHF14" s="108"/>
      <c r="RHG14" s="108"/>
      <c r="RHH14" s="109"/>
      <c r="RHI14" s="107" t="s">
        <v>1</v>
      </c>
      <c r="RHJ14" s="108"/>
      <c r="RHK14" s="108"/>
      <c r="RHL14" s="109"/>
      <c r="RHM14" s="107" t="s">
        <v>1</v>
      </c>
      <c r="RHN14" s="108"/>
      <c r="RHO14" s="108"/>
      <c r="RHP14" s="109"/>
      <c r="RHQ14" s="107" t="s">
        <v>1</v>
      </c>
      <c r="RHR14" s="108"/>
      <c r="RHS14" s="108"/>
      <c r="RHT14" s="109"/>
      <c r="RHU14" s="107" t="s">
        <v>1</v>
      </c>
      <c r="RHV14" s="108"/>
      <c r="RHW14" s="108"/>
      <c r="RHX14" s="109"/>
      <c r="RHY14" s="107" t="s">
        <v>1</v>
      </c>
      <c r="RHZ14" s="108"/>
      <c r="RIA14" s="108"/>
      <c r="RIB14" s="109"/>
      <c r="RIC14" s="107" t="s">
        <v>1</v>
      </c>
      <c r="RID14" s="108"/>
      <c r="RIE14" s="108"/>
      <c r="RIF14" s="109"/>
      <c r="RIG14" s="107" t="s">
        <v>1</v>
      </c>
      <c r="RIH14" s="108"/>
      <c r="RII14" s="108"/>
      <c r="RIJ14" s="109"/>
      <c r="RIK14" s="107" t="s">
        <v>1</v>
      </c>
      <c r="RIL14" s="108"/>
      <c r="RIM14" s="108"/>
      <c r="RIN14" s="109"/>
      <c r="RIO14" s="107" t="s">
        <v>1</v>
      </c>
      <c r="RIP14" s="108"/>
      <c r="RIQ14" s="108"/>
      <c r="RIR14" s="109"/>
      <c r="RIS14" s="107" t="s">
        <v>1</v>
      </c>
      <c r="RIT14" s="108"/>
      <c r="RIU14" s="108"/>
      <c r="RIV14" s="109"/>
      <c r="RIW14" s="107" t="s">
        <v>1</v>
      </c>
      <c r="RIX14" s="108"/>
      <c r="RIY14" s="108"/>
      <c r="RIZ14" s="109"/>
      <c r="RJA14" s="107" t="s">
        <v>1</v>
      </c>
      <c r="RJB14" s="108"/>
      <c r="RJC14" s="108"/>
      <c r="RJD14" s="109"/>
      <c r="RJE14" s="107" t="s">
        <v>1</v>
      </c>
      <c r="RJF14" s="108"/>
      <c r="RJG14" s="108"/>
      <c r="RJH14" s="109"/>
      <c r="RJI14" s="107" t="s">
        <v>1</v>
      </c>
      <c r="RJJ14" s="108"/>
      <c r="RJK14" s="108"/>
      <c r="RJL14" s="109"/>
      <c r="RJM14" s="107" t="s">
        <v>1</v>
      </c>
      <c r="RJN14" s="108"/>
      <c r="RJO14" s="108"/>
      <c r="RJP14" s="109"/>
      <c r="RJQ14" s="107" t="s">
        <v>1</v>
      </c>
      <c r="RJR14" s="108"/>
      <c r="RJS14" s="108"/>
      <c r="RJT14" s="109"/>
      <c r="RJU14" s="107" t="s">
        <v>1</v>
      </c>
      <c r="RJV14" s="108"/>
      <c r="RJW14" s="108"/>
      <c r="RJX14" s="109"/>
      <c r="RJY14" s="107" t="s">
        <v>1</v>
      </c>
      <c r="RJZ14" s="108"/>
      <c r="RKA14" s="108"/>
      <c r="RKB14" s="109"/>
      <c r="RKC14" s="107" t="s">
        <v>1</v>
      </c>
      <c r="RKD14" s="108"/>
      <c r="RKE14" s="108"/>
      <c r="RKF14" s="109"/>
      <c r="RKG14" s="107" t="s">
        <v>1</v>
      </c>
      <c r="RKH14" s="108"/>
      <c r="RKI14" s="108"/>
      <c r="RKJ14" s="109"/>
      <c r="RKK14" s="107" t="s">
        <v>1</v>
      </c>
      <c r="RKL14" s="108"/>
      <c r="RKM14" s="108"/>
      <c r="RKN14" s="109"/>
      <c r="RKO14" s="107" t="s">
        <v>1</v>
      </c>
      <c r="RKP14" s="108"/>
      <c r="RKQ14" s="108"/>
      <c r="RKR14" s="109"/>
      <c r="RKS14" s="107" t="s">
        <v>1</v>
      </c>
      <c r="RKT14" s="108"/>
      <c r="RKU14" s="108"/>
      <c r="RKV14" s="109"/>
      <c r="RKW14" s="107" t="s">
        <v>1</v>
      </c>
      <c r="RKX14" s="108"/>
      <c r="RKY14" s="108"/>
      <c r="RKZ14" s="109"/>
      <c r="RLA14" s="107" t="s">
        <v>1</v>
      </c>
      <c r="RLB14" s="108"/>
      <c r="RLC14" s="108"/>
      <c r="RLD14" s="109"/>
      <c r="RLE14" s="107" t="s">
        <v>1</v>
      </c>
      <c r="RLF14" s="108"/>
      <c r="RLG14" s="108"/>
      <c r="RLH14" s="109"/>
      <c r="RLI14" s="107" t="s">
        <v>1</v>
      </c>
      <c r="RLJ14" s="108"/>
      <c r="RLK14" s="108"/>
      <c r="RLL14" s="109"/>
      <c r="RLM14" s="107" t="s">
        <v>1</v>
      </c>
      <c r="RLN14" s="108"/>
      <c r="RLO14" s="108"/>
      <c r="RLP14" s="109"/>
      <c r="RLQ14" s="107" t="s">
        <v>1</v>
      </c>
      <c r="RLR14" s="108"/>
      <c r="RLS14" s="108"/>
      <c r="RLT14" s="109"/>
      <c r="RLU14" s="107" t="s">
        <v>1</v>
      </c>
      <c r="RLV14" s="108"/>
      <c r="RLW14" s="108"/>
      <c r="RLX14" s="109"/>
      <c r="RLY14" s="107" t="s">
        <v>1</v>
      </c>
      <c r="RLZ14" s="108"/>
      <c r="RMA14" s="108"/>
      <c r="RMB14" s="109"/>
      <c r="RMC14" s="107" t="s">
        <v>1</v>
      </c>
      <c r="RMD14" s="108"/>
      <c r="RME14" s="108"/>
      <c r="RMF14" s="109"/>
      <c r="RMG14" s="107" t="s">
        <v>1</v>
      </c>
      <c r="RMH14" s="108"/>
      <c r="RMI14" s="108"/>
      <c r="RMJ14" s="109"/>
      <c r="RMK14" s="107" t="s">
        <v>1</v>
      </c>
      <c r="RML14" s="108"/>
      <c r="RMM14" s="108"/>
      <c r="RMN14" s="109"/>
      <c r="RMO14" s="107" t="s">
        <v>1</v>
      </c>
      <c r="RMP14" s="108"/>
      <c r="RMQ14" s="108"/>
      <c r="RMR14" s="109"/>
      <c r="RMS14" s="107" t="s">
        <v>1</v>
      </c>
      <c r="RMT14" s="108"/>
      <c r="RMU14" s="108"/>
      <c r="RMV14" s="109"/>
      <c r="RMW14" s="107" t="s">
        <v>1</v>
      </c>
      <c r="RMX14" s="108"/>
      <c r="RMY14" s="108"/>
      <c r="RMZ14" s="109"/>
      <c r="RNA14" s="107" t="s">
        <v>1</v>
      </c>
      <c r="RNB14" s="108"/>
      <c r="RNC14" s="108"/>
      <c r="RND14" s="109"/>
      <c r="RNE14" s="107" t="s">
        <v>1</v>
      </c>
      <c r="RNF14" s="108"/>
      <c r="RNG14" s="108"/>
      <c r="RNH14" s="109"/>
      <c r="RNI14" s="107" t="s">
        <v>1</v>
      </c>
      <c r="RNJ14" s="108"/>
      <c r="RNK14" s="108"/>
      <c r="RNL14" s="109"/>
      <c r="RNM14" s="107" t="s">
        <v>1</v>
      </c>
      <c r="RNN14" s="108"/>
      <c r="RNO14" s="108"/>
      <c r="RNP14" s="109"/>
      <c r="RNQ14" s="107" t="s">
        <v>1</v>
      </c>
      <c r="RNR14" s="108"/>
      <c r="RNS14" s="108"/>
      <c r="RNT14" s="109"/>
      <c r="RNU14" s="107" t="s">
        <v>1</v>
      </c>
      <c r="RNV14" s="108"/>
      <c r="RNW14" s="108"/>
      <c r="RNX14" s="109"/>
      <c r="RNY14" s="107" t="s">
        <v>1</v>
      </c>
      <c r="RNZ14" s="108"/>
      <c r="ROA14" s="108"/>
      <c r="ROB14" s="109"/>
      <c r="ROC14" s="107" t="s">
        <v>1</v>
      </c>
      <c r="ROD14" s="108"/>
      <c r="ROE14" s="108"/>
      <c r="ROF14" s="109"/>
      <c r="ROG14" s="107" t="s">
        <v>1</v>
      </c>
      <c r="ROH14" s="108"/>
      <c r="ROI14" s="108"/>
      <c r="ROJ14" s="109"/>
      <c r="ROK14" s="107" t="s">
        <v>1</v>
      </c>
      <c r="ROL14" s="108"/>
      <c r="ROM14" s="108"/>
      <c r="RON14" s="109"/>
      <c r="ROO14" s="107" t="s">
        <v>1</v>
      </c>
      <c r="ROP14" s="108"/>
      <c r="ROQ14" s="108"/>
      <c r="ROR14" s="109"/>
      <c r="ROS14" s="107" t="s">
        <v>1</v>
      </c>
      <c r="ROT14" s="108"/>
      <c r="ROU14" s="108"/>
      <c r="ROV14" s="109"/>
      <c r="ROW14" s="107" t="s">
        <v>1</v>
      </c>
      <c r="ROX14" s="108"/>
      <c r="ROY14" s="108"/>
      <c r="ROZ14" s="109"/>
      <c r="RPA14" s="107" t="s">
        <v>1</v>
      </c>
      <c r="RPB14" s="108"/>
      <c r="RPC14" s="108"/>
      <c r="RPD14" s="109"/>
      <c r="RPE14" s="107" t="s">
        <v>1</v>
      </c>
      <c r="RPF14" s="108"/>
      <c r="RPG14" s="108"/>
      <c r="RPH14" s="109"/>
      <c r="RPI14" s="107" t="s">
        <v>1</v>
      </c>
      <c r="RPJ14" s="108"/>
      <c r="RPK14" s="108"/>
      <c r="RPL14" s="109"/>
      <c r="RPM14" s="107" t="s">
        <v>1</v>
      </c>
      <c r="RPN14" s="108"/>
      <c r="RPO14" s="108"/>
      <c r="RPP14" s="109"/>
      <c r="RPQ14" s="107" t="s">
        <v>1</v>
      </c>
      <c r="RPR14" s="108"/>
      <c r="RPS14" s="108"/>
      <c r="RPT14" s="109"/>
      <c r="RPU14" s="107" t="s">
        <v>1</v>
      </c>
      <c r="RPV14" s="108"/>
      <c r="RPW14" s="108"/>
      <c r="RPX14" s="109"/>
      <c r="RPY14" s="107" t="s">
        <v>1</v>
      </c>
      <c r="RPZ14" s="108"/>
      <c r="RQA14" s="108"/>
      <c r="RQB14" s="109"/>
      <c r="RQC14" s="107" t="s">
        <v>1</v>
      </c>
      <c r="RQD14" s="108"/>
      <c r="RQE14" s="108"/>
      <c r="RQF14" s="109"/>
      <c r="RQG14" s="107" t="s">
        <v>1</v>
      </c>
      <c r="RQH14" s="108"/>
      <c r="RQI14" s="108"/>
      <c r="RQJ14" s="109"/>
      <c r="RQK14" s="107" t="s">
        <v>1</v>
      </c>
      <c r="RQL14" s="108"/>
      <c r="RQM14" s="108"/>
      <c r="RQN14" s="109"/>
      <c r="RQO14" s="107" t="s">
        <v>1</v>
      </c>
      <c r="RQP14" s="108"/>
      <c r="RQQ14" s="108"/>
      <c r="RQR14" s="109"/>
      <c r="RQS14" s="107" t="s">
        <v>1</v>
      </c>
      <c r="RQT14" s="108"/>
      <c r="RQU14" s="108"/>
      <c r="RQV14" s="109"/>
      <c r="RQW14" s="107" t="s">
        <v>1</v>
      </c>
      <c r="RQX14" s="108"/>
      <c r="RQY14" s="108"/>
      <c r="RQZ14" s="109"/>
      <c r="RRA14" s="107" t="s">
        <v>1</v>
      </c>
      <c r="RRB14" s="108"/>
      <c r="RRC14" s="108"/>
      <c r="RRD14" s="109"/>
      <c r="RRE14" s="107" t="s">
        <v>1</v>
      </c>
      <c r="RRF14" s="108"/>
      <c r="RRG14" s="108"/>
      <c r="RRH14" s="109"/>
      <c r="RRI14" s="107" t="s">
        <v>1</v>
      </c>
      <c r="RRJ14" s="108"/>
      <c r="RRK14" s="108"/>
      <c r="RRL14" s="109"/>
      <c r="RRM14" s="107" t="s">
        <v>1</v>
      </c>
      <c r="RRN14" s="108"/>
      <c r="RRO14" s="108"/>
      <c r="RRP14" s="109"/>
      <c r="RRQ14" s="107" t="s">
        <v>1</v>
      </c>
      <c r="RRR14" s="108"/>
      <c r="RRS14" s="108"/>
      <c r="RRT14" s="109"/>
      <c r="RRU14" s="107" t="s">
        <v>1</v>
      </c>
      <c r="RRV14" s="108"/>
      <c r="RRW14" s="108"/>
      <c r="RRX14" s="109"/>
      <c r="RRY14" s="107" t="s">
        <v>1</v>
      </c>
      <c r="RRZ14" s="108"/>
      <c r="RSA14" s="108"/>
      <c r="RSB14" s="109"/>
      <c r="RSC14" s="107" t="s">
        <v>1</v>
      </c>
      <c r="RSD14" s="108"/>
      <c r="RSE14" s="108"/>
      <c r="RSF14" s="109"/>
      <c r="RSG14" s="107" t="s">
        <v>1</v>
      </c>
      <c r="RSH14" s="108"/>
      <c r="RSI14" s="108"/>
      <c r="RSJ14" s="109"/>
      <c r="RSK14" s="107" t="s">
        <v>1</v>
      </c>
      <c r="RSL14" s="108"/>
      <c r="RSM14" s="108"/>
      <c r="RSN14" s="109"/>
      <c r="RSO14" s="107" t="s">
        <v>1</v>
      </c>
      <c r="RSP14" s="108"/>
      <c r="RSQ14" s="108"/>
      <c r="RSR14" s="109"/>
      <c r="RSS14" s="107" t="s">
        <v>1</v>
      </c>
      <c r="RST14" s="108"/>
      <c r="RSU14" s="108"/>
      <c r="RSV14" s="109"/>
      <c r="RSW14" s="107" t="s">
        <v>1</v>
      </c>
      <c r="RSX14" s="108"/>
      <c r="RSY14" s="108"/>
      <c r="RSZ14" s="109"/>
      <c r="RTA14" s="107" t="s">
        <v>1</v>
      </c>
      <c r="RTB14" s="108"/>
      <c r="RTC14" s="108"/>
      <c r="RTD14" s="109"/>
      <c r="RTE14" s="107" t="s">
        <v>1</v>
      </c>
      <c r="RTF14" s="108"/>
      <c r="RTG14" s="108"/>
      <c r="RTH14" s="109"/>
      <c r="RTI14" s="107" t="s">
        <v>1</v>
      </c>
      <c r="RTJ14" s="108"/>
      <c r="RTK14" s="108"/>
      <c r="RTL14" s="109"/>
      <c r="RTM14" s="107" t="s">
        <v>1</v>
      </c>
      <c r="RTN14" s="108"/>
      <c r="RTO14" s="108"/>
      <c r="RTP14" s="109"/>
      <c r="RTQ14" s="107" t="s">
        <v>1</v>
      </c>
      <c r="RTR14" s="108"/>
      <c r="RTS14" s="108"/>
      <c r="RTT14" s="109"/>
      <c r="RTU14" s="107" t="s">
        <v>1</v>
      </c>
      <c r="RTV14" s="108"/>
      <c r="RTW14" s="108"/>
      <c r="RTX14" s="109"/>
      <c r="RTY14" s="107" t="s">
        <v>1</v>
      </c>
      <c r="RTZ14" s="108"/>
      <c r="RUA14" s="108"/>
      <c r="RUB14" s="109"/>
      <c r="RUC14" s="107" t="s">
        <v>1</v>
      </c>
      <c r="RUD14" s="108"/>
      <c r="RUE14" s="108"/>
      <c r="RUF14" s="109"/>
      <c r="RUG14" s="107" t="s">
        <v>1</v>
      </c>
      <c r="RUH14" s="108"/>
      <c r="RUI14" s="108"/>
      <c r="RUJ14" s="109"/>
      <c r="RUK14" s="107" t="s">
        <v>1</v>
      </c>
      <c r="RUL14" s="108"/>
      <c r="RUM14" s="108"/>
      <c r="RUN14" s="109"/>
      <c r="RUO14" s="107" t="s">
        <v>1</v>
      </c>
      <c r="RUP14" s="108"/>
      <c r="RUQ14" s="108"/>
      <c r="RUR14" s="109"/>
      <c r="RUS14" s="107" t="s">
        <v>1</v>
      </c>
      <c r="RUT14" s="108"/>
      <c r="RUU14" s="108"/>
      <c r="RUV14" s="109"/>
      <c r="RUW14" s="107" t="s">
        <v>1</v>
      </c>
      <c r="RUX14" s="108"/>
      <c r="RUY14" s="108"/>
      <c r="RUZ14" s="109"/>
      <c r="RVA14" s="107" t="s">
        <v>1</v>
      </c>
      <c r="RVB14" s="108"/>
      <c r="RVC14" s="108"/>
      <c r="RVD14" s="109"/>
      <c r="RVE14" s="107" t="s">
        <v>1</v>
      </c>
      <c r="RVF14" s="108"/>
      <c r="RVG14" s="108"/>
      <c r="RVH14" s="109"/>
      <c r="RVI14" s="107" t="s">
        <v>1</v>
      </c>
      <c r="RVJ14" s="108"/>
      <c r="RVK14" s="108"/>
      <c r="RVL14" s="109"/>
      <c r="RVM14" s="107" t="s">
        <v>1</v>
      </c>
      <c r="RVN14" s="108"/>
      <c r="RVO14" s="108"/>
      <c r="RVP14" s="109"/>
      <c r="RVQ14" s="107" t="s">
        <v>1</v>
      </c>
      <c r="RVR14" s="108"/>
      <c r="RVS14" s="108"/>
      <c r="RVT14" s="109"/>
      <c r="RVU14" s="107" t="s">
        <v>1</v>
      </c>
      <c r="RVV14" s="108"/>
      <c r="RVW14" s="108"/>
      <c r="RVX14" s="109"/>
      <c r="RVY14" s="107" t="s">
        <v>1</v>
      </c>
      <c r="RVZ14" s="108"/>
      <c r="RWA14" s="108"/>
      <c r="RWB14" s="109"/>
      <c r="RWC14" s="107" t="s">
        <v>1</v>
      </c>
      <c r="RWD14" s="108"/>
      <c r="RWE14" s="108"/>
      <c r="RWF14" s="109"/>
      <c r="RWG14" s="107" t="s">
        <v>1</v>
      </c>
      <c r="RWH14" s="108"/>
      <c r="RWI14" s="108"/>
      <c r="RWJ14" s="109"/>
      <c r="RWK14" s="107" t="s">
        <v>1</v>
      </c>
      <c r="RWL14" s="108"/>
      <c r="RWM14" s="108"/>
      <c r="RWN14" s="109"/>
      <c r="RWO14" s="107" t="s">
        <v>1</v>
      </c>
      <c r="RWP14" s="108"/>
      <c r="RWQ14" s="108"/>
      <c r="RWR14" s="109"/>
      <c r="RWS14" s="107" t="s">
        <v>1</v>
      </c>
      <c r="RWT14" s="108"/>
      <c r="RWU14" s="108"/>
      <c r="RWV14" s="109"/>
      <c r="RWW14" s="107" t="s">
        <v>1</v>
      </c>
      <c r="RWX14" s="108"/>
      <c r="RWY14" s="108"/>
      <c r="RWZ14" s="109"/>
      <c r="RXA14" s="107" t="s">
        <v>1</v>
      </c>
      <c r="RXB14" s="108"/>
      <c r="RXC14" s="108"/>
      <c r="RXD14" s="109"/>
      <c r="RXE14" s="107" t="s">
        <v>1</v>
      </c>
      <c r="RXF14" s="108"/>
      <c r="RXG14" s="108"/>
      <c r="RXH14" s="109"/>
      <c r="RXI14" s="107" t="s">
        <v>1</v>
      </c>
      <c r="RXJ14" s="108"/>
      <c r="RXK14" s="108"/>
      <c r="RXL14" s="109"/>
      <c r="RXM14" s="107" t="s">
        <v>1</v>
      </c>
      <c r="RXN14" s="108"/>
      <c r="RXO14" s="108"/>
      <c r="RXP14" s="109"/>
      <c r="RXQ14" s="107" t="s">
        <v>1</v>
      </c>
      <c r="RXR14" s="108"/>
      <c r="RXS14" s="108"/>
      <c r="RXT14" s="109"/>
      <c r="RXU14" s="107" t="s">
        <v>1</v>
      </c>
      <c r="RXV14" s="108"/>
      <c r="RXW14" s="108"/>
      <c r="RXX14" s="109"/>
      <c r="RXY14" s="107" t="s">
        <v>1</v>
      </c>
      <c r="RXZ14" s="108"/>
      <c r="RYA14" s="108"/>
      <c r="RYB14" s="109"/>
      <c r="RYC14" s="107" t="s">
        <v>1</v>
      </c>
      <c r="RYD14" s="108"/>
      <c r="RYE14" s="108"/>
      <c r="RYF14" s="109"/>
      <c r="RYG14" s="107" t="s">
        <v>1</v>
      </c>
      <c r="RYH14" s="108"/>
      <c r="RYI14" s="108"/>
      <c r="RYJ14" s="109"/>
      <c r="RYK14" s="107" t="s">
        <v>1</v>
      </c>
      <c r="RYL14" s="108"/>
      <c r="RYM14" s="108"/>
      <c r="RYN14" s="109"/>
      <c r="RYO14" s="107" t="s">
        <v>1</v>
      </c>
      <c r="RYP14" s="108"/>
      <c r="RYQ14" s="108"/>
      <c r="RYR14" s="109"/>
      <c r="RYS14" s="107" t="s">
        <v>1</v>
      </c>
      <c r="RYT14" s="108"/>
      <c r="RYU14" s="108"/>
      <c r="RYV14" s="109"/>
      <c r="RYW14" s="107" t="s">
        <v>1</v>
      </c>
      <c r="RYX14" s="108"/>
      <c r="RYY14" s="108"/>
      <c r="RYZ14" s="109"/>
      <c r="RZA14" s="107" t="s">
        <v>1</v>
      </c>
      <c r="RZB14" s="108"/>
      <c r="RZC14" s="108"/>
      <c r="RZD14" s="109"/>
      <c r="RZE14" s="107" t="s">
        <v>1</v>
      </c>
      <c r="RZF14" s="108"/>
      <c r="RZG14" s="108"/>
      <c r="RZH14" s="109"/>
      <c r="RZI14" s="107" t="s">
        <v>1</v>
      </c>
      <c r="RZJ14" s="108"/>
      <c r="RZK14" s="108"/>
      <c r="RZL14" s="109"/>
      <c r="RZM14" s="107" t="s">
        <v>1</v>
      </c>
      <c r="RZN14" s="108"/>
      <c r="RZO14" s="108"/>
      <c r="RZP14" s="109"/>
      <c r="RZQ14" s="107" t="s">
        <v>1</v>
      </c>
      <c r="RZR14" s="108"/>
      <c r="RZS14" s="108"/>
      <c r="RZT14" s="109"/>
      <c r="RZU14" s="107" t="s">
        <v>1</v>
      </c>
      <c r="RZV14" s="108"/>
      <c r="RZW14" s="108"/>
      <c r="RZX14" s="109"/>
      <c r="RZY14" s="107" t="s">
        <v>1</v>
      </c>
      <c r="RZZ14" s="108"/>
      <c r="SAA14" s="108"/>
      <c r="SAB14" s="109"/>
      <c r="SAC14" s="107" t="s">
        <v>1</v>
      </c>
      <c r="SAD14" s="108"/>
      <c r="SAE14" s="108"/>
      <c r="SAF14" s="109"/>
      <c r="SAG14" s="107" t="s">
        <v>1</v>
      </c>
      <c r="SAH14" s="108"/>
      <c r="SAI14" s="108"/>
      <c r="SAJ14" s="109"/>
      <c r="SAK14" s="107" t="s">
        <v>1</v>
      </c>
      <c r="SAL14" s="108"/>
      <c r="SAM14" s="108"/>
      <c r="SAN14" s="109"/>
      <c r="SAO14" s="107" t="s">
        <v>1</v>
      </c>
      <c r="SAP14" s="108"/>
      <c r="SAQ14" s="108"/>
      <c r="SAR14" s="109"/>
      <c r="SAS14" s="107" t="s">
        <v>1</v>
      </c>
      <c r="SAT14" s="108"/>
      <c r="SAU14" s="108"/>
      <c r="SAV14" s="109"/>
      <c r="SAW14" s="107" t="s">
        <v>1</v>
      </c>
      <c r="SAX14" s="108"/>
      <c r="SAY14" s="108"/>
      <c r="SAZ14" s="109"/>
      <c r="SBA14" s="107" t="s">
        <v>1</v>
      </c>
      <c r="SBB14" s="108"/>
      <c r="SBC14" s="108"/>
      <c r="SBD14" s="109"/>
      <c r="SBE14" s="107" t="s">
        <v>1</v>
      </c>
      <c r="SBF14" s="108"/>
      <c r="SBG14" s="108"/>
      <c r="SBH14" s="109"/>
      <c r="SBI14" s="107" t="s">
        <v>1</v>
      </c>
      <c r="SBJ14" s="108"/>
      <c r="SBK14" s="108"/>
      <c r="SBL14" s="109"/>
      <c r="SBM14" s="107" t="s">
        <v>1</v>
      </c>
      <c r="SBN14" s="108"/>
      <c r="SBO14" s="108"/>
      <c r="SBP14" s="109"/>
      <c r="SBQ14" s="107" t="s">
        <v>1</v>
      </c>
      <c r="SBR14" s="108"/>
      <c r="SBS14" s="108"/>
      <c r="SBT14" s="109"/>
      <c r="SBU14" s="107" t="s">
        <v>1</v>
      </c>
      <c r="SBV14" s="108"/>
      <c r="SBW14" s="108"/>
      <c r="SBX14" s="109"/>
      <c r="SBY14" s="107" t="s">
        <v>1</v>
      </c>
      <c r="SBZ14" s="108"/>
      <c r="SCA14" s="108"/>
      <c r="SCB14" s="109"/>
      <c r="SCC14" s="107" t="s">
        <v>1</v>
      </c>
      <c r="SCD14" s="108"/>
      <c r="SCE14" s="108"/>
      <c r="SCF14" s="109"/>
      <c r="SCG14" s="107" t="s">
        <v>1</v>
      </c>
      <c r="SCH14" s="108"/>
      <c r="SCI14" s="108"/>
      <c r="SCJ14" s="109"/>
      <c r="SCK14" s="107" t="s">
        <v>1</v>
      </c>
      <c r="SCL14" s="108"/>
      <c r="SCM14" s="108"/>
      <c r="SCN14" s="109"/>
      <c r="SCO14" s="107" t="s">
        <v>1</v>
      </c>
      <c r="SCP14" s="108"/>
      <c r="SCQ14" s="108"/>
      <c r="SCR14" s="109"/>
      <c r="SCS14" s="107" t="s">
        <v>1</v>
      </c>
      <c r="SCT14" s="108"/>
      <c r="SCU14" s="108"/>
      <c r="SCV14" s="109"/>
      <c r="SCW14" s="107" t="s">
        <v>1</v>
      </c>
      <c r="SCX14" s="108"/>
      <c r="SCY14" s="108"/>
      <c r="SCZ14" s="109"/>
      <c r="SDA14" s="107" t="s">
        <v>1</v>
      </c>
      <c r="SDB14" s="108"/>
      <c r="SDC14" s="108"/>
      <c r="SDD14" s="109"/>
      <c r="SDE14" s="107" t="s">
        <v>1</v>
      </c>
      <c r="SDF14" s="108"/>
      <c r="SDG14" s="108"/>
      <c r="SDH14" s="109"/>
      <c r="SDI14" s="107" t="s">
        <v>1</v>
      </c>
      <c r="SDJ14" s="108"/>
      <c r="SDK14" s="108"/>
      <c r="SDL14" s="109"/>
      <c r="SDM14" s="107" t="s">
        <v>1</v>
      </c>
      <c r="SDN14" s="108"/>
      <c r="SDO14" s="108"/>
      <c r="SDP14" s="109"/>
      <c r="SDQ14" s="107" t="s">
        <v>1</v>
      </c>
      <c r="SDR14" s="108"/>
      <c r="SDS14" s="108"/>
      <c r="SDT14" s="109"/>
      <c r="SDU14" s="107" t="s">
        <v>1</v>
      </c>
      <c r="SDV14" s="108"/>
      <c r="SDW14" s="108"/>
      <c r="SDX14" s="109"/>
      <c r="SDY14" s="107" t="s">
        <v>1</v>
      </c>
      <c r="SDZ14" s="108"/>
      <c r="SEA14" s="108"/>
      <c r="SEB14" s="109"/>
      <c r="SEC14" s="107" t="s">
        <v>1</v>
      </c>
      <c r="SED14" s="108"/>
      <c r="SEE14" s="108"/>
      <c r="SEF14" s="109"/>
      <c r="SEG14" s="107" t="s">
        <v>1</v>
      </c>
      <c r="SEH14" s="108"/>
      <c r="SEI14" s="108"/>
      <c r="SEJ14" s="109"/>
      <c r="SEK14" s="107" t="s">
        <v>1</v>
      </c>
      <c r="SEL14" s="108"/>
      <c r="SEM14" s="108"/>
      <c r="SEN14" s="109"/>
      <c r="SEO14" s="107" t="s">
        <v>1</v>
      </c>
      <c r="SEP14" s="108"/>
      <c r="SEQ14" s="108"/>
      <c r="SER14" s="109"/>
      <c r="SES14" s="107" t="s">
        <v>1</v>
      </c>
      <c r="SET14" s="108"/>
      <c r="SEU14" s="108"/>
      <c r="SEV14" s="109"/>
      <c r="SEW14" s="107" t="s">
        <v>1</v>
      </c>
      <c r="SEX14" s="108"/>
      <c r="SEY14" s="108"/>
      <c r="SEZ14" s="109"/>
      <c r="SFA14" s="107" t="s">
        <v>1</v>
      </c>
      <c r="SFB14" s="108"/>
      <c r="SFC14" s="108"/>
      <c r="SFD14" s="109"/>
      <c r="SFE14" s="107" t="s">
        <v>1</v>
      </c>
      <c r="SFF14" s="108"/>
      <c r="SFG14" s="108"/>
      <c r="SFH14" s="109"/>
      <c r="SFI14" s="107" t="s">
        <v>1</v>
      </c>
      <c r="SFJ14" s="108"/>
      <c r="SFK14" s="108"/>
      <c r="SFL14" s="109"/>
      <c r="SFM14" s="107" t="s">
        <v>1</v>
      </c>
      <c r="SFN14" s="108"/>
      <c r="SFO14" s="108"/>
      <c r="SFP14" s="109"/>
      <c r="SFQ14" s="107" t="s">
        <v>1</v>
      </c>
      <c r="SFR14" s="108"/>
      <c r="SFS14" s="108"/>
      <c r="SFT14" s="109"/>
      <c r="SFU14" s="107" t="s">
        <v>1</v>
      </c>
      <c r="SFV14" s="108"/>
      <c r="SFW14" s="108"/>
      <c r="SFX14" s="109"/>
      <c r="SFY14" s="107" t="s">
        <v>1</v>
      </c>
      <c r="SFZ14" s="108"/>
      <c r="SGA14" s="108"/>
      <c r="SGB14" s="109"/>
      <c r="SGC14" s="107" t="s">
        <v>1</v>
      </c>
      <c r="SGD14" s="108"/>
      <c r="SGE14" s="108"/>
      <c r="SGF14" s="109"/>
      <c r="SGG14" s="107" t="s">
        <v>1</v>
      </c>
      <c r="SGH14" s="108"/>
      <c r="SGI14" s="108"/>
      <c r="SGJ14" s="109"/>
      <c r="SGK14" s="107" t="s">
        <v>1</v>
      </c>
      <c r="SGL14" s="108"/>
      <c r="SGM14" s="108"/>
      <c r="SGN14" s="109"/>
      <c r="SGO14" s="107" t="s">
        <v>1</v>
      </c>
      <c r="SGP14" s="108"/>
      <c r="SGQ14" s="108"/>
      <c r="SGR14" s="109"/>
      <c r="SGS14" s="107" t="s">
        <v>1</v>
      </c>
      <c r="SGT14" s="108"/>
      <c r="SGU14" s="108"/>
      <c r="SGV14" s="109"/>
      <c r="SGW14" s="107" t="s">
        <v>1</v>
      </c>
      <c r="SGX14" s="108"/>
      <c r="SGY14" s="108"/>
      <c r="SGZ14" s="109"/>
      <c r="SHA14" s="107" t="s">
        <v>1</v>
      </c>
      <c r="SHB14" s="108"/>
      <c r="SHC14" s="108"/>
      <c r="SHD14" s="109"/>
      <c r="SHE14" s="107" t="s">
        <v>1</v>
      </c>
      <c r="SHF14" s="108"/>
      <c r="SHG14" s="108"/>
      <c r="SHH14" s="109"/>
      <c r="SHI14" s="107" t="s">
        <v>1</v>
      </c>
      <c r="SHJ14" s="108"/>
      <c r="SHK14" s="108"/>
      <c r="SHL14" s="109"/>
      <c r="SHM14" s="107" t="s">
        <v>1</v>
      </c>
      <c r="SHN14" s="108"/>
      <c r="SHO14" s="108"/>
      <c r="SHP14" s="109"/>
      <c r="SHQ14" s="107" t="s">
        <v>1</v>
      </c>
      <c r="SHR14" s="108"/>
      <c r="SHS14" s="108"/>
      <c r="SHT14" s="109"/>
      <c r="SHU14" s="107" t="s">
        <v>1</v>
      </c>
      <c r="SHV14" s="108"/>
      <c r="SHW14" s="108"/>
      <c r="SHX14" s="109"/>
      <c r="SHY14" s="107" t="s">
        <v>1</v>
      </c>
      <c r="SHZ14" s="108"/>
      <c r="SIA14" s="108"/>
      <c r="SIB14" s="109"/>
      <c r="SIC14" s="107" t="s">
        <v>1</v>
      </c>
      <c r="SID14" s="108"/>
      <c r="SIE14" s="108"/>
      <c r="SIF14" s="109"/>
      <c r="SIG14" s="107" t="s">
        <v>1</v>
      </c>
      <c r="SIH14" s="108"/>
      <c r="SII14" s="108"/>
      <c r="SIJ14" s="109"/>
      <c r="SIK14" s="107" t="s">
        <v>1</v>
      </c>
      <c r="SIL14" s="108"/>
      <c r="SIM14" s="108"/>
      <c r="SIN14" s="109"/>
      <c r="SIO14" s="107" t="s">
        <v>1</v>
      </c>
      <c r="SIP14" s="108"/>
      <c r="SIQ14" s="108"/>
      <c r="SIR14" s="109"/>
      <c r="SIS14" s="107" t="s">
        <v>1</v>
      </c>
      <c r="SIT14" s="108"/>
      <c r="SIU14" s="108"/>
      <c r="SIV14" s="109"/>
      <c r="SIW14" s="107" t="s">
        <v>1</v>
      </c>
      <c r="SIX14" s="108"/>
      <c r="SIY14" s="108"/>
      <c r="SIZ14" s="109"/>
      <c r="SJA14" s="107" t="s">
        <v>1</v>
      </c>
      <c r="SJB14" s="108"/>
      <c r="SJC14" s="108"/>
      <c r="SJD14" s="109"/>
      <c r="SJE14" s="107" t="s">
        <v>1</v>
      </c>
      <c r="SJF14" s="108"/>
      <c r="SJG14" s="108"/>
      <c r="SJH14" s="109"/>
      <c r="SJI14" s="107" t="s">
        <v>1</v>
      </c>
      <c r="SJJ14" s="108"/>
      <c r="SJK14" s="108"/>
      <c r="SJL14" s="109"/>
      <c r="SJM14" s="107" t="s">
        <v>1</v>
      </c>
      <c r="SJN14" s="108"/>
      <c r="SJO14" s="108"/>
      <c r="SJP14" s="109"/>
      <c r="SJQ14" s="107" t="s">
        <v>1</v>
      </c>
      <c r="SJR14" s="108"/>
      <c r="SJS14" s="108"/>
      <c r="SJT14" s="109"/>
      <c r="SJU14" s="107" t="s">
        <v>1</v>
      </c>
      <c r="SJV14" s="108"/>
      <c r="SJW14" s="108"/>
      <c r="SJX14" s="109"/>
      <c r="SJY14" s="107" t="s">
        <v>1</v>
      </c>
      <c r="SJZ14" s="108"/>
      <c r="SKA14" s="108"/>
      <c r="SKB14" s="109"/>
      <c r="SKC14" s="107" t="s">
        <v>1</v>
      </c>
      <c r="SKD14" s="108"/>
      <c r="SKE14" s="108"/>
      <c r="SKF14" s="109"/>
      <c r="SKG14" s="107" t="s">
        <v>1</v>
      </c>
      <c r="SKH14" s="108"/>
      <c r="SKI14" s="108"/>
      <c r="SKJ14" s="109"/>
      <c r="SKK14" s="107" t="s">
        <v>1</v>
      </c>
      <c r="SKL14" s="108"/>
      <c r="SKM14" s="108"/>
      <c r="SKN14" s="109"/>
      <c r="SKO14" s="107" t="s">
        <v>1</v>
      </c>
      <c r="SKP14" s="108"/>
      <c r="SKQ14" s="108"/>
      <c r="SKR14" s="109"/>
      <c r="SKS14" s="107" t="s">
        <v>1</v>
      </c>
      <c r="SKT14" s="108"/>
      <c r="SKU14" s="108"/>
      <c r="SKV14" s="109"/>
      <c r="SKW14" s="107" t="s">
        <v>1</v>
      </c>
      <c r="SKX14" s="108"/>
      <c r="SKY14" s="108"/>
      <c r="SKZ14" s="109"/>
      <c r="SLA14" s="107" t="s">
        <v>1</v>
      </c>
      <c r="SLB14" s="108"/>
      <c r="SLC14" s="108"/>
      <c r="SLD14" s="109"/>
      <c r="SLE14" s="107" t="s">
        <v>1</v>
      </c>
      <c r="SLF14" s="108"/>
      <c r="SLG14" s="108"/>
      <c r="SLH14" s="109"/>
      <c r="SLI14" s="107" t="s">
        <v>1</v>
      </c>
      <c r="SLJ14" s="108"/>
      <c r="SLK14" s="108"/>
      <c r="SLL14" s="109"/>
      <c r="SLM14" s="107" t="s">
        <v>1</v>
      </c>
      <c r="SLN14" s="108"/>
      <c r="SLO14" s="108"/>
      <c r="SLP14" s="109"/>
      <c r="SLQ14" s="107" t="s">
        <v>1</v>
      </c>
      <c r="SLR14" s="108"/>
      <c r="SLS14" s="108"/>
      <c r="SLT14" s="109"/>
      <c r="SLU14" s="107" t="s">
        <v>1</v>
      </c>
      <c r="SLV14" s="108"/>
      <c r="SLW14" s="108"/>
      <c r="SLX14" s="109"/>
      <c r="SLY14" s="107" t="s">
        <v>1</v>
      </c>
      <c r="SLZ14" s="108"/>
      <c r="SMA14" s="108"/>
      <c r="SMB14" s="109"/>
      <c r="SMC14" s="107" t="s">
        <v>1</v>
      </c>
      <c r="SMD14" s="108"/>
      <c r="SME14" s="108"/>
      <c r="SMF14" s="109"/>
      <c r="SMG14" s="107" t="s">
        <v>1</v>
      </c>
      <c r="SMH14" s="108"/>
      <c r="SMI14" s="108"/>
      <c r="SMJ14" s="109"/>
      <c r="SMK14" s="107" t="s">
        <v>1</v>
      </c>
      <c r="SML14" s="108"/>
      <c r="SMM14" s="108"/>
      <c r="SMN14" s="109"/>
      <c r="SMO14" s="107" t="s">
        <v>1</v>
      </c>
      <c r="SMP14" s="108"/>
      <c r="SMQ14" s="108"/>
      <c r="SMR14" s="109"/>
      <c r="SMS14" s="107" t="s">
        <v>1</v>
      </c>
      <c r="SMT14" s="108"/>
      <c r="SMU14" s="108"/>
      <c r="SMV14" s="109"/>
      <c r="SMW14" s="107" t="s">
        <v>1</v>
      </c>
      <c r="SMX14" s="108"/>
      <c r="SMY14" s="108"/>
      <c r="SMZ14" s="109"/>
      <c r="SNA14" s="107" t="s">
        <v>1</v>
      </c>
      <c r="SNB14" s="108"/>
      <c r="SNC14" s="108"/>
      <c r="SND14" s="109"/>
      <c r="SNE14" s="107" t="s">
        <v>1</v>
      </c>
      <c r="SNF14" s="108"/>
      <c r="SNG14" s="108"/>
      <c r="SNH14" s="109"/>
      <c r="SNI14" s="107" t="s">
        <v>1</v>
      </c>
      <c r="SNJ14" s="108"/>
      <c r="SNK14" s="108"/>
      <c r="SNL14" s="109"/>
      <c r="SNM14" s="107" t="s">
        <v>1</v>
      </c>
      <c r="SNN14" s="108"/>
      <c r="SNO14" s="108"/>
      <c r="SNP14" s="109"/>
      <c r="SNQ14" s="107" t="s">
        <v>1</v>
      </c>
      <c r="SNR14" s="108"/>
      <c r="SNS14" s="108"/>
      <c r="SNT14" s="109"/>
      <c r="SNU14" s="107" t="s">
        <v>1</v>
      </c>
      <c r="SNV14" s="108"/>
      <c r="SNW14" s="108"/>
      <c r="SNX14" s="109"/>
      <c r="SNY14" s="107" t="s">
        <v>1</v>
      </c>
      <c r="SNZ14" s="108"/>
      <c r="SOA14" s="108"/>
      <c r="SOB14" s="109"/>
      <c r="SOC14" s="107" t="s">
        <v>1</v>
      </c>
      <c r="SOD14" s="108"/>
      <c r="SOE14" s="108"/>
      <c r="SOF14" s="109"/>
      <c r="SOG14" s="107" t="s">
        <v>1</v>
      </c>
      <c r="SOH14" s="108"/>
      <c r="SOI14" s="108"/>
      <c r="SOJ14" s="109"/>
      <c r="SOK14" s="107" t="s">
        <v>1</v>
      </c>
      <c r="SOL14" s="108"/>
      <c r="SOM14" s="108"/>
      <c r="SON14" s="109"/>
      <c r="SOO14" s="107" t="s">
        <v>1</v>
      </c>
      <c r="SOP14" s="108"/>
      <c r="SOQ14" s="108"/>
      <c r="SOR14" s="109"/>
      <c r="SOS14" s="107" t="s">
        <v>1</v>
      </c>
      <c r="SOT14" s="108"/>
      <c r="SOU14" s="108"/>
      <c r="SOV14" s="109"/>
      <c r="SOW14" s="107" t="s">
        <v>1</v>
      </c>
      <c r="SOX14" s="108"/>
      <c r="SOY14" s="108"/>
      <c r="SOZ14" s="109"/>
      <c r="SPA14" s="107" t="s">
        <v>1</v>
      </c>
      <c r="SPB14" s="108"/>
      <c r="SPC14" s="108"/>
      <c r="SPD14" s="109"/>
      <c r="SPE14" s="107" t="s">
        <v>1</v>
      </c>
      <c r="SPF14" s="108"/>
      <c r="SPG14" s="108"/>
      <c r="SPH14" s="109"/>
      <c r="SPI14" s="107" t="s">
        <v>1</v>
      </c>
      <c r="SPJ14" s="108"/>
      <c r="SPK14" s="108"/>
      <c r="SPL14" s="109"/>
      <c r="SPM14" s="107" t="s">
        <v>1</v>
      </c>
      <c r="SPN14" s="108"/>
      <c r="SPO14" s="108"/>
      <c r="SPP14" s="109"/>
      <c r="SPQ14" s="107" t="s">
        <v>1</v>
      </c>
      <c r="SPR14" s="108"/>
      <c r="SPS14" s="108"/>
      <c r="SPT14" s="109"/>
      <c r="SPU14" s="107" t="s">
        <v>1</v>
      </c>
      <c r="SPV14" s="108"/>
      <c r="SPW14" s="108"/>
      <c r="SPX14" s="109"/>
      <c r="SPY14" s="107" t="s">
        <v>1</v>
      </c>
      <c r="SPZ14" s="108"/>
      <c r="SQA14" s="108"/>
      <c r="SQB14" s="109"/>
      <c r="SQC14" s="107" t="s">
        <v>1</v>
      </c>
      <c r="SQD14" s="108"/>
      <c r="SQE14" s="108"/>
      <c r="SQF14" s="109"/>
      <c r="SQG14" s="107" t="s">
        <v>1</v>
      </c>
      <c r="SQH14" s="108"/>
      <c r="SQI14" s="108"/>
      <c r="SQJ14" s="109"/>
      <c r="SQK14" s="107" t="s">
        <v>1</v>
      </c>
      <c r="SQL14" s="108"/>
      <c r="SQM14" s="108"/>
      <c r="SQN14" s="109"/>
      <c r="SQO14" s="107" t="s">
        <v>1</v>
      </c>
      <c r="SQP14" s="108"/>
      <c r="SQQ14" s="108"/>
      <c r="SQR14" s="109"/>
      <c r="SQS14" s="107" t="s">
        <v>1</v>
      </c>
      <c r="SQT14" s="108"/>
      <c r="SQU14" s="108"/>
      <c r="SQV14" s="109"/>
      <c r="SQW14" s="107" t="s">
        <v>1</v>
      </c>
      <c r="SQX14" s="108"/>
      <c r="SQY14" s="108"/>
      <c r="SQZ14" s="109"/>
      <c r="SRA14" s="107" t="s">
        <v>1</v>
      </c>
      <c r="SRB14" s="108"/>
      <c r="SRC14" s="108"/>
      <c r="SRD14" s="109"/>
      <c r="SRE14" s="107" t="s">
        <v>1</v>
      </c>
      <c r="SRF14" s="108"/>
      <c r="SRG14" s="108"/>
      <c r="SRH14" s="109"/>
      <c r="SRI14" s="107" t="s">
        <v>1</v>
      </c>
      <c r="SRJ14" s="108"/>
      <c r="SRK14" s="108"/>
      <c r="SRL14" s="109"/>
      <c r="SRM14" s="107" t="s">
        <v>1</v>
      </c>
      <c r="SRN14" s="108"/>
      <c r="SRO14" s="108"/>
      <c r="SRP14" s="109"/>
      <c r="SRQ14" s="107" t="s">
        <v>1</v>
      </c>
      <c r="SRR14" s="108"/>
      <c r="SRS14" s="108"/>
      <c r="SRT14" s="109"/>
      <c r="SRU14" s="107" t="s">
        <v>1</v>
      </c>
      <c r="SRV14" s="108"/>
      <c r="SRW14" s="108"/>
      <c r="SRX14" s="109"/>
      <c r="SRY14" s="107" t="s">
        <v>1</v>
      </c>
      <c r="SRZ14" s="108"/>
      <c r="SSA14" s="108"/>
      <c r="SSB14" s="109"/>
      <c r="SSC14" s="107" t="s">
        <v>1</v>
      </c>
      <c r="SSD14" s="108"/>
      <c r="SSE14" s="108"/>
      <c r="SSF14" s="109"/>
      <c r="SSG14" s="107" t="s">
        <v>1</v>
      </c>
      <c r="SSH14" s="108"/>
      <c r="SSI14" s="108"/>
      <c r="SSJ14" s="109"/>
      <c r="SSK14" s="107" t="s">
        <v>1</v>
      </c>
      <c r="SSL14" s="108"/>
      <c r="SSM14" s="108"/>
      <c r="SSN14" s="109"/>
      <c r="SSO14" s="107" t="s">
        <v>1</v>
      </c>
      <c r="SSP14" s="108"/>
      <c r="SSQ14" s="108"/>
      <c r="SSR14" s="109"/>
      <c r="SSS14" s="107" t="s">
        <v>1</v>
      </c>
      <c r="SST14" s="108"/>
      <c r="SSU14" s="108"/>
      <c r="SSV14" s="109"/>
      <c r="SSW14" s="107" t="s">
        <v>1</v>
      </c>
      <c r="SSX14" s="108"/>
      <c r="SSY14" s="108"/>
      <c r="SSZ14" s="109"/>
      <c r="STA14" s="107" t="s">
        <v>1</v>
      </c>
      <c r="STB14" s="108"/>
      <c r="STC14" s="108"/>
      <c r="STD14" s="109"/>
      <c r="STE14" s="107" t="s">
        <v>1</v>
      </c>
      <c r="STF14" s="108"/>
      <c r="STG14" s="108"/>
      <c r="STH14" s="109"/>
      <c r="STI14" s="107" t="s">
        <v>1</v>
      </c>
      <c r="STJ14" s="108"/>
      <c r="STK14" s="108"/>
      <c r="STL14" s="109"/>
      <c r="STM14" s="107" t="s">
        <v>1</v>
      </c>
      <c r="STN14" s="108"/>
      <c r="STO14" s="108"/>
      <c r="STP14" s="109"/>
      <c r="STQ14" s="107" t="s">
        <v>1</v>
      </c>
      <c r="STR14" s="108"/>
      <c r="STS14" s="108"/>
      <c r="STT14" s="109"/>
      <c r="STU14" s="107" t="s">
        <v>1</v>
      </c>
      <c r="STV14" s="108"/>
      <c r="STW14" s="108"/>
      <c r="STX14" s="109"/>
      <c r="STY14" s="107" t="s">
        <v>1</v>
      </c>
      <c r="STZ14" s="108"/>
      <c r="SUA14" s="108"/>
      <c r="SUB14" s="109"/>
      <c r="SUC14" s="107" t="s">
        <v>1</v>
      </c>
      <c r="SUD14" s="108"/>
      <c r="SUE14" s="108"/>
      <c r="SUF14" s="109"/>
      <c r="SUG14" s="107" t="s">
        <v>1</v>
      </c>
      <c r="SUH14" s="108"/>
      <c r="SUI14" s="108"/>
      <c r="SUJ14" s="109"/>
      <c r="SUK14" s="107" t="s">
        <v>1</v>
      </c>
      <c r="SUL14" s="108"/>
      <c r="SUM14" s="108"/>
      <c r="SUN14" s="109"/>
      <c r="SUO14" s="107" t="s">
        <v>1</v>
      </c>
      <c r="SUP14" s="108"/>
      <c r="SUQ14" s="108"/>
      <c r="SUR14" s="109"/>
      <c r="SUS14" s="107" t="s">
        <v>1</v>
      </c>
      <c r="SUT14" s="108"/>
      <c r="SUU14" s="108"/>
      <c r="SUV14" s="109"/>
      <c r="SUW14" s="107" t="s">
        <v>1</v>
      </c>
      <c r="SUX14" s="108"/>
      <c r="SUY14" s="108"/>
      <c r="SUZ14" s="109"/>
      <c r="SVA14" s="107" t="s">
        <v>1</v>
      </c>
      <c r="SVB14" s="108"/>
      <c r="SVC14" s="108"/>
      <c r="SVD14" s="109"/>
      <c r="SVE14" s="107" t="s">
        <v>1</v>
      </c>
      <c r="SVF14" s="108"/>
      <c r="SVG14" s="108"/>
      <c r="SVH14" s="109"/>
      <c r="SVI14" s="107" t="s">
        <v>1</v>
      </c>
      <c r="SVJ14" s="108"/>
      <c r="SVK14" s="108"/>
      <c r="SVL14" s="109"/>
      <c r="SVM14" s="107" t="s">
        <v>1</v>
      </c>
      <c r="SVN14" s="108"/>
      <c r="SVO14" s="108"/>
      <c r="SVP14" s="109"/>
      <c r="SVQ14" s="107" t="s">
        <v>1</v>
      </c>
      <c r="SVR14" s="108"/>
      <c r="SVS14" s="108"/>
      <c r="SVT14" s="109"/>
      <c r="SVU14" s="107" t="s">
        <v>1</v>
      </c>
      <c r="SVV14" s="108"/>
      <c r="SVW14" s="108"/>
      <c r="SVX14" s="109"/>
      <c r="SVY14" s="107" t="s">
        <v>1</v>
      </c>
      <c r="SVZ14" s="108"/>
      <c r="SWA14" s="108"/>
      <c r="SWB14" s="109"/>
      <c r="SWC14" s="107" t="s">
        <v>1</v>
      </c>
      <c r="SWD14" s="108"/>
      <c r="SWE14" s="108"/>
      <c r="SWF14" s="109"/>
      <c r="SWG14" s="107" t="s">
        <v>1</v>
      </c>
      <c r="SWH14" s="108"/>
      <c r="SWI14" s="108"/>
      <c r="SWJ14" s="109"/>
      <c r="SWK14" s="107" t="s">
        <v>1</v>
      </c>
      <c r="SWL14" s="108"/>
      <c r="SWM14" s="108"/>
      <c r="SWN14" s="109"/>
      <c r="SWO14" s="107" t="s">
        <v>1</v>
      </c>
      <c r="SWP14" s="108"/>
      <c r="SWQ14" s="108"/>
      <c r="SWR14" s="109"/>
      <c r="SWS14" s="107" t="s">
        <v>1</v>
      </c>
      <c r="SWT14" s="108"/>
      <c r="SWU14" s="108"/>
      <c r="SWV14" s="109"/>
      <c r="SWW14" s="107" t="s">
        <v>1</v>
      </c>
      <c r="SWX14" s="108"/>
      <c r="SWY14" s="108"/>
      <c r="SWZ14" s="109"/>
      <c r="SXA14" s="107" t="s">
        <v>1</v>
      </c>
      <c r="SXB14" s="108"/>
      <c r="SXC14" s="108"/>
      <c r="SXD14" s="109"/>
      <c r="SXE14" s="107" t="s">
        <v>1</v>
      </c>
      <c r="SXF14" s="108"/>
      <c r="SXG14" s="108"/>
      <c r="SXH14" s="109"/>
      <c r="SXI14" s="107" t="s">
        <v>1</v>
      </c>
      <c r="SXJ14" s="108"/>
      <c r="SXK14" s="108"/>
      <c r="SXL14" s="109"/>
      <c r="SXM14" s="107" t="s">
        <v>1</v>
      </c>
      <c r="SXN14" s="108"/>
      <c r="SXO14" s="108"/>
      <c r="SXP14" s="109"/>
      <c r="SXQ14" s="107" t="s">
        <v>1</v>
      </c>
      <c r="SXR14" s="108"/>
      <c r="SXS14" s="108"/>
      <c r="SXT14" s="109"/>
      <c r="SXU14" s="107" t="s">
        <v>1</v>
      </c>
      <c r="SXV14" s="108"/>
      <c r="SXW14" s="108"/>
      <c r="SXX14" s="109"/>
      <c r="SXY14" s="107" t="s">
        <v>1</v>
      </c>
      <c r="SXZ14" s="108"/>
      <c r="SYA14" s="108"/>
      <c r="SYB14" s="109"/>
      <c r="SYC14" s="107" t="s">
        <v>1</v>
      </c>
      <c r="SYD14" s="108"/>
      <c r="SYE14" s="108"/>
      <c r="SYF14" s="109"/>
      <c r="SYG14" s="107" t="s">
        <v>1</v>
      </c>
      <c r="SYH14" s="108"/>
      <c r="SYI14" s="108"/>
      <c r="SYJ14" s="109"/>
      <c r="SYK14" s="107" t="s">
        <v>1</v>
      </c>
      <c r="SYL14" s="108"/>
      <c r="SYM14" s="108"/>
      <c r="SYN14" s="109"/>
      <c r="SYO14" s="107" t="s">
        <v>1</v>
      </c>
      <c r="SYP14" s="108"/>
      <c r="SYQ14" s="108"/>
      <c r="SYR14" s="109"/>
      <c r="SYS14" s="107" t="s">
        <v>1</v>
      </c>
      <c r="SYT14" s="108"/>
      <c r="SYU14" s="108"/>
      <c r="SYV14" s="109"/>
      <c r="SYW14" s="107" t="s">
        <v>1</v>
      </c>
      <c r="SYX14" s="108"/>
      <c r="SYY14" s="108"/>
      <c r="SYZ14" s="109"/>
      <c r="SZA14" s="107" t="s">
        <v>1</v>
      </c>
      <c r="SZB14" s="108"/>
      <c r="SZC14" s="108"/>
      <c r="SZD14" s="109"/>
      <c r="SZE14" s="107" t="s">
        <v>1</v>
      </c>
      <c r="SZF14" s="108"/>
      <c r="SZG14" s="108"/>
      <c r="SZH14" s="109"/>
      <c r="SZI14" s="107" t="s">
        <v>1</v>
      </c>
      <c r="SZJ14" s="108"/>
      <c r="SZK14" s="108"/>
      <c r="SZL14" s="109"/>
      <c r="SZM14" s="107" t="s">
        <v>1</v>
      </c>
      <c r="SZN14" s="108"/>
      <c r="SZO14" s="108"/>
      <c r="SZP14" s="109"/>
      <c r="SZQ14" s="107" t="s">
        <v>1</v>
      </c>
      <c r="SZR14" s="108"/>
      <c r="SZS14" s="108"/>
      <c r="SZT14" s="109"/>
      <c r="SZU14" s="107" t="s">
        <v>1</v>
      </c>
      <c r="SZV14" s="108"/>
      <c r="SZW14" s="108"/>
      <c r="SZX14" s="109"/>
      <c r="SZY14" s="107" t="s">
        <v>1</v>
      </c>
      <c r="SZZ14" s="108"/>
      <c r="TAA14" s="108"/>
      <c r="TAB14" s="109"/>
      <c r="TAC14" s="107" t="s">
        <v>1</v>
      </c>
      <c r="TAD14" s="108"/>
      <c r="TAE14" s="108"/>
      <c r="TAF14" s="109"/>
      <c r="TAG14" s="107" t="s">
        <v>1</v>
      </c>
      <c r="TAH14" s="108"/>
      <c r="TAI14" s="108"/>
      <c r="TAJ14" s="109"/>
      <c r="TAK14" s="107" t="s">
        <v>1</v>
      </c>
      <c r="TAL14" s="108"/>
      <c r="TAM14" s="108"/>
      <c r="TAN14" s="109"/>
      <c r="TAO14" s="107" t="s">
        <v>1</v>
      </c>
      <c r="TAP14" s="108"/>
      <c r="TAQ14" s="108"/>
      <c r="TAR14" s="109"/>
      <c r="TAS14" s="107" t="s">
        <v>1</v>
      </c>
      <c r="TAT14" s="108"/>
      <c r="TAU14" s="108"/>
      <c r="TAV14" s="109"/>
      <c r="TAW14" s="107" t="s">
        <v>1</v>
      </c>
      <c r="TAX14" s="108"/>
      <c r="TAY14" s="108"/>
      <c r="TAZ14" s="109"/>
      <c r="TBA14" s="107" t="s">
        <v>1</v>
      </c>
      <c r="TBB14" s="108"/>
      <c r="TBC14" s="108"/>
      <c r="TBD14" s="109"/>
      <c r="TBE14" s="107" t="s">
        <v>1</v>
      </c>
      <c r="TBF14" s="108"/>
      <c r="TBG14" s="108"/>
      <c r="TBH14" s="109"/>
      <c r="TBI14" s="107" t="s">
        <v>1</v>
      </c>
      <c r="TBJ14" s="108"/>
      <c r="TBK14" s="108"/>
      <c r="TBL14" s="109"/>
      <c r="TBM14" s="107" t="s">
        <v>1</v>
      </c>
      <c r="TBN14" s="108"/>
      <c r="TBO14" s="108"/>
      <c r="TBP14" s="109"/>
      <c r="TBQ14" s="107" t="s">
        <v>1</v>
      </c>
      <c r="TBR14" s="108"/>
      <c r="TBS14" s="108"/>
      <c r="TBT14" s="109"/>
      <c r="TBU14" s="107" t="s">
        <v>1</v>
      </c>
      <c r="TBV14" s="108"/>
      <c r="TBW14" s="108"/>
      <c r="TBX14" s="109"/>
      <c r="TBY14" s="107" t="s">
        <v>1</v>
      </c>
      <c r="TBZ14" s="108"/>
      <c r="TCA14" s="108"/>
      <c r="TCB14" s="109"/>
      <c r="TCC14" s="107" t="s">
        <v>1</v>
      </c>
      <c r="TCD14" s="108"/>
      <c r="TCE14" s="108"/>
      <c r="TCF14" s="109"/>
      <c r="TCG14" s="107" t="s">
        <v>1</v>
      </c>
      <c r="TCH14" s="108"/>
      <c r="TCI14" s="108"/>
      <c r="TCJ14" s="109"/>
      <c r="TCK14" s="107" t="s">
        <v>1</v>
      </c>
      <c r="TCL14" s="108"/>
      <c r="TCM14" s="108"/>
      <c r="TCN14" s="109"/>
      <c r="TCO14" s="107" t="s">
        <v>1</v>
      </c>
      <c r="TCP14" s="108"/>
      <c r="TCQ14" s="108"/>
      <c r="TCR14" s="109"/>
      <c r="TCS14" s="107" t="s">
        <v>1</v>
      </c>
      <c r="TCT14" s="108"/>
      <c r="TCU14" s="108"/>
      <c r="TCV14" s="109"/>
      <c r="TCW14" s="107" t="s">
        <v>1</v>
      </c>
      <c r="TCX14" s="108"/>
      <c r="TCY14" s="108"/>
      <c r="TCZ14" s="109"/>
      <c r="TDA14" s="107" t="s">
        <v>1</v>
      </c>
      <c r="TDB14" s="108"/>
      <c r="TDC14" s="108"/>
      <c r="TDD14" s="109"/>
      <c r="TDE14" s="107" t="s">
        <v>1</v>
      </c>
      <c r="TDF14" s="108"/>
      <c r="TDG14" s="108"/>
      <c r="TDH14" s="109"/>
      <c r="TDI14" s="107" t="s">
        <v>1</v>
      </c>
      <c r="TDJ14" s="108"/>
      <c r="TDK14" s="108"/>
      <c r="TDL14" s="109"/>
      <c r="TDM14" s="107" t="s">
        <v>1</v>
      </c>
      <c r="TDN14" s="108"/>
      <c r="TDO14" s="108"/>
      <c r="TDP14" s="109"/>
      <c r="TDQ14" s="107" t="s">
        <v>1</v>
      </c>
      <c r="TDR14" s="108"/>
      <c r="TDS14" s="108"/>
      <c r="TDT14" s="109"/>
      <c r="TDU14" s="107" t="s">
        <v>1</v>
      </c>
      <c r="TDV14" s="108"/>
      <c r="TDW14" s="108"/>
      <c r="TDX14" s="109"/>
      <c r="TDY14" s="107" t="s">
        <v>1</v>
      </c>
      <c r="TDZ14" s="108"/>
      <c r="TEA14" s="108"/>
      <c r="TEB14" s="109"/>
      <c r="TEC14" s="107" t="s">
        <v>1</v>
      </c>
      <c r="TED14" s="108"/>
      <c r="TEE14" s="108"/>
      <c r="TEF14" s="109"/>
      <c r="TEG14" s="107" t="s">
        <v>1</v>
      </c>
      <c r="TEH14" s="108"/>
      <c r="TEI14" s="108"/>
      <c r="TEJ14" s="109"/>
      <c r="TEK14" s="107" t="s">
        <v>1</v>
      </c>
      <c r="TEL14" s="108"/>
      <c r="TEM14" s="108"/>
      <c r="TEN14" s="109"/>
      <c r="TEO14" s="107" t="s">
        <v>1</v>
      </c>
      <c r="TEP14" s="108"/>
      <c r="TEQ14" s="108"/>
      <c r="TER14" s="109"/>
      <c r="TES14" s="107" t="s">
        <v>1</v>
      </c>
      <c r="TET14" s="108"/>
      <c r="TEU14" s="108"/>
      <c r="TEV14" s="109"/>
      <c r="TEW14" s="107" t="s">
        <v>1</v>
      </c>
      <c r="TEX14" s="108"/>
      <c r="TEY14" s="108"/>
      <c r="TEZ14" s="109"/>
      <c r="TFA14" s="107" t="s">
        <v>1</v>
      </c>
      <c r="TFB14" s="108"/>
      <c r="TFC14" s="108"/>
      <c r="TFD14" s="109"/>
      <c r="TFE14" s="107" t="s">
        <v>1</v>
      </c>
      <c r="TFF14" s="108"/>
      <c r="TFG14" s="108"/>
      <c r="TFH14" s="109"/>
      <c r="TFI14" s="107" t="s">
        <v>1</v>
      </c>
      <c r="TFJ14" s="108"/>
      <c r="TFK14" s="108"/>
      <c r="TFL14" s="109"/>
      <c r="TFM14" s="107" t="s">
        <v>1</v>
      </c>
      <c r="TFN14" s="108"/>
      <c r="TFO14" s="108"/>
      <c r="TFP14" s="109"/>
      <c r="TFQ14" s="107" t="s">
        <v>1</v>
      </c>
      <c r="TFR14" s="108"/>
      <c r="TFS14" s="108"/>
      <c r="TFT14" s="109"/>
      <c r="TFU14" s="107" t="s">
        <v>1</v>
      </c>
      <c r="TFV14" s="108"/>
      <c r="TFW14" s="108"/>
      <c r="TFX14" s="109"/>
      <c r="TFY14" s="107" t="s">
        <v>1</v>
      </c>
      <c r="TFZ14" s="108"/>
      <c r="TGA14" s="108"/>
      <c r="TGB14" s="109"/>
      <c r="TGC14" s="107" t="s">
        <v>1</v>
      </c>
      <c r="TGD14" s="108"/>
      <c r="TGE14" s="108"/>
      <c r="TGF14" s="109"/>
      <c r="TGG14" s="107" t="s">
        <v>1</v>
      </c>
      <c r="TGH14" s="108"/>
      <c r="TGI14" s="108"/>
      <c r="TGJ14" s="109"/>
      <c r="TGK14" s="107" t="s">
        <v>1</v>
      </c>
      <c r="TGL14" s="108"/>
      <c r="TGM14" s="108"/>
      <c r="TGN14" s="109"/>
      <c r="TGO14" s="107" t="s">
        <v>1</v>
      </c>
      <c r="TGP14" s="108"/>
      <c r="TGQ14" s="108"/>
      <c r="TGR14" s="109"/>
      <c r="TGS14" s="107" t="s">
        <v>1</v>
      </c>
      <c r="TGT14" s="108"/>
      <c r="TGU14" s="108"/>
      <c r="TGV14" s="109"/>
      <c r="TGW14" s="107" t="s">
        <v>1</v>
      </c>
      <c r="TGX14" s="108"/>
      <c r="TGY14" s="108"/>
      <c r="TGZ14" s="109"/>
      <c r="THA14" s="107" t="s">
        <v>1</v>
      </c>
      <c r="THB14" s="108"/>
      <c r="THC14" s="108"/>
      <c r="THD14" s="109"/>
      <c r="THE14" s="107" t="s">
        <v>1</v>
      </c>
      <c r="THF14" s="108"/>
      <c r="THG14" s="108"/>
      <c r="THH14" s="109"/>
      <c r="THI14" s="107" t="s">
        <v>1</v>
      </c>
      <c r="THJ14" s="108"/>
      <c r="THK14" s="108"/>
      <c r="THL14" s="109"/>
      <c r="THM14" s="107" t="s">
        <v>1</v>
      </c>
      <c r="THN14" s="108"/>
      <c r="THO14" s="108"/>
      <c r="THP14" s="109"/>
      <c r="THQ14" s="107" t="s">
        <v>1</v>
      </c>
      <c r="THR14" s="108"/>
      <c r="THS14" s="108"/>
      <c r="THT14" s="109"/>
      <c r="THU14" s="107" t="s">
        <v>1</v>
      </c>
      <c r="THV14" s="108"/>
      <c r="THW14" s="108"/>
      <c r="THX14" s="109"/>
      <c r="THY14" s="107" t="s">
        <v>1</v>
      </c>
      <c r="THZ14" s="108"/>
      <c r="TIA14" s="108"/>
      <c r="TIB14" s="109"/>
      <c r="TIC14" s="107" t="s">
        <v>1</v>
      </c>
      <c r="TID14" s="108"/>
      <c r="TIE14" s="108"/>
      <c r="TIF14" s="109"/>
      <c r="TIG14" s="107" t="s">
        <v>1</v>
      </c>
      <c r="TIH14" s="108"/>
      <c r="TII14" s="108"/>
      <c r="TIJ14" s="109"/>
      <c r="TIK14" s="107" t="s">
        <v>1</v>
      </c>
      <c r="TIL14" s="108"/>
      <c r="TIM14" s="108"/>
      <c r="TIN14" s="109"/>
      <c r="TIO14" s="107" t="s">
        <v>1</v>
      </c>
      <c r="TIP14" s="108"/>
      <c r="TIQ14" s="108"/>
      <c r="TIR14" s="109"/>
      <c r="TIS14" s="107" t="s">
        <v>1</v>
      </c>
      <c r="TIT14" s="108"/>
      <c r="TIU14" s="108"/>
      <c r="TIV14" s="109"/>
      <c r="TIW14" s="107" t="s">
        <v>1</v>
      </c>
      <c r="TIX14" s="108"/>
      <c r="TIY14" s="108"/>
      <c r="TIZ14" s="109"/>
      <c r="TJA14" s="107" t="s">
        <v>1</v>
      </c>
      <c r="TJB14" s="108"/>
      <c r="TJC14" s="108"/>
      <c r="TJD14" s="109"/>
      <c r="TJE14" s="107" t="s">
        <v>1</v>
      </c>
      <c r="TJF14" s="108"/>
      <c r="TJG14" s="108"/>
      <c r="TJH14" s="109"/>
      <c r="TJI14" s="107" t="s">
        <v>1</v>
      </c>
      <c r="TJJ14" s="108"/>
      <c r="TJK14" s="108"/>
      <c r="TJL14" s="109"/>
      <c r="TJM14" s="107" t="s">
        <v>1</v>
      </c>
      <c r="TJN14" s="108"/>
      <c r="TJO14" s="108"/>
      <c r="TJP14" s="109"/>
      <c r="TJQ14" s="107" t="s">
        <v>1</v>
      </c>
      <c r="TJR14" s="108"/>
      <c r="TJS14" s="108"/>
      <c r="TJT14" s="109"/>
      <c r="TJU14" s="107" t="s">
        <v>1</v>
      </c>
      <c r="TJV14" s="108"/>
      <c r="TJW14" s="108"/>
      <c r="TJX14" s="109"/>
      <c r="TJY14" s="107" t="s">
        <v>1</v>
      </c>
      <c r="TJZ14" s="108"/>
      <c r="TKA14" s="108"/>
      <c r="TKB14" s="109"/>
      <c r="TKC14" s="107" t="s">
        <v>1</v>
      </c>
      <c r="TKD14" s="108"/>
      <c r="TKE14" s="108"/>
      <c r="TKF14" s="109"/>
      <c r="TKG14" s="107" t="s">
        <v>1</v>
      </c>
      <c r="TKH14" s="108"/>
      <c r="TKI14" s="108"/>
      <c r="TKJ14" s="109"/>
      <c r="TKK14" s="107" t="s">
        <v>1</v>
      </c>
      <c r="TKL14" s="108"/>
      <c r="TKM14" s="108"/>
      <c r="TKN14" s="109"/>
      <c r="TKO14" s="107" t="s">
        <v>1</v>
      </c>
      <c r="TKP14" s="108"/>
      <c r="TKQ14" s="108"/>
      <c r="TKR14" s="109"/>
      <c r="TKS14" s="107" t="s">
        <v>1</v>
      </c>
      <c r="TKT14" s="108"/>
      <c r="TKU14" s="108"/>
      <c r="TKV14" s="109"/>
      <c r="TKW14" s="107" t="s">
        <v>1</v>
      </c>
      <c r="TKX14" s="108"/>
      <c r="TKY14" s="108"/>
      <c r="TKZ14" s="109"/>
      <c r="TLA14" s="107" t="s">
        <v>1</v>
      </c>
      <c r="TLB14" s="108"/>
      <c r="TLC14" s="108"/>
      <c r="TLD14" s="109"/>
      <c r="TLE14" s="107" t="s">
        <v>1</v>
      </c>
      <c r="TLF14" s="108"/>
      <c r="TLG14" s="108"/>
      <c r="TLH14" s="109"/>
      <c r="TLI14" s="107" t="s">
        <v>1</v>
      </c>
      <c r="TLJ14" s="108"/>
      <c r="TLK14" s="108"/>
      <c r="TLL14" s="109"/>
      <c r="TLM14" s="107" t="s">
        <v>1</v>
      </c>
      <c r="TLN14" s="108"/>
      <c r="TLO14" s="108"/>
      <c r="TLP14" s="109"/>
      <c r="TLQ14" s="107" t="s">
        <v>1</v>
      </c>
      <c r="TLR14" s="108"/>
      <c r="TLS14" s="108"/>
      <c r="TLT14" s="109"/>
      <c r="TLU14" s="107" t="s">
        <v>1</v>
      </c>
      <c r="TLV14" s="108"/>
      <c r="TLW14" s="108"/>
      <c r="TLX14" s="109"/>
      <c r="TLY14" s="107" t="s">
        <v>1</v>
      </c>
      <c r="TLZ14" s="108"/>
      <c r="TMA14" s="108"/>
      <c r="TMB14" s="109"/>
      <c r="TMC14" s="107" t="s">
        <v>1</v>
      </c>
      <c r="TMD14" s="108"/>
      <c r="TME14" s="108"/>
      <c r="TMF14" s="109"/>
      <c r="TMG14" s="107" t="s">
        <v>1</v>
      </c>
      <c r="TMH14" s="108"/>
      <c r="TMI14" s="108"/>
      <c r="TMJ14" s="109"/>
      <c r="TMK14" s="107" t="s">
        <v>1</v>
      </c>
      <c r="TML14" s="108"/>
      <c r="TMM14" s="108"/>
      <c r="TMN14" s="109"/>
      <c r="TMO14" s="107" t="s">
        <v>1</v>
      </c>
      <c r="TMP14" s="108"/>
      <c r="TMQ14" s="108"/>
      <c r="TMR14" s="109"/>
      <c r="TMS14" s="107" t="s">
        <v>1</v>
      </c>
      <c r="TMT14" s="108"/>
      <c r="TMU14" s="108"/>
      <c r="TMV14" s="109"/>
      <c r="TMW14" s="107" t="s">
        <v>1</v>
      </c>
      <c r="TMX14" s="108"/>
      <c r="TMY14" s="108"/>
      <c r="TMZ14" s="109"/>
      <c r="TNA14" s="107" t="s">
        <v>1</v>
      </c>
      <c r="TNB14" s="108"/>
      <c r="TNC14" s="108"/>
      <c r="TND14" s="109"/>
      <c r="TNE14" s="107" t="s">
        <v>1</v>
      </c>
      <c r="TNF14" s="108"/>
      <c r="TNG14" s="108"/>
      <c r="TNH14" s="109"/>
      <c r="TNI14" s="107" t="s">
        <v>1</v>
      </c>
      <c r="TNJ14" s="108"/>
      <c r="TNK14" s="108"/>
      <c r="TNL14" s="109"/>
      <c r="TNM14" s="107" t="s">
        <v>1</v>
      </c>
      <c r="TNN14" s="108"/>
      <c r="TNO14" s="108"/>
      <c r="TNP14" s="109"/>
      <c r="TNQ14" s="107" t="s">
        <v>1</v>
      </c>
      <c r="TNR14" s="108"/>
      <c r="TNS14" s="108"/>
      <c r="TNT14" s="109"/>
      <c r="TNU14" s="107" t="s">
        <v>1</v>
      </c>
      <c r="TNV14" s="108"/>
      <c r="TNW14" s="108"/>
      <c r="TNX14" s="109"/>
      <c r="TNY14" s="107" t="s">
        <v>1</v>
      </c>
      <c r="TNZ14" s="108"/>
      <c r="TOA14" s="108"/>
      <c r="TOB14" s="109"/>
      <c r="TOC14" s="107" t="s">
        <v>1</v>
      </c>
      <c r="TOD14" s="108"/>
      <c r="TOE14" s="108"/>
      <c r="TOF14" s="109"/>
      <c r="TOG14" s="107" t="s">
        <v>1</v>
      </c>
      <c r="TOH14" s="108"/>
      <c r="TOI14" s="108"/>
      <c r="TOJ14" s="109"/>
      <c r="TOK14" s="107" t="s">
        <v>1</v>
      </c>
      <c r="TOL14" s="108"/>
      <c r="TOM14" s="108"/>
      <c r="TON14" s="109"/>
      <c r="TOO14" s="107" t="s">
        <v>1</v>
      </c>
      <c r="TOP14" s="108"/>
      <c r="TOQ14" s="108"/>
      <c r="TOR14" s="109"/>
      <c r="TOS14" s="107" t="s">
        <v>1</v>
      </c>
      <c r="TOT14" s="108"/>
      <c r="TOU14" s="108"/>
      <c r="TOV14" s="109"/>
      <c r="TOW14" s="107" t="s">
        <v>1</v>
      </c>
      <c r="TOX14" s="108"/>
      <c r="TOY14" s="108"/>
      <c r="TOZ14" s="109"/>
      <c r="TPA14" s="107" t="s">
        <v>1</v>
      </c>
      <c r="TPB14" s="108"/>
      <c r="TPC14" s="108"/>
      <c r="TPD14" s="109"/>
      <c r="TPE14" s="107" t="s">
        <v>1</v>
      </c>
      <c r="TPF14" s="108"/>
      <c r="TPG14" s="108"/>
      <c r="TPH14" s="109"/>
      <c r="TPI14" s="107" t="s">
        <v>1</v>
      </c>
      <c r="TPJ14" s="108"/>
      <c r="TPK14" s="108"/>
      <c r="TPL14" s="109"/>
      <c r="TPM14" s="107" t="s">
        <v>1</v>
      </c>
      <c r="TPN14" s="108"/>
      <c r="TPO14" s="108"/>
      <c r="TPP14" s="109"/>
      <c r="TPQ14" s="107" t="s">
        <v>1</v>
      </c>
      <c r="TPR14" s="108"/>
      <c r="TPS14" s="108"/>
      <c r="TPT14" s="109"/>
      <c r="TPU14" s="107" t="s">
        <v>1</v>
      </c>
      <c r="TPV14" s="108"/>
      <c r="TPW14" s="108"/>
      <c r="TPX14" s="109"/>
      <c r="TPY14" s="107" t="s">
        <v>1</v>
      </c>
      <c r="TPZ14" s="108"/>
      <c r="TQA14" s="108"/>
      <c r="TQB14" s="109"/>
      <c r="TQC14" s="107" t="s">
        <v>1</v>
      </c>
      <c r="TQD14" s="108"/>
      <c r="TQE14" s="108"/>
      <c r="TQF14" s="109"/>
      <c r="TQG14" s="107" t="s">
        <v>1</v>
      </c>
      <c r="TQH14" s="108"/>
      <c r="TQI14" s="108"/>
      <c r="TQJ14" s="109"/>
      <c r="TQK14" s="107" t="s">
        <v>1</v>
      </c>
      <c r="TQL14" s="108"/>
      <c r="TQM14" s="108"/>
      <c r="TQN14" s="109"/>
      <c r="TQO14" s="107" t="s">
        <v>1</v>
      </c>
      <c r="TQP14" s="108"/>
      <c r="TQQ14" s="108"/>
      <c r="TQR14" s="109"/>
      <c r="TQS14" s="107" t="s">
        <v>1</v>
      </c>
      <c r="TQT14" s="108"/>
      <c r="TQU14" s="108"/>
      <c r="TQV14" s="109"/>
      <c r="TQW14" s="107" t="s">
        <v>1</v>
      </c>
      <c r="TQX14" s="108"/>
      <c r="TQY14" s="108"/>
      <c r="TQZ14" s="109"/>
      <c r="TRA14" s="107" t="s">
        <v>1</v>
      </c>
      <c r="TRB14" s="108"/>
      <c r="TRC14" s="108"/>
      <c r="TRD14" s="109"/>
      <c r="TRE14" s="107" t="s">
        <v>1</v>
      </c>
      <c r="TRF14" s="108"/>
      <c r="TRG14" s="108"/>
      <c r="TRH14" s="109"/>
      <c r="TRI14" s="107" t="s">
        <v>1</v>
      </c>
      <c r="TRJ14" s="108"/>
      <c r="TRK14" s="108"/>
      <c r="TRL14" s="109"/>
      <c r="TRM14" s="107" t="s">
        <v>1</v>
      </c>
      <c r="TRN14" s="108"/>
      <c r="TRO14" s="108"/>
      <c r="TRP14" s="109"/>
      <c r="TRQ14" s="107" t="s">
        <v>1</v>
      </c>
      <c r="TRR14" s="108"/>
      <c r="TRS14" s="108"/>
      <c r="TRT14" s="109"/>
      <c r="TRU14" s="107" t="s">
        <v>1</v>
      </c>
      <c r="TRV14" s="108"/>
      <c r="TRW14" s="108"/>
      <c r="TRX14" s="109"/>
      <c r="TRY14" s="107" t="s">
        <v>1</v>
      </c>
      <c r="TRZ14" s="108"/>
      <c r="TSA14" s="108"/>
      <c r="TSB14" s="109"/>
      <c r="TSC14" s="107" t="s">
        <v>1</v>
      </c>
      <c r="TSD14" s="108"/>
      <c r="TSE14" s="108"/>
      <c r="TSF14" s="109"/>
      <c r="TSG14" s="107" t="s">
        <v>1</v>
      </c>
      <c r="TSH14" s="108"/>
      <c r="TSI14" s="108"/>
      <c r="TSJ14" s="109"/>
      <c r="TSK14" s="107" t="s">
        <v>1</v>
      </c>
      <c r="TSL14" s="108"/>
      <c r="TSM14" s="108"/>
      <c r="TSN14" s="109"/>
      <c r="TSO14" s="107" t="s">
        <v>1</v>
      </c>
      <c r="TSP14" s="108"/>
      <c r="TSQ14" s="108"/>
      <c r="TSR14" s="109"/>
      <c r="TSS14" s="107" t="s">
        <v>1</v>
      </c>
      <c r="TST14" s="108"/>
      <c r="TSU14" s="108"/>
      <c r="TSV14" s="109"/>
      <c r="TSW14" s="107" t="s">
        <v>1</v>
      </c>
      <c r="TSX14" s="108"/>
      <c r="TSY14" s="108"/>
      <c r="TSZ14" s="109"/>
      <c r="TTA14" s="107" t="s">
        <v>1</v>
      </c>
      <c r="TTB14" s="108"/>
      <c r="TTC14" s="108"/>
      <c r="TTD14" s="109"/>
      <c r="TTE14" s="107" t="s">
        <v>1</v>
      </c>
      <c r="TTF14" s="108"/>
      <c r="TTG14" s="108"/>
      <c r="TTH14" s="109"/>
      <c r="TTI14" s="107" t="s">
        <v>1</v>
      </c>
      <c r="TTJ14" s="108"/>
      <c r="TTK14" s="108"/>
      <c r="TTL14" s="109"/>
      <c r="TTM14" s="107" t="s">
        <v>1</v>
      </c>
      <c r="TTN14" s="108"/>
      <c r="TTO14" s="108"/>
      <c r="TTP14" s="109"/>
      <c r="TTQ14" s="107" t="s">
        <v>1</v>
      </c>
      <c r="TTR14" s="108"/>
      <c r="TTS14" s="108"/>
      <c r="TTT14" s="109"/>
      <c r="TTU14" s="107" t="s">
        <v>1</v>
      </c>
      <c r="TTV14" s="108"/>
      <c r="TTW14" s="108"/>
      <c r="TTX14" s="109"/>
      <c r="TTY14" s="107" t="s">
        <v>1</v>
      </c>
      <c r="TTZ14" s="108"/>
      <c r="TUA14" s="108"/>
      <c r="TUB14" s="109"/>
      <c r="TUC14" s="107" t="s">
        <v>1</v>
      </c>
      <c r="TUD14" s="108"/>
      <c r="TUE14" s="108"/>
      <c r="TUF14" s="109"/>
      <c r="TUG14" s="107" t="s">
        <v>1</v>
      </c>
      <c r="TUH14" s="108"/>
      <c r="TUI14" s="108"/>
      <c r="TUJ14" s="109"/>
      <c r="TUK14" s="107" t="s">
        <v>1</v>
      </c>
      <c r="TUL14" s="108"/>
      <c r="TUM14" s="108"/>
      <c r="TUN14" s="109"/>
      <c r="TUO14" s="107" t="s">
        <v>1</v>
      </c>
      <c r="TUP14" s="108"/>
      <c r="TUQ14" s="108"/>
      <c r="TUR14" s="109"/>
      <c r="TUS14" s="107" t="s">
        <v>1</v>
      </c>
      <c r="TUT14" s="108"/>
      <c r="TUU14" s="108"/>
      <c r="TUV14" s="109"/>
      <c r="TUW14" s="107" t="s">
        <v>1</v>
      </c>
      <c r="TUX14" s="108"/>
      <c r="TUY14" s="108"/>
      <c r="TUZ14" s="109"/>
      <c r="TVA14" s="107" t="s">
        <v>1</v>
      </c>
      <c r="TVB14" s="108"/>
      <c r="TVC14" s="108"/>
      <c r="TVD14" s="109"/>
      <c r="TVE14" s="107" t="s">
        <v>1</v>
      </c>
      <c r="TVF14" s="108"/>
      <c r="TVG14" s="108"/>
      <c r="TVH14" s="109"/>
      <c r="TVI14" s="107" t="s">
        <v>1</v>
      </c>
      <c r="TVJ14" s="108"/>
      <c r="TVK14" s="108"/>
      <c r="TVL14" s="109"/>
      <c r="TVM14" s="107" t="s">
        <v>1</v>
      </c>
      <c r="TVN14" s="108"/>
      <c r="TVO14" s="108"/>
      <c r="TVP14" s="109"/>
      <c r="TVQ14" s="107" t="s">
        <v>1</v>
      </c>
      <c r="TVR14" s="108"/>
      <c r="TVS14" s="108"/>
      <c r="TVT14" s="109"/>
      <c r="TVU14" s="107" t="s">
        <v>1</v>
      </c>
      <c r="TVV14" s="108"/>
      <c r="TVW14" s="108"/>
      <c r="TVX14" s="109"/>
      <c r="TVY14" s="107" t="s">
        <v>1</v>
      </c>
      <c r="TVZ14" s="108"/>
      <c r="TWA14" s="108"/>
      <c r="TWB14" s="109"/>
      <c r="TWC14" s="107" t="s">
        <v>1</v>
      </c>
      <c r="TWD14" s="108"/>
      <c r="TWE14" s="108"/>
      <c r="TWF14" s="109"/>
      <c r="TWG14" s="107" t="s">
        <v>1</v>
      </c>
      <c r="TWH14" s="108"/>
      <c r="TWI14" s="108"/>
      <c r="TWJ14" s="109"/>
      <c r="TWK14" s="107" t="s">
        <v>1</v>
      </c>
      <c r="TWL14" s="108"/>
      <c r="TWM14" s="108"/>
      <c r="TWN14" s="109"/>
      <c r="TWO14" s="107" t="s">
        <v>1</v>
      </c>
      <c r="TWP14" s="108"/>
      <c r="TWQ14" s="108"/>
      <c r="TWR14" s="109"/>
      <c r="TWS14" s="107" t="s">
        <v>1</v>
      </c>
      <c r="TWT14" s="108"/>
      <c r="TWU14" s="108"/>
      <c r="TWV14" s="109"/>
      <c r="TWW14" s="107" t="s">
        <v>1</v>
      </c>
      <c r="TWX14" s="108"/>
      <c r="TWY14" s="108"/>
      <c r="TWZ14" s="109"/>
      <c r="TXA14" s="107" t="s">
        <v>1</v>
      </c>
      <c r="TXB14" s="108"/>
      <c r="TXC14" s="108"/>
      <c r="TXD14" s="109"/>
      <c r="TXE14" s="107" t="s">
        <v>1</v>
      </c>
      <c r="TXF14" s="108"/>
      <c r="TXG14" s="108"/>
      <c r="TXH14" s="109"/>
      <c r="TXI14" s="107" t="s">
        <v>1</v>
      </c>
      <c r="TXJ14" s="108"/>
      <c r="TXK14" s="108"/>
      <c r="TXL14" s="109"/>
      <c r="TXM14" s="107" t="s">
        <v>1</v>
      </c>
      <c r="TXN14" s="108"/>
      <c r="TXO14" s="108"/>
      <c r="TXP14" s="109"/>
      <c r="TXQ14" s="107" t="s">
        <v>1</v>
      </c>
      <c r="TXR14" s="108"/>
      <c r="TXS14" s="108"/>
      <c r="TXT14" s="109"/>
      <c r="TXU14" s="107" t="s">
        <v>1</v>
      </c>
      <c r="TXV14" s="108"/>
      <c r="TXW14" s="108"/>
      <c r="TXX14" s="109"/>
      <c r="TXY14" s="107" t="s">
        <v>1</v>
      </c>
      <c r="TXZ14" s="108"/>
      <c r="TYA14" s="108"/>
      <c r="TYB14" s="109"/>
      <c r="TYC14" s="107" t="s">
        <v>1</v>
      </c>
      <c r="TYD14" s="108"/>
      <c r="TYE14" s="108"/>
      <c r="TYF14" s="109"/>
      <c r="TYG14" s="107" t="s">
        <v>1</v>
      </c>
      <c r="TYH14" s="108"/>
      <c r="TYI14" s="108"/>
      <c r="TYJ14" s="109"/>
      <c r="TYK14" s="107" t="s">
        <v>1</v>
      </c>
      <c r="TYL14" s="108"/>
      <c r="TYM14" s="108"/>
      <c r="TYN14" s="109"/>
      <c r="TYO14" s="107" t="s">
        <v>1</v>
      </c>
      <c r="TYP14" s="108"/>
      <c r="TYQ14" s="108"/>
      <c r="TYR14" s="109"/>
      <c r="TYS14" s="107" t="s">
        <v>1</v>
      </c>
      <c r="TYT14" s="108"/>
      <c r="TYU14" s="108"/>
      <c r="TYV14" s="109"/>
      <c r="TYW14" s="107" t="s">
        <v>1</v>
      </c>
      <c r="TYX14" s="108"/>
      <c r="TYY14" s="108"/>
      <c r="TYZ14" s="109"/>
      <c r="TZA14" s="107" t="s">
        <v>1</v>
      </c>
      <c r="TZB14" s="108"/>
      <c r="TZC14" s="108"/>
      <c r="TZD14" s="109"/>
      <c r="TZE14" s="107" t="s">
        <v>1</v>
      </c>
      <c r="TZF14" s="108"/>
      <c r="TZG14" s="108"/>
      <c r="TZH14" s="109"/>
      <c r="TZI14" s="107" t="s">
        <v>1</v>
      </c>
      <c r="TZJ14" s="108"/>
      <c r="TZK14" s="108"/>
      <c r="TZL14" s="109"/>
      <c r="TZM14" s="107" t="s">
        <v>1</v>
      </c>
      <c r="TZN14" s="108"/>
      <c r="TZO14" s="108"/>
      <c r="TZP14" s="109"/>
      <c r="TZQ14" s="107" t="s">
        <v>1</v>
      </c>
      <c r="TZR14" s="108"/>
      <c r="TZS14" s="108"/>
      <c r="TZT14" s="109"/>
      <c r="TZU14" s="107" t="s">
        <v>1</v>
      </c>
      <c r="TZV14" s="108"/>
      <c r="TZW14" s="108"/>
      <c r="TZX14" s="109"/>
      <c r="TZY14" s="107" t="s">
        <v>1</v>
      </c>
      <c r="TZZ14" s="108"/>
      <c r="UAA14" s="108"/>
      <c r="UAB14" s="109"/>
      <c r="UAC14" s="107" t="s">
        <v>1</v>
      </c>
      <c r="UAD14" s="108"/>
      <c r="UAE14" s="108"/>
      <c r="UAF14" s="109"/>
      <c r="UAG14" s="107" t="s">
        <v>1</v>
      </c>
      <c r="UAH14" s="108"/>
      <c r="UAI14" s="108"/>
      <c r="UAJ14" s="109"/>
      <c r="UAK14" s="107" t="s">
        <v>1</v>
      </c>
      <c r="UAL14" s="108"/>
      <c r="UAM14" s="108"/>
      <c r="UAN14" s="109"/>
      <c r="UAO14" s="107" t="s">
        <v>1</v>
      </c>
      <c r="UAP14" s="108"/>
      <c r="UAQ14" s="108"/>
      <c r="UAR14" s="109"/>
      <c r="UAS14" s="107" t="s">
        <v>1</v>
      </c>
      <c r="UAT14" s="108"/>
      <c r="UAU14" s="108"/>
      <c r="UAV14" s="109"/>
      <c r="UAW14" s="107" t="s">
        <v>1</v>
      </c>
      <c r="UAX14" s="108"/>
      <c r="UAY14" s="108"/>
      <c r="UAZ14" s="109"/>
      <c r="UBA14" s="107" t="s">
        <v>1</v>
      </c>
      <c r="UBB14" s="108"/>
      <c r="UBC14" s="108"/>
      <c r="UBD14" s="109"/>
      <c r="UBE14" s="107" t="s">
        <v>1</v>
      </c>
      <c r="UBF14" s="108"/>
      <c r="UBG14" s="108"/>
      <c r="UBH14" s="109"/>
      <c r="UBI14" s="107" t="s">
        <v>1</v>
      </c>
      <c r="UBJ14" s="108"/>
      <c r="UBK14" s="108"/>
      <c r="UBL14" s="109"/>
      <c r="UBM14" s="107" t="s">
        <v>1</v>
      </c>
      <c r="UBN14" s="108"/>
      <c r="UBO14" s="108"/>
      <c r="UBP14" s="109"/>
      <c r="UBQ14" s="107" t="s">
        <v>1</v>
      </c>
      <c r="UBR14" s="108"/>
      <c r="UBS14" s="108"/>
      <c r="UBT14" s="109"/>
      <c r="UBU14" s="107" t="s">
        <v>1</v>
      </c>
      <c r="UBV14" s="108"/>
      <c r="UBW14" s="108"/>
      <c r="UBX14" s="109"/>
      <c r="UBY14" s="107" t="s">
        <v>1</v>
      </c>
      <c r="UBZ14" s="108"/>
      <c r="UCA14" s="108"/>
      <c r="UCB14" s="109"/>
      <c r="UCC14" s="107" t="s">
        <v>1</v>
      </c>
      <c r="UCD14" s="108"/>
      <c r="UCE14" s="108"/>
      <c r="UCF14" s="109"/>
      <c r="UCG14" s="107" t="s">
        <v>1</v>
      </c>
      <c r="UCH14" s="108"/>
      <c r="UCI14" s="108"/>
      <c r="UCJ14" s="109"/>
      <c r="UCK14" s="107" t="s">
        <v>1</v>
      </c>
      <c r="UCL14" s="108"/>
      <c r="UCM14" s="108"/>
      <c r="UCN14" s="109"/>
      <c r="UCO14" s="107" t="s">
        <v>1</v>
      </c>
      <c r="UCP14" s="108"/>
      <c r="UCQ14" s="108"/>
      <c r="UCR14" s="109"/>
      <c r="UCS14" s="107" t="s">
        <v>1</v>
      </c>
      <c r="UCT14" s="108"/>
      <c r="UCU14" s="108"/>
      <c r="UCV14" s="109"/>
      <c r="UCW14" s="107" t="s">
        <v>1</v>
      </c>
      <c r="UCX14" s="108"/>
      <c r="UCY14" s="108"/>
      <c r="UCZ14" s="109"/>
      <c r="UDA14" s="107" t="s">
        <v>1</v>
      </c>
      <c r="UDB14" s="108"/>
      <c r="UDC14" s="108"/>
      <c r="UDD14" s="109"/>
      <c r="UDE14" s="107" t="s">
        <v>1</v>
      </c>
      <c r="UDF14" s="108"/>
      <c r="UDG14" s="108"/>
      <c r="UDH14" s="109"/>
      <c r="UDI14" s="107" t="s">
        <v>1</v>
      </c>
      <c r="UDJ14" s="108"/>
      <c r="UDK14" s="108"/>
      <c r="UDL14" s="109"/>
      <c r="UDM14" s="107" t="s">
        <v>1</v>
      </c>
      <c r="UDN14" s="108"/>
      <c r="UDO14" s="108"/>
      <c r="UDP14" s="109"/>
      <c r="UDQ14" s="107" t="s">
        <v>1</v>
      </c>
      <c r="UDR14" s="108"/>
      <c r="UDS14" s="108"/>
      <c r="UDT14" s="109"/>
      <c r="UDU14" s="107" t="s">
        <v>1</v>
      </c>
      <c r="UDV14" s="108"/>
      <c r="UDW14" s="108"/>
      <c r="UDX14" s="109"/>
      <c r="UDY14" s="107" t="s">
        <v>1</v>
      </c>
      <c r="UDZ14" s="108"/>
      <c r="UEA14" s="108"/>
      <c r="UEB14" s="109"/>
      <c r="UEC14" s="107" t="s">
        <v>1</v>
      </c>
      <c r="UED14" s="108"/>
      <c r="UEE14" s="108"/>
      <c r="UEF14" s="109"/>
      <c r="UEG14" s="107" t="s">
        <v>1</v>
      </c>
      <c r="UEH14" s="108"/>
      <c r="UEI14" s="108"/>
      <c r="UEJ14" s="109"/>
      <c r="UEK14" s="107" t="s">
        <v>1</v>
      </c>
      <c r="UEL14" s="108"/>
      <c r="UEM14" s="108"/>
      <c r="UEN14" s="109"/>
      <c r="UEO14" s="107" t="s">
        <v>1</v>
      </c>
      <c r="UEP14" s="108"/>
      <c r="UEQ14" s="108"/>
      <c r="UER14" s="109"/>
      <c r="UES14" s="107" t="s">
        <v>1</v>
      </c>
      <c r="UET14" s="108"/>
      <c r="UEU14" s="108"/>
      <c r="UEV14" s="109"/>
      <c r="UEW14" s="107" t="s">
        <v>1</v>
      </c>
      <c r="UEX14" s="108"/>
      <c r="UEY14" s="108"/>
      <c r="UEZ14" s="109"/>
      <c r="UFA14" s="107" t="s">
        <v>1</v>
      </c>
      <c r="UFB14" s="108"/>
      <c r="UFC14" s="108"/>
      <c r="UFD14" s="109"/>
      <c r="UFE14" s="107" t="s">
        <v>1</v>
      </c>
      <c r="UFF14" s="108"/>
      <c r="UFG14" s="108"/>
      <c r="UFH14" s="109"/>
      <c r="UFI14" s="107" t="s">
        <v>1</v>
      </c>
      <c r="UFJ14" s="108"/>
      <c r="UFK14" s="108"/>
      <c r="UFL14" s="109"/>
      <c r="UFM14" s="107" t="s">
        <v>1</v>
      </c>
      <c r="UFN14" s="108"/>
      <c r="UFO14" s="108"/>
      <c r="UFP14" s="109"/>
      <c r="UFQ14" s="107" t="s">
        <v>1</v>
      </c>
      <c r="UFR14" s="108"/>
      <c r="UFS14" s="108"/>
      <c r="UFT14" s="109"/>
      <c r="UFU14" s="107" t="s">
        <v>1</v>
      </c>
      <c r="UFV14" s="108"/>
      <c r="UFW14" s="108"/>
      <c r="UFX14" s="109"/>
      <c r="UFY14" s="107" t="s">
        <v>1</v>
      </c>
      <c r="UFZ14" s="108"/>
      <c r="UGA14" s="108"/>
      <c r="UGB14" s="109"/>
      <c r="UGC14" s="107" t="s">
        <v>1</v>
      </c>
      <c r="UGD14" s="108"/>
      <c r="UGE14" s="108"/>
      <c r="UGF14" s="109"/>
      <c r="UGG14" s="107" t="s">
        <v>1</v>
      </c>
      <c r="UGH14" s="108"/>
      <c r="UGI14" s="108"/>
      <c r="UGJ14" s="109"/>
      <c r="UGK14" s="107" t="s">
        <v>1</v>
      </c>
      <c r="UGL14" s="108"/>
      <c r="UGM14" s="108"/>
      <c r="UGN14" s="109"/>
      <c r="UGO14" s="107" t="s">
        <v>1</v>
      </c>
      <c r="UGP14" s="108"/>
      <c r="UGQ14" s="108"/>
      <c r="UGR14" s="109"/>
      <c r="UGS14" s="107" t="s">
        <v>1</v>
      </c>
      <c r="UGT14" s="108"/>
      <c r="UGU14" s="108"/>
      <c r="UGV14" s="109"/>
      <c r="UGW14" s="107" t="s">
        <v>1</v>
      </c>
      <c r="UGX14" s="108"/>
      <c r="UGY14" s="108"/>
      <c r="UGZ14" s="109"/>
      <c r="UHA14" s="107" t="s">
        <v>1</v>
      </c>
      <c r="UHB14" s="108"/>
      <c r="UHC14" s="108"/>
      <c r="UHD14" s="109"/>
      <c r="UHE14" s="107" t="s">
        <v>1</v>
      </c>
      <c r="UHF14" s="108"/>
      <c r="UHG14" s="108"/>
      <c r="UHH14" s="109"/>
      <c r="UHI14" s="107" t="s">
        <v>1</v>
      </c>
      <c r="UHJ14" s="108"/>
      <c r="UHK14" s="108"/>
      <c r="UHL14" s="109"/>
      <c r="UHM14" s="107" t="s">
        <v>1</v>
      </c>
      <c r="UHN14" s="108"/>
      <c r="UHO14" s="108"/>
      <c r="UHP14" s="109"/>
      <c r="UHQ14" s="107" t="s">
        <v>1</v>
      </c>
      <c r="UHR14" s="108"/>
      <c r="UHS14" s="108"/>
      <c r="UHT14" s="109"/>
      <c r="UHU14" s="107" t="s">
        <v>1</v>
      </c>
      <c r="UHV14" s="108"/>
      <c r="UHW14" s="108"/>
      <c r="UHX14" s="109"/>
      <c r="UHY14" s="107" t="s">
        <v>1</v>
      </c>
      <c r="UHZ14" s="108"/>
      <c r="UIA14" s="108"/>
      <c r="UIB14" s="109"/>
      <c r="UIC14" s="107" t="s">
        <v>1</v>
      </c>
      <c r="UID14" s="108"/>
      <c r="UIE14" s="108"/>
      <c r="UIF14" s="109"/>
      <c r="UIG14" s="107" t="s">
        <v>1</v>
      </c>
      <c r="UIH14" s="108"/>
      <c r="UII14" s="108"/>
      <c r="UIJ14" s="109"/>
      <c r="UIK14" s="107" t="s">
        <v>1</v>
      </c>
      <c r="UIL14" s="108"/>
      <c r="UIM14" s="108"/>
      <c r="UIN14" s="109"/>
      <c r="UIO14" s="107" t="s">
        <v>1</v>
      </c>
      <c r="UIP14" s="108"/>
      <c r="UIQ14" s="108"/>
      <c r="UIR14" s="109"/>
      <c r="UIS14" s="107" t="s">
        <v>1</v>
      </c>
      <c r="UIT14" s="108"/>
      <c r="UIU14" s="108"/>
      <c r="UIV14" s="109"/>
      <c r="UIW14" s="107" t="s">
        <v>1</v>
      </c>
      <c r="UIX14" s="108"/>
      <c r="UIY14" s="108"/>
      <c r="UIZ14" s="109"/>
      <c r="UJA14" s="107" t="s">
        <v>1</v>
      </c>
      <c r="UJB14" s="108"/>
      <c r="UJC14" s="108"/>
      <c r="UJD14" s="109"/>
      <c r="UJE14" s="107" t="s">
        <v>1</v>
      </c>
      <c r="UJF14" s="108"/>
      <c r="UJG14" s="108"/>
      <c r="UJH14" s="109"/>
      <c r="UJI14" s="107" t="s">
        <v>1</v>
      </c>
      <c r="UJJ14" s="108"/>
      <c r="UJK14" s="108"/>
      <c r="UJL14" s="109"/>
      <c r="UJM14" s="107" t="s">
        <v>1</v>
      </c>
      <c r="UJN14" s="108"/>
      <c r="UJO14" s="108"/>
      <c r="UJP14" s="109"/>
      <c r="UJQ14" s="107" t="s">
        <v>1</v>
      </c>
      <c r="UJR14" s="108"/>
      <c r="UJS14" s="108"/>
      <c r="UJT14" s="109"/>
      <c r="UJU14" s="107" t="s">
        <v>1</v>
      </c>
      <c r="UJV14" s="108"/>
      <c r="UJW14" s="108"/>
      <c r="UJX14" s="109"/>
      <c r="UJY14" s="107" t="s">
        <v>1</v>
      </c>
      <c r="UJZ14" s="108"/>
      <c r="UKA14" s="108"/>
      <c r="UKB14" s="109"/>
      <c r="UKC14" s="107" t="s">
        <v>1</v>
      </c>
      <c r="UKD14" s="108"/>
      <c r="UKE14" s="108"/>
      <c r="UKF14" s="109"/>
      <c r="UKG14" s="107" t="s">
        <v>1</v>
      </c>
      <c r="UKH14" s="108"/>
      <c r="UKI14" s="108"/>
      <c r="UKJ14" s="109"/>
      <c r="UKK14" s="107" t="s">
        <v>1</v>
      </c>
      <c r="UKL14" s="108"/>
      <c r="UKM14" s="108"/>
      <c r="UKN14" s="109"/>
      <c r="UKO14" s="107" t="s">
        <v>1</v>
      </c>
      <c r="UKP14" s="108"/>
      <c r="UKQ14" s="108"/>
      <c r="UKR14" s="109"/>
      <c r="UKS14" s="107" t="s">
        <v>1</v>
      </c>
      <c r="UKT14" s="108"/>
      <c r="UKU14" s="108"/>
      <c r="UKV14" s="109"/>
      <c r="UKW14" s="107" t="s">
        <v>1</v>
      </c>
      <c r="UKX14" s="108"/>
      <c r="UKY14" s="108"/>
      <c r="UKZ14" s="109"/>
      <c r="ULA14" s="107" t="s">
        <v>1</v>
      </c>
      <c r="ULB14" s="108"/>
      <c r="ULC14" s="108"/>
      <c r="ULD14" s="109"/>
      <c r="ULE14" s="107" t="s">
        <v>1</v>
      </c>
      <c r="ULF14" s="108"/>
      <c r="ULG14" s="108"/>
      <c r="ULH14" s="109"/>
      <c r="ULI14" s="107" t="s">
        <v>1</v>
      </c>
      <c r="ULJ14" s="108"/>
      <c r="ULK14" s="108"/>
      <c r="ULL14" s="109"/>
      <c r="ULM14" s="107" t="s">
        <v>1</v>
      </c>
      <c r="ULN14" s="108"/>
      <c r="ULO14" s="108"/>
      <c r="ULP14" s="109"/>
      <c r="ULQ14" s="107" t="s">
        <v>1</v>
      </c>
      <c r="ULR14" s="108"/>
      <c r="ULS14" s="108"/>
      <c r="ULT14" s="109"/>
      <c r="ULU14" s="107" t="s">
        <v>1</v>
      </c>
      <c r="ULV14" s="108"/>
      <c r="ULW14" s="108"/>
      <c r="ULX14" s="109"/>
      <c r="ULY14" s="107" t="s">
        <v>1</v>
      </c>
      <c r="ULZ14" s="108"/>
      <c r="UMA14" s="108"/>
      <c r="UMB14" s="109"/>
      <c r="UMC14" s="107" t="s">
        <v>1</v>
      </c>
      <c r="UMD14" s="108"/>
      <c r="UME14" s="108"/>
      <c r="UMF14" s="109"/>
      <c r="UMG14" s="107" t="s">
        <v>1</v>
      </c>
      <c r="UMH14" s="108"/>
      <c r="UMI14" s="108"/>
      <c r="UMJ14" s="109"/>
      <c r="UMK14" s="107" t="s">
        <v>1</v>
      </c>
      <c r="UML14" s="108"/>
      <c r="UMM14" s="108"/>
      <c r="UMN14" s="109"/>
      <c r="UMO14" s="107" t="s">
        <v>1</v>
      </c>
      <c r="UMP14" s="108"/>
      <c r="UMQ14" s="108"/>
      <c r="UMR14" s="109"/>
      <c r="UMS14" s="107" t="s">
        <v>1</v>
      </c>
      <c r="UMT14" s="108"/>
      <c r="UMU14" s="108"/>
      <c r="UMV14" s="109"/>
      <c r="UMW14" s="107" t="s">
        <v>1</v>
      </c>
      <c r="UMX14" s="108"/>
      <c r="UMY14" s="108"/>
      <c r="UMZ14" s="109"/>
      <c r="UNA14" s="107" t="s">
        <v>1</v>
      </c>
      <c r="UNB14" s="108"/>
      <c r="UNC14" s="108"/>
      <c r="UND14" s="109"/>
      <c r="UNE14" s="107" t="s">
        <v>1</v>
      </c>
      <c r="UNF14" s="108"/>
      <c r="UNG14" s="108"/>
      <c r="UNH14" s="109"/>
      <c r="UNI14" s="107" t="s">
        <v>1</v>
      </c>
      <c r="UNJ14" s="108"/>
      <c r="UNK14" s="108"/>
      <c r="UNL14" s="109"/>
      <c r="UNM14" s="107" t="s">
        <v>1</v>
      </c>
      <c r="UNN14" s="108"/>
      <c r="UNO14" s="108"/>
      <c r="UNP14" s="109"/>
      <c r="UNQ14" s="107" t="s">
        <v>1</v>
      </c>
      <c r="UNR14" s="108"/>
      <c r="UNS14" s="108"/>
      <c r="UNT14" s="109"/>
      <c r="UNU14" s="107" t="s">
        <v>1</v>
      </c>
      <c r="UNV14" s="108"/>
      <c r="UNW14" s="108"/>
      <c r="UNX14" s="109"/>
      <c r="UNY14" s="107" t="s">
        <v>1</v>
      </c>
      <c r="UNZ14" s="108"/>
      <c r="UOA14" s="108"/>
      <c r="UOB14" s="109"/>
      <c r="UOC14" s="107" t="s">
        <v>1</v>
      </c>
      <c r="UOD14" s="108"/>
      <c r="UOE14" s="108"/>
      <c r="UOF14" s="109"/>
      <c r="UOG14" s="107" t="s">
        <v>1</v>
      </c>
      <c r="UOH14" s="108"/>
      <c r="UOI14" s="108"/>
      <c r="UOJ14" s="109"/>
      <c r="UOK14" s="107" t="s">
        <v>1</v>
      </c>
      <c r="UOL14" s="108"/>
      <c r="UOM14" s="108"/>
      <c r="UON14" s="109"/>
      <c r="UOO14" s="107" t="s">
        <v>1</v>
      </c>
      <c r="UOP14" s="108"/>
      <c r="UOQ14" s="108"/>
      <c r="UOR14" s="109"/>
      <c r="UOS14" s="107" t="s">
        <v>1</v>
      </c>
      <c r="UOT14" s="108"/>
      <c r="UOU14" s="108"/>
      <c r="UOV14" s="109"/>
      <c r="UOW14" s="107" t="s">
        <v>1</v>
      </c>
      <c r="UOX14" s="108"/>
      <c r="UOY14" s="108"/>
      <c r="UOZ14" s="109"/>
      <c r="UPA14" s="107" t="s">
        <v>1</v>
      </c>
      <c r="UPB14" s="108"/>
      <c r="UPC14" s="108"/>
      <c r="UPD14" s="109"/>
      <c r="UPE14" s="107" t="s">
        <v>1</v>
      </c>
      <c r="UPF14" s="108"/>
      <c r="UPG14" s="108"/>
      <c r="UPH14" s="109"/>
      <c r="UPI14" s="107" t="s">
        <v>1</v>
      </c>
      <c r="UPJ14" s="108"/>
      <c r="UPK14" s="108"/>
      <c r="UPL14" s="109"/>
      <c r="UPM14" s="107" t="s">
        <v>1</v>
      </c>
      <c r="UPN14" s="108"/>
      <c r="UPO14" s="108"/>
      <c r="UPP14" s="109"/>
      <c r="UPQ14" s="107" t="s">
        <v>1</v>
      </c>
      <c r="UPR14" s="108"/>
      <c r="UPS14" s="108"/>
      <c r="UPT14" s="109"/>
      <c r="UPU14" s="107" t="s">
        <v>1</v>
      </c>
      <c r="UPV14" s="108"/>
      <c r="UPW14" s="108"/>
      <c r="UPX14" s="109"/>
      <c r="UPY14" s="107" t="s">
        <v>1</v>
      </c>
      <c r="UPZ14" s="108"/>
      <c r="UQA14" s="108"/>
      <c r="UQB14" s="109"/>
      <c r="UQC14" s="107" t="s">
        <v>1</v>
      </c>
      <c r="UQD14" s="108"/>
      <c r="UQE14" s="108"/>
      <c r="UQF14" s="109"/>
      <c r="UQG14" s="107" t="s">
        <v>1</v>
      </c>
      <c r="UQH14" s="108"/>
      <c r="UQI14" s="108"/>
      <c r="UQJ14" s="109"/>
      <c r="UQK14" s="107" t="s">
        <v>1</v>
      </c>
      <c r="UQL14" s="108"/>
      <c r="UQM14" s="108"/>
      <c r="UQN14" s="109"/>
      <c r="UQO14" s="107" t="s">
        <v>1</v>
      </c>
      <c r="UQP14" s="108"/>
      <c r="UQQ14" s="108"/>
      <c r="UQR14" s="109"/>
      <c r="UQS14" s="107" t="s">
        <v>1</v>
      </c>
      <c r="UQT14" s="108"/>
      <c r="UQU14" s="108"/>
      <c r="UQV14" s="109"/>
      <c r="UQW14" s="107" t="s">
        <v>1</v>
      </c>
      <c r="UQX14" s="108"/>
      <c r="UQY14" s="108"/>
      <c r="UQZ14" s="109"/>
      <c r="URA14" s="107" t="s">
        <v>1</v>
      </c>
      <c r="URB14" s="108"/>
      <c r="URC14" s="108"/>
      <c r="URD14" s="109"/>
      <c r="URE14" s="107" t="s">
        <v>1</v>
      </c>
      <c r="URF14" s="108"/>
      <c r="URG14" s="108"/>
      <c r="URH14" s="109"/>
      <c r="URI14" s="107" t="s">
        <v>1</v>
      </c>
      <c r="URJ14" s="108"/>
      <c r="URK14" s="108"/>
      <c r="URL14" s="109"/>
      <c r="URM14" s="107" t="s">
        <v>1</v>
      </c>
      <c r="URN14" s="108"/>
      <c r="URO14" s="108"/>
      <c r="URP14" s="109"/>
      <c r="URQ14" s="107" t="s">
        <v>1</v>
      </c>
      <c r="URR14" s="108"/>
      <c r="URS14" s="108"/>
      <c r="URT14" s="109"/>
      <c r="URU14" s="107" t="s">
        <v>1</v>
      </c>
      <c r="URV14" s="108"/>
      <c r="URW14" s="108"/>
      <c r="URX14" s="109"/>
      <c r="URY14" s="107" t="s">
        <v>1</v>
      </c>
      <c r="URZ14" s="108"/>
      <c r="USA14" s="108"/>
      <c r="USB14" s="109"/>
      <c r="USC14" s="107" t="s">
        <v>1</v>
      </c>
      <c r="USD14" s="108"/>
      <c r="USE14" s="108"/>
      <c r="USF14" s="109"/>
      <c r="USG14" s="107" t="s">
        <v>1</v>
      </c>
      <c r="USH14" s="108"/>
      <c r="USI14" s="108"/>
      <c r="USJ14" s="109"/>
      <c r="USK14" s="107" t="s">
        <v>1</v>
      </c>
      <c r="USL14" s="108"/>
      <c r="USM14" s="108"/>
      <c r="USN14" s="109"/>
      <c r="USO14" s="107" t="s">
        <v>1</v>
      </c>
      <c r="USP14" s="108"/>
      <c r="USQ14" s="108"/>
      <c r="USR14" s="109"/>
      <c r="USS14" s="107" t="s">
        <v>1</v>
      </c>
      <c r="UST14" s="108"/>
      <c r="USU14" s="108"/>
      <c r="USV14" s="109"/>
      <c r="USW14" s="107" t="s">
        <v>1</v>
      </c>
      <c r="USX14" s="108"/>
      <c r="USY14" s="108"/>
      <c r="USZ14" s="109"/>
      <c r="UTA14" s="107" t="s">
        <v>1</v>
      </c>
      <c r="UTB14" s="108"/>
      <c r="UTC14" s="108"/>
      <c r="UTD14" s="109"/>
      <c r="UTE14" s="107" t="s">
        <v>1</v>
      </c>
      <c r="UTF14" s="108"/>
      <c r="UTG14" s="108"/>
      <c r="UTH14" s="109"/>
      <c r="UTI14" s="107" t="s">
        <v>1</v>
      </c>
      <c r="UTJ14" s="108"/>
      <c r="UTK14" s="108"/>
      <c r="UTL14" s="109"/>
      <c r="UTM14" s="107" t="s">
        <v>1</v>
      </c>
      <c r="UTN14" s="108"/>
      <c r="UTO14" s="108"/>
      <c r="UTP14" s="109"/>
      <c r="UTQ14" s="107" t="s">
        <v>1</v>
      </c>
      <c r="UTR14" s="108"/>
      <c r="UTS14" s="108"/>
      <c r="UTT14" s="109"/>
      <c r="UTU14" s="107" t="s">
        <v>1</v>
      </c>
      <c r="UTV14" s="108"/>
      <c r="UTW14" s="108"/>
      <c r="UTX14" s="109"/>
      <c r="UTY14" s="107" t="s">
        <v>1</v>
      </c>
      <c r="UTZ14" s="108"/>
      <c r="UUA14" s="108"/>
      <c r="UUB14" s="109"/>
      <c r="UUC14" s="107" t="s">
        <v>1</v>
      </c>
      <c r="UUD14" s="108"/>
      <c r="UUE14" s="108"/>
      <c r="UUF14" s="109"/>
      <c r="UUG14" s="107" t="s">
        <v>1</v>
      </c>
      <c r="UUH14" s="108"/>
      <c r="UUI14" s="108"/>
      <c r="UUJ14" s="109"/>
      <c r="UUK14" s="107" t="s">
        <v>1</v>
      </c>
      <c r="UUL14" s="108"/>
      <c r="UUM14" s="108"/>
      <c r="UUN14" s="109"/>
      <c r="UUO14" s="107" t="s">
        <v>1</v>
      </c>
      <c r="UUP14" s="108"/>
      <c r="UUQ14" s="108"/>
      <c r="UUR14" s="109"/>
      <c r="UUS14" s="107" t="s">
        <v>1</v>
      </c>
      <c r="UUT14" s="108"/>
      <c r="UUU14" s="108"/>
      <c r="UUV14" s="109"/>
      <c r="UUW14" s="107" t="s">
        <v>1</v>
      </c>
      <c r="UUX14" s="108"/>
      <c r="UUY14" s="108"/>
      <c r="UUZ14" s="109"/>
      <c r="UVA14" s="107" t="s">
        <v>1</v>
      </c>
      <c r="UVB14" s="108"/>
      <c r="UVC14" s="108"/>
      <c r="UVD14" s="109"/>
      <c r="UVE14" s="107" t="s">
        <v>1</v>
      </c>
      <c r="UVF14" s="108"/>
      <c r="UVG14" s="108"/>
      <c r="UVH14" s="109"/>
      <c r="UVI14" s="107" t="s">
        <v>1</v>
      </c>
      <c r="UVJ14" s="108"/>
      <c r="UVK14" s="108"/>
      <c r="UVL14" s="109"/>
      <c r="UVM14" s="107" t="s">
        <v>1</v>
      </c>
      <c r="UVN14" s="108"/>
      <c r="UVO14" s="108"/>
      <c r="UVP14" s="109"/>
      <c r="UVQ14" s="107" t="s">
        <v>1</v>
      </c>
      <c r="UVR14" s="108"/>
      <c r="UVS14" s="108"/>
      <c r="UVT14" s="109"/>
      <c r="UVU14" s="107" t="s">
        <v>1</v>
      </c>
      <c r="UVV14" s="108"/>
      <c r="UVW14" s="108"/>
      <c r="UVX14" s="109"/>
      <c r="UVY14" s="107" t="s">
        <v>1</v>
      </c>
      <c r="UVZ14" s="108"/>
      <c r="UWA14" s="108"/>
      <c r="UWB14" s="109"/>
      <c r="UWC14" s="107" t="s">
        <v>1</v>
      </c>
      <c r="UWD14" s="108"/>
      <c r="UWE14" s="108"/>
      <c r="UWF14" s="109"/>
      <c r="UWG14" s="107" t="s">
        <v>1</v>
      </c>
      <c r="UWH14" s="108"/>
      <c r="UWI14" s="108"/>
      <c r="UWJ14" s="109"/>
      <c r="UWK14" s="107" t="s">
        <v>1</v>
      </c>
      <c r="UWL14" s="108"/>
      <c r="UWM14" s="108"/>
      <c r="UWN14" s="109"/>
      <c r="UWO14" s="107" t="s">
        <v>1</v>
      </c>
      <c r="UWP14" s="108"/>
      <c r="UWQ14" s="108"/>
      <c r="UWR14" s="109"/>
      <c r="UWS14" s="107" t="s">
        <v>1</v>
      </c>
      <c r="UWT14" s="108"/>
      <c r="UWU14" s="108"/>
      <c r="UWV14" s="109"/>
      <c r="UWW14" s="107" t="s">
        <v>1</v>
      </c>
      <c r="UWX14" s="108"/>
      <c r="UWY14" s="108"/>
      <c r="UWZ14" s="109"/>
      <c r="UXA14" s="107" t="s">
        <v>1</v>
      </c>
      <c r="UXB14" s="108"/>
      <c r="UXC14" s="108"/>
      <c r="UXD14" s="109"/>
      <c r="UXE14" s="107" t="s">
        <v>1</v>
      </c>
      <c r="UXF14" s="108"/>
      <c r="UXG14" s="108"/>
      <c r="UXH14" s="109"/>
      <c r="UXI14" s="107" t="s">
        <v>1</v>
      </c>
      <c r="UXJ14" s="108"/>
      <c r="UXK14" s="108"/>
      <c r="UXL14" s="109"/>
      <c r="UXM14" s="107" t="s">
        <v>1</v>
      </c>
      <c r="UXN14" s="108"/>
      <c r="UXO14" s="108"/>
      <c r="UXP14" s="109"/>
      <c r="UXQ14" s="107" t="s">
        <v>1</v>
      </c>
      <c r="UXR14" s="108"/>
      <c r="UXS14" s="108"/>
      <c r="UXT14" s="109"/>
      <c r="UXU14" s="107" t="s">
        <v>1</v>
      </c>
      <c r="UXV14" s="108"/>
      <c r="UXW14" s="108"/>
      <c r="UXX14" s="109"/>
      <c r="UXY14" s="107" t="s">
        <v>1</v>
      </c>
      <c r="UXZ14" s="108"/>
      <c r="UYA14" s="108"/>
      <c r="UYB14" s="109"/>
      <c r="UYC14" s="107" t="s">
        <v>1</v>
      </c>
      <c r="UYD14" s="108"/>
      <c r="UYE14" s="108"/>
      <c r="UYF14" s="109"/>
      <c r="UYG14" s="107" t="s">
        <v>1</v>
      </c>
      <c r="UYH14" s="108"/>
      <c r="UYI14" s="108"/>
      <c r="UYJ14" s="109"/>
      <c r="UYK14" s="107" t="s">
        <v>1</v>
      </c>
      <c r="UYL14" s="108"/>
      <c r="UYM14" s="108"/>
      <c r="UYN14" s="109"/>
      <c r="UYO14" s="107" t="s">
        <v>1</v>
      </c>
      <c r="UYP14" s="108"/>
      <c r="UYQ14" s="108"/>
      <c r="UYR14" s="109"/>
      <c r="UYS14" s="107" t="s">
        <v>1</v>
      </c>
      <c r="UYT14" s="108"/>
      <c r="UYU14" s="108"/>
      <c r="UYV14" s="109"/>
      <c r="UYW14" s="107" t="s">
        <v>1</v>
      </c>
      <c r="UYX14" s="108"/>
      <c r="UYY14" s="108"/>
      <c r="UYZ14" s="109"/>
      <c r="UZA14" s="107" t="s">
        <v>1</v>
      </c>
      <c r="UZB14" s="108"/>
      <c r="UZC14" s="108"/>
      <c r="UZD14" s="109"/>
      <c r="UZE14" s="107" t="s">
        <v>1</v>
      </c>
      <c r="UZF14" s="108"/>
      <c r="UZG14" s="108"/>
      <c r="UZH14" s="109"/>
      <c r="UZI14" s="107" t="s">
        <v>1</v>
      </c>
      <c r="UZJ14" s="108"/>
      <c r="UZK14" s="108"/>
      <c r="UZL14" s="109"/>
      <c r="UZM14" s="107" t="s">
        <v>1</v>
      </c>
      <c r="UZN14" s="108"/>
      <c r="UZO14" s="108"/>
      <c r="UZP14" s="109"/>
      <c r="UZQ14" s="107" t="s">
        <v>1</v>
      </c>
      <c r="UZR14" s="108"/>
      <c r="UZS14" s="108"/>
      <c r="UZT14" s="109"/>
      <c r="UZU14" s="107" t="s">
        <v>1</v>
      </c>
      <c r="UZV14" s="108"/>
      <c r="UZW14" s="108"/>
      <c r="UZX14" s="109"/>
      <c r="UZY14" s="107" t="s">
        <v>1</v>
      </c>
      <c r="UZZ14" s="108"/>
      <c r="VAA14" s="108"/>
      <c r="VAB14" s="109"/>
      <c r="VAC14" s="107" t="s">
        <v>1</v>
      </c>
      <c r="VAD14" s="108"/>
      <c r="VAE14" s="108"/>
      <c r="VAF14" s="109"/>
      <c r="VAG14" s="107" t="s">
        <v>1</v>
      </c>
      <c r="VAH14" s="108"/>
      <c r="VAI14" s="108"/>
      <c r="VAJ14" s="109"/>
      <c r="VAK14" s="107" t="s">
        <v>1</v>
      </c>
      <c r="VAL14" s="108"/>
      <c r="VAM14" s="108"/>
      <c r="VAN14" s="109"/>
      <c r="VAO14" s="107" t="s">
        <v>1</v>
      </c>
      <c r="VAP14" s="108"/>
      <c r="VAQ14" s="108"/>
      <c r="VAR14" s="109"/>
      <c r="VAS14" s="107" t="s">
        <v>1</v>
      </c>
      <c r="VAT14" s="108"/>
      <c r="VAU14" s="108"/>
      <c r="VAV14" s="109"/>
      <c r="VAW14" s="107" t="s">
        <v>1</v>
      </c>
      <c r="VAX14" s="108"/>
      <c r="VAY14" s="108"/>
      <c r="VAZ14" s="109"/>
      <c r="VBA14" s="107" t="s">
        <v>1</v>
      </c>
      <c r="VBB14" s="108"/>
      <c r="VBC14" s="108"/>
      <c r="VBD14" s="109"/>
      <c r="VBE14" s="107" t="s">
        <v>1</v>
      </c>
      <c r="VBF14" s="108"/>
      <c r="VBG14" s="108"/>
      <c r="VBH14" s="109"/>
      <c r="VBI14" s="107" t="s">
        <v>1</v>
      </c>
      <c r="VBJ14" s="108"/>
      <c r="VBK14" s="108"/>
      <c r="VBL14" s="109"/>
      <c r="VBM14" s="107" t="s">
        <v>1</v>
      </c>
      <c r="VBN14" s="108"/>
      <c r="VBO14" s="108"/>
      <c r="VBP14" s="109"/>
      <c r="VBQ14" s="107" t="s">
        <v>1</v>
      </c>
      <c r="VBR14" s="108"/>
      <c r="VBS14" s="108"/>
      <c r="VBT14" s="109"/>
      <c r="VBU14" s="107" t="s">
        <v>1</v>
      </c>
      <c r="VBV14" s="108"/>
      <c r="VBW14" s="108"/>
      <c r="VBX14" s="109"/>
      <c r="VBY14" s="107" t="s">
        <v>1</v>
      </c>
      <c r="VBZ14" s="108"/>
      <c r="VCA14" s="108"/>
      <c r="VCB14" s="109"/>
      <c r="VCC14" s="107" t="s">
        <v>1</v>
      </c>
      <c r="VCD14" s="108"/>
      <c r="VCE14" s="108"/>
      <c r="VCF14" s="109"/>
      <c r="VCG14" s="107" t="s">
        <v>1</v>
      </c>
      <c r="VCH14" s="108"/>
      <c r="VCI14" s="108"/>
      <c r="VCJ14" s="109"/>
      <c r="VCK14" s="107" t="s">
        <v>1</v>
      </c>
      <c r="VCL14" s="108"/>
      <c r="VCM14" s="108"/>
      <c r="VCN14" s="109"/>
      <c r="VCO14" s="107" t="s">
        <v>1</v>
      </c>
      <c r="VCP14" s="108"/>
      <c r="VCQ14" s="108"/>
      <c r="VCR14" s="109"/>
      <c r="VCS14" s="107" t="s">
        <v>1</v>
      </c>
      <c r="VCT14" s="108"/>
      <c r="VCU14" s="108"/>
      <c r="VCV14" s="109"/>
      <c r="VCW14" s="107" t="s">
        <v>1</v>
      </c>
      <c r="VCX14" s="108"/>
      <c r="VCY14" s="108"/>
      <c r="VCZ14" s="109"/>
      <c r="VDA14" s="107" t="s">
        <v>1</v>
      </c>
      <c r="VDB14" s="108"/>
      <c r="VDC14" s="108"/>
      <c r="VDD14" s="109"/>
      <c r="VDE14" s="107" t="s">
        <v>1</v>
      </c>
      <c r="VDF14" s="108"/>
      <c r="VDG14" s="108"/>
      <c r="VDH14" s="109"/>
      <c r="VDI14" s="107" t="s">
        <v>1</v>
      </c>
      <c r="VDJ14" s="108"/>
      <c r="VDK14" s="108"/>
      <c r="VDL14" s="109"/>
      <c r="VDM14" s="107" t="s">
        <v>1</v>
      </c>
      <c r="VDN14" s="108"/>
      <c r="VDO14" s="108"/>
      <c r="VDP14" s="109"/>
      <c r="VDQ14" s="107" t="s">
        <v>1</v>
      </c>
      <c r="VDR14" s="108"/>
      <c r="VDS14" s="108"/>
      <c r="VDT14" s="109"/>
      <c r="VDU14" s="107" t="s">
        <v>1</v>
      </c>
      <c r="VDV14" s="108"/>
      <c r="VDW14" s="108"/>
      <c r="VDX14" s="109"/>
      <c r="VDY14" s="107" t="s">
        <v>1</v>
      </c>
      <c r="VDZ14" s="108"/>
      <c r="VEA14" s="108"/>
      <c r="VEB14" s="109"/>
      <c r="VEC14" s="107" t="s">
        <v>1</v>
      </c>
      <c r="VED14" s="108"/>
      <c r="VEE14" s="108"/>
      <c r="VEF14" s="109"/>
      <c r="VEG14" s="107" t="s">
        <v>1</v>
      </c>
      <c r="VEH14" s="108"/>
      <c r="VEI14" s="108"/>
      <c r="VEJ14" s="109"/>
      <c r="VEK14" s="107" t="s">
        <v>1</v>
      </c>
      <c r="VEL14" s="108"/>
      <c r="VEM14" s="108"/>
      <c r="VEN14" s="109"/>
      <c r="VEO14" s="107" t="s">
        <v>1</v>
      </c>
      <c r="VEP14" s="108"/>
      <c r="VEQ14" s="108"/>
      <c r="VER14" s="109"/>
      <c r="VES14" s="107" t="s">
        <v>1</v>
      </c>
      <c r="VET14" s="108"/>
      <c r="VEU14" s="108"/>
      <c r="VEV14" s="109"/>
      <c r="VEW14" s="107" t="s">
        <v>1</v>
      </c>
      <c r="VEX14" s="108"/>
      <c r="VEY14" s="108"/>
      <c r="VEZ14" s="109"/>
      <c r="VFA14" s="107" t="s">
        <v>1</v>
      </c>
      <c r="VFB14" s="108"/>
      <c r="VFC14" s="108"/>
      <c r="VFD14" s="109"/>
      <c r="VFE14" s="107" t="s">
        <v>1</v>
      </c>
      <c r="VFF14" s="108"/>
      <c r="VFG14" s="108"/>
      <c r="VFH14" s="109"/>
      <c r="VFI14" s="107" t="s">
        <v>1</v>
      </c>
      <c r="VFJ14" s="108"/>
      <c r="VFK14" s="108"/>
      <c r="VFL14" s="109"/>
      <c r="VFM14" s="107" t="s">
        <v>1</v>
      </c>
      <c r="VFN14" s="108"/>
      <c r="VFO14" s="108"/>
      <c r="VFP14" s="109"/>
      <c r="VFQ14" s="107" t="s">
        <v>1</v>
      </c>
      <c r="VFR14" s="108"/>
      <c r="VFS14" s="108"/>
      <c r="VFT14" s="109"/>
      <c r="VFU14" s="107" t="s">
        <v>1</v>
      </c>
      <c r="VFV14" s="108"/>
      <c r="VFW14" s="108"/>
      <c r="VFX14" s="109"/>
      <c r="VFY14" s="107" t="s">
        <v>1</v>
      </c>
      <c r="VFZ14" s="108"/>
      <c r="VGA14" s="108"/>
      <c r="VGB14" s="109"/>
      <c r="VGC14" s="107" t="s">
        <v>1</v>
      </c>
      <c r="VGD14" s="108"/>
      <c r="VGE14" s="108"/>
      <c r="VGF14" s="109"/>
      <c r="VGG14" s="107" t="s">
        <v>1</v>
      </c>
      <c r="VGH14" s="108"/>
      <c r="VGI14" s="108"/>
      <c r="VGJ14" s="109"/>
      <c r="VGK14" s="107" t="s">
        <v>1</v>
      </c>
      <c r="VGL14" s="108"/>
      <c r="VGM14" s="108"/>
      <c r="VGN14" s="109"/>
      <c r="VGO14" s="107" t="s">
        <v>1</v>
      </c>
      <c r="VGP14" s="108"/>
      <c r="VGQ14" s="108"/>
      <c r="VGR14" s="109"/>
      <c r="VGS14" s="107" t="s">
        <v>1</v>
      </c>
      <c r="VGT14" s="108"/>
      <c r="VGU14" s="108"/>
      <c r="VGV14" s="109"/>
      <c r="VGW14" s="107" t="s">
        <v>1</v>
      </c>
      <c r="VGX14" s="108"/>
      <c r="VGY14" s="108"/>
      <c r="VGZ14" s="109"/>
      <c r="VHA14" s="107" t="s">
        <v>1</v>
      </c>
      <c r="VHB14" s="108"/>
      <c r="VHC14" s="108"/>
      <c r="VHD14" s="109"/>
      <c r="VHE14" s="107" t="s">
        <v>1</v>
      </c>
      <c r="VHF14" s="108"/>
      <c r="VHG14" s="108"/>
      <c r="VHH14" s="109"/>
      <c r="VHI14" s="107" t="s">
        <v>1</v>
      </c>
      <c r="VHJ14" s="108"/>
      <c r="VHK14" s="108"/>
      <c r="VHL14" s="109"/>
      <c r="VHM14" s="107" t="s">
        <v>1</v>
      </c>
      <c r="VHN14" s="108"/>
      <c r="VHO14" s="108"/>
      <c r="VHP14" s="109"/>
      <c r="VHQ14" s="107" t="s">
        <v>1</v>
      </c>
      <c r="VHR14" s="108"/>
      <c r="VHS14" s="108"/>
      <c r="VHT14" s="109"/>
      <c r="VHU14" s="107" t="s">
        <v>1</v>
      </c>
      <c r="VHV14" s="108"/>
      <c r="VHW14" s="108"/>
      <c r="VHX14" s="109"/>
      <c r="VHY14" s="107" t="s">
        <v>1</v>
      </c>
      <c r="VHZ14" s="108"/>
      <c r="VIA14" s="108"/>
      <c r="VIB14" s="109"/>
      <c r="VIC14" s="107" t="s">
        <v>1</v>
      </c>
      <c r="VID14" s="108"/>
      <c r="VIE14" s="108"/>
      <c r="VIF14" s="109"/>
      <c r="VIG14" s="107" t="s">
        <v>1</v>
      </c>
      <c r="VIH14" s="108"/>
      <c r="VII14" s="108"/>
      <c r="VIJ14" s="109"/>
      <c r="VIK14" s="107" t="s">
        <v>1</v>
      </c>
      <c r="VIL14" s="108"/>
      <c r="VIM14" s="108"/>
      <c r="VIN14" s="109"/>
      <c r="VIO14" s="107" t="s">
        <v>1</v>
      </c>
      <c r="VIP14" s="108"/>
      <c r="VIQ14" s="108"/>
      <c r="VIR14" s="109"/>
      <c r="VIS14" s="107" t="s">
        <v>1</v>
      </c>
      <c r="VIT14" s="108"/>
      <c r="VIU14" s="108"/>
      <c r="VIV14" s="109"/>
      <c r="VIW14" s="107" t="s">
        <v>1</v>
      </c>
      <c r="VIX14" s="108"/>
      <c r="VIY14" s="108"/>
      <c r="VIZ14" s="109"/>
      <c r="VJA14" s="107" t="s">
        <v>1</v>
      </c>
      <c r="VJB14" s="108"/>
      <c r="VJC14" s="108"/>
      <c r="VJD14" s="109"/>
      <c r="VJE14" s="107" t="s">
        <v>1</v>
      </c>
      <c r="VJF14" s="108"/>
      <c r="VJG14" s="108"/>
      <c r="VJH14" s="109"/>
      <c r="VJI14" s="107" t="s">
        <v>1</v>
      </c>
      <c r="VJJ14" s="108"/>
      <c r="VJK14" s="108"/>
      <c r="VJL14" s="109"/>
      <c r="VJM14" s="107" t="s">
        <v>1</v>
      </c>
      <c r="VJN14" s="108"/>
      <c r="VJO14" s="108"/>
      <c r="VJP14" s="109"/>
      <c r="VJQ14" s="107" t="s">
        <v>1</v>
      </c>
      <c r="VJR14" s="108"/>
      <c r="VJS14" s="108"/>
      <c r="VJT14" s="109"/>
      <c r="VJU14" s="107" t="s">
        <v>1</v>
      </c>
      <c r="VJV14" s="108"/>
      <c r="VJW14" s="108"/>
      <c r="VJX14" s="109"/>
      <c r="VJY14" s="107" t="s">
        <v>1</v>
      </c>
      <c r="VJZ14" s="108"/>
      <c r="VKA14" s="108"/>
      <c r="VKB14" s="109"/>
      <c r="VKC14" s="107" t="s">
        <v>1</v>
      </c>
      <c r="VKD14" s="108"/>
      <c r="VKE14" s="108"/>
      <c r="VKF14" s="109"/>
      <c r="VKG14" s="107" t="s">
        <v>1</v>
      </c>
      <c r="VKH14" s="108"/>
      <c r="VKI14" s="108"/>
      <c r="VKJ14" s="109"/>
      <c r="VKK14" s="107" t="s">
        <v>1</v>
      </c>
      <c r="VKL14" s="108"/>
      <c r="VKM14" s="108"/>
      <c r="VKN14" s="109"/>
      <c r="VKO14" s="107" t="s">
        <v>1</v>
      </c>
      <c r="VKP14" s="108"/>
      <c r="VKQ14" s="108"/>
      <c r="VKR14" s="109"/>
      <c r="VKS14" s="107" t="s">
        <v>1</v>
      </c>
      <c r="VKT14" s="108"/>
      <c r="VKU14" s="108"/>
      <c r="VKV14" s="109"/>
      <c r="VKW14" s="107" t="s">
        <v>1</v>
      </c>
      <c r="VKX14" s="108"/>
      <c r="VKY14" s="108"/>
      <c r="VKZ14" s="109"/>
      <c r="VLA14" s="107" t="s">
        <v>1</v>
      </c>
      <c r="VLB14" s="108"/>
      <c r="VLC14" s="108"/>
      <c r="VLD14" s="109"/>
      <c r="VLE14" s="107" t="s">
        <v>1</v>
      </c>
      <c r="VLF14" s="108"/>
      <c r="VLG14" s="108"/>
      <c r="VLH14" s="109"/>
      <c r="VLI14" s="107" t="s">
        <v>1</v>
      </c>
      <c r="VLJ14" s="108"/>
      <c r="VLK14" s="108"/>
      <c r="VLL14" s="109"/>
      <c r="VLM14" s="107" t="s">
        <v>1</v>
      </c>
      <c r="VLN14" s="108"/>
      <c r="VLO14" s="108"/>
      <c r="VLP14" s="109"/>
      <c r="VLQ14" s="107" t="s">
        <v>1</v>
      </c>
      <c r="VLR14" s="108"/>
      <c r="VLS14" s="108"/>
      <c r="VLT14" s="109"/>
      <c r="VLU14" s="107" t="s">
        <v>1</v>
      </c>
      <c r="VLV14" s="108"/>
      <c r="VLW14" s="108"/>
      <c r="VLX14" s="109"/>
      <c r="VLY14" s="107" t="s">
        <v>1</v>
      </c>
      <c r="VLZ14" s="108"/>
      <c r="VMA14" s="108"/>
      <c r="VMB14" s="109"/>
      <c r="VMC14" s="107" t="s">
        <v>1</v>
      </c>
      <c r="VMD14" s="108"/>
      <c r="VME14" s="108"/>
      <c r="VMF14" s="109"/>
      <c r="VMG14" s="107" t="s">
        <v>1</v>
      </c>
      <c r="VMH14" s="108"/>
      <c r="VMI14" s="108"/>
      <c r="VMJ14" s="109"/>
      <c r="VMK14" s="107" t="s">
        <v>1</v>
      </c>
      <c r="VML14" s="108"/>
      <c r="VMM14" s="108"/>
      <c r="VMN14" s="109"/>
      <c r="VMO14" s="107" t="s">
        <v>1</v>
      </c>
      <c r="VMP14" s="108"/>
      <c r="VMQ14" s="108"/>
      <c r="VMR14" s="109"/>
      <c r="VMS14" s="107" t="s">
        <v>1</v>
      </c>
      <c r="VMT14" s="108"/>
      <c r="VMU14" s="108"/>
      <c r="VMV14" s="109"/>
      <c r="VMW14" s="107" t="s">
        <v>1</v>
      </c>
      <c r="VMX14" s="108"/>
      <c r="VMY14" s="108"/>
      <c r="VMZ14" s="109"/>
      <c r="VNA14" s="107" t="s">
        <v>1</v>
      </c>
      <c r="VNB14" s="108"/>
      <c r="VNC14" s="108"/>
      <c r="VND14" s="109"/>
      <c r="VNE14" s="107" t="s">
        <v>1</v>
      </c>
      <c r="VNF14" s="108"/>
      <c r="VNG14" s="108"/>
      <c r="VNH14" s="109"/>
      <c r="VNI14" s="107" t="s">
        <v>1</v>
      </c>
      <c r="VNJ14" s="108"/>
      <c r="VNK14" s="108"/>
      <c r="VNL14" s="109"/>
      <c r="VNM14" s="107" t="s">
        <v>1</v>
      </c>
      <c r="VNN14" s="108"/>
      <c r="VNO14" s="108"/>
      <c r="VNP14" s="109"/>
      <c r="VNQ14" s="107" t="s">
        <v>1</v>
      </c>
      <c r="VNR14" s="108"/>
      <c r="VNS14" s="108"/>
      <c r="VNT14" s="109"/>
      <c r="VNU14" s="107" t="s">
        <v>1</v>
      </c>
      <c r="VNV14" s="108"/>
      <c r="VNW14" s="108"/>
      <c r="VNX14" s="109"/>
      <c r="VNY14" s="107" t="s">
        <v>1</v>
      </c>
      <c r="VNZ14" s="108"/>
      <c r="VOA14" s="108"/>
      <c r="VOB14" s="109"/>
      <c r="VOC14" s="107" t="s">
        <v>1</v>
      </c>
      <c r="VOD14" s="108"/>
      <c r="VOE14" s="108"/>
      <c r="VOF14" s="109"/>
      <c r="VOG14" s="107" t="s">
        <v>1</v>
      </c>
      <c r="VOH14" s="108"/>
      <c r="VOI14" s="108"/>
      <c r="VOJ14" s="109"/>
      <c r="VOK14" s="107" t="s">
        <v>1</v>
      </c>
      <c r="VOL14" s="108"/>
      <c r="VOM14" s="108"/>
      <c r="VON14" s="109"/>
      <c r="VOO14" s="107" t="s">
        <v>1</v>
      </c>
      <c r="VOP14" s="108"/>
      <c r="VOQ14" s="108"/>
      <c r="VOR14" s="109"/>
      <c r="VOS14" s="107" t="s">
        <v>1</v>
      </c>
      <c r="VOT14" s="108"/>
      <c r="VOU14" s="108"/>
      <c r="VOV14" s="109"/>
      <c r="VOW14" s="107" t="s">
        <v>1</v>
      </c>
      <c r="VOX14" s="108"/>
      <c r="VOY14" s="108"/>
      <c r="VOZ14" s="109"/>
      <c r="VPA14" s="107" t="s">
        <v>1</v>
      </c>
      <c r="VPB14" s="108"/>
      <c r="VPC14" s="108"/>
      <c r="VPD14" s="109"/>
      <c r="VPE14" s="107" t="s">
        <v>1</v>
      </c>
      <c r="VPF14" s="108"/>
      <c r="VPG14" s="108"/>
      <c r="VPH14" s="109"/>
      <c r="VPI14" s="107" t="s">
        <v>1</v>
      </c>
      <c r="VPJ14" s="108"/>
      <c r="VPK14" s="108"/>
      <c r="VPL14" s="109"/>
      <c r="VPM14" s="107" t="s">
        <v>1</v>
      </c>
      <c r="VPN14" s="108"/>
      <c r="VPO14" s="108"/>
      <c r="VPP14" s="109"/>
      <c r="VPQ14" s="107" t="s">
        <v>1</v>
      </c>
      <c r="VPR14" s="108"/>
      <c r="VPS14" s="108"/>
      <c r="VPT14" s="109"/>
      <c r="VPU14" s="107" t="s">
        <v>1</v>
      </c>
      <c r="VPV14" s="108"/>
      <c r="VPW14" s="108"/>
      <c r="VPX14" s="109"/>
      <c r="VPY14" s="107" t="s">
        <v>1</v>
      </c>
      <c r="VPZ14" s="108"/>
      <c r="VQA14" s="108"/>
      <c r="VQB14" s="109"/>
      <c r="VQC14" s="107" t="s">
        <v>1</v>
      </c>
      <c r="VQD14" s="108"/>
      <c r="VQE14" s="108"/>
      <c r="VQF14" s="109"/>
      <c r="VQG14" s="107" t="s">
        <v>1</v>
      </c>
      <c r="VQH14" s="108"/>
      <c r="VQI14" s="108"/>
      <c r="VQJ14" s="109"/>
      <c r="VQK14" s="107" t="s">
        <v>1</v>
      </c>
      <c r="VQL14" s="108"/>
      <c r="VQM14" s="108"/>
      <c r="VQN14" s="109"/>
      <c r="VQO14" s="107" t="s">
        <v>1</v>
      </c>
      <c r="VQP14" s="108"/>
      <c r="VQQ14" s="108"/>
      <c r="VQR14" s="109"/>
      <c r="VQS14" s="107" t="s">
        <v>1</v>
      </c>
      <c r="VQT14" s="108"/>
      <c r="VQU14" s="108"/>
      <c r="VQV14" s="109"/>
      <c r="VQW14" s="107" t="s">
        <v>1</v>
      </c>
      <c r="VQX14" s="108"/>
      <c r="VQY14" s="108"/>
      <c r="VQZ14" s="109"/>
      <c r="VRA14" s="107" t="s">
        <v>1</v>
      </c>
      <c r="VRB14" s="108"/>
      <c r="VRC14" s="108"/>
      <c r="VRD14" s="109"/>
      <c r="VRE14" s="107" t="s">
        <v>1</v>
      </c>
      <c r="VRF14" s="108"/>
      <c r="VRG14" s="108"/>
      <c r="VRH14" s="109"/>
      <c r="VRI14" s="107" t="s">
        <v>1</v>
      </c>
      <c r="VRJ14" s="108"/>
      <c r="VRK14" s="108"/>
      <c r="VRL14" s="109"/>
      <c r="VRM14" s="107" t="s">
        <v>1</v>
      </c>
      <c r="VRN14" s="108"/>
      <c r="VRO14" s="108"/>
      <c r="VRP14" s="109"/>
      <c r="VRQ14" s="107" t="s">
        <v>1</v>
      </c>
      <c r="VRR14" s="108"/>
      <c r="VRS14" s="108"/>
      <c r="VRT14" s="109"/>
      <c r="VRU14" s="107" t="s">
        <v>1</v>
      </c>
      <c r="VRV14" s="108"/>
      <c r="VRW14" s="108"/>
      <c r="VRX14" s="109"/>
      <c r="VRY14" s="107" t="s">
        <v>1</v>
      </c>
      <c r="VRZ14" s="108"/>
      <c r="VSA14" s="108"/>
      <c r="VSB14" s="109"/>
      <c r="VSC14" s="107" t="s">
        <v>1</v>
      </c>
      <c r="VSD14" s="108"/>
      <c r="VSE14" s="108"/>
      <c r="VSF14" s="109"/>
      <c r="VSG14" s="107" t="s">
        <v>1</v>
      </c>
      <c r="VSH14" s="108"/>
      <c r="VSI14" s="108"/>
      <c r="VSJ14" s="109"/>
      <c r="VSK14" s="107" t="s">
        <v>1</v>
      </c>
      <c r="VSL14" s="108"/>
      <c r="VSM14" s="108"/>
      <c r="VSN14" s="109"/>
      <c r="VSO14" s="107" t="s">
        <v>1</v>
      </c>
      <c r="VSP14" s="108"/>
      <c r="VSQ14" s="108"/>
      <c r="VSR14" s="109"/>
      <c r="VSS14" s="107" t="s">
        <v>1</v>
      </c>
      <c r="VST14" s="108"/>
      <c r="VSU14" s="108"/>
      <c r="VSV14" s="109"/>
      <c r="VSW14" s="107" t="s">
        <v>1</v>
      </c>
      <c r="VSX14" s="108"/>
      <c r="VSY14" s="108"/>
      <c r="VSZ14" s="109"/>
      <c r="VTA14" s="107" t="s">
        <v>1</v>
      </c>
      <c r="VTB14" s="108"/>
      <c r="VTC14" s="108"/>
      <c r="VTD14" s="109"/>
      <c r="VTE14" s="107" t="s">
        <v>1</v>
      </c>
      <c r="VTF14" s="108"/>
      <c r="VTG14" s="108"/>
      <c r="VTH14" s="109"/>
      <c r="VTI14" s="107" t="s">
        <v>1</v>
      </c>
      <c r="VTJ14" s="108"/>
      <c r="VTK14" s="108"/>
      <c r="VTL14" s="109"/>
      <c r="VTM14" s="107" t="s">
        <v>1</v>
      </c>
      <c r="VTN14" s="108"/>
      <c r="VTO14" s="108"/>
      <c r="VTP14" s="109"/>
      <c r="VTQ14" s="107" t="s">
        <v>1</v>
      </c>
      <c r="VTR14" s="108"/>
      <c r="VTS14" s="108"/>
      <c r="VTT14" s="109"/>
      <c r="VTU14" s="107" t="s">
        <v>1</v>
      </c>
      <c r="VTV14" s="108"/>
      <c r="VTW14" s="108"/>
      <c r="VTX14" s="109"/>
      <c r="VTY14" s="107" t="s">
        <v>1</v>
      </c>
      <c r="VTZ14" s="108"/>
      <c r="VUA14" s="108"/>
      <c r="VUB14" s="109"/>
      <c r="VUC14" s="107" t="s">
        <v>1</v>
      </c>
      <c r="VUD14" s="108"/>
      <c r="VUE14" s="108"/>
      <c r="VUF14" s="109"/>
      <c r="VUG14" s="107" t="s">
        <v>1</v>
      </c>
      <c r="VUH14" s="108"/>
      <c r="VUI14" s="108"/>
      <c r="VUJ14" s="109"/>
      <c r="VUK14" s="107" t="s">
        <v>1</v>
      </c>
      <c r="VUL14" s="108"/>
      <c r="VUM14" s="108"/>
      <c r="VUN14" s="109"/>
      <c r="VUO14" s="107" t="s">
        <v>1</v>
      </c>
      <c r="VUP14" s="108"/>
      <c r="VUQ14" s="108"/>
      <c r="VUR14" s="109"/>
      <c r="VUS14" s="107" t="s">
        <v>1</v>
      </c>
      <c r="VUT14" s="108"/>
      <c r="VUU14" s="108"/>
      <c r="VUV14" s="109"/>
      <c r="VUW14" s="107" t="s">
        <v>1</v>
      </c>
      <c r="VUX14" s="108"/>
      <c r="VUY14" s="108"/>
      <c r="VUZ14" s="109"/>
      <c r="VVA14" s="107" t="s">
        <v>1</v>
      </c>
      <c r="VVB14" s="108"/>
      <c r="VVC14" s="108"/>
      <c r="VVD14" s="109"/>
      <c r="VVE14" s="107" t="s">
        <v>1</v>
      </c>
      <c r="VVF14" s="108"/>
      <c r="VVG14" s="108"/>
      <c r="VVH14" s="109"/>
      <c r="VVI14" s="107" t="s">
        <v>1</v>
      </c>
      <c r="VVJ14" s="108"/>
      <c r="VVK14" s="108"/>
      <c r="VVL14" s="109"/>
      <c r="VVM14" s="107" t="s">
        <v>1</v>
      </c>
      <c r="VVN14" s="108"/>
      <c r="VVO14" s="108"/>
      <c r="VVP14" s="109"/>
      <c r="VVQ14" s="107" t="s">
        <v>1</v>
      </c>
      <c r="VVR14" s="108"/>
      <c r="VVS14" s="108"/>
      <c r="VVT14" s="109"/>
      <c r="VVU14" s="107" t="s">
        <v>1</v>
      </c>
      <c r="VVV14" s="108"/>
      <c r="VVW14" s="108"/>
      <c r="VVX14" s="109"/>
      <c r="VVY14" s="107" t="s">
        <v>1</v>
      </c>
      <c r="VVZ14" s="108"/>
      <c r="VWA14" s="108"/>
      <c r="VWB14" s="109"/>
      <c r="VWC14" s="107" t="s">
        <v>1</v>
      </c>
      <c r="VWD14" s="108"/>
      <c r="VWE14" s="108"/>
      <c r="VWF14" s="109"/>
      <c r="VWG14" s="107" t="s">
        <v>1</v>
      </c>
      <c r="VWH14" s="108"/>
      <c r="VWI14" s="108"/>
      <c r="VWJ14" s="109"/>
      <c r="VWK14" s="107" t="s">
        <v>1</v>
      </c>
      <c r="VWL14" s="108"/>
      <c r="VWM14" s="108"/>
      <c r="VWN14" s="109"/>
      <c r="VWO14" s="107" t="s">
        <v>1</v>
      </c>
      <c r="VWP14" s="108"/>
      <c r="VWQ14" s="108"/>
      <c r="VWR14" s="109"/>
      <c r="VWS14" s="107" t="s">
        <v>1</v>
      </c>
      <c r="VWT14" s="108"/>
      <c r="VWU14" s="108"/>
      <c r="VWV14" s="109"/>
      <c r="VWW14" s="107" t="s">
        <v>1</v>
      </c>
      <c r="VWX14" s="108"/>
      <c r="VWY14" s="108"/>
      <c r="VWZ14" s="109"/>
      <c r="VXA14" s="107" t="s">
        <v>1</v>
      </c>
      <c r="VXB14" s="108"/>
      <c r="VXC14" s="108"/>
      <c r="VXD14" s="109"/>
      <c r="VXE14" s="107" t="s">
        <v>1</v>
      </c>
      <c r="VXF14" s="108"/>
      <c r="VXG14" s="108"/>
      <c r="VXH14" s="109"/>
      <c r="VXI14" s="107" t="s">
        <v>1</v>
      </c>
      <c r="VXJ14" s="108"/>
      <c r="VXK14" s="108"/>
      <c r="VXL14" s="109"/>
      <c r="VXM14" s="107" t="s">
        <v>1</v>
      </c>
      <c r="VXN14" s="108"/>
      <c r="VXO14" s="108"/>
      <c r="VXP14" s="109"/>
      <c r="VXQ14" s="107" t="s">
        <v>1</v>
      </c>
      <c r="VXR14" s="108"/>
      <c r="VXS14" s="108"/>
      <c r="VXT14" s="109"/>
      <c r="VXU14" s="107" t="s">
        <v>1</v>
      </c>
      <c r="VXV14" s="108"/>
      <c r="VXW14" s="108"/>
      <c r="VXX14" s="109"/>
      <c r="VXY14" s="107" t="s">
        <v>1</v>
      </c>
      <c r="VXZ14" s="108"/>
      <c r="VYA14" s="108"/>
      <c r="VYB14" s="109"/>
      <c r="VYC14" s="107" t="s">
        <v>1</v>
      </c>
      <c r="VYD14" s="108"/>
      <c r="VYE14" s="108"/>
      <c r="VYF14" s="109"/>
      <c r="VYG14" s="107" t="s">
        <v>1</v>
      </c>
      <c r="VYH14" s="108"/>
      <c r="VYI14" s="108"/>
      <c r="VYJ14" s="109"/>
      <c r="VYK14" s="107" t="s">
        <v>1</v>
      </c>
      <c r="VYL14" s="108"/>
      <c r="VYM14" s="108"/>
      <c r="VYN14" s="109"/>
      <c r="VYO14" s="107" t="s">
        <v>1</v>
      </c>
      <c r="VYP14" s="108"/>
      <c r="VYQ14" s="108"/>
      <c r="VYR14" s="109"/>
      <c r="VYS14" s="107" t="s">
        <v>1</v>
      </c>
      <c r="VYT14" s="108"/>
      <c r="VYU14" s="108"/>
      <c r="VYV14" s="109"/>
      <c r="VYW14" s="107" t="s">
        <v>1</v>
      </c>
      <c r="VYX14" s="108"/>
      <c r="VYY14" s="108"/>
      <c r="VYZ14" s="109"/>
      <c r="VZA14" s="107" t="s">
        <v>1</v>
      </c>
      <c r="VZB14" s="108"/>
      <c r="VZC14" s="108"/>
      <c r="VZD14" s="109"/>
      <c r="VZE14" s="107" t="s">
        <v>1</v>
      </c>
      <c r="VZF14" s="108"/>
      <c r="VZG14" s="108"/>
      <c r="VZH14" s="109"/>
      <c r="VZI14" s="107" t="s">
        <v>1</v>
      </c>
      <c r="VZJ14" s="108"/>
      <c r="VZK14" s="108"/>
      <c r="VZL14" s="109"/>
      <c r="VZM14" s="107" t="s">
        <v>1</v>
      </c>
      <c r="VZN14" s="108"/>
      <c r="VZO14" s="108"/>
      <c r="VZP14" s="109"/>
      <c r="VZQ14" s="107" t="s">
        <v>1</v>
      </c>
      <c r="VZR14" s="108"/>
      <c r="VZS14" s="108"/>
      <c r="VZT14" s="109"/>
      <c r="VZU14" s="107" t="s">
        <v>1</v>
      </c>
      <c r="VZV14" s="108"/>
      <c r="VZW14" s="108"/>
      <c r="VZX14" s="109"/>
      <c r="VZY14" s="107" t="s">
        <v>1</v>
      </c>
      <c r="VZZ14" s="108"/>
      <c r="WAA14" s="108"/>
      <c r="WAB14" s="109"/>
      <c r="WAC14" s="107" t="s">
        <v>1</v>
      </c>
      <c r="WAD14" s="108"/>
      <c r="WAE14" s="108"/>
      <c r="WAF14" s="109"/>
      <c r="WAG14" s="107" t="s">
        <v>1</v>
      </c>
      <c r="WAH14" s="108"/>
      <c r="WAI14" s="108"/>
      <c r="WAJ14" s="109"/>
      <c r="WAK14" s="107" t="s">
        <v>1</v>
      </c>
      <c r="WAL14" s="108"/>
      <c r="WAM14" s="108"/>
      <c r="WAN14" s="109"/>
      <c r="WAO14" s="107" t="s">
        <v>1</v>
      </c>
      <c r="WAP14" s="108"/>
      <c r="WAQ14" s="108"/>
      <c r="WAR14" s="109"/>
      <c r="WAS14" s="107" t="s">
        <v>1</v>
      </c>
      <c r="WAT14" s="108"/>
      <c r="WAU14" s="108"/>
      <c r="WAV14" s="109"/>
      <c r="WAW14" s="107" t="s">
        <v>1</v>
      </c>
      <c r="WAX14" s="108"/>
      <c r="WAY14" s="108"/>
      <c r="WAZ14" s="109"/>
      <c r="WBA14" s="107" t="s">
        <v>1</v>
      </c>
      <c r="WBB14" s="108"/>
      <c r="WBC14" s="108"/>
      <c r="WBD14" s="109"/>
      <c r="WBE14" s="107" t="s">
        <v>1</v>
      </c>
      <c r="WBF14" s="108"/>
      <c r="WBG14" s="108"/>
      <c r="WBH14" s="109"/>
      <c r="WBI14" s="107" t="s">
        <v>1</v>
      </c>
      <c r="WBJ14" s="108"/>
      <c r="WBK14" s="108"/>
      <c r="WBL14" s="109"/>
      <c r="WBM14" s="107" t="s">
        <v>1</v>
      </c>
      <c r="WBN14" s="108"/>
      <c r="WBO14" s="108"/>
      <c r="WBP14" s="109"/>
      <c r="WBQ14" s="107" t="s">
        <v>1</v>
      </c>
      <c r="WBR14" s="108"/>
      <c r="WBS14" s="108"/>
      <c r="WBT14" s="109"/>
      <c r="WBU14" s="107" t="s">
        <v>1</v>
      </c>
      <c r="WBV14" s="108"/>
      <c r="WBW14" s="108"/>
      <c r="WBX14" s="109"/>
      <c r="WBY14" s="107" t="s">
        <v>1</v>
      </c>
      <c r="WBZ14" s="108"/>
      <c r="WCA14" s="108"/>
      <c r="WCB14" s="109"/>
      <c r="WCC14" s="107" t="s">
        <v>1</v>
      </c>
      <c r="WCD14" s="108"/>
      <c r="WCE14" s="108"/>
      <c r="WCF14" s="109"/>
      <c r="WCG14" s="107" t="s">
        <v>1</v>
      </c>
      <c r="WCH14" s="108"/>
      <c r="WCI14" s="108"/>
      <c r="WCJ14" s="109"/>
      <c r="WCK14" s="107" t="s">
        <v>1</v>
      </c>
      <c r="WCL14" s="108"/>
      <c r="WCM14" s="108"/>
      <c r="WCN14" s="109"/>
      <c r="WCO14" s="107" t="s">
        <v>1</v>
      </c>
      <c r="WCP14" s="108"/>
      <c r="WCQ14" s="108"/>
      <c r="WCR14" s="109"/>
      <c r="WCS14" s="107" t="s">
        <v>1</v>
      </c>
      <c r="WCT14" s="108"/>
      <c r="WCU14" s="108"/>
      <c r="WCV14" s="109"/>
      <c r="WCW14" s="107" t="s">
        <v>1</v>
      </c>
      <c r="WCX14" s="108"/>
      <c r="WCY14" s="108"/>
      <c r="WCZ14" s="109"/>
      <c r="WDA14" s="107" t="s">
        <v>1</v>
      </c>
      <c r="WDB14" s="108"/>
      <c r="WDC14" s="108"/>
      <c r="WDD14" s="109"/>
      <c r="WDE14" s="107" t="s">
        <v>1</v>
      </c>
      <c r="WDF14" s="108"/>
      <c r="WDG14" s="108"/>
      <c r="WDH14" s="109"/>
      <c r="WDI14" s="107" t="s">
        <v>1</v>
      </c>
      <c r="WDJ14" s="108"/>
      <c r="WDK14" s="108"/>
      <c r="WDL14" s="109"/>
      <c r="WDM14" s="107" t="s">
        <v>1</v>
      </c>
      <c r="WDN14" s="108"/>
      <c r="WDO14" s="108"/>
      <c r="WDP14" s="109"/>
      <c r="WDQ14" s="107" t="s">
        <v>1</v>
      </c>
      <c r="WDR14" s="108"/>
      <c r="WDS14" s="108"/>
      <c r="WDT14" s="109"/>
      <c r="WDU14" s="107" t="s">
        <v>1</v>
      </c>
      <c r="WDV14" s="108"/>
      <c r="WDW14" s="108"/>
      <c r="WDX14" s="109"/>
      <c r="WDY14" s="107" t="s">
        <v>1</v>
      </c>
      <c r="WDZ14" s="108"/>
      <c r="WEA14" s="108"/>
      <c r="WEB14" s="109"/>
      <c r="WEC14" s="107" t="s">
        <v>1</v>
      </c>
      <c r="WED14" s="108"/>
      <c r="WEE14" s="108"/>
      <c r="WEF14" s="109"/>
      <c r="WEG14" s="107" t="s">
        <v>1</v>
      </c>
      <c r="WEH14" s="108"/>
      <c r="WEI14" s="108"/>
      <c r="WEJ14" s="109"/>
      <c r="WEK14" s="107" t="s">
        <v>1</v>
      </c>
      <c r="WEL14" s="108"/>
      <c r="WEM14" s="108"/>
      <c r="WEN14" s="109"/>
      <c r="WEO14" s="107" t="s">
        <v>1</v>
      </c>
      <c r="WEP14" s="108"/>
      <c r="WEQ14" s="108"/>
      <c r="WER14" s="109"/>
      <c r="WES14" s="107" t="s">
        <v>1</v>
      </c>
      <c r="WET14" s="108"/>
      <c r="WEU14" s="108"/>
      <c r="WEV14" s="109"/>
      <c r="WEW14" s="107" t="s">
        <v>1</v>
      </c>
      <c r="WEX14" s="108"/>
      <c r="WEY14" s="108"/>
      <c r="WEZ14" s="109"/>
      <c r="WFA14" s="107" t="s">
        <v>1</v>
      </c>
      <c r="WFB14" s="108"/>
      <c r="WFC14" s="108"/>
      <c r="WFD14" s="109"/>
      <c r="WFE14" s="107" t="s">
        <v>1</v>
      </c>
      <c r="WFF14" s="108"/>
      <c r="WFG14" s="108"/>
      <c r="WFH14" s="109"/>
      <c r="WFI14" s="107" t="s">
        <v>1</v>
      </c>
      <c r="WFJ14" s="108"/>
      <c r="WFK14" s="108"/>
      <c r="WFL14" s="109"/>
      <c r="WFM14" s="107" t="s">
        <v>1</v>
      </c>
      <c r="WFN14" s="108"/>
      <c r="WFO14" s="108"/>
      <c r="WFP14" s="109"/>
      <c r="WFQ14" s="107" t="s">
        <v>1</v>
      </c>
      <c r="WFR14" s="108"/>
      <c r="WFS14" s="108"/>
      <c r="WFT14" s="109"/>
      <c r="WFU14" s="107" t="s">
        <v>1</v>
      </c>
      <c r="WFV14" s="108"/>
      <c r="WFW14" s="108"/>
      <c r="WFX14" s="109"/>
      <c r="WFY14" s="107" t="s">
        <v>1</v>
      </c>
      <c r="WFZ14" s="108"/>
      <c r="WGA14" s="108"/>
      <c r="WGB14" s="109"/>
      <c r="WGC14" s="107" t="s">
        <v>1</v>
      </c>
      <c r="WGD14" s="108"/>
      <c r="WGE14" s="108"/>
      <c r="WGF14" s="109"/>
      <c r="WGG14" s="107" t="s">
        <v>1</v>
      </c>
      <c r="WGH14" s="108"/>
      <c r="WGI14" s="108"/>
      <c r="WGJ14" s="109"/>
      <c r="WGK14" s="107" t="s">
        <v>1</v>
      </c>
      <c r="WGL14" s="108"/>
      <c r="WGM14" s="108"/>
      <c r="WGN14" s="109"/>
      <c r="WGO14" s="107" t="s">
        <v>1</v>
      </c>
      <c r="WGP14" s="108"/>
      <c r="WGQ14" s="108"/>
      <c r="WGR14" s="109"/>
      <c r="WGS14" s="107" t="s">
        <v>1</v>
      </c>
      <c r="WGT14" s="108"/>
      <c r="WGU14" s="108"/>
      <c r="WGV14" s="109"/>
      <c r="WGW14" s="107" t="s">
        <v>1</v>
      </c>
      <c r="WGX14" s="108"/>
      <c r="WGY14" s="108"/>
      <c r="WGZ14" s="109"/>
      <c r="WHA14" s="107" t="s">
        <v>1</v>
      </c>
      <c r="WHB14" s="108"/>
      <c r="WHC14" s="108"/>
      <c r="WHD14" s="109"/>
      <c r="WHE14" s="107" t="s">
        <v>1</v>
      </c>
      <c r="WHF14" s="108"/>
      <c r="WHG14" s="108"/>
      <c r="WHH14" s="109"/>
      <c r="WHI14" s="107" t="s">
        <v>1</v>
      </c>
      <c r="WHJ14" s="108"/>
      <c r="WHK14" s="108"/>
      <c r="WHL14" s="109"/>
      <c r="WHM14" s="107" t="s">
        <v>1</v>
      </c>
      <c r="WHN14" s="108"/>
      <c r="WHO14" s="108"/>
      <c r="WHP14" s="109"/>
      <c r="WHQ14" s="107" t="s">
        <v>1</v>
      </c>
      <c r="WHR14" s="108"/>
      <c r="WHS14" s="108"/>
      <c r="WHT14" s="109"/>
      <c r="WHU14" s="107" t="s">
        <v>1</v>
      </c>
      <c r="WHV14" s="108"/>
      <c r="WHW14" s="108"/>
      <c r="WHX14" s="109"/>
      <c r="WHY14" s="107" t="s">
        <v>1</v>
      </c>
      <c r="WHZ14" s="108"/>
      <c r="WIA14" s="108"/>
      <c r="WIB14" s="109"/>
      <c r="WIC14" s="107" t="s">
        <v>1</v>
      </c>
      <c r="WID14" s="108"/>
      <c r="WIE14" s="108"/>
      <c r="WIF14" s="109"/>
      <c r="WIG14" s="107" t="s">
        <v>1</v>
      </c>
      <c r="WIH14" s="108"/>
      <c r="WII14" s="108"/>
      <c r="WIJ14" s="109"/>
      <c r="WIK14" s="107" t="s">
        <v>1</v>
      </c>
      <c r="WIL14" s="108"/>
      <c r="WIM14" s="108"/>
      <c r="WIN14" s="109"/>
      <c r="WIO14" s="107" t="s">
        <v>1</v>
      </c>
      <c r="WIP14" s="108"/>
      <c r="WIQ14" s="108"/>
      <c r="WIR14" s="109"/>
      <c r="WIS14" s="107" t="s">
        <v>1</v>
      </c>
      <c r="WIT14" s="108"/>
      <c r="WIU14" s="108"/>
      <c r="WIV14" s="109"/>
      <c r="WIW14" s="107" t="s">
        <v>1</v>
      </c>
      <c r="WIX14" s="108"/>
      <c r="WIY14" s="108"/>
      <c r="WIZ14" s="109"/>
      <c r="WJA14" s="107" t="s">
        <v>1</v>
      </c>
      <c r="WJB14" s="108"/>
      <c r="WJC14" s="108"/>
      <c r="WJD14" s="109"/>
      <c r="WJE14" s="107" t="s">
        <v>1</v>
      </c>
      <c r="WJF14" s="108"/>
      <c r="WJG14" s="108"/>
      <c r="WJH14" s="109"/>
      <c r="WJI14" s="107" t="s">
        <v>1</v>
      </c>
      <c r="WJJ14" s="108"/>
      <c r="WJK14" s="108"/>
      <c r="WJL14" s="109"/>
      <c r="WJM14" s="107" t="s">
        <v>1</v>
      </c>
      <c r="WJN14" s="108"/>
      <c r="WJO14" s="108"/>
      <c r="WJP14" s="109"/>
      <c r="WJQ14" s="107" t="s">
        <v>1</v>
      </c>
      <c r="WJR14" s="108"/>
      <c r="WJS14" s="108"/>
      <c r="WJT14" s="109"/>
      <c r="WJU14" s="107" t="s">
        <v>1</v>
      </c>
      <c r="WJV14" s="108"/>
      <c r="WJW14" s="108"/>
      <c r="WJX14" s="109"/>
      <c r="WJY14" s="107" t="s">
        <v>1</v>
      </c>
      <c r="WJZ14" s="108"/>
      <c r="WKA14" s="108"/>
      <c r="WKB14" s="109"/>
      <c r="WKC14" s="107" t="s">
        <v>1</v>
      </c>
      <c r="WKD14" s="108"/>
      <c r="WKE14" s="108"/>
      <c r="WKF14" s="109"/>
      <c r="WKG14" s="107" t="s">
        <v>1</v>
      </c>
      <c r="WKH14" s="108"/>
      <c r="WKI14" s="108"/>
      <c r="WKJ14" s="109"/>
      <c r="WKK14" s="107" t="s">
        <v>1</v>
      </c>
      <c r="WKL14" s="108"/>
      <c r="WKM14" s="108"/>
      <c r="WKN14" s="109"/>
      <c r="WKO14" s="107" t="s">
        <v>1</v>
      </c>
      <c r="WKP14" s="108"/>
      <c r="WKQ14" s="108"/>
      <c r="WKR14" s="109"/>
      <c r="WKS14" s="107" t="s">
        <v>1</v>
      </c>
      <c r="WKT14" s="108"/>
      <c r="WKU14" s="108"/>
      <c r="WKV14" s="109"/>
      <c r="WKW14" s="107" t="s">
        <v>1</v>
      </c>
      <c r="WKX14" s="108"/>
      <c r="WKY14" s="108"/>
      <c r="WKZ14" s="109"/>
      <c r="WLA14" s="107" t="s">
        <v>1</v>
      </c>
      <c r="WLB14" s="108"/>
      <c r="WLC14" s="108"/>
      <c r="WLD14" s="109"/>
      <c r="WLE14" s="107" t="s">
        <v>1</v>
      </c>
      <c r="WLF14" s="108"/>
      <c r="WLG14" s="108"/>
      <c r="WLH14" s="109"/>
      <c r="WLI14" s="107" t="s">
        <v>1</v>
      </c>
      <c r="WLJ14" s="108"/>
      <c r="WLK14" s="108"/>
      <c r="WLL14" s="109"/>
      <c r="WLM14" s="107" t="s">
        <v>1</v>
      </c>
      <c r="WLN14" s="108"/>
      <c r="WLO14" s="108"/>
      <c r="WLP14" s="109"/>
      <c r="WLQ14" s="107" t="s">
        <v>1</v>
      </c>
      <c r="WLR14" s="108"/>
      <c r="WLS14" s="108"/>
      <c r="WLT14" s="109"/>
      <c r="WLU14" s="107" t="s">
        <v>1</v>
      </c>
      <c r="WLV14" s="108"/>
      <c r="WLW14" s="108"/>
      <c r="WLX14" s="109"/>
      <c r="WLY14" s="107" t="s">
        <v>1</v>
      </c>
      <c r="WLZ14" s="108"/>
      <c r="WMA14" s="108"/>
      <c r="WMB14" s="109"/>
      <c r="WMC14" s="107" t="s">
        <v>1</v>
      </c>
      <c r="WMD14" s="108"/>
      <c r="WME14" s="108"/>
      <c r="WMF14" s="109"/>
      <c r="WMG14" s="107" t="s">
        <v>1</v>
      </c>
      <c r="WMH14" s="108"/>
      <c r="WMI14" s="108"/>
      <c r="WMJ14" s="109"/>
      <c r="WMK14" s="107" t="s">
        <v>1</v>
      </c>
      <c r="WML14" s="108"/>
      <c r="WMM14" s="108"/>
      <c r="WMN14" s="109"/>
      <c r="WMO14" s="107" t="s">
        <v>1</v>
      </c>
      <c r="WMP14" s="108"/>
      <c r="WMQ14" s="108"/>
      <c r="WMR14" s="109"/>
      <c r="WMS14" s="107" t="s">
        <v>1</v>
      </c>
      <c r="WMT14" s="108"/>
      <c r="WMU14" s="108"/>
      <c r="WMV14" s="109"/>
      <c r="WMW14" s="107" t="s">
        <v>1</v>
      </c>
      <c r="WMX14" s="108"/>
      <c r="WMY14" s="108"/>
      <c r="WMZ14" s="109"/>
      <c r="WNA14" s="107" t="s">
        <v>1</v>
      </c>
      <c r="WNB14" s="108"/>
      <c r="WNC14" s="108"/>
      <c r="WND14" s="109"/>
      <c r="WNE14" s="107" t="s">
        <v>1</v>
      </c>
      <c r="WNF14" s="108"/>
      <c r="WNG14" s="108"/>
      <c r="WNH14" s="109"/>
      <c r="WNI14" s="107" t="s">
        <v>1</v>
      </c>
      <c r="WNJ14" s="108"/>
      <c r="WNK14" s="108"/>
      <c r="WNL14" s="109"/>
      <c r="WNM14" s="107" t="s">
        <v>1</v>
      </c>
      <c r="WNN14" s="108"/>
      <c r="WNO14" s="108"/>
      <c r="WNP14" s="109"/>
      <c r="WNQ14" s="107" t="s">
        <v>1</v>
      </c>
      <c r="WNR14" s="108"/>
      <c r="WNS14" s="108"/>
      <c r="WNT14" s="109"/>
      <c r="WNU14" s="107" t="s">
        <v>1</v>
      </c>
      <c r="WNV14" s="108"/>
      <c r="WNW14" s="108"/>
      <c r="WNX14" s="109"/>
      <c r="WNY14" s="107" t="s">
        <v>1</v>
      </c>
      <c r="WNZ14" s="108"/>
      <c r="WOA14" s="108"/>
      <c r="WOB14" s="109"/>
      <c r="WOC14" s="107" t="s">
        <v>1</v>
      </c>
      <c r="WOD14" s="108"/>
      <c r="WOE14" s="108"/>
      <c r="WOF14" s="109"/>
      <c r="WOG14" s="107" t="s">
        <v>1</v>
      </c>
      <c r="WOH14" s="108"/>
      <c r="WOI14" s="108"/>
      <c r="WOJ14" s="109"/>
      <c r="WOK14" s="107" t="s">
        <v>1</v>
      </c>
      <c r="WOL14" s="108"/>
      <c r="WOM14" s="108"/>
      <c r="WON14" s="109"/>
      <c r="WOO14" s="107" t="s">
        <v>1</v>
      </c>
      <c r="WOP14" s="108"/>
      <c r="WOQ14" s="108"/>
      <c r="WOR14" s="109"/>
      <c r="WOS14" s="107" t="s">
        <v>1</v>
      </c>
      <c r="WOT14" s="108"/>
      <c r="WOU14" s="108"/>
      <c r="WOV14" s="109"/>
      <c r="WOW14" s="107" t="s">
        <v>1</v>
      </c>
      <c r="WOX14" s="108"/>
      <c r="WOY14" s="108"/>
      <c r="WOZ14" s="109"/>
      <c r="WPA14" s="107" t="s">
        <v>1</v>
      </c>
      <c r="WPB14" s="108"/>
      <c r="WPC14" s="108"/>
      <c r="WPD14" s="109"/>
      <c r="WPE14" s="107" t="s">
        <v>1</v>
      </c>
      <c r="WPF14" s="108"/>
      <c r="WPG14" s="108"/>
      <c r="WPH14" s="109"/>
      <c r="WPI14" s="107" t="s">
        <v>1</v>
      </c>
      <c r="WPJ14" s="108"/>
      <c r="WPK14" s="108"/>
      <c r="WPL14" s="109"/>
      <c r="WPM14" s="107" t="s">
        <v>1</v>
      </c>
      <c r="WPN14" s="108"/>
      <c r="WPO14" s="108"/>
      <c r="WPP14" s="109"/>
      <c r="WPQ14" s="107" t="s">
        <v>1</v>
      </c>
      <c r="WPR14" s="108"/>
      <c r="WPS14" s="108"/>
      <c r="WPT14" s="109"/>
      <c r="WPU14" s="107" t="s">
        <v>1</v>
      </c>
      <c r="WPV14" s="108"/>
      <c r="WPW14" s="108"/>
      <c r="WPX14" s="109"/>
      <c r="WPY14" s="107" t="s">
        <v>1</v>
      </c>
      <c r="WPZ14" s="108"/>
      <c r="WQA14" s="108"/>
      <c r="WQB14" s="109"/>
      <c r="WQC14" s="107" t="s">
        <v>1</v>
      </c>
      <c r="WQD14" s="108"/>
      <c r="WQE14" s="108"/>
      <c r="WQF14" s="109"/>
      <c r="WQG14" s="107" t="s">
        <v>1</v>
      </c>
      <c r="WQH14" s="108"/>
      <c r="WQI14" s="108"/>
      <c r="WQJ14" s="109"/>
      <c r="WQK14" s="107" t="s">
        <v>1</v>
      </c>
      <c r="WQL14" s="108"/>
      <c r="WQM14" s="108"/>
      <c r="WQN14" s="109"/>
      <c r="WQO14" s="107" t="s">
        <v>1</v>
      </c>
      <c r="WQP14" s="108"/>
      <c r="WQQ14" s="108"/>
      <c r="WQR14" s="109"/>
      <c r="WQS14" s="107" t="s">
        <v>1</v>
      </c>
      <c r="WQT14" s="108"/>
      <c r="WQU14" s="108"/>
      <c r="WQV14" s="109"/>
      <c r="WQW14" s="107" t="s">
        <v>1</v>
      </c>
      <c r="WQX14" s="108"/>
      <c r="WQY14" s="108"/>
      <c r="WQZ14" s="109"/>
      <c r="WRA14" s="107" t="s">
        <v>1</v>
      </c>
      <c r="WRB14" s="108"/>
      <c r="WRC14" s="108"/>
      <c r="WRD14" s="109"/>
      <c r="WRE14" s="107" t="s">
        <v>1</v>
      </c>
      <c r="WRF14" s="108"/>
      <c r="WRG14" s="108"/>
      <c r="WRH14" s="109"/>
      <c r="WRI14" s="107" t="s">
        <v>1</v>
      </c>
      <c r="WRJ14" s="108"/>
      <c r="WRK14" s="108"/>
      <c r="WRL14" s="109"/>
      <c r="WRM14" s="107" t="s">
        <v>1</v>
      </c>
      <c r="WRN14" s="108"/>
      <c r="WRO14" s="108"/>
      <c r="WRP14" s="109"/>
      <c r="WRQ14" s="107" t="s">
        <v>1</v>
      </c>
      <c r="WRR14" s="108"/>
      <c r="WRS14" s="108"/>
      <c r="WRT14" s="109"/>
      <c r="WRU14" s="107" t="s">
        <v>1</v>
      </c>
      <c r="WRV14" s="108"/>
      <c r="WRW14" s="108"/>
      <c r="WRX14" s="109"/>
      <c r="WRY14" s="107" t="s">
        <v>1</v>
      </c>
      <c r="WRZ14" s="108"/>
      <c r="WSA14" s="108"/>
      <c r="WSB14" s="109"/>
      <c r="WSC14" s="107" t="s">
        <v>1</v>
      </c>
      <c r="WSD14" s="108"/>
      <c r="WSE14" s="108"/>
      <c r="WSF14" s="109"/>
      <c r="WSG14" s="107" t="s">
        <v>1</v>
      </c>
      <c r="WSH14" s="108"/>
      <c r="WSI14" s="108"/>
      <c r="WSJ14" s="109"/>
      <c r="WSK14" s="107" t="s">
        <v>1</v>
      </c>
      <c r="WSL14" s="108"/>
      <c r="WSM14" s="108"/>
      <c r="WSN14" s="109"/>
      <c r="WSO14" s="107" t="s">
        <v>1</v>
      </c>
      <c r="WSP14" s="108"/>
      <c r="WSQ14" s="108"/>
      <c r="WSR14" s="109"/>
      <c r="WSS14" s="107" t="s">
        <v>1</v>
      </c>
      <c r="WST14" s="108"/>
      <c r="WSU14" s="108"/>
      <c r="WSV14" s="109"/>
      <c r="WSW14" s="107" t="s">
        <v>1</v>
      </c>
      <c r="WSX14" s="108"/>
      <c r="WSY14" s="108"/>
      <c r="WSZ14" s="109"/>
      <c r="WTA14" s="107" t="s">
        <v>1</v>
      </c>
      <c r="WTB14" s="108"/>
      <c r="WTC14" s="108"/>
      <c r="WTD14" s="109"/>
      <c r="WTE14" s="107" t="s">
        <v>1</v>
      </c>
      <c r="WTF14" s="108"/>
      <c r="WTG14" s="108"/>
      <c r="WTH14" s="109"/>
      <c r="WTI14" s="107" t="s">
        <v>1</v>
      </c>
      <c r="WTJ14" s="108"/>
      <c r="WTK14" s="108"/>
      <c r="WTL14" s="109"/>
      <c r="WTM14" s="107" t="s">
        <v>1</v>
      </c>
      <c r="WTN14" s="108"/>
      <c r="WTO14" s="108"/>
      <c r="WTP14" s="109"/>
      <c r="WTQ14" s="107" t="s">
        <v>1</v>
      </c>
      <c r="WTR14" s="108"/>
      <c r="WTS14" s="108"/>
      <c r="WTT14" s="109"/>
      <c r="WTU14" s="107" t="s">
        <v>1</v>
      </c>
      <c r="WTV14" s="108"/>
      <c r="WTW14" s="108"/>
      <c r="WTX14" s="109"/>
      <c r="WTY14" s="107" t="s">
        <v>1</v>
      </c>
      <c r="WTZ14" s="108"/>
      <c r="WUA14" s="108"/>
      <c r="WUB14" s="109"/>
      <c r="WUC14" s="107" t="s">
        <v>1</v>
      </c>
      <c r="WUD14" s="108"/>
      <c r="WUE14" s="108"/>
      <c r="WUF14" s="109"/>
      <c r="WUG14" s="107" t="s">
        <v>1</v>
      </c>
      <c r="WUH14" s="108"/>
      <c r="WUI14" s="108"/>
      <c r="WUJ14" s="109"/>
      <c r="WUK14" s="107" t="s">
        <v>1</v>
      </c>
      <c r="WUL14" s="108"/>
      <c r="WUM14" s="108"/>
      <c r="WUN14" s="109"/>
      <c r="WUO14" s="107" t="s">
        <v>1</v>
      </c>
      <c r="WUP14" s="108"/>
      <c r="WUQ14" s="108"/>
      <c r="WUR14" s="109"/>
      <c r="WUS14" s="107" t="s">
        <v>1</v>
      </c>
      <c r="WUT14" s="108"/>
      <c r="WUU14" s="108"/>
      <c r="WUV14" s="109"/>
      <c r="WUW14" s="107" t="s">
        <v>1</v>
      </c>
      <c r="WUX14" s="108"/>
      <c r="WUY14" s="108"/>
      <c r="WUZ14" s="109"/>
      <c r="WVA14" s="107" t="s">
        <v>1</v>
      </c>
      <c r="WVB14" s="108"/>
      <c r="WVC14" s="108"/>
      <c r="WVD14" s="109"/>
      <c r="WVE14" s="107" t="s">
        <v>1</v>
      </c>
      <c r="WVF14" s="108"/>
      <c r="WVG14" s="108"/>
      <c r="WVH14" s="109"/>
      <c r="WVI14" s="107" t="s">
        <v>1</v>
      </c>
      <c r="WVJ14" s="108"/>
      <c r="WVK14" s="108"/>
      <c r="WVL14" s="109"/>
      <c r="WVM14" s="107" t="s">
        <v>1</v>
      </c>
      <c r="WVN14" s="108"/>
      <c r="WVO14" s="108"/>
      <c r="WVP14" s="109"/>
      <c r="WVQ14" s="107" t="s">
        <v>1</v>
      </c>
      <c r="WVR14" s="108"/>
      <c r="WVS14" s="108"/>
      <c r="WVT14" s="109"/>
      <c r="WVU14" s="107" t="s">
        <v>1</v>
      </c>
      <c r="WVV14" s="108"/>
      <c r="WVW14" s="108"/>
      <c r="WVX14" s="109"/>
      <c r="WVY14" s="107" t="s">
        <v>1</v>
      </c>
      <c r="WVZ14" s="108"/>
      <c r="WWA14" s="108"/>
      <c r="WWB14" s="109"/>
      <c r="WWC14" s="107" t="s">
        <v>1</v>
      </c>
      <c r="WWD14" s="108"/>
      <c r="WWE14" s="108"/>
      <c r="WWF14" s="109"/>
      <c r="WWG14" s="107" t="s">
        <v>1</v>
      </c>
      <c r="WWH14" s="108"/>
      <c r="WWI14" s="108"/>
      <c r="WWJ14" s="109"/>
      <c r="WWK14" s="107" t="s">
        <v>1</v>
      </c>
      <c r="WWL14" s="108"/>
      <c r="WWM14" s="108"/>
      <c r="WWN14" s="109"/>
      <c r="WWO14" s="107" t="s">
        <v>1</v>
      </c>
      <c r="WWP14" s="108"/>
      <c r="WWQ14" s="108"/>
      <c r="WWR14" s="109"/>
      <c r="WWS14" s="107" t="s">
        <v>1</v>
      </c>
      <c r="WWT14" s="108"/>
      <c r="WWU14" s="108"/>
      <c r="WWV14" s="109"/>
      <c r="WWW14" s="107" t="s">
        <v>1</v>
      </c>
      <c r="WWX14" s="108"/>
      <c r="WWY14" s="108"/>
      <c r="WWZ14" s="109"/>
      <c r="WXA14" s="107" t="s">
        <v>1</v>
      </c>
      <c r="WXB14" s="108"/>
      <c r="WXC14" s="108"/>
      <c r="WXD14" s="109"/>
      <c r="WXE14" s="107" t="s">
        <v>1</v>
      </c>
      <c r="WXF14" s="108"/>
      <c r="WXG14" s="108"/>
      <c r="WXH14" s="109"/>
      <c r="WXI14" s="107" t="s">
        <v>1</v>
      </c>
      <c r="WXJ14" s="108"/>
      <c r="WXK14" s="108"/>
      <c r="WXL14" s="109"/>
      <c r="WXM14" s="107" t="s">
        <v>1</v>
      </c>
      <c r="WXN14" s="108"/>
      <c r="WXO14" s="108"/>
      <c r="WXP14" s="109"/>
      <c r="WXQ14" s="107" t="s">
        <v>1</v>
      </c>
      <c r="WXR14" s="108"/>
      <c r="WXS14" s="108"/>
      <c r="WXT14" s="109"/>
      <c r="WXU14" s="107" t="s">
        <v>1</v>
      </c>
      <c r="WXV14" s="108"/>
      <c r="WXW14" s="108"/>
      <c r="WXX14" s="109"/>
      <c r="WXY14" s="107" t="s">
        <v>1</v>
      </c>
      <c r="WXZ14" s="108"/>
      <c r="WYA14" s="108"/>
      <c r="WYB14" s="109"/>
      <c r="WYC14" s="107" t="s">
        <v>1</v>
      </c>
      <c r="WYD14" s="108"/>
      <c r="WYE14" s="108"/>
      <c r="WYF14" s="109"/>
      <c r="WYG14" s="107" t="s">
        <v>1</v>
      </c>
      <c r="WYH14" s="108"/>
      <c r="WYI14" s="108"/>
      <c r="WYJ14" s="109"/>
      <c r="WYK14" s="107" t="s">
        <v>1</v>
      </c>
      <c r="WYL14" s="108"/>
      <c r="WYM14" s="108"/>
      <c r="WYN14" s="109"/>
      <c r="WYO14" s="107" t="s">
        <v>1</v>
      </c>
      <c r="WYP14" s="108"/>
      <c r="WYQ14" s="108"/>
      <c r="WYR14" s="109"/>
      <c r="WYS14" s="107" t="s">
        <v>1</v>
      </c>
      <c r="WYT14" s="108"/>
      <c r="WYU14" s="108"/>
      <c r="WYV14" s="109"/>
      <c r="WYW14" s="107" t="s">
        <v>1</v>
      </c>
      <c r="WYX14" s="108"/>
      <c r="WYY14" s="108"/>
      <c r="WYZ14" s="109"/>
      <c r="WZA14" s="107" t="s">
        <v>1</v>
      </c>
      <c r="WZB14" s="108"/>
      <c r="WZC14" s="108"/>
      <c r="WZD14" s="109"/>
      <c r="WZE14" s="107" t="s">
        <v>1</v>
      </c>
      <c r="WZF14" s="108"/>
      <c r="WZG14" s="108"/>
      <c r="WZH14" s="109"/>
      <c r="WZI14" s="107" t="s">
        <v>1</v>
      </c>
      <c r="WZJ14" s="108"/>
      <c r="WZK14" s="108"/>
      <c r="WZL14" s="109"/>
      <c r="WZM14" s="107" t="s">
        <v>1</v>
      </c>
      <c r="WZN14" s="108"/>
      <c r="WZO14" s="108"/>
      <c r="WZP14" s="109"/>
      <c r="WZQ14" s="107" t="s">
        <v>1</v>
      </c>
      <c r="WZR14" s="108"/>
      <c r="WZS14" s="108"/>
      <c r="WZT14" s="109"/>
      <c r="WZU14" s="107" t="s">
        <v>1</v>
      </c>
      <c r="WZV14" s="108"/>
      <c r="WZW14" s="108"/>
      <c r="WZX14" s="109"/>
      <c r="WZY14" s="107" t="s">
        <v>1</v>
      </c>
      <c r="WZZ14" s="108"/>
      <c r="XAA14" s="108"/>
      <c r="XAB14" s="109"/>
      <c r="XAC14" s="107" t="s">
        <v>1</v>
      </c>
      <c r="XAD14" s="108"/>
      <c r="XAE14" s="108"/>
      <c r="XAF14" s="109"/>
      <c r="XAG14" s="107" t="s">
        <v>1</v>
      </c>
      <c r="XAH14" s="108"/>
      <c r="XAI14" s="108"/>
      <c r="XAJ14" s="109"/>
      <c r="XAK14" s="107" t="s">
        <v>1</v>
      </c>
      <c r="XAL14" s="108"/>
      <c r="XAM14" s="108"/>
      <c r="XAN14" s="109"/>
      <c r="XAO14" s="107" t="s">
        <v>1</v>
      </c>
      <c r="XAP14" s="108"/>
      <c r="XAQ14" s="108"/>
      <c r="XAR14" s="109"/>
      <c r="XAS14" s="107" t="s">
        <v>1</v>
      </c>
      <c r="XAT14" s="108"/>
      <c r="XAU14" s="108"/>
      <c r="XAV14" s="109"/>
      <c r="XAW14" s="107" t="s">
        <v>1</v>
      </c>
      <c r="XAX14" s="108"/>
      <c r="XAY14" s="108"/>
      <c r="XAZ14" s="109"/>
      <c r="XBA14" s="107" t="s">
        <v>1</v>
      </c>
      <c r="XBB14" s="108"/>
      <c r="XBC14" s="108"/>
      <c r="XBD14" s="109"/>
      <c r="XBE14" s="107" t="s">
        <v>1</v>
      </c>
      <c r="XBF14" s="108"/>
      <c r="XBG14" s="108"/>
      <c r="XBH14" s="109"/>
      <c r="XBI14" s="107" t="s">
        <v>1</v>
      </c>
      <c r="XBJ14" s="108"/>
      <c r="XBK14" s="108"/>
      <c r="XBL14" s="109"/>
      <c r="XBM14" s="107" t="s">
        <v>1</v>
      </c>
      <c r="XBN14" s="108"/>
      <c r="XBO14" s="108"/>
      <c r="XBP14" s="109"/>
      <c r="XBQ14" s="107" t="s">
        <v>1</v>
      </c>
      <c r="XBR14" s="108"/>
      <c r="XBS14" s="108"/>
      <c r="XBT14" s="109"/>
      <c r="XBU14" s="107" t="s">
        <v>1</v>
      </c>
      <c r="XBV14" s="108"/>
      <c r="XBW14" s="108"/>
      <c r="XBX14" s="109"/>
      <c r="XBY14" s="107" t="s">
        <v>1</v>
      </c>
      <c r="XBZ14" s="108"/>
      <c r="XCA14" s="108"/>
      <c r="XCB14" s="109"/>
      <c r="XCC14" s="107" t="s">
        <v>1</v>
      </c>
      <c r="XCD14" s="108"/>
      <c r="XCE14" s="108"/>
      <c r="XCF14" s="109"/>
      <c r="XCG14" s="107" t="s">
        <v>1</v>
      </c>
      <c r="XCH14" s="108"/>
      <c r="XCI14" s="108"/>
      <c r="XCJ14" s="109"/>
      <c r="XCK14" s="107" t="s">
        <v>1</v>
      </c>
      <c r="XCL14" s="108"/>
      <c r="XCM14" s="108"/>
      <c r="XCN14" s="109"/>
      <c r="XCO14" s="107" t="s">
        <v>1</v>
      </c>
      <c r="XCP14" s="108"/>
      <c r="XCQ14" s="108"/>
      <c r="XCR14" s="109"/>
      <c r="XCS14" s="107" t="s">
        <v>1</v>
      </c>
      <c r="XCT14" s="108"/>
      <c r="XCU14" s="108"/>
      <c r="XCV14" s="109"/>
      <c r="XCW14" s="107" t="s">
        <v>1</v>
      </c>
      <c r="XCX14" s="108"/>
      <c r="XCY14" s="108"/>
      <c r="XCZ14" s="109"/>
      <c r="XDA14" s="107" t="s">
        <v>1</v>
      </c>
      <c r="XDB14" s="108"/>
      <c r="XDC14" s="108"/>
      <c r="XDD14" s="109"/>
      <c r="XDE14" s="107" t="s">
        <v>1</v>
      </c>
      <c r="XDF14" s="108"/>
      <c r="XDG14" s="108"/>
      <c r="XDH14" s="109"/>
      <c r="XDI14" s="107" t="s">
        <v>1</v>
      </c>
      <c r="XDJ14" s="108"/>
      <c r="XDK14" s="108"/>
      <c r="XDL14" s="109"/>
      <c r="XDM14" s="107" t="s">
        <v>1</v>
      </c>
      <c r="XDN14" s="108"/>
      <c r="XDO14" s="108"/>
      <c r="XDP14" s="109"/>
      <c r="XDQ14" s="107" t="s">
        <v>1</v>
      </c>
      <c r="XDR14" s="108"/>
      <c r="XDS14" s="108"/>
      <c r="XDT14" s="109"/>
      <c r="XDU14" s="107" t="s">
        <v>1</v>
      </c>
      <c r="XDV14" s="108"/>
      <c r="XDW14" s="108"/>
      <c r="XDX14" s="109"/>
      <c r="XDY14" s="107" t="s">
        <v>1</v>
      </c>
      <c r="XDZ14" s="108"/>
      <c r="XEA14" s="108"/>
      <c r="XEB14" s="109"/>
      <c r="XEC14" s="107" t="s">
        <v>1</v>
      </c>
      <c r="XED14" s="108"/>
      <c r="XEE14" s="108"/>
      <c r="XEF14" s="109"/>
      <c r="XEG14" s="107" t="s">
        <v>1</v>
      </c>
      <c r="XEH14" s="108"/>
      <c r="XEI14" s="108"/>
      <c r="XEJ14" s="109"/>
      <c r="XEK14" s="107" t="s">
        <v>1</v>
      </c>
      <c r="XEL14" s="108"/>
      <c r="XEM14" s="108"/>
      <c r="XEN14" s="109"/>
      <c r="XEO14" s="107" t="s">
        <v>1</v>
      </c>
      <c r="XEP14" s="108"/>
      <c r="XEQ14" s="108"/>
      <c r="XER14" s="109"/>
      <c r="XES14" s="107" t="s">
        <v>1</v>
      </c>
      <c r="XET14" s="108"/>
      <c r="XEU14" s="108"/>
      <c r="XEV14" s="109"/>
      <c r="XEW14" s="107" t="s">
        <v>1</v>
      </c>
      <c r="XEX14" s="108"/>
      <c r="XEY14" s="108"/>
      <c r="XEZ14" s="109"/>
    </row>
    <row r="15" spans="1:16380" ht="33" customHeight="1" x14ac:dyDescent="0.25">
      <c r="A15" s="69" t="s">
        <v>181</v>
      </c>
      <c r="B15" s="10" t="s">
        <v>82</v>
      </c>
      <c r="C15" s="31" t="s">
        <v>83</v>
      </c>
      <c r="D15" s="72" t="s">
        <v>182</v>
      </c>
      <c r="E15" s="4"/>
      <c r="F15" s="4"/>
      <c r="G15" s="4"/>
      <c r="H15" s="4"/>
    </row>
    <row r="16" spans="1:16380" ht="22.5" customHeight="1" x14ac:dyDescent="0.2">
      <c r="A16" s="104" t="s">
        <v>890</v>
      </c>
      <c r="B16" s="104"/>
      <c r="C16" s="104"/>
      <c r="D16" s="104"/>
    </row>
    <row r="17" spans="1:8" s="8" customFormat="1" ht="45.75" customHeight="1" x14ac:dyDescent="0.25">
      <c r="A17" s="9" t="s">
        <v>179</v>
      </c>
      <c r="B17" s="119" t="s">
        <v>913</v>
      </c>
      <c r="C17" s="120"/>
      <c r="D17" s="121"/>
      <c r="E17" s="8" t="s">
        <v>148</v>
      </c>
      <c r="F17" s="8" t="s">
        <v>149</v>
      </c>
      <c r="G17" s="8" t="s">
        <v>150</v>
      </c>
    </row>
    <row r="18" spans="1:8" s="8" customFormat="1" ht="15.75" x14ac:dyDescent="0.25">
      <c r="A18" s="17" t="s">
        <v>86</v>
      </c>
      <c r="B18" s="71" t="s">
        <v>911</v>
      </c>
      <c r="C18" s="122" t="s">
        <v>912</v>
      </c>
      <c r="D18" s="124" t="str">
        <f>IFERROR(INDEX(Data_Sheet[Lead Time Total], MATCH('AROW - Instructions'!$B$17, Data_Sheet[Concatenate C+D],0)),"")</f>
        <v/>
      </c>
      <c r="E18" s="1">
        <v>1</v>
      </c>
      <c r="F18" s="16" t="str">
        <f>IF($B$19="", "", B19)</f>
        <v>Requested pickup/service for project date,
 OEM does not provide shipping, format: MM/DD/YYYY</v>
      </c>
      <c r="G18" s="1" t="str">
        <f>IFERROR(_xlfn.DAYS(F18,$D$5)&gt;D18, "")</f>
        <v/>
      </c>
    </row>
    <row r="19" spans="1:8" ht="63" customHeight="1" x14ac:dyDescent="0.25">
      <c r="A19" s="18" t="s">
        <v>965</v>
      </c>
      <c r="B19" s="70" t="s">
        <v>910</v>
      </c>
      <c r="C19" s="123"/>
      <c r="D19" s="125"/>
      <c r="E19" s="1">
        <v>2</v>
      </c>
      <c r="F19" s="16" t="str">
        <f>IF($B$25="","",B25)</f>
        <v>MM/DD/YYYY</v>
      </c>
      <c r="G19" s="1" t="str">
        <f>IFERROR(_xlfn.DAYS(F19,$D$5)&gt;D24, "")</f>
        <v/>
      </c>
    </row>
    <row r="20" spans="1:8" ht="16.5" hidden="1" thickBot="1" x14ac:dyDescent="0.3">
      <c r="A20" s="24" t="s">
        <v>9</v>
      </c>
      <c r="B20" s="51" t="s">
        <v>142</v>
      </c>
      <c r="C20" s="24" t="s">
        <v>152</v>
      </c>
      <c r="D20" s="50"/>
      <c r="E20" s="2">
        <v>3</v>
      </c>
      <c r="F20" s="16" t="str">
        <f>IF($B$31="", "", B31)</f>
        <v>MM/DD/YYYY</v>
      </c>
      <c r="G20" s="1" t="str">
        <f>IFERROR(_xlfn.DAYS(F20,$D$5)&gt;D30, "")</f>
        <v/>
      </c>
    </row>
    <row r="21" spans="1:8" ht="15.75" hidden="1" x14ac:dyDescent="0.25">
      <c r="A21" s="24" t="s">
        <v>9</v>
      </c>
      <c r="B21" s="51" t="s">
        <v>142</v>
      </c>
      <c r="C21" s="24" t="s">
        <v>152</v>
      </c>
      <c r="D21" s="50"/>
      <c r="E21" s="7">
        <v>4</v>
      </c>
      <c r="F21" s="16" t="str">
        <f>IF($B$37="", "", B37)</f>
        <v>MM/DD/YYYY</v>
      </c>
      <c r="G21" s="1" t="str">
        <f>IFERROR(_xlfn.DAYS(F21,$D$5)&gt;D36, "")</f>
        <v/>
      </c>
    </row>
    <row r="22" spans="1:8" s="7" customFormat="1" ht="8.25" customHeight="1" x14ac:dyDescent="0.2">
      <c r="A22" s="104"/>
      <c r="B22" s="104"/>
      <c r="C22" s="104"/>
      <c r="D22" s="104"/>
      <c r="E22" s="7">
        <v>5</v>
      </c>
      <c r="F22" s="16" t="str">
        <f>IF($B$43="", "", B43)</f>
        <v>MM/DD/YYYY</v>
      </c>
      <c r="G22" s="1" t="str">
        <f>IFERROR(_xlfn.DAYS(F22,$D$5)&gt;D42, "")</f>
        <v/>
      </c>
      <c r="H22" s="1"/>
    </row>
    <row r="23" spans="1:8" s="8" customFormat="1" ht="15.75" x14ac:dyDescent="0.25">
      <c r="A23" s="19" t="s">
        <v>87</v>
      </c>
      <c r="B23" s="126" t="s">
        <v>920</v>
      </c>
      <c r="C23" s="127"/>
      <c r="D23" s="128"/>
      <c r="E23" s="7">
        <v>6</v>
      </c>
      <c r="F23" s="16" t="str">
        <f>IF($B$49="", "", B49)</f>
        <v>MM/DD/YYYY</v>
      </c>
      <c r="G23" s="1" t="str">
        <f>IFERROR(_xlfn.DAYS(F23,$D$5)&gt;D48, "")</f>
        <v/>
      </c>
    </row>
    <row r="24" spans="1:8" s="8" customFormat="1" ht="15.75" x14ac:dyDescent="0.25">
      <c r="A24" s="24" t="s">
        <v>86</v>
      </c>
      <c r="B24" s="41"/>
      <c r="C24" s="122" t="s">
        <v>97</v>
      </c>
      <c r="D24" s="124" t="str">
        <f>IFERROR(INDEX(Data_Sheet[Lead Time Total], MATCH('AROW - Instructions'!$B$23, Data_Sheet[Concatenate C+D],0)),"")</f>
        <v/>
      </c>
      <c r="E24" s="8">
        <v>7</v>
      </c>
      <c r="F24" s="16" t="str">
        <f>IF($B$55="", "", B55)</f>
        <v>MM/DD/YYYY</v>
      </c>
      <c r="G24" s="1" t="str">
        <f>IFERROR(_xlfn.DAYS(F24,$D$5)&gt;D54, "")</f>
        <v/>
      </c>
    </row>
    <row r="25" spans="1:8" ht="15.75" x14ac:dyDescent="0.25">
      <c r="A25" s="24" t="s">
        <v>963</v>
      </c>
      <c r="B25" s="42" t="s">
        <v>182</v>
      </c>
      <c r="C25" s="123"/>
      <c r="D25" s="125"/>
      <c r="E25" s="1">
        <v>8</v>
      </c>
      <c r="F25" s="16" t="str">
        <f>IF($B$61="", "", B61)</f>
        <v>MM/DD/YYYY</v>
      </c>
      <c r="G25" s="1" t="str">
        <f>IFERROR(_xlfn.DAYS(F25,$D$5)&gt;D60, "")</f>
        <v/>
      </c>
    </row>
    <row r="26" spans="1:8" ht="15.75" hidden="1" x14ac:dyDescent="0.25">
      <c r="A26" s="24" t="s">
        <v>9</v>
      </c>
      <c r="B26" s="51" t="s">
        <v>142</v>
      </c>
      <c r="C26" s="24" t="s">
        <v>152</v>
      </c>
      <c r="D26" s="50"/>
      <c r="E26" s="1">
        <v>9</v>
      </c>
      <c r="F26" s="16" t="str">
        <f>IF($B$67="", "", B67)</f>
        <v>MM/DD/YYYY</v>
      </c>
      <c r="G26" s="1" t="str">
        <f>IFERROR(_xlfn.DAYS(F26,$D$5)&gt;D66, "")</f>
        <v/>
      </c>
    </row>
    <row r="27" spans="1:8" ht="16.5" hidden="1" thickBot="1" x14ac:dyDescent="0.3">
      <c r="A27" s="24" t="s">
        <v>9</v>
      </c>
      <c r="B27" s="51" t="s">
        <v>142</v>
      </c>
      <c r="C27" s="24" t="s">
        <v>152</v>
      </c>
      <c r="D27" s="50"/>
      <c r="E27" s="2">
        <v>10</v>
      </c>
      <c r="F27" s="16" t="str">
        <f>IF($B$73="", "", B73)</f>
        <v>MM/DD/YYYY</v>
      </c>
      <c r="G27" s="1" t="str">
        <f>IFERROR(_xlfn.DAYS(F27,$D$5)&gt;D72, "")</f>
        <v/>
      </c>
    </row>
    <row r="28" spans="1:8" s="8" customFormat="1" ht="8.25" customHeight="1" x14ac:dyDescent="0.2">
      <c r="A28" s="104"/>
      <c r="B28" s="104"/>
      <c r="C28" s="104"/>
      <c r="D28" s="104"/>
      <c r="E28" s="7"/>
      <c r="F28" s="7"/>
      <c r="G28" s="7">
        <f>COUNTIF(G18:G27, "False")</f>
        <v>0</v>
      </c>
    </row>
    <row r="29" spans="1:8" s="8" customFormat="1" ht="15.75" x14ac:dyDescent="0.25">
      <c r="A29" s="24" t="s">
        <v>88</v>
      </c>
      <c r="B29" s="126" t="s">
        <v>920</v>
      </c>
      <c r="C29" s="127"/>
      <c r="D29" s="128"/>
      <c r="E29" s="3"/>
      <c r="F29" s="3"/>
      <c r="G29" s="1">
        <f>IF(ISNUMBER(G28), G28, "")</f>
        <v>0</v>
      </c>
    </row>
    <row r="30" spans="1:8" ht="15.75" x14ac:dyDescent="0.25">
      <c r="A30" s="24" t="s">
        <v>86</v>
      </c>
      <c r="B30" s="41"/>
      <c r="C30" s="122" t="s">
        <v>97</v>
      </c>
      <c r="D30" s="124" t="str">
        <f>IFERROR(INDEX(Data_Sheet[Lead Time Total], MATCH('AROW - Instructions'!$B$29, Data_Sheet[Concatenate C+D],0)),"")</f>
        <v/>
      </c>
      <c r="F30" s="16"/>
    </row>
    <row r="31" spans="1:8" ht="15.75" x14ac:dyDescent="0.25">
      <c r="A31" s="24" t="s">
        <v>963</v>
      </c>
      <c r="B31" s="42" t="s">
        <v>182</v>
      </c>
      <c r="C31" s="123"/>
      <c r="D31" s="125"/>
      <c r="F31" s="16"/>
    </row>
    <row r="32" spans="1:8" s="7" customFormat="1" ht="15.75" hidden="1" x14ac:dyDescent="0.25">
      <c r="A32" s="24" t="s">
        <v>9</v>
      </c>
      <c r="B32" s="51" t="s">
        <v>142</v>
      </c>
      <c r="C32" s="24" t="s">
        <v>152</v>
      </c>
      <c r="D32" s="50"/>
      <c r="F32" s="16"/>
      <c r="G32" s="1"/>
      <c r="H32" s="1"/>
    </row>
    <row r="33" spans="1:8" s="7" customFormat="1" ht="15.75" hidden="1" x14ac:dyDescent="0.25">
      <c r="A33" s="24" t="s">
        <v>9</v>
      </c>
      <c r="B33" s="51" t="s">
        <v>142</v>
      </c>
      <c r="C33" s="24" t="s">
        <v>152</v>
      </c>
      <c r="D33" s="50"/>
      <c r="F33" s="16"/>
      <c r="G33" s="1"/>
      <c r="H33" s="1"/>
    </row>
    <row r="34" spans="1:8" s="7" customFormat="1" ht="8.25" customHeight="1" x14ac:dyDescent="0.2">
      <c r="A34" s="104"/>
      <c r="B34" s="104"/>
      <c r="C34" s="104"/>
      <c r="D34" s="104"/>
      <c r="F34" s="16"/>
      <c r="G34" s="1"/>
      <c r="H34" s="1"/>
    </row>
    <row r="35" spans="1:8" s="8" customFormat="1" ht="15.75" x14ac:dyDescent="0.25">
      <c r="A35" s="24" t="s">
        <v>89</v>
      </c>
      <c r="B35" s="126" t="s">
        <v>920</v>
      </c>
      <c r="C35" s="127"/>
      <c r="D35" s="128"/>
      <c r="F35" s="16"/>
      <c r="G35" s="1"/>
      <c r="H35" s="1"/>
    </row>
    <row r="36" spans="1:8" ht="15.75" x14ac:dyDescent="0.25">
      <c r="A36" s="24" t="s">
        <v>86</v>
      </c>
      <c r="B36" s="41"/>
      <c r="C36" s="122" t="s">
        <v>97</v>
      </c>
      <c r="D36" s="124" t="str">
        <f>IFERROR(INDEX(Data_Sheet[Lead Time Total], MATCH('AROW - Instructions'!$B$35, Data_Sheet[Concatenate C+D],0)),"")</f>
        <v/>
      </c>
      <c r="F36" s="16"/>
    </row>
    <row r="37" spans="1:8" ht="15.75" x14ac:dyDescent="0.25">
      <c r="A37" s="24" t="s">
        <v>963</v>
      </c>
      <c r="B37" s="42" t="s">
        <v>182</v>
      </c>
      <c r="C37" s="123"/>
      <c r="D37" s="125"/>
    </row>
    <row r="38" spans="1:8" s="8" customFormat="1" ht="15.75" hidden="1" x14ac:dyDescent="0.25">
      <c r="A38" s="24" t="s">
        <v>9</v>
      </c>
      <c r="B38" s="51" t="s">
        <v>142</v>
      </c>
      <c r="C38" s="24" t="s">
        <v>152</v>
      </c>
      <c r="D38" s="50"/>
    </row>
    <row r="39" spans="1:8" s="8" customFormat="1" ht="15.75" hidden="1" x14ac:dyDescent="0.25">
      <c r="A39" s="24" t="s">
        <v>9</v>
      </c>
      <c r="B39" s="51" t="s">
        <v>142</v>
      </c>
      <c r="C39" s="24" t="s">
        <v>152</v>
      </c>
      <c r="D39" s="50"/>
    </row>
    <row r="40" spans="1:8" ht="8.25" customHeight="1" x14ac:dyDescent="0.2">
      <c r="A40" s="104"/>
      <c r="B40" s="104"/>
      <c r="C40" s="104"/>
      <c r="D40" s="104"/>
      <c r="F40" s="16"/>
    </row>
    <row r="41" spans="1:8" ht="15.75" x14ac:dyDescent="0.25">
      <c r="A41" s="9" t="s">
        <v>90</v>
      </c>
      <c r="B41" s="126" t="s">
        <v>920</v>
      </c>
      <c r="C41" s="127"/>
      <c r="D41" s="128"/>
      <c r="F41" s="16"/>
    </row>
    <row r="42" spans="1:8" s="7" customFormat="1" ht="15.75" x14ac:dyDescent="0.25">
      <c r="A42" s="17" t="s">
        <v>86</v>
      </c>
      <c r="B42" s="41"/>
      <c r="C42" s="122" t="s">
        <v>97</v>
      </c>
      <c r="D42" s="124" t="str">
        <f>IFERROR(INDEX(Data_Sheet[Lead Time Total], MATCH('AROW - Instructions'!$B$41, Data_Sheet[Concatenate C+D],0)),"")</f>
        <v/>
      </c>
      <c r="F42" s="16"/>
      <c r="G42" s="1"/>
      <c r="H42" s="1"/>
    </row>
    <row r="43" spans="1:8" s="7" customFormat="1" ht="15.75" x14ac:dyDescent="0.25">
      <c r="A43" s="18" t="s">
        <v>963</v>
      </c>
      <c r="B43" s="42" t="s">
        <v>182</v>
      </c>
      <c r="C43" s="123"/>
      <c r="D43" s="125"/>
      <c r="F43" s="16"/>
      <c r="G43" s="1"/>
      <c r="H43" s="1"/>
    </row>
    <row r="44" spans="1:8" s="7" customFormat="1" ht="15.75" hidden="1" x14ac:dyDescent="0.25">
      <c r="A44" s="24" t="s">
        <v>9</v>
      </c>
      <c r="B44" s="51" t="s">
        <v>142</v>
      </c>
      <c r="C44" s="24" t="s">
        <v>152</v>
      </c>
      <c r="D44" s="50"/>
      <c r="F44" s="16"/>
      <c r="G44" s="1"/>
      <c r="H44" s="1"/>
    </row>
    <row r="45" spans="1:8" s="8" customFormat="1" ht="15.75" hidden="1" x14ac:dyDescent="0.25">
      <c r="A45" s="24" t="s">
        <v>9</v>
      </c>
      <c r="B45" s="51" t="s">
        <v>142</v>
      </c>
      <c r="C45" s="24" t="s">
        <v>152</v>
      </c>
      <c r="D45" s="50"/>
      <c r="F45" s="16"/>
      <c r="G45" s="1"/>
      <c r="H45" s="1"/>
    </row>
    <row r="46" spans="1:8" ht="8.25" customHeight="1" x14ac:dyDescent="0.2">
      <c r="A46" s="104"/>
      <c r="B46" s="104"/>
      <c r="C46" s="104"/>
      <c r="D46" s="104"/>
      <c r="F46" s="16"/>
    </row>
    <row r="47" spans="1:8" ht="15.75" x14ac:dyDescent="0.25">
      <c r="A47" s="19" t="s">
        <v>91</v>
      </c>
      <c r="B47" s="126" t="s">
        <v>920</v>
      </c>
      <c r="C47" s="127"/>
      <c r="D47" s="128"/>
    </row>
    <row r="48" spans="1:8" s="8" customFormat="1" ht="15.75" x14ac:dyDescent="0.25">
      <c r="A48" s="20" t="s">
        <v>86</v>
      </c>
      <c r="B48" s="41"/>
      <c r="C48" s="122" t="s">
        <v>97</v>
      </c>
      <c r="D48" s="124" t="str">
        <f>IFERROR(INDEX(Data_Sheet[Lead Time Total], MATCH('AROW - Instructions'!$B$47, Data_Sheet[Concatenate C+D],0)),"")</f>
        <v/>
      </c>
    </row>
    <row r="49" spans="1:8" s="8" customFormat="1" ht="15.75" x14ac:dyDescent="0.25">
      <c r="A49" s="21" t="s">
        <v>963</v>
      </c>
      <c r="B49" s="42" t="s">
        <v>182</v>
      </c>
      <c r="C49" s="123"/>
      <c r="D49" s="125"/>
    </row>
    <row r="50" spans="1:8" ht="15.75" hidden="1" x14ac:dyDescent="0.25">
      <c r="A50" s="24" t="s">
        <v>9</v>
      </c>
      <c r="B50" s="51" t="s">
        <v>142</v>
      </c>
      <c r="C50" s="24" t="s">
        <v>152</v>
      </c>
      <c r="D50" s="50"/>
      <c r="F50" s="16"/>
    </row>
    <row r="51" spans="1:8" ht="15.75" hidden="1" x14ac:dyDescent="0.25">
      <c r="A51" s="24" t="s">
        <v>9</v>
      </c>
      <c r="B51" s="51" t="s">
        <v>142</v>
      </c>
      <c r="C51" s="24" t="s">
        <v>152</v>
      </c>
      <c r="D51" s="50"/>
      <c r="F51" s="16"/>
    </row>
    <row r="52" spans="1:8" s="7" customFormat="1" ht="8.25" customHeight="1" x14ac:dyDescent="0.2">
      <c r="A52" s="104"/>
      <c r="B52" s="104"/>
      <c r="C52" s="104"/>
      <c r="D52" s="104"/>
      <c r="F52" s="16"/>
      <c r="G52" s="1"/>
      <c r="H52" s="1"/>
    </row>
    <row r="53" spans="1:8" s="7" customFormat="1" ht="15.75" x14ac:dyDescent="0.25">
      <c r="A53" s="9" t="s">
        <v>92</v>
      </c>
      <c r="B53" s="126" t="s">
        <v>920</v>
      </c>
      <c r="C53" s="127"/>
      <c r="D53" s="128"/>
      <c r="F53" s="16"/>
      <c r="G53" s="1"/>
      <c r="H53" s="1"/>
    </row>
    <row r="54" spans="1:8" s="7" customFormat="1" ht="15.75" x14ac:dyDescent="0.25">
      <c r="A54" s="17" t="s">
        <v>86</v>
      </c>
      <c r="B54" s="41"/>
      <c r="C54" s="122" t="s">
        <v>97</v>
      </c>
      <c r="D54" s="124" t="str">
        <f>IFERROR(INDEX(Data_Sheet[Lead Time Total], MATCH('AROW - Instructions'!$B$53, Data_Sheet[Concatenate C+D],0)),"")</f>
        <v/>
      </c>
      <c r="F54" s="16"/>
      <c r="G54" s="1"/>
      <c r="H54" s="1"/>
    </row>
    <row r="55" spans="1:8" s="8" customFormat="1" ht="15.75" x14ac:dyDescent="0.25">
      <c r="A55" s="18" t="s">
        <v>963</v>
      </c>
      <c r="B55" s="42" t="s">
        <v>182</v>
      </c>
      <c r="C55" s="123"/>
      <c r="D55" s="125"/>
      <c r="F55" s="16"/>
      <c r="G55" s="1"/>
      <c r="H55" s="1"/>
    </row>
    <row r="56" spans="1:8" ht="15.75" hidden="1" x14ac:dyDescent="0.25">
      <c r="A56" s="24" t="s">
        <v>9</v>
      </c>
      <c r="B56" s="51" t="s">
        <v>142</v>
      </c>
      <c r="C56" s="24" t="s">
        <v>152</v>
      </c>
      <c r="D56" s="50"/>
      <c r="F56" s="16"/>
    </row>
    <row r="57" spans="1:8" s="8" customFormat="1" ht="15.75" hidden="1" x14ac:dyDescent="0.25">
      <c r="A57" s="24" t="s">
        <v>9</v>
      </c>
      <c r="B57" s="51" t="s">
        <v>142</v>
      </c>
      <c r="C57" s="24" t="s">
        <v>152</v>
      </c>
      <c r="D57" s="50"/>
    </row>
    <row r="58" spans="1:8" s="8" customFormat="1" ht="8.25" customHeight="1" x14ac:dyDescent="0.2">
      <c r="A58" s="104"/>
      <c r="B58" s="104"/>
      <c r="C58" s="104"/>
      <c r="D58" s="104"/>
    </row>
    <row r="59" spans="1:8" ht="15.75" x14ac:dyDescent="0.25">
      <c r="A59" s="19" t="s">
        <v>93</v>
      </c>
      <c r="B59" s="126" t="s">
        <v>920</v>
      </c>
      <c r="C59" s="127"/>
      <c r="D59" s="128"/>
      <c r="F59" s="16"/>
    </row>
    <row r="60" spans="1:8" ht="15.75" x14ac:dyDescent="0.25">
      <c r="A60" s="20" t="s">
        <v>86</v>
      </c>
      <c r="B60" s="41"/>
      <c r="C60" s="122" t="s">
        <v>97</v>
      </c>
      <c r="D60" s="124" t="str">
        <f>IFERROR(INDEX(Data_Sheet[Lead Time Total], MATCH('AROW - Instructions'!$B$59, Data_Sheet[Concatenate C+D],0)),"")</f>
        <v/>
      </c>
      <c r="F60" s="16"/>
    </row>
    <row r="61" spans="1:8" s="7" customFormat="1" ht="15.75" x14ac:dyDescent="0.25">
      <c r="A61" s="21" t="s">
        <v>963</v>
      </c>
      <c r="B61" s="42" t="s">
        <v>182</v>
      </c>
      <c r="C61" s="123"/>
      <c r="D61" s="125"/>
      <c r="F61" s="16"/>
      <c r="G61" s="1"/>
      <c r="H61" s="1"/>
    </row>
    <row r="62" spans="1:8" s="7" customFormat="1" ht="15.75" hidden="1" x14ac:dyDescent="0.25">
      <c r="A62" s="24" t="s">
        <v>9</v>
      </c>
      <c r="B62" s="51" t="s">
        <v>142</v>
      </c>
      <c r="C62" s="24" t="s">
        <v>152</v>
      </c>
      <c r="D62" s="50"/>
      <c r="F62" s="16"/>
      <c r="G62" s="1"/>
      <c r="H62" s="1"/>
    </row>
    <row r="63" spans="1:8" s="7" customFormat="1" ht="15.75" hidden="1" x14ac:dyDescent="0.25">
      <c r="A63" s="24" t="s">
        <v>9</v>
      </c>
      <c r="B63" s="51" t="s">
        <v>142</v>
      </c>
      <c r="C63" s="24" t="s">
        <v>152</v>
      </c>
      <c r="D63" s="50"/>
      <c r="F63" s="16"/>
      <c r="G63" s="1"/>
      <c r="H63" s="1"/>
    </row>
    <row r="64" spans="1:8" s="8" customFormat="1" ht="8.25" customHeight="1" x14ac:dyDescent="0.2">
      <c r="A64" s="104"/>
      <c r="B64" s="104"/>
      <c r="C64" s="104"/>
      <c r="D64" s="104"/>
      <c r="F64" s="16"/>
      <c r="G64" s="1"/>
      <c r="H64" s="1"/>
    </row>
    <row r="65" spans="1:8" s="7" customFormat="1" ht="15.75" x14ac:dyDescent="0.25">
      <c r="A65" s="9" t="s">
        <v>94</v>
      </c>
      <c r="B65" s="126" t="s">
        <v>920</v>
      </c>
      <c r="C65" s="127"/>
      <c r="D65" s="128"/>
      <c r="F65" s="16"/>
      <c r="G65" s="1"/>
      <c r="H65" s="1"/>
    </row>
    <row r="66" spans="1:8" s="7" customFormat="1" ht="15.75" x14ac:dyDescent="0.25">
      <c r="A66" s="17" t="s">
        <v>86</v>
      </c>
      <c r="B66" s="41"/>
      <c r="C66" s="122" t="s">
        <v>97</v>
      </c>
      <c r="D66" s="124" t="str">
        <f>IFERROR(INDEX(Data_Sheet[Lead Time Total], MATCH('AROW - Instructions'!$B$65, Data_Sheet[Concatenate C+D],0)),"")</f>
        <v/>
      </c>
      <c r="F66" s="16"/>
      <c r="G66" s="1"/>
      <c r="H66" s="1"/>
    </row>
    <row r="67" spans="1:8" s="8" customFormat="1" ht="15.75" x14ac:dyDescent="0.25">
      <c r="A67" s="18" t="s">
        <v>963</v>
      </c>
      <c r="B67" s="42" t="s">
        <v>182</v>
      </c>
      <c r="C67" s="123"/>
      <c r="D67" s="125"/>
      <c r="F67" s="16"/>
      <c r="G67" s="1"/>
      <c r="H67" s="1"/>
    </row>
    <row r="68" spans="1:8" ht="15.75" hidden="1" x14ac:dyDescent="0.25">
      <c r="A68" s="24" t="s">
        <v>9</v>
      </c>
      <c r="B68" s="51" t="s">
        <v>142</v>
      </c>
      <c r="C68" s="24" t="s">
        <v>152</v>
      </c>
      <c r="D68" s="50"/>
      <c r="F68" s="16"/>
    </row>
    <row r="69" spans="1:8" s="8" customFormat="1" ht="15.75" hidden="1" x14ac:dyDescent="0.25">
      <c r="A69" s="24" t="s">
        <v>9</v>
      </c>
      <c r="B69" s="51" t="s">
        <v>142</v>
      </c>
      <c r="C69" s="24" t="s">
        <v>152</v>
      </c>
      <c r="D69" s="50"/>
    </row>
    <row r="70" spans="1:8" s="8" customFormat="1" ht="8.25" customHeight="1" x14ac:dyDescent="0.2">
      <c r="A70" s="104"/>
      <c r="B70" s="104"/>
      <c r="C70" s="104"/>
      <c r="D70" s="104"/>
    </row>
    <row r="71" spans="1:8" ht="15.75" x14ac:dyDescent="0.25">
      <c r="A71" s="19" t="s">
        <v>95</v>
      </c>
      <c r="B71" s="126" t="s">
        <v>920</v>
      </c>
      <c r="C71" s="127"/>
      <c r="D71" s="128"/>
      <c r="F71" s="16"/>
    </row>
    <row r="72" spans="1:8" ht="15.75" x14ac:dyDescent="0.25">
      <c r="A72" s="20" t="s">
        <v>86</v>
      </c>
      <c r="B72" s="41"/>
      <c r="C72" s="122" t="s">
        <v>97</v>
      </c>
      <c r="D72" s="124" t="str">
        <f>IFERROR(INDEX(Data_Sheet[Lead Time Total], MATCH('AROW - Instructions'!$B$71, Data_Sheet[Concatenate C+D],0)),"")</f>
        <v/>
      </c>
      <c r="F72" s="16"/>
    </row>
    <row r="73" spans="1:8" s="7" customFormat="1" ht="15.75" x14ac:dyDescent="0.25">
      <c r="A73" s="21" t="s">
        <v>963</v>
      </c>
      <c r="B73" s="42" t="s">
        <v>182</v>
      </c>
      <c r="C73" s="123"/>
      <c r="D73" s="125"/>
      <c r="F73" s="16"/>
      <c r="G73" s="1"/>
      <c r="H73" s="1"/>
    </row>
    <row r="74" spans="1:8" s="7" customFormat="1" ht="15.75" hidden="1" x14ac:dyDescent="0.25">
      <c r="A74" s="24" t="s">
        <v>9</v>
      </c>
      <c r="B74" s="51" t="s">
        <v>142</v>
      </c>
      <c r="C74" s="24" t="s">
        <v>152</v>
      </c>
      <c r="D74" s="50"/>
      <c r="F74" s="16"/>
      <c r="G74" s="1"/>
      <c r="H74" s="1"/>
    </row>
    <row r="75" spans="1:8" s="7" customFormat="1" ht="15.75" hidden="1" x14ac:dyDescent="0.25">
      <c r="A75" s="24" t="s">
        <v>9</v>
      </c>
      <c r="B75" s="51" t="s">
        <v>142</v>
      </c>
      <c r="C75" s="24" t="s">
        <v>152</v>
      </c>
      <c r="D75" s="50"/>
      <c r="E75" s="7">
        <v>6</v>
      </c>
      <c r="F75" s="16" t="str">
        <f>IF($D$43="", "", D102)</f>
        <v/>
      </c>
      <c r="G75" s="1" t="str">
        <f>IFERROR(_xlfn.DAYS(F75,$D$5)&gt;D105,"")</f>
        <v/>
      </c>
      <c r="H75" s="1"/>
    </row>
    <row r="76" spans="1:8" ht="22.5" customHeight="1" x14ac:dyDescent="0.2">
      <c r="A76" s="104" t="s">
        <v>1066</v>
      </c>
      <c r="B76" s="104"/>
      <c r="C76" s="104"/>
      <c r="D76" s="104"/>
    </row>
    <row r="77" spans="1:8" ht="16.5" hidden="1" thickBot="1" x14ac:dyDescent="0.25">
      <c r="A77" s="129"/>
      <c r="B77" s="130"/>
      <c r="C77" s="130"/>
      <c r="D77" s="131"/>
    </row>
    <row r="78" spans="1:8" ht="12.75" hidden="1" x14ac:dyDescent="0.2">
      <c r="B78" s="7"/>
      <c r="C78" s="7"/>
    </row>
    <row r="79" spans="1:8" ht="12.75" hidden="1" x14ac:dyDescent="0.2">
      <c r="B79" s="7"/>
      <c r="C79" s="7"/>
    </row>
    <row r="80" spans="1:8" ht="12.75" hidden="1" x14ac:dyDescent="0.2">
      <c r="B80" s="7"/>
      <c r="C80" s="7"/>
    </row>
    <row r="81" spans="2:3" ht="12.75" hidden="1" x14ac:dyDescent="0.2">
      <c r="B81" s="7"/>
      <c r="C81" s="7"/>
    </row>
    <row r="82" spans="2:3" ht="12.75" hidden="1" x14ac:dyDescent="0.2">
      <c r="B82" s="7"/>
      <c r="C82" s="7"/>
    </row>
    <row r="83" spans="2:3" ht="12.75" hidden="1" x14ac:dyDescent="0.2">
      <c r="B83" s="7"/>
      <c r="C83" s="7"/>
    </row>
    <row r="84" spans="2:3" ht="12.75" hidden="1" x14ac:dyDescent="0.2">
      <c r="B84" s="7"/>
      <c r="C84" s="7"/>
    </row>
    <row r="85" spans="2:3" ht="12.75" hidden="1" x14ac:dyDescent="0.2">
      <c r="B85" s="7"/>
      <c r="C85" s="7"/>
    </row>
    <row r="86" spans="2:3" ht="12.75" hidden="1" x14ac:dyDescent="0.2">
      <c r="B86" s="7"/>
      <c r="C86" s="7"/>
    </row>
    <row r="87" spans="2:3" ht="12.75" hidden="1" x14ac:dyDescent="0.2">
      <c r="B87" s="7"/>
      <c r="C87" s="7"/>
    </row>
    <row r="88" spans="2:3" ht="12.75" hidden="1" x14ac:dyDescent="0.2">
      <c r="B88" s="7"/>
      <c r="C88" s="7"/>
    </row>
    <row r="89" spans="2:3" ht="12.75" hidden="1" x14ac:dyDescent="0.2">
      <c r="B89" s="7"/>
      <c r="C89" s="7"/>
    </row>
    <row r="90" spans="2:3" ht="12.75" hidden="1" x14ac:dyDescent="0.2">
      <c r="B90" s="7"/>
      <c r="C90" s="7"/>
    </row>
    <row r="91" spans="2:3" ht="12.75" hidden="1" x14ac:dyDescent="0.2">
      <c r="B91" s="7"/>
      <c r="C91" s="7"/>
    </row>
    <row r="92" spans="2:3" ht="12.75" hidden="1" x14ac:dyDescent="0.2">
      <c r="B92" s="7"/>
      <c r="C92" s="7"/>
    </row>
    <row r="93" spans="2:3" ht="12.75" hidden="1" x14ac:dyDescent="0.2">
      <c r="B93" s="7"/>
      <c r="C93" s="7"/>
    </row>
    <row r="94" spans="2:3" ht="12.75" hidden="1" x14ac:dyDescent="0.2">
      <c r="B94" s="7"/>
      <c r="C94" s="7"/>
    </row>
    <row r="95" spans="2:3" ht="12.75" hidden="1" x14ac:dyDescent="0.2">
      <c r="B95" s="7"/>
      <c r="C95" s="7"/>
    </row>
    <row r="96" spans="2:3" ht="12.75" hidden="1" x14ac:dyDescent="0.2">
      <c r="B96" s="7"/>
      <c r="C96" s="7"/>
    </row>
    <row r="97" spans="1:4" ht="12.75" hidden="1" x14ac:dyDescent="0.2">
      <c r="B97" s="7"/>
      <c r="C97" s="7"/>
    </row>
    <row r="98" spans="1:4" ht="12.75" hidden="1" x14ac:dyDescent="0.2">
      <c r="B98" s="7"/>
      <c r="C98" s="7"/>
    </row>
    <row r="99" spans="1:4" ht="12.75" hidden="1" x14ac:dyDescent="0.2">
      <c r="B99" s="7"/>
      <c r="C99" s="7"/>
    </row>
    <row r="100" spans="1:4" ht="12.75" hidden="1" x14ac:dyDescent="0.2">
      <c r="B100" s="7"/>
      <c r="C100" s="7"/>
    </row>
    <row r="101" spans="1:4" ht="12.75" hidden="1" x14ac:dyDescent="0.2">
      <c r="B101" s="7"/>
      <c r="C101" s="7"/>
    </row>
    <row r="102" spans="1:4" s="4" customFormat="1" ht="12.75" hidden="1" x14ac:dyDescent="0.2">
      <c r="A102" s="23"/>
      <c r="B102" s="7"/>
      <c r="C102" s="7"/>
      <c r="D102" s="22"/>
    </row>
    <row r="105" spans="1:4" ht="90.75" customHeight="1" x14ac:dyDescent="0.2">
      <c r="A105" s="135" t="s">
        <v>964</v>
      </c>
      <c r="B105" s="136"/>
      <c r="C105" s="136"/>
      <c r="D105" s="137"/>
    </row>
    <row r="106" spans="1:4" ht="12.95" customHeight="1" x14ac:dyDescent="0.2">
      <c r="B106" s="7"/>
      <c r="C106" s="7"/>
    </row>
    <row r="107" spans="1:4" ht="12.95" customHeight="1" x14ac:dyDescent="0.2">
      <c r="B107" s="7"/>
      <c r="C107" s="7"/>
    </row>
    <row r="108" spans="1:4" ht="12.95" customHeight="1" x14ac:dyDescent="0.2">
      <c r="B108" s="7"/>
      <c r="C108" s="7"/>
    </row>
    <row r="109" spans="1:4" ht="12.95" customHeight="1" x14ac:dyDescent="0.2">
      <c r="B109" s="7"/>
      <c r="C109" s="7"/>
    </row>
    <row r="110" spans="1:4" ht="12.95" customHeight="1" x14ac:dyDescent="0.2">
      <c r="B110" s="7"/>
      <c r="C110" s="7"/>
    </row>
    <row r="111" spans="1:4" ht="12.95" customHeight="1" x14ac:dyDescent="0.2">
      <c r="B111" s="7"/>
      <c r="C111" s="7"/>
    </row>
    <row r="112" spans="1:4" ht="17.25" customHeight="1" x14ac:dyDescent="0.2">
      <c r="B112" s="7"/>
      <c r="C112" s="7"/>
    </row>
    <row r="113" spans="1:16380" ht="34.5" hidden="1" customHeight="1" x14ac:dyDescent="0.25">
      <c r="A113" s="132" t="s">
        <v>200</v>
      </c>
      <c r="B113" s="133"/>
      <c r="C113" s="133"/>
      <c r="D113" s="134"/>
      <c r="E113" s="32"/>
      <c r="F113" s="32"/>
      <c r="G113" s="32"/>
      <c r="H113" s="32"/>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c r="DK113" s="33"/>
      <c r="DL113" s="33"/>
      <c r="DM113" s="33"/>
      <c r="DN113" s="33"/>
      <c r="DO113" s="33"/>
      <c r="DP113" s="33"/>
      <c r="DQ113" s="33"/>
      <c r="DR113" s="33"/>
      <c r="DS113" s="33"/>
      <c r="DT113" s="33"/>
      <c r="DU113" s="33"/>
      <c r="DV113" s="33"/>
      <c r="DW113" s="33"/>
      <c r="DX113" s="33"/>
      <c r="DY113" s="33"/>
      <c r="DZ113" s="33"/>
      <c r="EA113" s="33"/>
      <c r="EB113" s="33"/>
      <c r="EC113" s="33"/>
      <c r="ED113" s="33"/>
      <c r="EE113" s="33"/>
      <c r="EF113" s="33"/>
      <c r="EG113" s="33"/>
      <c r="EH113" s="33"/>
      <c r="EI113" s="33"/>
      <c r="EJ113" s="33"/>
      <c r="EK113" s="33"/>
      <c r="EL113" s="33"/>
      <c r="EM113" s="33"/>
      <c r="EN113" s="33"/>
      <c r="EO113" s="33"/>
      <c r="EP113" s="33"/>
      <c r="EQ113" s="33"/>
      <c r="ER113" s="33"/>
      <c r="ES113" s="33"/>
      <c r="ET113" s="33"/>
      <c r="EU113" s="33"/>
      <c r="EV113" s="33"/>
      <c r="EW113" s="33"/>
      <c r="EX113" s="33"/>
      <c r="EY113" s="33"/>
      <c r="EZ113" s="33"/>
      <c r="FA113" s="33"/>
      <c r="FB113" s="33"/>
      <c r="FC113" s="33"/>
      <c r="FD113" s="33"/>
      <c r="FE113" s="33"/>
      <c r="FF113" s="33"/>
      <c r="FG113" s="33"/>
      <c r="FH113" s="33"/>
      <c r="FI113" s="33"/>
      <c r="FJ113" s="33"/>
      <c r="FK113" s="33"/>
      <c r="FL113" s="33"/>
      <c r="FM113" s="33"/>
      <c r="FN113" s="33"/>
      <c r="FO113" s="33"/>
      <c r="FP113" s="33"/>
      <c r="FQ113" s="33"/>
      <c r="FR113" s="33"/>
      <c r="FS113" s="33"/>
      <c r="FT113" s="33"/>
      <c r="FU113" s="33"/>
      <c r="FV113" s="33"/>
      <c r="FW113" s="33"/>
      <c r="FX113" s="33"/>
      <c r="FY113" s="33"/>
      <c r="FZ113" s="33"/>
      <c r="GA113" s="33"/>
      <c r="GB113" s="33"/>
      <c r="GC113" s="33"/>
      <c r="GD113" s="33"/>
      <c r="GE113" s="33"/>
      <c r="GF113" s="33"/>
      <c r="GG113" s="33"/>
      <c r="GH113" s="33"/>
      <c r="GI113" s="33"/>
      <c r="GJ113" s="33"/>
      <c r="GK113" s="33"/>
      <c r="GL113" s="33"/>
      <c r="GM113" s="33"/>
      <c r="GN113" s="33"/>
      <c r="GO113" s="33"/>
      <c r="GP113" s="33"/>
      <c r="GQ113" s="33"/>
      <c r="GR113" s="33"/>
      <c r="GS113" s="33"/>
      <c r="GT113" s="33"/>
      <c r="GU113" s="33"/>
      <c r="GV113" s="33"/>
      <c r="GW113" s="33"/>
      <c r="GX113" s="33"/>
      <c r="GY113" s="33"/>
      <c r="GZ113" s="33"/>
      <c r="HA113" s="33"/>
      <c r="HB113" s="33"/>
      <c r="HC113" s="33"/>
      <c r="HD113" s="33"/>
      <c r="HE113" s="33"/>
      <c r="HF113" s="33"/>
      <c r="HG113" s="33"/>
      <c r="HH113" s="33"/>
      <c r="HI113" s="33"/>
      <c r="HJ113" s="33"/>
      <c r="HK113" s="33"/>
      <c r="HL113" s="33"/>
      <c r="HM113" s="33"/>
      <c r="HN113" s="33"/>
      <c r="HO113" s="33"/>
      <c r="HP113" s="33"/>
      <c r="HQ113" s="33"/>
      <c r="HR113" s="33"/>
      <c r="HS113" s="33"/>
      <c r="HT113" s="33"/>
      <c r="HU113" s="33"/>
      <c r="HV113" s="33"/>
      <c r="HW113" s="33"/>
      <c r="HX113" s="33"/>
      <c r="HY113" s="33"/>
      <c r="HZ113" s="33"/>
      <c r="IA113" s="33"/>
      <c r="IB113" s="33"/>
      <c r="IC113" s="33"/>
      <c r="ID113" s="33"/>
      <c r="IE113" s="33"/>
      <c r="IF113" s="33"/>
      <c r="IG113" s="33"/>
      <c r="IH113" s="33"/>
      <c r="II113" s="33"/>
      <c r="IJ113" s="33"/>
      <c r="IK113" s="33"/>
      <c r="IL113" s="33"/>
      <c r="IM113" s="33"/>
      <c r="IN113" s="33"/>
      <c r="IO113" s="33"/>
      <c r="IP113" s="33"/>
      <c r="IQ113" s="33"/>
      <c r="IR113" s="33"/>
      <c r="IS113" s="33"/>
      <c r="IT113" s="33"/>
      <c r="IU113" s="33"/>
      <c r="IV113" s="33"/>
      <c r="IW113" s="33"/>
      <c r="IX113" s="33"/>
      <c r="IY113" s="33"/>
      <c r="IZ113" s="33"/>
      <c r="JA113" s="33"/>
      <c r="JB113" s="33"/>
      <c r="JC113" s="33"/>
      <c r="JD113" s="33"/>
      <c r="JE113" s="33"/>
      <c r="JF113" s="33"/>
      <c r="JG113" s="33"/>
      <c r="JH113" s="33"/>
      <c r="JI113" s="33"/>
      <c r="JJ113" s="33"/>
      <c r="JK113" s="33"/>
      <c r="JL113" s="33"/>
      <c r="JM113" s="33"/>
      <c r="JN113" s="33"/>
      <c r="JO113" s="33"/>
      <c r="JP113" s="33"/>
      <c r="JQ113" s="33"/>
      <c r="JR113" s="33"/>
      <c r="JS113" s="33"/>
      <c r="JT113" s="33"/>
      <c r="JU113" s="33"/>
      <c r="JV113" s="33"/>
      <c r="JW113" s="33"/>
      <c r="JX113" s="33"/>
      <c r="JY113" s="33"/>
      <c r="JZ113" s="33"/>
      <c r="KA113" s="33"/>
      <c r="KB113" s="33"/>
      <c r="KC113" s="33"/>
      <c r="KD113" s="33"/>
      <c r="KE113" s="33"/>
      <c r="KF113" s="33"/>
      <c r="KG113" s="33"/>
      <c r="KH113" s="33"/>
      <c r="KI113" s="33"/>
      <c r="KJ113" s="33"/>
      <c r="KK113" s="33"/>
      <c r="KL113" s="33"/>
      <c r="KM113" s="33"/>
      <c r="KN113" s="33"/>
      <c r="KO113" s="33"/>
      <c r="KP113" s="33"/>
      <c r="KQ113" s="33"/>
      <c r="KR113" s="33"/>
      <c r="KS113" s="33"/>
      <c r="KT113" s="33"/>
      <c r="KU113" s="33"/>
      <c r="KV113" s="33"/>
      <c r="KW113" s="33"/>
      <c r="KX113" s="33"/>
      <c r="KY113" s="33"/>
      <c r="KZ113" s="33"/>
      <c r="LA113" s="33"/>
      <c r="LB113" s="33"/>
      <c r="LC113" s="33"/>
      <c r="LD113" s="33"/>
      <c r="LE113" s="33"/>
      <c r="LF113" s="33"/>
      <c r="LG113" s="33"/>
      <c r="LH113" s="33"/>
      <c r="LI113" s="33"/>
      <c r="LJ113" s="33"/>
      <c r="LK113" s="33"/>
      <c r="LL113" s="33"/>
      <c r="LM113" s="33"/>
      <c r="LN113" s="33"/>
      <c r="LO113" s="33"/>
      <c r="LP113" s="33"/>
      <c r="LQ113" s="33"/>
      <c r="LR113" s="33"/>
      <c r="LS113" s="33"/>
      <c r="LT113" s="33"/>
      <c r="LU113" s="33"/>
      <c r="LV113" s="33"/>
      <c r="LW113" s="33"/>
      <c r="LX113" s="33"/>
      <c r="LY113" s="33"/>
      <c r="LZ113" s="33"/>
      <c r="MA113" s="33"/>
      <c r="MB113" s="33"/>
      <c r="MC113" s="33"/>
      <c r="MD113" s="33"/>
      <c r="ME113" s="33"/>
      <c r="MF113" s="33"/>
      <c r="MG113" s="33"/>
      <c r="MH113" s="33"/>
      <c r="MI113" s="33"/>
      <c r="MJ113" s="33"/>
      <c r="MK113" s="33"/>
      <c r="ML113" s="33"/>
      <c r="MM113" s="33"/>
      <c r="MN113" s="33"/>
      <c r="MO113" s="33"/>
      <c r="MP113" s="33"/>
      <c r="MQ113" s="33"/>
      <c r="MR113" s="33"/>
      <c r="MS113" s="33"/>
      <c r="MT113" s="33"/>
      <c r="MU113" s="33"/>
      <c r="MV113" s="33"/>
      <c r="MW113" s="33"/>
      <c r="MX113" s="33"/>
      <c r="MY113" s="33"/>
      <c r="MZ113" s="33"/>
      <c r="NA113" s="33"/>
      <c r="NB113" s="33"/>
      <c r="NC113" s="33"/>
      <c r="ND113" s="33"/>
      <c r="NE113" s="33"/>
      <c r="NF113" s="33"/>
      <c r="NG113" s="33"/>
      <c r="NH113" s="33"/>
      <c r="NI113" s="33"/>
      <c r="NJ113" s="33"/>
      <c r="NK113" s="33"/>
      <c r="NL113" s="33"/>
      <c r="NM113" s="33"/>
      <c r="NN113" s="33"/>
      <c r="NO113" s="33"/>
      <c r="NP113" s="33"/>
      <c r="NQ113" s="33"/>
      <c r="NR113" s="33"/>
      <c r="NS113" s="33"/>
      <c r="NT113" s="33"/>
      <c r="NU113" s="33"/>
      <c r="NV113" s="33"/>
      <c r="NW113" s="33"/>
      <c r="NX113" s="33"/>
      <c r="NY113" s="33"/>
      <c r="NZ113" s="33"/>
      <c r="OA113" s="33"/>
      <c r="OB113" s="33"/>
      <c r="OC113" s="33"/>
      <c r="OD113" s="33"/>
      <c r="OE113" s="33"/>
      <c r="OF113" s="33"/>
      <c r="OG113" s="33"/>
      <c r="OH113" s="33"/>
      <c r="OI113" s="33"/>
      <c r="OJ113" s="33"/>
      <c r="OK113" s="33"/>
      <c r="OL113" s="33"/>
      <c r="OM113" s="33"/>
      <c r="ON113" s="33"/>
      <c r="OO113" s="33"/>
      <c r="OP113" s="33"/>
      <c r="OQ113" s="33"/>
      <c r="OR113" s="33"/>
      <c r="OS113" s="33"/>
      <c r="OT113" s="33"/>
      <c r="OU113" s="33"/>
      <c r="OV113" s="33"/>
      <c r="OW113" s="33"/>
      <c r="OX113" s="33"/>
      <c r="OY113" s="33"/>
      <c r="OZ113" s="33"/>
      <c r="PA113" s="33"/>
      <c r="PB113" s="33"/>
      <c r="PC113" s="33"/>
      <c r="PD113" s="33"/>
      <c r="PE113" s="33"/>
      <c r="PF113" s="33"/>
      <c r="PG113" s="33"/>
      <c r="PH113" s="33"/>
      <c r="PI113" s="33"/>
      <c r="PJ113" s="33"/>
      <c r="PK113" s="33"/>
      <c r="PL113" s="33"/>
      <c r="PM113" s="33"/>
      <c r="PN113" s="33"/>
      <c r="PO113" s="33"/>
      <c r="PP113" s="33"/>
      <c r="PQ113" s="33"/>
      <c r="PR113" s="33"/>
      <c r="PS113" s="33"/>
      <c r="PT113" s="33"/>
      <c r="PU113" s="33"/>
      <c r="PV113" s="33"/>
      <c r="PW113" s="33"/>
      <c r="PX113" s="33"/>
      <c r="PY113" s="33"/>
      <c r="PZ113" s="33"/>
      <c r="QA113" s="33"/>
      <c r="QB113" s="33"/>
      <c r="QC113" s="33"/>
      <c r="QD113" s="33"/>
      <c r="QE113" s="33"/>
      <c r="QF113" s="33"/>
      <c r="QG113" s="33"/>
      <c r="QH113" s="33"/>
      <c r="QI113" s="33"/>
      <c r="QJ113" s="33"/>
      <c r="QK113" s="33"/>
      <c r="QL113" s="33"/>
      <c r="QM113" s="33"/>
      <c r="QN113" s="33"/>
      <c r="QO113" s="33"/>
      <c r="QP113" s="33"/>
      <c r="QQ113" s="33"/>
      <c r="QR113" s="33"/>
      <c r="QS113" s="33"/>
      <c r="QT113" s="33"/>
      <c r="QU113" s="33"/>
      <c r="QV113" s="33"/>
      <c r="QW113" s="33"/>
      <c r="QX113" s="33"/>
      <c r="QY113" s="33"/>
      <c r="QZ113" s="33"/>
      <c r="RA113" s="33"/>
      <c r="RB113" s="33"/>
      <c r="RC113" s="33"/>
      <c r="RD113" s="33"/>
      <c r="RE113" s="33"/>
      <c r="RF113" s="33"/>
      <c r="RG113" s="33"/>
      <c r="RH113" s="33"/>
      <c r="RI113" s="33"/>
      <c r="RJ113" s="33"/>
      <c r="RK113" s="33"/>
      <c r="RL113" s="33"/>
      <c r="RM113" s="33"/>
      <c r="RN113" s="33"/>
      <c r="RO113" s="33"/>
      <c r="RP113" s="33"/>
      <c r="RQ113" s="33"/>
      <c r="RR113" s="33"/>
      <c r="RS113" s="33"/>
      <c r="RT113" s="33"/>
      <c r="RU113" s="33"/>
      <c r="RV113" s="33"/>
      <c r="RW113" s="33"/>
      <c r="RX113" s="33"/>
      <c r="RY113" s="33"/>
      <c r="RZ113" s="33"/>
      <c r="SA113" s="33"/>
      <c r="SB113" s="33"/>
      <c r="SC113" s="33"/>
      <c r="SD113" s="33"/>
      <c r="SE113" s="33"/>
      <c r="SF113" s="33"/>
      <c r="SG113" s="33"/>
      <c r="SH113" s="33"/>
      <c r="SI113" s="33"/>
      <c r="SJ113" s="33"/>
      <c r="SK113" s="33"/>
      <c r="SL113" s="33"/>
      <c r="SM113" s="33"/>
      <c r="SN113" s="33"/>
      <c r="SO113" s="33"/>
      <c r="SP113" s="33"/>
      <c r="SQ113" s="33"/>
      <c r="SR113" s="33"/>
      <c r="SS113" s="33"/>
      <c r="ST113" s="33"/>
      <c r="SU113" s="33"/>
      <c r="SV113" s="33"/>
      <c r="SW113" s="33"/>
      <c r="SX113" s="33"/>
      <c r="SY113" s="33"/>
      <c r="SZ113" s="33"/>
      <c r="TA113" s="33"/>
      <c r="TB113" s="33"/>
      <c r="TC113" s="33"/>
      <c r="TD113" s="33"/>
      <c r="TE113" s="33"/>
      <c r="TF113" s="33"/>
      <c r="TG113" s="33"/>
      <c r="TH113" s="33"/>
      <c r="TI113" s="33"/>
      <c r="TJ113" s="33"/>
      <c r="TK113" s="33"/>
      <c r="TL113" s="33"/>
      <c r="TM113" s="33"/>
      <c r="TN113" s="33"/>
      <c r="TO113" s="33"/>
      <c r="TP113" s="33"/>
      <c r="TQ113" s="33"/>
      <c r="TR113" s="33"/>
      <c r="TS113" s="33"/>
      <c r="TT113" s="33"/>
      <c r="TU113" s="33"/>
      <c r="TV113" s="33"/>
      <c r="TW113" s="33"/>
      <c r="TX113" s="33"/>
      <c r="TY113" s="33"/>
      <c r="TZ113" s="33"/>
      <c r="UA113" s="33"/>
      <c r="UB113" s="33"/>
      <c r="UC113" s="33"/>
      <c r="UD113" s="33"/>
      <c r="UE113" s="33"/>
      <c r="UF113" s="33"/>
      <c r="UG113" s="33"/>
      <c r="UH113" s="33"/>
      <c r="UI113" s="33"/>
      <c r="UJ113" s="33"/>
      <c r="UK113" s="33"/>
      <c r="UL113" s="33"/>
      <c r="UM113" s="33"/>
      <c r="UN113" s="33"/>
      <c r="UO113" s="33"/>
      <c r="UP113" s="33"/>
      <c r="UQ113" s="33"/>
      <c r="UR113" s="33"/>
      <c r="US113" s="33"/>
      <c r="UT113" s="33"/>
      <c r="UU113" s="33"/>
      <c r="UV113" s="33"/>
      <c r="UW113" s="33"/>
      <c r="UX113" s="33"/>
      <c r="UY113" s="33"/>
      <c r="UZ113" s="33"/>
      <c r="VA113" s="33"/>
      <c r="VB113" s="33"/>
      <c r="VC113" s="33"/>
      <c r="VD113" s="33"/>
      <c r="VE113" s="33"/>
      <c r="VF113" s="33"/>
      <c r="VG113" s="33"/>
      <c r="VH113" s="33"/>
      <c r="VI113" s="33"/>
      <c r="VJ113" s="33"/>
      <c r="VK113" s="33"/>
      <c r="VL113" s="33"/>
      <c r="VM113" s="33"/>
      <c r="VN113" s="33"/>
      <c r="VO113" s="33"/>
      <c r="VP113" s="33"/>
      <c r="VQ113" s="33"/>
      <c r="VR113" s="33"/>
      <c r="VS113" s="33"/>
      <c r="VT113" s="33"/>
      <c r="VU113" s="33"/>
      <c r="VV113" s="33"/>
      <c r="VW113" s="33"/>
      <c r="VX113" s="33"/>
      <c r="VY113" s="33"/>
      <c r="VZ113" s="33"/>
      <c r="WA113" s="33"/>
      <c r="WB113" s="33"/>
      <c r="WC113" s="33"/>
      <c r="WD113" s="33"/>
      <c r="WE113" s="33"/>
      <c r="WF113" s="33"/>
      <c r="WG113" s="33"/>
      <c r="WH113" s="33"/>
      <c r="WI113" s="33"/>
      <c r="WJ113" s="33"/>
      <c r="WK113" s="33"/>
      <c r="WL113" s="33"/>
      <c r="WM113" s="33"/>
      <c r="WN113" s="33"/>
      <c r="WO113" s="33"/>
      <c r="WP113" s="33"/>
      <c r="WQ113" s="33"/>
      <c r="WR113" s="33"/>
      <c r="WS113" s="33"/>
      <c r="WT113" s="33"/>
      <c r="WU113" s="33"/>
      <c r="WV113" s="33"/>
      <c r="WW113" s="33"/>
      <c r="WX113" s="33"/>
      <c r="WY113" s="33"/>
      <c r="WZ113" s="33"/>
      <c r="XA113" s="33"/>
      <c r="XB113" s="33"/>
      <c r="XC113" s="33"/>
      <c r="XD113" s="33"/>
      <c r="XE113" s="33"/>
      <c r="XF113" s="33"/>
      <c r="XG113" s="33"/>
      <c r="XH113" s="33"/>
      <c r="XI113" s="33"/>
      <c r="XJ113" s="33"/>
      <c r="XK113" s="33"/>
      <c r="XL113" s="33"/>
      <c r="XM113" s="33"/>
      <c r="XN113" s="33"/>
      <c r="XO113" s="33"/>
      <c r="XP113" s="33"/>
      <c r="XQ113" s="33"/>
      <c r="XR113" s="33"/>
      <c r="XS113" s="33"/>
      <c r="XT113" s="33"/>
      <c r="XU113" s="33"/>
      <c r="XV113" s="33"/>
      <c r="XW113" s="33"/>
      <c r="XX113" s="33"/>
      <c r="XY113" s="33"/>
      <c r="XZ113" s="33"/>
      <c r="YA113" s="33"/>
      <c r="YB113" s="33"/>
      <c r="YC113" s="33"/>
      <c r="YD113" s="33"/>
      <c r="YE113" s="33"/>
      <c r="YF113" s="33"/>
      <c r="YG113" s="33"/>
      <c r="YH113" s="33"/>
      <c r="YI113" s="33"/>
      <c r="YJ113" s="33"/>
      <c r="YK113" s="33"/>
      <c r="YL113" s="33"/>
      <c r="YM113" s="33"/>
      <c r="YN113" s="33"/>
      <c r="YO113" s="33"/>
      <c r="YP113" s="33"/>
      <c r="YQ113" s="33"/>
      <c r="YR113" s="33"/>
      <c r="YS113" s="33"/>
      <c r="YT113" s="33"/>
      <c r="YU113" s="33"/>
      <c r="YV113" s="33"/>
      <c r="YW113" s="33"/>
      <c r="YX113" s="33"/>
      <c r="YY113" s="33"/>
      <c r="YZ113" s="33"/>
      <c r="ZA113" s="33"/>
      <c r="ZB113" s="33"/>
      <c r="ZC113" s="33"/>
      <c r="ZD113" s="33"/>
      <c r="ZE113" s="33"/>
      <c r="ZF113" s="33"/>
      <c r="ZG113" s="33"/>
      <c r="ZH113" s="33"/>
      <c r="ZI113" s="33"/>
      <c r="ZJ113" s="33"/>
      <c r="ZK113" s="33"/>
      <c r="ZL113" s="33"/>
      <c r="ZM113" s="33"/>
      <c r="ZN113" s="33"/>
      <c r="ZO113" s="33"/>
      <c r="ZP113" s="33"/>
      <c r="ZQ113" s="33"/>
      <c r="ZR113" s="33"/>
      <c r="ZS113" s="33"/>
      <c r="ZT113" s="33"/>
      <c r="ZU113" s="33"/>
      <c r="ZV113" s="33"/>
      <c r="ZW113" s="33"/>
      <c r="ZX113" s="33"/>
      <c r="ZY113" s="33"/>
      <c r="ZZ113" s="33"/>
      <c r="AAA113" s="33"/>
      <c r="AAB113" s="33"/>
      <c r="AAC113" s="33"/>
      <c r="AAD113" s="33"/>
      <c r="AAE113" s="33"/>
      <c r="AAF113" s="33"/>
      <c r="AAG113" s="33"/>
      <c r="AAH113" s="33"/>
      <c r="AAI113" s="33"/>
      <c r="AAJ113" s="33"/>
      <c r="AAK113" s="33"/>
      <c r="AAL113" s="33"/>
      <c r="AAM113" s="33"/>
      <c r="AAN113" s="33"/>
      <c r="AAO113" s="33"/>
      <c r="AAP113" s="33"/>
      <c r="AAQ113" s="33"/>
      <c r="AAR113" s="33"/>
      <c r="AAS113" s="33"/>
      <c r="AAT113" s="33"/>
      <c r="AAU113" s="33"/>
      <c r="AAV113" s="33"/>
      <c r="AAW113" s="33"/>
      <c r="AAX113" s="33"/>
      <c r="AAY113" s="33"/>
      <c r="AAZ113" s="33"/>
      <c r="ABA113" s="33"/>
      <c r="ABB113" s="33"/>
      <c r="ABC113" s="33"/>
      <c r="ABD113" s="33"/>
      <c r="ABE113" s="33"/>
      <c r="ABF113" s="33"/>
      <c r="ABG113" s="33"/>
      <c r="ABH113" s="33"/>
      <c r="ABI113" s="33"/>
      <c r="ABJ113" s="33"/>
      <c r="ABK113" s="33"/>
      <c r="ABL113" s="33"/>
      <c r="ABM113" s="33"/>
      <c r="ABN113" s="33"/>
      <c r="ABO113" s="33"/>
      <c r="ABP113" s="33"/>
      <c r="ABQ113" s="33"/>
      <c r="ABR113" s="33"/>
      <c r="ABS113" s="33"/>
      <c r="ABT113" s="33"/>
      <c r="ABU113" s="33"/>
      <c r="ABV113" s="33"/>
      <c r="ABW113" s="33"/>
      <c r="ABX113" s="33"/>
      <c r="ABY113" s="33"/>
      <c r="ABZ113" s="33"/>
      <c r="ACA113" s="33"/>
      <c r="ACB113" s="33"/>
      <c r="ACC113" s="33"/>
      <c r="ACD113" s="33"/>
      <c r="ACE113" s="33"/>
      <c r="ACF113" s="33"/>
      <c r="ACG113" s="33"/>
      <c r="ACH113" s="33"/>
      <c r="ACI113" s="33"/>
      <c r="ACJ113" s="33"/>
      <c r="ACK113" s="33"/>
      <c r="ACL113" s="33"/>
      <c r="ACM113" s="33"/>
      <c r="ACN113" s="33"/>
      <c r="ACO113" s="33"/>
      <c r="ACP113" s="33"/>
      <c r="ACQ113" s="33"/>
      <c r="ACR113" s="33"/>
      <c r="ACS113" s="33"/>
      <c r="ACT113" s="33"/>
      <c r="ACU113" s="33"/>
      <c r="ACV113" s="33"/>
      <c r="ACW113" s="33"/>
      <c r="ACX113" s="33"/>
      <c r="ACY113" s="33"/>
      <c r="ACZ113" s="33"/>
      <c r="ADA113" s="33"/>
      <c r="ADB113" s="33"/>
      <c r="ADC113" s="33"/>
      <c r="ADD113" s="33"/>
      <c r="ADE113" s="33"/>
      <c r="ADF113" s="33"/>
      <c r="ADG113" s="33"/>
      <c r="ADH113" s="33"/>
      <c r="ADI113" s="33"/>
      <c r="ADJ113" s="33"/>
      <c r="ADK113" s="33"/>
      <c r="ADL113" s="33"/>
      <c r="ADM113" s="33"/>
      <c r="ADN113" s="33"/>
      <c r="ADO113" s="33"/>
      <c r="ADP113" s="33"/>
      <c r="ADQ113" s="33"/>
      <c r="ADR113" s="33"/>
      <c r="ADS113" s="33"/>
      <c r="ADT113" s="33"/>
      <c r="ADU113" s="33"/>
      <c r="ADV113" s="33"/>
      <c r="ADW113" s="33"/>
      <c r="ADX113" s="33"/>
      <c r="ADY113" s="33"/>
      <c r="ADZ113" s="33"/>
      <c r="AEA113" s="33"/>
      <c r="AEB113" s="33"/>
      <c r="AEC113" s="33"/>
      <c r="AED113" s="33"/>
      <c r="AEE113" s="33"/>
      <c r="AEF113" s="33"/>
      <c r="AEG113" s="33"/>
      <c r="AEH113" s="33"/>
      <c r="AEI113" s="33"/>
      <c r="AEJ113" s="33"/>
      <c r="AEK113" s="33"/>
      <c r="AEL113" s="33"/>
      <c r="AEM113" s="33"/>
      <c r="AEN113" s="33"/>
      <c r="AEO113" s="33"/>
      <c r="AEP113" s="33"/>
      <c r="AEQ113" s="33"/>
      <c r="AER113" s="33"/>
      <c r="AES113" s="33"/>
      <c r="AET113" s="33"/>
      <c r="AEU113" s="33"/>
      <c r="AEV113" s="33"/>
      <c r="AEW113" s="33"/>
      <c r="AEX113" s="33"/>
      <c r="AEY113" s="33"/>
      <c r="AEZ113" s="33"/>
      <c r="AFA113" s="33"/>
      <c r="AFB113" s="33"/>
      <c r="AFC113" s="33"/>
      <c r="AFD113" s="33"/>
      <c r="AFE113" s="33"/>
      <c r="AFF113" s="33"/>
      <c r="AFG113" s="33"/>
      <c r="AFH113" s="33"/>
      <c r="AFI113" s="33"/>
      <c r="AFJ113" s="33"/>
      <c r="AFK113" s="33"/>
      <c r="AFL113" s="33"/>
      <c r="AFM113" s="33"/>
      <c r="AFN113" s="33"/>
      <c r="AFO113" s="33"/>
      <c r="AFP113" s="33"/>
      <c r="AFQ113" s="33"/>
      <c r="AFR113" s="33"/>
      <c r="AFS113" s="33"/>
      <c r="AFT113" s="33"/>
      <c r="AFU113" s="33"/>
      <c r="AFV113" s="33"/>
      <c r="AFW113" s="33"/>
      <c r="AFX113" s="33"/>
      <c r="AFY113" s="33"/>
      <c r="AFZ113" s="33"/>
      <c r="AGA113" s="33"/>
      <c r="AGB113" s="33"/>
      <c r="AGC113" s="33"/>
      <c r="AGD113" s="33"/>
      <c r="AGE113" s="33"/>
      <c r="AGF113" s="33"/>
      <c r="AGG113" s="33"/>
      <c r="AGH113" s="33"/>
      <c r="AGI113" s="33"/>
      <c r="AGJ113" s="33"/>
      <c r="AGK113" s="33"/>
      <c r="AGL113" s="33"/>
      <c r="AGM113" s="33"/>
      <c r="AGN113" s="33"/>
      <c r="AGO113" s="33"/>
      <c r="AGP113" s="33"/>
      <c r="AGQ113" s="33"/>
      <c r="AGR113" s="33"/>
      <c r="AGS113" s="33"/>
      <c r="AGT113" s="33"/>
      <c r="AGU113" s="33"/>
      <c r="AGV113" s="33"/>
      <c r="AGW113" s="33"/>
      <c r="AGX113" s="33"/>
      <c r="AGY113" s="33"/>
      <c r="AGZ113" s="33"/>
      <c r="AHA113" s="33"/>
      <c r="AHB113" s="33"/>
      <c r="AHC113" s="33"/>
      <c r="AHD113" s="33"/>
      <c r="AHE113" s="33"/>
      <c r="AHF113" s="33"/>
      <c r="AHG113" s="33"/>
      <c r="AHH113" s="33"/>
      <c r="AHI113" s="33"/>
      <c r="AHJ113" s="33"/>
      <c r="AHK113" s="33"/>
      <c r="AHL113" s="33"/>
      <c r="AHM113" s="33"/>
      <c r="AHN113" s="33"/>
      <c r="AHO113" s="33"/>
      <c r="AHP113" s="33"/>
      <c r="AHQ113" s="33"/>
      <c r="AHR113" s="33"/>
      <c r="AHS113" s="33"/>
      <c r="AHT113" s="33"/>
      <c r="AHU113" s="33"/>
      <c r="AHV113" s="33"/>
      <c r="AHW113" s="33"/>
      <c r="AHX113" s="33"/>
      <c r="AHY113" s="33"/>
      <c r="AHZ113" s="33"/>
      <c r="AIA113" s="33"/>
      <c r="AIB113" s="33"/>
      <c r="AIC113" s="33"/>
      <c r="AID113" s="33"/>
      <c r="AIE113" s="33"/>
      <c r="AIF113" s="33"/>
      <c r="AIG113" s="33"/>
      <c r="AIH113" s="33"/>
      <c r="AII113" s="33"/>
      <c r="AIJ113" s="33"/>
      <c r="AIK113" s="33"/>
      <c r="AIL113" s="33"/>
      <c r="AIM113" s="33"/>
      <c r="AIN113" s="33"/>
      <c r="AIO113" s="33"/>
      <c r="AIP113" s="33"/>
      <c r="AIQ113" s="33"/>
      <c r="AIR113" s="33"/>
      <c r="AIS113" s="33"/>
      <c r="AIT113" s="33"/>
      <c r="AIU113" s="33"/>
      <c r="AIV113" s="33"/>
      <c r="AIW113" s="33"/>
      <c r="AIX113" s="33"/>
      <c r="AIY113" s="33"/>
      <c r="AIZ113" s="33"/>
      <c r="AJA113" s="33"/>
      <c r="AJB113" s="33"/>
      <c r="AJC113" s="33"/>
      <c r="AJD113" s="33"/>
      <c r="AJE113" s="33"/>
      <c r="AJF113" s="33"/>
      <c r="AJG113" s="33"/>
      <c r="AJH113" s="33"/>
      <c r="AJI113" s="33"/>
      <c r="AJJ113" s="33"/>
      <c r="AJK113" s="33"/>
      <c r="AJL113" s="33"/>
      <c r="AJM113" s="33"/>
      <c r="AJN113" s="33"/>
      <c r="AJO113" s="33"/>
      <c r="AJP113" s="33"/>
      <c r="AJQ113" s="33"/>
      <c r="AJR113" s="33"/>
      <c r="AJS113" s="33"/>
      <c r="AJT113" s="33"/>
      <c r="AJU113" s="33"/>
      <c r="AJV113" s="33"/>
      <c r="AJW113" s="33"/>
      <c r="AJX113" s="33"/>
      <c r="AJY113" s="33"/>
      <c r="AJZ113" s="33"/>
      <c r="AKA113" s="33"/>
      <c r="AKB113" s="33"/>
      <c r="AKC113" s="33"/>
      <c r="AKD113" s="33"/>
      <c r="AKE113" s="33"/>
      <c r="AKF113" s="33"/>
      <c r="AKG113" s="33"/>
      <c r="AKH113" s="33"/>
      <c r="AKI113" s="33"/>
      <c r="AKJ113" s="33"/>
      <c r="AKK113" s="33"/>
      <c r="AKL113" s="33"/>
      <c r="AKM113" s="33"/>
      <c r="AKN113" s="33"/>
      <c r="AKO113" s="33"/>
      <c r="AKP113" s="33"/>
      <c r="AKQ113" s="33"/>
      <c r="AKR113" s="33"/>
      <c r="AKS113" s="33"/>
      <c r="AKT113" s="33"/>
      <c r="AKU113" s="33"/>
      <c r="AKV113" s="33"/>
      <c r="AKW113" s="33"/>
      <c r="AKX113" s="33"/>
      <c r="AKY113" s="33"/>
      <c r="AKZ113" s="33"/>
      <c r="ALA113" s="33"/>
      <c r="ALB113" s="33"/>
      <c r="ALC113" s="33"/>
      <c r="ALD113" s="33"/>
      <c r="ALE113" s="33"/>
      <c r="ALF113" s="33"/>
      <c r="ALG113" s="33"/>
      <c r="ALH113" s="33"/>
      <c r="ALI113" s="33"/>
      <c r="ALJ113" s="33"/>
      <c r="ALK113" s="33"/>
      <c r="ALL113" s="33"/>
      <c r="ALM113" s="33"/>
      <c r="ALN113" s="33"/>
      <c r="ALO113" s="33"/>
      <c r="ALP113" s="33"/>
      <c r="ALQ113" s="33"/>
      <c r="ALR113" s="33"/>
      <c r="ALS113" s="33"/>
      <c r="ALT113" s="33"/>
      <c r="ALU113" s="33"/>
      <c r="ALV113" s="33"/>
      <c r="ALW113" s="33"/>
      <c r="ALX113" s="33"/>
      <c r="ALY113" s="33"/>
      <c r="ALZ113" s="33"/>
      <c r="AMA113" s="33"/>
      <c r="AMB113" s="33"/>
      <c r="AMC113" s="33"/>
      <c r="AMD113" s="33"/>
      <c r="AME113" s="33"/>
      <c r="AMF113" s="33"/>
      <c r="AMG113" s="33"/>
      <c r="AMH113" s="33"/>
      <c r="AMI113" s="33"/>
      <c r="AMJ113" s="33"/>
      <c r="AMK113" s="33"/>
      <c r="AML113" s="33"/>
      <c r="AMM113" s="33"/>
      <c r="AMN113" s="33"/>
      <c r="AMO113" s="33"/>
      <c r="AMP113" s="33"/>
      <c r="AMQ113" s="33"/>
      <c r="AMR113" s="33"/>
      <c r="AMS113" s="33"/>
      <c r="AMT113" s="33"/>
      <c r="AMU113" s="33"/>
      <c r="AMV113" s="33"/>
      <c r="AMW113" s="33"/>
      <c r="AMX113" s="33"/>
      <c r="AMY113" s="33"/>
      <c r="AMZ113" s="33"/>
      <c r="ANA113" s="33"/>
      <c r="ANB113" s="33"/>
      <c r="ANC113" s="33"/>
      <c r="AND113" s="33"/>
      <c r="ANE113" s="33"/>
      <c r="ANF113" s="33"/>
      <c r="ANG113" s="33"/>
      <c r="ANH113" s="33"/>
      <c r="ANI113" s="33"/>
      <c r="ANJ113" s="33"/>
      <c r="ANK113" s="33"/>
      <c r="ANL113" s="33"/>
      <c r="ANM113" s="33"/>
      <c r="ANN113" s="33"/>
      <c r="ANO113" s="33"/>
      <c r="ANP113" s="33"/>
      <c r="ANQ113" s="33"/>
      <c r="ANR113" s="33"/>
      <c r="ANS113" s="33"/>
      <c r="ANT113" s="33"/>
      <c r="ANU113" s="33"/>
      <c r="ANV113" s="33"/>
      <c r="ANW113" s="33"/>
      <c r="ANX113" s="33"/>
      <c r="ANY113" s="33"/>
      <c r="ANZ113" s="33"/>
      <c r="AOA113" s="33"/>
      <c r="AOB113" s="33"/>
      <c r="AOC113" s="33"/>
      <c r="AOD113" s="33"/>
      <c r="AOE113" s="33"/>
      <c r="AOF113" s="33"/>
      <c r="AOG113" s="33"/>
      <c r="AOH113" s="33"/>
      <c r="AOI113" s="33"/>
      <c r="AOJ113" s="33"/>
      <c r="AOK113" s="33"/>
      <c r="AOL113" s="33"/>
      <c r="AOM113" s="33"/>
      <c r="AON113" s="33"/>
      <c r="AOO113" s="33"/>
      <c r="AOP113" s="33"/>
      <c r="AOQ113" s="33"/>
      <c r="AOR113" s="33"/>
      <c r="AOS113" s="33"/>
      <c r="AOT113" s="33"/>
      <c r="AOU113" s="33"/>
      <c r="AOV113" s="33"/>
      <c r="AOW113" s="33"/>
      <c r="AOX113" s="33"/>
      <c r="AOY113" s="33"/>
      <c r="AOZ113" s="33"/>
      <c r="APA113" s="33"/>
      <c r="APB113" s="33"/>
      <c r="APC113" s="33"/>
      <c r="APD113" s="33"/>
      <c r="APE113" s="33"/>
      <c r="APF113" s="33"/>
      <c r="APG113" s="33"/>
      <c r="APH113" s="33"/>
      <c r="API113" s="33"/>
      <c r="APJ113" s="33"/>
      <c r="APK113" s="33"/>
      <c r="APL113" s="33"/>
      <c r="APM113" s="33"/>
      <c r="APN113" s="33"/>
      <c r="APO113" s="33"/>
      <c r="APP113" s="33"/>
      <c r="APQ113" s="33"/>
      <c r="APR113" s="33"/>
      <c r="APS113" s="33"/>
      <c r="APT113" s="33"/>
      <c r="APU113" s="33"/>
      <c r="APV113" s="33"/>
      <c r="APW113" s="33"/>
      <c r="APX113" s="33"/>
      <c r="APY113" s="33"/>
      <c r="APZ113" s="33"/>
      <c r="AQA113" s="33"/>
      <c r="AQB113" s="33"/>
      <c r="AQC113" s="33"/>
      <c r="AQD113" s="33"/>
      <c r="AQE113" s="33"/>
      <c r="AQF113" s="33"/>
      <c r="AQG113" s="33"/>
      <c r="AQH113" s="33"/>
      <c r="AQI113" s="33"/>
      <c r="AQJ113" s="33"/>
      <c r="AQK113" s="33"/>
      <c r="AQL113" s="33"/>
      <c r="AQM113" s="33"/>
      <c r="AQN113" s="33"/>
      <c r="AQO113" s="33"/>
      <c r="AQP113" s="33"/>
      <c r="AQQ113" s="33"/>
      <c r="AQR113" s="33"/>
      <c r="AQS113" s="33"/>
      <c r="AQT113" s="33"/>
      <c r="AQU113" s="33"/>
      <c r="AQV113" s="33"/>
      <c r="AQW113" s="33"/>
      <c r="AQX113" s="33"/>
      <c r="AQY113" s="33"/>
      <c r="AQZ113" s="33"/>
      <c r="ARA113" s="33"/>
      <c r="ARB113" s="33"/>
      <c r="ARC113" s="33"/>
      <c r="ARD113" s="33"/>
      <c r="ARE113" s="33"/>
      <c r="ARF113" s="33"/>
      <c r="ARG113" s="33"/>
      <c r="ARH113" s="33"/>
      <c r="ARI113" s="33"/>
      <c r="ARJ113" s="33"/>
      <c r="ARK113" s="33"/>
      <c r="ARL113" s="33"/>
      <c r="ARM113" s="33"/>
      <c r="ARN113" s="33"/>
      <c r="ARO113" s="33"/>
      <c r="ARP113" s="33"/>
      <c r="ARQ113" s="33"/>
      <c r="ARR113" s="33"/>
      <c r="ARS113" s="33"/>
      <c r="ART113" s="33"/>
      <c r="ARU113" s="33"/>
      <c r="ARV113" s="33"/>
      <c r="ARW113" s="33"/>
      <c r="ARX113" s="33"/>
      <c r="ARY113" s="33"/>
      <c r="ARZ113" s="33"/>
      <c r="ASA113" s="33"/>
      <c r="ASB113" s="33"/>
      <c r="ASC113" s="33"/>
      <c r="ASD113" s="33"/>
      <c r="ASE113" s="33"/>
      <c r="ASF113" s="33"/>
      <c r="ASG113" s="33"/>
      <c r="ASH113" s="33"/>
      <c r="ASI113" s="33"/>
      <c r="ASJ113" s="33"/>
      <c r="ASK113" s="33"/>
      <c r="ASL113" s="33"/>
      <c r="ASM113" s="33"/>
      <c r="ASN113" s="33"/>
      <c r="ASO113" s="33"/>
      <c r="ASP113" s="33"/>
      <c r="ASQ113" s="33"/>
      <c r="ASR113" s="33"/>
      <c r="ASS113" s="33"/>
      <c r="AST113" s="33"/>
      <c r="ASU113" s="33"/>
      <c r="ASV113" s="33"/>
      <c r="ASW113" s="33"/>
      <c r="ASX113" s="33"/>
      <c r="ASY113" s="33"/>
      <c r="ASZ113" s="33"/>
      <c r="ATA113" s="33"/>
      <c r="ATB113" s="33"/>
      <c r="ATC113" s="33"/>
      <c r="ATD113" s="33"/>
      <c r="ATE113" s="33"/>
      <c r="ATF113" s="33"/>
      <c r="ATG113" s="33"/>
      <c r="ATH113" s="33"/>
      <c r="ATI113" s="33"/>
      <c r="ATJ113" s="33"/>
      <c r="ATK113" s="33"/>
      <c r="ATL113" s="33"/>
      <c r="ATM113" s="33"/>
      <c r="ATN113" s="33"/>
      <c r="ATO113" s="33"/>
      <c r="ATP113" s="33"/>
      <c r="ATQ113" s="33"/>
      <c r="ATR113" s="33"/>
      <c r="ATS113" s="33"/>
      <c r="ATT113" s="33"/>
      <c r="ATU113" s="33"/>
      <c r="ATV113" s="33"/>
      <c r="ATW113" s="33"/>
      <c r="ATX113" s="33"/>
      <c r="ATY113" s="33"/>
      <c r="ATZ113" s="33"/>
      <c r="AUA113" s="33"/>
      <c r="AUB113" s="33"/>
      <c r="AUC113" s="33"/>
      <c r="AUD113" s="33"/>
      <c r="AUE113" s="33"/>
      <c r="AUF113" s="33"/>
      <c r="AUG113" s="33"/>
      <c r="AUH113" s="33"/>
      <c r="AUI113" s="33"/>
      <c r="AUJ113" s="33"/>
      <c r="AUK113" s="33"/>
      <c r="AUL113" s="33"/>
      <c r="AUM113" s="33"/>
      <c r="AUN113" s="33"/>
      <c r="AUO113" s="33"/>
      <c r="AUP113" s="33"/>
      <c r="AUQ113" s="33"/>
      <c r="AUR113" s="33"/>
      <c r="AUS113" s="33"/>
      <c r="AUT113" s="33"/>
      <c r="AUU113" s="33"/>
      <c r="AUV113" s="33"/>
      <c r="AUW113" s="33"/>
      <c r="AUX113" s="33"/>
      <c r="AUY113" s="33"/>
      <c r="AUZ113" s="33"/>
      <c r="AVA113" s="33"/>
      <c r="AVB113" s="33"/>
      <c r="AVC113" s="33"/>
      <c r="AVD113" s="33"/>
      <c r="AVE113" s="33"/>
      <c r="AVF113" s="33"/>
      <c r="AVG113" s="33"/>
      <c r="AVH113" s="33"/>
      <c r="AVI113" s="33"/>
      <c r="AVJ113" s="33"/>
      <c r="AVK113" s="33"/>
      <c r="AVL113" s="33"/>
      <c r="AVM113" s="33"/>
      <c r="AVN113" s="33"/>
      <c r="AVO113" s="33"/>
      <c r="AVP113" s="33"/>
      <c r="AVQ113" s="33"/>
      <c r="AVR113" s="33"/>
      <c r="AVS113" s="33"/>
      <c r="AVT113" s="33"/>
      <c r="AVU113" s="33"/>
      <c r="AVV113" s="33"/>
      <c r="AVW113" s="33"/>
      <c r="AVX113" s="33"/>
      <c r="AVY113" s="33"/>
      <c r="AVZ113" s="33"/>
      <c r="AWA113" s="33"/>
      <c r="AWB113" s="33"/>
      <c r="AWC113" s="33"/>
      <c r="AWD113" s="33"/>
      <c r="AWE113" s="33"/>
      <c r="AWF113" s="33"/>
      <c r="AWG113" s="33"/>
      <c r="AWH113" s="33"/>
      <c r="AWI113" s="33"/>
      <c r="AWJ113" s="33"/>
      <c r="AWK113" s="33"/>
      <c r="AWL113" s="33"/>
      <c r="AWM113" s="33"/>
      <c r="AWN113" s="33"/>
      <c r="AWO113" s="33"/>
      <c r="AWP113" s="33"/>
      <c r="AWQ113" s="33"/>
      <c r="AWR113" s="33"/>
      <c r="AWS113" s="33"/>
      <c r="AWT113" s="33"/>
      <c r="AWU113" s="33"/>
      <c r="AWV113" s="33"/>
      <c r="AWW113" s="33"/>
      <c r="AWX113" s="33"/>
      <c r="AWY113" s="33"/>
      <c r="AWZ113" s="33"/>
      <c r="AXA113" s="33"/>
      <c r="AXB113" s="33"/>
      <c r="AXC113" s="33"/>
      <c r="AXD113" s="33"/>
      <c r="AXE113" s="33"/>
      <c r="AXF113" s="33"/>
      <c r="AXG113" s="33"/>
      <c r="AXH113" s="33"/>
      <c r="AXI113" s="33"/>
      <c r="AXJ113" s="33"/>
      <c r="AXK113" s="33"/>
      <c r="AXL113" s="33"/>
      <c r="AXM113" s="33"/>
      <c r="AXN113" s="33"/>
      <c r="AXO113" s="33"/>
      <c r="AXP113" s="33"/>
      <c r="AXQ113" s="33"/>
      <c r="AXR113" s="33"/>
      <c r="AXS113" s="33"/>
      <c r="AXT113" s="33"/>
      <c r="AXU113" s="33"/>
      <c r="AXV113" s="33"/>
      <c r="AXW113" s="33"/>
      <c r="AXX113" s="33"/>
      <c r="AXY113" s="33"/>
      <c r="AXZ113" s="33"/>
      <c r="AYA113" s="33"/>
      <c r="AYB113" s="33"/>
      <c r="AYC113" s="33"/>
      <c r="AYD113" s="33"/>
      <c r="AYE113" s="33"/>
      <c r="AYF113" s="33"/>
      <c r="AYG113" s="33"/>
      <c r="AYH113" s="33"/>
      <c r="AYI113" s="33"/>
      <c r="AYJ113" s="33"/>
      <c r="AYK113" s="33"/>
      <c r="AYL113" s="33"/>
      <c r="AYM113" s="33"/>
      <c r="AYN113" s="33"/>
      <c r="AYO113" s="33"/>
      <c r="AYP113" s="33"/>
      <c r="AYQ113" s="33"/>
      <c r="AYR113" s="33"/>
      <c r="AYS113" s="33"/>
      <c r="AYT113" s="33"/>
      <c r="AYU113" s="33"/>
      <c r="AYV113" s="33"/>
      <c r="AYW113" s="33"/>
      <c r="AYX113" s="33"/>
      <c r="AYY113" s="33"/>
      <c r="AYZ113" s="33"/>
      <c r="AZA113" s="33"/>
      <c r="AZB113" s="33"/>
      <c r="AZC113" s="33"/>
      <c r="AZD113" s="33"/>
      <c r="AZE113" s="33"/>
      <c r="AZF113" s="33"/>
      <c r="AZG113" s="33"/>
      <c r="AZH113" s="33"/>
      <c r="AZI113" s="33"/>
      <c r="AZJ113" s="33"/>
      <c r="AZK113" s="33"/>
      <c r="AZL113" s="33"/>
      <c r="AZM113" s="33"/>
      <c r="AZN113" s="33"/>
      <c r="AZO113" s="33"/>
      <c r="AZP113" s="33"/>
      <c r="AZQ113" s="33"/>
      <c r="AZR113" s="33"/>
      <c r="AZS113" s="33"/>
      <c r="AZT113" s="33"/>
      <c r="AZU113" s="33"/>
      <c r="AZV113" s="33"/>
      <c r="AZW113" s="33"/>
      <c r="AZX113" s="33"/>
      <c r="AZY113" s="33"/>
      <c r="AZZ113" s="33"/>
      <c r="BAA113" s="33"/>
      <c r="BAB113" s="33"/>
      <c r="BAC113" s="33"/>
      <c r="BAD113" s="33"/>
      <c r="BAE113" s="33"/>
      <c r="BAF113" s="33"/>
      <c r="BAG113" s="33"/>
      <c r="BAH113" s="33"/>
      <c r="BAI113" s="33"/>
      <c r="BAJ113" s="33"/>
      <c r="BAK113" s="33"/>
      <c r="BAL113" s="33"/>
      <c r="BAM113" s="33"/>
      <c r="BAN113" s="33"/>
      <c r="BAO113" s="33"/>
      <c r="BAP113" s="33"/>
      <c r="BAQ113" s="33"/>
      <c r="BAR113" s="33"/>
      <c r="BAS113" s="33"/>
      <c r="BAT113" s="33"/>
      <c r="BAU113" s="33"/>
      <c r="BAV113" s="33"/>
      <c r="BAW113" s="33"/>
      <c r="BAX113" s="33"/>
      <c r="BAY113" s="33"/>
      <c r="BAZ113" s="33"/>
      <c r="BBA113" s="33"/>
      <c r="BBB113" s="33"/>
      <c r="BBC113" s="33"/>
      <c r="BBD113" s="33"/>
      <c r="BBE113" s="33"/>
      <c r="BBF113" s="33"/>
      <c r="BBG113" s="33"/>
      <c r="BBH113" s="33"/>
      <c r="BBI113" s="33"/>
      <c r="BBJ113" s="33"/>
      <c r="BBK113" s="33"/>
      <c r="BBL113" s="33"/>
      <c r="BBM113" s="33"/>
      <c r="BBN113" s="33"/>
      <c r="BBO113" s="33"/>
      <c r="BBP113" s="33"/>
      <c r="BBQ113" s="33"/>
      <c r="BBR113" s="33"/>
      <c r="BBS113" s="33"/>
      <c r="BBT113" s="33"/>
      <c r="BBU113" s="33"/>
      <c r="BBV113" s="33"/>
      <c r="BBW113" s="33"/>
      <c r="BBX113" s="33"/>
      <c r="BBY113" s="33"/>
      <c r="BBZ113" s="33"/>
      <c r="BCA113" s="33"/>
      <c r="BCB113" s="33"/>
      <c r="BCC113" s="33"/>
      <c r="BCD113" s="33"/>
      <c r="BCE113" s="33"/>
      <c r="BCF113" s="33"/>
      <c r="BCG113" s="33"/>
      <c r="BCH113" s="33"/>
      <c r="BCI113" s="33"/>
      <c r="BCJ113" s="33"/>
      <c r="BCK113" s="33"/>
      <c r="BCL113" s="33"/>
      <c r="BCM113" s="33"/>
      <c r="BCN113" s="33"/>
      <c r="BCO113" s="33"/>
      <c r="BCP113" s="33"/>
      <c r="BCQ113" s="33"/>
      <c r="BCR113" s="33"/>
      <c r="BCS113" s="33"/>
      <c r="BCT113" s="33"/>
      <c r="BCU113" s="33"/>
      <c r="BCV113" s="33"/>
      <c r="BCW113" s="33"/>
      <c r="BCX113" s="33"/>
      <c r="BCY113" s="33"/>
      <c r="BCZ113" s="33"/>
      <c r="BDA113" s="33"/>
      <c r="BDB113" s="33"/>
      <c r="BDC113" s="33"/>
      <c r="BDD113" s="33"/>
      <c r="BDE113" s="33"/>
      <c r="BDF113" s="33"/>
      <c r="BDG113" s="33"/>
      <c r="BDH113" s="33"/>
      <c r="BDI113" s="33"/>
      <c r="BDJ113" s="33"/>
      <c r="BDK113" s="33"/>
      <c r="BDL113" s="33"/>
      <c r="BDM113" s="33"/>
      <c r="BDN113" s="33"/>
      <c r="BDO113" s="33"/>
      <c r="BDP113" s="33"/>
      <c r="BDQ113" s="33"/>
      <c r="BDR113" s="33"/>
      <c r="BDS113" s="33"/>
      <c r="BDT113" s="33"/>
      <c r="BDU113" s="33"/>
      <c r="BDV113" s="33"/>
      <c r="BDW113" s="33"/>
      <c r="BDX113" s="33"/>
      <c r="BDY113" s="33"/>
      <c r="BDZ113" s="33"/>
      <c r="BEA113" s="33"/>
      <c r="BEB113" s="33"/>
      <c r="BEC113" s="33"/>
      <c r="BED113" s="33"/>
      <c r="BEE113" s="33"/>
      <c r="BEF113" s="33"/>
      <c r="BEG113" s="33"/>
      <c r="BEH113" s="33"/>
      <c r="BEI113" s="33"/>
      <c r="BEJ113" s="33"/>
      <c r="BEK113" s="33"/>
      <c r="BEL113" s="33"/>
      <c r="BEM113" s="33"/>
      <c r="BEN113" s="33"/>
      <c r="BEO113" s="33"/>
      <c r="BEP113" s="33"/>
      <c r="BEQ113" s="33"/>
      <c r="BER113" s="33"/>
      <c r="BES113" s="33"/>
      <c r="BET113" s="33"/>
      <c r="BEU113" s="33"/>
      <c r="BEV113" s="33"/>
      <c r="BEW113" s="33"/>
      <c r="BEX113" s="33"/>
      <c r="BEY113" s="33"/>
      <c r="BEZ113" s="33"/>
      <c r="BFA113" s="33"/>
      <c r="BFB113" s="33"/>
      <c r="BFC113" s="33"/>
      <c r="BFD113" s="33"/>
      <c r="BFE113" s="33"/>
      <c r="BFF113" s="33"/>
      <c r="BFG113" s="33"/>
      <c r="BFH113" s="33"/>
      <c r="BFI113" s="33"/>
      <c r="BFJ113" s="33"/>
      <c r="BFK113" s="33"/>
      <c r="BFL113" s="33"/>
      <c r="BFM113" s="33"/>
      <c r="BFN113" s="33"/>
      <c r="BFO113" s="33"/>
      <c r="BFP113" s="33"/>
      <c r="BFQ113" s="33"/>
      <c r="BFR113" s="33"/>
      <c r="BFS113" s="33"/>
      <c r="BFT113" s="33"/>
      <c r="BFU113" s="33"/>
      <c r="BFV113" s="33"/>
      <c r="BFW113" s="33"/>
      <c r="BFX113" s="33"/>
      <c r="BFY113" s="33"/>
      <c r="BFZ113" s="33"/>
      <c r="BGA113" s="33"/>
      <c r="BGB113" s="33"/>
      <c r="BGC113" s="33"/>
      <c r="BGD113" s="33"/>
      <c r="BGE113" s="33"/>
      <c r="BGF113" s="33"/>
      <c r="BGG113" s="33"/>
      <c r="BGH113" s="33"/>
      <c r="BGI113" s="33"/>
      <c r="BGJ113" s="33"/>
      <c r="BGK113" s="33"/>
      <c r="BGL113" s="33"/>
      <c r="BGM113" s="33"/>
      <c r="BGN113" s="33"/>
      <c r="BGO113" s="33"/>
      <c r="BGP113" s="33"/>
      <c r="BGQ113" s="33"/>
      <c r="BGR113" s="33"/>
      <c r="BGS113" s="33"/>
      <c r="BGT113" s="33"/>
      <c r="BGU113" s="33"/>
      <c r="BGV113" s="33"/>
      <c r="BGW113" s="33"/>
      <c r="BGX113" s="33"/>
      <c r="BGY113" s="33"/>
      <c r="BGZ113" s="33"/>
      <c r="BHA113" s="33"/>
      <c r="BHB113" s="33"/>
      <c r="BHC113" s="33"/>
      <c r="BHD113" s="33"/>
      <c r="BHE113" s="33"/>
      <c r="BHF113" s="33"/>
      <c r="BHG113" s="33"/>
      <c r="BHH113" s="33"/>
      <c r="BHI113" s="33"/>
      <c r="BHJ113" s="33"/>
      <c r="BHK113" s="33"/>
      <c r="BHL113" s="33"/>
      <c r="BHM113" s="33"/>
      <c r="BHN113" s="33"/>
      <c r="BHO113" s="33"/>
      <c r="BHP113" s="33"/>
      <c r="BHQ113" s="33"/>
      <c r="BHR113" s="33"/>
      <c r="BHS113" s="33"/>
      <c r="BHT113" s="33"/>
      <c r="BHU113" s="33"/>
      <c r="BHV113" s="33"/>
      <c r="BHW113" s="33"/>
      <c r="BHX113" s="33"/>
      <c r="BHY113" s="33"/>
      <c r="BHZ113" s="33"/>
      <c r="BIA113" s="33"/>
      <c r="BIB113" s="33"/>
      <c r="BIC113" s="33"/>
      <c r="BID113" s="33"/>
      <c r="BIE113" s="33"/>
      <c r="BIF113" s="33"/>
      <c r="BIG113" s="33"/>
      <c r="BIH113" s="33"/>
      <c r="BII113" s="33"/>
      <c r="BIJ113" s="33"/>
      <c r="BIK113" s="33"/>
      <c r="BIL113" s="33"/>
      <c r="BIM113" s="33"/>
      <c r="BIN113" s="33"/>
      <c r="BIO113" s="33"/>
      <c r="BIP113" s="33"/>
      <c r="BIQ113" s="33"/>
      <c r="BIR113" s="33"/>
      <c r="BIS113" s="33"/>
      <c r="BIT113" s="33"/>
      <c r="BIU113" s="33"/>
      <c r="BIV113" s="33"/>
      <c r="BIW113" s="33"/>
      <c r="BIX113" s="33"/>
      <c r="BIY113" s="33"/>
      <c r="BIZ113" s="33"/>
      <c r="BJA113" s="33"/>
      <c r="BJB113" s="33"/>
      <c r="BJC113" s="33"/>
      <c r="BJD113" s="33"/>
      <c r="BJE113" s="33"/>
      <c r="BJF113" s="33"/>
      <c r="BJG113" s="33"/>
      <c r="BJH113" s="33"/>
      <c r="BJI113" s="33"/>
      <c r="BJJ113" s="33"/>
      <c r="BJK113" s="33"/>
      <c r="BJL113" s="33"/>
      <c r="BJM113" s="33"/>
      <c r="BJN113" s="33"/>
      <c r="BJO113" s="33"/>
      <c r="BJP113" s="33"/>
      <c r="BJQ113" s="33"/>
      <c r="BJR113" s="33"/>
      <c r="BJS113" s="33"/>
      <c r="BJT113" s="33"/>
      <c r="BJU113" s="33"/>
      <c r="BJV113" s="33"/>
      <c r="BJW113" s="33"/>
      <c r="BJX113" s="33"/>
      <c r="BJY113" s="33"/>
      <c r="BJZ113" s="33"/>
      <c r="BKA113" s="33"/>
      <c r="BKB113" s="33"/>
      <c r="BKC113" s="33"/>
      <c r="BKD113" s="33"/>
      <c r="BKE113" s="33"/>
      <c r="BKF113" s="33"/>
      <c r="BKG113" s="33"/>
      <c r="BKH113" s="33"/>
      <c r="BKI113" s="33"/>
      <c r="BKJ113" s="33"/>
      <c r="BKK113" s="33"/>
      <c r="BKL113" s="33"/>
      <c r="BKM113" s="33"/>
      <c r="BKN113" s="33"/>
      <c r="BKO113" s="33"/>
      <c r="BKP113" s="33"/>
      <c r="BKQ113" s="33"/>
      <c r="BKR113" s="33"/>
      <c r="BKS113" s="33"/>
      <c r="BKT113" s="33"/>
      <c r="BKU113" s="33"/>
      <c r="BKV113" s="33"/>
      <c r="BKW113" s="33"/>
      <c r="BKX113" s="33"/>
      <c r="BKY113" s="33"/>
      <c r="BKZ113" s="33"/>
      <c r="BLA113" s="33"/>
      <c r="BLB113" s="33"/>
      <c r="BLC113" s="33"/>
      <c r="BLD113" s="33"/>
      <c r="BLE113" s="33"/>
      <c r="BLF113" s="33"/>
      <c r="BLG113" s="33"/>
      <c r="BLH113" s="33"/>
      <c r="BLI113" s="33"/>
      <c r="BLJ113" s="33"/>
      <c r="BLK113" s="33"/>
      <c r="BLL113" s="33"/>
      <c r="BLM113" s="33"/>
      <c r="BLN113" s="33"/>
      <c r="BLO113" s="33"/>
      <c r="BLP113" s="33"/>
      <c r="BLQ113" s="33"/>
      <c r="BLR113" s="33"/>
      <c r="BLS113" s="33"/>
      <c r="BLT113" s="33"/>
      <c r="BLU113" s="33"/>
      <c r="BLV113" s="33"/>
      <c r="BLW113" s="33"/>
      <c r="BLX113" s="33"/>
      <c r="BLY113" s="33"/>
      <c r="BLZ113" s="33"/>
      <c r="BMA113" s="33"/>
      <c r="BMB113" s="33"/>
      <c r="BMC113" s="33"/>
      <c r="BMD113" s="33"/>
      <c r="BME113" s="33"/>
      <c r="BMF113" s="33"/>
      <c r="BMG113" s="33"/>
      <c r="BMH113" s="33"/>
      <c r="BMI113" s="33"/>
      <c r="BMJ113" s="33"/>
      <c r="BMK113" s="33"/>
      <c r="BML113" s="33"/>
      <c r="BMM113" s="33"/>
      <c r="BMN113" s="33"/>
      <c r="BMO113" s="33"/>
      <c r="BMP113" s="33"/>
      <c r="BMQ113" s="33"/>
      <c r="BMR113" s="33"/>
      <c r="BMS113" s="33"/>
      <c r="BMT113" s="33"/>
      <c r="BMU113" s="33"/>
      <c r="BMV113" s="33"/>
      <c r="BMW113" s="33"/>
      <c r="BMX113" s="33"/>
      <c r="BMY113" s="33"/>
      <c r="BMZ113" s="33"/>
      <c r="BNA113" s="33"/>
      <c r="BNB113" s="33"/>
      <c r="BNC113" s="33"/>
      <c r="BND113" s="33"/>
      <c r="BNE113" s="33"/>
      <c r="BNF113" s="33"/>
      <c r="BNG113" s="33"/>
      <c r="BNH113" s="33"/>
      <c r="BNI113" s="33"/>
      <c r="BNJ113" s="33"/>
      <c r="BNK113" s="33"/>
      <c r="BNL113" s="33"/>
      <c r="BNM113" s="33"/>
      <c r="BNN113" s="33"/>
      <c r="BNO113" s="33"/>
      <c r="BNP113" s="33"/>
      <c r="BNQ113" s="33"/>
      <c r="BNR113" s="33"/>
      <c r="BNS113" s="33"/>
      <c r="BNT113" s="33"/>
      <c r="BNU113" s="33"/>
      <c r="BNV113" s="33"/>
      <c r="BNW113" s="33"/>
      <c r="BNX113" s="33"/>
      <c r="BNY113" s="33"/>
      <c r="BNZ113" s="33"/>
      <c r="BOA113" s="33"/>
      <c r="BOB113" s="33"/>
      <c r="BOC113" s="33"/>
      <c r="BOD113" s="33"/>
      <c r="BOE113" s="33"/>
      <c r="BOF113" s="33"/>
      <c r="BOG113" s="33"/>
      <c r="BOH113" s="33"/>
      <c r="BOI113" s="33"/>
      <c r="BOJ113" s="33"/>
      <c r="BOK113" s="33"/>
      <c r="BOL113" s="33"/>
      <c r="BOM113" s="33"/>
      <c r="BON113" s="33"/>
      <c r="BOO113" s="33"/>
      <c r="BOP113" s="33"/>
      <c r="BOQ113" s="33"/>
      <c r="BOR113" s="33"/>
      <c r="BOS113" s="33"/>
      <c r="BOT113" s="33"/>
      <c r="BOU113" s="33"/>
      <c r="BOV113" s="33"/>
      <c r="BOW113" s="33"/>
      <c r="BOX113" s="33"/>
      <c r="BOY113" s="33"/>
      <c r="BOZ113" s="33"/>
      <c r="BPA113" s="33"/>
      <c r="BPB113" s="33"/>
      <c r="BPC113" s="33"/>
      <c r="BPD113" s="33"/>
      <c r="BPE113" s="33"/>
      <c r="BPF113" s="33"/>
      <c r="BPG113" s="33"/>
      <c r="BPH113" s="33"/>
      <c r="BPI113" s="33"/>
      <c r="BPJ113" s="33"/>
      <c r="BPK113" s="33"/>
      <c r="BPL113" s="33"/>
      <c r="BPM113" s="33"/>
      <c r="BPN113" s="33"/>
      <c r="BPO113" s="33"/>
      <c r="BPP113" s="33"/>
      <c r="BPQ113" s="33"/>
      <c r="BPR113" s="33"/>
      <c r="BPS113" s="33"/>
      <c r="BPT113" s="33"/>
      <c r="BPU113" s="33"/>
      <c r="BPV113" s="33"/>
      <c r="BPW113" s="33"/>
      <c r="BPX113" s="33"/>
      <c r="BPY113" s="33"/>
      <c r="BPZ113" s="33"/>
      <c r="BQA113" s="33"/>
      <c r="BQB113" s="33"/>
      <c r="BQC113" s="33"/>
      <c r="BQD113" s="33"/>
      <c r="BQE113" s="33"/>
      <c r="BQF113" s="33"/>
      <c r="BQG113" s="33"/>
      <c r="BQH113" s="33"/>
      <c r="BQI113" s="33"/>
      <c r="BQJ113" s="33"/>
      <c r="BQK113" s="33"/>
      <c r="BQL113" s="33"/>
      <c r="BQM113" s="33"/>
      <c r="BQN113" s="33"/>
      <c r="BQO113" s="33"/>
      <c r="BQP113" s="33"/>
      <c r="BQQ113" s="33"/>
      <c r="BQR113" s="33"/>
      <c r="BQS113" s="33"/>
      <c r="BQT113" s="33"/>
      <c r="BQU113" s="33"/>
      <c r="BQV113" s="33"/>
      <c r="BQW113" s="33"/>
      <c r="BQX113" s="33"/>
      <c r="BQY113" s="33"/>
      <c r="BQZ113" s="33"/>
      <c r="BRA113" s="33"/>
      <c r="BRB113" s="33"/>
      <c r="BRC113" s="33"/>
      <c r="BRD113" s="33"/>
      <c r="BRE113" s="33"/>
      <c r="BRF113" s="33"/>
      <c r="BRG113" s="33"/>
      <c r="BRH113" s="33"/>
      <c r="BRI113" s="33"/>
      <c r="BRJ113" s="33"/>
      <c r="BRK113" s="33"/>
      <c r="BRL113" s="33"/>
      <c r="BRM113" s="33"/>
      <c r="BRN113" s="33"/>
      <c r="BRO113" s="33"/>
      <c r="BRP113" s="33"/>
      <c r="BRQ113" s="33"/>
      <c r="BRR113" s="33"/>
      <c r="BRS113" s="33"/>
      <c r="BRT113" s="33"/>
      <c r="BRU113" s="33"/>
      <c r="BRV113" s="33"/>
      <c r="BRW113" s="33"/>
      <c r="BRX113" s="33"/>
      <c r="BRY113" s="33"/>
      <c r="BRZ113" s="33"/>
      <c r="BSA113" s="33"/>
      <c r="BSB113" s="33"/>
      <c r="BSC113" s="33"/>
      <c r="BSD113" s="33"/>
      <c r="BSE113" s="33"/>
      <c r="BSF113" s="33"/>
      <c r="BSG113" s="33"/>
      <c r="BSH113" s="33"/>
      <c r="BSI113" s="33"/>
      <c r="BSJ113" s="33"/>
      <c r="BSK113" s="33"/>
      <c r="BSL113" s="33"/>
      <c r="BSM113" s="33"/>
      <c r="BSN113" s="33"/>
      <c r="BSO113" s="33"/>
      <c r="BSP113" s="33"/>
      <c r="BSQ113" s="33"/>
      <c r="BSR113" s="33"/>
      <c r="BSS113" s="33"/>
      <c r="BST113" s="33"/>
      <c r="BSU113" s="33"/>
      <c r="BSV113" s="33"/>
      <c r="BSW113" s="33"/>
      <c r="BSX113" s="33"/>
      <c r="BSY113" s="33"/>
      <c r="BSZ113" s="33"/>
      <c r="BTA113" s="33"/>
      <c r="BTB113" s="33"/>
      <c r="BTC113" s="33"/>
      <c r="BTD113" s="33"/>
      <c r="BTE113" s="33"/>
      <c r="BTF113" s="33"/>
      <c r="BTG113" s="33"/>
      <c r="BTH113" s="33"/>
      <c r="BTI113" s="33"/>
      <c r="BTJ113" s="33"/>
      <c r="BTK113" s="33"/>
      <c r="BTL113" s="33"/>
      <c r="BTM113" s="33"/>
      <c r="BTN113" s="33"/>
      <c r="BTO113" s="33"/>
      <c r="BTP113" s="33"/>
      <c r="BTQ113" s="33"/>
      <c r="BTR113" s="33"/>
      <c r="BTS113" s="33"/>
      <c r="BTT113" s="33"/>
      <c r="BTU113" s="33"/>
      <c r="BTV113" s="33"/>
      <c r="BTW113" s="33"/>
      <c r="BTX113" s="33"/>
      <c r="BTY113" s="33"/>
      <c r="BTZ113" s="33"/>
      <c r="BUA113" s="33"/>
      <c r="BUB113" s="33"/>
      <c r="BUC113" s="33"/>
      <c r="BUD113" s="33"/>
      <c r="BUE113" s="33"/>
      <c r="BUF113" s="33"/>
      <c r="BUG113" s="33"/>
      <c r="BUH113" s="33"/>
      <c r="BUI113" s="33"/>
      <c r="BUJ113" s="33"/>
      <c r="BUK113" s="33"/>
      <c r="BUL113" s="33"/>
      <c r="BUM113" s="33"/>
      <c r="BUN113" s="33"/>
      <c r="BUO113" s="33"/>
      <c r="BUP113" s="33"/>
      <c r="BUQ113" s="33"/>
      <c r="BUR113" s="33"/>
      <c r="BUS113" s="33"/>
      <c r="BUT113" s="33"/>
      <c r="BUU113" s="33"/>
      <c r="BUV113" s="33"/>
      <c r="BUW113" s="33"/>
      <c r="BUX113" s="33"/>
      <c r="BUY113" s="33"/>
      <c r="BUZ113" s="33"/>
      <c r="BVA113" s="33"/>
      <c r="BVB113" s="33"/>
      <c r="BVC113" s="33"/>
      <c r="BVD113" s="33"/>
      <c r="BVE113" s="33"/>
      <c r="BVF113" s="33"/>
      <c r="BVG113" s="33"/>
      <c r="BVH113" s="33"/>
      <c r="BVI113" s="33"/>
      <c r="BVJ113" s="33"/>
      <c r="BVK113" s="33"/>
      <c r="BVL113" s="33"/>
      <c r="BVM113" s="33"/>
      <c r="BVN113" s="33"/>
      <c r="BVO113" s="33"/>
      <c r="BVP113" s="33"/>
      <c r="BVQ113" s="33"/>
      <c r="BVR113" s="33"/>
      <c r="BVS113" s="33"/>
      <c r="BVT113" s="33"/>
      <c r="BVU113" s="33"/>
      <c r="BVV113" s="33"/>
      <c r="BVW113" s="33"/>
      <c r="BVX113" s="33"/>
      <c r="BVY113" s="33"/>
      <c r="BVZ113" s="33"/>
      <c r="BWA113" s="33"/>
      <c r="BWB113" s="33"/>
      <c r="BWC113" s="33"/>
      <c r="BWD113" s="33"/>
      <c r="BWE113" s="33"/>
      <c r="BWF113" s="33"/>
      <c r="BWG113" s="33"/>
      <c r="BWH113" s="33"/>
      <c r="BWI113" s="33"/>
      <c r="BWJ113" s="33"/>
      <c r="BWK113" s="33"/>
      <c r="BWL113" s="33"/>
      <c r="BWM113" s="33"/>
      <c r="BWN113" s="33"/>
      <c r="BWO113" s="33"/>
      <c r="BWP113" s="33"/>
      <c r="BWQ113" s="33"/>
      <c r="BWR113" s="33"/>
      <c r="BWS113" s="33"/>
      <c r="BWT113" s="33"/>
      <c r="BWU113" s="33"/>
      <c r="BWV113" s="33"/>
      <c r="BWW113" s="33"/>
      <c r="BWX113" s="33"/>
      <c r="BWY113" s="33"/>
      <c r="BWZ113" s="33"/>
      <c r="BXA113" s="33"/>
      <c r="BXB113" s="33"/>
      <c r="BXC113" s="33"/>
      <c r="BXD113" s="33"/>
      <c r="BXE113" s="33"/>
      <c r="BXF113" s="33"/>
      <c r="BXG113" s="33"/>
      <c r="BXH113" s="33"/>
      <c r="BXI113" s="33"/>
      <c r="BXJ113" s="33"/>
      <c r="BXK113" s="33"/>
      <c r="BXL113" s="33"/>
      <c r="BXM113" s="33"/>
      <c r="BXN113" s="33"/>
      <c r="BXO113" s="33"/>
      <c r="BXP113" s="33"/>
      <c r="BXQ113" s="33"/>
      <c r="BXR113" s="33"/>
      <c r="BXS113" s="33"/>
      <c r="BXT113" s="33"/>
      <c r="BXU113" s="33"/>
      <c r="BXV113" s="33"/>
      <c r="BXW113" s="33"/>
      <c r="BXX113" s="33"/>
      <c r="BXY113" s="33"/>
      <c r="BXZ113" s="33"/>
      <c r="BYA113" s="33"/>
      <c r="BYB113" s="33"/>
      <c r="BYC113" s="33"/>
      <c r="BYD113" s="33"/>
      <c r="BYE113" s="33"/>
      <c r="BYF113" s="33"/>
      <c r="BYG113" s="33"/>
      <c r="BYH113" s="33"/>
      <c r="BYI113" s="33"/>
      <c r="BYJ113" s="33"/>
      <c r="BYK113" s="33"/>
      <c r="BYL113" s="33"/>
      <c r="BYM113" s="33"/>
      <c r="BYN113" s="33"/>
      <c r="BYO113" s="33"/>
      <c r="BYP113" s="33"/>
      <c r="BYQ113" s="33"/>
      <c r="BYR113" s="33"/>
      <c r="BYS113" s="33"/>
      <c r="BYT113" s="33"/>
      <c r="BYU113" s="33"/>
      <c r="BYV113" s="33"/>
      <c r="BYW113" s="33"/>
      <c r="BYX113" s="33"/>
      <c r="BYY113" s="33"/>
      <c r="BYZ113" s="33"/>
      <c r="BZA113" s="33"/>
      <c r="BZB113" s="33"/>
      <c r="BZC113" s="33"/>
      <c r="BZD113" s="33"/>
      <c r="BZE113" s="33"/>
      <c r="BZF113" s="33"/>
      <c r="BZG113" s="33"/>
      <c r="BZH113" s="33"/>
      <c r="BZI113" s="33"/>
      <c r="BZJ113" s="33"/>
      <c r="BZK113" s="33"/>
      <c r="BZL113" s="33"/>
      <c r="BZM113" s="33"/>
      <c r="BZN113" s="33"/>
      <c r="BZO113" s="33"/>
      <c r="BZP113" s="33"/>
      <c r="BZQ113" s="33"/>
      <c r="BZR113" s="33"/>
      <c r="BZS113" s="33"/>
      <c r="BZT113" s="33"/>
      <c r="BZU113" s="33"/>
      <c r="BZV113" s="33"/>
      <c r="BZW113" s="33"/>
      <c r="BZX113" s="33"/>
      <c r="BZY113" s="33"/>
      <c r="BZZ113" s="33"/>
      <c r="CAA113" s="33"/>
      <c r="CAB113" s="33"/>
      <c r="CAC113" s="33"/>
      <c r="CAD113" s="33"/>
      <c r="CAE113" s="33"/>
      <c r="CAF113" s="33"/>
      <c r="CAG113" s="33"/>
      <c r="CAH113" s="33"/>
      <c r="CAI113" s="33"/>
      <c r="CAJ113" s="33"/>
      <c r="CAK113" s="33"/>
      <c r="CAL113" s="33"/>
      <c r="CAM113" s="33"/>
      <c r="CAN113" s="33"/>
      <c r="CAO113" s="33"/>
      <c r="CAP113" s="33"/>
      <c r="CAQ113" s="33"/>
      <c r="CAR113" s="33"/>
      <c r="CAS113" s="33"/>
      <c r="CAT113" s="33"/>
      <c r="CAU113" s="33"/>
      <c r="CAV113" s="33"/>
      <c r="CAW113" s="33"/>
      <c r="CAX113" s="33"/>
      <c r="CAY113" s="33"/>
      <c r="CAZ113" s="33"/>
      <c r="CBA113" s="33"/>
      <c r="CBB113" s="33"/>
      <c r="CBC113" s="33"/>
      <c r="CBD113" s="33"/>
      <c r="CBE113" s="33"/>
      <c r="CBF113" s="33"/>
      <c r="CBG113" s="33"/>
      <c r="CBH113" s="33"/>
      <c r="CBI113" s="33"/>
      <c r="CBJ113" s="33"/>
      <c r="CBK113" s="33"/>
      <c r="CBL113" s="33"/>
      <c r="CBM113" s="33"/>
      <c r="CBN113" s="33"/>
      <c r="CBO113" s="33"/>
      <c r="CBP113" s="33"/>
      <c r="CBQ113" s="33"/>
      <c r="CBR113" s="33"/>
      <c r="CBS113" s="33"/>
      <c r="CBT113" s="33"/>
      <c r="CBU113" s="33"/>
      <c r="CBV113" s="33"/>
      <c r="CBW113" s="33"/>
      <c r="CBX113" s="33"/>
      <c r="CBY113" s="33"/>
      <c r="CBZ113" s="33"/>
      <c r="CCA113" s="33"/>
      <c r="CCB113" s="33"/>
      <c r="CCC113" s="33"/>
      <c r="CCD113" s="33"/>
      <c r="CCE113" s="33"/>
      <c r="CCF113" s="33"/>
      <c r="CCG113" s="33"/>
      <c r="CCH113" s="33"/>
      <c r="CCI113" s="33"/>
      <c r="CCJ113" s="33"/>
      <c r="CCK113" s="33"/>
      <c r="CCL113" s="33"/>
      <c r="CCM113" s="33"/>
      <c r="CCN113" s="33"/>
      <c r="CCO113" s="33"/>
      <c r="CCP113" s="33"/>
      <c r="CCQ113" s="33"/>
      <c r="CCR113" s="33"/>
      <c r="CCS113" s="33"/>
      <c r="CCT113" s="33"/>
      <c r="CCU113" s="33"/>
      <c r="CCV113" s="33"/>
      <c r="CCW113" s="33"/>
      <c r="CCX113" s="33"/>
      <c r="CCY113" s="33"/>
      <c r="CCZ113" s="33"/>
      <c r="CDA113" s="33"/>
      <c r="CDB113" s="33"/>
      <c r="CDC113" s="33"/>
      <c r="CDD113" s="33"/>
      <c r="CDE113" s="33"/>
      <c r="CDF113" s="33"/>
      <c r="CDG113" s="33"/>
      <c r="CDH113" s="33"/>
      <c r="CDI113" s="33"/>
      <c r="CDJ113" s="33"/>
      <c r="CDK113" s="33"/>
      <c r="CDL113" s="33"/>
      <c r="CDM113" s="33"/>
      <c r="CDN113" s="33"/>
      <c r="CDO113" s="33"/>
      <c r="CDP113" s="33"/>
      <c r="CDQ113" s="33"/>
      <c r="CDR113" s="33"/>
      <c r="CDS113" s="33"/>
      <c r="CDT113" s="33"/>
      <c r="CDU113" s="33"/>
      <c r="CDV113" s="33"/>
      <c r="CDW113" s="33"/>
      <c r="CDX113" s="33"/>
      <c r="CDY113" s="33"/>
      <c r="CDZ113" s="33"/>
      <c r="CEA113" s="33"/>
      <c r="CEB113" s="33"/>
      <c r="CEC113" s="33"/>
      <c r="CED113" s="33"/>
      <c r="CEE113" s="33"/>
      <c r="CEF113" s="33"/>
      <c r="CEG113" s="33"/>
      <c r="CEH113" s="33"/>
      <c r="CEI113" s="33"/>
      <c r="CEJ113" s="33"/>
      <c r="CEK113" s="33"/>
      <c r="CEL113" s="33"/>
      <c r="CEM113" s="33"/>
      <c r="CEN113" s="33"/>
      <c r="CEO113" s="33"/>
      <c r="CEP113" s="33"/>
      <c r="CEQ113" s="33"/>
      <c r="CER113" s="33"/>
      <c r="CES113" s="33"/>
      <c r="CET113" s="33"/>
      <c r="CEU113" s="33"/>
      <c r="CEV113" s="33"/>
      <c r="CEW113" s="33"/>
      <c r="CEX113" s="33"/>
      <c r="CEY113" s="33"/>
      <c r="CEZ113" s="33"/>
      <c r="CFA113" s="33"/>
      <c r="CFB113" s="33"/>
      <c r="CFC113" s="33"/>
      <c r="CFD113" s="33"/>
      <c r="CFE113" s="33"/>
      <c r="CFF113" s="33"/>
      <c r="CFG113" s="33"/>
      <c r="CFH113" s="33"/>
      <c r="CFI113" s="33"/>
      <c r="CFJ113" s="33"/>
      <c r="CFK113" s="33"/>
      <c r="CFL113" s="33"/>
      <c r="CFM113" s="33"/>
      <c r="CFN113" s="33"/>
      <c r="CFO113" s="33"/>
      <c r="CFP113" s="33"/>
      <c r="CFQ113" s="33"/>
      <c r="CFR113" s="33"/>
      <c r="CFS113" s="33"/>
      <c r="CFT113" s="33"/>
      <c r="CFU113" s="33"/>
      <c r="CFV113" s="33"/>
      <c r="CFW113" s="33"/>
      <c r="CFX113" s="33"/>
      <c r="CFY113" s="33"/>
      <c r="CFZ113" s="33"/>
      <c r="CGA113" s="33"/>
      <c r="CGB113" s="33"/>
      <c r="CGC113" s="33"/>
      <c r="CGD113" s="33"/>
      <c r="CGE113" s="33"/>
      <c r="CGF113" s="33"/>
      <c r="CGG113" s="33"/>
      <c r="CGH113" s="33"/>
      <c r="CGI113" s="33"/>
      <c r="CGJ113" s="33"/>
      <c r="CGK113" s="33"/>
      <c r="CGL113" s="33"/>
      <c r="CGM113" s="33"/>
      <c r="CGN113" s="33"/>
      <c r="CGO113" s="33"/>
      <c r="CGP113" s="33"/>
      <c r="CGQ113" s="33"/>
      <c r="CGR113" s="33"/>
      <c r="CGS113" s="33"/>
      <c r="CGT113" s="33"/>
      <c r="CGU113" s="33"/>
      <c r="CGV113" s="33"/>
      <c r="CGW113" s="33"/>
      <c r="CGX113" s="33"/>
      <c r="CGY113" s="33"/>
      <c r="CGZ113" s="33"/>
      <c r="CHA113" s="33"/>
      <c r="CHB113" s="33"/>
      <c r="CHC113" s="33"/>
      <c r="CHD113" s="33"/>
      <c r="CHE113" s="33"/>
      <c r="CHF113" s="33"/>
      <c r="CHG113" s="33"/>
      <c r="CHH113" s="33"/>
      <c r="CHI113" s="33"/>
      <c r="CHJ113" s="33"/>
      <c r="CHK113" s="33"/>
      <c r="CHL113" s="33"/>
      <c r="CHM113" s="33"/>
      <c r="CHN113" s="33"/>
      <c r="CHO113" s="33"/>
      <c r="CHP113" s="33"/>
      <c r="CHQ113" s="33"/>
      <c r="CHR113" s="33"/>
      <c r="CHS113" s="33"/>
      <c r="CHT113" s="33"/>
      <c r="CHU113" s="33"/>
      <c r="CHV113" s="33"/>
      <c r="CHW113" s="33"/>
      <c r="CHX113" s="33"/>
      <c r="CHY113" s="33"/>
      <c r="CHZ113" s="33"/>
      <c r="CIA113" s="33"/>
      <c r="CIB113" s="33"/>
      <c r="CIC113" s="33"/>
      <c r="CID113" s="33"/>
      <c r="CIE113" s="33"/>
      <c r="CIF113" s="33"/>
      <c r="CIG113" s="33"/>
      <c r="CIH113" s="33"/>
      <c r="CII113" s="33"/>
      <c r="CIJ113" s="33"/>
      <c r="CIK113" s="33"/>
      <c r="CIL113" s="33"/>
      <c r="CIM113" s="33"/>
      <c r="CIN113" s="33"/>
      <c r="CIO113" s="33"/>
      <c r="CIP113" s="33"/>
      <c r="CIQ113" s="33"/>
      <c r="CIR113" s="33"/>
      <c r="CIS113" s="33"/>
      <c r="CIT113" s="33"/>
      <c r="CIU113" s="33"/>
      <c r="CIV113" s="33"/>
      <c r="CIW113" s="33"/>
      <c r="CIX113" s="33"/>
      <c r="CIY113" s="33"/>
      <c r="CIZ113" s="33"/>
      <c r="CJA113" s="33"/>
      <c r="CJB113" s="33"/>
      <c r="CJC113" s="33"/>
      <c r="CJD113" s="33"/>
      <c r="CJE113" s="33"/>
      <c r="CJF113" s="33"/>
      <c r="CJG113" s="33"/>
      <c r="CJH113" s="33"/>
      <c r="CJI113" s="33"/>
      <c r="CJJ113" s="33"/>
      <c r="CJK113" s="33"/>
      <c r="CJL113" s="33"/>
      <c r="CJM113" s="33"/>
      <c r="CJN113" s="33"/>
      <c r="CJO113" s="33"/>
      <c r="CJP113" s="33"/>
      <c r="CJQ113" s="33"/>
      <c r="CJR113" s="33"/>
      <c r="CJS113" s="33"/>
      <c r="CJT113" s="33"/>
      <c r="CJU113" s="33"/>
      <c r="CJV113" s="33"/>
      <c r="CJW113" s="33"/>
      <c r="CJX113" s="33"/>
      <c r="CJY113" s="33"/>
      <c r="CJZ113" s="33"/>
      <c r="CKA113" s="33"/>
      <c r="CKB113" s="33"/>
      <c r="CKC113" s="33"/>
      <c r="CKD113" s="33"/>
      <c r="CKE113" s="33"/>
      <c r="CKF113" s="33"/>
      <c r="CKG113" s="33"/>
      <c r="CKH113" s="33"/>
      <c r="CKI113" s="33"/>
      <c r="CKJ113" s="33"/>
      <c r="CKK113" s="33"/>
      <c r="CKL113" s="33"/>
      <c r="CKM113" s="33"/>
      <c r="CKN113" s="33"/>
      <c r="CKO113" s="33"/>
      <c r="CKP113" s="33"/>
      <c r="CKQ113" s="33"/>
      <c r="CKR113" s="33"/>
      <c r="CKS113" s="33"/>
      <c r="CKT113" s="33"/>
      <c r="CKU113" s="33"/>
      <c r="CKV113" s="33"/>
      <c r="CKW113" s="33"/>
      <c r="CKX113" s="33"/>
      <c r="CKY113" s="33"/>
      <c r="CKZ113" s="33"/>
      <c r="CLA113" s="33"/>
      <c r="CLB113" s="33"/>
      <c r="CLC113" s="33"/>
      <c r="CLD113" s="33"/>
      <c r="CLE113" s="33"/>
      <c r="CLF113" s="33"/>
      <c r="CLG113" s="33"/>
      <c r="CLH113" s="33"/>
      <c r="CLI113" s="33"/>
      <c r="CLJ113" s="33"/>
      <c r="CLK113" s="33"/>
      <c r="CLL113" s="33"/>
      <c r="CLM113" s="33"/>
      <c r="CLN113" s="33"/>
      <c r="CLO113" s="33"/>
      <c r="CLP113" s="33"/>
      <c r="CLQ113" s="33"/>
      <c r="CLR113" s="33"/>
      <c r="CLS113" s="33"/>
      <c r="CLT113" s="33"/>
      <c r="CLU113" s="33"/>
      <c r="CLV113" s="33"/>
      <c r="CLW113" s="33"/>
      <c r="CLX113" s="33"/>
      <c r="CLY113" s="33"/>
      <c r="CLZ113" s="33"/>
      <c r="CMA113" s="33"/>
      <c r="CMB113" s="33"/>
      <c r="CMC113" s="33"/>
      <c r="CMD113" s="33"/>
      <c r="CME113" s="33"/>
      <c r="CMF113" s="33"/>
      <c r="CMG113" s="33"/>
      <c r="CMH113" s="33"/>
      <c r="CMI113" s="33"/>
      <c r="CMJ113" s="33"/>
      <c r="CMK113" s="33"/>
      <c r="CML113" s="33"/>
      <c r="CMM113" s="33"/>
      <c r="CMN113" s="33"/>
      <c r="CMO113" s="33"/>
      <c r="CMP113" s="33"/>
      <c r="CMQ113" s="33"/>
      <c r="CMR113" s="33"/>
      <c r="CMS113" s="33"/>
      <c r="CMT113" s="33"/>
      <c r="CMU113" s="33"/>
      <c r="CMV113" s="33"/>
      <c r="CMW113" s="33"/>
      <c r="CMX113" s="33"/>
      <c r="CMY113" s="33"/>
      <c r="CMZ113" s="33"/>
      <c r="CNA113" s="33"/>
      <c r="CNB113" s="33"/>
      <c r="CNC113" s="33"/>
      <c r="CND113" s="33"/>
      <c r="CNE113" s="33"/>
      <c r="CNF113" s="33"/>
      <c r="CNG113" s="33"/>
      <c r="CNH113" s="33"/>
      <c r="CNI113" s="33"/>
      <c r="CNJ113" s="33"/>
      <c r="CNK113" s="33"/>
      <c r="CNL113" s="33"/>
      <c r="CNM113" s="33"/>
      <c r="CNN113" s="33"/>
      <c r="CNO113" s="33"/>
      <c r="CNP113" s="33"/>
      <c r="CNQ113" s="33"/>
      <c r="CNR113" s="33"/>
      <c r="CNS113" s="33"/>
      <c r="CNT113" s="33"/>
      <c r="CNU113" s="33"/>
      <c r="CNV113" s="33"/>
      <c r="CNW113" s="33"/>
      <c r="CNX113" s="33"/>
      <c r="CNY113" s="33"/>
      <c r="CNZ113" s="33"/>
      <c r="COA113" s="33"/>
      <c r="COB113" s="33"/>
      <c r="COC113" s="33"/>
      <c r="COD113" s="33"/>
      <c r="COE113" s="33"/>
      <c r="COF113" s="33"/>
      <c r="COG113" s="33"/>
      <c r="COH113" s="33"/>
      <c r="COI113" s="33"/>
      <c r="COJ113" s="33"/>
      <c r="COK113" s="33"/>
      <c r="COL113" s="33"/>
      <c r="COM113" s="33"/>
      <c r="CON113" s="33"/>
      <c r="COO113" s="33"/>
      <c r="COP113" s="33"/>
      <c r="COQ113" s="33"/>
      <c r="COR113" s="33"/>
      <c r="COS113" s="33"/>
      <c r="COT113" s="33"/>
      <c r="COU113" s="33"/>
      <c r="COV113" s="33"/>
      <c r="COW113" s="33"/>
      <c r="COX113" s="33"/>
      <c r="COY113" s="33"/>
      <c r="COZ113" s="33"/>
      <c r="CPA113" s="33"/>
      <c r="CPB113" s="33"/>
      <c r="CPC113" s="33"/>
      <c r="CPD113" s="33"/>
      <c r="CPE113" s="33"/>
      <c r="CPF113" s="33"/>
      <c r="CPG113" s="33"/>
      <c r="CPH113" s="33"/>
      <c r="CPI113" s="33"/>
      <c r="CPJ113" s="33"/>
      <c r="CPK113" s="33"/>
      <c r="CPL113" s="33"/>
      <c r="CPM113" s="33"/>
      <c r="CPN113" s="33"/>
      <c r="CPO113" s="33"/>
      <c r="CPP113" s="33"/>
      <c r="CPQ113" s="33"/>
      <c r="CPR113" s="33"/>
      <c r="CPS113" s="33"/>
      <c r="CPT113" s="33"/>
      <c r="CPU113" s="33"/>
      <c r="CPV113" s="33"/>
      <c r="CPW113" s="33"/>
      <c r="CPX113" s="33"/>
      <c r="CPY113" s="33"/>
      <c r="CPZ113" s="33"/>
      <c r="CQA113" s="33"/>
      <c r="CQB113" s="33"/>
      <c r="CQC113" s="33"/>
      <c r="CQD113" s="33"/>
      <c r="CQE113" s="33"/>
      <c r="CQF113" s="33"/>
      <c r="CQG113" s="33"/>
      <c r="CQH113" s="33"/>
      <c r="CQI113" s="33"/>
      <c r="CQJ113" s="33"/>
      <c r="CQK113" s="33"/>
      <c r="CQL113" s="33"/>
      <c r="CQM113" s="33"/>
      <c r="CQN113" s="33"/>
      <c r="CQO113" s="33"/>
      <c r="CQP113" s="33"/>
      <c r="CQQ113" s="33"/>
      <c r="CQR113" s="33"/>
      <c r="CQS113" s="33"/>
      <c r="CQT113" s="33"/>
      <c r="CQU113" s="33"/>
      <c r="CQV113" s="33"/>
      <c r="CQW113" s="33"/>
      <c r="CQX113" s="33"/>
      <c r="CQY113" s="33"/>
      <c r="CQZ113" s="33"/>
      <c r="CRA113" s="33"/>
      <c r="CRB113" s="33"/>
      <c r="CRC113" s="33"/>
      <c r="CRD113" s="33"/>
      <c r="CRE113" s="33"/>
      <c r="CRF113" s="33"/>
      <c r="CRG113" s="33"/>
      <c r="CRH113" s="33"/>
      <c r="CRI113" s="33"/>
      <c r="CRJ113" s="33"/>
      <c r="CRK113" s="33"/>
      <c r="CRL113" s="33"/>
      <c r="CRM113" s="33"/>
      <c r="CRN113" s="33"/>
      <c r="CRO113" s="33"/>
      <c r="CRP113" s="33"/>
      <c r="CRQ113" s="33"/>
      <c r="CRR113" s="33"/>
      <c r="CRS113" s="33"/>
      <c r="CRT113" s="33"/>
      <c r="CRU113" s="33"/>
      <c r="CRV113" s="33"/>
      <c r="CRW113" s="33"/>
      <c r="CRX113" s="33"/>
      <c r="CRY113" s="33"/>
      <c r="CRZ113" s="33"/>
      <c r="CSA113" s="33"/>
      <c r="CSB113" s="33"/>
      <c r="CSC113" s="33"/>
      <c r="CSD113" s="33"/>
      <c r="CSE113" s="33"/>
      <c r="CSF113" s="33"/>
      <c r="CSG113" s="33"/>
      <c r="CSH113" s="33"/>
      <c r="CSI113" s="33"/>
      <c r="CSJ113" s="33"/>
      <c r="CSK113" s="33"/>
      <c r="CSL113" s="33"/>
      <c r="CSM113" s="33"/>
      <c r="CSN113" s="33"/>
      <c r="CSO113" s="33"/>
      <c r="CSP113" s="33"/>
      <c r="CSQ113" s="33"/>
      <c r="CSR113" s="33"/>
      <c r="CSS113" s="33"/>
      <c r="CST113" s="33"/>
      <c r="CSU113" s="33"/>
      <c r="CSV113" s="33"/>
      <c r="CSW113" s="33"/>
      <c r="CSX113" s="33"/>
      <c r="CSY113" s="33"/>
      <c r="CSZ113" s="33"/>
      <c r="CTA113" s="33"/>
      <c r="CTB113" s="33"/>
      <c r="CTC113" s="33"/>
      <c r="CTD113" s="33"/>
      <c r="CTE113" s="33"/>
      <c r="CTF113" s="33"/>
      <c r="CTG113" s="33"/>
      <c r="CTH113" s="33"/>
      <c r="CTI113" s="33"/>
      <c r="CTJ113" s="33"/>
      <c r="CTK113" s="33"/>
      <c r="CTL113" s="33"/>
      <c r="CTM113" s="33"/>
      <c r="CTN113" s="33"/>
      <c r="CTO113" s="33"/>
      <c r="CTP113" s="33"/>
      <c r="CTQ113" s="33"/>
      <c r="CTR113" s="33"/>
      <c r="CTS113" s="33"/>
      <c r="CTT113" s="33"/>
      <c r="CTU113" s="33"/>
      <c r="CTV113" s="33"/>
      <c r="CTW113" s="33"/>
      <c r="CTX113" s="33"/>
      <c r="CTY113" s="33"/>
      <c r="CTZ113" s="33"/>
      <c r="CUA113" s="33"/>
      <c r="CUB113" s="33"/>
      <c r="CUC113" s="33"/>
      <c r="CUD113" s="33"/>
      <c r="CUE113" s="33"/>
      <c r="CUF113" s="33"/>
      <c r="CUG113" s="33"/>
      <c r="CUH113" s="33"/>
      <c r="CUI113" s="33"/>
      <c r="CUJ113" s="33"/>
      <c r="CUK113" s="33"/>
      <c r="CUL113" s="33"/>
      <c r="CUM113" s="33"/>
      <c r="CUN113" s="33"/>
      <c r="CUO113" s="33"/>
      <c r="CUP113" s="33"/>
      <c r="CUQ113" s="33"/>
      <c r="CUR113" s="33"/>
      <c r="CUS113" s="33"/>
      <c r="CUT113" s="33"/>
      <c r="CUU113" s="33"/>
      <c r="CUV113" s="33"/>
      <c r="CUW113" s="33"/>
      <c r="CUX113" s="33"/>
      <c r="CUY113" s="33"/>
      <c r="CUZ113" s="33"/>
      <c r="CVA113" s="33"/>
      <c r="CVB113" s="33"/>
      <c r="CVC113" s="33"/>
      <c r="CVD113" s="33"/>
      <c r="CVE113" s="33"/>
      <c r="CVF113" s="33"/>
      <c r="CVG113" s="33"/>
      <c r="CVH113" s="33"/>
      <c r="CVI113" s="33"/>
      <c r="CVJ113" s="33"/>
      <c r="CVK113" s="33"/>
      <c r="CVL113" s="33"/>
      <c r="CVM113" s="33"/>
      <c r="CVN113" s="33"/>
      <c r="CVO113" s="33"/>
      <c r="CVP113" s="33"/>
      <c r="CVQ113" s="33"/>
      <c r="CVR113" s="33"/>
      <c r="CVS113" s="33"/>
      <c r="CVT113" s="33"/>
      <c r="CVU113" s="33"/>
      <c r="CVV113" s="33"/>
      <c r="CVW113" s="33"/>
      <c r="CVX113" s="33"/>
      <c r="CVY113" s="33"/>
      <c r="CVZ113" s="33"/>
      <c r="CWA113" s="33"/>
      <c r="CWB113" s="33"/>
      <c r="CWC113" s="33"/>
      <c r="CWD113" s="33"/>
      <c r="CWE113" s="33"/>
      <c r="CWF113" s="33"/>
      <c r="CWG113" s="33"/>
      <c r="CWH113" s="33"/>
      <c r="CWI113" s="33"/>
      <c r="CWJ113" s="33"/>
      <c r="CWK113" s="33"/>
      <c r="CWL113" s="33"/>
      <c r="CWM113" s="33"/>
      <c r="CWN113" s="33"/>
      <c r="CWO113" s="33"/>
      <c r="CWP113" s="33"/>
      <c r="CWQ113" s="33"/>
      <c r="CWR113" s="33"/>
      <c r="CWS113" s="33"/>
      <c r="CWT113" s="33"/>
      <c r="CWU113" s="33"/>
      <c r="CWV113" s="33"/>
      <c r="CWW113" s="33"/>
      <c r="CWX113" s="33"/>
      <c r="CWY113" s="33"/>
      <c r="CWZ113" s="33"/>
      <c r="CXA113" s="33"/>
      <c r="CXB113" s="33"/>
      <c r="CXC113" s="33"/>
      <c r="CXD113" s="33"/>
      <c r="CXE113" s="33"/>
      <c r="CXF113" s="33"/>
      <c r="CXG113" s="33"/>
      <c r="CXH113" s="33"/>
      <c r="CXI113" s="33"/>
      <c r="CXJ113" s="33"/>
      <c r="CXK113" s="33"/>
      <c r="CXL113" s="33"/>
      <c r="CXM113" s="33"/>
      <c r="CXN113" s="33"/>
      <c r="CXO113" s="33"/>
      <c r="CXP113" s="33"/>
      <c r="CXQ113" s="33"/>
      <c r="CXR113" s="33"/>
      <c r="CXS113" s="33"/>
      <c r="CXT113" s="33"/>
      <c r="CXU113" s="33"/>
      <c r="CXV113" s="33"/>
      <c r="CXW113" s="33"/>
      <c r="CXX113" s="33"/>
      <c r="CXY113" s="33"/>
      <c r="CXZ113" s="33"/>
      <c r="CYA113" s="33"/>
      <c r="CYB113" s="33"/>
      <c r="CYC113" s="33"/>
      <c r="CYD113" s="33"/>
      <c r="CYE113" s="33"/>
      <c r="CYF113" s="33"/>
      <c r="CYG113" s="33"/>
      <c r="CYH113" s="33"/>
      <c r="CYI113" s="33"/>
      <c r="CYJ113" s="33"/>
      <c r="CYK113" s="33"/>
      <c r="CYL113" s="33"/>
      <c r="CYM113" s="33"/>
      <c r="CYN113" s="33"/>
      <c r="CYO113" s="33"/>
      <c r="CYP113" s="33"/>
      <c r="CYQ113" s="33"/>
      <c r="CYR113" s="33"/>
      <c r="CYS113" s="33"/>
      <c r="CYT113" s="33"/>
      <c r="CYU113" s="33"/>
      <c r="CYV113" s="33"/>
      <c r="CYW113" s="33"/>
      <c r="CYX113" s="33"/>
      <c r="CYY113" s="33"/>
      <c r="CYZ113" s="33"/>
      <c r="CZA113" s="33"/>
      <c r="CZB113" s="33"/>
      <c r="CZC113" s="33"/>
      <c r="CZD113" s="33"/>
      <c r="CZE113" s="33"/>
      <c r="CZF113" s="33"/>
      <c r="CZG113" s="33"/>
      <c r="CZH113" s="33"/>
      <c r="CZI113" s="33"/>
      <c r="CZJ113" s="33"/>
      <c r="CZK113" s="33"/>
      <c r="CZL113" s="33"/>
      <c r="CZM113" s="33"/>
      <c r="CZN113" s="33"/>
      <c r="CZO113" s="33"/>
      <c r="CZP113" s="33"/>
      <c r="CZQ113" s="33"/>
      <c r="CZR113" s="33"/>
      <c r="CZS113" s="33"/>
      <c r="CZT113" s="33"/>
      <c r="CZU113" s="33"/>
      <c r="CZV113" s="33"/>
      <c r="CZW113" s="33"/>
      <c r="CZX113" s="33"/>
      <c r="CZY113" s="33"/>
      <c r="CZZ113" s="33"/>
      <c r="DAA113" s="33"/>
      <c r="DAB113" s="33"/>
      <c r="DAC113" s="33"/>
      <c r="DAD113" s="33"/>
      <c r="DAE113" s="33"/>
      <c r="DAF113" s="33"/>
      <c r="DAG113" s="33"/>
      <c r="DAH113" s="33"/>
      <c r="DAI113" s="33"/>
      <c r="DAJ113" s="33"/>
      <c r="DAK113" s="33"/>
      <c r="DAL113" s="33"/>
      <c r="DAM113" s="33"/>
      <c r="DAN113" s="33"/>
      <c r="DAO113" s="33"/>
      <c r="DAP113" s="33"/>
      <c r="DAQ113" s="33"/>
      <c r="DAR113" s="33"/>
      <c r="DAS113" s="33"/>
      <c r="DAT113" s="33"/>
      <c r="DAU113" s="33"/>
      <c r="DAV113" s="33"/>
      <c r="DAW113" s="33"/>
      <c r="DAX113" s="33"/>
      <c r="DAY113" s="33"/>
      <c r="DAZ113" s="33"/>
      <c r="DBA113" s="33"/>
      <c r="DBB113" s="33"/>
      <c r="DBC113" s="33"/>
      <c r="DBD113" s="33"/>
      <c r="DBE113" s="33"/>
      <c r="DBF113" s="33"/>
      <c r="DBG113" s="33"/>
      <c r="DBH113" s="33"/>
      <c r="DBI113" s="33"/>
      <c r="DBJ113" s="33"/>
      <c r="DBK113" s="33"/>
      <c r="DBL113" s="33"/>
      <c r="DBM113" s="33"/>
      <c r="DBN113" s="33"/>
      <c r="DBO113" s="33"/>
      <c r="DBP113" s="33"/>
      <c r="DBQ113" s="33"/>
      <c r="DBR113" s="33"/>
      <c r="DBS113" s="33"/>
      <c r="DBT113" s="33"/>
      <c r="DBU113" s="33"/>
      <c r="DBV113" s="33"/>
      <c r="DBW113" s="33"/>
      <c r="DBX113" s="33"/>
      <c r="DBY113" s="33"/>
      <c r="DBZ113" s="33"/>
      <c r="DCA113" s="33"/>
      <c r="DCB113" s="33"/>
      <c r="DCC113" s="33"/>
      <c r="DCD113" s="33"/>
      <c r="DCE113" s="33"/>
      <c r="DCF113" s="33"/>
      <c r="DCG113" s="33"/>
      <c r="DCH113" s="33"/>
      <c r="DCI113" s="33"/>
      <c r="DCJ113" s="33"/>
      <c r="DCK113" s="33"/>
      <c r="DCL113" s="33"/>
      <c r="DCM113" s="33"/>
      <c r="DCN113" s="33"/>
      <c r="DCO113" s="33"/>
      <c r="DCP113" s="33"/>
      <c r="DCQ113" s="33"/>
      <c r="DCR113" s="33"/>
      <c r="DCS113" s="33"/>
      <c r="DCT113" s="33"/>
      <c r="DCU113" s="33"/>
      <c r="DCV113" s="33"/>
      <c r="DCW113" s="33"/>
      <c r="DCX113" s="33"/>
      <c r="DCY113" s="33"/>
      <c r="DCZ113" s="33"/>
      <c r="DDA113" s="33"/>
      <c r="DDB113" s="33"/>
      <c r="DDC113" s="33"/>
      <c r="DDD113" s="33"/>
      <c r="DDE113" s="33"/>
      <c r="DDF113" s="33"/>
      <c r="DDG113" s="33"/>
      <c r="DDH113" s="33"/>
      <c r="DDI113" s="33"/>
      <c r="DDJ113" s="33"/>
      <c r="DDK113" s="33"/>
      <c r="DDL113" s="33"/>
      <c r="DDM113" s="33"/>
      <c r="DDN113" s="33"/>
      <c r="DDO113" s="33"/>
      <c r="DDP113" s="33"/>
      <c r="DDQ113" s="33"/>
      <c r="DDR113" s="33"/>
      <c r="DDS113" s="33"/>
      <c r="DDT113" s="33"/>
      <c r="DDU113" s="33"/>
      <c r="DDV113" s="33"/>
      <c r="DDW113" s="33"/>
      <c r="DDX113" s="33"/>
      <c r="DDY113" s="33"/>
      <c r="DDZ113" s="33"/>
      <c r="DEA113" s="33"/>
      <c r="DEB113" s="33"/>
      <c r="DEC113" s="33"/>
      <c r="DED113" s="33"/>
      <c r="DEE113" s="33"/>
      <c r="DEF113" s="33"/>
      <c r="DEG113" s="33"/>
      <c r="DEH113" s="33"/>
      <c r="DEI113" s="33"/>
      <c r="DEJ113" s="33"/>
      <c r="DEK113" s="33"/>
      <c r="DEL113" s="33"/>
      <c r="DEM113" s="33"/>
      <c r="DEN113" s="33"/>
      <c r="DEO113" s="33"/>
      <c r="DEP113" s="33"/>
      <c r="DEQ113" s="33"/>
      <c r="DER113" s="33"/>
      <c r="DES113" s="33"/>
      <c r="DET113" s="33"/>
      <c r="DEU113" s="33"/>
      <c r="DEV113" s="33"/>
      <c r="DEW113" s="33"/>
      <c r="DEX113" s="33"/>
      <c r="DEY113" s="33"/>
      <c r="DEZ113" s="33"/>
      <c r="DFA113" s="33"/>
      <c r="DFB113" s="33"/>
      <c r="DFC113" s="33"/>
      <c r="DFD113" s="33"/>
      <c r="DFE113" s="33"/>
      <c r="DFF113" s="33"/>
      <c r="DFG113" s="33"/>
      <c r="DFH113" s="33"/>
      <c r="DFI113" s="33"/>
      <c r="DFJ113" s="33"/>
      <c r="DFK113" s="33"/>
      <c r="DFL113" s="33"/>
      <c r="DFM113" s="33"/>
      <c r="DFN113" s="33"/>
      <c r="DFO113" s="33"/>
      <c r="DFP113" s="33"/>
      <c r="DFQ113" s="33"/>
      <c r="DFR113" s="33"/>
      <c r="DFS113" s="33"/>
      <c r="DFT113" s="33"/>
      <c r="DFU113" s="33"/>
      <c r="DFV113" s="33"/>
      <c r="DFW113" s="33"/>
      <c r="DFX113" s="33"/>
      <c r="DFY113" s="33"/>
      <c r="DFZ113" s="33"/>
      <c r="DGA113" s="33"/>
      <c r="DGB113" s="33"/>
      <c r="DGC113" s="33"/>
      <c r="DGD113" s="33"/>
      <c r="DGE113" s="33"/>
      <c r="DGF113" s="33"/>
      <c r="DGG113" s="33"/>
      <c r="DGH113" s="33"/>
      <c r="DGI113" s="33"/>
      <c r="DGJ113" s="33"/>
      <c r="DGK113" s="33"/>
      <c r="DGL113" s="33"/>
      <c r="DGM113" s="33"/>
      <c r="DGN113" s="33"/>
      <c r="DGO113" s="33"/>
      <c r="DGP113" s="33"/>
      <c r="DGQ113" s="33"/>
      <c r="DGR113" s="33"/>
      <c r="DGS113" s="33"/>
      <c r="DGT113" s="33"/>
      <c r="DGU113" s="33"/>
      <c r="DGV113" s="33"/>
      <c r="DGW113" s="33"/>
      <c r="DGX113" s="33"/>
      <c r="DGY113" s="33"/>
      <c r="DGZ113" s="33"/>
      <c r="DHA113" s="33"/>
      <c r="DHB113" s="33"/>
      <c r="DHC113" s="33"/>
      <c r="DHD113" s="33"/>
      <c r="DHE113" s="33"/>
      <c r="DHF113" s="33"/>
      <c r="DHG113" s="33"/>
      <c r="DHH113" s="33"/>
      <c r="DHI113" s="33"/>
      <c r="DHJ113" s="33"/>
      <c r="DHK113" s="33"/>
      <c r="DHL113" s="33"/>
      <c r="DHM113" s="33"/>
      <c r="DHN113" s="33"/>
      <c r="DHO113" s="33"/>
      <c r="DHP113" s="33"/>
      <c r="DHQ113" s="33"/>
      <c r="DHR113" s="33"/>
      <c r="DHS113" s="33"/>
      <c r="DHT113" s="33"/>
      <c r="DHU113" s="33"/>
      <c r="DHV113" s="33"/>
      <c r="DHW113" s="33"/>
      <c r="DHX113" s="33"/>
      <c r="DHY113" s="33"/>
      <c r="DHZ113" s="33"/>
      <c r="DIA113" s="33"/>
      <c r="DIB113" s="33"/>
      <c r="DIC113" s="33"/>
      <c r="DID113" s="33"/>
      <c r="DIE113" s="33"/>
      <c r="DIF113" s="33"/>
      <c r="DIG113" s="33"/>
      <c r="DIH113" s="33"/>
      <c r="DII113" s="33"/>
      <c r="DIJ113" s="33"/>
      <c r="DIK113" s="33"/>
      <c r="DIL113" s="33"/>
      <c r="DIM113" s="33"/>
      <c r="DIN113" s="33"/>
      <c r="DIO113" s="33"/>
      <c r="DIP113" s="33"/>
      <c r="DIQ113" s="33"/>
      <c r="DIR113" s="33"/>
      <c r="DIS113" s="33"/>
      <c r="DIT113" s="33"/>
      <c r="DIU113" s="33"/>
      <c r="DIV113" s="33"/>
      <c r="DIW113" s="33"/>
      <c r="DIX113" s="33"/>
      <c r="DIY113" s="33"/>
      <c r="DIZ113" s="33"/>
      <c r="DJA113" s="33"/>
      <c r="DJB113" s="33"/>
      <c r="DJC113" s="33"/>
      <c r="DJD113" s="33"/>
      <c r="DJE113" s="33"/>
      <c r="DJF113" s="33"/>
      <c r="DJG113" s="33"/>
      <c r="DJH113" s="33"/>
      <c r="DJI113" s="33"/>
      <c r="DJJ113" s="33"/>
      <c r="DJK113" s="33"/>
      <c r="DJL113" s="33"/>
      <c r="DJM113" s="33"/>
      <c r="DJN113" s="33"/>
      <c r="DJO113" s="33"/>
      <c r="DJP113" s="33"/>
      <c r="DJQ113" s="33"/>
      <c r="DJR113" s="33"/>
      <c r="DJS113" s="33"/>
      <c r="DJT113" s="33"/>
      <c r="DJU113" s="33"/>
      <c r="DJV113" s="33"/>
      <c r="DJW113" s="33"/>
      <c r="DJX113" s="33"/>
      <c r="DJY113" s="33"/>
      <c r="DJZ113" s="33"/>
      <c r="DKA113" s="33"/>
      <c r="DKB113" s="33"/>
      <c r="DKC113" s="33"/>
      <c r="DKD113" s="33"/>
      <c r="DKE113" s="33"/>
      <c r="DKF113" s="33"/>
      <c r="DKG113" s="33"/>
      <c r="DKH113" s="33"/>
      <c r="DKI113" s="33"/>
      <c r="DKJ113" s="33"/>
      <c r="DKK113" s="33"/>
      <c r="DKL113" s="33"/>
      <c r="DKM113" s="33"/>
      <c r="DKN113" s="33"/>
      <c r="DKO113" s="33"/>
      <c r="DKP113" s="33"/>
      <c r="DKQ113" s="33"/>
      <c r="DKR113" s="33"/>
      <c r="DKS113" s="33"/>
      <c r="DKT113" s="33"/>
      <c r="DKU113" s="33"/>
      <c r="DKV113" s="33"/>
      <c r="DKW113" s="33"/>
      <c r="DKX113" s="33"/>
      <c r="DKY113" s="33"/>
      <c r="DKZ113" s="33"/>
      <c r="DLA113" s="33"/>
      <c r="DLB113" s="33"/>
      <c r="DLC113" s="33"/>
      <c r="DLD113" s="33"/>
      <c r="DLE113" s="33"/>
      <c r="DLF113" s="33"/>
      <c r="DLG113" s="33"/>
      <c r="DLH113" s="33"/>
      <c r="DLI113" s="33"/>
      <c r="DLJ113" s="33"/>
      <c r="DLK113" s="33"/>
      <c r="DLL113" s="33"/>
      <c r="DLM113" s="33"/>
      <c r="DLN113" s="33"/>
      <c r="DLO113" s="33"/>
      <c r="DLP113" s="33"/>
      <c r="DLQ113" s="33"/>
      <c r="DLR113" s="33"/>
      <c r="DLS113" s="33"/>
      <c r="DLT113" s="33"/>
      <c r="DLU113" s="33"/>
      <c r="DLV113" s="33"/>
      <c r="DLW113" s="33"/>
      <c r="DLX113" s="33"/>
      <c r="DLY113" s="33"/>
      <c r="DLZ113" s="33"/>
      <c r="DMA113" s="33"/>
      <c r="DMB113" s="33"/>
      <c r="DMC113" s="33"/>
      <c r="DMD113" s="33"/>
      <c r="DME113" s="33"/>
      <c r="DMF113" s="33"/>
      <c r="DMG113" s="33"/>
      <c r="DMH113" s="33"/>
      <c r="DMI113" s="33"/>
      <c r="DMJ113" s="33"/>
      <c r="DMK113" s="33"/>
      <c r="DML113" s="33"/>
      <c r="DMM113" s="33"/>
      <c r="DMN113" s="33"/>
      <c r="DMO113" s="33"/>
      <c r="DMP113" s="33"/>
      <c r="DMQ113" s="33"/>
      <c r="DMR113" s="33"/>
      <c r="DMS113" s="33"/>
      <c r="DMT113" s="33"/>
      <c r="DMU113" s="33"/>
      <c r="DMV113" s="33"/>
      <c r="DMW113" s="33"/>
      <c r="DMX113" s="33"/>
      <c r="DMY113" s="33"/>
      <c r="DMZ113" s="33"/>
      <c r="DNA113" s="33"/>
      <c r="DNB113" s="33"/>
      <c r="DNC113" s="33"/>
      <c r="DND113" s="33"/>
      <c r="DNE113" s="33"/>
      <c r="DNF113" s="33"/>
      <c r="DNG113" s="33"/>
      <c r="DNH113" s="33"/>
      <c r="DNI113" s="33"/>
      <c r="DNJ113" s="33"/>
      <c r="DNK113" s="33"/>
      <c r="DNL113" s="33"/>
      <c r="DNM113" s="33"/>
      <c r="DNN113" s="33"/>
      <c r="DNO113" s="33"/>
      <c r="DNP113" s="33"/>
      <c r="DNQ113" s="33"/>
      <c r="DNR113" s="33"/>
      <c r="DNS113" s="33"/>
      <c r="DNT113" s="33"/>
      <c r="DNU113" s="33"/>
      <c r="DNV113" s="33"/>
      <c r="DNW113" s="33"/>
      <c r="DNX113" s="33"/>
      <c r="DNY113" s="33"/>
      <c r="DNZ113" s="33"/>
      <c r="DOA113" s="33"/>
      <c r="DOB113" s="33"/>
      <c r="DOC113" s="33"/>
      <c r="DOD113" s="33"/>
      <c r="DOE113" s="33"/>
      <c r="DOF113" s="33"/>
      <c r="DOG113" s="33"/>
      <c r="DOH113" s="33"/>
      <c r="DOI113" s="33"/>
      <c r="DOJ113" s="33"/>
      <c r="DOK113" s="33"/>
      <c r="DOL113" s="33"/>
      <c r="DOM113" s="33"/>
      <c r="DON113" s="33"/>
      <c r="DOO113" s="33"/>
      <c r="DOP113" s="33"/>
      <c r="DOQ113" s="33"/>
      <c r="DOR113" s="33"/>
      <c r="DOS113" s="33"/>
      <c r="DOT113" s="33"/>
      <c r="DOU113" s="33"/>
      <c r="DOV113" s="33"/>
      <c r="DOW113" s="33"/>
      <c r="DOX113" s="33"/>
      <c r="DOY113" s="33"/>
      <c r="DOZ113" s="33"/>
      <c r="DPA113" s="33"/>
      <c r="DPB113" s="33"/>
      <c r="DPC113" s="33"/>
      <c r="DPD113" s="33"/>
      <c r="DPE113" s="33"/>
      <c r="DPF113" s="33"/>
      <c r="DPG113" s="33"/>
      <c r="DPH113" s="33"/>
      <c r="DPI113" s="33"/>
      <c r="DPJ113" s="33"/>
      <c r="DPK113" s="33"/>
      <c r="DPL113" s="33"/>
      <c r="DPM113" s="33"/>
      <c r="DPN113" s="33"/>
      <c r="DPO113" s="33"/>
      <c r="DPP113" s="33"/>
      <c r="DPQ113" s="33"/>
      <c r="DPR113" s="33"/>
      <c r="DPS113" s="33"/>
      <c r="DPT113" s="33"/>
      <c r="DPU113" s="33"/>
      <c r="DPV113" s="33"/>
      <c r="DPW113" s="33"/>
      <c r="DPX113" s="33"/>
      <c r="DPY113" s="33"/>
      <c r="DPZ113" s="33"/>
      <c r="DQA113" s="33"/>
      <c r="DQB113" s="33"/>
      <c r="DQC113" s="33"/>
      <c r="DQD113" s="33"/>
      <c r="DQE113" s="33"/>
      <c r="DQF113" s="33"/>
      <c r="DQG113" s="33"/>
      <c r="DQH113" s="33"/>
      <c r="DQI113" s="33"/>
      <c r="DQJ113" s="33"/>
      <c r="DQK113" s="33"/>
      <c r="DQL113" s="33"/>
      <c r="DQM113" s="33"/>
      <c r="DQN113" s="33"/>
      <c r="DQO113" s="33"/>
      <c r="DQP113" s="33"/>
      <c r="DQQ113" s="33"/>
      <c r="DQR113" s="33"/>
      <c r="DQS113" s="33"/>
      <c r="DQT113" s="33"/>
      <c r="DQU113" s="33"/>
      <c r="DQV113" s="33"/>
      <c r="DQW113" s="33"/>
      <c r="DQX113" s="33"/>
      <c r="DQY113" s="33"/>
      <c r="DQZ113" s="33"/>
      <c r="DRA113" s="33"/>
      <c r="DRB113" s="33"/>
      <c r="DRC113" s="33"/>
      <c r="DRD113" s="33"/>
      <c r="DRE113" s="33"/>
      <c r="DRF113" s="33"/>
      <c r="DRG113" s="33"/>
      <c r="DRH113" s="33"/>
      <c r="DRI113" s="33"/>
      <c r="DRJ113" s="33"/>
      <c r="DRK113" s="33"/>
      <c r="DRL113" s="33"/>
      <c r="DRM113" s="33"/>
      <c r="DRN113" s="33"/>
      <c r="DRO113" s="33"/>
      <c r="DRP113" s="33"/>
      <c r="DRQ113" s="33"/>
      <c r="DRR113" s="33"/>
      <c r="DRS113" s="33"/>
      <c r="DRT113" s="33"/>
      <c r="DRU113" s="33"/>
      <c r="DRV113" s="33"/>
      <c r="DRW113" s="33"/>
      <c r="DRX113" s="33"/>
      <c r="DRY113" s="33"/>
      <c r="DRZ113" s="33"/>
      <c r="DSA113" s="33"/>
      <c r="DSB113" s="33"/>
      <c r="DSC113" s="33"/>
      <c r="DSD113" s="33"/>
      <c r="DSE113" s="33"/>
      <c r="DSF113" s="33"/>
      <c r="DSG113" s="33"/>
      <c r="DSH113" s="33"/>
      <c r="DSI113" s="33"/>
      <c r="DSJ113" s="33"/>
      <c r="DSK113" s="33"/>
      <c r="DSL113" s="33"/>
      <c r="DSM113" s="33"/>
      <c r="DSN113" s="33"/>
      <c r="DSO113" s="33"/>
      <c r="DSP113" s="33"/>
      <c r="DSQ113" s="33"/>
      <c r="DSR113" s="33"/>
      <c r="DSS113" s="33"/>
      <c r="DST113" s="33"/>
      <c r="DSU113" s="33"/>
      <c r="DSV113" s="33"/>
      <c r="DSW113" s="33"/>
      <c r="DSX113" s="33"/>
      <c r="DSY113" s="33"/>
      <c r="DSZ113" s="33"/>
      <c r="DTA113" s="33"/>
      <c r="DTB113" s="33"/>
      <c r="DTC113" s="33"/>
      <c r="DTD113" s="33"/>
      <c r="DTE113" s="33"/>
      <c r="DTF113" s="33"/>
      <c r="DTG113" s="33"/>
      <c r="DTH113" s="33"/>
      <c r="DTI113" s="33"/>
      <c r="DTJ113" s="33"/>
      <c r="DTK113" s="33"/>
      <c r="DTL113" s="33"/>
      <c r="DTM113" s="33"/>
      <c r="DTN113" s="33"/>
      <c r="DTO113" s="33"/>
      <c r="DTP113" s="33"/>
      <c r="DTQ113" s="33"/>
      <c r="DTR113" s="33"/>
      <c r="DTS113" s="33"/>
      <c r="DTT113" s="33"/>
      <c r="DTU113" s="33"/>
      <c r="DTV113" s="33"/>
      <c r="DTW113" s="33"/>
      <c r="DTX113" s="33"/>
      <c r="DTY113" s="33"/>
      <c r="DTZ113" s="33"/>
      <c r="DUA113" s="33"/>
      <c r="DUB113" s="33"/>
      <c r="DUC113" s="33"/>
      <c r="DUD113" s="33"/>
      <c r="DUE113" s="33"/>
      <c r="DUF113" s="33"/>
      <c r="DUG113" s="33"/>
      <c r="DUH113" s="33"/>
      <c r="DUI113" s="33"/>
      <c r="DUJ113" s="33"/>
      <c r="DUK113" s="33"/>
      <c r="DUL113" s="33"/>
      <c r="DUM113" s="33"/>
      <c r="DUN113" s="33"/>
      <c r="DUO113" s="33"/>
      <c r="DUP113" s="33"/>
      <c r="DUQ113" s="33"/>
      <c r="DUR113" s="33"/>
      <c r="DUS113" s="33"/>
      <c r="DUT113" s="33"/>
      <c r="DUU113" s="33"/>
      <c r="DUV113" s="33"/>
      <c r="DUW113" s="33"/>
      <c r="DUX113" s="33"/>
      <c r="DUY113" s="33"/>
      <c r="DUZ113" s="33"/>
      <c r="DVA113" s="33"/>
      <c r="DVB113" s="33"/>
      <c r="DVC113" s="33"/>
      <c r="DVD113" s="33"/>
      <c r="DVE113" s="33"/>
      <c r="DVF113" s="33"/>
      <c r="DVG113" s="33"/>
      <c r="DVH113" s="33"/>
      <c r="DVI113" s="33"/>
      <c r="DVJ113" s="33"/>
      <c r="DVK113" s="33"/>
      <c r="DVL113" s="33"/>
      <c r="DVM113" s="33"/>
      <c r="DVN113" s="33"/>
      <c r="DVO113" s="33"/>
      <c r="DVP113" s="33"/>
      <c r="DVQ113" s="33"/>
      <c r="DVR113" s="33"/>
      <c r="DVS113" s="33"/>
      <c r="DVT113" s="33"/>
      <c r="DVU113" s="33"/>
      <c r="DVV113" s="33"/>
      <c r="DVW113" s="33"/>
      <c r="DVX113" s="33"/>
      <c r="DVY113" s="33"/>
      <c r="DVZ113" s="33"/>
      <c r="DWA113" s="33"/>
      <c r="DWB113" s="33"/>
      <c r="DWC113" s="33"/>
      <c r="DWD113" s="33"/>
      <c r="DWE113" s="33"/>
      <c r="DWF113" s="33"/>
      <c r="DWG113" s="33"/>
      <c r="DWH113" s="33"/>
      <c r="DWI113" s="33"/>
      <c r="DWJ113" s="33"/>
      <c r="DWK113" s="33"/>
      <c r="DWL113" s="33"/>
      <c r="DWM113" s="33"/>
      <c r="DWN113" s="33"/>
      <c r="DWO113" s="33"/>
      <c r="DWP113" s="33"/>
      <c r="DWQ113" s="33"/>
      <c r="DWR113" s="33"/>
      <c r="DWS113" s="33"/>
      <c r="DWT113" s="33"/>
      <c r="DWU113" s="33"/>
      <c r="DWV113" s="33"/>
      <c r="DWW113" s="33"/>
      <c r="DWX113" s="33"/>
      <c r="DWY113" s="33"/>
      <c r="DWZ113" s="33"/>
      <c r="DXA113" s="33"/>
      <c r="DXB113" s="33"/>
      <c r="DXC113" s="33"/>
      <c r="DXD113" s="33"/>
      <c r="DXE113" s="33"/>
      <c r="DXF113" s="33"/>
      <c r="DXG113" s="33"/>
      <c r="DXH113" s="33"/>
      <c r="DXI113" s="33"/>
      <c r="DXJ113" s="33"/>
      <c r="DXK113" s="33"/>
      <c r="DXL113" s="33"/>
      <c r="DXM113" s="33"/>
      <c r="DXN113" s="33"/>
      <c r="DXO113" s="33"/>
      <c r="DXP113" s="33"/>
      <c r="DXQ113" s="33"/>
      <c r="DXR113" s="33"/>
      <c r="DXS113" s="33"/>
      <c r="DXT113" s="33"/>
      <c r="DXU113" s="33"/>
      <c r="DXV113" s="33"/>
      <c r="DXW113" s="33"/>
      <c r="DXX113" s="33"/>
      <c r="DXY113" s="33"/>
      <c r="DXZ113" s="33"/>
      <c r="DYA113" s="33"/>
      <c r="DYB113" s="33"/>
      <c r="DYC113" s="33"/>
      <c r="DYD113" s="33"/>
      <c r="DYE113" s="33"/>
      <c r="DYF113" s="33"/>
      <c r="DYG113" s="33"/>
      <c r="DYH113" s="33"/>
      <c r="DYI113" s="33"/>
      <c r="DYJ113" s="33"/>
      <c r="DYK113" s="33"/>
      <c r="DYL113" s="33"/>
      <c r="DYM113" s="33"/>
      <c r="DYN113" s="33"/>
      <c r="DYO113" s="33"/>
      <c r="DYP113" s="33"/>
      <c r="DYQ113" s="33"/>
      <c r="DYR113" s="33"/>
      <c r="DYS113" s="33"/>
      <c r="DYT113" s="33"/>
      <c r="DYU113" s="33"/>
      <c r="DYV113" s="33"/>
      <c r="DYW113" s="33"/>
      <c r="DYX113" s="33"/>
      <c r="DYY113" s="33"/>
      <c r="DYZ113" s="33"/>
      <c r="DZA113" s="33"/>
      <c r="DZB113" s="33"/>
      <c r="DZC113" s="33"/>
      <c r="DZD113" s="33"/>
      <c r="DZE113" s="33"/>
      <c r="DZF113" s="33"/>
      <c r="DZG113" s="33"/>
      <c r="DZH113" s="33"/>
      <c r="DZI113" s="33"/>
      <c r="DZJ113" s="33"/>
      <c r="DZK113" s="33"/>
      <c r="DZL113" s="33"/>
      <c r="DZM113" s="33"/>
      <c r="DZN113" s="33"/>
      <c r="DZO113" s="33"/>
      <c r="DZP113" s="33"/>
      <c r="DZQ113" s="33"/>
      <c r="DZR113" s="33"/>
      <c r="DZS113" s="33"/>
      <c r="DZT113" s="33"/>
      <c r="DZU113" s="33"/>
      <c r="DZV113" s="33"/>
      <c r="DZW113" s="33"/>
      <c r="DZX113" s="33"/>
      <c r="DZY113" s="33"/>
      <c r="DZZ113" s="33"/>
      <c r="EAA113" s="33"/>
      <c r="EAB113" s="33"/>
      <c r="EAC113" s="33"/>
      <c r="EAD113" s="33"/>
      <c r="EAE113" s="33"/>
      <c r="EAF113" s="33"/>
      <c r="EAG113" s="33"/>
      <c r="EAH113" s="33"/>
      <c r="EAI113" s="33"/>
      <c r="EAJ113" s="33"/>
      <c r="EAK113" s="33"/>
      <c r="EAL113" s="33"/>
      <c r="EAM113" s="33"/>
      <c r="EAN113" s="33"/>
      <c r="EAO113" s="33"/>
      <c r="EAP113" s="33"/>
      <c r="EAQ113" s="33"/>
      <c r="EAR113" s="33"/>
      <c r="EAS113" s="33"/>
      <c r="EAT113" s="33"/>
      <c r="EAU113" s="33"/>
      <c r="EAV113" s="33"/>
      <c r="EAW113" s="33"/>
      <c r="EAX113" s="33"/>
      <c r="EAY113" s="33"/>
      <c r="EAZ113" s="33"/>
      <c r="EBA113" s="33"/>
      <c r="EBB113" s="33"/>
      <c r="EBC113" s="33"/>
      <c r="EBD113" s="33"/>
      <c r="EBE113" s="33"/>
      <c r="EBF113" s="33"/>
      <c r="EBG113" s="33"/>
      <c r="EBH113" s="33"/>
      <c r="EBI113" s="33"/>
      <c r="EBJ113" s="33"/>
      <c r="EBK113" s="33"/>
      <c r="EBL113" s="33"/>
      <c r="EBM113" s="33"/>
      <c r="EBN113" s="33"/>
      <c r="EBO113" s="33"/>
      <c r="EBP113" s="33"/>
      <c r="EBQ113" s="33"/>
      <c r="EBR113" s="33"/>
      <c r="EBS113" s="33"/>
      <c r="EBT113" s="33"/>
      <c r="EBU113" s="33"/>
      <c r="EBV113" s="33"/>
      <c r="EBW113" s="33"/>
      <c r="EBX113" s="33"/>
      <c r="EBY113" s="33"/>
      <c r="EBZ113" s="33"/>
      <c r="ECA113" s="33"/>
      <c r="ECB113" s="33"/>
      <c r="ECC113" s="33"/>
      <c r="ECD113" s="33"/>
      <c r="ECE113" s="33"/>
      <c r="ECF113" s="33"/>
      <c r="ECG113" s="33"/>
      <c r="ECH113" s="33"/>
      <c r="ECI113" s="33"/>
      <c r="ECJ113" s="33"/>
      <c r="ECK113" s="33"/>
      <c r="ECL113" s="33"/>
      <c r="ECM113" s="33"/>
      <c r="ECN113" s="33"/>
      <c r="ECO113" s="33"/>
      <c r="ECP113" s="33"/>
      <c r="ECQ113" s="33"/>
      <c r="ECR113" s="33"/>
      <c r="ECS113" s="33"/>
      <c r="ECT113" s="33"/>
      <c r="ECU113" s="33"/>
      <c r="ECV113" s="33"/>
      <c r="ECW113" s="33"/>
      <c r="ECX113" s="33"/>
      <c r="ECY113" s="33"/>
      <c r="ECZ113" s="33"/>
      <c r="EDA113" s="33"/>
      <c r="EDB113" s="33"/>
      <c r="EDC113" s="33"/>
      <c r="EDD113" s="33"/>
      <c r="EDE113" s="33"/>
      <c r="EDF113" s="33"/>
      <c r="EDG113" s="33"/>
      <c r="EDH113" s="33"/>
      <c r="EDI113" s="33"/>
      <c r="EDJ113" s="33"/>
      <c r="EDK113" s="33"/>
      <c r="EDL113" s="33"/>
      <c r="EDM113" s="33"/>
      <c r="EDN113" s="33"/>
      <c r="EDO113" s="33"/>
      <c r="EDP113" s="33"/>
      <c r="EDQ113" s="33"/>
      <c r="EDR113" s="33"/>
      <c r="EDS113" s="33"/>
      <c r="EDT113" s="33"/>
      <c r="EDU113" s="33"/>
      <c r="EDV113" s="33"/>
      <c r="EDW113" s="33"/>
      <c r="EDX113" s="33"/>
      <c r="EDY113" s="33"/>
      <c r="EDZ113" s="33"/>
      <c r="EEA113" s="33"/>
      <c r="EEB113" s="33"/>
      <c r="EEC113" s="33"/>
      <c r="EED113" s="33"/>
      <c r="EEE113" s="33"/>
      <c r="EEF113" s="33"/>
      <c r="EEG113" s="33"/>
      <c r="EEH113" s="33"/>
      <c r="EEI113" s="33"/>
      <c r="EEJ113" s="33"/>
      <c r="EEK113" s="33"/>
      <c r="EEL113" s="33"/>
      <c r="EEM113" s="33"/>
      <c r="EEN113" s="33"/>
      <c r="EEO113" s="33"/>
      <c r="EEP113" s="33"/>
      <c r="EEQ113" s="33"/>
      <c r="EER113" s="33"/>
      <c r="EES113" s="33"/>
      <c r="EET113" s="33"/>
      <c r="EEU113" s="33"/>
      <c r="EEV113" s="33"/>
      <c r="EEW113" s="33"/>
      <c r="EEX113" s="33"/>
      <c r="EEY113" s="33"/>
      <c r="EEZ113" s="33"/>
      <c r="EFA113" s="33"/>
      <c r="EFB113" s="33"/>
      <c r="EFC113" s="33"/>
      <c r="EFD113" s="33"/>
      <c r="EFE113" s="33"/>
      <c r="EFF113" s="33"/>
      <c r="EFG113" s="33"/>
      <c r="EFH113" s="33"/>
      <c r="EFI113" s="33"/>
      <c r="EFJ113" s="33"/>
      <c r="EFK113" s="33"/>
      <c r="EFL113" s="33"/>
      <c r="EFM113" s="33"/>
      <c r="EFN113" s="33"/>
      <c r="EFO113" s="33"/>
      <c r="EFP113" s="33"/>
      <c r="EFQ113" s="33"/>
      <c r="EFR113" s="33"/>
      <c r="EFS113" s="33"/>
      <c r="EFT113" s="33"/>
      <c r="EFU113" s="33"/>
      <c r="EFV113" s="33"/>
      <c r="EFW113" s="33"/>
      <c r="EFX113" s="33"/>
      <c r="EFY113" s="33"/>
      <c r="EFZ113" s="33"/>
      <c r="EGA113" s="33"/>
      <c r="EGB113" s="33"/>
      <c r="EGC113" s="33"/>
      <c r="EGD113" s="33"/>
      <c r="EGE113" s="33"/>
      <c r="EGF113" s="33"/>
      <c r="EGG113" s="33"/>
      <c r="EGH113" s="33"/>
      <c r="EGI113" s="33"/>
      <c r="EGJ113" s="33"/>
      <c r="EGK113" s="33"/>
      <c r="EGL113" s="33"/>
      <c r="EGM113" s="33"/>
      <c r="EGN113" s="33"/>
      <c r="EGO113" s="33"/>
      <c r="EGP113" s="33"/>
      <c r="EGQ113" s="33"/>
      <c r="EGR113" s="33"/>
      <c r="EGS113" s="33"/>
      <c r="EGT113" s="33"/>
      <c r="EGU113" s="33"/>
      <c r="EGV113" s="33"/>
      <c r="EGW113" s="33"/>
      <c r="EGX113" s="33"/>
      <c r="EGY113" s="33"/>
      <c r="EGZ113" s="33"/>
      <c r="EHA113" s="33"/>
      <c r="EHB113" s="33"/>
      <c r="EHC113" s="33"/>
      <c r="EHD113" s="33"/>
      <c r="EHE113" s="33"/>
      <c r="EHF113" s="33"/>
      <c r="EHG113" s="33"/>
      <c r="EHH113" s="33"/>
      <c r="EHI113" s="33"/>
      <c r="EHJ113" s="33"/>
      <c r="EHK113" s="33"/>
      <c r="EHL113" s="33"/>
      <c r="EHM113" s="33"/>
      <c r="EHN113" s="33"/>
      <c r="EHO113" s="33"/>
      <c r="EHP113" s="33"/>
      <c r="EHQ113" s="33"/>
      <c r="EHR113" s="33"/>
      <c r="EHS113" s="33"/>
      <c r="EHT113" s="33"/>
      <c r="EHU113" s="33"/>
      <c r="EHV113" s="33"/>
      <c r="EHW113" s="33"/>
      <c r="EHX113" s="33"/>
      <c r="EHY113" s="33"/>
      <c r="EHZ113" s="33"/>
      <c r="EIA113" s="33"/>
      <c r="EIB113" s="33"/>
      <c r="EIC113" s="33"/>
      <c r="EID113" s="33"/>
      <c r="EIE113" s="33"/>
      <c r="EIF113" s="33"/>
      <c r="EIG113" s="33"/>
      <c r="EIH113" s="33"/>
      <c r="EII113" s="33"/>
      <c r="EIJ113" s="33"/>
      <c r="EIK113" s="33"/>
      <c r="EIL113" s="33"/>
      <c r="EIM113" s="33"/>
      <c r="EIN113" s="33"/>
      <c r="EIO113" s="33"/>
      <c r="EIP113" s="33"/>
      <c r="EIQ113" s="33"/>
      <c r="EIR113" s="33"/>
      <c r="EIS113" s="33"/>
      <c r="EIT113" s="33"/>
      <c r="EIU113" s="33"/>
      <c r="EIV113" s="33"/>
      <c r="EIW113" s="33"/>
      <c r="EIX113" s="33"/>
      <c r="EIY113" s="33"/>
      <c r="EIZ113" s="33"/>
      <c r="EJA113" s="33"/>
      <c r="EJB113" s="33"/>
      <c r="EJC113" s="33"/>
      <c r="EJD113" s="33"/>
      <c r="EJE113" s="33"/>
      <c r="EJF113" s="33"/>
      <c r="EJG113" s="33"/>
      <c r="EJH113" s="33"/>
      <c r="EJI113" s="33"/>
      <c r="EJJ113" s="33"/>
      <c r="EJK113" s="33"/>
      <c r="EJL113" s="33"/>
      <c r="EJM113" s="33"/>
      <c r="EJN113" s="33"/>
      <c r="EJO113" s="33"/>
      <c r="EJP113" s="33"/>
      <c r="EJQ113" s="33"/>
      <c r="EJR113" s="33"/>
      <c r="EJS113" s="33"/>
      <c r="EJT113" s="33"/>
      <c r="EJU113" s="33"/>
      <c r="EJV113" s="33"/>
      <c r="EJW113" s="33"/>
      <c r="EJX113" s="33"/>
      <c r="EJY113" s="33"/>
      <c r="EJZ113" s="33"/>
      <c r="EKA113" s="33"/>
      <c r="EKB113" s="33"/>
      <c r="EKC113" s="33"/>
      <c r="EKD113" s="33"/>
      <c r="EKE113" s="33"/>
      <c r="EKF113" s="33"/>
      <c r="EKG113" s="33"/>
      <c r="EKH113" s="33"/>
      <c r="EKI113" s="33"/>
      <c r="EKJ113" s="33"/>
      <c r="EKK113" s="33"/>
      <c r="EKL113" s="33"/>
      <c r="EKM113" s="33"/>
      <c r="EKN113" s="33"/>
      <c r="EKO113" s="33"/>
      <c r="EKP113" s="33"/>
      <c r="EKQ113" s="33"/>
      <c r="EKR113" s="33"/>
      <c r="EKS113" s="33"/>
      <c r="EKT113" s="33"/>
      <c r="EKU113" s="33"/>
      <c r="EKV113" s="33"/>
      <c r="EKW113" s="33"/>
      <c r="EKX113" s="33"/>
      <c r="EKY113" s="33"/>
      <c r="EKZ113" s="33"/>
      <c r="ELA113" s="33"/>
      <c r="ELB113" s="33"/>
      <c r="ELC113" s="33"/>
      <c r="ELD113" s="33"/>
      <c r="ELE113" s="33"/>
      <c r="ELF113" s="33"/>
      <c r="ELG113" s="33"/>
      <c r="ELH113" s="33"/>
      <c r="ELI113" s="33"/>
      <c r="ELJ113" s="33"/>
      <c r="ELK113" s="33"/>
      <c r="ELL113" s="33"/>
      <c r="ELM113" s="33"/>
      <c r="ELN113" s="33"/>
      <c r="ELO113" s="33"/>
      <c r="ELP113" s="33"/>
      <c r="ELQ113" s="33"/>
      <c r="ELR113" s="33"/>
      <c r="ELS113" s="33"/>
      <c r="ELT113" s="33"/>
      <c r="ELU113" s="33"/>
      <c r="ELV113" s="33"/>
      <c r="ELW113" s="33"/>
      <c r="ELX113" s="33"/>
      <c r="ELY113" s="33"/>
      <c r="ELZ113" s="33"/>
      <c r="EMA113" s="33"/>
      <c r="EMB113" s="33"/>
      <c r="EMC113" s="33"/>
      <c r="EMD113" s="33"/>
      <c r="EME113" s="33"/>
      <c r="EMF113" s="33"/>
      <c r="EMG113" s="33"/>
      <c r="EMH113" s="33"/>
      <c r="EMI113" s="33"/>
      <c r="EMJ113" s="33"/>
      <c r="EMK113" s="33"/>
      <c r="EML113" s="33"/>
      <c r="EMM113" s="33"/>
      <c r="EMN113" s="33"/>
      <c r="EMO113" s="33"/>
      <c r="EMP113" s="33"/>
      <c r="EMQ113" s="33"/>
      <c r="EMR113" s="33"/>
      <c r="EMS113" s="33"/>
      <c r="EMT113" s="33"/>
      <c r="EMU113" s="33"/>
      <c r="EMV113" s="33"/>
      <c r="EMW113" s="33"/>
      <c r="EMX113" s="33"/>
      <c r="EMY113" s="33"/>
      <c r="EMZ113" s="33"/>
      <c r="ENA113" s="33"/>
      <c r="ENB113" s="33"/>
      <c r="ENC113" s="33"/>
      <c r="END113" s="33"/>
      <c r="ENE113" s="33"/>
      <c r="ENF113" s="33"/>
      <c r="ENG113" s="33"/>
      <c r="ENH113" s="33"/>
      <c r="ENI113" s="33"/>
      <c r="ENJ113" s="33"/>
      <c r="ENK113" s="33"/>
      <c r="ENL113" s="33"/>
      <c r="ENM113" s="33"/>
      <c r="ENN113" s="33"/>
      <c r="ENO113" s="33"/>
      <c r="ENP113" s="33"/>
      <c r="ENQ113" s="33"/>
      <c r="ENR113" s="33"/>
      <c r="ENS113" s="33"/>
      <c r="ENT113" s="33"/>
      <c r="ENU113" s="33"/>
      <c r="ENV113" s="33"/>
      <c r="ENW113" s="33"/>
      <c r="ENX113" s="33"/>
      <c r="ENY113" s="33"/>
      <c r="ENZ113" s="33"/>
      <c r="EOA113" s="33"/>
      <c r="EOB113" s="33"/>
      <c r="EOC113" s="33"/>
      <c r="EOD113" s="33"/>
      <c r="EOE113" s="33"/>
      <c r="EOF113" s="33"/>
      <c r="EOG113" s="33"/>
      <c r="EOH113" s="33"/>
      <c r="EOI113" s="33"/>
      <c r="EOJ113" s="33"/>
      <c r="EOK113" s="33"/>
      <c r="EOL113" s="33"/>
      <c r="EOM113" s="33"/>
      <c r="EON113" s="33"/>
      <c r="EOO113" s="33"/>
      <c r="EOP113" s="33"/>
      <c r="EOQ113" s="33"/>
      <c r="EOR113" s="33"/>
      <c r="EOS113" s="33"/>
      <c r="EOT113" s="33"/>
      <c r="EOU113" s="33"/>
      <c r="EOV113" s="33"/>
      <c r="EOW113" s="33"/>
      <c r="EOX113" s="33"/>
      <c r="EOY113" s="33"/>
      <c r="EOZ113" s="33"/>
      <c r="EPA113" s="33"/>
      <c r="EPB113" s="33"/>
      <c r="EPC113" s="33"/>
      <c r="EPD113" s="33"/>
      <c r="EPE113" s="33"/>
      <c r="EPF113" s="33"/>
      <c r="EPG113" s="33"/>
      <c r="EPH113" s="33"/>
      <c r="EPI113" s="33"/>
      <c r="EPJ113" s="33"/>
      <c r="EPK113" s="33"/>
      <c r="EPL113" s="33"/>
      <c r="EPM113" s="33"/>
      <c r="EPN113" s="33"/>
      <c r="EPO113" s="33"/>
      <c r="EPP113" s="33"/>
      <c r="EPQ113" s="33"/>
      <c r="EPR113" s="33"/>
      <c r="EPS113" s="33"/>
      <c r="EPT113" s="33"/>
      <c r="EPU113" s="33"/>
      <c r="EPV113" s="33"/>
      <c r="EPW113" s="33"/>
      <c r="EPX113" s="33"/>
      <c r="EPY113" s="33"/>
      <c r="EPZ113" s="33"/>
      <c r="EQA113" s="33"/>
      <c r="EQB113" s="33"/>
      <c r="EQC113" s="33"/>
      <c r="EQD113" s="33"/>
      <c r="EQE113" s="33"/>
      <c r="EQF113" s="33"/>
      <c r="EQG113" s="33"/>
      <c r="EQH113" s="33"/>
      <c r="EQI113" s="33"/>
      <c r="EQJ113" s="33"/>
      <c r="EQK113" s="33"/>
      <c r="EQL113" s="33"/>
      <c r="EQM113" s="33"/>
      <c r="EQN113" s="33"/>
      <c r="EQO113" s="33"/>
      <c r="EQP113" s="33"/>
      <c r="EQQ113" s="33"/>
      <c r="EQR113" s="33"/>
      <c r="EQS113" s="33"/>
      <c r="EQT113" s="33"/>
      <c r="EQU113" s="33"/>
      <c r="EQV113" s="33"/>
      <c r="EQW113" s="33"/>
      <c r="EQX113" s="33"/>
      <c r="EQY113" s="33"/>
      <c r="EQZ113" s="33"/>
      <c r="ERA113" s="33"/>
      <c r="ERB113" s="33"/>
      <c r="ERC113" s="33"/>
      <c r="ERD113" s="33"/>
      <c r="ERE113" s="33"/>
      <c r="ERF113" s="33"/>
      <c r="ERG113" s="33"/>
      <c r="ERH113" s="33"/>
      <c r="ERI113" s="33"/>
      <c r="ERJ113" s="33"/>
      <c r="ERK113" s="33"/>
      <c r="ERL113" s="33"/>
      <c r="ERM113" s="33"/>
      <c r="ERN113" s="33"/>
      <c r="ERO113" s="33"/>
      <c r="ERP113" s="33"/>
      <c r="ERQ113" s="33"/>
      <c r="ERR113" s="33"/>
      <c r="ERS113" s="33"/>
      <c r="ERT113" s="33"/>
      <c r="ERU113" s="33"/>
      <c r="ERV113" s="33"/>
      <c r="ERW113" s="33"/>
      <c r="ERX113" s="33"/>
      <c r="ERY113" s="33"/>
      <c r="ERZ113" s="33"/>
      <c r="ESA113" s="33"/>
      <c r="ESB113" s="33"/>
      <c r="ESC113" s="33"/>
      <c r="ESD113" s="33"/>
      <c r="ESE113" s="33"/>
      <c r="ESF113" s="33"/>
      <c r="ESG113" s="33"/>
      <c r="ESH113" s="33"/>
      <c r="ESI113" s="33"/>
      <c r="ESJ113" s="33"/>
      <c r="ESK113" s="33"/>
      <c r="ESL113" s="33"/>
      <c r="ESM113" s="33"/>
      <c r="ESN113" s="33"/>
      <c r="ESO113" s="33"/>
      <c r="ESP113" s="33"/>
      <c r="ESQ113" s="33"/>
      <c r="ESR113" s="33"/>
      <c r="ESS113" s="33"/>
      <c r="EST113" s="33"/>
      <c r="ESU113" s="33"/>
      <c r="ESV113" s="33"/>
      <c r="ESW113" s="33"/>
      <c r="ESX113" s="33"/>
      <c r="ESY113" s="33"/>
      <c r="ESZ113" s="33"/>
      <c r="ETA113" s="33"/>
      <c r="ETB113" s="33"/>
      <c r="ETC113" s="33"/>
      <c r="ETD113" s="33"/>
      <c r="ETE113" s="33"/>
      <c r="ETF113" s="33"/>
      <c r="ETG113" s="33"/>
      <c r="ETH113" s="33"/>
      <c r="ETI113" s="33"/>
      <c r="ETJ113" s="33"/>
      <c r="ETK113" s="33"/>
      <c r="ETL113" s="33"/>
      <c r="ETM113" s="33"/>
      <c r="ETN113" s="33"/>
      <c r="ETO113" s="33"/>
      <c r="ETP113" s="33"/>
      <c r="ETQ113" s="33"/>
      <c r="ETR113" s="33"/>
      <c r="ETS113" s="33"/>
      <c r="ETT113" s="33"/>
      <c r="ETU113" s="33"/>
      <c r="ETV113" s="33"/>
      <c r="ETW113" s="33"/>
      <c r="ETX113" s="33"/>
      <c r="ETY113" s="33"/>
      <c r="ETZ113" s="33"/>
      <c r="EUA113" s="33"/>
      <c r="EUB113" s="33"/>
      <c r="EUC113" s="33"/>
      <c r="EUD113" s="33"/>
      <c r="EUE113" s="33"/>
      <c r="EUF113" s="33"/>
      <c r="EUG113" s="33"/>
      <c r="EUH113" s="33"/>
      <c r="EUI113" s="33"/>
      <c r="EUJ113" s="33"/>
      <c r="EUK113" s="33"/>
      <c r="EUL113" s="33"/>
      <c r="EUM113" s="33"/>
      <c r="EUN113" s="33"/>
      <c r="EUO113" s="33"/>
      <c r="EUP113" s="33"/>
      <c r="EUQ113" s="33"/>
      <c r="EUR113" s="33"/>
      <c r="EUS113" s="33"/>
      <c r="EUT113" s="33"/>
      <c r="EUU113" s="33"/>
      <c r="EUV113" s="33"/>
      <c r="EUW113" s="33"/>
      <c r="EUX113" s="33"/>
      <c r="EUY113" s="33"/>
      <c r="EUZ113" s="33"/>
      <c r="EVA113" s="33"/>
      <c r="EVB113" s="33"/>
      <c r="EVC113" s="33"/>
      <c r="EVD113" s="33"/>
      <c r="EVE113" s="33"/>
      <c r="EVF113" s="33"/>
      <c r="EVG113" s="33"/>
      <c r="EVH113" s="33"/>
      <c r="EVI113" s="33"/>
      <c r="EVJ113" s="33"/>
      <c r="EVK113" s="33"/>
      <c r="EVL113" s="33"/>
      <c r="EVM113" s="33"/>
      <c r="EVN113" s="33"/>
      <c r="EVO113" s="33"/>
      <c r="EVP113" s="33"/>
      <c r="EVQ113" s="33"/>
      <c r="EVR113" s="33"/>
      <c r="EVS113" s="33"/>
      <c r="EVT113" s="33"/>
      <c r="EVU113" s="33"/>
      <c r="EVV113" s="33"/>
      <c r="EVW113" s="33"/>
      <c r="EVX113" s="33"/>
      <c r="EVY113" s="33"/>
      <c r="EVZ113" s="33"/>
      <c r="EWA113" s="33"/>
      <c r="EWB113" s="33"/>
      <c r="EWC113" s="33"/>
      <c r="EWD113" s="33"/>
      <c r="EWE113" s="33"/>
      <c r="EWF113" s="33"/>
      <c r="EWG113" s="33"/>
      <c r="EWH113" s="33"/>
      <c r="EWI113" s="33"/>
      <c r="EWJ113" s="33"/>
      <c r="EWK113" s="33"/>
      <c r="EWL113" s="33"/>
      <c r="EWM113" s="33"/>
      <c r="EWN113" s="33"/>
      <c r="EWO113" s="33"/>
      <c r="EWP113" s="33"/>
      <c r="EWQ113" s="33"/>
      <c r="EWR113" s="33"/>
      <c r="EWS113" s="33"/>
      <c r="EWT113" s="33"/>
      <c r="EWU113" s="33"/>
      <c r="EWV113" s="33"/>
      <c r="EWW113" s="33"/>
      <c r="EWX113" s="33"/>
      <c r="EWY113" s="33"/>
      <c r="EWZ113" s="33"/>
      <c r="EXA113" s="33"/>
      <c r="EXB113" s="33"/>
      <c r="EXC113" s="33"/>
      <c r="EXD113" s="33"/>
      <c r="EXE113" s="33"/>
      <c r="EXF113" s="33"/>
      <c r="EXG113" s="33"/>
      <c r="EXH113" s="33"/>
      <c r="EXI113" s="33"/>
      <c r="EXJ113" s="33"/>
      <c r="EXK113" s="33"/>
      <c r="EXL113" s="33"/>
      <c r="EXM113" s="33"/>
      <c r="EXN113" s="33"/>
      <c r="EXO113" s="33"/>
      <c r="EXP113" s="33"/>
      <c r="EXQ113" s="33"/>
      <c r="EXR113" s="33"/>
      <c r="EXS113" s="33"/>
      <c r="EXT113" s="33"/>
      <c r="EXU113" s="33"/>
      <c r="EXV113" s="33"/>
      <c r="EXW113" s="33"/>
      <c r="EXX113" s="33"/>
      <c r="EXY113" s="33"/>
      <c r="EXZ113" s="33"/>
      <c r="EYA113" s="33"/>
      <c r="EYB113" s="33"/>
      <c r="EYC113" s="33"/>
      <c r="EYD113" s="33"/>
      <c r="EYE113" s="33"/>
      <c r="EYF113" s="33"/>
      <c r="EYG113" s="33"/>
      <c r="EYH113" s="33"/>
      <c r="EYI113" s="33"/>
      <c r="EYJ113" s="33"/>
      <c r="EYK113" s="33"/>
      <c r="EYL113" s="33"/>
      <c r="EYM113" s="33"/>
      <c r="EYN113" s="33"/>
      <c r="EYO113" s="33"/>
      <c r="EYP113" s="33"/>
      <c r="EYQ113" s="33"/>
      <c r="EYR113" s="33"/>
      <c r="EYS113" s="33"/>
      <c r="EYT113" s="33"/>
      <c r="EYU113" s="33"/>
      <c r="EYV113" s="33"/>
      <c r="EYW113" s="33"/>
      <c r="EYX113" s="33"/>
      <c r="EYY113" s="33"/>
      <c r="EYZ113" s="33"/>
      <c r="EZA113" s="33"/>
      <c r="EZB113" s="33"/>
      <c r="EZC113" s="33"/>
      <c r="EZD113" s="33"/>
      <c r="EZE113" s="33"/>
      <c r="EZF113" s="33"/>
      <c r="EZG113" s="33"/>
      <c r="EZH113" s="33"/>
      <c r="EZI113" s="33"/>
      <c r="EZJ113" s="33"/>
      <c r="EZK113" s="33"/>
      <c r="EZL113" s="33"/>
      <c r="EZM113" s="33"/>
      <c r="EZN113" s="33"/>
      <c r="EZO113" s="33"/>
      <c r="EZP113" s="33"/>
      <c r="EZQ113" s="33"/>
      <c r="EZR113" s="33"/>
      <c r="EZS113" s="33"/>
      <c r="EZT113" s="33"/>
      <c r="EZU113" s="33"/>
      <c r="EZV113" s="33"/>
      <c r="EZW113" s="33"/>
      <c r="EZX113" s="33"/>
      <c r="EZY113" s="33"/>
      <c r="EZZ113" s="33"/>
      <c r="FAA113" s="33"/>
      <c r="FAB113" s="33"/>
      <c r="FAC113" s="33"/>
      <c r="FAD113" s="33"/>
      <c r="FAE113" s="33"/>
      <c r="FAF113" s="33"/>
      <c r="FAG113" s="33"/>
      <c r="FAH113" s="33"/>
      <c r="FAI113" s="33"/>
      <c r="FAJ113" s="33"/>
      <c r="FAK113" s="33"/>
      <c r="FAL113" s="33"/>
      <c r="FAM113" s="33"/>
      <c r="FAN113" s="33"/>
      <c r="FAO113" s="33"/>
      <c r="FAP113" s="33"/>
      <c r="FAQ113" s="33"/>
      <c r="FAR113" s="33"/>
      <c r="FAS113" s="33"/>
      <c r="FAT113" s="33"/>
      <c r="FAU113" s="33"/>
      <c r="FAV113" s="33"/>
      <c r="FAW113" s="33"/>
      <c r="FAX113" s="33"/>
      <c r="FAY113" s="33"/>
      <c r="FAZ113" s="33"/>
      <c r="FBA113" s="33"/>
      <c r="FBB113" s="33"/>
      <c r="FBC113" s="33"/>
      <c r="FBD113" s="33"/>
      <c r="FBE113" s="33"/>
      <c r="FBF113" s="33"/>
      <c r="FBG113" s="33"/>
      <c r="FBH113" s="33"/>
      <c r="FBI113" s="33"/>
      <c r="FBJ113" s="33"/>
      <c r="FBK113" s="33"/>
      <c r="FBL113" s="33"/>
      <c r="FBM113" s="33"/>
      <c r="FBN113" s="33"/>
      <c r="FBO113" s="33"/>
      <c r="FBP113" s="33"/>
      <c r="FBQ113" s="33"/>
      <c r="FBR113" s="33"/>
      <c r="FBS113" s="33"/>
      <c r="FBT113" s="33"/>
      <c r="FBU113" s="33"/>
      <c r="FBV113" s="33"/>
      <c r="FBW113" s="33"/>
      <c r="FBX113" s="33"/>
      <c r="FBY113" s="33"/>
      <c r="FBZ113" s="33"/>
      <c r="FCA113" s="33"/>
      <c r="FCB113" s="33"/>
      <c r="FCC113" s="33"/>
      <c r="FCD113" s="33"/>
      <c r="FCE113" s="33"/>
      <c r="FCF113" s="33"/>
      <c r="FCG113" s="33"/>
      <c r="FCH113" s="33"/>
      <c r="FCI113" s="33"/>
      <c r="FCJ113" s="33"/>
      <c r="FCK113" s="33"/>
      <c r="FCL113" s="33"/>
      <c r="FCM113" s="33"/>
      <c r="FCN113" s="33"/>
      <c r="FCO113" s="33"/>
      <c r="FCP113" s="33"/>
      <c r="FCQ113" s="33"/>
      <c r="FCR113" s="33"/>
      <c r="FCS113" s="33"/>
      <c r="FCT113" s="33"/>
      <c r="FCU113" s="33"/>
      <c r="FCV113" s="33"/>
      <c r="FCW113" s="33"/>
      <c r="FCX113" s="33"/>
      <c r="FCY113" s="33"/>
      <c r="FCZ113" s="33"/>
      <c r="FDA113" s="33"/>
      <c r="FDB113" s="33"/>
      <c r="FDC113" s="33"/>
      <c r="FDD113" s="33"/>
      <c r="FDE113" s="33"/>
      <c r="FDF113" s="33"/>
      <c r="FDG113" s="33"/>
      <c r="FDH113" s="33"/>
      <c r="FDI113" s="33"/>
      <c r="FDJ113" s="33"/>
      <c r="FDK113" s="33"/>
      <c r="FDL113" s="33"/>
      <c r="FDM113" s="33"/>
      <c r="FDN113" s="33"/>
      <c r="FDO113" s="33"/>
      <c r="FDP113" s="33"/>
      <c r="FDQ113" s="33"/>
      <c r="FDR113" s="33"/>
      <c r="FDS113" s="33"/>
      <c r="FDT113" s="33"/>
      <c r="FDU113" s="33"/>
      <c r="FDV113" s="33"/>
      <c r="FDW113" s="33"/>
      <c r="FDX113" s="33"/>
      <c r="FDY113" s="33"/>
      <c r="FDZ113" s="33"/>
      <c r="FEA113" s="33"/>
      <c r="FEB113" s="33"/>
      <c r="FEC113" s="33"/>
      <c r="FED113" s="33"/>
      <c r="FEE113" s="33"/>
      <c r="FEF113" s="33"/>
      <c r="FEG113" s="33"/>
      <c r="FEH113" s="33"/>
      <c r="FEI113" s="33"/>
      <c r="FEJ113" s="33"/>
      <c r="FEK113" s="33"/>
      <c r="FEL113" s="33"/>
      <c r="FEM113" s="33"/>
      <c r="FEN113" s="33"/>
      <c r="FEO113" s="33"/>
      <c r="FEP113" s="33"/>
      <c r="FEQ113" s="33"/>
      <c r="FER113" s="33"/>
      <c r="FES113" s="33"/>
      <c r="FET113" s="33"/>
      <c r="FEU113" s="33"/>
      <c r="FEV113" s="33"/>
      <c r="FEW113" s="33"/>
      <c r="FEX113" s="33"/>
      <c r="FEY113" s="33"/>
      <c r="FEZ113" s="33"/>
      <c r="FFA113" s="33"/>
      <c r="FFB113" s="33"/>
      <c r="FFC113" s="33"/>
      <c r="FFD113" s="33"/>
      <c r="FFE113" s="33"/>
      <c r="FFF113" s="33"/>
      <c r="FFG113" s="33"/>
      <c r="FFH113" s="33"/>
      <c r="FFI113" s="33"/>
      <c r="FFJ113" s="33"/>
      <c r="FFK113" s="33"/>
      <c r="FFL113" s="33"/>
      <c r="FFM113" s="33"/>
      <c r="FFN113" s="33"/>
      <c r="FFO113" s="33"/>
      <c r="FFP113" s="33"/>
      <c r="FFQ113" s="33"/>
      <c r="FFR113" s="33"/>
      <c r="FFS113" s="33"/>
      <c r="FFT113" s="33"/>
      <c r="FFU113" s="33"/>
      <c r="FFV113" s="33"/>
      <c r="FFW113" s="33"/>
      <c r="FFX113" s="33"/>
      <c r="FFY113" s="33"/>
      <c r="FFZ113" s="33"/>
      <c r="FGA113" s="33"/>
      <c r="FGB113" s="33"/>
      <c r="FGC113" s="33"/>
      <c r="FGD113" s="33"/>
      <c r="FGE113" s="33"/>
      <c r="FGF113" s="33"/>
      <c r="FGG113" s="33"/>
      <c r="FGH113" s="33"/>
      <c r="FGI113" s="33"/>
      <c r="FGJ113" s="33"/>
      <c r="FGK113" s="33"/>
      <c r="FGL113" s="33"/>
      <c r="FGM113" s="33"/>
      <c r="FGN113" s="33"/>
      <c r="FGO113" s="33"/>
      <c r="FGP113" s="33"/>
      <c r="FGQ113" s="33"/>
      <c r="FGR113" s="33"/>
      <c r="FGS113" s="33"/>
      <c r="FGT113" s="33"/>
      <c r="FGU113" s="33"/>
      <c r="FGV113" s="33"/>
      <c r="FGW113" s="33"/>
      <c r="FGX113" s="33"/>
      <c r="FGY113" s="33"/>
      <c r="FGZ113" s="33"/>
      <c r="FHA113" s="33"/>
      <c r="FHB113" s="33"/>
      <c r="FHC113" s="33"/>
      <c r="FHD113" s="33"/>
      <c r="FHE113" s="33"/>
      <c r="FHF113" s="33"/>
      <c r="FHG113" s="33"/>
      <c r="FHH113" s="33"/>
      <c r="FHI113" s="33"/>
      <c r="FHJ113" s="33"/>
      <c r="FHK113" s="33"/>
      <c r="FHL113" s="33"/>
      <c r="FHM113" s="33"/>
      <c r="FHN113" s="33"/>
      <c r="FHO113" s="33"/>
      <c r="FHP113" s="33"/>
      <c r="FHQ113" s="33"/>
      <c r="FHR113" s="33"/>
      <c r="FHS113" s="33"/>
      <c r="FHT113" s="33"/>
      <c r="FHU113" s="33"/>
      <c r="FHV113" s="33"/>
      <c r="FHW113" s="33"/>
      <c r="FHX113" s="33"/>
      <c r="FHY113" s="33"/>
      <c r="FHZ113" s="33"/>
      <c r="FIA113" s="33"/>
      <c r="FIB113" s="33"/>
      <c r="FIC113" s="33"/>
      <c r="FID113" s="33"/>
      <c r="FIE113" s="33"/>
      <c r="FIF113" s="33"/>
      <c r="FIG113" s="33"/>
      <c r="FIH113" s="33"/>
      <c r="FII113" s="33"/>
      <c r="FIJ113" s="33"/>
      <c r="FIK113" s="33"/>
      <c r="FIL113" s="33"/>
      <c r="FIM113" s="33"/>
      <c r="FIN113" s="33"/>
      <c r="FIO113" s="33"/>
      <c r="FIP113" s="33"/>
      <c r="FIQ113" s="33"/>
      <c r="FIR113" s="33"/>
      <c r="FIS113" s="33"/>
      <c r="FIT113" s="33"/>
      <c r="FIU113" s="33"/>
      <c r="FIV113" s="33"/>
      <c r="FIW113" s="33"/>
      <c r="FIX113" s="33"/>
      <c r="FIY113" s="33"/>
      <c r="FIZ113" s="33"/>
      <c r="FJA113" s="33"/>
      <c r="FJB113" s="33"/>
      <c r="FJC113" s="33"/>
      <c r="FJD113" s="33"/>
      <c r="FJE113" s="33"/>
      <c r="FJF113" s="33"/>
      <c r="FJG113" s="33"/>
      <c r="FJH113" s="33"/>
      <c r="FJI113" s="33"/>
      <c r="FJJ113" s="33"/>
      <c r="FJK113" s="33"/>
      <c r="FJL113" s="33"/>
      <c r="FJM113" s="33"/>
      <c r="FJN113" s="33"/>
      <c r="FJO113" s="33"/>
      <c r="FJP113" s="33"/>
      <c r="FJQ113" s="33"/>
      <c r="FJR113" s="33"/>
      <c r="FJS113" s="33"/>
      <c r="FJT113" s="33"/>
      <c r="FJU113" s="33"/>
      <c r="FJV113" s="33"/>
      <c r="FJW113" s="33"/>
      <c r="FJX113" s="33"/>
      <c r="FJY113" s="33"/>
      <c r="FJZ113" s="33"/>
      <c r="FKA113" s="33"/>
      <c r="FKB113" s="33"/>
      <c r="FKC113" s="33"/>
      <c r="FKD113" s="33"/>
      <c r="FKE113" s="33"/>
      <c r="FKF113" s="33"/>
      <c r="FKG113" s="33"/>
      <c r="FKH113" s="33"/>
      <c r="FKI113" s="33"/>
      <c r="FKJ113" s="33"/>
      <c r="FKK113" s="33"/>
      <c r="FKL113" s="33"/>
      <c r="FKM113" s="33"/>
      <c r="FKN113" s="33"/>
      <c r="FKO113" s="33"/>
      <c r="FKP113" s="33"/>
      <c r="FKQ113" s="33"/>
      <c r="FKR113" s="33"/>
      <c r="FKS113" s="33"/>
      <c r="FKT113" s="33"/>
      <c r="FKU113" s="33"/>
      <c r="FKV113" s="33"/>
      <c r="FKW113" s="33"/>
      <c r="FKX113" s="33"/>
      <c r="FKY113" s="33"/>
      <c r="FKZ113" s="33"/>
      <c r="FLA113" s="33"/>
      <c r="FLB113" s="33"/>
      <c r="FLC113" s="33"/>
      <c r="FLD113" s="33"/>
      <c r="FLE113" s="33"/>
      <c r="FLF113" s="33"/>
      <c r="FLG113" s="33"/>
      <c r="FLH113" s="33"/>
      <c r="FLI113" s="33"/>
      <c r="FLJ113" s="33"/>
      <c r="FLK113" s="33"/>
      <c r="FLL113" s="33"/>
      <c r="FLM113" s="33"/>
      <c r="FLN113" s="33"/>
      <c r="FLO113" s="33"/>
      <c r="FLP113" s="33"/>
      <c r="FLQ113" s="33"/>
      <c r="FLR113" s="33"/>
      <c r="FLS113" s="33"/>
      <c r="FLT113" s="33"/>
      <c r="FLU113" s="33"/>
      <c r="FLV113" s="33"/>
      <c r="FLW113" s="33"/>
      <c r="FLX113" s="33"/>
      <c r="FLY113" s="33"/>
      <c r="FLZ113" s="33"/>
      <c r="FMA113" s="33"/>
      <c r="FMB113" s="33"/>
      <c r="FMC113" s="33"/>
      <c r="FMD113" s="33"/>
      <c r="FME113" s="33"/>
      <c r="FMF113" s="33"/>
      <c r="FMG113" s="33"/>
      <c r="FMH113" s="33"/>
      <c r="FMI113" s="33"/>
      <c r="FMJ113" s="33"/>
      <c r="FMK113" s="33"/>
      <c r="FML113" s="33"/>
      <c r="FMM113" s="33"/>
      <c r="FMN113" s="33"/>
      <c r="FMO113" s="33"/>
      <c r="FMP113" s="33"/>
      <c r="FMQ113" s="33"/>
      <c r="FMR113" s="33"/>
      <c r="FMS113" s="33"/>
      <c r="FMT113" s="33"/>
      <c r="FMU113" s="33"/>
      <c r="FMV113" s="33"/>
      <c r="FMW113" s="33"/>
      <c r="FMX113" s="33"/>
      <c r="FMY113" s="33"/>
      <c r="FMZ113" s="33"/>
      <c r="FNA113" s="33"/>
      <c r="FNB113" s="33"/>
      <c r="FNC113" s="33"/>
      <c r="FND113" s="33"/>
      <c r="FNE113" s="33"/>
      <c r="FNF113" s="33"/>
      <c r="FNG113" s="33"/>
      <c r="FNH113" s="33"/>
      <c r="FNI113" s="33"/>
      <c r="FNJ113" s="33"/>
      <c r="FNK113" s="33"/>
      <c r="FNL113" s="33"/>
      <c r="FNM113" s="33"/>
      <c r="FNN113" s="33"/>
      <c r="FNO113" s="33"/>
      <c r="FNP113" s="33"/>
      <c r="FNQ113" s="33"/>
      <c r="FNR113" s="33"/>
      <c r="FNS113" s="33"/>
      <c r="FNT113" s="33"/>
      <c r="FNU113" s="33"/>
      <c r="FNV113" s="33"/>
      <c r="FNW113" s="33"/>
      <c r="FNX113" s="33"/>
      <c r="FNY113" s="33"/>
      <c r="FNZ113" s="33"/>
      <c r="FOA113" s="33"/>
      <c r="FOB113" s="33"/>
      <c r="FOC113" s="33"/>
      <c r="FOD113" s="33"/>
      <c r="FOE113" s="33"/>
      <c r="FOF113" s="33"/>
      <c r="FOG113" s="33"/>
      <c r="FOH113" s="33"/>
      <c r="FOI113" s="33"/>
      <c r="FOJ113" s="33"/>
      <c r="FOK113" s="33"/>
      <c r="FOL113" s="33"/>
      <c r="FOM113" s="33"/>
      <c r="FON113" s="33"/>
      <c r="FOO113" s="33"/>
      <c r="FOP113" s="33"/>
      <c r="FOQ113" s="33"/>
      <c r="FOR113" s="33"/>
      <c r="FOS113" s="33"/>
      <c r="FOT113" s="33"/>
      <c r="FOU113" s="33"/>
      <c r="FOV113" s="33"/>
      <c r="FOW113" s="33"/>
      <c r="FOX113" s="33"/>
      <c r="FOY113" s="33"/>
      <c r="FOZ113" s="33"/>
      <c r="FPA113" s="33"/>
      <c r="FPB113" s="33"/>
      <c r="FPC113" s="33"/>
      <c r="FPD113" s="33"/>
      <c r="FPE113" s="33"/>
      <c r="FPF113" s="33"/>
      <c r="FPG113" s="33"/>
      <c r="FPH113" s="33"/>
      <c r="FPI113" s="33"/>
      <c r="FPJ113" s="33"/>
      <c r="FPK113" s="33"/>
      <c r="FPL113" s="33"/>
      <c r="FPM113" s="33"/>
      <c r="FPN113" s="33"/>
      <c r="FPO113" s="33"/>
      <c r="FPP113" s="33"/>
      <c r="FPQ113" s="33"/>
      <c r="FPR113" s="33"/>
      <c r="FPS113" s="33"/>
      <c r="FPT113" s="33"/>
      <c r="FPU113" s="33"/>
      <c r="FPV113" s="33"/>
      <c r="FPW113" s="33"/>
      <c r="FPX113" s="33"/>
      <c r="FPY113" s="33"/>
      <c r="FPZ113" s="33"/>
      <c r="FQA113" s="33"/>
      <c r="FQB113" s="33"/>
      <c r="FQC113" s="33"/>
      <c r="FQD113" s="33"/>
      <c r="FQE113" s="33"/>
      <c r="FQF113" s="33"/>
      <c r="FQG113" s="33"/>
      <c r="FQH113" s="33"/>
      <c r="FQI113" s="33"/>
      <c r="FQJ113" s="33"/>
      <c r="FQK113" s="33"/>
      <c r="FQL113" s="33"/>
      <c r="FQM113" s="33"/>
      <c r="FQN113" s="33"/>
      <c r="FQO113" s="33"/>
      <c r="FQP113" s="33"/>
      <c r="FQQ113" s="33"/>
      <c r="FQR113" s="33"/>
      <c r="FQS113" s="33"/>
      <c r="FQT113" s="33"/>
      <c r="FQU113" s="33"/>
      <c r="FQV113" s="33"/>
      <c r="FQW113" s="33"/>
      <c r="FQX113" s="33"/>
      <c r="FQY113" s="33"/>
      <c r="FQZ113" s="33"/>
      <c r="FRA113" s="33"/>
      <c r="FRB113" s="33"/>
      <c r="FRC113" s="33"/>
      <c r="FRD113" s="33"/>
      <c r="FRE113" s="33"/>
      <c r="FRF113" s="33"/>
      <c r="FRG113" s="33"/>
      <c r="FRH113" s="33"/>
      <c r="FRI113" s="33"/>
      <c r="FRJ113" s="33"/>
      <c r="FRK113" s="33"/>
      <c r="FRL113" s="33"/>
      <c r="FRM113" s="33"/>
      <c r="FRN113" s="33"/>
      <c r="FRO113" s="33"/>
      <c r="FRP113" s="33"/>
      <c r="FRQ113" s="33"/>
      <c r="FRR113" s="33"/>
      <c r="FRS113" s="33"/>
      <c r="FRT113" s="33"/>
      <c r="FRU113" s="33"/>
      <c r="FRV113" s="33"/>
      <c r="FRW113" s="33"/>
      <c r="FRX113" s="33"/>
      <c r="FRY113" s="33"/>
      <c r="FRZ113" s="33"/>
      <c r="FSA113" s="33"/>
      <c r="FSB113" s="33"/>
      <c r="FSC113" s="33"/>
      <c r="FSD113" s="33"/>
      <c r="FSE113" s="33"/>
      <c r="FSF113" s="33"/>
      <c r="FSG113" s="33"/>
      <c r="FSH113" s="33"/>
      <c r="FSI113" s="33"/>
      <c r="FSJ113" s="33"/>
      <c r="FSK113" s="33"/>
      <c r="FSL113" s="33"/>
      <c r="FSM113" s="33"/>
      <c r="FSN113" s="33"/>
      <c r="FSO113" s="33"/>
      <c r="FSP113" s="33"/>
      <c r="FSQ113" s="33"/>
      <c r="FSR113" s="33"/>
      <c r="FSS113" s="33"/>
      <c r="FST113" s="33"/>
      <c r="FSU113" s="33"/>
      <c r="FSV113" s="33"/>
      <c r="FSW113" s="33"/>
      <c r="FSX113" s="33"/>
      <c r="FSY113" s="33"/>
      <c r="FSZ113" s="33"/>
      <c r="FTA113" s="33"/>
      <c r="FTB113" s="33"/>
      <c r="FTC113" s="33"/>
      <c r="FTD113" s="33"/>
      <c r="FTE113" s="33"/>
      <c r="FTF113" s="33"/>
      <c r="FTG113" s="33"/>
      <c r="FTH113" s="33"/>
      <c r="FTI113" s="33"/>
      <c r="FTJ113" s="33"/>
      <c r="FTK113" s="33"/>
      <c r="FTL113" s="33"/>
      <c r="FTM113" s="33"/>
      <c r="FTN113" s="33"/>
      <c r="FTO113" s="33"/>
      <c r="FTP113" s="33"/>
      <c r="FTQ113" s="33"/>
      <c r="FTR113" s="33"/>
      <c r="FTS113" s="33"/>
      <c r="FTT113" s="33"/>
      <c r="FTU113" s="33"/>
      <c r="FTV113" s="33"/>
      <c r="FTW113" s="33"/>
      <c r="FTX113" s="33"/>
      <c r="FTY113" s="33"/>
      <c r="FTZ113" s="33"/>
      <c r="FUA113" s="33"/>
      <c r="FUB113" s="33"/>
      <c r="FUC113" s="33"/>
      <c r="FUD113" s="33"/>
      <c r="FUE113" s="33"/>
      <c r="FUF113" s="33"/>
      <c r="FUG113" s="33"/>
      <c r="FUH113" s="33"/>
      <c r="FUI113" s="33"/>
      <c r="FUJ113" s="33"/>
      <c r="FUK113" s="33"/>
      <c r="FUL113" s="33"/>
      <c r="FUM113" s="33"/>
      <c r="FUN113" s="33"/>
      <c r="FUO113" s="33"/>
      <c r="FUP113" s="33"/>
      <c r="FUQ113" s="33"/>
      <c r="FUR113" s="33"/>
      <c r="FUS113" s="33"/>
      <c r="FUT113" s="33"/>
      <c r="FUU113" s="33"/>
      <c r="FUV113" s="33"/>
      <c r="FUW113" s="33"/>
      <c r="FUX113" s="33"/>
      <c r="FUY113" s="33"/>
      <c r="FUZ113" s="33"/>
      <c r="FVA113" s="33"/>
      <c r="FVB113" s="33"/>
      <c r="FVC113" s="33"/>
      <c r="FVD113" s="33"/>
      <c r="FVE113" s="33"/>
      <c r="FVF113" s="33"/>
      <c r="FVG113" s="33"/>
      <c r="FVH113" s="33"/>
      <c r="FVI113" s="33"/>
      <c r="FVJ113" s="33"/>
      <c r="FVK113" s="33"/>
      <c r="FVL113" s="33"/>
      <c r="FVM113" s="33"/>
      <c r="FVN113" s="33"/>
      <c r="FVO113" s="33"/>
      <c r="FVP113" s="33"/>
      <c r="FVQ113" s="33"/>
      <c r="FVR113" s="33"/>
      <c r="FVS113" s="33"/>
      <c r="FVT113" s="33"/>
      <c r="FVU113" s="33"/>
      <c r="FVV113" s="33"/>
      <c r="FVW113" s="33"/>
      <c r="FVX113" s="33"/>
      <c r="FVY113" s="33"/>
      <c r="FVZ113" s="33"/>
      <c r="FWA113" s="33"/>
      <c r="FWB113" s="33"/>
      <c r="FWC113" s="33"/>
      <c r="FWD113" s="33"/>
      <c r="FWE113" s="33"/>
      <c r="FWF113" s="33"/>
      <c r="FWG113" s="33"/>
      <c r="FWH113" s="33"/>
      <c r="FWI113" s="33"/>
      <c r="FWJ113" s="33"/>
      <c r="FWK113" s="33"/>
      <c r="FWL113" s="33"/>
      <c r="FWM113" s="33"/>
      <c r="FWN113" s="33"/>
      <c r="FWO113" s="33"/>
      <c r="FWP113" s="33"/>
      <c r="FWQ113" s="33"/>
      <c r="FWR113" s="33"/>
      <c r="FWS113" s="33"/>
      <c r="FWT113" s="33"/>
      <c r="FWU113" s="33"/>
      <c r="FWV113" s="33"/>
      <c r="FWW113" s="33"/>
      <c r="FWX113" s="33"/>
      <c r="FWY113" s="33"/>
      <c r="FWZ113" s="33"/>
      <c r="FXA113" s="33"/>
      <c r="FXB113" s="33"/>
      <c r="FXC113" s="33"/>
      <c r="FXD113" s="33"/>
      <c r="FXE113" s="33"/>
      <c r="FXF113" s="33"/>
      <c r="FXG113" s="33"/>
      <c r="FXH113" s="33"/>
      <c r="FXI113" s="33"/>
      <c r="FXJ113" s="33"/>
      <c r="FXK113" s="33"/>
      <c r="FXL113" s="33"/>
      <c r="FXM113" s="33"/>
      <c r="FXN113" s="33"/>
      <c r="FXO113" s="33"/>
      <c r="FXP113" s="33"/>
      <c r="FXQ113" s="33"/>
      <c r="FXR113" s="33"/>
      <c r="FXS113" s="33"/>
      <c r="FXT113" s="33"/>
      <c r="FXU113" s="33"/>
      <c r="FXV113" s="33"/>
      <c r="FXW113" s="33"/>
      <c r="FXX113" s="33"/>
      <c r="FXY113" s="33"/>
      <c r="FXZ113" s="33"/>
      <c r="FYA113" s="33"/>
      <c r="FYB113" s="33"/>
      <c r="FYC113" s="33"/>
      <c r="FYD113" s="33"/>
      <c r="FYE113" s="33"/>
      <c r="FYF113" s="33"/>
      <c r="FYG113" s="33"/>
      <c r="FYH113" s="33"/>
      <c r="FYI113" s="33"/>
      <c r="FYJ113" s="33"/>
      <c r="FYK113" s="33"/>
      <c r="FYL113" s="33"/>
      <c r="FYM113" s="33"/>
      <c r="FYN113" s="33"/>
      <c r="FYO113" s="33"/>
      <c r="FYP113" s="33"/>
      <c r="FYQ113" s="33"/>
      <c r="FYR113" s="33"/>
      <c r="FYS113" s="33"/>
      <c r="FYT113" s="33"/>
      <c r="FYU113" s="33"/>
      <c r="FYV113" s="33"/>
      <c r="FYW113" s="33"/>
      <c r="FYX113" s="33"/>
      <c r="FYY113" s="33"/>
      <c r="FYZ113" s="33"/>
      <c r="FZA113" s="33"/>
      <c r="FZB113" s="33"/>
      <c r="FZC113" s="33"/>
      <c r="FZD113" s="33"/>
      <c r="FZE113" s="33"/>
      <c r="FZF113" s="33"/>
      <c r="FZG113" s="33"/>
      <c r="FZH113" s="33"/>
      <c r="FZI113" s="33"/>
      <c r="FZJ113" s="33"/>
      <c r="FZK113" s="33"/>
      <c r="FZL113" s="33"/>
      <c r="FZM113" s="33"/>
      <c r="FZN113" s="33"/>
      <c r="FZO113" s="33"/>
      <c r="FZP113" s="33"/>
      <c r="FZQ113" s="33"/>
      <c r="FZR113" s="33"/>
      <c r="FZS113" s="33"/>
      <c r="FZT113" s="33"/>
      <c r="FZU113" s="33"/>
      <c r="FZV113" s="33"/>
      <c r="FZW113" s="33"/>
      <c r="FZX113" s="33"/>
      <c r="FZY113" s="33"/>
      <c r="FZZ113" s="33"/>
      <c r="GAA113" s="33"/>
      <c r="GAB113" s="33"/>
      <c r="GAC113" s="33"/>
      <c r="GAD113" s="33"/>
      <c r="GAE113" s="33"/>
      <c r="GAF113" s="33"/>
      <c r="GAG113" s="33"/>
      <c r="GAH113" s="33"/>
      <c r="GAI113" s="33"/>
      <c r="GAJ113" s="33"/>
      <c r="GAK113" s="33"/>
      <c r="GAL113" s="33"/>
      <c r="GAM113" s="33"/>
      <c r="GAN113" s="33"/>
      <c r="GAO113" s="33"/>
      <c r="GAP113" s="33"/>
      <c r="GAQ113" s="33"/>
      <c r="GAR113" s="33"/>
      <c r="GAS113" s="33"/>
      <c r="GAT113" s="33"/>
      <c r="GAU113" s="33"/>
      <c r="GAV113" s="33"/>
      <c r="GAW113" s="33"/>
      <c r="GAX113" s="33"/>
      <c r="GAY113" s="33"/>
      <c r="GAZ113" s="33"/>
      <c r="GBA113" s="33"/>
      <c r="GBB113" s="33"/>
      <c r="GBC113" s="33"/>
      <c r="GBD113" s="33"/>
      <c r="GBE113" s="33"/>
      <c r="GBF113" s="33"/>
      <c r="GBG113" s="33"/>
      <c r="GBH113" s="33"/>
      <c r="GBI113" s="33"/>
      <c r="GBJ113" s="33"/>
      <c r="GBK113" s="33"/>
      <c r="GBL113" s="33"/>
      <c r="GBM113" s="33"/>
      <c r="GBN113" s="33"/>
      <c r="GBO113" s="33"/>
      <c r="GBP113" s="33"/>
      <c r="GBQ113" s="33"/>
      <c r="GBR113" s="33"/>
      <c r="GBS113" s="33"/>
      <c r="GBT113" s="33"/>
      <c r="GBU113" s="33"/>
      <c r="GBV113" s="33"/>
      <c r="GBW113" s="33"/>
      <c r="GBX113" s="33"/>
      <c r="GBY113" s="33"/>
      <c r="GBZ113" s="33"/>
      <c r="GCA113" s="33"/>
      <c r="GCB113" s="33"/>
      <c r="GCC113" s="33"/>
      <c r="GCD113" s="33"/>
      <c r="GCE113" s="33"/>
      <c r="GCF113" s="33"/>
      <c r="GCG113" s="33"/>
      <c r="GCH113" s="33"/>
      <c r="GCI113" s="33"/>
      <c r="GCJ113" s="33"/>
      <c r="GCK113" s="33"/>
      <c r="GCL113" s="33"/>
      <c r="GCM113" s="33"/>
      <c r="GCN113" s="33"/>
      <c r="GCO113" s="33"/>
      <c r="GCP113" s="33"/>
      <c r="GCQ113" s="33"/>
      <c r="GCR113" s="33"/>
      <c r="GCS113" s="33"/>
      <c r="GCT113" s="33"/>
      <c r="GCU113" s="33"/>
      <c r="GCV113" s="33"/>
      <c r="GCW113" s="33"/>
      <c r="GCX113" s="33"/>
      <c r="GCY113" s="33"/>
      <c r="GCZ113" s="33"/>
      <c r="GDA113" s="33"/>
      <c r="GDB113" s="33"/>
      <c r="GDC113" s="33"/>
      <c r="GDD113" s="33"/>
      <c r="GDE113" s="33"/>
      <c r="GDF113" s="33"/>
      <c r="GDG113" s="33"/>
      <c r="GDH113" s="33"/>
      <c r="GDI113" s="33"/>
      <c r="GDJ113" s="33"/>
      <c r="GDK113" s="33"/>
      <c r="GDL113" s="33"/>
      <c r="GDM113" s="33"/>
      <c r="GDN113" s="33"/>
      <c r="GDO113" s="33"/>
      <c r="GDP113" s="33"/>
      <c r="GDQ113" s="33"/>
      <c r="GDR113" s="33"/>
      <c r="GDS113" s="33"/>
      <c r="GDT113" s="33"/>
      <c r="GDU113" s="33"/>
      <c r="GDV113" s="33"/>
      <c r="GDW113" s="33"/>
      <c r="GDX113" s="33"/>
      <c r="GDY113" s="33"/>
      <c r="GDZ113" s="33"/>
      <c r="GEA113" s="33"/>
      <c r="GEB113" s="33"/>
      <c r="GEC113" s="33"/>
      <c r="GED113" s="33"/>
      <c r="GEE113" s="33"/>
      <c r="GEF113" s="33"/>
      <c r="GEG113" s="33"/>
      <c r="GEH113" s="33"/>
      <c r="GEI113" s="33"/>
      <c r="GEJ113" s="33"/>
      <c r="GEK113" s="33"/>
      <c r="GEL113" s="33"/>
      <c r="GEM113" s="33"/>
      <c r="GEN113" s="33"/>
      <c r="GEO113" s="33"/>
      <c r="GEP113" s="33"/>
      <c r="GEQ113" s="33"/>
      <c r="GER113" s="33"/>
      <c r="GES113" s="33"/>
      <c r="GET113" s="33"/>
      <c r="GEU113" s="33"/>
      <c r="GEV113" s="33"/>
      <c r="GEW113" s="33"/>
      <c r="GEX113" s="33"/>
      <c r="GEY113" s="33"/>
      <c r="GEZ113" s="33"/>
      <c r="GFA113" s="33"/>
      <c r="GFB113" s="33"/>
      <c r="GFC113" s="33"/>
      <c r="GFD113" s="33"/>
      <c r="GFE113" s="33"/>
      <c r="GFF113" s="33"/>
      <c r="GFG113" s="33"/>
      <c r="GFH113" s="33"/>
      <c r="GFI113" s="33"/>
      <c r="GFJ113" s="33"/>
      <c r="GFK113" s="33"/>
      <c r="GFL113" s="33"/>
      <c r="GFM113" s="33"/>
      <c r="GFN113" s="33"/>
      <c r="GFO113" s="33"/>
      <c r="GFP113" s="33"/>
      <c r="GFQ113" s="33"/>
      <c r="GFR113" s="33"/>
      <c r="GFS113" s="33"/>
      <c r="GFT113" s="33"/>
      <c r="GFU113" s="33"/>
      <c r="GFV113" s="33"/>
      <c r="GFW113" s="33"/>
      <c r="GFX113" s="33"/>
      <c r="GFY113" s="33"/>
      <c r="GFZ113" s="33"/>
      <c r="GGA113" s="33"/>
      <c r="GGB113" s="33"/>
      <c r="GGC113" s="33"/>
      <c r="GGD113" s="33"/>
      <c r="GGE113" s="33"/>
      <c r="GGF113" s="33"/>
      <c r="GGG113" s="33"/>
      <c r="GGH113" s="33"/>
      <c r="GGI113" s="33"/>
      <c r="GGJ113" s="33"/>
      <c r="GGK113" s="33"/>
      <c r="GGL113" s="33"/>
      <c r="GGM113" s="33"/>
      <c r="GGN113" s="33"/>
      <c r="GGO113" s="33"/>
      <c r="GGP113" s="33"/>
      <c r="GGQ113" s="33"/>
      <c r="GGR113" s="33"/>
      <c r="GGS113" s="33"/>
      <c r="GGT113" s="33"/>
      <c r="GGU113" s="33"/>
      <c r="GGV113" s="33"/>
      <c r="GGW113" s="33"/>
      <c r="GGX113" s="33"/>
      <c r="GGY113" s="33"/>
      <c r="GGZ113" s="33"/>
      <c r="GHA113" s="33"/>
      <c r="GHB113" s="33"/>
      <c r="GHC113" s="33"/>
      <c r="GHD113" s="33"/>
      <c r="GHE113" s="33"/>
      <c r="GHF113" s="33"/>
      <c r="GHG113" s="33"/>
      <c r="GHH113" s="33"/>
      <c r="GHI113" s="33"/>
      <c r="GHJ113" s="33"/>
      <c r="GHK113" s="33"/>
      <c r="GHL113" s="33"/>
      <c r="GHM113" s="33"/>
      <c r="GHN113" s="33"/>
      <c r="GHO113" s="33"/>
      <c r="GHP113" s="33"/>
      <c r="GHQ113" s="33"/>
      <c r="GHR113" s="33"/>
      <c r="GHS113" s="33"/>
      <c r="GHT113" s="33"/>
      <c r="GHU113" s="33"/>
      <c r="GHV113" s="33"/>
      <c r="GHW113" s="33"/>
      <c r="GHX113" s="33"/>
      <c r="GHY113" s="33"/>
      <c r="GHZ113" s="33"/>
      <c r="GIA113" s="33"/>
      <c r="GIB113" s="33"/>
      <c r="GIC113" s="33"/>
      <c r="GID113" s="33"/>
      <c r="GIE113" s="33"/>
      <c r="GIF113" s="33"/>
      <c r="GIG113" s="33"/>
      <c r="GIH113" s="33"/>
      <c r="GII113" s="33"/>
      <c r="GIJ113" s="33"/>
      <c r="GIK113" s="33"/>
      <c r="GIL113" s="33"/>
      <c r="GIM113" s="33"/>
      <c r="GIN113" s="33"/>
      <c r="GIO113" s="33"/>
      <c r="GIP113" s="33"/>
      <c r="GIQ113" s="33"/>
      <c r="GIR113" s="33"/>
      <c r="GIS113" s="33"/>
      <c r="GIT113" s="33"/>
      <c r="GIU113" s="33"/>
      <c r="GIV113" s="33"/>
      <c r="GIW113" s="33"/>
      <c r="GIX113" s="33"/>
      <c r="GIY113" s="33"/>
      <c r="GIZ113" s="33"/>
      <c r="GJA113" s="33"/>
      <c r="GJB113" s="33"/>
      <c r="GJC113" s="33"/>
      <c r="GJD113" s="33"/>
      <c r="GJE113" s="33"/>
      <c r="GJF113" s="33"/>
      <c r="GJG113" s="33"/>
      <c r="GJH113" s="33"/>
      <c r="GJI113" s="33"/>
      <c r="GJJ113" s="33"/>
      <c r="GJK113" s="33"/>
      <c r="GJL113" s="33"/>
      <c r="GJM113" s="33"/>
      <c r="GJN113" s="33"/>
      <c r="GJO113" s="33"/>
      <c r="GJP113" s="33"/>
      <c r="GJQ113" s="33"/>
      <c r="GJR113" s="33"/>
      <c r="GJS113" s="33"/>
      <c r="GJT113" s="33"/>
      <c r="GJU113" s="33"/>
      <c r="GJV113" s="33"/>
      <c r="GJW113" s="33"/>
      <c r="GJX113" s="33"/>
      <c r="GJY113" s="33"/>
      <c r="GJZ113" s="33"/>
      <c r="GKA113" s="33"/>
      <c r="GKB113" s="33"/>
      <c r="GKC113" s="33"/>
      <c r="GKD113" s="33"/>
      <c r="GKE113" s="33"/>
      <c r="GKF113" s="33"/>
      <c r="GKG113" s="33"/>
      <c r="GKH113" s="33"/>
      <c r="GKI113" s="33"/>
      <c r="GKJ113" s="33"/>
      <c r="GKK113" s="33"/>
      <c r="GKL113" s="33"/>
      <c r="GKM113" s="33"/>
      <c r="GKN113" s="33"/>
      <c r="GKO113" s="33"/>
      <c r="GKP113" s="33"/>
      <c r="GKQ113" s="33"/>
      <c r="GKR113" s="33"/>
      <c r="GKS113" s="33"/>
      <c r="GKT113" s="33"/>
      <c r="GKU113" s="33"/>
      <c r="GKV113" s="33"/>
      <c r="GKW113" s="33"/>
      <c r="GKX113" s="33"/>
      <c r="GKY113" s="33"/>
      <c r="GKZ113" s="33"/>
      <c r="GLA113" s="33"/>
      <c r="GLB113" s="33"/>
      <c r="GLC113" s="33"/>
      <c r="GLD113" s="33"/>
      <c r="GLE113" s="33"/>
      <c r="GLF113" s="33"/>
      <c r="GLG113" s="33"/>
      <c r="GLH113" s="33"/>
      <c r="GLI113" s="33"/>
      <c r="GLJ113" s="33"/>
      <c r="GLK113" s="33"/>
      <c r="GLL113" s="33"/>
      <c r="GLM113" s="33"/>
      <c r="GLN113" s="33"/>
      <c r="GLO113" s="33"/>
      <c r="GLP113" s="33"/>
      <c r="GLQ113" s="33"/>
      <c r="GLR113" s="33"/>
      <c r="GLS113" s="33"/>
      <c r="GLT113" s="33"/>
      <c r="GLU113" s="33"/>
      <c r="GLV113" s="33"/>
      <c r="GLW113" s="33"/>
      <c r="GLX113" s="33"/>
      <c r="GLY113" s="33"/>
      <c r="GLZ113" s="33"/>
      <c r="GMA113" s="33"/>
      <c r="GMB113" s="33"/>
      <c r="GMC113" s="33"/>
      <c r="GMD113" s="33"/>
      <c r="GME113" s="33"/>
      <c r="GMF113" s="33"/>
      <c r="GMG113" s="33"/>
      <c r="GMH113" s="33"/>
      <c r="GMI113" s="33"/>
      <c r="GMJ113" s="33"/>
      <c r="GMK113" s="33"/>
      <c r="GML113" s="33"/>
      <c r="GMM113" s="33"/>
      <c r="GMN113" s="33"/>
      <c r="GMO113" s="33"/>
      <c r="GMP113" s="33"/>
      <c r="GMQ113" s="33"/>
      <c r="GMR113" s="33"/>
      <c r="GMS113" s="33"/>
      <c r="GMT113" s="33"/>
      <c r="GMU113" s="33"/>
      <c r="GMV113" s="33"/>
      <c r="GMW113" s="33"/>
      <c r="GMX113" s="33"/>
      <c r="GMY113" s="33"/>
      <c r="GMZ113" s="33"/>
      <c r="GNA113" s="33"/>
      <c r="GNB113" s="33"/>
      <c r="GNC113" s="33"/>
      <c r="GND113" s="33"/>
      <c r="GNE113" s="33"/>
      <c r="GNF113" s="33"/>
      <c r="GNG113" s="33"/>
      <c r="GNH113" s="33"/>
      <c r="GNI113" s="33"/>
      <c r="GNJ113" s="33"/>
      <c r="GNK113" s="33"/>
      <c r="GNL113" s="33"/>
      <c r="GNM113" s="33"/>
      <c r="GNN113" s="33"/>
      <c r="GNO113" s="33"/>
      <c r="GNP113" s="33"/>
      <c r="GNQ113" s="33"/>
      <c r="GNR113" s="33"/>
      <c r="GNS113" s="33"/>
      <c r="GNT113" s="33"/>
      <c r="GNU113" s="33"/>
      <c r="GNV113" s="33"/>
      <c r="GNW113" s="33"/>
      <c r="GNX113" s="33"/>
      <c r="GNY113" s="33"/>
      <c r="GNZ113" s="33"/>
      <c r="GOA113" s="33"/>
      <c r="GOB113" s="33"/>
      <c r="GOC113" s="33"/>
      <c r="GOD113" s="33"/>
      <c r="GOE113" s="33"/>
      <c r="GOF113" s="33"/>
      <c r="GOG113" s="33"/>
      <c r="GOH113" s="33"/>
      <c r="GOI113" s="33"/>
      <c r="GOJ113" s="33"/>
      <c r="GOK113" s="33"/>
      <c r="GOL113" s="33"/>
      <c r="GOM113" s="33"/>
      <c r="GON113" s="33"/>
      <c r="GOO113" s="33"/>
      <c r="GOP113" s="33"/>
      <c r="GOQ113" s="33"/>
      <c r="GOR113" s="33"/>
      <c r="GOS113" s="33"/>
      <c r="GOT113" s="33"/>
      <c r="GOU113" s="33"/>
      <c r="GOV113" s="33"/>
      <c r="GOW113" s="33"/>
      <c r="GOX113" s="33"/>
      <c r="GOY113" s="33"/>
      <c r="GOZ113" s="33"/>
      <c r="GPA113" s="33"/>
      <c r="GPB113" s="33"/>
      <c r="GPC113" s="33"/>
      <c r="GPD113" s="33"/>
      <c r="GPE113" s="33"/>
      <c r="GPF113" s="33"/>
      <c r="GPG113" s="33"/>
      <c r="GPH113" s="33"/>
      <c r="GPI113" s="33"/>
      <c r="GPJ113" s="33"/>
      <c r="GPK113" s="33"/>
      <c r="GPL113" s="33"/>
      <c r="GPM113" s="33"/>
      <c r="GPN113" s="33"/>
      <c r="GPO113" s="33"/>
      <c r="GPP113" s="33"/>
      <c r="GPQ113" s="33"/>
      <c r="GPR113" s="33"/>
      <c r="GPS113" s="33"/>
      <c r="GPT113" s="33"/>
      <c r="GPU113" s="33"/>
      <c r="GPV113" s="33"/>
      <c r="GPW113" s="33"/>
      <c r="GPX113" s="33"/>
      <c r="GPY113" s="33"/>
      <c r="GPZ113" s="33"/>
      <c r="GQA113" s="33"/>
      <c r="GQB113" s="33"/>
      <c r="GQC113" s="33"/>
      <c r="GQD113" s="33"/>
      <c r="GQE113" s="33"/>
      <c r="GQF113" s="33"/>
      <c r="GQG113" s="33"/>
      <c r="GQH113" s="33"/>
      <c r="GQI113" s="33"/>
      <c r="GQJ113" s="33"/>
      <c r="GQK113" s="33"/>
      <c r="GQL113" s="33"/>
      <c r="GQM113" s="33"/>
      <c r="GQN113" s="33"/>
      <c r="GQO113" s="33"/>
      <c r="GQP113" s="33"/>
      <c r="GQQ113" s="33"/>
      <c r="GQR113" s="33"/>
      <c r="GQS113" s="33"/>
      <c r="GQT113" s="33"/>
      <c r="GQU113" s="33"/>
      <c r="GQV113" s="33"/>
      <c r="GQW113" s="33"/>
      <c r="GQX113" s="33"/>
      <c r="GQY113" s="33"/>
      <c r="GQZ113" s="33"/>
      <c r="GRA113" s="33"/>
      <c r="GRB113" s="33"/>
      <c r="GRC113" s="33"/>
      <c r="GRD113" s="33"/>
      <c r="GRE113" s="33"/>
      <c r="GRF113" s="33"/>
      <c r="GRG113" s="33"/>
      <c r="GRH113" s="33"/>
      <c r="GRI113" s="33"/>
      <c r="GRJ113" s="33"/>
      <c r="GRK113" s="33"/>
      <c r="GRL113" s="33"/>
      <c r="GRM113" s="33"/>
      <c r="GRN113" s="33"/>
      <c r="GRO113" s="33"/>
      <c r="GRP113" s="33"/>
      <c r="GRQ113" s="33"/>
      <c r="GRR113" s="33"/>
      <c r="GRS113" s="33"/>
      <c r="GRT113" s="33"/>
      <c r="GRU113" s="33"/>
      <c r="GRV113" s="33"/>
      <c r="GRW113" s="33"/>
      <c r="GRX113" s="33"/>
      <c r="GRY113" s="33"/>
      <c r="GRZ113" s="33"/>
      <c r="GSA113" s="33"/>
      <c r="GSB113" s="33"/>
      <c r="GSC113" s="33"/>
      <c r="GSD113" s="33"/>
      <c r="GSE113" s="33"/>
      <c r="GSF113" s="33"/>
      <c r="GSG113" s="33"/>
      <c r="GSH113" s="33"/>
      <c r="GSI113" s="33"/>
      <c r="GSJ113" s="33"/>
      <c r="GSK113" s="33"/>
      <c r="GSL113" s="33"/>
      <c r="GSM113" s="33"/>
      <c r="GSN113" s="33"/>
      <c r="GSO113" s="33"/>
      <c r="GSP113" s="33"/>
      <c r="GSQ113" s="33"/>
      <c r="GSR113" s="33"/>
      <c r="GSS113" s="33"/>
      <c r="GST113" s="33"/>
      <c r="GSU113" s="33"/>
      <c r="GSV113" s="33"/>
      <c r="GSW113" s="33"/>
      <c r="GSX113" s="33"/>
      <c r="GSY113" s="33"/>
      <c r="GSZ113" s="33"/>
      <c r="GTA113" s="33"/>
      <c r="GTB113" s="33"/>
      <c r="GTC113" s="33"/>
      <c r="GTD113" s="33"/>
      <c r="GTE113" s="33"/>
      <c r="GTF113" s="33"/>
      <c r="GTG113" s="33"/>
      <c r="GTH113" s="33"/>
      <c r="GTI113" s="33"/>
      <c r="GTJ113" s="33"/>
      <c r="GTK113" s="33"/>
      <c r="GTL113" s="33"/>
      <c r="GTM113" s="33"/>
      <c r="GTN113" s="33"/>
      <c r="GTO113" s="33"/>
      <c r="GTP113" s="33"/>
      <c r="GTQ113" s="33"/>
      <c r="GTR113" s="33"/>
      <c r="GTS113" s="33"/>
      <c r="GTT113" s="33"/>
      <c r="GTU113" s="33"/>
      <c r="GTV113" s="33"/>
      <c r="GTW113" s="33"/>
      <c r="GTX113" s="33"/>
      <c r="GTY113" s="33"/>
      <c r="GTZ113" s="33"/>
      <c r="GUA113" s="33"/>
      <c r="GUB113" s="33"/>
      <c r="GUC113" s="33"/>
      <c r="GUD113" s="33"/>
      <c r="GUE113" s="33"/>
      <c r="GUF113" s="33"/>
      <c r="GUG113" s="33"/>
      <c r="GUH113" s="33"/>
      <c r="GUI113" s="33"/>
      <c r="GUJ113" s="33"/>
      <c r="GUK113" s="33"/>
      <c r="GUL113" s="33"/>
      <c r="GUM113" s="33"/>
      <c r="GUN113" s="33"/>
      <c r="GUO113" s="33"/>
      <c r="GUP113" s="33"/>
      <c r="GUQ113" s="33"/>
      <c r="GUR113" s="33"/>
      <c r="GUS113" s="33"/>
      <c r="GUT113" s="33"/>
      <c r="GUU113" s="33"/>
      <c r="GUV113" s="33"/>
      <c r="GUW113" s="33"/>
      <c r="GUX113" s="33"/>
      <c r="GUY113" s="33"/>
      <c r="GUZ113" s="33"/>
      <c r="GVA113" s="33"/>
      <c r="GVB113" s="33"/>
      <c r="GVC113" s="33"/>
      <c r="GVD113" s="33"/>
      <c r="GVE113" s="33"/>
      <c r="GVF113" s="33"/>
      <c r="GVG113" s="33"/>
      <c r="GVH113" s="33"/>
      <c r="GVI113" s="33"/>
      <c r="GVJ113" s="33"/>
      <c r="GVK113" s="33"/>
      <c r="GVL113" s="33"/>
      <c r="GVM113" s="33"/>
      <c r="GVN113" s="33"/>
      <c r="GVO113" s="33"/>
      <c r="GVP113" s="33"/>
      <c r="GVQ113" s="33"/>
      <c r="GVR113" s="33"/>
      <c r="GVS113" s="33"/>
      <c r="GVT113" s="33"/>
      <c r="GVU113" s="33"/>
      <c r="GVV113" s="33"/>
      <c r="GVW113" s="33"/>
      <c r="GVX113" s="33"/>
      <c r="GVY113" s="33"/>
      <c r="GVZ113" s="33"/>
      <c r="GWA113" s="33"/>
      <c r="GWB113" s="33"/>
      <c r="GWC113" s="33"/>
      <c r="GWD113" s="33"/>
      <c r="GWE113" s="33"/>
      <c r="GWF113" s="33"/>
      <c r="GWG113" s="33"/>
      <c r="GWH113" s="33"/>
      <c r="GWI113" s="33"/>
      <c r="GWJ113" s="33"/>
      <c r="GWK113" s="33"/>
      <c r="GWL113" s="33"/>
      <c r="GWM113" s="33"/>
      <c r="GWN113" s="33"/>
      <c r="GWO113" s="33"/>
      <c r="GWP113" s="33"/>
      <c r="GWQ113" s="33"/>
      <c r="GWR113" s="33"/>
      <c r="GWS113" s="33"/>
      <c r="GWT113" s="33"/>
      <c r="GWU113" s="33"/>
      <c r="GWV113" s="33"/>
      <c r="GWW113" s="33"/>
      <c r="GWX113" s="33"/>
      <c r="GWY113" s="33"/>
      <c r="GWZ113" s="33"/>
      <c r="GXA113" s="33"/>
      <c r="GXB113" s="33"/>
      <c r="GXC113" s="33"/>
      <c r="GXD113" s="33"/>
      <c r="GXE113" s="33"/>
      <c r="GXF113" s="33"/>
      <c r="GXG113" s="33"/>
      <c r="GXH113" s="33"/>
      <c r="GXI113" s="33"/>
      <c r="GXJ113" s="33"/>
      <c r="GXK113" s="33"/>
      <c r="GXL113" s="33"/>
      <c r="GXM113" s="33"/>
      <c r="GXN113" s="33"/>
      <c r="GXO113" s="33"/>
      <c r="GXP113" s="33"/>
      <c r="GXQ113" s="33"/>
      <c r="GXR113" s="33"/>
      <c r="GXS113" s="33"/>
      <c r="GXT113" s="33"/>
      <c r="GXU113" s="33"/>
      <c r="GXV113" s="33"/>
      <c r="GXW113" s="33"/>
      <c r="GXX113" s="33"/>
      <c r="GXY113" s="33"/>
      <c r="GXZ113" s="33"/>
      <c r="GYA113" s="33"/>
      <c r="GYB113" s="33"/>
      <c r="GYC113" s="33"/>
      <c r="GYD113" s="33"/>
      <c r="GYE113" s="33"/>
      <c r="GYF113" s="33"/>
      <c r="GYG113" s="33"/>
      <c r="GYH113" s="33"/>
      <c r="GYI113" s="33"/>
      <c r="GYJ113" s="33"/>
      <c r="GYK113" s="33"/>
      <c r="GYL113" s="33"/>
      <c r="GYM113" s="33"/>
      <c r="GYN113" s="33"/>
      <c r="GYO113" s="33"/>
      <c r="GYP113" s="33"/>
      <c r="GYQ113" s="33"/>
      <c r="GYR113" s="33"/>
      <c r="GYS113" s="33"/>
      <c r="GYT113" s="33"/>
      <c r="GYU113" s="33"/>
      <c r="GYV113" s="33"/>
      <c r="GYW113" s="33"/>
      <c r="GYX113" s="33"/>
      <c r="GYY113" s="33"/>
      <c r="GYZ113" s="33"/>
      <c r="GZA113" s="33"/>
      <c r="GZB113" s="33"/>
      <c r="GZC113" s="33"/>
      <c r="GZD113" s="33"/>
      <c r="GZE113" s="33"/>
      <c r="GZF113" s="33"/>
      <c r="GZG113" s="33"/>
      <c r="GZH113" s="33"/>
      <c r="GZI113" s="33"/>
      <c r="GZJ113" s="33"/>
      <c r="GZK113" s="33"/>
      <c r="GZL113" s="33"/>
      <c r="GZM113" s="33"/>
      <c r="GZN113" s="33"/>
      <c r="GZO113" s="33"/>
      <c r="GZP113" s="33"/>
      <c r="GZQ113" s="33"/>
      <c r="GZR113" s="33"/>
      <c r="GZS113" s="33"/>
      <c r="GZT113" s="33"/>
      <c r="GZU113" s="33"/>
      <c r="GZV113" s="33"/>
      <c r="GZW113" s="33"/>
      <c r="GZX113" s="33"/>
      <c r="GZY113" s="33"/>
      <c r="GZZ113" s="33"/>
      <c r="HAA113" s="33"/>
      <c r="HAB113" s="33"/>
      <c r="HAC113" s="33"/>
      <c r="HAD113" s="33"/>
      <c r="HAE113" s="33"/>
      <c r="HAF113" s="33"/>
      <c r="HAG113" s="33"/>
      <c r="HAH113" s="33"/>
      <c r="HAI113" s="33"/>
      <c r="HAJ113" s="33"/>
      <c r="HAK113" s="33"/>
      <c r="HAL113" s="33"/>
      <c r="HAM113" s="33"/>
      <c r="HAN113" s="33"/>
      <c r="HAO113" s="33"/>
      <c r="HAP113" s="33"/>
      <c r="HAQ113" s="33"/>
      <c r="HAR113" s="33"/>
      <c r="HAS113" s="33"/>
      <c r="HAT113" s="33"/>
      <c r="HAU113" s="33"/>
      <c r="HAV113" s="33"/>
      <c r="HAW113" s="33"/>
      <c r="HAX113" s="33"/>
      <c r="HAY113" s="33"/>
      <c r="HAZ113" s="33"/>
      <c r="HBA113" s="33"/>
      <c r="HBB113" s="33"/>
      <c r="HBC113" s="33"/>
      <c r="HBD113" s="33"/>
      <c r="HBE113" s="33"/>
      <c r="HBF113" s="33"/>
      <c r="HBG113" s="33"/>
      <c r="HBH113" s="33"/>
      <c r="HBI113" s="33"/>
      <c r="HBJ113" s="33"/>
      <c r="HBK113" s="33"/>
      <c r="HBL113" s="33"/>
      <c r="HBM113" s="33"/>
      <c r="HBN113" s="33"/>
      <c r="HBO113" s="33"/>
      <c r="HBP113" s="33"/>
      <c r="HBQ113" s="33"/>
      <c r="HBR113" s="33"/>
      <c r="HBS113" s="33"/>
      <c r="HBT113" s="33"/>
      <c r="HBU113" s="33"/>
      <c r="HBV113" s="33"/>
      <c r="HBW113" s="33"/>
      <c r="HBX113" s="33"/>
      <c r="HBY113" s="33"/>
      <c r="HBZ113" s="33"/>
      <c r="HCA113" s="33"/>
      <c r="HCB113" s="33"/>
      <c r="HCC113" s="33"/>
      <c r="HCD113" s="33"/>
      <c r="HCE113" s="33"/>
      <c r="HCF113" s="33"/>
      <c r="HCG113" s="33"/>
      <c r="HCH113" s="33"/>
      <c r="HCI113" s="33"/>
      <c r="HCJ113" s="33"/>
      <c r="HCK113" s="33"/>
      <c r="HCL113" s="33"/>
      <c r="HCM113" s="33"/>
      <c r="HCN113" s="33"/>
      <c r="HCO113" s="33"/>
      <c r="HCP113" s="33"/>
      <c r="HCQ113" s="33"/>
      <c r="HCR113" s="33"/>
      <c r="HCS113" s="33"/>
      <c r="HCT113" s="33"/>
      <c r="HCU113" s="33"/>
      <c r="HCV113" s="33"/>
      <c r="HCW113" s="33"/>
      <c r="HCX113" s="33"/>
      <c r="HCY113" s="33"/>
      <c r="HCZ113" s="33"/>
      <c r="HDA113" s="33"/>
      <c r="HDB113" s="33"/>
      <c r="HDC113" s="33"/>
      <c r="HDD113" s="33"/>
      <c r="HDE113" s="33"/>
      <c r="HDF113" s="33"/>
      <c r="HDG113" s="33"/>
      <c r="HDH113" s="33"/>
      <c r="HDI113" s="33"/>
      <c r="HDJ113" s="33"/>
      <c r="HDK113" s="33"/>
      <c r="HDL113" s="33"/>
      <c r="HDM113" s="33"/>
      <c r="HDN113" s="33"/>
      <c r="HDO113" s="33"/>
      <c r="HDP113" s="33"/>
      <c r="HDQ113" s="33"/>
      <c r="HDR113" s="33"/>
      <c r="HDS113" s="33"/>
      <c r="HDT113" s="33"/>
      <c r="HDU113" s="33"/>
      <c r="HDV113" s="33"/>
      <c r="HDW113" s="33"/>
      <c r="HDX113" s="33"/>
      <c r="HDY113" s="33"/>
      <c r="HDZ113" s="33"/>
      <c r="HEA113" s="33"/>
      <c r="HEB113" s="33"/>
      <c r="HEC113" s="33"/>
      <c r="HED113" s="33"/>
      <c r="HEE113" s="33"/>
      <c r="HEF113" s="33"/>
      <c r="HEG113" s="33"/>
      <c r="HEH113" s="33"/>
      <c r="HEI113" s="33"/>
      <c r="HEJ113" s="33"/>
      <c r="HEK113" s="33"/>
      <c r="HEL113" s="33"/>
      <c r="HEM113" s="33"/>
      <c r="HEN113" s="33"/>
      <c r="HEO113" s="33"/>
      <c r="HEP113" s="33"/>
      <c r="HEQ113" s="33"/>
      <c r="HER113" s="33"/>
      <c r="HES113" s="33"/>
      <c r="HET113" s="33"/>
      <c r="HEU113" s="33"/>
      <c r="HEV113" s="33"/>
      <c r="HEW113" s="33"/>
      <c r="HEX113" s="33"/>
      <c r="HEY113" s="33"/>
      <c r="HEZ113" s="33"/>
      <c r="HFA113" s="33"/>
      <c r="HFB113" s="33"/>
      <c r="HFC113" s="33"/>
      <c r="HFD113" s="33"/>
      <c r="HFE113" s="33"/>
      <c r="HFF113" s="33"/>
      <c r="HFG113" s="33"/>
      <c r="HFH113" s="33"/>
      <c r="HFI113" s="33"/>
      <c r="HFJ113" s="33"/>
      <c r="HFK113" s="33"/>
      <c r="HFL113" s="33"/>
      <c r="HFM113" s="33"/>
      <c r="HFN113" s="33"/>
      <c r="HFO113" s="33"/>
      <c r="HFP113" s="33"/>
      <c r="HFQ113" s="33"/>
      <c r="HFR113" s="33"/>
      <c r="HFS113" s="33"/>
      <c r="HFT113" s="33"/>
      <c r="HFU113" s="33"/>
      <c r="HFV113" s="33"/>
      <c r="HFW113" s="33"/>
      <c r="HFX113" s="33"/>
      <c r="HFY113" s="33"/>
      <c r="HFZ113" s="33"/>
      <c r="HGA113" s="33"/>
      <c r="HGB113" s="33"/>
      <c r="HGC113" s="33"/>
      <c r="HGD113" s="33"/>
      <c r="HGE113" s="33"/>
      <c r="HGF113" s="33"/>
      <c r="HGG113" s="33"/>
      <c r="HGH113" s="33"/>
      <c r="HGI113" s="33"/>
      <c r="HGJ113" s="33"/>
      <c r="HGK113" s="33"/>
      <c r="HGL113" s="33"/>
      <c r="HGM113" s="33"/>
      <c r="HGN113" s="33"/>
      <c r="HGO113" s="33"/>
      <c r="HGP113" s="33"/>
      <c r="HGQ113" s="33"/>
      <c r="HGR113" s="33"/>
      <c r="HGS113" s="33"/>
      <c r="HGT113" s="33"/>
      <c r="HGU113" s="33"/>
      <c r="HGV113" s="33"/>
      <c r="HGW113" s="33"/>
      <c r="HGX113" s="33"/>
      <c r="HGY113" s="33"/>
      <c r="HGZ113" s="33"/>
      <c r="HHA113" s="33"/>
      <c r="HHB113" s="33"/>
      <c r="HHC113" s="33"/>
      <c r="HHD113" s="33"/>
      <c r="HHE113" s="33"/>
      <c r="HHF113" s="33"/>
      <c r="HHG113" s="33"/>
      <c r="HHH113" s="33"/>
      <c r="HHI113" s="33"/>
      <c r="HHJ113" s="33"/>
      <c r="HHK113" s="33"/>
      <c r="HHL113" s="33"/>
      <c r="HHM113" s="33"/>
      <c r="HHN113" s="33"/>
      <c r="HHO113" s="33"/>
      <c r="HHP113" s="33"/>
      <c r="HHQ113" s="33"/>
      <c r="HHR113" s="33"/>
      <c r="HHS113" s="33"/>
      <c r="HHT113" s="33"/>
      <c r="HHU113" s="33"/>
      <c r="HHV113" s="33"/>
      <c r="HHW113" s="33"/>
      <c r="HHX113" s="33"/>
      <c r="HHY113" s="33"/>
      <c r="HHZ113" s="33"/>
      <c r="HIA113" s="33"/>
      <c r="HIB113" s="33"/>
      <c r="HIC113" s="33"/>
      <c r="HID113" s="33"/>
      <c r="HIE113" s="33"/>
      <c r="HIF113" s="33"/>
      <c r="HIG113" s="33"/>
      <c r="HIH113" s="33"/>
      <c r="HII113" s="33"/>
      <c r="HIJ113" s="33"/>
      <c r="HIK113" s="33"/>
      <c r="HIL113" s="33"/>
      <c r="HIM113" s="33"/>
      <c r="HIN113" s="33"/>
      <c r="HIO113" s="33"/>
      <c r="HIP113" s="33"/>
      <c r="HIQ113" s="33"/>
      <c r="HIR113" s="33"/>
      <c r="HIS113" s="33"/>
      <c r="HIT113" s="33"/>
      <c r="HIU113" s="33"/>
      <c r="HIV113" s="33"/>
      <c r="HIW113" s="33"/>
      <c r="HIX113" s="33"/>
      <c r="HIY113" s="33"/>
      <c r="HIZ113" s="33"/>
      <c r="HJA113" s="33"/>
      <c r="HJB113" s="33"/>
      <c r="HJC113" s="33"/>
      <c r="HJD113" s="33"/>
      <c r="HJE113" s="33"/>
      <c r="HJF113" s="33"/>
      <c r="HJG113" s="33"/>
      <c r="HJH113" s="33"/>
      <c r="HJI113" s="33"/>
      <c r="HJJ113" s="33"/>
      <c r="HJK113" s="33"/>
      <c r="HJL113" s="33"/>
      <c r="HJM113" s="33"/>
      <c r="HJN113" s="33"/>
      <c r="HJO113" s="33"/>
      <c r="HJP113" s="33"/>
      <c r="HJQ113" s="33"/>
      <c r="HJR113" s="33"/>
      <c r="HJS113" s="33"/>
      <c r="HJT113" s="33"/>
      <c r="HJU113" s="33"/>
      <c r="HJV113" s="33"/>
      <c r="HJW113" s="33"/>
      <c r="HJX113" s="33"/>
      <c r="HJY113" s="33"/>
      <c r="HJZ113" s="33"/>
      <c r="HKA113" s="33"/>
      <c r="HKB113" s="33"/>
      <c r="HKC113" s="33"/>
      <c r="HKD113" s="33"/>
      <c r="HKE113" s="33"/>
      <c r="HKF113" s="33"/>
      <c r="HKG113" s="33"/>
      <c r="HKH113" s="33"/>
      <c r="HKI113" s="33"/>
      <c r="HKJ113" s="33"/>
      <c r="HKK113" s="33"/>
      <c r="HKL113" s="33"/>
      <c r="HKM113" s="33"/>
      <c r="HKN113" s="33"/>
      <c r="HKO113" s="33"/>
      <c r="HKP113" s="33"/>
      <c r="HKQ113" s="33"/>
      <c r="HKR113" s="33"/>
      <c r="HKS113" s="33"/>
      <c r="HKT113" s="33"/>
      <c r="HKU113" s="33"/>
      <c r="HKV113" s="33"/>
      <c r="HKW113" s="33"/>
      <c r="HKX113" s="33"/>
      <c r="HKY113" s="33"/>
      <c r="HKZ113" s="33"/>
      <c r="HLA113" s="33"/>
      <c r="HLB113" s="33"/>
      <c r="HLC113" s="33"/>
      <c r="HLD113" s="33"/>
      <c r="HLE113" s="33"/>
      <c r="HLF113" s="33"/>
      <c r="HLG113" s="33"/>
      <c r="HLH113" s="33"/>
      <c r="HLI113" s="33"/>
      <c r="HLJ113" s="33"/>
      <c r="HLK113" s="33"/>
      <c r="HLL113" s="33"/>
      <c r="HLM113" s="33"/>
      <c r="HLN113" s="33"/>
      <c r="HLO113" s="33"/>
      <c r="HLP113" s="33"/>
      <c r="HLQ113" s="33"/>
      <c r="HLR113" s="33"/>
      <c r="HLS113" s="33"/>
      <c r="HLT113" s="33"/>
      <c r="HLU113" s="33"/>
      <c r="HLV113" s="33"/>
      <c r="HLW113" s="33"/>
      <c r="HLX113" s="33"/>
      <c r="HLY113" s="33"/>
      <c r="HLZ113" s="33"/>
      <c r="HMA113" s="33"/>
      <c r="HMB113" s="33"/>
      <c r="HMC113" s="33"/>
      <c r="HMD113" s="33"/>
      <c r="HME113" s="33"/>
      <c r="HMF113" s="33"/>
      <c r="HMG113" s="33"/>
      <c r="HMH113" s="33"/>
      <c r="HMI113" s="33"/>
      <c r="HMJ113" s="33"/>
      <c r="HMK113" s="33"/>
      <c r="HML113" s="33"/>
      <c r="HMM113" s="33"/>
      <c r="HMN113" s="33"/>
      <c r="HMO113" s="33"/>
      <c r="HMP113" s="33"/>
      <c r="HMQ113" s="33"/>
      <c r="HMR113" s="33"/>
      <c r="HMS113" s="33"/>
      <c r="HMT113" s="33"/>
      <c r="HMU113" s="33"/>
      <c r="HMV113" s="33"/>
      <c r="HMW113" s="33"/>
      <c r="HMX113" s="33"/>
      <c r="HMY113" s="33"/>
      <c r="HMZ113" s="33"/>
      <c r="HNA113" s="33"/>
      <c r="HNB113" s="33"/>
      <c r="HNC113" s="33"/>
      <c r="HND113" s="33"/>
      <c r="HNE113" s="33"/>
      <c r="HNF113" s="33"/>
      <c r="HNG113" s="33"/>
      <c r="HNH113" s="33"/>
      <c r="HNI113" s="33"/>
      <c r="HNJ113" s="33"/>
      <c r="HNK113" s="33"/>
      <c r="HNL113" s="33"/>
      <c r="HNM113" s="33"/>
      <c r="HNN113" s="33"/>
      <c r="HNO113" s="33"/>
      <c r="HNP113" s="33"/>
      <c r="HNQ113" s="33"/>
      <c r="HNR113" s="33"/>
      <c r="HNS113" s="33"/>
      <c r="HNT113" s="33"/>
      <c r="HNU113" s="33"/>
      <c r="HNV113" s="33"/>
      <c r="HNW113" s="33"/>
      <c r="HNX113" s="33"/>
      <c r="HNY113" s="33"/>
      <c r="HNZ113" s="33"/>
      <c r="HOA113" s="33"/>
      <c r="HOB113" s="33"/>
      <c r="HOC113" s="33"/>
      <c r="HOD113" s="33"/>
      <c r="HOE113" s="33"/>
      <c r="HOF113" s="33"/>
      <c r="HOG113" s="33"/>
      <c r="HOH113" s="33"/>
      <c r="HOI113" s="33"/>
      <c r="HOJ113" s="33"/>
      <c r="HOK113" s="33"/>
      <c r="HOL113" s="33"/>
      <c r="HOM113" s="33"/>
      <c r="HON113" s="33"/>
      <c r="HOO113" s="33"/>
      <c r="HOP113" s="33"/>
      <c r="HOQ113" s="33"/>
      <c r="HOR113" s="33"/>
      <c r="HOS113" s="33"/>
      <c r="HOT113" s="33"/>
      <c r="HOU113" s="33"/>
      <c r="HOV113" s="33"/>
      <c r="HOW113" s="33"/>
      <c r="HOX113" s="33"/>
      <c r="HOY113" s="33"/>
      <c r="HOZ113" s="33"/>
      <c r="HPA113" s="33"/>
      <c r="HPB113" s="33"/>
      <c r="HPC113" s="33"/>
      <c r="HPD113" s="33"/>
      <c r="HPE113" s="33"/>
      <c r="HPF113" s="33"/>
      <c r="HPG113" s="33"/>
      <c r="HPH113" s="33"/>
      <c r="HPI113" s="33"/>
      <c r="HPJ113" s="33"/>
      <c r="HPK113" s="33"/>
      <c r="HPL113" s="33"/>
      <c r="HPM113" s="33"/>
      <c r="HPN113" s="33"/>
      <c r="HPO113" s="33"/>
      <c r="HPP113" s="33"/>
      <c r="HPQ113" s="33"/>
      <c r="HPR113" s="33"/>
      <c r="HPS113" s="33"/>
      <c r="HPT113" s="33"/>
      <c r="HPU113" s="33"/>
      <c r="HPV113" s="33"/>
      <c r="HPW113" s="33"/>
      <c r="HPX113" s="33"/>
      <c r="HPY113" s="33"/>
      <c r="HPZ113" s="33"/>
      <c r="HQA113" s="33"/>
      <c r="HQB113" s="33"/>
      <c r="HQC113" s="33"/>
      <c r="HQD113" s="33"/>
      <c r="HQE113" s="33"/>
      <c r="HQF113" s="33"/>
      <c r="HQG113" s="33"/>
      <c r="HQH113" s="33"/>
      <c r="HQI113" s="33"/>
      <c r="HQJ113" s="33"/>
      <c r="HQK113" s="33"/>
      <c r="HQL113" s="33"/>
      <c r="HQM113" s="33"/>
      <c r="HQN113" s="33"/>
      <c r="HQO113" s="33"/>
      <c r="HQP113" s="33"/>
      <c r="HQQ113" s="33"/>
      <c r="HQR113" s="33"/>
      <c r="HQS113" s="33"/>
      <c r="HQT113" s="33"/>
      <c r="HQU113" s="33"/>
      <c r="HQV113" s="33"/>
      <c r="HQW113" s="33"/>
      <c r="HQX113" s="33"/>
      <c r="HQY113" s="33"/>
      <c r="HQZ113" s="33"/>
      <c r="HRA113" s="33"/>
      <c r="HRB113" s="33"/>
      <c r="HRC113" s="33"/>
      <c r="HRD113" s="33"/>
      <c r="HRE113" s="33"/>
      <c r="HRF113" s="33"/>
      <c r="HRG113" s="33"/>
      <c r="HRH113" s="33"/>
      <c r="HRI113" s="33"/>
      <c r="HRJ113" s="33"/>
      <c r="HRK113" s="33"/>
      <c r="HRL113" s="33"/>
      <c r="HRM113" s="33"/>
      <c r="HRN113" s="33"/>
      <c r="HRO113" s="33"/>
      <c r="HRP113" s="33"/>
      <c r="HRQ113" s="33"/>
      <c r="HRR113" s="33"/>
      <c r="HRS113" s="33"/>
      <c r="HRT113" s="33"/>
      <c r="HRU113" s="33"/>
      <c r="HRV113" s="33"/>
      <c r="HRW113" s="33"/>
      <c r="HRX113" s="33"/>
      <c r="HRY113" s="33"/>
      <c r="HRZ113" s="33"/>
      <c r="HSA113" s="33"/>
      <c r="HSB113" s="33"/>
      <c r="HSC113" s="33"/>
      <c r="HSD113" s="33"/>
      <c r="HSE113" s="33"/>
      <c r="HSF113" s="33"/>
      <c r="HSG113" s="33"/>
      <c r="HSH113" s="33"/>
      <c r="HSI113" s="33"/>
      <c r="HSJ113" s="33"/>
      <c r="HSK113" s="33"/>
      <c r="HSL113" s="33"/>
      <c r="HSM113" s="33"/>
      <c r="HSN113" s="33"/>
      <c r="HSO113" s="33"/>
      <c r="HSP113" s="33"/>
      <c r="HSQ113" s="33"/>
      <c r="HSR113" s="33"/>
      <c r="HSS113" s="33"/>
      <c r="HST113" s="33"/>
      <c r="HSU113" s="33"/>
      <c r="HSV113" s="33"/>
      <c r="HSW113" s="33"/>
      <c r="HSX113" s="33"/>
      <c r="HSY113" s="33"/>
      <c r="HSZ113" s="33"/>
      <c r="HTA113" s="33"/>
      <c r="HTB113" s="33"/>
      <c r="HTC113" s="33"/>
      <c r="HTD113" s="33"/>
      <c r="HTE113" s="33"/>
      <c r="HTF113" s="33"/>
      <c r="HTG113" s="33"/>
      <c r="HTH113" s="33"/>
      <c r="HTI113" s="33"/>
      <c r="HTJ113" s="33"/>
      <c r="HTK113" s="33"/>
      <c r="HTL113" s="33"/>
      <c r="HTM113" s="33"/>
      <c r="HTN113" s="33"/>
      <c r="HTO113" s="33"/>
      <c r="HTP113" s="33"/>
      <c r="HTQ113" s="33"/>
      <c r="HTR113" s="33"/>
      <c r="HTS113" s="33"/>
      <c r="HTT113" s="33"/>
      <c r="HTU113" s="33"/>
      <c r="HTV113" s="33"/>
      <c r="HTW113" s="33"/>
      <c r="HTX113" s="33"/>
      <c r="HTY113" s="33"/>
      <c r="HTZ113" s="33"/>
      <c r="HUA113" s="33"/>
      <c r="HUB113" s="33"/>
      <c r="HUC113" s="33"/>
      <c r="HUD113" s="33"/>
      <c r="HUE113" s="33"/>
      <c r="HUF113" s="33"/>
      <c r="HUG113" s="33"/>
      <c r="HUH113" s="33"/>
      <c r="HUI113" s="33"/>
      <c r="HUJ113" s="33"/>
      <c r="HUK113" s="33"/>
      <c r="HUL113" s="33"/>
      <c r="HUM113" s="33"/>
      <c r="HUN113" s="33"/>
      <c r="HUO113" s="33"/>
      <c r="HUP113" s="33"/>
      <c r="HUQ113" s="33"/>
      <c r="HUR113" s="33"/>
      <c r="HUS113" s="33"/>
      <c r="HUT113" s="33"/>
      <c r="HUU113" s="33"/>
      <c r="HUV113" s="33"/>
      <c r="HUW113" s="33"/>
      <c r="HUX113" s="33"/>
      <c r="HUY113" s="33"/>
      <c r="HUZ113" s="33"/>
      <c r="HVA113" s="33"/>
      <c r="HVB113" s="33"/>
      <c r="HVC113" s="33"/>
      <c r="HVD113" s="33"/>
      <c r="HVE113" s="33"/>
      <c r="HVF113" s="33"/>
      <c r="HVG113" s="33"/>
      <c r="HVH113" s="33"/>
      <c r="HVI113" s="33"/>
      <c r="HVJ113" s="33"/>
      <c r="HVK113" s="33"/>
      <c r="HVL113" s="33"/>
      <c r="HVM113" s="33"/>
      <c r="HVN113" s="33"/>
      <c r="HVO113" s="33"/>
      <c r="HVP113" s="33"/>
      <c r="HVQ113" s="33"/>
      <c r="HVR113" s="33"/>
      <c r="HVS113" s="33"/>
      <c r="HVT113" s="33"/>
      <c r="HVU113" s="33"/>
      <c r="HVV113" s="33"/>
      <c r="HVW113" s="33"/>
      <c r="HVX113" s="33"/>
      <c r="HVY113" s="33"/>
      <c r="HVZ113" s="33"/>
      <c r="HWA113" s="33"/>
      <c r="HWB113" s="33"/>
      <c r="HWC113" s="33"/>
      <c r="HWD113" s="33"/>
      <c r="HWE113" s="33"/>
      <c r="HWF113" s="33"/>
      <c r="HWG113" s="33"/>
      <c r="HWH113" s="33"/>
      <c r="HWI113" s="33"/>
      <c r="HWJ113" s="33"/>
      <c r="HWK113" s="33"/>
      <c r="HWL113" s="33"/>
      <c r="HWM113" s="33"/>
      <c r="HWN113" s="33"/>
      <c r="HWO113" s="33"/>
      <c r="HWP113" s="33"/>
      <c r="HWQ113" s="33"/>
      <c r="HWR113" s="33"/>
      <c r="HWS113" s="33"/>
      <c r="HWT113" s="33"/>
      <c r="HWU113" s="33"/>
      <c r="HWV113" s="33"/>
      <c r="HWW113" s="33"/>
      <c r="HWX113" s="33"/>
      <c r="HWY113" s="33"/>
      <c r="HWZ113" s="33"/>
      <c r="HXA113" s="33"/>
      <c r="HXB113" s="33"/>
      <c r="HXC113" s="33"/>
      <c r="HXD113" s="33"/>
      <c r="HXE113" s="33"/>
      <c r="HXF113" s="33"/>
      <c r="HXG113" s="33"/>
      <c r="HXH113" s="33"/>
      <c r="HXI113" s="33"/>
      <c r="HXJ113" s="33"/>
      <c r="HXK113" s="33"/>
      <c r="HXL113" s="33"/>
      <c r="HXM113" s="33"/>
      <c r="HXN113" s="33"/>
      <c r="HXO113" s="33"/>
      <c r="HXP113" s="33"/>
      <c r="HXQ113" s="33"/>
      <c r="HXR113" s="33"/>
      <c r="HXS113" s="33"/>
      <c r="HXT113" s="33"/>
      <c r="HXU113" s="33"/>
      <c r="HXV113" s="33"/>
      <c r="HXW113" s="33"/>
      <c r="HXX113" s="33"/>
      <c r="HXY113" s="33"/>
      <c r="HXZ113" s="33"/>
      <c r="HYA113" s="33"/>
      <c r="HYB113" s="33"/>
      <c r="HYC113" s="33"/>
      <c r="HYD113" s="33"/>
      <c r="HYE113" s="33"/>
      <c r="HYF113" s="33"/>
      <c r="HYG113" s="33"/>
      <c r="HYH113" s="33"/>
      <c r="HYI113" s="33"/>
      <c r="HYJ113" s="33"/>
      <c r="HYK113" s="33"/>
      <c r="HYL113" s="33"/>
      <c r="HYM113" s="33"/>
      <c r="HYN113" s="33"/>
      <c r="HYO113" s="33"/>
      <c r="HYP113" s="33"/>
      <c r="HYQ113" s="33"/>
      <c r="HYR113" s="33"/>
      <c r="HYS113" s="33"/>
      <c r="HYT113" s="33"/>
      <c r="HYU113" s="33"/>
      <c r="HYV113" s="33"/>
      <c r="HYW113" s="33"/>
      <c r="HYX113" s="33"/>
      <c r="HYY113" s="33"/>
      <c r="HYZ113" s="33"/>
      <c r="HZA113" s="33"/>
      <c r="HZB113" s="33"/>
      <c r="HZC113" s="33"/>
      <c r="HZD113" s="33"/>
      <c r="HZE113" s="33"/>
      <c r="HZF113" s="33"/>
      <c r="HZG113" s="33"/>
      <c r="HZH113" s="33"/>
      <c r="HZI113" s="33"/>
      <c r="HZJ113" s="33"/>
      <c r="HZK113" s="33"/>
      <c r="HZL113" s="33"/>
      <c r="HZM113" s="33"/>
      <c r="HZN113" s="33"/>
      <c r="HZO113" s="33"/>
      <c r="HZP113" s="33"/>
      <c r="HZQ113" s="33"/>
      <c r="HZR113" s="33"/>
      <c r="HZS113" s="33"/>
      <c r="HZT113" s="33"/>
      <c r="HZU113" s="33"/>
      <c r="HZV113" s="33"/>
      <c r="HZW113" s="33"/>
      <c r="HZX113" s="33"/>
      <c r="HZY113" s="33"/>
      <c r="HZZ113" s="33"/>
      <c r="IAA113" s="33"/>
      <c r="IAB113" s="33"/>
      <c r="IAC113" s="33"/>
      <c r="IAD113" s="33"/>
      <c r="IAE113" s="33"/>
      <c r="IAF113" s="33"/>
      <c r="IAG113" s="33"/>
      <c r="IAH113" s="33"/>
      <c r="IAI113" s="33"/>
      <c r="IAJ113" s="33"/>
      <c r="IAK113" s="33"/>
      <c r="IAL113" s="33"/>
      <c r="IAM113" s="33"/>
      <c r="IAN113" s="33"/>
      <c r="IAO113" s="33"/>
      <c r="IAP113" s="33"/>
      <c r="IAQ113" s="33"/>
      <c r="IAR113" s="33"/>
      <c r="IAS113" s="33"/>
      <c r="IAT113" s="33"/>
      <c r="IAU113" s="33"/>
      <c r="IAV113" s="33"/>
      <c r="IAW113" s="33"/>
      <c r="IAX113" s="33"/>
      <c r="IAY113" s="33"/>
      <c r="IAZ113" s="33"/>
      <c r="IBA113" s="33"/>
      <c r="IBB113" s="33"/>
      <c r="IBC113" s="33"/>
      <c r="IBD113" s="33"/>
      <c r="IBE113" s="33"/>
      <c r="IBF113" s="33"/>
      <c r="IBG113" s="33"/>
      <c r="IBH113" s="33"/>
      <c r="IBI113" s="33"/>
      <c r="IBJ113" s="33"/>
      <c r="IBK113" s="33"/>
      <c r="IBL113" s="33"/>
      <c r="IBM113" s="33"/>
      <c r="IBN113" s="33"/>
      <c r="IBO113" s="33"/>
      <c r="IBP113" s="33"/>
      <c r="IBQ113" s="33"/>
      <c r="IBR113" s="33"/>
      <c r="IBS113" s="33"/>
      <c r="IBT113" s="33"/>
      <c r="IBU113" s="33"/>
      <c r="IBV113" s="33"/>
      <c r="IBW113" s="33"/>
      <c r="IBX113" s="33"/>
      <c r="IBY113" s="33"/>
      <c r="IBZ113" s="33"/>
      <c r="ICA113" s="33"/>
      <c r="ICB113" s="33"/>
      <c r="ICC113" s="33"/>
      <c r="ICD113" s="33"/>
      <c r="ICE113" s="33"/>
      <c r="ICF113" s="33"/>
      <c r="ICG113" s="33"/>
      <c r="ICH113" s="33"/>
      <c r="ICI113" s="33"/>
      <c r="ICJ113" s="33"/>
      <c r="ICK113" s="33"/>
      <c r="ICL113" s="33"/>
      <c r="ICM113" s="33"/>
      <c r="ICN113" s="33"/>
      <c r="ICO113" s="33"/>
      <c r="ICP113" s="33"/>
      <c r="ICQ113" s="33"/>
      <c r="ICR113" s="33"/>
      <c r="ICS113" s="33"/>
      <c r="ICT113" s="33"/>
      <c r="ICU113" s="33"/>
      <c r="ICV113" s="33"/>
      <c r="ICW113" s="33"/>
      <c r="ICX113" s="33"/>
      <c r="ICY113" s="33"/>
      <c r="ICZ113" s="33"/>
      <c r="IDA113" s="33"/>
      <c r="IDB113" s="33"/>
      <c r="IDC113" s="33"/>
      <c r="IDD113" s="33"/>
      <c r="IDE113" s="33"/>
      <c r="IDF113" s="33"/>
      <c r="IDG113" s="33"/>
      <c r="IDH113" s="33"/>
      <c r="IDI113" s="33"/>
      <c r="IDJ113" s="33"/>
      <c r="IDK113" s="33"/>
      <c r="IDL113" s="33"/>
      <c r="IDM113" s="33"/>
      <c r="IDN113" s="33"/>
      <c r="IDO113" s="33"/>
      <c r="IDP113" s="33"/>
      <c r="IDQ113" s="33"/>
      <c r="IDR113" s="33"/>
      <c r="IDS113" s="33"/>
      <c r="IDT113" s="33"/>
      <c r="IDU113" s="33"/>
      <c r="IDV113" s="33"/>
      <c r="IDW113" s="33"/>
      <c r="IDX113" s="33"/>
      <c r="IDY113" s="33"/>
      <c r="IDZ113" s="33"/>
      <c r="IEA113" s="33"/>
      <c r="IEB113" s="33"/>
      <c r="IEC113" s="33"/>
      <c r="IED113" s="33"/>
      <c r="IEE113" s="33"/>
      <c r="IEF113" s="33"/>
      <c r="IEG113" s="33"/>
      <c r="IEH113" s="33"/>
      <c r="IEI113" s="33"/>
      <c r="IEJ113" s="33"/>
      <c r="IEK113" s="33"/>
      <c r="IEL113" s="33"/>
      <c r="IEM113" s="33"/>
      <c r="IEN113" s="33"/>
      <c r="IEO113" s="33"/>
      <c r="IEP113" s="33"/>
      <c r="IEQ113" s="33"/>
      <c r="IER113" s="33"/>
      <c r="IES113" s="33"/>
      <c r="IET113" s="33"/>
      <c r="IEU113" s="33"/>
      <c r="IEV113" s="33"/>
      <c r="IEW113" s="33"/>
      <c r="IEX113" s="33"/>
      <c r="IEY113" s="33"/>
      <c r="IEZ113" s="33"/>
      <c r="IFA113" s="33"/>
      <c r="IFB113" s="33"/>
      <c r="IFC113" s="33"/>
      <c r="IFD113" s="33"/>
      <c r="IFE113" s="33"/>
      <c r="IFF113" s="33"/>
      <c r="IFG113" s="33"/>
      <c r="IFH113" s="33"/>
      <c r="IFI113" s="33"/>
      <c r="IFJ113" s="33"/>
      <c r="IFK113" s="33"/>
      <c r="IFL113" s="33"/>
      <c r="IFM113" s="33"/>
      <c r="IFN113" s="33"/>
      <c r="IFO113" s="33"/>
      <c r="IFP113" s="33"/>
      <c r="IFQ113" s="33"/>
      <c r="IFR113" s="33"/>
      <c r="IFS113" s="33"/>
      <c r="IFT113" s="33"/>
      <c r="IFU113" s="33"/>
      <c r="IFV113" s="33"/>
      <c r="IFW113" s="33"/>
      <c r="IFX113" s="33"/>
      <c r="IFY113" s="33"/>
      <c r="IFZ113" s="33"/>
      <c r="IGA113" s="33"/>
      <c r="IGB113" s="33"/>
      <c r="IGC113" s="33"/>
      <c r="IGD113" s="33"/>
      <c r="IGE113" s="33"/>
      <c r="IGF113" s="33"/>
      <c r="IGG113" s="33"/>
      <c r="IGH113" s="33"/>
      <c r="IGI113" s="33"/>
      <c r="IGJ113" s="33"/>
      <c r="IGK113" s="33"/>
      <c r="IGL113" s="33"/>
      <c r="IGM113" s="33"/>
      <c r="IGN113" s="33"/>
      <c r="IGO113" s="33"/>
      <c r="IGP113" s="33"/>
      <c r="IGQ113" s="33"/>
      <c r="IGR113" s="33"/>
      <c r="IGS113" s="33"/>
      <c r="IGT113" s="33"/>
      <c r="IGU113" s="33"/>
      <c r="IGV113" s="33"/>
      <c r="IGW113" s="33"/>
      <c r="IGX113" s="33"/>
      <c r="IGY113" s="33"/>
      <c r="IGZ113" s="33"/>
      <c r="IHA113" s="33"/>
      <c r="IHB113" s="33"/>
      <c r="IHC113" s="33"/>
      <c r="IHD113" s="33"/>
      <c r="IHE113" s="33"/>
      <c r="IHF113" s="33"/>
      <c r="IHG113" s="33"/>
      <c r="IHH113" s="33"/>
      <c r="IHI113" s="33"/>
      <c r="IHJ113" s="33"/>
      <c r="IHK113" s="33"/>
      <c r="IHL113" s="33"/>
      <c r="IHM113" s="33"/>
      <c r="IHN113" s="33"/>
      <c r="IHO113" s="33"/>
      <c r="IHP113" s="33"/>
      <c r="IHQ113" s="33"/>
      <c r="IHR113" s="33"/>
      <c r="IHS113" s="33"/>
      <c r="IHT113" s="33"/>
      <c r="IHU113" s="33"/>
      <c r="IHV113" s="33"/>
      <c r="IHW113" s="33"/>
      <c r="IHX113" s="33"/>
      <c r="IHY113" s="33"/>
      <c r="IHZ113" s="33"/>
      <c r="IIA113" s="33"/>
      <c r="IIB113" s="33"/>
      <c r="IIC113" s="33"/>
      <c r="IID113" s="33"/>
      <c r="IIE113" s="33"/>
      <c r="IIF113" s="33"/>
      <c r="IIG113" s="33"/>
      <c r="IIH113" s="33"/>
      <c r="III113" s="33"/>
      <c r="IIJ113" s="33"/>
      <c r="IIK113" s="33"/>
      <c r="IIL113" s="33"/>
      <c r="IIM113" s="33"/>
      <c r="IIN113" s="33"/>
      <c r="IIO113" s="33"/>
      <c r="IIP113" s="33"/>
      <c r="IIQ113" s="33"/>
      <c r="IIR113" s="33"/>
      <c r="IIS113" s="33"/>
      <c r="IIT113" s="33"/>
      <c r="IIU113" s="33"/>
      <c r="IIV113" s="33"/>
      <c r="IIW113" s="33"/>
      <c r="IIX113" s="33"/>
      <c r="IIY113" s="33"/>
      <c r="IIZ113" s="33"/>
      <c r="IJA113" s="33"/>
      <c r="IJB113" s="33"/>
      <c r="IJC113" s="33"/>
      <c r="IJD113" s="33"/>
      <c r="IJE113" s="33"/>
      <c r="IJF113" s="33"/>
      <c r="IJG113" s="33"/>
      <c r="IJH113" s="33"/>
      <c r="IJI113" s="33"/>
      <c r="IJJ113" s="33"/>
      <c r="IJK113" s="33"/>
      <c r="IJL113" s="33"/>
      <c r="IJM113" s="33"/>
      <c r="IJN113" s="33"/>
      <c r="IJO113" s="33"/>
      <c r="IJP113" s="33"/>
      <c r="IJQ113" s="33"/>
      <c r="IJR113" s="33"/>
      <c r="IJS113" s="33"/>
      <c r="IJT113" s="33"/>
      <c r="IJU113" s="33"/>
      <c r="IJV113" s="33"/>
      <c r="IJW113" s="33"/>
      <c r="IJX113" s="33"/>
      <c r="IJY113" s="33"/>
      <c r="IJZ113" s="33"/>
      <c r="IKA113" s="33"/>
      <c r="IKB113" s="33"/>
      <c r="IKC113" s="33"/>
      <c r="IKD113" s="33"/>
      <c r="IKE113" s="33"/>
      <c r="IKF113" s="33"/>
      <c r="IKG113" s="33"/>
      <c r="IKH113" s="33"/>
      <c r="IKI113" s="33"/>
      <c r="IKJ113" s="33"/>
      <c r="IKK113" s="33"/>
      <c r="IKL113" s="33"/>
      <c r="IKM113" s="33"/>
      <c r="IKN113" s="33"/>
      <c r="IKO113" s="33"/>
      <c r="IKP113" s="33"/>
      <c r="IKQ113" s="33"/>
      <c r="IKR113" s="33"/>
      <c r="IKS113" s="33"/>
      <c r="IKT113" s="33"/>
      <c r="IKU113" s="33"/>
      <c r="IKV113" s="33"/>
      <c r="IKW113" s="33"/>
      <c r="IKX113" s="33"/>
      <c r="IKY113" s="33"/>
      <c r="IKZ113" s="33"/>
      <c r="ILA113" s="33"/>
      <c r="ILB113" s="33"/>
      <c r="ILC113" s="33"/>
      <c r="ILD113" s="33"/>
      <c r="ILE113" s="33"/>
      <c r="ILF113" s="33"/>
      <c r="ILG113" s="33"/>
      <c r="ILH113" s="33"/>
      <c r="ILI113" s="33"/>
      <c r="ILJ113" s="33"/>
      <c r="ILK113" s="33"/>
      <c r="ILL113" s="33"/>
      <c r="ILM113" s="33"/>
      <c r="ILN113" s="33"/>
      <c r="ILO113" s="33"/>
      <c r="ILP113" s="33"/>
      <c r="ILQ113" s="33"/>
      <c r="ILR113" s="33"/>
      <c r="ILS113" s="33"/>
      <c r="ILT113" s="33"/>
      <c r="ILU113" s="33"/>
      <c r="ILV113" s="33"/>
      <c r="ILW113" s="33"/>
      <c r="ILX113" s="33"/>
      <c r="ILY113" s="33"/>
      <c r="ILZ113" s="33"/>
      <c r="IMA113" s="33"/>
      <c r="IMB113" s="33"/>
      <c r="IMC113" s="33"/>
      <c r="IMD113" s="33"/>
      <c r="IME113" s="33"/>
      <c r="IMF113" s="33"/>
      <c r="IMG113" s="33"/>
      <c r="IMH113" s="33"/>
      <c r="IMI113" s="33"/>
      <c r="IMJ113" s="33"/>
      <c r="IMK113" s="33"/>
      <c r="IML113" s="33"/>
      <c r="IMM113" s="33"/>
      <c r="IMN113" s="33"/>
      <c r="IMO113" s="33"/>
      <c r="IMP113" s="33"/>
      <c r="IMQ113" s="33"/>
      <c r="IMR113" s="33"/>
      <c r="IMS113" s="33"/>
      <c r="IMT113" s="33"/>
      <c r="IMU113" s="33"/>
      <c r="IMV113" s="33"/>
      <c r="IMW113" s="33"/>
      <c r="IMX113" s="33"/>
      <c r="IMY113" s="33"/>
      <c r="IMZ113" s="33"/>
      <c r="INA113" s="33"/>
      <c r="INB113" s="33"/>
      <c r="INC113" s="33"/>
      <c r="IND113" s="33"/>
      <c r="INE113" s="33"/>
      <c r="INF113" s="33"/>
      <c r="ING113" s="33"/>
      <c r="INH113" s="33"/>
      <c r="INI113" s="33"/>
      <c r="INJ113" s="33"/>
      <c r="INK113" s="33"/>
      <c r="INL113" s="33"/>
      <c r="INM113" s="33"/>
      <c r="INN113" s="33"/>
      <c r="INO113" s="33"/>
      <c r="INP113" s="33"/>
      <c r="INQ113" s="33"/>
      <c r="INR113" s="33"/>
      <c r="INS113" s="33"/>
      <c r="INT113" s="33"/>
      <c r="INU113" s="33"/>
      <c r="INV113" s="33"/>
      <c r="INW113" s="33"/>
      <c r="INX113" s="33"/>
      <c r="INY113" s="33"/>
      <c r="INZ113" s="33"/>
      <c r="IOA113" s="33"/>
      <c r="IOB113" s="33"/>
      <c r="IOC113" s="33"/>
      <c r="IOD113" s="33"/>
      <c r="IOE113" s="33"/>
      <c r="IOF113" s="33"/>
      <c r="IOG113" s="33"/>
      <c r="IOH113" s="33"/>
      <c r="IOI113" s="33"/>
      <c r="IOJ113" s="33"/>
      <c r="IOK113" s="33"/>
      <c r="IOL113" s="33"/>
      <c r="IOM113" s="33"/>
      <c r="ION113" s="33"/>
      <c r="IOO113" s="33"/>
      <c r="IOP113" s="33"/>
      <c r="IOQ113" s="33"/>
      <c r="IOR113" s="33"/>
      <c r="IOS113" s="33"/>
      <c r="IOT113" s="33"/>
      <c r="IOU113" s="33"/>
      <c r="IOV113" s="33"/>
      <c r="IOW113" s="33"/>
      <c r="IOX113" s="33"/>
      <c r="IOY113" s="33"/>
      <c r="IOZ113" s="33"/>
      <c r="IPA113" s="33"/>
      <c r="IPB113" s="33"/>
      <c r="IPC113" s="33"/>
      <c r="IPD113" s="33"/>
      <c r="IPE113" s="33"/>
      <c r="IPF113" s="33"/>
      <c r="IPG113" s="33"/>
      <c r="IPH113" s="33"/>
      <c r="IPI113" s="33"/>
      <c r="IPJ113" s="33"/>
      <c r="IPK113" s="33"/>
      <c r="IPL113" s="33"/>
      <c r="IPM113" s="33"/>
      <c r="IPN113" s="33"/>
      <c r="IPO113" s="33"/>
      <c r="IPP113" s="33"/>
      <c r="IPQ113" s="33"/>
      <c r="IPR113" s="33"/>
      <c r="IPS113" s="33"/>
      <c r="IPT113" s="33"/>
      <c r="IPU113" s="33"/>
      <c r="IPV113" s="33"/>
      <c r="IPW113" s="33"/>
      <c r="IPX113" s="33"/>
      <c r="IPY113" s="33"/>
      <c r="IPZ113" s="33"/>
      <c r="IQA113" s="33"/>
      <c r="IQB113" s="33"/>
      <c r="IQC113" s="33"/>
      <c r="IQD113" s="33"/>
      <c r="IQE113" s="33"/>
      <c r="IQF113" s="33"/>
      <c r="IQG113" s="33"/>
      <c r="IQH113" s="33"/>
      <c r="IQI113" s="33"/>
      <c r="IQJ113" s="33"/>
      <c r="IQK113" s="33"/>
      <c r="IQL113" s="33"/>
      <c r="IQM113" s="33"/>
      <c r="IQN113" s="33"/>
      <c r="IQO113" s="33"/>
      <c r="IQP113" s="33"/>
      <c r="IQQ113" s="33"/>
      <c r="IQR113" s="33"/>
      <c r="IQS113" s="33"/>
      <c r="IQT113" s="33"/>
      <c r="IQU113" s="33"/>
      <c r="IQV113" s="33"/>
      <c r="IQW113" s="33"/>
      <c r="IQX113" s="33"/>
      <c r="IQY113" s="33"/>
      <c r="IQZ113" s="33"/>
      <c r="IRA113" s="33"/>
      <c r="IRB113" s="33"/>
      <c r="IRC113" s="33"/>
      <c r="IRD113" s="33"/>
      <c r="IRE113" s="33"/>
      <c r="IRF113" s="33"/>
      <c r="IRG113" s="33"/>
      <c r="IRH113" s="33"/>
      <c r="IRI113" s="33"/>
      <c r="IRJ113" s="33"/>
      <c r="IRK113" s="33"/>
      <c r="IRL113" s="33"/>
      <c r="IRM113" s="33"/>
      <c r="IRN113" s="33"/>
      <c r="IRO113" s="33"/>
      <c r="IRP113" s="33"/>
      <c r="IRQ113" s="33"/>
      <c r="IRR113" s="33"/>
      <c r="IRS113" s="33"/>
      <c r="IRT113" s="33"/>
      <c r="IRU113" s="33"/>
      <c r="IRV113" s="33"/>
      <c r="IRW113" s="33"/>
      <c r="IRX113" s="33"/>
      <c r="IRY113" s="33"/>
      <c r="IRZ113" s="33"/>
      <c r="ISA113" s="33"/>
      <c r="ISB113" s="33"/>
      <c r="ISC113" s="33"/>
      <c r="ISD113" s="33"/>
      <c r="ISE113" s="33"/>
      <c r="ISF113" s="33"/>
      <c r="ISG113" s="33"/>
      <c r="ISH113" s="33"/>
      <c r="ISI113" s="33"/>
      <c r="ISJ113" s="33"/>
      <c r="ISK113" s="33"/>
      <c r="ISL113" s="33"/>
      <c r="ISM113" s="33"/>
      <c r="ISN113" s="33"/>
      <c r="ISO113" s="33"/>
      <c r="ISP113" s="33"/>
      <c r="ISQ113" s="33"/>
      <c r="ISR113" s="33"/>
      <c r="ISS113" s="33"/>
      <c r="IST113" s="33"/>
      <c r="ISU113" s="33"/>
      <c r="ISV113" s="33"/>
      <c r="ISW113" s="33"/>
      <c r="ISX113" s="33"/>
      <c r="ISY113" s="33"/>
      <c r="ISZ113" s="33"/>
      <c r="ITA113" s="33"/>
      <c r="ITB113" s="33"/>
      <c r="ITC113" s="33"/>
      <c r="ITD113" s="33"/>
      <c r="ITE113" s="33"/>
      <c r="ITF113" s="33"/>
      <c r="ITG113" s="33"/>
      <c r="ITH113" s="33"/>
      <c r="ITI113" s="33"/>
      <c r="ITJ113" s="33"/>
      <c r="ITK113" s="33"/>
      <c r="ITL113" s="33"/>
      <c r="ITM113" s="33"/>
      <c r="ITN113" s="33"/>
      <c r="ITO113" s="33"/>
      <c r="ITP113" s="33"/>
      <c r="ITQ113" s="33"/>
      <c r="ITR113" s="33"/>
      <c r="ITS113" s="33"/>
      <c r="ITT113" s="33"/>
      <c r="ITU113" s="33"/>
      <c r="ITV113" s="33"/>
      <c r="ITW113" s="33"/>
      <c r="ITX113" s="33"/>
      <c r="ITY113" s="33"/>
      <c r="ITZ113" s="33"/>
      <c r="IUA113" s="33"/>
      <c r="IUB113" s="33"/>
      <c r="IUC113" s="33"/>
      <c r="IUD113" s="33"/>
      <c r="IUE113" s="33"/>
      <c r="IUF113" s="33"/>
      <c r="IUG113" s="33"/>
      <c r="IUH113" s="33"/>
      <c r="IUI113" s="33"/>
      <c r="IUJ113" s="33"/>
      <c r="IUK113" s="33"/>
      <c r="IUL113" s="33"/>
      <c r="IUM113" s="33"/>
      <c r="IUN113" s="33"/>
      <c r="IUO113" s="33"/>
      <c r="IUP113" s="33"/>
      <c r="IUQ113" s="33"/>
      <c r="IUR113" s="33"/>
      <c r="IUS113" s="33"/>
      <c r="IUT113" s="33"/>
      <c r="IUU113" s="33"/>
      <c r="IUV113" s="33"/>
      <c r="IUW113" s="33"/>
      <c r="IUX113" s="33"/>
      <c r="IUY113" s="33"/>
      <c r="IUZ113" s="33"/>
      <c r="IVA113" s="33"/>
      <c r="IVB113" s="33"/>
      <c r="IVC113" s="33"/>
      <c r="IVD113" s="33"/>
      <c r="IVE113" s="33"/>
      <c r="IVF113" s="33"/>
      <c r="IVG113" s="33"/>
      <c r="IVH113" s="33"/>
      <c r="IVI113" s="33"/>
      <c r="IVJ113" s="33"/>
      <c r="IVK113" s="33"/>
      <c r="IVL113" s="33"/>
      <c r="IVM113" s="33"/>
      <c r="IVN113" s="33"/>
      <c r="IVO113" s="33"/>
      <c r="IVP113" s="33"/>
      <c r="IVQ113" s="33"/>
      <c r="IVR113" s="33"/>
      <c r="IVS113" s="33"/>
      <c r="IVT113" s="33"/>
      <c r="IVU113" s="33"/>
      <c r="IVV113" s="33"/>
      <c r="IVW113" s="33"/>
      <c r="IVX113" s="33"/>
      <c r="IVY113" s="33"/>
      <c r="IVZ113" s="33"/>
      <c r="IWA113" s="33"/>
      <c r="IWB113" s="33"/>
      <c r="IWC113" s="33"/>
      <c r="IWD113" s="33"/>
      <c r="IWE113" s="33"/>
      <c r="IWF113" s="33"/>
      <c r="IWG113" s="33"/>
      <c r="IWH113" s="33"/>
      <c r="IWI113" s="33"/>
      <c r="IWJ113" s="33"/>
      <c r="IWK113" s="33"/>
      <c r="IWL113" s="33"/>
      <c r="IWM113" s="33"/>
      <c r="IWN113" s="33"/>
      <c r="IWO113" s="33"/>
      <c r="IWP113" s="33"/>
      <c r="IWQ113" s="33"/>
      <c r="IWR113" s="33"/>
      <c r="IWS113" s="33"/>
      <c r="IWT113" s="33"/>
      <c r="IWU113" s="33"/>
      <c r="IWV113" s="33"/>
      <c r="IWW113" s="33"/>
      <c r="IWX113" s="33"/>
      <c r="IWY113" s="33"/>
      <c r="IWZ113" s="33"/>
      <c r="IXA113" s="33"/>
      <c r="IXB113" s="33"/>
      <c r="IXC113" s="33"/>
      <c r="IXD113" s="33"/>
      <c r="IXE113" s="33"/>
      <c r="IXF113" s="33"/>
      <c r="IXG113" s="33"/>
      <c r="IXH113" s="33"/>
      <c r="IXI113" s="33"/>
      <c r="IXJ113" s="33"/>
      <c r="IXK113" s="33"/>
      <c r="IXL113" s="33"/>
      <c r="IXM113" s="33"/>
      <c r="IXN113" s="33"/>
      <c r="IXO113" s="33"/>
      <c r="IXP113" s="33"/>
      <c r="IXQ113" s="33"/>
      <c r="IXR113" s="33"/>
      <c r="IXS113" s="33"/>
      <c r="IXT113" s="33"/>
      <c r="IXU113" s="33"/>
      <c r="IXV113" s="33"/>
      <c r="IXW113" s="33"/>
      <c r="IXX113" s="33"/>
      <c r="IXY113" s="33"/>
      <c r="IXZ113" s="33"/>
      <c r="IYA113" s="33"/>
      <c r="IYB113" s="33"/>
      <c r="IYC113" s="33"/>
      <c r="IYD113" s="33"/>
      <c r="IYE113" s="33"/>
      <c r="IYF113" s="33"/>
      <c r="IYG113" s="33"/>
      <c r="IYH113" s="33"/>
      <c r="IYI113" s="33"/>
      <c r="IYJ113" s="33"/>
      <c r="IYK113" s="33"/>
      <c r="IYL113" s="33"/>
      <c r="IYM113" s="33"/>
      <c r="IYN113" s="33"/>
      <c r="IYO113" s="33"/>
      <c r="IYP113" s="33"/>
      <c r="IYQ113" s="33"/>
      <c r="IYR113" s="33"/>
      <c r="IYS113" s="33"/>
      <c r="IYT113" s="33"/>
      <c r="IYU113" s="33"/>
      <c r="IYV113" s="33"/>
      <c r="IYW113" s="33"/>
      <c r="IYX113" s="33"/>
      <c r="IYY113" s="33"/>
      <c r="IYZ113" s="33"/>
      <c r="IZA113" s="33"/>
      <c r="IZB113" s="33"/>
      <c r="IZC113" s="33"/>
      <c r="IZD113" s="33"/>
      <c r="IZE113" s="33"/>
      <c r="IZF113" s="33"/>
      <c r="IZG113" s="33"/>
      <c r="IZH113" s="33"/>
      <c r="IZI113" s="33"/>
      <c r="IZJ113" s="33"/>
      <c r="IZK113" s="33"/>
      <c r="IZL113" s="33"/>
      <c r="IZM113" s="33"/>
      <c r="IZN113" s="33"/>
      <c r="IZO113" s="33"/>
      <c r="IZP113" s="33"/>
      <c r="IZQ113" s="33"/>
      <c r="IZR113" s="33"/>
      <c r="IZS113" s="33"/>
      <c r="IZT113" s="33"/>
      <c r="IZU113" s="33"/>
      <c r="IZV113" s="33"/>
      <c r="IZW113" s="33"/>
      <c r="IZX113" s="33"/>
      <c r="IZY113" s="33"/>
      <c r="IZZ113" s="33"/>
      <c r="JAA113" s="33"/>
      <c r="JAB113" s="33"/>
      <c r="JAC113" s="33"/>
      <c r="JAD113" s="33"/>
      <c r="JAE113" s="33"/>
      <c r="JAF113" s="33"/>
      <c r="JAG113" s="33"/>
      <c r="JAH113" s="33"/>
      <c r="JAI113" s="33"/>
      <c r="JAJ113" s="33"/>
      <c r="JAK113" s="33"/>
      <c r="JAL113" s="33"/>
      <c r="JAM113" s="33"/>
      <c r="JAN113" s="33"/>
      <c r="JAO113" s="33"/>
      <c r="JAP113" s="33"/>
      <c r="JAQ113" s="33"/>
      <c r="JAR113" s="33"/>
      <c r="JAS113" s="33"/>
      <c r="JAT113" s="33"/>
      <c r="JAU113" s="33"/>
      <c r="JAV113" s="33"/>
      <c r="JAW113" s="33"/>
      <c r="JAX113" s="33"/>
      <c r="JAY113" s="33"/>
      <c r="JAZ113" s="33"/>
      <c r="JBA113" s="33"/>
      <c r="JBB113" s="33"/>
      <c r="JBC113" s="33"/>
      <c r="JBD113" s="33"/>
      <c r="JBE113" s="33"/>
      <c r="JBF113" s="33"/>
      <c r="JBG113" s="33"/>
      <c r="JBH113" s="33"/>
      <c r="JBI113" s="33"/>
      <c r="JBJ113" s="33"/>
      <c r="JBK113" s="33"/>
      <c r="JBL113" s="33"/>
      <c r="JBM113" s="33"/>
      <c r="JBN113" s="33"/>
      <c r="JBO113" s="33"/>
      <c r="JBP113" s="33"/>
      <c r="JBQ113" s="33"/>
      <c r="JBR113" s="33"/>
      <c r="JBS113" s="33"/>
      <c r="JBT113" s="33"/>
      <c r="JBU113" s="33"/>
      <c r="JBV113" s="33"/>
      <c r="JBW113" s="33"/>
      <c r="JBX113" s="33"/>
      <c r="JBY113" s="33"/>
      <c r="JBZ113" s="33"/>
      <c r="JCA113" s="33"/>
      <c r="JCB113" s="33"/>
      <c r="JCC113" s="33"/>
      <c r="JCD113" s="33"/>
      <c r="JCE113" s="33"/>
      <c r="JCF113" s="33"/>
      <c r="JCG113" s="33"/>
      <c r="JCH113" s="33"/>
      <c r="JCI113" s="33"/>
      <c r="JCJ113" s="33"/>
      <c r="JCK113" s="33"/>
      <c r="JCL113" s="33"/>
      <c r="JCM113" s="33"/>
      <c r="JCN113" s="33"/>
      <c r="JCO113" s="33"/>
      <c r="JCP113" s="33"/>
      <c r="JCQ113" s="33"/>
      <c r="JCR113" s="33"/>
      <c r="JCS113" s="33"/>
      <c r="JCT113" s="33"/>
      <c r="JCU113" s="33"/>
      <c r="JCV113" s="33"/>
      <c r="JCW113" s="33"/>
      <c r="JCX113" s="33"/>
      <c r="JCY113" s="33"/>
      <c r="JCZ113" s="33"/>
      <c r="JDA113" s="33"/>
      <c r="JDB113" s="33"/>
      <c r="JDC113" s="33"/>
      <c r="JDD113" s="33"/>
      <c r="JDE113" s="33"/>
      <c r="JDF113" s="33"/>
      <c r="JDG113" s="33"/>
      <c r="JDH113" s="33"/>
      <c r="JDI113" s="33"/>
      <c r="JDJ113" s="33"/>
      <c r="JDK113" s="33"/>
      <c r="JDL113" s="33"/>
      <c r="JDM113" s="33"/>
      <c r="JDN113" s="33"/>
      <c r="JDO113" s="33"/>
      <c r="JDP113" s="33"/>
      <c r="JDQ113" s="33"/>
      <c r="JDR113" s="33"/>
      <c r="JDS113" s="33"/>
      <c r="JDT113" s="33"/>
      <c r="JDU113" s="33"/>
      <c r="JDV113" s="33"/>
      <c r="JDW113" s="33"/>
      <c r="JDX113" s="33"/>
      <c r="JDY113" s="33"/>
      <c r="JDZ113" s="33"/>
      <c r="JEA113" s="33"/>
      <c r="JEB113" s="33"/>
      <c r="JEC113" s="33"/>
      <c r="JED113" s="33"/>
      <c r="JEE113" s="33"/>
      <c r="JEF113" s="33"/>
      <c r="JEG113" s="33"/>
      <c r="JEH113" s="33"/>
      <c r="JEI113" s="33"/>
      <c r="JEJ113" s="33"/>
      <c r="JEK113" s="33"/>
      <c r="JEL113" s="33"/>
      <c r="JEM113" s="33"/>
      <c r="JEN113" s="33"/>
      <c r="JEO113" s="33"/>
      <c r="JEP113" s="33"/>
      <c r="JEQ113" s="33"/>
      <c r="JER113" s="33"/>
      <c r="JES113" s="33"/>
      <c r="JET113" s="33"/>
      <c r="JEU113" s="33"/>
      <c r="JEV113" s="33"/>
      <c r="JEW113" s="33"/>
      <c r="JEX113" s="33"/>
      <c r="JEY113" s="33"/>
      <c r="JEZ113" s="33"/>
      <c r="JFA113" s="33"/>
      <c r="JFB113" s="33"/>
      <c r="JFC113" s="33"/>
      <c r="JFD113" s="33"/>
      <c r="JFE113" s="33"/>
      <c r="JFF113" s="33"/>
      <c r="JFG113" s="33"/>
      <c r="JFH113" s="33"/>
      <c r="JFI113" s="33"/>
      <c r="JFJ113" s="33"/>
      <c r="JFK113" s="33"/>
      <c r="JFL113" s="33"/>
      <c r="JFM113" s="33"/>
      <c r="JFN113" s="33"/>
      <c r="JFO113" s="33"/>
      <c r="JFP113" s="33"/>
      <c r="JFQ113" s="33"/>
      <c r="JFR113" s="33"/>
      <c r="JFS113" s="33"/>
      <c r="JFT113" s="33"/>
      <c r="JFU113" s="33"/>
      <c r="JFV113" s="33"/>
      <c r="JFW113" s="33"/>
      <c r="JFX113" s="33"/>
      <c r="JFY113" s="33"/>
      <c r="JFZ113" s="33"/>
      <c r="JGA113" s="33"/>
      <c r="JGB113" s="33"/>
      <c r="JGC113" s="33"/>
      <c r="JGD113" s="33"/>
      <c r="JGE113" s="33"/>
      <c r="JGF113" s="33"/>
      <c r="JGG113" s="33"/>
      <c r="JGH113" s="33"/>
      <c r="JGI113" s="33"/>
      <c r="JGJ113" s="33"/>
      <c r="JGK113" s="33"/>
      <c r="JGL113" s="33"/>
      <c r="JGM113" s="33"/>
      <c r="JGN113" s="33"/>
      <c r="JGO113" s="33"/>
      <c r="JGP113" s="33"/>
      <c r="JGQ113" s="33"/>
      <c r="JGR113" s="33"/>
      <c r="JGS113" s="33"/>
      <c r="JGT113" s="33"/>
      <c r="JGU113" s="33"/>
      <c r="JGV113" s="33"/>
      <c r="JGW113" s="33"/>
      <c r="JGX113" s="33"/>
      <c r="JGY113" s="33"/>
      <c r="JGZ113" s="33"/>
      <c r="JHA113" s="33"/>
      <c r="JHB113" s="33"/>
      <c r="JHC113" s="33"/>
      <c r="JHD113" s="33"/>
      <c r="JHE113" s="33"/>
      <c r="JHF113" s="33"/>
      <c r="JHG113" s="33"/>
      <c r="JHH113" s="33"/>
      <c r="JHI113" s="33"/>
      <c r="JHJ113" s="33"/>
      <c r="JHK113" s="33"/>
      <c r="JHL113" s="33"/>
      <c r="JHM113" s="33"/>
      <c r="JHN113" s="33"/>
      <c r="JHO113" s="33"/>
      <c r="JHP113" s="33"/>
      <c r="JHQ113" s="33"/>
      <c r="JHR113" s="33"/>
      <c r="JHS113" s="33"/>
      <c r="JHT113" s="33"/>
      <c r="JHU113" s="33"/>
      <c r="JHV113" s="33"/>
      <c r="JHW113" s="33"/>
      <c r="JHX113" s="33"/>
      <c r="JHY113" s="33"/>
      <c r="JHZ113" s="33"/>
      <c r="JIA113" s="33"/>
      <c r="JIB113" s="33"/>
      <c r="JIC113" s="33"/>
      <c r="JID113" s="33"/>
      <c r="JIE113" s="33"/>
      <c r="JIF113" s="33"/>
      <c r="JIG113" s="33"/>
      <c r="JIH113" s="33"/>
      <c r="JII113" s="33"/>
      <c r="JIJ113" s="33"/>
      <c r="JIK113" s="33"/>
      <c r="JIL113" s="33"/>
      <c r="JIM113" s="33"/>
      <c r="JIN113" s="33"/>
      <c r="JIO113" s="33"/>
      <c r="JIP113" s="33"/>
      <c r="JIQ113" s="33"/>
      <c r="JIR113" s="33"/>
      <c r="JIS113" s="33"/>
      <c r="JIT113" s="33"/>
      <c r="JIU113" s="33"/>
      <c r="JIV113" s="33"/>
      <c r="JIW113" s="33"/>
      <c r="JIX113" s="33"/>
      <c r="JIY113" s="33"/>
      <c r="JIZ113" s="33"/>
      <c r="JJA113" s="33"/>
      <c r="JJB113" s="33"/>
      <c r="JJC113" s="33"/>
      <c r="JJD113" s="33"/>
      <c r="JJE113" s="33"/>
      <c r="JJF113" s="33"/>
      <c r="JJG113" s="33"/>
      <c r="JJH113" s="33"/>
      <c r="JJI113" s="33"/>
      <c r="JJJ113" s="33"/>
      <c r="JJK113" s="33"/>
      <c r="JJL113" s="33"/>
      <c r="JJM113" s="33"/>
      <c r="JJN113" s="33"/>
      <c r="JJO113" s="33"/>
      <c r="JJP113" s="33"/>
      <c r="JJQ113" s="33"/>
      <c r="JJR113" s="33"/>
      <c r="JJS113" s="33"/>
      <c r="JJT113" s="33"/>
      <c r="JJU113" s="33"/>
      <c r="JJV113" s="33"/>
      <c r="JJW113" s="33"/>
      <c r="JJX113" s="33"/>
      <c r="JJY113" s="33"/>
      <c r="JJZ113" s="33"/>
      <c r="JKA113" s="33"/>
      <c r="JKB113" s="33"/>
      <c r="JKC113" s="33"/>
      <c r="JKD113" s="33"/>
      <c r="JKE113" s="33"/>
      <c r="JKF113" s="33"/>
      <c r="JKG113" s="33"/>
      <c r="JKH113" s="33"/>
      <c r="JKI113" s="33"/>
      <c r="JKJ113" s="33"/>
      <c r="JKK113" s="33"/>
      <c r="JKL113" s="33"/>
      <c r="JKM113" s="33"/>
      <c r="JKN113" s="33"/>
      <c r="JKO113" s="33"/>
      <c r="JKP113" s="33"/>
      <c r="JKQ113" s="33"/>
      <c r="JKR113" s="33"/>
      <c r="JKS113" s="33"/>
      <c r="JKT113" s="33"/>
      <c r="JKU113" s="33"/>
      <c r="JKV113" s="33"/>
      <c r="JKW113" s="33"/>
      <c r="JKX113" s="33"/>
      <c r="JKY113" s="33"/>
      <c r="JKZ113" s="33"/>
      <c r="JLA113" s="33"/>
      <c r="JLB113" s="33"/>
      <c r="JLC113" s="33"/>
      <c r="JLD113" s="33"/>
      <c r="JLE113" s="33"/>
      <c r="JLF113" s="33"/>
      <c r="JLG113" s="33"/>
      <c r="JLH113" s="33"/>
      <c r="JLI113" s="33"/>
      <c r="JLJ113" s="33"/>
      <c r="JLK113" s="33"/>
      <c r="JLL113" s="33"/>
      <c r="JLM113" s="33"/>
      <c r="JLN113" s="33"/>
      <c r="JLO113" s="33"/>
      <c r="JLP113" s="33"/>
      <c r="JLQ113" s="33"/>
      <c r="JLR113" s="33"/>
      <c r="JLS113" s="33"/>
      <c r="JLT113" s="33"/>
      <c r="JLU113" s="33"/>
      <c r="JLV113" s="33"/>
      <c r="JLW113" s="33"/>
      <c r="JLX113" s="33"/>
      <c r="JLY113" s="33"/>
      <c r="JLZ113" s="33"/>
      <c r="JMA113" s="33"/>
      <c r="JMB113" s="33"/>
      <c r="JMC113" s="33"/>
      <c r="JMD113" s="33"/>
      <c r="JME113" s="33"/>
      <c r="JMF113" s="33"/>
      <c r="JMG113" s="33"/>
      <c r="JMH113" s="33"/>
      <c r="JMI113" s="33"/>
      <c r="JMJ113" s="33"/>
      <c r="JMK113" s="33"/>
      <c r="JML113" s="33"/>
      <c r="JMM113" s="33"/>
      <c r="JMN113" s="33"/>
      <c r="JMO113" s="33"/>
      <c r="JMP113" s="33"/>
      <c r="JMQ113" s="33"/>
      <c r="JMR113" s="33"/>
      <c r="JMS113" s="33"/>
      <c r="JMT113" s="33"/>
      <c r="JMU113" s="33"/>
      <c r="JMV113" s="33"/>
      <c r="JMW113" s="33"/>
      <c r="JMX113" s="33"/>
      <c r="JMY113" s="33"/>
      <c r="JMZ113" s="33"/>
      <c r="JNA113" s="33"/>
      <c r="JNB113" s="33"/>
      <c r="JNC113" s="33"/>
      <c r="JND113" s="33"/>
      <c r="JNE113" s="33"/>
      <c r="JNF113" s="33"/>
      <c r="JNG113" s="33"/>
      <c r="JNH113" s="33"/>
      <c r="JNI113" s="33"/>
      <c r="JNJ113" s="33"/>
      <c r="JNK113" s="33"/>
      <c r="JNL113" s="33"/>
      <c r="JNM113" s="33"/>
      <c r="JNN113" s="33"/>
      <c r="JNO113" s="33"/>
      <c r="JNP113" s="33"/>
      <c r="JNQ113" s="33"/>
      <c r="JNR113" s="33"/>
      <c r="JNS113" s="33"/>
      <c r="JNT113" s="33"/>
      <c r="JNU113" s="33"/>
      <c r="JNV113" s="33"/>
      <c r="JNW113" s="33"/>
      <c r="JNX113" s="33"/>
      <c r="JNY113" s="33"/>
      <c r="JNZ113" s="33"/>
      <c r="JOA113" s="33"/>
      <c r="JOB113" s="33"/>
      <c r="JOC113" s="33"/>
      <c r="JOD113" s="33"/>
      <c r="JOE113" s="33"/>
      <c r="JOF113" s="33"/>
      <c r="JOG113" s="33"/>
      <c r="JOH113" s="33"/>
      <c r="JOI113" s="33"/>
      <c r="JOJ113" s="33"/>
      <c r="JOK113" s="33"/>
      <c r="JOL113" s="33"/>
      <c r="JOM113" s="33"/>
      <c r="JON113" s="33"/>
      <c r="JOO113" s="33"/>
      <c r="JOP113" s="33"/>
      <c r="JOQ113" s="33"/>
      <c r="JOR113" s="33"/>
      <c r="JOS113" s="33"/>
      <c r="JOT113" s="33"/>
      <c r="JOU113" s="33"/>
      <c r="JOV113" s="33"/>
      <c r="JOW113" s="33"/>
      <c r="JOX113" s="33"/>
      <c r="JOY113" s="33"/>
      <c r="JOZ113" s="33"/>
      <c r="JPA113" s="33"/>
      <c r="JPB113" s="33"/>
      <c r="JPC113" s="33"/>
      <c r="JPD113" s="33"/>
      <c r="JPE113" s="33"/>
      <c r="JPF113" s="33"/>
      <c r="JPG113" s="33"/>
      <c r="JPH113" s="33"/>
      <c r="JPI113" s="33"/>
      <c r="JPJ113" s="33"/>
      <c r="JPK113" s="33"/>
      <c r="JPL113" s="33"/>
      <c r="JPM113" s="33"/>
      <c r="JPN113" s="33"/>
      <c r="JPO113" s="33"/>
      <c r="JPP113" s="33"/>
      <c r="JPQ113" s="33"/>
      <c r="JPR113" s="33"/>
      <c r="JPS113" s="33"/>
      <c r="JPT113" s="33"/>
      <c r="JPU113" s="33"/>
      <c r="JPV113" s="33"/>
      <c r="JPW113" s="33"/>
      <c r="JPX113" s="33"/>
      <c r="JPY113" s="33"/>
      <c r="JPZ113" s="33"/>
      <c r="JQA113" s="33"/>
      <c r="JQB113" s="33"/>
      <c r="JQC113" s="33"/>
      <c r="JQD113" s="33"/>
      <c r="JQE113" s="33"/>
      <c r="JQF113" s="33"/>
      <c r="JQG113" s="33"/>
      <c r="JQH113" s="33"/>
      <c r="JQI113" s="33"/>
      <c r="JQJ113" s="33"/>
      <c r="JQK113" s="33"/>
      <c r="JQL113" s="33"/>
      <c r="JQM113" s="33"/>
      <c r="JQN113" s="33"/>
      <c r="JQO113" s="33"/>
      <c r="JQP113" s="33"/>
      <c r="JQQ113" s="33"/>
      <c r="JQR113" s="33"/>
      <c r="JQS113" s="33"/>
      <c r="JQT113" s="33"/>
      <c r="JQU113" s="33"/>
      <c r="JQV113" s="33"/>
      <c r="JQW113" s="33"/>
      <c r="JQX113" s="33"/>
      <c r="JQY113" s="33"/>
      <c r="JQZ113" s="33"/>
      <c r="JRA113" s="33"/>
      <c r="JRB113" s="33"/>
      <c r="JRC113" s="33"/>
      <c r="JRD113" s="33"/>
      <c r="JRE113" s="33"/>
      <c r="JRF113" s="33"/>
      <c r="JRG113" s="33"/>
      <c r="JRH113" s="33"/>
      <c r="JRI113" s="33"/>
      <c r="JRJ113" s="33"/>
      <c r="JRK113" s="33"/>
      <c r="JRL113" s="33"/>
      <c r="JRM113" s="33"/>
      <c r="JRN113" s="33"/>
      <c r="JRO113" s="33"/>
      <c r="JRP113" s="33"/>
      <c r="JRQ113" s="33"/>
      <c r="JRR113" s="33"/>
      <c r="JRS113" s="33"/>
      <c r="JRT113" s="33"/>
      <c r="JRU113" s="33"/>
      <c r="JRV113" s="33"/>
      <c r="JRW113" s="33"/>
      <c r="JRX113" s="33"/>
      <c r="JRY113" s="33"/>
      <c r="JRZ113" s="33"/>
      <c r="JSA113" s="33"/>
      <c r="JSB113" s="33"/>
      <c r="JSC113" s="33"/>
      <c r="JSD113" s="33"/>
      <c r="JSE113" s="33"/>
      <c r="JSF113" s="33"/>
      <c r="JSG113" s="33"/>
      <c r="JSH113" s="33"/>
      <c r="JSI113" s="33"/>
      <c r="JSJ113" s="33"/>
      <c r="JSK113" s="33"/>
      <c r="JSL113" s="33"/>
      <c r="JSM113" s="33"/>
      <c r="JSN113" s="33"/>
      <c r="JSO113" s="33"/>
      <c r="JSP113" s="33"/>
      <c r="JSQ113" s="33"/>
      <c r="JSR113" s="33"/>
      <c r="JSS113" s="33"/>
      <c r="JST113" s="33"/>
      <c r="JSU113" s="33"/>
      <c r="JSV113" s="33"/>
      <c r="JSW113" s="33"/>
      <c r="JSX113" s="33"/>
      <c r="JSY113" s="33"/>
      <c r="JSZ113" s="33"/>
      <c r="JTA113" s="33"/>
      <c r="JTB113" s="33"/>
      <c r="JTC113" s="33"/>
      <c r="JTD113" s="33"/>
      <c r="JTE113" s="33"/>
      <c r="JTF113" s="33"/>
      <c r="JTG113" s="33"/>
      <c r="JTH113" s="33"/>
      <c r="JTI113" s="33"/>
      <c r="JTJ113" s="33"/>
      <c r="JTK113" s="33"/>
      <c r="JTL113" s="33"/>
      <c r="JTM113" s="33"/>
      <c r="JTN113" s="33"/>
      <c r="JTO113" s="33"/>
      <c r="JTP113" s="33"/>
      <c r="JTQ113" s="33"/>
      <c r="JTR113" s="33"/>
      <c r="JTS113" s="33"/>
      <c r="JTT113" s="33"/>
      <c r="JTU113" s="33"/>
      <c r="JTV113" s="33"/>
      <c r="JTW113" s="33"/>
      <c r="JTX113" s="33"/>
      <c r="JTY113" s="33"/>
      <c r="JTZ113" s="33"/>
      <c r="JUA113" s="33"/>
      <c r="JUB113" s="33"/>
      <c r="JUC113" s="33"/>
      <c r="JUD113" s="33"/>
      <c r="JUE113" s="33"/>
      <c r="JUF113" s="33"/>
      <c r="JUG113" s="33"/>
      <c r="JUH113" s="33"/>
      <c r="JUI113" s="33"/>
      <c r="JUJ113" s="33"/>
      <c r="JUK113" s="33"/>
      <c r="JUL113" s="33"/>
      <c r="JUM113" s="33"/>
      <c r="JUN113" s="33"/>
      <c r="JUO113" s="33"/>
      <c r="JUP113" s="33"/>
      <c r="JUQ113" s="33"/>
      <c r="JUR113" s="33"/>
      <c r="JUS113" s="33"/>
      <c r="JUT113" s="33"/>
      <c r="JUU113" s="33"/>
      <c r="JUV113" s="33"/>
      <c r="JUW113" s="33"/>
      <c r="JUX113" s="33"/>
      <c r="JUY113" s="33"/>
      <c r="JUZ113" s="33"/>
      <c r="JVA113" s="33"/>
      <c r="JVB113" s="33"/>
      <c r="JVC113" s="33"/>
      <c r="JVD113" s="33"/>
      <c r="JVE113" s="33"/>
      <c r="JVF113" s="33"/>
      <c r="JVG113" s="33"/>
      <c r="JVH113" s="33"/>
      <c r="JVI113" s="33"/>
      <c r="JVJ113" s="33"/>
      <c r="JVK113" s="33"/>
      <c r="JVL113" s="33"/>
      <c r="JVM113" s="33"/>
      <c r="JVN113" s="33"/>
      <c r="JVO113" s="33"/>
      <c r="JVP113" s="33"/>
      <c r="JVQ113" s="33"/>
      <c r="JVR113" s="33"/>
      <c r="JVS113" s="33"/>
      <c r="JVT113" s="33"/>
      <c r="JVU113" s="33"/>
      <c r="JVV113" s="33"/>
      <c r="JVW113" s="33"/>
      <c r="JVX113" s="33"/>
      <c r="JVY113" s="33"/>
      <c r="JVZ113" s="33"/>
      <c r="JWA113" s="33"/>
      <c r="JWB113" s="33"/>
      <c r="JWC113" s="33"/>
      <c r="JWD113" s="33"/>
      <c r="JWE113" s="33"/>
      <c r="JWF113" s="33"/>
      <c r="JWG113" s="33"/>
      <c r="JWH113" s="33"/>
      <c r="JWI113" s="33"/>
      <c r="JWJ113" s="33"/>
      <c r="JWK113" s="33"/>
      <c r="JWL113" s="33"/>
      <c r="JWM113" s="33"/>
      <c r="JWN113" s="33"/>
      <c r="JWO113" s="33"/>
      <c r="JWP113" s="33"/>
      <c r="JWQ113" s="33"/>
      <c r="JWR113" s="33"/>
      <c r="JWS113" s="33"/>
      <c r="JWT113" s="33"/>
      <c r="JWU113" s="33"/>
      <c r="JWV113" s="33"/>
      <c r="JWW113" s="33"/>
      <c r="JWX113" s="33"/>
      <c r="JWY113" s="33"/>
      <c r="JWZ113" s="33"/>
      <c r="JXA113" s="33"/>
      <c r="JXB113" s="33"/>
      <c r="JXC113" s="33"/>
      <c r="JXD113" s="33"/>
      <c r="JXE113" s="33"/>
      <c r="JXF113" s="33"/>
      <c r="JXG113" s="33"/>
      <c r="JXH113" s="33"/>
      <c r="JXI113" s="33"/>
      <c r="JXJ113" s="33"/>
      <c r="JXK113" s="33"/>
      <c r="JXL113" s="33"/>
      <c r="JXM113" s="33"/>
      <c r="JXN113" s="33"/>
      <c r="JXO113" s="33"/>
      <c r="JXP113" s="33"/>
      <c r="JXQ113" s="33"/>
      <c r="JXR113" s="33"/>
      <c r="JXS113" s="33"/>
      <c r="JXT113" s="33"/>
      <c r="JXU113" s="33"/>
      <c r="JXV113" s="33"/>
      <c r="JXW113" s="33"/>
      <c r="JXX113" s="33"/>
      <c r="JXY113" s="33"/>
      <c r="JXZ113" s="33"/>
      <c r="JYA113" s="33"/>
      <c r="JYB113" s="33"/>
      <c r="JYC113" s="33"/>
      <c r="JYD113" s="33"/>
      <c r="JYE113" s="33"/>
      <c r="JYF113" s="33"/>
      <c r="JYG113" s="33"/>
      <c r="JYH113" s="33"/>
      <c r="JYI113" s="33"/>
      <c r="JYJ113" s="33"/>
      <c r="JYK113" s="33"/>
      <c r="JYL113" s="33"/>
      <c r="JYM113" s="33"/>
      <c r="JYN113" s="33"/>
      <c r="JYO113" s="33"/>
      <c r="JYP113" s="33"/>
      <c r="JYQ113" s="33"/>
      <c r="JYR113" s="33"/>
      <c r="JYS113" s="33"/>
      <c r="JYT113" s="33"/>
      <c r="JYU113" s="33"/>
      <c r="JYV113" s="33"/>
      <c r="JYW113" s="33"/>
      <c r="JYX113" s="33"/>
      <c r="JYY113" s="33"/>
      <c r="JYZ113" s="33"/>
      <c r="JZA113" s="33"/>
      <c r="JZB113" s="33"/>
      <c r="JZC113" s="33"/>
      <c r="JZD113" s="33"/>
      <c r="JZE113" s="33"/>
      <c r="JZF113" s="33"/>
      <c r="JZG113" s="33"/>
      <c r="JZH113" s="33"/>
      <c r="JZI113" s="33"/>
      <c r="JZJ113" s="33"/>
      <c r="JZK113" s="33"/>
      <c r="JZL113" s="33"/>
      <c r="JZM113" s="33"/>
      <c r="JZN113" s="33"/>
      <c r="JZO113" s="33"/>
      <c r="JZP113" s="33"/>
      <c r="JZQ113" s="33"/>
      <c r="JZR113" s="33"/>
      <c r="JZS113" s="33"/>
      <c r="JZT113" s="33"/>
      <c r="JZU113" s="33"/>
      <c r="JZV113" s="33"/>
      <c r="JZW113" s="33"/>
      <c r="JZX113" s="33"/>
      <c r="JZY113" s="33"/>
      <c r="JZZ113" s="33"/>
      <c r="KAA113" s="33"/>
      <c r="KAB113" s="33"/>
      <c r="KAC113" s="33"/>
      <c r="KAD113" s="33"/>
      <c r="KAE113" s="33"/>
      <c r="KAF113" s="33"/>
      <c r="KAG113" s="33"/>
      <c r="KAH113" s="33"/>
      <c r="KAI113" s="33"/>
      <c r="KAJ113" s="33"/>
      <c r="KAK113" s="33"/>
      <c r="KAL113" s="33"/>
      <c r="KAM113" s="33"/>
      <c r="KAN113" s="33"/>
      <c r="KAO113" s="33"/>
      <c r="KAP113" s="33"/>
      <c r="KAQ113" s="33"/>
      <c r="KAR113" s="33"/>
      <c r="KAS113" s="33"/>
      <c r="KAT113" s="33"/>
      <c r="KAU113" s="33"/>
      <c r="KAV113" s="33"/>
      <c r="KAW113" s="33"/>
      <c r="KAX113" s="33"/>
      <c r="KAY113" s="33"/>
      <c r="KAZ113" s="33"/>
      <c r="KBA113" s="33"/>
      <c r="KBB113" s="33"/>
      <c r="KBC113" s="33"/>
      <c r="KBD113" s="33"/>
      <c r="KBE113" s="33"/>
      <c r="KBF113" s="33"/>
      <c r="KBG113" s="33"/>
      <c r="KBH113" s="33"/>
      <c r="KBI113" s="33"/>
      <c r="KBJ113" s="33"/>
      <c r="KBK113" s="33"/>
      <c r="KBL113" s="33"/>
      <c r="KBM113" s="33"/>
      <c r="KBN113" s="33"/>
      <c r="KBO113" s="33"/>
      <c r="KBP113" s="33"/>
      <c r="KBQ113" s="33"/>
      <c r="KBR113" s="33"/>
      <c r="KBS113" s="33"/>
      <c r="KBT113" s="33"/>
      <c r="KBU113" s="33"/>
      <c r="KBV113" s="33"/>
      <c r="KBW113" s="33"/>
      <c r="KBX113" s="33"/>
      <c r="KBY113" s="33"/>
      <c r="KBZ113" s="33"/>
      <c r="KCA113" s="33"/>
      <c r="KCB113" s="33"/>
      <c r="KCC113" s="33"/>
      <c r="KCD113" s="33"/>
      <c r="KCE113" s="33"/>
      <c r="KCF113" s="33"/>
      <c r="KCG113" s="33"/>
      <c r="KCH113" s="33"/>
      <c r="KCI113" s="33"/>
      <c r="KCJ113" s="33"/>
      <c r="KCK113" s="33"/>
      <c r="KCL113" s="33"/>
      <c r="KCM113" s="33"/>
      <c r="KCN113" s="33"/>
      <c r="KCO113" s="33"/>
      <c r="KCP113" s="33"/>
      <c r="KCQ113" s="33"/>
      <c r="KCR113" s="33"/>
      <c r="KCS113" s="33"/>
      <c r="KCT113" s="33"/>
      <c r="KCU113" s="33"/>
      <c r="KCV113" s="33"/>
      <c r="KCW113" s="33"/>
      <c r="KCX113" s="33"/>
      <c r="KCY113" s="33"/>
      <c r="KCZ113" s="33"/>
      <c r="KDA113" s="33"/>
      <c r="KDB113" s="33"/>
      <c r="KDC113" s="33"/>
      <c r="KDD113" s="33"/>
      <c r="KDE113" s="33"/>
      <c r="KDF113" s="33"/>
      <c r="KDG113" s="33"/>
      <c r="KDH113" s="33"/>
      <c r="KDI113" s="33"/>
      <c r="KDJ113" s="33"/>
      <c r="KDK113" s="33"/>
      <c r="KDL113" s="33"/>
      <c r="KDM113" s="33"/>
      <c r="KDN113" s="33"/>
      <c r="KDO113" s="33"/>
      <c r="KDP113" s="33"/>
      <c r="KDQ113" s="33"/>
      <c r="KDR113" s="33"/>
      <c r="KDS113" s="33"/>
      <c r="KDT113" s="33"/>
      <c r="KDU113" s="33"/>
      <c r="KDV113" s="33"/>
      <c r="KDW113" s="33"/>
      <c r="KDX113" s="33"/>
      <c r="KDY113" s="33"/>
      <c r="KDZ113" s="33"/>
      <c r="KEA113" s="33"/>
      <c r="KEB113" s="33"/>
      <c r="KEC113" s="33"/>
      <c r="KED113" s="33"/>
      <c r="KEE113" s="33"/>
      <c r="KEF113" s="33"/>
      <c r="KEG113" s="33"/>
      <c r="KEH113" s="33"/>
      <c r="KEI113" s="33"/>
      <c r="KEJ113" s="33"/>
      <c r="KEK113" s="33"/>
      <c r="KEL113" s="33"/>
      <c r="KEM113" s="33"/>
      <c r="KEN113" s="33"/>
      <c r="KEO113" s="33"/>
      <c r="KEP113" s="33"/>
      <c r="KEQ113" s="33"/>
      <c r="KER113" s="33"/>
      <c r="KES113" s="33"/>
      <c r="KET113" s="33"/>
      <c r="KEU113" s="33"/>
      <c r="KEV113" s="33"/>
      <c r="KEW113" s="33"/>
      <c r="KEX113" s="33"/>
      <c r="KEY113" s="33"/>
      <c r="KEZ113" s="33"/>
      <c r="KFA113" s="33"/>
      <c r="KFB113" s="33"/>
      <c r="KFC113" s="33"/>
      <c r="KFD113" s="33"/>
      <c r="KFE113" s="33"/>
      <c r="KFF113" s="33"/>
      <c r="KFG113" s="33"/>
      <c r="KFH113" s="33"/>
      <c r="KFI113" s="33"/>
      <c r="KFJ113" s="33"/>
      <c r="KFK113" s="33"/>
      <c r="KFL113" s="33"/>
      <c r="KFM113" s="33"/>
      <c r="KFN113" s="33"/>
      <c r="KFO113" s="33"/>
      <c r="KFP113" s="33"/>
      <c r="KFQ113" s="33"/>
      <c r="KFR113" s="33"/>
      <c r="KFS113" s="33"/>
      <c r="KFT113" s="33"/>
      <c r="KFU113" s="33"/>
      <c r="KFV113" s="33"/>
      <c r="KFW113" s="33"/>
      <c r="KFX113" s="33"/>
      <c r="KFY113" s="33"/>
      <c r="KFZ113" s="33"/>
      <c r="KGA113" s="33"/>
      <c r="KGB113" s="33"/>
      <c r="KGC113" s="33"/>
      <c r="KGD113" s="33"/>
      <c r="KGE113" s="33"/>
      <c r="KGF113" s="33"/>
      <c r="KGG113" s="33"/>
      <c r="KGH113" s="33"/>
      <c r="KGI113" s="33"/>
      <c r="KGJ113" s="33"/>
      <c r="KGK113" s="33"/>
      <c r="KGL113" s="33"/>
      <c r="KGM113" s="33"/>
      <c r="KGN113" s="33"/>
      <c r="KGO113" s="33"/>
      <c r="KGP113" s="33"/>
      <c r="KGQ113" s="33"/>
      <c r="KGR113" s="33"/>
      <c r="KGS113" s="33"/>
      <c r="KGT113" s="33"/>
      <c r="KGU113" s="33"/>
      <c r="KGV113" s="33"/>
      <c r="KGW113" s="33"/>
      <c r="KGX113" s="33"/>
      <c r="KGY113" s="33"/>
      <c r="KGZ113" s="33"/>
      <c r="KHA113" s="33"/>
      <c r="KHB113" s="33"/>
      <c r="KHC113" s="33"/>
      <c r="KHD113" s="33"/>
      <c r="KHE113" s="33"/>
      <c r="KHF113" s="33"/>
      <c r="KHG113" s="33"/>
      <c r="KHH113" s="33"/>
      <c r="KHI113" s="33"/>
      <c r="KHJ113" s="33"/>
      <c r="KHK113" s="33"/>
      <c r="KHL113" s="33"/>
      <c r="KHM113" s="33"/>
      <c r="KHN113" s="33"/>
      <c r="KHO113" s="33"/>
      <c r="KHP113" s="33"/>
      <c r="KHQ113" s="33"/>
      <c r="KHR113" s="33"/>
      <c r="KHS113" s="33"/>
      <c r="KHT113" s="33"/>
      <c r="KHU113" s="33"/>
      <c r="KHV113" s="33"/>
      <c r="KHW113" s="33"/>
      <c r="KHX113" s="33"/>
      <c r="KHY113" s="33"/>
      <c r="KHZ113" s="33"/>
      <c r="KIA113" s="33"/>
      <c r="KIB113" s="33"/>
      <c r="KIC113" s="33"/>
      <c r="KID113" s="33"/>
      <c r="KIE113" s="33"/>
      <c r="KIF113" s="33"/>
      <c r="KIG113" s="33"/>
      <c r="KIH113" s="33"/>
      <c r="KII113" s="33"/>
      <c r="KIJ113" s="33"/>
      <c r="KIK113" s="33"/>
      <c r="KIL113" s="33"/>
      <c r="KIM113" s="33"/>
      <c r="KIN113" s="33"/>
      <c r="KIO113" s="33"/>
      <c r="KIP113" s="33"/>
      <c r="KIQ113" s="33"/>
      <c r="KIR113" s="33"/>
      <c r="KIS113" s="33"/>
      <c r="KIT113" s="33"/>
      <c r="KIU113" s="33"/>
      <c r="KIV113" s="33"/>
      <c r="KIW113" s="33"/>
      <c r="KIX113" s="33"/>
      <c r="KIY113" s="33"/>
      <c r="KIZ113" s="33"/>
      <c r="KJA113" s="33"/>
      <c r="KJB113" s="33"/>
      <c r="KJC113" s="33"/>
      <c r="KJD113" s="33"/>
      <c r="KJE113" s="33"/>
      <c r="KJF113" s="33"/>
      <c r="KJG113" s="33"/>
      <c r="KJH113" s="33"/>
      <c r="KJI113" s="33"/>
      <c r="KJJ113" s="33"/>
      <c r="KJK113" s="33"/>
      <c r="KJL113" s="33"/>
      <c r="KJM113" s="33"/>
      <c r="KJN113" s="33"/>
      <c r="KJO113" s="33"/>
      <c r="KJP113" s="33"/>
      <c r="KJQ113" s="33"/>
      <c r="KJR113" s="33"/>
      <c r="KJS113" s="33"/>
      <c r="KJT113" s="33"/>
      <c r="KJU113" s="33"/>
      <c r="KJV113" s="33"/>
      <c r="KJW113" s="33"/>
      <c r="KJX113" s="33"/>
      <c r="KJY113" s="33"/>
      <c r="KJZ113" s="33"/>
      <c r="KKA113" s="33"/>
      <c r="KKB113" s="33"/>
      <c r="KKC113" s="33"/>
      <c r="KKD113" s="33"/>
      <c r="KKE113" s="33"/>
      <c r="KKF113" s="33"/>
      <c r="KKG113" s="33"/>
      <c r="KKH113" s="33"/>
      <c r="KKI113" s="33"/>
      <c r="KKJ113" s="33"/>
      <c r="KKK113" s="33"/>
      <c r="KKL113" s="33"/>
      <c r="KKM113" s="33"/>
      <c r="KKN113" s="33"/>
      <c r="KKO113" s="33"/>
      <c r="KKP113" s="33"/>
      <c r="KKQ113" s="33"/>
      <c r="KKR113" s="33"/>
      <c r="KKS113" s="33"/>
      <c r="KKT113" s="33"/>
      <c r="KKU113" s="33"/>
      <c r="KKV113" s="33"/>
      <c r="KKW113" s="33"/>
      <c r="KKX113" s="33"/>
      <c r="KKY113" s="33"/>
      <c r="KKZ113" s="33"/>
      <c r="KLA113" s="33"/>
      <c r="KLB113" s="33"/>
      <c r="KLC113" s="33"/>
      <c r="KLD113" s="33"/>
      <c r="KLE113" s="33"/>
      <c r="KLF113" s="33"/>
      <c r="KLG113" s="33"/>
      <c r="KLH113" s="33"/>
      <c r="KLI113" s="33"/>
      <c r="KLJ113" s="33"/>
      <c r="KLK113" s="33"/>
      <c r="KLL113" s="33"/>
      <c r="KLM113" s="33"/>
      <c r="KLN113" s="33"/>
      <c r="KLO113" s="33"/>
      <c r="KLP113" s="33"/>
      <c r="KLQ113" s="33"/>
      <c r="KLR113" s="33"/>
      <c r="KLS113" s="33"/>
      <c r="KLT113" s="33"/>
      <c r="KLU113" s="33"/>
      <c r="KLV113" s="33"/>
      <c r="KLW113" s="33"/>
      <c r="KLX113" s="33"/>
      <c r="KLY113" s="33"/>
      <c r="KLZ113" s="33"/>
      <c r="KMA113" s="33"/>
      <c r="KMB113" s="33"/>
      <c r="KMC113" s="33"/>
      <c r="KMD113" s="33"/>
      <c r="KME113" s="33"/>
      <c r="KMF113" s="33"/>
      <c r="KMG113" s="33"/>
      <c r="KMH113" s="33"/>
      <c r="KMI113" s="33"/>
      <c r="KMJ113" s="33"/>
      <c r="KMK113" s="33"/>
      <c r="KML113" s="33"/>
      <c r="KMM113" s="33"/>
      <c r="KMN113" s="33"/>
      <c r="KMO113" s="33"/>
      <c r="KMP113" s="33"/>
      <c r="KMQ113" s="33"/>
      <c r="KMR113" s="33"/>
      <c r="KMS113" s="33"/>
      <c r="KMT113" s="33"/>
      <c r="KMU113" s="33"/>
      <c r="KMV113" s="33"/>
      <c r="KMW113" s="33"/>
      <c r="KMX113" s="33"/>
      <c r="KMY113" s="33"/>
      <c r="KMZ113" s="33"/>
      <c r="KNA113" s="33"/>
      <c r="KNB113" s="33"/>
      <c r="KNC113" s="33"/>
      <c r="KND113" s="33"/>
      <c r="KNE113" s="33"/>
      <c r="KNF113" s="33"/>
      <c r="KNG113" s="33"/>
      <c r="KNH113" s="33"/>
      <c r="KNI113" s="33"/>
      <c r="KNJ113" s="33"/>
      <c r="KNK113" s="33"/>
      <c r="KNL113" s="33"/>
      <c r="KNM113" s="33"/>
      <c r="KNN113" s="33"/>
      <c r="KNO113" s="33"/>
      <c r="KNP113" s="33"/>
      <c r="KNQ113" s="33"/>
      <c r="KNR113" s="33"/>
      <c r="KNS113" s="33"/>
      <c r="KNT113" s="33"/>
      <c r="KNU113" s="33"/>
      <c r="KNV113" s="33"/>
      <c r="KNW113" s="33"/>
      <c r="KNX113" s="33"/>
      <c r="KNY113" s="33"/>
      <c r="KNZ113" s="33"/>
      <c r="KOA113" s="33"/>
      <c r="KOB113" s="33"/>
      <c r="KOC113" s="33"/>
      <c r="KOD113" s="33"/>
      <c r="KOE113" s="33"/>
      <c r="KOF113" s="33"/>
      <c r="KOG113" s="33"/>
      <c r="KOH113" s="33"/>
      <c r="KOI113" s="33"/>
      <c r="KOJ113" s="33"/>
      <c r="KOK113" s="33"/>
      <c r="KOL113" s="33"/>
      <c r="KOM113" s="33"/>
      <c r="KON113" s="33"/>
      <c r="KOO113" s="33"/>
      <c r="KOP113" s="33"/>
      <c r="KOQ113" s="33"/>
      <c r="KOR113" s="33"/>
      <c r="KOS113" s="33"/>
      <c r="KOT113" s="33"/>
      <c r="KOU113" s="33"/>
      <c r="KOV113" s="33"/>
      <c r="KOW113" s="33"/>
      <c r="KOX113" s="33"/>
      <c r="KOY113" s="33"/>
      <c r="KOZ113" s="33"/>
      <c r="KPA113" s="33"/>
      <c r="KPB113" s="33"/>
      <c r="KPC113" s="33"/>
      <c r="KPD113" s="33"/>
      <c r="KPE113" s="33"/>
      <c r="KPF113" s="33"/>
      <c r="KPG113" s="33"/>
      <c r="KPH113" s="33"/>
      <c r="KPI113" s="33"/>
      <c r="KPJ113" s="33"/>
      <c r="KPK113" s="33"/>
      <c r="KPL113" s="33"/>
      <c r="KPM113" s="33"/>
      <c r="KPN113" s="33"/>
      <c r="KPO113" s="33"/>
      <c r="KPP113" s="33"/>
      <c r="KPQ113" s="33"/>
      <c r="KPR113" s="33"/>
      <c r="KPS113" s="33"/>
      <c r="KPT113" s="33"/>
      <c r="KPU113" s="33"/>
      <c r="KPV113" s="33"/>
      <c r="KPW113" s="33"/>
      <c r="KPX113" s="33"/>
      <c r="KPY113" s="33"/>
      <c r="KPZ113" s="33"/>
      <c r="KQA113" s="33"/>
      <c r="KQB113" s="33"/>
      <c r="KQC113" s="33"/>
      <c r="KQD113" s="33"/>
      <c r="KQE113" s="33"/>
      <c r="KQF113" s="33"/>
      <c r="KQG113" s="33"/>
      <c r="KQH113" s="33"/>
      <c r="KQI113" s="33"/>
      <c r="KQJ113" s="33"/>
      <c r="KQK113" s="33"/>
      <c r="KQL113" s="33"/>
      <c r="KQM113" s="33"/>
      <c r="KQN113" s="33"/>
      <c r="KQO113" s="33"/>
      <c r="KQP113" s="33"/>
      <c r="KQQ113" s="33"/>
      <c r="KQR113" s="33"/>
      <c r="KQS113" s="33"/>
      <c r="KQT113" s="33"/>
      <c r="KQU113" s="33"/>
      <c r="KQV113" s="33"/>
      <c r="KQW113" s="33"/>
      <c r="KQX113" s="33"/>
      <c r="KQY113" s="33"/>
      <c r="KQZ113" s="33"/>
      <c r="KRA113" s="33"/>
      <c r="KRB113" s="33"/>
      <c r="KRC113" s="33"/>
      <c r="KRD113" s="33"/>
      <c r="KRE113" s="33"/>
      <c r="KRF113" s="33"/>
      <c r="KRG113" s="33"/>
      <c r="KRH113" s="33"/>
      <c r="KRI113" s="33"/>
      <c r="KRJ113" s="33"/>
      <c r="KRK113" s="33"/>
      <c r="KRL113" s="33"/>
      <c r="KRM113" s="33"/>
      <c r="KRN113" s="33"/>
      <c r="KRO113" s="33"/>
      <c r="KRP113" s="33"/>
      <c r="KRQ113" s="33"/>
      <c r="KRR113" s="33"/>
      <c r="KRS113" s="33"/>
      <c r="KRT113" s="33"/>
      <c r="KRU113" s="33"/>
      <c r="KRV113" s="33"/>
      <c r="KRW113" s="33"/>
      <c r="KRX113" s="33"/>
      <c r="KRY113" s="33"/>
      <c r="KRZ113" s="33"/>
      <c r="KSA113" s="33"/>
      <c r="KSB113" s="33"/>
      <c r="KSC113" s="33"/>
      <c r="KSD113" s="33"/>
      <c r="KSE113" s="33"/>
      <c r="KSF113" s="33"/>
      <c r="KSG113" s="33"/>
      <c r="KSH113" s="33"/>
      <c r="KSI113" s="33"/>
      <c r="KSJ113" s="33"/>
      <c r="KSK113" s="33"/>
      <c r="KSL113" s="33"/>
      <c r="KSM113" s="33"/>
      <c r="KSN113" s="33"/>
      <c r="KSO113" s="33"/>
      <c r="KSP113" s="33"/>
      <c r="KSQ113" s="33"/>
      <c r="KSR113" s="33"/>
      <c r="KSS113" s="33"/>
      <c r="KST113" s="33"/>
      <c r="KSU113" s="33"/>
      <c r="KSV113" s="33"/>
      <c r="KSW113" s="33"/>
      <c r="KSX113" s="33"/>
      <c r="KSY113" s="33"/>
      <c r="KSZ113" s="33"/>
      <c r="KTA113" s="33"/>
      <c r="KTB113" s="33"/>
      <c r="KTC113" s="33"/>
      <c r="KTD113" s="33"/>
      <c r="KTE113" s="33"/>
      <c r="KTF113" s="33"/>
      <c r="KTG113" s="33"/>
      <c r="KTH113" s="33"/>
      <c r="KTI113" s="33"/>
      <c r="KTJ113" s="33"/>
      <c r="KTK113" s="33"/>
      <c r="KTL113" s="33"/>
      <c r="KTM113" s="33"/>
      <c r="KTN113" s="33"/>
      <c r="KTO113" s="33"/>
      <c r="KTP113" s="33"/>
      <c r="KTQ113" s="33"/>
      <c r="KTR113" s="33"/>
      <c r="KTS113" s="33"/>
      <c r="KTT113" s="33"/>
      <c r="KTU113" s="33"/>
      <c r="KTV113" s="33"/>
      <c r="KTW113" s="33"/>
      <c r="KTX113" s="33"/>
      <c r="KTY113" s="33"/>
      <c r="KTZ113" s="33"/>
      <c r="KUA113" s="33"/>
      <c r="KUB113" s="33"/>
      <c r="KUC113" s="33"/>
      <c r="KUD113" s="33"/>
      <c r="KUE113" s="33"/>
      <c r="KUF113" s="33"/>
      <c r="KUG113" s="33"/>
      <c r="KUH113" s="33"/>
      <c r="KUI113" s="33"/>
      <c r="KUJ113" s="33"/>
      <c r="KUK113" s="33"/>
      <c r="KUL113" s="33"/>
      <c r="KUM113" s="33"/>
      <c r="KUN113" s="33"/>
      <c r="KUO113" s="33"/>
      <c r="KUP113" s="33"/>
      <c r="KUQ113" s="33"/>
      <c r="KUR113" s="33"/>
      <c r="KUS113" s="33"/>
      <c r="KUT113" s="33"/>
      <c r="KUU113" s="33"/>
      <c r="KUV113" s="33"/>
      <c r="KUW113" s="33"/>
      <c r="KUX113" s="33"/>
      <c r="KUY113" s="33"/>
      <c r="KUZ113" s="33"/>
      <c r="KVA113" s="33"/>
      <c r="KVB113" s="33"/>
      <c r="KVC113" s="33"/>
      <c r="KVD113" s="33"/>
      <c r="KVE113" s="33"/>
      <c r="KVF113" s="33"/>
      <c r="KVG113" s="33"/>
      <c r="KVH113" s="33"/>
      <c r="KVI113" s="33"/>
      <c r="KVJ113" s="33"/>
      <c r="KVK113" s="33"/>
      <c r="KVL113" s="33"/>
      <c r="KVM113" s="33"/>
      <c r="KVN113" s="33"/>
      <c r="KVO113" s="33"/>
      <c r="KVP113" s="33"/>
      <c r="KVQ113" s="33"/>
      <c r="KVR113" s="33"/>
      <c r="KVS113" s="33"/>
      <c r="KVT113" s="33"/>
      <c r="KVU113" s="33"/>
      <c r="KVV113" s="33"/>
      <c r="KVW113" s="33"/>
      <c r="KVX113" s="33"/>
      <c r="KVY113" s="33"/>
      <c r="KVZ113" s="33"/>
      <c r="KWA113" s="33"/>
      <c r="KWB113" s="33"/>
      <c r="KWC113" s="33"/>
      <c r="KWD113" s="33"/>
      <c r="KWE113" s="33"/>
      <c r="KWF113" s="33"/>
      <c r="KWG113" s="33"/>
      <c r="KWH113" s="33"/>
      <c r="KWI113" s="33"/>
      <c r="KWJ113" s="33"/>
      <c r="KWK113" s="33"/>
      <c r="KWL113" s="33"/>
      <c r="KWM113" s="33"/>
      <c r="KWN113" s="33"/>
      <c r="KWO113" s="33"/>
      <c r="KWP113" s="33"/>
      <c r="KWQ113" s="33"/>
      <c r="KWR113" s="33"/>
      <c r="KWS113" s="33"/>
      <c r="KWT113" s="33"/>
      <c r="KWU113" s="33"/>
      <c r="KWV113" s="33"/>
      <c r="KWW113" s="33"/>
      <c r="KWX113" s="33"/>
      <c r="KWY113" s="33"/>
      <c r="KWZ113" s="33"/>
      <c r="KXA113" s="33"/>
      <c r="KXB113" s="33"/>
      <c r="KXC113" s="33"/>
      <c r="KXD113" s="33"/>
      <c r="KXE113" s="33"/>
      <c r="KXF113" s="33"/>
      <c r="KXG113" s="33"/>
      <c r="KXH113" s="33"/>
      <c r="KXI113" s="33"/>
      <c r="KXJ113" s="33"/>
      <c r="KXK113" s="33"/>
      <c r="KXL113" s="33"/>
      <c r="KXM113" s="33"/>
      <c r="KXN113" s="33"/>
      <c r="KXO113" s="33"/>
      <c r="KXP113" s="33"/>
      <c r="KXQ113" s="33"/>
      <c r="KXR113" s="33"/>
      <c r="KXS113" s="33"/>
      <c r="KXT113" s="33"/>
      <c r="KXU113" s="33"/>
      <c r="KXV113" s="33"/>
      <c r="KXW113" s="33"/>
      <c r="KXX113" s="33"/>
      <c r="KXY113" s="33"/>
      <c r="KXZ113" s="33"/>
      <c r="KYA113" s="33"/>
      <c r="KYB113" s="33"/>
      <c r="KYC113" s="33"/>
      <c r="KYD113" s="33"/>
      <c r="KYE113" s="33"/>
      <c r="KYF113" s="33"/>
      <c r="KYG113" s="33"/>
      <c r="KYH113" s="33"/>
      <c r="KYI113" s="33"/>
      <c r="KYJ113" s="33"/>
      <c r="KYK113" s="33"/>
      <c r="KYL113" s="33"/>
      <c r="KYM113" s="33"/>
      <c r="KYN113" s="33"/>
      <c r="KYO113" s="33"/>
      <c r="KYP113" s="33"/>
      <c r="KYQ113" s="33"/>
      <c r="KYR113" s="33"/>
      <c r="KYS113" s="33"/>
      <c r="KYT113" s="33"/>
      <c r="KYU113" s="33"/>
      <c r="KYV113" s="33"/>
      <c r="KYW113" s="33"/>
      <c r="KYX113" s="33"/>
      <c r="KYY113" s="33"/>
      <c r="KYZ113" s="33"/>
      <c r="KZA113" s="33"/>
      <c r="KZB113" s="33"/>
      <c r="KZC113" s="33"/>
      <c r="KZD113" s="33"/>
      <c r="KZE113" s="33"/>
      <c r="KZF113" s="33"/>
      <c r="KZG113" s="33"/>
      <c r="KZH113" s="33"/>
      <c r="KZI113" s="33"/>
      <c r="KZJ113" s="33"/>
      <c r="KZK113" s="33"/>
      <c r="KZL113" s="33"/>
      <c r="KZM113" s="33"/>
      <c r="KZN113" s="33"/>
      <c r="KZO113" s="33"/>
      <c r="KZP113" s="33"/>
      <c r="KZQ113" s="33"/>
      <c r="KZR113" s="33"/>
      <c r="KZS113" s="33"/>
      <c r="KZT113" s="33"/>
      <c r="KZU113" s="33"/>
      <c r="KZV113" s="33"/>
      <c r="KZW113" s="33"/>
      <c r="KZX113" s="33"/>
      <c r="KZY113" s="33"/>
      <c r="KZZ113" s="33"/>
      <c r="LAA113" s="33"/>
      <c r="LAB113" s="33"/>
      <c r="LAC113" s="33"/>
      <c r="LAD113" s="33"/>
      <c r="LAE113" s="33"/>
      <c r="LAF113" s="33"/>
      <c r="LAG113" s="33"/>
      <c r="LAH113" s="33"/>
      <c r="LAI113" s="33"/>
      <c r="LAJ113" s="33"/>
      <c r="LAK113" s="33"/>
      <c r="LAL113" s="33"/>
      <c r="LAM113" s="33"/>
      <c r="LAN113" s="33"/>
      <c r="LAO113" s="33"/>
      <c r="LAP113" s="33"/>
      <c r="LAQ113" s="33"/>
      <c r="LAR113" s="33"/>
      <c r="LAS113" s="33"/>
      <c r="LAT113" s="33"/>
      <c r="LAU113" s="33"/>
      <c r="LAV113" s="33"/>
      <c r="LAW113" s="33"/>
      <c r="LAX113" s="33"/>
      <c r="LAY113" s="33"/>
      <c r="LAZ113" s="33"/>
      <c r="LBA113" s="33"/>
      <c r="LBB113" s="33"/>
      <c r="LBC113" s="33"/>
      <c r="LBD113" s="33"/>
      <c r="LBE113" s="33"/>
      <c r="LBF113" s="33"/>
      <c r="LBG113" s="33"/>
      <c r="LBH113" s="33"/>
      <c r="LBI113" s="33"/>
      <c r="LBJ113" s="33"/>
      <c r="LBK113" s="33"/>
      <c r="LBL113" s="33"/>
      <c r="LBM113" s="33"/>
      <c r="LBN113" s="33"/>
      <c r="LBO113" s="33"/>
      <c r="LBP113" s="33"/>
      <c r="LBQ113" s="33"/>
      <c r="LBR113" s="33"/>
      <c r="LBS113" s="33"/>
      <c r="LBT113" s="33"/>
      <c r="LBU113" s="33"/>
      <c r="LBV113" s="33"/>
      <c r="LBW113" s="33"/>
      <c r="LBX113" s="33"/>
      <c r="LBY113" s="33"/>
      <c r="LBZ113" s="33"/>
      <c r="LCA113" s="33"/>
      <c r="LCB113" s="33"/>
      <c r="LCC113" s="33"/>
      <c r="LCD113" s="33"/>
      <c r="LCE113" s="33"/>
      <c r="LCF113" s="33"/>
      <c r="LCG113" s="33"/>
      <c r="LCH113" s="33"/>
      <c r="LCI113" s="33"/>
      <c r="LCJ113" s="33"/>
      <c r="LCK113" s="33"/>
      <c r="LCL113" s="33"/>
      <c r="LCM113" s="33"/>
      <c r="LCN113" s="33"/>
      <c r="LCO113" s="33"/>
      <c r="LCP113" s="33"/>
      <c r="LCQ113" s="33"/>
      <c r="LCR113" s="33"/>
      <c r="LCS113" s="33"/>
      <c r="LCT113" s="33"/>
      <c r="LCU113" s="33"/>
      <c r="LCV113" s="33"/>
      <c r="LCW113" s="33"/>
      <c r="LCX113" s="33"/>
      <c r="LCY113" s="33"/>
      <c r="LCZ113" s="33"/>
      <c r="LDA113" s="33"/>
      <c r="LDB113" s="33"/>
      <c r="LDC113" s="33"/>
      <c r="LDD113" s="33"/>
      <c r="LDE113" s="33"/>
      <c r="LDF113" s="33"/>
      <c r="LDG113" s="33"/>
      <c r="LDH113" s="33"/>
      <c r="LDI113" s="33"/>
      <c r="LDJ113" s="33"/>
      <c r="LDK113" s="33"/>
      <c r="LDL113" s="33"/>
      <c r="LDM113" s="33"/>
      <c r="LDN113" s="33"/>
      <c r="LDO113" s="33"/>
      <c r="LDP113" s="33"/>
      <c r="LDQ113" s="33"/>
      <c r="LDR113" s="33"/>
      <c r="LDS113" s="33"/>
      <c r="LDT113" s="33"/>
      <c r="LDU113" s="33"/>
      <c r="LDV113" s="33"/>
      <c r="LDW113" s="33"/>
      <c r="LDX113" s="33"/>
      <c r="LDY113" s="33"/>
      <c r="LDZ113" s="33"/>
      <c r="LEA113" s="33"/>
      <c r="LEB113" s="33"/>
      <c r="LEC113" s="33"/>
      <c r="LED113" s="33"/>
      <c r="LEE113" s="33"/>
      <c r="LEF113" s="33"/>
      <c r="LEG113" s="33"/>
      <c r="LEH113" s="33"/>
      <c r="LEI113" s="33"/>
      <c r="LEJ113" s="33"/>
      <c r="LEK113" s="33"/>
      <c r="LEL113" s="33"/>
      <c r="LEM113" s="33"/>
      <c r="LEN113" s="33"/>
      <c r="LEO113" s="33"/>
      <c r="LEP113" s="33"/>
      <c r="LEQ113" s="33"/>
      <c r="LER113" s="33"/>
      <c r="LES113" s="33"/>
      <c r="LET113" s="33"/>
      <c r="LEU113" s="33"/>
      <c r="LEV113" s="33"/>
      <c r="LEW113" s="33"/>
      <c r="LEX113" s="33"/>
      <c r="LEY113" s="33"/>
      <c r="LEZ113" s="33"/>
      <c r="LFA113" s="33"/>
      <c r="LFB113" s="33"/>
      <c r="LFC113" s="33"/>
      <c r="LFD113" s="33"/>
      <c r="LFE113" s="33"/>
      <c r="LFF113" s="33"/>
      <c r="LFG113" s="33"/>
      <c r="LFH113" s="33"/>
      <c r="LFI113" s="33"/>
      <c r="LFJ113" s="33"/>
      <c r="LFK113" s="33"/>
      <c r="LFL113" s="33"/>
      <c r="LFM113" s="33"/>
      <c r="LFN113" s="33"/>
      <c r="LFO113" s="33"/>
      <c r="LFP113" s="33"/>
      <c r="LFQ113" s="33"/>
      <c r="LFR113" s="33"/>
      <c r="LFS113" s="33"/>
      <c r="LFT113" s="33"/>
      <c r="LFU113" s="33"/>
      <c r="LFV113" s="33"/>
      <c r="LFW113" s="33"/>
      <c r="LFX113" s="33"/>
      <c r="LFY113" s="33"/>
      <c r="LFZ113" s="33"/>
      <c r="LGA113" s="33"/>
      <c r="LGB113" s="33"/>
      <c r="LGC113" s="33"/>
      <c r="LGD113" s="33"/>
      <c r="LGE113" s="33"/>
      <c r="LGF113" s="33"/>
      <c r="LGG113" s="33"/>
      <c r="LGH113" s="33"/>
      <c r="LGI113" s="33"/>
      <c r="LGJ113" s="33"/>
      <c r="LGK113" s="33"/>
      <c r="LGL113" s="33"/>
      <c r="LGM113" s="33"/>
      <c r="LGN113" s="33"/>
      <c r="LGO113" s="33"/>
      <c r="LGP113" s="33"/>
      <c r="LGQ113" s="33"/>
      <c r="LGR113" s="33"/>
      <c r="LGS113" s="33"/>
      <c r="LGT113" s="33"/>
      <c r="LGU113" s="33"/>
      <c r="LGV113" s="33"/>
      <c r="LGW113" s="33"/>
      <c r="LGX113" s="33"/>
      <c r="LGY113" s="33"/>
      <c r="LGZ113" s="33"/>
      <c r="LHA113" s="33"/>
      <c r="LHB113" s="33"/>
      <c r="LHC113" s="33"/>
      <c r="LHD113" s="33"/>
      <c r="LHE113" s="33"/>
      <c r="LHF113" s="33"/>
      <c r="LHG113" s="33"/>
      <c r="LHH113" s="33"/>
      <c r="LHI113" s="33"/>
      <c r="LHJ113" s="33"/>
      <c r="LHK113" s="33"/>
      <c r="LHL113" s="33"/>
      <c r="LHM113" s="33"/>
      <c r="LHN113" s="33"/>
      <c r="LHO113" s="33"/>
      <c r="LHP113" s="33"/>
      <c r="LHQ113" s="33"/>
      <c r="LHR113" s="33"/>
      <c r="LHS113" s="33"/>
      <c r="LHT113" s="33"/>
      <c r="LHU113" s="33"/>
      <c r="LHV113" s="33"/>
      <c r="LHW113" s="33"/>
      <c r="LHX113" s="33"/>
      <c r="LHY113" s="33"/>
      <c r="LHZ113" s="33"/>
      <c r="LIA113" s="33"/>
      <c r="LIB113" s="33"/>
      <c r="LIC113" s="33"/>
      <c r="LID113" s="33"/>
      <c r="LIE113" s="33"/>
      <c r="LIF113" s="33"/>
      <c r="LIG113" s="33"/>
      <c r="LIH113" s="33"/>
      <c r="LII113" s="33"/>
      <c r="LIJ113" s="33"/>
      <c r="LIK113" s="33"/>
      <c r="LIL113" s="33"/>
      <c r="LIM113" s="33"/>
      <c r="LIN113" s="33"/>
      <c r="LIO113" s="33"/>
      <c r="LIP113" s="33"/>
      <c r="LIQ113" s="33"/>
      <c r="LIR113" s="33"/>
      <c r="LIS113" s="33"/>
      <c r="LIT113" s="33"/>
      <c r="LIU113" s="33"/>
      <c r="LIV113" s="33"/>
      <c r="LIW113" s="33"/>
      <c r="LIX113" s="33"/>
      <c r="LIY113" s="33"/>
      <c r="LIZ113" s="33"/>
      <c r="LJA113" s="33"/>
      <c r="LJB113" s="33"/>
      <c r="LJC113" s="33"/>
      <c r="LJD113" s="33"/>
      <c r="LJE113" s="33"/>
      <c r="LJF113" s="33"/>
      <c r="LJG113" s="33"/>
      <c r="LJH113" s="33"/>
      <c r="LJI113" s="33"/>
      <c r="LJJ113" s="33"/>
      <c r="LJK113" s="33"/>
      <c r="LJL113" s="33"/>
      <c r="LJM113" s="33"/>
      <c r="LJN113" s="33"/>
      <c r="LJO113" s="33"/>
      <c r="LJP113" s="33"/>
      <c r="LJQ113" s="33"/>
      <c r="LJR113" s="33"/>
      <c r="LJS113" s="33"/>
      <c r="LJT113" s="33"/>
      <c r="LJU113" s="33"/>
      <c r="LJV113" s="33"/>
      <c r="LJW113" s="33"/>
      <c r="LJX113" s="33"/>
      <c r="LJY113" s="33"/>
      <c r="LJZ113" s="33"/>
      <c r="LKA113" s="33"/>
      <c r="LKB113" s="33"/>
      <c r="LKC113" s="33"/>
      <c r="LKD113" s="33"/>
      <c r="LKE113" s="33"/>
      <c r="LKF113" s="33"/>
      <c r="LKG113" s="33"/>
      <c r="LKH113" s="33"/>
      <c r="LKI113" s="33"/>
      <c r="LKJ113" s="33"/>
      <c r="LKK113" s="33"/>
      <c r="LKL113" s="33"/>
      <c r="LKM113" s="33"/>
      <c r="LKN113" s="33"/>
      <c r="LKO113" s="33"/>
      <c r="LKP113" s="33"/>
      <c r="LKQ113" s="33"/>
      <c r="LKR113" s="33"/>
      <c r="LKS113" s="33"/>
      <c r="LKT113" s="33"/>
      <c r="LKU113" s="33"/>
      <c r="LKV113" s="33"/>
      <c r="LKW113" s="33"/>
      <c r="LKX113" s="33"/>
      <c r="LKY113" s="33"/>
      <c r="LKZ113" s="33"/>
      <c r="LLA113" s="33"/>
      <c r="LLB113" s="33"/>
      <c r="LLC113" s="33"/>
      <c r="LLD113" s="33"/>
      <c r="LLE113" s="33"/>
      <c r="LLF113" s="33"/>
      <c r="LLG113" s="33"/>
      <c r="LLH113" s="33"/>
      <c r="LLI113" s="33"/>
      <c r="LLJ113" s="33"/>
      <c r="LLK113" s="33"/>
      <c r="LLL113" s="33"/>
      <c r="LLM113" s="33"/>
      <c r="LLN113" s="33"/>
      <c r="LLO113" s="33"/>
      <c r="LLP113" s="33"/>
      <c r="LLQ113" s="33"/>
      <c r="LLR113" s="33"/>
      <c r="LLS113" s="33"/>
      <c r="LLT113" s="33"/>
      <c r="LLU113" s="33"/>
      <c r="LLV113" s="33"/>
      <c r="LLW113" s="33"/>
      <c r="LLX113" s="33"/>
      <c r="LLY113" s="33"/>
      <c r="LLZ113" s="33"/>
      <c r="LMA113" s="33"/>
      <c r="LMB113" s="33"/>
      <c r="LMC113" s="33"/>
      <c r="LMD113" s="33"/>
      <c r="LME113" s="33"/>
      <c r="LMF113" s="33"/>
      <c r="LMG113" s="33"/>
      <c r="LMH113" s="33"/>
      <c r="LMI113" s="33"/>
      <c r="LMJ113" s="33"/>
      <c r="LMK113" s="33"/>
      <c r="LML113" s="33"/>
      <c r="LMM113" s="33"/>
      <c r="LMN113" s="33"/>
      <c r="LMO113" s="33"/>
      <c r="LMP113" s="33"/>
      <c r="LMQ113" s="33"/>
      <c r="LMR113" s="33"/>
      <c r="LMS113" s="33"/>
      <c r="LMT113" s="33"/>
      <c r="LMU113" s="33"/>
      <c r="LMV113" s="33"/>
      <c r="LMW113" s="33"/>
      <c r="LMX113" s="33"/>
      <c r="LMY113" s="33"/>
      <c r="LMZ113" s="33"/>
      <c r="LNA113" s="33"/>
      <c r="LNB113" s="33"/>
      <c r="LNC113" s="33"/>
      <c r="LND113" s="33"/>
      <c r="LNE113" s="33"/>
      <c r="LNF113" s="33"/>
      <c r="LNG113" s="33"/>
      <c r="LNH113" s="33"/>
      <c r="LNI113" s="33"/>
      <c r="LNJ113" s="33"/>
      <c r="LNK113" s="33"/>
      <c r="LNL113" s="33"/>
      <c r="LNM113" s="33"/>
      <c r="LNN113" s="33"/>
      <c r="LNO113" s="33"/>
      <c r="LNP113" s="33"/>
      <c r="LNQ113" s="33"/>
      <c r="LNR113" s="33"/>
      <c r="LNS113" s="33"/>
      <c r="LNT113" s="33"/>
      <c r="LNU113" s="33"/>
      <c r="LNV113" s="33"/>
      <c r="LNW113" s="33"/>
      <c r="LNX113" s="33"/>
      <c r="LNY113" s="33"/>
      <c r="LNZ113" s="33"/>
      <c r="LOA113" s="33"/>
      <c r="LOB113" s="33"/>
      <c r="LOC113" s="33"/>
      <c r="LOD113" s="33"/>
      <c r="LOE113" s="33"/>
      <c r="LOF113" s="33"/>
      <c r="LOG113" s="33"/>
      <c r="LOH113" s="33"/>
      <c r="LOI113" s="33"/>
      <c r="LOJ113" s="33"/>
      <c r="LOK113" s="33"/>
      <c r="LOL113" s="33"/>
      <c r="LOM113" s="33"/>
      <c r="LON113" s="33"/>
      <c r="LOO113" s="33"/>
      <c r="LOP113" s="33"/>
      <c r="LOQ113" s="33"/>
      <c r="LOR113" s="33"/>
      <c r="LOS113" s="33"/>
      <c r="LOT113" s="33"/>
      <c r="LOU113" s="33"/>
      <c r="LOV113" s="33"/>
      <c r="LOW113" s="33"/>
      <c r="LOX113" s="33"/>
      <c r="LOY113" s="33"/>
      <c r="LOZ113" s="33"/>
      <c r="LPA113" s="33"/>
      <c r="LPB113" s="33"/>
      <c r="LPC113" s="33"/>
      <c r="LPD113" s="33"/>
      <c r="LPE113" s="33"/>
      <c r="LPF113" s="33"/>
      <c r="LPG113" s="33"/>
      <c r="LPH113" s="33"/>
      <c r="LPI113" s="33"/>
      <c r="LPJ113" s="33"/>
      <c r="LPK113" s="33"/>
      <c r="LPL113" s="33"/>
      <c r="LPM113" s="33"/>
      <c r="LPN113" s="33"/>
      <c r="LPO113" s="33"/>
      <c r="LPP113" s="33"/>
      <c r="LPQ113" s="33"/>
      <c r="LPR113" s="33"/>
      <c r="LPS113" s="33"/>
      <c r="LPT113" s="33"/>
      <c r="LPU113" s="33"/>
      <c r="LPV113" s="33"/>
      <c r="LPW113" s="33"/>
      <c r="LPX113" s="33"/>
      <c r="LPY113" s="33"/>
      <c r="LPZ113" s="33"/>
      <c r="LQA113" s="33"/>
      <c r="LQB113" s="33"/>
      <c r="LQC113" s="33"/>
      <c r="LQD113" s="33"/>
      <c r="LQE113" s="33"/>
      <c r="LQF113" s="33"/>
      <c r="LQG113" s="33"/>
      <c r="LQH113" s="33"/>
      <c r="LQI113" s="33"/>
      <c r="LQJ113" s="33"/>
      <c r="LQK113" s="33"/>
      <c r="LQL113" s="33"/>
      <c r="LQM113" s="33"/>
      <c r="LQN113" s="33"/>
      <c r="LQO113" s="33"/>
      <c r="LQP113" s="33"/>
      <c r="LQQ113" s="33"/>
      <c r="LQR113" s="33"/>
      <c r="LQS113" s="33"/>
      <c r="LQT113" s="33"/>
      <c r="LQU113" s="33"/>
      <c r="LQV113" s="33"/>
      <c r="LQW113" s="33"/>
      <c r="LQX113" s="33"/>
      <c r="LQY113" s="33"/>
      <c r="LQZ113" s="33"/>
      <c r="LRA113" s="33"/>
      <c r="LRB113" s="33"/>
      <c r="LRC113" s="33"/>
      <c r="LRD113" s="33"/>
      <c r="LRE113" s="33"/>
      <c r="LRF113" s="33"/>
      <c r="LRG113" s="33"/>
      <c r="LRH113" s="33"/>
      <c r="LRI113" s="33"/>
      <c r="LRJ113" s="33"/>
      <c r="LRK113" s="33"/>
      <c r="LRL113" s="33"/>
      <c r="LRM113" s="33"/>
      <c r="LRN113" s="33"/>
      <c r="LRO113" s="33"/>
      <c r="LRP113" s="33"/>
      <c r="LRQ113" s="33"/>
      <c r="LRR113" s="33"/>
      <c r="LRS113" s="33"/>
      <c r="LRT113" s="33"/>
      <c r="LRU113" s="33"/>
      <c r="LRV113" s="33"/>
      <c r="LRW113" s="33"/>
      <c r="LRX113" s="33"/>
      <c r="LRY113" s="33"/>
      <c r="LRZ113" s="33"/>
      <c r="LSA113" s="33"/>
      <c r="LSB113" s="33"/>
      <c r="LSC113" s="33"/>
      <c r="LSD113" s="33"/>
      <c r="LSE113" s="33"/>
      <c r="LSF113" s="33"/>
      <c r="LSG113" s="33"/>
      <c r="LSH113" s="33"/>
      <c r="LSI113" s="33"/>
      <c r="LSJ113" s="33"/>
      <c r="LSK113" s="33"/>
      <c r="LSL113" s="33"/>
      <c r="LSM113" s="33"/>
      <c r="LSN113" s="33"/>
      <c r="LSO113" s="33"/>
      <c r="LSP113" s="33"/>
      <c r="LSQ113" s="33"/>
      <c r="LSR113" s="33"/>
      <c r="LSS113" s="33"/>
      <c r="LST113" s="33"/>
      <c r="LSU113" s="33"/>
      <c r="LSV113" s="33"/>
      <c r="LSW113" s="33"/>
      <c r="LSX113" s="33"/>
      <c r="LSY113" s="33"/>
      <c r="LSZ113" s="33"/>
      <c r="LTA113" s="33"/>
      <c r="LTB113" s="33"/>
      <c r="LTC113" s="33"/>
      <c r="LTD113" s="33"/>
      <c r="LTE113" s="33"/>
      <c r="LTF113" s="33"/>
      <c r="LTG113" s="33"/>
      <c r="LTH113" s="33"/>
      <c r="LTI113" s="33"/>
      <c r="LTJ113" s="33"/>
      <c r="LTK113" s="33"/>
      <c r="LTL113" s="33"/>
      <c r="LTM113" s="33"/>
      <c r="LTN113" s="33"/>
      <c r="LTO113" s="33"/>
      <c r="LTP113" s="33"/>
      <c r="LTQ113" s="33"/>
      <c r="LTR113" s="33"/>
      <c r="LTS113" s="33"/>
      <c r="LTT113" s="33"/>
      <c r="LTU113" s="33"/>
      <c r="LTV113" s="33"/>
      <c r="LTW113" s="33"/>
      <c r="LTX113" s="33"/>
      <c r="LTY113" s="33"/>
      <c r="LTZ113" s="33"/>
      <c r="LUA113" s="33"/>
      <c r="LUB113" s="33"/>
      <c r="LUC113" s="33"/>
      <c r="LUD113" s="33"/>
      <c r="LUE113" s="33"/>
      <c r="LUF113" s="33"/>
      <c r="LUG113" s="33"/>
      <c r="LUH113" s="33"/>
      <c r="LUI113" s="33"/>
      <c r="LUJ113" s="33"/>
      <c r="LUK113" s="33"/>
      <c r="LUL113" s="33"/>
      <c r="LUM113" s="33"/>
      <c r="LUN113" s="33"/>
      <c r="LUO113" s="33"/>
      <c r="LUP113" s="33"/>
      <c r="LUQ113" s="33"/>
      <c r="LUR113" s="33"/>
      <c r="LUS113" s="33"/>
      <c r="LUT113" s="33"/>
      <c r="LUU113" s="33"/>
      <c r="LUV113" s="33"/>
      <c r="LUW113" s="33"/>
      <c r="LUX113" s="33"/>
      <c r="LUY113" s="33"/>
      <c r="LUZ113" s="33"/>
      <c r="LVA113" s="33"/>
      <c r="LVB113" s="33"/>
      <c r="LVC113" s="33"/>
      <c r="LVD113" s="33"/>
      <c r="LVE113" s="33"/>
      <c r="LVF113" s="33"/>
      <c r="LVG113" s="33"/>
      <c r="LVH113" s="33"/>
      <c r="LVI113" s="33"/>
      <c r="LVJ113" s="33"/>
      <c r="LVK113" s="33"/>
      <c r="LVL113" s="33"/>
      <c r="LVM113" s="33"/>
      <c r="LVN113" s="33"/>
      <c r="LVO113" s="33"/>
      <c r="LVP113" s="33"/>
      <c r="LVQ113" s="33"/>
      <c r="LVR113" s="33"/>
      <c r="LVS113" s="33"/>
      <c r="LVT113" s="33"/>
      <c r="LVU113" s="33"/>
      <c r="LVV113" s="33"/>
      <c r="LVW113" s="33"/>
      <c r="LVX113" s="33"/>
      <c r="LVY113" s="33"/>
      <c r="LVZ113" s="33"/>
      <c r="LWA113" s="33"/>
      <c r="LWB113" s="33"/>
      <c r="LWC113" s="33"/>
      <c r="LWD113" s="33"/>
      <c r="LWE113" s="33"/>
      <c r="LWF113" s="33"/>
      <c r="LWG113" s="33"/>
      <c r="LWH113" s="33"/>
      <c r="LWI113" s="33"/>
      <c r="LWJ113" s="33"/>
      <c r="LWK113" s="33"/>
      <c r="LWL113" s="33"/>
      <c r="LWM113" s="33"/>
      <c r="LWN113" s="33"/>
      <c r="LWO113" s="33"/>
      <c r="LWP113" s="33"/>
      <c r="LWQ113" s="33"/>
      <c r="LWR113" s="33"/>
      <c r="LWS113" s="33"/>
      <c r="LWT113" s="33"/>
      <c r="LWU113" s="33"/>
      <c r="LWV113" s="33"/>
      <c r="LWW113" s="33"/>
      <c r="LWX113" s="33"/>
      <c r="LWY113" s="33"/>
      <c r="LWZ113" s="33"/>
      <c r="LXA113" s="33"/>
      <c r="LXB113" s="33"/>
      <c r="LXC113" s="33"/>
      <c r="LXD113" s="33"/>
      <c r="LXE113" s="33"/>
      <c r="LXF113" s="33"/>
      <c r="LXG113" s="33"/>
      <c r="LXH113" s="33"/>
      <c r="LXI113" s="33"/>
      <c r="LXJ113" s="33"/>
      <c r="LXK113" s="33"/>
      <c r="LXL113" s="33"/>
      <c r="LXM113" s="33"/>
      <c r="LXN113" s="33"/>
      <c r="LXO113" s="33"/>
      <c r="LXP113" s="33"/>
      <c r="LXQ113" s="33"/>
      <c r="LXR113" s="33"/>
      <c r="LXS113" s="33"/>
      <c r="LXT113" s="33"/>
      <c r="LXU113" s="33"/>
      <c r="LXV113" s="33"/>
      <c r="LXW113" s="33"/>
      <c r="LXX113" s="33"/>
      <c r="LXY113" s="33"/>
      <c r="LXZ113" s="33"/>
      <c r="LYA113" s="33"/>
      <c r="LYB113" s="33"/>
      <c r="LYC113" s="33"/>
      <c r="LYD113" s="33"/>
      <c r="LYE113" s="33"/>
      <c r="LYF113" s="33"/>
      <c r="LYG113" s="33"/>
      <c r="LYH113" s="33"/>
      <c r="LYI113" s="33"/>
      <c r="LYJ113" s="33"/>
      <c r="LYK113" s="33"/>
      <c r="LYL113" s="33"/>
      <c r="LYM113" s="33"/>
      <c r="LYN113" s="33"/>
      <c r="LYO113" s="33"/>
      <c r="LYP113" s="33"/>
      <c r="LYQ113" s="33"/>
      <c r="LYR113" s="33"/>
      <c r="LYS113" s="33"/>
      <c r="LYT113" s="33"/>
      <c r="LYU113" s="33"/>
      <c r="LYV113" s="33"/>
      <c r="LYW113" s="33"/>
      <c r="LYX113" s="33"/>
      <c r="LYY113" s="33"/>
      <c r="LYZ113" s="33"/>
      <c r="LZA113" s="33"/>
      <c r="LZB113" s="33"/>
      <c r="LZC113" s="33"/>
      <c r="LZD113" s="33"/>
      <c r="LZE113" s="33"/>
      <c r="LZF113" s="33"/>
      <c r="LZG113" s="33"/>
      <c r="LZH113" s="33"/>
      <c r="LZI113" s="33"/>
      <c r="LZJ113" s="33"/>
      <c r="LZK113" s="33"/>
      <c r="LZL113" s="33"/>
      <c r="LZM113" s="33"/>
      <c r="LZN113" s="33"/>
      <c r="LZO113" s="33"/>
      <c r="LZP113" s="33"/>
      <c r="LZQ113" s="33"/>
      <c r="LZR113" s="33"/>
      <c r="LZS113" s="33"/>
      <c r="LZT113" s="33"/>
      <c r="LZU113" s="33"/>
      <c r="LZV113" s="33"/>
      <c r="LZW113" s="33"/>
      <c r="LZX113" s="33"/>
      <c r="LZY113" s="33"/>
      <c r="LZZ113" s="33"/>
      <c r="MAA113" s="33"/>
      <c r="MAB113" s="33"/>
      <c r="MAC113" s="33"/>
      <c r="MAD113" s="33"/>
      <c r="MAE113" s="33"/>
      <c r="MAF113" s="33"/>
      <c r="MAG113" s="33"/>
      <c r="MAH113" s="33"/>
      <c r="MAI113" s="33"/>
      <c r="MAJ113" s="33"/>
      <c r="MAK113" s="33"/>
      <c r="MAL113" s="33"/>
      <c r="MAM113" s="33"/>
      <c r="MAN113" s="33"/>
      <c r="MAO113" s="33"/>
      <c r="MAP113" s="33"/>
      <c r="MAQ113" s="33"/>
      <c r="MAR113" s="33"/>
      <c r="MAS113" s="33"/>
      <c r="MAT113" s="33"/>
      <c r="MAU113" s="33"/>
      <c r="MAV113" s="33"/>
      <c r="MAW113" s="33"/>
      <c r="MAX113" s="33"/>
      <c r="MAY113" s="33"/>
      <c r="MAZ113" s="33"/>
      <c r="MBA113" s="33"/>
      <c r="MBB113" s="33"/>
      <c r="MBC113" s="33"/>
      <c r="MBD113" s="33"/>
      <c r="MBE113" s="33"/>
      <c r="MBF113" s="33"/>
      <c r="MBG113" s="33"/>
      <c r="MBH113" s="33"/>
      <c r="MBI113" s="33"/>
      <c r="MBJ113" s="33"/>
      <c r="MBK113" s="33"/>
      <c r="MBL113" s="33"/>
      <c r="MBM113" s="33"/>
      <c r="MBN113" s="33"/>
      <c r="MBO113" s="33"/>
      <c r="MBP113" s="33"/>
      <c r="MBQ113" s="33"/>
      <c r="MBR113" s="33"/>
      <c r="MBS113" s="33"/>
      <c r="MBT113" s="33"/>
      <c r="MBU113" s="33"/>
      <c r="MBV113" s="33"/>
      <c r="MBW113" s="33"/>
      <c r="MBX113" s="33"/>
      <c r="MBY113" s="33"/>
      <c r="MBZ113" s="33"/>
      <c r="MCA113" s="33"/>
      <c r="MCB113" s="33"/>
      <c r="MCC113" s="33"/>
      <c r="MCD113" s="33"/>
      <c r="MCE113" s="33"/>
      <c r="MCF113" s="33"/>
      <c r="MCG113" s="33"/>
      <c r="MCH113" s="33"/>
      <c r="MCI113" s="33"/>
      <c r="MCJ113" s="33"/>
      <c r="MCK113" s="33"/>
      <c r="MCL113" s="33"/>
      <c r="MCM113" s="33"/>
      <c r="MCN113" s="33"/>
      <c r="MCO113" s="33"/>
      <c r="MCP113" s="33"/>
      <c r="MCQ113" s="33"/>
      <c r="MCR113" s="33"/>
      <c r="MCS113" s="33"/>
      <c r="MCT113" s="33"/>
      <c r="MCU113" s="33"/>
      <c r="MCV113" s="33"/>
      <c r="MCW113" s="33"/>
      <c r="MCX113" s="33"/>
      <c r="MCY113" s="33"/>
      <c r="MCZ113" s="33"/>
      <c r="MDA113" s="33"/>
      <c r="MDB113" s="33"/>
      <c r="MDC113" s="33"/>
      <c r="MDD113" s="33"/>
      <c r="MDE113" s="33"/>
      <c r="MDF113" s="33"/>
      <c r="MDG113" s="33"/>
      <c r="MDH113" s="33"/>
      <c r="MDI113" s="33"/>
      <c r="MDJ113" s="33"/>
      <c r="MDK113" s="33"/>
      <c r="MDL113" s="33"/>
      <c r="MDM113" s="33"/>
      <c r="MDN113" s="33"/>
      <c r="MDO113" s="33"/>
      <c r="MDP113" s="33"/>
      <c r="MDQ113" s="33"/>
      <c r="MDR113" s="33"/>
      <c r="MDS113" s="33"/>
      <c r="MDT113" s="33"/>
      <c r="MDU113" s="33"/>
      <c r="MDV113" s="33"/>
      <c r="MDW113" s="33"/>
      <c r="MDX113" s="33"/>
      <c r="MDY113" s="33"/>
      <c r="MDZ113" s="33"/>
      <c r="MEA113" s="33"/>
      <c r="MEB113" s="33"/>
      <c r="MEC113" s="33"/>
      <c r="MED113" s="33"/>
      <c r="MEE113" s="33"/>
      <c r="MEF113" s="33"/>
      <c r="MEG113" s="33"/>
      <c r="MEH113" s="33"/>
      <c r="MEI113" s="33"/>
      <c r="MEJ113" s="33"/>
      <c r="MEK113" s="33"/>
      <c r="MEL113" s="33"/>
      <c r="MEM113" s="33"/>
      <c r="MEN113" s="33"/>
      <c r="MEO113" s="33"/>
      <c r="MEP113" s="33"/>
      <c r="MEQ113" s="33"/>
      <c r="MER113" s="33"/>
      <c r="MES113" s="33"/>
      <c r="MET113" s="33"/>
      <c r="MEU113" s="33"/>
      <c r="MEV113" s="33"/>
      <c r="MEW113" s="33"/>
      <c r="MEX113" s="33"/>
      <c r="MEY113" s="33"/>
      <c r="MEZ113" s="33"/>
      <c r="MFA113" s="33"/>
      <c r="MFB113" s="33"/>
      <c r="MFC113" s="33"/>
      <c r="MFD113" s="33"/>
      <c r="MFE113" s="33"/>
      <c r="MFF113" s="33"/>
      <c r="MFG113" s="33"/>
      <c r="MFH113" s="33"/>
      <c r="MFI113" s="33"/>
      <c r="MFJ113" s="33"/>
      <c r="MFK113" s="33"/>
      <c r="MFL113" s="33"/>
      <c r="MFM113" s="33"/>
      <c r="MFN113" s="33"/>
      <c r="MFO113" s="33"/>
      <c r="MFP113" s="33"/>
      <c r="MFQ113" s="33"/>
      <c r="MFR113" s="33"/>
      <c r="MFS113" s="33"/>
      <c r="MFT113" s="33"/>
      <c r="MFU113" s="33"/>
      <c r="MFV113" s="33"/>
      <c r="MFW113" s="33"/>
      <c r="MFX113" s="33"/>
      <c r="MFY113" s="33"/>
      <c r="MFZ113" s="33"/>
      <c r="MGA113" s="33"/>
      <c r="MGB113" s="33"/>
      <c r="MGC113" s="33"/>
      <c r="MGD113" s="33"/>
      <c r="MGE113" s="33"/>
      <c r="MGF113" s="33"/>
      <c r="MGG113" s="33"/>
      <c r="MGH113" s="33"/>
      <c r="MGI113" s="33"/>
      <c r="MGJ113" s="33"/>
      <c r="MGK113" s="33"/>
      <c r="MGL113" s="33"/>
      <c r="MGM113" s="33"/>
      <c r="MGN113" s="33"/>
      <c r="MGO113" s="33"/>
      <c r="MGP113" s="33"/>
      <c r="MGQ113" s="33"/>
      <c r="MGR113" s="33"/>
      <c r="MGS113" s="33"/>
      <c r="MGT113" s="33"/>
      <c r="MGU113" s="33"/>
      <c r="MGV113" s="33"/>
      <c r="MGW113" s="33"/>
      <c r="MGX113" s="33"/>
      <c r="MGY113" s="33"/>
      <c r="MGZ113" s="33"/>
      <c r="MHA113" s="33"/>
      <c r="MHB113" s="33"/>
      <c r="MHC113" s="33"/>
      <c r="MHD113" s="33"/>
      <c r="MHE113" s="33"/>
      <c r="MHF113" s="33"/>
      <c r="MHG113" s="33"/>
      <c r="MHH113" s="33"/>
      <c r="MHI113" s="33"/>
      <c r="MHJ113" s="33"/>
      <c r="MHK113" s="33"/>
      <c r="MHL113" s="33"/>
      <c r="MHM113" s="33"/>
      <c r="MHN113" s="33"/>
      <c r="MHO113" s="33"/>
      <c r="MHP113" s="33"/>
      <c r="MHQ113" s="33"/>
      <c r="MHR113" s="33"/>
      <c r="MHS113" s="33"/>
      <c r="MHT113" s="33"/>
      <c r="MHU113" s="33"/>
      <c r="MHV113" s="33"/>
      <c r="MHW113" s="33"/>
      <c r="MHX113" s="33"/>
      <c r="MHY113" s="33"/>
      <c r="MHZ113" s="33"/>
      <c r="MIA113" s="33"/>
      <c r="MIB113" s="33"/>
      <c r="MIC113" s="33"/>
      <c r="MID113" s="33"/>
      <c r="MIE113" s="33"/>
      <c r="MIF113" s="33"/>
      <c r="MIG113" s="33"/>
      <c r="MIH113" s="33"/>
      <c r="MII113" s="33"/>
      <c r="MIJ113" s="33"/>
      <c r="MIK113" s="33"/>
      <c r="MIL113" s="33"/>
      <c r="MIM113" s="33"/>
      <c r="MIN113" s="33"/>
      <c r="MIO113" s="33"/>
      <c r="MIP113" s="33"/>
      <c r="MIQ113" s="33"/>
      <c r="MIR113" s="33"/>
      <c r="MIS113" s="33"/>
      <c r="MIT113" s="33"/>
      <c r="MIU113" s="33"/>
      <c r="MIV113" s="33"/>
      <c r="MIW113" s="33"/>
      <c r="MIX113" s="33"/>
      <c r="MIY113" s="33"/>
      <c r="MIZ113" s="33"/>
      <c r="MJA113" s="33"/>
      <c r="MJB113" s="33"/>
      <c r="MJC113" s="33"/>
      <c r="MJD113" s="33"/>
      <c r="MJE113" s="33"/>
      <c r="MJF113" s="33"/>
      <c r="MJG113" s="33"/>
      <c r="MJH113" s="33"/>
      <c r="MJI113" s="33"/>
      <c r="MJJ113" s="33"/>
      <c r="MJK113" s="33"/>
      <c r="MJL113" s="33"/>
      <c r="MJM113" s="33"/>
      <c r="MJN113" s="33"/>
      <c r="MJO113" s="33"/>
      <c r="MJP113" s="33"/>
      <c r="MJQ113" s="33"/>
      <c r="MJR113" s="33"/>
      <c r="MJS113" s="33"/>
      <c r="MJT113" s="33"/>
      <c r="MJU113" s="33"/>
      <c r="MJV113" s="33"/>
      <c r="MJW113" s="33"/>
      <c r="MJX113" s="33"/>
      <c r="MJY113" s="33"/>
      <c r="MJZ113" s="33"/>
      <c r="MKA113" s="33"/>
      <c r="MKB113" s="33"/>
      <c r="MKC113" s="33"/>
      <c r="MKD113" s="33"/>
      <c r="MKE113" s="33"/>
      <c r="MKF113" s="33"/>
      <c r="MKG113" s="33"/>
      <c r="MKH113" s="33"/>
      <c r="MKI113" s="33"/>
      <c r="MKJ113" s="33"/>
      <c r="MKK113" s="33"/>
      <c r="MKL113" s="33"/>
      <c r="MKM113" s="33"/>
      <c r="MKN113" s="33"/>
      <c r="MKO113" s="33"/>
      <c r="MKP113" s="33"/>
      <c r="MKQ113" s="33"/>
      <c r="MKR113" s="33"/>
      <c r="MKS113" s="33"/>
      <c r="MKT113" s="33"/>
      <c r="MKU113" s="33"/>
      <c r="MKV113" s="33"/>
      <c r="MKW113" s="33"/>
      <c r="MKX113" s="33"/>
      <c r="MKY113" s="33"/>
      <c r="MKZ113" s="33"/>
      <c r="MLA113" s="33"/>
      <c r="MLB113" s="33"/>
      <c r="MLC113" s="33"/>
      <c r="MLD113" s="33"/>
      <c r="MLE113" s="33"/>
      <c r="MLF113" s="33"/>
      <c r="MLG113" s="33"/>
      <c r="MLH113" s="33"/>
      <c r="MLI113" s="33"/>
      <c r="MLJ113" s="33"/>
      <c r="MLK113" s="33"/>
      <c r="MLL113" s="33"/>
      <c r="MLM113" s="33"/>
      <c r="MLN113" s="33"/>
      <c r="MLO113" s="33"/>
      <c r="MLP113" s="33"/>
      <c r="MLQ113" s="33"/>
      <c r="MLR113" s="33"/>
      <c r="MLS113" s="33"/>
      <c r="MLT113" s="33"/>
      <c r="MLU113" s="33"/>
      <c r="MLV113" s="33"/>
      <c r="MLW113" s="33"/>
      <c r="MLX113" s="33"/>
      <c r="MLY113" s="33"/>
      <c r="MLZ113" s="33"/>
      <c r="MMA113" s="33"/>
      <c r="MMB113" s="33"/>
      <c r="MMC113" s="33"/>
      <c r="MMD113" s="33"/>
      <c r="MME113" s="33"/>
      <c r="MMF113" s="33"/>
      <c r="MMG113" s="33"/>
      <c r="MMH113" s="33"/>
      <c r="MMI113" s="33"/>
      <c r="MMJ113" s="33"/>
      <c r="MMK113" s="33"/>
      <c r="MML113" s="33"/>
      <c r="MMM113" s="33"/>
      <c r="MMN113" s="33"/>
      <c r="MMO113" s="33"/>
      <c r="MMP113" s="33"/>
      <c r="MMQ113" s="33"/>
      <c r="MMR113" s="33"/>
      <c r="MMS113" s="33"/>
      <c r="MMT113" s="33"/>
      <c r="MMU113" s="33"/>
      <c r="MMV113" s="33"/>
      <c r="MMW113" s="33"/>
      <c r="MMX113" s="33"/>
      <c r="MMY113" s="33"/>
      <c r="MMZ113" s="33"/>
      <c r="MNA113" s="33"/>
      <c r="MNB113" s="33"/>
      <c r="MNC113" s="33"/>
      <c r="MND113" s="33"/>
      <c r="MNE113" s="33"/>
      <c r="MNF113" s="33"/>
      <c r="MNG113" s="33"/>
      <c r="MNH113" s="33"/>
      <c r="MNI113" s="33"/>
      <c r="MNJ113" s="33"/>
      <c r="MNK113" s="33"/>
      <c r="MNL113" s="33"/>
      <c r="MNM113" s="33"/>
      <c r="MNN113" s="33"/>
      <c r="MNO113" s="33"/>
      <c r="MNP113" s="33"/>
      <c r="MNQ113" s="33"/>
      <c r="MNR113" s="33"/>
      <c r="MNS113" s="33"/>
      <c r="MNT113" s="33"/>
      <c r="MNU113" s="33"/>
      <c r="MNV113" s="33"/>
      <c r="MNW113" s="33"/>
      <c r="MNX113" s="33"/>
      <c r="MNY113" s="33"/>
      <c r="MNZ113" s="33"/>
      <c r="MOA113" s="33"/>
      <c r="MOB113" s="33"/>
      <c r="MOC113" s="33"/>
      <c r="MOD113" s="33"/>
      <c r="MOE113" s="33"/>
      <c r="MOF113" s="33"/>
      <c r="MOG113" s="33"/>
      <c r="MOH113" s="33"/>
      <c r="MOI113" s="33"/>
      <c r="MOJ113" s="33"/>
      <c r="MOK113" s="33"/>
      <c r="MOL113" s="33"/>
      <c r="MOM113" s="33"/>
      <c r="MON113" s="33"/>
      <c r="MOO113" s="33"/>
      <c r="MOP113" s="33"/>
      <c r="MOQ113" s="33"/>
      <c r="MOR113" s="33"/>
      <c r="MOS113" s="33"/>
      <c r="MOT113" s="33"/>
      <c r="MOU113" s="33"/>
      <c r="MOV113" s="33"/>
      <c r="MOW113" s="33"/>
      <c r="MOX113" s="33"/>
      <c r="MOY113" s="33"/>
      <c r="MOZ113" s="33"/>
      <c r="MPA113" s="33"/>
      <c r="MPB113" s="33"/>
      <c r="MPC113" s="33"/>
      <c r="MPD113" s="33"/>
      <c r="MPE113" s="33"/>
      <c r="MPF113" s="33"/>
      <c r="MPG113" s="33"/>
      <c r="MPH113" s="33"/>
      <c r="MPI113" s="33"/>
      <c r="MPJ113" s="33"/>
      <c r="MPK113" s="33"/>
      <c r="MPL113" s="33"/>
      <c r="MPM113" s="33"/>
      <c r="MPN113" s="33"/>
      <c r="MPO113" s="33"/>
      <c r="MPP113" s="33"/>
      <c r="MPQ113" s="33"/>
      <c r="MPR113" s="33"/>
      <c r="MPS113" s="33"/>
      <c r="MPT113" s="33"/>
      <c r="MPU113" s="33"/>
      <c r="MPV113" s="33"/>
      <c r="MPW113" s="33"/>
      <c r="MPX113" s="33"/>
      <c r="MPY113" s="33"/>
      <c r="MPZ113" s="33"/>
      <c r="MQA113" s="33"/>
      <c r="MQB113" s="33"/>
      <c r="MQC113" s="33"/>
      <c r="MQD113" s="33"/>
      <c r="MQE113" s="33"/>
      <c r="MQF113" s="33"/>
      <c r="MQG113" s="33"/>
      <c r="MQH113" s="33"/>
      <c r="MQI113" s="33"/>
      <c r="MQJ113" s="33"/>
      <c r="MQK113" s="33"/>
      <c r="MQL113" s="33"/>
      <c r="MQM113" s="33"/>
      <c r="MQN113" s="33"/>
      <c r="MQO113" s="33"/>
      <c r="MQP113" s="33"/>
      <c r="MQQ113" s="33"/>
      <c r="MQR113" s="33"/>
      <c r="MQS113" s="33"/>
      <c r="MQT113" s="33"/>
      <c r="MQU113" s="33"/>
      <c r="MQV113" s="33"/>
      <c r="MQW113" s="33"/>
      <c r="MQX113" s="33"/>
      <c r="MQY113" s="33"/>
      <c r="MQZ113" s="33"/>
      <c r="MRA113" s="33"/>
      <c r="MRB113" s="33"/>
      <c r="MRC113" s="33"/>
      <c r="MRD113" s="33"/>
      <c r="MRE113" s="33"/>
      <c r="MRF113" s="33"/>
      <c r="MRG113" s="33"/>
      <c r="MRH113" s="33"/>
      <c r="MRI113" s="33"/>
      <c r="MRJ113" s="33"/>
      <c r="MRK113" s="33"/>
      <c r="MRL113" s="33"/>
      <c r="MRM113" s="33"/>
      <c r="MRN113" s="33"/>
      <c r="MRO113" s="33"/>
      <c r="MRP113" s="33"/>
      <c r="MRQ113" s="33"/>
      <c r="MRR113" s="33"/>
      <c r="MRS113" s="33"/>
      <c r="MRT113" s="33"/>
      <c r="MRU113" s="33"/>
      <c r="MRV113" s="33"/>
      <c r="MRW113" s="33"/>
      <c r="MRX113" s="33"/>
      <c r="MRY113" s="33"/>
      <c r="MRZ113" s="33"/>
      <c r="MSA113" s="33"/>
      <c r="MSB113" s="33"/>
      <c r="MSC113" s="33"/>
      <c r="MSD113" s="33"/>
      <c r="MSE113" s="33"/>
      <c r="MSF113" s="33"/>
      <c r="MSG113" s="33"/>
      <c r="MSH113" s="33"/>
      <c r="MSI113" s="33"/>
      <c r="MSJ113" s="33"/>
      <c r="MSK113" s="33"/>
      <c r="MSL113" s="33"/>
      <c r="MSM113" s="33"/>
      <c r="MSN113" s="33"/>
      <c r="MSO113" s="33"/>
      <c r="MSP113" s="33"/>
      <c r="MSQ113" s="33"/>
      <c r="MSR113" s="33"/>
      <c r="MSS113" s="33"/>
      <c r="MST113" s="33"/>
      <c r="MSU113" s="33"/>
      <c r="MSV113" s="33"/>
      <c r="MSW113" s="33"/>
      <c r="MSX113" s="33"/>
      <c r="MSY113" s="33"/>
      <c r="MSZ113" s="33"/>
      <c r="MTA113" s="33"/>
      <c r="MTB113" s="33"/>
      <c r="MTC113" s="33"/>
      <c r="MTD113" s="33"/>
      <c r="MTE113" s="33"/>
      <c r="MTF113" s="33"/>
      <c r="MTG113" s="33"/>
      <c r="MTH113" s="33"/>
      <c r="MTI113" s="33"/>
      <c r="MTJ113" s="33"/>
      <c r="MTK113" s="33"/>
      <c r="MTL113" s="33"/>
      <c r="MTM113" s="33"/>
      <c r="MTN113" s="33"/>
      <c r="MTO113" s="33"/>
      <c r="MTP113" s="33"/>
      <c r="MTQ113" s="33"/>
      <c r="MTR113" s="33"/>
      <c r="MTS113" s="33"/>
      <c r="MTT113" s="33"/>
      <c r="MTU113" s="33"/>
      <c r="MTV113" s="33"/>
      <c r="MTW113" s="33"/>
      <c r="MTX113" s="33"/>
      <c r="MTY113" s="33"/>
      <c r="MTZ113" s="33"/>
      <c r="MUA113" s="33"/>
      <c r="MUB113" s="33"/>
      <c r="MUC113" s="33"/>
      <c r="MUD113" s="33"/>
      <c r="MUE113" s="33"/>
      <c r="MUF113" s="33"/>
      <c r="MUG113" s="33"/>
      <c r="MUH113" s="33"/>
      <c r="MUI113" s="33"/>
      <c r="MUJ113" s="33"/>
      <c r="MUK113" s="33"/>
      <c r="MUL113" s="33"/>
      <c r="MUM113" s="33"/>
      <c r="MUN113" s="33"/>
      <c r="MUO113" s="33"/>
      <c r="MUP113" s="33"/>
      <c r="MUQ113" s="33"/>
      <c r="MUR113" s="33"/>
      <c r="MUS113" s="33"/>
      <c r="MUT113" s="33"/>
      <c r="MUU113" s="33"/>
      <c r="MUV113" s="33"/>
      <c r="MUW113" s="33"/>
      <c r="MUX113" s="33"/>
      <c r="MUY113" s="33"/>
      <c r="MUZ113" s="33"/>
      <c r="MVA113" s="33"/>
      <c r="MVB113" s="33"/>
      <c r="MVC113" s="33"/>
      <c r="MVD113" s="33"/>
      <c r="MVE113" s="33"/>
      <c r="MVF113" s="33"/>
      <c r="MVG113" s="33"/>
      <c r="MVH113" s="33"/>
      <c r="MVI113" s="33"/>
      <c r="MVJ113" s="33"/>
      <c r="MVK113" s="33"/>
      <c r="MVL113" s="33"/>
      <c r="MVM113" s="33"/>
      <c r="MVN113" s="33"/>
      <c r="MVO113" s="33"/>
      <c r="MVP113" s="33"/>
      <c r="MVQ113" s="33"/>
      <c r="MVR113" s="33"/>
      <c r="MVS113" s="33"/>
      <c r="MVT113" s="33"/>
      <c r="MVU113" s="33"/>
      <c r="MVV113" s="33"/>
      <c r="MVW113" s="33"/>
      <c r="MVX113" s="33"/>
      <c r="MVY113" s="33"/>
      <c r="MVZ113" s="33"/>
      <c r="MWA113" s="33"/>
      <c r="MWB113" s="33"/>
      <c r="MWC113" s="33"/>
      <c r="MWD113" s="33"/>
      <c r="MWE113" s="33"/>
      <c r="MWF113" s="33"/>
      <c r="MWG113" s="33"/>
      <c r="MWH113" s="33"/>
      <c r="MWI113" s="33"/>
      <c r="MWJ113" s="33"/>
      <c r="MWK113" s="33"/>
      <c r="MWL113" s="33"/>
      <c r="MWM113" s="33"/>
      <c r="MWN113" s="33"/>
      <c r="MWO113" s="33"/>
      <c r="MWP113" s="33"/>
      <c r="MWQ113" s="33"/>
      <c r="MWR113" s="33"/>
      <c r="MWS113" s="33"/>
      <c r="MWT113" s="33"/>
      <c r="MWU113" s="33"/>
      <c r="MWV113" s="33"/>
      <c r="MWW113" s="33"/>
      <c r="MWX113" s="33"/>
      <c r="MWY113" s="33"/>
      <c r="MWZ113" s="33"/>
      <c r="MXA113" s="33"/>
      <c r="MXB113" s="33"/>
      <c r="MXC113" s="33"/>
      <c r="MXD113" s="33"/>
      <c r="MXE113" s="33"/>
      <c r="MXF113" s="33"/>
      <c r="MXG113" s="33"/>
      <c r="MXH113" s="33"/>
      <c r="MXI113" s="33"/>
      <c r="MXJ113" s="33"/>
      <c r="MXK113" s="33"/>
      <c r="MXL113" s="33"/>
      <c r="MXM113" s="33"/>
      <c r="MXN113" s="33"/>
      <c r="MXO113" s="33"/>
      <c r="MXP113" s="33"/>
      <c r="MXQ113" s="33"/>
      <c r="MXR113" s="33"/>
      <c r="MXS113" s="33"/>
      <c r="MXT113" s="33"/>
      <c r="MXU113" s="33"/>
      <c r="MXV113" s="33"/>
      <c r="MXW113" s="33"/>
      <c r="MXX113" s="33"/>
      <c r="MXY113" s="33"/>
      <c r="MXZ113" s="33"/>
      <c r="MYA113" s="33"/>
      <c r="MYB113" s="33"/>
      <c r="MYC113" s="33"/>
      <c r="MYD113" s="33"/>
      <c r="MYE113" s="33"/>
      <c r="MYF113" s="33"/>
      <c r="MYG113" s="33"/>
      <c r="MYH113" s="33"/>
      <c r="MYI113" s="33"/>
      <c r="MYJ113" s="33"/>
      <c r="MYK113" s="33"/>
      <c r="MYL113" s="33"/>
      <c r="MYM113" s="33"/>
      <c r="MYN113" s="33"/>
      <c r="MYO113" s="33"/>
      <c r="MYP113" s="33"/>
      <c r="MYQ113" s="33"/>
      <c r="MYR113" s="33"/>
      <c r="MYS113" s="33"/>
      <c r="MYT113" s="33"/>
      <c r="MYU113" s="33"/>
      <c r="MYV113" s="33"/>
      <c r="MYW113" s="33"/>
      <c r="MYX113" s="33"/>
      <c r="MYY113" s="33"/>
      <c r="MYZ113" s="33"/>
      <c r="MZA113" s="33"/>
      <c r="MZB113" s="33"/>
      <c r="MZC113" s="33"/>
      <c r="MZD113" s="33"/>
      <c r="MZE113" s="33"/>
      <c r="MZF113" s="33"/>
      <c r="MZG113" s="33"/>
      <c r="MZH113" s="33"/>
      <c r="MZI113" s="33"/>
      <c r="MZJ113" s="33"/>
      <c r="MZK113" s="33"/>
      <c r="MZL113" s="33"/>
      <c r="MZM113" s="33"/>
      <c r="MZN113" s="33"/>
      <c r="MZO113" s="33"/>
      <c r="MZP113" s="33"/>
      <c r="MZQ113" s="33"/>
      <c r="MZR113" s="33"/>
      <c r="MZS113" s="33"/>
      <c r="MZT113" s="33"/>
      <c r="MZU113" s="33"/>
      <c r="MZV113" s="33"/>
      <c r="MZW113" s="33"/>
      <c r="MZX113" s="33"/>
      <c r="MZY113" s="33"/>
      <c r="MZZ113" s="33"/>
      <c r="NAA113" s="33"/>
      <c r="NAB113" s="33"/>
      <c r="NAC113" s="33"/>
      <c r="NAD113" s="33"/>
      <c r="NAE113" s="33"/>
      <c r="NAF113" s="33"/>
      <c r="NAG113" s="33"/>
      <c r="NAH113" s="33"/>
      <c r="NAI113" s="33"/>
      <c r="NAJ113" s="33"/>
      <c r="NAK113" s="33"/>
      <c r="NAL113" s="33"/>
      <c r="NAM113" s="33"/>
      <c r="NAN113" s="33"/>
      <c r="NAO113" s="33"/>
      <c r="NAP113" s="33"/>
      <c r="NAQ113" s="33"/>
      <c r="NAR113" s="33"/>
      <c r="NAS113" s="33"/>
      <c r="NAT113" s="33"/>
      <c r="NAU113" s="33"/>
      <c r="NAV113" s="33"/>
      <c r="NAW113" s="33"/>
      <c r="NAX113" s="33"/>
      <c r="NAY113" s="33"/>
      <c r="NAZ113" s="33"/>
      <c r="NBA113" s="33"/>
      <c r="NBB113" s="33"/>
      <c r="NBC113" s="33"/>
      <c r="NBD113" s="33"/>
      <c r="NBE113" s="33"/>
      <c r="NBF113" s="33"/>
      <c r="NBG113" s="33"/>
      <c r="NBH113" s="33"/>
      <c r="NBI113" s="33"/>
      <c r="NBJ113" s="33"/>
      <c r="NBK113" s="33"/>
      <c r="NBL113" s="33"/>
      <c r="NBM113" s="33"/>
      <c r="NBN113" s="33"/>
      <c r="NBO113" s="33"/>
      <c r="NBP113" s="33"/>
      <c r="NBQ113" s="33"/>
      <c r="NBR113" s="33"/>
      <c r="NBS113" s="33"/>
      <c r="NBT113" s="33"/>
      <c r="NBU113" s="33"/>
      <c r="NBV113" s="33"/>
      <c r="NBW113" s="33"/>
      <c r="NBX113" s="33"/>
      <c r="NBY113" s="33"/>
      <c r="NBZ113" s="33"/>
      <c r="NCA113" s="33"/>
      <c r="NCB113" s="33"/>
      <c r="NCC113" s="33"/>
      <c r="NCD113" s="33"/>
      <c r="NCE113" s="33"/>
      <c r="NCF113" s="33"/>
      <c r="NCG113" s="33"/>
      <c r="NCH113" s="33"/>
      <c r="NCI113" s="33"/>
      <c r="NCJ113" s="33"/>
      <c r="NCK113" s="33"/>
      <c r="NCL113" s="33"/>
      <c r="NCM113" s="33"/>
      <c r="NCN113" s="33"/>
      <c r="NCO113" s="33"/>
      <c r="NCP113" s="33"/>
      <c r="NCQ113" s="33"/>
      <c r="NCR113" s="33"/>
      <c r="NCS113" s="33"/>
      <c r="NCT113" s="33"/>
      <c r="NCU113" s="33"/>
      <c r="NCV113" s="33"/>
      <c r="NCW113" s="33"/>
      <c r="NCX113" s="33"/>
      <c r="NCY113" s="33"/>
      <c r="NCZ113" s="33"/>
      <c r="NDA113" s="33"/>
      <c r="NDB113" s="33"/>
      <c r="NDC113" s="33"/>
      <c r="NDD113" s="33"/>
      <c r="NDE113" s="33"/>
      <c r="NDF113" s="33"/>
      <c r="NDG113" s="33"/>
      <c r="NDH113" s="33"/>
      <c r="NDI113" s="33"/>
      <c r="NDJ113" s="33"/>
      <c r="NDK113" s="33"/>
      <c r="NDL113" s="33"/>
      <c r="NDM113" s="33"/>
      <c r="NDN113" s="33"/>
      <c r="NDO113" s="33"/>
      <c r="NDP113" s="33"/>
      <c r="NDQ113" s="33"/>
      <c r="NDR113" s="33"/>
      <c r="NDS113" s="33"/>
      <c r="NDT113" s="33"/>
      <c r="NDU113" s="33"/>
      <c r="NDV113" s="33"/>
      <c r="NDW113" s="33"/>
      <c r="NDX113" s="33"/>
      <c r="NDY113" s="33"/>
      <c r="NDZ113" s="33"/>
      <c r="NEA113" s="33"/>
      <c r="NEB113" s="33"/>
      <c r="NEC113" s="33"/>
      <c r="NED113" s="33"/>
      <c r="NEE113" s="33"/>
      <c r="NEF113" s="33"/>
      <c r="NEG113" s="33"/>
      <c r="NEH113" s="33"/>
      <c r="NEI113" s="33"/>
      <c r="NEJ113" s="33"/>
      <c r="NEK113" s="33"/>
      <c r="NEL113" s="33"/>
      <c r="NEM113" s="33"/>
      <c r="NEN113" s="33"/>
      <c r="NEO113" s="33"/>
      <c r="NEP113" s="33"/>
      <c r="NEQ113" s="33"/>
      <c r="NER113" s="33"/>
      <c r="NES113" s="33"/>
      <c r="NET113" s="33"/>
      <c r="NEU113" s="33"/>
      <c r="NEV113" s="33"/>
      <c r="NEW113" s="33"/>
      <c r="NEX113" s="33"/>
      <c r="NEY113" s="33"/>
      <c r="NEZ113" s="33"/>
      <c r="NFA113" s="33"/>
      <c r="NFB113" s="33"/>
      <c r="NFC113" s="33"/>
      <c r="NFD113" s="33"/>
      <c r="NFE113" s="33"/>
      <c r="NFF113" s="33"/>
      <c r="NFG113" s="33"/>
      <c r="NFH113" s="33"/>
      <c r="NFI113" s="33"/>
      <c r="NFJ113" s="33"/>
      <c r="NFK113" s="33"/>
      <c r="NFL113" s="33"/>
      <c r="NFM113" s="33"/>
      <c r="NFN113" s="33"/>
      <c r="NFO113" s="33"/>
      <c r="NFP113" s="33"/>
      <c r="NFQ113" s="33"/>
      <c r="NFR113" s="33"/>
      <c r="NFS113" s="33"/>
      <c r="NFT113" s="33"/>
      <c r="NFU113" s="33"/>
      <c r="NFV113" s="33"/>
      <c r="NFW113" s="33"/>
      <c r="NFX113" s="33"/>
      <c r="NFY113" s="33"/>
      <c r="NFZ113" s="33"/>
      <c r="NGA113" s="33"/>
      <c r="NGB113" s="33"/>
      <c r="NGC113" s="33"/>
      <c r="NGD113" s="33"/>
      <c r="NGE113" s="33"/>
      <c r="NGF113" s="33"/>
      <c r="NGG113" s="33"/>
      <c r="NGH113" s="33"/>
      <c r="NGI113" s="33"/>
      <c r="NGJ113" s="33"/>
      <c r="NGK113" s="33"/>
      <c r="NGL113" s="33"/>
      <c r="NGM113" s="33"/>
      <c r="NGN113" s="33"/>
      <c r="NGO113" s="33"/>
      <c r="NGP113" s="33"/>
      <c r="NGQ113" s="33"/>
      <c r="NGR113" s="33"/>
      <c r="NGS113" s="33"/>
      <c r="NGT113" s="33"/>
      <c r="NGU113" s="33"/>
      <c r="NGV113" s="33"/>
      <c r="NGW113" s="33"/>
      <c r="NGX113" s="33"/>
      <c r="NGY113" s="33"/>
      <c r="NGZ113" s="33"/>
      <c r="NHA113" s="33"/>
      <c r="NHB113" s="33"/>
      <c r="NHC113" s="33"/>
      <c r="NHD113" s="33"/>
      <c r="NHE113" s="33"/>
      <c r="NHF113" s="33"/>
      <c r="NHG113" s="33"/>
      <c r="NHH113" s="33"/>
      <c r="NHI113" s="33"/>
      <c r="NHJ113" s="33"/>
      <c r="NHK113" s="33"/>
      <c r="NHL113" s="33"/>
      <c r="NHM113" s="33"/>
      <c r="NHN113" s="33"/>
      <c r="NHO113" s="33"/>
      <c r="NHP113" s="33"/>
      <c r="NHQ113" s="33"/>
      <c r="NHR113" s="33"/>
      <c r="NHS113" s="33"/>
      <c r="NHT113" s="33"/>
      <c r="NHU113" s="33"/>
      <c r="NHV113" s="33"/>
      <c r="NHW113" s="33"/>
      <c r="NHX113" s="33"/>
      <c r="NHY113" s="33"/>
      <c r="NHZ113" s="33"/>
      <c r="NIA113" s="33"/>
      <c r="NIB113" s="33"/>
      <c r="NIC113" s="33"/>
      <c r="NID113" s="33"/>
      <c r="NIE113" s="33"/>
      <c r="NIF113" s="33"/>
      <c r="NIG113" s="33"/>
      <c r="NIH113" s="33"/>
      <c r="NII113" s="33"/>
      <c r="NIJ113" s="33"/>
      <c r="NIK113" s="33"/>
      <c r="NIL113" s="33"/>
      <c r="NIM113" s="33"/>
      <c r="NIN113" s="33"/>
      <c r="NIO113" s="33"/>
      <c r="NIP113" s="33"/>
      <c r="NIQ113" s="33"/>
      <c r="NIR113" s="33"/>
      <c r="NIS113" s="33"/>
      <c r="NIT113" s="33"/>
      <c r="NIU113" s="33"/>
      <c r="NIV113" s="33"/>
      <c r="NIW113" s="33"/>
      <c r="NIX113" s="33"/>
      <c r="NIY113" s="33"/>
      <c r="NIZ113" s="33"/>
      <c r="NJA113" s="33"/>
      <c r="NJB113" s="33"/>
      <c r="NJC113" s="33"/>
      <c r="NJD113" s="33"/>
      <c r="NJE113" s="33"/>
      <c r="NJF113" s="33"/>
      <c r="NJG113" s="33"/>
      <c r="NJH113" s="33"/>
      <c r="NJI113" s="33"/>
      <c r="NJJ113" s="33"/>
      <c r="NJK113" s="33"/>
      <c r="NJL113" s="33"/>
      <c r="NJM113" s="33"/>
      <c r="NJN113" s="33"/>
      <c r="NJO113" s="33"/>
      <c r="NJP113" s="33"/>
      <c r="NJQ113" s="33"/>
      <c r="NJR113" s="33"/>
      <c r="NJS113" s="33"/>
      <c r="NJT113" s="33"/>
      <c r="NJU113" s="33"/>
      <c r="NJV113" s="33"/>
      <c r="NJW113" s="33"/>
      <c r="NJX113" s="33"/>
      <c r="NJY113" s="33"/>
      <c r="NJZ113" s="33"/>
      <c r="NKA113" s="33"/>
      <c r="NKB113" s="33"/>
      <c r="NKC113" s="33"/>
      <c r="NKD113" s="33"/>
      <c r="NKE113" s="33"/>
      <c r="NKF113" s="33"/>
      <c r="NKG113" s="33"/>
      <c r="NKH113" s="33"/>
      <c r="NKI113" s="33"/>
      <c r="NKJ113" s="33"/>
      <c r="NKK113" s="33"/>
      <c r="NKL113" s="33"/>
      <c r="NKM113" s="33"/>
      <c r="NKN113" s="33"/>
      <c r="NKO113" s="33"/>
      <c r="NKP113" s="33"/>
      <c r="NKQ113" s="33"/>
      <c r="NKR113" s="33"/>
      <c r="NKS113" s="33"/>
      <c r="NKT113" s="33"/>
      <c r="NKU113" s="33"/>
      <c r="NKV113" s="33"/>
      <c r="NKW113" s="33"/>
      <c r="NKX113" s="33"/>
      <c r="NKY113" s="33"/>
      <c r="NKZ113" s="33"/>
      <c r="NLA113" s="33"/>
      <c r="NLB113" s="33"/>
      <c r="NLC113" s="33"/>
      <c r="NLD113" s="33"/>
      <c r="NLE113" s="33"/>
      <c r="NLF113" s="33"/>
      <c r="NLG113" s="33"/>
      <c r="NLH113" s="33"/>
      <c r="NLI113" s="33"/>
      <c r="NLJ113" s="33"/>
      <c r="NLK113" s="33"/>
      <c r="NLL113" s="33"/>
      <c r="NLM113" s="33"/>
      <c r="NLN113" s="33"/>
      <c r="NLO113" s="33"/>
      <c r="NLP113" s="33"/>
      <c r="NLQ113" s="33"/>
      <c r="NLR113" s="33"/>
      <c r="NLS113" s="33"/>
      <c r="NLT113" s="33"/>
      <c r="NLU113" s="33"/>
      <c r="NLV113" s="33"/>
      <c r="NLW113" s="33"/>
      <c r="NLX113" s="33"/>
      <c r="NLY113" s="33"/>
      <c r="NLZ113" s="33"/>
      <c r="NMA113" s="33"/>
      <c r="NMB113" s="33"/>
      <c r="NMC113" s="33"/>
      <c r="NMD113" s="33"/>
      <c r="NME113" s="33"/>
      <c r="NMF113" s="33"/>
      <c r="NMG113" s="33"/>
      <c r="NMH113" s="33"/>
      <c r="NMI113" s="33"/>
      <c r="NMJ113" s="33"/>
      <c r="NMK113" s="33"/>
      <c r="NML113" s="33"/>
      <c r="NMM113" s="33"/>
      <c r="NMN113" s="33"/>
      <c r="NMO113" s="33"/>
      <c r="NMP113" s="33"/>
      <c r="NMQ113" s="33"/>
      <c r="NMR113" s="33"/>
      <c r="NMS113" s="33"/>
      <c r="NMT113" s="33"/>
      <c r="NMU113" s="33"/>
      <c r="NMV113" s="33"/>
      <c r="NMW113" s="33"/>
      <c r="NMX113" s="33"/>
      <c r="NMY113" s="33"/>
      <c r="NMZ113" s="33"/>
      <c r="NNA113" s="33"/>
      <c r="NNB113" s="33"/>
      <c r="NNC113" s="33"/>
      <c r="NND113" s="33"/>
      <c r="NNE113" s="33"/>
      <c r="NNF113" s="33"/>
      <c r="NNG113" s="33"/>
      <c r="NNH113" s="33"/>
      <c r="NNI113" s="33"/>
      <c r="NNJ113" s="33"/>
      <c r="NNK113" s="33"/>
      <c r="NNL113" s="33"/>
      <c r="NNM113" s="33"/>
      <c r="NNN113" s="33"/>
      <c r="NNO113" s="33"/>
      <c r="NNP113" s="33"/>
      <c r="NNQ113" s="33"/>
      <c r="NNR113" s="33"/>
      <c r="NNS113" s="33"/>
      <c r="NNT113" s="33"/>
      <c r="NNU113" s="33"/>
      <c r="NNV113" s="33"/>
      <c r="NNW113" s="33"/>
      <c r="NNX113" s="33"/>
      <c r="NNY113" s="33"/>
      <c r="NNZ113" s="33"/>
      <c r="NOA113" s="33"/>
      <c r="NOB113" s="33"/>
      <c r="NOC113" s="33"/>
      <c r="NOD113" s="33"/>
      <c r="NOE113" s="33"/>
      <c r="NOF113" s="33"/>
      <c r="NOG113" s="33"/>
      <c r="NOH113" s="33"/>
      <c r="NOI113" s="33"/>
      <c r="NOJ113" s="33"/>
      <c r="NOK113" s="33"/>
      <c r="NOL113" s="33"/>
      <c r="NOM113" s="33"/>
      <c r="NON113" s="33"/>
      <c r="NOO113" s="33"/>
      <c r="NOP113" s="33"/>
      <c r="NOQ113" s="33"/>
      <c r="NOR113" s="33"/>
      <c r="NOS113" s="33"/>
      <c r="NOT113" s="33"/>
      <c r="NOU113" s="33"/>
      <c r="NOV113" s="33"/>
      <c r="NOW113" s="33"/>
      <c r="NOX113" s="33"/>
      <c r="NOY113" s="33"/>
      <c r="NOZ113" s="33"/>
      <c r="NPA113" s="33"/>
      <c r="NPB113" s="33"/>
      <c r="NPC113" s="33"/>
      <c r="NPD113" s="33"/>
      <c r="NPE113" s="33"/>
      <c r="NPF113" s="33"/>
      <c r="NPG113" s="33"/>
      <c r="NPH113" s="33"/>
      <c r="NPI113" s="33"/>
      <c r="NPJ113" s="33"/>
      <c r="NPK113" s="33"/>
      <c r="NPL113" s="33"/>
      <c r="NPM113" s="33"/>
      <c r="NPN113" s="33"/>
      <c r="NPO113" s="33"/>
      <c r="NPP113" s="33"/>
      <c r="NPQ113" s="33"/>
      <c r="NPR113" s="33"/>
      <c r="NPS113" s="33"/>
      <c r="NPT113" s="33"/>
      <c r="NPU113" s="33"/>
      <c r="NPV113" s="33"/>
      <c r="NPW113" s="33"/>
      <c r="NPX113" s="33"/>
      <c r="NPY113" s="33"/>
      <c r="NPZ113" s="33"/>
      <c r="NQA113" s="33"/>
      <c r="NQB113" s="33"/>
      <c r="NQC113" s="33"/>
      <c r="NQD113" s="33"/>
      <c r="NQE113" s="33"/>
      <c r="NQF113" s="33"/>
      <c r="NQG113" s="33"/>
      <c r="NQH113" s="33"/>
      <c r="NQI113" s="33"/>
      <c r="NQJ113" s="33"/>
      <c r="NQK113" s="33"/>
      <c r="NQL113" s="33"/>
      <c r="NQM113" s="33"/>
      <c r="NQN113" s="33"/>
      <c r="NQO113" s="33"/>
      <c r="NQP113" s="33"/>
      <c r="NQQ113" s="33"/>
      <c r="NQR113" s="33"/>
      <c r="NQS113" s="33"/>
      <c r="NQT113" s="33"/>
      <c r="NQU113" s="33"/>
      <c r="NQV113" s="33"/>
      <c r="NQW113" s="33"/>
      <c r="NQX113" s="33"/>
      <c r="NQY113" s="33"/>
      <c r="NQZ113" s="33"/>
      <c r="NRA113" s="33"/>
      <c r="NRB113" s="33"/>
      <c r="NRC113" s="33"/>
      <c r="NRD113" s="33"/>
      <c r="NRE113" s="33"/>
      <c r="NRF113" s="33"/>
      <c r="NRG113" s="33"/>
      <c r="NRH113" s="33"/>
      <c r="NRI113" s="33"/>
      <c r="NRJ113" s="33"/>
      <c r="NRK113" s="33"/>
      <c r="NRL113" s="33"/>
      <c r="NRM113" s="33"/>
      <c r="NRN113" s="33"/>
      <c r="NRO113" s="33"/>
      <c r="NRP113" s="33"/>
      <c r="NRQ113" s="33"/>
      <c r="NRR113" s="33"/>
      <c r="NRS113" s="33"/>
      <c r="NRT113" s="33"/>
      <c r="NRU113" s="33"/>
      <c r="NRV113" s="33"/>
      <c r="NRW113" s="33"/>
      <c r="NRX113" s="33"/>
      <c r="NRY113" s="33"/>
      <c r="NRZ113" s="33"/>
      <c r="NSA113" s="33"/>
      <c r="NSB113" s="33"/>
      <c r="NSC113" s="33"/>
      <c r="NSD113" s="33"/>
      <c r="NSE113" s="33"/>
      <c r="NSF113" s="33"/>
      <c r="NSG113" s="33"/>
      <c r="NSH113" s="33"/>
      <c r="NSI113" s="33"/>
      <c r="NSJ113" s="33"/>
      <c r="NSK113" s="33"/>
      <c r="NSL113" s="33"/>
      <c r="NSM113" s="33"/>
      <c r="NSN113" s="33"/>
      <c r="NSO113" s="33"/>
      <c r="NSP113" s="33"/>
      <c r="NSQ113" s="33"/>
      <c r="NSR113" s="33"/>
      <c r="NSS113" s="33"/>
      <c r="NST113" s="33"/>
      <c r="NSU113" s="33"/>
      <c r="NSV113" s="33"/>
      <c r="NSW113" s="33"/>
      <c r="NSX113" s="33"/>
      <c r="NSY113" s="33"/>
      <c r="NSZ113" s="33"/>
      <c r="NTA113" s="33"/>
      <c r="NTB113" s="33"/>
      <c r="NTC113" s="33"/>
      <c r="NTD113" s="33"/>
      <c r="NTE113" s="33"/>
      <c r="NTF113" s="33"/>
      <c r="NTG113" s="33"/>
      <c r="NTH113" s="33"/>
      <c r="NTI113" s="33"/>
      <c r="NTJ113" s="33"/>
      <c r="NTK113" s="33"/>
      <c r="NTL113" s="33"/>
      <c r="NTM113" s="33"/>
      <c r="NTN113" s="33"/>
      <c r="NTO113" s="33"/>
      <c r="NTP113" s="33"/>
      <c r="NTQ113" s="33"/>
      <c r="NTR113" s="33"/>
      <c r="NTS113" s="33"/>
      <c r="NTT113" s="33"/>
      <c r="NTU113" s="33"/>
      <c r="NTV113" s="33"/>
      <c r="NTW113" s="33"/>
      <c r="NTX113" s="33"/>
      <c r="NTY113" s="33"/>
      <c r="NTZ113" s="33"/>
      <c r="NUA113" s="33"/>
      <c r="NUB113" s="33"/>
      <c r="NUC113" s="33"/>
      <c r="NUD113" s="33"/>
      <c r="NUE113" s="33"/>
      <c r="NUF113" s="33"/>
      <c r="NUG113" s="33"/>
      <c r="NUH113" s="33"/>
      <c r="NUI113" s="33"/>
      <c r="NUJ113" s="33"/>
      <c r="NUK113" s="33"/>
      <c r="NUL113" s="33"/>
      <c r="NUM113" s="33"/>
      <c r="NUN113" s="33"/>
      <c r="NUO113" s="33"/>
      <c r="NUP113" s="33"/>
      <c r="NUQ113" s="33"/>
      <c r="NUR113" s="33"/>
      <c r="NUS113" s="33"/>
      <c r="NUT113" s="33"/>
      <c r="NUU113" s="33"/>
      <c r="NUV113" s="33"/>
      <c r="NUW113" s="33"/>
      <c r="NUX113" s="33"/>
      <c r="NUY113" s="33"/>
      <c r="NUZ113" s="33"/>
      <c r="NVA113" s="33"/>
      <c r="NVB113" s="33"/>
      <c r="NVC113" s="33"/>
      <c r="NVD113" s="33"/>
      <c r="NVE113" s="33"/>
      <c r="NVF113" s="33"/>
      <c r="NVG113" s="33"/>
      <c r="NVH113" s="33"/>
      <c r="NVI113" s="33"/>
      <c r="NVJ113" s="33"/>
      <c r="NVK113" s="33"/>
      <c r="NVL113" s="33"/>
      <c r="NVM113" s="33"/>
      <c r="NVN113" s="33"/>
      <c r="NVO113" s="33"/>
      <c r="NVP113" s="33"/>
      <c r="NVQ113" s="33"/>
      <c r="NVR113" s="33"/>
      <c r="NVS113" s="33"/>
      <c r="NVT113" s="33"/>
      <c r="NVU113" s="33"/>
      <c r="NVV113" s="33"/>
      <c r="NVW113" s="33"/>
      <c r="NVX113" s="33"/>
      <c r="NVY113" s="33"/>
      <c r="NVZ113" s="33"/>
      <c r="NWA113" s="33"/>
      <c r="NWB113" s="33"/>
      <c r="NWC113" s="33"/>
      <c r="NWD113" s="33"/>
      <c r="NWE113" s="33"/>
      <c r="NWF113" s="33"/>
      <c r="NWG113" s="33"/>
      <c r="NWH113" s="33"/>
      <c r="NWI113" s="33"/>
      <c r="NWJ113" s="33"/>
      <c r="NWK113" s="33"/>
      <c r="NWL113" s="33"/>
      <c r="NWM113" s="33"/>
      <c r="NWN113" s="33"/>
      <c r="NWO113" s="33"/>
      <c r="NWP113" s="33"/>
      <c r="NWQ113" s="33"/>
      <c r="NWR113" s="33"/>
      <c r="NWS113" s="33"/>
      <c r="NWT113" s="33"/>
      <c r="NWU113" s="33"/>
      <c r="NWV113" s="33"/>
      <c r="NWW113" s="33"/>
      <c r="NWX113" s="33"/>
      <c r="NWY113" s="33"/>
      <c r="NWZ113" s="33"/>
      <c r="NXA113" s="33"/>
      <c r="NXB113" s="33"/>
      <c r="NXC113" s="33"/>
      <c r="NXD113" s="33"/>
      <c r="NXE113" s="33"/>
      <c r="NXF113" s="33"/>
      <c r="NXG113" s="33"/>
      <c r="NXH113" s="33"/>
      <c r="NXI113" s="33"/>
      <c r="NXJ113" s="33"/>
      <c r="NXK113" s="33"/>
      <c r="NXL113" s="33"/>
      <c r="NXM113" s="33"/>
      <c r="NXN113" s="33"/>
      <c r="NXO113" s="33"/>
      <c r="NXP113" s="33"/>
      <c r="NXQ113" s="33"/>
      <c r="NXR113" s="33"/>
      <c r="NXS113" s="33"/>
      <c r="NXT113" s="33"/>
      <c r="NXU113" s="33"/>
      <c r="NXV113" s="33"/>
      <c r="NXW113" s="33"/>
      <c r="NXX113" s="33"/>
      <c r="NXY113" s="33"/>
      <c r="NXZ113" s="33"/>
      <c r="NYA113" s="33"/>
      <c r="NYB113" s="33"/>
      <c r="NYC113" s="33"/>
      <c r="NYD113" s="33"/>
      <c r="NYE113" s="33"/>
      <c r="NYF113" s="33"/>
      <c r="NYG113" s="33"/>
      <c r="NYH113" s="33"/>
      <c r="NYI113" s="33"/>
      <c r="NYJ113" s="33"/>
      <c r="NYK113" s="33"/>
      <c r="NYL113" s="33"/>
      <c r="NYM113" s="33"/>
      <c r="NYN113" s="33"/>
      <c r="NYO113" s="33"/>
      <c r="NYP113" s="33"/>
      <c r="NYQ113" s="33"/>
      <c r="NYR113" s="33"/>
      <c r="NYS113" s="33"/>
      <c r="NYT113" s="33"/>
      <c r="NYU113" s="33"/>
      <c r="NYV113" s="33"/>
      <c r="NYW113" s="33"/>
      <c r="NYX113" s="33"/>
      <c r="NYY113" s="33"/>
      <c r="NYZ113" s="33"/>
      <c r="NZA113" s="33"/>
      <c r="NZB113" s="33"/>
      <c r="NZC113" s="33"/>
      <c r="NZD113" s="33"/>
      <c r="NZE113" s="33"/>
      <c r="NZF113" s="33"/>
      <c r="NZG113" s="33"/>
      <c r="NZH113" s="33"/>
      <c r="NZI113" s="33"/>
      <c r="NZJ113" s="33"/>
      <c r="NZK113" s="33"/>
      <c r="NZL113" s="33"/>
      <c r="NZM113" s="33"/>
      <c r="NZN113" s="33"/>
      <c r="NZO113" s="33"/>
      <c r="NZP113" s="33"/>
      <c r="NZQ113" s="33"/>
      <c r="NZR113" s="33"/>
      <c r="NZS113" s="33"/>
      <c r="NZT113" s="33"/>
      <c r="NZU113" s="33"/>
      <c r="NZV113" s="33"/>
      <c r="NZW113" s="33"/>
      <c r="NZX113" s="33"/>
      <c r="NZY113" s="33"/>
      <c r="NZZ113" s="33"/>
      <c r="OAA113" s="33"/>
      <c r="OAB113" s="33"/>
      <c r="OAC113" s="33"/>
      <c r="OAD113" s="33"/>
      <c r="OAE113" s="33"/>
      <c r="OAF113" s="33"/>
      <c r="OAG113" s="33"/>
      <c r="OAH113" s="33"/>
      <c r="OAI113" s="33"/>
      <c r="OAJ113" s="33"/>
      <c r="OAK113" s="33"/>
      <c r="OAL113" s="33"/>
      <c r="OAM113" s="33"/>
      <c r="OAN113" s="33"/>
      <c r="OAO113" s="33"/>
      <c r="OAP113" s="33"/>
      <c r="OAQ113" s="33"/>
      <c r="OAR113" s="33"/>
      <c r="OAS113" s="33"/>
      <c r="OAT113" s="33"/>
      <c r="OAU113" s="33"/>
      <c r="OAV113" s="33"/>
      <c r="OAW113" s="33"/>
      <c r="OAX113" s="33"/>
      <c r="OAY113" s="33"/>
      <c r="OAZ113" s="33"/>
      <c r="OBA113" s="33"/>
      <c r="OBB113" s="33"/>
      <c r="OBC113" s="33"/>
      <c r="OBD113" s="33"/>
      <c r="OBE113" s="33"/>
      <c r="OBF113" s="33"/>
      <c r="OBG113" s="33"/>
      <c r="OBH113" s="33"/>
      <c r="OBI113" s="33"/>
      <c r="OBJ113" s="33"/>
      <c r="OBK113" s="33"/>
      <c r="OBL113" s="33"/>
      <c r="OBM113" s="33"/>
      <c r="OBN113" s="33"/>
      <c r="OBO113" s="33"/>
      <c r="OBP113" s="33"/>
      <c r="OBQ113" s="33"/>
      <c r="OBR113" s="33"/>
      <c r="OBS113" s="33"/>
      <c r="OBT113" s="33"/>
      <c r="OBU113" s="33"/>
      <c r="OBV113" s="33"/>
      <c r="OBW113" s="33"/>
      <c r="OBX113" s="33"/>
      <c r="OBY113" s="33"/>
      <c r="OBZ113" s="33"/>
      <c r="OCA113" s="33"/>
      <c r="OCB113" s="33"/>
      <c r="OCC113" s="33"/>
      <c r="OCD113" s="33"/>
      <c r="OCE113" s="33"/>
      <c r="OCF113" s="33"/>
      <c r="OCG113" s="33"/>
      <c r="OCH113" s="33"/>
      <c r="OCI113" s="33"/>
      <c r="OCJ113" s="33"/>
      <c r="OCK113" s="33"/>
      <c r="OCL113" s="33"/>
      <c r="OCM113" s="33"/>
      <c r="OCN113" s="33"/>
      <c r="OCO113" s="33"/>
      <c r="OCP113" s="33"/>
      <c r="OCQ113" s="33"/>
      <c r="OCR113" s="33"/>
      <c r="OCS113" s="33"/>
      <c r="OCT113" s="33"/>
      <c r="OCU113" s="33"/>
      <c r="OCV113" s="33"/>
      <c r="OCW113" s="33"/>
      <c r="OCX113" s="33"/>
      <c r="OCY113" s="33"/>
      <c r="OCZ113" s="33"/>
      <c r="ODA113" s="33"/>
      <c r="ODB113" s="33"/>
      <c r="ODC113" s="33"/>
      <c r="ODD113" s="33"/>
      <c r="ODE113" s="33"/>
      <c r="ODF113" s="33"/>
      <c r="ODG113" s="33"/>
      <c r="ODH113" s="33"/>
      <c r="ODI113" s="33"/>
      <c r="ODJ113" s="33"/>
      <c r="ODK113" s="33"/>
      <c r="ODL113" s="33"/>
      <c r="ODM113" s="33"/>
      <c r="ODN113" s="33"/>
      <c r="ODO113" s="33"/>
      <c r="ODP113" s="33"/>
      <c r="ODQ113" s="33"/>
      <c r="ODR113" s="33"/>
      <c r="ODS113" s="33"/>
      <c r="ODT113" s="33"/>
      <c r="ODU113" s="33"/>
      <c r="ODV113" s="33"/>
      <c r="ODW113" s="33"/>
      <c r="ODX113" s="33"/>
      <c r="ODY113" s="33"/>
      <c r="ODZ113" s="33"/>
      <c r="OEA113" s="33"/>
      <c r="OEB113" s="33"/>
      <c r="OEC113" s="33"/>
      <c r="OED113" s="33"/>
      <c r="OEE113" s="33"/>
      <c r="OEF113" s="33"/>
      <c r="OEG113" s="33"/>
      <c r="OEH113" s="33"/>
      <c r="OEI113" s="33"/>
      <c r="OEJ113" s="33"/>
      <c r="OEK113" s="33"/>
      <c r="OEL113" s="33"/>
      <c r="OEM113" s="33"/>
      <c r="OEN113" s="33"/>
      <c r="OEO113" s="33"/>
      <c r="OEP113" s="33"/>
      <c r="OEQ113" s="33"/>
      <c r="OER113" s="33"/>
      <c r="OES113" s="33"/>
      <c r="OET113" s="33"/>
      <c r="OEU113" s="33"/>
      <c r="OEV113" s="33"/>
      <c r="OEW113" s="33"/>
      <c r="OEX113" s="33"/>
      <c r="OEY113" s="33"/>
      <c r="OEZ113" s="33"/>
      <c r="OFA113" s="33"/>
      <c r="OFB113" s="33"/>
      <c r="OFC113" s="33"/>
      <c r="OFD113" s="33"/>
      <c r="OFE113" s="33"/>
      <c r="OFF113" s="33"/>
      <c r="OFG113" s="33"/>
      <c r="OFH113" s="33"/>
      <c r="OFI113" s="33"/>
      <c r="OFJ113" s="33"/>
      <c r="OFK113" s="33"/>
      <c r="OFL113" s="33"/>
      <c r="OFM113" s="33"/>
      <c r="OFN113" s="33"/>
      <c r="OFO113" s="33"/>
      <c r="OFP113" s="33"/>
      <c r="OFQ113" s="33"/>
      <c r="OFR113" s="33"/>
      <c r="OFS113" s="33"/>
      <c r="OFT113" s="33"/>
      <c r="OFU113" s="33"/>
      <c r="OFV113" s="33"/>
      <c r="OFW113" s="33"/>
      <c r="OFX113" s="33"/>
      <c r="OFY113" s="33"/>
      <c r="OFZ113" s="33"/>
      <c r="OGA113" s="33"/>
      <c r="OGB113" s="33"/>
      <c r="OGC113" s="33"/>
      <c r="OGD113" s="33"/>
      <c r="OGE113" s="33"/>
      <c r="OGF113" s="33"/>
      <c r="OGG113" s="33"/>
      <c r="OGH113" s="33"/>
      <c r="OGI113" s="33"/>
      <c r="OGJ113" s="33"/>
      <c r="OGK113" s="33"/>
      <c r="OGL113" s="33"/>
      <c r="OGM113" s="33"/>
      <c r="OGN113" s="33"/>
      <c r="OGO113" s="33"/>
      <c r="OGP113" s="33"/>
      <c r="OGQ113" s="33"/>
      <c r="OGR113" s="33"/>
      <c r="OGS113" s="33"/>
      <c r="OGT113" s="33"/>
      <c r="OGU113" s="33"/>
      <c r="OGV113" s="33"/>
      <c r="OGW113" s="33"/>
      <c r="OGX113" s="33"/>
      <c r="OGY113" s="33"/>
      <c r="OGZ113" s="33"/>
      <c r="OHA113" s="33"/>
      <c r="OHB113" s="33"/>
      <c r="OHC113" s="33"/>
      <c r="OHD113" s="33"/>
      <c r="OHE113" s="33"/>
      <c r="OHF113" s="33"/>
      <c r="OHG113" s="33"/>
      <c r="OHH113" s="33"/>
      <c r="OHI113" s="33"/>
      <c r="OHJ113" s="33"/>
      <c r="OHK113" s="33"/>
      <c r="OHL113" s="33"/>
      <c r="OHM113" s="33"/>
      <c r="OHN113" s="33"/>
      <c r="OHO113" s="33"/>
      <c r="OHP113" s="33"/>
      <c r="OHQ113" s="33"/>
      <c r="OHR113" s="33"/>
      <c r="OHS113" s="33"/>
      <c r="OHT113" s="33"/>
      <c r="OHU113" s="33"/>
      <c r="OHV113" s="33"/>
      <c r="OHW113" s="33"/>
      <c r="OHX113" s="33"/>
      <c r="OHY113" s="33"/>
      <c r="OHZ113" s="33"/>
      <c r="OIA113" s="33"/>
      <c r="OIB113" s="33"/>
      <c r="OIC113" s="33"/>
      <c r="OID113" s="33"/>
      <c r="OIE113" s="33"/>
      <c r="OIF113" s="33"/>
      <c r="OIG113" s="33"/>
      <c r="OIH113" s="33"/>
      <c r="OII113" s="33"/>
      <c r="OIJ113" s="33"/>
      <c r="OIK113" s="33"/>
      <c r="OIL113" s="33"/>
      <c r="OIM113" s="33"/>
      <c r="OIN113" s="33"/>
      <c r="OIO113" s="33"/>
      <c r="OIP113" s="33"/>
      <c r="OIQ113" s="33"/>
      <c r="OIR113" s="33"/>
      <c r="OIS113" s="33"/>
      <c r="OIT113" s="33"/>
      <c r="OIU113" s="33"/>
      <c r="OIV113" s="33"/>
      <c r="OIW113" s="33"/>
      <c r="OIX113" s="33"/>
      <c r="OIY113" s="33"/>
      <c r="OIZ113" s="33"/>
      <c r="OJA113" s="33"/>
      <c r="OJB113" s="33"/>
      <c r="OJC113" s="33"/>
      <c r="OJD113" s="33"/>
      <c r="OJE113" s="33"/>
      <c r="OJF113" s="33"/>
      <c r="OJG113" s="33"/>
      <c r="OJH113" s="33"/>
      <c r="OJI113" s="33"/>
      <c r="OJJ113" s="33"/>
      <c r="OJK113" s="33"/>
      <c r="OJL113" s="33"/>
      <c r="OJM113" s="33"/>
      <c r="OJN113" s="33"/>
      <c r="OJO113" s="33"/>
      <c r="OJP113" s="33"/>
      <c r="OJQ113" s="33"/>
      <c r="OJR113" s="33"/>
      <c r="OJS113" s="33"/>
      <c r="OJT113" s="33"/>
      <c r="OJU113" s="33"/>
      <c r="OJV113" s="33"/>
      <c r="OJW113" s="33"/>
      <c r="OJX113" s="33"/>
      <c r="OJY113" s="33"/>
      <c r="OJZ113" s="33"/>
      <c r="OKA113" s="33"/>
      <c r="OKB113" s="33"/>
      <c r="OKC113" s="33"/>
      <c r="OKD113" s="33"/>
      <c r="OKE113" s="33"/>
      <c r="OKF113" s="33"/>
      <c r="OKG113" s="33"/>
      <c r="OKH113" s="33"/>
      <c r="OKI113" s="33"/>
      <c r="OKJ113" s="33"/>
      <c r="OKK113" s="33"/>
      <c r="OKL113" s="33"/>
      <c r="OKM113" s="33"/>
      <c r="OKN113" s="33"/>
      <c r="OKO113" s="33"/>
      <c r="OKP113" s="33"/>
      <c r="OKQ113" s="33"/>
      <c r="OKR113" s="33"/>
      <c r="OKS113" s="33"/>
      <c r="OKT113" s="33"/>
      <c r="OKU113" s="33"/>
      <c r="OKV113" s="33"/>
      <c r="OKW113" s="33"/>
      <c r="OKX113" s="33"/>
      <c r="OKY113" s="33"/>
      <c r="OKZ113" s="33"/>
      <c r="OLA113" s="33"/>
      <c r="OLB113" s="33"/>
      <c r="OLC113" s="33"/>
      <c r="OLD113" s="33"/>
      <c r="OLE113" s="33"/>
      <c r="OLF113" s="33"/>
      <c r="OLG113" s="33"/>
      <c r="OLH113" s="33"/>
      <c r="OLI113" s="33"/>
      <c r="OLJ113" s="33"/>
      <c r="OLK113" s="33"/>
      <c r="OLL113" s="33"/>
      <c r="OLM113" s="33"/>
      <c r="OLN113" s="33"/>
      <c r="OLO113" s="33"/>
      <c r="OLP113" s="33"/>
      <c r="OLQ113" s="33"/>
      <c r="OLR113" s="33"/>
      <c r="OLS113" s="33"/>
      <c r="OLT113" s="33"/>
      <c r="OLU113" s="33"/>
      <c r="OLV113" s="33"/>
      <c r="OLW113" s="33"/>
      <c r="OLX113" s="33"/>
      <c r="OLY113" s="33"/>
      <c r="OLZ113" s="33"/>
      <c r="OMA113" s="33"/>
      <c r="OMB113" s="33"/>
      <c r="OMC113" s="33"/>
      <c r="OMD113" s="33"/>
      <c r="OME113" s="33"/>
      <c r="OMF113" s="33"/>
      <c r="OMG113" s="33"/>
      <c r="OMH113" s="33"/>
      <c r="OMI113" s="33"/>
      <c r="OMJ113" s="33"/>
      <c r="OMK113" s="33"/>
      <c r="OML113" s="33"/>
      <c r="OMM113" s="33"/>
      <c r="OMN113" s="33"/>
      <c r="OMO113" s="33"/>
      <c r="OMP113" s="33"/>
      <c r="OMQ113" s="33"/>
      <c r="OMR113" s="33"/>
      <c r="OMS113" s="33"/>
      <c r="OMT113" s="33"/>
      <c r="OMU113" s="33"/>
      <c r="OMV113" s="33"/>
      <c r="OMW113" s="33"/>
      <c r="OMX113" s="33"/>
      <c r="OMY113" s="33"/>
      <c r="OMZ113" s="33"/>
      <c r="ONA113" s="33"/>
      <c r="ONB113" s="33"/>
      <c r="ONC113" s="33"/>
      <c r="OND113" s="33"/>
      <c r="ONE113" s="33"/>
      <c r="ONF113" s="33"/>
      <c r="ONG113" s="33"/>
      <c r="ONH113" s="33"/>
      <c r="ONI113" s="33"/>
      <c r="ONJ113" s="33"/>
      <c r="ONK113" s="33"/>
      <c r="ONL113" s="33"/>
      <c r="ONM113" s="33"/>
      <c r="ONN113" s="33"/>
      <c r="ONO113" s="33"/>
      <c r="ONP113" s="33"/>
      <c r="ONQ113" s="33"/>
      <c r="ONR113" s="33"/>
      <c r="ONS113" s="33"/>
      <c r="ONT113" s="33"/>
      <c r="ONU113" s="33"/>
      <c r="ONV113" s="33"/>
      <c r="ONW113" s="33"/>
      <c r="ONX113" s="33"/>
      <c r="ONY113" s="33"/>
      <c r="ONZ113" s="33"/>
      <c r="OOA113" s="33"/>
      <c r="OOB113" s="33"/>
      <c r="OOC113" s="33"/>
      <c r="OOD113" s="33"/>
      <c r="OOE113" s="33"/>
      <c r="OOF113" s="33"/>
      <c r="OOG113" s="33"/>
      <c r="OOH113" s="33"/>
      <c r="OOI113" s="33"/>
      <c r="OOJ113" s="33"/>
      <c r="OOK113" s="33"/>
      <c r="OOL113" s="33"/>
      <c r="OOM113" s="33"/>
      <c r="OON113" s="33"/>
      <c r="OOO113" s="33"/>
      <c r="OOP113" s="33"/>
      <c r="OOQ113" s="33"/>
      <c r="OOR113" s="33"/>
      <c r="OOS113" s="33"/>
      <c r="OOT113" s="33"/>
      <c r="OOU113" s="33"/>
      <c r="OOV113" s="33"/>
      <c r="OOW113" s="33"/>
      <c r="OOX113" s="33"/>
      <c r="OOY113" s="33"/>
      <c r="OOZ113" s="33"/>
      <c r="OPA113" s="33"/>
      <c r="OPB113" s="33"/>
      <c r="OPC113" s="33"/>
      <c r="OPD113" s="33"/>
      <c r="OPE113" s="33"/>
      <c r="OPF113" s="33"/>
      <c r="OPG113" s="33"/>
      <c r="OPH113" s="33"/>
      <c r="OPI113" s="33"/>
      <c r="OPJ113" s="33"/>
      <c r="OPK113" s="33"/>
      <c r="OPL113" s="33"/>
      <c r="OPM113" s="33"/>
      <c r="OPN113" s="33"/>
      <c r="OPO113" s="33"/>
      <c r="OPP113" s="33"/>
      <c r="OPQ113" s="33"/>
      <c r="OPR113" s="33"/>
      <c r="OPS113" s="33"/>
      <c r="OPT113" s="33"/>
      <c r="OPU113" s="33"/>
      <c r="OPV113" s="33"/>
      <c r="OPW113" s="33"/>
      <c r="OPX113" s="33"/>
      <c r="OPY113" s="33"/>
      <c r="OPZ113" s="33"/>
      <c r="OQA113" s="33"/>
      <c r="OQB113" s="33"/>
      <c r="OQC113" s="33"/>
      <c r="OQD113" s="33"/>
      <c r="OQE113" s="33"/>
      <c r="OQF113" s="33"/>
      <c r="OQG113" s="33"/>
      <c r="OQH113" s="33"/>
      <c r="OQI113" s="33"/>
      <c r="OQJ113" s="33"/>
      <c r="OQK113" s="33"/>
      <c r="OQL113" s="33"/>
      <c r="OQM113" s="33"/>
      <c r="OQN113" s="33"/>
      <c r="OQO113" s="33"/>
      <c r="OQP113" s="33"/>
      <c r="OQQ113" s="33"/>
      <c r="OQR113" s="33"/>
      <c r="OQS113" s="33"/>
      <c r="OQT113" s="33"/>
      <c r="OQU113" s="33"/>
      <c r="OQV113" s="33"/>
      <c r="OQW113" s="33"/>
      <c r="OQX113" s="33"/>
      <c r="OQY113" s="33"/>
      <c r="OQZ113" s="33"/>
      <c r="ORA113" s="33"/>
      <c r="ORB113" s="33"/>
      <c r="ORC113" s="33"/>
      <c r="ORD113" s="33"/>
      <c r="ORE113" s="33"/>
      <c r="ORF113" s="33"/>
      <c r="ORG113" s="33"/>
      <c r="ORH113" s="33"/>
      <c r="ORI113" s="33"/>
      <c r="ORJ113" s="33"/>
      <c r="ORK113" s="33"/>
      <c r="ORL113" s="33"/>
      <c r="ORM113" s="33"/>
      <c r="ORN113" s="33"/>
      <c r="ORO113" s="33"/>
      <c r="ORP113" s="33"/>
      <c r="ORQ113" s="33"/>
      <c r="ORR113" s="33"/>
      <c r="ORS113" s="33"/>
      <c r="ORT113" s="33"/>
      <c r="ORU113" s="33"/>
      <c r="ORV113" s="33"/>
      <c r="ORW113" s="33"/>
      <c r="ORX113" s="33"/>
      <c r="ORY113" s="33"/>
      <c r="ORZ113" s="33"/>
      <c r="OSA113" s="33"/>
      <c r="OSB113" s="33"/>
      <c r="OSC113" s="33"/>
      <c r="OSD113" s="33"/>
      <c r="OSE113" s="33"/>
      <c r="OSF113" s="33"/>
      <c r="OSG113" s="33"/>
      <c r="OSH113" s="33"/>
      <c r="OSI113" s="33"/>
      <c r="OSJ113" s="33"/>
      <c r="OSK113" s="33"/>
      <c r="OSL113" s="33"/>
      <c r="OSM113" s="33"/>
      <c r="OSN113" s="33"/>
      <c r="OSO113" s="33"/>
      <c r="OSP113" s="33"/>
      <c r="OSQ113" s="33"/>
      <c r="OSR113" s="33"/>
      <c r="OSS113" s="33"/>
      <c r="OST113" s="33"/>
      <c r="OSU113" s="33"/>
      <c r="OSV113" s="33"/>
      <c r="OSW113" s="33"/>
      <c r="OSX113" s="33"/>
      <c r="OSY113" s="33"/>
      <c r="OSZ113" s="33"/>
      <c r="OTA113" s="33"/>
      <c r="OTB113" s="33"/>
      <c r="OTC113" s="33"/>
      <c r="OTD113" s="33"/>
      <c r="OTE113" s="33"/>
      <c r="OTF113" s="33"/>
      <c r="OTG113" s="33"/>
      <c r="OTH113" s="33"/>
      <c r="OTI113" s="33"/>
      <c r="OTJ113" s="33"/>
      <c r="OTK113" s="33"/>
      <c r="OTL113" s="33"/>
      <c r="OTM113" s="33"/>
      <c r="OTN113" s="33"/>
      <c r="OTO113" s="33"/>
      <c r="OTP113" s="33"/>
      <c r="OTQ113" s="33"/>
      <c r="OTR113" s="33"/>
      <c r="OTS113" s="33"/>
      <c r="OTT113" s="33"/>
      <c r="OTU113" s="33"/>
      <c r="OTV113" s="33"/>
      <c r="OTW113" s="33"/>
      <c r="OTX113" s="33"/>
      <c r="OTY113" s="33"/>
      <c r="OTZ113" s="33"/>
      <c r="OUA113" s="33"/>
      <c r="OUB113" s="33"/>
      <c r="OUC113" s="33"/>
      <c r="OUD113" s="33"/>
      <c r="OUE113" s="33"/>
      <c r="OUF113" s="33"/>
      <c r="OUG113" s="33"/>
      <c r="OUH113" s="33"/>
      <c r="OUI113" s="33"/>
      <c r="OUJ113" s="33"/>
      <c r="OUK113" s="33"/>
      <c r="OUL113" s="33"/>
      <c r="OUM113" s="33"/>
      <c r="OUN113" s="33"/>
      <c r="OUO113" s="33"/>
      <c r="OUP113" s="33"/>
      <c r="OUQ113" s="33"/>
      <c r="OUR113" s="33"/>
      <c r="OUS113" s="33"/>
      <c r="OUT113" s="33"/>
      <c r="OUU113" s="33"/>
      <c r="OUV113" s="33"/>
      <c r="OUW113" s="33"/>
      <c r="OUX113" s="33"/>
      <c r="OUY113" s="33"/>
      <c r="OUZ113" s="33"/>
      <c r="OVA113" s="33"/>
      <c r="OVB113" s="33"/>
      <c r="OVC113" s="33"/>
      <c r="OVD113" s="33"/>
      <c r="OVE113" s="33"/>
      <c r="OVF113" s="33"/>
      <c r="OVG113" s="33"/>
      <c r="OVH113" s="33"/>
      <c r="OVI113" s="33"/>
      <c r="OVJ113" s="33"/>
      <c r="OVK113" s="33"/>
      <c r="OVL113" s="33"/>
      <c r="OVM113" s="33"/>
      <c r="OVN113" s="33"/>
      <c r="OVO113" s="33"/>
      <c r="OVP113" s="33"/>
      <c r="OVQ113" s="33"/>
      <c r="OVR113" s="33"/>
      <c r="OVS113" s="33"/>
      <c r="OVT113" s="33"/>
      <c r="OVU113" s="33"/>
      <c r="OVV113" s="33"/>
      <c r="OVW113" s="33"/>
      <c r="OVX113" s="33"/>
      <c r="OVY113" s="33"/>
      <c r="OVZ113" s="33"/>
      <c r="OWA113" s="33"/>
      <c r="OWB113" s="33"/>
      <c r="OWC113" s="33"/>
      <c r="OWD113" s="33"/>
      <c r="OWE113" s="33"/>
      <c r="OWF113" s="33"/>
      <c r="OWG113" s="33"/>
      <c r="OWH113" s="33"/>
      <c r="OWI113" s="33"/>
      <c r="OWJ113" s="33"/>
      <c r="OWK113" s="33"/>
      <c r="OWL113" s="33"/>
      <c r="OWM113" s="33"/>
      <c r="OWN113" s="33"/>
      <c r="OWO113" s="33"/>
      <c r="OWP113" s="33"/>
      <c r="OWQ113" s="33"/>
      <c r="OWR113" s="33"/>
      <c r="OWS113" s="33"/>
      <c r="OWT113" s="33"/>
      <c r="OWU113" s="33"/>
      <c r="OWV113" s="33"/>
      <c r="OWW113" s="33"/>
      <c r="OWX113" s="33"/>
      <c r="OWY113" s="33"/>
      <c r="OWZ113" s="33"/>
      <c r="OXA113" s="33"/>
      <c r="OXB113" s="33"/>
      <c r="OXC113" s="33"/>
      <c r="OXD113" s="33"/>
      <c r="OXE113" s="33"/>
      <c r="OXF113" s="33"/>
      <c r="OXG113" s="33"/>
      <c r="OXH113" s="33"/>
      <c r="OXI113" s="33"/>
      <c r="OXJ113" s="33"/>
      <c r="OXK113" s="33"/>
      <c r="OXL113" s="33"/>
      <c r="OXM113" s="33"/>
      <c r="OXN113" s="33"/>
      <c r="OXO113" s="33"/>
      <c r="OXP113" s="33"/>
      <c r="OXQ113" s="33"/>
      <c r="OXR113" s="33"/>
      <c r="OXS113" s="33"/>
      <c r="OXT113" s="33"/>
      <c r="OXU113" s="33"/>
      <c r="OXV113" s="33"/>
      <c r="OXW113" s="33"/>
      <c r="OXX113" s="33"/>
      <c r="OXY113" s="33"/>
      <c r="OXZ113" s="33"/>
      <c r="OYA113" s="33"/>
      <c r="OYB113" s="33"/>
      <c r="OYC113" s="33"/>
      <c r="OYD113" s="33"/>
      <c r="OYE113" s="33"/>
      <c r="OYF113" s="33"/>
      <c r="OYG113" s="33"/>
      <c r="OYH113" s="33"/>
      <c r="OYI113" s="33"/>
      <c r="OYJ113" s="33"/>
      <c r="OYK113" s="33"/>
      <c r="OYL113" s="33"/>
      <c r="OYM113" s="33"/>
      <c r="OYN113" s="33"/>
      <c r="OYO113" s="33"/>
      <c r="OYP113" s="33"/>
      <c r="OYQ113" s="33"/>
      <c r="OYR113" s="33"/>
      <c r="OYS113" s="33"/>
      <c r="OYT113" s="33"/>
      <c r="OYU113" s="33"/>
      <c r="OYV113" s="33"/>
      <c r="OYW113" s="33"/>
      <c r="OYX113" s="33"/>
      <c r="OYY113" s="33"/>
      <c r="OYZ113" s="33"/>
      <c r="OZA113" s="33"/>
      <c r="OZB113" s="33"/>
      <c r="OZC113" s="33"/>
      <c r="OZD113" s="33"/>
      <c r="OZE113" s="33"/>
      <c r="OZF113" s="33"/>
      <c r="OZG113" s="33"/>
      <c r="OZH113" s="33"/>
      <c r="OZI113" s="33"/>
      <c r="OZJ113" s="33"/>
      <c r="OZK113" s="33"/>
      <c r="OZL113" s="33"/>
      <c r="OZM113" s="33"/>
      <c r="OZN113" s="33"/>
      <c r="OZO113" s="33"/>
      <c r="OZP113" s="33"/>
      <c r="OZQ113" s="33"/>
      <c r="OZR113" s="33"/>
      <c r="OZS113" s="33"/>
      <c r="OZT113" s="33"/>
      <c r="OZU113" s="33"/>
      <c r="OZV113" s="33"/>
      <c r="OZW113" s="33"/>
      <c r="OZX113" s="33"/>
      <c r="OZY113" s="33"/>
      <c r="OZZ113" s="33"/>
      <c r="PAA113" s="33"/>
      <c r="PAB113" s="33"/>
      <c r="PAC113" s="33"/>
      <c r="PAD113" s="33"/>
      <c r="PAE113" s="33"/>
      <c r="PAF113" s="33"/>
      <c r="PAG113" s="33"/>
      <c r="PAH113" s="33"/>
      <c r="PAI113" s="33"/>
      <c r="PAJ113" s="33"/>
      <c r="PAK113" s="33"/>
      <c r="PAL113" s="33"/>
      <c r="PAM113" s="33"/>
      <c r="PAN113" s="33"/>
      <c r="PAO113" s="33"/>
      <c r="PAP113" s="33"/>
      <c r="PAQ113" s="33"/>
      <c r="PAR113" s="33"/>
      <c r="PAS113" s="33"/>
      <c r="PAT113" s="33"/>
      <c r="PAU113" s="33"/>
      <c r="PAV113" s="33"/>
      <c r="PAW113" s="33"/>
      <c r="PAX113" s="33"/>
      <c r="PAY113" s="33"/>
      <c r="PAZ113" s="33"/>
      <c r="PBA113" s="33"/>
      <c r="PBB113" s="33"/>
      <c r="PBC113" s="33"/>
      <c r="PBD113" s="33"/>
      <c r="PBE113" s="33"/>
      <c r="PBF113" s="33"/>
      <c r="PBG113" s="33"/>
      <c r="PBH113" s="33"/>
      <c r="PBI113" s="33"/>
      <c r="PBJ113" s="33"/>
      <c r="PBK113" s="33"/>
      <c r="PBL113" s="33"/>
      <c r="PBM113" s="33"/>
      <c r="PBN113" s="33"/>
      <c r="PBO113" s="33"/>
      <c r="PBP113" s="33"/>
      <c r="PBQ113" s="33"/>
      <c r="PBR113" s="33"/>
      <c r="PBS113" s="33"/>
      <c r="PBT113" s="33"/>
      <c r="PBU113" s="33"/>
      <c r="PBV113" s="33"/>
      <c r="PBW113" s="33"/>
      <c r="PBX113" s="33"/>
      <c r="PBY113" s="33"/>
      <c r="PBZ113" s="33"/>
      <c r="PCA113" s="33"/>
      <c r="PCB113" s="33"/>
      <c r="PCC113" s="33"/>
      <c r="PCD113" s="33"/>
      <c r="PCE113" s="33"/>
      <c r="PCF113" s="33"/>
      <c r="PCG113" s="33"/>
      <c r="PCH113" s="33"/>
      <c r="PCI113" s="33"/>
      <c r="PCJ113" s="33"/>
      <c r="PCK113" s="33"/>
      <c r="PCL113" s="33"/>
      <c r="PCM113" s="33"/>
      <c r="PCN113" s="33"/>
      <c r="PCO113" s="33"/>
      <c r="PCP113" s="33"/>
      <c r="PCQ113" s="33"/>
      <c r="PCR113" s="33"/>
      <c r="PCS113" s="33"/>
      <c r="PCT113" s="33"/>
      <c r="PCU113" s="33"/>
      <c r="PCV113" s="33"/>
      <c r="PCW113" s="33"/>
      <c r="PCX113" s="33"/>
      <c r="PCY113" s="33"/>
      <c r="PCZ113" s="33"/>
      <c r="PDA113" s="33"/>
      <c r="PDB113" s="33"/>
      <c r="PDC113" s="33"/>
      <c r="PDD113" s="33"/>
      <c r="PDE113" s="33"/>
      <c r="PDF113" s="33"/>
      <c r="PDG113" s="33"/>
      <c r="PDH113" s="33"/>
      <c r="PDI113" s="33"/>
      <c r="PDJ113" s="33"/>
      <c r="PDK113" s="33"/>
      <c r="PDL113" s="33"/>
      <c r="PDM113" s="33"/>
      <c r="PDN113" s="33"/>
      <c r="PDO113" s="33"/>
      <c r="PDP113" s="33"/>
      <c r="PDQ113" s="33"/>
      <c r="PDR113" s="33"/>
      <c r="PDS113" s="33"/>
      <c r="PDT113" s="33"/>
      <c r="PDU113" s="33"/>
      <c r="PDV113" s="33"/>
      <c r="PDW113" s="33"/>
      <c r="PDX113" s="33"/>
      <c r="PDY113" s="33"/>
      <c r="PDZ113" s="33"/>
      <c r="PEA113" s="33"/>
      <c r="PEB113" s="33"/>
      <c r="PEC113" s="33"/>
      <c r="PED113" s="33"/>
      <c r="PEE113" s="33"/>
      <c r="PEF113" s="33"/>
      <c r="PEG113" s="33"/>
      <c r="PEH113" s="33"/>
      <c r="PEI113" s="33"/>
      <c r="PEJ113" s="33"/>
      <c r="PEK113" s="33"/>
      <c r="PEL113" s="33"/>
      <c r="PEM113" s="33"/>
      <c r="PEN113" s="33"/>
      <c r="PEO113" s="33"/>
      <c r="PEP113" s="33"/>
      <c r="PEQ113" s="33"/>
      <c r="PER113" s="33"/>
      <c r="PES113" s="33"/>
      <c r="PET113" s="33"/>
      <c r="PEU113" s="33"/>
      <c r="PEV113" s="33"/>
      <c r="PEW113" s="33"/>
      <c r="PEX113" s="33"/>
      <c r="PEY113" s="33"/>
      <c r="PEZ113" s="33"/>
      <c r="PFA113" s="33"/>
      <c r="PFB113" s="33"/>
      <c r="PFC113" s="33"/>
      <c r="PFD113" s="33"/>
      <c r="PFE113" s="33"/>
      <c r="PFF113" s="33"/>
      <c r="PFG113" s="33"/>
      <c r="PFH113" s="33"/>
      <c r="PFI113" s="33"/>
      <c r="PFJ113" s="33"/>
      <c r="PFK113" s="33"/>
      <c r="PFL113" s="33"/>
      <c r="PFM113" s="33"/>
      <c r="PFN113" s="33"/>
      <c r="PFO113" s="33"/>
      <c r="PFP113" s="33"/>
      <c r="PFQ113" s="33"/>
      <c r="PFR113" s="33"/>
      <c r="PFS113" s="33"/>
      <c r="PFT113" s="33"/>
      <c r="PFU113" s="33"/>
      <c r="PFV113" s="33"/>
      <c r="PFW113" s="33"/>
      <c r="PFX113" s="33"/>
      <c r="PFY113" s="33"/>
      <c r="PFZ113" s="33"/>
      <c r="PGA113" s="33"/>
      <c r="PGB113" s="33"/>
      <c r="PGC113" s="33"/>
      <c r="PGD113" s="33"/>
      <c r="PGE113" s="33"/>
      <c r="PGF113" s="33"/>
      <c r="PGG113" s="33"/>
      <c r="PGH113" s="33"/>
      <c r="PGI113" s="33"/>
      <c r="PGJ113" s="33"/>
      <c r="PGK113" s="33"/>
      <c r="PGL113" s="33"/>
      <c r="PGM113" s="33"/>
      <c r="PGN113" s="33"/>
      <c r="PGO113" s="33"/>
      <c r="PGP113" s="33"/>
      <c r="PGQ113" s="33"/>
      <c r="PGR113" s="33"/>
      <c r="PGS113" s="33"/>
      <c r="PGT113" s="33"/>
      <c r="PGU113" s="33"/>
      <c r="PGV113" s="33"/>
      <c r="PGW113" s="33"/>
      <c r="PGX113" s="33"/>
      <c r="PGY113" s="33"/>
      <c r="PGZ113" s="33"/>
      <c r="PHA113" s="33"/>
      <c r="PHB113" s="33"/>
      <c r="PHC113" s="33"/>
      <c r="PHD113" s="33"/>
      <c r="PHE113" s="33"/>
      <c r="PHF113" s="33"/>
      <c r="PHG113" s="33"/>
      <c r="PHH113" s="33"/>
      <c r="PHI113" s="33"/>
      <c r="PHJ113" s="33"/>
      <c r="PHK113" s="33"/>
      <c r="PHL113" s="33"/>
      <c r="PHM113" s="33"/>
      <c r="PHN113" s="33"/>
      <c r="PHO113" s="33"/>
      <c r="PHP113" s="33"/>
      <c r="PHQ113" s="33"/>
      <c r="PHR113" s="33"/>
      <c r="PHS113" s="33"/>
      <c r="PHT113" s="33"/>
      <c r="PHU113" s="33"/>
      <c r="PHV113" s="33"/>
      <c r="PHW113" s="33"/>
      <c r="PHX113" s="33"/>
      <c r="PHY113" s="33"/>
      <c r="PHZ113" s="33"/>
      <c r="PIA113" s="33"/>
      <c r="PIB113" s="33"/>
      <c r="PIC113" s="33"/>
      <c r="PID113" s="33"/>
      <c r="PIE113" s="33"/>
      <c r="PIF113" s="33"/>
      <c r="PIG113" s="33"/>
      <c r="PIH113" s="33"/>
      <c r="PII113" s="33"/>
      <c r="PIJ113" s="33"/>
      <c r="PIK113" s="33"/>
      <c r="PIL113" s="33"/>
      <c r="PIM113" s="33"/>
      <c r="PIN113" s="33"/>
      <c r="PIO113" s="33"/>
      <c r="PIP113" s="33"/>
      <c r="PIQ113" s="33"/>
      <c r="PIR113" s="33"/>
      <c r="PIS113" s="33"/>
      <c r="PIT113" s="33"/>
      <c r="PIU113" s="33"/>
      <c r="PIV113" s="33"/>
      <c r="PIW113" s="33"/>
      <c r="PIX113" s="33"/>
      <c r="PIY113" s="33"/>
      <c r="PIZ113" s="33"/>
      <c r="PJA113" s="33"/>
      <c r="PJB113" s="33"/>
      <c r="PJC113" s="33"/>
      <c r="PJD113" s="33"/>
      <c r="PJE113" s="33"/>
      <c r="PJF113" s="33"/>
      <c r="PJG113" s="33"/>
      <c r="PJH113" s="33"/>
      <c r="PJI113" s="33"/>
      <c r="PJJ113" s="33"/>
      <c r="PJK113" s="33"/>
      <c r="PJL113" s="33"/>
      <c r="PJM113" s="33"/>
      <c r="PJN113" s="33"/>
      <c r="PJO113" s="33"/>
      <c r="PJP113" s="33"/>
      <c r="PJQ113" s="33"/>
      <c r="PJR113" s="33"/>
      <c r="PJS113" s="33"/>
      <c r="PJT113" s="33"/>
      <c r="PJU113" s="33"/>
      <c r="PJV113" s="33"/>
      <c r="PJW113" s="33"/>
      <c r="PJX113" s="33"/>
      <c r="PJY113" s="33"/>
      <c r="PJZ113" s="33"/>
      <c r="PKA113" s="33"/>
      <c r="PKB113" s="33"/>
      <c r="PKC113" s="33"/>
      <c r="PKD113" s="33"/>
      <c r="PKE113" s="33"/>
      <c r="PKF113" s="33"/>
      <c r="PKG113" s="33"/>
      <c r="PKH113" s="33"/>
      <c r="PKI113" s="33"/>
      <c r="PKJ113" s="33"/>
      <c r="PKK113" s="33"/>
      <c r="PKL113" s="33"/>
      <c r="PKM113" s="33"/>
      <c r="PKN113" s="33"/>
      <c r="PKO113" s="33"/>
      <c r="PKP113" s="33"/>
      <c r="PKQ113" s="33"/>
      <c r="PKR113" s="33"/>
      <c r="PKS113" s="33"/>
      <c r="PKT113" s="33"/>
      <c r="PKU113" s="33"/>
      <c r="PKV113" s="33"/>
      <c r="PKW113" s="33"/>
      <c r="PKX113" s="33"/>
      <c r="PKY113" s="33"/>
      <c r="PKZ113" s="33"/>
      <c r="PLA113" s="33"/>
      <c r="PLB113" s="33"/>
      <c r="PLC113" s="33"/>
      <c r="PLD113" s="33"/>
      <c r="PLE113" s="33"/>
      <c r="PLF113" s="33"/>
      <c r="PLG113" s="33"/>
      <c r="PLH113" s="33"/>
      <c r="PLI113" s="33"/>
      <c r="PLJ113" s="33"/>
      <c r="PLK113" s="33"/>
      <c r="PLL113" s="33"/>
      <c r="PLM113" s="33"/>
      <c r="PLN113" s="33"/>
      <c r="PLO113" s="33"/>
      <c r="PLP113" s="33"/>
      <c r="PLQ113" s="33"/>
      <c r="PLR113" s="33"/>
      <c r="PLS113" s="33"/>
      <c r="PLT113" s="33"/>
      <c r="PLU113" s="33"/>
      <c r="PLV113" s="33"/>
      <c r="PLW113" s="33"/>
      <c r="PLX113" s="33"/>
      <c r="PLY113" s="33"/>
      <c r="PLZ113" s="33"/>
      <c r="PMA113" s="33"/>
      <c r="PMB113" s="33"/>
      <c r="PMC113" s="33"/>
      <c r="PMD113" s="33"/>
      <c r="PME113" s="33"/>
      <c r="PMF113" s="33"/>
      <c r="PMG113" s="33"/>
      <c r="PMH113" s="33"/>
      <c r="PMI113" s="33"/>
      <c r="PMJ113" s="33"/>
      <c r="PMK113" s="33"/>
      <c r="PML113" s="33"/>
      <c r="PMM113" s="33"/>
      <c r="PMN113" s="33"/>
      <c r="PMO113" s="33"/>
      <c r="PMP113" s="33"/>
      <c r="PMQ113" s="33"/>
      <c r="PMR113" s="33"/>
      <c r="PMS113" s="33"/>
      <c r="PMT113" s="33"/>
      <c r="PMU113" s="33"/>
      <c r="PMV113" s="33"/>
      <c r="PMW113" s="33"/>
      <c r="PMX113" s="33"/>
      <c r="PMY113" s="33"/>
      <c r="PMZ113" s="33"/>
      <c r="PNA113" s="33"/>
      <c r="PNB113" s="33"/>
      <c r="PNC113" s="33"/>
      <c r="PND113" s="33"/>
      <c r="PNE113" s="33"/>
      <c r="PNF113" s="33"/>
      <c r="PNG113" s="33"/>
      <c r="PNH113" s="33"/>
      <c r="PNI113" s="33"/>
      <c r="PNJ113" s="33"/>
      <c r="PNK113" s="33"/>
      <c r="PNL113" s="33"/>
      <c r="PNM113" s="33"/>
      <c r="PNN113" s="33"/>
      <c r="PNO113" s="33"/>
      <c r="PNP113" s="33"/>
      <c r="PNQ113" s="33"/>
      <c r="PNR113" s="33"/>
      <c r="PNS113" s="33"/>
      <c r="PNT113" s="33"/>
      <c r="PNU113" s="33"/>
      <c r="PNV113" s="33"/>
      <c r="PNW113" s="33"/>
      <c r="PNX113" s="33"/>
      <c r="PNY113" s="33"/>
      <c r="PNZ113" s="33"/>
      <c r="POA113" s="33"/>
      <c r="POB113" s="33"/>
      <c r="POC113" s="33"/>
      <c r="POD113" s="33"/>
      <c r="POE113" s="33"/>
      <c r="POF113" s="33"/>
      <c r="POG113" s="33"/>
      <c r="POH113" s="33"/>
      <c r="POI113" s="33"/>
      <c r="POJ113" s="33"/>
      <c r="POK113" s="33"/>
      <c r="POL113" s="33"/>
      <c r="POM113" s="33"/>
      <c r="PON113" s="33"/>
      <c r="POO113" s="33"/>
      <c r="POP113" s="33"/>
      <c r="POQ113" s="33"/>
      <c r="POR113" s="33"/>
      <c r="POS113" s="33"/>
      <c r="POT113" s="33"/>
      <c r="POU113" s="33"/>
      <c r="POV113" s="33"/>
      <c r="POW113" s="33"/>
      <c r="POX113" s="33"/>
      <c r="POY113" s="33"/>
      <c r="POZ113" s="33"/>
      <c r="PPA113" s="33"/>
      <c r="PPB113" s="33"/>
      <c r="PPC113" s="33"/>
      <c r="PPD113" s="33"/>
      <c r="PPE113" s="33"/>
      <c r="PPF113" s="33"/>
      <c r="PPG113" s="33"/>
      <c r="PPH113" s="33"/>
      <c r="PPI113" s="33"/>
      <c r="PPJ113" s="33"/>
      <c r="PPK113" s="33"/>
      <c r="PPL113" s="33"/>
      <c r="PPM113" s="33"/>
      <c r="PPN113" s="33"/>
      <c r="PPO113" s="33"/>
      <c r="PPP113" s="33"/>
      <c r="PPQ113" s="33"/>
      <c r="PPR113" s="33"/>
      <c r="PPS113" s="33"/>
      <c r="PPT113" s="33"/>
      <c r="PPU113" s="33"/>
      <c r="PPV113" s="33"/>
      <c r="PPW113" s="33"/>
      <c r="PPX113" s="33"/>
      <c r="PPY113" s="33"/>
      <c r="PPZ113" s="33"/>
      <c r="PQA113" s="33"/>
      <c r="PQB113" s="33"/>
      <c r="PQC113" s="33"/>
      <c r="PQD113" s="33"/>
      <c r="PQE113" s="33"/>
      <c r="PQF113" s="33"/>
      <c r="PQG113" s="33"/>
      <c r="PQH113" s="33"/>
      <c r="PQI113" s="33"/>
      <c r="PQJ113" s="33"/>
      <c r="PQK113" s="33"/>
      <c r="PQL113" s="33"/>
      <c r="PQM113" s="33"/>
      <c r="PQN113" s="33"/>
      <c r="PQO113" s="33"/>
      <c r="PQP113" s="33"/>
      <c r="PQQ113" s="33"/>
      <c r="PQR113" s="33"/>
      <c r="PQS113" s="33"/>
      <c r="PQT113" s="33"/>
      <c r="PQU113" s="33"/>
      <c r="PQV113" s="33"/>
      <c r="PQW113" s="33"/>
      <c r="PQX113" s="33"/>
      <c r="PQY113" s="33"/>
      <c r="PQZ113" s="33"/>
      <c r="PRA113" s="33"/>
      <c r="PRB113" s="33"/>
      <c r="PRC113" s="33"/>
      <c r="PRD113" s="33"/>
      <c r="PRE113" s="33"/>
      <c r="PRF113" s="33"/>
      <c r="PRG113" s="33"/>
      <c r="PRH113" s="33"/>
      <c r="PRI113" s="33"/>
      <c r="PRJ113" s="33"/>
      <c r="PRK113" s="33"/>
      <c r="PRL113" s="33"/>
      <c r="PRM113" s="33"/>
      <c r="PRN113" s="33"/>
      <c r="PRO113" s="33"/>
      <c r="PRP113" s="33"/>
      <c r="PRQ113" s="33"/>
      <c r="PRR113" s="33"/>
      <c r="PRS113" s="33"/>
      <c r="PRT113" s="33"/>
      <c r="PRU113" s="33"/>
      <c r="PRV113" s="33"/>
      <c r="PRW113" s="33"/>
      <c r="PRX113" s="33"/>
      <c r="PRY113" s="33"/>
      <c r="PRZ113" s="33"/>
      <c r="PSA113" s="33"/>
      <c r="PSB113" s="33"/>
      <c r="PSC113" s="33"/>
      <c r="PSD113" s="33"/>
      <c r="PSE113" s="33"/>
      <c r="PSF113" s="33"/>
      <c r="PSG113" s="33"/>
      <c r="PSH113" s="33"/>
      <c r="PSI113" s="33"/>
      <c r="PSJ113" s="33"/>
      <c r="PSK113" s="33"/>
      <c r="PSL113" s="33"/>
      <c r="PSM113" s="33"/>
      <c r="PSN113" s="33"/>
      <c r="PSO113" s="33"/>
      <c r="PSP113" s="33"/>
      <c r="PSQ113" s="33"/>
      <c r="PSR113" s="33"/>
      <c r="PSS113" s="33"/>
      <c r="PST113" s="33"/>
      <c r="PSU113" s="33"/>
      <c r="PSV113" s="33"/>
      <c r="PSW113" s="33"/>
      <c r="PSX113" s="33"/>
      <c r="PSY113" s="33"/>
      <c r="PSZ113" s="33"/>
      <c r="PTA113" s="33"/>
      <c r="PTB113" s="33"/>
      <c r="PTC113" s="33"/>
      <c r="PTD113" s="33"/>
      <c r="PTE113" s="33"/>
      <c r="PTF113" s="33"/>
      <c r="PTG113" s="33"/>
      <c r="PTH113" s="33"/>
      <c r="PTI113" s="33"/>
      <c r="PTJ113" s="33"/>
      <c r="PTK113" s="33"/>
      <c r="PTL113" s="33"/>
      <c r="PTM113" s="33"/>
      <c r="PTN113" s="33"/>
      <c r="PTO113" s="33"/>
      <c r="PTP113" s="33"/>
      <c r="PTQ113" s="33"/>
      <c r="PTR113" s="33"/>
      <c r="PTS113" s="33"/>
      <c r="PTT113" s="33"/>
      <c r="PTU113" s="33"/>
      <c r="PTV113" s="33"/>
      <c r="PTW113" s="33"/>
      <c r="PTX113" s="33"/>
      <c r="PTY113" s="33"/>
      <c r="PTZ113" s="33"/>
      <c r="PUA113" s="33"/>
      <c r="PUB113" s="33"/>
      <c r="PUC113" s="33"/>
      <c r="PUD113" s="33"/>
      <c r="PUE113" s="33"/>
      <c r="PUF113" s="33"/>
      <c r="PUG113" s="33"/>
      <c r="PUH113" s="33"/>
      <c r="PUI113" s="33"/>
      <c r="PUJ113" s="33"/>
      <c r="PUK113" s="33"/>
      <c r="PUL113" s="33"/>
      <c r="PUM113" s="33"/>
      <c r="PUN113" s="33"/>
      <c r="PUO113" s="33"/>
      <c r="PUP113" s="33"/>
      <c r="PUQ113" s="33"/>
      <c r="PUR113" s="33"/>
      <c r="PUS113" s="33"/>
      <c r="PUT113" s="33"/>
      <c r="PUU113" s="33"/>
      <c r="PUV113" s="33"/>
      <c r="PUW113" s="33"/>
      <c r="PUX113" s="33"/>
      <c r="PUY113" s="33"/>
      <c r="PUZ113" s="33"/>
      <c r="PVA113" s="33"/>
      <c r="PVB113" s="33"/>
      <c r="PVC113" s="33"/>
      <c r="PVD113" s="33"/>
      <c r="PVE113" s="33"/>
      <c r="PVF113" s="33"/>
      <c r="PVG113" s="33"/>
      <c r="PVH113" s="33"/>
      <c r="PVI113" s="33"/>
      <c r="PVJ113" s="33"/>
      <c r="PVK113" s="33"/>
      <c r="PVL113" s="33"/>
      <c r="PVM113" s="33"/>
      <c r="PVN113" s="33"/>
      <c r="PVO113" s="33"/>
      <c r="PVP113" s="33"/>
      <c r="PVQ113" s="33"/>
      <c r="PVR113" s="33"/>
      <c r="PVS113" s="33"/>
      <c r="PVT113" s="33"/>
      <c r="PVU113" s="33"/>
      <c r="PVV113" s="33"/>
      <c r="PVW113" s="33"/>
      <c r="PVX113" s="33"/>
      <c r="PVY113" s="33"/>
      <c r="PVZ113" s="33"/>
      <c r="PWA113" s="33"/>
      <c r="PWB113" s="33"/>
      <c r="PWC113" s="33"/>
      <c r="PWD113" s="33"/>
      <c r="PWE113" s="33"/>
      <c r="PWF113" s="33"/>
      <c r="PWG113" s="33"/>
      <c r="PWH113" s="33"/>
      <c r="PWI113" s="33"/>
      <c r="PWJ113" s="33"/>
      <c r="PWK113" s="33"/>
      <c r="PWL113" s="33"/>
      <c r="PWM113" s="33"/>
      <c r="PWN113" s="33"/>
      <c r="PWO113" s="33"/>
      <c r="PWP113" s="33"/>
      <c r="PWQ113" s="33"/>
      <c r="PWR113" s="33"/>
      <c r="PWS113" s="33"/>
      <c r="PWT113" s="33"/>
      <c r="PWU113" s="33"/>
      <c r="PWV113" s="33"/>
      <c r="PWW113" s="33"/>
      <c r="PWX113" s="33"/>
      <c r="PWY113" s="33"/>
      <c r="PWZ113" s="33"/>
      <c r="PXA113" s="33"/>
      <c r="PXB113" s="33"/>
      <c r="PXC113" s="33"/>
      <c r="PXD113" s="33"/>
      <c r="PXE113" s="33"/>
      <c r="PXF113" s="33"/>
      <c r="PXG113" s="33"/>
      <c r="PXH113" s="33"/>
      <c r="PXI113" s="33"/>
      <c r="PXJ113" s="33"/>
      <c r="PXK113" s="33"/>
      <c r="PXL113" s="33"/>
      <c r="PXM113" s="33"/>
      <c r="PXN113" s="33"/>
      <c r="PXO113" s="33"/>
      <c r="PXP113" s="33"/>
      <c r="PXQ113" s="33"/>
      <c r="PXR113" s="33"/>
      <c r="PXS113" s="33"/>
      <c r="PXT113" s="33"/>
      <c r="PXU113" s="33"/>
      <c r="PXV113" s="33"/>
      <c r="PXW113" s="33"/>
      <c r="PXX113" s="33"/>
      <c r="PXY113" s="33"/>
      <c r="PXZ113" s="33"/>
      <c r="PYA113" s="33"/>
      <c r="PYB113" s="33"/>
      <c r="PYC113" s="33"/>
      <c r="PYD113" s="33"/>
      <c r="PYE113" s="33"/>
      <c r="PYF113" s="33"/>
      <c r="PYG113" s="33"/>
      <c r="PYH113" s="33"/>
      <c r="PYI113" s="33"/>
      <c r="PYJ113" s="33"/>
      <c r="PYK113" s="33"/>
      <c r="PYL113" s="33"/>
      <c r="PYM113" s="33"/>
      <c r="PYN113" s="33"/>
      <c r="PYO113" s="33"/>
      <c r="PYP113" s="33"/>
      <c r="PYQ113" s="33"/>
      <c r="PYR113" s="33"/>
      <c r="PYS113" s="33"/>
      <c r="PYT113" s="33"/>
      <c r="PYU113" s="33"/>
      <c r="PYV113" s="33"/>
      <c r="PYW113" s="33"/>
      <c r="PYX113" s="33"/>
      <c r="PYY113" s="33"/>
      <c r="PYZ113" s="33"/>
      <c r="PZA113" s="33"/>
      <c r="PZB113" s="33"/>
      <c r="PZC113" s="33"/>
      <c r="PZD113" s="33"/>
      <c r="PZE113" s="33"/>
      <c r="PZF113" s="33"/>
      <c r="PZG113" s="33"/>
      <c r="PZH113" s="33"/>
      <c r="PZI113" s="33"/>
      <c r="PZJ113" s="33"/>
      <c r="PZK113" s="33"/>
      <c r="PZL113" s="33"/>
      <c r="PZM113" s="33"/>
      <c r="PZN113" s="33"/>
      <c r="PZO113" s="33"/>
      <c r="PZP113" s="33"/>
      <c r="PZQ113" s="33"/>
      <c r="PZR113" s="33"/>
      <c r="PZS113" s="33"/>
      <c r="PZT113" s="33"/>
      <c r="PZU113" s="33"/>
      <c r="PZV113" s="33"/>
      <c r="PZW113" s="33"/>
      <c r="PZX113" s="33"/>
      <c r="PZY113" s="33"/>
      <c r="PZZ113" s="33"/>
      <c r="QAA113" s="33"/>
      <c r="QAB113" s="33"/>
      <c r="QAC113" s="33"/>
      <c r="QAD113" s="33"/>
      <c r="QAE113" s="33"/>
      <c r="QAF113" s="33"/>
      <c r="QAG113" s="33"/>
      <c r="QAH113" s="33"/>
      <c r="QAI113" s="33"/>
      <c r="QAJ113" s="33"/>
      <c r="QAK113" s="33"/>
      <c r="QAL113" s="33"/>
      <c r="QAM113" s="33"/>
      <c r="QAN113" s="33"/>
      <c r="QAO113" s="33"/>
      <c r="QAP113" s="33"/>
      <c r="QAQ113" s="33"/>
      <c r="QAR113" s="33"/>
      <c r="QAS113" s="33"/>
      <c r="QAT113" s="33"/>
      <c r="QAU113" s="33"/>
      <c r="QAV113" s="33"/>
      <c r="QAW113" s="33"/>
      <c r="QAX113" s="33"/>
      <c r="QAY113" s="33"/>
      <c r="QAZ113" s="33"/>
      <c r="QBA113" s="33"/>
      <c r="QBB113" s="33"/>
      <c r="QBC113" s="33"/>
      <c r="QBD113" s="33"/>
      <c r="QBE113" s="33"/>
      <c r="QBF113" s="33"/>
      <c r="QBG113" s="33"/>
      <c r="QBH113" s="33"/>
      <c r="QBI113" s="33"/>
      <c r="QBJ113" s="33"/>
      <c r="QBK113" s="33"/>
      <c r="QBL113" s="33"/>
      <c r="QBM113" s="33"/>
      <c r="QBN113" s="33"/>
      <c r="QBO113" s="33"/>
      <c r="QBP113" s="33"/>
      <c r="QBQ113" s="33"/>
      <c r="QBR113" s="33"/>
      <c r="QBS113" s="33"/>
      <c r="QBT113" s="33"/>
      <c r="QBU113" s="33"/>
      <c r="QBV113" s="33"/>
      <c r="QBW113" s="33"/>
      <c r="QBX113" s="33"/>
      <c r="QBY113" s="33"/>
      <c r="QBZ113" s="33"/>
      <c r="QCA113" s="33"/>
      <c r="QCB113" s="33"/>
      <c r="QCC113" s="33"/>
      <c r="QCD113" s="33"/>
      <c r="QCE113" s="33"/>
      <c r="QCF113" s="33"/>
      <c r="QCG113" s="33"/>
      <c r="QCH113" s="33"/>
      <c r="QCI113" s="33"/>
      <c r="QCJ113" s="33"/>
      <c r="QCK113" s="33"/>
      <c r="QCL113" s="33"/>
      <c r="QCM113" s="33"/>
      <c r="QCN113" s="33"/>
      <c r="QCO113" s="33"/>
      <c r="QCP113" s="33"/>
      <c r="QCQ113" s="33"/>
      <c r="QCR113" s="33"/>
      <c r="QCS113" s="33"/>
      <c r="QCT113" s="33"/>
      <c r="QCU113" s="33"/>
      <c r="QCV113" s="33"/>
      <c r="QCW113" s="33"/>
      <c r="QCX113" s="33"/>
      <c r="QCY113" s="33"/>
      <c r="QCZ113" s="33"/>
      <c r="QDA113" s="33"/>
      <c r="QDB113" s="33"/>
      <c r="QDC113" s="33"/>
      <c r="QDD113" s="33"/>
      <c r="QDE113" s="33"/>
      <c r="QDF113" s="33"/>
      <c r="QDG113" s="33"/>
      <c r="QDH113" s="33"/>
      <c r="QDI113" s="33"/>
      <c r="QDJ113" s="33"/>
      <c r="QDK113" s="33"/>
      <c r="QDL113" s="33"/>
      <c r="QDM113" s="33"/>
      <c r="QDN113" s="33"/>
      <c r="QDO113" s="33"/>
      <c r="QDP113" s="33"/>
      <c r="QDQ113" s="33"/>
      <c r="QDR113" s="33"/>
      <c r="QDS113" s="33"/>
      <c r="QDT113" s="33"/>
      <c r="QDU113" s="33"/>
      <c r="QDV113" s="33"/>
      <c r="QDW113" s="33"/>
      <c r="QDX113" s="33"/>
      <c r="QDY113" s="33"/>
      <c r="QDZ113" s="33"/>
      <c r="QEA113" s="33"/>
      <c r="QEB113" s="33"/>
      <c r="QEC113" s="33"/>
      <c r="QED113" s="33"/>
      <c r="QEE113" s="33"/>
      <c r="QEF113" s="33"/>
      <c r="QEG113" s="33"/>
      <c r="QEH113" s="33"/>
      <c r="QEI113" s="33"/>
      <c r="QEJ113" s="33"/>
      <c r="QEK113" s="33"/>
      <c r="QEL113" s="33"/>
      <c r="QEM113" s="33"/>
      <c r="QEN113" s="33"/>
      <c r="QEO113" s="33"/>
      <c r="QEP113" s="33"/>
      <c r="QEQ113" s="33"/>
      <c r="QER113" s="33"/>
      <c r="QES113" s="33"/>
      <c r="QET113" s="33"/>
      <c r="QEU113" s="33"/>
      <c r="QEV113" s="33"/>
      <c r="QEW113" s="33"/>
      <c r="QEX113" s="33"/>
      <c r="QEY113" s="33"/>
      <c r="QEZ113" s="33"/>
      <c r="QFA113" s="33"/>
      <c r="QFB113" s="33"/>
      <c r="QFC113" s="33"/>
      <c r="QFD113" s="33"/>
      <c r="QFE113" s="33"/>
      <c r="QFF113" s="33"/>
      <c r="QFG113" s="33"/>
      <c r="QFH113" s="33"/>
      <c r="QFI113" s="33"/>
      <c r="QFJ113" s="33"/>
      <c r="QFK113" s="33"/>
      <c r="QFL113" s="33"/>
      <c r="QFM113" s="33"/>
      <c r="QFN113" s="33"/>
      <c r="QFO113" s="33"/>
      <c r="QFP113" s="33"/>
      <c r="QFQ113" s="33"/>
      <c r="QFR113" s="33"/>
      <c r="QFS113" s="33"/>
      <c r="QFT113" s="33"/>
      <c r="QFU113" s="33"/>
      <c r="QFV113" s="33"/>
      <c r="QFW113" s="33"/>
      <c r="QFX113" s="33"/>
      <c r="QFY113" s="33"/>
      <c r="QFZ113" s="33"/>
      <c r="QGA113" s="33"/>
      <c r="QGB113" s="33"/>
      <c r="QGC113" s="33"/>
      <c r="QGD113" s="33"/>
      <c r="QGE113" s="33"/>
      <c r="QGF113" s="33"/>
      <c r="QGG113" s="33"/>
      <c r="QGH113" s="33"/>
      <c r="QGI113" s="33"/>
      <c r="QGJ113" s="33"/>
      <c r="QGK113" s="33"/>
      <c r="QGL113" s="33"/>
      <c r="QGM113" s="33"/>
      <c r="QGN113" s="33"/>
      <c r="QGO113" s="33"/>
      <c r="QGP113" s="33"/>
      <c r="QGQ113" s="33"/>
      <c r="QGR113" s="33"/>
      <c r="QGS113" s="33"/>
      <c r="QGT113" s="33"/>
      <c r="QGU113" s="33"/>
      <c r="QGV113" s="33"/>
      <c r="QGW113" s="33"/>
      <c r="QGX113" s="33"/>
      <c r="QGY113" s="33"/>
      <c r="QGZ113" s="33"/>
      <c r="QHA113" s="33"/>
      <c r="QHB113" s="33"/>
      <c r="QHC113" s="33"/>
      <c r="QHD113" s="33"/>
      <c r="QHE113" s="33"/>
      <c r="QHF113" s="33"/>
      <c r="QHG113" s="33"/>
      <c r="QHH113" s="33"/>
      <c r="QHI113" s="33"/>
      <c r="QHJ113" s="33"/>
      <c r="QHK113" s="33"/>
      <c r="QHL113" s="33"/>
      <c r="QHM113" s="33"/>
      <c r="QHN113" s="33"/>
      <c r="QHO113" s="33"/>
      <c r="QHP113" s="33"/>
      <c r="QHQ113" s="33"/>
      <c r="QHR113" s="33"/>
      <c r="QHS113" s="33"/>
      <c r="QHT113" s="33"/>
      <c r="QHU113" s="33"/>
      <c r="QHV113" s="33"/>
      <c r="QHW113" s="33"/>
      <c r="QHX113" s="33"/>
      <c r="QHY113" s="33"/>
      <c r="QHZ113" s="33"/>
      <c r="QIA113" s="33"/>
      <c r="QIB113" s="33"/>
      <c r="QIC113" s="33"/>
      <c r="QID113" s="33"/>
      <c r="QIE113" s="33"/>
      <c r="QIF113" s="33"/>
      <c r="QIG113" s="33"/>
      <c r="QIH113" s="33"/>
      <c r="QII113" s="33"/>
      <c r="QIJ113" s="33"/>
      <c r="QIK113" s="33"/>
      <c r="QIL113" s="33"/>
      <c r="QIM113" s="33"/>
      <c r="QIN113" s="33"/>
      <c r="QIO113" s="33"/>
      <c r="QIP113" s="33"/>
      <c r="QIQ113" s="33"/>
      <c r="QIR113" s="33"/>
      <c r="QIS113" s="33"/>
      <c r="QIT113" s="33"/>
      <c r="QIU113" s="33"/>
      <c r="QIV113" s="33"/>
      <c r="QIW113" s="33"/>
      <c r="QIX113" s="33"/>
      <c r="QIY113" s="33"/>
      <c r="QIZ113" s="33"/>
      <c r="QJA113" s="33"/>
      <c r="QJB113" s="33"/>
      <c r="QJC113" s="33"/>
      <c r="QJD113" s="33"/>
      <c r="QJE113" s="33"/>
      <c r="QJF113" s="33"/>
      <c r="QJG113" s="33"/>
      <c r="QJH113" s="33"/>
      <c r="QJI113" s="33"/>
      <c r="QJJ113" s="33"/>
      <c r="QJK113" s="33"/>
      <c r="QJL113" s="33"/>
      <c r="QJM113" s="33"/>
      <c r="QJN113" s="33"/>
      <c r="QJO113" s="33"/>
      <c r="QJP113" s="33"/>
      <c r="QJQ113" s="33"/>
      <c r="QJR113" s="33"/>
      <c r="QJS113" s="33"/>
      <c r="QJT113" s="33"/>
      <c r="QJU113" s="33"/>
      <c r="QJV113" s="33"/>
      <c r="QJW113" s="33"/>
      <c r="QJX113" s="33"/>
      <c r="QJY113" s="33"/>
      <c r="QJZ113" s="33"/>
      <c r="QKA113" s="33"/>
      <c r="QKB113" s="33"/>
      <c r="QKC113" s="33"/>
      <c r="QKD113" s="33"/>
      <c r="QKE113" s="33"/>
      <c r="QKF113" s="33"/>
      <c r="QKG113" s="33"/>
      <c r="QKH113" s="33"/>
      <c r="QKI113" s="33"/>
      <c r="QKJ113" s="33"/>
      <c r="QKK113" s="33"/>
      <c r="QKL113" s="33"/>
      <c r="QKM113" s="33"/>
      <c r="QKN113" s="33"/>
      <c r="QKO113" s="33"/>
      <c r="QKP113" s="33"/>
      <c r="QKQ113" s="33"/>
      <c r="QKR113" s="33"/>
      <c r="QKS113" s="33"/>
      <c r="QKT113" s="33"/>
      <c r="QKU113" s="33"/>
      <c r="QKV113" s="33"/>
      <c r="QKW113" s="33"/>
      <c r="QKX113" s="33"/>
      <c r="QKY113" s="33"/>
      <c r="QKZ113" s="33"/>
      <c r="QLA113" s="33"/>
      <c r="QLB113" s="33"/>
      <c r="QLC113" s="33"/>
      <c r="QLD113" s="33"/>
      <c r="QLE113" s="33"/>
      <c r="QLF113" s="33"/>
      <c r="QLG113" s="33"/>
      <c r="QLH113" s="33"/>
      <c r="QLI113" s="33"/>
      <c r="QLJ113" s="33"/>
      <c r="QLK113" s="33"/>
      <c r="QLL113" s="33"/>
      <c r="QLM113" s="33"/>
      <c r="QLN113" s="33"/>
      <c r="QLO113" s="33"/>
      <c r="QLP113" s="33"/>
      <c r="QLQ113" s="33"/>
      <c r="QLR113" s="33"/>
      <c r="QLS113" s="33"/>
      <c r="QLT113" s="33"/>
      <c r="QLU113" s="33"/>
      <c r="QLV113" s="33"/>
      <c r="QLW113" s="33"/>
      <c r="QLX113" s="33"/>
      <c r="QLY113" s="33"/>
      <c r="QLZ113" s="33"/>
      <c r="QMA113" s="33"/>
      <c r="QMB113" s="33"/>
      <c r="QMC113" s="33"/>
      <c r="QMD113" s="33"/>
      <c r="QME113" s="33"/>
      <c r="QMF113" s="33"/>
      <c r="QMG113" s="33"/>
      <c r="QMH113" s="33"/>
      <c r="QMI113" s="33"/>
      <c r="QMJ113" s="33"/>
      <c r="QMK113" s="33"/>
      <c r="QML113" s="33"/>
      <c r="QMM113" s="33"/>
      <c r="QMN113" s="33"/>
      <c r="QMO113" s="33"/>
      <c r="QMP113" s="33"/>
      <c r="QMQ113" s="33"/>
      <c r="QMR113" s="33"/>
      <c r="QMS113" s="33"/>
      <c r="QMT113" s="33"/>
      <c r="QMU113" s="33"/>
      <c r="QMV113" s="33"/>
      <c r="QMW113" s="33"/>
      <c r="QMX113" s="33"/>
      <c r="QMY113" s="33"/>
      <c r="QMZ113" s="33"/>
      <c r="QNA113" s="33"/>
      <c r="QNB113" s="33"/>
      <c r="QNC113" s="33"/>
      <c r="QND113" s="33"/>
      <c r="QNE113" s="33"/>
      <c r="QNF113" s="33"/>
      <c r="QNG113" s="33"/>
      <c r="QNH113" s="33"/>
      <c r="QNI113" s="33"/>
      <c r="QNJ113" s="33"/>
      <c r="QNK113" s="33"/>
      <c r="QNL113" s="33"/>
      <c r="QNM113" s="33"/>
      <c r="QNN113" s="33"/>
      <c r="QNO113" s="33"/>
      <c r="QNP113" s="33"/>
      <c r="QNQ113" s="33"/>
      <c r="QNR113" s="33"/>
      <c r="QNS113" s="33"/>
      <c r="QNT113" s="33"/>
      <c r="QNU113" s="33"/>
      <c r="QNV113" s="33"/>
      <c r="QNW113" s="33"/>
      <c r="QNX113" s="33"/>
      <c r="QNY113" s="33"/>
      <c r="QNZ113" s="33"/>
      <c r="QOA113" s="33"/>
      <c r="QOB113" s="33"/>
      <c r="QOC113" s="33"/>
      <c r="QOD113" s="33"/>
      <c r="QOE113" s="33"/>
      <c r="QOF113" s="33"/>
      <c r="QOG113" s="33"/>
      <c r="QOH113" s="33"/>
      <c r="QOI113" s="33"/>
      <c r="QOJ113" s="33"/>
      <c r="QOK113" s="33"/>
      <c r="QOL113" s="33"/>
      <c r="QOM113" s="33"/>
      <c r="QON113" s="33"/>
      <c r="QOO113" s="33"/>
      <c r="QOP113" s="33"/>
      <c r="QOQ113" s="33"/>
      <c r="QOR113" s="33"/>
      <c r="QOS113" s="33"/>
      <c r="QOT113" s="33"/>
      <c r="QOU113" s="33"/>
      <c r="QOV113" s="33"/>
      <c r="QOW113" s="33"/>
      <c r="QOX113" s="33"/>
      <c r="QOY113" s="33"/>
      <c r="QOZ113" s="33"/>
      <c r="QPA113" s="33"/>
      <c r="QPB113" s="33"/>
      <c r="QPC113" s="33"/>
      <c r="QPD113" s="33"/>
      <c r="QPE113" s="33"/>
      <c r="QPF113" s="33"/>
      <c r="QPG113" s="33"/>
      <c r="QPH113" s="33"/>
      <c r="QPI113" s="33"/>
      <c r="QPJ113" s="33"/>
      <c r="QPK113" s="33"/>
      <c r="QPL113" s="33"/>
      <c r="QPM113" s="33"/>
      <c r="QPN113" s="33"/>
      <c r="QPO113" s="33"/>
      <c r="QPP113" s="33"/>
      <c r="QPQ113" s="33"/>
      <c r="QPR113" s="33"/>
      <c r="QPS113" s="33"/>
      <c r="QPT113" s="33"/>
      <c r="QPU113" s="33"/>
      <c r="QPV113" s="33"/>
      <c r="QPW113" s="33"/>
      <c r="QPX113" s="33"/>
      <c r="QPY113" s="33"/>
      <c r="QPZ113" s="33"/>
      <c r="QQA113" s="33"/>
      <c r="QQB113" s="33"/>
      <c r="QQC113" s="33"/>
      <c r="QQD113" s="33"/>
      <c r="QQE113" s="33"/>
      <c r="QQF113" s="33"/>
      <c r="QQG113" s="33"/>
      <c r="QQH113" s="33"/>
      <c r="QQI113" s="33"/>
      <c r="QQJ113" s="33"/>
      <c r="QQK113" s="33"/>
      <c r="QQL113" s="33"/>
      <c r="QQM113" s="33"/>
      <c r="QQN113" s="33"/>
      <c r="QQO113" s="33"/>
      <c r="QQP113" s="33"/>
      <c r="QQQ113" s="33"/>
      <c r="QQR113" s="33"/>
      <c r="QQS113" s="33"/>
      <c r="QQT113" s="33"/>
      <c r="QQU113" s="33"/>
      <c r="QQV113" s="33"/>
      <c r="QQW113" s="33"/>
      <c r="QQX113" s="33"/>
      <c r="QQY113" s="33"/>
      <c r="QQZ113" s="33"/>
      <c r="QRA113" s="33"/>
      <c r="QRB113" s="33"/>
      <c r="QRC113" s="33"/>
      <c r="QRD113" s="33"/>
      <c r="QRE113" s="33"/>
      <c r="QRF113" s="33"/>
      <c r="QRG113" s="33"/>
      <c r="QRH113" s="33"/>
      <c r="QRI113" s="33"/>
      <c r="QRJ113" s="33"/>
      <c r="QRK113" s="33"/>
      <c r="QRL113" s="33"/>
      <c r="QRM113" s="33"/>
      <c r="QRN113" s="33"/>
      <c r="QRO113" s="33"/>
      <c r="QRP113" s="33"/>
      <c r="QRQ113" s="33"/>
      <c r="QRR113" s="33"/>
      <c r="QRS113" s="33"/>
      <c r="QRT113" s="33"/>
      <c r="QRU113" s="33"/>
      <c r="QRV113" s="33"/>
      <c r="QRW113" s="33"/>
      <c r="QRX113" s="33"/>
      <c r="QRY113" s="33"/>
      <c r="QRZ113" s="33"/>
      <c r="QSA113" s="33"/>
      <c r="QSB113" s="33"/>
      <c r="QSC113" s="33"/>
      <c r="QSD113" s="33"/>
      <c r="QSE113" s="33"/>
      <c r="QSF113" s="33"/>
      <c r="QSG113" s="33"/>
      <c r="QSH113" s="33"/>
      <c r="QSI113" s="33"/>
      <c r="QSJ113" s="33"/>
      <c r="QSK113" s="33"/>
      <c r="QSL113" s="33"/>
      <c r="QSM113" s="33"/>
      <c r="QSN113" s="33"/>
      <c r="QSO113" s="33"/>
      <c r="QSP113" s="33"/>
      <c r="QSQ113" s="33"/>
      <c r="QSR113" s="33"/>
      <c r="QSS113" s="33"/>
      <c r="QST113" s="33"/>
      <c r="QSU113" s="33"/>
      <c r="QSV113" s="33"/>
      <c r="QSW113" s="33"/>
      <c r="QSX113" s="33"/>
      <c r="QSY113" s="33"/>
      <c r="QSZ113" s="33"/>
      <c r="QTA113" s="33"/>
      <c r="QTB113" s="33"/>
      <c r="QTC113" s="33"/>
      <c r="QTD113" s="33"/>
      <c r="QTE113" s="33"/>
      <c r="QTF113" s="33"/>
      <c r="QTG113" s="33"/>
      <c r="QTH113" s="33"/>
      <c r="QTI113" s="33"/>
      <c r="QTJ113" s="33"/>
      <c r="QTK113" s="33"/>
      <c r="QTL113" s="33"/>
      <c r="QTM113" s="33"/>
      <c r="QTN113" s="33"/>
      <c r="QTO113" s="33"/>
      <c r="QTP113" s="33"/>
      <c r="QTQ113" s="33"/>
      <c r="QTR113" s="33"/>
      <c r="QTS113" s="33"/>
      <c r="QTT113" s="33"/>
      <c r="QTU113" s="33"/>
      <c r="QTV113" s="33"/>
      <c r="QTW113" s="33"/>
      <c r="QTX113" s="33"/>
      <c r="QTY113" s="33"/>
      <c r="QTZ113" s="33"/>
      <c r="QUA113" s="33"/>
      <c r="QUB113" s="33"/>
      <c r="QUC113" s="33"/>
      <c r="QUD113" s="33"/>
      <c r="QUE113" s="33"/>
      <c r="QUF113" s="33"/>
      <c r="QUG113" s="33"/>
      <c r="QUH113" s="33"/>
      <c r="QUI113" s="33"/>
      <c r="QUJ113" s="33"/>
      <c r="QUK113" s="33"/>
      <c r="QUL113" s="33"/>
      <c r="QUM113" s="33"/>
      <c r="QUN113" s="33"/>
      <c r="QUO113" s="33"/>
      <c r="QUP113" s="33"/>
      <c r="QUQ113" s="33"/>
      <c r="QUR113" s="33"/>
      <c r="QUS113" s="33"/>
      <c r="QUT113" s="33"/>
      <c r="QUU113" s="33"/>
      <c r="QUV113" s="33"/>
      <c r="QUW113" s="33"/>
      <c r="QUX113" s="33"/>
      <c r="QUY113" s="33"/>
      <c r="QUZ113" s="33"/>
      <c r="QVA113" s="33"/>
      <c r="QVB113" s="33"/>
      <c r="QVC113" s="33"/>
      <c r="QVD113" s="33"/>
      <c r="QVE113" s="33"/>
      <c r="QVF113" s="33"/>
      <c r="QVG113" s="33"/>
      <c r="QVH113" s="33"/>
      <c r="QVI113" s="33"/>
      <c r="QVJ113" s="33"/>
      <c r="QVK113" s="33"/>
      <c r="QVL113" s="33"/>
      <c r="QVM113" s="33"/>
      <c r="QVN113" s="33"/>
      <c r="QVO113" s="33"/>
      <c r="QVP113" s="33"/>
      <c r="QVQ113" s="33"/>
      <c r="QVR113" s="33"/>
      <c r="QVS113" s="33"/>
      <c r="QVT113" s="33"/>
      <c r="QVU113" s="33"/>
      <c r="QVV113" s="33"/>
      <c r="QVW113" s="33"/>
      <c r="QVX113" s="33"/>
      <c r="QVY113" s="33"/>
      <c r="QVZ113" s="33"/>
      <c r="QWA113" s="33"/>
      <c r="QWB113" s="33"/>
      <c r="QWC113" s="33"/>
      <c r="QWD113" s="33"/>
      <c r="QWE113" s="33"/>
      <c r="QWF113" s="33"/>
      <c r="QWG113" s="33"/>
      <c r="QWH113" s="33"/>
      <c r="QWI113" s="33"/>
      <c r="QWJ113" s="33"/>
      <c r="QWK113" s="33"/>
      <c r="QWL113" s="33"/>
      <c r="QWM113" s="33"/>
      <c r="QWN113" s="33"/>
      <c r="QWO113" s="33"/>
      <c r="QWP113" s="33"/>
      <c r="QWQ113" s="33"/>
      <c r="QWR113" s="33"/>
      <c r="QWS113" s="33"/>
      <c r="QWT113" s="33"/>
      <c r="QWU113" s="33"/>
      <c r="QWV113" s="33"/>
      <c r="QWW113" s="33"/>
      <c r="QWX113" s="33"/>
      <c r="QWY113" s="33"/>
      <c r="QWZ113" s="33"/>
      <c r="QXA113" s="33"/>
      <c r="QXB113" s="33"/>
      <c r="QXC113" s="33"/>
      <c r="QXD113" s="33"/>
      <c r="QXE113" s="33"/>
      <c r="QXF113" s="33"/>
      <c r="QXG113" s="33"/>
      <c r="QXH113" s="33"/>
      <c r="QXI113" s="33"/>
      <c r="QXJ113" s="33"/>
      <c r="QXK113" s="33"/>
      <c r="QXL113" s="33"/>
      <c r="QXM113" s="33"/>
      <c r="QXN113" s="33"/>
      <c r="QXO113" s="33"/>
      <c r="QXP113" s="33"/>
      <c r="QXQ113" s="33"/>
      <c r="QXR113" s="33"/>
      <c r="QXS113" s="33"/>
      <c r="QXT113" s="33"/>
      <c r="QXU113" s="33"/>
      <c r="QXV113" s="33"/>
      <c r="QXW113" s="33"/>
      <c r="QXX113" s="33"/>
      <c r="QXY113" s="33"/>
      <c r="QXZ113" s="33"/>
      <c r="QYA113" s="33"/>
      <c r="QYB113" s="33"/>
      <c r="QYC113" s="33"/>
      <c r="QYD113" s="33"/>
      <c r="QYE113" s="33"/>
      <c r="QYF113" s="33"/>
      <c r="QYG113" s="33"/>
      <c r="QYH113" s="33"/>
      <c r="QYI113" s="33"/>
      <c r="QYJ113" s="33"/>
      <c r="QYK113" s="33"/>
      <c r="QYL113" s="33"/>
      <c r="QYM113" s="33"/>
      <c r="QYN113" s="33"/>
      <c r="QYO113" s="33"/>
      <c r="QYP113" s="33"/>
      <c r="QYQ113" s="33"/>
      <c r="QYR113" s="33"/>
      <c r="QYS113" s="33"/>
      <c r="QYT113" s="33"/>
      <c r="QYU113" s="33"/>
      <c r="QYV113" s="33"/>
      <c r="QYW113" s="33"/>
      <c r="QYX113" s="33"/>
      <c r="QYY113" s="33"/>
      <c r="QYZ113" s="33"/>
      <c r="QZA113" s="33"/>
      <c r="QZB113" s="33"/>
      <c r="QZC113" s="33"/>
      <c r="QZD113" s="33"/>
      <c r="QZE113" s="33"/>
      <c r="QZF113" s="33"/>
      <c r="QZG113" s="33"/>
      <c r="QZH113" s="33"/>
      <c r="QZI113" s="33"/>
      <c r="QZJ113" s="33"/>
      <c r="QZK113" s="33"/>
      <c r="QZL113" s="33"/>
      <c r="QZM113" s="33"/>
      <c r="QZN113" s="33"/>
      <c r="QZO113" s="33"/>
      <c r="QZP113" s="33"/>
      <c r="QZQ113" s="33"/>
      <c r="QZR113" s="33"/>
      <c r="QZS113" s="33"/>
      <c r="QZT113" s="33"/>
      <c r="QZU113" s="33"/>
      <c r="QZV113" s="33"/>
      <c r="QZW113" s="33"/>
      <c r="QZX113" s="33"/>
      <c r="QZY113" s="33"/>
      <c r="QZZ113" s="33"/>
      <c r="RAA113" s="33"/>
      <c r="RAB113" s="33"/>
      <c r="RAC113" s="33"/>
      <c r="RAD113" s="33"/>
      <c r="RAE113" s="33"/>
      <c r="RAF113" s="33"/>
      <c r="RAG113" s="33"/>
      <c r="RAH113" s="33"/>
      <c r="RAI113" s="33"/>
      <c r="RAJ113" s="33"/>
      <c r="RAK113" s="33"/>
      <c r="RAL113" s="33"/>
      <c r="RAM113" s="33"/>
      <c r="RAN113" s="33"/>
      <c r="RAO113" s="33"/>
      <c r="RAP113" s="33"/>
      <c r="RAQ113" s="33"/>
      <c r="RAR113" s="33"/>
      <c r="RAS113" s="33"/>
      <c r="RAT113" s="33"/>
      <c r="RAU113" s="33"/>
      <c r="RAV113" s="33"/>
      <c r="RAW113" s="33"/>
      <c r="RAX113" s="33"/>
      <c r="RAY113" s="33"/>
      <c r="RAZ113" s="33"/>
      <c r="RBA113" s="33"/>
      <c r="RBB113" s="33"/>
      <c r="RBC113" s="33"/>
      <c r="RBD113" s="33"/>
      <c r="RBE113" s="33"/>
      <c r="RBF113" s="33"/>
      <c r="RBG113" s="33"/>
      <c r="RBH113" s="33"/>
      <c r="RBI113" s="33"/>
      <c r="RBJ113" s="33"/>
      <c r="RBK113" s="33"/>
      <c r="RBL113" s="33"/>
      <c r="RBM113" s="33"/>
      <c r="RBN113" s="33"/>
      <c r="RBO113" s="33"/>
      <c r="RBP113" s="33"/>
      <c r="RBQ113" s="33"/>
      <c r="RBR113" s="33"/>
      <c r="RBS113" s="33"/>
      <c r="RBT113" s="33"/>
      <c r="RBU113" s="33"/>
      <c r="RBV113" s="33"/>
      <c r="RBW113" s="33"/>
      <c r="RBX113" s="33"/>
      <c r="RBY113" s="33"/>
      <c r="RBZ113" s="33"/>
      <c r="RCA113" s="33"/>
      <c r="RCB113" s="33"/>
      <c r="RCC113" s="33"/>
      <c r="RCD113" s="33"/>
      <c r="RCE113" s="33"/>
      <c r="RCF113" s="33"/>
      <c r="RCG113" s="33"/>
      <c r="RCH113" s="33"/>
      <c r="RCI113" s="33"/>
      <c r="RCJ113" s="33"/>
      <c r="RCK113" s="33"/>
      <c r="RCL113" s="33"/>
      <c r="RCM113" s="33"/>
      <c r="RCN113" s="33"/>
      <c r="RCO113" s="33"/>
      <c r="RCP113" s="33"/>
      <c r="RCQ113" s="33"/>
      <c r="RCR113" s="33"/>
      <c r="RCS113" s="33"/>
      <c r="RCT113" s="33"/>
      <c r="RCU113" s="33"/>
      <c r="RCV113" s="33"/>
      <c r="RCW113" s="33"/>
      <c r="RCX113" s="33"/>
      <c r="RCY113" s="33"/>
      <c r="RCZ113" s="33"/>
      <c r="RDA113" s="33"/>
      <c r="RDB113" s="33"/>
      <c r="RDC113" s="33"/>
      <c r="RDD113" s="33"/>
      <c r="RDE113" s="33"/>
      <c r="RDF113" s="33"/>
      <c r="RDG113" s="33"/>
      <c r="RDH113" s="33"/>
      <c r="RDI113" s="33"/>
      <c r="RDJ113" s="33"/>
      <c r="RDK113" s="33"/>
      <c r="RDL113" s="33"/>
      <c r="RDM113" s="33"/>
      <c r="RDN113" s="33"/>
      <c r="RDO113" s="33"/>
      <c r="RDP113" s="33"/>
      <c r="RDQ113" s="33"/>
      <c r="RDR113" s="33"/>
      <c r="RDS113" s="33"/>
      <c r="RDT113" s="33"/>
      <c r="RDU113" s="33"/>
      <c r="RDV113" s="33"/>
      <c r="RDW113" s="33"/>
      <c r="RDX113" s="33"/>
      <c r="RDY113" s="33"/>
      <c r="RDZ113" s="33"/>
      <c r="REA113" s="33"/>
      <c r="REB113" s="33"/>
      <c r="REC113" s="33"/>
      <c r="RED113" s="33"/>
      <c r="REE113" s="33"/>
      <c r="REF113" s="33"/>
      <c r="REG113" s="33"/>
      <c r="REH113" s="33"/>
      <c r="REI113" s="33"/>
      <c r="REJ113" s="33"/>
      <c r="REK113" s="33"/>
      <c r="REL113" s="33"/>
      <c r="REM113" s="33"/>
      <c r="REN113" s="33"/>
      <c r="REO113" s="33"/>
      <c r="REP113" s="33"/>
      <c r="REQ113" s="33"/>
      <c r="RER113" s="33"/>
      <c r="RES113" s="33"/>
      <c r="RET113" s="33"/>
      <c r="REU113" s="33"/>
      <c r="REV113" s="33"/>
      <c r="REW113" s="33"/>
      <c r="REX113" s="33"/>
      <c r="REY113" s="33"/>
      <c r="REZ113" s="33"/>
      <c r="RFA113" s="33"/>
      <c r="RFB113" s="33"/>
      <c r="RFC113" s="33"/>
      <c r="RFD113" s="33"/>
      <c r="RFE113" s="33"/>
      <c r="RFF113" s="33"/>
      <c r="RFG113" s="33"/>
      <c r="RFH113" s="33"/>
      <c r="RFI113" s="33"/>
      <c r="RFJ113" s="33"/>
      <c r="RFK113" s="33"/>
      <c r="RFL113" s="33"/>
      <c r="RFM113" s="33"/>
      <c r="RFN113" s="33"/>
      <c r="RFO113" s="33"/>
      <c r="RFP113" s="33"/>
      <c r="RFQ113" s="33"/>
      <c r="RFR113" s="33"/>
      <c r="RFS113" s="33"/>
      <c r="RFT113" s="33"/>
      <c r="RFU113" s="33"/>
      <c r="RFV113" s="33"/>
      <c r="RFW113" s="33"/>
      <c r="RFX113" s="33"/>
      <c r="RFY113" s="33"/>
      <c r="RFZ113" s="33"/>
      <c r="RGA113" s="33"/>
      <c r="RGB113" s="33"/>
      <c r="RGC113" s="33"/>
      <c r="RGD113" s="33"/>
      <c r="RGE113" s="33"/>
      <c r="RGF113" s="33"/>
      <c r="RGG113" s="33"/>
      <c r="RGH113" s="33"/>
      <c r="RGI113" s="33"/>
      <c r="RGJ113" s="33"/>
      <c r="RGK113" s="33"/>
      <c r="RGL113" s="33"/>
      <c r="RGM113" s="33"/>
      <c r="RGN113" s="33"/>
      <c r="RGO113" s="33"/>
      <c r="RGP113" s="33"/>
      <c r="RGQ113" s="33"/>
      <c r="RGR113" s="33"/>
      <c r="RGS113" s="33"/>
      <c r="RGT113" s="33"/>
      <c r="RGU113" s="33"/>
      <c r="RGV113" s="33"/>
      <c r="RGW113" s="33"/>
      <c r="RGX113" s="33"/>
      <c r="RGY113" s="33"/>
      <c r="RGZ113" s="33"/>
      <c r="RHA113" s="33"/>
      <c r="RHB113" s="33"/>
      <c r="RHC113" s="33"/>
      <c r="RHD113" s="33"/>
      <c r="RHE113" s="33"/>
      <c r="RHF113" s="33"/>
      <c r="RHG113" s="33"/>
      <c r="RHH113" s="33"/>
      <c r="RHI113" s="33"/>
      <c r="RHJ113" s="33"/>
      <c r="RHK113" s="33"/>
      <c r="RHL113" s="33"/>
      <c r="RHM113" s="33"/>
      <c r="RHN113" s="33"/>
      <c r="RHO113" s="33"/>
      <c r="RHP113" s="33"/>
      <c r="RHQ113" s="33"/>
      <c r="RHR113" s="33"/>
      <c r="RHS113" s="33"/>
      <c r="RHT113" s="33"/>
      <c r="RHU113" s="33"/>
      <c r="RHV113" s="33"/>
      <c r="RHW113" s="33"/>
      <c r="RHX113" s="33"/>
      <c r="RHY113" s="33"/>
      <c r="RHZ113" s="33"/>
      <c r="RIA113" s="33"/>
      <c r="RIB113" s="33"/>
      <c r="RIC113" s="33"/>
      <c r="RID113" s="33"/>
      <c r="RIE113" s="33"/>
      <c r="RIF113" s="33"/>
      <c r="RIG113" s="33"/>
      <c r="RIH113" s="33"/>
      <c r="RII113" s="33"/>
      <c r="RIJ113" s="33"/>
      <c r="RIK113" s="33"/>
      <c r="RIL113" s="33"/>
      <c r="RIM113" s="33"/>
      <c r="RIN113" s="33"/>
      <c r="RIO113" s="33"/>
      <c r="RIP113" s="33"/>
      <c r="RIQ113" s="33"/>
      <c r="RIR113" s="33"/>
      <c r="RIS113" s="33"/>
      <c r="RIT113" s="33"/>
      <c r="RIU113" s="33"/>
      <c r="RIV113" s="33"/>
      <c r="RIW113" s="33"/>
      <c r="RIX113" s="33"/>
      <c r="RIY113" s="33"/>
      <c r="RIZ113" s="33"/>
      <c r="RJA113" s="33"/>
      <c r="RJB113" s="33"/>
      <c r="RJC113" s="33"/>
      <c r="RJD113" s="33"/>
      <c r="RJE113" s="33"/>
      <c r="RJF113" s="33"/>
      <c r="RJG113" s="33"/>
      <c r="RJH113" s="33"/>
      <c r="RJI113" s="33"/>
      <c r="RJJ113" s="33"/>
      <c r="RJK113" s="33"/>
      <c r="RJL113" s="33"/>
      <c r="RJM113" s="33"/>
      <c r="RJN113" s="33"/>
      <c r="RJO113" s="33"/>
      <c r="RJP113" s="33"/>
      <c r="RJQ113" s="33"/>
      <c r="RJR113" s="33"/>
      <c r="RJS113" s="33"/>
      <c r="RJT113" s="33"/>
      <c r="RJU113" s="33"/>
      <c r="RJV113" s="33"/>
      <c r="RJW113" s="33"/>
      <c r="RJX113" s="33"/>
      <c r="RJY113" s="33"/>
      <c r="RJZ113" s="33"/>
      <c r="RKA113" s="33"/>
      <c r="RKB113" s="33"/>
      <c r="RKC113" s="33"/>
      <c r="RKD113" s="33"/>
      <c r="RKE113" s="33"/>
      <c r="RKF113" s="33"/>
      <c r="RKG113" s="33"/>
      <c r="RKH113" s="33"/>
      <c r="RKI113" s="33"/>
      <c r="RKJ113" s="33"/>
      <c r="RKK113" s="33"/>
      <c r="RKL113" s="33"/>
      <c r="RKM113" s="33"/>
      <c r="RKN113" s="33"/>
      <c r="RKO113" s="33"/>
      <c r="RKP113" s="33"/>
      <c r="RKQ113" s="33"/>
      <c r="RKR113" s="33"/>
      <c r="RKS113" s="33"/>
      <c r="RKT113" s="33"/>
      <c r="RKU113" s="33"/>
      <c r="RKV113" s="33"/>
      <c r="RKW113" s="33"/>
      <c r="RKX113" s="33"/>
      <c r="RKY113" s="33"/>
      <c r="RKZ113" s="33"/>
      <c r="RLA113" s="33"/>
      <c r="RLB113" s="33"/>
      <c r="RLC113" s="33"/>
      <c r="RLD113" s="33"/>
      <c r="RLE113" s="33"/>
      <c r="RLF113" s="33"/>
      <c r="RLG113" s="33"/>
      <c r="RLH113" s="33"/>
      <c r="RLI113" s="33"/>
      <c r="RLJ113" s="33"/>
      <c r="RLK113" s="33"/>
      <c r="RLL113" s="33"/>
      <c r="RLM113" s="33"/>
      <c r="RLN113" s="33"/>
      <c r="RLO113" s="33"/>
      <c r="RLP113" s="33"/>
      <c r="RLQ113" s="33"/>
      <c r="RLR113" s="33"/>
      <c r="RLS113" s="33"/>
      <c r="RLT113" s="33"/>
      <c r="RLU113" s="33"/>
      <c r="RLV113" s="33"/>
      <c r="RLW113" s="33"/>
      <c r="RLX113" s="33"/>
      <c r="RLY113" s="33"/>
      <c r="RLZ113" s="33"/>
      <c r="RMA113" s="33"/>
      <c r="RMB113" s="33"/>
      <c r="RMC113" s="33"/>
      <c r="RMD113" s="33"/>
      <c r="RME113" s="33"/>
      <c r="RMF113" s="33"/>
      <c r="RMG113" s="33"/>
      <c r="RMH113" s="33"/>
      <c r="RMI113" s="33"/>
      <c r="RMJ113" s="33"/>
      <c r="RMK113" s="33"/>
      <c r="RML113" s="33"/>
      <c r="RMM113" s="33"/>
      <c r="RMN113" s="33"/>
      <c r="RMO113" s="33"/>
      <c r="RMP113" s="33"/>
      <c r="RMQ113" s="33"/>
      <c r="RMR113" s="33"/>
      <c r="RMS113" s="33"/>
      <c r="RMT113" s="33"/>
      <c r="RMU113" s="33"/>
      <c r="RMV113" s="33"/>
      <c r="RMW113" s="33"/>
      <c r="RMX113" s="33"/>
      <c r="RMY113" s="33"/>
      <c r="RMZ113" s="33"/>
      <c r="RNA113" s="33"/>
      <c r="RNB113" s="33"/>
      <c r="RNC113" s="33"/>
      <c r="RND113" s="33"/>
      <c r="RNE113" s="33"/>
      <c r="RNF113" s="33"/>
      <c r="RNG113" s="33"/>
      <c r="RNH113" s="33"/>
      <c r="RNI113" s="33"/>
      <c r="RNJ113" s="33"/>
      <c r="RNK113" s="33"/>
      <c r="RNL113" s="33"/>
      <c r="RNM113" s="33"/>
      <c r="RNN113" s="33"/>
      <c r="RNO113" s="33"/>
      <c r="RNP113" s="33"/>
      <c r="RNQ113" s="33"/>
      <c r="RNR113" s="33"/>
      <c r="RNS113" s="33"/>
      <c r="RNT113" s="33"/>
      <c r="RNU113" s="33"/>
      <c r="RNV113" s="33"/>
      <c r="RNW113" s="33"/>
      <c r="RNX113" s="33"/>
      <c r="RNY113" s="33"/>
      <c r="RNZ113" s="33"/>
      <c r="ROA113" s="33"/>
      <c r="ROB113" s="33"/>
      <c r="ROC113" s="33"/>
      <c r="ROD113" s="33"/>
      <c r="ROE113" s="33"/>
      <c r="ROF113" s="33"/>
      <c r="ROG113" s="33"/>
      <c r="ROH113" s="33"/>
      <c r="ROI113" s="33"/>
      <c r="ROJ113" s="33"/>
      <c r="ROK113" s="33"/>
      <c r="ROL113" s="33"/>
      <c r="ROM113" s="33"/>
      <c r="RON113" s="33"/>
      <c r="ROO113" s="33"/>
      <c r="ROP113" s="33"/>
      <c r="ROQ113" s="33"/>
      <c r="ROR113" s="33"/>
      <c r="ROS113" s="33"/>
      <c r="ROT113" s="33"/>
      <c r="ROU113" s="33"/>
      <c r="ROV113" s="33"/>
      <c r="ROW113" s="33"/>
      <c r="ROX113" s="33"/>
      <c r="ROY113" s="33"/>
      <c r="ROZ113" s="33"/>
      <c r="RPA113" s="33"/>
      <c r="RPB113" s="33"/>
      <c r="RPC113" s="33"/>
      <c r="RPD113" s="33"/>
      <c r="RPE113" s="33"/>
      <c r="RPF113" s="33"/>
      <c r="RPG113" s="33"/>
      <c r="RPH113" s="33"/>
      <c r="RPI113" s="33"/>
      <c r="RPJ113" s="33"/>
      <c r="RPK113" s="33"/>
      <c r="RPL113" s="33"/>
      <c r="RPM113" s="33"/>
      <c r="RPN113" s="33"/>
      <c r="RPO113" s="33"/>
      <c r="RPP113" s="33"/>
      <c r="RPQ113" s="33"/>
      <c r="RPR113" s="33"/>
      <c r="RPS113" s="33"/>
      <c r="RPT113" s="33"/>
      <c r="RPU113" s="33"/>
      <c r="RPV113" s="33"/>
      <c r="RPW113" s="33"/>
      <c r="RPX113" s="33"/>
      <c r="RPY113" s="33"/>
      <c r="RPZ113" s="33"/>
      <c r="RQA113" s="33"/>
      <c r="RQB113" s="33"/>
      <c r="RQC113" s="33"/>
      <c r="RQD113" s="33"/>
      <c r="RQE113" s="33"/>
      <c r="RQF113" s="33"/>
      <c r="RQG113" s="33"/>
      <c r="RQH113" s="33"/>
      <c r="RQI113" s="33"/>
      <c r="RQJ113" s="33"/>
      <c r="RQK113" s="33"/>
      <c r="RQL113" s="33"/>
      <c r="RQM113" s="33"/>
      <c r="RQN113" s="33"/>
      <c r="RQO113" s="33"/>
      <c r="RQP113" s="33"/>
      <c r="RQQ113" s="33"/>
      <c r="RQR113" s="33"/>
      <c r="RQS113" s="33"/>
      <c r="RQT113" s="33"/>
      <c r="RQU113" s="33"/>
      <c r="RQV113" s="33"/>
      <c r="RQW113" s="33"/>
      <c r="RQX113" s="33"/>
      <c r="RQY113" s="33"/>
      <c r="RQZ113" s="33"/>
      <c r="RRA113" s="33"/>
      <c r="RRB113" s="33"/>
      <c r="RRC113" s="33"/>
      <c r="RRD113" s="33"/>
      <c r="RRE113" s="33"/>
      <c r="RRF113" s="33"/>
      <c r="RRG113" s="33"/>
      <c r="RRH113" s="33"/>
      <c r="RRI113" s="33"/>
      <c r="RRJ113" s="33"/>
      <c r="RRK113" s="33"/>
      <c r="RRL113" s="33"/>
      <c r="RRM113" s="33"/>
      <c r="RRN113" s="33"/>
      <c r="RRO113" s="33"/>
      <c r="RRP113" s="33"/>
      <c r="RRQ113" s="33"/>
      <c r="RRR113" s="33"/>
      <c r="RRS113" s="33"/>
      <c r="RRT113" s="33"/>
      <c r="RRU113" s="33"/>
      <c r="RRV113" s="33"/>
      <c r="RRW113" s="33"/>
      <c r="RRX113" s="33"/>
      <c r="RRY113" s="33"/>
      <c r="RRZ113" s="33"/>
      <c r="RSA113" s="33"/>
      <c r="RSB113" s="33"/>
      <c r="RSC113" s="33"/>
      <c r="RSD113" s="33"/>
      <c r="RSE113" s="33"/>
      <c r="RSF113" s="33"/>
      <c r="RSG113" s="33"/>
      <c r="RSH113" s="33"/>
      <c r="RSI113" s="33"/>
      <c r="RSJ113" s="33"/>
      <c r="RSK113" s="33"/>
      <c r="RSL113" s="33"/>
      <c r="RSM113" s="33"/>
      <c r="RSN113" s="33"/>
      <c r="RSO113" s="33"/>
      <c r="RSP113" s="33"/>
      <c r="RSQ113" s="33"/>
      <c r="RSR113" s="33"/>
      <c r="RSS113" s="33"/>
      <c r="RST113" s="33"/>
      <c r="RSU113" s="33"/>
      <c r="RSV113" s="33"/>
      <c r="RSW113" s="33"/>
      <c r="RSX113" s="33"/>
      <c r="RSY113" s="33"/>
      <c r="RSZ113" s="33"/>
      <c r="RTA113" s="33"/>
      <c r="RTB113" s="33"/>
      <c r="RTC113" s="33"/>
      <c r="RTD113" s="33"/>
      <c r="RTE113" s="33"/>
      <c r="RTF113" s="33"/>
      <c r="RTG113" s="33"/>
      <c r="RTH113" s="33"/>
      <c r="RTI113" s="33"/>
      <c r="RTJ113" s="33"/>
      <c r="RTK113" s="33"/>
      <c r="RTL113" s="33"/>
      <c r="RTM113" s="33"/>
      <c r="RTN113" s="33"/>
      <c r="RTO113" s="33"/>
      <c r="RTP113" s="33"/>
      <c r="RTQ113" s="33"/>
      <c r="RTR113" s="33"/>
      <c r="RTS113" s="33"/>
      <c r="RTT113" s="33"/>
      <c r="RTU113" s="33"/>
      <c r="RTV113" s="33"/>
      <c r="RTW113" s="33"/>
      <c r="RTX113" s="33"/>
      <c r="RTY113" s="33"/>
      <c r="RTZ113" s="33"/>
      <c r="RUA113" s="33"/>
      <c r="RUB113" s="33"/>
      <c r="RUC113" s="33"/>
      <c r="RUD113" s="33"/>
      <c r="RUE113" s="33"/>
      <c r="RUF113" s="33"/>
      <c r="RUG113" s="33"/>
      <c r="RUH113" s="33"/>
      <c r="RUI113" s="33"/>
      <c r="RUJ113" s="33"/>
      <c r="RUK113" s="33"/>
      <c r="RUL113" s="33"/>
      <c r="RUM113" s="33"/>
      <c r="RUN113" s="33"/>
      <c r="RUO113" s="33"/>
      <c r="RUP113" s="33"/>
      <c r="RUQ113" s="33"/>
      <c r="RUR113" s="33"/>
      <c r="RUS113" s="33"/>
      <c r="RUT113" s="33"/>
      <c r="RUU113" s="33"/>
      <c r="RUV113" s="33"/>
      <c r="RUW113" s="33"/>
      <c r="RUX113" s="33"/>
      <c r="RUY113" s="33"/>
      <c r="RUZ113" s="33"/>
      <c r="RVA113" s="33"/>
      <c r="RVB113" s="33"/>
      <c r="RVC113" s="33"/>
      <c r="RVD113" s="33"/>
      <c r="RVE113" s="33"/>
      <c r="RVF113" s="33"/>
      <c r="RVG113" s="33"/>
      <c r="RVH113" s="33"/>
      <c r="RVI113" s="33"/>
      <c r="RVJ113" s="33"/>
      <c r="RVK113" s="33"/>
      <c r="RVL113" s="33"/>
      <c r="RVM113" s="33"/>
      <c r="RVN113" s="33"/>
      <c r="RVO113" s="33"/>
      <c r="RVP113" s="33"/>
      <c r="RVQ113" s="33"/>
      <c r="RVR113" s="33"/>
      <c r="RVS113" s="33"/>
      <c r="RVT113" s="33"/>
      <c r="RVU113" s="33"/>
      <c r="RVV113" s="33"/>
      <c r="RVW113" s="33"/>
      <c r="RVX113" s="33"/>
      <c r="RVY113" s="33"/>
      <c r="RVZ113" s="33"/>
      <c r="RWA113" s="33"/>
      <c r="RWB113" s="33"/>
      <c r="RWC113" s="33"/>
      <c r="RWD113" s="33"/>
      <c r="RWE113" s="33"/>
      <c r="RWF113" s="33"/>
      <c r="RWG113" s="33"/>
      <c r="RWH113" s="33"/>
      <c r="RWI113" s="33"/>
      <c r="RWJ113" s="33"/>
      <c r="RWK113" s="33"/>
      <c r="RWL113" s="33"/>
      <c r="RWM113" s="33"/>
      <c r="RWN113" s="33"/>
      <c r="RWO113" s="33"/>
      <c r="RWP113" s="33"/>
      <c r="RWQ113" s="33"/>
      <c r="RWR113" s="33"/>
      <c r="RWS113" s="33"/>
      <c r="RWT113" s="33"/>
      <c r="RWU113" s="33"/>
      <c r="RWV113" s="33"/>
      <c r="RWW113" s="33"/>
      <c r="RWX113" s="33"/>
      <c r="RWY113" s="33"/>
      <c r="RWZ113" s="33"/>
      <c r="RXA113" s="33"/>
      <c r="RXB113" s="33"/>
      <c r="RXC113" s="33"/>
      <c r="RXD113" s="33"/>
      <c r="RXE113" s="33"/>
      <c r="RXF113" s="33"/>
      <c r="RXG113" s="33"/>
      <c r="RXH113" s="33"/>
      <c r="RXI113" s="33"/>
      <c r="RXJ113" s="33"/>
      <c r="RXK113" s="33"/>
      <c r="RXL113" s="33"/>
      <c r="RXM113" s="33"/>
      <c r="RXN113" s="33"/>
      <c r="RXO113" s="33"/>
      <c r="RXP113" s="33"/>
      <c r="RXQ113" s="33"/>
      <c r="RXR113" s="33"/>
      <c r="RXS113" s="33"/>
      <c r="RXT113" s="33"/>
      <c r="RXU113" s="33"/>
      <c r="RXV113" s="33"/>
      <c r="RXW113" s="33"/>
      <c r="RXX113" s="33"/>
      <c r="RXY113" s="33"/>
      <c r="RXZ113" s="33"/>
      <c r="RYA113" s="33"/>
      <c r="RYB113" s="33"/>
      <c r="RYC113" s="33"/>
      <c r="RYD113" s="33"/>
      <c r="RYE113" s="33"/>
      <c r="RYF113" s="33"/>
      <c r="RYG113" s="33"/>
      <c r="RYH113" s="33"/>
      <c r="RYI113" s="33"/>
      <c r="RYJ113" s="33"/>
      <c r="RYK113" s="33"/>
      <c r="RYL113" s="33"/>
      <c r="RYM113" s="33"/>
      <c r="RYN113" s="33"/>
      <c r="RYO113" s="33"/>
      <c r="RYP113" s="33"/>
      <c r="RYQ113" s="33"/>
      <c r="RYR113" s="33"/>
      <c r="RYS113" s="33"/>
      <c r="RYT113" s="33"/>
      <c r="RYU113" s="33"/>
      <c r="RYV113" s="33"/>
      <c r="RYW113" s="33"/>
      <c r="RYX113" s="33"/>
      <c r="RYY113" s="33"/>
      <c r="RYZ113" s="33"/>
      <c r="RZA113" s="33"/>
      <c r="RZB113" s="33"/>
      <c r="RZC113" s="33"/>
      <c r="RZD113" s="33"/>
      <c r="RZE113" s="33"/>
      <c r="RZF113" s="33"/>
      <c r="RZG113" s="33"/>
      <c r="RZH113" s="33"/>
      <c r="RZI113" s="33"/>
      <c r="RZJ113" s="33"/>
      <c r="RZK113" s="33"/>
      <c r="RZL113" s="33"/>
      <c r="RZM113" s="33"/>
      <c r="RZN113" s="33"/>
      <c r="RZO113" s="33"/>
      <c r="RZP113" s="33"/>
      <c r="RZQ113" s="33"/>
      <c r="RZR113" s="33"/>
      <c r="RZS113" s="33"/>
      <c r="RZT113" s="33"/>
      <c r="RZU113" s="33"/>
      <c r="RZV113" s="33"/>
      <c r="RZW113" s="33"/>
      <c r="RZX113" s="33"/>
      <c r="RZY113" s="33"/>
      <c r="RZZ113" s="33"/>
      <c r="SAA113" s="33"/>
      <c r="SAB113" s="33"/>
      <c r="SAC113" s="33"/>
      <c r="SAD113" s="33"/>
      <c r="SAE113" s="33"/>
      <c r="SAF113" s="33"/>
      <c r="SAG113" s="33"/>
      <c r="SAH113" s="33"/>
      <c r="SAI113" s="33"/>
      <c r="SAJ113" s="33"/>
      <c r="SAK113" s="33"/>
      <c r="SAL113" s="33"/>
      <c r="SAM113" s="33"/>
      <c r="SAN113" s="33"/>
      <c r="SAO113" s="33"/>
      <c r="SAP113" s="33"/>
      <c r="SAQ113" s="33"/>
      <c r="SAR113" s="33"/>
      <c r="SAS113" s="33"/>
      <c r="SAT113" s="33"/>
      <c r="SAU113" s="33"/>
      <c r="SAV113" s="33"/>
      <c r="SAW113" s="33"/>
      <c r="SAX113" s="33"/>
      <c r="SAY113" s="33"/>
      <c r="SAZ113" s="33"/>
      <c r="SBA113" s="33"/>
      <c r="SBB113" s="33"/>
      <c r="SBC113" s="33"/>
      <c r="SBD113" s="33"/>
      <c r="SBE113" s="33"/>
      <c r="SBF113" s="33"/>
      <c r="SBG113" s="33"/>
      <c r="SBH113" s="33"/>
      <c r="SBI113" s="33"/>
      <c r="SBJ113" s="33"/>
      <c r="SBK113" s="33"/>
      <c r="SBL113" s="33"/>
      <c r="SBM113" s="33"/>
      <c r="SBN113" s="33"/>
      <c r="SBO113" s="33"/>
      <c r="SBP113" s="33"/>
      <c r="SBQ113" s="33"/>
      <c r="SBR113" s="33"/>
      <c r="SBS113" s="33"/>
      <c r="SBT113" s="33"/>
      <c r="SBU113" s="33"/>
      <c r="SBV113" s="33"/>
      <c r="SBW113" s="33"/>
      <c r="SBX113" s="33"/>
      <c r="SBY113" s="33"/>
      <c r="SBZ113" s="33"/>
      <c r="SCA113" s="33"/>
      <c r="SCB113" s="33"/>
      <c r="SCC113" s="33"/>
      <c r="SCD113" s="33"/>
      <c r="SCE113" s="33"/>
      <c r="SCF113" s="33"/>
      <c r="SCG113" s="33"/>
      <c r="SCH113" s="33"/>
      <c r="SCI113" s="33"/>
      <c r="SCJ113" s="33"/>
      <c r="SCK113" s="33"/>
      <c r="SCL113" s="33"/>
      <c r="SCM113" s="33"/>
      <c r="SCN113" s="33"/>
      <c r="SCO113" s="33"/>
      <c r="SCP113" s="33"/>
      <c r="SCQ113" s="33"/>
      <c r="SCR113" s="33"/>
      <c r="SCS113" s="33"/>
      <c r="SCT113" s="33"/>
      <c r="SCU113" s="33"/>
      <c r="SCV113" s="33"/>
      <c r="SCW113" s="33"/>
      <c r="SCX113" s="33"/>
      <c r="SCY113" s="33"/>
      <c r="SCZ113" s="33"/>
      <c r="SDA113" s="33"/>
      <c r="SDB113" s="33"/>
      <c r="SDC113" s="33"/>
      <c r="SDD113" s="33"/>
      <c r="SDE113" s="33"/>
      <c r="SDF113" s="33"/>
      <c r="SDG113" s="33"/>
      <c r="SDH113" s="33"/>
      <c r="SDI113" s="33"/>
      <c r="SDJ113" s="33"/>
      <c r="SDK113" s="33"/>
      <c r="SDL113" s="33"/>
      <c r="SDM113" s="33"/>
      <c r="SDN113" s="33"/>
      <c r="SDO113" s="33"/>
      <c r="SDP113" s="33"/>
      <c r="SDQ113" s="33"/>
      <c r="SDR113" s="33"/>
      <c r="SDS113" s="33"/>
      <c r="SDT113" s="33"/>
      <c r="SDU113" s="33"/>
      <c r="SDV113" s="33"/>
      <c r="SDW113" s="33"/>
      <c r="SDX113" s="33"/>
      <c r="SDY113" s="33"/>
      <c r="SDZ113" s="33"/>
      <c r="SEA113" s="33"/>
      <c r="SEB113" s="33"/>
      <c r="SEC113" s="33"/>
      <c r="SED113" s="33"/>
      <c r="SEE113" s="33"/>
      <c r="SEF113" s="33"/>
      <c r="SEG113" s="33"/>
      <c r="SEH113" s="33"/>
      <c r="SEI113" s="33"/>
      <c r="SEJ113" s="33"/>
      <c r="SEK113" s="33"/>
      <c r="SEL113" s="33"/>
      <c r="SEM113" s="33"/>
      <c r="SEN113" s="33"/>
      <c r="SEO113" s="33"/>
      <c r="SEP113" s="33"/>
      <c r="SEQ113" s="33"/>
      <c r="SER113" s="33"/>
      <c r="SES113" s="33"/>
      <c r="SET113" s="33"/>
      <c r="SEU113" s="33"/>
      <c r="SEV113" s="33"/>
      <c r="SEW113" s="33"/>
      <c r="SEX113" s="33"/>
      <c r="SEY113" s="33"/>
      <c r="SEZ113" s="33"/>
      <c r="SFA113" s="33"/>
      <c r="SFB113" s="33"/>
      <c r="SFC113" s="33"/>
      <c r="SFD113" s="33"/>
      <c r="SFE113" s="33"/>
      <c r="SFF113" s="33"/>
      <c r="SFG113" s="33"/>
      <c r="SFH113" s="33"/>
      <c r="SFI113" s="33"/>
      <c r="SFJ113" s="33"/>
      <c r="SFK113" s="33"/>
      <c r="SFL113" s="33"/>
      <c r="SFM113" s="33"/>
      <c r="SFN113" s="33"/>
      <c r="SFO113" s="33"/>
      <c r="SFP113" s="33"/>
      <c r="SFQ113" s="33"/>
      <c r="SFR113" s="33"/>
      <c r="SFS113" s="33"/>
      <c r="SFT113" s="33"/>
      <c r="SFU113" s="33"/>
      <c r="SFV113" s="33"/>
      <c r="SFW113" s="33"/>
      <c r="SFX113" s="33"/>
      <c r="SFY113" s="33"/>
      <c r="SFZ113" s="33"/>
      <c r="SGA113" s="33"/>
      <c r="SGB113" s="33"/>
      <c r="SGC113" s="33"/>
      <c r="SGD113" s="33"/>
      <c r="SGE113" s="33"/>
      <c r="SGF113" s="33"/>
      <c r="SGG113" s="33"/>
      <c r="SGH113" s="33"/>
      <c r="SGI113" s="33"/>
      <c r="SGJ113" s="33"/>
      <c r="SGK113" s="33"/>
      <c r="SGL113" s="33"/>
      <c r="SGM113" s="33"/>
      <c r="SGN113" s="33"/>
      <c r="SGO113" s="33"/>
      <c r="SGP113" s="33"/>
      <c r="SGQ113" s="33"/>
      <c r="SGR113" s="33"/>
      <c r="SGS113" s="33"/>
      <c r="SGT113" s="33"/>
      <c r="SGU113" s="33"/>
      <c r="SGV113" s="33"/>
      <c r="SGW113" s="33"/>
      <c r="SGX113" s="33"/>
      <c r="SGY113" s="33"/>
      <c r="SGZ113" s="33"/>
      <c r="SHA113" s="33"/>
      <c r="SHB113" s="33"/>
      <c r="SHC113" s="33"/>
      <c r="SHD113" s="33"/>
      <c r="SHE113" s="33"/>
      <c r="SHF113" s="33"/>
      <c r="SHG113" s="33"/>
      <c r="SHH113" s="33"/>
      <c r="SHI113" s="33"/>
      <c r="SHJ113" s="33"/>
      <c r="SHK113" s="33"/>
      <c r="SHL113" s="33"/>
      <c r="SHM113" s="33"/>
      <c r="SHN113" s="33"/>
      <c r="SHO113" s="33"/>
      <c r="SHP113" s="33"/>
      <c r="SHQ113" s="33"/>
      <c r="SHR113" s="33"/>
      <c r="SHS113" s="33"/>
      <c r="SHT113" s="33"/>
      <c r="SHU113" s="33"/>
      <c r="SHV113" s="33"/>
      <c r="SHW113" s="33"/>
      <c r="SHX113" s="33"/>
      <c r="SHY113" s="33"/>
      <c r="SHZ113" s="33"/>
      <c r="SIA113" s="33"/>
      <c r="SIB113" s="33"/>
      <c r="SIC113" s="33"/>
      <c r="SID113" s="33"/>
      <c r="SIE113" s="33"/>
      <c r="SIF113" s="33"/>
      <c r="SIG113" s="33"/>
      <c r="SIH113" s="33"/>
      <c r="SII113" s="33"/>
      <c r="SIJ113" s="33"/>
      <c r="SIK113" s="33"/>
      <c r="SIL113" s="33"/>
      <c r="SIM113" s="33"/>
      <c r="SIN113" s="33"/>
      <c r="SIO113" s="33"/>
      <c r="SIP113" s="33"/>
      <c r="SIQ113" s="33"/>
      <c r="SIR113" s="33"/>
      <c r="SIS113" s="33"/>
      <c r="SIT113" s="33"/>
      <c r="SIU113" s="33"/>
      <c r="SIV113" s="33"/>
      <c r="SIW113" s="33"/>
      <c r="SIX113" s="33"/>
      <c r="SIY113" s="33"/>
      <c r="SIZ113" s="33"/>
      <c r="SJA113" s="33"/>
      <c r="SJB113" s="33"/>
      <c r="SJC113" s="33"/>
      <c r="SJD113" s="33"/>
      <c r="SJE113" s="33"/>
      <c r="SJF113" s="33"/>
      <c r="SJG113" s="33"/>
      <c r="SJH113" s="33"/>
      <c r="SJI113" s="33"/>
      <c r="SJJ113" s="33"/>
      <c r="SJK113" s="33"/>
      <c r="SJL113" s="33"/>
      <c r="SJM113" s="33"/>
      <c r="SJN113" s="33"/>
      <c r="SJO113" s="33"/>
      <c r="SJP113" s="33"/>
      <c r="SJQ113" s="33"/>
      <c r="SJR113" s="33"/>
      <c r="SJS113" s="33"/>
      <c r="SJT113" s="33"/>
      <c r="SJU113" s="33"/>
      <c r="SJV113" s="33"/>
      <c r="SJW113" s="33"/>
      <c r="SJX113" s="33"/>
      <c r="SJY113" s="33"/>
      <c r="SJZ113" s="33"/>
      <c r="SKA113" s="33"/>
      <c r="SKB113" s="33"/>
      <c r="SKC113" s="33"/>
      <c r="SKD113" s="33"/>
      <c r="SKE113" s="33"/>
      <c r="SKF113" s="33"/>
      <c r="SKG113" s="33"/>
      <c r="SKH113" s="33"/>
      <c r="SKI113" s="33"/>
      <c r="SKJ113" s="33"/>
      <c r="SKK113" s="33"/>
      <c r="SKL113" s="33"/>
      <c r="SKM113" s="33"/>
      <c r="SKN113" s="33"/>
      <c r="SKO113" s="33"/>
      <c r="SKP113" s="33"/>
      <c r="SKQ113" s="33"/>
      <c r="SKR113" s="33"/>
      <c r="SKS113" s="33"/>
      <c r="SKT113" s="33"/>
      <c r="SKU113" s="33"/>
      <c r="SKV113" s="33"/>
      <c r="SKW113" s="33"/>
      <c r="SKX113" s="33"/>
      <c r="SKY113" s="33"/>
      <c r="SKZ113" s="33"/>
      <c r="SLA113" s="33"/>
      <c r="SLB113" s="33"/>
      <c r="SLC113" s="33"/>
      <c r="SLD113" s="33"/>
      <c r="SLE113" s="33"/>
      <c r="SLF113" s="33"/>
      <c r="SLG113" s="33"/>
      <c r="SLH113" s="33"/>
      <c r="SLI113" s="33"/>
      <c r="SLJ113" s="33"/>
      <c r="SLK113" s="33"/>
      <c r="SLL113" s="33"/>
      <c r="SLM113" s="33"/>
      <c r="SLN113" s="33"/>
      <c r="SLO113" s="33"/>
      <c r="SLP113" s="33"/>
      <c r="SLQ113" s="33"/>
      <c r="SLR113" s="33"/>
      <c r="SLS113" s="33"/>
      <c r="SLT113" s="33"/>
      <c r="SLU113" s="33"/>
      <c r="SLV113" s="33"/>
      <c r="SLW113" s="33"/>
      <c r="SLX113" s="33"/>
      <c r="SLY113" s="33"/>
      <c r="SLZ113" s="33"/>
      <c r="SMA113" s="33"/>
      <c r="SMB113" s="33"/>
      <c r="SMC113" s="33"/>
      <c r="SMD113" s="33"/>
      <c r="SME113" s="33"/>
      <c r="SMF113" s="33"/>
      <c r="SMG113" s="33"/>
      <c r="SMH113" s="33"/>
      <c r="SMI113" s="33"/>
      <c r="SMJ113" s="33"/>
      <c r="SMK113" s="33"/>
      <c r="SML113" s="33"/>
      <c r="SMM113" s="33"/>
      <c r="SMN113" s="33"/>
      <c r="SMO113" s="33"/>
      <c r="SMP113" s="33"/>
      <c r="SMQ113" s="33"/>
      <c r="SMR113" s="33"/>
      <c r="SMS113" s="33"/>
      <c r="SMT113" s="33"/>
      <c r="SMU113" s="33"/>
      <c r="SMV113" s="33"/>
      <c r="SMW113" s="33"/>
      <c r="SMX113" s="33"/>
      <c r="SMY113" s="33"/>
      <c r="SMZ113" s="33"/>
      <c r="SNA113" s="33"/>
      <c r="SNB113" s="33"/>
      <c r="SNC113" s="33"/>
      <c r="SND113" s="33"/>
      <c r="SNE113" s="33"/>
      <c r="SNF113" s="33"/>
      <c r="SNG113" s="33"/>
      <c r="SNH113" s="33"/>
      <c r="SNI113" s="33"/>
      <c r="SNJ113" s="33"/>
      <c r="SNK113" s="33"/>
      <c r="SNL113" s="33"/>
      <c r="SNM113" s="33"/>
      <c r="SNN113" s="33"/>
      <c r="SNO113" s="33"/>
      <c r="SNP113" s="33"/>
      <c r="SNQ113" s="33"/>
      <c r="SNR113" s="33"/>
      <c r="SNS113" s="33"/>
      <c r="SNT113" s="33"/>
      <c r="SNU113" s="33"/>
      <c r="SNV113" s="33"/>
      <c r="SNW113" s="33"/>
      <c r="SNX113" s="33"/>
      <c r="SNY113" s="33"/>
      <c r="SNZ113" s="33"/>
      <c r="SOA113" s="33"/>
      <c r="SOB113" s="33"/>
      <c r="SOC113" s="33"/>
      <c r="SOD113" s="33"/>
      <c r="SOE113" s="33"/>
      <c r="SOF113" s="33"/>
      <c r="SOG113" s="33"/>
      <c r="SOH113" s="33"/>
      <c r="SOI113" s="33"/>
      <c r="SOJ113" s="33"/>
      <c r="SOK113" s="33"/>
      <c r="SOL113" s="33"/>
      <c r="SOM113" s="33"/>
      <c r="SON113" s="33"/>
      <c r="SOO113" s="33"/>
      <c r="SOP113" s="33"/>
      <c r="SOQ113" s="33"/>
      <c r="SOR113" s="33"/>
      <c r="SOS113" s="33"/>
      <c r="SOT113" s="33"/>
      <c r="SOU113" s="33"/>
      <c r="SOV113" s="33"/>
      <c r="SOW113" s="33"/>
      <c r="SOX113" s="33"/>
      <c r="SOY113" s="33"/>
      <c r="SOZ113" s="33"/>
      <c r="SPA113" s="33"/>
      <c r="SPB113" s="33"/>
      <c r="SPC113" s="33"/>
      <c r="SPD113" s="33"/>
      <c r="SPE113" s="33"/>
      <c r="SPF113" s="33"/>
      <c r="SPG113" s="33"/>
      <c r="SPH113" s="33"/>
      <c r="SPI113" s="33"/>
      <c r="SPJ113" s="33"/>
      <c r="SPK113" s="33"/>
      <c r="SPL113" s="33"/>
      <c r="SPM113" s="33"/>
      <c r="SPN113" s="33"/>
      <c r="SPO113" s="33"/>
      <c r="SPP113" s="33"/>
      <c r="SPQ113" s="33"/>
      <c r="SPR113" s="33"/>
      <c r="SPS113" s="33"/>
      <c r="SPT113" s="33"/>
      <c r="SPU113" s="33"/>
      <c r="SPV113" s="33"/>
      <c r="SPW113" s="33"/>
      <c r="SPX113" s="33"/>
      <c r="SPY113" s="33"/>
      <c r="SPZ113" s="33"/>
      <c r="SQA113" s="33"/>
      <c r="SQB113" s="33"/>
      <c r="SQC113" s="33"/>
      <c r="SQD113" s="33"/>
      <c r="SQE113" s="33"/>
      <c r="SQF113" s="33"/>
      <c r="SQG113" s="33"/>
      <c r="SQH113" s="33"/>
      <c r="SQI113" s="33"/>
      <c r="SQJ113" s="33"/>
      <c r="SQK113" s="33"/>
      <c r="SQL113" s="33"/>
      <c r="SQM113" s="33"/>
      <c r="SQN113" s="33"/>
      <c r="SQO113" s="33"/>
      <c r="SQP113" s="33"/>
      <c r="SQQ113" s="33"/>
      <c r="SQR113" s="33"/>
      <c r="SQS113" s="33"/>
      <c r="SQT113" s="33"/>
      <c r="SQU113" s="33"/>
      <c r="SQV113" s="33"/>
      <c r="SQW113" s="33"/>
      <c r="SQX113" s="33"/>
      <c r="SQY113" s="33"/>
      <c r="SQZ113" s="33"/>
      <c r="SRA113" s="33"/>
      <c r="SRB113" s="33"/>
      <c r="SRC113" s="33"/>
      <c r="SRD113" s="33"/>
      <c r="SRE113" s="33"/>
      <c r="SRF113" s="33"/>
      <c r="SRG113" s="33"/>
      <c r="SRH113" s="33"/>
      <c r="SRI113" s="33"/>
      <c r="SRJ113" s="33"/>
      <c r="SRK113" s="33"/>
      <c r="SRL113" s="33"/>
      <c r="SRM113" s="33"/>
      <c r="SRN113" s="33"/>
      <c r="SRO113" s="33"/>
      <c r="SRP113" s="33"/>
      <c r="SRQ113" s="33"/>
      <c r="SRR113" s="33"/>
      <c r="SRS113" s="33"/>
      <c r="SRT113" s="33"/>
      <c r="SRU113" s="33"/>
      <c r="SRV113" s="33"/>
      <c r="SRW113" s="33"/>
      <c r="SRX113" s="33"/>
      <c r="SRY113" s="33"/>
      <c r="SRZ113" s="33"/>
      <c r="SSA113" s="33"/>
      <c r="SSB113" s="33"/>
      <c r="SSC113" s="33"/>
      <c r="SSD113" s="33"/>
      <c r="SSE113" s="33"/>
      <c r="SSF113" s="33"/>
      <c r="SSG113" s="33"/>
      <c r="SSH113" s="33"/>
      <c r="SSI113" s="33"/>
      <c r="SSJ113" s="33"/>
      <c r="SSK113" s="33"/>
      <c r="SSL113" s="33"/>
      <c r="SSM113" s="33"/>
      <c r="SSN113" s="33"/>
      <c r="SSO113" s="33"/>
      <c r="SSP113" s="33"/>
      <c r="SSQ113" s="33"/>
      <c r="SSR113" s="33"/>
      <c r="SSS113" s="33"/>
      <c r="SST113" s="33"/>
      <c r="SSU113" s="33"/>
      <c r="SSV113" s="33"/>
      <c r="SSW113" s="33"/>
      <c r="SSX113" s="33"/>
      <c r="SSY113" s="33"/>
      <c r="SSZ113" s="33"/>
      <c r="STA113" s="33"/>
      <c r="STB113" s="33"/>
      <c r="STC113" s="33"/>
      <c r="STD113" s="33"/>
      <c r="STE113" s="33"/>
      <c r="STF113" s="33"/>
      <c r="STG113" s="33"/>
      <c r="STH113" s="33"/>
      <c r="STI113" s="33"/>
      <c r="STJ113" s="33"/>
      <c r="STK113" s="33"/>
      <c r="STL113" s="33"/>
      <c r="STM113" s="33"/>
      <c r="STN113" s="33"/>
      <c r="STO113" s="33"/>
      <c r="STP113" s="33"/>
      <c r="STQ113" s="33"/>
      <c r="STR113" s="33"/>
      <c r="STS113" s="33"/>
      <c r="STT113" s="33"/>
      <c r="STU113" s="33"/>
      <c r="STV113" s="33"/>
      <c r="STW113" s="33"/>
      <c r="STX113" s="33"/>
      <c r="STY113" s="33"/>
      <c r="STZ113" s="33"/>
      <c r="SUA113" s="33"/>
      <c r="SUB113" s="33"/>
      <c r="SUC113" s="33"/>
      <c r="SUD113" s="33"/>
      <c r="SUE113" s="33"/>
      <c r="SUF113" s="33"/>
      <c r="SUG113" s="33"/>
      <c r="SUH113" s="33"/>
      <c r="SUI113" s="33"/>
      <c r="SUJ113" s="33"/>
      <c r="SUK113" s="33"/>
      <c r="SUL113" s="33"/>
      <c r="SUM113" s="33"/>
      <c r="SUN113" s="33"/>
      <c r="SUO113" s="33"/>
      <c r="SUP113" s="33"/>
      <c r="SUQ113" s="33"/>
      <c r="SUR113" s="33"/>
      <c r="SUS113" s="33"/>
      <c r="SUT113" s="33"/>
      <c r="SUU113" s="33"/>
      <c r="SUV113" s="33"/>
      <c r="SUW113" s="33"/>
      <c r="SUX113" s="33"/>
      <c r="SUY113" s="33"/>
      <c r="SUZ113" s="33"/>
      <c r="SVA113" s="33"/>
      <c r="SVB113" s="33"/>
      <c r="SVC113" s="33"/>
      <c r="SVD113" s="33"/>
      <c r="SVE113" s="33"/>
      <c r="SVF113" s="33"/>
      <c r="SVG113" s="33"/>
      <c r="SVH113" s="33"/>
      <c r="SVI113" s="33"/>
      <c r="SVJ113" s="33"/>
      <c r="SVK113" s="33"/>
      <c r="SVL113" s="33"/>
      <c r="SVM113" s="33"/>
      <c r="SVN113" s="33"/>
      <c r="SVO113" s="33"/>
      <c r="SVP113" s="33"/>
      <c r="SVQ113" s="33"/>
      <c r="SVR113" s="33"/>
      <c r="SVS113" s="33"/>
      <c r="SVT113" s="33"/>
      <c r="SVU113" s="33"/>
      <c r="SVV113" s="33"/>
      <c r="SVW113" s="33"/>
      <c r="SVX113" s="33"/>
      <c r="SVY113" s="33"/>
      <c r="SVZ113" s="33"/>
      <c r="SWA113" s="33"/>
      <c r="SWB113" s="33"/>
      <c r="SWC113" s="33"/>
      <c r="SWD113" s="33"/>
      <c r="SWE113" s="33"/>
      <c r="SWF113" s="33"/>
      <c r="SWG113" s="33"/>
      <c r="SWH113" s="33"/>
      <c r="SWI113" s="33"/>
      <c r="SWJ113" s="33"/>
      <c r="SWK113" s="33"/>
      <c r="SWL113" s="33"/>
      <c r="SWM113" s="33"/>
      <c r="SWN113" s="33"/>
      <c r="SWO113" s="33"/>
      <c r="SWP113" s="33"/>
      <c r="SWQ113" s="33"/>
      <c r="SWR113" s="33"/>
      <c r="SWS113" s="33"/>
      <c r="SWT113" s="33"/>
      <c r="SWU113" s="33"/>
      <c r="SWV113" s="33"/>
      <c r="SWW113" s="33"/>
      <c r="SWX113" s="33"/>
      <c r="SWY113" s="33"/>
      <c r="SWZ113" s="33"/>
      <c r="SXA113" s="33"/>
      <c r="SXB113" s="33"/>
      <c r="SXC113" s="33"/>
      <c r="SXD113" s="33"/>
      <c r="SXE113" s="33"/>
      <c r="SXF113" s="33"/>
      <c r="SXG113" s="33"/>
      <c r="SXH113" s="33"/>
      <c r="SXI113" s="33"/>
      <c r="SXJ113" s="33"/>
      <c r="SXK113" s="33"/>
      <c r="SXL113" s="33"/>
      <c r="SXM113" s="33"/>
      <c r="SXN113" s="33"/>
      <c r="SXO113" s="33"/>
      <c r="SXP113" s="33"/>
      <c r="SXQ113" s="33"/>
      <c r="SXR113" s="33"/>
      <c r="SXS113" s="33"/>
      <c r="SXT113" s="33"/>
      <c r="SXU113" s="33"/>
      <c r="SXV113" s="33"/>
      <c r="SXW113" s="33"/>
      <c r="SXX113" s="33"/>
      <c r="SXY113" s="33"/>
      <c r="SXZ113" s="33"/>
      <c r="SYA113" s="33"/>
      <c r="SYB113" s="33"/>
      <c r="SYC113" s="33"/>
      <c r="SYD113" s="33"/>
      <c r="SYE113" s="33"/>
      <c r="SYF113" s="33"/>
      <c r="SYG113" s="33"/>
      <c r="SYH113" s="33"/>
      <c r="SYI113" s="33"/>
      <c r="SYJ113" s="33"/>
      <c r="SYK113" s="33"/>
      <c r="SYL113" s="33"/>
      <c r="SYM113" s="33"/>
      <c r="SYN113" s="33"/>
      <c r="SYO113" s="33"/>
      <c r="SYP113" s="33"/>
      <c r="SYQ113" s="33"/>
      <c r="SYR113" s="33"/>
      <c r="SYS113" s="33"/>
      <c r="SYT113" s="33"/>
      <c r="SYU113" s="33"/>
      <c r="SYV113" s="33"/>
      <c r="SYW113" s="33"/>
      <c r="SYX113" s="33"/>
      <c r="SYY113" s="33"/>
      <c r="SYZ113" s="33"/>
      <c r="SZA113" s="33"/>
      <c r="SZB113" s="33"/>
      <c r="SZC113" s="33"/>
      <c r="SZD113" s="33"/>
      <c r="SZE113" s="33"/>
      <c r="SZF113" s="33"/>
      <c r="SZG113" s="33"/>
      <c r="SZH113" s="33"/>
      <c r="SZI113" s="33"/>
      <c r="SZJ113" s="33"/>
      <c r="SZK113" s="33"/>
      <c r="SZL113" s="33"/>
      <c r="SZM113" s="33"/>
      <c r="SZN113" s="33"/>
      <c r="SZO113" s="33"/>
      <c r="SZP113" s="33"/>
      <c r="SZQ113" s="33"/>
      <c r="SZR113" s="33"/>
      <c r="SZS113" s="33"/>
      <c r="SZT113" s="33"/>
      <c r="SZU113" s="33"/>
      <c r="SZV113" s="33"/>
      <c r="SZW113" s="33"/>
      <c r="SZX113" s="33"/>
      <c r="SZY113" s="33"/>
      <c r="SZZ113" s="33"/>
      <c r="TAA113" s="33"/>
      <c r="TAB113" s="33"/>
      <c r="TAC113" s="33"/>
      <c r="TAD113" s="33"/>
      <c r="TAE113" s="33"/>
      <c r="TAF113" s="33"/>
      <c r="TAG113" s="33"/>
      <c r="TAH113" s="33"/>
      <c r="TAI113" s="33"/>
      <c r="TAJ113" s="33"/>
      <c r="TAK113" s="33"/>
      <c r="TAL113" s="33"/>
      <c r="TAM113" s="33"/>
      <c r="TAN113" s="33"/>
      <c r="TAO113" s="33"/>
      <c r="TAP113" s="33"/>
      <c r="TAQ113" s="33"/>
      <c r="TAR113" s="33"/>
      <c r="TAS113" s="33"/>
      <c r="TAT113" s="33"/>
      <c r="TAU113" s="33"/>
      <c r="TAV113" s="33"/>
      <c r="TAW113" s="33"/>
      <c r="TAX113" s="33"/>
      <c r="TAY113" s="33"/>
      <c r="TAZ113" s="33"/>
      <c r="TBA113" s="33"/>
      <c r="TBB113" s="33"/>
      <c r="TBC113" s="33"/>
      <c r="TBD113" s="33"/>
      <c r="TBE113" s="33"/>
      <c r="TBF113" s="33"/>
      <c r="TBG113" s="33"/>
      <c r="TBH113" s="33"/>
      <c r="TBI113" s="33"/>
      <c r="TBJ113" s="33"/>
      <c r="TBK113" s="33"/>
      <c r="TBL113" s="33"/>
      <c r="TBM113" s="33"/>
      <c r="TBN113" s="33"/>
      <c r="TBO113" s="33"/>
      <c r="TBP113" s="33"/>
      <c r="TBQ113" s="33"/>
      <c r="TBR113" s="33"/>
      <c r="TBS113" s="33"/>
      <c r="TBT113" s="33"/>
      <c r="TBU113" s="33"/>
      <c r="TBV113" s="33"/>
      <c r="TBW113" s="33"/>
      <c r="TBX113" s="33"/>
      <c r="TBY113" s="33"/>
      <c r="TBZ113" s="33"/>
      <c r="TCA113" s="33"/>
      <c r="TCB113" s="33"/>
      <c r="TCC113" s="33"/>
      <c r="TCD113" s="33"/>
      <c r="TCE113" s="33"/>
      <c r="TCF113" s="33"/>
      <c r="TCG113" s="33"/>
      <c r="TCH113" s="33"/>
      <c r="TCI113" s="33"/>
      <c r="TCJ113" s="33"/>
      <c r="TCK113" s="33"/>
      <c r="TCL113" s="33"/>
      <c r="TCM113" s="33"/>
      <c r="TCN113" s="33"/>
      <c r="TCO113" s="33"/>
      <c r="TCP113" s="33"/>
      <c r="TCQ113" s="33"/>
      <c r="TCR113" s="33"/>
      <c r="TCS113" s="33"/>
      <c r="TCT113" s="33"/>
      <c r="TCU113" s="33"/>
      <c r="TCV113" s="33"/>
      <c r="TCW113" s="33"/>
      <c r="TCX113" s="33"/>
      <c r="TCY113" s="33"/>
      <c r="TCZ113" s="33"/>
      <c r="TDA113" s="33"/>
      <c r="TDB113" s="33"/>
      <c r="TDC113" s="33"/>
      <c r="TDD113" s="33"/>
      <c r="TDE113" s="33"/>
      <c r="TDF113" s="33"/>
      <c r="TDG113" s="33"/>
      <c r="TDH113" s="33"/>
      <c r="TDI113" s="33"/>
      <c r="TDJ113" s="33"/>
      <c r="TDK113" s="33"/>
      <c r="TDL113" s="33"/>
      <c r="TDM113" s="33"/>
      <c r="TDN113" s="33"/>
      <c r="TDO113" s="33"/>
      <c r="TDP113" s="33"/>
      <c r="TDQ113" s="33"/>
      <c r="TDR113" s="33"/>
      <c r="TDS113" s="33"/>
      <c r="TDT113" s="33"/>
      <c r="TDU113" s="33"/>
      <c r="TDV113" s="33"/>
      <c r="TDW113" s="33"/>
      <c r="TDX113" s="33"/>
      <c r="TDY113" s="33"/>
      <c r="TDZ113" s="33"/>
      <c r="TEA113" s="33"/>
      <c r="TEB113" s="33"/>
      <c r="TEC113" s="33"/>
      <c r="TED113" s="33"/>
      <c r="TEE113" s="33"/>
      <c r="TEF113" s="33"/>
      <c r="TEG113" s="33"/>
      <c r="TEH113" s="33"/>
      <c r="TEI113" s="33"/>
      <c r="TEJ113" s="33"/>
      <c r="TEK113" s="33"/>
      <c r="TEL113" s="33"/>
      <c r="TEM113" s="33"/>
      <c r="TEN113" s="33"/>
      <c r="TEO113" s="33"/>
      <c r="TEP113" s="33"/>
      <c r="TEQ113" s="33"/>
      <c r="TER113" s="33"/>
      <c r="TES113" s="33"/>
      <c r="TET113" s="33"/>
      <c r="TEU113" s="33"/>
      <c r="TEV113" s="33"/>
      <c r="TEW113" s="33"/>
      <c r="TEX113" s="33"/>
      <c r="TEY113" s="33"/>
      <c r="TEZ113" s="33"/>
      <c r="TFA113" s="33"/>
      <c r="TFB113" s="33"/>
      <c r="TFC113" s="33"/>
      <c r="TFD113" s="33"/>
      <c r="TFE113" s="33"/>
      <c r="TFF113" s="33"/>
      <c r="TFG113" s="33"/>
      <c r="TFH113" s="33"/>
      <c r="TFI113" s="33"/>
      <c r="TFJ113" s="33"/>
      <c r="TFK113" s="33"/>
      <c r="TFL113" s="33"/>
      <c r="TFM113" s="33"/>
      <c r="TFN113" s="33"/>
      <c r="TFO113" s="33"/>
      <c r="TFP113" s="33"/>
      <c r="TFQ113" s="33"/>
      <c r="TFR113" s="33"/>
      <c r="TFS113" s="33"/>
      <c r="TFT113" s="33"/>
      <c r="TFU113" s="33"/>
      <c r="TFV113" s="33"/>
      <c r="TFW113" s="33"/>
      <c r="TFX113" s="33"/>
      <c r="TFY113" s="33"/>
      <c r="TFZ113" s="33"/>
      <c r="TGA113" s="33"/>
      <c r="TGB113" s="33"/>
      <c r="TGC113" s="33"/>
      <c r="TGD113" s="33"/>
      <c r="TGE113" s="33"/>
      <c r="TGF113" s="33"/>
      <c r="TGG113" s="33"/>
      <c r="TGH113" s="33"/>
      <c r="TGI113" s="33"/>
      <c r="TGJ113" s="33"/>
      <c r="TGK113" s="33"/>
      <c r="TGL113" s="33"/>
      <c r="TGM113" s="33"/>
      <c r="TGN113" s="33"/>
      <c r="TGO113" s="33"/>
      <c r="TGP113" s="33"/>
      <c r="TGQ113" s="33"/>
      <c r="TGR113" s="33"/>
      <c r="TGS113" s="33"/>
      <c r="TGT113" s="33"/>
      <c r="TGU113" s="33"/>
      <c r="TGV113" s="33"/>
      <c r="TGW113" s="33"/>
      <c r="TGX113" s="33"/>
      <c r="TGY113" s="33"/>
      <c r="TGZ113" s="33"/>
      <c r="THA113" s="33"/>
      <c r="THB113" s="33"/>
      <c r="THC113" s="33"/>
      <c r="THD113" s="33"/>
      <c r="THE113" s="33"/>
      <c r="THF113" s="33"/>
      <c r="THG113" s="33"/>
      <c r="THH113" s="33"/>
      <c r="THI113" s="33"/>
      <c r="THJ113" s="33"/>
      <c r="THK113" s="33"/>
      <c r="THL113" s="33"/>
      <c r="THM113" s="33"/>
      <c r="THN113" s="33"/>
      <c r="THO113" s="33"/>
      <c r="THP113" s="33"/>
      <c r="THQ113" s="33"/>
      <c r="THR113" s="33"/>
      <c r="THS113" s="33"/>
      <c r="THT113" s="33"/>
      <c r="THU113" s="33"/>
      <c r="THV113" s="33"/>
      <c r="THW113" s="33"/>
      <c r="THX113" s="33"/>
      <c r="THY113" s="33"/>
      <c r="THZ113" s="33"/>
      <c r="TIA113" s="33"/>
      <c r="TIB113" s="33"/>
      <c r="TIC113" s="33"/>
      <c r="TID113" s="33"/>
      <c r="TIE113" s="33"/>
      <c r="TIF113" s="33"/>
      <c r="TIG113" s="33"/>
      <c r="TIH113" s="33"/>
      <c r="TII113" s="33"/>
      <c r="TIJ113" s="33"/>
      <c r="TIK113" s="33"/>
      <c r="TIL113" s="33"/>
      <c r="TIM113" s="33"/>
      <c r="TIN113" s="33"/>
      <c r="TIO113" s="33"/>
      <c r="TIP113" s="33"/>
      <c r="TIQ113" s="33"/>
      <c r="TIR113" s="33"/>
      <c r="TIS113" s="33"/>
      <c r="TIT113" s="33"/>
      <c r="TIU113" s="33"/>
      <c r="TIV113" s="33"/>
      <c r="TIW113" s="33"/>
      <c r="TIX113" s="33"/>
      <c r="TIY113" s="33"/>
      <c r="TIZ113" s="33"/>
      <c r="TJA113" s="33"/>
      <c r="TJB113" s="33"/>
      <c r="TJC113" s="33"/>
      <c r="TJD113" s="33"/>
      <c r="TJE113" s="33"/>
      <c r="TJF113" s="33"/>
      <c r="TJG113" s="33"/>
      <c r="TJH113" s="33"/>
      <c r="TJI113" s="33"/>
      <c r="TJJ113" s="33"/>
      <c r="TJK113" s="33"/>
      <c r="TJL113" s="33"/>
      <c r="TJM113" s="33"/>
      <c r="TJN113" s="33"/>
      <c r="TJO113" s="33"/>
      <c r="TJP113" s="33"/>
      <c r="TJQ113" s="33"/>
      <c r="TJR113" s="33"/>
      <c r="TJS113" s="33"/>
      <c r="TJT113" s="33"/>
      <c r="TJU113" s="33"/>
      <c r="TJV113" s="33"/>
      <c r="TJW113" s="33"/>
      <c r="TJX113" s="33"/>
      <c r="TJY113" s="33"/>
      <c r="TJZ113" s="33"/>
      <c r="TKA113" s="33"/>
      <c r="TKB113" s="33"/>
      <c r="TKC113" s="33"/>
      <c r="TKD113" s="33"/>
      <c r="TKE113" s="33"/>
      <c r="TKF113" s="33"/>
      <c r="TKG113" s="33"/>
      <c r="TKH113" s="33"/>
      <c r="TKI113" s="33"/>
      <c r="TKJ113" s="33"/>
      <c r="TKK113" s="33"/>
      <c r="TKL113" s="33"/>
      <c r="TKM113" s="33"/>
      <c r="TKN113" s="33"/>
      <c r="TKO113" s="33"/>
      <c r="TKP113" s="33"/>
      <c r="TKQ113" s="33"/>
      <c r="TKR113" s="33"/>
      <c r="TKS113" s="33"/>
      <c r="TKT113" s="33"/>
      <c r="TKU113" s="33"/>
      <c r="TKV113" s="33"/>
      <c r="TKW113" s="33"/>
      <c r="TKX113" s="33"/>
      <c r="TKY113" s="33"/>
      <c r="TKZ113" s="33"/>
      <c r="TLA113" s="33"/>
      <c r="TLB113" s="33"/>
      <c r="TLC113" s="33"/>
      <c r="TLD113" s="33"/>
      <c r="TLE113" s="33"/>
      <c r="TLF113" s="33"/>
      <c r="TLG113" s="33"/>
      <c r="TLH113" s="33"/>
      <c r="TLI113" s="33"/>
      <c r="TLJ113" s="33"/>
      <c r="TLK113" s="33"/>
      <c r="TLL113" s="33"/>
      <c r="TLM113" s="33"/>
      <c r="TLN113" s="33"/>
      <c r="TLO113" s="33"/>
      <c r="TLP113" s="33"/>
      <c r="TLQ113" s="33"/>
      <c r="TLR113" s="33"/>
      <c r="TLS113" s="33"/>
      <c r="TLT113" s="33"/>
      <c r="TLU113" s="33"/>
      <c r="TLV113" s="33"/>
      <c r="TLW113" s="33"/>
      <c r="TLX113" s="33"/>
      <c r="TLY113" s="33"/>
      <c r="TLZ113" s="33"/>
      <c r="TMA113" s="33"/>
      <c r="TMB113" s="33"/>
      <c r="TMC113" s="33"/>
      <c r="TMD113" s="33"/>
      <c r="TME113" s="33"/>
      <c r="TMF113" s="33"/>
      <c r="TMG113" s="33"/>
      <c r="TMH113" s="33"/>
      <c r="TMI113" s="33"/>
      <c r="TMJ113" s="33"/>
      <c r="TMK113" s="33"/>
      <c r="TML113" s="33"/>
      <c r="TMM113" s="33"/>
      <c r="TMN113" s="33"/>
      <c r="TMO113" s="33"/>
      <c r="TMP113" s="33"/>
      <c r="TMQ113" s="33"/>
      <c r="TMR113" s="33"/>
      <c r="TMS113" s="33"/>
      <c r="TMT113" s="33"/>
      <c r="TMU113" s="33"/>
      <c r="TMV113" s="33"/>
      <c r="TMW113" s="33"/>
      <c r="TMX113" s="33"/>
      <c r="TMY113" s="33"/>
      <c r="TMZ113" s="33"/>
      <c r="TNA113" s="33"/>
      <c r="TNB113" s="33"/>
      <c r="TNC113" s="33"/>
      <c r="TND113" s="33"/>
      <c r="TNE113" s="33"/>
      <c r="TNF113" s="33"/>
      <c r="TNG113" s="33"/>
      <c r="TNH113" s="33"/>
      <c r="TNI113" s="33"/>
      <c r="TNJ113" s="33"/>
      <c r="TNK113" s="33"/>
      <c r="TNL113" s="33"/>
      <c r="TNM113" s="33"/>
      <c r="TNN113" s="33"/>
      <c r="TNO113" s="33"/>
      <c r="TNP113" s="33"/>
      <c r="TNQ113" s="33"/>
      <c r="TNR113" s="33"/>
      <c r="TNS113" s="33"/>
      <c r="TNT113" s="33"/>
      <c r="TNU113" s="33"/>
      <c r="TNV113" s="33"/>
      <c r="TNW113" s="33"/>
      <c r="TNX113" s="33"/>
      <c r="TNY113" s="33"/>
      <c r="TNZ113" s="33"/>
      <c r="TOA113" s="33"/>
      <c r="TOB113" s="33"/>
      <c r="TOC113" s="33"/>
      <c r="TOD113" s="33"/>
      <c r="TOE113" s="33"/>
      <c r="TOF113" s="33"/>
      <c r="TOG113" s="33"/>
      <c r="TOH113" s="33"/>
      <c r="TOI113" s="33"/>
      <c r="TOJ113" s="33"/>
      <c r="TOK113" s="33"/>
      <c r="TOL113" s="33"/>
      <c r="TOM113" s="33"/>
      <c r="TON113" s="33"/>
      <c r="TOO113" s="33"/>
      <c r="TOP113" s="33"/>
      <c r="TOQ113" s="33"/>
      <c r="TOR113" s="33"/>
      <c r="TOS113" s="33"/>
      <c r="TOT113" s="33"/>
      <c r="TOU113" s="33"/>
      <c r="TOV113" s="33"/>
      <c r="TOW113" s="33"/>
      <c r="TOX113" s="33"/>
      <c r="TOY113" s="33"/>
      <c r="TOZ113" s="33"/>
      <c r="TPA113" s="33"/>
      <c r="TPB113" s="33"/>
      <c r="TPC113" s="33"/>
      <c r="TPD113" s="33"/>
      <c r="TPE113" s="33"/>
      <c r="TPF113" s="33"/>
      <c r="TPG113" s="33"/>
      <c r="TPH113" s="33"/>
      <c r="TPI113" s="33"/>
      <c r="TPJ113" s="33"/>
      <c r="TPK113" s="33"/>
      <c r="TPL113" s="33"/>
      <c r="TPM113" s="33"/>
      <c r="TPN113" s="33"/>
      <c r="TPO113" s="33"/>
      <c r="TPP113" s="33"/>
      <c r="TPQ113" s="33"/>
      <c r="TPR113" s="33"/>
      <c r="TPS113" s="33"/>
      <c r="TPT113" s="33"/>
      <c r="TPU113" s="33"/>
      <c r="TPV113" s="33"/>
      <c r="TPW113" s="33"/>
      <c r="TPX113" s="33"/>
      <c r="TPY113" s="33"/>
      <c r="TPZ113" s="33"/>
      <c r="TQA113" s="33"/>
      <c r="TQB113" s="33"/>
      <c r="TQC113" s="33"/>
      <c r="TQD113" s="33"/>
      <c r="TQE113" s="33"/>
      <c r="TQF113" s="33"/>
      <c r="TQG113" s="33"/>
      <c r="TQH113" s="33"/>
      <c r="TQI113" s="33"/>
      <c r="TQJ113" s="33"/>
      <c r="TQK113" s="33"/>
      <c r="TQL113" s="33"/>
      <c r="TQM113" s="33"/>
      <c r="TQN113" s="33"/>
      <c r="TQO113" s="33"/>
      <c r="TQP113" s="33"/>
      <c r="TQQ113" s="33"/>
      <c r="TQR113" s="33"/>
      <c r="TQS113" s="33"/>
      <c r="TQT113" s="33"/>
      <c r="TQU113" s="33"/>
      <c r="TQV113" s="33"/>
      <c r="TQW113" s="33"/>
      <c r="TQX113" s="33"/>
      <c r="TQY113" s="33"/>
      <c r="TQZ113" s="33"/>
      <c r="TRA113" s="33"/>
      <c r="TRB113" s="33"/>
      <c r="TRC113" s="33"/>
      <c r="TRD113" s="33"/>
      <c r="TRE113" s="33"/>
      <c r="TRF113" s="33"/>
      <c r="TRG113" s="33"/>
      <c r="TRH113" s="33"/>
      <c r="TRI113" s="33"/>
      <c r="TRJ113" s="33"/>
      <c r="TRK113" s="33"/>
      <c r="TRL113" s="33"/>
      <c r="TRM113" s="33"/>
      <c r="TRN113" s="33"/>
      <c r="TRO113" s="33"/>
      <c r="TRP113" s="33"/>
      <c r="TRQ113" s="33"/>
      <c r="TRR113" s="33"/>
      <c r="TRS113" s="33"/>
      <c r="TRT113" s="33"/>
      <c r="TRU113" s="33"/>
      <c r="TRV113" s="33"/>
      <c r="TRW113" s="33"/>
      <c r="TRX113" s="33"/>
      <c r="TRY113" s="33"/>
      <c r="TRZ113" s="33"/>
      <c r="TSA113" s="33"/>
      <c r="TSB113" s="33"/>
      <c r="TSC113" s="33"/>
      <c r="TSD113" s="33"/>
      <c r="TSE113" s="33"/>
      <c r="TSF113" s="33"/>
      <c r="TSG113" s="33"/>
      <c r="TSH113" s="33"/>
      <c r="TSI113" s="33"/>
      <c r="TSJ113" s="33"/>
      <c r="TSK113" s="33"/>
      <c r="TSL113" s="33"/>
      <c r="TSM113" s="33"/>
      <c r="TSN113" s="33"/>
      <c r="TSO113" s="33"/>
      <c r="TSP113" s="33"/>
      <c r="TSQ113" s="33"/>
      <c r="TSR113" s="33"/>
      <c r="TSS113" s="33"/>
      <c r="TST113" s="33"/>
      <c r="TSU113" s="33"/>
      <c r="TSV113" s="33"/>
      <c r="TSW113" s="33"/>
      <c r="TSX113" s="33"/>
      <c r="TSY113" s="33"/>
      <c r="TSZ113" s="33"/>
      <c r="TTA113" s="33"/>
      <c r="TTB113" s="33"/>
      <c r="TTC113" s="33"/>
      <c r="TTD113" s="33"/>
      <c r="TTE113" s="33"/>
      <c r="TTF113" s="33"/>
      <c r="TTG113" s="33"/>
      <c r="TTH113" s="33"/>
      <c r="TTI113" s="33"/>
      <c r="TTJ113" s="33"/>
      <c r="TTK113" s="33"/>
      <c r="TTL113" s="33"/>
      <c r="TTM113" s="33"/>
      <c r="TTN113" s="33"/>
      <c r="TTO113" s="33"/>
      <c r="TTP113" s="33"/>
      <c r="TTQ113" s="33"/>
      <c r="TTR113" s="33"/>
      <c r="TTS113" s="33"/>
      <c r="TTT113" s="33"/>
      <c r="TTU113" s="33"/>
      <c r="TTV113" s="33"/>
      <c r="TTW113" s="33"/>
      <c r="TTX113" s="33"/>
      <c r="TTY113" s="33"/>
      <c r="TTZ113" s="33"/>
      <c r="TUA113" s="33"/>
      <c r="TUB113" s="33"/>
      <c r="TUC113" s="33"/>
      <c r="TUD113" s="33"/>
      <c r="TUE113" s="33"/>
      <c r="TUF113" s="33"/>
      <c r="TUG113" s="33"/>
      <c r="TUH113" s="33"/>
      <c r="TUI113" s="33"/>
      <c r="TUJ113" s="33"/>
      <c r="TUK113" s="33"/>
      <c r="TUL113" s="33"/>
      <c r="TUM113" s="33"/>
      <c r="TUN113" s="33"/>
      <c r="TUO113" s="33"/>
      <c r="TUP113" s="33"/>
      <c r="TUQ113" s="33"/>
      <c r="TUR113" s="33"/>
      <c r="TUS113" s="33"/>
      <c r="TUT113" s="33"/>
      <c r="TUU113" s="33"/>
      <c r="TUV113" s="33"/>
      <c r="TUW113" s="33"/>
      <c r="TUX113" s="33"/>
      <c r="TUY113" s="33"/>
      <c r="TUZ113" s="33"/>
      <c r="TVA113" s="33"/>
      <c r="TVB113" s="33"/>
      <c r="TVC113" s="33"/>
      <c r="TVD113" s="33"/>
      <c r="TVE113" s="33"/>
      <c r="TVF113" s="33"/>
      <c r="TVG113" s="33"/>
      <c r="TVH113" s="33"/>
      <c r="TVI113" s="33"/>
      <c r="TVJ113" s="33"/>
      <c r="TVK113" s="33"/>
      <c r="TVL113" s="33"/>
      <c r="TVM113" s="33"/>
      <c r="TVN113" s="33"/>
      <c r="TVO113" s="33"/>
      <c r="TVP113" s="33"/>
      <c r="TVQ113" s="33"/>
      <c r="TVR113" s="33"/>
      <c r="TVS113" s="33"/>
      <c r="TVT113" s="33"/>
      <c r="TVU113" s="33"/>
      <c r="TVV113" s="33"/>
      <c r="TVW113" s="33"/>
      <c r="TVX113" s="33"/>
      <c r="TVY113" s="33"/>
      <c r="TVZ113" s="33"/>
      <c r="TWA113" s="33"/>
      <c r="TWB113" s="33"/>
      <c r="TWC113" s="33"/>
      <c r="TWD113" s="33"/>
      <c r="TWE113" s="33"/>
      <c r="TWF113" s="33"/>
      <c r="TWG113" s="33"/>
      <c r="TWH113" s="33"/>
      <c r="TWI113" s="33"/>
      <c r="TWJ113" s="33"/>
      <c r="TWK113" s="33"/>
      <c r="TWL113" s="33"/>
      <c r="TWM113" s="33"/>
      <c r="TWN113" s="33"/>
      <c r="TWO113" s="33"/>
      <c r="TWP113" s="33"/>
      <c r="TWQ113" s="33"/>
      <c r="TWR113" s="33"/>
      <c r="TWS113" s="33"/>
      <c r="TWT113" s="33"/>
      <c r="TWU113" s="33"/>
      <c r="TWV113" s="33"/>
      <c r="TWW113" s="33"/>
      <c r="TWX113" s="33"/>
      <c r="TWY113" s="33"/>
      <c r="TWZ113" s="33"/>
      <c r="TXA113" s="33"/>
      <c r="TXB113" s="33"/>
      <c r="TXC113" s="33"/>
      <c r="TXD113" s="33"/>
      <c r="TXE113" s="33"/>
      <c r="TXF113" s="33"/>
      <c r="TXG113" s="33"/>
      <c r="TXH113" s="33"/>
      <c r="TXI113" s="33"/>
      <c r="TXJ113" s="33"/>
      <c r="TXK113" s="33"/>
      <c r="TXL113" s="33"/>
      <c r="TXM113" s="33"/>
      <c r="TXN113" s="33"/>
      <c r="TXO113" s="33"/>
      <c r="TXP113" s="33"/>
      <c r="TXQ113" s="33"/>
      <c r="TXR113" s="33"/>
      <c r="TXS113" s="33"/>
      <c r="TXT113" s="33"/>
      <c r="TXU113" s="33"/>
      <c r="TXV113" s="33"/>
      <c r="TXW113" s="33"/>
      <c r="TXX113" s="33"/>
      <c r="TXY113" s="33"/>
      <c r="TXZ113" s="33"/>
      <c r="TYA113" s="33"/>
      <c r="TYB113" s="33"/>
      <c r="TYC113" s="33"/>
      <c r="TYD113" s="33"/>
      <c r="TYE113" s="33"/>
      <c r="TYF113" s="33"/>
      <c r="TYG113" s="33"/>
      <c r="TYH113" s="33"/>
      <c r="TYI113" s="33"/>
      <c r="TYJ113" s="33"/>
      <c r="TYK113" s="33"/>
      <c r="TYL113" s="33"/>
      <c r="TYM113" s="33"/>
      <c r="TYN113" s="33"/>
      <c r="TYO113" s="33"/>
      <c r="TYP113" s="33"/>
      <c r="TYQ113" s="33"/>
      <c r="TYR113" s="33"/>
      <c r="TYS113" s="33"/>
      <c r="TYT113" s="33"/>
      <c r="TYU113" s="33"/>
      <c r="TYV113" s="33"/>
      <c r="TYW113" s="33"/>
      <c r="TYX113" s="33"/>
      <c r="TYY113" s="33"/>
      <c r="TYZ113" s="33"/>
      <c r="TZA113" s="33"/>
      <c r="TZB113" s="33"/>
      <c r="TZC113" s="33"/>
      <c r="TZD113" s="33"/>
      <c r="TZE113" s="33"/>
      <c r="TZF113" s="33"/>
      <c r="TZG113" s="33"/>
      <c r="TZH113" s="33"/>
      <c r="TZI113" s="33"/>
      <c r="TZJ113" s="33"/>
      <c r="TZK113" s="33"/>
      <c r="TZL113" s="33"/>
      <c r="TZM113" s="33"/>
      <c r="TZN113" s="33"/>
      <c r="TZO113" s="33"/>
      <c r="TZP113" s="33"/>
      <c r="TZQ113" s="33"/>
      <c r="TZR113" s="33"/>
      <c r="TZS113" s="33"/>
      <c r="TZT113" s="33"/>
      <c r="TZU113" s="33"/>
      <c r="TZV113" s="33"/>
      <c r="TZW113" s="33"/>
      <c r="TZX113" s="33"/>
      <c r="TZY113" s="33"/>
      <c r="TZZ113" s="33"/>
      <c r="UAA113" s="33"/>
      <c r="UAB113" s="33"/>
      <c r="UAC113" s="33"/>
      <c r="UAD113" s="33"/>
      <c r="UAE113" s="33"/>
      <c r="UAF113" s="33"/>
      <c r="UAG113" s="33"/>
      <c r="UAH113" s="33"/>
      <c r="UAI113" s="33"/>
      <c r="UAJ113" s="33"/>
      <c r="UAK113" s="33"/>
      <c r="UAL113" s="33"/>
      <c r="UAM113" s="33"/>
      <c r="UAN113" s="33"/>
      <c r="UAO113" s="33"/>
      <c r="UAP113" s="33"/>
      <c r="UAQ113" s="33"/>
      <c r="UAR113" s="33"/>
      <c r="UAS113" s="33"/>
      <c r="UAT113" s="33"/>
      <c r="UAU113" s="33"/>
      <c r="UAV113" s="33"/>
      <c r="UAW113" s="33"/>
      <c r="UAX113" s="33"/>
      <c r="UAY113" s="33"/>
      <c r="UAZ113" s="33"/>
      <c r="UBA113" s="33"/>
      <c r="UBB113" s="33"/>
      <c r="UBC113" s="33"/>
      <c r="UBD113" s="33"/>
      <c r="UBE113" s="33"/>
      <c r="UBF113" s="33"/>
      <c r="UBG113" s="33"/>
      <c r="UBH113" s="33"/>
      <c r="UBI113" s="33"/>
      <c r="UBJ113" s="33"/>
      <c r="UBK113" s="33"/>
      <c r="UBL113" s="33"/>
      <c r="UBM113" s="33"/>
      <c r="UBN113" s="33"/>
      <c r="UBO113" s="33"/>
      <c r="UBP113" s="33"/>
      <c r="UBQ113" s="33"/>
      <c r="UBR113" s="33"/>
      <c r="UBS113" s="33"/>
      <c r="UBT113" s="33"/>
      <c r="UBU113" s="33"/>
      <c r="UBV113" s="33"/>
      <c r="UBW113" s="33"/>
      <c r="UBX113" s="33"/>
      <c r="UBY113" s="33"/>
      <c r="UBZ113" s="33"/>
      <c r="UCA113" s="33"/>
      <c r="UCB113" s="33"/>
      <c r="UCC113" s="33"/>
      <c r="UCD113" s="33"/>
      <c r="UCE113" s="33"/>
      <c r="UCF113" s="33"/>
      <c r="UCG113" s="33"/>
      <c r="UCH113" s="33"/>
      <c r="UCI113" s="33"/>
      <c r="UCJ113" s="33"/>
      <c r="UCK113" s="33"/>
      <c r="UCL113" s="33"/>
      <c r="UCM113" s="33"/>
      <c r="UCN113" s="33"/>
      <c r="UCO113" s="33"/>
      <c r="UCP113" s="33"/>
      <c r="UCQ113" s="33"/>
      <c r="UCR113" s="33"/>
      <c r="UCS113" s="33"/>
      <c r="UCT113" s="33"/>
      <c r="UCU113" s="33"/>
      <c r="UCV113" s="33"/>
      <c r="UCW113" s="33"/>
      <c r="UCX113" s="33"/>
      <c r="UCY113" s="33"/>
      <c r="UCZ113" s="33"/>
      <c r="UDA113" s="33"/>
      <c r="UDB113" s="33"/>
      <c r="UDC113" s="33"/>
      <c r="UDD113" s="33"/>
      <c r="UDE113" s="33"/>
      <c r="UDF113" s="33"/>
      <c r="UDG113" s="33"/>
      <c r="UDH113" s="33"/>
      <c r="UDI113" s="33"/>
      <c r="UDJ113" s="33"/>
      <c r="UDK113" s="33"/>
      <c r="UDL113" s="33"/>
      <c r="UDM113" s="33"/>
      <c r="UDN113" s="33"/>
      <c r="UDO113" s="33"/>
      <c r="UDP113" s="33"/>
      <c r="UDQ113" s="33"/>
      <c r="UDR113" s="33"/>
      <c r="UDS113" s="33"/>
      <c r="UDT113" s="33"/>
      <c r="UDU113" s="33"/>
      <c r="UDV113" s="33"/>
      <c r="UDW113" s="33"/>
      <c r="UDX113" s="33"/>
      <c r="UDY113" s="33"/>
      <c r="UDZ113" s="33"/>
      <c r="UEA113" s="33"/>
      <c r="UEB113" s="33"/>
      <c r="UEC113" s="33"/>
      <c r="UED113" s="33"/>
      <c r="UEE113" s="33"/>
      <c r="UEF113" s="33"/>
      <c r="UEG113" s="33"/>
      <c r="UEH113" s="33"/>
      <c r="UEI113" s="33"/>
      <c r="UEJ113" s="33"/>
      <c r="UEK113" s="33"/>
      <c r="UEL113" s="33"/>
      <c r="UEM113" s="33"/>
      <c r="UEN113" s="33"/>
      <c r="UEO113" s="33"/>
      <c r="UEP113" s="33"/>
      <c r="UEQ113" s="33"/>
      <c r="UER113" s="33"/>
      <c r="UES113" s="33"/>
      <c r="UET113" s="33"/>
      <c r="UEU113" s="33"/>
      <c r="UEV113" s="33"/>
      <c r="UEW113" s="33"/>
      <c r="UEX113" s="33"/>
      <c r="UEY113" s="33"/>
      <c r="UEZ113" s="33"/>
      <c r="UFA113" s="33"/>
      <c r="UFB113" s="33"/>
      <c r="UFC113" s="33"/>
      <c r="UFD113" s="33"/>
      <c r="UFE113" s="33"/>
      <c r="UFF113" s="33"/>
      <c r="UFG113" s="33"/>
      <c r="UFH113" s="33"/>
      <c r="UFI113" s="33"/>
      <c r="UFJ113" s="33"/>
      <c r="UFK113" s="33"/>
      <c r="UFL113" s="33"/>
      <c r="UFM113" s="33"/>
      <c r="UFN113" s="33"/>
      <c r="UFO113" s="33"/>
      <c r="UFP113" s="33"/>
      <c r="UFQ113" s="33"/>
      <c r="UFR113" s="33"/>
      <c r="UFS113" s="33"/>
      <c r="UFT113" s="33"/>
      <c r="UFU113" s="33"/>
      <c r="UFV113" s="33"/>
      <c r="UFW113" s="33"/>
      <c r="UFX113" s="33"/>
      <c r="UFY113" s="33"/>
      <c r="UFZ113" s="33"/>
      <c r="UGA113" s="33"/>
      <c r="UGB113" s="33"/>
      <c r="UGC113" s="33"/>
      <c r="UGD113" s="33"/>
      <c r="UGE113" s="33"/>
      <c r="UGF113" s="33"/>
      <c r="UGG113" s="33"/>
      <c r="UGH113" s="33"/>
      <c r="UGI113" s="33"/>
      <c r="UGJ113" s="33"/>
      <c r="UGK113" s="33"/>
      <c r="UGL113" s="33"/>
      <c r="UGM113" s="33"/>
      <c r="UGN113" s="33"/>
      <c r="UGO113" s="33"/>
      <c r="UGP113" s="33"/>
      <c r="UGQ113" s="33"/>
      <c r="UGR113" s="33"/>
      <c r="UGS113" s="33"/>
      <c r="UGT113" s="33"/>
      <c r="UGU113" s="33"/>
      <c r="UGV113" s="33"/>
      <c r="UGW113" s="33"/>
      <c r="UGX113" s="33"/>
      <c r="UGY113" s="33"/>
      <c r="UGZ113" s="33"/>
      <c r="UHA113" s="33"/>
      <c r="UHB113" s="33"/>
      <c r="UHC113" s="33"/>
      <c r="UHD113" s="33"/>
      <c r="UHE113" s="33"/>
      <c r="UHF113" s="33"/>
      <c r="UHG113" s="33"/>
      <c r="UHH113" s="33"/>
      <c r="UHI113" s="33"/>
      <c r="UHJ113" s="33"/>
      <c r="UHK113" s="33"/>
      <c r="UHL113" s="33"/>
      <c r="UHM113" s="33"/>
      <c r="UHN113" s="33"/>
      <c r="UHO113" s="33"/>
      <c r="UHP113" s="33"/>
      <c r="UHQ113" s="33"/>
      <c r="UHR113" s="33"/>
      <c r="UHS113" s="33"/>
      <c r="UHT113" s="33"/>
      <c r="UHU113" s="33"/>
      <c r="UHV113" s="33"/>
      <c r="UHW113" s="33"/>
      <c r="UHX113" s="33"/>
      <c r="UHY113" s="33"/>
      <c r="UHZ113" s="33"/>
      <c r="UIA113" s="33"/>
      <c r="UIB113" s="33"/>
      <c r="UIC113" s="33"/>
      <c r="UID113" s="33"/>
      <c r="UIE113" s="33"/>
      <c r="UIF113" s="33"/>
      <c r="UIG113" s="33"/>
      <c r="UIH113" s="33"/>
      <c r="UII113" s="33"/>
      <c r="UIJ113" s="33"/>
      <c r="UIK113" s="33"/>
      <c r="UIL113" s="33"/>
      <c r="UIM113" s="33"/>
      <c r="UIN113" s="33"/>
      <c r="UIO113" s="33"/>
      <c r="UIP113" s="33"/>
      <c r="UIQ113" s="33"/>
      <c r="UIR113" s="33"/>
      <c r="UIS113" s="33"/>
      <c r="UIT113" s="33"/>
      <c r="UIU113" s="33"/>
      <c r="UIV113" s="33"/>
      <c r="UIW113" s="33"/>
      <c r="UIX113" s="33"/>
      <c r="UIY113" s="33"/>
      <c r="UIZ113" s="33"/>
      <c r="UJA113" s="33"/>
      <c r="UJB113" s="33"/>
      <c r="UJC113" s="33"/>
      <c r="UJD113" s="33"/>
      <c r="UJE113" s="33"/>
      <c r="UJF113" s="33"/>
      <c r="UJG113" s="33"/>
      <c r="UJH113" s="33"/>
      <c r="UJI113" s="33"/>
      <c r="UJJ113" s="33"/>
      <c r="UJK113" s="33"/>
      <c r="UJL113" s="33"/>
      <c r="UJM113" s="33"/>
      <c r="UJN113" s="33"/>
      <c r="UJO113" s="33"/>
      <c r="UJP113" s="33"/>
      <c r="UJQ113" s="33"/>
      <c r="UJR113" s="33"/>
      <c r="UJS113" s="33"/>
      <c r="UJT113" s="33"/>
      <c r="UJU113" s="33"/>
      <c r="UJV113" s="33"/>
      <c r="UJW113" s="33"/>
      <c r="UJX113" s="33"/>
      <c r="UJY113" s="33"/>
      <c r="UJZ113" s="33"/>
      <c r="UKA113" s="33"/>
      <c r="UKB113" s="33"/>
      <c r="UKC113" s="33"/>
      <c r="UKD113" s="33"/>
      <c r="UKE113" s="33"/>
      <c r="UKF113" s="33"/>
      <c r="UKG113" s="33"/>
      <c r="UKH113" s="33"/>
      <c r="UKI113" s="33"/>
      <c r="UKJ113" s="33"/>
      <c r="UKK113" s="33"/>
      <c r="UKL113" s="33"/>
      <c r="UKM113" s="33"/>
      <c r="UKN113" s="33"/>
      <c r="UKO113" s="33"/>
      <c r="UKP113" s="33"/>
      <c r="UKQ113" s="33"/>
      <c r="UKR113" s="33"/>
      <c r="UKS113" s="33"/>
      <c r="UKT113" s="33"/>
      <c r="UKU113" s="33"/>
      <c r="UKV113" s="33"/>
      <c r="UKW113" s="33"/>
      <c r="UKX113" s="33"/>
      <c r="UKY113" s="33"/>
      <c r="UKZ113" s="33"/>
      <c r="ULA113" s="33"/>
      <c r="ULB113" s="33"/>
      <c r="ULC113" s="33"/>
      <c r="ULD113" s="33"/>
      <c r="ULE113" s="33"/>
      <c r="ULF113" s="33"/>
      <c r="ULG113" s="33"/>
      <c r="ULH113" s="33"/>
      <c r="ULI113" s="33"/>
      <c r="ULJ113" s="33"/>
      <c r="ULK113" s="33"/>
      <c r="ULL113" s="33"/>
      <c r="ULM113" s="33"/>
      <c r="ULN113" s="33"/>
      <c r="ULO113" s="33"/>
      <c r="ULP113" s="33"/>
      <c r="ULQ113" s="33"/>
      <c r="ULR113" s="33"/>
      <c r="ULS113" s="33"/>
      <c r="ULT113" s="33"/>
      <c r="ULU113" s="33"/>
      <c r="ULV113" s="33"/>
      <c r="ULW113" s="33"/>
      <c r="ULX113" s="33"/>
      <c r="ULY113" s="33"/>
      <c r="ULZ113" s="33"/>
      <c r="UMA113" s="33"/>
      <c r="UMB113" s="33"/>
      <c r="UMC113" s="33"/>
      <c r="UMD113" s="33"/>
      <c r="UME113" s="33"/>
      <c r="UMF113" s="33"/>
      <c r="UMG113" s="33"/>
      <c r="UMH113" s="33"/>
      <c r="UMI113" s="33"/>
      <c r="UMJ113" s="33"/>
      <c r="UMK113" s="33"/>
      <c r="UML113" s="33"/>
      <c r="UMM113" s="33"/>
      <c r="UMN113" s="33"/>
      <c r="UMO113" s="33"/>
      <c r="UMP113" s="33"/>
      <c r="UMQ113" s="33"/>
      <c r="UMR113" s="33"/>
      <c r="UMS113" s="33"/>
      <c r="UMT113" s="33"/>
      <c r="UMU113" s="33"/>
      <c r="UMV113" s="33"/>
      <c r="UMW113" s="33"/>
      <c r="UMX113" s="33"/>
      <c r="UMY113" s="33"/>
      <c r="UMZ113" s="33"/>
      <c r="UNA113" s="33"/>
      <c r="UNB113" s="33"/>
      <c r="UNC113" s="33"/>
      <c r="UND113" s="33"/>
      <c r="UNE113" s="33"/>
      <c r="UNF113" s="33"/>
      <c r="UNG113" s="33"/>
      <c r="UNH113" s="33"/>
      <c r="UNI113" s="33"/>
      <c r="UNJ113" s="33"/>
      <c r="UNK113" s="33"/>
      <c r="UNL113" s="33"/>
      <c r="UNM113" s="33"/>
      <c r="UNN113" s="33"/>
      <c r="UNO113" s="33"/>
      <c r="UNP113" s="33"/>
      <c r="UNQ113" s="33"/>
      <c r="UNR113" s="33"/>
      <c r="UNS113" s="33"/>
      <c r="UNT113" s="33"/>
      <c r="UNU113" s="33"/>
      <c r="UNV113" s="33"/>
      <c r="UNW113" s="33"/>
      <c r="UNX113" s="33"/>
      <c r="UNY113" s="33"/>
      <c r="UNZ113" s="33"/>
      <c r="UOA113" s="33"/>
      <c r="UOB113" s="33"/>
      <c r="UOC113" s="33"/>
      <c r="UOD113" s="33"/>
      <c r="UOE113" s="33"/>
      <c r="UOF113" s="33"/>
      <c r="UOG113" s="33"/>
      <c r="UOH113" s="33"/>
      <c r="UOI113" s="33"/>
      <c r="UOJ113" s="33"/>
      <c r="UOK113" s="33"/>
      <c r="UOL113" s="33"/>
      <c r="UOM113" s="33"/>
      <c r="UON113" s="33"/>
      <c r="UOO113" s="33"/>
      <c r="UOP113" s="33"/>
      <c r="UOQ113" s="33"/>
      <c r="UOR113" s="33"/>
      <c r="UOS113" s="33"/>
      <c r="UOT113" s="33"/>
      <c r="UOU113" s="33"/>
      <c r="UOV113" s="33"/>
      <c r="UOW113" s="33"/>
      <c r="UOX113" s="33"/>
      <c r="UOY113" s="33"/>
      <c r="UOZ113" s="33"/>
      <c r="UPA113" s="33"/>
      <c r="UPB113" s="33"/>
      <c r="UPC113" s="33"/>
      <c r="UPD113" s="33"/>
      <c r="UPE113" s="33"/>
      <c r="UPF113" s="33"/>
      <c r="UPG113" s="33"/>
      <c r="UPH113" s="33"/>
      <c r="UPI113" s="33"/>
      <c r="UPJ113" s="33"/>
      <c r="UPK113" s="33"/>
      <c r="UPL113" s="33"/>
      <c r="UPM113" s="33"/>
      <c r="UPN113" s="33"/>
      <c r="UPO113" s="33"/>
      <c r="UPP113" s="33"/>
      <c r="UPQ113" s="33"/>
      <c r="UPR113" s="33"/>
      <c r="UPS113" s="33"/>
      <c r="UPT113" s="33"/>
      <c r="UPU113" s="33"/>
      <c r="UPV113" s="33"/>
      <c r="UPW113" s="33"/>
      <c r="UPX113" s="33"/>
      <c r="UPY113" s="33"/>
      <c r="UPZ113" s="33"/>
      <c r="UQA113" s="33"/>
      <c r="UQB113" s="33"/>
      <c r="UQC113" s="33"/>
      <c r="UQD113" s="33"/>
      <c r="UQE113" s="33"/>
      <c r="UQF113" s="33"/>
      <c r="UQG113" s="33"/>
      <c r="UQH113" s="33"/>
      <c r="UQI113" s="33"/>
      <c r="UQJ113" s="33"/>
      <c r="UQK113" s="33"/>
      <c r="UQL113" s="33"/>
      <c r="UQM113" s="33"/>
      <c r="UQN113" s="33"/>
      <c r="UQO113" s="33"/>
      <c r="UQP113" s="33"/>
      <c r="UQQ113" s="33"/>
      <c r="UQR113" s="33"/>
      <c r="UQS113" s="33"/>
      <c r="UQT113" s="33"/>
      <c r="UQU113" s="33"/>
      <c r="UQV113" s="33"/>
      <c r="UQW113" s="33"/>
      <c r="UQX113" s="33"/>
      <c r="UQY113" s="33"/>
      <c r="UQZ113" s="33"/>
      <c r="URA113" s="33"/>
      <c r="URB113" s="33"/>
      <c r="URC113" s="33"/>
      <c r="URD113" s="33"/>
      <c r="URE113" s="33"/>
      <c r="URF113" s="33"/>
      <c r="URG113" s="33"/>
      <c r="URH113" s="33"/>
      <c r="URI113" s="33"/>
      <c r="URJ113" s="33"/>
      <c r="URK113" s="33"/>
      <c r="URL113" s="33"/>
      <c r="URM113" s="33"/>
      <c r="URN113" s="33"/>
      <c r="URO113" s="33"/>
      <c r="URP113" s="33"/>
      <c r="URQ113" s="33"/>
      <c r="URR113" s="33"/>
      <c r="URS113" s="33"/>
      <c r="URT113" s="33"/>
      <c r="URU113" s="33"/>
      <c r="URV113" s="33"/>
      <c r="URW113" s="33"/>
      <c r="URX113" s="33"/>
      <c r="URY113" s="33"/>
      <c r="URZ113" s="33"/>
      <c r="USA113" s="33"/>
      <c r="USB113" s="33"/>
      <c r="USC113" s="33"/>
      <c r="USD113" s="33"/>
      <c r="USE113" s="33"/>
      <c r="USF113" s="33"/>
      <c r="USG113" s="33"/>
      <c r="USH113" s="33"/>
      <c r="USI113" s="33"/>
      <c r="USJ113" s="33"/>
      <c r="USK113" s="33"/>
      <c r="USL113" s="33"/>
      <c r="USM113" s="33"/>
      <c r="USN113" s="33"/>
      <c r="USO113" s="33"/>
      <c r="USP113" s="33"/>
      <c r="USQ113" s="33"/>
      <c r="USR113" s="33"/>
      <c r="USS113" s="33"/>
      <c r="UST113" s="33"/>
      <c r="USU113" s="33"/>
      <c r="USV113" s="33"/>
      <c r="USW113" s="33"/>
      <c r="USX113" s="33"/>
      <c r="USY113" s="33"/>
      <c r="USZ113" s="33"/>
      <c r="UTA113" s="33"/>
      <c r="UTB113" s="33"/>
      <c r="UTC113" s="33"/>
      <c r="UTD113" s="33"/>
      <c r="UTE113" s="33"/>
      <c r="UTF113" s="33"/>
      <c r="UTG113" s="33"/>
      <c r="UTH113" s="33"/>
      <c r="UTI113" s="33"/>
      <c r="UTJ113" s="33"/>
      <c r="UTK113" s="33"/>
      <c r="UTL113" s="33"/>
      <c r="UTM113" s="33"/>
      <c r="UTN113" s="33"/>
      <c r="UTO113" s="33"/>
      <c r="UTP113" s="33"/>
      <c r="UTQ113" s="33"/>
      <c r="UTR113" s="33"/>
      <c r="UTS113" s="33"/>
      <c r="UTT113" s="33"/>
      <c r="UTU113" s="33"/>
      <c r="UTV113" s="33"/>
      <c r="UTW113" s="33"/>
      <c r="UTX113" s="33"/>
      <c r="UTY113" s="33"/>
      <c r="UTZ113" s="33"/>
      <c r="UUA113" s="33"/>
      <c r="UUB113" s="33"/>
      <c r="UUC113" s="33"/>
      <c r="UUD113" s="33"/>
      <c r="UUE113" s="33"/>
      <c r="UUF113" s="33"/>
      <c r="UUG113" s="33"/>
      <c r="UUH113" s="33"/>
      <c r="UUI113" s="33"/>
      <c r="UUJ113" s="33"/>
      <c r="UUK113" s="33"/>
      <c r="UUL113" s="33"/>
      <c r="UUM113" s="33"/>
      <c r="UUN113" s="33"/>
      <c r="UUO113" s="33"/>
      <c r="UUP113" s="33"/>
      <c r="UUQ113" s="33"/>
      <c r="UUR113" s="33"/>
      <c r="UUS113" s="33"/>
      <c r="UUT113" s="33"/>
      <c r="UUU113" s="33"/>
      <c r="UUV113" s="33"/>
      <c r="UUW113" s="33"/>
      <c r="UUX113" s="33"/>
      <c r="UUY113" s="33"/>
      <c r="UUZ113" s="33"/>
      <c r="UVA113" s="33"/>
      <c r="UVB113" s="33"/>
      <c r="UVC113" s="33"/>
      <c r="UVD113" s="33"/>
      <c r="UVE113" s="33"/>
      <c r="UVF113" s="33"/>
      <c r="UVG113" s="33"/>
      <c r="UVH113" s="33"/>
      <c r="UVI113" s="33"/>
      <c r="UVJ113" s="33"/>
      <c r="UVK113" s="33"/>
      <c r="UVL113" s="33"/>
      <c r="UVM113" s="33"/>
      <c r="UVN113" s="33"/>
      <c r="UVO113" s="33"/>
      <c r="UVP113" s="33"/>
      <c r="UVQ113" s="33"/>
      <c r="UVR113" s="33"/>
      <c r="UVS113" s="33"/>
      <c r="UVT113" s="33"/>
      <c r="UVU113" s="33"/>
      <c r="UVV113" s="33"/>
      <c r="UVW113" s="33"/>
      <c r="UVX113" s="33"/>
      <c r="UVY113" s="33"/>
      <c r="UVZ113" s="33"/>
      <c r="UWA113" s="33"/>
      <c r="UWB113" s="33"/>
      <c r="UWC113" s="33"/>
      <c r="UWD113" s="33"/>
      <c r="UWE113" s="33"/>
      <c r="UWF113" s="33"/>
      <c r="UWG113" s="33"/>
      <c r="UWH113" s="33"/>
      <c r="UWI113" s="33"/>
      <c r="UWJ113" s="33"/>
      <c r="UWK113" s="33"/>
      <c r="UWL113" s="33"/>
      <c r="UWM113" s="33"/>
      <c r="UWN113" s="33"/>
      <c r="UWO113" s="33"/>
      <c r="UWP113" s="33"/>
      <c r="UWQ113" s="33"/>
      <c r="UWR113" s="33"/>
      <c r="UWS113" s="33"/>
      <c r="UWT113" s="33"/>
      <c r="UWU113" s="33"/>
      <c r="UWV113" s="33"/>
      <c r="UWW113" s="33"/>
      <c r="UWX113" s="33"/>
      <c r="UWY113" s="33"/>
      <c r="UWZ113" s="33"/>
      <c r="UXA113" s="33"/>
      <c r="UXB113" s="33"/>
      <c r="UXC113" s="33"/>
      <c r="UXD113" s="33"/>
      <c r="UXE113" s="33"/>
      <c r="UXF113" s="33"/>
      <c r="UXG113" s="33"/>
      <c r="UXH113" s="33"/>
      <c r="UXI113" s="33"/>
      <c r="UXJ113" s="33"/>
      <c r="UXK113" s="33"/>
      <c r="UXL113" s="33"/>
      <c r="UXM113" s="33"/>
      <c r="UXN113" s="33"/>
      <c r="UXO113" s="33"/>
      <c r="UXP113" s="33"/>
      <c r="UXQ113" s="33"/>
      <c r="UXR113" s="33"/>
      <c r="UXS113" s="33"/>
      <c r="UXT113" s="33"/>
      <c r="UXU113" s="33"/>
      <c r="UXV113" s="33"/>
      <c r="UXW113" s="33"/>
      <c r="UXX113" s="33"/>
      <c r="UXY113" s="33"/>
      <c r="UXZ113" s="33"/>
      <c r="UYA113" s="33"/>
      <c r="UYB113" s="33"/>
      <c r="UYC113" s="33"/>
      <c r="UYD113" s="33"/>
      <c r="UYE113" s="33"/>
      <c r="UYF113" s="33"/>
      <c r="UYG113" s="33"/>
      <c r="UYH113" s="33"/>
      <c r="UYI113" s="33"/>
      <c r="UYJ113" s="33"/>
      <c r="UYK113" s="33"/>
      <c r="UYL113" s="33"/>
      <c r="UYM113" s="33"/>
      <c r="UYN113" s="33"/>
      <c r="UYO113" s="33"/>
      <c r="UYP113" s="33"/>
      <c r="UYQ113" s="33"/>
      <c r="UYR113" s="33"/>
      <c r="UYS113" s="33"/>
      <c r="UYT113" s="33"/>
      <c r="UYU113" s="33"/>
      <c r="UYV113" s="33"/>
      <c r="UYW113" s="33"/>
      <c r="UYX113" s="33"/>
      <c r="UYY113" s="33"/>
      <c r="UYZ113" s="33"/>
      <c r="UZA113" s="33"/>
      <c r="UZB113" s="33"/>
      <c r="UZC113" s="33"/>
      <c r="UZD113" s="33"/>
      <c r="UZE113" s="33"/>
      <c r="UZF113" s="33"/>
      <c r="UZG113" s="33"/>
      <c r="UZH113" s="33"/>
      <c r="UZI113" s="33"/>
      <c r="UZJ113" s="33"/>
      <c r="UZK113" s="33"/>
      <c r="UZL113" s="33"/>
      <c r="UZM113" s="33"/>
      <c r="UZN113" s="33"/>
      <c r="UZO113" s="33"/>
      <c r="UZP113" s="33"/>
      <c r="UZQ113" s="33"/>
      <c r="UZR113" s="33"/>
      <c r="UZS113" s="33"/>
      <c r="UZT113" s="33"/>
      <c r="UZU113" s="33"/>
      <c r="UZV113" s="33"/>
      <c r="UZW113" s="33"/>
      <c r="UZX113" s="33"/>
      <c r="UZY113" s="33"/>
      <c r="UZZ113" s="33"/>
      <c r="VAA113" s="33"/>
      <c r="VAB113" s="33"/>
      <c r="VAC113" s="33"/>
      <c r="VAD113" s="33"/>
      <c r="VAE113" s="33"/>
      <c r="VAF113" s="33"/>
      <c r="VAG113" s="33"/>
      <c r="VAH113" s="33"/>
      <c r="VAI113" s="33"/>
      <c r="VAJ113" s="33"/>
      <c r="VAK113" s="33"/>
      <c r="VAL113" s="33"/>
      <c r="VAM113" s="33"/>
      <c r="VAN113" s="33"/>
      <c r="VAO113" s="33"/>
      <c r="VAP113" s="33"/>
      <c r="VAQ113" s="33"/>
      <c r="VAR113" s="33"/>
      <c r="VAS113" s="33"/>
      <c r="VAT113" s="33"/>
      <c r="VAU113" s="33"/>
      <c r="VAV113" s="33"/>
      <c r="VAW113" s="33"/>
      <c r="VAX113" s="33"/>
      <c r="VAY113" s="33"/>
      <c r="VAZ113" s="33"/>
      <c r="VBA113" s="33"/>
      <c r="VBB113" s="33"/>
      <c r="VBC113" s="33"/>
      <c r="VBD113" s="33"/>
      <c r="VBE113" s="33"/>
      <c r="VBF113" s="33"/>
      <c r="VBG113" s="33"/>
      <c r="VBH113" s="33"/>
      <c r="VBI113" s="33"/>
      <c r="VBJ113" s="33"/>
      <c r="VBK113" s="33"/>
      <c r="VBL113" s="33"/>
      <c r="VBM113" s="33"/>
      <c r="VBN113" s="33"/>
      <c r="VBO113" s="33"/>
      <c r="VBP113" s="33"/>
      <c r="VBQ113" s="33"/>
      <c r="VBR113" s="33"/>
      <c r="VBS113" s="33"/>
      <c r="VBT113" s="33"/>
      <c r="VBU113" s="33"/>
      <c r="VBV113" s="33"/>
      <c r="VBW113" s="33"/>
      <c r="VBX113" s="33"/>
      <c r="VBY113" s="33"/>
      <c r="VBZ113" s="33"/>
      <c r="VCA113" s="33"/>
      <c r="VCB113" s="33"/>
      <c r="VCC113" s="33"/>
      <c r="VCD113" s="33"/>
      <c r="VCE113" s="33"/>
      <c r="VCF113" s="33"/>
      <c r="VCG113" s="33"/>
      <c r="VCH113" s="33"/>
      <c r="VCI113" s="33"/>
      <c r="VCJ113" s="33"/>
      <c r="VCK113" s="33"/>
      <c r="VCL113" s="33"/>
      <c r="VCM113" s="33"/>
      <c r="VCN113" s="33"/>
      <c r="VCO113" s="33"/>
      <c r="VCP113" s="33"/>
      <c r="VCQ113" s="33"/>
      <c r="VCR113" s="33"/>
      <c r="VCS113" s="33"/>
      <c r="VCT113" s="33"/>
      <c r="VCU113" s="33"/>
      <c r="VCV113" s="33"/>
      <c r="VCW113" s="33"/>
      <c r="VCX113" s="33"/>
      <c r="VCY113" s="33"/>
      <c r="VCZ113" s="33"/>
      <c r="VDA113" s="33"/>
      <c r="VDB113" s="33"/>
      <c r="VDC113" s="33"/>
      <c r="VDD113" s="33"/>
      <c r="VDE113" s="33"/>
      <c r="VDF113" s="33"/>
      <c r="VDG113" s="33"/>
      <c r="VDH113" s="33"/>
      <c r="VDI113" s="33"/>
      <c r="VDJ113" s="33"/>
      <c r="VDK113" s="33"/>
      <c r="VDL113" s="33"/>
      <c r="VDM113" s="33"/>
      <c r="VDN113" s="33"/>
      <c r="VDO113" s="33"/>
      <c r="VDP113" s="33"/>
      <c r="VDQ113" s="33"/>
      <c r="VDR113" s="33"/>
      <c r="VDS113" s="33"/>
      <c r="VDT113" s="33"/>
      <c r="VDU113" s="33"/>
      <c r="VDV113" s="33"/>
      <c r="VDW113" s="33"/>
      <c r="VDX113" s="33"/>
      <c r="VDY113" s="33"/>
      <c r="VDZ113" s="33"/>
      <c r="VEA113" s="33"/>
      <c r="VEB113" s="33"/>
      <c r="VEC113" s="33"/>
      <c r="VED113" s="33"/>
      <c r="VEE113" s="33"/>
      <c r="VEF113" s="33"/>
      <c r="VEG113" s="33"/>
      <c r="VEH113" s="33"/>
      <c r="VEI113" s="33"/>
      <c r="VEJ113" s="33"/>
      <c r="VEK113" s="33"/>
      <c r="VEL113" s="33"/>
      <c r="VEM113" s="33"/>
      <c r="VEN113" s="33"/>
      <c r="VEO113" s="33"/>
      <c r="VEP113" s="33"/>
      <c r="VEQ113" s="33"/>
      <c r="VER113" s="33"/>
      <c r="VES113" s="33"/>
      <c r="VET113" s="33"/>
      <c r="VEU113" s="33"/>
      <c r="VEV113" s="33"/>
      <c r="VEW113" s="33"/>
      <c r="VEX113" s="33"/>
      <c r="VEY113" s="33"/>
      <c r="VEZ113" s="33"/>
      <c r="VFA113" s="33"/>
      <c r="VFB113" s="33"/>
      <c r="VFC113" s="33"/>
      <c r="VFD113" s="33"/>
      <c r="VFE113" s="33"/>
      <c r="VFF113" s="33"/>
      <c r="VFG113" s="33"/>
      <c r="VFH113" s="33"/>
      <c r="VFI113" s="33"/>
      <c r="VFJ113" s="33"/>
      <c r="VFK113" s="33"/>
      <c r="VFL113" s="33"/>
      <c r="VFM113" s="33"/>
      <c r="VFN113" s="33"/>
      <c r="VFO113" s="33"/>
      <c r="VFP113" s="33"/>
      <c r="VFQ113" s="33"/>
      <c r="VFR113" s="33"/>
      <c r="VFS113" s="33"/>
      <c r="VFT113" s="33"/>
      <c r="VFU113" s="33"/>
      <c r="VFV113" s="33"/>
      <c r="VFW113" s="33"/>
      <c r="VFX113" s="33"/>
      <c r="VFY113" s="33"/>
      <c r="VFZ113" s="33"/>
      <c r="VGA113" s="33"/>
      <c r="VGB113" s="33"/>
      <c r="VGC113" s="33"/>
      <c r="VGD113" s="33"/>
      <c r="VGE113" s="33"/>
      <c r="VGF113" s="33"/>
      <c r="VGG113" s="33"/>
      <c r="VGH113" s="33"/>
      <c r="VGI113" s="33"/>
      <c r="VGJ113" s="33"/>
      <c r="VGK113" s="33"/>
      <c r="VGL113" s="33"/>
      <c r="VGM113" s="33"/>
      <c r="VGN113" s="33"/>
      <c r="VGO113" s="33"/>
      <c r="VGP113" s="33"/>
      <c r="VGQ113" s="33"/>
      <c r="VGR113" s="33"/>
      <c r="VGS113" s="33"/>
      <c r="VGT113" s="33"/>
      <c r="VGU113" s="33"/>
      <c r="VGV113" s="33"/>
      <c r="VGW113" s="33"/>
      <c r="VGX113" s="33"/>
      <c r="VGY113" s="33"/>
      <c r="VGZ113" s="33"/>
      <c r="VHA113" s="33"/>
      <c r="VHB113" s="33"/>
      <c r="VHC113" s="33"/>
      <c r="VHD113" s="33"/>
      <c r="VHE113" s="33"/>
      <c r="VHF113" s="33"/>
      <c r="VHG113" s="33"/>
      <c r="VHH113" s="33"/>
      <c r="VHI113" s="33"/>
      <c r="VHJ113" s="33"/>
      <c r="VHK113" s="33"/>
      <c r="VHL113" s="33"/>
      <c r="VHM113" s="33"/>
      <c r="VHN113" s="33"/>
      <c r="VHO113" s="33"/>
      <c r="VHP113" s="33"/>
      <c r="VHQ113" s="33"/>
      <c r="VHR113" s="33"/>
      <c r="VHS113" s="33"/>
      <c r="VHT113" s="33"/>
      <c r="VHU113" s="33"/>
      <c r="VHV113" s="33"/>
      <c r="VHW113" s="33"/>
      <c r="VHX113" s="33"/>
      <c r="VHY113" s="33"/>
      <c r="VHZ113" s="33"/>
      <c r="VIA113" s="33"/>
      <c r="VIB113" s="33"/>
      <c r="VIC113" s="33"/>
      <c r="VID113" s="33"/>
      <c r="VIE113" s="33"/>
      <c r="VIF113" s="33"/>
      <c r="VIG113" s="33"/>
      <c r="VIH113" s="33"/>
      <c r="VII113" s="33"/>
      <c r="VIJ113" s="33"/>
      <c r="VIK113" s="33"/>
      <c r="VIL113" s="33"/>
      <c r="VIM113" s="33"/>
      <c r="VIN113" s="33"/>
      <c r="VIO113" s="33"/>
      <c r="VIP113" s="33"/>
      <c r="VIQ113" s="33"/>
      <c r="VIR113" s="33"/>
      <c r="VIS113" s="33"/>
      <c r="VIT113" s="33"/>
      <c r="VIU113" s="33"/>
      <c r="VIV113" s="33"/>
      <c r="VIW113" s="33"/>
      <c r="VIX113" s="33"/>
      <c r="VIY113" s="33"/>
      <c r="VIZ113" s="33"/>
      <c r="VJA113" s="33"/>
      <c r="VJB113" s="33"/>
      <c r="VJC113" s="33"/>
      <c r="VJD113" s="33"/>
      <c r="VJE113" s="33"/>
      <c r="VJF113" s="33"/>
      <c r="VJG113" s="33"/>
      <c r="VJH113" s="33"/>
      <c r="VJI113" s="33"/>
      <c r="VJJ113" s="33"/>
      <c r="VJK113" s="33"/>
      <c r="VJL113" s="33"/>
      <c r="VJM113" s="33"/>
      <c r="VJN113" s="33"/>
      <c r="VJO113" s="33"/>
      <c r="VJP113" s="33"/>
      <c r="VJQ113" s="33"/>
      <c r="VJR113" s="33"/>
      <c r="VJS113" s="33"/>
      <c r="VJT113" s="33"/>
      <c r="VJU113" s="33"/>
      <c r="VJV113" s="33"/>
      <c r="VJW113" s="33"/>
      <c r="VJX113" s="33"/>
      <c r="VJY113" s="33"/>
      <c r="VJZ113" s="33"/>
      <c r="VKA113" s="33"/>
      <c r="VKB113" s="33"/>
      <c r="VKC113" s="33"/>
      <c r="VKD113" s="33"/>
      <c r="VKE113" s="33"/>
      <c r="VKF113" s="33"/>
      <c r="VKG113" s="33"/>
      <c r="VKH113" s="33"/>
      <c r="VKI113" s="33"/>
      <c r="VKJ113" s="33"/>
      <c r="VKK113" s="33"/>
      <c r="VKL113" s="33"/>
      <c r="VKM113" s="33"/>
      <c r="VKN113" s="33"/>
      <c r="VKO113" s="33"/>
      <c r="VKP113" s="33"/>
      <c r="VKQ113" s="33"/>
      <c r="VKR113" s="33"/>
      <c r="VKS113" s="33"/>
      <c r="VKT113" s="33"/>
      <c r="VKU113" s="33"/>
      <c r="VKV113" s="33"/>
      <c r="VKW113" s="33"/>
      <c r="VKX113" s="33"/>
      <c r="VKY113" s="33"/>
      <c r="VKZ113" s="33"/>
      <c r="VLA113" s="33"/>
      <c r="VLB113" s="33"/>
      <c r="VLC113" s="33"/>
      <c r="VLD113" s="33"/>
      <c r="VLE113" s="33"/>
      <c r="VLF113" s="33"/>
      <c r="VLG113" s="33"/>
      <c r="VLH113" s="33"/>
      <c r="VLI113" s="33"/>
      <c r="VLJ113" s="33"/>
      <c r="VLK113" s="33"/>
      <c r="VLL113" s="33"/>
      <c r="VLM113" s="33"/>
      <c r="VLN113" s="33"/>
      <c r="VLO113" s="33"/>
      <c r="VLP113" s="33"/>
      <c r="VLQ113" s="33"/>
      <c r="VLR113" s="33"/>
      <c r="VLS113" s="33"/>
      <c r="VLT113" s="33"/>
      <c r="VLU113" s="33"/>
      <c r="VLV113" s="33"/>
      <c r="VLW113" s="33"/>
      <c r="VLX113" s="33"/>
      <c r="VLY113" s="33"/>
      <c r="VLZ113" s="33"/>
      <c r="VMA113" s="33"/>
      <c r="VMB113" s="33"/>
      <c r="VMC113" s="33"/>
      <c r="VMD113" s="33"/>
      <c r="VME113" s="33"/>
      <c r="VMF113" s="33"/>
      <c r="VMG113" s="33"/>
      <c r="VMH113" s="33"/>
      <c r="VMI113" s="33"/>
      <c r="VMJ113" s="33"/>
      <c r="VMK113" s="33"/>
      <c r="VML113" s="33"/>
      <c r="VMM113" s="33"/>
      <c r="VMN113" s="33"/>
      <c r="VMO113" s="33"/>
      <c r="VMP113" s="33"/>
      <c r="VMQ113" s="33"/>
      <c r="VMR113" s="33"/>
      <c r="VMS113" s="33"/>
      <c r="VMT113" s="33"/>
      <c r="VMU113" s="33"/>
      <c r="VMV113" s="33"/>
      <c r="VMW113" s="33"/>
      <c r="VMX113" s="33"/>
      <c r="VMY113" s="33"/>
      <c r="VMZ113" s="33"/>
      <c r="VNA113" s="33"/>
      <c r="VNB113" s="33"/>
      <c r="VNC113" s="33"/>
      <c r="VND113" s="33"/>
      <c r="VNE113" s="33"/>
      <c r="VNF113" s="33"/>
      <c r="VNG113" s="33"/>
      <c r="VNH113" s="33"/>
      <c r="VNI113" s="33"/>
      <c r="VNJ113" s="33"/>
      <c r="VNK113" s="33"/>
      <c r="VNL113" s="33"/>
      <c r="VNM113" s="33"/>
      <c r="VNN113" s="33"/>
      <c r="VNO113" s="33"/>
      <c r="VNP113" s="33"/>
      <c r="VNQ113" s="33"/>
      <c r="VNR113" s="33"/>
      <c r="VNS113" s="33"/>
      <c r="VNT113" s="33"/>
      <c r="VNU113" s="33"/>
      <c r="VNV113" s="33"/>
      <c r="VNW113" s="33"/>
      <c r="VNX113" s="33"/>
      <c r="VNY113" s="33"/>
      <c r="VNZ113" s="33"/>
      <c r="VOA113" s="33"/>
      <c r="VOB113" s="33"/>
      <c r="VOC113" s="33"/>
      <c r="VOD113" s="33"/>
      <c r="VOE113" s="33"/>
      <c r="VOF113" s="33"/>
      <c r="VOG113" s="33"/>
      <c r="VOH113" s="33"/>
      <c r="VOI113" s="33"/>
      <c r="VOJ113" s="33"/>
      <c r="VOK113" s="33"/>
      <c r="VOL113" s="33"/>
      <c r="VOM113" s="33"/>
      <c r="VON113" s="33"/>
      <c r="VOO113" s="33"/>
      <c r="VOP113" s="33"/>
      <c r="VOQ113" s="33"/>
      <c r="VOR113" s="33"/>
      <c r="VOS113" s="33"/>
      <c r="VOT113" s="33"/>
      <c r="VOU113" s="33"/>
      <c r="VOV113" s="33"/>
      <c r="VOW113" s="33"/>
      <c r="VOX113" s="33"/>
      <c r="VOY113" s="33"/>
      <c r="VOZ113" s="33"/>
      <c r="VPA113" s="33"/>
      <c r="VPB113" s="33"/>
      <c r="VPC113" s="33"/>
      <c r="VPD113" s="33"/>
      <c r="VPE113" s="33"/>
      <c r="VPF113" s="33"/>
      <c r="VPG113" s="33"/>
      <c r="VPH113" s="33"/>
      <c r="VPI113" s="33"/>
      <c r="VPJ113" s="33"/>
      <c r="VPK113" s="33"/>
      <c r="VPL113" s="33"/>
      <c r="VPM113" s="33"/>
      <c r="VPN113" s="33"/>
      <c r="VPO113" s="33"/>
      <c r="VPP113" s="33"/>
      <c r="VPQ113" s="33"/>
      <c r="VPR113" s="33"/>
      <c r="VPS113" s="33"/>
      <c r="VPT113" s="33"/>
      <c r="VPU113" s="33"/>
      <c r="VPV113" s="33"/>
      <c r="VPW113" s="33"/>
      <c r="VPX113" s="33"/>
      <c r="VPY113" s="33"/>
      <c r="VPZ113" s="33"/>
      <c r="VQA113" s="33"/>
      <c r="VQB113" s="33"/>
      <c r="VQC113" s="33"/>
      <c r="VQD113" s="33"/>
      <c r="VQE113" s="33"/>
      <c r="VQF113" s="33"/>
      <c r="VQG113" s="33"/>
      <c r="VQH113" s="33"/>
      <c r="VQI113" s="33"/>
      <c r="VQJ113" s="33"/>
      <c r="VQK113" s="33"/>
      <c r="VQL113" s="33"/>
      <c r="VQM113" s="33"/>
      <c r="VQN113" s="33"/>
      <c r="VQO113" s="33"/>
      <c r="VQP113" s="33"/>
      <c r="VQQ113" s="33"/>
      <c r="VQR113" s="33"/>
      <c r="VQS113" s="33"/>
      <c r="VQT113" s="33"/>
      <c r="VQU113" s="33"/>
      <c r="VQV113" s="33"/>
      <c r="VQW113" s="33"/>
      <c r="VQX113" s="33"/>
      <c r="VQY113" s="33"/>
      <c r="VQZ113" s="33"/>
      <c r="VRA113" s="33"/>
      <c r="VRB113" s="33"/>
      <c r="VRC113" s="33"/>
      <c r="VRD113" s="33"/>
      <c r="VRE113" s="33"/>
      <c r="VRF113" s="33"/>
      <c r="VRG113" s="33"/>
      <c r="VRH113" s="33"/>
      <c r="VRI113" s="33"/>
      <c r="VRJ113" s="33"/>
      <c r="VRK113" s="33"/>
      <c r="VRL113" s="33"/>
      <c r="VRM113" s="33"/>
      <c r="VRN113" s="33"/>
      <c r="VRO113" s="33"/>
      <c r="VRP113" s="33"/>
      <c r="VRQ113" s="33"/>
      <c r="VRR113" s="33"/>
      <c r="VRS113" s="33"/>
      <c r="VRT113" s="33"/>
      <c r="VRU113" s="33"/>
      <c r="VRV113" s="33"/>
      <c r="VRW113" s="33"/>
      <c r="VRX113" s="33"/>
      <c r="VRY113" s="33"/>
      <c r="VRZ113" s="33"/>
      <c r="VSA113" s="33"/>
      <c r="VSB113" s="33"/>
      <c r="VSC113" s="33"/>
      <c r="VSD113" s="33"/>
      <c r="VSE113" s="33"/>
      <c r="VSF113" s="33"/>
      <c r="VSG113" s="33"/>
      <c r="VSH113" s="33"/>
      <c r="VSI113" s="33"/>
      <c r="VSJ113" s="33"/>
      <c r="VSK113" s="33"/>
      <c r="VSL113" s="33"/>
      <c r="VSM113" s="33"/>
      <c r="VSN113" s="33"/>
      <c r="VSO113" s="33"/>
      <c r="VSP113" s="33"/>
      <c r="VSQ113" s="33"/>
      <c r="VSR113" s="33"/>
      <c r="VSS113" s="33"/>
      <c r="VST113" s="33"/>
      <c r="VSU113" s="33"/>
      <c r="VSV113" s="33"/>
      <c r="VSW113" s="33"/>
      <c r="VSX113" s="33"/>
      <c r="VSY113" s="33"/>
      <c r="VSZ113" s="33"/>
      <c r="VTA113" s="33"/>
      <c r="VTB113" s="33"/>
      <c r="VTC113" s="33"/>
      <c r="VTD113" s="33"/>
      <c r="VTE113" s="33"/>
      <c r="VTF113" s="33"/>
      <c r="VTG113" s="33"/>
      <c r="VTH113" s="33"/>
      <c r="VTI113" s="33"/>
      <c r="VTJ113" s="33"/>
      <c r="VTK113" s="33"/>
      <c r="VTL113" s="33"/>
      <c r="VTM113" s="33"/>
      <c r="VTN113" s="33"/>
      <c r="VTO113" s="33"/>
      <c r="VTP113" s="33"/>
      <c r="VTQ113" s="33"/>
      <c r="VTR113" s="33"/>
      <c r="VTS113" s="33"/>
      <c r="VTT113" s="33"/>
      <c r="VTU113" s="33"/>
      <c r="VTV113" s="33"/>
      <c r="VTW113" s="33"/>
      <c r="VTX113" s="33"/>
      <c r="VTY113" s="33"/>
      <c r="VTZ113" s="33"/>
      <c r="VUA113" s="33"/>
      <c r="VUB113" s="33"/>
      <c r="VUC113" s="33"/>
      <c r="VUD113" s="33"/>
      <c r="VUE113" s="33"/>
      <c r="VUF113" s="33"/>
      <c r="VUG113" s="33"/>
      <c r="VUH113" s="33"/>
      <c r="VUI113" s="33"/>
      <c r="VUJ113" s="33"/>
      <c r="VUK113" s="33"/>
      <c r="VUL113" s="33"/>
      <c r="VUM113" s="33"/>
      <c r="VUN113" s="33"/>
      <c r="VUO113" s="33"/>
      <c r="VUP113" s="33"/>
      <c r="VUQ113" s="33"/>
      <c r="VUR113" s="33"/>
      <c r="VUS113" s="33"/>
      <c r="VUT113" s="33"/>
      <c r="VUU113" s="33"/>
      <c r="VUV113" s="33"/>
      <c r="VUW113" s="33"/>
      <c r="VUX113" s="33"/>
      <c r="VUY113" s="33"/>
      <c r="VUZ113" s="33"/>
      <c r="VVA113" s="33"/>
      <c r="VVB113" s="33"/>
      <c r="VVC113" s="33"/>
      <c r="VVD113" s="33"/>
      <c r="VVE113" s="33"/>
      <c r="VVF113" s="33"/>
      <c r="VVG113" s="33"/>
      <c r="VVH113" s="33"/>
      <c r="VVI113" s="33"/>
      <c r="VVJ113" s="33"/>
      <c r="VVK113" s="33"/>
      <c r="VVL113" s="33"/>
      <c r="VVM113" s="33"/>
      <c r="VVN113" s="33"/>
      <c r="VVO113" s="33"/>
      <c r="VVP113" s="33"/>
      <c r="VVQ113" s="33"/>
      <c r="VVR113" s="33"/>
      <c r="VVS113" s="33"/>
      <c r="VVT113" s="33"/>
      <c r="VVU113" s="33"/>
      <c r="VVV113" s="33"/>
      <c r="VVW113" s="33"/>
      <c r="VVX113" s="33"/>
      <c r="VVY113" s="33"/>
      <c r="VVZ113" s="33"/>
      <c r="VWA113" s="33"/>
      <c r="VWB113" s="33"/>
      <c r="VWC113" s="33"/>
      <c r="VWD113" s="33"/>
      <c r="VWE113" s="33"/>
      <c r="VWF113" s="33"/>
      <c r="VWG113" s="33"/>
      <c r="VWH113" s="33"/>
      <c r="VWI113" s="33"/>
      <c r="VWJ113" s="33"/>
      <c r="VWK113" s="33"/>
      <c r="VWL113" s="33"/>
      <c r="VWM113" s="33"/>
      <c r="VWN113" s="33"/>
      <c r="VWO113" s="33"/>
      <c r="VWP113" s="33"/>
      <c r="VWQ113" s="33"/>
      <c r="VWR113" s="33"/>
      <c r="VWS113" s="33"/>
      <c r="VWT113" s="33"/>
      <c r="VWU113" s="33"/>
      <c r="VWV113" s="33"/>
      <c r="VWW113" s="33"/>
      <c r="VWX113" s="33"/>
      <c r="VWY113" s="33"/>
      <c r="VWZ113" s="33"/>
      <c r="VXA113" s="33"/>
      <c r="VXB113" s="33"/>
      <c r="VXC113" s="33"/>
      <c r="VXD113" s="33"/>
      <c r="VXE113" s="33"/>
      <c r="VXF113" s="33"/>
      <c r="VXG113" s="33"/>
      <c r="VXH113" s="33"/>
      <c r="VXI113" s="33"/>
      <c r="VXJ113" s="33"/>
      <c r="VXK113" s="33"/>
      <c r="VXL113" s="33"/>
      <c r="VXM113" s="33"/>
      <c r="VXN113" s="33"/>
      <c r="VXO113" s="33"/>
      <c r="VXP113" s="33"/>
      <c r="VXQ113" s="33"/>
      <c r="VXR113" s="33"/>
      <c r="VXS113" s="33"/>
      <c r="VXT113" s="33"/>
      <c r="VXU113" s="33"/>
      <c r="VXV113" s="33"/>
      <c r="VXW113" s="33"/>
      <c r="VXX113" s="33"/>
      <c r="VXY113" s="33"/>
      <c r="VXZ113" s="33"/>
      <c r="VYA113" s="33"/>
      <c r="VYB113" s="33"/>
      <c r="VYC113" s="33"/>
      <c r="VYD113" s="33"/>
      <c r="VYE113" s="33"/>
      <c r="VYF113" s="33"/>
      <c r="VYG113" s="33"/>
      <c r="VYH113" s="33"/>
      <c r="VYI113" s="33"/>
      <c r="VYJ113" s="33"/>
      <c r="VYK113" s="33"/>
      <c r="VYL113" s="33"/>
      <c r="VYM113" s="33"/>
      <c r="VYN113" s="33"/>
      <c r="VYO113" s="33"/>
      <c r="VYP113" s="33"/>
      <c r="VYQ113" s="33"/>
      <c r="VYR113" s="33"/>
      <c r="VYS113" s="33"/>
      <c r="VYT113" s="33"/>
      <c r="VYU113" s="33"/>
      <c r="VYV113" s="33"/>
      <c r="VYW113" s="33"/>
      <c r="VYX113" s="33"/>
      <c r="VYY113" s="33"/>
      <c r="VYZ113" s="33"/>
      <c r="VZA113" s="33"/>
      <c r="VZB113" s="33"/>
      <c r="VZC113" s="33"/>
      <c r="VZD113" s="33"/>
      <c r="VZE113" s="33"/>
      <c r="VZF113" s="33"/>
      <c r="VZG113" s="33"/>
      <c r="VZH113" s="33"/>
      <c r="VZI113" s="33"/>
      <c r="VZJ113" s="33"/>
      <c r="VZK113" s="33"/>
      <c r="VZL113" s="33"/>
      <c r="VZM113" s="33"/>
      <c r="VZN113" s="33"/>
      <c r="VZO113" s="33"/>
      <c r="VZP113" s="33"/>
      <c r="VZQ113" s="33"/>
      <c r="VZR113" s="33"/>
      <c r="VZS113" s="33"/>
      <c r="VZT113" s="33"/>
      <c r="VZU113" s="33"/>
      <c r="VZV113" s="33"/>
      <c r="VZW113" s="33"/>
      <c r="VZX113" s="33"/>
      <c r="VZY113" s="33"/>
      <c r="VZZ113" s="33"/>
      <c r="WAA113" s="33"/>
      <c r="WAB113" s="33"/>
      <c r="WAC113" s="33"/>
      <c r="WAD113" s="33"/>
      <c r="WAE113" s="33"/>
      <c r="WAF113" s="33"/>
      <c r="WAG113" s="33"/>
      <c r="WAH113" s="33"/>
      <c r="WAI113" s="33"/>
      <c r="WAJ113" s="33"/>
      <c r="WAK113" s="33"/>
      <c r="WAL113" s="33"/>
      <c r="WAM113" s="33"/>
      <c r="WAN113" s="33"/>
      <c r="WAO113" s="33"/>
      <c r="WAP113" s="33"/>
      <c r="WAQ113" s="33"/>
      <c r="WAR113" s="33"/>
      <c r="WAS113" s="33"/>
      <c r="WAT113" s="33"/>
      <c r="WAU113" s="33"/>
      <c r="WAV113" s="33"/>
      <c r="WAW113" s="33"/>
      <c r="WAX113" s="33"/>
      <c r="WAY113" s="33"/>
      <c r="WAZ113" s="33"/>
      <c r="WBA113" s="33"/>
      <c r="WBB113" s="33"/>
      <c r="WBC113" s="33"/>
      <c r="WBD113" s="33"/>
      <c r="WBE113" s="33"/>
      <c r="WBF113" s="33"/>
      <c r="WBG113" s="33"/>
      <c r="WBH113" s="33"/>
      <c r="WBI113" s="33"/>
      <c r="WBJ113" s="33"/>
      <c r="WBK113" s="33"/>
      <c r="WBL113" s="33"/>
      <c r="WBM113" s="33"/>
      <c r="WBN113" s="33"/>
      <c r="WBO113" s="33"/>
      <c r="WBP113" s="33"/>
      <c r="WBQ113" s="33"/>
      <c r="WBR113" s="33"/>
      <c r="WBS113" s="33"/>
      <c r="WBT113" s="33"/>
      <c r="WBU113" s="33"/>
      <c r="WBV113" s="33"/>
      <c r="WBW113" s="33"/>
      <c r="WBX113" s="33"/>
      <c r="WBY113" s="33"/>
      <c r="WBZ113" s="33"/>
      <c r="WCA113" s="33"/>
      <c r="WCB113" s="33"/>
      <c r="WCC113" s="33"/>
      <c r="WCD113" s="33"/>
      <c r="WCE113" s="33"/>
      <c r="WCF113" s="33"/>
      <c r="WCG113" s="33"/>
      <c r="WCH113" s="33"/>
      <c r="WCI113" s="33"/>
      <c r="WCJ113" s="33"/>
      <c r="WCK113" s="33"/>
      <c r="WCL113" s="33"/>
      <c r="WCM113" s="33"/>
      <c r="WCN113" s="33"/>
      <c r="WCO113" s="33"/>
      <c r="WCP113" s="33"/>
      <c r="WCQ113" s="33"/>
      <c r="WCR113" s="33"/>
      <c r="WCS113" s="33"/>
      <c r="WCT113" s="33"/>
      <c r="WCU113" s="33"/>
      <c r="WCV113" s="33"/>
      <c r="WCW113" s="33"/>
      <c r="WCX113" s="33"/>
      <c r="WCY113" s="33"/>
      <c r="WCZ113" s="33"/>
      <c r="WDA113" s="33"/>
      <c r="WDB113" s="33"/>
      <c r="WDC113" s="33"/>
      <c r="WDD113" s="33"/>
      <c r="WDE113" s="33"/>
      <c r="WDF113" s="33"/>
      <c r="WDG113" s="33"/>
      <c r="WDH113" s="33"/>
      <c r="WDI113" s="33"/>
      <c r="WDJ113" s="33"/>
      <c r="WDK113" s="33"/>
      <c r="WDL113" s="33"/>
      <c r="WDM113" s="33"/>
      <c r="WDN113" s="33"/>
      <c r="WDO113" s="33"/>
      <c r="WDP113" s="33"/>
      <c r="WDQ113" s="33"/>
      <c r="WDR113" s="33"/>
      <c r="WDS113" s="33"/>
      <c r="WDT113" s="33"/>
      <c r="WDU113" s="33"/>
      <c r="WDV113" s="33"/>
      <c r="WDW113" s="33"/>
      <c r="WDX113" s="33"/>
      <c r="WDY113" s="33"/>
      <c r="WDZ113" s="33"/>
      <c r="WEA113" s="33"/>
      <c r="WEB113" s="33"/>
      <c r="WEC113" s="33"/>
      <c r="WED113" s="33"/>
      <c r="WEE113" s="33"/>
      <c r="WEF113" s="33"/>
      <c r="WEG113" s="33"/>
      <c r="WEH113" s="33"/>
      <c r="WEI113" s="33"/>
      <c r="WEJ113" s="33"/>
      <c r="WEK113" s="33"/>
      <c r="WEL113" s="33"/>
      <c r="WEM113" s="33"/>
      <c r="WEN113" s="33"/>
      <c r="WEO113" s="33"/>
      <c r="WEP113" s="33"/>
      <c r="WEQ113" s="33"/>
      <c r="WER113" s="33"/>
      <c r="WES113" s="33"/>
      <c r="WET113" s="33"/>
      <c r="WEU113" s="33"/>
      <c r="WEV113" s="33"/>
      <c r="WEW113" s="33"/>
      <c r="WEX113" s="33"/>
      <c r="WEY113" s="33"/>
      <c r="WEZ113" s="33"/>
      <c r="WFA113" s="33"/>
      <c r="WFB113" s="33"/>
      <c r="WFC113" s="33"/>
      <c r="WFD113" s="33"/>
      <c r="WFE113" s="33"/>
      <c r="WFF113" s="33"/>
      <c r="WFG113" s="33"/>
      <c r="WFH113" s="33"/>
      <c r="WFI113" s="33"/>
      <c r="WFJ113" s="33"/>
      <c r="WFK113" s="33"/>
      <c r="WFL113" s="33"/>
      <c r="WFM113" s="33"/>
      <c r="WFN113" s="33"/>
      <c r="WFO113" s="33"/>
      <c r="WFP113" s="33"/>
      <c r="WFQ113" s="33"/>
      <c r="WFR113" s="33"/>
      <c r="WFS113" s="33"/>
      <c r="WFT113" s="33"/>
      <c r="WFU113" s="33"/>
      <c r="WFV113" s="33"/>
      <c r="WFW113" s="33"/>
      <c r="WFX113" s="33"/>
      <c r="WFY113" s="33"/>
      <c r="WFZ113" s="33"/>
      <c r="WGA113" s="33"/>
      <c r="WGB113" s="33"/>
      <c r="WGC113" s="33"/>
      <c r="WGD113" s="33"/>
      <c r="WGE113" s="33"/>
      <c r="WGF113" s="33"/>
      <c r="WGG113" s="33"/>
      <c r="WGH113" s="33"/>
      <c r="WGI113" s="33"/>
      <c r="WGJ113" s="33"/>
      <c r="WGK113" s="33"/>
      <c r="WGL113" s="33"/>
      <c r="WGM113" s="33"/>
      <c r="WGN113" s="33"/>
      <c r="WGO113" s="33"/>
      <c r="WGP113" s="33"/>
      <c r="WGQ113" s="33"/>
      <c r="WGR113" s="33"/>
      <c r="WGS113" s="33"/>
      <c r="WGT113" s="33"/>
      <c r="WGU113" s="33"/>
      <c r="WGV113" s="33"/>
      <c r="WGW113" s="33"/>
      <c r="WGX113" s="33"/>
      <c r="WGY113" s="33"/>
      <c r="WGZ113" s="33"/>
      <c r="WHA113" s="33"/>
      <c r="WHB113" s="33"/>
      <c r="WHC113" s="33"/>
      <c r="WHD113" s="33"/>
      <c r="WHE113" s="33"/>
      <c r="WHF113" s="33"/>
      <c r="WHG113" s="33"/>
      <c r="WHH113" s="33"/>
      <c r="WHI113" s="33"/>
      <c r="WHJ113" s="33"/>
      <c r="WHK113" s="33"/>
      <c r="WHL113" s="33"/>
      <c r="WHM113" s="33"/>
      <c r="WHN113" s="33"/>
      <c r="WHO113" s="33"/>
      <c r="WHP113" s="33"/>
      <c r="WHQ113" s="33"/>
      <c r="WHR113" s="33"/>
      <c r="WHS113" s="33"/>
      <c r="WHT113" s="33"/>
      <c r="WHU113" s="33"/>
      <c r="WHV113" s="33"/>
      <c r="WHW113" s="33"/>
      <c r="WHX113" s="33"/>
      <c r="WHY113" s="33"/>
      <c r="WHZ113" s="33"/>
      <c r="WIA113" s="33"/>
      <c r="WIB113" s="33"/>
      <c r="WIC113" s="33"/>
      <c r="WID113" s="33"/>
      <c r="WIE113" s="33"/>
      <c r="WIF113" s="33"/>
      <c r="WIG113" s="33"/>
      <c r="WIH113" s="33"/>
      <c r="WII113" s="33"/>
      <c r="WIJ113" s="33"/>
      <c r="WIK113" s="33"/>
      <c r="WIL113" s="33"/>
      <c r="WIM113" s="33"/>
      <c r="WIN113" s="33"/>
      <c r="WIO113" s="33"/>
      <c r="WIP113" s="33"/>
      <c r="WIQ113" s="33"/>
      <c r="WIR113" s="33"/>
      <c r="WIS113" s="33"/>
      <c r="WIT113" s="33"/>
      <c r="WIU113" s="33"/>
      <c r="WIV113" s="33"/>
      <c r="WIW113" s="33"/>
      <c r="WIX113" s="33"/>
      <c r="WIY113" s="33"/>
      <c r="WIZ113" s="33"/>
      <c r="WJA113" s="33"/>
      <c r="WJB113" s="33"/>
      <c r="WJC113" s="33"/>
      <c r="WJD113" s="33"/>
      <c r="WJE113" s="33"/>
      <c r="WJF113" s="33"/>
      <c r="WJG113" s="33"/>
      <c r="WJH113" s="33"/>
      <c r="WJI113" s="33"/>
      <c r="WJJ113" s="33"/>
      <c r="WJK113" s="33"/>
      <c r="WJL113" s="33"/>
      <c r="WJM113" s="33"/>
      <c r="WJN113" s="33"/>
      <c r="WJO113" s="33"/>
      <c r="WJP113" s="33"/>
      <c r="WJQ113" s="33"/>
      <c r="WJR113" s="33"/>
      <c r="WJS113" s="33"/>
      <c r="WJT113" s="33"/>
      <c r="WJU113" s="33"/>
      <c r="WJV113" s="33"/>
      <c r="WJW113" s="33"/>
      <c r="WJX113" s="33"/>
      <c r="WJY113" s="33"/>
      <c r="WJZ113" s="33"/>
      <c r="WKA113" s="33"/>
      <c r="WKB113" s="33"/>
      <c r="WKC113" s="33"/>
      <c r="WKD113" s="33"/>
      <c r="WKE113" s="33"/>
      <c r="WKF113" s="33"/>
      <c r="WKG113" s="33"/>
      <c r="WKH113" s="33"/>
      <c r="WKI113" s="33"/>
      <c r="WKJ113" s="33"/>
      <c r="WKK113" s="33"/>
      <c r="WKL113" s="33"/>
      <c r="WKM113" s="33"/>
      <c r="WKN113" s="33"/>
      <c r="WKO113" s="33"/>
      <c r="WKP113" s="33"/>
      <c r="WKQ113" s="33"/>
      <c r="WKR113" s="33"/>
      <c r="WKS113" s="33"/>
      <c r="WKT113" s="33"/>
      <c r="WKU113" s="33"/>
      <c r="WKV113" s="33"/>
      <c r="WKW113" s="33"/>
      <c r="WKX113" s="33"/>
      <c r="WKY113" s="33"/>
      <c r="WKZ113" s="33"/>
      <c r="WLA113" s="33"/>
      <c r="WLB113" s="33"/>
      <c r="WLC113" s="33"/>
      <c r="WLD113" s="33"/>
      <c r="WLE113" s="33"/>
      <c r="WLF113" s="33"/>
      <c r="WLG113" s="33"/>
      <c r="WLH113" s="33"/>
      <c r="WLI113" s="33"/>
      <c r="WLJ113" s="33"/>
      <c r="WLK113" s="33"/>
      <c r="WLL113" s="33"/>
      <c r="WLM113" s="33"/>
      <c r="WLN113" s="33"/>
      <c r="WLO113" s="33"/>
      <c r="WLP113" s="33"/>
      <c r="WLQ113" s="33"/>
      <c r="WLR113" s="33"/>
      <c r="WLS113" s="33"/>
      <c r="WLT113" s="33"/>
      <c r="WLU113" s="33"/>
      <c r="WLV113" s="33"/>
      <c r="WLW113" s="33"/>
      <c r="WLX113" s="33"/>
      <c r="WLY113" s="33"/>
      <c r="WLZ113" s="33"/>
      <c r="WMA113" s="33"/>
      <c r="WMB113" s="33"/>
      <c r="WMC113" s="33"/>
      <c r="WMD113" s="33"/>
      <c r="WME113" s="33"/>
      <c r="WMF113" s="33"/>
      <c r="WMG113" s="33"/>
      <c r="WMH113" s="33"/>
      <c r="WMI113" s="33"/>
      <c r="WMJ113" s="33"/>
      <c r="WMK113" s="33"/>
      <c r="WML113" s="33"/>
      <c r="WMM113" s="33"/>
      <c r="WMN113" s="33"/>
      <c r="WMO113" s="33"/>
      <c r="WMP113" s="33"/>
      <c r="WMQ113" s="33"/>
      <c r="WMR113" s="33"/>
      <c r="WMS113" s="33"/>
      <c r="WMT113" s="33"/>
      <c r="WMU113" s="33"/>
      <c r="WMV113" s="33"/>
      <c r="WMW113" s="33"/>
      <c r="WMX113" s="33"/>
      <c r="WMY113" s="33"/>
      <c r="WMZ113" s="33"/>
      <c r="WNA113" s="33"/>
      <c r="WNB113" s="33"/>
      <c r="WNC113" s="33"/>
      <c r="WND113" s="33"/>
      <c r="WNE113" s="33"/>
      <c r="WNF113" s="33"/>
      <c r="WNG113" s="33"/>
      <c r="WNH113" s="33"/>
      <c r="WNI113" s="33"/>
      <c r="WNJ113" s="33"/>
      <c r="WNK113" s="33"/>
      <c r="WNL113" s="33"/>
      <c r="WNM113" s="33"/>
      <c r="WNN113" s="33"/>
      <c r="WNO113" s="33"/>
      <c r="WNP113" s="33"/>
      <c r="WNQ113" s="33"/>
      <c r="WNR113" s="33"/>
      <c r="WNS113" s="33"/>
      <c r="WNT113" s="33"/>
      <c r="WNU113" s="33"/>
      <c r="WNV113" s="33"/>
      <c r="WNW113" s="33"/>
      <c r="WNX113" s="33"/>
      <c r="WNY113" s="33"/>
      <c r="WNZ113" s="33"/>
      <c r="WOA113" s="33"/>
      <c r="WOB113" s="33"/>
      <c r="WOC113" s="33"/>
      <c r="WOD113" s="33"/>
      <c r="WOE113" s="33"/>
      <c r="WOF113" s="33"/>
      <c r="WOG113" s="33"/>
      <c r="WOH113" s="33"/>
      <c r="WOI113" s="33"/>
      <c r="WOJ113" s="33"/>
      <c r="WOK113" s="33"/>
      <c r="WOL113" s="33"/>
      <c r="WOM113" s="33"/>
      <c r="WON113" s="33"/>
      <c r="WOO113" s="33"/>
      <c r="WOP113" s="33"/>
      <c r="WOQ113" s="33"/>
      <c r="WOR113" s="33"/>
      <c r="WOS113" s="33"/>
      <c r="WOT113" s="33"/>
      <c r="WOU113" s="33"/>
      <c r="WOV113" s="33"/>
      <c r="WOW113" s="33"/>
      <c r="WOX113" s="33"/>
      <c r="WOY113" s="33"/>
      <c r="WOZ113" s="33"/>
      <c r="WPA113" s="33"/>
      <c r="WPB113" s="33"/>
      <c r="WPC113" s="33"/>
      <c r="WPD113" s="33"/>
      <c r="WPE113" s="33"/>
      <c r="WPF113" s="33"/>
      <c r="WPG113" s="33"/>
      <c r="WPH113" s="33"/>
      <c r="WPI113" s="33"/>
      <c r="WPJ113" s="33"/>
      <c r="WPK113" s="33"/>
      <c r="WPL113" s="33"/>
      <c r="WPM113" s="33"/>
      <c r="WPN113" s="33"/>
      <c r="WPO113" s="33"/>
      <c r="WPP113" s="33"/>
      <c r="WPQ113" s="33"/>
      <c r="WPR113" s="33"/>
      <c r="WPS113" s="33"/>
      <c r="WPT113" s="33"/>
      <c r="WPU113" s="33"/>
      <c r="WPV113" s="33"/>
      <c r="WPW113" s="33"/>
      <c r="WPX113" s="33"/>
      <c r="WPY113" s="33"/>
      <c r="WPZ113" s="33"/>
      <c r="WQA113" s="33"/>
      <c r="WQB113" s="33"/>
      <c r="WQC113" s="33"/>
      <c r="WQD113" s="33"/>
      <c r="WQE113" s="33"/>
      <c r="WQF113" s="33"/>
      <c r="WQG113" s="33"/>
      <c r="WQH113" s="33"/>
      <c r="WQI113" s="33"/>
      <c r="WQJ113" s="33"/>
      <c r="WQK113" s="33"/>
      <c r="WQL113" s="33"/>
      <c r="WQM113" s="33"/>
      <c r="WQN113" s="33"/>
      <c r="WQO113" s="33"/>
      <c r="WQP113" s="33"/>
      <c r="WQQ113" s="33"/>
      <c r="WQR113" s="33"/>
      <c r="WQS113" s="33"/>
      <c r="WQT113" s="33"/>
      <c r="WQU113" s="33"/>
      <c r="WQV113" s="33"/>
      <c r="WQW113" s="33"/>
      <c r="WQX113" s="33"/>
      <c r="WQY113" s="33"/>
      <c r="WQZ113" s="33"/>
      <c r="WRA113" s="33"/>
      <c r="WRB113" s="33"/>
      <c r="WRC113" s="33"/>
      <c r="WRD113" s="33"/>
      <c r="WRE113" s="33"/>
      <c r="WRF113" s="33"/>
      <c r="WRG113" s="33"/>
      <c r="WRH113" s="33"/>
      <c r="WRI113" s="33"/>
      <c r="WRJ113" s="33"/>
      <c r="WRK113" s="33"/>
      <c r="WRL113" s="33"/>
      <c r="WRM113" s="33"/>
      <c r="WRN113" s="33"/>
      <c r="WRO113" s="33"/>
      <c r="WRP113" s="33"/>
      <c r="WRQ113" s="33"/>
      <c r="WRR113" s="33"/>
      <c r="WRS113" s="33"/>
      <c r="WRT113" s="33"/>
      <c r="WRU113" s="33"/>
      <c r="WRV113" s="33"/>
      <c r="WRW113" s="33"/>
      <c r="WRX113" s="33"/>
      <c r="WRY113" s="33"/>
      <c r="WRZ113" s="33"/>
      <c r="WSA113" s="33"/>
      <c r="WSB113" s="33"/>
      <c r="WSC113" s="33"/>
      <c r="WSD113" s="33"/>
      <c r="WSE113" s="33"/>
      <c r="WSF113" s="33"/>
      <c r="WSG113" s="33"/>
      <c r="WSH113" s="33"/>
      <c r="WSI113" s="33"/>
      <c r="WSJ113" s="33"/>
      <c r="WSK113" s="33"/>
      <c r="WSL113" s="33"/>
      <c r="WSM113" s="33"/>
      <c r="WSN113" s="33"/>
      <c r="WSO113" s="33"/>
      <c r="WSP113" s="33"/>
      <c r="WSQ113" s="33"/>
      <c r="WSR113" s="33"/>
      <c r="WSS113" s="33"/>
      <c r="WST113" s="33"/>
      <c r="WSU113" s="33"/>
      <c r="WSV113" s="33"/>
      <c r="WSW113" s="33"/>
      <c r="WSX113" s="33"/>
      <c r="WSY113" s="33"/>
      <c r="WSZ113" s="33"/>
      <c r="WTA113" s="33"/>
      <c r="WTB113" s="33"/>
      <c r="WTC113" s="33"/>
      <c r="WTD113" s="33"/>
      <c r="WTE113" s="33"/>
      <c r="WTF113" s="33"/>
      <c r="WTG113" s="33"/>
      <c r="WTH113" s="33"/>
      <c r="WTI113" s="33"/>
      <c r="WTJ113" s="33"/>
      <c r="WTK113" s="33"/>
      <c r="WTL113" s="33"/>
      <c r="WTM113" s="33"/>
      <c r="WTN113" s="33"/>
      <c r="WTO113" s="33"/>
      <c r="WTP113" s="33"/>
      <c r="WTQ113" s="33"/>
      <c r="WTR113" s="33"/>
      <c r="WTS113" s="33"/>
      <c r="WTT113" s="33"/>
      <c r="WTU113" s="33"/>
      <c r="WTV113" s="33"/>
      <c r="WTW113" s="33"/>
      <c r="WTX113" s="33"/>
      <c r="WTY113" s="33"/>
      <c r="WTZ113" s="33"/>
      <c r="WUA113" s="33"/>
      <c r="WUB113" s="33"/>
      <c r="WUC113" s="33"/>
      <c r="WUD113" s="33"/>
      <c r="WUE113" s="33"/>
      <c r="WUF113" s="33"/>
      <c r="WUG113" s="33"/>
      <c r="WUH113" s="33"/>
      <c r="WUI113" s="33"/>
      <c r="WUJ113" s="33"/>
      <c r="WUK113" s="33"/>
      <c r="WUL113" s="33"/>
      <c r="WUM113" s="33"/>
      <c r="WUN113" s="33"/>
      <c r="WUO113" s="33"/>
      <c r="WUP113" s="33"/>
      <c r="WUQ113" s="33"/>
      <c r="WUR113" s="33"/>
      <c r="WUS113" s="33"/>
      <c r="WUT113" s="33"/>
      <c r="WUU113" s="33"/>
      <c r="WUV113" s="33"/>
      <c r="WUW113" s="33"/>
      <c r="WUX113" s="33"/>
      <c r="WUY113" s="33"/>
      <c r="WUZ113" s="33"/>
      <c r="WVA113" s="33"/>
      <c r="WVB113" s="33"/>
      <c r="WVC113" s="33"/>
      <c r="WVD113" s="33"/>
      <c r="WVE113" s="33"/>
      <c r="WVF113" s="33"/>
      <c r="WVG113" s="33"/>
      <c r="WVH113" s="33"/>
      <c r="WVI113" s="33"/>
      <c r="WVJ113" s="33"/>
      <c r="WVK113" s="33"/>
      <c r="WVL113" s="33"/>
      <c r="WVM113" s="33"/>
      <c r="WVN113" s="33"/>
      <c r="WVO113" s="33"/>
      <c r="WVP113" s="33"/>
      <c r="WVQ113" s="33"/>
      <c r="WVR113" s="33"/>
      <c r="WVS113" s="33"/>
      <c r="WVT113" s="33"/>
      <c r="WVU113" s="33"/>
      <c r="WVV113" s="33"/>
      <c r="WVW113" s="33"/>
      <c r="WVX113" s="33"/>
      <c r="WVY113" s="33"/>
      <c r="WVZ113" s="33"/>
      <c r="WWA113" s="33"/>
      <c r="WWB113" s="33"/>
      <c r="WWC113" s="33"/>
      <c r="WWD113" s="33"/>
      <c r="WWE113" s="33"/>
      <c r="WWF113" s="33"/>
      <c r="WWG113" s="33"/>
      <c r="WWH113" s="33"/>
      <c r="WWI113" s="33"/>
      <c r="WWJ113" s="33"/>
      <c r="WWK113" s="33"/>
      <c r="WWL113" s="33"/>
      <c r="WWM113" s="33"/>
      <c r="WWN113" s="33"/>
      <c r="WWO113" s="33"/>
      <c r="WWP113" s="33"/>
      <c r="WWQ113" s="33"/>
      <c r="WWR113" s="33"/>
      <c r="WWS113" s="33"/>
      <c r="WWT113" s="33"/>
      <c r="WWU113" s="33"/>
      <c r="WWV113" s="33"/>
      <c r="WWW113" s="33"/>
      <c r="WWX113" s="33"/>
      <c r="WWY113" s="33"/>
      <c r="WWZ113" s="33"/>
      <c r="WXA113" s="33"/>
      <c r="WXB113" s="33"/>
      <c r="WXC113" s="33"/>
      <c r="WXD113" s="33"/>
      <c r="WXE113" s="33"/>
      <c r="WXF113" s="33"/>
      <c r="WXG113" s="33"/>
      <c r="WXH113" s="33"/>
      <c r="WXI113" s="33"/>
      <c r="WXJ113" s="33"/>
      <c r="WXK113" s="33"/>
      <c r="WXL113" s="33"/>
      <c r="WXM113" s="33"/>
      <c r="WXN113" s="33"/>
      <c r="WXO113" s="33"/>
      <c r="WXP113" s="33"/>
      <c r="WXQ113" s="33"/>
      <c r="WXR113" s="33"/>
      <c r="WXS113" s="33"/>
      <c r="WXT113" s="33"/>
      <c r="WXU113" s="33"/>
      <c r="WXV113" s="33"/>
      <c r="WXW113" s="33"/>
      <c r="WXX113" s="33"/>
      <c r="WXY113" s="33"/>
      <c r="WXZ113" s="33"/>
      <c r="WYA113" s="33"/>
      <c r="WYB113" s="33"/>
      <c r="WYC113" s="33"/>
      <c r="WYD113" s="33"/>
      <c r="WYE113" s="33"/>
      <c r="WYF113" s="33"/>
      <c r="WYG113" s="33"/>
      <c r="WYH113" s="33"/>
      <c r="WYI113" s="33"/>
      <c r="WYJ113" s="33"/>
      <c r="WYK113" s="33"/>
      <c r="WYL113" s="33"/>
      <c r="WYM113" s="33"/>
      <c r="WYN113" s="33"/>
      <c r="WYO113" s="33"/>
      <c r="WYP113" s="33"/>
      <c r="WYQ113" s="33"/>
      <c r="WYR113" s="33"/>
      <c r="WYS113" s="33"/>
      <c r="WYT113" s="33"/>
      <c r="WYU113" s="33"/>
      <c r="WYV113" s="33"/>
      <c r="WYW113" s="33"/>
      <c r="WYX113" s="33"/>
      <c r="WYY113" s="33"/>
      <c r="WYZ113" s="33"/>
      <c r="WZA113" s="33"/>
      <c r="WZB113" s="33"/>
      <c r="WZC113" s="33"/>
      <c r="WZD113" s="33"/>
      <c r="WZE113" s="33"/>
      <c r="WZF113" s="33"/>
      <c r="WZG113" s="33"/>
      <c r="WZH113" s="33"/>
      <c r="WZI113" s="33"/>
      <c r="WZJ113" s="33"/>
      <c r="WZK113" s="33"/>
      <c r="WZL113" s="33"/>
      <c r="WZM113" s="33"/>
      <c r="WZN113" s="33"/>
      <c r="WZO113" s="33"/>
      <c r="WZP113" s="33"/>
      <c r="WZQ113" s="33"/>
      <c r="WZR113" s="33"/>
      <c r="WZS113" s="33"/>
      <c r="WZT113" s="33"/>
      <c r="WZU113" s="33"/>
      <c r="WZV113" s="33"/>
      <c r="WZW113" s="33"/>
      <c r="WZX113" s="33"/>
      <c r="WZY113" s="33"/>
      <c r="WZZ113" s="33"/>
      <c r="XAA113" s="33"/>
      <c r="XAB113" s="33"/>
      <c r="XAC113" s="33"/>
      <c r="XAD113" s="33"/>
      <c r="XAE113" s="33"/>
      <c r="XAF113" s="33"/>
      <c r="XAG113" s="33"/>
      <c r="XAH113" s="33"/>
      <c r="XAI113" s="33"/>
      <c r="XAJ113" s="33"/>
      <c r="XAK113" s="33"/>
      <c r="XAL113" s="33"/>
      <c r="XAM113" s="33"/>
      <c r="XAN113" s="33"/>
      <c r="XAO113" s="33"/>
      <c r="XAP113" s="33"/>
      <c r="XAQ113" s="33"/>
      <c r="XAR113" s="33"/>
      <c r="XAS113" s="33"/>
      <c r="XAT113" s="33"/>
      <c r="XAU113" s="33"/>
      <c r="XAV113" s="33"/>
      <c r="XAW113" s="33"/>
      <c r="XAX113" s="33"/>
      <c r="XAY113" s="33"/>
      <c r="XAZ113" s="33"/>
      <c r="XBA113" s="33"/>
      <c r="XBB113" s="33"/>
      <c r="XBC113" s="33"/>
      <c r="XBD113" s="33"/>
      <c r="XBE113" s="33"/>
      <c r="XBF113" s="33"/>
      <c r="XBG113" s="33"/>
      <c r="XBH113" s="33"/>
      <c r="XBI113" s="33"/>
      <c r="XBJ113" s="33"/>
      <c r="XBK113" s="33"/>
      <c r="XBL113" s="33"/>
      <c r="XBM113" s="33"/>
      <c r="XBN113" s="33"/>
      <c r="XBO113" s="33"/>
      <c r="XBP113" s="33"/>
      <c r="XBQ113" s="33"/>
      <c r="XBR113" s="33"/>
      <c r="XBS113" s="33"/>
      <c r="XBT113" s="33"/>
      <c r="XBU113" s="33"/>
      <c r="XBV113" s="33"/>
      <c r="XBW113" s="33"/>
      <c r="XBX113" s="33"/>
      <c r="XBY113" s="33"/>
      <c r="XBZ113" s="33"/>
      <c r="XCA113" s="33"/>
      <c r="XCB113" s="33"/>
      <c r="XCC113" s="33"/>
      <c r="XCD113" s="33"/>
      <c r="XCE113" s="33"/>
      <c r="XCF113" s="33"/>
      <c r="XCG113" s="33"/>
      <c r="XCH113" s="33"/>
      <c r="XCI113" s="33"/>
      <c r="XCJ113" s="33"/>
      <c r="XCK113" s="33"/>
      <c r="XCL113" s="33"/>
      <c r="XCM113" s="33"/>
      <c r="XCN113" s="33"/>
      <c r="XCO113" s="33"/>
      <c r="XCP113" s="33"/>
      <c r="XCQ113" s="33"/>
      <c r="XCR113" s="33"/>
      <c r="XCS113" s="33"/>
      <c r="XCT113" s="33"/>
      <c r="XCU113" s="33"/>
      <c r="XCV113" s="33"/>
      <c r="XCW113" s="33"/>
      <c r="XCX113" s="33"/>
      <c r="XCY113" s="33"/>
      <c r="XCZ113" s="33"/>
      <c r="XDA113" s="33"/>
      <c r="XDB113" s="33"/>
      <c r="XDC113" s="33"/>
      <c r="XDD113" s="33"/>
      <c r="XDE113" s="33"/>
      <c r="XDF113" s="33"/>
      <c r="XDG113" s="33"/>
      <c r="XDH113" s="33"/>
      <c r="XDI113" s="33"/>
      <c r="XDJ113" s="33"/>
      <c r="XDK113" s="33"/>
      <c r="XDL113" s="33"/>
      <c r="XDM113" s="33"/>
      <c r="XDN113" s="33"/>
      <c r="XDO113" s="33"/>
      <c r="XDP113" s="33"/>
      <c r="XDQ113" s="33"/>
      <c r="XDR113" s="33"/>
      <c r="XDS113" s="33"/>
      <c r="XDT113" s="33"/>
      <c r="XDU113" s="33"/>
      <c r="XDV113" s="33"/>
      <c r="XDW113" s="33"/>
      <c r="XDX113" s="33"/>
      <c r="XDY113" s="33"/>
      <c r="XDZ113" s="33"/>
      <c r="XEA113" s="33"/>
      <c r="XEB113" s="33"/>
      <c r="XEC113" s="33"/>
      <c r="XED113" s="33"/>
      <c r="XEE113" s="33"/>
      <c r="XEF113" s="33"/>
      <c r="XEG113" s="33"/>
      <c r="XEH113" s="33"/>
      <c r="XEI113" s="33"/>
      <c r="XEJ113" s="33"/>
      <c r="XEK113" s="33"/>
      <c r="XEL113" s="33"/>
      <c r="XEM113" s="33"/>
      <c r="XEN113" s="33"/>
      <c r="XEO113" s="33"/>
      <c r="XEP113" s="33"/>
      <c r="XEQ113" s="33"/>
      <c r="XER113" s="33"/>
      <c r="XES113" s="33"/>
      <c r="XET113" s="33"/>
      <c r="XEU113" s="33"/>
      <c r="XEV113" s="33"/>
      <c r="XEW113" s="33"/>
      <c r="XEX113" s="33"/>
      <c r="XEY113" s="33"/>
      <c r="XEZ113" s="33"/>
    </row>
    <row r="114" spans="1:16380" ht="33" hidden="1" customHeight="1" x14ac:dyDescent="0.25">
      <c r="A114" s="53" t="s">
        <v>177</v>
      </c>
      <c r="B114" s="10" t="s">
        <v>82</v>
      </c>
      <c r="C114" s="31" t="s">
        <v>83</v>
      </c>
      <c r="D114" s="13" t="s">
        <v>182</v>
      </c>
      <c r="E114" s="4"/>
      <c r="F114" s="4"/>
      <c r="G114" s="4"/>
      <c r="H114" s="4"/>
    </row>
    <row r="115" spans="1:16380" ht="12.75" x14ac:dyDescent="0.2"/>
    <row r="116" spans="1:16380" ht="12.75" x14ac:dyDescent="0.2"/>
    <row r="117" spans="1:16380" ht="12.75" x14ac:dyDescent="0.2"/>
    <row r="118" spans="1:16380" ht="12.75" x14ac:dyDescent="0.2"/>
    <row r="119" spans="1:16380" ht="12.75" x14ac:dyDescent="0.2"/>
    <row r="120" spans="1:16380" ht="12.95" customHeight="1" x14ac:dyDescent="0.2"/>
    <row r="121" spans="1:16380" ht="12.95" customHeight="1" x14ac:dyDescent="0.2"/>
    <row r="122" spans="1:16380" ht="12.95" customHeight="1" x14ac:dyDescent="0.2"/>
    <row r="123" spans="1:16380" ht="12.95" customHeight="1" x14ac:dyDescent="0.2"/>
    <row r="124" spans="1:16380" ht="12.95" customHeight="1" x14ac:dyDescent="0.2"/>
    <row r="125" spans="1:16380" ht="12.95" customHeight="1" x14ac:dyDescent="0.2"/>
    <row r="126" spans="1:16380" ht="12.95" customHeight="1" x14ac:dyDescent="0.2"/>
    <row r="127" spans="1:16380" ht="12.95" customHeight="1" x14ac:dyDescent="0.2"/>
    <row r="128" spans="1:16380" ht="12.95" customHeight="1" x14ac:dyDescent="0.2"/>
    <row r="129" ht="12.95" customHeight="1" x14ac:dyDescent="0.2"/>
    <row r="130" ht="12.95" customHeight="1" x14ac:dyDescent="0.2"/>
    <row r="131" ht="12.95" customHeight="1" x14ac:dyDescent="0.2"/>
    <row r="132" ht="12.95" customHeight="1" x14ac:dyDescent="0.2"/>
    <row r="133" ht="12.95" customHeight="1" x14ac:dyDescent="0.2"/>
    <row r="134" ht="12.95" customHeight="1" x14ac:dyDescent="0.2"/>
    <row r="135" ht="12.95" customHeight="1" x14ac:dyDescent="0.2"/>
    <row r="136" ht="12.95" customHeight="1" x14ac:dyDescent="0.2"/>
    <row r="137" ht="12.95" hidden="1" customHeight="1" x14ac:dyDescent="0.2"/>
    <row r="138" ht="12.95" hidden="1" customHeight="1" x14ac:dyDescent="0.2"/>
    <row r="139" ht="12.95" hidden="1" customHeight="1" x14ac:dyDescent="0.2"/>
    <row r="140" ht="12.95" hidden="1" customHeight="1" x14ac:dyDescent="0.2"/>
    <row r="141" ht="12.95" hidden="1" customHeight="1" x14ac:dyDescent="0.2"/>
    <row r="142" ht="12.95" hidden="1" customHeight="1" x14ac:dyDescent="0.2"/>
    <row r="143" ht="12.95" hidden="1" customHeight="1" x14ac:dyDescent="0.2"/>
    <row r="144" ht="12.95" hidden="1" customHeight="1" x14ac:dyDescent="0.2"/>
    <row r="145" ht="12.95" hidden="1" customHeight="1" x14ac:dyDescent="0.2"/>
    <row r="146" ht="12.95" hidden="1" customHeight="1" x14ac:dyDescent="0.2"/>
  </sheetData>
  <mergeCells count="4147">
    <mergeCell ref="C72:C73"/>
    <mergeCell ref="D72:D73"/>
    <mergeCell ref="A76:D76"/>
    <mergeCell ref="A77:D77"/>
    <mergeCell ref="A113:D113"/>
    <mergeCell ref="A105:D105"/>
    <mergeCell ref="A64:D64"/>
    <mergeCell ref="B65:D65"/>
    <mergeCell ref="C66:C67"/>
    <mergeCell ref="D66:D67"/>
    <mergeCell ref="A70:D70"/>
    <mergeCell ref="B71:D71"/>
    <mergeCell ref="C54:C55"/>
    <mergeCell ref="D54:D55"/>
    <mergeCell ref="A58:D58"/>
    <mergeCell ref="B59:D59"/>
    <mergeCell ref="C60:C61"/>
    <mergeCell ref="D60:D61"/>
    <mergeCell ref="A46:D46"/>
    <mergeCell ref="B47:D47"/>
    <mergeCell ref="C48:C49"/>
    <mergeCell ref="D48:D49"/>
    <mergeCell ref="A52:D52"/>
    <mergeCell ref="B53:D53"/>
    <mergeCell ref="C36:C37"/>
    <mergeCell ref="D36:D37"/>
    <mergeCell ref="A40:D40"/>
    <mergeCell ref="B41:D41"/>
    <mergeCell ref="C42:C43"/>
    <mergeCell ref="D42:D43"/>
    <mergeCell ref="A28:D28"/>
    <mergeCell ref="B29:D29"/>
    <mergeCell ref="C30:C31"/>
    <mergeCell ref="D30:D31"/>
    <mergeCell ref="A34:D34"/>
    <mergeCell ref="B35:D35"/>
    <mergeCell ref="B17:D17"/>
    <mergeCell ref="C18:C19"/>
    <mergeCell ref="D18:D19"/>
    <mergeCell ref="A22:D22"/>
    <mergeCell ref="B23:D23"/>
    <mergeCell ref="C24:C25"/>
    <mergeCell ref="D24:D25"/>
    <mergeCell ref="XEG14:XEJ14"/>
    <mergeCell ref="XEK14:XEN14"/>
    <mergeCell ref="XEO14:XER14"/>
    <mergeCell ref="XES14:XEV14"/>
    <mergeCell ref="XEW14:XEZ14"/>
    <mergeCell ref="A16:D16"/>
    <mergeCell ref="XDI14:XDL14"/>
    <mergeCell ref="XDM14:XDP14"/>
    <mergeCell ref="XDQ14:XDT14"/>
    <mergeCell ref="XDU14:XDX14"/>
    <mergeCell ref="XDY14:XEB14"/>
    <mergeCell ref="XEC14:XEF14"/>
    <mergeCell ref="XCK14:XCN14"/>
    <mergeCell ref="XCO14:XCR14"/>
    <mergeCell ref="XCS14:XCV14"/>
    <mergeCell ref="XCW14:XCZ14"/>
    <mergeCell ref="XDA14:XDD14"/>
    <mergeCell ref="XDE14:XDH14"/>
    <mergeCell ref="XBM14:XBP14"/>
    <mergeCell ref="XBQ14:XBT14"/>
    <mergeCell ref="XBU14:XBX14"/>
    <mergeCell ref="XBY14:XCB14"/>
    <mergeCell ref="XCC14:XCF14"/>
    <mergeCell ref="XCG14:XCJ14"/>
    <mergeCell ref="XAO14:XAR14"/>
    <mergeCell ref="XAS14:XAV14"/>
    <mergeCell ref="XAW14:XAZ14"/>
    <mergeCell ref="XBA14:XBD14"/>
    <mergeCell ref="XBE14:XBH14"/>
    <mergeCell ref="XBI14:XBL14"/>
    <mergeCell ref="WZQ14:WZT14"/>
    <mergeCell ref="WZU14:WZX14"/>
    <mergeCell ref="WZY14:XAB14"/>
    <mergeCell ref="XAC14:XAF14"/>
    <mergeCell ref="XAG14:XAJ14"/>
    <mergeCell ref="XAK14:XAN14"/>
    <mergeCell ref="WYS14:WYV14"/>
    <mergeCell ref="WYW14:WYZ14"/>
    <mergeCell ref="WZA14:WZD14"/>
    <mergeCell ref="WZE14:WZH14"/>
    <mergeCell ref="WZI14:WZL14"/>
    <mergeCell ref="WZM14:WZP14"/>
    <mergeCell ref="WXU14:WXX14"/>
    <mergeCell ref="WXY14:WYB14"/>
    <mergeCell ref="WYC14:WYF14"/>
    <mergeCell ref="WYG14:WYJ14"/>
    <mergeCell ref="WYK14:WYN14"/>
    <mergeCell ref="WYO14:WYR14"/>
    <mergeCell ref="WWW14:WWZ14"/>
    <mergeCell ref="WXA14:WXD14"/>
    <mergeCell ref="WXE14:WXH14"/>
    <mergeCell ref="WXI14:WXL14"/>
    <mergeCell ref="WXM14:WXP14"/>
    <mergeCell ref="WXQ14:WXT14"/>
    <mergeCell ref="WVY14:WWB14"/>
    <mergeCell ref="WWC14:WWF14"/>
    <mergeCell ref="WWG14:WWJ14"/>
    <mergeCell ref="WWK14:WWN14"/>
    <mergeCell ref="WWO14:WWR14"/>
    <mergeCell ref="WWS14:WWV14"/>
    <mergeCell ref="WVA14:WVD14"/>
    <mergeCell ref="WVE14:WVH14"/>
    <mergeCell ref="WVI14:WVL14"/>
    <mergeCell ref="WVM14:WVP14"/>
    <mergeCell ref="WVQ14:WVT14"/>
    <mergeCell ref="WVU14:WVX14"/>
    <mergeCell ref="WUC14:WUF14"/>
    <mergeCell ref="WUG14:WUJ14"/>
    <mergeCell ref="WUK14:WUN14"/>
    <mergeCell ref="WUO14:WUR14"/>
    <mergeCell ref="WUS14:WUV14"/>
    <mergeCell ref="WUW14:WUZ14"/>
    <mergeCell ref="WTE14:WTH14"/>
    <mergeCell ref="WTI14:WTL14"/>
    <mergeCell ref="WTM14:WTP14"/>
    <mergeCell ref="WTQ14:WTT14"/>
    <mergeCell ref="WTU14:WTX14"/>
    <mergeCell ref="WTY14:WUB14"/>
    <mergeCell ref="WSG14:WSJ14"/>
    <mergeCell ref="WSK14:WSN14"/>
    <mergeCell ref="WSO14:WSR14"/>
    <mergeCell ref="WSS14:WSV14"/>
    <mergeCell ref="WSW14:WSZ14"/>
    <mergeCell ref="WTA14:WTD14"/>
    <mergeCell ref="WRI14:WRL14"/>
    <mergeCell ref="WRM14:WRP14"/>
    <mergeCell ref="WRQ14:WRT14"/>
    <mergeCell ref="WRU14:WRX14"/>
    <mergeCell ref="WRY14:WSB14"/>
    <mergeCell ref="WSC14:WSF14"/>
    <mergeCell ref="WQK14:WQN14"/>
    <mergeCell ref="WQO14:WQR14"/>
    <mergeCell ref="WQS14:WQV14"/>
    <mergeCell ref="WQW14:WQZ14"/>
    <mergeCell ref="WRA14:WRD14"/>
    <mergeCell ref="WRE14:WRH14"/>
    <mergeCell ref="WPM14:WPP14"/>
    <mergeCell ref="WPQ14:WPT14"/>
    <mergeCell ref="WPU14:WPX14"/>
    <mergeCell ref="WPY14:WQB14"/>
    <mergeCell ref="WQC14:WQF14"/>
    <mergeCell ref="WQG14:WQJ14"/>
    <mergeCell ref="WOO14:WOR14"/>
    <mergeCell ref="WOS14:WOV14"/>
    <mergeCell ref="WOW14:WOZ14"/>
    <mergeCell ref="WPA14:WPD14"/>
    <mergeCell ref="WPE14:WPH14"/>
    <mergeCell ref="WPI14:WPL14"/>
    <mergeCell ref="WNQ14:WNT14"/>
    <mergeCell ref="WNU14:WNX14"/>
    <mergeCell ref="WNY14:WOB14"/>
    <mergeCell ref="WOC14:WOF14"/>
    <mergeCell ref="WOG14:WOJ14"/>
    <mergeCell ref="WOK14:WON14"/>
    <mergeCell ref="WMS14:WMV14"/>
    <mergeCell ref="WMW14:WMZ14"/>
    <mergeCell ref="WNA14:WND14"/>
    <mergeCell ref="WNE14:WNH14"/>
    <mergeCell ref="WNI14:WNL14"/>
    <mergeCell ref="WNM14:WNP14"/>
    <mergeCell ref="WLU14:WLX14"/>
    <mergeCell ref="WLY14:WMB14"/>
    <mergeCell ref="WMC14:WMF14"/>
    <mergeCell ref="WMG14:WMJ14"/>
    <mergeCell ref="WMK14:WMN14"/>
    <mergeCell ref="WMO14:WMR14"/>
    <mergeCell ref="WKW14:WKZ14"/>
    <mergeCell ref="WLA14:WLD14"/>
    <mergeCell ref="WLE14:WLH14"/>
    <mergeCell ref="WLI14:WLL14"/>
    <mergeCell ref="WLM14:WLP14"/>
    <mergeCell ref="WLQ14:WLT14"/>
    <mergeCell ref="WJY14:WKB14"/>
    <mergeCell ref="WKC14:WKF14"/>
    <mergeCell ref="WKG14:WKJ14"/>
    <mergeCell ref="WKK14:WKN14"/>
    <mergeCell ref="WKO14:WKR14"/>
    <mergeCell ref="WKS14:WKV14"/>
    <mergeCell ref="WJA14:WJD14"/>
    <mergeCell ref="WJE14:WJH14"/>
    <mergeCell ref="WJI14:WJL14"/>
    <mergeCell ref="WJM14:WJP14"/>
    <mergeCell ref="WJQ14:WJT14"/>
    <mergeCell ref="WJU14:WJX14"/>
    <mergeCell ref="WIC14:WIF14"/>
    <mergeCell ref="WIG14:WIJ14"/>
    <mergeCell ref="WIK14:WIN14"/>
    <mergeCell ref="WIO14:WIR14"/>
    <mergeCell ref="WIS14:WIV14"/>
    <mergeCell ref="WIW14:WIZ14"/>
    <mergeCell ref="WHE14:WHH14"/>
    <mergeCell ref="WHI14:WHL14"/>
    <mergeCell ref="WHM14:WHP14"/>
    <mergeCell ref="WHQ14:WHT14"/>
    <mergeCell ref="WHU14:WHX14"/>
    <mergeCell ref="WHY14:WIB14"/>
    <mergeCell ref="WGG14:WGJ14"/>
    <mergeCell ref="WGK14:WGN14"/>
    <mergeCell ref="WGO14:WGR14"/>
    <mergeCell ref="WGS14:WGV14"/>
    <mergeCell ref="WGW14:WGZ14"/>
    <mergeCell ref="WHA14:WHD14"/>
    <mergeCell ref="WFI14:WFL14"/>
    <mergeCell ref="WFM14:WFP14"/>
    <mergeCell ref="WFQ14:WFT14"/>
    <mergeCell ref="WFU14:WFX14"/>
    <mergeCell ref="WFY14:WGB14"/>
    <mergeCell ref="WGC14:WGF14"/>
    <mergeCell ref="WEK14:WEN14"/>
    <mergeCell ref="WEO14:WER14"/>
    <mergeCell ref="WES14:WEV14"/>
    <mergeCell ref="WEW14:WEZ14"/>
    <mergeCell ref="WFA14:WFD14"/>
    <mergeCell ref="WFE14:WFH14"/>
    <mergeCell ref="WDM14:WDP14"/>
    <mergeCell ref="WDQ14:WDT14"/>
    <mergeCell ref="WDU14:WDX14"/>
    <mergeCell ref="WDY14:WEB14"/>
    <mergeCell ref="WEC14:WEF14"/>
    <mergeCell ref="WEG14:WEJ14"/>
    <mergeCell ref="WCO14:WCR14"/>
    <mergeCell ref="WCS14:WCV14"/>
    <mergeCell ref="WCW14:WCZ14"/>
    <mergeCell ref="WDA14:WDD14"/>
    <mergeCell ref="WDE14:WDH14"/>
    <mergeCell ref="WDI14:WDL14"/>
    <mergeCell ref="WBQ14:WBT14"/>
    <mergeCell ref="WBU14:WBX14"/>
    <mergeCell ref="WBY14:WCB14"/>
    <mergeCell ref="WCC14:WCF14"/>
    <mergeCell ref="WCG14:WCJ14"/>
    <mergeCell ref="WCK14:WCN14"/>
    <mergeCell ref="WAS14:WAV14"/>
    <mergeCell ref="WAW14:WAZ14"/>
    <mergeCell ref="WBA14:WBD14"/>
    <mergeCell ref="WBE14:WBH14"/>
    <mergeCell ref="WBI14:WBL14"/>
    <mergeCell ref="WBM14:WBP14"/>
    <mergeCell ref="VZU14:VZX14"/>
    <mergeCell ref="VZY14:WAB14"/>
    <mergeCell ref="WAC14:WAF14"/>
    <mergeCell ref="WAG14:WAJ14"/>
    <mergeCell ref="WAK14:WAN14"/>
    <mergeCell ref="WAO14:WAR14"/>
    <mergeCell ref="VYW14:VYZ14"/>
    <mergeCell ref="VZA14:VZD14"/>
    <mergeCell ref="VZE14:VZH14"/>
    <mergeCell ref="VZI14:VZL14"/>
    <mergeCell ref="VZM14:VZP14"/>
    <mergeCell ref="VZQ14:VZT14"/>
    <mergeCell ref="VXY14:VYB14"/>
    <mergeCell ref="VYC14:VYF14"/>
    <mergeCell ref="VYG14:VYJ14"/>
    <mergeCell ref="VYK14:VYN14"/>
    <mergeCell ref="VYO14:VYR14"/>
    <mergeCell ref="VYS14:VYV14"/>
    <mergeCell ref="VXA14:VXD14"/>
    <mergeCell ref="VXE14:VXH14"/>
    <mergeCell ref="VXI14:VXL14"/>
    <mergeCell ref="VXM14:VXP14"/>
    <mergeCell ref="VXQ14:VXT14"/>
    <mergeCell ref="VXU14:VXX14"/>
    <mergeCell ref="VWC14:VWF14"/>
    <mergeCell ref="VWG14:VWJ14"/>
    <mergeCell ref="VWK14:VWN14"/>
    <mergeCell ref="VWO14:VWR14"/>
    <mergeCell ref="VWS14:VWV14"/>
    <mergeCell ref="VWW14:VWZ14"/>
    <mergeCell ref="VVE14:VVH14"/>
    <mergeCell ref="VVI14:VVL14"/>
    <mergeCell ref="VVM14:VVP14"/>
    <mergeCell ref="VVQ14:VVT14"/>
    <mergeCell ref="VVU14:VVX14"/>
    <mergeCell ref="VVY14:VWB14"/>
    <mergeCell ref="VUG14:VUJ14"/>
    <mergeCell ref="VUK14:VUN14"/>
    <mergeCell ref="VUO14:VUR14"/>
    <mergeCell ref="VUS14:VUV14"/>
    <mergeCell ref="VUW14:VUZ14"/>
    <mergeCell ref="VVA14:VVD14"/>
    <mergeCell ref="VTI14:VTL14"/>
    <mergeCell ref="VTM14:VTP14"/>
    <mergeCell ref="VTQ14:VTT14"/>
    <mergeCell ref="VTU14:VTX14"/>
    <mergeCell ref="VTY14:VUB14"/>
    <mergeCell ref="VUC14:VUF14"/>
    <mergeCell ref="VSK14:VSN14"/>
    <mergeCell ref="VSO14:VSR14"/>
    <mergeCell ref="VSS14:VSV14"/>
    <mergeCell ref="VSW14:VSZ14"/>
    <mergeCell ref="VTA14:VTD14"/>
    <mergeCell ref="VTE14:VTH14"/>
    <mergeCell ref="VRM14:VRP14"/>
    <mergeCell ref="VRQ14:VRT14"/>
    <mergeCell ref="VRU14:VRX14"/>
    <mergeCell ref="VRY14:VSB14"/>
    <mergeCell ref="VSC14:VSF14"/>
    <mergeCell ref="VSG14:VSJ14"/>
    <mergeCell ref="VQO14:VQR14"/>
    <mergeCell ref="VQS14:VQV14"/>
    <mergeCell ref="VQW14:VQZ14"/>
    <mergeCell ref="VRA14:VRD14"/>
    <mergeCell ref="VRE14:VRH14"/>
    <mergeCell ref="VRI14:VRL14"/>
    <mergeCell ref="VPQ14:VPT14"/>
    <mergeCell ref="VPU14:VPX14"/>
    <mergeCell ref="VPY14:VQB14"/>
    <mergeCell ref="VQC14:VQF14"/>
    <mergeCell ref="VQG14:VQJ14"/>
    <mergeCell ref="VQK14:VQN14"/>
    <mergeCell ref="VOS14:VOV14"/>
    <mergeCell ref="VOW14:VOZ14"/>
    <mergeCell ref="VPA14:VPD14"/>
    <mergeCell ref="VPE14:VPH14"/>
    <mergeCell ref="VPI14:VPL14"/>
    <mergeCell ref="VPM14:VPP14"/>
    <mergeCell ref="VNU14:VNX14"/>
    <mergeCell ref="VNY14:VOB14"/>
    <mergeCell ref="VOC14:VOF14"/>
    <mergeCell ref="VOG14:VOJ14"/>
    <mergeCell ref="VOK14:VON14"/>
    <mergeCell ref="VOO14:VOR14"/>
    <mergeCell ref="VMW14:VMZ14"/>
    <mergeCell ref="VNA14:VND14"/>
    <mergeCell ref="VNE14:VNH14"/>
    <mergeCell ref="VNI14:VNL14"/>
    <mergeCell ref="VNM14:VNP14"/>
    <mergeCell ref="VNQ14:VNT14"/>
    <mergeCell ref="VLY14:VMB14"/>
    <mergeCell ref="VMC14:VMF14"/>
    <mergeCell ref="VMG14:VMJ14"/>
    <mergeCell ref="VMK14:VMN14"/>
    <mergeCell ref="VMO14:VMR14"/>
    <mergeCell ref="VMS14:VMV14"/>
    <mergeCell ref="VLA14:VLD14"/>
    <mergeCell ref="VLE14:VLH14"/>
    <mergeCell ref="VLI14:VLL14"/>
    <mergeCell ref="VLM14:VLP14"/>
    <mergeCell ref="VLQ14:VLT14"/>
    <mergeCell ref="VLU14:VLX14"/>
    <mergeCell ref="VKC14:VKF14"/>
    <mergeCell ref="VKG14:VKJ14"/>
    <mergeCell ref="VKK14:VKN14"/>
    <mergeCell ref="VKO14:VKR14"/>
    <mergeCell ref="VKS14:VKV14"/>
    <mergeCell ref="VKW14:VKZ14"/>
    <mergeCell ref="VJE14:VJH14"/>
    <mergeCell ref="VJI14:VJL14"/>
    <mergeCell ref="VJM14:VJP14"/>
    <mergeCell ref="VJQ14:VJT14"/>
    <mergeCell ref="VJU14:VJX14"/>
    <mergeCell ref="VJY14:VKB14"/>
    <mergeCell ref="VIG14:VIJ14"/>
    <mergeCell ref="VIK14:VIN14"/>
    <mergeCell ref="VIO14:VIR14"/>
    <mergeCell ref="VIS14:VIV14"/>
    <mergeCell ref="VIW14:VIZ14"/>
    <mergeCell ref="VJA14:VJD14"/>
    <mergeCell ref="VHI14:VHL14"/>
    <mergeCell ref="VHM14:VHP14"/>
    <mergeCell ref="VHQ14:VHT14"/>
    <mergeCell ref="VHU14:VHX14"/>
    <mergeCell ref="VHY14:VIB14"/>
    <mergeCell ref="VIC14:VIF14"/>
    <mergeCell ref="VGK14:VGN14"/>
    <mergeCell ref="VGO14:VGR14"/>
    <mergeCell ref="VGS14:VGV14"/>
    <mergeCell ref="VGW14:VGZ14"/>
    <mergeCell ref="VHA14:VHD14"/>
    <mergeCell ref="VHE14:VHH14"/>
    <mergeCell ref="VFM14:VFP14"/>
    <mergeCell ref="VFQ14:VFT14"/>
    <mergeCell ref="VFU14:VFX14"/>
    <mergeCell ref="VFY14:VGB14"/>
    <mergeCell ref="VGC14:VGF14"/>
    <mergeCell ref="VGG14:VGJ14"/>
    <mergeCell ref="VEO14:VER14"/>
    <mergeCell ref="VES14:VEV14"/>
    <mergeCell ref="VEW14:VEZ14"/>
    <mergeCell ref="VFA14:VFD14"/>
    <mergeCell ref="VFE14:VFH14"/>
    <mergeCell ref="VFI14:VFL14"/>
    <mergeCell ref="VDQ14:VDT14"/>
    <mergeCell ref="VDU14:VDX14"/>
    <mergeCell ref="VDY14:VEB14"/>
    <mergeCell ref="VEC14:VEF14"/>
    <mergeCell ref="VEG14:VEJ14"/>
    <mergeCell ref="VEK14:VEN14"/>
    <mergeCell ref="VCS14:VCV14"/>
    <mergeCell ref="VCW14:VCZ14"/>
    <mergeCell ref="VDA14:VDD14"/>
    <mergeCell ref="VDE14:VDH14"/>
    <mergeCell ref="VDI14:VDL14"/>
    <mergeCell ref="VDM14:VDP14"/>
    <mergeCell ref="VBU14:VBX14"/>
    <mergeCell ref="VBY14:VCB14"/>
    <mergeCell ref="VCC14:VCF14"/>
    <mergeCell ref="VCG14:VCJ14"/>
    <mergeCell ref="VCK14:VCN14"/>
    <mergeCell ref="VCO14:VCR14"/>
    <mergeCell ref="VAW14:VAZ14"/>
    <mergeCell ref="VBA14:VBD14"/>
    <mergeCell ref="VBE14:VBH14"/>
    <mergeCell ref="VBI14:VBL14"/>
    <mergeCell ref="VBM14:VBP14"/>
    <mergeCell ref="VBQ14:VBT14"/>
    <mergeCell ref="UZY14:VAB14"/>
    <mergeCell ref="VAC14:VAF14"/>
    <mergeCell ref="VAG14:VAJ14"/>
    <mergeCell ref="VAK14:VAN14"/>
    <mergeCell ref="VAO14:VAR14"/>
    <mergeCell ref="VAS14:VAV14"/>
    <mergeCell ref="UZA14:UZD14"/>
    <mergeCell ref="UZE14:UZH14"/>
    <mergeCell ref="UZI14:UZL14"/>
    <mergeCell ref="UZM14:UZP14"/>
    <mergeCell ref="UZQ14:UZT14"/>
    <mergeCell ref="UZU14:UZX14"/>
    <mergeCell ref="UYC14:UYF14"/>
    <mergeCell ref="UYG14:UYJ14"/>
    <mergeCell ref="UYK14:UYN14"/>
    <mergeCell ref="UYO14:UYR14"/>
    <mergeCell ref="UYS14:UYV14"/>
    <mergeCell ref="UYW14:UYZ14"/>
    <mergeCell ref="UXE14:UXH14"/>
    <mergeCell ref="UXI14:UXL14"/>
    <mergeCell ref="UXM14:UXP14"/>
    <mergeCell ref="UXQ14:UXT14"/>
    <mergeCell ref="UXU14:UXX14"/>
    <mergeCell ref="UXY14:UYB14"/>
    <mergeCell ref="UWG14:UWJ14"/>
    <mergeCell ref="UWK14:UWN14"/>
    <mergeCell ref="UWO14:UWR14"/>
    <mergeCell ref="UWS14:UWV14"/>
    <mergeCell ref="UWW14:UWZ14"/>
    <mergeCell ref="UXA14:UXD14"/>
    <mergeCell ref="UVI14:UVL14"/>
    <mergeCell ref="UVM14:UVP14"/>
    <mergeCell ref="UVQ14:UVT14"/>
    <mergeCell ref="UVU14:UVX14"/>
    <mergeCell ref="UVY14:UWB14"/>
    <mergeCell ref="UWC14:UWF14"/>
    <mergeCell ref="UUK14:UUN14"/>
    <mergeCell ref="UUO14:UUR14"/>
    <mergeCell ref="UUS14:UUV14"/>
    <mergeCell ref="UUW14:UUZ14"/>
    <mergeCell ref="UVA14:UVD14"/>
    <mergeCell ref="UVE14:UVH14"/>
    <mergeCell ref="UTM14:UTP14"/>
    <mergeCell ref="UTQ14:UTT14"/>
    <mergeCell ref="UTU14:UTX14"/>
    <mergeCell ref="UTY14:UUB14"/>
    <mergeCell ref="UUC14:UUF14"/>
    <mergeCell ref="UUG14:UUJ14"/>
    <mergeCell ref="USO14:USR14"/>
    <mergeCell ref="USS14:USV14"/>
    <mergeCell ref="USW14:USZ14"/>
    <mergeCell ref="UTA14:UTD14"/>
    <mergeCell ref="UTE14:UTH14"/>
    <mergeCell ref="UTI14:UTL14"/>
    <mergeCell ref="URQ14:URT14"/>
    <mergeCell ref="URU14:URX14"/>
    <mergeCell ref="URY14:USB14"/>
    <mergeCell ref="USC14:USF14"/>
    <mergeCell ref="USG14:USJ14"/>
    <mergeCell ref="USK14:USN14"/>
    <mergeCell ref="UQS14:UQV14"/>
    <mergeCell ref="UQW14:UQZ14"/>
    <mergeCell ref="URA14:URD14"/>
    <mergeCell ref="URE14:URH14"/>
    <mergeCell ref="URI14:URL14"/>
    <mergeCell ref="URM14:URP14"/>
    <mergeCell ref="UPU14:UPX14"/>
    <mergeCell ref="UPY14:UQB14"/>
    <mergeCell ref="UQC14:UQF14"/>
    <mergeCell ref="UQG14:UQJ14"/>
    <mergeCell ref="UQK14:UQN14"/>
    <mergeCell ref="UQO14:UQR14"/>
    <mergeCell ref="UOW14:UOZ14"/>
    <mergeCell ref="UPA14:UPD14"/>
    <mergeCell ref="UPE14:UPH14"/>
    <mergeCell ref="UPI14:UPL14"/>
    <mergeCell ref="UPM14:UPP14"/>
    <mergeCell ref="UPQ14:UPT14"/>
    <mergeCell ref="UNY14:UOB14"/>
    <mergeCell ref="UOC14:UOF14"/>
    <mergeCell ref="UOG14:UOJ14"/>
    <mergeCell ref="UOK14:UON14"/>
    <mergeCell ref="UOO14:UOR14"/>
    <mergeCell ref="UOS14:UOV14"/>
    <mergeCell ref="UNA14:UND14"/>
    <mergeCell ref="UNE14:UNH14"/>
    <mergeCell ref="UNI14:UNL14"/>
    <mergeCell ref="UNM14:UNP14"/>
    <mergeCell ref="UNQ14:UNT14"/>
    <mergeCell ref="UNU14:UNX14"/>
    <mergeCell ref="UMC14:UMF14"/>
    <mergeCell ref="UMG14:UMJ14"/>
    <mergeCell ref="UMK14:UMN14"/>
    <mergeCell ref="UMO14:UMR14"/>
    <mergeCell ref="UMS14:UMV14"/>
    <mergeCell ref="UMW14:UMZ14"/>
    <mergeCell ref="ULE14:ULH14"/>
    <mergeCell ref="ULI14:ULL14"/>
    <mergeCell ref="ULM14:ULP14"/>
    <mergeCell ref="ULQ14:ULT14"/>
    <mergeCell ref="ULU14:ULX14"/>
    <mergeCell ref="ULY14:UMB14"/>
    <mergeCell ref="UKG14:UKJ14"/>
    <mergeCell ref="UKK14:UKN14"/>
    <mergeCell ref="UKO14:UKR14"/>
    <mergeCell ref="UKS14:UKV14"/>
    <mergeCell ref="UKW14:UKZ14"/>
    <mergeCell ref="ULA14:ULD14"/>
    <mergeCell ref="UJI14:UJL14"/>
    <mergeCell ref="UJM14:UJP14"/>
    <mergeCell ref="UJQ14:UJT14"/>
    <mergeCell ref="UJU14:UJX14"/>
    <mergeCell ref="UJY14:UKB14"/>
    <mergeCell ref="UKC14:UKF14"/>
    <mergeCell ref="UIK14:UIN14"/>
    <mergeCell ref="UIO14:UIR14"/>
    <mergeCell ref="UIS14:UIV14"/>
    <mergeCell ref="UIW14:UIZ14"/>
    <mergeCell ref="UJA14:UJD14"/>
    <mergeCell ref="UJE14:UJH14"/>
    <mergeCell ref="UHM14:UHP14"/>
    <mergeCell ref="UHQ14:UHT14"/>
    <mergeCell ref="UHU14:UHX14"/>
    <mergeCell ref="UHY14:UIB14"/>
    <mergeCell ref="UIC14:UIF14"/>
    <mergeCell ref="UIG14:UIJ14"/>
    <mergeCell ref="UGO14:UGR14"/>
    <mergeCell ref="UGS14:UGV14"/>
    <mergeCell ref="UGW14:UGZ14"/>
    <mergeCell ref="UHA14:UHD14"/>
    <mergeCell ref="UHE14:UHH14"/>
    <mergeCell ref="UHI14:UHL14"/>
    <mergeCell ref="UFQ14:UFT14"/>
    <mergeCell ref="UFU14:UFX14"/>
    <mergeCell ref="UFY14:UGB14"/>
    <mergeCell ref="UGC14:UGF14"/>
    <mergeCell ref="UGG14:UGJ14"/>
    <mergeCell ref="UGK14:UGN14"/>
    <mergeCell ref="UES14:UEV14"/>
    <mergeCell ref="UEW14:UEZ14"/>
    <mergeCell ref="UFA14:UFD14"/>
    <mergeCell ref="UFE14:UFH14"/>
    <mergeCell ref="UFI14:UFL14"/>
    <mergeCell ref="UFM14:UFP14"/>
    <mergeCell ref="UDU14:UDX14"/>
    <mergeCell ref="UDY14:UEB14"/>
    <mergeCell ref="UEC14:UEF14"/>
    <mergeCell ref="UEG14:UEJ14"/>
    <mergeCell ref="UEK14:UEN14"/>
    <mergeCell ref="UEO14:UER14"/>
    <mergeCell ref="UCW14:UCZ14"/>
    <mergeCell ref="UDA14:UDD14"/>
    <mergeCell ref="UDE14:UDH14"/>
    <mergeCell ref="UDI14:UDL14"/>
    <mergeCell ref="UDM14:UDP14"/>
    <mergeCell ref="UDQ14:UDT14"/>
    <mergeCell ref="UBY14:UCB14"/>
    <mergeCell ref="UCC14:UCF14"/>
    <mergeCell ref="UCG14:UCJ14"/>
    <mergeCell ref="UCK14:UCN14"/>
    <mergeCell ref="UCO14:UCR14"/>
    <mergeCell ref="UCS14:UCV14"/>
    <mergeCell ref="UBA14:UBD14"/>
    <mergeCell ref="UBE14:UBH14"/>
    <mergeCell ref="UBI14:UBL14"/>
    <mergeCell ref="UBM14:UBP14"/>
    <mergeCell ref="UBQ14:UBT14"/>
    <mergeCell ref="UBU14:UBX14"/>
    <mergeCell ref="UAC14:UAF14"/>
    <mergeCell ref="UAG14:UAJ14"/>
    <mergeCell ref="UAK14:UAN14"/>
    <mergeCell ref="UAO14:UAR14"/>
    <mergeCell ref="UAS14:UAV14"/>
    <mergeCell ref="UAW14:UAZ14"/>
    <mergeCell ref="TZE14:TZH14"/>
    <mergeCell ref="TZI14:TZL14"/>
    <mergeCell ref="TZM14:TZP14"/>
    <mergeCell ref="TZQ14:TZT14"/>
    <mergeCell ref="TZU14:TZX14"/>
    <mergeCell ref="TZY14:UAB14"/>
    <mergeCell ref="TYG14:TYJ14"/>
    <mergeCell ref="TYK14:TYN14"/>
    <mergeCell ref="TYO14:TYR14"/>
    <mergeCell ref="TYS14:TYV14"/>
    <mergeCell ref="TYW14:TYZ14"/>
    <mergeCell ref="TZA14:TZD14"/>
    <mergeCell ref="TXI14:TXL14"/>
    <mergeCell ref="TXM14:TXP14"/>
    <mergeCell ref="TXQ14:TXT14"/>
    <mergeCell ref="TXU14:TXX14"/>
    <mergeCell ref="TXY14:TYB14"/>
    <mergeCell ref="TYC14:TYF14"/>
    <mergeCell ref="TWK14:TWN14"/>
    <mergeCell ref="TWO14:TWR14"/>
    <mergeCell ref="TWS14:TWV14"/>
    <mergeCell ref="TWW14:TWZ14"/>
    <mergeCell ref="TXA14:TXD14"/>
    <mergeCell ref="TXE14:TXH14"/>
    <mergeCell ref="TVM14:TVP14"/>
    <mergeCell ref="TVQ14:TVT14"/>
    <mergeCell ref="TVU14:TVX14"/>
    <mergeCell ref="TVY14:TWB14"/>
    <mergeCell ref="TWC14:TWF14"/>
    <mergeCell ref="TWG14:TWJ14"/>
    <mergeCell ref="TUO14:TUR14"/>
    <mergeCell ref="TUS14:TUV14"/>
    <mergeCell ref="TUW14:TUZ14"/>
    <mergeCell ref="TVA14:TVD14"/>
    <mergeCell ref="TVE14:TVH14"/>
    <mergeCell ref="TVI14:TVL14"/>
    <mergeCell ref="TTQ14:TTT14"/>
    <mergeCell ref="TTU14:TTX14"/>
    <mergeCell ref="TTY14:TUB14"/>
    <mergeCell ref="TUC14:TUF14"/>
    <mergeCell ref="TUG14:TUJ14"/>
    <mergeCell ref="TUK14:TUN14"/>
    <mergeCell ref="TSS14:TSV14"/>
    <mergeCell ref="TSW14:TSZ14"/>
    <mergeCell ref="TTA14:TTD14"/>
    <mergeCell ref="TTE14:TTH14"/>
    <mergeCell ref="TTI14:TTL14"/>
    <mergeCell ref="TTM14:TTP14"/>
    <mergeCell ref="TRU14:TRX14"/>
    <mergeCell ref="TRY14:TSB14"/>
    <mergeCell ref="TSC14:TSF14"/>
    <mergeCell ref="TSG14:TSJ14"/>
    <mergeCell ref="TSK14:TSN14"/>
    <mergeCell ref="TSO14:TSR14"/>
    <mergeCell ref="TQW14:TQZ14"/>
    <mergeCell ref="TRA14:TRD14"/>
    <mergeCell ref="TRE14:TRH14"/>
    <mergeCell ref="TRI14:TRL14"/>
    <mergeCell ref="TRM14:TRP14"/>
    <mergeCell ref="TRQ14:TRT14"/>
    <mergeCell ref="TPY14:TQB14"/>
    <mergeCell ref="TQC14:TQF14"/>
    <mergeCell ref="TQG14:TQJ14"/>
    <mergeCell ref="TQK14:TQN14"/>
    <mergeCell ref="TQO14:TQR14"/>
    <mergeCell ref="TQS14:TQV14"/>
    <mergeCell ref="TPA14:TPD14"/>
    <mergeCell ref="TPE14:TPH14"/>
    <mergeCell ref="TPI14:TPL14"/>
    <mergeCell ref="TPM14:TPP14"/>
    <mergeCell ref="TPQ14:TPT14"/>
    <mergeCell ref="TPU14:TPX14"/>
    <mergeCell ref="TOC14:TOF14"/>
    <mergeCell ref="TOG14:TOJ14"/>
    <mergeCell ref="TOK14:TON14"/>
    <mergeCell ref="TOO14:TOR14"/>
    <mergeCell ref="TOS14:TOV14"/>
    <mergeCell ref="TOW14:TOZ14"/>
    <mergeCell ref="TNE14:TNH14"/>
    <mergeCell ref="TNI14:TNL14"/>
    <mergeCell ref="TNM14:TNP14"/>
    <mergeCell ref="TNQ14:TNT14"/>
    <mergeCell ref="TNU14:TNX14"/>
    <mergeCell ref="TNY14:TOB14"/>
    <mergeCell ref="TMG14:TMJ14"/>
    <mergeCell ref="TMK14:TMN14"/>
    <mergeCell ref="TMO14:TMR14"/>
    <mergeCell ref="TMS14:TMV14"/>
    <mergeCell ref="TMW14:TMZ14"/>
    <mergeCell ref="TNA14:TND14"/>
    <mergeCell ref="TLI14:TLL14"/>
    <mergeCell ref="TLM14:TLP14"/>
    <mergeCell ref="TLQ14:TLT14"/>
    <mergeCell ref="TLU14:TLX14"/>
    <mergeCell ref="TLY14:TMB14"/>
    <mergeCell ref="TMC14:TMF14"/>
    <mergeCell ref="TKK14:TKN14"/>
    <mergeCell ref="TKO14:TKR14"/>
    <mergeCell ref="TKS14:TKV14"/>
    <mergeCell ref="TKW14:TKZ14"/>
    <mergeCell ref="TLA14:TLD14"/>
    <mergeCell ref="TLE14:TLH14"/>
    <mergeCell ref="TJM14:TJP14"/>
    <mergeCell ref="TJQ14:TJT14"/>
    <mergeCell ref="TJU14:TJX14"/>
    <mergeCell ref="TJY14:TKB14"/>
    <mergeCell ref="TKC14:TKF14"/>
    <mergeCell ref="TKG14:TKJ14"/>
    <mergeCell ref="TIO14:TIR14"/>
    <mergeCell ref="TIS14:TIV14"/>
    <mergeCell ref="TIW14:TIZ14"/>
    <mergeCell ref="TJA14:TJD14"/>
    <mergeCell ref="TJE14:TJH14"/>
    <mergeCell ref="TJI14:TJL14"/>
    <mergeCell ref="THQ14:THT14"/>
    <mergeCell ref="THU14:THX14"/>
    <mergeCell ref="THY14:TIB14"/>
    <mergeCell ref="TIC14:TIF14"/>
    <mergeCell ref="TIG14:TIJ14"/>
    <mergeCell ref="TIK14:TIN14"/>
    <mergeCell ref="TGS14:TGV14"/>
    <mergeCell ref="TGW14:TGZ14"/>
    <mergeCell ref="THA14:THD14"/>
    <mergeCell ref="THE14:THH14"/>
    <mergeCell ref="THI14:THL14"/>
    <mergeCell ref="THM14:THP14"/>
    <mergeCell ref="TFU14:TFX14"/>
    <mergeCell ref="TFY14:TGB14"/>
    <mergeCell ref="TGC14:TGF14"/>
    <mergeCell ref="TGG14:TGJ14"/>
    <mergeCell ref="TGK14:TGN14"/>
    <mergeCell ref="TGO14:TGR14"/>
    <mergeCell ref="TEW14:TEZ14"/>
    <mergeCell ref="TFA14:TFD14"/>
    <mergeCell ref="TFE14:TFH14"/>
    <mergeCell ref="TFI14:TFL14"/>
    <mergeCell ref="TFM14:TFP14"/>
    <mergeCell ref="TFQ14:TFT14"/>
    <mergeCell ref="TDY14:TEB14"/>
    <mergeCell ref="TEC14:TEF14"/>
    <mergeCell ref="TEG14:TEJ14"/>
    <mergeCell ref="TEK14:TEN14"/>
    <mergeCell ref="TEO14:TER14"/>
    <mergeCell ref="TES14:TEV14"/>
    <mergeCell ref="TDA14:TDD14"/>
    <mergeCell ref="TDE14:TDH14"/>
    <mergeCell ref="TDI14:TDL14"/>
    <mergeCell ref="TDM14:TDP14"/>
    <mergeCell ref="TDQ14:TDT14"/>
    <mergeCell ref="TDU14:TDX14"/>
    <mergeCell ref="TCC14:TCF14"/>
    <mergeCell ref="TCG14:TCJ14"/>
    <mergeCell ref="TCK14:TCN14"/>
    <mergeCell ref="TCO14:TCR14"/>
    <mergeCell ref="TCS14:TCV14"/>
    <mergeCell ref="TCW14:TCZ14"/>
    <mergeCell ref="TBE14:TBH14"/>
    <mergeCell ref="TBI14:TBL14"/>
    <mergeCell ref="TBM14:TBP14"/>
    <mergeCell ref="TBQ14:TBT14"/>
    <mergeCell ref="TBU14:TBX14"/>
    <mergeCell ref="TBY14:TCB14"/>
    <mergeCell ref="TAG14:TAJ14"/>
    <mergeCell ref="TAK14:TAN14"/>
    <mergeCell ref="TAO14:TAR14"/>
    <mergeCell ref="TAS14:TAV14"/>
    <mergeCell ref="TAW14:TAZ14"/>
    <mergeCell ref="TBA14:TBD14"/>
    <mergeCell ref="SZI14:SZL14"/>
    <mergeCell ref="SZM14:SZP14"/>
    <mergeCell ref="SZQ14:SZT14"/>
    <mergeCell ref="SZU14:SZX14"/>
    <mergeCell ref="SZY14:TAB14"/>
    <mergeCell ref="TAC14:TAF14"/>
    <mergeCell ref="SYK14:SYN14"/>
    <mergeCell ref="SYO14:SYR14"/>
    <mergeCell ref="SYS14:SYV14"/>
    <mergeCell ref="SYW14:SYZ14"/>
    <mergeCell ref="SZA14:SZD14"/>
    <mergeCell ref="SZE14:SZH14"/>
    <mergeCell ref="SXM14:SXP14"/>
    <mergeCell ref="SXQ14:SXT14"/>
    <mergeCell ref="SXU14:SXX14"/>
    <mergeCell ref="SXY14:SYB14"/>
    <mergeCell ref="SYC14:SYF14"/>
    <mergeCell ref="SYG14:SYJ14"/>
    <mergeCell ref="SWO14:SWR14"/>
    <mergeCell ref="SWS14:SWV14"/>
    <mergeCell ref="SWW14:SWZ14"/>
    <mergeCell ref="SXA14:SXD14"/>
    <mergeCell ref="SXE14:SXH14"/>
    <mergeCell ref="SXI14:SXL14"/>
    <mergeCell ref="SVQ14:SVT14"/>
    <mergeCell ref="SVU14:SVX14"/>
    <mergeCell ref="SVY14:SWB14"/>
    <mergeCell ref="SWC14:SWF14"/>
    <mergeCell ref="SWG14:SWJ14"/>
    <mergeCell ref="SWK14:SWN14"/>
    <mergeCell ref="SUS14:SUV14"/>
    <mergeCell ref="SUW14:SUZ14"/>
    <mergeCell ref="SVA14:SVD14"/>
    <mergeCell ref="SVE14:SVH14"/>
    <mergeCell ref="SVI14:SVL14"/>
    <mergeCell ref="SVM14:SVP14"/>
    <mergeCell ref="STU14:STX14"/>
    <mergeCell ref="STY14:SUB14"/>
    <mergeCell ref="SUC14:SUF14"/>
    <mergeCell ref="SUG14:SUJ14"/>
    <mergeCell ref="SUK14:SUN14"/>
    <mergeCell ref="SUO14:SUR14"/>
    <mergeCell ref="SSW14:SSZ14"/>
    <mergeCell ref="STA14:STD14"/>
    <mergeCell ref="STE14:STH14"/>
    <mergeCell ref="STI14:STL14"/>
    <mergeCell ref="STM14:STP14"/>
    <mergeCell ref="STQ14:STT14"/>
    <mergeCell ref="SRY14:SSB14"/>
    <mergeCell ref="SSC14:SSF14"/>
    <mergeCell ref="SSG14:SSJ14"/>
    <mergeCell ref="SSK14:SSN14"/>
    <mergeCell ref="SSO14:SSR14"/>
    <mergeCell ref="SSS14:SSV14"/>
    <mergeCell ref="SRA14:SRD14"/>
    <mergeCell ref="SRE14:SRH14"/>
    <mergeCell ref="SRI14:SRL14"/>
    <mergeCell ref="SRM14:SRP14"/>
    <mergeCell ref="SRQ14:SRT14"/>
    <mergeCell ref="SRU14:SRX14"/>
    <mergeCell ref="SQC14:SQF14"/>
    <mergeCell ref="SQG14:SQJ14"/>
    <mergeCell ref="SQK14:SQN14"/>
    <mergeCell ref="SQO14:SQR14"/>
    <mergeCell ref="SQS14:SQV14"/>
    <mergeCell ref="SQW14:SQZ14"/>
    <mergeCell ref="SPE14:SPH14"/>
    <mergeCell ref="SPI14:SPL14"/>
    <mergeCell ref="SPM14:SPP14"/>
    <mergeCell ref="SPQ14:SPT14"/>
    <mergeCell ref="SPU14:SPX14"/>
    <mergeCell ref="SPY14:SQB14"/>
    <mergeCell ref="SOG14:SOJ14"/>
    <mergeCell ref="SOK14:SON14"/>
    <mergeCell ref="SOO14:SOR14"/>
    <mergeCell ref="SOS14:SOV14"/>
    <mergeCell ref="SOW14:SOZ14"/>
    <mergeCell ref="SPA14:SPD14"/>
    <mergeCell ref="SNI14:SNL14"/>
    <mergeCell ref="SNM14:SNP14"/>
    <mergeCell ref="SNQ14:SNT14"/>
    <mergeCell ref="SNU14:SNX14"/>
    <mergeCell ref="SNY14:SOB14"/>
    <mergeCell ref="SOC14:SOF14"/>
    <mergeCell ref="SMK14:SMN14"/>
    <mergeCell ref="SMO14:SMR14"/>
    <mergeCell ref="SMS14:SMV14"/>
    <mergeCell ref="SMW14:SMZ14"/>
    <mergeCell ref="SNA14:SND14"/>
    <mergeCell ref="SNE14:SNH14"/>
    <mergeCell ref="SLM14:SLP14"/>
    <mergeCell ref="SLQ14:SLT14"/>
    <mergeCell ref="SLU14:SLX14"/>
    <mergeCell ref="SLY14:SMB14"/>
    <mergeCell ref="SMC14:SMF14"/>
    <mergeCell ref="SMG14:SMJ14"/>
    <mergeCell ref="SKO14:SKR14"/>
    <mergeCell ref="SKS14:SKV14"/>
    <mergeCell ref="SKW14:SKZ14"/>
    <mergeCell ref="SLA14:SLD14"/>
    <mergeCell ref="SLE14:SLH14"/>
    <mergeCell ref="SLI14:SLL14"/>
    <mergeCell ref="SJQ14:SJT14"/>
    <mergeCell ref="SJU14:SJX14"/>
    <mergeCell ref="SJY14:SKB14"/>
    <mergeCell ref="SKC14:SKF14"/>
    <mergeCell ref="SKG14:SKJ14"/>
    <mergeCell ref="SKK14:SKN14"/>
    <mergeCell ref="SIS14:SIV14"/>
    <mergeCell ref="SIW14:SIZ14"/>
    <mergeCell ref="SJA14:SJD14"/>
    <mergeCell ref="SJE14:SJH14"/>
    <mergeCell ref="SJI14:SJL14"/>
    <mergeCell ref="SJM14:SJP14"/>
    <mergeCell ref="SHU14:SHX14"/>
    <mergeCell ref="SHY14:SIB14"/>
    <mergeCell ref="SIC14:SIF14"/>
    <mergeCell ref="SIG14:SIJ14"/>
    <mergeCell ref="SIK14:SIN14"/>
    <mergeCell ref="SIO14:SIR14"/>
    <mergeCell ref="SGW14:SGZ14"/>
    <mergeCell ref="SHA14:SHD14"/>
    <mergeCell ref="SHE14:SHH14"/>
    <mergeCell ref="SHI14:SHL14"/>
    <mergeCell ref="SHM14:SHP14"/>
    <mergeCell ref="SHQ14:SHT14"/>
    <mergeCell ref="SFY14:SGB14"/>
    <mergeCell ref="SGC14:SGF14"/>
    <mergeCell ref="SGG14:SGJ14"/>
    <mergeCell ref="SGK14:SGN14"/>
    <mergeCell ref="SGO14:SGR14"/>
    <mergeCell ref="SGS14:SGV14"/>
    <mergeCell ref="SFA14:SFD14"/>
    <mergeCell ref="SFE14:SFH14"/>
    <mergeCell ref="SFI14:SFL14"/>
    <mergeCell ref="SFM14:SFP14"/>
    <mergeCell ref="SFQ14:SFT14"/>
    <mergeCell ref="SFU14:SFX14"/>
    <mergeCell ref="SEC14:SEF14"/>
    <mergeCell ref="SEG14:SEJ14"/>
    <mergeCell ref="SEK14:SEN14"/>
    <mergeCell ref="SEO14:SER14"/>
    <mergeCell ref="SES14:SEV14"/>
    <mergeCell ref="SEW14:SEZ14"/>
    <mergeCell ref="SDE14:SDH14"/>
    <mergeCell ref="SDI14:SDL14"/>
    <mergeCell ref="SDM14:SDP14"/>
    <mergeCell ref="SDQ14:SDT14"/>
    <mergeCell ref="SDU14:SDX14"/>
    <mergeCell ref="SDY14:SEB14"/>
    <mergeCell ref="SCG14:SCJ14"/>
    <mergeCell ref="SCK14:SCN14"/>
    <mergeCell ref="SCO14:SCR14"/>
    <mergeCell ref="SCS14:SCV14"/>
    <mergeCell ref="SCW14:SCZ14"/>
    <mergeCell ref="SDA14:SDD14"/>
    <mergeCell ref="SBI14:SBL14"/>
    <mergeCell ref="SBM14:SBP14"/>
    <mergeCell ref="SBQ14:SBT14"/>
    <mergeCell ref="SBU14:SBX14"/>
    <mergeCell ref="SBY14:SCB14"/>
    <mergeCell ref="SCC14:SCF14"/>
    <mergeCell ref="SAK14:SAN14"/>
    <mergeCell ref="SAO14:SAR14"/>
    <mergeCell ref="SAS14:SAV14"/>
    <mergeCell ref="SAW14:SAZ14"/>
    <mergeCell ref="SBA14:SBD14"/>
    <mergeCell ref="SBE14:SBH14"/>
    <mergeCell ref="RZM14:RZP14"/>
    <mergeCell ref="RZQ14:RZT14"/>
    <mergeCell ref="RZU14:RZX14"/>
    <mergeCell ref="RZY14:SAB14"/>
    <mergeCell ref="SAC14:SAF14"/>
    <mergeCell ref="SAG14:SAJ14"/>
    <mergeCell ref="RYO14:RYR14"/>
    <mergeCell ref="RYS14:RYV14"/>
    <mergeCell ref="RYW14:RYZ14"/>
    <mergeCell ref="RZA14:RZD14"/>
    <mergeCell ref="RZE14:RZH14"/>
    <mergeCell ref="RZI14:RZL14"/>
    <mergeCell ref="RXQ14:RXT14"/>
    <mergeCell ref="RXU14:RXX14"/>
    <mergeCell ref="RXY14:RYB14"/>
    <mergeCell ref="RYC14:RYF14"/>
    <mergeCell ref="RYG14:RYJ14"/>
    <mergeCell ref="RYK14:RYN14"/>
    <mergeCell ref="RWS14:RWV14"/>
    <mergeCell ref="RWW14:RWZ14"/>
    <mergeCell ref="RXA14:RXD14"/>
    <mergeCell ref="RXE14:RXH14"/>
    <mergeCell ref="RXI14:RXL14"/>
    <mergeCell ref="RXM14:RXP14"/>
    <mergeCell ref="RVU14:RVX14"/>
    <mergeCell ref="RVY14:RWB14"/>
    <mergeCell ref="RWC14:RWF14"/>
    <mergeCell ref="RWG14:RWJ14"/>
    <mergeCell ref="RWK14:RWN14"/>
    <mergeCell ref="RWO14:RWR14"/>
    <mergeCell ref="RUW14:RUZ14"/>
    <mergeCell ref="RVA14:RVD14"/>
    <mergeCell ref="RVE14:RVH14"/>
    <mergeCell ref="RVI14:RVL14"/>
    <mergeCell ref="RVM14:RVP14"/>
    <mergeCell ref="RVQ14:RVT14"/>
    <mergeCell ref="RTY14:RUB14"/>
    <mergeCell ref="RUC14:RUF14"/>
    <mergeCell ref="RUG14:RUJ14"/>
    <mergeCell ref="RUK14:RUN14"/>
    <mergeCell ref="RUO14:RUR14"/>
    <mergeCell ref="RUS14:RUV14"/>
    <mergeCell ref="RTA14:RTD14"/>
    <mergeCell ref="RTE14:RTH14"/>
    <mergeCell ref="RTI14:RTL14"/>
    <mergeCell ref="RTM14:RTP14"/>
    <mergeCell ref="RTQ14:RTT14"/>
    <mergeCell ref="RTU14:RTX14"/>
    <mergeCell ref="RSC14:RSF14"/>
    <mergeCell ref="RSG14:RSJ14"/>
    <mergeCell ref="RSK14:RSN14"/>
    <mergeCell ref="RSO14:RSR14"/>
    <mergeCell ref="RSS14:RSV14"/>
    <mergeCell ref="RSW14:RSZ14"/>
    <mergeCell ref="RRE14:RRH14"/>
    <mergeCell ref="RRI14:RRL14"/>
    <mergeCell ref="RRM14:RRP14"/>
    <mergeCell ref="RRQ14:RRT14"/>
    <mergeCell ref="RRU14:RRX14"/>
    <mergeCell ref="RRY14:RSB14"/>
    <mergeCell ref="RQG14:RQJ14"/>
    <mergeCell ref="RQK14:RQN14"/>
    <mergeCell ref="RQO14:RQR14"/>
    <mergeCell ref="RQS14:RQV14"/>
    <mergeCell ref="RQW14:RQZ14"/>
    <mergeCell ref="RRA14:RRD14"/>
    <mergeCell ref="RPI14:RPL14"/>
    <mergeCell ref="RPM14:RPP14"/>
    <mergeCell ref="RPQ14:RPT14"/>
    <mergeCell ref="RPU14:RPX14"/>
    <mergeCell ref="RPY14:RQB14"/>
    <mergeCell ref="RQC14:RQF14"/>
    <mergeCell ref="ROK14:RON14"/>
    <mergeCell ref="ROO14:ROR14"/>
    <mergeCell ref="ROS14:ROV14"/>
    <mergeCell ref="ROW14:ROZ14"/>
    <mergeCell ref="RPA14:RPD14"/>
    <mergeCell ref="RPE14:RPH14"/>
    <mergeCell ref="RNM14:RNP14"/>
    <mergeCell ref="RNQ14:RNT14"/>
    <mergeCell ref="RNU14:RNX14"/>
    <mergeCell ref="RNY14:ROB14"/>
    <mergeCell ref="ROC14:ROF14"/>
    <mergeCell ref="ROG14:ROJ14"/>
    <mergeCell ref="RMO14:RMR14"/>
    <mergeCell ref="RMS14:RMV14"/>
    <mergeCell ref="RMW14:RMZ14"/>
    <mergeCell ref="RNA14:RND14"/>
    <mergeCell ref="RNE14:RNH14"/>
    <mergeCell ref="RNI14:RNL14"/>
    <mergeCell ref="RLQ14:RLT14"/>
    <mergeCell ref="RLU14:RLX14"/>
    <mergeCell ref="RLY14:RMB14"/>
    <mergeCell ref="RMC14:RMF14"/>
    <mergeCell ref="RMG14:RMJ14"/>
    <mergeCell ref="RMK14:RMN14"/>
    <mergeCell ref="RKS14:RKV14"/>
    <mergeCell ref="RKW14:RKZ14"/>
    <mergeCell ref="RLA14:RLD14"/>
    <mergeCell ref="RLE14:RLH14"/>
    <mergeCell ref="RLI14:RLL14"/>
    <mergeCell ref="RLM14:RLP14"/>
    <mergeCell ref="RJU14:RJX14"/>
    <mergeCell ref="RJY14:RKB14"/>
    <mergeCell ref="RKC14:RKF14"/>
    <mergeCell ref="RKG14:RKJ14"/>
    <mergeCell ref="RKK14:RKN14"/>
    <mergeCell ref="RKO14:RKR14"/>
    <mergeCell ref="RIW14:RIZ14"/>
    <mergeCell ref="RJA14:RJD14"/>
    <mergeCell ref="RJE14:RJH14"/>
    <mergeCell ref="RJI14:RJL14"/>
    <mergeCell ref="RJM14:RJP14"/>
    <mergeCell ref="RJQ14:RJT14"/>
    <mergeCell ref="RHY14:RIB14"/>
    <mergeCell ref="RIC14:RIF14"/>
    <mergeCell ref="RIG14:RIJ14"/>
    <mergeCell ref="RIK14:RIN14"/>
    <mergeCell ref="RIO14:RIR14"/>
    <mergeCell ref="RIS14:RIV14"/>
    <mergeCell ref="RHA14:RHD14"/>
    <mergeCell ref="RHE14:RHH14"/>
    <mergeCell ref="RHI14:RHL14"/>
    <mergeCell ref="RHM14:RHP14"/>
    <mergeCell ref="RHQ14:RHT14"/>
    <mergeCell ref="RHU14:RHX14"/>
    <mergeCell ref="RGC14:RGF14"/>
    <mergeCell ref="RGG14:RGJ14"/>
    <mergeCell ref="RGK14:RGN14"/>
    <mergeCell ref="RGO14:RGR14"/>
    <mergeCell ref="RGS14:RGV14"/>
    <mergeCell ref="RGW14:RGZ14"/>
    <mergeCell ref="RFE14:RFH14"/>
    <mergeCell ref="RFI14:RFL14"/>
    <mergeCell ref="RFM14:RFP14"/>
    <mergeCell ref="RFQ14:RFT14"/>
    <mergeCell ref="RFU14:RFX14"/>
    <mergeCell ref="RFY14:RGB14"/>
    <mergeCell ref="REG14:REJ14"/>
    <mergeCell ref="REK14:REN14"/>
    <mergeCell ref="REO14:RER14"/>
    <mergeCell ref="RES14:REV14"/>
    <mergeCell ref="REW14:REZ14"/>
    <mergeCell ref="RFA14:RFD14"/>
    <mergeCell ref="RDI14:RDL14"/>
    <mergeCell ref="RDM14:RDP14"/>
    <mergeCell ref="RDQ14:RDT14"/>
    <mergeCell ref="RDU14:RDX14"/>
    <mergeCell ref="RDY14:REB14"/>
    <mergeCell ref="REC14:REF14"/>
    <mergeCell ref="RCK14:RCN14"/>
    <mergeCell ref="RCO14:RCR14"/>
    <mergeCell ref="RCS14:RCV14"/>
    <mergeCell ref="RCW14:RCZ14"/>
    <mergeCell ref="RDA14:RDD14"/>
    <mergeCell ref="RDE14:RDH14"/>
    <mergeCell ref="RBM14:RBP14"/>
    <mergeCell ref="RBQ14:RBT14"/>
    <mergeCell ref="RBU14:RBX14"/>
    <mergeCell ref="RBY14:RCB14"/>
    <mergeCell ref="RCC14:RCF14"/>
    <mergeCell ref="RCG14:RCJ14"/>
    <mergeCell ref="RAO14:RAR14"/>
    <mergeCell ref="RAS14:RAV14"/>
    <mergeCell ref="RAW14:RAZ14"/>
    <mergeCell ref="RBA14:RBD14"/>
    <mergeCell ref="RBE14:RBH14"/>
    <mergeCell ref="RBI14:RBL14"/>
    <mergeCell ref="QZQ14:QZT14"/>
    <mergeCell ref="QZU14:QZX14"/>
    <mergeCell ref="QZY14:RAB14"/>
    <mergeCell ref="RAC14:RAF14"/>
    <mergeCell ref="RAG14:RAJ14"/>
    <mergeCell ref="RAK14:RAN14"/>
    <mergeCell ref="QYS14:QYV14"/>
    <mergeCell ref="QYW14:QYZ14"/>
    <mergeCell ref="QZA14:QZD14"/>
    <mergeCell ref="QZE14:QZH14"/>
    <mergeCell ref="QZI14:QZL14"/>
    <mergeCell ref="QZM14:QZP14"/>
    <mergeCell ref="QXU14:QXX14"/>
    <mergeCell ref="QXY14:QYB14"/>
    <mergeCell ref="QYC14:QYF14"/>
    <mergeCell ref="QYG14:QYJ14"/>
    <mergeCell ref="QYK14:QYN14"/>
    <mergeCell ref="QYO14:QYR14"/>
    <mergeCell ref="QWW14:QWZ14"/>
    <mergeCell ref="QXA14:QXD14"/>
    <mergeCell ref="QXE14:QXH14"/>
    <mergeCell ref="QXI14:QXL14"/>
    <mergeCell ref="QXM14:QXP14"/>
    <mergeCell ref="QXQ14:QXT14"/>
    <mergeCell ref="QVY14:QWB14"/>
    <mergeCell ref="QWC14:QWF14"/>
    <mergeCell ref="QWG14:QWJ14"/>
    <mergeCell ref="QWK14:QWN14"/>
    <mergeCell ref="QWO14:QWR14"/>
    <mergeCell ref="QWS14:QWV14"/>
    <mergeCell ref="QVA14:QVD14"/>
    <mergeCell ref="QVE14:QVH14"/>
    <mergeCell ref="QVI14:QVL14"/>
    <mergeCell ref="QVM14:QVP14"/>
    <mergeCell ref="QVQ14:QVT14"/>
    <mergeCell ref="QVU14:QVX14"/>
    <mergeCell ref="QUC14:QUF14"/>
    <mergeCell ref="QUG14:QUJ14"/>
    <mergeCell ref="QUK14:QUN14"/>
    <mergeCell ref="QUO14:QUR14"/>
    <mergeCell ref="QUS14:QUV14"/>
    <mergeCell ref="QUW14:QUZ14"/>
    <mergeCell ref="QTE14:QTH14"/>
    <mergeCell ref="QTI14:QTL14"/>
    <mergeCell ref="QTM14:QTP14"/>
    <mergeCell ref="QTQ14:QTT14"/>
    <mergeCell ref="QTU14:QTX14"/>
    <mergeCell ref="QTY14:QUB14"/>
    <mergeCell ref="QSG14:QSJ14"/>
    <mergeCell ref="QSK14:QSN14"/>
    <mergeCell ref="QSO14:QSR14"/>
    <mergeCell ref="QSS14:QSV14"/>
    <mergeCell ref="QSW14:QSZ14"/>
    <mergeCell ref="QTA14:QTD14"/>
    <mergeCell ref="QRI14:QRL14"/>
    <mergeCell ref="QRM14:QRP14"/>
    <mergeCell ref="QRQ14:QRT14"/>
    <mergeCell ref="QRU14:QRX14"/>
    <mergeCell ref="QRY14:QSB14"/>
    <mergeCell ref="QSC14:QSF14"/>
    <mergeCell ref="QQK14:QQN14"/>
    <mergeCell ref="QQO14:QQR14"/>
    <mergeCell ref="QQS14:QQV14"/>
    <mergeCell ref="QQW14:QQZ14"/>
    <mergeCell ref="QRA14:QRD14"/>
    <mergeCell ref="QRE14:QRH14"/>
    <mergeCell ref="QPM14:QPP14"/>
    <mergeCell ref="QPQ14:QPT14"/>
    <mergeCell ref="QPU14:QPX14"/>
    <mergeCell ref="QPY14:QQB14"/>
    <mergeCell ref="QQC14:QQF14"/>
    <mergeCell ref="QQG14:QQJ14"/>
    <mergeCell ref="QOO14:QOR14"/>
    <mergeCell ref="QOS14:QOV14"/>
    <mergeCell ref="QOW14:QOZ14"/>
    <mergeCell ref="QPA14:QPD14"/>
    <mergeCell ref="QPE14:QPH14"/>
    <mergeCell ref="QPI14:QPL14"/>
    <mergeCell ref="QNQ14:QNT14"/>
    <mergeCell ref="QNU14:QNX14"/>
    <mergeCell ref="QNY14:QOB14"/>
    <mergeCell ref="QOC14:QOF14"/>
    <mergeCell ref="QOG14:QOJ14"/>
    <mergeCell ref="QOK14:QON14"/>
    <mergeCell ref="QMS14:QMV14"/>
    <mergeCell ref="QMW14:QMZ14"/>
    <mergeCell ref="QNA14:QND14"/>
    <mergeCell ref="QNE14:QNH14"/>
    <mergeCell ref="QNI14:QNL14"/>
    <mergeCell ref="QNM14:QNP14"/>
    <mergeCell ref="QLU14:QLX14"/>
    <mergeCell ref="QLY14:QMB14"/>
    <mergeCell ref="QMC14:QMF14"/>
    <mergeCell ref="QMG14:QMJ14"/>
    <mergeCell ref="QMK14:QMN14"/>
    <mergeCell ref="QMO14:QMR14"/>
    <mergeCell ref="QKW14:QKZ14"/>
    <mergeCell ref="QLA14:QLD14"/>
    <mergeCell ref="QLE14:QLH14"/>
    <mergeCell ref="QLI14:QLL14"/>
    <mergeCell ref="QLM14:QLP14"/>
    <mergeCell ref="QLQ14:QLT14"/>
    <mergeCell ref="QJY14:QKB14"/>
    <mergeCell ref="QKC14:QKF14"/>
    <mergeCell ref="QKG14:QKJ14"/>
    <mergeCell ref="QKK14:QKN14"/>
    <mergeCell ref="QKO14:QKR14"/>
    <mergeCell ref="QKS14:QKV14"/>
    <mergeCell ref="QJA14:QJD14"/>
    <mergeCell ref="QJE14:QJH14"/>
    <mergeCell ref="QJI14:QJL14"/>
    <mergeCell ref="QJM14:QJP14"/>
    <mergeCell ref="QJQ14:QJT14"/>
    <mergeCell ref="QJU14:QJX14"/>
    <mergeCell ref="QIC14:QIF14"/>
    <mergeCell ref="QIG14:QIJ14"/>
    <mergeCell ref="QIK14:QIN14"/>
    <mergeCell ref="QIO14:QIR14"/>
    <mergeCell ref="QIS14:QIV14"/>
    <mergeCell ref="QIW14:QIZ14"/>
    <mergeCell ref="QHE14:QHH14"/>
    <mergeCell ref="QHI14:QHL14"/>
    <mergeCell ref="QHM14:QHP14"/>
    <mergeCell ref="QHQ14:QHT14"/>
    <mergeCell ref="QHU14:QHX14"/>
    <mergeCell ref="QHY14:QIB14"/>
    <mergeCell ref="QGG14:QGJ14"/>
    <mergeCell ref="QGK14:QGN14"/>
    <mergeCell ref="QGO14:QGR14"/>
    <mergeCell ref="QGS14:QGV14"/>
    <mergeCell ref="QGW14:QGZ14"/>
    <mergeCell ref="QHA14:QHD14"/>
    <mergeCell ref="QFI14:QFL14"/>
    <mergeCell ref="QFM14:QFP14"/>
    <mergeCell ref="QFQ14:QFT14"/>
    <mergeCell ref="QFU14:QFX14"/>
    <mergeCell ref="QFY14:QGB14"/>
    <mergeCell ref="QGC14:QGF14"/>
    <mergeCell ref="QEK14:QEN14"/>
    <mergeCell ref="QEO14:QER14"/>
    <mergeCell ref="QES14:QEV14"/>
    <mergeCell ref="QEW14:QEZ14"/>
    <mergeCell ref="QFA14:QFD14"/>
    <mergeCell ref="QFE14:QFH14"/>
    <mergeCell ref="QDM14:QDP14"/>
    <mergeCell ref="QDQ14:QDT14"/>
    <mergeCell ref="QDU14:QDX14"/>
    <mergeCell ref="QDY14:QEB14"/>
    <mergeCell ref="QEC14:QEF14"/>
    <mergeCell ref="QEG14:QEJ14"/>
    <mergeCell ref="QCO14:QCR14"/>
    <mergeCell ref="QCS14:QCV14"/>
    <mergeCell ref="QCW14:QCZ14"/>
    <mergeCell ref="QDA14:QDD14"/>
    <mergeCell ref="QDE14:QDH14"/>
    <mergeCell ref="QDI14:QDL14"/>
    <mergeCell ref="QBQ14:QBT14"/>
    <mergeCell ref="QBU14:QBX14"/>
    <mergeCell ref="QBY14:QCB14"/>
    <mergeCell ref="QCC14:QCF14"/>
    <mergeCell ref="QCG14:QCJ14"/>
    <mergeCell ref="QCK14:QCN14"/>
    <mergeCell ref="QAS14:QAV14"/>
    <mergeCell ref="QAW14:QAZ14"/>
    <mergeCell ref="QBA14:QBD14"/>
    <mergeCell ref="QBE14:QBH14"/>
    <mergeCell ref="QBI14:QBL14"/>
    <mergeCell ref="QBM14:QBP14"/>
    <mergeCell ref="PZU14:PZX14"/>
    <mergeCell ref="PZY14:QAB14"/>
    <mergeCell ref="QAC14:QAF14"/>
    <mergeCell ref="QAG14:QAJ14"/>
    <mergeCell ref="QAK14:QAN14"/>
    <mergeCell ref="QAO14:QAR14"/>
    <mergeCell ref="PYW14:PYZ14"/>
    <mergeCell ref="PZA14:PZD14"/>
    <mergeCell ref="PZE14:PZH14"/>
    <mergeCell ref="PZI14:PZL14"/>
    <mergeCell ref="PZM14:PZP14"/>
    <mergeCell ref="PZQ14:PZT14"/>
    <mergeCell ref="PXY14:PYB14"/>
    <mergeCell ref="PYC14:PYF14"/>
    <mergeCell ref="PYG14:PYJ14"/>
    <mergeCell ref="PYK14:PYN14"/>
    <mergeCell ref="PYO14:PYR14"/>
    <mergeCell ref="PYS14:PYV14"/>
    <mergeCell ref="PXA14:PXD14"/>
    <mergeCell ref="PXE14:PXH14"/>
    <mergeCell ref="PXI14:PXL14"/>
    <mergeCell ref="PXM14:PXP14"/>
    <mergeCell ref="PXQ14:PXT14"/>
    <mergeCell ref="PXU14:PXX14"/>
    <mergeCell ref="PWC14:PWF14"/>
    <mergeCell ref="PWG14:PWJ14"/>
    <mergeCell ref="PWK14:PWN14"/>
    <mergeCell ref="PWO14:PWR14"/>
    <mergeCell ref="PWS14:PWV14"/>
    <mergeCell ref="PWW14:PWZ14"/>
    <mergeCell ref="PVE14:PVH14"/>
    <mergeCell ref="PVI14:PVL14"/>
    <mergeCell ref="PVM14:PVP14"/>
    <mergeCell ref="PVQ14:PVT14"/>
    <mergeCell ref="PVU14:PVX14"/>
    <mergeCell ref="PVY14:PWB14"/>
    <mergeCell ref="PUG14:PUJ14"/>
    <mergeCell ref="PUK14:PUN14"/>
    <mergeCell ref="PUO14:PUR14"/>
    <mergeCell ref="PUS14:PUV14"/>
    <mergeCell ref="PUW14:PUZ14"/>
    <mergeCell ref="PVA14:PVD14"/>
    <mergeCell ref="PTI14:PTL14"/>
    <mergeCell ref="PTM14:PTP14"/>
    <mergeCell ref="PTQ14:PTT14"/>
    <mergeCell ref="PTU14:PTX14"/>
    <mergeCell ref="PTY14:PUB14"/>
    <mergeCell ref="PUC14:PUF14"/>
    <mergeCell ref="PSK14:PSN14"/>
    <mergeCell ref="PSO14:PSR14"/>
    <mergeCell ref="PSS14:PSV14"/>
    <mergeCell ref="PSW14:PSZ14"/>
    <mergeCell ref="PTA14:PTD14"/>
    <mergeCell ref="PTE14:PTH14"/>
    <mergeCell ref="PRM14:PRP14"/>
    <mergeCell ref="PRQ14:PRT14"/>
    <mergeCell ref="PRU14:PRX14"/>
    <mergeCell ref="PRY14:PSB14"/>
    <mergeCell ref="PSC14:PSF14"/>
    <mergeCell ref="PSG14:PSJ14"/>
    <mergeCell ref="PQO14:PQR14"/>
    <mergeCell ref="PQS14:PQV14"/>
    <mergeCell ref="PQW14:PQZ14"/>
    <mergeCell ref="PRA14:PRD14"/>
    <mergeCell ref="PRE14:PRH14"/>
    <mergeCell ref="PRI14:PRL14"/>
    <mergeCell ref="PPQ14:PPT14"/>
    <mergeCell ref="PPU14:PPX14"/>
    <mergeCell ref="PPY14:PQB14"/>
    <mergeCell ref="PQC14:PQF14"/>
    <mergeCell ref="PQG14:PQJ14"/>
    <mergeCell ref="PQK14:PQN14"/>
    <mergeCell ref="POS14:POV14"/>
    <mergeCell ref="POW14:POZ14"/>
    <mergeCell ref="PPA14:PPD14"/>
    <mergeCell ref="PPE14:PPH14"/>
    <mergeCell ref="PPI14:PPL14"/>
    <mergeCell ref="PPM14:PPP14"/>
    <mergeCell ref="PNU14:PNX14"/>
    <mergeCell ref="PNY14:POB14"/>
    <mergeCell ref="POC14:POF14"/>
    <mergeCell ref="POG14:POJ14"/>
    <mergeCell ref="POK14:PON14"/>
    <mergeCell ref="POO14:POR14"/>
    <mergeCell ref="PMW14:PMZ14"/>
    <mergeCell ref="PNA14:PND14"/>
    <mergeCell ref="PNE14:PNH14"/>
    <mergeCell ref="PNI14:PNL14"/>
    <mergeCell ref="PNM14:PNP14"/>
    <mergeCell ref="PNQ14:PNT14"/>
    <mergeCell ref="PLY14:PMB14"/>
    <mergeCell ref="PMC14:PMF14"/>
    <mergeCell ref="PMG14:PMJ14"/>
    <mergeCell ref="PMK14:PMN14"/>
    <mergeCell ref="PMO14:PMR14"/>
    <mergeCell ref="PMS14:PMV14"/>
    <mergeCell ref="PLA14:PLD14"/>
    <mergeCell ref="PLE14:PLH14"/>
    <mergeCell ref="PLI14:PLL14"/>
    <mergeCell ref="PLM14:PLP14"/>
    <mergeCell ref="PLQ14:PLT14"/>
    <mergeCell ref="PLU14:PLX14"/>
    <mergeCell ref="PKC14:PKF14"/>
    <mergeCell ref="PKG14:PKJ14"/>
    <mergeCell ref="PKK14:PKN14"/>
    <mergeCell ref="PKO14:PKR14"/>
    <mergeCell ref="PKS14:PKV14"/>
    <mergeCell ref="PKW14:PKZ14"/>
    <mergeCell ref="PJE14:PJH14"/>
    <mergeCell ref="PJI14:PJL14"/>
    <mergeCell ref="PJM14:PJP14"/>
    <mergeCell ref="PJQ14:PJT14"/>
    <mergeCell ref="PJU14:PJX14"/>
    <mergeCell ref="PJY14:PKB14"/>
    <mergeCell ref="PIG14:PIJ14"/>
    <mergeCell ref="PIK14:PIN14"/>
    <mergeCell ref="PIO14:PIR14"/>
    <mergeCell ref="PIS14:PIV14"/>
    <mergeCell ref="PIW14:PIZ14"/>
    <mergeCell ref="PJA14:PJD14"/>
    <mergeCell ref="PHI14:PHL14"/>
    <mergeCell ref="PHM14:PHP14"/>
    <mergeCell ref="PHQ14:PHT14"/>
    <mergeCell ref="PHU14:PHX14"/>
    <mergeCell ref="PHY14:PIB14"/>
    <mergeCell ref="PIC14:PIF14"/>
    <mergeCell ref="PGK14:PGN14"/>
    <mergeCell ref="PGO14:PGR14"/>
    <mergeCell ref="PGS14:PGV14"/>
    <mergeCell ref="PGW14:PGZ14"/>
    <mergeCell ref="PHA14:PHD14"/>
    <mergeCell ref="PHE14:PHH14"/>
    <mergeCell ref="PFM14:PFP14"/>
    <mergeCell ref="PFQ14:PFT14"/>
    <mergeCell ref="PFU14:PFX14"/>
    <mergeCell ref="PFY14:PGB14"/>
    <mergeCell ref="PGC14:PGF14"/>
    <mergeCell ref="PGG14:PGJ14"/>
    <mergeCell ref="PEO14:PER14"/>
    <mergeCell ref="PES14:PEV14"/>
    <mergeCell ref="PEW14:PEZ14"/>
    <mergeCell ref="PFA14:PFD14"/>
    <mergeCell ref="PFE14:PFH14"/>
    <mergeCell ref="PFI14:PFL14"/>
    <mergeCell ref="PDQ14:PDT14"/>
    <mergeCell ref="PDU14:PDX14"/>
    <mergeCell ref="PDY14:PEB14"/>
    <mergeCell ref="PEC14:PEF14"/>
    <mergeCell ref="PEG14:PEJ14"/>
    <mergeCell ref="PEK14:PEN14"/>
    <mergeCell ref="PCS14:PCV14"/>
    <mergeCell ref="PCW14:PCZ14"/>
    <mergeCell ref="PDA14:PDD14"/>
    <mergeCell ref="PDE14:PDH14"/>
    <mergeCell ref="PDI14:PDL14"/>
    <mergeCell ref="PDM14:PDP14"/>
    <mergeCell ref="PBU14:PBX14"/>
    <mergeCell ref="PBY14:PCB14"/>
    <mergeCell ref="PCC14:PCF14"/>
    <mergeCell ref="PCG14:PCJ14"/>
    <mergeCell ref="PCK14:PCN14"/>
    <mergeCell ref="PCO14:PCR14"/>
    <mergeCell ref="PAW14:PAZ14"/>
    <mergeCell ref="PBA14:PBD14"/>
    <mergeCell ref="PBE14:PBH14"/>
    <mergeCell ref="PBI14:PBL14"/>
    <mergeCell ref="PBM14:PBP14"/>
    <mergeCell ref="PBQ14:PBT14"/>
    <mergeCell ref="OZY14:PAB14"/>
    <mergeCell ref="PAC14:PAF14"/>
    <mergeCell ref="PAG14:PAJ14"/>
    <mergeCell ref="PAK14:PAN14"/>
    <mergeCell ref="PAO14:PAR14"/>
    <mergeCell ref="PAS14:PAV14"/>
    <mergeCell ref="OZA14:OZD14"/>
    <mergeCell ref="OZE14:OZH14"/>
    <mergeCell ref="OZI14:OZL14"/>
    <mergeCell ref="OZM14:OZP14"/>
    <mergeCell ref="OZQ14:OZT14"/>
    <mergeCell ref="OZU14:OZX14"/>
    <mergeCell ref="OYC14:OYF14"/>
    <mergeCell ref="OYG14:OYJ14"/>
    <mergeCell ref="OYK14:OYN14"/>
    <mergeCell ref="OYO14:OYR14"/>
    <mergeCell ref="OYS14:OYV14"/>
    <mergeCell ref="OYW14:OYZ14"/>
    <mergeCell ref="OXE14:OXH14"/>
    <mergeCell ref="OXI14:OXL14"/>
    <mergeCell ref="OXM14:OXP14"/>
    <mergeCell ref="OXQ14:OXT14"/>
    <mergeCell ref="OXU14:OXX14"/>
    <mergeCell ref="OXY14:OYB14"/>
    <mergeCell ref="OWG14:OWJ14"/>
    <mergeCell ref="OWK14:OWN14"/>
    <mergeCell ref="OWO14:OWR14"/>
    <mergeCell ref="OWS14:OWV14"/>
    <mergeCell ref="OWW14:OWZ14"/>
    <mergeCell ref="OXA14:OXD14"/>
    <mergeCell ref="OVI14:OVL14"/>
    <mergeCell ref="OVM14:OVP14"/>
    <mergeCell ref="OVQ14:OVT14"/>
    <mergeCell ref="OVU14:OVX14"/>
    <mergeCell ref="OVY14:OWB14"/>
    <mergeCell ref="OWC14:OWF14"/>
    <mergeCell ref="OUK14:OUN14"/>
    <mergeCell ref="OUO14:OUR14"/>
    <mergeCell ref="OUS14:OUV14"/>
    <mergeCell ref="OUW14:OUZ14"/>
    <mergeCell ref="OVA14:OVD14"/>
    <mergeCell ref="OVE14:OVH14"/>
    <mergeCell ref="OTM14:OTP14"/>
    <mergeCell ref="OTQ14:OTT14"/>
    <mergeCell ref="OTU14:OTX14"/>
    <mergeCell ref="OTY14:OUB14"/>
    <mergeCell ref="OUC14:OUF14"/>
    <mergeCell ref="OUG14:OUJ14"/>
    <mergeCell ref="OSO14:OSR14"/>
    <mergeCell ref="OSS14:OSV14"/>
    <mergeCell ref="OSW14:OSZ14"/>
    <mergeCell ref="OTA14:OTD14"/>
    <mergeCell ref="OTE14:OTH14"/>
    <mergeCell ref="OTI14:OTL14"/>
    <mergeCell ref="ORQ14:ORT14"/>
    <mergeCell ref="ORU14:ORX14"/>
    <mergeCell ref="ORY14:OSB14"/>
    <mergeCell ref="OSC14:OSF14"/>
    <mergeCell ref="OSG14:OSJ14"/>
    <mergeCell ref="OSK14:OSN14"/>
    <mergeCell ref="OQS14:OQV14"/>
    <mergeCell ref="OQW14:OQZ14"/>
    <mergeCell ref="ORA14:ORD14"/>
    <mergeCell ref="ORE14:ORH14"/>
    <mergeCell ref="ORI14:ORL14"/>
    <mergeCell ref="ORM14:ORP14"/>
    <mergeCell ref="OPU14:OPX14"/>
    <mergeCell ref="OPY14:OQB14"/>
    <mergeCell ref="OQC14:OQF14"/>
    <mergeCell ref="OQG14:OQJ14"/>
    <mergeCell ref="OQK14:OQN14"/>
    <mergeCell ref="OQO14:OQR14"/>
    <mergeCell ref="OOW14:OOZ14"/>
    <mergeCell ref="OPA14:OPD14"/>
    <mergeCell ref="OPE14:OPH14"/>
    <mergeCell ref="OPI14:OPL14"/>
    <mergeCell ref="OPM14:OPP14"/>
    <mergeCell ref="OPQ14:OPT14"/>
    <mergeCell ref="ONY14:OOB14"/>
    <mergeCell ref="OOC14:OOF14"/>
    <mergeCell ref="OOG14:OOJ14"/>
    <mergeCell ref="OOK14:OON14"/>
    <mergeCell ref="OOO14:OOR14"/>
    <mergeCell ref="OOS14:OOV14"/>
    <mergeCell ref="ONA14:OND14"/>
    <mergeCell ref="ONE14:ONH14"/>
    <mergeCell ref="ONI14:ONL14"/>
    <mergeCell ref="ONM14:ONP14"/>
    <mergeCell ref="ONQ14:ONT14"/>
    <mergeCell ref="ONU14:ONX14"/>
    <mergeCell ref="OMC14:OMF14"/>
    <mergeCell ref="OMG14:OMJ14"/>
    <mergeCell ref="OMK14:OMN14"/>
    <mergeCell ref="OMO14:OMR14"/>
    <mergeCell ref="OMS14:OMV14"/>
    <mergeCell ref="OMW14:OMZ14"/>
    <mergeCell ref="OLE14:OLH14"/>
    <mergeCell ref="OLI14:OLL14"/>
    <mergeCell ref="OLM14:OLP14"/>
    <mergeCell ref="OLQ14:OLT14"/>
    <mergeCell ref="OLU14:OLX14"/>
    <mergeCell ref="OLY14:OMB14"/>
    <mergeCell ref="OKG14:OKJ14"/>
    <mergeCell ref="OKK14:OKN14"/>
    <mergeCell ref="OKO14:OKR14"/>
    <mergeCell ref="OKS14:OKV14"/>
    <mergeCell ref="OKW14:OKZ14"/>
    <mergeCell ref="OLA14:OLD14"/>
    <mergeCell ref="OJI14:OJL14"/>
    <mergeCell ref="OJM14:OJP14"/>
    <mergeCell ref="OJQ14:OJT14"/>
    <mergeCell ref="OJU14:OJX14"/>
    <mergeCell ref="OJY14:OKB14"/>
    <mergeCell ref="OKC14:OKF14"/>
    <mergeCell ref="OIK14:OIN14"/>
    <mergeCell ref="OIO14:OIR14"/>
    <mergeCell ref="OIS14:OIV14"/>
    <mergeCell ref="OIW14:OIZ14"/>
    <mergeCell ref="OJA14:OJD14"/>
    <mergeCell ref="OJE14:OJH14"/>
    <mergeCell ref="OHM14:OHP14"/>
    <mergeCell ref="OHQ14:OHT14"/>
    <mergeCell ref="OHU14:OHX14"/>
    <mergeCell ref="OHY14:OIB14"/>
    <mergeCell ref="OIC14:OIF14"/>
    <mergeCell ref="OIG14:OIJ14"/>
    <mergeCell ref="OGO14:OGR14"/>
    <mergeCell ref="OGS14:OGV14"/>
    <mergeCell ref="OGW14:OGZ14"/>
    <mergeCell ref="OHA14:OHD14"/>
    <mergeCell ref="OHE14:OHH14"/>
    <mergeCell ref="OHI14:OHL14"/>
    <mergeCell ref="OFQ14:OFT14"/>
    <mergeCell ref="OFU14:OFX14"/>
    <mergeCell ref="OFY14:OGB14"/>
    <mergeCell ref="OGC14:OGF14"/>
    <mergeCell ref="OGG14:OGJ14"/>
    <mergeCell ref="OGK14:OGN14"/>
    <mergeCell ref="OES14:OEV14"/>
    <mergeCell ref="OEW14:OEZ14"/>
    <mergeCell ref="OFA14:OFD14"/>
    <mergeCell ref="OFE14:OFH14"/>
    <mergeCell ref="OFI14:OFL14"/>
    <mergeCell ref="OFM14:OFP14"/>
    <mergeCell ref="ODU14:ODX14"/>
    <mergeCell ref="ODY14:OEB14"/>
    <mergeCell ref="OEC14:OEF14"/>
    <mergeCell ref="OEG14:OEJ14"/>
    <mergeCell ref="OEK14:OEN14"/>
    <mergeCell ref="OEO14:OER14"/>
    <mergeCell ref="OCW14:OCZ14"/>
    <mergeCell ref="ODA14:ODD14"/>
    <mergeCell ref="ODE14:ODH14"/>
    <mergeCell ref="ODI14:ODL14"/>
    <mergeCell ref="ODM14:ODP14"/>
    <mergeCell ref="ODQ14:ODT14"/>
    <mergeCell ref="OBY14:OCB14"/>
    <mergeCell ref="OCC14:OCF14"/>
    <mergeCell ref="OCG14:OCJ14"/>
    <mergeCell ref="OCK14:OCN14"/>
    <mergeCell ref="OCO14:OCR14"/>
    <mergeCell ref="OCS14:OCV14"/>
    <mergeCell ref="OBA14:OBD14"/>
    <mergeCell ref="OBE14:OBH14"/>
    <mergeCell ref="OBI14:OBL14"/>
    <mergeCell ref="OBM14:OBP14"/>
    <mergeCell ref="OBQ14:OBT14"/>
    <mergeCell ref="OBU14:OBX14"/>
    <mergeCell ref="OAC14:OAF14"/>
    <mergeCell ref="OAG14:OAJ14"/>
    <mergeCell ref="OAK14:OAN14"/>
    <mergeCell ref="OAO14:OAR14"/>
    <mergeCell ref="OAS14:OAV14"/>
    <mergeCell ref="OAW14:OAZ14"/>
    <mergeCell ref="NZE14:NZH14"/>
    <mergeCell ref="NZI14:NZL14"/>
    <mergeCell ref="NZM14:NZP14"/>
    <mergeCell ref="NZQ14:NZT14"/>
    <mergeCell ref="NZU14:NZX14"/>
    <mergeCell ref="NZY14:OAB14"/>
    <mergeCell ref="NYG14:NYJ14"/>
    <mergeCell ref="NYK14:NYN14"/>
    <mergeCell ref="NYO14:NYR14"/>
    <mergeCell ref="NYS14:NYV14"/>
    <mergeCell ref="NYW14:NYZ14"/>
    <mergeCell ref="NZA14:NZD14"/>
    <mergeCell ref="NXI14:NXL14"/>
    <mergeCell ref="NXM14:NXP14"/>
    <mergeCell ref="NXQ14:NXT14"/>
    <mergeCell ref="NXU14:NXX14"/>
    <mergeCell ref="NXY14:NYB14"/>
    <mergeCell ref="NYC14:NYF14"/>
    <mergeCell ref="NWK14:NWN14"/>
    <mergeCell ref="NWO14:NWR14"/>
    <mergeCell ref="NWS14:NWV14"/>
    <mergeCell ref="NWW14:NWZ14"/>
    <mergeCell ref="NXA14:NXD14"/>
    <mergeCell ref="NXE14:NXH14"/>
    <mergeCell ref="NVM14:NVP14"/>
    <mergeCell ref="NVQ14:NVT14"/>
    <mergeCell ref="NVU14:NVX14"/>
    <mergeCell ref="NVY14:NWB14"/>
    <mergeCell ref="NWC14:NWF14"/>
    <mergeCell ref="NWG14:NWJ14"/>
    <mergeCell ref="NUO14:NUR14"/>
    <mergeCell ref="NUS14:NUV14"/>
    <mergeCell ref="NUW14:NUZ14"/>
    <mergeCell ref="NVA14:NVD14"/>
    <mergeCell ref="NVE14:NVH14"/>
    <mergeCell ref="NVI14:NVL14"/>
    <mergeCell ref="NTQ14:NTT14"/>
    <mergeCell ref="NTU14:NTX14"/>
    <mergeCell ref="NTY14:NUB14"/>
    <mergeCell ref="NUC14:NUF14"/>
    <mergeCell ref="NUG14:NUJ14"/>
    <mergeCell ref="NUK14:NUN14"/>
    <mergeCell ref="NSS14:NSV14"/>
    <mergeCell ref="NSW14:NSZ14"/>
    <mergeCell ref="NTA14:NTD14"/>
    <mergeCell ref="NTE14:NTH14"/>
    <mergeCell ref="NTI14:NTL14"/>
    <mergeCell ref="NTM14:NTP14"/>
    <mergeCell ref="NRU14:NRX14"/>
    <mergeCell ref="NRY14:NSB14"/>
    <mergeCell ref="NSC14:NSF14"/>
    <mergeCell ref="NSG14:NSJ14"/>
    <mergeCell ref="NSK14:NSN14"/>
    <mergeCell ref="NSO14:NSR14"/>
    <mergeCell ref="NQW14:NQZ14"/>
    <mergeCell ref="NRA14:NRD14"/>
    <mergeCell ref="NRE14:NRH14"/>
    <mergeCell ref="NRI14:NRL14"/>
    <mergeCell ref="NRM14:NRP14"/>
    <mergeCell ref="NRQ14:NRT14"/>
    <mergeCell ref="NPY14:NQB14"/>
    <mergeCell ref="NQC14:NQF14"/>
    <mergeCell ref="NQG14:NQJ14"/>
    <mergeCell ref="NQK14:NQN14"/>
    <mergeCell ref="NQO14:NQR14"/>
    <mergeCell ref="NQS14:NQV14"/>
    <mergeCell ref="NPA14:NPD14"/>
    <mergeCell ref="NPE14:NPH14"/>
    <mergeCell ref="NPI14:NPL14"/>
    <mergeCell ref="NPM14:NPP14"/>
    <mergeCell ref="NPQ14:NPT14"/>
    <mergeCell ref="NPU14:NPX14"/>
    <mergeCell ref="NOC14:NOF14"/>
    <mergeCell ref="NOG14:NOJ14"/>
    <mergeCell ref="NOK14:NON14"/>
    <mergeCell ref="NOO14:NOR14"/>
    <mergeCell ref="NOS14:NOV14"/>
    <mergeCell ref="NOW14:NOZ14"/>
    <mergeCell ref="NNE14:NNH14"/>
    <mergeCell ref="NNI14:NNL14"/>
    <mergeCell ref="NNM14:NNP14"/>
    <mergeCell ref="NNQ14:NNT14"/>
    <mergeCell ref="NNU14:NNX14"/>
    <mergeCell ref="NNY14:NOB14"/>
    <mergeCell ref="NMG14:NMJ14"/>
    <mergeCell ref="NMK14:NMN14"/>
    <mergeCell ref="NMO14:NMR14"/>
    <mergeCell ref="NMS14:NMV14"/>
    <mergeCell ref="NMW14:NMZ14"/>
    <mergeCell ref="NNA14:NND14"/>
    <mergeCell ref="NLI14:NLL14"/>
    <mergeCell ref="NLM14:NLP14"/>
    <mergeCell ref="NLQ14:NLT14"/>
    <mergeCell ref="NLU14:NLX14"/>
    <mergeCell ref="NLY14:NMB14"/>
    <mergeCell ref="NMC14:NMF14"/>
    <mergeCell ref="NKK14:NKN14"/>
    <mergeCell ref="NKO14:NKR14"/>
    <mergeCell ref="NKS14:NKV14"/>
    <mergeCell ref="NKW14:NKZ14"/>
    <mergeCell ref="NLA14:NLD14"/>
    <mergeCell ref="NLE14:NLH14"/>
    <mergeCell ref="NJM14:NJP14"/>
    <mergeCell ref="NJQ14:NJT14"/>
    <mergeCell ref="NJU14:NJX14"/>
    <mergeCell ref="NJY14:NKB14"/>
    <mergeCell ref="NKC14:NKF14"/>
    <mergeCell ref="NKG14:NKJ14"/>
    <mergeCell ref="NIO14:NIR14"/>
    <mergeCell ref="NIS14:NIV14"/>
    <mergeCell ref="NIW14:NIZ14"/>
    <mergeCell ref="NJA14:NJD14"/>
    <mergeCell ref="NJE14:NJH14"/>
    <mergeCell ref="NJI14:NJL14"/>
    <mergeCell ref="NHQ14:NHT14"/>
    <mergeCell ref="NHU14:NHX14"/>
    <mergeCell ref="NHY14:NIB14"/>
    <mergeCell ref="NIC14:NIF14"/>
    <mergeCell ref="NIG14:NIJ14"/>
    <mergeCell ref="NIK14:NIN14"/>
    <mergeCell ref="NGS14:NGV14"/>
    <mergeCell ref="NGW14:NGZ14"/>
    <mergeCell ref="NHA14:NHD14"/>
    <mergeCell ref="NHE14:NHH14"/>
    <mergeCell ref="NHI14:NHL14"/>
    <mergeCell ref="NHM14:NHP14"/>
    <mergeCell ref="NFU14:NFX14"/>
    <mergeCell ref="NFY14:NGB14"/>
    <mergeCell ref="NGC14:NGF14"/>
    <mergeCell ref="NGG14:NGJ14"/>
    <mergeCell ref="NGK14:NGN14"/>
    <mergeCell ref="NGO14:NGR14"/>
    <mergeCell ref="NEW14:NEZ14"/>
    <mergeCell ref="NFA14:NFD14"/>
    <mergeCell ref="NFE14:NFH14"/>
    <mergeCell ref="NFI14:NFL14"/>
    <mergeCell ref="NFM14:NFP14"/>
    <mergeCell ref="NFQ14:NFT14"/>
    <mergeCell ref="NDY14:NEB14"/>
    <mergeCell ref="NEC14:NEF14"/>
    <mergeCell ref="NEG14:NEJ14"/>
    <mergeCell ref="NEK14:NEN14"/>
    <mergeCell ref="NEO14:NER14"/>
    <mergeCell ref="NES14:NEV14"/>
    <mergeCell ref="NDA14:NDD14"/>
    <mergeCell ref="NDE14:NDH14"/>
    <mergeCell ref="NDI14:NDL14"/>
    <mergeCell ref="NDM14:NDP14"/>
    <mergeCell ref="NDQ14:NDT14"/>
    <mergeCell ref="NDU14:NDX14"/>
    <mergeCell ref="NCC14:NCF14"/>
    <mergeCell ref="NCG14:NCJ14"/>
    <mergeCell ref="NCK14:NCN14"/>
    <mergeCell ref="NCO14:NCR14"/>
    <mergeCell ref="NCS14:NCV14"/>
    <mergeCell ref="NCW14:NCZ14"/>
    <mergeCell ref="NBE14:NBH14"/>
    <mergeCell ref="NBI14:NBL14"/>
    <mergeCell ref="NBM14:NBP14"/>
    <mergeCell ref="NBQ14:NBT14"/>
    <mergeCell ref="NBU14:NBX14"/>
    <mergeCell ref="NBY14:NCB14"/>
    <mergeCell ref="NAG14:NAJ14"/>
    <mergeCell ref="NAK14:NAN14"/>
    <mergeCell ref="NAO14:NAR14"/>
    <mergeCell ref="NAS14:NAV14"/>
    <mergeCell ref="NAW14:NAZ14"/>
    <mergeCell ref="NBA14:NBD14"/>
    <mergeCell ref="MZI14:MZL14"/>
    <mergeCell ref="MZM14:MZP14"/>
    <mergeCell ref="MZQ14:MZT14"/>
    <mergeCell ref="MZU14:MZX14"/>
    <mergeCell ref="MZY14:NAB14"/>
    <mergeCell ref="NAC14:NAF14"/>
    <mergeCell ref="MYK14:MYN14"/>
    <mergeCell ref="MYO14:MYR14"/>
    <mergeCell ref="MYS14:MYV14"/>
    <mergeCell ref="MYW14:MYZ14"/>
    <mergeCell ref="MZA14:MZD14"/>
    <mergeCell ref="MZE14:MZH14"/>
    <mergeCell ref="MXM14:MXP14"/>
    <mergeCell ref="MXQ14:MXT14"/>
    <mergeCell ref="MXU14:MXX14"/>
    <mergeCell ref="MXY14:MYB14"/>
    <mergeCell ref="MYC14:MYF14"/>
    <mergeCell ref="MYG14:MYJ14"/>
    <mergeCell ref="MWO14:MWR14"/>
    <mergeCell ref="MWS14:MWV14"/>
    <mergeCell ref="MWW14:MWZ14"/>
    <mergeCell ref="MXA14:MXD14"/>
    <mergeCell ref="MXE14:MXH14"/>
    <mergeCell ref="MXI14:MXL14"/>
    <mergeCell ref="MVQ14:MVT14"/>
    <mergeCell ref="MVU14:MVX14"/>
    <mergeCell ref="MVY14:MWB14"/>
    <mergeCell ref="MWC14:MWF14"/>
    <mergeCell ref="MWG14:MWJ14"/>
    <mergeCell ref="MWK14:MWN14"/>
    <mergeCell ref="MUS14:MUV14"/>
    <mergeCell ref="MUW14:MUZ14"/>
    <mergeCell ref="MVA14:MVD14"/>
    <mergeCell ref="MVE14:MVH14"/>
    <mergeCell ref="MVI14:MVL14"/>
    <mergeCell ref="MVM14:MVP14"/>
    <mergeCell ref="MTU14:MTX14"/>
    <mergeCell ref="MTY14:MUB14"/>
    <mergeCell ref="MUC14:MUF14"/>
    <mergeCell ref="MUG14:MUJ14"/>
    <mergeCell ref="MUK14:MUN14"/>
    <mergeCell ref="MUO14:MUR14"/>
    <mergeCell ref="MSW14:MSZ14"/>
    <mergeCell ref="MTA14:MTD14"/>
    <mergeCell ref="MTE14:MTH14"/>
    <mergeCell ref="MTI14:MTL14"/>
    <mergeCell ref="MTM14:MTP14"/>
    <mergeCell ref="MTQ14:MTT14"/>
    <mergeCell ref="MRY14:MSB14"/>
    <mergeCell ref="MSC14:MSF14"/>
    <mergeCell ref="MSG14:MSJ14"/>
    <mergeCell ref="MSK14:MSN14"/>
    <mergeCell ref="MSO14:MSR14"/>
    <mergeCell ref="MSS14:MSV14"/>
    <mergeCell ref="MRA14:MRD14"/>
    <mergeCell ref="MRE14:MRH14"/>
    <mergeCell ref="MRI14:MRL14"/>
    <mergeCell ref="MRM14:MRP14"/>
    <mergeCell ref="MRQ14:MRT14"/>
    <mergeCell ref="MRU14:MRX14"/>
    <mergeCell ref="MQC14:MQF14"/>
    <mergeCell ref="MQG14:MQJ14"/>
    <mergeCell ref="MQK14:MQN14"/>
    <mergeCell ref="MQO14:MQR14"/>
    <mergeCell ref="MQS14:MQV14"/>
    <mergeCell ref="MQW14:MQZ14"/>
    <mergeCell ref="MPE14:MPH14"/>
    <mergeCell ref="MPI14:MPL14"/>
    <mergeCell ref="MPM14:MPP14"/>
    <mergeCell ref="MPQ14:MPT14"/>
    <mergeCell ref="MPU14:MPX14"/>
    <mergeCell ref="MPY14:MQB14"/>
    <mergeCell ref="MOG14:MOJ14"/>
    <mergeCell ref="MOK14:MON14"/>
    <mergeCell ref="MOO14:MOR14"/>
    <mergeCell ref="MOS14:MOV14"/>
    <mergeCell ref="MOW14:MOZ14"/>
    <mergeCell ref="MPA14:MPD14"/>
    <mergeCell ref="MNI14:MNL14"/>
    <mergeCell ref="MNM14:MNP14"/>
    <mergeCell ref="MNQ14:MNT14"/>
    <mergeCell ref="MNU14:MNX14"/>
    <mergeCell ref="MNY14:MOB14"/>
    <mergeCell ref="MOC14:MOF14"/>
    <mergeCell ref="MMK14:MMN14"/>
    <mergeCell ref="MMO14:MMR14"/>
    <mergeCell ref="MMS14:MMV14"/>
    <mergeCell ref="MMW14:MMZ14"/>
    <mergeCell ref="MNA14:MND14"/>
    <mergeCell ref="MNE14:MNH14"/>
    <mergeCell ref="MLM14:MLP14"/>
    <mergeCell ref="MLQ14:MLT14"/>
    <mergeCell ref="MLU14:MLX14"/>
    <mergeCell ref="MLY14:MMB14"/>
    <mergeCell ref="MMC14:MMF14"/>
    <mergeCell ref="MMG14:MMJ14"/>
    <mergeCell ref="MKO14:MKR14"/>
    <mergeCell ref="MKS14:MKV14"/>
    <mergeCell ref="MKW14:MKZ14"/>
    <mergeCell ref="MLA14:MLD14"/>
    <mergeCell ref="MLE14:MLH14"/>
    <mergeCell ref="MLI14:MLL14"/>
    <mergeCell ref="MJQ14:MJT14"/>
    <mergeCell ref="MJU14:MJX14"/>
    <mergeCell ref="MJY14:MKB14"/>
    <mergeCell ref="MKC14:MKF14"/>
    <mergeCell ref="MKG14:MKJ14"/>
    <mergeCell ref="MKK14:MKN14"/>
    <mergeCell ref="MIS14:MIV14"/>
    <mergeCell ref="MIW14:MIZ14"/>
    <mergeCell ref="MJA14:MJD14"/>
    <mergeCell ref="MJE14:MJH14"/>
    <mergeCell ref="MJI14:MJL14"/>
    <mergeCell ref="MJM14:MJP14"/>
    <mergeCell ref="MHU14:MHX14"/>
    <mergeCell ref="MHY14:MIB14"/>
    <mergeCell ref="MIC14:MIF14"/>
    <mergeCell ref="MIG14:MIJ14"/>
    <mergeCell ref="MIK14:MIN14"/>
    <mergeCell ref="MIO14:MIR14"/>
    <mergeCell ref="MGW14:MGZ14"/>
    <mergeCell ref="MHA14:MHD14"/>
    <mergeCell ref="MHE14:MHH14"/>
    <mergeCell ref="MHI14:MHL14"/>
    <mergeCell ref="MHM14:MHP14"/>
    <mergeCell ref="MHQ14:MHT14"/>
    <mergeCell ref="MFY14:MGB14"/>
    <mergeCell ref="MGC14:MGF14"/>
    <mergeCell ref="MGG14:MGJ14"/>
    <mergeCell ref="MGK14:MGN14"/>
    <mergeCell ref="MGO14:MGR14"/>
    <mergeCell ref="MGS14:MGV14"/>
    <mergeCell ref="MFA14:MFD14"/>
    <mergeCell ref="MFE14:MFH14"/>
    <mergeCell ref="MFI14:MFL14"/>
    <mergeCell ref="MFM14:MFP14"/>
    <mergeCell ref="MFQ14:MFT14"/>
    <mergeCell ref="MFU14:MFX14"/>
    <mergeCell ref="MEC14:MEF14"/>
    <mergeCell ref="MEG14:MEJ14"/>
    <mergeCell ref="MEK14:MEN14"/>
    <mergeCell ref="MEO14:MER14"/>
    <mergeCell ref="MES14:MEV14"/>
    <mergeCell ref="MEW14:MEZ14"/>
    <mergeCell ref="MDE14:MDH14"/>
    <mergeCell ref="MDI14:MDL14"/>
    <mergeCell ref="MDM14:MDP14"/>
    <mergeCell ref="MDQ14:MDT14"/>
    <mergeCell ref="MDU14:MDX14"/>
    <mergeCell ref="MDY14:MEB14"/>
    <mergeCell ref="MCG14:MCJ14"/>
    <mergeCell ref="MCK14:MCN14"/>
    <mergeCell ref="MCO14:MCR14"/>
    <mergeCell ref="MCS14:MCV14"/>
    <mergeCell ref="MCW14:MCZ14"/>
    <mergeCell ref="MDA14:MDD14"/>
    <mergeCell ref="MBI14:MBL14"/>
    <mergeCell ref="MBM14:MBP14"/>
    <mergeCell ref="MBQ14:MBT14"/>
    <mergeCell ref="MBU14:MBX14"/>
    <mergeCell ref="MBY14:MCB14"/>
    <mergeCell ref="MCC14:MCF14"/>
    <mergeCell ref="MAK14:MAN14"/>
    <mergeCell ref="MAO14:MAR14"/>
    <mergeCell ref="MAS14:MAV14"/>
    <mergeCell ref="MAW14:MAZ14"/>
    <mergeCell ref="MBA14:MBD14"/>
    <mergeCell ref="MBE14:MBH14"/>
    <mergeCell ref="LZM14:LZP14"/>
    <mergeCell ref="LZQ14:LZT14"/>
    <mergeCell ref="LZU14:LZX14"/>
    <mergeCell ref="LZY14:MAB14"/>
    <mergeCell ref="MAC14:MAF14"/>
    <mergeCell ref="MAG14:MAJ14"/>
    <mergeCell ref="LYO14:LYR14"/>
    <mergeCell ref="LYS14:LYV14"/>
    <mergeCell ref="LYW14:LYZ14"/>
    <mergeCell ref="LZA14:LZD14"/>
    <mergeCell ref="LZE14:LZH14"/>
    <mergeCell ref="LZI14:LZL14"/>
    <mergeCell ref="LXQ14:LXT14"/>
    <mergeCell ref="LXU14:LXX14"/>
    <mergeCell ref="LXY14:LYB14"/>
    <mergeCell ref="LYC14:LYF14"/>
    <mergeCell ref="LYG14:LYJ14"/>
    <mergeCell ref="LYK14:LYN14"/>
    <mergeCell ref="LWS14:LWV14"/>
    <mergeCell ref="LWW14:LWZ14"/>
    <mergeCell ref="LXA14:LXD14"/>
    <mergeCell ref="LXE14:LXH14"/>
    <mergeCell ref="LXI14:LXL14"/>
    <mergeCell ref="LXM14:LXP14"/>
    <mergeCell ref="LVU14:LVX14"/>
    <mergeCell ref="LVY14:LWB14"/>
    <mergeCell ref="LWC14:LWF14"/>
    <mergeCell ref="LWG14:LWJ14"/>
    <mergeCell ref="LWK14:LWN14"/>
    <mergeCell ref="LWO14:LWR14"/>
    <mergeCell ref="LUW14:LUZ14"/>
    <mergeCell ref="LVA14:LVD14"/>
    <mergeCell ref="LVE14:LVH14"/>
    <mergeCell ref="LVI14:LVL14"/>
    <mergeCell ref="LVM14:LVP14"/>
    <mergeCell ref="LVQ14:LVT14"/>
    <mergeCell ref="LTY14:LUB14"/>
    <mergeCell ref="LUC14:LUF14"/>
    <mergeCell ref="LUG14:LUJ14"/>
    <mergeCell ref="LUK14:LUN14"/>
    <mergeCell ref="LUO14:LUR14"/>
    <mergeCell ref="LUS14:LUV14"/>
    <mergeCell ref="LTA14:LTD14"/>
    <mergeCell ref="LTE14:LTH14"/>
    <mergeCell ref="LTI14:LTL14"/>
    <mergeCell ref="LTM14:LTP14"/>
    <mergeCell ref="LTQ14:LTT14"/>
    <mergeCell ref="LTU14:LTX14"/>
    <mergeCell ref="LSC14:LSF14"/>
    <mergeCell ref="LSG14:LSJ14"/>
    <mergeCell ref="LSK14:LSN14"/>
    <mergeCell ref="LSO14:LSR14"/>
    <mergeCell ref="LSS14:LSV14"/>
    <mergeCell ref="LSW14:LSZ14"/>
    <mergeCell ref="LRE14:LRH14"/>
    <mergeCell ref="LRI14:LRL14"/>
    <mergeCell ref="LRM14:LRP14"/>
    <mergeCell ref="LRQ14:LRT14"/>
    <mergeCell ref="LRU14:LRX14"/>
    <mergeCell ref="LRY14:LSB14"/>
    <mergeCell ref="LQG14:LQJ14"/>
    <mergeCell ref="LQK14:LQN14"/>
    <mergeCell ref="LQO14:LQR14"/>
    <mergeCell ref="LQS14:LQV14"/>
    <mergeCell ref="LQW14:LQZ14"/>
    <mergeCell ref="LRA14:LRD14"/>
    <mergeCell ref="LPI14:LPL14"/>
    <mergeCell ref="LPM14:LPP14"/>
    <mergeCell ref="LPQ14:LPT14"/>
    <mergeCell ref="LPU14:LPX14"/>
    <mergeCell ref="LPY14:LQB14"/>
    <mergeCell ref="LQC14:LQF14"/>
    <mergeCell ref="LOK14:LON14"/>
    <mergeCell ref="LOO14:LOR14"/>
    <mergeCell ref="LOS14:LOV14"/>
    <mergeCell ref="LOW14:LOZ14"/>
    <mergeCell ref="LPA14:LPD14"/>
    <mergeCell ref="LPE14:LPH14"/>
    <mergeCell ref="LNM14:LNP14"/>
    <mergeCell ref="LNQ14:LNT14"/>
    <mergeCell ref="LNU14:LNX14"/>
    <mergeCell ref="LNY14:LOB14"/>
    <mergeCell ref="LOC14:LOF14"/>
    <mergeCell ref="LOG14:LOJ14"/>
    <mergeCell ref="LMO14:LMR14"/>
    <mergeCell ref="LMS14:LMV14"/>
    <mergeCell ref="LMW14:LMZ14"/>
    <mergeCell ref="LNA14:LND14"/>
    <mergeCell ref="LNE14:LNH14"/>
    <mergeCell ref="LNI14:LNL14"/>
    <mergeCell ref="LLQ14:LLT14"/>
    <mergeCell ref="LLU14:LLX14"/>
    <mergeCell ref="LLY14:LMB14"/>
    <mergeCell ref="LMC14:LMF14"/>
    <mergeCell ref="LMG14:LMJ14"/>
    <mergeCell ref="LMK14:LMN14"/>
    <mergeCell ref="LKS14:LKV14"/>
    <mergeCell ref="LKW14:LKZ14"/>
    <mergeCell ref="LLA14:LLD14"/>
    <mergeCell ref="LLE14:LLH14"/>
    <mergeCell ref="LLI14:LLL14"/>
    <mergeCell ref="LLM14:LLP14"/>
    <mergeCell ref="LJU14:LJX14"/>
    <mergeCell ref="LJY14:LKB14"/>
    <mergeCell ref="LKC14:LKF14"/>
    <mergeCell ref="LKG14:LKJ14"/>
    <mergeCell ref="LKK14:LKN14"/>
    <mergeCell ref="LKO14:LKR14"/>
    <mergeCell ref="LIW14:LIZ14"/>
    <mergeCell ref="LJA14:LJD14"/>
    <mergeCell ref="LJE14:LJH14"/>
    <mergeCell ref="LJI14:LJL14"/>
    <mergeCell ref="LJM14:LJP14"/>
    <mergeCell ref="LJQ14:LJT14"/>
    <mergeCell ref="LHY14:LIB14"/>
    <mergeCell ref="LIC14:LIF14"/>
    <mergeCell ref="LIG14:LIJ14"/>
    <mergeCell ref="LIK14:LIN14"/>
    <mergeCell ref="LIO14:LIR14"/>
    <mergeCell ref="LIS14:LIV14"/>
    <mergeCell ref="LHA14:LHD14"/>
    <mergeCell ref="LHE14:LHH14"/>
    <mergeCell ref="LHI14:LHL14"/>
    <mergeCell ref="LHM14:LHP14"/>
    <mergeCell ref="LHQ14:LHT14"/>
    <mergeCell ref="LHU14:LHX14"/>
    <mergeCell ref="LGC14:LGF14"/>
    <mergeCell ref="LGG14:LGJ14"/>
    <mergeCell ref="LGK14:LGN14"/>
    <mergeCell ref="LGO14:LGR14"/>
    <mergeCell ref="LGS14:LGV14"/>
    <mergeCell ref="LGW14:LGZ14"/>
    <mergeCell ref="LFE14:LFH14"/>
    <mergeCell ref="LFI14:LFL14"/>
    <mergeCell ref="LFM14:LFP14"/>
    <mergeCell ref="LFQ14:LFT14"/>
    <mergeCell ref="LFU14:LFX14"/>
    <mergeCell ref="LFY14:LGB14"/>
    <mergeCell ref="LEG14:LEJ14"/>
    <mergeCell ref="LEK14:LEN14"/>
    <mergeCell ref="LEO14:LER14"/>
    <mergeCell ref="LES14:LEV14"/>
    <mergeCell ref="LEW14:LEZ14"/>
    <mergeCell ref="LFA14:LFD14"/>
    <mergeCell ref="LDI14:LDL14"/>
    <mergeCell ref="LDM14:LDP14"/>
    <mergeCell ref="LDQ14:LDT14"/>
    <mergeCell ref="LDU14:LDX14"/>
    <mergeCell ref="LDY14:LEB14"/>
    <mergeCell ref="LEC14:LEF14"/>
    <mergeCell ref="LCK14:LCN14"/>
    <mergeCell ref="LCO14:LCR14"/>
    <mergeCell ref="LCS14:LCV14"/>
    <mergeCell ref="LCW14:LCZ14"/>
    <mergeCell ref="LDA14:LDD14"/>
    <mergeCell ref="LDE14:LDH14"/>
    <mergeCell ref="LBM14:LBP14"/>
    <mergeCell ref="LBQ14:LBT14"/>
    <mergeCell ref="LBU14:LBX14"/>
    <mergeCell ref="LBY14:LCB14"/>
    <mergeCell ref="LCC14:LCF14"/>
    <mergeCell ref="LCG14:LCJ14"/>
    <mergeCell ref="LAO14:LAR14"/>
    <mergeCell ref="LAS14:LAV14"/>
    <mergeCell ref="LAW14:LAZ14"/>
    <mergeCell ref="LBA14:LBD14"/>
    <mergeCell ref="LBE14:LBH14"/>
    <mergeCell ref="LBI14:LBL14"/>
    <mergeCell ref="KZQ14:KZT14"/>
    <mergeCell ref="KZU14:KZX14"/>
    <mergeCell ref="KZY14:LAB14"/>
    <mergeCell ref="LAC14:LAF14"/>
    <mergeCell ref="LAG14:LAJ14"/>
    <mergeCell ref="LAK14:LAN14"/>
    <mergeCell ref="KYS14:KYV14"/>
    <mergeCell ref="KYW14:KYZ14"/>
    <mergeCell ref="KZA14:KZD14"/>
    <mergeCell ref="KZE14:KZH14"/>
    <mergeCell ref="KZI14:KZL14"/>
    <mergeCell ref="KZM14:KZP14"/>
    <mergeCell ref="KXU14:KXX14"/>
    <mergeCell ref="KXY14:KYB14"/>
    <mergeCell ref="KYC14:KYF14"/>
    <mergeCell ref="KYG14:KYJ14"/>
    <mergeCell ref="KYK14:KYN14"/>
    <mergeCell ref="KYO14:KYR14"/>
    <mergeCell ref="KWW14:KWZ14"/>
    <mergeCell ref="KXA14:KXD14"/>
    <mergeCell ref="KXE14:KXH14"/>
    <mergeCell ref="KXI14:KXL14"/>
    <mergeCell ref="KXM14:KXP14"/>
    <mergeCell ref="KXQ14:KXT14"/>
    <mergeCell ref="KVY14:KWB14"/>
    <mergeCell ref="KWC14:KWF14"/>
    <mergeCell ref="KWG14:KWJ14"/>
    <mergeCell ref="KWK14:KWN14"/>
    <mergeCell ref="KWO14:KWR14"/>
    <mergeCell ref="KWS14:KWV14"/>
    <mergeCell ref="KVA14:KVD14"/>
    <mergeCell ref="KVE14:KVH14"/>
    <mergeCell ref="KVI14:KVL14"/>
    <mergeCell ref="KVM14:KVP14"/>
    <mergeCell ref="KVQ14:KVT14"/>
    <mergeCell ref="KVU14:KVX14"/>
    <mergeCell ref="KUC14:KUF14"/>
    <mergeCell ref="KUG14:KUJ14"/>
    <mergeCell ref="KUK14:KUN14"/>
    <mergeCell ref="KUO14:KUR14"/>
    <mergeCell ref="KUS14:KUV14"/>
    <mergeCell ref="KUW14:KUZ14"/>
    <mergeCell ref="KTE14:KTH14"/>
    <mergeCell ref="KTI14:KTL14"/>
    <mergeCell ref="KTM14:KTP14"/>
    <mergeCell ref="KTQ14:KTT14"/>
    <mergeCell ref="KTU14:KTX14"/>
    <mergeCell ref="KTY14:KUB14"/>
    <mergeCell ref="KSG14:KSJ14"/>
    <mergeCell ref="KSK14:KSN14"/>
    <mergeCell ref="KSO14:KSR14"/>
    <mergeCell ref="KSS14:KSV14"/>
    <mergeCell ref="KSW14:KSZ14"/>
    <mergeCell ref="KTA14:KTD14"/>
    <mergeCell ref="KRI14:KRL14"/>
    <mergeCell ref="KRM14:KRP14"/>
    <mergeCell ref="KRQ14:KRT14"/>
    <mergeCell ref="KRU14:KRX14"/>
    <mergeCell ref="KRY14:KSB14"/>
    <mergeCell ref="KSC14:KSF14"/>
    <mergeCell ref="KQK14:KQN14"/>
    <mergeCell ref="KQO14:KQR14"/>
    <mergeCell ref="KQS14:KQV14"/>
    <mergeCell ref="KQW14:KQZ14"/>
    <mergeCell ref="KRA14:KRD14"/>
    <mergeCell ref="KRE14:KRH14"/>
    <mergeCell ref="KPM14:KPP14"/>
    <mergeCell ref="KPQ14:KPT14"/>
    <mergeCell ref="KPU14:KPX14"/>
    <mergeCell ref="KPY14:KQB14"/>
    <mergeCell ref="KQC14:KQF14"/>
    <mergeCell ref="KQG14:KQJ14"/>
    <mergeCell ref="KOO14:KOR14"/>
    <mergeCell ref="KOS14:KOV14"/>
    <mergeCell ref="KOW14:KOZ14"/>
    <mergeCell ref="KPA14:KPD14"/>
    <mergeCell ref="KPE14:KPH14"/>
    <mergeCell ref="KPI14:KPL14"/>
    <mergeCell ref="KNQ14:KNT14"/>
    <mergeCell ref="KNU14:KNX14"/>
    <mergeCell ref="KNY14:KOB14"/>
    <mergeCell ref="KOC14:KOF14"/>
    <mergeCell ref="KOG14:KOJ14"/>
    <mergeCell ref="KOK14:KON14"/>
    <mergeCell ref="KMS14:KMV14"/>
    <mergeCell ref="KMW14:KMZ14"/>
    <mergeCell ref="KNA14:KND14"/>
    <mergeCell ref="KNE14:KNH14"/>
    <mergeCell ref="KNI14:KNL14"/>
    <mergeCell ref="KNM14:KNP14"/>
    <mergeCell ref="KLU14:KLX14"/>
    <mergeCell ref="KLY14:KMB14"/>
    <mergeCell ref="KMC14:KMF14"/>
    <mergeCell ref="KMG14:KMJ14"/>
    <mergeCell ref="KMK14:KMN14"/>
    <mergeCell ref="KMO14:KMR14"/>
    <mergeCell ref="KKW14:KKZ14"/>
    <mergeCell ref="KLA14:KLD14"/>
    <mergeCell ref="KLE14:KLH14"/>
    <mergeCell ref="KLI14:KLL14"/>
    <mergeCell ref="KLM14:KLP14"/>
    <mergeCell ref="KLQ14:KLT14"/>
    <mergeCell ref="KJY14:KKB14"/>
    <mergeCell ref="KKC14:KKF14"/>
    <mergeCell ref="KKG14:KKJ14"/>
    <mergeCell ref="KKK14:KKN14"/>
    <mergeCell ref="KKO14:KKR14"/>
    <mergeCell ref="KKS14:KKV14"/>
    <mergeCell ref="KJA14:KJD14"/>
    <mergeCell ref="KJE14:KJH14"/>
    <mergeCell ref="KJI14:KJL14"/>
    <mergeCell ref="KJM14:KJP14"/>
    <mergeCell ref="KJQ14:KJT14"/>
    <mergeCell ref="KJU14:KJX14"/>
    <mergeCell ref="KIC14:KIF14"/>
    <mergeCell ref="KIG14:KIJ14"/>
    <mergeCell ref="KIK14:KIN14"/>
    <mergeCell ref="KIO14:KIR14"/>
    <mergeCell ref="KIS14:KIV14"/>
    <mergeCell ref="KIW14:KIZ14"/>
    <mergeCell ref="KHE14:KHH14"/>
    <mergeCell ref="KHI14:KHL14"/>
    <mergeCell ref="KHM14:KHP14"/>
    <mergeCell ref="KHQ14:KHT14"/>
    <mergeCell ref="KHU14:KHX14"/>
    <mergeCell ref="KHY14:KIB14"/>
    <mergeCell ref="KGG14:KGJ14"/>
    <mergeCell ref="KGK14:KGN14"/>
    <mergeCell ref="KGO14:KGR14"/>
    <mergeCell ref="KGS14:KGV14"/>
    <mergeCell ref="KGW14:KGZ14"/>
    <mergeCell ref="KHA14:KHD14"/>
    <mergeCell ref="KFI14:KFL14"/>
    <mergeCell ref="KFM14:KFP14"/>
    <mergeCell ref="KFQ14:KFT14"/>
    <mergeCell ref="KFU14:KFX14"/>
    <mergeCell ref="KFY14:KGB14"/>
    <mergeCell ref="KGC14:KGF14"/>
    <mergeCell ref="KEK14:KEN14"/>
    <mergeCell ref="KEO14:KER14"/>
    <mergeCell ref="KES14:KEV14"/>
    <mergeCell ref="KEW14:KEZ14"/>
    <mergeCell ref="KFA14:KFD14"/>
    <mergeCell ref="KFE14:KFH14"/>
    <mergeCell ref="KDM14:KDP14"/>
    <mergeCell ref="KDQ14:KDT14"/>
    <mergeCell ref="KDU14:KDX14"/>
    <mergeCell ref="KDY14:KEB14"/>
    <mergeCell ref="KEC14:KEF14"/>
    <mergeCell ref="KEG14:KEJ14"/>
    <mergeCell ref="KCO14:KCR14"/>
    <mergeCell ref="KCS14:KCV14"/>
    <mergeCell ref="KCW14:KCZ14"/>
    <mergeCell ref="KDA14:KDD14"/>
    <mergeCell ref="KDE14:KDH14"/>
    <mergeCell ref="KDI14:KDL14"/>
    <mergeCell ref="KBQ14:KBT14"/>
    <mergeCell ref="KBU14:KBX14"/>
    <mergeCell ref="KBY14:KCB14"/>
    <mergeCell ref="KCC14:KCF14"/>
    <mergeCell ref="KCG14:KCJ14"/>
    <mergeCell ref="KCK14:KCN14"/>
    <mergeCell ref="KAS14:KAV14"/>
    <mergeCell ref="KAW14:KAZ14"/>
    <mergeCell ref="KBA14:KBD14"/>
    <mergeCell ref="KBE14:KBH14"/>
    <mergeCell ref="KBI14:KBL14"/>
    <mergeCell ref="KBM14:KBP14"/>
    <mergeCell ref="JZU14:JZX14"/>
    <mergeCell ref="JZY14:KAB14"/>
    <mergeCell ref="KAC14:KAF14"/>
    <mergeCell ref="KAG14:KAJ14"/>
    <mergeCell ref="KAK14:KAN14"/>
    <mergeCell ref="KAO14:KAR14"/>
    <mergeCell ref="JYW14:JYZ14"/>
    <mergeCell ref="JZA14:JZD14"/>
    <mergeCell ref="JZE14:JZH14"/>
    <mergeCell ref="JZI14:JZL14"/>
    <mergeCell ref="JZM14:JZP14"/>
    <mergeCell ref="JZQ14:JZT14"/>
    <mergeCell ref="JXY14:JYB14"/>
    <mergeCell ref="JYC14:JYF14"/>
    <mergeCell ref="JYG14:JYJ14"/>
    <mergeCell ref="JYK14:JYN14"/>
    <mergeCell ref="JYO14:JYR14"/>
    <mergeCell ref="JYS14:JYV14"/>
    <mergeCell ref="JXA14:JXD14"/>
    <mergeCell ref="JXE14:JXH14"/>
    <mergeCell ref="JXI14:JXL14"/>
    <mergeCell ref="JXM14:JXP14"/>
    <mergeCell ref="JXQ14:JXT14"/>
    <mergeCell ref="JXU14:JXX14"/>
    <mergeCell ref="JWC14:JWF14"/>
    <mergeCell ref="JWG14:JWJ14"/>
    <mergeCell ref="JWK14:JWN14"/>
    <mergeCell ref="JWO14:JWR14"/>
    <mergeCell ref="JWS14:JWV14"/>
    <mergeCell ref="JWW14:JWZ14"/>
    <mergeCell ref="JVE14:JVH14"/>
    <mergeCell ref="JVI14:JVL14"/>
    <mergeCell ref="JVM14:JVP14"/>
    <mergeCell ref="JVQ14:JVT14"/>
    <mergeCell ref="JVU14:JVX14"/>
    <mergeCell ref="JVY14:JWB14"/>
    <mergeCell ref="JUG14:JUJ14"/>
    <mergeCell ref="JUK14:JUN14"/>
    <mergeCell ref="JUO14:JUR14"/>
    <mergeCell ref="JUS14:JUV14"/>
    <mergeCell ref="JUW14:JUZ14"/>
    <mergeCell ref="JVA14:JVD14"/>
    <mergeCell ref="JTI14:JTL14"/>
    <mergeCell ref="JTM14:JTP14"/>
    <mergeCell ref="JTQ14:JTT14"/>
    <mergeCell ref="JTU14:JTX14"/>
    <mergeCell ref="JTY14:JUB14"/>
    <mergeCell ref="JUC14:JUF14"/>
    <mergeCell ref="JSK14:JSN14"/>
    <mergeCell ref="JSO14:JSR14"/>
    <mergeCell ref="JSS14:JSV14"/>
    <mergeCell ref="JSW14:JSZ14"/>
    <mergeCell ref="JTA14:JTD14"/>
    <mergeCell ref="JTE14:JTH14"/>
    <mergeCell ref="JRM14:JRP14"/>
    <mergeCell ref="JRQ14:JRT14"/>
    <mergeCell ref="JRU14:JRX14"/>
    <mergeCell ref="JRY14:JSB14"/>
    <mergeCell ref="JSC14:JSF14"/>
    <mergeCell ref="JSG14:JSJ14"/>
    <mergeCell ref="JQO14:JQR14"/>
    <mergeCell ref="JQS14:JQV14"/>
    <mergeCell ref="JQW14:JQZ14"/>
    <mergeCell ref="JRA14:JRD14"/>
    <mergeCell ref="JRE14:JRH14"/>
    <mergeCell ref="JRI14:JRL14"/>
    <mergeCell ref="JPQ14:JPT14"/>
    <mergeCell ref="JPU14:JPX14"/>
    <mergeCell ref="JPY14:JQB14"/>
    <mergeCell ref="JQC14:JQF14"/>
    <mergeCell ref="JQG14:JQJ14"/>
    <mergeCell ref="JQK14:JQN14"/>
    <mergeCell ref="JOS14:JOV14"/>
    <mergeCell ref="JOW14:JOZ14"/>
    <mergeCell ref="JPA14:JPD14"/>
    <mergeCell ref="JPE14:JPH14"/>
    <mergeCell ref="JPI14:JPL14"/>
    <mergeCell ref="JPM14:JPP14"/>
    <mergeCell ref="JNU14:JNX14"/>
    <mergeCell ref="JNY14:JOB14"/>
    <mergeCell ref="JOC14:JOF14"/>
    <mergeCell ref="JOG14:JOJ14"/>
    <mergeCell ref="JOK14:JON14"/>
    <mergeCell ref="JOO14:JOR14"/>
    <mergeCell ref="JMW14:JMZ14"/>
    <mergeCell ref="JNA14:JND14"/>
    <mergeCell ref="JNE14:JNH14"/>
    <mergeCell ref="JNI14:JNL14"/>
    <mergeCell ref="JNM14:JNP14"/>
    <mergeCell ref="JNQ14:JNT14"/>
    <mergeCell ref="JLY14:JMB14"/>
    <mergeCell ref="JMC14:JMF14"/>
    <mergeCell ref="JMG14:JMJ14"/>
    <mergeCell ref="JMK14:JMN14"/>
    <mergeCell ref="JMO14:JMR14"/>
    <mergeCell ref="JMS14:JMV14"/>
    <mergeCell ref="JLA14:JLD14"/>
    <mergeCell ref="JLE14:JLH14"/>
    <mergeCell ref="JLI14:JLL14"/>
    <mergeCell ref="JLM14:JLP14"/>
    <mergeCell ref="JLQ14:JLT14"/>
    <mergeCell ref="JLU14:JLX14"/>
    <mergeCell ref="JKC14:JKF14"/>
    <mergeCell ref="JKG14:JKJ14"/>
    <mergeCell ref="JKK14:JKN14"/>
    <mergeCell ref="JKO14:JKR14"/>
    <mergeCell ref="JKS14:JKV14"/>
    <mergeCell ref="JKW14:JKZ14"/>
    <mergeCell ref="JJE14:JJH14"/>
    <mergeCell ref="JJI14:JJL14"/>
    <mergeCell ref="JJM14:JJP14"/>
    <mergeCell ref="JJQ14:JJT14"/>
    <mergeCell ref="JJU14:JJX14"/>
    <mergeCell ref="JJY14:JKB14"/>
    <mergeCell ref="JIG14:JIJ14"/>
    <mergeCell ref="JIK14:JIN14"/>
    <mergeCell ref="JIO14:JIR14"/>
    <mergeCell ref="JIS14:JIV14"/>
    <mergeCell ref="JIW14:JIZ14"/>
    <mergeCell ref="JJA14:JJD14"/>
    <mergeCell ref="JHI14:JHL14"/>
    <mergeCell ref="JHM14:JHP14"/>
    <mergeCell ref="JHQ14:JHT14"/>
    <mergeCell ref="JHU14:JHX14"/>
    <mergeCell ref="JHY14:JIB14"/>
    <mergeCell ref="JIC14:JIF14"/>
    <mergeCell ref="JGK14:JGN14"/>
    <mergeCell ref="JGO14:JGR14"/>
    <mergeCell ref="JGS14:JGV14"/>
    <mergeCell ref="JGW14:JGZ14"/>
    <mergeCell ref="JHA14:JHD14"/>
    <mergeCell ref="JHE14:JHH14"/>
    <mergeCell ref="JFM14:JFP14"/>
    <mergeCell ref="JFQ14:JFT14"/>
    <mergeCell ref="JFU14:JFX14"/>
    <mergeCell ref="JFY14:JGB14"/>
    <mergeCell ref="JGC14:JGF14"/>
    <mergeCell ref="JGG14:JGJ14"/>
    <mergeCell ref="JEO14:JER14"/>
    <mergeCell ref="JES14:JEV14"/>
    <mergeCell ref="JEW14:JEZ14"/>
    <mergeCell ref="JFA14:JFD14"/>
    <mergeCell ref="JFE14:JFH14"/>
    <mergeCell ref="JFI14:JFL14"/>
    <mergeCell ref="JDQ14:JDT14"/>
    <mergeCell ref="JDU14:JDX14"/>
    <mergeCell ref="JDY14:JEB14"/>
    <mergeCell ref="JEC14:JEF14"/>
    <mergeCell ref="JEG14:JEJ14"/>
    <mergeCell ref="JEK14:JEN14"/>
    <mergeCell ref="JCS14:JCV14"/>
    <mergeCell ref="JCW14:JCZ14"/>
    <mergeCell ref="JDA14:JDD14"/>
    <mergeCell ref="JDE14:JDH14"/>
    <mergeCell ref="JDI14:JDL14"/>
    <mergeCell ref="JDM14:JDP14"/>
    <mergeCell ref="JBU14:JBX14"/>
    <mergeCell ref="JBY14:JCB14"/>
    <mergeCell ref="JCC14:JCF14"/>
    <mergeCell ref="JCG14:JCJ14"/>
    <mergeCell ref="JCK14:JCN14"/>
    <mergeCell ref="JCO14:JCR14"/>
    <mergeCell ref="JAW14:JAZ14"/>
    <mergeCell ref="JBA14:JBD14"/>
    <mergeCell ref="JBE14:JBH14"/>
    <mergeCell ref="JBI14:JBL14"/>
    <mergeCell ref="JBM14:JBP14"/>
    <mergeCell ref="JBQ14:JBT14"/>
    <mergeCell ref="IZY14:JAB14"/>
    <mergeCell ref="JAC14:JAF14"/>
    <mergeCell ref="JAG14:JAJ14"/>
    <mergeCell ref="JAK14:JAN14"/>
    <mergeCell ref="JAO14:JAR14"/>
    <mergeCell ref="JAS14:JAV14"/>
    <mergeCell ref="IZA14:IZD14"/>
    <mergeCell ref="IZE14:IZH14"/>
    <mergeCell ref="IZI14:IZL14"/>
    <mergeCell ref="IZM14:IZP14"/>
    <mergeCell ref="IZQ14:IZT14"/>
    <mergeCell ref="IZU14:IZX14"/>
    <mergeCell ref="IYC14:IYF14"/>
    <mergeCell ref="IYG14:IYJ14"/>
    <mergeCell ref="IYK14:IYN14"/>
    <mergeCell ref="IYO14:IYR14"/>
    <mergeCell ref="IYS14:IYV14"/>
    <mergeCell ref="IYW14:IYZ14"/>
    <mergeCell ref="IXE14:IXH14"/>
    <mergeCell ref="IXI14:IXL14"/>
    <mergeCell ref="IXM14:IXP14"/>
    <mergeCell ref="IXQ14:IXT14"/>
    <mergeCell ref="IXU14:IXX14"/>
    <mergeCell ref="IXY14:IYB14"/>
    <mergeCell ref="IWG14:IWJ14"/>
    <mergeCell ref="IWK14:IWN14"/>
    <mergeCell ref="IWO14:IWR14"/>
    <mergeCell ref="IWS14:IWV14"/>
    <mergeCell ref="IWW14:IWZ14"/>
    <mergeCell ref="IXA14:IXD14"/>
    <mergeCell ref="IVI14:IVL14"/>
    <mergeCell ref="IVM14:IVP14"/>
    <mergeCell ref="IVQ14:IVT14"/>
    <mergeCell ref="IVU14:IVX14"/>
    <mergeCell ref="IVY14:IWB14"/>
    <mergeCell ref="IWC14:IWF14"/>
    <mergeCell ref="IUK14:IUN14"/>
    <mergeCell ref="IUO14:IUR14"/>
    <mergeCell ref="IUS14:IUV14"/>
    <mergeCell ref="IUW14:IUZ14"/>
    <mergeCell ref="IVA14:IVD14"/>
    <mergeCell ref="IVE14:IVH14"/>
    <mergeCell ref="ITM14:ITP14"/>
    <mergeCell ref="ITQ14:ITT14"/>
    <mergeCell ref="ITU14:ITX14"/>
    <mergeCell ref="ITY14:IUB14"/>
    <mergeCell ref="IUC14:IUF14"/>
    <mergeCell ref="IUG14:IUJ14"/>
    <mergeCell ref="ISO14:ISR14"/>
    <mergeCell ref="ISS14:ISV14"/>
    <mergeCell ref="ISW14:ISZ14"/>
    <mergeCell ref="ITA14:ITD14"/>
    <mergeCell ref="ITE14:ITH14"/>
    <mergeCell ref="ITI14:ITL14"/>
    <mergeCell ref="IRQ14:IRT14"/>
    <mergeCell ref="IRU14:IRX14"/>
    <mergeCell ref="IRY14:ISB14"/>
    <mergeCell ref="ISC14:ISF14"/>
    <mergeCell ref="ISG14:ISJ14"/>
    <mergeCell ref="ISK14:ISN14"/>
    <mergeCell ref="IQS14:IQV14"/>
    <mergeCell ref="IQW14:IQZ14"/>
    <mergeCell ref="IRA14:IRD14"/>
    <mergeCell ref="IRE14:IRH14"/>
    <mergeCell ref="IRI14:IRL14"/>
    <mergeCell ref="IRM14:IRP14"/>
    <mergeCell ref="IPU14:IPX14"/>
    <mergeCell ref="IPY14:IQB14"/>
    <mergeCell ref="IQC14:IQF14"/>
    <mergeCell ref="IQG14:IQJ14"/>
    <mergeCell ref="IQK14:IQN14"/>
    <mergeCell ref="IQO14:IQR14"/>
    <mergeCell ref="IOW14:IOZ14"/>
    <mergeCell ref="IPA14:IPD14"/>
    <mergeCell ref="IPE14:IPH14"/>
    <mergeCell ref="IPI14:IPL14"/>
    <mergeCell ref="IPM14:IPP14"/>
    <mergeCell ref="IPQ14:IPT14"/>
    <mergeCell ref="INY14:IOB14"/>
    <mergeCell ref="IOC14:IOF14"/>
    <mergeCell ref="IOG14:IOJ14"/>
    <mergeCell ref="IOK14:ION14"/>
    <mergeCell ref="IOO14:IOR14"/>
    <mergeCell ref="IOS14:IOV14"/>
    <mergeCell ref="INA14:IND14"/>
    <mergeCell ref="INE14:INH14"/>
    <mergeCell ref="INI14:INL14"/>
    <mergeCell ref="INM14:INP14"/>
    <mergeCell ref="INQ14:INT14"/>
    <mergeCell ref="INU14:INX14"/>
    <mergeCell ref="IMC14:IMF14"/>
    <mergeCell ref="IMG14:IMJ14"/>
    <mergeCell ref="IMK14:IMN14"/>
    <mergeCell ref="IMO14:IMR14"/>
    <mergeCell ref="IMS14:IMV14"/>
    <mergeCell ref="IMW14:IMZ14"/>
    <mergeCell ref="ILE14:ILH14"/>
    <mergeCell ref="ILI14:ILL14"/>
    <mergeCell ref="ILM14:ILP14"/>
    <mergeCell ref="ILQ14:ILT14"/>
    <mergeCell ref="ILU14:ILX14"/>
    <mergeCell ref="ILY14:IMB14"/>
    <mergeCell ref="IKG14:IKJ14"/>
    <mergeCell ref="IKK14:IKN14"/>
    <mergeCell ref="IKO14:IKR14"/>
    <mergeCell ref="IKS14:IKV14"/>
    <mergeCell ref="IKW14:IKZ14"/>
    <mergeCell ref="ILA14:ILD14"/>
    <mergeCell ref="IJI14:IJL14"/>
    <mergeCell ref="IJM14:IJP14"/>
    <mergeCell ref="IJQ14:IJT14"/>
    <mergeCell ref="IJU14:IJX14"/>
    <mergeCell ref="IJY14:IKB14"/>
    <mergeCell ref="IKC14:IKF14"/>
    <mergeCell ref="IIK14:IIN14"/>
    <mergeCell ref="IIO14:IIR14"/>
    <mergeCell ref="IIS14:IIV14"/>
    <mergeCell ref="IIW14:IIZ14"/>
    <mergeCell ref="IJA14:IJD14"/>
    <mergeCell ref="IJE14:IJH14"/>
    <mergeCell ref="IHM14:IHP14"/>
    <mergeCell ref="IHQ14:IHT14"/>
    <mergeCell ref="IHU14:IHX14"/>
    <mergeCell ref="IHY14:IIB14"/>
    <mergeCell ref="IIC14:IIF14"/>
    <mergeCell ref="IIG14:IIJ14"/>
    <mergeCell ref="IGO14:IGR14"/>
    <mergeCell ref="IGS14:IGV14"/>
    <mergeCell ref="IGW14:IGZ14"/>
    <mergeCell ref="IHA14:IHD14"/>
    <mergeCell ref="IHE14:IHH14"/>
    <mergeCell ref="IHI14:IHL14"/>
    <mergeCell ref="IFQ14:IFT14"/>
    <mergeCell ref="IFU14:IFX14"/>
    <mergeCell ref="IFY14:IGB14"/>
    <mergeCell ref="IGC14:IGF14"/>
    <mergeCell ref="IGG14:IGJ14"/>
    <mergeCell ref="IGK14:IGN14"/>
    <mergeCell ref="IES14:IEV14"/>
    <mergeCell ref="IEW14:IEZ14"/>
    <mergeCell ref="IFA14:IFD14"/>
    <mergeCell ref="IFE14:IFH14"/>
    <mergeCell ref="IFI14:IFL14"/>
    <mergeCell ref="IFM14:IFP14"/>
    <mergeCell ref="IDU14:IDX14"/>
    <mergeCell ref="IDY14:IEB14"/>
    <mergeCell ref="IEC14:IEF14"/>
    <mergeCell ref="IEG14:IEJ14"/>
    <mergeCell ref="IEK14:IEN14"/>
    <mergeCell ref="IEO14:IER14"/>
    <mergeCell ref="ICW14:ICZ14"/>
    <mergeCell ref="IDA14:IDD14"/>
    <mergeCell ref="IDE14:IDH14"/>
    <mergeCell ref="IDI14:IDL14"/>
    <mergeCell ref="IDM14:IDP14"/>
    <mergeCell ref="IDQ14:IDT14"/>
    <mergeCell ref="IBY14:ICB14"/>
    <mergeCell ref="ICC14:ICF14"/>
    <mergeCell ref="ICG14:ICJ14"/>
    <mergeCell ref="ICK14:ICN14"/>
    <mergeCell ref="ICO14:ICR14"/>
    <mergeCell ref="ICS14:ICV14"/>
    <mergeCell ref="IBA14:IBD14"/>
    <mergeCell ref="IBE14:IBH14"/>
    <mergeCell ref="IBI14:IBL14"/>
    <mergeCell ref="IBM14:IBP14"/>
    <mergeCell ref="IBQ14:IBT14"/>
    <mergeCell ref="IBU14:IBX14"/>
    <mergeCell ref="IAC14:IAF14"/>
    <mergeCell ref="IAG14:IAJ14"/>
    <mergeCell ref="IAK14:IAN14"/>
    <mergeCell ref="IAO14:IAR14"/>
    <mergeCell ref="IAS14:IAV14"/>
    <mergeCell ref="IAW14:IAZ14"/>
    <mergeCell ref="HZE14:HZH14"/>
    <mergeCell ref="HZI14:HZL14"/>
    <mergeCell ref="HZM14:HZP14"/>
    <mergeCell ref="HZQ14:HZT14"/>
    <mergeCell ref="HZU14:HZX14"/>
    <mergeCell ref="HZY14:IAB14"/>
    <mergeCell ref="HYG14:HYJ14"/>
    <mergeCell ref="HYK14:HYN14"/>
    <mergeCell ref="HYO14:HYR14"/>
    <mergeCell ref="HYS14:HYV14"/>
    <mergeCell ref="HYW14:HYZ14"/>
    <mergeCell ref="HZA14:HZD14"/>
    <mergeCell ref="HXI14:HXL14"/>
    <mergeCell ref="HXM14:HXP14"/>
    <mergeCell ref="HXQ14:HXT14"/>
    <mergeCell ref="HXU14:HXX14"/>
    <mergeCell ref="HXY14:HYB14"/>
    <mergeCell ref="HYC14:HYF14"/>
    <mergeCell ref="HWK14:HWN14"/>
    <mergeCell ref="HWO14:HWR14"/>
    <mergeCell ref="HWS14:HWV14"/>
    <mergeCell ref="HWW14:HWZ14"/>
    <mergeCell ref="HXA14:HXD14"/>
    <mergeCell ref="HXE14:HXH14"/>
    <mergeCell ref="HVM14:HVP14"/>
    <mergeCell ref="HVQ14:HVT14"/>
    <mergeCell ref="HVU14:HVX14"/>
    <mergeCell ref="HVY14:HWB14"/>
    <mergeCell ref="HWC14:HWF14"/>
    <mergeCell ref="HWG14:HWJ14"/>
    <mergeCell ref="HUO14:HUR14"/>
    <mergeCell ref="HUS14:HUV14"/>
    <mergeCell ref="HUW14:HUZ14"/>
    <mergeCell ref="HVA14:HVD14"/>
    <mergeCell ref="HVE14:HVH14"/>
    <mergeCell ref="HVI14:HVL14"/>
    <mergeCell ref="HTQ14:HTT14"/>
    <mergeCell ref="HTU14:HTX14"/>
    <mergeCell ref="HTY14:HUB14"/>
    <mergeCell ref="HUC14:HUF14"/>
    <mergeCell ref="HUG14:HUJ14"/>
    <mergeCell ref="HUK14:HUN14"/>
    <mergeCell ref="HSS14:HSV14"/>
    <mergeCell ref="HSW14:HSZ14"/>
    <mergeCell ref="HTA14:HTD14"/>
    <mergeCell ref="HTE14:HTH14"/>
    <mergeCell ref="HTI14:HTL14"/>
    <mergeCell ref="HTM14:HTP14"/>
    <mergeCell ref="HRU14:HRX14"/>
    <mergeCell ref="HRY14:HSB14"/>
    <mergeCell ref="HSC14:HSF14"/>
    <mergeCell ref="HSG14:HSJ14"/>
    <mergeCell ref="HSK14:HSN14"/>
    <mergeCell ref="HSO14:HSR14"/>
    <mergeCell ref="HQW14:HQZ14"/>
    <mergeCell ref="HRA14:HRD14"/>
    <mergeCell ref="HRE14:HRH14"/>
    <mergeCell ref="HRI14:HRL14"/>
    <mergeCell ref="HRM14:HRP14"/>
    <mergeCell ref="HRQ14:HRT14"/>
    <mergeCell ref="HPY14:HQB14"/>
    <mergeCell ref="HQC14:HQF14"/>
    <mergeCell ref="HQG14:HQJ14"/>
    <mergeCell ref="HQK14:HQN14"/>
    <mergeCell ref="HQO14:HQR14"/>
    <mergeCell ref="HQS14:HQV14"/>
    <mergeCell ref="HPA14:HPD14"/>
    <mergeCell ref="HPE14:HPH14"/>
    <mergeCell ref="HPI14:HPL14"/>
    <mergeCell ref="HPM14:HPP14"/>
    <mergeCell ref="HPQ14:HPT14"/>
    <mergeCell ref="HPU14:HPX14"/>
    <mergeCell ref="HOC14:HOF14"/>
    <mergeCell ref="HOG14:HOJ14"/>
    <mergeCell ref="HOK14:HON14"/>
    <mergeCell ref="HOO14:HOR14"/>
    <mergeCell ref="HOS14:HOV14"/>
    <mergeCell ref="HOW14:HOZ14"/>
    <mergeCell ref="HNE14:HNH14"/>
    <mergeCell ref="HNI14:HNL14"/>
    <mergeCell ref="HNM14:HNP14"/>
    <mergeCell ref="HNQ14:HNT14"/>
    <mergeCell ref="HNU14:HNX14"/>
    <mergeCell ref="HNY14:HOB14"/>
    <mergeCell ref="HMG14:HMJ14"/>
    <mergeCell ref="HMK14:HMN14"/>
    <mergeCell ref="HMO14:HMR14"/>
    <mergeCell ref="HMS14:HMV14"/>
    <mergeCell ref="HMW14:HMZ14"/>
    <mergeCell ref="HNA14:HND14"/>
    <mergeCell ref="HLI14:HLL14"/>
    <mergeCell ref="HLM14:HLP14"/>
    <mergeCell ref="HLQ14:HLT14"/>
    <mergeCell ref="HLU14:HLX14"/>
    <mergeCell ref="HLY14:HMB14"/>
    <mergeCell ref="HMC14:HMF14"/>
    <mergeCell ref="HKK14:HKN14"/>
    <mergeCell ref="HKO14:HKR14"/>
    <mergeCell ref="HKS14:HKV14"/>
    <mergeCell ref="HKW14:HKZ14"/>
    <mergeCell ref="HLA14:HLD14"/>
    <mergeCell ref="HLE14:HLH14"/>
    <mergeCell ref="HJM14:HJP14"/>
    <mergeCell ref="HJQ14:HJT14"/>
    <mergeCell ref="HJU14:HJX14"/>
    <mergeCell ref="HJY14:HKB14"/>
    <mergeCell ref="HKC14:HKF14"/>
    <mergeCell ref="HKG14:HKJ14"/>
    <mergeCell ref="HIO14:HIR14"/>
    <mergeCell ref="HIS14:HIV14"/>
    <mergeCell ref="HIW14:HIZ14"/>
    <mergeCell ref="HJA14:HJD14"/>
    <mergeCell ref="HJE14:HJH14"/>
    <mergeCell ref="HJI14:HJL14"/>
    <mergeCell ref="HHQ14:HHT14"/>
    <mergeCell ref="HHU14:HHX14"/>
    <mergeCell ref="HHY14:HIB14"/>
    <mergeCell ref="HIC14:HIF14"/>
    <mergeCell ref="HIG14:HIJ14"/>
    <mergeCell ref="HIK14:HIN14"/>
    <mergeCell ref="HGS14:HGV14"/>
    <mergeCell ref="HGW14:HGZ14"/>
    <mergeCell ref="HHA14:HHD14"/>
    <mergeCell ref="HHE14:HHH14"/>
    <mergeCell ref="HHI14:HHL14"/>
    <mergeCell ref="HHM14:HHP14"/>
    <mergeCell ref="HFU14:HFX14"/>
    <mergeCell ref="HFY14:HGB14"/>
    <mergeCell ref="HGC14:HGF14"/>
    <mergeCell ref="HGG14:HGJ14"/>
    <mergeCell ref="HGK14:HGN14"/>
    <mergeCell ref="HGO14:HGR14"/>
    <mergeCell ref="HEW14:HEZ14"/>
    <mergeCell ref="HFA14:HFD14"/>
    <mergeCell ref="HFE14:HFH14"/>
    <mergeCell ref="HFI14:HFL14"/>
    <mergeCell ref="HFM14:HFP14"/>
    <mergeCell ref="HFQ14:HFT14"/>
    <mergeCell ref="HDY14:HEB14"/>
    <mergeCell ref="HEC14:HEF14"/>
    <mergeCell ref="HEG14:HEJ14"/>
    <mergeCell ref="HEK14:HEN14"/>
    <mergeCell ref="HEO14:HER14"/>
    <mergeCell ref="HES14:HEV14"/>
    <mergeCell ref="HDA14:HDD14"/>
    <mergeCell ref="HDE14:HDH14"/>
    <mergeCell ref="HDI14:HDL14"/>
    <mergeCell ref="HDM14:HDP14"/>
    <mergeCell ref="HDQ14:HDT14"/>
    <mergeCell ref="HDU14:HDX14"/>
    <mergeCell ref="HCC14:HCF14"/>
    <mergeCell ref="HCG14:HCJ14"/>
    <mergeCell ref="HCK14:HCN14"/>
    <mergeCell ref="HCO14:HCR14"/>
    <mergeCell ref="HCS14:HCV14"/>
    <mergeCell ref="HCW14:HCZ14"/>
    <mergeCell ref="HBE14:HBH14"/>
    <mergeCell ref="HBI14:HBL14"/>
    <mergeCell ref="HBM14:HBP14"/>
    <mergeCell ref="HBQ14:HBT14"/>
    <mergeCell ref="HBU14:HBX14"/>
    <mergeCell ref="HBY14:HCB14"/>
    <mergeCell ref="HAG14:HAJ14"/>
    <mergeCell ref="HAK14:HAN14"/>
    <mergeCell ref="HAO14:HAR14"/>
    <mergeCell ref="HAS14:HAV14"/>
    <mergeCell ref="HAW14:HAZ14"/>
    <mergeCell ref="HBA14:HBD14"/>
    <mergeCell ref="GZI14:GZL14"/>
    <mergeCell ref="GZM14:GZP14"/>
    <mergeCell ref="GZQ14:GZT14"/>
    <mergeCell ref="GZU14:GZX14"/>
    <mergeCell ref="GZY14:HAB14"/>
    <mergeCell ref="HAC14:HAF14"/>
    <mergeCell ref="GYK14:GYN14"/>
    <mergeCell ref="GYO14:GYR14"/>
    <mergeCell ref="GYS14:GYV14"/>
    <mergeCell ref="GYW14:GYZ14"/>
    <mergeCell ref="GZA14:GZD14"/>
    <mergeCell ref="GZE14:GZH14"/>
    <mergeCell ref="GXM14:GXP14"/>
    <mergeCell ref="GXQ14:GXT14"/>
    <mergeCell ref="GXU14:GXX14"/>
    <mergeCell ref="GXY14:GYB14"/>
    <mergeCell ref="GYC14:GYF14"/>
    <mergeCell ref="GYG14:GYJ14"/>
    <mergeCell ref="GWO14:GWR14"/>
    <mergeCell ref="GWS14:GWV14"/>
    <mergeCell ref="GWW14:GWZ14"/>
    <mergeCell ref="GXA14:GXD14"/>
    <mergeCell ref="GXE14:GXH14"/>
    <mergeCell ref="GXI14:GXL14"/>
    <mergeCell ref="GVQ14:GVT14"/>
    <mergeCell ref="GVU14:GVX14"/>
    <mergeCell ref="GVY14:GWB14"/>
    <mergeCell ref="GWC14:GWF14"/>
    <mergeCell ref="GWG14:GWJ14"/>
    <mergeCell ref="GWK14:GWN14"/>
    <mergeCell ref="GUS14:GUV14"/>
    <mergeCell ref="GUW14:GUZ14"/>
    <mergeCell ref="GVA14:GVD14"/>
    <mergeCell ref="GVE14:GVH14"/>
    <mergeCell ref="GVI14:GVL14"/>
    <mergeCell ref="GVM14:GVP14"/>
    <mergeCell ref="GTU14:GTX14"/>
    <mergeCell ref="GTY14:GUB14"/>
    <mergeCell ref="GUC14:GUF14"/>
    <mergeCell ref="GUG14:GUJ14"/>
    <mergeCell ref="GUK14:GUN14"/>
    <mergeCell ref="GUO14:GUR14"/>
    <mergeCell ref="GSW14:GSZ14"/>
    <mergeCell ref="GTA14:GTD14"/>
    <mergeCell ref="GTE14:GTH14"/>
    <mergeCell ref="GTI14:GTL14"/>
    <mergeCell ref="GTM14:GTP14"/>
    <mergeCell ref="GTQ14:GTT14"/>
    <mergeCell ref="GRY14:GSB14"/>
    <mergeCell ref="GSC14:GSF14"/>
    <mergeCell ref="GSG14:GSJ14"/>
    <mergeCell ref="GSK14:GSN14"/>
    <mergeCell ref="GSO14:GSR14"/>
    <mergeCell ref="GSS14:GSV14"/>
    <mergeCell ref="GRA14:GRD14"/>
    <mergeCell ref="GRE14:GRH14"/>
    <mergeCell ref="GRI14:GRL14"/>
    <mergeCell ref="GRM14:GRP14"/>
    <mergeCell ref="GRQ14:GRT14"/>
    <mergeCell ref="GRU14:GRX14"/>
    <mergeCell ref="GQC14:GQF14"/>
    <mergeCell ref="GQG14:GQJ14"/>
    <mergeCell ref="GQK14:GQN14"/>
    <mergeCell ref="GQO14:GQR14"/>
    <mergeCell ref="GQS14:GQV14"/>
    <mergeCell ref="GQW14:GQZ14"/>
    <mergeCell ref="GPE14:GPH14"/>
    <mergeCell ref="GPI14:GPL14"/>
    <mergeCell ref="GPM14:GPP14"/>
    <mergeCell ref="GPQ14:GPT14"/>
    <mergeCell ref="GPU14:GPX14"/>
    <mergeCell ref="GPY14:GQB14"/>
    <mergeCell ref="GOG14:GOJ14"/>
    <mergeCell ref="GOK14:GON14"/>
    <mergeCell ref="GOO14:GOR14"/>
    <mergeCell ref="GOS14:GOV14"/>
    <mergeCell ref="GOW14:GOZ14"/>
    <mergeCell ref="GPA14:GPD14"/>
    <mergeCell ref="GNI14:GNL14"/>
    <mergeCell ref="GNM14:GNP14"/>
    <mergeCell ref="GNQ14:GNT14"/>
    <mergeCell ref="GNU14:GNX14"/>
    <mergeCell ref="GNY14:GOB14"/>
    <mergeCell ref="GOC14:GOF14"/>
    <mergeCell ref="GMK14:GMN14"/>
    <mergeCell ref="GMO14:GMR14"/>
    <mergeCell ref="GMS14:GMV14"/>
    <mergeCell ref="GMW14:GMZ14"/>
    <mergeCell ref="GNA14:GND14"/>
    <mergeCell ref="GNE14:GNH14"/>
    <mergeCell ref="GLM14:GLP14"/>
    <mergeCell ref="GLQ14:GLT14"/>
    <mergeCell ref="GLU14:GLX14"/>
    <mergeCell ref="GLY14:GMB14"/>
    <mergeCell ref="GMC14:GMF14"/>
    <mergeCell ref="GMG14:GMJ14"/>
    <mergeCell ref="GKO14:GKR14"/>
    <mergeCell ref="GKS14:GKV14"/>
    <mergeCell ref="GKW14:GKZ14"/>
    <mergeCell ref="GLA14:GLD14"/>
    <mergeCell ref="GLE14:GLH14"/>
    <mergeCell ref="GLI14:GLL14"/>
    <mergeCell ref="GJQ14:GJT14"/>
    <mergeCell ref="GJU14:GJX14"/>
    <mergeCell ref="GJY14:GKB14"/>
    <mergeCell ref="GKC14:GKF14"/>
    <mergeCell ref="GKG14:GKJ14"/>
    <mergeCell ref="GKK14:GKN14"/>
    <mergeCell ref="GIS14:GIV14"/>
    <mergeCell ref="GIW14:GIZ14"/>
    <mergeCell ref="GJA14:GJD14"/>
    <mergeCell ref="GJE14:GJH14"/>
    <mergeCell ref="GJI14:GJL14"/>
    <mergeCell ref="GJM14:GJP14"/>
    <mergeCell ref="GHU14:GHX14"/>
    <mergeCell ref="GHY14:GIB14"/>
    <mergeCell ref="GIC14:GIF14"/>
    <mergeCell ref="GIG14:GIJ14"/>
    <mergeCell ref="GIK14:GIN14"/>
    <mergeCell ref="GIO14:GIR14"/>
    <mergeCell ref="GGW14:GGZ14"/>
    <mergeCell ref="GHA14:GHD14"/>
    <mergeCell ref="GHE14:GHH14"/>
    <mergeCell ref="GHI14:GHL14"/>
    <mergeCell ref="GHM14:GHP14"/>
    <mergeCell ref="GHQ14:GHT14"/>
    <mergeCell ref="GFY14:GGB14"/>
    <mergeCell ref="GGC14:GGF14"/>
    <mergeCell ref="GGG14:GGJ14"/>
    <mergeCell ref="GGK14:GGN14"/>
    <mergeCell ref="GGO14:GGR14"/>
    <mergeCell ref="GGS14:GGV14"/>
    <mergeCell ref="GFA14:GFD14"/>
    <mergeCell ref="GFE14:GFH14"/>
    <mergeCell ref="GFI14:GFL14"/>
    <mergeCell ref="GFM14:GFP14"/>
    <mergeCell ref="GFQ14:GFT14"/>
    <mergeCell ref="GFU14:GFX14"/>
    <mergeCell ref="GEC14:GEF14"/>
    <mergeCell ref="GEG14:GEJ14"/>
    <mergeCell ref="GEK14:GEN14"/>
    <mergeCell ref="GEO14:GER14"/>
    <mergeCell ref="GES14:GEV14"/>
    <mergeCell ref="GEW14:GEZ14"/>
    <mergeCell ref="GDE14:GDH14"/>
    <mergeCell ref="GDI14:GDL14"/>
    <mergeCell ref="GDM14:GDP14"/>
    <mergeCell ref="GDQ14:GDT14"/>
    <mergeCell ref="GDU14:GDX14"/>
    <mergeCell ref="GDY14:GEB14"/>
    <mergeCell ref="GCG14:GCJ14"/>
    <mergeCell ref="GCK14:GCN14"/>
    <mergeCell ref="GCO14:GCR14"/>
    <mergeCell ref="GCS14:GCV14"/>
    <mergeCell ref="GCW14:GCZ14"/>
    <mergeCell ref="GDA14:GDD14"/>
    <mergeCell ref="GBI14:GBL14"/>
    <mergeCell ref="GBM14:GBP14"/>
    <mergeCell ref="GBQ14:GBT14"/>
    <mergeCell ref="GBU14:GBX14"/>
    <mergeCell ref="GBY14:GCB14"/>
    <mergeCell ref="GCC14:GCF14"/>
    <mergeCell ref="GAK14:GAN14"/>
    <mergeCell ref="GAO14:GAR14"/>
    <mergeCell ref="GAS14:GAV14"/>
    <mergeCell ref="GAW14:GAZ14"/>
    <mergeCell ref="GBA14:GBD14"/>
    <mergeCell ref="GBE14:GBH14"/>
    <mergeCell ref="FZM14:FZP14"/>
    <mergeCell ref="FZQ14:FZT14"/>
    <mergeCell ref="FZU14:FZX14"/>
    <mergeCell ref="FZY14:GAB14"/>
    <mergeCell ref="GAC14:GAF14"/>
    <mergeCell ref="GAG14:GAJ14"/>
    <mergeCell ref="FYO14:FYR14"/>
    <mergeCell ref="FYS14:FYV14"/>
    <mergeCell ref="FYW14:FYZ14"/>
    <mergeCell ref="FZA14:FZD14"/>
    <mergeCell ref="FZE14:FZH14"/>
    <mergeCell ref="FZI14:FZL14"/>
    <mergeCell ref="FXQ14:FXT14"/>
    <mergeCell ref="FXU14:FXX14"/>
    <mergeCell ref="FXY14:FYB14"/>
    <mergeCell ref="FYC14:FYF14"/>
    <mergeCell ref="FYG14:FYJ14"/>
    <mergeCell ref="FYK14:FYN14"/>
    <mergeCell ref="FWS14:FWV14"/>
    <mergeCell ref="FWW14:FWZ14"/>
    <mergeCell ref="FXA14:FXD14"/>
    <mergeCell ref="FXE14:FXH14"/>
    <mergeCell ref="FXI14:FXL14"/>
    <mergeCell ref="FXM14:FXP14"/>
    <mergeCell ref="FVU14:FVX14"/>
    <mergeCell ref="FVY14:FWB14"/>
    <mergeCell ref="FWC14:FWF14"/>
    <mergeCell ref="FWG14:FWJ14"/>
    <mergeCell ref="FWK14:FWN14"/>
    <mergeCell ref="FWO14:FWR14"/>
    <mergeCell ref="FUW14:FUZ14"/>
    <mergeCell ref="FVA14:FVD14"/>
    <mergeCell ref="FVE14:FVH14"/>
    <mergeCell ref="FVI14:FVL14"/>
    <mergeCell ref="FVM14:FVP14"/>
    <mergeCell ref="FVQ14:FVT14"/>
    <mergeCell ref="FTY14:FUB14"/>
    <mergeCell ref="FUC14:FUF14"/>
    <mergeCell ref="FUG14:FUJ14"/>
    <mergeCell ref="FUK14:FUN14"/>
    <mergeCell ref="FUO14:FUR14"/>
    <mergeCell ref="FUS14:FUV14"/>
    <mergeCell ref="FTA14:FTD14"/>
    <mergeCell ref="FTE14:FTH14"/>
    <mergeCell ref="FTI14:FTL14"/>
    <mergeCell ref="FTM14:FTP14"/>
    <mergeCell ref="FTQ14:FTT14"/>
    <mergeCell ref="FTU14:FTX14"/>
    <mergeCell ref="FSC14:FSF14"/>
    <mergeCell ref="FSG14:FSJ14"/>
    <mergeCell ref="FSK14:FSN14"/>
    <mergeCell ref="FSO14:FSR14"/>
    <mergeCell ref="FSS14:FSV14"/>
    <mergeCell ref="FSW14:FSZ14"/>
    <mergeCell ref="FRE14:FRH14"/>
    <mergeCell ref="FRI14:FRL14"/>
    <mergeCell ref="FRM14:FRP14"/>
    <mergeCell ref="FRQ14:FRT14"/>
    <mergeCell ref="FRU14:FRX14"/>
    <mergeCell ref="FRY14:FSB14"/>
    <mergeCell ref="FQG14:FQJ14"/>
    <mergeCell ref="FQK14:FQN14"/>
    <mergeCell ref="FQO14:FQR14"/>
    <mergeCell ref="FQS14:FQV14"/>
    <mergeCell ref="FQW14:FQZ14"/>
    <mergeCell ref="FRA14:FRD14"/>
    <mergeCell ref="FPI14:FPL14"/>
    <mergeCell ref="FPM14:FPP14"/>
    <mergeCell ref="FPQ14:FPT14"/>
    <mergeCell ref="FPU14:FPX14"/>
    <mergeCell ref="FPY14:FQB14"/>
    <mergeCell ref="FQC14:FQF14"/>
    <mergeCell ref="FOK14:FON14"/>
    <mergeCell ref="FOO14:FOR14"/>
    <mergeCell ref="FOS14:FOV14"/>
    <mergeCell ref="FOW14:FOZ14"/>
    <mergeCell ref="FPA14:FPD14"/>
    <mergeCell ref="FPE14:FPH14"/>
    <mergeCell ref="FNM14:FNP14"/>
    <mergeCell ref="FNQ14:FNT14"/>
    <mergeCell ref="FNU14:FNX14"/>
    <mergeCell ref="FNY14:FOB14"/>
    <mergeCell ref="FOC14:FOF14"/>
    <mergeCell ref="FOG14:FOJ14"/>
    <mergeCell ref="FMO14:FMR14"/>
    <mergeCell ref="FMS14:FMV14"/>
    <mergeCell ref="FMW14:FMZ14"/>
    <mergeCell ref="FNA14:FND14"/>
    <mergeCell ref="FNE14:FNH14"/>
    <mergeCell ref="FNI14:FNL14"/>
    <mergeCell ref="FLQ14:FLT14"/>
    <mergeCell ref="FLU14:FLX14"/>
    <mergeCell ref="FLY14:FMB14"/>
    <mergeCell ref="FMC14:FMF14"/>
    <mergeCell ref="FMG14:FMJ14"/>
    <mergeCell ref="FMK14:FMN14"/>
    <mergeCell ref="FKS14:FKV14"/>
    <mergeCell ref="FKW14:FKZ14"/>
    <mergeCell ref="FLA14:FLD14"/>
    <mergeCell ref="FLE14:FLH14"/>
    <mergeCell ref="FLI14:FLL14"/>
    <mergeCell ref="FLM14:FLP14"/>
    <mergeCell ref="FJU14:FJX14"/>
    <mergeCell ref="FJY14:FKB14"/>
    <mergeCell ref="FKC14:FKF14"/>
    <mergeCell ref="FKG14:FKJ14"/>
    <mergeCell ref="FKK14:FKN14"/>
    <mergeCell ref="FKO14:FKR14"/>
    <mergeCell ref="FIW14:FIZ14"/>
    <mergeCell ref="FJA14:FJD14"/>
    <mergeCell ref="FJE14:FJH14"/>
    <mergeCell ref="FJI14:FJL14"/>
    <mergeCell ref="FJM14:FJP14"/>
    <mergeCell ref="FJQ14:FJT14"/>
    <mergeCell ref="FHY14:FIB14"/>
    <mergeCell ref="FIC14:FIF14"/>
    <mergeCell ref="FIG14:FIJ14"/>
    <mergeCell ref="FIK14:FIN14"/>
    <mergeCell ref="FIO14:FIR14"/>
    <mergeCell ref="FIS14:FIV14"/>
    <mergeCell ref="FHA14:FHD14"/>
    <mergeCell ref="FHE14:FHH14"/>
    <mergeCell ref="FHI14:FHL14"/>
    <mergeCell ref="FHM14:FHP14"/>
    <mergeCell ref="FHQ14:FHT14"/>
    <mergeCell ref="FHU14:FHX14"/>
    <mergeCell ref="FGC14:FGF14"/>
    <mergeCell ref="FGG14:FGJ14"/>
    <mergeCell ref="FGK14:FGN14"/>
    <mergeCell ref="FGO14:FGR14"/>
    <mergeCell ref="FGS14:FGV14"/>
    <mergeCell ref="FGW14:FGZ14"/>
    <mergeCell ref="FFE14:FFH14"/>
    <mergeCell ref="FFI14:FFL14"/>
    <mergeCell ref="FFM14:FFP14"/>
    <mergeCell ref="FFQ14:FFT14"/>
    <mergeCell ref="FFU14:FFX14"/>
    <mergeCell ref="FFY14:FGB14"/>
    <mergeCell ref="FEG14:FEJ14"/>
    <mergeCell ref="FEK14:FEN14"/>
    <mergeCell ref="FEO14:FER14"/>
    <mergeCell ref="FES14:FEV14"/>
    <mergeCell ref="FEW14:FEZ14"/>
    <mergeCell ref="FFA14:FFD14"/>
    <mergeCell ref="FDI14:FDL14"/>
    <mergeCell ref="FDM14:FDP14"/>
    <mergeCell ref="FDQ14:FDT14"/>
    <mergeCell ref="FDU14:FDX14"/>
    <mergeCell ref="FDY14:FEB14"/>
    <mergeCell ref="FEC14:FEF14"/>
    <mergeCell ref="FCK14:FCN14"/>
    <mergeCell ref="FCO14:FCR14"/>
    <mergeCell ref="FCS14:FCV14"/>
    <mergeCell ref="FCW14:FCZ14"/>
    <mergeCell ref="FDA14:FDD14"/>
    <mergeCell ref="FDE14:FDH14"/>
    <mergeCell ref="FBM14:FBP14"/>
    <mergeCell ref="FBQ14:FBT14"/>
    <mergeCell ref="FBU14:FBX14"/>
    <mergeCell ref="FBY14:FCB14"/>
    <mergeCell ref="FCC14:FCF14"/>
    <mergeCell ref="FCG14:FCJ14"/>
    <mergeCell ref="FAO14:FAR14"/>
    <mergeCell ref="FAS14:FAV14"/>
    <mergeCell ref="FAW14:FAZ14"/>
    <mergeCell ref="FBA14:FBD14"/>
    <mergeCell ref="FBE14:FBH14"/>
    <mergeCell ref="FBI14:FBL14"/>
    <mergeCell ref="EZQ14:EZT14"/>
    <mergeCell ref="EZU14:EZX14"/>
    <mergeCell ref="EZY14:FAB14"/>
    <mergeCell ref="FAC14:FAF14"/>
    <mergeCell ref="FAG14:FAJ14"/>
    <mergeCell ref="FAK14:FAN14"/>
    <mergeCell ref="EYS14:EYV14"/>
    <mergeCell ref="EYW14:EYZ14"/>
    <mergeCell ref="EZA14:EZD14"/>
    <mergeCell ref="EZE14:EZH14"/>
    <mergeCell ref="EZI14:EZL14"/>
    <mergeCell ref="EZM14:EZP14"/>
    <mergeCell ref="EXU14:EXX14"/>
    <mergeCell ref="EXY14:EYB14"/>
    <mergeCell ref="EYC14:EYF14"/>
    <mergeCell ref="EYG14:EYJ14"/>
    <mergeCell ref="EYK14:EYN14"/>
    <mergeCell ref="EYO14:EYR14"/>
    <mergeCell ref="EWW14:EWZ14"/>
    <mergeCell ref="EXA14:EXD14"/>
    <mergeCell ref="EXE14:EXH14"/>
    <mergeCell ref="EXI14:EXL14"/>
    <mergeCell ref="EXM14:EXP14"/>
    <mergeCell ref="EXQ14:EXT14"/>
    <mergeCell ref="EVY14:EWB14"/>
    <mergeCell ref="EWC14:EWF14"/>
    <mergeCell ref="EWG14:EWJ14"/>
    <mergeCell ref="EWK14:EWN14"/>
    <mergeCell ref="EWO14:EWR14"/>
    <mergeCell ref="EWS14:EWV14"/>
    <mergeCell ref="EVA14:EVD14"/>
    <mergeCell ref="EVE14:EVH14"/>
    <mergeCell ref="EVI14:EVL14"/>
    <mergeCell ref="EVM14:EVP14"/>
    <mergeCell ref="EVQ14:EVT14"/>
    <mergeCell ref="EVU14:EVX14"/>
    <mergeCell ref="EUC14:EUF14"/>
    <mergeCell ref="EUG14:EUJ14"/>
    <mergeCell ref="EUK14:EUN14"/>
    <mergeCell ref="EUO14:EUR14"/>
    <mergeCell ref="EUS14:EUV14"/>
    <mergeCell ref="EUW14:EUZ14"/>
    <mergeCell ref="ETE14:ETH14"/>
    <mergeCell ref="ETI14:ETL14"/>
    <mergeCell ref="ETM14:ETP14"/>
    <mergeCell ref="ETQ14:ETT14"/>
    <mergeCell ref="ETU14:ETX14"/>
    <mergeCell ref="ETY14:EUB14"/>
    <mergeCell ref="ESG14:ESJ14"/>
    <mergeCell ref="ESK14:ESN14"/>
    <mergeCell ref="ESO14:ESR14"/>
    <mergeCell ref="ESS14:ESV14"/>
    <mergeCell ref="ESW14:ESZ14"/>
    <mergeCell ref="ETA14:ETD14"/>
    <mergeCell ref="ERI14:ERL14"/>
    <mergeCell ref="ERM14:ERP14"/>
    <mergeCell ref="ERQ14:ERT14"/>
    <mergeCell ref="ERU14:ERX14"/>
    <mergeCell ref="ERY14:ESB14"/>
    <mergeCell ref="ESC14:ESF14"/>
    <mergeCell ref="EQK14:EQN14"/>
    <mergeCell ref="EQO14:EQR14"/>
    <mergeCell ref="EQS14:EQV14"/>
    <mergeCell ref="EQW14:EQZ14"/>
    <mergeCell ref="ERA14:ERD14"/>
    <mergeCell ref="ERE14:ERH14"/>
    <mergeCell ref="EPM14:EPP14"/>
    <mergeCell ref="EPQ14:EPT14"/>
    <mergeCell ref="EPU14:EPX14"/>
    <mergeCell ref="EPY14:EQB14"/>
    <mergeCell ref="EQC14:EQF14"/>
    <mergeCell ref="EQG14:EQJ14"/>
    <mergeCell ref="EOO14:EOR14"/>
    <mergeCell ref="EOS14:EOV14"/>
    <mergeCell ref="EOW14:EOZ14"/>
    <mergeCell ref="EPA14:EPD14"/>
    <mergeCell ref="EPE14:EPH14"/>
    <mergeCell ref="EPI14:EPL14"/>
    <mergeCell ref="ENQ14:ENT14"/>
    <mergeCell ref="ENU14:ENX14"/>
    <mergeCell ref="ENY14:EOB14"/>
    <mergeCell ref="EOC14:EOF14"/>
    <mergeCell ref="EOG14:EOJ14"/>
    <mergeCell ref="EOK14:EON14"/>
    <mergeCell ref="EMS14:EMV14"/>
    <mergeCell ref="EMW14:EMZ14"/>
    <mergeCell ref="ENA14:END14"/>
    <mergeCell ref="ENE14:ENH14"/>
    <mergeCell ref="ENI14:ENL14"/>
    <mergeCell ref="ENM14:ENP14"/>
    <mergeCell ref="ELU14:ELX14"/>
    <mergeCell ref="ELY14:EMB14"/>
    <mergeCell ref="EMC14:EMF14"/>
    <mergeCell ref="EMG14:EMJ14"/>
    <mergeCell ref="EMK14:EMN14"/>
    <mergeCell ref="EMO14:EMR14"/>
    <mergeCell ref="EKW14:EKZ14"/>
    <mergeCell ref="ELA14:ELD14"/>
    <mergeCell ref="ELE14:ELH14"/>
    <mergeCell ref="ELI14:ELL14"/>
    <mergeCell ref="ELM14:ELP14"/>
    <mergeCell ref="ELQ14:ELT14"/>
    <mergeCell ref="EJY14:EKB14"/>
    <mergeCell ref="EKC14:EKF14"/>
    <mergeCell ref="EKG14:EKJ14"/>
    <mergeCell ref="EKK14:EKN14"/>
    <mergeCell ref="EKO14:EKR14"/>
    <mergeCell ref="EKS14:EKV14"/>
    <mergeCell ref="EJA14:EJD14"/>
    <mergeCell ref="EJE14:EJH14"/>
    <mergeCell ref="EJI14:EJL14"/>
    <mergeCell ref="EJM14:EJP14"/>
    <mergeCell ref="EJQ14:EJT14"/>
    <mergeCell ref="EJU14:EJX14"/>
    <mergeCell ref="EIC14:EIF14"/>
    <mergeCell ref="EIG14:EIJ14"/>
    <mergeCell ref="EIK14:EIN14"/>
    <mergeCell ref="EIO14:EIR14"/>
    <mergeCell ref="EIS14:EIV14"/>
    <mergeCell ref="EIW14:EIZ14"/>
    <mergeCell ref="EHE14:EHH14"/>
    <mergeCell ref="EHI14:EHL14"/>
    <mergeCell ref="EHM14:EHP14"/>
    <mergeCell ref="EHQ14:EHT14"/>
    <mergeCell ref="EHU14:EHX14"/>
    <mergeCell ref="EHY14:EIB14"/>
    <mergeCell ref="EGG14:EGJ14"/>
    <mergeCell ref="EGK14:EGN14"/>
    <mergeCell ref="EGO14:EGR14"/>
    <mergeCell ref="EGS14:EGV14"/>
    <mergeCell ref="EGW14:EGZ14"/>
    <mergeCell ref="EHA14:EHD14"/>
    <mergeCell ref="EFI14:EFL14"/>
    <mergeCell ref="EFM14:EFP14"/>
    <mergeCell ref="EFQ14:EFT14"/>
    <mergeCell ref="EFU14:EFX14"/>
    <mergeCell ref="EFY14:EGB14"/>
    <mergeCell ref="EGC14:EGF14"/>
    <mergeCell ref="EEK14:EEN14"/>
    <mergeCell ref="EEO14:EER14"/>
    <mergeCell ref="EES14:EEV14"/>
    <mergeCell ref="EEW14:EEZ14"/>
    <mergeCell ref="EFA14:EFD14"/>
    <mergeCell ref="EFE14:EFH14"/>
    <mergeCell ref="EDM14:EDP14"/>
    <mergeCell ref="EDQ14:EDT14"/>
    <mergeCell ref="EDU14:EDX14"/>
    <mergeCell ref="EDY14:EEB14"/>
    <mergeCell ref="EEC14:EEF14"/>
    <mergeCell ref="EEG14:EEJ14"/>
    <mergeCell ref="ECO14:ECR14"/>
    <mergeCell ref="ECS14:ECV14"/>
    <mergeCell ref="ECW14:ECZ14"/>
    <mergeCell ref="EDA14:EDD14"/>
    <mergeCell ref="EDE14:EDH14"/>
    <mergeCell ref="EDI14:EDL14"/>
    <mergeCell ref="EBQ14:EBT14"/>
    <mergeCell ref="EBU14:EBX14"/>
    <mergeCell ref="EBY14:ECB14"/>
    <mergeCell ref="ECC14:ECF14"/>
    <mergeCell ref="ECG14:ECJ14"/>
    <mergeCell ref="ECK14:ECN14"/>
    <mergeCell ref="EAS14:EAV14"/>
    <mergeCell ref="EAW14:EAZ14"/>
    <mergeCell ref="EBA14:EBD14"/>
    <mergeCell ref="EBE14:EBH14"/>
    <mergeCell ref="EBI14:EBL14"/>
    <mergeCell ref="EBM14:EBP14"/>
    <mergeCell ref="DZU14:DZX14"/>
    <mergeCell ref="DZY14:EAB14"/>
    <mergeCell ref="EAC14:EAF14"/>
    <mergeCell ref="EAG14:EAJ14"/>
    <mergeCell ref="EAK14:EAN14"/>
    <mergeCell ref="EAO14:EAR14"/>
    <mergeCell ref="DYW14:DYZ14"/>
    <mergeCell ref="DZA14:DZD14"/>
    <mergeCell ref="DZE14:DZH14"/>
    <mergeCell ref="DZI14:DZL14"/>
    <mergeCell ref="DZM14:DZP14"/>
    <mergeCell ref="DZQ14:DZT14"/>
    <mergeCell ref="DXY14:DYB14"/>
    <mergeCell ref="DYC14:DYF14"/>
    <mergeCell ref="DYG14:DYJ14"/>
    <mergeCell ref="DYK14:DYN14"/>
    <mergeCell ref="DYO14:DYR14"/>
    <mergeCell ref="DYS14:DYV14"/>
    <mergeCell ref="DXA14:DXD14"/>
    <mergeCell ref="DXE14:DXH14"/>
    <mergeCell ref="DXI14:DXL14"/>
    <mergeCell ref="DXM14:DXP14"/>
    <mergeCell ref="DXQ14:DXT14"/>
    <mergeCell ref="DXU14:DXX14"/>
    <mergeCell ref="DWC14:DWF14"/>
    <mergeCell ref="DWG14:DWJ14"/>
    <mergeCell ref="DWK14:DWN14"/>
    <mergeCell ref="DWO14:DWR14"/>
    <mergeCell ref="DWS14:DWV14"/>
    <mergeCell ref="DWW14:DWZ14"/>
    <mergeCell ref="DVE14:DVH14"/>
    <mergeCell ref="DVI14:DVL14"/>
    <mergeCell ref="DVM14:DVP14"/>
    <mergeCell ref="DVQ14:DVT14"/>
    <mergeCell ref="DVU14:DVX14"/>
    <mergeCell ref="DVY14:DWB14"/>
    <mergeCell ref="DUG14:DUJ14"/>
    <mergeCell ref="DUK14:DUN14"/>
    <mergeCell ref="DUO14:DUR14"/>
    <mergeCell ref="DUS14:DUV14"/>
    <mergeCell ref="DUW14:DUZ14"/>
    <mergeCell ref="DVA14:DVD14"/>
    <mergeCell ref="DTI14:DTL14"/>
    <mergeCell ref="DTM14:DTP14"/>
    <mergeCell ref="DTQ14:DTT14"/>
    <mergeCell ref="DTU14:DTX14"/>
    <mergeCell ref="DTY14:DUB14"/>
    <mergeCell ref="DUC14:DUF14"/>
    <mergeCell ref="DSK14:DSN14"/>
    <mergeCell ref="DSO14:DSR14"/>
    <mergeCell ref="DSS14:DSV14"/>
    <mergeCell ref="DSW14:DSZ14"/>
    <mergeCell ref="DTA14:DTD14"/>
    <mergeCell ref="DTE14:DTH14"/>
    <mergeCell ref="DRM14:DRP14"/>
    <mergeCell ref="DRQ14:DRT14"/>
    <mergeCell ref="DRU14:DRX14"/>
    <mergeCell ref="DRY14:DSB14"/>
    <mergeCell ref="DSC14:DSF14"/>
    <mergeCell ref="DSG14:DSJ14"/>
    <mergeCell ref="DQO14:DQR14"/>
    <mergeCell ref="DQS14:DQV14"/>
    <mergeCell ref="DQW14:DQZ14"/>
    <mergeCell ref="DRA14:DRD14"/>
    <mergeCell ref="DRE14:DRH14"/>
    <mergeCell ref="DRI14:DRL14"/>
    <mergeCell ref="DPQ14:DPT14"/>
    <mergeCell ref="DPU14:DPX14"/>
    <mergeCell ref="DPY14:DQB14"/>
    <mergeCell ref="DQC14:DQF14"/>
    <mergeCell ref="DQG14:DQJ14"/>
    <mergeCell ref="DQK14:DQN14"/>
    <mergeCell ref="DOS14:DOV14"/>
    <mergeCell ref="DOW14:DOZ14"/>
    <mergeCell ref="DPA14:DPD14"/>
    <mergeCell ref="DPE14:DPH14"/>
    <mergeCell ref="DPI14:DPL14"/>
    <mergeCell ref="DPM14:DPP14"/>
    <mergeCell ref="DNU14:DNX14"/>
    <mergeCell ref="DNY14:DOB14"/>
    <mergeCell ref="DOC14:DOF14"/>
    <mergeCell ref="DOG14:DOJ14"/>
    <mergeCell ref="DOK14:DON14"/>
    <mergeCell ref="DOO14:DOR14"/>
    <mergeCell ref="DMW14:DMZ14"/>
    <mergeCell ref="DNA14:DND14"/>
    <mergeCell ref="DNE14:DNH14"/>
    <mergeCell ref="DNI14:DNL14"/>
    <mergeCell ref="DNM14:DNP14"/>
    <mergeCell ref="DNQ14:DNT14"/>
    <mergeCell ref="DLY14:DMB14"/>
    <mergeCell ref="DMC14:DMF14"/>
    <mergeCell ref="DMG14:DMJ14"/>
    <mergeCell ref="DMK14:DMN14"/>
    <mergeCell ref="DMO14:DMR14"/>
    <mergeCell ref="DMS14:DMV14"/>
    <mergeCell ref="DLA14:DLD14"/>
    <mergeCell ref="DLE14:DLH14"/>
    <mergeCell ref="DLI14:DLL14"/>
    <mergeCell ref="DLM14:DLP14"/>
    <mergeCell ref="DLQ14:DLT14"/>
    <mergeCell ref="DLU14:DLX14"/>
    <mergeCell ref="DKC14:DKF14"/>
    <mergeCell ref="DKG14:DKJ14"/>
    <mergeCell ref="DKK14:DKN14"/>
    <mergeCell ref="DKO14:DKR14"/>
    <mergeCell ref="DKS14:DKV14"/>
    <mergeCell ref="DKW14:DKZ14"/>
    <mergeCell ref="DJE14:DJH14"/>
    <mergeCell ref="DJI14:DJL14"/>
    <mergeCell ref="DJM14:DJP14"/>
    <mergeCell ref="DJQ14:DJT14"/>
    <mergeCell ref="DJU14:DJX14"/>
    <mergeCell ref="DJY14:DKB14"/>
    <mergeCell ref="DIG14:DIJ14"/>
    <mergeCell ref="DIK14:DIN14"/>
    <mergeCell ref="DIO14:DIR14"/>
    <mergeCell ref="DIS14:DIV14"/>
    <mergeCell ref="DIW14:DIZ14"/>
    <mergeCell ref="DJA14:DJD14"/>
    <mergeCell ref="DHI14:DHL14"/>
    <mergeCell ref="DHM14:DHP14"/>
    <mergeCell ref="DHQ14:DHT14"/>
    <mergeCell ref="DHU14:DHX14"/>
    <mergeCell ref="DHY14:DIB14"/>
    <mergeCell ref="DIC14:DIF14"/>
    <mergeCell ref="DGK14:DGN14"/>
    <mergeCell ref="DGO14:DGR14"/>
    <mergeCell ref="DGS14:DGV14"/>
    <mergeCell ref="DGW14:DGZ14"/>
    <mergeCell ref="DHA14:DHD14"/>
    <mergeCell ref="DHE14:DHH14"/>
    <mergeCell ref="DFM14:DFP14"/>
    <mergeCell ref="DFQ14:DFT14"/>
    <mergeCell ref="DFU14:DFX14"/>
    <mergeCell ref="DFY14:DGB14"/>
    <mergeCell ref="DGC14:DGF14"/>
    <mergeCell ref="DGG14:DGJ14"/>
    <mergeCell ref="DEO14:DER14"/>
    <mergeCell ref="DES14:DEV14"/>
    <mergeCell ref="DEW14:DEZ14"/>
    <mergeCell ref="DFA14:DFD14"/>
    <mergeCell ref="DFE14:DFH14"/>
    <mergeCell ref="DFI14:DFL14"/>
    <mergeCell ref="DDQ14:DDT14"/>
    <mergeCell ref="DDU14:DDX14"/>
    <mergeCell ref="DDY14:DEB14"/>
    <mergeCell ref="DEC14:DEF14"/>
    <mergeCell ref="DEG14:DEJ14"/>
    <mergeCell ref="DEK14:DEN14"/>
    <mergeCell ref="DCS14:DCV14"/>
    <mergeCell ref="DCW14:DCZ14"/>
    <mergeCell ref="DDA14:DDD14"/>
    <mergeCell ref="DDE14:DDH14"/>
    <mergeCell ref="DDI14:DDL14"/>
    <mergeCell ref="DDM14:DDP14"/>
    <mergeCell ref="DBU14:DBX14"/>
    <mergeCell ref="DBY14:DCB14"/>
    <mergeCell ref="DCC14:DCF14"/>
    <mergeCell ref="DCG14:DCJ14"/>
    <mergeCell ref="DCK14:DCN14"/>
    <mergeCell ref="DCO14:DCR14"/>
    <mergeCell ref="DAW14:DAZ14"/>
    <mergeCell ref="DBA14:DBD14"/>
    <mergeCell ref="DBE14:DBH14"/>
    <mergeCell ref="DBI14:DBL14"/>
    <mergeCell ref="DBM14:DBP14"/>
    <mergeCell ref="DBQ14:DBT14"/>
    <mergeCell ref="CZY14:DAB14"/>
    <mergeCell ref="DAC14:DAF14"/>
    <mergeCell ref="DAG14:DAJ14"/>
    <mergeCell ref="DAK14:DAN14"/>
    <mergeCell ref="DAO14:DAR14"/>
    <mergeCell ref="DAS14:DAV14"/>
    <mergeCell ref="CZA14:CZD14"/>
    <mergeCell ref="CZE14:CZH14"/>
    <mergeCell ref="CZI14:CZL14"/>
    <mergeCell ref="CZM14:CZP14"/>
    <mergeCell ref="CZQ14:CZT14"/>
    <mergeCell ref="CZU14:CZX14"/>
    <mergeCell ref="CYC14:CYF14"/>
    <mergeCell ref="CYG14:CYJ14"/>
    <mergeCell ref="CYK14:CYN14"/>
    <mergeCell ref="CYO14:CYR14"/>
    <mergeCell ref="CYS14:CYV14"/>
    <mergeCell ref="CYW14:CYZ14"/>
    <mergeCell ref="CXE14:CXH14"/>
    <mergeCell ref="CXI14:CXL14"/>
    <mergeCell ref="CXM14:CXP14"/>
    <mergeCell ref="CXQ14:CXT14"/>
    <mergeCell ref="CXU14:CXX14"/>
    <mergeCell ref="CXY14:CYB14"/>
    <mergeCell ref="CWG14:CWJ14"/>
    <mergeCell ref="CWK14:CWN14"/>
    <mergeCell ref="CWO14:CWR14"/>
    <mergeCell ref="CWS14:CWV14"/>
    <mergeCell ref="CWW14:CWZ14"/>
    <mergeCell ref="CXA14:CXD14"/>
    <mergeCell ref="CVI14:CVL14"/>
    <mergeCell ref="CVM14:CVP14"/>
    <mergeCell ref="CVQ14:CVT14"/>
    <mergeCell ref="CVU14:CVX14"/>
    <mergeCell ref="CVY14:CWB14"/>
    <mergeCell ref="CWC14:CWF14"/>
    <mergeCell ref="CUK14:CUN14"/>
    <mergeCell ref="CUO14:CUR14"/>
    <mergeCell ref="CUS14:CUV14"/>
    <mergeCell ref="CUW14:CUZ14"/>
    <mergeCell ref="CVA14:CVD14"/>
    <mergeCell ref="CVE14:CVH14"/>
    <mergeCell ref="CTM14:CTP14"/>
    <mergeCell ref="CTQ14:CTT14"/>
    <mergeCell ref="CTU14:CTX14"/>
    <mergeCell ref="CTY14:CUB14"/>
    <mergeCell ref="CUC14:CUF14"/>
    <mergeCell ref="CUG14:CUJ14"/>
    <mergeCell ref="CSO14:CSR14"/>
    <mergeCell ref="CSS14:CSV14"/>
    <mergeCell ref="CSW14:CSZ14"/>
    <mergeCell ref="CTA14:CTD14"/>
    <mergeCell ref="CTE14:CTH14"/>
    <mergeCell ref="CTI14:CTL14"/>
    <mergeCell ref="CRQ14:CRT14"/>
    <mergeCell ref="CRU14:CRX14"/>
    <mergeCell ref="CRY14:CSB14"/>
    <mergeCell ref="CSC14:CSF14"/>
    <mergeCell ref="CSG14:CSJ14"/>
    <mergeCell ref="CSK14:CSN14"/>
    <mergeCell ref="CQS14:CQV14"/>
    <mergeCell ref="CQW14:CQZ14"/>
    <mergeCell ref="CRA14:CRD14"/>
    <mergeCell ref="CRE14:CRH14"/>
    <mergeCell ref="CRI14:CRL14"/>
    <mergeCell ref="CRM14:CRP14"/>
    <mergeCell ref="CPU14:CPX14"/>
    <mergeCell ref="CPY14:CQB14"/>
    <mergeCell ref="CQC14:CQF14"/>
    <mergeCell ref="CQG14:CQJ14"/>
    <mergeCell ref="CQK14:CQN14"/>
    <mergeCell ref="CQO14:CQR14"/>
    <mergeCell ref="COW14:COZ14"/>
    <mergeCell ref="CPA14:CPD14"/>
    <mergeCell ref="CPE14:CPH14"/>
    <mergeCell ref="CPI14:CPL14"/>
    <mergeCell ref="CPM14:CPP14"/>
    <mergeCell ref="CPQ14:CPT14"/>
    <mergeCell ref="CNY14:COB14"/>
    <mergeCell ref="COC14:COF14"/>
    <mergeCell ref="COG14:COJ14"/>
    <mergeCell ref="COK14:CON14"/>
    <mergeCell ref="COO14:COR14"/>
    <mergeCell ref="COS14:COV14"/>
    <mergeCell ref="CNA14:CND14"/>
    <mergeCell ref="CNE14:CNH14"/>
    <mergeCell ref="CNI14:CNL14"/>
    <mergeCell ref="CNM14:CNP14"/>
    <mergeCell ref="CNQ14:CNT14"/>
    <mergeCell ref="CNU14:CNX14"/>
    <mergeCell ref="CMC14:CMF14"/>
    <mergeCell ref="CMG14:CMJ14"/>
    <mergeCell ref="CMK14:CMN14"/>
    <mergeCell ref="CMO14:CMR14"/>
    <mergeCell ref="CMS14:CMV14"/>
    <mergeCell ref="CMW14:CMZ14"/>
    <mergeCell ref="CLE14:CLH14"/>
    <mergeCell ref="CLI14:CLL14"/>
    <mergeCell ref="CLM14:CLP14"/>
    <mergeCell ref="CLQ14:CLT14"/>
    <mergeCell ref="CLU14:CLX14"/>
    <mergeCell ref="CLY14:CMB14"/>
    <mergeCell ref="CKG14:CKJ14"/>
    <mergeCell ref="CKK14:CKN14"/>
    <mergeCell ref="CKO14:CKR14"/>
    <mergeCell ref="CKS14:CKV14"/>
    <mergeCell ref="CKW14:CKZ14"/>
    <mergeCell ref="CLA14:CLD14"/>
    <mergeCell ref="CJI14:CJL14"/>
    <mergeCell ref="CJM14:CJP14"/>
    <mergeCell ref="CJQ14:CJT14"/>
    <mergeCell ref="CJU14:CJX14"/>
    <mergeCell ref="CJY14:CKB14"/>
    <mergeCell ref="CKC14:CKF14"/>
    <mergeCell ref="CIK14:CIN14"/>
    <mergeCell ref="CIO14:CIR14"/>
    <mergeCell ref="CIS14:CIV14"/>
    <mergeCell ref="CIW14:CIZ14"/>
    <mergeCell ref="CJA14:CJD14"/>
    <mergeCell ref="CJE14:CJH14"/>
    <mergeCell ref="CHM14:CHP14"/>
    <mergeCell ref="CHQ14:CHT14"/>
    <mergeCell ref="CHU14:CHX14"/>
    <mergeCell ref="CHY14:CIB14"/>
    <mergeCell ref="CIC14:CIF14"/>
    <mergeCell ref="CIG14:CIJ14"/>
    <mergeCell ref="CGO14:CGR14"/>
    <mergeCell ref="CGS14:CGV14"/>
    <mergeCell ref="CGW14:CGZ14"/>
    <mergeCell ref="CHA14:CHD14"/>
    <mergeCell ref="CHE14:CHH14"/>
    <mergeCell ref="CHI14:CHL14"/>
    <mergeCell ref="CFQ14:CFT14"/>
    <mergeCell ref="CFU14:CFX14"/>
    <mergeCell ref="CFY14:CGB14"/>
    <mergeCell ref="CGC14:CGF14"/>
    <mergeCell ref="CGG14:CGJ14"/>
    <mergeCell ref="CGK14:CGN14"/>
    <mergeCell ref="CES14:CEV14"/>
    <mergeCell ref="CEW14:CEZ14"/>
    <mergeCell ref="CFA14:CFD14"/>
    <mergeCell ref="CFE14:CFH14"/>
    <mergeCell ref="CFI14:CFL14"/>
    <mergeCell ref="CFM14:CFP14"/>
    <mergeCell ref="CDU14:CDX14"/>
    <mergeCell ref="CDY14:CEB14"/>
    <mergeCell ref="CEC14:CEF14"/>
    <mergeCell ref="CEG14:CEJ14"/>
    <mergeCell ref="CEK14:CEN14"/>
    <mergeCell ref="CEO14:CER14"/>
    <mergeCell ref="CCW14:CCZ14"/>
    <mergeCell ref="CDA14:CDD14"/>
    <mergeCell ref="CDE14:CDH14"/>
    <mergeCell ref="CDI14:CDL14"/>
    <mergeCell ref="CDM14:CDP14"/>
    <mergeCell ref="CDQ14:CDT14"/>
    <mergeCell ref="CBY14:CCB14"/>
    <mergeCell ref="CCC14:CCF14"/>
    <mergeCell ref="CCG14:CCJ14"/>
    <mergeCell ref="CCK14:CCN14"/>
    <mergeCell ref="CCO14:CCR14"/>
    <mergeCell ref="CCS14:CCV14"/>
    <mergeCell ref="CBA14:CBD14"/>
    <mergeCell ref="CBE14:CBH14"/>
    <mergeCell ref="CBI14:CBL14"/>
    <mergeCell ref="CBM14:CBP14"/>
    <mergeCell ref="CBQ14:CBT14"/>
    <mergeCell ref="CBU14:CBX14"/>
    <mergeCell ref="CAC14:CAF14"/>
    <mergeCell ref="CAG14:CAJ14"/>
    <mergeCell ref="CAK14:CAN14"/>
    <mergeCell ref="CAO14:CAR14"/>
    <mergeCell ref="CAS14:CAV14"/>
    <mergeCell ref="CAW14:CAZ14"/>
    <mergeCell ref="BZE14:BZH14"/>
    <mergeCell ref="BZI14:BZL14"/>
    <mergeCell ref="BZM14:BZP14"/>
    <mergeCell ref="BZQ14:BZT14"/>
    <mergeCell ref="BZU14:BZX14"/>
    <mergeCell ref="BZY14:CAB14"/>
    <mergeCell ref="BYG14:BYJ14"/>
    <mergeCell ref="BYK14:BYN14"/>
    <mergeCell ref="BYO14:BYR14"/>
    <mergeCell ref="BYS14:BYV14"/>
    <mergeCell ref="BYW14:BYZ14"/>
    <mergeCell ref="BZA14:BZD14"/>
    <mergeCell ref="BXI14:BXL14"/>
    <mergeCell ref="BXM14:BXP14"/>
    <mergeCell ref="BXQ14:BXT14"/>
    <mergeCell ref="BXU14:BXX14"/>
    <mergeCell ref="BXY14:BYB14"/>
    <mergeCell ref="BYC14:BYF14"/>
    <mergeCell ref="BWK14:BWN14"/>
    <mergeCell ref="BWO14:BWR14"/>
    <mergeCell ref="BWS14:BWV14"/>
    <mergeCell ref="BWW14:BWZ14"/>
    <mergeCell ref="BXA14:BXD14"/>
    <mergeCell ref="BXE14:BXH14"/>
    <mergeCell ref="BVM14:BVP14"/>
    <mergeCell ref="BVQ14:BVT14"/>
    <mergeCell ref="BVU14:BVX14"/>
    <mergeCell ref="BVY14:BWB14"/>
    <mergeCell ref="BWC14:BWF14"/>
    <mergeCell ref="BWG14:BWJ14"/>
    <mergeCell ref="BUO14:BUR14"/>
    <mergeCell ref="BUS14:BUV14"/>
    <mergeCell ref="BUW14:BUZ14"/>
    <mergeCell ref="BVA14:BVD14"/>
    <mergeCell ref="BVE14:BVH14"/>
    <mergeCell ref="BVI14:BVL14"/>
    <mergeCell ref="BTQ14:BTT14"/>
    <mergeCell ref="BTU14:BTX14"/>
    <mergeCell ref="BTY14:BUB14"/>
    <mergeCell ref="BUC14:BUF14"/>
    <mergeCell ref="BUG14:BUJ14"/>
    <mergeCell ref="BUK14:BUN14"/>
    <mergeCell ref="BSS14:BSV14"/>
    <mergeCell ref="BSW14:BSZ14"/>
    <mergeCell ref="BTA14:BTD14"/>
    <mergeCell ref="BTE14:BTH14"/>
    <mergeCell ref="BTI14:BTL14"/>
    <mergeCell ref="BTM14:BTP14"/>
    <mergeCell ref="BRU14:BRX14"/>
    <mergeCell ref="BRY14:BSB14"/>
    <mergeCell ref="BSC14:BSF14"/>
    <mergeCell ref="BSG14:BSJ14"/>
    <mergeCell ref="BSK14:BSN14"/>
    <mergeCell ref="BSO14:BSR14"/>
    <mergeCell ref="BQW14:BQZ14"/>
    <mergeCell ref="BRA14:BRD14"/>
    <mergeCell ref="BRE14:BRH14"/>
    <mergeCell ref="BRI14:BRL14"/>
    <mergeCell ref="BRM14:BRP14"/>
    <mergeCell ref="BRQ14:BRT14"/>
    <mergeCell ref="BPY14:BQB14"/>
    <mergeCell ref="BQC14:BQF14"/>
    <mergeCell ref="BQG14:BQJ14"/>
    <mergeCell ref="BQK14:BQN14"/>
    <mergeCell ref="BQO14:BQR14"/>
    <mergeCell ref="BQS14:BQV14"/>
    <mergeCell ref="BPA14:BPD14"/>
    <mergeCell ref="BPE14:BPH14"/>
    <mergeCell ref="BPI14:BPL14"/>
    <mergeCell ref="BPM14:BPP14"/>
    <mergeCell ref="BPQ14:BPT14"/>
    <mergeCell ref="BPU14:BPX14"/>
    <mergeCell ref="BOC14:BOF14"/>
    <mergeCell ref="BOG14:BOJ14"/>
    <mergeCell ref="BOK14:BON14"/>
    <mergeCell ref="BOO14:BOR14"/>
    <mergeCell ref="BOS14:BOV14"/>
    <mergeCell ref="BOW14:BOZ14"/>
    <mergeCell ref="BNE14:BNH14"/>
    <mergeCell ref="BNI14:BNL14"/>
    <mergeCell ref="BNM14:BNP14"/>
    <mergeCell ref="BNQ14:BNT14"/>
    <mergeCell ref="BNU14:BNX14"/>
    <mergeCell ref="BNY14:BOB14"/>
    <mergeCell ref="BMG14:BMJ14"/>
    <mergeCell ref="BMK14:BMN14"/>
    <mergeCell ref="BMO14:BMR14"/>
    <mergeCell ref="BMS14:BMV14"/>
    <mergeCell ref="BMW14:BMZ14"/>
    <mergeCell ref="BNA14:BND14"/>
    <mergeCell ref="BLI14:BLL14"/>
    <mergeCell ref="BLM14:BLP14"/>
    <mergeCell ref="BLQ14:BLT14"/>
    <mergeCell ref="BLU14:BLX14"/>
    <mergeCell ref="BLY14:BMB14"/>
    <mergeCell ref="BMC14:BMF14"/>
    <mergeCell ref="BKK14:BKN14"/>
    <mergeCell ref="BKO14:BKR14"/>
    <mergeCell ref="BKS14:BKV14"/>
    <mergeCell ref="BKW14:BKZ14"/>
    <mergeCell ref="BLA14:BLD14"/>
    <mergeCell ref="BLE14:BLH14"/>
    <mergeCell ref="BJM14:BJP14"/>
    <mergeCell ref="BJQ14:BJT14"/>
    <mergeCell ref="BJU14:BJX14"/>
    <mergeCell ref="BJY14:BKB14"/>
    <mergeCell ref="BKC14:BKF14"/>
    <mergeCell ref="BKG14:BKJ14"/>
    <mergeCell ref="BIO14:BIR14"/>
    <mergeCell ref="BIS14:BIV14"/>
    <mergeCell ref="BIW14:BIZ14"/>
    <mergeCell ref="BJA14:BJD14"/>
    <mergeCell ref="BJE14:BJH14"/>
    <mergeCell ref="BJI14:BJL14"/>
    <mergeCell ref="BHQ14:BHT14"/>
    <mergeCell ref="BHU14:BHX14"/>
    <mergeCell ref="BHY14:BIB14"/>
    <mergeCell ref="BIC14:BIF14"/>
    <mergeCell ref="BIG14:BIJ14"/>
    <mergeCell ref="BIK14:BIN14"/>
    <mergeCell ref="BGS14:BGV14"/>
    <mergeCell ref="BGW14:BGZ14"/>
    <mergeCell ref="BHA14:BHD14"/>
    <mergeCell ref="BHE14:BHH14"/>
    <mergeCell ref="BHI14:BHL14"/>
    <mergeCell ref="BHM14:BHP14"/>
    <mergeCell ref="BFU14:BFX14"/>
    <mergeCell ref="BFY14:BGB14"/>
    <mergeCell ref="BGC14:BGF14"/>
    <mergeCell ref="BGG14:BGJ14"/>
    <mergeCell ref="BGK14:BGN14"/>
    <mergeCell ref="BGO14:BGR14"/>
    <mergeCell ref="BEW14:BEZ14"/>
    <mergeCell ref="BFA14:BFD14"/>
    <mergeCell ref="BFE14:BFH14"/>
    <mergeCell ref="BFI14:BFL14"/>
    <mergeCell ref="BFM14:BFP14"/>
    <mergeCell ref="BFQ14:BFT14"/>
    <mergeCell ref="BDY14:BEB14"/>
    <mergeCell ref="BEC14:BEF14"/>
    <mergeCell ref="BEG14:BEJ14"/>
    <mergeCell ref="BEK14:BEN14"/>
    <mergeCell ref="BEO14:BER14"/>
    <mergeCell ref="BES14:BEV14"/>
    <mergeCell ref="BDA14:BDD14"/>
    <mergeCell ref="BDE14:BDH14"/>
    <mergeCell ref="BDI14:BDL14"/>
    <mergeCell ref="BDM14:BDP14"/>
    <mergeCell ref="BDQ14:BDT14"/>
    <mergeCell ref="BDU14:BDX14"/>
    <mergeCell ref="BCC14:BCF14"/>
    <mergeCell ref="BCG14:BCJ14"/>
    <mergeCell ref="BCK14:BCN14"/>
    <mergeCell ref="BCO14:BCR14"/>
    <mergeCell ref="BCS14:BCV14"/>
    <mergeCell ref="BCW14:BCZ14"/>
    <mergeCell ref="BBE14:BBH14"/>
    <mergeCell ref="BBI14:BBL14"/>
    <mergeCell ref="BBM14:BBP14"/>
    <mergeCell ref="BBQ14:BBT14"/>
    <mergeCell ref="BBU14:BBX14"/>
    <mergeCell ref="BBY14:BCB14"/>
    <mergeCell ref="BAG14:BAJ14"/>
    <mergeCell ref="BAK14:BAN14"/>
    <mergeCell ref="BAO14:BAR14"/>
    <mergeCell ref="BAS14:BAV14"/>
    <mergeCell ref="BAW14:BAZ14"/>
    <mergeCell ref="BBA14:BBD14"/>
    <mergeCell ref="AZI14:AZL14"/>
    <mergeCell ref="AZM14:AZP14"/>
    <mergeCell ref="AZQ14:AZT14"/>
    <mergeCell ref="AZU14:AZX14"/>
    <mergeCell ref="AZY14:BAB14"/>
    <mergeCell ref="BAC14:BAF14"/>
    <mergeCell ref="AYK14:AYN14"/>
    <mergeCell ref="AYO14:AYR14"/>
    <mergeCell ref="AYS14:AYV14"/>
    <mergeCell ref="AYW14:AYZ14"/>
    <mergeCell ref="AZA14:AZD14"/>
    <mergeCell ref="AZE14:AZH14"/>
    <mergeCell ref="AXM14:AXP14"/>
    <mergeCell ref="AXQ14:AXT14"/>
    <mergeCell ref="AXU14:AXX14"/>
    <mergeCell ref="AXY14:AYB14"/>
    <mergeCell ref="AYC14:AYF14"/>
    <mergeCell ref="AYG14:AYJ14"/>
    <mergeCell ref="AWO14:AWR14"/>
    <mergeCell ref="AWS14:AWV14"/>
    <mergeCell ref="AWW14:AWZ14"/>
    <mergeCell ref="AXA14:AXD14"/>
    <mergeCell ref="AXE14:AXH14"/>
    <mergeCell ref="AXI14:AXL14"/>
    <mergeCell ref="AVQ14:AVT14"/>
    <mergeCell ref="AVU14:AVX14"/>
    <mergeCell ref="AVY14:AWB14"/>
    <mergeCell ref="AWC14:AWF14"/>
    <mergeCell ref="AWG14:AWJ14"/>
    <mergeCell ref="AWK14:AWN14"/>
    <mergeCell ref="AUS14:AUV14"/>
    <mergeCell ref="AUW14:AUZ14"/>
    <mergeCell ref="AVA14:AVD14"/>
    <mergeCell ref="AVE14:AVH14"/>
    <mergeCell ref="AVI14:AVL14"/>
    <mergeCell ref="AVM14:AVP14"/>
    <mergeCell ref="ATU14:ATX14"/>
    <mergeCell ref="ATY14:AUB14"/>
    <mergeCell ref="AUC14:AUF14"/>
    <mergeCell ref="AUG14:AUJ14"/>
    <mergeCell ref="AUK14:AUN14"/>
    <mergeCell ref="AUO14:AUR14"/>
    <mergeCell ref="ASW14:ASZ14"/>
    <mergeCell ref="ATA14:ATD14"/>
    <mergeCell ref="ATE14:ATH14"/>
    <mergeCell ref="ATI14:ATL14"/>
    <mergeCell ref="ATM14:ATP14"/>
    <mergeCell ref="ATQ14:ATT14"/>
    <mergeCell ref="ARY14:ASB14"/>
    <mergeCell ref="ASC14:ASF14"/>
    <mergeCell ref="ASG14:ASJ14"/>
    <mergeCell ref="ASK14:ASN14"/>
    <mergeCell ref="ASO14:ASR14"/>
    <mergeCell ref="ASS14:ASV14"/>
    <mergeCell ref="ARA14:ARD14"/>
    <mergeCell ref="ARE14:ARH14"/>
    <mergeCell ref="ARI14:ARL14"/>
    <mergeCell ref="ARM14:ARP14"/>
    <mergeCell ref="ARQ14:ART14"/>
    <mergeCell ref="ARU14:ARX14"/>
    <mergeCell ref="AQC14:AQF14"/>
    <mergeCell ref="AQG14:AQJ14"/>
    <mergeCell ref="AQK14:AQN14"/>
    <mergeCell ref="AQO14:AQR14"/>
    <mergeCell ref="AQS14:AQV14"/>
    <mergeCell ref="AQW14:AQZ14"/>
    <mergeCell ref="APE14:APH14"/>
    <mergeCell ref="API14:APL14"/>
    <mergeCell ref="APM14:APP14"/>
    <mergeCell ref="APQ14:APT14"/>
    <mergeCell ref="APU14:APX14"/>
    <mergeCell ref="APY14:AQB14"/>
    <mergeCell ref="AOG14:AOJ14"/>
    <mergeCell ref="AOK14:AON14"/>
    <mergeCell ref="AOO14:AOR14"/>
    <mergeCell ref="AOS14:AOV14"/>
    <mergeCell ref="AOW14:AOZ14"/>
    <mergeCell ref="APA14:APD14"/>
    <mergeCell ref="ANI14:ANL14"/>
    <mergeCell ref="ANM14:ANP14"/>
    <mergeCell ref="ANQ14:ANT14"/>
    <mergeCell ref="ANU14:ANX14"/>
    <mergeCell ref="ANY14:AOB14"/>
    <mergeCell ref="AOC14:AOF14"/>
    <mergeCell ref="AMK14:AMN14"/>
    <mergeCell ref="AMO14:AMR14"/>
    <mergeCell ref="AMS14:AMV14"/>
    <mergeCell ref="AMW14:AMZ14"/>
    <mergeCell ref="ANA14:AND14"/>
    <mergeCell ref="ANE14:ANH14"/>
    <mergeCell ref="ALM14:ALP14"/>
    <mergeCell ref="ALQ14:ALT14"/>
    <mergeCell ref="ALU14:ALX14"/>
    <mergeCell ref="ALY14:AMB14"/>
    <mergeCell ref="AMC14:AMF14"/>
    <mergeCell ref="AMG14:AMJ14"/>
    <mergeCell ref="AKO14:AKR14"/>
    <mergeCell ref="AKS14:AKV14"/>
    <mergeCell ref="AKW14:AKZ14"/>
    <mergeCell ref="ALA14:ALD14"/>
    <mergeCell ref="ALE14:ALH14"/>
    <mergeCell ref="ALI14:ALL14"/>
    <mergeCell ref="AJQ14:AJT14"/>
    <mergeCell ref="AJU14:AJX14"/>
    <mergeCell ref="AJY14:AKB14"/>
    <mergeCell ref="AKC14:AKF14"/>
    <mergeCell ref="AKG14:AKJ14"/>
    <mergeCell ref="AKK14:AKN14"/>
    <mergeCell ref="AIS14:AIV14"/>
    <mergeCell ref="AIW14:AIZ14"/>
    <mergeCell ref="AJA14:AJD14"/>
    <mergeCell ref="AJE14:AJH14"/>
    <mergeCell ref="AJI14:AJL14"/>
    <mergeCell ref="AJM14:AJP14"/>
    <mergeCell ref="AHU14:AHX14"/>
    <mergeCell ref="AHY14:AIB14"/>
    <mergeCell ref="AIC14:AIF14"/>
    <mergeCell ref="AIG14:AIJ14"/>
    <mergeCell ref="AIK14:AIN14"/>
    <mergeCell ref="AIO14:AIR14"/>
    <mergeCell ref="AGW14:AGZ14"/>
    <mergeCell ref="AHA14:AHD14"/>
    <mergeCell ref="AHE14:AHH14"/>
    <mergeCell ref="AHI14:AHL14"/>
    <mergeCell ref="AHM14:AHP14"/>
    <mergeCell ref="AHQ14:AHT14"/>
    <mergeCell ref="AFY14:AGB14"/>
    <mergeCell ref="AGC14:AGF14"/>
    <mergeCell ref="AGG14:AGJ14"/>
    <mergeCell ref="AGK14:AGN14"/>
    <mergeCell ref="AGO14:AGR14"/>
    <mergeCell ref="AGS14:AGV14"/>
    <mergeCell ref="AFA14:AFD14"/>
    <mergeCell ref="AFE14:AFH14"/>
    <mergeCell ref="AFI14:AFL14"/>
    <mergeCell ref="AFM14:AFP14"/>
    <mergeCell ref="AFQ14:AFT14"/>
    <mergeCell ref="AFU14:AFX14"/>
    <mergeCell ref="AEC14:AEF14"/>
    <mergeCell ref="AEG14:AEJ14"/>
    <mergeCell ref="AEK14:AEN14"/>
    <mergeCell ref="AEO14:AER14"/>
    <mergeCell ref="AES14:AEV14"/>
    <mergeCell ref="AEW14:AEZ14"/>
    <mergeCell ref="ADE14:ADH14"/>
    <mergeCell ref="ADI14:ADL14"/>
    <mergeCell ref="ADM14:ADP14"/>
    <mergeCell ref="ADQ14:ADT14"/>
    <mergeCell ref="ADU14:ADX14"/>
    <mergeCell ref="ADY14:AEB14"/>
    <mergeCell ref="ACG14:ACJ14"/>
    <mergeCell ref="ACK14:ACN14"/>
    <mergeCell ref="ACO14:ACR14"/>
    <mergeCell ref="ACS14:ACV14"/>
    <mergeCell ref="ACW14:ACZ14"/>
    <mergeCell ref="ADA14:ADD14"/>
    <mergeCell ref="ABI14:ABL14"/>
    <mergeCell ref="ABM14:ABP14"/>
    <mergeCell ref="ABQ14:ABT14"/>
    <mergeCell ref="ABU14:ABX14"/>
    <mergeCell ref="ABY14:ACB14"/>
    <mergeCell ref="ACC14:ACF14"/>
    <mergeCell ref="AAK14:AAN14"/>
    <mergeCell ref="AAO14:AAR14"/>
    <mergeCell ref="AAS14:AAV14"/>
    <mergeCell ref="AAW14:AAZ14"/>
    <mergeCell ref="ABA14:ABD14"/>
    <mergeCell ref="ABE14:ABH14"/>
    <mergeCell ref="ZM14:ZP14"/>
    <mergeCell ref="ZQ14:ZT14"/>
    <mergeCell ref="ZU14:ZX14"/>
    <mergeCell ref="ZY14:AAB14"/>
    <mergeCell ref="AAC14:AAF14"/>
    <mergeCell ref="AAG14:AAJ14"/>
    <mergeCell ref="YO14:YR14"/>
    <mergeCell ref="YS14:YV14"/>
    <mergeCell ref="YW14:YZ14"/>
    <mergeCell ref="ZA14:ZD14"/>
    <mergeCell ref="ZE14:ZH14"/>
    <mergeCell ref="ZI14:ZL14"/>
    <mergeCell ref="XQ14:XT14"/>
    <mergeCell ref="XU14:XX14"/>
    <mergeCell ref="XY14:YB14"/>
    <mergeCell ref="YC14:YF14"/>
    <mergeCell ref="YG14:YJ14"/>
    <mergeCell ref="YK14:YN14"/>
    <mergeCell ref="WS14:WV14"/>
    <mergeCell ref="WW14:WZ14"/>
    <mergeCell ref="XA14:XD14"/>
    <mergeCell ref="XE14:XH14"/>
    <mergeCell ref="XI14:XL14"/>
    <mergeCell ref="XM14:XP14"/>
    <mergeCell ref="VU14:VX14"/>
    <mergeCell ref="VY14:WB14"/>
    <mergeCell ref="WC14:WF14"/>
    <mergeCell ref="WG14:WJ14"/>
    <mergeCell ref="WK14:WN14"/>
    <mergeCell ref="WO14:WR14"/>
    <mergeCell ref="UW14:UZ14"/>
    <mergeCell ref="VA14:VD14"/>
    <mergeCell ref="VE14:VH14"/>
    <mergeCell ref="VI14:VL14"/>
    <mergeCell ref="VM14:VP14"/>
    <mergeCell ref="VQ14:VT14"/>
    <mergeCell ref="TY14:UB14"/>
    <mergeCell ref="UC14:UF14"/>
    <mergeCell ref="UG14:UJ14"/>
    <mergeCell ref="UK14:UN14"/>
    <mergeCell ref="UO14:UR14"/>
    <mergeCell ref="US14:UV14"/>
    <mergeCell ref="TA14:TD14"/>
    <mergeCell ref="TE14:TH14"/>
    <mergeCell ref="TI14:TL14"/>
    <mergeCell ref="TM14:TP14"/>
    <mergeCell ref="TQ14:TT14"/>
    <mergeCell ref="TU14:TX14"/>
    <mergeCell ref="SC14:SF14"/>
    <mergeCell ref="SG14:SJ14"/>
    <mergeCell ref="SK14:SN14"/>
    <mergeCell ref="SO14:SR14"/>
    <mergeCell ref="SS14:SV14"/>
    <mergeCell ref="SW14:SZ14"/>
    <mergeCell ref="RE14:RH14"/>
    <mergeCell ref="RI14:RL14"/>
    <mergeCell ref="RM14:RP14"/>
    <mergeCell ref="RQ14:RT14"/>
    <mergeCell ref="RU14:RX14"/>
    <mergeCell ref="RY14:SB14"/>
    <mergeCell ref="QG14:QJ14"/>
    <mergeCell ref="QK14:QN14"/>
    <mergeCell ref="QO14:QR14"/>
    <mergeCell ref="QS14:QV14"/>
    <mergeCell ref="QW14:QZ14"/>
    <mergeCell ref="RA14:RD14"/>
    <mergeCell ref="PI14:PL14"/>
    <mergeCell ref="PM14:PP14"/>
    <mergeCell ref="PQ14:PT14"/>
    <mergeCell ref="PU14:PX14"/>
    <mergeCell ref="PY14:QB14"/>
    <mergeCell ref="QC14:QF14"/>
    <mergeCell ref="OK14:ON14"/>
    <mergeCell ref="OO14:OR14"/>
    <mergeCell ref="OS14:OV14"/>
    <mergeCell ref="OW14:OZ14"/>
    <mergeCell ref="PA14:PD14"/>
    <mergeCell ref="PE14:PH14"/>
    <mergeCell ref="NM14:NP14"/>
    <mergeCell ref="NQ14:NT14"/>
    <mergeCell ref="NU14:NX14"/>
    <mergeCell ref="NY14:OB14"/>
    <mergeCell ref="OC14:OF14"/>
    <mergeCell ref="OG14:OJ14"/>
    <mergeCell ref="MS14:MV14"/>
    <mergeCell ref="MW14:MZ14"/>
    <mergeCell ref="NA14:ND14"/>
    <mergeCell ref="NE14:NH14"/>
    <mergeCell ref="NI14:NL14"/>
    <mergeCell ref="LQ14:LT14"/>
    <mergeCell ref="LU14:LX14"/>
    <mergeCell ref="LY14:MB14"/>
    <mergeCell ref="MC14:MF14"/>
    <mergeCell ref="MG14:MJ14"/>
    <mergeCell ref="MK14:MN14"/>
    <mergeCell ref="KS14:KV14"/>
    <mergeCell ref="KW14:KZ14"/>
    <mergeCell ref="LA14:LD14"/>
    <mergeCell ref="LE14:LH14"/>
    <mergeCell ref="LI14:LL14"/>
    <mergeCell ref="LM14:LP14"/>
    <mergeCell ref="KC14:KF14"/>
    <mergeCell ref="KG14:KJ14"/>
    <mergeCell ref="KK14:KN14"/>
    <mergeCell ref="KO14:KR14"/>
    <mergeCell ref="IW14:IZ14"/>
    <mergeCell ref="JA14:JD14"/>
    <mergeCell ref="JE14:JH14"/>
    <mergeCell ref="JI14:JL14"/>
    <mergeCell ref="JM14:JP14"/>
    <mergeCell ref="JQ14:JT14"/>
    <mergeCell ref="HY14:IB14"/>
    <mergeCell ref="IC14:IF14"/>
    <mergeCell ref="IG14:IJ14"/>
    <mergeCell ref="IK14:IN14"/>
    <mergeCell ref="IO14:IR14"/>
    <mergeCell ref="IS14:IV14"/>
    <mergeCell ref="MO14:MR14"/>
    <mergeCell ref="HM14:HP14"/>
    <mergeCell ref="HQ14:HT14"/>
    <mergeCell ref="HU14:HX14"/>
    <mergeCell ref="GC14:GF14"/>
    <mergeCell ref="GG14:GJ14"/>
    <mergeCell ref="GK14:GN14"/>
    <mergeCell ref="GO14:GR14"/>
    <mergeCell ref="GS14:GV14"/>
    <mergeCell ref="GW14:GZ14"/>
    <mergeCell ref="FE14:FH14"/>
    <mergeCell ref="FI14:FL14"/>
    <mergeCell ref="FM14:FP14"/>
    <mergeCell ref="FQ14:FT14"/>
    <mergeCell ref="FU14:FX14"/>
    <mergeCell ref="FY14:GB14"/>
    <mergeCell ref="JU14:JX14"/>
    <mergeCell ref="JY14:KB14"/>
    <mergeCell ref="EW14:EZ14"/>
    <mergeCell ref="FA14:FD14"/>
    <mergeCell ref="DI14:DL14"/>
    <mergeCell ref="DM14:DP14"/>
    <mergeCell ref="DQ14:DT14"/>
    <mergeCell ref="DU14:DX14"/>
    <mergeCell ref="DY14:EB14"/>
    <mergeCell ref="EC14:EF14"/>
    <mergeCell ref="CK14:CN14"/>
    <mergeCell ref="CO14:CR14"/>
    <mergeCell ref="CS14:CV14"/>
    <mergeCell ref="CW14:CZ14"/>
    <mergeCell ref="DA14:DD14"/>
    <mergeCell ref="DE14:DH14"/>
    <mergeCell ref="HA14:HD14"/>
    <mergeCell ref="HE14:HH14"/>
    <mergeCell ref="HI14:HL14"/>
    <mergeCell ref="CG14:CJ14"/>
    <mergeCell ref="AO14:AR14"/>
    <mergeCell ref="AS14:AV14"/>
    <mergeCell ref="AW14:AZ14"/>
    <mergeCell ref="BA14:BD14"/>
    <mergeCell ref="BE14:BH14"/>
    <mergeCell ref="BI14:BL14"/>
    <mergeCell ref="Q14:T14"/>
    <mergeCell ref="U14:X14"/>
    <mergeCell ref="Y14:AB14"/>
    <mergeCell ref="AC14:AF14"/>
    <mergeCell ref="AG14:AJ14"/>
    <mergeCell ref="AK14:AN14"/>
    <mergeCell ref="EG14:EJ14"/>
    <mergeCell ref="EK14:EN14"/>
    <mergeCell ref="EO14:ER14"/>
    <mergeCell ref="ES14:EV14"/>
    <mergeCell ref="B9:D9"/>
    <mergeCell ref="A10:D10"/>
    <mergeCell ref="A13:D13"/>
    <mergeCell ref="E14:H14"/>
    <mergeCell ref="I14:L14"/>
    <mergeCell ref="M14:P14"/>
    <mergeCell ref="B1:C1"/>
    <mergeCell ref="A2:B3"/>
    <mergeCell ref="C2:C3"/>
    <mergeCell ref="D2:D3"/>
    <mergeCell ref="A4:D4"/>
    <mergeCell ref="B8:D8"/>
    <mergeCell ref="BM14:BP14"/>
    <mergeCell ref="BQ14:BT14"/>
    <mergeCell ref="BU14:BX14"/>
    <mergeCell ref="BY14:CB14"/>
    <mergeCell ref="CC14:CF14"/>
  </mergeCells>
  <conditionalFormatting sqref="D2">
    <cfRule type="expression" dxfId="32" priority="4">
      <formula>D2="Yes"</formula>
    </cfRule>
  </conditionalFormatting>
  <conditionalFormatting sqref="B43 B37 B31 B25">
    <cfRule type="expression" dxfId="31" priority="3">
      <formula>(D11+D24)&gt;B25</formula>
    </cfRule>
  </conditionalFormatting>
  <conditionalFormatting sqref="B73 B67 B61 B55 B49">
    <cfRule type="expression" dxfId="30" priority="2">
      <formula>(D35+D48)&gt;B49</formula>
    </cfRule>
  </conditionalFormatting>
  <conditionalFormatting sqref="B19">
    <cfRule type="expression" dxfId="29" priority="1">
      <formula>(D5+D18)&gt;B19</formula>
    </cfRule>
  </conditionalFormatting>
  <conditionalFormatting sqref="A14:A15">
    <cfRule type="expression" dxfId="28" priority="5">
      <formula>$D$2="Yes"</formula>
    </cfRule>
  </conditionalFormatting>
  <dataValidations count="1">
    <dataValidation type="list" allowBlank="1" showInputMessage="1" showErrorMessage="1" sqref="B26:B27 B74:B75 B68:B69 B62:B63 B56:B57 B50:B51 B44:B45 B38:B39 B32:B33" xr:uid="{00000000-0002-0000-0000-000000000000}">
      <formula1>$AC$1:$AC$15</formula1>
    </dataValidation>
  </dataValidations>
  <pageMargins left="0.25" right="0.25" top="0.75" bottom="0.75" header="0.3" footer="0.3"/>
  <pageSetup scale="64" fitToHeight="0" orientation="portrait" r:id="rId1"/>
  <headerFooter>
    <oddFooter>Page &amp;P of &amp;N</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9000000}">
          <x14:formula1>
            <xm:f>'Hidden Data Sheet'!$AD$1:$AD$15</xm:f>
          </x14:formula1>
          <xm:sqref>B20:B21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XFA154"/>
  <sheetViews>
    <sheetView tabSelected="1" zoomScale="80" zoomScaleNormal="80" workbookViewId="0">
      <selection activeCell="C18" sqref="C18:D18"/>
    </sheetView>
  </sheetViews>
  <sheetFormatPr defaultColWidth="0" defaultRowHeight="0" customHeight="1" zeroHeight="1" x14ac:dyDescent="0.2"/>
  <cols>
    <col min="1" max="1" width="43.140625" style="23" customWidth="1"/>
    <col min="2" max="2" width="38" style="1" customWidth="1"/>
    <col min="3" max="3" width="41.5703125" style="1" customWidth="1"/>
    <col min="4" max="4" width="35" style="22" customWidth="1"/>
    <col min="5" max="5" width="7.7109375" style="1" hidden="1" customWidth="1"/>
    <col min="6" max="7" width="10.5703125" style="1" hidden="1" customWidth="1"/>
    <col min="8" max="16384" width="9.140625" style="1" hidden="1"/>
  </cols>
  <sheetData>
    <row r="1" spans="1:16381" ht="65.25" customHeight="1" x14ac:dyDescent="0.25">
      <c r="A1" s="25" t="s">
        <v>0</v>
      </c>
      <c r="B1" s="144" t="s">
        <v>1187</v>
      </c>
      <c r="C1" s="110"/>
      <c r="D1" s="26"/>
    </row>
    <row r="2" spans="1:16381" ht="44.25" customHeight="1" x14ac:dyDescent="0.2">
      <c r="A2" s="145" t="s">
        <v>1074</v>
      </c>
      <c r="B2" s="112"/>
      <c r="C2" s="149" t="s">
        <v>966</v>
      </c>
      <c r="D2" s="151" t="str">
        <f>IF(I21&lt;1,"No","Yes")</f>
        <v>No</v>
      </c>
    </row>
    <row r="3" spans="1:16381" ht="44.25" customHeight="1" x14ac:dyDescent="0.25">
      <c r="A3" s="113"/>
      <c r="B3" s="114"/>
      <c r="C3" s="150"/>
      <c r="D3" s="152"/>
      <c r="E3" s="15" t="str">
        <f>IF(ISNUMBER(COUNTIF(H22:H31, "false")), "Yes", "No")</f>
        <v>Yes</v>
      </c>
    </row>
    <row r="4" spans="1:16381" ht="22.5" customHeight="1" x14ac:dyDescent="0.2">
      <c r="A4" s="104" t="s">
        <v>151</v>
      </c>
      <c r="B4" s="104"/>
      <c r="C4" s="104"/>
      <c r="D4" s="104"/>
    </row>
    <row r="5" spans="1:16381" ht="17.25" customHeight="1" x14ac:dyDescent="0.25">
      <c r="A5" s="43" t="s">
        <v>945</v>
      </c>
      <c r="B5" s="92"/>
      <c r="C5" s="19" t="s">
        <v>1188</v>
      </c>
      <c r="D5" s="98"/>
    </row>
    <row r="6" spans="1:16381" ht="17.25" customHeight="1" x14ac:dyDescent="0.25">
      <c r="A6" s="43" t="s">
        <v>947</v>
      </c>
      <c r="B6" s="92"/>
      <c r="C6" s="43" t="s">
        <v>948</v>
      </c>
      <c r="D6" s="97"/>
    </row>
    <row r="7" spans="1:16381" ht="17.25" customHeight="1" x14ac:dyDescent="0.25">
      <c r="A7" s="43" t="s">
        <v>1189</v>
      </c>
      <c r="B7" s="44"/>
      <c r="C7" s="100" t="s">
        <v>1190</v>
      </c>
      <c r="D7" s="44"/>
    </row>
    <row r="8" spans="1:16381" ht="17.25" customHeight="1" x14ac:dyDescent="0.25">
      <c r="A8" s="43" t="s">
        <v>950</v>
      </c>
      <c r="B8" s="146"/>
      <c r="C8" s="147"/>
      <c r="D8" s="148"/>
    </row>
    <row r="9" spans="1:16381" ht="17.25" customHeight="1" x14ac:dyDescent="0.25">
      <c r="A9" s="37" t="s">
        <v>199</v>
      </c>
      <c r="B9" s="88" t="str">
        <f>IF(B7="Type 1: MSEDS",'Hidden Data Sheet'!M3,IF(B7="Type 2: RSEDS",'Hidden Data Sheet'!M4,""))</f>
        <v/>
      </c>
      <c r="C9" s="87"/>
      <c r="D9" s="87"/>
    </row>
    <row r="10" spans="1:16381" ht="22.5" customHeight="1" x14ac:dyDescent="0.2">
      <c r="A10" s="104" t="s">
        <v>889</v>
      </c>
      <c r="B10" s="104"/>
      <c r="C10" s="104"/>
      <c r="D10" s="104"/>
    </row>
    <row r="11" spans="1:16381" ht="44.25" customHeight="1" x14ac:dyDescent="0.2">
      <c r="A11" s="43" t="s">
        <v>967</v>
      </c>
      <c r="B11" s="48"/>
      <c r="C11" s="19" t="s">
        <v>951</v>
      </c>
      <c r="D11" s="74"/>
    </row>
    <row r="12" spans="1:16381" ht="44.25" customHeight="1" x14ac:dyDescent="0.2">
      <c r="A12" s="43" t="s">
        <v>953</v>
      </c>
      <c r="B12" s="95"/>
      <c r="C12" s="43" t="s">
        <v>954</v>
      </c>
      <c r="D12" s="48"/>
    </row>
    <row r="13" spans="1:16381" ht="34.5" customHeight="1" x14ac:dyDescent="0.2">
      <c r="A13" s="104" t="s">
        <v>96</v>
      </c>
      <c r="B13" s="104"/>
      <c r="C13" s="104"/>
      <c r="D13" s="104"/>
      <c r="E13" s="4"/>
      <c r="F13" s="4"/>
      <c r="G13" s="4"/>
      <c r="H13" s="4"/>
      <c r="I13" s="4"/>
    </row>
    <row r="14" spans="1:16381" ht="33" customHeight="1" x14ac:dyDescent="0.25">
      <c r="A14" s="40" t="s">
        <v>180</v>
      </c>
      <c r="B14" s="10" t="s">
        <v>82</v>
      </c>
      <c r="C14" s="31" t="s">
        <v>83</v>
      </c>
      <c r="D14" s="13" t="s">
        <v>182</v>
      </c>
      <c r="E14" s="105"/>
      <c r="F14" s="105"/>
      <c r="G14" s="105"/>
      <c r="H14" s="105"/>
      <c r="I14" s="106"/>
      <c r="J14" s="107" t="s">
        <v>1</v>
      </c>
      <c r="K14" s="108"/>
      <c r="L14" s="108"/>
      <c r="M14" s="109"/>
      <c r="N14" s="107" t="s">
        <v>1</v>
      </c>
      <c r="O14" s="108"/>
      <c r="P14" s="108"/>
      <c r="Q14" s="109"/>
      <c r="R14" s="107" t="s">
        <v>1</v>
      </c>
      <c r="S14" s="108"/>
      <c r="T14" s="108"/>
      <c r="U14" s="109"/>
      <c r="V14" s="107" t="s">
        <v>1</v>
      </c>
      <c r="W14" s="108"/>
      <c r="X14" s="108"/>
      <c r="Y14" s="109"/>
      <c r="Z14" s="107" t="s">
        <v>1</v>
      </c>
      <c r="AA14" s="108"/>
      <c r="AB14" s="108"/>
      <c r="AC14" s="109"/>
      <c r="AD14" s="107" t="s">
        <v>1</v>
      </c>
      <c r="AE14" s="108"/>
      <c r="AF14" s="108"/>
      <c r="AG14" s="109"/>
      <c r="AH14" s="107" t="s">
        <v>1</v>
      </c>
      <c r="AI14" s="108"/>
      <c r="AJ14" s="108"/>
      <c r="AK14" s="109"/>
      <c r="AL14" s="107" t="s">
        <v>1</v>
      </c>
      <c r="AM14" s="108"/>
      <c r="AN14" s="108"/>
      <c r="AO14" s="109"/>
      <c r="AP14" s="107" t="s">
        <v>1</v>
      </c>
      <c r="AQ14" s="108"/>
      <c r="AR14" s="108"/>
      <c r="AS14" s="109"/>
      <c r="AT14" s="107" t="s">
        <v>1</v>
      </c>
      <c r="AU14" s="108"/>
      <c r="AV14" s="108"/>
      <c r="AW14" s="109"/>
      <c r="AX14" s="107" t="s">
        <v>1</v>
      </c>
      <c r="AY14" s="108"/>
      <c r="AZ14" s="108"/>
      <c r="BA14" s="109"/>
      <c r="BB14" s="107" t="s">
        <v>1</v>
      </c>
      <c r="BC14" s="108"/>
      <c r="BD14" s="108"/>
      <c r="BE14" s="109"/>
      <c r="BF14" s="107" t="s">
        <v>1</v>
      </c>
      <c r="BG14" s="108"/>
      <c r="BH14" s="108"/>
      <c r="BI14" s="109"/>
      <c r="BJ14" s="107" t="s">
        <v>1</v>
      </c>
      <c r="BK14" s="108"/>
      <c r="BL14" s="108"/>
      <c r="BM14" s="109"/>
      <c r="BN14" s="107" t="s">
        <v>1</v>
      </c>
      <c r="BO14" s="108"/>
      <c r="BP14" s="108"/>
      <c r="BQ14" s="109"/>
      <c r="BR14" s="107" t="s">
        <v>1</v>
      </c>
      <c r="BS14" s="108"/>
      <c r="BT14" s="108"/>
      <c r="BU14" s="109"/>
      <c r="BV14" s="107" t="s">
        <v>1</v>
      </c>
      <c r="BW14" s="108"/>
      <c r="BX14" s="108"/>
      <c r="BY14" s="109"/>
      <c r="BZ14" s="107" t="s">
        <v>1</v>
      </c>
      <c r="CA14" s="108"/>
      <c r="CB14" s="108"/>
      <c r="CC14" s="109"/>
      <c r="CD14" s="107" t="s">
        <v>1</v>
      </c>
      <c r="CE14" s="108"/>
      <c r="CF14" s="108"/>
      <c r="CG14" s="109"/>
      <c r="CH14" s="107" t="s">
        <v>1</v>
      </c>
      <c r="CI14" s="108"/>
      <c r="CJ14" s="108"/>
      <c r="CK14" s="109"/>
      <c r="CL14" s="107" t="s">
        <v>1</v>
      </c>
      <c r="CM14" s="108"/>
      <c r="CN14" s="108"/>
      <c r="CO14" s="109"/>
      <c r="CP14" s="107" t="s">
        <v>1</v>
      </c>
      <c r="CQ14" s="108"/>
      <c r="CR14" s="108"/>
      <c r="CS14" s="109"/>
      <c r="CT14" s="107" t="s">
        <v>1</v>
      </c>
      <c r="CU14" s="108"/>
      <c r="CV14" s="108"/>
      <c r="CW14" s="109"/>
      <c r="CX14" s="107" t="s">
        <v>1</v>
      </c>
      <c r="CY14" s="108"/>
      <c r="CZ14" s="108"/>
      <c r="DA14" s="109"/>
      <c r="DB14" s="107" t="s">
        <v>1</v>
      </c>
      <c r="DC14" s="108"/>
      <c r="DD14" s="108"/>
      <c r="DE14" s="109"/>
      <c r="DF14" s="107" t="s">
        <v>1</v>
      </c>
      <c r="DG14" s="108"/>
      <c r="DH14" s="108"/>
      <c r="DI14" s="109"/>
      <c r="DJ14" s="107" t="s">
        <v>1</v>
      </c>
      <c r="DK14" s="108"/>
      <c r="DL14" s="108"/>
      <c r="DM14" s="109"/>
      <c r="DN14" s="107" t="s">
        <v>1</v>
      </c>
      <c r="DO14" s="108"/>
      <c r="DP14" s="108"/>
      <c r="DQ14" s="109"/>
      <c r="DR14" s="107" t="s">
        <v>1</v>
      </c>
      <c r="DS14" s="108"/>
      <c r="DT14" s="108"/>
      <c r="DU14" s="109"/>
      <c r="DV14" s="107" t="s">
        <v>1</v>
      </c>
      <c r="DW14" s="108"/>
      <c r="DX14" s="108"/>
      <c r="DY14" s="109"/>
      <c r="DZ14" s="107" t="s">
        <v>1</v>
      </c>
      <c r="EA14" s="108"/>
      <c r="EB14" s="108"/>
      <c r="EC14" s="109"/>
      <c r="ED14" s="107" t="s">
        <v>1</v>
      </c>
      <c r="EE14" s="108"/>
      <c r="EF14" s="108"/>
      <c r="EG14" s="109"/>
      <c r="EH14" s="107" t="s">
        <v>1</v>
      </c>
      <c r="EI14" s="108"/>
      <c r="EJ14" s="108"/>
      <c r="EK14" s="109"/>
      <c r="EL14" s="107" t="s">
        <v>1</v>
      </c>
      <c r="EM14" s="108"/>
      <c r="EN14" s="108"/>
      <c r="EO14" s="109"/>
      <c r="EP14" s="107" t="s">
        <v>1</v>
      </c>
      <c r="EQ14" s="108"/>
      <c r="ER14" s="108"/>
      <c r="ES14" s="109"/>
      <c r="ET14" s="107" t="s">
        <v>1</v>
      </c>
      <c r="EU14" s="108"/>
      <c r="EV14" s="108"/>
      <c r="EW14" s="109"/>
      <c r="EX14" s="107" t="s">
        <v>1</v>
      </c>
      <c r="EY14" s="108"/>
      <c r="EZ14" s="108"/>
      <c r="FA14" s="109"/>
      <c r="FB14" s="107" t="s">
        <v>1</v>
      </c>
      <c r="FC14" s="108"/>
      <c r="FD14" s="108"/>
      <c r="FE14" s="109"/>
      <c r="FF14" s="107" t="s">
        <v>1</v>
      </c>
      <c r="FG14" s="108"/>
      <c r="FH14" s="108"/>
      <c r="FI14" s="109"/>
      <c r="FJ14" s="107" t="s">
        <v>1</v>
      </c>
      <c r="FK14" s="108"/>
      <c r="FL14" s="108"/>
      <c r="FM14" s="109"/>
      <c r="FN14" s="107" t="s">
        <v>1</v>
      </c>
      <c r="FO14" s="108"/>
      <c r="FP14" s="108"/>
      <c r="FQ14" s="109"/>
      <c r="FR14" s="107" t="s">
        <v>1</v>
      </c>
      <c r="FS14" s="108"/>
      <c r="FT14" s="108"/>
      <c r="FU14" s="109"/>
      <c r="FV14" s="107" t="s">
        <v>1</v>
      </c>
      <c r="FW14" s="108"/>
      <c r="FX14" s="108"/>
      <c r="FY14" s="109"/>
      <c r="FZ14" s="107" t="s">
        <v>1</v>
      </c>
      <c r="GA14" s="108"/>
      <c r="GB14" s="108"/>
      <c r="GC14" s="109"/>
      <c r="GD14" s="107" t="s">
        <v>1</v>
      </c>
      <c r="GE14" s="108"/>
      <c r="GF14" s="108"/>
      <c r="GG14" s="109"/>
      <c r="GH14" s="107" t="s">
        <v>1</v>
      </c>
      <c r="GI14" s="108"/>
      <c r="GJ14" s="108"/>
      <c r="GK14" s="109"/>
      <c r="GL14" s="107" t="s">
        <v>1</v>
      </c>
      <c r="GM14" s="108"/>
      <c r="GN14" s="108"/>
      <c r="GO14" s="109"/>
      <c r="GP14" s="107" t="s">
        <v>1</v>
      </c>
      <c r="GQ14" s="108"/>
      <c r="GR14" s="108"/>
      <c r="GS14" s="109"/>
      <c r="GT14" s="107" t="s">
        <v>1</v>
      </c>
      <c r="GU14" s="108"/>
      <c r="GV14" s="108"/>
      <c r="GW14" s="109"/>
      <c r="GX14" s="107" t="s">
        <v>1</v>
      </c>
      <c r="GY14" s="108"/>
      <c r="GZ14" s="108"/>
      <c r="HA14" s="109"/>
      <c r="HB14" s="107" t="s">
        <v>1</v>
      </c>
      <c r="HC14" s="108"/>
      <c r="HD14" s="108"/>
      <c r="HE14" s="109"/>
      <c r="HF14" s="107" t="s">
        <v>1</v>
      </c>
      <c r="HG14" s="108"/>
      <c r="HH14" s="108"/>
      <c r="HI14" s="109"/>
      <c r="HJ14" s="107" t="s">
        <v>1</v>
      </c>
      <c r="HK14" s="108"/>
      <c r="HL14" s="108"/>
      <c r="HM14" s="109"/>
      <c r="HN14" s="107" t="s">
        <v>1</v>
      </c>
      <c r="HO14" s="108"/>
      <c r="HP14" s="108"/>
      <c r="HQ14" s="109"/>
      <c r="HR14" s="107" t="s">
        <v>1</v>
      </c>
      <c r="HS14" s="108"/>
      <c r="HT14" s="108"/>
      <c r="HU14" s="109"/>
      <c r="HV14" s="107" t="s">
        <v>1</v>
      </c>
      <c r="HW14" s="108"/>
      <c r="HX14" s="108"/>
      <c r="HY14" s="109"/>
      <c r="HZ14" s="107" t="s">
        <v>1</v>
      </c>
      <c r="IA14" s="108"/>
      <c r="IB14" s="108"/>
      <c r="IC14" s="109"/>
      <c r="ID14" s="107" t="s">
        <v>1</v>
      </c>
      <c r="IE14" s="108"/>
      <c r="IF14" s="108"/>
      <c r="IG14" s="109"/>
      <c r="IH14" s="107" t="s">
        <v>1</v>
      </c>
      <c r="II14" s="108"/>
      <c r="IJ14" s="108"/>
      <c r="IK14" s="109"/>
      <c r="IL14" s="107" t="s">
        <v>1</v>
      </c>
      <c r="IM14" s="108"/>
      <c r="IN14" s="108"/>
      <c r="IO14" s="109"/>
      <c r="IP14" s="107" t="s">
        <v>1</v>
      </c>
      <c r="IQ14" s="108"/>
      <c r="IR14" s="108"/>
      <c r="IS14" s="109"/>
      <c r="IT14" s="107" t="s">
        <v>1</v>
      </c>
      <c r="IU14" s="108"/>
      <c r="IV14" s="108"/>
      <c r="IW14" s="109"/>
      <c r="IX14" s="107" t="s">
        <v>1</v>
      </c>
      <c r="IY14" s="108"/>
      <c r="IZ14" s="108"/>
      <c r="JA14" s="109"/>
      <c r="JB14" s="107" t="s">
        <v>1</v>
      </c>
      <c r="JC14" s="108"/>
      <c r="JD14" s="108"/>
      <c r="JE14" s="109"/>
      <c r="JF14" s="107" t="s">
        <v>1</v>
      </c>
      <c r="JG14" s="108"/>
      <c r="JH14" s="108"/>
      <c r="JI14" s="109"/>
      <c r="JJ14" s="107" t="s">
        <v>1</v>
      </c>
      <c r="JK14" s="108"/>
      <c r="JL14" s="108"/>
      <c r="JM14" s="109"/>
      <c r="JN14" s="107" t="s">
        <v>1</v>
      </c>
      <c r="JO14" s="108"/>
      <c r="JP14" s="108"/>
      <c r="JQ14" s="109"/>
      <c r="JR14" s="107" t="s">
        <v>1</v>
      </c>
      <c r="JS14" s="108"/>
      <c r="JT14" s="108"/>
      <c r="JU14" s="109"/>
      <c r="JV14" s="107" t="s">
        <v>1</v>
      </c>
      <c r="JW14" s="108"/>
      <c r="JX14" s="108"/>
      <c r="JY14" s="109"/>
      <c r="JZ14" s="107" t="s">
        <v>1</v>
      </c>
      <c r="KA14" s="108"/>
      <c r="KB14" s="108"/>
      <c r="KC14" s="109"/>
      <c r="KD14" s="107" t="s">
        <v>1</v>
      </c>
      <c r="KE14" s="108"/>
      <c r="KF14" s="108"/>
      <c r="KG14" s="109"/>
      <c r="KH14" s="107" t="s">
        <v>1</v>
      </c>
      <c r="KI14" s="108"/>
      <c r="KJ14" s="108"/>
      <c r="KK14" s="109"/>
      <c r="KL14" s="107" t="s">
        <v>1</v>
      </c>
      <c r="KM14" s="108"/>
      <c r="KN14" s="108"/>
      <c r="KO14" s="109"/>
      <c r="KP14" s="107" t="s">
        <v>1</v>
      </c>
      <c r="KQ14" s="108"/>
      <c r="KR14" s="108"/>
      <c r="KS14" s="109"/>
      <c r="KT14" s="107" t="s">
        <v>1</v>
      </c>
      <c r="KU14" s="108"/>
      <c r="KV14" s="108"/>
      <c r="KW14" s="109"/>
      <c r="KX14" s="107" t="s">
        <v>1</v>
      </c>
      <c r="KY14" s="108"/>
      <c r="KZ14" s="108"/>
      <c r="LA14" s="109"/>
      <c r="LB14" s="107" t="s">
        <v>1</v>
      </c>
      <c r="LC14" s="108"/>
      <c r="LD14" s="108"/>
      <c r="LE14" s="109"/>
      <c r="LF14" s="107" t="s">
        <v>1</v>
      </c>
      <c r="LG14" s="108"/>
      <c r="LH14" s="108"/>
      <c r="LI14" s="109"/>
      <c r="LJ14" s="107" t="s">
        <v>1</v>
      </c>
      <c r="LK14" s="108"/>
      <c r="LL14" s="108"/>
      <c r="LM14" s="109"/>
      <c r="LN14" s="107" t="s">
        <v>1</v>
      </c>
      <c r="LO14" s="108"/>
      <c r="LP14" s="108"/>
      <c r="LQ14" s="109"/>
      <c r="LR14" s="107" t="s">
        <v>1</v>
      </c>
      <c r="LS14" s="108"/>
      <c r="LT14" s="108"/>
      <c r="LU14" s="109"/>
      <c r="LV14" s="107" t="s">
        <v>1</v>
      </c>
      <c r="LW14" s="108"/>
      <c r="LX14" s="108"/>
      <c r="LY14" s="109"/>
      <c r="LZ14" s="107" t="s">
        <v>1</v>
      </c>
      <c r="MA14" s="108"/>
      <c r="MB14" s="108"/>
      <c r="MC14" s="109"/>
      <c r="MD14" s="107" t="s">
        <v>1</v>
      </c>
      <c r="ME14" s="108"/>
      <c r="MF14" s="108"/>
      <c r="MG14" s="109"/>
      <c r="MH14" s="107" t="s">
        <v>1</v>
      </c>
      <c r="MI14" s="108"/>
      <c r="MJ14" s="108"/>
      <c r="MK14" s="109"/>
      <c r="ML14" s="107" t="s">
        <v>1</v>
      </c>
      <c r="MM14" s="108"/>
      <c r="MN14" s="108"/>
      <c r="MO14" s="109"/>
      <c r="MP14" s="107" t="s">
        <v>1</v>
      </c>
      <c r="MQ14" s="108"/>
      <c r="MR14" s="108"/>
      <c r="MS14" s="109"/>
      <c r="MT14" s="107" t="s">
        <v>1</v>
      </c>
      <c r="MU14" s="108"/>
      <c r="MV14" s="108"/>
      <c r="MW14" s="109"/>
      <c r="MX14" s="107" t="s">
        <v>1</v>
      </c>
      <c r="MY14" s="108"/>
      <c r="MZ14" s="108"/>
      <c r="NA14" s="109"/>
      <c r="NB14" s="107" t="s">
        <v>1</v>
      </c>
      <c r="NC14" s="108"/>
      <c r="ND14" s="108"/>
      <c r="NE14" s="109"/>
      <c r="NF14" s="107" t="s">
        <v>1</v>
      </c>
      <c r="NG14" s="108"/>
      <c r="NH14" s="108"/>
      <c r="NI14" s="109"/>
      <c r="NJ14" s="107" t="s">
        <v>1</v>
      </c>
      <c r="NK14" s="108"/>
      <c r="NL14" s="108"/>
      <c r="NM14" s="109"/>
      <c r="NN14" s="107" t="s">
        <v>1</v>
      </c>
      <c r="NO14" s="108"/>
      <c r="NP14" s="108"/>
      <c r="NQ14" s="109"/>
      <c r="NR14" s="107" t="s">
        <v>1</v>
      </c>
      <c r="NS14" s="108"/>
      <c r="NT14" s="108"/>
      <c r="NU14" s="109"/>
      <c r="NV14" s="107" t="s">
        <v>1</v>
      </c>
      <c r="NW14" s="108"/>
      <c r="NX14" s="108"/>
      <c r="NY14" s="109"/>
      <c r="NZ14" s="107" t="s">
        <v>1</v>
      </c>
      <c r="OA14" s="108"/>
      <c r="OB14" s="108"/>
      <c r="OC14" s="109"/>
      <c r="OD14" s="107" t="s">
        <v>1</v>
      </c>
      <c r="OE14" s="108"/>
      <c r="OF14" s="108"/>
      <c r="OG14" s="109"/>
      <c r="OH14" s="107" t="s">
        <v>1</v>
      </c>
      <c r="OI14" s="108"/>
      <c r="OJ14" s="108"/>
      <c r="OK14" s="109"/>
      <c r="OL14" s="107" t="s">
        <v>1</v>
      </c>
      <c r="OM14" s="108"/>
      <c r="ON14" s="108"/>
      <c r="OO14" s="109"/>
      <c r="OP14" s="107" t="s">
        <v>1</v>
      </c>
      <c r="OQ14" s="108"/>
      <c r="OR14" s="108"/>
      <c r="OS14" s="109"/>
      <c r="OT14" s="107" t="s">
        <v>1</v>
      </c>
      <c r="OU14" s="108"/>
      <c r="OV14" s="108"/>
      <c r="OW14" s="109"/>
      <c r="OX14" s="107" t="s">
        <v>1</v>
      </c>
      <c r="OY14" s="108"/>
      <c r="OZ14" s="108"/>
      <c r="PA14" s="109"/>
      <c r="PB14" s="107" t="s">
        <v>1</v>
      </c>
      <c r="PC14" s="108"/>
      <c r="PD14" s="108"/>
      <c r="PE14" s="109"/>
      <c r="PF14" s="107" t="s">
        <v>1</v>
      </c>
      <c r="PG14" s="108"/>
      <c r="PH14" s="108"/>
      <c r="PI14" s="109"/>
      <c r="PJ14" s="107" t="s">
        <v>1</v>
      </c>
      <c r="PK14" s="108"/>
      <c r="PL14" s="108"/>
      <c r="PM14" s="109"/>
      <c r="PN14" s="107" t="s">
        <v>1</v>
      </c>
      <c r="PO14" s="108"/>
      <c r="PP14" s="108"/>
      <c r="PQ14" s="109"/>
      <c r="PR14" s="107" t="s">
        <v>1</v>
      </c>
      <c r="PS14" s="108"/>
      <c r="PT14" s="108"/>
      <c r="PU14" s="109"/>
      <c r="PV14" s="107" t="s">
        <v>1</v>
      </c>
      <c r="PW14" s="108"/>
      <c r="PX14" s="108"/>
      <c r="PY14" s="109"/>
      <c r="PZ14" s="107" t="s">
        <v>1</v>
      </c>
      <c r="QA14" s="108"/>
      <c r="QB14" s="108"/>
      <c r="QC14" s="109"/>
      <c r="QD14" s="107" t="s">
        <v>1</v>
      </c>
      <c r="QE14" s="108"/>
      <c r="QF14" s="108"/>
      <c r="QG14" s="109"/>
      <c r="QH14" s="107" t="s">
        <v>1</v>
      </c>
      <c r="QI14" s="108"/>
      <c r="QJ14" s="108"/>
      <c r="QK14" s="109"/>
      <c r="QL14" s="107" t="s">
        <v>1</v>
      </c>
      <c r="QM14" s="108"/>
      <c r="QN14" s="108"/>
      <c r="QO14" s="109"/>
      <c r="QP14" s="107" t="s">
        <v>1</v>
      </c>
      <c r="QQ14" s="108"/>
      <c r="QR14" s="108"/>
      <c r="QS14" s="109"/>
      <c r="QT14" s="107" t="s">
        <v>1</v>
      </c>
      <c r="QU14" s="108"/>
      <c r="QV14" s="108"/>
      <c r="QW14" s="109"/>
      <c r="QX14" s="107" t="s">
        <v>1</v>
      </c>
      <c r="QY14" s="108"/>
      <c r="QZ14" s="108"/>
      <c r="RA14" s="109"/>
      <c r="RB14" s="107" t="s">
        <v>1</v>
      </c>
      <c r="RC14" s="108"/>
      <c r="RD14" s="108"/>
      <c r="RE14" s="109"/>
      <c r="RF14" s="107" t="s">
        <v>1</v>
      </c>
      <c r="RG14" s="108"/>
      <c r="RH14" s="108"/>
      <c r="RI14" s="109"/>
      <c r="RJ14" s="107" t="s">
        <v>1</v>
      </c>
      <c r="RK14" s="108"/>
      <c r="RL14" s="108"/>
      <c r="RM14" s="109"/>
      <c r="RN14" s="107" t="s">
        <v>1</v>
      </c>
      <c r="RO14" s="108"/>
      <c r="RP14" s="108"/>
      <c r="RQ14" s="109"/>
      <c r="RR14" s="107" t="s">
        <v>1</v>
      </c>
      <c r="RS14" s="108"/>
      <c r="RT14" s="108"/>
      <c r="RU14" s="109"/>
      <c r="RV14" s="107" t="s">
        <v>1</v>
      </c>
      <c r="RW14" s="108"/>
      <c r="RX14" s="108"/>
      <c r="RY14" s="109"/>
      <c r="RZ14" s="107" t="s">
        <v>1</v>
      </c>
      <c r="SA14" s="108"/>
      <c r="SB14" s="108"/>
      <c r="SC14" s="109"/>
      <c r="SD14" s="107" t="s">
        <v>1</v>
      </c>
      <c r="SE14" s="108"/>
      <c r="SF14" s="108"/>
      <c r="SG14" s="109"/>
      <c r="SH14" s="107" t="s">
        <v>1</v>
      </c>
      <c r="SI14" s="108"/>
      <c r="SJ14" s="108"/>
      <c r="SK14" s="109"/>
      <c r="SL14" s="107" t="s">
        <v>1</v>
      </c>
      <c r="SM14" s="108"/>
      <c r="SN14" s="108"/>
      <c r="SO14" s="109"/>
      <c r="SP14" s="107" t="s">
        <v>1</v>
      </c>
      <c r="SQ14" s="108"/>
      <c r="SR14" s="108"/>
      <c r="SS14" s="109"/>
      <c r="ST14" s="107" t="s">
        <v>1</v>
      </c>
      <c r="SU14" s="108"/>
      <c r="SV14" s="108"/>
      <c r="SW14" s="109"/>
      <c r="SX14" s="107" t="s">
        <v>1</v>
      </c>
      <c r="SY14" s="108"/>
      <c r="SZ14" s="108"/>
      <c r="TA14" s="109"/>
      <c r="TB14" s="107" t="s">
        <v>1</v>
      </c>
      <c r="TC14" s="108"/>
      <c r="TD14" s="108"/>
      <c r="TE14" s="109"/>
      <c r="TF14" s="107" t="s">
        <v>1</v>
      </c>
      <c r="TG14" s="108"/>
      <c r="TH14" s="108"/>
      <c r="TI14" s="109"/>
      <c r="TJ14" s="107" t="s">
        <v>1</v>
      </c>
      <c r="TK14" s="108"/>
      <c r="TL14" s="108"/>
      <c r="TM14" s="109"/>
      <c r="TN14" s="107" t="s">
        <v>1</v>
      </c>
      <c r="TO14" s="108"/>
      <c r="TP14" s="108"/>
      <c r="TQ14" s="109"/>
      <c r="TR14" s="107" t="s">
        <v>1</v>
      </c>
      <c r="TS14" s="108"/>
      <c r="TT14" s="108"/>
      <c r="TU14" s="109"/>
      <c r="TV14" s="107" t="s">
        <v>1</v>
      </c>
      <c r="TW14" s="108"/>
      <c r="TX14" s="108"/>
      <c r="TY14" s="109"/>
      <c r="TZ14" s="107" t="s">
        <v>1</v>
      </c>
      <c r="UA14" s="108"/>
      <c r="UB14" s="108"/>
      <c r="UC14" s="109"/>
      <c r="UD14" s="107" t="s">
        <v>1</v>
      </c>
      <c r="UE14" s="108"/>
      <c r="UF14" s="108"/>
      <c r="UG14" s="109"/>
      <c r="UH14" s="107" t="s">
        <v>1</v>
      </c>
      <c r="UI14" s="108"/>
      <c r="UJ14" s="108"/>
      <c r="UK14" s="109"/>
      <c r="UL14" s="107" t="s">
        <v>1</v>
      </c>
      <c r="UM14" s="108"/>
      <c r="UN14" s="108"/>
      <c r="UO14" s="109"/>
      <c r="UP14" s="107" t="s">
        <v>1</v>
      </c>
      <c r="UQ14" s="108"/>
      <c r="UR14" s="108"/>
      <c r="US14" s="109"/>
      <c r="UT14" s="107" t="s">
        <v>1</v>
      </c>
      <c r="UU14" s="108"/>
      <c r="UV14" s="108"/>
      <c r="UW14" s="109"/>
      <c r="UX14" s="107" t="s">
        <v>1</v>
      </c>
      <c r="UY14" s="108"/>
      <c r="UZ14" s="108"/>
      <c r="VA14" s="109"/>
      <c r="VB14" s="107" t="s">
        <v>1</v>
      </c>
      <c r="VC14" s="108"/>
      <c r="VD14" s="108"/>
      <c r="VE14" s="109"/>
      <c r="VF14" s="107" t="s">
        <v>1</v>
      </c>
      <c r="VG14" s="108"/>
      <c r="VH14" s="108"/>
      <c r="VI14" s="109"/>
      <c r="VJ14" s="107" t="s">
        <v>1</v>
      </c>
      <c r="VK14" s="108"/>
      <c r="VL14" s="108"/>
      <c r="VM14" s="109"/>
      <c r="VN14" s="107" t="s">
        <v>1</v>
      </c>
      <c r="VO14" s="108"/>
      <c r="VP14" s="108"/>
      <c r="VQ14" s="109"/>
      <c r="VR14" s="107" t="s">
        <v>1</v>
      </c>
      <c r="VS14" s="108"/>
      <c r="VT14" s="108"/>
      <c r="VU14" s="109"/>
      <c r="VV14" s="107" t="s">
        <v>1</v>
      </c>
      <c r="VW14" s="108"/>
      <c r="VX14" s="108"/>
      <c r="VY14" s="109"/>
      <c r="VZ14" s="107" t="s">
        <v>1</v>
      </c>
      <c r="WA14" s="108"/>
      <c r="WB14" s="108"/>
      <c r="WC14" s="109"/>
      <c r="WD14" s="107" t="s">
        <v>1</v>
      </c>
      <c r="WE14" s="108"/>
      <c r="WF14" s="108"/>
      <c r="WG14" s="109"/>
      <c r="WH14" s="107" t="s">
        <v>1</v>
      </c>
      <c r="WI14" s="108"/>
      <c r="WJ14" s="108"/>
      <c r="WK14" s="109"/>
      <c r="WL14" s="107" t="s">
        <v>1</v>
      </c>
      <c r="WM14" s="108"/>
      <c r="WN14" s="108"/>
      <c r="WO14" s="109"/>
      <c r="WP14" s="107" t="s">
        <v>1</v>
      </c>
      <c r="WQ14" s="108"/>
      <c r="WR14" s="108"/>
      <c r="WS14" s="109"/>
      <c r="WT14" s="107" t="s">
        <v>1</v>
      </c>
      <c r="WU14" s="108"/>
      <c r="WV14" s="108"/>
      <c r="WW14" s="109"/>
      <c r="WX14" s="107" t="s">
        <v>1</v>
      </c>
      <c r="WY14" s="108"/>
      <c r="WZ14" s="108"/>
      <c r="XA14" s="109"/>
      <c r="XB14" s="107" t="s">
        <v>1</v>
      </c>
      <c r="XC14" s="108"/>
      <c r="XD14" s="108"/>
      <c r="XE14" s="109"/>
      <c r="XF14" s="107" t="s">
        <v>1</v>
      </c>
      <c r="XG14" s="108"/>
      <c r="XH14" s="108"/>
      <c r="XI14" s="109"/>
      <c r="XJ14" s="107" t="s">
        <v>1</v>
      </c>
      <c r="XK14" s="108"/>
      <c r="XL14" s="108"/>
      <c r="XM14" s="109"/>
      <c r="XN14" s="107" t="s">
        <v>1</v>
      </c>
      <c r="XO14" s="108"/>
      <c r="XP14" s="108"/>
      <c r="XQ14" s="109"/>
      <c r="XR14" s="107" t="s">
        <v>1</v>
      </c>
      <c r="XS14" s="108"/>
      <c r="XT14" s="108"/>
      <c r="XU14" s="109"/>
      <c r="XV14" s="107" t="s">
        <v>1</v>
      </c>
      <c r="XW14" s="108"/>
      <c r="XX14" s="108"/>
      <c r="XY14" s="109"/>
      <c r="XZ14" s="107" t="s">
        <v>1</v>
      </c>
      <c r="YA14" s="108"/>
      <c r="YB14" s="108"/>
      <c r="YC14" s="109"/>
      <c r="YD14" s="107" t="s">
        <v>1</v>
      </c>
      <c r="YE14" s="108"/>
      <c r="YF14" s="108"/>
      <c r="YG14" s="109"/>
      <c r="YH14" s="107" t="s">
        <v>1</v>
      </c>
      <c r="YI14" s="108"/>
      <c r="YJ14" s="108"/>
      <c r="YK14" s="109"/>
      <c r="YL14" s="107" t="s">
        <v>1</v>
      </c>
      <c r="YM14" s="108"/>
      <c r="YN14" s="108"/>
      <c r="YO14" s="109"/>
      <c r="YP14" s="107" t="s">
        <v>1</v>
      </c>
      <c r="YQ14" s="108"/>
      <c r="YR14" s="108"/>
      <c r="YS14" s="109"/>
      <c r="YT14" s="107" t="s">
        <v>1</v>
      </c>
      <c r="YU14" s="108"/>
      <c r="YV14" s="108"/>
      <c r="YW14" s="109"/>
      <c r="YX14" s="107" t="s">
        <v>1</v>
      </c>
      <c r="YY14" s="108"/>
      <c r="YZ14" s="108"/>
      <c r="ZA14" s="109"/>
      <c r="ZB14" s="107" t="s">
        <v>1</v>
      </c>
      <c r="ZC14" s="108"/>
      <c r="ZD14" s="108"/>
      <c r="ZE14" s="109"/>
      <c r="ZF14" s="107" t="s">
        <v>1</v>
      </c>
      <c r="ZG14" s="108"/>
      <c r="ZH14" s="108"/>
      <c r="ZI14" s="109"/>
      <c r="ZJ14" s="107" t="s">
        <v>1</v>
      </c>
      <c r="ZK14" s="108"/>
      <c r="ZL14" s="108"/>
      <c r="ZM14" s="109"/>
      <c r="ZN14" s="107" t="s">
        <v>1</v>
      </c>
      <c r="ZO14" s="108"/>
      <c r="ZP14" s="108"/>
      <c r="ZQ14" s="109"/>
      <c r="ZR14" s="107" t="s">
        <v>1</v>
      </c>
      <c r="ZS14" s="108"/>
      <c r="ZT14" s="108"/>
      <c r="ZU14" s="109"/>
      <c r="ZV14" s="107" t="s">
        <v>1</v>
      </c>
      <c r="ZW14" s="108"/>
      <c r="ZX14" s="108"/>
      <c r="ZY14" s="109"/>
      <c r="ZZ14" s="107" t="s">
        <v>1</v>
      </c>
      <c r="AAA14" s="108"/>
      <c r="AAB14" s="108"/>
      <c r="AAC14" s="109"/>
      <c r="AAD14" s="107" t="s">
        <v>1</v>
      </c>
      <c r="AAE14" s="108"/>
      <c r="AAF14" s="108"/>
      <c r="AAG14" s="109"/>
      <c r="AAH14" s="107" t="s">
        <v>1</v>
      </c>
      <c r="AAI14" s="108"/>
      <c r="AAJ14" s="108"/>
      <c r="AAK14" s="109"/>
      <c r="AAL14" s="107" t="s">
        <v>1</v>
      </c>
      <c r="AAM14" s="108"/>
      <c r="AAN14" s="108"/>
      <c r="AAO14" s="109"/>
      <c r="AAP14" s="107" t="s">
        <v>1</v>
      </c>
      <c r="AAQ14" s="108"/>
      <c r="AAR14" s="108"/>
      <c r="AAS14" s="109"/>
      <c r="AAT14" s="107" t="s">
        <v>1</v>
      </c>
      <c r="AAU14" s="108"/>
      <c r="AAV14" s="108"/>
      <c r="AAW14" s="109"/>
      <c r="AAX14" s="107" t="s">
        <v>1</v>
      </c>
      <c r="AAY14" s="108"/>
      <c r="AAZ14" s="108"/>
      <c r="ABA14" s="109"/>
      <c r="ABB14" s="107" t="s">
        <v>1</v>
      </c>
      <c r="ABC14" s="108"/>
      <c r="ABD14" s="108"/>
      <c r="ABE14" s="109"/>
      <c r="ABF14" s="107" t="s">
        <v>1</v>
      </c>
      <c r="ABG14" s="108"/>
      <c r="ABH14" s="108"/>
      <c r="ABI14" s="109"/>
      <c r="ABJ14" s="107" t="s">
        <v>1</v>
      </c>
      <c r="ABK14" s="108"/>
      <c r="ABL14" s="108"/>
      <c r="ABM14" s="109"/>
      <c r="ABN14" s="107" t="s">
        <v>1</v>
      </c>
      <c r="ABO14" s="108"/>
      <c r="ABP14" s="108"/>
      <c r="ABQ14" s="109"/>
      <c r="ABR14" s="107" t="s">
        <v>1</v>
      </c>
      <c r="ABS14" s="108"/>
      <c r="ABT14" s="108"/>
      <c r="ABU14" s="109"/>
      <c r="ABV14" s="107" t="s">
        <v>1</v>
      </c>
      <c r="ABW14" s="108"/>
      <c r="ABX14" s="108"/>
      <c r="ABY14" s="109"/>
      <c r="ABZ14" s="107" t="s">
        <v>1</v>
      </c>
      <c r="ACA14" s="108"/>
      <c r="ACB14" s="108"/>
      <c r="ACC14" s="109"/>
      <c r="ACD14" s="107" t="s">
        <v>1</v>
      </c>
      <c r="ACE14" s="108"/>
      <c r="ACF14" s="108"/>
      <c r="ACG14" s="109"/>
      <c r="ACH14" s="107" t="s">
        <v>1</v>
      </c>
      <c r="ACI14" s="108"/>
      <c r="ACJ14" s="108"/>
      <c r="ACK14" s="109"/>
      <c r="ACL14" s="107" t="s">
        <v>1</v>
      </c>
      <c r="ACM14" s="108"/>
      <c r="ACN14" s="108"/>
      <c r="ACO14" s="109"/>
      <c r="ACP14" s="107" t="s">
        <v>1</v>
      </c>
      <c r="ACQ14" s="108"/>
      <c r="ACR14" s="108"/>
      <c r="ACS14" s="109"/>
      <c r="ACT14" s="107" t="s">
        <v>1</v>
      </c>
      <c r="ACU14" s="108"/>
      <c r="ACV14" s="108"/>
      <c r="ACW14" s="109"/>
      <c r="ACX14" s="107" t="s">
        <v>1</v>
      </c>
      <c r="ACY14" s="108"/>
      <c r="ACZ14" s="108"/>
      <c r="ADA14" s="109"/>
      <c r="ADB14" s="107" t="s">
        <v>1</v>
      </c>
      <c r="ADC14" s="108"/>
      <c r="ADD14" s="108"/>
      <c r="ADE14" s="109"/>
      <c r="ADF14" s="107" t="s">
        <v>1</v>
      </c>
      <c r="ADG14" s="108"/>
      <c r="ADH14" s="108"/>
      <c r="ADI14" s="109"/>
      <c r="ADJ14" s="107" t="s">
        <v>1</v>
      </c>
      <c r="ADK14" s="108"/>
      <c r="ADL14" s="108"/>
      <c r="ADM14" s="109"/>
      <c r="ADN14" s="107" t="s">
        <v>1</v>
      </c>
      <c r="ADO14" s="108"/>
      <c r="ADP14" s="108"/>
      <c r="ADQ14" s="109"/>
      <c r="ADR14" s="107" t="s">
        <v>1</v>
      </c>
      <c r="ADS14" s="108"/>
      <c r="ADT14" s="108"/>
      <c r="ADU14" s="109"/>
      <c r="ADV14" s="107" t="s">
        <v>1</v>
      </c>
      <c r="ADW14" s="108"/>
      <c r="ADX14" s="108"/>
      <c r="ADY14" s="109"/>
      <c r="ADZ14" s="107" t="s">
        <v>1</v>
      </c>
      <c r="AEA14" s="108"/>
      <c r="AEB14" s="108"/>
      <c r="AEC14" s="109"/>
      <c r="AED14" s="107" t="s">
        <v>1</v>
      </c>
      <c r="AEE14" s="108"/>
      <c r="AEF14" s="108"/>
      <c r="AEG14" s="109"/>
      <c r="AEH14" s="107" t="s">
        <v>1</v>
      </c>
      <c r="AEI14" s="108"/>
      <c r="AEJ14" s="108"/>
      <c r="AEK14" s="109"/>
      <c r="AEL14" s="107" t="s">
        <v>1</v>
      </c>
      <c r="AEM14" s="108"/>
      <c r="AEN14" s="108"/>
      <c r="AEO14" s="109"/>
      <c r="AEP14" s="107" t="s">
        <v>1</v>
      </c>
      <c r="AEQ14" s="108"/>
      <c r="AER14" s="108"/>
      <c r="AES14" s="109"/>
      <c r="AET14" s="107" t="s">
        <v>1</v>
      </c>
      <c r="AEU14" s="108"/>
      <c r="AEV14" s="108"/>
      <c r="AEW14" s="109"/>
      <c r="AEX14" s="107" t="s">
        <v>1</v>
      </c>
      <c r="AEY14" s="108"/>
      <c r="AEZ14" s="108"/>
      <c r="AFA14" s="109"/>
      <c r="AFB14" s="107" t="s">
        <v>1</v>
      </c>
      <c r="AFC14" s="108"/>
      <c r="AFD14" s="108"/>
      <c r="AFE14" s="109"/>
      <c r="AFF14" s="107" t="s">
        <v>1</v>
      </c>
      <c r="AFG14" s="108"/>
      <c r="AFH14" s="108"/>
      <c r="AFI14" s="109"/>
      <c r="AFJ14" s="107" t="s">
        <v>1</v>
      </c>
      <c r="AFK14" s="108"/>
      <c r="AFL14" s="108"/>
      <c r="AFM14" s="109"/>
      <c r="AFN14" s="107" t="s">
        <v>1</v>
      </c>
      <c r="AFO14" s="108"/>
      <c r="AFP14" s="108"/>
      <c r="AFQ14" s="109"/>
      <c r="AFR14" s="107" t="s">
        <v>1</v>
      </c>
      <c r="AFS14" s="108"/>
      <c r="AFT14" s="108"/>
      <c r="AFU14" s="109"/>
      <c r="AFV14" s="107" t="s">
        <v>1</v>
      </c>
      <c r="AFW14" s="108"/>
      <c r="AFX14" s="108"/>
      <c r="AFY14" s="109"/>
      <c r="AFZ14" s="107" t="s">
        <v>1</v>
      </c>
      <c r="AGA14" s="108"/>
      <c r="AGB14" s="108"/>
      <c r="AGC14" s="109"/>
      <c r="AGD14" s="107" t="s">
        <v>1</v>
      </c>
      <c r="AGE14" s="108"/>
      <c r="AGF14" s="108"/>
      <c r="AGG14" s="109"/>
      <c r="AGH14" s="107" t="s">
        <v>1</v>
      </c>
      <c r="AGI14" s="108"/>
      <c r="AGJ14" s="108"/>
      <c r="AGK14" s="109"/>
      <c r="AGL14" s="107" t="s">
        <v>1</v>
      </c>
      <c r="AGM14" s="108"/>
      <c r="AGN14" s="108"/>
      <c r="AGO14" s="109"/>
      <c r="AGP14" s="107" t="s">
        <v>1</v>
      </c>
      <c r="AGQ14" s="108"/>
      <c r="AGR14" s="108"/>
      <c r="AGS14" s="109"/>
      <c r="AGT14" s="107" t="s">
        <v>1</v>
      </c>
      <c r="AGU14" s="108"/>
      <c r="AGV14" s="108"/>
      <c r="AGW14" s="109"/>
      <c r="AGX14" s="107" t="s">
        <v>1</v>
      </c>
      <c r="AGY14" s="108"/>
      <c r="AGZ14" s="108"/>
      <c r="AHA14" s="109"/>
      <c r="AHB14" s="107" t="s">
        <v>1</v>
      </c>
      <c r="AHC14" s="108"/>
      <c r="AHD14" s="108"/>
      <c r="AHE14" s="109"/>
      <c r="AHF14" s="107" t="s">
        <v>1</v>
      </c>
      <c r="AHG14" s="108"/>
      <c r="AHH14" s="108"/>
      <c r="AHI14" s="109"/>
      <c r="AHJ14" s="107" t="s">
        <v>1</v>
      </c>
      <c r="AHK14" s="108"/>
      <c r="AHL14" s="108"/>
      <c r="AHM14" s="109"/>
      <c r="AHN14" s="107" t="s">
        <v>1</v>
      </c>
      <c r="AHO14" s="108"/>
      <c r="AHP14" s="108"/>
      <c r="AHQ14" s="109"/>
      <c r="AHR14" s="107" t="s">
        <v>1</v>
      </c>
      <c r="AHS14" s="108"/>
      <c r="AHT14" s="108"/>
      <c r="AHU14" s="109"/>
      <c r="AHV14" s="107" t="s">
        <v>1</v>
      </c>
      <c r="AHW14" s="108"/>
      <c r="AHX14" s="108"/>
      <c r="AHY14" s="109"/>
      <c r="AHZ14" s="107" t="s">
        <v>1</v>
      </c>
      <c r="AIA14" s="108"/>
      <c r="AIB14" s="108"/>
      <c r="AIC14" s="109"/>
      <c r="AID14" s="107" t="s">
        <v>1</v>
      </c>
      <c r="AIE14" s="108"/>
      <c r="AIF14" s="108"/>
      <c r="AIG14" s="109"/>
      <c r="AIH14" s="107" t="s">
        <v>1</v>
      </c>
      <c r="AII14" s="108"/>
      <c r="AIJ14" s="108"/>
      <c r="AIK14" s="109"/>
      <c r="AIL14" s="107" t="s">
        <v>1</v>
      </c>
      <c r="AIM14" s="108"/>
      <c r="AIN14" s="108"/>
      <c r="AIO14" s="109"/>
      <c r="AIP14" s="107" t="s">
        <v>1</v>
      </c>
      <c r="AIQ14" s="108"/>
      <c r="AIR14" s="108"/>
      <c r="AIS14" s="109"/>
      <c r="AIT14" s="107" t="s">
        <v>1</v>
      </c>
      <c r="AIU14" s="108"/>
      <c r="AIV14" s="108"/>
      <c r="AIW14" s="109"/>
      <c r="AIX14" s="107" t="s">
        <v>1</v>
      </c>
      <c r="AIY14" s="108"/>
      <c r="AIZ14" s="108"/>
      <c r="AJA14" s="109"/>
      <c r="AJB14" s="107" t="s">
        <v>1</v>
      </c>
      <c r="AJC14" s="108"/>
      <c r="AJD14" s="108"/>
      <c r="AJE14" s="109"/>
      <c r="AJF14" s="107" t="s">
        <v>1</v>
      </c>
      <c r="AJG14" s="108"/>
      <c r="AJH14" s="108"/>
      <c r="AJI14" s="109"/>
      <c r="AJJ14" s="107" t="s">
        <v>1</v>
      </c>
      <c r="AJK14" s="108"/>
      <c r="AJL14" s="108"/>
      <c r="AJM14" s="109"/>
      <c r="AJN14" s="107" t="s">
        <v>1</v>
      </c>
      <c r="AJO14" s="108"/>
      <c r="AJP14" s="108"/>
      <c r="AJQ14" s="109"/>
      <c r="AJR14" s="107" t="s">
        <v>1</v>
      </c>
      <c r="AJS14" s="108"/>
      <c r="AJT14" s="108"/>
      <c r="AJU14" s="109"/>
      <c r="AJV14" s="107" t="s">
        <v>1</v>
      </c>
      <c r="AJW14" s="108"/>
      <c r="AJX14" s="108"/>
      <c r="AJY14" s="109"/>
      <c r="AJZ14" s="107" t="s">
        <v>1</v>
      </c>
      <c r="AKA14" s="108"/>
      <c r="AKB14" s="108"/>
      <c r="AKC14" s="109"/>
      <c r="AKD14" s="107" t="s">
        <v>1</v>
      </c>
      <c r="AKE14" s="108"/>
      <c r="AKF14" s="108"/>
      <c r="AKG14" s="109"/>
      <c r="AKH14" s="107" t="s">
        <v>1</v>
      </c>
      <c r="AKI14" s="108"/>
      <c r="AKJ14" s="108"/>
      <c r="AKK14" s="109"/>
      <c r="AKL14" s="107" t="s">
        <v>1</v>
      </c>
      <c r="AKM14" s="108"/>
      <c r="AKN14" s="108"/>
      <c r="AKO14" s="109"/>
      <c r="AKP14" s="107" t="s">
        <v>1</v>
      </c>
      <c r="AKQ14" s="108"/>
      <c r="AKR14" s="108"/>
      <c r="AKS14" s="109"/>
      <c r="AKT14" s="107" t="s">
        <v>1</v>
      </c>
      <c r="AKU14" s="108"/>
      <c r="AKV14" s="108"/>
      <c r="AKW14" s="109"/>
      <c r="AKX14" s="107" t="s">
        <v>1</v>
      </c>
      <c r="AKY14" s="108"/>
      <c r="AKZ14" s="108"/>
      <c r="ALA14" s="109"/>
      <c r="ALB14" s="107" t="s">
        <v>1</v>
      </c>
      <c r="ALC14" s="108"/>
      <c r="ALD14" s="108"/>
      <c r="ALE14" s="109"/>
      <c r="ALF14" s="107" t="s">
        <v>1</v>
      </c>
      <c r="ALG14" s="108"/>
      <c r="ALH14" s="108"/>
      <c r="ALI14" s="109"/>
      <c r="ALJ14" s="107" t="s">
        <v>1</v>
      </c>
      <c r="ALK14" s="108"/>
      <c r="ALL14" s="108"/>
      <c r="ALM14" s="109"/>
      <c r="ALN14" s="107" t="s">
        <v>1</v>
      </c>
      <c r="ALO14" s="108"/>
      <c r="ALP14" s="108"/>
      <c r="ALQ14" s="109"/>
      <c r="ALR14" s="107" t="s">
        <v>1</v>
      </c>
      <c r="ALS14" s="108"/>
      <c r="ALT14" s="108"/>
      <c r="ALU14" s="109"/>
      <c r="ALV14" s="107" t="s">
        <v>1</v>
      </c>
      <c r="ALW14" s="108"/>
      <c r="ALX14" s="108"/>
      <c r="ALY14" s="109"/>
      <c r="ALZ14" s="107" t="s">
        <v>1</v>
      </c>
      <c r="AMA14" s="108"/>
      <c r="AMB14" s="108"/>
      <c r="AMC14" s="109"/>
      <c r="AMD14" s="107" t="s">
        <v>1</v>
      </c>
      <c r="AME14" s="108"/>
      <c r="AMF14" s="108"/>
      <c r="AMG14" s="109"/>
      <c r="AMH14" s="107" t="s">
        <v>1</v>
      </c>
      <c r="AMI14" s="108"/>
      <c r="AMJ14" s="108"/>
      <c r="AMK14" s="109"/>
      <c r="AML14" s="107" t="s">
        <v>1</v>
      </c>
      <c r="AMM14" s="108"/>
      <c r="AMN14" s="108"/>
      <c r="AMO14" s="109"/>
      <c r="AMP14" s="107" t="s">
        <v>1</v>
      </c>
      <c r="AMQ14" s="108"/>
      <c r="AMR14" s="108"/>
      <c r="AMS14" s="109"/>
      <c r="AMT14" s="107" t="s">
        <v>1</v>
      </c>
      <c r="AMU14" s="108"/>
      <c r="AMV14" s="108"/>
      <c r="AMW14" s="109"/>
      <c r="AMX14" s="107" t="s">
        <v>1</v>
      </c>
      <c r="AMY14" s="108"/>
      <c r="AMZ14" s="108"/>
      <c r="ANA14" s="109"/>
      <c r="ANB14" s="107" t="s">
        <v>1</v>
      </c>
      <c r="ANC14" s="108"/>
      <c r="AND14" s="108"/>
      <c r="ANE14" s="109"/>
      <c r="ANF14" s="107" t="s">
        <v>1</v>
      </c>
      <c r="ANG14" s="108"/>
      <c r="ANH14" s="108"/>
      <c r="ANI14" s="109"/>
      <c r="ANJ14" s="107" t="s">
        <v>1</v>
      </c>
      <c r="ANK14" s="108"/>
      <c r="ANL14" s="108"/>
      <c r="ANM14" s="109"/>
      <c r="ANN14" s="107" t="s">
        <v>1</v>
      </c>
      <c r="ANO14" s="108"/>
      <c r="ANP14" s="108"/>
      <c r="ANQ14" s="109"/>
      <c r="ANR14" s="107" t="s">
        <v>1</v>
      </c>
      <c r="ANS14" s="108"/>
      <c r="ANT14" s="108"/>
      <c r="ANU14" s="109"/>
      <c r="ANV14" s="107" t="s">
        <v>1</v>
      </c>
      <c r="ANW14" s="108"/>
      <c r="ANX14" s="108"/>
      <c r="ANY14" s="109"/>
      <c r="ANZ14" s="107" t="s">
        <v>1</v>
      </c>
      <c r="AOA14" s="108"/>
      <c r="AOB14" s="108"/>
      <c r="AOC14" s="109"/>
      <c r="AOD14" s="107" t="s">
        <v>1</v>
      </c>
      <c r="AOE14" s="108"/>
      <c r="AOF14" s="108"/>
      <c r="AOG14" s="109"/>
      <c r="AOH14" s="107" t="s">
        <v>1</v>
      </c>
      <c r="AOI14" s="108"/>
      <c r="AOJ14" s="108"/>
      <c r="AOK14" s="109"/>
      <c r="AOL14" s="107" t="s">
        <v>1</v>
      </c>
      <c r="AOM14" s="108"/>
      <c r="AON14" s="108"/>
      <c r="AOO14" s="109"/>
      <c r="AOP14" s="107" t="s">
        <v>1</v>
      </c>
      <c r="AOQ14" s="108"/>
      <c r="AOR14" s="108"/>
      <c r="AOS14" s="109"/>
      <c r="AOT14" s="107" t="s">
        <v>1</v>
      </c>
      <c r="AOU14" s="108"/>
      <c r="AOV14" s="108"/>
      <c r="AOW14" s="109"/>
      <c r="AOX14" s="107" t="s">
        <v>1</v>
      </c>
      <c r="AOY14" s="108"/>
      <c r="AOZ14" s="108"/>
      <c r="APA14" s="109"/>
      <c r="APB14" s="107" t="s">
        <v>1</v>
      </c>
      <c r="APC14" s="108"/>
      <c r="APD14" s="108"/>
      <c r="APE14" s="109"/>
      <c r="APF14" s="107" t="s">
        <v>1</v>
      </c>
      <c r="APG14" s="108"/>
      <c r="APH14" s="108"/>
      <c r="API14" s="109"/>
      <c r="APJ14" s="107" t="s">
        <v>1</v>
      </c>
      <c r="APK14" s="108"/>
      <c r="APL14" s="108"/>
      <c r="APM14" s="109"/>
      <c r="APN14" s="107" t="s">
        <v>1</v>
      </c>
      <c r="APO14" s="108"/>
      <c r="APP14" s="108"/>
      <c r="APQ14" s="109"/>
      <c r="APR14" s="107" t="s">
        <v>1</v>
      </c>
      <c r="APS14" s="108"/>
      <c r="APT14" s="108"/>
      <c r="APU14" s="109"/>
      <c r="APV14" s="107" t="s">
        <v>1</v>
      </c>
      <c r="APW14" s="108"/>
      <c r="APX14" s="108"/>
      <c r="APY14" s="109"/>
      <c r="APZ14" s="107" t="s">
        <v>1</v>
      </c>
      <c r="AQA14" s="108"/>
      <c r="AQB14" s="108"/>
      <c r="AQC14" s="109"/>
      <c r="AQD14" s="107" t="s">
        <v>1</v>
      </c>
      <c r="AQE14" s="108"/>
      <c r="AQF14" s="108"/>
      <c r="AQG14" s="109"/>
      <c r="AQH14" s="107" t="s">
        <v>1</v>
      </c>
      <c r="AQI14" s="108"/>
      <c r="AQJ14" s="108"/>
      <c r="AQK14" s="109"/>
      <c r="AQL14" s="107" t="s">
        <v>1</v>
      </c>
      <c r="AQM14" s="108"/>
      <c r="AQN14" s="108"/>
      <c r="AQO14" s="109"/>
      <c r="AQP14" s="107" t="s">
        <v>1</v>
      </c>
      <c r="AQQ14" s="108"/>
      <c r="AQR14" s="108"/>
      <c r="AQS14" s="109"/>
      <c r="AQT14" s="107" t="s">
        <v>1</v>
      </c>
      <c r="AQU14" s="108"/>
      <c r="AQV14" s="108"/>
      <c r="AQW14" s="109"/>
      <c r="AQX14" s="107" t="s">
        <v>1</v>
      </c>
      <c r="AQY14" s="108"/>
      <c r="AQZ14" s="108"/>
      <c r="ARA14" s="109"/>
      <c r="ARB14" s="107" t="s">
        <v>1</v>
      </c>
      <c r="ARC14" s="108"/>
      <c r="ARD14" s="108"/>
      <c r="ARE14" s="109"/>
      <c r="ARF14" s="107" t="s">
        <v>1</v>
      </c>
      <c r="ARG14" s="108"/>
      <c r="ARH14" s="108"/>
      <c r="ARI14" s="109"/>
      <c r="ARJ14" s="107" t="s">
        <v>1</v>
      </c>
      <c r="ARK14" s="108"/>
      <c r="ARL14" s="108"/>
      <c r="ARM14" s="109"/>
      <c r="ARN14" s="107" t="s">
        <v>1</v>
      </c>
      <c r="ARO14" s="108"/>
      <c r="ARP14" s="108"/>
      <c r="ARQ14" s="109"/>
      <c r="ARR14" s="107" t="s">
        <v>1</v>
      </c>
      <c r="ARS14" s="108"/>
      <c r="ART14" s="108"/>
      <c r="ARU14" s="109"/>
      <c r="ARV14" s="107" t="s">
        <v>1</v>
      </c>
      <c r="ARW14" s="108"/>
      <c r="ARX14" s="108"/>
      <c r="ARY14" s="109"/>
      <c r="ARZ14" s="107" t="s">
        <v>1</v>
      </c>
      <c r="ASA14" s="108"/>
      <c r="ASB14" s="108"/>
      <c r="ASC14" s="109"/>
      <c r="ASD14" s="107" t="s">
        <v>1</v>
      </c>
      <c r="ASE14" s="108"/>
      <c r="ASF14" s="108"/>
      <c r="ASG14" s="109"/>
      <c r="ASH14" s="107" t="s">
        <v>1</v>
      </c>
      <c r="ASI14" s="108"/>
      <c r="ASJ14" s="108"/>
      <c r="ASK14" s="109"/>
      <c r="ASL14" s="107" t="s">
        <v>1</v>
      </c>
      <c r="ASM14" s="108"/>
      <c r="ASN14" s="108"/>
      <c r="ASO14" s="109"/>
      <c r="ASP14" s="107" t="s">
        <v>1</v>
      </c>
      <c r="ASQ14" s="108"/>
      <c r="ASR14" s="108"/>
      <c r="ASS14" s="109"/>
      <c r="AST14" s="107" t="s">
        <v>1</v>
      </c>
      <c r="ASU14" s="108"/>
      <c r="ASV14" s="108"/>
      <c r="ASW14" s="109"/>
      <c r="ASX14" s="107" t="s">
        <v>1</v>
      </c>
      <c r="ASY14" s="108"/>
      <c r="ASZ14" s="108"/>
      <c r="ATA14" s="109"/>
      <c r="ATB14" s="107" t="s">
        <v>1</v>
      </c>
      <c r="ATC14" s="108"/>
      <c r="ATD14" s="108"/>
      <c r="ATE14" s="109"/>
      <c r="ATF14" s="107" t="s">
        <v>1</v>
      </c>
      <c r="ATG14" s="108"/>
      <c r="ATH14" s="108"/>
      <c r="ATI14" s="109"/>
      <c r="ATJ14" s="107" t="s">
        <v>1</v>
      </c>
      <c r="ATK14" s="108"/>
      <c r="ATL14" s="108"/>
      <c r="ATM14" s="109"/>
      <c r="ATN14" s="107" t="s">
        <v>1</v>
      </c>
      <c r="ATO14" s="108"/>
      <c r="ATP14" s="108"/>
      <c r="ATQ14" s="109"/>
      <c r="ATR14" s="107" t="s">
        <v>1</v>
      </c>
      <c r="ATS14" s="108"/>
      <c r="ATT14" s="108"/>
      <c r="ATU14" s="109"/>
      <c r="ATV14" s="107" t="s">
        <v>1</v>
      </c>
      <c r="ATW14" s="108"/>
      <c r="ATX14" s="108"/>
      <c r="ATY14" s="109"/>
      <c r="ATZ14" s="107" t="s">
        <v>1</v>
      </c>
      <c r="AUA14" s="108"/>
      <c r="AUB14" s="108"/>
      <c r="AUC14" s="109"/>
      <c r="AUD14" s="107" t="s">
        <v>1</v>
      </c>
      <c r="AUE14" s="108"/>
      <c r="AUF14" s="108"/>
      <c r="AUG14" s="109"/>
      <c r="AUH14" s="107" t="s">
        <v>1</v>
      </c>
      <c r="AUI14" s="108"/>
      <c r="AUJ14" s="108"/>
      <c r="AUK14" s="109"/>
      <c r="AUL14" s="107" t="s">
        <v>1</v>
      </c>
      <c r="AUM14" s="108"/>
      <c r="AUN14" s="108"/>
      <c r="AUO14" s="109"/>
      <c r="AUP14" s="107" t="s">
        <v>1</v>
      </c>
      <c r="AUQ14" s="108"/>
      <c r="AUR14" s="108"/>
      <c r="AUS14" s="109"/>
      <c r="AUT14" s="107" t="s">
        <v>1</v>
      </c>
      <c r="AUU14" s="108"/>
      <c r="AUV14" s="108"/>
      <c r="AUW14" s="109"/>
      <c r="AUX14" s="107" t="s">
        <v>1</v>
      </c>
      <c r="AUY14" s="108"/>
      <c r="AUZ14" s="108"/>
      <c r="AVA14" s="109"/>
      <c r="AVB14" s="107" t="s">
        <v>1</v>
      </c>
      <c r="AVC14" s="108"/>
      <c r="AVD14" s="108"/>
      <c r="AVE14" s="109"/>
      <c r="AVF14" s="107" t="s">
        <v>1</v>
      </c>
      <c r="AVG14" s="108"/>
      <c r="AVH14" s="108"/>
      <c r="AVI14" s="109"/>
      <c r="AVJ14" s="107" t="s">
        <v>1</v>
      </c>
      <c r="AVK14" s="108"/>
      <c r="AVL14" s="108"/>
      <c r="AVM14" s="109"/>
      <c r="AVN14" s="107" t="s">
        <v>1</v>
      </c>
      <c r="AVO14" s="108"/>
      <c r="AVP14" s="108"/>
      <c r="AVQ14" s="109"/>
      <c r="AVR14" s="107" t="s">
        <v>1</v>
      </c>
      <c r="AVS14" s="108"/>
      <c r="AVT14" s="108"/>
      <c r="AVU14" s="109"/>
      <c r="AVV14" s="107" t="s">
        <v>1</v>
      </c>
      <c r="AVW14" s="108"/>
      <c r="AVX14" s="108"/>
      <c r="AVY14" s="109"/>
      <c r="AVZ14" s="107" t="s">
        <v>1</v>
      </c>
      <c r="AWA14" s="108"/>
      <c r="AWB14" s="108"/>
      <c r="AWC14" s="109"/>
      <c r="AWD14" s="107" t="s">
        <v>1</v>
      </c>
      <c r="AWE14" s="108"/>
      <c r="AWF14" s="108"/>
      <c r="AWG14" s="109"/>
      <c r="AWH14" s="107" t="s">
        <v>1</v>
      </c>
      <c r="AWI14" s="108"/>
      <c r="AWJ14" s="108"/>
      <c r="AWK14" s="109"/>
      <c r="AWL14" s="107" t="s">
        <v>1</v>
      </c>
      <c r="AWM14" s="108"/>
      <c r="AWN14" s="108"/>
      <c r="AWO14" s="109"/>
      <c r="AWP14" s="107" t="s">
        <v>1</v>
      </c>
      <c r="AWQ14" s="108"/>
      <c r="AWR14" s="108"/>
      <c r="AWS14" s="109"/>
      <c r="AWT14" s="107" t="s">
        <v>1</v>
      </c>
      <c r="AWU14" s="108"/>
      <c r="AWV14" s="108"/>
      <c r="AWW14" s="109"/>
      <c r="AWX14" s="107" t="s">
        <v>1</v>
      </c>
      <c r="AWY14" s="108"/>
      <c r="AWZ14" s="108"/>
      <c r="AXA14" s="109"/>
      <c r="AXB14" s="107" t="s">
        <v>1</v>
      </c>
      <c r="AXC14" s="108"/>
      <c r="AXD14" s="108"/>
      <c r="AXE14" s="109"/>
      <c r="AXF14" s="107" t="s">
        <v>1</v>
      </c>
      <c r="AXG14" s="108"/>
      <c r="AXH14" s="108"/>
      <c r="AXI14" s="109"/>
      <c r="AXJ14" s="107" t="s">
        <v>1</v>
      </c>
      <c r="AXK14" s="108"/>
      <c r="AXL14" s="108"/>
      <c r="AXM14" s="109"/>
      <c r="AXN14" s="107" t="s">
        <v>1</v>
      </c>
      <c r="AXO14" s="108"/>
      <c r="AXP14" s="108"/>
      <c r="AXQ14" s="109"/>
      <c r="AXR14" s="107" t="s">
        <v>1</v>
      </c>
      <c r="AXS14" s="108"/>
      <c r="AXT14" s="108"/>
      <c r="AXU14" s="109"/>
      <c r="AXV14" s="107" t="s">
        <v>1</v>
      </c>
      <c r="AXW14" s="108"/>
      <c r="AXX14" s="108"/>
      <c r="AXY14" s="109"/>
      <c r="AXZ14" s="107" t="s">
        <v>1</v>
      </c>
      <c r="AYA14" s="108"/>
      <c r="AYB14" s="108"/>
      <c r="AYC14" s="109"/>
      <c r="AYD14" s="107" t="s">
        <v>1</v>
      </c>
      <c r="AYE14" s="108"/>
      <c r="AYF14" s="108"/>
      <c r="AYG14" s="109"/>
      <c r="AYH14" s="107" t="s">
        <v>1</v>
      </c>
      <c r="AYI14" s="108"/>
      <c r="AYJ14" s="108"/>
      <c r="AYK14" s="109"/>
      <c r="AYL14" s="107" t="s">
        <v>1</v>
      </c>
      <c r="AYM14" s="108"/>
      <c r="AYN14" s="108"/>
      <c r="AYO14" s="109"/>
      <c r="AYP14" s="107" t="s">
        <v>1</v>
      </c>
      <c r="AYQ14" s="108"/>
      <c r="AYR14" s="108"/>
      <c r="AYS14" s="109"/>
      <c r="AYT14" s="107" t="s">
        <v>1</v>
      </c>
      <c r="AYU14" s="108"/>
      <c r="AYV14" s="108"/>
      <c r="AYW14" s="109"/>
      <c r="AYX14" s="107" t="s">
        <v>1</v>
      </c>
      <c r="AYY14" s="108"/>
      <c r="AYZ14" s="108"/>
      <c r="AZA14" s="109"/>
      <c r="AZB14" s="107" t="s">
        <v>1</v>
      </c>
      <c r="AZC14" s="108"/>
      <c r="AZD14" s="108"/>
      <c r="AZE14" s="109"/>
      <c r="AZF14" s="107" t="s">
        <v>1</v>
      </c>
      <c r="AZG14" s="108"/>
      <c r="AZH14" s="108"/>
      <c r="AZI14" s="109"/>
      <c r="AZJ14" s="107" t="s">
        <v>1</v>
      </c>
      <c r="AZK14" s="108"/>
      <c r="AZL14" s="108"/>
      <c r="AZM14" s="109"/>
      <c r="AZN14" s="107" t="s">
        <v>1</v>
      </c>
      <c r="AZO14" s="108"/>
      <c r="AZP14" s="108"/>
      <c r="AZQ14" s="109"/>
      <c r="AZR14" s="107" t="s">
        <v>1</v>
      </c>
      <c r="AZS14" s="108"/>
      <c r="AZT14" s="108"/>
      <c r="AZU14" s="109"/>
      <c r="AZV14" s="107" t="s">
        <v>1</v>
      </c>
      <c r="AZW14" s="108"/>
      <c r="AZX14" s="108"/>
      <c r="AZY14" s="109"/>
      <c r="AZZ14" s="107" t="s">
        <v>1</v>
      </c>
      <c r="BAA14" s="108"/>
      <c r="BAB14" s="108"/>
      <c r="BAC14" s="109"/>
      <c r="BAD14" s="107" t="s">
        <v>1</v>
      </c>
      <c r="BAE14" s="108"/>
      <c r="BAF14" s="108"/>
      <c r="BAG14" s="109"/>
      <c r="BAH14" s="107" t="s">
        <v>1</v>
      </c>
      <c r="BAI14" s="108"/>
      <c r="BAJ14" s="108"/>
      <c r="BAK14" s="109"/>
      <c r="BAL14" s="107" t="s">
        <v>1</v>
      </c>
      <c r="BAM14" s="108"/>
      <c r="BAN14" s="108"/>
      <c r="BAO14" s="109"/>
      <c r="BAP14" s="107" t="s">
        <v>1</v>
      </c>
      <c r="BAQ14" s="108"/>
      <c r="BAR14" s="108"/>
      <c r="BAS14" s="109"/>
      <c r="BAT14" s="107" t="s">
        <v>1</v>
      </c>
      <c r="BAU14" s="108"/>
      <c r="BAV14" s="108"/>
      <c r="BAW14" s="109"/>
      <c r="BAX14" s="107" t="s">
        <v>1</v>
      </c>
      <c r="BAY14" s="108"/>
      <c r="BAZ14" s="108"/>
      <c r="BBA14" s="109"/>
      <c r="BBB14" s="107" t="s">
        <v>1</v>
      </c>
      <c r="BBC14" s="108"/>
      <c r="BBD14" s="108"/>
      <c r="BBE14" s="109"/>
      <c r="BBF14" s="107" t="s">
        <v>1</v>
      </c>
      <c r="BBG14" s="108"/>
      <c r="BBH14" s="108"/>
      <c r="BBI14" s="109"/>
      <c r="BBJ14" s="107" t="s">
        <v>1</v>
      </c>
      <c r="BBK14" s="108"/>
      <c r="BBL14" s="108"/>
      <c r="BBM14" s="109"/>
      <c r="BBN14" s="107" t="s">
        <v>1</v>
      </c>
      <c r="BBO14" s="108"/>
      <c r="BBP14" s="108"/>
      <c r="BBQ14" s="109"/>
      <c r="BBR14" s="107" t="s">
        <v>1</v>
      </c>
      <c r="BBS14" s="108"/>
      <c r="BBT14" s="108"/>
      <c r="BBU14" s="109"/>
      <c r="BBV14" s="107" t="s">
        <v>1</v>
      </c>
      <c r="BBW14" s="108"/>
      <c r="BBX14" s="108"/>
      <c r="BBY14" s="109"/>
      <c r="BBZ14" s="107" t="s">
        <v>1</v>
      </c>
      <c r="BCA14" s="108"/>
      <c r="BCB14" s="108"/>
      <c r="BCC14" s="109"/>
      <c r="BCD14" s="107" t="s">
        <v>1</v>
      </c>
      <c r="BCE14" s="108"/>
      <c r="BCF14" s="108"/>
      <c r="BCG14" s="109"/>
      <c r="BCH14" s="107" t="s">
        <v>1</v>
      </c>
      <c r="BCI14" s="108"/>
      <c r="BCJ14" s="108"/>
      <c r="BCK14" s="109"/>
      <c r="BCL14" s="107" t="s">
        <v>1</v>
      </c>
      <c r="BCM14" s="108"/>
      <c r="BCN14" s="108"/>
      <c r="BCO14" s="109"/>
      <c r="BCP14" s="107" t="s">
        <v>1</v>
      </c>
      <c r="BCQ14" s="108"/>
      <c r="BCR14" s="108"/>
      <c r="BCS14" s="109"/>
      <c r="BCT14" s="107" t="s">
        <v>1</v>
      </c>
      <c r="BCU14" s="108"/>
      <c r="BCV14" s="108"/>
      <c r="BCW14" s="109"/>
      <c r="BCX14" s="107" t="s">
        <v>1</v>
      </c>
      <c r="BCY14" s="108"/>
      <c r="BCZ14" s="108"/>
      <c r="BDA14" s="109"/>
      <c r="BDB14" s="107" t="s">
        <v>1</v>
      </c>
      <c r="BDC14" s="108"/>
      <c r="BDD14" s="108"/>
      <c r="BDE14" s="109"/>
      <c r="BDF14" s="107" t="s">
        <v>1</v>
      </c>
      <c r="BDG14" s="108"/>
      <c r="BDH14" s="108"/>
      <c r="BDI14" s="109"/>
      <c r="BDJ14" s="107" t="s">
        <v>1</v>
      </c>
      <c r="BDK14" s="108"/>
      <c r="BDL14" s="108"/>
      <c r="BDM14" s="109"/>
      <c r="BDN14" s="107" t="s">
        <v>1</v>
      </c>
      <c r="BDO14" s="108"/>
      <c r="BDP14" s="108"/>
      <c r="BDQ14" s="109"/>
      <c r="BDR14" s="107" t="s">
        <v>1</v>
      </c>
      <c r="BDS14" s="108"/>
      <c r="BDT14" s="108"/>
      <c r="BDU14" s="109"/>
      <c r="BDV14" s="107" t="s">
        <v>1</v>
      </c>
      <c r="BDW14" s="108"/>
      <c r="BDX14" s="108"/>
      <c r="BDY14" s="109"/>
      <c r="BDZ14" s="107" t="s">
        <v>1</v>
      </c>
      <c r="BEA14" s="108"/>
      <c r="BEB14" s="108"/>
      <c r="BEC14" s="109"/>
      <c r="BED14" s="107" t="s">
        <v>1</v>
      </c>
      <c r="BEE14" s="108"/>
      <c r="BEF14" s="108"/>
      <c r="BEG14" s="109"/>
      <c r="BEH14" s="107" t="s">
        <v>1</v>
      </c>
      <c r="BEI14" s="108"/>
      <c r="BEJ14" s="108"/>
      <c r="BEK14" s="109"/>
      <c r="BEL14" s="107" t="s">
        <v>1</v>
      </c>
      <c r="BEM14" s="108"/>
      <c r="BEN14" s="108"/>
      <c r="BEO14" s="109"/>
      <c r="BEP14" s="107" t="s">
        <v>1</v>
      </c>
      <c r="BEQ14" s="108"/>
      <c r="BER14" s="108"/>
      <c r="BES14" s="109"/>
      <c r="BET14" s="107" t="s">
        <v>1</v>
      </c>
      <c r="BEU14" s="108"/>
      <c r="BEV14" s="108"/>
      <c r="BEW14" s="109"/>
      <c r="BEX14" s="107" t="s">
        <v>1</v>
      </c>
      <c r="BEY14" s="108"/>
      <c r="BEZ14" s="108"/>
      <c r="BFA14" s="109"/>
      <c r="BFB14" s="107" t="s">
        <v>1</v>
      </c>
      <c r="BFC14" s="108"/>
      <c r="BFD14" s="108"/>
      <c r="BFE14" s="109"/>
      <c r="BFF14" s="107" t="s">
        <v>1</v>
      </c>
      <c r="BFG14" s="108"/>
      <c r="BFH14" s="108"/>
      <c r="BFI14" s="109"/>
      <c r="BFJ14" s="107" t="s">
        <v>1</v>
      </c>
      <c r="BFK14" s="108"/>
      <c r="BFL14" s="108"/>
      <c r="BFM14" s="109"/>
      <c r="BFN14" s="107" t="s">
        <v>1</v>
      </c>
      <c r="BFO14" s="108"/>
      <c r="BFP14" s="108"/>
      <c r="BFQ14" s="109"/>
      <c r="BFR14" s="107" t="s">
        <v>1</v>
      </c>
      <c r="BFS14" s="108"/>
      <c r="BFT14" s="108"/>
      <c r="BFU14" s="109"/>
      <c r="BFV14" s="107" t="s">
        <v>1</v>
      </c>
      <c r="BFW14" s="108"/>
      <c r="BFX14" s="108"/>
      <c r="BFY14" s="109"/>
      <c r="BFZ14" s="107" t="s">
        <v>1</v>
      </c>
      <c r="BGA14" s="108"/>
      <c r="BGB14" s="108"/>
      <c r="BGC14" s="109"/>
      <c r="BGD14" s="107" t="s">
        <v>1</v>
      </c>
      <c r="BGE14" s="108"/>
      <c r="BGF14" s="108"/>
      <c r="BGG14" s="109"/>
      <c r="BGH14" s="107" t="s">
        <v>1</v>
      </c>
      <c r="BGI14" s="108"/>
      <c r="BGJ14" s="108"/>
      <c r="BGK14" s="109"/>
      <c r="BGL14" s="107" t="s">
        <v>1</v>
      </c>
      <c r="BGM14" s="108"/>
      <c r="BGN14" s="108"/>
      <c r="BGO14" s="109"/>
      <c r="BGP14" s="107" t="s">
        <v>1</v>
      </c>
      <c r="BGQ14" s="108"/>
      <c r="BGR14" s="108"/>
      <c r="BGS14" s="109"/>
      <c r="BGT14" s="107" t="s">
        <v>1</v>
      </c>
      <c r="BGU14" s="108"/>
      <c r="BGV14" s="108"/>
      <c r="BGW14" s="109"/>
      <c r="BGX14" s="107" t="s">
        <v>1</v>
      </c>
      <c r="BGY14" s="108"/>
      <c r="BGZ14" s="108"/>
      <c r="BHA14" s="109"/>
      <c r="BHB14" s="107" t="s">
        <v>1</v>
      </c>
      <c r="BHC14" s="108"/>
      <c r="BHD14" s="108"/>
      <c r="BHE14" s="109"/>
      <c r="BHF14" s="107" t="s">
        <v>1</v>
      </c>
      <c r="BHG14" s="108"/>
      <c r="BHH14" s="108"/>
      <c r="BHI14" s="109"/>
      <c r="BHJ14" s="107" t="s">
        <v>1</v>
      </c>
      <c r="BHK14" s="108"/>
      <c r="BHL14" s="108"/>
      <c r="BHM14" s="109"/>
      <c r="BHN14" s="107" t="s">
        <v>1</v>
      </c>
      <c r="BHO14" s="108"/>
      <c r="BHP14" s="108"/>
      <c r="BHQ14" s="109"/>
      <c r="BHR14" s="107" t="s">
        <v>1</v>
      </c>
      <c r="BHS14" s="108"/>
      <c r="BHT14" s="108"/>
      <c r="BHU14" s="109"/>
      <c r="BHV14" s="107" t="s">
        <v>1</v>
      </c>
      <c r="BHW14" s="108"/>
      <c r="BHX14" s="108"/>
      <c r="BHY14" s="109"/>
      <c r="BHZ14" s="107" t="s">
        <v>1</v>
      </c>
      <c r="BIA14" s="108"/>
      <c r="BIB14" s="108"/>
      <c r="BIC14" s="109"/>
      <c r="BID14" s="107" t="s">
        <v>1</v>
      </c>
      <c r="BIE14" s="108"/>
      <c r="BIF14" s="108"/>
      <c r="BIG14" s="109"/>
      <c r="BIH14" s="107" t="s">
        <v>1</v>
      </c>
      <c r="BII14" s="108"/>
      <c r="BIJ14" s="108"/>
      <c r="BIK14" s="109"/>
      <c r="BIL14" s="107" t="s">
        <v>1</v>
      </c>
      <c r="BIM14" s="108"/>
      <c r="BIN14" s="108"/>
      <c r="BIO14" s="109"/>
      <c r="BIP14" s="107" t="s">
        <v>1</v>
      </c>
      <c r="BIQ14" s="108"/>
      <c r="BIR14" s="108"/>
      <c r="BIS14" s="109"/>
      <c r="BIT14" s="107" t="s">
        <v>1</v>
      </c>
      <c r="BIU14" s="108"/>
      <c r="BIV14" s="108"/>
      <c r="BIW14" s="109"/>
      <c r="BIX14" s="107" t="s">
        <v>1</v>
      </c>
      <c r="BIY14" s="108"/>
      <c r="BIZ14" s="108"/>
      <c r="BJA14" s="109"/>
      <c r="BJB14" s="107" t="s">
        <v>1</v>
      </c>
      <c r="BJC14" s="108"/>
      <c r="BJD14" s="108"/>
      <c r="BJE14" s="109"/>
      <c r="BJF14" s="107" t="s">
        <v>1</v>
      </c>
      <c r="BJG14" s="108"/>
      <c r="BJH14" s="108"/>
      <c r="BJI14" s="109"/>
      <c r="BJJ14" s="107" t="s">
        <v>1</v>
      </c>
      <c r="BJK14" s="108"/>
      <c r="BJL14" s="108"/>
      <c r="BJM14" s="109"/>
      <c r="BJN14" s="107" t="s">
        <v>1</v>
      </c>
      <c r="BJO14" s="108"/>
      <c r="BJP14" s="108"/>
      <c r="BJQ14" s="109"/>
      <c r="BJR14" s="107" t="s">
        <v>1</v>
      </c>
      <c r="BJS14" s="108"/>
      <c r="BJT14" s="108"/>
      <c r="BJU14" s="109"/>
      <c r="BJV14" s="107" t="s">
        <v>1</v>
      </c>
      <c r="BJW14" s="108"/>
      <c r="BJX14" s="108"/>
      <c r="BJY14" s="109"/>
      <c r="BJZ14" s="107" t="s">
        <v>1</v>
      </c>
      <c r="BKA14" s="108"/>
      <c r="BKB14" s="108"/>
      <c r="BKC14" s="109"/>
      <c r="BKD14" s="107" t="s">
        <v>1</v>
      </c>
      <c r="BKE14" s="108"/>
      <c r="BKF14" s="108"/>
      <c r="BKG14" s="109"/>
      <c r="BKH14" s="107" t="s">
        <v>1</v>
      </c>
      <c r="BKI14" s="108"/>
      <c r="BKJ14" s="108"/>
      <c r="BKK14" s="109"/>
      <c r="BKL14" s="107" t="s">
        <v>1</v>
      </c>
      <c r="BKM14" s="108"/>
      <c r="BKN14" s="108"/>
      <c r="BKO14" s="109"/>
      <c r="BKP14" s="107" t="s">
        <v>1</v>
      </c>
      <c r="BKQ14" s="108"/>
      <c r="BKR14" s="108"/>
      <c r="BKS14" s="109"/>
      <c r="BKT14" s="107" t="s">
        <v>1</v>
      </c>
      <c r="BKU14" s="108"/>
      <c r="BKV14" s="108"/>
      <c r="BKW14" s="109"/>
      <c r="BKX14" s="107" t="s">
        <v>1</v>
      </c>
      <c r="BKY14" s="108"/>
      <c r="BKZ14" s="108"/>
      <c r="BLA14" s="109"/>
      <c r="BLB14" s="107" t="s">
        <v>1</v>
      </c>
      <c r="BLC14" s="108"/>
      <c r="BLD14" s="108"/>
      <c r="BLE14" s="109"/>
      <c r="BLF14" s="107" t="s">
        <v>1</v>
      </c>
      <c r="BLG14" s="108"/>
      <c r="BLH14" s="108"/>
      <c r="BLI14" s="109"/>
      <c r="BLJ14" s="107" t="s">
        <v>1</v>
      </c>
      <c r="BLK14" s="108"/>
      <c r="BLL14" s="108"/>
      <c r="BLM14" s="109"/>
      <c r="BLN14" s="107" t="s">
        <v>1</v>
      </c>
      <c r="BLO14" s="108"/>
      <c r="BLP14" s="108"/>
      <c r="BLQ14" s="109"/>
      <c r="BLR14" s="107" t="s">
        <v>1</v>
      </c>
      <c r="BLS14" s="108"/>
      <c r="BLT14" s="108"/>
      <c r="BLU14" s="109"/>
      <c r="BLV14" s="107" t="s">
        <v>1</v>
      </c>
      <c r="BLW14" s="108"/>
      <c r="BLX14" s="108"/>
      <c r="BLY14" s="109"/>
      <c r="BLZ14" s="107" t="s">
        <v>1</v>
      </c>
      <c r="BMA14" s="108"/>
      <c r="BMB14" s="108"/>
      <c r="BMC14" s="109"/>
      <c r="BMD14" s="107" t="s">
        <v>1</v>
      </c>
      <c r="BME14" s="108"/>
      <c r="BMF14" s="108"/>
      <c r="BMG14" s="109"/>
      <c r="BMH14" s="107" t="s">
        <v>1</v>
      </c>
      <c r="BMI14" s="108"/>
      <c r="BMJ14" s="108"/>
      <c r="BMK14" s="109"/>
      <c r="BML14" s="107" t="s">
        <v>1</v>
      </c>
      <c r="BMM14" s="108"/>
      <c r="BMN14" s="108"/>
      <c r="BMO14" s="109"/>
      <c r="BMP14" s="107" t="s">
        <v>1</v>
      </c>
      <c r="BMQ14" s="108"/>
      <c r="BMR14" s="108"/>
      <c r="BMS14" s="109"/>
      <c r="BMT14" s="107" t="s">
        <v>1</v>
      </c>
      <c r="BMU14" s="108"/>
      <c r="BMV14" s="108"/>
      <c r="BMW14" s="109"/>
      <c r="BMX14" s="107" t="s">
        <v>1</v>
      </c>
      <c r="BMY14" s="108"/>
      <c r="BMZ14" s="108"/>
      <c r="BNA14" s="109"/>
      <c r="BNB14" s="107" t="s">
        <v>1</v>
      </c>
      <c r="BNC14" s="108"/>
      <c r="BND14" s="108"/>
      <c r="BNE14" s="109"/>
      <c r="BNF14" s="107" t="s">
        <v>1</v>
      </c>
      <c r="BNG14" s="108"/>
      <c r="BNH14" s="108"/>
      <c r="BNI14" s="109"/>
      <c r="BNJ14" s="107" t="s">
        <v>1</v>
      </c>
      <c r="BNK14" s="108"/>
      <c r="BNL14" s="108"/>
      <c r="BNM14" s="109"/>
      <c r="BNN14" s="107" t="s">
        <v>1</v>
      </c>
      <c r="BNO14" s="108"/>
      <c r="BNP14" s="108"/>
      <c r="BNQ14" s="109"/>
      <c r="BNR14" s="107" t="s">
        <v>1</v>
      </c>
      <c r="BNS14" s="108"/>
      <c r="BNT14" s="108"/>
      <c r="BNU14" s="109"/>
      <c r="BNV14" s="107" t="s">
        <v>1</v>
      </c>
      <c r="BNW14" s="108"/>
      <c r="BNX14" s="108"/>
      <c r="BNY14" s="109"/>
      <c r="BNZ14" s="107" t="s">
        <v>1</v>
      </c>
      <c r="BOA14" s="108"/>
      <c r="BOB14" s="108"/>
      <c r="BOC14" s="109"/>
      <c r="BOD14" s="107" t="s">
        <v>1</v>
      </c>
      <c r="BOE14" s="108"/>
      <c r="BOF14" s="108"/>
      <c r="BOG14" s="109"/>
      <c r="BOH14" s="107" t="s">
        <v>1</v>
      </c>
      <c r="BOI14" s="108"/>
      <c r="BOJ14" s="108"/>
      <c r="BOK14" s="109"/>
      <c r="BOL14" s="107" t="s">
        <v>1</v>
      </c>
      <c r="BOM14" s="108"/>
      <c r="BON14" s="108"/>
      <c r="BOO14" s="109"/>
      <c r="BOP14" s="107" t="s">
        <v>1</v>
      </c>
      <c r="BOQ14" s="108"/>
      <c r="BOR14" s="108"/>
      <c r="BOS14" s="109"/>
      <c r="BOT14" s="107" t="s">
        <v>1</v>
      </c>
      <c r="BOU14" s="108"/>
      <c r="BOV14" s="108"/>
      <c r="BOW14" s="109"/>
      <c r="BOX14" s="107" t="s">
        <v>1</v>
      </c>
      <c r="BOY14" s="108"/>
      <c r="BOZ14" s="108"/>
      <c r="BPA14" s="109"/>
      <c r="BPB14" s="107" t="s">
        <v>1</v>
      </c>
      <c r="BPC14" s="108"/>
      <c r="BPD14" s="108"/>
      <c r="BPE14" s="109"/>
      <c r="BPF14" s="107" t="s">
        <v>1</v>
      </c>
      <c r="BPG14" s="108"/>
      <c r="BPH14" s="108"/>
      <c r="BPI14" s="109"/>
      <c r="BPJ14" s="107" t="s">
        <v>1</v>
      </c>
      <c r="BPK14" s="108"/>
      <c r="BPL14" s="108"/>
      <c r="BPM14" s="109"/>
      <c r="BPN14" s="107" t="s">
        <v>1</v>
      </c>
      <c r="BPO14" s="108"/>
      <c r="BPP14" s="108"/>
      <c r="BPQ14" s="109"/>
      <c r="BPR14" s="107" t="s">
        <v>1</v>
      </c>
      <c r="BPS14" s="108"/>
      <c r="BPT14" s="108"/>
      <c r="BPU14" s="109"/>
      <c r="BPV14" s="107" t="s">
        <v>1</v>
      </c>
      <c r="BPW14" s="108"/>
      <c r="BPX14" s="108"/>
      <c r="BPY14" s="109"/>
      <c r="BPZ14" s="107" t="s">
        <v>1</v>
      </c>
      <c r="BQA14" s="108"/>
      <c r="BQB14" s="108"/>
      <c r="BQC14" s="109"/>
      <c r="BQD14" s="107" t="s">
        <v>1</v>
      </c>
      <c r="BQE14" s="108"/>
      <c r="BQF14" s="108"/>
      <c r="BQG14" s="109"/>
      <c r="BQH14" s="107" t="s">
        <v>1</v>
      </c>
      <c r="BQI14" s="108"/>
      <c r="BQJ14" s="108"/>
      <c r="BQK14" s="109"/>
      <c r="BQL14" s="107" t="s">
        <v>1</v>
      </c>
      <c r="BQM14" s="108"/>
      <c r="BQN14" s="108"/>
      <c r="BQO14" s="109"/>
      <c r="BQP14" s="107" t="s">
        <v>1</v>
      </c>
      <c r="BQQ14" s="108"/>
      <c r="BQR14" s="108"/>
      <c r="BQS14" s="109"/>
      <c r="BQT14" s="107" t="s">
        <v>1</v>
      </c>
      <c r="BQU14" s="108"/>
      <c r="BQV14" s="108"/>
      <c r="BQW14" s="109"/>
      <c r="BQX14" s="107" t="s">
        <v>1</v>
      </c>
      <c r="BQY14" s="108"/>
      <c r="BQZ14" s="108"/>
      <c r="BRA14" s="109"/>
      <c r="BRB14" s="107" t="s">
        <v>1</v>
      </c>
      <c r="BRC14" s="108"/>
      <c r="BRD14" s="108"/>
      <c r="BRE14" s="109"/>
      <c r="BRF14" s="107" t="s">
        <v>1</v>
      </c>
      <c r="BRG14" s="108"/>
      <c r="BRH14" s="108"/>
      <c r="BRI14" s="109"/>
      <c r="BRJ14" s="107" t="s">
        <v>1</v>
      </c>
      <c r="BRK14" s="108"/>
      <c r="BRL14" s="108"/>
      <c r="BRM14" s="109"/>
      <c r="BRN14" s="107" t="s">
        <v>1</v>
      </c>
      <c r="BRO14" s="108"/>
      <c r="BRP14" s="108"/>
      <c r="BRQ14" s="109"/>
      <c r="BRR14" s="107" t="s">
        <v>1</v>
      </c>
      <c r="BRS14" s="108"/>
      <c r="BRT14" s="108"/>
      <c r="BRU14" s="109"/>
      <c r="BRV14" s="107" t="s">
        <v>1</v>
      </c>
      <c r="BRW14" s="108"/>
      <c r="BRX14" s="108"/>
      <c r="BRY14" s="109"/>
      <c r="BRZ14" s="107" t="s">
        <v>1</v>
      </c>
      <c r="BSA14" s="108"/>
      <c r="BSB14" s="108"/>
      <c r="BSC14" s="109"/>
      <c r="BSD14" s="107" t="s">
        <v>1</v>
      </c>
      <c r="BSE14" s="108"/>
      <c r="BSF14" s="108"/>
      <c r="BSG14" s="109"/>
      <c r="BSH14" s="107" t="s">
        <v>1</v>
      </c>
      <c r="BSI14" s="108"/>
      <c r="BSJ14" s="108"/>
      <c r="BSK14" s="109"/>
      <c r="BSL14" s="107" t="s">
        <v>1</v>
      </c>
      <c r="BSM14" s="108"/>
      <c r="BSN14" s="108"/>
      <c r="BSO14" s="109"/>
      <c r="BSP14" s="107" t="s">
        <v>1</v>
      </c>
      <c r="BSQ14" s="108"/>
      <c r="BSR14" s="108"/>
      <c r="BSS14" s="109"/>
      <c r="BST14" s="107" t="s">
        <v>1</v>
      </c>
      <c r="BSU14" s="108"/>
      <c r="BSV14" s="108"/>
      <c r="BSW14" s="109"/>
      <c r="BSX14" s="107" t="s">
        <v>1</v>
      </c>
      <c r="BSY14" s="108"/>
      <c r="BSZ14" s="108"/>
      <c r="BTA14" s="109"/>
      <c r="BTB14" s="107" t="s">
        <v>1</v>
      </c>
      <c r="BTC14" s="108"/>
      <c r="BTD14" s="108"/>
      <c r="BTE14" s="109"/>
      <c r="BTF14" s="107" t="s">
        <v>1</v>
      </c>
      <c r="BTG14" s="108"/>
      <c r="BTH14" s="108"/>
      <c r="BTI14" s="109"/>
      <c r="BTJ14" s="107" t="s">
        <v>1</v>
      </c>
      <c r="BTK14" s="108"/>
      <c r="BTL14" s="108"/>
      <c r="BTM14" s="109"/>
      <c r="BTN14" s="107" t="s">
        <v>1</v>
      </c>
      <c r="BTO14" s="108"/>
      <c r="BTP14" s="108"/>
      <c r="BTQ14" s="109"/>
      <c r="BTR14" s="107" t="s">
        <v>1</v>
      </c>
      <c r="BTS14" s="108"/>
      <c r="BTT14" s="108"/>
      <c r="BTU14" s="109"/>
      <c r="BTV14" s="107" t="s">
        <v>1</v>
      </c>
      <c r="BTW14" s="108"/>
      <c r="BTX14" s="108"/>
      <c r="BTY14" s="109"/>
      <c r="BTZ14" s="107" t="s">
        <v>1</v>
      </c>
      <c r="BUA14" s="108"/>
      <c r="BUB14" s="108"/>
      <c r="BUC14" s="109"/>
      <c r="BUD14" s="107" t="s">
        <v>1</v>
      </c>
      <c r="BUE14" s="108"/>
      <c r="BUF14" s="108"/>
      <c r="BUG14" s="109"/>
      <c r="BUH14" s="107" t="s">
        <v>1</v>
      </c>
      <c r="BUI14" s="108"/>
      <c r="BUJ14" s="108"/>
      <c r="BUK14" s="109"/>
      <c r="BUL14" s="107" t="s">
        <v>1</v>
      </c>
      <c r="BUM14" s="108"/>
      <c r="BUN14" s="108"/>
      <c r="BUO14" s="109"/>
      <c r="BUP14" s="107" t="s">
        <v>1</v>
      </c>
      <c r="BUQ14" s="108"/>
      <c r="BUR14" s="108"/>
      <c r="BUS14" s="109"/>
      <c r="BUT14" s="107" t="s">
        <v>1</v>
      </c>
      <c r="BUU14" s="108"/>
      <c r="BUV14" s="108"/>
      <c r="BUW14" s="109"/>
      <c r="BUX14" s="107" t="s">
        <v>1</v>
      </c>
      <c r="BUY14" s="108"/>
      <c r="BUZ14" s="108"/>
      <c r="BVA14" s="109"/>
      <c r="BVB14" s="107" t="s">
        <v>1</v>
      </c>
      <c r="BVC14" s="108"/>
      <c r="BVD14" s="108"/>
      <c r="BVE14" s="109"/>
      <c r="BVF14" s="107" t="s">
        <v>1</v>
      </c>
      <c r="BVG14" s="108"/>
      <c r="BVH14" s="108"/>
      <c r="BVI14" s="109"/>
      <c r="BVJ14" s="107" t="s">
        <v>1</v>
      </c>
      <c r="BVK14" s="108"/>
      <c r="BVL14" s="108"/>
      <c r="BVM14" s="109"/>
      <c r="BVN14" s="107" t="s">
        <v>1</v>
      </c>
      <c r="BVO14" s="108"/>
      <c r="BVP14" s="108"/>
      <c r="BVQ14" s="109"/>
      <c r="BVR14" s="107" t="s">
        <v>1</v>
      </c>
      <c r="BVS14" s="108"/>
      <c r="BVT14" s="108"/>
      <c r="BVU14" s="109"/>
      <c r="BVV14" s="107" t="s">
        <v>1</v>
      </c>
      <c r="BVW14" s="108"/>
      <c r="BVX14" s="108"/>
      <c r="BVY14" s="109"/>
      <c r="BVZ14" s="107" t="s">
        <v>1</v>
      </c>
      <c r="BWA14" s="108"/>
      <c r="BWB14" s="108"/>
      <c r="BWC14" s="109"/>
      <c r="BWD14" s="107" t="s">
        <v>1</v>
      </c>
      <c r="BWE14" s="108"/>
      <c r="BWF14" s="108"/>
      <c r="BWG14" s="109"/>
      <c r="BWH14" s="107" t="s">
        <v>1</v>
      </c>
      <c r="BWI14" s="108"/>
      <c r="BWJ14" s="108"/>
      <c r="BWK14" s="109"/>
      <c r="BWL14" s="107" t="s">
        <v>1</v>
      </c>
      <c r="BWM14" s="108"/>
      <c r="BWN14" s="108"/>
      <c r="BWO14" s="109"/>
      <c r="BWP14" s="107" t="s">
        <v>1</v>
      </c>
      <c r="BWQ14" s="108"/>
      <c r="BWR14" s="108"/>
      <c r="BWS14" s="109"/>
      <c r="BWT14" s="107" t="s">
        <v>1</v>
      </c>
      <c r="BWU14" s="108"/>
      <c r="BWV14" s="108"/>
      <c r="BWW14" s="109"/>
      <c r="BWX14" s="107" t="s">
        <v>1</v>
      </c>
      <c r="BWY14" s="108"/>
      <c r="BWZ14" s="108"/>
      <c r="BXA14" s="109"/>
      <c r="BXB14" s="107" t="s">
        <v>1</v>
      </c>
      <c r="BXC14" s="108"/>
      <c r="BXD14" s="108"/>
      <c r="BXE14" s="109"/>
      <c r="BXF14" s="107" t="s">
        <v>1</v>
      </c>
      <c r="BXG14" s="108"/>
      <c r="BXH14" s="108"/>
      <c r="BXI14" s="109"/>
      <c r="BXJ14" s="107" t="s">
        <v>1</v>
      </c>
      <c r="BXK14" s="108"/>
      <c r="BXL14" s="108"/>
      <c r="BXM14" s="109"/>
      <c r="BXN14" s="107" t="s">
        <v>1</v>
      </c>
      <c r="BXO14" s="108"/>
      <c r="BXP14" s="108"/>
      <c r="BXQ14" s="109"/>
      <c r="BXR14" s="107" t="s">
        <v>1</v>
      </c>
      <c r="BXS14" s="108"/>
      <c r="BXT14" s="108"/>
      <c r="BXU14" s="109"/>
      <c r="BXV14" s="107" t="s">
        <v>1</v>
      </c>
      <c r="BXW14" s="108"/>
      <c r="BXX14" s="108"/>
      <c r="BXY14" s="109"/>
      <c r="BXZ14" s="107" t="s">
        <v>1</v>
      </c>
      <c r="BYA14" s="108"/>
      <c r="BYB14" s="108"/>
      <c r="BYC14" s="109"/>
      <c r="BYD14" s="107" t="s">
        <v>1</v>
      </c>
      <c r="BYE14" s="108"/>
      <c r="BYF14" s="108"/>
      <c r="BYG14" s="109"/>
      <c r="BYH14" s="107" t="s">
        <v>1</v>
      </c>
      <c r="BYI14" s="108"/>
      <c r="BYJ14" s="108"/>
      <c r="BYK14" s="109"/>
      <c r="BYL14" s="107" t="s">
        <v>1</v>
      </c>
      <c r="BYM14" s="108"/>
      <c r="BYN14" s="108"/>
      <c r="BYO14" s="109"/>
      <c r="BYP14" s="107" t="s">
        <v>1</v>
      </c>
      <c r="BYQ14" s="108"/>
      <c r="BYR14" s="108"/>
      <c r="BYS14" s="109"/>
      <c r="BYT14" s="107" t="s">
        <v>1</v>
      </c>
      <c r="BYU14" s="108"/>
      <c r="BYV14" s="108"/>
      <c r="BYW14" s="109"/>
      <c r="BYX14" s="107" t="s">
        <v>1</v>
      </c>
      <c r="BYY14" s="108"/>
      <c r="BYZ14" s="108"/>
      <c r="BZA14" s="109"/>
      <c r="BZB14" s="107" t="s">
        <v>1</v>
      </c>
      <c r="BZC14" s="108"/>
      <c r="BZD14" s="108"/>
      <c r="BZE14" s="109"/>
      <c r="BZF14" s="107" t="s">
        <v>1</v>
      </c>
      <c r="BZG14" s="108"/>
      <c r="BZH14" s="108"/>
      <c r="BZI14" s="109"/>
      <c r="BZJ14" s="107" t="s">
        <v>1</v>
      </c>
      <c r="BZK14" s="108"/>
      <c r="BZL14" s="108"/>
      <c r="BZM14" s="109"/>
      <c r="BZN14" s="107" t="s">
        <v>1</v>
      </c>
      <c r="BZO14" s="108"/>
      <c r="BZP14" s="108"/>
      <c r="BZQ14" s="109"/>
      <c r="BZR14" s="107" t="s">
        <v>1</v>
      </c>
      <c r="BZS14" s="108"/>
      <c r="BZT14" s="108"/>
      <c r="BZU14" s="109"/>
      <c r="BZV14" s="107" t="s">
        <v>1</v>
      </c>
      <c r="BZW14" s="108"/>
      <c r="BZX14" s="108"/>
      <c r="BZY14" s="109"/>
      <c r="BZZ14" s="107" t="s">
        <v>1</v>
      </c>
      <c r="CAA14" s="108"/>
      <c r="CAB14" s="108"/>
      <c r="CAC14" s="109"/>
      <c r="CAD14" s="107" t="s">
        <v>1</v>
      </c>
      <c r="CAE14" s="108"/>
      <c r="CAF14" s="108"/>
      <c r="CAG14" s="109"/>
      <c r="CAH14" s="107" t="s">
        <v>1</v>
      </c>
      <c r="CAI14" s="108"/>
      <c r="CAJ14" s="108"/>
      <c r="CAK14" s="109"/>
      <c r="CAL14" s="107" t="s">
        <v>1</v>
      </c>
      <c r="CAM14" s="108"/>
      <c r="CAN14" s="108"/>
      <c r="CAO14" s="109"/>
      <c r="CAP14" s="107" t="s">
        <v>1</v>
      </c>
      <c r="CAQ14" s="108"/>
      <c r="CAR14" s="108"/>
      <c r="CAS14" s="109"/>
      <c r="CAT14" s="107" t="s">
        <v>1</v>
      </c>
      <c r="CAU14" s="108"/>
      <c r="CAV14" s="108"/>
      <c r="CAW14" s="109"/>
      <c r="CAX14" s="107" t="s">
        <v>1</v>
      </c>
      <c r="CAY14" s="108"/>
      <c r="CAZ14" s="108"/>
      <c r="CBA14" s="109"/>
      <c r="CBB14" s="107" t="s">
        <v>1</v>
      </c>
      <c r="CBC14" s="108"/>
      <c r="CBD14" s="108"/>
      <c r="CBE14" s="109"/>
      <c r="CBF14" s="107" t="s">
        <v>1</v>
      </c>
      <c r="CBG14" s="108"/>
      <c r="CBH14" s="108"/>
      <c r="CBI14" s="109"/>
      <c r="CBJ14" s="107" t="s">
        <v>1</v>
      </c>
      <c r="CBK14" s="108"/>
      <c r="CBL14" s="108"/>
      <c r="CBM14" s="109"/>
      <c r="CBN14" s="107" t="s">
        <v>1</v>
      </c>
      <c r="CBO14" s="108"/>
      <c r="CBP14" s="108"/>
      <c r="CBQ14" s="109"/>
      <c r="CBR14" s="107" t="s">
        <v>1</v>
      </c>
      <c r="CBS14" s="108"/>
      <c r="CBT14" s="108"/>
      <c r="CBU14" s="109"/>
      <c r="CBV14" s="107" t="s">
        <v>1</v>
      </c>
      <c r="CBW14" s="108"/>
      <c r="CBX14" s="108"/>
      <c r="CBY14" s="109"/>
      <c r="CBZ14" s="107" t="s">
        <v>1</v>
      </c>
      <c r="CCA14" s="108"/>
      <c r="CCB14" s="108"/>
      <c r="CCC14" s="109"/>
      <c r="CCD14" s="107" t="s">
        <v>1</v>
      </c>
      <c r="CCE14" s="108"/>
      <c r="CCF14" s="108"/>
      <c r="CCG14" s="109"/>
      <c r="CCH14" s="107" t="s">
        <v>1</v>
      </c>
      <c r="CCI14" s="108"/>
      <c r="CCJ14" s="108"/>
      <c r="CCK14" s="109"/>
      <c r="CCL14" s="107" t="s">
        <v>1</v>
      </c>
      <c r="CCM14" s="108"/>
      <c r="CCN14" s="108"/>
      <c r="CCO14" s="109"/>
      <c r="CCP14" s="107" t="s">
        <v>1</v>
      </c>
      <c r="CCQ14" s="108"/>
      <c r="CCR14" s="108"/>
      <c r="CCS14" s="109"/>
      <c r="CCT14" s="107" t="s">
        <v>1</v>
      </c>
      <c r="CCU14" s="108"/>
      <c r="CCV14" s="108"/>
      <c r="CCW14" s="109"/>
      <c r="CCX14" s="107" t="s">
        <v>1</v>
      </c>
      <c r="CCY14" s="108"/>
      <c r="CCZ14" s="108"/>
      <c r="CDA14" s="109"/>
      <c r="CDB14" s="107" t="s">
        <v>1</v>
      </c>
      <c r="CDC14" s="108"/>
      <c r="CDD14" s="108"/>
      <c r="CDE14" s="109"/>
      <c r="CDF14" s="107" t="s">
        <v>1</v>
      </c>
      <c r="CDG14" s="108"/>
      <c r="CDH14" s="108"/>
      <c r="CDI14" s="109"/>
      <c r="CDJ14" s="107" t="s">
        <v>1</v>
      </c>
      <c r="CDK14" s="108"/>
      <c r="CDL14" s="108"/>
      <c r="CDM14" s="109"/>
      <c r="CDN14" s="107" t="s">
        <v>1</v>
      </c>
      <c r="CDO14" s="108"/>
      <c r="CDP14" s="108"/>
      <c r="CDQ14" s="109"/>
      <c r="CDR14" s="107" t="s">
        <v>1</v>
      </c>
      <c r="CDS14" s="108"/>
      <c r="CDT14" s="108"/>
      <c r="CDU14" s="109"/>
      <c r="CDV14" s="107" t="s">
        <v>1</v>
      </c>
      <c r="CDW14" s="108"/>
      <c r="CDX14" s="108"/>
      <c r="CDY14" s="109"/>
      <c r="CDZ14" s="107" t="s">
        <v>1</v>
      </c>
      <c r="CEA14" s="108"/>
      <c r="CEB14" s="108"/>
      <c r="CEC14" s="109"/>
      <c r="CED14" s="107" t="s">
        <v>1</v>
      </c>
      <c r="CEE14" s="108"/>
      <c r="CEF14" s="108"/>
      <c r="CEG14" s="109"/>
      <c r="CEH14" s="107" t="s">
        <v>1</v>
      </c>
      <c r="CEI14" s="108"/>
      <c r="CEJ14" s="108"/>
      <c r="CEK14" s="109"/>
      <c r="CEL14" s="107" t="s">
        <v>1</v>
      </c>
      <c r="CEM14" s="108"/>
      <c r="CEN14" s="108"/>
      <c r="CEO14" s="109"/>
      <c r="CEP14" s="107" t="s">
        <v>1</v>
      </c>
      <c r="CEQ14" s="108"/>
      <c r="CER14" s="108"/>
      <c r="CES14" s="109"/>
      <c r="CET14" s="107" t="s">
        <v>1</v>
      </c>
      <c r="CEU14" s="108"/>
      <c r="CEV14" s="108"/>
      <c r="CEW14" s="109"/>
      <c r="CEX14" s="107" t="s">
        <v>1</v>
      </c>
      <c r="CEY14" s="108"/>
      <c r="CEZ14" s="108"/>
      <c r="CFA14" s="109"/>
      <c r="CFB14" s="107" t="s">
        <v>1</v>
      </c>
      <c r="CFC14" s="108"/>
      <c r="CFD14" s="108"/>
      <c r="CFE14" s="109"/>
      <c r="CFF14" s="107" t="s">
        <v>1</v>
      </c>
      <c r="CFG14" s="108"/>
      <c r="CFH14" s="108"/>
      <c r="CFI14" s="109"/>
      <c r="CFJ14" s="107" t="s">
        <v>1</v>
      </c>
      <c r="CFK14" s="108"/>
      <c r="CFL14" s="108"/>
      <c r="CFM14" s="109"/>
      <c r="CFN14" s="107" t="s">
        <v>1</v>
      </c>
      <c r="CFO14" s="108"/>
      <c r="CFP14" s="108"/>
      <c r="CFQ14" s="109"/>
      <c r="CFR14" s="107" t="s">
        <v>1</v>
      </c>
      <c r="CFS14" s="108"/>
      <c r="CFT14" s="108"/>
      <c r="CFU14" s="109"/>
      <c r="CFV14" s="107" t="s">
        <v>1</v>
      </c>
      <c r="CFW14" s="108"/>
      <c r="CFX14" s="108"/>
      <c r="CFY14" s="109"/>
      <c r="CFZ14" s="107" t="s">
        <v>1</v>
      </c>
      <c r="CGA14" s="108"/>
      <c r="CGB14" s="108"/>
      <c r="CGC14" s="109"/>
      <c r="CGD14" s="107" t="s">
        <v>1</v>
      </c>
      <c r="CGE14" s="108"/>
      <c r="CGF14" s="108"/>
      <c r="CGG14" s="109"/>
      <c r="CGH14" s="107" t="s">
        <v>1</v>
      </c>
      <c r="CGI14" s="108"/>
      <c r="CGJ14" s="108"/>
      <c r="CGK14" s="109"/>
      <c r="CGL14" s="107" t="s">
        <v>1</v>
      </c>
      <c r="CGM14" s="108"/>
      <c r="CGN14" s="108"/>
      <c r="CGO14" s="109"/>
      <c r="CGP14" s="107" t="s">
        <v>1</v>
      </c>
      <c r="CGQ14" s="108"/>
      <c r="CGR14" s="108"/>
      <c r="CGS14" s="109"/>
      <c r="CGT14" s="107" t="s">
        <v>1</v>
      </c>
      <c r="CGU14" s="108"/>
      <c r="CGV14" s="108"/>
      <c r="CGW14" s="109"/>
      <c r="CGX14" s="107" t="s">
        <v>1</v>
      </c>
      <c r="CGY14" s="108"/>
      <c r="CGZ14" s="108"/>
      <c r="CHA14" s="109"/>
      <c r="CHB14" s="107" t="s">
        <v>1</v>
      </c>
      <c r="CHC14" s="108"/>
      <c r="CHD14" s="108"/>
      <c r="CHE14" s="109"/>
      <c r="CHF14" s="107" t="s">
        <v>1</v>
      </c>
      <c r="CHG14" s="108"/>
      <c r="CHH14" s="108"/>
      <c r="CHI14" s="109"/>
      <c r="CHJ14" s="107" t="s">
        <v>1</v>
      </c>
      <c r="CHK14" s="108"/>
      <c r="CHL14" s="108"/>
      <c r="CHM14" s="109"/>
      <c r="CHN14" s="107" t="s">
        <v>1</v>
      </c>
      <c r="CHO14" s="108"/>
      <c r="CHP14" s="108"/>
      <c r="CHQ14" s="109"/>
      <c r="CHR14" s="107" t="s">
        <v>1</v>
      </c>
      <c r="CHS14" s="108"/>
      <c r="CHT14" s="108"/>
      <c r="CHU14" s="109"/>
      <c r="CHV14" s="107" t="s">
        <v>1</v>
      </c>
      <c r="CHW14" s="108"/>
      <c r="CHX14" s="108"/>
      <c r="CHY14" s="109"/>
      <c r="CHZ14" s="107" t="s">
        <v>1</v>
      </c>
      <c r="CIA14" s="108"/>
      <c r="CIB14" s="108"/>
      <c r="CIC14" s="109"/>
      <c r="CID14" s="107" t="s">
        <v>1</v>
      </c>
      <c r="CIE14" s="108"/>
      <c r="CIF14" s="108"/>
      <c r="CIG14" s="109"/>
      <c r="CIH14" s="107" t="s">
        <v>1</v>
      </c>
      <c r="CII14" s="108"/>
      <c r="CIJ14" s="108"/>
      <c r="CIK14" s="109"/>
      <c r="CIL14" s="107" t="s">
        <v>1</v>
      </c>
      <c r="CIM14" s="108"/>
      <c r="CIN14" s="108"/>
      <c r="CIO14" s="109"/>
      <c r="CIP14" s="107" t="s">
        <v>1</v>
      </c>
      <c r="CIQ14" s="108"/>
      <c r="CIR14" s="108"/>
      <c r="CIS14" s="109"/>
      <c r="CIT14" s="107" t="s">
        <v>1</v>
      </c>
      <c r="CIU14" s="108"/>
      <c r="CIV14" s="108"/>
      <c r="CIW14" s="109"/>
      <c r="CIX14" s="107" t="s">
        <v>1</v>
      </c>
      <c r="CIY14" s="108"/>
      <c r="CIZ14" s="108"/>
      <c r="CJA14" s="109"/>
      <c r="CJB14" s="107" t="s">
        <v>1</v>
      </c>
      <c r="CJC14" s="108"/>
      <c r="CJD14" s="108"/>
      <c r="CJE14" s="109"/>
      <c r="CJF14" s="107" t="s">
        <v>1</v>
      </c>
      <c r="CJG14" s="108"/>
      <c r="CJH14" s="108"/>
      <c r="CJI14" s="109"/>
      <c r="CJJ14" s="107" t="s">
        <v>1</v>
      </c>
      <c r="CJK14" s="108"/>
      <c r="CJL14" s="108"/>
      <c r="CJM14" s="109"/>
      <c r="CJN14" s="107" t="s">
        <v>1</v>
      </c>
      <c r="CJO14" s="108"/>
      <c r="CJP14" s="108"/>
      <c r="CJQ14" s="109"/>
      <c r="CJR14" s="107" t="s">
        <v>1</v>
      </c>
      <c r="CJS14" s="108"/>
      <c r="CJT14" s="108"/>
      <c r="CJU14" s="109"/>
      <c r="CJV14" s="107" t="s">
        <v>1</v>
      </c>
      <c r="CJW14" s="108"/>
      <c r="CJX14" s="108"/>
      <c r="CJY14" s="109"/>
      <c r="CJZ14" s="107" t="s">
        <v>1</v>
      </c>
      <c r="CKA14" s="108"/>
      <c r="CKB14" s="108"/>
      <c r="CKC14" s="109"/>
      <c r="CKD14" s="107" t="s">
        <v>1</v>
      </c>
      <c r="CKE14" s="108"/>
      <c r="CKF14" s="108"/>
      <c r="CKG14" s="109"/>
      <c r="CKH14" s="107" t="s">
        <v>1</v>
      </c>
      <c r="CKI14" s="108"/>
      <c r="CKJ14" s="108"/>
      <c r="CKK14" s="109"/>
      <c r="CKL14" s="107" t="s">
        <v>1</v>
      </c>
      <c r="CKM14" s="108"/>
      <c r="CKN14" s="108"/>
      <c r="CKO14" s="109"/>
      <c r="CKP14" s="107" t="s">
        <v>1</v>
      </c>
      <c r="CKQ14" s="108"/>
      <c r="CKR14" s="108"/>
      <c r="CKS14" s="109"/>
      <c r="CKT14" s="107" t="s">
        <v>1</v>
      </c>
      <c r="CKU14" s="108"/>
      <c r="CKV14" s="108"/>
      <c r="CKW14" s="109"/>
      <c r="CKX14" s="107" t="s">
        <v>1</v>
      </c>
      <c r="CKY14" s="108"/>
      <c r="CKZ14" s="108"/>
      <c r="CLA14" s="109"/>
      <c r="CLB14" s="107" t="s">
        <v>1</v>
      </c>
      <c r="CLC14" s="108"/>
      <c r="CLD14" s="108"/>
      <c r="CLE14" s="109"/>
      <c r="CLF14" s="107" t="s">
        <v>1</v>
      </c>
      <c r="CLG14" s="108"/>
      <c r="CLH14" s="108"/>
      <c r="CLI14" s="109"/>
      <c r="CLJ14" s="107" t="s">
        <v>1</v>
      </c>
      <c r="CLK14" s="108"/>
      <c r="CLL14" s="108"/>
      <c r="CLM14" s="109"/>
      <c r="CLN14" s="107" t="s">
        <v>1</v>
      </c>
      <c r="CLO14" s="108"/>
      <c r="CLP14" s="108"/>
      <c r="CLQ14" s="109"/>
      <c r="CLR14" s="107" t="s">
        <v>1</v>
      </c>
      <c r="CLS14" s="108"/>
      <c r="CLT14" s="108"/>
      <c r="CLU14" s="109"/>
      <c r="CLV14" s="107" t="s">
        <v>1</v>
      </c>
      <c r="CLW14" s="108"/>
      <c r="CLX14" s="108"/>
      <c r="CLY14" s="109"/>
      <c r="CLZ14" s="107" t="s">
        <v>1</v>
      </c>
      <c r="CMA14" s="108"/>
      <c r="CMB14" s="108"/>
      <c r="CMC14" s="109"/>
      <c r="CMD14" s="107" t="s">
        <v>1</v>
      </c>
      <c r="CME14" s="108"/>
      <c r="CMF14" s="108"/>
      <c r="CMG14" s="109"/>
      <c r="CMH14" s="107" t="s">
        <v>1</v>
      </c>
      <c r="CMI14" s="108"/>
      <c r="CMJ14" s="108"/>
      <c r="CMK14" s="109"/>
      <c r="CML14" s="107" t="s">
        <v>1</v>
      </c>
      <c r="CMM14" s="108"/>
      <c r="CMN14" s="108"/>
      <c r="CMO14" s="109"/>
      <c r="CMP14" s="107" t="s">
        <v>1</v>
      </c>
      <c r="CMQ14" s="108"/>
      <c r="CMR14" s="108"/>
      <c r="CMS14" s="109"/>
      <c r="CMT14" s="107" t="s">
        <v>1</v>
      </c>
      <c r="CMU14" s="108"/>
      <c r="CMV14" s="108"/>
      <c r="CMW14" s="109"/>
      <c r="CMX14" s="107" t="s">
        <v>1</v>
      </c>
      <c r="CMY14" s="108"/>
      <c r="CMZ14" s="108"/>
      <c r="CNA14" s="109"/>
      <c r="CNB14" s="107" t="s">
        <v>1</v>
      </c>
      <c r="CNC14" s="108"/>
      <c r="CND14" s="108"/>
      <c r="CNE14" s="109"/>
      <c r="CNF14" s="107" t="s">
        <v>1</v>
      </c>
      <c r="CNG14" s="108"/>
      <c r="CNH14" s="108"/>
      <c r="CNI14" s="109"/>
      <c r="CNJ14" s="107" t="s">
        <v>1</v>
      </c>
      <c r="CNK14" s="108"/>
      <c r="CNL14" s="108"/>
      <c r="CNM14" s="109"/>
      <c r="CNN14" s="107" t="s">
        <v>1</v>
      </c>
      <c r="CNO14" s="108"/>
      <c r="CNP14" s="108"/>
      <c r="CNQ14" s="109"/>
      <c r="CNR14" s="107" t="s">
        <v>1</v>
      </c>
      <c r="CNS14" s="108"/>
      <c r="CNT14" s="108"/>
      <c r="CNU14" s="109"/>
      <c r="CNV14" s="107" t="s">
        <v>1</v>
      </c>
      <c r="CNW14" s="108"/>
      <c r="CNX14" s="108"/>
      <c r="CNY14" s="109"/>
      <c r="CNZ14" s="107" t="s">
        <v>1</v>
      </c>
      <c r="COA14" s="108"/>
      <c r="COB14" s="108"/>
      <c r="COC14" s="109"/>
      <c r="COD14" s="107" t="s">
        <v>1</v>
      </c>
      <c r="COE14" s="108"/>
      <c r="COF14" s="108"/>
      <c r="COG14" s="109"/>
      <c r="COH14" s="107" t="s">
        <v>1</v>
      </c>
      <c r="COI14" s="108"/>
      <c r="COJ14" s="108"/>
      <c r="COK14" s="109"/>
      <c r="COL14" s="107" t="s">
        <v>1</v>
      </c>
      <c r="COM14" s="108"/>
      <c r="CON14" s="108"/>
      <c r="COO14" s="109"/>
      <c r="COP14" s="107" t="s">
        <v>1</v>
      </c>
      <c r="COQ14" s="108"/>
      <c r="COR14" s="108"/>
      <c r="COS14" s="109"/>
      <c r="COT14" s="107" t="s">
        <v>1</v>
      </c>
      <c r="COU14" s="108"/>
      <c r="COV14" s="108"/>
      <c r="COW14" s="109"/>
      <c r="COX14" s="107" t="s">
        <v>1</v>
      </c>
      <c r="COY14" s="108"/>
      <c r="COZ14" s="108"/>
      <c r="CPA14" s="109"/>
      <c r="CPB14" s="107" t="s">
        <v>1</v>
      </c>
      <c r="CPC14" s="108"/>
      <c r="CPD14" s="108"/>
      <c r="CPE14" s="109"/>
      <c r="CPF14" s="107" t="s">
        <v>1</v>
      </c>
      <c r="CPG14" s="108"/>
      <c r="CPH14" s="108"/>
      <c r="CPI14" s="109"/>
      <c r="CPJ14" s="107" t="s">
        <v>1</v>
      </c>
      <c r="CPK14" s="108"/>
      <c r="CPL14" s="108"/>
      <c r="CPM14" s="109"/>
      <c r="CPN14" s="107" t="s">
        <v>1</v>
      </c>
      <c r="CPO14" s="108"/>
      <c r="CPP14" s="108"/>
      <c r="CPQ14" s="109"/>
      <c r="CPR14" s="107" t="s">
        <v>1</v>
      </c>
      <c r="CPS14" s="108"/>
      <c r="CPT14" s="108"/>
      <c r="CPU14" s="109"/>
      <c r="CPV14" s="107" t="s">
        <v>1</v>
      </c>
      <c r="CPW14" s="108"/>
      <c r="CPX14" s="108"/>
      <c r="CPY14" s="109"/>
      <c r="CPZ14" s="107" t="s">
        <v>1</v>
      </c>
      <c r="CQA14" s="108"/>
      <c r="CQB14" s="108"/>
      <c r="CQC14" s="109"/>
      <c r="CQD14" s="107" t="s">
        <v>1</v>
      </c>
      <c r="CQE14" s="108"/>
      <c r="CQF14" s="108"/>
      <c r="CQG14" s="109"/>
      <c r="CQH14" s="107" t="s">
        <v>1</v>
      </c>
      <c r="CQI14" s="108"/>
      <c r="CQJ14" s="108"/>
      <c r="CQK14" s="109"/>
      <c r="CQL14" s="107" t="s">
        <v>1</v>
      </c>
      <c r="CQM14" s="108"/>
      <c r="CQN14" s="108"/>
      <c r="CQO14" s="109"/>
      <c r="CQP14" s="107" t="s">
        <v>1</v>
      </c>
      <c r="CQQ14" s="108"/>
      <c r="CQR14" s="108"/>
      <c r="CQS14" s="109"/>
      <c r="CQT14" s="107" t="s">
        <v>1</v>
      </c>
      <c r="CQU14" s="108"/>
      <c r="CQV14" s="108"/>
      <c r="CQW14" s="109"/>
      <c r="CQX14" s="107" t="s">
        <v>1</v>
      </c>
      <c r="CQY14" s="108"/>
      <c r="CQZ14" s="108"/>
      <c r="CRA14" s="109"/>
      <c r="CRB14" s="107" t="s">
        <v>1</v>
      </c>
      <c r="CRC14" s="108"/>
      <c r="CRD14" s="108"/>
      <c r="CRE14" s="109"/>
      <c r="CRF14" s="107" t="s">
        <v>1</v>
      </c>
      <c r="CRG14" s="108"/>
      <c r="CRH14" s="108"/>
      <c r="CRI14" s="109"/>
      <c r="CRJ14" s="107" t="s">
        <v>1</v>
      </c>
      <c r="CRK14" s="108"/>
      <c r="CRL14" s="108"/>
      <c r="CRM14" s="109"/>
      <c r="CRN14" s="107" t="s">
        <v>1</v>
      </c>
      <c r="CRO14" s="108"/>
      <c r="CRP14" s="108"/>
      <c r="CRQ14" s="109"/>
      <c r="CRR14" s="107" t="s">
        <v>1</v>
      </c>
      <c r="CRS14" s="108"/>
      <c r="CRT14" s="108"/>
      <c r="CRU14" s="109"/>
      <c r="CRV14" s="107" t="s">
        <v>1</v>
      </c>
      <c r="CRW14" s="108"/>
      <c r="CRX14" s="108"/>
      <c r="CRY14" s="109"/>
      <c r="CRZ14" s="107" t="s">
        <v>1</v>
      </c>
      <c r="CSA14" s="108"/>
      <c r="CSB14" s="108"/>
      <c r="CSC14" s="109"/>
      <c r="CSD14" s="107" t="s">
        <v>1</v>
      </c>
      <c r="CSE14" s="108"/>
      <c r="CSF14" s="108"/>
      <c r="CSG14" s="109"/>
      <c r="CSH14" s="107" t="s">
        <v>1</v>
      </c>
      <c r="CSI14" s="108"/>
      <c r="CSJ14" s="108"/>
      <c r="CSK14" s="109"/>
      <c r="CSL14" s="107" t="s">
        <v>1</v>
      </c>
      <c r="CSM14" s="108"/>
      <c r="CSN14" s="108"/>
      <c r="CSO14" s="109"/>
      <c r="CSP14" s="107" t="s">
        <v>1</v>
      </c>
      <c r="CSQ14" s="108"/>
      <c r="CSR14" s="108"/>
      <c r="CSS14" s="109"/>
      <c r="CST14" s="107" t="s">
        <v>1</v>
      </c>
      <c r="CSU14" s="108"/>
      <c r="CSV14" s="108"/>
      <c r="CSW14" s="109"/>
      <c r="CSX14" s="107" t="s">
        <v>1</v>
      </c>
      <c r="CSY14" s="108"/>
      <c r="CSZ14" s="108"/>
      <c r="CTA14" s="109"/>
      <c r="CTB14" s="107" t="s">
        <v>1</v>
      </c>
      <c r="CTC14" s="108"/>
      <c r="CTD14" s="108"/>
      <c r="CTE14" s="109"/>
      <c r="CTF14" s="107" t="s">
        <v>1</v>
      </c>
      <c r="CTG14" s="108"/>
      <c r="CTH14" s="108"/>
      <c r="CTI14" s="109"/>
      <c r="CTJ14" s="107" t="s">
        <v>1</v>
      </c>
      <c r="CTK14" s="108"/>
      <c r="CTL14" s="108"/>
      <c r="CTM14" s="109"/>
      <c r="CTN14" s="107" t="s">
        <v>1</v>
      </c>
      <c r="CTO14" s="108"/>
      <c r="CTP14" s="108"/>
      <c r="CTQ14" s="109"/>
      <c r="CTR14" s="107" t="s">
        <v>1</v>
      </c>
      <c r="CTS14" s="108"/>
      <c r="CTT14" s="108"/>
      <c r="CTU14" s="109"/>
      <c r="CTV14" s="107" t="s">
        <v>1</v>
      </c>
      <c r="CTW14" s="108"/>
      <c r="CTX14" s="108"/>
      <c r="CTY14" s="109"/>
      <c r="CTZ14" s="107" t="s">
        <v>1</v>
      </c>
      <c r="CUA14" s="108"/>
      <c r="CUB14" s="108"/>
      <c r="CUC14" s="109"/>
      <c r="CUD14" s="107" t="s">
        <v>1</v>
      </c>
      <c r="CUE14" s="108"/>
      <c r="CUF14" s="108"/>
      <c r="CUG14" s="109"/>
      <c r="CUH14" s="107" t="s">
        <v>1</v>
      </c>
      <c r="CUI14" s="108"/>
      <c r="CUJ14" s="108"/>
      <c r="CUK14" s="109"/>
      <c r="CUL14" s="107" t="s">
        <v>1</v>
      </c>
      <c r="CUM14" s="108"/>
      <c r="CUN14" s="108"/>
      <c r="CUO14" s="109"/>
      <c r="CUP14" s="107" t="s">
        <v>1</v>
      </c>
      <c r="CUQ14" s="108"/>
      <c r="CUR14" s="108"/>
      <c r="CUS14" s="109"/>
      <c r="CUT14" s="107" t="s">
        <v>1</v>
      </c>
      <c r="CUU14" s="108"/>
      <c r="CUV14" s="108"/>
      <c r="CUW14" s="109"/>
      <c r="CUX14" s="107" t="s">
        <v>1</v>
      </c>
      <c r="CUY14" s="108"/>
      <c r="CUZ14" s="108"/>
      <c r="CVA14" s="109"/>
      <c r="CVB14" s="107" t="s">
        <v>1</v>
      </c>
      <c r="CVC14" s="108"/>
      <c r="CVD14" s="108"/>
      <c r="CVE14" s="109"/>
      <c r="CVF14" s="107" t="s">
        <v>1</v>
      </c>
      <c r="CVG14" s="108"/>
      <c r="CVH14" s="108"/>
      <c r="CVI14" s="109"/>
      <c r="CVJ14" s="107" t="s">
        <v>1</v>
      </c>
      <c r="CVK14" s="108"/>
      <c r="CVL14" s="108"/>
      <c r="CVM14" s="109"/>
      <c r="CVN14" s="107" t="s">
        <v>1</v>
      </c>
      <c r="CVO14" s="108"/>
      <c r="CVP14" s="108"/>
      <c r="CVQ14" s="109"/>
      <c r="CVR14" s="107" t="s">
        <v>1</v>
      </c>
      <c r="CVS14" s="108"/>
      <c r="CVT14" s="108"/>
      <c r="CVU14" s="109"/>
      <c r="CVV14" s="107" t="s">
        <v>1</v>
      </c>
      <c r="CVW14" s="108"/>
      <c r="CVX14" s="108"/>
      <c r="CVY14" s="109"/>
      <c r="CVZ14" s="107" t="s">
        <v>1</v>
      </c>
      <c r="CWA14" s="108"/>
      <c r="CWB14" s="108"/>
      <c r="CWC14" s="109"/>
      <c r="CWD14" s="107" t="s">
        <v>1</v>
      </c>
      <c r="CWE14" s="108"/>
      <c r="CWF14" s="108"/>
      <c r="CWG14" s="109"/>
      <c r="CWH14" s="107" t="s">
        <v>1</v>
      </c>
      <c r="CWI14" s="108"/>
      <c r="CWJ14" s="108"/>
      <c r="CWK14" s="109"/>
      <c r="CWL14" s="107" t="s">
        <v>1</v>
      </c>
      <c r="CWM14" s="108"/>
      <c r="CWN14" s="108"/>
      <c r="CWO14" s="109"/>
      <c r="CWP14" s="107" t="s">
        <v>1</v>
      </c>
      <c r="CWQ14" s="108"/>
      <c r="CWR14" s="108"/>
      <c r="CWS14" s="109"/>
      <c r="CWT14" s="107" t="s">
        <v>1</v>
      </c>
      <c r="CWU14" s="108"/>
      <c r="CWV14" s="108"/>
      <c r="CWW14" s="109"/>
      <c r="CWX14" s="107" t="s">
        <v>1</v>
      </c>
      <c r="CWY14" s="108"/>
      <c r="CWZ14" s="108"/>
      <c r="CXA14" s="109"/>
      <c r="CXB14" s="107" t="s">
        <v>1</v>
      </c>
      <c r="CXC14" s="108"/>
      <c r="CXD14" s="108"/>
      <c r="CXE14" s="109"/>
      <c r="CXF14" s="107" t="s">
        <v>1</v>
      </c>
      <c r="CXG14" s="108"/>
      <c r="CXH14" s="108"/>
      <c r="CXI14" s="109"/>
      <c r="CXJ14" s="107" t="s">
        <v>1</v>
      </c>
      <c r="CXK14" s="108"/>
      <c r="CXL14" s="108"/>
      <c r="CXM14" s="109"/>
      <c r="CXN14" s="107" t="s">
        <v>1</v>
      </c>
      <c r="CXO14" s="108"/>
      <c r="CXP14" s="108"/>
      <c r="CXQ14" s="109"/>
      <c r="CXR14" s="107" t="s">
        <v>1</v>
      </c>
      <c r="CXS14" s="108"/>
      <c r="CXT14" s="108"/>
      <c r="CXU14" s="109"/>
      <c r="CXV14" s="107" t="s">
        <v>1</v>
      </c>
      <c r="CXW14" s="108"/>
      <c r="CXX14" s="108"/>
      <c r="CXY14" s="109"/>
      <c r="CXZ14" s="107" t="s">
        <v>1</v>
      </c>
      <c r="CYA14" s="108"/>
      <c r="CYB14" s="108"/>
      <c r="CYC14" s="109"/>
      <c r="CYD14" s="107" t="s">
        <v>1</v>
      </c>
      <c r="CYE14" s="108"/>
      <c r="CYF14" s="108"/>
      <c r="CYG14" s="109"/>
      <c r="CYH14" s="107" t="s">
        <v>1</v>
      </c>
      <c r="CYI14" s="108"/>
      <c r="CYJ14" s="108"/>
      <c r="CYK14" s="109"/>
      <c r="CYL14" s="107" t="s">
        <v>1</v>
      </c>
      <c r="CYM14" s="108"/>
      <c r="CYN14" s="108"/>
      <c r="CYO14" s="109"/>
      <c r="CYP14" s="107" t="s">
        <v>1</v>
      </c>
      <c r="CYQ14" s="108"/>
      <c r="CYR14" s="108"/>
      <c r="CYS14" s="109"/>
      <c r="CYT14" s="107" t="s">
        <v>1</v>
      </c>
      <c r="CYU14" s="108"/>
      <c r="CYV14" s="108"/>
      <c r="CYW14" s="109"/>
      <c r="CYX14" s="107" t="s">
        <v>1</v>
      </c>
      <c r="CYY14" s="108"/>
      <c r="CYZ14" s="108"/>
      <c r="CZA14" s="109"/>
      <c r="CZB14" s="107" t="s">
        <v>1</v>
      </c>
      <c r="CZC14" s="108"/>
      <c r="CZD14" s="108"/>
      <c r="CZE14" s="109"/>
      <c r="CZF14" s="107" t="s">
        <v>1</v>
      </c>
      <c r="CZG14" s="108"/>
      <c r="CZH14" s="108"/>
      <c r="CZI14" s="109"/>
      <c r="CZJ14" s="107" t="s">
        <v>1</v>
      </c>
      <c r="CZK14" s="108"/>
      <c r="CZL14" s="108"/>
      <c r="CZM14" s="109"/>
      <c r="CZN14" s="107" t="s">
        <v>1</v>
      </c>
      <c r="CZO14" s="108"/>
      <c r="CZP14" s="108"/>
      <c r="CZQ14" s="109"/>
      <c r="CZR14" s="107" t="s">
        <v>1</v>
      </c>
      <c r="CZS14" s="108"/>
      <c r="CZT14" s="108"/>
      <c r="CZU14" s="109"/>
      <c r="CZV14" s="107" t="s">
        <v>1</v>
      </c>
      <c r="CZW14" s="108"/>
      <c r="CZX14" s="108"/>
      <c r="CZY14" s="109"/>
      <c r="CZZ14" s="107" t="s">
        <v>1</v>
      </c>
      <c r="DAA14" s="108"/>
      <c r="DAB14" s="108"/>
      <c r="DAC14" s="109"/>
      <c r="DAD14" s="107" t="s">
        <v>1</v>
      </c>
      <c r="DAE14" s="108"/>
      <c r="DAF14" s="108"/>
      <c r="DAG14" s="109"/>
      <c r="DAH14" s="107" t="s">
        <v>1</v>
      </c>
      <c r="DAI14" s="108"/>
      <c r="DAJ14" s="108"/>
      <c r="DAK14" s="109"/>
      <c r="DAL14" s="107" t="s">
        <v>1</v>
      </c>
      <c r="DAM14" s="108"/>
      <c r="DAN14" s="108"/>
      <c r="DAO14" s="109"/>
      <c r="DAP14" s="107" t="s">
        <v>1</v>
      </c>
      <c r="DAQ14" s="108"/>
      <c r="DAR14" s="108"/>
      <c r="DAS14" s="109"/>
      <c r="DAT14" s="107" t="s">
        <v>1</v>
      </c>
      <c r="DAU14" s="108"/>
      <c r="DAV14" s="108"/>
      <c r="DAW14" s="109"/>
      <c r="DAX14" s="107" t="s">
        <v>1</v>
      </c>
      <c r="DAY14" s="108"/>
      <c r="DAZ14" s="108"/>
      <c r="DBA14" s="109"/>
      <c r="DBB14" s="107" t="s">
        <v>1</v>
      </c>
      <c r="DBC14" s="108"/>
      <c r="DBD14" s="108"/>
      <c r="DBE14" s="109"/>
      <c r="DBF14" s="107" t="s">
        <v>1</v>
      </c>
      <c r="DBG14" s="108"/>
      <c r="DBH14" s="108"/>
      <c r="DBI14" s="109"/>
      <c r="DBJ14" s="107" t="s">
        <v>1</v>
      </c>
      <c r="DBK14" s="108"/>
      <c r="DBL14" s="108"/>
      <c r="DBM14" s="109"/>
      <c r="DBN14" s="107" t="s">
        <v>1</v>
      </c>
      <c r="DBO14" s="108"/>
      <c r="DBP14" s="108"/>
      <c r="DBQ14" s="109"/>
      <c r="DBR14" s="107" t="s">
        <v>1</v>
      </c>
      <c r="DBS14" s="108"/>
      <c r="DBT14" s="108"/>
      <c r="DBU14" s="109"/>
      <c r="DBV14" s="107" t="s">
        <v>1</v>
      </c>
      <c r="DBW14" s="108"/>
      <c r="DBX14" s="108"/>
      <c r="DBY14" s="109"/>
      <c r="DBZ14" s="107" t="s">
        <v>1</v>
      </c>
      <c r="DCA14" s="108"/>
      <c r="DCB14" s="108"/>
      <c r="DCC14" s="109"/>
      <c r="DCD14" s="107" t="s">
        <v>1</v>
      </c>
      <c r="DCE14" s="108"/>
      <c r="DCF14" s="108"/>
      <c r="DCG14" s="109"/>
      <c r="DCH14" s="107" t="s">
        <v>1</v>
      </c>
      <c r="DCI14" s="108"/>
      <c r="DCJ14" s="108"/>
      <c r="DCK14" s="109"/>
      <c r="DCL14" s="107" t="s">
        <v>1</v>
      </c>
      <c r="DCM14" s="108"/>
      <c r="DCN14" s="108"/>
      <c r="DCO14" s="109"/>
      <c r="DCP14" s="107" t="s">
        <v>1</v>
      </c>
      <c r="DCQ14" s="108"/>
      <c r="DCR14" s="108"/>
      <c r="DCS14" s="109"/>
      <c r="DCT14" s="107" t="s">
        <v>1</v>
      </c>
      <c r="DCU14" s="108"/>
      <c r="DCV14" s="108"/>
      <c r="DCW14" s="109"/>
      <c r="DCX14" s="107" t="s">
        <v>1</v>
      </c>
      <c r="DCY14" s="108"/>
      <c r="DCZ14" s="108"/>
      <c r="DDA14" s="109"/>
      <c r="DDB14" s="107" t="s">
        <v>1</v>
      </c>
      <c r="DDC14" s="108"/>
      <c r="DDD14" s="108"/>
      <c r="DDE14" s="109"/>
      <c r="DDF14" s="107" t="s">
        <v>1</v>
      </c>
      <c r="DDG14" s="108"/>
      <c r="DDH14" s="108"/>
      <c r="DDI14" s="109"/>
      <c r="DDJ14" s="107" t="s">
        <v>1</v>
      </c>
      <c r="DDK14" s="108"/>
      <c r="DDL14" s="108"/>
      <c r="DDM14" s="109"/>
      <c r="DDN14" s="107" t="s">
        <v>1</v>
      </c>
      <c r="DDO14" s="108"/>
      <c r="DDP14" s="108"/>
      <c r="DDQ14" s="109"/>
      <c r="DDR14" s="107" t="s">
        <v>1</v>
      </c>
      <c r="DDS14" s="108"/>
      <c r="DDT14" s="108"/>
      <c r="DDU14" s="109"/>
      <c r="DDV14" s="107" t="s">
        <v>1</v>
      </c>
      <c r="DDW14" s="108"/>
      <c r="DDX14" s="108"/>
      <c r="DDY14" s="109"/>
      <c r="DDZ14" s="107" t="s">
        <v>1</v>
      </c>
      <c r="DEA14" s="108"/>
      <c r="DEB14" s="108"/>
      <c r="DEC14" s="109"/>
      <c r="DED14" s="107" t="s">
        <v>1</v>
      </c>
      <c r="DEE14" s="108"/>
      <c r="DEF14" s="108"/>
      <c r="DEG14" s="109"/>
      <c r="DEH14" s="107" t="s">
        <v>1</v>
      </c>
      <c r="DEI14" s="108"/>
      <c r="DEJ14" s="108"/>
      <c r="DEK14" s="109"/>
      <c r="DEL14" s="107" t="s">
        <v>1</v>
      </c>
      <c r="DEM14" s="108"/>
      <c r="DEN14" s="108"/>
      <c r="DEO14" s="109"/>
      <c r="DEP14" s="107" t="s">
        <v>1</v>
      </c>
      <c r="DEQ14" s="108"/>
      <c r="DER14" s="108"/>
      <c r="DES14" s="109"/>
      <c r="DET14" s="107" t="s">
        <v>1</v>
      </c>
      <c r="DEU14" s="108"/>
      <c r="DEV14" s="108"/>
      <c r="DEW14" s="109"/>
      <c r="DEX14" s="107" t="s">
        <v>1</v>
      </c>
      <c r="DEY14" s="108"/>
      <c r="DEZ14" s="108"/>
      <c r="DFA14" s="109"/>
      <c r="DFB14" s="107" t="s">
        <v>1</v>
      </c>
      <c r="DFC14" s="108"/>
      <c r="DFD14" s="108"/>
      <c r="DFE14" s="109"/>
      <c r="DFF14" s="107" t="s">
        <v>1</v>
      </c>
      <c r="DFG14" s="108"/>
      <c r="DFH14" s="108"/>
      <c r="DFI14" s="109"/>
      <c r="DFJ14" s="107" t="s">
        <v>1</v>
      </c>
      <c r="DFK14" s="108"/>
      <c r="DFL14" s="108"/>
      <c r="DFM14" s="109"/>
      <c r="DFN14" s="107" t="s">
        <v>1</v>
      </c>
      <c r="DFO14" s="108"/>
      <c r="DFP14" s="108"/>
      <c r="DFQ14" s="109"/>
      <c r="DFR14" s="107" t="s">
        <v>1</v>
      </c>
      <c r="DFS14" s="108"/>
      <c r="DFT14" s="108"/>
      <c r="DFU14" s="109"/>
      <c r="DFV14" s="107" t="s">
        <v>1</v>
      </c>
      <c r="DFW14" s="108"/>
      <c r="DFX14" s="108"/>
      <c r="DFY14" s="109"/>
      <c r="DFZ14" s="107" t="s">
        <v>1</v>
      </c>
      <c r="DGA14" s="108"/>
      <c r="DGB14" s="108"/>
      <c r="DGC14" s="109"/>
      <c r="DGD14" s="107" t="s">
        <v>1</v>
      </c>
      <c r="DGE14" s="108"/>
      <c r="DGF14" s="108"/>
      <c r="DGG14" s="109"/>
      <c r="DGH14" s="107" t="s">
        <v>1</v>
      </c>
      <c r="DGI14" s="108"/>
      <c r="DGJ14" s="108"/>
      <c r="DGK14" s="109"/>
      <c r="DGL14" s="107" t="s">
        <v>1</v>
      </c>
      <c r="DGM14" s="108"/>
      <c r="DGN14" s="108"/>
      <c r="DGO14" s="109"/>
      <c r="DGP14" s="107" t="s">
        <v>1</v>
      </c>
      <c r="DGQ14" s="108"/>
      <c r="DGR14" s="108"/>
      <c r="DGS14" s="109"/>
      <c r="DGT14" s="107" t="s">
        <v>1</v>
      </c>
      <c r="DGU14" s="108"/>
      <c r="DGV14" s="108"/>
      <c r="DGW14" s="109"/>
      <c r="DGX14" s="107" t="s">
        <v>1</v>
      </c>
      <c r="DGY14" s="108"/>
      <c r="DGZ14" s="108"/>
      <c r="DHA14" s="109"/>
      <c r="DHB14" s="107" t="s">
        <v>1</v>
      </c>
      <c r="DHC14" s="108"/>
      <c r="DHD14" s="108"/>
      <c r="DHE14" s="109"/>
      <c r="DHF14" s="107" t="s">
        <v>1</v>
      </c>
      <c r="DHG14" s="108"/>
      <c r="DHH14" s="108"/>
      <c r="DHI14" s="109"/>
      <c r="DHJ14" s="107" t="s">
        <v>1</v>
      </c>
      <c r="DHK14" s="108"/>
      <c r="DHL14" s="108"/>
      <c r="DHM14" s="109"/>
      <c r="DHN14" s="107" t="s">
        <v>1</v>
      </c>
      <c r="DHO14" s="108"/>
      <c r="DHP14" s="108"/>
      <c r="DHQ14" s="109"/>
      <c r="DHR14" s="107" t="s">
        <v>1</v>
      </c>
      <c r="DHS14" s="108"/>
      <c r="DHT14" s="108"/>
      <c r="DHU14" s="109"/>
      <c r="DHV14" s="107" t="s">
        <v>1</v>
      </c>
      <c r="DHW14" s="108"/>
      <c r="DHX14" s="108"/>
      <c r="DHY14" s="109"/>
      <c r="DHZ14" s="107" t="s">
        <v>1</v>
      </c>
      <c r="DIA14" s="108"/>
      <c r="DIB14" s="108"/>
      <c r="DIC14" s="109"/>
      <c r="DID14" s="107" t="s">
        <v>1</v>
      </c>
      <c r="DIE14" s="108"/>
      <c r="DIF14" s="108"/>
      <c r="DIG14" s="109"/>
      <c r="DIH14" s="107" t="s">
        <v>1</v>
      </c>
      <c r="DII14" s="108"/>
      <c r="DIJ14" s="108"/>
      <c r="DIK14" s="109"/>
      <c r="DIL14" s="107" t="s">
        <v>1</v>
      </c>
      <c r="DIM14" s="108"/>
      <c r="DIN14" s="108"/>
      <c r="DIO14" s="109"/>
      <c r="DIP14" s="107" t="s">
        <v>1</v>
      </c>
      <c r="DIQ14" s="108"/>
      <c r="DIR14" s="108"/>
      <c r="DIS14" s="109"/>
      <c r="DIT14" s="107" t="s">
        <v>1</v>
      </c>
      <c r="DIU14" s="108"/>
      <c r="DIV14" s="108"/>
      <c r="DIW14" s="109"/>
      <c r="DIX14" s="107" t="s">
        <v>1</v>
      </c>
      <c r="DIY14" s="108"/>
      <c r="DIZ14" s="108"/>
      <c r="DJA14" s="109"/>
      <c r="DJB14" s="107" t="s">
        <v>1</v>
      </c>
      <c r="DJC14" s="108"/>
      <c r="DJD14" s="108"/>
      <c r="DJE14" s="109"/>
      <c r="DJF14" s="107" t="s">
        <v>1</v>
      </c>
      <c r="DJG14" s="108"/>
      <c r="DJH14" s="108"/>
      <c r="DJI14" s="109"/>
      <c r="DJJ14" s="107" t="s">
        <v>1</v>
      </c>
      <c r="DJK14" s="108"/>
      <c r="DJL14" s="108"/>
      <c r="DJM14" s="109"/>
      <c r="DJN14" s="107" t="s">
        <v>1</v>
      </c>
      <c r="DJO14" s="108"/>
      <c r="DJP14" s="108"/>
      <c r="DJQ14" s="109"/>
      <c r="DJR14" s="107" t="s">
        <v>1</v>
      </c>
      <c r="DJS14" s="108"/>
      <c r="DJT14" s="108"/>
      <c r="DJU14" s="109"/>
      <c r="DJV14" s="107" t="s">
        <v>1</v>
      </c>
      <c r="DJW14" s="108"/>
      <c r="DJX14" s="108"/>
      <c r="DJY14" s="109"/>
      <c r="DJZ14" s="107" t="s">
        <v>1</v>
      </c>
      <c r="DKA14" s="108"/>
      <c r="DKB14" s="108"/>
      <c r="DKC14" s="109"/>
      <c r="DKD14" s="107" t="s">
        <v>1</v>
      </c>
      <c r="DKE14" s="108"/>
      <c r="DKF14" s="108"/>
      <c r="DKG14" s="109"/>
      <c r="DKH14" s="107" t="s">
        <v>1</v>
      </c>
      <c r="DKI14" s="108"/>
      <c r="DKJ14" s="108"/>
      <c r="DKK14" s="109"/>
      <c r="DKL14" s="107" t="s">
        <v>1</v>
      </c>
      <c r="DKM14" s="108"/>
      <c r="DKN14" s="108"/>
      <c r="DKO14" s="109"/>
      <c r="DKP14" s="107" t="s">
        <v>1</v>
      </c>
      <c r="DKQ14" s="108"/>
      <c r="DKR14" s="108"/>
      <c r="DKS14" s="109"/>
      <c r="DKT14" s="107" t="s">
        <v>1</v>
      </c>
      <c r="DKU14" s="108"/>
      <c r="DKV14" s="108"/>
      <c r="DKW14" s="109"/>
      <c r="DKX14" s="107" t="s">
        <v>1</v>
      </c>
      <c r="DKY14" s="108"/>
      <c r="DKZ14" s="108"/>
      <c r="DLA14" s="109"/>
      <c r="DLB14" s="107" t="s">
        <v>1</v>
      </c>
      <c r="DLC14" s="108"/>
      <c r="DLD14" s="108"/>
      <c r="DLE14" s="109"/>
      <c r="DLF14" s="107" t="s">
        <v>1</v>
      </c>
      <c r="DLG14" s="108"/>
      <c r="DLH14" s="108"/>
      <c r="DLI14" s="109"/>
      <c r="DLJ14" s="107" t="s">
        <v>1</v>
      </c>
      <c r="DLK14" s="108"/>
      <c r="DLL14" s="108"/>
      <c r="DLM14" s="109"/>
      <c r="DLN14" s="107" t="s">
        <v>1</v>
      </c>
      <c r="DLO14" s="108"/>
      <c r="DLP14" s="108"/>
      <c r="DLQ14" s="109"/>
      <c r="DLR14" s="107" t="s">
        <v>1</v>
      </c>
      <c r="DLS14" s="108"/>
      <c r="DLT14" s="108"/>
      <c r="DLU14" s="109"/>
      <c r="DLV14" s="107" t="s">
        <v>1</v>
      </c>
      <c r="DLW14" s="108"/>
      <c r="DLX14" s="108"/>
      <c r="DLY14" s="109"/>
      <c r="DLZ14" s="107" t="s">
        <v>1</v>
      </c>
      <c r="DMA14" s="108"/>
      <c r="DMB14" s="108"/>
      <c r="DMC14" s="109"/>
      <c r="DMD14" s="107" t="s">
        <v>1</v>
      </c>
      <c r="DME14" s="108"/>
      <c r="DMF14" s="108"/>
      <c r="DMG14" s="109"/>
      <c r="DMH14" s="107" t="s">
        <v>1</v>
      </c>
      <c r="DMI14" s="108"/>
      <c r="DMJ14" s="108"/>
      <c r="DMK14" s="109"/>
      <c r="DML14" s="107" t="s">
        <v>1</v>
      </c>
      <c r="DMM14" s="108"/>
      <c r="DMN14" s="108"/>
      <c r="DMO14" s="109"/>
      <c r="DMP14" s="107" t="s">
        <v>1</v>
      </c>
      <c r="DMQ14" s="108"/>
      <c r="DMR14" s="108"/>
      <c r="DMS14" s="109"/>
      <c r="DMT14" s="107" t="s">
        <v>1</v>
      </c>
      <c r="DMU14" s="108"/>
      <c r="DMV14" s="108"/>
      <c r="DMW14" s="109"/>
      <c r="DMX14" s="107" t="s">
        <v>1</v>
      </c>
      <c r="DMY14" s="108"/>
      <c r="DMZ14" s="108"/>
      <c r="DNA14" s="109"/>
      <c r="DNB14" s="107" t="s">
        <v>1</v>
      </c>
      <c r="DNC14" s="108"/>
      <c r="DND14" s="108"/>
      <c r="DNE14" s="109"/>
      <c r="DNF14" s="107" t="s">
        <v>1</v>
      </c>
      <c r="DNG14" s="108"/>
      <c r="DNH14" s="108"/>
      <c r="DNI14" s="109"/>
      <c r="DNJ14" s="107" t="s">
        <v>1</v>
      </c>
      <c r="DNK14" s="108"/>
      <c r="DNL14" s="108"/>
      <c r="DNM14" s="109"/>
      <c r="DNN14" s="107" t="s">
        <v>1</v>
      </c>
      <c r="DNO14" s="108"/>
      <c r="DNP14" s="108"/>
      <c r="DNQ14" s="109"/>
      <c r="DNR14" s="107" t="s">
        <v>1</v>
      </c>
      <c r="DNS14" s="108"/>
      <c r="DNT14" s="108"/>
      <c r="DNU14" s="109"/>
      <c r="DNV14" s="107" t="s">
        <v>1</v>
      </c>
      <c r="DNW14" s="108"/>
      <c r="DNX14" s="108"/>
      <c r="DNY14" s="109"/>
      <c r="DNZ14" s="107" t="s">
        <v>1</v>
      </c>
      <c r="DOA14" s="108"/>
      <c r="DOB14" s="108"/>
      <c r="DOC14" s="109"/>
      <c r="DOD14" s="107" t="s">
        <v>1</v>
      </c>
      <c r="DOE14" s="108"/>
      <c r="DOF14" s="108"/>
      <c r="DOG14" s="109"/>
      <c r="DOH14" s="107" t="s">
        <v>1</v>
      </c>
      <c r="DOI14" s="108"/>
      <c r="DOJ14" s="108"/>
      <c r="DOK14" s="109"/>
      <c r="DOL14" s="107" t="s">
        <v>1</v>
      </c>
      <c r="DOM14" s="108"/>
      <c r="DON14" s="108"/>
      <c r="DOO14" s="109"/>
      <c r="DOP14" s="107" t="s">
        <v>1</v>
      </c>
      <c r="DOQ14" s="108"/>
      <c r="DOR14" s="108"/>
      <c r="DOS14" s="109"/>
      <c r="DOT14" s="107" t="s">
        <v>1</v>
      </c>
      <c r="DOU14" s="108"/>
      <c r="DOV14" s="108"/>
      <c r="DOW14" s="109"/>
      <c r="DOX14" s="107" t="s">
        <v>1</v>
      </c>
      <c r="DOY14" s="108"/>
      <c r="DOZ14" s="108"/>
      <c r="DPA14" s="109"/>
      <c r="DPB14" s="107" t="s">
        <v>1</v>
      </c>
      <c r="DPC14" s="108"/>
      <c r="DPD14" s="108"/>
      <c r="DPE14" s="109"/>
      <c r="DPF14" s="107" t="s">
        <v>1</v>
      </c>
      <c r="DPG14" s="108"/>
      <c r="DPH14" s="108"/>
      <c r="DPI14" s="109"/>
      <c r="DPJ14" s="107" t="s">
        <v>1</v>
      </c>
      <c r="DPK14" s="108"/>
      <c r="DPL14" s="108"/>
      <c r="DPM14" s="109"/>
      <c r="DPN14" s="107" t="s">
        <v>1</v>
      </c>
      <c r="DPO14" s="108"/>
      <c r="DPP14" s="108"/>
      <c r="DPQ14" s="109"/>
      <c r="DPR14" s="107" t="s">
        <v>1</v>
      </c>
      <c r="DPS14" s="108"/>
      <c r="DPT14" s="108"/>
      <c r="DPU14" s="109"/>
      <c r="DPV14" s="107" t="s">
        <v>1</v>
      </c>
      <c r="DPW14" s="108"/>
      <c r="DPX14" s="108"/>
      <c r="DPY14" s="109"/>
      <c r="DPZ14" s="107" t="s">
        <v>1</v>
      </c>
      <c r="DQA14" s="108"/>
      <c r="DQB14" s="108"/>
      <c r="DQC14" s="109"/>
      <c r="DQD14" s="107" t="s">
        <v>1</v>
      </c>
      <c r="DQE14" s="108"/>
      <c r="DQF14" s="108"/>
      <c r="DQG14" s="109"/>
      <c r="DQH14" s="107" t="s">
        <v>1</v>
      </c>
      <c r="DQI14" s="108"/>
      <c r="DQJ14" s="108"/>
      <c r="DQK14" s="109"/>
      <c r="DQL14" s="107" t="s">
        <v>1</v>
      </c>
      <c r="DQM14" s="108"/>
      <c r="DQN14" s="108"/>
      <c r="DQO14" s="109"/>
      <c r="DQP14" s="107" t="s">
        <v>1</v>
      </c>
      <c r="DQQ14" s="108"/>
      <c r="DQR14" s="108"/>
      <c r="DQS14" s="109"/>
      <c r="DQT14" s="107" t="s">
        <v>1</v>
      </c>
      <c r="DQU14" s="108"/>
      <c r="DQV14" s="108"/>
      <c r="DQW14" s="109"/>
      <c r="DQX14" s="107" t="s">
        <v>1</v>
      </c>
      <c r="DQY14" s="108"/>
      <c r="DQZ14" s="108"/>
      <c r="DRA14" s="109"/>
      <c r="DRB14" s="107" t="s">
        <v>1</v>
      </c>
      <c r="DRC14" s="108"/>
      <c r="DRD14" s="108"/>
      <c r="DRE14" s="109"/>
      <c r="DRF14" s="107" t="s">
        <v>1</v>
      </c>
      <c r="DRG14" s="108"/>
      <c r="DRH14" s="108"/>
      <c r="DRI14" s="109"/>
      <c r="DRJ14" s="107" t="s">
        <v>1</v>
      </c>
      <c r="DRK14" s="108"/>
      <c r="DRL14" s="108"/>
      <c r="DRM14" s="109"/>
      <c r="DRN14" s="107" t="s">
        <v>1</v>
      </c>
      <c r="DRO14" s="108"/>
      <c r="DRP14" s="108"/>
      <c r="DRQ14" s="109"/>
      <c r="DRR14" s="107" t="s">
        <v>1</v>
      </c>
      <c r="DRS14" s="108"/>
      <c r="DRT14" s="108"/>
      <c r="DRU14" s="109"/>
      <c r="DRV14" s="107" t="s">
        <v>1</v>
      </c>
      <c r="DRW14" s="108"/>
      <c r="DRX14" s="108"/>
      <c r="DRY14" s="109"/>
      <c r="DRZ14" s="107" t="s">
        <v>1</v>
      </c>
      <c r="DSA14" s="108"/>
      <c r="DSB14" s="108"/>
      <c r="DSC14" s="109"/>
      <c r="DSD14" s="107" t="s">
        <v>1</v>
      </c>
      <c r="DSE14" s="108"/>
      <c r="DSF14" s="108"/>
      <c r="DSG14" s="109"/>
      <c r="DSH14" s="107" t="s">
        <v>1</v>
      </c>
      <c r="DSI14" s="108"/>
      <c r="DSJ14" s="108"/>
      <c r="DSK14" s="109"/>
      <c r="DSL14" s="107" t="s">
        <v>1</v>
      </c>
      <c r="DSM14" s="108"/>
      <c r="DSN14" s="108"/>
      <c r="DSO14" s="109"/>
      <c r="DSP14" s="107" t="s">
        <v>1</v>
      </c>
      <c r="DSQ14" s="108"/>
      <c r="DSR14" s="108"/>
      <c r="DSS14" s="109"/>
      <c r="DST14" s="107" t="s">
        <v>1</v>
      </c>
      <c r="DSU14" s="108"/>
      <c r="DSV14" s="108"/>
      <c r="DSW14" s="109"/>
      <c r="DSX14" s="107" t="s">
        <v>1</v>
      </c>
      <c r="DSY14" s="108"/>
      <c r="DSZ14" s="108"/>
      <c r="DTA14" s="109"/>
      <c r="DTB14" s="107" t="s">
        <v>1</v>
      </c>
      <c r="DTC14" s="108"/>
      <c r="DTD14" s="108"/>
      <c r="DTE14" s="109"/>
      <c r="DTF14" s="107" t="s">
        <v>1</v>
      </c>
      <c r="DTG14" s="108"/>
      <c r="DTH14" s="108"/>
      <c r="DTI14" s="109"/>
      <c r="DTJ14" s="107" t="s">
        <v>1</v>
      </c>
      <c r="DTK14" s="108"/>
      <c r="DTL14" s="108"/>
      <c r="DTM14" s="109"/>
      <c r="DTN14" s="107" t="s">
        <v>1</v>
      </c>
      <c r="DTO14" s="108"/>
      <c r="DTP14" s="108"/>
      <c r="DTQ14" s="109"/>
      <c r="DTR14" s="107" t="s">
        <v>1</v>
      </c>
      <c r="DTS14" s="108"/>
      <c r="DTT14" s="108"/>
      <c r="DTU14" s="109"/>
      <c r="DTV14" s="107" t="s">
        <v>1</v>
      </c>
      <c r="DTW14" s="108"/>
      <c r="DTX14" s="108"/>
      <c r="DTY14" s="109"/>
      <c r="DTZ14" s="107" t="s">
        <v>1</v>
      </c>
      <c r="DUA14" s="108"/>
      <c r="DUB14" s="108"/>
      <c r="DUC14" s="109"/>
      <c r="DUD14" s="107" t="s">
        <v>1</v>
      </c>
      <c r="DUE14" s="108"/>
      <c r="DUF14" s="108"/>
      <c r="DUG14" s="109"/>
      <c r="DUH14" s="107" t="s">
        <v>1</v>
      </c>
      <c r="DUI14" s="108"/>
      <c r="DUJ14" s="108"/>
      <c r="DUK14" s="109"/>
      <c r="DUL14" s="107" t="s">
        <v>1</v>
      </c>
      <c r="DUM14" s="108"/>
      <c r="DUN14" s="108"/>
      <c r="DUO14" s="109"/>
      <c r="DUP14" s="107" t="s">
        <v>1</v>
      </c>
      <c r="DUQ14" s="108"/>
      <c r="DUR14" s="108"/>
      <c r="DUS14" s="109"/>
      <c r="DUT14" s="107" t="s">
        <v>1</v>
      </c>
      <c r="DUU14" s="108"/>
      <c r="DUV14" s="108"/>
      <c r="DUW14" s="109"/>
      <c r="DUX14" s="107" t="s">
        <v>1</v>
      </c>
      <c r="DUY14" s="108"/>
      <c r="DUZ14" s="108"/>
      <c r="DVA14" s="109"/>
      <c r="DVB14" s="107" t="s">
        <v>1</v>
      </c>
      <c r="DVC14" s="108"/>
      <c r="DVD14" s="108"/>
      <c r="DVE14" s="109"/>
      <c r="DVF14" s="107" t="s">
        <v>1</v>
      </c>
      <c r="DVG14" s="108"/>
      <c r="DVH14" s="108"/>
      <c r="DVI14" s="109"/>
      <c r="DVJ14" s="107" t="s">
        <v>1</v>
      </c>
      <c r="DVK14" s="108"/>
      <c r="DVL14" s="108"/>
      <c r="DVM14" s="109"/>
      <c r="DVN14" s="107" t="s">
        <v>1</v>
      </c>
      <c r="DVO14" s="108"/>
      <c r="DVP14" s="108"/>
      <c r="DVQ14" s="109"/>
      <c r="DVR14" s="107" t="s">
        <v>1</v>
      </c>
      <c r="DVS14" s="108"/>
      <c r="DVT14" s="108"/>
      <c r="DVU14" s="109"/>
      <c r="DVV14" s="107" t="s">
        <v>1</v>
      </c>
      <c r="DVW14" s="108"/>
      <c r="DVX14" s="108"/>
      <c r="DVY14" s="109"/>
      <c r="DVZ14" s="107" t="s">
        <v>1</v>
      </c>
      <c r="DWA14" s="108"/>
      <c r="DWB14" s="108"/>
      <c r="DWC14" s="109"/>
      <c r="DWD14" s="107" t="s">
        <v>1</v>
      </c>
      <c r="DWE14" s="108"/>
      <c r="DWF14" s="108"/>
      <c r="DWG14" s="109"/>
      <c r="DWH14" s="107" t="s">
        <v>1</v>
      </c>
      <c r="DWI14" s="108"/>
      <c r="DWJ14" s="108"/>
      <c r="DWK14" s="109"/>
      <c r="DWL14" s="107" t="s">
        <v>1</v>
      </c>
      <c r="DWM14" s="108"/>
      <c r="DWN14" s="108"/>
      <c r="DWO14" s="109"/>
      <c r="DWP14" s="107" t="s">
        <v>1</v>
      </c>
      <c r="DWQ14" s="108"/>
      <c r="DWR14" s="108"/>
      <c r="DWS14" s="109"/>
      <c r="DWT14" s="107" t="s">
        <v>1</v>
      </c>
      <c r="DWU14" s="108"/>
      <c r="DWV14" s="108"/>
      <c r="DWW14" s="109"/>
      <c r="DWX14" s="107" t="s">
        <v>1</v>
      </c>
      <c r="DWY14" s="108"/>
      <c r="DWZ14" s="108"/>
      <c r="DXA14" s="109"/>
      <c r="DXB14" s="107" t="s">
        <v>1</v>
      </c>
      <c r="DXC14" s="108"/>
      <c r="DXD14" s="108"/>
      <c r="DXE14" s="109"/>
      <c r="DXF14" s="107" t="s">
        <v>1</v>
      </c>
      <c r="DXG14" s="108"/>
      <c r="DXH14" s="108"/>
      <c r="DXI14" s="109"/>
      <c r="DXJ14" s="107" t="s">
        <v>1</v>
      </c>
      <c r="DXK14" s="108"/>
      <c r="DXL14" s="108"/>
      <c r="DXM14" s="109"/>
      <c r="DXN14" s="107" t="s">
        <v>1</v>
      </c>
      <c r="DXO14" s="108"/>
      <c r="DXP14" s="108"/>
      <c r="DXQ14" s="109"/>
      <c r="DXR14" s="107" t="s">
        <v>1</v>
      </c>
      <c r="DXS14" s="108"/>
      <c r="DXT14" s="108"/>
      <c r="DXU14" s="109"/>
      <c r="DXV14" s="107" t="s">
        <v>1</v>
      </c>
      <c r="DXW14" s="108"/>
      <c r="DXX14" s="108"/>
      <c r="DXY14" s="109"/>
      <c r="DXZ14" s="107" t="s">
        <v>1</v>
      </c>
      <c r="DYA14" s="108"/>
      <c r="DYB14" s="108"/>
      <c r="DYC14" s="109"/>
      <c r="DYD14" s="107" t="s">
        <v>1</v>
      </c>
      <c r="DYE14" s="108"/>
      <c r="DYF14" s="108"/>
      <c r="DYG14" s="109"/>
      <c r="DYH14" s="107" t="s">
        <v>1</v>
      </c>
      <c r="DYI14" s="108"/>
      <c r="DYJ14" s="108"/>
      <c r="DYK14" s="109"/>
      <c r="DYL14" s="107" t="s">
        <v>1</v>
      </c>
      <c r="DYM14" s="108"/>
      <c r="DYN14" s="108"/>
      <c r="DYO14" s="109"/>
      <c r="DYP14" s="107" t="s">
        <v>1</v>
      </c>
      <c r="DYQ14" s="108"/>
      <c r="DYR14" s="108"/>
      <c r="DYS14" s="109"/>
      <c r="DYT14" s="107" t="s">
        <v>1</v>
      </c>
      <c r="DYU14" s="108"/>
      <c r="DYV14" s="108"/>
      <c r="DYW14" s="109"/>
      <c r="DYX14" s="107" t="s">
        <v>1</v>
      </c>
      <c r="DYY14" s="108"/>
      <c r="DYZ14" s="108"/>
      <c r="DZA14" s="109"/>
      <c r="DZB14" s="107" t="s">
        <v>1</v>
      </c>
      <c r="DZC14" s="108"/>
      <c r="DZD14" s="108"/>
      <c r="DZE14" s="109"/>
      <c r="DZF14" s="107" t="s">
        <v>1</v>
      </c>
      <c r="DZG14" s="108"/>
      <c r="DZH14" s="108"/>
      <c r="DZI14" s="109"/>
      <c r="DZJ14" s="107" t="s">
        <v>1</v>
      </c>
      <c r="DZK14" s="108"/>
      <c r="DZL14" s="108"/>
      <c r="DZM14" s="109"/>
      <c r="DZN14" s="107" t="s">
        <v>1</v>
      </c>
      <c r="DZO14" s="108"/>
      <c r="DZP14" s="108"/>
      <c r="DZQ14" s="109"/>
      <c r="DZR14" s="107" t="s">
        <v>1</v>
      </c>
      <c r="DZS14" s="108"/>
      <c r="DZT14" s="108"/>
      <c r="DZU14" s="109"/>
      <c r="DZV14" s="107" t="s">
        <v>1</v>
      </c>
      <c r="DZW14" s="108"/>
      <c r="DZX14" s="108"/>
      <c r="DZY14" s="109"/>
      <c r="DZZ14" s="107" t="s">
        <v>1</v>
      </c>
      <c r="EAA14" s="108"/>
      <c r="EAB14" s="108"/>
      <c r="EAC14" s="109"/>
      <c r="EAD14" s="107" t="s">
        <v>1</v>
      </c>
      <c r="EAE14" s="108"/>
      <c r="EAF14" s="108"/>
      <c r="EAG14" s="109"/>
      <c r="EAH14" s="107" t="s">
        <v>1</v>
      </c>
      <c r="EAI14" s="108"/>
      <c r="EAJ14" s="108"/>
      <c r="EAK14" s="109"/>
      <c r="EAL14" s="107" t="s">
        <v>1</v>
      </c>
      <c r="EAM14" s="108"/>
      <c r="EAN14" s="108"/>
      <c r="EAO14" s="109"/>
      <c r="EAP14" s="107" t="s">
        <v>1</v>
      </c>
      <c r="EAQ14" s="108"/>
      <c r="EAR14" s="108"/>
      <c r="EAS14" s="109"/>
      <c r="EAT14" s="107" t="s">
        <v>1</v>
      </c>
      <c r="EAU14" s="108"/>
      <c r="EAV14" s="108"/>
      <c r="EAW14" s="109"/>
      <c r="EAX14" s="107" t="s">
        <v>1</v>
      </c>
      <c r="EAY14" s="108"/>
      <c r="EAZ14" s="108"/>
      <c r="EBA14" s="109"/>
      <c r="EBB14" s="107" t="s">
        <v>1</v>
      </c>
      <c r="EBC14" s="108"/>
      <c r="EBD14" s="108"/>
      <c r="EBE14" s="109"/>
      <c r="EBF14" s="107" t="s">
        <v>1</v>
      </c>
      <c r="EBG14" s="108"/>
      <c r="EBH14" s="108"/>
      <c r="EBI14" s="109"/>
      <c r="EBJ14" s="107" t="s">
        <v>1</v>
      </c>
      <c r="EBK14" s="108"/>
      <c r="EBL14" s="108"/>
      <c r="EBM14" s="109"/>
      <c r="EBN14" s="107" t="s">
        <v>1</v>
      </c>
      <c r="EBO14" s="108"/>
      <c r="EBP14" s="108"/>
      <c r="EBQ14" s="109"/>
      <c r="EBR14" s="107" t="s">
        <v>1</v>
      </c>
      <c r="EBS14" s="108"/>
      <c r="EBT14" s="108"/>
      <c r="EBU14" s="109"/>
      <c r="EBV14" s="107" t="s">
        <v>1</v>
      </c>
      <c r="EBW14" s="108"/>
      <c r="EBX14" s="108"/>
      <c r="EBY14" s="109"/>
      <c r="EBZ14" s="107" t="s">
        <v>1</v>
      </c>
      <c r="ECA14" s="108"/>
      <c r="ECB14" s="108"/>
      <c r="ECC14" s="109"/>
      <c r="ECD14" s="107" t="s">
        <v>1</v>
      </c>
      <c r="ECE14" s="108"/>
      <c r="ECF14" s="108"/>
      <c r="ECG14" s="109"/>
      <c r="ECH14" s="107" t="s">
        <v>1</v>
      </c>
      <c r="ECI14" s="108"/>
      <c r="ECJ14" s="108"/>
      <c r="ECK14" s="109"/>
      <c r="ECL14" s="107" t="s">
        <v>1</v>
      </c>
      <c r="ECM14" s="108"/>
      <c r="ECN14" s="108"/>
      <c r="ECO14" s="109"/>
      <c r="ECP14" s="107" t="s">
        <v>1</v>
      </c>
      <c r="ECQ14" s="108"/>
      <c r="ECR14" s="108"/>
      <c r="ECS14" s="109"/>
      <c r="ECT14" s="107" t="s">
        <v>1</v>
      </c>
      <c r="ECU14" s="108"/>
      <c r="ECV14" s="108"/>
      <c r="ECW14" s="109"/>
      <c r="ECX14" s="107" t="s">
        <v>1</v>
      </c>
      <c r="ECY14" s="108"/>
      <c r="ECZ14" s="108"/>
      <c r="EDA14" s="109"/>
      <c r="EDB14" s="107" t="s">
        <v>1</v>
      </c>
      <c r="EDC14" s="108"/>
      <c r="EDD14" s="108"/>
      <c r="EDE14" s="109"/>
      <c r="EDF14" s="107" t="s">
        <v>1</v>
      </c>
      <c r="EDG14" s="108"/>
      <c r="EDH14" s="108"/>
      <c r="EDI14" s="109"/>
      <c r="EDJ14" s="107" t="s">
        <v>1</v>
      </c>
      <c r="EDK14" s="108"/>
      <c r="EDL14" s="108"/>
      <c r="EDM14" s="109"/>
      <c r="EDN14" s="107" t="s">
        <v>1</v>
      </c>
      <c r="EDO14" s="108"/>
      <c r="EDP14" s="108"/>
      <c r="EDQ14" s="109"/>
      <c r="EDR14" s="107" t="s">
        <v>1</v>
      </c>
      <c r="EDS14" s="108"/>
      <c r="EDT14" s="108"/>
      <c r="EDU14" s="109"/>
      <c r="EDV14" s="107" t="s">
        <v>1</v>
      </c>
      <c r="EDW14" s="108"/>
      <c r="EDX14" s="108"/>
      <c r="EDY14" s="109"/>
      <c r="EDZ14" s="107" t="s">
        <v>1</v>
      </c>
      <c r="EEA14" s="108"/>
      <c r="EEB14" s="108"/>
      <c r="EEC14" s="109"/>
      <c r="EED14" s="107" t="s">
        <v>1</v>
      </c>
      <c r="EEE14" s="108"/>
      <c r="EEF14" s="108"/>
      <c r="EEG14" s="109"/>
      <c r="EEH14" s="107" t="s">
        <v>1</v>
      </c>
      <c r="EEI14" s="108"/>
      <c r="EEJ14" s="108"/>
      <c r="EEK14" s="109"/>
      <c r="EEL14" s="107" t="s">
        <v>1</v>
      </c>
      <c r="EEM14" s="108"/>
      <c r="EEN14" s="108"/>
      <c r="EEO14" s="109"/>
      <c r="EEP14" s="107" t="s">
        <v>1</v>
      </c>
      <c r="EEQ14" s="108"/>
      <c r="EER14" s="108"/>
      <c r="EES14" s="109"/>
      <c r="EET14" s="107" t="s">
        <v>1</v>
      </c>
      <c r="EEU14" s="108"/>
      <c r="EEV14" s="108"/>
      <c r="EEW14" s="109"/>
      <c r="EEX14" s="107" t="s">
        <v>1</v>
      </c>
      <c r="EEY14" s="108"/>
      <c r="EEZ14" s="108"/>
      <c r="EFA14" s="109"/>
      <c r="EFB14" s="107" t="s">
        <v>1</v>
      </c>
      <c r="EFC14" s="108"/>
      <c r="EFD14" s="108"/>
      <c r="EFE14" s="109"/>
      <c r="EFF14" s="107" t="s">
        <v>1</v>
      </c>
      <c r="EFG14" s="108"/>
      <c r="EFH14" s="108"/>
      <c r="EFI14" s="109"/>
      <c r="EFJ14" s="107" t="s">
        <v>1</v>
      </c>
      <c r="EFK14" s="108"/>
      <c r="EFL14" s="108"/>
      <c r="EFM14" s="109"/>
      <c r="EFN14" s="107" t="s">
        <v>1</v>
      </c>
      <c r="EFO14" s="108"/>
      <c r="EFP14" s="108"/>
      <c r="EFQ14" s="109"/>
      <c r="EFR14" s="107" t="s">
        <v>1</v>
      </c>
      <c r="EFS14" s="108"/>
      <c r="EFT14" s="108"/>
      <c r="EFU14" s="109"/>
      <c r="EFV14" s="107" t="s">
        <v>1</v>
      </c>
      <c r="EFW14" s="108"/>
      <c r="EFX14" s="108"/>
      <c r="EFY14" s="109"/>
      <c r="EFZ14" s="107" t="s">
        <v>1</v>
      </c>
      <c r="EGA14" s="108"/>
      <c r="EGB14" s="108"/>
      <c r="EGC14" s="109"/>
      <c r="EGD14" s="107" t="s">
        <v>1</v>
      </c>
      <c r="EGE14" s="108"/>
      <c r="EGF14" s="108"/>
      <c r="EGG14" s="109"/>
      <c r="EGH14" s="107" t="s">
        <v>1</v>
      </c>
      <c r="EGI14" s="108"/>
      <c r="EGJ14" s="108"/>
      <c r="EGK14" s="109"/>
      <c r="EGL14" s="107" t="s">
        <v>1</v>
      </c>
      <c r="EGM14" s="108"/>
      <c r="EGN14" s="108"/>
      <c r="EGO14" s="109"/>
      <c r="EGP14" s="107" t="s">
        <v>1</v>
      </c>
      <c r="EGQ14" s="108"/>
      <c r="EGR14" s="108"/>
      <c r="EGS14" s="109"/>
      <c r="EGT14" s="107" t="s">
        <v>1</v>
      </c>
      <c r="EGU14" s="108"/>
      <c r="EGV14" s="108"/>
      <c r="EGW14" s="109"/>
      <c r="EGX14" s="107" t="s">
        <v>1</v>
      </c>
      <c r="EGY14" s="108"/>
      <c r="EGZ14" s="108"/>
      <c r="EHA14" s="109"/>
      <c r="EHB14" s="107" t="s">
        <v>1</v>
      </c>
      <c r="EHC14" s="108"/>
      <c r="EHD14" s="108"/>
      <c r="EHE14" s="109"/>
      <c r="EHF14" s="107" t="s">
        <v>1</v>
      </c>
      <c r="EHG14" s="108"/>
      <c r="EHH14" s="108"/>
      <c r="EHI14" s="109"/>
      <c r="EHJ14" s="107" t="s">
        <v>1</v>
      </c>
      <c r="EHK14" s="108"/>
      <c r="EHL14" s="108"/>
      <c r="EHM14" s="109"/>
      <c r="EHN14" s="107" t="s">
        <v>1</v>
      </c>
      <c r="EHO14" s="108"/>
      <c r="EHP14" s="108"/>
      <c r="EHQ14" s="109"/>
      <c r="EHR14" s="107" t="s">
        <v>1</v>
      </c>
      <c r="EHS14" s="108"/>
      <c r="EHT14" s="108"/>
      <c r="EHU14" s="109"/>
      <c r="EHV14" s="107" t="s">
        <v>1</v>
      </c>
      <c r="EHW14" s="108"/>
      <c r="EHX14" s="108"/>
      <c r="EHY14" s="109"/>
      <c r="EHZ14" s="107" t="s">
        <v>1</v>
      </c>
      <c r="EIA14" s="108"/>
      <c r="EIB14" s="108"/>
      <c r="EIC14" s="109"/>
      <c r="EID14" s="107" t="s">
        <v>1</v>
      </c>
      <c r="EIE14" s="108"/>
      <c r="EIF14" s="108"/>
      <c r="EIG14" s="109"/>
      <c r="EIH14" s="107" t="s">
        <v>1</v>
      </c>
      <c r="EII14" s="108"/>
      <c r="EIJ14" s="108"/>
      <c r="EIK14" s="109"/>
      <c r="EIL14" s="107" t="s">
        <v>1</v>
      </c>
      <c r="EIM14" s="108"/>
      <c r="EIN14" s="108"/>
      <c r="EIO14" s="109"/>
      <c r="EIP14" s="107" t="s">
        <v>1</v>
      </c>
      <c r="EIQ14" s="108"/>
      <c r="EIR14" s="108"/>
      <c r="EIS14" s="109"/>
      <c r="EIT14" s="107" t="s">
        <v>1</v>
      </c>
      <c r="EIU14" s="108"/>
      <c r="EIV14" s="108"/>
      <c r="EIW14" s="109"/>
      <c r="EIX14" s="107" t="s">
        <v>1</v>
      </c>
      <c r="EIY14" s="108"/>
      <c r="EIZ14" s="108"/>
      <c r="EJA14" s="109"/>
      <c r="EJB14" s="107" t="s">
        <v>1</v>
      </c>
      <c r="EJC14" s="108"/>
      <c r="EJD14" s="108"/>
      <c r="EJE14" s="109"/>
      <c r="EJF14" s="107" t="s">
        <v>1</v>
      </c>
      <c r="EJG14" s="108"/>
      <c r="EJH14" s="108"/>
      <c r="EJI14" s="109"/>
      <c r="EJJ14" s="107" t="s">
        <v>1</v>
      </c>
      <c r="EJK14" s="108"/>
      <c r="EJL14" s="108"/>
      <c r="EJM14" s="109"/>
      <c r="EJN14" s="107" t="s">
        <v>1</v>
      </c>
      <c r="EJO14" s="108"/>
      <c r="EJP14" s="108"/>
      <c r="EJQ14" s="109"/>
      <c r="EJR14" s="107" t="s">
        <v>1</v>
      </c>
      <c r="EJS14" s="108"/>
      <c r="EJT14" s="108"/>
      <c r="EJU14" s="109"/>
      <c r="EJV14" s="107" t="s">
        <v>1</v>
      </c>
      <c r="EJW14" s="108"/>
      <c r="EJX14" s="108"/>
      <c r="EJY14" s="109"/>
      <c r="EJZ14" s="107" t="s">
        <v>1</v>
      </c>
      <c r="EKA14" s="108"/>
      <c r="EKB14" s="108"/>
      <c r="EKC14" s="109"/>
      <c r="EKD14" s="107" t="s">
        <v>1</v>
      </c>
      <c r="EKE14" s="108"/>
      <c r="EKF14" s="108"/>
      <c r="EKG14" s="109"/>
      <c r="EKH14" s="107" t="s">
        <v>1</v>
      </c>
      <c r="EKI14" s="108"/>
      <c r="EKJ14" s="108"/>
      <c r="EKK14" s="109"/>
      <c r="EKL14" s="107" t="s">
        <v>1</v>
      </c>
      <c r="EKM14" s="108"/>
      <c r="EKN14" s="108"/>
      <c r="EKO14" s="109"/>
      <c r="EKP14" s="107" t="s">
        <v>1</v>
      </c>
      <c r="EKQ14" s="108"/>
      <c r="EKR14" s="108"/>
      <c r="EKS14" s="109"/>
      <c r="EKT14" s="107" t="s">
        <v>1</v>
      </c>
      <c r="EKU14" s="108"/>
      <c r="EKV14" s="108"/>
      <c r="EKW14" s="109"/>
      <c r="EKX14" s="107" t="s">
        <v>1</v>
      </c>
      <c r="EKY14" s="108"/>
      <c r="EKZ14" s="108"/>
      <c r="ELA14" s="109"/>
      <c r="ELB14" s="107" t="s">
        <v>1</v>
      </c>
      <c r="ELC14" s="108"/>
      <c r="ELD14" s="108"/>
      <c r="ELE14" s="109"/>
      <c r="ELF14" s="107" t="s">
        <v>1</v>
      </c>
      <c r="ELG14" s="108"/>
      <c r="ELH14" s="108"/>
      <c r="ELI14" s="109"/>
      <c r="ELJ14" s="107" t="s">
        <v>1</v>
      </c>
      <c r="ELK14" s="108"/>
      <c r="ELL14" s="108"/>
      <c r="ELM14" s="109"/>
      <c r="ELN14" s="107" t="s">
        <v>1</v>
      </c>
      <c r="ELO14" s="108"/>
      <c r="ELP14" s="108"/>
      <c r="ELQ14" s="109"/>
      <c r="ELR14" s="107" t="s">
        <v>1</v>
      </c>
      <c r="ELS14" s="108"/>
      <c r="ELT14" s="108"/>
      <c r="ELU14" s="109"/>
      <c r="ELV14" s="107" t="s">
        <v>1</v>
      </c>
      <c r="ELW14" s="108"/>
      <c r="ELX14" s="108"/>
      <c r="ELY14" s="109"/>
      <c r="ELZ14" s="107" t="s">
        <v>1</v>
      </c>
      <c r="EMA14" s="108"/>
      <c r="EMB14" s="108"/>
      <c r="EMC14" s="109"/>
      <c r="EMD14" s="107" t="s">
        <v>1</v>
      </c>
      <c r="EME14" s="108"/>
      <c r="EMF14" s="108"/>
      <c r="EMG14" s="109"/>
      <c r="EMH14" s="107" t="s">
        <v>1</v>
      </c>
      <c r="EMI14" s="108"/>
      <c r="EMJ14" s="108"/>
      <c r="EMK14" s="109"/>
      <c r="EML14" s="107" t="s">
        <v>1</v>
      </c>
      <c r="EMM14" s="108"/>
      <c r="EMN14" s="108"/>
      <c r="EMO14" s="109"/>
      <c r="EMP14" s="107" t="s">
        <v>1</v>
      </c>
      <c r="EMQ14" s="108"/>
      <c r="EMR14" s="108"/>
      <c r="EMS14" s="109"/>
      <c r="EMT14" s="107" t="s">
        <v>1</v>
      </c>
      <c r="EMU14" s="108"/>
      <c r="EMV14" s="108"/>
      <c r="EMW14" s="109"/>
      <c r="EMX14" s="107" t="s">
        <v>1</v>
      </c>
      <c r="EMY14" s="108"/>
      <c r="EMZ14" s="108"/>
      <c r="ENA14" s="109"/>
      <c r="ENB14" s="107" t="s">
        <v>1</v>
      </c>
      <c r="ENC14" s="108"/>
      <c r="END14" s="108"/>
      <c r="ENE14" s="109"/>
      <c r="ENF14" s="107" t="s">
        <v>1</v>
      </c>
      <c r="ENG14" s="108"/>
      <c r="ENH14" s="108"/>
      <c r="ENI14" s="109"/>
      <c r="ENJ14" s="107" t="s">
        <v>1</v>
      </c>
      <c r="ENK14" s="108"/>
      <c r="ENL14" s="108"/>
      <c r="ENM14" s="109"/>
      <c r="ENN14" s="107" t="s">
        <v>1</v>
      </c>
      <c r="ENO14" s="108"/>
      <c r="ENP14" s="108"/>
      <c r="ENQ14" s="109"/>
      <c r="ENR14" s="107" t="s">
        <v>1</v>
      </c>
      <c r="ENS14" s="108"/>
      <c r="ENT14" s="108"/>
      <c r="ENU14" s="109"/>
      <c r="ENV14" s="107" t="s">
        <v>1</v>
      </c>
      <c r="ENW14" s="108"/>
      <c r="ENX14" s="108"/>
      <c r="ENY14" s="109"/>
      <c r="ENZ14" s="107" t="s">
        <v>1</v>
      </c>
      <c r="EOA14" s="108"/>
      <c r="EOB14" s="108"/>
      <c r="EOC14" s="109"/>
      <c r="EOD14" s="107" t="s">
        <v>1</v>
      </c>
      <c r="EOE14" s="108"/>
      <c r="EOF14" s="108"/>
      <c r="EOG14" s="109"/>
      <c r="EOH14" s="107" t="s">
        <v>1</v>
      </c>
      <c r="EOI14" s="108"/>
      <c r="EOJ14" s="108"/>
      <c r="EOK14" s="109"/>
      <c r="EOL14" s="107" t="s">
        <v>1</v>
      </c>
      <c r="EOM14" s="108"/>
      <c r="EON14" s="108"/>
      <c r="EOO14" s="109"/>
      <c r="EOP14" s="107" t="s">
        <v>1</v>
      </c>
      <c r="EOQ14" s="108"/>
      <c r="EOR14" s="108"/>
      <c r="EOS14" s="109"/>
      <c r="EOT14" s="107" t="s">
        <v>1</v>
      </c>
      <c r="EOU14" s="108"/>
      <c r="EOV14" s="108"/>
      <c r="EOW14" s="109"/>
      <c r="EOX14" s="107" t="s">
        <v>1</v>
      </c>
      <c r="EOY14" s="108"/>
      <c r="EOZ14" s="108"/>
      <c r="EPA14" s="109"/>
      <c r="EPB14" s="107" t="s">
        <v>1</v>
      </c>
      <c r="EPC14" s="108"/>
      <c r="EPD14" s="108"/>
      <c r="EPE14" s="109"/>
      <c r="EPF14" s="107" t="s">
        <v>1</v>
      </c>
      <c r="EPG14" s="108"/>
      <c r="EPH14" s="108"/>
      <c r="EPI14" s="109"/>
      <c r="EPJ14" s="107" t="s">
        <v>1</v>
      </c>
      <c r="EPK14" s="108"/>
      <c r="EPL14" s="108"/>
      <c r="EPM14" s="109"/>
      <c r="EPN14" s="107" t="s">
        <v>1</v>
      </c>
      <c r="EPO14" s="108"/>
      <c r="EPP14" s="108"/>
      <c r="EPQ14" s="109"/>
      <c r="EPR14" s="107" t="s">
        <v>1</v>
      </c>
      <c r="EPS14" s="108"/>
      <c r="EPT14" s="108"/>
      <c r="EPU14" s="109"/>
      <c r="EPV14" s="107" t="s">
        <v>1</v>
      </c>
      <c r="EPW14" s="108"/>
      <c r="EPX14" s="108"/>
      <c r="EPY14" s="109"/>
      <c r="EPZ14" s="107" t="s">
        <v>1</v>
      </c>
      <c r="EQA14" s="108"/>
      <c r="EQB14" s="108"/>
      <c r="EQC14" s="109"/>
      <c r="EQD14" s="107" t="s">
        <v>1</v>
      </c>
      <c r="EQE14" s="108"/>
      <c r="EQF14" s="108"/>
      <c r="EQG14" s="109"/>
      <c r="EQH14" s="107" t="s">
        <v>1</v>
      </c>
      <c r="EQI14" s="108"/>
      <c r="EQJ14" s="108"/>
      <c r="EQK14" s="109"/>
      <c r="EQL14" s="107" t="s">
        <v>1</v>
      </c>
      <c r="EQM14" s="108"/>
      <c r="EQN14" s="108"/>
      <c r="EQO14" s="109"/>
      <c r="EQP14" s="107" t="s">
        <v>1</v>
      </c>
      <c r="EQQ14" s="108"/>
      <c r="EQR14" s="108"/>
      <c r="EQS14" s="109"/>
      <c r="EQT14" s="107" t="s">
        <v>1</v>
      </c>
      <c r="EQU14" s="108"/>
      <c r="EQV14" s="108"/>
      <c r="EQW14" s="109"/>
      <c r="EQX14" s="107" t="s">
        <v>1</v>
      </c>
      <c r="EQY14" s="108"/>
      <c r="EQZ14" s="108"/>
      <c r="ERA14" s="109"/>
      <c r="ERB14" s="107" t="s">
        <v>1</v>
      </c>
      <c r="ERC14" s="108"/>
      <c r="ERD14" s="108"/>
      <c r="ERE14" s="109"/>
      <c r="ERF14" s="107" t="s">
        <v>1</v>
      </c>
      <c r="ERG14" s="108"/>
      <c r="ERH14" s="108"/>
      <c r="ERI14" s="109"/>
      <c r="ERJ14" s="107" t="s">
        <v>1</v>
      </c>
      <c r="ERK14" s="108"/>
      <c r="ERL14" s="108"/>
      <c r="ERM14" s="109"/>
      <c r="ERN14" s="107" t="s">
        <v>1</v>
      </c>
      <c r="ERO14" s="108"/>
      <c r="ERP14" s="108"/>
      <c r="ERQ14" s="109"/>
      <c r="ERR14" s="107" t="s">
        <v>1</v>
      </c>
      <c r="ERS14" s="108"/>
      <c r="ERT14" s="108"/>
      <c r="ERU14" s="109"/>
      <c r="ERV14" s="107" t="s">
        <v>1</v>
      </c>
      <c r="ERW14" s="108"/>
      <c r="ERX14" s="108"/>
      <c r="ERY14" s="109"/>
      <c r="ERZ14" s="107" t="s">
        <v>1</v>
      </c>
      <c r="ESA14" s="108"/>
      <c r="ESB14" s="108"/>
      <c r="ESC14" s="109"/>
      <c r="ESD14" s="107" t="s">
        <v>1</v>
      </c>
      <c r="ESE14" s="108"/>
      <c r="ESF14" s="108"/>
      <c r="ESG14" s="109"/>
      <c r="ESH14" s="107" t="s">
        <v>1</v>
      </c>
      <c r="ESI14" s="108"/>
      <c r="ESJ14" s="108"/>
      <c r="ESK14" s="109"/>
      <c r="ESL14" s="107" t="s">
        <v>1</v>
      </c>
      <c r="ESM14" s="108"/>
      <c r="ESN14" s="108"/>
      <c r="ESO14" s="109"/>
      <c r="ESP14" s="107" t="s">
        <v>1</v>
      </c>
      <c r="ESQ14" s="108"/>
      <c r="ESR14" s="108"/>
      <c r="ESS14" s="109"/>
      <c r="EST14" s="107" t="s">
        <v>1</v>
      </c>
      <c r="ESU14" s="108"/>
      <c r="ESV14" s="108"/>
      <c r="ESW14" s="109"/>
      <c r="ESX14" s="107" t="s">
        <v>1</v>
      </c>
      <c r="ESY14" s="108"/>
      <c r="ESZ14" s="108"/>
      <c r="ETA14" s="109"/>
      <c r="ETB14" s="107" t="s">
        <v>1</v>
      </c>
      <c r="ETC14" s="108"/>
      <c r="ETD14" s="108"/>
      <c r="ETE14" s="109"/>
      <c r="ETF14" s="107" t="s">
        <v>1</v>
      </c>
      <c r="ETG14" s="108"/>
      <c r="ETH14" s="108"/>
      <c r="ETI14" s="109"/>
      <c r="ETJ14" s="107" t="s">
        <v>1</v>
      </c>
      <c r="ETK14" s="108"/>
      <c r="ETL14" s="108"/>
      <c r="ETM14" s="109"/>
      <c r="ETN14" s="107" t="s">
        <v>1</v>
      </c>
      <c r="ETO14" s="108"/>
      <c r="ETP14" s="108"/>
      <c r="ETQ14" s="109"/>
      <c r="ETR14" s="107" t="s">
        <v>1</v>
      </c>
      <c r="ETS14" s="108"/>
      <c r="ETT14" s="108"/>
      <c r="ETU14" s="109"/>
      <c r="ETV14" s="107" t="s">
        <v>1</v>
      </c>
      <c r="ETW14" s="108"/>
      <c r="ETX14" s="108"/>
      <c r="ETY14" s="109"/>
      <c r="ETZ14" s="107" t="s">
        <v>1</v>
      </c>
      <c r="EUA14" s="108"/>
      <c r="EUB14" s="108"/>
      <c r="EUC14" s="109"/>
      <c r="EUD14" s="107" t="s">
        <v>1</v>
      </c>
      <c r="EUE14" s="108"/>
      <c r="EUF14" s="108"/>
      <c r="EUG14" s="109"/>
      <c r="EUH14" s="107" t="s">
        <v>1</v>
      </c>
      <c r="EUI14" s="108"/>
      <c r="EUJ14" s="108"/>
      <c r="EUK14" s="109"/>
      <c r="EUL14" s="107" t="s">
        <v>1</v>
      </c>
      <c r="EUM14" s="108"/>
      <c r="EUN14" s="108"/>
      <c r="EUO14" s="109"/>
      <c r="EUP14" s="107" t="s">
        <v>1</v>
      </c>
      <c r="EUQ14" s="108"/>
      <c r="EUR14" s="108"/>
      <c r="EUS14" s="109"/>
      <c r="EUT14" s="107" t="s">
        <v>1</v>
      </c>
      <c r="EUU14" s="108"/>
      <c r="EUV14" s="108"/>
      <c r="EUW14" s="109"/>
      <c r="EUX14" s="107" t="s">
        <v>1</v>
      </c>
      <c r="EUY14" s="108"/>
      <c r="EUZ14" s="108"/>
      <c r="EVA14" s="109"/>
      <c r="EVB14" s="107" t="s">
        <v>1</v>
      </c>
      <c r="EVC14" s="108"/>
      <c r="EVD14" s="108"/>
      <c r="EVE14" s="109"/>
      <c r="EVF14" s="107" t="s">
        <v>1</v>
      </c>
      <c r="EVG14" s="108"/>
      <c r="EVH14" s="108"/>
      <c r="EVI14" s="109"/>
      <c r="EVJ14" s="107" t="s">
        <v>1</v>
      </c>
      <c r="EVK14" s="108"/>
      <c r="EVL14" s="108"/>
      <c r="EVM14" s="109"/>
      <c r="EVN14" s="107" t="s">
        <v>1</v>
      </c>
      <c r="EVO14" s="108"/>
      <c r="EVP14" s="108"/>
      <c r="EVQ14" s="109"/>
      <c r="EVR14" s="107" t="s">
        <v>1</v>
      </c>
      <c r="EVS14" s="108"/>
      <c r="EVT14" s="108"/>
      <c r="EVU14" s="109"/>
      <c r="EVV14" s="107" t="s">
        <v>1</v>
      </c>
      <c r="EVW14" s="108"/>
      <c r="EVX14" s="108"/>
      <c r="EVY14" s="109"/>
      <c r="EVZ14" s="107" t="s">
        <v>1</v>
      </c>
      <c r="EWA14" s="108"/>
      <c r="EWB14" s="108"/>
      <c r="EWC14" s="109"/>
      <c r="EWD14" s="107" t="s">
        <v>1</v>
      </c>
      <c r="EWE14" s="108"/>
      <c r="EWF14" s="108"/>
      <c r="EWG14" s="109"/>
      <c r="EWH14" s="107" t="s">
        <v>1</v>
      </c>
      <c r="EWI14" s="108"/>
      <c r="EWJ14" s="108"/>
      <c r="EWK14" s="109"/>
      <c r="EWL14" s="107" t="s">
        <v>1</v>
      </c>
      <c r="EWM14" s="108"/>
      <c r="EWN14" s="108"/>
      <c r="EWO14" s="109"/>
      <c r="EWP14" s="107" t="s">
        <v>1</v>
      </c>
      <c r="EWQ14" s="108"/>
      <c r="EWR14" s="108"/>
      <c r="EWS14" s="109"/>
      <c r="EWT14" s="107" t="s">
        <v>1</v>
      </c>
      <c r="EWU14" s="108"/>
      <c r="EWV14" s="108"/>
      <c r="EWW14" s="109"/>
      <c r="EWX14" s="107" t="s">
        <v>1</v>
      </c>
      <c r="EWY14" s="108"/>
      <c r="EWZ14" s="108"/>
      <c r="EXA14" s="109"/>
      <c r="EXB14" s="107" t="s">
        <v>1</v>
      </c>
      <c r="EXC14" s="108"/>
      <c r="EXD14" s="108"/>
      <c r="EXE14" s="109"/>
      <c r="EXF14" s="107" t="s">
        <v>1</v>
      </c>
      <c r="EXG14" s="108"/>
      <c r="EXH14" s="108"/>
      <c r="EXI14" s="109"/>
      <c r="EXJ14" s="107" t="s">
        <v>1</v>
      </c>
      <c r="EXK14" s="108"/>
      <c r="EXL14" s="108"/>
      <c r="EXM14" s="109"/>
      <c r="EXN14" s="107" t="s">
        <v>1</v>
      </c>
      <c r="EXO14" s="108"/>
      <c r="EXP14" s="108"/>
      <c r="EXQ14" s="109"/>
      <c r="EXR14" s="107" t="s">
        <v>1</v>
      </c>
      <c r="EXS14" s="108"/>
      <c r="EXT14" s="108"/>
      <c r="EXU14" s="109"/>
      <c r="EXV14" s="107" t="s">
        <v>1</v>
      </c>
      <c r="EXW14" s="108"/>
      <c r="EXX14" s="108"/>
      <c r="EXY14" s="109"/>
      <c r="EXZ14" s="107" t="s">
        <v>1</v>
      </c>
      <c r="EYA14" s="108"/>
      <c r="EYB14" s="108"/>
      <c r="EYC14" s="109"/>
      <c r="EYD14" s="107" t="s">
        <v>1</v>
      </c>
      <c r="EYE14" s="108"/>
      <c r="EYF14" s="108"/>
      <c r="EYG14" s="109"/>
      <c r="EYH14" s="107" t="s">
        <v>1</v>
      </c>
      <c r="EYI14" s="108"/>
      <c r="EYJ14" s="108"/>
      <c r="EYK14" s="109"/>
      <c r="EYL14" s="107" t="s">
        <v>1</v>
      </c>
      <c r="EYM14" s="108"/>
      <c r="EYN14" s="108"/>
      <c r="EYO14" s="109"/>
      <c r="EYP14" s="107" t="s">
        <v>1</v>
      </c>
      <c r="EYQ14" s="108"/>
      <c r="EYR14" s="108"/>
      <c r="EYS14" s="109"/>
      <c r="EYT14" s="107" t="s">
        <v>1</v>
      </c>
      <c r="EYU14" s="108"/>
      <c r="EYV14" s="108"/>
      <c r="EYW14" s="109"/>
      <c r="EYX14" s="107" t="s">
        <v>1</v>
      </c>
      <c r="EYY14" s="108"/>
      <c r="EYZ14" s="108"/>
      <c r="EZA14" s="109"/>
      <c r="EZB14" s="107" t="s">
        <v>1</v>
      </c>
      <c r="EZC14" s="108"/>
      <c r="EZD14" s="108"/>
      <c r="EZE14" s="109"/>
      <c r="EZF14" s="107" t="s">
        <v>1</v>
      </c>
      <c r="EZG14" s="108"/>
      <c r="EZH14" s="108"/>
      <c r="EZI14" s="109"/>
      <c r="EZJ14" s="107" t="s">
        <v>1</v>
      </c>
      <c r="EZK14" s="108"/>
      <c r="EZL14" s="108"/>
      <c r="EZM14" s="109"/>
      <c r="EZN14" s="107" t="s">
        <v>1</v>
      </c>
      <c r="EZO14" s="108"/>
      <c r="EZP14" s="108"/>
      <c r="EZQ14" s="109"/>
      <c r="EZR14" s="107" t="s">
        <v>1</v>
      </c>
      <c r="EZS14" s="108"/>
      <c r="EZT14" s="108"/>
      <c r="EZU14" s="109"/>
      <c r="EZV14" s="107" t="s">
        <v>1</v>
      </c>
      <c r="EZW14" s="108"/>
      <c r="EZX14" s="108"/>
      <c r="EZY14" s="109"/>
      <c r="EZZ14" s="107" t="s">
        <v>1</v>
      </c>
      <c r="FAA14" s="108"/>
      <c r="FAB14" s="108"/>
      <c r="FAC14" s="109"/>
      <c r="FAD14" s="107" t="s">
        <v>1</v>
      </c>
      <c r="FAE14" s="108"/>
      <c r="FAF14" s="108"/>
      <c r="FAG14" s="109"/>
      <c r="FAH14" s="107" t="s">
        <v>1</v>
      </c>
      <c r="FAI14" s="108"/>
      <c r="FAJ14" s="108"/>
      <c r="FAK14" s="109"/>
      <c r="FAL14" s="107" t="s">
        <v>1</v>
      </c>
      <c r="FAM14" s="108"/>
      <c r="FAN14" s="108"/>
      <c r="FAO14" s="109"/>
      <c r="FAP14" s="107" t="s">
        <v>1</v>
      </c>
      <c r="FAQ14" s="108"/>
      <c r="FAR14" s="108"/>
      <c r="FAS14" s="109"/>
      <c r="FAT14" s="107" t="s">
        <v>1</v>
      </c>
      <c r="FAU14" s="108"/>
      <c r="FAV14" s="108"/>
      <c r="FAW14" s="109"/>
      <c r="FAX14" s="107" t="s">
        <v>1</v>
      </c>
      <c r="FAY14" s="108"/>
      <c r="FAZ14" s="108"/>
      <c r="FBA14" s="109"/>
      <c r="FBB14" s="107" t="s">
        <v>1</v>
      </c>
      <c r="FBC14" s="108"/>
      <c r="FBD14" s="108"/>
      <c r="FBE14" s="109"/>
      <c r="FBF14" s="107" t="s">
        <v>1</v>
      </c>
      <c r="FBG14" s="108"/>
      <c r="FBH14" s="108"/>
      <c r="FBI14" s="109"/>
      <c r="FBJ14" s="107" t="s">
        <v>1</v>
      </c>
      <c r="FBK14" s="108"/>
      <c r="FBL14" s="108"/>
      <c r="FBM14" s="109"/>
      <c r="FBN14" s="107" t="s">
        <v>1</v>
      </c>
      <c r="FBO14" s="108"/>
      <c r="FBP14" s="108"/>
      <c r="FBQ14" s="109"/>
      <c r="FBR14" s="107" t="s">
        <v>1</v>
      </c>
      <c r="FBS14" s="108"/>
      <c r="FBT14" s="108"/>
      <c r="FBU14" s="109"/>
      <c r="FBV14" s="107" t="s">
        <v>1</v>
      </c>
      <c r="FBW14" s="108"/>
      <c r="FBX14" s="108"/>
      <c r="FBY14" s="109"/>
      <c r="FBZ14" s="107" t="s">
        <v>1</v>
      </c>
      <c r="FCA14" s="108"/>
      <c r="FCB14" s="108"/>
      <c r="FCC14" s="109"/>
      <c r="FCD14" s="107" t="s">
        <v>1</v>
      </c>
      <c r="FCE14" s="108"/>
      <c r="FCF14" s="108"/>
      <c r="FCG14" s="109"/>
      <c r="FCH14" s="107" t="s">
        <v>1</v>
      </c>
      <c r="FCI14" s="108"/>
      <c r="FCJ14" s="108"/>
      <c r="FCK14" s="109"/>
      <c r="FCL14" s="107" t="s">
        <v>1</v>
      </c>
      <c r="FCM14" s="108"/>
      <c r="FCN14" s="108"/>
      <c r="FCO14" s="109"/>
      <c r="FCP14" s="107" t="s">
        <v>1</v>
      </c>
      <c r="FCQ14" s="108"/>
      <c r="FCR14" s="108"/>
      <c r="FCS14" s="109"/>
      <c r="FCT14" s="107" t="s">
        <v>1</v>
      </c>
      <c r="FCU14" s="108"/>
      <c r="FCV14" s="108"/>
      <c r="FCW14" s="109"/>
      <c r="FCX14" s="107" t="s">
        <v>1</v>
      </c>
      <c r="FCY14" s="108"/>
      <c r="FCZ14" s="108"/>
      <c r="FDA14" s="109"/>
      <c r="FDB14" s="107" t="s">
        <v>1</v>
      </c>
      <c r="FDC14" s="108"/>
      <c r="FDD14" s="108"/>
      <c r="FDE14" s="109"/>
      <c r="FDF14" s="107" t="s">
        <v>1</v>
      </c>
      <c r="FDG14" s="108"/>
      <c r="FDH14" s="108"/>
      <c r="FDI14" s="109"/>
      <c r="FDJ14" s="107" t="s">
        <v>1</v>
      </c>
      <c r="FDK14" s="108"/>
      <c r="FDL14" s="108"/>
      <c r="FDM14" s="109"/>
      <c r="FDN14" s="107" t="s">
        <v>1</v>
      </c>
      <c r="FDO14" s="108"/>
      <c r="FDP14" s="108"/>
      <c r="FDQ14" s="109"/>
      <c r="FDR14" s="107" t="s">
        <v>1</v>
      </c>
      <c r="FDS14" s="108"/>
      <c r="FDT14" s="108"/>
      <c r="FDU14" s="109"/>
      <c r="FDV14" s="107" t="s">
        <v>1</v>
      </c>
      <c r="FDW14" s="108"/>
      <c r="FDX14" s="108"/>
      <c r="FDY14" s="109"/>
      <c r="FDZ14" s="107" t="s">
        <v>1</v>
      </c>
      <c r="FEA14" s="108"/>
      <c r="FEB14" s="108"/>
      <c r="FEC14" s="109"/>
      <c r="FED14" s="107" t="s">
        <v>1</v>
      </c>
      <c r="FEE14" s="108"/>
      <c r="FEF14" s="108"/>
      <c r="FEG14" s="109"/>
      <c r="FEH14" s="107" t="s">
        <v>1</v>
      </c>
      <c r="FEI14" s="108"/>
      <c r="FEJ14" s="108"/>
      <c r="FEK14" s="109"/>
      <c r="FEL14" s="107" t="s">
        <v>1</v>
      </c>
      <c r="FEM14" s="108"/>
      <c r="FEN14" s="108"/>
      <c r="FEO14" s="109"/>
      <c r="FEP14" s="107" t="s">
        <v>1</v>
      </c>
      <c r="FEQ14" s="108"/>
      <c r="FER14" s="108"/>
      <c r="FES14" s="109"/>
      <c r="FET14" s="107" t="s">
        <v>1</v>
      </c>
      <c r="FEU14" s="108"/>
      <c r="FEV14" s="108"/>
      <c r="FEW14" s="109"/>
      <c r="FEX14" s="107" t="s">
        <v>1</v>
      </c>
      <c r="FEY14" s="108"/>
      <c r="FEZ14" s="108"/>
      <c r="FFA14" s="109"/>
      <c r="FFB14" s="107" t="s">
        <v>1</v>
      </c>
      <c r="FFC14" s="108"/>
      <c r="FFD14" s="108"/>
      <c r="FFE14" s="109"/>
      <c r="FFF14" s="107" t="s">
        <v>1</v>
      </c>
      <c r="FFG14" s="108"/>
      <c r="FFH14" s="108"/>
      <c r="FFI14" s="109"/>
      <c r="FFJ14" s="107" t="s">
        <v>1</v>
      </c>
      <c r="FFK14" s="108"/>
      <c r="FFL14" s="108"/>
      <c r="FFM14" s="109"/>
      <c r="FFN14" s="107" t="s">
        <v>1</v>
      </c>
      <c r="FFO14" s="108"/>
      <c r="FFP14" s="108"/>
      <c r="FFQ14" s="109"/>
      <c r="FFR14" s="107" t="s">
        <v>1</v>
      </c>
      <c r="FFS14" s="108"/>
      <c r="FFT14" s="108"/>
      <c r="FFU14" s="109"/>
      <c r="FFV14" s="107" t="s">
        <v>1</v>
      </c>
      <c r="FFW14" s="108"/>
      <c r="FFX14" s="108"/>
      <c r="FFY14" s="109"/>
      <c r="FFZ14" s="107" t="s">
        <v>1</v>
      </c>
      <c r="FGA14" s="108"/>
      <c r="FGB14" s="108"/>
      <c r="FGC14" s="109"/>
      <c r="FGD14" s="107" t="s">
        <v>1</v>
      </c>
      <c r="FGE14" s="108"/>
      <c r="FGF14" s="108"/>
      <c r="FGG14" s="109"/>
      <c r="FGH14" s="107" t="s">
        <v>1</v>
      </c>
      <c r="FGI14" s="108"/>
      <c r="FGJ14" s="108"/>
      <c r="FGK14" s="109"/>
      <c r="FGL14" s="107" t="s">
        <v>1</v>
      </c>
      <c r="FGM14" s="108"/>
      <c r="FGN14" s="108"/>
      <c r="FGO14" s="109"/>
      <c r="FGP14" s="107" t="s">
        <v>1</v>
      </c>
      <c r="FGQ14" s="108"/>
      <c r="FGR14" s="108"/>
      <c r="FGS14" s="109"/>
      <c r="FGT14" s="107" t="s">
        <v>1</v>
      </c>
      <c r="FGU14" s="108"/>
      <c r="FGV14" s="108"/>
      <c r="FGW14" s="109"/>
      <c r="FGX14" s="107" t="s">
        <v>1</v>
      </c>
      <c r="FGY14" s="108"/>
      <c r="FGZ14" s="108"/>
      <c r="FHA14" s="109"/>
      <c r="FHB14" s="107" t="s">
        <v>1</v>
      </c>
      <c r="FHC14" s="108"/>
      <c r="FHD14" s="108"/>
      <c r="FHE14" s="109"/>
      <c r="FHF14" s="107" t="s">
        <v>1</v>
      </c>
      <c r="FHG14" s="108"/>
      <c r="FHH14" s="108"/>
      <c r="FHI14" s="109"/>
      <c r="FHJ14" s="107" t="s">
        <v>1</v>
      </c>
      <c r="FHK14" s="108"/>
      <c r="FHL14" s="108"/>
      <c r="FHM14" s="109"/>
      <c r="FHN14" s="107" t="s">
        <v>1</v>
      </c>
      <c r="FHO14" s="108"/>
      <c r="FHP14" s="108"/>
      <c r="FHQ14" s="109"/>
      <c r="FHR14" s="107" t="s">
        <v>1</v>
      </c>
      <c r="FHS14" s="108"/>
      <c r="FHT14" s="108"/>
      <c r="FHU14" s="109"/>
      <c r="FHV14" s="107" t="s">
        <v>1</v>
      </c>
      <c r="FHW14" s="108"/>
      <c r="FHX14" s="108"/>
      <c r="FHY14" s="109"/>
      <c r="FHZ14" s="107" t="s">
        <v>1</v>
      </c>
      <c r="FIA14" s="108"/>
      <c r="FIB14" s="108"/>
      <c r="FIC14" s="109"/>
      <c r="FID14" s="107" t="s">
        <v>1</v>
      </c>
      <c r="FIE14" s="108"/>
      <c r="FIF14" s="108"/>
      <c r="FIG14" s="109"/>
      <c r="FIH14" s="107" t="s">
        <v>1</v>
      </c>
      <c r="FII14" s="108"/>
      <c r="FIJ14" s="108"/>
      <c r="FIK14" s="109"/>
      <c r="FIL14" s="107" t="s">
        <v>1</v>
      </c>
      <c r="FIM14" s="108"/>
      <c r="FIN14" s="108"/>
      <c r="FIO14" s="109"/>
      <c r="FIP14" s="107" t="s">
        <v>1</v>
      </c>
      <c r="FIQ14" s="108"/>
      <c r="FIR14" s="108"/>
      <c r="FIS14" s="109"/>
      <c r="FIT14" s="107" t="s">
        <v>1</v>
      </c>
      <c r="FIU14" s="108"/>
      <c r="FIV14" s="108"/>
      <c r="FIW14" s="109"/>
      <c r="FIX14" s="107" t="s">
        <v>1</v>
      </c>
      <c r="FIY14" s="108"/>
      <c r="FIZ14" s="108"/>
      <c r="FJA14" s="109"/>
      <c r="FJB14" s="107" t="s">
        <v>1</v>
      </c>
      <c r="FJC14" s="108"/>
      <c r="FJD14" s="108"/>
      <c r="FJE14" s="109"/>
      <c r="FJF14" s="107" t="s">
        <v>1</v>
      </c>
      <c r="FJG14" s="108"/>
      <c r="FJH14" s="108"/>
      <c r="FJI14" s="109"/>
      <c r="FJJ14" s="107" t="s">
        <v>1</v>
      </c>
      <c r="FJK14" s="108"/>
      <c r="FJL14" s="108"/>
      <c r="FJM14" s="109"/>
      <c r="FJN14" s="107" t="s">
        <v>1</v>
      </c>
      <c r="FJO14" s="108"/>
      <c r="FJP14" s="108"/>
      <c r="FJQ14" s="109"/>
      <c r="FJR14" s="107" t="s">
        <v>1</v>
      </c>
      <c r="FJS14" s="108"/>
      <c r="FJT14" s="108"/>
      <c r="FJU14" s="109"/>
      <c r="FJV14" s="107" t="s">
        <v>1</v>
      </c>
      <c r="FJW14" s="108"/>
      <c r="FJX14" s="108"/>
      <c r="FJY14" s="109"/>
      <c r="FJZ14" s="107" t="s">
        <v>1</v>
      </c>
      <c r="FKA14" s="108"/>
      <c r="FKB14" s="108"/>
      <c r="FKC14" s="109"/>
      <c r="FKD14" s="107" t="s">
        <v>1</v>
      </c>
      <c r="FKE14" s="108"/>
      <c r="FKF14" s="108"/>
      <c r="FKG14" s="109"/>
      <c r="FKH14" s="107" t="s">
        <v>1</v>
      </c>
      <c r="FKI14" s="108"/>
      <c r="FKJ14" s="108"/>
      <c r="FKK14" s="109"/>
      <c r="FKL14" s="107" t="s">
        <v>1</v>
      </c>
      <c r="FKM14" s="108"/>
      <c r="FKN14" s="108"/>
      <c r="FKO14" s="109"/>
      <c r="FKP14" s="107" t="s">
        <v>1</v>
      </c>
      <c r="FKQ14" s="108"/>
      <c r="FKR14" s="108"/>
      <c r="FKS14" s="109"/>
      <c r="FKT14" s="107" t="s">
        <v>1</v>
      </c>
      <c r="FKU14" s="108"/>
      <c r="FKV14" s="108"/>
      <c r="FKW14" s="109"/>
      <c r="FKX14" s="107" t="s">
        <v>1</v>
      </c>
      <c r="FKY14" s="108"/>
      <c r="FKZ14" s="108"/>
      <c r="FLA14" s="109"/>
      <c r="FLB14" s="107" t="s">
        <v>1</v>
      </c>
      <c r="FLC14" s="108"/>
      <c r="FLD14" s="108"/>
      <c r="FLE14" s="109"/>
      <c r="FLF14" s="107" t="s">
        <v>1</v>
      </c>
      <c r="FLG14" s="108"/>
      <c r="FLH14" s="108"/>
      <c r="FLI14" s="109"/>
      <c r="FLJ14" s="107" t="s">
        <v>1</v>
      </c>
      <c r="FLK14" s="108"/>
      <c r="FLL14" s="108"/>
      <c r="FLM14" s="109"/>
      <c r="FLN14" s="107" t="s">
        <v>1</v>
      </c>
      <c r="FLO14" s="108"/>
      <c r="FLP14" s="108"/>
      <c r="FLQ14" s="109"/>
      <c r="FLR14" s="107" t="s">
        <v>1</v>
      </c>
      <c r="FLS14" s="108"/>
      <c r="FLT14" s="108"/>
      <c r="FLU14" s="109"/>
      <c r="FLV14" s="107" t="s">
        <v>1</v>
      </c>
      <c r="FLW14" s="108"/>
      <c r="FLX14" s="108"/>
      <c r="FLY14" s="109"/>
      <c r="FLZ14" s="107" t="s">
        <v>1</v>
      </c>
      <c r="FMA14" s="108"/>
      <c r="FMB14" s="108"/>
      <c r="FMC14" s="109"/>
      <c r="FMD14" s="107" t="s">
        <v>1</v>
      </c>
      <c r="FME14" s="108"/>
      <c r="FMF14" s="108"/>
      <c r="FMG14" s="109"/>
      <c r="FMH14" s="107" t="s">
        <v>1</v>
      </c>
      <c r="FMI14" s="108"/>
      <c r="FMJ14" s="108"/>
      <c r="FMK14" s="109"/>
      <c r="FML14" s="107" t="s">
        <v>1</v>
      </c>
      <c r="FMM14" s="108"/>
      <c r="FMN14" s="108"/>
      <c r="FMO14" s="109"/>
      <c r="FMP14" s="107" t="s">
        <v>1</v>
      </c>
      <c r="FMQ14" s="108"/>
      <c r="FMR14" s="108"/>
      <c r="FMS14" s="109"/>
      <c r="FMT14" s="107" t="s">
        <v>1</v>
      </c>
      <c r="FMU14" s="108"/>
      <c r="FMV14" s="108"/>
      <c r="FMW14" s="109"/>
      <c r="FMX14" s="107" t="s">
        <v>1</v>
      </c>
      <c r="FMY14" s="108"/>
      <c r="FMZ14" s="108"/>
      <c r="FNA14" s="109"/>
      <c r="FNB14" s="107" t="s">
        <v>1</v>
      </c>
      <c r="FNC14" s="108"/>
      <c r="FND14" s="108"/>
      <c r="FNE14" s="109"/>
      <c r="FNF14" s="107" t="s">
        <v>1</v>
      </c>
      <c r="FNG14" s="108"/>
      <c r="FNH14" s="108"/>
      <c r="FNI14" s="109"/>
      <c r="FNJ14" s="107" t="s">
        <v>1</v>
      </c>
      <c r="FNK14" s="108"/>
      <c r="FNL14" s="108"/>
      <c r="FNM14" s="109"/>
      <c r="FNN14" s="107" t="s">
        <v>1</v>
      </c>
      <c r="FNO14" s="108"/>
      <c r="FNP14" s="108"/>
      <c r="FNQ14" s="109"/>
      <c r="FNR14" s="107" t="s">
        <v>1</v>
      </c>
      <c r="FNS14" s="108"/>
      <c r="FNT14" s="108"/>
      <c r="FNU14" s="109"/>
      <c r="FNV14" s="107" t="s">
        <v>1</v>
      </c>
      <c r="FNW14" s="108"/>
      <c r="FNX14" s="108"/>
      <c r="FNY14" s="109"/>
      <c r="FNZ14" s="107" t="s">
        <v>1</v>
      </c>
      <c r="FOA14" s="108"/>
      <c r="FOB14" s="108"/>
      <c r="FOC14" s="109"/>
      <c r="FOD14" s="107" t="s">
        <v>1</v>
      </c>
      <c r="FOE14" s="108"/>
      <c r="FOF14" s="108"/>
      <c r="FOG14" s="109"/>
      <c r="FOH14" s="107" t="s">
        <v>1</v>
      </c>
      <c r="FOI14" s="108"/>
      <c r="FOJ14" s="108"/>
      <c r="FOK14" s="109"/>
      <c r="FOL14" s="107" t="s">
        <v>1</v>
      </c>
      <c r="FOM14" s="108"/>
      <c r="FON14" s="108"/>
      <c r="FOO14" s="109"/>
      <c r="FOP14" s="107" t="s">
        <v>1</v>
      </c>
      <c r="FOQ14" s="108"/>
      <c r="FOR14" s="108"/>
      <c r="FOS14" s="109"/>
      <c r="FOT14" s="107" t="s">
        <v>1</v>
      </c>
      <c r="FOU14" s="108"/>
      <c r="FOV14" s="108"/>
      <c r="FOW14" s="109"/>
      <c r="FOX14" s="107" t="s">
        <v>1</v>
      </c>
      <c r="FOY14" s="108"/>
      <c r="FOZ14" s="108"/>
      <c r="FPA14" s="109"/>
      <c r="FPB14" s="107" t="s">
        <v>1</v>
      </c>
      <c r="FPC14" s="108"/>
      <c r="FPD14" s="108"/>
      <c r="FPE14" s="109"/>
      <c r="FPF14" s="107" t="s">
        <v>1</v>
      </c>
      <c r="FPG14" s="108"/>
      <c r="FPH14" s="108"/>
      <c r="FPI14" s="109"/>
      <c r="FPJ14" s="107" t="s">
        <v>1</v>
      </c>
      <c r="FPK14" s="108"/>
      <c r="FPL14" s="108"/>
      <c r="FPM14" s="109"/>
      <c r="FPN14" s="107" t="s">
        <v>1</v>
      </c>
      <c r="FPO14" s="108"/>
      <c r="FPP14" s="108"/>
      <c r="FPQ14" s="109"/>
      <c r="FPR14" s="107" t="s">
        <v>1</v>
      </c>
      <c r="FPS14" s="108"/>
      <c r="FPT14" s="108"/>
      <c r="FPU14" s="109"/>
      <c r="FPV14" s="107" t="s">
        <v>1</v>
      </c>
      <c r="FPW14" s="108"/>
      <c r="FPX14" s="108"/>
      <c r="FPY14" s="109"/>
      <c r="FPZ14" s="107" t="s">
        <v>1</v>
      </c>
      <c r="FQA14" s="108"/>
      <c r="FQB14" s="108"/>
      <c r="FQC14" s="109"/>
      <c r="FQD14" s="107" t="s">
        <v>1</v>
      </c>
      <c r="FQE14" s="108"/>
      <c r="FQF14" s="108"/>
      <c r="FQG14" s="109"/>
      <c r="FQH14" s="107" t="s">
        <v>1</v>
      </c>
      <c r="FQI14" s="108"/>
      <c r="FQJ14" s="108"/>
      <c r="FQK14" s="109"/>
      <c r="FQL14" s="107" t="s">
        <v>1</v>
      </c>
      <c r="FQM14" s="108"/>
      <c r="FQN14" s="108"/>
      <c r="FQO14" s="109"/>
      <c r="FQP14" s="107" t="s">
        <v>1</v>
      </c>
      <c r="FQQ14" s="108"/>
      <c r="FQR14" s="108"/>
      <c r="FQS14" s="109"/>
      <c r="FQT14" s="107" t="s">
        <v>1</v>
      </c>
      <c r="FQU14" s="108"/>
      <c r="FQV14" s="108"/>
      <c r="FQW14" s="109"/>
      <c r="FQX14" s="107" t="s">
        <v>1</v>
      </c>
      <c r="FQY14" s="108"/>
      <c r="FQZ14" s="108"/>
      <c r="FRA14" s="109"/>
      <c r="FRB14" s="107" t="s">
        <v>1</v>
      </c>
      <c r="FRC14" s="108"/>
      <c r="FRD14" s="108"/>
      <c r="FRE14" s="109"/>
      <c r="FRF14" s="107" t="s">
        <v>1</v>
      </c>
      <c r="FRG14" s="108"/>
      <c r="FRH14" s="108"/>
      <c r="FRI14" s="109"/>
      <c r="FRJ14" s="107" t="s">
        <v>1</v>
      </c>
      <c r="FRK14" s="108"/>
      <c r="FRL14" s="108"/>
      <c r="FRM14" s="109"/>
      <c r="FRN14" s="107" t="s">
        <v>1</v>
      </c>
      <c r="FRO14" s="108"/>
      <c r="FRP14" s="108"/>
      <c r="FRQ14" s="109"/>
      <c r="FRR14" s="107" t="s">
        <v>1</v>
      </c>
      <c r="FRS14" s="108"/>
      <c r="FRT14" s="108"/>
      <c r="FRU14" s="109"/>
      <c r="FRV14" s="107" t="s">
        <v>1</v>
      </c>
      <c r="FRW14" s="108"/>
      <c r="FRX14" s="108"/>
      <c r="FRY14" s="109"/>
      <c r="FRZ14" s="107" t="s">
        <v>1</v>
      </c>
      <c r="FSA14" s="108"/>
      <c r="FSB14" s="108"/>
      <c r="FSC14" s="109"/>
      <c r="FSD14" s="107" t="s">
        <v>1</v>
      </c>
      <c r="FSE14" s="108"/>
      <c r="FSF14" s="108"/>
      <c r="FSG14" s="109"/>
      <c r="FSH14" s="107" t="s">
        <v>1</v>
      </c>
      <c r="FSI14" s="108"/>
      <c r="FSJ14" s="108"/>
      <c r="FSK14" s="109"/>
      <c r="FSL14" s="107" t="s">
        <v>1</v>
      </c>
      <c r="FSM14" s="108"/>
      <c r="FSN14" s="108"/>
      <c r="FSO14" s="109"/>
      <c r="FSP14" s="107" t="s">
        <v>1</v>
      </c>
      <c r="FSQ14" s="108"/>
      <c r="FSR14" s="108"/>
      <c r="FSS14" s="109"/>
      <c r="FST14" s="107" t="s">
        <v>1</v>
      </c>
      <c r="FSU14" s="108"/>
      <c r="FSV14" s="108"/>
      <c r="FSW14" s="109"/>
      <c r="FSX14" s="107" t="s">
        <v>1</v>
      </c>
      <c r="FSY14" s="108"/>
      <c r="FSZ14" s="108"/>
      <c r="FTA14" s="109"/>
      <c r="FTB14" s="107" t="s">
        <v>1</v>
      </c>
      <c r="FTC14" s="108"/>
      <c r="FTD14" s="108"/>
      <c r="FTE14" s="109"/>
      <c r="FTF14" s="107" t="s">
        <v>1</v>
      </c>
      <c r="FTG14" s="108"/>
      <c r="FTH14" s="108"/>
      <c r="FTI14" s="109"/>
      <c r="FTJ14" s="107" t="s">
        <v>1</v>
      </c>
      <c r="FTK14" s="108"/>
      <c r="FTL14" s="108"/>
      <c r="FTM14" s="109"/>
      <c r="FTN14" s="107" t="s">
        <v>1</v>
      </c>
      <c r="FTO14" s="108"/>
      <c r="FTP14" s="108"/>
      <c r="FTQ14" s="109"/>
      <c r="FTR14" s="107" t="s">
        <v>1</v>
      </c>
      <c r="FTS14" s="108"/>
      <c r="FTT14" s="108"/>
      <c r="FTU14" s="109"/>
      <c r="FTV14" s="107" t="s">
        <v>1</v>
      </c>
      <c r="FTW14" s="108"/>
      <c r="FTX14" s="108"/>
      <c r="FTY14" s="109"/>
      <c r="FTZ14" s="107" t="s">
        <v>1</v>
      </c>
      <c r="FUA14" s="108"/>
      <c r="FUB14" s="108"/>
      <c r="FUC14" s="109"/>
      <c r="FUD14" s="107" t="s">
        <v>1</v>
      </c>
      <c r="FUE14" s="108"/>
      <c r="FUF14" s="108"/>
      <c r="FUG14" s="109"/>
      <c r="FUH14" s="107" t="s">
        <v>1</v>
      </c>
      <c r="FUI14" s="108"/>
      <c r="FUJ14" s="108"/>
      <c r="FUK14" s="109"/>
      <c r="FUL14" s="107" t="s">
        <v>1</v>
      </c>
      <c r="FUM14" s="108"/>
      <c r="FUN14" s="108"/>
      <c r="FUO14" s="109"/>
      <c r="FUP14" s="107" t="s">
        <v>1</v>
      </c>
      <c r="FUQ14" s="108"/>
      <c r="FUR14" s="108"/>
      <c r="FUS14" s="109"/>
      <c r="FUT14" s="107" t="s">
        <v>1</v>
      </c>
      <c r="FUU14" s="108"/>
      <c r="FUV14" s="108"/>
      <c r="FUW14" s="109"/>
      <c r="FUX14" s="107" t="s">
        <v>1</v>
      </c>
      <c r="FUY14" s="108"/>
      <c r="FUZ14" s="108"/>
      <c r="FVA14" s="109"/>
      <c r="FVB14" s="107" t="s">
        <v>1</v>
      </c>
      <c r="FVC14" s="108"/>
      <c r="FVD14" s="108"/>
      <c r="FVE14" s="109"/>
      <c r="FVF14" s="107" t="s">
        <v>1</v>
      </c>
      <c r="FVG14" s="108"/>
      <c r="FVH14" s="108"/>
      <c r="FVI14" s="109"/>
      <c r="FVJ14" s="107" t="s">
        <v>1</v>
      </c>
      <c r="FVK14" s="108"/>
      <c r="FVL14" s="108"/>
      <c r="FVM14" s="109"/>
      <c r="FVN14" s="107" t="s">
        <v>1</v>
      </c>
      <c r="FVO14" s="108"/>
      <c r="FVP14" s="108"/>
      <c r="FVQ14" s="109"/>
      <c r="FVR14" s="107" t="s">
        <v>1</v>
      </c>
      <c r="FVS14" s="108"/>
      <c r="FVT14" s="108"/>
      <c r="FVU14" s="109"/>
      <c r="FVV14" s="107" t="s">
        <v>1</v>
      </c>
      <c r="FVW14" s="108"/>
      <c r="FVX14" s="108"/>
      <c r="FVY14" s="109"/>
      <c r="FVZ14" s="107" t="s">
        <v>1</v>
      </c>
      <c r="FWA14" s="108"/>
      <c r="FWB14" s="108"/>
      <c r="FWC14" s="109"/>
      <c r="FWD14" s="107" t="s">
        <v>1</v>
      </c>
      <c r="FWE14" s="108"/>
      <c r="FWF14" s="108"/>
      <c r="FWG14" s="109"/>
      <c r="FWH14" s="107" t="s">
        <v>1</v>
      </c>
      <c r="FWI14" s="108"/>
      <c r="FWJ14" s="108"/>
      <c r="FWK14" s="109"/>
      <c r="FWL14" s="107" t="s">
        <v>1</v>
      </c>
      <c r="FWM14" s="108"/>
      <c r="FWN14" s="108"/>
      <c r="FWO14" s="109"/>
      <c r="FWP14" s="107" t="s">
        <v>1</v>
      </c>
      <c r="FWQ14" s="108"/>
      <c r="FWR14" s="108"/>
      <c r="FWS14" s="109"/>
      <c r="FWT14" s="107" t="s">
        <v>1</v>
      </c>
      <c r="FWU14" s="108"/>
      <c r="FWV14" s="108"/>
      <c r="FWW14" s="109"/>
      <c r="FWX14" s="107" t="s">
        <v>1</v>
      </c>
      <c r="FWY14" s="108"/>
      <c r="FWZ14" s="108"/>
      <c r="FXA14" s="109"/>
      <c r="FXB14" s="107" t="s">
        <v>1</v>
      </c>
      <c r="FXC14" s="108"/>
      <c r="FXD14" s="108"/>
      <c r="FXE14" s="109"/>
      <c r="FXF14" s="107" t="s">
        <v>1</v>
      </c>
      <c r="FXG14" s="108"/>
      <c r="FXH14" s="108"/>
      <c r="FXI14" s="109"/>
      <c r="FXJ14" s="107" t="s">
        <v>1</v>
      </c>
      <c r="FXK14" s="108"/>
      <c r="FXL14" s="108"/>
      <c r="FXM14" s="109"/>
      <c r="FXN14" s="107" t="s">
        <v>1</v>
      </c>
      <c r="FXO14" s="108"/>
      <c r="FXP14" s="108"/>
      <c r="FXQ14" s="109"/>
      <c r="FXR14" s="107" t="s">
        <v>1</v>
      </c>
      <c r="FXS14" s="108"/>
      <c r="FXT14" s="108"/>
      <c r="FXU14" s="109"/>
      <c r="FXV14" s="107" t="s">
        <v>1</v>
      </c>
      <c r="FXW14" s="108"/>
      <c r="FXX14" s="108"/>
      <c r="FXY14" s="109"/>
      <c r="FXZ14" s="107" t="s">
        <v>1</v>
      </c>
      <c r="FYA14" s="108"/>
      <c r="FYB14" s="108"/>
      <c r="FYC14" s="109"/>
      <c r="FYD14" s="107" t="s">
        <v>1</v>
      </c>
      <c r="FYE14" s="108"/>
      <c r="FYF14" s="108"/>
      <c r="FYG14" s="109"/>
      <c r="FYH14" s="107" t="s">
        <v>1</v>
      </c>
      <c r="FYI14" s="108"/>
      <c r="FYJ14" s="108"/>
      <c r="FYK14" s="109"/>
      <c r="FYL14" s="107" t="s">
        <v>1</v>
      </c>
      <c r="FYM14" s="108"/>
      <c r="FYN14" s="108"/>
      <c r="FYO14" s="109"/>
      <c r="FYP14" s="107" t="s">
        <v>1</v>
      </c>
      <c r="FYQ14" s="108"/>
      <c r="FYR14" s="108"/>
      <c r="FYS14" s="109"/>
      <c r="FYT14" s="107" t="s">
        <v>1</v>
      </c>
      <c r="FYU14" s="108"/>
      <c r="FYV14" s="108"/>
      <c r="FYW14" s="109"/>
      <c r="FYX14" s="107" t="s">
        <v>1</v>
      </c>
      <c r="FYY14" s="108"/>
      <c r="FYZ14" s="108"/>
      <c r="FZA14" s="109"/>
      <c r="FZB14" s="107" t="s">
        <v>1</v>
      </c>
      <c r="FZC14" s="108"/>
      <c r="FZD14" s="108"/>
      <c r="FZE14" s="109"/>
      <c r="FZF14" s="107" t="s">
        <v>1</v>
      </c>
      <c r="FZG14" s="108"/>
      <c r="FZH14" s="108"/>
      <c r="FZI14" s="109"/>
      <c r="FZJ14" s="107" t="s">
        <v>1</v>
      </c>
      <c r="FZK14" s="108"/>
      <c r="FZL14" s="108"/>
      <c r="FZM14" s="109"/>
      <c r="FZN14" s="107" t="s">
        <v>1</v>
      </c>
      <c r="FZO14" s="108"/>
      <c r="FZP14" s="108"/>
      <c r="FZQ14" s="109"/>
      <c r="FZR14" s="107" t="s">
        <v>1</v>
      </c>
      <c r="FZS14" s="108"/>
      <c r="FZT14" s="108"/>
      <c r="FZU14" s="109"/>
      <c r="FZV14" s="107" t="s">
        <v>1</v>
      </c>
      <c r="FZW14" s="108"/>
      <c r="FZX14" s="108"/>
      <c r="FZY14" s="109"/>
      <c r="FZZ14" s="107" t="s">
        <v>1</v>
      </c>
      <c r="GAA14" s="108"/>
      <c r="GAB14" s="108"/>
      <c r="GAC14" s="109"/>
      <c r="GAD14" s="107" t="s">
        <v>1</v>
      </c>
      <c r="GAE14" s="108"/>
      <c r="GAF14" s="108"/>
      <c r="GAG14" s="109"/>
      <c r="GAH14" s="107" t="s">
        <v>1</v>
      </c>
      <c r="GAI14" s="108"/>
      <c r="GAJ14" s="108"/>
      <c r="GAK14" s="109"/>
      <c r="GAL14" s="107" t="s">
        <v>1</v>
      </c>
      <c r="GAM14" s="108"/>
      <c r="GAN14" s="108"/>
      <c r="GAO14" s="109"/>
      <c r="GAP14" s="107" t="s">
        <v>1</v>
      </c>
      <c r="GAQ14" s="108"/>
      <c r="GAR14" s="108"/>
      <c r="GAS14" s="109"/>
      <c r="GAT14" s="107" t="s">
        <v>1</v>
      </c>
      <c r="GAU14" s="108"/>
      <c r="GAV14" s="108"/>
      <c r="GAW14" s="109"/>
      <c r="GAX14" s="107" t="s">
        <v>1</v>
      </c>
      <c r="GAY14" s="108"/>
      <c r="GAZ14" s="108"/>
      <c r="GBA14" s="109"/>
      <c r="GBB14" s="107" t="s">
        <v>1</v>
      </c>
      <c r="GBC14" s="108"/>
      <c r="GBD14" s="108"/>
      <c r="GBE14" s="109"/>
      <c r="GBF14" s="107" t="s">
        <v>1</v>
      </c>
      <c r="GBG14" s="108"/>
      <c r="GBH14" s="108"/>
      <c r="GBI14" s="109"/>
      <c r="GBJ14" s="107" t="s">
        <v>1</v>
      </c>
      <c r="GBK14" s="108"/>
      <c r="GBL14" s="108"/>
      <c r="GBM14" s="109"/>
      <c r="GBN14" s="107" t="s">
        <v>1</v>
      </c>
      <c r="GBO14" s="108"/>
      <c r="GBP14" s="108"/>
      <c r="GBQ14" s="109"/>
      <c r="GBR14" s="107" t="s">
        <v>1</v>
      </c>
      <c r="GBS14" s="108"/>
      <c r="GBT14" s="108"/>
      <c r="GBU14" s="109"/>
      <c r="GBV14" s="107" t="s">
        <v>1</v>
      </c>
      <c r="GBW14" s="108"/>
      <c r="GBX14" s="108"/>
      <c r="GBY14" s="109"/>
      <c r="GBZ14" s="107" t="s">
        <v>1</v>
      </c>
      <c r="GCA14" s="108"/>
      <c r="GCB14" s="108"/>
      <c r="GCC14" s="109"/>
      <c r="GCD14" s="107" t="s">
        <v>1</v>
      </c>
      <c r="GCE14" s="108"/>
      <c r="GCF14" s="108"/>
      <c r="GCG14" s="109"/>
      <c r="GCH14" s="107" t="s">
        <v>1</v>
      </c>
      <c r="GCI14" s="108"/>
      <c r="GCJ14" s="108"/>
      <c r="GCK14" s="109"/>
      <c r="GCL14" s="107" t="s">
        <v>1</v>
      </c>
      <c r="GCM14" s="108"/>
      <c r="GCN14" s="108"/>
      <c r="GCO14" s="109"/>
      <c r="GCP14" s="107" t="s">
        <v>1</v>
      </c>
      <c r="GCQ14" s="108"/>
      <c r="GCR14" s="108"/>
      <c r="GCS14" s="109"/>
      <c r="GCT14" s="107" t="s">
        <v>1</v>
      </c>
      <c r="GCU14" s="108"/>
      <c r="GCV14" s="108"/>
      <c r="GCW14" s="109"/>
      <c r="GCX14" s="107" t="s">
        <v>1</v>
      </c>
      <c r="GCY14" s="108"/>
      <c r="GCZ14" s="108"/>
      <c r="GDA14" s="109"/>
      <c r="GDB14" s="107" t="s">
        <v>1</v>
      </c>
      <c r="GDC14" s="108"/>
      <c r="GDD14" s="108"/>
      <c r="GDE14" s="109"/>
      <c r="GDF14" s="107" t="s">
        <v>1</v>
      </c>
      <c r="GDG14" s="108"/>
      <c r="GDH14" s="108"/>
      <c r="GDI14" s="109"/>
      <c r="GDJ14" s="107" t="s">
        <v>1</v>
      </c>
      <c r="GDK14" s="108"/>
      <c r="GDL14" s="108"/>
      <c r="GDM14" s="109"/>
      <c r="GDN14" s="107" t="s">
        <v>1</v>
      </c>
      <c r="GDO14" s="108"/>
      <c r="GDP14" s="108"/>
      <c r="GDQ14" s="109"/>
      <c r="GDR14" s="107" t="s">
        <v>1</v>
      </c>
      <c r="GDS14" s="108"/>
      <c r="GDT14" s="108"/>
      <c r="GDU14" s="109"/>
      <c r="GDV14" s="107" t="s">
        <v>1</v>
      </c>
      <c r="GDW14" s="108"/>
      <c r="GDX14" s="108"/>
      <c r="GDY14" s="109"/>
      <c r="GDZ14" s="107" t="s">
        <v>1</v>
      </c>
      <c r="GEA14" s="108"/>
      <c r="GEB14" s="108"/>
      <c r="GEC14" s="109"/>
      <c r="GED14" s="107" t="s">
        <v>1</v>
      </c>
      <c r="GEE14" s="108"/>
      <c r="GEF14" s="108"/>
      <c r="GEG14" s="109"/>
      <c r="GEH14" s="107" t="s">
        <v>1</v>
      </c>
      <c r="GEI14" s="108"/>
      <c r="GEJ14" s="108"/>
      <c r="GEK14" s="109"/>
      <c r="GEL14" s="107" t="s">
        <v>1</v>
      </c>
      <c r="GEM14" s="108"/>
      <c r="GEN14" s="108"/>
      <c r="GEO14" s="109"/>
      <c r="GEP14" s="107" t="s">
        <v>1</v>
      </c>
      <c r="GEQ14" s="108"/>
      <c r="GER14" s="108"/>
      <c r="GES14" s="109"/>
      <c r="GET14" s="107" t="s">
        <v>1</v>
      </c>
      <c r="GEU14" s="108"/>
      <c r="GEV14" s="108"/>
      <c r="GEW14" s="109"/>
      <c r="GEX14" s="107" t="s">
        <v>1</v>
      </c>
      <c r="GEY14" s="108"/>
      <c r="GEZ14" s="108"/>
      <c r="GFA14" s="109"/>
      <c r="GFB14" s="107" t="s">
        <v>1</v>
      </c>
      <c r="GFC14" s="108"/>
      <c r="GFD14" s="108"/>
      <c r="GFE14" s="109"/>
      <c r="GFF14" s="107" t="s">
        <v>1</v>
      </c>
      <c r="GFG14" s="108"/>
      <c r="GFH14" s="108"/>
      <c r="GFI14" s="109"/>
      <c r="GFJ14" s="107" t="s">
        <v>1</v>
      </c>
      <c r="GFK14" s="108"/>
      <c r="GFL14" s="108"/>
      <c r="GFM14" s="109"/>
      <c r="GFN14" s="107" t="s">
        <v>1</v>
      </c>
      <c r="GFO14" s="108"/>
      <c r="GFP14" s="108"/>
      <c r="GFQ14" s="109"/>
      <c r="GFR14" s="107" t="s">
        <v>1</v>
      </c>
      <c r="GFS14" s="108"/>
      <c r="GFT14" s="108"/>
      <c r="GFU14" s="109"/>
      <c r="GFV14" s="107" t="s">
        <v>1</v>
      </c>
      <c r="GFW14" s="108"/>
      <c r="GFX14" s="108"/>
      <c r="GFY14" s="109"/>
      <c r="GFZ14" s="107" t="s">
        <v>1</v>
      </c>
      <c r="GGA14" s="108"/>
      <c r="GGB14" s="108"/>
      <c r="GGC14" s="109"/>
      <c r="GGD14" s="107" t="s">
        <v>1</v>
      </c>
      <c r="GGE14" s="108"/>
      <c r="GGF14" s="108"/>
      <c r="GGG14" s="109"/>
      <c r="GGH14" s="107" t="s">
        <v>1</v>
      </c>
      <c r="GGI14" s="108"/>
      <c r="GGJ14" s="108"/>
      <c r="GGK14" s="109"/>
      <c r="GGL14" s="107" t="s">
        <v>1</v>
      </c>
      <c r="GGM14" s="108"/>
      <c r="GGN14" s="108"/>
      <c r="GGO14" s="109"/>
      <c r="GGP14" s="107" t="s">
        <v>1</v>
      </c>
      <c r="GGQ14" s="108"/>
      <c r="GGR14" s="108"/>
      <c r="GGS14" s="109"/>
      <c r="GGT14" s="107" t="s">
        <v>1</v>
      </c>
      <c r="GGU14" s="108"/>
      <c r="GGV14" s="108"/>
      <c r="GGW14" s="109"/>
      <c r="GGX14" s="107" t="s">
        <v>1</v>
      </c>
      <c r="GGY14" s="108"/>
      <c r="GGZ14" s="108"/>
      <c r="GHA14" s="109"/>
      <c r="GHB14" s="107" t="s">
        <v>1</v>
      </c>
      <c r="GHC14" s="108"/>
      <c r="GHD14" s="108"/>
      <c r="GHE14" s="109"/>
      <c r="GHF14" s="107" t="s">
        <v>1</v>
      </c>
      <c r="GHG14" s="108"/>
      <c r="GHH14" s="108"/>
      <c r="GHI14" s="109"/>
      <c r="GHJ14" s="107" t="s">
        <v>1</v>
      </c>
      <c r="GHK14" s="108"/>
      <c r="GHL14" s="108"/>
      <c r="GHM14" s="109"/>
      <c r="GHN14" s="107" t="s">
        <v>1</v>
      </c>
      <c r="GHO14" s="108"/>
      <c r="GHP14" s="108"/>
      <c r="GHQ14" s="109"/>
      <c r="GHR14" s="107" t="s">
        <v>1</v>
      </c>
      <c r="GHS14" s="108"/>
      <c r="GHT14" s="108"/>
      <c r="GHU14" s="109"/>
      <c r="GHV14" s="107" t="s">
        <v>1</v>
      </c>
      <c r="GHW14" s="108"/>
      <c r="GHX14" s="108"/>
      <c r="GHY14" s="109"/>
      <c r="GHZ14" s="107" t="s">
        <v>1</v>
      </c>
      <c r="GIA14" s="108"/>
      <c r="GIB14" s="108"/>
      <c r="GIC14" s="109"/>
      <c r="GID14" s="107" t="s">
        <v>1</v>
      </c>
      <c r="GIE14" s="108"/>
      <c r="GIF14" s="108"/>
      <c r="GIG14" s="109"/>
      <c r="GIH14" s="107" t="s">
        <v>1</v>
      </c>
      <c r="GII14" s="108"/>
      <c r="GIJ14" s="108"/>
      <c r="GIK14" s="109"/>
      <c r="GIL14" s="107" t="s">
        <v>1</v>
      </c>
      <c r="GIM14" s="108"/>
      <c r="GIN14" s="108"/>
      <c r="GIO14" s="109"/>
      <c r="GIP14" s="107" t="s">
        <v>1</v>
      </c>
      <c r="GIQ14" s="108"/>
      <c r="GIR14" s="108"/>
      <c r="GIS14" s="109"/>
      <c r="GIT14" s="107" t="s">
        <v>1</v>
      </c>
      <c r="GIU14" s="108"/>
      <c r="GIV14" s="108"/>
      <c r="GIW14" s="109"/>
      <c r="GIX14" s="107" t="s">
        <v>1</v>
      </c>
      <c r="GIY14" s="108"/>
      <c r="GIZ14" s="108"/>
      <c r="GJA14" s="109"/>
      <c r="GJB14" s="107" t="s">
        <v>1</v>
      </c>
      <c r="GJC14" s="108"/>
      <c r="GJD14" s="108"/>
      <c r="GJE14" s="109"/>
      <c r="GJF14" s="107" t="s">
        <v>1</v>
      </c>
      <c r="GJG14" s="108"/>
      <c r="GJH14" s="108"/>
      <c r="GJI14" s="109"/>
      <c r="GJJ14" s="107" t="s">
        <v>1</v>
      </c>
      <c r="GJK14" s="108"/>
      <c r="GJL14" s="108"/>
      <c r="GJM14" s="109"/>
      <c r="GJN14" s="107" t="s">
        <v>1</v>
      </c>
      <c r="GJO14" s="108"/>
      <c r="GJP14" s="108"/>
      <c r="GJQ14" s="109"/>
      <c r="GJR14" s="107" t="s">
        <v>1</v>
      </c>
      <c r="GJS14" s="108"/>
      <c r="GJT14" s="108"/>
      <c r="GJU14" s="109"/>
      <c r="GJV14" s="107" t="s">
        <v>1</v>
      </c>
      <c r="GJW14" s="108"/>
      <c r="GJX14" s="108"/>
      <c r="GJY14" s="109"/>
      <c r="GJZ14" s="107" t="s">
        <v>1</v>
      </c>
      <c r="GKA14" s="108"/>
      <c r="GKB14" s="108"/>
      <c r="GKC14" s="109"/>
      <c r="GKD14" s="107" t="s">
        <v>1</v>
      </c>
      <c r="GKE14" s="108"/>
      <c r="GKF14" s="108"/>
      <c r="GKG14" s="109"/>
      <c r="GKH14" s="107" t="s">
        <v>1</v>
      </c>
      <c r="GKI14" s="108"/>
      <c r="GKJ14" s="108"/>
      <c r="GKK14" s="109"/>
      <c r="GKL14" s="107" t="s">
        <v>1</v>
      </c>
      <c r="GKM14" s="108"/>
      <c r="GKN14" s="108"/>
      <c r="GKO14" s="109"/>
      <c r="GKP14" s="107" t="s">
        <v>1</v>
      </c>
      <c r="GKQ14" s="108"/>
      <c r="GKR14" s="108"/>
      <c r="GKS14" s="109"/>
      <c r="GKT14" s="107" t="s">
        <v>1</v>
      </c>
      <c r="GKU14" s="108"/>
      <c r="GKV14" s="108"/>
      <c r="GKW14" s="109"/>
      <c r="GKX14" s="107" t="s">
        <v>1</v>
      </c>
      <c r="GKY14" s="108"/>
      <c r="GKZ14" s="108"/>
      <c r="GLA14" s="109"/>
      <c r="GLB14" s="107" t="s">
        <v>1</v>
      </c>
      <c r="GLC14" s="108"/>
      <c r="GLD14" s="108"/>
      <c r="GLE14" s="109"/>
      <c r="GLF14" s="107" t="s">
        <v>1</v>
      </c>
      <c r="GLG14" s="108"/>
      <c r="GLH14" s="108"/>
      <c r="GLI14" s="109"/>
      <c r="GLJ14" s="107" t="s">
        <v>1</v>
      </c>
      <c r="GLK14" s="108"/>
      <c r="GLL14" s="108"/>
      <c r="GLM14" s="109"/>
      <c r="GLN14" s="107" t="s">
        <v>1</v>
      </c>
      <c r="GLO14" s="108"/>
      <c r="GLP14" s="108"/>
      <c r="GLQ14" s="109"/>
      <c r="GLR14" s="107" t="s">
        <v>1</v>
      </c>
      <c r="GLS14" s="108"/>
      <c r="GLT14" s="108"/>
      <c r="GLU14" s="109"/>
      <c r="GLV14" s="107" t="s">
        <v>1</v>
      </c>
      <c r="GLW14" s="108"/>
      <c r="GLX14" s="108"/>
      <c r="GLY14" s="109"/>
      <c r="GLZ14" s="107" t="s">
        <v>1</v>
      </c>
      <c r="GMA14" s="108"/>
      <c r="GMB14" s="108"/>
      <c r="GMC14" s="109"/>
      <c r="GMD14" s="107" t="s">
        <v>1</v>
      </c>
      <c r="GME14" s="108"/>
      <c r="GMF14" s="108"/>
      <c r="GMG14" s="109"/>
      <c r="GMH14" s="107" t="s">
        <v>1</v>
      </c>
      <c r="GMI14" s="108"/>
      <c r="GMJ14" s="108"/>
      <c r="GMK14" s="109"/>
      <c r="GML14" s="107" t="s">
        <v>1</v>
      </c>
      <c r="GMM14" s="108"/>
      <c r="GMN14" s="108"/>
      <c r="GMO14" s="109"/>
      <c r="GMP14" s="107" t="s">
        <v>1</v>
      </c>
      <c r="GMQ14" s="108"/>
      <c r="GMR14" s="108"/>
      <c r="GMS14" s="109"/>
      <c r="GMT14" s="107" t="s">
        <v>1</v>
      </c>
      <c r="GMU14" s="108"/>
      <c r="GMV14" s="108"/>
      <c r="GMW14" s="109"/>
      <c r="GMX14" s="107" t="s">
        <v>1</v>
      </c>
      <c r="GMY14" s="108"/>
      <c r="GMZ14" s="108"/>
      <c r="GNA14" s="109"/>
      <c r="GNB14" s="107" t="s">
        <v>1</v>
      </c>
      <c r="GNC14" s="108"/>
      <c r="GND14" s="108"/>
      <c r="GNE14" s="109"/>
      <c r="GNF14" s="107" t="s">
        <v>1</v>
      </c>
      <c r="GNG14" s="108"/>
      <c r="GNH14" s="108"/>
      <c r="GNI14" s="109"/>
      <c r="GNJ14" s="107" t="s">
        <v>1</v>
      </c>
      <c r="GNK14" s="108"/>
      <c r="GNL14" s="108"/>
      <c r="GNM14" s="109"/>
      <c r="GNN14" s="107" t="s">
        <v>1</v>
      </c>
      <c r="GNO14" s="108"/>
      <c r="GNP14" s="108"/>
      <c r="GNQ14" s="109"/>
      <c r="GNR14" s="107" t="s">
        <v>1</v>
      </c>
      <c r="GNS14" s="108"/>
      <c r="GNT14" s="108"/>
      <c r="GNU14" s="109"/>
      <c r="GNV14" s="107" t="s">
        <v>1</v>
      </c>
      <c r="GNW14" s="108"/>
      <c r="GNX14" s="108"/>
      <c r="GNY14" s="109"/>
      <c r="GNZ14" s="107" t="s">
        <v>1</v>
      </c>
      <c r="GOA14" s="108"/>
      <c r="GOB14" s="108"/>
      <c r="GOC14" s="109"/>
      <c r="GOD14" s="107" t="s">
        <v>1</v>
      </c>
      <c r="GOE14" s="108"/>
      <c r="GOF14" s="108"/>
      <c r="GOG14" s="109"/>
      <c r="GOH14" s="107" t="s">
        <v>1</v>
      </c>
      <c r="GOI14" s="108"/>
      <c r="GOJ14" s="108"/>
      <c r="GOK14" s="109"/>
      <c r="GOL14" s="107" t="s">
        <v>1</v>
      </c>
      <c r="GOM14" s="108"/>
      <c r="GON14" s="108"/>
      <c r="GOO14" s="109"/>
      <c r="GOP14" s="107" t="s">
        <v>1</v>
      </c>
      <c r="GOQ14" s="108"/>
      <c r="GOR14" s="108"/>
      <c r="GOS14" s="109"/>
      <c r="GOT14" s="107" t="s">
        <v>1</v>
      </c>
      <c r="GOU14" s="108"/>
      <c r="GOV14" s="108"/>
      <c r="GOW14" s="109"/>
      <c r="GOX14" s="107" t="s">
        <v>1</v>
      </c>
      <c r="GOY14" s="108"/>
      <c r="GOZ14" s="108"/>
      <c r="GPA14" s="109"/>
      <c r="GPB14" s="107" t="s">
        <v>1</v>
      </c>
      <c r="GPC14" s="108"/>
      <c r="GPD14" s="108"/>
      <c r="GPE14" s="109"/>
      <c r="GPF14" s="107" t="s">
        <v>1</v>
      </c>
      <c r="GPG14" s="108"/>
      <c r="GPH14" s="108"/>
      <c r="GPI14" s="109"/>
      <c r="GPJ14" s="107" t="s">
        <v>1</v>
      </c>
      <c r="GPK14" s="108"/>
      <c r="GPL14" s="108"/>
      <c r="GPM14" s="109"/>
      <c r="GPN14" s="107" t="s">
        <v>1</v>
      </c>
      <c r="GPO14" s="108"/>
      <c r="GPP14" s="108"/>
      <c r="GPQ14" s="109"/>
      <c r="GPR14" s="107" t="s">
        <v>1</v>
      </c>
      <c r="GPS14" s="108"/>
      <c r="GPT14" s="108"/>
      <c r="GPU14" s="109"/>
      <c r="GPV14" s="107" t="s">
        <v>1</v>
      </c>
      <c r="GPW14" s="108"/>
      <c r="GPX14" s="108"/>
      <c r="GPY14" s="109"/>
      <c r="GPZ14" s="107" t="s">
        <v>1</v>
      </c>
      <c r="GQA14" s="108"/>
      <c r="GQB14" s="108"/>
      <c r="GQC14" s="109"/>
      <c r="GQD14" s="107" t="s">
        <v>1</v>
      </c>
      <c r="GQE14" s="108"/>
      <c r="GQF14" s="108"/>
      <c r="GQG14" s="109"/>
      <c r="GQH14" s="107" t="s">
        <v>1</v>
      </c>
      <c r="GQI14" s="108"/>
      <c r="GQJ14" s="108"/>
      <c r="GQK14" s="109"/>
      <c r="GQL14" s="107" t="s">
        <v>1</v>
      </c>
      <c r="GQM14" s="108"/>
      <c r="GQN14" s="108"/>
      <c r="GQO14" s="109"/>
      <c r="GQP14" s="107" t="s">
        <v>1</v>
      </c>
      <c r="GQQ14" s="108"/>
      <c r="GQR14" s="108"/>
      <c r="GQS14" s="109"/>
      <c r="GQT14" s="107" t="s">
        <v>1</v>
      </c>
      <c r="GQU14" s="108"/>
      <c r="GQV14" s="108"/>
      <c r="GQW14" s="109"/>
      <c r="GQX14" s="107" t="s">
        <v>1</v>
      </c>
      <c r="GQY14" s="108"/>
      <c r="GQZ14" s="108"/>
      <c r="GRA14" s="109"/>
      <c r="GRB14" s="107" t="s">
        <v>1</v>
      </c>
      <c r="GRC14" s="108"/>
      <c r="GRD14" s="108"/>
      <c r="GRE14" s="109"/>
      <c r="GRF14" s="107" t="s">
        <v>1</v>
      </c>
      <c r="GRG14" s="108"/>
      <c r="GRH14" s="108"/>
      <c r="GRI14" s="109"/>
      <c r="GRJ14" s="107" t="s">
        <v>1</v>
      </c>
      <c r="GRK14" s="108"/>
      <c r="GRL14" s="108"/>
      <c r="GRM14" s="109"/>
      <c r="GRN14" s="107" t="s">
        <v>1</v>
      </c>
      <c r="GRO14" s="108"/>
      <c r="GRP14" s="108"/>
      <c r="GRQ14" s="109"/>
      <c r="GRR14" s="107" t="s">
        <v>1</v>
      </c>
      <c r="GRS14" s="108"/>
      <c r="GRT14" s="108"/>
      <c r="GRU14" s="109"/>
      <c r="GRV14" s="107" t="s">
        <v>1</v>
      </c>
      <c r="GRW14" s="108"/>
      <c r="GRX14" s="108"/>
      <c r="GRY14" s="109"/>
      <c r="GRZ14" s="107" t="s">
        <v>1</v>
      </c>
      <c r="GSA14" s="108"/>
      <c r="GSB14" s="108"/>
      <c r="GSC14" s="109"/>
      <c r="GSD14" s="107" t="s">
        <v>1</v>
      </c>
      <c r="GSE14" s="108"/>
      <c r="GSF14" s="108"/>
      <c r="GSG14" s="109"/>
      <c r="GSH14" s="107" t="s">
        <v>1</v>
      </c>
      <c r="GSI14" s="108"/>
      <c r="GSJ14" s="108"/>
      <c r="GSK14" s="109"/>
      <c r="GSL14" s="107" t="s">
        <v>1</v>
      </c>
      <c r="GSM14" s="108"/>
      <c r="GSN14" s="108"/>
      <c r="GSO14" s="109"/>
      <c r="GSP14" s="107" t="s">
        <v>1</v>
      </c>
      <c r="GSQ14" s="108"/>
      <c r="GSR14" s="108"/>
      <c r="GSS14" s="109"/>
      <c r="GST14" s="107" t="s">
        <v>1</v>
      </c>
      <c r="GSU14" s="108"/>
      <c r="GSV14" s="108"/>
      <c r="GSW14" s="109"/>
      <c r="GSX14" s="107" t="s">
        <v>1</v>
      </c>
      <c r="GSY14" s="108"/>
      <c r="GSZ14" s="108"/>
      <c r="GTA14" s="109"/>
      <c r="GTB14" s="107" t="s">
        <v>1</v>
      </c>
      <c r="GTC14" s="108"/>
      <c r="GTD14" s="108"/>
      <c r="GTE14" s="109"/>
      <c r="GTF14" s="107" t="s">
        <v>1</v>
      </c>
      <c r="GTG14" s="108"/>
      <c r="GTH14" s="108"/>
      <c r="GTI14" s="109"/>
      <c r="GTJ14" s="107" t="s">
        <v>1</v>
      </c>
      <c r="GTK14" s="108"/>
      <c r="GTL14" s="108"/>
      <c r="GTM14" s="109"/>
      <c r="GTN14" s="107" t="s">
        <v>1</v>
      </c>
      <c r="GTO14" s="108"/>
      <c r="GTP14" s="108"/>
      <c r="GTQ14" s="109"/>
      <c r="GTR14" s="107" t="s">
        <v>1</v>
      </c>
      <c r="GTS14" s="108"/>
      <c r="GTT14" s="108"/>
      <c r="GTU14" s="109"/>
      <c r="GTV14" s="107" t="s">
        <v>1</v>
      </c>
      <c r="GTW14" s="108"/>
      <c r="GTX14" s="108"/>
      <c r="GTY14" s="109"/>
      <c r="GTZ14" s="107" t="s">
        <v>1</v>
      </c>
      <c r="GUA14" s="108"/>
      <c r="GUB14" s="108"/>
      <c r="GUC14" s="109"/>
      <c r="GUD14" s="107" t="s">
        <v>1</v>
      </c>
      <c r="GUE14" s="108"/>
      <c r="GUF14" s="108"/>
      <c r="GUG14" s="109"/>
      <c r="GUH14" s="107" t="s">
        <v>1</v>
      </c>
      <c r="GUI14" s="108"/>
      <c r="GUJ14" s="108"/>
      <c r="GUK14" s="109"/>
      <c r="GUL14" s="107" t="s">
        <v>1</v>
      </c>
      <c r="GUM14" s="108"/>
      <c r="GUN14" s="108"/>
      <c r="GUO14" s="109"/>
      <c r="GUP14" s="107" t="s">
        <v>1</v>
      </c>
      <c r="GUQ14" s="108"/>
      <c r="GUR14" s="108"/>
      <c r="GUS14" s="109"/>
      <c r="GUT14" s="107" t="s">
        <v>1</v>
      </c>
      <c r="GUU14" s="108"/>
      <c r="GUV14" s="108"/>
      <c r="GUW14" s="109"/>
      <c r="GUX14" s="107" t="s">
        <v>1</v>
      </c>
      <c r="GUY14" s="108"/>
      <c r="GUZ14" s="108"/>
      <c r="GVA14" s="109"/>
      <c r="GVB14" s="107" t="s">
        <v>1</v>
      </c>
      <c r="GVC14" s="108"/>
      <c r="GVD14" s="108"/>
      <c r="GVE14" s="109"/>
      <c r="GVF14" s="107" t="s">
        <v>1</v>
      </c>
      <c r="GVG14" s="108"/>
      <c r="GVH14" s="108"/>
      <c r="GVI14" s="109"/>
      <c r="GVJ14" s="107" t="s">
        <v>1</v>
      </c>
      <c r="GVK14" s="108"/>
      <c r="GVL14" s="108"/>
      <c r="GVM14" s="109"/>
      <c r="GVN14" s="107" t="s">
        <v>1</v>
      </c>
      <c r="GVO14" s="108"/>
      <c r="GVP14" s="108"/>
      <c r="GVQ14" s="109"/>
      <c r="GVR14" s="107" t="s">
        <v>1</v>
      </c>
      <c r="GVS14" s="108"/>
      <c r="GVT14" s="108"/>
      <c r="GVU14" s="109"/>
      <c r="GVV14" s="107" t="s">
        <v>1</v>
      </c>
      <c r="GVW14" s="108"/>
      <c r="GVX14" s="108"/>
      <c r="GVY14" s="109"/>
      <c r="GVZ14" s="107" t="s">
        <v>1</v>
      </c>
      <c r="GWA14" s="108"/>
      <c r="GWB14" s="108"/>
      <c r="GWC14" s="109"/>
      <c r="GWD14" s="107" t="s">
        <v>1</v>
      </c>
      <c r="GWE14" s="108"/>
      <c r="GWF14" s="108"/>
      <c r="GWG14" s="109"/>
      <c r="GWH14" s="107" t="s">
        <v>1</v>
      </c>
      <c r="GWI14" s="108"/>
      <c r="GWJ14" s="108"/>
      <c r="GWK14" s="109"/>
      <c r="GWL14" s="107" t="s">
        <v>1</v>
      </c>
      <c r="GWM14" s="108"/>
      <c r="GWN14" s="108"/>
      <c r="GWO14" s="109"/>
      <c r="GWP14" s="107" t="s">
        <v>1</v>
      </c>
      <c r="GWQ14" s="108"/>
      <c r="GWR14" s="108"/>
      <c r="GWS14" s="109"/>
      <c r="GWT14" s="107" t="s">
        <v>1</v>
      </c>
      <c r="GWU14" s="108"/>
      <c r="GWV14" s="108"/>
      <c r="GWW14" s="109"/>
      <c r="GWX14" s="107" t="s">
        <v>1</v>
      </c>
      <c r="GWY14" s="108"/>
      <c r="GWZ14" s="108"/>
      <c r="GXA14" s="109"/>
      <c r="GXB14" s="107" t="s">
        <v>1</v>
      </c>
      <c r="GXC14" s="108"/>
      <c r="GXD14" s="108"/>
      <c r="GXE14" s="109"/>
      <c r="GXF14" s="107" t="s">
        <v>1</v>
      </c>
      <c r="GXG14" s="108"/>
      <c r="GXH14" s="108"/>
      <c r="GXI14" s="109"/>
      <c r="GXJ14" s="107" t="s">
        <v>1</v>
      </c>
      <c r="GXK14" s="108"/>
      <c r="GXL14" s="108"/>
      <c r="GXM14" s="109"/>
      <c r="GXN14" s="107" t="s">
        <v>1</v>
      </c>
      <c r="GXO14" s="108"/>
      <c r="GXP14" s="108"/>
      <c r="GXQ14" s="109"/>
      <c r="GXR14" s="107" t="s">
        <v>1</v>
      </c>
      <c r="GXS14" s="108"/>
      <c r="GXT14" s="108"/>
      <c r="GXU14" s="109"/>
      <c r="GXV14" s="107" t="s">
        <v>1</v>
      </c>
      <c r="GXW14" s="108"/>
      <c r="GXX14" s="108"/>
      <c r="GXY14" s="109"/>
      <c r="GXZ14" s="107" t="s">
        <v>1</v>
      </c>
      <c r="GYA14" s="108"/>
      <c r="GYB14" s="108"/>
      <c r="GYC14" s="109"/>
      <c r="GYD14" s="107" t="s">
        <v>1</v>
      </c>
      <c r="GYE14" s="108"/>
      <c r="GYF14" s="108"/>
      <c r="GYG14" s="109"/>
      <c r="GYH14" s="107" t="s">
        <v>1</v>
      </c>
      <c r="GYI14" s="108"/>
      <c r="GYJ14" s="108"/>
      <c r="GYK14" s="109"/>
      <c r="GYL14" s="107" t="s">
        <v>1</v>
      </c>
      <c r="GYM14" s="108"/>
      <c r="GYN14" s="108"/>
      <c r="GYO14" s="109"/>
      <c r="GYP14" s="107" t="s">
        <v>1</v>
      </c>
      <c r="GYQ14" s="108"/>
      <c r="GYR14" s="108"/>
      <c r="GYS14" s="109"/>
      <c r="GYT14" s="107" t="s">
        <v>1</v>
      </c>
      <c r="GYU14" s="108"/>
      <c r="GYV14" s="108"/>
      <c r="GYW14" s="109"/>
      <c r="GYX14" s="107" t="s">
        <v>1</v>
      </c>
      <c r="GYY14" s="108"/>
      <c r="GYZ14" s="108"/>
      <c r="GZA14" s="109"/>
      <c r="GZB14" s="107" t="s">
        <v>1</v>
      </c>
      <c r="GZC14" s="108"/>
      <c r="GZD14" s="108"/>
      <c r="GZE14" s="109"/>
      <c r="GZF14" s="107" t="s">
        <v>1</v>
      </c>
      <c r="GZG14" s="108"/>
      <c r="GZH14" s="108"/>
      <c r="GZI14" s="109"/>
      <c r="GZJ14" s="107" t="s">
        <v>1</v>
      </c>
      <c r="GZK14" s="108"/>
      <c r="GZL14" s="108"/>
      <c r="GZM14" s="109"/>
      <c r="GZN14" s="107" t="s">
        <v>1</v>
      </c>
      <c r="GZO14" s="108"/>
      <c r="GZP14" s="108"/>
      <c r="GZQ14" s="109"/>
      <c r="GZR14" s="107" t="s">
        <v>1</v>
      </c>
      <c r="GZS14" s="108"/>
      <c r="GZT14" s="108"/>
      <c r="GZU14" s="109"/>
      <c r="GZV14" s="107" t="s">
        <v>1</v>
      </c>
      <c r="GZW14" s="108"/>
      <c r="GZX14" s="108"/>
      <c r="GZY14" s="109"/>
      <c r="GZZ14" s="107" t="s">
        <v>1</v>
      </c>
      <c r="HAA14" s="108"/>
      <c r="HAB14" s="108"/>
      <c r="HAC14" s="109"/>
      <c r="HAD14" s="107" t="s">
        <v>1</v>
      </c>
      <c r="HAE14" s="108"/>
      <c r="HAF14" s="108"/>
      <c r="HAG14" s="109"/>
      <c r="HAH14" s="107" t="s">
        <v>1</v>
      </c>
      <c r="HAI14" s="108"/>
      <c r="HAJ14" s="108"/>
      <c r="HAK14" s="109"/>
      <c r="HAL14" s="107" t="s">
        <v>1</v>
      </c>
      <c r="HAM14" s="108"/>
      <c r="HAN14" s="108"/>
      <c r="HAO14" s="109"/>
      <c r="HAP14" s="107" t="s">
        <v>1</v>
      </c>
      <c r="HAQ14" s="108"/>
      <c r="HAR14" s="108"/>
      <c r="HAS14" s="109"/>
      <c r="HAT14" s="107" t="s">
        <v>1</v>
      </c>
      <c r="HAU14" s="108"/>
      <c r="HAV14" s="108"/>
      <c r="HAW14" s="109"/>
      <c r="HAX14" s="107" t="s">
        <v>1</v>
      </c>
      <c r="HAY14" s="108"/>
      <c r="HAZ14" s="108"/>
      <c r="HBA14" s="109"/>
      <c r="HBB14" s="107" t="s">
        <v>1</v>
      </c>
      <c r="HBC14" s="108"/>
      <c r="HBD14" s="108"/>
      <c r="HBE14" s="109"/>
      <c r="HBF14" s="107" t="s">
        <v>1</v>
      </c>
      <c r="HBG14" s="108"/>
      <c r="HBH14" s="108"/>
      <c r="HBI14" s="109"/>
      <c r="HBJ14" s="107" t="s">
        <v>1</v>
      </c>
      <c r="HBK14" s="108"/>
      <c r="HBL14" s="108"/>
      <c r="HBM14" s="109"/>
      <c r="HBN14" s="107" t="s">
        <v>1</v>
      </c>
      <c r="HBO14" s="108"/>
      <c r="HBP14" s="108"/>
      <c r="HBQ14" s="109"/>
      <c r="HBR14" s="107" t="s">
        <v>1</v>
      </c>
      <c r="HBS14" s="108"/>
      <c r="HBT14" s="108"/>
      <c r="HBU14" s="109"/>
      <c r="HBV14" s="107" t="s">
        <v>1</v>
      </c>
      <c r="HBW14" s="108"/>
      <c r="HBX14" s="108"/>
      <c r="HBY14" s="109"/>
      <c r="HBZ14" s="107" t="s">
        <v>1</v>
      </c>
      <c r="HCA14" s="108"/>
      <c r="HCB14" s="108"/>
      <c r="HCC14" s="109"/>
      <c r="HCD14" s="107" t="s">
        <v>1</v>
      </c>
      <c r="HCE14" s="108"/>
      <c r="HCF14" s="108"/>
      <c r="HCG14" s="109"/>
      <c r="HCH14" s="107" t="s">
        <v>1</v>
      </c>
      <c r="HCI14" s="108"/>
      <c r="HCJ14" s="108"/>
      <c r="HCK14" s="109"/>
      <c r="HCL14" s="107" t="s">
        <v>1</v>
      </c>
      <c r="HCM14" s="108"/>
      <c r="HCN14" s="108"/>
      <c r="HCO14" s="109"/>
      <c r="HCP14" s="107" t="s">
        <v>1</v>
      </c>
      <c r="HCQ14" s="108"/>
      <c r="HCR14" s="108"/>
      <c r="HCS14" s="109"/>
      <c r="HCT14" s="107" t="s">
        <v>1</v>
      </c>
      <c r="HCU14" s="108"/>
      <c r="HCV14" s="108"/>
      <c r="HCW14" s="109"/>
      <c r="HCX14" s="107" t="s">
        <v>1</v>
      </c>
      <c r="HCY14" s="108"/>
      <c r="HCZ14" s="108"/>
      <c r="HDA14" s="109"/>
      <c r="HDB14" s="107" t="s">
        <v>1</v>
      </c>
      <c r="HDC14" s="108"/>
      <c r="HDD14" s="108"/>
      <c r="HDE14" s="109"/>
      <c r="HDF14" s="107" t="s">
        <v>1</v>
      </c>
      <c r="HDG14" s="108"/>
      <c r="HDH14" s="108"/>
      <c r="HDI14" s="109"/>
      <c r="HDJ14" s="107" t="s">
        <v>1</v>
      </c>
      <c r="HDK14" s="108"/>
      <c r="HDL14" s="108"/>
      <c r="HDM14" s="109"/>
      <c r="HDN14" s="107" t="s">
        <v>1</v>
      </c>
      <c r="HDO14" s="108"/>
      <c r="HDP14" s="108"/>
      <c r="HDQ14" s="109"/>
      <c r="HDR14" s="107" t="s">
        <v>1</v>
      </c>
      <c r="HDS14" s="108"/>
      <c r="HDT14" s="108"/>
      <c r="HDU14" s="109"/>
      <c r="HDV14" s="107" t="s">
        <v>1</v>
      </c>
      <c r="HDW14" s="108"/>
      <c r="HDX14" s="108"/>
      <c r="HDY14" s="109"/>
      <c r="HDZ14" s="107" t="s">
        <v>1</v>
      </c>
      <c r="HEA14" s="108"/>
      <c r="HEB14" s="108"/>
      <c r="HEC14" s="109"/>
      <c r="HED14" s="107" t="s">
        <v>1</v>
      </c>
      <c r="HEE14" s="108"/>
      <c r="HEF14" s="108"/>
      <c r="HEG14" s="109"/>
      <c r="HEH14" s="107" t="s">
        <v>1</v>
      </c>
      <c r="HEI14" s="108"/>
      <c r="HEJ14" s="108"/>
      <c r="HEK14" s="109"/>
      <c r="HEL14" s="107" t="s">
        <v>1</v>
      </c>
      <c r="HEM14" s="108"/>
      <c r="HEN14" s="108"/>
      <c r="HEO14" s="109"/>
      <c r="HEP14" s="107" t="s">
        <v>1</v>
      </c>
      <c r="HEQ14" s="108"/>
      <c r="HER14" s="108"/>
      <c r="HES14" s="109"/>
      <c r="HET14" s="107" t="s">
        <v>1</v>
      </c>
      <c r="HEU14" s="108"/>
      <c r="HEV14" s="108"/>
      <c r="HEW14" s="109"/>
      <c r="HEX14" s="107" t="s">
        <v>1</v>
      </c>
      <c r="HEY14" s="108"/>
      <c r="HEZ14" s="108"/>
      <c r="HFA14" s="109"/>
      <c r="HFB14" s="107" t="s">
        <v>1</v>
      </c>
      <c r="HFC14" s="108"/>
      <c r="HFD14" s="108"/>
      <c r="HFE14" s="109"/>
      <c r="HFF14" s="107" t="s">
        <v>1</v>
      </c>
      <c r="HFG14" s="108"/>
      <c r="HFH14" s="108"/>
      <c r="HFI14" s="109"/>
      <c r="HFJ14" s="107" t="s">
        <v>1</v>
      </c>
      <c r="HFK14" s="108"/>
      <c r="HFL14" s="108"/>
      <c r="HFM14" s="109"/>
      <c r="HFN14" s="107" t="s">
        <v>1</v>
      </c>
      <c r="HFO14" s="108"/>
      <c r="HFP14" s="108"/>
      <c r="HFQ14" s="109"/>
      <c r="HFR14" s="107" t="s">
        <v>1</v>
      </c>
      <c r="HFS14" s="108"/>
      <c r="HFT14" s="108"/>
      <c r="HFU14" s="109"/>
      <c r="HFV14" s="107" t="s">
        <v>1</v>
      </c>
      <c r="HFW14" s="108"/>
      <c r="HFX14" s="108"/>
      <c r="HFY14" s="109"/>
      <c r="HFZ14" s="107" t="s">
        <v>1</v>
      </c>
      <c r="HGA14" s="108"/>
      <c r="HGB14" s="108"/>
      <c r="HGC14" s="109"/>
      <c r="HGD14" s="107" t="s">
        <v>1</v>
      </c>
      <c r="HGE14" s="108"/>
      <c r="HGF14" s="108"/>
      <c r="HGG14" s="109"/>
      <c r="HGH14" s="107" t="s">
        <v>1</v>
      </c>
      <c r="HGI14" s="108"/>
      <c r="HGJ14" s="108"/>
      <c r="HGK14" s="109"/>
      <c r="HGL14" s="107" t="s">
        <v>1</v>
      </c>
      <c r="HGM14" s="108"/>
      <c r="HGN14" s="108"/>
      <c r="HGO14" s="109"/>
      <c r="HGP14" s="107" t="s">
        <v>1</v>
      </c>
      <c r="HGQ14" s="108"/>
      <c r="HGR14" s="108"/>
      <c r="HGS14" s="109"/>
      <c r="HGT14" s="107" t="s">
        <v>1</v>
      </c>
      <c r="HGU14" s="108"/>
      <c r="HGV14" s="108"/>
      <c r="HGW14" s="109"/>
      <c r="HGX14" s="107" t="s">
        <v>1</v>
      </c>
      <c r="HGY14" s="108"/>
      <c r="HGZ14" s="108"/>
      <c r="HHA14" s="109"/>
      <c r="HHB14" s="107" t="s">
        <v>1</v>
      </c>
      <c r="HHC14" s="108"/>
      <c r="HHD14" s="108"/>
      <c r="HHE14" s="109"/>
      <c r="HHF14" s="107" t="s">
        <v>1</v>
      </c>
      <c r="HHG14" s="108"/>
      <c r="HHH14" s="108"/>
      <c r="HHI14" s="109"/>
      <c r="HHJ14" s="107" t="s">
        <v>1</v>
      </c>
      <c r="HHK14" s="108"/>
      <c r="HHL14" s="108"/>
      <c r="HHM14" s="109"/>
      <c r="HHN14" s="107" t="s">
        <v>1</v>
      </c>
      <c r="HHO14" s="108"/>
      <c r="HHP14" s="108"/>
      <c r="HHQ14" s="109"/>
      <c r="HHR14" s="107" t="s">
        <v>1</v>
      </c>
      <c r="HHS14" s="108"/>
      <c r="HHT14" s="108"/>
      <c r="HHU14" s="109"/>
      <c r="HHV14" s="107" t="s">
        <v>1</v>
      </c>
      <c r="HHW14" s="108"/>
      <c r="HHX14" s="108"/>
      <c r="HHY14" s="109"/>
      <c r="HHZ14" s="107" t="s">
        <v>1</v>
      </c>
      <c r="HIA14" s="108"/>
      <c r="HIB14" s="108"/>
      <c r="HIC14" s="109"/>
      <c r="HID14" s="107" t="s">
        <v>1</v>
      </c>
      <c r="HIE14" s="108"/>
      <c r="HIF14" s="108"/>
      <c r="HIG14" s="109"/>
      <c r="HIH14" s="107" t="s">
        <v>1</v>
      </c>
      <c r="HII14" s="108"/>
      <c r="HIJ14" s="108"/>
      <c r="HIK14" s="109"/>
      <c r="HIL14" s="107" t="s">
        <v>1</v>
      </c>
      <c r="HIM14" s="108"/>
      <c r="HIN14" s="108"/>
      <c r="HIO14" s="109"/>
      <c r="HIP14" s="107" t="s">
        <v>1</v>
      </c>
      <c r="HIQ14" s="108"/>
      <c r="HIR14" s="108"/>
      <c r="HIS14" s="109"/>
      <c r="HIT14" s="107" t="s">
        <v>1</v>
      </c>
      <c r="HIU14" s="108"/>
      <c r="HIV14" s="108"/>
      <c r="HIW14" s="109"/>
      <c r="HIX14" s="107" t="s">
        <v>1</v>
      </c>
      <c r="HIY14" s="108"/>
      <c r="HIZ14" s="108"/>
      <c r="HJA14" s="109"/>
      <c r="HJB14" s="107" t="s">
        <v>1</v>
      </c>
      <c r="HJC14" s="108"/>
      <c r="HJD14" s="108"/>
      <c r="HJE14" s="109"/>
      <c r="HJF14" s="107" t="s">
        <v>1</v>
      </c>
      <c r="HJG14" s="108"/>
      <c r="HJH14" s="108"/>
      <c r="HJI14" s="109"/>
      <c r="HJJ14" s="107" t="s">
        <v>1</v>
      </c>
      <c r="HJK14" s="108"/>
      <c r="HJL14" s="108"/>
      <c r="HJM14" s="109"/>
      <c r="HJN14" s="107" t="s">
        <v>1</v>
      </c>
      <c r="HJO14" s="108"/>
      <c r="HJP14" s="108"/>
      <c r="HJQ14" s="109"/>
      <c r="HJR14" s="107" t="s">
        <v>1</v>
      </c>
      <c r="HJS14" s="108"/>
      <c r="HJT14" s="108"/>
      <c r="HJU14" s="109"/>
      <c r="HJV14" s="107" t="s">
        <v>1</v>
      </c>
      <c r="HJW14" s="108"/>
      <c r="HJX14" s="108"/>
      <c r="HJY14" s="109"/>
      <c r="HJZ14" s="107" t="s">
        <v>1</v>
      </c>
      <c r="HKA14" s="108"/>
      <c r="HKB14" s="108"/>
      <c r="HKC14" s="109"/>
      <c r="HKD14" s="107" t="s">
        <v>1</v>
      </c>
      <c r="HKE14" s="108"/>
      <c r="HKF14" s="108"/>
      <c r="HKG14" s="109"/>
      <c r="HKH14" s="107" t="s">
        <v>1</v>
      </c>
      <c r="HKI14" s="108"/>
      <c r="HKJ14" s="108"/>
      <c r="HKK14" s="109"/>
      <c r="HKL14" s="107" t="s">
        <v>1</v>
      </c>
      <c r="HKM14" s="108"/>
      <c r="HKN14" s="108"/>
      <c r="HKO14" s="109"/>
      <c r="HKP14" s="107" t="s">
        <v>1</v>
      </c>
      <c r="HKQ14" s="108"/>
      <c r="HKR14" s="108"/>
      <c r="HKS14" s="109"/>
      <c r="HKT14" s="107" t="s">
        <v>1</v>
      </c>
      <c r="HKU14" s="108"/>
      <c r="HKV14" s="108"/>
      <c r="HKW14" s="109"/>
      <c r="HKX14" s="107" t="s">
        <v>1</v>
      </c>
      <c r="HKY14" s="108"/>
      <c r="HKZ14" s="108"/>
      <c r="HLA14" s="109"/>
      <c r="HLB14" s="107" t="s">
        <v>1</v>
      </c>
      <c r="HLC14" s="108"/>
      <c r="HLD14" s="108"/>
      <c r="HLE14" s="109"/>
      <c r="HLF14" s="107" t="s">
        <v>1</v>
      </c>
      <c r="HLG14" s="108"/>
      <c r="HLH14" s="108"/>
      <c r="HLI14" s="109"/>
      <c r="HLJ14" s="107" t="s">
        <v>1</v>
      </c>
      <c r="HLK14" s="108"/>
      <c r="HLL14" s="108"/>
      <c r="HLM14" s="109"/>
      <c r="HLN14" s="107" t="s">
        <v>1</v>
      </c>
      <c r="HLO14" s="108"/>
      <c r="HLP14" s="108"/>
      <c r="HLQ14" s="109"/>
      <c r="HLR14" s="107" t="s">
        <v>1</v>
      </c>
      <c r="HLS14" s="108"/>
      <c r="HLT14" s="108"/>
      <c r="HLU14" s="109"/>
      <c r="HLV14" s="107" t="s">
        <v>1</v>
      </c>
      <c r="HLW14" s="108"/>
      <c r="HLX14" s="108"/>
      <c r="HLY14" s="109"/>
      <c r="HLZ14" s="107" t="s">
        <v>1</v>
      </c>
      <c r="HMA14" s="108"/>
      <c r="HMB14" s="108"/>
      <c r="HMC14" s="109"/>
      <c r="HMD14" s="107" t="s">
        <v>1</v>
      </c>
      <c r="HME14" s="108"/>
      <c r="HMF14" s="108"/>
      <c r="HMG14" s="109"/>
      <c r="HMH14" s="107" t="s">
        <v>1</v>
      </c>
      <c r="HMI14" s="108"/>
      <c r="HMJ14" s="108"/>
      <c r="HMK14" s="109"/>
      <c r="HML14" s="107" t="s">
        <v>1</v>
      </c>
      <c r="HMM14" s="108"/>
      <c r="HMN14" s="108"/>
      <c r="HMO14" s="109"/>
      <c r="HMP14" s="107" t="s">
        <v>1</v>
      </c>
      <c r="HMQ14" s="108"/>
      <c r="HMR14" s="108"/>
      <c r="HMS14" s="109"/>
      <c r="HMT14" s="107" t="s">
        <v>1</v>
      </c>
      <c r="HMU14" s="108"/>
      <c r="HMV14" s="108"/>
      <c r="HMW14" s="109"/>
      <c r="HMX14" s="107" t="s">
        <v>1</v>
      </c>
      <c r="HMY14" s="108"/>
      <c r="HMZ14" s="108"/>
      <c r="HNA14" s="109"/>
      <c r="HNB14" s="107" t="s">
        <v>1</v>
      </c>
      <c r="HNC14" s="108"/>
      <c r="HND14" s="108"/>
      <c r="HNE14" s="109"/>
      <c r="HNF14" s="107" t="s">
        <v>1</v>
      </c>
      <c r="HNG14" s="108"/>
      <c r="HNH14" s="108"/>
      <c r="HNI14" s="109"/>
      <c r="HNJ14" s="107" t="s">
        <v>1</v>
      </c>
      <c r="HNK14" s="108"/>
      <c r="HNL14" s="108"/>
      <c r="HNM14" s="109"/>
      <c r="HNN14" s="107" t="s">
        <v>1</v>
      </c>
      <c r="HNO14" s="108"/>
      <c r="HNP14" s="108"/>
      <c r="HNQ14" s="109"/>
      <c r="HNR14" s="107" t="s">
        <v>1</v>
      </c>
      <c r="HNS14" s="108"/>
      <c r="HNT14" s="108"/>
      <c r="HNU14" s="109"/>
      <c r="HNV14" s="107" t="s">
        <v>1</v>
      </c>
      <c r="HNW14" s="108"/>
      <c r="HNX14" s="108"/>
      <c r="HNY14" s="109"/>
      <c r="HNZ14" s="107" t="s">
        <v>1</v>
      </c>
      <c r="HOA14" s="108"/>
      <c r="HOB14" s="108"/>
      <c r="HOC14" s="109"/>
      <c r="HOD14" s="107" t="s">
        <v>1</v>
      </c>
      <c r="HOE14" s="108"/>
      <c r="HOF14" s="108"/>
      <c r="HOG14" s="109"/>
      <c r="HOH14" s="107" t="s">
        <v>1</v>
      </c>
      <c r="HOI14" s="108"/>
      <c r="HOJ14" s="108"/>
      <c r="HOK14" s="109"/>
      <c r="HOL14" s="107" t="s">
        <v>1</v>
      </c>
      <c r="HOM14" s="108"/>
      <c r="HON14" s="108"/>
      <c r="HOO14" s="109"/>
      <c r="HOP14" s="107" t="s">
        <v>1</v>
      </c>
      <c r="HOQ14" s="108"/>
      <c r="HOR14" s="108"/>
      <c r="HOS14" s="109"/>
      <c r="HOT14" s="107" t="s">
        <v>1</v>
      </c>
      <c r="HOU14" s="108"/>
      <c r="HOV14" s="108"/>
      <c r="HOW14" s="109"/>
      <c r="HOX14" s="107" t="s">
        <v>1</v>
      </c>
      <c r="HOY14" s="108"/>
      <c r="HOZ14" s="108"/>
      <c r="HPA14" s="109"/>
      <c r="HPB14" s="107" t="s">
        <v>1</v>
      </c>
      <c r="HPC14" s="108"/>
      <c r="HPD14" s="108"/>
      <c r="HPE14" s="109"/>
      <c r="HPF14" s="107" t="s">
        <v>1</v>
      </c>
      <c r="HPG14" s="108"/>
      <c r="HPH14" s="108"/>
      <c r="HPI14" s="109"/>
      <c r="HPJ14" s="107" t="s">
        <v>1</v>
      </c>
      <c r="HPK14" s="108"/>
      <c r="HPL14" s="108"/>
      <c r="HPM14" s="109"/>
      <c r="HPN14" s="107" t="s">
        <v>1</v>
      </c>
      <c r="HPO14" s="108"/>
      <c r="HPP14" s="108"/>
      <c r="HPQ14" s="109"/>
      <c r="HPR14" s="107" t="s">
        <v>1</v>
      </c>
      <c r="HPS14" s="108"/>
      <c r="HPT14" s="108"/>
      <c r="HPU14" s="109"/>
      <c r="HPV14" s="107" t="s">
        <v>1</v>
      </c>
      <c r="HPW14" s="108"/>
      <c r="HPX14" s="108"/>
      <c r="HPY14" s="109"/>
      <c r="HPZ14" s="107" t="s">
        <v>1</v>
      </c>
      <c r="HQA14" s="108"/>
      <c r="HQB14" s="108"/>
      <c r="HQC14" s="109"/>
      <c r="HQD14" s="107" t="s">
        <v>1</v>
      </c>
      <c r="HQE14" s="108"/>
      <c r="HQF14" s="108"/>
      <c r="HQG14" s="109"/>
      <c r="HQH14" s="107" t="s">
        <v>1</v>
      </c>
      <c r="HQI14" s="108"/>
      <c r="HQJ14" s="108"/>
      <c r="HQK14" s="109"/>
      <c r="HQL14" s="107" t="s">
        <v>1</v>
      </c>
      <c r="HQM14" s="108"/>
      <c r="HQN14" s="108"/>
      <c r="HQO14" s="109"/>
      <c r="HQP14" s="107" t="s">
        <v>1</v>
      </c>
      <c r="HQQ14" s="108"/>
      <c r="HQR14" s="108"/>
      <c r="HQS14" s="109"/>
      <c r="HQT14" s="107" t="s">
        <v>1</v>
      </c>
      <c r="HQU14" s="108"/>
      <c r="HQV14" s="108"/>
      <c r="HQW14" s="109"/>
      <c r="HQX14" s="107" t="s">
        <v>1</v>
      </c>
      <c r="HQY14" s="108"/>
      <c r="HQZ14" s="108"/>
      <c r="HRA14" s="109"/>
      <c r="HRB14" s="107" t="s">
        <v>1</v>
      </c>
      <c r="HRC14" s="108"/>
      <c r="HRD14" s="108"/>
      <c r="HRE14" s="109"/>
      <c r="HRF14" s="107" t="s">
        <v>1</v>
      </c>
      <c r="HRG14" s="108"/>
      <c r="HRH14" s="108"/>
      <c r="HRI14" s="109"/>
      <c r="HRJ14" s="107" t="s">
        <v>1</v>
      </c>
      <c r="HRK14" s="108"/>
      <c r="HRL14" s="108"/>
      <c r="HRM14" s="109"/>
      <c r="HRN14" s="107" t="s">
        <v>1</v>
      </c>
      <c r="HRO14" s="108"/>
      <c r="HRP14" s="108"/>
      <c r="HRQ14" s="109"/>
      <c r="HRR14" s="107" t="s">
        <v>1</v>
      </c>
      <c r="HRS14" s="108"/>
      <c r="HRT14" s="108"/>
      <c r="HRU14" s="109"/>
      <c r="HRV14" s="107" t="s">
        <v>1</v>
      </c>
      <c r="HRW14" s="108"/>
      <c r="HRX14" s="108"/>
      <c r="HRY14" s="109"/>
      <c r="HRZ14" s="107" t="s">
        <v>1</v>
      </c>
      <c r="HSA14" s="108"/>
      <c r="HSB14" s="108"/>
      <c r="HSC14" s="109"/>
      <c r="HSD14" s="107" t="s">
        <v>1</v>
      </c>
      <c r="HSE14" s="108"/>
      <c r="HSF14" s="108"/>
      <c r="HSG14" s="109"/>
      <c r="HSH14" s="107" t="s">
        <v>1</v>
      </c>
      <c r="HSI14" s="108"/>
      <c r="HSJ14" s="108"/>
      <c r="HSK14" s="109"/>
      <c r="HSL14" s="107" t="s">
        <v>1</v>
      </c>
      <c r="HSM14" s="108"/>
      <c r="HSN14" s="108"/>
      <c r="HSO14" s="109"/>
      <c r="HSP14" s="107" t="s">
        <v>1</v>
      </c>
      <c r="HSQ14" s="108"/>
      <c r="HSR14" s="108"/>
      <c r="HSS14" s="109"/>
      <c r="HST14" s="107" t="s">
        <v>1</v>
      </c>
      <c r="HSU14" s="108"/>
      <c r="HSV14" s="108"/>
      <c r="HSW14" s="109"/>
      <c r="HSX14" s="107" t="s">
        <v>1</v>
      </c>
      <c r="HSY14" s="108"/>
      <c r="HSZ14" s="108"/>
      <c r="HTA14" s="109"/>
      <c r="HTB14" s="107" t="s">
        <v>1</v>
      </c>
      <c r="HTC14" s="108"/>
      <c r="HTD14" s="108"/>
      <c r="HTE14" s="109"/>
      <c r="HTF14" s="107" t="s">
        <v>1</v>
      </c>
      <c r="HTG14" s="108"/>
      <c r="HTH14" s="108"/>
      <c r="HTI14" s="109"/>
      <c r="HTJ14" s="107" t="s">
        <v>1</v>
      </c>
      <c r="HTK14" s="108"/>
      <c r="HTL14" s="108"/>
      <c r="HTM14" s="109"/>
      <c r="HTN14" s="107" t="s">
        <v>1</v>
      </c>
      <c r="HTO14" s="108"/>
      <c r="HTP14" s="108"/>
      <c r="HTQ14" s="109"/>
      <c r="HTR14" s="107" t="s">
        <v>1</v>
      </c>
      <c r="HTS14" s="108"/>
      <c r="HTT14" s="108"/>
      <c r="HTU14" s="109"/>
      <c r="HTV14" s="107" t="s">
        <v>1</v>
      </c>
      <c r="HTW14" s="108"/>
      <c r="HTX14" s="108"/>
      <c r="HTY14" s="109"/>
      <c r="HTZ14" s="107" t="s">
        <v>1</v>
      </c>
      <c r="HUA14" s="108"/>
      <c r="HUB14" s="108"/>
      <c r="HUC14" s="109"/>
      <c r="HUD14" s="107" t="s">
        <v>1</v>
      </c>
      <c r="HUE14" s="108"/>
      <c r="HUF14" s="108"/>
      <c r="HUG14" s="109"/>
      <c r="HUH14" s="107" t="s">
        <v>1</v>
      </c>
      <c r="HUI14" s="108"/>
      <c r="HUJ14" s="108"/>
      <c r="HUK14" s="109"/>
      <c r="HUL14" s="107" t="s">
        <v>1</v>
      </c>
      <c r="HUM14" s="108"/>
      <c r="HUN14" s="108"/>
      <c r="HUO14" s="109"/>
      <c r="HUP14" s="107" t="s">
        <v>1</v>
      </c>
      <c r="HUQ14" s="108"/>
      <c r="HUR14" s="108"/>
      <c r="HUS14" s="109"/>
      <c r="HUT14" s="107" t="s">
        <v>1</v>
      </c>
      <c r="HUU14" s="108"/>
      <c r="HUV14" s="108"/>
      <c r="HUW14" s="109"/>
      <c r="HUX14" s="107" t="s">
        <v>1</v>
      </c>
      <c r="HUY14" s="108"/>
      <c r="HUZ14" s="108"/>
      <c r="HVA14" s="109"/>
      <c r="HVB14" s="107" t="s">
        <v>1</v>
      </c>
      <c r="HVC14" s="108"/>
      <c r="HVD14" s="108"/>
      <c r="HVE14" s="109"/>
      <c r="HVF14" s="107" t="s">
        <v>1</v>
      </c>
      <c r="HVG14" s="108"/>
      <c r="HVH14" s="108"/>
      <c r="HVI14" s="109"/>
      <c r="HVJ14" s="107" t="s">
        <v>1</v>
      </c>
      <c r="HVK14" s="108"/>
      <c r="HVL14" s="108"/>
      <c r="HVM14" s="109"/>
      <c r="HVN14" s="107" t="s">
        <v>1</v>
      </c>
      <c r="HVO14" s="108"/>
      <c r="HVP14" s="108"/>
      <c r="HVQ14" s="109"/>
      <c r="HVR14" s="107" t="s">
        <v>1</v>
      </c>
      <c r="HVS14" s="108"/>
      <c r="HVT14" s="108"/>
      <c r="HVU14" s="109"/>
      <c r="HVV14" s="107" t="s">
        <v>1</v>
      </c>
      <c r="HVW14" s="108"/>
      <c r="HVX14" s="108"/>
      <c r="HVY14" s="109"/>
      <c r="HVZ14" s="107" t="s">
        <v>1</v>
      </c>
      <c r="HWA14" s="108"/>
      <c r="HWB14" s="108"/>
      <c r="HWC14" s="109"/>
      <c r="HWD14" s="107" t="s">
        <v>1</v>
      </c>
      <c r="HWE14" s="108"/>
      <c r="HWF14" s="108"/>
      <c r="HWG14" s="109"/>
      <c r="HWH14" s="107" t="s">
        <v>1</v>
      </c>
      <c r="HWI14" s="108"/>
      <c r="HWJ14" s="108"/>
      <c r="HWK14" s="109"/>
      <c r="HWL14" s="107" t="s">
        <v>1</v>
      </c>
      <c r="HWM14" s="108"/>
      <c r="HWN14" s="108"/>
      <c r="HWO14" s="109"/>
      <c r="HWP14" s="107" t="s">
        <v>1</v>
      </c>
      <c r="HWQ14" s="108"/>
      <c r="HWR14" s="108"/>
      <c r="HWS14" s="109"/>
      <c r="HWT14" s="107" t="s">
        <v>1</v>
      </c>
      <c r="HWU14" s="108"/>
      <c r="HWV14" s="108"/>
      <c r="HWW14" s="109"/>
      <c r="HWX14" s="107" t="s">
        <v>1</v>
      </c>
      <c r="HWY14" s="108"/>
      <c r="HWZ14" s="108"/>
      <c r="HXA14" s="109"/>
      <c r="HXB14" s="107" t="s">
        <v>1</v>
      </c>
      <c r="HXC14" s="108"/>
      <c r="HXD14" s="108"/>
      <c r="HXE14" s="109"/>
      <c r="HXF14" s="107" t="s">
        <v>1</v>
      </c>
      <c r="HXG14" s="108"/>
      <c r="HXH14" s="108"/>
      <c r="HXI14" s="109"/>
      <c r="HXJ14" s="107" t="s">
        <v>1</v>
      </c>
      <c r="HXK14" s="108"/>
      <c r="HXL14" s="108"/>
      <c r="HXM14" s="109"/>
      <c r="HXN14" s="107" t="s">
        <v>1</v>
      </c>
      <c r="HXO14" s="108"/>
      <c r="HXP14" s="108"/>
      <c r="HXQ14" s="109"/>
      <c r="HXR14" s="107" t="s">
        <v>1</v>
      </c>
      <c r="HXS14" s="108"/>
      <c r="HXT14" s="108"/>
      <c r="HXU14" s="109"/>
      <c r="HXV14" s="107" t="s">
        <v>1</v>
      </c>
      <c r="HXW14" s="108"/>
      <c r="HXX14" s="108"/>
      <c r="HXY14" s="109"/>
      <c r="HXZ14" s="107" t="s">
        <v>1</v>
      </c>
      <c r="HYA14" s="108"/>
      <c r="HYB14" s="108"/>
      <c r="HYC14" s="109"/>
      <c r="HYD14" s="107" t="s">
        <v>1</v>
      </c>
      <c r="HYE14" s="108"/>
      <c r="HYF14" s="108"/>
      <c r="HYG14" s="109"/>
      <c r="HYH14" s="107" t="s">
        <v>1</v>
      </c>
      <c r="HYI14" s="108"/>
      <c r="HYJ14" s="108"/>
      <c r="HYK14" s="109"/>
      <c r="HYL14" s="107" t="s">
        <v>1</v>
      </c>
      <c r="HYM14" s="108"/>
      <c r="HYN14" s="108"/>
      <c r="HYO14" s="109"/>
      <c r="HYP14" s="107" t="s">
        <v>1</v>
      </c>
      <c r="HYQ14" s="108"/>
      <c r="HYR14" s="108"/>
      <c r="HYS14" s="109"/>
      <c r="HYT14" s="107" t="s">
        <v>1</v>
      </c>
      <c r="HYU14" s="108"/>
      <c r="HYV14" s="108"/>
      <c r="HYW14" s="109"/>
      <c r="HYX14" s="107" t="s">
        <v>1</v>
      </c>
      <c r="HYY14" s="108"/>
      <c r="HYZ14" s="108"/>
      <c r="HZA14" s="109"/>
      <c r="HZB14" s="107" t="s">
        <v>1</v>
      </c>
      <c r="HZC14" s="108"/>
      <c r="HZD14" s="108"/>
      <c r="HZE14" s="109"/>
      <c r="HZF14" s="107" t="s">
        <v>1</v>
      </c>
      <c r="HZG14" s="108"/>
      <c r="HZH14" s="108"/>
      <c r="HZI14" s="109"/>
      <c r="HZJ14" s="107" t="s">
        <v>1</v>
      </c>
      <c r="HZK14" s="108"/>
      <c r="HZL14" s="108"/>
      <c r="HZM14" s="109"/>
      <c r="HZN14" s="107" t="s">
        <v>1</v>
      </c>
      <c r="HZO14" s="108"/>
      <c r="HZP14" s="108"/>
      <c r="HZQ14" s="109"/>
      <c r="HZR14" s="107" t="s">
        <v>1</v>
      </c>
      <c r="HZS14" s="108"/>
      <c r="HZT14" s="108"/>
      <c r="HZU14" s="109"/>
      <c r="HZV14" s="107" t="s">
        <v>1</v>
      </c>
      <c r="HZW14" s="108"/>
      <c r="HZX14" s="108"/>
      <c r="HZY14" s="109"/>
      <c r="HZZ14" s="107" t="s">
        <v>1</v>
      </c>
      <c r="IAA14" s="108"/>
      <c r="IAB14" s="108"/>
      <c r="IAC14" s="109"/>
      <c r="IAD14" s="107" t="s">
        <v>1</v>
      </c>
      <c r="IAE14" s="108"/>
      <c r="IAF14" s="108"/>
      <c r="IAG14" s="109"/>
      <c r="IAH14" s="107" t="s">
        <v>1</v>
      </c>
      <c r="IAI14" s="108"/>
      <c r="IAJ14" s="108"/>
      <c r="IAK14" s="109"/>
      <c r="IAL14" s="107" t="s">
        <v>1</v>
      </c>
      <c r="IAM14" s="108"/>
      <c r="IAN14" s="108"/>
      <c r="IAO14" s="109"/>
      <c r="IAP14" s="107" t="s">
        <v>1</v>
      </c>
      <c r="IAQ14" s="108"/>
      <c r="IAR14" s="108"/>
      <c r="IAS14" s="109"/>
      <c r="IAT14" s="107" t="s">
        <v>1</v>
      </c>
      <c r="IAU14" s="108"/>
      <c r="IAV14" s="108"/>
      <c r="IAW14" s="109"/>
      <c r="IAX14" s="107" t="s">
        <v>1</v>
      </c>
      <c r="IAY14" s="108"/>
      <c r="IAZ14" s="108"/>
      <c r="IBA14" s="109"/>
      <c r="IBB14" s="107" t="s">
        <v>1</v>
      </c>
      <c r="IBC14" s="108"/>
      <c r="IBD14" s="108"/>
      <c r="IBE14" s="109"/>
      <c r="IBF14" s="107" t="s">
        <v>1</v>
      </c>
      <c r="IBG14" s="108"/>
      <c r="IBH14" s="108"/>
      <c r="IBI14" s="109"/>
      <c r="IBJ14" s="107" t="s">
        <v>1</v>
      </c>
      <c r="IBK14" s="108"/>
      <c r="IBL14" s="108"/>
      <c r="IBM14" s="109"/>
      <c r="IBN14" s="107" t="s">
        <v>1</v>
      </c>
      <c r="IBO14" s="108"/>
      <c r="IBP14" s="108"/>
      <c r="IBQ14" s="109"/>
      <c r="IBR14" s="107" t="s">
        <v>1</v>
      </c>
      <c r="IBS14" s="108"/>
      <c r="IBT14" s="108"/>
      <c r="IBU14" s="109"/>
      <c r="IBV14" s="107" t="s">
        <v>1</v>
      </c>
      <c r="IBW14" s="108"/>
      <c r="IBX14" s="108"/>
      <c r="IBY14" s="109"/>
      <c r="IBZ14" s="107" t="s">
        <v>1</v>
      </c>
      <c r="ICA14" s="108"/>
      <c r="ICB14" s="108"/>
      <c r="ICC14" s="109"/>
      <c r="ICD14" s="107" t="s">
        <v>1</v>
      </c>
      <c r="ICE14" s="108"/>
      <c r="ICF14" s="108"/>
      <c r="ICG14" s="109"/>
      <c r="ICH14" s="107" t="s">
        <v>1</v>
      </c>
      <c r="ICI14" s="108"/>
      <c r="ICJ14" s="108"/>
      <c r="ICK14" s="109"/>
      <c r="ICL14" s="107" t="s">
        <v>1</v>
      </c>
      <c r="ICM14" s="108"/>
      <c r="ICN14" s="108"/>
      <c r="ICO14" s="109"/>
      <c r="ICP14" s="107" t="s">
        <v>1</v>
      </c>
      <c r="ICQ14" s="108"/>
      <c r="ICR14" s="108"/>
      <c r="ICS14" s="109"/>
      <c r="ICT14" s="107" t="s">
        <v>1</v>
      </c>
      <c r="ICU14" s="108"/>
      <c r="ICV14" s="108"/>
      <c r="ICW14" s="109"/>
      <c r="ICX14" s="107" t="s">
        <v>1</v>
      </c>
      <c r="ICY14" s="108"/>
      <c r="ICZ14" s="108"/>
      <c r="IDA14" s="109"/>
      <c r="IDB14" s="107" t="s">
        <v>1</v>
      </c>
      <c r="IDC14" s="108"/>
      <c r="IDD14" s="108"/>
      <c r="IDE14" s="109"/>
      <c r="IDF14" s="107" t="s">
        <v>1</v>
      </c>
      <c r="IDG14" s="108"/>
      <c r="IDH14" s="108"/>
      <c r="IDI14" s="109"/>
      <c r="IDJ14" s="107" t="s">
        <v>1</v>
      </c>
      <c r="IDK14" s="108"/>
      <c r="IDL14" s="108"/>
      <c r="IDM14" s="109"/>
      <c r="IDN14" s="107" t="s">
        <v>1</v>
      </c>
      <c r="IDO14" s="108"/>
      <c r="IDP14" s="108"/>
      <c r="IDQ14" s="109"/>
      <c r="IDR14" s="107" t="s">
        <v>1</v>
      </c>
      <c r="IDS14" s="108"/>
      <c r="IDT14" s="108"/>
      <c r="IDU14" s="109"/>
      <c r="IDV14" s="107" t="s">
        <v>1</v>
      </c>
      <c r="IDW14" s="108"/>
      <c r="IDX14" s="108"/>
      <c r="IDY14" s="109"/>
      <c r="IDZ14" s="107" t="s">
        <v>1</v>
      </c>
      <c r="IEA14" s="108"/>
      <c r="IEB14" s="108"/>
      <c r="IEC14" s="109"/>
      <c r="IED14" s="107" t="s">
        <v>1</v>
      </c>
      <c r="IEE14" s="108"/>
      <c r="IEF14" s="108"/>
      <c r="IEG14" s="109"/>
      <c r="IEH14" s="107" t="s">
        <v>1</v>
      </c>
      <c r="IEI14" s="108"/>
      <c r="IEJ14" s="108"/>
      <c r="IEK14" s="109"/>
      <c r="IEL14" s="107" t="s">
        <v>1</v>
      </c>
      <c r="IEM14" s="108"/>
      <c r="IEN14" s="108"/>
      <c r="IEO14" s="109"/>
      <c r="IEP14" s="107" t="s">
        <v>1</v>
      </c>
      <c r="IEQ14" s="108"/>
      <c r="IER14" s="108"/>
      <c r="IES14" s="109"/>
      <c r="IET14" s="107" t="s">
        <v>1</v>
      </c>
      <c r="IEU14" s="108"/>
      <c r="IEV14" s="108"/>
      <c r="IEW14" s="109"/>
      <c r="IEX14" s="107" t="s">
        <v>1</v>
      </c>
      <c r="IEY14" s="108"/>
      <c r="IEZ14" s="108"/>
      <c r="IFA14" s="109"/>
      <c r="IFB14" s="107" t="s">
        <v>1</v>
      </c>
      <c r="IFC14" s="108"/>
      <c r="IFD14" s="108"/>
      <c r="IFE14" s="109"/>
      <c r="IFF14" s="107" t="s">
        <v>1</v>
      </c>
      <c r="IFG14" s="108"/>
      <c r="IFH14" s="108"/>
      <c r="IFI14" s="109"/>
      <c r="IFJ14" s="107" t="s">
        <v>1</v>
      </c>
      <c r="IFK14" s="108"/>
      <c r="IFL14" s="108"/>
      <c r="IFM14" s="109"/>
      <c r="IFN14" s="107" t="s">
        <v>1</v>
      </c>
      <c r="IFO14" s="108"/>
      <c r="IFP14" s="108"/>
      <c r="IFQ14" s="109"/>
      <c r="IFR14" s="107" t="s">
        <v>1</v>
      </c>
      <c r="IFS14" s="108"/>
      <c r="IFT14" s="108"/>
      <c r="IFU14" s="109"/>
      <c r="IFV14" s="107" t="s">
        <v>1</v>
      </c>
      <c r="IFW14" s="108"/>
      <c r="IFX14" s="108"/>
      <c r="IFY14" s="109"/>
      <c r="IFZ14" s="107" t="s">
        <v>1</v>
      </c>
      <c r="IGA14" s="108"/>
      <c r="IGB14" s="108"/>
      <c r="IGC14" s="109"/>
      <c r="IGD14" s="107" t="s">
        <v>1</v>
      </c>
      <c r="IGE14" s="108"/>
      <c r="IGF14" s="108"/>
      <c r="IGG14" s="109"/>
      <c r="IGH14" s="107" t="s">
        <v>1</v>
      </c>
      <c r="IGI14" s="108"/>
      <c r="IGJ14" s="108"/>
      <c r="IGK14" s="109"/>
      <c r="IGL14" s="107" t="s">
        <v>1</v>
      </c>
      <c r="IGM14" s="108"/>
      <c r="IGN14" s="108"/>
      <c r="IGO14" s="109"/>
      <c r="IGP14" s="107" t="s">
        <v>1</v>
      </c>
      <c r="IGQ14" s="108"/>
      <c r="IGR14" s="108"/>
      <c r="IGS14" s="109"/>
      <c r="IGT14" s="107" t="s">
        <v>1</v>
      </c>
      <c r="IGU14" s="108"/>
      <c r="IGV14" s="108"/>
      <c r="IGW14" s="109"/>
      <c r="IGX14" s="107" t="s">
        <v>1</v>
      </c>
      <c r="IGY14" s="108"/>
      <c r="IGZ14" s="108"/>
      <c r="IHA14" s="109"/>
      <c r="IHB14" s="107" t="s">
        <v>1</v>
      </c>
      <c r="IHC14" s="108"/>
      <c r="IHD14" s="108"/>
      <c r="IHE14" s="109"/>
      <c r="IHF14" s="107" t="s">
        <v>1</v>
      </c>
      <c r="IHG14" s="108"/>
      <c r="IHH14" s="108"/>
      <c r="IHI14" s="109"/>
      <c r="IHJ14" s="107" t="s">
        <v>1</v>
      </c>
      <c r="IHK14" s="108"/>
      <c r="IHL14" s="108"/>
      <c r="IHM14" s="109"/>
      <c r="IHN14" s="107" t="s">
        <v>1</v>
      </c>
      <c r="IHO14" s="108"/>
      <c r="IHP14" s="108"/>
      <c r="IHQ14" s="109"/>
      <c r="IHR14" s="107" t="s">
        <v>1</v>
      </c>
      <c r="IHS14" s="108"/>
      <c r="IHT14" s="108"/>
      <c r="IHU14" s="109"/>
      <c r="IHV14" s="107" t="s">
        <v>1</v>
      </c>
      <c r="IHW14" s="108"/>
      <c r="IHX14" s="108"/>
      <c r="IHY14" s="109"/>
      <c r="IHZ14" s="107" t="s">
        <v>1</v>
      </c>
      <c r="IIA14" s="108"/>
      <c r="IIB14" s="108"/>
      <c r="IIC14" s="109"/>
      <c r="IID14" s="107" t="s">
        <v>1</v>
      </c>
      <c r="IIE14" s="108"/>
      <c r="IIF14" s="108"/>
      <c r="IIG14" s="109"/>
      <c r="IIH14" s="107" t="s">
        <v>1</v>
      </c>
      <c r="III14" s="108"/>
      <c r="IIJ14" s="108"/>
      <c r="IIK14" s="109"/>
      <c r="IIL14" s="107" t="s">
        <v>1</v>
      </c>
      <c r="IIM14" s="108"/>
      <c r="IIN14" s="108"/>
      <c r="IIO14" s="109"/>
      <c r="IIP14" s="107" t="s">
        <v>1</v>
      </c>
      <c r="IIQ14" s="108"/>
      <c r="IIR14" s="108"/>
      <c r="IIS14" s="109"/>
      <c r="IIT14" s="107" t="s">
        <v>1</v>
      </c>
      <c r="IIU14" s="108"/>
      <c r="IIV14" s="108"/>
      <c r="IIW14" s="109"/>
      <c r="IIX14" s="107" t="s">
        <v>1</v>
      </c>
      <c r="IIY14" s="108"/>
      <c r="IIZ14" s="108"/>
      <c r="IJA14" s="109"/>
      <c r="IJB14" s="107" t="s">
        <v>1</v>
      </c>
      <c r="IJC14" s="108"/>
      <c r="IJD14" s="108"/>
      <c r="IJE14" s="109"/>
      <c r="IJF14" s="107" t="s">
        <v>1</v>
      </c>
      <c r="IJG14" s="108"/>
      <c r="IJH14" s="108"/>
      <c r="IJI14" s="109"/>
      <c r="IJJ14" s="107" t="s">
        <v>1</v>
      </c>
      <c r="IJK14" s="108"/>
      <c r="IJL14" s="108"/>
      <c r="IJM14" s="109"/>
      <c r="IJN14" s="107" t="s">
        <v>1</v>
      </c>
      <c r="IJO14" s="108"/>
      <c r="IJP14" s="108"/>
      <c r="IJQ14" s="109"/>
      <c r="IJR14" s="107" t="s">
        <v>1</v>
      </c>
      <c r="IJS14" s="108"/>
      <c r="IJT14" s="108"/>
      <c r="IJU14" s="109"/>
      <c r="IJV14" s="107" t="s">
        <v>1</v>
      </c>
      <c r="IJW14" s="108"/>
      <c r="IJX14" s="108"/>
      <c r="IJY14" s="109"/>
      <c r="IJZ14" s="107" t="s">
        <v>1</v>
      </c>
      <c r="IKA14" s="108"/>
      <c r="IKB14" s="108"/>
      <c r="IKC14" s="109"/>
      <c r="IKD14" s="107" t="s">
        <v>1</v>
      </c>
      <c r="IKE14" s="108"/>
      <c r="IKF14" s="108"/>
      <c r="IKG14" s="109"/>
      <c r="IKH14" s="107" t="s">
        <v>1</v>
      </c>
      <c r="IKI14" s="108"/>
      <c r="IKJ14" s="108"/>
      <c r="IKK14" s="109"/>
      <c r="IKL14" s="107" t="s">
        <v>1</v>
      </c>
      <c r="IKM14" s="108"/>
      <c r="IKN14" s="108"/>
      <c r="IKO14" s="109"/>
      <c r="IKP14" s="107" t="s">
        <v>1</v>
      </c>
      <c r="IKQ14" s="108"/>
      <c r="IKR14" s="108"/>
      <c r="IKS14" s="109"/>
      <c r="IKT14" s="107" t="s">
        <v>1</v>
      </c>
      <c r="IKU14" s="108"/>
      <c r="IKV14" s="108"/>
      <c r="IKW14" s="109"/>
      <c r="IKX14" s="107" t="s">
        <v>1</v>
      </c>
      <c r="IKY14" s="108"/>
      <c r="IKZ14" s="108"/>
      <c r="ILA14" s="109"/>
      <c r="ILB14" s="107" t="s">
        <v>1</v>
      </c>
      <c r="ILC14" s="108"/>
      <c r="ILD14" s="108"/>
      <c r="ILE14" s="109"/>
      <c r="ILF14" s="107" t="s">
        <v>1</v>
      </c>
      <c r="ILG14" s="108"/>
      <c r="ILH14" s="108"/>
      <c r="ILI14" s="109"/>
      <c r="ILJ14" s="107" t="s">
        <v>1</v>
      </c>
      <c r="ILK14" s="108"/>
      <c r="ILL14" s="108"/>
      <c r="ILM14" s="109"/>
      <c r="ILN14" s="107" t="s">
        <v>1</v>
      </c>
      <c r="ILO14" s="108"/>
      <c r="ILP14" s="108"/>
      <c r="ILQ14" s="109"/>
      <c r="ILR14" s="107" t="s">
        <v>1</v>
      </c>
      <c r="ILS14" s="108"/>
      <c r="ILT14" s="108"/>
      <c r="ILU14" s="109"/>
      <c r="ILV14" s="107" t="s">
        <v>1</v>
      </c>
      <c r="ILW14" s="108"/>
      <c r="ILX14" s="108"/>
      <c r="ILY14" s="109"/>
      <c r="ILZ14" s="107" t="s">
        <v>1</v>
      </c>
      <c r="IMA14" s="108"/>
      <c r="IMB14" s="108"/>
      <c r="IMC14" s="109"/>
      <c r="IMD14" s="107" t="s">
        <v>1</v>
      </c>
      <c r="IME14" s="108"/>
      <c r="IMF14" s="108"/>
      <c r="IMG14" s="109"/>
      <c r="IMH14" s="107" t="s">
        <v>1</v>
      </c>
      <c r="IMI14" s="108"/>
      <c r="IMJ14" s="108"/>
      <c r="IMK14" s="109"/>
      <c r="IML14" s="107" t="s">
        <v>1</v>
      </c>
      <c r="IMM14" s="108"/>
      <c r="IMN14" s="108"/>
      <c r="IMO14" s="109"/>
      <c r="IMP14" s="107" t="s">
        <v>1</v>
      </c>
      <c r="IMQ14" s="108"/>
      <c r="IMR14" s="108"/>
      <c r="IMS14" s="109"/>
      <c r="IMT14" s="107" t="s">
        <v>1</v>
      </c>
      <c r="IMU14" s="108"/>
      <c r="IMV14" s="108"/>
      <c r="IMW14" s="109"/>
      <c r="IMX14" s="107" t="s">
        <v>1</v>
      </c>
      <c r="IMY14" s="108"/>
      <c r="IMZ14" s="108"/>
      <c r="INA14" s="109"/>
      <c r="INB14" s="107" t="s">
        <v>1</v>
      </c>
      <c r="INC14" s="108"/>
      <c r="IND14" s="108"/>
      <c r="INE14" s="109"/>
      <c r="INF14" s="107" t="s">
        <v>1</v>
      </c>
      <c r="ING14" s="108"/>
      <c r="INH14" s="108"/>
      <c r="INI14" s="109"/>
      <c r="INJ14" s="107" t="s">
        <v>1</v>
      </c>
      <c r="INK14" s="108"/>
      <c r="INL14" s="108"/>
      <c r="INM14" s="109"/>
      <c r="INN14" s="107" t="s">
        <v>1</v>
      </c>
      <c r="INO14" s="108"/>
      <c r="INP14" s="108"/>
      <c r="INQ14" s="109"/>
      <c r="INR14" s="107" t="s">
        <v>1</v>
      </c>
      <c r="INS14" s="108"/>
      <c r="INT14" s="108"/>
      <c r="INU14" s="109"/>
      <c r="INV14" s="107" t="s">
        <v>1</v>
      </c>
      <c r="INW14" s="108"/>
      <c r="INX14" s="108"/>
      <c r="INY14" s="109"/>
      <c r="INZ14" s="107" t="s">
        <v>1</v>
      </c>
      <c r="IOA14" s="108"/>
      <c r="IOB14" s="108"/>
      <c r="IOC14" s="109"/>
      <c r="IOD14" s="107" t="s">
        <v>1</v>
      </c>
      <c r="IOE14" s="108"/>
      <c r="IOF14" s="108"/>
      <c r="IOG14" s="109"/>
      <c r="IOH14" s="107" t="s">
        <v>1</v>
      </c>
      <c r="IOI14" s="108"/>
      <c r="IOJ14" s="108"/>
      <c r="IOK14" s="109"/>
      <c r="IOL14" s="107" t="s">
        <v>1</v>
      </c>
      <c r="IOM14" s="108"/>
      <c r="ION14" s="108"/>
      <c r="IOO14" s="109"/>
      <c r="IOP14" s="107" t="s">
        <v>1</v>
      </c>
      <c r="IOQ14" s="108"/>
      <c r="IOR14" s="108"/>
      <c r="IOS14" s="109"/>
      <c r="IOT14" s="107" t="s">
        <v>1</v>
      </c>
      <c r="IOU14" s="108"/>
      <c r="IOV14" s="108"/>
      <c r="IOW14" s="109"/>
      <c r="IOX14" s="107" t="s">
        <v>1</v>
      </c>
      <c r="IOY14" s="108"/>
      <c r="IOZ14" s="108"/>
      <c r="IPA14" s="109"/>
      <c r="IPB14" s="107" t="s">
        <v>1</v>
      </c>
      <c r="IPC14" s="108"/>
      <c r="IPD14" s="108"/>
      <c r="IPE14" s="109"/>
      <c r="IPF14" s="107" t="s">
        <v>1</v>
      </c>
      <c r="IPG14" s="108"/>
      <c r="IPH14" s="108"/>
      <c r="IPI14" s="109"/>
      <c r="IPJ14" s="107" t="s">
        <v>1</v>
      </c>
      <c r="IPK14" s="108"/>
      <c r="IPL14" s="108"/>
      <c r="IPM14" s="109"/>
      <c r="IPN14" s="107" t="s">
        <v>1</v>
      </c>
      <c r="IPO14" s="108"/>
      <c r="IPP14" s="108"/>
      <c r="IPQ14" s="109"/>
      <c r="IPR14" s="107" t="s">
        <v>1</v>
      </c>
      <c r="IPS14" s="108"/>
      <c r="IPT14" s="108"/>
      <c r="IPU14" s="109"/>
      <c r="IPV14" s="107" t="s">
        <v>1</v>
      </c>
      <c r="IPW14" s="108"/>
      <c r="IPX14" s="108"/>
      <c r="IPY14" s="109"/>
      <c r="IPZ14" s="107" t="s">
        <v>1</v>
      </c>
      <c r="IQA14" s="108"/>
      <c r="IQB14" s="108"/>
      <c r="IQC14" s="109"/>
      <c r="IQD14" s="107" t="s">
        <v>1</v>
      </c>
      <c r="IQE14" s="108"/>
      <c r="IQF14" s="108"/>
      <c r="IQG14" s="109"/>
      <c r="IQH14" s="107" t="s">
        <v>1</v>
      </c>
      <c r="IQI14" s="108"/>
      <c r="IQJ14" s="108"/>
      <c r="IQK14" s="109"/>
      <c r="IQL14" s="107" t="s">
        <v>1</v>
      </c>
      <c r="IQM14" s="108"/>
      <c r="IQN14" s="108"/>
      <c r="IQO14" s="109"/>
      <c r="IQP14" s="107" t="s">
        <v>1</v>
      </c>
      <c r="IQQ14" s="108"/>
      <c r="IQR14" s="108"/>
      <c r="IQS14" s="109"/>
      <c r="IQT14" s="107" t="s">
        <v>1</v>
      </c>
      <c r="IQU14" s="108"/>
      <c r="IQV14" s="108"/>
      <c r="IQW14" s="109"/>
      <c r="IQX14" s="107" t="s">
        <v>1</v>
      </c>
      <c r="IQY14" s="108"/>
      <c r="IQZ14" s="108"/>
      <c r="IRA14" s="109"/>
      <c r="IRB14" s="107" t="s">
        <v>1</v>
      </c>
      <c r="IRC14" s="108"/>
      <c r="IRD14" s="108"/>
      <c r="IRE14" s="109"/>
      <c r="IRF14" s="107" t="s">
        <v>1</v>
      </c>
      <c r="IRG14" s="108"/>
      <c r="IRH14" s="108"/>
      <c r="IRI14" s="109"/>
      <c r="IRJ14" s="107" t="s">
        <v>1</v>
      </c>
      <c r="IRK14" s="108"/>
      <c r="IRL14" s="108"/>
      <c r="IRM14" s="109"/>
      <c r="IRN14" s="107" t="s">
        <v>1</v>
      </c>
      <c r="IRO14" s="108"/>
      <c r="IRP14" s="108"/>
      <c r="IRQ14" s="109"/>
      <c r="IRR14" s="107" t="s">
        <v>1</v>
      </c>
      <c r="IRS14" s="108"/>
      <c r="IRT14" s="108"/>
      <c r="IRU14" s="109"/>
      <c r="IRV14" s="107" t="s">
        <v>1</v>
      </c>
      <c r="IRW14" s="108"/>
      <c r="IRX14" s="108"/>
      <c r="IRY14" s="109"/>
      <c r="IRZ14" s="107" t="s">
        <v>1</v>
      </c>
      <c r="ISA14" s="108"/>
      <c r="ISB14" s="108"/>
      <c r="ISC14" s="109"/>
      <c r="ISD14" s="107" t="s">
        <v>1</v>
      </c>
      <c r="ISE14" s="108"/>
      <c r="ISF14" s="108"/>
      <c r="ISG14" s="109"/>
      <c r="ISH14" s="107" t="s">
        <v>1</v>
      </c>
      <c r="ISI14" s="108"/>
      <c r="ISJ14" s="108"/>
      <c r="ISK14" s="109"/>
      <c r="ISL14" s="107" t="s">
        <v>1</v>
      </c>
      <c r="ISM14" s="108"/>
      <c r="ISN14" s="108"/>
      <c r="ISO14" s="109"/>
      <c r="ISP14" s="107" t="s">
        <v>1</v>
      </c>
      <c r="ISQ14" s="108"/>
      <c r="ISR14" s="108"/>
      <c r="ISS14" s="109"/>
      <c r="IST14" s="107" t="s">
        <v>1</v>
      </c>
      <c r="ISU14" s="108"/>
      <c r="ISV14" s="108"/>
      <c r="ISW14" s="109"/>
      <c r="ISX14" s="107" t="s">
        <v>1</v>
      </c>
      <c r="ISY14" s="108"/>
      <c r="ISZ14" s="108"/>
      <c r="ITA14" s="109"/>
      <c r="ITB14" s="107" t="s">
        <v>1</v>
      </c>
      <c r="ITC14" s="108"/>
      <c r="ITD14" s="108"/>
      <c r="ITE14" s="109"/>
      <c r="ITF14" s="107" t="s">
        <v>1</v>
      </c>
      <c r="ITG14" s="108"/>
      <c r="ITH14" s="108"/>
      <c r="ITI14" s="109"/>
      <c r="ITJ14" s="107" t="s">
        <v>1</v>
      </c>
      <c r="ITK14" s="108"/>
      <c r="ITL14" s="108"/>
      <c r="ITM14" s="109"/>
      <c r="ITN14" s="107" t="s">
        <v>1</v>
      </c>
      <c r="ITO14" s="108"/>
      <c r="ITP14" s="108"/>
      <c r="ITQ14" s="109"/>
      <c r="ITR14" s="107" t="s">
        <v>1</v>
      </c>
      <c r="ITS14" s="108"/>
      <c r="ITT14" s="108"/>
      <c r="ITU14" s="109"/>
      <c r="ITV14" s="107" t="s">
        <v>1</v>
      </c>
      <c r="ITW14" s="108"/>
      <c r="ITX14" s="108"/>
      <c r="ITY14" s="109"/>
      <c r="ITZ14" s="107" t="s">
        <v>1</v>
      </c>
      <c r="IUA14" s="108"/>
      <c r="IUB14" s="108"/>
      <c r="IUC14" s="109"/>
      <c r="IUD14" s="107" t="s">
        <v>1</v>
      </c>
      <c r="IUE14" s="108"/>
      <c r="IUF14" s="108"/>
      <c r="IUG14" s="109"/>
      <c r="IUH14" s="107" t="s">
        <v>1</v>
      </c>
      <c r="IUI14" s="108"/>
      <c r="IUJ14" s="108"/>
      <c r="IUK14" s="109"/>
      <c r="IUL14" s="107" t="s">
        <v>1</v>
      </c>
      <c r="IUM14" s="108"/>
      <c r="IUN14" s="108"/>
      <c r="IUO14" s="109"/>
      <c r="IUP14" s="107" t="s">
        <v>1</v>
      </c>
      <c r="IUQ14" s="108"/>
      <c r="IUR14" s="108"/>
      <c r="IUS14" s="109"/>
      <c r="IUT14" s="107" t="s">
        <v>1</v>
      </c>
      <c r="IUU14" s="108"/>
      <c r="IUV14" s="108"/>
      <c r="IUW14" s="109"/>
      <c r="IUX14" s="107" t="s">
        <v>1</v>
      </c>
      <c r="IUY14" s="108"/>
      <c r="IUZ14" s="108"/>
      <c r="IVA14" s="109"/>
      <c r="IVB14" s="107" t="s">
        <v>1</v>
      </c>
      <c r="IVC14" s="108"/>
      <c r="IVD14" s="108"/>
      <c r="IVE14" s="109"/>
      <c r="IVF14" s="107" t="s">
        <v>1</v>
      </c>
      <c r="IVG14" s="108"/>
      <c r="IVH14" s="108"/>
      <c r="IVI14" s="109"/>
      <c r="IVJ14" s="107" t="s">
        <v>1</v>
      </c>
      <c r="IVK14" s="108"/>
      <c r="IVL14" s="108"/>
      <c r="IVM14" s="109"/>
      <c r="IVN14" s="107" t="s">
        <v>1</v>
      </c>
      <c r="IVO14" s="108"/>
      <c r="IVP14" s="108"/>
      <c r="IVQ14" s="109"/>
      <c r="IVR14" s="107" t="s">
        <v>1</v>
      </c>
      <c r="IVS14" s="108"/>
      <c r="IVT14" s="108"/>
      <c r="IVU14" s="109"/>
      <c r="IVV14" s="107" t="s">
        <v>1</v>
      </c>
      <c r="IVW14" s="108"/>
      <c r="IVX14" s="108"/>
      <c r="IVY14" s="109"/>
      <c r="IVZ14" s="107" t="s">
        <v>1</v>
      </c>
      <c r="IWA14" s="108"/>
      <c r="IWB14" s="108"/>
      <c r="IWC14" s="109"/>
      <c r="IWD14" s="107" t="s">
        <v>1</v>
      </c>
      <c r="IWE14" s="108"/>
      <c r="IWF14" s="108"/>
      <c r="IWG14" s="109"/>
      <c r="IWH14" s="107" t="s">
        <v>1</v>
      </c>
      <c r="IWI14" s="108"/>
      <c r="IWJ14" s="108"/>
      <c r="IWK14" s="109"/>
      <c r="IWL14" s="107" t="s">
        <v>1</v>
      </c>
      <c r="IWM14" s="108"/>
      <c r="IWN14" s="108"/>
      <c r="IWO14" s="109"/>
      <c r="IWP14" s="107" t="s">
        <v>1</v>
      </c>
      <c r="IWQ14" s="108"/>
      <c r="IWR14" s="108"/>
      <c r="IWS14" s="109"/>
      <c r="IWT14" s="107" t="s">
        <v>1</v>
      </c>
      <c r="IWU14" s="108"/>
      <c r="IWV14" s="108"/>
      <c r="IWW14" s="109"/>
      <c r="IWX14" s="107" t="s">
        <v>1</v>
      </c>
      <c r="IWY14" s="108"/>
      <c r="IWZ14" s="108"/>
      <c r="IXA14" s="109"/>
      <c r="IXB14" s="107" t="s">
        <v>1</v>
      </c>
      <c r="IXC14" s="108"/>
      <c r="IXD14" s="108"/>
      <c r="IXE14" s="109"/>
      <c r="IXF14" s="107" t="s">
        <v>1</v>
      </c>
      <c r="IXG14" s="108"/>
      <c r="IXH14" s="108"/>
      <c r="IXI14" s="109"/>
      <c r="IXJ14" s="107" t="s">
        <v>1</v>
      </c>
      <c r="IXK14" s="108"/>
      <c r="IXL14" s="108"/>
      <c r="IXM14" s="109"/>
      <c r="IXN14" s="107" t="s">
        <v>1</v>
      </c>
      <c r="IXO14" s="108"/>
      <c r="IXP14" s="108"/>
      <c r="IXQ14" s="109"/>
      <c r="IXR14" s="107" t="s">
        <v>1</v>
      </c>
      <c r="IXS14" s="108"/>
      <c r="IXT14" s="108"/>
      <c r="IXU14" s="109"/>
      <c r="IXV14" s="107" t="s">
        <v>1</v>
      </c>
      <c r="IXW14" s="108"/>
      <c r="IXX14" s="108"/>
      <c r="IXY14" s="109"/>
      <c r="IXZ14" s="107" t="s">
        <v>1</v>
      </c>
      <c r="IYA14" s="108"/>
      <c r="IYB14" s="108"/>
      <c r="IYC14" s="109"/>
      <c r="IYD14" s="107" t="s">
        <v>1</v>
      </c>
      <c r="IYE14" s="108"/>
      <c r="IYF14" s="108"/>
      <c r="IYG14" s="109"/>
      <c r="IYH14" s="107" t="s">
        <v>1</v>
      </c>
      <c r="IYI14" s="108"/>
      <c r="IYJ14" s="108"/>
      <c r="IYK14" s="109"/>
      <c r="IYL14" s="107" t="s">
        <v>1</v>
      </c>
      <c r="IYM14" s="108"/>
      <c r="IYN14" s="108"/>
      <c r="IYO14" s="109"/>
      <c r="IYP14" s="107" t="s">
        <v>1</v>
      </c>
      <c r="IYQ14" s="108"/>
      <c r="IYR14" s="108"/>
      <c r="IYS14" s="109"/>
      <c r="IYT14" s="107" t="s">
        <v>1</v>
      </c>
      <c r="IYU14" s="108"/>
      <c r="IYV14" s="108"/>
      <c r="IYW14" s="109"/>
      <c r="IYX14" s="107" t="s">
        <v>1</v>
      </c>
      <c r="IYY14" s="108"/>
      <c r="IYZ14" s="108"/>
      <c r="IZA14" s="109"/>
      <c r="IZB14" s="107" t="s">
        <v>1</v>
      </c>
      <c r="IZC14" s="108"/>
      <c r="IZD14" s="108"/>
      <c r="IZE14" s="109"/>
      <c r="IZF14" s="107" t="s">
        <v>1</v>
      </c>
      <c r="IZG14" s="108"/>
      <c r="IZH14" s="108"/>
      <c r="IZI14" s="109"/>
      <c r="IZJ14" s="107" t="s">
        <v>1</v>
      </c>
      <c r="IZK14" s="108"/>
      <c r="IZL14" s="108"/>
      <c r="IZM14" s="109"/>
      <c r="IZN14" s="107" t="s">
        <v>1</v>
      </c>
      <c r="IZO14" s="108"/>
      <c r="IZP14" s="108"/>
      <c r="IZQ14" s="109"/>
      <c r="IZR14" s="107" t="s">
        <v>1</v>
      </c>
      <c r="IZS14" s="108"/>
      <c r="IZT14" s="108"/>
      <c r="IZU14" s="109"/>
      <c r="IZV14" s="107" t="s">
        <v>1</v>
      </c>
      <c r="IZW14" s="108"/>
      <c r="IZX14" s="108"/>
      <c r="IZY14" s="109"/>
      <c r="IZZ14" s="107" t="s">
        <v>1</v>
      </c>
      <c r="JAA14" s="108"/>
      <c r="JAB14" s="108"/>
      <c r="JAC14" s="109"/>
      <c r="JAD14" s="107" t="s">
        <v>1</v>
      </c>
      <c r="JAE14" s="108"/>
      <c r="JAF14" s="108"/>
      <c r="JAG14" s="109"/>
      <c r="JAH14" s="107" t="s">
        <v>1</v>
      </c>
      <c r="JAI14" s="108"/>
      <c r="JAJ14" s="108"/>
      <c r="JAK14" s="109"/>
      <c r="JAL14" s="107" t="s">
        <v>1</v>
      </c>
      <c r="JAM14" s="108"/>
      <c r="JAN14" s="108"/>
      <c r="JAO14" s="109"/>
      <c r="JAP14" s="107" t="s">
        <v>1</v>
      </c>
      <c r="JAQ14" s="108"/>
      <c r="JAR14" s="108"/>
      <c r="JAS14" s="109"/>
      <c r="JAT14" s="107" t="s">
        <v>1</v>
      </c>
      <c r="JAU14" s="108"/>
      <c r="JAV14" s="108"/>
      <c r="JAW14" s="109"/>
      <c r="JAX14" s="107" t="s">
        <v>1</v>
      </c>
      <c r="JAY14" s="108"/>
      <c r="JAZ14" s="108"/>
      <c r="JBA14" s="109"/>
      <c r="JBB14" s="107" t="s">
        <v>1</v>
      </c>
      <c r="JBC14" s="108"/>
      <c r="JBD14" s="108"/>
      <c r="JBE14" s="109"/>
      <c r="JBF14" s="107" t="s">
        <v>1</v>
      </c>
      <c r="JBG14" s="108"/>
      <c r="JBH14" s="108"/>
      <c r="JBI14" s="109"/>
      <c r="JBJ14" s="107" t="s">
        <v>1</v>
      </c>
      <c r="JBK14" s="108"/>
      <c r="JBL14" s="108"/>
      <c r="JBM14" s="109"/>
      <c r="JBN14" s="107" t="s">
        <v>1</v>
      </c>
      <c r="JBO14" s="108"/>
      <c r="JBP14" s="108"/>
      <c r="JBQ14" s="109"/>
      <c r="JBR14" s="107" t="s">
        <v>1</v>
      </c>
      <c r="JBS14" s="108"/>
      <c r="JBT14" s="108"/>
      <c r="JBU14" s="109"/>
      <c r="JBV14" s="107" t="s">
        <v>1</v>
      </c>
      <c r="JBW14" s="108"/>
      <c r="JBX14" s="108"/>
      <c r="JBY14" s="109"/>
      <c r="JBZ14" s="107" t="s">
        <v>1</v>
      </c>
      <c r="JCA14" s="108"/>
      <c r="JCB14" s="108"/>
      <c r="JCC14" s="109"/>
      <c r="JCD14" s="107" t="s">
        <v>1</v>
      </c>
      <c r="JCE14" s="108"/>
      <c r="JCF14" s="108"/>
      <c r="JCG14" s="109"/>
      <c r="JCH14" s="107" t="s">
        <v>1</v>
      </c>
      <c r="JCI14" s="108"/>
      <c r="JCJ14" s="108"/>
      <c r="JCK14" s="109"/>
      <c r="JCL14" s="107" t="s">
        <v>1</v>
      </c>
      <c r="JCM14" s="108"/>
      <c r="JCN14" s="108"/>
      <c r="JCO14" s="109"/>
      <c r="JCP14" s="107" t="s">
        <v>1</v>
      </c>
      <c r="JCQ14" s="108"/>
      <c r="JCR14" s="108"/>
      <c r="JCS14" s="109"/>
      <c r="JCT14" s="107" t="s">
        <v>1</v>
      </c>
      <c r="JCU14" s="108"/>
      <c r="JCV14" s="108"/>
      <c r="JCW14" s="109"/>
      <c r="JCX14" s="107" t="s">
        <v>1</v>
      </c>
      <c r="JCY14" s="108"/>
      <c r="JCZ14" s="108"/>
      <c r="JDA14" s="109"/>
      <c r="JDB14" s="107" t="s">
        <v>1</v>
      </c>
      <c r="JDC14" s="108"/>
      <c r="JDD14" s="108"/>
      <c r="JDE14" s="109"/>
      <c r="JDF14" s="107" t="s">
        <v>1</v>
      </c>
      <c r="JDG14" s="108"/>
      <c r="JDH14" s="108"/>
      <c r="JDI14" s="109"/>
      <c r="JDJ14" s="107" t="s">
        <v>1</v>
      </c>
      <c r="JDK14" s="108"/>
      <c r="JDL14" s="108"/>
      <c r="JDM14" s="109"/>
      <c r="JDN14" s="107" t="s">
        <v>1</v>
      </c>
      <c r="JDO14" s="108"/>
      <c r="JDP14" s="108"/>
      <c r="JDQ14" s="109"/>
      <c r="JDR14" s="107" t="s">
        <v>1</v>
      </c>
      <c r="JDS14" s="108"/>
      <c r="JDT14" s="108"/>
      <c r="JDU14" s="109"/>
      <c r="JDV14" s="107" t="s">
        <v>1</v>
      </c>
      <c r="JDW14" s="108"/>
      <c r="JDX14" s="108"/>
      <c r="JDY14" s="109"/>
      <c r="JDZ14" s="107" t="s">
        <v>1</v>
      </c>
      <c r="JEA14" s="108"/>
      <c r="JEB14" s="108"/>
      <c r="JEC14" s="109"/>
      <c r="JED14" s="107" t="s">
        <v>1</v>
      </c>
      <c r="JEE14" s="108"/>
      <c r="JEF14" s="108"/>
      <c r="JEG14" s="109"/>
      <c r="JEH14" s="107" t="s">
        <v>1</v>
      </c>
      <c r="JEI14" s="108"/>
      <c r="JEJ14" s="108"/>
      <c r="JEK14" s="109"/>
      <c r="JEL14" s="107" t="s">
        <v>1</v>
      </c>
      <c r="JEM14" s="108"/>
      <c r="JEN14" s="108"/>
      <c r="JEO14" s="109"/>
      <c r="JEP14" s="107" t="s">
        <v>1</v>
      </c>
      <c r="JEQ14" s="108"/>
      <c r="JER14" s="108"/>
      <c r="JES14" s="109"/>
      <c r="JET14" s="107" t="s">
        <v>1</v>
      </c>
      <c r="JEU14" s="108"/>
      <c r="JEV14" s="108"/>
      <c r="JEW14" s="109"/>
      <c r="JEX14" s="107" t="s">
        <v>1</v>
      </c>
      <c r="JEY14" s="108"/>
      <c r="JEZ14" s="108"/>
      <c r="JFA14" s="109"/>
      <c r="JFB14" s="107" t="s">
        <v>1</v>
      </c>
      <c r="JFC14" s="108"/>
      <c r="JFD14" s="108"/>
      <c r="JFE14" s="109"/>
      <c r="JFF14" s="107" t="s">
        <v>1</v>
      </c>
      <c r="JFG14" s="108"/>
      <c r="JFH14" s="108"/>
      <c r="JFI14" s="109"/>
      <c r="JFJ14" s="107" t="s">
        <v>1</v>
      </c>
      <c r="JFK14" s="108"/>
      <c r="JFL14" s="108"/>
      <c r="JFM14" s="109"/>
      <c r="JFN14" s="107" t="s">
        <v>1</v>
      </c>
      <c r="JFO14" s="108"/>
      <c r="JFP14" s="108"/>
      <c r="JFQ14" s="109"/>
      <c r="JFR14" s="107" t="s">
        <v>1</v>
      </c>
      <c r="JFS14" s="108"/>
      <c r="JFT14" s="108"/>
      <c r="JFU14" s="109"/>
      <c r="JFV14" s="107" t="s">
        <v>1</v>
      </c>
      <c r="JFW14" s="108"/>
      <c r="JFX14" s="108"/>
      <c r="JFY14" s="109"/>
      <c r="JFZ14" s="107" t="s">
        <v>1</v>
      </c>
      <c r="JGA14" s="108"/>
      <c r="JGB14" s="108"/>
      <c r="JGC14" s="109"/>
      <c r="JGD14" s="107" t="s">
        <v>1</v>
      </c>
      <c r="JGE14" s="108"/>
      <c r="JGF14" s="108"/>
      <c r="JGG14" s="109"/>
      <c r="JGH14" s="107" t="s">
        <v>1</v>
      </c>
      <c r="JGI14" s="108"/>
      <c r="JGJ14" s="108"/>
      <c r="JGK14" s="109"/>
      <c r="JGL14" s="107" t="s">
        <v>1</v>
      </c>
      <c r="JGM14" s="108"/>
      <c r="JGN14" s="108"/>
      <c r="JGO14" s="109"/>
      <c r="JGP14" s="107" t="s">
        <v>1</v>
      </c>
      <c r="JGQ14" s="108"/>
      <c r="JGR14" s="108"/>
      <c r="JGS14" s="109"/>
      <c r="JGT14" s="107" t="s">
        <v>1</v>
      </c>
      <c r="JGU14" s="108"/>
      <c r="JGV14" s="108"/>
      <c r="JGW14" s="109"/>
      <c r="JGX14" s="107" t="s">
        <v>1</v>
      </c>
      <c r="JGY14" s="108"/>
      <c r="JGZ14" s="108"/>
      <c r="JHA14" s="109"/>
      <c r="JHB14" s="107" t="s">
        <v>1</v>
      </c>
      <c r="JHC14" s="108"/>
      <c r="JHD14" s="108"/>
      <c r="JHE14" s="109"/>
      <c r="JHF14" s="107" t="s">
        <v>1</v>
      </c>
      <c r="JHG14" s="108"/>
      <c r="JHH14" s="108"/>
      <c r="JHI14" s="109"/>
      <c r="JHJ14" s="107" t="s">
        <v>1</v>
      </c>
      <c r="JHK14" s="108"/>
      <c r="JHL14" s="108"/>
      <c r="JHM14" s="109"/>
      <c r="JHN14" s="107" t="s">
        <v>1</v>
      </c>
      <c r="JHO14" s="108"/>
      <c r="JHP14" s="108"/>
      <c r="JHQ14" s="109"/>
      <c r="JHR14" s="107" t="s">
        <v>1</v>
      </c>
      <c r="JHS14" s="108"/>
      <c r="JHT14" s="108"/>
      <c r="JHU14" s="109"/>
      <c r="JHV14" s="107" t="s">
        <v>1</v>
      </c>
      <c r="JHW14" s="108"/>
      <c r="JHX14" s="108"/>
      <c r="JHY14" s="109"/>
      <c r="JHZ14" s="107" t="s">
        <v>1</v>
      </c>
      <c r="JIA14" s="108"/>
      <c r="JIB14" s="108"/>
      <c r="JIC14" s="109"/>
      <c r="JID14" s="107" t="s">
        <v>1</v>
      </c>
      <c r="JIE14" s="108"/>
      <c r="JIF14" s="108"/>
      <c r="JIG14" s="109"/>
      <c r="JIH14" s="107" t="s">
        <v>1</v>
      </c>
      <c r="JII14" s="108"/>
      <c r="JIJ14" s="108"/>
      <c r="JIK14" s="109"/>
      <c r="JIL14" s="107" t="s">
        <v>1</v>
      </c>
      <c r="JIM14" s="108"/>
      <c r="JIN14" s="108"/>
      <c r="JIO14" s="109"/>
      <c r="JIP14" s="107" t="s">
        <v>1</v>
      </c>
      <c r="JIQ14" s="108"/>
      <c r="JIR14" s="108"/>
      <c r="JIS14" s="109"/>
      <c r="JIT14" s="107" t="s">
        <v>1</v>
      </c>
      <c r="JIU14" s="108"/>
      <c r="JIV14" s="108"/>
      <c r="JIW14" s="109"/>
      <c r="JIX14" s="107" t="s">
        <v>1</v>
      </c>
      <c r="JIY14" s="108"/>
      <c r="JIZ14" s="108"/>
      <c r="JJA14" s="109"/>
      <c r="JJB14" s="107" t="s">
        <v>1</v>
      </c>
      <c r="JJC14" s="108"/>
      <c r="JJD14" s="108"/>
      <c r="JJE14" s="109"/>
      <c r="JJF14" s="107" t="s">
        <v>1</v>
      </c>
      <c r="JJG14" s="108"/>
      <c r="JJH14" s="108"/>
      <c r="JJI14" s="109"/>
      <c r="JJJ14" s="107" t="s">
        <v>1</v>
      </c>
      <c r="JJK14" s="108"/>
      <c r="JJL14" s="108"/>
      <c r="JJM14" s="109"/>
      <c r="JJN14" s="107" t="s">
        <v>1</v>
      </c>
      <c r="JJO14" s="108"/>
      <c r="JJP14" s="108"/>
      <c r="JJQ14" s="109"/>
      <c r="JJR14" s="107" t="s">
        <v>1</v>
      </c>
      <c r="JJS14" s="108"/>
      <c r="JJT14" s="108"/>
      <c r="JJU14" s="109"/>
      <c r="JJV14" s="107" t="s">
        <v>1</v>
      </c>
      <c r="JJW14" s="108"/>
      <c r="JJX14" s="108"/>
      <c r="JJY14" s="109"/>
      <c r="JJZ14" s="107" t="s">
        <v>1</v>
      </c>
      <c r="JKA14" s="108"/>
      <c r="JKB14" s="108"/>
      <c r="JKC14" s="109"/>
      <c r="JKD14" s="107" t="s">
        <v>1</v>
      </c>
      <c r="JKE14" s="108"/>
      <c r="JKF14" s="108"/>
      <c r="JKG14" s="109"/>
      <c r="JKH14" s="107" t="s">
        <v>1</v>
      </c>
      <c r="JKI14" s="108"/>
      <c r="JKJ14" s="108"/>
      <c r="JKK14" s="109"/>
      <c r="JKL14" s="107" t="s">
        <v>1</v>
      </c>
      <c r="JKM14" s="108"/>
      <c r="JKN14" s="108"/>
      <c r="JKO14" s="109"/>
      <c r="JKP14" s="107" t="s">
        <v>1</v>
      </c>
      <c r="JKQ14" s="108"/>
      <c r="JKR14" s="108"/>
      <c r="JKS14" s="109"/>
      <c r="JKT14" s="107" t="s">
        <v>1</v>
      </c>
      <c r="JKU14" s="108"/>
      <c r="JKV14" s="108"/>
      <c r="JKW14" s="109"/>
      <c r="JKX14" s="107" t="s">
        <v>1</v>
      </c>
      <c r="JKY14" s="108"/>
      <c r="JKZ14" s="108"/>
      <c r="JLA14" s="109"/>
      <c r="JLB14" s="107" t="s">
        <v>1</v>
      </c>
      <c r="JLC14" s="108"/>
      <c r="JLD14" s="108"/>
      <c r="JLE14" s="109"/>
      <c r="JLF14" s="107" t="s">
        <v>1</v>
      </c>
      <c r="JLG14" s="108"/>
      <c r="JLH14" s="108"/>
      <c r="JLI14" s="109"/>
      <c r="JLJ14" s="107" t="s">
        <v>1</v>
      </c>
      <c r="JLK14" s="108"/>
      <c r="JLL14" s="108"/>
      <c r="JLM14" s="109"/>
      <c r="JLN14" s="107" t="s">
        <v>1</v>
      </c>
      <c r="JLO14" s="108"/>
      <c r="JLP14" s="108"/>
      <c r="JLQ14" s="109"/>
      <c r="JLR14" s="107" t="s">
        <v>1</v>
      </c>
      <c r="JLS14" s="108"/>
      <c r="JLT14" s="108"/>
      <c r="JLU14" s="109"/>
      <c r="JLV14" s="107" t="s">
        <v>1</v>
      </c>
      <c r="JLW14" s="108"/>
      <c r="JLX14" s="108"/>
      <c r="JLY14" s="109"/>
      <c r="JLZ14" s="107" t="s">
        <v>1</v>
      </c>
      <c r="JMA14" s="108"/>
      <c r="JMB14" s="108"/>
      <c r="JMC14" s="109"/>
      <c r="JMD14" s="107" t="s">
        <v>1</v>
      </c>
      <c r="JME14" s="108"/>
      <c r="JMF14" s="108"/>
      <c r="JMG14" s="109"/>
      <c r="JMH14" s="107" t="s">
        <v>1</v>
      </c>
      <c r="JMI14" s="108"/>
      <c r="JMJ14" s="108"/>
      <c r="JMK14" s="109"/>
      <c r="JML14" s="107" t="s">
        <v>1</v>
      </c>
      <c r="JMM14" s="108"/>
      <c r="JMN14" s="108"/>
      <c r="JMO14" s="109"/>
      <c r="JMP14" s="107" t="s">
        <v>1</v>
      </c>
      <c r="JMQ14" s="108"/>
      <c r="JMR14" s="108"/>
      <c r="JMS14" s="109"/>
      <c r="JMT14" s="107" t="s">
        <v>1</v>
      </c>
      <c r="JMU14" s="108"/>
      <c r="JMV14" s="108"/>
      <c r="JMW14" s="109"/>
      <c r="JMX14" s="107" t="s">
        <v>1</v>
      </c>
      <c r="JMY14" s="108"/>
      <c r="JMZ14" s="108"/>
      <c r="JNA14" s="109"/>
      <c r="JNB14" s="107" t="s">
        <v>1</v>
      </c>
      <c r="JNC14" s="108"/>
      <c r="JND14" s="108"/>
      <c r="JNE14" s="109"/>
      <c r="JNF14" s="107" t="s">
        <v>1</v>
      </c>
      <c r="JNG14" s="108"/>
      <c r="JNH14" s="108"/>
      <c r="JNI14" s="109"/>
      <c r="JNJ14" s="107" t="s">
        <v>1</v>
      </c>
      <c r="JNK14" s="108"/>
      <c r="JNL14" s="108"/>
      <c r="JNM14" s="109"/>
      <c r="JNN14" s="107" t="s">
        <v>1</v>
      </c>
      <c r="JNO14" s="108"/>
      <c r="JNP14" s="108"/>
      <c r="JNQ14" s="109"/>
      <c r="JNR14" s="107" t="s">
        <v>1</v>
      </c>
      <c r="JNS14" s="108"/>
      <c r="JNT14" s="108"/>
      <c r="JNU14" s="109"/>
      <c r="JNV14" s="107" t="s">
        <v>1</v>
      </c>
      <c r="JNW14" s="108"/>
      <c r="JNX14" s="108"/>
      <c r="JNY14" s="109"/>
      <c r="JNZ14" s="107" t="s">
        <v>1</v>
      </c>
      <c r="JOA14" s="108"/>
      <c r="JOB14" s="108"/>
      <c r="JOC14" s="109"/>
      <c r="JOD14" s="107" t="s">
        <v>1</v>
      </c>
      <c r="JOE14" s="108"/>
      <c r="JOF14" s="108"/>
      <c r="JOG14" s="109"/>
      <c r="JOH14" s="107" t="s">
        <v>1</v>
      </c>
      <c r="JOI14" s="108"/>
      <c r="JOJ14" s="108"/>
      <c r="JOK14" s="109"/>
      <c r="JOL14" s="107" t="s">
        <v>1</v>
      </c>
      <c r="JOM14" s="108"/>
      <c r="JON14" s="108"/>
      <c r="JOO14" s="109"/>
      <c r="JOP14" s="107" t="s">
        <v>1</v>
      </c>
      <c r="JOQ14" s="108"/>
      <c r="JOR14" s="108"/>
      <c r="JOS14" s="109"/>
      <c r="JOT14" s="107" t="s">
        <v>1</v>
      </c>
      <c r="JOU14" s="108"/>
      <c r="JOV14" s="108"/>
      <c r="JOW14" s="109"/>
      <c r="JOX14" s="107" t="s">
        <v>1</v>
      </c>
      <c r="JOY14" s="108"/>
      <c r="JOZ14" s="108"/>
      <c r="JPA14" s="109"/>
      <c r="JPB14" s="107" t="s">
        <v>1</v>
      </c>
      <c r="JPC14" s="108"/>
      <c r="JPD14" s="108"/>
      <c r="JPE14" s="109"/>
      <c r="JPF14" s="107" t="s">
        <v>1</v>
      </c>
      <c r="JPG14" s="108"/>
      <c r="JPH14" s="108"/>
      <c r="JPI14" s="109"/>
      <c r="JPJ14" s="107" t="s">
        <v>1</v>
      </c>
      <c r="JPK14" s="108"/>
      <c r="JPL14" s="108"/>
      <c r="JPM14" s="109"/>
      <c r="JPN14" s="107" t="s">
        <v>1</v>
      </c>
      <c r="JPO14" s="108"/>
      <c r="JPP14" s="108"/>
      <c r="JPQ14" s="109"/>
      <c r="JPR14" s="107" t="s">
        <v>1</v>
      </c>
      <c r="JPS14" s="108"/>
      <c r="JPT14" s="108"/>
      <c r="JPU14" s="109"/>
      <c r="JPV14" s="107" t="s">
        <v>1</v>
      </c>
      <c r="JPW14" s="108"/>
      <c r="JPX14" s="108"/>
      <c r="JPY14" s="109"/>
      <c r="JPZ14" s="107" t="s">
        <v>1</v>
      </c>
      <c r="JQA14" s="108"/>
      <c r="JQB14" s="108"/>
      <c r="JQC14" s="109"/>
      <c r="JQD14" s="107" t="s">
        <v>1</v>
      </c>
      <c r="JQE14" s="108"/>
      <c r="JQF14" s="108"/>
      <c r="JQG14" s="109"/>
      <c r="JQH14" s="107" t="s">
        <v>1</v>
      </c>
      <c r="JQI14" s="108"/>
      <c r="JQJ14" s="108"/>
      <c r="JQK14" s="109"/>
      <c r="JQL14" s="107" t="s">
        <v>1</v>
      </c>
      <c r="JQM14" s="108"/>
      <c r="JQN14" s="108"/>
      <c r="JQO14" s="109"/>
      <c r="JQP14" s="107" t="s">
        <v>1</v>
      </c>
      <c r="JQQ14" s="108"/>
      <c r="JQR14" s="108"/>
      <c r="JQS14" s="109"/>
      <c r="JQT14" s="107" t="s">
        <v>1</v>
      </c>
      <c r="JQU14" s="108"/>
      <c r="JQV14" s="108"/>
      <c r="JQW14" s="109"/>
      <c r="JQX14" s="107" t="s">
        <v>1</v>
      </c>
      <c r="JQY14" s="108"/>
      <c r="JQZ14" s="108"/>
      <c r="JRA14" s="109"/>
      <c r="JRB14" s="107" t="s">
        <v>1</v>
      </c>
      <c r="JRC14" s="108"/>
      <c r="JRD14" s="108"/>
      <c r="JRE14" s="109"/>
      <c r="JRF14" s="107" t="s">
        <v>1</v>
      </c>
      <c r="JRG14" s="108"/>
      <c r="JRH14" s="108"/>
      <c r="JRI14" s="109"/>
      <c r="JRJ14" s="107" t="s">
        <v>1</v>
      </c>
      <c r="JRK14" s="108"/>
      <c r="JRL14" s="108"/>
      <c r="JRM14" s="109"/>
      <c r="JRN14" s="107" t="s">
        <v>1</v>
      </c>
      <c r="JRO14" s="108"/>
      <c r="JRP14" s="108"/>
      <c r="JRQ14" s="109"/>
      <c r="JRR14" s="107" t="s">
        <v>1</v>
      </c>
      <c r="JRS14" s="108"/>
      <c r="JRT14" s="108"/>
      <c r="JRU14" s="109"/>
      <c r="JRV14" s="107" t="s">
        <v>1</v>
      </c>
      <c r="JRW14" s="108"/>
      <c r="JRX14" s="108"/>
      <c r="JRY14" s="109"/>
      <c r="JRZ14" s="107" t="s">
        <v>1</v>
      </c>
      <c r="JSA14" s="108"/>
      <c r="JSB14" s="108"/>
      <c r="JSC14" s="109"/>
      <c r="JSD14" s="107" t="s">
        <v>1</v>
      </c>
      <c r="JSE14" s="108"/>
      <c r="JSF14" s="108"/>
      <c r="JSG14" s="109"/>
      <c r="JSH14" s="107" t="s">
        <v>1</v>
      </c>
      <c r="JSI14" s="108"/>
      <c r="JSJ14" s="108"/>
      <c r="JSK14" s="109"/>
      <c r="JSL14" s="107" t="s">
        <v>1</v>
      </c>
      <c r="JSM14" s="108"/>
      <c r="JSN14" s="108"/>
      <c r="JSO14" s="109"/>
      <c r="JSP14" s="107" t="s">
        <v>1</v>
      </c>
      <c r="JSQ14" s="108"/>
      <c r="JSR14" s="108"/>
      <c r="JSS14" s="109"/>
      <c r="JST14" s="107" t="s">
        <v>1</v>
      </c>
      <c r="JSU14" s="108"/>
      <c r="JSV14" s="108"/>
      <c r="JSW14" s="109"/>
      <c r="JSX14" s="107" t="s">
        <v>1</v>
      </c>
      <c r="JSY14" s="108"/>
      <c r="JSZ14" s="108"/>
      <c r="JTA14" s="109"/>
      <c r="JTB14" s="107" t="s">
        <v>1</v>
      </c>
      <c r="JTC14" s="108"/>
      <c r="JTD14" s="108"/>
      <c r="JTE14" s="109"/>
      <c r="JTF14" s="107" t="s">
        <v>1</v>
      </c>
      <c r="JTG14" s="108"/>
      <c r="JTH14" s="108"/>
      <c r="JTI14" s="109"/>
      <c r="JTJ14" s="107" t="s">
        <v>1</v>
      </c>
      <c r="JTK14" s="108"/>
      <c r="JTL14" s="108"/>
      <c r="JTM14" s="109"/>
      <c r="JTN14" s="107" t="s">
        <v>1</v>
      </c>
      <c r="JTO14" s="108"/>
      <c r="JTP14" s="108"/>
      <c r="JTQ14" s="109"/>
      <c r="JTR14" s="107" t="s">
        <v>1</v>
      </c>
      <c r="JTS14" s="108"/>
      <c r="JTT14" s="108"/>
      <c r="JTU14" s="109"/>
      <c r="JTV14" s="107" t="s">
        <v>1</v>
      </c>
      <c r="JTW14" s="108"/>
      <c r="JTX14" s="108"/>
      <c r="JTY14" s="109"/>
      <c r="JTZ14" s="107" t="s">
        <v>1</v>
      </c>
      <c r="JUA14" s="108"/>
      <c r="JUB14" s="108"/>
      <c r="JUC14" s="109"/>
      <c r="JUD14" s="107" t="s">
        <v>1</v>
      </c>
      <c r="JUE14" s="108"/>
      <c r="JUF14" s="108"/>
      <c r="JUG14" s="109"/>
      <c r="JUH14" s="107" t="s">
        <v>1</v>
      </c>
      <c r="JUI14" s="108"/>
      <c r="JUJ14" s="108"/>
      <c r="JUK14" s="109"/>
      <c r="JUL14" s="107" t="s">
        <v>1</v>
      </c>
      <c r="JUM14" s="108"/>
      <c r="JUN14" s="108"/>
      <c r="JUO14" s="109"/>
      <c r="JUP14" s="107" t="s">
        <v>1</v>
      </c>
      <c r="JUQ14" s="108"/>
      <c r="JUR14" s="108"/>
      <c r="JUS14" s="109"/>
      <c r="JUT14" s="107" t="s">
        <v>1</v>
      </c>
      <c r="JUU14" s="108"/>
      <c r="JUV14" s="108"/>
      <c r="JUW14" s="109"/>
      <c r="JUX14" s="107" t="s">
        <v>1</v>
      </c>
      <c r="JUY14" s="108"/>
      <c r="JUZ14" s="108"/>
      <c r="JVA14" s="109"/>
      <c r="JVB14" s="107" t="s">
        <v>1</v>
      </c>
      <c r="JVC14" s="108"/>
      <c r="JVD14" s="108"/>
      <c r="JVE14" s="109"/>
      <c r="JVF14" s="107" t="s">
        <v>1</v>
      </c>
      <c r="JVG14" s="108"/>
      <c r="JVH14" s="108"/>
      <c r="JVI14" s="109"/>
      <c r="JVJ14" s="107" t="s">
        <v>1</v>
      </c>
      <c r="JVK14" s="108"/>
      <c r="JVL14" s="108"/>
      <c r="JVM14" s="109"/>
      <c r="JVN14" s="107" t="s">
        <v>1</v>
      </c>
      <c r="JVO14" s="108"/>
      <c r="JVP14" s="108"/>
      <c r="JVQ14" s="109"/>
      <c r="JVR14" s="107" t="s">
        <v>1</v>
      </c>
      <c r="JVS14" s="108"/>
      <c r="JVT14" s="108"/>
      <c r="JVU14" s="109"/>
      <c r="JVV14" s="107" t="s">
        <v>1</v>
      </c>
      <c r="JVW14" s="108"/>
      <c r="JVX14" s="108"/>
      <c r="JVY14" s="109"/>
      <c r="JVZ14" s="107" t="s">
        <v>1</v>
      </c>
      <c r="JWA14" s="108"/>
      <c r="JWB14" s="108"/>
      <c r="JWC14" s="109"/>
      <c r="JWD14" s="107" t="s">
        <v>1</v>
      </c>
      <c r="JWE14" s="108"/>
      <c r="JWF14" s="108"/>
      <c r="JWG14" s="109"/>
      <c r="JWH14" s="107" t="s">
        <v>1</v>
      </c>
      <c r="JWI14" s="108"/>
      <c r="JWJ14" s="108"/>
      <c r="JWK14" s="109"/>
      <c r="JWL14" s="107" t="s">
        <v>1</v>
      </c>
      <c r="JWM14" s="108"/>
      <c r="JWN14" s="108"/>
      <c r="JWO14" s="109"/>
      <c r="JWP14" s="107" t="s">
        <v>1</v>
      </c>
      <c r="JWQ14" s="108"/>
      <c r="JWR14" s="108"/>
      <c r="JWS14" s="109"/>
      <c r="JWT14" s="107" t="s">
        <v>1</v>
      </c>
      <c r="JWU14" s="108"/>
      <c r="JWV14" s="108"/>
      <c r="JWW14" s="109"/>
      <c r="JWX14" s="107" t="s">
        <v>1</v>
      </c>
      <c r="JWY14" s="108"/>
      <c r="JWZ14" s="108"/>
      <c r="JXA14" s="109"/>
      <c r="JXB14" s="107" t="s">
        <v>1</v>
      </c>
      <c r="JXC14" s="108"/>
      <c r="JXD14" s="108"/>
      <c r="JXE14" s="109"/>
      <c r="JXF14" s="107" t="s">
        <v>1</v>
      </c>
      <c r="JXG14" s="108"/>
      <c r="JXH14" s="108"/>
      <c r="JXI14" s="109"/>
      <c r="JXJ14" s="107" t="s">
        <v>1</v>
      </c>
      <c r="JXK14" s="108"/>
      <c r="JXL14" s="108"/>
      <c r="JXM14" s="109"/>
      <c r="JXN14" s="107" t="s">
        <v>1</v>
      </c>
      <c r="JXO14" s="108"/>
      <c r="JXP14" s="108"/>
      <c r="JXQ14" s="109"/>
      <c r="JXR14" s="107" t="s">
        <v>1</v>
      </c>
      <c r="JXS14" s="108"/>
      <c r="JXT14" s="108"/>
      <c r="JXU14" s="109"/>
      <c r="JXV14" s="107" t="s">
        <v>1</v>
      </c>
      <c r="JXW14" s="108"/>
      <c r="JXX14" s="108"/>
      <c r="JXY14" s="109"/>
      <c r="JXZ14" s="107" t="s">
        <v>1</v>
      </c>
      <c r="JYA14" s="108"/>
      <c r="JYB14" s="108"/>
      <c r="JYC14" s="109"/>
      <c r="JYD14" s="107" t="s">
        <v>1</v>
      </c>
      <c r="JYE14" s="108"/>
      <c r="JYF14" s="108"/>
      <c r="JYG14" s="109"/>
      <c r="JYH14" s="107" t="s">
        <v>1</v>
      </c>
      <c r="JYI14" s="108"/>
      <c r="JYJ14" s="108"/>
      <c r="JYK14" s="109"/>
      <c r="JYL14" s="107" t="s">
        <v>1</v>
      </c>
      <c r="JYM14" s="108"/>
      <c r="JYN14" s="108"/>
      <c r="JYO14" s="109"/>
      <c r="JYP14" s="107" t="s">
        <v>1</v>
      </c>
      <c r="JYQ14" s="108"/>
      <c r="JYR14" s="108"/>
      <c r="JYS14" s="109"/>
      <c r="JYT14" s="107" t="s">
        <v>1</v>
      </c>
      <c r="JYU14" s="108"/>
      <c r="JYV14" s="108"/>
      <c r="JYW14" s="109"/>
      <c r="JYX14" s="107" t="s">
        <v>1</v>
      </c>
      <c r="JYY14" s="108"/>
      <c r="JYZ14" s="108"/>
      <c r="JZA14" s="109"/>
      <c r="JZB14" s="107" t="s">
        <v>1</v>
      </c>
      <c r="JZC14" s="108"/>
      <c r="JZD14" s="108"/>
      <c r="JZE14" s="109"/>
      <c r="JZF14" s="107" t="s">
        <v>1</v>
      </c>
      <c r="JZG14" s="108"/>
      <c r="JZH14" s="108"/>
      <c r="JZI14" s="109"/>
      <c r="JZJ14" s="107" t="s">
        <v>1</v>
      </c>
      <c r="JZK14" s="108"/>
      <c r="JZL14" s="108"/>
      <c r="JZM14" s="109"/>
      <c r="JZN14" s="107" t="s">
        <v>1</v>
      </c>
      <c r="JZO14" s="108"/>
      <c r="JZP14" s="108"/>
      <c r="JZQ14" s="109"/>
      <c r="JZR14" s="107" t="s">
        <v>1</v>
      </c>
      <c r="JZS14" s="108"/>
      <c r="JZT14" s="108"/>
      <c r="JZU14" s="109"/>
      <c r="JZV14" s="107" t="s">
        <v>1</v>
      </c>
      <c r="JZW14" s="108"/>
      <c r="JZX14" s="108"/>
      <c r="JZY14" s="109"/>
      <c r="JZZ14" s="107" t="s">
        <v>1</v>
      </c>
      <c r="KAA14" s="108"/>
      <c r="KAB14" s="108"/>
      <c r="KAC14" s="109"/>
      <c r="KAD14" s="107" t="s">
        <v>1</v>
      </c>
      <c r="KAE14" s="108"/>
      <c r="KAF14" s="108"/>
      <c r="KAG14" s="109"/>
      <c r="KAH14" s="107" t="s">
        <v>1</v>
      </c>
      <c r="KAI14" s="108"/>
      <c r="KAJ14" s="108"/>
      <c r="KAK14" s="109"/>
      <c r="KAL14" s="107" t="s">
        <v>1</v>
      </c>
      <c r="KAM14" s="108"/>
      <c r="KAN14" s="108"/>
      <c r="KAO14" s="109"/>
      <c r="KAP14" s="107" t="s">
        <v>1</v>
      </c>
      <c r="KAQ14" s="108"/>
      <c r="KAR14" s="108"/>
      <c r="KAS14" s="109"/>
      <c r="KAT14" s="107" t="s">
        <v>1</v>
      </c>
      <c r="KAU14" s="108"/>
      <c r="KAV14" s="108"/>
      <c r="KAW14" s="109"/>
      <c r="KAX14" s="107" t="s">
        <v>1</v>
      </c>
      <c r="KAY14" s="108"/>
      <c r="KAZ14" s="108"/>
      <c r="KBA14" s="109"/>
      <c r="KBB14" s="107" t="s">
        <v>1</v>
      </c>
      <c r="KBC14" s="108"/>
      <c r="KBD14" s="108"/>
      <c r="KBE14" s="109"/>
      <c r="KBF14" s="107" t="s">
        <v>1</v>
      </c>
      <c r="KBG14" s="108"/>
      <c r="KBH14" s="108"/>
      <c r="KBI14" s="109"/>
      <c r="KBJ14" s="107" t="s">
        <v>1</v>
      </c>
      <c r="KBK14" s="108"/>
      <c r="KBL14" s="108"/>
      <c r="KBM14" s="109"/>
      <c r="KBN14" s="107" t="s">
        <v>1</v>
      </c>
      <c r="KBO14" s="108"/>
      <c r="KBP14" s="108"/>
      <c r="KBQ14" s="109"/>
      <c r="KBR14" s="107" t="s">
        <v>1</v>
      </c>
      <c r="KBS14" s="108"/>
      <c r="KBT14" s="108"/>
      <c r="KBU14" s="109"/>
      <c r="KBV14" s="107" t="s">
        <v>1</v>
      </c>
      <c r="KBW14" s="108"/>
      <c r="KBX14" s="108"/>
      <c r="KBY14" s="109"/>
      <c r="KBZ14" s="107" t="s">
        <v>1</v>
      </c>
      <c r="KCA14" s="108"/>
      <c r="KCB14" s="108"/>
      <c r="KCC14" s="109"/>
      <c r="KCD14" s="107" t="s">
        <v>1</v>
      </c>
      <c r="KCE14" s="108"/>
      <c r="KCF14" s="108"/>
      <c r="KCG14" s="109"/>
      <c r="KCH14" s="107" t="s">
        <v>1</v>
      </c>
      <c r="KCI14" s="108"/>
      <c r="KCJ14" s="108"/>
      <c r="KCK14" s="109"/>
      <c r="KCL14" s="107" t="s">
        <v>1</v>
      </c>
      <c r="KCM14" s="108"/>
      <c r="KCN14" s="108"/>
      <c r="KCO14" s="109"/>
      <c r="KCP14" s="107" t="s">
        <v>1</v>
      </c>
      <c r="KCQ14" s="108"/>
      <c r="KCR14" s="108"/>
      <c r="KCS14" s="109"/>
      <c r="KCT14" s="107" t="s">
        <v>1</v>
      </c>
      <c r="KCU14" s="108"/>
      <c r="KCV14" s="108"/>
      <c r="KCW14" s="109"/>
      <c r="KCX14" s="107" t="s">
        <v>1</v>
      </c>
      <c r="KCY14" s="108"/>
      <c r="KCZ14" s="108"/>
      <c r="KDA14" s="109"/>
      <c r="KDB14" s="107" t="s">
        <v>1</v>
      </c>
      <c r="KDC14" s="108"/>
      <c r="KDD14" s="108"/>
      <c r="KDE14" s="109"/>
      <c r="KDF14" s="107" t="s">
        <v>1</v>
      </c>
      <c r="KDG14" s="108"/>
      <c r="KDH14" s="108"/>
      <c r="KDI14" s="109"/>
      <c r="KDJ14" s="107" t="s">
        <v>1</v>
      </c>
      <c r="KDK14" s="108"/>
      <c r="KDL14" s="108"/>
      <c r="KDM14" s="109"/>
      <c r="KDN14" s="107" t="s">
        <v>1</v>
      </c>
      <c r="KDO14" s="108"/>
      <c r="KDP14" s="108"/>
      <c r="KDQ14" s="109"/>
      <c r="KDR14" s="107" t="s">
        <v>1</v>
      </c>
      <c r="KDS14" s="108"/>
      <c r="KDT14" s="108"/>
      <c r="KDU14" s="109"/>
      <c r="KDV14" s="107" t="s">
        <v>1</v>
      </c>
      <c r="KDW14" s="108"/>
      <c r="KDX14" s="108"/>
      <c r="KDY14" s="109"/>
      <c r="KDZ14" s="107" t="s">
        <v>1</v>
      </c>
      <c r="KEA14" s="108"/>
      <c r="KEB14" s="108"/>
      <c r="KEC14" s="109"/>
      <c r="KED14" s="107" t="s">
        <v>1</v>
      </c>
      <c r="KEE14" s="108"/>
      <c r="KEF14" s="108"/>
      <c r="KEG14" s="109"/>
      <c r="KEH14" s="107" t="s">
        <v>1</v>
      </c>
      <c r="KEI14" s="108"/>
      <c r="KEJ14" s="108"/>
      <c r="KEK14" s="109"/>
      <c r="KEL14" s="107" t="s">
        <v>1</v>
      </c>
      <c r="KEM14" s="108"/>
      <c r="KEN14" s="108"/>
      <c r="KEO14" s="109"/>
      <c r="KEP14" s="107" t="s">
        <v>1</v>
      </c>
      <c r="KEQ14" s="108"/>
      <c r="KER14" s="108"/>
      <c r="KES14" s="109"/>
      <c r="KET14" s="107" t="s">
        <v>1</v>
      </c>
      <c r="KEU14" s="108"/>
      <c r="KEV14" s="108"/>
      <c r="KEW14" s="109"/>
      <c r="KEX14" s="107" t="s">
        <v>1</v>
      </c>
      <c r="KEY14" s="108"/>
      <c r="KEZ14" s="108"/>
      <c r="KFA14" s="109"/>
      <c r="KFB14" s="107" t="s">
        <v>1</v>
      </c>
      <c r="KFC14" s="108"/>
      <c r="KFD14" s="108"/>
      <c r="KFE14" s="109"/>
      <c r="KFF14" s="107" t="s">
        <v>1</v>
      </c>
      <c r="KFG14" s="108"/>
      <c r="KFH14" s="108"/>
      <c r="KFI14" s="109"/>
      <c r="KFJ14" s="107" t="s">
        <v>1</v>
      </c>
      <c r="KFK14" s="108"/>
      <c r="KFL14" s="108"/>
      <c r="KFM14" s="109"/>
      <c r="KFN14" s="107" t="s">
        <v>1</v>
      </c>
      <c r="KFO14" s="108"/>
      <c r="KFP14" s="108"/>
      <c r="KFQ14" s="109"/>
      <c r="KFR14" s="107" t="s">
        <v>1</v>
      </c>
      <c r="KFS14" s="108"/>
      <c r="KFT14" s="108"/>
      <c r="KFU14" s="109"/>
      <c r="KFV14" s="107" t="s">
        <v>1</v>
      </c>
      <c r="KFW14" s="108"/>
      <c r="KFX14" s="108"/>
      <c r="KFY14" s="109"/>
      <c r="KFZ14" s="107" t="s">
        <v>1</v>
      </c>
      <c r="KGA14" s="108"/>
      <c r="KGB14" s="108"/>
      <c r="KGC14" s="109"/>
      <c r="KGD14" s="107" t="s">
        <v>1</v>
      </c>
      <c r="KGE14" s="108"/>
      <c r="KGF14" s="108"/>
      <c r="KGG14" s="109"/>
      <c r="KGH14" s="107" t="s">
        <v>1</v>
      </c>
      <c r="KGI14" s="108"/>
      <c r="KGJ14" s="108"/>
      <c r="KGK14" s="109"/>
      <c r="KGL14" s="107" t="s">
        <v>1</v>
      </c>
      <c r="KGM14" s="108"/>
      <c r="KGN14" s="108"/>
      <c r="KGO14" s="109"/>
      <c r="KGP14" s="107" t="s">
        <v>1</v>
      </c>
      <c r="KGQ14" s="108"/>
      <c r="KGR14" s="108"/>
      <c r="KGS14" s="109"/>
      <c r="KGT14" s="107" t="s">
        <v>1</v>
      </c>
      <c r="KGU14" s="108"/>
      <c r="KGV14" s="108"/>
      <c r="KGW14" s="109"/>
      <c r="KGX14" s="107" t="s">
        <v>1</v>
      </c>
      <c r="KGY14" s="108"/>
      <c r="KGZ14" s="108"/>
      <c r="KHA14" s="109"/>
      <c r="KHB14" s="107" t="s">
        <v>1</v>
      </c>
      <c r="KHC14" s="108"/>
      <c r="KHD14" s="108"/>
      <c r="KHE14" s="109"/>
      <c r="KHF14" s="107" t="s">
        <v>1</v>
      </c>
      <c r="KHG14" s="108"/>
      <c r="KHH14" s="108"/>
      <c r="KHI14" s="109"/>
      <c r="KHJ14" s="107" t="s">
        <v>1</v>
      </c>
      <c r="KHK14" s="108"/>
      <c r="KHL14" s="108"/>
      <c r="KHM14" s="109"/>
      <c r="KHN14" s="107" t="s">
        <v>1</v>
      </c>
      <c r="KHO14" s="108"/>
      <c r="KHP14" s="108"/>
      <c r="KHQ14" s="109"/>
      <c r="KHR14" s="107" t="s">
        <v>1</v>
      </c>
      <c r="KHS14" s="108"/>
      <c r="KHT14" s="108"/>
      <c r="KHU14" s="109"/>
      <c r="KHV14" s="107" t="s">
        <v>1</v>
      </c>
      <c r="KHW14" s="108"/>
      <c r="KHX14" s="108"/>
      <c r="KHY14" s="109"/>
      <c r="KHZ14" s="107" t="s">
        <v>1</v>
      </c>
      <c r="KIA14" s="108"/>
      <c r="KIB14" s="108"/>
      <c r="KIC14" s="109"/>
      <c r="KID14" s="107" t="s">
        <v>1</v>
      </c>
      <c r="KIE14" s="108"/>
      <c r="KIF14" s="108"/>
      <c r="KIG14" s="109"/>
      <c r="KIH14" s="107" t="s">
        <v>1</v>
      </c>
      <c r="KII14" s="108"/>
      <c r="KIJ14" s="108"/>
      <c r="KIK14" s="109"/>
      <c r="KIL14" s="107" t="s">
        <v>1</v>
      </c>
      <c r="KIM14" s="108"/>
      <c r="KIN14" s="108"/>
      <c r="KIO14" s="109"/>
      <c r="KIP14" s="107" t="s">
        <v>1</v>
      </c>
      <c r="KIQ14" s="108"/>
      <c r="KIR14" s="108"/>
      <c r="KIS14" s="109"/>
      <c r="KIT14" s="107" t="s">
        <v>1</v>
      </c>
      <c r="KIU14" s="108"/>
      <c r="KIV14" s="108"/>
      <c r="KIW14" s="109"/>
      <c r="KIX14" s="107" t="s">
        <v>1</v>
      </c>
      <c r="KIY14" s="108"/>
      <c r="KIZ14" s="108"/>
      <c r="KJA14" s="109"/>
      <c r="KJB14" s="107" t="s">
        <v>1</v>
      </c>
      <c r="KJC14" s="108"/>
      <c r="KJD14" s="108"/>
      <c r="KJE14" s="109"/>
      <c r="KJF14" s="107" t="s">
        <v>1</v>
      </c>
      <c r="KJG14" s="108"/>
      <c r="KJH14" s="108"/>
      <c r="KJI14" s="109"/>
      <c r="KJJ14" s="107" t="s">
        <v>1</v>
      </c>
      <c r="KJK14" s="108"/>
      <c r="KJL14" s="108"/>
      <c r="KJM14" s="109"/>
      <c r="KJN14" s="107" t="s">
        <v>1</v>
      </c>
      <c r="KJO14" s="108"/>
      <c r="KJP14" s="108"/>
      <c r="KJQ14" s="109"/>
      <c r="KJR14" s="107" t="s">
        <v>1</v>
      </c>
      <c r="KJS14" s="108"/>
      <c r="KJT14" s="108"/>
      <c r="KJU14" s="109"/>
      <c r="KJV14" s="107" t="s">
        <v>1</v>
      </c>
      <c r="KJW14" s="108"/>
      <c r="KJX14" s="108"/>
      <c r="KJY14" s="109"/>
      <c r="KJZ14" s="107" t="s">
        <v>1</v>
      </c>
      <c r="KKA14" s="108"/>
      <c r="KKB14" s="108"/>
      <c r="KKC14" s="109"/>
      <c r="KKD14" s="107" t="s">
        <v>1</v>
      </c>
      <c r="KKE14" s="108"/>
      <c r="KKF14" s="108"/>
      <c r="KKG14" s="109"/>
      <c r="KKH14" s="107" t="s">
        <v>1</v>
      </c>
      <c r="KKI14" s="108"/>
      <c r="KKJ14" s="108"/>
      <c r="KKK14" s="109"/>
      <c r="KKL14" s="107" t="s">
        <v>1</v>
      </c>
      <c r="KKM14" s="108"/>
      <c r="KKN14" s="108"/>
      <c r="KKO14" s="109"/>
      <c r="KKP14" s="107" t="s">
        <v>1</v>
      </c>
      <c r="KKQ14" s="108"/>
      <c r="KKR14" s="108"/>
      <c r="KKS14" s="109"/>
      <c r="KKT14" s="107" t="s">
        <v>1</v>
      </c>
      <c r="KKU14" s="108"/>
      <c r="KKV14" s="108"/>
      <c r="KKW14" s="109"/>
      <c r="KKX14" s="107" t="s">
        <v>1</v>
      </c>
      <c r="KKY14" s="108"/>
      <c r="KKZ14" s="108"/>
      <c r="KLA14" s="109"/>
      <c r="KLB14" s="107" t="s">
        <v>1</v>
      </c>
      <c r="KLC14" s="108"/>
      <c r="KLD14" s="108"/>
      <c r="KLE14" s="109"/>
      <c r="KLF14" s="107" t="s">
        <v>1</v>
      </c>
      <c r="KLG14" s="108"/>
      <c r="KLH14" s="108"/>
      <c r="KLI14" s="109"/>
      <c r="KLJ14" s="107" t="s">
        <v>1</v>
      </c>
      <c r="KLK14" s="108"/>
      <c r="KLL14" s="108"/>
      <c r="KLM14" s="109"/>
      <c r="KLN14" s="107" t="s">
        <v>1</v>
      </c>
      <c r="KLO14" s="108"/>
      <c r="KLP14" s="108"/>
      <c r="KLQ14" s="109"/>
      <c r="KLR14" s="107" t="s">
        <v>1</v>
      </c>
      <c r="KLS14" s="108"/>
      <c r="KLT14" s="108"/>
      <c r="KLU14" s="109"/>
      <c r="KLV14" s="107" t="s">
        <v>1</v>
      </c>
      <c r="KLW14" s="108"/>
      <c r="KLX14" s="108"/>
      <c r="KLY14" s="109"/>
      <c r="KLZ14" s="107" t="s">
        <v>1</v>
      </c>
      <c r="KMA14" s="108"/>
      <c r="KMB14" s="108"/>
      <c r="KMC14" s="109"/>
      <c r="KMD14" s="107" t="s">
        <v>1</v>
      </c>
      <c r="KME14" s="108"/>
      <c r="KMF14" s="108"/>
      <c r="KMG14" s="109"/>
      <c r="KMH14" s="107" t="s">
        <v>1</v>
      </c>
      <c r="KMI14" s="108"/>
      <c r="KMJ14" s="108"/>
      <c r="KMK14" s="109"/>
      <c r="KML14" s="107" t="s">
        <v>1</v>
      </c>
      <c r="KMM14" s="108"/>
      <c r="KMN14" s="108"/>
      <c r="KMO14" s="109"/>
      <c r="KMP14" s="107" t="s">
        <v>1</v>
      </c>
      <c r="KMQ14" s="108"/>
      <c r="KMR14" s="108"/>
      <c r="KMS14" s="109"/>
      <c r="KMT14" s="107" t="s">
        <v>1</v>
      </c>
      <c r="KMU14" s="108"/>
      <c r="KMV14" s="108"/>
      <c r="KMW14" s="109"/>
      <c r="KMX14" s="107" t="s">
        <v>1</v>
      </c>
      <c r="KMY14" s="108"/>
      <c r="KMZ14" s="108"/>
      <c r="KNA14" s="109"/>
      <c r="KNB14" s="107" t="s">
        <v>1</v>
      </c>
      <c r="KNC14" s="108"/>
      <c r="KND14" s="108"/>
      <c r="KNE14" s="109"/>
      <c r="KNF14" s="107" t="s">
        <v>1</v>
      </c>
      <c r="KNG14" s="108"/>
      <c r="KNH14" s="108"/>
      <c r="KNI14" s="109"/>
      <c r="KNJ14" s="107" t="s">
        <v>1</v>
      </c>
      <c r="KNK14" s="108"/>
      <c r="KNL14" s="108"/>
      <c r="KNM14" s="109"/>
      <c r="KNN14" s="107" t="s">
        <v>1</v>
      </c>
      <c r="KNO14" s="108"/>
      <c r="KNP14" s="108"/>
      <c r="KNQ14" s="109"/>
      <c r="KNR14" s="107" t="s">
        <v>1</v>
      </c>
      <c r="KNS14" s="108"/>
      <c r="KNT14" s="108"/>
      <c r="KNU14" s="109"/>
      <c r="KNV14" s="107" t="s">
        <v>1</v>
      </c>
      <c r="KNW14" s="108"/>
      <c r="KNX14" s="108"/>
      <c r="KNY14" s="109"/>
      <c r="KNZ14" s="107" t="s">
        <v>1</v>
      </c>
      <c r="KOA14" s="108"/>
      <c r="KOB14" s="108"/>
      <c r="KOC14" s="109"/>
      <c r="KOD14" s="107" t="s">
        <v>1</v>
      </c>
      <c r="KOE14" s="108"/>
      <c r="KOF14" s="108"/>
      <c r="KOG14" s="109"/>
      <c r="KOH14" s="107" t="s">
        <v>1</v>
      </c>
      <c r="KOI14" s="108"/>
      <c r="KOJ14" s="108"/>
      <c r="KOK14" s="109"/>
      <c r="KOL14" s="107" t="s">
        <v>1</v>
      </c>
      <c r="KOM14" s="108"/>
      <c r="KON14" s="108"/>
      <c r="KOO14" s="109"/>
      <c r="KOP14" s="107" t="s">
        <v>1</v>
      </c>
      <c r="KOQ14" s="108"/>
      <c r="KOR14" s="108"/>
      <c r="KOS14" s="109"/>
      <c r="KOT14" s="107" t="s">
        <v>1</v>
      </c>
      <c r="KOU14" s="108"/>
      <c r="KOV14" s="108"/>
      <c r="KOW14" s="109"/>
      <c r="KOX14" s="107" t="s">
        <v>1</v>
      </c>
      <c r="KOY14" s="108"/>
      <c r="KOZ14" s="108"/>
      <c r="KPA14" s="109"/>
      <c r="KPB14" s="107" t="s">
        <v>1</v>
      </c>
      <c r="KPC14" s="108"/>
      <c r="KPD14" s="108"/>
      <c r="KPE14" s="109"/>
      <c r="KPF14" s="107" t="s">
        <v>1</v>
      </c>
      <c r="KPG14" s="108"/>
      <c r="KPH14" s="108"/>
      <c r="KPI14" s="109"/>
      <c r="KPJ14" s="107" t="s">
        <v>1</v>
      </c>
      <c r="KPK14" s="108"/>
      <c r="KPL14" s="108"/>
      <c r="KPM14" s="109"/>
      <c r="KPN14" s="107" t="s">
        <v>1</v>
      </c>
      <c r="KPO14" s="108"/>
      <c r="KPP14" s="108"/>
      <c r="KPQ14" s="109"/>
      <c r="KPR14" s="107" t="s">
        <v>1</v>
      </c>
      <c r="KPS14" s="108"/>
      <c r="KPT14" s="108"/>
      <c r="KPU14" s="109"/>
      <c r="KPV14" s="107" t="s">
        <v>1</v>
      </c>
      <c r="KPW14" s="108"/>
      <c r="KPX14" s="108"/>
      <c r="KPY14" s="109"/>
      <c r="KPZ14" s="107" t="s">
        <v>1</v>
      </c>
      <c r="KQA14" s="108"/>
      <c r="KQB14" s="108"/>
      <c r="KQC14" s="109"/>
      <c r="KQD14" s="107" t="s">
        <v>1</v>
      </c>
      <c r="KQE14" s="108"/>
      <c r="KQF14" s="108"/>
      <c r="KQG14" s="109"/>
      <c r="KQH14" s="107" t="s">
        <v>1</v>
      </c>
      <c r="KQI14" s="108"/>
      <c r="KQJ14" s="108"/>
      <c r="KQK14" s="109"/>
      <c r="KQL14" s="107" t="s">
        <v>1</v>
      </c>
      <c r="KQM14" s="108"/>
      <c r="KQN14" s="108"/>
      <c r="KQO14" s="109"/>
      <c r="KQP14" s="107" t="s">
        <v>1</v>
      </c>
      <c r="KQQ14" s="108"/>
      <c r="KQR14" s="108"/>
      <c r="KQS14" s="109"/>
      <c r="KQT14" s="107" t="s">
        <v>1</v>
      </c>
      <c r="KQU14" s="108"/>
      <c r="KQV14" s="108"/>
      <c r="KQW14" s="109"/>
      <c r="KQX14" s="107" t="s">
        <v>1</v>
      </c>
      <c r="KQY14" s="108"/>
      <c r="KQZ14" s="108"/>
      <c r="KRA14" s="109"/>
      <c r="KRB14" s="107" t="s">
        <v>1</v>
      </c>
      <c r="KRC14" s="108"/>
      <c r="KRD14" s="108"/>
      <c r="KRE14" s="109"/>
      <c r="KRF14" s="107" t="s">
        <v>1</v>
      </c>
      <c r="KRG14" s="108"/>
      <c r="KRH14" s="108"/>
      <c r="KRI14" s="109"/>
      <c r="KRJ14" s="107" t="s">
        <v>1</v>
      </c>
      <c r="KRK14" s="108"/>
      <c r="KRL14" s="108"/>
      <c r="KRM14" s="109"/>
      <c r="KRN14" s="107" t="s">
        <v>1</v>
      </c>
      <c r="KRO14" s="108"/>
      <c r="KRP14" s="108"/>
      <c r="KRQ14" s="109"/>
      <c r="KRR14" s="107" t="s">
        <v>1</v>
      </c>
      <c r="KRS14" s="108"/>
      <c r="KRT14" s="108"/>
      <c r="KRU14" s="109"/>
      <c r="KRV14" s="107" t="s">
        <v>1</v>
      </c>
      <c r="KRW14" s="108"/>
      <c r="KRX14" s="108"/>
      <c r="KRY14" s="109"/>
      <c r="KRZ14" s="107" t="s">
        <v>1</v>
      </c>
      <c r="KSA14" s="108"/>
      <c r="KSB14" s="108"/>
      <c r="KSC14" s="109"/>
      <c r="KSD14" s="107" t="s">
        <v>1</v>
      </c>
      <c r="KSE14" s="108"/>
      <c r="KSF14" s="108"/>
      <c r="KSG14" s="109"/>
      <c r="KSH14" s="107" t="s">
        <v>1</v>
      </c>
      <c r="KSI14" s="108"/>
      <c r="KSJ14" s="108"/>
      <c r="KSK14" s="109"/>
      <c r="KSL14" s="107" t="s">
        <v>1</v>
      </c>
      <c r="KSM14" s="108"/>
      <c r="KSN14" s="108"/>
      <c r="KSO14" s="109"/>
      <c r="KSP14" s="107" t="s">
        <v>1</v>
      </c>
      <c r="KSQ14" s="108"/>
      <c r="KSR14" s="108"/>
      <c r="KSS14" s="109"/>
      <c r="KST14" s="107" t="s">
        <v>1</v>
      </c>
      <c r="KSU14" s="108"/>
      <c r="KSV14" s="108"/>
      <c r="KSW14" s="109"/>
      <c r="KSX14" s="107" t="s">
        <v>1</v>
      </c>
      <c r="KSY14" s="108"/>
      <c r="KSZ14" s="108"/>
      <c r="KTA14" s="109"/>
      <c r="KTB14" s="107" t="s">
        <v>1</v>
      </c>
      <c r="KTC14" s="108"/>
      <c r="KTD14" s="108"/>
      <c r="KTE14" s="109"/>
      <c r="KTF14" s="107" t="s">
        <v>1</v>
      </c>
      <c r="KTG14" s="108"/>
      <c r="KTH14" s="108"/>
      <c r="KTI14" s="109"/>
      <c r="KTJ14" s="107" t="s">
        <v>1</v>
      </c>
      <c r="KTK14" s="108"/>
      <c r="KTL14" s="108"/>
      <c r="KTM14" s="109"/>
      <c r="KTN14" s="107" t="s">
        <v>1</v>
      </c>
      <c r="KTO14" s="108"/>
      <c r="KTP14" s="108"/>
      <c r="KTQ14" s="109"/>
      <c r="KTR14" s="107" t="s">
        <v>1</v>
      </c>
      <c r="KTS14" s="108"/>
      <c r="KTT14" s="108"/>
      <c r="KTU14" s="109"/>
      <c r="KTV14" s="107" t="s">
        <v>1</v>
      </c>
      <c r="KTW14" s="108"/>
      <c r="KTX14" s="108"/>
      <c r="KTY14" s="109"/>
      <c r="KTZ14" s="107" t="s">
        <v>1</v>
      </c>
      <c r="KUA14" s="108"/>
      <c r="KUB14" s="108"/>
      <c r="KUC14" s="109"/>
      <c r="KUD14" s="107" t="s">
        <v>1</v>
      </c>
      <c r="KUE14" s="108"/>
      <c r="KUF14" s="108"/>
      <c r="KUG14" s="109"/>
      <c r="KUH14" s="107" t="s">
        <v>1</v>
      </c>
      <c r="KUI14" s="108"/>
      <c r="KUJ14" s="108"/>
      <c r="KUK14" s="109"/>
      <c r="KUL14" s="107" t="s">
        <v>1</v>
      </c>
      <c r="KUM14" s="108"/>
      <c r="KUN14" s="108"/>
      <c r="KUO14" s="109"/>
      <c r="KUP14" s="107" t="s">
        <v>1</v>
      </c>
      <c r="KUQ14" s="108"/>
      <c r="KUR14" s="108"/>
      <c r="KUS14" s="109"/>
      <c r="KUT14" s="107" t="s">
        <v>1</v>
      </c>
      <c r="KUU14" s="108"/>
      <c r="KUV14" s="108"/>
      <c r="KUW14" s="109"/>
      <c r="KUX14" s="107" t="s">
        <v>1</v>
      </c>
      <c r="KUY14" s="108"/>
      <c r="KUZ14" s="108"/>
      <c r="KVA14" s="109"/>
      <c r="KVB14" s="107" t="s">
        <v>1</v>
      </c>
      <c r="KVC14" s="108"/>
      <c r="KVD14" s="108"/>
      <c r="KVE14" s="109"/>
      <c r="KVF14" s="107" t="s">
        <v>1</v>
      </c>
      <c r="KVG14" s="108"/>
      <c r="KVH14" s="108"/>
      <c r="KVI14" s="109"/>
      <c r="KVJ14" s="107" t="s">
        <v>1</v>
      </c>
      <c r="KVK14" s="108"/>
      <c r="KVL14" s="108"/>
      <c r="KVM14" s="109"/>
      <c r="KVN14" s="107" t="s">
        <v>1</v>
      </c>
      <c r="KVO14" s="108"/>
      <c r="KVP14" s="108"/>
      <c r="KVQ14" s="109"/>
      <c r="KVR14" s="107" t="s">
        <v>1</v>
      </c>
      <c r="KVS14" s="108"/>
      <c r="KVT14" s="108"/>
      <c r="KVU14" s="109"/>
      <c r="KVV14" s="107" t="s">
        <v>1</v>
      </c>
      <c r="KVW14" s="108"/>
      <c r="KVX14" s="108"/>
      <c r="KVY14" s="109"/>
      <c r="KVZ14" s="107" t="s">
        <v>1</v>
      </c>
      <c r="KWA14" s="108"/>
      <c r="KWB14" s="108"/>
      <c r="KWC14" s="109"/>
      <c r="KWD14" s="107" t="s">
        <v>1</v>
      </c>
      <c r="KWE14" s="108"/>
      <c r="KWF14" s="108"/>
      <c r="KWG14" s="109"/>
      <c r="KWH14" s="107" t="s">
        <v>1</v>
      </c>
      <c r="KWI14" s="108"/>
      <c r="KWJ14" s="108"/>
      <c r="KWK14" s="109"/>
      <c r="KWL14" s="107" t="s">
        <v>1</v>
      </c>
      <c r="KWM14" s="108"/>
      <c r="KWN14" s="108"/>
      <c r="KWO14" s="109"/>
      <c r="KWP14" s="107" t="s">
        <v>1</v>
      </c>
      <c r="KWQ14" s="108"/>
      <c r="KWR14" s="108"/>
      <c r="KWS14" s="109"/>
      <c r="KWT14" s="107" t="s">
        <v>1</v>
      </c>
      <c r="KWU14" s="108"/>
      <c r="KWV14" s="108"/>
      <c r="KWW14" s="109"/>
      <c r="KWX14" s="107" t="s">
        <v>1</v>
      </c>
      <c r="KWY14" s="108"/>
      <c r="KWZ14" s="108"/>
      <c r="KXA14" s="109"/>
      <c r="KXB14" s="107" t="s">
        <v>1</v>
      </c>
      <c r="KXC14" s="108"/>
      <c r="KXD14" s="108"/>
      <c r="KXE14" s="109"/>
      <c r="KXF14" s="107" t="s">
        <v>1</v>
      </c>
      <c r="KXG14" s="108"/>
      <c r="KXH14" s="108"/>
      <c r="KXI14" s="109"/>
      <c r="KXJ14" s="107" t="s">
        <v>1</v>
      </c>
      <c r="KXK14" s="108"/>
      <c r="KXL14" s="108"/>
      <c r="KXM14" s="109"/>
      <c r="KXN14" s="107" t="s">
        <v>1</v>
      </c>
      <c r="KXO14" s="108"/>
      <c r="KXP14" s="108"/>
      <c r="KXQ14" s="109"/>
      <c r="KXR14" s="107" t="s">
        <v>1</v>
      </c>
      <c r="KXS14" s="108"/>
      <c r="KXT14" s="108"/>
      <c r="KXU14" s="109"/>
      <c r="KXV14" s="107" t="s">
        <v>1</v>
      </c>
      <c r="KXW14" s="108"/>
      <c r="KXX14" s="108"/>
      <c r="KXY14" s="109"/>
      <c r="KXZ14" s="107" t="s">
        <v>1</v>
      </c>
      <c r="KYA14" s="108"/>
      <c r="KYB14" s="108"/>
      <c r="KYC14" s="109"/>
      <c r="KYD14" s="107" t="s">
        <v>1</v>
      </c>
      <c r="KYE14" s="108"/>
      <c r="KYF14" s="108"/>
      <c r="KYG14" s="109"/>
      <c r="KYH14" s="107" t="s">
        <v>1</v>
      </c>
      <c r="KYI14" s="108"/>
      <c r="KYJ14" s="108"/>
      <c r="KYK14" s="109"/>
      <c r="KYL14" s="107" t="s">
        <v>1</v>
      </c>
      <c r="KYM14" s="108"/>
      <c r="KYN14" s="108"/>
      <c r="KYO14" s="109"/>
      <c r="KYP14" s="107" t="s">
        <v>1</v>
      </c>
      <c r="KYQ14" s="108"/>
      <c r="KYR14" s="108"/>
      <c r="KYS14" s="109"/>
      <c r="KYT14" s="107" t="s">
        <v>1</v>
      </c>
      <c r="KYU14" s="108"/>
      <c r="KYV14" s="108"/>
      <c r="KYW14" s="109"/>
      <c r="KYX14" s="107" t="s">
        <v>1</v>
      </c>
      <c r="KYY14" s="108"/>
      <c r="KYZ14" s="108"/>
      <c r="KZA14" s="109"/>
      <c r="KZB14" s="107" t="s">
        <v>1</v>
      </c>
      <c r="KZC14" s="108"/>
      <c r="KZD14" s="108"/>
      <c r="KZE14" s="109"/>
      <c r="KZF14" s="107" t="s">
        <v>1</v>
      </c>
      <c r="KZG14" s="108"/>
      <c r="KZH14" s="108"/>
      <c r="KZI14" s="109"/>
      <c r="KZJ14" s="107" t="s">
        <v>1</v>
      </c>
      <c r="KZK14" s="108"/>
      <c r="KZL14" s="108"/>
      <c r="KZM14" s="109"/>
      <c r="KZN14" s="107" t="s">
        <v>1</v>
      </c>
      <c r="KZO14" s="108"/>
      <c r="KZP14" s="108"/>
      <c r="KZQ14" s="109"/>
      <c r="KZR14" s="107" t="s">
        <v>1</v>
      </c>
      <c r="KZS14" s="108"/>
      <c r="KZT14" s="108"/>
      <c r="KZU14" s="109"/>
      <c r="KZV14" s="107" t="s">
        <v>1</v>
      </c>
      <c r="KZW14" s="108"/>
      <c r="KZX14" s="108"/>
      <c r="KZY14" s="109"/>
      <c r="KZZ14" s="107" t="s">
        <v>1</v>
      </c>
      <c r="LAA14" s="108"/>
      <c r="LAB14" s="108"/>
      <c r="LAC14" s="109"/>
      <c r="LAD14" s="107" t="s">
        <v>1</v>
      </c>
      <c r="LAE14" s="108"/>
      <c r="LAF14" s="108"/>
      <c r="LAG14" s="109"/>
      <c r="LAH14" s="107" t="s">
        <v>1</v>
      </c>
      <c r="LAI14" s="108"/>
      <c r="LAJ14" s="108"/>
      <c r="LAK14" s="109"/>
      <c r="LAL14" s="107" t="s">
        <v>1</v>
      </c>
      <c r="LAM14" s="108"/>
      <c r="LAN14" s="108"/>
      <c r="LAO14" s="109"/>
      <c r="LAP14" s="107" t="s">
        <v>1</v>
      </c>
      <c r="LAQ14" s="108"/>
      <c r="LAR14" s="108"/>
      <c r="LAS14" s="109"/>
      <c r="LAT14" s="107" t="s">
        <v>1</v>
      </c>
      <c r="LAU14" s="108"/>
      <c r="LAV14" s="108"/>
      <c r="LAW14" s="109"/>
      <c r="LAX14" s="107" t="s">
        <v>1</v>
      </c>
      <c r="LAY14" s="108"/>
      <c r="LAZ14" s="108"/>
      <c r="LBA14" s="109"/>
      <c r="LBB14" s="107" t="s">
        <v>1</v>
      </c>
      <c r="LBC14" s="108"/>
      <c r="LBD14" s="108"/>
      <c r="LBE14" s="109"/>
      <c r="LBF14" s="107" t="s">
        <v>1</v>
      </c>
      <c r="LBG14" s="108"/>
      <c r="LBH14" s="108"/>
      <c r="LBI14" s="109"/>
      <c r="LBJ14" s="107" t="s">
        <v>1</v>
      </c>
      <c r="LBK14" s="108"/>
      <c r="LBL14" s="108"/>
      <c r="LBM14" s="109"/>
      <c r="LBN14" s="107" t="s">
        <v>1</v>
      </c>
      <c r="LBO14" s="108"/>
      <c r="LBP14" s="108"/>
      <c r="LBQ14" s="109"/>
      <c r="LBR14" s="107" t="s">
        <v>1</v>
      </c>
      <c r="LBS14" s="108"/>
      <c r="LBT14" s="108"/>
      <c r="LBU14" s="109"/>
      <c r="LBV14" s="107" t="s">
        <v>1</v>
      </c>
      <c r="LBW14" s="108"/>
      <c r="LBX14" s="108"/>
      <c r="LBY14" s="109"/>
      <c r="LBZ14" s="107" t="s">
        <v>1</v>
      </c>
      <c r="LCA14" s="108"/>
      <c r="LCB14" s="108"/>
      <c r="LCC14" s="109"/>
      <c r="LCD14" s="107" t="s">
        <v>1</v>
      </c>
      <c r="LCE14" s="108"/>
      <c r="LCF14" s="108"/>
      <c r="LCG14" s="109"/>
      <c r="LCH14" s="107" t="s">
        <v>1</v>
      </c>
      <c r="LCI14" s="108"/>
      <c r="LCJ14" s="108"/>
      <c r="LCK14" s="109"/>
      <c r="LCL14" s="107" t="s">
        <v>1</v>
      </c>
      <c r="LCM14" s="108"/>
      <c r="LCN14" s="108"/>
      <c r="LCO14" s="109"/>
      <c r="LCP14" s="107" t="s">
        <v>1</v>
      </c>
      <c r="LCQ14" s="108"/>
      <c r="LCR14" s="108"/>
      <c r="LCS14" s="109"/>
      <c r="LCT14" s="107" t="s">
        <v>1</v>
      </c>
      <c r="LCU14" s="108"/>
      <c r="LCV14" s="108"/>
      <c r="LCW14" s="109"/>
      <c r="LCX14" s="107" t="s">
        <v>1</v>
      </c>
      <c r="LCY14" s="108"/>
      <c r="LCZ14" s="108"/>
      <c r="LDA14" s="109"/>
      <c r="LDB14" s="107" t="s">
        <v>1</v>
      </c>
      <c r="LDC14" s="108"/>
      <c r="LDD14" s="108"/>
      <c r="LDE14" s="109"/>
      <c r="LDF14" s="107" t="s">
        <v>1</v>
      </c>
      <c r="LDG14" s="108"/>
      <c r="LDH14" s="108"/>
      <c r="LDI14" s="109"/>
      <c r="LDJ14" s="107" t="s">
        <v>1</v>
      </c>
      <c r="LDK14" s="108"/>
      <c r="LDL14" s="108"/>
      <c r="LDM14" s="109"/>
      <c r="LDN14" s="107" t="s">
        <v>1</v>
      </c>
      <c r="LDO14" s="108"/>
      <c r="LDP14" s="108"/>
      <c r="LDQ14" s="109"/>
      <c r="LDR14" s="107" t="s">
        <v>1</v>
      </c>
      <c r="LDS14" s="108"/>
      <c r="LDT14" s="108"/>
      <c r="LDU14" s="109"/>
      <c r="LDV14" s="107" t="s">
        <v>1</v>
      </c>
      <c r="LDW14" s="108"/>
      <c r="LDX14" s="108"/>
      <c r="LDY14" s="109"/>
      <c r="LDZ14" s="107" t="s">
        <v>1</v>
      </c>
      <c r="LEA14" s="108"/>
      <c r="LEB14" s="108"/>
      <c r="LEC14" s="109"/>
      <c r="LED14" s="107" t="s">
        <v>1</v>
      </c>
      <c r="LEE14" s="108"/>
      <c r="LEF14" s="108"/>
      <c r="LEG14" s="109"/>
      <c r="LEH14" s="107" t="s">
        <v>1</v>
      </c>
      <c r="LEI14" s="108"/>
      <c r="LEJ14" s="108"/>
      <c r="LEK14" s="109"/>
      <c r="LEL14" s="107" t="s">
        <v>1</v>
      </c>
      <c r="LEM14" s="108"/>
      <c r="LEN14" s="108"/>
      <c r="LEO14" s="109"/>
      <c r="LEP14" s="107" t="s">
        <v>1</v>
      </c>
      <c r="LEQ14" s="108"/>
      <c r="LER14" s="108"/>
      <c r="LES14" s="109"/>
      <c r="LET14" s="107" t="s">
        <v>1</v>
      </c>
      <c r="LEU14" s="108"/>
      <c r="LEV14" s="108"/>
      <c r="LEW14" s="109"/>
      <c r="LEX14" s="107" t="s">
        <v>1</v>
      </c>
      <c r="LEY14" s="108"/>
      <c r="LEZ14" s="108"/>
      <c r="LFA14" s="109"/>
      <c r="LFB14" s="107" t="s">
        <v>1</v>
      </c>
      <c r="LFC14" s="108"/>
      <c r="LFD14" s="108"/>
      <c r="LFE14" s="109"/>
      <c r="LFF14" s="107" t="s">
        <v>1</v>
      </c>
      <c r="LFG14" s="108"/>
      <c r="LFH14" s="108"/>
      <c r="LFI14" s="109"/>
      <c r="LFJ14" s="107" t="s">
        <v>1</v>
      </c>
      <c r="LFK14" s="108"/>
      <c r="LFL14" s="108"/>
      <c r="LFM14" s="109"/>
      <c r="LFN14" s="107" t="s">
        <v>1</v>
      </c>
      <c r="LFO14" s="108"/>
      <c r="LFP14" s="108"/>
      <c r="LFQ14" s="109"/>
      <c r="LFR14" s="107" t="s">
        <v>1</v>
      </c>
      <c r="LFS14" s="108"/>
      <c r="LFT14" s="108"/>
      <c r="LFU14" s="109"/>
      <c r="LFV14" s="107" t="s">
        <v>1</v>
      </c>
      <c r="LFW14" s="108"/>
      <c r="LFX14" s="108"/>
      <c r="LFY14" s="109"/>
      <c r="LFZ14" s="107" t="s">
        <v>1</v>
      </c>
      <c r="LGA14" s="108"/>
      <c r="LGB14" s="108"/>
      <c r="LGC14" s="109"/>
      <c r="LGD14" s="107" t="s">
        <v>1</v>
      </c>
      <c r="LGE14" s="108"/>
      <c r="LGF14" s="108"/>
      <c r="LGG14" s="109"/>
      <c r="LGH14" s="107" t="s">
        <v>1</v>
      </c>
      <c r="LGI14" s="108"/>
      <c r="LGJ14" s="108"/>
      <c r="LGK14" s="109"/>
      <c r="LGL14" s="107" t="s">
        <v>1</v>
      </c>
      <c r="LGM14" s="108"/>
      <c r="LGN14" s="108"/>
      <c r="LGO14" s="109"/>
      <c r="LGP14" s="107" t="s">
        <v>1</v>
      </c>
      <c r="LGQ14" s="108"/>
      <c r="LGR14" s="108"/>
      <c r="LGS14" s="109"/>
      <c r="LGT14" s="107" t="s">
        <v>1</v>
      </c>
      <c r="LGU14" s="108"/>
      <c r="LGV14" s="108"/>
      <c r="LGW14" s="109"/>
      <c r="LGX14" s="107" t="s">
        <v>1</v>
      </c>
      <c r="LGY14" s="108"/>
      <c r="LGZ14" s="108"/>
      <c r="LHA14" s="109"/>
      <c r="LHB14" s="107" t="s">
        <v>1</v>
      </c>
      <c r="LHC14" s="108"/>
      <c r="LHD14" s="108"/>
      <c r="LHE14" s="109"/>
      <c r="LHF14" s="107" t="s">
        <v>1</v>
      </c>
      <c r="LHG14" s="108"/>
      <c r="LHH14" s="108"/>
      <c r="LHI14" s="109"/>
      <c r="LHJ14" s="107" t="s">
        <v>1</v>
      </c>
      <c r="LHK14" s="108"/>
      <c r="LHL14" s="108"/>
      <c r="LHM14" s="109"/>
      <c r="LHN14" s="107" t="s">
        <v>1</v>
      </c>
      <c r="LHO14" s="108"/>
      <c r="LHP14" s="108"/>
      <c r="LHQ14" s="109"/>
      <c r="LHR14" s="107" t="s">
        <v>1</v>
      </c>
      <c r="LHS14" s="108"/>
      <c r="LHT14" s="108"/>
      <c r="LHU14" s="109"/>
      <c r="LHV14" s="107" t="s">
        <v>1</v>
      </c>
      <c r="LHW14" s="108"/>
      <c r="LHX14" s="108"/>
      <c r="LHY14" s="109"/>
      <c r="LHZ14" s="107" t="s">
        <v>1</v>
      </c>
      <c r="LIA14" s="108"/>
      <c r="LIB14" s="108"/>
      <c r="LIC14" s="109"/>
      <c r="LID14" s="107" t="s">
        <v>1</v>
      </c>
      <c r="LIE14" s="108"/>
      <c r="LIF14" s="108"/>
      <c r="LIG14" s="109"/>
      <c r="LIH14" s="107" t="s">
        <v>1</v>
      </c>
      <c r="LII14" s="108"/>
      <c r="LIJ14" s="108"/>
      <c r="LIK14" s="109"/>
      <c r="LIL14" s="107" t="s">
        <v>1</v>
      </c>
      <c r="LIM14" s="108"/>
      <c r="LIN14" s="108"/>
      <c r="LIO14" s="109"/>
      <c r="LIP14" s="107" t="s">
        <v>1</v>
      </c>
      <c r="LIQ14" s="108"/>
      <c r="LIR14" s="108"/>
      <c r="LIS14" s="109"/>
      <c r="LIT14" s="107" t="s">
        <v>1</v>
      </c>
      <c r="LIU14" s="108"/>
      <c r="LIV14" s="108"/>
      <c r="LIW14" s="109"/>
      <c r="LIX14" s="107" t="s">
        <v>1</v>
      </c>
      <c r="LIY14" s="108"/>
      <c r="LIZ14" s="108"/>
      <c r="LJA14" s="109"/>
      <c r="LJB14" s="107" t="s">
        <v>1</v>
      </c>
      <c r="LJC14" s="108"/>
      <c r="LJD14" s="108"/>
      <c r="LJE14" s="109"/>
      <c r="LJF14" s="107" t="s">
        <v>1</v>
      </c>
      <c r="LJG14" s="108"/>
      <c r="LJH14" s="108"/>
      <c r="LJI14" s="109"/>
      <c r="LJJ14" s="107" t="s">
        <v>1</v>
      </c>
      <c r="LJK14" s="108"/>
      <c r="LJL14" s="108"/>
      <c r="LJM14" s="109"/>
      <c r="LJN14" s="107" t="s">
        <v>1</v>
      </c>
      <c r="LJO14" s="108"/>
      <c r="LJP14" s="108"/>
      <c r="LJQ14" s="109"/>
      <c r="LJR14" s="107" t="s">
        <v>1</v>
      </c>
      <c r="LJS14" s="108"/>
      <c r="LJT14" s="108"/>
      <c r="LJU14" s="109"/>
      <c r="LJV14" s="107" t="s">
        <v>1</v>
      </c>
      <c r="LJW14" s="108"/>
      <c r="LJX14" s="108"/>
      <c r="LJY14" s="109"/>
      <c r="LJZ14" s="107" t="s">
        <v>1</v>
      </c>
      <c r="LKA14" s="108"/>
      <c r="LKB14" s="108"/>
      <c r="LKC14" s="109"/>
      <c r="LKD14" s="107" t="s">
        <v>1</v>
      </c>
      <c r="LKE14" s="108"/>
      <c r="LKF14" s="108"/>
      <c r="LKG14" s="109"/>
      <c r="LKH14" s="107" t="s">
        <v>1</v>
      </c>
      <c r="LKI14" s="108"/>
      <c r="LKJ14" s="108"/>
      <c r="LKK14" s="109"/>
      <c r="LKL14" s="107" t="s">
        <v>1</v>
      </c>
      <c r="LKM14" s="108"/>
      <c r="LKN14" s="108"/>
      <c r="LKO14" s="109"/>
      <c r="LKP14" s="107" t="s">
        <v>1</v>
      </c>
      <c r="LKQ14" s="108"/>
      <c r="LKR14" s="108"/>
      <c r="LKS14" s="109"/>
      <c r="LKT14" s="107" t="s">
        <v>1</v>
      </c>
      <c r="LKU14" s="108"/>
      <c r="LKV14" s="108"/>
      <c r="LKW14" s="109"/>
      <c r="LKX14" s="107" t="s">
        <v>1</v>
      </c>
      <c r="LKY14" s="108"/>
      <c r="LKZ14" s="108"/>
      <c r="LLA14" s="109"/>
      <c r="LLB14" s="107" t="s">
        <v>1</v>
      </c>
      <c r="LLC14" s="108"/>
      <c r="LLD14" s="108"/>
      <c r="LLE14" s="109"/>
      <c r="LLF14" s="107" t="s">
        <v>1</v>
      </c>
      <c r="LLG14" s="108"/>
      <c r="LLH14" s="108"/>
      <c r="LLI14" s="109"/>
      <c r="LLJ14" s="107" t="s">
        <v>1</v>
      </c>
      <c r="LLK14" s="108"/>
      <c r="LLL14" s="108"/>
      <c r="LLM14" s="109"/>
      <c r="LLN14" s="107" t="s">
        <v>1</v>
      </c>
      <c r="LLO14" s="108"/>
      <c r="LLP14" s="108"/>
      <c r="LLQ14" s="109"/>
      <c r="LLR14" s="107" t="s">
        <v>1</v>
      </c>
      <c r="LLS14" s="108"/>
      <c r="LLT14" s="108"/>
      <c r="LLU14" s="109"/>
      <c r="LLV14" s="107" t="s">
        <v>1</v>
      </c>
      <c r="LLW14" s="108"/>
      <c r="LLX14" s="108"/>
      <c r="LLY14" s="109"/>
      <c r="LLZ14" s="107" t="s">
        <v>1</v>
      </c>
      <c r="LMA14" s="108"/>
      <c r="LMB14" s="108"/>
      <c r="LMC14" s="109"/>
      <c r="LMD14" s="107" t="s">
        <v>1</v>
      </c>
      <c r="LME14" s="108"/>
      <c r="LMF14" s="108"/>
      <c r="LMG14" s="109"/>
      <c r="LMH14" s="107" t="s">
        <v>1</v>
      </c>
      <c r="LMI14" s="108"/>
      <c r="LMJ14" s="108"/>
      <c r="LMK14" s="109"/>
      <c r="LML14" s="107" t="s">
        <v>1</v>
      </c>
      <c r="LMM14" s="108"/>
      <c r="LMN14" s="108"/>
      <c r="LMO14" s="109"/>
      <c r="LMP14" s="107" t="s">
        <v>1</v>
      </c>
      <c r="LMQ14" s="108"/>
      <c r="LMR14" s="108"/>
      <c r="LMS14" s="109"/>
      <c r="LMT14" s="107" t="s">
        <v>1</v>
      </c>
      <c r="LMU14" s="108"/>
      <c r="LMV14" s="108"/>
      <c r="LMW14" s="109"/>
      <c r="LMX14" s="107" t="s">
        <v>1</v>
      </c>
      <c r="LMY14" s="108"/>
      <c r="LMZ14" s="108"/>
      <c r="LNA14" s="109"/>
      <c r="LNB14" s="107" t="s">
        <v>1</v>
      </c>
      <c r="LNC14" s="108"/>
      <c r="LND14" s="108"/>
      <c r="LNE14" s="109"/>
      <c r="LNF14" s="107" t="s">
        <v>1</v>
      </c>
      <c r="LNG14" s="108"/>
      <c r="LNH14" s="108"/>
      <c r="LNI14" s="109"/>
      <c r="LNJ14" s="107" t="s">
        <v>1</v>
      </c>
      <c r="LNK14" s="108"/>
      <c r="LNL14" s="108"/>
      <c r="LNM14" s="109"/>
      <c r="LNN14" s="107" t="s">
        <v>1</v>
      </c>
      <c r="LNO14" s="108"/>
      <c r="LNP14" s="108"/>
      <c r="LNQ14" s="109"/>
      <c r="LNR14" s="107" t="s">
        <v>1</v>
      </c>
      <c r="LNS14" s="108"/>
      <c r="LNT14" s="108"/>
      <c r="LNU14" s="109"/>
      <c r="LNV14" s="107" t="s">
        <v>1</v>
      </c>
      <c r="LNW14" s="108"/>
      <c r="LNX14" s="108"/>
      <c r="LNY14" s="109"/>
      <c r="LNZ14" s="107" t="s">
        <v>1</v>
      </c>
      <c r="LOA14" s="108"/>
      <c r="LOB14" s="108"/>
      <c r="LOC14" s="109"/>
      <c r="LOD14" s="107" t="s">
        <v>1</v>
      </c>
      <c r="LOE14" s="108"/>
      <c r="LOF14" s="108"/>
      <c r="LOG14" s="109"/>
      <c r="LOH14" s="107" t="s">
        <v>1</v>
      </c>
      <c r="LOI14" s="108"/>
      <c r="LOJ14" s="108"/>
      <c r="LOK14" s="109"/>
      <c r="LOL14" s="107" t="s">
        <v>1</v>
      </c>
      <c r="LOM14" s="108"/>
      <c r="LON14" s="108"/>
      <c r="LOO14" s="109"/>
      <c r="LOP14" s="107" t="s">
        <v>1</v>
      </c>
      <c r="LOQ14" s="108"/>
      <c r="LOR14" s="108"/>
      <c r="LOS14" s="109"/>
      <c r="LOT14" s="107" t="s">
        <v>1</v>
      </c>
      <c r="LOU14" s="108"/>
      <c r="LOV14" s="108"/>
      <c r="LOW14" s="109"/>
      <c r="LOX14" s="107" t="s">
        <v>1</v>
      </c>
      <c r="LOY14" s="108"/>
      <c r="LOZ14" s="108"/>
      <c r="LPA14" s="109"/>
      <c r="LPB14" s="107" t="s">
        <v>1</v>
      </c>
      <c r="LPC14" s="108"/>
      <c r="LPD14" s="108"/>
      <c r="LPE14" s="109"/>
      <c r="LPF14" s="107" t="s">
        <v>1</v>
      </c>
      <c r="LPG14" s="108"/>
      <c r="LPH14" s="108"/>
      <c r="LPI14" s="109"/>
      <c r="LPJ14" s="107" t="s">
        <v>1</v>
      </c>
      <c r="LPK14" s="108"/>
      <c r="LPL14" s="108"/>
      <c r="LPM14" s="109"/>
      <c r="LPN14" s="107" t="s">
        <v>1</v>
      </c>
      <c r="LPO14" s="108"/>
      <c r="LPP14" s="108"/>
      <c r="LPQ14" s="109"/>
      <c r="LPR14" s="107" t="s">
        <v>1</v>
      </c>
      <c r="LPS14" s="108"/>
      <c r="LPT14" s="108"/>
      <c r="LPU14" s="109"/>
      <c r="LPV14" s="107" t="s">
        <v>1</v>
      </c>
      <c r="LPW14" s="108"/>
      <c r="LPX14" s="108"/>
      <c r="LPY14" s="109"/>
      <c r="LPZ14" s="107" t="s">
        <v>1</v>
      </c>
      <c r="LQA14" s="108"/>
      <c r="LQB14" s="108"/>
      <c r="LQC14" s="109"/>
      <c r="LQD14" s="107" t="s">
        <v>1</v>
      </c>
      <c r="LQE14" s="108"/>
      <c r="LQF14" s="108"/>
      <c r="LQG14" s="109"/>
      <c r="LQH14" s="107" t="s">
        <v>1</v>
      </c>
      <c r="LQI14" s="108"/>
      <c r="LQJ14" s="108"/>
      <c r="LQK14" s="109"/>
      <c r="LQL14" s="107" t="s">
        <v>1</v>
      </c>
      <c r="LQM14" s="108"/>
      <c r="LQN14" s="108"/>
      <c r="LQO14" s="109"/>
      <c r="LQP14" s="107" t="s">
        <v>1</v>
      </c>
      <c r="LQQ14" s="108"/>
      <c r="LQR14" s="108"/>
      <c r="LQS14" s="109"/>
      <c r="LQT14" s="107" t="s">
        <v>1</v>
      </c>
      <c r="LQU14" s="108"/>
      <c r="LQV14" s="108"/>
      <c r="LQW14" s="109"/>
      <c r="LQX14" s="107" t="s">
        <v>1</v>
      </c>
      <c r="LQY14" s="108"/>
      <c r="LQZ14" s="108"/>
      <c r="LRA14" s="109"/>
      <c r="LRB14" s="107" t="s">
        <v>1</v>
      </c>
      <c r="LRC14" s="108"/>
      <c r="LRD14" s="108"/>
      <c r="LRE14" s="109"/>
      <c r="LRF14" s="107" t="s">
        <v>1</v>
      </c>
      <c r="LRG14" s="108"/>
      <c r="LRH14" s="108"/>
      <c r="LRI14" s="109"/>
      <c r="LRJ14" s="107" t="s">
        <v>1</v>
      </c>
      <c r="LRK14" s="108"/>
      <c r="LRL14" s="108"/>
      <c r="LRM14" s="109"/>
      <c r="LRN14" s="107" t="s">
        <v>1</v>
      </c>
      <c r="LRO14" s="108"/>
      <c r="LRP14" s="108"/>
      <c r="LRQ14" s="109"/>
      <c r="LRR14" s="107" t="s">
        <v>1</v>
      </c>
      <c r="LRS14" s="108"/>
      <c r="LRT14" s="108"/>
      <c r="LRU14" s="109"/>
      <c r="LRV14" s="107" t="s">
        <v>1</v>
      </c>
      <c r="LRW14" s="108"/>
      <c r="LRX14" s="108"/>
      <c r="LRY14" s="109"/>
      <c r="LRZ14" s="107" t="s">
        <v>1</v>
      </c>
      <c r="LSA14" s="108"/>
      <c r="LSB14" s="108"/>
      <c r="LSC14" s="109"/>
      <c r="LSD14" s="107" t="s">
        <v>1</v>
      </c>
      <c r="LSE14" s="108"/>
      <c r="LSF14" s="108"/>
      <c r="LSG14" s="109"/>
      <c r="LSH14" s="107" t="s">
        <v>1</v>
      </c>
      <c r="LSI14" s="108"/>
      <c r="LSJ14" s="108"/>
      <c r="LSK14" s="109"/>
      <c r="LSL14" s="107" t="s">
        <v>1</v>
      </c>
      <c r="LSM14" s="108"/>
      <c r="LSN14" s="108"/>
      <c r="LSO14" s="109"/>
      <c r="LSP14" s="107" t="s">
        <v>1</v>
      </c>
      <c r="LSQ14" s="108"/>
      <c r="LSR14" s="108"/>
      <c r="LSS14" s="109"/>
      <c r="LST14" s="107" t="s">
        <v>1</v>
      </c>
      <c r="LSU14" s="108"/>
      <c r="LSV14" s="108"/>
      <c r="LSW14" s="109"/>
      <c r="LSX14" s="107" t="s">
        <v>1</v>
      </c>
      <c r="LSY14" s="108"/>
      <c r="LSZ14" s="108"/>
      <c r="LTA14" s="109"/>
      <c r="LTB14" s="107" t="s">
        <v>1</v>
      </c>
      <c r="LTC14" s="108"/>
      <c r="LTD14" s="108"/>
      <c r="LTE14" s="109"/>
      <c r="LTF14" s="107" t="s">
        <v>1</v>
      </c>
      <c r="LTG14" s="108"/>
      <c r="LTH14" s="108"/>
      <c r="LTI14" s="109"/>
      <c r="LTJ14" s="107" t="s">
        <v>1</v>
      </c>
      <c r="LTK14" s="108"/>
      <c r="LTL14" s="108"/>
      <c r="LTM14" s="109"/>
      <c r="LTN14" s="107" t="s">
        <v>1</v>
      </c>
      <c r="LTO14" s="108"/>
      <c r="LTP14" s="108"/>
      <c r="LTQ14" s="109"/>
      <c r="LTR14" s="107" t="s">
        <v>1</v>
      </c>
      <c r="LTS14" s="108"/>
      <c r="LTT14" s="108"/>
      <c r="LTU14" s="109"/>
      <c r="LTV14" s="107" t="s">
        <v>1</v>
      </c>
      <c r="LTW14" s="108"/>
      <c r="LTX14" s="108"/>
      <c r="LTY14" s="109"/>
      <c r="LTZ14" s="107" t="s">
        <v>1</v>
      </c>
      <c r="LUA14" s="108"/>
      <c r="LUB14" s="108"/>
      <c r="LUC14" s="109"/>
      <c r="LUD14" s="107" t="s">
        <v>1</v>
      </c>
      <c r="LUE14" s="108"/>
      <c r="LUF14" s="108"/>
      <c r="LUG14" s="109"/>
      <c r="LUH14" s="107" t="s">
        <v>1</v>
      </c>
      <c r="LUI14" s="108"/>
      <c r="LUJ14" s="108"/>
      <c r="LUK14" s="109"/>
      <c r="LUL14" s="107" t="s">
        <v>1</v>
      </c>
      <c r="LUM14" s="108"/>
      <c r="LUN14" s="108"/>
      <c r="LUO14" s="109"/>
      <c r="LUP14" s="107" t="s">
        <v>1</v>
      </c>
      <c r="LUQ14" s="108"/>
      <c r="LUR14" s="108"/>
      <c r="LUS14" s="109"/>
      <c r="LUT14" s="107" t="s">
        <v>1</v>
      </c>
      <c r="LUU14" s="108"/>
      <c r="LUV14" s="108"/>
      <c r="LUW14" s="109"/>
      <c r="LUX14" s="107" t="s">
        <v>1</v>
      </c>
      <c r="LUY14" s="108"/>
      <c r="LUZ14" s="108"/>
      <c r="LVA14" s="109"/>
      <c r="LVB14" s="107" t="s">
        <v>1</v>
      </c>
      <c r="LVC14" s="108"/>
      <c r="LVD14" s="108"/>
      <c r="LVE14" s="109"/>
      <c r="LVF14" s="107" t="s">
        <v>1</v>
      </c>
      <c r="LVG14" s="108"/>
      <c r="LVH14" s="108"/>
      <c r="LVI14" s="109"/>
      <c r="LVJ14" s="107" t="s">
        <v>1</v>
      </c>
      <c r="LVK14" s="108"/>
      <c r="LVL14" s="108"/>
      <c r="LVM14" s="109"/>
      <c r="LVN14" s="107" t="s">
        <v>1</v>
      </c>
      <c r="LVO14" s="108"/>
      <c r="LVP14" s="108"/>
      <c r="LVQ14" s="109"/>
      <c r="LVR14" s="107" t="s">
        <v>1</v>
      </c>
      <c r="LVS14" s="108"/>
      <c r="LVT14" s="108"/>
      <c r="LVU14" s="109"/>
      <c r="LVV14" s="107" t="s">
        <v>1</v>
      </c>
      <c r="LVW14" s="108"/>
      <c r="LVX14" s="108"/>
      <c r="LVY14" s="109"/>
      <c r="LVZ14" s="107" t="s">
        <v>1</v>
      </c>
      <c r="LWA14" s="108"/>
      <c r="LWB14" s="108"/>
      <c r="LWC14" s="109"/>
      <c r="LWD14" s="107" t="s">
        <v>1</v>
      </c>
      <c r="LWE14" s="108"/>
      <c r="LWF14" s="108"/>
      <c r="LWG14" s="109"/>
      <c r="LWH14" s="107" t="s">
        <v>1</v>
      </c>
      <c r="LWI14" s="108"/>
      <c r="LWJ14" s="108"/>
      <c r="LWK14" s="109"/>
      <c r="LWL14" s="107" t="s">
        <v>1</v>
      </c>
      <c r="LWM14" s="108"/>
      <c r="LWN14" s="108"/>
      <c r="LWO14" s="109"/>
      <c r="LWP14" s="107" t="s">
        <v>1</v>
      </c>
      <c r="LWQ14" s="108"/>
      <c r="LWR14" s="108"/>
      <c r="LWS14" s="109"/>
      <c r="LWT14" s="107" t="s">
        <v>1</v>
      </c>
      <c r="LWU14" s="108"/>
      <c r="LWV14" s="108"/>
      <c r="LWW14" s="109"/>
      <c r="LWX14" s="107" t="s">
        <v>1</v>
      </c>
      <c r="LWY14" s="108"/>
      <c r="LWZ14" s="108"/>
      <c r="LXA14" s="109"/>
      <c r="LXB14" s="107" t="s">
        <v>1</v>
      </c>
      <c r="LXC14" s="108"/>
      <c r="LXD14" s="108"/>
      <c r="LXE14" s="109"/>
      <c r="LXF14" s="107" t="s">
        <v>1</v>
      </c>
      <c r="LXG14" s="108"/>
      <c r="LXH14" s="108"/>
      <c r="LXI14" s="109"/>
      <c r="LXJ14" s="107" t="s">
        <v>1</v>
      </c>
      <c r="LXK14" s="108"/>
      <c r="LXL14" s="108"/>
      <c r="LXM14" s="109"/>
      <c r="LXN14" s="107" t="s">
        <v>1</v>
      </c>
      <c r="LXO14" s="108"/>
      <c r="LXP14" s="108"/>
      <c r="LXQ14" s="109"/>
      <c r="LXR14" s="107" t="s">
        <v>1</v>
      </c>
      <c r="LXS14" s="108"/>
      <c r="LXT14" s="108"/>
      <c r="LXU14" s="109"/>
      <c r="LXV14" s="107" t="s">
        <v>1</v>
      </c>
      <c r="LXW14" s="108"/>
      <c r="LXX14" s="108"/>
      <c r="LXY14" s="109"/>
      <c r="LXZ14" s="107" t="s">
        <v>1</v>
      </c>
      <c r="LYA14" s="108"/>
      <c r="LYB14" s="108"/>
      <c r="LYC14" s="109"/>
      <c r="LYD14" s="107" t="s">
        <v>1</v>
      </c>
      <c r="LYE14" s="108"/>
      <c r="LYF14" s="108"/>
      <c r="LYG14" s="109"/>
      <c r="LYH14" s="107" t="s">
        <v>1</v>
      </c>
      <c r="LYI14" s="108"/>
      <c r="LYJ14" s="108"/>
      <c r="LYK14" s="109"/>
      <c r="LYL14" s="107" t="s">
        <v>1</v>
      </c>
      <c r="LYM14" s="108"/>
      <c r="LYN14" s="108"/>
      <c r="LYO14" s="109"/>
      <c r="LYP14" s="107" t="s">
        <v>1</v>
      </c>
      <c r="LYQ14" s="108"/>
      <c r="LYR14" s="108"/>
      <c r="LYS14" s="109"/>
      <c r="LYT14" s="107" t="s">
        <v>1</v>
      </c>
      <c r="LYU14" s="108"/>
      <c r="LYV14" s="108"/>
      <c r="LYW14" s="109"/>
      <c r="LYX14" s="107" t="s">
        <v>1</v>
      </c>
      <c r="LYY14" s="108"/>
      <c r="LYZ14" s="108"/>
      <c r="LZA14" s="109"/>
      <c r="LZB14" s="107" t="s">
        <v>1</v>
      </c>
      <c r="LZC14" s="108"/>
      <c r="LZD14" s="108"/>
      <c r="LZE14" s="109"/>
      <c r="LZF14" s="107" t="s">
        <v>1</v>
      </c>
      <c r="LZG14" s="108"/>
      <c r="LZH14" s="108"/>
      <c r="LZI14" s="109"/>
      <c r="LZJ14" s="107" t="s">
        <v>1</v>
      </c>
      <c r="LZK14" s="108"/>
      <c r="LZL14" s="108"/>
      <c r="LZM14" s="109"/>
      <c r="LZN14" s="107" t="s">
        <v>1</v>
      </c>
      <c r="LZO14" s="108"/>
      <c r="LZP14" s="108"/>
      <c r="LZQ14" s="109"/>
      <c r="LZR14" s="107" t="s">
        <v>1</v>
      </c>
      <c r="LZS14" s="108"/>
      <c r="LZT14" s="108"/>
      <c r="LZU14" s="109"/>
      <c r="LZV14" s="107" t="s">
        <v>1</v>
      </c>
      <c r="LZW14" s="108"/>
      <c r="LZX14" s="108"/>
      <c r="LZY14" s="109"/>
      <c r="LZZ14" s="107" t="s">
        <v>1</v>
      </c>
      <c r="MAA14" s="108"/>
      <c r="MAB14" s="108"/>
      <c r="MAC14" s="109"/>
      <c r="MAD14" s="107" t="s">
        <v>1</v>
      </c>
      <c r="MAE14" s="108"/>
      <c r="MAF14" s="108"/>
      <c r="MAG14" s="109"/>
      <c r="MAH14" s="107" t="s">
        <v>1</v>
      </c>
      <c r="MAI14" s="108"/>
      <c r="MAJ14" s="108"/>
      <c r="MAK14" s="109"/>
      <c r="MAL14" s="107" t="s">
        <v>1</v>
      </c>
      <c r="MAM14" s="108"/>
      <c r="MAN14" s="108"/>
      <c r="MAO14" s="109"/>
      <c r="MAP14" s="107" t="s">
        <v>1</v>
      </c>
      <c r="MAQ14" s="108"/>
      <c r="MAR14" s="108"/>
      <c r="MAS14" s="109"/>
      <c r="MAT14" s="107" t="s">
        <v>1</v>
      </c>
      <c r="MAU14" s="108"/>
      <c r="MAV14" s="108"/>
      <c r="MAW14" s="109"/>
      <c r="MAX14" s="107" t="s">
        <v>1</v>
      </c>
      <c r="MAY14" s="108"/>
      <c r="MAZ14" s="108"/>
      <c r="MBA14" s="109"/>
      <c r="MBB14" s="107" t="s">
        <v>1</v>
      </c>
      <c r="MBC14" s="108"/>
      <c r="MBD14" s="108"/>
      <c r="MBE14" s="109"/>
      <c r="MBF14" s="107" t="s">
        <v>1</v>
      </c>
      <c r="MBG14" s="108"/>
      <c r="MBH14" s="108"/>
      <c r="MBI14" s="109"/>
      <c r="MBJ14" s="107" t="s">
        <v>1</v>
      </c>
      <c r="MBK14" s="108"/>
      <c r="MBL14" s="108"/>
      <c r="MBM14" s="109"/>
      <c r="MBN14" s="107" t="s">
        <v>1</v>
      </c>
      <c r="MBO14" s="108"/>
      <c r="MBP14" s="108"/>
      <c r="MBQ14" s="109"/>
      <c r="MBR14" s="107" t="s">
        <v>1</v>
      </c>
      <c r="MBS14" s="108"/>
      <c r="MBT14" s="108"/>
      <c r="MBU14" s="109"/>
      <c r="MBV14" s="107" t="s">
        <v>1</v>
      </c>
      <c r="MBW14" s="108"/>
      <c r="MBX14" s="108"/>
      <c r="MBY14" s="109"/>
      <c r="MBZ14" s="107" t="s">
        <v>1</v>
      </c>
      <c r="MCA14" s="108"/>
      <c r="MCB14" s="108"/>
      <c r="MCC14" s="109"/>
      <c r="MCD14" s="107" t="s">
        <v>1</v>
      </c>
      <c r="MCE14" s="108"/>
      <c r="MCF14" s="108"/>
      <c r="MCG14" s="109"/>
      <c r="MCH14" s="107" t="s">
        <v>1</v>
      </c>
      <c r="MCI14" s="108"/>
      <c r="MCJ14" s="108"/>
      <c r="MCK14" s="109"/>
      <c r="MCL14" s="107" t="s">
        <v>1</v>
      </c>
      <c r="MCM14" s="108"/>
      <c r="MCN14" s="108"/>
      <c r="MCO14" s="109"/>
      <c r="MCP14" s="107" t="s">
        <v>1</v>
      </c>
      <c r="MCQ14" s="108"/>
      <c r="MCR14" s="108"/>
      <c r="MCS14" s="109"/>
      <c r="MCT14" s="107" t="s">
        <v>1</v>
      </c>
      <c r="MCU14" s="108"/>
      <c r="MCV14" s="108"/>
      <c r="MCW14" s="109"/>
      <c r="MCX14" s="107" t="s">
        <v>1</v>
      </c>
      <c r="MCY14" s="108"/>
      <c r="MCZ14" s="108"/>
      <c r="MDA14" s="109"/>
      <c r="MDB14" s="107" t="s">
        <v>1</v>
      </c>
      <c r="MDC14" s="108"/>
      <c r="MDD14" s="108"/>
      <c r="MDE14" s="109"/>
      <c r="MDF14" s="107" t="s">
        <v>1</v>
      </c>
      <c r="MDG14" s="108"/>
      <c r="MDH14" s="108"/>
      <c r="MDI14" s="109"/>
      <c r="MDJ14" s="107" t="s">
        <v>1</v>
      </c>
      <c r="MDK14" s="108"/>
      <c r="MDL14" s="108"/>
      <c r="MDM14" s="109"/>
      <c r="MDN14" s="107" t="s">
        <v>1</v>
      </c>
      <c r="MDO14" s="108"/>
      <c r="MDP14" s="108"/>
      <c r="MDQ14" s="109"/>
      <c r="MDR14" s="107" t="s">
        <v>1</v>
      </c>
      <c r="MDS14" s="108"/>
      <c r="MDT14" s="108"/>
      <c r="MDU14" s="109"/>
      <c r="MDV14" s="107" t="s">
        <v>1</v>
      </c>
      <c r="MDW14" s="108"/>
      <c r="MDX14" s="108"/>
      <c r="MDY14" s="109"/>
      <c r="MDZ14" s="107" t="s">
        <v>1</v>
      </c>
      <c r="MEA14" s="108"/>
      <c r="MEB14" s="108"/>
      <c r="MEC14" s="109"/>
      <c r="MED14" s="107" t="s">
        <v>1</v>
      </c>
      <c r="MEE14" s="108"/>
      <c r="MEF14" s="108"/>
      <c r="MEG14" s="109"/>
      <c r="MEH14" s="107" t="s">
        <v>1</v>
      </c>
      <c r="MEI14" s="108"/>
      <c r="MEJ14" s="108"/>
      <c r="MEK14" s="109"/>
      <c r="MEL14" s="107" t="s">
        <v>1</v>
      </c>
      <c r="MEM14" s="108"/>
      <c r="MEN14" s="108"/>
      <c r="MEO14" s="109"/>
      <c r="MEP14" s="107" t="s">
        <v>1</v>
      </c>
      <c r="MEQ14" s="108"/>
      <c r="MER14" s="108"/>
      <c r="MES14" s="109"/>
      <c r="MET14" s="107" t="s">
        <v>1</v>
      </c>
      <c r="MEU14" s="108"/>
      <c r="MEV14" s="108"/>
      <c r="MEW14" s="109"/>
      <c r="MEX14" s="107" t="s">
        <v>1</v>
      </c>
      <c r="MEY14" s="108"/>
      <c r="MEZ14" s="108"/>
      <c r="MFA14" s="109"/>
      <c r="MFB14" s="107" t="s">
        <v>1</v>
      </c>
      <c r="MFC14" s="108"/>
      <c r="MFD14" s="108"/>
      <c r="MFE14" s="109"/>
      <c r="MFF14" s="107" t="s">
        <v>1</v>
      </c>
      <c r="MFG14" s="108"/>
      <c r="MFH14" s="108"/>
      <c r="MFI14" s="109"/>
      <c r="MFJ14" s="107" t="s">
        <v>1</v>
      </c>
      <c r="MFK14" s="108"/>
      <c r="MFL14" s="108"/>
      <c r="MFM14" s="109"/>
      <c r="MFN14" s="107" t="s">
        <v>1</v>
      </c>
      <c r="MFO14" s="108"/>
      <c r="MFP14" s="108"/>
      <c r="MFQ14" s="109"/>
      <c r="MFR14" s="107" t="s">
        <v>1</v>
      </c>
      <c r="MFS14" s="108"/>
      <c r="MFT14" s="108"/>
      <c r="MFU14" s="109"/>
      <c r="MFV14" s="107" t="s">
        <v>1</v>
      </c>
      <c r="MFW14" s="108"/>
      <c r="MFX14" s="108"/>
      <c r="MFY14" s="109"/>
      <c r="MFZ14" s="107" t="s">
        <v>1</v>
      </c>
      <c r="MGA14" s="108"/>
      <c r="MGB14" s="108"/>
      <c r="MGC14" s="109"/>
      <c r="MGD14" s="107" t="s">
        <v>1</v>
      </c>
      <c r="MGE14" s="108"/>
      <c r="MGF14" s="108"/>
      <c r="MGG14" s="109"/>
      <c r="MGH14" s="107" t="s">
        <v>1</v>
      </c>
      <c r="MGI14" s="108"/>
      <c r="MGJ14" s="108"/>
      <c r="MGK14" s="109"/>
      <c r="MGL14" s="107" t="s">
        <v>1</v>
      </c>
      <c r="MGM14" s="108"/>
      <c r="MGN14" s="108"/>
      <c r="MGO14" s="109"/>
      <c r="MGP14" s="107" t="s">
        <v>1</v>
      </c>
      <c r="MGQ14" s="108"/>
      <c r="MGR14" s="108"/>
      <c r="MGS14" s="109"/>
      <c r="MGT14" s="107" t="s">
        <v>1</v>
      </c>
      <c r="MGU14" s="108"/>
      <c r="MGV14" s="108"/>
      <c r="MGW14" s="109"/>
      <c r="MGX14" s="107" t="s">
        <v>1</v>
      </c>
      <c r="MGY14" s="108"/>
      <c r="MGZ14" s="108"/>
      <c r="MHA14" s="109"/>
      <c r="MHB14" s="107" t="s">
        <v>1</v>
      </c>
      <c r="MHC14" s="108"/>
      <c r="MHD14" s="108"/>
      <c r="MHE14" s="109"/>
      <c r="MHF14" s="107" t="s">
        <v>1</v>
      </c>
      <c r="MHG14" s="108"/>
      <c r="MHH14" s="108"/>
      <c r="MHI14" s="109"/>
      <c r="MHJ14" s="107" t="s">
        <v>1</v>
      </c>
      <c r="MHK14" s="108"/>
      <c r="MHL14" s="108"/>
      <c r="MHM14" s="109"/>
      <c r="MHN14" s="107" t="s">
        <v>1</v>
      </c>
      <c r="MHO14" s="108"/>
      <c r="MHP14" s="108"/>
      <c r="MHQ14" s="109"/>
      <c r="MHR14" s="107" t="s">
        <v>1</v>
      </c>
      <c r="MHS14" s="108"/>
      <c r="MHT14" s="108"/>
      <c r="MHU14" s="109"/>
      <c r="MHV14" s="107" t="s">
        <v>1</v>
      </c>
      <c r="MHW14" s="108"/>
      <c r="MHX14" s="108"/>
      <c r="MHY14" s="109"/>
      <c r="MHZ14" s="107" t="s">
        <v>1</v>
      </c>
      <c r="MIA14" s="108"/>
      <c r="MIB14" s="108"/>
      <c r="MIC14" s="109"/>
      <c r="MID14" s="107" t="s">
        <v>1</v>
      </c>
      <c r="MIE14" s="108"/>
      <c r="MIF14" s="108"/>
      <c r="MIG14" s="109"/>
      <c r="MIH14" s="107" t="s">
        <v>1</v>
      </c>
      <c r="MII14" s="108"/>
      <c r="MIJ14" s="108"/>
      <c r="MIK14" s="109"/>
      <c r="MIL14" s="107" t="s">
        <v>1</v>
      </c>
      <c r="MIM14" s="108"/>
      <c r="MIN14" s="108"/>
      <c r="MIO14" s="109"/>
      <c r="MIP14" s="107" t="s">
        <v>1</v>
      </c>
      <c r="MIQ14" s="108"/>
      <c r="MIR14" s="108"/>
      <c r="MIS14" s="109"/>
      <c r="MIT14" s="107" t="s">
        <v>1</v>
      </c>
      <c r="MIU14" s="108"/>
      <c r="MIV14" s="108"/>
      <c r="MIW14" s="109"/>
      <c r="MIX14" s="107" t="s">
        <v>1</v>
      </c>
      <c r="MIY14" s="108"/>
      <c r="MIZ14" s="108"/>
      <c r="MJA14" s="109"/>
      <c r="MJB14" s="107" t="s">
        <v>1</v>
      </c>
      <c r="MJC14" s="108"/>
      <c r="MJD14" s="108"/>
      <c r="MJE14" s="109"/>
      <c r="MJF14" s="107" t="s">
        <v>1</v>
      </c>
      <c r="MJG14" s="108"/>
      <c r="MJH14" s="108"/>
      <c r="MJI14" s="109"/>
      <c r="MJJ14" s="107" t="s">
        <v>1</v>
      </c>
      <c r="MJK14" s="108"/>
      <c r="MJL14" s="108"/>
      <c r="MJM14" s="109"/>
      <c r="MJN14" s="107" t="s">
        <v>1</v>
      </c>
      <c r="MJO14" s="108"/>
      <c r="MJP14" s="108"/>
      <c r="MJQ14" s="109"/>
      <c r="MJR14" s="107" t="s">
        <v>1</v>
      </c>
      <c r="MJS14" s="108"/>
      <c r="MJT14" s="108"/>
      <c r="MJU14" s="109"/>
      <c r="MJV14" s="107" t="s">
        <v>1</v>
      </c>
      <c r="MJW14" s="108"/>
      <c r="MJX14" s="108"/>
      <c r="MJY14" s="109"/>
      <c r="MJZ14" s="107" t="s">
        <v>1</v>
      </c>
      <c r="MKA14" s="108"/>
      <c r="MKB14" s="108"/>
      <c r="MKC14" s="109"/>
      <c r="MKD14" s="107" t="s">
        <v>1</v>
      </c>
      <c r="MKE14" s="108"/>
      <c r="MKF14" s="108"/>
      <c r="MKG14" s="109"/>
      <c r="MKH14" s="107" t="s">
        <v>1</v>
      </c>
      <c r="MKI14" s="108"/>
      <c r="MKJ14" s="108"/>
      <c r="MKK14" s="109"/>
      <c r="MKL14" s="107" t="s">
        <v>1</v>
      </c>
      <c r="MKM14" s="108"/>
      <c r="MKN14" s="108"/>
      <c r="MKO14" s="109"/>
      <c r="MKP14" s="107" t="s">
        <v>1</v>
      </c>
      <c r="MKQ14" s="108"/>
      <c r="MKR14" s="108"/>
      <c r="MKS14" s="109"/>
      <c r="MKT14" s="107" t="s">
        <v>1</v>
      </c>
      <c r="MKU14" s="108"/>
      <c r="MKV14" s="108"/>
      <c r="MKW14" s="109"/>
      <c r="MKX14" s="107" t="s">
        <v>1</v>
      </c>
      <c r="MKY14" s="108"/>
      <c r="MKZ14" s="108"/>
      <c r="MLA14" s="109"/>
      <c r="MLB14" s="107" t="s">
        <v>1</v>
      </c>
      <c r="MLC14" s="108"/>
      <c r="MLD14" s="108"/>
      <c r="MLE14" s="109"/>
      <c r="MLF14" s="107" t="s">
        <v>1</v>
      </c>
      <c r="MLG14" s="108"/>
      <c r="MLH14" s="108"/>
      <c r="MLI14" s="109"/>
      <c r="MLJ14" s="107" t="s">
        <v>1</v>
      </c>
      <c r="MLK14" s="108"/>
      <c r="MLL14" s="108"/>
      <c r="MLM14" s="109"/>
      <c r="MLN14" s="107" t="s">
        <v>1</v>
      </c>
      <c r="MLO14" s="108"/>
      <c r="MLP14" s="108"/>
      <c r="MLQ14" s="109"/>
      <c r="MLR14" s="107" t="s">
        <v>1</v>
      </c>
      <c r="MLS14" s="108"/>
      <c r="MLT14" s="108"/>
      <c r="MLU14" s="109"/>
      <c r="MLV14" s="107" t="s">
        <v>1</v>
      </c>
      <c r="MLW14" s="108"/>
      <c r="MLX14" s="108"/>
      <c r="MLY14" s="109"/>
      <c r="MLZ14" s="107" t="s">
        <v>1</v>
      </c>
      <c r="MMA14" s="108"/>
      <c r="MMB14" s="108"/>
      <c r="MMC14" s="109"/>
      <c r="MMD14" s="107" t="s">
        <v>1</v>
      </c>
      <c r="MME14" s="108"/>
      <c r="MMF14" s="108"/>
      <c r="MMG14" s="109"/>
      <c r="MMH14" s="107" t="s">
        <v>1</v>
      </c>
      <c r="MMI14" s="108"/>
      <c r="MMJ14" s="108"/>
      <c r="MMK14" s="109"/>
      <c r="MML14" s="107" t="s">
        <v>1</v>
      </c>
      <c r="MMM14" s="108"/>
      <c r="MMN14" s="108"/>
      <c r="MMO14" s="109"/>
      <c r="MMP14" s="107" t="s">
        <v>1</v>
      </c>
      <c r="MMQ14" s="108"/>
      <c r="MMR14" s="108"/>
      <c r="MMS14" s="109"/>
      <c r="MMT14" s="107" t="s">
        <v>1</v>
      </c>
      <c r="MMU14" s="108"/>
      <c r="MMV14" s="108"/>
      <c r="MMW14" s="109"/>
      <c r="MMX14" s="107" t="s">
        <v>1</v>
      </c>
      <c r="MMY14" s="108"/>
      <c r="MMZ14" s="108"/>
      <c r="MNA14" s="109"/>
      <c r="MNB14" s="107" t="s">
        <v>1</v>
      </c>
      <c r="MNC14" s="108"/>
      <c r="MND14" s="108"/>
      <c r="MNE14" s="109"/>
      <c r="MNF14" s="107" t="s">
        <v>1</v>
      </c>
      <c r="MNG14" s="108"/>
      <c r="MNH14" s="108"/>
      <c r="MNI14" s="109"/>
      <c r="MNJ14" s="107" t="s">
        <v>1</v>
      </c>
      <c r="MNK14" s="108"/>
      <c r="MNL14" s="108"/>
      <c r="MNM14" s="109"/>
      <c r="MNN14" s="107" t="s">
        <v>1</v>
      </c>
      <c r="MNO14" s="108"/>
      <c r="MNP14" s="108"/>
      <c r="MNQ14" s="109"/>
      <c r="MNR14" s="107" t="s">
        <v>1</v>
      </c>
      <c r="MNS14" s="108"/>
      <c r="MNT14" s="108"/>
      <c r="MNU14" s="109"/>
      <c r="MNV14" s="107" t="s">
        <v>1</v>
      </c>
      <c r="MNW14" s="108"/>
      <c r="MNX14" s="108"/>
      <c r="MNY14" s="109"/>
      <c r="MNZ14" s="107" t="s">
        <v>1</v>
      </c>
      <c r="MOA14" s="108"/>
      <c r="MOB14" s="108"/>
      <c r="MOC14" s="109"/>
      <c r="MOD14" s="107" t="s">
        <v>1</v>
      </c>
      <c r="MOE14" s="108"/>
      <c r="MOF14" s="108"/>
      <c r="MOG14" s="109"/>
      <c r="MOH14" s="107" t="s">
        <v>1</v>
      </c>
      <c r="MOI14" s="108"/>
      <c r="MOJ14" s="108"/>
      <c r="MOK14" s="109"/>
      <c r="MOL14" s="107" t="s">
        <v>1</v>
      </c>
      <c r="MOM14" s="108"/>
      <c r="MON14" s="108"/>
      <c r="MOO14" s="109"/>
      <c r="MOP14" s="107" t="s">
        <v>1</v>
      </c>
      <c r="MOQ14" s="108"/>
      <c r="MOR14" s="108"/>
      <c r="MOS14" s="109"/>
      <c r="MOT14" s="107" t="s">
        <v>1</v>
      </c>
      <c r="MOU14" s="108"/>
      <c r="MOV14" s="108"/>
      <c r="MOW14" s="109"/>
      <c r="MOX14" s="107" t="s">
        <v>1</v>
      </c>
      <c r="MOY14" s="108"/>
      <c r="MOZ14" s="108"/>
      <c r="MPA14" s="109"/>
      <c r="MPB14" s="107" t="s">
        <v>1</v>
      </c>
      <c r="MPC14" s="108"/>
      <c r="MPD14" s="108"/>
      <c r="MPE14" s="109"/>
      <c r="MPF14" s="107" t="s">
        <v>1</v>
      </c>
      <c r="MPG14" s="108"/>
      <c r="MPH14" s="108"/>
      <c r="MPI14" s="109"/>
      <c r="MPJ14" s="107" t="s">
        <v>1</v>
      </c>
      <c r="MPK14" s="108"/>
      <c r="MPL14" s="108"/>
      <c r="MPM14" s="109"/>
      <c r="MPN14" s="107" t="s">
        <v>1</v>
      </c>
      <c r="MPO14" s="108"/>
      <c r="MPP14" s="108"/>
      <c r="MPQ14" s="109"/>
      <c r="MPR14" s="107" t="s">
        <v>1</v>
      </c>
      <c r="MPS14" s="108"/>
      <c r="MPT14" s="108"/>
      <c r="MPU14" s="109"/>
      <c r="MPV14" s="107" t="s">
        <v>1</v>
      </c>
      <c r="MPW14" s="108"/>
      <c r="MPX14" s="108"/>
      <c r="MPY14" s="109"/>
      <c r="MPZ14" s="107" t="s">
        <v>1</v>
      </c>
      <c r="MQA14" s="108"/>
      <c r="MQB14" s="108"/>
      <c r="MQC14" s="109"/>
      <c r="MQD14" s="107" t="s">
        <v>1</v>
      </c>
      <c r="MQE14" s="108"/>
      <c r="MQF14" s="108"/>
      <c r="MQG14" s="109"/>
      <c r="MQH14" s="107" t="s">
        <v>1</v>
      </c>
      <c r="MQI14" s="108"/>
      <c r="MQJ14" s="108"/>
      <c r="MQK14" s="109"/>
      <c r="MQL14" s="107" t="s">
        <v>1</v>
      </c>
      <c r="MQM14" s="108"/>
      <c r="MQN14" s="108"/>
      <c r="MQO14" s="109"/>
      <c r="MQP14" s="107" t="s">
        <v>1</v>
      </c>
      <c r="MQQ14" s="108"/>
      <c r="MQR14" s="108"/>
      <c r="MQS14" s="109"/>
      <c r="MQT14" s="107" t="s">
        <v>1</v>
      </c>
      <c r="MQU14" s="108"/>
      <c r="MQV14" s="108"/>
      <c r="MQW14" s="109"/>
      <c r="MQX14" s="107" t="s">
        <v>1</v>
      </c>
      <c r="MQY14" s="108"/>
      <c r="MQZ14" s="108"/>
      <c r="MRA14" s="109"/>
      <c r="MRB14" s="107" t="s">
        <v>1</v>
      </c>
      <c r="MRC14" s="108"/>
      <c r="MRD14" s="108"/>
      <c r="MRE14" s="109"/>
      <c r="MRF14" s="107" t="s">
        <v>1</v>
      </c>
      <c r="MRG14" s="108"/>
      <c r="MRH14" s="108"/>
      <c r="MRI14" s="109"/>
      <c r="MRJ14" s="107" t="s">
        <v>1</v>
      </c>
      <c r="MRK14" s="108"/>
      <c r="MRL14" s="108"/>
      <c r="MRM14" s="109"/>
      <c r="MRN14" s="107" t="s">
        <v>1</v>
      </c>
      <c r="MRO14" s="108"/>
      <c r="MRP14" s="108"/>
      <c r="MRQ14" s="109"/>
      <c r="MRR14" s="107" t="s">
        <v>1</v>
      </c>
      <c r="MRS14" s="108"/>
      <c r="MRT14" s="108"/>
      <c r="MRU14" s="109"/>
      <c r="MRV14" s="107" t="s">
        <v>1</v>
      </c>
      <c r="MRW14" s="108"/>
      <c r="MRX14" s="108"/>
      <c r="MRY14" s="109"/>
      <c r="MRZ14" s="107" t="s">
        <v>1</v>
      </c>
      <c r="MSA14" s="108"/>
      <c r="MSB14" s="108"/>
      <c r="MSC14" s="109"/>
      <c r="MSD14" s="107" t="s">
        <v>1</v>
      </c>
      <c r="MSE14" s="108"/>
      <c r="MSF14" s="108"/>
      <c r="MSG14" s="109"/>
      <c r="MSH14" s="107" t="s">
        <v>1</v>
      </c>
      <c r="MSI14" s="108"/>
      <c r="MSJ14" s="108"/>
      <c r="MSK14" s="109"/>
      <c r="MSL14" s="107" t="s">
        <v>1</v>
      </c>
      <c r="MSM14" s="108"/>
      <c r="MSN14" s="108"/>
      <c r="MSO14" s="109"/>
      <c r="MSP14" s="107" t="s">
        <v>1</v>
      </c>
      <c r="MSQ14" s="108"/>
      <c r="MSR14" s="108"/>
      <c r="MSS14" s="109"/>
      <c r="MST14" s="107" t="s">
        <v>1</v>
      </c>
      <c r="MSU14" s="108"/>
      <c r="MSV14" s="108"/>
      <c r="MSW14" s="109"/>
      <c r="MSX14" s="107" t="s">
        <v>1</v>
      </c>
      <c r="MSY14" s="108"/>
      <c r="MSZ14" s="108"/>
      <c r="MTA14" s="109"/>
      <c r="MTB14" s="107" t="s">
        <v>1</v>
      </c>
      <c r="MTC14" s="108"/>
      <c r="MTD14" s="108"/>
      <c r="MTE14" s="109"/>
      <c r="MTF14" s="107" t="s">
        <v>1</v>
      </c>
      <c r="MTG14" s="108"/>
      <c r="MTH14" s="108"/>
      <c r="MTI14" s="109"/>
      <c r="MTJ14" s="107" t="s">
        <v>1</v>
      </c>
      <c r="MTK14" s="108"/>
      <c r="MTL14" s="108"/>
      <c r="MTM14" s="109"/>
      <c r="MTN14" s="107" t="s">
        <v>1</v>
      </c>
      <c r="MTO14" s="108"/>
      <c r="MTP14" s="108"/>
      <c r="MTQ14" s="109"/>
      <c r="MTR14" s="107" t="s">
        <v>1</v>
      </c>
      <c r="MTS14" s="108"/>
      <c r="MTT14" s="108"/>
      <c r="MTU14" s="109"/>
      <c r="MTV14" s="107" t="s">
        <v>1</v>
      </c>
      <c r="MTW14" s="108"/>
      <c r="MTX14" s="108"/>
      <c r="MTY14" s="109"/>
      <c r="MTZ14" s="107" t="s">
        <v>1</v>
      </c>
      <c r="MUA14" s="108"/>
      <c r="MUB14" s="108"/>
      <c r="MUC14" s="109"/>
      <c r="MUD14" s="107" t="s">
        <v>1</v>
      </c>
      <c r="MUE14" s="108"/>
      <c r="MUF14" s="108"/>
      <c r="MUG14" s="109"/>
      <c r="MUH14" s="107" t="s">
        <v>1</v>
      </c>
      <c r="MUI14" s="108"/>
      <c r="MUJ14" s="108"/>
      <c r="MUK14" s="109"/>
      <c r="MUL14" s="107" t="s">
        <v>1</v>
      </c>
      <c r="MUM14" s="108"/>
      <c r="MUN14" s="108"/>
      <c r="MUO14" s="109"/>
      <c r="MUP14" s="107" t="s">
        <v>1</v>
      </c>
      <c r="MUQ14" s="108"/>
      <c r="MUR14" s="108"/>
      <c r="MUS14" s="109"/>
      <c r="MUT14" s="107" t="s">
        <v>1</v>
      </c>
      <c r="MUU14" s="108"/>
      <c r="MUV14" s="108"/>
      <c r="MUW14" s="109"/>
      <c r="MUX14" s="107" t="s">
        <v>1</v>
      </c>
      <c r="MUY14" s="108"/>
      <c r="MUZ14" s="108"/>
      <c r="MVA14" s="109"/>
      <c r="MVB14" s="107" t="s">
        <v>1</v>
      </c>
      <c r="MVC14" s="108"/>
      <c r="MVD14" s="108"/>
      <c r="MVE14" s="109"/>
      <c r="MVF14" s="107" t="s">
        <v>1</v>
      </c>
      <c r="MVG14" s="108"/>
      <c r="MVH14" s="108"/>
      <c r="MVI14" s="109"/>
      <c r="MVJ14" s="107" t="s">
        <v>1</v>
      </c>
      <c r="MVK14" s="108"/>
      <c r="MVL14" s="108"/>
      <c r="MVM14" s="109"/>
      <c r="MVN14" s="107" t="s">
        <v>1</v>
      </c>
      <c r="MVO14" s="108"/>
      <c r="MVP14" s="108"/>
      <c r="MVQ14" s="109"/>
      <c r="MVR14" s="107" t="s">
        <v>1</v>
      </c>
      <c r="MVS14" s="108"/>
      <c r="MVT14" s="108"/>
      <c r="MVU14" s="109"/>
      <c r="MVV14" s="107" t="s">
        <v>1</v>
      </c>
      <c r="MVW14" s="108"/>
      <c r="MVX14" s="108"/>
      <c r="MVY14" s="109"/>
      <c r="MVZ14" s="107" t="s">
        <v>1</v>
      </c>
      <c r="MWA14" s="108"/>
      <c r="MWB14" s="108"/>
      <c r="MWC14" s="109"/>
      <c r="MWD14" s="107" t="s">
        <v>1</v>
      </c>
      <c r="MWE14" s="108"/>
      <c r="MWF14" s="108"/>
      <c r="MWG14" s="109"/>
      <c r="MWH14" s="107" t="s">
        <v>1</v>
      </c>
      <c r="MWI14" s="108"/>
      <c r="MWJ14" s="108"/>
      <c r="MWK14" s="109"/>
      <c r="MWL14" s="107" t="s">
        <v>1</v>
      </c>
      <c r="MWM14" s="108"/>
      <c r="MWN14" s="108"/>
      <c r="MWO14" s="109"/>
      <c r="MWP14" s="107" t="s">
        <v>1</v>
      </c>
      <c r="MWQ14" s="108"/>
      <c r="MWR14" s="108"/>
      <c r="MWS14" s="109"/>
      <c r="MWT14" s="107" t="s">
        <v>1</v>
      </c>
      <c r="MWU14" s="108"/>
      <c r="MWV14" s="108"/>
      <c r="MWW14" s="109"/>
      <c r="MWX14" s="107" t="s">
        <v>1</v>
      </c>
      <c r="MWY14" s="108"/>
      <c r="MWZ14" s="108"/>
      <c r="MXA14" s="109"/>
      <c r="MXB14" s="107" t="s">
        <v>1</v>
      </c>
      <c r="MXC14" s="108"/>
      <c r="MXD14" s="108"/>
      <c r="MXE14" s="109"/>
      <c r="MXF14" s="107" t="s">
        <v>1</v>
      </c>
      <c r="MXG14" s="108"/>
      <c r="MXH14" s="108"/>
      <c r="MXI14" s="109"/>
      <c r="MXJ14" s="107" t="s">
        <v>1</v>
      </c>
      <c r="MXK14" s="108"/>
      <c r="MXL14" s="108"/>
      <c r="MXM14" s="109"/>
      <c r="MXN14" s="107" t="s">
        <v>1</v>
      </c>
      <c r="MXO14" s="108"/>
      <c r="MXP14" s="108"/>
      <c r="MXQ14" s="109"/>
      <c r="MXR14" s="107" t="s">
        <v>1</v>
      </c>
      <c r="MXS14" s="108"/>
      <c r="MXT14" s="108"/>
      <c r="MXU14" s="109"/>
      <c r="MXV14" s="107" t="s">
        <v>1</v>
      </c>
      <c r="MXW14" s="108"/>
      <c r="MXX14" s="108"/>
      <c r="MXY14" s="109"/>
      <c r="MXZ14" s="107" t="s">
        <v>1</v>
      </c>
      <c r="MYA14" s="108"/>
      <c r="MYB14" s="108"/>
      <c r="MYC14" s="109"/>
      <c r="MYD14" s="107" t="s">
        <v>1</v>
      </c>
      <c r="MYE14" s="108"/>
      <c r="MYF14" s="108"/>
      <c r="MYG14" s="109"/>
      <c r="MYH14" s="107" t="s">
        <v>1</v>
      </c>
      <c r="MYI14" s="108"/>
      <c r="MYJ14" s="108"/>
      <c r="MYK14" s="109"/>
      <c r="MYL14" s="107" t="s">
        <v>1</v>
      </c>
      <c r="MYM14" s="108"/>
      <c r="MYN14" s="108"/>
      <c r="MYO14" s="109"/>
      <c r="MYP14" s="107" t="s">
        <v>1</v>
      </c>
      <c r="MYQ14" s="108"/>
      <c r="MYR14" s="108"/>
      <c r="MYS14" s="109"/>
      <c r="MYT14" s="107" t="s">
        <v>1</v>
      </c>
      <c r="MYU14" s="108"/>
      <c r="MYV14" s="108"/>
      <c r="MYW14" s="109"/>
      <c r="MYX14" s="107" t="s">
        <v>1</v>
      </c>
      <c r="MYY14" s="108"/>
      <c r="MYZ14" s="108"/>
      <c r="MZA14" s="109"/>
      <c r="MZB14" s="107" t="s">
        <v>1</v>
      </c>
      <c r="MZC14" s="108"/>
      <c r="MZD14" s="108"/>
      <c r="MZE14" s="109"/>
      <c r="MZF14" s="107" t="s">
        <v>1</v>
      </c>
      <c r="MZG14" s="108"/>
      <c r="MZH14" s="108"/>
      <c r="MZI14" s="109"/>
      <c r="MZJ14" s="107" t="s">
        <v>1</v>
      </c>
      <c r="MZK14" s="108"/>
      <c r="MZL14" s="108"/>
      <c r="MZM14" s="109"/>
      <c r="MZN14" s="107" t="s">
        <v>1</v>
      </c>
      <c r="MZO14" s="108"/>
      <c r="MZP14" s="108"/>
      <c r="MZQ14" s="109"/>
      <c r="MZR14" s="107" t="s">
        <v>1</v>
      </c>
      <c r="MZS14" s="108"/>
      <c r="MZT14" s="108"/>
      <c r="MZU14" s="109"/>
      <c r="MZV14" s="107" t="s">
        <v>1</v>
      </c>
      <c r="MZW14" s="108"/>
      <c r="MZX14" s="108"/>
      <c r="MZY14" s="109"/>
      <c r="MZZ14" s="107" t="s">
        <v>1</v>
      </c>
      <c r="NAA14" s="108"/>
      <c r="NAB14" s="108"/>
      <c r="NAC14" s="109"/>
      <c r="NAD14" s="107" t="s">
        <v>1</v>
      </c>
      <c r="NAE14" s="108"/>
      <c r="NAF14" s="108"/>
      <c r="NAG14" s="109"/>
      <c r="NAH14" s="107" t="s">
        <v>1</v>
      </c>
      <c r="NAI14" s="108"/>
      <c r="NAJ14" s="108"/>
      <c r="NAK14" s="109"/>
      <c r="NAL14" s="107" t="s">
        <v>1</v>
      </c>
      <c r="NAM14" s="108"/>
      <c r="NAN14" s="108"/>
      <c r="NAO14" s="109"/>
      <c r="NAP14" s="107" t="s">
        <v>1</v>
      </c>
      <c r="NAQ14" s="108"/>
      <c r="NAR14" s="108"/>
      <c r="NAS14" s="109"/>
      <c r="NAT14" s="107" t="s">
        <v>1</v>
      </c>
      <c r="NAU14" s="108"/>
      <c r="NAV14" s="108"/>
      <c r="NAW14" s="109"/>
      <c r="NAX14" s="107" t="s">
        <v>1</v>
      </c>
      <c r="NAY14" s="108"/>
      <c r="NAZ14" s="108"/>
      <c r="NBA14" s="109"/>
      <c r="NBB14" s="107" t="s">
        <v>1</v>
      </c>
      <c r="NBC14" s="108"/>
      <c r="NBD14" s="108"/>
      <c r="NBE14" s="109"/>
      <c r="NBF14" s="107" t="s">
        <v>1</v>
      </c>
      <c r="NBG14" s="108"/>
      <c r="NBH14" s="108"/>
      <c r="NBI14" s="109"/>
      <c r="NBJ14" s="107" t="s">
        <v>1</v>
      </c>
      <c r="NBK14" s="108"/>
      <c r="NBL14" s="108"/>
      <c r="NBM14" s="109"/>
      <c r="NBN14" s="107" t="s">
        <v>1</v>
      </c>
      <c r="NBO14" s="108"/>
      <c r="NBP14" s="108"/>
      <c r="NBQ14" s="109"/>
      <c r="NBR14" s="107" t="s">
        <v>1</v>
      </c>
      <c r="NBS14" s="108"/>
      <c r="NBT14" s="108"/>
      <c r="NBU14" s="109"/>
      <c r="NBV14" s="107" t="s">
        <v>1</v>
      </c>
      <c r="NBW14" s="108"/>
      <c r="NBX14" s="108"/>
      <c r="NBY14" s="109"/>
      <c r="NBZ14" s="107" t="s">
        <v>1</v>
      </c>
      <c r="NCA14" s="108"/>
      <c r="NCB14" s="108"/>
      <c r="NCC14" s="109"/>
      <c r="NCD14" s="107" t="s">
        <v>1</v>
      </c>
      <c r="NCE14" s="108"/>
      <c r="NCF14" s="108"/>
      <c r="NCG14" s="109"/>
      <c r="NCH14" s="107" t="s">
        <v>1</v>
      </c>
      <c r="NCI14" s="108"/>
      <c r="NCJ14" s="108"/>
      <c r="NCK14" s="109"/>
      <c r="NCL14" s="107" t="s">
        <v>1</v>
      </c>
      <c r="NCM14" s="108"/>
      <c r="NCN14" s="108"/>
      <c r="NCO14" s="109"/>
      <c r="NCP14" s="107" t="s">
        <v>1</v>
      </c>
      <c r="NCQ14" s="108"/>
      <c r="NCR14" s="108"/>
      <c r="NCS14" s="109"/>
      <c r="NCT14" s="107" t="s">
        <v>1</v>
      </c>
      <c r="NCU14" s="108"/>
      <c r="NCV14" s="108"/>
      <c r="NCW14" s="109"/>
      <c r="NCX14" s="107" t="s">
        <v>1</v>
      </c>
      <c r="NCY14" s="108"/>
      <c r="NCZ14" s="108"/>
      <c r="NDA14" s="109"/>
      <c r="NDB14" s="107" t="s">
        <v>1</v>
      </c>
      <c r="NDC14" s="108"/>
      <c r="NDD14" s="108"/>
      <c r="NDE14" s="109"/>
      <c r="NDF14" s="107" t="s">
        <v>1</v>
      </c>
      <c r="NDG14" s="108"/>
      <c r="NDH14" s="108"/>
      <c r="NDI14" s="109"/>
      <c r="NDJ14" s="107" t="s">
        <v>1</v>
      </c>
      <c r="NDK14" s="108"/>
      <c r="NDL14" s="108"/>
      <c r="NDM14" s="109"/>
      <c r="NDN14" s="107" t="s">
        <v>1</v>
      </c>
      <c r="NDO14" s="108"/>
      <c r="NDP14" s="108"/>
      <c r="NDQ14" s="109"/>
      <c r="NDR14" s="107" t="s">
        <v>1</v>
      </c>
      <c r="NDS14" s="108"/>
      <c r="NDT14" s="108"/>
      <c r="NDU14" s="109"/>
      <c r="NDV14" s="107" t="s">
        <v>1</v>
      </c>
      <c r="NDW14" s="108"/>
      <c r="NDX14" s="108"/>
      <c r="NDY14" s="109"/>
      <c r="NDZ14" s="107" t="s">
        <v>1</v>
      </c>
      <c r="NEA14" s="108"/>
      <c r="NEB14" s="108"/>
      <c r="NEC14" s="109"/>
      <c r="NED14" s="107" t="s">
        <v>1</v>
      </c>
      <c r="NEE14" s="108"/>
      <c r="NEF14" s="108"/>
      <c r="NEG14" s="109"/>
      <c r="NEH14" s="107" t="s">
        <v>1</v>
      </c>
      <c r="NEI14" s="108"/>
      <c r="NEJ14" s="108"/>
      <c r="NEK14" s="109"/>
      <c r="NEL14" s="107" t="s">
        <v>1</v>
      </c>
      <c r="NEM14" s="108"/>
      <c r="NEN14" s="108"/>
      <c r="NEO14" s="109"/>
      <c r="NEP14" s="107" t="s">
        <v>1</v>
      </c>
      <c r="NEQ14" s="108"/>
      <c r="NER14" s="108"/>
      <c r="NES14" s="109"/>
      <c r="NET14" s="107" t="s">
        <v>1</v>
      </c>
      <c r="NEU14" s="108"/>
      <c r="NEV14" s="108"/>
      <c r="NEW14" s="109"/>
      <c r="NEX14" s="107" t="s">
        <v>1</v>
      </c>
      <c r="NEY14" s="108"/>
      <c r="NEZ14" s="108"/>
      <c r="NFA14" s="109"/>
      <c r="NFB14" s="107" t="s">
        <v>1</v>
      </c>
      <c r="NFC14" s="108"/>
      <c r="NFD14" s="108"/>
      <c r="NFE14" s="109"/>
      <c r="NFF14" s="107" t="s">
        <v>1</v>
      </c>
      <c r="NFG14" s="108"/>
      <c r="NFH14" s="108"/>
      <c r="NFI14" s="109"/>
      <c r="NFJ14" s="107" t="s">
        <v>1</v>
      </c>
      <c r="NFK14" s="108"/>
      <c r="NFL14" s="108"/>
      <c r="NFM14" s="109"/>
      <c r="NFN14" s="107" t="s">
        <v>1</v>
      </c>
      <c r="NFO14" s="108"/>
      <c r="NFP14" s="108"/>
      <c r="NFQ14" s="109"/>
      <c r="NFR14" s="107" t="s">
        <v>1</v>
      </c>
      <c r="NFS14" s="108"/>
      <c r="NFT14" s="108"/>
      <c r="NFU14" s="109"/>
      <c r="NFV14" s="107" t="s">
        <v>1</v>
      </c>
      <c r="NFW14" s="108"/>
      <c r="NFX14" s="108"/>
      <c r="NFY14" s="109"/>
      <c r="NFZ14" s="107" t="s">
        <v>1</v>
      </c>
      <c r="NGA14" s="108"/>
      <c r="NGB14" s="108"/>
      <c r="NGC14" s="109"/>
      <c r="NGD14" s="107" t="s">
        <v>1</v>
      </c>
      <c r="NGE14" s="108"/>
      <c r="NGF14" s="108"/>
      <c r="NGG14" s="109"/>
      <c r="NGH14" s="107" t="s">
        <v>1</v>
      </c>
      <c r="NGI14" s="108"/>
      <c r="NGJ14" s="108"/>
      <c r="NGK14" s="109"/>
      <c r="NGL14" s="107" t="s">
        <v>1</v>
      </c>
      <c r="NGM14" s="108"/>
      <c r="NGN14" s="108"/>
      <c r="NGO14" s="109"/>
      <c r="NGP14" s="107" t="s">
        <v>1</v>
      </c>
      <c r="NGQ14" s="108"/>
      <c r="NGR14" s="108"/>
      <c r="NGS14" s="109"/>
      <c r="NGT14" s="107" t="s">
        <v>1</v>
      </c>
      <c r="NGU14" s="108"/>
      <c r="NGV14" s="108"/>
      <c r="NGW14" s="109"/>
      <c r="NGX14" s="107" t="s">
        <v>1</v>
      </c>
      <c r="NGY14" s="108"/>
      <c r="NGZ14" s="108"/>
      <c r="NHA14" s="109"/>
      <c r="NHB14" s="107" t="s">
        <v>1</v>
      </c>
      <c r="NHC14" s="108"/>
      <c r="NHD14" s="108"/>
      <c r="NHE14" s="109"/>
      <c r="NHF14" s="107" t="s">
        <v>1</v>
      </c>
      <c r="NHG14" s="108"/>
      <c r="NHH14" s="108"/>
      <c r="NHI14" s="109"/>
      <c r="NHJ14" s="107" t="s">
        <v>1</v>
      </c>
      <c r="NHK14" s="108"/>
      <c r="NHL14" s="108"/>
      <c r="NHM14" s="109"/>
      <c r="NHN14" s="107" t="s">
        <v>1</v>
      </c>
      <c r="NHO14" s="108"/>
      <c r="NHP14" s="108"/>
      <c r="NHQ14" s="109"/>
      <c r="NHR14" s="107" t="s">
        <v>1</v>
      </c>
      <c r="NHS14" s="108"/>
      <c r="NHT14" s="108"/>
      <c r="NHU14" s="109"/>
      <c r="NHV14" s="107" t="s">
        <v>1</v>
      </c>
      <c r="NHW14" s="108"/>
      <c r="NHX14" s="108"/>
      <c r="NHY14" s="109"/>
      <c r="NHZ14" s="107" t="s">
        <v>1</v>
      </c>
      <c r="NIA14" s="108"/>
      <c r="NIB14" s="108"/>
      <c r="NIC14" s="109"/>
      <c r="NID14" s="107" t="s">
        <v>1</v>
      </c>
      <c r="NIE14" s="108"/>
      <c r="NIF14" s="108"/>
      <c r="NIG14" s="109"/>
      <c r="NIH14" s="107" t="s">
        <v>1</v>
      </c>
      <c r="NII14" s="108"/>
      <c r="NIJ14" s="108"/>
      <c r="NIK14" s="109"/>
      <c r="NIL14" s="107" t="s">
        <v>1</v>
      </c>
      <c r="NIM14" s="108"/>
      <c r="NIN14" s="108"/>
      <c r="NIO14" s="109"/>
      <c r="NIP14" s="107" t="s">
        <v>1</v>
      </c>
      <c r="NIQ14" s="108"/>
      <c r="NIR14" s="108"/>
      <c r="NIS14" s="109"/>
      <c r="NIT14" s="107" t="s">
        <v>1</v>
      </c>
      <c r="NIU14" s="108"/>
      <c r="NIV14" s="108"/>
      <c r="NIW14" s="109"/>
      <c r="NIX14" s="107" t="s">
        <v>1</v>
      </c>
      <c r="NIY14" s="108"/>
      <c r="NIZ14" s="108"/>
      <c r="NJA14" s="109"/>
      <c r="NJB14" s="107" t="s">
        <v>1</v>
      </c>
      <c r="NJC14" s="108"/>
      <c r="NJD14" s="108"/>
      <c r="NJE14" s="109"/>
      <c r="NJF14" s="107" t="s">
        <v>1</v>
      </c>
      <c r="NJG14" s="108"/>
      <c r="NJH14" s="108"/>
      <c r="NJI14" s="109"/>
      <c r="NJJ14" s="107" t="s">
        <v>1</v>
      </c>
      <c r="NJK14" s="108"/>
      <c r="NJL14" s="108"/>
      <c r="NJM14" s="109"/>
      <c r="NJN14" s="107" t="s">
        <v>1</v>
      </c>
      <c r="NJO14" s="108"/>
      <c r="NJP14" s="108"/>
      <c r="NJQ14" s="109"/>
      <c r="NJR14" s="107" t="s">
        <v>1</v>
      </c>
      <c r="NJS14" s="108"/>
      <c r="NJT14" s="108"/>
      <c r="NJU14" s="109"/>
      <c r="NJV14" s="107" t="s">
        <v>1</v>
      </c>
      <c r="NJW14" s="108"/>
      <c r="NJX14" s="108"/>
      <c r="NJY14" s="109"/>
      <c r="NJZ14" s="107" t="s">
        <v>1</v>
      </c>
      <c r="NKA14" s="108"/>
      <c r="NKB14" s="108"/>
      <c r="NKC14" s="109"/>
      <c r="NKD14" s="107" t="s">
        <v>1</v>
      </c>
      <c r="NKE14" s="108"/>
      <c r="NKF14" s="108"/>
      <c r="NKG14" s="109"/>
      <c r="NKH14" s="107" t="s">
        <v>1</v>
      </c>
      <c r="NKI14" s="108"/>
      <c r="NKJ14" s="108"/>
      <c r="NKK14" s="109"/>
      <c r="NKL14" s="107" t="s">
        <v>1</v>
      </c>
      <c r="NKM14" s="108"/>
      <c r="NKN14" s="108"/>
      <c r="NKO14" s="109"/>
      <c r="NKP14" s="107" t="s">
        <v>1</v>
      </c>
      <c r="NKQ14" s="108"/>
      <c r="NKR14" s="108"/>
      <c r="NKS14" s="109"/>
      <c r="NKT14" s="107" t="s">
        <v>1</v>
      </c>
      <c r="NKU14" s="108"/>
      <c r="NKV14" s="108"/>
      <c r="NKW14" s="109"/>
      <c r="NKX14" s="107" t="s">
        <v>1</v>
      </c>
      <c r="NKY14" s="108"/>
      <c r="NKZ14" s="108"/>
      <c r="NLA14" s="109"/>
      <c r="NLB14" s="107" t="s">
        <v>1</v>
      </c>
      <c r="NLC14" s="108"/>
      <c r="NLD14" s="108"/>
      <c r="NLE14" s="109"/>
      <c r="NLF14" s="107" t="s">
        <v>1</v>
      </c>
      <c r="NLG14" s="108"/>
      <c r="NLH14" s="108"/>
      <c r="NLI14" s="109"/>
      <c r="NLJ14" s="107" t="s">
        <v>1</v>
      </c>
      <c r="NLK14" s="108"/>
      <c r="NLL14" s="108"/>
      <c r="NLM14" s="109"/>
      <c r="NLN14" s="107" t="s">
        <v>1</v>
      </c>
      <c r="NLO14" s="108"/>
      <c r="NLP14" s="108"/>
      <c r="NLQ14" s="109"/>
      <c r="NLR14" s="107" t="s">
        <v>1</v>
      </c>
      <c r="NLS14" s="108"/>
      <c r="NLT14" s="108"/>
      <c r="NLU14" s="109"/>
      <c r="NLV14" s="107" t="s">
        <v>1</v>
      </c>
      <c r="NLW14" s="108"/>
      <c r="NLX14" s="108"/>
      <c r="NLY14" s="109"/>
      <c r="NLZ14" s="107" t="s">
        <v>1</v>
      </c>
      <c r="NMA14" s="108"/>
      <c r="NMB14" s="108"/>
      <c r="NMC14" s="109"/>
      <c r="NMD14" s="107" t="s">
        <v>1</v>
      </c>
      <c r="NME14" s="108"/>
      <c r="NMF14" s="108"/>
      <c r="NMG14" s="109"/>
      <c r="NMH14" s="107" t="s">
        <v>1</v>
      </c>
      <c r="NMI14" s="108"/>
      <c r="NMJ14" s="108"/>
      <c r="NMK14" s="109"/>
      <c r="NML14" s="107" t="s">
        <v>1</v>
      </c>
      <c r="NMM14" s="108"/>
      <c r="NMN14" s="108"/>
      <c r="NMO14" s="109"/>
      <c r="NMP14" s="107" t="s">
        <v>1</v>
      </c>
      <c r="NMQ14" s="108"/>
      <c r="NMR14" s="108"/>
      <c r="NMS14" s="109"/>
      <c r="NMT14" s="107" t="s">
        <v>1</v>
      </c>
      <c r="NMU14" s="108"/>
      <c r="NMV14" s="108"/>
      <c r="NMW14" s="109"/>
      <c r="NMX14" s="107" t="s">
        <v>1</v>
      </c>
      <c r="NMY14" s="108"/>
      <c r="NMZ14" s="108"/>
      <c r="NNA14" s="109"/>
      <c r="NNB14" s="107" t="s">
        <v>1</v>
      </c>
      <c r="NNC14" s="108"/>
      <c r="NND14" s="108"/>
      <c r="NNE14" s="109"/>
      <c r="NNF14" s="107" t="s">
        <v>1</v>
      </c>
      <c r="NNG14" s="108"/>
      <c r="NNH14" s="108"/>
      <c r="NNI14" s="109"/>
      <c r="NNJ14" s="107" t="s">
        <v>1</v>
      </c>
      <c r="NNK14" s="108"/>
      <c r="NNL14" s="108"/>
      <c r="NNM14" s="109"/>
      <c r="NNN14" s="107" t="s">
        <v>1</v>
      </c>
      <c r="NNO14" s="108"/>
      <c r="NNP14" s="108"/>
      <c r="NNQ14" s="109"/>
      <c r="NNR14" s="107" t="s">
        <v>1</v>
      </c>
      <c r="NNS14" s="108"/>
      <c r="NNT14" s="108"/>
      <c r="NNU14" s="109"/>
      <c r="NNV14" s="107" t="s">
        <v>1</v>
      </c>
      <c r="NNW14" s="108"/>
      <c r="NNX14" s="108"/>
      <c r="NNY14" s="109"/>
      <c r="NNZ14" s="107" t="s">
        <v>1</v>
      </c>
      <c r="NOA14" s="108"/>
      <c r="NOB14" s="108"/>
      <c r="NOC14" s="109"/>
      <c r="NOD14" s="107" t="s">
        <v>1</v>
      </c>
      <c r="NOE14" s="108"/>
      <c r="NOF14" s="108"/>
      <c r="NOG14" s="109"/>
      <c r="NOH14" s="107" t="s">
        <v>1</v>
      </c>
      <c r="NOI14" s="108"/>
      <c r="NOJ14" s="108"/>
      <c r="NOK14" s="109"/>
      <c r="NOL14" s="107" t="s">
        <v>1</v>
      </c>
      <c r="NOM14" s="108"/>
      <c r="NON14" s="108"/>
      <c r="NOO14" s="109"/>
      <c r="NOP14" s="107" t="s">
        <v>1</v>
      </c>
      <c r="NOQ14" s="108"/>
      <c r="NOR14" s="108"/>
      <c r="NOS14" s="109"/>
      <c r="NOT14" s="107" t="s">
        <v>1</v>
      </c>
      <c r="NOU14" s="108"/>
      <c r="NOV14" s="108"/>
      <c r="NOW14" s="109"/>
      <c r="NOX14" s="107" t="s">
        <v>1</v>
      </c>
      <c r="NOY14" s="108"/>
      <c r="NOZ14" s="108"/>
      <c r="NPA14" s="109"/>
      <c r="NPB14" s="107" t="s">
        <v>1</v>
      </c>
      <c r="NPC14" s="108"/>
      <c r="NPD14" s="108"/>
      <c r="NPE14" s="109"/>
      <c r="NPF14" s="107" t="s">
        <v>1</v>
      </c>
      <c r="NPG14" s="108"/>
      <c r="NPH14" s="108"/>
      <c r="NPI14" s="109"/>
      <c r="NPJ14" s="107" t="s">
        <v>1</v>
      </c>
      <c r="NPK14" s="108"/>
      <c r="NPL14" s="108"/>
      <c r="NPM14" s="109"/>
      <c r="NPN14" s="107" t="s">
        <v>1</v>
      </c>
      <c r="NPO14" s="108"/>
      <c r="NPP14" s="108"/>
      <c r="NPQ14" s="109"/>
      <c r="NPR14" s="107" t="s">
        <v>1</v>
      </c>
      <c r="NPS14" s="108"/>
      <c r="NPT14" s="108"/>
      <c r="NPU14" s="109"/>
      <c r="NPV14" s="107" t="s">
        <v>1</v>
      </c>
      <c r="NPW14" s="108"/>
      <c r="NPX14" s="108"/>
      <c r="NPY14" s="109"/>
      <c r="NPZ14" s="107" t="s">
        <v>1</v>
      </c>
      <c r="NQA14" s="108"/>
      <c r="NQB14" s="108"/>
      <c r="NQC14" s="109"/>
      <c r="NQD14" s="107" t="s">
        <v>1</v>
      </c>
      <c r="NQE14" s="108"/>
      <c r="NQF14" s="108"/>
      <c r="NQG14" s="109"/>
      <c r="NQH14" s="107" t="s">
        <v>1</v>
      </c>
      <c r="NQI14" s="108"/>
      <c r="NQJ14" s="108"/>
      <c r="NQK14" s="109"/>
      <c r="NQL14" s="107" t="s">
        <v>1</v>
      </c>
      <c r="NQM14" s="108"/>
      <c r="NQN14" s="108"/>
      <c r="NQO14" s="109"/>
      <c r="NQP14" s="107" t="s">
        <v>1</v>
      </c>
      <c r="NQQ14" s="108"/>
      <c r="NQR14" s="108"/>
      <c r="NQS14" s="109"/>
      <c r="NQT14" s="107" t="s">
        <v>1</v>
      </c>
      <c r="NQU14" s="108"/>
      <c r="NQV14" s="108"/>
      <c r="NQW14" s="109"/>
      <c r="NQX14" s="107" t="s">
        <v>1</v>
      </c>
      <c r="NQY14" s="108"/>
      <c r="NQZ14" s="108"/>
      <c r="NRA14" s="109"/>
      <c r="NRB14" s="107" t="s">
        <v>1</v>
      </c>
      <c r="NRC14" s="108"/>
      <c r="NRD14" s="108"/>
      <c r="NRE14" s="109"/>
      <c r="NRF14" s="107" t="s">
        <v>1</v>
      </c>
      <c r="NRG14" s="108"/>
      <c r="NRH14" s="108"/>
      <c r="NRI14" s="109"/>
      <c r="NRJ14" s="107" t="s">
        <v>1</v>
      </c>
      <c r="NRK14" s="108"/>
      <c r="NRL14" s="108"/>
      <c r="NRM14" s="109"/>
      <c r="NRN14" s="107" t="s">
        <v>1</v>
      </c>
      <c r="NRO14" s="108"/>
      <c r="NRP14" s="108"/>
      <c r="NRQ14" s="109"/>
      <c r="NRR14" s="107" t="s">
        <v>1</v>
      </c>
      <c r="NRS14" s="108"/>
      <c r="NRT14" s="108"/>
      <c r="NRU14" s="109"/>
      <c r="NRV14" s="107" t="s">
        <v>1</v>
      </c>
      <c r="NRW14" s="108"/>
      <c r="NRX14" s="108"/>
      <c r="NRY14" s="109"/>
      <c r="NRZ14" s="107" t="s">
        <v>1</v>
      </c>
      <c r="NSA14" s="108"/>
      <c r="NSB14" s="108"/>
      <c r="NSC14" s="109"/>
      <c r="NSD14" s="107" t="s">
        <v>1</v>
      </c>
      <c r="NSE14" s="108"/>
      <c r="NSF14" s="108"/>
      <c r="NSG14" s="109"/>
      <c r="NSH14" s="107" t="s">
        <v>1</v>
      </c>
      <c r="NSI14" s="108"/>
      <c r="NSJ14" s="108"/>
      <c r="NSK14" s="109"/>
      <c r="NSL14" s="107" t="s">
        <v>1</v>
      </c>
      <c r="NSM14" s="108"/>
      <c r="NSN14" s="108"/>
      <c r="NSO14" s="109"/>
      <c r="NSP14" s="107" t="s">
        <v>1</v>
      </c>
      <c r="NSQ14" s="108"/>
      <c r="NSR14" s="108"/>
      <c r="NSS14" s="109"/>
      <c r="NST14" s="107" t="s">
        <v>1</v>
      </c>
      <c r="NSU14" s="108"/>
      <c r="NSV14" s="108"/>
      <c r="NSW14" s="109"/>
      <c r="NSX14" s="107" t="s">
        <v>1</v>
      </c>
      <c r="NSY14" s="108"/>
      <c r="NSZ14" s="108"/>
      <c r="NTA14" s="109"/>
      <c r="NTB14" s="107" t="s">
        <v>1</v>
      </c>
      <c r="NTC14" s="108"/>
      <c r="NTD14" s="108"/>
      <c r="NTE14" s="109"/>
      <c r="NTF14" s="107" t="s">
        <v>1</v>
      </c>
      <c r="NTG14" s="108"/>
      <c r="NTH14" s="108"/>
      <c r="NTI14" s="109"/>
      <c r="NTJ14" s="107" t="s">
        <v>1</v>
      </c>
      <c r="NTK14" s="108"/>
      <c r="NTL14" s="108"/>
      <c r="NTM14" s="109"/>
      <c r="NTN14" s="107" t="s">
        <v>1</v>
      </c>
      <c r="NTO14" s="108"/>
      <c r="NTP14" s="108"/>
      <c r="NTQ14" s="109"/>
      <c r="NTR14" s="107" t="s">
        <v>1</v>
      </c>
      <c r="NTS14" s="108"/>
      <c r="NTT14" s="108"/>
      <c r="NTU14" s="109"/>
      <c r="NTV14" s="107" t="s">
        <v>1</v>
      </c>
      <c r="NTW14" s="108"/>
      <c r="NTX14" s="108"/>
      <c r="NTY14" s="109"/>
      <c r="NTZ14" s="107" t="s">
        <v>1</v>
      </c>
      <c r="NUA14" s="108"/>
      <c r="NUB14" s="108"/>
      <c r="NUC14" s="109"/>
      <c r="NUD14" s="107" t="s">
        <v>1</v>
      </c>
      <c r="NUE14" s="108"/>
      <c r="NUF14" s="108"/>
      <c r="NUG14" s="109"/>
      <c r="NUH14" s="107" t="s">
        <v>1</v>
      </c>
      <c r="NUI14" s="108"/>
      <c r="NUJ14" s="108"/>
      <c r="NUK14" s="109"/>
      <c r="NUL14" s="107" t="s">
        <v>1</v>
      </c>
      <c r="NUM14" s="108"/>
      <c r="NUN14" s="108"/>
      <c r="NUO14" s="109"/>
      <c r="NUP14" s="107" t="s">
        <v>1</v>
      </c>
      <c r="NUQ14" s="108"/>
      <c r="NUR14" s="108"/>
      <c r="NUS14" s="109"/>
      <c r="NUT14" s="107" t="s">
        <v>1</v>
      </c>
      <c r="NUU14" s="108"/>
      <c r="NUV14" s="108"/>
      <c r="NUW14" s="109"/>
      <c r="NUX14" s="107" t="s">
        <v>1</v>
      </c>
      <c r="NUY14" s="108"/>
      <c r="NUZ14" s="108"/>
      <c r="NVA14" s="109"/>
      <c r="NVB14" s="107" t="s">
        <v>1</v>
      </c>
      <c r="NVC14" s="108"/>
      <c r="NVD14" s="108"/>
      <c r="NVE14" s="109"/>
      <c r="NVF14" s="107" t="s">
        <v>1</v>
      </c>
      <c r="NVG14" s="108"/>
      <c r="NVH14" s="108"/>
      <c r="NVI14" s="109"/>
      <c r="NVJ14" s="107" t="s">
        <v>1</v>
      </c>
      <c r="NVK14" s="108"/>
      <c r="NVL14" s="108"/>
      <c r="NVM14" s="109"/>
      <c r="NVN14" s="107" t="s">
        <v>1</v>
      </c>
      <c r="NVO14" s="108"/>
      <c r="NVP14" s="108"/>
      <c r="NVQ14" s="109"/>
      <c r="NVR14" s="107" t="s">
        <v>1</v>
      </c>
      <c r="NVS14" s="108"/>
      <c r="NVT14" s="108"/>
      <c r="NVU14" s="109"/>
      <c r="NVV14" s="107" t="s">
        <v>1</v>
      </c>
      <c r="NVW14" s="108"/>
      <c r="NVX14" s="108"/>
      <c r="NVY14" s="109"/>
      <c r="NVZ14" s="107" t="s">
        <v>1</v>
      </c>
      <c r="NWA14" s="108"/>
      <c r="NWB14" s="108"/>
      <c r="NWC14" s="109"/>
      <c r="NWD14" s="107" t="s">
        <v>1</v>
      </c>
      <c r="NWE14" s="108"/>
      <c r="NWF14" s="108"/>
      <c r="NWG14" s="109"/>
      <c r="NWH14" s="107" t="s">
        <v>1</v>
      </c>
      <c r="NWI14" s="108"/>
      <c r="NWJ14" s="108"/>
      <c r="NWK14" s="109"/>
      <c r="NWL14" s="107" t="s">
        <v>1</v>
      </c>
      <c r="NWM14" s="108"/>
      <c r="NWN14" s="108"/>
      <c r="NWO14" s="109"/>
      <c r="NWP14" s="107" t="s">
        <v>1</v>
      </c>
      <c r="NWQ14" s="108"/>
      <c r="NWR14" s="108"/>
      <c r="NWS14" s="109"/>
      <c r="NWT14" s="107" t="s">
        <v>1</v>
      </c>
      <c r="NWU14" s="108"/>
      <c r="NWV14" s="108"/>
      <c r="NWW14" s="109"/>
      <c r="NWX14" s="107" t="s">
        <v>1</v>
      </c>
      <c r="NWY14" s="108"/>
      <c r="NWZ14" s="108"/>
      <c r="NXA14" s="109"/>
      <c r="NXB14" s="107" t="s">
        <v>1</v>
      </c>
      <c r="NXC14" s="108"/>
      <c r="NXD14" s="108"/>
      <c r="NXE14" s="109"/>
      <c r="NXF14" s="107" t="s">
        <v>1</v>
      </c>
      <c r="NXG14" s="108"/>
      <c r="NXH14" s="108"/>
      <c r="NXI14" s="109"/>
      <c r="NXJ14" s="107" t="s">
        <v>1</v>
      </c>
      <c r="NXK14" s="108"/>
      <c r="NXL14" s="108"/>
      <c r="NXM14" s="109"/>
      <c r="NXN14" s="107" t="s">
        <v>1</v>
      </c>
      <c r="NXO14" s="108"/>
      <c r="NXP14" s="108"/>
      <c r="NXQ14" s="109"/>
      <c r="NXR14" s="107" t="s">
        <v>1</v>
      </c>
      <c r="NXS14" s="108"/>
      <c r="NXT14" s="108"/>
      <c r="NXU14" s="109"/>
      <c r="NXV14" s="107" t="s">
        <v>1</v>
      </c>
      <c r="NXW14" s="108"/>
      <c r="NXX14" s="108"/>
      <c r="NXY14" s="109"/>
      <c r="NXZ14" s="107" t="s">
        <v>1</v>
      </c>
      <c r="NYA14" s="108"/>
      <c r="NYB14" s="108"/>
      <c r="NYC14" s="109"/>
      <c r="NYD14" s="107" t="s">
        <v>1</v>
      </c>
      <c r="NYE14" s="108"/>
      <c r="NYF14" s="108"/>
      <c r="NYG14" s="109"/>
      <c r="NYH14" s="107" t="s">
        <v>1</v>
      </c>
      <c r="NYI14" s="108"/>
      <c r="NYJ14" s="108"/>
      <c r="NYK14" s="109"/>
      <c r="NYL14" s="107" t="s">
        <v>1</v>
      </c>
      <c r="NYM14" s="108"/>
      <c r="NYN14" s="108"/>
      <c r="NYO14" s="109"/>
      <c r="NYP14" s="107" t="s">
        <v>1</v>
      </c>
      <c r="NYQ14" s="108"/>
      <c r="NYR14" s="108"/>
      <c r="NYS14" s="109"/>
      <c r="NYT14" s="107" t="s">
        <v>1</v>
      </c>
      <c r="NYU14" s="108"/>
      <c r="NYV14" s="108"/>
      <c r="NYW14" s="109"/>
      <c r="NYX14" s="107" t="s">
        <v>1</v>
      </c>
      <c r="NYY14" s="108"/>
      <c r="NYZ14" s="108"/>
      <c r="NZA14" s="109"/>
      <c r="NZB14" s="107" t="s">
        <v>1</v>
      </c>
      <c r="NZC14" s="108"/>
      <c r="NZD14" s="108"/>
      <c r="NZE14" s="109"/>
      <c r="NZF14" s="107" t="s">
        <v>1</v>
      </c>
      <c r="NZG14" s="108"/>
      <c r="NZH14" s="108"/>
      <c r="NZI14" s="109"/>
      <c r="NZJ14" s="107" t="s">
        <v>1</v>
      </c>
      <c r="NZK14" s="108"/>
      <c r="NZL14" s="108"/>
      <c r="NZM14" s="109"/>
      <c r="NZN14" s="107" t="s">
        <v>1</v>
      </c>
      <c r="NZO14" s="108"/>
      <c r="NZP14" s="108"/>
      <c r="NZQ14" s="109"/>
      <c r="NZR14" s="107" t="s">
        <v>1</v>
      </c>
      <c r="NZS14" s="108"/>
      <c r="NZT14" s="108"/>
      <c r="NZU14" s="109"/>
      <c r="NZV14" s="107" t="s">
        <v>1</v>
      </c>
      <c r="NZW14" s="108"/>
      <c r="NZX14" s="108"/>
      <c r="NZY14" s="109"/>
      <c r="NZZ14" s="107" t="s">
        <v>1</v>
      </c>
      <c r="OAA14" s="108"/>
      <c r="OAB14" s="108"/>
      <c r="OAC14" s="109"/>
      <c r="OAD14" s="107" t="s">
        <v>1</v>
      </c>
      <c r="OAE14" s="108"/>
      <c r="OAF14" s="108"/>
      <c r="OAG14" s="109"/>
      <c r="OAH14" s="107" t="s">
        <v>1</v>
      </c>
      <c r="OAI14" s="108"/>
      <c r="OAJ14" s="108"/>
      <c r="OAK14" s="109"/>
      <c r="OAL14" s="107" t="s">
        <v>1</v>
      </c>
      <c r="OAM14" s="108"/>
      <c r="OAN14" s="108"/>
      <c r="OAO14" s="109"/>
      <c r="OAP14" s="107" t="s">
        <v>1</v>
      </c>
      <c r="OAQ14" s="108"/>
      <c r="OAR14" s="108"/>
      <c r="OAS14" s="109"/>
      <c r="OAT14" s="107" t="s">
        <v>1</v>
      </c>
      <c r="OAU14" s="108"/>
      <c r="OAV14" s="108"/>
      <c r="OAW14" s="109"/>
      <c r="OAX14" s="107" t="s">
        <v>1</v>
      </c>
      <c r="OAY14" s="108"/>
      <c r="OAZ14" s="108"/>
      <c r="OBA14" s="109"/>
      <c r="OBB14" s="107" t="s">
        <v>1</v>
      </c>
      <c r="OBC14" s="108"/>
      <c r="OBD14" s="108"/>
      <c r="OBE14" s="109"/>
      <c r="OBF14" s="107" t="s">
        <v>1</v>
      </c>
      <c r="OBG14" s="108"/>
      <c r="OBH14" s="108"/>
      <c r="OBI14" s="109"/>
      <c r="OBJ14" s="107" t="s">
        <v>1</v>
      </c>
      <c r="OBK14" s="108"/>
      <c r="OBL14" s="108"/>
      <c r="OBM14" s="109"/>
      <c r="OBN14" s="107" t="s">
        <v>1</v>
      </c>
      <c r="OBO14" s="108"/>
      <c r="OBP14" s="108"/>
      <c r="OBQ14" s="109"/>
      <c r="OBR14" s="107" t="s">
        <v>1</v>
      </c>
      <c r="OBS14" s="108"/>
      <c r="OBT14" s="108"/>
      <c r="OBU14" s="109"/>
      <c r="OBV14" s="107" t="s">
        <v>1</v>
      </c>
      <c r="OBW14" s="108"/>
      <c r="OBX14" s="108"/>
      <c r="OBY14" s="109"/>
      <c r="OBZ14" s="107" t="s">
        <v>1</v>
      </c>
      <c r="OCA14" s="108"/>
      <c r="OCB14" s="108"/>
      <c r="OCC14" s="109"/>
      <c r="OCD14" s="107" t="s">
        <v>1</v>
      </c>
      <c r="OCE14" s="108"/>
      <c r="OCF14" s="108"/>
      <c r="OCG14" s="109"/>
      <c r="OCH14" s="107" t="s">
        <v>1</v>
      </c>
      <c r="OCI14" s="108"/>
      <c r="OCJ14" s="108"/>
      <c r="OCK14" s="109"/>
      <c r="OCL14" s="107" t="s">
        <v>1</v>
      </c>
      <c r="OCM14" s="108"/>
      <c r="OCN14" s="108"/>
      <c r="OCO14" s="109"/>
      <c r="OCP14" s="107" t="s">
        <v>1</v>
      </c>
      <c r="OCQ14" s="108"/>
      <c r="OCR14" s="108"/>
      <c r="OCS14" s="109"/>
      <c r="OCT14" s="107" t="s">
        <v>1</v>
      </c>
      <c r="OCU14" s="108"/>
      <c r="OCV14" s="108"/>
      <c r="OCW14" s="109"/>
      <c r="OCX14" s="107" t="s">
        <v>1</v>
      </c>
      <c r="OCY14" s="108"/>
      <c r="OCZ14" s="108"/>
      <c r="ODA14" s="109"/>
      <c r="ODB14" s="107" t="s">
        <v>1</v>
      </c>
      <c r="ODC14" s="108"/>
      <c r="ODD14" s="108"/>
      <c r="ODE14" s="109"/>
      <c r="ODF14" s="107" t="s">
        <v>1</v>
      </c>
      <c r="ODG14" s="108"/>
      <c r="ODH14" s="108"/>
      <c r="ODI14" s="109"/>
      <c r="ODJ14" s="107" t="s">
        <v>1</v>
      </c>
      <c r="ODK14" s="108"/>
      <c r="ODL14" s="108"/>
      <c r="ODM14" s="109"/>
      <c r="ODN14" s="107" t="s">
        <v>1</v>
      </c>
      <c r="ODO14" s="108"/>
      <c r="ODP14" s="108"/>
      <c r="ODQ14" s="109"/>
      <c r="ODR14" s="107" t="s">
        <v>1</v>
      </c>
      <c r="ODS14" s="108"/>
      <c r="ODT14" s="108"/>
      <c r="ODU14" s="109"/>
      <c r="ODV14" s="107" t="s">
        <v>1</v>
      </c>
      <c r="ODW14" s="108"/>
      <c r="ODX14" s="108"/>
      <c r="ODY14" s="109"/>
      <c r="ODZ14" s="107" t="s">
        <v>1</v>
      </c>
      <c r="OEA14" s="108"/>
      <c r="OEB14" s="108"/>
      <c r="OEC14" s="109"/>
      <c r="OED14" s="107" t="s">
        <v>1</v>
      </c>
      <c r="OEE14" s="108"/>
      <c r="OEF14" s="108"/>
      <c r="OEG14" s="109"/>
      <c r="OEH14" s="107" t="s">
        <v>1</v>
      </c>
      <c r="OEI14" s="108"/>
      <c r="OEJ14" s="108"/>
      <c r="OEK14" s="109"/>
      <c r="OEL14" s="107" t="s">
        <v>1</v>
      </c>
      <c r="OEM14" s="108"/>
      <c r="OEN14" s="108"/>
      <c r="OEO14" s="109"/>
      <c r="OEP14" s="107" t="s">
        <v>1</v>
      </c>
      <c r="OEQ14" s="108"/>
      <c r="OER14" s="108"/>
      <c r="OES14" s="109"/>
      <c r="OET14" s="107" t="s">
        <v>1</v>
      </c>
      <c r="OEU14" s="108"/>
      <c r="OEV14" s="108"/>
      <c r="OEW14" s="109"/>
      <c r="OEX14" s="107" t="s">
        <v>1</v>
      </c>
      <c r="OEY14" s="108"/>
      <c r="OEZ14" s="108"/>
      <c r="OFA14" s="109"/>
      <c r="OFB14" s="107" t="s">
        <v>1</v>
      </c>
      <c r="OFC14" s="108"/>
      <c r="OFD14" s="108"/>
      <c r="OFE14" s="109"/>
      <c r="OFF14" s="107" t="s">
        <v>1</v>
      </c>
      <c r="OFG14" s="108"/>
      <c r="OFH14" s="108"/>
      <c r="OFI14" s="109"/>
      <c r="OFJ14" s="107" t="s">
        <v>1</v>
      </c>
      <c r="OFK14" s="108"/>
      <c r="OFL14" s="108"/>
      <c r="OFM14" s="109"/>
      <c r="OFN14" s="107" t="s">
        <v>1</v>
      </c>
      <c r="OFO14" s="108"/>
      <c r="OFP14" s="108"/>
      <c r="OFQ14" s="109"/>
      <c r="OFR14" s="107" t="s">
        <v>1</v>
      </c>
      <c r="OFS14" s="108"/>
      <c r="OFT14" s="108"/>
      <c r="OFU14" s="109"/>
      <c r="OFV14" s="107" t="s">
        <v>1</v>
      </c>
      <c r="OFW14" s="108"/>
      <c r="OFX14" s="108"/>
      <c r="OFY14" s="109"/>
      <c r="OFZ14" s="107" t="s">
        <v>1</v>
      </c>
      <c r="OGA14" s="108"/>
      <c r="OGB14" s="108"/>
      <c r="OGC14" s="109"/>
      <c r="OGD14" s="107" t="s">
        <v>1</v>
      </c>
      <c r="OGE14" s="108"/>
      <c r="OGF14" s="108"/>
      <c r="OGG14" s="109"/>
      <c r="OGH14" s="107" t="s">
        <v>1</v>
      </c>
      <c r="OGI14" s="108"/>
      <c r="OGJ14" s="108"/>
      <c r="OGK14" s="109"/>
      <c r="OGL14" s="107" t="s">
        <v>1</v>
      </c>
      <c r="OGM14" s="108"/>
      <c r="OGN14" s="108"/>
      <c r="OGO14" s="109"/>
      <c r="OGP14" s="107" t="s">
        <v>1</v>
      </c>
      <c r="OGQ14" s="108"/>
      <c r="OGR14" s="108"/>
      <c r="OGS14" s="109"/>
      <c r="OGT14" s="107" t="s">
        <v>1</v>
      </c>
      <c r="OGU14" s="108"/>
      <c r="OGV14" s="108"/>
      <c r="OGW14" s="109"/>
      <c r="OGX14" s="107" t="s">
        <v>1</v>
      </c>
      <c r="OGY14" s="108"/>
      <c r="OGZ14" s="108"/>
      <c r="OHA14" s="109"/>
      <c r="OHB14" s="107" t="s">
        <v>1</v>
      </c>
      <c r="OHC14" s="108"/>
      <c r="OHD14" s="108"/>
      <c r="OHE14" s="109"/>
      <c r="OHF14" s="107" t="s">
        <v>1</v>
      </c>
      <c r="OHG14" s="108"/>
      <c r="OHH14" s="108"/>
      <c r="OHI14" s="109"/>
      <c r="OHJ14" s="107" t="s">
        <v>1</v>
      </c>
      <c r="OHK14" s="108"/>
      <c r="OHL14" s="108"/>
      <c r="OHM14" s="109"/>
      <c r="OHN14" s="107" t="s">
        <v>1</v>
      </c>
      <c r="OHO14" s="108"/>
      <c r="OHP14" s="108"/>
      <c r="OHQ14" s="109"/>
      <c r="OHR14" s="107" t="s">
        <v>1</v>
      </c>
      <c r="OHS14" s="108"/>
      <c r="OHT14" s="108"/>
      <c r="OHU14" s="109"/>
      <c r="OHV14" s="107" t="s">
        <v>1</v>
      </c>
      <c r="OHW14" s="108"/>
      <c r="OHX14" s="108"/>
      <c r="OHY14" s="109"/>
      <c r="OHZ14" s="107" t="s">
        <v>1</v>
      </c>
      <c r="OIA14" s="108"/>
      <c r="OIB14" s="108"/>
      <c r="OIC14" s="109"/>
      <c r="OID14" s="107" t="s">
        <v>1</v>
      </c>
      <c r="OIE14" s="108"/>
      <c r="OIF14" s="108"/>
      <c r="OIG14" s="109"/>
      <c r="OIH14" s="107" t="s">
        <v>1</v>
      </c>
      <c r="OII14" s="108"/>
      <c r="OIJ14" s="108"/>
      <c r="OIK14" s="109"/>
      <c r="OIL14" s="107" t="s">
        <v>1</v>
      </c>
      <c r="OIM14" s="108"/>
      <c r="OIN14" s="108"/>
      <c r="OIO14" s="109"/>
      <c r="OIP14" s="107" t="s">
        <v>1</v>
      </c>
      <c r="OIQ14" s="108"/>
      <c r="OIR14" s="108"/>
      <c r="OIS14" s="109"/>
      <c r="OIT14" s="107" t="s">
        <v>1</v>
      </c>
      <c r="OIU14" s="108"/>
      <c r="OIV14" s="108"/>
      <c r="OIW14" s="109"/>
      <c r="OIX14" s="107" t="s">
        <v>1</v>
      </c>
      <c r="OIY14" s="108"/>
      <c r="OIZ14" s="108"/>
      <c r="OJA14" s="109"/>
      <c r="OJB14" s="107" t="s">
        <v>1</v>
      </c>
      <c r="OJC14" s="108"/>
      <c r="OJD14" s="108"/>
      <c r="OJE14" s="109"/>
      <c r="OJF14" s="107" t="s">
        <v>1</v>
      </c>
      <c r="OJG14" s="108"/>
      <c r="OJH14" s="108"/>
      <c r="OJI14" s="109"/>
      <c r="OJJ14" s="107" t="s">
        <v>1</v>
      </c>
      <c r="OJK14" s="108"/>
      <c r="OJL14" s="108"/>
      <c r="OJM14" s="109"/>
      <c r="OJN14" s="107" t="s">
        <v>1</v>
      </c>
      <c r="OJO14" s="108"/>
      <c r="OJP14" s="108"/>
      <c r="OJQ14" s="109"/>
      <c r="OJR14" s="107" t="s">
        <v>1</v>
      </c>
      <c r="OJS14" s="108"/>
      <c r="OJT14" s="108"/>
      <c r="OJU14" s="109"/>
      <c r="OJV14" s="107" t="s">
        <v>1</v>
      </c>
      <c r="OJW14" s="108"/>
      <c r="OJX14" s="108"/>
      <c r="OJY14" s="109"/>
      <c r="OJZ14" s="107" t="s">
        <v>1</v>
      </c>
      <c r="OKA14" s="108"/>
      <c r="OKB14" s="108"/>
      <c r="OKC14" s="109"/>
      <c r="OKD14" s="107" t="s">
        <v>1</v>
      </c>
      <c r="OKE14" s="108"/>
      <c r="OKF14" s="108"/>
      <c r="OKG14" s="109"/>
      <c r="OKH14" s="107" t="s">
        <v>1</v>
      </c>
      <c r="OKI14" s="108"/>
      <c r="OKJ14" s="108"/>
      <c r="OKK14" s="109"/>
      <c r="OKL14" s="107" t="s">
        <v>1</v>
      </c>
      <c r="OKM14" s="108"/>
      <c r="OKN14" s="108"/>
      <c r="OKO14" s="109"/>
      <c r="OKP14" s="107" t="s">
        <v>1</v>
      </c>
      <c r="OKQ14" s="108"/>
      <c r="OKR14" s="108"/>
      <c r="OKS14" s="109"/>
      <c r="OKT14" s="107" t="s">
        <v>1</v>
      </c>
      <c r="OKU14" s="108"/>
      <c r="OKV14" s="108"/>
      <c r="OKW14" s="109"/>
      <c r="OKX14" s="107" t="s">
        <v>1</v>
      </c>
      <c r="OKY14" s="108"/>
      <c r="OKZ14" s="108"/>
      <c r="OLA14" s="109"/>
      <c r="OLB14" s="107" t="s">
        <v>1</v>
      </c>
      <c r="OLC14" s="108"/>
      <c r="OLD14" s="108"/>
      <c r="OLE14" s="109"/>
      <c r="OLF14" s="107" t="s">
        <v>1</v>
      </c>
      <c r="OLG14" s="108"/>
      <c r="OLH14" s="108"/>
      <c r="OLI14" s="109"/>
      <c r="OLJ14" s="107" t="s">
        <v>1</v>
      </c>
      <c r="OLK14" s="108"/>
      <c r="OLL14" s="108"/>
      <c r="OLM14" s="109"/>
      <c r="OLN14" s="107" t="s">
        <v>1</v>
      </c>
      <c r="OLO14" s="108"/>
      <c r="OLP14" s="108"/>
      <c r="OLQ14" s="109"/>
      <c r="OLR14" s="107" t="s">
        <v>1</v>
      </c>
      <c r="OLS14" s="108"/>
      <c r="OLT14" s="108"/>
      <c r="OLU14" s="109"/>
      <c r="OLV14" s="107" t="s">
        <v>1</v>
      </c>
      <c r="OLW14" s="108"/>
      <c r="OLX14" s="108"/>
      <c r="OLY14" s="109"/>
      <c r="OLZ14" s="107" t="s">
        <v>1</v>
      </c>
      <c r="OMA14" s="108"/>
      <c r="OMB14" s="108"/>
      <c r="OMC14" s="109"/>
      <c r="OMD14" s="107" t="s">
        <v>1</v>
      </c>
      <c r="OME14" s="108"/>
      <c r="OMF14" s="108"/>
      <c r="OMG14" s="109"/>
      <c r="OMH14" s="107" t="s">
        <v>1</v>
      </c>
      <c r="OMI14" s="108"/>
      <c r="OMJ14" s="108"/>
      <c r="OMK14" s="109"/>
      <c r="OML14" s="107" t="s">
        <v>1</v>
      </c>
      <c r="OMM14" s="108"/>
      <c r="OMN14" s="108"/>
      <c r="OMO14" s="109"/>
      <c r="OMP14" s="107" t="s">
        <v>1</v>
      </c>
      <c r="OMQ14" s="108"/>
      <c r="OMR14" s="108"/>
      <c r="OMS14" s="109"/>
      <c r="OMT14" s="107" t="s">
        <v>1</v>
      </c>
      <c r="OMU14" s="108"/>
      <c r="OMV14" s="108"/>
      <c r="OMW14" s="109"/>
      <c r="OMX14" s="107" t="s">
        <v>1</v>
      </c>
      <c r="OMY14" s="108"/>
      <c r="OMZ14" s="108"/>
      <c r="ONA14" s="109"/>
      <c r="ONB14" s="107" t="s">
        <v>1</v>
      </c>
      <c r="ONC14" s="108"/>
      <c r="OND14" s="108"/>
      <c r="ONE14" s="109"/>
      <c r="ONF14" s="107" t="s">
        <v>1</v>
      </c>
      <c r="ONG14" s="108"/>
      <c r="ONH14" s="108"/>
      <c r="ONI14" s="109"/>
      <c r="ONJ14" s="107" t="s">
        <v>1</v>
      </c>
      <c r="ONK14" s="108"/>
      <c r="ONL14" s="108"/>
      <c r="ONM14" s="109"/>
      <c r="ONN14" s="107" t="s">
        <v>1</v>
      </c>
      <c r="ONO14" s="108"/>
      <c r="ONP14" s="108"/>
      <c r="ONQ14" s="109"/>
      <c r="ONR14" s="107" t="s">
        <v>1</v>
      </c>
      <c r="ONS14" s="108"/>
      <c r="ONT14" s="108"/>
      <c r="ONU14" s="109"/>
      <c r="ONV14" s="107" t="s">
        <v>1</v>
      </c>
      <c r="ONW14" s="108"/>
      <c r="ONX14" s="108"/>
      <c r="ONY14" s="109"/>
      <c r="ONZ14" s="107" t="s">
        <v>1</v>
      </c>
      <c r="OOA14" s="108"/>
      <c r="OOB14" s="108"/>
      <c r="OOC14" s="109"/>
      <c r="OOD14" s="107" t="s">
        <v>1</v>
      </c>
      <c r="OOE14" s="108"/>
      <c r="OOF14" s="108"/>
      <c r="OOG14" s="109"/>
      <c r="OOH14" s="107" t="s">
        <v>1</v>
      </c>
      <c r="OOI14" s="108"/>
      <c r="OOJ14" s="108"/>
      <c r="OOK14" s="109"/>
      <c r="OOL14" s="107" t="s">
        <v>1</v>
      </c>
      <c r="OOM14" s="108"/>
      <c r="OON14" s="108"/>
      <c r="OOO14" s="109"/>
      <c r="OOP14" s="107" t="s">
        <v>1</v>
      </c>
      <c r="OOQ14" s="108"/>
      <c r="OOR14" s="108"/>
      <c r="OOS14" s="109"/>
      <c r="OOT14" s="107" t="s">
        <v>1</v>
      </c>
      <c r="OOU14" s="108"/>
      <c r="OOV14" s="108"/>
      <c r="OOW14" s="109"/>
      <c r="OOX14" s="107" t="s">
        <v>1</v>
      </c>
      <c r="OOY14" s="108"/>
      <c r="OOZ14" s="108"/>
      <c r="OPA14" s="109"/>
      <c r="OPB14" s="107" t="s">
        <v>1</v>
      </c>
      <c r="OPC14" s="108"/>
      <c r="OPD14" s="108"/>
      <c r="OPE14" s="109"/>
      <c r="OPF14" s="107" t="s">
        <v>1</v>
      </c>
      <c r="OPG14" s="108"/>
      <c r="OPH14" s="108"/>
      <c r="OPI14" s="109"/>
      <c r="OPJ14" s="107" t="s">
        <v>1</v>
      </c>
      <c r="OPK14" s="108"/>
      <c r="OPL14" s="108"/>
      <c r="OPM14" s="109"/>
      <c r="OPN14" s="107" t="s">
        <v>1</v>
      </c>
      <c r="OPO14" s="108"/>
      <c r="OPP14" s="108"/>
      <c r="OPQ14" s="109"/>
      <c r="OPR14" s="107" t="s">
        <v>1</v>
      </c>
      <c r="OPS14" s="108"/>
      <c r="OPT14" s="108"/>
      <c r="OPU14" s="109"/>
      <c r="OPV14" s="107" t="s">
        <v>1</v>
      </c>
      <c r="OPW14" s="108"/>
      <c r="OPX14" s="108"/>
      <c r="OPY14" s="109"/>
      <c r="OPZ14" s="107" t="s">
        <v>1</v>
      </c>
      <c r="OQA14" s="108"/>
      <c r="OQB14" s="108"/>
      <c r="OQC14" s="109"/>
      <c r="OQD14" s="107" t="s">
        <v>1</v>
      </c>
      <c r="OQE14" s="108"/>
      <c r="OQF14" s="108"/>
      <c r="OQG14" s="109"/>
      <c r="OQH14" s="107" t="s">
        <v>1</v>
      </c>
      <c r="OQI14" s="108"/>
      <c r="OQJ14" s="108"/>
      <c r="OQK14" s="109"/>
      <c r="OQL14" s="107" t="s">
        <v>1</v>
      </c>
      <c r="OQM14" s="108"/>
      <c r="OQN14" s="108"/>
      <c r="OQO14" s="109"/>
      <c r="OQP14" s="107" t="s">
        <v>1</v>
      </c>
      <c r="OQQ14" s="108"/>
      <c r="OQR14" s="108"/>
      <c r="OQS14" s="109"/>
      <c r="OQT14" s="107" t="s">
        <v>1</v>
      </c>
      <c r="OQU14" s="108"/>
      <c r="OQV14" s="108"/>
      <c r="OQW14" s="109"/>
      <c r="OQX14" s="107" t="s">
        <v>1</v>
      </c>
      <c r="OQY14" s="108"/>
      <c r="OQZ14" s="108"/>
      <c r="ORA14" s="109"/>
      <c r="ORB14" s="107" t="s">
        <v>1</v>
      </c>
      <c r="ORC14" s="108"/>
      <c r="ORD14" s="108"/>
      <c r="ORE14" s="109"/>
      <c r="ORF14" s="107" t="s">
        <v>1</v>
      </c>
      <c r="ORG14" s="108"/>
      <c r="ORH14" s="108"/>
      <c r="ORI14" s="109"/>
      <c r="ORJ14" s="107" t="s">
        <v>1</v>
      </c>
      <c r="ORK14" s="108"/>
      <c r="ORL14" s="108"/>
      <c r="ORM14" s="109"/>
      <c r="ORN14" s="107" t="s">
        <v>1</v>
      </c>
      <c r="ORO14" s="108"/>
      <c r="ORP14" s="108"/>
      <c r="ORQ14" s="109"/>
      <c r="ORR14" s="107" t="s">
        <v>1</v>
      </c>
      <c r="ORS14" s="108"/>
      <c r="ORT14" s="108"/>
      <c r="ORU14" s="109"/>
      <c r="ORV14" s="107" t="s">
        <v>1</v>
      </c>
      <c r="ORW14" s="108"/>
      <c r="ORX14" s="108"/>
      <c r="ORY14" s="109"/>
      <c r="ORZ14" s="107" t="s">
        <v>1</v>
      </c>
      <c r="OSA14" s="108"/>
      <c r="OSB14" s="108"/>
      <c r="OSC14" s="109"/>
      <c r="OSD14" s="107" t="s">
        <v>1</v>
      </c>
      <c r="OSE14" s="108"/>
      <c r="OSF14" s="108"/>
      <c r="OSG14" s="109"/>
      <c r="OSH14" s="107" t="s">
        <v>1</v>
      </c>
      <c r="OSI14" s="108"/>
      <c r="OSJ14" s="108"/>
      <c r="OSK14" s="109"/>
      <c r="OSL14" s="107" t="s">
        <v>1</v>
      </c>
      <c r="OSM14" s="108"/>
      <c r="OSN14" s="108"/>
      <c r="OSO14" s="109"/>
      <c r="OSP14" s="107" t="s">
        <v>1</v>
      </c>
      <c r="OSQ14" s="108"/>
      <c r="OSR14" s="108"/>
      <c r="OSS14" s="109"/>
      <c r="OST14" s="107" t="s">
        <v>1</v>
      </c>
      <c r="OSU14" s="108"/>
      <c r="OSV14" s="108"/>
      <c r="OSW14" s="109"/>
      <c r="OSX14" s="107" t="s">
        <v>1</v>
      </c>
      <c r="OSY14" s="108"/>
      <c r="OSZ14" s="108"/>
      <c r="OTA14" s="109"/>
      <c r="OTB14" s="107" t="s">
        <v>1</v>
      </c>
      <c r="OTC14" s="108"/>
      <c r="OTD14" s="108"/>
      <c r="OTE14" s="109"/>
      <c r="OTF14" s="107" t="s">
        <v>1</v>
      </c>
      <c r="OTG14" s="108"/>
      <c r="OTH14" s="108"/>
      <c r="OTI14" s="109"/>
      <c r="OTJ14" s="107" t="s">
        <v>1</v>
      </c>
      <c r="OTK14" s="108"/>
      <c r="OTL14" s="108"/>
      <c r="OTM14" s="109"/>
      <c r="OTN14" s="107" t="s">
        <v>1</v>
      </c>
      <c r="OTO14" s="108"/>
      <c r="OTP14" s="108"/>
      <c r="OTQ14" s="109"/>
      <c r="OTR14" s="107" t="s">
        <v>1</v>
      </c>
      <c r="OTS14" s="108"/>
      <c r="OTT14" s="108"/>
      <c r="OTU14" s="109"/>
      <c r="OTV14" s="107" t="s">
        <v>1</v>
      </c>
      <c r="OTW14" s="108"/>
      <c r="OTX14" s="108"/>
      <c r="OTY14" s="109"/>
      <c r="OTZ14" s="107" t="s">
        <v>1</v>
      </c>
      <c r="OUA14" s="108"/>
      <c r="OUB14" s="108"/>
      <c r="OUC14" s="109"/>
      <c r="OUD14" s="107" t="s">
        <v>1</v>
      </c>
      <c r="OUE14" s="108"/>
      <c r="OUF14" s="108"/>
      <c r="OUG14" s="109"/>
      <c r="OUH14" s="107" t="s">
        <v>1</v>
      </c>
      <c r="OUI14" s="108"/>
      <c r="OUJ14" s="108"/>
      <c r="OUK14" s="109"/>
      <c r="OUL14" s="107" t="s">
        <v>1</v>
      </c>
      <c r="OUM14" s="108"/>
      <c r="OUN14" s="108"/>
      <c r="OUO14" s="109"/>
      <c r="OUP14" s="107" t="s">
        <v>1</v>
      </c>
      <c r="OUQ14" s="108"/>
      <c r="OUR14" s="108"/>
      <c r="OUS14" s="109"/>
      <c r="OUT14" s="107" t="s">
        <v>1</v>
      </c>
      <c r="OUU14" s="108"/>
      <c r="OUV14" s="108"/>
      <c r="OUW14" s="109"/>
      <c r="OUX14" s="107" t="s">
        <v>1</v>
      </c>
      <c r="OUY14" s="108"/>
      <c r="OUZ14" s="108"/>
      <c r="OVA14" s="109"/>
      <c r="OVB14" s="107" t="s">
        <v>1</v>
      </c>
      <c r="OVC14" s="108"/>
      <c r="OVD14" s="108"/>
      <c r="OVE14" s="109"/>
      <c r="OVF14" s="107" t="s">
        <v>1</v>
      </c>
      <c r="OVG14" s="108"/>
      <c r="OVH14" s="108"/>
      <c r="OVI14" s="109"/>
      <c r="OVJ14" s="107" t="s">
        <v>1</v>
      </c>
      <c r="OVK14" s="108"/>
      <c r="OVL14" s="108"/>
      <c r="OVM14" s="109"/>
      <c r="OVN14" s="107" t="s">
        <v>1</v>
      </c>
      <c r="OVO14" s="108"/>
      <c r="OVP14" s="108"/>
      <c r="OVQ14" s="109"/>
      <c r="OVR14" s="107" t="s">
        <v>1</v>
      </c>
      <c r="OVS14" s="108"/>
      <c r="OVT14" s="108"/>
      <c r="OVU14" s="109"/>
      <c r="OVV14" s="107" t="s">
        <v>1</v>
      </c>
      <c r="OVW14" s="108"/>
      <c r="OVX14" s="108"/>
      <c r="OVY14" s="109"/>
      <c r="OVZ14" s="107" t="s">
        <v>1</v>
      </c>
      <c r="OWA14" s="108"/>
      <c r="OWB14" s="108"/>
      <c r="OWC14" s="109"/>
      <c r="OWD14" s="107" t="s">
        <v>1</v>
      </c>
      <c r="OWE14" s="108"/>
      <c r="OWF14" s="108"/>
      <c r="OWG14" s="109"/>
      <c r="OWH14" s="107" t="s">
        <v>1</v>
      </c>
      <c r="OWI14" s="108"/>
      <c r="OWJ14" s="108"/>
      <c r="OWK14" s="109"/>
      <c r="OWL14" s="107" t="s">
        <v>1</v>
      </c>
      <c r="OWM14" s="108"/>
      <c r="OWN14" s="108"/>
      <c r="OWO14" s="109"/>
      <c r="OWP14" s="107" t="s">
        <v>1</v>
      </c>
      <c r="OWQ14" s="108"/>
      <c r="OWR14" s="108"/>
      <c r="OWS14" s="109"/>
      <c r="OWT14" s="107" t="s">
        <v>1</v>
      </c>
      <c r="OWU14" s="108"/>
      <c r="OWV14" s="108"/>
      <c r="OWW14" s="109"/>
      <c r="OWX14" s="107" t="s">
        <v>1</v>
      </c>
      <c r="OWY14" s="108"/>
      <c r="OWZ14" s="108"/>
      <c r="OXA14" s="109"/>
      <c r="OXB14" s="107" t="s">
        <v>1</v>
      </c>
      <c r="OXC14" s="108"/>
      <c r="OXD14" s="108"/>
      <c r="OXE14" s="109"/>
      <c r="OXF14" s="107" t="s">
        <v>1</v>
      </c>
      <c r="OXG14" s="108"/>
      <c r="OXH14" s="108"/>
      <c r="OXI14" s="109"/>
      <c r="OXJ14" s="107" t="s">
        <v>1</v>
      </c>
      <c r="OXK14" s="108"/>
      <c r="OXL14" s="108"/>
      <c r="OXM14" s="109"/>
      <c r="OXN14" s="107" t="s">
        <v>1</v>
      </c>
      <c r="OXO14" s="108"/>
      <c r="OXP14" s="108"/>
      <c r="OXQ14" s="109"/>
      <c r="OXR14" s="107" t="s">
        <v>1</v>
      </c>
      <c r="OXS14" s="108"/>
      <c r="OXT14" s="108"/>
      <c r="OXU14" s="109"/>
      <c r="OXV14" s="107" t="s">
        <v>1</v>
      </c>
      <c r="OXW14" s="108"/>
      <c r="OXX14" s="108"/>
      <c r="OXY14" s="109"/>
      <c r="OXZ14" s="107" t="s">
        <v>1</v>
      </c>
      <c r="OYA14" s="108"/>
      <c r="OYB14" s="108"/>
      <c r="OYC14" s="109"/>
      <c r="OYD14" s="107" t="s">
        <v>1</v>
      </c>
      <c r="OYE14" s="108"/>
      <c r="OYF14" s="108"/>
      <c r="OYG14" s="109"/>
      <c r="OYH14" s="107" t="s">
        <v>1</v>
      </c>
      <c r="OYI14" s="108"/>
      <c r="OYJ14" s="108"/>
      <c r="OYK14" s="109"/>
      <c r="OYL14" s="107" t="s">
        <v>1</v>
      </c>
      <c r="OYM14" s="108"/>
      <c r="OYN14" s="108"/>
      <c r="OYO14" s="109"/>
      <c r="OYP14" s="107" t="s">
        <v>1</v>
      </c>
      <c r="OYQ14" s="108"/>
      <c r="OYR14" s="108"/>
      <c r="OYS14" s="109"/>
      <c r="OYT14" s="107" t="s">
        <v>1</v>
      </c>
      <c r="OYU14" s="108"/>
      <c r="OYV14" s="108"/>
      <c r="OYW14" s="109"/>
      <c r="OYX14" s="107" t="s">
        <v>1</v>
      </c>
      <c r="OYY14" s="108"/>
      <c r="OYZ14" s="108"/>
      <c r="OZA14" s="109"/>
      <c r="OZB14" s="107" t="s">
        <v>1</v>
      </c>
      <c r="OZC14" s="108"/>
      <c r="OZD14" s="108"/>
      <c r="OZE14" s="109"/>
      <c r="OZF14" s="107" t="s">
        <v>1</v>
      </c>
      <c r="OZG14" s="108"/>
      <c r="OZH14" s="108"/>
      <c r="OZI14" s="109"/>
      <c r="OZJ14" s="107" t="s">
        <v>1</v>
      </c>
      <c r="OZK14" s="108"/>
      <c r="OZL14" s="108"/>
      <c r="OZM14" s="109"/>
      <c r="OZN14" s="107" t="s">
        <v>1</v>
      </c>
      <c r="OZO14" s="108"/>
      <c r="OZP14" s="108"/>
      <c r="OZQ14" s="109"/>
      <c r="OZR14" s="107" t="s">
        <v>1</v>
      </c>
      <c r="OZS14" s="108"/>
      <c r="OZT14" s="108"/>
      <c r="OZU14" s="109"/>
      <c r="OZV14" s="107" t="s">
        <v>1</v>
      </c>
      <c r="OZW14" s="108"/>
      <c r="OZX14" s="108"/>
      <c r="OZY14" s="109"/>
      <c r="OZZ14" s="107" t="s">
        <v>1</v>
      </c>
      <c r="PAA14" s="108"/>
      <c r="PAB14" s="108"/>
      <c r="PAC14" s="109"/>
      <c r="PAD14" s="107" t="s">
        <v>1</v>
      </c>
      <c r="PAE14" s="108"/>
      <c r="PAF14" s="108"/>
      <c r="PAG14" s="109"/>
      <c r="PAH14" s="107" t="s">
        <v>1</v>
      </c>
      <c r="PAI14" s="108"/>
      <c r="PAJ14" s="108"/>
      <c r="PAK14" s="109"/>
      <c r="PAL14" s="107" t="s">
        <v>1</v>
      </c>
      <c r="PAM14" s="108"/>
      <c r="PAN14" s="108"/>
      <c r="PAO14" s="109"/>
      <c r="PAP14" s="107" t="s">
        <v>1</v>
      </c>
      <c r="PAQ14" s="108"/>
      <c r="PAR14" s="108"/>
      <c r="PAS14" s="109"/>
      <c r="PAT14" s="107" t="s">
        <v>1</v>
      </c>
      <c r="PAU14" s="108"/>
      <c r="PAV14" s="108"/>
      <c r="PAW14" s="109"/>
      <c r="PAX14" s="107" t="s">
        <v>1</v>
      </c>
      <c r="PAY14" s="108"/>
      <c r="PAZ14" s="108"/>
      <c r="PBA14" s="109"/>
      <c r="PBB14" s="107" t="s">
        <v>1</v>
      </c>
      <c r="PBC14" s="108"/>
      <c r="PBD14" s="108"/>
      <c r="PBE14" s="109"/>
      <c r="PBF14" s="107" t="s">
        <v>1</v>
      </c>
      <c r="PBG14" s="108"/>
      <c r="PBH14" s="108"/>
      <c r="PBI14" s="109"/>
      <c r="PBJ14" s="107" t="s">
        <v>1</v>
      </c>
      <c r="PBK14" s="108"/>
      <c r="PBL14" s="108"/>
      <c r="PBM14" s="109"/>
      <c r="PBN14" s="107" t="s">
        <v>1</v>
      </c>
      <c r="PBO14" s="108"/>
      <c r="PBP14" s="108"/>
      <c r="PBQ14" s="109"/>
      <c r="PBR14" s="107" t="s">
        <v>1</v>
      </c>
      <c r="PBS14" s="108"/>
      <c r="PBT14" s="108"/>
      <c r="PBU14" s="109"/>
      <c r="PBV14" s="107" t="s">
        <v>1</v>
      </c>
      <c r="PBW14" s="108"/>
      <c r="PBX14" s="108"/>
      <c r="PBY14" s="109"/>
      <c r="PBZ14" s="107" t="s">
        <v>1</v>
      </c>
      <c r="PCA14" s="108"/>
      <c r="PCB14" s="108"/>
      <c r="PCC14" s="109"/>
      <c r="PCD14" s="107" t="s">
        <v>1</v>
      </c>
      <c r="PCE14" s="108"/>
      <c r="PCF14" s="108"/>
      <c r="PCG14" s="109"/>
      <c r="PCH14" s="107" t="s">
        <v>1</v>
      </c>
      <c r="PCI14" s="108"/>
      <c r="PCJ14" s="108"/>
      <c r="PCK14" s="109"/>
      <c r="PCL14" s="107" t="s">
        <v>1</v>
      </c>
      <c r="PCM14" s="108"/>
      <c r="PCN14" s="108"/>
      <c r="PCO14" s="109"/>
      <c r="PCP14" s="107" t="s">
        <v>1</v>
      </c>
      <c r="PCQ14" s="108"/>
      <c r="PCR14" s="108"/>
      <c r="PCS14" s="109"/>
      <c r="PCT14" s="107" t="s">
        <v>1</v>
      </c>
      <c r="PCU14" s="108"/>
      <c r="PCV14" s="108"/>
      <c r="PCW14" s="109"/>
      <c r="PCX14" s="107" t="s">
        <v>1</v>
      </c>
      <c r="PCY14" s="108"/>
      <c r="PCZ14" s="108"/>
      <c r="PDA14" s="109"/>
      <c r="PDB14" s="107" t="s">
        <v>1</v>
      </c>
      <c r="PDC14" s="108"/>
      <c r="PDD14" s="108"/>
      <c r="PDE14" s="109"/>
      <c r="PDF14" s="107" t="s">
        <v>1</v>
      </c>
      <c r="PDG14" s="108"/>
      <c r="PDH14" s="108"/>
      <c r="PDI14" s="109"/>
      <c r="PDJ14" s="107" t="s">
        <v>1</v>
      </c>
      <c r="PDK14" s="108"/>
      <c r="PDL14" s="108"/>
      <c r="PDM14" s="109"/>
      <c r="PDN14" s="107" t="s">
        <v>1</v>
      </c>
      <c r="PDO14" s="108"/>
      <c r="PDP14" s="108"/>
      <c r="PDQ14" s="109"/>
      <c r="PDR14" s="107" t="s">
        <v>1</v>
      </c>
      <c r="PDS14" s="108"/>
      <c r="PDT14" s="108"/>
      <c r="PDU14" s="109"/>
      <c r="PDV14" s="107" t="s">
        <v>1</v>
      </c>
      <c r="PDW14" s="108"/>
      <c r="PDX14" s="108"/>
      <c r="PDY14" s="109"/>
      <c r="PDZ14" s="107" t="s">
        <v>1</v>
      </c>
      <c r="PEA14" s="108"/>
      <c r="PEB14" s="108"/>
      <c r="PEC14" s="109"/>
      <c r="PED14" s="107" t="s">
        <v>1</v>
      </c>
      <c r="PEE14" s="108"/>
      <c r="PEF14" s="108"/>
      <c r="PEG14" s="109"/>
      <c r="PEH14" s="107" t="s">
        <v>1</v>
      </c>
      <c r="PEI14" s="108"/>
      <c r="PEJ14" s="108"/>
      <c r="PEK14" s="109"/>
      <c r="PEL14" s="107" t="s">
        <v>1</v>
      </c>
      <c r="PEM14" s="108"/>
      <c r="PEN14" s="108"/>
      <c r="PEO14" s="109"/>
      <c r="PEP14" s="107" t="s">
        <v>1</v>
      </c>
      <c r="PEQ14" s="108"/>
      <c r="PER14" s="108"/>
      <c r="PES14" s="109"/>
      <c r="PET14" s="107" t="s">
        <v>1</v>
      </c>
      <c r="PEU14" s="108"/>
      <c r="PEV14" s="108"/>
      <c r="PEW14" s="109"/>
      <c r="PEX14" s="107" t="s">
        <v>1</v>
      </c>
      <c r="PEY14" s="108"/>
      <c r="PEZ14" s="108"/>
      <c r="PFA14" s="109"/>
      <c r="PFB14" s="107" t="s">
        <v>1</v>
      </c>
      <c r="PFC14" s="108"/>
      <c r="PFD14" s="108"/>
      <c r="PFE14" s="109"/>
      <c r="PFF14" s="107" t="s">
        <v>1</v>
      </c>
      <c r="PFG14" s="108"/>
      <c r="PFH14" s="108"/>
      <c r="PFI14" s="109"/>
      <c r="PFJ14" s="107" t="s">
        <v>1</v>
      </c>
      <c r="PFK14" s="108"/>
      <c r="PFL14" s="108"/>
      <c r="PFM14" s="109"/>
      <c r="PFN14" s="107" t="s">
        <v>1</v>
      </c>
      <c r="PFO14" s="108"/>
      <c r="PFP14" s="108"/>
      <c r="PFQ14" s="109"/>
      <c r="PFR14" s="107" t="s">
        <v>1</v>
      </c>
      <c r="PFS14" s="108"/>
      <c r="PFT14" s="108"/>
      <c r="PFU14" s="109"/>
      <c r="PFV14" s="107" t="s">
        <v>1</v>
      </c>
      <c r="PFW14" s="108"/>
      <c r="PFX14" s="108"/>
      <c r="PFY14" s="109"/>
      <c r="PFZ14" s="107" t="s">
        <v>1</v>
      </c>
      <c r="PGA14" s="108"/>
      <c r="PGB14" s="108"/>
      <c r="PGC14" s="109"/>
      <c r="PGD14" s="107" t="s">
        <v>1</v>
      </c>
      <c r="PGE14" s="108"/>
      <c r="PGF14" s="108"/>
      <c r="PGG14" s="109"/>
      <c r="PGH14" s="107" t="s">
        <v>1</v>
      </c>
      <c r="PGI14" s="108"/>
      <c r="PGJ14" s="108"/>
      <c r="PGK14" s="109"/>
      <c r="PGL14" s="107" t="s">
        <v>1</v>
      </c>
      <c r="PGM14" s="108"/>
      <c r="PGN14" s="108"/>
      <c r="PGO14" s="109"/>
      <c r="PGP14" s="107" t="s">
        <v>1</v>
      </c>
      <c r="PGQ14" s="108"/>
      <c r="PGR14" s="108"/>
      <c r="PGS14" s="109"/>
      <c r="PGT14" s="107" t="s">
        <v>1</v>
      </c>
      <c r="PGU14" s="108"/>
      <c r="PGV14" s="108"/>
      <c r="PGW14" s="109"/>
      <c r="PGX14" s="107" t="s">
        <v>1</v>
      </c>
      <c r="PGY14" s="108"/>
      <c r="PGZ14" s="108"/>
      <c r="PHA14" s="109"/>
      <c r="PHB14" s="107" t="s">
        <v>1</v>
      </c>
      <c r="PHC14" s="108"/>
      <c r="PHD14" s="108"/>
      <c r="PHE14" s="109"/>
      <c r="PHF14" s="107" t="s">
        <v>1</v>
      </c>
      <c r="PHG14" s="108"/>
      <c r="PHH14" s="108"/>
      <c r="PHI14" s="109"/>
      <c r="PHJ14" s="107" t="s">
        <v>1</v>
      </c>
      <c r="PHK14" s="108"/>
      <c r="PHL14" s="108"/>
      <c r="PHM14" s="109"/>
      <c r="PHN14" s="107" t="s">
        <v>1</v>
      </c>
      <c r="PHO14" s="108"/>
      <c r="PHP14" s="108"/>
      <c r="PHQ14" s="109"/>
      <c r="PHR14" s="107" t="s">
        <v>1</v>
      </c>
      <c r="PHS14" s="108"/>
      <c r="PHT14" s="108"/>
      <c r="PHU14" s="109"/>
      <c r="PHV14" s="107" t="s">
        <v>1</v>
      </c>
      <c r="PHW14" s="108"/>
      <c r="PHX14" s="108"/>
      <c r="PHY14" s="109"/>
      <c r="PHZ14" s="107" t="s">
        <v>1</v>
      </c>
      <c r="PIA14" s="108"/>
      <c r="PIB14" s="108"/>
      <c r="PIC14" s="109"/>
      <c r="PID14" s="107" t="s">
        <v>1</v>
      </c>
      <c r="PIE14" s="108"/>
      <c r="PIF14" s="108"/>
      <c r="PIG14" s="109"/>
      <c r="PIH14" s="107" t="s">
        <v>1</v>
      </c>
      <c r="PII14" s="108"/>
      <c r="PIJ14" s="108"/>
      <c r="PIK14" s="109"/>
      <c r="PIL14" s="107" t="s">
        <v>1</v>
      </c>
      <c r="PIM14" s="108"/>
      <c r="PIN14" s="108"/>
      <c r="PIO14" s="109"/>
      <c r="PIP14" s="107" t="s">
        <v>1</v>
      </c>
      <c r="PIQ14" s="108"/>
      <c r="PIR14" s="108"/>
      <c r="PIS14" s="109"/>
      <c r="PIT14" s="107" t="s">
        <v>1</v>
      </c>
      <c r="PIU14" s="108"/>
      <c r="PIV14" s="108"/>
      <c r="PIW14" s="109"/>
      <c r="PIX14" s="107" t="s">
        <v>1</v>
      </c>
      <c r="PIY14" s="108"/>
      <c r="PIZ14" s="108"/>
      <c r="PJA14" s="109"/>
      <c r="PJB14" s="107" t="s">
        <v>1</v>
      </c>
      <c r="PJC14" s="108"/>
      <c r="PJD14" s="108"/>
      <c r="PJE14" s="109"/>
      <c r="PJF14" s="107" t="s">
        <v>1</v>
      </c>
      <c r="PJG14" s="108"/>
      <c r="PJH14" s="108"/>
      <c r="PJI14" s="109"/>
      <c r="PJJ14" s="107" t="s">
        <v>1</v>
      </c>
      <c r="PJK14" s="108"/>
      <c r="PJL14" s="108"/>
      <c r="PJM14" s="109"/>
      <c r="PJN14" s="107" t="s">
        <v>1</v>
      </c>
      <c r="PJO14" s="108"/>
      <c r="PJP14" s="108"/>
      <c r="PJQ14" s="109"/>
      <c r="PJR14" s="107" t="s">
        <v>1</v>
      </c>
      <c r="PJS14" s="108"/>
      <c r="PJT14" s="108"/>
      <c r="PJU14" s="109"/>
      <c r="PJV14" s="107" t="s">
        <v>1</v>
      </c>
      <c r="PJW14" s="108"/>
      <c r="PJX14" s="108"/>
      <c r="PJY14" s="109"/>
      <c r="PJZ14" s="107" t="s">
        <v>1</v>
      </c>
      <c r="PKA14" s="108"/>
      <c r="PKB14" s="108"/>
      <c r="PKC14" s="109"/>
      <c r="PKD14" s="107" t="s">
        <v>1</v>
      </c>
      <c r="PKE14" s="108"/>
      <c r="PKF14" s="108"/>
      <c r="PKG14" s="109"/>
      <c r="PKH14" s="107" t="s">
        <v>1</v>
      </c>
      <c r="PKI14" s="108"/>
      <c r="PKJ14" s="108"/>
      <c r="PKK14" s="109"/>
      <c r="PKL14" s="107" t="s">
        <v>1</v>
      </c>
      <c r="PKM14" s="108"/>
      <c r="PKN14" s="108"/>
      <c r="PKO14" s="109"/>
      <c r="PKP14" s="107" t="s">
        <v>1</v>
      </c>
      <c r="PKQ14" s="108"/>
      <c r="PKR14" s="108"/>
      <c r="PKS14" s="109"/>
      <c r="PKT14" s="107" t="s">
        <v>1</v>
      </c>
      <c r="PKU14" s="108"/>
      <c r="PKV14" s="108"/>
      <c r="PKW14" s="109"/>
      <c r="PKX14" s="107" t="s">
        <v>1</v>
      </c>
      <c r="PKY14" s="108"/>
      <c r="PKZ14" s="108"/>
      <c r="PLA14" s="109"/>
      <c r="PLB14" s="107" t="s">
        <v>1</v>
      </c>
      <c r="PLC14" s="108"/>
      <c r="PLD14" s="108"/>
      <c r="PLE14" s="109"/>
      <c r="PLF14" s="107" t="s">
        <v>1</v>
      </c>
      <c r="PLG14" s="108"/>
      <c r="PLH14" s="108"/>
      <c r="PLI14" s="109"/>
      <c r="PLJ14" s="107" t="s">
        <v>1</v>
      </c>
      <c r="PLK14" s="108"/>
      <c r="PLL14" s="108"/>
      <c r="PLM14" s="109"/>
      <c r="PLN14" s="107" t="s">
        <v>1</v>
      </c>
      <c r="PLO14" s="108"/>
      <c r="PLP14" s="108"/>
      <c r="PLQ14" s="109"/>
      <c r="PLR14" s="107" t="s">
        <v>1</v>
      </c>
      <c r="PLS14" s="108"/>
      <c r="PLT14" s="108"/>
      <c r="PLU14" s="109"/>
      <c r="PLV14" s="107" t="s">
        <v>1</v>
      </c>
      <c r="PLW14" s="108"/>
      <c r="PLX14" s="108"/>
      <c r="PLY14" s="109"/>
      <c r="PLZ14" s="107" t="s">
        <v>1</v>
      </c>
      <c r="PMA14" s="108"/>
      <c r="PMB14" s="108"/>
      <c r="PMC14" s="109"/>
      <c r="PMD14" s="107" t="s">
        <v>1</v>
      </c>
      <c r="PME14" s="108"/>
      <c r="PMF14" s="108"/>
      <c r="PMG14" s="109"/>
      <c r="PMH14" s="107" t="s">
        <v>1</v>
      </c>
      <c r="PMI14" s="108"/>
      <c r="PMJ14" s="108"/>
      <c r="PMK14" s="109"/>
      <c r="PML14" s="107" t="s">
        <v>1</v>
      </c>
      <c r="PMM14" s="108"/>
      <c r="PMN14" s="108"/>
      <c r="PMO14" s="109"/>
      <c r="PMP14" s="107" t="s">
        <v>1</v>
      </c>
      <c r="PMQ14" s="108"/>
      <c r="PMR14" s="108"/>
      <c r="PMS14" s="109"/>
      <c r="PMT14" s="107" t="s">
        <v>1</v>
      </c>
      <c r="PMU14" s="108"/>
      <c r="PMV14" s="108"/>
      <c r="PMW14" s="109"/>
      <c r="PMX14" s="107" t="s">
        <v>1</v>
      </c>
      <c r="PMY14" s="108"/>
      <c r="PMZ14" s="108"/>
      <c r="PNA14" s="109"/>
      <c r="PNB14" s="107" t="s">
        <v>1</v>
      </c>
      <c r="PNC14" s="108"/>
      <c r="PND14" s="108"/>
      <c r="PNE14" s="109"/>
      <c r="PNF14" s="107" t="s">
        <v>1</v>
      </c>
      <c r="PNG14" s="108"/>
      <c r="PNH14" s="108"/>
      <c r="PNI14" s="109"/>
      <c r="PNJ14" s="107" t="s">
        <v>1</v>
      </c>
      <c r="PNK14" s="108"/>
      <c r="PNL14" s="108"/>
      <c r="PNM14" s="109"/>
      <c r="PNN14" s="107" t="s">
        <v>1</v>
      </c>
      <c r="PNO14" s="108"/>
      <c r="PNP14" s="108"/>
      <c r="PNQ14" s="109"/>
      <c r="PNR14" s="107" t="s">
        <v>1</v>
      </c>
      <c r="PNS14" s="108"/>
      <c r="PNT14" s="108"/>
      <c r="PNU14" s="109"/>
      <c r="PNV14" s="107" t="s">
        <v>1</v>
      </c>
      <c r="PNW14" s="108"/>
      <c r="PNX14" s="108"/>
      <c r="PNY14" s="109"/>
      <c r="PNZ14" s="107" t="s">
        <v>1</v>
      </c>
      <c r="POA14" s="108"/>
      <c r="POB14" s="108"/>
      <c r="POC14" s="109"/>
      <c r="POD14" s="107" t="s">
        <v>1</v>
      </c>
      <c r="POE14" s="108"/>
      <c r="POF14" s="108"/>
      <c r="POG14" s="109"/>
      <c r="POH14" s="107" t="s">
        <v>1</v>
      </c>
      <c r="POI14" s="108"/>
      <c r="POJ14" s="108"/>
      <c r="POK14" s="109"/>
      <c r="POL14" s="107" t="s">
        <v>1</v>
      </c>
      <c r="POM14" s="108"/>
      <c r="PON14" s="108"/>
      <c r="POO14" s="109"/>
      <c r="POP14" s="107" t="s">
        <v>1</v>
      </c>
      <c r="POQ14" s="108"/>
      <c r="POR14" s="108"/>
      <c r="POS14" s="109"/>
      <c r="POT14" s="107" t="s">
        <v>1</v>
      </c>
      <c r="POU14" s="108"/>
      <c r="POV14" s="108"/>
      <c r="POW14" s="109"/>
      <c r="POX14" s="107" t="s">
        <v>1</v>
      </c>
      <c r="POY14" s="108"/>
      <c r="POZ14" s="108"/>
      <c r="PPA14" s="109"/>
      <c r="PPB14" s="107" t="s">
        <v>1</v>
      </c>
      <c r="PPC14" s="108"/>
      <c r="PPD14" s="108"/>
      <c r="PPE14" s="109"/>
      <c r="PPF14" s="107" t="s">
        <v>1</v>
      </c>
      <c r="PPG14" s="108"/>
      <c r="PPH14" s="108"/>
      <c r="PPI14" s="109"/>
      <c r="PPJ14" s="107" t="s">
        <v>1</v>
      </c>
      <c r="PPK14" s="108"/>
      <c r="PPL14" s="108"/>
      <c r="PPM14" s="109"/>
      <c r="PPN14" s="107" t="s">
        <v>1</v>
      </c>
      <c r="PPO14" s="108"/>
      <c r="PPP14" s="108"/>
      <c r="PPQ14" s="109"/>
      <c r="PPR14" s="107" t="s">
        <v>1</v>
      </c>
      <c r="PPS14" s="108"/>
      <c r="PPT14" s="108"/>
      <c r="PPU14" s="109"/>
      <c r="PPV14" s="107" t="s">
        <v>1</v>
      </c>
      <c r="PPW14" s="108"/>
      <c r="PPX14" s="108"/>
      <c r="PPY14" s="109"/>
      <c r="PPZ14" s="107" t="s">
        <v>1</v>
      </c>
      <c r="PQA14" s="108"/>
      <c r="PQB14" s="108"/>
      <c r="PQC14" s="109"/>
      <c r="PQD14" s="107" t="s">
        <v>1</v>
      </c>
      <c r="PQE14" s="108"/>
      <c r="PQF14" s="108"/>
      <c r="PQG14" s="109"/>
      <c r="PQH14" s="107" t="s">
        <v>1</v>
      </c>
      <c r="PQI14" s="108"/>
      <c r="PQJ14" s="108"/>
      <c r="PQK14" s="109"/>
      <c r="PQL14" s="107" t="s">
        <v>1</v>
      </c>
      <c r="PQM14" s="108"/>
      <c r="PQN14" s="108"/>
      <c r="PQO14" s="109"/>
      <c r="PQP14" s="107" t="s">
        <v>1</v>
      </c>
      <c r="PQQ14" s="108"/>
      <c r="PQR14" s="108"/>
      <c r="PQS14" s="109"/>
      <c r="PQT14" s="107" t="s">
        <v>1</v>
      </c>
      <c r="PQU14" s="108"/>
      <c r="PQV14" s="108"/>
      <c r="PQW14" s="109"/>
      <c r="PQX14" s="107" t="s">
        <v>1</v>
      </c>
      <c r="PQY14" s="108"/>
      <c r="PQZ14" s="108"/>
      <c r="PRA14" s="109"/>
      <c r="PRB14" s="107" t="s">
        <v>1</v>
      </c>
      <c r="PRC14" s="108"/>
      <c r="PRD14" s="108"/>
      <c r="PRE14" s="109"/>
      <c r="PRF14" s="107" t="s">
        <v>1</v>
      </c>
      <c r="PRG14" s="108"/>
      <c r="PRH14" s="108"/>
      <c r="PRI14" s="109"/>
      <c r="PRJ14" s="107" t="s">
        <v>1</v>
      </c>
      <c r="PRK14" s="108"/>
      <c r="PRL14" s="108"/>
      <c r="PRM14" s="109"/>
      <c r="PRN14" s="107" t="s">
        <v>1</v>
      </c>
      <c r="PRO14" s="108"/>
      <c r="PRP14" s="108"/>
      <c r="PRQ14" s="109"/>
      <c r="PRR14" s="107" t="s">
        <v>1</v>
      </c>
      <c r="PRS14" s="108"/>
      <c r="PRT14" s="108"/>
      <c r="PRU14" s="109"/>
      <c r="PRV14" s="107" t="s">
        <v>1</v>
      </c>
      <c r="PRW14" s="108"/>
      <c r="PRX14" s="108"/>
      <c r="PRY14" s="109"/>
      <c r="PRZ14" s="107" t="s">
        <v>1</v>
      </c>
      <c r="PSA14" s="108"/>
      <c r="PSB14" s="108"/>
      <c r="PSC14" s="109"/>
      <c r="PSD14" s="107" t="s">
        <v>1</v>
      </c>
      <c r="PSE14" s="108"/>
      <c r="PSF14" s="108"/>
      <c r="PSG14" s="109"/>
      <c r="PSH14" s="107" t="s">
        <v>1</v>
      </c>
      <c r="PSI14" s="108"/>
      <c r="PSJ14" s="108"/>
      <c r="PSK14" s="109"/>
      <c r="PSL14" s="107" t="s">
        <v>1</v>
      </c>
      <c r="PSM14" s="108"/>
      <c r="PSN14" s="108"/>
      <c r="PSO14" s="109"/>
      <c r="PSP14" s="107" t="s">
        <v>1</v>
      </c>
      <c r="PSQ14" s="108"/>
      <c r="PSR14" s="108"/>
      <c r="PSS14" s="109"/>
      <c r="PST14" s="107" t="s">
        <v>1</v>
      </c>
      <c r="PSU14" s="108"/>
      <c r="PSV14" s="108"/>
      <c r="PSW14" s="109"/>
      <c r="PSX14" s="107" t="s">
        <v>1</v>
      </c>
      <c r="PSY14" s="108"/>
      <c r="PSZ14" s="108"/>
      <c r="PTA14" s="109"/>
      <c r="PTB14" s="107" t="s">
        <v>1</v>
      </c>
      <c r="PTC14" s="108"/>
      <c r="PTD14" s="108"/>
      <c r="PTE14" s="109"/>
      <c r="PTF14" s="107" t="s">
        <v>1</v>
      </c>
      <c r="PTG14" s="108"/>
      <c r="PTH14" s="108"/>
      <c r="PTI14" s="109"/>
      <c r="PTJ14" s="107" t="s">
        <v>1</v>
      </c>
      <c r="PTK14" s="108"/>
      <c r="PTL14" s="108"/>
      <c r="PTM14" s="109"/>
      <c r="PTN14" s="107" t="s">
        <v>1</v>
      </c>
      <c r="PTO14" s="108"/>
      <c r="PTP14" s="108"/>
      <c r="PTQ14" s="109"/>
      <c r="PTR14" s="107" t="s">
        <v>1</v>
      </c>
      <c r="PTS14" s="108"/>
      <c r="PTT14" s="108"/>
      <c r="PTU14" s="109"/>
      <c r="PTV14" s="107" t="s">
        <v>1</v>
      </c>
      <c r="PTW14" s="108"/>
      <c r="PTX14" s="108"/>
      <c r="PTY14" s="109"/>
      <c r="PTZ14" s="107" t="s">
        <v>1</v>
      </c>
      <c r="PUA14" s="108"/>
      <c r="PUB14" s="108"/>
      <c r="PUC14" s="109"/>
      <c r="PUD14" s="107" t="s">
        <v>1</v>
      </c>
      <c r="PUE14" s="108"/>
      <c r="PUF14" s="108"/>
      <c r="PUG14" s="109"/>
      <c r="PUH14" s="107" t="s">
        <v>1</v>
      </c>
      <c r="PUI14" s="108"/>
      <c r="PUJ14" s="108"/>
      <c r="PUK14" s="109"/>
      <c r="PUL14" s="107" t="s">
        <v>1</v>
      </c>
      <c r="PUM14" s="108"/>
      <c r="PUN14" s="108"/>
      <c r="PUO14" s="109"/>
      <c r="PUP14" s="107" t="s">
        <v>1</v>
      </c>
      <c r="PUQ14" s="108"/>
      <c r="PUR14" s="108"/>
      <c r="PUS14" s="109"/>
      <c r="PUT14" s="107" t="s">
        <v>1</v>
      </c>
      <c r="PUU14" s="108"/>
      <c r="PUV14" s="108"/>
      <c r="PUW14" s="109"/>
      <c r="PUX14" s="107" t="s">
        <v>1</v>
      </c>
      <c r="PUY14" s="108"/>
      <c r="PUZ14" s="108"/>
      <c r="PVA14" s="109"/>
      <c r="PVB14" s="107" t="s">
        <v>1</v>
      </c>
      <c r="PVC14" s="108"/>
      <c r="PVD14" s="108"/>
      <c r="PVE14" s="109"/>
      <c r="PVF14" s="107" t="s">
        <v>1</v>
      </c>
      <c r="PVG14" s="108"/>
      <c r="PVH14" s="108"/>
      <c r="PVI14" s="109"/>
      <c r="PVJ14" s="107" t="s">
        <v>1</v>
      </c>
      <c r="PVK14" s="108"/>
      <c r="PVL14" s="108"/>
      <c r="PVM14" s="109"/>
      <c r="PVN14" s="107" t="s">
        <v>1</v>
      </c>
      <c r="PVO14" s="108"/>
      <c r="PVP14" s="108"/>
      <c r="PVQ14" s="109"/>
      <c r="PVR14" s="107" t="s">
        <v>1</v>
      </c>
      <c r="PVS14" s="108"/>
      <c r="PVT14" s="108"/>
      <c r="PVU14" s="109"/>
      <c r="PVV14" s="107" t="s">
        <v>1</v>
      </c>
      <c r="PVW14" s="108"/>
      <c r="PVX14" s="108"/>
      <c r="PVY14" s="109"/>
      <c r="PVZ14" s="107" t="s">
        <v>1</v>
      </c>
      <c r="PWA14" s="108"/>
      <c r="PWB14" s="108"/>
      <c r="PWC14" s="109"/>
      <c r="PWD14" s="107" t="s">
        <v>1</v>
      </c>
      <c r="PWE14" s="108"/>
      <c r="PWF14" s="108"/>
      <c r="PWG14" s="109"/>
      <c r="PWH14" s="107" t="s">
        <v>1</v>
      </c>
      <c r="PWI14" s="108"/>
      <c r="PWJ14" s="108"/>
      <c r="PWK14" s="109"/>
      <c r="PWL14" s="107" t="s">
        <v>1</v>
      </c>
      <c r="PWM14" s="108"/>
      <c r="PWN14" s="108"/>
      <c r="PWO14" s="109"/>
      <c r="PWP14" s="107" t="s">
        <v>1</v>
      </c>
      <c r="PWQ14" s="108"/>
      <c r="PWR14" s="108"/>
      <c r="PWS14" s="109"/>
      <c r="PWT14" s="107" t="s">
        <v>1</v>
      </c>
      <c r="PWU14" s="108"/>
      <c r="PWV14" s="108"/>
      <c r="PWW14" s="109"/>
      <c r="PWX14" s="107" t="s">
        <v>1</v>
      </c>
      <c r="PWY14" s="108"/>
      <c r="PWZ14" s="108"/>
      <c r="PXA14" s="109"/>
      <c r="PXB14" s="107" t="s">
        <v>1</v>
      </c>
      <c r="PXC14" s="108"/>
      <c r="PXD14" s="108"/>
      <c r="PXE14" s="109"/>
      <c r="PXF14" s="107" t="s">
        <v>1</v>
      </c>
      <c r="PXG14" s="108"/>
      <c r="PXH14" s="108"/>
      <c r="PXI14" s="109"/>
      <c r="PXJ14" s="107" t="s">
        <v>1</v>
      </c>
      <c r="PXK14" s="108"/>
      <c r="PXL14" s="108"/>
      <c r="PXM14" s="109"/>
      <c r="PXN14" s="107" t="s">
        <v>1</v>
      </c>
      <c r="PXO14" s="108"/>
      <c r="PXP14" s="108"/>
      <c r="PXQ14" s="109"/>
      <c r="PXR14" s="107" t="s">
        <v>1</v>
      </c>
      <c r="PXS14" s="108"/>
      <c r="PXT14" s="108"/>
      <c r="PXU14" s="109"/>
      <c r="PXV14" s="107" t="s">
        <v>1</v>
      </c>
      <c r="PXW14" s="108"/>
      <c r="PXX14" s="108"/>
      <c r="PXY14" s="109"/>
      <c r="PXZ14" s="107" t="s">
        <v>1</v>
      </c>
      <c r="PYA14" s="108"/>
      <c r="PYB14" s="108"/>
      <c r="PYC14" s="109"/>
      <c r="PYD14" s="107" t="s">
        <v>1</v>
      </c>
      <c r="PYE14" s="108"/>
      <c r="PYF14" s="108"/>
      <c r="PYG14" s="109"/>
      <c r="PYH14" s="107" t="s">
        <v>1</v>
      </c>
      <c r="PYI14" s="108"/>
      <c r="PYJ14" s="108"/>
      <c r="PYK14" s="109"/>
      <c r="PYL14" s="107" t="s">
        <v>1</v>
      </c>
      <c r="PYM14" s="108"/>
      <c r="PYN14" s="108"/>
      <c r="PYO14" s="109"/>
      <c r="PYP14" s="107" t="s">
        <v>1</v>
      </c>
      <c r="PYQ14" s="108"/>
      <c r="PYR14" s="108"/>
      <c r="PYS14" s="109"/>
      <c r="PYT14" s="107" t="s">
        <v>1</v>
      </c>
      <c r="PYU14" s="108"/>
      <c r="PYV14" s="108"/>
      <c r="PYW14" s="109"/>
      <c r="PYX14" s="107" t="s">
        <v>1</v>
      </c>
      <c r="PYY14" s="108"/>
      <c r="PYZ14" s="108"/>
      <c r="PZA14" s="109"/>
      <c r="PZB14" s="107" t="s">
        <v>1</v>
      </c>
      <c r="PZC14" s="108"/>
      <c r="PZD14" s="108"/>
      <c r="PZE14" s="109"/>
      <c r="PZF14" s="107" t="s">
        <v>1</v>
      </c>
      <c r="PZG14" s="108"/>
      <c r="PZH14" s="108"/>
      <c r="PZI14" s="109"/>
      <c r="PZJ14" s="107" t="s">
        <v>1</v>
      </c>
      <c r="PZK14" s="108"/>
      <c r="PZL14" s="108"/>
      <c r="PZM14" s="109"/>
      <c r="PZN14" s="107" t="s">
        <v>1</v>
      </c>
      <c r="PZO14" s="108"/>
      <c r="PZP14" s="108"/>
      <c r="PZQ14" s="109"/>
      <c r="PZR14" s="107" t="s">
        <v>1</v>
      </c>
      <c r="PZS14" s="108"/>
      <c r="PZT14" s="108"/>
      <c r="PZU14" s="109"/>
      <c r="PZV14" s="107" t="s">
        <v>1</v>
      </c>
      <c r="PZW14" s="108"/>
      <c r="PZX14" s="108"/>
      <c r="PZY14" s="109"/>
      <c r="PZZ14" s="107" t="s">
        <v>1</v>
      </c>
      <c r="QAA14" s="108"/>
      <c r="QAB14" s="108"/>
      <c r="QAC14" s="109"/>
      <c r="QAD14" s="107" t="s">
        <v>1</v>
      </c>
      <c r="QAE14" s="108"/>
      <c r="QAF14" s="108"/>
      <c r="QAG14" s="109"/>
      <c r="QAH14" s="107" t="s">
        <v>1</v>
      </c>
      <c r="QAI14" s="108"/>
      <c r="QAJ14" s="108"/>
      <c r="QAK14" s="109"/>
      <c r="QAL14" s="107" t="s">
        <v>1</v>
      </c>
      <c r="QAM14" s="108"/>
      <c r="QAN14" s="108"/>
      <c r="QAO14" s="109"/>
      <c r="QAP14" s="107" t="s">
        <v>1</v>
      </c>
      <c r="QAQ14" s="108"/>
      <c r="QAR14" s="108"/>
      <c r="QAS14" s="109"/>
      <c r="QAT14" s="107" t="s">
        <v>1</v>
      </c>
      <c r="QAU14" s="108"/>
      <c r="QAV14" s="108"/>
      <c r="QAW14" s="109"/>
      <c r="QAX14" s="107" t="s">
        <v>1</v>
      </c>
      <c r="QAY14" s="108"/>
      <c r="QAZ14" s="108"/>
      <c r="QBA14" s="109"/>
      <c r="QBB14" s="107" t="s">
        <v>1</v>
      </c>
      <c r="QBC14" s="108"/>
      <c r="QBD14" s="108"/>
      <c r="QBE14" s="109"/>
      <c r="QBF14" s="107" t="s">
        <v>1</v>
      </c>
      <c r="QBG14" s="108"/>
      <c r="QBH14" s="108"/>
      <c r="QBI14" s="109"/>
      <c r="QBJ14" s="107" t="s">
        <v>1</v>
      </c>
      <c r="QBK14" s="108"/>
      <c r="QBL14" s="108"/>
      <c r="QBM14" s="109"/>
      <c r="QBN14" s="107" t="s">
        <v>1</v>
      </c>
      <c r="QBO14" s="108"/>
      <c r="QBP14" s="108"/>
      <c r="QBQ14" s="109"/>
      <c r="QBR14" s="107" t="s">
        <v>1</v>
      </c>
      <c r="QBS14" s="108"/>
      <c r="QBT14" s="108"/>
      <c r="QBU14" s="109"/>
      <c r="QBV14" s="107" t="s">
        <v>1</v>
      </c>
      <c r="QBW14" s="108"/>
      <c r="QBX14" s="108"/>
      <c r="QBY14" s="109"/>
      <c r="QBZ14" s="107" t="s">
        <v>1</v>
      </c>
      <c r="QCA14" s="108"/>
      <c r="QCB14" s="108"/>
      <c r="QCC14" s="109"/>
      <c r="QCD14" s="107" t="s">
        <v>1</v>
      </c>
      <c r="QCE14" s="108"/>
      <c r="QCF14" s="108"/>
      <c r="QCG14" s="109"/>
      <c r="QCH14" s="107" t="s">
        <v>1</v>
      </c>
      <c r="QCI14" s="108"/>
      <c r="QCJ14" s="108"/>
      <c r="QCK14" s="109"/>
      <c r="QCL14" s="107" t="s">
        <v>1</v>
      </c>
      <c r="QCM14" s="108"/>
      <c r="QCN14" s="108"/>
      <c r="QCO14" s="109"/>
      <c r="QCP14" s="107" t="s">
        <v>1</v>
      </c>
      <c r="QCQ14" s="108"/>
      <c r="QCR14" s="108"/>
      <c r="QCS14" s="109"/>
      <c r="QCT14" s="107" t="s">
        <v>1</v>
      </c>
      <c r="QCU14" s="108"/>
      <c r="QCV14" s="108"/>
      <c r="QCW14" s="109"/>
      <c r="QCX14" s="107" t="s">
        <v>1</v>
      </c>
      <c r="QCY14" s="108"/>
      <c r="QCZ14" s="108"/>
      <c r="QDA14" s="109"/>
      <c r="QDB14" s="107" t="s">
        <v>1</v>
      </c>
      <c r="QDC14" s="108"/>
      <c r="QDD14" s="108"/>
      <c r="QDE14" s="109"/>
      <c r="QDF14" s="107" t="s">
        <v>1</v>
      </c>
      <c r="QDG14" s="108"/>
      <c r="QDH14" s="108"/>
      <c r="QDI14" s="109"/>
      <c r="QDJ14" s="107" t="s">
        <v>1</v>
      </c>
      <c r="QDK14" s="108"/>
      <c r="QDL14" s="108"/>
      <c r="QDM14" s="109"/>
      <c r="QDN14" s="107" t="s">
        <v>1</v>
      </c>
      <c r="QDO14" s="108"/>
      <c r="QDP14" s="108"/>
      <c r="QDQ14" s="109"/>
      <c r="QDR14" s="107" t="s">
        <v>1</v>
      </c>
      <c r="QDS14" s="108"/>
      <c r="QDT14" s="108"/>
      <c r="QDU14" s="109"/>
      <c r="QDV14" s="107" t="s">
        <v>1</v>
      </c>
      <c r="QDW14" s="108"/>
      <c r="QDX14" s="108"/>
      <c r="QDY14" s="109"/>
      <c r="QDZ14" s="107" t="s">
        <v>1</v>
      </c>
      <c r="QEA14" s="108"/>
      <c r="QEB14" s="108"/>
      <c r="QEC14" s="109"/>
      <c r="QED14" s="107" t="s">
        <v>1</v>
      </c>
      <c r="QEE14" s="108"/>
      <c r="QEF14" s="108"/>
      <c r="QEG14" s="109"/>
      <c r="QEH14" s="107" t="s">
        <v>1</v>
      </c>
      <c r="QEI14" s="108"/>
      <c r="QEJ14" s="108"/>
      <c r="QEK14" s="109"/>
      <c r="QEL14" s="107" t="s">
        <v>1</v>
      </c>
      <c r="QEM14" s="108"/>
      <c r="QEN14" s="108"/>
      <c r="QEO14" s="109"/>
      <c r="QEP14" s="107" t="s">
        <v>1</v>
      </c>
      <c r="QEQ14" s="108"/>
      <c r="QER14" s="108"/>
      <c r="QES14" s="109"/>
      <c r="QET14" s="107" t="s">
        <v>1</v>
      </c>
      <c r="QEU14" s="108"/>
      <c r="QEV14" s="108"/>
      <c r="QEW14" s="109"/>
      <c r="QEX14" s="107" t="s">
        <v>1</v>
      </c>
      <c r="QEY14" s="108"/>
      <c r="QEZ14" s="108"/>
      <c r="QFA14" s="109"/>
      <c r="QFB14" s="107" t="s">
        <v>1</v>
      </c>
      <c r="QFC14" s="108"/>
      <c r="QFD14" s="108"/>
      <c r="QFE14" s="109"/>
      <c r="QFF14" s="107" t="s">
        <v>1</v>
      </c>
      <c r="QFG14" s="108"/>
      <c r="QFH14" s="108"/>
      <c r="QFI14" s="109"/>
      <c r="QFJ14" s="107" t="s">
        <v>1</v>
      </c>
      <c r="QFK14" s="108"/>
      <c r="QFL14" s="108"/>
      <c r="QFM14" s="109"/>
      <c r="QFN14" s="107" t="s">
        <v>1</v>
      </c>
      <c r="QFO14" s="108"/>
      <c r="QFP14" s="108"/>
      <c r="QFQ14" s="109"/>
      <c r="QFR14" s="107" t="s">
        <v>1</v>
      </c>
      <c r="QFS14" s="108"/>
      <c r="QFT14" s="108"/>
      <c r="QFU14" s="109"/>
      <c r="QFV14" s="107" t="s">
        <v>1</v>
      </c>
      <c r="QFW14" s="108"/>
      <c r="QFX14" s="108"/>
      <c r="QFY14" s="109"/>
      <c r="QFZ14" s="107" t="s">
        <v>1</v>
      </c>
      <c r="QGA14" s="108"/>
      <c r="QGB14" s="108"/>
      <c r="QGC14" s="109"/>
      <c r="QGD14" s="107" t="s">
        <v>1</v>
      </c>
      <c r="QGE14" s="108"/>
      <c r="QGF14" s="108"/>
      <c r="QGG14" s="109"/>
      <c r="QGH14" s="107" t="s">
        <v>1</v>
      </c>
      <c r="QGI14" s="108"/>
      <c r="QGJ14" s="108"/>
      <c r="QGK14" s="109"/>
      <c r="QGL14" s="107" t="s">
        <v>1</v>
      </c>
      <c r="QGM14" s="108"/>
      <c r="QGN14" s="108"/>
      <c r="QGO14" s="109"/>
      <c r="QGP14" s="107" t="s">
        <v>1</v>
      </c>
      <c r="QGQ14" s="108"/>
      <c r="QGR14" s="108"/>
      <c r="QGS14" s="109"/>
      <c r="QGT14" s="107" t="s">
        <v>1</v>
      </c>
      <c r="QGU14" s="108"/>
      <c r="QGV14" s="108"/>
      <c r="QGW14" s="109"/>
      <c r="QGX14" s="107" t="s">
        <v>1</v>
      </c>
      <c r="QGY14" s="108"/>
      <c r="QGZ14" s="108"/>
      <c r="QHA14" s="109"/>
      <c r="QHB14" s="107" t="s">
        <v>1</v>
      </c>
      <c r="QHC14" s="108"/>
      <c r="QHD14" s="108"/>
      <c r="QHE14" s="109"/>
      <c r="QHF14" s="107" t="s">
        <v>1</v>
      </c>
      <c r="QHG14" s="108"/>
      <c r="QHH14" s="108"/>
      <c r="QHI14" s="109"/>
      <c r="QHJ14" s="107" t="s">
        <v>1</v>
      </c>
      <c r="QHK14" s="108"/>
      <c r="QHL14" s="108"/>
      <c r="QHM14" s="109"/>
      <c r="QHN14" s="107" t="s">
        <v>1</v>
      </c>
      <c r="QHO14" s="108"/>
      <c r="QHP14" s="108"/>
      <c r="QHQ14" s="109"/>
      <c r="QHR14" s="107" t="s">
        <v>1</v>
      </c>
      <c r="QHS14" s="108"/>
      <c r="QHT14" s="108"/>
      <c r="QHU14" s="109"/>
      <c r="QHV14" s="107" t="s">
        <v>1</v>
      </c>
      <c r="QHW14" s="108"/>
      <c r="QHX14" s="108"/>
      <c r="QHY14" s="109"/>
      <c r="QHZ14" s="107" t="s">
        <v>1</v>
      </c>
      <c r="QIA14" s="108"/>
      <c r="QIB14" s="108"/>
      <c r="QIC14" s="109"/>
      <c r="QID14" s="107" t="s">
        <v>1</v>
      </c>
      <c r="QIE14" s="108"/>
      <c r="QIF14" s="108"/>
      <c r="QIG14" s="109"/>
      <c r="QIH14" s="107" t="s">
        <v>1</v>
      </c>
      <c r="QII14" s="108"/>
      <c r="QIJ14" s="108"/>
      <c r="QIK14" s="109"/>
      <c r="QIL14" s="107" t="s">
        <v>1</v>
      </c>
      <c r="QIM14" s="108"/>
      <c r="QIN14" s="108"/>
      <c r="QIO14" s="109"/>
      <c r="QIP14" s="107" t="s">
        <v>1</v>
      </c>
      <c r="QIQ14" s="108"/>
      <c r="QIR14" s="108"/>
      <c r="QIS14" s="109"/>
      <c r="QIT14" s="107" t="s">
        <v>1</v>
      </c>
      <c r="QIU14" s="108"/>
      <c r="QIV14" s="108"/>
      <c r="QIW14" s="109"/>
      <c r="QIX14" s="107" t="s">
        <v>1</v>
      </c>
      <c r="QIY14" s="108"/>
      <c r="QIZ14" s="108"/>
      <c r="QJA14" s="109"/>
      <c r="QJB14" s="107" t="s">
        <v>1</v>
      </c>
      <c r="QJC14" s="108"/>
      <c r="QJD14" s="108"/>
      <c r="QJE14" s="109"/>
      <c r="QJF14" s="107" t="s">
        <v>1</v>
      </c>
      <c r="QJG14" s="108"/>
      <c r="QJH14" s="108"/>
      <c r="QJI14" s="109"/>
      <c r="QJJ14" s="107" t="s">
        <v>1</v>
      </c>
      <c r="QJK14" s="108"/>
      <c r="QJL14" s="108"/>
      <c r="QJM14" s="109"/>
      <c r="QJN14" s="107" t="s">
        <v>1</v>
      </c>
      <c r="QJO14" s="108"/>
      <c r="QJP14" s="108"/>
      <c r="QJQ14" s="109"/>
      <c r="QJR14" s="107" t="s">
        <v>1</v>
      </c>
      <c r="QJS14" s="108"/>
      <c r="QJT14" s="108"/>
      <c r="QJU14" s="109"/>
      <c r="QJV14" s="107" t="s">
        <v>1</v>
      </c>
      <c r="QJW14" s="108"/>
      <c r="QJX14" s="108"/>
      <c r="QJY14" s="109"/>
      <c r="QJZ14" s="107" t="s">
        <v>1</v>
      </c>
      <c r="QKA14" s="108"/>
      <c r="QKB14" s="108"/>
      <c r="QKC14" s="109"/>
      <c r="QKD14" s="107" t="s">
        <v>1</v>
      </c>
      <c r="QKE14" s="108"/>
      <c r="QKF14" s="108"/>
      <c r="QKG14" s="109"/>
      <c r="QKH14" s="107" t="s">
        <v>1</v>
      </c>
      <c r="QKI14" s="108"/>
      <c r="QKJ14" s="108"/>
      <c r="QKK14" s="109"/>
      <c r="QKL14" s="107" t="s">
        <v>1</v>
      </c>
      <c r="QKM14" s="108"/>
      <c r="QKN14" s="108"/>
      <c r="QKO14" s="109"/>
      <c r="QKP14" s="107" t="s">
        <v>1</v>
      </c>
      <c r="QKQ14" s="108"/>
      <c r="QKR14" s="108"/>
      <c r="QKS14" s="109"/>
      <c r="QKT14" s="107" t="s">
        <v>1</v>
      </c>
      <c r="QKU14" s="108"/>
      <c r="QKV14" s="108"/>
      <c r="QKW14" s="109"/>
      <c r="QKX14" s="107" t="s">
        <v>1</v>
      </c>
      <c r="QKY14" s="108"/>
      <c r="QKZ14" s="108"/>
      <c r="QLA14" s="109"/>
      <c r="QLB14" s="107" t="s">
        <v>1</v>
      </c>
      <c r="QLC14" s="108"/>
      <c r="QLD14" s="108"/>
      <c r="QLE14" s="109"/>
      <c r="QLF14" s="107" t="s">
        <v>1</v>
      </c>
      <c r="QLG14" s="108"/>
      <c r="QLH14" s="108"/>
      <c r="QLI14" s="109"/>
      <c r="QLJ14" s="107" t="s">
        <v>1</v>
      </c>
      <c r="QLK14" s="108"/>
      <c r="QLL14" s="108"/>
      <c r="QLM14" s="109"/>
      <c r="QLN14" s="107" t="s">
        <v>1</v>
      </c>
      <c r="QLO14" s="108"/>
      <c r="QLP14" s="108"/>
      <c r="QLQ14" s="109"/>
      <c r="QLR14" s="107" t="s">
        <v>1</v>
      </c>
      <c r="QLS14" s="108"/>
      <c r="QLT14" s="108"/>
      <c r="QLU14" s="109"/>
      <c r="QLV14" s="107" t="s">
        <v>1</v>
      </c>
      <c r="QLW14" s="108"/>
      <c r="QLX14" s="108"/>
      <c r="QLY14" s="109"/>
      <c r="QLZ14" s="107" t="s">
        <v>1</v>
      </c>
      <c r="QMA14" s="108"/>
      <c r="QMB14" s="108"/>
      <c r="QMC14" s="109"/>
      <c r="QMD14" s="107" t="s">
        <v>1</v>
      </c>
      <c r="QME14" s="108"/>
      <c r="QMF14" s="108"/>
      <c r="QMG14" s="109"/>
      <c r="QMH14" s="107" t="s">
        <v>1</v>
      </c>
      <c r="QMI14" s="108"/>
      <c r="QMJ14" s="108"/>
      <c r="QMK14" s="109"/>
      <c r="QML14" s="107" t="s">
        <v>1</v>
      </c>
      <c r="QMM14" s="108"/>
      <c r="QMN14" s="108"/>
      <c r="QMO14" s="109"/>
      <c r="QMP14" s="107" t="s">
        <v>1</v>
      </c>
      <c r="QMQ14" s="108"/>
      <c r="QMR14" s="108"/>
      <c r="QMS14" s="109"/>
      <c r="QMT14" s="107" t="s">
        <v>1</v>
      </c>
      <c r="QMU14" s="108"/>
      <c r="QMV14" s="108"/>
      <c r="QMW14" s="109"/>
      <c r="QMX14" s="107" t="s">
        <v>1</v>
      </c>
      <c r="QMY14" s="108"/>
      <c r="QMZ14" s="108"/>
      <c r="QNA14" s="109"/>
      <c r="QNB14" s="107" t="s">
        <v>1</v>
      </c>
      <c r="QNC14" s="108"/>
      <c r="QND14" s="108"/>
      <c r="QNE14" s="109"/>
      <c r="QNF14" s="107" t="s">
        <v>1</v>
      </c>
      <c r="QNG14" s="108"/>
      <c r="QNH14" s="108"/>
      <c r="QNI14" s="109"/>
      <c r="QNJ14" s="107" t="s">
        <v>1</v>
      </c>
      <c r="QNK14" s="108"/>
      <c r="QNL14" s="108"/>
      <c r="QNM14" s="109"/>
      <c r="QNN14" s="107" t="s">
        <v>1</v>
      </c>
      <c r="QNO14" s="108"/>
      <c r="QNP14" s="108"/>
      <c r="QNQ14" s="109"/>
      <c r="QNR14" s="107" t="s">
        <v>1</v>
      </c>
      <c r="QNS14" s="108"/>
      <c r="QNT14" s="108"/>
      <c r="QNU14" s="109"/>
      <c r="QNV14" s="107" t="s">
        <v>1</v>
      </c>
      <c r="QNW14" s="108"/>
      <c r="QNX14" s="108"/>
      <c r="QNY14" s="109"/>
      <c r="QNZ14" s="107" t="s">
        <v>1</v>
      </c>
      <c r="QOA14" s="108"/>
      <c r="QOB14" s="108"/>
      <c r="QOC14" s="109"/>
      <c r="QOD14" s="107" t="s">
        <v>1</v>
      </c>
      <c r="QOE14" s="108"/>
      <c r="QOF14" s="108"/>
      <c r="QOG14" s="109"/>
      <c r="QOH14" s="107" t="s">
        <v>1</v>
      </c>
      <c r="QOI14" s="108"/>
      <c r="QOJ14" s="108"/>
      <c r="QOK14" s="109"/>
      <c r="QOL14" s="107" t="s">
        <v>1</v>
      </c>
      <c r="QOM14" s="108"/>
      <c r="QON14" s="108"/>
      <c r="QOO14" s="109"/>
      <c r="QOP14" s="107" t="s">
        <v>1</v>
      </c>
      <c r="QOQ14" s="108"/>
      <c r="QOR14" s="108"/>
      <c r="QOS14" s="109"/>
      <c r="QOT14" s="107" t="s">
        <v>1</v>
      </c>
      <c r="QOU14" s="108"/>
      <c r="QOV14" s="108"/>
      <c r="QOW14" s="109"/>
      <c r="QOX14" s="107" t="s">
        <v>1</v>
      </c>
      <c r="QOY14" s="108"/>
      <c r="QOZ14" s="108"/>
      <c r="QPA14" s="109"/>
      <c r="QPB14" s="107" t="s">
        <v>1</v>
      </c>
      <c r="QPC14" s="108"/>
      <c r="QPD14" s="108"/>
      <c r="QPE14" s="109"/>
      <c r="QPF14" s="107" t="s">
        <v>1</v>
      </c>
      <c r="QPG14" s="108"/>
      <c r="QPH14" s="108"/>
      <c r="QPI14" s="109"/>
      <c r="QPJ14" s="107" t="s">
        <v>1</v>
      </c>
      <c r="QPK14" s="108"/>
      <c r="QPL14" s="108"/>
      <c r="QPM14" s="109"/>
      <c r="QPN14" s="107" t="s">
        <v>1</v>
      </c>
      <c r="QPO14" s="108"/>
      <c r="QPP14" s="108"/>
      <c r="QPQ14" s="109"/>
      <c r="QPR14" s="107" t="s">
        <v>1</v>
      </c>
      <c r="QPS14" s="108"/>
      <c r="QPT14" s="108"/>
      <c r="QPU14" s="109"/>
      <c r="QPV14" s="107" t="s">
        <v>1</v>
      </c>
      <c r="QPW14" s="108"/>
      <c r="QPX14" s="108"/>
      <c r="QPY14" s="109"/>
      <c r="QPZ14" s="107" t="s">
        <v>1</v>
      </c>
      <c r="QQA14" s="108"/>
      <c r="QQB14" s="108"/>
      <c r="QQC14" s="109"/>
      <c r="QQD14" s="107" t="s">
        <v>1</v>
      </c>
      <c r="QQE14" s="108"/>
      <c r="QQF14" s="108"/>
      <c r="QQG14" s="109"/>
      <c r="QQH14" s="107" t="s">
        <v>1</v>
      </c>
      <c r="QQI14" s="108"/>
      <c r="QQJ14" s="108"/>
      <c r="QQK14" s="109"/>
      <c r="QQL14" s="107" t="s">
        <v>1</v>
      </c>
      <c r="QQM14" s="108"/>
      <c r="QQN14" s="108"/>
      <c r="QQO14" s="109"/>
      <c r="QQP14" s="107" t="s">
        <v>1</v>
      </c>
      <c r="QQQ14" s="108"/>
      <c r="QQR14" s="108"/>
      <c r="QQS14" s="109"/>
      <c r="QQT14" s="107" t="s">
        <v>1</v>
      </c>
      <c r="QQU14" s="108"/>
      <c r="QQV14" s="108"/>
      <c r="QQW14" s="109"/>
      <c r="QQX14" s="107" t="s">
        <v>1</v>
      </c>
      <c r="QQY14" s="108"/>
      <c r="QQZ14" s="108"/>
      <c r="QRA14" s="109"/>
      <c r="QRB14" s="107" t="s">
        <v>1</v>
      </c>
      <c r="QRC14" s="108"/>
      <c r="QRD14" s="108"/>
      <c r="QRE14" s="109"/>
      <c r="QRF14" s="107" t="s">
        <v>1</v>
      </c>
      <c r="QRG14" s="108"/>
      <c r="QRH14" s="108"/>
      <c r="QRI14" s="109"/>
      <c r="QRJ14" s="107" t="s">
        <v>1</v>
      </c>
      <c r="QRK14" s="108"/>
      <c r="QRL14" s="108"/>
      <c r="QRM14" s="109"/>
      <c r="QRN14" s="107" t="s">
        <v>1</v>
      </c>
      <c r="QRO14" s="108"/>
      <c r="QRP14" s="108"/>
      <c r="QRQ14" s="109"/>
      <c r="QRR14" s="107" t="s">
        <v>1</v>
      </c>
      <c r="QRS14" s="108"/>
      <c r="QRT14" s="108"/>
      <c r="QRU14" s="109"/>
      <c r="QRV14" s="107" t="s">
        <v>1</v>
      </c>
      <c r="QRW14" s="108"/>
      <c r="QRX14" s="108"/>
      <c r="QRY14" s="109"/>
      <c r="QRZ14" s="107" t="s">
        <v>1</v>
      </c>
      <c r="QSA14" s="108"/>
      <c r="QSB14" s="108"/>
      <c r="QSC14" s="109"/>
      <c r="QSD14" s="107" t="s">
        <v>1</v>
      </c>
      <c r="QSE14" s="108"/>
      <c r="QSF14" s="108"/>
      <c r="QSG14" s="109"/>
      <c r="QSH14" s="107" t="s">
        <v>1</v>
      </c>
      <c r="QSI14" s="108"/>
      <c r="QSJ14" s="108"/>
      <c r="QSK14" s="109"/>
      <c r="QSL14" s="107" t="s">
        <v>1</v>
      </c>
      <c r="QSM14" s="108"/>
      <c r="QSN14" s="108"/>
      <c r="QSO14" s="109"/>
      <c r="QSP14" s="107" t="s">
        <v>1</v>
      </c>
      <c r="QSQ14" s="108"/>
      <c r="QSR14" s="108"/>
      <c r="QSS14" s="109"/>
      <c r="QST14" s="107" t="s">
        <v>1</v>
      </c>
      <c r="QSU14" s="108"/>
      <c r="QSV14" s="108"/>
      <c r="QSW14" s="109"/>
      <c r="QSX14" s="107" t="s">
        <v>1</v>
      </c>
      <c r="QSY14" s="108"/>
      <c r="QSZ14" s="108"/>
      <c r="QTA14" s="109"/>
      <c r="QTB14" s="107" t="s">
        <v>1</v>
      </c>
      <c r="QTC14" s="108"/>
      <c r="QTD14" s="108"/>
      <c r="QTE14" s="109"/>
      <c r="QTF14" s="107" t="s">
        <v>1</v>
      </c>
      <c r="QTG14" s="108"/>
      <c r="QTH14" s="108"/>
      <c r="QTI14" s="109"/>
      <c r="QTJ14" s="107" t="s">
        <v>1</v>
      </c>
      <c r="QTK14" s="108"/>
      <c r="QTL14" s="108"/>
      <c r="QTM14" s="109"/>
      <c r="QTN14" s="107" t="s">
        <v>1</v>
      </c>
      <c r="QTO14" s="108"/>
      <c r="QTP14" s="108"/>
      <c r="QTQ14" s="109"/>
      <c r="QTR14" s="107" t="s">
        <v>1</v>
      </c>
      <c r="QTS14" s="108"/>
      <c r="QTT14" s="108"/>
      <c r="QTU14" s="109"/>
      <c r="QTV14" s="107" t="s">
        <v>1</v>
      </c>
      <c r="QTW14" s="108"/>
      <c r="QTX14" s="108"/>
      <c r="QTY14" s="109"/>
      <c r="QTZ14" s="107" t="s">
        <v>1</v>
      </c>
      <c r="QUA14" s="108"/>
      <c r="QUB14" s="108"/>
      <c r="QUC14" s="109"/>
      <c r="QUD14" s="107" t="s">
        <v>1</v>
      </c>
      <c r="QUE14" s="108"/>
      <c r="QUF14" s="108"/>
      <c r="QUG14" s="109"/>
      <c r="QUH14" s="107" t="s">
        <v>1</v>
      </c>
      <c r="QUI14" s="108"/>
      <c r="QUJ14" s="108"/>
      <c r="QUK14" s="109"/>
      <c r="QUL14" s="107" t="s">
        <v>1</v>
      </c>
      <c r="QUM14" s="108"/>
      <c r="QUN14" s="108"/>
      <c r="QUO14" s="109"/>
      <c r="QUP14" s="107" t="s">
        <v>1</v>
      </c>
      <c r="QUQ14" s="108"/>
      <c r="QUR14" s="108"/>
      <c r="QUS14" s="109"/>
      <c r="QUT14" s="107" t="s">
        <v>1</v>
      </c>
      <c r="QUU14" s="108"/>
      <c r="QUV14" s="108"/>
      <c r="QUW14" s="109"/>
      <c r="QUX14" s="107" t="s">
        <v>1</v>
      </c>
      <c r="QUY14" s="108"/>
      <c r="QUZ14" s="108"/>
      <c r="QVA14" s="109"/>
      <c r="QVB14" s="107" t="s">
        <v>1</v>
      </c>
      <c r="QVC14" s="108"/>
      <c r="QVD14" s="108"/>
      <c r="QVE14" s="109"/>
      <c r="QVF14" s="107" t="s">
        <v>1</v>
      </c>
      <c r="QVG14" s="108"/>
      <c r="QVH14" s="108"/>
      <c r="QVI14" s="109"/>
      <c r="QVJ14" s="107" t="s">
        <v>1</v>
      </c>
      <c r="QVK14" s="108"/>
      <c r="QVL14" s="108"/>
      <c r="QVM14" s="109"/>
      <c r="QVN14" s="107" t="s">
        <v>1</v>
      </c>
      <c r="QVO14" s="108"/>
      <c r="QVP14" s="108"/>
      <c r="QVQ14" s="109"/>
      <c r="QVR14" s="107" t="s">
        <v>1</v>
      </c>
      <c r="QVS14" s="108"/>
      <c r="QVT14" s="108"/>
      <c r="QVU14" s="109"/>
      <c r="QVV14" s="107" t="s">
        <v>1</v>
      </c>
      <c r="QVW14" s="108"/>
      <c r="QVX14" s="108"/>
      <c r="QVY14" s="109"/>
      <c r="QVZ14" s="107" t="s">
        <v>1</v>
      </c>
      <c r="QWA14" s="108"/>
      <c r="QWB14" s="108"/>
      <c r="QWC14" s="109"/>
      <c r="QWD14" s="107" t="s">
        <v>1</v>
      </c>
      <c r="QWE14" s="108"/>
      <c r="QWF14" s="108"/>
      <c r="QWG14" s="109"/>
      <c r="QWH14" s="107" t="s">
        <v>1</v>
      </c>
      <c r="QWI14" s="108"/>
      <c r="QWJ14" s="108"/>
      <c r="QWK14" s="109"/>
      <c r="QWL14" s="107" t="s">
        <v>1</v>
      </c>
      <c r="QWM14" s="108"/>
      <c r="QWN14" s="108"/>
      <c r="QWO14" s="109"/>
      <c r="QWP14" s="107" t="s">
        <v>1</v>
      </c>
      <c r="QWQ14" s="108"/>
      <c r="QWR14" s="108"/>
      <c r="QWS14" s="109"/>
      <c r="QWT14" s="107" t="s">
        <v>1</v>
      </c>
      <c r="QWU14" s="108"/>
      <c r="QWV14" s="108"/>
      <c r="QWW14" s="109"/>
      <c r="QWX14" s="107" t="s">
        <v>1</v>
      </c>
      <c r="QWY14" s="108"/>
      <c r="QWZ14" s="108"/>
      <c r="QXA14" s="109"/>
      <c r="QXB14" s="107" t="s">
        <v>1</v>
      </c>
      <c r="QXC14" s="108"/>
      <c r="QXD14" s="108"/>
      <c r="QXE14" s="109"/>
      <c r="QXF14" s="107" t="s">
        <v>1</v>
      </c>
      <c r="QXG14" s="108"/>
      <c r="QXH14" s="108"/>
      <c r="QXI14" s="109"/>
      <c r="QXJ14" s="107" t="s">
        <v>1</v>
      </c>
      <c r="QXK14" s="108"/>
      <c r="QXL14" s="108"/>
      <c r="QXM14" s="109"/>
      <c r="QXN14" s="107" t="s">
        <v>1</v>
      </c>
      <c r="QXO14" s="108"/>
      <c r="QXP14" s="108"/>
      <c r="QXQ14" s="109"/>
      <c r="QXR14" s="107" t="s">
        <v>1</v>
      </c>
      <c r="QXS14" s="108"/>
      <c r="QXT14" s="108"/>
      <c r="QXU14" s="109"/>
      <c r="QXV14" s="107" t="s">
        <v>1</v>
      </c>
      <c r="QXW14" s="108"/>
      <c r="QXX14" s="108"/>
      <c r="QXY14" s="109"/>
      <c r="QXZ14" s="107" t="s">
        <v>1</v>
      </c>
      <c r="QYA14" s="108"/>
      <c r="QYB14" s="108"/>
      <c r="QYC14" s="109"/>
      <c r="QYD14" s="107" t="s">
        <v>1</v>
      </c>
      <c r="QYE14" s="108"/>
      <c r="QYF14" s="108"/>
      <c r="QYG14" s="109"/>
      <c r="QYH14" s="107" t="s">
        <v>1</v>
      </c>
      <c r="QYI14" s="108"/>
      <c r="QYJ14" s="108"/>
      <c r="QYK14" s="109"/>
      <c r="QYL14" s="107" t="s">
        <v>1</v>
      </c>
      <c r="QYM14" s="108"/>
      <c r="QYN14" s="108"/>
      <c r="QYO14" s="109"/>
      <c r="QYP14" s="107" t="s">
        <v>1</v>
      </c>
      <c r="QYQ14" s="108"/>
      <c r="QYR14" s="108"/>
      <c r="QYS14" s="109"/>
      <c r="QYT14" s="107" t="s">
        <v>1</v>
      </c>
      <c r="QYU14" s="108"/>
      <c r="QYV14" s="108"/>
      <c r="QYW14" s="109"/>
      <c r="QYX14" s="107" t="s">
        <v>1</v>
      </c>
      <c r="QYY14" s="108"/>
      <c r="QYZ14" s="108"/>
      <c r="QZA14" s="109"/>
      <c r="QZB14" s="107" t="s">
        <v>1</v>
      </c>
      <c r="QZC14" s="108"/>
      <c r="QZD14" s="108"/>
      <c r="QZE14" s="109"/>
      <c r="QZF14" s="107" t="s">
        <v>1</v>
      </c>
      <c r="QZG14" s="108"/>
      <c r="QZH14" s="108"/>
      <c r="QZI14" s="109"/>
      <c r="QZJ14" s="107" t="s">
        <v>1</v>
      </c>
      <c r="QZK14" s="108"/>
      <c r="QZL14" s="108"/>
      <c r="QZM14" s="109"/>
      <c r="QZN14" s="107" t="s">
        <v>1</v>
      </c>
      <c r="QZO14" s="108"/>
      <c r="QZP14" s="108"/>
      <c r="QZQ14" s="109"/>
      <c r="QZR14" s="107" t="s">
        <v>1</v>
      </c>
      <c r="QZS14" s="108"/>
      <c r="QZT14" s="108"/>
      <c r="QZU14" s="109"/>
      <c r="QZV14" s="107" t="s">
        <v>1</v>
      </c>
      <c r="QZW14" s="108"/>
      <c r="QZX14" s="108"/>
      <c r="QZY14" s="109"/>
      <c r="QZZ14" s="107" t="s">
        <v>1</v>
      </c>
      <c r="RAA14" s="108"/>
      <c r="RAB14" s="108"/>
      <c r="RAC14" s="109"/>
      <c r="RAD14" s="107" t="s">
        <v>1</v>
      </c>
      <c r="RAE14" s="108"/>
      <c r="RAF14" s="108"/>
      <c r="RAG14" s="109"/>
      <c r="RAH14" s="107" t="s">
        <v>1</v>
      </c>
      <c r="RAI14" s="108"/>
      <c r="RAJ14" s="108"/>
      <c r="RAK14" s="109"/>
      <c r="RAL14" s="107" t="s">
        <v>1</v>
      </c>
      <c r="RAM14" s="108"/>
      <c r="RAN14" s="108"/>
      <c r="RAO14" s="109"/>
      <c r="RAP14" s="107" t="s">
        <v>1</v>
      </c>
      <c r="RAQ14" s="108"/>
      <c r="RAR14" s="108"/>
      <c r="RAS14" s="109"/>
      <c r="RAT14" s="107" t="s">
        <v>1</v>
      </c>
      <c r="RAU14" s="108"/>
      <c r="RAV14" s="108"/>
      <c r="RAW14" s="109"/>
      <c r="RAX14" s="107" t="s">
        <v>1</v>
      </c>
      <c r="RAY14" s="108"/>
      <c r="RAZ14" s="108"/>
      <c r="RBA14" s="109"/>
      <c r="RBB14" s="107" t="s">
        <v>1</v>
      </c>
      <c r="RBC14" s="108"/>
      <c r="RBD14" s="108"/>
      <c r="RBE14" s="109"/>
      <c r="RBF14" s="107" t="s">
        <v>1</v>
      </c>
      <c r="RBG14" s="108"/>
      <c r="RBH14" s="108"/>
      <c r="RBI14" s="109"/>
      <c r="RBJ14" s="107" t="s">
        <v>1</v>
      </c>
      <c r="RBK14" s="108"/>
      <c r="RBL14" s="108"/>
      <c r="RBM14" s="109"/>
      <c r="RBN14" s="107" t="s">
        <v>1</v>
      </c>
      <c r="RBO14" s="108"/>
      <c r="RBP14" s="108"/>
      <c r="RBQ14" s="109"/>
      <c r="RBR14" s="107" t="s">
        <v>1</v>
      </c>
      <c r="RBS14" s="108"/>
      <c r="RBT14" s="108"/>
      <c r="RBU14" s="109"/>
      <c r="RBV14" s="107" t="s">
        <v>1</v>
      </c>
      <c r="RBW14" s="108"/>
      <c r="RBX14" s="108"/>
      <c r="RBY14" s="109"/>
      <c r="RBZ14" s="107" t="s">
        <v>1</v>
      </c>
      <c r="RCA14" s="108"/>
      <c r="RCB14" s="108"/>
      <c r="RCC14" s="109"/>
      <c r="RCD14" s="107" t="s">
        <v>1</v>
      </c>
      <c r="RCE14" s="108"/>
      <c r="RCF14" s="108"/>
      <c r="RCG14" s="109"/>
      <c r="RCH14" s="107" t="s">
        <v>1</v>
      </c>
      <c r="RCI14" s="108"/>
      <c r="RCJ14" s="108"/>
      <c r="RCK14" s="109"/>
      <c r="RCL14" s="107" t="s">
        <v>1</v>
      </c>
      <c r="RCM14" s="108"/>
      <c r="RCN14" s="108"/>
      <c r="RCO14" s="109"/>
      <c r="RCP14" s="107" t="s">
        <v>1</v>
      </c>
      <c r="RCQ14" s="108"/>
      <c r="RCR14" s="108"/>
      <c r="RCS14" s="109"/>
      <c r="RCT14" s="107" t="s">
        <v>1</v>
      </c>
      <c r="RCU14" s="108"/>
      <c r="RCV14" s="108"/>
      <c r="RCW14" s="109"/>
      <c r="RCX14" s="107" t="s">
        <v>1</v>
      </c>
      <c r="RCY14" s="108"/>
      <c r="RCZ14" s="108"/>
      <c r="RDA14" s="109"/>
      <c r="RDB14" s="107" t="s">
        <v>1</v>
      </c>
      <c r="RDC14" s="108"/>
      <c r="RDD14" s="108"/>
      <c r="RDE14" s="109"/>
      <c r="RDF14" s="107" t="s">
        <v>1</v>
      </c>
      <c r="RDG14" s="108"/>
      <c r="RDH14" s="108"/>
      <c r="RDI14" s="109"/>
      <c r="RDJ14" s="107" t="s">
        <v>1</v>
      </c>
      <c r="RDK14" s="108"/>
      <c r="RDL14" s="108"/>
      <c r="RDM14" s="109"/>
      <c r="RDN14" s="107" t="s">
        <v>1</v>
      </c>
      <c r="RDO14" s="108"/>
      <c r="RDP14" s="108"/>
      <c r="RDQ14" s="109"/>
      <c r="RDR14" s="107" t="s">
        <v>1</v>
      </c>
      <c r="RDS14" s="108"/>
      <c r="RDT14" s="108"/>
      <c r="RDU14" s="109"/>
      <c r="RDV14" s="107" t="s">
        <v>1</v>
      </c>
      <c r="RDW14" s="108"/>
      <c r="RDX14" s="108"/>
      <c r="RDY14" s="109"/>
      <c r="RDZ14" s="107" t="s">
        <v>1</v>
      </c>
      <c r="REA14" s="108"/>
      <c r="REB14" s="108"/>
      <c r="REC14" s="109"/>
      <c r="RED14" s="107" t="s">
        <v>1</v>
      </c>
      <c r="REE14" s="108"/>
      <c r="REF14" s="108"/>
      <c r="REG14" s="109"/>
      <c r="REH14" s="107" t="s">
        <v>1</v>
      </c>
      <c r="REI14" s="108"/>
      <c r="REJ14" s="108"/>
      <c r="REK14" s="109"/>
      <c r="REL14" s="107" t="s">
        <v>1</v>
      </c>
      <c r="REM14" s="108"/>
      <c r="REN14" s="108"/>
      <c r="REO14" s="109"/>
      <c r="REP14" s="107" t="s">
        <v>1</v>
      </c>
      <c r="REQ14" s="108"/>
      <c r="RER14" s="108"/>
      <c r="RES14" s="109"/>
      <c r="RET14" s="107" t="s">
        <v>1</v>
      </c>
      <c r="REU14" s="108"/>
      <c r="REV14" s="108"/>
      <c r="REW14" s="109"/>
      <c r="REX14" s="107" t="s">
        <v>1</v>
      </c>
      <c r="REY14" s="108"/>
      <c r="REZ14" s="108"/>
      <c r="RFA14" s="109"/>
      <c r="RFB14" s="107" t="s">
        <v>1</v>
      </c>
      <c r="RFC14" s="108"/>
      <c r="RFD14" s="108"/>
      <c r="RFE14" s="109"/>
      <c r="RFF14" s="107" t="s">
        <v>1</v>
      </c>
      <c r="RFG14" s="108"/>
      <c r="RFH14" s="108"/>
      <c r="RFI14" s="109"/>
      <c r="RFJ14" s="107" t="s">
        <v>1</v>
      </c>
      <c r="RFK14" s="108"/>
      <c r="RFL14" s="108"/>
      <c r="RFM14" s="109"/>
      <c r="RFN14" s="107" t="s">
        <v>1</v>
      </c>
      <c r="RFO14" s="108"/>
      <c r="RFP14" s="108"/>
      <c r="RFQ14" s="109"/>
      <c r="RFR14" s="107" t="s">
        <v>1</v>
      </c>
      <c r="RFS14" s="108"/>
      <c r="RFT14" s="108"/>
      <c r="RFU14" s="109"/>
      <c r="RFV14" s="107" t="s">
        <v>1</v>
      </c>
      <c r="RFW14" s="108"/>
      <c r="RFX14" s="108"/>
      <c r="RFY14" s="109"/>
      <c r="RFZ14" s="107" t="s">
        <v>1</v>
      </c>
      <c r="RGA14" s="108"/>
      <c r="RGB14" s="108"/>
      <c r="RGC14" s="109"/>
      <c r="RGD14" s="107" t="s">
        <v>1</v>
      </c>
      <c r="RGE14" s="108"/>
      <c r="RGF14" s="108"/>
      <c r="RGG14" s="109"/>
      <c r="RGH14" s="107" t="s">
        <v>1</v>
      </c>
      <c r="RGI14" s="108"/>
      <c r="RGJ14" s="108"/>
      <c r="RGK14" s="109"/>
      <c r="RGL14" s="107" t="s">
        <v>1</v>
      </c>
      <c r="RGM14" s="108"/>
      <c r="RGN14" s="108"/>
      <c r="RGO14" s="109"/>
      <c r="RGP14" s="107" t="s">
        <v>1</v>
      </c>
      <c r="RGQ14" s="108"/>
      <c r="RGR14" s="108"/>
      <c r="RGS14" s="109"/>
      <c r="RGT14" s="107" t="s">
        <v>1</v>
      </c>
      <c r="RGU14" s="108"/>
      <c r="RGV14" s="108"/>
      <c r="RGW14" s="109"/>
      <c r="RGX14" s="107" t="s">
        <v>1</v>
      </c>
      <c r="RGY14" s="108"/>
      <c r="RGZ14" s="108"/>
      <c r="RHA14" s="109"/>
      <c r="RHB14" s="107" t="s">
        <v>1</v>
      </c>
      <c r="RHC14" s="108"/>
      <c r="RHD14" s="108"/>
      <c r="RHE14" s="109"/>
      <c r="RHF14" s="107" t="s">
        <v>1</v>
      </c>
      <c r="RHG14" s="108"/>
      <c r="RHH14" s="108"/>
      <c r="RHI14" s="109"/>
      <c r="RHJ14" s="107" t="s">
        <v>1</v>
      </c>
      <c r="RHK14" s="108"/>
      <c r="RHL14" s="108"/>
      <c r="RHM14" s="109"/>
      <c r="RHN14" s="107" t="s">
        <v>1</v>
      </c>
      <c r="RHO14" s="108"/>
      <c r="RHP14" s="108"/>
      <c r="RHQ14" s="109"/>
      <c r="RHR14" s="107" t="s">
        <v>1</v>
      </c>
      <c r="RHS14" s="108"/>
      <c r="RHT14" s="108"/>
      <c r="RHU14" s="109"/>
      <c r="RHV14" s="107" t="s">
        <v>1</v>
      </c>
      <c r="RHW14" s="108"/>
      <c r="RHX14" s="108"/>
      <c r="RHY14" s="109"/>
      <c r="RHZ14" s="107" t="s">
        <v>1</v>
      </c>
      <c r="RIA14" s="108"/>
      <c r="RIB14" s="108"/>
      <c r="RIC14" s="109"/>
      <c r="RID14" s="107" t="s">
        <v>1</v>
      </c>
      <c r="RIE14" s="108"/>
      <c r="RIF14" s="108"/>
      <c r="RIG14" s="109"/>
      <c r="RIH14" s="107" t="s">
        <v>1</v>
      </c>
      <c r="RII14" s="108"/>
      <c r="RIJ14" s="108"/>
      <c r="RIK14" s="109"/>
      <c r="RIL14" s="107" t="s">
        <v>1</v>
      </c>
      <c r="RIM14" s="108"/>
      <c r="RIN14" s="108"/>
      <c r="RIO14" s="109"/>
      <c r="RIP14" s="107" t="s">
        <v>1</v>
      </c>
      <c r="RIQ14" s="108"/>
      <c r="RIR14" s="108"/>
      <c r="RIS14" s="109"/>
      <c r="RIT14" s="107" t="s">
        <v>1</v>
      </c>
      <c r="RIU14" s="108"/>
      <c r="RIV14" s="108"/>
      <c r="RIW14" s="109"/>
      <c r="RIX14" s="107" t="s">
        <v>1</v>
      </c>
      <c r="RIY14" s="108"/>
      <c r="RIZ14" s="108"/>
      <c r="RJA14" s="109"/>
      <c r="RJB14" s="107" t="s">
        <v>1</v>
      </c>
      <c r="RJC14" s="108"/>
      <c r="RJD14" s="108"/>
      <c r="RJE14" s="109"/>
      <c r="RJF14" s="107" t="s">
        <v>1</v>
      </c>
      <c r="RJG14" s="108"/>
      <c r="RJH14" s="108"/>
      <c r="RJI14" s="109"/>
      <c r="RJJ14" s="107" t="s">
        <v>1</v>
      </c>
      <c r="RJK14" s="108"/>
      <c r="RJL14" s="108"/>
      <c r="RJM14" s="109"/>
      <c r="RJN14" s="107" t="s">
        <v>1</v>
      </c>
      <c r="RJO14" s="108"/>
      <c r="RJP14" s="108"/>
      <c r="RJQ14" s="109"/>
      <c r="RJR14" s="107" t="s">
        <v>1</v>
      </c>
      <c r="RJS14" s="108"/>
      <c r="RJT14" s="108"/>
      <c r="RJU14" s="109"/>
      <c r="RJV14" s="107" t="s">
        <v>1</v>
      </c>
      <c r="RJW14" s="108"/>
      <c r="RJX14" s="108"/>
      <c r="RJY14" s="109"/>
      <c r="RJZ14" s="107" t="s">
        <v>1</v>
      </c>
      <c r="RKA14" s="108"/>
      <c r="RKB14" s="108"/>
      <c r="RKC14" s="109"/>
      <c r="RKD14" s="107" t="s">
        <v>1</v>
      </c>
      <c r="RKE14" s="108"/>
      <c r="RKF14" s="108"/>
      <c r="RKG14" s="109"/>
      <c r="RKH14" s="107" t="s">
        <v>1</v>
      </c>
      <c r="RKI14" s="108"/>
      <c r="RKJ14" s="108"/>
      <c r="RKK14" s="109"/>
      <c r="RKL14" s="107" t="s">
        <v>1</v>
      </c>
      <c r="RKM14" s="108"/>
      <c r="RKN14" s="108"/>
      <c r="RKO14" s="109"/>
      <c r="RKP14" s="107" t="s">
        <v>1</v>
      </c>
      <c r="RKQ14" s="108"/>
      <c r="RKR14" s="108"/>
      <c r="RKS14" s="109"/>
      <c r="RKT14" s="107" t="s">
        <v>1</v>
      </c>
      <c r="RKU14" s="108"/>
      <c r="RKV14" s="108"/>
      <c r="RKW14" s="109"/>
      <c r="RKX14" s="107" t="s">
        <v>1</v>
      </c>
      <c r="RKY14" s="108"/>
      <c r="RKZ14" s="108"/>
      <c r="RLA14" s="109"/>
      <c r="RLB14" s="107" t="s">
        <v>1</v>
      </c>
      <c r="RLC14" s="108"/>
      <c r="RLD14" s="108"/>
      <c r="RLE14" s="109"/>
      <c r="RLF14" s="107" t="s">
        <v>1</v>
      </c>
      <c r="RLG14" s="108"/>
      <c r="RLH14" s="108"/>
      <c r="RLI14" s="109"/>
      <c r="RLJ14" s="107" t="s">
        <v>1</v>
      </c>
      <c r="RLK14" s="108"/>
      <c r="RLL14" s="108"/>
      <c r="RLM14" s="109"/>
      <c r="RLN14" s="107" t="s">
        <v>1</v>
      </c>
      <c r="RLO14" s="108"/>
      <c r="RLP14" s="108"/>
      <c r="RLQ14" s="109"/>
      <c r="RLR14" s="107" t="s">
        <v>1</v>
      </c>
      <c r="RLS14" s="108"/>
      <c r="RLT14" s="108"/>
      <c r="RLU14" s="109"/>
      <c r="RLV14" s="107" t="s">
        <v>1</v>
      </c>
      <c r="RLW14" s="108"/>
      <c r="RLX14" s="108"/>
      <c r="RLY14" s="109"/>
      <c r="RLZ14" s="107" t="s">
        <v>1</v>
      </c>
      <c r="RMA14" s="108"/>
      <c r="RMB14" s="108"/>
      <c r="RMC14" s="109"/>
      <c r="RMD14" s="107" t="s">
        <v>1</v>
      </c>
      <c r="RME14" s="108"/>
      <c r="RMF14" s="108"/>
      <c r="RMG14" s="109"/>
      <c r="RMH14" s="107" t="s">
        <v>1</v>
      </c>
      <c r="RMI14" s="108"/>
      <c r="RMJ14" s="108"/>
      <c r="RMK14" s="109"/>
      <c r="RML14" s="107" t="s">
        <v>1</v>
      </c>
      <c r="RMM14" s="108"/>
      <c r="RMN14" s="108"/>
      <c r="RMO14" s="109"/>
      <c r="RMP14" s="107" t="s">
        <v>1</v>
      </c>
      <c r="RMQ14" s="108"/>
      <c r="RMR14" s="108"/>
      <c r="RMS14" s="109"/>
      <c r="RMT14" s="107" t="s">
        <v>1</v>
      </c>
      <c r="RMU14" s="108"/>
      <c r="RMV14" s="108"/>
      <c r="RMW14" s="109"/>
      <c r="RMX14" s="107" t="s">
        <v>1</v>
      </c>
      <c r="RMY14" s="108"/>
      <c r="RMZ14" s="108"/>
      <c r="RNA14" s="109"/>
      <c r="RNB14" s="107" t="s">
        <v>1</v>
      </c>
      <c r="RNC14" s="108"/>
      <c r="RND14" s="108"/>
      <c r="RNE14" s="109"/>
      <c r="RNF14" s="107" t="s">
        <v>1</v>
      </c>
      <c r="RNG14" s="108"/>
      <c r="RNH14" s="108"/>
      <c r="RNI14" s="109"/>
      <c r="RNJ14" s="107" t="s">
        <v>1</v>
      </c>
      <c r="RNK14" s="108"/>
      <c r="RNL14" s="108"/>
      <c r="RNM14" s="109"/>
      <c r="RNN14" s="107" t="s">
        <v>1</v>
      </c>
      <c r="RNO14" s="108"/>
      <c r="RNP14" s="108"/>
      <c r="RNQ14" s="109"/>
      <c r="RNR14" s="107" t="s">
        <v>1</v>
      </c>
      <c r="RNS14" s="108"/>
      <c r="RNT14" s="108"/>
      <c r="RNU14" s="109"/>
      <c r="RNV14" s="107" t="s">
        <v>1</v>
      </c>
      <c r="RNW14" s="108"/>
      <c r="RNX14" s="108"/>
      <c r="RNY14" s="109"/>
      <c r="RNZ14" s="107" t="s">
        <v>1</v>
      </c>
      <c r="ROA14" s="108"/>
      <c r="ROB14" s="108"/>
      <c r="ROC14" s="109"/>
      <c r="ROD14" s="107" t="s">
        <v>1</v>
      </c>
      <c r="ROE14" s="108"/>
      <c r="ROF14" s="108"/>
      <c r="ROG14" s="109"/>
      <c r="ROH14" s="107" t="s">
        <v>1</v>
      </c>
      <c r="ROI14" s="108"/>
      <c r="ROJ14" s="108"/>
      <c r="ROK14" s="109"/>
      <c r="ROL14" s="107" t="s">
        <v>1</v>
      </c>
      <c r="ROM14" s="108"/>
      <c r="RON14" s="108"/>
      <c r="ROO14" s="109"/>
      <c r="ROP14" s="107" t="s">
        <v>1</v>
      </c>
      <c r="ROQ14" s="108"/>
      <c r="ROR14" s="108"/>
      <c r="ROS14" s="109"/>
      <c r="ROT14" s="107" t="s">
        <v>1</v>
      </c>
      <c r="ROU14" s="108"/>
      <c r="ROV14" s="108"/>
      <c r="ROW14" s="109"/>
      <c r="ROX14" s="107" t="s">
        <v>1</v>
      </c>
      <c r="ROY14" s="108"/>
      <c r="ROZ14" s="108"/>
      <c r="RPA14" s="109"/>
      <c r="RPB14" s="107" t="s">
        <v>1</v>
      </c>
      <c r="RPC14" s="108"/>
      <c r="RPD14" s="108"/>
      <c r="RPE14" s="109"/>
      <c r="RPF14" s="107" t="s">
        <v>1</v>
      </c>
      <c r="RPG14" s="108"/>
      <c r="RPH14" s="108"/>
      <c r="RPI14" s="109"/>
      <c r="RPJ14" s="107" t="s">
        <v>1</v>
      </c>
      <c r="RPK14" s="108"/>
      <c r="RPL14" s="108"/>
      <c r="RPM14" s="109"/>
      <c r="RPN14" s="107" t="s">
        <v>1</v>
      </c>
      <c r="RPO14" s="108"/>
      <c r="RPP14" s="108"/>
      <c r="RPQ14" s="109"/>
      <c r="RPR14" s="107" t="s">
        <v>1</v>
      </c>
      <c r="RPS14" s="108"/>
      <c r="RPT14" s="108"/>
      <c r="RPU14" s="109"/>
      <c r="RPV14" s="107" t="s">
        <v>1</v>
      </c>
      <c r="RPW14" s="108"/>
      <c r="RPX14" s="108"/>
      <c r="RPY14" s="109"/>
      <c r="RPZ14" s="107" t="s">
        <v>1</v>
      </c>
      <c r="RQA14" s="108"/>
      <c r="RQB14" s="108"/>
      <c r="RQC14" s="109"/>
      <c r="RQD14" s="107" t="s">
        <v>1</v>
      </c>
      <c r="RQE14" s="108"/>
      <c r="RQF14" s="108"/>
      <c r="RQG14" s="109"/>
      <c r="RQH14" s="107" t="s">
        <v>1</v>
      </c>
      <c r="RQI14" s="108"/>
      <c r="RQJ14" s="108"/>
      <c r="RQK14" s="109"/>
      <c r="RQL14" s="107" t="s">
        <v>1</v>
      </c>
      <c r="RQM14" s="108"/>
      <c r="RQN14" s="108"/>
      <c r="RQO14" s="109"/>
      <c r="RQP14" s="107" t="s">
        <v>1</v>
      </c>
      <c r="RQQ14" s="108"/>
      <c r="RQR14" s="108"/>
      <c r="RQS14" s="109"/>
      <c r="RQT14" s="107" t="s">
        <v>1</v>
      </c>
      <c r="RQU14" s="108"/>
      <c r="RQV14" s="108"/>
      <c r="RQW14" s="109"/>
      <c r="RQX14" s="107" t="s">
        <v>1</v>
      </c>
      <c r="RQY14" s="108"/>
      <c r="RQZ14" s="108"/>
      <c r="RRA14" s="109"/>
      <c r="RRB14" s="107" t="s">
        <v>1</v>
      </c>
      <c r="RRC14" s="108"/>
      <c r="RRD14" s="108"/>
      <c r="RRE14" s="109"/>
      <c r="RRF14" s="107" t="s">
        <v>1</v>
      </c>
      <c r="RRG14" s="108"/>
      <c r="RRH14" s="108"/>
      <c r="RRI14" s="109"/>
      <c r="RRJ14" s="107" t="s">
        <v>1</v>
      </c>
      <c r="RRK14" s="108"/>
      <c r="RRL14" s="108"/>
      <c r="RRM14" s="109"/>
      <c r="RRN14" s="107" t="s">
        <v>1</v>
      </c>
      <c r="RRO14" s="108"/>
      <c r="RRP14" s="108"/>
      <c r="RRQ14" s="109"/>
      <c r="RRR14" s="107" t="s">
        <v>1</v>
      </c>
      <c r="RRS14" s="108"/>
      <c r="RRT14" s="108"/>
      <c r="RRU14" s="109"/>
      <c r="RRV14" s="107" t="s">
        <v>1</v>
      </c>
      <c r="RRW14" s="108"/>
      <c r="RRX14" s="108"/>
      <c r="RRY14" s="109"/>
      <c r="RRZ14" s="107" t="s">
        <v>1</v>
      </c>
      <c r="RSA14" s="108"/>
      <c r="RSB14" s="108"/>
      <c r="RSC14" s="109"/>
      <c r="RSD14" s="107" t="s">
        <v>1</v>
      </c>
      <c r="RSE14" s="108"/>
      <c r="RSF14" s="108"/>
      <c r="RSG14" s="109"/>
      <c r="RSH14" s="107" t="s">
        <v>1</v>
      </c>
      <c r="RSI14" s="108"/>
      <c r="RSJ14" s="108"/>
      <c r="RSK14" s="109"/>
      <c r="RSL14" s="107" t="s">
        <v>1</v>
      </c>
      <c r="RSM14" s="108"/>
      <c r="RSN14" s="108"/>
      <c r="RSO14" s="109"/>
      <c r="RSP14" s="107" t="s">
        <v>1</v>
      </c>
      <c r="RSQ14" s="108"/>
      <c r="RSR14" s="108"/>
      <c r="RSS14" s="109"/>
      <c r="RST14" s="107" t="s">
        <v>1</v>
      </c>
      <c r="RSU14" s="108"/>
      <c r="RSV14" s="108"/>
      <c r="RSW14" s="109"/>
      <c r="RSX14" s="107" t="s">
        <v>1</v>
      </c>
      <c r="RSY14" s="108"/>
      <c r="RSZ14" s="108"/>
      <c r="RTA14" s="109"/>
      <c r="RTB14" s="107" t="s">
        <v>1</v>
      </c>
      <c r="RTC14" s="108"/>
      <c r="RTD14" s="108"/>
      <c r="RTE14" s="109"/>
      <c r="RTF14" s="107" t="s">
        <v>1</v>
      </c>
      <c r="RTG14" s="108"/>
      <c r="RTH14" s="108"/>
      <c r="RTI14" s="109"/>
      <c r="RTJ14" s="107" t="s">
        <v>1</v>
      </c>
      <c r="RTK14" s="108"/>
      <c r="RTL14" s="108"/>
      <c r="RTM14" s="109"/>
      <c r="RTN14" s="107" t="s">
        <v>1</v>
      </c>
      <c r="RTO14" s="108"/>
      <c r="RTP14" s="108"/>
      <c r="RTQ14" s="109"/>
      <c r="RTR14" s="107" t="s">
        <v>1</v>
      </c>
      <c r="RTS14" s="108"/>
      <c r="RTT14" s="108"/>
      <c r="RTU14" s="109"/>
      <c r="RTV14" s="107" t="s">
        <v>1</v>
      </c>
      <c r="RTW14" s="108"/>
      <c r="RTX14" s="108"/>
      <c r="RTY14" s="109"/>
      <c r="RTZ14" s="107" t="s">
        <v>1</v>
      </c>
      <c r="RUA14" s="108"/>
      <c r="RUB14" s="108"/>
      <c r="RUC14" s="109"/>
      <c r="RUD14" s="107" t="s">
        <v>1</v>
      </c>
      <c r="RUE14" s="108"/>
      <c r="RUF14" s="108"/>
      <c r="RUG14" s="109"/>
      <c r="RUH14" s="107" t="s">
        <v>1</v>
      </c>
      <c r="RUI14" s="108"/>
      <c r="RUJ14" s="108"/>
      <c r="RUK14" s="109"/>
      <c r="RUL14" s="107" t="s">
        <v>1</v>
      </c>
      <c r="RUM14" s="108"/>
      <c r="RUN14" s="108"/>
      <c r="RUO14" s="109"/>
      <c r="RUP14" s="107" t="s">
        <v>1</v>
      </c>
      <c r="RUQ14" s="108"/>
      <c r="RUR14" s="108"/>
      <c r="RUS14" s="109"/>
      <c r="RUT14" s="107" t="s">
        <v>1</v>
      </c>
      <c r="RUU14" s="108"/>
      <c r="RUV14" s="108"/>
      <c r="RUW14" s="109"/>
      <c r="RUX14" s="107" t="s">
        <v>1</v>
      </c>
      <c r="RUY14" s="108"/>
      <c r="RUZ14" s="108"/>
      <c r="RVA14" s="109"/>
      <c r="RVB14" s="107" t="s">
        <v>1</v>
      </c>
      <c r="RVC14" s="108"/>
      <c r="RVD14" s="108"/>
      <c r="RVE14" s="109"/>
      <c r="RVF14" s="107" t="s">
        <v>1</v>
      </c>
      <c r="RVG14" s="108"/>
      <c r="RVH14" s="108"/>
      <c r="RVI14" s="109"/>
      <c r="RVJ14" s="107" t="s">
        <v>1</v>
      </c>
      <c r="RVK14" s="108"/>
      <c r="RVL14" s="108"/>
      <c r="RVM14" s="109"/>
      <c r="RVN14" s="107" t="s">
        <v>1</v>
      </c>
      <c r="RVO14" s="108"/>
      <c r="RVP14" s="108"/>
      <c r="RVQ14" s="109"/>
      <c r="RVR14" s="107" t="s">
        <v>1</v>
      </c>
      <c r="RVS14" s="108"/>
      <c r="RVT14" s="108"/>
      <c r="RVU14" s="109"/>
      <c r="RVV14" s="107" t="s">
        <v>1</v>
      </c>
      <c r="RVW14" s="108"/>
      <c r="RVX14" s="108"/>
      <c r="RVY14" s="109"/>
      <c r="RVZ14" s="107" t="s">
        <v>1</v>
      </c>
      <c r="RWA14" s="108"/>
      <c r="RWB14" s="108"/>
      <c r="RWC14" s="109"/>
      <c r="RWD14" s="107" t="s">
        <v>1</v>
      </c>
      <c r="RWE14" s="108"/>
      <c r="RWF14" s="108"/>
      <c r="RWG14" s="109"/>
      <c r="RWH14" s="107" t="s">
        <v>1</v>
      </c>
      <c r="RWI14" s="108"/>
      <c r="RWJ14" s="108"/>
      <c r="RWK14" s="109"/>
      <c r="RWL14" s="107" t="s">
        <v>1</v>
      </c>
      <c r="RWM14" s="108"/>
      <c r="RWN14" s="108"/>
      <c r="RWO14" s="109"/>
      <c r="RWP14" s="107" t="s">
        <v>1</v>
      </c>
      <c r="RWQ14" s="108"/>
      <c r="RWR14" s="108"/>
      <c r="RWS14" s="109"/>
      <c r="RWT14" s="107" t="s">
        <v>1</v>
      </c>
      <c r="RWU14" s="108"/>
      <c r="RWV14" s="108"/>
      <c r="RWW14" s="109"/>
      <c r="RWX14" s="107" t="s">
        <v>1</v>
      </c>
      <c r="RWY14" s="108"/>
      <c r="RWZ14" s="108"/>
      <c r="RXA14" s="109"/>
      <c r="RXB14" s="107" t="s">
        <v>1</v>
      </c>
      <c r="RXC14" s="108"/>
      <c r="RXD14" s="108"/>
      <c r="RXE14" s="109"/>
      <c r="RXF14" s="107" t="s">
        <v>1</v>
      </c>
      <c r="RXG14" s="108"/>
      <c r="RXH14" s="108"/>
      <c r="RXI14" s="109"/>
      <c r="RXJ14" s="107" t="s">
        <v>1</v>
      </c>
      <c r="RXK14" s="108"/>
      <c r="RXL14" s="108"/>
      <c r="RXM14" s="109"/>
      <c r="RXN14" s="107" t="s">
        <v>1</v>
      </c>
      <c r="RXO14" s="108"/>
      <c r="RXP14" s="108"/>
      <c r="RXQ14" s="109"/>
      <c r="RXR14" s="107" t="s">
        <v>1</v>
      </c>
      <c r="RXS14" s="108"/>
      <c r="RXT14" s="108"/>
      <c r="RXU14" s="109"/>
      <c r="RXV14" s="107" t="s">
        <v>1</v>
      </c>
      <c r="RXW14" s="108"/>
      <c r="RXX14" s="108"/>
      <c r="RXY14" s="109"/>
      <c r="RXZ14" s="107" t="s">
        <v>1</v>
      </c>
      <c r="RYA14" s="108"/>
      <c r="RYB14" s="108"/>
      <c r="RYC14" s="109"/>
      <c r="RYD14" s="107" t="s">
        <v>1</v>
      </c>
      <c r="RYE14" s="108"/>
      <c r="RYF14" s="108"/>
      <c r="RYG14" s="109"/>
      <c r="RYH14" s="107" t="s">
        <v>1</v>
      </c>
      <c r="RYI14" s="108"/>
      <c r="RYJ14" s="108"/>
      <c r="RYK14" s="109"/>
      <c r="RYL14" s="107" t="s">
        <v>1</v>
      </c>
      <c r="RYM14" s="108"/>
      <c r="RYN14" s="108"/>
      <c r="RYO14" s="109"/>
      <c r="RYP14" s="107" t="s">
        <v>1</v>
      </c>
      <c r="RYQ14" s="108"/>
      <c r="RYR14" s="108"/>
      <c r="RYS14" s="109"/>
      <c r="RYT14" s="107" t="s">
        <v>1</v>
      </c>
      <c r="RYU14" s="108"/>
      <c r="RYV14" s="108"/>
      <c r="RYW14" s="109"/>
      <c r="RYX14" s="107" t="s">
        <v>1</v>
      </c>
      <c r="RYY14" s="108"/>
      <c r="RYZ14" s="108"/>
      <c r="RZA14" s="109"/>
      <c r="RZB14" s="107" t="s">
        <v>1</v>
      </c>
      <c r="RZC14" s="108"/>
      <c r="RZD14" s="108"/>
      <c r="RZE14" s="109"/>
      <c r="RZF14" s="107" t="s">
        <v>1</v>
      </c>
      <c r="RZG14" s="108"/>
      <c r="RZH14" s="108"/>
      <c r="RZI14" s="109"/>
      <c r="RZJ14" s="107" t="s">
        <v>1</v>
      </c>
      <c r="RZK14" s="108"/>
      <c r="RZL14" s="108"/>
      <c r="RZM14" s="109"/>
      <c r="RZN14" s="107" t="s">
        <v>1</v>
      </c>
      <c r="RZO14" s="108"/>
      <c r="RZP14" s="108"/>
      <c r="RZQ14" s="109"/>
      <c r="RZR14" s="107" t="s">
        <v>1</v>
      </c>
      <c r="RZS14" s="108"/>
      <c r="RZT14" s="108"/>
      <c r="RZU14" s="109"/>
      <c r="RZV14" s="107" t="s">
        <v>1</v>
      </c>
      <c r="RZW14" s="108"/>
      <c r="RZX14" s="108"/>
      <c r="RZY14" s="109"/>
      <c r="RZZ14" s="107" t="s">
        <v>1</v>
      </c>
      <c r="SAA14" s="108"/>
      <c r="SAB14" s="108"/>
      <c r="SAC14" s="109"/>
      <c r="SAD14" s="107" t="s">
        <v>1</v>
      </c>
      <c r="SAE14" s="108"/>
      <c r="SAF14" s="108"/>
      <c r="SAG14" s="109"/>
      <c r="SAH14" s="107" t="s">
        <v>1</v>
      </c>
      <c r="SAI14" s="108"/>
      <c r="SAJ14" s="108"/>
      <c r="SAK14" s="109"/>
      <c r="SAL14" s="107" t="s">
        <v>1</v>
      </c>
      <c r="SAM14" s="108"/>
      <c r="SAN14" s="108"/>
      <c r="SAO14" s="109"/>
      <c r="SAP14" s="107" t="s">
        <v>1</v>
      </c>
      <c r="SAQ14" s="108"/>
      <c r="SAR14" s="108"/>
      <c r="SAS14" s="109"/>
      <c r="SAT14" s="107" t="s">
        <v>1</v>
      </c>
      <c r="SAU14" s="108"/>
      <c r="SAV14" s="108"/>
      <c r="SAW14" s="109"/>
      <c r="SAX14" s="107" t="s">
        <v>1</v>
      </c>
      <c r="SAY14" s="108"/>
      <c r="SAZ14" s="108"/>
      <c r="SBA14" s="109"/>
      <c r="SBB14" s="107" t="s">
        <v>1</v>
      </c>
      <c r="SBC14" s="108"/>
      <c r="SBD14" s="108"/>
      <c r="SBE14" s="109"/>
      <c r="SBF14" s="107" t="s">
        <v>1</v>
      </c>
      <c r="SBG14" s="108"/>
      <c r="SBH14" s="108"/>
      <c r="SBI14" s="109"/>
      <c r="SBJ14" s="107" t="s">
        <v>1</v>
      </c>
      <c r="SBK14" s="108"/>
      <c r="SBL14" s="108"/>
      <c r="SBM14" s="109"/>
      <c r="SBN14" s="107" t="s">
        <v>1</v>
      </c>
      <c r="SBO14" s="108"/>
      <c r="SBP14" s="108"/>
      <c r="SBQ14" s="109"/>
      <c r="SBR14" s="107" t="s">
        <v>1</v>
      </c>
      <c r="SBS14" s="108"/>
      <c r="SBT14" s="108"/>
      <c r="SBU14" s="109"/>
      <c r="SBV14" s="107" t="s">
        <v>1</v>
      </c>
      <c r="SBW14" s="108"/>
      <c r="SBX14" s="108"/>
      <c r="SBY14" s="109"/>
      <c r="SBZ14" s="107" t="s">
        <v>1</v>
      </c>
      <c r="SCA14" s="108"/>
      <c r="SCB14" s="108"/>
      <c r="SCC14" s="109"/>
      <c r="SCD14" s="107" t="s">
        <v>1</v>
      </c>
      <c r="SCE14" s="108"/>
      <c r="SCF14" s="108"/>
      <c r="SCG14" s="109"/>
      <c r="SCH14" s="107" t="s">
        <v>1</v>
      </c>
      <c r="SCI14" s="108"/>
      <c r="SCJ14" s="108"/>
      <c r="SCK14" s="109"/>
      <c r="SCL14" s="107" t="s">
        <v>1</v>
      </c>
      <c r="SCM14" s="108"/>
      <c r="SCN14" s="108"/>
      <c r="SCO14" s="109"/>
      <c r="SCP14" s="107" t="s">
        <v>1</v>
      </c>
      <c r="SCQ14" s="108"/>
      <c r="SCR14" s="108"/>
      <c r="SCS14" s="109"/>
      <c r="SCT14" s="107" t="s">
        <v>1</v>
      </c>
      <c r="SCU14" s="108"/>
      <c r="SCV14" s="108"/>
      <c r="SCW14" s="109"/>
      <c r="SCX14" s="107" t="s">
        <v>1</v>
      </c>
      <c r="SCY14" s="108"/>
      <c r="SCZ14" s="108"/>
      <c r="SDA14" s="109"/>
      <c r="SDB14" s="107" t="s">
        <v>1</v>
      </c>
      <c r="SDC14" s="108"/>
      <c r="SDD14" s="108"/>
      <c r="SDE14" s="109"/>
      <c r="SDF14" s="107" t="s">
        <v>1</v>
      </c>
      <c r="SDG14" s="108"/>
      <c r="SDH14" s="108"/>
      <c r="SDI14" s="109"/>
      <c r="SDJ14" s="107" t="s">
        <v>1</v>
      </c>
      <c r="SDK14" s="108"/>
      <c r="SDL14" s="108"/>
      <c r="SDM14" s="109"/>
      <c r="SDN14" s="107" t="s">
        <v>1</v>
      </c>
      <c r="SDO14" s="108"/>
      <c r="SDP14" s="108"/>
      <c r="SDQ14" s="109"/>
      <c r="SDR14" s="107" t="s">
        <v>1</v>
      </c>
      <c r="SDS14" s="108"/>
      <c r="SDT14" s="108"/>
      <c r="SDU14" s="109"/>
      <c r="SDV14" s="107" t="s">
        <v>1</v>
      </c>
      <c r="SDW14" s="108"/>
      <c r="SDX14" s="108"/>
      <c r="SDY14" s="109"/>
      <c r="SDZ14" s="107" t="s">
        <v>1</v>
      </c>
      <c r="SEA14" s="108"/>
      <c r="SEB14" s="108"/>
      <c r="SEC14" s="109"/>
      <c r="SED14" s="107" t="s">
        <v>1</v>
      </c>
      <c r="SEE14" s="108"/>
      <c r="SEF14" s="108"/>
      <c r="SEG14" s="109"/>
      <c r="SEH14" s="107" t="s">
        <v>1</v>
      </c>
      <c r="SEI14" s="108"/>
      <c r="SEJ14" s="108"/>
      <c r="SEK14" s="109"/>
      <c r="SEL14" s="107" t="s">
        <v>1</v>
      </c>
      <c r="SEM14" s="108"/>
      <c r="SEN14" s="108"/>
      <c r="SEO14" s="109"/>
      <c r="SEP14" s="107" t="s">
        <v>1</v>
      </c>
      <c r="SEQ14" s="108"/>
      <c r="SER14" s="108"/>
      <c r="SES14" s="109"/>
      <c r="SET14" s="107" t="s">
        <v>1</v>
      </c>
      <c r="SEU14" s="108"/>
      <c r="SEV14" s="108"/>
      <c r="SEW14" s="109"/>
      <c r="SEX14" s="107" t="s">
        <v>1</v>
      </c>
      <c r="SEY14" s="108"/>
      <c r="SEZ14" s="108"/>
      <c r="SFA14" s="109"/>
      <c r="SFB14" s="107" t="s">
        <v>1</v>
      </c>
      <c r="SFC14" s="108"/>
      <c r="SFD14" s="108"/>
      <c r="SFE14" s="109"/>
      <c r="SFF14" s="107" t="s">
        <v>1</v>
      </c>
      <c r="SFG14" s="108"/>
      <c r="SFH14" s="108"/>
      <c r="SFI14" s="109"/>
      <c r="SFJ14" s="107" t="s">
        <v>1</v>
      </c>
      <c r="SFK14" s="108"/>
      <c r="SFL14" s="108"/>
      <c r="SFM14" s="109"/>
      <c r="SFN14" s="107" t="s">
        <v>1</v>
      </c>
      <c r="SFO14" s="108"/>
      <c r="SFP14" s="108"/>
      <c r="SFQ14" s="109"/>
      <c r="SFR14" s="107" t="s">
        <v>1</v>
      </c>
      <c r="SFS14" s="108"/>
      <c r="SFT14" s="108"/>
      <c r="SFU14" s="109"/>
      <c r="SFV14" s="107" t="s">
        <v>1</v>
      </c>
      <c r="SFW14" s="108"/>
      <c r="SFX14" s="108"/>
      <c r="SFY14" s="109"/>
      <c r="SFZ14" s="107" t="s">
        <v>1</v>
      </c>
      <c r="SGA14" s="108"/>
      <c r="SGB14" s="108"/>
      <c r="SGC14" s="109"/>
      <c r="SGD14" s="107" t="s">
        <v>1</v>
      </c>
      <c r="SGE14" s="108"/>
      <c r="SGF14" s="108"/>
      <c r="SGG14" s="109"/>
      <c r="SGH14" s="107" t="s">
        <v>1</v>
      </c>
      <c r="SGI14" s="108"/>
      <c r="SGJ14" s="108"/>
      <c r="SGK14" s="109"/>
      <c r="SGL14" s="107" t="s">
        <v>1</v>
      </c>
      <c r="SGM14" s="108"/>
      <c r="SGN14" s="108"/>
      <c r="SGO14" s="109"/>
      <c r="SGP14" s="107" t="s">
        <v>1</v>
      </c>
      <c r="SGQ14" s="108"/>
      <c r="SGR14" s="108"/>
      <c r="SGS14" s="109"/>
      <c r="SGT14" s="107" t="s">
        <v>1</v>
      </c>
      <c r="SGU14" s="108"/>
      <c r="SGV14" s="108"/>
      <c r="SGW14" s="109"/>
      <c r="SGX14" s="107" t="s">
        <v>1</v>
      </c>
      <c r="SGY14" s="108"/>
      <c r="SGZ14" s="108"/>
      <c r="SHA14" s="109"/>
      <c r="SHB14" s="107" t="s">
        <v>1</v>
      </c>
      <c r="SHC14" s="108"/>
      <c r="SHD14" s="108"/>
      <c r="SHE14" s="109"/>
      <c r="SHF14" s="107" t="s">
        <v>1</v>
      </c>
      <c r="SHG14" s="108"/>
      <c r="SHH14" s="108"/>
      <c r="SHI14" s="109"/>
      <c r="SHJ14" s="107" t="s">
        <v>1</v>
      </c>
      <c r="SHK14" s="108"/>
      <c r="SHL14" s="108"/>
      <c r="SHM14" s="109"/>
      <c r="SHN14" s="107" t="s">
        <v>1</v>
      </c>
      <c r="SHO14" s="108"/>
      <c r="SHP14" s="108"/>
      <c r="SHQ14" s="109"/>
      <c r="SHR14" s="107" t="s">
        <v>1</v>
      </c>
      <c r="SHS14" s="108"/>
      <c r="SHT14" s="108"/>
      <c r="SHU14" s="109"/>
      <c r="SHV14" s="107" t="s">
        <v>1</v>
      </c>
      <c r="SHW14" s="108"/>
      <c r="SHX14" s="108"/>
      <c r="SHY14" s="109"/>
      <c r="SHZ14" s="107" t="s">
        <v>1</v>
      </c>
      <c r="SIA14" s="108"/>
      <c r="SIB14" s="108"/>
      <c r="SIC14" s="109"/>
      <c r="SID14" s="107" t="s">
        <v>1</v>
      </c>
      <c r="SIE14" s="108"/>
      <c r="SIF14" s="108"/>
      <c r="SIG14" s="109"/>
      <c r="SIH14" s="107" t="s">
        <v>1</v>
      </c>
      <c r="SII14" s="108"/>
      <c r="SIJ14" s="108"/>
      <c r="SIK14" s="109"/>
      <c r="SIL14" s="107" t="s">
        <v>1</v>
      </c>
      <c r="SIM14" s="108"/>
      <c r="SIN14" s="108"/>
      <c r="SIO14" s="109"/>
      <c r="SIP14" s="107" t="s">
        <v>1</v>
      </c>
      <c r="SIQ14" s="108"/>
      <c r="SIR14" s="108"/>
      <c r="SIS14" s="109"/>
      <c r="SIT14" s="107" t="s">
        <v>1</v>
      </c>
      <c r="SIU14" s="108"/>
      <c r="SIV14" s="108"/>
      <c r="SIW14" s="109"/>
      <c r="SIX14" s="107" t="s">
        <v>1</v>
      </c>
      <c r="SIY14" s="108"/>
      <c r="SIZ14" s="108"/>
      <c r="SJA14" s="109"/>
      <c r="SJB14" s="107" t="s">
        <v>1</v>
      </c>
      <c r="SJC14" s="108"/>
      <c r="SJD14" s="108"/>
      <c r="SJE14" s="109"/>
      <c r="SJF14" s="107" t="s">
        <v>1</v>
      </c>
      <c r="SJG14" s="108"/>
      <c r="SJH14" s="108"/>
      <c r="SJI14" s="109"/>
      <c r="SJJ14" s="107" t="s">
        <v>1</v>
      </c>
      <c r="SJK14" s="108"/>
      <c r="SJL14" s="108"/>
      <c r="SJM14" s="109"/>
      <c r="SJN14" s="107" t="s">
        <v>1</v>
      </c>
      <c r="SJO14" s="108"/>
      <c r="SJP14" s="108"/>
      <c r="SJQ14" s="109"/>
      <c r="SJR14" s="107" t="s">
        <v>1</v>
      </c>
      <c r="SJS14" s="108"/>
      <c r="SJT14" s="108"/>
      <c r="SJU14" s="109"/>
      <c r="SJV14" s="107" t="s">
        <v>1</v>
      </c>
      <c r="SJW14" s="108"/>
      <c r="SJX14" s="108"/>
      <c r="SJY14" s="109"/>
      <c r="SJZ14" s="107" t="s">
        <v>1</v>
      </c>
      <c r="SKA14" s="108"/>
      <c r="SKB14" s="108"/>
      <c r="SKC14" s="109"/>
      <c r="SKD14" s="107" t="s">
        <v>1</v>
      </c>
      <c r="SKE14" s="108"/>
      <c r="SKF14" s="108"/>
      <c r="SKG14" s="109"/>
      <c r="SKH14" s="107" t="s">
        <v>1</v>
      </c>
      <c r="SKI14" s="108"/>
      <c r="SKJ14" s="108"/>
      <c r="SKK14" s="109"/>
      <c r="SKL14" s="107" t="s">
        <v>1</v>
      </c>
      <c r="SKM14" s="108"/>
      <c r="SKN14" s="108"/>
      <c r="SKO14" s="109"/>
      <c r="SKP14" s="107" t="s">
        <v>1</v>
      </c>
      <c r="SKQ14" s="108"/>
      <c r="SKR14" s="108"/>
      <c r="SKS14" s="109"/>
      <c r="SKT14" s="107" t="s">
        <v>1</v>
      </c>
      <c r="SKU14" s="108"/>
      <c r="SKV14" s="108"/>
      <c r="SKW14" s="109"/>
      <c r="SKX14" s="107" t="s">
        <v>1</v>
      </c>
      <c r="SKY14" s="108"/>
      <c r="SKZ14" s="108"/>
      <c r="SLA14" s="109"/>
      <c r="SLB14" s="107" t="s">
        <v>1</v>
      </c>
      <c r="SLC14" s="108"/>
      <c r="SLD14" s="108"/>
      <c r="SLE14" s="109"/>
      <c r="SLF14" s="107" t="s">
        <v>1</v>
      </c>
      <c r="SLG14" s="108"/>
      <c r="SLH14" s="108"/>
      <c r="SLI14" s="109"/>
      <c r="SLJ14" s="107" t="s">
        <v>1</v>
      </c>
      <c r="SLK14" s="108"/>
      <c r="SLL14" s="108"/>
      <c r="SLM14" s="109"/>
      <c r="SLN14" s="107" t="s">
        <v>1</v>
      </c>
      <c r="SLO14" s="108"/>
      <c r="SLP14" s="108"/>
      <c r="SLQ14" s="109"/>
      <c r="SLR14" s="107" t="s">
        <v>1</v>
      </c>
      <c r="SLS14" s="108"/>
      <c r="SLT14" s="108"/>
      <c r="SLU14" s="109"/>
      <c r="SLV14" s="107" t="s">
        <v>1</v>
      </c>
      <c r="SLW14" s="108"/>
      <c r="SLX14" s="108"/>
      <c r="SLY14" s="109"/>
      <c r="SLZ14" s="107" t="s">
        <v>1</v>
      </c>
      <c r="SMA14" s="108"/>
      <c r="SMB14" s="108"/>
      <c r="SMC14" s="109"/>
      <c r="SMD14" s="107" t="s">
        <v>1</v>
      </c>
      <c r="SME14" s="108"/>
      <c r="SMF14" s="108"/>
      <c r="SMG14" s="109"/>
      <c r="SMH14" s="107" t="s">
        <v>1</v>
      </c>
      <c r="SMI14" s="108"/>
      <c r="SMJ14" s="108"/>
      <c r="SMK14" s="109"/>
      <c r="SML14" s="107" t="s">
        <v>1</v>
      </c>
      <c r="SMM14" s="108"/>
      <c r="SMN14" s="108"/>
      <c r="SMO14" s="109"/>
      <c r="SMP14" s="107" t="s">
        <v>1</v>
      </c>
      <c r="SMQ14" s="108"/>
      <c r="SMR14" s="108"/>
      <c r="SMS14" s="109"/>
      <c r="SMT14" s="107" t="s">
        <v>1</v>
      </c>
      <c r="SMU14" s="108"/>
      <c r="SMV14" s="108"/>
      <c r="SMW14" s="109"/>
      <c r="SMX14" s="107" t="s">
        <v>1</v>
      </c>
      <c r="SMY14" s="108"/>
      <c r="SMZ14" s="108"/>
      <c r="SNA14" s="109"/>
      <c r="SNB14" s="107" t="s">
        <v>1</v>
      </c>
      <c r="SNC14" s="108"/>
      <c r="SND14" s="108"/>
      <c r="SNE14" s="109"/>
      <c r="SNF14" s="107" t="s">
        <v>1</v>
      </c>
      <c r="SNG14" s="108"/>
      <c r="SNH14" s="108"/>
      <c r="SNI14" s="109"/>
      <c r="SNJ14" s="107" t="s">
        <v>1</v>
      </c>
      <c r="SNK14" s="108"/>
      <c r="SNL14" s="108"/>
      <c r="SNM14" s="109"/>
      <c r="SNN14" s="107" t="s">
        <v>1</v>
      </c>
      <c r="SNO14" s="108"/>
      <c r="SNP14" s="108"/>
      <c r="SNQ14" s="109"/>
      <c r="SNR14" s="107" t="s">
        <v>1</v>
      </c>
      <c r="SNS14" s="108"/>
      <c r="SNT14" s="108"/>
      <c r="SNU14" s="109"/>
      <c r="SNV14" s="107" t="s">
        <v>1</v>
      </c>
      <c r="SNW14" s="108"/>
      <c r="SNX14" s="108"/>
      <c r="SNY14" s="109"/>
      <c r="SNZ14" s="107" t="s">
        <v>1</v>
      </c>
      <c r="SOA14" s="108"/>
      <c r="SOB14" s="108"/>
      <c r="SOC14" s="109"/>
      <c r="SOD14" s="107" t="s">
        <v>1</v>
      </c>
      <c r="SOE14" s="108"/>
      <c r="SOF14" s="108"/>
      <c r="SOG14" s="109"/>
      <c r="SOH14" s="107" t="s">
        <v>1</v>
      </c>
      <c r="SOI14" s="108"/>
      <c r="SOJ14" s="108"/>
      <c r="SOK14" s="109"/>
      <c r="SOL14" s="107" t="s">
        <v>1</v>
      </c>
      <c r="SOM14" s="108"/>
      <c r="SON14" s="108"/>
      <c r="SOO14" s="109"/>
      <c r="SOP14" s="107" t="s">
        <v>1</v>
      </c>
      <c r="SOQ14" s="108"/>
      <c r="SOR14" s="108"/>
      <c r="SOS14" s="109"/>
      <c r="SOT14" s="107" t="s">
        <v>1</v>
      </c>
      <c r="SOU14" s="108"/>
      <c r="SOV14" s="108"/>
      <c r="SOW14" s="109"/>
      <c r="SOX14" s="107" t="s">
        <v>1</v>
      </c>
      <c r="SOY14" s="108"/>
      <c r="SOZ14" s="108"/>
      <c r="SPA14" s="109"/>
      <c r="SPB14" s="107" t="s">
        <v>1</v>
      </c>
      <c r="SPC14" s="108"/>
      <c r="SPD14" s="108"/>
      <c r="SPE14" s="109"/>
      <c r="SPF14" s="107" t="s">
        <v>1</v>
      </c>
      <c r="SPG14" s="108"/>
      <c r="SPH14" s="108"/>
      <c r="SPI14" s="109"/>
      <c r="SPJ14" s="107" t="s">
        <v>1</v>
      </c>
      <c r="SPK14" s="108"/>
      <c r="SPL14" s="108"/>
      <c r="SPM14" s="109"/>
      <c r="SPN14" s="107" t="s">
        <v>1</v>
      </c>
      <c r="SPO14" s="108"/>
      <c r="SPP14" s="108"/>
      <c r="SPQ14" s="109"/>
      <c r="SPR14" s="107" t="s">
        <v>1</v>
      </c>
      <c r="SPS14" s="108"/>
      <c r="SPT14" s="108"/>
      <c r="SPU14" s="109"/>
      <c r="SPV14" s="107" t="s">
        <v>1</v>
      </c>
      <c r="SPW14" s="108"/>
      <c r="SPX14" s="108"/>
      <c r="SPY14" s="109"/>
      <c r="SPZ14" s="107" t="s">
        <v>1</v>
      </c>
      <c r="SQA14" s="108"/>
      <c r="SQB14" s="108"/>
      <c r="SQC14" s="109"/>
      <c r="SQD14" s="107" t="s">
        <v>1</v>
      </c>
      <c r="SQE14" s="108"/>
      <c r="SQF14" s="108"/>
      <c r="SQG14" s="109"/>
      <c r="SQH14" s="107" t="s">
        <v>1</v>
      </c>
      <c r="SQI14" s="108"/>
      <c r="SQJ14" s="108"/>
      <c r="SQK14" s="109"/>
      <c r="SQL14" s="107" t="s">
        <v>1</v>
      </c>
      <c r="SQM14" s="108"/>
      <c r="SQN14" s="108"/>
      <c r="SQO14" s="109"/>
      <c r="SQP14" s="107" t="s">
        <v>1</v>
      </c>
      <c r="SQQ14" s="108"/>
      <c r="SQR14" s="108"/>
      <c r="SQS14" s="109"/>
      <c r="SQT14" s="107" t="s">
        <v>1</v>
      </c>
      <c r="SQU14" s="108"/>
      <c r="SQV14" s="108"/>
      <c r="SQW14" s="109"/>
      <c r="SQX14" s="107" t="s">
        <v>1</v>
      </c>
      <c r="SQY14" s="108"/>
      <c r="SQZ14" s="108"/>
      <c r="SRA14" s="109"/>
      <c r="SRB14" s="107" t="s">
        <v>1</v>
      </c>
      <c r="SRC14" s="108"/>
      <c r="SRD14" s="108"/>
      <c r="SRE14" s="109"/>
      <c r="SRF14" s="107" t="s">
        <v>1</v>
      </c>
      <c r="SRG14" s="108"/>
      <c r="SRH14" s="108"/>
      <c r="SRI14" s="109"/>
      <c r="SRJ14" s="107" t="s">
        <v>1</v>
      </c>
      <c r="SRK14" s="108"/>
      <c r="SRL14" s="108"/>
      <c r="SRM14" s="109"/>
      <c r="SRN14" s="107" t="s">
        <v>1</v>
      </c>
      <c r="SRO14" s="108"/>
      <c r="SRP14" s="108"/>
      <c r="SRQ14" s="109"/>
      <c r="SRR14" s="107" t="s">
        <v>1</v>
      </c>
      <c r="SRS14" s="108"/>
      <c r="SRT14" s="108"/>
      <c r="SRU14" s="109"/>
      <c r="SRV14" s="107" t="s">
        <v>1</v>
      </c>
      <c r="SRW14" s="108"/>
      <c r="SRX14" s="108"/>
      <c r="SRY14" s="109"/>
      <c r="SRZ14" s="107" t="s">
        <v>1</v>
      </c>
      <c r="SSA14" s="108"/>
      <c r="SSB14" s="108"/>
      <c r="SSC14" s="109"/>
      <c r="SSD14" s="107" t="s">
        <v>1</v>
      </c>
      <c r="SSE14" s="108"/>
      <c r="SSF14" s="108"/>
      <c r="SSG14" s="109"/>
      <c r="SSH14" s="107" t="s">
        <v>1</v>
      </c>
      <c r="SSI14" s="108"/>
      <c r="SSJ14" s="108"/>
      <c r="SSK14" s="109"/>
      <c r="SSL14" s="107" t="s">
        <v>1</v>
      </c>
      <c r="SSM14" s="108"/>
      <c r="SSN14" s="108"/>
      <c r="SSO14" s="109"/>
      <c r="SSP14" s="107" t="s">
        <v>1</v>
      </c>
      <c r="SSQ14" s="108"/>
      <c r="SSR14" s="108"/>
      <c r="SSS14" s="109"/>
      <c r="SST14" s="107" t="s">
        <v>1</v>
      </c>
      <c r="SSU14" s="108"/>
      <c r="SSV14" s="108"/>
      <c r="SSW14" s="109"/>
      <c r="SSX14" s="107" t="s">
        <v>1</v>
      </c>
      <c r="SSY14" s="108"/>
      <c r="SSZ14" s="108"/>
      <c r="STA14" s="109"/>
      <c r="STB14" s="107" t="s">
        <v>1</v>
      </c>
      <c r="STC14" s="108"/>
      <c r="STD14" s="108"/>
      <c r="STE14" s="109"/>
      <c r="STF14" s="107" t="s">
        <v>1</v>
      </c>
      <c r="STG14" s="108"/>
      <c r="STH14" s="108"/>
      <c r="STI14" s="109"/>
      <c r="STJ14" s="107" t="s">
        <v>1</v>
      </c>
      <c r="STK14" s="108"/>
      <c r="STL14" s="108"/>
      <c r="STM14" s="109"/>
      <c r="STN14" s="107" t="s">
        <v>1</v>
      </c>
      <c r="STO14" s="108"/>
      <c r="STP14" s="108"/>
      <c r="STQ14" s="109"/>
      <c r="STR14" s="107" t="s">
        <v>1</v>
      </c>
      <c r="STS14" s="108"/>
      <c r="STT14" s="108"/>
      <c r="STU14" s="109"/>
      <c r="STV14" s="107" t="s">
        <v>1</v>
      </c>
      <c r="STW14" s="108"/>
      <c r="STX14" s="108"/>
      <c r="STY14" s="109"/>
      <c r="STZ14" s="107" t="s">
        <v>1</v>
      </c>
      <c r="SUA14" s="108"/>
      <c r="SUB14" s="108"/>
      <c r="SUC14" s="109"/>
      <c r="SUD14" s="107" t="s">
        <v>1</v>
      </c>
      <c r="SUE14" s="108"/>
      <c r="SUF14" s="108"/>
      <c r="SUG14" s="109"/>
      <c r="SUH14" s="107" t="s">
        <v>1</v>
      </c>
      <c r="SUI14" s="108"/>
      <c r="SUJ14" s="108"/>
      <c r="SUK14" s="109"/>
      <c r="SUL14" s="107" t="s">
        <v>1</v>
      </c>
      <c r="SUM14" s="108"/>
      <c r="SUN14" s="108"/>
      <c r="SUO14" s="109"/>
      <c r="SUP14" s="107" t="s">
        <v>1</v>
      </c>
      <c r="SUQ14" s="108"/>
      <c r="SUR14" s="108"/>
      <c r="SUS14" s="109"/>
      <c r="SUT14" s="107" t="s">
        <v>1</v>
      </c>
      <c r="SUU14" s="108"/>
      <c r="SUV14" s="108"/>
      <c r="SUW14" s="109"/>
      <c r="SUX14" s="107" t="s">
        <v>1</v>
      </c>
      <c r="SUY14" s="108"/>
      <c r="SUZ14" s="108"/>
      <c r="SVA14" s="109"/>
      <c r="SVB14" s="107" t="s">
        <v>1</v>
      </c>
      <c r="SVC14" s="108"/>
      <c r="SVD14" s="108"/>
      <c r="SVE14" s="109"/>
      <c r="SVF14" s="107" t="s">
        <v>1</v>
      </c>
      <c r="SVG14" s="108"/>
      <c r="SVH14" s="108"/>
      <c r="SVI14" s="109"/>
      <c r="SVJ14" s="107" t="s">
        <v>1</v>
      </c>
      <c r="SVK14" s="108"/>
      <c r="SVL14" s="108"/>
      <c r="SVM14" s="109"/>
      <c r="SVN14" s="107" t="s">
        <v>1</v>
      </c>
      <c r="SVO14" s="108"/>
      <c r="SVP14" s="108"/>
      <c r="SVQ14" s="109"/>
      <c r="SVR14" s="107" t="s">
        <v>1</v>
      </c>
      <c r="SVS14" s="108"/>
      <c r="SVT14" s="108"/>
      <c r="SVU14" s="109"/>
      <c r="SVV14" s="107" t="s">
        <v>1</v>
      </c>
      <c r="SVW14" s="108"/>
      <c r="SVX14" s="108"/>
      <c r="SVY14" s="109"/>
      <c r="SVZ14" s="107" t="s">
        <v>1</v>
      </c>
      <c r="SWA14" s="108"/>
      <c r="SWB14" s="108"/>
      <c r="SWC14" s="109"/>
      <c r="SWD14" s="107" t="s">
        <v>1</v>
      </c>
      <c r="SWE14" s="108"/>
      <c r="SWF14" s="108"/>
      <c r="SWG14" s="109"/>
      <c r="SWH14" s="107" t="s">
        <v>1</v>
      </c>
      <c r="SWI14" s="108"/>
      <c r="SWJ14" s="108"/>
      <c r="SWK14" s="109"/>
      <c r="SWL14" s="107" t="s">
        <v>1</v>
      </c>
      <c r="SWM14" s="108"/>
      <c r="SWN14" s="108"/>
      <c r="SWO14" s="109"/>
      <c r="SWP14" s="107" t="s">
        <v>1</v>
      </c>
      <c r="SWQ14" s="108"/>
      <c r="SWR14" s="108"/>
      <c r="SWS14" s="109"/>
      <c r="SWT14" s="107" t="s">
        <v>1</v>
      </c>
      <c r="SWU14" s="108"/>
      <c r="SWV14" s="108"/>
      <c r="SWW14" s="109"/>
      <c r="SWX14" s="107" t="s">
        <v>1</v>
      </c>
      <c r="SWY14" s="108"/>
      <c r="SWZ14" s="108"/>
      <c r="SXA14" s="109"/>
      <c r="SXB14" s="107" t="s">
        <v>1</v>
      </c>
      <c r="SXC14" s="108"/>
      <c r="SXD14" s="108"/>
      <c r="SXE14" s="109"/>
      <c r="SXF14" s="107" t="s">
        <v>1</v>
      </c>
      <c r="SXG14" s="108"/>
      <c r="SXH14" s="108"/>
      <c r="SXI14" s="109"/>
      <c r="SXJ14" s="107" t="s">
        <v>1</v>
      </c>
      <c r="SXK14" s="108"/>
      <c r="SXL14" s="108"/>
      <c r="SXM14" s="109"/>
      <c r="SXN14" s="107" t="s">
        <v>1</v>
      </c>
      <c r="SXO14" s="108"/>
      <c r="SXP14" s="108"/>
      <c r="SXQ14" s="109"/>
      <c r="SXR14" s="107" t="s">
        <v>1</v>
      </c>
      <c r="SXS14" s="108"/>
      <c r="SXT14" s="108"/>
      <c r="SXU14" s="109"/>
      <c r="SXV14" s="107" t="s">
        <v>1</v>
      </c>
      <c r="SXW14" s="108"/>
      <c r="SXX14" s="108"/>
      <c r="SXY14" s="109"/>
      <c r="SXZ14" s="107" t="s">
        <v>1</v>
      </c>
      <c r="SYA14" s="108"/>
      <c r="SYB14" s="108"/>
      <c r="SYC14" s="109"/>
      <c r="SYD14" s="107" t="s">
        <v>1</v>
      </c>
      <c r="SYE14" s="108"/>
      <c r="SYF14" s="108"/>
      <c r="SYG14" s="109"/>
      <c r="SYH14" s="107" t="s">
        <v>1</v>
      </c>
      <c r="SYI14" s="108"/>
      <c r="SYJ14" s="108"/>
      <c r="SYK14" s="109"/>
      <c r="SYL14" s="107" t="s">
        <v>1</v>
      </c>
      <c r="SYM14" s="108"/>
      <c r="SYN14" s="108"/>
      <c r="SYO14" s="109"/>
      <c r="SYP14" s="107" t="s">
        <v>1</v>
      </c>
      <c r="SYQ14" s="108"/>
      <c r="SYR14" s="108"/>
      <c r="SYS14" s="109"/>
      <c r="SYT14" s="107" t="s">
        <v>1</v>
      </c>
      <c r="SYU14" s="108"/>
      <c r="SYV14" s="108"/>
      <c r="SYW14" s="109"/>
      <c r="SYX14" s="107" t="s">
        <v>1</v>
      </c>
      <c r="SYY14" s="108"/>
      <c r="SYZ14" s="108"/>
      <c r="SZA14" s="109"/>
      <c r="SZB14" s="107" t="s">
        <v>1</v>
      </c>
      <c r="SZC14" s="108"/>
      <c r="SZD14" s="108"/>
      <c r="SZE14" s="109"/>
      <c r="SZF14" s="107" t="s">
        <v>1</v>
      </c>
      <c r="SZG14" s="108"/>
      <c r="SZH14" s="108"/>
      <c r="SZI14" s="109"/>
      <c r="SZJ14" s="107" t="s">
        <v>1</v>
      </c>
      <c r="SZK14" s="108"/>
      <c r="SZL14" s="108"/>
      <c r="SZM14" s="109"/>
      <c r="SZN14" s="107" t="s">
        <v>1</v>
      </c>
      <c r="SZO14" s="108"/>
      <c r="SZP14" s="108"/>
      <c r="SZQ14" s="109"/>
      <c r="SZR14" s="107" t="s">
        <v>1</v>
      </c>
      <c r="SZS14" s="108"/>
      <c r="SZT14" s="108"/>
      <c r="SZU14" s="109"/>
      <c r="SZV14" s="107" t="s">
        <v>1</v>
      </c>
      <c r="SZW14" s="108"/>
      <c r="SZX14" s="108"/>
      <c r="SZY14" s="109"/>
      <c r="SZZ14" s="107" t="s">
        <v>1</v>
      </c>
      <c r="TAA14" s="108"/>
      <c r="TAB14" s="108"/>
      <c r="TAC14" s="109"/>
      <c r="TAD14" s="107" t="s">
        <v>1</v>
      </c>
      <c r="TAE14" s="108"/>
      <c r="TAF14" s="108"/>
      <c r="TAG14" s="109"/>
      <c r="TAH14" s="107" t="s">
        <v>1</v>
      </c>
      <c r="TAI14" s="108"/>
      <c r="TAJ14" s="108"/>
      <c r="TAK14" s="109"/>
      <c r="TAL14" s="107" t="s">
        <v>1</v>
      </c>
      <c r="TAM14" s="108"/>
      <c r="TAN14" s="108"/>
      <c r="TAO14" s="109"/>
      <c r="TAP14" s="107" t="s">
        <v>1</v>
      </c>
      <c r="TAQ14" s="108"/>
      <c r="TAR14" s="108"/>
      <c r="TAS14" s="109"/>
      <c r="TAT14" s="107" t="s">
        <v>1</v>
      </c>
      <c r="TAU14" s="108"/>
      <c r="TAV14" s="108"/>
      <c r="TAW14" s="109"/>
      <c r="TAX14" s="107" t="s">
        <v>1</v>
      </c>
      <c r="TAY14" s="108"/>
      <c r="TAZ14" s="108"/>
      <c r="TBA14" s="109"/>
      <c r="TBB14" s="107" t="s">
        <v>1</v>
      </c>
      <c r="TBC14" s="108"/>
      <c r="TBD14" s="108"/>
      <c r="TBE14" s="109"/>
      <c r="TBF14" s="107" t="s">
        <v>1</v>
      </c>
      <c r="TBG14" s="108"/>
      <c r="TBH14" s="108"/>
      <c r="TBI14" s="109"/>
      <c r="TBJ14" s="107" t="s">
        <v>1</v>
      </c>
      <c r="TBK14" s="108"/>
      <c r="TBL14" s="108"/>
      <c r="TBM14" s="109"/>
      <c r="TBN14" s="107" t="s">
        <v>1</v>
      </c>
      <c r="TBO14" s="108"/>
      <c r="TBP14" s="108"/>
      <c r="TBQ14" s="109"/>
      <c r="TBR14" s="107" t="s">
        <v>1</v>
      </c>
      <c r="TBS14" s="108"/>
      <c r="TBT14" s="108"/>
      <c r="TBU14" s="109"/>
      <c r="TBV14" s="107" t="s">
        <v>1</v>
      </c>
      <c r="TBW14" s="108"/>
      <c r="TBX14" s="108"/>
      <c r="TBY14" s="109"/>
      <c r="TBZ14" s="107" t="s">
        <v>1</v>
      </c>
      <c r="TCA14" s="108"/>
      <c r="TCB14" s="108"/>
      <c r="TCC14" s="109"/>
      <c r="TCD14" s="107" t="s">
        <v>1</v>
      </c>
      <c r="TCE14" s="108"/>
      <c r="TCF14" s="108"/>
      <c r="TCG14" s="109"/>
      <c r="TCH14" s="107" t="s">
        <v>1</v>
      </c>
      <c r="TCI14" s="108"/>
      <c r="TCJ14" s="108"/>
      <c r="TCK14" s="109"/>
      <c r="TCL14" s="107" t="s">
        <v>1</v>
      </c>
      <c r="TCM14" s="108"/>
      <c r="TCN14" s="108"/>
      <c r="TCO14" s="109"/>
      <c r="TCP14" s="107" t="s">
        <v>1</v>
      </c>
      <c r="TCQ14" s="108"/>
      <c r="TCR14" s="108"/>
      <c r="TCS14" s="109"/>
      <c r="TCT14" s="107" t="s">
        <v>1</v>
      </c>
      <c r="TCU14" s="108"/>
      <c r="TCV14" s="108"/>
      <c r="TCW14" s="109"/>
      <c r="TCX14" s="107" t="s">
        <v>1</v>
      </c>
      <c r="TCY14" s="108"/>
      <c r="TCZ14" s="108"/>
      <c r="TDA14" s="109"/>
      <c r="TDB14" s="107" t="s">
        <v>1</v>
      </c>
      <c r="TDC14" s="108"/>
      <c r="TDD14" s="108"/>
      <c r="TDE14" s="109"/>
      <c r="TDF14" s="107" t="s">
        <v>1</v>
      </c>
      <c r="TDG14" s="108"/>
      <c r="TDH14" s="108"/>
      <c r="TDI14" s="109"/>
      <c r="TDJ14" s="107" t="s">
        <v>1</v>
      </c>
      <c r="TDK14" s="108"/>
      <c r="TDL14" s="108"/>
      <c r="TDM14" s="109"/>
      <c r="TDN14" s="107" t="s">
        <v>1</v>
      </c>
      <c r="TDO14" s="108"/>
      <c r="TDP14" s="108"/>
      <c r="TDQ14" s="109"/>
      <c r="TDR14" s="107" t="s">
        <v>1</v>
      </c>
      <c r="TDS14" s="108"/>
      <c r="TDT14" s="108"/>
      <c r="TDU14" s="109"/>
      <c r="TDV14" s="107" t="s">
        <v>1</v>
      </c>
      <c r="TDW14" s="108"/>
      <c r="TDX14" s="108"/>
      <c r="TDY14" s="109"/>
      <c r="TDZ14" s="107" t="s">
        <v>1</v>
      </c>
      <c r="TEA14" s="108"/>
      <c r="TEB14" s="108"/>
      <c r="TEC14" s="109"/>
      <c r="TED14" s="107" t="s">
        <v>1</v>
      </c>
      <c r="TEE14" s="108"/>
      <c r="TEF14" s="108"/>
      <c r="TEG14" s="109"/>
      <c r="TEH14" s="107" t="s">
        <v>1</v>
      </c>
      <c r="TEI14" s="108"/>
      <c r="TEJ14" s="108"/>
      <c r="TEK14" s="109"/>
      <c r="TEL14" s="107" t="s">
        <v>1</v>
      </c>
      <c r="TEM14" s="108"/>
      <c r="TEN14" s="108"/>
      <c r="TEO14" s="109"/>
      <c r="TEP14" s="107" t="s">
        <v>1</v>
      </c>
      <c r="TEQ14" s="108"/>
      <c r="TER14" s="108"/>
      <c r="TES14" s="109"/>
      <c r="TET14" s="107" t="s">
        <v>1</v>
      </c>
      <c r="TEU14" s="108"/>
      <c r="TEV14" s="108"/>
      <c r="TEW14" s="109"/>
      <c r="TEX14" s="107" t="s">
        <v>1</v>
      </c>
      <c r="TEY14" s="108"/>
      <c r="TEZ14" s="108"/>
      <c r="TFA14" s="109"/>
      <c r="TFB14" s="107" t="s">
        <v>1</v>
      </c>
      <c r="TFC14" s="108"/>
      <c r="TFD14" s="108"/>
      <c r="TFE14" s="109"/>
      <c r="TFF14" s="107" t="s">
        <v>1</v>
      </c>
      <c r="TFG14" s="108"/>
      <c r="TFH14" s="108"/>
      <c r="TFI14" s="109"/>
      <c r="TFJ14" s="107" t="s">
        <v>1</v>
      </c>
      <c r="TFK14" s="108"/>
      <c r="TFL14" s="108"/>
      <c r="TFM14" s="109"/>
      <c r="TFN14" s="107" t="s">
        <v>1</v>
      </c>
      <c r="TFO14" s="108"/>
      <c r="TFP14" s="108"/>
      <c r="TFQ14" s="109"/>
      <c r="TFR14" s="107" t="s">
        <v>1</v>
      </c>
      <c r="TFS14" s="108"/>
      <c r="TFT14" s="108"/>
      <c r="TFU14" s="109"/>
      <c r="TFV14" s="107" t="s">
        <v>1</v>
      </c>
      <c r="TFW14" s="108"/>
      <c r="TFX14" s="108"/>
      <c r="TFY14" s="109"/>
      <c r="TFZ14" s="107" t="s">
        <v>1</v>
      </c>
      <c r="TGA14" s="108"/>
      <c r="TGB14" s="108"/>
      <c r="TGC14" s="109"/>
      <c r="TGD14" s="107" t="s">
        <v>1</v>
      </c>
      <c r="TGE14" s="108"/>
      <c r="TGF14" s="108"/>
      <c r="TGG14" s="109"/>
      <c r="TGH14" s="107" t="s">
        <v>1</v>
      </c>
      <c r="TGI14" s="108"/>
      <c r="TGJ14" s="108"/>
      <c r="TGK14" s="109"/>
      <c r="TGL14" s="107" t="s">
        <v>1</v>
      </c>
      <c r="TGM14" s="108"/>
      <c r="TGN14" s="108"/>
      <c r="TGO14" s="109"/>
      <c r="TGP14" s="107" t="s">
        <v>1</v>
      </c>
      <c r="TGQ14" s="108"/>
      <c r="TGR14" s="108"/>
      <c r="TGS14" s="109"/>
      <c r="TGT14" s="107" t="s">
        <v>1</v>
      </c>
      <c r="TGU14" s="108"/>
      <c r="TGV14" s="108"/>
      <c r="TGW14" s="109"/>
      <c r="TGX14" s="107" t="s">
        <v>1</v>
      </c>
      <c r="TGY14" s="108"/>
      <c r="TGZ14" s="108"/>
      <c r="THA14" s="109"/>
      <c r="THB14" s="107" t="s">
        <v>1</v>
      </c>
      <c r="THC14" s="108"/>
      <c r="THD14" s="108"/>
      <c r="THE14" s="109"/>
      <c r="THF14" s="107" t="s">
        <v>1</v>
      </c>
      <c r="THG14" s="108"/>
      <c r="THH14" s="108"/>
      <c r="THI14" s="109"/>
      <c r="THJ14" s="107" t="s">
        <v>1</v>
      </c>
      <c r="THK14" s="108"/>
      <c r="THL14" s="108"/>
      <c r="THM14" s="109"/>
      <c r="THN14" s="107" t="s">
        <v>1</v>
      </c>
      <c r="THO14" s="108"/>
      <c r="THP14" s="108"/>
      <c r="THQ14" s="109"/>
      <c r="THR14" s="107" t="s">
        <v>1</v>
      </c>
      <c r="THS14" s="108"/>
      <c r="THT14" s="108"/>
      <c r="THU14" s="109"/>
      <c r="THV14" s="107" t="s">
        <v>1</v>
      </c>
      <c r="THW14" s="108"/>
      <c r="THX14" s="108"/>
      <c r="THY14" s="109"/>
      <c r="THZ14" s="107" t="s">
        <v>1</v>
      </c>
      <c r="TIA14" s="108"/>
      <c r="TIB14" s="108"/>
      <c r="TIC14" s="109"/>
      <c r="TID14" s="107" t="s">
        <v>1</v>
      </c>
      <c r="TIE14" s="108"/>
      <c r="TIF14" s="108"/>
      <c r="TIG14" s="109"/>
      <c r="TIH14" s="107" t="s">
        <v>1</v>
      </c>
      <c r="TII14" s="108"/>
      <c r="TIJ14" s="108"/>
      <c r="TIK14" s="109"/>
      <c r="TIL14" s="107" t="s">
        <v>1</v>
      </c>
      <c r="TIM14" s="108"/>
      <c r="TIN14" s="108"/>
      <c r="TIO14" s="109"/>
      <c r="TIP14" s="107" t="s">
        <v>1</v>
      </c>
      <c r="TIQ14" s="108"/>
      <c r="TIR14" s="108"/>
      <c r="TIS14" s="109"/>
      <c r="TIT14" s="107" t="s">
        <v>1</v>
      </c>
      <c r="TIU14" s="108"/>
      <c r="TIV14" s="108"/>
      <c r="TIW14" s="109"/>
      <c r="TIX14" s="107" t="s">
        <v>1</v>
      </c>
      <c r="TIY14" s="108"/>
      <c r="TIZ14" s="108"/>
      <c r="TJA14" s="109"/>
      <c r="TJB14" s="107" t="s">
        <v>1</v>
      </c>
      <c r="TJC14" s="108"/>
      <c r="TJD14" s="108"/>
      <c r="TJE14" s="109"/>
      <c r="TJF14" s="107" t="s">
        <v>1</v>
      </c>
      <c r="TJG14" s="108"/>
      <c r="TJH14" s="108"/>
      <c r="TJI14" s="109"/>
      <c r="TJJ14" s="107" t="s">
        <v>1</v>
      </c>
      <c r="TJK14" s="108"/>
      <c r="TJL14" s="108"/>
      <c r="TJM14" s="109"/>
      <c r="TJN14" s="107" t="s">
        <v>1</v>
      </c>
      <c r="TJO14" s="108"/>
      <c r="TJP14" s="108"/>
      <c r="TJQ14" s="109"/>
      <c r="TJR14" s="107" t="s">
        <v>1</v>
      </c>
      <c r="TJS14" s="108"/>
      <c r="TJT14" s="108"/>
      <c r="TJU14" s="109"/>
      <c r="TJV14" s="107" t="s">
        <v>1</v>
      </c>
      <c r="TJW14" s="108"/>
      <c r="TJX14" s="108"/>
      <c r="TJY14" s="109"/>
      <c r="TJZ14" s="107" t="s">
        <v>1</v>
      </c>
      <c r="TKA14" s="108"/>
      <c r="TKB14" s="108"/>
      <c r="TKC14" s="109"/>
      <c r="TKD14" s="107" t="s">
        <v>1</v>
      </c>
      <c r="TKE14" s="108"/>
      <c r="TKF14" s="108"/>
      <c r="TKG14" s="109"/>
      <c r="TKH14" s="107" t="s">
        <v>1</v>
      </c>
      <c r="TKI14" s="108"/>
      <c r="TKJ14" s="108"/>
      <c r="TKK14" s="109"/>
      <c r="TKL14" s="107" t="s">
        <v>1</v>
      </c>
      <c r="TKM14" s="108"/>
      <c r="TKN14" s="108"/>
      <c r="TKO14" s="109"/>
      <c r="TKP14" s="107" t="s">
        <v>1</v>
      </c>
      <c r="TKQ14" s="108"/>
      <c r="TKR14" s="108"/>
      <c r="TKS14" s="109"/>
      <c r="TKT14" s="107" t="s">
        <v>1</v>
      </c>
      <c r="TKU14" s="108"/>
      <c r="TKV14" s="108"/>
      <c r="TKW14" s="109"/>
      <c r="TKX14" s="107" t="s">
        <v>1</v>
      </c>
      <c r="TKY14" s="108"/>
      <c r="TKZ14" s="108"/>
      <c r="TLA14" s="109"/>
      <c r="TLB14" s="107" t="s">
        <v>1</v>
      </c>
      <c r="TLC14" s="108"/>
      <c r="TLD14" s="108"/>
      <c r="TLE14" s="109"/>
      <c r="TLF14" s="107" t="s">
        <v>1</v>
      </c>
      <c r="TLG14" s="108"/>
      <c r="TLH14" s="108"/>
      <c r="TLI14" s="109"/>
      <c r="TLJ14" s="107" t="s">
        <v>1</v>
      </c>
      <c r="TLK14" s="108"/>
      <c r="TLL14" s="108"/>
      <c r="TLM14" s="109"/>
      <c r="TLN14" s="107" t="s">
        <v>1</v>
      </c>
      <c r="TLO14" s="108"/>
      <c r="TLP14" s="108"/>
      <c r="TLQ14" s="109"/>
      <c r="TLR14" s="107" t="s">
        <v>1</v>
      </c>
      <c r="TLS14" s="108"/>
      <c r="TLT14" s="108"/>
      <c r="TLU14" s="109"/>
      <c r="TLV14" s="107" t="s">
        <v>1</v>
      </c>
      <c r="TLW14" s="108"/>
      <c r="TLX14" s="108"/>
      <c r="TLY14" s="109"/>
      <c r="TLZ14" s="107" t="s">
        <v>1</v>
      </c>
      <c r="TMA14" s="108"/>
      <c r="TMB14" s="108"/>
      <c r="TMC14" s="109"/>
      <c r="TMD14" s="107" t="s">
        <v>1</v>
      </c>
      <c r="TME14" s="108"/>
      <c r="TMF14" s="108"/>
      <c r="TMG14" s="109"/>
      <c r="TMH14" s="107" t="s">
        <v>1</v>
      </c>
      <c r="TMI14" s="108"/>
      <c r="TMJ14" s="108"/>
      <c r="TMK14" s="109"/>
      <c r="TML14" s="107" t="s">
        <v>1</v>
      </c>
      <c r="TMM14" s="108"/>
      <c r="TMN14" s="108"/>
      <c r="TMO14" s="109"/>
      <c r="TMP14" s="107" t="s">
        <v>1</v>
      </c>
      <c r="TMQ14" s="108"/>
      <c r="TMR14" s="108"/>
      <c r="TMS14" s="109"/>
      <c r="TMT14" s="107" t="s">
        <v>1</v>
      </c>
      <c r="TMU14" s="108"/>
      <c r="TMV14" s="108"/>
      <c r="TMW14" s="109"/>
      <c r="TMX14" s="107" t="s">
        <v>1</v>
      </c>
      <c r="TMY14" s="108"/>
      <c r="TMZ14" s="108"/>
      <c r="TNA14" s="109"/>
      <c r="TNB14" s="107" t="s">
        <v>1</v>
      </c>
      <c r="TNC14" s="108"/>
      <c r="TND14" s="108"/>
      <c r="TNE14" s="109"/>
      <c r="TNF14" s="107" t="s">
        <v>1</v>
      </c>
      <c r="TNG14" s="108"/>
      <c r="TNH14" s="108"/>
      <c r="TNI14" s="109"/>
      <c r="TNJ14" s="107" t="s">
        <v>1</v>
      </c>
      <c r="TNK14" s="108"/>
      <c r="TNL14" s="108"/>
      <c r="TNM14" s="109"/>
      <c r="TNN14" s="107" t="s">
        <v>1</v>
      </c>
      <c r="TNO14" s="108"/>
      <c r="TNP14" s="108"/>
      <c r="TNQ14" s="109"/>
      <c r="TNR14" s="107" t="s">
        <v>1</v>
      </c>
      <c r="TNS14" s="108"/>
      <c r="TNT14" s="108"/>
      <c r="TNU14" s="109"/>
      <c r="TNV14" s="107" t="s">
        <v>1</v>
      </c>
      <c r="TNW14" s="108"/>
      <c r="TNX14" s="108"/>
      <c r="TNY14" s="109"/>
      <c r="TNZ14" s="107" t="s">
        <v>1</v>
      </c>
      <c r="TOA14" s="108"/>
      <c r="TOB14" s="108"/>
      <c r="TOC14" s="109"/>
      <c r="TOD14" s="107" t="s">
        <v>1</v>
      </c>
      <c r="TOE14" s="108"/>
      <c r="TOF14" s="108"/>
      <c r="TOG14" s="109"/>
      <c r="TOH14" s="107" t="s">
        <v>1</v>
      </c>
      <c r="TOI14" s="108"/>
      <c r="TOJ14" s="108"/>
      <c r="TOK14" s="109"/>
      <c r="TOL14" s="107" t="s">
        <v>1</v>
      </c>
      <c r="TOM14" s="108"/>
      <c r="TON14" s="108"/>
      <c r="TOO14" s="109"/>
      <c r="TOP14" s="107" t="s">
        <v>1</v>
      </c>
      <c r="TOQ14" s="108"/>
      <c r="TOR14" s="108"/>
      <c r="TOS14" s="109"/>
      <c r="TOT14" s="107" t="s">
        <v>1</v>
      </c>
      <c r="TOU14" s="108"/>
      <c r="TOV14" s="108"/>
      <c r="TOW14" s="109"/>
      <c r="TOX14" s="107" t="s">
        <v>1</v>
      </c>
      <c r="TOY14" s="108"/>
      <c r="TOZ14" s="108"/>
      <c r="TPA14" s="109"/>
      <c r="TPB14" s="107" t="s">
        <v>1</v>
      </c>
      <c r="TPC14" s="108"/>
      <c r="TPD14" s="108"/>
      <c r="TPE14" s="109"/>
      <c r="TPF14" s="107" t="s">
        <v>1</v>
      </c>
      <c r="TPG14" s="108"/>
      <c r="TPH14" s="108"/>
      <c r="TPI14" s="109"/>
      <c r="TPJ14" s="107" t="s">
        <v>1</v>
      </c>
      <c r="TPK14" s="108"/>
      <c r="TPL14" s="108"/>
      <c r="TPM14" s="109"/>
      <c r="TPN14" s="107" t="s">
        <v>1</v>
      </c>
      <c r="TPO14" s="108"/>
      <c r="TPP14" s="108"/>
      <c r="TPQ14" s="109"/>
      <c r="TPR14" s="107" t="s">
        <v>1</v>
      </c>
      <c r="TPS14" s="108"/>
      <c r="TPT14" s="108"/>
      <c r="TPU14" s="109"/>
      <c r="TPV14" s="107" t="s">
        <v>1</v>
      </c>
      <c r="TPW14" s="108"/>
      <c r="TPX14" s="108"/>
      <c r="TPY14" s="109"/>
      <c r="TPZ14" s="107" t="s">
        <v>1</v>
      </c>
      <c r="TQA14" s="108"/>
      <c r="TQB14" s="108"/>
      <c r="TQC14" s="109"/>
      <c r="TQD14" s="107" t="s">
        <v>1</v>
      </c>
      <c r="TQE14" s="108"/>
      <c r="TQF14" s="108"/>
      <c r="TQG14" s="109"/>
      <c r="TQH14" s="107" t="s">
        <v>1</v>
      </c>
      <c r="TQI14" s="108"/>
      <c r="TQJ14" s="108"/>
      <c r="TQK14" s="109"/>
      <c r="TQL14" s="107" t="s">
        <v>1</v>
      </c>
      <c r="TQM14" s="108"/>
      <c r="TQN14" s="108"/>
      <c r="TQO14" s="109"/>
      <c r="TQP14" s="107" t="s">
        <v>1</v>
      </c>
      <c r="TQQ14" s="108"/>
      <c r="TQR14" s="108"/>
      <c r="TQS14" s="109"/>
      <c r="TQT14" s="107" t="s">
        <v>1</v>
      </c>
      <c r="TQU14" s="108"/>
      <c r="TQV14" s="108"/>
      <c r="TQW14" s="109"/>
      <c r="TQX14" s="107" t="s">
        <v>1</v>
      </c>
      <c r="TQY14" s="108"/>
      <c r="TQZ14" s="108"/>
      <c r="TRA14" s="109"/>
      <c r="TRB14" s="107" t="s">
        <v>1</v>
      </c>
      <c r="TRC14" s="108"/>
      <c r="TRD14" s="108"/>
      <c r="TRE14" s="109"/>
      <c r="TRF14" s="107" t="s">
        <v>1</v>
      </c>
      <c r="TRG14" s="108"/>
      <c r="TRH14" s="108"/>
      <c r="TRI14" s="109"/>
      <c r="TRJ14" s="107" t="s">
        <v>1</v>
      </c>
      <c r="TRK14" s="108"/>
      <c r="TRL14" s="108"/>
      <c r="TRM14" s="109"/>
      <c r="TRN14" s="107" t="s">
        <v>1</v>
      </c>
      <c r="TRO14" s="108"/>
      <c r="TRP14" s="108"/>
      <c r="TRQ14" s="109"/>
      <c r="TRR14" s="107" t="s">
        <v>1</v>
      </c>
      <c r="TRS14" s="108"/>
      <c r="TRT14" s="108"/>
      <c r="TRU14" s="109"/>
      <c r="TRV14" s="107" t="s">
        <v>1</v>
      </c>
      <c r="TRW14" s="108"/>
      <c r="TRX14" s="108"/>
      <c r="TRY14" s="109"/>
      <c r="TRZ14" s="107" t="s">
        <v>1</v>
      </c>
      <c r="TSA14" s="108"/>
      <c r="TSB14" s="108"/>
      <c r="TSC14" s="109"/>
      <c r="TSD14" s="107" t="s">
        <v>1</v>
      </c>
      <c r="TSE14" s="108"/>
      <c r="TSF14" s="108"/>
      <c r="TSG14" s="109"/>
      <c r="TSH14" s="107" t="s">
        <v>1</v>
      </c>
      <c r="TSI14" s="108"/>
      <c r="TSJ14" s="108"/>
      <c r="TSK14" s="109"/>
      <c r="TSL14" s="107" t="s">
        <v>1</v>
      </c>
      <c r="TSM14" s="108"/>
      <c r="TSN14" s="108"/>
      <c r="TSO14" s="109"/>
      <c r="TSP14" s="107" t="s">
        <v>1</v>
      </c>
      <c r="TSQ14" s="108"/>
      <c r="TSR14" s="108"/>
      <c r="TSS14" s="109"/>
      <c r="TST14" s="107" t="s">
        <v>1</v>
      </c>
      <c r="TSU14" s="108"/>
      <c r="TSV14" s="108"/>
      <c r="TSW14" s="109"/>
      <c r="TSX14" s="107" t="s">
        <v>1</v>
      </c>
      <c r="TSY14" s="108"/>
      <c r="TSZ14" s="108"/>
      <c r="TTA14" s="109"/>
      <c r="TTB14" s="107" t="s">
        <v>1</v>
      </c>
      <c r="TTC14" s="108"/>
      <c r="TTD14" s="108"/>
      <c r="TTE14" s="109"/>
      <c r="TTF14" s="107" t="s">
        <v>1</v>
      </c>
      <c r="TTG14" s="108"/>
      <c r="TTH14" s="108"/>
      <c r="TTI14" s="109"/>
      <c r="TTJ14" s="107" t="s">
        <v>1</v>
      </c>
      <c r="TTK14" s="108"/>
      <c r="TTL14" s="108"/>
      <c r="TTM14" s="109"/>
      <c r="TTN14" s="107" t="s">
        <v>1</v>
      </c>
      <c r="TTO14" s="108"/>
      <c r="TTP14" s="108"/>
      <c r="TTQ14" s="109"/>
      <c r="TTR14" s="107" t="s">
        <v>1</v>
      </c>
      <c r="TTS14" s="108"/>
      <c r="TTT14" s="108"/>
      <c r="TTU14" s="109"/>
      <c r="TTV14" s="107" t="s">
        <v>1</v>
      </c>
      <c r="TTW14" s="108"/>
      <c r="TTX14" s="108"/>
      <c r="TTY14" s="109"/>
      <c r="TTZ14" s="107" t="s">
        <v>1</v>
      </c>
      <c r="TUA14" s="108"/>
      <c r="TUB14" s="108"/>
      <c r="TUC14" s="109"/>
      <c r="TUD14" s="107" t="s">
        <v>1</v>
      </c>
      <c r="TUE14" s="108"/>
      <c r="TUF14" s="108"/>
      <c r="TUG14" s="109"/>
      <c r="TUH14" s="107" t="s">
        <v>1</v>
      </c>
      <c r="TUI14" s="108"/>
      <c r="TUJ14" s="108"/>
      <c r="TUK14" s="109"/>
      <c r="TUL14" s="107" t="s">
        <v>1</v>
      </c>
      <c r="TUM14" s="108"/>
      <c r="TUN14" s="108"/>
      <c r="TUO14" s="109"/>
      <c r="TUP14" s="107" t="s">
        <v>1</v>
      </c>
      <c r="TUQ14" s="108"/>
      <c r="TUR14" s="108"/>
      <c r="TUS14" s="109"/>
      <c r="TUT14" s="107" t="s">
        <v>1</v>
      </c>
      <c r="TUU14" s="108"/>
      <c r="TUV14" s="108"/>
      <c r="TUW14" s="109"/>
      <c r="TUX14" s="107" t="s">
        <v>1</v>
      </c>
      <c r="TUY14" s="108"/>
      <c r="TUZ14" s="108"/>
      <c r="TVA14" s="109"/>
      <c r="TVB14" s="107" t="s">
        <v>1</v>
      </c>
      <c r="TVC14" s="108"/>
      <c r="TVD14" s="108"/>
      <c r="TVE14" s="109"/>
      <c r="TVF14" s="107" t="s">
        <v>1</v>
      </c>
      <c r="TVG14" s="108"/>
      <c r="TVH14" s="108"/>
      <c r="TVI14" s="109"/>
      <c r="TVJ14" s="107" t="s">
        <v>1</v>
      </c>
      <c r="TVK14" s="108"/>
      <c r="TVL14" s="108"/>
      <c r="TVM14" s="109"/>
      <c r="TVN14" s="107" t="s">
        <v>1</v>
      </c>
      <c r="TVO14" s="108"/>
      <c r="TVP14" s="108"/>
      <c r="TVQ14" s="109"/>
      <c r="TVR14" s="107" t="s">
        <v>1</v>
      </c>
      <c r="TVS14" s="108"/>
      <c r="TVT14" s="108"/>
      <c r="TVU14" s="109"/>
      <c r="TVV14" s="107" t="s">
        <v>1</v>
      </c>
      <c r="TVW14" s="108"/>
      <c r="TVX14" s="108"/>
      <c r="TVY14" s="109"/>
      <c r="TVZ14" s="107" t="s">
        <v>1</v>
      </c>
      <c r="TWA14" s="108"/>
      <c r="TWB14" s="108"/>
      <c r="TWC14" s="109"/>
      <c r="TWD14" s="107" t="s">
        <v>1</v>
      </c>
      <c r="TWE14" s="108"/>
      <c r="TWF14" s="108"/>
      <c r="TWG14" s="109"/>
      <c r="TWH14" s="107" t="s">
        <v>1</v>
      </c>
      <c r="TWI14" s="108"/>
      <c r="TWJ14" s="108"/>
      <c r="TWK14" s="109"/>
      <c r="TWL14" s="107" t="s">
        <v>1</v>
      </c>
      <c r="TWM14" s="108"/>
      <c r="TWN14" s="108"/>
      <c r="TWO14" s="109"/>
      <c r="TWP14" s="107" t="s">
        <v>1</v>
      </c>
      <c r="TWQ14" s="108"/>
      <c r="TWR14" s="108"/>
      <c r="TWS14" s="109"/>
      <c r="TWT14" s="107" t="s">
        <v>1</v>
      </c>
      <c r="TWU14" s="108"/>
      <c r="TWV14" s="108"/>
      <c r="TWW14" s="109"/>
      <c r="TWX14" s="107" t="s">
        <v>1</v>
      </c>
      <c r="TWY14" s="108"/>
      <c r="TWZ14" s="108"/>
      <c r="TXA14" s="109"/>
      <c r="TXB14" s="107" t="s">
        <v>1</v>
      </c>
      <c r="TXC14" s="108"/>
      <c r="TXD14" s="108"/>
      <c r="TXE14" s="109"/>
      <c r="TXF14" s="107" t="s">
        <v>1</v>
      </c>
      <c r="TXG14" s="108"/>
      <c r="TXH14" s="108"/>
      <c r="TXI14" s="109"/>
      <c r="TXJ14" s="107" t="s">
        <v>1</v>
      </c>
      <c r="TXK14" s="108"/>
      <c r="TXL14" s="108"/>
      <c r="TXM14" s="109"/>
      <c r="TXN14" s="107" t="s">
        <v>1</v>
      </c>
      <c r="TXO14" s="108"/>
      <c r="TXP14" s="108"/>
      <c r="TXQ14" s="109"/>
      <c r="TXR14" s="107" t="s">
        <v>1</v>
      </c>
      <c r="TXS14" s="108"/>
      <c r="TXT14" s="108"/>
      <c r="TXU14" s="109"/>
      <c r="TXV14" s="107" t="s">
        <v>1</v>
      </c>
      <c r="TXW14" s="108"/>
      <c r="TXX14" s="108"/>
      <c r="TXY14" s="109"/>
      <c r="TXZ14" s="107" t="s">
        <v>1</v>
      </c>
      <c r="TYA14" s="108"/>
      <c r="TYB14" s="108"/>
      <c r="TYC14" s="109"/>
      <c r="TYD14" s="107" t="s">
        <v>1</v>
      </c>
      <c r="TYE14" s="108"/>
      <c r="TYF14" s="108"/>
      <c r="TYG14" s="109"/>
      <c r="TYH14" s="107" t="s">
        <v>1</v>
      </c>
      <c r="TYI14" s="108"/>
      <c r="TYJ14" s="108"/>
      <c r="TYK14" s="109"/>
      <c r="TYL14" s="107" t="s">
        <v>1</v>
      </c>
      <c r="TYM14" s="108"/>
      <c r="TYN14" s="108"/>
      <c r="TYO14" s="109"/>
      <c r="TYP14" s="107" t="s">
        <v>1</v>
      </c>
      <c r="TYQ14" s="108"/>
      <c r="TYR14" s="108"/>
      <c r="TYS14" s="109"/>
      <c r="TYT14" s="107" t="s">
        <v>1</v>
      </c>
      <c r="TYU14" s="108"/>
      <c r="TYV14" s="108"/>
      <c r="TYW14" s="109"/>
      <c r="TYX14" s="107" t="s">
        <v>1</v>
      </c>
      <c r="TYY14" s="108"/>
      <c r="TYZ14" s="108"/>
      <c r="TZA14" s="109"/>
      <c r="TZB14" s="107" t="s">
        <v>1</v>
      </c>
      <c r="TZC14" s="108"/>
      <c r="TZD14" s="108"/>
      <c r="TZE14" s="109"/>
      <c r="TZF14" s="107" t="s">
        <v>1</v>
      </c>
      <c r="TZG14" s="108"/>
      <c r="TZH14" s="108"/>
      <c r="TZI14" s="109"/>
      <c r="TZJ14" s="107" t="s">
        <v>1</v>
      </c>
      <c r="TZK14" s="108"/>
      <c r="TZL14" s="108"/>
      <c r="TZM14" s="109"/>
      <c r="TZN14" s="107" t="s">
        <v>1</v>
      </c>
      <c r="TZO14" s="108"/>
      <c r="TZP14" s="108"/>
      <c r="TZQ14" s="109"/>
      <c r="TZR14" s="107" t="s">
        <v>1</v>
      </c>
      <c r="TZS14" s="108"/>
      <c r="TZT14" s="108"/>
      <c r="TZU14" s="109"/>
      <c r="TZV14" s="107" t="s">
        <v>1</v>
      </c>
      <c r="TZW14" s="108"/>
      <c r="TZX14" s="108"/>
      <c r="TZY14" s="109"/>
      <c r="TZZ14" s="107" t="s">
        <v>1</v>
      </c>
      <c r="UAA14" s="108"/>
      <c r="UAB14" s="108"/>
      <c r="UAC14" s="109"/>
      <c r="UAD14" s="107" t="s">
        <v>1</v>
      </c>
      <c r="UAE14" s="108"/>
      <c r="UAF14" s="108"/>
      <c r="UAG14" s="109"/>
      <c r="UAH14" s="107" t="s">
        <v>1</v>
      </c>
      <c r="UAI14" s="108"/>
      <c r="UAJ14" s="108"/>
      <c r="UAK14" s="109"/>
      <c r="UAL14" s="107" t="s">
        <v>1</v>
      </c>
      <c r="UAM14" s="108"/>
      <c r="UAN14" s="108"/>
      <c r="UAO14" s="109"/>
      <c r="UAP14" s="107" t="s">
        <v>1</v>
      </c>
      <c r="UAQ14" s="108"/>
      <c r="UAR14" s="108"/>
      <c r="UAS14" s="109"/>
      <c r="UAT14" s="107" t="s">
        <v>1</v>
      </c>
      <c r="UAU14" s="108"/>
      <c r="UAV14" s="108"/>
      <c r="UAW14" s="109"/>
      <c r="UAX14" s="107" t="s">
        <v>1</v>
      </c>
      <c r="UAY14" s="108"/>
      <c r="UAZ14" s="108"/>
      <c r="UBA14" s="109"/>
      <c r="UBB14" s="107" t="s">
        <v>1</v>
      </c>
      <c r="UBC14" s="108"/>
      <c r="UBD14" s="108"/>
      <c r="UBE14" s="109"/>
      <c r="UBF14" s="107" t="s">
        <v>1</v>
      </c>
      <c r="UBG14" s="108"/>
      <c r="UBH14" s="108"/>
      <c r="UBI14" s="109"/>
      <c r="UBJ14" s="107" t="s">
        <v>1</v>
      </c>
      <c r="UBK14" s="108"/>
      <c r="UBL14" s="108"/>
      <c r="UBM14" s="109"/>
      <c r="UBN14" s="107" t="s">
        <v>1</v>
      </c>
      <c r="UBO14" s="108"/>
      <c r="UBP14" s="108"/>
      <c r="UBQ14" s="109"/>
      <c r="UBR14" s="107" t="s">
        <v>1</v>
      </c>
      <c r="UBS14" s="108"/>
      <c r="UBT14" s="108"/>
      <c r="UBU14" s="109"/>
      <c r="UBV14" s="107" t="s">
        <v>1</v>
      </c>
      <c r="UBW14" s="108"/>
      <c r="UBX14" s="108"/>
      <c r="UBY14" s="109"/>
      <c r="UBZ14" s="107" t="s">
        <v>1</v>
      </c>
      <c r="UCA14" s="108"/>
      <c r="UCB14" s="108"/>
      <c r="UCC14" s="109"/>
      <c r="UCD14" s="107" t="s">
        <v>1</v>
      </c>
      <c r="UCE14" s="108"/>
      <c r="UCF14" s="108"/>
      <c r="UCG14" s="109"/>
      <c r="UCH14" s="107" t="s">
        <v>1</v>
      </c>
      <c r="UCI14" s="108"/>
      <c r="UCJ14" s="108"/>
      <c r="UCK14" s="109"/>
      <c r="UCL14" s="107" t="s">
        <v>1</v>
      </c>
      <c r="UCM14" s="108"/>
      <c r="UCN14" s="108"/>
      <c r="UCO14" s="109"/>
      <c r="UCP14" s="107" t="s">
        <v>1</v>
      </c>
      <c r="UCQ14" s="108"/>
      <c r="UCR14" s="108"/>
      <c r="UCS14" s="109"/>
      <c r="UCT14" s="107" t="s">
        <v>1</v>
      </c>
      <c r="UCU14" s="108"/>
      <c r="UCV14" s="108"/>
      <c r="UCW14" s="109"/>
      <c r="UCX14" s="107" t="s">
        <v>1</v>
      </c>
      <c r="UCY14" s="108"/>
      <c r="UCZ14" s="108"/>
      <c r="UDA14" s="109"/>
      <c r="UDB14" s="107" t="s">
        <v>1</v>
      </c>
      <c r="UDC14" s="108"/>
      <c r="UDD14" s="108"/>
      <c r="UDE14" s="109"/>
      <c r="UDF14" s="107" t="s">
        <v>1</v>
      </c>
      <c r="UDG14" s="108"/>
      <c r="UDH14" s="108"/>
      <c r="UDI14" s="109"/>
      <c r="UDJ14" s="107" t="s">
        <v>1</v>
      </c>
      <c r="UDK14" s="108"/>
      <c r="UDL14" s="108"/>
      <c r="UDM14" s="109"/>
      <c r="UDN14" s="107" t="s">
        <v>1</v>
      </c>
      <c r="UDO14" s="108"/>
      <c r="UDP14" s="108"/>
      <c r="UDQ14" s="109"/>
      <c r="UDR14" s="107" t="s">
        <v>1</v>
      </c>
      <c r="UDS14" s="108"/>
      <c r="UDT14" s="108"/>
      <c r="UDU14" s="109"/>
      <c r="UDV14" s="107" t="s">
        <v>1</v>
      </c>
      <c r="UDW14" s="108"/>
      <c r="UDX14" s="108"/>
      <c r="UDY14" s="109"/>
      <c r="UDZ14" s="107" t="s">
        <v>1</v>
      </c>
      <c r="UEA14" s="108"/>
      <c r="UEB14" s="108"/>
      <c r="UEC14" s="109"/>
      <c r="UED14" s="107" t="s">
        <v>1</v>
      </c>
      <c r="UEE14" s="108"/>
      <c r="UEF14" s="108"/>
      <c r="UEG14" s="109"/>
      <c r="UEH14" s="107" t="s">
        <v>1</v>
      </c>
      <c r="UEI14" s="108"/>
      <c r="UEJ14" s="108"/>
      <c r="UEK14" s="109"/>
      <c r="UEL14" s="107" t="s">
        <v>1</v>
      </c>
      <c r="UEM14" s="108"/>
      <c r="UEN14" s="108"/>
      <c r="UEO14" s="109"/>
      <c r="UEP14" s="107" t="s">
        <v>1</v>
      </c>
      <c r="UEQ14" s="108"/>
      <c r="UER14" s="108"/>
      <c r="UES14" s="109"/>
      <c r="UET14" s="107" t="s">
        <v>1</v>
      </c>
      <c r="UEU14" s="108"/>
      <c r="UEV14" s="108"/>
      <c r="UEW14" s="109"/>
      <c r="UEX14" s="107" t="s">
        <v>1</v>
      </c>
      <c r="UEY14" s="108"/>
      <c r="UEZ14" s="108"/>
      <c r="UFA14" s="109"/>
      <c r="UFB14" s="107" t="s">
        <v>1</v>
      </c>
      <c r="UFC14" s="108"/>
      <c r="UFD14" s="108"/>
      <c r="UFE14" s="109"/>
      <c r="UFF14" s="107" t="s">
        <v>1</v>
      </c>
      <c r="UFG14" s="108"/>
      <c r="UFH14" s="108"/>
      <c r="UFI14" s="109"/>
      <c r="UFJ14" s="107" t="s">
        <v>1</v>
      </c>
      <c r="UFK14" s="108"/>
      <c r="UFL14" s="108"/>
      <c r="UFM14" s="109"/>
      <c r="UFN14" s="107" t="s">
        <v>1</v>
      </c>
      <c r="UFO14" s="108"/>
      <c r="UFP14" s="108"/>
      <c r="UFQ14" s="109"/>
      <c r="UFR14" s="107" t="s">
        <v>1</v>
      </c>
      <c r="UFS14" s="108"/>
      <c r="UFT14" s="108"/>
      <c r="UFU14" s="109"/>
      <c r="UFV14" s="107" t="s">
        <v>1</v>
      </c>
      <c r="UFW14" s="108"/>
      <c r="UFX14" s="108"/>
      <c r="UFY14" s="109"/>
      <c r="UFZ14" s="107" t="s">
        <v>1</v>
      </c>
      <c r="UGA14" s="108"/>
      <c r="UGB14" s="108"/>
      <c r="UGC14" s="109"/>
      <c r="UGD14" s="107" t="s">
        <v>1</v>
      </c>
      <c r="UGE14" s="108"/>
      <c r="UGF14" s="108"/>
      <c r="UGG14" s="109"/>
      <c r="UGH14" s="107" t="s">
        <v>1</v>
      </c>
      <c r="UGI14" s="108"/>
      <c r="UGJ14" s="108"/>
      <c r="UGK14" s="109"/>
      <c r="UGL14" s="107" t="s">
        <v>1</v>
      </c>
      <c r="UGM14" s="108"/>
      <c r="UGN14" s="108"/>
      <c r="UGO14" s="109"/>
      <c r="UGP14" s="107" t="s">
        <v>1</v>
      </c>
      <c r="UGQ14" s="108"/>
      <c r="UGR14" s="108"/>
      <c r="UGS14" s="109"/>
      <c r="UGT14" s="107" t="s">
        <v>1</v>
      </c>
      <c r="UGU14" s="108"/>
      <c r="UGV14" s="108"/>
      <c r="UGW14" s="109"/>
      <c r="UGX14" s="107" t="s">
        <v>1</v>
      </c>
      <c r="UGY14" s="108"/>
      <c r="UGZ14" s="108"/>
      <c r="UHA14" s="109"/>
      <c r="UHB14" s="107" t="s">
        <v>1</v>
      </c>
      <c r="UHC14" s="108"/>
      <c r="UHD14" s="108"/>
      <c r="UHE14" s="109"/>
      <c r="UHF14" s="107" t="s">
        <v>1</v>
      </c>
      <c r="UHG14" s="108"/>
      <c r="UHH14" s="108"/>
      <c r="UHI14" s="109"/>
      <c r="UHJ14" s="107" t="s">
        <v>1</v>
      </c>
      <c r="UHK14" s="108"/>
      <c r="UHL14" s="108"/>
      <c r="UHM14" s="109"/>
      <c r="UHN14" s="107" t="s">
        <v>1</v>
      </c>
      <c r="UHO14" s="108"/>
      <c r="UHP14" s="108"/>
      <c r="UHQ14" s="109"/>
      <c r="UHR14" s="107" t="s">
        <v>1</v>
      </c>
      <c r="UHS14" s="108"/>
      <c r="UHT14" s="108"/>
      <c r="UHU14" s="109"/>
      <c r="UHV14" s="107" t="s">
        <v>1</v>
      </c>
      <c r="UHW14" s="108"/>
      <c r="UHX14" s="108"/>
      <c r="UHY14" s="109"/>
      <c r="UHZ14" s="107" t="s">
        <v>1</v>
      </c>
      <c r="UIA14" s="108"/>
      <c r="UIB14" s="108"/>
      <c r="UIC14" s="109"/>
      <c r="UID14" s="107" t="s">
        <v>1</v>
      </c>
      <c r="UIE14" s="108"/>
      <c r="UIF14" s="108"/>
      <c r="UIG14" s="109"/>
      <c r="UIH14" s="107" t="s">
        <v>1</v>
      </c>
      <c r="UII14" s="108"/>
      <c r="UIJ14" s="108"/>
      <c r="UIK14" s="109"/>
      <c r="UIL14" s="107" t="s">
        <v>1</v>
      </c>
      <c r="UIM14" s="108"/>
      <c r="UIN14" s="108"/>
      <c r="UIO14" s="109"/>
      <c r="UIP14" s="107" t="s">
        <v>1</v>
      </c>
      <c r="UIQ14" s="108"/>
      <c r="UIR14" s="108"/>
      <c r="UIS14" s="109"/>
      <c r="UIT14" s="107" t="s">
        <v>1</v>
      </c>
      <c r="UIU14" s="108"/>
      <c r="UIV14" s="108"/>
      <c r="UIW14" s="109"/>
      <c r="UIX14" s="107" t="s">
        <v>1</v>
      </c>
      <c r="UIY14" s="108"/>
      <c r="UIZ14" s="108"/>
      <c r="UJA14" s="109"/>
      <c r="UJB14" s="107" t="s">
        <v>1</v>
      </c>
      <c r="UJC14" s="108"/>
      <c r="UJD14" s="108"/>
      <c r="UJE14" s="109"/>
      <c r="UJF14" s="107" t="s">
        <v>1</v>
      </c>
      <c r="UJG14" s="108"/>
      <c r="UJH14" s="108"/>
      <c r="UJI14" s="109"/>
      <c r="UJJ14" s="107" t="s">
        <v>1</v>
      </c>
      <c r="UJK14" s="108"/>
      <c r="UJL14" s="108"/>
      <c r="UJM14" s="109"/>
      <c r="UJN14" s="107" t="s">
        <v>1</v>
      </c>
      <c r="UJO14" s="108"/>
      <c r="UJP14" s="108"/>
      <c r="UJQ14" s="109"/>
      <c r="UJR14" s="107" t="s">
        <v>1</v>
      </c>
      <c r="UJS14" s="108"/>
      <c r="UJT14" s="108"/>
      <c r="UJU14" s="109"/>
      <c r="UJV14" s="107" t="s">
        <v>1</v>
      </c>
      <c r="UJW14" s="108"/>
      <c r="UJX14" s="108"/>
      <c r="UJY14" s="109"/>
      <c r="UJZ14" s="107" t="s">
        <v>1</v>
      </c>
      <c r="UKA14" s="108"/>
      <c r="UKB14" s="108"/>
      <c r="UKC14" s="109"/>
      <c r="UKD14" s="107" t="s">
        <v>1</v>
      </c>
      <c r="UKE14" s="108"/>
      <c r="UKF14" s="108"/>
      <c r="UKG14" s="109"/>
      <c r="UKH14" s="107" t="s">
        <v>1</v>
      </c>
      <c r="UKI14" s="108"/>
      <c r="UKJ14" s="108"/>
      <c r="UKK14" s="109"/>
      <c r="UKL14" s="107" t="s">
        <v>1</v>
      </c>
      <c r="UKM14" s="108"/>
      <c r="UKN14" s="108"/>
      <c r="UKO14" s="109"/>
      <c r="UKP14" s="107" t="s">
        <v>1</v>
      </c>
      <c r="UKQ14" s="108"/>
      <c r="UKR14" s="108"/>
      <c r="UKS14" s="109"/>
      <c r="UKT14" s="107" t="s">
        <v>1</v>
      </c>
      <c r="UKU14" s="108"/>
      <c r="UKV14" s="108"/>
      <c r="UKW14" s="109"/>
      <c r="UKX14" s="107" t="s">
        <v>1</v>
      </c>
      <c r="UKY14" s="108"/>
      <c r="UKZ14" s="108"/>
      <c r="ULA14" s="109"/>
      <c r="ULB14" s="107" t="s">
        <v>1</v>
      </c>
      <c r="ULC14" s="108"/>
      <c r="ULD14" s="108"/>
      <c r="ULE14" s="109"/>
      <c r="ULF14" s="107" t="s">
        <v>1</v>
      </c>
      <c r="ULG14" s="108"/>
      <c r="ULH14" s="108"/>
      <c r="ULI14" s="109"/>
      <c r="ULJ14" s="107" t="s">
        <v>1</v>
      </c>
      <c r="ULK14" s="108"/>
      <c r="ULL14" s="108"/>
      <c r="ULM14" s="109"/>
      <c r="ULN14" s="107" t="s">
        <v>1</v>
      </c>
      <c r="ULO14" s="108"/>
      <c r="ULP14" s="108"/>
      <c r="ULQ14" s="109"/>
      <c r="ULR14" s="107" t="s">
        <v>1</v>
      </c>
      <c r="ULS14" s="108"/>
      <c r="ULT14" s="108"/>
      <c r="ULU14" s="109"/>
      <c r="ULV14" s="107" t="s">
        <v>1</v>
      </c>
      <c r="ULW14" s="108"/>
      <c r="ULX14" s="108"/>
      <c r="ULY14" s="109"/>
      <c r="ULZ14" s="107" t="s">
        <v>1</v>
      </c>
      <c r="UMA14" s="108"/>
      <c r="UMB14" s="108"/>
      <c r="UMC14" s="109"/>
      <c r="UMD14" s="107" t="s">
        <v>1</v>
      </c>
      <c r="UME14" s="108"/>
      <c r="UMF14" s="108"/>
      <c r="UMG14" s="109"/>
      <c r="UMH14" s="107" t="s">
        <v>1</v>
      </c>
      <c r="UMI14" s="108"/>
      <c r="UMJ14" s="108"/>
      <c r="UMK14" s="109"/>
      <c r="UML14" s="107" t="s">
        <v>1</v>
      </c>
      <c r="UMM14" s="108"/>
      <c r="UMN14" s="108"/>
      <c r="UMO14" s="109"/>
      <c r="UMP14" s="107" t="s">
        <v>1</v>
      </c>
      <c r="UMQ14" s="108"/>
      <c r="UMR14" s="108"/>
      <c r="UMS14" s="109"/>
      <c r="UMT14" s="107" t="s">
        <v>1</v>
      </c>
      <c r="UMU14" s="108"/>
      <c r="UMV14" s="108"/>
      <c r="UMW14" s="109"/>
      <c r="UMX14" s="107" t="s">
        <v>1</v>
      </c>
      <c r="UMY14" s="108"/>
      <c r="UMZ14" s="108"/>
      <c r="UNA14" s="109"/>
      <c r="UNB14" s="107" t="s">
        <v>1</v>
      </c>
      <c r="UNC14" s="108"/>
      <c r="UND14" s="108"/>
      <c r="UNE14" s="109"/>
      <c r="UNF14" s="107" t="s">
        <v>1</v>
      </c>
      <c r="UNG14" s="108"/>
      <c r="UNH14" s="108"/>
      <c r="UNI14" s="109"/>
      <c r="UNJ14" s="107" t="s">
        <v>1</v>
      </c>
      <c r="UNK14" s="108"/>
      <c r="UNL14" s="108"/>
      <c r="UNM14" s="109"/>
      <c r="UNN14" s="107" t="s">
        <v>1</v>
      </c>
      <c r="UNO14" s="108"/>
      <c r="UNP14" s="108"/>
      <c r="UNQ14" s="109"/>
      <c r="UNR14" s="107" t="s">
        <v>1</v>
      </c>
      <c r="UNS14" s="108"/>
      <c r="UNT14" s="108"/>
      <c r="UNU14" s="109"/>
      <c r="UNV14" s="107" t="s">
        <v>1</v>
      </c>
      <c r="UNW14" s="108"/>
      <c r="UNX14" s="108"/>
      <c r="UNY14" s="109"/>
      <c r="UNZ14" s="107" t="s">
        <v>1</v>
      </c>
      <c r="UOA14" s="108"/>
      <c r="UOB14" s="108"/>
      <c r="UOC14" s="109"/>
      <c r="UOD14" s="107" t="s">
        <v>1</v>
      </c>
      <c r="UOE14" s="108"/>
      <c r="UOF14" s="108"/>
      <c r="UOG14" s="109"/>
      <c r="UOH14" s="107" t="s">
        <v>1</v>
      </c>
      <c r="UOI14" s="108"/>
      <c r="UOJ14" s="108"/>
      <c r="UOK14" s="109"/>
      <c r="UOL14" s="107" t="s">
        <v>1</v>
      </c>
      <c r="UOM14" s="108"/>
      <c r="UON14" s="108"/>
      <c r="UOO14" s="109"/>
      <c r="UOP14" s="107" t="s">
        <v>1</v>
      </c>
      <c r="UOQ14" s="108"/>
      <c r="UOR14" s="108"/>
      <c r="UOS14" s="109"/>
      <c r="UOT14" s="107" t="s">
        <v>1</v>
      </c>
      <c r="UOU14" s="108"/>
      <c r="UOV14" s="108"/>
      <c r="UOW14" s="109"/>
      <c r="UOX14" s="107" t="s">
        <v>1</v>
      </c>
      <c r="UOY14" s="108"/>
      <c r="UOZ14" s="108"/>
      <c r="UPA14" s="109"/>
      <c r="UPB14" s="107" t="s">
        <v>1</v>
      </c>
      <c r="UPC14" s="108"/>
      <c r="UPD14" s="108"/>
      <c r="UPE14" s="109"/>
      <c r="UPF14" s="107" t="s">
        <v>1</v>
      </c>
      <c r="UPG14" s="108"/>
      <c r="UPH14" s="108"/>
      <c r="UPI14" s="109"/>
      <c r="UPJ14" s="107" t="s">
        <v>1</v>
      </c>
      <c r="UPK14" s="108"/>
      <c r="UPL14" s="108"/>
      <c r="UPM14" s="109"/>
      <c r="UPN14" s="107" t="s">
        <v>1</v>
      </c>
      <c r="UPO14" s="108"/>
      <c r="UPP14" s="108"/>
      <c r="UPQ14" s="109"/>
      <c r="UPR14" s="107" t="s">
        <v>1</v>
      </c>
      <c r="UPS14" s="108"/>
      <c r="UPT14" s="108"/>
      <c r="UPU14" s="109"/>
      <c r="UPV14" s="107" t="s">
        <v>1</v>
      </c>
      <c r="UPW14" s="108"/>
      <c r="UPX14" s="108"/>
      <c r="UPY14" s="109"/>
      <c r="UPZ14" s="107" t="s">
        <v>1</v>
      </c>
      <c r="UQA14" s="108"/>
      <c r="UQB14" s="108"/>
      <c r="UQC14" s="109"/>
      <c r="UQD14" s="107" t="s">
        <v>1</v>
      </c>
      <c r="UQE14" s="108"/>
      <c r="UQF14" s="108"/>
      <c r="UQG14" s="109"/>
      <c r="UQH14" s="107" t="s">
        <v>1</v>
      </c>
      <c r="UQI14" s="108"/>
      <c r="UQJ14" s="108"/>
      <c r="UQK14" s="109"/>
      <c r="UQL14" s="107" t="s">
        <v>1</v>
      </c>
      <c r="UQM14" s="108"/>
      <c r="UQN14" s="108"/>
      <c r="UQO14" s="109"/>
      <c r="UQP14" s="107" t="s">
        <v>1</v>
      </c>
      <c r="UQQ14" s="108"/>
      <c r="UQR14" s="108"/>
      <c r="UQS14" s="109"/>
      <c r="UQT14" s="107" t="s">
        <v>1</v>
      </c>
      <c r="UQU14" s="108"/>
      <c r="UQV14" s="108"/>
      <c r="UQW14" s="109"/>
      <c r="UQX14" s="107" t="s">
        <v>1</v>
      </c>
      <c r="UQY14" s="108"/>
      <c r="UQZ14" s="108"/>
      <c r="URA14" s="109"/>
      <c r="URB14" s="107" t="s">
        <v>1</v>
      </c>
      <c r="URC14" s="108"/>
      <c r="URD14" s="108"/>
      <c r="URE14" s="109"/>
      <c r="URF14" s="107" t="s">
        <v>1</v>
      </c>
      <c r="URG14" s="108"/>
      <c r="URH14" s="108"/>
      <c r="URI14" s="109"/>
      <c r="URJ14" s="107" t="s">
        <v>1</v>
      </c>
      <c r="URK14" s="108"/>
      <c r="URL14" s="108"/>
      <c r="URM14" s="109"/>
      <c r="URN14" s="107" t="s">
        <v>1</v>
      </c>
      <c r="URO14" s="108"/>
      <c r="URP14" s="108"/>
      <c r="URQ14" s="109"/>
      <c r="URR14" s="107" t="s">
        <v>1</v>
      </c>
      <c r="URS14" s="108"/>
      <c r="URT14" s="108"/>
      <c r="URU14" s="109"/>
      <c r="URV14" s="107" t="s">
        <v>1</v>
      </c>
      <c r="URW14" s="108"/>
      <c r="URX14" s="108"/>
      <c r="URY14" s="109"/>
      <c r="URZ14" s="107" t="s">
        <v>1</v>
      </c>
      <c r="USA14" s="108"/>
      <c r="USB14" s="108"/>
      <c r="USC14" s="109"/>
      <c r="USD14" s="107" t="s">
        <v>1</v>
      </c>
      <c r="USE14" s="108"/>
      <c r="USF14" s="108"/>
      <c r="USG14" s="109"/>
      <c r="USH14" s="107" t="s">
        <v>1</v>
      </c>
      <c r="USI14" s="108"/>
      <c r="USJ14" s="108"/>
      <c r="USK14" s="109"/>
      <c r="USL14" s="107" t="s">
        <v>1</v>
      </c>
      <c r="USM14" s="108"/>
      <c r="USN14" s="108"/>
      <c r="USO14" s="109"/>
      <c r="USP14" s="107" t="s">
        <v>1</v>
      </c>
      <c r="USQ14" s="108"/>
      <c r="USR14" s="108"/>
      <c r="USS14" s="109"/>
      <c r="UST14" s="107" t="s">
        <v>1</v>
      </c>
      <c r="USU14" s="108"/>
      <c r="USV14" s="108"/>
      <c r="USW14" s="109"/>
      <c r="USX14" s="107" t="s">
        <v>1</v>
      </c>
      <c r="USY14" s="108"/>
      <c r="USZ14" s="108"/>
      <c r="UTA14" s="109"/>
      <c r="UTB14" s="107" t="s">
        <v>1</v>
      </c>
      <c r="UTC14" s="108"/>
      <c r="UTD14" s="108"/>
      <c r="UTE14" s="109"/>
      <c r="UTF14" s="107" t="s">
        <v>1</v>
      </c>
      <c r="UTG14" s="108"/>
      <c r="UTH14" s="108"/>
      <c r="UTI14" s="109"/>
      <c r="UTJ14" s="107" t="s">
        <v>1</v>
      </c>
      <c r="UTK14" s="108"/>
      <c r="UTL14" s="108"/>
      <c r="UTM14" s="109"/>
      <c r="UTN14" s="107" t="s">
        <v>1</v>
      </c>
      <c r="UTO14" s="108"/>
      <c r="UTP14" s="108"/>
      <c r="UTQ14" s="109"/>
      <c r="UTR14" s="107" t="s">
        <v>1</v>
      </c>
      <c r="UTS14" s="108"/>
      <c r="UTT14" s="108"/>
      <c r="UTU14" s="109"/>
      <c r="UTV14" s="107" t="s">
        <v>1</v>
      </c>
      <c r="UTW14" s="108"/>
      <c r="UTX14" s="108"/>
      <c r="UTY14" s="109"/>
      <c r="UTZ14" s="107" t="s">
        <v>1</v>
      </c>
      <c r="UUA14" s="108"/>
      <c r="UUB14" s="108"/>
      <c r="UUC14" s="109"/>
      <c r="UUD14" s="107" t="s">
        <v>1</v>
      </c>
      <c r="UUE14" s="108"/>
      <c r="UUF14" s="108"/>
      <c r="UUG14" s="109"/>
      <c r="UUH14" s="107" t="s">
        <v>1</v>
      </c>
      <c r="UUI14" s="108"/>
      <c r="UUJ14" s="108"/>
      <c r="UUK14" s="109"/>
      <c r="UUL14" s="107" t="s">
        <v>1</v>
      </c>
      <c r="UUM14" s="108"/>
      <c r="UUN14" s="108"/>
      <c r="UUO14" s="109"/>
      <c r="UUP14" s="107" t="s">
        <v>1</v>
      </c>
      <c r="UUQ14" s="108"/>
      <c r="UUR14" s="108"/>
      <c r="UUS14" s="109"/>
      <c r="UUT14" s="107" t="s">
        <v>1</v>
      </c>
      <c r="UUU14" s="108"/>
      <c r="UUV14" s="108"/>
      <c r="UUW14" s="109"/>
      <c r="UUX14" s="107" t="s">
        <v>1</v>
      </c>
      <c r="UUY14" s="108"/>
      <c r="UUZ14" s="108"/>
      <c r="UVA14" s="109"/>
      <c r="UVB14" s="107" t="s">
        <v>1</v>
      </c>
      <c r="UVC14" s="108"/>
      <c r="UVD14" s="108"/>
      <c r="UVE14" s="109"/>
      <c r="UVF14" s="107" t="s">
        <v>1</v>
      </c>
      <c r="UVG14" s="108"/>
      <c r="UVH14" s="108"/>
      <c r="UVI14" s="109"/>
      <c r="UVJ14" s="107" t="s">
        <v>1</v>
      </c>
      <c r="UVK14" s="108"/>
      <c r="UVL14" s="108"/>
      <c r="UVM14" s="109"/>
      <c r="UVN14" s="107" t="s">
        <v>1</v>
      </c>
      <c r="UVO14" s="108"/>
      <c r="UVP14" s="108"/>
      <c r="UVQ14" s="109"/>
      <c r="UVR14" s="107" t="s">
        <v>1</v>
      </c>
      <c r="UVS14" s="108"/>
      <c r="UVT14" s="108"/>
      <c r="UVU14" s="109"/>
      <c r="UVV14" s="107" t="s">
        <v>1</v>
      </c>
      <c r="UVW14" s="108"/>
      <c r="UVX14" s="108"/>
      <c r="UVY14" s="109"/>
      <c r="UVZ14" s="107" t="s">
        <v>1</v>
      </c>
      <c r="UWA14" s="108"/>
      <c r="UWB14" s="108"/>
      <c r="UWC14" s="109"/>
      <c r="UWD14" s="107" t="s">
        <v>1</v>
      </c>
      <c r="UWE14" s="108"/>
      <c r="UWF14" s="108"/>
      <c r="UWG14" s="109"/>
      <c r="UWH14" s="107" t="s">
        <v>1</v>
      </c>
      <c r="UWI14" s="108"/>
      <c r="UWJ14" s="108"/>
      <c r="UWK14" s="109"/>
      <c r="UWL14" s="107" t="s">
        <v>1</v>
      </c>
      <c r="UWM14" s="108"/>
      <c r="UWN14" s="108"/>
      <c r="UWO14" s="109"/>
      <c r="UWP14" s="107" t="s">
        <v>1</v>
      </c>
      <c r="UWQ14" s="108"/>
      <c r="UWR14" s="108"/>
      <c r="UWS14" s="109"/>
      <c r="UWT14" s="107" t="s">
        <v>1</v>
      </c>
      <c r="UWU14" s="108"/>
      <c r="UWV14" s="108"/>
      <c r="UWW14" s="109"/>
      <c r="UWX14" s="107" t="s">
        <v>1</v>
      </c>
      <c r="UWY14" s="108"/>
      <c r="UWZ14" s="108"/>
      <c r="UXA14" s="109"/>
      <c r="UXB14" s="107" t="s">
        <v>1</v>
      </c>
      <c r="UXC14" s="108"/>
      <c r="UXD14" s="108"/>
      <c r="UXE14" s="109"/>
      <c r="UXF14" s="107" t="s">
        <v>1</v>
      </c>
      <c r="UXG14" s="108"/>
      <c r="UXH14" s="108"/>
      <c r="UXI14" s="109"/>
      <c r="UXJ14" s="107" t="s">
        <v>1</v>
      </c>
      <c r="UXK14" s="108"/>
      <c r="UXL14" s="108"/>
      <c r="UXM14" s="109"/>
      <c r="UXN14" s="107" t="s">
        <v>1</v>
      </c>
      <c r="UXO14" s="108"/>
      <c r="UXP14" s="108"/>
      <c r="UXQ14" s="109"/>
      <c r="UXR14" s="107" t="s">
        <v>1</v>
      </c>
      <c r="UXS14" s="108"/>
      <c r="UXT14" s="108"/>
      <c r="UXU14" s="109"/>
      <c r="UXV14" s="107" t="s">
        <v>1</v>
      </c>
      <c r="UXW14" s="108"/>
      <c r="UXX14" s="108"/>
      <c r="UXY14" s="109"/>
      <c r="UXZ14" s="107" t="s">
        <v>1</v>
      </c>
      <c r="UYA14" s="108"/>
      <c r="UYB14" s="108"/>
      <c r="UYC14" s="109"/>
      <c r="UYD14" s="107" t="s">
        <v>1</v>
      </c>
      <c r="UYE14" s="108"/>
      <c r="UYF14" s="108"/>
      <c r="UYG14" s="109"/>
      <c r="UYH14" s="107" t="s">
        <v>1</v>
      </c>
      <c r="UYI14" s="108"/>
      <c r="UYJ14" s="108"/>
      <c r="UYK14" s="109"/>
      <c r="UYL14" s="107" t="s">
        <v>1</v>
      </c>
      <c r="UYM14" s="108"/>
      <c r="UYN14" s="108"/>
      <c r="UYO14" s="109"/>
      <c r="UYP14" s="107" t="s">
        <v>1</v>
      </c>
      <c r="UYQ14" s="108"/>
      <c r="UYR14" s="108"/>
      <c r="UYS14" s="109"/>
      <c r="UYT14" s="107" t="s">
        <v>1</v>
      </c>
      <c r="UYU14" s="108"/>
      <c r="UYV14" s="108"/>
      <c r="UYW14" s="109"/>
      <c r="UYX14" s="107" t="s">
        <v>1</v>
      </c>
      <c r="UYY14" s="108"/>
      <c r="UYZ14" s="108"/>
      <c r="UZA14" s="109"/>
      <c r="UZB14" s="107" t="s">
        <v>1</v>
      </c>
      <c r="UZC14" s="108"/>
      <c r="UZD14" s="108"/>
      <c r="UZE14" s="109"/>
      <c r="UZF14" s="107" t="s">
        <v>1</v>
      </c>
      <c r="UZG14" s="108"/>
      <c r="UZH14" s="108"/>
      <c r="UZI14" s="109"/>
      <c r="UZJ14" s="107" t="s">
        <v>1</v>
      </c>
      <c r="UZK14" s="108"/>
      <c r="UZL14" s="108"/>
      <c r="UZM14" s="109"/>
      <c r="UZN14" s="107" t="s">
        <v>1</v>
      </c>
      <c r="UZO14" s="108"/>
      <c r="UZP14" s="108"/>
      <c r="UZQ14" s="109"/>
      <c r="UZR14" s="107" t="s">
        <v>1</v>
      </c>
      <c r="UZS14" s="108"/>
      <c r="UZT14" s="108"/>
      <c r="UZU14" s="109"/>
      <c r="UZV14" s="107" t="s">
        <v>1</v>
      </c>
      <c r="UZW14" s="108"/>
      <c r="UZX14" s="108"/>
      <c r="UZY14" s="109"/>
      <c r="UZZ14" s="107" t="s">
        <v>1</v>
      </c>
      <c r="VAA14" s="108"/>
      <c r="VAB14" s="108"/>
      <c r="VAC14" s="109"/>
      <c r="VAD14" s="107" t="s">
        <v>1</v>
      </c>
      <c r="VAE14" s="108"/>
      <c r="VAF14" s="108"/>
      <c r="VAG14" s="109"/>
      <c r="VAH14" s="107" t="s">
        <v>1</v>
      </c>
      <c r="VAI14" s="108"/>
      <c r="VAJ14" s="108"/>
      <c r="VAK14" s="109"/>
      <c r="VAL14" s="107" t="s">
        <v>1</v>
      </c>
      <c r="VAM14" s="108"/>
      <c r="VAN14" s="108"/>
      <c r="VAO14" s="109"/>
      <c r="VAP14" s="107" t="s">
        <v>1</v>
      </c>
      <c r="VAQ14" s="108"/>
      <c r="VAR14" s="108"/>
      <c r="VAS14" s="109"/>
      <c r="VAT14" s="107" t="s">
        <v>1</v>
      </c>
      <c r="VAU14" s="108"/>
      <c r="VAV14" s="108"/>
      <c r="VAW14" s="109"/>
      <c r="VAX14" s="107" t="s">
        <v>1</v>
      </c>
      <c r="VAY14" s="108"/>
      <c r="VAZ14" s="108"/>
      <c r="VBA14" s="109"/>
      <c r="VBB14" s="107" t="s">
        <v>1</v>
      </c>
      <c r="VBC14" s="108"/>
      <c r="VBD14" s="108"/>
      <c r="VBE14" s="109"/>
      <c r="VBF14" s="107" t="s">
        <v>1</v>
      </c>
      <c r="VBG14" s="108"/>
      <c r="VBH14" s="108"/>
      <c r="VBI14" s="109"/>
      <c r="VBJ14" s="107" t="s">
        <v>1</v>
      </c>
      <c r="VBK14" s="108"/>
      <c r="VBL14" s="108"/>
      <c r="VBM14" s="109"/>
      <c r="VBN14" s="107" t="s">
        <v>1</v>
      </c>
      <c r="VBO14" s="108"/>
      <c r="VBP14" s="108"/>
      <c r="VBQ14" s="109"/>
      <c r="VBR14" s="107" t="s">
        <v>1</v>
      </c>
      <c r="VBS14" s="108"/>
      <c r="VBT14" s="108"/>
      <c r="VBU14" s="109"/>
      <c r="VBV14" s="107" t="s">
        <v>1</v>
      </c>
      <c r="VBW14" s="108"/>
      <c r="VBX14" s="108"/>
      <c r="VBY14" s="109"/>
      <c r="VBZ14" s="107" t="s">
        <v>1</v>
      </c>
      <c r="VCA14" s="108"/>
      <c r="VCB14" s="108"/>
      <c r="VCC14" s="109"/>
      <c r="VCD14" s="107" t="s">
        <v>1</v>
      </c>
      <c r="VCE14" s="108"/>
      <c r="VCF14" s="108"/>
      <c r="VCG14" s="109"/>
      <c r="VCH14" s="107" t="s">
        <v>1</v>
      </c>
      <c r="VCI14" s="108"/>
      <c r="VCJ14" s="108"/>
      <c r="VCK14" s="109"/>
      <c r="VCL14" s="107" t="s">
        <v>1</v>
      </c>
      <c r="VCM14" s="108"/>
      <c r="VCN14" s="108"/>
      <c r="VCO14" s="109"/>
      <c r="VCP14" s="107" t="s">
        <v>1</v>
      </c>
      <c r="VCQ14" s="108"/>
      <c r="VCR14" s="108"/>
      <c r="VCS14" s="109"/>
      <c r="VCT14" s="107" t="s">
        <v>1</v>
      </c>
      <c r="VCU14" s="108"/>
      <c r="VCV14" s="108"/>
      <c r="VCW14" s="109"/>
      <c r="VCX14" s="107" t="s">
        <v>1</v>
      </c>
      <c r="VCY14" s="108"/>
      <c r="VCZ14" s="108"/>
      <c r="VDA14" s="109"/>
      <c r="VDB14" s="107" t="s">
        <v>1</v>
      </c>
      <c r="VDC14" s="108"/>
      <c r="VDD14" s="108"/>
      <c r="VDE14" s="109"/>
      <c r="VDF14" s="107" t="s">
        <v>1</v>
      </c>
      <c r="VDG14" s="108"/>
      <c r="VDH14" s="108"/>
      <c r="VDI14" s="109"/>
      <c r="VDJ14" s="107" t="s">
        <v>1</v>
      </c>
      <c r="VDK14" s="108"/>
      <c r="VDL14" s="108"/>
      <c r="VDM14" s="109"/>
      <c r="VDN14" s="107" t="s">
        <v>1</v>
      </c>
      <c r="VDO14" s="108"/>
      <c r="VDP14" s="108"/>
      <c r="VDQ14" s="109"/>
      <c r="VDR14" s="107" t="s">
        <v>1</v>
      </c>
      <c r="VDS14" s="108"/>
      <c r="VDT14" s="108"/>
      <c r="VDU14" s="109"/>
      <c r="VDV14" s="107" t="s">
        <v>1</v>
      </c>
      <c r="VDW14" s="108"/>
      <c r="VDX14" s="108"/>
      <c r="VDY14" s="109"/>
      <c r="VDZ14" s="107" t="s">
        <v>1</v>
      </c>
      <c r="VEA14" s="108"/>
      <c r="VEB14" s="108"/>
      <c r="VEC14" s="109"/>
      <c r="VED14" s="107" t="s">
        <v>1</v>
      </c>
      <c r="VEE14" s="108"/>
      <c r="VEF14" s="108"/>
      <c r="VEG14" s="109"/>
      <c r="VEH14" s="107" t="s">
        <v>1</v>
      </c>
      <c r="VEI14" s="108"/>
      <c r="VEJ14" s="108"/>
      <c r="VEK14" s="109"/>
      <c r="VEL14" s="107" t="s">
        <v>1</v>
      </c>
      <c r="VEM14" s="108"/>
      <c r="VEN14" s="108"/>
      <c r="VEO14" s="109"/>
      <c r="VEP14" s="107" t="s">
        <v>1</v>
      </c>
      <c r="VEQ14" s="108"/>
      <c r="VER14" s="108"/>
      <c r="VES14" s="109"/>
      <c r="VET14" s="107" t="s">
        <v>1</v>
      </c>
      <c r="VEU14" s="108"/>
      <c r="VEV14" s="108"/>
      <c r="VEW14" s="109"/>
      <c r="VEX14" s="107" t="s">
        <v>1</v>
      </c>
      <c r="VEY14" s="108"/>
      <c r="VEZ14" s="108"/>
      <c r="VFA14" s="109"/>
      <c r="VFB14" s="107" t="s">
        <v>1</v>
      </c>
      <c r="VFC14" s="108"/>
      <c r="VFD14" s="108"/>
      <c r="VFE14" s="109"/>
      <c r="VFF14" s="107" t="s">
        <v>1</v>
      </c>
      <c r="VFG14" s="108"/>
      <c r="VFH14" s="108"/>
      <c r="VFI14" s="109"/>
      <c r="VFJ14" s="107" t="s">
        <v>1</v>
      </c>
      <c r="VFK14" s="108"/>
      <c r="VFL14" s="108"/>
      <c r="VFM14" s="109"/>
      <c r="VFN14" s="107" t="s">
        <v>1</v>
      </c>
      <c r="VFO14" s="108"/>
      <c r="VFP14" s="108"/>
      <c r="VFQ14" s="109"/>
      <c r="VFR14" s="107" t="s">
        <v>1</v>
      </c>
      <c r="VFS14" s="108"/>
      <c r="VFT14" s="108"/>
      <c r="VFU14" s="109"/>
      <c r="VFV14" s="107" t="s">
        <v>1</v>
      </c>
      <c r="VFW14" s="108"/>
      <c r="VFX14" s="108"/>
      <c r="VFY14" s="109"/>
      <c r="VFZ14" s="107" t="s">
        <v>1</v>
      </c>
      <c r="VGA14" s="108"/>
      <c r="VGB14" s="108"/>
      <c r="VGC14" s="109"/>
      <c r="VGD14" s="107" t="s">
        <v>1</v>
      </c>
      <c r="VGE14" s="108"/>
      <c r="VGF14" s="108"/>
      <c r="VGG14" s="109"/>
      <c r="VGH14" s="107" t="s">
        <v>1</v>
      </c>
      <c r="VGI14" s="108"/>
      <c r="VGJ14" s="108"/>
      <c r="VGK14" s="109"/>
      <c r="VGL14" s="107" t="s">
        <v>1</v>
      </c>
      <c r="VGM14" s="108"/>
      <c r="VGN14" s="108"/>
      <c r="VGO14" s="109"/>
      <c r="VGP14" s="107" t="s">
        <v>1</v>
      </c>
      <c r="VGQ14" s="108"/>
      <c r="VGR14" s="108"/>
      <c r="VGS14" s="109"/>
      <c r="VGT14" s="107" t="s">
        <v>1</v>
      </c>
      <c r="VGU14" s="108"/>
      <c r="VGV14" s="108"/>
      <c r="VGW14" s="109"/>
      <c r="VGX14" s="107" t="s">
        <v>1</v>
      </c>
      <c r="VGY14" s="108"/>
      <c r="VGZ14" s="108"/>
      <c r="VHA14" s="109"/>
      <c r="VHB14" s="107" t="s">
        <v>1</v>
      </c>
      <c r="VHC14" s="108"/>
      <c r="VHD14" s="108"/>
      <c r="VHE14" s="109"/>
      <c r="VHF14" s="107" t="s">
        <v>1</v>
      </c>
      <c r="VHG14" s="108"/>
      <c r="VHH14" s="108"/>
      <c r="VHI14" s="109"/>
      <c r="VHJ14" s="107" t="s">
        <v>1</v>
      </c>
      <c r="VHK14" s="108"/>
      <c r="VHL14" s="108"/>
      <c r="VHM14" s="109"/>
      <c r="VHN14" s="107" t="s">
        <v>1</v>
      </c>
      <c r="VHO14" s="108"/>
      <c r="VHP14" s="108"/>
      <c r="VHQ14" s="109"/>
      <c r="VHR14" s="107" t="s">
        <v>1</v>
      </c>
      <c r="VHS14" s="108"/>
      <c r="VHT14" s="108"/>
      <c r="VHU14" s="109"/>
      <c r="VHV14" s="107" t="s">
        <v>1</v>
      </c>
      <c r="VHW14" s="108"/>
      <c r="VHX14" s="108"/>
      <c r="VHY14" s="109"/>
      <c r="VHZ14" s="107" t="s">
        <v>1</v>
      </c>
      <c r="VIA14" s="108"/>
      <c r="VIB14" s="108"/>
      <c r="VIC14" s="109"/>
      <c r="VID14" s="107" t="s">
        <v>1</v>
      </c>
      <c r="VIE14" s="108"/>
      <c r="VIF14" s="108"/>
      <c r="VIG14" s="109"/>
      <c r="VIH14" s="107" t="s">
        <v>1</v>
      </c>
      <c r="VII14" s="108"/>
      <c r="VIJ14" s="108"/>
      <c r="VIK14" s="109"/>
      <c r="VIL14" s="107" t="s">
        <v>1</v>
      </c>
      <c r="VIM14" s="108"/>
      <c r="VIN14" s="108"/>
      <c r="VIO14" s="109"/>
      <c r="VIP14" s="107" t="s">
        <v>1</v>
      </c>
      <c r="VIQ14" s="108"/>
      <c r="VIR14" s="108"/>
      <c r="VIS14" s="109"/>
      <c r="VIT14" s="107" t="s">
        <v>1</v>
      </c>
      <c r="VIU14" s="108"/>
      <c r="VIV14" s="108"/>
      <c r="VIW14" s="109"/>
      <c r="VIX14" s="107" t="s">
        <v>1</v>
      </c>
      <c r="VIY14" s="108"/>
      <c r="VIZ14" s="108"/>
      <c r="VJA14" s="109"/>
      <c r="VJB14" s="107" t="s">
        <v>1</v>
      </c>
      <c r="VJC14" s="108"/>
      <c r="VJD14" s="108"/>
      <c r="VJE14" s="109"/>
      <c r="VJF14" s="107" t="s">
        <v>1</v>
      </c>
      <c r="VJG14" s="108"/>
      <c r="VJH14" s="108"/>
      <c r="VJI14" s="109"/>
      <c r="VJJ14" s="107" t="s">
        <v>1</v>
      </c>
      <c r="VJK14" s="108"/>
      <c r="VJL14" s="108"/>
      <c r="VJM14" s="109"/>
      <c r="VJN14" s="107" t="s">
        <v>1</v>
      </c>
      <c r="VJO14" s="108"/>
      <c r="VJP14" s="108"/>
      <c r="VJQ14" s="109"/>
      <c r="VJR14" s="107" t="s">
        <v>1</v>
      </c>
      <c r="VJS14" s="108"/>
      <c r="VJT14" s="108"/>
      <c r="VJU14" s="109"/>
      <c r="VJV14" s="107" t="s">
        <v>1</v>
      </c>
      <c r="VJW14" s="108"/>
      <c r="VJX14" s="108"/>
      <c r="VJY14" s="109"/>
      <c r="VJZ14" s="107" t="s">
        <v>1</v>
      </c>
      <c r="VKA14" s="108"/>
      <c r="VKB14" s="108"/>
      <c r="VKC14" s="109"/>
      <c r="VKD14" s="107" t="s">
        <v>1</v>
      </c>
      <c r="VKE14" s="108"/>
      <c r="VKF14" s="108"/>
      <c r="VKG14" s="109"/>
      <c r="VKH14" s="107" t="s">
        <v>1</v>
      </c>
      <c r="VKI14" s="108"/>
      <c r="VKJ14" s="108"/>
      <c r="VKK14" s="109"/>
      <c r="VKL14" s="107" t="s">
        <v>1</v>
      </c>
      <c r="VKM14" s="108"/>
      <c r="VKN14" s="108"/>
      <c r="VKO14" s="109"/>
      <c r="VKP14" s="107" t="s">
        <v>1</v>
      </c>
      <c r="VKQ14" s="108"/>
      <c r="VKR14" s="108"/>
      <c r="VKS14" s="109"/>
      <c r="VKT14" s="107" t="s">
        <v>1</v>
      </c>
      <c r="VKU14" s="108"/>
      <c r="VKV14" s="108"/>
      <c r="VKW14" s="109"/>
      <c r="VKX14" s="107" t="s">
        <v>1</v>
      </c>
      <c r="VKY14" s="108"/>
      <c r="VKZ14" s="108"/>
      <c r="VLA14" s="109"/>
      <c r="VLB14" s="107" t="s">
        <v>1</v>
      </c>
      <c r="VLC14" s="108"/>
      <c r="VLD14" s="108"/>
      <c r="VLE14" s="109"/>
      <c r="VLF14" s="107" t="s">
        <v>1</v>
      </c>
      <c r="VLG14" s="108"/>
      <c r="VLH14" s="108"/>
      <c r="VLI14" s="109"/>
      <c r="VLJ14" s="107" t="s">
        <v>1</v>
      </c>
      <c r="VLK14" s="108"/>
      <c r="VLL14" s="108"/>
      <c r="VLM14" s="109"/>
      <c r="VLN14" s="107" t="s">
        <v>1</v>
      </c>
      <c r="VLO14" s="108"/>
      <c r="VLP14" s="108"/>
      <c r="VLQ14" s="109"/>
      <c r="VLR14" s="107" t="s">
        <v>1</v>
      </c>
      <c r="VLS14" s="108"/>
      <c r="VLT14" s="108"/>
      <c r="VLU14" s="109"/>
      <c r="VLV14" s="107" t="s">
        <v>1</v>
      </c>
      <c r="VLW14" s="108"/>
      <c r="VLX14" s="108"/>
      <c r="VLY14" s="109"/>
      <c r="VLZ14" s="107" t="s">
        <v>1</v>
      </c>
      <c r="VMA14" s="108"/>
      <c r="VMB14" s="108"/>
      <c r="VMC14" s="109"/>
      <c r="VMD14" s="107" t="s">
        <v>1</v>
      </c>
      <c r="VME14" s="108"/>
      <c r="VMF14" s="108"/>
      <c r="VMG14" s="109"/>
      <c r="VMH14" s="107" t="s">
        <v>1</v>
      </c>
      <c r="VMI14" s="108"/>
      <c r="VMJ14" s="108"/>
      <c r="VMK14" s="109"/>
      <c r="VML14" s="107" t="s">
        <v>1</v>
      </c>
      <c r="VMM14" s="108"/>
      <c r="VMN14" s="108"/>
      <c r="VMO14" s="109"/>
      <c r="VMP14" s="107" t="s">
        <v>1</v>
      </c>
      <c r="VMQ14" s="108"/>
      <c r="VMR14" s="108"/>
      <c r="VMS14" s="109"/>
      <c r="VMT14" s="107" t="s">
        <v>1</v>
      </c>
      <c r="VMU14" s="108"/>
      <c r="VMV14" s="108"/>
      <c r="VMW14" s="109"/>
      <c r="VMX14" s="107" t="s">
        <v>1</v>
      </c>
      <c r="VMY14" s="108"/>
      <c r="VMZ14" s="108"/>
      <c r="VNA14" s="109"/>
      <c r="VNB14" s="107" t="s">
        <v>1</v>
      </c>
      <c r="VNC14" s="108"/>
      <c r="VND14" s="108"/>
      <c r="VNE14" s="109"/>
      <c r="VNF14" s="107" t="s">
        <v>1</v>
      </c>
      <c r="VNG14" s="108"/>
      <c r="VNH14" s="108"/>
      <c r="VNI14" s="109"/>
      <c r="VNJ14" s="107" t="s">
        <v>1</v>
      </c>
      <c r="VNK14" s="108"/>
      <c r="VNL14" s="108"/>
      <c r="VNM14" s="109"/>
      <c r="VNN14" s="107" t="s">
        <v>1</v>
      </c>
      <c r="VNO14" s="108"/>
      <c r="VNP14" s="108"/>
      <c r="VNQ14" s="109"/>
      <c r="VNR14" s="107" t="s">
        <v>1</v>
      </c>
      <c r="VNS14" s="108"/>
      <c r="VNT14" s="108"/>
      <c r="VNU14" s="109"/>
      <c r="VNV14" s="107" t="s">
        <v>1</v>
      </c>
      <c r="VNW14" s="108"/>
      <c r="VNX14" s="108"/>
      <c r="VNY14" s="109"/>
      <c r="VNZ14" s="107" t="s">
        <v>1</v>
      </c>
      <c r="VOA14" s="108"/>
      <c r="VOB14" s="108"/>
      <c r="VOC14" s="109"/>
      <c r="VOD14" s="107" t="s">
        <v>1</v>
      </c>
      <c r="VOE14" s="108"/>
      <c r="VOF14" s="108"/>
      <c r="VOG14" s="109"/>
      <c r="VOH14" s="107" t="s">
        <v>1</v>
      </c>
      <c r="VOI14" s="108"/>
      <c r="VOJ14" s="108"/>
      <c r="VOK14" s="109"/>
      <c r="VOL14" s="107" t="s">
        <v>1</v>
      </c>
      <c r="VOM14" s="108"/>
      <c r="VON14" s="108"/>
      <c r="VOO14" s="109"/>
      <c r="VOP14" s="107" t="s">
        <v>1</v>
      </c>
      <c r="VOQ14" s="108"/>
      <c r="VOR14" s="108"/>
      <c r="VOS14" s="109"/>
      <c r="VOT14" s="107" t="s">
        <v>1</v>
      </c>
      <c r="VOU14" s="108"/>
      <c r="VOV14" s="108"/>
      <c r="VOW14" s="109"/>
      <c r="VOX14" s="107" t="s">
        <v>1</v>
      </c>
      <c r="VOY14" s="108"/>
      <c r="VOZ14" s="108"/>
      <c r="VPA14" s="109"/>
      <c r="VPB14" s="107" t="s">
        <v>1</v>
      </c>
      <c r="VPC14" s="108"/>
      <c r="VPD14" s="108"/>
      <c r="VPE14" s="109"/>
      <c r="VPF14" s="107" t="s">
        <v>1</v>
      </c>
      <c r="VPG14" s="108"/>
      <c r="VPH14" s="108"/>
      <c r="VPI14" s="109"/>
      <c r="VPJ14" s="107" t="s">
        <v>1</v>
      </c>
      <c r="VPK14" s="108"/>
      <c r="VPL14" s="108"/>
      <c r="VPM14" s="109"/>
      <c r="VPN14" s="107" t="s">
        <v>1</v>
      </c>
      <c r="VPO14" s="108"/>
      <c r="VPP14" s="108"/>
      <c r="VPQ14" s="109"/>
      <c r="VPR14" s="107" t="s">
        <v>1</v>
      </c>
      <c r="VPS14" s="108"/>
      <c r="VPT14" s="108"/>
      <c r="VPU14" s="109"/>
      <c r="VPV14" s="107" t="s">
        <v>1</v>
      </c>
      <c r="VPW14" s="108"/>
      <c r="VPX14" s="108"/>
      <c r="VPY14" s="109"/>
      <c r="VPZ14" s="107" t="s">
        <v>1</v>
      </c>
      <c r="VQA14" s="108"/>
      <c r="VQB14" s="108"/>
      <c r="VQC14" s="109"/>
      <c r="VQD14" s="107" t="s">
        <v>1</v>
      </c>
      <c r="VQE14" s="108"/>
      <c r="VQF14" s="108"/>
      <c r="VQG14" s="109"/>
      <c r="VQH14" s="107" t="s">
        <v>1</v>
      </c>
      <c r="VQI14" s="108"/>
      <c r="VQJ14" s="108"/>
      <c r="VQK14" s="109"/>
      <c r="VQL14" s="107" t="s">
        <v>1</v>
      </c>
      <c r="VQM14" s="108"/>
      <c r="VQN14" s="108"/>
      <c r="VQO14" s="109"/>
      <c r="VQP14" s="107" t="s">
        <v>1</v>
      </c>
      <c r="VQQ14" s="108"/>
      <c r="VQR14" s="108"/>
      <c r="VQS14" s="109"/>
      <c r="VQT14" s="107" t="s">
        <v>1</v>
      </c>
      <c r="VQU14" s="108"/>
      <c r="VQV14" s="108"/>
      <c r="VQW14" s="109"/>
      <c r="VQX14" s="107" t="s">
        <v>1</v>
      </c>
      <c r="VQY14" s="108"/>
      <c r="VQZ14" s="108"/>
      <c r="VRA14" s="109"/>
      <c r="VRB14" s="107" t="s">
        <v>1</v>
      </c>
      <c r="VRC14" s="108"/>
      <c r="VRD14" s="108"/>
      <c r="VRE14" s="109"/>
      <c r="VRF14" s="107" t="s">
        <v>1</v>
      </c>
      <c r="VRG14" s="108"/>
      <c r="VRH14" s="108"/>
      <c r="VRI14" s="109"/>
      <c r="VRJ14" s="107" t="s">
        <v>1</v>
      </c>
      <c r="VRK14" s="108"/>
      <c r="VRL14" s="108"/>
      <c r="VRM14" s="109"/>
      <c r="VRN14" s="107" t="s">
        <v>1</v>
      </c>
      <c r="VRO14" s="108"/>
      <c r="VRP14" s="108"/>
      <c r="VRQ14" s="109"/>
      <c r="VRR14" s="107" t="s">
        <v>1</v>
      </c>
      <c r="VRS14" s="108"/>
      <c r="VRT14" s="108"/>
      <c r="VRU14" s="109"/>
      <c r="VRV14" s="107" t="s">
        <v>1</v>
      </c>
      <c r="VRW14" s="108"/>
      <c r="VRX14" s="108"/>
      <c r="VRY14" s="109"/>
      <c r="VRZ14" s="107" t="s">
        <v>1</v>
      </c>
      <c r="VSA14" s="108"/>
      <c r="VSB14" s="108"/>
      <c r="VSC14" s="109"/>
      <c r="VSD14" s="107" t="s">
        <v>1</v>
      </c>
      <c r="VSE14" s="108"/>
      <c r="VSF14" s="108"/>
      <c r="VSG14" s="109"/>
      <c r="VSH14" s="107" t="s">
        <v>1</v>
      </c>
      <c r="VSI14" s="108"/>
      <c r="VSJ14" s="108"/>
      <c r="VSK14" s="109"/>
      <c r="VSL14" s="107" t="s">
        <v>1</v>
      </c>
      <c r="VSM14" s="108"/>
      <c r="VSN14" s="108"/>
      <c r="VSO14" s="109"/>
      <c r="VSP14" s="107" t="s">
        <v>1</v>
      </c>
      <c r="VSQ14" s="108"/>
      <c r="VSR14" s="108"/>
      <c r="VSS14" s="109"/>
      <c r="VST14" s="107" t="s">
        <v>1</v>
      </c>
      <c r="VSU14" s="108"/>
      <c r="VSV14" s="108"/>
      <c r="VSW14" s="109"/>
      <c r="VSX14" s="107" t="s">
        <v>1</v>
      </c>
      <c r="VSY14" s="108"/>
      <c r="VSZ14" s="108"/>
      <c r="VTA14" s="109"/>
      <c r="VTB14" s="107" t="s">
        <v>1</v>
      </c>
      <c r="VTC14" s="108"/>
      <c r="VTD14" s="108"/>
      <c r="VTE14" s="109"/>
      <c r="VTF14" s="107" t="s">
        <v>1</v>
      </c>
      <c r="VTG14" s="108"/>
      <c r="VTH14" s="108"/>
      <c r="VTI14" s="109"/>
      <c r="VTJ14" s="107" t="s">
        <v>1</v>
      </c>
      <c r="VTK14" s="108"/>
      <c r="VTL14" s="108"/>
      <c r="VTM14" s="109"/>
      <c r="VTN14" s="107" t="s">
        <v>1</v>
      </c>
      <c r="VTO14" s="108"/>
      <c r="VTP14" s="108"/>
      <c r="VTQ14" s="109"/>
      <c r="VTR14" s="107" t="s">
        <v>1</v>
      </c>
      <c r="VTS14" s="108"/>
      <c r="VTT14" s="108"/>
      <c r="VTU14" s="109"/>
      <c r="VTV14" s="107" t="s">
        <v>1</v>
      </c>
      <c r="VTW14" s="108"/>
      <c r="VTX14" s="108"/>
      <c r="VTY14" s="109"/>
      <c r="VTZ14" s="107" t="s">
        <v>1</v>
      </c>
      <c r="VUA14" s="108"/>
      <c r="VUB14" s="108"/>
      <c r="VUC14" s="109"/>
      <c r="VUD14" s="107" t="s">
        <v>1</v>
      </c>
      <c r="VUE14" s="108"/>
      <c r="VUF14" s="108"/>
      <c r="VUG14" s="109"/>
      <c r="VUH14" s="107" t="s">
        <v>1</v>
      </c>
      <c r="VUI14" s="108"/>
      <c r="VUJ14" s="108"/>
      <c r="VUK14" s="109"/>
      <c r="VUL14" s="107" t="s">
        <v>1</v>
      </c>
      <c r="VUM14" s="108"/>
      <c r="VUN14" s="108"/>
      <c r="VUO14" s="109"/>
      <c r="VUP14" s="107" t="s">
        <v>1</v>
      </c>
      <c r="VUQ14" s="108"/>
      <c r="VUR14" s="108"/>
      <c r="VUS14" s="109"/>
      <c r="VUT14" s="107" t="s">
        <v>1</v>
      </c>
      <c r="VUU14" s="108"/>
      <c r="VUV14" s="108"/>
      <c r="VUW14" s="109"/>
      <c r="VUX14" s="107" t="s">
        <v>1</v>
      </c>
      <c r="VUY14" s="108"/>
      <c r="VUZ14" s="108"/>
      <c r="VVA14" s="109"/>
      <c r="VVB14" s="107" t="s">
        <v>1</v>
      </c>
      <c r="VVC14" s="108"/>
      <c r="VVD14" s="108"/>
      <c r="VVE14" s="109"/>
      <c r="VVF14" s="107" t="s">
        <v>1</v>
      </c>
      <c r="VVG14" s="108"/>
      <c r="VVH14" s="108"/>
      <c r="VVI14" s="109"/>
      <c r="VVJ14" s="107" t="s">
        <v>1</v>
      </c>
      <c r="VVK14" s="108"/>
      <c r="VVL14" s="108"/>
      <c r="VVM14" s="109"/>
      <c r="VVN14" s="107" t="s">
        <v>1</v>
      </c>
      <c r="VVO14" s="108"/>
      <c r="VVP14" s="108"/>
      <c r="VVQ14" s="109"/>
      <c r="VVR14" s="107" t="s">
        <v>1</v>
      </c>
      <c r="VVS14" s="108"/>
      <c r="VVT14" s="108"/>
      <c r="VVU14" s="109"/>
      <c r="VVV14" s="107" t="s">
        <v>1</v>
      </c>
      <c r="VVW14" s="108"/>
      <c r="VVX14" s="108"/>
      <c r="VVY14" s="109"/>
      <c r="VVZ14" s="107" t="s">
        <v>1</v>
      </c>
      <c r="VWA14" s="108"/>
      <c r="VWB14" s="108"/>
      <c r="VWC14" s="109"/>
      <c r="VWD14" s="107" t="s">
        <v>1</v>
      </c>
      <c r="VWE14" s="108"/>
      <c r="VWF14" s="108"/>
      <c r="VWG14" s="109"/>
      <c r="VWH14" s="107" t="s">
        <v>1</v>
      </c>
      <c r="VWI14" s="108"/>
      <c r="VWJ14" s="108"/>
      <c r="VWK14" s="109"/>
      <c r="VWL14" s="107" t="s">
        <v>1</v>
      </c>
      <c r="VWM14" s="108"/>
      <c r="VWN14" s="108"/>
      <c r="VWO14" s="109"/>
      <c r="VWP14" s="107" t="s">
        <v>1</v>
      </c>
      <c r="VWQ14" s="108"/>
      <c r="VWR14" s="108"/>
      <c r="VWS14" s="109"/>
      <c r="VWT14" s="107" t="s">
        <v>1</v>
      </c>
      <c r="VWU14" s="108"/>
      <c r="VWV14" s="108"/>
      <c r="VWW14" s="109"/>
      <c r="VWX14" s="107" t="s">
        <v>1</v>
      </c>
      <c r="VWY14" s="108"/>
      <c r="VWZ14" s="108"/>
      <c r="VXA14" s="109"/>
      <c r="VXB14" s="107" t="s">
        <v>1</v>
      </c>
      <c r="VXC14" s="108"/>
      <c r="VXD14" s="108"/>
      <c r="VXE14" s="109"/>
      <c r="VXF14" s="107" t="s">
        <v>1</v>
      </c>
      <c r="VXG14" s="108"/>
      <c r="VXH14" s="108"/>
      <c r="VXI14" s="109"/>
      <c r="VXJ14" s="107" t="s">
        <v>1</v>
      </c>
      <c r="VXK14" s="108"/>
      <c r="VXL14" s="108"/>
      <c r="VXM14" s="109"/>
      <c r="VXN14" s="107" t="s">
        <v>1</v>
      </c>
      <c r="VXO14" s="108"/>
      <c r="VXP14" s="108"/>
      <c r="VXQ14" s="109"/>
      <c r="VXR14" s="107" t="s">
        <v>1</v>
      </c>
      <c r="VXS14" s="108"/>
      <c r="VXT14" s="108"/>
      <c r="VXU14" s="109"/>
      <c r="VXV14" s="107" t="s">
        <v>1</v>
      </c>
      <c r="VXW14" s="108"/>
      <c r="VXX14" s="108"/>
      <c r="VXY14" s="109"/>
      <c r="VXZ14" s="107" t="s">
        <v>1</v>
      </c>
      <c r="VYA14" s="108"/>
      <c r="VYB14" s="108"/>
      <c r="VYC14" s="109"/>
      <c r="VYD14" s="107" t="s">
        <v>1</v>
      </c>
      <c r="VYE14" s="108"/>
      <c r="VYF14" s="108"/>
      <c r="VYG14" s="109"/>
      <c r="VYH14" s="107" t="s">
        <v>1</v>
      </c>
      <c r="VYI14" s="108"/>
      <c r="VYJ14" s="108"/>
      <c r="VYK14" s="109"/>
      <c r="VYL14" s="107" t="s">
        <v>1</v>
      </c>
      <c r="VYM14" s="108"/>
      <c r="VYN14" s="108"/>
      <c r="VYO14" s="109"/>
      <c r="VYP14" s="107" t="s">
        <v>1</v>
      </c>
      <c r="VYQ14" s="108"/>
      <c r="VYR14" s="108"/>
      <c r="VYS14" s="109"/>
      <c r="VYT14" s="107" t="s">
        <v>1</v>
      </c>
      <c r="VYU14" s="108"/>
      <c r="VYV14" s="108"/>
      <c r="VYW14" s="109"/>
      <c r="VYX14" s="107" t="s">
        <v>1</v>
      </c>
      <c r="VYY14" s="108"/>
      <c r="VYZ14" s="108"/>
      <c r="VZA14" s="109"/>
      <c r="VZB14" s="107" t="s">
        <v>1</v>
      </c>
      <c r="VZC14" s="108"/>
      <c r="VZD14" s="108"/>
      <c r="VZE14" s="109"/>
      <c r="VZF14" s="107" t="s">
        <v>1</v>
      </c>
      <c r="VZG14" s="108"/>
      <c r="VZH14" s="108"/>
      <c r="VZI14" s="109"/>
      <c r="VZJ14" s="107" t="s">
        <v>1</v>
      </c>
      <c r="VZK14" s="108"/>
      <c r="VZL14" s="108"/>
      <c r="VZM14" s="109"/>
      <c r="VZN14" s="107" t="s">
        <v>1</v>
      </c>
      <c r="VZO14" s="108"/>
      <c r="VZP14" s="108"/>
      <c r="VZQ14" s="109"/>
      <c r="VZR14" s="107" t="s">
        <v>1</v>
      </c>
      <c r="VZS14" s="108"/>
      <c r="VZT14" s="108"/>
      <c r="VZU14" s="109"/>
      <c r="VZV14" s="107" t="s">
        <v>1</v>
      </c>
      <c r="VZW14" s="108"/>
      <c r="VZX14" s="108"/>
      <c r="VZY14" s="109"/>
      <c r="VZZ14" s="107" t="s">
        <v>1</v>
      </c>
      <c r="WAA14" s="108"/>
      <c r="WAB14" s="108"/>
      <c r="WAC14" s="109"/>
      <c r="WAD14" s="107" t="s">
        <v>1</v>
      </c>
      <c r="WAE14" s="108"/>
      <c r="WAF14" s="108"/>
      <c r="WAG14" s="109"/>
      <c r="WAH14" s="107" t="s">
        <v>1</v>
      </c>
      <c r="WAI14" s="108"/>
      <c r="WAJ14" s="108"/>
      <c r="WAK14" s="109"/>
      <c r="WAL14" s="107" t="s">
        <v>1</v>
      </c>
      <c r="WAM14" s="108"/>
      <c r="WAN14" s="108"/>
      <c r="WAO14" s="109"/>
      <c r="WAP14" s="107" t="s">
        <v>1</v>
      </c>
      <c r="WAQ14" s="108"/>
      <c r="WAR14" s="108"/>
      <c r="WAS14" s="109"/>
      <c r="WAT14" s="107" t="s">
        <v>1</v>
      </c>
      <c r="WAU14" s="108"/>
      <c r="WAV14" s="108"/>
      <c r="WAW14" s="109"/>
      <c r="WAX14" s="107" t="s">
        <v>1</v>
      </c>
      <c r="WAY14" s="108"/>
      <c r="WAZ14" s="108"/>
      <c r="WBA14" s="109"/>
      <c r="WBB14" s="107" t="s">
        <v>1</v>
      </c>
      <c r="WBC14" s="108"/>
      <c r="WBD14" s="108"/>
      <c r="WBE14" s="109"/>
      <c r="WBF14" s="107" t="s">
        <v>1</v>
      </c>
      <c r="WBG14" s="108"/>
      <c r="WBH14" s="108"/>
      <c r="WBI14" s="109"/>
      <c r="WBJ14" s="107" t="s">
        <v>1</v>
      </c>
      <c r="WBK14" s="108"/>
      <c r="WBL14" s="108"/>
      <c r="WBM14" s="109"/>
      <c r="WBN14" s="107" t="s">
        <v>1</v>
      </c>
      <c r="WBO14" s="108"/>
      <c r="WBP14" s="108"/>
      <c r="WBQ14" s="109"/>
      <c r="WBR14" s="107" t="s">
        <v>1</v>
      </c>
      <c r="WBS14" s="108"/>
      <c r="WBT14" s="108"/>
      <c r="WBU14" s="109"/>
      <c r="WBV14" s="107" t="s">
        <v>1</v>
      </c>
      <c r="WBW14" s="108"/>
      <c r="WBX14" s="108"/>
      <c r="WBY14" s="109"/>
      <c r="WBZ14" s="107" t="s">
        <v>1</v>
      </c>
      <c r="WCA14" s="108"/>
      <c r="WCB14" s="108"/>
      <c r="WCC14" s="109"/>
      <c r="WCD14" s="107" t="s">
        <v>1</v>
      </c>
      <c r="WCE14" s="108"/>
      <c r="WCF14" s="108"/>
      <c r="WCG14" s="109"/>
      <c r="WCH14" s="107" t="s">
        <v>1</v>
      </c>
      <c r="WCI14" s="108"/>
      <c r="WCJ14" s="108"/>
      <c r="WCK14" s="109"/>
      <c r="WCL14" s="107" t="s">
        <v>1</v>
      </c>
      <c r="WCM14" s="108"/>
      <c r="WCN14" s="108"/>
      <c r="WCO14" s="109"/>
      <c r="WCP14" s="107" t="s">
        <v>1</v>
      </c>
      <c r="WCQ14" s="108"/>
      <c r="WCR14" s="108"/>
      <c r="WCS14" s="109"/>
      <c r="WCT14" s="107" t="s">
        <v>1</v>
      </c>
      <c r="WCU14" s="108"/>
      <c r="WCV14" s="108"/>
      <c r="WCW14" s="109"/>
      <c r="WCX14" s="107" t="s">
        <v>1</v>
      </c>
      <c r="WCY14" s="108"/>
      <c r="WCZ14" s="108"/>
      <c r="WDA14" s="109"/>
      <c r="WDB14" s="107" t="s">
        <v>1</v>
      </c>
      <c r="WDC14" s="108"/>
      <c r="WDD14" s="108"/>
      <c r="WDE14" s="109"/>
      <c r="WDF14" s="107" t="s">
        <v>1</v>
      </c>
      <c r="WDG14" s="108"/>
      <c r="WDH14" s="108"/>
      <c r="WDI14" s="109"/>
      <c r="WDJ14" s="107" t="s">
        <v>1</v>
      </c>
      <c r="WDK14" s="108"/>
      <c r="WDL14" s="108"/>
      <c r="WDM14" s="109"/>
      <c r="WDN14" s="107" t="s">
        <v>1</v>
      </c>
      <c r="WDO14" s="108"/>
      <c r="WDP14" s="108"/>
      <c r="WDQ14" s="109"/>
      <c r="WDR14" s="107" t="s">
        <v>1</v>
      </c>
      <c r="WDS14" s="108"/>
      <c r="WDT14" s="108"/>
      <c r="WDU14" s="109"/>
      <c r="WDV14" s="107" t="s">
        <v>1</v>
      </c>
      <c r="WDW14" s="108"/>
      <c r="WDX14" s="108"/>
      <c r="WDY14" s="109"/>
      <c r="WDZ14" s="107" t="s">
        <v>1</v>
      </c>
      <c r="WEA14" s="108"/>
      <c r="WEB14" s="108"/>
      <c r="WEC14" s="109"/>
      <c r="WED14" s="107" t="s">
        <v>1</v>
      </c>
      <c r="WEE14" s="108"/>
      <c r="WEF14" s="108"/>
      <c r="WEG14" s="109"/>
      <c r="WEH14" s="107" t="s">
        <v>1</v>
      </c>
      <c r="WEI14" s="108"/>
      <c r="WEJ14" s="108"/>
      <c r="WEK14" s="109"/>
      <c r="WEL14" s="107" t="s">
        <v>1</v>
      </c>
      <c r="WEM14" s="108"/>
      <c r="WEN14" s="108"/>
      <c r="WEO14" s="109"/>
      <c r="WEP14" s="107" t="s">
        <v>1</v>
      </c>
      <c r="WEQ14" s="108"/>
      <c r="WER14" s="108"/>
      <c r="WES14" s="109"/>
      <c r="WET14" s="107" t="s">
        <v>1</v>
      </c>
      <c r="WEU14" s="108"/>
      <c r="WEV14" s="108"/>
      <c r="WEW14" s="109"/>
      <c r="WEX14" s="107" t="s">
        <v>1</v>
      </c>
      <c r="WEY14" s="108"/>
      <c r="WEZ14" s="108"/>
      <c r="WFA14" s="109"/>
      <c r="WFB14" s="107" t="s">
        <v>1</v>
      </c>
      <c r="WFC14" s="108"/>
      <c r="WFD14" s="108"/>
      <c r="WFE14" s="109"/>
      <c r="WFF14" s="107" t="s">
        <v>1</v>
      </c>
      <c r="WFG14" s="108"/>
      <c r="WFH14" s="108"/>
      <c r="WFI14" s="109"/>
      <c r="WFJ14" s="107" t="s">
        <v>1</v>
      </c>
      <c r="WFK14" s="108"/>
      <c r="WFL14" s="108"/>
      <c r="WFM14" s="109"/>
      <c r="WFN14" s="107" t="s">
        <v>1</v>
      </c>
      <c r="WFO14" s="108"/>
      <c r="WFP14" s="108"/>
      <c r="WFQ14" s="109"/>
      <c r="WFR14" s="107" t="s">
        <v>1</v>
      </c>
      <c r="WFS14" s="108"/>
      <c r="WFT14" s="108"/>
      <c r="WFU14" s="109"/>
      <c r="WFV14" s="107" t="s">
        <v>1</v>
      </c>
      <c r="WFW14" s="108"/>
      <c r="WFX14" s="108"/>
      <c r="WFY14" s="109"/>
      <c r="WFZ14" s="107" t="s">
        <v>1</v>
      </c>
      <c r="WGA14" s="108"/>
      <c r="WGB14" s="108"/>
      <c r="WGC14" s="109"/>
      <c r="WGD14" s="107" t="s">
        <v>1</v>
      </c>
      <c r="WGE14" s="108"/>
      <c r="WGF14" s="108"/>
      <c r="WGG14" s="109"/>
      <c r="WGH14" s="107" t="s">
        <v>1</v>
      </c>
      <c r="WGI14" s="108"/>
      <c r="WGJ14" s="108"/>
      <c r="WGK14" s="109"/>
      <c r="WGL14" s="107" t="s">
        <v>1</v>
      </c>
      <c r="WGM14" s="108"/>
      <c r="WGN14" s="108"/>
      <c r="WGO14" s="109"/>
      <c r="WGP14" s="107" t="s">
        <v>1</v>
      </c>
      <c r="WGQ14" s="108"/>
      <c r="WGR14" s="108"/>
      <c r="WGS14" s="109"/>
      <c r="WGT14" s="107" t="s">
        <v>1</v>
      </c>
      <c r="WGU14" s="108"/>
      <c r="WGV14" s="108"/>
      <c r="WGW14" s="109"/>
      <c r="WGX14" s="107" t="s">
        <v>1</v>
      </c>
      <c r="WGY14" s="108"/>
      <c r="WGZ14" s="108"/>
      <c r="WHA14" s="109"/>
      <c r="WHB14" s="107" t="s">
        <v>1</v>
      </c>
      <c r="WHC14" s="108"/>
      <c r="WHD14" s="108"/>
      <c r="WHE14" s="109"/>
      <c r="WHF14" s="107" t="s">
        <v>1</v>
      </c>
      <c r="WHG14" s="108"/>
      <c r="WHH14" s="108"/>
      <c r="WHI14" s="109"/>
      <c r="WHJ14" s="107" t="s">
        <v>1</v>
      </c>
      <c r="WHK14" s="108"/>
      <c r="WHL14" s="108"/>
      <c r="WHM14" s="109"/>
      <c r="WHN14" s="107" t="s">
        <v>1</v>
      </c>
      <c r="WHO14" s="108"/>
      <c r="WHP14" s="108"/>
      <c r="WHQ14" s="109"/>
      <c r="WHR14" s="107" t="s">
        <v>1</v>
      </c>
      <c r="WHS14" s="108"/>
      <c r="WHT14" s="108"/>
      <c r="WHU14" s="109"/>
      <c r="WHV14" s="107" t="s">
        <v>1</v>
      </c>
      <c r="WHW14" s="108"/>
      <c r="WHX14" s="108"/>
      <c r="WHY14" s="109"/>
      <c r="WHZ14" s="107" t="s">
        <v>1</v>
      </c>
      <c r="WIA14" s="108"/>
      <c r="WIB14" s="108"/>
      <c r="WIC14" s="109"/>
      <c r="WID14" s="107" t="s">
        <v>1</v>
      </c>
      <c r="WIE14" s="108"/>
      <c r="WIF14" s="108"/>
      <c r="WIG14" s="109"/>
      <c r="WIH14" s="107" t="s">
        <v>1</v>
      </c>
      <c r="WII14" s="108"/>
      <c r="WIJ14" s="108"/>
      <c r="WIK14" s="109"/>
      <c r="WIL14" s="107" t="s">
        <v>1</v>
      </c>
      <c r="WIM14" s="108"/>
      <c r="WIN14" s="108"/>
      <c r="WIO14" s="109"/>
      <c r="WIP14" s="107" t="s">
        <v>1</v>
      </c>
      <c r="WIQ14" s="108"/>
      <c r="WIR14" s="108"/>
      <c r="WIS14" s="109"/>
      <c r="WIT14" s="107" t="s">
        <v>1</v>
      </c>
      <c r="WIU14" s="108"/>
      <c r="WIV14" s="108"/>
      <c r="WIW14" s="109"/>
      <c r="WIX14" s="107" t="s">
        <v>1</v>
      </c>
      <c r="WIY14" s="108"/>
      <c r="WIZ14" s="108"/>
      <c r="WJA14" s="109"/>
      <c r="WJB14" s="107" t="s">
        <v>1</v>
      </c>
      <c r="WJC14" s="108"/>
      <c r="WJD14" s="108"/>
      <c r="WJE14" s="109"/>
      <c r="WJF14" s="107" t="s">
        <v>1</v>
      </c>
      <c r="WJG14" s="108"/>
      <c r="WJH14" s="108"/>
      <c r="WJI14" s="109"/>
      <c r="WJJ14" s="107" t="s">
        <v>1</v>
      </c>
      <c r="WJK14" s="108"/>
      <c r="WJL14" s="108"/>
      <c r="WJM14" s="109"/>
      <c r="WJN14" s="107" t="s">
        <v>1</v>
      </c>
      <c r="WJO14" s="108"/>
      <c r="WJP14" s="108"/>
      <c r="WJQ14" s="109"/>
      <c r="WJR14" s="107" t="s">
        <v>1</v>
      </c>
      <c r="WJS14" s="108"/>
      <c r="WJT14" s="108"/>
      <c r="WJU14" s="109"/>
      <c r="WJV14" s="107" t="s">
        <v>1</v>
      </c>
      <c r="WJW14" s="108"/>
      <c r="WJX14" s="108"/>
      <c r="WJY14" s="109"/>
      <c r="WJZ14" s="107" t="s">
        <v>1</v>
      </c>
      <c r="WKA14" s="108"/>
      <c r="WKB14" s="108"/>
      <c r="WKC14" s="109"/>
      <c r="WKD14" s="107" t="s">
        <v>1</v>
      </c>
      <c r="WKE14" s="108"/>
      <c r="WKF14" s="108"/>
      <c r="WKG14" s="109"/>
      <c r="WKH14" s="107" t="s">
        <v>1</v>
      </c>
      <c r="WKI14" s="108"/>
      <c r="WKJ14" s="108"/>
      <c r="WKK14" s="109"/>
      <c r="WKL14" s="107" t="s">
        <v>1</v>
      </c>
      <c r="WKM14" s="108"/>
      <c r="WKN14" s="108"/>
      <c r="WKO14" s="109"/>
      <c r="WKP14" s="107" t="s">
        <v>1</v>
      </c>
      <c r="WKQ14" s="108"/>
      <c r="WKR14" s="108"/>
      <c r="WKS14" s="109"/>
      <c r="WKT14" s="107" t="s">
        <v>1</v>
      </c>
      <c r="WKU14" s="108"/>
      <c r="WKV14" s="108"/>
      <c r="WKW14" s="109"/>
      <c r="WKX14" s="107" t="s">
        <v>1</v>
      </c>
      <c r="WKY14" s="108"/>
      <c r="WKZ14" s="108"/>
      <c r="WLA14" s="109"/>
      <c r="WLB14" s="107" t="s">
        <v>1</v>
      </c>
      <c r="WLC14" s="108"/>
      <c r="WLD14" s="108"/>
      <c r="WLE14" s="109"/>
      <c r="WLF14" s="107" t="s">
        <v>1</v>
      </c>
      <c r="WLG14" s="108"/>
      <c r="WLH14" s="108"/>
      <c r="WLI14" s="109"/>
      <c r="WLJ14" s="107" t="s">
        <v>1</v>
      </c>
      <c r="WLK14" s="108"/>
      <c r="WLL14" s="108"/>
      <c r="WLM14" s="109"/>
      <c r="WLN14" s="107" t="s">
        <v>1</v>
      </c>
      <c r="WLO14" s="108"/>
      <c r="WLP14" s="108"/>
      <c r="WLQ14" s="109"/>
      <c r="WLR14" s="107" t="s">
        <v>1</v>
      </c>
      <c r="WLS14" s="108"/>
      <c r="WLT14" s="108"/>
      <c r="WLU14" s="109"/>
      <c r="WLV14" s="107" t="s">
        <v>1</v>
      </c>
      <c r="WLW14" s="108"/>
      <c r="WLX14" s="108"/>
      <c r="WLY14" s="109"/>
      <c r="WLZ14" s="107" t="s">
        <v>1</v>
      </c>
      <c r="WMA14" s="108"/>
      <c r="WMB14" s="108"/>
      <c r="WMC14" s="109"/>
      <c r="WMD14" s="107" t="s">
        <v>1</v>
      </c>
      <c r="WME14" s="108"/>
      <c r="WMF14" s="108"/>
      <c r="WMG14" s="109"/>
      <c r="WMH14" s="107" t="s">
        <v>1</v>
      </c>
      <c r="WMI14" s="108"/>
      <c r="WMJ14" s="108"/>
      <c r="WMK14" s="109"/>
      <c r="WML14" s="107" t="s">
        <v>1</v>
      </c>
      <c r="WMM14" s="108"/>
      <c r="WMN14" s="108"/>
      <c r="WMO14" s="109"/>
      <c r="WMP14" s="107" t="s">
        <v>1</v>
      </c>
      <c r="WMQ14" s="108"/>
      <c r="WMR14" s="108"/>
      <c r="WMS14" s="109"/>
      <c r="WMT14" s="107" t="s">
        <v>1</v>
      </c>
      <c r="WMU14" s="108"/>
      <c r="WMV14" s="108"/>
      <c r="WMW14" s="109"/>
      <c r="WMX14" s="107" t="s">
        <v>1</v>
      </c>
      <c r="WMY14" s="108"/>
      <c r="WMZ14" s="108"/>
      <c r="WNA14" s="109"/>
      <c r="WNB14" s="107" t="s">
        <v>1</v>
      </c>
      <c r="WNC14" s="108"/>
      <c r="WND14" s="108"/>
      <c r="WNE14" s="109"/>
      <c r="WNF14" s="107" t="s">
        <v>1</v>
      </c>
      <c r="WNG14" s="108"/>
      <c r="WNH14" s="108"/>
      <c r="WNI14" s="109"/>
      <c r="WNJ14" s="107" t="s">
        <v>1</v>
      </c>
      <c r="WNK14" s="108"/>
      <c r="WNL14" s="108"/>
      <c r="WNM14" s="109"/>
      <c r="WNN14" s="107" t="s">
        <v>1</v>
      </c>
      <c r="WNO14" s="108"/>
      <c r="WNP14" s="108"/>
      <c r="WNQ14" s="109"/>
      <c r="WNR14" s="107" t="s">
        <v>1</v>
      </c>
      <c r="WNS14" s="108"/>
      <c r="WNT14" s="108"/>
      <c r="WNU14" s="109"/>
      <c r="WNV14" s="107" t="s">
        <v>1</v>
      </c>
      <c r="WNW14" s="108"/>
      <c r="WNX14" s="108"/>
      <c r="WNY14" s="109"/>
      <c r="WNZ14" s="107" t="s">
        <v>1</v>
      </c>
      <c r="WOA14" s="108"/>
      <c r="WOB14" s="108"/>
      <c r="WOC14" s="109"/>
      <c r="WOD14" s="107" t="s">
        <v>1</v>
      </c>
      <c r="WOE14" s="108"/>
      <c r="WOF14" s="108"/>
      <c r="WOG14" s="109"/>
      <c r="WOH14" s="107" t="s">
        <v>1</v>
      </c>
      <c r="WOI14" s="108"/>
      <c r="WOJ14" s="108"/>
      <c r="WOK14" s="109"/>
      <c r="WOL14" s="107" t="s">
        <v>1</v>
      </c>
      <c r="WOM14" s="108"/>
      <c r="WON14" s="108"/>
      <c r="WOO14" s="109"/>
      <c r="WOP14" s="107" t="s">
        <v>1</v>
      </c>
      <c r="WOQ14" s="108"/>
      <c r="WOR14" s="108"/>
      <c r="WOS14" s="109"/>
      <c r="WOT14" s="107" t="s">
        <v>1</v>
      </c>
      <c r="WOU14" s="108"/>
      <c r="WOV14" s="108"/>
      <c r="WOW14" s="109"/>
      <c r="WOX14" s="107" t="s">
        <v>1</v>
      </c>
      <c r="WOY14" s="108"/>
      <c r="WOZ14" s="108"/>
      <c r="WPA14" s="109"/>
      <c r="WPB14" s="107" t="s">
        <v>1</v>
      </c>
      <c r="WPC14" s="108"/>
      <c r="WPD14" s="108"/>
      <c r="WPE14" s="109"/>
      <c r="WPF14" s="107" t="s">
        <v>1</v>
      </c>
      <c r="WPG14" s="108"/>
      <c r="WPH14" s="108"/>
      <c r="WPI14" s="109"/>
      <c r="WPJ14" s="107" t="s">
        <v>1</v>
      </c>
      <c r="WPK14" s="108"/>
      <c r="WPL14" s="108"/>
      <c r="WPM14" s="109"/>
      <c r="WPN14" s="107" t="s">
        <v>1</v>
      </c>
      <c r="WPO14" s="108"/>
      <c r="WPP14" s="108"/>
      <c r="WPQ14" s="109"/>
      <c r="WPR14" s="107" t="s">
        <v>1</v>
      </c>
      <c r="WPS14" s="108"/>
      <c r="WPT14" s="108"/>
      <c r="WPU14" s="109"/>
      <c r="WPV14" s="107" t="s">
        <v>1</v>
      </c>
      <c r="WPW14" s="108"/>
      <c r="WPX14" s="108"/>
      <c r="WPY14" s="109"/>
      <c r="WPZ14" s="107" t="s">
        <v>1</v>
      </c>
      <c r="WQA14" s="108"/>
      <c r="WQB14" s="108"/>
      <c r="WQC14" s="109"/>
      <c r="WQD14" s="107" t="s">
        <v>1</v>
      </c>
      <c r="WQE14" s="108"/>
      <c r="WQF14" s="108"/>
      <c r="WQG14" s="109"/>
      <c r="WQH14" s="107" t="s">
        <v>1</v>
      </c>
      <c r="WQI14" s="108"/>
      <c r="WQJ14" s="108"/>
      <c r="WQK14" s="109"/>
      <c r="WQL14" s="107" t="s">
        <v>1</v>
      </c>
      <c r="WQM14" s="108"/>
      <c r="WQN14" s="108"/>
      <c r="WQO14" s="109"/>
      <c r="WQP14" s="107" t="s">
        <v>1</v>
      </c>
      <c r="WQQ14" s="108"/>
      <c r="WQR14" s="108"/>
      <c r="WQS14" s="109"/>
      <c r="WQT14" s="107" t="s">
        <v>1</v>
      </c>
      <c r="WQU14" s="108"/>
      <c r="WQV14" s="108"/>
      <c r="WQW14" s="109"/>
      <c r="WQX14" s="107" t="s">
        <v>1</v>
      </c>
      <c r="WQY14" s="108"/>
      <c r="WQZ14" s="108"/>
      <c r="WRA14" s="109"/>
      <c r="WRB14" s="107" t="s">
        <v>1</v>
      </c>
      <c r="WRC14" s="108"/>
      <c r="WRD14" s="108"/>
      <c r="WRE14" s="109"/>
      <c r="WRF14" s="107" t="s">
        <v>1</v>
      </c>
      <c r="WRG14" s="108"/>
      <c r="WRH14" s="108"/>
      <c r="WRI14" s="109"/>
      <c r="WRJ14" s="107" t="s">
        <v>1</v>
      </c>
      <c r="WRK14" s="108"/>
      <c r="WRL14" s="108"/>
      <c r="WRM14" s="109"/>
      <c r="WRN14" s="107" t="s">
        <v>1</v>
      </c>
      <c r="WRO14" s="108"/>
      <c r="WRP14" s="108"/>
      <c r="WRQ14" s="109"/>
      <c r="WRR14" s="107" t="s">
        <v>1</v>
      </c>
      <c r="WRS14" s="108"/>
      <c r="WRT14" s="108"/>
      <c r="WRU14" s="109"/>
      <c r="WRV14" s="107" t="s">
        <v>1</v>
      </c>
      <c r="WRW14" s="108"/>
      <c r="WRX14" s="108"/>
      <c r="WRY14" s="109"/>
      <c r="WRZ14" s="107" t="s">
        <v>1</v>
      </c>
      <c r="WSA14" s="108"/>
      <c r="WSB14" s="108"/>
      <c r="WSC14" s="109"/>
      <c r="WSD14" s="107" t="s">
        <v>1</v>
      </c>
      <c r="WSE14" s="108"/>
      <c r="WSF14" s="108"/>
      <c r="WSG14" s="109"/>
      <c r="WSH14" s="107" t="s">
        <v>1</v>
      </c>
      <c r="WSI14" s="108"/>
      <c r="WSJ14" s="108"/>
      <c r="WSK14" s="109"/>
      <c r="WSL14" s="107" t="s">
        <v>1</v>
      </c>
      <c r="WSM14" s="108"/>
      <c r="WSN14" s="108"/>
      <c r="WSO14" s="109"/>
      <c r="WSP14" s="107" t="s">
        <v>1</v>
      </c>
      <c r="WSQ14" s="108"/>
      <c r="WSR14" s="108"/>
      <c r="WSS14" s="109"/>
      <c r="WST14" s="107" t="s">
        <v>1</v>
      </c>
      <c r="WSU14" s="108"/>
      <c r="WSV14" s="108"/>
      <c r="WSW14" s="109"/>
      <c r="WSX14" s="107" t="s">
        <v>1</v>
      </c>
      <c r="WSY14" s="108"/>
      <c r="WSZ14" s="108"/>
      <c r="WTA14" s="109"/>
      <c r="WTB14" s="107" t="s">
        <v>1</v>
      </c>
      <c r="WTC14" s="108"/>
      <c r="WTD14" s="108"/>
      <c r="WTE14" s="109"/>
      <c r="WTF14" s="107" t="s">
        <v>1</v>
      </c>
      <c r="WTG14" s="108"/>
      <c r="WTH14" s="108"/>
      <c r="WTI14" s="109"/>
      <c r="WTJ14" s="107" t="s">
        <v>1</v>
      </c>
      <c r="WTK14" s="108"/>
      <c r="WTL14" s="108"/>
      <c r="WTM14" s="109"/>
      <c r="WTN14" s="107" t="s">
        <v>1</v>
      </c>
      <c r="WTO14" s="108"/>
      <c r="WTP14" s="108"/>
      <c r="WTQ14" s="109"/>
      <c r="WTR14" s="107" t="s">
        <v>1</v>
      </c>
      <c r="WTS14" s="108"/>
      <c r="WTT14" s="108"/>
      <c r="WTU14" s="109"/>
      <c r="WTV14" s="107" t="s">
        <v>1</v>
      </c>
      <c r="WTW14" s="108"/>
      <c r="WTX14" s="108"/>
      <c r="WTY14" s="109"/>
      <c r="WTZ14" s="107" t="s">
        <v>1</v>
      </c>
      <c r="WUA14" s="108"/>
      <c r="WUB14" s="108"/>
      <c r="WUC14" s="109"/>
      <c r="WUD14" s="107" t="s">
        <v>1</v>
      </c>
      <c r="WUE14" s="108"/>
      <c r="WUF14" s="108"/>
      <c r="WUG14" s="109"/>
      <c r="WUH14" s="107" t="s">
        <v>1</v>
      </c>
      <c r="WUI14" s="108"/>
      <c r="WUJ14" s="108"/>
      <c r="WUK14" s="109"/>
      <c r="WUL14" s="107" t="s">
        <v>1</v>
      </c>
      <c r="WUM14" s="108"/>
      <c r="WUN14" s="108"/>
      <c r="WUO14" s="109"/>
      <c r="WUP14" s="107" t="s">
        <v>1</v>
      </c>
      <c r="WUQ14" s="108"/>
      <c r="WUR14" s="108"/>
      <c r="WUS14" s="109"/>
      <c r="WUT14" s="107" t="s">
        <v>1</v>
      </c>
      <c r="WUU14" s="108"/>
      <c r="WUV14" s="108"/>
      <c r="WUW14" s="109"/>
      <c r="WUX14" s="107" t="s">
        <v>1</v>
      </c>
      <c r="WUY14" s="108"/>
      <c r="WUZ14" s="108"/>
      <c r="WVA14" s="109"/>
      <c r="WVB14" s="107" t="s">
        <v>1</v>
      </c>
      <c r="WVC14" s="108"/>
      <c r="WVD14" s="108"/>
      <c r="WVE14" s="109"/>
      <c r="WVF14" s="107" t="s">
        <v>1</v>
      </c>
      <c r="WVG14" s="108"/>
      <c r="WVH14" s="108"/>
      <c r="WVI14" s="109"/>
      <c r="WVJ14" s="107" t="s">
        <v>1</v>
      </c>
      <c r="WVK14" s="108"/>
      <c r="WVL14" s="108"/>
      <c r="WVM14" s="109"/>
      <c r="WVN14" s="107" t="s">
        <v>1</v>
      </c>
      <c r="WVO14" s="108"/>
      <c r="WVP14" s="108"/>
      <c r="WVQ14" s="109"/>
      <c r="WVR14" s="107" t="s">
        <v>1</v>
      </c>
      <c r="WVS14" s="108"/>
      <c r="WVT14" s="108"/>
      <c r="WVU14" s="109"/>
      <c r="WVV14" s="107" t="s">
        <v>1</v>
      </c>
      <c r="WVW14" s="108"/>
      <c r="WVX14" s="108"/>
      <c r="WVY14" s="109"/>
      <c r="WVZ14" s="107" t="s">
        <v>1</v>
      </c>
      <c r="WWA14" s="108"/>
      <c r="WWB14" s="108"/>
      <c r="WWC14" s="109"/>
      <c r="WWD14" s="107" t="s">
        <v>1</v>
      </c>
      <c r="WWE14" s="108"/>
      <c r="WWF14" s="108"/>
      <c r="WWG14" s="109"/>
      <c r="WWH14" s="107" t="s">
        <v>1</v>
      </c>
      <c r="WWI14" s="108"/>
      <c r="WWJ14" s="108"/>
      <c r="WWK14" s="109"/>
      <c r="WWL14" s="107" t="s">
        <v>1</v>
      </c>
      <c r="WWM14" s="108"/>
      <c r="WWN14" s="108"/>
      <c r="WWO14" s="109"/>
      <c r="WWP14" s="107" t="s">
        <v>1</v>
      </c>
      <c r="WWQ14" s="108"/>
      <c r="WWR14" s="108"/>
      <c r="WWS14" s="109"/>
      <c r="WWT14" s="107" t="s">
        <v>1</v>
      </c>
      <c r="WWU14" s="108"/>
      <c r="WWV14" s="108"/>
      <c r="WWW14" s="109"/>
      <c r="WWX14" s="107" t="s">
        <v>1</v>
      </c>
      <c r="WWY14" s="108"/>
      <c r="WWZ14" s="108"/>
      <c r="WXA14" s="109"/>
      <c r="WXB14" s="107" t="s">
        <v>1</v>
      </c>
      <c r="WXC14" s="108"/>
      <c r="WXD14" s="108"/>
      <c r="WXE14" s="109"/>
      <c r="WXF14" s="107" t="s">
        <v>1</v>
      </c>
      <c r="WXG14" s="108"/>
      <c r="WXH14" s="108"/>
      <c r="WXI14" s="109"/>
      <c r="WXJ14" s="107" t="s">
        <v>1</v>
      </c>
      <c r="WXK14" s="108"/>
      <c r="WXL14" s="108"/>
      <c r="WXM14" s="109"/>
      <c r="WXN14" s="107" t="s">
        <v>1</v>
      </c>
      <c r="WXO14" s="108"/>
      <c r="WXP14" s="108"/>
      <c r="WXQ14" s="109"/>
      <c r="WXR14" s="107" t="s">
        <v>1</v>
      </c>
      <c r="WXS14" s="108"/>
      <c r="WXT14" s="108"/>
      <c r="WXU14" s="109"/>
      <c r="WXV14" s="107" t="s">
        <v>1</v>
      </c>
      <c r="WXW14" s="108"/>
      <c r="WXX14" s="108"/>
      <c r="WXY14" s="109"/>
      <c r="WXZ14" s="107" t="s">
        <v>1</v>
      </c>
      <c r="WYA14" s="108"/>
      <c r="WYB14" s="108"/>
      <c r="WYC14" s="109"/>
      <c r="WYD14" s="107" t="s">
        <v>1</v>
      </c>
      <c r="WYE14" s="108"/>
      <c r="WYF14" s="108"/>
      <c r="WYG14" s="109"/>
      <c r="WYH14" s="107" t="s">
        <v>1</v>
      </c>
      <c r="WYI14" s="108"/>
      <c r="WYJ14" s="108"/>
      <c r="WYK14" s="109"/>
      <c r="WYL14" s="107" t="s">
        <v>1</v>
      </c>
      <c r="WYM14" s="108"/>
      <c r="WYN14" s="108"/>
      <c r="WYO14" s="109"/>
      <c r="WYP14" s="107" t="s">
        <v>1</v>
      </c>
      <c r="WYQ14" s="108"/>
      <c r="WYR14" s="108"/>
      <c r="WYS14" s="109"/>
      <c r="WYT14" s="107" t="s">
        <v>1</v>
      </c>
      <c r="WYU14" s="108"/>
      <c r="WYV14" s="108"/>
      <c r="WYW14" s="109"/>
      <c r="WYX14" s="107" t="s">
        <v>1</v>
      </c>
      <c r="WYY14" s="108"/>
      <c r="WYZ14" s="108"/>
      <c r="WZA14" s="109"/>
      <c r="WZB14" s="107" t="s">
        <v>1</v>
      </c>
      <c r="WZC14" s="108"/>
      <c r="WZD14" s="108"/>
      <c r="WZE14" s="109"/>
      <c r="WZF14" s="107" t="s">
        <v>1</v>
      </c>
      <c r="WZG14" s="108"/>
      <c r="WZH14" s="108"/>
      <c r="WZI14" s="109"/>
      <c r="WZJ14" s="107" t="s">
        <v>1</v>
      </c>
      <c r="WZK14" s="108"/>
      <c r="WZL14" s="108"/>
      <c r="WZM14" s="109"/>
      <c r="WZN14" s="107" t="s">
        <v>1</v>
      </c>
      <c r="WZO14" s="108"/>
      <c r="WZP14" s="108"/>
      <c r="WZQ14" s="109"/>
      <c r="WZR14" s="107" t="s">
        <v>1</v>
      </c>
      <c r="WZS14" s="108"/>
      <c r="WZT14" s="108"/>
      <c r="WZU14" s="109"/>
      <c r="WZV14" s="107" t="s">
        <v>1</v>
      </c>
      <c r="WZW14" s="108"/>
      <c r="WZX14" s="108"/>
      <c r="WZY14" s="109"/>
      <c r="WZZ14" s="107" t="s">
        <v>1</v>
      </c>
      <c r="XAA14" s="108"/>
      <c r="XAB14" s="108"/>
      <c r="XAC14" s="109"/>
      <c r="XAD14" s="107" t="s">
        <v>1</v>
      </c>
      <c r="XAE14" s="108"/>
      <c r="XAF14" s="108"/>
      <c r="XAG14" s="109"/>
      <c r="XAH14" s="107" t="s">
        <v>1</v>
      </c>
      <c r="XAI14" s="108"/>
      <c r="XAJ14" s="108"/>
      <c r="XAK14" s="109"/>
      <c r="XAL14" s="107" t="s">
        <v>1</v>
      </c>
      <c r="XAM14" s="108"/>
      <c r="XAN14" s="108"/>
      <c r="XAO14" s="109"/>
      <c r="XAP14" s="107" t="s">
        <v>1</v>
      </c>
      <c r="XAQ14" s="108"/>
      <c r="XAR14" s="108"/>
      <c r="XAS14" s="109"/>
      <c r="XAT14" s="107" t="s">
        <v>1</v>
      </c>
      <c r="XAU14" s="108"/>
      <c r="XAV14" s="108"/>
      <c r="XAW14" s="109"/>
      <c r="XAX14" s="107" t="s">
        <v>1</v>
      </c>
      <c r="XAY14" s="108"/>
      <c r="XAZ14" s="108"/>
      <c r="XBA14" s="109"/>
      <c r="XBB14" s="107" t="s">
        <v>1</v>
      </c>
      <c r="XBC14" s="108"/>
      <c r="XBD14" s="108"/>
      <c r="XBE14" s="109"/>
      <c r="XBF14" s="107" t="s">
        <v>1</v>
      </c>
      <c r="XBG14" s="108"/>
      <c r="XBH14" s="108"/>
      <c r="XBI14" s="109"/>
      <c r="XBJ14" s="107" t="s">
        <v>1</v>
      </c>
      <c r="XBK14" s="108"/>
      <c r="XBL14" s="108"/>
      <c r="XBM14" s="109"/>
      <c r="XBN14" s="107" t="s">
        <v>1</v>
      </c>
      <c r="XBO14" s="108"/>
      <c r="XBP14" s="108"/>
      <c r="XBQ14" s="109"/>
      <c r="XBR14" s="107" t="s">
        <v>1</v>
      </c>
      <c r="XBS14" s="108"/>
      <c r="XBT14" s="108"/>
      <c r="XBU14" s="109"/>
      <c r="XBV14" s="107" t="s">
        <v>1</v>
      </c>
      <c r="XBW14" s="108"/>
      <c r="XBX14" s="108"/>
      <c r="XBY14" s="109"/>
      <c r="XBZ14" s="107" t="s">
        <v>1</v>
      </c>
      <c r="XCA14" s="108"/>
      <c r="XCB14" s="108"/>
      <c r="XCC14" s="109"/>
      <c r="XCD14" s="107" t="s">
        <v>1</v>
      </c>
      <c r="XCE14" s="108"/>
      <c r="XCF14" s="108"/>
      <c r="XCG14" s="109"/>
      <c r="XCH14" s="107" t="s">
        <v>1</v>
      </c>
      <c r="XCI14" s="108"/>
      <c r="XCJ14" s="108"/>
      <c r="XCK14" s="109"/>
      <c r="XCL14" s="107" t="s">
        <v>1</v>
      </c>
      <c r="XCM14" s="108"/>
      <c r="XCN14" s="108"/>
      <c r="XCO14" s="109"/>
      <c r="XCP14" s="107" t="s">
        <v>1</v>
      </c>
      <c r="XCQ14" s="108"/>
      <c r="XCR14" s="108"/>
      <c r="XCS14" s="109"/>
      <c r="XCT14" s="107" t="s">
        <v>1</v>
      </c>
      <c r="XCU14" s="108"/>
      <c r="XCV14" s="108"/>
      <c r="XCW14" s="109"/>
      <c r="XCX14" s="107" t="s">
        <v>1</v>
      </c>
      <c r="XCY14" s="108"/>
      <c r="XCZ14" s="108"/>
      <c r="XDA14" s="109"/>
      <c r="XDB14" s="107" t="s">
        <v>1</v>
      </c>
      <c r="XDC14" s="108"/>
      <c r="XDD14" s="108"/>
      <c r="XDE14" s="109"/>
      <c r="XDF14" s="107" t="s">
        <v>1</v>
      </c>
      <c r="XDG14" s="108"/>
      <c r="XDH14" s="108"/>
      <c r="XDI14" s="109"/>
      <c r="XDJ14" s="107" t="s">
        <v>1</v>
      </c>
      <c r="XDK14" s="108"/>
      <c r="XDL14" s="108"/>
      <c r="XDM14" s="109"/>
      <c r="XDN14" s="107" t="s">
        <v>1</v>
      </c>
      <c r="XDO14" s="108"/>
      <c r="XDP14" s="108"/>
      <c r="XDQ14" s="109"/>
      <c r="XDR14" s="107" t="s">
        <v>1</v>
      </c>
      <c r="XDS14" s="108"/>
      <c r="XDT14" s="108"/>
      <c r="XDU14" s="109"/>
      <c r="XDV14" s="107" t="s">
        <v>1</v>
      </c>
      <c r="XDW14" s="108"/>
      <c r="XDX14" s="108"/>
      <c r="XDY14" s="109"/>
      <c r="XDZ14" s="107" t="s">
        <v>1</v>
      </c>
      <c r="XEA14" s="108"/>
      <c r="XEB14" s="108"/>
      <c r="XEC14" s="109"/>
      <c r="XED14" s="107" t="s">
        <v>1</v>
      </c>
      <c r="XEE14" s="108"/>
      <c r="XEF14" s="108"/>
      <c r="XEG14" s="109"/>
      <c r="XEH14" s="107" t="s">
        <v>1</v>
      </c>
      <c r="XEI14" s="108"/>
      <c r="XEJ14" s="108"/>
      <c r="XEK14" s="109"/>
      <c r="XEL14" s="107" t="s">
        <v>1</v>
      </c>
      <c r="XEM14" s="108"/>
      <c r="XEN14" s="108"/>
      <c r="XEO14" s="109"/>
      <c r="XEP14" s="107" t="s">
        <v>1</v>
      </c>
      <c r="XEQ14" s="108"/>
      <c r="XER14" s="108"/>
      <c r="XES14" s="109"/>
      <c r="XET14" s="107" t="s">
        <v>1</v>
      </c>
      <c r="XEU14" s="108"/>
      <c r="XEV14" s="108"/>
      <c r="XEW14" s="109"/>
      <c r="XEX14" s="107" t="s">
        <v>1</v>
      </c>
      <c r="XEY14" s="108"/>
      <c r="XEZ14" s="108"/>
      <c r="XFA14" s="109"/>
    </row>
    <row r="15" spans="1:16381" ht="33" customHeight="1" x14ac:dyDescent="0.25">
      <c r="A15" s="40" t="s">
        <v>181</v>
      </c>
      <c r="B15" s="10" t="s">
        <v>82</v>
      </c>
      <c r="C15" s="31" t="s">
        <v>83</v>
      </c>
      <c r="D15" s="13" t="s">
        <v>182</v>
      </c>
      <c r="E15" s="4"/>
      <c r="F15" s="4"/>
      <c r="G15" s="4"/>
      <c r="H15" s="4"/>
      <c r="I15" s="4"/>
    </row>
    <row r="16" spans="1:16381" ht="22.5" customHeight="1" x14ac:dyDescent="0.2">
      <c r="A16" s="104" t="s">
        <v>890</v>
      </c>
      <c r="B16" s="104"/>
      <c r="C16" s="104"/>
      <c r="D16" s="104"/>
    </row>
    <row r="17" spans="1:9" ht="15.75" customHeight="1" x14ac:dyDescent="0.25">
      <c r="A17" s="138" t="s">
        <v>1132</v>
      </c>
      <c r="B17" s="139"/>
      <c r="C17" s="140" t="s">
        <v>142</v>
      </c>
      <c r="D17" s="141"/>
    </row>
    <row r="18" spans="1:9" ht="15.75" customHeight="1" x14ac:dyDescent="0.25">
      <c r="A18" s="138" t="s">
        <v>1092</v>
      </c>
      <c r="B18" s="139"/>
      <c r="C18" s="140" t="s">
        <v>142</v>
      </c>
      <c r="D18" s="141"/>
    </row>
    <row r="19" spans="1:9" ht="7.5" customHeight="1" x14ac:dyDescent="0.2">
      <c r="A19" s="104"/>
      <c r="B19" s="104"/>
      <c r="C19" s="104"/>
      <c r="D19" s="104"/>
    </row>
    <row r="20" spans="1:9" s="8" customFormat="1" ht="15.75" x14ac:dyDescent="0.25">
      <c r="A20" s="9" t="s">
        <v>1131</v>
      </c>
      <c r="B20" s="143" t="s">
        <v>142</v>
      </c>
      <c r="C20" s="140"/>
      <c r="D20" s="141"/>
      <c r="E20" s="8" t="s">
        <v>148</v>
      </c>
      <c r="F20" s="8" t="s">
        <v>149</v>
      </c>
      <c r="G20" s="8" t="s">
        <v>1086</v>
      </c>
      <c r="H20" s="8" t="s">
        <v>150</v>
      </c>
      <c r="I20" s="7">
        <f>COUNTIF(H21:H50, "False")</f>
        <v>0</v>
      </c>
    </row>
    <row r="21" spans="1:9" s="8" customFormat="1" ht="15.75" customHeight="1" x14ac:dyDescent="0.25">
      <c r="A21" s="17" t="s">
        <v>86</v>
      </c>
      <c r="B21" s="41"/>
      <c r="C21" s="142" t="s">
        <v>968</v>
      </c>
      <c r="D21" s="124">
        <f>IFERROR(INDEX(Data_Sheet[Lead Time Total], MATCH(AROW!$B$20, Data_Sheet[Concatenate C+D],0)),"")</f>
        <v>0</v>
      </c>
      <c r="E21" s="1">
        <v>1</v>
      </c>
      <c r="F21" s="16" t="str">
        <f>IF($B$22="", "", B22)</f>
        <v>MM/DD/YYYY</v>
      </c>
      <c r="G21" s="16" t="b">
        <f>ISTEXT(D21)</f>
        <v>0</v>
      </c>
      <c r="H21" s="1" t="str">
        <f>IFERROR(IF(G21="FALSE",_xlfn.DAYS(F21,$D$5)&gt;D21, _xlfn.DAYS(F21,$D$5)&gt;D21),"")</f>
        <v/>
      </c>
      <c r="I21" s="1">
        <f>IF(ISNUMBER(I20), I20, "")</f>
        <v>0</v>
      </c>
    </row>
    <row r="22" spans="1:9" ht="15.75" customHeight="1" x14ac:dyDescent="0.25">
      <c r="A22" s="18" t="s">
        <v>963</v>
      </c>
      <c r="B22" s="42" t="s">
        <v>182</v>
      </c>
      <c r="C22" s="123"/>
      <c r="D22" s="125"/>
      <c r="E22" s="1">
        <v>2</v>
      </c>
      <c r="F22" s="16" t="str">
        <f>IF($B$28="","",B28)</f>
        <v>MM/DD/YYYY</v>
      </c>
      <c r="G22" s="16" t="b">
        <f>ISTEXT(D27)</f>
        <v>0</v>
      </c>
      <c r="H22" s="1" t="str">
        <f>IFERROR(IF(G22="FALSE",_xlfn.DAYS(F22,$D$5)&gt;D27, _xlfn.DAYS(F22,$D$5)&gt;D27),"")</f>
        <v/>
      </c>
    </row>
    <row r="23" spans="1:9" ht="15.6" hidden="1" customHeight="1" thickBot="1" x14ac:dyDescent="0.3">
      <c r="A23" s="24" t="s">
        <v>9</v>
      </c>
      <c r="B23" s="51" t="s">
        <v>142</v>
      </c>
      <c r="C23" s="24" t="s">
        <v>152</v>
      </c>
      <c r="D23" s="85">
        <f>B21</f>
        <v>0</v>
      </c>
      <c r="E23" s="2">
        <v>3</v>
      </c>
      <c r="F23" s="16" t="str">
        <f>IF($B$34="", "", B34)</f>
        <v>MM/DD/YYYY</v>
      </c>
      <c r="G23" s="16" t="b">
        <f t="shared" ref="G23:G24" si="0">ISTEXT(D23)</f>
        <v>0</v>
      </c>
      <c r="H23" s="1" t="str">
        <f>IFERROR(IF(G23="FALSE",_xlfn.DAYS(F23,#REF!)&gt;D23, _xlfn.DAYS(F23,#REF!)&gt;D23),"")</f>
        <v/>
      </c>
    </row>
    <row r="24" spans="1:9" ht="15.6" hidden="1" customHeight="1" x14ac:dyDescent="0.25">
      <c r="A24" s="24" t="s">
        <v>9</v>
      </c>
      <c r="B24" s="51" t="s">
        <v>142</v>
      </c>
      <c r="C24" s="24" t="s">
        <v>152</v>
      </c>
      <c r="D24" s="50"/>
      <c r="E24" s="7">
        <v>4</v>
      </c>
      <c r="F24" s="16" t="str">
        <f>IF($B$40="", "", B40)</f>
        <v>MM/DD/YYYY</v>
      </c>
      <c r="G24" s="16" t="b">
        <f t="shared" si="0"/>
        <v>0</v>
      </c>
      <c r="H24" s="1" t="str">
        <f>IFERROR(IF(G24="FALSE",_xlfn.DAYS(F24,#REF!)&gt;D24, _xlfn.DAYS(F24,#REF!)&gt;D24),"")</f>
        <v/>
      </c>
    </row>
    <row r="25" spans="1:9" s="7" customFormat="1" ht="8.25" customHeight="1" x14ac:dyDescent="0.2">
      <c r="A25" s="104"/>
      <c r="B25" s="104"/>
      <c r="C25" s="104"/>
      <c r="D25" s="104"/>
      <c r="E25" s="7">
        <v>3</v>
      </c>
      <c r="F25" s="16" t="str">
        <f>IF($B$34="", "", B34)</f>
        <v>MM/DD/YYYY</v>
      </c>
      <c r="G25" s="16" t="b">
        <f>ISTEXT(D33)</f>
        <v>0</v>
      </c>
      <c r="H25" s="1" t="str">
        <f>IFERROR(IF(G25="FALSE",_xlfn.DAYS(F25,$D$5)&gt;D33, _xlfn.DAYS(F25,$D$5)&gt;D33),"")</f>
        <v/>
      </c>
      <c r="I25" s="1"/>
    </row>
    <row r="26" spans="1:9" s="8" customFormat="1" ht="15" customHeight="1" x14ac:dyDescent="0.25">
      <c r="A26" s="19" t="s">
        <v>969</v>
      </c>
      <c r="B26" s="143" t="s">
        <v>142</v>
      </c>
      <c r="C26" s="140"/>
      <c r="D26" s="141"/>
      <c r="E26" s="7">
        <v>4</v>
      </c>
      <c r="F26" s="16" t="str">
        <f>IF($B$40="", "", B40)</f>
        <v>MM/DD/YYYY</v>
      </c>
      <c r="G26" s="16" t="b">
        <f>ISTEXT(D39)</f>
        <v>0</v>
      </c>
      <c r="H26" s="1" t="str">
        <f>IFERROR(IF(G26="FALSE",_xlfn.DAYS(F26,$D$5)&gt;D39, _xlfn.DAYS(F26,$D$5)&gt;D39),"")</f>
        <v/>
      </c>
    </row>
    <row r="27" spans="1:9" s="8" customFormat="1" ht="15.75" customHeight="1" x14ac:dyDescent="0.25">
      <c r="A27" s="21" t="s">
        <v>86</v>
      </c>
      <c r="B27" s="41"/>
      <c r="C27" s="142" t="s">
        <v>968</v>
      </c>
      <c r="D27" s="124">
        <f>IFERROR(INDEX(Data_Sheet[Lead Time Total], MATCH(AROW!$B$26, Data_Sheet[Concatenate C+D],0)),"")</f>
        <v>0</v>
      </c>
      <c r="E27" s="7">
        <v>5</v>
      </c>
      <c r="F27" s="16" t="str">
        <f>IF($B$46="", "", B46)</f>
        <v>MM/DD/YYYY</v>
      </c>
      <c r="G27" s="16" t="b">
        <f>ISTEXT(D45)</f>
        <v>0</v>
      </c>
      <c r="H27" s="1" t="str">
        <f>IFERROR(IF(G27="FALSE",_xlfn.DAYS(F27,$D$5)&gt;D45, _xlfn.DAYS(F27,$D$5)&gt;D45),"")</f>
        <v/>
      </c>
    </row>
    <row r="28" spans="1:9" ht="15.75" customHeight="1" x14ac:dyDescent="0.25">
      <c r="A28" s="18" t="s">
        <v>963</v>
      </c>
      <c r="B28" s="42" t="s">
        <v>182</v>
      </c>
      <c r="C28" s="123"/>
      <c r="D28" s="125"/>
      <c r="E28" s="7">
        <v>6</v>
      </c>
      <c r="F28" s="16" t="str">
        <f>IF($B$52="", "", B52)</f>
        <v>MM/DD/YYYY</v>
      </c>
      <c r="G28" s="16" t="b">
        <f>ISTEXT(D51)</f>
        <v>0</v>
      </c>
      <c r="H28" s="1" t="str">
        <f>IFERROR(IF(G28="FALSE",_xlfn.DAYS(F28,$D$5)&gt;D51, _xlfn.DAYS(F28,$D$5)&gt;D51),"")</f>
        <v/>
      </c>
    </row>
    <row r="29" spans="1:9" ht="15.6" hidden="1" customHeight="1" x14ac:dyDescent="0.25">
      <c r="A29" s="24" t="s">
        <v>9</v>
      </c>
      <c r="B29" s="51" t="s">
        <v>142</v>
      </c>
      <c r="C29" s="24" t="s">
        <v>152</v>
      </c>
      <c r="D29" s="85"/>
      <c r="E29" s="8">
        <v>7</v>
      </c>
      <c r="F29" s="16" t="str">
        <f>IF($B$58="", "", B60)</f>
        <v>Select</v>
      </c>
      <c r="G29" s="16" t="b">
        <f>ISTEXT(D47)</f>
        <v>0</v>
      </c>
      <c r="H29" s="1" t="str">
        <f>IFERROR(IF(G29="FALSE",_xlfn.DAYS(F29,#REF!)&gt;D29, _xlfn.DAYS(F29,#REF!)&gt;D29),"")</f>
        <v/>
      </c>
    </row>
    <row r="30" spans="1:9" ht="15.6" hidden="1" customHeight="1" x14ac:dyDescent="0.25">
      <c r="A30" s="24" t="s">
        <v>9</v>
      </c>
      <c r="B30" s="51" t="s">
        <v>142</v>
      </c>
      <c r="C30" s="24" t="s">
        <v>152</v>
      </c>
      <c r="D30" s="50"/>
      <c r="E30" s="1">
        <v>8</v>
      </c>
      <c r="F30" s="16" t="str">
        <f>IF($B$64="", "", B66)</f>
        <v>Select</v>
      </c>
      <c r="G30" s="16" t="b">
        <f>ISTEXT(D53)</f>
        <v>0</v>
      </c>
      <c r="H30" s="1" t="str">
        <f>IFERROR(IF(G30="FALSE",_xlfn.DAYS(F30,#REF!)&gt;D30, _xlfn.DAYS(F30,#REF!)&gt;D30),"")</f>
        <v/>
      </c>
    </row>
    <row r="31" spans="1:9" s="8" customFormat="1" ht="8.25" customHeight="1" x14ac:dyDescent="0.2">
      <c r="A31" s="104"/>
      <c r="B31" s="104"/>
      <c r="C31" s="104"/>
      <c r="D31" s="104"/>
      <c r="E31" s="1">
        <v>7</v>
      </c>
      <c r="F31" s="16" t="str">
        <f xml:space="preserve"> IF($B$58="", "",B58)</f>
        <v>MM/DD/YYYY</v>
      </c>
      <c r="G31" s="16" t="b">
        <f>ISTEXT(D57)</f>
        <v>0</v>
      </c>
      <c r="H31" s="1" t="str">
        <f>IFERROR(IF(G31="FALSE",_xlfn.DAYS(F31,$D$5)&gt;D57, _xlfn.DAYS(F31,$D$5)&gt;D57),"")</f>
        <v/>
      </c>
    </row>
    <row r="32" spans="1:9" s="8" customFormat="1" ht="16.5" thickBot="1" x14ac:dyDescent="0.3">
      <c r="A32" s="76" t="s">
        <v>970</v>
      </c>
      <c r="B32" s="143" t="s">
        <v>142</v>
      </c>
      <c r="C32" s="140"/>
      <c r="D32" s="141"/>
      <c r="E32" s="2">
        <v>8</v>
      </c>
      <c r="F32" s="16" t="str">
        <f>IF($B$64="", "", B64)</f>
        <v>MM/DD/YYYY</v>
      </c>
      <c r="G32" s="16" t="b">
        <f>ISTEXT(D63)</f>
        <v>0</v>
      </c>
      <c r="H32" s="1" t="str">
        <f>IFERROR(IF(G32="FALSE",_xlfn.DAYS(F32,$D$5)&gt;D63, _xlfn.DAYS(F32,$D$5)&gt;D63),"")</f>
        <v/>
      </c>
    </row>
    <row r="33" spans="1:9" ht="15.75" x14ac:dyDescent="0.25">
      <c r="A33" s="21" t="s">
        <v>86</v>
      </c>
      <c r="B33" s="41"/>
      <c r="C33" s="142" t="s">
        <v>968</v>
      </c>
      <c r="D33" s="124">
        <f>IFERROR(INDEX(Data_Sheet[Lead Time Total], MATCH(AROW!$B$32, Data_Sheet[Concatenate C+D],0)),"")</f>
        <v>0</v>
      </c>
      <c r="E33" s="7">
        <v>9</v>
      </c>
      <c r="F33" s="16" t="str">
        <f>IF($B$70="", "", B70)</f>
        <v>MM/DD/YYYY</v>
      </c>
      <c r="G33" s="16" t="b">
        <f>ISTEXT(D69)</f>
        <v>0</v>
      </c>
      <c r="H33" s="1" t="str">
        <f>IFERROR(IF(G33="FALSE",_xlfn.DAYS(F33,$D$5)&gt;D69, _xlfn.DAYS(F33,$D$5)&gt;D69),"")</f>
        <v/>
      </c>
    </row>
    <row r="34" spans="1:9" ht="15.75" x14ac:dyDescent="0.25">
      <c r="A34" s="18" t="s">
        <v>963</v>
      </c>
      <c r="B34" s="42" t="s">
        <v>182</v>
      </c>
      <c r="C34" s="123"/>
      <c r="D34" s="125"/>
      <c r="E34" s="1">
        <v>10</v>
      </c>
      <c r="F34" s="16" t="str">
        <f>IF($B$76="", "", B76)</f>
        <v>MM/DD/YYYY</v>
      </c>
      <c r="G34" s="16" t="b">
        <f>ISTEXT(D75)</f>
        <v>0</v>
      </c>
      <c r="H34" s="1" t="str">
        <f>IFERROR(IF(G34="FALSE",_xlfn.DAYS(F34,$D$5)&gt;D75, _xlfn.DAYS(F34,$D$5)&gt;D75),"")</f>
        <v/>
      </c>
    </row>
    <row r="35" spans="1:9" s="7" customFormat="1" ht="15.6" hidden="1" customHeight="1" x14ac:dyDescent="0.25">
      <c r="A35" s="24" t="s">
        <v>9</v>
      </c>
      <c r="B35" s="51" t="s">
        <v>142</v>
      </c>
      <c r="C35" s="24" t="s">
        <v>152</v>
      </c>
      <c r="D35" s="50"/>
      <c r="E35" s="1">
        <v>13</v>
      </c>
      <c r="F35" s="16" t="str">
        <f>IF($B$94="", "", B96)</f>
        <v>Select</v>
      </c>
      <c r="G35" s="16" t="b">
        <f>ISTEXT(D71)</f>
        <v>0</v>
      </c>
      <c r="H35" s="1" t="str">
        <f>IFERROR(IF(G35="FALSE",_xlfn.DAYS(F35,#REF!)&gt;D35, _xlfn.DAYS(F35,#REF!)&gt;D35),"")</f>
        <v/>
      </c>
      <c r="I35" s="1"/>
    </row>
    <row r="36" spans="1:9" s="7" customFormat="1" ht="15.6" hidden="1" customHeight="1" x14ac:dyDescent="0.25">
      <c r="A36" s="24" t="s">
        <v>9</v>
      </c>
      <c r="B36" s="51" t="s">
        <v>142</v>
      </c>
      <c r="C36" s="24" t="s">
        <v>152</v>
      </c>
      <c r="D36" s="50"/>
      <c r="E36" s="1">
        <v>14</v>
      </c>
      <c r="F36" s="16" t="str">
        <f>IF($B$100="", "", B102)</f>
        <v>Select</v>
      </c>
      <c r="G36" s="16" t="b">
        <f>ISTEXT(D77)</f>
        <v>0</v>
      </c>
      <c r="H36" s="1" t="str">
        <f>IFERROR(IF(G36="FALSE",_xlfn.DAYS(F36,#REF!)&gt;D36, _xlfn.DAYS(F36,#REF!)&gt;D36),"")</f>
        <v/>
      </c>
      <c r="I36" s="1"/>
    </row>
    <row r="37" spans="1:9" s="7" customFormat="1" ht="8.25" customHeight="1" x14ac:dyDescent="0.2">
      <c r="A37" s="104"/>
      <c r="B37" s="104"/>
      <c r="C37" s="104"/>
      <c r="D37" s="104"/>
      <c r="E37" s="7">
        <v>11</v>
      </c>
      <c r="F37" s="16" t="str">
        <f>IF($B$82="", "", B82)</f>
        <v>MM/DD/YYYY</v>
      </c>
      <c r="G37" s="16" t="b">
        <f>ISTEXT(D81)</f>
        <v>0</v>
      </c>
      <c r="H37" s="1" t="str">
        <f>IFERROR(IF(G37="FALSE",_xlfn.DAYS(F37,$D$5)&gt;D81, _xlfn.DAYS(F37,$D$5)&gt;D81),"")</f>
        <v/>
      </c>
      <c r="I37" s="1"/>
    </row>
    <row r="38" spans="1:9" s="8" customFormat="1" ht="15.75" x14ac:dyDescent="0.25">
      <c r="A38" s="76" t="s">
        <v>971</v>
      </c>
      <c r="B38" s="143" t="s">
        <v>142</v>
      </c>
      <c r="C38" s="140"/>
      <c r="D38" s="141"/>
      <c r="E38" s="7">
        <v>12</v>
      </c>
      <c r="F38" s="16" t="str">
        <f>IF($B$88="", "", B88)</f>
        <v>MM/DD/YYYY</v>
      </c>
      <c r="G38" s="16" t="b">
        <f>ISTEXT(D87)</f>
        <v>0</v>
      </c>
      <c r="H38" s="1" t="str">
        <f>IFERROR(IF(G38="FALSE",_xlfn.DAYS(F38,$D$5)&gt;D87, _xlfn.DAYS(F38,$D$5)&gt;D87),"")</f>
        <v/>
      </c>
      <c r="I38" s="1"/>
    </row>
    <row r="39" spans="1:9" ht="15.75" x14ac:dyDescent="0.25">
      <c r="A39" s="21" t="s">
        <v>86</v>
      </c>
      <c r="B39" s="41"/>
      <c r="C39" s="142" t="s">
        <v>968</v>
      </c>
      <c r="D39" s="124">
        <f>IFERROR(INDEX(Data_Sheet[Lead Time Total], MATCH(AROW!$B$38, Data_Sheet[Concatenate C+D],0)),"")</f>
        <v>0</v>
      </c>
      <c r="E39" s="7">
        <v>13</v>
      </c>
      <c r="F39" s="16" t="str">
        <f>IF($B$94="", "", B94)</f>
        <v>MM/DD/YYYY</v>
      </c>
      <c r="G39" s="16" t="b">
        <f>ISTEXT(D93)</f>
        <v>0</v>
      </c>
      <c r="H39" s="1" t="str">
        <f>IFERROR(IF(G39="FALSE",_xlfn.DAYS(F39,$D$5)&gt;D93, _xlfn.DAYS(F39,$D$5)&gt;D93),"")</f>
        <v/>
      </c>
    </row>
    <row r="40" spans="1:9" ht="15.75" x14ac:dyDescent="0.25">
      <c r="A40" s="18" t="s">
        <v>963</v>
      </c>
      <c r="B40" s="42" t="s">
        <v>182</v>
      </c>
      <c r="C40" s="123"/>
      <c r="D40" s="125"/>
      <c r="E40" s="8">
        <v>14</v>
      </c>
      <c r="F40" s="16" t="str">
        <f>IF($B$100="", "", B100)</f>
        <v>MM/DD/YYYY</v>
      </c>
      <c r="G40" s="16" t="b">
        <f>ISTEXT(D99)</f>
        <v>0</v>
      </c>
      <c r="H40" s="1" t="str">
        <f>IFERROR(IF(G40="FALSE",_xlfn.DAYS(F40,$D$5)&gt;D99, _xlfn.DAYS(F40,$D$5)&gt;D99),"")</f>
        <v/>
      </c>
    </row>
    <row r="41" spans="1:9" s="8" customFormat="1" ht="15.6" hidden="1" customHeight="1" x14ac:dyDescent="0.25">
      <c r="A41" s="24" t="s">
        <v>9</v>
      </c>
      <c r="B41" s="51" t="s">
        <v>142</v>
      </c>
      <c r="C41" s="24" t="s">
        <v>152</v>
      </c>
      <c r="D41" s="50"/>
      <c r="E41" s="1">
        <v>17</v>
      </c>
      <c r="F41" s="16" t="str">
        <f>IF($B$118="", "", B120)</f>
        <v>Select</v>
      </c>
      <c r="G41" s="16" t="b">
        <f>ISTEXT(D96)</f>
        <v>0</v>
      </c>
      <c r="H41" s="1" t="str">
        <f>IFERROR(IF(G41="FALSE",_xlfn.DAYS(F41,#REF!)&gt;D41, _xlfn.DAYS(F41,#REF!)&gt;D41),"")</f>
        <v/>
      </c>
    </row>
    <row r="42" spans="1:9" s="8" customFormat="1" ht="15.6" hidden="1" customHeight="1" x14ac:dyDescent="0.25">
      <c r="A42" s="24" t="s">
        <v>9</v>
      </c>
      <c r="B42" s="51" t="s">
        <v>142</v>
      </c>
      <c r="C42" s="24" t="s">
        <v>152</v>
      </c>
      <c r="D42" s="50"/>
      <c r="E42" s="1">
        <v>18</v>
      </c>
      <c r="F42" s="16" t="str">
        <f>IF($B$124="", "", B126)</f>
        <v>Select</v>
      </c>
      <c r="G42" s="16" t="b">
        <f>ISTEXT(D102)</f>
        <v>0</v>
      </c>
      <c r="H42" s="1" t="str">
        <f>IFERROR(IF(G42="FALSE",_xlfn.DAYS(F42,#REF!)&gt;D42, _xlfn.DAYS(F42,#REF!)&gt;D42),"")</f>
        <v/>
      </c>
    </row>
    <row r="43" spans="1:9" ht="8.25" customHeight="1" x14ac:dyDescent="0.2">
      <c r="A43" s="104"/>
      <c r="B43" s="104"/>
      <c r="C43" s="104"/>
      <c r="D43" s="104"/>
      <c r="E43" s="8">
        <v>15</v>
      </c>
      <c r="F43" s="16" t="str">
        <f>IF($B$106="", "", B106)</f>
        <v>MM/DD/YYYY</v>
      </c>
      <c r="G43" s="16" t="b">
        <f>ISTEXT(D105)</f>
        <v>0</v>
      </c>
      <c r="H43" s="1" t="str">
        <f>IFERROR(IF(G43="FALSE",_xlfn.DAYS(F43,$D$5)&gt;D105, _xlfn.DAYS(F43,$D$5)&gt;D105),"")</f>
        <v/>
      </c>
    </row>
    <row r="44" spans="1:9" ht="15.75" x14ac:dyDescent="0.25">
      <c r="A44" s="9" t="s">
        <v>972</v>
      </c>
      <c r="B44" s="143" t="s">
        <v>142</v>
      </c>
      <c r="C44" s="140"/>
      <c r="D44" s="141"/>
      <c r="E44" s="8">
        <v>16</v>
      </c>
      <c r="F44" s="16" t="str">
        <f>IF($B$112="", "", B112)</f>
        <v>MM/DD/YYYY</v>
      </c>
      <c r="G44" s="16" t="b">
        <f>ISTEXT(D111)</f>
        <v>0</v>
      </c>
      <c r="H44" s="1" t="str">
        <f>IFERROR(IF(G44="FALSE",_xlfn.DAYS(F44,$D$5)&gt;D111, _xlfn.DAYS(F44,$D$5)&gt;D111),"")</f>
        <v/>
      </c>
    </row>
    <row r="45" spans="1:9" s="7" customFormat="1" ht="15.75" x14ac:dyDescent="0.25">
      <c r="A45" s="17" t="s">
        <v>86</v>
      </c>
      <c r="B45" s="41"/>
      <c r="C45" s="142" t="s">
        <v>968</v>
      </c>
      <c r="D45" s="124">
        <f>IFERROR(INDEX(Data_Sheet[Lead Time Total], MATCH(AROW!$B$44, Data_Sheet[Concatenate C+D],0)),"")</f>
        <v>0</v>
      </c>
      <c r="E45" s="1">
        <v>17</v>
      </c>
      <c r="F45" s="16" t="str">
        <f>IF($B$118="", "", B118)</f>
        <v>MM/DD/YYYY</v>
      </c>
      <c r="G45" s="16" t="b">
        <f>ISTEXT(D117)</f>
        <v>0</v>
      </c>
      <c r="H45" s="1" t="str">
        <f>IFERROR(IF(G45="FALSE",_xlfn.DAYS(F45,$D$5)&gt;D117, _xlfn.DAYS(F45,$D$5)&gt;D117),"")</f>
        <v/>
      </c>
      <c r="I45" s="1"/>
    </row>
    <row r="46" spans="1:9" s="7" customFormat="1" ht="15.75" x14ac:dyDescent="0.25">
      <c r="A46" s="18" t="s">
        <v>963</v>
      </c>
      <c r="B46" s="42" t="s">
        <v>182</v>
      </c>
      <c r="C46" s="123"/>
      <c r="D46" s="125"/>
      <c r="E46" s="1">
        <v>18</v>
      </c>
      <c r="F46" s="16" t="str">
        <f>IF($B$124="", "", B124)</f>
        <v>MM/DD/YYYY</v>
      </c>
      <c r="G46" s="16" t="b">
        <f>ISTEXT(D123)</f>
        <v>0</v>
      </c>
      <c r="H46" s="1" t="str">
        <f>IFERROR(IF(G46="FALSE",_xlfn.DAYS(F46,$D$5)&gt;D123, _xlfn.DAYS(F46,$D$5)&gt;D118),"")</f>
        <v/>
      </c>
      <c r="I46" s="1"/>
    </row>
    <row r="47" spans="1:9" s="7" customFormat="1" ht="15.6" hidden="1" customHeight="1" x14ac:dyDescent="0.25">
      <c r="A47" s="24" t="s">
        <v>9</v>
      </c>
      <c r="B47" s="51" t="s">
        <v>142</v>
      </c>
      <c r="C47" s="24" t="s">
        <v>152</v>
      </c>
      <c r="D47" s="50"/>
      <c r="F47" s="16" t="str">
        <f t="shared" ref="F47:F48" si="1">IF($B$124="", "", B125)</f>
        <v>Select</v>
      </c>
      <c r="G47" s="16" t="b">
        <f t="shared" ref="G47:G48" si="2">ISTEXT(D124)</f>
        <v>0</v>
      </c>
      <c r="H47" s="1" t="str">
        <f t="shared" ref="H47:H48" si="3">IFERROR(IF(G47="FALSE",_xlfn.DAYS(F47,$D$5)&gt;D114, _xlfn.DAYS(F47,$D$5)&gt;D114),"")</f>
        <v/>
      </c>
      <c r="I47" s="1"/>
    </row>
    <row r="48" spans="1:9" s="8" customFormat="1" ht="15.6" hidden="1" customHeight="1" x14ac:dyDescent="0.25">
      <c r="A48" s="24" t="s">
        <v>9</v>
      </c>
      <c r="B48" s="51" t="s">
        <v>142</v>
      </c>
      <c r="C48" s="24" t="s">
        <v>152</v>
      </c>
      <c r="D48" s="50"/>
      <c r="F48" s="16" t="str">
        <f t="shared" si="1"/>
        <v>Select</v>
      </c>
      <c r="G48" s="16" t="b">
        <f t="shared" si="2"/>
        <v>0</v>
      </c>
      <c r="H48" s="1" t="str">
        <f t="shared" si="3"/>
        <v/>
      </c>
      <c r="I48" s="1"/>
    </row>
    <row r="49" spans="1:9" ht="8.25" customHeight="1" x14ac:dyDescent="0.2">
      <c r="A49" s="104"/>
      <c r="B49" s="104"/>
      <c r="C49" s="104"/>
      <c r="D49" s="104"/>
      <c r="E49" s="1">
        <v>19</v>
      </c>
      <c r="F49" s="16" t="str">
        <f>IF($B$130="", "", B130)</f>
        <v>MM/DD/YYYY</v>
      </c>
      <c r="G49" s="16" t="b">
        <f>ISTEXT(D129)</f>
        <v>0</v>
      </c>
      <c r="H49" s="1" t="str">
        <f>IFERROR(IF(G49="FALSE",_xlfn.DAYS(F49,$D$5)&gt;D129, _xlfn.DAYS(F49,$D$5)&gt;D129),"")</f>
        <v/>
      </c>
    </row>
    <row r="50" spans="1:9" ht="15.75" x14ac:dyDescent="0.25">
      <c r="A50" s="19" t="s">
        <v>973</v>
      </c>
      <c r="B50" s="143" t="s">
        <v>142</v>
      </c>
      <c r="C50" s="140"/>
      <c r="D50" s="141"/>
      <c r="E50" s="1">
        <v>20</v>
      </c>
      <c r="F50" s="16" t="str">
        <f>IF($B$136="", "", B136)</f>
        <v>MM/DD/YYYY</v>
      </c>
      <c r="G50" s="16" t="b">
        <f>ISTEXT(D135)</f>
        <v>0</v>
      </c>
      <c r="H50" s="1" t="str">
        <f>IFERROR(IF(G50="FALSE",_xlfn.DAYS(F50,$D$5)&gt;D135, _xlfn.DAYS(F50,$D$5)&gt;D135),"")</f>
        <v/>
      </c>
    </row>
    <row r="51" spans="1:9" s="8" customFormat="1" ht="15.75" x14ac:dyDescent="0.25">
      <c r="A51" s="20" t="s">
        <v>86</v>
      </c>
      <c r="B51" s="41"/>
      <c r="C51" s="142" t="s">
        <v>968</v>
      </c>
      <c r="D51" s="124">
        <f>IFERROR(INDEX(Data_Sheet[Lead Time Total], MATCH(AROW!$B$50, Data_Sheet[Concatenate C+D],0)),"")</f>
        <v>0</v>
      </c>
    </row>
    <row r="52" spans="1:9" s="8" customFormat="1" ht="15.75" x14ac:dyDescent="0.25">
      <c r="A52" s="18" t="s">
        <v>963</v>
      </c>
      <c r="B52" s="42" t="s">
        <v>182</v>
      </c>
      <c r="C52" s="123"/>
      <c r="D52" s="125"/>
    </row>
    <row r="53" spans="1:9" ht="15.6" hidden="1" customHeight="1" x14ac:dyDescent="0.25">
      <c r="A53" s="24" t="s">
        <v>9</v>
      </c>
      <c r="B53" s="51" t="s">
        <v>142</v>
      </c>
      <c r="C53" s="24" t="s">
        <v>152</v>
      </c>
      <c r="D53" s="50"/>
      <c r="F53" s="16"/>
      <c r="G53" s="16"/>
    </row>
    <row r="54" spans="1:9" ht="15.6" hidden="1" customHeight="1" x14ac:dyDescent="0.25">
      <c r="A54" s="24" t="s">
        <v>9</v>
      </c>
      <c r="B54" s="51" t="s">
        <v>142</v>
      </c>
      <c r="C54" s="24" t="s">
        <v>152</v>
      </c>
      <c r="D54" s="50"/>
      <c r="F54" s="16"/>
      <c r="G54" s="16"/>
    </row>
    <row r="55" spans="1:9" s="7" customFormat="1" ht="8.25" customHeight="1" x14ac:dyDescent="0.2">
      <c r="A55" s="104"/>
      <c r="B55" s="104"/>
      <c r="C55" s="104"/>
      <c r="D55" s="104"/>
      <c r="F55" s="16"/>
      <c r="G55" s="16"/>
      <c r="H55" s="1"/>
      <c r="I55" s="1"/>
    </row>
    <row r="56" spans="1:9" s="7" customFormat="1" ht="15.75" x14ac:dyDescent="0.25">
      <c r="A56" s="9" t="s">
        <v>974</v>
      </c>
      <c r="B56" s="143" t="s">
        <v>142</v>
      </c>
      <c r="C56" s="140"/>
      <c r="D56" s="141"/>
      <c r="F56" s="16"/>
      <c r="G56" s="16"/>
      <c r="H56" s="1"/>
      <c r="I56" s="1"/>
    </row>
    <row r="57" spans="1:9" s="7" customFormat="1" ht="15.75" x14ac:dyDescent="0.25">
      <c r="A57" s="17" t="s">
        <v>86</v>
      </c>
      <c r="B57" s="41"/>
      <c r="C57" s="142" t="s">
        <v>968</v>
      </c>
      <c r="D57" s="124">
        <f>IFERROR(INDEX(Data_Sheet[Lead Time Total], MATCH(AROW!$B$56, Data_Sheet[Concatenate C+D],0)),"")</f>
        <v>0</v>
      </c>
      <c r="F57" s="16"/>
      <c r="G57" s="16"/>
      <c r="H57" s="1"/>
      <c r="I57" s="1"/>
    </row>
    <row r="58" spans="1:9" s="8" customFormat="1" ht="15.75" x14ac:dyDescent="0.25">
      <c r="A58" s="18" t="s">
        <v>963</v>
      </c>
      <c r="B58" s="42" t="s">
        <v>182</v>
      </c>
      <c r="C58" s="123"/>
      <c r="D58" s="125"/>
      <c r="F58" s="16"/>
      <c r="G58" s="16"/>
      <c r="H58" s="1"/>
      <c r="I58" s="1"/>
    </row>
    <row r="59" spans="1:9" ht="15.6" hidden="1" customHeight="1" x14ac:dyDescent="0.25">
      <c r="A59" s="24" t="s">
        <v>9</v>
      </c>
      <c r="B59" s="51" t="s">
        <v>142</v>
      </c>
      <c r="C59" s="24" t="s">
        <v>152</v>
      </c>
      <c r="D59" s="50"/>
      <c r="F59" s="16"/>
      <c r="G59" s="16"/>
    </row>
    <row r="60" spans="1:9" s="8" customFormat="1" ht="15.6" hidden="1" customHeight="1" x14ac:dyDescent="0.25">
      <c r="A60" s="24" t="s">
        <v>9</v>
      </c>
      <c r="B60" s="51" t="s">
        <v>142</v>
      </c>
      <c r="C60" s="24" t="s">
        <v>152</v>
      </c>
      <c r="D60" s="50"/>
    </row>
    <row r="61" spans="1:9" s="8" customFormat="1" ht="8.25" customHeight="1" x14ac:dyDescent="0.2">
      <c r="A61" s="104"/>
      <c r="B61" s="104"/>
      <c r="C61" s="104"/>
      <c r="D61" s="104"/>
    </row>
    <row r="62" spans="1:9" ht="15.75" x14ac:dyDescent="0.25">
      <c r="A62" s="19" t="s">
        <v>975</v>
      </c>
      <c r="B62" s="143" t="s">
        <v>142</v>
      </c>
      <c r="C62" s="140"/>
      <c r="D62" s="141"/>
      <c r="F62" s="16"/>
      <c r="G62" s="16"/>
    </row>
    <row r="63" spans="1:9" ht="15.75" x14ac:dyDescent="0.25">
      <c r="A63" s="20" t="s">
        <v>86</v>
      </c>
      <c r="B63" s="41"/>
      <c r="C63" s="142" t="s">
        <v>968</v>
      </c>
      <c r="D63" s="124">
        <f>IFERROR(INDEX(Data_Sheet[Lead Time Total], MATCH(AROW!$B$62, Data_Sheet[Concatenate C+D],0)),"")</f>
        <v>0</v>
      </c>
      <c r="F63" s="16"/>
      <c r="G63" s="16"/>
    </row>
    <row r="64" spans="1:9" s="7" customFormat="1" ht="15.75" x14ac:dyDescent="0.25">
      <c r="A64" s="18" t="s">
        <v>963</v>
      </c>
      <c r="B64" s="42" t="s">
        <v>182</v>
      </c>
      <c r="C64" s="123"/>
      <c r="D64" s="125"/>
      <c r="F64" s="16"/>
      <c r="G64" s="16"/>
      <c r="H64" s="1"/>
      <c r="I64" s="1"/>
    </row>
    <row r="65" spans="1:9" s="7" customFormat="1" ht="15.6" hidden="1" customHeight="1" x14ac:dyDescent="0.25">
      <c r="A65" s="24" t="s">
        <v>9</v>
      </c>
      <c r="B65" s="51" t="s">
        <v>142</v>
      </c>
      <c r="C65" s="24" t="s">
        <v>152</v>
      </c>
      <c r="D65" s="50"/>
      <c r="F65" s="16"/>
      <c r="G65" s="16"/>
      <c r="H65" s="1"/>
      <c r="I65" s="1"/>
    </row>
    <row r="66" spans="1:9" s="7" customFormat="1" ht="15.6" hidden="1" customHeight="1" x14ac:dyDescent="0.25">
      <c r="A66" s="24" t="s">
        <v>9</v>
      </c>
      <c r="B66" s="51" t="s">
        <v>142</v>
      </c>
      <c r="C66" s="24" t="s">
        <v>152</v>
      </c>
      <c r="D66" s="50"/>
      <c r="F66" s="16"/>
      <c r="G66" s="16"/>
      <c r="H66" s="1"/>
      <c r="I66" s="1"/>
    </row>
    <row r="67" spans="1:9" s="8" customFormat="1" ht="8.25" customHeight="1" x14ac:dyDescent="0.2">
      <c r="A67" s="104"/>
      <c r="B67" s="104"/>
      <c r="C67" s="104"/>
      <c r="D67" s="104"/>
      <c r="F67" s="16"/>
      <c r="G67" s="16"/>
      <c r="H67" s="1"/>
      <c r="I67" s="1"/>
    </row>
    <row r="68" spans="1:9" s="7" customFormat="1" ht="15.75" x14ac:dyDescent="0.25">
      <c r="A68" s="9" t="s">
        <v>976</v>
      </c>
      <c r="B68" s="143" t="s">
        <v>142</v>
      </c>
      <c r="C68" s="140"/>
      <c r="D68" s="141"/>
      <c r="F68" s="16"/>
      <c r="G68" s="16"/>
      <c r="H68" s="1"/>
      <c r="I68" s="1"/>
    </row>
    <row r="69" spans="1:9" s="7" customFormat="1" ht="15.75" x14ac:dyDescent="0.25">
      <c r="A69" s="17" t="s">
        <v>86</v>
      </c>
      <c r="B69" s="41"/>
      <c r="C69" s="142" t="s">
        <v>968</v>
      </c>
      <c r="D69" s="124">
        <f>IFERROR(INDEX(Data_Sheet[Lead Time Total], MATCH(AROW!$B$68, Data_Sheet[Concatenate C+D],0)),"")</f>
        <v>0</v>
      </c>
      <c r="F69" s="16"/>
      <c r="G69" s="16"/>
      <c r="H69" s="1"/>
      <c r="I69" s="1"/>
    </row>
    <row r="70" spans="1:9" s="8" customFormat="1" ht="15.75" x14ac:dyDescent="0.25">
      <c r="A70" s="18" t="s">
        <v>963</v>
      </c>
      <c r="B70" s="42" t="s">
        <v>182</v>
      </c>
      <c r="C70" s="123"/>
      <c r="D70" s="125"/>
      <c r="F70" s="16"/>
      <c r="G70" s="16"/>
      <c r="H70" s="1"/>
      <c r="I70" s="1"/>
    </row>
    <row r="71" spans="1:9" ht="15.6" hidden="1" customHeight="1" x14ac:dyDescent="0.25">
      <c r="A71" s="24" t="s">
        <v>9</v>
      </c>
      <c r="B71" s="51" t="s">
        <v>142</v>
      </c>
      <c r="C71" s="24" t="s">
        <v>152</v>
      </c>
      <c r="D71" s="50"/>
      <c r="F71" s="16"/>
      <c r="G71" s="16"/>
    </row>
    <row r="72" spans="1:9" s="8" customFormat="1" ht="15.6" hidden="1" customHeight="1" x14ac:dyDescent="0.25">
      <c r="A72" s="24" t="s">
        <v>9</v>
      </c>
      <c r="B72" s="51" t="s">
        <v>142</v>
      </c>
      <c r="C72" s="24" t="s">
        <v>152</v>
      </c>
      <c r="D72" s="50"/>
    </row>
    <row r="73" spans="1:9" s="8" customFormat="1" ht="8.25" customHeight="1" x14ac:dyDescent="0.2">
      <c r="A73" s="104"/>
      <c r="B73" s="104"/>
      <c r="C73" s="104"/>
      <c r="D73" s="104"/>
    </row>
    <row r="74" spans="1:9" ht="15.75" x14ac:dyDescent="0.25">
      <c r="A74" s="19" t="s">
        <v>977</v>
      </c>
      <c r="B74" s="143" t="s">
        <v>142</v>
      </c>
      <c r="C74" s="140"/>
      <c r="D74" s="141"/>
      <c r="F74" s="16"/>
      <c r="G74" s="16"/>
    </row>
    <row r="75" spans="1:9" ht="15.75" x14ac:dyDescent="0.25">
      <c r="A75" s="20" t="s">
        <v>86</v>
      </c>
      <c r="B75" s="41"/>
      <c r="C75" s="142" t="s">
        <v>968</v>
      </c>
      <c r="D75" s="124">
        <f>IFERROR(INDEX(Data_Sheet[Lead Time Total], MATCH(AROW!$B$74, Data_Sheet[Concatenate C+D],0)),"")</f>
        <v>0</v>
      </c>
      <c r="F75" s="16"/>
      <c r="G75" s="16"/>
    </row>
    <row r="76" spans="1:9" s="7" customFormat="1" ht="15.75" x14ac:dyDescent="0.25">
      <c r="A76" s="18" t="s">
        <v>963</v>
      </c>
      <c r="B76" s="42" t="s">
        <v>182</v>
      </c>
      <c r="C76" s="123"/>
      <c r="D76" s="125"/>
      <c r="F76" s="16"/>
      <c r="G76" s="16"/>
      <c r="H76" s="1"/>
      <c r="I76" s="1"/>
    </row>
    <row r="77" spans="1:9" s="7" customFormat="1" ht="15.6" hidden="1" customHeight="1" x14ac:dyDescent="0.25">
      <c r="A77" s="24" t="s">
        <v>9</v>
      </c>
      <c r="B77" s="51" t="s">
        <v>142</v>
      </c>
      <c r="C77" s="24" t="s">
        <v>152</v>
      </c>
      <c r="D77" s="50"/>
      <c r="F77" s="16"/>
      <c r="G77" s="16"/>
      <c r="H77" s="1"/>
      <c r="I77" s="1"/>
    </row>
    <row r="78" spans="1:9" s="7" customFormat="1" ht="15.6" hidden="1" customHeight="1" x14ac:dyDescent="0.25">
      <c r="A78" s="24" t="s">
        <v>9</v>
      </c>
      <c r="B78" s="51" t="s">
        <v>142</v>
      </c>
      <c r="C78" s="24" t="s">
        <v>152</v>
      </c>
      <c r="D78" s="50"/>
      <c r="E78" s="7">
        <v>6</v>
      </c>
      <c r="F78" s="16" t="str">
        <f xml:space="preserve"> IF($D$46="", "",#REF!)</f>
        <v/>
      </c>
      <c r="G78" s="16"/>
      <c r="H78" s="1" t="str">
        <f>IFERROR(_xlfn.DAYS(F78,#REF!)&gt;#REF!,"")</f>
        <v/>
      </c>
      <c r="I78" s="1"/>
    </row>
    <row r="79" spans="1:9" s="8" customFormat="1" ht="8.25" customHeight="1" x14ac:dyDescent="0.2">
      <c r="A79" s="104"/>
      <c r="B79" s="104"/>
      <c r="C79" s="104"/>
      <c r="D79" s="104"/>
    </row>
    <row r="80" spans="1:9" ht="15.75" x14ac:dyDescent="0.25">
      <c r="A80" s="19" t="s">
        <v>978</v>
      </c>
      <c r="B80" s="143" t="s">
        <v>142</v>
      </c>
      <c r="C80" s="140"/>
      <c r="D80" s="141"/>
      <c r="F80" s="16"/>
      <c r="G80" s="16"/>
    </row>
    <row r="81" spans="1:9" ht="15.75" x14ac:dyDescent="0.25">
      <c r="A81" s="20" t="s">
        <v>86</v>
      </c>
      <c r="B81" s="41"/>
      <c r="C81" s="142" t="s">
        <v>968</v>
      </c>
      <c r="D81" s="124">
        <f>IFERROR(INDEX(Data_Sheet[Lead Time Total], MATCH(AROW!$B$80, Data_Sheet[Concatenate C+D],0)),"")</f>
        <v>0</v>
      </c>
      <c r="F81" s="16"/>
      <c r="G81" s="16"/>
    </row>
    <row r="82" spans="1:9" s="7" customFormat="1" ht="15.75" x14ac:dyDescent="0.25">
      <c r="A82" s="18" t="s">
        <v>963</v>
      </c>
      <c r="B82" s="42" t="s">
        <v>182</v>
      </c>
      <c r="C82" s="123"/>
      <c r="D82" s="125"/>
      <c r="F82" s="16"/>
      <c r="G82" s="16"/>
      <c r="H82" s="1"/>
      <c r="I82" s="1"/>
    </row>
    <row r="83" spans="1:9" s="7" customFormat="1" ht="15.6" hidden="1" customHeight="1" x14ac:dyDescent="0.25">
      <c r="A83" s="24" t="s">
        <v>9</v>
      </c>
      <c r="B83" s="51" t="s">
        <v>142</v>
      </c>
      <c r="C83" s="24" t="s">
        <v>152</v>
      </c>
      <c r="D83" s="50"/>
      <c r="F83" s="16"/>
      <c r="G83" s="16"/>
      <c r="H83" s="1"/>
      <c r="I83" s="1"/>
    </row>
    <row r="84" spans="1:9" s="7" customFormat="1" ht="15.6" hidden="1" customHeight="1" x14ac:dyDescent="0.25">
      <c r="A84" s="24" t="s">
        <v>9</v>
      </c>
      <c r="B84" s="51" t="s">
        <v>142</v>
      </c>
      <c r="C84" s="24" t="s">
        <v>152</v>
      </c>
      <c r="D84" s="50"/>
      <c r="E84" s="7">
        <v>6</v>
      </c>
      <c r="F84" s="16" t="str">
        <f xml:space="preserve"> IF($D$46="", "",#REF!)</f>
        <v/>
      </c>
      <c r="G84" s="16"/>
      <c r="H84" s="1" t="str">
        <f>IFERROR(_xlfn.DAYS(F84,#REF!)&gt;#REF!,"")</f>
        <v/>
      </c>
      <c r="I84" s="1"/>
    </row>
    <row r="85" spans="1:9" s="8" customFormat="1" ht="8.25" customHeight="1" x14ac:dyDescent="0.2">
      <c r="A85" s="104"/>
      <c r="B85" s="104"/>
      <c r="C85" s="104"/>
      <c r="D85" s="104"/>
    </row>
    <row r="86" spans="1:9" ht="15.75" x14ac:dyDescent="0.25">
      <c r="A86" s="19" t="s">
        <v>979</v>
      </c>
      <c r="B86" s="143" t="s">
        <v>142</v>
      </c>
      <c r="C86" s="140"/>
      <c r="D86" s="141"/>
      <c r="F86" s="16"/>
      <c r="G86" s="16"/>
    </row>
    <row r="87" spans="1:9" ht="15.75" x14ac:dyDescent="0.25">
      <c r="A87" s="20" t="s">
        <v>86</v>
      </c>
      <c r="B87" s="41"/>
      <c r="C87" s="142" t="s">
        <v>968</v>
      </c>
      <c r="D87" s="124">
        <f>IFERROR(INDEX(Data_Sheet[Lead Time Total], MATCH(AROW!$B$86, Data_Sheet[Concatenate C+D],0)),"")</f>
        <v>0</v>
      </c>
      <c r="F87" s="16"/>
      <c r="G87" s="16"/>
    </row>
    <row r="88" spans="1:9" s="7" customFormat="1" ht="15.75" x14ac:dyDescent="0.25">
      <c r="A88" s="18" t="s">
        <v>963</v>
      </c>
      <c r="B88" s="42" t="s">
        <v>182</v>
      </c>
      <c r="C88" s="123"/>
      <c r="D88" s="125"/>
      <c r="F88" s="16"/>
      <c r="G88" s="16"/>
      <c r="H88" s="1"/>
      <c r="I88" s="1"/>
    </row>
    <row r="89" spans="1:9" s="7" customFormat="1" ht="15.6" hidden="1" customHeight="1" x14ac:dyDescent="0.25">
      <c r="A89" s="24" t="s">
        <v>9</v>
      </c>
      <c r="B89" s="51" t="s">
        <v>142</v>
      </c>
      <c r="C89" s="24" t="s">
        <v>152</v>
      </c>
      <c r="D89" s="50"/>
      <c r="F89" s="16"/>
      <c r="G89" s="16"/>
      <c r="H89" s="1"/>
      <c r="I89" s="1"/>
    </row>
    <row r="90" spans="1:9" s="7" customFormat="1" ht="15.6" hidden="1" customHeight="1" x14ac:dyDescent="0.25">
      <c r="A90" s="24" t="s">
        <v>9</v>
      </c>
      <c r="B90" s="51" t="s">
        <v>142</v>
      </c>
      <c r="C90" s="24" t="s">
        <v>152</v>
      </c>
      <c r="D90" s="50"/>
      <c r="E90" s="7">
        <v>6</v>
      </c>
      <c r="F90" s="16" t="str">
        <f>IF($D$46="", "", D144)</f>
        <v/>
      </c>
      <c r="G90" s="16"/>
      <c r="H90" s="1" t="str">
        <f>IFERROR(_xlfn.DAYS(F90,#REF!)&gt;D145,"")</f>
        <v/>
      </c>
      <c r="I90" s="1"/>
    </row>
    <row r="91" spans="1:9" s="8" customFormat="1" ht="8.25" customHeight="1" x14ac:dyDescent="0.2">
      <c r="A91" s="104"/>
      <c r="B91" s="104"/>
      <c r="C91" s="104"/>
      <c r="D91" s="104"/>
    </row>
    <row r="92" spans="1:9" ht="15.75" x14ac:dyDescent="0.25">
      <c r="A92" s="19" t="s">
        <v>980</v>
      </c>
      <c r="B92" s="143" t="s">
        <v>142</v>
      </c>
      <c r="C92" s="140"/>
      <c r="D92" s="141"/>
      <c r="F92" s="16"/>
      <c r="G92" s="16"/>
    </row>
    <row r="93" spans="1:9" ht="15.75" x14ac:dyDescent="0.25">
      <c r="A93" s="20" t="s">
        <v>86</v>
      </c>
      <c r="B93" s="41"/>
      <c r="C93" s="142" t="s">
        <v>968</v>
      </c>
      <c r="D93" s="124">
        <f>IFERROR(INDEX(Data_Sheet[Lead Time Total], MATCH(AROW!$B$92, Data_Sheet[Concatenate C+D],0)),"")</f>
        <v>0</v>
      </c>
      <c r="F93" s="16"/>
      <c r="G93" s="16"/>
    </row>
    <row r="94" spans="1:9" s="7" customFormat="1" ht="15.75" x14ac:dyDescent="0.25">
      <c r="A94" s="18" t="s">
        <v>963</v>
      </c>
      <c r="B94" s="42" t="s">
        <v>182</v>
      </c>
      <c r="C94" s="123"/>
      <c r="D94" s="125"/>
      <c r="F94" s="16"/>
      <c r="G94" s="16"/>
      <c r="H94" s="1"/>
      <c r="I94" s="1"/>
    </row>
    <row r="95" spans="1:9" s="7" customFormat="1" ht="15.6" hidden="1" customHeight="1" x14ac:dyDescent="0.25">
      <c r="A95" s="24" t="s">
        <v>9</v>
      </c>
      <c r="B95" s="51" t="s">
        <v>142</v>
      </c>
      <c r="C95" s="24" t="s">
        <v>152</v>
      </c>
      <c r="D95" s="50"/>
      <c r="F95" s="16"/>
      <c r="G95" s="16"/>
      <c r="H95" s="1"/>
      <c r="I95" s="1"/>
    </row>
    <row r="96" spans="1:9" s="7" customFormat="1" ht="15.6" hidden="1" customHeight="1" x14ac:dyDescent="0.25">
      <c r="A96" s="24" t="s">
        <v>9</v>
      </c>
      <c r="B96" s="51" t="s">
        <v>142</v>
      </c>
      <c r="C96" s="24" t="s">
        <v>152</v>
      </c>
      <c r="D96" s="50"/>
      <c r="E96" s="7">
        <v>6</v>
      </c>
      <c r="F96" s="16" t="str">
        <f>IF($D$46="", "", D150)</f>
        <v/>
      </c>
      <c r="G96" s="16"/>
      <c r="H96" s="1" t="str">
        <f>IFERROR(_xlfn.DAYS(F96,#REF!)&gt;D151,"")</f>
        <v/>
      </c>
      <c r="I96" s="1"/>
    </row>
    <row r="97" spans="1:9" s="8" customFormat="1" ht="8.25" customHeight="1" x14ac:dyDescent="0.2">
      <c r="A97" s="104"/>
      <c r="B97" s="104"/>
      <c r="C97" s="104"/>
      <c r="D97" s="104"/>
    </row>
    <row r="98" spans="1:9" ht="15.75" x14ac:dyDescent="0.25">
      <c r="A98" s="19" t="s">
        <v>981</v>
      </c>
      <c r="B98" s="143" t="s">
        <v>142</v>
      </c>
      <c r="C98" s="140"/>
      <c r="D98" s="141"/>
      <c r="F98" s="16"/>
      <c r="G98" s="16"/>
    </row>
    <row r="99" spans="1:9" ht="15.75" x14ac:dyDescent="0.25">
      <c r="A99" s="20" t="s">
        <v>86</v>
      </c>
      <c r="B99" s="41"/>
      <c r="C99" s="142" t="s">
        <v>968</v>
      </c>
      <c r="D99" s="124">
        <f>IFERROR(INDEX(Data_Sheet[Lead Time Total], MATCH(AROW!$B$98, Data_Sheet[Concatenate C+D],0)),"")</f>
        <v>0</v>
      </c>
      <c r="F99" s="16"/>
      <c r="G99" s="16"/>
    </row>
    <row r="100" spans="1:9" s="7" customFormat="1" ht="15.75" x14ac:dyDescent="0.25">
      <c r="A100" s="18" t="s">
        <v>963</v>
      </c>
      <c r="B100" s="42" t="s">
        <v>182</v>
      </c>
      <c r="C100" s="123"/>
      <c r="D100" s="125"/>
      <c r="F100" s="16"/>
      <c r="G100" s="16"/>
      <c r="H100" s="1"/>
      <c r="I100" s="1"/>
    </row>
    <row r="101" spans="1:9" s="7" customFormat="1" ht="15.6" hidden="1" customHeight="1" x14ac:dyDescent="0.25">
      <c r="A101" s="24" t="s">
        <v>9</v>
      </c>
      <c r="B101" s="51" t="s">
        <v>142</v>
      </c>
      <c r="C101" s="24" t="s">
        <v>152</v>
      </c>
      <c r="D101" s="50"/>
      <c r="F101" s="16"/>
      <c r="G101" s="16"/>
      <c r="H101" s="1"/>
      <c r="I101" s="1"/>
    </row>
    <row r="102" spans="1:9" s="7" customFormat="1" ht="15.6" hidden="1" customHeight="1" x14ac:dyDescent="0.25">
      <c r="A102" s="24" t="s">
        <v>9</v>
      </c>
      <c r="B102" s="51" t="s">
        <v>142</v>
      </c>
      <c r="C102" s="24" t="s">
        <v>152</v>
      </c>
      <c r="D102" s="50"/>
      <c r="E102" s="7">
        <v>6</v>
      </c>
      <c r="F102" s="16" t="str">
        <f>IF($D$46="", "", D156)</f>
        <v/>
      </c>
      <c r="G102" s="16"/>
      <c r="H102" s="1" t="str">
        <f>IFERROR(_xlfn.DAYS(F102,#REF!)&gt;D157,"")</f>
        <v/>
      </c>
      <c r="I102" s="1"/>
    </row>
    <row r="103" spans="1:9" s="8" customFormat="1" ht="8.25" customHeight="1" x14ac:dyDescent="0.2">
      <c r="A103" s="104"/>
      <c r="B103" s="104"/>
      <c r="C103" s="104"/>
      <c r="D103" s="104"/>
    </row>
    <row r="104" spans="1:9" ht="15.75" x14ac:dyDescent="0.25">
      <c r="A104" s="19" t="s">
        <v>982</v>
      </c>
      <c r="B104" s="143" t="s">
        <v>142</v>
      </c>
      <c r="C104" s="140"/>
      <c r="D104" s="141"/>
      <c r="F104" s="16"/>
      <c r="G104" s="16"/>
    </row>
    <row r="105" spans="1:9" ht="15.75" x14ac:dyDescent="0.25">
      <c r="A105" s="20" t="s">
        <v>86</v>
      </c>
      <c r="B105" s="41"/>
      <c r="C105" s="142" t="s">
        <v>968</v>
      </c>
      <c r="D105" s="124">
        <f>IFERROR(INDEX(Data_Sheet[Lead Time Total], MATCH(AROW!$B$104, Data_Sheet[Concatenate C+D],0)),"")</f>
        <v>0</v>
      </c>
      <c r="F105" s="16"/>
      <c r="G105" s="16"/>
    </row>
    <row r="106" spans="1:9" s="7" customFormat="1" ht="15.75" x14ac:dyDescent="0.25">
      <c r="A106" s="18" t="s">
        <v>963</v>
      </c>
      <c r="B106" s="42" t="s">
        <v>182</v>
      </c>
      <c r="C106" s="123"/>
      <c r="D106" s="125"/>
      <c r="F106" s="16"/>
      <c r="G106" s="16"/>
      <c r="H106" s="1"/>
      <c r="I106" s="1"/>
    </row>
    <row r="107" spans="1:9" s="7" customFormat="1" ht="15.6" hidden="1" customHeight="1" x14ac:dyDescent="0.25">
      <c r="A107" s="24" t="s">
        <v>9</v>
      </c>
      <c r="B107" s="51" t="s">
        <v>142</v>
      </c>
      <c r="C107" s="24" t="s">
        <v>152</v>
      </c>
      <c r="D107" s="50"/>
      <c r="F107" s="16"/>
      <c r="G107" s="16"/>
      <c r="H107" s="1"/>
      <c r="I107" s="1"/>
    </row>
    <row r="108" spans="1:9" s="7" customFormat="1" ht="15.6" hidden="1" customHeight="1" x14ac:dyDescent="0.25">
      <c r="A108" s="24" t="s">
        <v>9</v>
      </c>
      <c r="B108" s="51" t="s">
        <v>142</v>
      </c>
      <c r="C108" s="24" t="s">
        <v>152</v>
      </c>
      <c r="D108" s="50"/>
      <c r="E108" s="7">
        <v>6</v>
      </c>
      <c r="F108" s="16" t="str">
        <f>IF($D$46="", "", D162)</f>
        <v/>
      </c>
      <c r="G108" s="16"/>
      <c r="H108" s="1" t="str">
        <f>IFERROR(_xlfn.DAYS(F108,#REF!)&gt;D163,"")</f>
        <v/>
      </c>
      <c r="I108" s="1"/>
    </row>
    <row r="109" spans="1:9" s="8" customFormat="1" ht="8.25" customHeight="1" x14ac:dyDescent="0.2">
      <c r="A109" s="104"/>
      <c r="B109" s="104"/>
      <c r="C109" s="104"/>
      <c r="D109" s="104"/>
    </row>
    <row r="110" spans="1:9" ht="15.75" x14ac:dyDescent="0.25">
      <c r="A110" s="19" t="s">
        <v>987</v>
      </c>
      <c r="B110" s="143" t="s">
        <v>142</v>
      </c>
      <c r="C110" s="140"/>
      <c r="D110" s="141"/>
      <c r="F110" s="16"/>
      <c r="G110" s="16"/>
    </row>
    <row r="111" spans="1:9" ht="15.75" x14ac:dyDescent="0.25">
      <c r="A111" s="20" t="s">
        <v>86</v>
      </c>
      <c r="B111" s="41"/>
      <c r="C111" s="142" t="s">
        <v>968</v>
      </c>
      <c r="D111" s="124">
        <f>IFERROR(INDEX(Data_Sheet[Lead Time Total], MATCH(AROW!$B$110, Data_Sheet[Concatenate C+D],0)),"")</f>
        <v>0</v>
      </c>
      <c r="F111" s="16"/>
      <c r="G111" s="16"/>
    </row>
    <row r="112" spans="1:9" s="7" customFormat="1" ht="15.75" x14ac:dyDescent="0.25">
      <c r="A112" s="18" t="s">
        <v>963</v>
      </c>
      <c r="B112" s="42" t="s">
        <v>182</v>
      </c>
      <c r="C112" s="123"/>
      <c r="D112" s="125"/>
      <c r="F112" s="16"/>
      <c r="G112" s="16"/>
      <c r="H112" s="1"/>
      <c r="I112" s="1"/>
    </row>
    <row r="113" spans="1:9" s="7" customFormat="1" ht="15.6" hidden="1" customHeight="1" x14ac:dyDescent="0.25">
      <c r="A113" s="24" t="s">
        <v>9</v>
      </c>
      <c r="B113" s="51" t="s">
        <v>142</v>
      </c>
      <c r="C113" s="24" t="s">
        <v>152</v>
      </c>
      <c r="D113" s="50"/>
      <c r="F113" s="16"/>
      <c r="G113" s="16"/>
      <c r="H113" s="1"/>
      <c r="I113" s="1"/>
    </row>
    <row r="114" spans="1:9" s="7" customFormat="1" ht="15.6" hidden="1" customHeight="1" x14ac:dyDescent="0.25">
      <c r="A114" s="24" t="s">
        <v>9</v>
      </c>
      <c r="B114" s="51" t="s">
        <v>142</v>
      </c>
      <c r="C114" s="24" t="s">
        <v>152</v>
      </c>
      <c r="D114" s="50"/>
      <c r="E114" s="7">
        <v>6</v>
      </c>
      <c r="F114" s="16" t="str">
        <f>IF($D$46="", "", D168)</f>
        <v/>
      </c>
      <c r="G114" s="16"/>
      <c r="H114" s="1" t="str">
        <f>IFERROR(_xlfn.DAYS(F114,#REF!)&gt;D169,"")</f>
        <v/>
      </c>
      <c r="I114" s="1"/>
    </row>
    <row r="115" spans="1:9" s="8" customFormat="1" ht="8.25" customHeight="1" x14ac:dyDescent="0.2">
      <c r="A115" s="104"/>
      <c r="B115" s="104"/>
      <c r="C115" s="104"/>
      <c r="D115" s="104"/>
    </row>
    <row r="116" spans="1:9" ht="15.75" x14ac:dyDescent="0.25">
      <c r="A116" s="19" t="s">
        <v>986</v>
      </c>
      <c r="B116" s="143" t="s">
        <v>142</v>
      </c>
      <c r="C116" s="140"/>
      <c r="D116" s="141"/>
      <c r="F116" s="16"/>
      <c r="G116" s="16"/>
    </row>
    <row r="117" spans="1:9" ht="15.75" x14ac:dyDescent="0.25">
      <c r="A117" s="20" t="s">
        <v>86</v>
      </c>
      <c r="B117" s="41"/>
      <c r="C117" s="142" t="s">
        <v>968</v>
      </c>
      <c r="D117" s="124">
        <f>IFERROR(INDEX(Data_Sheet[Lead Time Total], MATCH(AROW!$B$116, Data_Sheet[Concatenate C+D],0)),"")</f>
        <v>0</v>
      </c>
      <c r="F117" s="16"/>
      <c r="G117" s="16"/>
    </row>
    <row r="118" spans="1:9" s="7" customFormat="1" ht="15.75" x14ac:dyDescent="0.25">
      <c r="A118" s="18" t="s">
        <v>963</v>
      </c>
      <c r="B118" s="42" t="s">
        <v>182</v>
      </c>
      <c r="C118" s="123"/>
      <c r="D118" s="125"/>
      <c r="F118" s="16"/>
      <c r="G118" s="16"/>
      <c r="H118" s="1"/>
      <c r="I118" s="1"/>
    </row>
    <row r="119" spans="1:9" s="7" customFormat="1" ht="15.6" hidden="1" customHeight="1" x14ac:dyDescent="0.25">
      <c r="A119" s="24" t="s">
        <v>9</v>
      </c>
      <c r="B119" s="51" t="s">
        <v>142</v>
      </c>
      <c r="C119" s="24" t="s">
        <v>152</v>
      </c>
      <c r="D119" s="50"/>
      <c r="F119" s="16"/>
      <c r="G119" s="16"/>
      <c r="H119" s="1"/>
      <c r="I119" s="1"/>
    </row>
    <row r="120" spans="1:9" s="7" customFormat="1" ht="15.6" hidden="1" customHeight="1" x14ac:dyDescent="0.25">
      <c r="A120" s="24" t="s">
        <v>9</v>
      </c>
      <c r="B120" s="51" t="s">
        <v>142</v>
      </c>
      <c r="C120" s="24" t="s">
        <v>152</v>
      </c>
      <c r="D120" s="50"/>
      <c r="E120" s="7">
        <v>6</v>
      </c>
      <c r="F120" s="16" t="str">
        <f>IF($D$46="", "", D174)</f>
        <v/>
      </c>
      <c r="G120" s="16"/>
      <c r="H120" s="1" t="str">
        <f>IFERROR(_xlfn.DAYS(F120,#REF!)&gt;D175,"")</f>
        <v/>
      </c>
      <c r="I120" s="1"/>
    </row>
    <row r="121" spans="1:9" s="8" customFormat="1" ht="8.25" customHeight="1" x14ac:dyDescent="0.2">
      <c r="A121" s="104"/>
      <c r="B121" s="104"/>
      <c r="C121" s="104"/>
      <c r="D121" s="104"/>
    </row>
    <row r="122" spans="1:9" ht="15.75" x14ac:dyDescent="0.25">
      <c r="A122" s="19" t="s">
        <v>985</v>
      </c>
      <c r="B122" s="143" t="s">
        <v>142</v>
      </c>
      <c r="C122" s="140"/>
      <c r="D122" s="141"/>
      <c r="F122" s="16"/>
      <c r="G122" s="16"/>
    </row>
    <row r="123" spans="1:9" ht="15.75" x14ac:dyDescent="0.25">
      <c r="A123" s="20" t="s">
        <v>86</v>
      </c>
      <c r="B123" s="41"/>
      <c r="C123" s="142" t="s">
        <v>968</v>
      </c>
      <c r="D123" s="124">
        <f>IFERROR(INDEX(Data_Sheet[Lead Time Total], MATCH(AROW!$B$122, Data_Sheet[Concatenate C+D],0)),"")</f>
        <v>0</v>
      </c>
      <c r="F123" s="16"/>
      <c r="G123" s="16"/>
    </row>
    <row r="124" spans="1:9" s="7" customFormat="1" ht="15.75" x14ac:dyDescent="0.25">
      <c r="A124" s="18" t="s">
        <v>963</v>
      </c>
      <c r="B124" s="42" t="s">
        <v>182</v>
      </c>
      <c r="C124" s="123"/>
      <c r="D124" s="125"/>
      <c r="F124" s="16"/>
      <c r="G124" s="16"/>
      <c r="H124" s="1"/>
      <c r="I124" s="1"/>
    </row>
    <row r="125" spans="1:9" s="7" customFormat="1" ht="15.6" hidden="1" customHeight="1" x14ac:dyDescent="0.25">
      <c r="A125" s="24" t="s">
        <v>9</v>
      </c>
      <c r="B125" s="51" t="s">
        <v>142</v>
      </c>
      <c r="C125" s="24" t="s">
        <v>152</v>
      </c>
      <c r="D125" s="50"/>
      <c r="F125" s="16"/>
      <c r="G125" s="16"/>
      <c r="H125" s="1"/>
      <c r="I125" s="1"/>
    </row>
    <row r="126" spans="1:9" s="7" customFormat="1" ht="15.6" hidden="1" customHeight="1" x14ac:dyDescent="0.25">
      <c r="A126" s="24" t="s">
        <v>9</v>
      </c>
      <c r="B126" s="51" t="s">
        <v>142</v>
      </c>
      <c r="C126" s="24" t="s">
        <v>152</v>
      </c>
      <c r="D126" s="50"/>
      <c r="E126" s="7">
        <v>6</v>
      </c>
      <c r="F126" s="16" t="str">
        <f>IF($D$46="", "", D180)</f>
        <v/>
      </c>
      <c r="G126" s="16"/>
      <c r="H126" s="1" t="str">
        <f>IFERROR(_xlfn.DAYS(F126,#REF!)&gt;D181,"")</f>
        <v/>
      </c>
      <c r="I126" s="1"/>
    </row>
    <row r="127" spans="1:9" s="8" customFormat="1" ht="8.25" customHeight="1" x14ac:dyDescent="0.2">
      <c r="A127" s="104"/>
      <c r="B127" s="104"/>
      <c r="C127" s="104"/>
      <c r="D127" s="104"/>
    </row>
    <row r="128" spans="1:9" ht="15.75" x14ac:dyDescent="0.25">
      <c r="A128" s="19" t="s">
        <v>984</v>
      </c>
      <c r="B128" s="143" t="s">
        <v>142</v>
      </c>
      <c r="C128" s="140"/>
      <c r="D128" s="141"/>
      <c r="F128" s="16"/>
      <c r="G128" s="16"/>
    </row>
    <row r="129" spans="1:16381" ht="15.75" x14ac:dyDescent="0.25">
      <c r="A129" s="20" t="s">
        <v>86</v>
      </c>
      <c r="B129" s="41"/>
      <c r="C129" s="142" t="s">
        <v>968</v>
      </c>
      <c r="D129" s="124">
        <f>IFERROR(INDEX(Data_Sheet[Lead Time Total], MATCH(AROW!$B$128, Data_Sheet[Concatenate C+D],0)),"")</f>
        <v>0</v>
      </c>
      <c r="F129" s="16"/>
      <c r="G129" s="16"/>
    </row>
    <row r="130" spans="1:16381" s="7" customFormat="1" ht="15.75" x14ac:dyDescent="0.25">
      <c r="A130" s="18" t="s">
        <v>963</v>
      </c>
      <c r="B130" s="42" t="s">
        <v>182</v>
      </c>
      <c r="C130" s="123"/>
      <c r="D130" s="125"/>
      <c r="F130" s="16"/>
      <c r="G130" s="16"/>
      <c r="H130" s="1"/>
      <c r="I130" s="1"/>
    </row>
    <row r="131" spans="1:16381" s="7" customFormat="1" ht="15.6" hidden="1" customHeight="1" x14ac:dyDescent="0.25">
      <c r="A131" s="24" t="s">
        <v>9</v>
      </c>
      <c r="B131" s="51" t="s">
        <v>142</v>
      </c>
      <c r="C131" s="24" t="s">
        <v>152</v>
      </c>
      <c r="D131" s="50"/>
      <c r="F131" s="16"/>
      <c r="G131" s="16"/>
      <c r="H131" s="1"/>
      <c r="I131" s="1"/>
    </row>
    <row r="132" spans="1:16381" s="7" customFormat="1" ht="15.6" hidden="1" customHeight="1" x14ac:dyDescent="0.25">
      <c r="A132" s="24" t="s">
        <v>9</v>
      </c>
      <c r="B132" s="51" t="s">
        <v>142</v>
      </c>
      <c r="C132" s="24" t="s">
        <v>152</v>
      </c>
      <c r="D132" s="50"/>
      <c r="E132" s="7">
        <v>6</v>
      </c>
      <c r="F132" s="16" t="str">
        <f>IF($D$46="", "", D186)</f>
        <v/>
      </c>
      <c r="G132" s="16"/>
      <c r="H132" s="1" t="str">
        <f>IFERROR(_xlfn.DAYS(F132,#REF!)&gt;D187,"")</f>
        <v/>
      </c>
      <c r="I132" s="1"/>
    </row>
    <row r="133" spans="1:16381" s="8" customFormat="1" ht="8.25" customHeight="1" x14ac:dyDescent="0.2">
      <c r="A133" s="104"/>
      <c r="B133" s="104"/>
      <c r="C133" s="104"/>
      <c r="D133" s="104"/>
    </row>
    <row r="134" spans="1:16381" ht="15.75" x14ac:dyDescent="0.25">
      <c r="A134" s="19" t="s">
        <v>983</v>
      </c>
      <c r="B134" s="143" t="s">
        <v>142</v>
      </c>
      <c r="C134" s="140"/>
      <c r="D134" s="141"/>
      <c r="F134" s="16"/>
      <c r="G134" s="16"/>
    </row>
    <row r="135" spans="1:16381" ht="15.75" x14ac:dyDescent="0.25">
      <c r="A135" s="20" t="s">
        <v>86</v>
      </c>
      <c r="B135" s="41"/>
      <c r="C135" s="142" t="s">
        <v>968</v>
      </c>
      <c r="D135" s="124">
        <f>IFERROR(INDEX(Data_Sheet[Lead Time Total], MATCH(AROW!$B$134, Data_Sheet[Concatenate C+D],0)),"")</f>
        <v>0</v>
      </c>
      <c r="F135" s="16"/>
      <c r="G135" s="16"/>
    </row>
    <row r="136" spans="1:16381" s="7" customFormat="1" ht="15.75" x14ac:dyDescent="0.25">
      <c r="A136" s="18" t="s">
        <v>963</v>
      </c>
      <c r="B136" s="42" t="s">
        <v>182</v>
      </c>
      <c r="C136" s="123"/>
      <c r="D136" s="125"/>
      <c r="F136" s="16"/>
      <c r="G136" s="16"/>
      <c r="H136" s="1"/>
      <c r="I136" s="1"/>
    </row>
    <row r="137" spans="1:16381" s="7" customFormat="1" ht="15.6" hidden="1" customHeight="1" x14ac:dyDescent="0.25">
      <c r="A137" s="24" t="s">
        <v>9</v>
      </c>
      <c r="B137" s="51" t="s">
        <v>142</v>
      </c>
      <c r="C137" s="24" t="s">
        <v>152</v>
      </c>
      <c r="D137" s="50"/>
      <c r="F137" s="16"/>
      <c r="G137" s="16"/>
      <c r="H137" s="1"/>
      <c r="I137" s="1"/>
    </row>
    <row r="138" spans="1:16381" s="7" customFormat="1" ht="15.6" hidden="1" customHeight="1" x14ac:dyDescent="0.25">
      <c r="A138" s="24" t="s">
        <v>9</v>
      </c>
      <c r="B138" s="51" t="s">
        <v>142</v>
      </c>
      <c r="C138" s="24" t="s">
        <v>152</v>
      </c>
      <c r="D138" s="50"/>
      <c r="E138" s="7">
        <v>6</v>
      </c>
      <c r="F138" s="16" t="str">
        <f>IF($D$46="", "", D192)</f>
        <v/>
      </c>
      <c r="G138" s="16"/>
      <c r="H138" s="1" t="str">
        <f>IFERROR(_xlfn.DAYS(F138,#REF!)&gt;D193,"")</f>
        <v/>
      </c>
      <c r="I138" s="1"/>
    </row>
    <row r="139" spans="1:16381" ht="26.25" customHeight="1" x14ac:dyDescent="0.2">
      <c r="A139" s="104" t="s">
        <v>2</v>
      </c>
      <c r="B139" s="104"/>
      <c r="C139" s="104"/>
      <c r="D139" s="104"/>
    </row>
    <row r="140" spans="1:16381" ht="96" customHeight="1" x14ac:dyDescent="0.2">
      <c r="A140" s="153"/>
      <c r="B140" s="154"/>
      <c r="C140" s="154"/>
      <c r="D140" s="155"/>
    </row>
    <row r="141" spans="1:16381" ht="22.5" hidden="1" customHeight="1" x14ac:dyDescent="0.2">
      <c r="A141" s="104" t="s">
        <v>178</v>
      </c>
      <c r="B141" s="104"/>
      <c r="C141" s="104"/>
      <c r="D141" s="104"/>
    </row>
    <row r="142" spans="1:16381" ht="33" hidden="1" customHeight="1" x14ac:dyDescent="0.25">
      <c r="A142" s="53" t="s">
        <v>199</v>
      </c>
      <c r="B142" s="10" t="s">
        <v>82</v>
      </c>
      <c r="C142" s="31" t="s">
        <v>83</v>
      </c>
      <c r="D142" s="13" t="s">
        <v>182</v>
      </c>
      <c r="E142" s="105"/>
      <c r="F142" s="105"/>
      <c r="G142" s="105"/>
      <c r="H142" s="105"/>
      <c r="I142" s="106"/>
      <c r="J142" s="107" t="s">
        <v>1</v>
      </c>
      <c r="K142" s="108"/>
      <c r="L142" s="108"/>
      <c r="M142" s="109"/>
      <c r="N142" s="107" t="s">
        <v>1</v>
      </c>
      <c r="O142" s="108"/>
      <c r="P142" s="108"/>
      <c r="Q142" s="109"/>
      <c r="R142" s="107" t="s">
        <v>1</v>
      </c>
      <c r="S142" s="108"/>
      <c r="T142" s="108"/>
      <c r="U142" s="109"/>
      <c r="V142" s="107" t="s">
        <v>1</v>
      </c>
      <c r="W142" s="108"/>
      <c r="X142" s="108"/>
      <c r="Y142" s="109"/>
      <c r="Z142" s="107" t="s">
        <v>1</v>
      </c>
      <c r="AA142" s="108"/>
      <c r="AB142" s="108"/>
      <c r="AC142" s="109"/>
      <c r="AD142" s="107" t="s">
        <v>1</v>
      </c>
      <c r="AE142" s="108"/>
      <c r="AF142" s="108"/>
      <c r="AG142" s="109"/>
      <c r="AH142" s="107" t="s">
        <v>1</v>
      </c>
      <c r="AI142" s="108"/>
      <c r="AJ142" s="108"/>
      <c r="AK142" s="109"/>
      <c r="AL142" s="107" t="s">
        <v>1</v>
      </c>
      <c r="AM142" s="108"/>
      <c r="AN142" s="108"/>
      <c r="AO142" s="109"/>
      <c r="AP142" s="107" t="s">
        <v>1</v>
      </c>
      <c r="AQ142" s="108"/>
      <c r="AR142" s="108"/>
      <c r="AS142" s="109"/>
      <c r="AT142" s="107" t="s">
        <v>1</v>
      </c>
      <c r="AU142" s="108"/>
      <c r="AV142" s="108"/>
      <c r="AW142" s="109"/>
      <c r="AX142" s="107" t="s">
        <v>1</v>
      </c>
      <c r="AY142" s="108"/>
      <c r="AZ142" s="108"/>
      <c r="BA142" s="109"/>
      <c r="BB142" s="107" t="s">
        <v>1</v>
      </c>
      <c r="BC142" s="108"/>
      <c r="BD142" s="108"/>
      <c r="BE142" s="109"/>
      <c r="BF142" s="107" t="s">
        <v>1</v>
      </c>
      <c r="BG142" s="108"/>
      <c r="BH142" s="108"/>
      <c r="BI142" s="109"/>
      <c r="BJ142" s="107" t="s">
        <v>1</v>
      </c>
      <c r="BK142" s="108"/>
      <c r="BL142" s="108"/>
      <c r="BM142" s="109"/>
      <c r="BN142" s="107" t="s">
        <v>1</v>
      </c>
      <c r="BO142" s="108"/>
      <c r="BP142" s="108"/>
      <c r="BQ142" s="109"/>
      <c r="BR142" s="107" t="s">
        <v>1</v>
      </c>
      <c r="BS142" s="108"/>
      <c r="BT142" s="108"/>
      <c r="BU142" s="109"/>
      <c r="BV142" s="107" t="s">
        <v>1</v>
      </c>
      <c r="BW142" s="108"/>
      <c r="BX142" s="108"/>
      <c r="BY142" s="109"/>
      <c r="BZ142" s="107" t="s">
        <v>1</v>
      </c>
      <c r="CA142" s="108"/>
      <c r="CB142" s="108"/>
      <c r="CC142" s="109"/>
      <c r="CD142" s="107" t="s">
        <v>1</v>
      </c>
      <c r="CE142" s="108"/>
      <c r="CF142" s="108"/>
      <c r="CG142" s="109"/>
      <c r="CH142" s="107" t="s">
        <v>1</v>
      </c>
      <c r="CI142" s="108"/>
      <c r="CJ142" s="108"/>
      <c r="CK142" s="109"/>
      <c r="CL142" s="107" t="s">
        <v>1</v>
      </c>
      <c r="CM142" s="108"/>
      <c r="CN142" s="108"/>
      <c r="CO142" s="109"/>
      <c r="CP142" s="107" t="s">
        <v>1</v>
      </c>
      <c r="CQ142" s="108"/>
      <c r="CR142" s="108"/>
      <c r="CS142" s="109"/>
      <c r="CT142" s="107" t="s">
        <v>1</v>
      </c>
      <c r="CU142" s="108"/>
      <c r="CV142" s="108"/>
      <c r="CW142" s="109"/>
      <c r="CX142" s="107" t="s">
        <v>1</v>
      </c>
      <c r="CY142" s="108"/>
      <c r="CZ142" s="108"/>
      <c r="DA142" s="109"/>
      <c r="DB142" s="107" t="s">
        <v>1</v>
      </c>
      <c r="DC142" s="108"/>
      <c r="DD142" s="108"/>
      <c r="DE142" s="109"/>
      <c r="DF142" s="107" t="s">
        <v>1</v>
      </c>
      <c r="DG142" s="108"/>
      <c r="DH142" s="108"/>
      <c r="DI142" s="109"/>
      <c r="DJ142" s="107" t="s">
        <v>1</v>
      </c>
      <c r="DK142" s="108"/>
      <c r="DL142" s="108"/>
      <c r="DM142" s="109"/>
      <c r="DN142" s="107" t="s">
        <v>1</v>
      </c>
      <c r="DO142" s="108"/>
      <c r="DP142" s="108"/>
      <c r="DQ142" s="109"/>
      <c r="DR142" s="107" t="s">
        <v>1</v>
      </c>
      <c r="DS142" s="108"/>
      <c r="DT142" s="108"/>
      <c r="DU142" s="109"/>
      <c r="DV142" s="107" t="s">
        <v>1</v>
      </c>
      <c r="DW142" s="108"/>
      <c r="DX142" s="108"/>
      <c r="DY142" s="109"/>
      <c r="DZ142" s="107" t="s">
        <v>1</v>
      </c>
      <c r="EA142" s="108"/>
      <c r="EB142" s="108"/>
      <c r="EC142" s="109"/>
      <c r="ED142" s="107" t="s">
        <v>1</v>
      </c>
      <c r="EE142" s="108"/>
      <c r="EF142" s="108"/>
      <c r="EG142" s="109"/>
      <c r="EH142" s="107" t="s">
        <v>1</v>
      </c>
      <c r="EI142" s="108"/>
      <c r="EJ142" s="108"/>
      <c r="EK142" s="109"/>
      <c r="EL142" s="107" t="s">
        <v>1</v>
      </c>
      <c r="EM142" s="108"/>
      <c r="EN142" s="108"/>
      <c r="EO142" s="109"/>
      <c r="EP142" s="107" t="s">
        <v>1</v>
      </c>
      <c r="EQ142" s="108"/>
      <c r="ER142" s="108"/>
      <c r="ES142" s="109"/>
      <c r="ET142" s="107" t="s">
        <v>1</v>
      </c>
      <c r="EU142" s="108"/>
      <c r="EV142" s="108"/>
      <c r="EW142" s="109"/>
      <c r="EX142" s="107" t="s">
        <v>1</v>
      </c>
      <c r="EY142" s="108"/>
      <c r="EZ142" s="108"/>
      <c r="FA142" s="109"/>
      <c r="FB142" s="107" t="s">
        <v>1</v>
      </c>
      <c r="FC142" s="108"/>
      <c r="FD142" s="108"/>
      <c r="FE142" s="109"/>
      <c r="FF142" s="107" t="s">
        <v>1</v>
      </c>
      <c r="FG142" s="108"/>
      <c r="FH142" s="108"/>
      <c r="FI142" s="109"/>
      <c r="FJ142" s="107" t="s">
        <v>1</v>
      </c>
      <c r="FK142" s="108"/>
      <c r="FL142" s="108"/>
      <c r="FM142" s="109"/>
      <c r="FN142" s="107" t="s">
        <v>1</v>
      </c>
      <c r="FO142" s="108"/>
      <c r="FP142" s="108"/>
      <c r="FQ142" s="109"/>
      <c r="FR142" s="107" t="s">
        <v>1</v>
      </c>
      <c r="FS142" s="108"/>
      <c r="FT142" s="108"/>
      <c r="FU142" s="109"/>
      <c r="FV142" s="107" t="s">
        <v>1</v>
      </c>
      <c r="FW142" s="108"/>
      <c r="FX142" s="108"/>
      <c r="FY142" s="109"/>
      <c r="FZ142" s="107" t="s">
        <v>1</v>
      </c>
      <c r="GA142" s="108"/>
      <c r="GB142" s="108"/>
      <c r="GC142" s="109"/>
      <c r="GD142" s="107" t="s">
        <v>1</v>
      </c>
      <c r="GE142" s="108"/>
      <c r="GF142" s="108"/>
      <c r="GG142" s="109"/>
      <c r="GH142" s="107" t="s">
        <v>1</v>
      </c>
      <c r="GI142" s="108"/>
      <c r="GJ142" s="108"/>
      <c r="GK142" s="109"/>
      <c r="GL142" s="107" t="s">
        <v>1</v>
      </c>
      <c r="GM142" s="108"/>
      <c r="GN142" s="108"/>
      <c r="GO142" s="109"/>
      <c r="GP142" s="107" t="s">
        <v>1</v>
      </c>
      <c r="GQ142" s="108"/>
      <c r="GR142" s="108"/>
      <c r="GS142" s="109"/>
      <c r="GT142" s="107" t="s">
        <v>1</v>
      </c>
      <c r="GU142" s="108"/>
      <c r="GV142" s="108"/>
      <c r="GW142" s="109"/>
      <c r="GX142" s="107" t="s">
        <v>1</v>
      </c>
      <c r="GY142" s="108"/>
      <c r="GZ142" s="108"/>
      <c r="HA142" s="109"/>
      <c r="HB142" s="107" t="s">
        <v>1</v>
      </c>
      <c r="HC142" s="108"/>
      <c r="HD142" s="108"/>
      <c r="HE142" s="109"/>
      <c r="HF142" s="107" t="s">
        <v>1</v>
      </c>
      <c r="HG142" s="108"/>
      <c r="HH142" s="108"/>
      <c r="HI142" s="109"/>
      <c r="HJ142" s="107" t="s">
        <v>1</v>
      </c>
      <c r="HK142" s="108"/>
      <c r="HL142" s="108"/>
      <c r="HM142" s="109"/>
      <c r="HN142" s="107" t="s">
        <v>1</v>
      </c>
      <c r="HO142" s="108"/>
      <c r="HP142" s="108"/>
      <c r="HQ142" s="109"/>
      <c r="HR142" s="107" t="s">
        <v>1</v>
      </c>
      <c r="HS142" s="108"/>
      <c r="HT142" s="108"/>
      <c r="HU142" s="109"/>
      <c r="HV142" s="107" t="s">
        <v>1</v>
      </c>
      <c r="HW142" s="108"/>
      <c r="HX142" s="108"/>
      <c r="HY142" s="109"/>
      <c r="HZ142" s="107" t="s">
        <v>1</v>
      </c>
      <c r="IA142" s="108"/>
      <c r="IB142" s="108"/>
      <c r="IC142" s="109"/>
      <c r="ID142" s="107" t="s">
        <v>1</v>
      </c>
      <c r="IE142" s="108"/>
      <c r="IF142" s="108"/>
      <c r="IG142" s="109"/>
      <c r="IH142" s="107" t="s">
        <v>1</v>
      </c>
      <c r="II142" s="108"/>
      <c r="IJ142" s="108"/>
      <c r="IK142" s="109"/>
      <c r="IL142" s="107" t="s">
        <v>1</v>
      </c>
      <c r="IM142" s="108"/>
      <c r="IN142" s="108"/>
      <c r="IO142" s="109"/>
      <c r="IP142" s="107" t="s">
        <v>1</v>
      </c>
      <c r="IQ142" s="108"/>
      <c r="IR142" s="108"/>
      <c r="IS142" s="109"/>
      <c r="IT142" s="107" t="s">
        <v>1</v>
      </c>
      <c r="IU142" s="108"/>
      <c r="IV142" s="108"/>
      <c r="IW142" s="109"/>
      <c r="IX142" s="107" t="s">
        <v>1</v>
      </c>
      <c r="IY142" s="108"/>
      <c r="IZ142" s="108"/>
      <c r="JA142" s="109"/>
      <c r="JB142" s="107" t="s">
        <v>1</v>
      </c>
      <c r="JC142" s="108"/>
      <c r="JD142" s="108"/>
      <c r="JE142" s="109"/>
      <c r="JF142" s="107" t="s">
        <v>1</v>
      </c>
      <c r="JG142" s="108"/>
      <c r="JH142" s="108"/>
      <c r="JI142" s="109"/>
      <c r="JJ142" s="107" t="s">
        <v>1</v>
      </c>
      <c r="JK142" s="108"/>
      <c r="JL142" s="108"/>
      <c r="JM142" s="109"/>
      <c r="JN142" s="107" t="s">
        <v>1</v>
      </c>
      <c r="JO142" s="108"/>
      <c r="JP142" s="108"/>
      <c r="JQ142" s="109"/>
      <c r="JR142" s="107" t="s">
        <v>1</v>
      </c>
      <c r="JS142" s="108"/>
      <c r="JT142" s="108"/>
      <c r="JU142" s="109"/>
      <c r="JV142" s="107" t="s">
        <v>1</v>
      </c>
      <c r="JW142" s="108"/>
      <c r="JX142" s="108"/>
      <c r="JY142" s="109"/>
      <c r="JZ142" s="107" t="s">
        <v>1</v>
      </c>
      <c r="KA142" s="108"/>
      <c r="KB142" s="108"/>
      <c r="KC142" s="109"/>
      <c r="KD142" s="107" t="s">
        <v>1</v>
      </c>
      <c r="KE142" s="108"/>
      <c r="KF142" s="108"/>
      <c r="KG142" s="109"/>
      <c r="KH142" s="107" t="s">
        <v>1</v>
      </c>
      <c r="KI142" s="108"/>
      <c r="KJ142" s="108"/>
      <c r="KK142" s="109"/>
      <c r="KL142" s="107" t="s">
        <v>1</v>
      </c>
      <c r="KM142" s="108"/>
      <c r="KN142" s="108"/>
      <c r="KO142" s="109"/>
      <c r="KP142" s="107" t="s">
        <v>1</v>
      </c>
      <c r="KQ142" s="108"/>
      <c r="KR142" s="108"/>
      <c r="KS142" s="109"/>
      <c r="KT142" s="107" t="s">
        <v>1</v>
      </c>
      <c r="KU142" s="108"/>
      <c r="KV142" s="108"/>
      <c r="KW142" s="109"/>
      <c r="KX142" s="107" t="s">
        <v>1</v>
      </c>
      <c r="KY142" s="108"/>
      <c r="KZ142" s="108"/>
      <c r="LA142" s="109"/>
      <c r="LB142" s="107" t="s">
        <v>1</v>
      </c>
      <c r="LC142" s="108"/>
      <c r="LD142" s="108"/>
      <c r="LE142" s="109"/>
      <c r="LF142" s="107" t="s">
        <v>1</v>
      </c>
      <c r="LG142" s="108"/>
      <c r="LH142" s="108"/>
      <c r="LI142" s="109"/>
      <c r="LJ142" s="107" t="s">
        <v>1</v>
      </c>
      <c r="LK142" s="108"/>
      <c r="LL142" s="108"/>
      <c r="LM142" s="109"/>
      <c r="LN142" s="107" t="s">
        <v>1</v>
      </c>
      <c r="LO142" s="108"/>
      <c r="LP142" s="108"/>
      <c r="LQ142" s="109"/>
      <c r="LR142" s="107" t="s">
        <v>1</v>
      </c>
      <c r="LS142" s="108"/>
      <c r="LT142" s="108"/>
      <c r="LU142" s="109"/>
      <c r="LV142" s="107" t="s">
        <v>1</v>
      </c>
      <c r="LW142" s="108"/>
      <c r="LX142" s="108"/>
      <c r="LY142" s="109"/>
      <c r="LZ142" s="107" t="s">
        <v>1</v>
      </c>
      <c r="MA142" s="108"/>
      <c r="MB142" s="108"/>
      <c r="MC142" s="109"/>
      <c r="MD142" s="107" t="s">
        <v>1</v>
      </c>
      <c r="ME142" s="108"/>
      <c r="MF142" s="108"/>
      <c r="MG142" s="109"/>
      <c r="MH142" s="107" t="s">
        <v>1</v>
      </c>
      <c r="MI142" s="108"/>
      <c r="MJ142" s="108"/>
      <c r="MK142" s="109"/>
      <c r="ML142" s="107" t="s">
        <v>1</v>
      </c>
      <c r="MM142" s="108"/>
      <c r="MN142" s="108"/>
      <c r="MO142" s="109"/>
      <c r="MP142" s="107" t="s">
        <v>1</v>
      </c>
      <c r="MQ142" s="108"/>
      <c r="MR142" s="108"/>
      <c r="MS142" s="109"/>
      <c r="MT142" s="107" t="s">
        <v>1</v>
      </c>
      <c r="MU142" s="108"/>
      <c r="MV142" s="108"/>
      <c r="MW142" s="109"/>
      <c r="MX142" s="107" t="s">
        <v>1</v>
      </c>
      <c r="MY142" s="108"/>
      <c r="MZ142" s="108"/>
      <c r="NA142" s="109"/>
      <c r="NB142" s="107" t="s">
        <v>1</v>
      </c>
      <c r="NC142" s="108"/>
      <c r="ND142" s="108"/>
      <c r="NE142" s="109"/>
      <c r="NF142" s="107" t="s">
        <v>1</v>
      </c>
      <c r="NG142" s="108"/>
      <c r="NH142" s="108"/>
      <c r="NI142" s="109"/>
      <c r="NJ142" s="107" t="s">
        <v>1</v>
      </c>
      <c r="NK142" s="108"/>
      <c r="NL142" s="108"/>
      <c r="NM142" s="109"/>
      <c r="NN142" s="107" t="s">
        <v>1</v>
      </c>
      <c r="NO142" s="108"/>
      <c r="NP142" s="108"/>
      <c r="NQ142" s="109"/>
      <c r="NR142" s="107" t="s">
        <v>1</v>
      </c>
      <c r="NS142" s="108"/>
      <c r="NT142" s="108"/>
      <c r="NU142" s="109"/>
      <c r="NV142" s="107" t="s">
        <v>1</v>
      </c>
      <c r="NW142" s="108"/>
      <c r="NX142" s="108"/>
      <c r="NY142" s="109"/>
      <c r="NZ142" s="107" t="s">
        <v>1</v>
      </c>
      <c r="OA142" s="108"/>
      <c r="OB142" s="108"/>
      <c r="OC142" s="109"/>
      <c r="OD142" s="107" t="s">
        <v>1</v>
      </c>
      <c r="OE142" s="108"/>
      <c r="OF142" s="108"/>
      <c r="OG142" s="109"/>
      <c r="OH142" s="107" t="s">
        <v>1</v>
      </c>
      <c r="OI142" s="108"/>
      <c r="OJ142" s="108"/>
      <c r="OK142" s="109"/>
      <c r="OL142" s="107" t="s">
        <v>1</v>
      </c>
      <c r="OM142" s="108"/>
      <c r="ON142" s="108"/>
      <c r="OO142" s="109"/>
      <c r="OP142" s="107" t="s">
        <v>1</v>
      </c>
      <c r="OQ142" s="108"/>
      <c r="OR142" s="108"/>
      <c r="OS142" s="109"/>
      <c r="OT142" s="107" t="s">
        <v>1</v>
      </c>
      <c r="OU142" s="108"/>
      <c r="OV142" s="108"/>
      <c r="OW142" s="109"/>
      <c r="OX142" s="107" t="s">
        <v>1</v>
      </c>
      <c r="OY142" s="108"/>
      <c r="OZ142" s="108"/>
      <c r="PA142" s="109"/>
      <c r="PB142" s="107" t="s">
        <v>1</v>
      </c>
      <c r="PC142" s="108"/>
      <c r="PD142" s="108"/>
      <c r="PE142" s="109"/>
      <c r="PF142" s="107" t="s">
        <v>1</v>
      </c>
      <c r="PG142" s="108"/>
      <c r="PH142" s="108"/>
      <c r="PI142" s="109"/>
      <c r="PJ142" s="107" t="s">
        <v>1</v>
      </c>
      <c r="PK142" s="108"/>
      <c r="PL142" s="108"/>
      <c r="PM142" s="109"/>
      <c r="PN142" s="107" t="s">
        <v>1</v>
      </c>
      <c r="PO142" s="108"/>
      <c r="PP142" s="108"/>
      <c r="PQ142" s="109"/>
      <c r="PR142" s="107" t="s">
        <v>1</v>
      </c>
      <c r="PS142" s="108"/>
      <c r="PT142" s="108"/>
      <c r="PU142" s="109"/>
      <c r="PV142" s="107" t="s">
        <v>1</v>
      </c>
      <c r="PW142" s="108"/>
      <c r="PX142" s="108"/>
      <c r="PY142" s="109"/>
      <c r="PZ142" s="107" t="s">
        <v>1</v>
      </c>
      <c r="QA142" s="108"/>
      <c r="QB142" s="108"/>
      <c r="QC142" s="109"/>
      <c r="QD142" s="107" t="s">
        <v>1</v>
      </c>
      <c r="QE142" s="108"/>
      <c r="QF142" s="108"/>
      <c r="QG142" s="109"/>
      <c r="QH142" s="107" t="s">
        <v>1</v>
      </c>
      <c r="QI142" s="108"/>
      <c r="QJ142" s="108"/>
      <c r="QK142" s="109"/>
      <c r="QL142" s="107" t="s">
        <v>1</v>
      </c>
      <c r="QM142" s="108"/>
      <c r="QN142" s="108"/>
      <c r="QO142" s="109"/>
      <c r="QP142" s="107" t="s">
        <v>1</v>
      </c>
      <c r="QQ142" s="108"/>
      <c r="QR142" s="108"/>
      <c r="QS142" s="109"/>
      <c r="QT142" s="107" t="s">
        <v>1</v>
      </c>
      <c r="QU142" s="108"/>
      <c r="QV142" s="108"/>
      <c r="QW142" s="109"/>
      <c r="QX142" s="107" t="s">
        <v>1</v>
      </c>
      <c r="QY142" s="108"/>
      <c r="QZ142" s="108"/>
      <c r="RA142" s="109"/>
      <c r="RB142" s="107" t="s">
        <v>1</v>
      </c>
      <c r="RC142" s="108"/>
      <c r="RD142" s="108"/>
      <c r="RE142" s="109"/>
      <c r="RF142" s="107" t="s">
        <v>1</v>
      </c>
      <c r="RG142" s="108"/>
      <c r="RH142" s="108"/>
      <c r="RI142" s="109"/>
      <c r="RJ142" s="107" t="s">
        <v>1</v>
      </c>
      <c r="RK142" s="108"/>
      <c r="RL142" s="108"/>
      <c r="RM142" s="109"/>
      <c r="RN142" s="107" t="s">
        <v>1</v>
      </c>
      <c r="RO142" s="108"/>
      <c r="RP142" s="108"/>
      <c r="RQ142" s="109"/>
      <c r="RR142" s="107" t="s">
        <v>1</v>
      </c>
      <c r="RS142" s="108"/>
      <c r="RT142" s="108"/>
      <c r="RU142" s="109"/>
      <c r="RV142" s="107" t="s">
        <v>1</v>
      </c>
      <c r="RW142" s="108"/>
      <c r="RX142" s="108"/>
      <c r="RY142" s="109"/>
      <c r="RZ142" s="107" t="s">
        <v>1</v>
      </c>
      <c r="SA142" s="108"/>
      <c r="SB142" s="108"/>
      <c r="SC142" s="109"/>
      <c r="SD142" s="107" t="s">
        <v>1</v>
      </c>
      <c r="SE142" s="108"/>
      <c r="SF142" s="108"/>
      <c r="SG142" s="109"/>
      <c r="SH142" s="107" t="s">
        <v>1</v>
      </c>
      <c r="SI142" s="108"/>
      <c r="SJ142" s="108"/>
      <c r="SK142" s="109"/>
      <c r="SL142" s="107" t="s">
        <v>1</v>
      </c>
      <c r="SM142" s="108"/>
      <c r="SN142" s="108"/>
      <c r="SO142" s="109"/>
      <c r="SP142" s="107" t="s">
        <v>1</v>
      </c>
      <c r="SQ142" s="108"/>
      <c r="SR142" s="108"/>
      <c r="SS142" s="109"/>
      <c r="ST142" s="107" t="s">
        <v>1</v>
      </c>
      <c r="SU142" s="108"/>
      <c r="SV142" s="108"/>
      <c r="SW142" s="109"/>
      <c r="SX142" s="107" t="s">
        <v>1</v>
      </c>
      <c r="SY142" s="108"/>
      <c r="SZ142" s="108"/>
      <c r="TA142" s="109"/>
      <c r="TB142" s="107" t="s">
        <v>1</v>
      </c>
      <c r="TC142" s="108"/>
      <c r="TD142" s="108"/>
      <c r="TE142" s="109"/>
      <c r="TF142" s="107" t="s">
        <v>1</v>
      </c>
      <c r="TG142" s="108"/>
      <c r="TH142" s="108"/>
      <c r="TI142" s="109"/>
      <c r="TJ142" s="107" t="s">
        <v>1</v>
      </c>
      <c r="TK142" s="108"/>
      <c r="TL142" s="108"/>
      <c r="TM142" s="109"/>
      <c r="TN142" s="107" t="s">
        <v>1</v>
      </c>
      <c r="TO142" s="108"/>
      <c r="TP142" s="108"/>
      <c r="TQ142" s="109"/>
      <c r="TR142" s="107" t="s">
        <v>1</v>
      </c>
      <c r="TS142" s="108"/>
      <c r="TT142" s="108"/>
      <c r="TU142" s="109"/>
      <c r="TV142" s="107" t="s">
        <v>1</v>
      </c>
      <c r="TW142" s="108"/>
      <c r="TX142" s="108"/>
      <c r="TY142" s="109"/>
      <c r="TZ142" s="107" t="s">
        <v>1</v>
      </c>
      <c r="UA142" s="108"/>
      <c r="UB142" s="108"/>
      <c r="UC142" s="109"/>
      <c r="UD142" s="107" t="s">
        <v>1</v>
      </c>
      <c r="UE142" s="108"/>
      <c r="UF142" s="108"/>
      <c r="UG142" s="109"/>
      <c r="UH142" s="107" t="s">
        <v>1</v>
      </c>
      <c r="UI142" s="108"/>
      <c r="UJ142" s="108"/>
      <c r="UK142" s="109"/>
      <c r="UL142" s="107" t="s">
        <v>1</v>
      </c>
      <c r="UM142" s="108"/>
      <c r="UN142" s="108"/>
      <c r="UO142" s="109"/>
      <c r="UP142" s="107" t="s">
        <v>1</v>
      </c>
      <c r="UQ142" s="108"/>
      <c r="UR142" s="108"/>
      <c r="US142" s="109"/>
      <c r="UT142" s="107" t="s">
        <v>1</v>
      </c>
      <c r="UU142" s="108"/>
      <c r="UV142" s="108"/>
      <c r="UW142" s="109"/>
      <c r="UX142" s="107" t="s">
        <v>1</v>
      </c>
      <c r="UY142" s="108"/>
      <c r="UZ142" s="108"/>
      <c r="VA142" s="109"/>
      <c r="VB142" s="107" t="s">
        <v>1</v>
      </c>
      <c r="VC142" s="108"/>
      <c r="VD142" s="108"/>
      <c r="VE142" s="109"/>
      <c r="VF142" s="107" t="s">
        <v>1</v>
      </c>
      <c r="VG142" s="108"/>
      <c r="VH142" s="108"/>
      <c r="VI142" s="109"/>
      <c r="VJ142" s="107" t="s">
        <v>1</v>
      </c>
      <c r="VK142" s="108"/>
      <c r="VL142" s="108"/>
      <c r="VM142" s="109"/>
      <c r="VN142" s="107" t="s">
        <v>1</v>
      </c>
      <c r="VO142" s="108"/>
      <c r="VP142" s="108"/>
      <c r="VQ142" s="109"/>
      <c r="VR142" s="107" t="s">
        <v>1</v>
      </c>
      <c r="VS142" s="108"/>
      <c r="VT142" s="108"/>
      <c r="VU142" s="109"/>
      <c r="VV142" s="107" t="s">
        <v>1</v>
      </c>
      <c r="VW142" s="108"/>
      <c r="VX142" s="108"/>
      <c r="VY142" s="109"/>
      <c r="VZ142" s="107" t="s">
        <v>1</v>
      </c>
      <c r="WA142" s="108"/>
      <c r="WB142" s="108"/>
      <c r="WC142" s="109"/>
      <c r="WD142" s="107" t="s">
        <v>1</v>
      </c>
      <c r="WE142" s="108"/>
      <c r="WF142" s="108"/>
      <c r="WG142" s="109"/>
      <c r="WH142" s="107" t="s">
        <v>1</v>
      </c>
      <c r="WI142" s="108"/>
      <c r="WJ142" s="108"/>
      <c r="WK142" s="109"/>
      <c r="WL142" s="107" t="s">
        <v>1</v>
      </c>
      <c r="WM142" s="108"/>
      <c r="WN142" s="108"/>
      <c r="WO142" s="109"/>
      <c r="WP142" s="107" t="s">
        <v>1</v>
      </c>
      <c r="WQ142" s="108"/>
      <c r="WR142" s="108"/>
      <c r="WS142" s="109"/>
      <c r="WT142" s="107" t="s">
        <v>1</v>
      </c>
      <c r="WU142" s="108"/>
      <c r="WV142" s="108"/>
      <c r="WW142" s="109"/>
      <c r="WX142" s="107" t="s">
        <v>1</v>
      </c>
      <c r="WY142" s="108"/>
      <c r="WZ142" s="108"/>
      <c r="XA142" s="109"/>
      <c r="XB142" s="107" t="s">
        <v>1</v>
      </c>
      <c r="XC142" s="108"/>
      <c r="XD142" s="108"/>
      <c r="XE142" s="109"/>
      <c r="XF142" s="107" t="s">
        <v>1</v>
      </c>
      <c r="XG142" s="108"/>
      <c r="XH142" s="108"/>
      <c r="XI142" s="109"/>
      <c r="XJ142" s="107" t="s">
        <v>1</v>
      </c>
      <c r="XK142" s="108"/>
      <c r="XL142" s="108"/>
      <c r="XM142" s="109"/>
      <c r="XN142" s="107" t="s">
        <v>1</v>
      </c>
      <c r="XO142" s="108"/>
      <c r="XP142" s="108"/>
      <c r="XQ142" s="109"/>
      <c r="XR142" s="107" t="s">
        <v>1</v>
      </c>
      <c r="XS142" s="108"/>
      <c r="XT142" s="108"/>
      <c r="XU142" s="109"/>
      <c r="XV142" s="107" t="s">
        <v>1</v>
      </c>
      <c r="XW142" s="108"/>
      <c r="XX142" s="108"/>
      <c r="XY142" s="109"/>
      <c r="XZ142" s="107" t="s">
        <v>1</v>
      </c>
      <c r="YA142" s="108"/>
      <c r="YB142" s="108"/>
      <c r="YC142" s="109"/>
      <c r="YD142" s="107" t="s">
        <v>1</v>
      </c>
      <c r="YE142" s="108"/>
      <c r="YF142" s="108"/>
      <c r="YG142" s="109"/>
      <c r="YH142" s="107" t="s">
        <v>1</v>
      </c>
      <c r="YI142" s="108"/>
      <c r="YJ142" s="108"/>
      <c r="YK142" s="109"/>
      <c r="YL142" s="107" t="s">
        <v>1</v>
      </c>
      <c r="YM142" s="108"/>
      <c r="YN142" s="108"/>
      <c r="YO142" s="109"/>
      <c r="YP142" s="107" t="s">
        <v>1</v>
      </c>
      <c r="YQ142" s="108"/>
      <c r="YR142" s="108"/>
      <c r="YS142" s="109"/>
      <c r="YT142" s="107" t="s">
        <v>1</v>
      </c>
      <c r="YU142" s="108"/>
      <c r="YV142" s="108"/>
      <c r="YW142" s="109"/>
      <c r="YX142" s="107" t="s">
        <v>1</v>
      </c>
      <c r="YY142" s="108"/>
      <c r="YZ142" s="108"/>
      <c r="ZA142" s="109"/>
      <c r="ZB142" s="107" t="s">
        <v>1</v>
      </c>
      <c r="ZC142" s="108"/>
      <c r="ZD142" s="108"/>
      <c r="ZE142" s="109"/>
      <c r="ZF142" s="107" t="s">
        <v>1</v>
      </c>
      <c r="ZG142" s="108"/>
      <c r="ZH142" s="108"/>
      <c r="ZI142" s="109"/>
      <c r="ZJ142" s="107" t="s">
        <v>1</v>
      </c>
      <c r="ZK142" s="108"/>
      <c r="ZL142" s="108"/>
      <c r="ZM142" s="109"/>
      <c r="ZN142" s="107" t="s">
        <v>1</v>
      </c>
      <c r="ZO142" s="108"/>
      <c r="ZP142" s="108"/>
      <c r="ZQ142" s="109"/>
      <c r="ZR142" s="107" t="s">
        <v>1</v>
      </c>
      <c r="ZS142" s="108"/>
      <c r="ZT142" s="108"/>
      <c r="ZU142" s="109"/>
      <c r="ZV142" s="107" t="s">
        <v>1</v>
      </c>
      <c r="ZW142" s="108"/>
      <c r="ZX142" s="108"/>
      <c r="ZY142" s="109"/>
      <c r="ZZ142" s="107" t="s">
        <v>1</v>
      </c>
      <c r="AAA142" s="108"/>
      <c r="AAB142" s="108"/>
      <c r="AAC142" s="109"/>
      <c r="AAD142" s="107" t="s">
        <v>1</v>
      </c>
      <c r="AAE142" s="108"/>
      <c r="AAF142" s="108"/>
      <c r="AAG142" s="109"/>
      <c r="AAH142" s="107" t="s">
        <v>1</v>
      </c>
      <c r="AAI142" s="108"/>
      <c r="AAJ142" s="108"/>
      <c r="AAK142" s="109"/>
      <c r="AAL142" s="107" t="s">
        <v>1</v>
      </c>
      <c r="AAM142" s="108"/>
      <c r="AAN142" s="108"/>
      <c r="AAO142" s="109"/>
      <c r="AAP142" s="107" t="s">
        <v>1</v>
      </c>
      <c r="AAQ142" s="108"/>
      <c r="AAR142" s="108"/>
      <c r="AAS142" s="109"/>
      <c r="AAT142" s="107" t="s">
        <v>1</v>
      </c>
      <c r="AAU142" s="108"/>
      <c r="AAV142" s="108"/>
      <c r="AAW142" s="109"/>
      <c r="AAX142" s="107" t="s">
        <v>1</v>
      </c>
      <c r="AAY142" s="108"/>
      <c r="AAZ142" s="108"/>
      <c r="ABA142" s="109"/>
      <c r="ABB142" s="107" t="s">
        <v>1</v>
      </c>
      <c r="ABC142" s="108"/>
      <c r="ABD142" s="108"/>
      <c r="ABE142" s="109"/>
      <c r="ABF142" s="107" t="s">
        <v>1</v>
      </c>
      <c r="ABG142" s="108"/>
      <c r="ABH142" s="108"/>
      <c r="ABI142" s="109"/>
      <c r="ABJ142" s="107" t="s">
        <v>1</v>
      </c>
      <c r="ABK142" s="108"/>
      <c r="ABL142" s="108"/>
      <c r="ABM142" s="109"/>
      <c r="ABN142" s="107" t="s">
        <v>1</v>
      </c>
      <c r="ABO142" s="108"/>
      <c r="ABP142" s="108"/>
      <c r="ABQ142" s="109"/>
      <c r="ABR142" s="107" t="s">
        <v>1</v>
      </c>
      <c r="ABS142" s="108"/>
      <c r="ABT142" s="108"/>
      <c r="ABU142" s="109"/>
      <c r="ABV142" s="107" t="s">
        <v>1</v>
      </c>
      <c r="ABW142" s="108"/>
      <c r="ABX142" s="108"/>
      <c r="ABY142" s="109"/>
      <c r="ABZ142" s="107" t="s">
        <v>1</v>
      </c>
      <c r="ACA142" s="108"/>
      <c r="ACB142" s="108"/>
      <c r="ACC142" s="109"/>
      <c r="ACD142" s="107" t="s">
        <v>1</v>
      </c>
      <c r="ACE142" s="108"/>
      <c r="ACF142" s="108"/>
      <c r="ACG142" s="109"/>
      <c r="ACH142" s="107" t="s">
        <v>1</v>
      </c>
      <c r="ACI142" s="108"/>
      <c r="ACJ142" s="108"/>
      <c r="ACK142" s="109"/>
      <c r="ACL142" s="107" t="s">
        <v>1</v>
      </c>
      <c r="ACM142" s="108"/>
      <c r="ACN142" s="108"/>
      <c r="ACO142" s="109"/>
      <c r="ACP142" s="107" t="s">
        <v>1</v>
      </c>
      <c r="ACQ142" s="108"/>
      <c r="ACR142" s="108"/>
      <c r="ACS142" s="109"/>
      <c r="ACT142" s="107" t="s">
        <v>1</v>
      </c>
      <c r="ACU142" s="108"/>
      <c r="ACV142" s="108"/>
      <c r="ACW142" s="109"/>
      <c r="ACX142" s="107" t="s">
        <v>1</v>
      </c>
      <c r="ACY142" s="108"/>
      <c r="ACZ142" s="108"/>
      <c r="ADA142" s="109"/>
      <c r="ADB142" s="107" t="s">
        <v>1</v>
      </c>
      <c r="ADC142" s="108"/>
      <c r="ADD142" s="108"/>
      <c r="ADE142" s="109"/>
      <c r="ADF142" s="107" t="s">
        <v>1</v>
      </c>
      <c r="ADG142" s="108"/>
      <c r="ADH142" s="108"/>
      <c r="ADI142" s="109"/>
      <c r="ADJ142" s="107" t="s">
        <v>1</v>
      </c>
      <c r="ADK142" s="108"/>
      <c r="ADL142" s="108"/>
      <c r="ADM142" s="109"/>
      <c r="ADN142" s="107" t="s">
        <v>1</v>
      </c>
      <c r="ADO142" s="108"/>
      <c r="ADP142" s="108"/>
      <c r="ADQ142" s="109"/>
      <c r="ADR142" s="107" t="s">
        <v>1</v>
      </c>
      <c r="ADS142" s="108"/>
      <c r="ADT142" s="108"/>
      <c r="ADU142" s="109"/>
      <c r="ADV142" s="107" t="s">
        <v>1</v>
      </c>
      <c r="ADW142" s="108"/>
      <c r="ADX142" s="108"/>
      <c r="ADY142" s="109"/>
      <c r="ADZ142" s="107" t="s">
        <v>1</v>
      </c>
      <c r="AEA142" s="108"/>
      <c r="AEB142" s="108"/>
      <c r="AEC142" s="109"/>
      <c r="AED142" s="107" t="s">
        <v>1</v>
      </c>
      <c r="AEE142" s="108"/>
      <c r="AEF142" s="108"/>
      <c r="AEG142" s="109"/>
      <c r="AEH142" s="107" t="s">
        <v>1</v>
      </c>
      <c r="AEI142" s="108"/>
      <c r="AEJ142" s="108"/>
      <c r="AEK142" s="109"/>
      <c r="AEL142" s="107" t="s">
        <v>1</v>
      </c>
      <c r="AEM142" s="108"/>
      <c r="AEN142" s="108"/>
      <c r="AEO142" s="109"/>
      <c r="AEP142" s="107" t="s">
        <v>1</v>
      </c>
      <c r="AEQ142" s="108"/>
      <c r="AER142" s="108"/>
      <c r="AES142" s="109"/>
      <c r="AET142" s="107" t="s">
        <v>1</v>
      </c>
      <c r="AEU142" s="108"/>
      <c r="AEV142" s="108"/>
      <c r="AEW142" s="109"/>
      <c r="AEX142" s="107" t="s">
        <v>1</v>
      </c>
      <c r="AEY142" s="108"/>
      <c r="AEZ142" s="108"/>
      <c r="AFA142" s="109"/>
      <c r="AFB142" s="107" t="s">
        <v>1</v>
      </c>
      <c r="AFC142" s="108"/>
      <c r="AFD142" s="108"/>
      <c r="AFE142" s="109"/>
      <c r="AFF142" s="107" t="s">
        <v>1</v>
      </c>
      <c r="AFG142" s="108"/>
      <c r="AFH142" s="108"/>
      <c r="AFI142" s="109"/>
      <c r="AFJ142" s="107" t="s">
        <v>1</v>
      </c>
      <c r="AFK142" s="108"/>
      <c r="AFL142" s="108"/>
      <c r="AFM142" s="109"/>
      <c r="AFN142" s="107" t="s">
        <v>1</v>
      </c>
      <c r="AFO142" s="108"/>
      <c r="AFP142" s="108"/>
      <c r="AFQ142" s="109"/>
      <c r="AFR142" s="107" t="s">
        <v>1</v>
      </c>
      <c r="AFS142" s="108"/>
      <c r="AFT142" s="108"/>
      <c r="AFU142" s="109"/>
      <c r="AFV142" s="107" t="s">
        <v>1</v>
      </c>
      <c r="AFW142" s="108"/>
      <c r="AFX142" s="108"/>
      <c r="AFY142" s="109"/>
      <c r="AFZ142" s="107" t="s">
        <v>1</v>
      </c>
      <c r="AGA142" s="108"/>
      <c r="AGB142" s="108"/>
      <c r="AGC142" s="109"/>
      <c r="AGD142" s="107" t="s">
        <v>1</v>
      </c>
      <c r="AGE142" s="108"/>
      <c r="AGF142" s="108"/>
      <c r="AGG142" s="109"/>
      <c r="AGH142" s="107" t="s">
        <v>1</v>
      </c>
      <c r="AGI142" s="108"/>
      <c r="AGJ142" s="108"/>
      <c r="AGK142" s="109"/>
      <c r="AGL142" s="107" t="s">
        <v>1</v>
      </c>
      <c r="AGM142" s="108"/>
      <c r="AGN142" s="108"/>
      <c r="AGO142" s="109"/>
      <c r="AGP142" s="107" t="s">
        <v>1</v>
      </c>
      <c r="AGQ142" s="108"/>
      <c r="AGR142" s="108"/>
      <c r="AGS142" s="109"/>
      <c r="AGT142" s="107" t="s">
        <v>1</v>
      </c>
      <c r="AGU142" s="108"/>
      <c r="AGV142" s="108"/>
      <c r="AGW142" s="109"/>
      <c r="AGX142" s="107" t="s">
        <v>1</v>
      </c>
      <c r="AGY142" s="108"/>
      <c r="AGZ142" s="108"/>
      <c r="AHA142" s="109"/>
      <c r="AHB142" s="107" t="s">
        <v>1</v>
      </c>
      <c r="AHC142" s="108"/>
      <c r="AHD142" s="108"/>
      <c r="AHE142" s="109"/>
      <c r="AHF142" s="107" t="s">
        <v>1</v>
      </c>
      <c r="AHG142" s="108"/>
      <c r="AHH142" s="108"/>
      <c r="AHI142" s="109"/>
      <c r="AHJ142" s="107" t="s">
        <v>1</v>
      </c>
      <c r="AHK142" s="108"/>
      <c r="AHL142" s="108"/>
      <c r="AHM142" s="109"/>
      <c r="AHN142" s="107" t="s">
        <v>1</v>
      </c>
      <c r="AHO142" s="108"/>
      <c r="AHP142" s="108"/>
      <c r="AHQ142" s="109"/>
      <c r="AHR142" s="107" t="s">
        <v>1</v>
      </c>
      <c r="AHS142" s="108"/>
      <c r="AHT142" s="108"/>
      <c r="AHU142" s="109"/>
      <c r="AHV142" s="107" t="s">
        <v>1</v>
      </c>
      <c r="AHW142" s="108"/>
      <c r="AHX142" s="108"/>
      <c r="AHY142" s="109"/>
      <c r="AHZ142" s="107" t="s">
        <v>1</v>
      </c>
      <c r="AIA142" s="108"/>
      <c r="AIB142" s="108"/>
      <c r="AIC142" s="109"/>
      <c r="AID142" s="107" t="s">
        <v>1</v>
      </c>
      <c r="AIE142" s="108"/>
      <c r="AIF142" s="108"/>
      <c r="AIG142" s="109"/>
      <c r="AIH142" s="107" t="s">
        <v>1</v>
      </c>
      <c r="AII142" s="108"/>
      <c r="AIJ142" s="108"/>
      <c r="AIK142" s="109"/>
      <c r="AIL142" s="107" t="s">
        <v>1</v>
      </c>
      <c r="AIM142" s="108"/>
      <c r="AIN142" s="108"/>
      <c r="AIO142" s="109"/>
      <c r="AIP142" s="107" t="s">
        <v>1</v>
      </c>
      <c r="AIQ142" s="108"/>
      <c r="AIR142" s="108"/>
      <c r="AIS142" s="109"/>
      <c r="AIT142" s="107" t="s">
        <v>1</v>
      </c>
      <c r="AIU142" s="108"/>
      <c r="AIV142" s="108"/>
      <c r="AIW142" s="109"/>
      <c r="AIX142" s="107" t="s">
        <v>1</v>
      </c>
      <c r="AIY142" s="108"/>
      <c r="AIZ142" s="108"/>
      <c r="AJA142" s="109"/>
      <c r="AJB142" s="107" t="s">
        <v>1</v>
      </c>
      <c r="AJC142" s="108"/>
      <c r="AJD142" s="108"/>
      <c r="AJE142" s="109"/>
      <c r="AJF142" s="107" t="s">
        <v>1</v>
      </c>
      <c r="AJG142" s="108"/>
      <c r="AJH142" s="108"/>
      <c r="AJI142" s="109"/>
      <c r="AJJ142" s="107" t="s">
        <v>1</v>
      </c>
      <c r="AJK142" s="108"/>
      <c r="AJL142" s="108"/>
      <c r="AJM142" s="109"/>
      <c r="AJN142" s="107" t="s">
        <v>1</v>
      </c>
      <c r="AJO142" s="108"/>
      <c r="AJP142" s="108"/>
      <c r="AJQ142" s="109"/>
      <c r="AJR142" s="107" t="s">
        <v>1</v>
      </c>
      <c r="AJS142" s="108"/>
      <c r="AJT142" s="108"/>
      <c r="AJU142" s="109"/>
      <c r="AJV142" s="107" t="s">
        <v>1</v>
      </c>
      <c r="AJW142" s="108"/>
      <c r="AJX142" s="108"/>
      <c r="AJY142" s="109"/>
      <c r="AJZ142" s="107" t="s">
        <v>1</v>
      </c>
      <c r="AKA142" s="108"/>
      <c r="AKB142" s="108"/>
      <c r="AKC142" s="109"/>
      <c r="AKD142" s="107" t="s">
        <v>1</v>
      </c>
      <c r="AKE142" s="108"/>
      <c r="AKF142" s="108"/>
      <c r="AKG142" s="109"/>
      <c r="AKH142" s="107" t="s">
        <v>1</v>
      </c>
      <c r="AKI142" s="108"/>
      <c r="AKJ142" s="108"/>
      <c r="AKK142" s="109"/>
      <c r="AKL142" s="107" t="s">
        <v>1</v>
      </c>
      <c r="AKM142" s="108"/>
      <c r="AKN142" s="108"/>
      <c r="AKO142" s="109"/>
      <c r="AKP142" s="107" t="s">
        <v>1</v>
      </c>
      <c r="AKQ142" s="108"/>
      <c r="AKR142" s="108"/>
      <c r="AKS142" s="109"/>
      <c r="AKT142" s="107" t="s">
        <v>1</v>
      </c>
      <c r="AKU142" s="108"/>
      <c r="AKV142" s="108"/>
      <c r="AKW142" s="109"/>
      <c r="AKX142" s="107" t="s">
        <v>1</v>
      </c>
      <c r="AKY142" s="108"/>
      <c r="AKZ142" s="108"/>
      <c r="ALA142" s="109"/>
      <c r="ALB142" s="107" t="s">
        <v>1</v>
      </c>
      <c r="ALC142" s="108"/>
      <c r="ALD142" s="108"/>
      <c r="ALE142" s="109"/>
      <c r="ALF142" s="107" t="s">
        <v>1</v>
      </c>
      <c r="ALG142" s="108"/>
      <c r="ALH142" s="108"/>
      <c r="ALI142" s="109"/>
      <c r="ALJ142" s="107" t="s">
        <v>1</v>
      </c>
      <c r="ALK142" s="108"/>
      <c r="ALL142" s="108"/>
      <c r="ALM142" s="109"/>
      <c r="ALN142" s="107" t="s">
        <v>1</v>
      </c>
      <c r="ALO142" s="108"/>
      <c r="ALP142" s="108"/>
      <c r="ALQ142" s="109"/>
      <c r="ALR142" s="107" t="s">
        <v>1</v>
      </c>
      <c r="ALS142" s="108"/>
      <c r="ALT142" s="108"/>
      <c r="ALU142" s="109"/>
      <c r="ALV142" s="107" t="s">
        <v>1</v>
      </c>
      <c r="ALW142" s="108"/>
      <c r="ALX142" s="108"/>
      <c r="ALY142" s="109"/>
      <c r="ALZ142" s="107" t="s">
        <v>1</v>
      </c>
      <c r="AMA142" s="108"/>
      <c r="AMB142" s="108"/>
      <c r="AMC142" s="109"/>
      <c r="AMD142" s="107" t="s">
        <v>1</v>
      </c>
      <c r="AME142" s="108"/>
      <c r="AMF142" s="108"/>
      <c r="AMG142" s="109"/>
      <c r="AMH142" s="107" t="s">
        <v>1</v>
      </c>
      <c r="AMI142" s="108"/>
      <c r="AMJ142" s="108"/>
      <c r="AMK142" s="109"/>
      <c r="AML142" s="107" t="s">
        <v>1</v>
      </c>
      <c r="AMM142" s="108"/>
      <c r="AMN142" s="108"/>
      <c r="AMO142" s="109"/>
      <c r="AMP142" s="107" t="s">
        <v>1</v>
      </c>
      <c r="AMQ142" s="108"/>
      <c r="AMR142" s="108"/>
      <c r="AMS142" s="109"/>
      <c r="AMT142" s="107" t="s">
        <v>1</v>
      </c>
      <c r="AMU142" s="108"/>
      <c r="AMV142" s="108"/>
      <c r="AMW142" s="109"/>
      <c r="AMX142" s="107" t="s">
        <v>1</v>
      </c>
      <c r="AMY142" s="108"/>
      <c r="AMZ142" s="108"/>
      <c r="ANA142" s="109"/>
      <c r="ANB142" s="107" t="s">
        <v>1</v>
      </c>
      <c r="ANC142" s="108"/>
      <c r="AND142" s="108"/>
      <c r="ANE142" s="109"/>
      <c r="ANF142" s="107" t="s">
        <v>1</v>
      </c>
      <c r="ANG142" s="108"/>
      <c r="ANH142" s="108"/>
      <c r="ANI142" s="109"/>
      <c r="ANJ142" s="107" t="s">
        <v>1</v>
      </c>
      <c r="ANK142" s="108"/>
      <c r="ANL142" s="108"/>
      <c r="ANM142" s="109"/>
      <c r="ANN142" s="107" t="s">
        <v>1</v>
      </c>
      <c r="ANO142" s="108"/>
      <c r="ANP142" s="108"/>
      <c r="ANQ142" s="109"/>
      <c r="ANR142" s="107" t="s">
        <v>1</v>
      </c>
      <c r="ANS142" s="108"/>
      <c r="ANT142" s="108"/>
      <c r="ANU142" s="109"/>
      <c r="ANV142" s="107" t="s">
        <v>1</v>
      </c>
      <c r="ANW142" s="108"/>
      <c r="ANX142" s="108"/>
      <c r="ANY142" s="109"/>
      <c r="ANZ142" s="107" t="s">
        <v>1</v>
      </c>
      <c r="AOA142" s="108"/>
      <c r="AOB142" s="108"/>
      <c r="AOC142" s="109"/>
      <c r="AOD142" s="107" t="s">
        <v>1</v>
      </c>
      <c r="AOE142" s="108"/>
      <c r="AOF142" s="108"/>
      <c r="AOG142" s="109"/>
      <c r="AOH142" s="107" t="s">
        <v>1</v>
      </c>
      <c r="AOI142" s="108"/>
      <c r="AOJ142" s="108"/>
      <c r="AOK142" s="109"/>
      <c r="AOL142" s="107" t="s">
        <v>1</v>
      </c>
      <c r="AOM142" s="108"/>
      <c r="AON142" s="108"/>
      <c r="AOO142" s="109"/>
      <c r="AOP142" s="107" t="s">
        <v>1</v>
      </c>
      <c r="AOQ142" s="108"/>
      <c r="AOR142" s="108"/>
      <c r="AOS142" s="109"/>
      <c r="AOT142" s="107" t="s">
        <v>1</v>
      </c>
      <c r="AOU142" s="108"/>
      <c r="AOV142" s="108"/>
      <c r="AOW142" s="109"/>
      <c r="AOX142" s="107" t="s">
        <v>1</v>
      </c>
      <c r="AOY142" s="108"/>
      <c r="AOZ142" s="108"/>
      <c r="APA142" s="109"/>
      <c r="APB142" s="107" t="s">
        <v>1</v>
      </c>
      <c r="APC142" s="108"/>
      <c r="APD142" s="108"/>
      <c r="APE142" s="109"/>
      <c r="APF142" s="107" t="s">
        <v>1</v>
      </c>
      <c r="APG142" s="108"/>
      <c r="APH142" s="108"/>
      <c r="API142" s="109"/>
      <c r="APJ142" s="107" t="s">
        <v>1</v>
      </c>
      <c r="APK142" s="108"/>
      <c r="APL142" s="108"/>
      <c r="APM142" s="109"/>
      <c r="APN142" s="107" t="s">
        <v>1</v>
      </c>
      <c r="APO142" s="108"/>
      <c r="APP142" s="108"/>
      <c r="APQ142" s="109"/>
      <c r="APR142" s="107" t="s">
        <v>1</v>
      </c>
      <c r="APS142" s="108"/>
      <c r="APT142" s="108"/>
      <c r="APU142" s="109"/>
      <c r="APV142" s="107" t="s">
        <v>1</v>
      </c>
      <c r="APW142" s="108"/>
      <c r="APX142" s="108"/>
      <c r="APY142" s="109"/>
      <c r="APZ142" s="107" t="s">
        <v>1</v>
      </c>
      <c r="AQA142" s="108"/>
      <c r="AQB142" s="108"/>
      <c r="AQC142" s="109"/>
      <c r="AQD142" s="107" t="s">
        <v>1</v>
      </c>
      <c r="AQE142" s="108"/>
      <c r="AQF142" s="108"/>
      <c r="AQG142" s="109"/>
      <c r="AQH142" s="107" t="s">
        <v>1</v>
      </c>
      <c r="AQI142" s="108"/>
      <c r="AQJ142" s="108"/>
      <c r="AQK142" s="109"/>
      <c r="AQL142" s="107" t="s">
        <v>1</v>
      </c>
      <c r="AQM142" s="108"/>
      <c r="AQN142" s="108"/>
      <c r="AQO142" s="109"/>
      <c r="AQP142" s="107" t="s">
        <v>1</v>
      </c>
      <c r="AQQ142" s="108"/>
      <c r="AQR142" s="108"/>
      <c r="AQS142" s="109"/>
      <c r="AQT142" s="107" t="s">
        <v>1</v>
      </c>
      <c r="AQU142" s="108"/>
      <c r="AQV142" s="108"/>
      <c r="AQW142" s="109"/>
      <c r="AQX142" s="107" t="s">
        <v>1</v>
      </c>
      <c r="AQY142" s="108"/>
      <c r="AQZ142" s="108"/>
      <c r="ARA142" s="109"/>
      <c r="ARB142" s="107" t="s">
        <v>1</v>
      </c>
      <c r="ARC142" s="108"/>
      <c r="ARD142" s="108"/>
      <c r="ARE142" s="109"/>
      <c r="ARF142" s="107" t="s">
        <v>1</v>
      </c>
      <c r="ARG142" s="108"/>
      <c r="ARH142" s="108"/>
      <c r="ARI142" s="109"/>
      <c r="ARJ142" s="107" t="s">
        <v>1</v>
      </c>
      <c r="ARK142" s="108"/>
      <c r="ARL142" s="108"/>
      <c r="ARM142" s="109"/>
      <c r="ARN142" s="107" t="s">
        <v>1</v>
      </c>
      <c r="ARO142" s="108"/>
      <c r="ARP142" s="108"/>
      <c r="ARQ142" s="109"/>
      <c r="ARR142" s="107" t="s">
        <v>1</v>
      </c>
      <c r="ARS142" s="108"/>
      <c r="ART142" s="108"/>
      <c r="ARU142" s="109"/>
      <c r="ARV142" s="107" t="s">
        <v>1</v>
      </c>
      <c r="ARW142" s="108"/>
      <c r="ARX142" s="108"/>
      <c r="ARY142" s="109"/>
      <c r="ARZ142" s="107" t="s">
        <v>1</v>
      </c>
      <c r="ASA142" s="108"/>
      <c r="ASB142" s="108"/>
      <c r="ASC142" s="109"/>
      <c r="ASD142" s="107" t="s">
        <v>1</v>
      </c>
      <c r="ASE142" s="108"/>
      <c r="ASF142" s="108"/>
      <c r="ASG142" s="109"/>
      <c r="ASH142" s="107" t="s">
        <v>1</v>
      </c>
      <c r="ASI142" s="108"/>
      <c r="ASJ142" s="108"/>
      <c r="ASK142" s="109"/>
      <c r="ASL142" s="107" t="s">
        <v>1</v>
      </c>
      <c r="ASM142" s="108"/>
      <c r="ASN142" s="108"/>
      <c r="ASO142" s="109"/>
      <c r="ASP142" s="107" t="s">
        <v>1</v>
      </c>
      <c r="ASQ142" s="108"/>
      <c r="ASR142" s="108"/>
      <c r="ASS142" s="109"/>
      <c r="AST142" s="107" t="s">
        <v>1</v>
      </c>
      <c r="ASU142" s="108"/>
      <c r="ASV142" s="108"/>
      <c r="ASW142" s="109"/>
      <c r="ASX142" s="107" t="s">
        <v>1</v>
      </c>
      <c r="ASY142" s="108"/>
      <c r="ASZ142" s="108"/>
      <c r="ATA142" s="109"/>
      <c r="ATB142" s="107" t="s">
        <v>1</v>
      </c>
      <c r="ATC142" s="108"/>
      <c r="ATD142" s="108"/>
      <c r="ATE142" s="109"/>
      <c r="ATF142" s="107" t="s">
        <v>1</v>
      </c>
      <c r="ATG142" s="108"/>
      <c r="ATH142" s="108"/>
      <c r="ATI142" s="109"/>
      <c r="ATJ142" s="107" t="s">
        <v>1</v>
      </c>
      <c r="ATK142" s="108"/>
      <c r="ATL142" s="108"/>
      <c r="ATM142" s="109"/>
      <c r="ATN142" s="107" t="s">
        <v>1</v>
      </c>
      <c r="ATO142" s="108"/>
      <c r="ATP142" s="108"/>
      <c r="ATQ142" s="109"/>
      <c r="ATR142" s="107" t="s">
        <v>1</v>
      </c>
      <c r="ATS142" s="108"/>
      <c r="ATT142" s="108"/>
      <c r="ATU142" s="109"/>
      <c r="ATV142" s="107" t="s">
        <v>1</v>
      </c>
      <c r="ATW142" s="108"/>
      <c r="ATX142" s="108"/>
      <c r="ATY142" s="109"/>
      <c r="ATZ142" s="107" t="s">
        <v>1</v>
      </c>
      <c r="AUA142" s="108"/>
      <c r="AUB142" s="108"/>
      <c r="AUC142" s="109"/>
      <c r="AUD142" s="107" t="s">
        <v>1</v>
      </c>
      <c r="AUE142" s="108"/>
      <c r="AUF142" s="108"/>
      <c r="AUG142" s="109"/>
      <c r="AUH142" s="107" t="s">
        <v>1</v>
      </c>
      <c r="AUI142" s="108"/>
      <c r="AUJ142" s="108"/>
      <c r="AUK142" s="109"/>
      <c r="AUL142" s="107" t="s">
        <v>1</v>
      </c>
      <c r="AUM142" s="108"/>
      <c r="AUN142" s="108"/>
      <c r="AUO142" s="109"/>
      <c r="AUP142" s="107" t="s">
        <v>1</v>
      </c>
      <c r="AUQ142" s="108"/>
      <c r="AUR142" s="108"/>
      <c r="AUS142" s="109"/>
      <c r="AUT142" s="107" t="s">
        <v>1</v>
      </c>
      <c r="AUU142" s="108"/>
      <c r="AUV142" s="108"/>
      <c r="AUW142" s="109"/>
      <c r="AUX142" s="107" t="s">
        <v>1</v>
      </c>
      <c r="AUY142" s="108"/>
      <c r="AUZ142" s="108"/>
      <c r="AVA142" s="109"/>
      <c r="AVB142" s="107" t="s">
        <v>1</v>
      </c>
      <c r="AVC142" s="108"/>
      <c r="AVD142" s="108"/>
      <c r="AVE142" s="109"/>
      <c r="AVF142" s="107" t="s">
        <v>1</v>
      </c>
      <c r="AVG142" s="108"/>
      <c r="AVH142" s="108"/>
      <c r="AVI142" s="109"/>
      <c r="AVJ142" s="107" t="s">
        <v>1</v>
      </c>
      <c r="AVK142" s="108"/>
      <c r="AVL142" s="108"/>
      <c r="AVM142" s="109"/>
      <c r="AVN142" s="107" t="s">
        <v>1</v>
      </c>
      <c r="AVO142" s="108"/>
      <c r="AVP142" s="108"/>
      <c r="AVQ142" s="109"/>
      <c r="AVR142" s="107" t="s">
        <v>1</v>
      </c>
      <c r="AVS142" s="108"/>
      <c r="AVT142" s="108"/>
      <c r="AVU142" s="109"/>
      <c r="AVV142" s="107" t="s">
        <v>1</v>
      </c>
      <c r="AVW142" s="108"/>
      <c r="AVX142" s="108"/>
      <c r="AVY142" s="109"/>
      <c r="AVZ142" s="107" t="s">
        <v>1</v>
      </c>
      <c r="AWA142" s="108"/>
      <c r="AWB142" s="108"/>
      <c r="AWC142" s="109"/>
      <c r="AWD142" s="107" t="s">
        <v>1</v>
      </c>
      <c r="AWE142" s="108"/>
      <c r="AWF142" s="108"/>
      <c r="AWG142" s="109"/>
      <c r="AWH142" s="107" t="s">
        <v>1</v>
      </c>
      <c r="AWI142" s="108"/>
      <c r="AWJ142" s="108"/>
      <c r="AWK142" s="109"/>
      <c r="AWL142" s="107" t="s">
        <v>1</v>
      </c>
      <c r="AWM142" s="108"/>
      <c r="AWN142" s="108"/>
      <c r="AWO142" s="109"/>
      <c r="AWP142" s="107" t="s">
        <v>1</v>
      </c>
      <c r="AWQ142" s="108"/>
      <c r="AWR142" s="108"/>
      <c r="AWS142" s="109"/>
      <c r="AWT142" s="107" t="s">
        <v>1</v>
      </c>
      <c r="AWU142" s="108"/>
      <c r="AWV142" s="108"/>
      <c r="AWW142" s="109"/>
      <c r="AWX142" s="107" t="s">
        <v>1</v>
      </c>
      <c r="AWY142" s="108"/>
      <c r="AWZ142" s="108"/>
      <c r="AXA142" s="109"/>
      <c r="AXB142" s="107" t="s">
        <v>1</v>
      </c>
      <c r="AXC142" s="108"/>
      <c r="AXD142" s="108"/>
      <c r="AXE142" s="109"/>
      <c r="AXF142" s="107" t="s">
        <v>1</v>
      </c>
      <c r="AXG142" s="108"/>
      <c r="AXH142" s="108"/>
      <c r="AXI142" s="109"/>
      <c r="AXJ142" s="107" t="s">
        <v>1</v>
      </c>
      <c r="AXK142" s="108"/>
      <c r="AXL142" s="108"/>
      <c r="AXM142" s="109"/>
      <c r="AXN142" s="107" t="s">
        <v>1</v>
      </c>
      <c r="AXO142" s="108"/>
      <c r="AXP142" s="108"/>
      <c r="AXQ142" s="109"/>
      <c r="AXR142" s="107" t="s">
        <v>1</v>
      </c>
      <c r="AXS142" s="108"/>
      <c r="AXT142" s="108"/>
      <c r="AXU142" s="109"/>
      <c r="AXV142" s="107" t="s">
        <v>1</v>
      </c>
      <c r="AXW142" s="108"/>
      <c r="AXX142" s="108"/>
      <c r="AXY142" s="109"/>
      <c r="AXZ142" s="107" t="s">
        <v>1</v>
      </c>
      <c r="AYA142" s="108"/>
      <c r="AYB142" s="108"/>
      <c r="AYC142" s="109"/>
      <c r="AYD142" s="107" t="s">
        <v>1</v>
      </c>
      <c r="AYE142" s="108"/>
      <c r="AYF142" s="108"/>
      <c r="AYG142" s="109"/>
      <c r="AYH142" s="107" t="s">
        <v>1</v>
      </c>
      <c r="AYI142" s="108"/>
      <c r="AYJ142" s="108"/>
      <c r="AYK142" s="109"/>
      <c r="AYL142" s="107" t="s">
        <v>1</v>
      </c>
      <c r="AYM142" s="108"/>
      <c r="AYN142" s="108"/>
      <c r="AYO142" s="109"/>
      <c r="AYP142" s="107" t="s">
        <v>1</v>
      </c>
      <c r="AYQ142" s="108"/>
      <c r="AYR142" s="108"/>
      <c r="AYS142" s="109"/>
      <c r="AYT142" s="107" t="s">
        <v>1</v>
      </c>
      <c r="AYU142" s="108"/>
      <c r="AYV142" s="108"/>
      <c r="AYW142" s="109"/>
      <c r="AYX142" s="107" t="s">
        <v>1</v>
      </c>
      <c r="AYY142" s="108"/>
      <c r="AYZ142" s="108"/>
      <c r="AZA142" s="109"/>
      <c r="AZB142" s="107" t="s">
        <v>1</v>
      </c>
      <c r="AZC142" s="108"/>
      <c r="AZD142" s="108"/>
      <c r="AZE142" s="109"/>
      <c r="AZF142" s="107" t="s">
        <v>1</v>
      </c>
      <c r="AZG142" s="108"/>
      <c r="AZH142" s="108"/>
      <c r="AZI142" s="109"/>
      <c r="AZJ142" s="107" t="s">
        <v>1</v>
      </c>
      <c r="AZK142" s="108"/>
      <c r="AZL142" s="108"/>
      <c r="AZM142" s="109"/>
      <c r="AZN142" s="107" t="s">
        <v>1</v>
      </c>
      <c r="AZO142" s="108"/>
      <c r="AZP142" s="108"/>
      <c r="AZQ142" s="109"/>
      <c r="AZR142" s="107" t="s">
        <v>1</v>
      </c>
      <c r="AZS142" s="108"/>
      <c r="AZT142" s="108"/>
      <c r="AZU142" s="109"/>
      <c r="AZV142" s="107" t="s">
        <v>1</v>
      </c>
      <c r="AZW142" s="108"/>
      <c r="AZX142" s="108"/>
      <c r="AZY142" s="109"/>
      <c r="AZZ142" s="107" t="s">
        <v>1</v>
      </c>
      <c r="BAA142" s="108"/>
      <c r="BAB142" s="108"/>
      <c r="BAC142" s="109"/>
      <c r="BAD142" s="107" t="s">
        <v>1</v>
      </c>
      <c r="BAE142" s="108"/>
      <c r="BAF142" s="108"/>
      <c r="BAG142" s="109"/>
      <c r="BAH142" s="107" t="s">
        <v>1</v>
      </c>
      <c r="BAI142" s="108"/>
      <c r="BAJ142" s="108"/>
      <c r="BAK142" s="109"/>
      <c r="BAL142" s="107" t="s">
        <v>1</v>
      </c>
      <c r="BAM142" s="108"/>
      <c r="BAN142" s="108"/>
      <c r="BAO142" s="109"/>
      <c r="BAP142" s="107" t="s">
        <v>1</v>
      </c>
      <c r="BAQ142" s="108"/>
      <c r="BAR142" s="108"/>
      <c r="BAS142" s="109"/>
      <c r="BAT142" s="107" t="s">
        <v>1</v>
      </c>
      <c r="BAU142" s="108"/>
      <c r="BAV142" s="108"/>
      <c r="BAW142" s="109"/>
      <c r="BAX142" s="107" t="s">
        <v>1</v>
      </c>
      <c r="BAY142" s="108"/>
      <c r="BAZ142" s="108"/>
      <c r="BBA142" s="109"/>
      <c r="BBB142" s="107" t="s">
        <v>1</v>
      </c>
      <c r="BBC142" s="108"/>
      <c r="BBD142" s="108"/>
      <c r="BBE142" s="109"/>
      <c r="BBF142" s="107" t="s">
        <v>1</v>
      </c>
      <c r="BBG142" s="108"/>
      <c r="BBH142" s="108"/>
      <c r="BBI142" s="109"/>
      <c r="BBJ142" s="107" t="s">
        <v>1</v>
      </c>
      <c r="BBK142" s="108"/>
      <c r="BBL142" s="108"/>
      <c r="BBM142" s="109"/>
      <c r="BBN142" s="107" t="s">
        <v>1</v>
      </c>
      <c r="BBO142" s="108"/>
      <c r="BBP142" s="108"/>
      <c r="BBQ142" s="109"/>
      <c r="BBR142" s="107" t="s">
        <v>1</v>
      </c>
      <c r="BBS142" s="108"/>
      <c r="BBT142" s="108"/>
      <c r="BBU142" s="109"/>
      <c r="BBV142" s="107" t="s">
        <v>1</v>
      </c>
      <c r="BBW142" s="108"/>
      <c r="BBX142" s="108"/>
      <c r="BBY142" s="109"/>
      <c r="BBZ142" s="107" t="s">
        <v>1</v>
      </c>
      <c r="BCA142" s="108"/>
      <c r="BCB142" s="108"/>
      <c r="BCC142" s="109"/>
      <c r="BCD142" s="107" t="s">
        <v>1</v>
      </c>
      <c r="BCE142" s="108"/>
      <c r="BCF142" s="108"/>
      <c r="BCG142" s="109"/>
      <c r="BCH142" s="107" t="s">
        <v>1</v>
      </c>
      <c r="BCI142" s="108"/>
      <c r="BCJ142" s="108"/>
      <c r="BCK142" s="109"/>
      <c r="BCL142" s="107" t="s">
        <v>1</v>
      </c>
      <c r="BCM142" s="108"/>
      <c r="BCN142" s="108"/>
      <c r="BCO142" s="109"/>
      <c r="BCP142" s="107" t="s">
        <v>1</v>
      </c>
      <c r="BCQ142" s="108"/>
      <c r="BCR142" s="108"/>
      <c r="BCS142" s="109"/>
      <c r="BCT142" s="107" t="s">
        <v>1</v>
      </c>
      <c r="BCU142" s="108"/>
      <c r="BCV142" s="108"/>
      <c r="BCW142" s="109"/>
      <c r="BCX142" s="107" t="s">
        <v>1</v>
      </c>
      <c r="BCY142" s="108"/>
      <c r="BCZ142" s="108"/>
      <c r="BDA142" s="109"/>
      <c r="BDB142" s="107" t="s">
        <v>1</v>
      </c>
      <c r="BDC142" s="108"/>
      <c r="BDD142" s="108"/>
      <c r="BDE142" s="109"/>
      <c r="BDF142" s="107" t="s">
        <v>1</v>
      </c>
      <c r="BDG142" s="108"/>
      <c r="BDH142" s="108"/>
      <c r="BDI142" s="109"/>
      <c r="BDJ142" s="107" t="s">
        <v>1</v>
      </c>
      <c r="BDK142" s="108"/>
      <c r="BDL142" s="108"/>
      <c r="BDM142" s="109"/>
      <c r="BDN142" s="107" t="s">
        <v>1</v>
      </c>
      <c r="BDO142" s="108"/>
      <c r="BDP142" s="108"/>
      <c r="BDQ142" s="109"/>
      <c r="BDR142" s="107" t="s">
        <v>1</v>
      </c>
      <c r="BDS142" s="108"/>
      <c r="BDT142" s="108"/>
      <c r="BDU142" s="109"/>
      <c r="BDV142" s="107" t="s">
        <v>1</v>
      </c>
      <c r="BDW142" s="108"/>
      <c r="BDX142" s="108"/>
      <c r="BDY142" s="109"/>
      <c r="BDZ142" s="107" t="s">
        <v>1</v>
      </c>
      <c r="BEA142" s="108"/>
      <c r="BEB142" s="108"/>
      <c r="BEC142" s="109"/>
      <c r="BED142" s="107" t="s">
        <v>1</v>
      </c>
      <c r="BEE142" s="108"/>
      <c r="BEF142" s="108"/>
      <c r="BEG142" s="109"/>
      <c r="BEH142" s="107" t="s">
        <v>1</v>
      </c>
      <c r="BEI142" s="108"/>
      <c r="BEJ142" s="108"/>
      <c r="BEK142" s="109"/>
      <c r="BEL142" s="107" t="s">
        <v>1</v>
      </c>
      <c r="BEM142" s="108"/>
      <c r="BEN142" s="108"/>
      <c r="BEO142" s="109"/>
      <c r="BEP142" s="107" t="s">
        <v>1</v>
      </c>
      <c r="BEQ142" s="108"/>
      <c r="BER142" s="108"/>
      <c r="BES142" s="109"/>
      <c r="BET142" s="107" t="s">
        <v>1</v>
      </c>
      <c r="BEU142" s="108"/>
      <c r="BEV142" s="108"/>
      <c r="BEW142" s="109"/>
      <c r="BEX142" s="107" t="s">
        <v>1</v>
      </c>
      <c r="BEY142" s="108"/>
      <c r="BEZ142" s="108"/>
      <c r="BFA142" s="109"/>
      <c r="BFB142" s="107" t="s">
        <v>1</v>
      </c>
      <c r="BFC142" s="108"/>
      <c r="BFD142" s="108"/>
      <c r="BFE142" s="109"/>
      <c r="BFF142" s="107" t="s">
        <v>1</v>
      </c>
      <c r="BFG142" s="108"/>
      <c r="BFH142" s="108"/>
      <c r="BFI142" s="109"/>
      <c r="BFJ142" s="107" t="s">
        <v>1</v>
      </c>
      <c r="BFK142" s="108"/>
      <c r="BFL142" s="108"/>
      <c r="BFM142" s="109"/>
      <c r="BFN142" s="107" t="s">
        <v>1</v>
      </c>
      <c r="BFO142" s="108"/>
      <c r="BFP142" s="108"/>
      <c r="BFQ142" s="109"/>
      <c r="BFR142" s="107" t="s">
        <v>1</v>
      </c>
      <c r="BFS142" s="108"/>
      <c r="BFT142" s="108"/>
      <c r="BFU142" s="109"/>
      <c r="BFV142" s="107" t="s">
        <v>1</v>
      </c>
      <c r="BFW142" s="108"/>
      <c r="BFX142" s="108"/>
      <c r="BFY142" s="109"/>
      <c r="BFZ142" s="107" t="s">
        <v>1</v>
      </c>
      <c r="BGA142" s="108"/>
      <c r="BGB142" s="108"/>
      <c r="BGC142" s="109"/>
      <c r="BGD142" s="107" t="s">
        <v>1</v>
      </c>
      <c r="BGE142" s="108"/>
      <c r="BGF142" s="108"/>
      <c r="BGG142" s="109"/>
      <c r="BGH142" s="107" t="s">
        <v>1</v>
      </c>
      <c r="BGI142" s="108"/>
      <c r="BGJ142" s="108"/>
      <c r="BGK142" s="109"/>
      <c r="BGL142" s="107" t="s">
        <v>1</v>
      </c>
      <c r="BGM142" s="108"/>
      <c r="BGN142" s="108"/>
      <c r="BGO142" s="109"/>
      <c r="BGP142" s="107" t="s">
        <v>1</v>
      </c>
      <c r="BGQ142" s="108"/>
      <c r="BGR142" s="108"/>
      <c r="BGS142" s="109"/>
      <c r="BGT142" s="107" t="s">
        <v>1</v>
      </c>
      <c r="BGU142" s="108"/>
      <c r="BGV142" s="108"/>
      <c r="BGW142" s="109"/>
      <c r="BGX142" s="107" t="s">
        <v>1</v>
      </c>
      <c r="BGY142" s="108"/>
      <c r="BGZ142" s="108"/>
      <c r="BHA142" s="109"/>
      <c r="BHB142" s="107" t="s">
        <v>1</v>
      </c>
      <c r="BHC142" s="108"/>
      <c r="BHD142" s="108"/>
      <c r="BHE142" s="109"/>
      <c r="BHF142" s="107" t="s">
        <v>1</v>
      </c>
      <c r="BHG142" s="108"/>
      <c r="BHH142" s="108"/>
      <c r="BHI142" s="109"/>
      <c r="BHJ142" s="107" t="s">
        <v>1</v>
      </c>
      <c r="BHK142" s="108"/>
      <c r="BHL142" s="108"/>
      <c r="BHM142" s="109"/>
      <c r="BHN142" s="107" t="s">
        <v>1</v>
      </c>
      <c r="BHO142" s="108"/>
      <c r="BHP142" s="108"/>
      <c r="BHQ142" s="109"/>
      <c r="BHR142" s="107" t="s">
        <v>1</v>
      </c>
      <c r="BHS142" s="108"/>
      <c r="BHT142" s="108"/>
      <c r="BHU142" s="109"/>
      <c r="BHV142" s="107" t="s">
        <v>1</v>
      </c>
      <c r="BHW142" s="108"/>
      <c r="BHX142" s="108"/>
      <c r="BHY142" s="109"/>
      <c r="BHZ142" s="107" t="s">
        <v>1</v>
      </c>
      <c r="BIA142" s="108"/>
      <c r="BIB142" s="108"/>
      <c r="BIC142" s="109"/>
      <c r="BID142" s="107" t="s">
        <v>1</v>
      </c>
      <c r="BIE142" s="108"/>
      <c r="BIF142" s="108"/>
      <c r="BIG142" s="109"/>
      <c r="BIH142" s="107" t="s">
        <v>1</v>
      </c>
      <c r="BII142" s="108"/>
      <c r="BIJ142" s="108"/>
      <c r="BIK142" s="109"/>
      <c r="BIL142" s="107" t="s">
        <v>1</v>
      </c>
      <c r="BIM142" s="108"/>
      <c r="BIN142" s="108"/>
      <c r="BIO142" s="109"/>
      <c r="BIP142" s="107" t="s">
        <v>1</v>
      </c>
      <c r="BIQ142" s="108"/>
      <c r="BIR142" s="108"/>
      <c r="BIS142" s="109"/>
      <c r="BIT142" s="107" t="s">
        <v>1</v>
      </c>
      <c r="BIU142" s="108"/>
      <c r="BIV142" s="108"/>
      <c r="BIW142" s="109"/>
      <c r="BIX142" s="107" t="s">
        <v>1</v>
      </c>
      <c r="BIY142" s="108"/>
      <c r="BIZ142" s="108"/>
      <c r="BJA142" s="109"/>
      <c r="BJB142" s="107" t="s">
        <v>1</v>
      </c>
      <c r="BJC142" s="108"/>
      <c r="BJD142" s="108"/>
      <c r="BJE142" s="109"/>
      <c r="BJF142" s="107" t="s">
        <v>1</v>
      </c>
      <c r="BJG142" s="108"/>
      <c r="BJH142" s="108"/>
      <c r="BJI142" s="109"/>
      <c r="BJJ142" s="107" t="s">
        <v>1</v>
      </c>
      <c r="BJK142" s="108"/>
      <c r="BJL142" s="108"/>
      <c r="BJM142" s="109"/>
      <c r="BJN142" s="107" t="s">
        <v>1</v>
      </c>
      <c r="BJO142" s="108"/>
      <c r="BJP142" s="108"/>
      <c r="BJQ142" s="109"/>
      <c r="BJR142" s="107" t="s">
        <v>1</v>
      </c>
      <c r="BJS142" s="108"/>
      <c r="BJT142" s="108"/>
      <c r="BJU142" s="109"/>
      <c r="BJV142" s="107" t="s">
        <v>1</v>
      </c>
      <c r="BJW142" s="108"/>
      <c r="BJX142" s="108"/>
      <c r="BJY142" s="109"/>
      <c r="BJZ142" s="107" t="s">
        <v>1</v>
      </c>
      <c r="BKA142" s="108"/>
      <c r="BKB142" s="108"/>
      <c r="BKC142" s="109"/>
      <c r="BKD142" s="107" t="s">
        <v>1</v>
      </c>
      <c r="BKE142" s="108"/>
      <c r="BKF142" s="108"/>
      <c r="BKG142" s="109"/>
      <c r="BKH142" s="107" t="s">
        <v>1</v>
      </c>
      <c r="BKI142" s="108"/>
      <c r="BKJ142" s="108"/>
      <c r="BKK142" s="109"/>
      <c r="BKL142" s="107" t="s">
        <v>1</v>
      </c>
      <c r="BKM142" s="108"/>
      <c r="BKN142" s="108"/>
      <c r="BKO142" s="109"/>
      <c r="BKP142" s="107" t="s">
        <v>1</v>
      </c>
      <c r="BKQ142" s="108"/>
      <c r="BKR142" s="108"/>
      <c r="BKS142" s="109"/>
      <c r="BKT142" s="107" t="s">
        <v>1</v>
      </c>
      <c r="BKU142" s="108"/>
      <c r="BKV142" s="108"/>
      <c r="BKW142" s="109"/>
      <c r="BKX142" s="107" t="s">
        <v>1</v>
      </c>
      <c r="BKY142" s="108"/>
      <c r="BKZ142" s="108"/>
      <c r="BLA142" s="109"/>
      <c r="BLB142" s="107" t="s">
        <v>1</v>
      </c>
      <c r="BLC142" s="108"/>
      <c r="BLD142" s="108"/>
      <c r="BLE142" s="109"/>
      <c r="BLF142" s="107" t="s">
        <v>1</v>
      </c>
      <c r="BLG142" s="108"/>
      <c r="BLH142" s="108"/>
      <c r="BLI142" s="109"/>
      <c r="BLJ142" s="107" t="s">
        <v>1</v>
      </c>
      <c r="BLK142" s="108"/>
      <c r="BLL142" s="108"/>
      <c r="BLM142" s="109"/>
      <c r="BLN142" s="107" t="s">
        <v>1</v>
      </c>
      <c r="BLO142" s="108"/>
      <c r="BLP142" s="108"/>
      <c r="BLQ142" s="109"/>
      <c r="BLR142" s="107" t="s">
        <v>1</v>
      </c>
      <c r="BLS142" s="108"/>
      <c r="BLT142" s="108"/>
      <c r="BLU142" s="109"/>
      <c r="BLV142" s="107" t="s">
        <v>1</v>
      </c>
      <c r="BLW142" s="108"/>
      <c r="BLX142" s="108"/>
      <c r="BLY142" s="109"/>
      <c r="BLZ142" s="107" t="s">
        <v>1</v>
      </c>
      <c r="BMA142" s="108"/>
      <c r="BMB142" s="108"/>
      <c r="BMC142" s="109"/>
      <c r="BMD142" s="107" t="s">
        <v>1</v>
      </c>
      <c r="BME142" s="108"/>
      <c r="BMF142" s="108"/>
      <c r="BMG142" s="109"/>
      <c r="BMH142" s="107" t="s">
        <v>1</v>
      </c>
      <c r="BMI142" s="108"/>
      <c r="BMJ142" s="108"/>
      <c r="BMK142" s="109"/>
      <c r="BML142" s="107" t="s">
        <v>1</v>
      </c>
      <c r="BMM142" s="108"/>
      <c r="BMN142" s="108"/>
      <c r="BMO142" s="109"/>
      <c r="BMP142" s="107" t="s">
        <v>1</v>
      </c>
      <c r="BMQ142" s="108"/>
      <c r="BMR142" s="108"/>
      <c r="BMS142" s="109"/>
      <c r="BMT142" s="107" t="s">
        <v>1</v>
      </c>
      <c r="BMU142" s="108"/>
      <c r="BMV142" s="108"/>
      <c r="BMW142" s="109"/>
      <c r="BMX142" s="107" t="s">
        <v>1</v>
      </c>
      <c r="BMY142" s="108"/>
      <c r="BMZ142" s="108"/>
      <c r="BNA142" s="109"/>
      <c r="BNB142" s="107" t="s">
        <v>1</v>
      </c>
      <c r="BNC142" s="108"/>
      <c r="BND142" s="108"/>
      <c r="BNE142" s="109"/>
      <c r="BNF142" s="107" t="s">
        <v>1</v>
      </c>
      <c r="BNG142" s="108"/>
      <c r="BNH142" s="108"/>
      <c r="BNI142" s="109"/>
      <c r="BNJ142" s="107" t="s">
        <v>1</v>
      </c>
      <c r="BNK142" s="108"/>
      <c r="BNL142" s="108"/>
      <c r="BNM142" s="109"/>
      <c r="BNN142" s="107" t="s">
        <v>1</v>
      </c>
      <c r="BNO142" s="108"/>
      <c r="BNP142" s="108"/>
      <c r="BNQ142" s="109"/>
      <c r="BNR142" s="107" t="s">
        <v>1</v>
      </c>
      <c r="BNS142" s="108"/>
      <c r="BNT142" s="108"/>
      <c r="BNU142" s="109"/>
      <c r="BNV142" s="107" t="s">
        <v>1</v>
      </c>
      <c r="BNW142" s="108"/>
      <c r="BNX142" s="108"/>
      <c r="BNY142" s="109"/>
      <c r="BNZ142" s="107" t="s">
        <v>1</v>
      </c>
      <c r="BOA142" s="108"/>
      <c r="BOB142" s="108"/>
      <c r="BOC142" s="109"/>
      <c r="BOD142" s="107" t="s">
        <v>1</v>
      </c>
      <c r="BOE142" s="108"/>
      <c r="BOF142" s="108"/>
      <c r="BOG142" s="109"/>
      <c r="BOH142" s="107" t="s">
        <v>1</v>
      </c>
      <c r="BOI142" s="108"/>
      <c r="BOJ142" s="108"/>
      <c r="BOK142" s="109"/>
      <c r="BOL142" s="107" t="s">
        <v>1</v>
      </c>
      <c r="BOM142" s="108"/>
      <c r="BON142" s="108"/>
      <c r="BOO142" s="109"/>
      <c r="BOP142" s="107" t="s">
        <v>1</v>
      </c>
      <c r="BOQ142" s="108"/>
      <c r="BOR142" s="108"/>
      <c r="BOS142" s="109"/>
      <c r="BOT142" s="107" t="s">
        <v>1</v>
      </c>
      <c r="BOU142" s="108"/>
      <c r="BOV142" s="108"/>
      <c r="BOW142" s="109"/>
      <c r="BOX142" s="107" t="s">
        <v>1</v>
      </c>
      <c r="BOY142" s="108"/>
      <c r="BOZ142" s="108"/>
      <c r="BPA142" s="109"/>
      <c r="BPB142" s="107" t="s">
        <v>1</v>
      </c>
      <c r="BPC142" s="108"/>
      <c r="BPD142" s="108"/>
      <c r="BPE142" s="109"/>
      <c r="BPF142" s="107" t="s">
        <v>1</v>
      </c>
      <c r="BPG142" s="108"/>
      <c r="BPH142" s="108"/>
      <c r="BPI142" s="109"/>
      <c r="BPJ142" s="107" t="s">
        <v>1</v>
      </c>
      <c r="BPK142" s="108"/>
      <c r="BPL142" s="108"/>
      <c r="BPM142" s="109"/>
      <c r="BPN142" s="107" t="s">
        <v>1</v>
      </c>
      <c r="BPO142" s="108"/>
      <c r="BPP142" s="108"/>
      <c r="BPQ142" s="109"/>
      <c r="BPR142" s="107" t="s">
        <v>1</v>
      </c>
      <c r="BPS142" s="108"/>
      <c r="BPT142" s="108"/>
      <c r="BPU142" s="109"/>
      <c r="BPV142" s="107" t="s">
        <v>1</v>
      </c>
      <c r="BPW142" s="108"/>
      <c r="BPX142" s="108"/>
      <c r="BPY142" s="109"/>
      <c r="BPZ142" s="107" t="s">
        <v>1</v>
      </c>
      <c r="BQA142" s="108"/>
      <c r="BQB142" s="108"/>
      <c r="BQC142" s="109"/>
      <c r="BQD142" s="107" t="s">
        <v>1</v>
      </c>
      <c r="BQE142" s="108"/>
      <c r="BQF142" s="108"/>
      <c r="BQG142" s="109"/>
      <c r="BQH142" s="107" t="s">
        <v>1</v>
      </c>
      <c r="BQI142" s="108"/>
      <c r="BQJ142" s="108"/>
      <c r="BQK142" s="109"/>
      <c r="BQL142" s="107" t="s">
        <v>1</v>
      </c>
      <c r="BQM142" s="108"/>
      <c r="BQN142" s="108"/>
      <c r="BQO142" s="109"/>
      <c r="BQP142" s="107" t="s">
        <v>1</v>
      </c>
      <c r="BQQ142" s="108"/>
      <c r="BQR142" s="108"/>
      <c r="BQS142" s="109"/>
      <c r="BQT142" s="107" t="s">
        <v>1</v>
      </c>
      <c r="BQU142" s="108"/>
      <c r="BQV142" s="108"/>
      <c r="BQW142" s="109"/>
      <c r="BQX142" s="107" t="s">
        <v>1</v>
      </c>
      <c r="BQY142" s="108"/>
      <c r="BQZ142" s="108"/>
      <c r="BRA142" s="109"/>
      <c r="BRB142" s="107" t="s">
        <v>1</v>
      </c>
      <c r="BRC142" s="108"/>
      <c r="BRD142" s="108"/>
      <c r="BRE142" s="109"/>
      <c r="BRF142" s="107" t="s">
        <v>1</v>
      </c>
      <c r="BRG142" s="108"/>
      <c r="BRH142" s="108"/>
      <c r="BRI142" s="109"/>
      <c r="BRJ142" s="107" t="s">
        <v>1</v>
      </c>
      <c r="BRK142" s="108"/>
      <c r="BRL142" s="108"/>
      <c r="BRM142" s="109"/>
      <c r="BRN142" s="107" t="s">
        <v>1</v>
      </c>
      <c r="BRO142" s="108"/>
      <c r="BRP142" s="108"/>
      <c r="BRQ142" s="109"/>
      <c r="BRR142" s="107" t="s">
        <v>1</v>
      </c>
      <c r="BRS142" s="108"/>
      <c r="BRT142" s="108"/>
      <c r="BRU142" s="109"/>
      <c r="BRV142" s="107" t="s">
        <v>1</v>
      </c>
      <c r="BRW142" s="108"/>
      <c r="BRX142" s="108"/>
      <c r="BRY142" s="109"/>
      <c r="BRZ142" s="107" t="s">
        <v>1</v>
      </c>
      <c r="BSA142" s="108"/>
      <c r="BSB142" s="108"/>
      <c r="BSC142" s="109"/>
      <c r="BSD142" s="107" t="s">
        <v>1</v>
      </c>
      <c r="BSE142" s="108"/>
      <c r="BSF142" s="108"/>
      <c r="BSG142" s="109"/>
      <c r="BSH142" s="107" t="s">
        <v>1</v>
      </c>
      <c r="BSI142" s="108"/>
      <c r="BSJ142" s="108"/>
      <c r="BSK142" s="109"/>
      <c r="BSL142" s="107" t="s">
        <v>1</v>
      </c>
      <c r="BSM142" s="108"/>
      <c r="BSN142" s="108"/>
      <c r="BSO142" s="109"/>
      <c r="BSP142" s="107" t="s">
        <v>1</v>
      </c>
      <c r="BSQ142" s="108"/>
      <c r="BSR142" s="108"/>
      <c r="BSS142" s="109"/>
      <c r="BST142" s="107" t="s">
        <v>1</v>
      </c>
      <c r="BSU142" s="108"/>
      <c r="BSV142" s="108"/>
      <c r="BSW142" s="109"/>
      <c r="BSX142" s="107" t="s">
        <v>1</v>
      </c>
      <c r="BSY142" s="108"/>
      <c r="BSZ142" s="108"/>
      <c r="BTA142" s="109"/>
      <c r="BTB142" s="107" t="s">
        <v>1</v>
      </c>
      <c r="BTC142" s="108"/>
      <c r="BTD142" s="108"/>
      <c r="BTE142" s="109"/>
      <c r="BTF142" s="107" t="s">
        <v>1</v>
      </c>
      <c r="BTG142" s="108"/>
      <c r="BTH142" s="108"/>
      <c r="BTI142" s="109"/>
      <c r="BTJ142" s="107" t="s">
        <v>1</v>
      </c>
      <c r="BTK142" s="108"/>
      <c r="BTL142" s="108"/>
      <c r="BTM142" s="109"/>
      <c r="BTN142" s="107" t="s">
        <v>1</v>
      </c>
      <c r="BTO142" s="108"/>
      <c r="BTP142" s="108"/>
      <c r="BTQ142" s="109"/>
      <c r="BTR142" s="107" t="s">
        <v>1</v>
      </c>
      <c r="BTS142" s="108"/>
      <c r="BTT142" s="108"/>
      <c r="BTU142" s="109"/>
      <c r="BTV142" s="107" t="s">
        <v>1</v>
      </c>
      <c r="BTW142" s="108"/>
      <c r="BTX142" s="108"/>
      <c r="BTY142" s="109"/>
      <c r="BTZ142" s="107" t="s">
        <v>1</v>
      </c>
      <c r="BUA142" s="108"/>
      <c r="BUB142" s="108"/>
      <c r="BUC142" s="109"/>
      <c r="BUD142" s="107" t="s">
        <v>1</v>
      </c>
      <c r="BUE142" s="108"/>
      <c r="BUF142" s="108"/>
      <c r="BUG142" s="109"/>
      <c r="BUH142" s="107" t="s">
        <v>1</v>
      </c>
      <c r="BUI142" s="108"/>
      <c r="BUJ142" s="108"/>
      <c r="BUK142" s="109"/>
      <c r="BUL142" s="107" t="s">
        <v>1</v>
      </c>
      <c r="BUM142" s="108"/>
      <c r="BUN142" s="108"/>
      <c r="BUO142" s="109"/>
      <c r="BUP142" s="107" t="s">
        <v>1</v>
      </c>
      <c r="BUQ142" s="108"/>
      <c r="BUR142" s="108"/>
      <c r="BUS142" s="109"/>
      <c r="BUT142" s="107" t="s">
        <v>1</v>
      </c>
      <c r="BUU142" s="108"/>
      <c r="BUV142" s="108"/>
      <c r="BUW142" s="109"/>
      <c r="BUX142" s="107" t="s">
        <v>1</v>
      </c>
      <c r="BUY142" s="108"/>
      <c r="BUZ142" s="108"/>
      <c r="BVA142" s="109"/>
      <c r="BVB142" s="107" t="s">
        <v>1</v>
      </c>
      <c r="BVC142" s="108"/>
      <c r="BVD142" s="108"/>
      <c r="BVE142" s="109"/>
      <c r="BVF142" s="107" t="s">
        <v>1</v>
      </c>
      <c r="BVG142" s="108"/>
      <c r="BVH142" s="108"/>
      <c r="BVI142" s="109"/>
      <c r="BVJ142" s="107" t="s">
        <v>1</v>
      </c>
      <c r="BVK142" s="108"/>
      <c r="BVL142" s="108"/>
      <c r="BVM142" s="109"/>
      <c r="BVN142" s="107" t="s">
        <v>1</v>
      </c>
      <c r="BVO142" s="108"/>
      <c r="BVP142" s="108"/>
      <c r="BVQ142" s="109"/>
      <c r="BVR142" s="107" t="s">
        <v>1</v>
      </c>
      <c r="BVS142" s="108"/>
      <c r="BVT142" s="108"/>
      <c r="BVU142" s="109"/>
      <c r="BVV142" s="107" t="s">
        <v>1</v>
      </c>
      <c r="BVW142" s="108"/>
      <c r="BVX142" s="108"/>
      <c r="BVY142" s="109"/>
      <c r="BVZ142" s="107" t="s">
        <v>1</v>
      </c>
      <c r="BWA142" s="108"/>
      <c r="BWB142" s="108"/>
      <c r="BWC142" s="109"/>
      <c r="BWD142" s="107" t="s">
        <v>1</v>
      </c>
      <c r="BWE142" s="108"/>
      <c r="BWF142" s="108"/>
      <c r="BWG142" s="109"/>
      <c r="BWH142" s="107" t="s">
        <v>1</v>
      </c>
      <c r="BWI142" s="108"/>
      <c r="BWJ142" s="108"/>
      <c r="BWK142" s="109"/>
      <c r="BWL142" s="107" t="s">
        <v>1</v>
      </c>
      <c r="BWM142" s="108"/>
      <c r="BWN142" s="108"/>
      <c r="BWO142" s="109"/>
      <c r="BWP142" s="107" t="s">
        <v>1</v>
      </c>
      <c r="BWQ142" s="108"/>
      <c r="BWR142" s="108"/>
      <c r="BWS142" s="109"/>
      <c r="BWT142" s="107" t="s">
        <v>1</v>
      </c>
      <c r="BWU142" s="108"/>
      <c r="BWV142" s="108"/>
      <c r="BWW142" s="109"/>
      <c r="BWX142" s="107" t="s">
        <v>1</v>
      </c>
      <c r="BWY142" s="108"/>
      <c r="BWZ142" s="108"/>
      <c r="BXA142" s="109"/>
      <c r="BXB142" s="107" t="s">
        <v>1</v>
      </c>
      <c r="BXC142" s="108"/>
      <c r="BXD142" s="108"/>
      <c r="BXE142" s="109"/>
      <c r="BXF142" s="107" t="s">
        <v>1</v>
      </c>
      <c r="BXG142" s="108"/>
      <c r="BXH142" s="108"/>
      <c r="BXI142" s="109"/>
      <c r="BXJ142" s="107" t="s">
        <v>1</v>
      </c>
      <c r="BXK142" s="108"/>
      <c r="BXL142" s="108"/>
      <c r="BXM142" s="109"/>
      <c r="BXN142" s="107" t="s">
        <v>1</v>
      </c>
      <c r="BXO142" s="108"/>
      <c r="BXP142" s="108"/>
      <c r="BXQ142" s="109"/>
      <c r="BXR142" s="107" t="s">
        <v>1</v>
      </c>
      <c r="BXS142" s="108"/>
      <c r="BXT142" s="108"/>
      <c r="BXU142" s="109"/>
      <c r="BXV142" s="107" t="s">
        <v>1</v>
      </c>
      <c r="BXW142" s="108"/>
      <c r="BXX142" s="108"/>
      <c r="BXY142" s="109"/>
      <c r="BXZ142" s="107" t="s">
        <v>1</v>
      </c>
      <c r="BYA142" s="108"/>
      <c r="BYB142" s="108"/>
      <c r="BYC142" s="109"/>
      <c r="BYD142" s="107" t="s">
        <v>1</v>
      </c>
      <c r="BYE142" s="108"/>
      <c r="BYF142" s="108"/>
      <c r="BYG142" s="109"/>
      <c r="BYH142" s="107" t="s">
        <v>1</v>
      </c>
      <c r="BYI142" s="108"/>
      <c r="BYJ142" s="108"/>
      <c r="BYK142" s="109"/>
      <c r="BYL142" s="107" t="s">
        <v>1</v>
      </c>
      <c r="BYM142" s="108"/>
      <c r="BYN142" s="108"/>
      <c r="BYO142" s="109"/>
      <c r="BYP142" s="107" t="s">
        <v>1</v>
      </c>
      <c r="BYQ142" s="108"/>
      <c r="BYR142" s="108"/>
      <c r="BYS142" s="109"/>
      <c r="BYT142" s="107" t="s">
        <v>1</v>
      </c>
      <c r="BYU142" s="108"/>
      <c r="BYV142" s="108"/>
      <c r="BYW142" s="109"/>
      <c r="BYX142" s="107" t="s">
        <v>1</v>
      </c>
      <c r="BYY142" s="108"/>
      <c r="BYZ142" s="108"/>
      <c r="BZA142" s="109"/>
      <c r="BZB142" s="107" t="s">
        <v>1</v>
      </c>
      <c r="BZC142" s="108"/>
      <c r="BZD142" s="108"/>
      <c r="BZE142" s="109"/>
      <c r="BZF142" s="107" t="s">
        <v>1</v>
      </c>
      <c r="BZG142" s="108"/>
      <c r="BZH142" s="108"/>
      <c r="BZI142" s="109"/>
      <c r="BZJ142" s="107" t="s">
        <v>1</v>
      </c>
      <c r="BZK142" s="108"/>
      <c r="BZL142" s="108"/>
      <c r="BZM142" s="109"/>
      <c r="BZN142" s="107" t="s">
        <v>1</v>
      </c>
      <c r="BZO142" s="108"/>
      <c r="BZP142" s="108"/>
      <c r="BZQ142" s="109"/>
      <c r="BZR142" s="107" t="s">
        <v>1</v>
      </c>
      <c r="BZS142" s="108"/>
      <c r="BZT142" s="108"/>
      <c r="BZU142" s="109"/>
      <c r="BZV142" s="107" t="s">
        <v>1</v>
      </c>
      <c r="BZW142" s="108"/>
      <c r="BZX142" s="108"/>
      <c r="BZY142" s="109"/>
      <c r="BZZ142" s="107" t="s">
        <v>1</v>
      </c>
      <c r="CAA142" s="108"/>
      <c r="CAB142" s="108"/>
      <c r="CAC142" s="109"/>
      <c r="CAD142" s="107" t="s">
        <v>1</v>
      </c>
      <c r="CAE142" s="108"/>
      <c r="CAF142" s="108"/>
      <c r="CAG142" s="109"/>
      <c r="CAH142" s="107" t="s">
        <v>1</v>
      </c>
      <c r="CAI142" s="108"/>
      <c r="CAJ142" s="108"/>
      <c r="CAK142" s="109"/>
      <c r="CAL142" s="107" t="s">
        <v>1</v>
      </c>
      <c r="CAM142" s="108"/>
      <c r="CAN142" s="108"/>
      <c r="CAO142" s="109"/>
      <c r="CAP142" s="107" t="s">
        <v>1</v>
      </c>
      <c r="CAQ142" s="108"/>
      <c r="CAR142" s="108"/>
      <c r="CAS142" s="109"/>
      <c r="CAT142" s="107" t="s">
        <v>1</v>
      </c>
      <c r="CAU142" s="108"/>
      <c r="CAV142" s="108"/>
      <c r="CAW142" s="109"/>
      <c r="CAX142" s="107" t="s">
        <v>1</v>
      </c>
      <c r="CAY142" s="108"/>
      <c r="CAZ142" s="108"/>
      <c r="CBA142" s="109"/>
      <c r="CBB142" s="107" t="s">
        <v>1</v>
      </c>
      <c r="CBC142" s="108"/>
      <c r="CBD142" s="108"/>
      <c r="CBE142" s="109"/>
      <c r="CBF142" s="107" t="s">
        <v>1</v>
      </c>
      <c r="CBG142" s="108"/>
      <c r="CBH142" s="108"/>
      <c r="CBI142" s="109"/>
      <c r="CBJ142" s="107" t="s">
        <v>1</v>
      </c>
      <c r="CBK142" s="108"/>
      <c r="CBL142" s="108"/>
      <c r="CBM142" s="109"/>
      <c r="CBN142" s="107" t="s">
        <v>1</v>
      </c>
      <c r="CBO142" s="108"/>
      <c r="CBP142" s="108"/>
      <c r="CBQ142" s="109"/>
      <c r="CBR142" s="107" t="s">
        <v>1</v>
      </c>
      <c r="CBS142" s="108"/>
      <c r="CBT142" s="108"/>
      <c r="CBU142" s="109"/>
      <c r="CBV142" s="107" t="s">
        <v>1</v>
      </c>
      <c r="CBW142" s="108"/>
      <c r="CBX142" s="108"/>
      <c r="CBY142" s="109"/>
      <c r="CBZ142" s="107" t="s">
        <v>1</v>
      </c>
      <c r="CCA142" s="108"/>
      <c r="CCB142" s="108"/>
      <c r="CCC142" s="109"/>
      <c r="CCD142" s="107" t="s">
        <v>1</v>
      </c>
      <c r="CCE142" s="108"/>
      <c r="CCF142" s="108"/>
      <c r="CCG142" s="109"/>
      <c r="CCH142" s="107" t="s">
        <v>1</v>
      </c>
      <c r="CCI142" s="108"/>
      <c r="CCJ142" s="108"/>
      <c r="CCK142" s="109"/>
      <c r="CCL142" s="107" t="s">
        <v>1</v>
      </c>
      <c r="CCM142" s="108"/>
      <c r="CCN142" s="108"/>
      <c r="CCO142" s="109"/>
      <c r="CCP142" s="107" t="s">
        <v>1</v>
      </c>
      <c r="CCQ142" s="108"/>
      <c r="CCR142" s="108"/>
      <c r="CCS142" s="109"/>
      <c r="CCT142" s="107" t="s">
        <v>1</v>
      </c>
      <c r="CCU142" s="108"/>
      <c r="CCV142" s="108"/>
      <c r="CCW142" s="109"/>
      <c r="CCX142" s="107" t="s">
        <v>1</v>
      </c>
      <c r="CCY142" s="108"/>
      <c r="CCZ142" s="108"/>
      <c r="CDA142" s="109"/>
      <c r="CDB142" s="107" t="s">
        <v>1</v>
      </c>
      <c r="CDC142" s="108"/>
      <c r="CDD142" s="108"/>
      <c r="CDE142" s="109"/>
      <c r="CDF142" s="107" t="s">
        <v>1</v>
      </c>
      <c r="CDG142" s="108"/>
      <c r="CDH142" s="108"/>
      <c r="CDI142" s="109"/>
      <c r="CDJ142" s="107" t="s">
        <v>1</v>
      </c>
      <c r="CDK142" s="108"/>
      <c r="CDL142" s="108"/>
      <c r="CDM142" s="109"/>
      <c r="CDN142" s="107" t="s">
        <v>1</v>
      </c>
      <c r="CDO142" s="108"/>
      <c r="CDP142" s="108"/>
      <c r="CDQ142" s="109"/>
      <c r="CDR142" s="107" t="s">
        <v>1</v>
      </c>
      <c r="CDS142" s="108"/>
      <c r="CDT142" s="108"/>
      <c r="CDU142" s="109"/>
      <c r="CDV142" s="107" t="s">
        <v>1</v>
      </c>
      <c r="CDW142" s="108"/>
      <c r="CDX142" s="108"/>
      <c r="CDY142" s="109"/>
      <c r="CDZ142" s="107" t="s">
        <v>1</v>
      </c>
      <c r="CEA142" s="108"/>
      <c r="CEB142" s="108"/>
      <c r="CEC142" s="109"/>
      <c r="CED142" s="107" t="s">
        <v>1</v>
      </c>
      <c r="CEE142" s="108"/>
      <c r="CEF142" s="108"/>
      <c r="CEG142" s="109"/>
      <c r="CEH142" s="107" t="s">
        <v>1</v>
      </c>
      <c r="CEI142" s="108"/>
      <c r="CEJ142" s="108"/>
      <c r="CEK142" s="109"/>
      <c r="CEL142" s="107" t="s">
        <v>1</v>
      </c>
      <c r="CEM142" s="108"/>
      <c r="CEN142" s="108"/>
      <c r="CEO142" s="109"/>
      <c r="CEP142" s="107" t="s">
        <v>1</v>
      </c>
      <c r="CEQ142" s="108"/>
      <c r="CER142" s="108"/>
      <c r="CES142" s="109"/>
      <c r="CET142" s="107" t="s">
        <v>1</v>
      </c>
      <c r="CEU142" s="108"/>
      <c r="CEV142" s="108"/>
      <c r="CEW142" s="109"/>
      <c r="CEX142" s="107" t="s">
        <v>1</v>
      </c>
      <c r="CEY142" s="108"/>
      <c r="CEZ142" s="108"/>
      <c r="CFA142" s="109"/>
      <c r="CFB142" s="107" t="s">
        <v>1</v>
      </c>
      <c r="CFC142" s="108"/>
      <c r="CFD142" s="108"/>
      <c r="CFE142" s="109"/>
      <c r="CFF142" s="107" t="s">
        <v>1</v>
      </c>
      <c r="CFG142" s="108"/>
      <c r="CFH142" s="108"/>
      <c r="CFI142" s="109"/>
      <c r="CFJ142" s="107" t="s">
        <v>1</v>
      </c>
      <c r="CFK142" s="108"/>
      <c r="CFL142" s="108"/>
      <c r="CFM142" s="109"/>
      <c r="CFN142" s="107" t="s">
        <v>1</v>
      </c>
      <c r="CFO142" s="108"/>
      <c r="CFP142" s="108"/>
      <c r="CFQ142" s="109"/>
      <c r="CFR142" s="107" t="s">
        <v>1</v>
      </c>
      <c r="CFS142" s="108"/>
      <c r="CFT142" s="108"/>
      <c r="CFU142" s="109"/>
      <c r="CFV142" s="107" t="s">
        <v>1</v>
      </c>
      <c r="CFW142" s="108"/>
      <c r="CFX142" s="108"/>
      <c r="CFY142" s="109"/>
      <c r="CFZ142" s="107" t="s">
        <v>1</v>
      </c>
      <c r="CGA142" s="108"/>
      <c r="CGB142" s="108"/>
      <c r="CGC142" s="109"/>
      <c r="CGD142" s="107" t="s">
        <v>1</v>
      </c>
      <c r="CGE142" s="108"/>
      <c r="CGF142" s="108"/>
      <c r="CGG142" s="109"/>
      <c r="CGH142" s="107" t="s">
        <v>1</v>
      </c>
      <c r="CGI142" s="108"/>
      <c r="CGJ142" s="108"/>
      <c r="CGK142" s="109"/>
      <c r="CGL142" s="107" t="s">
        <v>1</v>
      </c>
      <c r="CGM142" s="108"/>
      <c r="CGN142" s="108"/>
      <c r="CGO142" s="109"/>
      <c r="CGP142" s="107" t="s">
        <v>1</v>
      </c>
      <c r="CGQ142" s="108"/>
      <c r="CGR142" s="108"/>
      <c r="CGS142" s="109"/>
      <c r="CGT142" s="107" t="s">
        <v>1</v>
      </c>
      <c r="CGU142" s="108"/>
      <c r="CGV142" s="108"/>
      <c r="CGW142" s="109"/>
      <c r="CGX142" s="107" t="s">
        <v>1</v>
      </c>
      <c r="CGY142" s="108"/>
      <c r="CGZ142" s="108"/>
      <c r="CHA142" s="109"/>
      <c r="CHB142" s="107" t="s">
        <v>1</v>
      </c>
      <c r="CHC142" s="108"/>
      <c r="CHD142" s="108"/>
      <c r="CHE142" s="109"/>
      <c r="CHF142" s="107" t="s">
        <v>1</v>
      </c>
      <c r="CHG142" s="108"/>
      <c r="CHH142" s="108"/>
      <c r="CHI142" s="109"/>
      <c r="CHJ142" s="107" t="s">
        <v>1</v>
      </c>
      <c r="CHK142" s="108"/>
      <c r="CHL142" s="108"/>
      <c r="CHM142" s="109"/>
      <c r="CHN142" s="107" t="s">
        <v>1</v>
      </c>
      <c r="CHO142" s="108"/>
      <c r="CHP142" s="108"/>
      <c r="CHQ142" s="109"/>
      <c r="CHR142" s="107" t="s">
        <v>1</v>
      </c>
      <c r="CHS142" s="108"/>
      <c r="CHT142" s="108"/>
      <c r="CHU142" s="109"/>
      <c r="CHV142" s="107" t="s">
        <v>1</v>
      </c>
      <c r="CHW142" s="108"/>
      <c r="CHX142" s="108"/>
      <c r="CHY142" s="109"/>
      <c r="CHZ142" s="107" t="s">
        <v>1</v>
      </c>
      <c r="CIA142" s="108"/>
      <c r="CIB142" s="108"/>
      <c r="CIC142" s="109"/>
      <c r="CID142" s="107" t="s">
        <v>1</v>
      </c>
      <c r="CIE142" s="108"/>
      <c r="CIF142" s="108"/>
      <c r="CIG142" s="109"/>
      <c r="CIH142" s="107" t="s">
        <v>1</v>
      </c>
      <c r="CII142" s="108"/>
      <c r="CIJ142" s="108"/>
      <c r="CIK142" s="109"/>
      <c r="CIL142" s="107" t="s">
        <v>1</v>
      </c>
      <c r="CIM142" s="108"/>
      <c r="CIN142" s="108"/>
      <c r="CIO142" s="109"/>
      <c r="CIP142" s="107" t="s">
        <v>1</v>
      </c>
      <c r="CIQ142" s="108"/>
      <c r="CIR142" s="108"/>
      <c r="CIS142" s="109"/>
      <c r="CIT142" s="107" t="s">
        <v>1</v>
      </c>
      <c r="CIU142" s="108"/>
      <c r="CIV142" s="108"/>
      <c r="CIW142" s="109"/>
      <c r="CIX142" s="107" t="s">
        <v>1</v>
      </c>
      <c r="CIY142" s="108"/>
      <c r="CIZ142" s="108"/>
      <c r="CJA142" s="109"/>
      <c r="CJB142" s="107" t="s">
        <v>1</v>
      </c>
      <c r="CJC142" s="108"/>
      <c r="CJD142" s="108"/>
      <c r="CJE142" s="109"/>
      <c r="CJF142" s="107" t="s">
        <v>1</v>
      </c>
      <c r="CJG142" s="108"/>
      <c r="CJH142" s="108"/>
      <c r="CJI142" s="109"/>
      <c r="CJJ142" s="107" t="s">
        <v>1</v>
      </c>
      <c r="CJK142" s="108"/>
      <c r="CJL142" s="108"/>
      <c r="CJM142" s="109"/>
      <c r="CJN142" s="107" t="s">
        <v>1</v>
      </c>
      <c r="CJO142" s="108"/>
      <c r="CJP142" s="108"/>
      <c r="CJQ142" s="109"/>
      <c r="CJR142" s="107" t="s">
        <v>1</v>
      </c>
      <c r="CJS142" s="108"/>
      <c r="CJT142" s="108"/>
      <c r="CJU142" s="109"/>
      <c r="CJV142" s="107" t="s">
        <v>1</v>
      </c>
      <c r="CJW142" s="108"/>
      <c r="CJX142" s="108"/>
      <c r="CJY142" s="109"/>
      <c r="CJZ142" s="107" t="s">
        <v>1</v>
      </c>
      <c r="CKA142" s="108"/>
      <c r="CKB142" s="108"/>
      <c r="CKC142" s="109"/>
      <c r="CKD142" s="107" t="s">
        <v>1</v>
      </c>
      <c r="CKE142" s="108"/>
      <c r="CKF142" s="108"/>
      <c r="CKG142" s="109"/>
      <c r="CKH142" s="107" t="s">
        <v>1</v>
      </c>
      <c r="CKI142" s="108"/>
      <c r="CKJ142" s="108"/>
      <c r="CKK142" s="109"/>
      <c r="CKL142" s="107" t="s">
        <v>1</v>
      </c>
      <c r="CKM142" s="108"/>
      <c r="CKN142" s="108"/>
      <c r="CKO142" s="109"/>
      <c r="CKP142" s="107" t="s">
        <v>1</v>
      </c>
      <c r="CKQ142" s="108"/>
      <c r="CKR142" s="108"/>
      <c r="CKS142" s="109"/>
      <c r="CKT142" s="107" t="s">
        <v>1</v>
      </c>
      <c r="CKU142" s="108"/>
      <c r="CKV142" s="108"/>
      <c r="CKW142" s="109"/>
      <c r="CKX142" s="107" t="s">
        <v>1</v>
      </c>
      <c r="CKY142" s="108"/>
      <c r="CKZ142" s="108"/>
      <c r="CLA142" s="109"/>
      <c r="CLB142" s="107" t="s">
        <v>1</v>
      </c>
      <c r="CLC142" s="108"/>
      <c r="CLD142" s="108"/>
      <c r="CLE142" s="109"/>
      <c r="CLF142" s="107" t="s">
        <v>1</v>
      </c>
      <c r="CLG142" s="108"/>
      <c r="CLH142" s="108"/>
      <c r="CLI142" s="109"/>
      <c r="CLJ142" s="107" t="s">
        <v>1</v>
      </c>
      <c r="CLK142" s="108"/>
      <c r="CLL142" s="108"/>
      <c r="CLM142" s="109"/>
      <c r="CLN142" s="107" t="s">
        <v>1</v>
      </c>
      <c r="CLO142" s="108"/>
      <c r="CLP142" s="108"/>
      <c r="CLQ142" s="109"/>
      <c r="CLR142" s="107" t="s">
        <v>1</v>
      </c>
      <c r="CLS142" s="108"/>
      <c r="CLT142" s="108"/>
      <c r="CLU142" s="109"/>
      <c r="CLV142" s="107" t="s">
        <v>1</v>
      </c>
      <c r="CLW142" s="108"/>
      <c r="CLX142" s="108"/>
      <c r="CLY142" s="109"/>
      <c r="CLZ142" s="107" t="s">
        <v>1</v>
      </c>
      <c r="CMA142" s="108"/>
      <c r="CMB142" s="108"/>
      <c r="CMC142" s="109"/>
      <c r="CMD142" s="107" t="s">
        <v>1</v>
      </c>
      <c r="CME142" s="108"/>
      <c r="CMF142" s="108"/>
      <c r="CMG142" s="109"/>
      <c r="CMH142" s="107" t="s">
        <v>1</v>
      </c>
      <c r="CMI142" s="108"/>
      <c r="CMJ142" s="108"/>
      <c r="CMK142" s="109"/>
      <c r="CML142" s="107" t="s">
        <v>1</v>
      </c>
      <c r="CMM142" s="108"/>
      <c r="CMN142" s="108"/>
      <c r="CMO142" s="109"/>
      <c r="CMP142" s="107" t="s">
        <v>1</v>
      </c>
      <c r="CMQ142" s="108"/>
      <c r="CMR142" s="108"/>
      <c r="CMS142" s="109"/>
      <c r="CMT142" s="107" t="s">
        <v>1</v>
      </c>
      <c r="CMU142" s="108"/>
      <c r="CMV142" s="108"/>
      <c r="CMW142" s="109"/>
      <c r="CMX142" s="107" t="s">
        <v>1</v>
      </c>
      <c r="CMY142" s="108"/>
      <c r="CMZ142" s="108"/>
      <c r="CNA142" s="109"/>
      <c r="CNB142" s="107" t="s">
        <v>1</v>
      </c>
      <c r="CNC142" s="108"/>
      <c r="CND142" s="108"/>
      <c r="CNE142" s="109"/>
      <c r="CNF142" s="107" t="s">
        <v>1</v>
      </c>
      <c r="CNG142" s="108"/>
      <c r="CNH142" s="108"/>
      <c r="CNI142" s="109"/>
      <c r="CNJ142" s="107" t="s">
        <v>1</v>
      </c>
      <c r="CNK142" s="108"/>
      <c r="CNL142" s="108"/>
      <c r="CNM142" s="109"/>
      <c r="CNN142" s="107" t="s">
        <v>1</v>
      </c>
      <c r="CNO142" s="108"/>
      <c r="CNP142" s="108"/>
      <c r="CNQ142" s="109"/>
      <c r="CNR142" s="107" t="s">
        <v>1</v>
      </c>
      <c r="CNS142" s="108"/>
      <c r="CNT142" s="108"/>
      <c r="CNU142" s="109"/>
      <c r="CNV142" s="107" t="s">
        <v>1</v>
      </c>
      <c r="CNW142" s="108"/>
      <c r="CNX142" s="108"/>
      <c r="CNY142" s="109"/>
      <c r="CNZ142" s="107" t="s">
        <v>1</v>
      </c>
      <c r="COA142" s="108"/>
      <c r="COB142" s="108"/>
      <c r="COC142" s="109"/>
      <c r="COD142" s="107" t="s">
        <v>1</v>
      </c>
      <c r="COE142" s="108"/>
      <c r="COF142" s="108"/>
      <c r="COG142" s="109"/>
      <c r="COH142" s="107" t="s">
        <v>1</v>
      </c>
      <c r="COI142" s="108"/>
      <c r="COJ142" s="108"/>
      <c r="COK142" s="109"/>
      <c r="COL142" s="107" t="s">
        <v>1</v>
      </c>
      <c r="COM142" s="108"/>
      <c r="CON142" s="108"/>
      <c r="COO142" s="109"/>
      <c r="COP142" s="107" t="s">
        <v>1</v>
      </c>
      <c r="COQ142" s="108"/>
      <c r="COR142" s="108"/>
      <c r="COS142" s="109"/>
      <c r="COT142" s="107" t="s">
        <v>1</v>
      </c>
      <c r="COU142" s="108"/>
      <c r="COV142" s="108"/>
      <c r="COW142" s="109"/>
      <c r="COX142" s="107" t="s">
        <v>1</v>
      </c>
      <c r="COY142" s="108"/>
      <c r="COZ142" s="108"/>
      <c r="CPA142" s="109"/>
      <c r="CPB142" s="107" t="s">
        <v>1</v>
      </c>
      <c r="CPC142" s="108"/>
      <c r="CPD142" s="108"/>
      <c r="CPE142" s="109"/>
      <c r="CPF142" s="107" t="s">
        <v>1</v>
      </c>
      <c r="CPG142" s="108"/>
      <c r="CPH142" s="108"/>
      <c r="CPI142" s="109"/>
      <c r="CPJ142" s="107" t="s">
        <v>1</v>
      </c>
      <c r="CPK142" s="108"/>
      <c r="CPL142" s="108"/>
      <c r="CPM142" s="109"/>
      <c r="CPN142" s="107" t="s">
        <v>1</v>
      </c>
      <c r="CPO142" s="108"/>
      <c r="CPP142" s="108"/>
      <c r="CPQ142" s="109"/>
      <c r="CPR142" s="107" t="s">
        <v>1</v>
      </c>
      <c r="CPS142" s="108"/>
      <c r="CPT142" s="108"/>
      <c r="CPU142" s="109"/>
      <c r="CPV142" s="107" t="s">
        <v>1</v>
      </c>
      <c r="CPW142" s="108"/>
      <c r="CPX142" s="108"/>
      <c r="CPY142" s="109"/>
      <c r="CPZ142" s="107" t="s">
        <v>1</v>
      </c>
      <c r="CQA142" s="108"/>
      <c r="CQB142" s="108"/>
      <c r="CQC142" s="109"/>
      <c r="CQD142" s="107" t="s">
        <v>1</v>
      </c>
      <c r="CQE142" s="108"/>
      <c r="CQF142" s="108"/>
      <c r="CQG142" s="109"/>
      <c r="CQH142" s="107" t="s">
        <v>1</v>
      </c>
      <c r="CQI142" s="108"/>
      <c r="CQJ142" s="108"/>
      <c r="CQK142" s="109"/>
      <c r="CQL142" s="107" t="s">
        <v>1</v>
      </c>
      <c r="CQM142" s="108"/>
      <c r="CQN142" s="108"/>
      <c r="CQO142" s="109"/>
      <c r="CQP142" s="107" t="s">
        <v>1</v>
      </c>
      <c r="CQQ142" s="108"/>
      <c r="CQR142" s="108"/>
      <c r="CQS142" s="109"/>
      <c r="CQT142" s="107" t="s">
        <v>1</v>
      </c>
      <c r="CQU142" s="108"/>
      <c r="CQV142" s="108"/>
      <c r="CQW142" s="109"/>
      <c r="CQX142" s="107" t="s">
        <v>1</v>
      </c>
      <c r="CQY142" s="108"/>
      <c r="CQZ142" s="108"/>
      <c r="CRA142" s="109"/>
      <c r="CRB142" s="107" t="s">
        <v>1</v>
      </c>
      <c r="CRC142" s="108"/>
      <c r="CRD142" s="108"/>
      <c r="CRE142" s="109"/>
      <c r="CRF142" s="107" t="s">
        <v>1</v>
      </c>
      <c r="CRG142" s="108"/>
      <c r="CRH142" s="108"/>
      <c r="CRI142" s="109"/>
      <c r="CRJ142" s="107" t="s">
        <v>1</v>
      </c>
      <c r="CRK142" s="108"/>
      <c r="CRL142" s="108"/>
      <c r="CRM142" s="109"/>
      <c r="CRN142" s="107" t="s">
        <v>1</v>
      </c>
      <c r="CRO142" s="108"/>
      <c r="CRP142" s="108"/>
      <c r="CRQ142" s="109"/>
      <c r="CRR142" s="107" t="s">
        <v>1</v>
      </c>
      <c r="CRS142" s="108"/>
      <c r="CRT142" s="108"/>
      <c r="CRU142" s="109"/>
      <c r="CRV142" s="107" t="s">
        <v>1</v>
      </c>
      <c r="CRW142" s="108"/>
      <c r="CRX142" s="108"/>
      <c r="CRY142" s="109"/>
      <c r="CRZ142" s="107" t="s">
        <v>1</v>
      </c>
      <c r="CSA142" s="108"/>
      <c r="CSB142" s="108"/>
      <c r="CSC142" s="109"/>
      <c r="CSD142" s="107" t="s">
        <v>1</v>
      </c>
      <c r="CSE142" s="108"/>
      <c r="CSF142" s="108"/>
      <c r="CSG142" s="109"/>
      <c r="CSH142" s="107" t="s">
        <v>1</v>
      </c>
      <c r="CSI142" s="108"/>
      <c r="CSJ142" s="108"/>
      <c r="CSK142" s="109"/>
      <c r="CSL142" s="107" t="s">
        <v>1</v>
      </c>
      <c r="CSM142" s="108"/>
      <c r="CSN142" s="108"/>
      <c r="CSO142" s="109"/>
      <c r="CSP142" s="107" t="s">
        <v>1</v>
      </c>
      <c r="CSQ142" s="108"/>
      <c r="CSR142" s="108"/>
      <c r="CSS142" s="109"/>
      <c r="CST142" s="107" t="s">
        <v>1</v>
      </c>
      <c r="CSU142" s="108"/>
      <c r="CSV142" s="108"/>
      <c r="CSW142" s="109"/>
      <c r="CSX142" s="107" t="s">
        <v>1</v>
      </c>
      <c r="CSY142" s="108"/>
      <c r="CSZ142" s="108"/>
      <c r="CTA142" s="109"/>
      <c r="CTB142" s="107" t="s">
        <v>1</v>
      </c>
      <c r="CTC142" s="108"/>
      <c r="CTD142" s="108"/>
      <c r="CTE142" s="109"/>
      <c r="CTF142" s="107" t="s">
        <v>1</v>
      </c>
      <c r="CTG142" s="108"/>
      <c r="CTH142" s="108"/>
      <c r="CTI142" s="109"/>
      <c r="CTJ142" s="107" t="s">
        <v>1</v>
      </c>
      <c r="CTK142" s="108"/>
      <c r="CTL142" s="108"/>
      <c r="CTM142" s="109"/>
      <c r="CTN142" s="107" t="s">
        <v>1</v>
      </c>
      <c r="CTO142" s="108"/>
      <c r="CTP142" s="108"/>
      <c r="CTQ142" s="109"/>
      <c r="CTR142" s="107" t="s">
        <v>1</v>
      </c>
      <c r="CTS142" s="108"/>
      <c r="CTT142" s="108"/>
      <c r="CTU142" s="109"/>
      <c r="CTV142" s="107" t="s">
        <v>1</v>
      </c>
      <c r="CTW142" s="108"/>
      <c r="CTX142" s="108"/>
      <c r="CTY142" s="109"/>
      <c r="CTZ142" s="107" t="s">
        <v>1</v>
      </c>
      <c r="CUA142" s="108"/>
      <c r="CUB142" s="108"/>
      <c r="CUC142" s="109"/>
      <c r="CUD142" s="107" t="s">
        <v>1</v>
      </c>
      <c r="CUE142" s="108"/>
      <c r="CUF142" s="108"/>
      <c r="CUG142" s="109"/>
      <c r="CUH142" s="107" t="s">
        <v>1</v>
      </c>
      <c r="CUI142" s="108"/>
      <c r="CUJ142" s="108"/>
      <c r="CUK142" s="109"/>
      <c r="CUL142" s="107" t="s">
        <v>1</v>
      </c>
      <c r="CUM142" s="108"/>
      <c r="CUN142" s="108"/>
      <c r="CUO142" s="109"/>
      <c r="CUP142" s="107" t="s">
        <v>1</v>
      </c>
      <c r="CUQ142" s="108"/>
      <c r="CUR142" s="108"/>
      <c r="CUS142" s="109"/>
      <c r="CUT142" s="107" t="s">
        <v>1</v>
      </c>
      <c r="CUU142" s="108"/>
      <c r="CUV142" s="108"/>
      <c r="CUW142" s="109"/>
      <c r="CUX142" s="107" t="s">
        <v>1</v>
      </c>
      <c r="CUY142" s="108"/>
      <c r="CUZ142" s="108"/>
      <c r="CVA142" s="109"/>
      <c r="CVB142" s="107" t="s">
        <v>1</v>
      </c>
      <c r="CVC142" s="108"/>
      <c r="CVD142" s="108"/>
      <c r="CVE142" s="109"/>
      <c r="CVF142" s="107" t="s">
        <v>1</v>
      </c>
      <c r="CVG142" s="108"/>
      <c r="CVH142" s="108"/>
      <c r="CVI142" s="109"/>
      <c r="CVJ142" s="107" t="s">
        <v>1</v>
      </c>
      <c r="CVK142" s="108"/>
      <c r="CVL142" s="108"/>
      <c r="CVM142" s="109"/>
      <c r="CVN142" s="107" t="s">
        <v>1</v>
      </c>
      <c r="CVO142" s="108"/>
      <c r="CVP142" s="108"/>
      <c r="CVQ142" s="109"/>
      <c r="CVR142" s="107" t="s">
        <v>1</v>
      </c>
      <c r="CVS142" s="108"/>
      <c r="CVT142" s="108"/>
      <c r="CVU142" s="109"/>
      <c r="CVV142" s="107" t="s">
        <v>1</v>
      </c>
      <c r="CVW142" s="108"/>
      <c r="CVX142" s="108"/>
      <c r="CVY142" s="109"/>
      <c r="CVZ142" s="107" t="s">
        <v>1</v>
      </c>
      <c r="CWA142" s="108"/>
      <c r="CWB142" s="108"/>
      <c r="CWC142" s="109"/>
      <c r="CWD142" s="107" t="s">
        <v>1</v>
      </c>
      <c r="CWE142" s="108"/>
      <c r="CWF142" s="108"/>
      <c r="CWG142" s="109"/>
      <c r="CWH142" s="107" t="s">
        <v>1</v>
      </c>
      <c r="CWI142" s="108"/>
      <c r="CWJ142" s="108"/>
      <c r="CWK142" s="109"/>
      <c r="CWL142" s="107" t="s">
        <v>1</v>
      </c>
      <c r="CWM142" s="108"/>
      <c r="CWN142" s="108"/>
      <c r="CWO142" s="109"/>
      <c r="CWP142" s="107" t="s">
        <v>1</v>
      </c>
      <c r="CWQ142" s="108"/>
      <c r="CWR142" s="108"/>
      <c r="CWS142" s="109"/>
      <c r="CWT142" s="107" t="s">
        <v>1</v>
      </c>
      <c r="CWU142" s="108"/>
      <c r="CWV142" s="108"/>
      <c r="CWW142" s="109"/>
      <c r="CWX142" s="107" t="s">
        <v>1</v>
      </c>
      <c r="CWY142" s="108"/>
      <c r="CWZ142" s="108"/>
      <c r="CXA142" s="109"/>
      <c r="CXB142" s="107" t="s">
        <v>1</v>
      </c>
      <c r="CXC142" s="108"/>
      <c r="CXD142" s="108"/>
      <c r="CXE142" s="109"/>
      <c r="CXF142" s="107" t="s">
        <v>1</v>
      </c>
      <c r="CXG142" s="108"/>
      <c r="CXH142" s="108"/>
      <c r="CXI142" s="109"/>
      <c r="CXJ142" s="107" t="s">
        <v>1</v>
      </c>
      <c r="CXK142" s="108"/>
      <c r="CXL142" s="108"/>
      <c r="CXM142" s="109"/>
      <c r="CXN142" s="107" t="s">
        <v>1</v>
      </c>
      <c r="CXO142" s="108"/>
      <c r="CXP142" s="108"/>
      <c r="CXQ142" s="109"/>
      <c r="CXR142" s="107" t="s">
        <v>1</v>
      </c>
      <c r="CXS142" s="108"/>
      <c r="CXT142" s="108"/>
      <c r="CXU142" s="109"/>
      <c r="CXV142" s="107" t="s">
        <v>1</v>
      </c>
      <c r="CXW142" s="108"/>
      <c r="CXX142" s="108"/>
      <c r="CXY142" s="109"/>
      <c r="CXZ142" s="107" t="s">
        <v>1</v>
      </c>
      <c r="CYA142" s="108"/>
      <c r="CYB142" s="108"/>
      <c r="CYC142" s="109"/>
      <c r="CYD142" s="107" t="s">
        <v>1</v>
      </c>
      <c r="CYE142" s="108"/>
      <c r="CYF142" s="108"/>
      <c r="CYG142" s="109"/>
      <c r="CYH142" s="107" t="s">
        <v>1</v>
      </c>
      <c r="CYI142" s="108"/>
      <c r="CYJ142" s="108"/>
      <c r="CYK142" s="109"/>
      <c r="CYL142" s="107" t="s">
        <v>1</v>
      </c>
      <c r="CYM142" s="108"/>
      <c r="CYN142" s="108"/>
      <c r="CYO142" s="109"/>
      <c r="CYP142" s="107" t="s">
        <v>1</v>
      </c>
      <c r="CYQ142" s="108"/>
      <c r="CYR142" s="108"/>
      <c r="CYS142" s="109"/>
      <c r="CYT142" s="107" t="s">
        <v>1</v>
      </c>
      <c r="CYU142" s="108"/>
      <c r="CYV142" s="108"/>
      <c r="CYW142" s="109"/>
      <c r="CYX142" s="107" t="s">
        <v>1</v>
      </c>
      <c r="CYY142" s="108"/>
      <c r="CYZ142" s="108"/>
      <c r="CZA142" s="109"/>
      <c r="CZB142" s="107" t="s">
        <v>1</v>
      </c>
      <c r="CZC142" s="108"/>
      <c r="CZD142" s="108"/>
      <c r="CZE142" s="109"/>
      <c r="CZF142" s="107" t="s">
        <v>1</v>
      </c>
      <c r="CZG142" s="108"/>
      <c r="CZH142" s="108"/>
      <c r="CZI142" s="109"/>
      <c r="CZJ142" s="107" t="s">
        <v>1</v>
      </c>
      <c r="CZK142" s="108"/>
      <c r="CZL142" s="108"/>
      <c r="CZM142" s="109"/>
      <c r="CZN142" s="107" t="s">
        <v>1</v>
      </c>
      <c r="CZO142" s="108"/>
      <c r="CZP142" s="108"/>
      <c r="CZQ142" s="109"/>
      <c r="CZR142" s="107" t="s">
        <v>1</v>
      </c>
      <c r="CZS142" s="108"/>
      <c r="CZT142" s="108"/>
      <c r="CZU142" s="109"/>
      <c r="CZV142" s="107" t="s">
        <v>1</v>
      </c>
      <c r="CZW142" s="108"/>
      <c r="CZX142" s="108"/>
      <c r="CZY142" s="109"/>
      <c r="CZZ142" s="107" t="s">
        <v>1</v>
      </c>
      <c r="DAA142" s="108"/>
      <c r="DAB142" s="108"/>
      <c r="DAC142" s="109"/>
      <c r="DAD142" s="107" t="s">
        <v>1</v>
      </c>
      <c r="DAE142" s="108"/>
      <c r="DAF142" s="108"/>
      <c r="DAG142" s="109"/>
      <c r="DAH142" s="107" t="s">
        <v>1</v>
      </c>
      <c r="DAI142" s="108"/>
      <c r="DAJ142" s="108"/>
      <c r="DAK142" s="109"/>
      <c r="DAL142" s="107" t="s">
        <v>1</v>
      </c>
      <c r="DAM142" s="108"/>
      <c r="DAN142" s="108"/>
      <c r="DAO142" s="109"/>
      <c r="DAP142" s="107" t="s">
        <v>1</v>
      </c>
      <c r="DAQ142" s="108"/>
      <c r="DAR142" s="108"/>
      <c r="DAS142" s="109"/>
      <c r="DAT142" s="107" t="s">
        <v>1</v>
      </c>
      <c r="DAU142" s="108"/>
      <c r="DAV142" s="108"/>
      <c r="DAW142" s="109"/>
      <c r="DAX142" s="107" t="s">
        <v>1</v>
      </c>
      <c r="DAY142" s="108"/>
      <c r="DAZ142" s="108"/>
      <c r="DBA142" s="109"/>
      <c r="DBB142" s="107" t="s">
        <v>1</v>
      </c>
      <c r="DBC142" s="108"/>
      <c r="DBD142" s="108"/>
      <c r="DBE142" s="109"/>
      <c r="DBF142" s="107" t="s">
        <v>1</v>
      </c>
      <c r="DBG142" s="108"/>
      <c r="DBH142" s="108"/>
      <c r="DBI142" s="109"/>
      <c r="DBJ142" s="107" t="s">
        <v>1</v>
      </c>
      <c r="DBK142" s="108"/>
      <c r="DBL142" s="108"/>
      <c r="DBM142" s="109"/>
      <c r="DBN142" s="107" t="s">
        <v>1</v>
      </c>
      <c r="DBO142" s="108"/>
      <c r="DBP142" s="108"/>
      <c r="DBQ142" s="109"/>
      <c r="DBR142" s="107" t="s">
        <v>1</v>
      </c>
      <c r="DBS142" s="108"/>
      <c r="DBT142" s="108"/>
      <c r="DBU142" s="109"/>
      <c r="DBV142" s="107" t="s">
        <v>1</v>
      </c>
      <c r="DBW142" s="108"/>
      <c r="DBX142" s="108"/>
      <c r="DBY142" s="109"/>
      <c r="DBZ142" s="107" t="s">
        <v>1</v>
      </c>
      <c r="DCA142" s="108"/>
      <c r="DCB142" s="108"/>
      <c r="DCC142" s="109"/>
      <c r="DCD142" s="107" t="s">
        <v>1</v>
      </c>
      <c r="DCE142" s="108"/>
      <c r="DCF142" s="108"/>
      <c r="DCG142" s="109"/>
      <c r="DCH142" s="107" t="s">
        <v>1</v>
      </c>
      <c r="DCI142" s="108"/>
      <c r="DCJ142" s="108"/>
      <c r="DCK142" s="109"/>
      <c r="DCL142" s="107" t="s">
        <v>1</v>
      </c>
      <c r="DCM142" s="108"/>
      <c r="DCN142" s="108"/>
      <c r="DCO142" s="109"/>
      <c r="DCP142" s="107" t="s">
        <v>1</v>
      </c>
      <c r="DCQ142" s="108"/>
      <c r="DCR142" s="108"/>
      <c r="DCS142" s="109"/>
      <c r="DCT142" s="107" t="s">
        <v>1</v>
      </c>
      <c r="DCU142" s="108"/>
      <c r="DCV142" s="108"/>
      <c r="DCW142" s="109"/>
      <c r="DCX142" s="107" t="s">
        <v>1</v>
      </c>
      <c r="DCY142" s="108"/>
      <c r="DCZ142" s="108"/>
      <c r="DDA142" s="109"/>
      <c r="DDB142" s="107" t="s">
        <v>1</v>
      </c>
      <c r="DDC142" s="108"/>
      <c r="DDD142" s="108"/>
      <c r="DDE142" s="109"/>
      <c r="DDF142" s="107" t="s">
        <v>1</v>
      </c>
      <c r="DDG142" s="108"/>
      <c r="DDH142" s="108"/>
      <c r="DDI142" s="109"/>
      <c r="DDJ142" s="107" t="s">
        <v>1</v>
      </c>
      <c r="DDK142" s="108"/>
      <c r="DDL142" s="108"/>
      <c r="DDM142" s="109"/>
      <c r="DDN142" s="107" t="s">
        <v>1</v>
      </c>
      <c r="DDO142" s="108"/>
      <c r="DDP142" s="108"/>
      <c r="DDQ142" s="109"/>
      <c r="DDR142" s="107" t="s">
        <v>1</v>
      </c>
      <c r="DDS142" s="108"/>
      <c r="DDT142" s="108"/>
      <c r="DDU142" s="109"/>
      <c r="DDV142" s="107" t="s">
        <v>1</v>
      </c>
      <c r="DDW142" s="108"/>
      <c r="DDX142" s="108"/>
      <c r="DDY142" s="109"/>
      <c r="DDZ142" s="107" t="s">
        <v>1</v>
      </c>
      <c r="DEA142" s="108"/>
      <c r="DEB142" s="108"/>
      <c r="DEC142" s="109"/>
      <c r="DED142" s="107" t="s">
        <v>1</v>
      </c>
      <c r="DEE142" s="108"/>
      <c r="DEF142" s="108"/>
      <c r="DEG142" s="109"/>
      <c r="DEH142" s="107" t="s">
        <v>1</v>
      </c>
      <c r="DEI142" s="108"/>
      <c r="DEJ142" s="108"/>
      <c r="DEK142" s="109"/>
      <c r="DEL142" s="107" t="s">
        <v>1</v>
      </c>
      <c r="DEM142" s="108"/>
      <c r="DEN142" s="108"/>
      <c r="DEO142" s="109"/>
      <c r="DEP142" s="107" t="s">
        <v>1</v>
      </c>
      <c r="DEQ142" s="108"/>
      <c r="DER142" s="108"/>
      <c r="DES142" s="109"/>
      <c r="DET142" s="107" t="s">
        <v>1</v>
      </c>
      <c r="DEU142" s="108"/>
      <c r="DEV142" s="108"/>
      <c r="DEW142" s="109"/>
      <c r="DEX142" s="107" t="s">
        <v>1</v>
      </c>
      <c r="DEY142" s="108"/>
      <c r="DEZ142" s="108"/>
      <c r="DFA142" s="109"/>
      <c r="DFB142" s="107" t="s">
        <v>1</v>
      </c>
      <c r="DFC142" s="108"/>
      <c r="DFD142" s="108"/>
      <c r="DFE142" s="109"/>
      <c r="DFF142" s="107" t="s">
        <v>1</v>
      </c>
      <c r="DFG142" s="108"/>
      <c r="DFH142" s="108"/>
      <c r="DFI142" s="109"/>
      <c r="DFJ142" s="107" t="s">
        <v>1</v>
      </c>
      <c r="DFK142" s="108"/>
      <c r="DFL142" s="108"/>
      <c r="DFM142" s="109"/>
      <c r="DFN142" s="107" t="s">
        <v>1</v>
      </c>
      <c r="DFO142" s="108"/>
      <c r="DFP142" s="108"/>
      <c r="DFQ142" s="109"/>
      <c r="DFR142" s="107" t="s">
        <v>1</v>
      </c>
      <c r="DFS142" s="108"/>
      <c r="DFT142" s="108"/>
      <c r="DFU142" s="109"/>
      <c r="DFV142" s="107" t="s">
        <v>1</v>
      </c>
      <c r="DFW142" s="108"/>
      <c r="DFX142" s="108"/>
      <c r="DFY142" s="109"/>
      <c r="DFZ142" s="107" t="s">
        <v>1</v>
      </c>
      <c r="DGA142" s="108"/>
      <c r="DGB142" s="108"/>
      <c r="DGC142" s="109"/>
      <c r="DGD142" s="107" t="s">
        <v>1</v>
      </c>
      <c r="DGE142" s="108"/>
      <c r="DGF142" s="108"/>
      <c r="DGG142" s="109"/>
      <c r="DGH142" s="107" t="s">
        <v>1</v>
      </c>
      <c r="DGI142" s="108"/>
      <c r="DGJ142" s="108"/>
      <c r="DGK142" s="109"/>
      <c r="DGL142" s="107" t="s">
        <v>1</v>
      </c>
      <c r="DGM142" s="108"/>
      <c r="DGN142" s="108"/>
      <c r="DGO142" s="109"/>
      <c r="DGP142" s="107" t="s">
        <v>1</v>
      </c>
      <c r="DGQ142" s="108"/>
      <c r="DGR142" s="108"/>
      <c r="DGS142" s="109"/>
      <c r="DGT142" s="107" t="s">
        <v>1</v>
      </c>
      <c r="DGU142" s="108"/>
      <c r="DGV142" s="108"/>
      <c r="DGW142" s="109"/>
      <c r="DGX142" s="107" t="s">
        <v>1</v>
      </c>
      <c r="DGY142" s="108"/>
      <c r="DGZ142" s="108"/>
      <c r="DHA142" s="109"/>
      <c r="DHB142" s="107" t="s">
        <v>1</v>
      </c>
      <c r="DHC142" s="108"/>
      <c r="DHD142" s="108"/>
      <c r="DHE142" s="109"/>
      <c r="DHF142" s="107" t="s">
        <v>1</v>
      </c>
      <c r="DHG142" s="108"/>
      <c r="DHH142" s="108"/>
      <c r="DHI142" s="109"/>
      <c r="DHJ142" s="107" t="s">
        <v>1</v>
      </c>
      <c r="DHK142" s="108"/>
      <c r="DHL142" s="108"/>
      <c r="DHM142" s="109"/>
      <c r="DHN142" s="107" t="s">
        <v>1</v>
      </c>
      <c r="DHO142" s="108"/>
      <c r="DHP142" s="108"/>
      <c r="DHQ142" s="109"/>
      <c r="DHR142" s="107" t="s">
        <v>1</v>
      </c>
      <c r="DHS142" s="108"/>
      <c r="DHT142" s="108"/>
      <c r="DHU142" s="109"/>
      <c r="DHV142" s="107" t="s">
        <v>1</v>
      </c>
      <c r="DHW142" s="108"/>
      <c r="DHX142" s="108"/>
      <c r="DHY142" s="109"/>
      <c r="DHZ142" s="107" t="s">
        <v>1</v>
      </c>
      <c r="DIA142" s="108"/>
      <c r="DIB142" s="108"/>
      <c r="DIC142" s="109"/>
      <c r="DID142" s="107" t="s">
        <v>1</v>
      </c>
      <c r="DIE142" s="108"/>
      <c r="DIF142" s="108"/>
      <c r="DIG142" s="109"/>
      <c r="DIH142" s="107" t="s">
        <v>1</v>
      </c>
      <c r="DII142" s="108"/>
      <c r="DIJ142" s="108"/>
      <c r="DIK142" s="109"/>
      <c r="DIL142" s="107" t="s">
        <v>1</v>
      </c>
      <c r="DIM142" s="108"/>
      <c r="DIN142" s="108"/>
      <c r="DIO142" s="109"/>
      <c r="DIP142" s="107" t="s">
        <v>1</v>
      </c>
      <c r="DIQ142" s="108"/>
      <c r="DIR142" s="108"/>
      <c r="DIS142" s="109"/>
      <c r="DIT142" s="107" t="s">
        <v>1</v>
      </c>
      <c r="DIU142" s="108"/>
      <c r="DIV142" s="108"/>
      <c r="DIW142" s="109"/>
      <c r="DIX142" s="107" t="s">
        <v>1</v>
      </c>
      <c r="DIY142" s="108"/>
      <c r="DIZ142" s="108"/>
      <c r="DJA142" s="109"/>
      <c r="DJB142" s="107" t="s">
        <v>1</v>
      </c>
      <c r="DJC142" s="108"/>
      <c r="DJD142" s="108"/>
      <c r="DJE142" s="109"/>
      <c r="DJF142" s="107" t="s">
        <v>1</v>
      </c>
      <c r="DJG142" s="108"/>
      <c r="DJH142" s="108"/>
      <c r="DJI142" s="109"/>
      <c r="DJJ142" s="107" t="s">
        <v>1</v>
      </c>
      <c r="DJK142" s="108"/>
      <c r="DJL142" s="108"/>
      <c r="DJM142" s="109"/>
      <c r="DJN142" s="107" t="s">
        <v>1</v>
      </c>
      <c r="DJO142" s="108"/>
      <c r="DJP142" s="108"/>
      <c r="DJQ142" s="109"/>
      <c r="DJR142" s="107" t="s">
        <v>1</v>
      </c>
      <c r="DJS142" s="108"/>
      <c r="DJT142" s="108"/>
      <c r="DJU142" s="109"/>
      <c r="DJV142" s="107" t="s">
        <v>1</v>
      </c>
      <c r="DJW142" s="108"/>
      <c r="DJX142" s="108"/>
      <c r="DJY142" s="109"/>
      <c r="DJZ142" s="107" t="s">
        <v>1</v>
      </c>
      <c r="DKA142" s="108"/>
      <c r="DKB142" s="108"/>
      <c r="DKC142" s="109"/>
      <c r="DKD142" s="107" t="s">
        <v>1</v>
      </c>
      <c r="DKE142" s="108"/>
      <c r="DKF142" s="108"/>
      <c r="DKG142" s="109"/>
      <c r="DKH142" s="107" t="s">
        <v>1</v>
      </c>
      <c r="DKI142" s="108"/>
      <c r="DKJ142" s="108"/>
      <c r="DKK142" s="109"/>
      <c r="DKL142" s="107" t="s">
        <v>1</v>
      </c>
      <c r="DKM142" s="108"/>
      <c r="DKN142" s="108"/>
      <c r="DKO142" s="109"/>
      <c r="DKP142" s="107" t="s">
        <v>1</v>
      </c>
      <c r="DKQ142" s="108"/>
      <c r="DKR142" s="108"/>
      <c r="DKS142" s="109"/>
      <c r="DKT142" s="107" t="s">
        <v>1</v>
      </c>
      <c r="DKU142" s="108"/>
      <c r="DKV142" s="108"/>
      <c r="DKW142" s="109"/>
      <c r="DKX142" s="107" t="s">
        <v>1</v>
      </c>
      <c r="DKY142" s="108"/>
      <c r="DKZ142" s="108"/>
      <c r="DLA142" s="109"/>
      <c r="DLB142" s="107" t="s">
        <v>1</v>
      </c>
      <c r="DLC142" s="108"/>
      <c r="DLD142" s="108"/>
      <c r="DLE142" s="109"/>
      <c r="DLF142" s="107" t="s">
        <v>1</v>
      </c>
      <c r="DLG142" s="108"/>
      <c r="DLH142" s="108"/>
      <c r="DLI142" s="109"/>
      <c r="DLJ142" s="107" t="s">
        <v>1</v>
      </c>
      <c r="DLK142" s="108"/>
      <c r="DLL142" s="108"/>
      <c r="DLM142" s="109"/>
      <c r="DLN142" s="107" t="s">
        <v>1</v>
      </c>
      <c r="DLO142" s="108"/>
      <c r="DLP142" s="108"/>
      <c r="DLQ142" s="109"/>
      <c r="DLR142" s="107" t="s">
        <v>1</v>
      </c>
      <c r="DLS142" s="108"/>
      <c r="DLT142" s="108"/>
      <c r="DLU142" s="109"/>
      <c r="DLV142" s="107" t="s">
        <v>1</v>
      </c>
      <c r="DLW142" s="108"/>
      <c r="DLX142" s="108"/>
      <c r="DLY142" s="109"/>
      <c r="DLZ142" s="107" t="s">
        <v>1</v>
      </c>
      <c r="DMA142" s="108"/>
      <c r="DMB142" s="108"/>
      <c r="DMC142" s="109"/>
      <c r="DMD142" s="107" t="s">
        <v>1</v>
      </c>
      <c r="DME142" s="108"/>
      <c r="DMF142" s="108"/>
      <c r="DMG142" s="109"/>
      <c r="DMH142" s="107" t="s">
        <v>1</v>
      </c>
      <c r="DMI142" s="108"/>
      <c r="DMJ142" s="108"/>
      <c r="DMK142" s="109"/>
      <c r="DML142" s="107" t="s">
        <v>1</v>
      </c>
      <c r="DMM142" s="108"/>
      <c r="DMN142" s="108"/>
      <c r="DMO142" s="109"/>
      <c r="DMP142" s="107" t="s">
        <v>1</v>
      </c>
      <c r="DMQ142" s="108"/>
      <c r="DMR142" s="108"/>
      <c r="DMS142" s="109"/>
      <c r="DMT142" s="107" t="s">
        <v>1</v>
      </c>
      <c r="DMU142" s="108"/>
      <c r="DMV142" s="108"/>
      <c r="DMW142" s="109"/>
      <c r="DMX142" s="107" t="s">
        <v>1</v>
      </c>
      <c r="DMY142" s="108"/>
      <c r="DMZ142" s="108"/>
      <c r="DNA142" s="109"/>
      <c r="DNB142" s="107" t="s">
        <v>1</v>
      </c>
      <c r="DNC142" s="108"/>
      <c r="DND142" s="108"/>
      <c r="DNE142" s="109"/>
      <c r="DNF142" s="107" t="s">
        <v>1</v>
      </c>
      <c r="DNG142" s="108"/>
      <c r="DNH142" s="108"/>
      <c r="DNI142" s="109"/>
      <c r="DNJ142" s="107" t="s">
        <v>1</v>
      </c>
      <c r="DNK142" s="108"/>
      <c r="DNL142" s="108"/>
      <c r="DNM142" s="109"/>
      <c r="DNN142" s="107" t="s">
        <v>1</v>
      </c>
      <c r="DNO142" s="108"/>
      <c r="DNP142" s="108"/>
      <c r="DNQ142" s="109"/>
      <c r="DNR142" s="107" t="s">
        <v>1</v>
      </c>
      <c r="DNS142" s="108"/>
      <c r="DNT142" s="108"/>
      <c r="DNU142" s="109"/>
      <c r="DNV142" s="107" t="s">
        <v>1</v>
      </c>
      <c r="DNW142" s="108"/>
      <c r="DNX142" s="108"/>
      <c r="DNY142" s="109"/>
      <c r="DNZ142" s="107" t="s">
        <v>1</v>
      </c>
      <c r="DOA142" s="108"/>
      <c r="DOB142" s="108"/>
      <c r="DOC142" s="109"/>
      <c r="DOD142" s="107" t="s">
        <v>1</v>
      </c>
      <c r="DOE142" s="108"/>
      <c r="DOF142" s="108"/>
      <c r="DOG142" s="109"/>
      <c r="DOH142" s="107" t="s">
        <v>1</v>
      </c>
      <c r="DOI142" s="108"/>
      <c r="DOJ142" s="108"/>
      <c r="DOK142" s="109"/>
      <c r="DOL142" s="107" t="s">
        <v>1</v>
      </c>
      <c r="DOM142" s="108"/>
      <c r="DON142" s="108"/>
      <c r="DOO142" s="109"/>
      <c r="DOP142" s="107" t="s">
        <v>1</v>
      </c>
      <c r="DOQ142" s="108"/>
      <c r="DOR142" s="108"/>
      <c r="DOS142" s="109"/>
      <c r="DOT142" s="107" t="s">
        <v>1</v>
      </c>
      <c r="DOU142" s="108"/>
      <c r="DOV142" s="108"/>
      <c r="DOW142" s="109"/>
      <c r="DOX142" s="107" t="s">
        <v>1</v>
      </c>
      <c r="DOY142" s="108"/>
      <c r="DOZ142" s="108"/>
      <c r="DPA142" s="109"/>
      <c r="DPB142" s="107" t="s">
        <v>1</v>
      </c>
      <c r="DPC142" s="108"/>
      <c r="DPD142" s="108"/>
      <c r="DPE142" s="109"/>
      <c r="DPF142" s="107" t="s">
        <v>1</v>
      </c>
      <c r="DPG142" s="108"/>
      <c r="DPH142" s="108"/>
      <c r="DPI142" s="109"/>
      <c r="DPJ142" s="107" t="s">
        <v>1</v>
      </c>
      <c r="DPK142" s="108"/>
      <c r="DPL142" s="108"/>
      <c r="DPM142" s="109"/>
      <c r="DPN142" s="107" t="s">
        <v>1</v>
      </c>
      <c r="DPO142" s="108"/>
      <c r="DPP142" s="108"/>
      <c r="DPQ142" s="109"/>
      <c r="DPR142" s="107" t="s">
        <v>1</v>
      </c>
      <c r="DPS142" s="108"/>
      <c r="DPT142" s="108"/>
      <c r="DPU142" s="109"/>
      <c r="DPV142" s="107" t="s">
        <v>1</v>
      </c>
      <c r="DPW142" s="108"/>
      <c r="DPX142" s="108"/>
      <c r="DPY142" s="109"/>
      <c r="DPZ142" s="107" t="s">
        <v>1</v>
      </c>
      <c r="DQA142" s="108"/>
      <c r="DQB142" s="108"/>
      <c r="DQC142" s="109"/>
      <c r="DQD142" s="107" t="s">
        <v>1</v>
      </c>
      <c r="DQE142" s="108"/>
      <c r="DQF142" s="108"/>
      <c r="DQG142" s="109"/>
      <c r="DQH142" s="107" t="s">
        <v>1</v>
      </c>
      <c r="DQI142" s="108"/>
      <c r="DQJ142" s="108"/>
      <c r="DQK142" s="109"/>
      <c r="DQL142" s="107" t="s">
        <v>1</v>
      </c>
      <c r="DQM142" s="108"/>
      <c r="DQN142" s="108"/>
      <c r="DQO142" s="109"/>
      <c r="DQP142" s="107" t="s">
        <v>1</v>
      </c>
      <c r="DQQ142" s="108"/>
      <c r="DQR142" s="108"/>
      <c r="DQS142" s="109"/>
      <c r="DQT142" s="107" t="s">
        <v>1</v>
      </c>
      <c r="DQU142" s="108"/>
      <c r="DQV142" s="108"/>
      <c r="DQW142" s="109"/>
      <c r="DQX142" s="107" t="s">
        <v>1</v>
      </c>
      <c r="DQY142" s="108"/>
      <c r="DQZ142" s="108"/>
      <c r="DRA142" s="109"/>
      <c r="DRB142" s="107" t="s">
        <v>1</v>
      </c>
      <c r="DRC142" s="108"/>
      <c r="DRD142" s="108"/>
      <c r="DRE142" s="109"/>
      <c r="DRF142" s="107" t="s">
        <v>1</v>
      </c>
      <c r="DRG142" s="108"/>
      <c r="DRH142" s="108"/>
      <c r="DRI142" s="109"/>
      <c r="DRJ142" s="107" t="s">
        <v>1</v>
      </c>
      <c r="DRK142" s="108"/>
      <c r="DRL142" s="108"/>
      <c r="DRM142" s="109"/>
      <c r="DRN142" s="107" t="s">
        <v>1</v>
      </c>
      <c r="DRO142" s="108"/>
      <c r="DRP142" s="108"/>
      <c r="DRQ142" s="109"/>
      <c r="DRR142" s="107" t="s">
        <v>1</v>
      </c>
      <c r="DRS142" s="108"/>
      <c r="DRT142" s="108"/>
      <c r="DRU142" s="109"/>
      <c r="DRV142" s="107" t="s">
        <v>1</v>
      </c>
      <c r="DRW142" s="108"/>
      <c r="DRX142" s="108"/>
      <c r="DRY142" s="109"/>
      <c r="DRZ142" s="107" t="s">
        <v>1</v>
      </c>
      <c r="DSA142" s="108"/>
      <c r="DSB142" s="108"/>
      <c r="DSC142" s="109"/>
      <c r="DSD142" s="107" t="s">
        <v>1</v>
      </c>
      <c r="DSE142" s="108"/>
      <c r="DSF142" s="108"/>
      <c r="DSG142" s="109"/>
      <c r="DSH142" s="107" t="s">
        <v>1</v>
      </c>
      <c r="DSI142" s="108"/>
      <c r="DSJ142" s="108"/>
      <c r="DSK142" s="109"/>
      <c r="DSL142" s="107" t="s">
        <v>1</v>
      </c>
      <c r="DSM142" s="108"/>
      <c r="DSN142" s="108"/>
      <c r="DSO142" s="109"/>
      <c r="DSP142" s="107" t="s">
        <v>1</v>
      </c>
      <c r="DSQ142" s="108"/>
      <c r="DSR142" s="108"/>
      <c r="DSS142" s="109"/>
      <c r="DST142" s="107" t="s">
        <v>1</v>
      </c>
      <c r="DSU142" s="108"/>
      <c r="DSV142" s="108"/>
      <c r="DSW142" s="109"/>
      <c r="DSX142" s="107" t="s">
        <v>1</v>
      </c>
      <c r="DSY142" s="108"/>
      <c r="DSZ142" s="108"/>
      <c r="DTA142" s="109"/>
      <c r="DTB142" s="107" t="s">
        <v>1</v>
      </c>
      <c r="DTC142" s="108"/>
      <c r="DTD142" s="108"/>
      <c r="DTE142" s="109"/>
      <c r="DTF142" s="107" t="s">
        <v>1</v>
      </c>
      <c r="DTG142" s="108"/>
      <c r="DTH142" s="108"/>
      <c r="DTI142" s="109"/>
      <c r="DTJ142" s="107" t="s">
        <v>1</v>
      </c>
      <c r="DTK142" s="108"/>
      <c r="DTL142" s="108"/>
      <c r="DTM142" s="109"/>
      <c r="DTN142" s="107" t="s">
        <v>1</v>
      </c>
      <c r="DTO142" s="108"/>
      <c r="DTP142" s="108"/>
      <c r="DTQ142" s="109"/>
      <c r="DTR142" s="107" t="s">
        <v>1</v>
      </c>
      <c r="DTS142" s="108"/>
      <c r="DTT142" s="108"/>
      <c r="DTU142" s="109"/>
      <c r="DTV142" s="107" t="s">
        <v>1</v>
      </c>
      <c r="DTW142" s="108"/>
      <c r="DTX142" s="108"/>
      <c r="DTY142" s="109"/>
      <c r="DTZ142" s="107" t="s">
        <v>1</v>
      </c>
      <c r="DUA142" s="108"/>
      <c r="DUB142" s="108"/>
      <c r="DUC142" s="109"/>
      <c r="DUD142" s="107" t="s">
        <v>1</v>
      </c>
      <c r="DUE142" s="108"/>
      <c r="DUF142" s="108"/>
      <c r="DUG142" s="109"/>
      <c r="DUH142" s="107" t="s">
        <v>1</v>
      </c>
      <c r="DUI142" s="108"/>
      <c r="DUJ142" s="108"/>
      <c r="DUK142" s="109"/>
      <c r="DUL142" s="107" t="s">
        <v>1</v>
      </c>
      <c r="DUM142" s="108"/>
      <c r="DUN142" s="108"/>
      <c r="DUO142" s="109"/>
      <c r="DUP142" s="107" t="s">
        <v>1</v>
      </c>
      <c r="DUQ142" s="108"/>
      <c r="DUR142" s="108"/>
      <c r="DUS142" s="109"/>
      <c r="DUT142" s="107" t="s">
        <v>1</v>
      </c>
      <c r="DUU142" s="108"/>
      <c r="DUV142" s="108"/>
      <c r="DUW142" s="109"/>
      <c r="DUX142" s="107" t="s">
        <v>1</v>
      </c>
      <c r="DUY142" s="108"/>
      <c r="DUZ142" s="108"/>
      <c r="DVA142" s="109"/>
      <c r="DVB142" s="107" t="s">
        <v>1</v>
      </c>
      <c r="DVC142" s="108"/>
      <c r="DVD142" s="108"/>
      <c r="DVE142" s="109"/>
      <c r="DVF142" s="107" t="s">
        <v>1</v>
      </c>
      <c r="DVG142" s="108"/>
      <c r="DVH142" s="108"/>
      <c r="DVI142" s="109"/>
      <c r="DVJ142" s="107" t="s">
        <v>1</v>
      </c>
      <c r="DVK142" s="108"/>
      <c r="DVL142" s="108"/>
      <c r="DVM142" s="109"/>
      <c r="DVN142" s="107" t="s">
        <v>1</v>
      </c>
      <c r="DVO142" s="108"/>
      <c r="DVP142" s="108"/>
      <c r="DVQ142" s="109"/>
      <c r="DVR142" s="107" t="s">
        <v>1</v>
      </c>
      <c r="DVS142" s="108"/>
      <c r="DVT142" s="108"/>
      <c r="DVU142" s="109"/>
      <c r="DVV142" s="107" t="s">
        <v>1</v>
      </c>
      <c r="DVW142" s="108"/>
      <c r="DVX142" s="108"/>
      <c r="DVY142" s="109"/>
      <c r="DVZ142" s="107" t="s">
        <v>1</v>
      </c>
      <c r="DWA142" s="108"/>
      <c r="DWB142" s="108"/>
      <c r="DWC142" s="109"/>
      <c r="DWD142" s="107" t="s">
        <v>1</v>
      </c>
      <c r="DWE142" s="108"/>
      <c r="DWF142" s="108"/>
      <c r="DWG142" s="109"/>
      <c r="DWH142" s="107" t="s">
        <v>1</v>
      </c>
      <c r="DWI142" s="108"/>
      <c r="DWJ142" s="108"/>
      <c r="DWK142" s="109"/>
      <c r="DWL142" s="107" t="s">
        <v>1</v>
      </c>
      <c r="DWM142" s="108"/>
      <c r="DWN142" s="108"/>
      <c r="DWO142" s="109"/>
      <c r="DWP142" s="107" t="s">
        <v>1</v>
      </c>
      <c r="DWQ142" s="108"/>
      <c r="DWR142" s="108"/>
      <c r="DWS142" s="109"/>
      <c r="DWT142" s="107" t="s">
        <v>1</v>
      </c>
      <c r="DWU142" s="108"/>
      <c r="DWV142" s="108"/>
      <c r="DWW142" s="109"/>
      <c r="DWX142" s="107" t="s">
        <v>1</v>
      </c>
      <c r="DWY142" s="108"/>
      <c r="DWZ142" s="108"/>
      <c r="DXA142" s="109"/>
      <c r="DXB142" s="107" t="s">
        <v>1</v>
      </c>
      <c r="DXC142" s="108"/>
      <c r="DXD142" s="108"/>
      <c r="DXE142" s="109"/>
      <c r="DXF142" s="107" t="s">
        <v>1</v>
      </c>
      <c r="DXG142" s="108"/>
      <c r="DXH142" s="108"/>
      <c r="DXI142" s="109"/>
      <c r="DXJ142" s="107" t="s">
        <v>1</v>
      </c>
      <c r="DXK142" s="108"/>
      <c r="DXL142" s="108"/>
      <c r="DXM142" s="109"/>
      <c r="DXN142" s="107" t="s">
        <v>1</v>
      </c>
      <c r="DXO142" s="108"/>
      <c r="DXP142" s="108"/>
      <c r="DXQ142" s="109"/>
      <c r="DXR142" s="107" t="s">
        <v>1</v>
      </c>
      <c r="DXS142" s="108"/>
      <c r="DXT142" s="108"/>
      <c r="DXU142" s="109"/>
      <c r="DXV142" s="107" t="s">
        <v>1</v>
      </c>
      <c r="DXW142" s="108"/>
      <c r="DXX142" s="108"/>
      <c r="DXY142" s="109"/>
      <c r="DXZ142" s="107" t="s">
        <v>1</v>
      </c>
      <c r="DYA142" s="108"/>
      <c r="DYB142" s="108"/>
      <c r="DYC142" s="109"/>
      <c r="DYD142" s="107" t="s">
        <v>1</v>
      </c>
      <c r="DYE142" s="108"/>
      <c r="DYF142" s="108"/>
      <c r="DYG142" s="109"/>
      <c r="DYH142" s="107" t="s">
        <v>1</v>
      </c>
      <c r="DYI142" s="108"/>
      <c r="DYJ142" s="108"/>
      <c r="DYK142" s="109"/>
      <c r="DYL142" s="107" t="s">
        <v>1</v>
      </c>
      <c r="DYM142" s="108"/>
      <c r="DYN142" s="108"/>
      <c r="DYO142" s="109"/>
      <c r="DYP142" s="107" t="s">
        <v>1</v>
      </c>
      <c r="DYQ142" s="108"/>
      <c r="DYR142" s="108"/>
      <c r="DYS142" s="109"/>
      <c r="DYT142" s="107" t="s">
        <v>1</v>
      </c>
      <c r="DYU142" s="108"/>
      <c r="DYV142" s="108"/>
      <c r="DYW142" s="109"/>
      <c r="DYX142" s="107" t="s">
        <v>1</v>
      </c>
      <c r="DYY142" s="108"/>
      <c r="DYZ142" s="108"/>
      <c r="DZA142" s="109"/>
      <c r="DZB142" s="107" t="s">
        <v>1</v>
      </c>
      <c r="DZC142" s="108"/>
      <c r="DZD142" s="108"/>
      <c r="DZE142" s="109"/>
      <c r="DZF142" s="107" t="s">
        <v>1</v>
      </c>
      <c r="DZG142" s="108"/>
      <c r="DZH142" s="108"/>
      <c r="DZI142" s="109"/>
      <c r="DZJ142" s="107" t="s">
        <v>1</v>
      </c>
      <c r="DZK142" s="108"/>
      <c r="DZL142" s="108"/>
      <c r="DZM142" s="109"/>
      <c r="DZN142" s="107" t="s">
        <v>1</v>
      </c>
      <c r="DZO142" s="108"/>
      <c r="DZP142" s="108"/>
      <c r="DZQ142" s="109"/>
      <c r="DZR142" s="107" t="s">
        <v>1</v>
      </c>
      <c r="DZS142" s="108"/>
      <c r="DZT142" s="108"/>
      <c r="DZU142" s="109"/>
      <c r="DZV142" s="107" t="s">
        <v>1</v>
      </c>
      <c r="DZW142" s="108"/>
      <c r="DZX142" s="108"/>
      <c r="DZY142" s="109"/>
      <c r="DZZ142" s="107" t="s">
        <v>1</v>
      </c>
      <c r="EAA142" s="108"/>
      <c r="EAB142" s="108"/>
      <c r="EAC142" s="109"/>
      <c r="EAD142" s="107" t="s">
        <v>1</v>
      </c>
      <c r="EAE142" s="108"/>
      <c r="EAF142" s="108"/>
      <c r="EAG142" s="109"/>
      <c r="EAH142" s="107" t="s">
        <v>1</v>
      </c>
      <c r="EAI142" s="108"/>
      <c r="EAJ142" s="108"/>
      <c r="EAK142" s="109"/>
      <c r="EAL142" s="107" t="s">
        <v>1</v>
      </c>
      <c r="EAM142" s="108"/>
      <c r="EAN142" s="108"/>
      <c r="EAO142" s="109"/>
      <c r="EAP142" s="107" t="s">
        <v>1</v>
      </c>
      <c r="EAQ142" s="108"/>
      <c r="EAR142" s="108"/>
      <c r="EAS142" s="109"/>
      <c r="EAT142" s="107" t="s">
        <v>1</v>
      </c>
      <c r="EAU142" s="108"/>
      <c r="EAV142" s="108"/>
      <c r="EAW142" s="109"/>
      <c r="EAX142" s="107" t="s">
        <v>1</v>
      </c>
      <c r="EAY142" s="108"/>
      <c r="EAZ142" s="108"/>
      <c r="EBA142" s="109"/>
      <c r="EBB142" s="107" t="s">
        <v>1</v>
      </c>
      <c r="EBC142" s="108"/>
      <c r="EBD142" s="108"/>
      <c r="EBE142" s="109"/>
      <c r="EBF142" s="107" t="s">
        <v>1</v>
      </c>
      <c r="EBG142" s="108"/>
      <c r="EBH142" s="108"/>
      <c r="EBI142" s="109"/>
      <c r="EBJ142" s="107" t="s">
        <v>1</v>
      </c>
      <c r="EBK142" s="108"/>
      <c r="EBL142" s="108"/>
      <c r="EBM142" s="109"/>
      <c r="EBN142" s="107" t="s">
        <v>1</v>
      </c>
      <c r="EBO142" s="108"/>
      <c r="EBP142" s="108"/>
      <c r="EBQ142" s="109"/>
      <c r="EBR142" s="107" t="s">
        <v>1</v>
      </c>
      <c r="EBS142" s="108"/>
      <c r="EBT142" s="108"/>
      <c r="EBU142" s="109"/>
      <c r="EBV142" s="107" t="s">
        <v>1</v>
      </c>
      <c r="EBW142" s="108"/>
      <c r="EBX142" s="108"/>
      <c r="EBY142" s="109"/>
      <c r="EBZ142" s="107" t="s">
        <v>1</v>
      </c>
      <c r="ECA142" s="108"/>
      <c r="ECB142" s="108"/>
      <c r="ECC142" s="109"/>
      <c r="ECD142" s="107" t="s">
        <v>1</v>
      </c>
      <c r="ECE142" s="108"/>
      <c r="ECF142" s="108"/>
      <c r="ECG142" s="109"/>
      <c r="ECH142" s="107" t="s">
        <v>1</v>
      </c>
      <c r="ECI142" s="108"/>
      <c r="ECJ142" s="108"/>
      <c r="ECK142" s="109"/>
      <c r="ECL142" s="107" t="s">
        <v>1</v>
      </c>
      <c r="ECM142" s="108"/>
      <c r="ECN142" s="108"/>
      <c r="ECO142" s="109"/>
      <c r="ECP142" s="107" t="s">
        <v>1</v>
      </c>
      <c r="ECQ142" s="108"/>
      <c r="ECR142" s="108"/>
      <c r="ECS142" s="109"/>
      <c r="ECT142" s="107" t="s">
        <v>1</v>
      </c>
      <c r="ECU142" s="108"/>
      <c r="ECV142" s="108"/>
      <c r="ECW142" s="109"/>
      <c r="ECX142" s="107" t="s">
        <v>1</v>
      </c>
      <c r="ECY142" s="108"/>
      <c r="ECZ142" s="108"/>
      <c r="EDA142" s="109"/>
      <c r="EDB142" s="107" t="s">
        <v>1</v>
      </c>
      <c r="EDC142" s="108"/>
      <c r="EDD142" s="108"/>
      <c r="EDE142" s="109"/>
      <c r="EDF142" s="107" t="s">
        <v>1</v>
      </c>
      <c r="EDG142" s="108"/>
      <c r="EDH142" s="108"/>
      <c r="EDI142" s="109"/>
      <c r="EDJ142" s="107" t="s">
        <v>1</v>
      </c>
      <c r="EDK142" s="108"/>
      <c r="EDL142" s="108"/>
      <c r="EDM142" s="109"/>
      <c r="EDN142" s="107" t="s">
        <v>1</v>
      </c>
      <c r="EDO142" s="108"/>
      <c r="EDP142" s="108"/>
      <c r="EDQ142" s="109"/>
      <c r="EDR142" s="107" t="s">
        <v>1</v>
      </c>
      <c r="EDS142" s="108"/>
      <c r="EDT142" s="108"/>
      <c r="EDU142" s="109"/>
      <c r="EDV142" s="107" t="s">
        <v>1</v>
      </c>
      <c r="EDW142" s="108"/>
      <c r="EDX142" s="108"/>
      <c r="EDY142" s="109"/>
      <c r="EDZ142" s="107" t="s">
        <v>1</v>
      </c>
      <c r="EEA142" s="108"/>
      <c r="EEB142" s="108"/>
      <c r="EEC142" s="109"/>
      <c r="EED142" s="107" t="s">
        <v>1</v>
      </c>
      <c r="EEE142" s="108"/>
      <c r="EEF142" s="108"/>
      <c r="EEG142" s="109"/>
      <c r="EEH142" s="107" t="s">
        <v>1</v>
      </c>
      <c r="EEI142" s="108"/>
      <c r="EEJ142" s="108"/>
      <c r="EEK142" s="109"/>
      <c r="EEL142" s="107" t="s">
        <v>1</v>
      </c>
      <c r="EEM142" s="108"/>
      <c r="EEN142" s="108"/>
      <c r="EEO142" s="109"/>
      <c r="EEP142" s="107" t="s">
        <v>1</v>
      </c>
      <c r="EEQ142" s="108"/>
      <c r="EER142" s="108"/>
      <c r="EES142" s="109"/>
      <c r="EET142" s="107" t="s">
        <v>1</v>
      </c>
      <c r="EEU142" s="108"/>
      <c r="EEV142" s="108"/>
      <c r="EEW142" s="109"/>
      <c r="EEX142" s="107" t="s">
        <v>1</v>
      </c>
      <c r="EEY142" s="108"/>
      <c r="EEZ142" s="108"/>
      <c r="EFA142" s="109"/>
      <c r="EFB142" s="107" t="s">
        <v>1</v>
      </c>
      <c r="EFC142" s="108"/>
      <c r="EFD142" s="108"/>
      <c r="EFE142" s="109"/>
      <c r="EFF142" s="107" t="s">
        <v>1</v>
      </c>
      <c r="EFG142" s="108"/>
      <c r="EFH142" s="108"/>
      <c r="EFI142" s="109"/>
      <c r="EFJ142" s="107" t="s">
        <v>1</v>
      </c>
      <c r="EFK142" s="108"/>
      <c r="EFL142" s="108"/>
      <c r="EFM142" s="109"/>
      <c r="EFN142" s="107" t="s">
        <v>1</v>
      </c>
      <c r="EFO142" s="108"/>
      <c r="EFP142" s="108"/>
      <c r="EFQ142" s="109"/>
      <c r="EFR142" s="107" t="s">
        <v>1</v>
      </c>
      <c r="EFS142" s="108"/>
      <c r="EFT142" s="108"/>
      <c r="EFU142" s="109"/>
      <c r="EFV142" s="107" t="s">
        <v>1</v>
      </c>
      <c r="EFW142" s="108"/>
      <c r="EFX142" s="108"/>
      <c r="EFY142" s="109"/>
      <c r="EFZ142" s="107" t="s">
        <v>1</v>
      </c>
      <c r="EGA142" s="108"/>
      <c r="EGB142" s="108"/>
      <c r="EGC142" s="109"/>
      <c r="EGD142" s="107" t="s">
        <v>1</v>
      </c>
      <c r="EGE142" s="108"/>
      <c r="EGF142" s="108"/>
      <c r="EGG142" s="109"/>
      <c r="EGH142" s="107" t="s">
        <v>1</v>
      </c>
      <c r="EGI142" s="108"/>
      <c r="EGJ142" s="108"/>
      <c r="EGK142" s="109"/>
      <c r="EGL142" s="107" t="s">
        <v>1</v>
      </c>
      <c r="EGM142" s="108"/>
      <c r="EGN142" s="108"/>
      <c r="EGO142" s="109"/>
      <c r="EGP142" s="107" t="s">
        <v>1</v>
      </c>
      <c r="EGQ142" s="108"/>
      <c r="EGR142" s="108"/>
      <c r="EGS142" s="109"/>
      <c r="EGT142" s="107" t="s">
        <v>1</v>
      </c>
      <c r="EGU142" s="108"/>
      <c r="EGV142" s="108"/>
      <c r="EGW142" s="109"/>
      <c r="EGX142" s="107" t="s">
        <v>1</v>
      </c>
      <c r="EGY142" s="108"/>
      <c r="EGZ142" s="108"/>
      <c r="EHA142" s="109"/>
      <c r="EHB142" s="107" t="s">
        <v>1</v>
      </c>
      <c r="EHC142" s="108"/>
      <c r="EHD142" s="108"/>
      <c r="EHE142" s="109"/>
      <c r="EHF142" s="107" t="s">
        <v>1</v>
      </c>
      <c r="EHG142" s="108"/>
      <c r="EHH142" s="108"/>
      <c r="EHI142" s="109"/>
      <c r="EHJ142" s="107" t="s">
        <v>1</v>
      </c>
      <c r="EHK142" s="108"/>
      <c r="EHL142" s="108"/>
      <c r="EHM142" s="109"/>
      <c r="EHN142" s="107" t="s">
        <v>1</v>
      </c>
      <c r="EHO142" s="108"/>
      <c r="EHP142" s="108"/>
      <c r="EHQ142" s="109"/>
      <c r="EHR142" s="107" t="s">
        <v>1</v>
      </c>
      <c r="EHS142" s="108"/>
      <c r="EHT142" s="108"/>
      <c r="EHU142" s="109"/>
      <c r="EHV142" s="107" t="s">
        <v>1</v>
      </c>
      <c r="EHW142" s="108"/>
      <c r="EHX142" s="108"/>
      <c r="EHY142" s="109"/>
      <c r="EHZ142" s="107" t="s">
        <v>1</v>
      </c>
      <c r="EIA142" s="108"/>
      <c r="EIB142" s="108"/>
      <c r="EIC142" s="109"/>
      <c r="EID142" s="107" t="s">
        <v>1</v>
      </c>
      <c r="EIE142" s="108"/>
      <c r="EIF142" s="108"/>
      <c r="EIG142" s="109"/>
      <c r="EIH142" s="107" t="s">
        <v>1</v>
      </c>
      <c r="EII142" s="108"/>
      <c r="EIJ142" s="108"/>
      <c r="EIK142" s="109"/>
      <c r="EIL142" s="107" t="s">
        <v>1</v>
      </c>
      <c r="EIM142" s="108"/>
      <c r="EIN142" s="108"/>
      <c r="EIO142" s="109"/>
      <c r="EIP142" s="107" t="s">
        <v>1</v>
      </c>
      <c r="EIQ142" s="108"/>
      <c r="EIR142" s="108"/>
      <c r="EIS142" s="109"/>
      <c r="EIT142" s="107" t="s">
        <v>1</v>
      </c>
      <c r="EIU142" s="108"/>
      <c r="EIV142" s="108"/>
      <c r="EIW142" s="109"/>
      <c r="EIX142" s="107" t="s">
        <v>1</v>
      </c>
      <c r="EIY142" s="108"/>
      <c r="EIZ142" s="108"/>
      <c r="EJA142" s="109"/>
      <c r="EJB142" s="107" t="s">
        <v>1</v>
      </c>
      <c r="EJC142" s="108"/>
      <c r="EJD142" s="108"/>
      <c r="EJE142" s="109"/>
      <c r="EJF142" s="107" t="s">
        <v>1</v>
      </c>
      <c r="EJG142" s="108"/>
      <c r="EJH142" s="108"/>
      <c r="EJI142" s="109"/>
      <c r="EJJ142" s="107" t="s">
        <v>1</v>
      </c>
      <c r="EJK142" s="108"/>
      <c r="EJL142" s="108"/>
      <c r="EJM142" s="109"/>
      <c r="EJN142" s="107" t="s">
        <v>1</v>
      </c>
      <c r="EJO142" s="108"/>
      <c r="EJP142" s="108"/>
      <c r="EJQ142" s="109"/>
      <c r="EJR142" s="107" t="s">
        <v>1</v>
      </c>
      <c r="EJS142" s="108"/>
      <c r="EJT142" s="108"/>
      <c r="EJU142" s="109"/>
      <c r="EJV142" s="107" t="s">
        <v>1</v>
      </c>
      <c r="EJW142" s="108"/>
      <c r="EJX142" s="108"/>
      <c r="EJY142" s="109"/>
      <c r="EJZ142" s="107" t="s">
        <v>1</v>
      </c>
      <c r="EKA142" s="108"/>
      <c r="EKB142" s="108"/>
      <c r="EKC142" s="109"/>
      <c r="EKD142" s="107" t="s">
        <v>1</v>
      </c>
      <c r="EKE142" s="108"/>
      <c r="EKF142" s="108"/>
      <c r="EKG142" s="109"/>
      <c r="EKH142" s="107" t="s">
        <v>1</v>
      </c>
      <c r="EKI142" s="108"/>
      <c r="EKJ142" s="108"/>
      <c r="EKK142" s="109"/>
      <c r="EKL142" s="107" t="s">
        <v>1</v>
      </c>
      <c r="EKM142" s="108"/>
      <c r="EKN142" s="108"/>
      <c r="EKO142" s="109"/>
      <c r="EKP142" s="107" t="s">
        <v>1</v>
      </c>
      <c r="EKQ142" s="108"/>
      <c r="EKR142" s="108"/>
      <c r="EKS142" s="109"/>
      <c r="EKT142" s="107" t="s">
        <v>1</v>
      </c>
      <c r="EKU142" s="108"/>
      <c r="EKV142" s="108"/>
      <c r="EKW142" s="109"/>
      <c r="EKX142" s="107" t="s">
        <v>1</v>
      </c>
      <c r="EKY142" s="108"/>
      <c r="EKZ142" s="108"/>
      <c r="ELA142" s="109"/>
      <c r="ELB142" s="107" t="s">
        <v>1</v>
      </c>
      <c r="ELC142" s="108"/>
      <c r="ELD142" s="108"/>
      <c r="ELE142" s="109"/>
      <c r="ELF142" s="107" t="s">
        <v>1</v>
      </c>
      <c r="ELG142" s="108"/>
      <c r="ELH142" s="108"/>
      <c r="ELI142" s="109"/>
      <c r="ELJ142" s="107" t="s">
        <v>1</v>
      </c>
      <c r="ELK142" s="108"/>
      <c r="ELL142" s="108"/>
      <c r="ELM142" s="109"/>
      <c r="ELN142" s="107" t="s">
        <v>1</v>
      </c>
      <c r="ELO142" s="108"/>
      <c r="ELP142" s="108"/>
      <c r="ELQ142" s="109"/>
      <c r="ELR142" s="107" t="s">
        <v>1</v>
      </c>
      <c r="ELS142" s="108"/>
      <c r="ELT142" s="108"/>
      <c r="ELU142" s="109"/>
      <c r="ELV142" s="107" t="s">
        <v>1</v>
      </c>
      <c r="ELW142" s="108"/>
      <c r="ELX142" s="108"/>
      <c r="ELY142" s="109"/>
      <c r="ELZ142" s="107" t="s">
        <v>1</v>
      </c>
      <c r="EMA142" s="108"/>
      <c r="EMB142" s="108"/>
      <c r="EMC142" s="109"/>
      <c r="EMD142" s="107" t="s">
        <v>1</v>
      </c>
      <c r="EME142" s="108"/>
      <c r="EMF142" s="108"/>
      <c r="EMG142" s="109"/>
      <c r="EMH142" s="107" t="s">
        <v>1</v>
      </c>
      <c r="EMI142" s="108"/>
      <c r="EMJ142" s="108"/>
      <c r="EMK142" s="109"/>
      <c r="EML142" s="107" t="s">
        <v>1</v>
      </c>
      <c r="EMM142" s="108"/>
      <c r="EMN142" s="108"/>
      <c r="EMO142" s="109"/>
      <c r="EMP142" s="107" t="s">
        <v>1</v>
      </c>
      <c r="EMQ142" s="108"/>
      <c r="EMR142" s="108"/>
      <c r="EMS142" s="109"/>
      <c r="EMT142" s="107" t="s">
        <v>1</v>
      </c>
      <c r="EMU142" s="108"/>
      <c r="EMV142" s="108"/>
      <c r="EMW142" s="109"/>
      <c r="EMX142" s="107" t="s">
        <v>1</v>
      </c>
      <c r="EMY142" s="108"/>
      <c r="EMZ142" s="108"/>
      <c r="ENA142" s="109"/>
      <c r="ENB142" s="107" t="s">
        <v>1</v>
      </c>
      <c r="ENC142" s="108"/>
      <c r="END142" s="108"/>
      <c r="ENE142" s="109"/>
      <c r="ENF142" s="107" t="s">
        <v>1</v>
      </c>
      <c r="ENG142" s="108"/>
      <c r="ENH142" s="108"/>
      <c r="ENI142" s="109"/>
      <c r="ENJ142" s="107" t="s">
        <v>1</v>
      </c>
      <c r="ENK142" s="108"/>
      <c r="ENL142" s="108"/>
      <c r="ENM142" s="109"/>
      <c r="ENN142" s="107" t="s">
        <v>1</v>
      </c>
      <c r="ENO142" s="108"/>
      <c r="ENP142" s="108"/>
      <c r="ENQ142" s="109"/>
      <c r="ENR142" s="107" t="s">
        <v>1</v>
      </c>
      <c r="ENS142" s="108"/>
      <c r="ENT142" s="108"/>
      <c r="ENU142" s="109"/>
      <c r="ENV142" s="107" t="s">
        <v>1</v>
      </c>
      <c r="ENW142" s="108"/>
      <c r="ENX142" s="108"/>
      <c r="ENY142" s="109"/>
      <c r="ENZ142" s="107" t="s">
        <v>1</v>
      </c>
      <c r="EOA142" s="108"/>
      <c r="EOB142" s="108"/>
      <c r="EOC142" s="109"/>
      <c r="EOD142" s="107" t="s">
        <v>1</v>
      </c>
      <c r="EOE142" s="108"/>
      <c r="EOF142" s="108"/>
      <c r="EOG142" s="109"/>
      <c r="EOH142" s="107" t="s">
        <v>1</v>
      </c>
      <c r="EOI142" s="108"/>
      <c r="EOJ142" s="108"/>
      <c r="EOK142" s="109"/>
      <c r="EOL142" s="107" t="s">
        <v>1</v>
      </c>
      <c r="EOM142" s="108"/>
      <c r="EON142" s="108"/>
      <c r="EOO142" s="109"/>
      <c r="EOP142" s="107" t="s">
        <v>1</v>
      </c>
      <c r="EOQ142" s="108"/>
      <c r="EOR142" s="108"/>
      <c r="EOS142" s="109"/>
      <c r="EOT142" s="107" t="s">
        <v>1</v>
      </c>
      <c r="EOU142" s="108"/>
      <c r="EOV142" s="108"/>
      <c r="EOW142" s="109"/>
      <c r="EOX142" s="107" t="s">
        <v>1</v>
      </c>
      <c r="EOY142" s="108"/>
      <c r="EOZ142" s="108"/>
      <c r="EPA142" s="109"/>
      <c r="EPB142" s="107" t="s">
        <v>1</v>
      </c>
      <c r="EPC142" s="108"/>
      <c r="EPD142" s="108"/>
      <c r="EPE142" s="109"/>
      <c r="EPF142" s="107" t="s">
        <v>1</v>
      </c>
      <c r="EPG142" s="108"/>
      <c r="EPH142" s="108"/>
      <c r="EPI142" s="109"/>
      <c r="EPJ142" s="107" t="s">
        <v>1</v>
      </c>
      <c r="EPK142" s="108"/>
      <c r="EPL142" s="108"/>
      <c r="EPM142" s="109"/>
      <c r="EPN142" s="107" t="s">
        <v>1</v>
      </c>
      <c r="EPO142" s="108"/>
      <c r="EPP142" s="108"/>
      <c r="EPQ142" s="109"/>
      <c r="EPR142" s="107" t="s">
        <v>1</v>
      </c>
      <c r="EPS142" s="108"/>
      <c r="EPT142" s="108"/>
      <c r="EPU142" s="109"/>
      <c r="EPV142" s="107" t="s">
        <v>1</v>
      </c>
      <c r="EPW142" s="108"/>
      <c r="EPX142" s="108"/>
      <c r="EPY142" s="109"/>
      <c r="EPZ142" s="107" t="s">
        <v>1</v>
      </c>
      <c r="EQA142" s="108"/>
      <c r="EQB142" s="108"/>
      <c r="EQC142" s="109"/>
      <c r="EQD142" s="107" t="s">
        <v>1</v>
      </c>
      <c r="EQE142" s="108"/>
      <c r="EQF142" s="108"/>
      <c r="EQG142" s="109"/>
      <c r="EQH142" s="107" t="s">
        <v>1</v>
      </c>
      <c r="EQI142" s="108"/>
      <c r="EQJ142" s="108"/>
      <c r="EQK142" s="109"/>
      <c r="EQL142" s="107" t="s">
        <v>1</v>
      </c>
      <c r="EQM142" s="108"/>
      <c r="EQN142" s="108"/>
      <c r="EQO142" s="109"/>
      <c r="EQP142" s="107" t="s">
        <v>1</v>
      </c>
      <c r="EQQ142" s="108"/>
      <c r="EQR142" s="108"/>
      <c r="EQS142" s="109"/>
      <c r="EQT142" s="107" t="s">
        <v>1</v>
      </c>
      <c r="EQU142" s="108"/>
      <c r="EQV142" s="108"/>
      <c r="EQW142" s="109"/>
      <c r="EQX142" s="107" t="s">
        <v>1</v>
      </c>
      <c r="EQY142" s="108"/>
      <c r="EQZ142" s="108"/>
      <c r="ERA142" s="109"/>
      <c r="ERB142" s="107" t="s">
        <v>1</v>
      </c>
      <c r="ERC142" s="108"/>
      <c r="ERD142" s="108"/>
      <c r="ERE142" s="109"/>
      <c r="ERF142" s="107" t="s">
        <v>1</v>
      </c>
      <c r="ERG142" s="108"/>
      <c r="ERH142" s="108"/>
      <c r="ERI142" s="109"/>
      <c r="ERJ142" s="107" t="s">
        <v>1</v>
      </c>
      <c r="ERK142" s="108"/>
      <c r="ERL142" s="108"/>
      <c r="ERM142" s="109"/>
      <c r="ERN142" s="107" t="s">
        <v>1</v>
      </c>
      <c r="ERO142" s="108"/>
      <c r="ERP142" s="108"/>
      <c r="ERQ142" s="109"/>
      <c r="ERR142" s="107" t="s">
        <v>1</v>
      </c>
      <c r="ERS142" s="108"/>
      <c r="ERT142" s="108"/>
      <c r="ERU142" s="109"/>
      <c r="ERV142" s="107" t="s">
        <v>1</v>
      </c>
      <c r="ERW142" s="108"/>
      <c r="ERX142" s="108"/>
      <c r="ERY142" s="109"/>
      <c r="ERZ142" s="107" t="s">
        <v>1</v>
      </c>
      <c r="ESA142" s="108"/>
      <c r="ESB142" s="108"/>
      <c r="ESC142" s="109"/>
      <c r="ESD142" s="107" t="s">
        <v>1</v>
      </c>
      <c r="ESE142" s="108"/>
      <c r="ESF142" s="108"/>
      <c r="ESG142" s="109"/>
      <c r="ESH142" s="107" t="s">
        <v>1</v>
      </c>
      <c r="ESI142" s="108"/>
      <c r="ESJ142" s="108"/>
      <c r="ESK142" s="109"/>
      <c r="ESL142" s="107" t="s">
        <v>1</v>
      </c>
      <c r="ESM142" s="108"/>
      <c r="ESN142" s="108"/>
      <c r="ESO142" s="109"/>
      <c r="ESP142" s="107" t="s">
        <v>1</v>
      </c>
      <c r="ESQ142" s="108"/>
      <c r="ESR142" s="108"/>
      <c r="ESS142" s="109"/>
      <c r="EST142" s="107" t="s">
        <v>1</v>
      </c>
      <c r="ESU142" s="108"/>
      <c r="ESV142" s="108"/>
      <c r="ESW142" s="109"/>
      <c r="ESX142" s="107" t="s">
        <v>1</v>
      </c>
      <c r="ESY142" s="108"/>
      <c r="ESZ142" s="108"/>
      <c r="ETA142" s="109"/>
      <c r="ETB142" s="107" t="s">
        <v>1</v>
      </c>
      <c r="ETC142" s="108"/>
      <c r="ETD142" s="108"/>
      <c r="ETE142" s="109"/>
      <c r="ETF142" s="107" t="s">
        <v>1</v>
      </c>
      <c r="ETG142" s="108"/>
      <c r="ETH142" s="108"/>
      <c r="ETI142" s="109"/>
      <c r="ETJ142" s="107" t="s">
        <v>1</v>
      </c>
      <c r="ETK142" s="108"/>
      <c r="ETL142" s="108"/>
      <c r="ETM142" s="109"/>
      <c r="ETN142" s="107" t="s">
        <v>1</v>
      </c>
      <c r="ETO142" s="108"/>
      <c r="ETP142" s="108"/>
      <c r="ETQ142" s="109"/>
      <c r="ETR142" s="107" t="s">
        <v>1</v>
      </c>
      <c r="ETS142" s="108"/>
      <c r="ETT142" s="108"/>
      <c r="ETU142" s="109"/>
      <c r="ETV142" s="107" t="s">
        <v>1</v>
      </c>
      <c r="ETW142" s="108"/>
      <c r="ETX142" s="108"/>
      <c r="ETY142" s="109"/>
      <c r="ETZ142" s="107" t="s">
        <v>1</v>
      </c>
      <c r="EUA142" s="108"/>
      <c r="EUB142" s="108"/>
      <c r="EUC142" s="109"/>
      <c r="EUD142" s="107" t="s">
        <v>1</v>
      </c>
      <c r="EUE142" s="108"/>
      <c r="EUF142" s="108"/>
      <c r="EUG142" s="109"/>
      <c r="EUH142" s="107" t="s">
        <v>1</v>
      </c>
      <c r="EUI142" s="108"/>
      <c r="EUJ142" s="108"/>
      <c r="EUK142" s="109"/>
      <c r="EUL142" s="107" t="s">
        <v>1</v>
      </c>
      <c r="EUM142" s="108"/>
      <c r="EUN142" s="108"/>
      <c r="EUO142" s="109"/>
      <c r="EUP142" s="107" t="s">
        <v>1</v>
      </c>
      <c r="EUQ142" s="108"/>
      <c r="EUR142" s="108"/>
      <c r="EUS142" s="109"/>
      <c r="EUT142" s="107" t="s">
        <v>1</v>
      </c>
      <c r="EUU142" s="108"/>
      <c r="EUV142" s="108"/>
      <c r="EUW142" s="109"/>
      <c r="EUX142" s="107" t="s">
        <v>1</v>
      </c>
      <c r="EUY142" s="108"/>
      <c r="EUZ142" s="108"/>
      <c r="EVA142" s="109"/>
      <c r="EVB142" s="107" t="s">
        <v>1</v>
      </c>
      <c r="EVC142" s="108"/>
      <c r="EVD142" s="108"/>
      <c r="EVE142" s="109"/>
      <c r="EVF142" s="107" t="s">
        <v>1</v>
      </c>
      <c r="EVG142" s="108"/>
      <c r="EVH142" s="108"/>
      <c r="EVI142" s="109"/>
      <c r="EVJ142" s="107" t="s">
        <v>1</v>
      </c>
      <c r="EVK142" s="108"/>
      <c r="EVL142" s="108"/>
      <c r="EVM142" s="109"/>
      <c r="EVN142" s="107" t="s">
        <v>1</v>
      </c>
      <c r="EVO142" s="108"/>
      <c r="EVP142" s="108"/>
      <c r="EVQ142" s="109"/>
      <c r="EVR142" s="107" t="s">
        <v>1</v>
      </c>
      <c r="EVS142" s="108"/>
      <c r="EVT142" s="108"/>
      <c r="EVU142" s="109"/>
      <c r="EVV142" s="107" t="s">
        <v>1</v>
      </c>
      <c r="EVW142" s="108"/>
      <c r="EVX142" s="108"/>
      <c r="EVY142" s="109"/>
      <c r="EVZ142" s="107" t="s">
        <v>1</v>
      </c>
      <c r="EWA142" s="108"/>
      <c r="EWB142" s="108"/>
      <c r="EWC142" s="109"/>
      <c r="EWD142" s="107" t="s">
        <v>1</v>
      </c>
      <c r="EWE142" s="108"/>
      <c r="EWF142" s="108"/>
      <c r="EWG142" s="109"/>
      <c r="EWH142" s="107" t="s">
        <v>1</v>
      </c>
      <c r="EWI142" s="108"/>
      <c r="EWJ142" s="108"/>
      <c r="EWK142" s="109"/>
      <c r="EWL142" s="107" t="s">
        <v>1</v>
      </c>
      <c r="EWM142" s="108"/>
      <c r="EWN142" s="108"/>
      <c r="EWO142" s="109"/>
      <c r="EWP142" s="107" t="s">
        <v>1</v>
      </c>
      <c r="EWQ142" s="108"/>
      <c r="EWR142" s="108"/>
      <c r="EWS142" s="109"/>
      <c r="EWT142" s="107" t="s">
        <v>1</v>
      </c>
      <c r="EWU142" s="108"/>
      <c r="EWV142" s="108"/>
      <c r="EWW142" s="109"/>
      <c r="EWX142" s="107" t="s">
        <v>1</v>
      </c>
      <c r="EWY142" s="108"/>
      <c r="EWZ142" s="108"/>
      <c r="EXA142" s="109"/>
      <c r="EXB142" s="107" t="s">
        <v>1</v>
      </c>
      <c r="EXC142" s="108"/>
      <c r="EXD142" s="108"/>
      <c r="EXE142" s="109"/>
      <c r="EXF142" s="107" t="s">
        <v>1</v>
      </c>
      <c r="EXG142" s="108"/>
      <c r="EXH142" s="108"/>
      <c r="EXI142" s="109"/>
      <c r="EXJ142" s="107" t="s">
        <v>1</v>
      </c>
      <c r="EXK142" s="108"/>
      <c r="EXL142" s="108"/>
      <c r="EXM142" s="109"/>
      <c r="EXN142" s="107" t="s">
        <v>1</v>
      </c>
      <c r="EXO142" s="108"/>
      <c r="EXP142" s="108"/>
      <c r="EXQ142" s="109"/>
      <c r="EXR142" s="107" t="s">
        <v>1</v>
      </c>
      <c r="EXS142" s="108"/>
      <c r="EXT142" s="108"/>
      <c r="EXU142" s="109"/>
      <c r="EXV142" s="107" t="s">
        <v>1</v>
      </c>
      <c r="EXW142" s="108"/>
      <c r="EXX142" s="108"/>
      <c r="EXY142" s="109"/>
      <c r="EXZ142" s="107" t="s">
        <v>1</v>
      </c>
      <c r="EYA142" s="108"/>
      <c r="EYB142" s="108"/>
      <c r="EYC142" s="109"/>
      <c r="EYD142" s="107" t="s">
        <v>1</v>
      </c>
      <c r="EYE142" s="108"/>
      <c r="EYF142" s="108"/>
      <c r="EYG142" s="109"/>
      <c r="EYH142" s="107" t="s">
        <v>1</v>
      </c>
      <c r="EYI142" s="108"/>
      <c r="EYJ142" s="108"/>
      <c r="EYK142" s="109"/>
      <c r="EYL142" s="107" t="s">
        <v>1</v>
      </c>
      <c r="EYM142" s="108"/>
      <c r="EYN142" s="108"/>
      <c r="EYO142" s="109"/>
      <c r="EYP142" s="107" t="s">
        <v>1</v>
      </c>
      <c r="EYQ142" s="108"/>
      <c r="EYR142" s="108"/>
      <c r="EYS142" s="109"/>
      <c r="EYT142" s="107" t="s">
        <v>1</v>
      </c>
      <c r="EYU142" s="108"/>
      <c r="EYV142" s="108"/>
      <c r="EYW142" s="109"/>
      <c r="EYX142" s="107" t="s">
        <v>1</v>
      </c>
      <c r="EYY142" s="108"/>
      <c r="EYZ142" s="108"/>
      <c r="EZA142" s="109"/>
      <c r="EZB142" s="107" t="s">
        <v>1</v>
      </c>
      <c r="EZC142" s="108"/>
      <c r="EZD142" s="108"/>
      <c r="EZE142" s="109"/>
      <c r="EZF142" s="107" t="s">
        <v>1</v>
      </c>
      <c r="EZG142" s="108"/>
      <c r="EZH142" s="108"/>
      <c r="EZI142" s="109"/>
      <c r="EZJ142" s="107" t="s">
        <v>1</v>
      </c>
      <c r="EZK142" s="108"/>
      <c r="EZL142" s="108"/>
      <c r="EZM142" s="109"/>
      <c r="EZN142" s="107" t="s">
        <v>1</v>
      </c>
      <c r="EZO142" s="108"/>
      <c r="EZP142" s="108"/>
      <c r="EZQ142" s="109"/>
      <c r="EZR142" s="107" t="s">
        <v>1</v>
      </c>
      <c r="EZS142" s="108"/>
      <c r="EZT142" s="108"/>
      <c r="EZU142" s="109"/>
      <c r="EZV142" s="107" t="s">
        <v>1</v>
      </c>
      <c r="EZW142" s="108"/>
      <c r="EZX142" s="108"/>
      <c r="EZY142" s="109"/>
      <c r="EZZ142" s="107" t="s">
        <v>1</v>
      </c>
      <c r="FAA142" s="108"/>
      <c r="FAB142" s="108"/>
      <c r="FAC142" s="109"/>
      <c r="FAD142" s="107" t="s">
        <v>1</v>
      </c>
      <c r="FAE142" s="108"/>
      <c r="FAF142" s="108"/>
      <c r="FAG142" s="109"/>
      <c r="FAH142" s="107" t="s">
        <v>1</v>
      </c>
      <c r="FAI142" s="108"/>
      <c r="FAJ142" s="108"/>
      <c r="FAK142" s="109"/>
      <c r="FAL142" s="107" t="s">
        <v>1</v>
      </c>
      <c r="FAM142" s="108"/>
      <c r="FAN142" s="108"/>
      <c r="FAO142" s="109"/>
      <c r="FAP142" s="107" t="s">
        <v>1</v>
      </c>
      <c r="FAQ142" s="108"/>
      <c r="FAR142" s="108"/>
      <c r="FAS142" s="109"/>
      <c r="FAT142" s="107" t="s">
        <v>1</v>
      </c>
      <c r="FAU142" s="108"/>
      <c r="FAV142" s="108"/>
      <c r="FAW142" s="109"/>
      <c r="FAX142" s="107" t="s">
        <v>1</v>
      </c>
      <c r="FAY142" s="108"/>
      <c r="FAZ142" s="108"/>
      <c r="FBA142" s="109"/>
      <c r="FBB142" s="107" t="s">
        <v>1</v>
      </c>
      <c r="FBC142" s="108"/>
      <c r="FBD142" s="108"/>
      <c r="FBE142" s="109"/>
      <c r="FBF142" s="107" t="s">
        <v>1</v>
      </c>
      <c r="FBG142" s="108"/>
      <c r="FBH142" s="108"/>
      <c r="FBI142" s="109"/>
      <c r="FBJ142" s="107" t="s">
        <v>1</v>
      </c>
      <c r="FBK142" s="108"/>
      <c r="FBL142" s="108"/>
      <c r="FBM142" s="109"/>
      <c r="FBN142" s="107" t="s">
        <v>1</v>
      </c>
      <c r="FBO142" s="108"/>
      <c r="FBP142" s="108"/>
      <c r="FBQ142" s="109"/>
      <c r="FBR142" s="107" t="s">
        <v>1</v>
      </c>
      <c r="FBS142" s="108"/>
      <c r="FBT142" s="108"/>
      <c r="FBU142" s="109"/>
      <c r="FBV142" s="107" t="s">
        <v>1</v>
      </c>
      <c r="FBW142" s="108"/>
      <c r="FBX142" s="108"/>
      <c r="FBY142" s="109"/>
      <c r="FBZ142" s="107" t="s">
        <v>1</v>
      </c>
      <c r="FCA142" s="108"/>
      <c r="FCB142" s="108"/>
      <c r="FCC142" s="109"/>
      <c r="FCD142" s="107" t="s">
        <v>1</v>
      </c>
      <c r="FCE142" s="108"/>
      <c r="FCF142" s="108"/>
      <c r="FCG142" s="109"/>
      <c r="FCH142" s="107" t="s">
        <v>1</v>
      </c>
      <c r="FCI142" s="108"/>
      <c r="FCJ142" s="108"/>
      <c r="FCK142" s="109"/>
      <c r="FCL142" s="107" t="s">
        <v>1</v>
      </c>
      <c r="FCM142" s="108"/>
      <c r="FCN142" s="108"/>
      <c r="FCO142" s="109"/>
      <c r="FCP142" s="107" t="s">
        <v>1</v>
      </c>
      <c r="FCQ142" s="108"/>
      <c r="FCR142" s="108"/>
      <c r="FCS142" s="109"/>
      <c r="FCT142" s="107" t="s">
        <v>1</v>
      </c>
      <c r="FCU142" s="108"/>
      <c r="FCV142" s="108"/>
      <c r="FCW142" s="109"/>
      <c r="FCX142" s="107" t="s">
        <v>1</v>
      </c>
      <c r="FCY142" s="108"/>
      <c r="FCZ142" s="108"/>
      <c r="FDA142" s="109"/>
      <c r="FDB142" s="107" t="s">
        <v>1</v>
      </c>
      <c r="FDC142" s="108"/>
      <c r="FDD142" s="108"/>
      <c r="FDE142" s="109"/>
      <c r="FDF142" s="107" t="s">
        <v>1</v>
      </c>
      <c r="FDG142" s="108"/>
      <c r="FDH142" s="108"/>
      <c r="FDI142" s="109"/>
      <c r="FDJ142" s="107" t="s">
        <v>1</v>
      </c>
      <c r="FDK142" s="108"/>
      <c r="FDL142" s="108"/>
      <c r="FDM142" s="109"/>
      <c r="FDN142" s="107" t="s">
        <v>1</v>
      </c>
      <c r="FDO142" s="108"/>
      <c r="FDP142" s="108"/>
      <c r="FDQ142" s="109"/>
      <c r="FDR142" s="107" t="s">
        <v>1</v>
      </c>
      <c r="FDS142" s="108"/>
      <c r="FDT142" s="108"/>
      <c r="FDU142" s="109"/>
      <c r="FDV142" s="107" t="s">
        <v>1</v>
      </c>
      <c r="FDW142" s="108"/>
      <c r="FDX142" s="108"/>
      <c r="FDY142" s="109"/>
      <c r="FDZ142" s="107" t="s">
        <v>1</v>
      </c>
      <c r="FEA142" s="108"/>
      <c r="FEB142" s="108"/>
      <c r="FEC142" s="109"/>
      <c r="FED142" s="107" t="s">
        <v>1</v>
      </c>
      <c r="FEE142" s="108"/>
      <c r="FEF142" s="108"/>
      <c r="FEG142" s="109"/>
      <c r="FEH142" s="107" t="s">
        <v>1</v>
      </c>
      <c r="FEI142" s="108"/>
      <c r="FEJ142" s="108"/>
      <c r="FEK142" s="109"/>
      <c r="FEL142" s="107" t="s">
        <v>1</v>
      </c>
      <c r="FEM142" s="108"/>
      <c r="FEN142" s="108"/>
      <c r="FEO142" s="109"/>
      <c r="FEP142" s="107" t="s">
        <v>1</v>
      </c>
      <c r="FEQ142" s="108"/>
      <c r="FER142" s="108"/>
      <c r="FES142" s="109"/>
      <c r="FET142" s="107" t="s">
        <v>1</v>
      </c>
      <c r="FEU142" s="108"/>
      <c r="FEV142" s="108"/>
      <c r="FEW142" s="109"/>
      <c r="FEX142" s="107" t="s">
        <v>1</v>
      </c>
      <c r="FEY142" s="108"/>
      <c r="FEZ142" s="108"/>
      <c r="FFA142" s="109"/>
      <c r="FFB142" s="107" t="s">
        <v>1</v>
      </c>
      <c r="FFC142" s="108"/>
      <c r="FFD142" s="108"/>
      <c r="FFE142" s="109"/>
      <c r="FFF142" s="107" t="s">
        <v>1</v>
      </c>
      <c r="FFG142" s="108"/>
      <c r="FFH142" s="108"/>
      <c r="FFI142" s="109"/>
      <c r="FFJ142" s="107" t="s">
        <v>1</v>
      </c>
      <c r="FFK142" s="108"/>
      <c r="FFL142" s="108"/>
      <c r="FFM142" s="109"/>
      <c r="FFN142" s="107" t="s">
        <v>1</v>
      </c>
      <c r="FFO142" s="108"/>
      <c r="FFP142" s="108"/>
      <c r="FFQ142" s="109"/>
      <c r="FFR142" s="107" t="s">
        <v>1</v>
      </c>
      <c r="FFS142" s="108"/>
      <c r="FFT142" s="108"/>
      <c r="FFU142" s="109"/>
      <c r="FFV142" s="107" t="s">
        <v>1</v>
      </c>
      <c r="FFW142" s="108"/>
      <c r="FFX142" s="108"/>
      <c r="FFY142" s="109"/>
      <c r="FFZ142" s="107" t="s">
        <v>1</v>
      </c>
      <c r="FGA142" s="108"/>
      <c r="FGB142" s="108"/>
      <c r="FGC142" s="109"/>
      <c r="FGD142" s="107" t="s">
        <v>1</v>
      </c>
      <c r="FGE142" s="108"/>
      <c r="FGF142" s="108"/>
      <c r="FGG142" s="109"/>
      <c r="FGH142" s="107" t="s">
        <v>1</v>
      </c>
      <c r="FGI142" s="108"/>
      <c r="FGJ142" s="108"/>
      <c r="FGK142" s="109"/>
      <c r="FGL142" s="107" t="s">
        <v>1</v>
      </c>
      <c r="FGM142" s="108"/>
      <c r="FGN142" s="108"/>
      <c r="FGO142" s="109"/>
      <c r="FGP142" s="107" t="s">
        <v>1</v>
      </c>
      <c r="FGQ142" s="108"/>
      <c r="FGR142" s="108"/>
      <c r="FGS142" s="109"/>
      <c r="FGT142" s="107" t="s">
        <v>1</v>
      </c>
      <c r="FGU142" s="108"/>
      <c r="FGV142" s="108"/>
      <c r="FGW142" s="109"/>
      <c r="FGX142" s="107" t="s">
        <v>1</v>
      </c>
      <c r="FGY142" s="108"/>
      <c r="FGZ142" s="108"/>
      <c r="FHA142" s="109"/>
      <c r="FHB142" s="107" t="s">
        <v>1</v>
      </c>
      <c r="FHC142" s="108"/>
      <c r="FHD142" s="108"/>
      <c r="FHE142" s="109"/>
      <c r="FHF142" s="107" t="s">
        <v>1</v>
      </c>
      <c r="FHG142" s="108"/>
      <c r="FHH142" s="108"/>
      <c r="FHI142" s="109"/>
      <c r="FHJ142" s="107" t="s">
        <v>1</v>
      </c>
      <c r="FHK142" s="108"/>
      <c r="FHL142" s="108"/>
      <c r="FHM142" s="109"/>
      <c r="FHN142" s="107" t="s">
        <v>1</v>
      </c>
      <c r="FHO142" s="108"/>
      <c r="FHP142" s="108"/>
      <c r="FHQ142" s="109"/>
      <c r="FHR142" s="107" t="s">
        <v>1</v>
      </c>
      <c r="FHS142" s="108"/>
      <c r="FHT142" s="108"/>
      <c r="FHU142" s="109"/>
      <c r="FHV142" s="107" t="s">
        <v>1</v>
      </c>
      <c r="FHW142" s="108"/>
      <c r="FHX142" s="108"/>
      <c r="FHY142" s="109"/>
      <c r="FHZ142" s="107" t="s">
        <v>1</v>
      </c>
      <c r="FIA142" s="108"/>
      <c r="FIB142" s="108"/>
      <c r="FIC142" s="109"/>
      <c r="FID142" s="107" t="s">
        <v>1</v>
      </c>
      <c r="FIE142" s="108"/>
      <c r="FIF142" s="108"/>
      <c r="FIG142" s="109"/>
      <c r="FIH142" s="107" t="s">
        <v>1</v>
      </c>
      <c r="FII142" s="108"/>
      <c r="FIJ142" s="108"/>
      <c r="FIK142" s="109"/>
      <c r="FIL142" s="107" t="s">
        <v>1</v>
      </c>
      <c r="FIM142" s="108"/>
      <c r="FIN142" s="108"/>
      <c r="FIO142" s="109"/>
      <c r="FIP142" s="107" t="s">
        <v>1</v>
      </c>
      <c r="FIQ142" s="108"/>
      <c r="FIR142" s="108"/>
      <c r="FIS142" s="109"/>
      <c r="FIT142" s="107" t="s">
        <v>1</v>
      </c>
      <c r="FIU142" s="108"/>
      <c r="FIV142" s="108"/>
      <c r="FIW142" s="109"/>
      <c r="FIX142" s="107" t="s">
        <v>1</v>
      </c>
      <c r="FIY142" s="108"/>
      <c r="FIZ142" s="108"/>
      <c r="FJA142" s="109"/>
      <c r="FJB142" s="107" t="s">
        <v>1</v>
      </c>
      <c r="FJC142" s="108"/>
      <c r="FJD142" s="108"/>
      <c r="FJE142" s="109"/>
      <c r="FJF142" s="107" t="s">
        <v>1</v>
      </c>
      <c r="FJG142" s="108"/>
      <c r="FJH142" s="108"/>
      <c r="FJI142" s="109"/>
      <c r="FJJ142" s="107" t="s">
        <v>1</v>
      </c>
      <c r="FJK142" s="108"/>
      <c r="FJL142" s="108"/>
      <c r="FJM142" s="109"/>
      <c r="FJN142" s="107" t="s">
        <v>1</v>
      </c>
      <c r="FJO142" s="108"/>
      <c r="FJP142" s="108"/>
      <c r="FJQ142" s="109"/>
      <c r="FJR142" s="107" t="s">
        <v>1</v>
      </c>
      <c r="FJS142" s="108"/>
      <c r="FJT142" s="108"/>
      <c r="FJU142" s="109"/>
      <c r="FJV142" s="107" t="s">
        <v>1</v>
      </c>
      <c r="FJW142" s="108"/>
      <c r="FJX142" s="108"/>
      <c r="FJY142" s="109"/>
      <c r="FJZ142" s="107" t="s">
        <v>1</v>
      </c>
      <c r="FKA142" s="108"/>
      <c r="FKB142" s="108"/>
      <c r="FKC142" s="109"/>
      <c r="FKD142" s="107" t="s">
        <v>1</v>
      </c>
      <c r="FKE142" s="108"/>
      <c r="FKF142" s="108"/>
      <c r="FKG142" s="109"/>
      <c r="FKH142" s="107" t="s">
        <v>1</v>
      </c>
      <c r="FKI142" s="108"/>
      <c r="FKJ142" s="108"/>
      <c r="FKK142" s="109"/>
      <c r="FKL142" s="107" t="s">
        <v>1</v>
      </c>
      <c r="FKM142" s="108"/>
      <c r="FKN142" s="108"/>
      <c r="FKO142" s="109"/>
      <c r="FKP142" s="107" t="s">
        <v>1</v>
      </c>
      <c r="FKQ142" s="108"/>
      <c r="FKR142" s="108"/>
      <c r="FKS142" s="109"/>
      <c r="FKT142" s="107" t="s">
        <v>1</v>
      </c>
      <c r="FKU142" s="108"/>
      <c r="FKV142" s="108"/>
      <c r="FKW142" s="109"/>
      <c r="FKX142" s="107" t="s">
        <v>1</v>
      </c>
      <c r="FKY142" s="108"/>
      <c r="FKZ142" s="108"/>
      <c r="FLA142" s="109"/>
      <c r="FLB142" s="107" t="s">
        <v>1</v>
      </c>
      <c r="FLC142" s="108"/>
      <c r="FLD142" s="108"/>
      <c r="FLE142" s="109"/>
      <c r="FLF142" s="107" t="s">
        <v>1</v>
      </c>
      <c r="FLG142" s="108"/>
      <c r="FLH142" s="108"/>
      <c r="FLI142" s="109"/>
      <c r="FLJ142" s="107" t="s">
        <v>1</v>
      </c>
      <c r="FLK142" s="108"/>
      <c r="FLL142" s="108"/>
      <c r="FLM142" s="109"/>
      <c r="FLN142" s="107" t="s">
        <v>1</v>
      </c>
      <c r="FLO142" s="108"/>
      <c r="FLP142" s="108"/>
      <c r="FLQ142" s="109"/>
      <c r="FLR142" s="107" t="s">
        <v>1</v>
      </c>
      <c r="FLS142" s="108"/>
      <c r="FLT142" s="108"/>
      <c r="FLU142" s="109"/>
      <c r="FLV142" s="107" t="s">
        <v>1</v>
      </c>
      <c r="FLW142" s="108"/>
      <c r="FLX142" s="108"/>
      <c r="FLY142" s="109"/>
      <c r="FLZ142" s="107" t="s">
        <v>1</v>
      </c>
      <c r="FMA142" s="108"/>
      <c r="FMB142" s="108"/>
      <c r="FMC142" s="109"/>
      <c r="FMD142" s="107" t="s">
        <v>1</v>
      </c>
      <c r="FME142" s="108"/>
      <c r="FMF142" s="108"/>
      <c r="FMG142" s="109"/>
      <c r="FMH142" s="107" t="s">
        <v>1</v>
      </c>
      <c r="FMI142" s="108"/>
      <c r="FMJ142" s="108"/>
      <c r="FMK142" s="109"/>
      <c r="FML142" s="107" t="s">
        <v>1</v>
      </c>
      <c r="FMM142" s="108"/>
      <c r="FMN142" s="108"/>
      <c r="FMO142" s="109"/>
      <c r="FMP142" s="107" t="s">
        <v>1</v>
      </c>
      <c r="FMQ142" s="108"/>
      <c r="FMR142" s="108"/>
      <c r="FMS142" s="109"/>
      <c r="FMT142" s="107" t="s">
        <v>1</v>
      </c>
      <c r="FMU142" s="108"/>
      <c r="FMV142" s="108"/>
      <c r="FMW142" s="109"/>
      <c r="FMX142" s="107" t="s">
        <v>1</v>
      </c>
      <c r="FMY142" s="108"/>
      <c r="FMZ142" s="108"/>
      <c r="FNA142" s="109"/>
      <c r="FNB142" s="107" t="s">
        <v>1</v>
      </c>
      <c r="FNC142" s="108"/>
      <c r="FND142" s="108"/>
      <c r="FNE142" s="109"/>
      <c r="FNF142" s="107" t="s">
        <v>1</v>
      </c>
      <c r="FNG142" s="108"/>
      <c r="FNH142" s="108"/>
      <c r="FNI142" s="109"/>
      <c r="FNJ142" s="107" t="s">
        <v>1</v>
      </c>
      <c r="FNK142" s="108"/>
      <c r="FNL142" s="108"/>
      <c r="FNM142" s="109"/>
      <c r="FNN142" s="107" t="s">
        <v>1</v>
      </c>
      <c r="FNO142" s="108"/>
      <c r="FNP142" s="108"/>
      <c r="FNQ142" s="109"/>
      <c r="FNR142" s="107" t="s">
        <v>1</v>
      </c>
      <c r="FNS142" s="108"/>
      <c r="FNT142" s="108"/>
      <c r="FNU142" s="109"/>
      <c r="FNV142" s="107" t="s">
        <v>1</v>
      </c>
      <c r="FNW142" s="108"/>
      <c r="FNX142" s="108"/>
      <c r="FNY142" s="109"/>
      <c r="FNZ142" s="107" t="s">
        <v>1</v>
      </c>
      <c r="FOA142" s="108"/>
      <c r="FOB142" s="108"/>
      <c r="FOC142" s="109"/>
      <c r="FOD142" s="107" t="s">
        <v>1</v>
      </c>
      <c r="FOE142" s="108"/>
      <c r="FOF142" s="108"/>
      <c r="FOG142" s="109"/>
      <c r="FOH142" s="107" t="s">
        <v>1</v>
      </c>
      <c r="FOI142" s="108"/>
      <c r="FOJ142" s="108"/>
      <c r="FOK142" s="109"/>
      <c r="FOL142" s="107" t="s">
        <v>1</v>
      </c>
      <c r="FOM142" s="108"/>
      <c r="FON142" s="108"/>
      <c r="FOO142" s="109"/>
      <c r="FOP142" s="107" t="s">
        <v>1</v>
      </c>
      <c r="FOQ142" s="108"/>
      <c r="FOR142" s="108"/>
      <c r="FOS142" s="109"/>
      <c r="FOT142" s="107" t="s">
        <v>1</v>
      </c>
      <c r="FOU142" s="108"/>
      <c r="FOV142" s="108"/>
      <c r="FOW142" s="109"/>
      <c r="FOX142" s="107" t="s">
        <v>1</v>
      </c>
      <c r="FOY142" s="108"/>
      <c r="FOZ142" s="108"/>
      <c r="FPA142" s="109"/>
      <c r="FPB142" s="107" t="s">
        <v>1</v>
      </c>
      <c r="FPC142" s="108"/>
      <c r="FPD142" s="108"/>
      <c r="FPE142" s="109"/>
      <c r="FPF142" s="107" t="s">
        <v>1</v>
      </c>
      <c r="FPG142" s="108"/>
      <c r="FPH142" s="108"/>
      <c r="FPI142" s="109"/>
      <c r="FPJ142" s="107" t="s">
        <v>1</v>
      </c>
      <c r="FPK142" s="108"/>
      <c r="FPL142" s="108"/>
      <c r="FPM142" s="109"/>
      <c r="FPN142" s="107" t="s">
        <v>1</v>
      </c>
      <c r="FPO142" s="108"/>
      <c r="FPP142" s="108"/>
      <c r="FPQ142" s="109"/>
      <c r="FPR142" s="107" t="s">
        <v>1</v>
      </c>
      <c r="FPS142" s="108"/>
      <c r="FPT142" s="108"/>
      <c r="FPU142" s="109"/>
      <c r="FPV142" s="107" t="s">
        <v>1</v>
      </c>
      <c r="FPW142" s="108"/>
      <c r="FPX142" s="108"/>
      <c r="FPY142" s="109"/>
      <c r="FPZ142" s="107" t="s">
        <v>1</v>
      </c>
      <c r="FQA142" s="108"/>
      <c r="FQB142" s="108"/>
      <c r="FQC142" s="109"/>
      <c r="FQD142" s="107" t="s">
        <v>1</v>
      </c>
      <c r="FQE142" s="108"/>
      <c r="FQF142" s="108"/>
      <c r="FQG142" s="109"/>
      <c r="FQH142" s="107" t="s">
        <v>1</v>
      </c>
      <c r="FQI142" s="108"/>
      <c r="FQJ142" s="108"/>
      <c r="FQK142" s="109"/>
      <c r="FQL142" s="107" t="s">
        <v>1</v>
      </c>
      <c r="FQM142" s="108"/>
      <c r="FQN142" s="108"/>
      <c r="FQO142" s="109"/>
      <c r="FQP142" s="107" t="s">
        <v>1</v>
      </c>
      <c r="FQQ142" s="108"/>
      <c r="FQR142" s="108"/>
      <c r="FQS142" s="109"/>
      <c r="FQT142" s="107" t="s">
        <v>1</v>
      </c>
      <c r="FQU142" s="108"/>
      <c r="FQV142" s="108"/>
      <c r="FQW142" s="109"/>
      <c r="FQX142" s="107" t="s">
        <v>1</v>
      </c>
      <c r="FQY142" s="108"/>
      <c r="FQZ142" s="108"/>
      <c r="FRA142" s="109"/>
      <c r="FRB142" s="107" t="s">
        <v>1</v>
      </c>
      <c r="FRC142" s="108"/>
      <c r="FRD142" s="108"/>
      <c r="FRE142" s="109"/>
      <c r="FRF142" s="107" t="s">
        <v>1</v>
      </c>
      <c r="FRG142" s="108"/>
      <c r="FRH142" s="108"/>
      <c r="FRI142" s="109"/>
      <c r="FRJ142" s="107" t="s">
        <v>1</v>
      </c>
      <c r="FRK142" s="108"/>
      <c r="FRL142" s="108"/>
      <c r="FRM142" s="109"/>
      <c r="FRN142" s="107" t="s">
        <v>1</v>
      </c>
      <c r="FRO142" s="108"/>
      <c r="FRP142" s="108"/>
      <c r="FRQ142" s="109"/>
      <c r="FRR142" s="107" t="s">
        <v>1</v>
      </c>
      <c r="FRS142" s="108"/>
      <c r="FRT142" s="108"/>
      <c r="FRU142" s="109"/>
      <c r="FRV142" s="107" t="s">
        <v>1</v>
      </c>
      <c r="FRW142" s="108"/>
      <c r="FRX142" s="108"/>
      <c r="FRY142" s="109"/>
      <c r="FRZ142" s="107" t="s">
        <v>1</v>
      </c>
      <c r="FSA142" s="108"/>
      <c r="FSB142" s="108"/>
      <c r="FSC142" s="109"/>
      <c r="FSD142" s="107" t="s">
        <v>1</v>
      </c>
      <c r="FSE142" s="108"/>
      <c r="FSF142" s="108"/>
      <c r="FSG142" s="109"/>
      <c r="FSH142" s="107" t="s">
        <v>1</v>
      </c>
      <c r="FSI142" s="108"/>
      <c r="FSJ142" s="108"/>
      <c r="FSK142" s="109"/>
      <c r="FSL142" s="107" t="s">
        <v>1</v>
      </c>
      <c r="FSM142" s="108"/>
      <c r="FSN142" s="108"/>
      <c r="FSO142" s="109"/>
      <c r="FSP142" s="107" t="s">
        <v>1</v>
      </c>
      <c r="FSQ142" s="108"/>
      <c r="FSR142" s="108"/>
      <c r="FSS142" s="109"/>
      <c r="FST142" s="107" t="s">
        <v>1</v>
      </c>
      <c r="FSU142" s="108"/>
      <c r="FSV142" s="108"/>
      <c r="FSW142" s="109"/>
      <c r="FSX142" s="107" t="s">
        <v>1</v>
      </c>
      <c r="FSY142" s="108"/>
      <c r="FSZ142" s="108"/>
      <c r="FTA142" s="109"/>
      <c r="FTB142" s="107" t="s">
        <v>1</v>
      </c>
      <c r="FTC142" s="108"/>
      <c r="FTD142" s="108"/>
      <c r="FTE142" s="109"/>
      <c r="FTF142" s="107" t="s">
        <v>1</v>
      </c>
      <c r="FTG142" s="108"/>
      <c r="FTH142" s="108"/>
      <c r="FTI142" s="109"/>
      <c r="FTJ142" s="107" t="s">
        <v>1</v>
      </c>
      <c r="FTK142" s="108"/>
      <c r="FTL142" s="108"/>
      <c r="FTM142" s="109"/>
      <c r="FTN142" s="107" t="s">
        <v>1</v>
      </c>
      <c r="FTO142" s="108"/>
      <c r="FTP142" s="108"/>
      <c r="FTQ142" s="109"/>
      <c r="FTR142" s="107" t="s">
        <v>1</v>
      </c>
      <c r="FTS142" s="108"/>
      <c r="FTT142" s="108"/>
      <c r="FTU142" s="109"/>
      <c r="FTV142" s="107" t="s">
        <v>1</v>
      </c>
      <c r="FTW142" s="108"/>
      <c r="FTX142" s="108"/>
      <c r="FTY142" s="109"/>
      <c r="FTZ142" s="107" t="s">
        <v>1</v>
      </c>
      <c r="FUA142" s="108"/>
      <c r="FUB142" s="108"/>
      <c r="FUC142" s="109"/>
      <c r="FUD142" s="107" t="s">
        <v>1</v>
      </c>
      <c r="FUE142" s="108"/>
      <c r="FUF142" s="108"/>
      <c r="FUG142" s="109"/>
      <c r="FUH142" s="107" t="s">
        <v>1</v>
      </c>
      <c r="FUI142" s="108"/>
      <c r="FUJ142" s="108"/>
      <c r="FUK142" s="109"/>
      <c r="FUL142" s="107" t="s">
        <v>1</v>
      </c>
      <c r="FUM142" s="108"/>
      <c r="FUN142" s="108"/>
      <c r="FUO142" s="109"/>
      <c r="FUP142" s="107" t="s">
        <v>1</v>
      </c>
      <c r="FUQ142" s="108"/>
      <c r="FUR142" s="108"/>
      <c r="FUS142" s="109"/>
      <c r="FUT142" s="107" t="s">
        <v>1</v>
      </c>
      <c r="FUU142" s="108"/>
      <c r="FUV142" s="108"/>
      <c r="FUW142" s="109"/>
      <c r="FUX142" s="107" t="s">
        <v>1</v>
      </c>
      <c r="FUY142" s="108"/>
      <c r="FUZ142" s="108"/>
      <c r="FVA142" s="109"/>
      <c r="FVB142" s="107" t="s">
        <v>1</v>
      </c>
      <c r="FVC142" s="108"/>
      <c r="FVD142" s="108"/>
      <c r="FVE142" s="109"/>
      <c r="FVF142" s="107" t="s">
        <v>1</v>
      </c>
      <c r="FVG142" s="108"/>
      <c r="FVH142" s="108"/>
      <c r="FVI142" s="109"/>
      <c r="FVJ142" s="107" t="s">
        <v>1</v>
      </c>
      <c r="FVK142" s="108"/>
      <c r="FVL142" s="108"/>
      <c r="FVM142" s="109"/>
      <c r="FVN142" s="107" t="s">
        <v>1</v>
      </c>
      <c r="FVO142" s="108"/>
      <c r="FVP142" s="108"/>
      <c r="FVQ142" s="109"/>
      <c r="FVR142" s="107" t="s">
        <v>1</v>
      </c>
      <c r="FVS142" s="108"/>
      <c r="FVT142" s="108"/>
      <c r="FVU142" s="109"/>
      <c r="FVV142" s="107" t="s">
        <v>1</v>
      </c>
      <c r="FVW142" s="108"/>
      <c r="FVX142" s="108"/>
      <c r="FVY142" s="109"/>
      <c r="FVZ142" s="107" t="s">
        <v>1</v>
      </c>
      <c r="FWA142" s="108"/>
      <c r="FWB142" s="108"/>
      <c r="FWC142" s="109"/>
      <c r="FWD142" s="107" t="s">
        <v>1</v>
      </c>
      <c r="FWE142" s="108"/>
      <c r="FWF142" s="108"/>
      <c r="FWG142" s="109"/>
      <c r="FWH142" s="107" t="s">
        <v>1</v>
      </c>
      <c r="FWI142" s="108"/>
      <c r="FWJ142" s="108"/>
      <c r="FWK142" s="109"/>
      <c r="FWL142" s="107" t="s">
        <v>1</v>
      </c>
      <c r="FWM142" s="108"/>
      <c r="FWN142" s="108"/>
      <c r="FWO142" s="109"/>
      <c r="FWP142" s="107" t="s">
        <v>1</v>
      </c>
      <c r="FWQ142" s="108"/>
      <c r="FWR142" s="108"/>
      <c r="FWS142" s="109"/>
      <c r="FWT142" s="107" t="s">
        <v>1</v>
      </c>
      <c r="FWU142" s="108"/>
      <c r="FWV142" s="108"/>
      <c r="FWW142" s="109"/>
      <c r="FWX142" s="107" t="s">
        <v>1</v>
      </c>
      <c r="FWY142" s="108"/>
      <c r="FWZ142" s="108"/>
      <c r="FXA142" s="109"/>
      <c r="FXB142" s="107" t="s">
        <v>1</v>
      </c>
      <c r="FXC142" s="108"/>
      <c r="FXD142" s="108"/>
      <c r="FXE142" s="109"/>
      <c r="FXF142" s="107" t="s">
        <v>1</v>
      </c>
      <c r="FXG142" s="108"/>
      <c r="FXH142" s="108"/>
      <c r="FXI142" s="109"/>
      <c r="FXJ142" s="107" t="s">
        <v>1</v>
      </c>
      <c r="FXK142" s="108"/>
      <c r="FXL142" s="108"/>
      <c r="FXM142" s="109"/>
      <c r="FXN142" s="107" t="s">
        <v>1</v>
      </c>
      <c r="FXO142" s="108"/>
      <c r="FXP142" s="108"/>
      <c r="FXQ142" s="109"/>
      <c r="FXR142" s="107" t="s">
        <v>1</v>
      </c>
      <c r="FXS142" s="108"/>
      <c r="FXT142" s="108"/>
      <c r="FXU142" s="109"/>
      <c r="FXV142" s="107" t="s">
        <v>1</v>
      </c>
      <c r="FXW142" s="108"/>
      <c r="FXX142" s="108"/>
      <c r="FXY142" s="109"/>
      <c r="FXZ142" s="107" t="s">
        <v>1</v>
      </c>
      <c r="FYA142" s="108"/>
      <c r="FYB142" s="108"/>
      <c r="FYC142" s="109"/>
      <c r="FYD142" s="107" t="s">
        <v>1</v>
      </c>
      <c r="FYE142" s="108"/>
      <c r="FYF142" s="108"/>
      <c r="FYG142" s="109"/>
      <c r="FYH142" s="107" t="s">
        <v>1</v>
      </c>
      <c r="FYI142" s="108"/>
      <c r="FYJ142" s="108"/>
      <c r="FYK142" s="109"/>
      <c r="FYL142" s="107" t="s">
        <v>1</v>
      </c>
      <c r="FYM142" s="108"/>
      <c r="FYN142" s="108"/>
      <c r="FYO142" s="109"/>
      <c r="FYP142" s="107" t="s">
        <v>1</v>
      </c>
      <c r="FYQ142" s="108"/>
      <c r="FYR142" s="108"/>
      <c r="FYS142" s="109"/>
      <c r="FYT142" s="107" t="s">
        <v>1</v>
      </c>
      <c r="FYU142" s="108"/>
      <c r="FYV142" s="108"/>
      <c r="FYW142" s="109"/>
      <c r="FYX142" s="107" t="s">
        <v>1</v>
      </c>
      <c r="FYY142" s="108"/>
      <c r="FYZ142" s="108"/>
      <c r="FZA142" s="109"/>
      <c r="FZB142" s="107" t="s">
        <v>1</v>
      </c>
      <c r="FZC142" s="108"/>
      <c r="FZD142" s="108"/>
      <c r="FZE142" s="109"/>
      <c r="FZF142" s="107" t="s">
        <v>1</v>
      </c>
      <c r="FZG142" s="108"/>
      <c r="FZH142" s="108"/>
      <c r="FZI142" s="109"/>
      <c r="FZJ142" s="107" t="s">
        <v>1</v>
      </c>
      <c r="FZK142" s="108"/>
      <c r="FZL142" s="108"/>
      <c r="FZM142" s="109"/>
      <c r="FZN142" s="107" t="s">
        <v>1</v>
      </c>
      <c r="FZO142" s="108"/>
      <c r="FZP142" s="108"/>
      <c r="FZQ142" s="109"/>
      <c r="FZR142" s="107" t="s">
        <v>1</v>
      </c>
      <c r="FZS142" s="108"/>
      <c r="FZT142" s="108"/>
      <c r="FZU142" s="109"/>
      <c r="FZV142" s="107" t="s">
        <v>1</v>
      </c>
      <c r="FZW142" s="108"/>
      <c r="FZX142" s="108"/>
      <c r="FZY142" s="109"/>
      <c r="FZZ142" s="107" t="s">
        <v>1</v>
      </c>
      <c r="GAA142" s="108"/>
      <c r="GAB142" s="108"/>
      <c r="GAC142" s="109"/>
      <c r="GAD142" s="107" t="s">
        <v>1</v>
      </c>
      <c r="GAE142" s="108"/>
      <c r="GAF142" s="108"/>
      <c r="GAG142" s="109"/>
      <c r="GAH142" s="107" t="s">
        <v>1</v>
      </c>
      <c r="GAI142" s="108"/>
      <c r="GAJ142" s="108"/>
      <c r="GAK142" s="109"/>
      <c r="GAL142" s="107" t="s">
        <v>1</v>
      </c>
      <c r="GAM142" s="108"/>
      <c r="GAN142" s="108"/>
      <c r="GAO142" s="109"/>
      <c r="GAP142" s="107" t="s">
        <v>1</v>
      </c>
      <c r="GAQ142" s="108"/>
      <c r="GAR142" s="108"/>
      <c r="GAS142" s="109"/>
      <c r="GAT142" s="107" t="s">
        <v>1</v>
      </c>
      <c r="GAU142" s="108"/>
      <c r="GAV142" s="108"/>
      <c r="GAW142" s="109"/>
      <c r="GAX142" s="107" t="s">
        <v>1</v>
      </c>
      <c r="GAY142" s="108"/>
      <c r="GAZ142" s="108"/>
      <c r="GBA142" s="109"/>
      <c r="GBB142" s="107" t="s">
        <v>1</v>
      </c>
      <c r="GBC142" s="108"/>
      <c r="GBD142" s="108"/>
      <c r="GBE142" s="109"/>
      <c r="GBF142" s="107" t="s">
        <v>1</v>
      </c>
      <c r="GBG142" s="108"/>
      <c r="GBH142" s="108"/>
      <c r="GBI142" s="109"/>
      <c r="GBJ142" s="107" t="s">
        <v>1</v>
      </c>
      <c r="GBK142" s="108"/>
      <c r="GBL142" s="108"/>
      <c r="GBM142" s="109"/>
      <c r="GBN142" s="107" t="s">
        <v>1</v>
      </c>
      <c r="GBO142" s="108"/>
      <c r="GBP142" s="108"/>
      <c r="GBQ142" s="109"/>
      <c r="GBR142" s="107" t="s">
        <v>1</v>
      </c>
      <c r="GBS142" s="108"/>
      <c r="GBT142" s="108"/>
      <c r="GBU142" s="109"/>
      <c r="GBV142" s="107" t="s">
        <v>1</v>
      </c>
      <c r="GBW142" s="108"/>
      <c r="GBX142" s="108"/>
      <c r="GBY142" s="109"/>
      <c r="GBZ142" s="107" t="s">
        <v>1</v>
      </c>
      <c r="GCA142" s="108"/>
      <c r="GCB142" s="108"/>
      <c r="GCC142" s="109"/>
      <c r="GCD142" s="107" t="s">
        <v>1</v>
      </c>
      <c r="GCE142" s="108"/>
      <c r="GCF142" s="108"/>
      <c r="GCG142" s="109"/>
      <c r="GCH142" s="107" t="s">
        <v>1</v>
      </c>
      <c r="GCI142" s="108"/>
      <c r="GCJ142" s="108"/>
      <c r="GCK142" s="109"/>
      <c r="GCL142" s="107" t="s">
        <v>1</v>
      </c>
      <c r="GCM142" s="108"/>
      <c r="GCN142" s="108"/>
      <c r="GCO142" s="109"/>
      <c r="GCP142" s="107" t="s">
        <v>1</v>
      </c>
      <c r="GCQ142" s="108"/>
      <c r="GCR142" s="108"/>
      <c r="GCS142" s="109"/>
      <c r="GCT142" s="107" t="s">
        <v>1</v>
      </c>
      <c r="GCU142" s="108"/>
      <c r="GCV142" s="108"/>
      <c r="GCW142" s="109"/>
      <c r="GCX142" s="107" t="s">
        <v>1</v>
      </c>
      <c r="GCY142" s="108"/>
      <c r="GCZ142" s="108"/>
      <c r="GDA142" s="109"/>
      <c r="GDB142" s="107" t="s">
        <v>1</v>
      </c>
      <c r="GDC142" s="108"/>
      <c r="GDD142" s="108"/>
      <c r="GDE142" s="109"/>
      <c r="GDF142" s="107" t="s">
        <v>1</v>
      </c>
      <c r="GDG142" s="108"/>
      <c r="GDH142" s="108"/>
      <c r="GDI142" s="109"/>
      <c r="GDJ142" s="107" t="s">
        <v>1</v>
      </c>
      <c r="GDK142" s="108"/>
      <c r="GDL142" s="108"/>
      <c r="GDM142" s="109"/>
      <c r="GDN142" s="107" t="s">
        <v>1</v>
      </c>
      <c r="GDO142" s="108"/>
      <c r="GDP142" s="108"/>
      <c r="GDQ142" s="109"/>
      <c r="GDR142" s="107" t="s">
        <v>1</v>
      </c>
      <c r="GDS142" s="108"/>
      <c r="GDT142" s="108"/>
      <c r="GDU142" s="109"/>
      <c r="GDV142" s="107" t="s">
        <v>1</v>
      </c>
      <c r="GDW142" s="108"/>
      <c r="GDX142" s="108"/>
      <c r="GDY142" s="109"/>
      <c r="GDZ142" s="107" t="s">
        <v>1</v>
      </c>
      <c r="GEA142" s="108"/>
      <c r="GEB142" s="108"/>
      <c r="GEC142" s="109"/>
      <c r="GED142" s="107" t="s">
        <v>1</v>
      </c>
      <c r="GEE142" s="108"/>
      <c r="GEF142" s="108"/>
      <c r="GEG142" s="109"/>
      <c r="GEH142" s="107" t="s">
        <v>1</v>
      </c>
      <c r="GEI142" s="108"/>
      <c r="GEJ142" s="108"/>
      <c r="GEK142" s="109"/>
      <c r="GEL142" s="107" t="s">
        <v>1</v>
      </c>
      <c r="GEM142" s="108"/>
      <c r="GEN142" s="108"/>
      <c r="GEO142" s="109"/>
      <c r="GEP142" s="107" t="s">
        <v>1</v>
      </c>
      <c r="GEQ142" s="108"/>
      <c r="GER142" s="108"/>
      <c r="GES142" s="109"/>
      <c r="GET142" s="107" t="s">
        <v>1</v>
      </c>
      <c r="GEU142" s="108"/>
      <c r="GEV142" s="108"/>
      <c r="GEW142" s="109"/>
      <c r="GEX142" s="107" t="s">
        <v>1</v>
      </c>
      <c r="GEY142" s="108"/>
      <c r="GEZ142" s="108"/>
      <c r="GFA142" s="109"/>
      <c r="GFB142" s="107" t="s">
        <v>1</v>
      </c>
      <c r="GFC142" s="108"/>
      <c r="GFD142" s="108"/>
      <c r="GFE142" s="109"/>
      <c r="GFF142" s="107" t="s">
        <v>1</v>
      </c>
      <c r="GFG142" s="108"/>
      <c r="GFH142" s="108"/>
      <c r="GFI142" s="109"/>
      <c r="GFJ142" s="107" t="s">
        <v>1</v>
      </c>
      <c r="GFK142" s="108"/>
      <c r="GFL142" s="108"/>
      <c r="GFM142" s="109"/>
      <c r="GFN142" s="107" t="s">
        <v>1</v>
      </c>
      <c r="GFO142" s="108"/>
      <c r="GFP142" s="108"/>
      <c r="GFQ142" s="109"/>
      <c r="GFR142" s="107" t="s">
        <v>1</v>
      </c>
      <c r="GFS142" s="108"/>
      <c r="GFT142" s="108"/>
      <c r="GFU142" s="109"/>
      <c r="GFV142" s="107" t="s">
        <v>1</v>
      </c>
      <c r="GFW142" s="108"/>
      <c r="GFX142" s="108"/>
      <c r="GFY142" s="109"/>
      <c r="GFZ142" s="107" t="s">
        <v>1</v>
      </c>
      <c r="GGA142" s="108"/>
      <c r="GGB142" s="108"/>
      <c r="GGC142" s="109"/>
      <c r="GGD142" s="107" t="s">
        <v>1</v>
      </c>
      <c r="GGE142" s="108"/>
      <c r="GGF142" s="108"/>
      <c r="GGG142" s="109"/>
      <c r="GGH142" s="107" t="s">
        <v>1</v>
      </c>
      <c r="GGI142" s="108"/>
      <c r="GGJ142" s="108"/>
      <c r="GGK142" s="109"/>
      <c r="GGL142" s="107" t="s">
        <v>1</v>
      </c>
      <c r="GGM142" s="108"/>
      <c r="GGN142" s="108"/>
      <c r="GGO142" s="109"/>
      <c r="GGP142" s="107" t="s">
        <v>1</v>
      </c>
      <c r="GGQ142" s="108"/>
      <c r="GGR142" s="108"/>
      <c r="GGS142" s="109"/>
      <c r="GGT142" s="107" t="s">
        <v>1</v>
      </c>
      <c r="GGU142" s="108"/>
      <c r="GGV142" s="108"/>
      <c r="GGW142" s="109"/>
      <c r="GGX142" s="107" t="s">
        <v>1</v>
      </c>
      <c r="GGY142" s="108"/>
      <c r="GGZ142" s="108"/>
      <c r="GHA142" s="109"/>
      <c r="GHB142" s="107" t="s">
        <v>1</v>
      </c>
      <c r="GHC142" s="108"/>
      <c r="GHD142" s="108"/>
      <c r="GHE142" s="109"/>
      <c r="GHF142" s="107" t="s">
        <v>1</v>
      </c>
      <c r="GHG142" s="108"/>
      <c r="GHH142" s="108"/>
      <c r="GHI142" s="109"/>
      <c r="GHJ142" s="107" t="s">
        <v>1</v>
      </c>
      <c r="GHK142" s="108"/>
      <c r="GHL142" s="108"/>
      <c r="GHM142" s="109"/>
      <c r="GHN142" s="107" t="s">
        <v>1</v>
      </c>
      <c r="GHO142" s="108"/>
      <c r="GHP142" s="108"/>
      <c r="GHQ142" s="109"/>
      <c r="GHR142" s="107" t="s">
        <v>1</v>
      </c>
      <c r="GHS142" s="108"/>
      <c r="GHT142" s="108"/>
      <c r="GHU142" s="109"/>
      <c r="GHV142" s="107" t="s">
        <v>1</v>
      </c>
      <c r="GHW142" s="108"/>
      <c r="GHX142" s="108"/>
      <c r="GHY142" s="109"/>
      <c r="GHZ142" s="107" t="s">
        <v>1</v>
      </c>
      <c r="GIA142" s="108"/>
      <c r="GIB142" s="108"/>
      <c r="GIC142" s="109"/>
      <c r="GID142" s="107" t="s">
        <v>1</v>
      </c>
      <c r="GIE142" s="108"/>
      <c r="GIF142" s="108"/>
      <c r="GIG142" s="109"/>
      <c r="GIH142" s="107" t="s">
        <v>1</v>
      </c>
      <c r="GII142" s="108"/>
      <c r="GIJ142" s="108"/>
      <c r="GIK142" s="109"/>
      <c r="GIL142" s="107" t="s">
        <v>1</v>
      </c>
      <c r="GIM142" s="108"/>
      <c r="GIN142" s="108"/>
      <c r="GIO142" s="109"/>
      <c r="GIP142" s="107" t="s">
        <v>1</v>
      </c>
      <c r="GIQ142" s="108"/>
      <c r="GIR142" s="108"/>
      <c r="GIS142" s="109"/>
      <c r="GIT142" s="107" t="s">
        <v>1</v>
      </c>
      <c r="GIU142" s="108"/>
      <c r="GIV142" s="108"/>
      <c r="GIW142" s="109"/>
      <c r="GIX142" s="107" t="s">
        <v>1</v>
      </c>
      <c r="GIY142" s="108"/>
      <c r="GIZ142" s="108"/>
      <c r="GJA142" s="109"/>
      <c r="GJB142" s="107" t="s">
        <v>1</v>
      </c>
      <c r="GJC142" s="108"/>
      <c r="GJD142" s="108"/>
      <c r="GJE142" s="109"/>
      <c r="GJF142" s="107" t="s">
        <v>1</v>
      </c>
      <c r="GJG142" s="108"/>
      <c r="GJH142" s="108"/>
      <c r="GJI142" s="109"/>
      <c r="GJJ142" s="107" t="s">
        <v>1</v>
      </c>
      <c r="GJK142" s="108"/>
      <c r="GJL142" s="108"/>
      <c r="GJM142" s="109"/>
      <c r="GJN142" s="107" t="s">
        <v>1</v>
      </c>
      <c r="GJO142" s="108"/>
      <c r="GJP142" s="108"/>
      <c r="GJQ142" s="109"/>
      <c r="GJR142" s="107" t="s">
        <v>1</v>
      </c>
      <c r="GJS142" s="108"/>
      <c r="GJT142" s="108"/>
      <c r="GJU142" s="109"/>
      <c r="GJV142" s="107" t="s">
        <v>1</v>
      </c>
      <c r="GJW142" s="108"/>
      <c r="GJX142" s="108"/>
      <c r="GJY142" s="109"/>
      <c r="GJZ142" s="107" t="s">
        <v>1</v>
      </c>
      <c r="GKA142" s="108"/>
      <c r="GKB142" s="108"/>
      <c r="GKC142" s="109"/>
      <c r="GKD142" s="107" t="s">
        <v>1</v>
      </c>
      <c r="GKE142" s="108"/>
      <c r="GKF142" s="108"/>
      <c r="GKG142" s="109"/>
      <c r="GKH142" s="107" t="s">
        <v>1</v>
      </c>
      <c r="GKI142" s="108"/>
      <c r="GKJ142" s="108"/>
      <c r="GKK142" s="109"/>
      <c r="GKL142" s="107" t="s">
        <v>1</v>
      </c>
      <c r="GKM142" s="108"/>
      <c r="GKN142" s="108"/>
      <c r="GKO142" s="109"/>
      <c r="GKP142" s="107" t="s">
        <v>1</v>
      </c>
      <c r="GKQ142" s="108"/>
      <c r="GKR142" s="108"/>
      <c r="GKS142" s="109"/>
      <c r="GKT142" s="107" t="s">
        <v>1</v>
      </c>
      <c r="GKU142" s="108"/>
      <c r="GKV142" s="108"/>
      <c r="GKW142" s="109"/>
      <c r="GKX142" s="107" t="s">
        <v>1</v>
      </c>
      <c r="GKY142" s="108"/>
      <c r="GKZ142" s="108"/>
      <c r="GLA142" s="109"/>
      <c r="GLB142" s="107" t="s">
        <v>1</v>
      </c>
      <c r="GLC142" s="108"/>
      <c r="GLD142" s="108"/>
      <c r="GLE142" s="109"/>
      <c r="GLF142" s="107" t="s">
        <v>1</v>
      </c>
      <c r="GLG142" s="108"/>
      <c r="GLH142" s="108"/>
      <c r="GLI142" s="109"/>
      <c r="GLJ142" s="107" t="s">
        <v>1</v>
      </c>
      <c r="GLK142" s="108"/>
      <c r="GLL142" s="108"/>
      <c r="GLM142" s="109"/>
      <c r="GLN142" s="107" t="s">
        <v>1</v>
      </c>
      <c r="GLO142" s="108"/>
      <c r="GLP142" s="108"/>
      <c r="GLQ142" s="109"/>
      <c r="GLR142" s="107" t="s">
        <v>1</v>
      </c>
      <c r="GLS142" s="108"/>
      <c r="GLT142" s="108"/>
      <c r="GLU142" s="109"/>
      <c r="GLV142" s="107" t="s">
        <v>1</v>
      </c>
      <c r="GLW142" s="108"/>
      <c r="GLX142" s="108"/>
      <c r="GLY142" s="109"/>
      <c r="GLZ142" s="107" t="s">
        <v>1</v>
      </c>
      <c r="GMA142" s="108"/>
      <c r="GMB142" s="108"/>
      <c r="GMC142" s="109"/>
      <c r="GMD142" s="107" t="s">
        <v>1</v>
      </c>
      <c r="GME142" s="108"/>
      <c r="GMF142" s="108"/>
      <c r="GMG142" s="109"/>
      <c r="GMH142" s="107" t="s">
        <v>1</v>
      </c>
      <c r="GMI142" s="108"/>
      <c r="GMJ142" s="108"/>
      <c r="GMK142" s="109"/>
      <c r="GML142" s="107" t="s">
        <v>1</v>
      </c>
      <c r="GMM142" s="108"/>
      <c r="GMN142" s="108"/>
      <c r="GMO142" s="109"/>
      <c r="GMP142" s="107" t="s">
        <v>1</v>
      </c>
      <c r="GMQ142" s="108"/>
      <c r="GMR142" s="108"/>
      <c r="GMS142" s="109"/>
      <c r="GMT142" s="107" t="s">
        <v>1</v>
      </c>
      <c r="GMU142" s="108"/>
      <c r="GMV142" s="108"/>
      <c r="GMW142" s="109"/>
      <c r="GMX142" s="107" t="s">
        <v>1</v>
      </c>
      <c r="GMY142" s="108"/>
      <c r="GMZ142" s="108"/>
      <c r="GNA142" s="109"/>
      <c r="GNB142" s="107" t="s">
        <v>1</v>
      </c>
      <c r="GNC142" s="108"/>
      <c r="GND142" s="108"/>
      <c r="GNE142" s="109"/>
      <c r="GNF142" s="107" t="s">
        <v>1</v>
      </c>
      <c r="GNG142" s="108"/>
      <c r="GNH142" s="108"/>
      <c r="GNI142" s="109"/>
      <c r="GNJ142" s="107" t="s">
        <v>1</v>
      </c>
      <c r="GNK142" s="108"/>
      <c r="GNL142" s="108"/>
      <c r="GNM142" s="109"/>
      <c r="GNN142" s="107" t="s">
        <v>1</v>
      </c>
      <c r="GNO142" s="108"/>
      <c r="GNP142" s="108"/>
      <c r="GNQ142" s="109"/>
      <c r="GNR142" s="107" t="s">
        <v>1</v>
      </c>
      <c r="GNS142" s="108"/>
      <c r="GNT142" s="108"/>
      <c r="GNU142" s="109"/>
      <c r="GNV142" s="107" t="s">
        <v>1</v>
      </c>
      <c r="GNW142" s="108"/>
      <c r="GNX142" s="108"/>
      <c r="GNY142" s="109"/>
      <c r="GNZ142" s="107" t="s">
        <v>1</v>
      </c>
      <c r="GOA142" s="108"/>
      <c r="GOB142" s="108"/>
      <c r="GOC142" s="109"/>
      <c r="GOD142" s="107" t="s">
        <v>1</v>
      </c>
      <c r="GOE142" s="108"/>
      <c r="GOF142" s="108"/>
      <c r="GOG142" s="109"/>
      <c r="GOH142" s="107" t="s">
        <v>1</v>
      </c>
      <c r="GOI142" s="108"/>
      <c r="GOJ142" s="108"/>
      <c r="GOK142" s="109"/>
      <c r="GOL142" s="107" t="s">
        <v>1</v>
      </c>
      <c r="GOM142" s="108"/>
      <c r="GON142" s="108"/>
      <c r="GOO142" s="109"/>
      <c r="GOP142" s="107" t="s">
        <v>1</v>
      </c>
      <c r="GOQ142" s="108"/>
      <c r="GOR142" s="108"/>
      <c r="GOS142" s="109"/>
      <c r="GOT142" s="107" t="s">
        <v>1</v>
      </c>
      <c r="GOU142" s="108"/>
      <c r="GOV142" s="108"/>
      <c r="GOW142" s="109"/>
      <c r="GOX142" s="107" t="s">
        <v>1</v>
      </c>
      <c r="GOY142" s="108"/>
      <c r="GOZ142" s="108"/>
      <c r="GPA142" s="109"/>
      <c r="GPB142" s="107" t="s">
        <v>1</v>
      </c>
      <c r="GPC142" s="108"/>
      <c r="GPD142" s="108"/>
      <c r="GPE142" s="109"/>
      <c r="GPF142" s="107" t="s">
        <v>1</v>
      </c>
      <c r="GPG142" s="108"/>
      <c r="GPH142" s="108"/>
      <c r="GPI142" s="109"/>
      <c r="GPJ142" s="107" t="s">
        <v>1</v>
      </c>
      <c r="GPK142" s="108"/>
      <c r="GPL142" s="108"/>
      <c r="GPM142" s="109"/>
      <c r="GPN142" s="107" t="s">
        <v>1</v>
      </c>
      <c r="GPO142" s="108"/>
      <c r="GPP142" s="108"/>
      <c r="GPQ142" s="109"/>
      <c r="GPR142" s="107" t="s">
        <v>1</v>
      </c>
      <c r="GPS142" s="108"/>
      <c r="GPT142" s="108"/>
      <c r="GPU142" s="109"/>
      <c r="GPV142" s="107" t="s">
        <v>1</v>
      </c>
      <c r="GPW142" s="108"/>
      <c r="GPX142" s="108"/>
      <c r="GPY142" s="109"/>
      <c r="GPZ142" s="107" t="s">
        <v>1</v>
      </c>
      <c r="GQA142" s="108"/>
      <c r="GQB142" s="108"/>
      <c r="GQC142" s="109"/>
      <c r="GQD142" s="107" t="s">
        <v>1</v>
      </c>
      <c r="GQE142" s="108"/>
      <c r="GQF142" s="108"/>
      <c r="GQG142" s="109"/>
      <c r="GQH142" s="107" t="s">
        <v>1</v>
      </c>
      <c r="GQI142" s="108"/>
      <c r="GQJ142" s="108"/>
      <c r="GQK142" s="109"/>
      <c r="GQL142" s="107" t="s">
        <v>1</v>
      </c>
      <c r="GQM142" s="108"/>
      <c r="GQN142" s="108"/>
      <c r="GQO142" s="109"/>
      <c r="GQP142" s="107" t="s">
        <v>1</v>
      </c>
      <c r="GQQ142" s="108"/>
      <c r="GQR142" s="108"/>
      <c r="GQS142" s="109"/>
      <c r="GQT142" s="107" t="s">
        <v>1</v>
      </c>
      <c r="GQU142" s="108"/>
      <c r="GQV142" s="108"/>
      <c r="GQW142" s="109"/>
      <c r="GQX142" s="107" t="s">
        <v>1</v>
      </c>
      <c r="GQY142" s="108"/>
      <c r="GQZ142" s="108"/>
      <c r="GRA142" s="109"/>
      <c r="GRB142" s="107" t="s">
        <v>1</v>
      </c>
      <c r="GRC142" s="108"/>
      <c r="GRD142" s="108"/>
      <c r="GRE142" s="109"/>
      <c r="GRF142" s="107" t="s">
        <v>1</v>
      </c>
      <c r="GRG142" s="108"/>
      <c r="GRH142" s="108"/>
      <c r="GRI142" s="109"/>
      <c r="GRJ142" s="107" t="s">
        <v>1</v>
      </c>
      <c r="GRK142" s="108"/>
      <c r="GRL142" s="108"/>
      <c r="GRM142" s="109"/>
      <c r="GRN142" s="107" t="s">
        <v>1</v>
      </c>
      <c r="GRO142" s="108"/>
      <c r="GRP142" s="108"/>
      <c r="GRQ142" s="109"/>
      <c r="GRR142" s="107" t="s">
        <v>1</v>
      </c>
      <c r="GRS142" s="108"/>
      <c r="GRT142" s="108"/>
      <c r="GRU142" s="109"/>
      <c r="GRV142" s="107" t="s">
        <v>1</v>
      </c>
      <c r="GRW142" s="108"/>
      <c r="GRX142" s="108"/>
      <c r="GRY142" s="109"/>
      <c r="GRZ142" s="107" t="s">
        <v>1</v>
      </c>
      <c r="GSA142" s="108"/>
      <c r="GSB142" s="108"/>
      <c r="GSC142" s="109"/>
      <c r="GSD142" s="107" t="s">
        <v>1</v>
      </c>
      <c r="GSE142" s="108"/>
      <c r="GSF142" s="108"/>
      <c r="GSG142" s="109"/>
      <c r="GSH142" s="107" t="s">
        <v>1</v>
      </c>
      <c r="GSI142" s="108"/>
      <c r="GSJ142" s="108"/>
      <c r="GSK142" s="109"/>
      <c r="GSL142" s="107" t="s">
        <v>1</v>
      </c>
      <c r="GSM142" s="108"/>
      <c r="GSN142" s="108"/>
      <c r="GSO142" s="109"/>
      <c r="GSP142" s="107" t="s">
        <v>1</v>
      </c>
      <c r="GSQ142" s="108"/>
      <c r="GSR142" s="108"/>
      <c r="GSS142" s="109"/>
      <c r="GST142" s="107" t="s">
        <v>1</v>
      </c>
      <c r="GSU142" s="108"/>
      <c r="GSV142" s="108"/>
      <c r="GSW142" s="109"/>
      <c r="GSX142" s="107" t="s">
        <v>1</v>
      </c>
      <c r="GSY142" s="108"/>
      <c r="GSZ142" s="108"/>
      <c r="GTA142" s="109"/>
      <c r="GTB142" s="107" t="s">
        <v>1</v>
      </c>
      <c r="GTC142" s="108"/>
      <c r="GTD142" s="108"/>
      <c r="GTE142" s="109"/>
      <c r="GTF142" s="107" t="s">
        <v>1</v>
      </c>
      <c r="GTG142" s="108"/>
      <c r="GTH142" s="108"/>
      <c r="GTI142" s="109"/>
      <c r="GTJ142" s="107" t="s">
        <v>1</v>
      </c>
      <c r="GTK142" s="108"/>
      <c r="GTL142" s="108"/>
      <c r="GTM142" s="109"/>
      <c r="GTN142" s="107" t="s">
        <v>1</v>
      </c>
      <c r="GTO142" s="108"/>
      <c r="GTP142" s="108"/>
      <c r="GTQ142" s="109"/>
      <c r="GTR142" s="107" t="s">
        <v>1</v>
      </c>
      <c r="GTS142" s="108"/>
      <c r="GTT142" s="108"/>
      <c r="GTU142" s="109"/>
      <c r="GTV142" s="107" t="s">
        <v>1</v>
      </c>
      <c r="GTW142" s="108"/>
      <c r="GTX142" s="108"/>
      <c r="GTY142" s="109"/>
      <c r="GTZ142" s="107" t="s">
        <v>1</v>
      </c>
      <c r="GUA142" s="108"/>
      <c r="GUB142" s="108"/>
      <c r="GUC142" s="109"/>
      <c r="GUD142" s="107" t="s">
        <v>1</v>
      </c>
      <c r="GUE142" s="108"/>
      <c r="GUF142" s="108"/>
      <c r="GUG142" s="109"/>
      <c r="GUH142" s="107" t="s">
        <v>1</v>
      </c>
      <c r="GUI142" s="108"/>
      <c r="GUJ142" s="108"/>
      <c r="GUK142" s="109"/>
      <c r="GUL142" s="107" t="s">
        <v>1</v>
      </c>
      <c r="GUM142" s="108"/>
      <c r="GUN142" s="108"/>
      <c r="GUO142" s="109"/>
      <c r="GUP142" s="107" t="s">
        <v>1</v>
      </c>
      <c r="GUQ142" s="108"/>
      <c r="GUR142" s="108"/>
      <c r="GUS142" s="109"/>
      <c r="GUT142" s="107" t="s">
        <v>1</v>
      </c>
      <c r="GUU142" s="108"/>
      <c r="GUV142" s="108"/>
      <c r="GUW142" s="109"/>
      <c r="GUX142" s="107" t="s">
        <v>1</v>
      </c>
      <c r="GUY142" s="108"/>
      <c r="GUZ142" s="108"/>
      <c r="GVA142" s="109"/>
      <c r="GVB142" s="107" t="s">
        <v>1</v>
      </c>
      <c r="GVC142" s="108"/>
      <c r="GVD142" s="108"/>
      <c r="GVE142" s="109"/>
      <c r="GVF142" s="107" t="s">
        <v>1</v>
      </c>
      <c r="GVG142" s="108"/>
      <c r="GVH142" s="108"/>
      <c r="GVI142" s="109"/>
      <c r="GVJ142" s="107" t="s">
        <v>1</v>
      </c>
      <c r="GVK142" s="108"/>
      <c r="GVL142" s="108"/>
      <c r="GVM142" s="109"/>
      <c r="GVN142" s="107" t="s">
        <v>1</v>
      </c>
      <c r="GVO142" s="108"/>
      <c r="GVP142" s="108"/>
      <c r="GVQ142" s="109"/>
      <c r="GVR142" s="107" t="s">
        <v>1</v>
      </c>
      <c r="GVS142" s="108"/>
      <c r="GVT142" s="108"/>
      <c r="GVU142" s="109"/>
      <c r="GVV142" s="107" t="s">
        <v>1</v>
      </c>
      <c r="GVW142" s="108"/>
      <c r="GVX142" s="108"/>
      <c r="GVY142" s="109"/>
      <c r="GVZ142" s="107" t="s">
        <v>1</v>
      </c>
      <c r="GWA142" s="108"/>
      <c r="GWB142" s="108"/>
      <c r="GWC142" s="109"/>
      <c r="GWD142" s="107" t="s">
        <v>1</v>
      </c>
      <c r="GWE142" s="108"/>
      <c r="GWF142" s="108"/>
      <c r="GWG142" s="109"/>
      <c r="GWH142" s="107" t="s">
        <v>1</v>
      </c>
      <c r="GWI142" s="108"/>
      <c r="GWJ142" s="108"/>
      <c r="GWK142" s="109"/>
      <c r="GWL142" s="107" t="s">
        <v>1</v>
      </c>
      <c r="GWM142" s="108"/>
      <c r="GWN142" s="108"/>
      <c r="GWO142" s="109"/>
      <c r="GWP142" s="107" t="s">
        <v>1</v>
      </c>
      <c r="GWQ142" s="108"/>
      <c r="GWR142" s="108"/>
      <c r="GWS142" s="109"/>
      <c r="GWT142" s="107" t="s">
        <v>1</v>
      </c>
      <c r="GWU142" s="108"/>
      <c r="GWV142" s="108"/>
      <c r="GWW142" s="109"/>
      <c r="GWX142" s="107" t="s">
        <v>1</v>
      </c>
      <c r="GWY142" s="108"/>
      <c r="GWZ142" s="108"/>
      <c r="GXA142" s="109"/>
      <c r="GXB142" s="107" t="s">
        <v>1</v>
      </c>
      <c r="GXC142" s="108"/>
      <c r="GXD142" s="108"/>
      <c r="GXE142" s="109"/>
      <c r="GXF142" s="107" t="s">
        <v>1</v>
      </c>
      <c r="GXG142" s="108"/>
      <c r="GXH142" s="108"/>
      <c r="GXI142" s="109"/>
      <c r="GXJ142" s="107" t="s">
        <v>1</v>
      </c>
      <c r="GXK142" s="108"/>
      <c r="GXL142" s="108"/>
      <c r="GXM142" s="109"/>
      <c r="GXN142" s="107" t="s">
        <v>1</v>
      </c>
      <c r="GXO142" s="108"/>
      <c r="GXP142" s="108"/>
      <c r="GXQ142" s="109"/>
      <c r="GXR142" s="107" t="s">
        <v>1</v>
      </c>
      <c r="GXS142" s="108"/>
      <c r="GXT142" s="108"/>
      <c r="GXU142" s="109"/>
      <c r="GXV142" s="107" t="s">
        <v>1</v>
      </c>
      <c r="GXW142" s="108"/>
      <c r="GXX142" s="108"/>
      <c r="GXY142" s="109"/>
      <c r="GXZ142" s="107" t="s">
        <v>1</v>
      </c>
      <c r="GYA142" s="108"/>
      <c r="GYB142" s="108"/>
      <c r="GYC142" s="109"/>
      <c r="GYD142" s="107" t="s">
        <v>1</v>
      </c>
      <c r="GYE142" s="108"/>
      <c r="GYF142" s="108"/>
      <c r="GYG142" s="109"/>
      <c r="GYH142" s="107" t="s">
        <v>1</v>
      </c>
      <c r="GYI142" s="108"/>
      <c r="GYJ142" s="108"/>
      <c r="GYK142" s="109"/>
      <c r="GYL142" s="107" t="s">
        <v>1</v>
      </c>
      <c r="GYM142" s="108"/>
      <c r="GYN142" s="108"/>
      <c r="GYO142" s="109"/>
      <c r="GYP142" s="107" t="s">
        <v>1</v>
      </c>
      <c r="GYQ142" s="108"/>
      <c r="GYR142" s="108"/>
      <c r="GYS142" s="109"/>
      <c r="GYT142" s="107" t="s">
        <v>1</v>
      </c>
      <c r="GYU142" s="108"/>
      <c r="GYV142" s="108"/>
      <c r="GYW142" s="109"/>
      <c r="GYX142" s="107" t="s">
        <v>1</v>
      </c>
      <c r="GYY142" s="108"/>
      <c r="GYZ142" s="108"/>
      <c r="GZA142" s="109"/>
      <c r="GZB142" s="107" t="s">
        <v>1</v>
      </c>
      <c r="GZC142" s="108"/>
      <c r="GZD142" s="108"/>
      <c r="GZE142" s="109"/>
      <c r="GZF142" s="107" t="s">
        <v>1</v>
      </c>
      <c r="GZG142" s="108"/>
      <c r="GZH142" s="108"/>
      <c r="GZI142" s="109"/>
      <c r="GZJ142" s="107" t="s">
        <v>1</v>
      </c>
      <c r="GZK142" s="108"/>
      <c r="GZL142" s="108"/>
      <c r="GZM142" s="109"/>
      <c r="GZN142" s="107" t="s">
        <v>1</v>
      </c>
      <c r="GZO142" s="108"/>
      <c r="GZP142" s="108"/>
      <c r="GZQ142" s="109"/>
      <c r="GZR142" s="107" t="s">
        <v>1</v>
      </c>
      <c r="GZS142" s="108"/>
      <c r="GZT142" s="108"/>
      <c r="GZU142" s="109"/>
      <c r="GZV142" s="107" t="s">
        <v>1</v>
      </c>
      <c r="GZW142" s="108"/>
      <c r="GZX142" s="108"/>
      <c r="GZY142" s="109"/>
      <c r="GZZ142" s="107" t="s">
        <v>1</v>
      </c>
      <c r="HAA142" s="108"/>
      <c r="HAB142" s="108"/>
      <c r="HAC142" s="109"/>
      <c r="HAD142" s="107" t="s">
        <v>1</v>
      </c>
      <c r="HAE142" s="108"/>
      <c r="HAF142" s="108"/>
      <c r="HAG142" s="109"/>
      <c r="HAH142" s="107" t="s">
        <v>1</v>
      </c>
      <c r="HAI142" s="108"/>
      <c r="HAJ142" s="108"/>
      <c r="HAK142" s="109"/>
      <c r="HAL142" s="107" t="s">
        <v>1</v>
      </c>
      <c r="HAM142" s="108"/>
      <c r="HAN142" s="108"/>
      <c r="HAO142" s="109"/>
      <c r="HAP142" s="107" t="s">
        <v>1</v>
      </c>
      <c r="HAQ142" s="108"/>
      <c r="HAR142" s="108"/>
      <c r="HAS142" s="109"/>
      <c r="HAT142" s="107" t="s">
        <v>1</v>
      </c>
      <c r="HAU142" s="108"/>
      <c r="HAV142" s="108"/>
      <c r="HAW142" s="109"/>
      <c r="HAX142" s="107" t="s">
        <v>1</v>
      </c>
      <c r="HAY142" s="108"/>
      <c r="HAZ142" s="108"/>
      <c r="HBA142" s="109"/>
      <c r="HBB142" s="107" t="s">
        <v>1</v>
      </c>
      <c r="HBC142" s="108"/>
      <c r="HBD142" s="108"/>
      <c r="HBE142" s="109"/>
      <c r="HBF142" s="107" t="s">
        <v>1</v>
      </c>
      <c r="HBG142" s="108"/>
      <c r="HBH142" s="108"/>
      <c r="HBI142" s="109"/>
      <c r="HBJ142" s="107" t="s">
        <v>1</v>
      </c>
      <c r="HBK142" s="108"/>
      <c r="HBL142" s="108"/>
      <c r="HBM142" s="109"/>
      <c r="HBN142" s="107" t="s">
        <v>1</v>
      </c>
      <c r="HBO142" s="108"/>
      <c r="HBP142" s="108"/>
      <c r="HBQ142" s="109"/>
      <c r="HBR142" s="107" t="s">
        <v>1</v>
      </c>
      <c r="HBS142" s="108"/>
      <c r="HBT142" s="108"/>
      <c r="HBU142" s="109"/>
      <c r="HBV142" s="107" t="s">
        <v>1</v>
      </c>
      <c r="HBW142" s="108"/>
      <c r="HBX142" s="108"/>
      <c r="HBY142" s="109"/>
      <c r="HBZ142" s="107" t="s">
        <v>1</v>
      </c>
      <c r="HCA142" s="108"/>
      <c r="HCB142" s="108"/>
      <c r="HCC142" s="109"/>
      <c r="HCD142" s="107" t="s">
        <v>1</v>
      </c>
      <c r="HCE142" s="108"/>
      <c r="HCF142" s="108"/>
      <c r="HCG142" s="109"/>
      <c r="HCH142" s="107" t="s">
        <v>1</v>
      </c>
      <c r="HCI142" s="108"/>
      <c r="HCJ142" s="108"/>
      <c r="HCK142" s="109"/>
      <c r="HCL142" s="107" t="s">
        <v>1</v>
      </c>
      <c r="HCM142" s="108"/>
      <c r="HCN142" s="108"/>
      <c r="HCO142" s="109"/>
      <c r="HCP142" s="107" t="s">
        <v>1</v>
      </c>
      <c r="HCQ142" s="108"/>
      <c r="HCR142" s="108"/>
      <c r="HCS142" s="109"/>
      <c r="HCT142" s="107" t="s">
        <v>1</v>
      </c>
      <c r="HCU142" s="108"/>
      <c r="HCV142" s="108"/>
      <c r="HCW142" s="109"/>
      <c r="HCX142" s="107" t="s">
        <v>1</v>
      </c>
      <c r="HCY142" s="108"/>
      <c r="HCZ142" s="108"/>
      <c r="HDA142" s="109"/>
      <c r="HDB142" s="107" t="s">
        <v>1</v>
      </c>
      <c r="HDC142" s="108"/>
      <c r="HDD142" s="108"/>
      <c r="HDE142" s="109"/>
      <c r="HDF142" s="107" t="s">
        <v>1</v>
      </c>
      <c r="HDG142" s="108"/>
      <c r="HDH142" s="108"/>
      <c r="HDI142" s="109"/>
      <c r="HDJ142" s="107" t="s">
        <v>1</v>
      </c>
      <c r="HDK142" s="108"/>
      <c r="HDL142" s="108"/>
      <c r="HDM142" s="109"/>
      <c r="HDN142" s="107" t="s">
        <v>1</v>
      </c>
      <c r="HDO142" s="108"/>
      <c r="HDP142" s="108"/>
      <c r="HDQ142" s="109"/>
      <c r="HDR142" s="107" t="s">
        <v>1</v>
      </c>
      <c r="HDS142" s="108"/>
      <c r="HDT142" s="108"/>
      <c r="HDU142" s="109"/>
      <c r="HDV142" s="107" t="s">
        <v>1</v>
      </c>
      <c r="HDW142" s="108"/>
      <c r="HDX142" s="108"/>
      <c r="HDY142" s="109"/>
      <c r="HDZ142" s="107" t="s">
        <v>1</v>
      </c>
      <c r="HEA142" s="108"/>
      <c r="HEB142" s="108"/>
      <c r="HEC142" s="109"/>
      <c r="HED142" s="107" t="s">
        <v>1</v>
      </c>
      <c r="HEE142" s="108"/>
      <c r="HEF142" s="108"/>
      <c r="HEG142" s="109"/>
      <c r="HEH142" s="107" t="s">
        <v>1</v>
      </c>
      <c r="HEI142" s="108"/>
      <c r="HEJ142" s="108"/>
      <c r="HEK142" s="109"/>
      <c r="HEL142" s="107" t="s">
        <v>1</v>
      </c>
      <c r="HEM142" s="108"/>
      <c r="HEN142" s="108"/>
      <c r="HEO142" s="109"/>
      <c r="HEP142" s="107" t="s">
        <v>1</v>
      </c>
      <c r="HEQ142" s="108"/>
      <c r="HER142" s="108"/>
      <c r="HES142" s="109"/>
      <c r="HET142" s="107" t="s">
        <v>1</v>
      </c>
      <c r="HEU142" s="108"/>
      <c r="HEV142" s="108"/>
      <c r="HEW142" s="109"/>
      <c r="HEX142" s="107" t="s">
        <v>1</v>
      </c>
      <c r="HEY142" s="108"/>
      <c r="HEZ142" s="108"/>
      <c r="HFA142" s="109"/>
      <c r="HFB142" s="107" t="s">
        <v>1</v>
      </c>
      <c r="HFC142" s="108"/>
      <c r="HFD142" s="108"/>
      <c r="HFE142" s="109"/>
      <c r="HFF142" s="107" t="s">
        <v>1</v>
      </c>
      <c r="HFG142" s="108"/>
      <c r="HFH142" s="108"/>
      <c r="HFI142" s="109"/>
      <c r="HFJ142" s="107" t="s">
        <v>1</v>
      </c>
      <c r="HFK142" s="108"/>
      <c r="HFL142" s="108"/>
      <c r="HFM142" s="109"/>
      <c r="HFN142" s="107" t="s">
        <v>1</v>
      </c>
      <c r="HFO142" s="108"/>
      <c r="HFP142" s="108"/>
      <c r="HFQ142" s="109"/>
      <c r="HFR142" s="107" t="s">
        <v>1</v>
      </c>
      <c r="HFS142" s="108"/>
      <c r="HFT142" s="108"/>
      <c r="HFU142" s="109"/>
      <c r="HFV142" s="107" t="s">
        <v>1</v>
      </c>
      <c r="HFW142" s="108"/>
      <c r="HFX142" s="108"/>
      <c r="HFY142" s="109"/>
      <c r="HFZ142" s="107" t="s">
        <v>1</v>
      </c>
      <c r="HGA142" s="108"/>
      <c r="HGB142" s="108"/>
      <c r="HGC142" s="109"/>
      <c r="HGD142" s="107" t="s">
        <v>1</v>
      </c>
      <c r="HGE142" s="108"/>
      <c r="HGF142" s="108"/>
      <c r="HGG142" s="109"/>
      <c r="HGH142" s="107" t="s">
        <v>1</v>
      </c>
      <c r="HGI142" s="108"/>
      <c r="HGJ142" s="108"/>
      <c r="HGK142" s="109"/>
      <c r="HGL142" s="107" t="s">
        <v>1</v>
      </c>
      <c r="HGM142" s="108"/>
      <c r="HGN142" s="108"/>
      <c r="HGO142" s="109"/>
      <c r="HGP142" s="107" t="s">
        <v>1</v>
      </c>
      <c r="HGQ142" s="108"/>
      <c r="HGR142" s="108"/>
      <c r="HGS142" s="109"/>
      <c r="HGT142" s="107" t="s">
        <v>1</v>
      </c>
      <c r="HGU142" s="108"/>
      <c r="HGV142" s="108"/>
      <c r="HGW142" s="109"/>
      <c r="HGX142" s="107" t="s">
        <v>1</v>
      </c>
      <c r="HGY142" s="108"/>
      <c r="HGZ142" s="108"/>
      <c r="HHA142" s="109"/>
      <c r="HHB142" s="107" t="s">
        <v>1</v>
      </c>
      <c r="HHC142" s="108"/>
      <c r="HHD142" s="108"/>
      <c r="HHE142" s="109"/>
      <c r="HHF142" s="107" t="s">
        <v>1</v>
      </c>
      <c r="HHG142" s="108"/>
      <c r="HHH142" s="108"/>
      <c r="HHI142" s="109"/>
      <c r="HHJ142" s="107" t="s">
        <v>1</v>
      </c>
      <c r="HHK142" s="108"/>
      <c r="HHL142" s="108"/>
      <c r="HHM142" s="109"/>
      <c r="HHN142" s="107" t="s">
        <v>1</v>
      </c>
      <c r="HHO142" s="108"/>
      <c r="HHP142" s="108"/>
      <c r="HHQ142" s="109"/>
      <c r="HHR142" s="107" t="s">
        <v>1</v>
      </c>
      <c r="HHS142" s="108"/>
      <c r="HHT142" s="108"/>
      <c r="HHU142" s="109"/>
      <c r="HHV142" s="107" t="s">
        <v>1</v>
      </c>
      <c r="HHW142" s="108"/>
      <c r="HHX142" s="108"/>
      <c r="HHY142" s="109"/>
      <c r="HHZ142" s="107" t="s">
        <v>1</v>
      </c>
      <c r="HIA142" s="108"/>
      <c r="HIB142" s="108"/>
      <c r="HIC142" s="109"/>
      <c r="HID142" s="107" t="s">
        <v>1</v>
      </c>
      <c r="HIE142" s="108"/>
      <c r="HIF142" s="108"/>
      <c r="HIG142" s="109"/>
      <c r="HIH142" s="107" t="s">
        <v>1</v>
      </c>
      <c r="HII142" s="108"/>
      <c r="HIJ142" s="108"/>
      <c r="HIK142" s="109"/>
      <c r="HIL142" s="107" t="s">
        <v>1</v>
      </c>
      <c r="HIM142" s="108"/>
      <c r="HIN142" s="108"/>
      <c r="HIO142" s="109"/>
      <c r="HIP142" s="107" t="s">
        <v>1</v>
      </c>
      <c r="HIQ142" s="108"/>
      <c r="HIR142" s="108"/>
      <c r="HIS142" s="109"/>
      <c r="HIT142" s="107" t="s">
        <v>1</v>
      </c>
      <c r="HIU142" s="108"/>
      <c r="HIV142" s="108"/>
      <c r="HIW142" s="109"/>
      <c r="HIX142" s="107" t="s">
        <v>1</v>
      </c>
      <c r="HIY142" s="108"/>
      <c r="HIZ142" s="108"/>
      <c r="HJA142" s="109"/>
      <c r="HJB142" s="107" t="s">
        <v>1</v>
      </c>
      <c r="HJC142" s="108"/>
      <c r="HJD142" s="108"/>
      <c r="HJE142" s="109"/>
      <c r="HJF142" s="107" t="s">
        <v>1</v>
      </c>
      <c r="HJG142" s="108"/>
      <c r="HJH142" s="108"/>
      <c r="HJI142" s="109"/>
      <c r="HJJ142" s="107" t="s">
        <v>1</v>
      </c>
      <c r="HJK142" s="108"/>
      <c r="HJL142" s="108"/>
      <c r="HJM142" s="109"/>
      <c r="HJN142" s="107" t="s">
        <v>1</v>
      </c>
      <c r="HJO142" s="108"/>
      <c r="HJP142" s="108"/>
      <c r="HJQ142" s="109"/>
      <c r="HJR142" s="107" t="s">
        <v>1</v>
      </c>
      <c r="HJS142" s="108"/>
      <c r="HJT142" s="108"/>
      <c r="HJU142" s="109"/>
      <c r="HJV142" s="107" t="s">
        <v>1</v>
      </c>
      <c r="HJW142" s="108"/>
      <c r="HJX142" s="108"/>
      <c r="HJY142" s="109"/>
      <c r="HJZ142" s="107" t="s">
        <v>1</v>
      </c>
      <c r="HKA142" s="108"/>
      <c r="HKB142" s="108"/>
      <c r="HKC142" s="109"/>
      <c r="HKD142" s="107" t="s">
        <v>1</v>
      </c>
      <c r="HKE142" s="108"/>
      <c r="HKF142" s="108"/>
      <c r="HKG142" s="109"/>
      <c r="HKH142" s="107" t="s">
        <v>1</v>
      </c>
      <c r="HKI142" s="108"/>
      <c r="HKJ142" s="108"/>
      <c r="HKK142" s="109"/>
      <c r="HKL142" s="107" t="s">
        <v>1</v>
      </c>
      <c r="HKM142" s="108"/>
      <c r="HKN142" s="108"/>
      <c r="HKO142" s="109"/>
      <c r="HKP142" s="107" t="s">
        <v>1</v>
      </c>
      <c r="HKQ142" s="108"/>
      <c r="HKR142" s="108"/>
      <c r="HKS142" s="109"/>
      <c r="HKT142" s="107" t="s">
        <v>1</v>
      </c>
      <c r="HKU142" s="108"/>
      <c r="HKV142" s="108"/>
      <c r="HKW142" s="109"/>
      <c r="HKX142" s="107" t="s">
        <v>1</v>
      </c>
      <c r="HKY142" s="108"/>
      <c r="HKZ142" s="108"/>
      <c r="HLA142" s="109"/>
      <c r="HLB142" s="107" t="s">
        <v>1</v>
      </c>
      <c r="HLC142" s="108"/>
      <c r="HLD142" s="108"/>
      <c r="HLE142" s="109"/>
      <c r="HLF142" s="107" t="s">
        <v>1</v>
      </c>
      <c r="HLG142" s="108"/>
      <c r="HLH142" s="108"/>
      <c r="HLI142" s="109"/>
      <c r="HLJ142" s="107" t="s">
        <v>1</v>
      </c>
      <c r="HLK142" s="108"/>
      <c r="HLL142" s="108"/>
      <c r="HLM142" s="109"/>
      <c r="HLN142" s="107" t="s">
        <v>1</v>
      </c>
      <c r="HLO142" s="108"/>
      <c r="HLP142" s="108"/>
      <c r="HLQ142" s="109"/>
      <c r="HLR142" s="107" t="s">
        <v>1</v>
      </c>
      <c r="HLS142" s="108"/>
      <c r="HLT142" s="108"/>
      <c r="HLU142" s="109"/>
      <c r="HLV142" s="107" t="s">
        <v>1</v>
      </c>
      <c r="HLW142" s="108"/>
      <c r="HLX142" s="108"/>
      <c r="HLY142" s="109"/>
      <c r="HLZ142" s="107" t="s">
        <v>1</v>
      </c>
      <c r="HMA142" s="108"/>
      <c r="HMB142" s="108"/>
      <c r="HMC142" s="109"/>
      <c r="HMD142" s="107" t="s">
        <v>1</v>
      </c>
      <c r="HME142" s="108"/>
      <c r="HMF142" s="108"/>
      <c r="HMG142" s="109"/>
      <c r="HMH142" s="107" t="s">
        <v>1</v>
      </c>
      <c r="HMI142" s="108"/>
      <c r="HMJ142" s="108"/>
      <c r="HMK142" s="109"/>
      <c r="HML142" s="107" t="s">
        <v>1</v>
      </c>
      <c r="HMM142" s="108"/>
      <c r="HMN142" s="108"/>
      <c r="HMO142" s="109"/>
      <c r="HMP142" s="107" t="s">
        <v>1</v>
      </c>
      <c r="HMQ142" s="108"/>
      <c r="HMR142" s="108"/>
      <c r="HMS142" s="109"/>
      <c r="HMT142" s="107" t="s">
        <v>1</v>
      </c>
      <c r="HMU142" s="108"/>
      <c r="HMV142" s="108"/>
      <c r="HMW142" s="109"/>
      <c r="HMX142" s="107" t="s">
        <v>1</v>
      </c>
      <c r="HMY142" s="108"/>
      <c r="HMZ142" s="108"/>
      <c r="HNA142" s="109"/>
      <c r="HNB142" s="107" t="s">
        <v>1</v>
      </c>
      <c r="HNC142" s="108"/>
      <c r="HND142" s="108"/>
      <c r="HNE142" s="109"/>
      <c r="HNF142" s="107" t="s">
        <v>1</v>
      </c>
      <c r="HNG142" s="108"/>
      <c r="HNH142" s="108"/>
      <c r="HNI142" s="109"/>
      <c r="HNJ142" s="107" t="s">
        <v>1</v>
      </c>
      <c r="HNK142" s="108"/>
      <c r="HNL142" s="108"/>
      <c r="HNM142" s="109"/>
      <c r="HNN142" s="107" t="s">
        <v>1</v>
      </c>
      <c r="HNO142" s="108"/>
      <c r="HNP142" s="108"/>
      <c r="HNQ142" s="109"/>
      <c r="HNR142" s="107" t="s">
        <v>1</v>
      </c>
      <c r="HNS142" s="108"/>
      <c r="HNT142" s="108"/>
      <c r="HNU142" s="109"/>
      <c r="HNV142" s="107" t="s">
        <v>1</v>
      </c>
      <c r="HNW142" s="108"/>
      <c r="HNX142" s="108"/>
      <c r="HNY142" s="109"/>
      <c r="HNZ142" s="107" t="s">
        <v>1</v>
      </c>
      <c r="HOA142" s="108"/>
      <c r="HOB142" s="108"/>
      <c r="HOC142" s="109"/>
      <c r="HOD142" s="107" t="s">
        <v>1</v>
      </c>
      <c r="HOE142" s="108"/>
      <c r="HOF142" s="108"/>
      <c r="HOG142" s="109"/>
      <c r="HOH142" s="107" t="s">
        <v>1</v>
      </c>
      <c r="HOI142" s="108"/>
      <c r="HOJ142" s="108"/>
      <c r="HOK142" s="109"/>
      <c r="HOL142" s="107" t="s">
        <v>1</v>
      </c>
      <c r="HOM142" s="108"/>
      <c r="HON142" s="108"/>
      <c r="HOO142" s="109"/>
      <c r="HOP142" s="107" t="s">
        <v>1</v>
      </c>
      <c r="HOQ142" s="108"/>
      <c r="HOR142" s="108"/>
      <c r="HOS142" s="109"/>
      <c r="HOT142" s="107" t="s">
        <v>1</v>
      </c>
      <c r="HOU142" s="108"/>
      <c r="HOV142" s="108"/>
      <c r="HOW142" s="109"/>
      <c r="HOX142" s="107" t="s">
        <v>1</v>
      </c>
      <c r="HOY142" s="108"/>
      <c r="HOZ142" s="108"/>
      <c r="HPA142" s="109"/>
      <c r="HPB142" s="107" t="s">
        <v>1</v>
      </c>
      <c r="HPC142" s="108"/>
      <c r="HPD142" s="108"/>
      <c r="HPE142" s="109"/>
      <c r="HPF142" s="107" t="s">
        <v>1</v>
      </c>
      <c r="HPG142" s="108"/>
      <c r="HPH142" s="108"/>
      <c r="HPI142" s="109"/>
      <c r="HPJ142" s="107" t="s">
        <v>1</v>
      </c>
      <c r="HPK142" s="108"/>
      <c r="HPL142" s="108"/>
      <c r="HPM142" s="109"/>
      <c r="HPN142" s="107" t="s">
        <v>1</v>
      </c>
      <c r="HPO142" s="108"/>
      <c r="HPP142" s="108"/>
      <c r="HPQ142" s="109"/>
      <c r="HPR142" s="107" t="s">
        <v>1</v>
      </c>
      <c r="HPS142" s="108"/>
      <c r="HPT142" s="108"/>
      <c r="HPU142" s="109"/>
      <c r="HPV142" s="107" t="s">
        <v>1</v>
      </c>
      <c r="HPW142" s="108"/>
      <c r="HPX142" s="108"/>
      <c r="HPY142" s="109"/>
      <c r="HPZ142" s="107" t="s">
        <v>1</v>
      </c>
      <c r="HQA142" s="108"/>
      <c r="HQB142" s="108"/>
      <c r="HQC142" s="109"/>
      <c r="HQD142" s="107" t="s">
        <v>1</v>
      </c>
      <c r="HQE142" s="108"/>
      <c r="HQF142" s="108"/>
      <c r="HQG142" s="109"/>
      <c r="HQH142" s="107" t="s">
        <v>1</v>
      </c>
      <c r="HQI142" s="108"/>
      <c r="HQJ142" s="108"/>
      <c r="HQK142" s="109"/>
      <c r="HQL142" s="107" t="s">
        <v>1</v>
      </c>
      <c r="HQM142" s="108"/>
      <c r="HQN142" s="108"/>
      <c r="HQO142" s="109"/>
      <c r="HQP142" s="107" t="s">
        <v>1</v>
      </c>
      <c r="HQQ142" s="108"/>
      <c r="HQR142" s="108"/>
      <c r="HQS142" s="109"/>
      <c r="HQT142" s="107" t="s">
        <v>1</v>
      </c>
      <c r="HQU142" s="108"/>
      <c r="HQV142" s="108"/>
      <c r="HQW142" s="109"/>
      <c r="HQX142" s="107" t="s">
        <v>1</v>
      </c>
      <c r="HQY142" s="108"/>
      <c r="HQZ142" s="108"/>
      <c r="HRA142" s="109"/>
      <c r="HRB142" s="107" t="s">
        <v>1</v>
      </c>
      <c r="HRC142" s="108"/>
      <c r="HRD142" s="108"/>
      <c r="HRE142" s="109"/>
      <c r="HRF142" s="107" t="s">
        <v>1</v>
      </c>
      <c r="HRG142" s="108"/>
      <c r="HRH142" s="108"/>
      <c r="HRI142" s="109"/>
      <c r="HRJ142" s="107" t="s">
        <v>1</v>
      </c>
      <c r="HRK142" s="108"/>
      <c r="HRL142" s="108"/>
      <c r="HRM142" s="109"/>
      <c r="HRN142" s="107" t="s">
        <v>1</v>
      </c>
      <c r="HRO142" s="108"/>
      <c r="HRP142" s="108"/>
      <c r="HRQ142" s="109"/>
      <c r="HRR142" s="107" t="s">
        <v>1</v>
      </c>
      <c r="HRS142" s="108"/>
      <c r="HRT142" s="108"/>
      <c r="HRU142" s="109"/>
      <c r="HRV142" s="107" t="s">
        <v>1</v>
      </c>
      <c r="HRW142" s="108"/>
      <c r="HRX142" s="108"/>
      <c r="HRY142" s="109"/>
      <c r="HRZ142" s="107" t="s">
        <v>1</v>
      </c>
      <c r="HSA142" s="108"/>
      <c r="HSB142" s="108"/>
      <c r="HSC142" s="109"/>
      <c r="HSD142" s="107" t="s">
        <v>1</v>
      </c>
      <c r="HSE142" s="108"/>
      <c r="HSF142" s="108"/>
      <c r="HSG142" s="109"/>
      <c r="HSH142" s="107" t="s">
        <v>1</v>
      </c>
      <c r="HSI142" s="108"/>
      <c r="HSJ142" s="108"/>
      <c r="HSK142" s="109"/>
      <c r="HSL142" s="107" t="s">
        <v>1</v>
      </c>
      <c r="HSM142" s="108"/>
      <c r="HSN142" s="108"/>
      <c r="HSO142" s="109"/>
      <c r="HSP142" s="107" t="s">
        <v>1</v>
      </c>
      <c r="HSQ142" s="108"/>
      <c r="HSR142" s="108"/>
      <c r="HSS142" s="109"/>
      <c r="HST142" s="107" t="s">
        <v>1</v>
      </c>
      <c r="HSU142" s="108"/>
      <c r="HSV142" s="108"/>
      <c r="HSW142" s="109"/>
      <c r="HSX142" s="107" t="s">
        <v>1</v>
      </c>
      <c r="HSY142" s="108"/>
      <c r="HSZ142" s="108"/>
      <c r="HTA142" s="109"/>
      <c r="HTB142" s="107" t="s">
        <v>1</v>
      </c>
      <c r="HTC142" s="108"/>
      <c r="HTD142" s="108"/>
      <c r="HTE142" s="109"/>
      <c r="HTF142" s="107" t="s">
        <v>1</v>
      </c>
      <c r="HTG142" s="108"/>
      <c r="HTH142" s="108"/>
      <c r="HTI142" s="109"/>
      <c r="HTJ142" s="107" t="s">
        <v>1</v>
      </c>
      <c r="HTK142" s="108"/>
      <c r="HTL142" s="108"/>
      <c r="HTM142" s="109"/>
      <c r="HTN142" s="107" t="s">
        <v>1</v>
      </c>
      <c r="HTO142" s="108"/>
      <c r="HTP142" s="108"/>
      <c r="HTQ142" s="109"/>
      <c r="HTR142" s="107" t="s">
        <v>1</v>
      </c>
      <c r="HTS142" s="108"/>
      <c r="HTT142" s="108"/>
      <c r="HTU142" s="109"/>
      <c r="HTV142" s="107" t="s">
        <v>1</v>
      </c>
      <c r="HTW142" s="108"/>
      <c r="HTX142" s="108"/>
      <c r="HTY142" s="109"/>
      <c r="HTZ142" s="107" t="s">
        <v>1</v>
      </c>
      <c r="HUA142" s="108"/>
      <c r="HUB142" s="108"/>
      <c r="HUC142" s="109"/>
      <c r="HUD142" s="107" t="s">
        <v>1</v>
      </c>
      <c r="HUE142" s="108"/>
      <c r="HUF142" s="108"/>
      <c r="HUG142" s="109"/>
      <c r="HUH142" s="107" t="s">
        <v>1</v>
      </c>
      <c r="HUI142" s="108"/>
      <c r="HUJ142" s="108"/>
      <c r="HUK142" s="109"/>
      <c r="HUL142" s="107" t="s">
        <v>1</v>
      </c>
      <c r="HUM142" s="108"/>
      <c r="HUN142" s="108"/>
      <c r="HUO142" s="109"/>
      <c r="HUP142" s="107" t="s">
        <v>1</v>
      </c>
      <c r="HUQ142" s="108"/>
      <c r="HUR142" s="108"/>
      <c r="HUS142" s="109"/>
      <c r="HUT142" s="107" t="s">
        <v>1</v>
      </c>
      <c r="HUU142" s="108"/>
      <c r="HUV142" s="108"/>
      <c r="HUW142" s="109"/>
      <c r="HUX142" s="107" t="s">
        <v>1</v>
      </c>
      <c r="HUY142" s="108"/>
      <c r="HUZ142" s="108"/>
      <c r="HVA142" s="109"/>
      <c r="HVB142" s="107" t="s">
        <v>1</v>
      </c>
      <c r="HVC142" s="108"/>
      <c r="HVD142" s="108"/>
      <c r="HVE142" s="109"/>
      <c r="HVF142" s="107" t="s">
        <v>1</v>
      </c>
      <c r="HVG142" s="108"/>
      <c r="HVH142" s="108"/>
      <c r="HVI142" s="109"/>
      <c r="HVJ142" s="107" t="s">
        <v>1</v>
      </c>
      <c r="HVK142" s="108"/>
      <c r="HVL142" s="108"/>
      <c r="HVM142" s="109"/>
      <c r="HVN142" s="107" t="s">
        <v>1</v>
      </c>
      <c r="HVO142" s="108"/>
      <c r="HVP142" s="108"/>
      <c r="HVQ142" s="109"/>
      <c r="HVR142" s="107" t="s">
        <v>1</v>
      </c>
      <c r="HVS142" s="108"/>
      <c r="HVT142" s="108"/>
      <c r="HVU142" s="109"/>
      <c r="HVV142" s="107" t="s">
        <v>1</v>
      </c>
      <c r="HVW142" s="108"/>
      <c r="HVX142" s="108"/>
      <c r="HVY142" s="109"/>
      <c r="HVZ142" s="107" t="s">
        <v>1</v>
      </c>
      <c r="HWA142" s="108"/>
      <c r="HWB142" s="108"/>
      <c r="HWC142" s="109"/>
      <c r="HWD142" s="107" t="s">
        <v>1</v>
      </c>
      <c r="HWE142" s="108"/>
      <c r="HWF142" s="108"/>
      <c r="HWG142" s="109"/>
      <c r="HWH142" s="107" t="s">
        <v>1</v>
      </c>
      <c r="HWI142" s="108"/>
      <c r="HWJ142" s="108"/>
      <c r="HWK142" s="109"/>
      <c r="HWL142" s="107" t="s">
        <v>1</v>
      </c>
      <c r="HWM142" s="108"/>
      <c r="HWN142" s="108"/>
      <c r="HWO142" s="109"/>
      <c r="HWP142" s="107" t="s">
        <v>1</v>
      </c>
      <c r="HWQ142" s="108"/>
      <c r="HWR142" s="108"/>
      <c r="HWS142" s="109"/>
      <c r="HWT142" s="107" t="s">
        <v>1</v>
      </c>
      <c r="HWU142" s="108"/>
      <c r="HWV142" s="108"/>
      <c r="HWW142" s="109"/>
      <c r="HWX142" s="107" t="s">
        <v>1</v>
      </c>
      <c r="HWY142" s="108"/>
      <c r="HWZ142" s="108"/>
      <c r="HXA142" s="109"/>
      <c r="HXB142" s="107" t="s">
        <v>1</v>
      </c>
      <c r="HXC142" s="108"/>
      <c r="HXD142" s="108"/>
      <c r="HXE142" s="109"/>
      <c r="HXF142" s="107" t="s">
        <v>1</v>
      </c>
      <c r="HXG142" s="108"/>
      <c r="HXH142" s="108"/>
      <c r="HXI142" s="109"/>
      <c r="HXJ142" s="107" t="s">
        <v>1</v>
      </c>
      <c r="HXK142" s="108"/>
      <c r="HXL142" s="108"/>
      <c r="HXM142" s="109"/>
      <c r="HXN142" s="107" t="s">
        <v>1</v>
      </c>
      <c r="HXO142" s="108"/>
      <c r="HXP142" s="108"/>
      <c r="HXQ142" s="109"/>
      <c r="HXR142" s="107" t="s">
        <v>1</v>
      </c>
      <c r="HXS142" s="108"/>
      <c r="HXT142" s="108"/>
      <c r="HXU142" s="109"/>
      <c r="HXV142" s="107" t="s">
        <v>1</v>
      </c>
      <c r="HXW142" s="108"/>
      <c r="HXX142" s="108"/>
      <c r="HXY142" s="109"/>
      <c r="HXZ142" s="107" t="s">
        <v>1</v>
      </c>
      <c r="HYA142" s="108"/>
      <c r="HYB142" s="108"/>
      <c r="HYC142" s="109"/>
      <c r="HYD142" s="107" t="s">
        <v>1</v>
      </c>
      <c r="HYE142" s="108"/>
      <c r="HYF142" s="108"/>
      <c r="HYG142" s="109"/>
      <c r="HYH142" s="107" t="s">
        <v>1</v>
      </c>
      <c r="HYI142" s="108"/>
      <c r="HYJ142" s="108"/>
      <c r="HYK142" s="109"/>
      <c r="HYL142" s="107" t="s">
        <v>1</v>
      </c>
      <c r="HYM142" s="108"/>
      <c r="HYN142" s="108"/>
      <c r="HYO142" s="109"/>
      <c r="HYP142" s="107" t="s">
        <v>1</v>
      </c>
      <c r="HYQ142" s="108"/>
      <c r="HYR142" s="108"/>
      <c r="HYS142" s="109"/>
      <c r="HYT142" s="107" t="s">
        <v>1</v>
      </c>
      <c r="HYU142" s="108"/>
      <c r="HYV142" s="108"/>
      <c r="HYW142" s="109"/>
      <c r="HYX142" s="107" t="s">
        <v>1</v>
      </c>
      <c r="HYY142" s="108"/>
      <c r="HYZ142" s="108"/>
      <c r="HZA142" s="109"/>
      <c r="HZB142" s="107" t="s">
        <v>1</v>
      </c>
      <c r="HZC142" s="108"/>
      <c r="HZD142" s="108"/>
      <c r="HZE142" s="109"/>
      <c r="HZF142" s="107" t="s">
        <v>1</v>
      </c>
      <c r="HZG142" s="108"/>
      <c r="HZH142" s="108"/>
      <c r="HZI142" s="109"/>
      <c r="HZJ142" s="107" t="s">
        <v>1</v>
      </c>
      <c r="HZK142" s="108"/>
      <c r="HZL142" s="108"/>
      <c r="HZM142" s="109"/>
      <c r="HZN142" s="107" t="s">
        <v>1</v>
      </c>
      <c r="HZO142" s="108"/>
      <c r="HZP142" s="108"/>
      <c r="HZQ142" s="109"/>
      <c r="HZR142" s="107" t="s">
        <v>1</v>
      </c>
      <c r="HZS142" s="108"/>
      <c r="HZT142" s="108"/>
      <c r="HZU142" s="109"/>
      <c r="HZV142" s="107" t="s">
        <v>1</v>
      </c>
      <c r="HZW142" s="108"/>
      <c r="HZX142" s="108"/>
      <c r="HZY142" s="109"/>
      <c r="HZZ142" s="107" t="s">
        <v>1</v>
      </c>
      <c r="IAA142" s="108"/>
      <c r="IAB142" s="108"/>
      <c r="IAC142" s="109"/>
      <c r="IAD142" s="107" t="s">
        <v>1</v>
      </c>
      <c r="IAE142" s="108"/>
      <c r="IAF142" s="108"/>
      <c r="IAG142" s="109"/>
      <c r="IAH142" s="107" t="s">
        <v>1</v>
      </c>
      <c r="IAI142" s="108"/>
      <c r="IAJ142" s="108"/>
      <c r="IAK142" s="109"/>
      <c r="IAL142" s="107" t="s">
        <v>1</v>
      </c>
      <c r="IAM142" s="108"/>
      <c r="IAN142" s="108"/>
      <c r="IAO142" s="109"/>
      <c r="IAP142" s="107" t="s">
        <v>1</v>
      </c>
      <c r="IAQ142" s="108"/>
      <c r="IAR142" s="108"/>
      <c r="IAS142" s="109"/>
      <c r="IAT142" s="107" t="s">
        <v>1</v>
      </c>
      <c r="IAU142" s="108"/>
      <c r="IAV142" s="108"/>
      <c r="IAW142" s="109"/>
      <c r="IAX142" s="107" t="s">
        <v>1</v>
      </c>
      <c r="IAY142" s="108"/>
      <c r="IAZ142" s="108"/>
      <c r="IBA142" s="109"/>
      <c r="IBB142" s="107" t="s">
        <v>1</v>
      </c>
      <c r="IBC142" s="108"/>
      <c r="IBD142" s="108"/>
      <c r="IBE142" s="109"/>
      <c r="IBF142" s="107" t="s">
        <v>1</v>
      </c>
      <c r="IBG142" s="108"/>
      <c r="IBH142" s="108"/>
      <c r="IBI142" s="109"/>
      <c r="IBJ142" s="107" t="s">
        <v>1</v>
      </c>
      <c r="IBK142" s="108"/>
      <c r="IBL142" s="108"/>
      <c r="IBM142" s="109"/>
      <c r="IBN142" s="107" t="s">
        <v>1</v>
      </c>
      <c r="IBO142" s="108"/>
      <c r="IBP142" s="108"/>
      <c r="IBQ142" s="109"/>
      <c r="IBR142" s="107" t="s">
        <v>1</v>
      </c>
      <c r="IBS142" s="108"/>
      <c r="IBT142" s="108"/>
      <c r="IBU142" s="109"/>
      <c r="IBV142" s="107" t="s">
        <v>1</v>
      </c>
      <c r="IBW142" s="108"/>
      <c r="IBX142" s="108"/>
      <c r="IBY142" s="109"/>
      <c r="IBZ142" s="107" t="s">
        <v>1</v>
      </c>
      <c r="ICA142" s="108"/>
      <c r="ICB142" s="108"/>
      <c r="ICC142" s="109"/>
      <c r="ICD142" s="107" t="s">
        <v>1</v>
      </c>
      <c r="ICE142" s="108"/>
      <c r="ICF142" s="108"/>
      <c r="ICG142" s="109"/>
      <c r="ICH142" s="107" t="s">
        <v>1</v>
      </c>
      <c r="ICI142" s="108"/>
      <c r="ICJ142" s="108"/>
      <c r="ICK142" s="109"/>
      <c r="ICL142" s="107" t="s">
        <v>1</v>
      </c>
      <c r="ICM142" s="108"/>
      <c r="ICN142" s="108"/>
      <c r="ICO142" s="109"/>
      <c r="ICP142" s="107" t="s">
        <v>1</v>
      </c>
      <c r="ICQ142" s="108"/>
      <c r="ICR142" s="108"/>
      <c r="ICS142" s="109"/>
      <c r="ICT142" s="107" t="s">
        <v>1</v>
      </c>
      <c r="ICU142" s="108"/>
      <c r="ICV142" s="108"/>
      <c r="ICW142" s="109"/>
      <c r="ICX142" s="107" t="s">
        <v>1</v>
      </c>
      <c r="ICY142" s="108"/>
      <c r="ICZ142" s="108"/>
      <c r="IDA142" s="109"/>
      <c r="IDB142" s="107" t="s">
        <v>1</v>
      </c>
      <c r="IDC142" s="108"/>
      <c r="IDD142" s="108"/>
      <c r="IDE142" s="109"/>
      <c r="IDF142" s="107" t="s">
        <v>1</v>
      </c>
      <c r="IDG142" s="108"/>
      <c r="IDH142" s="108"/>
      <c r="IDI142" s="109"/>
      <c r="IDJ142" s="107" t="s">
        <v>1</v>
      </c>
      <c r="IDK142" s="108"/>
      <c r="IDL142" s="108"/>
      <c r="IDM142" s="109"/>
      <c r="IDN142" s="107" t="s">
        <v>1</v>
      </c>
      <c r="IDO142" s="108"/>
      <c r="IDP142" s="108"/>
      <c r="IDQ142" s="109"/>
      <c r="IDR142" s="107" t="s">
        <v>1</v>
      </c>
      <c r="IDS142" s="108"/>
      <c r="IDT142" s="108"/>
      <c r="IDU142" s="109"/>
      <c r="IDV142" s="107" t="s">
        <v>1</v>
      </c>
      <c r="IDW142" s="108"/>
      <c r="IDX142" s="108"/>
      <c r="IDY142" s="109"/>
      <c r="IDZ142" s="107" t="s">
        <v>1</v>
      </c>
      <c r="IEA142" s="108"/>
      <c r="IEB142" s="108"/>
      <c r="IEC142" s="109"/>
      <c r="IED142" s="107" t="s">
        <v>1</v>
      </c>
      <c r="IEE142" s="108"/>
      <c r="IEF142" s="108"/>
      <c r="IEG142" s="109"/>
      <c r="IEH142" s="107" t="s">
        <v>1</v>
      </c>
      <c r="IEI142" s="108"/>
      <c r="IEJ142" s="108"/>
      <c r="IEK142" s="109"/>
      <c r="IEL142" s="107" t="s">
        <v>1</v>
      </c>
      <c r="IEM142" s="108"/>
      <c r="IEN142" s="108"/>
      <c r="IEO142" s="109"/>
      <c r="IEP142" s="107" t="s">
        <v>1</v>
      </c>
      <c r="IEQ142" s="108"/>
      <c r="IER142" s="108"/>
      <c r="IES142" s="109"/>
      <c r="IET142" s="107" t="s">
        <v>1</v>
      </c>
      <c r="IEU142" s="108"/>
      <c r="IEV142" s="108"/>
      <c r="IEW142" s="109"/>
      <c r="IEX142" s="107" t="s">
        <v>1</v>
      </c>
      <c r="IEY142" s="108"/>
      <c r="IEZ142" s="108"/>
      <c r="IFA142" s="109"/>
      <c r="IFB142" s="107" t="s">
        <v>1</v>
      </c>
      <c r="IFC142" s="108"/>
      <c r="IFD142" s="108"/>
      <c r="IFE142" s="109"/>
      <c r="IFF142" s="107" t="s">
        <v>1</v>
      </c>
      <c r="IFG142" s="108"/>
      <c r="IFH142" s="108"/>
      <c r="IFI142" s="109"/>
      <c r="IFJ142" s="107" t="s">
        <v>1</v>
      </c>
      <c r="IFK142" s="108"/>
      <c r="IFL142" s="108"/>
      <c r="IFM142" s="109"/>
      <c r="IFN142" s="107" t="s">
        <v>1</v>
      </c>
      <c r="IFO142" s="108"/>
      <c r="IFP142" s="108"/>
      <c r="IFQ142" s="109"/>
      <c r="IFR142" s="107" t="s">
        <v>1</v>
      </c>
      <c r="IFS142" s="108"/>
      <c r="IFT142" s="108"/>
      <c r="IFU142" s="109"/>
      <c r="IFV142" s="107" t="s">
        <v>1</v>
      </c>
      <c r="IFW142" s="108"/>
      <c r="IFX142" s="108"/>
      <c r="IFY142" s="109"/>
      <c r="IFZ142" s="107" t="s">
        <v>1</v>
      </c>
      <c r="IGA142" s="108"/>
      <c r="IGB142" s="108"/>
      <c r="IGC142" s="109"/>
      <c r="IGD142" s="107" t="s">
        <v>1</v>
      </c>
      <c r="IGE142" s="108"/>
      <c r="IGF142" s="108"/>
      <c r="IGG142" s="109"/>
      <c r="IGH142" s="107" t="s">
        <v>1</v>
      </c>
      <c r="IGI142" s="108"/>
      <c r="IGJ142" s="108"/>
      <c r="IGK142" s="109"/>
      <c r="IGL142" s="107" t="s">
        <v>1</v>
      </c>
      <c r="IGM142" s="108"/>
      <c r="IGN142" s="108"/>
      <c r="IGO142" s="109"/>
      <c r="IGP142" s="107" t="s">
        <v>1</v>
      </c>
      <c r="IGQ142" s="108"/>
      <c r="IGR142" s="108"/>
      <c r="IGS142" s="109"/>
      <c r="IGT142" s="107" t="s">
        <v>1</v>
      </c>
      <c r="IGU142" s="108"/>
      <c r="IGV142" s="108"/>
      <c r="IGW142" s="109"/>
      <c r="IGX142" s="107" t="s">
        <v>1</v>
      </c>
      <c r="IGY142" s="108"/>
      <c r="IGZ142" s="108"/>
      <c r="IHA142" s="109"/>
      <c r="IHB142" s="107" t="s">
        <v>1</v>
      </c>
      <c r="IHC142" s="108"/>
      <c r="IHD142" s="108"/>
      <c r="IHE142" s="109"/>
      <c r="IHF142" s="107" t="s">
        <v>1</v>
      </c>
      <c r="IHG142" s="108"/>
      <c r="IHH142" s="108"/>
      <c r="IHI142" s="109"/>
      <c r="IHJ142" s="107" t="s">
        <v>1</v>
      </c>
      <c r="IHK142" s="108"/>
      <c r="IHL142" s="108"/>
      <c r="IHM142" s="109"/>
      <c r="IHN142" s="107" t="s">
        <v>1</v>
      </c>
      <c r="IHO142" s="108"/>
      <c r="IHP142" s="108"/>
      <c r="IHQ142" s="109"/>
      <c r="IHR142" s="107" t="s">
        <v>1</v>
      </c>
      <c r="IHS142" s="108"/>
      <c r="IHT142" s="108"/>
      <c r="IHU142" s="109"/>
      <c r="IHV142" s="107" t="s">
        <v>1</v>
      </c>
      <c r="IHW142" s="108"/>
      <c r="IHX142" s="108"/>
      <c r="IHY142" s="109"/>
      <c r="IHZ142" s="107" t="s">
        <v>1</v>
      </c>
      <c r="IIA142" s="108"/>
      <c r="IIB142" s="108"/>
      <c r="IIC142" s="109"/>
      <c r="IID142" s="107" t="s">
        <v>1</v>
      </c>
      <c r="IIE142" s="108"/>
      <c r="IIF142" s="108"/>
      <c r="IIG142" s="109"/>
      <c r="IIH142" s="107" t="s">
        <v>1</v>
      </c>
      <c r="III142" s="108"/>
      <c r="IIJ142" s="108"/>
      <c r="IIK142" s="109"/>
      <c r="IIL142" s="107" t="s">
        <v>1</v>
      </c>
      <c r="IIM142" s="108"/>
      <c r="IIN142" s="108"/>
      <c r="IIO142" s="109"/>
      <c r="IIP142" s="107" t="s">
        <v>1</v>
      </c>
      <c r="IIQ142" s="108"/>
      <c r="IIR142" s="108"/>
      <c r="IIS142" s="109"/>
      <c r="IIT142" s="107" t="s">
        <v>1</v>
      </c>
      <c r="IIU142" s="108"/>
      <c r="IIV142" s="108"/>
      <c r="IIW142" s="109"/>
      <c r="IIX142" s="107" t="s">
        <v>1</v>
      </c>
      <c r="IIY142" s="108"/>
      <c r="IIZ142" s="108"/>
      <c r="IJA142" s="109"/>
      <c r="IJB142" s="107" t="s">
        <v>1</v>
      </c>
      <c r="IJC142" s="108"/>
      <c r="IJD142" s="108"/>
      <c r="IJE142" s="109"/>
      <c r="IJF142" s="107" t="s">
        <v>1</v>
      </c>
      <c r="IJG142" s="108"/>
      <c r="IJH142" s="108"/>
      <c r="IJI142" s="109"/>
      <c r="IJJ142" s="107" t="s">
        <v>1</v>
      </c>
      <c r="IJK142" s="108"/>
      <c r="IJL142" s="108"/>
      <c r="IJM142" s="109"/>
      <c r="IJN142" s="107" t="s">
        <v>1</v>
      </c>
      <c r="IJO142" s="108"/>
      <c r="IJP142" s="108"/>
      <c r="IJQ142" s="109"/>
      <c r="IJR142" s="107" t="s">
        <v>1</v>
      </c>
      <c r="IJS142" s="108"/>
      <c r="IJT142" s="108"/>
      <c r="IJU142" s="109"/>
      <c r="IJV142" s="107" t="s">
        <v>1</v>
      </c>
      <c r="IJW142" s="108"/>
      <c r="IJX142" s="108"/>
      <c r="IJY142" s="109"/>
      <c r="IJZ142" s="107" t="s">
        <v>1</v>
      </c>
      <c r="IKA142" s="108"/>
      <c r="IKB142" s="108"/>
      <c r="IKC142" s="109"/>
      <c r="IKD142" s="107" t="s">
        <v>1</v>
      </c>
      <c r="IKE142" s="108"/>
      <c r="IKF142" s="108"/>
      <c r="IKG142" s="109"/>
      <c r="IKH142" s="107" t="s">
        <v>1</v>
      </c>
      <c r="IKI142" s="108"/>
      <c r="IKJ142" s="108"/>
      <c r="IKK142" s="109"/>
      <c r="IKL142" s="107" t="s">
        <v>1</v>
      </c>
      <c r="IKM142" s="108"/>
      <c r="IKN142" s="108"/>
      <c r="IKO142" s="109"/>
      <c r="IKP142" s="107" t="s">
        <v>1</v>
      </c>
      <c r="IKQ142" s="108"/>
      <c r="IKR142" s="108"/>
      <c r="IKS142" s="109"/>
      <c r="IKT142" s="107" t="s">
        <v>1</v>
      </c>
      <c r="IKU142" s="108"/>
      <c r="IKV142" s="108"/>
      <c r="IKW142" s="109"/>
      <c r="IKX142" s="107" t="s">
        <v>1</v>
      </c>
      <c r="IKY142" s="108"/>
      <c r="IKZ142" s="108"/>
      <c r="ILA142" s="109"/>
      <c r="ILB142" s="107" t="s">
        <v>1</v>
      </c>
      <c r="ILC142" s="108"/>
      <c r="ILD142" s="108"/>
      <c r="ILE142" s="109"/>
      <c r="ILF142" s="107" t="s">
        <v>1</v>
      </c>
      <c r="ILG142" s="108"/>
      <c r="ILH142" s="108"/>
      <c r="ILI142" s="109"/>
      <c r="ILJ142" s="107" t="s">
        <v>1</v>
      </c>
      <c r="ILK142" s="108"/>
      <c r="ILL142" s="108"/>
      <c r="ILM142" s="109"/>
      <c r="ILN142" s="107" t="s">
        <v>1</v>
      </c>
      <c r="ILO142" s="108"/>
      <c r="ILP142" s="108"/>
      <c r="ILQ142" s="109"/>
      <c r="ILR142" s="107" t="s">
        <v>1</v>
      </c>
      <c r="ILS142" s="108"/>
      <c r="ILT142" s="108"/>
      <c r="ILU142" s="109"/>
      <c r="ILV142" s="107" t="s">
        <v>1</v>
      </c>
      <c r="ILW142" s="108"/>
      <c r="ILX142" s="108"/>
      <c r="ILY142" s="109"/>
      <c r="ILZ142" s="107" t="s">
        <v>1</v>
      </c>
      <c r="IMA142" s="108"/>
      <c r="IMB142" s="108"/>
      <c r="IMC142" s="109"/>
      <c r="IMD142" s="107" t="s">
        <v>1</v>
      </c>
      <c r="IME142" s="108"/>
      <c r="IMF142" s="108"/>
      <c r="IMG142" s="109"/>
      <c r="IMH142" s="107" t="s">
        <v>1</v>
      </c>
      <c r="IMI142" s="108"/>
      <c r="IMJ142" s="108"/>
      <c r="IMK142" s="109"/>
      <c r="IML142" s="107" t="s">
        <v>1</v>
      </c>
      <c r="IMM142" s="108"/>
      <c r="IMN142" s="108"/>
      <c r="IMO142" s="109"/>
      <c r="IMP142" s="107" t="s">
        <v>1</v>
      </c>
      <c r="IMQ142" s="108"/>
      <c r="IMR142" s="108"/>
      <c r="IMS142" s="109"/>
      <c r="IMT142" s="107" t="s">
        <v>1</v>
      </c>
      <c r="IMU142" s="108"/>
      <c r="IMV142" s="108"/>
      <c r="IMW142" s="109"/>
      <c r="IMX142" s="107" t="s">
        <v>1</v>
      </c>
      <c r="IMY142" s="108"/>
      <c r="IMZ142" s="108"/>
      <c r="INA142" s="109"/>
      <c r="INB142" s="107" t="s">
        <v>1</v>
      </c>
      <c r="INC142" s="108"/>
      <c r="IND142" s="108"/>
      <c r="INE142" s="109"/>
      <c r="INF142" s="107" t="s">
        <v>1</v>
      </c>
      <c r="ING142" s="108"/>
      <c r="INH142" s="108"/>
      <c r="INI142" s="109"/>
      <c r="INJ142" s="107" t="s">
        <v>1</v>
      </c>
      <c r="INK142" s="108"/>
      <c r="INL142" s="108"/>
      <c r="INM142" s="109"/>
      <c r="INN142" s="107" t="s">
        <v>1</v>
      </c>
      <c r="INO142" s="108"/>
      <c r="INP142" s="108"/>
      <c r="INQ142" s="109"/>
      <c r="INR142" s="107" t="s">
        <v>1</v>
      </c>
      <c r="INS142" s="108"/>
      <c r="INT142" s="108"/>
      <c r="INU142" s="109"/>
      <c r="INV142" s="107" t="s">
        <v>1</v>
      </c>
      <c r="INW142" s="108"/>
      <c r="INX142" s="108"/>
      <c r="INY142" s="109"/>
      <c r="INZ142" s="107" t="s">
        <v>1</v>
      </c>
      <c r="IOA142" s="108"/>
      <c r="IOB142" s="108"/>
      <c r="IOC142" s="109"/>
      <c r="IOD142" s="107" t="s">
        <v>1</v>
      </c>
      <c r="IOE142" s="108"/>
      <c r="IOF142" s="108"/>
      <c r="IOG142" s="109"/>
      <c r="IOH142" s="107" t="s">
        <v>1</v>
      </c>
      <c r="IOI142" s="108"/>
      <c r="IOJ142" s="108"/>
      <c r="IOK142" s="109"/>
      <c r="IOL142" s="107" t="s">
        <v>1</v>
      </c>
      <c r="IOM142" s="108"/>
      <c r="ION142" s="108"/>
      <c r="IOO142" s="109"/>
      <c r="IOP142" s="107" t="s">
        <v>1</v>
      </c>
      <c r="IOQ142" s="108"/>
      <c r="IOR142" s="108"/>
      <c r="IOS142" s="109"/>
      <c r="IOT142" s="107" t="s">
        <v>1</v>
      </c>
      <c r="IOU142" s="108"/>
      <c r="IOV142" s="108"/>
      <c r="IOW142" s="109"/>
      <c r="IOX142" s="107" t="s">
        <v>1</v>
      </c>
      <c r="IOY142" s="108"/>
      <c r="IOZ142" s="108"/>
      <c r="IPA142" s="109"/>
      <c r="IPB142" s="107" t="s">
        <v>1</v>
      </c>
      <c r="IPC142" s="108"/>
      <c r="IPD142" s="108"/>
      <c r="IPE142" s="109"/>
      <c r="IPF142" s="107" t="s">
        <v>1</v>
      </c>
      <c r="IPG142" s="108"/>
      <c r="IPH142" s="108"/>
      <c r="IPI142" s="109"/>
      <c r="IPJ142" s="107" t="s">
        <v>1</v>
      </c>
      <c r="IPK142" s="108"/>
      <c r="IPL142" s="108"/>
      <c r="IPM142" s="109"/>
      <c r="IPN142" s="107" t="s">
        <v>1</v>
      </c>
      <c r="IPO142" s="108"/>
      <c r="IPP142" s="108"/>
      <c r="IPQ142" s="109"/>
      <c r="IPR142" s="107" t="s">
        <v>1</v>
      </c>
      <c r="IPS142" s="108"/>
      <c r="IPT142" s="108"/>
      <c r="IPU142" s="109"/>
      <c r="IPV142" s="107" t="s">
        <v>1</v>
      </c>
      <c r="IPW142" s="108"/>
      <c r="IPX142" s="108"/>
      <c r="IPY142" s="109"/>
      <c r="IPZ142" s="107" t="s">
        <v>1</v>
      </c>
      <c r="IQA142" s="108"/>
      <c r="IQB142" s="108"/>
      <c r="IQC142" s="109"/>
      <c r="IQD142" s="107" t="s">
        <v>1</v>
      </c>
      <c r="IQE142" s="108"/>
      <c r="IQF142" s="108"/>
      <c r="IQG142" s="109"/>
      <c r="IQH142" s="107" t="s">
        <v>1</v>
      </c>
      <c r="IQI142" s="108"/>
      <c r="IQJ142" s="108"/>
      <c r="IQK142" s="109"/>
      <c r="IQL142" s="107" t="s">
        <v>1</v>
      </c>
      <c r="IQM142" s="108"/>
      <c r="IQN142" s="108"/>
      <c r="IQO142" s="109"/>
      <c r="IQP142" s="107" t="s">
        <v>1</v>
      </c>
      <c r="IQQ142" s="108"/>
      <c r="IQR142" s="108"/>
      <c r="IQS142" s="109"/>
      <c r="IQT142" s="107" t="s">
        <v>1</v>
      </c>
      <c r="IQU142" s="108"/>
      <c r="IQV142" s="108"/>
      <c r="IQW142" s="109"/>
      <c r="IQX142" s="107" t="s">
        <v>1</v>
      </c>
      <c r="IQY142" s="108"/>
      <c r="IQZ142" s="108"/>
      <c r="IRA142" s="109"/>
      <c r="IRB142" s="107" t="s">
        <v>1</v>
      </c>
      <c r="IRC142" s="108"/>
      <c r="IRD142" s="108"/>
      <c r="IRE142" s="109"/>
      <c r="IRF142" s="107" t="s">
        <v>1</v>
      </c>
      <c r="IRG142" s="108"/>
      <c r="IRH142" s="108"/>
      <c r="IRI142" s="109"/>
      <c r="IRJ142" s="107" t="s">
        <v>1</v>
      </c>
      <c r="IRK142" s="108"/>
      <c r="IRL142" s="108"/>
      <c r="IRM142" s="109"/>
      <c r="IRN142" s="107" t="s">
        <v>1</v>
      </c>
      <c r="IRO142" s="108"/>
      <c r="IRP142" s="108"/>
      <c r="IRQ142" s="109"/>
      <c r="IRR142" s="107" t="s">
        <v>1</v>
      </c>
      <c r="IRS142" s="108"/>
      <c r="IRT142" s="108"/>
      <c r="IRU142" s="109"/>
      <c r="IRV142" s="107" t="s">
        <v>1</v>
      </c>
      <c r="IRW142" s="108"/>
      <c r="IRX142" s="108"/>
      <c r="IRY142" s="109"/>
      <c r="IRZ142" s="107" t="s">
        <v>1</v>
      </c>
      <c r="ISA142" s="108"/>
      <c r="ISB142" s="108"/>
      <c r="ISC142" s="109"/>
      <c r="ISD142" s="107" t="s">
        <v>1</v>
      </c>
      <c r="ISE142" s="108"/>
      <c r="ISF142" s="108"/>
      <c r="ISG142" s="109"/>
      <c r="ISH142" s="107" t="s">
        <v>1</v>
      </c>
      <c r="ISI142" s="108"/>
      <c r="ISJ142" s="108"/>
      <c r="ISK142" s="109"/>
      <c r="ISL142" s="107" t="s">
        <v>1</v>
      </c>
      <c r="ISM142" s="108"/>
      <c r="ISN142" s="108"/>
      <c r="ISO142" s="109"/>
      <c r="ISP142" s="107" t="s">
        <v>1</v>
      </c>
      <c r="ISQ142" s="108"/>
      <c r="ISR142" s="108"/>
      <c r="ISS142" s="109"/>
      <c r="IST142" s="107" t="s">
        <v>1</v>
      </c>
      <c r="ISU142" s="108"/>
      <c r="ISV142" s="108"/>
      <c r="ISW142" s="109"/>
      <c r="ISX142" s="107" t="s">
        <v>1</v>
      </c>
      <c r="ISY142" s="108"/>
      <c r="ISZ142" s="108"/>
      <c r="ITA142" s="109"/>
      <c r="ITB142" s="107" t="s">
        <v>1</v>
      </c>
      <c r="ITC142" s="108"/>
      <c r="ITD142" s="108"/>
      <c r="ITE142" s="109"/>
      <c r="ITF142" s="107" t="s">
        <v>1</v>
      </c>
      <c r="ITG142" s="108"/>
      <c r="ITH142" s="108"/>
      <c r="ITI142" s="109"/>
      <c r="ITJ142" s="107" t="s">
        <v>1</v>
      </c>
      <c r="ITK142" s="108"/>
      <c r="ITL142" s="108"/>
      <c r="ITM142" s="109"/>
      <c r="ITN142" s="107" t="s">
        <v>1</v>
      </c>
      <c r="ITO142" s="108"/>
      <c r="ITP142" s="108"/>
      <c r="ITQ142" s="109"/>
      <c r="ITR142" s="107" t="s">
        <v>1</v>
      </c>
      <c r="ITS142" s="108"/>
      <c r="ITT142" s="108"/>
      <c r="ITU142" s="109"/>
      <c r="ITV142" s="107" t="s">
        <v>1</v>
      </c>
      <c r="ITW142" s="108"/>
      <c r="ITX142" s="108"/>
      <c r="ITY142" s="109"/>
      <c r="ITZ142" s="107" t="s">
        <v>1</v>
      </c>
      <c r="IUA142" s="108"/>
      <c r="IUB142" s="108"/>
      <c r="IUC142" s="109"/>
      <c r="IUD142" s="107" t="s">
        <v>1</v>
      </c>
      <c r="IUE142" s="108"/>
      <c r="IUF142" s="108"/>
      <c r="IUG142" s="109"/>
      <c r="IUH142" s="107" t="s">
        <v>1</v>
      </c>
      <c r="IUI142" s="108"/>
      <c r="IUJ142" s="108"/>
      <c r="IUK142" s="109"/>
      <c r="IUL142" s="107" t="s">
        <v>1</v>
      </c>
      <c r="IUM142" s="108"/>
      <c r="IUN142" s="108"/>
      <c r="IUO142" s="109"/>
      <c r="IUP142" s="107" t="s">
        <v>1</v>
      </c>
      <c r="IUQ142" s="108"/>
      <c r="IUR142" s="108"/>
      <c r="IUS142" s="109"/>
      <c r="IUT142" s="107" t="s">
        <v>1</v>
      </c>
      <c r="IUU142" s="108"/>
      <c r="IUV142" s="108"/>
      <c r="IUW142" s="109"/>
      <c r="IUX142" s="107" t="s">
        <v>1</v>
      </c>
      <c r="IUY142" s="108"/>
      <c r="IUZ142" s="108"/>
      <c r="IVA142" s="109"/>
      <c r="IVB142" s="107" t="s">
        <v>1</v>
      </c>
      <c r="IVC142" s="108"/>
      <c r="IVD142" s="108"/>
      <c r="IVE142" s="109"/>
      <c r="IVF142" s="107" t="s">
        <v>1</v>
      </c>
      <c r="IVG142" s="108"/>
      <c r="IVH142" s="108"/>
      <c r="IVI142" s="109"/>
      <c r="IVJ142" s="107" t="s">
        <v>1</v>
      </c>
      <c r="IVK142" s="108"/>
      <c r="IVL142" s="108"/>
      <c r="IVM142" s="109"/>
      <c r="IVN142" s="107" t="s">
        <v>1</v>
      </c>
      <c r="IVO142" s="108"/>
      <c r="IVP142" s="108"/>
      <c r="IVQ142" s="109"/>
      <c r="IVR142" s="107" t="s">
        <v>1</v>
      </c>
      <c r="IVS142" s="108"/>
      <c r="IVT142" s="108"/>
      <c r="IVU142" s="109"/>
      <c r="IVV142" s="107" t="s">
        <v>1</v>
      </c>
      <c r="IVW142" s="108"/>
      <c r="IVX142" s="108"/>
      <c r="IVY142" s="109"/>
      <c r="IVZ142" s="107" t="s">
        <v>1</v>
      </c>
      <c r="IWA142" s="108"/>
      <c r="IWB142" s="108"/>
      <c r="IWC142" s="109"/>
      <c r="IWD142" s="107" t="s">
        <v>1</v>
      </c>
      <c r="IWE142" s="108"/>
      <c r="IWF142" s="108"/>
      <c r="IWG142" s="109"/>
      <c r="IWH142" s="107" t="s">
        <v>1</v>
      </c>
      <c r="IWI142" s="108"/>
      <c r="IWJ142" s="108"/>
      <c r="IWK142" s="109"/>
      <c r="IWL142" s="107" t="s">
        <v>1</v>
      </c>
      <c r="IWM142" s="108"/>
      <c r="IWN142" s="108"/>
      <c r="IWO142" s="109"/>
      <c r="IWP142" s="107" t="s">
        <v>1</v>
      </c>
      <c r="IWQ142" s="108"/>
      <c r="IWR142" s="108"/>
      <c r="IWS142" s="109"/>
      <c r="IWT142" s="107" t="s">
        <v>1</v>
      </c>
      <c r="IWU142" s="108"/>
      <c r="IWV142" s="108"/>
      <c r="IWW142" s="109"/>
      <c r="IWX142" s="107" t="s">
        <v>1</v>
      </c>
      <c r="IWY142" s="108"/>
      <c r="IWZ142" s="108"/>
      <c r="IXA142" s="109"/>
      <c r="IXB142" s="107" t="s">
        <v>1</v>
      </c>
      <c r="IXC142" s="108"/>
      <c r="IXD142" s="108"/>
      <c r="IXE142" s="109"/>
      <c r="IXF142" s="107" t="s">
        <v>1</v>
      </c>
      <c r="IXG142" s="108"/>
      <c r="IXH142" s="108"/>
      <c r="IXI142" s="109"/>
      <c r="IXJ142" s="107" t="s">
        <v>1</v>
      </c>
      <c r="IXK142" s="108"/>
      <c r="IXL142" s="108"/>
      <c r="IXM142" s="109"/>
      <c r="IXN142" s="107" t="s">
        <v>1</v>
      </c>
      <c r="IXO142" s="108"/>
      <c r="IXP142" s="108"/>
      <c r="IXQ142" s="109"/>
      <c r="IXR142" s="107" t="s">
        <v>1</v>
      </c>
      <c r="IXS142" s="108"/>
      <c r="IXT142" s="108"/>
      <c r="IXU142" s="109"/>
      <c r="IXV142" s="107" t="s">
        <v>1</v>
      </c>
      <c r="IXW142" s="108"/>
      <c r="IXX142" s="108"/>
      <c r="IXY142" s="109"/>
      <c r="IXZ142" s="107" t="s">
        <v>1</v>
      </c>
      <c r="IYA142" s="108"/>
      <c r="IYB142" s="108"/>
      <c r="IYC142" s="109"/>
      <c r="IYD142" s="107" t="s">
        <v>1</v>
      </c>
      <c r="IYE142" s="108"/>
      <c r="IYF142" s="108"/>
      <c r="IYG142" s="109"/>
      <c r="IYH142" s="107" t="s">
        <v>1</v>
      </c>
      <c r="IYI142" s="108"/>
      <c r="IYJ142" s="108"/>
      <c r="IYK142" s="109"/>
      <c r="IYL142" s="107" t="s">
        <v>1</v>
      </c>
      <c r="IYM142" s="108"/>
      <c r="IYN142" s="108"/>
      <c r="IYO142" s="109"/>
      <c r="IYP142" s="107" t="s">
        <v>1</v>
      </c>
      <c r="IYQ142" s="108"/>
      <c r="IYR142" s="108"/>
      <c r="IYS142" s="109"/>
      <c r="IYT142" s="107" t="s">
        <v>1</v>
      </c>
      <c r="IYU142" s="108"/>
      <c r="IYV142" s="108"/>
      <c r="IYW142" s="109"/>
      <c r="IYX142" s="107" t="s">
        <v>1</v>
      </c>
      <c r="IYY142" s="108"/>
      <c r="IYZ142" s="108"/>
      <c r="IZA142" s="109"/>
      <c r="IZB142" s="107" t="s">
        <v>1</v>
      </c>
      <c r="IZC142" s="108"/>
      <c r="IZD142" s="108"/>
      <c r="IZE142" s="109"/>
      <c r="IZF142" s="107" t="s">
        <v>1</v>
      </c>
      <c r="IZG142" s="108"/>
      <c r="IZH142" s="108"/>
      <c r="IZI142" s="109"/>
      <c r="IZJ142" s="107" t="s">
        <v>1</v>
      </c>
      <c r="IZK142" s="108"/>
      <c r="IZL142" s="108"/>
      <c r="IZM142" s="109"/>
      <c r="IZN142" s="107" t="s">
        <v>1</v>
      </c>
      <c r="IZO142" s="108"/>
      <c r="IZP142" s="108"/>
      <c r="IZQ142" s="109"/>
      <c r="IZR142" s="107" t="s">
        <v>1</v>
      </c>
      <c r="IZS142" s="108"/>
      <c r="IZT142" s="108"/>
      <c r="IZU142" s="109"/>
      <c r="IZV142" s="107" t="s">
        <v>1</v>
      </c>
      <c r="IZW142" s="108"/>
      <c r="IZX142" s="108"/>
      <c r="IZY142" s="109"/>
      <c r="IZZ142" s="107" t="s">
        <v>1</v>
      </c>
      <c r="JAA142" s="108"/>
      <c r="JAB142" s="108"/>
      <c r="JAC142" s="109"/>
      <c r="JAD142" s="107" t="s">
        <v>1</v>
      </c>
      <c r="JAE142" s="108"/>
      <c r="JAF142" s="108"/>
      <c r="JAG142" s="109"/>
      <c r="JAH142" s="107" t="s">
        <v>1</v>
      </c>
      <c r="JAI142" s="108"/>
      <c r="JAJ142" s="108"/>
      <c r="JAK142" s="109"/>
      <c r="JAL142" s="107" t="s">
        <v>1</v>
      </c>
      <c r="JAM142" s="108"/>
      <c r="JAN142" s="108"/>
      <c r="JAO142" s="109"/>
      <c r="JAP142" s="107" t="s">
        <v>1</v>
      </c>
      <c r="JAQ142" s="108"/>
      <c r="JAR142" s="108"/>
      <c r="JAS142" s="109"/>
      <c r="JAT142" s="107" t="s">
        <v>1</v>
      </c>
      <c r="JAU142" s="108"/>
      <c r="JAV142" s="108"/>
      <c r="JAW142" s="109"/>
      <c r="JAX142" s="107" t="s">
        <v>1</v>
      </c>
      <c r="JAY142" s="108"/>
      <c r="JAZ142" s="108"/>
      <c r="JBA142" s="109"/>
      <c r="JBB142" s="107" t="s">
        <v>1</v>
      </c>
      <c r="JBC142" s="108"/>
      <c r="JBD142" s="108"/>
      <c r="JBE142" s="109"/>
      <c r="JBF142" s="107" t="s">
        <v>1</v>
      </c>
      <c r="JBG142" s="108"/>
      <c r="JBH142" s="108"/>
      <c r="JBI142" s="109"/>
      <c r="JBJ142" s="107" t="s">
        <v>1</v>
      </c>
      <c r="JBK142" s="108"/>
      <c r="JBL142" s="108"/>
      <c r="JBM142" s="109"/>
      <c r="JBN142" s="107" t="s">
        <v>1</v>
      </c>
      <c r="JBO142" s="108"/>
      <c r="JBP142" s="108"/>
      <c r="JBQ142" s="109"/>
      <c r="JBR142" s="107" t="s">
        <v>1</v>
      </c>
      <c r="JBS142" s="108"/>
      <c r="JBT142" s="108"/>
      <c r="JBU142" s="109"/>
      <c r="JBV142" s="107" t="s">
        <v>1</v>
      </c>
      <c r="JBW142" s="108"/>
      <c r="JBX142" s="108"/>
      <c r="JBY142" s="109"/>
      <c r="JBZ142" s="107" t="s">
        <v>1</v>
      </c>
      <c r="JCA142" s="108"/>
      <c r="JCB142" s="108"/>
      <c r="JCC142" s="109"/>
      <c r="JCD142" s="107" t="s">
        <v>1</v>
      </c>
      <c r="JCE142" s="108"/>
      <c r="JCF142" s="108"/>
      <c r="JCG142" s="109"/>
      <c r="JCH142" s="107" t="s">
        <v>1</v>
      </c>
      <c r="JCI142" s="108"/>
      <c r="JCJ142" s="108"/>
      <c r="JCK142" s="109"/>
      <c r="JCL142" s="107" t="s">
        <v>1</v>
      </c>
      <c r="JCM142" s="108"/>
      <c r="JCN142" s="108"/>
      <c r="JCO142" s="109"/>
      <c r="JCP142" s="107" t="s">
        <v>1</v>
      </c>
      <c r="JCQ142" s="108"/>
      <c r="JCR142" s="108"/>
      <c r="JCS142" s="109"/>
      <c r="JCT142" s="107" t="s">
        <v>1</v>
      </c>
      <c r="JCU142" s="108"/>
      <c r="JCV142" s="108"/>
      <c r="JCW142" s="109"/>
      <c r="JCX142" s="107" t="s">
        <v>1</v>
      </c>
      <c r="JCY142" s="108"/>
      <c r="JCZ142" s="108"/>
      <c r="JDA142" s="109"/>
      <c r="JDB142" s="107" t="s">
        <v>1</v>
      </c>
      <c r="JDC142" s="108"/>
      <c r="JDD142" s="108"/>
      <c r="JDE142" s="109"/>
      <c r="JDF142" s="107" t="s">
        <v>1</v>
      </c>
      <c r="JDG142" s="108"/>
      <c r="JDH142" s="108"/>
      <c r="JDI142" s="109"/>
      <c r="JDJ142" s="107" t="s">
        <v>1</v>
      </c>
      <c r="JDK142" s="108"/>
      <c r="JDL142" s="108"/>
      <c r="JDM142" s="109"/>
      <c r="JDN142" s="107" t="s">
        <v>1</v>
      </c>
      <c r="JDO142" s="108"/>
      <c r="JDP142" s="108"/>
      <c r="JDQ142" s="109"/>
      <c r="JDR142" s="107" t="s">
        <v>1</v>
      </c>
      <c r="JDS142" s="108"/>
      <c r="JDT142" s="108"/>
      <c r="JDU142" s="109"/>
      <c r="JDV142" s="107" t="s">
        <v>1</v>
      </c>
      <c r="JDW142" s="108"/>
      <c r="JDX142" s="108"/>
      <c r="JDY142" s="109"/>
      <c r="JDZ142" s="107" t="s">
        <v>1</v>
      </c>
      <c r="JEA142" s="108"/>
      <c r="JEB142" s="108"/>
      <c r="JEC142" s="109"/>
      <c r="JED142" s="107" t="s">
        <v>1</v>
      </c>
      <c r="JEE142" s="108"/>
      <c r="JEF142" s="108"/>
      <c r="JEG142" s="109"/>
      <c r="JEH142" s="107" t="s">
        <v>1</v>
      </c>
      <c r="JEI142" s="108"/>
      <c r="JEJ142" s="108"/>
      <c r="JEK142" s="109"/>
      <c r="JEL142" s="107" t="s">
        <v>1</v>
      </c>
      <c r="JEM142" s="108"/>
      <c r="JEN142" s="108"/>
      <c r="JEO142" s="109"/>
      <c r="JEP142" s="107" t="s">
        <v>1</v>
      </c>
      <c r="JEQ142" s="108"/>
      <c r="JER142" s="108"/>
      <c r="JES142" s="109"/>
      <c r="JET142" s="107" t="s">
        <v>1</v>
      </c>
      <c r="JEU142" s="108"/>
      <c r="JEV142" s="108"/>
      <c r="JEW142" s="109"/>
      <c r="JEX142" s="107" t="s">
        <v>1</v>
      </c>
      <c r="JEY142" s="108"/>
      <c r="JEZ142" s="108"/>
      <c r="JFA142" s="109"/>
      <c r="JFB142" s="107" t="s">
        <v>1</v>
      </c>
      <c r="JFC142" s="108"/>
      <c r="JFD142" s="108"/>
      <c r="JFE142" s="109"/>
      <c r="JFF142" s="107" t="s">
        <v>1</v>
      </c>
      <c r="JFG142" s="108"/>
      <c r="JFH142" s="108"/>
      <c r="JFI142" s="109"/>
      <c r="JFJ142" s="107" t="s">
        <v>1</v>
      </c>
      <c r="JFK142" s="108"/>
      <c r="JFL142" s="108"/>
      <c r="JFM142" s="109"/>
      <c r="JFN142" s="107" t="s">
        <v>1</v>
      </c>
      <c r="JFO142" s="108"/>
      <c r="JFP142" s="108"/>
      <c r="JFQ142" s="109"/>
      <c r="JFR142" s="107" t="s">
        <v>1</v>
      </c>
      <c r="JFS142" s="108"/>
      <c r="JFT142" s="108"/>
      <c r="JFU142" s="109"/>
      <c r="JFV142" s="107" t="s">
        <v>1</v>
      </c>
      <c r="JFW142" s="108"/>
      <c r="JFX142" s="108"/>
      <c r="JFY142" s="109"/>
      <c r="JFZ142" s="107" t="s">
        <v>1</v>
      </c>
      <c r="JGA142" s="108"/>
      <c r="JGB142" s="108"/>
      <c r="JGC142" s="109"/>
      <c r="JGD142" s="107" t="s">
        <v>1</v>
      </c>
      <c r="JGE142" s="108"/>
      <c r="JGF142" s="108"/>
      <c r="JGG142" s="109"/>
      <c r="JGH142" s="107" t="s">
        <v>1</v>
      </c>
      <c r="JGI142" s="108"/>
      <c r="JGJ142" s="108"/>
      <c r="JGK142" s="109"/>
      <c r="JGL142" s="107" t="s">
        <v>1</v>
      </c>
      <c r="JGM142" s="108"/>
      <c r="JGN142" s="108"/>
      <c r="JGO142" s="109"/>
      <c r="JGP142" s="107" t="s">
        <v>1</v>
      </c>
      <c r="JGQ142" s="108"/>
      <c r="JGR142" s="108"/>
      <c r="JGS142" s="109"/>
      <c r="JGT142" s="107" t="s">
        <v>1</v>
      </c>
      <c r="JGU142" s="108"/>
      <c r="JGV142" s="108"/>
      <c r="JGW142" s="109"/>
      <c r="JGX142" s="107" t="s">
        <v>1</v>
      </c>
      <c r="JGY142" s="108"/>
      <c r="JGZ142" s="108"/>
      <c r="JHA142" s="109"/>
      <c r="JHB142" s="107" t="s">
        <v>1</v>
      </c>
      <c r="JHC142" s="108"/>
      <c r="JHD142" s="108"/>
      <c r="JHE142" s="109"/>
      <c r="JHF142" s="107" t="s">
        <v>1</v>
      </c>
      <c r="JHG142" s="108"/>
      <c r="JHH142" s="108"/>
      <c r="JHI142" s="109"/>
      <c r="JHJ142" s="107" t="s">
        <v>1</v>
      </c>
      <c r="JHK142" s="108"/>
      <c r="JHL142" s="108"/>
      <c r="JHM142" s="109"/>
      <c r="JHN142" s="107" t="s">
        <v>1</v>
      </c>
      <c r="JHO142" s="108"/>
      <c r="JHP142" s="108"/>
      <c r="JHQ142" s="109"/>
      <c r="JHR142" s="107" t="s">
        <v>1</v>
      </c>
      <c r="JHS142" s="108"/>
      <c r="JHT142" s="108"/>
      <c r="JHU142" s="109"/>
      <c r="JHV142" s="107" t="s">
        <v>1</v>
      </c>
      <c r="JHW142" s="108"/>
      <c r="JHX142" s="108"/>
      <c r="JHY142" s="109"/>
      <c r="JHZ142" s="107" t="s">
        <v>1</v>
      </c>
      <c r="JIA142" s="108"/>
      <c r="JIB142" s="108"/>
      <c r="JIC142" s="109"/>
      <c r="JID142" s="107" t="s">
        <v>1</v>
      </c>
      <c r="JIE142" s="108"/>
      <c r="JIF142" s="108"/>
      <c r="JIG142" s="109"/>
      <c r="JIH142" s="107" t="s">
        <v>1</v>
      </c>
      <c r="JII142" s="108"/>
      <c r="JIJ142" s="108"/>
      <c r="JIK142" s="109"/>
      <c r="JIL142" s="107" t="s">
        <v>1</v>
      </c>
      <c r="JIM142" s="108"/>
      <c r="JIN142" s="108"/>
      <c r="JIO142" s="109"/>
      <c r="JIP142" s="107" t="s">
        <v>1</v>
      </c>
      <c r="JIQ142" s="108"/>
      <c r="JIR142" s="108"/>
      <c r="JIS142" s="109"/>
      <c r="JIT142" s="107" t="s">
        <v>1</v>
      </c>
      <c r="JIU142" s="108"/>
      <c r="JIV142" s="108"/>
      <c r="JIW142" s="109"/>
      <c r="JIX142" s="107" t="s">
        <v>1</v>
      </c>
      <c r="JIY142" s="108"/>
      <c r="JIZ142" s="108"/>
      <c r="JJA142" s="109"/>
      <c r="JJB142" s="107" t="s">
        <v>1</v>
      </c>
      <c r="JJC142" s="108"/>
      <c r="JJD142" s="108"/>
      <c r="JJE142" s="109"/>
      <c r="JJF142" s="107" t="s">
        <v>1</v>
      </c>
      <c r="JJG142" s="108"/>
      <c r="JJH142" s="108"/>
      <c r="JJI142" s="109"/>
      <c r="JJJ142" s="107" t="s">
        <v>1</v>
      </c>
      <c r="JJK142" s="108"/>
      <c r="JJL142" s="108"/>
      <c r="JJM142" s="109"/>
      <c r="JJN142" s="107" t="s">
        <v>1</v>
      </c>
      <c r="JJO142" s="108"/>
      <c r="JJP142" s="108"/>
      <c r="JJQ142" s="109"/>
      <c r="JJR142" s="107" t="s">
        <v>1</v>
      </c>
      <c r="JJS142" s="108"/>
      <c r="JJT142" s="108"/>
      <c r="JJU142" s="109"/>
      <c r="JJV142" s="107" t="s">
        <v>1</v>
      </c>
      <c r="JJW142" s="108"/>
      <c r="JJX142" s="108"/>
      <c r="JJY142" s="109"/>
      <c r="JJZ142" s="107" t="s">
        <v>1</v>
      </c>
      <c r="JKA142" s="108"/>
      <c r="JKB142" s="108"/>
      <c r="JKC142" s="109"/>
      <c r="JKD142" s="107" t="s">
        <v>1</v>
      </c>
      <c r="JKE142" s="108"/>
      <c r="JKF142" s="108"/>
      <c r="JKG142" s="109"/>
      <c r="JKH142" s="107" t="s">
        <v>1</v>
      </c>
      <c r="JKI142" s="108"/>
      <c r="JKJ142" s="108"/>
      <c r="JKK142" s="109"/>
      <c r="JKL142" s="107" t="s">
        <v>1</v>
      </c>
      <c r="JKM142" s="108"/>
      <c r="JKN142" s="108"/>
      <c r="JKO142" s="109"/>
      <c r="JKP142" s="107" t="s">
        <v>1</v>
      </c>
      <c r="JKQ142" s="108"/>
      <c r="JKR142" s="108"/>
      <c r="JKS142" s="109"/>
      <c r="JKT142" s="107" t="s">
        <v>1</v>
      </c>
      <c r="JKU142" s="108"/>
      <c r="JKV142" s="108"/>
      <c r="JKW142" s="109"/>
      <c r="JKX142" s="107" t="s">
        <v>1</v>
      </c>
      <c r="JKY142" s="108"/>
      <c r="JKZ142" s="108"/>
      <c r="JLA142" s="109"/>
      <c r="JLB142" s="107" t="s">
        <v>1</v>
      </c>
      <c r="JLC142" s="108"/>
      <c r="JLD142" s="108"/>
      <c r="JLE142" s="109"/>
      <c r="JLF142" s="107" t="s">
        <v>1</v>
      </c>
      <c r="JLG142" s="108"/>
      <c r="JLH142" s="108"/>
      <c r="JLI142" s="109"/>
      <c r="JLJ142" s="107" t="s">
        <v>1</v>
      </c>
      <c r="JLK142" s="108"/>
      <c r="JLL142" s="108"/>
      <c r="JLM142" s="109"/>
      <c r="JLN142" s="107" t="s">
        <v>1</v>
      </c>
      <c r="JLO142" s="108"/>
      <c r="JLP142" s="108"/>
      <c r="JLQ142" s="109"/>
      <c r="JLR142" s="107" t="s">
        <v>1</v>
      </c>
      <c r="JLS142" s="108"/>
      <c r="JLT142" s="108"/>
      <c r="JLU142" s="109"/>
      <c r="JLV142" s="107" t="s">
        <v>1</v>
      </c>
      <c r="JLW142" s="108"/>
      <c r="JLX142" s="108"/>
      <c r="JLY142" s="109"/>
      <c r="JLZ142" s="107" t="s">
        <v>1</v>
      </c>
      <c r="JMA142" s="108"/>
      <c r="JMB142" s="108"/>
      <c r="JMC142" s="109"/>
      <c r="JMD142" s="107" t="s">
        <v>1</v>
      </c>
      <c r="JME142" s="108"/>
      <c r="JMF142" s="108"/>
      <c r="JMG142" s="109"/>
      <c r="JMH142" s="107" t="s">
        <v>1</v>
      </c>
      <c r="JMI142" s="108"/>
      <c r="JMJ142" s="108"/>
      <c r="JMK142" s="109"/>
      <c r="JML142" s="107" t="s">
        <v>1</v>
      </c>
      <c r="JMM142" s="108"/>
      <c r="JMN142" s="108"/>
      <c r="JMO142" s="109"/>
      <c r="JMP142" s="107" t="s">
        <v>1</v>
      </c>
      <c r="JMQ142" s="108"/>
      <c r="JMR142" s="108"/>
      <c r="JMS142" s="109"/>
      <c r="JMT142" s="107" t="s">
        <v>1</v>
      </c>
      <c r="JMU142" s="108"/>
      <c r="JMV142" s="108"/>
      <c r="JMW142" s="109"/>
      <c r="JMX142" s="107" t="s">
        <v>1</v>
      </c>
      <c r="JMY142" s="108"/>
      <c r="JMZ142" s="108"/>
      <c r="JNA142" s="109"/>
      <c r="JNB142" s="107" t="s">
        <v>1</v>
      </c>
      <c r="JNC142" s="108"/>
      <c r="JND142" s="108"/>
      <c r="JNE142" s="109"/>
      <c r="JNF142" s="107" t="s">
        <v>1</v>
      </c>
      <c r="JNG142" s="108"/>
      <c r="JNH142" s="108"/>
      <c r="JNI142" s="109"/>
      <c r="JNJ142" s="107" t="s">
        <v>1</v>
      </c>
      <c r="JNK142" s="108"/>
      <c r="JNL142" s="108"/>
      <c r="JNM142" s="109"/>
      <c r="JNN142" s="107" t="s">
        <v>1</v>
      </c>
      <c r="JNO142" s="108"/>
      <c r="JNP142" s="108"/>
      <c r="JNQ142" s="109"/>
      <c r="JNR142" s="107" t="s">
        <v>1</v>
      </c>
      <c r="JNS142" s="108"/>
      <c r="JNT142" s="108"/>
      <c r="JNU142" s="109"/>
      <c r="JNV142" s="107" t="s">
        <v>1</v>
      </c>
      <c r="JNW142" s="108"/>
      <c r="JNX142" s="108"/>
      <c r="JNY142" s="109"/>
      <c r="JNZ142" s="107" t="s">
        <v>1</v>
      </c>
      <c r="JOA142" s="108"/>
      <c r="JOB142" s="108"/>
      <c r="JOC142" s="109"/>
      <c r="JOD142" s="107" t="s">
        <v>1</v>
      </c>
      <c r="JOE142" s="108"/>
      <c r="JOF142" s="108"/>
      <c r="JOG142" s="109"/>
      <c r="JOH142" s="107" t="s">
        <v>1</v>
      </c>
      <c r="JOI142" s="108"/>
      <c r="JOJ142" s="108"/>
      <c r="JOK142" s="109"/>
      <c r="JOL142" s="107" t="s">
        <v>1</v>
      </c>
      <c r="JOM142" s="108"/>
      <c r="JON142" s="108"/>
      <c r="JOO142" s="109"/>
      <c r="JOP142" s="107" t="s">
        <v>1</v>
      </c>
      <c r="JOQ142" s="108"/>
      <c r="JOR142" s="108"/>
      <c r="JOS142" s="109"/>
      <c r="JOT142" s="107" t="s">
        <v>1</v>
      </c>
      <c r="JOU142" s="108"/>
      <c r="JOV142" s="108"/>
      <c r="JOW142" s="109"/>
      <c r="JOX142" s="107" t="s">
        <v>1</v>
      </c>
      <c r="JOY142" s="108"/>
      <c r="JOZ142" s="108"/>
      <c r="JPA142" s="109"/>
      <c r="JPB142" s="107" t="s">
        <v>1</v>
      </c>
      <c r="JPC142" s="108"/>
      <c r="JPD142" s="108"/>
      <c r="JPE142" s="109"/>
      <c r="JPF142" s="107" t="s">
        <v>1</v>
      </c>
      <c r="JPG142" s="108"/>
      <c r="JPH142" s="108"/>
      <c r="JPI142" s="109"/>
      <c r="JPJ142" s="107" t="s">
        <v>1</v>
      </c>
      <c r="JPK142" s="108"/>
      <c r="JPL142" s="108"/>
      <c r="JPM142" s="109"/>
      <c r="JPN142" s="107" t="s">
        <v>1</v>
      </c>
      <c r="JPO142" s="108"/>
      <c r="JPP142" s="108"/>
      <c r="JPQ142" s="109"/>
      <c r="JPR142" s="107" t="s">
        <v>1</v>
      </c>
      <c r="JPS142" s="108"/>
      <c r="JPT142" s="108"/>
      <c r="JPU142" s="109"/>
      <c r="JPV142" s="107" t="s">
        <v>1</v>
      </c>
      <c r="JPW142" s="108"/>
      <c r="JPX142" s="108"/>
      <c r="JPY142" s="109"/>
      <c r="JPZ142" s="107" t="s">
        <v>1</v>
      </c>
      <c r="JQA142" s="108"/>
      <c r="JQB142" s="108"/>
      <c r="JQC142" s="109"/>
      <c r="JQD142" s="107" t="s">
        <v>1</v>
      </c>
      <c r="JQE142" s="108"/>
      <c r="JQF142" s="108"/>
      <c r="JQG142" s="109"/>
      <c r="JQH142" s="107" t="s">
        <v>1</v>
      </c>
      <c r="JQI142" s="108"/>
      <c r="JQJ142" s="108"/>
      <c r="JQK142" s="109"/>
      <c r="JQL142" s="107" t="s">
        <v>1</v>
      </c>
      <c r="JQM142" s="108"/>
      <c r="JQN142" s="108"/>
      <c r="JQO142" s="109"/>
      <c r="JQP142" s="107" t="s">
        <v>1</v>
      </c>
      <c r="JQQ142" s="108"/>
      <c r="JQR142" s="108"/>
      <c r="JQS142" s="109"/>
      <c r="JQT142" s="107" t="s">
        <v>1</v>
      </c>
      <c r="JQU142" s="108"/>
      <c r="JQV142" s="108"/>
      <c r="JQW142" s="109"/>
      <c r="JQX142" s="107" t="s">
        <v>1</v>
      </c>
      <c r="JQY142" s="108"/>
      <c r="JQZ142" s="108"/>
      <c r="JRA142" s="109"/>
      <c r="JRB142" s="107" t="s">
        <v>1</v>
      </c>
      <c r="JRC142" s="108"/>
      <c r="JRD142" s="108"/>
      <c r="JRE142" s="109"/>
      <c r="JRF142" s="107" t="s">
        <v>1</v>
      </c>
      <c r="JRG142" s="108"/>
      <c r="JRH142" s="108"/>
      <c r="JRI142" s="109"/>
      <c r="JRJ142" s="107" t="s">
        <v>1</v>
      </c>
      <c r="JRK142" s="108"/>
      <c r="JRL142" s="108"/>
      <c r="JRM142" s="109"/>
      <c r="JRN142" s="107" t="s">
        <v>1</v>
      </c>
      <c r="JRO142" s="108"/>
      <c r="JRP142" s="108"/>
      <c r="JRQ142" s="109"/>
      <c r="JRR142" s="107" t="s">
        <v>1</v>
      </c>
      <c r="JRS142" s="108"/>
      <c r="JRT142" s="108"/>
      <c r="JRU142" s="109"/>
      <c r="JRV142" s="107" t="s">
        <v>1</v>
      </c>
      <c r="JRW142" s="108"/>
      <c r="JRX142" s="108"/>
      <c r="JRY142" s="109"/>
      <c r="JRZ142" s="107" t="s">
        <v>1</v>
      </c>
      <c r="JSA142" s="108"/>
      <c r="JSB142" s="108"/>
      <c r="JSC142" s="109"/>
      <c r="JSD142" s="107" t="s">
        <v>1</v>
      </c>
      <c r="JSE142" s="108"/>
      <c r="JSF142" s="108"/>
      <c r="JSG142" s="109"/>
      <c r="JSH142" s="107" t="s">
        <v>1</v>
      </c>
      <c r="JSI142" s="108"/>
      <c r="JSJ142" s="108"/>
      <c r="JSK142" s="109"/>
      <c r="JSL142" s="107" t="s">
        <v>1</v>
      </c>
      <c r="JSM142" s="108"/>
      <c r="JSN142" s="108"/>
      <c r="JSO142" s="109"/>
      <c r="JSP142" s="107" t="s">
        <v>1</v>
      </c>
      <c r="JSQ142" s="108"/>
      <c r="JSR142" s="108"/>
      <c r="JSS142" s="109"/>
      <c r="JST142" s="107" t="s">
        <v>1</v>
      </c>
      <c r="JSU142" s="108"/>
      <c r="JSV142" s="108"/>
      <c r="JSW142" s="109"/>
      <c r="JSX142" s="107" t="s">
        <v>1</v>
      </c>
      <c r="JSY142" s="108"/>
      <c r="JSZ142" s="108"/>
      <c r="JTA142" s="109"/>
      <c r="JTB142" s="107" t="s">
        <v>1</v>
      </c>
      <c r="JTC142" s="108"/>
      <c r="JTD142" s="108"/>
      <c r="JTE142" s="109"/>
      <c r="JTF142" s="107" t="s">
        <v>1</v>
      </c>
      <c r="JTG142" s="108"/>
      <c r="JTH142" s="108"/>
      <c r="JTI142" s="109"/>
      <c r="JTJ142" s="107" t="s">
        <v>1</v>
      </c>
      <c r="JTK142" s="108"/>
      <c r="JTL142" s="108"/>
      <c r="JTM142" s="109"/>
      <c r="JTN142" s="107" t="s">
        <v>1</v>
      </c>
      <c r="JTO142" s="108"/>
      <c r="JTP142" s="108"/>
      <c r="JTQ142" s="109"/>
      <c r="JTR142" s="107" t="s">
        <v>1</v>
      </c>
      <c r="JTS142" s="108"/>
      <c r="JTT142" s="108"/>
      <c r="JTU142" s="109"/>
      <c r="JTV142" s="107" t="s">
        <v>1</v>
      </c>
      <c r="JTW142" s="108"/>
      <c r="JTX142" s="108"/>
      <c r="JTY142" s="109"/>
      <c r="JTZ142" s="107" t="s">
        <v>1</v>
      </c>
      <c r="JUA142" s="108"/>
      <c r="JUB142" s="108"/>
      <c r="JUC142" s="109"/>
      <c r="JUD142" s="107" t="s">
        <v>1</v>
      </c>
      <c r="JUE142" s="108"/>
      <c r="JUF142" s="108"/>
      <c r="JUG142" s="109"/>
      <c r="JUH142" s="107" t="s">
        <v>1</v>
      </c>
      <c r="JUI142" s="108"/>
      <c r="JUJ142" s="108"/>
      <c r="JUK142" s="109"/>
      <c r="JUL142" s="107" t="s">
        <v>1</v>
      </c>
      <c r="JUM142" s="108"/>
      <c r="JUN142" s="108"/>
      <c r="JUO142" s="109"/>
      <c r="JUP142" s="107" t="s">
        <v>1</v>
      </c>
      <c r="JUQ142" s="108"/>
      <c r="JUR142" s="108"/>
      <c r="JUS142" s="109"/>
      <c r="JUT142" s="107" t="s">
        <v>1</v>
      </c>
      <c r="JUU142" s="108"/>
      <c r="JUV142" s="108"/>
      <c r="JUW142" s="109"/>
      <c r="JUX142" s="107" t="s">
        <v>1</v>
      </c>
      <c r="JUY142" s="108"/>
      <c r="JUZ142" s="108"/>
      <c r="JVA142" s="109"/>
      <c r="JVB142" s="107" t="s">
        <v>1</v>
      </c>
      <c r="JVC142" s="108"/>
      <c r="JVD142" s="108"/>
      <c r="JVE142" s="109"/>
      <c r="JVF142" s="107" t="s">
        <v>1</v>
      </c>
      <c r="JVG142" s="108"/>
      <c r="JVH142" s="108"/>
      <c r="JVI142" s="109"/>
      <c r="JVJ142" s="107" t="s">
        <v>1</v>
      </c>
      <c r="JVK142" s="108"/>
      <c r="JVL142" s="108"/>
      <c r="JVM142" s="109"/>
      <c r="JVN142" s="107" t="s">
        <v>1</v>
      </c>
      <c r="JVO142" s="108"/>
      <c r="JVP142" s="108"/>
      <c r="JVQ142" s="109"/>
      <c r="JVR142" s="107" t="s">
        <v>1</v>
      </c>
      <c r="JVS142" s="108"/>
      <c r="JVT142" s="108"/>
      <c r="JVU142" s="109"/>
      <c r="JVV142" s="107" t="s">
        <v>1</v>
      </c>
      <c r="JVW142" s="108"/>
      <c r="JVX142" s="108"/>
      <c r="JVY142" s="109"/>
      <c r="JVZ142" s="107" t="s">
        <v>1</v>
      </c>
      <c r="JWA142" s="108"/>
      <c r="JWB142" s="108"/>
      <c r="JWC142" s="109"/>
      <c r="JWD142" s="107" t="s">
        <v>1</v>
      </c>
      <c r="JWE142" s="108"/>
      <c r="JWF142" s="108"/>
      <c r="JWG142" s="109"/>
      <c r="JWH142" s="107" t="s">
        <v>1</v>
      </c>
      <c r="JWI142" s="108"/>
      <c r="JWJ142" s="108"/>
      <c r="JWK142" s="109"/>
      <c r="JWL142" s="107" t="s">
        <v>1</v>
      </c>
      <c r="JWM142" s="108"/>
      <c r="JWN142" s="108"/>
      <c r="JWO142" s="109"/>
      <c r="JWP142" s="107" t="s">
        <v>1</v>
      </c>
      <c r="JWQ142" s="108"/>
      <c r="JWR142" s="108"/>
      <c r="JWS142" s="109"/>
      <c r="JWT142" s="107" t="s">
        <v>1</v>
      </c>
      <c r="JWU142" s="108"/>
      <c r="JWV142" s="108"/>
      <c r="JWW142" s="109"/>
      <c r="JWX142" s="107" t="s">
        <v>1</v>
      </c>
      <c r="JWY142" s="108"/>
      <c r="JWZ142" s="108"/>
      <c r="JXA142" s="109"/>
      <c r="JXB142" s="107" t="s">
        <v>1</v>
      </c>
      <c r="JXC142" s="108"/>
      <c r="JXD142" s="108"/>
      <c r="JXE142" s="109"/>
      <c r="JXF142" s="107" t="s">
        <v>1</v>
      </c>
      <c r="JXG142" s="108"/>
      <c r="JXH142" s="108"/>
      <c r="JXI142" s="109"/>
      <c r="JXJ142" s="107" t="s">
        <v>1</v>
      </c>
      <c r="JXK142" s="108"/>
      <c r="JXL142" s="108"/>
      <c r="JXM142" s="109"/>
      <c r="JXN142" s="107" t="s">
        <v>1</v>
      </c>
      <c r="JXO142" s="108"/>
      <c r="JXP142" s="108"/>
      <c r="JXQ142" s="109"/>
      <c r="JXR142" s="107" t="s">
        <v>1</v>
      </c>
      <c r="JXS142" s="108"/>
      <c r="JXT142" s="108"/>
      <c r="JXU142" s="109"/>
      <c r="JXV142" s="107" t="s">
        <v>1</v>
      </c>
      <c r="JXW142" s="108"/>
      <c r="JXX142" s="108"/>
      <c r="JXY142" s="109"/>
      <c r="JXZ142" s="107" t="s">
        <v>1</v>
      </c>
      <c r="JYA142" s="108"/>
      <c r="JYB142" s="108"/>
      <c r="JYC142" s="109"/>
      <c r="JYD142" s="107" t="s">
        <v>1</v>
      </c>
      <c r="JYE142" s="108"/>
      <c r="JYF142" s="108"/>
      <c r="JYG142" s="109"/>
      <c r="JYH142" s="107" t="s">
        <v>1</v>
      </c>
      <c r="JYI142" s="108"/>
      <c r="JYJ142" s="108"/>
      <c r="JYK142" s="109"/>
      <c r="JYL142" s="107" t="s">
        <v>1</v>
      </c>
      <c r="JYM142" s="108"/>
      <c r="JYN142" s="108"/>
      <c r="JYO142" s="109"/>
      <c r="JYP142" s="107" t="s">
        <v>1</v>
      </c>
      <c r="JYQ142" s="108"/>
      <c r="JYR142" s="108"/>
      <c r="JYS142" s="109"/>
      <c r="JYT142" s="107" t="s">
        <v>1</v>
      </c>
      <c r="JYU142" s="108"/>
      <c r="JYV142" s="108"/>
      <c r="JYW142" s="109"/>
      <c r="JYX142" s="107" t="s">
        <v>1</v>
      </c>
      <c r="JYY142" s="108"/>
      <c r="JYZ142" s="108"/>
      <c r="JZA142" s="109"/>
      <c r="JZB142" s="107" t="s">
        <v>1</v>
      </c>
      <c r="JZC142" s="108"/>
      <c r="JZD142" s="108"/>
      <c r="JZE142" s="109"/>
      <c r="JZF142" s="107" t="s">
        <v>1</v>
      </c>
      <c r="JZG142" s="108"/>
      <c r="JZH142" s="108"/>
      <c r="JZI142" s="109"/>
      <c r="JZJ142" s="107" t="s">
        <v>1</v>
      </c>
      <c r="JZK142" s="108"/>
      <c r="JZL142" s="108"/>
      <c r="JZM142" s="109"/>
      <c r="JZN142" s="107" t="s">
        <v>1</v>
      </c>
      <c r="JZO142" s="108"/>
      <c r="JZP142" s="108"/>
      <c r="JZQ142" s="109"/>
      <c r="JZR142" s="107" t="s">
        <v>1</v>
      </c>
      <c r="JZS142" s="108"/>
      <c r="JZT142" s="108"/>
      <c r="JZU142" s="109"/>
      <c r="JZV142" s="107" t="s">
        <v>1</v>
      </c>
      <c r="JZW142" s="108"/>
      <c r="JZX142" s="108"/>
      <c r="JZY142" s="109"/>
      <c r="JZZ142" s="107" t="s">
        <v>1</v>
      </c>
      <c r="KAA142" s="108"/>
      <c r="KAB142" s="108"/>
      <c r="KAC142" s="109"/>
      <c r="KAD142" s="107" t="s">
        <v>1</v>
      </c>
      <c r="KAE142" s="108"/>
      <c r="KAF142" s="108"/>
      <c r="KAG142" s="109"/>
      <c r="KAH142" s="107" t="s">
        <v>1</v>
      </c>
      <c r="KAI142" s="108"/>
      <c r="KAJ142" s="108"/>
      <c r="KAK142" s="109"/>
      <c r="KAL142" s="107" t="s">
        <v>1</v>
      </c>
      <c r="KAM142" s="108"/>
      <c r="KAN142" s="108"/>
      <c r="KAO142" s="109"/>
      <c r="KAP142" s="107" t="s">
        <v>1</v>
      </c>
      <c r="KAQ142" s="108"/>
      <c r="KAR142" s="108"/>
      <c r="KAS142" s="109"/>
      <c r="KAT142" s="107" t="s">
        <v>1</v>
      </c>
      <c r="KAU142" s="108"/>
      <c r="KAV142" s="108"/>
      <c r="KAW142" s="109"/>
      <c r="KAX142" s="107" t="s">
        <v>1</v>
      </c>
      <c r="KAY142" s="108"/>
      <c r="KAZ142" s="108"/>
      <c r="KBA142" s="109"/>
      <c r="KBB142" s="107" t="s">
        <v>1</v>
      </c>
      <c r="KBC142" s="108"/>
      <c r="KBD142" s="108"/>
      <c r="KBE142" s="109"/>
      <c r="KBF142" s="107" t="s">
        <v>1</v>
      </c>
      <c r="KBG142" s="108"/>
      <c r="KBH142" s="108"/>
      <c r="KBI142" s="109"/>
      <c r="KBJ142" s="107" t="s">
        <v>1</v>
      </c>
      <c r="KBK142" s="108"/>
      <c r="KBL142" s="108"/>
      <c r="KBM142" s="109"/>
      <c r="KBN142" s="107" t="s">
        <v>1</v>
      </c>
      <c r="KBO142" s="108"/>
      <c r="KBP142" s="108"/>
      <c r="KBQ142" s="109"/>
      <c r="KBR142" s="107" t="s">
        <v>1</v>
      </c>
      <c r="KBS142" s="108"/>
      <c r="KBT142" s="108"/>
      <c r="KBU142" s="109"/>
      <c r="KBV142" s="107" t="s">
        <v>1</v>
      </c>
      <c r="KBW142" s="108"/>
      <c r="KBX142" s="108"/>
      <c r="KBY142" s="109"/>
      <c r="KBZ142" s="107" t="s">
        <v>1</v>
      </c>
      <c r="KCA142" s="108"/>
      <c r="KCB142" s="108"/>
      <c r="KCC142" s="109"/>
      <c r="KCD142" s="107" t="s">
        <v>1</v>
      </c>
      <c r="KCE142" s="108"/>
      <c r="KCF142" s="108"/>
      <c r="KCG142" s="109"/>
      <c r="KCH142" s="107" t="s">
        <v>1</v>
      </c>
      <c r="KCI142" s="108"/>
      <c r="KCJ142" s="108"/>
      <c r="KCK142" s="109"/>
      <c r="KCL142" s="107" t="s">
        <v>1</v>
      </c>
      <c r="KCM142" s="108"/>
      <c r="KCN142" s="108"/>
      <c r="KCO142" s="109"/>
      <c r="KCP142" s="107" t="s">
        <v>1</v>
      </c>
      <c r="KCQ142" s="108"/>
      <c r="KCR142" s="108"/>
      <c r="KCS142" s="109"/>
      <c r="KCT142" s="107" t="s">
        <v>1</v>
      </c>
      <c r="KCU142" s="108"/>
      <c r="KCV142" s="108"/>
      <c r="KCW142" s="109"/>
      <c r="KCX142" s="107" t="s">
        <v>1</v>
      </c>
      <c r="KCY142" s="108"/>
      <c r="KCZ142" s="108"/>
      <c r="KDA142" s="109"/>
      <c r="KDB142" s="107" t="s">
        <v>1</v>
      </c>
      <c r="KDC142" s="108"/>
      <c r="KDD142" s="108"/>
      <c r="KDE142" s="109"/>
      <c r="KDF142" s="107" t="s">
        <v>1</v>
      </c>
      <c r="KDG142" s="108"/>
      <c r="KDH142" s="108"/>
      <c r="KDI142" s="109"/>
      <c r="KDJ142" s="107" t="s">
        <v>1</v>
      </c>
      <c r="KDK142" s="108"/>
      <c r="KDL142" s="108"/>
      <c r="KDM142" s="109"/>
      <c r="KDN142" s="107" t="s">
        <v>1</v>
      </c>
      <c r="KDO142" s="108"/>
      <c r="KDP142" s="108"/>
      <c r="KDQ142" s="109"/>
      <c r="KDR142" s="107" t="s">
        <v>1</v>
      </c>
      <c r="KDS142" s="108"/>
      <c r="KDT142" s="108"/>
      <c r="KDU142" s="109"/>
      <c r="KDV142" s="107" t="s">
        <v>1</v>
      </c>
      <c r="KDW142" s="108"/>
      <c r="KDX142" s="108"/>
      <c r="KDY142" s="109"/>
      <c r="KDZ142" s="107" t="s">
        <v>1</v>
      </c>
      <c r="KEA142" s="108"/>
      <c r="KEB142" s="108"/>
      <c r="KEC142" s="109"/>
      <c r="KED142" s="107" t="s">
        <v>1</v>
      </c>
      <c r="KEE142" s="108"/>
      <c r="KEF142" s="108"/>
      <c r="KEG142" s="109"/>
      <c r="KEH142" s="107" t="s">
        <v>1</v>
      </c>
      <c r="KEI142" s="108"/>
      <c r="KEJ142" s="108"/>
      <c r="KEK142" s="109"/>
      <c r="KEL142" s="107" t="s">
        <v>1</v>
      </c>
      <c r="KEM142" s="108"/>
      <c r="KEN142" s="108"/>
      <c r="KEO142" s="109"/>
      <c r="KEP142" s="107" t="s">
        <v>1</v>
      </c>
      <c r="KEQ142" s="108"/>
      <c r="KER142" s="108"/>
      <c r="KES142" s="109"/>
      <c r="KET142" s="107" t="s">
        <v>1</v>
      </c>
      <c r="KEU142" s="108"/>
      <c r="KEV142" s="108"/>
      <c r="KEW142" s="109"/>
      <c r="KEX142" s="107" t="s">
        <v>1</v>
      </c>
      <c r="KEY142" s="108"/>
      <c r="KEZ142" s="108"/>
      <c r="KFA142" s="109"/>
      <c r="KFB142" s="107" t="s">
        <v>1</v>
      </c>
      <c r="KFC142" s="108"/>
      <c r="KFD142" s="108"/>
      <c r="KFE142" s="109"/>
      <c r="KFF142" s="107" t="s">
        <v>1</v>
      </c>
      <c r="KFG142" s="108"/>
      <c r="KFH142" s="108"/>
      <c r="KFI142" s="109"/>
      <c r="KFJ142" s="107" t="s">
        <v>1</v>
      </c>
      <c r="KFK142" s="108"/>
      <c r="KFL142" s="108"/>
      <c r="KFM142" s="109"/>
      <c r="KFN142" s="107" t="s">
        <v>1</v>
      </c>
      <c r="KFO142" s="108"/>
      <c r="KFP142" s="108"/>
      <c r="KFQ142" s="109"/>
      <c r="KFR142" s="107" t="s">
        <v>1</v>
      </c>
      <c r="KFS142" s="108"/>
      <c r="KFT142" s="108"/>
      <c r="KFU142" s="109"/>
      <c r="KFV142" s="107" t="s">
        <v>1</v>
      </c>
      <c r="KFW142" s="108"/>
      <c r="KFX142" s="108"/>
      <c r="KFY142" s="109"/>
      <c r="KFZ142" s="107" t="s">
        <v>1</v>
      </c>
      <c r="KGA142" s="108"/>
      <c r="KGB142" s="108"/>
      <c r="KGC142" s="109"/>
      <c r="KGD142" s="107" t="s">
        <v>1</v>
      </c>
      <c r="KGE142" s="108"/>
      <c r="KGF142" s="108"/>
      <c r="KGG142" s="109"/>
      <c r="KGH142" s="107" t="s">
        <v>1</v>
      </c>
      <c r="KGI142" s="108"/>
      <c r="KGJ142" s="108"/>
      <c r="KGK142" s="109"/>
      <c r="KGL142" s="107" t="s">
        <v>1</v>
      </c>
      <c r="KGM142" s="108"/>
      <c r="KGN142" s="108"/>
      <c r="KGO142" s="109"/>
      <c r="KGP142" s="107" t="s">
        <v>1</v>
      </c>
      <c r="KGQ142" s="108"/>
      <c r="KGR142" s="108"/>
      <c r="KGS142" s="109"/>
      <c r="KGT142" s="107" t="s">
        <v>1</v>
      </c>
      <c r="KGU142" s="108"/>
      <c r="KGV142" s="108"/>
      <c r="KGW142" s="109"/>
      <c r="KGX142" s="107" t="s">
        <v>1</v>
      </c>
      <c r="KGY142" s="108"/>
      <c r="KGZ142" s="108"/>
      <c r="KHA142" s="109"/>
      <c r="KHB142" s="107" t="s">
        <v>1</v>
      </c>
      <c r="KHC142" s="108"/>
      <c r="KHD142" s="108"/>
      <c r="KHE142" s="109"/>
      <c r="KHF142" s="107" t="s">
        <v>1</v>
      </c>
      <c r="KHG142" s="108"/>
      <c r="KHH142" s="108"/>
      <c r="KHI142" s="109"/>
      <c r="KHJ142" s="107" t="s">
        <v>1</v>
      </c>
      <c r="KHK142" s="108"/>
      <c r="KHL142" s="108"/>
      <c r="KHM142" s="109"/>
      <c r="KHN142" s="107" t="s">
        <v>1</v>
      </c>
      <c r="KHO142" s="108"/>
      <c r="KHP142" s="108"/>
      <c r="KHQ142" s="109"/>
      <c r="KHR142" s="107" t="s">
        <v>1</v>
      </c>
      <c r="KHS142" s="108"/>
      <c r="KHT142" s="108"/>
      <c r="KHU142" s="109"/>
      <c r="KHV142" s="107" t="s">
        <v>1</v>
      </c>
      <c r="KHW142" s="108"/>
      <c r="KHX142" s="108"/>
      <c r="KHY142" s="109"/>
      <c r="KHZ142" s="107" t="s">
        <v>1</v>
      </c>
      <c r="KIA142" s="108"/>
      <c r="KIB142" s="108"/>
      <c r="KIC142" s="109"/>
      <c r="KID142" s="107" t="s">
        <v>1</v>
      </c>
      <c r="KIE142" s="108"/>
      <c r="KIF142" s="108"/>
      <c r="KIG142" s="109"/>
      <c r="KIH142" s="107" t="s">
        <v>1</v>
      </c>
      <c r="KII142" s="108"/>
      <c r="KIJ142" s="108"/>
      <c r="KIK142" s="109"/>
      <c r="KIL142" s="107" t="s">
        <v>1</v>
      </c>
      <c r="KIM142" s="108"/>
      <c r="KIN142" s="108"/>
      <c r="KIO142" s="109"/>
      <c r="KIP142" s="107" t="s">
        <v>1</v>
      </c>
      <c r="KIQ142" s="108"/>
      <c r="KIR142" s="108"/>
      <c r="KIS142" s="109"/>
      <c r="KIT142" s="107" t="s">
        <v>1</v>
      </c>
      <c r="KIU142" s="108"/>
      <c r="KIV142" s="108"/>
      <c r="KIW142" s="109"/>
      <c r="KIX142" s="107" t="s">
        <v>1</v>
      </c>
      <c r="KIY142" s="108"/>
      <c r="KIZ142" s="108"/>
      <c r="KJA142" s="109"/>
      <c r="KJB142" s="107" t="s">
        <v>1</v>
      </c>
      <c r="KJC142" s="108"/>
      <c r="KJD142" s="108"/>
      <c r="KJE142" s="109"/>
      <c r="KJF142" s="107" t="s">
        <v>1</v>
      </c>
      <c r="KJG142" s="108"/>
      <c r="KJH142" s="108"/>
      <c r="KJI142" s="109"/>
      <c r="KJJ142" s="107" t="s">
        <v>1</v>
      </c>
      <c r="KJK142" s="108"/>
      <c r="KJL142" s="108"/>
      <c r="KJM142" s="109"/>
      <c r="KJN142" s="107" t="s">
        <v>1</v>
      </c>
      <c r="KJO142" s="108"/>
      <c r="KJP142" s="108"/>
      <c r="KJQ142" s="109"/>
      <c r="KJR142" s="107" t="s">
        <v>1</v>
      </c>
      <c r="KJS142" s="108"/>
      <c r="KJT142" s="108"/>
      <c r="KJU142" s="109"/>
      <c r="KJV142" s="107" t="s">
        <v>1</v>
      </c>
      <c r="KJW142" s="108"/>
      <c r="KJX142" s="108"/>
      <c r="KJY142" s="109"/>
      <c r="KJZ142" s="107" t="s">
        <v>1</v>
      </c>
      <c r="KKA142" s="108"/>
      <c r="KKB142" s="108"/>
      <c r="KKC142" s="109"/>
      <c r="KKD142" s="107" t="s">
        <v>1</v>
      </c>
      <c r="KKE142" s="108"/>
      <c r="KKF142" s="108"/>
      <c r="KKG142" s="109"/>
      <c r="KKH142" s="107" t="s">
        <v>1</v>
      </c>
      <c r="KKI142" s="108"/>
      <c r="KKJ142" s="108"/>
      <c r="KKK142" s="109"/>
      <c r="KKL142" s="107" t="s">
        <v>1</v>
      </c>
      <c r="KKM142" s="108"/>
      <c r="KKN142" s="108"/>
      <c r="KKO142" s="109"/>
      <c r="KKP142" s="107" t="s">
        <v>1</v>
      </c>
      <c r="KKQ142" s="108"/>
      <c r="KKR142" s="108"/>
      <c r="KKS142" s="109"/>
      <c r="KKT142" s="107" t="s">
        <v>1</v>
      </c>
      <c r="KKU142" s="108"/>
      <c r="KKV142" s="108"/>
      <c r="KKW142" s="109"/>
      <c r="KKX142" s="107" t="s">
        <v>1</v>
      </c>
      <c r="KKY142" s="108"/>
      <c r="KKZ142" s="108"/>
      <c r="KLA142" s="109"/>
      <c r="KLB142" s="107" t="s">
        <v>1</v>
      </c>
      <c r="KLC142" s="108"/>
      <c r="KLD142" s="108"/>
      <c r="KLE142" s="109"/>
      <c r="KLF142" s="107" t="s">
        <v>1</v>
      </c>
      <c r="KLG142" s="108"/>
      <c r="KLH142" s="108"/>
      <c r="KLI142" s="109"/>
      <c r="KLJ142" s="107" t="s">
        <v>1</v>
      </c>
      <c r="KLK142" s="108"/>
      <c r="KLL142" s="108"/>
      <c r="KLM142" s="109"/>
      <c r="KLN142" s="107" t="s">
        <v>1</v>
      </c>
      <c r="KLO142" s="108"/>
      <c r="KLP142" s="108"/>
      <c r="KLQ142" s="109"/>
      <c r="KLR142" s="107" t="s">
        <v>1</v>
      </c>
      <c r="KLS142" s="108"/>
      <c r="KLT142" s="108"/>
      <c r="KLU142" s="109"/>
      <c r="KLV142" s="107" t="s">
        <v>1</v>
      </c>
      <c r="KLW142" s="108"/>
      <c r="KLX142" s="108"/>
      <c r="KLY142" s="109"/>
      <c r="KLZ142" s="107" t="s">
        <v>1</v>
      </c>
      <c r="KMA142" s="108"/>
      <c r="KMB142" s="108"/>
      <c r="KMC142" s="109"/>
      <c r="KMD142" s="107" t="s">
        <v>1</v>
      </c>
      <c r="KME142" s="108"/>
      <c r="KMF142" s="108"/>
      <c r="KMG142" s="109"/>
      <c r="KMH142" s="107" t="s">
        <v>1</v>
      </c>
      <c r="KMI142" s="108"/>
      <c r="KMJ142" s="108"/>
      <c r="KMK142" s="109"/>
      <c r="KML142" s="107" t="s">
        <v>1</v>
      </c>
      <c r="KMM142" s="108"/>
      <c r="KMN142" s="108"/>
      <c r="KMO142" s="109"/>
      <c r="KMP142" s="107" t="s">
        <v>1</v>
      </c>
      <c r="KMQ142" s="108"/>
      <c r="KMR142" s="108"/>
      <c r="KMS142" s="109"/>
      <c r="KMT142" s="107" t="s">
        <v>1</v>
      </c>
      <c r="KMU142" s="108"/>
      <c r="KMV142" s="108"/>
      <c r="KMW142" s="109"/>
      <c r="KMX142" s="107" t="s">
        <v>1</v>
      </c>
      <c r="KMY142" s="108"/>
      <c r="KMZ142" s="108"/>
      <c r="KNA142" s="109"/>
      <c r="KNB142" s="107" t="s">
        <v>1</v>
      </c>
      <c r="KNC142" s="108"/>
      <c r="KND142" s="108"/>
      <c r="KNE142" s="109"/>
      <c r="KNF142" s="107" t="s">
        <v>1</v>
      </c>
      <c r="KNG142" s="108"/>
      <c r="KNH142" s="108"/>
      <c r="KNI142" s="109"/>
      <c r="KNJ142" s="107" t="s">
        <v>1</v>
      </c>
      <c r="KNK142" s="108"/>
      <c r="KNL142" s="108"/>
      <c r="KNM142" s="109"/>
      <c r="KNN142" s="107" t="s">
        <v>1</v>
      </c>
      <c r="KNO142" s="108"/>
      <c r="KNP142" s="108"/>
      <c r="KNQ142" s="109"/>
      <c r="KNR142" s="107" t="s">
        <v>1</v>
      </c>
      <c r="KNS142" s="108"/>
      <c r="KNT142" s="108"/>
      <c r="KNU142" s="109"/>
      <c r="KNV142" s="107" t="s">
        <v>1</v>
      </c>
      <c r="KNW142" s="108"/>
      <c r="KNX142" s="108"/>
      <c r="KNY142" s="109"/>
      <c r="KNZ142" s="107" t="s">
        <v>1</v>
      </c>
      <c r="KOA142" s="108"/>
      <c r="KOB142" s="108"/>
      <c r="KOC142" s="109"/>
      <c r="KOD142" s="107" t="s">
        <v>1</v>
      </c>
      <c r="KOE142" s="108"/>
      <c r="KOF142" s="108"/>
      <c r="KOG142" s="109"/>
      <c r="KOH142" s="107" t="s">
        <v>1</v>
      </c>
      <c r="KOI142" s="108"/>
      <c r="KOJ142" s="108"/>
      <c r="KOK142" s="109"/>
      <c r="KOL142" s="107" t="s">
        <v>1</v>
      </c>
      <c r="KOM142" s="108"/>
      <c r="KON142" s="108"/>
      <c r="KOO142" s="109"/>
      <c r="KOP142" s="107" t="s">
        <v>1</v>
      </c>
      <c r="KOQ142" s="108"/>
      <c r="KOR142" s="108"/>
      <c r="KOS142" s="109"/>
      <c r="KOT142" s="107" t="s">
        <v>1</v>
      </c>
      <c r="KOU142" s="108"/>
      <c r="KOV142" s="108"/>
      <c r="KOW142" s="109"/>
      <c r="KOX142" s="107" t="s">
        <v>1</v>
      </c>
      <c r="KOY142" s="108"/>
      <c r="KOZ142" s="108"/>
      <c r="KPA142" s="109"/>
      <c r="KPB142" s="107" t="s">
        <v>1</v>
      </c>
      <c r="KPC142" s="108"/>
      <c r="KPD142" s="108"/>
      <c r="KPE142" s="109"/>
      <c r="KPF142" s="107" t="s">
        <v>1</v>
      </c>
      <c r="KPG142" s="108"/>
      <c r="KPH142" s="108"/>
      <c r="KPI142" s="109"/>
      <c r="KPJ142" s="107" t="s">
        <v>1</v>
      </c>
      <c r="KPK142" s="108"/>
      <c r="KPL142" s="108"/>
      <c r="KPM142" s="109"/>
      <c r="KPN142" s="107" t="s">
        <v>1</v>
      </c>
      <c r="KPO142" s="108"/>
      <c r="KPP142" s="108"/>
      <c r="KPQ142" s="109"/>
      <c r="KPR142" s="107" t="s">
        <v>1</v>
      </c>
      <c r="KPS142" s="108"/>
      <c r="KPT142" s="108"/>
      <c r="KPU142" s="109"/>
      <c r="KPV142" s="107" t="s">
        <v>1</v>
      </c>
      <c r="KPW142" s="108"/>
      <c r="KPX142" s="108"/>
      <c r="KPY142" s="109"/>
      <c r="KPZ142" s="107" t="s">
        <v>1</v>
      </c>
      <c r="KQA142" s="108"/>
      <c r="KQB142" s="108"/>
      <c r="KQC142" s="109"/>
      <c r="KQD142" s="107" t="s">
        <v>1</v>
      </c>
      <c r="KQE142" s="108"/>
      <c r="KQF142" s="108"/>
      <c r="KQG142" s="109"/>
      <c r="KQH142" s="107" t="s">
        <v>1</v>
      </c>
      <c r="KQI142" s="108"/>
      <c r="KQJ142" s="108"/>
      <c r="KQK142" s="109"/>
      <c r="KQL142" s="107" t="s">
        <v>1</v>
      </c>
      <c r="KQM142" s="108"/>
      <c r="KQN142" s="108"/>
      <c r="KQO142" s="109"/>
      <c r="KQP142" s="107" t="s">
        <v>1</v>
      </c>
      <c r="KQQ142" s="108"/>
      <c r="KQR142" s="108"/>
      <c r="KQS142" s="109"/>
      <c r="KQT142" s="107" t="s">
        <v>1</v>
      </c>
      <c r="KQU142" s="108"/>
      <c r="KQV142" s="108"/>
      <c r="KQW142" s="109"/>
      <c r="KQX142" s="107" t="s">
        <v>1</v>
      </c>
      <c r="KQY142" s="108"/>
      <c r="KQZ142" s="108"/>
      <c r="KRA142" s="109"/>
      <c r="KRB142" s="107" t="s">
        <v>1</v>
      </c>
      <c r="KRC142" s="108"/>
      <c r="KRD142" s="108"/>
      <c r="KRE142" s="109"/>
      <c r="KRF142" s="107" t="s">
        <v>1</v>
      </c>
      <c r="KRG142" s="108"/>
      <c r="KRH142" s="108"/>
      <c r="KRI142" s="109"/>
      <c r="KRJ142" s="107" t="s">
        <v>1</v>
      </c>
      <c r="KRK142" s="108"/>
      <c r="KRL142" s="108"/>
      <c r="KRM142" s="109"/>
      <c r="KRN142" s="107" t="s">
        <v>1</v>
      </c>
      <c r="KRO142" s="108"/>
      <c r="KRP142" s="108"/>
      <c r="KRQ142" s="109"/>
      <c r="KRR142" s="107" t="s">
        <v>1</v>
      </c>
      <c r="KRS142" s="108"/>
      <c r="KRT142" s="108"/>
      <c r="KRU142" s="109"/>
      <c r="KRV142" s="107" t="s">
        <v>1</v>
      </c>
      <c r="KRW142" s="108"/>
      <c r="KRX142" s="108"/>
      <c r="KRY142" s="109"/>
      <c r="KRZ142" s="107" t="s">
        <v>1</v>
      </c>
      <c r="KSA142" s="108"/>
      <c r="KSB142" s="108"/>
      <c r="KSC142" s="109"/>
      <c r="KSD142" s="107" t="s">
        <v>1</v>
      </c>
      <c r="KSE142" s="108"/>
      <c r="KSF142" s="108"/>
      <c r="KSG142" s="109"/>
      <c r="KSH142" s="107" t="s">
        <v>1</v>
      </c>
      <c r="KSI142" s="108"/>
      <c r="KSJ142" s="108"/>
      <c r="KSK142" s="109"/>
      <c r="KSL142" s="107" t="s">
        <v>1</v>
      </c>
      <c r="KSM142" s="108"/>
      <c r="KSN142" s="108"/>
      <c r="KSO142" s="109"/>
      <c r="KSP142" s="107" t="s">
        <v>1</v>
      </c>
      <c r="KSQ142" s="108"/>
      <c r="KSR142" s="108"/>
      <c r="KSS142" s="109"/>
      <c r="KST142" s="107" t="s">
        <v>1</v>
      </c>
      <c r="KSU142" s="108"/>
      <c r="KSV142" s="108"/>
      <c r="KSW142" s="109"/>
      <c r="KSX142" s="107" t="s">
        <v>1</v>
      </c>
      <c r="KSY142" s="108"/>
      <c r="KSZ142" s="108"/>
      <c r="KTA142" s="109"/>
      <c r="KTB142" s="107" t="s">
        <v>1</v>
      </c>
      <c r="KTC142" s="108"/>
      <c r="KTD142" s="108"/>
      <c r="KTE142" s="109"/>
      <c r="KTF142" s="107" t="s">
        <v>1</v>
      </c>
      <c r="KTG142" s="108"/>
      <c r="KTH142" s="108"/>
      <c r="KTI142" s="109"/>
      <c r="KTJ142" s="107" t="s">
        <v>1</v>
      </c>
      <c r="KTK142" s="108"/>
      <c r="KTL142" s="108"/>
      <c r="KTM142" s="109"/>
      <c r="KTN142" s="107" t="s">
        <v>1</v>
      </c>
      <c r="KTO142" s="108"/>
      <c r="KTP142" s="108"/>
      <c r="KTQ142" s="109"/>
      <c r="KTR142" s="107" t="s">
        <v>1</v>
      </c>
      <c r="KTS142" s="108"/>
      <c r="KTT142" s="108"/>
      <c r="KTU142" s="109"/>
      <c r="KTV142" s="107" t="s">
        <v>1</v>
      </c>
      <c r="KTW142" s="108"/>
      <c r="KTX142" s="108"/>
      <c r="KTY142" s="109"/>
      <c r="KTZ142" s="107" t="s">
        <v>1</v>
      </c>
      <c r="KUA142" s="108"/>
      <c r="KUB142" s="108"/>
      <c r="KUC142" s="109"/>
      <c r="KUD142" s="107" t="s">
        <v>1</v>
      </c>
      <c r="KUE142" s="108"/>
      <c r="KUF142" s="108"/>
      <c r="KUG142" s="109"/>
      <c r="KUH142" s="107" t="s">
        <v>1</v>
      </c>
      <c r="KUI142" s="108"/>
      <c r="KUJ142" s="108"/>
      <c r="KUK142" s="109"/>
      <c r="KUL142" s="107" t="s">
        <v>1</v>
      </c>
      <c r="KUM142" s="108"/>
      <c r="KUN142" s="108"/>
      <c r="KUO142" s="109"/>
      <c r="KUP142" s="107" t="s">
        <v>1</v>
      </c>
      <c r="KUQ142" s="108"/>
      <c r="KUR142" s="108"/>
      <c r="KUS142" s="109"/>
      <c r="KUT142" s="107" t="s">
        <v>1</v>
      </c>
      <c r="KUU142" s="108"/>
      <c r="KUV142" s="108"/>
      <c r="KUW142" s="109"/>
      <c r="KUX142" s="107" t="s">
        <v>1</v>
      </c>
      <c r="KUY142" s="108"/>
      <c r="KUZ142" s="108"/>
      <c r="KVA142" s="109"/>
      <c r="KVB142" s="107" t="s">
        <v>1</v>
      </c>
      <c r="KVC142" s="108"/>
      <c r="KVD142" s="108"/>
      <c r="KVE142" s="109"/>
      <c r="KVF142" s="107" t="s">
        <v>1</v>
      </c>
      <c r="KVG142" s="108"/>
      <c r="KVH142" s="108"/>
      <c r="KVI142" s="109"/>
      <c r="KVJ142" s="107" t="s">
        <v>1</v>
      </c>
      <c r="KVK142" s="108"/>
      <c r="KVL142" s="108"/>
      <c r="KVM142" s="109"/>
      <c r="KVN142" s="107" t="s">
        <v>1</v>
      </c>
      <c r="KVO142" s="108"/>
      <c r="KVP142" s="108"/>
      <c r="KVQ142" s="109"/>
      <c r="KVR142" s="107" t="s">
        <v>1</v>
      </c>
      <c r="KVS142" s="108"/>
      <c r="KVT142" s="108"/>
      <c r="KVU142" s="109"/>
      <c r="KVV142" s="107" t="s">
        <v>1</v>
      </c>
      <c r="KVW142" s="108"/>
      <c r="KVX142" s="108"/>
      <c r="KVY142" s="109"/>
      <c r="KVZ142" s="107" t="s">
        <v>1</v>
      </c>
      <c r="KWA142" s="108"/>
      <c r="KWB142" s="108"/>
      <c r="KWC142" s="109"/>
      <c r="KWD142" s="107" t="s">
        <v>1</v>
      </c>
      <c r="KWE142" s="108"/>
      <c r="KWF142" s="108"/>
      <c r="KWG142" s="109"/>
      <c r="KWH142" s="107" t="s">
        <v>1</v>
      </c>
      <c r="KWI142" s="108"/>
      <c r="KWJ142" s="108"/>
      <c r="KWK142" s="109"/>
      <c r="KWL142" s="107" t="s">
        <v>1</v>
      </c>
      <c r="KWM142" s="108"/>
      <c r="KWN142" s="108"/>
      <c r="KWO142" s="109"/>
      <c r="KWP142" s="107" t="s">
        <v>1</v>
      </c>
      <c r="KWQ142" s="108"/>
      <c r="KWR142" s="108"/>
      <c r="KWS142" s="109"/>
      <c r="KWT142" s="107" t="s">
        <v>1</v>
      </c>
      <c r="KWU142" s="108"/>
      <c r="KWV142" s="108"/>
      <c r="KWW142" s="109"/>
      <c r="KWX142" s="107" t="s">
        <v>1</v>
      </c>
      <c r="KWY142" s="108"/>
      <c r="KWZ142" s="108"/>
      <c r="KXA142" s="109"/>
      <c r="KXB142" s="107" t="s">
        <v>1</v>
      </c>
      <c r="KXC142" s="108"/>
      <c r="KXD142" s="108"/>
      <c r="KXE142" s="109"/>
      <c r="KXF142" s="107" t="s">
        <v>1</v>
      </c>
      <c r="KXG142" s="108"/>
      <c r="KXH142" s="108"/>
      <c r="KXI142" s="109"/>
      <c r="KXJ142" s="107" t="s">
        <v>1</v>
      </c>
      <c r="KXK142" s="108"/>
      <c r="KXL142" s="108"/>
      <c r="KXM142" s="109"/>
      <c r="KXN142" s="107" t="s">
        <v>1</v>
      </c>
      <c r="KXO142" s="108"/>
      <c r="KXP142" s="108"/>
      <c r="KXQ142" s="109"/>
      <c r="KXR142" s="107" t="s">
        <v>1</v>
      </c>
      <c r="KXS142" s="108"/>
      <c r="KXT142" s="108"/>
      <c r="KXU142" s="109"/>
      <c r="KXV142" s="107" t="s">
        <v>1</v>
      </c>
      <c r="KXW142" s="108"/>
      <c r="KXX142" s="108"/>
      <c r="KXY142" s="109"/>
      <c r="KXZ142" s="107" t="s">
        <v>1</v>
      </c>
      <c r="KYA142" s="108"/>
      <c r="KYB142" s="108"/>
      <c r="KYC142" s="109"/>
      <c r="KYD142" s="107" t="s">
        <v>1</v>
      </c>
      <c r="KYE142" s="108"/>
      <c r="KYF142" s="108"/>
      <c r="KYG142" s="109"/>
      <c r="KYH142" s="107" t="s">
        <v>1</v>
      </c>
      <c r="KYI142" s="108"/>
      <c r="KYJ142" s="108"/>
      <c r="KYK142" s="109"/>
      <c r="KYL142" s="107" t="s">
        <v>1</v>
      </c>
      <c r="KYM142" s="108"/>
      <c r="KYN142" s="108"/>
      <c r="KYO142" s="109"/>
      <c r="KYP142" s="107" t="s">
        <v>1</v>
      </c>
      <c r="KYQ142" s="108"/>
      <c r="KYR142" s="108"/>
      <c r="KYS142" s="109"/>
      <c r="KYT142" s="107" t="s">
        <v>1</v>
      </c>
      <c r="KYU142" s="108"/>
      <c r="KYV142" s="108"/>
      <c r="KYW142" s="109"/>
      <c r="KYX142" s="107" t="s">
        <v>1</v>
      </c>
      <c r="KYY142" s="108"/>
      <c r="KYZ142" s="108"/>
      <c r="KZA142" s="109"/>
      <c r="KZB142" s="107" t="s">
        <v>1</v>
      </c>
      <c r="KZC142" s="108"/>
      <c r="KZD142" s="108"/>
      <c r="KZE142" s="109"/>
      <c r="KZF142" s="107" t="s">
        <v>1</v>
      </c>
      <c r="KZG142" s="108"/>
      <c r="KZH142" s="108"/>
      <c r="KZI142" s="109"/>
      <c r="KZJ142" s="107" t="s">
        <v>1</v>
      </c>
      <c r="KZK142" s="108"/>
      <c r="KZL142" s="108"/>
      <c r="KZM142" s="109"/>
      <c r="KZN142" s="107" t="s">
        <v>1</v>
      </c>
      <c r="KZO142" s="108"/>
      <c r="KZP142" s="108"/>
      <c r="KZQ142" s="109"/>
      <c r="KZR142" s="107" t="s">
        <v>1</v>
      </c>
      <c r="KZS142" s="108"/>
      <c r="KZT142" s="108"/>
      <c r="KZU142" s="109"/>
      <c r="KZV142" s="107" t="s">
        <v>1</v>
      </c>
      <c r="KZW142" s="108"/>
      <c r="KZX142" s="108"/>
      <c r="KZY142" s="109"/>
      <c r="KZZ142" s="107" t="s">
        <v>1</v>
      </c>
      <c r="LAA142" s="108"/>
      <c r="LAB142" s="108"/>
      <c r="LAC142" s="109"/>
      <c r="LAD142" s="107" t="s">
        <v>1</v>
      </c>
      <c r="LAE142" s="108"/>
      <c r="LAF142" s="108"/>
      <c r="LAG142" s="109"/>
      <c r="LAH142" s="107" t="s">
        <v>1</v>
      </c>
      <c r="LAI142" s="108"/>
      <c r="LAJ142" s="108"/>
      <c r="LAK142" s="109"/>
      <c r="LAL142" s="107" t="s">
        <v>1</v>
      </c>
      <c r="LAM142" s="108"/>
      <c r="LAN142" s="108"/>
      <c r="LAO142" s="109"/>
      <c r="LAP142" s="107" t="s">
        <v>1</v>
      </c>
      <c r="LAQ142" s="108"/>
      <c r="LAR142" s="108"/>
      <c r="LAS142" s="109"/>
      <c r="LAT142" s="107" t="s">
        <v>1</v>
      </c>
      <c r="LAU142" s="108"/>
      <c r="LAV142" s="108"/>
      <c r="LAW142" s="109"/>
      <c r="LAX142" s="107" t="s">
        <v>1</v>
      </c>
      <c r="LAY142" s="108"/>
      <c r="LAZ142" s="108"/>
      <c r="LBA142" s="109"/>
      <c r="LBB142" s="107" t="s">
        <v>1</v>
      </c>
      <c r="LBC142" s="108"/>
      <c r="LBD142" s="108"/>
      <c r="LBE142" s="109"/>
      <c r="LBF142" s="107" t="s">
        <v>1</v>
      </c>
      <c r="LBG142" s="108"/>
      <c r="LBH142" s="108"/>
      <c r="LBI142" s="109"/>
      <c r="LBJ142" s="107" t="s">
        <v>1</v>
      </c>
      <c r="LBK142" s="108"/>
      <c r="LBL142" s="108"/>
      <c r="LBM142" s="109"/>
      <c r="LBN142" s="107" t="s">
        <v>1</v>
      </c>
      <c r="LBO142" s="108"/>
      <c r="LBP142" s="108"/>
      <c r="LBQ142" s="109"/>
      <c r="LBR142" s="107" t="s">
        <v>1</v>
      </c>
      <c r="LBS142" s="108"/>
      <c r="LBT142" s="108"/>
      <c r="LBU142" s="109"/>
      <c r="LBV142" s="107" t="s">
        <v>1</v>
      </c>
      <c r="LBW142" s="108"/>
      <c r="LBX142" s="108"/>
      <c r="LBY142" s="109"/>
      <c r="LBZ142" s="107" t="s">
        <v>1</v>
      </c>
      <c r="LCA142" s="108"/>
      <c r="LCB142" s="108"/>
      <c r="LCC142" s="109"/>
      <c r="LCD142" s="107" t="s">
        <v>1</v>
      </c>
      <c r="LCE142" s="108"/>
      <c r="LCF142" s="108"/>
      <c r="LCG142" s="109"/>
      <c r="LCH142" s="107" t="s">
        <v>1</v>
      </c>
      <c r="LCI142" s="108"/>
      <c r="LCJ142" s="108"/>
      <c r="LCK142" s="109"/>
      <c r="LCL142" s="107" t="s">
        <v>1</v>
      </c>
      <c r="LCM142" s="108"/>
      <c r="LCN142" s="108"/>
      <c r="LCO142" s="109"/>
      <c r="LCP142" s="107" t="s">
        <v>1</v>
      </c>
      <c r="LCQ142" s="108"/>
      <c r="LCR142" s="108"/>
      <c r="LCS142" s="109"/>
      <c r="LCT142" s="107" t="s">
        <v>1</v>
      </c>
      <c r="LCU142" s="108"/>
      <c r="LCV142" s="108"/>
      <c r="LCW142" s="109"/>
      <c r="LCX142" s="107" t="s">
        <v>1</v>
      </c>
      <c r="LCY142" s="108"/>
      <c r="LCZ142" s="108"/>
      <c r="LDA142" s="109"/>
      <c r="LDB142" s="107" t="s">
        <v>1</v>
      </c>
      <c r="LDC142" s="108"/>
      <c r="LDD142" s="108"/>
      <c r="LDE142" s="109"/>
      <c r="LDF142" s="107" t="s">
        <v>1</v>
      </c>
      <c r="LDG142" s="108"/>
      <c r="LDH142" s="108"/>
      <c r="LDI142" s="109"/>
      <c r="LDJ142" s="107" t="s">
        <v>1</v>
      </c>
      <c r="LDK142" s="108"/>
      <c r="LDL142" s="108"/>
      <c r="LDM142" s="109"/>
      <c r="LDN142" s="107" t="s">
        <v>1</v>
      </c>
      <c r="LDO142" s="108"/>
      <c r="LDP142" s="108"/>
      <c r="LDQ142" s="109"/>
      <c r="LDR142" s="107" t="s">
        <v>1</v>
      </c>
      <c r="LDS142" s="108"/>
      <c r="LDT142" s="108"/>
      <c r="LDU142" s="109"/>
      <c r="LDV142" s="107" t="s">
        <v>1</v>
      </c>
      <c r="LDW142" s="108"/>
      <c r="LDX142" s="108"/>
      <c r="LDY142" s="109"/>
      <c r="LDZ142" s="107" t="s">
        <v>1</v>
      </c>
      <c r="LEA142" s="108"/>
      <c r="LEB142" s="108"/>
      <c r="LEC142" s="109"/>
      <c r="LED142" s="107" t="s">
        <v>1</v>
      </c>
      <c r="LEE142" s="108"/>
      <c r="LEF142" s="108"/>
      <c r="LEG142" s="109"/>
      <c r="LEH142" s="107" t="s">
        <v>1</v>
      </c>
      <c r="LEI142" s="108"/>
      <c r="LEJ142" s="108"/>
      <c r="LEK142" s="109"/>
      <c r="LEL142" s="107" t="s">
        <v>1</v>
      </c>
      <c r="LEM142" s="108"/>
      <c r="LEN142" s="108"/>
      <c r="LEO142" s="109"/>
      <c r="LEP142" s="107" t="s">
        <v>1</v>
      </c>
      <c r="LEQ142" s="108"/>
      <c r="LER142" s="108"/>
      <c r="LES142" s="109"/>
      <c r="LET142" s="107" t="s">
        <v>1</v>
      </c>
      <c r="LEU142" s="108"/>
      <c r="LEV142" s="108"/>
      <c r="LEW142" s="109"/>
      <c r="LEX142" s="107" t="s">
        <v>1</v>
      </c>
      <c r="LEY142" s="108"/>
      <c r="LEZ142" s="108"/>
      <c r="LFA142" s="109"/>
      <c r="LFB142" s="107" t="s">
        <v>1</v>
      </c>
      <c r="LFC142" s="108"/>
      <c r="LFD142" s="108"/>
      <c r="LFE142" s="109"/>
      <c r="LFF142" s="107" t="s">
        <v>1</v>
      </c>
      <c r="LFG142" s="108"/>
      <c r="LFH142" s="108"/>
      <c r="LFI142" s="109"/>
      <c r="LFJ142" s="107" t="s">
        <v>1</v>
      </c>
      <c r="LFK142" s="108"/>
      <c r="LFL142" s="108"/>
      <c r="LFM142" s="109"/>
      <c r="LFN142" s="107" t="s">
        <v>1</v>
      </c>
      <c r="LFO142" s="108"/>
      <c r="LFP142" s="108"/>
      <c r="LFQ142" s="109"/>
      <c r="LFR142" s="107" t="s">
        <v>1</v>
      </c>
      <c r="LFS142" s="108"/>
      <c r="LFT142" s="108"/>
      <c r="LFU142" s="109"/>
      <c r="LFV142" s="107" t="s">
        <v>1</v>
      </c>
      <c r="LFW142" s="108"/>
      <c r="LFX142" s="108"/>
      <c r="LFY142" s="109"/>
      <c r="LFZ142" s="107" t="s">
        <v>1</v>
      </c>
      <c r="LGA142" s="108"/>
      <c r="LGB142" s="108"/>
      <c r="LGC142" s="109"/>
      <c r="LGD142" s="107" t="s">
        <v>1</v>
      </c>
      <c r="LGE142" s="108"/>
      <c r="LGF142" s="108"/>
      <c r="LGG142" s="109"/>
      <c r="LGH142" s="107" t="s">
        <v>1</v>
      </c>
      <c r="LGI142" s="108"/>
      <c r="LGJ142" s="108"/>
      <c r="LGK142" s="109"/>
      <c r="LGL142" s="107" t="s">
        <v>1</v>
      </c>
      <c r="LGM142" s="108"/>
      <c r="LGN142" s="108"/>
      <c r="LGO142" s="109"/>
      <c r="LGP142" s="107" t="s">
        <v>1</v>
      </c>
      <c r="LGQ142" s="108"/>
      <c r="LGR142" s="108"/>
      <c r="LGS142" s="109"/>
      <c r="LGT142" s="107" t="s">
        <v>1</v>
      </c>
      <c r="LGU142" s="108"/>
      <c r="LGV142" s="108"/>
      <c r="LGW142" s="109"/>
      <c r="LGX142" s="107" t="s">
        <v>1</v>
      </c>
      <c r="LGY142" s="108"/>
      <c r="LGZ142" s="108"/>
      <c r="LHA142" s="109"/>
      <c r="LHB142" s="107" t="s">
        <v>1</v>
      </c>
      <c r="LHC142" s="108"/>
      <c r="LHD142" s="108"/>
      <c r="LHE142" s="109"/>
      <c r="LHF142" s="107" t="s">
        <v>1</v>
      </c>
      <c r="LHG142" s="108"/>
      <c r="LHH142" s="108"/>
      <c r="LHI142" s="109"/>
      <c r="LHJ142" s="107" t="s">
        <v>1</v>
      </c>
      <c r="LHK142" s="108"/>
      <c r="LHL142" s="108"/>
      <c r="LHM142" s="109"/>
      <c r="LHN142" s="107" t="s">
        <v>1</v>
      </c>
      <c r="LHO142" s="108"/>
      <c r="LHP142" s="108"/>
      <c r="LHQ142" s="109"/>
      <c r="LHR142" s="107" t="s">
        <v>1</v>
      </c>
      <c r="LHS142" s="108"/>
      <c r="LHT142" s="108"/>
      <c r="LHU142" s="109"/>
      <c r="LHV142" s="107" t="s">
        <v>1</v>
      </c>
      <c r="LHW142" s="108"/>
      <c r="LHX142" s="108"/>
      <c r="LHY142" s="109"/>
      <c r="LHZ142" s="107" t="s">
        <v>1</v>
      </c>
      <c r="LIA142" s="108"/>
      <c r="LIB142" s="108"/>
      <c r="LIC142" s="109"/>
      <c r="LID142" s="107" t="s">
        <v>1</v>
      </c>
      <c r="LIE142" s="108"/>
      <c r="LIF142" s="108"/>
      <c r="LIG142" s="109"/>
      <c r="LIH142" s="107" t="s">
        <v>1</v>
      </c>
      <c r="LII142" s="108"/>
      <c r="LIJ142" s="108"/>
      <c r="LIK142" s="109"/>
      <c r="LIL142" s="107" t="s">
        <v>1</v>
      </c>
      <c r="LIM142" s="108"/>
      <c r="LIN142" s="108"/>
      <c r="LIO142" s="109"/>
      <c r="LIP142" s="107" t="s">
        <v>1</v>
      </c>
      <c r="LIQ142" s="108"/>
      <c r="LIR142" s="108"/>
      <c r="LIS142" s="109"/>
      <c r="LIT142" s="107" t="s">
        <v>1</v>
      </c>
      <c r="LIU142" s="108"/>
      <c r="LIV142" s="108"/>
      <c r="LIW142" s="109"/>
      <c r="LIX142" s="107" t="s">
        <v>1</v>
      </c>
      <c r="LIY142" s="108"/>
      <c r="LIZ142" s="108"/>
      <c r="LJA142" s="109"/>
      <c r="LJB142" s="107" t="s">
        <v>1</v>
      </c>
      <c r="LJC142" s="108"/>
      <c r="LJD142" s="108"/>
      <c r="LJE142" s="109"/>
      <c r="LJF142" s="107" t="s">
        <v>1</v>
      </c>
      <c r="LJG142" s="108"/>
      <c r="LJH142" s="108"/>
      <c r="LJI142" s="109"/>
      <c r="LJJ142" s="107" t="s">
        <v>1</v>
      </c>
      <c r="LJK142" s="108"/>
      <c r="LJL142" s="108"/>
      <c r="LJM142" s="109"/>
      <c r="LJN142" s="107" t="s">
        <v>1</v>
      </c>
      <c r="LJO142" s="108"/>
      <c r="LJP142" s="108"/>
      <c r="LJQ142" s="109"/>
      <c r="LJR142" s="107" t="s">
        <v>1</v>
      </c>
      <c r="LJS142" s="108"/>
      <c r="LJT142" s="108"/>
      <c r="LJU142" s="109"/>
      <c r="LJV142" s="107" t="s">
        <v>1</v>
      </c>
      <c r="LJW142" s="108"/>
      <c r="LJX142" s="108"/>
      <c r="LJY142" s="109"/>
      <c r="LJZ142" s="107" t="s">
        <v>1</v>
      </c>
      <c r="LKA142" s="108"/>
      <c r="LKB142" s="108"/>
      <c r="LKC142" s="109"/>
      <c r="LKD142" s="107" t="s">
        <v>1</v>
      </c>
      <c r="LKE142" s="108"/>
      <c r="LKF142" s="108"/>
      <c r="LKG142" s="109"/>
      <c r="LKH142" s="107" t="s">
        <v>1</v>
      </c>
      <c r="LKI142" s="108"/>
      <c r="LKJ142" s="108"/>
      <c r="LKK142" s="109"/>
      <c r="LKL142" s="107" t="s">
        <v>1</v>
      </c>
      <c r="LKM142" s="108"/>
      <c r="LKN142" s="108"/>
      <c r="LKO142" s="109"/>
      <c r="LKP142" s="107" t="s">
        <v>1</v>
      </c>
      <c r="LKQ142" s="108"/>
      <c r="LKR142" s="108"/>
      <c r="LKS142" s="109"/>
      <c r="LKT142" s="107" t="s">
        <v>1</v>
      </c>
      <c r="LKU142" s="108"/>
      <c r="LKV142" s="108"/>
      <c r="LKW142" s="109"/>
      <c r="LKX142" s="107" t="s">
        <v>1</v>
      </c>
      <c r="LKY142" s="108"/>
      <c r="LKZ142" s="108"/>
      <c r="LLA142" s="109"/>
      <c r="LLB142" s="107" t="s">
        <v>1</v>
      </c>
      <c r="LLC142" s="108"/>
      <c r="LLD142" s="108"/>
      <c r="LLE142" s="109"/>
      <c r="LLF142" s="107" t="s">
        <v>1</v>
      </c>
      <c r="LLG142" s="108"/>
      <c r="LLH142" s="108"/>
      <c r="LLI142" s="109"/>
      <c r="LLJ142" s="107" t="s">
        <v>1</v>
      </c>
      <c r="LLK142" s="108"/>
      <c r="LLL142" s="108"/>
      <c r="LLM142" s="109"/>
      <c r="LLN142" s="107" t="s">
        <v>1</v>
      </c>
      <c r="LLO142" s="108"/>
      <c r="LLP142" s="108"/>
      <c r="LLQ142" s="109"/>
      <c r="LLR142" s="107" t="s">
        <v>1</v>
      </c>
      <c r="LLS142" s="108"/>
      <c r="LLT142" s="108"/>
      <c r="LLU142" s="109"/>
      <c r="LLV142" s="107" t="s">
        <v>1</v>
      </c>
      <c r="LLW142" s="108"/>
      <c r="LLX142" s="108"/>
      <c r="LLY142" s="109"/>
      <c r="LLZ142" s="107" t="s">
        <v>1</v>
      </c>
      <c r="LMA142" s="108"/>
      <c r="LMB142" s="108"/>
      <c r="LMC142" s="109"/>
      <c r="LMD142" s="107" t="s">
        <v>1</v>
      </c>
      <c r="LME142" s="108"/>
      <c r="LMF142" s="108"/>
      <c r="LMG142" s="109"/>
      <c r="LMH142" s="107" t="s">
        <v>1</v>
      </c>
      <c r="LMI142" s="108"/>
      <c r="LMJ142" s="108"/>
      <c r="LMK142" s="109"/>
      <c r="LML142" s="107" t="s">
        <v>1</v>
      </c>
      <c r="LMM142" s="108"/>
      <c r="LMN142" s="108"/>
      <c r="LMO142" s="109"/>
      <c r="LMP142" s="107" t="s">
        <v>1</v>
      </c>
      <c r="LMQ142" s="108"/>
      <c r="LMR142" s="108"/>
      <c r="LMS142" s="109"/>
      <c r="LMT142" s="107" t="s">
        <v>1</v>
      </c>
      <c r="LMU142" s="108"/>
      <c r="LMV142" s="108"/>
      <c r="LMW142" s="109"/>
      <c r="LMX142" s="107" t="s">
        <v>1</v>
      </c>
      <c r="LMY142" s="108"/>
      <c r="LMZ142" s="108"/>
      <c r="LNA142" s="109"/>
      <c r="LNB142" s="107" t="s">
        <v>1</v>
      </c>
      <c r="LNC142" s="108"/>
      <c r="LND142" s="108"/>
      <c r="LNE142" s="109"/>
      <c r="LNF142" s="107" t="s">
        <v>1</v>
      </c>
      <c r="LNG142" s="108"/>
      <c r="LNH142" s="108"/>
      <c r="LNI142" s="109"/>
      <c r="LNJ142" s="107" t="s">
        <v>1</v>
      </c>
      <c r="LNK142" s="108"/>
      <c r="LNL142" s="108"/>
      <c r="LNM142" s="109"/>
      <c r="LNN142" s="107" t="s">
        <v>1</v>
      </c>
      <c r="LNO142" s="108"/>
      <c r="LNP142" s="108"/>
      <c r="LNQ142" s="109"/>
      <c r="LNR142" s="107" t="s">
        <v>1</v>
      </c>
      <c r="LNS142" s="108"/>
      <c r="LNT142" s="108"/>
      <c r="LNU142" s="109"/>
      <c r="LNV142" s="107" t="s">
        <v>1</v>
      </c>
      <c r="LNW142" s="108"/>
      <c r="LNX142" s="108"/>
      <c r="LNY142" s="109"/>
      <c r="LNZ142" s="107" t="s">
        <v>1</v>
      </c>
      <c r="LOA142" s="108"/>
      <c r="LOB142" s="108"/>
      <c r="LOC142" s="109"/>
      <c r="LOD142" s="107" t="s">
        <v>1</v>
      </c>
      <c r="LOE142" s="108"/>
      <c r="LOF142" s="108"/>
      <c r="LOG142" s="109"/>
      <c r="LOH142" s="107" t="s">
        <v>1</v>
      </c>
      <c r="LOI142" s="108"/>
      <c r="LOJ142" s="108"/>
      <c r="LOK142" s="109"/>
      <c r="LOL142" s="107" t="s">
        <v>1</v>
      </c>
      <c r="LOM142" s="108"/>
      <c r="LON142" s="108"/>
      <c r="LOO142" s="109"/>
      <c r="LOP142" s="107" t="s">
        <v>1</v>
      </c>
      <c r="LOQ142" s="108"/>
      <c r="LOR142" s="108"/>
      <c r="LOS142" s="109"/>
      <c r="LOT142" s="107" t="s">
        <v>1</v>
      </c>
      <c r="LOU142" s="108"/>
      <c r="LOV142" s="108"/>
      <c r="LOW142" s="109"/>
      <c r="LOX142" s="107" t="s">
        <v>1</v>
      </c>
      <c r="LOY142" s="108"/>
      <c r="LOZ142" s="108"/>
      <c r="LPA142" s="109"/>
      <c r="LPB142" s="107" t="s">
        <v>1</v>
      </c>
      <c r="LPC142" s="108"/>
      <c r="LPD142" s="108"/>
      <c r="LPE142" s="109"/>
      <c r="LPF142" s="107" t="s">
        <v>1</v>
      </c>
      <c r="LPG142" s="108"/>
      <c r="LPH142" s="108"/>
      <c r="LPI142" s="109"/>
      <c r="LPJ142" s="107" t="s">
        <v>1</v>
      </c>
      <c r="LPK142" s="108"/>
      <c r="LPL142" s="108"/>
      <c r="LPM142" s="109"/>
      <c r="LPN142" s="107" t="s">
        <v>1</v>
      </c>
      <c r="LPO142" s="108"/>
      <c r="LPP142" s="108"/>
      <c r="LPQ142" s="109"/>
      <c r="LPR142" s="107" t="s">
        <v>1</v>
      </c>
      <c r="LPS142" s="108"/>
      <c r="LPT142" s="108"/>
      <c r="LPU142" s="109"/>
      <c r="LPV142" s="107" t="s">
        <v>1</v>
      </c>
      <c r="LPW142" s="108"/>
      <c r="LPX142" s="108"/>
      <c r="LPY142" s="109"/>
      <c r="LPZ142" s="107" t="s">
        <v>1</v>
      </c>
      <c r="LQA142" s="108"/>
      <c r="LQB142" s="108"/>
      <c r="LQC142" s="109"/>
      <c r="LQD142" s="107" t="s">
        <v>1</v>
      </c>
      <c r="LQE142" s="108"/>
      <c r="LQF142" s="108"/>
      <c r="LQG142" s="109"/>
      <c r="LQH142" s="107" t="s">
        <v>1</v>
      </c>
      <c r="LQI142" s="108"/>
      <c r="LQJ142" s="108"/>
      <c r="LQK142" s="109"/>
      <c r="LQL142" s="107" t="s">
        <v>1</v>
      </c>
      <c r="LQM142" s="108"/>
      <c r="LQN142" s="108"/>
      <c r="LQO142" s="109"/>
      <c r="LQP142" s="107" t="s">
        <v>1</v>
      </c>
      <c r="LQQ142" s="108"/>
      <c r="LQR142" s="108"/>
      <c r="LQS142" s="109"/>
      <c r="LQT142" s="107" t="s">
        <v>1</v>
      </c>
      <c r="LQU142" s="108"/>
      <c r="LQV142" s="108"/>
      <c r="LQW142" s="109"/>
      <c r="LQX142" s="107" t="s">
        <v>1</v>
      </c>
      <c r="LQY142" s="108"/>
      <c r="LQZ142" s="108"/>
      <c r="LRA142" s="109"/>
      <c r="LRB142" s="107" t="s">
        <v>1</v>
      </c>
      <c r="LRC142" s="108"/>
      <c r="LRD142" s="108"/>
      <c r="LRE142" s="109"/>
      <c r="LRF142" s="107" t="s">
        <v>1</v>
      </c>
      <c r="LRG142" s="108"/>
      <c r="LRH142" s="108"/>
      <c r="LRI142" s="109"/>
      <c r="LRJ142" s="107" t="s">
        <v>1</v>
      </c>
      <c r="LRK142" s="108"/>
      <c r="LRL142" s="108"/>
      <c r="LRM142" s="109"/>
      <c r="LRN142" s="107" t="s">
        <v>1</v>
      </c>
      <c r="LRO142" s="108"/>
      <c r="LRP142" s="108"/>
      <c r="LRQ142" s="109"/>
      <c r="LRR142" s="107" t="s">
        <v>1</v>
      </c>
      <c r="LRS142" s="108"/>
      <c r="LRT142" s="108"/>
      <c r="LRU142" s="109"/>
      <c r="LRV142" s="107" t="s">
        <v>1</v>
      </c>
      <c r="LRW142" s="108"/>
      <c r="LRX142" s="108"/>
      <c r="LRY142" s="109"/>
      <c r="LRZ142" s="107" t="s">
        <v>1</v>
      </c>
      <c r="LSA142" s="108"/>
      <c r="LSB142" s="108"/>
      <c r="LSC142" s="109"/>
      <c r="LSD142" s="107" t="s">
        <v>1</v>
      </c>
      <c r="LSE142" s="108"/>
      <c r="LSF142" s="108"/>
      <c r="LSG142" s="109"/>
      <c r="LSH142" s="107" t="s">
        <v>1</v>
      </c>
      <c r="LSI142" s="108"/>
      <c r="LSJ142" s="108"/>
      <c r="LSK142" s="109"/>
      <c r="LSL142" s="107" t="s">
        <v>1</v>
      </c>
      <c r="LSM142" s="108"/>
      <c r="LSN142" s="108"/>
      <c r="LSO142" s="109"/>
      <c r="LSP142" s="107" t="s">
        <v>1</v>
      </c>
      <c r="LSQ142" s="108"/>
      <c r="LSR142" s="108"/>
      <c r="LSS142" s="109"/>
      <c r="LST142" s="107" t="s">
        <v>1</v>
      </c>
      <c r="LSU142" s="108"/>
      <c r="LSV142" s="108"/>
      <c r="LSW142" s="109"/>
      <c r="LSX142" s="107" t="s">
        <v>1</v>
      </c>
      <c r="LSY142" s="108"/>
      <c r="LSZ142" s="108"/>
      <c r="LTA142" s="109"/>
      <c r="LTB142" s="107" t="s">
        <v>1</v>
      </c>
      <c r="LTC142" s="108"/>
      <c r="LTD142" s="108"/>
      <c r="LTE142" s="109"/>
      <c r="LTF142" s="107" t="s">
        <v>1</v>
      </c>
      <c r="LTG142" s="108"/>
      <c r="LTH142" s="108"/>
      <c r="LTI142" s="109"/>
      <c r="LTJ142" s="107" t="s">
        <v>1</v>
      </c>
      <c r="LTK142" s="108"/>
      <c r="LTL142" s="108"/>
      <c r="LTM142" s="109"/>
      <c r="LTN142" s="107" t="s">
        <v>1</v>
      </c>
      <c r="LTO142" s="108"/>
      <c r="LTP142" s="108"/>
      <c r="LTQ142" s="109"/>
      <c r="LTR142" s="107" t="s">
        <v>1</v>
      </c>
      <c r="LTS142" s="108"/>
      <c r="LTT142" s="108"/>
      <c r="LTU142" s="109"/>
      <c r="LTV142" s="107" t="s">
        <v>1</v>
      </c>
      <c r="LTW142" s="108"/>
      <c r="LTX142" s="108"/>
      <c r="LTY142" s="109"/>
      <c r="LTZ142" s="107" t="s">
        <v>1</v>
      </c>
      <c r="LUA142" s="108"/>
      <c r="LUB142" s="108"/>
      <c r="LUC142" s="109"/>
      <c r="LUD142" s="107" t="s">
        <v>1</v>
      </c>
      <c r="LUE142" s="108"/>
      <c r="LUF142" s="108"/>
      <c r="LUG142" s="109"/>
      <c r="LUH142" s="107" t="s">
        <v>1</v>
      </c>
      <c r="LUI142" s="108"/>
      <c r="LUJ142" s="108"/>
      <c r="LUK142" s="109"/>
      <c r="LUL142" s="107" t="s">
        <v>1</v>
      </c>
      <c r="LUM142" s="108"/>
      <c r="LUN142" s="108"/>
      <c r="LUO142" s="109"/>
      <c r="LUP142" s="107" t="s">
        <v>1</v>
      </c>
      <c r="LUQ142" s="108"/>
      <c r="LUR142" s="108"/>
      <c r="LUS142" s="109"/>
      <c r="LUT142" s="107" t="s">
        <v>1</v>
      </c>
      <c r="LUU142" s="108"/>
      <c r="LUV142" s="108"/>
      <c r="LUW142" s="109"/>
      <c r="LUX142" s="107" t="s">
        <v>1</v>
      </c>
      <c r="LUY142" s="108"/>
      <c r="LUZ142" s="108"/>
      <c r="LVA142" s="109"/>
      <c r="LVB142" s="107" t="s">
        <v>1</v>
      </c>
      <c r="LVC142" s="108"/>
      <c r="LVD142" s="108"/>
      <c r="LVE142" s="109"/>
      <c r="LVF142" s="107" t="s">
        <v>1</v>
      </c>
      <c r="LVG142" s="108"/>
      <c r="LVH142" s="108"/>
      <c r="LVI142" s="109"/>
      <c r="LVJ142" s="107" t="s">
        <v>1</v>
      </c>
      <c r="LVK142" s="108"/>
      <c r="LVL142" s="108"/>
      <c r="LVM142" s="109"/>
      <c r="LVN142" s="107" t="s">
        <v>1</v>
      </c>
      <c r="LVO142" s="108"/>
      <c r="LVP142" s="108"/>
      <c r="LVQ142" s="109"/>
      <c r="LVR142" s="107" t="s">
        <v>1</v>
      </c>
      <c r="LVS142" s="108"/>
      <c r="LVT142" s="108"/>
      <c r="LVU142" s="109"/>
      <c r="LVV142" s="107" t="s">
        <v>1</v>
      </c>
      <c r="LVW142" s="108"/>
      <c r="LVX142" s="108"/>
      <c r="LVY142" s="109"/>
      <c r="LVZ142" s="107" t="s">
        <v>1</v>
      </c>
      <c r="LWA142" s="108"/>
      <c r="LWB142" s="108"/>
      <c r="LWC142" s="109"/>
      <c r="LWD142" s="107" t="s">
        <v>1</v>
      </c>
      <c r="LWE142" s="108"/>
      <c r="LWF142" s="108"/>
      <c r="LWG142" s="109"/>
      <c r="LWH142" s="107" t="s">
        <v>1</v>
      </c>
      <c r="LWI142" s="108"/>
      <c r="LWJ142" s="108"/>
      <c r="LWK142" s="109"/>
      <c r="LWL142" s="107" t="s">
        <v>1</v>
      </c>
      <c r="LWM142" s="108"/>
      <c r="LWN142" s="108"/>
      <c r="LWO142" s="109"/>
      <c r="LWP142" s="107" t="s">
        <v>1</v>
      </c>
      <c r="LWQ142" s="108"/>
      <c r="LWR142" s="108"/>
      <c r="LWS142" s="109"/>
      <c r="LWT142" s="107" t="s">
        <v>1</v>
      </c>
      <c r="LWU142" s="108"/>
      <c r="LWV142" s="108"/>
      <c r="LWW142" s="109"/>
      <c r="LWX142" s="107" t="s">
        <v>1</v>
      </c>
      <c r="LWY142" s="108"/>
      <c r="LWZ142" s="108"/>
      <c r="LXA142" s="109"/>
      <c r="LXB142" s="107" t="s">
        <v>1</v>
      </c>
      <c r="LXC142" s="108"/>
      <c r="LXD142" s="108"/>
      <c r="LXE142" s="109"/>
      <c r="LXF142" s="107" t="s">
        <v>1</v>
      </c>
      <c r="LXG142" s="108"/>
      <c r="LXH142" s="108"/>
      <c r="LXI142" s="109"/>
      <c r="LXJ142" s="107" t="s">
        <v>1</v>
      </c>
      <c r="LXK142" s="108"/>
      <c r="LXL142" s="108"/>
      <c r="LXM142" s="109"/>
      <c r="LXN142" s="107" t="s">
        <v>1</v>
      </c>
      <c r="LXO142" s="108"/>
      <c r="LXP142" s="108"/>
      <c r="LXQ142" s="109"/>
      <c r="LXR142" s="107" t="s">
        <v>1</v>
      </c>
      <c r="LXS142" s="108"/>
      <c r="LXT142" s="108"/>
      <c r="LXU142" s="109"/>
      <c r="LXV142" s="107" t="s">
        <v>1</v>
      </c>
      <c r="LXW142" s="108"/>
      <c r="LXX142" s="108"/>
      <c r="LXY142" s="109"/>
      <c r="LXZ142" s="107" t="s">
        <v>1</v>
      </c>
      <c r="LYA142" s="108"/>
      <c r="LYB142" s="108"/>
      <c r="LYC142" s="109"/>
      <c r="LYD142" s="107" t="s">
        <v>1</v>
      </c>
      <c r="LYE142" s="108"/>
      <c r="LYF142" s="108"/>
      <c r="LYG142" s="109"/>
      <c r="LYH142" s="107" t="s">
        <v>1</v>
      </c>
      <c r="LYI142" s="108"/>
      <c r="LYJ142" s="108"/>
      <c r="LYK142" s="109"/>
      <c r="LYL142" s="107" t="s">
        <v>1</v>
      </c>
      <c r="LYM142" s="108"/>
      <c r="LYN142" s="108"/>
      <c r="LYO142" s="109"/>
      <c r="LYP142" s="107" t="s">
        <v>1</v>
      </c>
      <c r="LYQ142" s="108"/>
      <c r="LYR142" s="108"/>
      <c r="LYS142" s="109"/>
      <c r="LYT142" s="107" t="s">
        <v>1</v>
      </c>
      <c r="LYU142" s="108"/>
      <c r="LYV142" s="108"/>
      <c r="LYW142" s="109"/>
      <c r="LYX142" s="107" t="s">
        <v>1</v>
      </c>
      <c r="LYY142" s="108"/>
      <c r="LYZ142" s="108"/>
      <c r="LZA142" s="109"/>
      <c r="LZB142" s="107" t="s">
        <v>1</v>
      </c>
      <c r="LZC142" s="108"/>
      <c r="LZD142" s="108"/>
      <c r="LZE142" s="109"/>
      <c r="LZF142" s="107" t="s">
        <v>1</v>
      </c>
      <c r="LZG142" s="108"/>
      <c r="LZH142" s="108"/>
      <c r="LZI142" s="109"/>
      <c r="LZJ142" s="107" t="s">
        <v>1</v>
      </c>
      <c r="LZK142" s="108"/>
      <c r="LZL142" s="108"/>
      <c r="LZM142" s="109"/>
      <c r="LZN142" s="107" t="s">
        <v>1</v>
      </c>
      <c r="LZO142" s="108"/>
      <c r="LZP142" s="108"/>
      <c r="LZQ142" s="109"/>
      <c r="LZR142" s="107" t="s">
        <v>1</v>
      </c>
      <c r="LZS142" s="108"/>
      <c r="LZT142" s="108"/>
      <c r="LZU142" s="109"/>
      <c r="LZV142" s="107" t="s">
        <v>1</v>
      </c>
      <c r="LZW142" s="108"/>
      <c r="LZX142" s="108"/>
      <c r="LZY142" s="109"/>
      <c r="LZZ142" s="107" t="s">
        <v>1</v>
      </c>
      <c r="MAA142" s="108"/>
      <c r="MAB142" s="108"/>
      <c r="MAC142" s="109"/>
      <c r="MAD142" s="107" t="s">
        <v>1</v>
      </c>
      <c r="MAE142" s="108"/>
      <c r="MAF142" s="108"/>
      <c r="MAG142" s="109"/>
      <c r="MAH142" s="107" t="s">
        <v>1</v>
      </c>
      <c r="MAI142" s="108"/>
      <c r="MAJ142" s="108"/>
      <c r="MAK142" s="109"/>
      <c r="MAL142" s="107" t="s">
        <v>1</v>
      </c>
      <c r="MAM142" s="108"/>
      <c r="MAN142" s="108"/>
      <c r="MAO142" s="109"/>
      <c r="MAP142" s="107" t="s">
        <v>1</v>
      </c>
      <c r="MAQ142" s="108"/>
      <c r="MAR142" s="108"/>
      <c r="MAS142" s="109"/>
      <c r="MAT142" s="107" t="s">
        <v>1</v>
      </c>
      <c r="MAU142" s="108"/>
      <c r="MAV142" s="108"/>
      <c r="MAW142" s="109"/>
      <c r="MAX142" s="107" t="s">
        <v>1</v>
      </c>
      <c r="MAY142" s="108"/>
      <c r="MAZ142" s="108"/>
      <c r="MBA142" s="109"/>
      <c r="MBB142" s="107" t="s">
        <v>1</v>
      </c>
      <c r="MBC142" s="108"/>
      <c r="MBD142" s="108"/>
      <c r="MBE142" s="109"/>
      <c r="MBF142" s="107" t="s">
        <v>1</v>
      </c>
      <c r="MBG142" s="108"/>
      <c r="MBH142" s="108"/>
      <c r="MBI142" s="109"/>
      <c r="MBJ142" s="107" t="s">
        <v>1</v>
      </c>
      <c r="MBK142" s="108"/>
      <c r="MBL142" s="108"/>
      <c r="MBM142" s="109"/>
      <c r="MBN142" s="107" t="s">
        <v>1</v>
      </c>
      <c r="MBO142" s="108"/>
      <c r="MBP142" s="108"/>
      <c r="MBQ142" s="109"/>
      <c r="MBR142" s="107" t="s">
        <v>1</v>
      </c>
      <c r="MBS142" s="108"/>
      <c r="MBT142" s="108"/>
      <c r="MBU142" s="109"/>
      <c r="MBV142" s="107" t="s">
        <v>1</v>
      </c>
      <c r="MBW142" s="108"/>
      <c r="MBX142" s="108"/>
      <c r="MBY142" s="109"/>
      <c r="MBZ142" s="107" t="s">
        <v>1</v>
      </c>
      <c r="MCA142" s="108"/>
      <c r="MCB142" s="108"/>
      <c r="MCC142" s="109"/>
      <c r="MCD142" s="107" t="s">
        <v>1</v>
      </c>
      <c r="MCE142" s="108"/>
      <c r="MCF142" s="108"/>
      <c r="MCG142" s="109"/>
      <c r="MCH142" s="107" t="s">
        <v>1</v>
      </c>
      <c r="MCI142" s="108"/>
      <c r="MCJ142" s="108"/>
      <c r="MCK142" s="109"/>
      <c r="MCL142" s="107" t="s">
        <v>1</v>
      </c>
      <c r="MCM142" s="108"/>
      <c r="MCN142" s="108"/>
      <c r="MCO142" s="109"/>
      <c r="MCP142" s="107" t="s">
        <v>1</v>
      </c>
      <c r="MCQ142" s="108"/>
      <c r="MCR142" s="108"/>
      <c r="MCS142" s="109"/>
      <c r="MCT142" s="107" t="s">
        <v>1</v>
      </c>
      <c r="MCU142" s="108"/>
      <c r="MCV142" s="108"/>
      <c r="MCW142" s="109"/>
      <c r="MCX142" s="107" t="s">
        <v>1</v>
      </c>
      <c r="MCY142" s="108"/>
      <c r="MCZ142" s="108"/>
      <c r="MDA142" s="109"/>
      <c r="MDB142" s="107" t="s">
        <v>1</v>
      </c>
      <c r="MDC142" s="108"/>
      <c r="MDD142" s="108"/>
      <c r="MDE142" s="109"/>
      <c r="MDF142" s="107" t="s">
        <v>1</v>
      </c>
      <c r="MDG142" s="108"/>
      <c r="MDH142" s="108"/>
      <c r="MDI142" s="109"/>
      <c r="MDJ142" s="107" t="s">
        <v>1</v>
      </c>
      <c r="MDK142" s="108"/>
      <c r="MDL142" s="108"/>
      <c r="MDM142" s="109"/>
      <c r="MDN142" s="107" t="s">
        <v>1</v>
      </c>
      <c r="MDO142" s="108"/>
      <c r="MDP142" s="108"/>
      <c r="MDQ142" s="109"/>
      <c r="MDR142" s="107" t="s">
        <v>1</v>
      </c>
      <c r="MDS142" s="108"/>
      <c r="MDT142" s="108"/>
      <c r="MDU142" s="109"/>
      <c r="MDV142" s="107" t="s">
        <v>1</v>
      </c>
      <c r="MDW142" s="108"/>
      <c r="MDX142" s="108"/>
      <c r="MDY142" s="109"/>
      <c r="MDZ142" s="107" t="s">
        <v>1</v>
      </c>
      <c r="MEA142" s="108"/>
      <c r="MEB142" s="108"/>
      <c r="MEC142" s="109"/>
      <c r="MED142" s="107" t="s">
        <v>1</v>
      </c>
      <c r="MEE142" s="108"/>
      <c r="MEF142" s="108"/>
      <c r="MEG142" s="109"/>
      <c r="MEH142" s="107" t="s">
        <v>1</v>
      </c>
      <c r="MEI142" s="108"/>
      <c r="MEJ142" s="108"/>
      <c r="MEK142" s="109"/>
      <c r="MEL142" s="107" t="s">
        <v>1</v>
      </c>
      <c r="MEM142" s="108"/>
      <c r="MEN142" s="108"/>
      <c r="MEO142" s="109"/>
      <c r="MEP142" s="107" t="s">
        <v>1</v>
      </c>
      <c r="MEQ142" s="108"/>
      <c r="MER142" s="108"/>
      <c r="MES142" s="109"/>
      <c r="MET142" s="107" t="s">
        <v>1</v>
      </c>
      <c r="MEU142" s="108"/>
      <c r="MEV142" s="108"/>
      <c r="MEW142" s="109"/>
      <c r="MEX142" s="107" t="s">
        <v>1</v>
      </c>
      <c r="MEY142" s="108"/>
      <c r="MEZ142" s="108"/>
      <c r="MFA142" s="109"/>
      <c r="MFB142" s="107" t="s">
        <v>1</v>
      </c>
      <c r="MFC142" s="108"/>
      <c r="MFD142" s="108"/>
      <c r="MFE142" s="109"/>
      <c r="MFF142" s="107" t="s">
        <v>1</v>
      </c>
      <c r="MFG142" s="108"/>
      <c r="MFH142" s="108"/>
      <c r="MFI142" s="109"/>
      <c r="MFJ142" s="107" t="s">
        <v>1</v>
      </c>
      <c r="MFK142" s="108"/>
      <c r="MFL142" s="108"/>
      <c r="MFM142" s="109"/>
      <c r="MFN142" s="107" t="s">
        <v>1</v>
      </c>
      <c r="MFO142" s="108"/>
      <c r="MFP142" s="108"/>
      <c r="MFQ142" s="109"/>
      <c r="MFR142" s="107" t="s">
        <v>1</v>
      </c>
      <c r="MFS142" s="108"/>
      <c r="MFT142" s="108"/>
      <c r="MFU142" s="109"/>
      <c r="MFV142" s="107" t="s">
        <v>1</v>
      </c>
      <c r="MFW142" s="108"/>
      <c r="MFX142" s="108"/>
      <c r="MFY142" s="109"/>
      <c r="MFZ142" s="107" t="s">
        <v>1</v>
      </c>
      <c r="MGA142" s="108"/>
      <c r="MGB142" s="108"/>
      <c r="MGC142" s="109"/>
      <c r="MGD142" s="107" t="s">
        <v>1</v>
      </c>
      <c r="MGE142" s="108"/>
      <c r="MGF142" s="108"/>
      <c r="MGG142" s="109"/>
      <c r="MGH142" s="107" t="s">
        <v>1</v>
      </c>
      <c r="MGI142" s="108"/>
      <c r="MGJ142" s="108"/>
      <c r="MGK142" s="109"/>
      <c r="MGL142" s="107" t="s">
        <v>1</v>
      </c>
      <c r="MGM142" s="108"/>
      <c r="MGN142" s="108"/>
      <c r="MGO142" s="109"/>
      <c r="MGP142" s="107" t="s">
        <v>1</v>
      </c>
      <c r="MGQ142" s="108"/>
      <c r="MGR142" s="108"/>
      <c r="MGS142" s="109"/>
      <c r="MGT142" s="107" t="s">
        <v>1</v>
      </c>
      <c r="MGU142" s="108"/>
      <c r="MGV142" s="108"/>
      <c r="MGW142" s="109"/>
      <c r="MGX142" s="107" t="s">
        <v>1</v>
      </c>
      <c r="MGY142" s="108"/>
      <c r="MGZ142" s="108"/>
      <c r="MHA142" s="109"/>
      <c r="MHB142" s="107" t="s">
        <v>1</v>
      </c>
      <c r="MHC142" s="108"/>
      <c r="MHD142" s="108"/>
      <c r="MHE142" s="109"/>
      <c r="MHF142" s="107" t="s">
        <v>1</v>
      </c>
      <c r="MHG142" s="108"/>
      <c r="MHH142" s="108"/>
      <c r="MHI142" s="109"/>
      <c r="MHJ142" s="107" t="s">
        <v>1</v>
      </c>
      <c r="MHK142" s="108"/>
      <c r="MHL142" s="108"/>
      <c r="MHM142" s="109"/>
      <c r="MHN142" s="107" t="s">
        <v>1</v>
      </c>
      <c r="MHO142" s="108"/>
      <c r="MHP142" s="108"/>
      <c r="MHQ142" s="109"/>
      <c r="MHR142" s="107" t="s">
        <v>1</v>
      </c>
      <c r="MHS142" s="108"/>
      <c r="MHT142" s="108"/>
      <c r="MHU142" s="109"/>
      <c r="MHV142" s="107" t="s">
        <v>1</v>
      </c>
      <c r="MHW142" s="108"/>
      <c r="MHX142" s="108"/>
      <c r="MHY142" s="109"/>
      <c r="MHZ142" s="107" t="s">
        <v>1</v>
      </c>
      <c r="MIA142" s="108"/>
      <c r="MIB142" s="108"/>
      <c r="MIC142" s="109"/>
      <c r="MID142" s="107" t="s">
        <v>1</v>
      </c>
      <c r="MIE142" s="108"/>
      <c r="MIF142" s="108"/>
      <c r="MIG142" s="109"/>
      <c r="MIH142" s="107" t="s">
        <v>1</v>
      </c>
      <c r="MII142" s="108"/>
      <c r="MIJ142" s="108"/>
      <c r="MIK142" s="109"/>
      <c r="MIL142" s="107" t="s">
        <v>1</v>
      </c>
      <c r="MIM142" s="108"/>
      <c r="MIN142" s="108"/>
      <c r="MIO142" s="109"/>
      <c r="MIP142" s="107" t="s">
        <v>1</v>
      </c>
      <c r="MIQ142" s="108"/>
      <c r="MIR142" s="108"/>
      <c r="MIS142" s="109"/>
      <c r="MIT142" s="107" t="s">
        <v>1</v>
      </c>
      <c r="MIU142" s="108"/>
      <c r="MIV142" s="108"/>
      <c r="MIW142" s="109"/>
      <c r="MIX142" s="107" t="s">
        <v>1</v>
      </c>
      <c r="MIY142" s="108"/>
      <c r="MIZ142" s="108"/>
      <c r="MJA142" s="109"/>
      <c r="MJB142" s="107" t="s">
        <v>1</v>
      </c>
      <c r="MJC142" s="108"/>
      <c r="MJD142" s="108"/>
      <c r="MJE142" s="109"/>
      <c r="MJF142" s="107" t="s">
        <v>1</v>
      </c>
      <c r="MJG142" s="108"/>
      <c r="MJH142" s="108"/>
      <c r="MJI142" s="109"/>
      <c r="MJJ142" s="107" t="s">
        <v>1</v>
      </c>
      <c r="MJK142" s="108"/>
      <c r="MJL142" s="108"/>
      <c r="MJM142" s="109"/>
      <c r="MJN142" s="107" t="s">
        <v>1</v>
      </c>
      <c r="MJO142" s="108"/>
      <c r="MJP142" s="108"/>
      <c r="MJQ142" s="109"/>
      <c r="MJR142" s="107" t="s">
        <v>1</v>
      </c>
      <c r="MJS142" s="108"/>
      <c r="MJT142" s="108"/>
      <c r="MJU142" s="109"/>
      <c r="MJV142" s="107" t="s">
        <v>1</v>
      </c>
      <c r="MJW142" s="108"/>
      <c r="MJX142" s="108"/>
      <c r="MJY142" s="109"/>
      <c r="MJZ142" s="107" t="s">
        <v>1</v>
      </c>
      <c r="MKA142" s="108"/>
      <c r="MKB142" s="108"/>
      <c r="MKC142" s="109"/>
      <c r="MKD142" s="107" t="s">
        <v>1</v>
      </c>
      <c r="MKE142" s="108"/>
      <c r="MKF142" s="108"/>
      <c r="MKG142" s="109"/>
      <c r="MKH142" s="107" t="s">
        <v>1</v>
      </c>
      <c r="MKI142" s="108"/>
      <c r="MKJ142" s="108"/>
      <c r="MKK142" s="109"/>
      <c r="MKL142" s="107" t="s">
        <v>1</v>
      </c>
      <c r="MKM142" s="108"/>
      <c r="MKN142" s="108"/>
      <c r="MKO142" s="109"/>
      <c r="MKP142" s="107" t="s">
        <v>1</v>
      </c>
      <c r="MKQ142" s="108"/>
      <c r="MKR142" s="108"/>
      <c r="MKS142" s="109"/>
      <c r="MKT142" s="107" t="s">
        <v>1</v>
      </c>
      <c r="MKU142" s="108"/>
      <c r="MKV142" s="108"/>
      <c r="MKW142" s="109"/>
      <c r="MKX142" s="107" t="s">
        <v>1</v>
      </c>
      <c r="MKY142" s="108"/>
      <c r="MKZ142" s="108"/>
      <c r="MLA142" s="109"/>
      <c r="MLB142" s="107" t="s">
        <v>1</v>
      </c>
      <c r="MLC142" s="108"/>
      <c r="MLD142" s="108"/>
      <c r="MLE142" s="109"/>
      <c r="MLF142" s="107" t="s">
        <v>1</v>
      </c>
      <c r="MLG142" s="108"/>
      <c r="MLH142" s="108"/>
      <c r="MLI142" s="109"/>
      <c r="MLJ142" s="107" t="s">
        <v>1</v>
      </c>
      <c r="MLK142" s="108"/>
      <c r="MLL142" s="108"/>
      <c r="MLM142" s="109"/>
      <c r="MLN142" s="107" t="s">
        <v>1</v>
      </c>
      <c r="MLO142" s="108"/>
      <c r="MLP142" s="108"/>
      <c r="MLQ142" s="109"/>
      <c r="MLR142" s="107" t="s">
        <v>1</v>
      </c>
      <c r="MLS142" s="108"/>
      <c r="MLT142" s="108"/>
      <c r="MLU142" s="109"/>
      <c r="MLV142" s="107" t="s">
        <v>1</v>
      </c>
      <c r="MLW142" s="108"/>
      <c r="MLX142" s="108"/>
      <c r="MLY142" s="109"/>
      <c r="MLZ142" s="107" t="s">
        <v>1</v>
      </c>
      <c r="MMA142" s="108"/>
      <c r="MMB142" s="108"/>
      <c r="MMC142" s="109"/>
      <c r="MMD142" s="107" t="s">
        <v>1</v>
      </c>
      <c r="MME142" s="108"/>
      <c r="MMF142" s="108"/>
      <c r="MMG142" s="109"/>
      <c r="MMH142" s="107" t="s">
        <v>1</v>
      </c>
      <c r="MMI142" s="108"/>
      <c r="MMJ142" s="108"/>
      <c r="MMK142" s="109"/>
      <c r="MML142" s="107" t="s">
        <v>1</v>
      </c>
      <c r="MMM142" s="108"/>
      <c r="MMN142" s="108"/>
      <c r="MMO142" s="109"/>
      <c r="MMP142" s="107" t="s">
        <v>1</v>
      </c>
      <c r="MMQ142" s="108"/>
      <c r="MMR142" s="108"/>
      <c r="MMS142" s="109"/>
      <c r="MMT142" s="107" t="s">
        <v>1</v>
      </c>
      <c r="MMU142" s="108"/>
      <c r="MMV142" s="108"/>
      <c r="MMW142" s="109"/>
      <c r="MMX142" s="107" t="s">
        <v>1</v>
      </c>
      <c r="MMY142" s="108"/>
      <c r="MMZ142" s="108"/>
      <c r="MNA142" s="109"/>
      <c r="MNB142" s="107" t="s">
        <v>1</v>
      </c>
      <c r="MNC142" s="108"/>
      <c r="MND142" s="108"/>
      <c r="MNE142" s="109"/>
      <c r="MNF142" s="107" t="s">
        <v>1</v>
      </c>
      <c r="MNG142" s="108"/>
      <c r="MNH142" s="108"/>
      <c r="MNI142" s="109"/>
      <c r="MNJ142" s="107" t="s">
        <v>1</v>
      </c>
      <c r="MNK142" s="108"/>
      <c r="MNL142" s="108"/>
      <c r="MNM142" s="109"/>
      <c r="MNN142" s="107" t="s">
        <v>1</v>
      </c>
      <c r="MNO142" s="108"/>
      <c r="MNP142" s="108"/>
      <c r="MNQ142" s="109"/>
      <c r="MNR142" s="107" t="s">
        <v>1</v>
      </c>
      <c r="MNS142" s="108"/>
      <c r="MNT142" s="108"/>
      <c r="MNU142" s="109"/>
      <c r="MNV142" s="107" t="s">
        <v>1</v>
      </c>
      <c r="MNW142" s="108"/>
      <c r="MNX142" s="108"/>
      <c r="MNY142" s="109"/>
      <c r="MNZ142" s="107" t="s">
        <v>1</v>
      </c>
      <c r="MOA142" s="108"/>
      <c r="MOB142" s="108"/>
      <c r="MOC142" s="109"/>
      <c r="MOD142" s="107" t="s">
        <v>1</v>
      </c>
      <c r="MOE142" s="108"/>
      <c r="MOF142" s="108"/>
      <c r="MOG142" s="109"/>
      <c r="MOH142" s="107" t="s">
        <v>1</v>
      </c>
      <c r="MOI142" s="108"/>
      <c r="MOJ142" s="108"/>
      <c r="MOK142" s="109"/>
      <c r="MOL142" s="107" t="s">
        <v>1</v>
      </c>
      <c r="MOM142" s="108"/>
      <c r="MON142" s="108"/>
      <c r="MOO142" s="109"/>
      <c r="MOP142" s="107" t="s">
        <v>1</v>
      </c>
      <c r="MOQ142" s="108"/>
      <c r="MOR142" s="108"/>
      <c r="MOS142" s="109"/>
      <c r="MOT142" s="107" t="s">
        <v>1</v>
      </c>
      <c r="MOU142" s="108"/>
      <c r="MOV142" s="108"/>
      <c r="MOW142" s="109"/>
      <c r="MOX142" s="107" t="s">
        <v>1</v>
      </c>
      <c r="MOY142" s="108"/>
      <c r="MOZ142" s="108"/>
      <c r="MPA142" s="109"/>
      <c r="MPB142" s="107" t="s">
        <v>1</v>
      </c>
      <c r="MPC142" s="108"/>
      <c r="MPD142" s="108"/>
      <c r="MPE142" s="109"/>
      <c r="MPF142" s="107" t="s">
        <v>1</v>
      </c>
      <c r="MPG142" s="108"/>
      <c r="MPH142" s="108"/>
      <c r="MPI142" s="109"/>
      <c r="MPJ142" s="107" t="s">
        <v>1</v>
      </c>
      <c r="MPK142" s="108"/>
      <c r="MPL142" s="108"/>
      <c r="MPM142" s="109"/>
      <c r="MPN142" s="107" t="s">
        <v>1</v>
      </c>
      <c r="MPO142" s="108"/>
      <c r="MPP142" s="108"/>
      <c r="MPQ142" s="109"/>
      <c r="MPR142" s="107" t="s">
        <v>1</v>
      </c>
      <c r="MPS142" s="108"/>
      <c r="MPT142" s="108"/>
      <c r="MPU142" s="109"/>
      <c r="MPV142" s="107" t="s">
        <v>1</v>
      </c>
      <c r="MPW142" s="108"/>
      <c r="MPX142" s="108"/>
      <c r="MPY142" s="109"/>
      <c r="MPZ142" s="107" t="s">
        <v>1</v>
      </c>
      <c r="MQA142" s="108"/>
      <c r="MQB142" s="108"/>
      <c r="MQC142" s="109"/>
      <c r="MQD142" s="107" t="s">
        <v>1</v>
      </c>
      <c r="MQE142" s="108"/>
      <c r="MQF142" s="108"/>
      <c r="MQG142" s="109"/>
      <c r="MQH142" s="107" t="s">
        <v>1</v>
      </c>
      <c r="MQI142" s="108"/>
      <c r="MQJ142" s="108"/>
      <c r="MQK142" s="109"/>
      <c r="MQL142" s="107" t="s">
        <v>1</v>
      </c>
      <c r="MQM142" s="108"/>
      <c r="MQN142" s="108"/>
      <c r="MQO142" s="109"/>
      <c r="MQP142" s="107" t="s">
        <v>1</v>
      </c>
      <c r="MQQ142" s="108"/>
      <c r="MQR142" s="108"/>
      <c r="MQS142" s="109"/>
      <c r="MQT142" s="107" t="s">
        <v>1</v>
      </c>
      <c r="MQU142" s="108"/>
      <c r="MQV142" s="108"/>
      <c r="MQW142" s="109"/>
      <c r="MQX142" s="107" t="s">
        <v>1</v>
      </c>
      <c r="MQY142" s="108"/>
      <c r="MQZ142" s="108"/>
      <c r="MRA142" s="109"/>
      <c r="MRB142" s="107" t="s">
        <v>1</v>
      </c>
      <c r="MRC142" s="108"/>
      <c r="MRD142" s="108"/>
      <c r="MRE142" s="109"/>
      <c r="MRF142" s="107" t="s">
        <v>1</v>
      </c>
      <c r="MRG142" s="108"/>
      <c r="MRH142" s="108"/>
      <c r="MRI142" s="109"/>
      <c r="MRJ142" s="107" t="s">
        <v>1</v>
      </c>
      <c r="MRK142" s="108"/>
      <c r="MRL142" s="108"/>
      <c r="MRM142" s="109"/>
      <c r="MRN142" s="107" t="s">
        <v>1</v>
      </c>
      <c r="MRO142" s="108"/>
      <c r="MRP142" s="108"/>
      <c r="MRQ142" s="109"/>
      <c r="MRR142" s="107" t="s">
        <v>1</v>
      </c>
      <c r="MRS142" s="108"/>
      <c r="MRT142" s="108"/>
      <c r="MRU142" s="109"/>
      <c r="MRV142" s="107" t="s">
        <v>1</v>
      </c>
      <c r="MRW142" s="108"/>
      <c r="MRX142" s="108"/>
      <c r="MRY142" s="109"/>
      <c r="MRZ142" s="107" t="s">
        <v>1</v>
      </c>
      <c r="MSA142" s="108"/>
      <c r="MSB142" s="108"/>
      <c r="MSC142" s="109"/>
      <c r="MSD142" s="107" t="s">
        <v>1</v>
      </c>
      <c r="MSE142" s="108"/>
      <c r="MSF142" s="108"/>
      <c r="MSG142" s="109"/>
      <c r="MSH142" s="107" t="s">
        <v>1</v>
      </c>
      <c r="MSI142" s="108"/>
      <c r="MSJ142" s="108"/>
      <c r="MSK142" s="109"/>
      <c r="MSL142" s="107" t="s">
        <v>1</v>
      </c>
      <c r="MSM142" s="108"/>
      <c r="MSN142" s="108"/>
      <c r="MSO142" s="109"/>
      <c r="MSP142" s="107" t="s">
        <v>1</v>
      </c>
      <c r="MSQ142" s="108"/>
      <c r="MSR142" s="108"/>
      <c r="MSS142" s="109"/>
      <c r="MST142" s="107" t="s">
        <v>1</v>
      </c>
      <c r="MSU142" s="108"/>
      <c r="MSV142" s="108"/>
      <c r="MSW142" s="109"/>
      <c r="MSX142" s="107" t="s">
        <v>1</v>
      </c>
      <c r="MSY142" s="108"/>
      <c r="MSZ142" s="108"/>
      <c r="MTA142" s="109"/>
      <c r="MTB142" s="107" t="s">
        <v>1</v>
      </c>
      <c r="MTC142" s="108"/>
      <c r="MTD142" s="108"/>
      <c r="MTE142" s="109"/>
      <c r="MTF142" s="107" t="s">
        <v>1</v>
      </c>
      <c r="MTG142" s="108"/>
      <c r="MTH142" s="108"/>
      <c r="MTI142" s="109"/>
      <c r="MTJ142" s="107" t="s">
        <v>1</v>
      </c>
      <c r="MTK142" s="108"/>
      <c r="MTL142" s="108"/>
      <c r="MTM142" s="109"/>
      <c r="MTN142" s="107" t="s">
        <v>1</v>
      </c>
      <c r="MTO142" s="108"/>
      <c r="MTP142" s="108"/>
      <c r="MTQ142" s="109"/>
      <c r="MTR142" s="107" t="s">
        <v>1</v>
      </c>
      <c r="MTS142" s="108"/>
      <c r="MTT142" s="108"/>
      <c r="MTU142" s="109"/>
      <c r="MTV142" s="107" t="s">
        <v>1</v>
      </c>
      <c r="MTW142" s="108"/>
      <c r="MTX142" s="108"/>
      <c r="MTY142" s="109"/>
      <c r="MTZ142" s="107" t="s">
        <v>1</v>
      </c>
      <c r="MUA142" s="108"/>
      <c r="MUB142" s="108"/>
      <c r="MUC142" s="109"/>
      <c r="MUD142" s="107" t="s">
        <v>1</v>
      </c>
      <c r="MUE142" s="108"/>
      <c r="MUF142" s="108"/>
      <c r="MUG142" s="109"/>
      <c r="MUH142" s="107" t="s">
        <v>1</v>
      </c>
      <c r="MUI142" s="108"/>
      <c r="MUJ142" s="108"/>
      <c r="MUK142" s="109"/>
      <c r="MUL142" s="107" t="s">
        <v>1</v>
      </c>
      <c r="MUM142" s="108"/>
      <c r="MUN142" s="108"/>
      <c r="MUO142" s="109"/>
      <c r="MUP142" s="107" t="s">
        <v>1</v>
      </c>
      <c r="MUQ142" s="108"/>
      <c r="MUR142" s="108"/>
      <c r="MUS142" s="109"/>
      <c r="MUT142" s="107" t="s">
        <v>1</v>
      </c>
      <c r="MUU142" s="108"/>
      <c r="MUV142" s="108"/>
      <c r="MUW142" s="109"/>
      <c r="MUX142" s="107" t="s">
        <v>1</v>
      </c>
      <c r="MUY142" s="108"/>
      <c r="MUZ142" s="108"/>
      <c r="MVA142" s="109"/>
      <c r="MVB142" s="107" t="s">
        <v>1</v>
      </c>
      <c r="MVC142" s="108"/>
      <c r="MVD142" s="108"/>
      <c r="MVE142" s="109"/>
      <c r="MVF142" s="107" t="s">
        <v>1</v>
      </c>
      <c r="MVG142" s="108"/>
      <c r="MVH142" s="108"/>
      <c r="MVI142" s="109"/>
      <c r="MVJ142" s="107" t="s">
        <v>1</v>
      </c>
      <c r="MVK142" s="108"/>
      <c r="MVL142" s="108"/>
      <c r="MVM142" s="109"/>
      <c r="MVN142" s="107" t="s">
        <v>1</v>
      </c>
      <c r="MVO142" s="108"/>
      <c r="MVP142" s="108"/>
      <c r="MVQ142" s="109"/>
      <c r="MVR142" s="107" t="s">
        <v>1</v>
      </c>
      <c r="MVS142" s="108"/>
      <c r="MVT142" s="108"/>
      <c r="MVU142" s="109"/>
      <c r="MVV142" s="107" t="s">
        <v>1</v>
      </c>
      <c r="MVW142" s="108"/>
      <c r="MVX142" s="108"/>
      <c r="MVY142" s="109"/>
      <c r="MVZ142" s="107" t="s">
        <v>1</v>
      </c>
      <c r="MWA142" s="108"/>
      <c r="MWB142" s="108"/>
      <c r="MWC142" s="109"/>
      <c r="MWD142" s="107" t="s">
        <v>1</v>
      </c>
      <c r="MWE142" s="108"/>
      <c r="MWF142" s="108"/>
      <c r="MWG142" s="109"/>
      <c r="MWH142" s="107" t="s">
        <v>1</v>
      </c>
      <c r="MWI142" s="108"/>
      <c r="MWJ142" s="108"/>
      <c r="MWK142" s="109"/>
      <c r="MWL142" s="107" t="s">
        <v>1</v>
      </c>
      <c r="MWM142" s="108"/>
      <c r="MWN142" s="108"/>
      <c r="MWO142" s="109"/>
      <c r="MWP142" s="107" t="s">
        <v>1</v>
      </c>
      <c r="MWQ142" s="108"/>
      <c r="MWR142" s="108"/>
      <c r="MWS142" s="109"/>
      <c r="MWT142" s="107" t="s">
        <v>1</v>
      </c>
      <c r="MWU142" s="108"/>
      <c r="MWV142" s="108"/>
      <c r="MWW142" s="109"/>
      <c r="MWX142" s="107" t="s">
        <v>1</v>
      </c>
      <c r="MWY142" s="108"/>
      <c r="MWZ142" s="108"/>
      <c r="MXA142" s="109"/>
      <c r="MXB142" s="107" t="s">
        <v>1</v>
      </c>
      <c r="MXC142" s="108"/>
      <c r="MXD142" s="108"/>
      <c r="MXE142" s="109"/>
      <c r="MXF142" s="107" t="s">
        <v>1</v>
      </c>
      <c r="MXG142" s="108"/>
      <c r="MXH142" s="108"/>
      <c r="MXI142" s="109"/>
      <c r="MXJ142" s="107" t="s">
        <v>1</v>
      </c>
      <c r="MXK142" s="108"/>
      <c r="MXL142" s="108"/>
      <c r="MXM142" s="109"/>
      <c r="MXN142" s="107" t="s">
        <v>1</v>
      </c>
      <c r="MXO142" s="108"/>
      <c r="MXP142" s="108"/>
      <c r="MXQ142" s="109"/>
      <c r="MXR142" s="107" t="s">
        <v>1</v>
      </c>
      <c r="MXS142" s="108"/>
      <c r="MXT142" s="108"/>
      <c r="MXU142" s="109"/>
      <c r="MXV142" s="107" t="s">
        <v>1</v>
      </c>
      <c r="MXW142" s="108"/>
      <c r="MXX142" s="108"/>
      <c r="MXY142" s="109"/>
      <c r="MXZ142" s="107" t="s">
        <v>1</v>
      </c>
      <c r="MYA142" s="108"/>
      <c r="MYB142" s="108"/>
      <c r="MYC142" s="109"/>
      <c r="MYD142" s="107" t="s">
        <v>1</v>
      </c>
      <c r="MYE142" s="108"/>
      <c r="MYF142" s="108"/>
      <c r="MYG142" s="109"/>
      <c r="MYH142" s="107" t="s">
        <v>1</v>
      </c>
      <c r="MYI142" s="108"/>
      <c r="MYJ142" s="108"/>
      <c r="MYK142" s="109"/>
      <c r="MYL142" s="107" t="s">
        <v>1</v>
      </c>
      <c r="MYM142" s="108"/>
      <c r="MYN142" s="108"/>
      <c r="MYO142" s="109"/>
      <c r="MYP142" s="107" t="s">
        <v>1</v>
      </c>
      <c r="MYQ142" s="108"/>
      <c r="MYR142" s="108"/>
      <c r="MYS142" s="109"/>
      <c r="MYT142" s="107" t="s">
        <v>1</v>
      </c>
      <c r="MYU142" s="108"/>
      <c r="MYV142" s="108"/>
      <c r="MYW142" s="109"/>
      <c r="MYX142" s="107" t="s">
        <v>1</v>
      </c>
      <c r="MYY142" s="108"/>
      <c r="MYZ142" s="108"/>
      <c r="MZA142" s="109"/>
      <c r="MZB142" s="107" t="s">
        <v>1</v>
      </c>
      <c r="MZC142" s="108"/>
      <c r="MZD142" s="108"/>
      <c r="MZE142" s="109"/>
      <c r="MZF142" s="107" t="s">
        <v>1</v>
      </c>
      <c r="MZG142" s="108"/>
      <c r="MZH142" s="108"/>
      <c r="MZI142" s="109"/>
      <c r="MZJ142" s="107" t="s">
        <v>1</v>
      </c>
      <c r="MZK142" s="108"/>
      <c r="MZL142" s="108"/>
      <c r="MZM142" s="109"/>
      <c r="MZN142" s="107" t="s">
        <v>1</v>
      </c>
      <c r="MZO142" s="108"/>
      <c r="MZP142" s="108"/>
      <c r="MZQ142" s="109"/>
      <c r="MZR142" s="107" t="s">
        <v>1</v>
      </c>
      <c r="MZS142" s="108"/>
      <c r="MZT142" s="108"/>
      <c r="MZU142" s="109"/>
      <c r="MZV142" s="107" t="s">
        <v>1</v>
      </c>
      <c r="MZW142" s="108"/>
      <c r="MZX142" s="108"/>
      <c r="MZY142" s="109"/>
      <c r="MZZ142" s="107" t="s">
        <v>1</v>
      </c>
      <c r="NAA142" s="108"/>
      <c r="NAB142" s="108"/>
      <c r="NAC142" s="109"/>
      <c r="NAD142" s="107" t="s">
        <v>1</v>
      </c>
      <c r="NAE142" s="108"/>
      <c r="NAF142" s="108"/>
      <c r="NAG142" s="109"/>
      <c r="NAH142" s="107" t="s">
        <v>1</v>
      </c>
      <c r="NAI142" s="108"/>
      <c r="NAJ142" s="108"/>
      <c r="NAK142" s="109"/>
      <c r="NAL142" s="107" t="s">
        <v>1</v>
      </c>
      <c r="NAM142" s="108"/>
      <c r="NAN142" s="108"/>
      <c r="NAO142" s="109"/>
      <c r="NAP142" s="107" t="s">
        <v>1</v>
      </c>
      <c r="NAQ142" s="108"/>
      <c r="NAR142" s="108"/>
      <c r="NAS142" s="109"/>
      <c r="NAT142" s="107" t="s">
        <v>1</v>
      </c>
      <c r="NAU142" s="108"/>
      <c r="NAV142" s="108"/>
      <c r="NAW142" s="109"/>
      <c r="NAX142" s="107" t="s">
        <v>1</v>
      </c>
      <c r="NAY142" s="108"/>
      <c r="NAZ142" s="108"/>
      <c r="NBA142" s="109"/>
      <c r="NBB142" s="107" t="s">
        <v>1</v>
      </c>
      <c r="NBC142" s="108"/>
      <c r="NBD142" s="108"/>
      <c r="NBE142" s="109"/>
      <c r="NBF142" s="107" t="s">
        <v>1</v>
      </c>
      <c r="NBG142" s="108"/>
      <c r="NBH142" s="108"/>
      <c r="NBI142" s="109"/>
      <c r="NBJ142" s="107" t="s">
        <v>1</v>
      </c>
      <c r="NBK142" s="108"/>
      <c r="NBL142" s="108"/>
      <c r="NBM142" s="109"/>
      <c r="NBN142" s="107" t="s">
        <v>1</v>
      </c>
      <c r="NBO142" s="108"/>
      <c r="NBP142" s="108"/>
      <c r="NBQ142" s="109"/>
      <c r="NBR142" s="107" t="s">
        <v>1</v>
      </c>
      <c r="NBS142" s="108"/>
      <c r="NBT142" s="108"/>
      <c r="NBU142" s="109"/>
      <c r="NBV142" s="107" t="s">
        <v>1</v>
      </c>
      <c r="NBW142" s="108"/>
      <c r="NBX142" s="108"/>
      <c r="NBY142" s="109"/>
      <c r="NBZ142" s="107" t="s">
        <v>1</v>
      </c>
      <c r="NCA142" s="108"/>
      <c r="NCB142" s="108"/>
      <c r="NCC142" s="109"/>
      <c r="NCD142" s="107" t="s">
        <v>1</v>
      </c>
      <c r="NCE142" s="108"/>
      <c r="NCF142" s="108"/>
      <c r="NCG142" s="109"/>
      <c r="NCH142" s="107" t="s">
        <v>1</v>
      </c>
      <c r="NCI142" s="108"/>
      <c r="NCJ142" s="108"/>
      <c r="NCK142" s="109"/>
      <c r="NCL142" s="107" t="s">
        <v>1</v>
      </c>
      <c r="NCM142" s="108"/>
      <c r="NCN142" s="108"/>
      <c r="NCO142" s="109"/>
      <c r="NCP142" s="107" t="s">
        <v>1</v>
      </c>
      <c r="NCQ142" s="108"/>
      <c r="NCR142" s="108"/>
      <c r="NCS142" s="109"/>
      <c r="NCT142" s="107" t="s">
        <v>1</v>
      </c>
      <c r="NCU142" s="108"/>
      <c r="NCV142" s="108"/>
      <c r="NCW142" s="109"/>
      <c r="NCX142" s="107" t="s">
        <v>1</v>
      </c>
      <c r="NCY142" s="108"/>
      <c r="NCZ142" s="108"/>
      <c r="NDA142" s="109"/>
      <c r="NDB142" s="107" t="s">
        <v>1</v>
      </c>
      <c r="NDC142" s="108"/>
      <c r="NDD142" s="108"/>
      <c r="NDE142" s="109"/>
      <c r="NDF142" s="107" t="s">
        <v>1</v>
      </c>
      <c r="NDG142" s="108"/>
      <c r="NDH142" s="108"/>
      <c r="NDI142" s="109"/>
      <c r="NDJ142" s="107" t="s">
        <v>1</v>
      </c>
      <c r="NDK142" s="108"/>
      <c r="NDL142" s="108"/>
      <c r="NDM142" s="109"/>
      <c r="NDN142" s="107" t="s">
        <v>1</v>
      </c>
      <c r="NDO142" s="108"/>
      <c r="NDP142" s="108"/>
      <c r="NDQ142" s="109"/>
      <c r="NDR142" s="107" t="s">
        <v>1</v>
      </c>
      <c r="NDS142" s="108"/>
      <c r="NDT142" s="108"/>
      <c r="NDU142" s="109"/>
      <c r="NDV142" s="107" t="s">
        <v>1</v>
      </c>
      <c r="NDW142" s="108"/>
      <c r="NDX142" s="108"/>
      <c r="NDY142" s="109"/>
      <c r="NDZ142" s="107" t="s">
        <v>1</v>
      </c>
      <c r="NEA142" s="108"/>
      <c r="NEB142" s="108"/>
      <c r="NEC142" s="109"/>
      <c r="NED142" s="107" t="s">
        <v>1</v>
      </c>
      <c r="NEE142" s="108"/>
      <c r="NEF142" s="108"/>
      <c r="NEG142" s="109"/>
      <c r="NEH142" s="107" t="s">
        <v>1</v>
      </c>
      <c r="NEI142" s="108"/>
      <c r="NEJ142" s="108"/>
      <c r="NEK142" s="109"/>
      <c r="NEL142" s="107" t="s">
        <v>1</v>
      </c>
      <c r="NEM142" s="108"/>
      <c r="NEN142" s="108"/>
      <c r="NEO142" s="109"/>
      <c r="NEP142" s="107" t="s">
        <v>1</v>
      </c>
      <c r="NEQ142" s="108"/>
      <c r="NER142" s="108"/>
      <c r="NES142" s="109"/>
      <c r="NET142" s="107" t="s">
        <v>1</v>
      </c>
      <c r="NEU142" s="108"/>
      <c r="NEV142" s="108"/>
      <c r="NEW142" s="109"/>
      <c r="NEX142" s="107" t="s">
        <v>1</v>
      </c>
      <c r="NEY142" s="108"/>
      <c r="NEZ142" s="108"/>
      <c r="NFA142" s="109"/>
      <c r="NFB142" s="107" t="s">
        <v>1</v>
      </c>
      <c r="NFC142" s="108"/>
      <c r="NFD142" s="108"/>
      <c r="NFE142" s="109"/>
      <c r="NFF142" s="107" t="s">
        <v>1</v>
      </c>
      <c r="NFG142" s="108"/>
      <c r="NFH142" s="108"/>
      <c r="NFI142" s="109"/>
      <c r="NFJ142" s="107" t="s">
        <v>1</v>
      </c>
      <c r="NFK142" s="108"/>
      <c r="NFL142" s="108"/>
      <c r="NFM142" s="109"/>
      <c r="NFN142" s="107" t="s">
        <v>1</v>
      </c>
      <c r="NFO142" s="108"/>
      <c r="NFP142" s="108"/>
      <c r="NFQ142" s="109"/>
      <c r="NFR142" s="107" t="s">
        <v>1</v>
      </c>
      <c r="NFS142" s="108"/>
      <c r="NFT142" s="108"/>
      <c r="NFU142" s="109"/>
      <c r="NFV142" s="107" t="s">
        <v>1</v>
      </c>
      <c r="NFW142" s="108"/>
      <c r="NFX142" s="108"/>
      <c r="NFY142" s="109"/>
      <c r="NFZ142" s="107" t="s">
        <v>1</v>
      </c>
      <c r="NGA142" s="108"/>
      <c r="NGB142" s="108"/>
      <c r="NGC142" s="109"/>
      <c r="NGD142" s="107" t="s">
        <v>1</v>
      </c>
      <c r="NGE142" s="108"/>
      <c r="NGF142" s="108"/>
      <c r="NGG142" s="109"/>
      <c r="NGH142" s="107" t="s">
        <v>1</v>
      </c>
      <c r="NGI142" s="108"/>
      <c r="NGJ142" s="108"/>
      <c r="NGK142" s="109"/>
      <c r="NGL142" s="107" t="s">
        <v>1</v>
      </c>
      <c r="NGM142" s="108"/>
      <c r="NGN142" s="108"/>
      <c r="NGO142" s="109"/>
      <c r="NGP142" s="107" t="s">
        <v>1</v>
      </c>
      <c r="NGQ142" s="108"/>
      <c r="NGR142" s="108"/>
      <c r="NGS142" s="109"/>
      <c r="NGT142" s="107" t="s">
        <v>1</v>
      </c>
      <c r="NGU142" s="108"/>
      <c r="NGV142" s="108"/>
      <c r="NGW142" s="109"/>
      <c r="NGX142" s="107" t="s">
        <v>1</v>
      </c>
      <c r="NGY142" s="108"/>
      <c r="NGZ142" s="108"/>
      <c r="NHA142" s="109"/>
      <c r="NHB142" s="107" t="s">
        <v>1</v>
      </c>
      <c r="NHC142" s="108"/>
      <c r="NHD142" s="108"/>
      <c r="NHE142" s="109"/>
      <c r="NHF142" s="107" t="s">
        <v>1</v>
      </c>
      <c r="NHG142" s="108"/>
      <c r="NHH142" s="108"/>
      <c r="NHI142" s="109"/>
      <c r="NHJ142" s="107" t="s">
        <v>1</v>
      </c>
      <c r="NHK142" s="108"/>
      <c r="NHL142" s="108"/>
      <c r="NHM142" s="109"/>
      <c r="NHN142" s="107" t="s">
        <v>1</v>
      </c>
      <c r="NHO142" s="108"/>
      <c r="NHP142" s="108"/>
      <c r="NHQ142" s="109"/>
      <c r="NHR142" s="107" t="s">
        <v>1</v>
      </c>
      <c r="NHS142" s="108"/>
      <c r="NHT142" s="108"/>
      <c r="NHU142" s="109"/>
      <c r="NHV142" s="107" t="s">
        <v>1</v>
      </c>
      <c r="NHW142" s="108"/>
      <c r="NHX142" s="108"/>
      <c r="NHY142" s="109"/>
      <c r="NHZ142" s="107" t="s">
        <v>1</v>
      </c>
      <c r="NIA142" s="108"/>
      <c r="NIB142" s="108"/>
      <c r="NIC142" s="109"/>
      <c r="NID142" s="107" t="s">
        <v>1</v>
      </c>
      <c r="NIE142" s="108"/>
      <c r="NIF142" s="108"/>
      <c r="NIG142" s="109"/>
      <c r="NIH142" s="107" t="s">
        <v>1</v>
      </c>
      <c r="NII142" s="108"/>
      <c r="NIJ142" s="108"/>
      <c r="NIK142" s="109"/>
      <c r="NIL142" s="107" t="s">
        <v>1</v>
      </c>
      <c r="NIM142" s="108"/>
      <c r="NIN142" s="108"/>
      <c r="NIO142" s="109"/>
      <c r="NIP142" s="107" t="s">
        <v>1</v>
      </c>
      <c r="NIQ142" s="108"/>
      <c r="NIR142" s="108"/>
      <c r="NIS142" s="109"/>
      <c r="NIT142" s="107" t="s">
        <v>1</v>
      </c>
      <c r="NIU142" s="108"/>
      <c r="NIV142" s="108"/>
      <c r="NIW142" s="109"/>
      <c r="NIX142" s="107" t="s">
        <v>1</v>
      </c>
      <c r="NIY142" s="108"/>
      <c r="NIZ142" s="108"/>
      <c r="NJA142" s="109"/>
      <c r="NJB142" s="107" t="s">
        <v>1</v>
      </c>
      <c r="NJC142" s="108"/>
      <c r="NJD142" s="108"/>
      <c r="NJE142" s="109"/>
      <c r="NJF142" s="107" t="s">
        <v>1</v>
      </c>
      <c r="NJG142" s="108"/>
      <c r="NJH142" s="108"/>
      <c r="NJI142" s="109"/>
      <c r="NJJ142" s="107" t="s">
        <v>1</v>
      </c>
      <c r="NJK142" s="108"/>
      <c r="NJL142" s="108"/>
      <c r="NJM142" s="109"/>
      <c r="NJN142" s="107" t="s">
        <v>1</v>
      </c>
      <c r="NJO142" s="108"/>
      <c r="NJP142" s="108"/>
      <c r="NJQ142" s="109"/>
      <c r="NJR142" s="107" t="s">
        <v>1</v>
      </c>
      <c r="NJS142" s="108"/>
      <c r="NJT142" s="108"/>
      <c r="NJU142" s="109"/>
      <c r="NJV142" s="107" t="s">
        <v>1</v>
      </c>
      <c r="NJW142" s="108"/>
      <c r="NJX142" s="108"/>
      <c r="NJY142" s="109"/>
      <c r="NJZ142" s="107" t="s">
        <v>1</v>
      </c>
      <c r="NKA142" s="108"/>
      <c r="NKB142" s="108"/>
      <c r="NKC142" s="109"/>
      <c r="NKD142" s="107" t="s">
        <v>1</v>
      </c>
      <c r="NKE142" s="108"/>
      <c r="NKF142" s="108"/>
      <c r="NKG142" s="109"/>
      <c r="NKH142" s="107" t="s">
        <v>1</v>
      </c>
      <c r="NKI142" s="108"/>
      <c r="NKJ142" s="108"/>
      <c r="NKK142" s="109"/>
      <c r="NKL142" s="107" t="s">
        <v>1</v>
      </c>
      <c r="NKM142" s="108"/>
      <c r="NKN142" s="108"/>
      <c r="NKO142" s="109"/>
      <c r="NKP142" s="107" t="s">
        <v>1</v>
      </c>
      <c r="NKQ142" s="108"/>
      <c r="NKR142" s="108"/>
      <c r="NKS142" s="109"/>
      <c r="NKT142" s="107" t="s">
        <v>1</v>
      </c>
      <c r="NKU142" s="108"/>
      <c r="NKV142" s="108"/>
      <c r="NKW142" s="109"/>
      <c r="NKX142" s="107" t="s">
        <v>1</v>
      </c>
      <c r="NKY142" s="108"/>
      <c r="NKZ142" s="108"/>
      <c r="NLA142" s="109"/>
      <c r="NLB142" s="107" t="s">
        <v>1</v>
      </c>
      <c r="NLC142" s="108"/>
      <c r="NLD142" s="108"/>
      <c r="NLE142" s="109"/>
      <c r="NLF142" s="107" t="s">
        <v>1</v>
      </c>
      <c r="NLG142" s="108"/>
      <c r="NLH142" s="108"/>
      <c r="NLI142" s="109"/>
      <c r="NLJ142" s="107" t="s">
        <v>1</v>
      </c>
      <c r="NLK142" s="108"/>
      <c r="NLL142" s="108"/>
      <c r="NLM142" s="109"/>
      <c r="NLN142" s="107" t="s">
        <v>1</v>
      </c>
      <c r="NLO142" s="108"/>
      <c r="NLP142" s="108"/>
      <c r="NLQ142" s="109"/>
      <c r="NLR142" s="107" t="s">
        <v>1</v>
      </c>
      <c r="NLS142" s="108"/>
      <c r="NLT142" s="108"/>
      <c r="NLU142" s="109"/>
      <c r="NLV142" s="107" t="s">
        <v>1</v>
      </c>
      <c r="NLW142" s="108"/>
      <c r="NLX142" s="108"/>
      <c r="NLY142" s="109"/>
      <c r="NLZ142" s="107" t="s">
        <v>1</v>
      </c>
      <c r="NMA142" s="108"/>
      <c r="NMB142" s="108"/>
      <c r="NMC142" s="109"/>
      <c r="NMD142" s="107" t="s">
        <v>1</v>
      </c>
      <c r="NME142" s="108"/>
      <c r="NMF142" s="108"/>
      <c r="NMG142" s="109"/>
      <c r="NMH142" s="107" t="s">
        <v>1</v>
      </c>
      <c r="NMI142" s="108"/>
      <c r="NMJ142" s="108"/>
      <c r="NMK142" s="109"/>
      <c r="NML142" s="107" t="s">
        <v>1</v>
      </c>
      <c r="NMM142" s="108"/>
      <c r="NMN142" s="108"/>
      <c r="NMO142" s="109"/>
      <c r="NMP142" s="107" t="s">
        <v>1</v>
      </c>
      <c r="NMQ142" s="108"/>
      <c r="NMR142" s="108"/>
      <c r="NMS142" s="109"/>
      <c r="NMT142" s="107" t="s">
        <v>1</v>
      </c>
      <c r="NMU142" s="108"/>
      <c r="NMV142" s="108"/>
      <c r="NMW142" s="109"/>
      <c r="NMX142" s="107" t="s">
        <v>1</v>
      </c>
      <c r="NMY142" s="108"/>
      <c r="NMZ142" s="108"/>
      <c r="NNA142" s="109"/>
      <c r="NNB142" s="107" t="s">
        <v>1</v>
      </c>
      <c r="NNC142" s="108"/>
      <c r="NND142" s="108"/>
      <c r="NNE142" s="109"/>
      <c r="NNF142" s="107" t="s">
        <v>1</v>
      </c>
      <c r="NNG142" s="108"/>
      <c r="NNH142" s="108"/>
      <c r="NNI142" s="109"/>
      <c r="NNJ142" s="107" t="s">
        <v>1</v>
      </c>
      <c r="NNK142" s="108"/>
      <c r="NNL142" s="108"/>
      <c r="NNM142" s="109"/>
      <c r="NNN142" s="107" t="s">
        <v>1</v>
      </c>
      <c r="NNO142" s="108"/>
      <c r="NNP142" s="108"/>
      <c r="NNQ142" s="109"/>
      <c r="NNR142" s="107" t="s">
        <v>1</v>
      </c>
      <c r="NNS142" s="108"/>
      <c r="NNT142" s="108"/>
      <c r="NNU142" s="109"/>
      <c r="NNV142" s="107" t="s">
        <v>1</v>
      </c>
      <c r="NNW142" s="108"/>
      <c r="NNX142" s="108"/>
      <c r="NNY142" s="109"/>
      <c r="NNZ142" s="107" t="s">
        <v>1</v>
      </c>
      <c r="NOA142" s="108"/>
      <c r="NOB142" s="108"/>
      <c r="NOC142" s="109"/>
      <c r="NOD142" s="107" t="s">
        <v>1</v>
      </c>
      <c r="NOE142" s="108"/>
      <c r="NOF142" s="108"/>
      <c r="NOG142" s="109"/>
      <c r="NOH142" s="107" t="s">
        <v>1</v>
      </c>
      <c r="NOI142" s="108"/>
      <c r="NOJ142" s="108"/>
      <c r="NOK142" s="109"/>
      <c r="NOL142" s="107" t="s">
        <v>1</v>
      </c>
      <c r="NOM142" s="108"/>
      <c r="NON142" s="108"/>
      <c r="NOO142" s="109"/>
      <c r="NOP142" s="107" t="s">
        <v>1</v>
      </c>
      <c r="NOQ142" s="108"/>
      <c r="NOR142" s="108"/>
      <c r="NOS142" s="109"/>
      <c r="NOT142" s="107" t="s">
        <v>1</v>
      </c>
      <c r="NOU142" s="108"/>
      <c r="NOV142" s="108"/>
      <c r="NOW142" s="109"/>
      <c r="NOX142" s="107" t="s">
        <v>1</v>
      </c>
      <c r="NOY142" s="108"/>
      <c r="NOZ142" s="108"/>
      <c r="NPA142" s="109"/>
      <c r="NPB142" s="107" t="s">
        <v>1</v>
      </c>
      <c r="NPC142" s="108"/>
      <c r="NPD142" s="108"/>
      <c r="NPE142" s="109"/>
      <c r="NPF142" s="107" t="s">
        <v>1</v>
      </c>
      <c r="NPG142" s="108"/>
      <c r="NPH142" s="108"/>
      <c r="NPI142" s="109"/>
      <c r="NPJ142" s="107" t="s">
        <v>1</v>
      </c>
      <c r="NPK142" s="108"/>
      <c r="NPL142" s="108"/>
      <c r="NPM142" s="109"/>
      <c r="NPN142" s="107" t="s">
        <v>1</v>
      </c>
      <c r="NPO142" s="108"/>
      <c r="NPP142" s="108"/>
      <c r="NPQ142" s="109"/>
      <c r="NPR142" s="107" t="s">
        <v>1</v>
      </c>
      <c r="NPS142" s="108"/>
      <c r="NPT142" s="108"/>
      <c r="NPU142" s="109"/>
      <c r="NPV142" s="107" t="s">
        <v>1</v>
      </c>
      <c r="NPW142" s="108"/>
      <c r="NPX142" s="108"/>
      <c r="NPY142" s="109"/>
      <c r="NPZ142" s="107" t="s">
        <v>1</v>
      </c>
      <c r="NQA142" s="108"/>
      <c r="NQB142" s="108"/>
      <c r="NQC142" s="109"/>
      <c r="NQD142" s="107" t="s">
        <v>1</v>
      </c>
      <c r="NQE142" s="108"/>
      <c r="NQF142" s="108"/>
      <c r="NQG142" s="109"/>
      <c r="NQH142" s="107" t="s">
        <v>1</v>
      </c>
      <c r="NQI142" s="108"/>
      <c r="NQJ142" s="108"/>
      <c r="NQK142" s="109"/>
      <c r="NQL142" s="107" t="s">
        <v>1</v>
      </c>
      <c r="NQM142" s="108"/>
      <c r="NQN142" s="108"/>
      <c r="NQO142" s="109"/>
      <c r="NQP142" s="107" t="s">
        <v>1</v>
      </c>
      <c r="NQQ142" s="108"/>
      <c r="NQR142" s="108"/>
      <c r="NQS142" s="109"/>
      <c r="NQT142" s="107" t="s">
        <v>1</v>
      </c>
      <c r="NQU142" s="108"/>
      <c r="NQV142" s="108"/>
      <c r="NQW142" s="109"/>
      <c r="NQX142" s="107" t="s">
        <v>1</v>
      </c>
      <c r="NQY142" s="108"/>
      <c r="NQZ142" s="108"/>
      <c r="NRA142" s="109"/>
      <c r="NRB142" s="107" t="s">
        <v>1</v>
      </c>
      <c r="NRC142" s="108"/>
      <c r="NRD142" s="108"/>
      <c r="NRE142" s="109"/>
      <c r="NRF142" s="107" t="s">
        <v>1</v>
      </c>
      <c r="NRG142" s="108"/>
      <c r="NRH142" s="108"/>
      <c r="NRI142" s="109"/>
      <c r="NRJ142" s="107" t="s">
        <v>1</v>
      </c>
      <c r="NRK142" s="108"/>
      <c r="NRL142" s="108"/>
      <c r="NRM142" s="109"/>
      <c r="NRN142" s="107" t="s">
        <v>1</v>
      </c>
      <c r="NRO142" s="108"/>
      <c r="NRP142" s="108"/>
      <c r="NRQ142" s="109"/>
      <c r="NRR142" s="107" t="s">
        <v>1</v>
      </c>
      <c r="NRS142" s="108"/>
      <c r="NRT142" s="108"/>
      <c r="NRU142" s="109"/>
      <c r="NRV142" s="107" t="s">
        <v>1</v>
      </c>
      <c r="NRW142" s="108"/>
      <c r="NRX142" s="108"/>
      <c r="NRY142" s="109"/>
      <c r="NRZ142" s="107" t="s">
        <v>1</v>
      </c>
      <c r="NSA142" s="108"/>
      <c r="NSB142" s="108"/>
      <c r="NSC142" s="109"/>
      <c r="NSD142" s="107" t="s">
        <v>1</v>
      </c>
      <c r="NSE142" s="108"/>
      <c r="NSF142" s="108"/>
      <c r="NSG142" s="109"/>
      <c r="NSH142" s="107" t="s">
        <v>1</v>
      </c>
      <c r="NSI142" s="108"/>
      <c r="NSJ142" s="108"/>
      <c r="NSK142" s="109"/>
      <c r="NSL142" s="107" t="s">
        <v>1</v>
      </c>
      <c r="NSM142" s="108"/>
      <c r="NSN142" s="108"/>
      <c r="NSO142" s="109"/>
      <c r="NSP142" s="107" t="s">
        <v>1</v>
      </c>
      <c r="NSQ142" s="108"/>
      <c r="NSR142" s="108"/>
      <c r="NSS142" s="109"/>
      <c r="NST142" s="107" t="s">
        <v>1</v>
      </c>
      <c r="NSU142" s="108"/>
      <c r="NSV142" s="108"/>
      <c r="NSW142" s="109"/>
      <c r="NSX142" s="107" t="s">
        <v>1</v>
      </c>
      <c r="NSY142" s="108"/>
      <c r="NSZ142" s="108"/>
      <c r="NTA142" s="109"/>
      <c r="NTB142" s="107" t="s">
        <v>1</v>
      </c>
      <c r="NTC142" s="108"/>
      <c r="NTD142" s="108"/>
      <c r="NTE142" s="109"/>
      <c r="NTF142" s="107" t="s">
        <v>1</v>
      </c>
      <c r="NTG142" s="108"/>
      <c r="NTH142" s="108"/>
      <c r="NTI142" s="109"/>
      <c r="NTJ142" s="107" t="s">
        <v>1</v>
      </c>
      <c r="NTK142" s="108"/>
      <c r="NTL142" s="108"/>
      <c r="NTM142" s="109"/>
      <c r="NTN142" s="107" t="s">
        <v>1</v>
      </c>
      <c r="NTO142" s="108"/>
      <c r="NTP142" s="108"/>
      <c r="NTQ142" s="109"/>
      <c r="NTR142" s="107" t="s">
        <v>1</v>
      </c>
      <c r="NTS142" s="108"/>
      <c r="NTT142" s="108"/>
      <c r="NTU142" s="109"/>
      <c r="NTV142" s="107" t="s">
        <v>1</v>
      </c>
      <c r="NTW142" s="108"/>
      <c r="NTX142" s="108"/>
      <c r="NTY142" s="109"/>
      <c r="NTZ142" s="107" t="s">
        <v>1</v>
      </c>
      <c r="NUA142" s="108"/>
      <c r="NUB142" s="108"/>
      <c r="NUC142" s="109"/>
      <c r="NUD142" s="107" t="s">
        <v>1</v>
      </c>
      <c r="NUE142" s="108"/>
      <c r="NUF142" s="108"/>
      <c r="NUG142" s="109"/>
      <c r="NUH142" s="107" t="s">
        <v>1</v>
      </c>
      <c r="NUI142" s="108"/>
      <c r="NUJ142" s="108"/>
      <c r="NUK142" s="109"/>
      <c r="NUL142" s="107" t="s">
        <v>1</v>
      </c>
      <c r="NUM142" s="108"/>
      <c r="NUN142" s="108"/>
      <c r="NUO142" s="109"/>
      <c r="NUP142" s="107" t="s">
        <v>1</v>
      </c>
      <c r="NUQ142" s="108"/>
      <c r="NUR142" s="108"/>
      <c r="NUS142" s="109"/>
      <c r="NUT142" s="107" t="s">
        <v>1</v>
      </c>
      <c r="NUU142" s="108"/>
      <c r="NUV142" s="108"/>
      <c r="NUW142" s="109"/>
      <c r="NUX142" s="107" t="s">
        <v>1</v>
      </c>
      <c r="NUY142" s="108"/>
      <c r="NUZ142" s="108"/>
      <c r="NVA142" s="109"/>
      <c r="NVB142" s="107" t="s">
        <v>1</v>
      </c>
      <c r="NVC142" s="108"/>
      <c r="NVD142" s="108"/>
      <c r="NVE142" s="109"/>
      <c r="NVF142" s="107" t="s">
        <v>1</v>
      </c>
      <c r="NVG142" s="108"/>
      <c r="NVH142" s="108"/>
      <c r="NVI142" s="109"/>
      <c r="NVJ142" s="107" t="s">
        <v>1</v>
      </c>
      <c r="NVK142" s="108"/>
      <c r="NVL142" s="108"/>
      <c r="NVM142" s="109"/>
      <c r="NVN142" s="107" t="s">
        <v>1</v>
      </c>
      <c r="NVO142" s="108"/>
      <c r="NVP142" s="108"/>
      <c r="NVQ142" s="109"/>
      <c r="NVR142" s="107" t="s">
        <v>1</v>
      </c>
      <c r="NVS142" s="108"/>
      <c r="NVT142" s="108"/>
      <c r="NVU142" s="109"/>
      <c r="NVV142" s="107" t="s">
        <v>1</v>
      </c>
      <c r="NVW142" s="108"/>
      <c r="NVX142" s="108"/>
      <c r="NVY142" s="109"/>
      <c r="NVZ142" s="107" t="s">
        <v>1</v>
      </c>
      <c r="NWA142" s="108"/>
      <c r="NWB142" s="108"/>
      <c r="NWC142" s="109"/>
      <c r="NWD142" s="107" t="s">
        <v>1</v>
      </c>
      <c r="NWE142" s="108"/>
      <c r="NWF142" s="108"/>
      <c r="NWG142" s="109"/>
      <c r="NWH142" s="107" t="s">
        <v>1</v>
      </c>
      <c r="NWI142" s="108"/>
      <c r="NWJ142" s="108"/>
      <c r="NWK142" s="109"/>
      <c r="NWL142" s="107" t="s">
        <v>1</v>
      </c>
      <c r="NWM142" s="108"/>
      <c r="NWN142" s="108"/>
      <c r="NWO142" s="109"/>
      <c r="NWP142" s="107" t="s">
        <v>1</v>
      </c>
      <c r="NWQ142" s="108"/>
      <c r="NWR142" s="108"/>
      <c r="NWS142" s="109"/>
      <c r="NWT142" s="107" t="s">
        <v>1</v>
      </c>
      <c r="NWU142" s="108"/>
      <c r="NWV142" s="108"/>
      <c r="NWW142" s="109"/>
      <c r="NWX142" s="107" t="s">
        <v>1</v>
      </c>
      <c r="NWY142" s="108"/>
      <c r="NWZ142" s="108"/>
      <c r="NXA142" s="109"/>
      <c r="NXB142" s="107" t="s">
        <v>1</v>
      </c>
      <c r="NXC142" s="108"/>
      <c r="NXD142" s="108"/>
      <c r="NXE142" s="109"/>
      <c r="NXF142" s="107" t="s">
        <v>1</v>
      </c>
      <c r="NXG142" s="108"/>
      <c r="NXH142" s="108"/>
      <c r="NXI142" s="109"/>
      <c r="NXJ142" s="107" t="s">
        <v>1</v>
      </c>
      <c r="NXK142" s="108"/>
      <c r="NXL142" s="108"/>
      <c r="NXM142" s="109"/>
      <c r="NXN142" s="107" t="s">
        <v>1</v>
      </c>
      <c r="NXO142" s="108"/>
      <c r="NXP142" s="108"/>
      <c r="NXQ142" s="109"/>
      <c r="NXR142" s="107" t="s">
        <v>1</v>
      </c>
      <c r="NXS142" s="108"/>
      <c r="NXT142" s="108"/>
      <c r="NXU142" s="109"/>
      <c r="NXV142" s="107" t="s">
        <v>1</v>
      </c>
      <c r="NXW142" s="108"/>
      <c r="NXX142" s="108"/>
      <c r="NXY142" s="109"/>
      <c r="NXZ142" s="107" t="s">
        <v>1</v>
      </c>
      <c r="NYA142" s="108"/>
      <c r="NYB142" s="108"/>
      <c r="NYC142" s="109"/>
      <c r="NYD142" s="107" t="s">
        <v>1</v>
      </c>
      <c r="NYE142" s="108"/>
      <c r="NYF142" s="108"/>
      <c r="NYG142" s="109"/>
      <c r="NYH142" s="107" t="s">
        <v>1</v>
      </c>
      <c r="NYI142" s="108"/>
      <c r="NYJ142" s="108"/>
      <c r="NYK142" s="109"/>
      <c r="NYL142" s="107" t="s">
        <v>1</v>
      </c>
      <c r="NYM142" s="108"/>
      <c r="NYN142" s="108"/>
      <c r="NYO142" s="109"/>
      <c r="NYP142" s="107" t="s">
        <v>1</v>
      </c>
      <c r="NYQ142" s="108"/>
      <c r="NYR142" s="108"/>
      <c r="NYS142" s="109"/>
      <c r="NYT142" s="107" t="s">
        <v>1</v>
      </c>
      <c r="NYU142" s="108"/>
      <c r="NYV142" s="108"/>
      <c r="NYW142" s="109"/>
      <c r="NYX142" s="107" t="s">
        <v>1</v>
      </c>
      <c r="NYY142" s="108"/>
      <c r="NYZ142" s="108"/>
      <c r="NZA142" s="109"/>
      <c r="NZB142" s="107" t="s">
        <v>1</v>
      </c>
      <c r="NZC142" s="108"/>
      <c r="NZD142" s="108"/>
      <c r="NZE142" s="109"/>
      <c r="NZF142" s="107" t="s">
        <v>1</v>
      </c>
      <c r="NZG142" s="108"/>
      <c r="NZH142" s="108"/>
      <c r="NZI142" s="109"/>
      <c r="NZJ142" s="107" t="s">
        <v>1</v>
      </c>
      <c r="NZK142" s="108"/>
      <c r="NZL142" s="108"/>
      <c r="NZM142" s="109"/>
      <c r="NZN142" s="107" t="s">
        <v>1</v>
      </c>
      <c r="NZO142" s="108"/>
      <c r="NZP142" s="108"/>
      <c r="NZQ142" s="109"/>
      <c r="NZR142" s="107" t="s">
        <v>1</v>
      </c>
      <c r="NZS142" s="108"/>
      <c r="NZT142" s="108"/>
      <c r="NZU142" s="109"/>
      <c r="NZV142" s="107" t="s">
        <v>1</v>
      </c>
      <c r="NZW142" s="108"/>
      <c r="NZX142" s="108"/>
      <c r="NZY142" s="109"/>
      <c r="NZZ142" s="107" t="s">
        <v>1</v>
      </c>
      <c r="OAA142" s="108"/>
      <c r="OAB142" s="108"/>
      <c r="OAC142" s="109"/>
      <c r="OAD142" s="107" t="s">
        <v>1</v>
      </c>
      <c r="OAE142" s="108"/>
      <c r="OAF142" s="108"/>
      <c r="OAG142" s="109"/>
      <c r="OAH142" s="107" t="s">
        <v>1</v>
      </c>
      <c r="OAI142" s="108"/>
      <c r="OAJ142" s="108"/>
      <c r="OAK142" s="109"/>
      <c r="OAL142" s="107" t="s">
        <v>1</v>
      </c>
      <c r="OAM142" s="108"/>
      <c r="OAN142" s="108"/>
      <c r="OAO142" s="109"/>
      <c r="OAP142" s="107" t="s">
        <v>1</v>
      </c>
      <c r="OAQ142" s="108"/>
      <c r="OAR142" s="108"/>
      <c r="OAS142" s="109"/>
      <c r="OAT142" s="107" t="s">
        <v>1</v>
      </c>
      <c r="OAU142" s="108"/>
      <c r="OAV142" s="108"/>
      <c r="OAW142" s="109"/>
      <c r="OAX142" s="107" t="s">
        <v>1</v>
      </c>
      <c r="OAY142" s="108"/>
      <c r="OAZ142" s="108"/>
      <c r="OBA142" s="109"/>
      <c r="OBB142" s="107" t="s">
        <v>1</v>
      </c>
      <c r="OBC142" s="108"/>
      <c r="OBD142" s="108"/>
      <c r="OBE142" s="109"/>
      <c r="OBF142" s="107" t="s">
        <v>1</v>
      </c>
      <c r="OBG142" s="108"/>
      <c r="OBH142" s="108"/>
      <c r="OBI142" s="109"/>
      <c r="OBJ142" s="107" t="s">
        <v>1</v>
      </c>
      <c r="OBK142" s="108"/>
      <c r="OBL142" s="108"/>
      <c r="OBM142" s="109"/>
      <c r="OBN142" s="107" t="s">
        <v>1</v>
      </c>
      <c r="OBO142" s="108"/>
      <c r="OBP142" s="108"/>
      <c r="OBQ142" s="109"/>
      <c r="OBR142" s="107" t="s">
        <v>1</v>
      </c>
      <c r="OBS142" s="108"/>
      <c r="OBT142" s="108"/>
      <c r="OBU142" s="109"/>
      <c r="OBV142" s="107" t="s">
        <v>1</v>
      </c>
      <c r="OBW142" s="108"/>
      <c r="OBX142" s="108"/>
      <c r="OBY142" s="109"/>
      <c r="OBZ142" s="107" t="s">
        <v>1</v>
      </c>
      <c r="OCA142" s="108"/>
      <c r="OCB142" s="108"/>
      <c r="OCC142" s="109"/>
      <c r="OCD142" s="107" t="s">
        <v>1</v>
      </c>
      <c r="OCE142" s="108"/>
      <c r="OCF142" s="108"/>
      <c r="OCG142" s="109"/>
      <c r="OCH142" s="107" t="s">
        <v>1</v>
      </c>
      <c r="OCI142" s="108"/>
      <c r="OCJ142" s="108"/>
      <c r="OCK142" s="109"/>
      <c r="OCL142" s="107" t="s">
        <v>1</v>
      </c>
      <c r="OCM142" s="108"/>
      <c r="OCN142" s="108"/>
      <c r="OCO142" s="109"/>
      <c r="OCP142" s="107" t="s">
        <v>1</v>
      </c>
      <c r="OCQ142" s="108"/>
      <c r="OCR142" s="108"/>
      <c r="OCS142" s="109"/>
      <c r="OCT142" s="107" t="s">
        <v>1</v>
      </c>
      <c r="OCU142" s="108"/>
      <c r="OCV142" s="108"/>
      <c r="OCW142" s="109"/>
      <c r="OCX142" s="107" t="s">
        <v>1</v>
      </c>
      <c r="OCY142" s="108"/>
      <c r="OCZ142" s="108"/>
      <c r="ODA142" s="109"/>
      <c r="ODB142" s="107" t="s">
        <v>1</v>
      </c>
      <c r="ODC142" s="108"/>
      <c r="ODD142" s="108"/>
      <c r="ODE142" s="109"/>
      <c r="ODF142" s="107" t="s">
        <v>1</v>
      </c>
      <c r="ODG142" s="108"/>
      <c r="ODH142" s="108"/>
      <c r="ODI142" s="109"/>
      <c r="ODJ142" s="107" t="s">
        <v>1</v>
      </c>
      <c r="ODK142" s="108"/>
      <c r="ODL142" s="108"/>
      <c r="ODM142" s="109"/>
      <c r="ODN142" s="107" t="s">
        <v>1</v>
      </c>
      <c r="ODO142" s="108"/>
      <c r="ODP142" s="108"/>
      <c r="ODQ142" s="109"/>
      <c r="ODR142" s="107" t="s">
        <v>1</v>
      </c>
      <c r="ODS142" s="108"/>
      <c r="ODT142" s="108"/>
      <c r="ODU142" s="109"/>
      <c r="ODV142" s="107" t="s">
        <v>1</v>
      </c>
      <c r="ODW142" s="108"/>
      <c r="ODX142" s="108"/>
      <c r="ODY142" s="109"/>
      <c r="ODZ142" s="107" t="s">
        <v>1</v>
      </c>
      <c r="OEA142" s="108"/>
      <c r="OEB142" s="108"/>
      <c r="OEC142" s="109"/>
      <c r="OED142" s="107" t="s">
        <v>1</v>
      </c>
      <c r="OEE142" s="108"/>
      <c r="OEF142" s="108"/>
      <c r="OEG142" s="109"/>
      <c r="OEH142" s="107" t="s">
        <v>1</v>
      </c>
      <c r="OEI142" s="108"/>
      <c r="OEJ142" s="108"/>
      <c r="OEK142" s="109"/>
      <c r="OEL142" s="107" t="s">
        <v>1</v>
      </c>
      <c r="OEM142" s="108"/>
      <c r="OEN142" s="108"/>
      <c r="OEO142" s="109"/>
      <c r="OEP142" s="107" t="s">
        <v>1</v>
      </c>
      <c r="OEQ142" s="108"/>
      <c r="OER142" s="108"/>
      <c r="OES142" s="109"/>
      <c r="OET142" s="107" t="s">
        <v>1</v>
      </c>
      <c r="OEU142" s="108"/>
      <c r="OEV142" s="108"/>
      <c r="OEW142" s="109"/>
      <c r="OEX142" s="107" t="s">
        <v>1</v>
      </c>
      <c r="OEY142" s="108"/>
      <c r="OEZ142" s="108"/>
      <c r="OFA142" s="109"/>
      <c r="OFB142" s="107" t="s">
        <v>1</v>
      </c>
      <c r="OFC142" s="108"/>
      <c r="OFD142" s="108"/>
      <c r="OFE142" s="109"/>
      <c r="OFF142" s="107" t="s">
        <v>1</v>
      </c>
      <c r="OFG142" s="108"/>
      <c r="OFH142" s="108"/>
      <c r="OFI142" s="109"/>
      <c r="OFJ142" s="107" t="s">
        <v>1</v>
      </c>
      <c r="OFK142" s="108"/>
      <c r="OFL142" s="108"/>
      <c r="OFM142" s="109"/>
      <c r="OFN142" s="107" t="s">
        <v>1</v>
      </c>
      <c r="OFO142" s="108"/>
      <c r="OFP142" s="108"/>
      <c r="OFQ142" s="109"/>
      <c r="OFR142" s="107" t="s">
        <v>1</v>
      </c>
      <c r="OFS142" s="108"/>
      <c r="OFT142" s="108"/>
      <c r="OFU142" s="109"/>
      <c r="OFV142" s="107" t="s">
        <v>1</v>
      </c>
      <c r="OFW142" s="108"/>
      <c r="OFX142" s="108"/>
      <c r="OFY142" s="109"/>
      <c r="OFZ142" s="107" t="s">
        <v>1</v>
      </c>
      <c r="OGA142" s="108"/>
      <c r="OGB142" s="108"/>
      <c r="OGC142" s="109"/>
      <c r="OGD142" s="107" t="s">
        <v>1</v>
      </c>
      <c r="OGE142" s="108"/>
      <c r="OGF142" s="108"/>
      <c r="OGG142" s="109"/>
      <c r="OGH142" s="107" t="s">
        <v>1</v>
      </c>
      <c r="OGI142" s="108"/>
      <c r="OGJ142" s="108"/>
      <c r="OGK142" s="109"/>
      <c r="OGL142" s="107" t="s">
        <v>1</v>
      </c>
      <c r="OGM142" s="108"/>
      <c r="OGN142" s="108"/>
      <c r="OGO142" s="109"/>
      <c r="OGP142" s="107" t="s">
        <v>1</v>
      </c>
      <c r="OGQ142" s="108"/>
      <c r="OGR142" s="108"/>
      <c r="OGS142" s="109"/>
      <c r="OGT142" s="107" t="s">
        <v>1</v>
      </c>
      <c r="OGU142" s="108"/>
      <c r="OGV142" s="108"/>
      <c r="OGW142" s="109"/>
      <c r="OGX142" s="107" t="s">
        <v>1</v>
      </c>
      <c r="OGY142" s="108"/>
      <c r="OGZ142" s="108"/>
      <c r="OHA142" s="109"/>
      <c r="OHB142" s="107" t="s">
        <v>1</v>
      </c>
      <c r="OHC142" s="108"/>
      <c r="OHD142" s="108"/>
      <c r="OHE142" s="109"/>
      <c r="OHF142" s="107" t="s">
        <v>1</v>
      </c>
      <c r="OHG142" s="108"/>
      <c r="OHH142" s="108"/>
      <c r="OHI142" s="109"/>
      <c r="OHJ142" s="107" t="s">
        <v>1</v>
      </c>
      <c r="OHK142" s="108"/>
      <c r="OHL142" s="108"/>
      <c r="OHM142" s="109"/>
      <c r="OHN142" s="107" t="s">
        <v>1</v>
      </c>
      <c r="OHO142" s="108"/>
      <c r="OHP142" s="108"/>
      <c r="OHQ142" s="109"/>
      <c r="OHR142" s="107" t="s">
        <v>1</v>
      </c>
      <c r="OHS142" s="108"/>
      <c r="OHT142" s="108"/>
      <c r="OHU142" s="109"/>
      <c r="OHV142" s="107" t="s">
        <v>1</v>
      </c>
      <c r="OHW142" s="108"/>
      <c r="OHX142" s="108"/>
      <c r="OHY142" s="109"/>
      <c r="OHZ142" s="107" t="s">
        <v>1</v>
      </c>
      <c r="OIA142" s="108"/>
      <c r="OIB142" s="108"/>
      <c r="OIC142" s="109"/>
      <c r="OID142" s="107" t="s">
        <v>1</v>
      </c>
      <c r="OIE142" s="108"/>
      <c r="OIF142" s="108"/>
      <c r="OIG142" s="109"/>
      <c r="OIH142" s="107" t="s">
        <v>1</v>
      </c>
      <c r="OII142" s="108"/>
      <c r="OIJ142" s="108"/>
      <c r="OIK142" s="109"/>
      <c r="OIL142" s="107" t="s">
        <v>1</v>
      </c>
      <c r="OIM142" s="108"/>
      <c r="OIN142" s="108"/>
      <c r="OIO142" s="109"/>
      <c r="OIP142" s="107" t="s">
        <v>1</v>
      </c>
      <c r="OIQ142" s="108"/>
      <c r="OIR142" s="108"/>
      <c r="OIS142" s="109"/>
      <c r="OIT142" s="107" t="s">
        <v>1</v>
      </c>
      <c r="OIU142" s="108"/>
      <c r="OIV142" s="108"/>
      <c r="OIW142" s="109"/>
      <c r="OIX142" s="107" t="s">
        <v>1</v>
      </c>
      <c r="OIY142" s="108"/>
      <c r="OIZ142" s="108"/>
      <c r="OJA142" s="109"/>
      <c r="OJB142" s="107" t="s">
        <v>1</v>
      </c>
      <c r="OJC142" s="108"/>
      <c r="OJD142" s="108"/>
      <c r="OJE142" s="109"/>
      <c r="OJF142" s="107" t="s">
        <v>1</v>
      </c>
      <c r="OJG142" s="108"/>
      <c r="OJH142" s="108"/>
      <c r="OJI142" s="109"/>
      <c r="OJJ142" s="107" t="s">
        <v>1</v>
      </c>
      <c r="OJK142" s="108"/>
      <c r="OJL142" s="108"/>
      <c r="OJM142" s="109"/>
      <c r="OJN142" s="107" t="s">
        <v>1</v>
      </c>
      <c r="OJO142" s="108"/>
      <c r="OJP142" s="108"/>
      <c r="OJQ142" s="109"/>
      <c r="OJR142" s="107" t="s">
        <v>1</v>
      </c>
      <c r="OJS142" s="108"/>
      <c r="OJT142" s="108"/>
      <c r="OJU142" s="109"/>
      <c r="OJV142" s="107" t="s">
        <v>1</v>
      </c>
      <c r="OJW142" s="108"/>
      <c r="OJX142" s="108"/>
      <c r="OJY142" s="109"/>
      <c r="OJZ142" s="107" t="s">
        <v>1</v>
      </c>
      <c r="OKA142" s="108"/>
      <c r="OKB142" s="108"/>
      <c r="OKC142" s="109"/>
      <c r="OKD142" s="107" t="s">
        <v>1</v>
      </c>
      <c r="OKE142" s="108"/>
      <c r="OKF142" s="108"/>
      <c r="OKG142" s="109"/>
      <c r="OKH142" s="107" t="s">
        <v>1</v>
      </c>
      <c r="OKI142" s="108"/>
      <c r="OKJ142" s="108"/>
      <c r="OKK142" s="109"/>
      <c r="OKL142" s="107" t="s">
        <v>1</v>
      </c>
      <c r="OKM142" s="108"/>
      <c r="OKN142" s="108"/>
      <c r="OKO142" s="109"/>
      <c r="OKP142" s="107" t="s">
        <v>1</v>
      </c>
      <c r="OKQ142" s="108"/>
      <c r="OKR142" s="108"/>
      <c r="OKS142" s="109"/>
      <c r="OKT142" s="107" t="s">
        <v>1</v>
      </c>
      <c r="OKU142" s="108"/>
      <c r="OKV142" s="108"/>
      <c r="OKW142" s="109"/>
      <c r="OKX142" s="107" t="s">
        <v>1</v>
      </c>
      <c r="OKY142" s="108"/>
      <c r="OKZ142" s="108"/>
      <c r="OLA142" s="109"/>
      <c r="OLB142" s="107" t="s">
        <v>1</v>
      </c>
      <c r="OLC142" s="108"/>
      <c r="OLD142" s="108"/>
      <c r="OLE142" s="109"/>
      <c r="OLF142" s="107" t="s">
        <v>1</v>
      </c>
      <c r="OLG142" s="108"/>
      <c r="OLH142" s="108"/>
      <c r="OLI142" s="109"/>
      <c r="OLJ142" s="107" t="s">
        <v>1</v>
      </c>
      <c r="OLK142" s="108"/>
      <c r="OLL142" s="108"/>
      <c r="OLM142" s="109"/>
      <c r="OLN142" s="107" t="s">
        <v>1</v>
      </c>
      <c r="OLO142" s="108"/>
      <c r="OLP142" s="108"/>
      <c r="OLQ142" s="109"/>
      <c r="OLR142" s="107" t="s">
        <v>1</v>
      </c>
      <c r="OLS142" s="108"/>
      <c r="OLT142" s="108"/>
      <c r="OLU142" s="109"/>
      <c r="OLV142" s="107" t="s">
        <v>1</v>
      </c>
      <c r="OLW142" s="108"/>
      <c r="OLX142" s="108"/>
      <c r="OLY142" s="109"/>
      <c r="OLZ142" s="107" t="s">
        <v>1</v>
      </c>
      <c r="OMA142" s="108"/>
      <c r="OMB142" s="108"/>
      <c r="OMC142" s="109"/>
      <c r="OMD142" s="107" t="s">
        <v>1</v>
      </c>
      <c r="OME142" s="108"/>
      <c r="OMF142" s="108"/>
      <c r="OMG142" s="109"/>
      <c r="OMH142" s="107" t="s">
        <v>1</v>
      </c>
      <c r="OMI142" s="108"/>
      <c r="OMJ142" s="108"/>
      <c r="OMK142" s="109"/>
      <c r="OML142" s="107" t="s">
        <v>1</v>
      </c>
      <c r="OMM142" s="108"/>
      <c r="OMN142" s="108"/>
      <c r="OMO142" s="109"/>
      <c r="OMP142" s="107" t="s">
        <v>1</v>
      </c>
      <c r="OMQ142" s="108"/>
      <c r="OMR142" s="108"/>
      <c r="OMS142" s="109"/>
      <c r="OMT142" s="107" t="s">
        <v>1</v>
      </c>
      <c r="OMU142" s="108"/>
      <c r="OMV142" s="108"/>
      <c r="OMW142" s="109"/>
      <c r="OMX142" s="107" t="s">
        <v>1</v>
      </c>
      <c r="OMY142" s="108"/>
      <c r="OMZ142" s="108"/>
      <c r="ONA142" s="109"/>
      <c r="ONB142" s="107" t="s">
        <v>1</v>
      </c>
      <c r="ONC142" s="108"/>
      <c r="OND142" s="108"/>
      <c r="ONE142" s="109"/>
      <c r="ONF142" s="107" t="s">
        <v>1</v>
      </c>
      <c r="ONG142" s="108"/>
      <c r="ONH142" s="108"/>
      <c r="ONI142" s="109"/>
      <c r="ONJ142" s="107" t="s">
        <v>1</v>
      </c>
      <c r="ONK142" s="108"/>
      <c r="ONL142" s="108"/>
      <c r="ONM142" s="109"/>
      <c r="ONN142" s="107" t="s">
        <v>1</v>
      </c>
      <c r="ONO142" s="108"/>
      <c r="ONP142" s="108"/>
      <c r="ONQ142" s="109"/>
      <c r="ONR142" s="107" t="s">
        <v>1</v>
      </c>
      <c r="ONS142" s="108"/>
      <c r="ONT142" s="108"/>
      <c r="ONU142" s="109"/>
      <c r="ONV142" s="107" t="s">
        <v>1</v>
      </c>
      <c r="ONW142" s="108"/>
      <c r="ONX142" s="108"/>
      <c r="ONY142" s="109"/>
      <c r="ONZ142" s="107" t="s">
        <v>1</v>
      </c>
      <c r="OOA142" s="108"/>
      <c r="OOB142" s="108"/>
      <c r="OOC142" s="109"/>
      <c r="OOD142" s="107" t="s">
        <v>1</v>
      </c>
      <c r="OOE142" s="108"/>
      <c r="OOF142" s="108"/>
      <c r="OOG142" s="109"/>
      <c r="OOH142" s="107" t="s">
        <v>1</v>
      </c>
      <c r="OOI142" s="108"/>
      <c r="OOJ142" s="108"/>
      <c r="OOK142" s="109"/>
      <c r="OOL142" s="107" t="s">
        <v>1</v>
      </c>
      <c r="OOM142" s="108"/>
      <c r="OON142" s="108"/>
      <c r="OOO142" s="109"/>
      <c r="OOP142" s="107" t="s">
        <v>1</v>
      </c>
      <c r="OOQ142" s="108"/>
      <c r="OOR142" s="108"/>
      <c r="OOS142" s="109"/>
      <c r="OOT142" s="107" t="s">
        <v>1</v>
      </c>
      <c r="OOU142" s="108"/>
      <c r="OOV142" s="108"/>
      <c r="OOW142" s="109"/>
      <c r="OOX142" s="107" t="s">
        <v>1</v>
      </c>
      <c r="OOY142" s="108"/>
      <c r="OOZ142" s="108"/>
      <c r="OPA142" s="109"/>
      <c r="OPB142" s="107" t="s">
        <v>1</v>
      </c>
      <c r="OPC142" s="108"/>
      <c r="OPD142" s="108"/>
      <c r="OPE142" s="109"/>
      <c r="OPF142" s="107" t="s">
        <v>1</v>
      </c>
      <c r="OPG142" s="108"/>
      <c r="OPH142" s="108"/>
      <c r="OPI142" s="109"/>
      <c r="OPJ142" s="107" t="s">
        <v>1</v>
      </c>
      <c r="OPK142" s="108"/>
      <c r="OPL142" s="108"/>
      <c r="OPM142" s="109"/>
      <c r="OPN142" s="107" t="s">
        <v>1</v>
      </c>
      <c r="OPO142" s="108"/>
      <c r="OPP142" s="108"/>
      <c r="OPQ142" s="109"/>
      <c r="OPR142" s="107" t="s">
        <v>1</v>
      </c>
      <c r="OPS142" s="108"/>
      <c r="OPT142" s="108"/>
      <c r="OPU142" s="109"/>
      <c r="OPV142" s="107" t="s">
        <v>1</v>
      </c>
      <c r="OPW142" s="108"/>
      <c r="OPX142" s="108"/>
      <c r="OPY142" s="109"/>
      <c r="OPZ142" s="107" t="s">
        <v>1</v>
      </c>
      <c r="OQA142" s="108"/>
      <c r="OQB142" s="108"/>
      <c r="OQC142" s="109"/>
      <c r="OQD142" s="107" t="s">
        <v>1</v>
      </c>
      <c r="OQE142" s="108"/>
      <c r="OQF142" s="108"/>
      <c r="OQG142" s="109"/>
      <c r="OQH142" s="107" t="s">
        <v>1</v>
      </c>
      <c r="OQI142" s="108"/>
      <c r="OQJ142" s="108"/>
      <c r="OQK142" s="109"/>
      <c r="OQL142" s="107" t="s">
        <v>1</v>
      </c>
      <c r="OQM142" s="108"/>
      <c r="OQN142" s="108"/>
      <c r="OQO142" s="109"/>
      <c r="OQP142" s="107" t="s">
        <v>1</v>
      </c>
      <c r="OQQ142" s="108"/>
      <c r="OQR142" s="108"/>
      <c r="OQS142" s="109"/>
      <c r="OQT142" s="107" t="s">
        <v>1</v>
      </c>
      <c r="OQU142" s="108"/>
      <c r="OQV142" s="108"/>
      <c r="OQW142" s="109"/>
      <c r="OQX142" s="107" t="s">
        <v>1</v>
      </c>
      <c r="OQY142" s="108"/>
      <c r="OQZ142" s="108"/>
      <c r="ORA142" s="109"/>
      <c r="ORB142" s="107" t="s">
        <v>1</v>
      </c>
      <c r="ORC142" s="108"/>
      <c r="ORD142" s="108"/>
      <c r="ORE142" s="109"/>
      <c r="ORF142" s="107" t="s">
        <v>1</v>
      </c>
      <c r="ORG142" s="108"/>
      <c r="ORH142" s="108"/>
      <c r="ORI142" s="109"/>
      <c r="ORJ142" s="107" t="s">
        <v>1</v>
      </c>
      <c r="ORK142" s="108"/>
      <c r="ORL142" s="108"/>
      <c r="ORM142" s="109"/>
      <c r="ORN142" s="107" t="s">
        <v>1</v>
      </c>
      <c r="ORO142" s="108"/>
      <c r="ORP142" s="108"/>
      <c r="ORQ142" s="109"/>
      <c r="ORR142" s="107" t="s">
        <v>1</v>
      </c>
      <c r="ORS142" s="108"/>
      <c r="ORT142" s="108"/>
      <c r="ORU142" s="109"/>
      <c r="ORV142" s="107" t="s">
        <v>1</v>
      </c>
      <c r="ORW142" s="108"/>
      <c r="ORX142" s="108"/>
      <c r="ORY142" s="109"/>
      <c r="ORZ142" s="107" t="s">
        <v>1</v>
      </c>
      <c r="OSA142" s="108"/>
      <c r="OSB142" s="108"/>
      <c r="OSC142" s="109"/>
      <c r="OSD142" s="107" t="s">
        <v>1</v>
      </c>
      <c r="OSE142" s="108"/>
      <c r="OSF142" s="108"/>
      <c r="OSG142" s="109"/>
      <c r="OSH142" s="107" t="s">
        <v>1</v>
      </c>
      <c r="OSI142" s="108"/>
      <c r="OSJ142" s="108"/>
      <c r="OSK142" s="109"/>
      <c r="OSL142" s="107" t="s">
        <v>1</v>
      </c>
      <c r="OSM142" s="108"/>
      <c r="OSN142" s="108"/>
      <c r="OSO142" s="109"/>
      <c r="OSP142" s="107" t="s">
        <v>1</v>
      </c>
      <c r="OSQ142" s="108"/>
      <c r="OSR142" s="108"/>
      <c r="OSS142" s="109"/>
      <c r="OST142" s="107" t="s">
        <v>1</v>
      </c>
      <c r="OSU142" s="108"/>
      <c r="OSV142" s="108"/>
      <c r="OSW142" s="109"/>
      <c r="OSX142" s="107" t="s">
        <v>1</v>
      </c>
      <c r="OSY142" s="108"/>
      <c r="OSZ142" s="108"/>
      <c r="OTA142" s="109"/>
      <c r="OTB142" s="107" t="s">
        <v>1</v>
      </c>
      <c r="OTC142" s="108"/>
      <c r="OTD142" s="108"/>
      <c r="OTE142" s="109"/>
      <c r="OTF142" s="107" t="s">
        <v>1</v>
      </c>
      <c r="OTG142" s="108"/>
      <c r="OTH142" s="108"/>
      <c r="OTI142" s="109"/>
      <c r="OTJ142" s="107" t="s">
        <v>1</v>
      </c>
      <c r="OTK142" s="108"/>
      <c r="OTL142" s="108"/>
      <c r="OTM142" s="109"/>
      <c r="OTN142" s="107" t="s">
        <v>1</v>
      </c>
      <c r="OTO142" s="108"/>
      <c r="OTP142" s="108"/>
      <c r="OTQ142" s="109"/>
      <c r="OTR142" s="107" t="s">
        <v>1</v>
      </c>
      <c r="OTS142" s="108"/>
      <c r="OTT142" s="108"/>
      <c r="OTU142" s="109"/>
      <c r="OTV142" s="107" t="s">
        <v>1</v>
      </c>
      <c r="OTW142" s="108"/>
      <c r="OTX142" s="108"/>
      <c r="OTY142" s="109"/>
      <c r="OTZ142" s="107" t="s">
        <v>1</v>
      </c>
      <c r="OUA142" s="108"/>
      <c r="OUB142" s="108"/>
      <c r="OUC142" s="109"/>
      <c r="OUD142" s="107" t="s">
        <v>1</v>
      </c>
      <c r="OUE142" s="108"/>
      <c r="OUF142" s="108"/>
      <c r="OUG142" s="109"/>
      <c r="OUH142" s="107" t="s">
        <v>1</v>
      </c>
      <c r="OUI142" s="108"/>
      <c r="OUJ142" s="108"/>
      <c r="OUK142" s="109"/>
      <c r="OUL142" s="107" t="s">
        <v>1</v>
      </c>
      <c r="OUM142" s="108"/>
      <c r="OUN142" s="108"/>
      <c r="OUO142" s="109"/>
      <c r="OUP142" s="107" t="s">
        <v>1</v>
      </c>
      <c r="OUQ142" s="108"/>
      <c r="OUR142" s="108"/>
      <c r="OUS142" s="109"/>
      <c r="OUT142" s="107" t="s">
        <v>1</v>
      </c>
      <c r="OUU142" s="108"/>
      <c r="OUV142" s="108"/>
      <c r="OUW142" s="109"/>
      <c r="OUX142" s="107" t="s">
        <v>1</v>
      </c>
      <c r="OUY142" s="108"/>
      <c r="OUZ142" s="108"/>
      <c r="OVA142" s="109"/>
      <c r="OVB142" s="107" t="s">
        <v>1</v>
      </c>
      <c r="OVC142" s="108"/>
      <c r="OVD142" s="108"/>
      <c r="OVE142" s="109"/>
      <c r="OVF142" s="107" t="s">
        <v>1</v>
      </c>
      <c r="OVG142" s="108"/>
      <c r="OVH142" s="108"/>
      <c r="OVI142" s="109"/>
      <c r="OVJ142" s="107" t="s">
        <v>1</v>
      </c>
      <c r="OVK142" s="108"/>
      <c r="OVL142" s="108"/>
      <c r="OVM142" s="109"/>
      <c r="OVN142" s="107" t="s">
        <v>1</v>
      </c>
      <c r="OVO142" s="108"/>
      <c r="OVP142" s="108"/>
      <c r="OVQ142" s="109"/>
      <c r="OVR142" s="107" t="s">
        <v>1</v>
      </c>
      <c r="OVS142" s="108"/>
      <c r="OVT142" s="108"/>
      <c r="OVU142" s="109"/>
      <c r="OVV142" s="107" t="s">
        <v>1</v>
      </c>
      <c r="OVW142" s="108"/>
      <c r="OVX142" s="108"/>
      <c r="OVY142" s="109"/>
      <c r="OVZ142" s="107" t="s">
        <v>1</v>
      </c>
      <c r="OWA142" s="108"/>
      <c r="OWB142" s="108"/>
      <c r="OWC142" s="109"/>
      <c r="OWD142" s="107" t="s">
        <v>1</v>
      </c>
      <c r="OWE142" s="108"/>
      <c r="OWF142" s="108"/>
      <c r="OWG142" s="109"/>
      <c r="OWH142" s="107" t="s">
        <v>1</v>
      </c>
      <c r="OWI142" s="108"/>
      <c r="OWJ142" s="108"/>
      <c r="OWK142" s="109"/>
      <c r="OWL142" s="107" t="s">
        <v>1</v>
      </c>
      <c r="OWM142" s="108"/>
      <c r="OWN142" s="108"/>
      <c r="OWO142" s="109"/>
      <c r="OWP142" s="107" t="s">
        <v>1</v>
      </c>
      <c r="OWQ142" s="108"/>
      <c r="OWR142" s="108"/>
      <c r="OWS142" s="109"/>
      <c r="OWT142" s="107" t="s">
        <v>1</v>
      </c>
      <c r="OWU142" s="108"/>
      <c r="OWV142" s="108"/>
      <c r="OWW142" s="109"/>
      <c r="OWX142" s="107" t="s">
        <v>1</v>
      </c>
      <c r="OWY142" s="108"/>
      <c r="OWZ142" s="108"/>
      <c r="OXA142" s="109"/>
      <c r="OXB142" s="107" t="s">
        <v>1</v>
      </c>
      <c r="OXC142" s="108"/>
      <c r="OXD142" s="108"/>
      <c r="OXE142" s="109"/>
      <c r="OXF142" s="107" t="s">
        <v>1</v>
      </c>
      <c r="OXG142" s="108"/>
      <c r="OXH142" s="108"/>
      <c r="OXI142" s="109"/>
      <c r="OXJ142" s="107" t="s">
        <v>1</v>
      </c>
      <c r="OXK142" s="108"/>
      <c r="OXL142" s="108"/>
      <c r="OXM142" s="109"/>
      <c r="OXN142" s="107" t="s">
        <v>1</v>
      </c>
      <c r="OXO142" s="108"/>
      <c r="OXP142" s="108"/>
      <c r="OXQ142" s="109"/>
      <c r="OXR142" s="107" t="s">
        <v>1</v>
      </c>
      <c r="OXS142" s="108"/>
      <c r="OXT142" s="108"/>
      <c r="OXU142" s="109"/>
      <c r="OXV142" s="107" t="s">
        <v>1</v>
      </c>
      <c r="OXW142" s="108"/>
      <c r="OXX142" s="108"/>
      <c r="OXY142" s="109"/>
      <c r="OXZ142" s="107" t="s">
        <v>1</v>
      </c>
      <c r="OYA142" s="108"/>
      <c r="OYB142" s="108"/>
      <c r="OYC142" s="109"/>
      <c r="OYD142" s="107" t="s">
        <v>1</v>
      </c>
      <c r="OYE142" s="108"/>
      <c r="OYF142" s="108"/>
      <c r="OYG142" s="109"/>
      <c r="OYH142" s="107" t="s">
        <v>1</v>
      </c>
      <c r="OYI142" s="108"/>
      <c r="OYJ142" s="108"/>
      <c r="OYK142" s="109"/>
      <c r="OYL142" s="107" t="s">
        <v>1</v>
      </c>
      <c r="OYM142" s="108"/>
      <c r="OYN142" s="108"/>
      <c r="OYO142" s="109"/>
      <c r="OYP142" s="107" t="s">
        <v>1</v>
      </c>
      <c r="OYQ142" s="108"/>
      <c r="OYR142" s="108"/>
      <c r="OYS142" s="109"/>
      <c r="OYT142" s="107" t="s">
        <v>1</v>
      </c>
      <c r="OYU142" s="108"/>
      <c r="OYV142" s="108"/>
      <c r="OYW142" s="109"/>
      <c r="OYX142" s="107" t="s">
        <v>1</v>
      </c>
      <c r="OYY142" s="108"/>
      <c r="OYZ142" s="108"/>
      <c r="OZA142" s="109"/>
      <c r="OZB142" s="107" t="s">
        <v>1</v>
      </c>
      <c r="OZC142" s="108"/>
      <c r="OZD142" s="108"/>
      <c r="OZE142" s="109"/>
      <c r="OZF142" s="107" t="s">
        <v>1</v>
      </c>
      <c r="OZG142" s="108"/>
      <c r="OZH142" s="108"/>
      <c r="OZI142" s="109"/>
      <c r="OZJ142" s="107" t="s">
        <v>1</v>
      </c>
      <c r="OZK142" s="108"/>
      <c r="OZL142" s="108"/>
      <c r="OZM142" s="109"/>
      <c r="OZN142" s="107" t="s">
        <v>1</v>
      </c>
      <c r="OZO142" s="108"/>
      <c r="OZP142" s="108"/>
      <c r="OZQ142" s="109"/>
      <c r="OZR142" s="107" t="s">
        <v>1</v>
      </c>
      <c r="OZS142" s="108"/>
      <c r="OZT142" s="108"/>
      <c r="OZU142" s="109"/>
      <c r="OZV142" s="107" t="s">
        <v>1</v>
      </c>
      <c r="OZW142" s="108"/>
      <c r="OZX142" s="108"/>
      <c r="OZY142" s="109"/>
      <c r="OZZ142" s="107" t="s">
        <v>1</v>
      </c>
      <c r="PAA142" s="108"/>
      <c r="PAB142" s="108"/>
      <c r="PAC142" s="109"/>
      <c r="PAD142" s="107" t="s">
        <v>1</v>
      </c>
      <c r="PAE142" s="108"/>
      <c r="PAF142" s="108"/>
      <c r="PAG142" s="109"/>
      <c r="PAH142" s="107" t="s">
        <v>1</v>
      </c>
      <c r="PAI142" s="108"/>
      <c r="PAJ142" s="108"/>
      <c r="PAK142" s="109"/>
      <c r="PAL142" s="107" t="s">
        <v>1</v>
      </c>
      <c r="PAM142" s="108"/>
      <c r="PAN142" s="108"/>
      <c r="PAO142" s="109"/>
      <c r="PAP142" s="107" t="s">
        <v>1</v>
      </c>
      <c r="PAQ142" s="108"/>
      <c r="PAR142" s="108"/>
      <c r="PAS142" s="109"/>
      <c r="PAT142" s="107" t="s">
        <v>1</v>
      </c>
      <c r="PAU142" s="108"/>
      <c r="PAV142" s="108"/>
      <c r="PAW142" s="109"/>
      <c r="PAX142" s="107" t="s">
        <v>1</v>
      </c>
      <c r="PAY142" s="108"/>
      <c r="PAZ142" s="108"/>
      <c r="PBA142" s="109"/>
      <c r="PBB142" s="107" t="s">
        <v>1</v>
      </c>
      <c r="PBC142" s="108"/>
      <c r="PBD142" s="108"/>
      <c r="PBE142" s="109"/>
      <c r="PBF142" s="107" t="s">
        <v>1</v>
      </c>
      <c r="PBG142" s="108"/>
      <c r="PBH142" s="108"/>
      <c r="PBI142" s="109"/>
      <c r="PBJ142" s="107" t="s">
        <v>1</v>
      </c>
      <c r="PBK142" s="108"/>
      <c r="PBL142" s="108"/>
      <c r="PBM142" s="109"/>
      <c r="PBN142" s="107" t="s">
        <v>1</v>
      </c>
      <c r="PBO142" s="108"/>
      <c r="PBP142" s="108"/>
      <c r="PBQ142" s="109"/>
      <c r="PBR142" s="107" t="s">
        <v>1</v>
      </c>
      <c r="PBS142" s="108"/>
      <c r="PBT142" s="108"/>
      <c r="PBU142" s="109"/>
      <c r="PBV142" s="107" t="s">
        <v>1</v>
      </c>
      <c r="PBW142" s="108"/>
      <c r="PBX142" s="108"/>
      <c r="PBY142" s="109"/>
      <c r="PBZ142" s="107" t="s">
        <v>1</v>
      </c>
      <c r="PCA142" s="108"/>
      <c r="PCB142" s="108"/>
      <c r="PCC142" s="109"/>
      <c r="PCD142" s="107" t="s">
        <v>1</v>
      </c>
      <c r="PCE142" s="108"/>
      <c r="PCF142" s="108"/>
      <c r="PCG142" s="109"/>
      <c r="PCH142" s="107" t="s">
        <v>1</v>
      </c>
      <c r="PCI142" s="108"/>
      <c r="PCJ142" s="108"/>
      <c r="PCK142" s="109"/>
      <c r="PCL142" s="107" t="s">
        <v>1</v>
      </c>
      <c r="PCM142" s="108"/>
      <c r="PCN142" s="108"/>
      <c r="PCO142" s="109"/>
      <c r="PCP142" s="107" t="s">
        <v>1</v>
      </c>
      <c r="PCQ142" s="108"/>
      <c r="PCR142" s="108"/>
      <c r="PCS142" s="109"/>
      <c r="PCT142" s="107" t="s">
        <v>1</v>
      </c>
      <c r="PCU142" s="108"/>
      <c r="PCV142" s="108"/>
      <c r="PCW142" s="109"/>
      <c r="PCX142" s="107" t="s">
        <v>1</v>
      </c>
      <c r="PCY142" s="108"/>
      <c r="PCZ142" s="108"/>
      <c r="PDA142" s="109"/>
      <c r="PDB142" s="107" t="s">
        <v>1</v>
      </c>
      <c r="PDC142" s="108"/>
      <c r="PDD142" s="108"/>
      <c r="PDE142" s="109"/>
      <c r="PDF142" s="107" t="s">
        <v>1</v>
      </c>
      <c r="PDG142" s="108"/>
      <c r="PDH142" s="108"/>
      <c r="PDI142" s="109"/>
      <c r="PDJ142" s="107" t="s">
        <v>1</v>
      </c>
      <c r="PDK142" s="108"/>
      <c r="PDL142" s="108"/>
      <c r="PDM142" s="109"/>
      <c r="PDN142" s="107" t="s">
        <v>1</v>
      </c>
      <c r="PDO142" s="108"/>
      <c r="PDP142" s="108"/>
      <c r="PDQ142" s="109"/>
      <c r="PDR142" s="107" t="s">
        <v>1</v>
      </c>
      <c r="PDS142" s="108"/>
      <c r="PDT142" s="108"/>
      <c r="PDU142" s="109"/>
      <c r="PDV142" s="107" t="s">
        <v>1</v>
      </c>
      <c r="PDW142" s="108"/>
      <c r="PDX142" s="108"/>
      <c r="PDY142" s="109"/>
      <c r="PDZ142" s="107" t="s">
        <v>1</v>
      </c>
      <c r="PEA142" s="108"/>
      <c r="PEB142" s="108"/>
      <c r="PEC142" s="109"/>
      <c r="PED142" s="107" t="s">
        <v>1</v>
      </c>
      <c r="PEE142" s="108"/>
      <c r="PEF142" s="108"/>
      <c r="PEG142" s="109"/>
      <c r="PEH142" s="107" t="s">
        <v>1</v>
      </c>
      <c r="PEI142" s="108"/>
      <c r="PEJ142" s="108"/>
      <c r="PEK142" s="109"/>
      <c r="PEL142" s="107" t="s">
        <v>1</v>
      </c>
      <c r="PEM142" s="108"/>
      <c r="PEN142" s="108"/>
      <c r="PEO142" s="109"/>
      <c r="PEP142" s="107" t="s">
        <v>1</v>
      </c>
      <c r="PEQ142" s="108"/>
      <c r="PER142" s="108"/>
      <c r="PES142" s="109"/>
      <c r="PET142" s="107" t="s">
        <v>1</v>
      </c>
      <c r="PEU142" s="108"/>
      <c r="PEV142" s="108"/>
      <c r="PEW142" s="109"/>
      <c r="PEX142" s="107" t="s">
        <v>1</v>
      </c>
      <c r="PEY142" s="108"/>
      <c r="PEZ142" s="108"/>
      <c r="PFA142" s="109"/>
      <c r="PFB142" s="107" t="s">
        <v>1</v>
      </c>
      <c r="PFC142" s="108"/>
      <c r="PFD142" s="108"/>
      <c r="PFE142" s="109"/>
      <c r="PFF142" s="107" t="s">
        <v>1</v>
      </c>
      <c r="PFG142" s="108"/>
      <c r="PFH142" s="108"/>
      <c r="PFI142" s="109"/>
      <c r="PFJ142" s="107" t="s">
        <v>1</v>
      </c>
      <c r="PFK142" s="108"/>
      <c r="PFL142" s="108"/>
      <c r="PFM142" s="109"/>
      <c r="PFN142" s="107" t="s">
        <v>1</v>
      </c>
      <c r="PFO142" s="108"/>
      <c r="PFP142" s="108"/>
      <c r="PFQ142" s="109"/>
      <c r="PFR142" s="107" t="s">
        <v>1</v>
      </c>
      <c r="PFS142" s="108"/>
      <c r="PFT142" s="108"/>
      <c r="PFU142" s="109"/>
      <c r="PFV142" s="107" t="s">
        <v>1</v>
      </c>
      <c r="PFW142" s="108"/>
      <c r="PFX142" s="108"/>
      <c r="PFY142" s="109"/>
      <c r="PFZ142" s="107" t="s">
        <v>1</v>
      </c>
      <c r="PGA142" s="108"/>
      <c r="PGB142" s="108"/>
      <c r="PGC142" s="109"/>
      <c r="PGD142" s="107" t="s">
        <v>1</v>
      </c>
      <c r="PGE142" s="108"/>
      <c r="PGF142" s="108"/>
      <c r="PGG142" s="109"/>
      <c r="PGH142" s="107" t="s">
        <v>1</v>
      </c>
      <c r="PGI142" s="108"/>
      <c r="PGJ142" s="108"/>
      <c r="PGK142" s="109"/>
      <c r="PGL142" s="107" t="s">
        <v>1</v>
      </c>
      <c r="PGM142" s="108"/>
      <c r="PGN142" s="108"/>
      <c r="PGO142" s="109"/>
      <c r="PGP142" s="107" t="s">
        <v>1</v>
      </c>
      <c r="PGQ142" s="108"/>
      <c r="PGR142" s="108"/>
      <c r="PGS142" s="109"/>
      <c r="PGT142" s="107" t="s">
        <v>1</v>
      </c>
      <c r="PGU142" s="108"/>
      <c r="PGV142" s="108"/>
      <c r="PGW142" s="109"/>
      <c r="PGX142" s="107" t="s">
        <v>1</v>
      </c>
      <c r="PGY142" s="108"/>
      <c r="PGZ142" s="108"/>
      <c r="PHA142" s="109"/>
      <c r="PHB142" s="107" t="s">
        <v>1</v>
      </c>
      <c r="PHC142" s="108"/>
      <c r="PHD142" s="108"/>
      <c r="PHE142" s="109"/>
      <c r="PHF142" s="107" t="s">
        <v>1</v>
      </c>
      <c r="PHG142" s="108"/>
      <c r="PHH142" s="108"/>
      <c r="PHI142" s="109"/>
      <c r="PHJ142" s="107" t="s">
        <v>1</v>
      </c>
      <c r="PHK142" s="108"/>
      <c r="PHL142" s="108"/>
      <c r="PHM142" s="109"/>
      <c r="PHN142" s="107" t="s">
        <v>1</v>
      </c>
      <c r="PHO142" s="108"/>
      <c r="PHP142" s="108"/>
      <c r="PHQ142" s="109"/>
      <c r="PHR142" s="107" t="s">
        <v>1</v>
      </c>
      <c r="PHS142" s="108"/>
      <c r="PHT142" s="108"/>
      <c r="PHU142" s="109"/>
      <c r="PHV142" s="107" t="s">
        <v>1</v>
      </c>
      <c r="PHW142" s="108"/>
      <c r="PHX142" s="108"/>
      <c r="PHY142" s="109"/>
      <c r="PHZ142" s="107" t="s">
        <v>1</v>
      </c>
      <c r="PIA142" s="108"/>
      <c r="PIB142" s="108"/>
      <c r="PIC142" s="109"/>
      <c r="PID142" s="107" t="s">
        <v>1</v>
      </c>
      <c r="PIE142" s="108"/>
      <c r="PIF142" s="108"/>
      <c r="PIG142" s="109"/>
      <c r="PIH142" s="107" t="s">
        <v>1</v>
      </c>
      <c r="PII142" s="108"/>
      <c r="PIJ142" s="108"/>
      <c r="PIK142" s="109"/>
      <c r="PIL142" s="107" t="s">
        <v>1</v>
      </c>
      <c r="PIM142" s="108"/>
      <c r="PIN142" s="108"/>
      <c r="PIO142" s="109"/>
      <c r="PIP142" s="107" t="s">
        <v>1</v>
      </c>
      <c r="PIQ142" s="108"/>
      <c r="PIR142" s="108"/>
      <c r="PIS142" s="109"/>
      <c r="PIT142" s="107" t="s">
        <v>1</v>
      </c>
      <c r="PIU142" s="108"/>
      <c r="PIV142" s="108"/>
      <c r="PIW142" s="109"/>
      <c r="PIX142" s="107" t="s">
        <v>1</v>
      </c>
      <c r="PIY142" s="108"/>
      <c r="PIZ142" s="108"/>
      <c r="PJA142" s="109"/>
      <c r="PJB142" s="107" t="s">
        <v>1</v>
      </c>
      <c r="PJC142" s="108"/>
      <c r="PJD142" s="108"/>
      <c r="PJE142" s="109"/>
      <c r="PJF142" s="107" t="s">
        <v>1</v>
      </c>
      <c r="PJG142" s="108"/>
      <c r="PJH142" s="108"/>
      <c r="PJI142" s="109"/>
      <c r="PJJ142" s="107" t="s">
        <v>1</v>
      </c>
      <c r="PJK142" s="108"/>
      <c r="PJL142" s="108"/>
      <c r="PJM142" s="109"/>
      <c r="PJN142" s="107" t="s">
        <v>1</v>
      </c>
      <c r="PJO142" s="108"/>
      <c r="PJP142" s="108"/>
      <c r="PJQ142" s="109"/>
      <c r="PJR142" s="107" t="s">
        <v>1</v>
      </c>
      <c r="PJS142" s="108"/>
      <c r="PJT142" s="108"/>
      <c r="PJU142" s="109"/>
      <c r="PJV142" s="107" t="s">
        <v>1</v>
      </c>
      <c r="PJW142" s="108"/>
      <c r="PJX142" s="108"/>
      <c r="PJY142" s="109"/>
      <c r="PJZ142" s="107" t="s">
        <v>1</v>
      </c>
      <c r="PKA142" s="108"/>
      <c r="PKB142" s="108"/>
      <c r="PKC142" s="109"/>
      <c r="PKD142" s="107" t="s">
        <v>1</v>
      </c>
      <c r="PKE142" s="108"/>
      <c r="PKF142" s="108"/>
      <c r="PKG142" s="109"/>
      <c r="PKH142" s="107" t="s">
        <v>1</v>
      </c>
      <c r="PKI142" s="108"/>
      <c r="PKJ142" s="108"/>
      <c r="PKK142" s="109"/>
      <c r="PKL142" s="107" t="s">
        <v>1</v>
      </c>
      <c r="PKM142" s="108"/>
      <c r="PKN142" s="108"/>
      <c r="PKO142" s="109"/>
      <c r="PKP142" s="107" t="s">
        <v>1</v>
      </c>
      <c r="PKQ142" s="108"/>
      <c r="PKR142" s="108"/>
      <c r="PKS142" s="109"/>
      <c r="PKT142" s="107" t="s">
        <v>1</v>
      </c>
      <c r="PKU142" s="108"/>
      <c r="PKV142" s="108"/>
      <c r="PKW142" s="109"/>
      <c r="PKX142" s="107" t="s">
        <v>1</v>
      </c>
      <c r="PKY142" s="108"/>
      <c r="PKZ142" s="108"/>
      <c r="PLA142" s="109"/>
      <c r="PLB142" s="107" t="s">
        <v>1</v>
      </c>
      <c r="PLC142" s="108"/>
      <c r="PLD142" s="108"/>
      <c r="PLE142" s="109"/>
      <c r="PLF142" s="107" t="s">
        <v>1</v>
      </c>
      <c r="PLG142" s="108"/>
      <c r="PLH142" s="108"/>
      <c r="PLI142" s="109"/>
      <c r="PLJ142" s="107" t="s">
        <v>1</v>
      </c>
      <c r="PLK142" s="108"/>
      <c r="PLL142" s="108"/>
      <c r="PLM142" s="109"/>
      <c r="PLN142" s="107" t="s">
        <v>1</v>
      </c>
      <c r="PLO142" s="108"/>
      <c r="PLP142" s="108"/>
      <c r="PLQ142" s="109"/>
      <c r="PLR142" s="107" t="s">
        <v>1</v>
      </c>
      <c r="PLS142" s="108"/>
      <c r="PLT142" s="108"/>
      <c r="PLU142" s="109"/>
      <c r="PLV142" s="107" t="s">
        <v>1</v>
      </c>
      <c r="PLW142" s="108"/>
      <c r="PLX142" s="108"/>
      <c r="PLY142" s="109"/>
      <c r="PLZ142" s="107" t="s">
        <v>1</v>
      </c>
      <c r="PMA142" s="108"/>
      <c r="PMB142" s="108"/>
      <c r="PMC142" s="109"/>
      <c r="PMD142" s="107" t="s">
        <v>1</v>
      </c>
      <c r="PME142" s="108"/>
      <c r="PMF142" s="108"/>
      <c r="PMG142" s="109"/>
      <c r="PMH142" s="107" t="s">
        <v>1</v>
      </c>
      <c r="PMI142" s="108"/>
      <c r="PMJ142" s="108"/>
      <c r="PMK142" s="109"/>
      <c r="PML142" s="107" t="s">
        <v>1</v>
      </c>
      <c r="PMM142" s="108"/>
      <c r="PMN142" s="108"/>
      <c r="PMO142" s="109"/>
      <c r="PMP142" s="107" t="s">
        <v>1</v>
      </c>
      <c r="PMQ142" s="108"/>
      <c r="PMR142" s="108"/>
      <c r="PMS142" s="109"/>
      <c r="PMT142" s="107" t="s">
        <v>1</v>
      </c>
      <c r="PMU142" s="108"/>
      <c r="PMV142" s="108"/>
      <c r="PMW142" s="109"/>
      <c r="PMX142" s="107" t="s">
        <v>1</v>
      </c>
      <c r="PMY142" s="108"/>
      <c r="PMZ142" s="108"/>
      <c r="PNA142" s="109"/>
      <c r="PNB142" s="107" t="s">
        <v>1</v>
      </c>
      <c r="PNC142" s="108"/>
      <c r="PND142" s="108"/>
      <c r="PNE142" s="109"/>
      <c r="PNF142" s="107" t="s">
        <v>1</v>
      </c>
      <c r="PNG142" s="108"/>
      <c r="PNH142" s="108"/>
      <c r="PNI142" s="109"/>
      <c r="PNJ142" s="107" t="s">
        <v>1</v>
      </c>
      <c r="PNK142" s="108"/>
      <c r="PNL142" s="108"/>
      <c r="PNM142" s="109"/>
      <c r="PNN142" s="107" t="s">
        <v>1</v>
      </c>
      <c r="PNO142" s="108"/>
      <c r="PNP142" s="108"/>
      <c r="PNQ142" s="109"/>
      <c r="PNR142" s="107" t="s">
        <v>1</v>
      </c>
      <c r="PNS142" s="108"/>
      <c r="PNT142" s="108"/>
      <c r="PNU142" s="109"/>
      <c r="PNV142" s="107" t="s">
        <v>1</v>
      </c>
      <c r="PNW142" s="108"/>
      <c r="PNX142" s="108"/>
      <c r="PNY142" s="109"/>
      <c r="PNZ142" s="107" t="s">
        <v>1</v>
      </c>
      <c r="POA142" s="108"/>
      <c r="POB142" s="108"/>
      <c r="POC142" s="109"/>
      <c r="POD142" s="107" t="s">
        <v>1</v>
      </c>
      <c r="POE142" s="108"/>
      <c r="POF142" s="108"/>
      <c r="POG142" s="109"/>
      <c r="POH142" s="107" t="s">
        <v>1</v>
      </c>
      <c r="POI142" s="108"/>
      <c r="POJ142" s="108"/>
      <c r="POK142" s="109"/>
      <c r="POL142" s="107" t="s">
        <v>1</v>
      </c>
      <c r="POM142" s="108"/>
      <c r="PON142" s="108"/>
      <c r="POO142" s="109"/>
      <c r="POP142" s="107" t="s">
        <v>1</v>
      </c>
      <c r="POQ142" s="108"/>
      <c r="POR142" s="108"/>
      <c r="POS142" s="109"/>
      <c r="POT142" s="107" t="s">
        <v>1</v>
      </c>
      <c r="POU142" s="108"/>
      <c r="POV142" s="108"/>
      <c r="POW142" s="109"/>
      <c r="POX142" s="107" t="s">
        <v>1</v>
      </c>
      <c r="POY142" s="108"/>
      <c r="POZ142" s="108"/>
      <c r="PPA142" s="109"/>
      <c r="PPB142" s="107" t="s">
        <v>1</v>
      </c>
      <c r="PPC142" s="108"/>
      <c r="PPD142" s="108"/>
      <c r="PPE142" s="109"/>
      <c r="PPF142" s="107" t="s">
        <v>1</v>
      </c>
      <c r="PPG142" s="108"/>
      <c r="PPH142" s="108"/>
      <c r="PPI142" s="109"/>
      <c r="PPJ142" s="107" t="s">
        <v>1</v>
      </c>
      <c r="PPK142" s="108"/>
      <c r="PPL142" s="108"/>
      <c r="PPM142" s="109"/>
      <c r="PPN142" s="107" t="s">
        <v>1</v>
      </c>
      <c r="PPO142" s="108"/>
      <c r="PPP142" s="108"/>
      <c r="PPQ142" s="109"/>
      <c r="PPR142" s="107" t="s">
        <v>1</v>
      </c>
      <c r="PPS142" s="108"/>
      <c r="PPT142" s="108"/>
      <c r="PPU142" s="109"/>
      <c r="PPV142" s="107" t="s">
        <v>1</v>
      </c>
      <c r="PPW142" s="108"/>
      <c r="PPX142" s="108"/>
      <c r="PPY142" s="109"/>
      <c r="PPZ142" s="107" t="s">
        <v>1</v>
      </c>
      <c r="PQA142" s="108"/>
      <c r="PQB142" s="108"/>
      <c r="PQC142" s="109"/>
      <c r="PQD142" s="107" t="s">
        <v>1</v>
      </c>
      <c r="PQE142" s="108"/>
      <c r="PQF142" s="108"/>
      <c r="PQG142" s="109"/>
      <c r="PQH142" s="107" t="s">
        <v>1</v>
      </c>
      <c r="PQI142" s="108"/>
      <c r="PQJ142" s="108"/>
      <c r="PQK142" s="109"/>
      <c r="PQL142" s="107" t="s">
        <v>1</v>
      </c>
      <c r="PQM142" s="108"/>
      <c r="PQN142" s="108"/>
      <c r="PQO142" s="109"/>
      <c r="PQP142" s="107" t="s">
        <v>1</v>
      </c>
      <c r="PQQ142" s="108"/>
      <c r="PQR142" s="108"/>
      <c r="PQS142" s="109"/>
      <c r="PQT142" s="107" t="s">
        <v>1</v>
      </c>
      <c r="PQU142" s="108"/>
      <c r="PQV142" s="108"/>
      <c r="PQW142" s="109"/>
      <c r="PQX142" s="107" t="s">
        <v>1</v>
      </c>
      <c r="PQY142" s="108"/>
      <c r="PQZ142" s="108"/>
      <c r="PRA142" s="109"/>
      <c r="PRB142" s="107" t="s">
        <v>1</v>
      </c>
      <c r="PRC142" s="108"/>
      <c r="PRD142" s="108"/>
      <c r="PRE142" s="109"/>
      <c r="PRF142" s="107" t="s">
        <v>1</v>
      </c>
      <c r="PRG142" s="108"/>
      <c r="PRH142" s="108"/>
      <c r="PRI142" s="109"/>
      <c r="PRJ142" s="107" t="s">
        <v>1</v>
      </c>
      <c r="PRK142" s="108"/>
      <c r="PRL142" s="108"/>
      <c r="PRM142" s="109"/>
      <c r="PRN142" s="107" t="s">
        <v>1</v>
      </c>
      <c r="PRO142" s="108"/>
      <c r="PRP142" s="108"/>
      <c r="PRQ142" s="109"/>
      <c r="PRR142" s="107" t="s">
        <v>1</v>
      </c>
      <c r="PRS142" s="108"/>
      <c r="PRT142" s="108"/>
      <c r="PRU142" s="109"/>
      <c r="PRV142" s="107" t="s">
        <v>1</v>
      </c>
      <c r="PRW142" s="108"/>
      <c r="PRX142" s="108"/>
      <c r="PRY142" s="109"/>
      <c r="PRZ142" s="107" t="s">
        <v>1</v>
      </c>
      <c r="PSA142" s="108"/>
      <c r="PSB142" s="108"/>
      <c r="PSC142" s="109"/>
      <c r="PSD142" s="107" t="s">
        <v>1</v>
      </c>
      <c r="PSE142" s="108"/>
      <c r="PSF142" s="108"/>
      <c r="PSG142" s="109"/>
      <c r="PSH142" s="107" t="s">
        <v>1</v>
      </c>
      <c r="PSI142" s="108"/>
      <c r="PSJ142" s="108"/>
      <c r="PSK142" s="109"/>
      <c r="PSL142" s="107" t="s">
        <v>1</v>
      </c>
      <c r="PSM142" s="108"/>
      <c r="PSN142" s="108"/>
      <c r="PSO142" s="109"/>
      <c r="PSP142" s="107" t="s">
        <v>1</v>
      </c>
      <c r="PSQ142" s="108"/>
      <c r="PSR142" s="108"/>
      <c r="PSS142" s="109"/>
      <c r="PST142" s="107" t="s">
        <v>1</v>
      </c>
      <c r="PSU142" s="108"/>
      <c r="PSV142" s="108"/>
      <c r="PSW142" s="109"/>
      <c r="PSX142" s="107" t="s">
        <v>1</v>
      </c>
      <c r="PSY142" s="108"/>
      <c r="PSZ142" s="108"/>
      <c r="PTA142" s="109"/>
      <c r="PTB142" s="107" t="s">
        <v>1</v>
      </c>
      <c r="PTC142" s="108"/>
      <c r="PTD142" s="108"/>
      <c r="PTE142" s="109"/>
      <c r="PTF142" s="107" t="s">
        <v>1</v>
      </c>
      <c r="PTG142" s="108"/>
      <c r="PTH142" s="108"/>
      <c r="PTI142" s="109"/>
      <c r="PTJ142" s="107" t="s">
        <v>1</v>
      </c>
      <c r="PTK142" s="108"/>
      <c r="PTL142" s="108"/>
      <c r="PTM142" s="109"/>
      <c r="PTN142" s="107" t="s">
        <v>1</v>
      </c>
      <c r="PTO142" s="108"/>
      <c r="PTP142" s="108"/>
      <c r="PTQ142" s="109"/>
      <c r="PTR142" s="107" t="s">
        <v>1</v>
      </c>
      <c r="PTS142" s="108"/>
      <c r="PTT142" s="108"/>
      <c r="PTU142" s="109"/>
      <c r="PTV142" s="107" t="s">
        <v>1</v>
      </c>
      <c r="PTW142" s="108"/>
      <c r="PTX142" s="108"/>
      <c r="PTY142" s="109"/>
      <c r="PTZ142" s="107" t="s">
        <v>1</v>
      </c>
      <c r="PUA142" s="108"/>
      <c r="PUB142" s="108"/>
      <c r="PUC142" s="109"/>
      <c r="PUD142" s="107" t="s">
        <v>1</v>
      </c>
      <c r="PUE142" s="108"/>
      <c r="PUF142" s="108"/>
      <c r="PUG142" s="109"/>
      <c r="PUH142" s="107" t="s">
        <v>1</v>
      </c>
      <c r="PUI142" s="108"/>
      <c r="PUJ142" s="108"/>
      <c r="PUK142" s="109"/>
      <c r="PUL142" s="107" t="s">
        <v>1</v>
      </c>
      <c r="PUM142" s="108"/>
      <c r="PUN142" s="108"/>
      <c r="PUO142" s="109"/>
      <c r="PUP142" s="107" t="s">
        <v>1</v>
      </c>
      <c r="PUQ142" s="108"/>
      <c r="PUR142" s="108"/>
      <c r="PUS142" s="109"/>
      <c r="PUT142" s="107" t="s">
        <v>1</v>
      </c>
      <c r="PUU142" s="108"/>
      <c r="PUV142" s="108"/>
      <c r="PUW142" s="109"/>
      <c r="PUX142" s="107" t="s">
        <v>1</v>
      </c>
      <c r="PUY142" s="108"/>
      <c r="PUZ142" s="108"/>
      <c r="PVA142" s="109"/>
      <c r="PVB142" s="107" t="s">
        <v>1</v>
      </c>
      <c r="PVC142" s="108"/>
      <c r="PVD142" s="108"/>
      <c r="PVE142" s="109"/>
      <c r="PVF142" s="107" t="s">
        <v>1</v>
      </c>
      <c r="PVG142" s="108"/>
      <c r="PVH142" s="108"/>
      <c r="PVI142" s="109"/>
      <c r="PVJ142" s="107" t="s">
        <v>1</v>
      </c>
      <c r="PVK142" s="108"/>
      <c r="PVL142" s="108"/>
      <c r="PVM142" s="109"/>
      <c r="PVN142" s="107" t="s">
        <v>1</v>
      </c>
      <c r="PVO142" s="108"/>
      <c r="PVP142" s="108"/>
      <c r="PVQ142" s="109"/>
      <c r="PVR142" s="107" t="s">
        <v>1</v>
      </c>
      <c r="PVS142" s="108"/>
      <c r="PVT142" s="108"/>
      <c r="PVU142" s="109"/>
      <c r="PVV142" s="107" t="s">
        <v>1</v>
      </c>
      <c r="PVW142" s="108"/>
      <c r="PVX142" s="108"/>
      <c r="PVY142" s="109"/>
      <c r="PVZ142" s="107" t="s">
        <v>1</v>
      </c>
      <c r="PWA142" s="108"/>
      <c r="PWB142" s="108"/>
      <c r="PWC142" s="109"/>
      <c r="PWD142" s="107" t="s">
        <v>1</v>
      </c>
      <c r="PWE142" s="108"/>
      <c r="PWF142" s="108"/>
      <c r="PWG142" s="109"/>
      <c r="PWH142" s="107" t="s">
        <v>1</v>
      </c>
      <c r="PWI142" s="108"/>
      <c r="PWJ142" s="108"/>
      <c r="PWK142" s="109"/>
      <c r="PWL142" s="107" t="s">
        <v>1</v>
      </c>
      <c r="PWM142" s="108"/>
      <c r="PWN142" s="108"/>
      <c r="PWO142" s="109"/>
      <c r="PWP142" s="107" t="s">
        <v>1</v>
      </c>
      <c r="PWQ142" s="108"/>
      <c r="PWR142" s="108"/>
      <c r="PWS142" s="109"/>
      <c r="PWT142" s="107" t="s">
        <v>1</v>
      </c>
      <c r="PWU142" s="108"/>
      <c r="PWV142" s="108"/>
      <c r="PWW142" s="109"/>
      <c r="PWX142" s="107" t="s">
        <v>1</v>
      </c>
      <c r="PWY142" s="108"/>
      <c r="PWZ142" s="108"/>
      <c r="PXA142" s="109"/>
      <c r="PXB142" s="107" t="s">
        <v>1</v>
      </c>
      <c r="PXC142" s="108"/>
      <c r="PXD142" s="108"/>
      <c r="PXE142" s="109"/>
      <c r="PXF142" s="107" t="s">
        <v>1</v>
      </c>
      <c r="PXG142" s="108"/>
      <c r="PXH142" s="108"/>
      <c r="PXI142" s="109"/>
      <c r="PXJ142" s="107" t="s">
        <v>1</v>
      </c>
      <c r="PXK142" s="108"/>
      <c r="PXL142" s="108"/>
      <c r="PXM142" s="109"/>
      <c r="PXN142" s="107" t="s">
        <v>1</v>
      </c>
      <c r="PXO142" s="108"/>
      <c r="PXP142" s="108"/>
      <c r="PXQ142" s="109"/>
      <c r="PXR142" s="107" t="s">
        <v>1</v>
      </c>
      <c r="PXS142" s="108"/>
      <c r="PXT142" s="108"/>
      <c r="PXU142" s="109"/>
      <c r="PXV142" s="107" t="s">
        <v>1</v>
      </c>
      <c r="PXW142" s="108"/>
      <c r="PXX142" s="108"/>
      <c r="PXY142" s="109"/>
      <c r="PXZ142" s="107" t="s">
        <v>1</v>
      </c>
      <c r="PYA142" s="108"/>
      <c r="PYB142" s="108"/>
      <c r="PYC142" s="109"/>
      <c r="PYD142" s="107" t="s">
        <v>1</v>
      </c>
      <c r="PYE142" s="108"/>
      <c r="PYF142" s="108"/>
      <c r="PYG142" s="109"/>
      <c r="PYH142" s="107" t="s">
        <v>1</v>
      </c>
      <c r="PYI142" s="108"/>
      <c r="PYJ142" s="108"/>
      <c r="PYK142" s="109"/>
      <c r="PYL142" s="107" t="s">
        <v>1</v>
      </c>
      <c r="PYM142" s="108"/>
      <c r="PYN142" s="108"/>
      <c r="PYO142" s="109"/>
      <c r="PYP142" s="107" t="s">
        <v>1</v>
      </c>
      <c r="PYQ142" s="108"/>
      <c r="PYR142" s="108"/>
      <c r="PYS142" s="109"/>
      <c r="PYT142" s="107" t="s">
        <v>1</v>
      </c>
      <c r="PYU142" s="108"/>
      <c r="PYV142" s="108"/>
      <c r="PYW142" s="109"/>
      <c r="PYX142" s="107" t="s">
        <v>1</v>
      </c>
      <c r="PYY142" s="108"/>
      <c r="PYZ142" s="108"/>
      <c r="PZA142" s="109"/>
      <c r="PZB142" s="107" t="s">
        <v>1</v>
      </c>
      <c r="PZC142" s="108"/>
      <c r="PZD142" s="108"/>
      <c r="PZE142" s="109"/>
      <c r="PZF142" s="107" t="s">
        <v>1</v>
      </c>
      <c r="PZG142" s="108"/>
      <c r="PZH142" s="108"/>
      <c r="PZI142" s="109"/>
      <c r="PZJ142" s="107" t="s">
        <v>1</v>
      </c>
      <c r="PZK142" s="108"/>
      <c r="PZL142" s="108"/>
      <c r="PZM142" s="109"/>
      <c r="PZN142" s="107" t="s">
        <v>1</v>
      </c>
      <c r="PZO142" s="108"/>
      <c r="PZP142" s="108"/>
      <c r="PZQ142" s="109"/>
      <c r="PZR142" s="107" t="s">
        <v>1</v>
      </c>
      <c r="PZS142" s="108"/>
      <c r="PZT142" s="108"/>
      <c r="PZU142" s="109"/>
      <c r="PZV142" s="107" t="s">
        <v>1</v>
      </c>
      <c r="PZW142" s="108"/>
      <c r="PZX142" s="108"/>
      <c r="PZY142" s="109"/>
      <c r="PZZ142" s="107" t="s">
        <v>1</v>
      </c>
      <c r="QAA142" s="108"/>
      <c r="QAB142" s="108"/>
      <c r="QAC142" s="109"/>
      <c r="QAD142" s="107" t="s">
        <v>1</v>
      </c>
      <c r="QAE142" s="108"/>
      <c r="QAF142" s="108"/>
      <c r="QAG142" s="109"/>
      <c r="QAH142" s="107" t="s">
        <v>1</v>
      </c>
      <c r="QAI142" s="108"/>
      <c r="QAJ142" s="108"/>
      <c r="QAK142" s="109"/>
      <c r="QAL142" s="107" t="s">
        <v>1</v>
      </c>
      <c r="QAM142" s="108"/>
      <c r="QAN142" s="108"/>
      <c r="QAO142" s="109"/>
      <c r="QAP142" s="107" t="s">
        <v>1</v>
      </c>
      <c r="QAQ142" s="108"/>
      <c r="QAR142" s="108"/>
      <c r="QAS142" s="109"/>
      <c r="QAT142" s="107" t="s">
        <v>1</v>
      </c>
      <c r="QAU142" s="108"/>
      <c r="QAV142" s="108"/>
      <c r="QAW142" s="109"/>
      <c r="QAX142" s="107" t="s">
        <v>1</v>
      </c>
      <c r="QAY142" s="108"/>
      <c r="QAZ142" s="108"/>
      <c r="QBA142" s="109"/>
      <c r="QBB142" s="107" t="s">
        <v>1</v>
      </c>
      <c r="QBC142" s="108"/>
      <c r="QBD142" s="108"/>
      <c r="QBE142" s="109"/>
      <c r="QBF142" s="107" t="s">
        <v>1</v>
      </c>
      <c r="QBG142" s="108"/>
      <c r="QBH142" s="108"/>
      <c r="QBI142" s="109"/>
      <c r="QBJ142" s="107" t="s">
        <v>1</v>
      </c>
      <c r="QBK142" s="108"/>
      <c r="QBL142" s="108"/>
      <c r="QBM142" s="109"/>
      <c r="QBN142" s="107" t="s">
        <v>1</v>
      </c>
      <c r="QBO142" s="108"/>
      <c r="QBP142" s="108"/>
      <c r="QBQ142" s="109"/>
      <c r="QBR142" s="107" t="s">
        <v>1</v>
      </c>
      <c r="QBS142" s="108"/>
      <c r="QBT142" s="108"/>
      <c r="QBU142" s="109"/>
      <c r="QBV142" s="107" t="s">
        <v>1</v>
      </c>
      <c r="QBW142" s="108"/>
      <c r="QBX142" s="108"/>
      <c r="QBY142" s="109"/>
      <c r="QBZ142" s="107" t="s">
        <v>1</v>
      </c>
      <c r="QCA142" s="108"/>
      <c r="QCB142" s="108"/>
      <c r="QCC142" s="109"/>
      <c r="QCD142" s="107" t="s">
        <v>1</v>
      </c>
      <c r="QCE142" s="108"/>
      <c r="QCF142" s="108"/>
      <c r="QCG142" s="109"/>
      <c r="QCH142" s="107" t="s">
        <v>1</v>
      </c>
      <c r="QCI142" s="108"/>
      <c r="QCJ142" s="108"/>
      <c r="QCK142" s="109"/>
      <c r="QCL142" s="107" t="s">
        <v>1</v>
      </c>
      <c r="QCM142" s="108"/>
      <c r="QCN142" s="108"/>
      <c r="QCO142" s="109"/>
      <c r="QCP142" s="107" t="s">
        <v>1</v>
      </c>
      <c r="QCQ142" s="108"/>
      <c r="QCR142" s="108"/>
      <c r="QCS142" s="109"/>
      <c r="QCT142" s="107" t="s">
        <v>1</v>
      </c>
      <c r="QCU142" s="108"/>
      <c r="QCV142" s="108"/>
      <c r="QCW142" s="109"/>
      <c r="QCX142" s="107" t="s">
        <v>1</v>
      </c>
      <c r="QCY142" s="108"/>
      <c r="QCZ142" s="108"/>
      <c r="QDA142" s="109"/>
      <c r="QDB142" s="107" t="s">
        <v>1</v>
      </c>
      <c r="QDC142" s="108"/>
      <c r="QDD142" s="108"/>
      <c r="QDE142" s="109"/>
      <c r="QDF142" s="107" t="s">
        <v>1</v>
      </c>
      <c r="QDG142" s="108"/>
      <c r="QDH142" s="108"/>
      <c r="QDI142" s="109"/>
      <c r="QDJ142" s="107" t="s">
        <v>1</v>
      </c>
      <c r="QDK142" s="108"/>
      <c r="QDL142" s="108"/>
      <c r="QDM142" s="109"/>
      <c r="QDN142" s="107" t="s">
        <v>1</v>
      </c>
      <c r="QDO142" s="108"/>
      <c r="QDP142" s="108"/>
      <c r="QDQ142" s="109"/>
      <c r="QDR142" s="107" t="s">
        <v>1</v>
      </c>
      <c r="QDS142" s="108"/>
      <c r="QDT142" s="108"/>
      <c r="QDU142" s="109"/>
      <c r="QDV142" s="107" t="s">
        <v>1</v>
      </c>
      <c r="QDW142" s="108"/>
      <c r="QDX142" s="108"/>
      <c r="QDY142" s="109"/>
      <c r="QDZ142" s="107" t="s">
        <v>1</v>
      </c>
      <c r="QEA142" s="108"/>
      <c r="QEB142" s="108"/>
      <c r="QEC142" s="109"/>
      <c r="QED142" s="107" t="s">
        <v>1</v>
      </c>
      <c r="QEE142" s="108"/>
      <c r="QEF142" s="108"/>
      <c r="QEG142" s="109"/>
      <c r="QEH142" s="107" t="s">
        <v>1</v>
      </c>
      <c r="QEI142" s="108"/>
      <c r="QEJ142" s="108"/>
      <c r="QEK142" s="109"/>
      <c r="QEL142" s="107" t="s">
        <v>1</v>
      </c>
      <c r="QEM142" s="108"/>
      <c r="QEN142" s="108"/>
      <c r="QEO142" s="109"/>
      <c r="QEP142" s="107" t="s">
        <v>1</v>
      </c>
      <c r="QEQ142" s="108"/>
      <c r="QER142" s="108"/>
      <c r="QES142" s="109"/>
      <c r="QET142" s="107" t="s">
        <v>1</v>
      </c>
      <c r="QEU142" s="108"/>
      <c r="QEV142" s="108"/>
      <c r="QEW142" s="109"/>
      <c r="QEX142" s="107" t="s">
        <v>1</v>
      </c>
      <c r="QEY142" s="108"/>
      <c r="QEZ142" s="108"/>
      <c r="QFA142" s="109"/>
      <c r="QFB142" s="107" t="s">
        <v>1</v>
      </c>
      <c r="QFC142" s="108"/>
      <c r="QFD142" s="108"/>
      <c r="QFE142" s="109"/>
      <c r="QFF142" s="107" t="s">
        <v>1</v>
      </c>
      <c r="QFG142" s="108"/>
      <c r="QFH142" s="108"/>
      <c r="QFI142" s="109"/>
      <c r="QFJ142" s="107" t="s">
        <v>1</v>
      </c>
      <c r="QFK142" s="108"/>
      <c r="QFL142" s="108"/>
      <c r="QFM142" s="109"/>
      <c r="QFN142" s="107" t="s">
        <v>1</v>
      </c>
      <c r="QFO142" s="108"/>
      <c r="QFP142" s="108"/>
      <c r="QFQ142" s="109"/>
      <c r="QFR142" s="107" t="s">
        <v>1</v>
      </c>
      <c r="QFS142" s="108"/>
      <c r="QFT142" s="108"/>
      <c r="QFU142" s="109"/>
      <c r="QFV142" s="107" t="s">
        <v>1</v>
      </c>
      <c r="QFW142" s="108"/>
      <c r="QFX142" s="108"/>
      <c r="QFY142" s="109"/>
      <c r="QFZ142" s="107" t="s">
        <v>1</v>
      </c>
      <c r="QGA142" s="108"/>
      <c r="QGB142" s="108"/>
      <c r="QGC142" s="109"/>
      <c r="QGD142" s="107" t="s">
        <v>1</v>
      </c>
      <c r="QGE142" s="108"/>
      <c r="QGF142" s="108"/>
      <c r="QGG142" s="109"/>
      <c r="QGH142" s="107" t="s">
        <v>1</v>
      </c>
      <c r="QGI142" s="108"/>
      <c r="QGJ142" s="108"/>
      <c r="QGK142" s="109"/>
      <c r="QGL142" s="107" t="s">
        <v>1</v>
      </c>
      <c r="QGM142" s="108"/>
      <c r="QGN142" s="108"/>
      <c r="QGO142" s="109"/>
      <c r="QGP142" s="107" t="s">
        <v>1</v>
      </c>
      <c r="QGQ142" s="108"/>
      <c r="QGR142" s="108"/>
      <c r="QGS142" s="109"/>
      <c r="QGT142" s="107" t="s">
        <v>1</v>
      </c>
      <c r="QGU142" s="108"/>
      <c r="QGV142" s="108"/>
      <c r="QGW142" s="109"/>
      <c r="QGX142" s="107" t="s">
        <v>1</v>
      </c>
      <c r="QGY142" s="108"/>
      <c r="QGZ142" s="108"/>
      <c r="QHA142" s="109"/>
      <c r="QHB142" s="107" t="s">
        <v>1</v>
      </c>
      <c r="QHC142" s="108"/>
      <c r="QHD142" s="108"/>
      <c r="QHE142" s="109"/>
      <c r="QHF142" s="107" t="s">
        <v>1</v>
      </c>
      <c r="QHG142" s="108"/>
      <c r="QHH142" s="108"/>
      <c r="QHI142" s="109"/>
      <c r="QHJ142" s="107" t="s">
        <v>1</v>
      </c>
      <c r="QHK142" s="108"/>
      <c r="QHL142" s="108"/>
      <c r="QHM142" s="109"/>
      <c r="QHN142" s="107" t="s">
        <v>1</v>
      </c>
      <c r="QHO142" s="108"/>
      <c r="QHP142" s="108"/>
      <c r="QHQ142" s="109"/>
      <c r="QHR142" s="107" t="s">
        <v>1</v>
      </c>
      <c r="QHS142" s="108"/>
      <c r="QHT142" s="108"/>
      <c r="QHU142" s="109"/>
      <c r="QHV142" s="107" t="s">
        <v>1</v>
      </c>
      <c r="QHW142" s="108"/>
      <c r="QHX142" s="108"/>
      <c r="QHY142" s="109"/>
      <c r="QHZ142" s="107" t="s">
        <v>1</v>
      </c>
      <c r="QIA142" s="108"/>
      <c r="QIB142" s="108"/>
      <c r="QIC142" s="109"/>
      <c r="QID142" s="107" t="s">
        <v>1</v>
      </c>
      <c r="QIE142" s="108"/>
      <c r="QIF142" s="108"/>
      <c r="QIG142" s="109"/>
      <c r="QIH142" s="107" t="s">
        <v>1</v>
      </c>
      <c r="QII142" s="108"/>
      <c r="QIJ142" s="108"/>
      <c r="QIK142" s="109"/>
      <c r="QIL142" s="107" t="s">
        <v>1</v>
      </c>
      <c r="QIM142" s="108"/>
      <c r="QIN142" s="108"/>
      <c r="QIO142" s="109"/>
      <c r="QIP142" s="107" t="s">
        <v>1</v>
      </c>
      <c r="QIQ142" s="108"/>
      <c r="QIR142" s="108"/>
      <c r="QIS142" s="109"/>
      <c r="QIT142" s="107" t="s">
        <v>1</v>
      </c>
      <c r="QIU142" s="108"/>
      <c r="QIV142" s="108"/>
      <c r="QIW142" s="109"/>
      <c r="QIX142" s="107" t="s">
        <v>1</v>
      </c>
      <c r="QIY142" s="108"/>
      <c r="QIZ142" s="108"/>
      <c r="QJA142" s="109"/>
      <c r="QJB142" s="107" t="s">
        <v>1</v>
      </c>
      <c r="QJC142" s="108"/>
      <c r="QJD142" s="108"/>
      <c r="QJE142" s="109"/>
      <c r="QJF142" s="107" t="s">
        <v>1</v>
      </c>
      <c r="QJG142" s="108"/>
      <c r="QJH142" s="108"/>
      <c r="QJI142" s="109"/>
      <c r="QJJ142" s="107" t="s">
        <v>1</v>
      </c>
      <c r="QJK142" s="108"/>
      <c r="QJL142" s="108"/>
      <c r="QJM142" s="109"/>
      <c r="QJN142" s="107" t="s">
        <v>1</v>
      </c>
      <c r="QJO142" s="108"/>
      <c r="QJP142" s="108"/>
      <c r="QJQ142" s="109"/>
      <c r="QJR142" s="107" t="s">
        <v>1</v>
      </c>
      <c r="QJS142" s="108"/>
      <c r="QJT142" s="108"/>
      <c r="QJU142" s="109"/>
      <c r="QJV142" s="107" t="s">
        <v>1</v>
      </c>
      <c r="QJW142" s="108"/>
      <c r="QJX142" s="108"/>
      <c r="QJY142" s="109"/>
      <c r="QJZ142" s="107" t="s">
        <v>1</v>
      </c>
      <c r="QKA142" s="108"/>
      <c r="QKB142" s="108"/>
      <c r="QKC142" s="109"/>
      <c r="QKD142" s="107" t="s">
        <v>1</v>
      </c>
      <c r="QKE142" s="108"/>
      <c r="QKF142" s="108"/>
      <c r="QKG142" s="109"/>
      <c r="QKH142" s="107" t="s">
        <v>1</v>
      </c>
      <c r="QKI142" s="108"/>
      <c r="QKJ142" s="108"/>
      <c r="QKK142" s="109"/>
      <c r="QKL142" s="107" t="s">
        <v>1</v>
      </c>
      <c r="QKM142" s="108"/>
      <c r="QKN142" s="108"/>
      <c r="QKO142" s="109"/>
      <c r="QKP142" s="107" t="s">
        <v>1</v>
      </c>
      <c r="QKQ142" s="108"/>
      <c r="QKR142" s="108"/>
      <c r="QKS142" s="109"/>
      <c r="QKT142" s="107" t="s">
        <v>1</v>
      </c>
      <c r="QKU142" s="108"/>
      <c r="QKV142" s="108"/>
      <c r="QKW142" s="109"/>
      <c r="QKX142" s="107" t="s">
        <v>1</v>
      </c>
      <c r="QKY142" s="108"/>
      <c r="QKZ142" s="108"/>
      <c r="QLA142" s="109"/>
      <c r="QLB142" s="107" t="s">
        <v>1</v>
      </c>
      <c r="QLC142" s="108"/>
      <c r="QLD142" s="108"/>
      <c r="QLE142" s="109"/>
      <c r="QLF142" s="107" t="s">
        <v>1</v>
      </c>
      <c r="QLG142" s="108"/>
      <c r="QLH142" s="108"/>
      <c r="QLI142" s="109"/>
      <c r="QLJ142" s="107" t="s">
        <v>1</v>
      </c>
      <c r="QLK142" s="108"/>
      <c r="QLL142" s="108"/>
      <c r="QLM142" s="109"/>
      <c r="QLN142" s="107" t="s">
        <v>1</v>
      </c>
      <c r="QLO142" s="108"/>
      <c r="QLP142" s="108"/>
      <c r="QLQ142" s="109"/>
      <c r="QLR142" s="107" t="s">
        <v>1</v>
      </c>
      <c r="QLS142" s="108"/>
      <c r="QLT142" s="108"/>
      <c r="QLU142" s="109"/>
      <c r="QLV142" s="107" t="s">
        <v>1</v>
      </c>
      <c r="QLW142" s="108"/>
      <c r="QLX142" s="108"/>
      <c r="QLY142" s="109"/>
      <c r="QLZ142" s="107" t="s">
        <v>1</v>
      </c>
      <c r="QMA142" s="108"/>
      <c r="QMB142" s="108"/>
      <c r="QMC142" s="109"/>
      <c r="QMD142" s="107" t="s">
        <v>1</v>
      </c>
      <c r="QME142" s="108"/>
      <c r="QMF142" s="108"/>
      <c r="QMG142" s="109"/>
      <c r="QMH142" s="107" t="s">
        <v>1</v>
      </c>
      <c r="QMI142" s="108"/>
      <c r="QMJ142" s="108"/>
      <c r="QMK142" s="109"/>
      <c r="QML142" s="107" t="s">
        <v>1</v>
      </c>
      <c r="QMM142" s="108"/>
      <c r="QMN142" s="108"/>
      <c r="QMO142" s="109"/>
      <c r="QMP142" s="107" t="s">
        <v>1</v>
      </c>
      <c r="QMQ142" s="108"/>
      <c r="QMR142" s="108"/>
      <c r="QMS142" s="109"/>
      <c r="QMT142" s="107" t="s">
        <v>1</v>
      </c>
      <c r="QMU142" s="108"/>
      <c r="QMV142" s="108"/>
      <c r="QMW142" s="109"/>
      <c r="QMX142" s="107" t="s">
        <v>1</v>
      </c>
      <c r="QMY142" s="108"/>
      <c r="QMZ142" s="108"/>
      <c r="QNA142" s="109"/>
      <c r="QNB142" s="107" t="s">
        <v>1</v>
      </c>
      <c r="QNC142" s="108"/>
      <c r="QND142" s="108"/>
      <c r="QNE142" s="109"/>
      <c r="QNF142" s="107" t="s">
        <v>1</v>
      </c>
      <c r="QNG142" s="108"/>
      <c r="QNH142" s="108"/>
      <c r="QNI142" s="109"/>
      <c r="QNJ142" s="107" t="s">
        <v>1</v>
      </c>
      <c r="QNK142" s="108"/>
      <c r="QNL142" s="108"/>
      <c r="QNM142" s="109"/>
      <c r="QNN142" s="107" t="s">
        <v>1</v>
      </c>
      <c r="QNO142" s="108"/>
      <c r="QNP142" s="108"/>
      <c r="QNQ142" s="109"/>
      <c r="QNR142" s="107" t="s">
        <v>1</v>
      </c>
      <c r="QNS142" s="108"/>
      <c r="QNT142" s="108"/>
      <c r="QNU142" s="109"/>
      <c r="QNV142" s="107" t="s">
        <v>1</v>
      </c>
      <c r="QNW142" s="108"/>
      <c r="QNX142" s="108"/>
      <c r="QNY142" s="109"/>
      <c r="QNZ142" s="107" t="s">
        <v>1</v>
      </c>
      <c r="QOA142" s="108"/>
      <c r="QOB142" s="108"/>
      <c r="QOC142" s="109"/>
      <c r="QOD142" s="107" t="s">
        <v>1</v>
      </c>
      <c r="QOE142" s="108"/>
      <c r="QOF142" s="108"/>
      <c r="QOG142" s="109"/>
      <c r="QOH142" s="107" t="s">
        <v>1</v>
      </c>
      <c r="QOI142" s="108"/>
      <c r="QOJ142" s="108"/>
      <c r="QOK142" s="109"/>
      <c r="QOL142" s="107" t="s">
        <v>1</v>
      </c>
      <c r="QOM142" s="108"/>
      <c r="QON142" s="108"/>
      <c r="QOO142" s="109"/>
      <c r="QOP142" s="107" t="s">
        <v>1</v>
      </c>
      <c r="QOQ142" s="108"/>
      <c r="QOR142" s="108"/>
      <c r="QOS142" s="109"/>
      <c r="QOT142" s="107" t="s">
        <v>1</v>
      </c>
      <c r="QOU142" s="108"/>
      <c r="QOV142" s="108"/>
      <c r="QOW142" s="109"/>
      <c r="QOX142" s="107" t="s">
        <v>1</v>
      </c>
      <c r="QOY142" s="108"/>
      <c r="QOZ142" s="108"/>
      <c r="QPA142" s="109"/>
      <c r="QPB142" s="107" t="s">
        <v>1</v>
      </c>
      <c r="QPC142" s="108"/>
      <c r="QPD142" s="108"/>
      <c r="QPE142" s="109"/>
      <c r="QPF142" s="107" t="s">
        <v>1</v>
      </c>
      <c r="QPG142" s="108"/>
      <c r="QPH142" s="108"/>
      <c r="QPI142" s="109"/>
      <c r="QPJ142" s="107" t="s">
        <v>1</v>
      </c>
      <c r="QPK142" s="108"/>
      <c r="QPL142" s="108"/>
      <c r="QPM142" s="109"/>
      <c r="QPN142" s="107" t="s">
        <v>1</v>
      </c>
      <c r="QPO142" s="108"/>
      <c r="QPP142" s="108"/>
      <c r="QPQ142" s="109"/>
      <c r="QPR142" s="107" t="s">
        <v>1</v>
      </c>
      <c r="QPS142" s="108"/>
      <c r="QPT142" s="108"/>
      <c r="QPU142" s="109"/>
      <c r="QPV142" s="107" t="s">
        <v>1</v>
      </c>
      <c r="QPW142" s="108"/>
      <c r="QPX142" s="108"/>
      <c r="QPY142" s="109"/>
      <c r="QPZ142" s="107" t="s">
        <v>1</v>
      </c>
      <c r="QQA142" s="108"/>
      <c r="QQB142" s="108"/>
      <c r="QQC142" s="109"/>
      <c r="QQD142" s="107" t="s">
        <v>1</v>
      </c>
      <c r="QQE142" s="108"/>
      <c r="QQF142" s="108"/>
      <c r="QQG142" s="109"/>
      <c r="QQH142" s="107" t="s">
        <v>1</v>
      </c>
      <c r="QQI142" s="108"/>
      <c r="QQJ142" s="108"/>
      <c r="QQK142" s="109"/>
      <c r="QQL142" s="107" t="s">
        <v>1</v>
      </c>
      <c r="QQM142" s="108"/>
      <c r="QQN142" s="108"/>
      <c r="QQO142" s="109"/>
      <c r="QQP142" s="107" t="s">
        <v>1</v>
      </c>
      <c r="QQQ142" s="108"/>
      <c r="QQR142" s="108"/>
      <c r="QQS142" s="109"/>
      <c r="QQT142" s="107" t="s">
        <v>1</v>
      </c>
      <c r="QQU142" s="108"/>
      <c r="QQV142" s="108"/>
      <c r="QQW142" s="109"/>
      <c r="QQX142" s="107" t="s">
        <v>1</v>
      </c>
      <c r="QQY142" s="108"/>
      <c r="QQZ142" s="108"/>
      <c r="QRA142" s="109"/>
      <c r="QRB142" s="107" t="s">
        <v>1</v>
      </c>
      <c r="QRC142" s="108"/>
      <c r="QRD142" s="108"/>
      <c r="QRE142" s="109"/>
      <c r="QRF142" s="107" t="s">
        <v>1</v>
      </c>
      <c r="QRG142" s="108"/>
      <c r="QRH142" s="108"/>
      <c r="QRI142" s="109"/>
      <c r="QRJ142" s="107" t="s">
        <v>1</v>
      </c>
      <c r="QRK142" s="108"/>
      <c r="QRL142" s="108"/>
      <c r="QRM142" s="109"/>
      <c r="QRN142" s="107" t="s">
        <v>1</v>
      </c>
      <c r="QRO142" s="108"/>
      <c r="QRP142" s="108"/>
      <c r="QRQ142" s="109"/>
      <c r="QRR142" s="107" t="s">
        <v>1</v>
      </c>
      <c r="QRS142" s="108"/>
      <c r="QRT142" s="108"/>
      <c r="QRU142" s="109"/>
      <c r="QRV142" s="107" t="s">
        <v>1</v>
      </c>
      <c r="QRW142" s="108"/>
      <c r="QRX142" s="108"/>
      <c r="QRY142" s="109"/>
      <c r="QRZ142" s="107" t="s">
        <v>1</v>
      </c>
      <c r="QSA142" s="108"/>
      <c r="QSB142" s="108"/>
      <c r="QSC142" s="109"/>
      <c r="QSD142" s="107" t="s">
        <v>1</v>
      </c>
      <c r="QSE142" s="108"/>
      <c r="QSF142" s="108"/>
      <c r="QSG142" s="109"/>
      <c r="QSH142" s="107" t="s">
        <v>1</v>
      </c>
      <c r="QSI142" s="108"/>
      <c r="QSJ142" s="108"/>
      <c r="QSK142" s="109"/>
      <c r="QSL142" s="107" t="s">
        <v>1</v>
      </c>
      <c r="QSM142" s="108"/>
      <c r="QSN142" s="108"/>
      <c r="QSO142" s="109"/>
      <c r="QSP142" s="107" t="s">
        <v>1</v>
      </c>
      <c r="QSQ142" s="108"/>
      <c r="QSR142" s="108"/>
      <c r="QSS142" s="109"/>
      <c r="QST142" s="107" t="s">
        <v>1</v>
      </c>
      <c r="QSU142" s="108"/>
      <c r="QSV142" s="108"/>
      <c r="QSW142" s="109"/>
      <c r="QSX142" s="107" t="s">
        <v>1</v>
      </c>
      <c r="QSY142" s="108"/>
      <c r="QSZ142" s="108"/>
      <c r="QTA142" s="109"/>
      <c r="QTB142" s="107" t="s">
        <v>1</v>
      </c>
      <c r="QTC142" s="108"/>
      <c r="QTD142" s="108"/>
      <c r="QTE142" s="109"/>
      <c r="QTF142" s="107" t="s">
        <v>1</v>
      </c>
      <c r="QTG142" s="108"/>
      <c r="QTH142" s="108"/>
      <c r="QTI142" s="109"/>
      <c r="QTJ142" s="107" t="s">
        <v>1</v>
      </c>
      <c r="QTK142" s="108"/>
      <c r="QTL142" s="108"/>
      <c r="QTM142" s="109"/>
      <c r="QTN142" s="107" t="s">
        <v>1</v>
      </c>
      <c r="QTO142" s="108"/>
      <c r="QTP142" s="108"/>
      <c r="QTQ142" s="109"/>
      <c r="QTR142" s="107" t="s">
        <v>1</v>
      </c>
      <c r="QTS142" s="108"/>
      <c r="QTT142" s="108"/>
      <c r="QTU142" s="109"/>
      <c r="QTV142" s="107" t="s">
        <v>1</v>
      </c>
      <c r="QTW142" s="108"/>
      <c r="QTX142" s="108"/>
      <c r="QTY142" s="109"/>
      <c r="QTZ142" s="107" t="s">
        <v>1</v>
      </c>
      <c r="QUA142" s="108"/>
      <c r="QUB142" s="108"/>
      <c r="QUC142" s="109"/>
      <c r="QUD142" s="107" t="s">
        <v>1</v>
      </c>
      <c r="QUE142" s="108"/>
      <c r="QUF142" s="108"/>
      <c r="QUG142" s="109"/>
      <c r="QUH142" s="107" t="s">
        <v>1</v>
      </c>
      <c r="QUI142" s="108"/>
      <c r="QUJ142" s="108"/>
      <c r="QUK142" s="109"/>
      <c r="QUL142" s="107" t="s">
        <v>1</v>
      </c>
      <c r="QUM142" s="108"/>
      <c r="QUN142" s="108"/>
      <c r="QUO142" s="109"/>
      <c r="QUP142" s="107" t="s">
        <v>1</v>
      </c>
      <c r="QUQ142" s="108"/>
      <c r="QUR142" s="108"/>
      <c r="QUS142" s="109"/>
      <c r="QUT142" s="107" t="s">
        <v>1</v>
      </c>
      <c r="QUU142" s="108"/>
      <c r="QUV142" s="108"/>
      <c r="QUW142" s="109"/>
      <c r="QUX142" s="107" t="s">
        <v>1</v>
      </c>
      <c r="QUY142" s="108"/>
      <c r="QUZ142" s="108"/>
      <c r="QVA142" s="109"/>
      <c r="QVB142" s="107" t="s">
        <v>1</v>
      </c>
      <c r="QVC142" s="108"/>
      <c r="QVD142" s="108"/>
      <c r="QVE142" s="109"/>
      <c r="QVF142" s="107" t="s">
        <v>1</v>
      </c>
      <c r="QVG142" s="108"/>
      <c r="QVH142" s="108"/>
      <c r="QVI142" s="109"/>
      <c r="QVJ142" s="107" t="s">
        <v>1</v>
      </c>
      <c r="QVK142" s="108"/>
      <c r="QVL142" s="108"/>
      <c r="QVM142" s="109"/>
      <c r="QVN142" s="107" t="s">
        <v>1</v>
      </c>
      <c r="QVO142" s="108"/>
      <c r="QVP142" s="108"/>
      <c r="QVQ142" s="109"/>
      <c r="QVR142" s="107" t="s">
        <v>1</v>
      </c>
      <c r="QVS142" s="108"/>
      <c r="QVT142" s="108"/>
      <c r="QVU142" s="109"/>
      <c r="QVV142" s="107" t="s">
        <v>1</v>
      </c>
      <c r="QVW142" s="108"/>
      <c r="QVX142" s="108"/>
      <c r="QVY142" s="109"/>
      <c r="QVZ142" s="107" t="s">
        <v>1</v>
      </c>
      <c r="QWA142" s="108"/>
      <c r="QWB142" s="108"/>
      <c r="QWC142" s="109"/>
      <c r="QWD142" s="107" t="s">
        <v>1</v>
      </c>
      <c r="QWE142" s="108"/>
      <c r="QWF142" s="108"/>
      <c r="QWG142" s="109"/>
      <c r="QWH142" s="107" t="s">
        <v>1</v>
      </c>
      <c r="QWI142" s="108"/>
      <c r="QWJ142" s="108"/>
      <c r="QWK142" s="109"/>
      <c r="QWL142" s="107" t="s">
        <v>1</v>
      </c>
      <c r="QWM142" s="108"/>
      <c r="QWN142" s="108"/>
      <c r="QWO142" s="109"/>
      <c r="QWP142" s="107" t="s">
        <v>1</v>
      </c>
      <c r="QWQ142" s="108"/>
      <c r="QWR142" s="108"/>
      <c r="QWS142" s="109"/>
      <c r="QWT142" s="107" t="s">
        <v>1</v>
      </c>
      <c r="QWU142" s="108"/>
      <c r="QWV142" s="108"/>
      <c r="QWW142" s="109"/>
      <c r="QWX142" s="107" t="s">
        <v>1</v>
      </c>
      <c r="QWY142" s="108"/>
      <c r="QWZ142" s="108"/>
      <c r="QXA142" s="109"/>
      <c r="QXB142" s="107" t="s">
        <v>1</v>
      </c>
      <c r="QXC142" s="108"/>
      <c r="QXD142" s="108"/>
      <c r="QXE142" s="109"/>
      <c r="QXF142" s="107" t="s">
        <v>1</v>
      </c>
      <c r="QXG142" s="108"/>
      <c r="QXH142" s="108"/>
      <c r="QXI142" s="109"/>
      <c r="QXJ142" s="107" t="s">
        <v>1</v>
      </c>
      <c r="QXK142" s="108"/>
      <c r="QXL142" s="108"/>
      <c r="QXM142" s="109"/>
      <c r="QXN142" s="107" t="s">
        <v>1</v>
      </c>
      <c r="QXO142" s="108"/>
      <c r="QXP142" s="108"/>
      <c r="QXQ142" s="109"/>
      <c r="QXR142" s="107" t="s">
        <v>1</v>
      </c>
      <c r="QXS142" s="108"/>
      <c r="QXT142" s="108"/>
      <c r="QXU142" s="109"/>
      <c r="QXV142" s="107" t="s">
        <v>1</v>
      </c>
      <c r="QXW142" s="108"/>
      <c r="QXX142" s="108"/>
      <c r="QXY142" s="109"/>
      <c r="QXZ142" s="107" t="s">
        <v>1</v>
      </c>
      <c r="QYA142" s="108"/>
      <c r="QYB142" s="108"/>
      <c r="QYC142" s="109"/>
      <c r="QYD142" s="107" t="s">
        <v>1</v>
      </c>
      <c r="QYE142" s="108"/>
      <c r="QYF142" s="108"/>
      <c r="QYG142" s="109"/>
      <c r="QYH142" s="107" t="s">
        <v>1</v>
      </c>
      <c r="QYI142" s="108"/>
      <c r="QYJ142" s="108"/>
      <c r="QYK142" s="109"/>
      <c r="QYL142" s="107" t="s">
        <v>1</v>
      </c>
      <c r="QYM142" s="108"/>
      <c r="QYN142" s="108"/>
      <c r="QYO142" s="109"/>
      <c r="QYP142" s="107" t="s">
        <v>1</v>
      </c>
      <c r="QYQ142" s="108"/>
      <c r="QYR142" s="108"/>
      <c r="QYS142" s="109"/>
      <c r="QYT142" s="107" t="s">
        <v>1</v>
      </c>
      <c r="QYU142" s="108"/>
      <c r="QYV142" s="108"/>
      <c r="QYW142" s="109"/>
      <c r="QYX142" s="107" t="s">
        <v>1</v>
      </c>
      <c r="QYY142" s="108"/>
      <c r="QYZ142" s="108"/>
      <c r="QZA142" s="109"/>
      <c r="QZB142" s="107" t="s">
        <v>1</v>
      </c>
      <c r="QZC142" s="108"/>
      <c r="QZD142" s="108"/>
      <c r="QZE142" s="109"/>
      <c r="QZF142" s="107" t="s">
        <v>1</v>
      </c>
      <c r="QZG142" s="108"/>
      <c r="QZH142" s="108"/>
      <c r="QZI142" s="109"/>
      <c r="QZJ142" s="107" t="s">
        <v>1</v>
      </c>
      <c r="QZK142" s="108"/>
      <c r="QZL142" s="108"/>
      <c r="QZM142" s="109"/>
      <c r="QZN142" s="107" t="s">
        <v>1</v>
      </c>
      <c r="QZO142" s="108"/>
      <c r="QZP142" s="108"/>
      <c r="QZQ142" s="109"/>
      <c r="QZR142" s="107" t="s">
        <v>1</v>
      </c>
      <c r="QZS142" s="108"/>
      <c r="QZT142" s="108"/>
      <c r="QZU142" s="109"/>
      <c r="QZV142" s="107" t="s">
        <v>1</v>
      </c>
      <c r="QZW142" s="108"/>
      <c r="QZX142" s="108"/>
      <c r="QZY142" s="109"/>
      <c r="QZZ142" s="107" t="s">
        <v>1</v>
      </c>
      <c r="RAA142" s="108"/>
      <c r="RAB142" s="108"/>
      <c r="RAC142" s="109"/>
      <c r="RAD142" s="107" t="s">
        <v>1</v>
      </c>
      <c r="RAE142" s="108"/>
      <c r="RAF142" s="108"/>
      <c r="RAG142" s="109"/>
      <c r="RAH142" s="107" t="s">
        <v>1</v>
      </c>
      <c r="RAI142" s="108"/>
      <c r="RAJ142" s="108"/>
      <c r="RAK142" s="109"/>
      <c r="RAL142" s="107" t="s">
        <v>1</v>
      </c>
      <c r="RAM142" s="108"/>
      <c r="RAN142" s="108"/>
      <c r="RAO142" s="109"/>
      <c r="RAP142" s="107" t="s">
        <v>1</v>
      </c>
      <c r="RAQ142" s="108"/>
      <c r="RAR142" s="108"/>
      <c r="RAS142" s="109"/>
      <c r="RAT142" s="107" t="s">
        <v>1</v>
      </c>
      <c r="RAU142" s="108"/>
      <c r="RAV142" s="108"/>
      <c r="RAW142" s="109"/>
      <c r="RAX142" s="107" t="s">
        <v>1</v>
      </c>
      <c r="RAY142" s="108"/>
      <c r="RAZ142" s="108"/>
      <c r="RBA142" s="109"/>
      <c r="RBB142" s="107" t="s">
        <v>1</v>
      </c>
      <c r="RBC142" s="108"/>
      <c r="RBD142" s="108"/>
      <c r="RBE142" s="109"/>
      <c r="RBF142" s="107" t="s">
        <v>1</v>
      </c>
      <c r="RBG142" s="108"/>
      <c r="RBH142" s="108"/>
      <c r="RBI142" s="109"/>
      <c r="RBJ142" s="107" t="s">
        <v>1</v>
      </c>
      <c r="RBK142" s="108"/>
      <c r="RBL142" s="108"/>
      <c r="RBM142" s="109"/>
      <c r="RBN142" s="107" t="s">
        <v>1</v>
      </c>
      <c r="RBO142" s="108"/>
      <c r="RBP142" s="108"/>
      <c r="RBQ142" s="109"/>
      <c r="RBR142" s="107" t="s">
        <v>1</v>
      </c>
      <c r="RBS142" s="108"/>
      <c r="RBT142" s="108"/>
      <c r="RBU142" s="109"/>
      <c r="RBV142" s="107" t="s">
        <v>1</v>
      </c>
      <c r="RBW142" s="108"/>
      <c r="RBX142" s="108"/>
      <c r="RBY142" s="109"/>
      <c r="RBZ142" s="107" t="s">
        <v>1</v>
      </c>
      <c r="RCA142" s="108"/>
      <c r="RCB142" s="108"/>
      <c r="RCC142" s="109"/>
      <c r="RCD142" s="107" t="s">
        <v>1</v>
      </c>
      <c r="RCE142" s="108"/>
      <c r="RCF142" s="108"/>
      <c r="RCG142" s="109"/>
      <c r="RCH142" s="107" t="s">
        <v>1</v>
      </c>
      <c r="RCI142" s="108"/>
      <c r="RCJ142" s="108"/>
      <c r="RCK142" s="109"/>
      <c r="RCL142" s="107" t="s">
        <v>1</v>
      </c>
      <c r="RCM142" s="108"/>
      <c r="RCN142" s="108"/>
      <c r="RCO142" s="109"/>
      <c r="RCP142" s="107" t="s">
        <v>1</v>
      </c>
      <c r="RCQ142" s="108"/>
      <c r="RCR142" s="108"/>
      <c r="RCS142" s="109"/>
      <c r="RCT142" s="107" t="s">
        <v>1</v>
      </c>
      <c r="RCU142" s="108"/>
      <c r="RCV142" s="108"/>
      <c r="RCW142" s="109"/>
      <c r="RCX142" s="107" t="s">
        <v>1</v>
      </c>
      <c r="RCY142" s="108"/>
      <c r="RCZ142" s="108"/>
      <c r="RDA142" s="109"/>
      <c r="RDB142" s="107" t="s">
        <v>1</v>
      </c>
      <c r="RDC142" s="108"/>
      <c r="RDD142" s="108"/>
      <c r="RDE142" s="109"/>
      <c r="RDF142" s="107" t="s">
        <v>1</v>
      </c>
      <c r="RDG142" s="108"/>
      <c r="RDH142" s="108"/>
      <c r="RDI142" s="109"/>
      <c r="RDJ142" s="107" t="s">
        <v>1</v>
      </c>
      <c r="RDK142" s="108"/>
      <c r="RDL142" s="108"/>
      <c r="RDM142" s="109"/>
      <c r="RDN142" s="107" t="s">
        <v>1</v>
      </c>
      <c r="RDO142" s="108"/>
      <c r="RDP142" s="108"/>
      <c r="RDQ142" s="109"/>
      <c r="RDR142" s="107" t="s">
        <v>1</v>
      </c>
      <c r="RDS142" s="108"/>
      <c r="RDT142" s="108"/>
      <c r="RDU142" s="109"/>
      <c r="RDV142" s="107" t="s">
        <v>1</v>
      </c>
      <c r="RDW142" s="108"/>
      <c r="RDX142" s="108"/>
      <c r="RDY142" s="109"/>
      <c r="RDZ142" s="107" t="s">
        <v>1</v>
      </c>
      <c r="REA142" s="108"/>
      <c r="REB142" s="108"/>
      <c r="REC142" s="109"/>
      <c r="RED142" s="107" t="s">
        <v>1</v>
      </c>
      <c r="REE142" s="108"/>
      <c r="REF142" s="108"/>
      <c r="REG142" s="109"/>
      <c r="REH142" s="107" t="s">
        <v>1</v>
      </c>
      <c r="REI142" s="108"/>
      <c r="REJ142" s="108"/>
      <c r="REK142" s="109"/>
      <c r="REL142" s="107" t="s">
        <v>1</v>
      </c>
      <c r="REM142" s="108"/>
      <c r="REN142" s="108"/>
      <c r="REO142" s="109"/>
      <c r="REP142" s="107" t="s">
        <v>1</v>
      </c>
      <c r="REQ142" s="108"/>
      <c r="RER142" s="108"/>
      <c r="RES142" s="109"/>
      <c r="RET142" s="107" t="s">
        <v>1</v>
      </c>
      <c r="REU142" s="108"/>
      <c r="REV142" s="108"/>
      <c r="REW142" s="109"/>
      <c r="REX142" s="107" t="s">
        <v>1</v>
      </c>
      <c r="REY142" s="108"/>
      <c r="REZ142" s="108"/>
      <c r="RFA142" s="109"/>
      <c r="RFB142" s="107" t="s">
        <v>1</v>
      </c>
      <c r="RFC142" s="108"/>
      <c r="RFD142" s="108"/>
      <c r="RFE142" s="109"/>
      <c r="RFF142" s="107" t="s">
        <v>1</v>
      </c>
      <c r="RFG142" s="108"/>
      <c r="RFH142" s="108"/>
      <c r="RFI142" s="109"/>
      <c r="RFJ142" s="107" t="s">
        <v>1</v>
      </c>
      <c r="RFK142" s="108"/>
      <c r="RFL142" s="108"/>
      <c r="RFM142" s="109"/>
      <c r="RFN142" s="107" t="s">
        <v>1</v>
      </c>
      <c r="RFO142" s="108"/>
      <c r="RFP142" s="108"/>
      <c r="RFQ142" s="109"/>
      <c r="RFR142" s="107" t="s">
        <v>1</v>
      </c>
      <c r="RFS142" s="108"/>
      <c r="RFT142" s="108"/>
      <c r="RFU142" s="109"/>
      <c r="RFV142" s="107" t="s">
        <v>1</v>
      </c>
      <c r="RFW142" s="108"/>
      <c r="RFX142" s="108"/>
      <c r="RFY142" s="109"/>
      <c r="RFZ142" s="107" t="s">
        <v>1</v>
      </c>
      <c r="RGA142" s="108"/>
      <c r="RGB142" s="108"/>
      <c r="RGC142" s="109"/>
      <c r="RGD142" s="107" t="s">
        <v>1</v>
      </c>
      <c r="RGE142" s="108"/>
      <c r="RGF142" s="108"/>
      <c r="RGG142" s="109"/>
      <c r="RGH142" s="107" t="s">
        <v>1</v>
      </c>
      <c r="RGI142" s="108"/>
      <c r="RGJ142" s="108"/>
      <c r="RGK142" s="109"/>
      <c r="RGL142" s="107" t="s">
        <v>1</v>
      </c>
      <c r="RGM142" s="108"/>
      <c r="RGN142" s="108"/>
      <c r="RGO142" s="109"/>
      <c r="RGP142" s="107" t="s">
        <v>1</v>
      </c>
      <c r="RGQ142" s="108"/>
      <c r="RGR142" s="108"/>
      <c r="RGS142" s="109"/>
      <c r="RGT142" s="107" t="s">
        <v>1</v>
      </c>
      <c r="RGU142" s="108"/>
      <c r="RGV142" s="108"/>
      <c r="RGW142" s="109"/>
      <c r="RGX142" s="107" t="s">
        <v>1</v>
      </c>
      <c r="RGY142" s="108"/>
      <c r="RGZ142" s="108"/>
      <c r="RHA142" s="109"/>
      <c r="RHB142" s="107" t="s">
        <v>1</v>
      </c>
      <c r="RHC142" s="108"/>
      <c r="RHD142" s="108"/>
      <c r="RHE142" s="109"/>
      <c r="RHF142" s="107" t="s">
        <v>1</v>
      </c>
      <c r="RHG142" s="108"/>
      <c r="RHH142" s="108"/>
      <c r="RHI142" s="109"/>
      <c r="RHJ142" s="107" t="s">
        <v>1</v>
      </c>
      <c r="RHK142" s="108"/>
      <c r="RHL142" s="108"/>
      <c r="RHM142" s="109"/>
      <c r="RHN142" s="107" t="s">
        <v>1</v>
      </c>
      <c r="RHO142" s="108"/>
      <c r="RHP142" s="108"/>
      <c r="RHQ142" s="109"/>
      <c r="RHR142" s="107" t="s">
        <v>1</v>
      </c>
      <c r="RHS142" s="108"/>
      <c r="RHT142" s="108"/>
      <c r="RHU142" s="109"/>
      <c r="RHV142" s="107" t="s">
        <v>1</v>
      </c>
      <c r="RHW142" s="108"/>
      <c r="RHX142" s="108"/>
      <c r="RHY142" s="109"/>
      <c r="RHZ142" s="107" t="s">
        <v>1</v>
      </c>
      <c r="RIA142" s="108"/>
      <c r="RIB142" s="108"/>
      <c r="RIC142" s="109"/>
      <c r="RID142" s="107" t="s">
        <v>1</v>
      </c>
      <c r="RIE142" s="108"/>
      <c r="RIF142" s="108"/>
      <c r="RIG142" s="109"/>
      <c r="RIH142" s="107" t="s">
        <v>1</v>
      </c>
      <c r="RII142" s="108"/>
      <c r="RIJ142" s="108"/>
      <c r="RIK142" s="109"/>
      <c r="RIL142" s="107" t="s">
        <v>1</v>
      </c>
      <c r="RIM142" s="108"/>
      <c r="RIN142" s="108"/>
      <c r="RIO142" s="109"/>
      <c r="RIP142" s="107" t="s">
        <v>1</v>
      </c>
      <c r="RIQ142" s="108"/>
      <c r="RIR142" s="108"/>
      <c r="RIS142" s="109"/>
      <c r="RIT142" s="107" t="s">
        <v>1</v>
      </c>
      <c r="RIU142" s="108"/>
      <c r="RIV142" s="108"/>
      <c r="RIW142" s="109"/>
      <c r="RIX142" s="107" t="s">
        <v>1</v>
      </c>
      <c r="RIY142" s="108"/>
      <c r="RIZ142" s="108"/>
      <c r="RJA142" s="109"/>
      <c r="RJB142" s="107" t="s">
        <v>1</v>
      </c>
      <c r="RJC142" s="108"/>
      <c r="RJD142" s="108"/>
      <c r="RJE142" s="109"/>
      <c r="RJF142" s="107" t="s">
        <v>1</v>
      </c>
      <c r="RJG142" s="108"/>
      <c r="RJH142" s="108"/>
      <c r="RJI142" s="109"/>
      <c r="RJJ142" s="107" t="s">
        <v>1</v>
      </c>
      <c r="RJK142" s="108"/>
      <c r="RJL142" s="108"/>
      <c r="RJM142" s="109"/>
      <c r="RJN142" s="107" t="s">
        <v>1</v>
      </c>
      <c r="RJO142" s="108"/>
      <c r="RJP142" s="108"/>
      <c r="RJQ142" s="109"/>
      <c r="RJR142" s="107" t="s">
        <v>1</v>
      </c>
      <c r="RJS142" s="108"/>
      <c r="RJT142" s="108"/>
      <c r="RJU142" s="109"/>
      <c r="RJV142" s="107" t="s">
        <v>1</v>
      </c>
      <c r="RJW142" s="108"/>
      <c r="RJX142" s="108"/>
      <c r="RJY142" s="109"/>
      <c r="RJZ142" s="107" t="s">
        <v>1</v>
      </c>
      <c r="RKA142" s="108"/>
      <c r="RKB142" s="108"/>
      <c r="RKC142" s="109"/>
      <c r="RKD142" s="107" t="s">
        <v>1</v>
      </c>
      <c r="RKE142" s="108"/>
      <c r="RKF142" s="108"/>
      <c r="RKG142" s="109"/>
      <c r="RKH142" s="107" t="s">
        <v>1</v>
      </c>
      <c r="RKI142" s="108"/>
      <c r="RKJ142" s="108"/>
      <c r="RKK142" s="109"/>
      <c r="RKL142" s="107" t="s">
        <v>1</v>
      </c>
      <c r="RKM142" s="108"/>
      <c r="RKN142" s="108"/>
      <c r="RKO142" s="109"/>
      <c r="RKP142" s="107" t="s">
        <v>1</v>
      </c>
      <c r="RKQ142" s="108"/>
      <c r="RKR142" s="108"/>
      <c r="RKS142" s="109"/>
      <c r="RKT142" s="107" t="s">
        <v>1</v>
      </c>
      <c r="RKU142" s="108"/>
      <c r="RKV142" s="108"/>
      <c r="RKW142" s="109"/>
      <c r="RKX142" s="107" t="s">
        <v>1</v>
      </c>
      <c r="RKY142" s="108"/>
      <c r="RKZ142" s="108"/>
      <c r="RLA142" s="109"/>
      <c r="RLB142" s="107" t="s">
        <v>1</v>
      </c>
      <c r="RLC142" s="108"/>
      <c r="RLD142" s="108"/>
      <c r="RLE142" s="109"/>
      <c r="RLF142" s="107" t="s">
        <v>1</v>
      </c>
      <c r="RLG142" s="108"/>
      <c r="RLH142" s="108"/>
      <c r="RLI142" s="109"/>
      <c r="RLJ142" s="107" t="s">
        <v>1</v>
      </c>
      <c r="RLK142" s="108"/>
      <c r="RLL142" s="108"/>
      <c r="RLM142" s="109"/>
      <c r="RLN142" s="107" t="s">
        <v>1</v>
      </c>
      <c r="RLO142" s="108"/>
      <c r="RLP142" s="108"/>
      <c r="RLQ142" s="109"/>
      <c r="RLR142" s="107" t="s">
        <v>1</v>
      </c>
      <c r="RLS142" s="108"/>
      <c r="RLT142" s="108"/>
      <c r="RLU142" s="109"/>
      <c r="RLV142" s="107" t="s">
        <v>1</v>
      </c>
      <c r="RLW142" s="108"/>
      <c r="RLX142" s="108"/>
      <c r="RLY142" s="109"/>
      <c r="RLZ142" s="107" t="s">
        <v>1</v>
      </c>
      <c r="RMA142" s="108"/>
      <c r="RMB142" s="108"/>
      <c r="RMC142" s="109"/>
      <c r="RMD142" s="107" t="s">
        <v>1</v>
      </c>
      <c r="RME142" s="108"/>
      <c r="RMF142" s="108"/>
      <c r="RMG142" s="109"/>
      <c r="RMH142" s="107" t="s">
        <v>1</v>
      </c>
      <c r="RMI142" s="108"/>
      <c r="RMJ142" s="108"/>
      <c r="RMK142" s="109"/>
      <c r="RML142" s="107" t="s">
        <v>1</v>
      </c>
      <c r="RMM142" s="108"/>
      <c r="RMN142" s="108"/>
      <c r="RMO142" s="109"/>
      <c r="RMP142" s="107" t="s">
        <v>1</v>
      </c>
      <c r="RMQ142" s="108"/>
      <c r="RMR142" s="108"/>
      <c r="RMS142" s="109"/>
      <c r="RMT142" s="107" t="s">
        <v>1</v>
      </c>
      <c r="RMU142" s="108"/>
      <c r="RMV142" s="108"/>
      <c r="RMW142" s="109"/>
      <c r="RMX142" s="107" t="s">
        <v>1</v>
      </c>
      <c r="RMY142" s="108"/>
      <c r="RMZ142" s="108"/>
      <c r="RNA142" s="109"/>
      <c r="RNB142" s="107" t="s">
        <v>1</v>
      </c>
      <c r="RNC142" s="108"/>
      <c r="RND142" s="108"/>
      <c r="RNE142" s="109"/>
      <c r="RNF142" s="107" t="s">
        <v>1</v>
      </c>
      <c r="RNG142" s="108"/>
      <c r="RNH142" s="108"/>
      <c r="RNI142" s="109"/>
      <c r="RNJ142" s="107" t="s">
        <v>1</v>
      </c>
      <c r="RNK142" s="108"/>
      <c r="RNL142" s="108"/>
      <c r="RNM142" s="109"/>
      <c r="RNN142" s="107" t="s">
        <v>1</v>
      </c>
      <c r="RNO142" s="108"/>
      <c r="RNP142" s="108"/>
      <c r="RNQ142" s="109"/>
      <c r="RNR142" s="107" t="s">
        <v>1</v>
      </c>
      <c r="RNS142" s="108"/>
      <c r="RNT142" s="108"/>
      <c r="RNU142" s="109"/>
      <c r="RNV142" s="107" t="s">
        <v>1</v>
      </c>
      <c r="RNW142" s="108"/>
      <c r="RNX142" s="108"/>
      <c r="RNY142" s="109"/>
      <c r="RNZ142" s="107" t="s">
        <v>1</v>
      </c>
      <c r="ROA142" s="108"/>
      <c r="ROB142" s="108"/>
      <c r="ROC142" s="109"/>
      <c r="ROD142" s="107" t="s">
        <v>1</v>
      </c>
      <c r="ROE142" s="108"/>
      <c r="ROF142" s="108"/>
      <c r="ROG142" s="109"/>
      <c r="ROH142" s="107" t="s">
        <v>1</v>
      </c>
      <c r="ROI142" s="108"/>
      <c r="ROJ142" s="108"/>
      <c r="ROK142" s="109"/>
      <c r="ROL142" s="107" t="s">
        <v>1</v>
      </c>
      <c r="ROM142" s="108"/>
      <c r="RON142" s="108"/>
      <c r="ROO142" s="109"/>
      <c r="ROP142" s="107" t="s">
        <v>1</v>
      </c>
      <c r="ROQ142" s="108"/>
      <c r="ROR142" s="108"/>
      <c r="ROS142" s="109"/>
      <c r="ROT142" s="107" t="s">
        <v>1</v>
      </c>
      <c r="ROU142" s="108"/>
      <c r="ROV142" s="108"/>
      <c r="ROW142" s="109"/>
      <c r="ROX142" s="107" t="s">
        <v>1</v>
      </c>
      <c r="ROY142" s="108"/>
      <c r="ROZ142" s="108"/>
      <c r="RPA142" s="109"/>
      <c r="RPB142" s="107" t="s">
        <v>1</v>
      </c>
      <c r="RPC142" s="108"/>
      <c r="RPD142" s="108"/>
      <c r="RPE142" s="109"/>
      <c r="RPF142" s="107" t="s">
        <v>1</v>
      </c>
      <c r="RPG142" s="108"/>
      <c r="RPH142" s="108"/>
      <c r="RPI142" s="109"/>
      <c r="RPJ142" s="107" t="s">
        <v>1</v>
      </c>
      <c r="RPK142" s="108"/>
      <c r="RPL142" s="108"/>
      <c r="RPM142" s="109"/>
      <c r="RPN142" s="107" t="s">
        <v>1</v>
      </c>
      <c r="RPO142" s="108"/>
      <c r="RPP142" s="108"/>
      <c r="RPQ142" s="109"/>
      <c r="RPR142" s="107" t="s">
        <v>1</v>
      </c>
      <c r="RPS142" s="108"/>
      <c r="RPT142" s="108"/>
      <c r="RPU142" s="109"/>
      <c r="RPV142" s="107" t="s">
        <v>1</v>
      </c>
      <c r="RPW142" s="108"/>
      <c r="RPX142" s="108"/>
      <c r="RPY142" s="109"/>
      <c r="RPZ142" s="107" t="s">
        <v>1</v>
      </c>
      <c r="RQA142" s="108"/>
      <c r="RQB142" s="108"/>
      <c r="RQC142" s="109"/>
      <c r="RQD142" s="107" t="s">
        <v>1</v>
      </c>
      <c r="RQE142" s="108"/>
      <c r="RQF142" s="108"/>
      <c r="RQG142" s="109"/>
      <c r="RQH142" s="107" t="s">
        <v>1</v>
      </c>
      <c r="RQI142" s="108"/>
      <c r="RQJ142" s="108"/>
      <c r="RQK142" s="109"/>
      <c r="RQL142" s="107" t="s">
        <v>1</v>
      </c>
      <c r="RQM142" s="108"/>
      <c r="RQN142" s="108"/>
      <c r="RQO142" s="109"/>
      <c r="RQP142" s="107" t="s">
        <v>1</v>
      </c>
      <c r="RQQ142" s="108"/>
      <c r="RQR142" s="108"/>
      <c r="RQS142" s="109"/>
      <c r="RQT142" s="107" t="s">
        <v>1</v>
      </c>
      <c r="RQU142" s="108"/>
      <c r="RQV142" s="108"/>
      <c r="RQW142" s="109"/>
      <c r="RQX142" s="107" t="s">
        <v>1</v>
      </c>
      <c r="RQY142" s="108"/>
      <c r="RQZ142" s="108"/>
      <c r="RRA142" s="109"/>
      <c r="RRB142" s="107" t="s">
        <v>1</v>
      </c>
      <c r="RRC142" s="108"/>
      <c r="RRD142" s="108"/>
      <c r="RRE142" s="109"/>
      <c r="RRF142" s="107" t="s">
        <v>1</v>
      </c>
      <c r="RRG142" s="108"/>
      <c r="RRH142" s="108"/>
      <c r="RRI142" s="109"/>
      <c r="RRJ142" s="107" t="s">
        <v>1</v>
      </c>
      <c r="RRK142" s="108"/>
      <c r="RRL142" s="108"/>
      <c r="RRM142" s="109"/>
      <c r="RRN142" s="107" t="s">
        <v>1</v>
      </c>
      <c r="RRO142" s="108"/>
      <c r="RRP142" s="108"/>
      <c r="RRQ142" s="109"/>
      <c r="RRR142" s="107" t="s">
        <v>1</v>
      </c>
      <c r="RRS142" s="108"/>
      <c r="RRT142" s="108"/>
      <c r="RRU142" s="109"/>
      <c r="RRV142" s="107" t="s">
        <v>1</v>
      </c>
      <c r="RRW142" s="108"/>
      <c r="RRX142" s="108"/>
      <c r="RRY142" s="109"/>
      <c r="RRZ142" s="107" t="s">
        <v>1</v>
      </c>
      <c r="RSA142" s="108"/>
      <c r="RSB142" s="108"/>
      <c r="RSC142" s="109"/>
      <c r="RSD142" s="107" t="s">
        <v>1</v>
      </c>
      <c r="RSE142" s="108"/>
      <c r="RSF142" s="108"/>
      <c r="RSG142" s="109"/>
      <c r="RSH142" s="107" t="s">
        <v>1</v>
      </c>
      <c r="RSI142" s="108"/>
      <c r="RSJ142" s="108"/>
      <c r="RSK142" s="109"/>
      <c r="RSL142" s="107" t="s">
        <v>1</v>
      </c>
      <c r="RSM142" s="108"/>
      <c r="RSN142" s="108"/>
      <c r="RSO142" s="109"/>
      <c r="RSP142" s="107" t="s">
        <v>1</v>
      </c>
      <c r="RSQ142" s="108"/>
      <c r="RSR142" s="108"/>
      <c r="RSS142" s="109"/>
      <c r="RST142" s="107" t="s">
        <v>1</v>
      </c>
      <c r="RSU142" s="108"/>
      <c r="RSV142" s="108"/>
      <c r="RSW142" s="109"/>
      <c r="RSX142" s="107" t="s">
        <v>1</v>
      </c>
      <c r="RSY142" s="108"/>
      <c r="RSZ142" s="108"/>
      <c r="RTA142" s="109"/>
      <c r="RTB142" s="107" t="s">
        <v>1</v>
      </c>
      <c r="RTC142" s="108"/>
      <c r="RTD142" s="108"/>
      <c r="RTE142" s="109"/>
      <c r="RTF142" s="107" t="s">
        <v>1</v>
      </c>
      <c r="RTG142" s="108"/>
      <c r="RTH142" s="108"/>
      <c r="RTI142" s="109"/>
      <c r="RTJ142" s="107" t="s">
        <v>1</v>
      </c>
      <c r="RTK142" s="108"/>
      <c r="RTL142" s="108"/>
      <c r="RTM142" s="109"/>
      <c r="RTN142" s="107" t="s">
        <v>1</v>
      </c>
      <c r="RTO142" s="108"/>
      <c r="RTP142" s="108"/>
      <c r="RTQ142" s="109"/>
      <c r="RTR142" s="107" t="s">
        <v>1</v>
      </c>
      <c r="RTS142" s="108"/>
      <c r="RTT142" s="108"/>
      <c r="RTU142" s="109"/>
      <c r="RTV142" s="107" t="s">
        <v>1</v>
      </c>
      <c r="RTW142" s="108"/>
      <c r="RTX142" s="108"/>
      <c r="RTY142" s="109"/>
      <c r="RTZ142" s="107" t="s">
        <v>1</v>
      </c>
      <c r="RUA142" s="108"/>
      <c r="RUB142" s="108"/>
      <c r="RUC142" s="109"/>
      <c r="RUD142" s="107" t="s">
        <v>1</v>
      </c>
      <c r="RUE142" s="108"/>
      <c r="RUF142" s="108"/>
      <c r="RUG142" s="109"/>
      <c r="RUH142" s="107" t="s">
        <v>1</v>
      </c>
      <c r="RUI142" s="108"/>
      <c r="RUJ142" s="108"/>
      <c r="RUK142" s="109"/>
      <c r="RUL142" s="107" t="s">
        <v>1</v>
      </c>
      <c r="RUM142" s="108"/>
      <c r="RUN142" s="108"/>
      <c r="RUO142" s="109"/>
      <c r="RUP142" s="107" t="s">
        <v>1</v>
      </c>
      <c r="RUQ142" s="108"/>
      <c r="RUR142" s="108"/>
      <c r="RUS142" s="109"/>
      <c r="RUT142" s="107" t="s">
        <v>1</v>
      </c>
      <c r="RUU142" s="108"/>
      <c r="RUV142" s="108"/>
      <c r="RUW142" s="109"/>
      <c r="RUX142" s="107" t="s">
        <v>1</v>
      </c>
      <c r="RUY142" s="108"/>
      <c r="RUZ142" s="108"/>
      <c r="RVA142" s="109"/>
      <c r="RVB142" s="107" t="s">
        <v>1</v>
      </c>
      <c r="RVC142" s="108"/>
      <c r="RVD142" s="108"/>
      <c r="RVE142" s="109"/>
      <c r="RVF142" s="107" t="s">
        <v>1</v>
      </c>
      <c r="RVG142" s="108"/>
      <c r="RVH142" s="108"/>
      <c r="RVI142" s="109"/>
      <c r="RVJ142" s="107" t="s">
        <v>1</v>
      </c>
      <c r="RVK142" s="108"/>
      <c r="RVL142" s="108"/>
      <c r="RVM142" s="109"/>
      <c r="RVN142" s="107" t="s">
        <v>1</v>
      </c>
      <c r="RVO142" s="108"/>
      <c r="RVP142" s="108"/>
      <c r="RVQ142" s="109"/>
      <c r="RVR142" s="107" t="s">
        <v>1</v>
      </c>
      <c r="RVS142" s="108"/>
      <c r="RVT142" s="108"/>
      <c r="RVU142" s="109"/>
      <c r="RVV142" s="107" t="s">
        <v>1</v>
      </c>
      <c r="RVW142" s="108"/>
      <c r="RVX142" s="108"/>
      <c r="RVY142" s="109"/>
      <c r="RVZ142" s="107" t="s">
        <v>1</v>
      </c>
      <c r="RWA142" s="108"/>
      <c r="RWB142" s="108"/>
      <c r="RWC142" s="109"/>
      <c r="RWD142" s="107" t="s">
        <v>1</v>
      </c>
      <c r="RWE142" s="108"/>
      <c r="RWF142" s="108"/>
      <c r="RWG142" s="109"/>
      <c r="RWH142" s="107" t="s">
        <v>1</v>
      </c>
      <c r="RWI142" s="108"/>
      <c r="RWJ142" s="108"/>
      <c r="RWK142" s="109"/>
      <c r="RWL142" s="107" t="s">
        <v>1</v>
      </c>
      <c r="RWM142" s="108"/>
      <c r="RWN142" s="108"/>
      <c r="RWO142" s="109"/>
      <c r="RWP142" s="107" t="s">
        <v>1</v>
      </c>
      <c r="RWQ142" s="108"/>
      <c r="RWR142" s="108"/>
      <c r="RWS142" s="109"/>
      <c r="RWT142" s="107" t="s">
        <v>1</v>
      </c>
      <c r="RWU142" s="108"/>
      <c r="RWV142" s="108"/>
      <c r="RWW142" s="109"/>
      <c r="RWX142" s="107" t="s">
        <v>1</v>
      </c>
      <c r="RWY142" s="108"/>
      <c r="RWZ142" s="108"/>
      <c r="RXA142" s="109"/>
      <c r="RXB142" s="107" t="s">
        <v>1</v>
      </c>
      <c r="RXC142" s="108"/>
      <c r="RXD142" s="108"/>
      <c r="RXE142" s="109"/>
      <c r="RXF142" s="107" t="s">
        <v>1</v>
      </c>
      <c r="RXG142" s="108"/>
      <c r="RXH142" s="108"/>
      <c r="RXI142" s="109"/>
      <c r="RXJ142" s="107" t="s">
        <v>1</v>
      </c>
      <c r="RXK142" s="108"/>
      <c r="RXL142" s="108"/>
      <c r="RXM142" s="109"/>
      <c r="RXN142" s="107" t="s">
        <v>1</v>
      </c>
      <c r="RXO142" s="108"/>
      <c r="RXP142" s="108"/>
      <c r="RXQ142" s="109"/>
      <c r="RXR142" s="107" t="s">
        <v>1</v>
      </c>
      <c r="RXS142" s="108"/>
      <c r="RXT142" s="108"/>
      <c r="RXU142" s="109"/>
      <c r="RXV142" s="107" t="s">
        <v>1</v>
      </c>
      <c r="RXW142" s="108"/>
      <c r="RXX142" s="108"/>
      <c r="RXY142" s="109"/>
      <c r="RXZ142" s="107" t="s">
        <v>1</v>
      </c>
      <c r="RYA142" s="108"/>
      <c r="RYB142" s="108"/>
      <c r="RYC142" s="109"/>
      <c r="RYD142" s="107" t="s">
        <v>1</v>
      </c>
      <c r="RYE142" s="108"/>
      <c r="RYF142" s="108"/>
      <c r="RYG142" s="109"/>
      <c r="RYH142" s="107" t="s">
        <v>1</v>
      </c>
      <c r="RYI142" s="108"/>
      <c r="RYJ142" s="108"/>
      <c r="RYK142" s="109"/>
      <c r="RYL142" s="107" t="s">
        <v>1</v>
      </c>
      <c r="RYM142" s="108"/>
      <c r="RYN142" s="108"/>
      <c r="RYO142" s="109"/>
      <c r="RYP142" s="107" t="s">
        <v>1</v>
      </c>
      <c r="RYQ142" s="108"/>
      <c r="RYR142" s="108"/>
      <c r="RYS142" s="109"/>
      <c r="RYT142" s="107" t="s">
        <v>1</v>
      </c>
      <c r="RYU142" s="108"/>
      <c r="RYV142" s="108"/>
      <c r="RYW142" s="109"/>
      <c r="RYX142" s="107" t="s">
        <v>1</v>
      </c>
      <c r="RYY142" s="108"/>
      <c r="RYZ142" s="108"/>
      <c r="RZA142" s="109"/>
      <c r="RZB142" s="107" t="s">
        <v>1</v>
      </c>
      <c r="RZC142" s="108"/>
      <c r="RZD142" s="108"/>
      <c r="RZE142" s="109"/>
      <c r="RZF142" s="107" t="s">
        <v>1</v>
      </c>
      <c r="RZG142" s="108"/>
      <c r="RZH142" s="108"/>
      <c r="RZI142" s="109"/>
      <c r="RZJ142" s="107" t="s">
        <v>1</v>
      </c>
      <c r="RZK142" s="108"/>
      <c r="RZL142" s="108"/>
      <c r="RZM142" s="109"/>
      <c r="RZN142" s="107" t="s">
        <v>1</v>
      </c>
      <c r="RZO142" s="108"/>
      <c r="RZP142" s="108"/>
      <c r="RZQ142" s="109"/>
      <c r="RZR142" s="107" t="s">
        <v>1</v>
      </c>
      <c r="RZS142" s="108"/>
      <c r="RZT142" s="108"/>
      <c r="RZU142" s="109"/>
      <c r="RZV142" s="107" t="s">
        <v>1</v>
      </c>
      <c r="RZW142" s="108"/>
      <c r="RZX142" s="108"/>
      <c r="RZY142" s="109"/>
      <c r="RZZ142" s="107" t="s">
        <v>1</v>
      </c>
      <c r="SAA142" s="108"/>
      <c r="SAB142" s="108"/>
      <c r="SAC142" s="109"/>
      <c r="SAD142" s="107" t="s">
        <v>1</v>
      </c>
      <c r="SAE142" s="108"/>
      <c r="SAF142" s="108"/>
      <c r="SAG142" s="109"/>
      <c r="SAH142" s="107" t="s">
        <v>1</v>
      </c>
      <c r="SAI142" s="108"/>
      <c r="SAJ142" s="108"/>
      <c r="SAK142" s="109"/>
      <c r="SAL142" s="107" t="s">
        <v>1</v>
      </c>
      <c r="SAM142" s="108"/>
      <c r="SAN142" s="108"/>
      <c r="SAO142" s="109"/>
      <c r="SAP142" s="107" t="s">
        <v>1</v>
      </c>
      <c r="SAQ142" s="108"/>
      <c r="SAR142" s="108"/>
      <c r="SAS142" s="109"/>
      <c r="SAT142" s="107" t="s">
        <v>1</v>
      </c>
      <c r="SAU142" s="108"/>
      <c r="SAV142" s="108"/>
      <c r="SAW142" s="109"/>
      <c r="SAX142" s="107" t="s">
        <v>1</v>
      </c>
      <c r="SAY142" s="108"/>
      <c r="SAZ142" s="108"/>
      <c r="SBA142" s="109"/>
      <c r="SBB142" s="107" t="s">
        <v>1</v>
      </c>
      <c r="SBC142" s="108"/>
      <c r="SBD142" s="108"/>
      <c r="SBE142" s="109"/>
      <c r="SBF142" s="107" t="s">
        <v>1</v>
      </c>
      <c r="SBG142" s="108"/>
      <c r="SBH142" s="108"/>
      <c r="SBI142" s="109"/>
      <c r="SBJ142" s="107" t="s">
        <v>1</v>
      </c>
      <c r="SBK142" s="108"/>
      <c r="SBL142" s="108"/>
      <c r="SBM142" s="109"/>
      <c r="SBN142" s="107" t="s">
        <v>1</v>
      </c>
      <c r="SBO142" s="108"/>
      <c r="SBP142" s="108"/>
      <c r="SBQ142" s="109"/>
      <c r="SBR142" s="107" t="s">
        <v>1</v>
      </c>
      <c r="SBS142" s="108"/>
      <c r="SBT142" s="108"/>
      <c r="SBU142" s="109"/>
      <c r="SBV142" s="107" t="s">
        <v>1</v>
      </c>
      <c r="SBW142" s="108"/>
      <c r="SBX142" s="108"/>
      <c r="SBY142" s="109"/>
      <c r="SBZ142" s="107" t="s">
        <v>1</v>
      </c>
      <c r="SCA142" s="108"/>
      <c r="SCB142" s="108"/>
      <c r="SCC142" s="109"/>
      <c r="SCD142" s="107" t="s">
        <v>1</v>
      </c>
      <c r="SCE142" s="108"/>
      <c r="SCF142" s="108"/>
      <c r="SCG142" s="109"/>
      <c r="SCH142" s="107" t="s">
        <v>1</v>
      </c>
      <c r="SCI142" s="108"/>
      <c r="SCJ142" s="108"/>
      <c r="SCK142" s="109"/>
      <c r="SCL142" s="107" t="s">
        <v>1</v>
      </c>
      <c r="SCM142" s="108"/>
      <c r="SCN142" s="108"/>
      <c r="SCO142" s="109"/>
      <c r="SCP142" s="107" t="s">
        <v>1</v>
      </c>
      <c r="SCQ142" s="108"/>
      <c r="SCR142" s="108"/>
      <c r="SCS142" s="109"/>
      <c r="SCT142" s="107" t="s">
        <v>1</v>
      </c>
      <c r="SCU142" s="108"/>
      <c r="SCV142" s="108"/>
      <c r="SCW142" s="109"/>
      <c r="SCX142" s="107" t="s">
        <v>1</v>
      </c>
      <c r="SCY142" s="108"/>
      <c r="SCZ142" s="108"/>
      <c r="SDA142" s="109"/>
      <c r="SDB142" s="107" t="s">
        <v>1</v>
      </c>
      <c r="SDC142" s="108"/>
      <c r="SDD142" s="108"/>
      <c r="SDE142" s="109"/>
      <c r="SDF142" s="107" t="s">
        <v>1</v>
      </c>
      <c r="SDG142" s="108"/>
      <c r="SDH142" s="108"/>
      <c r="SDI142" s="109"/>
      <c r="SDJ142" s="107" t="s">
        <v>1</v>
      </c>
      <c r="SDK142" s="108"/>
      <c r="SDL142" s="108"/>
      <c r="SDM142" s="109"/>
      <c r="SDN142" s="107" t="s">
        <v>1</v>
      </c>
      <c r="SDO142" s="108"/>
      <c r="SDP142" s="108"/>
      <c r="SDQ142" s="109"/>
      <c r="SDR142" s="107" t="s">
        <v>1</v>
      </c>
      <c r="SDS142" s="108"/>
      <c r="SDT142" s="108"/>
      <c r="SDU142" s="109"/>
      <c r="SDV142" s="107" t="s">
        <v>1</v>
      </c>
      <c r="SDW142" s="108"/>
      <c r="SDX142" s="108"/>
      <c r="SDY142" s="109"/>
      <c r="SDZ142" s="107" t="s">
        <v>1</v>
      </c>
      <c r="SEA142" s="108"/>
      <c r="SEB142" s="108"/>
      <c r="SEC142" s="109"/>
      <c r="SED142" s="107" t="s">
        <v>1</v>
      </c>
      <c r="SEE142" s="108"/>
      <c r="SEF142" s="108"/>
      <c r="SEG142" s="109"/>
      <c r="SEH142" s="107" t="s">
        <v>1</v>
      </c>
      <c r="SEI142" s="108"/>
      <c r="SEJ142" s="108"/>
      <c r="SEK142" s="109"/>
      <c r="SEL142" s="107" t="s">
        <v>1</v>
      </c>
      <c r="SEM142" s="108"/>
      <c r="SEN142" s="108"/>
      <c r="SEO142" s="109"/>
      <c r="SEP142" s="107" t="s">
        <v>1</v>
      </c>
      <c r="SEQ142" s="108"/>
      <c r="SER142" s="108"/>
      <c r="SES142" s="109"/>
      <c r="SET142" s="107" t="s">
        <v>1</v>
      </c>
      <c r="SEU142" s="108"/>
      <c r="SEV142" s="108"/>
      <c r="SEW142" s="109"/>
      <c r="SEX142" s="107" t="s">
        <v>1</v>
      </c>
      <c r="SEY142" s="108"/>
      <c r="SEZ142" s="108"/>
      <c r="SFA142" s="109"/>
      <c r="SFB142" s="107" t="s">
        <v>1</v>
      </c>
      <c r="SFC142" s="108"/>
      <c r="SFD142" s="108"/>
      <c r="SFE142" s="109"/>
      <c r="SFF142" s="107" t="s">
        <v>1</v>
      </c>
      <c r="SFG142" s="108"/>
      <c r="SFH142" s="108"/>
      <c r="SFI142" s="109"/>
      <c r="SFJ142" s="107" t="s">
        <v>1</v>
      </c>
      <c r="SFK142" s="108"/>
      <c r="SFL142" s="108"/>
      <c r="SFM142" s="109"/>
      <c r="SFN142" s="107" t="s">
        <v>1</v>
      </c>
      <c r="SFO142" s="108"/>
      <c r="SFP142" s="108"/>
      <c r="SFQ142" s="109"/>
      <c r="SFR142" s="107" t="s">
        <v>1</v>
      </c>
      <c r="SFS142" s="108"/>
      <c r="SFT142" s="108"/>
      <c r="SFU142" s="109"/>
      <c r="SFV142" s="107" t="s">
        <v>1</v>
      </c>
      <c r="SFW142" s="108"/>
      <c r="SFX142" s="108"/>
      <c r="SFY142" s="109"/>
      <c r="SFZ142" s="107" t="s">
        <v>1</v>
      </c>
      <c r="SGA142" s="108"/>
      <c r="SGB142" s="108"/>
      <c r="SGC142" s="109"/>
      <c r="SGD142" s="107" t="s">
        <v>1</v>
      </c>
      <c r="SGE142" s="108"/>
      <c r="SGF142" s="108"/>
      <c r="SGG142" s="109"/>
      <c r="SGH142" s="107" t="s">
        <v>1</v>
      </c>
      <c r="SGI142" s="108"/>
      <c r="SGJ142" s="108"/>
      <c r="SGK142" s="109"/>
      <c r="SGL142" s="107" t="s">
        <v>1</v>
      </c>
      <c r="SGM142" s="108"/>
      <c r="SGN142" s="108"/>
      <c r="SGO142" s="109"/>
      <c r="SGP142" s="107" t="s">
        <v>1</v>
      </c>
      <c r="SGQ142" s="108"/>
      <c r="SGR142" s="108"/>
      <c r="SGS142" s="109"/>
      <c r="SGT142" s="107" t="s">
        <v>1</v>
      </c>
      <c r="SGU142" s="108"/>
      <c r="SGV142" s="108"/>
      <c r="SGW142" s="109"/>
      <c r="SGX142" s="107" t="s">
        <v>1</v>
      </c>
      <c r="SGY142" s="108"/>
      <c r="SGZ142" s="108"/>
      <c r="SHA142" s="109"/>
      <c r="SHB142" s="107" t="s">
        <v>1</v>
      </c>
      <c r="SHC142" s="108"/>
      <c r="SHD142" s="108"/>
      <c r="SHE142" s="109"/>
      <c r="SHF142" s="107" t="s">
        <v>1</v>
      </c>
      <c r="SHG142" s="108"/>
      <c r="SHH142" s="108"/>
      <c r="SHI142" s="109"/>
      <c r="SHJ142" s="107" t="s">
        <v>1</v>
      </c>
      <c r="SHK142" s="108"/>
      <c r="SHL142" s="108"/>
      <c r="SHM142" s="109"/>
      <c r="SHN142" s="107" t="s">
        <v>1</v>
      </c>
      <c r="SHO142" s="108"/>
      <c r="SHP142" s="108"/>
      <c r="SHQ142" s="109"/>
      <c r="SHR142" s="107" t="s">
        <v>1</v>
      </c>
      <c r="SHS142" s="108"/>
      <c r="SHT142" s="108"/>
      <c r="SHU142" s="109"/>
      <c r="SHV142" s="107" t="s">
        <v>1</v>
      </c>
      <c r="SHW142" s="108"/>
      <c r="SHX142" s="108"/>
      <c r="SHY142" s="109"/>
      <c r="SHZ142" s="107" t="s">
        <v>1</v>
      </c>
      <c r="SIA142" s="108"/>
      <c r="SIB142" s="108"/>
      <c r="SIC142" s="109"/>
      <c r="SID142" s="107" t="s">
        <v>1</v>
      </c>
      <c r="SIE142" s="108"/>
      <c r="SIF142" s="108"/>
      <c r="SIG142" s="109"/>
      <c r="SIH142" s="107" t="s">
        <v>1</v>
      </c>
      <c r="SII142" s="108"/>
      <c r="SIJ142" s="108"/>
      <c r="SIK142" s="109"/>
      <c r="SIL142" s="107" t="s">
        <v>1</v>
      </c>
      <c r="SIM142" s="108"/>
      <c r="SIN142" s="108"/>
      <c r="SIO142" s="109"/>
      <c r="SIP142" s="107" t="s">
        <v>1</v>
      </c>
      <c r="SIQ142" s="108"/>
      <c r="SIR142" s="108"/>
      <c r="SIS142" s="109"/>
      <c r="SIT142" s="107" t="s">
        <v>1</v>
      </c>
      <c r="SIU142" s="108"/>
      <c r="SIV142" s="108"/>
      <c r="SIW142" s="109"/>
      <c r="SIX142" s="107" t="s">
        <v>1</v>
      </c>
      <c r="SIY142" s="108"/>
      <c r="SIZ142" s="108"/>
      <c r="SJA142" s="109"/>
      <c r="SJB142" s="107" t="s">
        <v>1</v>
      </c>
      <c r="SJC142" s="108"/>
      <c r="SJD142" s="108"/>
      <c r="SJE142" s="109"/>
      <c r="SJF142" s="107" t="s">
        <v>1</v>
      </c>
      <c r="SJG142" s="108"/>
      <c r="SJH142" s="108"/>
      <c r="SJI142" s="109"/>
      <c r="SJJ142" s="107" t="s">
        <v>1</v>
      </c>
      <c r="SJK142" s="108"/>
      <c r="SJL142" s="108"/>
      <c r="SJM142" s="109"/>
      <c r="SJN142" s="107" t="s">
        <v>1</v>
      </c>
      <c r="SJO142" s="108"/>
      <c r="SJP142" s="108"/>
      <c r="SJQ142" s="109"/>
      <c r="SJR142" s="107" t="s">
        <v>1</v>
      </c>
      <c r="SJS142" s="108"/>
      <c r="SJT142" s="108"/>
      <c r="SJU142" s="109"/>
      <c r="SJV142" s="107" t="s">
        <v>1</v>
      </c>
      <c r="SJW142" s="108"/>
      <c r="SJX142" s="108"/>
      <c r="SJY142" s="109"/>
      <c r="SJZ142" s="107" t="s">
        <v>1</v>
      </c>
      <c r="SKA142" s="108"/>
      <c r="SKB142" s="108"/>
      <c r="SKC142" s="109"/>
      <c r="SKD142" s="107" t="s">
        <v>1</v>
      </c>
      <c r="SKE142" s="108"/>
      <c r="SKF142" s="108"/>
      <c r="SKG142" s="109"/>
      <c r="SKH142" s="107" t="s">
        <v>1</v>
      </c>
      <c r="SKI142" s="108"/>
      <c r="SKJ142" s="108"/>
      <c r="SKK142" s="109"/>
      <c r="SKL142" s="107" t="s">
        <v>1</v>
      </c>
      <c r="SKM142" s="108"/>
      <c r="SKN142" s="108"/>
      <c r="SKO142" s="109"/>
      <c r="SKP142" s="107" t="s">
        <v>1</v>
      </c>
      <c r="SKQ142" s="108"/>
      <c r="SKR142" s="108"/>
      <c r="SKS142" s="109"/>
      <c r="SKT142" s="107" t="s">
        <v>1</v>
      </c>
      <c r="SKU142" s="108"/>
      <c r="SKV142" s="108"/>
      <c r="SKW142" s="109"/>
      <c r="SKX142" s="107" t="s">
        <v>1</v>
      </c>
      <c r="SKY142" s="108"/>
      <c r="SKZ142" s="108"/>
      <c r="SLA142" s="109"/>
      <c r="SLB142" s="107" t="s">
        <v>1</v>
      </c>
      <c r="SLC142" s="108"/>
      <c r="SLD142" s="108"/>
      <c r="SLE142" s="109"/>
      <c r="SLF142" s="107" t="s">
        <v>1</v>
      </c>
      <c r="SLG142" s="108"/>
      <c r="SLH142" s="108"/>
      <c r="SLI142" s="109"/>
      <c r="SLJ142" s="107" t="s">
        <v>1</v>
      </c>
      <c r="SLK142" s="108"/>
      <c r="SLL142" s="108"/>
      <c r="SLM142" s="109"/>
      <c r="SLN142" s="107" t="s">
        <v>1</v>
      </c>
      <c r="SLO142" s="108"/>
      <c r="SLP142" s="108"/>
      <c r="SLQ142" s="109"/>
      <c r="SLR142" s="107" t="s">
        <v>1</v>
      </c>
      <c r="SLS142" s="108"/>
      <c r="SLT142" s="108"/>
      <c r="SLU142" s="109"/>
      <c r="SLV142" s="107" t="s">
        <v>1</v>
      </c>
      <c r="SLW142" s="108"/>
      <c r="SLX142" s="108"/>
      <c r="SLY142" s="109"/>
      <c r="SLZ142" s="107" t="s">
        <v>1</v>
      </c>
      <c r="SMA142" s="108"/>
      <c r="SMB142" s="108"/>
      <c r="SMC142" s="109"/>
      <c r="SMD142" s="107" t="s">
        <v>1</v>
      </c>
      <c r="SME142" s="108"/>
      <c r="SMF142" s="108"/>
      <c r="SMG142" s="109"/>
      <c r="SMH142" s="107" t="s">
        <v>1</v>
      </c>
      <c r="SMI142" s="108"/>
      <c r="SMJ142" s="108"/>
      <c r="SMK142" s="109"/>
      <c r="SML142" s="107" t="s">
        <v>1</v>
      </c>
      <c r="SMM142" s="108"/>
      <c r="SMN142" s="108"/>
      <c r="SMO142" s="109"/>
      <c r="SMP142" s="107" t="s">
        <v>1</v>
      </c>
      <c r="SMQ142" s="108"/>
      <c r="SMR142" s="108"/>
      <c r="SMS142" s="109"/>
      <c r="SMT142" s="107" t="s">
        <v>1</v>
      </c>
      <c r="SMU142" s="108"/>
      <c r="SMV142" s="108"/>
      <c r="SMW142" s="109"/>
      <c r="SMX142" s="107" t="s">
        <v>1</v>
      </c>
      <c r="SMY142" s="108"/>
      <c r="SMZ142" s="108"/>
      <c r="SNA142" s="109"/>
      <c r="SNB142" s="107" t="s">
        <v>1</v>
      </c>
      <c r="SNC142" s="108"/>
      <c r="SND142" s="108"/>
      <c r="SNE142" s="109"/>
      <c r="SNF142" s="107" t="s">
        <v>1</v>
      </c>
      <c r="SNG142" s="108"/>
      <c r="SNH142" s="108"/>
      <c r="SNI142" s="109"/>
      <c r="SNJ142" s="107" t="s">
        <v>1</v>
      </c>
      <c r="SNK142" s="108"/>
      <c r="SNL142" s="108"/>
      <c r="SNM142" s="109"/>
      <c r="SNN142" s="107" t="s">
        <v>1</v>
      </c>
      <c r="SNO142" s="108"/>
      <c r="SNP142" s="108"/>
      <c r="SNQ142" s="109"/>
      <c r="SNR142" s="107" t="s">
        <v>1</v>
      </c>
      <c r="SNS142" s="108"/>
      <c r="SNT142" s="108"/>
      <c r="SNU142" s="109"/>
      <c r="SNV142" s="107" t="s">
        <v>1</v>
      </c>
      <c r="SNW142" s="108"/>
      <c r="SNX142" s="108"/>
      <c r="SNY142" s="109"/>
      <c r="SNZ142" s="107" t="s">
        <v>1</v>
      </c>
      <c r="SOA142" s="108"/>
      <c r="SOB142" s="108"/>
      <c r="SOC142" s="109"/>
      <c r="SOD142" s="107" t="s">
        <v>1</v>
      </c>
      <c r="SOE142" s="108"/>
      <c r="SOF142" s="108"/>
      <c r="SOG142" s="109"/>
      <c r="SOH142" s="107" t="s">
        <v>1</v>
      </c>
      <c r="SOI142" s="108"/>
      <c r="SOJ142" s="108"/>
      <c r="SOK142" s="109"/>
      <c r="SOL142" s="107" t="s">
        <v>1</v>
      </c>
      <c r="SOM142" s="108"/>
      <c r="SON142" s="108"/>
      <c r="SOO142" s="109"/>
      <c r="SOP142" s="107" t="s">
        <v>1</v>
      </c>
      <c r="SOQ142" s="108"/>
      <c r="SOR142" s="108"/>
      <c r="SOS142" s="109"/>
      <c r="SOT142" s="107" t="s">
        <v>1</v>
      </c>
      <c r="SOU142" s="108"/>
      <c r="SOV142" s="108"/>
      <c r="SOW142" s="109"/>
      <c r="SOX142" s="107" t="s">
        <v>1</v>
      </c>
      <c r="SOY142" s="108"/>
      <c r="SOZ142" s="108"/>
      <c r="SPA142" s="109"/>
      <c r="SPB142" s="107" t="s">
        <v>1</v>
      </c>
      <c r="SPC142" s="108"/>
      <c r="SPD142" s="108"/>
      <c r="SPE142" s="109"/>
      <c r="SPF142" s="107" t="s">
        <v>1</v>
      </c>
      <c r="SPG142" s="108"/>
      <c r="SPH142" s="108"/>
      <c r="SPI142" s="109"/>
      <c r="SPJ142" s="107" t="s">
        <v>1</v>
      </c>
      <c r="SPK142" s="108"/>
      <c r="SPL142" s="108"/>
      <c r="SPM142" s="109"/>
      <c r="SPN142" s="107" t="s">
        <v>1</v>
      </c>
      <c r="SPO142" s="108"/>
      <c r="SPP142" s="108"/>
      <c r="SPQ142" s="109"/>
      <c r="SPR142" s="107" t="s">
        <v>1</v>
      </c>
      <c r="SPS142" s="108"/>
      <c r="SPT142" s="108"/>
      <c r="SPU142" s="109"/>
      <c r="SPV142" s="107" t="s">
        <v>1</v>
      </c>
      <c r="SPW142" s="108"/>
      <c r="SPX142" s="108"/>
      <c r="SPY142" s="109"/>
      <c r="SPZ142" s="107" t="s">
        <v>1</v>
      </c>
      <c r="SQA142" s="108"/>
      <c r="SQB142" s="108"/>
      <c r="SQC142" s="109"/>
      <c r="SQD142" s="107" t="s">
        <v>1</v>
      </c>
      <c r="SQE142" s="108"/>
      <c r="SQF142" s="108"/>
      <c r="SQG142" s="109"/>
      <c r="SQH142" s="107" t="s">
        <v>1</v>
      </c>
      <c r="SQI142" s="108"/>
      <c r="SQJ142" s="108"/>
      <c r="SQK142" s="109"/>
      <c r="SQL142" s="107" t="s">
        <v>1</v>
      </c>
      <c r="SQM142" s="108"/>
      <c r="SQN142" s="108"/>
      <c r="SQO142" s="109"/>
      <c r="SQP142" s="107" t="s">
        <v>1</v>
      </c>
      <c r="SQQ142" s="108"/>
      <c r="SQR142" s="108"/>
      <c r="SQS142" s="109"/>
      <c r="SQT142" s="107" t="s">
        <v>1</v>
      </c>
      <c r="SQU142" s="108"/>
      <c r="SQV142" s="108"/>
      <c r="SQW142" s="109"/>
      <c r="SQX142" s="107" t="s">
        <v>1</v>
      </c>
      <c r="SQY142" s="108"/>
      <c r="SQZ142" s="108"/>
      <c r="SRA142" s="109"/>
      <c r="SRB142" s="107" t="s">
        <v>1</v>
      </c>
      <c r="SRC142" s="108"/>
      <c r="SRD142" s="108"/>
      <c r="SRE142" s="109"/>
      <c r="SRF142" s="107" t="s">
        <v>1</v>
      </c>
      <c r="SRG142" s="108"/>
      <c r="SRH142" s="108"/>
      <c r="SRI142" s="109"/>
      <c r="SRJ142" s="107" t="s">
        <v>1</v>
      </c>
      <c r="SRK142" s="108"/>
      <c r="SRL142" s="108"/>
      <c r="SRM142" s="109"/>
      <c r="SRN142" s="107" t="s">
        <v>1</v>
      </c>
      <c r="SRO142" s="108"/>
      <c r="SRP142" s="108"/>
      <c r="SRQ142" s="109"/>
      <c r="SRR142" s="107" t="s">
        <v>1</v>
      </c>
      <c r="SRS142" s="108"/>
      <c r="SRT142" s="108"/>
      <c r="SRU142" s="109"/>
      <c r="SRV142" s="107" t="s">
        <v>1</v>
      </c>
      <c r="SRW142" s="108"/>
      <c r="SRX142" s="108"/>
      <c r="SRY142" s="109"/>
      <c r="SRZ142" s="107" t="s">
        <v>1</v>
      </c>
      <c r="SSA142" s="108"/>
      <c r="SSB142" s="108"/>
      <c r="SSC142" s="109"/>
      <c r="SSD142" s="107" t="s">
        <v>1</v>
      </c>
      <c r="SSE142" s="108"/>
      <c r="SSF142" s="108"/>
      <c r="SSG142" s="109"/>
      <c r="SSH142" s="107" t="s">
        <v>1</v>
      </c>
      <c r="SSI142" s="108"/>
      <c r="SSJ142" s="108"/>
      <c r="SSK142" s="109"/>
      <c r="SSL142" s="107" t="s">
        <v>1</v>
      </c>
      <c r="SSM142" s="108"/>
      <c r="SSN142" s="108"/>
      <c r="SSO142" s="109"/>
      <c r="SSP142" s="107" t="s">
        <v>1</v>
      </c>
      <c r="SSQ142" s="108"/>
      <c r="SSR142" s="108"/>
      <c r="SSS142" s="109"/>
      <c r="SST142" s="107" t="s">
        <v>1</v>
      </c>
      <c r="SSU142" s="108"/>
      <c r="SSV142" s="108"/>
      <c r="SSW142" s="109"/>
      <c r="SSX142" s="107" t="s">
        <v>1</v>
      </c>
      <c r="SSY142" s="108"/>
      <c r="SSZ142" s="108"/>
      <c r="STA142" s="109"/>
      <c r="STB142" s="107" t="s">
        <v>1</v>
      </c>
      <c r="STC142" s="108"/>
      <c r="STD142" s="108"/>
      <c r="STE142" s="109"/>
      <c r="STF142" s="107" t="s">
        <v>1</v>
      </c>
      <c r="STG142" s="108"/>
      <c r="STH142" s="108"/>
      <c r="STI142" s="109"/>
      <c r="STJ142" s="107" t="s">
        <v>1</v>
      </c>
      <c r="STK142" s="108"/>
      <c r="STL142" s="108"/>
      <c r="STM142" s="109"/>
      <c r="STN142" s="107" t="s">
        <v>1</v>
      </c>
      <c r="STO142" s="108"/>
      <c r="STP142" s="108"/>
      <c r="STQ142" s="109"/>
      <c r="STR142" s="107" t="s">
        <v>1</v>
      </c>
      <c r="STS142" s="108"/>
      <c r="STT142" s="108"/>
      <c r="STU142" s="109"/>
      <c r="STV142" s="107" t="s">
        <v>1</v>
      </c>
      <c r="STW142" s="108"/>
      <c r="STX142" s="108"/>
      <c r="STY142" s="109"/>
      <c r="STZ142" s="107" t="s">
        <v>1</v>
      </c>
      <c r="SUA142" s="108"/>
      <c r="SUB142" s="108"/>
      <c r="SUC142" s="109"/>
      <c r="SUD142" s="107" t="s">
        <v>1</v>
      </c>
      <c r="SUE142" s="108"/>
      <c r="SUF142" s="108"/>
      <c r="SUG142" s="109"/>
      <c r="SUH142" s="107" t="s">
        <v>1</v>
      </c>
      <c r="SUI142" s="108"/>
      <c r="SUJ142" s="108"/>
      <c r="SUK142" s="109"/>
      <c r="SUL142" s="107" t="s">
        <v>1</v>
      </c>
      <c r="SUM142" s="108"/>
      <c r="SUN142" s="108"/>
      <c r="SUO142" s="109"/>
      <c r="SUP142" s="107" t="s">
        <v>1</v>
      </c>
      <c r="SUQ142" s="108"/>
      <c r="SUR142" s="108"/>
      <c r="SUS142" s="109"/>
      <c r="SUT142" s="107" t="s">
        <v>1</v>
      </c>
      <c r="SUU142" s="108"/>
      <c r="SUV142" s="108"/>
      <c r="SUW142" s="109"/>
      <c r="SUX142" s="107" t="s">
        <v>1</v>
      </c>
      <c r="SUY142" s="108"/>
      <c r="SUZ142" s="108"/>
      <c r="SVA142" s="109"/>
      <c r="SVB142" s="107" t="s">
        <v>1</v>
      </c>
      <c r="SVC142" s="108"/>
      <c r="SVD142" s="108"/>
      <c r="SVE142" s="109"/>
      <c r="SVF142" s="107" t="s">
        <v>1</v>
      </c>
      <c r="SVG142" s="108"/>
      <c r="SVH142" s="108"/>
      <c r="SVI142" s="109"/>
      <c r="SVJ142" s="107" t="s">
        <v>1</v>
      </c>
      <c r="SVK142" s="108"/>
      <c r="SVL142" s="108"/>
      <c r="SVM142" s="109"/>
      <c r="SVN142" s="107" t="s">
        <v>1</v>
      </c>
      <c r="SVO142" s="108"/>
      <c r="SVP142" s="108"/>
      <c r="SVQ142" s="109"/>
      <c r="SVR142" s="107" t="s">
        <v>1</v>
      </c>
      <c r="SVS142" s="108"/>
      <c r="SVT142" s="108"/>
      <c r="SVU142" s="109"/>
      <c r="SVV142" s="107" t="s">
        <v>1</v>
      </c>
      <c r="SVW142" s="108"/>
      <c r="SVX142" s="108"/>
      <c r="SVY142" s="109"/>
      <c r="SVZ142" s="107" t="s">
        <v>1</v>
      </c>
      <c r="SWA142" s="108"/>
      <c r="SWB142" s="108"/>
      <c r="SWC142" s="109"/>
      <c r="SWD142" s="107" t="s">
        <v>1</v>
      </c>
      <c r="SWE142" s="108"/>
      <c r="SWF142" s="108"/>
      <c r="SWG142" s="109"/>
      <c r="SWH142" s="107" t="s">
        <v>1</v>
      </c>
      <c r="SWI142" s="108"/>
      <c r="SWJ142" s="108"/>
      <c r="SWK142" s="109"/>
      <c r="SWL142" s="107" t="s">
        <v>1</v>
      </c>
      <c r="SWM142" s="108"/>
      <c r="SWN142" s="108"/>
      <c r="SWO142" s="109"/>
      <c r="SWP142" s="107" t="s">
        <v>1</v>
      </c>
      <c r="SWQ142" s="108"/>
      <c r="SWR142" s="108"/>
      <c r="SWS142" s="109"/>
      <c r="SWT142" s="107" t="s">
        <v>1</v>
      </c>
      <c r="SWU142" s="108"/>
      <c r="SWV142" s="108"/>
      <c r="SWW142" s="109"/>
      <c r="SWX142" s="107" t="s">
        <v>1</v>
      </c>
      <c r="SWY142" s="108"/>
      <c r="SWZ142" s="108"/>
      <c r="SXA142" s="109"/>
      <c r="SXB142" s="107" t="s">
        <v>1</v>
      </c>
      <c r="SXC142" s="108"/>
      <c r="SXD142" s="108"/>
      <c r="SXE142" s="109"/>
      <c r="SXF142" s="107" t="s">
        <v>1</v>
      </c>
      <c r="SXG142" s="108"/>
      <c r="SXH142" s="108"/>
      <c r="SXI142" s="109"/>
      <c r="SXJ142" s="107" t="s">
        <v>1</v>
      </c>
      <c r="SXK142" s="108"/>
      <c r="SXL142" s="108"/>
      <c r="SXM142" s="109"/>
      <c r="SXN142" s="107" t="s">
        <v>1</v>
      </c>
      <c r="SXO142" s="108"/>
      <c r="SXP142" s="108"/>
      <c r="SXQ142" s="109"/>
      <c r="SXR142" s="107" t="s">
        <v>1</v>
      </c>
      <c r="SXS142" s="108"/>
      <c r="SXT142" s="108"/>
      <c r="SXU142" s="109"/>
      <c r="SXV142" s="107" t="s">
        <v>1</v>
      </c>
      <c r="SXW142" s="108"/>
      <c r="SXX142" s="108"/>
      <c r="SXY142" s="109"/>
      <c r="SXZ142" s="107" t="s">
        <v>1</v>
      </c>
      <c r="SYA142" s="108"/>
      <c r="SYB142" s="108"/>
      <c r="SYC142" s="109"/>
      <c r="SYD142" s="107" t="s">
        <v>1</v>
      </c>
      <c r="SYE142" s="108"/>
      <c r="SYF142" s="108"/>
      <c r="SYG142" s="109"/>
      <c r="SYH142" s="107" t="s">
        <v>1</v>
      </c>
      <c r="SYI142" s="108"/>
      <c r="SYJ142" s="108"/>
      <c r="SYK142" s="109"/>
      <c r="SYL142" s="107" t="s">
        <v>1</v>
      </c>
      <c r="SYM142" s="108"/>
      <c r="SYN142" s="108"/>
      <c r="SYO142" s="109"/>
      <c r="SYP142" s="107" t="s">
        <v>1</v>
      </c>
      <c r="SYQ142" s="108"/>
      <c r="SYR142" s="108"/>
      <c r="SYS142" s="109"/>
      <c r="SYT142" s="107" t="s">
        <v>1</v>
      </c>
      <c r="SYU142" s="108"/>
      <c r="SYV142" s="108"/>
      <c r="SYW142" s="109"/>
      <c r="SYX142" s="107" t="s">
        <v>1</v>
      </c>
      <c r="SYY142" s="108"/>
      <c r="SYZ142" s="108"/>
      <c r="SZA142" s="109"/>
      <c r="SZB142" s="107" t="s">
        <v>1</v>
      </c>
      <c r="SZC142" s="108"/>
      <c r="SZD142" s="108"/>
      <c r="SZE142" s="109"/>
      <c r="SZF142" s="107" t="s">
        <v>1</v>
      </c>
      <c r="SZG142" s="108"/>
      <c r="SZH142" s="108"/>
      <c r="SZI142" s="109"/>
      <c r="SZJ142" s="107" t="s">
        <v>1</v>
      </c>
      <c r="SZK142" s="108"/>
      <c r="SZL142" s="108"/>
      <c r="SZM142" s="109"/>
      <c r="SZN142" s="107" t="s">
        <v>1</v>
      </c>
      <c r="SZO142" s="108"/>
      <c r="SZP142" s="108"/>
      <c r="SZQ142" s="109"/>
      <c r="SZR142" s="107" t="s">
        <v>1</v>
      </c>
      <c r="SZS142" s="108"/>
      <c r="SZT142" s="108"/>
      <c r="SZU142" s="109"/>
      <c r="SZV142" s="107" t="s">
        <v>1</v>
      </c>
      <c r="SZW142" s="108"/>
      <c r="SZX142" s="108"/>
      <c r="SZY142" s="109"/>
      <c r="SZZ142" s="107" t="s">
        <v>1</v>
      </c>
      <c r="TAA142" s="108"/>
      <c r="TAB142" s="108"/>
      <c r="TAC142" s="109"/>
      <c r="TAD142" s="107" t="s">
        <v>1</v>
      </c>
      <c r="TAE142" s="108"/>
      <c r="TAF142" s="108"/>
      <c r="TAG142" s="109"/>
      <c r="TAH142" s="107" t="s">
        <v>1</v>
      </c>
      <c r="TAI142" s="108"/>
      <c r="TAJ142" s="108"/>
      <c r="TAK142" s="109"/>
      <c r="TAL142" s="107" t="s">
        <v>1</v>
      </c>
      <c r="TAM142" s="108"/>
      <c r="TAN142" s="108"/>
      <c r="TAO142" s="109"/>
      <c r="TAP142" s="107" t="s">
        <v>1</v>
      </c>
      <c r="TAQ142" s="108"/>
      <c r="TAR142" s="108"/>
      <c r="TAS142" s="109"/>
      <c r="TAT142" s="107" t="s">
        <v>1</v>
      </c>
      <c r="TAU142" s="108"/>
      <c r="TAV142" s="108"/>
      <c r="TAW142" s="109"/>
      <c r="TAX142" s="107" t="s">
        <v>1</v>
      </c>
      <c r="TAY142" s="108"/>
      <c r="TAZ142" s="108"/>
      <c r="TBA142" s="109"/>
      <c r="TBB142" s="107" t="s">
        <v>1</v>
      </c>
      <c r="TBC142" s="108"/>
      <c r="TBD142" s="108"/>
      <c r="TBE142" s="109"/>
      <c r="TBF142" s="107" t="s">
        <v>1</v>
      </c>
      <c r="TBG142" s="108"/>
      <c r="TBH142" s="108"/>
      <c r="TBI142" s="109"/>
      <c r="TBJ142" s="107" t="s">
        <v>1</v>
      </c>
      <c r="TBK142" s="108"/>
      <c r="TBL142" s="108"/>
      <c r="TBM142" s="109"/>
      <c r="TBN142" s="107" t="s">
        <v>1</v>
      </c>
      <c r="TBO142" s="108"/>
      <c r="TBP142" s="108"/>
      <c r="TBQ142" s="109"/>
      <c r="TBR142" s="107" t="s">
        <v>1</v>
      </c>
      <c r="TBS142" s="108"/>
      <c r="TBT142" s="108"/>
      <c r="TBU142" s="109"/>
      <c r="TBV142" s="107" t="s">
        <v>1</v>
      </c>
      <c r="TBW142" s="108"/>
      <c r="TBX142" s="108"/>
      <c r="TBY142" s="109"/>
      <c r="TBZ142" s="107" t="s">
        <v>1</v>
      </c>
      <c r="TCA142" s="108"/>
      <c r="TCB142" s="108"/>
      <c r="TCC142" s="109"/>
      <c r="TCD142" s="107" t="s">
        <v>1</v>
      </c>
      <c r="TCE142" s="108"/>
      <c r="TCF142" s="108"/>
      <c r="TCG142" s="109"/>
      <c r="TCH142" s="107" t="s">
        <v>1</v>
      </c>
      <c r="TCI142" s="108"/>
      <c r="TCJ142" s="108"/>
      <c r="TCK142" s="109"/>
      <c r="TCL142" s="107" t="s">
        <v>1</v>
      </c>
      <c r="TCM142" s="108"/>
      <c r="TCN142" s="108"/>
      <c r="TCO142" s="109"/>
      <c r="TCP142" s="107" t="s">
        <v>1</v>
      </c>
      <c r="TCQ142" s="108"/>
      <c r="TCR142" s="108"/>
      <c r="TCS142" s="109"/>
      <c r="TCT142" s="107" t="s">
        <v>1</v>
      </c>
      <c r="TCU142" s="108"/>
      <c r="TCV142" s="108"/>
      <c r="TCW142" s="109"/>
      <c r="TCX142" s="107" t="s">
        <v>1</v>
      </c>
      <c r="TCY142" s="108"/>
      <c r="TCZ142" s="108"/>
      <c r="TDA142" s="109"/>
      <c r="TDB142" s="107" t="s">
        <v>1</v>
      </c>
      <c r="TDC142" s="108"/>
      <c r="TDD142" s="108"/>
      <c r="TDE142" s="109"/>
      <c r="TDF142" s="107" t="s">
        <v>1</v>
      </c>
      <c r="TDG142" s="108"/>
      <c r="TDH142" s="108"/>
      <c r="TDI142" s="109"/>
      <c r="TDJ142" s="107" t="s">
        <v>1</v>
      </c>
      <c r="TDK142" s="108"/>
      <c r="TDL142" s="108"/>
      <c r="TDM142" s="109"/>
      <c r="TDN142" s="107" t="s">
        <v>1</v>
      </c>
      <c r="TDO142" s="108"/>
      <c r="TDP142" s="108"/>
      <c r="TDQ142" s="109"/>
      <c r="TDR142" s="107" t="s">
        <v>1</v>
      </c>
      <c r="TDS142" s="108"/>
      <c r="TDT142" s="108"/>
      <c r="TDU142" s="109"/>
      <c r="TDV142" s="107" t="s">
        <v>1</v>
      </c>
      <c r="TDW142" s="108"/>
      <c r="TDX142" s="108"/>
      <c r="TDY142" s="109"/>
      <c r="TDZ142" s="107" t="s">
        <v>1</v>
      </c>
      <c r="TEA142" s="108"/>
      <c r="TEB142" s="108"/>
      <c r="TEC142" s="109"/>
      <c r="TED142" s="107" t="s">
        <v>1</v>
      </c>
      <c r="TEE142" s="108"/>
      <c r="TEF142" s="108"/>
      <c r="TEG142" s="109"/>
      <c r="TEH142" s="107" t="s">
        <v>1</v>
      </c>
      <c r="TEI142" s="108"/>
      <c r="TEJ142" s="108"/>
      <c r="TEK142" s="109"/>
      <c r="TEL142" s="107" t="s">
        <v>1</v>
      </c>
      <c r="TEM142" s="108"/>
      <c r="TEN142" s="108"/>
      <c r="TEO142" s="109"/>
      <c r="TEP142" s="107" t="s">
        <v>1</v>
      </c>
      <c r="TEQ142" s="108"/>
      <c r="TER142" s="108"/>
      <c r="TES142" s="109"/>
      <c r="TET142" s="107" t="s">
        <v>1</v>
      </c>
      <c r="TEU142" s="108"/>
      <c r="TEV142" s="108"/>
      <c r="TEW142" s="109"/>
      <c r="TEX142" s="107" t="s">
        <v>1</v>
      </c>
      <c r="TEY142" s="108"/>
      <c r="TEZ142" s="108"/>
      <c r="TFA142" s="109"/>
      <c r="TFB142" s="107" t="s">
        <v>1</v>
      </c>
      <c r="TFC142" s="108"/>
      <c r="TFD142" s="108"/>
      <c r="TFE142" s="109"/>
      <c r="TFF142" s="107" t="s">
        <v>1</v>
      </c>
      <c r="TFG142" s="108"/>
      <c r="TFH142" s="108"/>
      <c r="TFI142" s="109"/>
      <c r="TFJ142" s="107" t="s">
        <v>1</v>
      </c>
      <c r="TFK142" s="108"/>
      <c r="TFL142" s="108"/>
      <c r="TFM142" s="109"/>
      <c r="TFN142" s="107" t="s">
        <v>1</v>
      </c>
      <c r="TFO142" s="108"/>
      <c r="TFP142" s="108"/>
      <c r="TFQ142" s="109"/>
      <c r="TFR142" s="107" t="s">
        <v>1</v>
      </c>
      <c r="TFS142" s="108"/>
      <c r="TFT142" s="108"/>
      <c r="TFU142" s="109"/>
      <c r="TFV142" s="107" t="s">
        <v>1</v>
      </c>
      <c r="TFW142" s="108"/>
      <c r="TFX142" s="108"/>
      <c r="TFY142" s="109"/>
      <c r="TFZ142" s="107" t="s">
        <v>1</v>
      </c>
      <c r="TGA142" s="108"/>
      <c r="TGB142" s="108"/>
      <c r="TGC142" s="109"/>
      <c r="TGD142" s="107" t="s">
        <v>1</v>
      </c>
      <c r="TGE142" s="108"/>
      <c r="TGF142" s="108"/>
      <c r="TGG142" s="109"/>
      <c r="TGH142" s="107" t="s">
        <v>1</v>
      </c>
      <c r="TGI142" s="108"/>
      <c r="TGJ142" s="108"/>
      <c r="TGK142" s="109"/>
      <c r="TGL142" s="107" t="s">
        <v>1</v>
      </c>
      <c r="TGM142" s="108"/>
      <c r="TGN142" s="108"/>
      <c r="TGO142" s="109"/>
      <c r="TGP142" s="107" t="s">
        <v>1</v>
      </c>
      <c r="TGQ142" s="108"/>
      <c r="TGR142" s="108"/>
      <c r="TGS142" s="109"/>
      <c r="TGT142" s="107" t="s">
        <v>1</v>
      </c>
      <c r="TGU142" s="108"/>
      <c r="TGV142" s="108"/>
      <c r="TGW142" s="109"/>
      <c r="TGX142" s="107" t="s">
        <v>1</v>
      </c>
      <c r="TGY142" s="108"/>
      <c r="TGZ142" s="108"/>
      <c r="THA142" s="109"/>
      <c r="THB142" s="107" t="s">
        <v>1</v>
      </c>
      <c r="THC142" s="108"/>
      <c r="THD142" s="108"/>
      <c r="THE142" s="109"/>
      <c r="THF142" s="107" t="s">
        <v>1</v>
      </c>
      <c r="THG142" s="108"/>
      <c r="THH142" s="108"/>
      <c r="THI142" s="109"/>
      <c r="THJ142" s="107" t="s">
        <v>1</v>
      </c>
      <c r="THK142" s="108"/>
      <c r="THL142" s="108"/>
      <c r="THM142" s="109"/>
      <c r="THN142" s="107" t="s">
        <v>1</v>
      </c>
      <c r="THO142" s="108"/>
      <c r="THP142" s="108"/>
      <c r="THQ142" s="109"/>
      <c r="THR142" s="107" t="s">
        <v>1</v>
      </c>
      <c r="THS142" s="108"/>
      <c r="THT142" s="108"/>
      <c r="THU142" s="109"/>
      <c r="THV142" s="107" t="s">
        <v>1</v>
      </c>
      <c r="THW142" s="108"/>
      <c r="THX142" s="108"/>
      <c r="THY142" s="109"/>
      <c r="THZ142" s="107" t="s">
        <v>1</v>
      </c>
      <c r="TIA142" s="108"/>
      <c r="TIB142" s="108"/>
      <c r="TIC142" s="109"/>
      <c r="TID142" s="107" t="s">
        <v>1</v>
      </c>
      <c r="TIE142" s="108"/>
      <c r="TIF142" s="108"/>
      <c r="TIG142" s="109"/>
      <c r="TIH142" s="107" t="s">
        <v>1</v>
      </c>
      <c r="TII142" s="108"/>
      <c r="TIJ142" s="108"/>
      <c r="TIK142" s="109"/>
      <c r="TIL142" s="107" t="s">
        <v>1</v>
      </c>
      <c r="TIM142" s="108"/>
      <c r="TIN142" s="108"/>
      <c r="TIO142" s="109"/>
      <c r="TIP142" s="107" t="s">
        <v>1</v>
      </c>
      <c r="TIQ142" s="108"/>
      <c r="TIR142" s="108"/>
      <c r="TIS142" s="109"/>
      <c r="TIT142" s="107" t="s">
        <v>1</v>
      </c>
      <c r="TIU142" s="108"/>
      <c r="TIV142" s="108"/>
      <c r="TIW142" s="109"/>
      <c r="TIX142" s="107" t="s">
        <v>1</v>
      </c>
      <c r="TIY142" s="108"/>
      <c r="TIZ142" s="108"/>
      <c r="TJA142" s="109"/>
      <c r="TJB142" s="107" t="s">
        <v>1</v>
      </c>
      <c r="TJC142" s="108"/>
      <c r="TJD142" s="108"/>
      <c r="TJE142" s="109"/>
      <c r="TJF142" s="107" t="s">
        <v>1</v>
      </c>
      <c r="TJG142" s="108"/>
      <c r="TJH142" s="108"/>
      <c r="TJI142" s="109"/>
      <c r="TJJ142" s="107" t="s">
        <v>1</v>
      </c>
      <c r="TJK142" s="108"/>
      <c r="TJL142" s="108"/>
      <c r="TJM142" s="109"/>
      <c r="TJN142" s="107" t="s">
        <v>1</v>
      </c>
      <c r="TJO142" s="108"/>
      <c r="TJP142" s="108"/>
      <c r="TJQ142" s="109"/>
      <c r="TJR142" s="107" t="s">
        <v>1</v>
      </c>
      <c r="TJS142" s="108"/>
      <c r="TJT142" s="108"/>
      <c r="TJU142" s="109"/>
      <c r="TJV142" s="107" t="s">
        <v>1</v>
      </c>
      <c r="TJW142" s="108"/>
      <c r="TJX142" s="108"/>
      <c r="TJY142" s="109"/>
      <c r="TJZ142" s="107" t="s">
        <v>1</v>
      </c>
      <c r="TKA142" s="108"/>
      <c r="TKB142" s="108"/>
      <c r="TKC142" s="109"/>
      <c r="TKD142" s="107" t="s">
        <v>1</v>
      </c>
      <c r="TKE142" s="108"/>
      <c r="TKF142" s="108"/>
      <c r="TKG142" s="109"/>
      <c r="TKH142" s="107" t="s">
        <v>1</v>
      </c>
      <c r="TKI142" s="108"/>
      <c r="TKJ142" s="108"/>
      <c r="TKK142" s="109"/>
      <c r="TKL142" s="107" t="s">
        <v>1</v>
      </c>
      <c r="TKM142" s="108"/>
      <c r="TKN142" s="108"/>
      <c r="TKO142" s="109"/>
      <c r="TKP142" s="107" t="s">
        <v>1</v>
      </c>
      <c r="TKQ142" s="108"/>
      <c r="TKR142" s="108"/>
      <c r="TKS142" s="109"/>
      <c r="TKT142" s="107" t="s">
        <v>1</v>
      </c>
      <c r="TKU142" s="108"/>
      <c r="TKV142" s="108"/>
      <c r="TKW142" s="109"/>
      <c r="TKX142" s="107" t="s">
        <v>1</v>
      </c>
      <c r="TKY142" s="108"/>
      <c r="TKZ142" s="108"/>
      <c r="TLA142" s="109"/>
      <c r="TLB142" s="107" t="s">
        <v>1</v>
      </c>
      <c r="TLC142" s="108"/>
      <c r="TLD142" s="108"/>
      <c r="TLE142" s="109"/>
      <c r="TLF142" s="107" t="s">
        <v>1</v>
      </c>
      <c r="TLG142" s="108"/>
      <c r="TLH142" s="108"/>
      <c r="TLI142" s="109"/>
      <c r="TLJ142" s="107" t="s">
        <v>1</v>
      </c>
      <c r="TLK142" s="108"/>
      <c r="TLL142" s="108"/>
      <c r="TLM142" s="109"/>
      <c r="TLN142" s="107" t="s">
        <v>1</v>
      </c>
      <c r="TLO142" s="108"/>
      <c r="TLP142" s="108"/>
      <c r="TLQ142" s="109"/>
      <c r="TLR142" s="107" t="s">
        <v>1</v>
      </c>
      <c r="TLS142" s="108"/>
      <c r="TLT142" s="108"/>
      <c r="TLU142" s="109"/>
      <c r="TLV142" s="107" t="s">
        <v>1</v>
      </c>
      <c r="TLW142" s="108"/>
      <c r="TLX142" s="108"/>
      <c r="TLY142" s="109"/>
      <c r="TLZ142" s="107" t="s">
        <v>1</v>
      </c>
      <c r="TMA142" s="108"/>
      <c r="TMB142" s="108"/>
      <c r="TMC142" s="109"/>
      <c r="TMD142" s="107" t="s">
        <v>1</v>
      </c>
      <c r="TME142" s="108"/>
      <c r="TMF142" s="108"/>
      <c r="TMG142" s="109"/>
      <c r="TMH142" s="107" t="s">
        <v>1</v>
      </c>
      <c r="TMI142" s="108"/>
      <c r="TMJ142" s="108"/>
      <c r="TMK142" s="109"/>
      <c r="TML142" s="107" t="s">
        <v>1</v>
      </c>
      <c r="TMM142" s="108"/>
      <c r="TMN142" s="108"/>
      <c r="TMO142" s="109"/>
      <c r="TMP142" s="107" t="s">
        <v>1</v>
      </c>
      <c r="TMQ142" s="108"/>
      <c r="TMR142" s="108"/>
      <c r="TMS142" s="109"/>
      <c r="TMT142" s="107" t="s">
        <v>1</v>
      </c>
      <c r="TMU142" s="108"/>
      <c r="TMV142" s="108"/>
      <c r="TMW142" s="109"/>
      <c r="TMX142" s="107" t="s">
        <v>1</v>
      </c>
      <c r="TMY142" s="108"/>
      <c r="TMZ142" s="108"/>
      <c r="TNA142" s="109"/>
      <c r="TNB142" s="107" t="s">
        <v>1</v>
      </c>
      <c r="TNC142" s="108"/>
      <c r="TND142" s="108"/>
      <c r="TNE142" s="109"/>
      <c r="TNF142" s="107" t="s">
        <v>1</v>
      </c>
      <c r="TNG142" s="108"/>
      <c r="TNH142" s="108"/>
      <c r="TNI142" s="109"/>
      <c r="TNJ142" s="107" t="s">
        <v>1</v>
      </c>
      <c r="TNK142" s="108"/>
      <c r="TNL142" s="108"/>
      <c r="TNM142" s="109"/>
      <c r="TNN142" s="107" t="s">
        <v>1</v>
      </c>
      <c r="TNO142" s="108"/>
      <c r="TNP142" s="108"/>
      <c r="TNQ142" s="109"/>
      <c r="TNR142" s="107" t="s">
        <v>1</v>
      </c>
      <c r="TNS142" s="108"/>
      <c r="TNT142" s="108"/>
      <c r="TNU142" s="109"/>
      <c r="TNV142" s="107" t="s">
        <v>1</v>
      </c>
      <c r="TNW142" s="108"/>
      <c r="TNX142" s="108"/>
      <c r="TNY142" s="109"/>
      <c r="TNZ142" s="107" t="s">
        <v>1</v>
      </c>
      <c r="TOA142" s="108"/>
      <c r="TOB142" s="108"/>
      <c r="TOC142" s="109"/>
      <c r="TOD142" s="107" t="s">
        <v>1</v>
      </c>
      <c r="TOE142" s="108"/>
      <c r="TOF142" s="108"/>
      <c r="TOG142" s="109"/>
      <c r="TOH142" s="107" t="s">
        <v>1</v>
      </c>
      <c r="TOI142" s="108"/>
      <c r="TOJ142" s="108"/>
      <c r="TOK142" s="109"/>
      <c r="TOL142" s="107" t="s">
        <v>1</v>
      </c>
      <c r="TOM142" s="108"/>
      <c r="TON142" s="108"/>
      <c r="TOO142" s="109"/>
      <c r="TOP142" s="107" t="s">
        <v>1</v>
      </c>
      <c r="TOQ142" s="108"/>
      <c r="TOR142" s="108"/>
      <c r="TOS142" s="109"/>
      <c r="TOT142" s="107" t="s">
        <v>1</v>
      </c>
      <c r="TOU142" s="108"/>
      <c r="TOV142" s="108"/>
      <c r="TOW142" s="109"/>
      <c r="TOX142" s="107" t="s">
        <v>1</v>
      </c>
      <c r="TOY142" s="108"/>
      <c r="TOZ142" s="108"/>
      <c r="TPA142" s="109"/>
      <c r="TPB142" s="107" t="s">
        <v>1</v>
      </c>
      <c r="TPC142" s="108"/>
      <c r="TPD142" s="108"/>
      <c r="TPE142" s="109"/>
      <c r="TPF142" s="107" t="s">
        <v>1</v>
      </c>
      <c r="TPG142" s="108"/>
      <c r="TPH142" s="108"/>
      <c r="TPI142" s="109"/>
      <c r="TPJ142" s="107" t="s">
        <v>1</v>
      </c>
      <c r="TPK142" s="108"/>
      <c r="TPL142" s="108"/>
      <c r="TPM142" s="109"/>
      <c r="TPN142" s="107" t="s">
        <v>1</v>
      </c>
      <c r="TPO142" s="108"/>
      <c r="TPP142" s="108"/>
      <c r="TPQ142" s="109"/>
      <c r="TPR142" s="107" t="s">
        <v>1</v>
      </c>
      <c r="TPS142" s="108"/>
      <c r="TPT142" s="108"/>
      <c r="TPU142" s="109"/>
      <c r="TPV142" s="107" t="s">
        <v>1</v>
      </c>
      <c r="TPW142" s="108"/>
      <c r="TPX142" s="108"/>
      <c r="TPY142" s="109"/>
      <c r="TPZ142" s="107" t="s">
        <v>1</v>
      </c>
      <c r="TQA142" s="108"/>
      <c r="TQB142" s="108"/>
      <c r="TQC142" s="109"/>
      <c r="TQD142" s="107" t="s">
        <v>1</v>
      </c>
      <c r="TQE142" s="108"/>
      <c r="TQF142" s="108"/>
      <c r="TQG142" s="109"/>
      <c r="TQH142" s="107" t="s">
        <v>1</v>
      </c>
      <c r="TQI142" s="108"/>
      <c r="TQJ142" s="108"/>
      <c r="TQK142" s="109"/>
      <c r="TQL142" s="107" t="s">
        <v>1</v>
      </c>
      <c r="TQM142" s="108"/>
      <c r="TQN142" s="108"/>
      <c r="TQO142" s="109"/>
      <c r="TQP142" s="107" t="s">
        <v>1</v>
      </c>
      <c r="TQQ142" s="108"/>
      <c r="TQR142" s="108"/>
      <c r="TQS142" s="109"/>
      <c r="TQT142" s="107" t="s">
        <v>1</v>
      </c>
      <c r="TQU142" s="108"/>
      <c r="TQV142" s="108"/>
      <c r="TQW142" s="109"/>
      <c r="TQX142" s="107" t="s">
        <v>1</v>
      </c>
      <c r="TQY142" s="108"/>
      <c r="TQZ142" s="108"/>
      <c r="TRA142" s="109"/>
      <c r="TRB142" s="107" t="s">
        <v>1</v>
      </c>
      <c r="TRC142" s="108"/>
      <c r="TRD142" s="108"/>
      <c r="TRE142" s="109"/>
      <c r="TRF142" s="107" t="s">
        <v>1</v>
      </c>
      <c r="TRG142" s="108"/>
      <c r="TRH142" s="108"/>
      <c r="TRI142" s="109"/>
      <c r="TRJ142" s="107" t="s">
        <v>1</v>
      </c>
      <c r="TRK142" s="108"/>
      <c r="TRL142" s="108"/>
      <c r="TRM142" s="109"/>
      <c r="TRN142" s="107" t="s">
        <v>1</v>
      </c>
      <c r="TRO142" s="108"/>
      <c r="TRP142" s="108"/>
      <c r="TRQ142" s="109"/>
      <c r="TRR142" s="107" t="s">
        <v>1</v>
      </c>
      <c r="TRS142" s="108"/>
      <c r="TRT142" s="108"/>
      <c r="TRU142" s="109"/>
      <c r="TRV142" s="107" t="s">
        <v>1</v>
      </c>
      <c r="TRW142" s="108"/>
      <c r="TRX142" s="108"/>
      <c r="TRY142" s="109"/>
      <c r="TRZ142" s="107" t="s">
        <v>1</v>
      </c>
      <c r="TSA142" s="108"/>
      <c r="TSB142" s="108"/>
      <c r="TSC142" s="109"/>
      <c r="TSD142" s="107" t="s">
        <v>1</v>
      </c>
      <c r="TSE142" s="108"/>
      <c r="TSF142" s="108"/>
      <c r="TSG142" s="109"/>
      <c r="TSH142" s="107" t="s">
        <v>1</v>
      </c>
      <c r="TSI142" s="108"/>
      <c r="TSJ142" s="108"/>
      <c r="TSK142" s="109"/>
      <c r="TSL142" s="107" t="s">
        <v>1</v>
      </c>
      <c r="TSM142" s="108"/>
      <c r="TSN142" s="108"/>
      <c r="TSO142" s="109"/>
      <c r="TSP142" s="107" t="s">
        <v>1</v>
      </c>
      <c r="TSQ142" s="108"/>
      <c r="TSR142" s="108"/>
      <c r="TSS142" s="109"/>
      <c r="TST142" s="107" t="s">
        <v>1</v>
      </c>
      <c r="TSU142" s="108"/>
      <c r="TSV142" s="108"/>
      <c r="TSW142" s="109"/>
      <c r="TSX142" s="107" t="s">
        <v>1</v>
      </c>
      <c r="TSY142" s="108"/>
      <c r="TSZ142" s="108"/>
      <c r="TTA142" s="109"/>
      <c r="TTB142" s="107" t="s">
        <v>1</v>
      </c>
      <c r="TTC142" s="108"/>
      <c r="TTD142" s="108"/>
      <c r="TTE142" s="109"/>
      <c r="TTF142" s="107" t="s">
        <v>1</v>
      </c>
      <c r="TTG142" s="108"/>
      <c r="TTH142" s="108"/>
      <c r="TTI142" s="109"/>
      <c r="TTJ142" s="107" t="s">
        <v>1</v>
      </c>
      <c r="TTK142" s="108"/>
      <c r="TTL142" s="108"/>
      <c r="TTM142" s="109"/>
      <c r="TTN142" s="107" t="s">
        <v>1</v>
      </c>
      <c r="TTO142" s="108"/>
      <c r="TTP142" s="108"/>
      <c r="TTQ142" s="109"/>
      <c r="TTR142" s="107" t="s">
        <v>1</v>
      </c>
      <c r="TTS142" s="108"/>
      <c r="TTT142" s="108"/>
      <c r="TTU142" s="109"/>
      <c r="TTV142" s="107" t="s">
        <v>1</v>
      </c>
      <c r="TTW142" s="108"/>
      <c r="TTX142" s="108"/>
      <c r="TTY142" s="109"/>
      <c r="TTZ142" s="107" t="s">
        <v>1</v>
      </c>
      <c r="TUA142" s="108"/>
      <c r="TUB142" s="108"/>
      <c r="TUC142" s="109"/>
      <c r="TUD142" s="107" t="s">
        <v>1</v>
      </c>
      <c r="TUE142" s="108"/>
      <c r="TUF142" s="108"/>
      <c r="TUG142" s="109"/>
      <c r="TUH142" s="107" t="s">
        <v>1</v>
      </c>
      <c r="TUI142" s="108"/>
      <c r="TUJ142" s="108"/>
      <c r="TUK142" s="109"/>
      <c r="TUL142" s="107" t="s">
        <v>1</v>
      </c>
      <c r="TUM142" s="108"/>
      <c r="TUN142" s="108"/>
      <c r="TUO142" s="109"/>
      <c r="TUP142" s="107" t="s">
        <v>1</v>
      </c>
      <c r="TUQ142" s="108"/>
      <c r="TUR142" s="108"/>
      <c r="TUS142" s="109"/>
      <c r="TUT142" s="107" t="s">
        <v>1</v>
      </c>
      <c r="TUU142" s="108"/>
      <c r="TUV142" s="108"/>
      <c r="TUW142" s="109"/>
      <c r="TUX142" s="107" t="s">
        <v>1</v>
      </c>
      <c r="TUY142" s="108"/>
      <c r="TUZ142" s="108"/>
      <c r="TVA142" s="109"/>
      <c r="TVB142" s="107" t="s">
        <v>1</v>
      </c>
      <c r="TVC142" s="108"/>
      <c r="TVD142" s="108"/>
      <c r="TVE142" s="109"/>
      <c r="TVF142" s="107" t="s">
        <v>1</v>
      </c>
      <c r="TVG142" s="108"/>
      <c r="TVH142" s="108"/>
      <c r="TVI142" s="109"/>
      <c r="TVJ142" s="107" t="s">
        <v>1</v>
      </c>
      <c r="TVK142" s="108"/>
      <c r="TVL142" s="108"/>
      <c r="TVM142" s="109"/>
      <c r="TVN142" s="107" t="s">
        <v>1</v>
      </c>
      <c r="TVO142" s="108"/>
      <c r="TVP142" s="108"/>
      <c r="TVQ142" s="109"/>
      <c r="TVR142" s="107" t="s">
        <v>1</v>
      </c>
      <c r="TVS142" s="108"/>
      <c r="TVT142" s="108"/>
      <c r="TVU142" s="109"/>
      <c r="TVV142" s="107" t="s">
        <v>1</v>
      </c>
      <c r="TVW142" s="108"/>
      <c r="TVX142" s="108"/>
      <c r="TVY142" s="109"/>
      <c r="TVZ142" s="107" t="s">
        <v>1</v>
      </c>
      <c r="TWA142" s="108"/>
      <c r="TWB142" s="108"/>
      <c r="TWC142" s="109"/>
      <c r="TWD142" s="107" t="s">
        <v>1</v>
      </c>
      <c r="TWE142" s="108"/>
      <c r="TWF142" s="108"/>
      <c r="TWG142" s="109"/>
      <c r="TWH142" s="107" t="s">
        <v>1</v>
      </c>
      <c r="TWI142" s="108"/>
      <c r="TWJ142" s="108"/>
      <c r="TWK142" s="109"/>
      <c r="TWL142" s="107" t="s">
        <v>1</v>
      </c>
      <c r="TWM142" s="108"/>
      <c r="TWN142" s="108"/>
      <c r="TWO142" s="109"/>
      <c r="TWP142" s="107" t="s">
        <v>1</v>
      </c>
      <c r="TWQ142" s="108"/>
      <c r="TWR142" s="108"/>
      <c r="TWS142" s="109"/>
      <c r="TWT142" s="107" t="s">
        <v>1</v>
      </c>
      <c r="TWU142" s="108"/>
      <c r="TWV142" s="108"/>
      <c r="TWW142" s="109"/>
      <c r="TWX142" s="107" t="s">
        <v>1</v>
      </c>
      <c r="TWY142" s="108"/>
      <c r="TWZ142" s="108"/>
      <c r="TXA142" s="109"/>
      <c r="TXB142" s="107" t="s">
        <v>1</v>
      </c>
      <c r="TXC142" s="108"/>
      <c r="TXD142" s="108"/>
      <c r="TXE142" s="109"/>
      <c r="TXF142" s="107" t="s">
        <v>1</v>
      </c>
      <c r="TXG142" s="108"/>
      <c r="TXH142" s="108"/>
      <c r="TXI142" s="109"/>
      <c r="TXJ142" s="107" t="s">
        <v>1</v>
      </c>
      <c r="TXK142" s="108"/>
      <c r="TXL142" s="108"/>
      <c r="TXM142" s="109"/>
      <c r="TXN142" s="107" t="s">
        <v>1</v>
      </c>
      <c r="TXO142" s="108"/>
      <c r="TXP142" s="108"/>
      <c r="TXQ142" s="109"/>
      <c r="TXR142" s="107" t="s">
        <v>1</v>
      </c>
      <c r="TXS142" s="108"/>
      <c r="TXT142" s="108"/>
      <c r="TXU142" s="109"/>
      <c r="TXV142" s="107" t="s">
        <v>1</v>
      </c>
      <c r="TXW142" s="108"/>
      <c r="TXX142" s="108"/>
      <c r="TXY142" s="109"/>
      <c r="TXZ142" s="107" t="s">
        <v>1</v>
      </c>
      <c r="TYA142" s="108"/>
      <c r="TYB142" s="108"/>
      <c r="TYC142" s="109"/>
      <c r="TYD142" s="107" t="s">
        <v>1</v>
      </c>
      <c r="TYE142" s="108"/>
      <c r="TYF142" s="108"/>
      <c r="TYG142" s="109"/>
      <c r="TYH142" s="107" t="s">
        <v>1</v>
      </c>
      <c r="TYI142" s="108"/>
      <c r="TYJ142" s="108"/>
      <c r="TYK142" s="109"/>
      <c r="TYL142" s="107" t="s">
        <v>1</v>
      </c>
      <c r="TYM142" s="108"/>
      <c r="TYN142" s="108"/>
      <c r="TYO142" s="109"/>
      <c r="TYP142" s="107" t="s">
        <v>1</v>
      </c>
      <c r="TYQ142" s="108"/>
      <c r="TYR142" s="108"/>
      <c r="TYS142" s="109"/>
      <c r="TYT142" s="107" t="s">
        <v>1</v>
      </c>
      <c r="TYU142" s="108"/>
      <c r="TYV142" s="108"/>
      <c r="TYW142" s="109"/>
      <c r="TYX142" s="107" t="s">
        <v>1</v>
      </c>
      <c r="TYY142" s="108"/>
      <c r="TYZ142" s="108"/>
      <c r="TZA142" s="109"/>
      <c r="TZB142" s="107" t="s">
        <v>1</v>
      </c>
      <c r="TZC142" s="108"/>
      <c r="TZD142" s="108"/>
      <c r="TZE142" s="109"/>
      <c r="TZF142" s="107" t="s">
        <v>1</v>
      </c>
      <c r="TZG142" s="108"/>
      <c r="TZH142" s="108"/>
      <c r="TZI142" s="109"/>
      <c r="TZJ142" s="107" t="s">
        <v>1</v>
      </c>
      <c r="TZK142" s="108"/>
      <c r="TZL142" s="108"/>
      <c r="TZM142" s="109"/>
      <c r="TZN142" s="107" t="s">
        <v>1</v>
      </c>
      <c r="TZO142" s="108"/>
      <c r="TZP142" s="108"/>
      <c r="TZQ142" s="109"/>
      <c r="TZR142" s="107" t="s">
        <v>1</v>
      </c>
      <c r="TZS142" s="108"/>
      <c r="TZT142" s="108"/>
      <c r="TZU142" s="109"/>
      <c r="TZV142" s="107" t="s">
        <v>1</v>
      </c>
      <c r="TZW142" s="108"/>
      <c r="TZX142" s="108"/>
      <c r="TZY142" s="109"/>
      <c r="TZZ142" s="107" t="s">
        <v>1</v>
      </c>
      <c r="UAA142" s="108"/>
      <c r="UAB142" s="108"/>
      <c r="UAC142" s="109"/>
      <c r="UAD142" s="107" t="s">
        <v>1</v>
      </c>
      <c r="UAE142" s="108"/>
      <c r="UAF142" s="108"/>
      <c r="UAG142" s="109"/>
      <c r="UAH142" s="107" t="s">
        <v>1</v>
      </c>
      <c r="UAI142" s="108"/>
      <c r="UAJ142" s="108"/>
      <c r="UAK142" s="109"/>
      <c r="UAL142" s="107" t="s">
        <v>1</v>
      </c>
      <c r="UAM142" s="108"/>
      <c r="UAN142" s="108"/>
      <c r="UAO142" s="109"/>
      <c r="UAP142" s="107" t="s">
        <v>1</v>
      </c>
      <c r="UAQ142" s="108"/>
      <c r="UAR142" s="108"/>
      <c r="UAS142" s="109"/>
      <c r="UAT142" s="107" t="s">
        <v>1</v>
      </c>
      <c r="UAU142" s="108"/>
      <c r="UAV142" s="108"/>
      <c r="UAW142" s="109"/>
      <c r="UAX142" s="107" t="s">
        <v>1</v>
      </c>
      <c r="UAY142" s="108"/>
      <c r="UAZ142" s="108"/>
      <c r="UBA142" s="109"/>
      <c r="UBB142" s="107" t="s">
        <v>1</v>
      </c>
      <c r="UBC142" s="108"/>
      <c r="UBD142" s="108"/>
      <c r="UBE142" s="109"/>
      <c r="UBF142" s="107" t="s">
        <v>1</v>
      </c>
      <c r="UBG142" s="108"/>
      <c r="UBH142" s="108"/>
      <c r="UBI142" s="109"/>
      <c r="UBJ142" s="107" t="s">
        <v>1</v>
      </c>
      <c r="UBK142" s="108"/>
      <c r="UBL142" s="108"/>
      <c r="UBM142" s="109"/>
      <c r="UBN142" s="107" t="s">
        <v>1</v>
      </c>
      <c r="UBO142" s="108"/>
      <c r="UBP142" s="108"/>
      <c r="UBQ142" s="109"/>
      <c r="UBR142" s="107" t="s">
        <v>1</v>
      </c>
      <c r="UBS142" s="108"/>
      <c r="UBT142" s="108"/>
      <c r="UBU142" s="109"/>
      <c r="UBV142" s="107" t="s">
        <v>1</v>
      </c>
      <c r="UBW142" s="108"/>
      <c r="UBX142" s="108"/>
      <c r="UBY142" s="109"/>
      <c r="UBZ142" s="107" t="s">
        <v>1</v>
      </c>
      <c r="UCA142" s="108"/>
      <c r="UCB142" s="108"/>
      <c r="UCC142" s="109"/>
      <c r="UCD142" s="107" t="s">
        <v>1</v>
      </c>
      <c r="UCE142" s="108"/>
      <c r="UCF142" s="108"/>
      <c r="UCG142" s="109"/>
      <c r="UCH142" s="107" t="s">
        <v>1</v>
      </c>
      <c r="UCI142" s="108"/>
      <c r="UCJ142" s="108"/>
      <c r="UCK142" s="109"/>
      <c r="UCL142" s="107" t="s">
        <v>1</v>
      </c>
      <c r="UCM142" s="108"/>
      <c r="UCN142" s="108"/>
      <c r="UCO142" s="109"/>
      <c r="UCP142" s="107" t="s">
        <v>1</v>
      </c>
      <c r="UCQ142" s="108"/>
      <c r="UCR142" s="108"/>
      <c r="UCS142" s="109"/>
      <c r="UCT142" s="107" t="s">
        <v>1</v>
      </c>
      <c r="UCU142" s="108"/>
      <c r="UCV142" s="108"/>
      <c r="UCW142" s="109"/>
      <c r="UCX142" s="107" t="s">
        <v>1</v>
      </c>
      <c r="UCY142" s="108"/>
      <c r="UCZ142" s="108"/>
      <c r="UDA142" s="109"/>
      <c r="UDB142" s="107" t="s">
        <v>1</v>
      </c>
      <c r="UDC142" s="108"/>
      <c r="UDD142" s="108"/>
      <c r="UDE142" s="109"/>
      <c r="UDF142" s="107" t="s">
        <v>1</v>
      </c>
      <c r="UDG142" s="108"/>
      <c r="UDH142" s="108"/>
      <c r="UDI142" s="109"/>
      <c r="UDJ142" s="107" t="s">
        <v>1</v>
      </c>
      <c r="UDK142" s="108"/>
      <c r="UDL142" s="108"/>
      <c r="UDM142" s="109"/>
      <c r="UDN142" s="107" t="s">
        <v>1</v>
      </c>
      <c r="UDO142" s="108"/>
      <c r="UDP142" s="108"/>
      <c r="UDQ142" s="109"/>
      <c r="UDR142" s="107" t="s">
        <v>1</v>
      </c>
      <c r="UDS142" s="108"/>
      <c r="UDT142" s="108"/>
      <c r="UDU142" s="109"/>
      <c r="UDV142" s="107" t="s">
        <v>1</v>
      </c>
      <c r="UDW142" s="108"/>
      <c r="UDX142" s="108"/>
      <c r="UDY142" s="109"/>
      <c r="UDZ142" s="107" t="s">
        <v>1</v>
      </c>
      <c r="UEA142" s="108"/>
      <c r="UEB142" s="108"/>
      <c r="UEC142" s="109"/>
      <c r="UED142" s="107" t="s">
        <v>1</v>
      </c>
      <c r="UEE142" s="108"/>
      <c r="UEF142" s="108"/>
      <c r="UEG142" s="109"/>
      <c r="UEH142" s="107" t="s">
        <v>1</v>
      </c>
      <c r="UEI142" s="108"/>
      <c r="UEJ142" s="108"/>
      <c r="UEK142" s="109"/>
      <c r="UEL142" s="107" t="s">
        <v>1</v>
      </c>
      <c r="UEM142" s="108"/>
      <c r="UEN142" s="108"/>
      <c r="UEO142" s="109"/>
      <c r="UEP142" s="107" t="s">
        <v>1</v>
      </c>
      <c r="UEQ142" s="108"/>
      <c r="UER142" s="108"/>
      <c r="UES142" s="109"/>
      <c r="UET142" s="107" t="s">
        <v>1</v>
      </c>
      <c r="UEU142" s="108"/>
      <c r="UEV142" s="108"/>
      <c r="UEW142" s="109"/>
      <c r="UEX142" s="107" t="s">
        <v>1</v>
      </c>
      <c r="UEY142" s="108"/>
      <c r="UEZ142" s="108"/>
      <c r="UFA142" s="109"/>
      <c r="UFB142" s="107" t="s">
        <v>1</v>
      </c>
      <c r="UFC142" s="108"/>
      <c r="UFD142" s="108"/>
      <c r="UFE142" s="109"/>
      <c r="UFF142" s="107" t="s">
        <v>1</v>
      </c>
      <c r="UFG142" s="108"/>
      <c r="UFH142" s="108"/>
      <c r="UFI142" s="109"/>
      <c r="UFJ142" s="107" t="s">
        <v>1</v>
      </c>
      <c r="UFK142" s="108"/>
      <c r="UFL142" s="108"/>
      <c r="UFM142" s="109"/>
      <c r="UFN142" s="107" t="s">
        <v>1</v>
      </c>
      <c r="UFO142" s="108"/>
      <c r="UFP142" s="108"/>
      <c r="UFQ142" s="109"/>
      <c r="UFR142" s="107" t="s">
        <v>1</v>
      </c>
      <c r="UFS142" s="108"/>
      <c r="UFT142" s="108"/>
      <c r="UFU142" s="109"/>
      <c r="UFV142" s="107" t="s">
        <v>1</v>
      </c>
      <c r="UFW142" s="108"/>
      <c r="UFX142" s="108"/>
      <c r="UFY142" s="109"/>
      <c r="UFZ142" s="107" t="s">
        <v>1</v>
      </c>
      <c r="UGA142" s="108"/>
      <c r="UGB142" s="108"/>
      <c r="UGC142" s="109"/>
      <c r="UGD142" s="107" t="s">
        <v>1</v>
      </c>
      <c r="UGE142" s="108"/>
      <c r="UGF142" s="108"/>
      <c r="UGG142" s="109"/>
      <c r="UGH142" s="107" t="s">
        <v>1</v>
      </c>
      <c r="UGI142" s="108"/>
      <c r="UGJ142" s="108"/>
      <c r="UGK142" s="109"/>
      <c r="UGL142" s="107" t="s">
        <v>1</v>
      </c>
      <c r="UGM142" s="108"/>
      <c r="UGN142" s="108"/>
      <c r="UGO142" s="109"/>
      <c r="UGP142" s="107" t="s">
        <v>1</v>
      </c>
      <c r="UGQ142" s="108"/>
      <c r="UGR142" s="108"/>
      <c r="UGS142" s="109"/>
      <c r="UGT142" s="107" t="s">
        <v>1</v>
      </c>
      <c r="UGU142" s="108"/>
      <c r="UGV142" s="108"/>
      <c r="UGW142" s="109"/>
      <c r="UGX142" s="107" t="s">
        <v>1</v>
      </c>
      <c r="UGY142" s="108"/>
      <c r="UGZ142" s="108"/>
      <c r="UHA142" s="109"/>
      <c r="UHB142" s="107" t="s">
        <v>1</v>
      </c>
      <c r="UHC142" s="108"/>
      <c r="UHD142" s="108"/>
      <c r="UHE142" s="109"/>
      <c r="UHF142" s="107" t="s">
        <v>1</v>
      </c>
      <c r="UHG142" s="108"/>
      <c r="UHH142" s="108"/>
      <c r="UHI142" s="109"/>
      <c r="UHJ142" s="107" t="s">
        <v>1</v>
      </c>
      <c r="UHK142" s="108"/>
      <c r="UHL142" s="108"/>
      <c r="UHM142" s="109"/>
      <c r="UHN142" s="107" t="s">
        <v>1</v>
      </c>
      <c r="UHO142" s="108"/>
      <c r="UHP142" s="108"/>
      <c r="UHQ142" s="109"/>
      <c r="UHR142" s="107" t="s">
        <v>1</v>
      </c>
      <c r="UHS142" s="108"/>
      <c r="UHT142" s="108"/>
      <c r="UHU142" s="109"/>
      <c r="UHV142" s="107" t="s">
        <v>1</v>
      </c>
      <c r="UHW142" s="108"/>
      <c r="UHX142" s="108"/>
      <c r="UHY142" s="109"/>
      <c r="UHZ142" s="107" t="s">
        <v>1</v>
      </c>
      <c r="UIA142" s="108"/>
      <c r="UIB142" s="108"/>
      <c r="UIC142" s="109"/>
      <c r="UID142" s="107" t="s">
        <v>1</v>
      </c>
      <c r="UIE142" s="108"/>
      <c r="UIF142" s="108"/>
      <c r="UIG142" s="109"/>
      <c r="UIH142" s="107" t="s">
        <v>1</v>
      </c>
      <c r="UII142" s="108"/>
      <c r="UIJ142" s="108"/>
      <c r="UIK142" s="109"/>
      <c r="UIL142" s="107" t="s">
        <v>1</v>
      </c>
      <c r="UIM142" s="108"/>
      <c r="UIN142" s="108"/>
      <c r="UIO142" s="109"/>
      <c r="UIP142" s="107" t="s">
        <v>1</v>
      </c>
      <c r="UIQ142" s="108"/>
      <c r="UIR142" s="108"/>
      <c r="UIS142" s="109"/>
      <c r="UIT142" s="107" t="s">
        <v>1</v>
      </c>
      <c r="UIU142" s="108"/>
      <c r="UIV142" s="108"/>
      <c r="UIW142" s="109"/>
      <c r="UIX142" s="107" t="s">
        <v>1</v>
      </c>
      <c r="UIY142" s="108"/>
      <c r="UIZ142" s="108"/>
      <c r="UJA142" s="109"/>
      <c r="UJB142" s="107" t="s">
        <v>1</v>
      </c>
      <c r="UJC142" s="108"/>
      <c r="UJD142" s="108"/>
      <c r="UJE142" s="109"/>
      <c r="UJF142" s="107" t="s">
        <v>1</v>
      </c>
      <c r="UJG142" s="108"/>
      <c r="UJH142" s="108"/>
      <c r="UJI142" s="109"/>
      <c r="UJJ142" s="107" t="s">
        <v>1</v>
      </c>
      <c r="UJK142" s="108"/>
      <c r="UJL142" s="108"/>
      <c r="UJM142" s="109"/>
      <c r="UJN142" s="107" t="s">
        <v>1</v>
      </c>
      <c r="UJO142" s="108"/>
      <c r="UJP142" s="108"/>
      <c r="UJQ142" s="109"/>
      <c r="UJR142" s="107" t="s">
        <v>1</v>
      </c>
      <c r="UJS142" s="108"/>
      <c r="UJT142" s="108"/>
      <c r="UJU142" s="109"/>
      <c r="UJV142" s="107" t="s">
        <v>1</v>
      </c>
      <c r="UJW142" s="108"/>
      <c r="UJX142" s="108"/>
      <c r="UJY142" s="109"/>
      <c r="UJZ142" s="107" t="s">
        <v>1</v>
      </c>
      <c r="UKA142" s="108"/>
      <c r="UKB142" s="108"/>
      <c r="UKC142" s="109"/>
      <c r="UKD142" s="107" t="s">
        <v>1</v>
      </c>
      <c r="UKE142" s="108"/>
      <c r="UKF142" s="108"/>
      <c r="UKG142" s="109"/>
      <c r="UKH142" s="107" t="s">
        <v>1</v>
      </c>
      <c r="UKI142" s="108"/>
      <c r="UKJ142" s="108"/>
      <c r="UKK142" s="109"/>
      <c r="UKL142" s="107" t="s">
        <v>1</v>
      </c>
      <c r="UKM142" s="108"/>
      <c r="UKN142" s="108"/>
      <c r="UKO142" s="109"/>
      <c r="UKP142" s="107" t="s">
        <v>1</v>
      </c>
      <c r="UKQ142" s="108"/>
      <c r="UKR142" s="108"/>
      <c r="UKS142" s="109"/>
      <c r="UKT142" s="107" t="s">
        <v>1</v>
      </c>
      <c r="UKU142" s="108"/>
      <c r="UKV142" s="108"/>
      <c r="UKW142" s="109"/>
      <c r="UKX142" s="107" t="s">
        <v>1</v>
      </c>
      <c r="UKY142" s="108"/>
      <c r="UKZ142" s="108"/>
      <c r="ULA142" s="109"/>
      <c r="ULB142" s="107" t="s">
        <v>1</v>
      </c>
      <c r="ULC142" s="108"/>
      <c r="ULD142" s="108"/>
      <c r="ULE142" s="109"/>
      <c r="ULF142" s="107" t="s">
        <v>1</v>
      </c>
      <c r="ULG142" s="108"/>
      <c r="ULH142" s="108"/>
      <c r="ULI142" s="109"/>
      <c r="ULJ142" s="107" t="s">
        <v>1</v>
      </c>
      <c r="ULK142" s="108"/>
      <c r="ULL142" s="108"/>
      <c r="ULM142" s="109"/>
      <c r="ULN142" s="107" t="s">
        <v>1</v>
      </c>
      <c r="ULO142" s="108"/>
      <c r="ULP142" s="108"/>
      <c r="ULQ142" s="109"/>
      <c r="ULR142" s="107" t="s">
        <v>1</v>
      </c>
      <c r="ULS142" s="108"/>
      <c r="ULT142" s="108"/>
      <c r="ULU142" s="109"/>
      <c r="ULV142" s="107" t="s">
        <v>1</v>
      </c>
      <c r="ULW142" s="108"/>
      <c r="ULX142" s="108"/>
      <c r="ULY142" s="109"/>
      <c r="ULZ142" s="107" t="s">
        <v>1</v>
      </c>
      <c r="UMA142" s="108"/>
      <c r="UMB142" s="108"/>
      <c r="UMC142" s="109"/>
      <c r="UMD142" s="107" t="s">
        <v>1</v>
      </c>
      <c r="UME142" s="108"/>
      <c r="UMF142" s="108"/>
      <c r="UMG142" s="109"/>
      <c r="UMH142" s="107" t="s">
        <v>1</v>
      </c>
      <c r="UMI142" s="108"/>
      <c r="UMJ142" s="108"/>
      <c r="UMK142" s="109"/>
      <c r="UML142" s="107" t="s">
        <v>1</v>
      </c>
      <c r="UMM142" s="108"/>
      <c r="UMN142" s="108"/>
      <c r="UMO142" s="109"/>
      <c r="UMP142" s="107" t="s">
        <v>1</v>
      </c>
      <c r="UMQ142" s="108"/>
      <c r="UMR142" s="108"/>
      <c r="UMS142" s="109"/>
      <c r="UMT142" s="107" t="s">
        <v>1</v>
      </c>
      <c r="UMU142" s="108"/>
      <c r="UMV142" s="108"/>
      <c r="UMW142" s="109"/>
      <c r="UMX142" s="107" t="s">
        <v>1</v>
      </c>
      <c r="UMY142" s="108"/>
      <c r="UMZ142" s="108"/>
      <c r="UNA142" s="109"/>
      <c r="UNB142" s="107" t="s">
        <v>1</v>
      </c>
      <c r="UNC142" s="108"/>
      <c r="UND142" s="108"/>
      <c r="UNE142" s="109"/>
      <c r="UNF142" s="107" t="s">
        <v>1</v>
      </c>
      <c r="UNG142" s="108"/>
      <c r="UNH142" s="108"/>
      <c r="UNI142" s="109"/>
      <c r="UNJ142" s="107" t="s">
        <v>1</v>
      </c>
      <c r="UNK142" s="108"/>
      <c r="UNL142" s="108"/>
      <c r="UNM142" s="109"/>
      <c r="UNN142" s="107" t="s">
        <v>1</v>
      </c>
      <c r="UNO142" s="108"/>
      <c r="UNP142" s="108"/>
      <c r="UNQ142" s="109"/>
      <c r="UNR142" s="107" t="s">
        <v>1</v>
      </c>
      <c r="UNS142" s="108"/>
      <c r="UNT142" s="108"/>
      <c r="UNU142" s="109"/>
      <c r="UNV142" s="107" t="s">
        <v>1</v>
      </c>
      <c r="UNW142" s="108"/>
      <c r="UNX142" s="108"/>
      <c r="UNY142" s="109"/>
      <c r="UNZ142" s="107" t="s">
        <v>1</v>
      </c>
      <c r="UOA142" s="108"/>
      <c r="UOB142" s="108"/>
      <c r="UOC142" s="109"/>
      <c r="UOD142" s="107" t="s">
        <v>1</v>
      </c>
      <c r="UOE142" s="108"/>
      <c r="UOF142" s="108"/>
      <c r="UOG142" s="109"/>
      <c r="UOH142" s="107" t="s">
        <v>1</v>
      </c>
      <c r="UOI142" s="108"/>
      <c r="UOJ142" s="108"/>
      <c r="UOK142" s="109"/>
      <c r="UOL142" s="107" t="s">
        <v>1</v>
      </c>
      <c r="UOM142" s="108"/>
      <c r="UON142" s="108"/>
      <c r="UOO142" s="109"/>
      <c r="UOP142" s="107" t="s">
        <v>1</v>
      </c>
      <c r="UOQ142" s="108"/>
      <c r="UOR142" s="108"/>
      <c r="UOS142" s="109"/>
      <c r="UOT142" s="107" t="s">
        <v>1</v>
      </c>
      <c r="UOU142" s="108"/>
      <c r="UOV142" s="108"/>
      <c r="UOW142" s="109"/>
      <c r="UOX142" s="107" t="s">
        <v>1</v>
      </c>
      <c r="UOY142" s="108"/>
      <c r="UOZ142" s="108"/>
      <c r="UPA142" s="109"/>
      <c r="UPB142" s="107" t="s">
        <v>1</v>
      </c>
      <c r="UPC142" s="108"/>
      <c r="UPD142" s="108"/>
      <c r="UPE142" s="109"/>
      <c r="UPF142" s="107" t="s">
        <v>1</v>
      </c>
      <c r="UPG142" s="108"/>
      <c r="UPH142" s="108"/>
      <c r="UPI142" s="109"/>
      <c r="UPJ142" s="107" t="s">
        <v>1</v>
      </c>
      <c r="UPK142" s="108"/>
      <c r="UPL142" s="108"/>
      <c r="UPM142" s="109"/>
      <c r="UPN142" s="107" t="s">
        <v>1</v>
      </c>
      <c r="UPO142" s="108"/>
      <c r="UPP142" s="108"/>
      <c r="UPQ142" s="109"/>
      <c r="UPR142" s="107" t="s">
        <v>1</v>
      </c>
      <c r="UPS142" s="108"/>
      <c r="UPT142" s="108"/>
      <c r="UPU142" s="109"/>
      <c r="UPV142" s="107" t="s">
        <v>1</v>
      </c>
      <c r="UPW142" s="108"/>
      <c r="UPX142" s="108"/>
      <c r="UPY142" s="109"/>
      <c r="UPZ142" s="107" t="s">
        <v>1</v>
      </c>
      <c r="UQA142" s="108"/>
      <c r="UQB142" s="108"/>
      <c r="UQC142" s="109"/>
      <c r="UQD142" s="107" t="s">
        <v>1</v>
      </c>
      <c r="UQE142" s="108"/>
      <c r="UQF142" s="108"/>
      <c r="UQG142" s="109"/>
      <c r="UQH142" s="107" t="s">
        <v>1</v>
      </c>
      <c r="UQI142" s="108"/>
      <c r="UQJ142" s="108"/>
      <c r="UQK142" s="109"/>
      <c r="UQL142" s="107" t="s">
        <v>1</v>
      </c>
      <c r="UQM142" s="108"/>
      <c r="UQN142" s="108"/>
      <c r="UQO142" s="109"/>
      <c r="UQP142" s="107" t="s">
        <v>1</v>
      </c>
      <c r="UQQ142" s="108"/>
      <c r="UQR142" s="108"/>
      <c r="UQS142" s="109"/>
      <c r="UQT142" s="107" t="s">
        <v>1</v>
      </c>
      <c r="UQU142" s="108"/>
      <c r="UQV142" s="108"/>
      <c r="UQW142" s="109"/>
      <c r="UQX142" s="107" t="s">
        <v>1</v>
      </c>
      <c r="UQY142" s="108"/>
      <c r="UQZ142" s="108"/>
      <c r="URA142" s="109"/>
      <c r="URB142" s="107" t="s">
        <v>1</v>
      </c>
      <c r="URC142" s="108"/>
      <c r="URD142" s="108"/>
      <c r="URE142" s="109"/>
      <c r="URF142" s="107" t="s">
        <v>1</v>
      </c>
      <c r="URG142" s="108"/>
      <c r="URH142" s="108"/>
      <c r="URI142" s="109"/>
      <c r="URJ142" s="107" t="s">
        <v>1</v>
      </c>
      <c r="URK142" s="108"/>
      <c r="URL142" s="108"/>
      <c r="URM142" s="109"/>
      <c r="URN142" s="107" t="s">
        <v>1</v>
      </c>
      <c r="URO142" s="108"/>
      <c r="URP142" s="108"/>
      <c r="URQ142" s="109"/>
      <c r="URR142" s="107" t="s">
        <v>1</v>
      </c>
      <c r="URS142" s="108"/>
      <c r="URT142" s="108"/>
      <c r="URU142" s="109"/>
      <c r="URV142" s="107" t="s">
        <v>1</v>
      </c>
      <c r="URW142" s="108"/>
      <c r="URX142" s="108"/>
      <c r="URY142" s="109"/>
      <c r="URZ142" s="107" t="s">
        <v>1</v>
      </c>
      <c r="USA142" s="108"/>
      <c r="USB142" s="108"/>
      <c r="USC142" s="109"/>
      <c r="USD142" s="107" t="s">
        <v>1</v>
      </c>
      <c r="USE142" s="108"/>
      <c r="USF142" s="108"/>
      <c r="USG142" s="109"/>
      <c r="USH142" s="107" t="s">
        <v>1</v>
      </c>
      <c r="USI142" s="108"/>
      <c r="USJ142" s="108"/>
      <c r="USK142" s="109"/>
      <c r="USL142" s="107" t="s">
        <v>1</v>
      </c>
      <c r="USM142" s="108"/>
      <c r="USN142" s="108"/>
      <c r="USO142" s="109"/>
      <c r="USP142" s="107" t="s">
        <v>1</v>
      </c>
      <c r="USQ142" s="108"/>
      <c r="USR142" s="108"/>
      <c r="USS142" s="109"/>
      <c r="UST142" s="107" t="s">
        <v>1</v>
      </c>
      <c r="USU142" s="108"/>
      <c r="USV142" s="108"/>
      <c r="USW142" s="109"/>
      <c r="USX142" s="107" t="s">
        <v>1</v>
      </c>
      <c r="USY142" s="108"/>
      <c r="USZ142" s="108"/>
      <c r="UTA142" s="109"/>
      <c r="UTB142" s="107" t="s">
        <v>1</v>
      </c>
      <c r="UTC142" s="108"/>
      <c r="UTD142" s="108"/>
      <c r="UTE142" s="109"/>
      <c r="UTF142" s="107" t="s">
        <v>1</v>
      </c>
      <c r="UTG142" s="108"/>
      <c r="UTH142" s="108"/>
      <c r="UTI142" s="109"/>
      <c r="UTJ142" s="107" t="s">
        <v>1</v>
      </c>
      <c r="UTK142" s="108"/>
      <c r="UTL142" s="108"/>
      <c r="UTM142" s="109"/>
      <c r="UTN142" s="107" t="s">
        <v>1</v>
      </c>
      <c r="UTO142" s="108"/>
      <c r="UTP142" s="108"/>
      <c r="UTQ142" s="109"/>
      <c r="UTR142" s="107" t="s">
        <v>1</v>
      </c>
      <c r="UTS142" s="108"/>
      <c r="UTT142" s="108"/>
      <c r="UTU142" s="109"/>
      <c r="UTV142" s="107" t="s">
        <v>1</v>
      </c>
      <c r="UTW142" s="108"/>
      <c r="UTX142" s="108"/>
      <c r="UTY142" s="109"/>
      <c r="UTZ142" s="107" t="s">
        <v>1</v>
      </c>
      <c r="UUA142" s="108"/>
      <c r="UUB142" s="108"/>
      <c r="UUC142" s="109"/>
      <c r="UUD142" s="107" t="s">
        <v>1</v>
      </c>
      <c r="UUE142" s="108"/>
      <c r="UUF142" s="108"/>
      <c r="UUG142" s="109"/>
      <c r="UUH142" s="107" t="s">
        <v>1</v>
      </c>
      <c r="UUI142" s="108"/>
      <c r="UUJ142" s="108"/>
      <c r="UUK142" s="109"/>
      <c r="UUL142" s="107" t="s">
        <v>1</v>
      </c>
      <c r="UUM142" s="108"/>
      <c r="UUN142" s="108"/>
      <c r="UUO142" s="109"/>
      <c r="UUP142" s="107" t="s">
        <v>1</v>
      </c>
      <c r="UUQ142" s="108"/>
      <c r="UUR142" s="108"/>
      <c r="UUS142" s="109"/>
      <c r="UUT142" s="107" t="s">
        <v>1</v>
      </c>
      <c r="UUU142" s="108"/>
      <c r="UUV142" s="108"/>
      <c r="UUW142" s="109"/>
      <c r="UUX142" s="107" t="s">
        <v>1</v>
      </c>
      <c r="UUY142" s="108"/>
      <c r="UUZ142" s="108"/>
      <c r="UVA142" s="109"/>
      <c r="UVB142" s="107" t="s">
        <v>1</v>
      </c>
      <c r="UVC142" s="108"/>
      <c r="UVD142" s="108"/>
      <c r="UVE142" s="109"/>
      <c r="UVF142" s="107" t="s">
        <v>1</v>
      </c>
      <c r="UVG142" s="108"/>
      <c r="UVH142" s="108"/>
      <c r="UVI142" s="109"/>
      <c r="UVJ142" s="107" t="s">
        <v>1</v>
      </c>
      <c r="UVK142" s="108"/>
      <c r="UVL142" s="108"/>
      <c r="UVM142" s="109"/>
      <c r="UVN142" s="107" t="s">
        <v>1</v>
      </c>
      <c r="UVO142" s="108"/>
      <c r="UVP142" s="108"/>
      <c r="UVQ142" s="109"/>
      <c r="UVR142" s="107" t="s">
        <v>1</v>
      </c>
      <c r="UVS142" s="108"/>
      <c r="UVT142" s="108"/>
      <c r="UVU142" s="109"/>
      <c r="UVV142" s="107" t="s">
        <v>1</v>
      </c>
      <c r="UVW142" s="108"/>
      <c r="UVX142" s="108"/>
      <c r="UVY142" s="109"/>
      <c r="UVZ142" s="107" t="s">
        <v>1</v>
      </c>
      <c r="UWA142" s="108"/>
      <c r="UWB142" s="108"/>
      <c r="UWC142" s="109"/>
      <c r="UWD142" s="107" t="s">
        <v>1</v>
      </c>
      <c r="UWE142" s="108"/>
      <c r="UWF142" s="108"/>
      <c r="UWG142" s="109"/>
      <c r="UWH142" s="107" t="s">
        <v>1</v>
      </c>
      <c r="UWI142" s="108"/>
      <c r="UWJ142" s="108"/>
      <c r="UWK142" s="109"/>
      <c r="UWL142" s="107" t="s">
        <v>1</v>
      </c>
      <c r="UWM142" s="108"/>
      <c r="UWN142" s="108"/>
      <c r="UWO142" s="109"/>
      <c r="UWP142" s="107" t="s">
        <v>1</v>
      </c>
      <c r="UWQ142" s="108"/>
      <c r="UWR142" s="108"/>
      <c r="UWS142" s="109"/>
      <c r="UWT142" s="107" t="s">
        <v>1</v>
      </c>
      <c r="UWU142" s="108"/>
      <c r="UWV142" s="108"/>
      <c r="UWW142" s="109"/>
      <c r="UWX142" s="107" t="s">
        <v>1</v>
      </c>
      <c r="UWY142" s="108"/>
      <c r="UWZ142" s="108"/>
      <c r="UXA142" s="109"/>
      <c r="UXB142" s="107" t="s">
        <v>1</v>
      </c>
      <c r="UXC142" s="108"/>
      <c r="UXD142" s="108"/>
      <c r="UXE142" s="109"/>
      <c r="UXF142" s="107" t="s">
        <v>1</v>
      </c>
      <c r="UXG142" s="108"/>
      <c r="UXH142" s="108"/>
      <c r="UXI142" s="109"/>
      <c r="UXJ142" s="107" t="s">
        <v>1</v>
      </c>
      <c r="UXK142" s="108"/>
      <c r="UXL142" s="108"/>
      <c r="UXM142" s="109"/>
      <c r="UXN142" s="107" t="s">
        <v>1</v>
      </c>
      <c r="UXO142" s="108"/>
      <c r="UXP142" s="108"/>
      <c r="UXQ142" s="109"/>
      <c r="UXR142" s="107" t="s">
        <v>1</v>
      </c>
      <c r="UXS142" s="108"/>
      <c r="UXT142" s="108"/>
      <c r="UXU142" s="109"/>
      <c r="UXV142" s="107" t="s">
        <v>1</v>
      </c>
      <c r="UXW142" s="108"/>
      <c r="UXX142" s="108"/>
      <c r="UXY142" s="109"/>
      <c r="UXZ142" s="107" t="s">
        <v>1</v>
      </c>
      <c r="UYA142" s="108"/>
      <c r="UYB142" s="108"/>
      <c r="UYC142" s="109"/>
      <c r="UYD142" s="107" t="s">
        <v>1</v>
      </c>
      <c r="UYE142" s="108"/>
      <c r="UYF142" s="108"/>
      <c r="UYG142" s="109"/>
      <c r="UYH142" s="107" t="s">
        <v>1</v>
      </c>
      <c r="UYI142" s="108"/>
      <c r="UYJ142" s="108"/>
      <c r="UYK142" s="109"/>
      <c r="UYL142" s="107" t="s">
        <v>1</v>
      </c>
      <c r="UYM142" s="108"/>
      <c r="UYN142" s="108"/>
      <c r="UYO142" s="109"/>
      <c r="UYP142" s="107" t="s">
        <v>1</v>
      </c>
      <c r="UYQ142" s="108"/>
      <c r="UYR142" s="108"/>
      <c r="UYS142" s="109"/>
      <c r="UYT142" s="107" t="s">
        <v>1</v>
      </c>
      <c r="UYU142" s="108"/>
      <c r="UYV142" s="108"/>
      <c r="UYW142" s="109"/>
      <c r="UYX142" s="107" t="s">
        <v>1</v>
      </c>
      <c r="UYY142" s="108"/>
      <c r="UYZ142" s="108"/>
      <c r="UZA142" s="109"/>
      <c r="UZB142" s="107" t="s">
        <v>1</v>
      </c>
      <c r="UZC142" s="108"/>
      <c r="UZD142" s="108"/>
      <c r="UZE142" s="109"/>
      <c r="UZF142" s="107" t="s">
        <v>1</v>
      </c>
      <c r="UZG142" s="108"/>
      <c r="UZH142" s="108"/>
      <c r="UZI142" s="109"/>
      <c r="UZJ142" s="107" t="s">
        <v>1</v>
      </c>
      <c r="UZK142" s="108"/>
      <c r="UZL142" s="108"/>
      <c r="UZM142" s="109"/>
      <c r="UZN142" s="107" t="s">
        <v>1</v>
      </c>
      <c r="UZO142" s="108"/>
      <c r="UZP142" s="108"/>
      <c r="UZQ142" s="109"/>
      <c r="UZR142" s="107" t="s">
        <v>1</v>
      </c>
      <c r="UZS142" s="108"/>
      <c r="UZT142" s="108"/>
      <c r="UZU142" s="109"/>
      <c r="UZV142" s="107" t="s">
        <v>1</v>
      </c>
      <c r="UZW142" s="108"/>
      <c r="UZX142" s="108"/>
      <c r="UZY142" s="109"/>
      <c r="UZZ142" s="107" t="s">
        <v>1</v>
      </c>
      <c r="VAA142" s="108"/>
      <c r="VAB142" s="108"/>
      <c r="VAC142" s="109"/>
      <c r="VAD142" s="107" t="s">
        <v>1</v>
      </c>
      <c r="VAE142" s="108"/>
      <c r="VAF142" s="108"/>
      <c r="VAG142" s="109"/>
      <c r="VAH142" s="107" t="s">
        <v>1</v>
      </c>
      <c r="VAI142" s="108"/>
      <c r="VAJ142" s="108"/>
      <c r="VAK142" s="109"/>
      <c r="VAL142" s="107" t="s">
        <v>1</v>
      </c>
      <c r="VAM142" s="108"/>
      <c r="VAN142" s="108"/>
      <c r="VAO142" s="109"/>
      <c r="VAP142" s="107" t="s">
        <v>1</v>
      </c>
      <c r="VAQ142" s="108"/>
      <c r="VAR142" s="108"/>
      <c r="VAS142" s="109"/>
      <c r="VAT142" s="107" t="s">
        <v>1</v>
      </c>
      <c r="VAU142" s="108"/>
      <c r="VAV142" s="108"/>
      <c r="VAW142" s="109"/>
      <c r="VAX142" s="107" t="s">
        <v>1</v>
      </c>
      <c r="VAY142" s="108"/>
      <c r="VAZ142" s="108"/>
      <c r="VBA142" s="109"/>
      <c r="VBB142" s="107" t="s">
        <v>1</v>
      </c>
      <c r="VBC142" s="108"/>
      <c r="VBD142" s="108"/>
      <c r="VBE142" s="109"/>
      <c r="VBF142" s="107" t="s">
        <v>1</v>
      </c>
      <c r="VBG142" s="108"/>
      <c r="VBH142" s="108"/>
      <c r="VBI142" s="109"/>
      <c r="VBJ142" s="107" t="s">
        <v>1</v>
      </c>
      <c r="VBK142" s="108"/>
      <c r="VBL142" s="108"/>
      <c r="VBM142" s="109"/>
      <c r="VBN142" s="107" t="s">
        <v>1</v>
      </c>
      <c r="VBO142" s="108"/>
      <c r="VBP142" s="108"/>
      <c r="VBQ142" s="109"/>
      <c r="VBR142" s="107" t="s">
        <v>1</v>
      </c>
      <c r="VBS142" s="108"/>
      <c r="VBT142" s="108"/>
      <c r="VBU142" s="109"/>
      <c r="VBV142" s="107" t="s">
        <v>1</v>
      </c>
      <c r="VBW142" s="108"/>
      <c r="VBX142" s="108"/>
      <c r="VBY142" s="109"/>
      <c r="VBZ142" s="107" t="s">
        <v>1</v>
      </c>
      <c r="VCA142" s="108"/>
      <c r="VCB142" s="108"/>
      <c r="VCC142" s="109"/>
      <c r="VCD142" s="107" t="s">
        <v>1</v>
      </c>
      <c r="VCE142" s="108"/>
      <c r="VCF142" s="108"/>
      <c r="VCG142" s="109"/>
      <c r="VCH142" s="107" t="s">
        <v>1</v>
      </c>
      <c r="VCI142" s="108"/>
      <c r="VCJ142" s="108"/>
      <c r="VCK142" s="109"/>
      <c r="VCL142" s="107" t="s">
        <v>1</v>
      </c>
      <c r="VCM142" s="108"/>
      <c r="VCN142" s="108"/>
      <c r="VCO142" s="109"/>
      <c r="VCP142" s="107" t="s">
        <v>1</v>
      </c>
      <c r="VCQ142" s="108"/>
      <c r="VCR142" s="108"/>
      <c r="VCS142" s="109"/>
      <c r="VCT142" s="107" t="s">
        <v>1</v>
      </c>
      <c r="VCU142" s="108"/>
      <c r="VCV142" s="108"/>
      <c r="VCW142" s="109"/>
      <c r="VCX142" s="107" t="s">
        <v>1</v>
      </c>
      <c r="VCY142" s="108"/>
      <c r="VCZ142" s="108"/>
      <c r="VDA142" s="109"/>
      <c r="VDB142" s="107" t="s">
        <v>1</v>
      </c>
      <c r="VDC142" s="108"/>
      <c r="VDD142" s="108"/>
      <c r="VDE142" s="109"/>
      <c r="VDF142" s="107" t="s">
        <v>1</v>
      </c>
      <c r="VDG142" s="108"/>
      <c r="VDH142" s="108"/>
      <c r="VDI142" s="109"/>
      <c r="VDJ142" s="107" t="s">
        <v>1</v>
      </c>
      <c r="VDK142" s="108"/>
      <c r="VDL142" s="108"/>
      <c r="VDM142" s="109"/>
      <c r="VDN142" s="107" t="s">
        <v>1</v>
      </c>
      <c r="VDO142" s="108"/>
      <c r="VDP142" s="108"/>
      <c r="VDQ142" s="109"/>
      <c r="VDR142" s="107" t="s">
        <v>1</v>
      </c>
      <c r="VDS142" s="108"/>
      <c r="VDT142" s="108"/>
      <c r="VDU142" s="109"/>
      <c r="VDV142" s="107" t="s">
        <v>1</v>
      </c>
      <c r="VDW142" s="108"/>
      <c r="VDX142" s="108"/>
      <c r="VDY142" s="109"/>
      <c r="VDZ142" s="107" t="s">
        <v>1</v>
      </c>
      <c r="VEA142" s="108"/>
      <c r="VEB142" s="108"/>
      <c r="VEC142" s="109"/>
      <c r="VED142" s="107" t="s">
        <v>1</v>
      </c>
      <c r="VEE142" s="108"/>
      <c r="VEF142" s="108"/>
      <c r="VEG142" s="109"/>
      <c r="VEH142" s="107" t="s">
        <v>1</v>
      </c>
      <c r="VEI142" s="108"/>
      <c r="VEJ142" s="108"/>
      <c r="VEK142" s="109"/>
      <c r="VEL142" s="107" t="s">
        <v>1</v>
      </c>
      <c r="VEM142" s="108"/>
      <c r="VEN142" s="108"/>
      <c r="VEO142" s="109"/>
      <c r="VEP142" s="107" t="s">
        <v>1</v>
      </c>
      <c r="VEQ142" s="108"/>
      <c r="VER142" s="108"/>
      <c r="VES142" s="109"/>
      <c r="VET142" s="107" t="s">
        <v>1</v>
      </c>
      <c r="VEU142" s="108"/>
      <c r="VEV142" s="108"/>
      <c r="VEW142" s="109"/>
      <c r="VEX142" s="107" t="s">
        <v>1</v>
      </c>
      <c r="VEY142" s="108"/>
      <c r="VEZ142" s="108"/>
      <c r="VFA142" s="109"/>
      <c r="VFB142" s="107" t="s">
        <v>1</v>
      </c>
      <c r="VFC142" s="108"/>
      <c r="VFD142" s="108"/>
      <c r="VFE142" s="109"/>
      <c r="VFF142" s="107" t="s">
        <v>1</v>
      </c>
      <c r="VFG142" s="108"/>
      <c r="VFH142" s="108"/>
      <c r="VFI142" s="109"/>
      <c r="VFJ142" s="107" t="s">
        <v>1</v>
      </c>
      <c r="VFK142" s="108"/>
      <c r="VFL142" s="108"/>
      <c r="VFM142" s="109"/>
      <c r="VFN142" s="107" t="s">
        <v>1</v>
      </c>
      <c r="VFO142" s="108"/>
      <c r="VFP142" s="108"/>
      <c r="VFQ142" s="109"/>
      <c r="VFR142" s="107" t="s">
        <v>1</v>
      </c>
      <c r="VFS142" s="108"/>
      <c r="VFT142" s="108"/>
      <c r="VFU142" s="109"/>
      <c r="VFV142" s="107" t="s">
        <v>1</v>
      </c>
      <c r="VFW142" s="108"/>
      <c r="VFX142" s="108"/>
      <c r="VFY142" s="109"/>
      <c r="VFZ142" s="107" t="s">
        <v>1</v>
      </c>
      <c r="VGA142" s="108"/>
      <c r="VGB142" s="108"/>
      <c r="VGC142" s="109"/>
      <c r="VGD142" s="107" t="s">
        <v>1</v>
      </c>
      <c r="VGE142" s="108"/>
      <c r="VGF142" s="108"/>
      <c r="VGG142" s="109"/>
      <c r="VGH142" s="107" t="s">
        <v>1</v>
      </c>
      <c r="VGI142" s="108"/>
      <c r="VGJ142" s="108"/>
      <c r="VGK142" s="109"/>
      <c r="VGL142" s="107" t="s">
        <v>1</v>
      </c>
      <c r="VGM142" s="108"/>
      <c r="VGN142" s="108"/>
      <c r="VGO142" s="109"/>
      <c r="VGP142" s="107" t="s">
        <v>1</v>
      </c>
      <c r="VGQ142" s="108"/>
      <c r="VGR142" s="108"/>
      <c r="VGS142" s="109"/>
      <c r="VGT142" s="107" t="s">
        <v>1</v>
      </c>
      <c r="VGU142" s="108"/>
      <c r="VGV142" s="108"/>
      <c r="VGW142" s="109"/>
      <c r="VGX142" s="107" t="s">
        <v>1</v>
      </c>
      <c r="VGY142" s="108"/>
      <c r="VGZ142" s="108"/>
      <c r="VHA142" s="109"/>
      <c r="VHB142" s="107" t="s">
        <v>1</v>
      </c>
      <c r="VHC142" s="108"/>
      <c r="VHD142" s="108"/>
      <c r="VHE142" s="109"/>
      <c r="VHF142" s="107" t="s">
        <v>1</v>
      </c>
      <c r="VHG142" s="108"/>
      <c r="VHH142" s="108"/>
      <c r="VHI142" s="109"/>
      <c r="VHJ142" s="107" t="s">
        <v>1</v>
      </c>
      <c r="VHK142" s="108"/>
      <c r="VHL142" s="108"/>
      <c r="VHM142" s="109"/>
      <c r="VHN142" s="107" t="s">
        <v>1</v>
      </c>
      <c r="VHO142" s="108"/>
      <c r="VHP142" s="108"/>
      <c r="VHQ142" s="109"/>
      <c r="VHR142" s="107" t="s">
        <v>1</v>
      </c>
      <c r="VHS142" s="108"/>
      <c r="VHT142" s="108"/>
      <c r="VHU142" s="109"/>
      <c r="VHV142" s="107" t="s">
        <v>1</v>
      </c>
      <c r="VHW142" s="108"/>
      <c r="VHX142" s="108"/>
      <c r="VHY142" s="109"/>
      <c r="VHZ142" s="107" t="s">
        <v>1</v>
      </c>
      <c r="VIA142" s="108"/>
      <c r="VIB142" s="108"/>
      <c r="VIC142" s="109"/>
      <c r="VID142" s="107" t="s">
        <v>1</v>
      </c>
      <c r="VIE142" s="108"/>
      <c r="VIF142" s="108"/>
      <c r="VIG142" s="109"/>
      <c r="VIH142" s="107" t="s">
        <v>1</v>
      </c>
      <c r="VII142" s="108"/>
      <c r="VIJ142" s="108"/>
      <c r="VIK142" s="109"/>
      <c r="VIL142" s="107" t="s">
        <v>1</v>
      </c>
      <c r="VIM142" s="108"/>
      <c r="VIN142" s="108"/>
      <c r="VIO142" s="109"/>
      <c r="VIP142" s="107" t="s">
        <v>1</v>
      </c>
      <c r="VIQ142" s="108"/>
      <c r="VIR142" s="108"/>
      <c r="VIS142" s="109"/>
      <c r="VIT142" s="107" t="s">
        <v>1</v>
      </c>
      <c r="VIU142" s="108"/>
      <c r="VIV142" s="108"/>
      <c r="VIW142" s="109"/>
      <c r="VIX142" s="107" t="s">
        <v>1</v>
      </c>
      <c r="VIY142" s="108"/>
      <c r="VIZ142" s="108"/>
      <c r="VJA142" s="109"/>
      <c r="VJB142" s="107" t="s">
        <v>1</v>
      </c>
      <c r="VJC142" s="108"/>
      <c r="VJD142" s="108"/>
      <c r="VJE142" s="109"/>
      <c r="VJF142" s="107" t="s">
        <v>1</v>
      </c>
      <c r="VJG142" s="108"/>
      <c r="VJH142" s="108"/>
      <c r="VJI142" s="109"/>
      <c r="VJJ142" s="107" t="s">
        <v>1</v>
      </c>
      <c r="VJK142" s="108"/>
      <c r="VJL142" s="108"/>
      <c r="VJM142" s="109"/>
      <c r="VJN142" s="107" t="s">
        <v>1</v>
      </c>
      <c r="VJO142" s="108"/>
      <c r="VJP142" s="108"/>
      <c r="VJQ142" s="109"/>
      <c r="VJR142" s="107" t="s">
        <v>1</v>
      </c>
      <c r="VJS142" s="108"/>
      <c r="VJT142" s="108"/>
      <c r="VJU142" s="109"/>
      <c r="VJV142" s="107" t="s">
        <v>1</v>
      </c>
      <c r="VJW142" s="108"/>
      <c r="VJX142" s="108"/>
      <c r="VJY142" s="109"/>
      <c r="VJZ142" s="107" t="s">
        <v>1</v>
      </c>
      <c r="VKA142" s="108"/>
      <c r="VKB142" s="108"/>
      <c r="VKC142" s="109"/>
      <c r="VKD142" s="107" t="s">
        <v>1</v>
      </c>
      <c r="VKE142" s="108"/>
      <c r="VKF142" s="108"/>
      <c r="VKG142" s="109"/>
      <c r="VKH142" s="107" t="s">
        <v>1</v>
      </c>
      <c r="VKI142" s="108"/>
      <c r="VKJ142" s="108"/>
      <c r="VKK142" s="109"/>
      <c r="VKL142" s="107" t="s">
        <v>1</v>
      </c>
      <c r="VKM142" s="108"/>
      <c r="VKN142" s="108"/>
      <c r="VKO142" s="109"/>
      <c r="VKP142" s="107" t="s">
        <v>1</v>
      </c>
      <c r="VKQ142" s="108"/>
      <c r="VKR142" s="108"/>
      <c r="VKS142" s="109"/>
      <c r="VKT142" s="107" t="s">
        <v>1</v>
      </c>
      <c r="VKU142" s="108"/>
      <c r="VKV142" s="108"/>
      <c r="VKW142" s="109"/>
      <c r="VKX142" s="107" t="s">
        <v>1</v>
      </c>
      <c r="VKY142" s="108"/>
      <c r="VKZ142" s="108"/>
      <c r="VLA142" s="109"/>
      <c r="VLB142" s="107" t="s">
        <v>1</v>
      </c>
      <c r="VLC142" s="108"/>
      <c r="VLD142" s="108"/>
      <c r="VLE142" s="109"/>
      <c r="VLF142" s="107" t="s">
        <v>1</v>
      </c>
      <c r="VLG142" s="108"/>
      <c r="VLH142" s="108"/>
      <c r="VLI142" s="109"/>
      <c r="VLJ142" s="107" t="s">
        <v>1</v>
      </c>
      <c r="VLK142" s="108"/>
      <c r="VLL142" s="108"/>
      <c r="VLM142" s="109"/>
      <c r="VLN142" s="107" t="s">
        <v>1</v>
      </c>
      <c r="VLO142" s="108"/>
      <c r="VLP142" s="108"/>
      <c r="VLQ142" s="109"/>
      <c r="VLR142" s="107" t="s">
        <v>1</v>
      </c>
      <c r="VLS142" s="108"/>
      <c r="VLT142" s="108"/>
      <c r="VLU142" s="109"/>
      <c r="VLV142" s="107" t="s">
        <v>1</v>
      </c>
      <c r="VLW142" s="108"/>
      <c r="VLX142" s="108"/>
      <c r="VLY142" s="109"/>
      <c r="VLZ142" s="107" t="s">
        <v>1</v>
      </c>
      <c r="VMA142" s="108"/>
      <c r="VMB142" s="108"/>
      <c r="VMC142" s="109"/>
      <c r="VMD142" s="107" t="s">
        <v>1</v>
      </c>
      <c r="VME142" s="108"/>
      <c r="VMF142" s="108"/>
      <c r="VMG142" s="109"/>
      <c r="VMH142" s="107" t="s">
        <v>1</v>
      </c>
      <c r="VMI142" s="108"/>
      <c r="VMJ142" s="108"/>
      <c r="VMK142" s="109"/>
      <c r="VML142" s="107" t="s">
        <v>1</v>
      </c>
      <c r="VMM142" s="108"/>
      <c r="VMN142" s="108"/>
      <c r="VMO142" s="109"/>
      <c r="VMP142" s="107" t="s">
        <v>1</v>
      </c>
      <c r="VMQ142" s="108"/>
      <c r="VMR142" s="108"/>
      <c r="VMS142" s="109"/>
      <c r="VMT142" s="107" t="s">
        <v>1</v>
      </c>
      <c r="VMU142" s="108"/>
      <c r="VMV142" s="108"/>
      <c r="VMW142" s="109"/>
      <c r="VMX142" s="107" t="s">
        <v>1</v>
      </c>
      <c r="VMY142" s="108"/>
      <c r="VMZ142" s="108"/>
      <c r="VNA142" s="109"/>
      <c r="VNB142" s="107" t="s">
        <v>1</v>
      </c>
      <c r="VNC142" s="108"/>
      <c r="VND142" s="108"/>
      <c r="VNE142" s="109"/>
      <c r="VNF142" s="107" t="s">
        <v>1</v>
      </c>
      <c r="VNG142" s="108"/>
      <c r="VNH142" s="108"/>
      <c r="VNI142" s="109"/>
      <c r="VNJ142" s="107" t="s">
        <v>1</v>
      </c>
      <c r="VNK142" s="108"/>
      <c r="VNL142" s="108"/>
      <c r="VNM142" s="109"/>
      <c r="VNN142" s="107" t="s">
        <v>1</v>
      </c>
      <c r="VNO142" s="108"/>
      <c r="VNP142" s="108"/>
      <c r="VNQ142" s="109"/>
      <c r="VNR142" s="107" t="s">
        <v>1</v>
      </c>
      <c r="VNS142" s="108"/>
      <c r="VNT142" s="108"/>
      <c r="VNU142" s="109"/>
      <c r="VNV142" s="107" t="s">
        <v>1</v>
      </c>
      <c r="VNW142" s="108"/>
      <c r="VNX142" s="108"/>
      <c r="VNY142" s="109"/>
      <c r="VNZ142" s="107" t="s">
        <v>1</v>
      </c>
      <c r="VOA142" s="108"/>
      <c r="VOB142" s="108"/>
      <c r="VOC142" s="109"/>
      <c r="VOD142" s="107" t="s">
        <v>1</v>
      </c>
      <c r="VOE142" s="108"/>
      <c r="VOF142" s="108"/>
      <c r="VOG142" s="109"/>
      <c r="VOH142" s="107" t="s">
        <v>1</v>
      </c>
      <c r="VOI142" s="108"/>
      <c r="VOJ142" s="108"/>
      <c r="VOK142" s="109"/>
      <c r="VOL142" s="107" t="s">
        <v>1</v>
      </c>
      <c r="VOM142" s="108"/>
      <c r="VON142" s="108"/>
      <c r="VOO142" s="109"/>
      <c r="VOP142" s="107" t="s">
        <v>1</v>
      </c>
      <c r="VOQ142" s="108"/>
      <c r="VOR142" s="108"/>
      <c r="VOS142" s="109"/>
      <c r="VOT142" s="107" t="s">
        <v>1</v>
      </c>
      <c r="VOU142" s="108"/>
      <c r="VOV142" s="108"/>
      <c r="VOW142" s="109"/>
      <c r="VOX142" s="107" t="s">
        <v>1</v>
      </c>
      <c r="VOY142" s="108"/>
      <c r="VOZ142" s="108"/>
      <c r="VPA142" s="109"/>
      <c r="VPB142" s="107" t="s">
        <v>1</v>
      </c>
      <c r="VPC142" s="108"/>
      <c r="VPD142" s="108"/>
      <c r="VPE142" s="109"/>
      <c r="VPF142" s="107" t="s">
        <v>1</v>
      </c>
      <c r="VPG142" s="108"/>
      <c r="VPH142" s="108"/>
      <c r="VPI142" s="109"/>
      <c r="VPJ142" s="107" t="s">
        <v>1</v>
      </c>
      <c r="VPK142" s="108"/>
      <c r="VPL142" s="108"/>
      <c r="VPM142" s="109"/>
      <c r="VPN142" s="107" t="s">
        <v>1</v>
      </c>
      <c r="VPO142" s="108"/>
      <c r="VPP142" s="108"/>
      <c r="VPQ142" s="109"/>
      <c r="VPR142" s="107" t="s">
        <v>1</v>
      </c>
      <c r="VPS142" s="108"/>
      <c r="VPT142" s="108"/>
      <c r="VPU142" s="109"/>
      <c r="VPV142" s="107" t="s">
        <v>1</v>
      </c>
      <c r="VPW142" s="108"/>
      <c r="VPX142" s="108"/>
      <c r="VPY142" s="109"/>
      <c r="VPZ142" s="107" t="s">
        <v>1</v>
      </c>
      <c r="VQA142" s="108"/>
      <c r="VQB142" s="108"/>
      <c r="VQC142" s="109"/>
      <c r="VQD142" s="107" t="s">
        <v>1</v>
      </c>
      <c r="VQE142" s="108"/>
      <c r="VQF142" s="108"/>
      <c r="VQG142" s="109"/>
      <c r="VQH142" s="107" t="s">
        <v>1</v>
      </c>
      <c r="VQI142" s="108"/>
      <c r="VQJ142" s="108"/>
      <c r="VQK142" s="109"/>
      <c r="VQL142" s="107" t="s">
        <v>1</v>
      </c>
      <c r="VQM142" s="108"/>
      <c r="VQN142" s="108"/>
      <c r="VQO142" s="109"/>
      <c r="VQP142" s="107" t="s">
        <v>1</v>
      </c>
      <c r="VQQ142" s="108"/>
      <c r="VQR142" s="108"/>
      <c r="VQS142" s="109"/>
      <c r="VQT142" s="107" t="s">
        <v>1</v>
      </c>
      <c r="VQU142" s="108"/>
      <c r="VQV142" s="108"/>
      <c r="VQW142" s="109"/>
      <c r="VQX142" s="107" t="s">
        <v>1</v>
      </c>
      <c r="VQY142" s="108"/>
      <c r="VQZ142" s="108"/>
      <c r="VRA142" s="109"/>
      <c r="VRB142" s="107" t="s">
        <v>1</v>
      </c>
      <c r="VRC142" s="108"/>
      <c r="VRD142" s="108"/>
      <c r="VRE142" s="109"/>
      <c r="VRF142" s="107" t="s">
        <v>1</v>
      </c>
      <c r="VRG142" s="108"/>
      <c r="VRH142" s="108"/>
      <c r="VRI142" s="109"/>
      <c r="VRJ142" s="107" t="s">
        <v>1</v>
      </c>
      <c r="VRK142" s="108"/>
      <c r="VRL142" s="108"/>
      <c r="VRM142" s="109"/>
      <c r="VRN142" s="107" t="s">
        <v>1</v>
      </c>
      <c r="VRO142" s="108"/>
      <c r="VRP142" s="108"/>
      <c r="VRQ142" s="109"/>
      <c r="VRR142" s="107" t="s">
        <v>1</v>
      </c>
      <c r="VRS142" s="108"/>
      <c r="VRT142" s="108"/>
      <c r="VRU142" s="109"/>
      <c r="VRV142" s="107" t="s">
        <v>1</v>
      </c>
      <c r="VRW142" s="108"/>
      <c r="VRX142" s="108"/>
      <c r="VRY142" s="109"/>
      <c r="VRZ142" s="107" t="s">
        <v>1</v>
      </c>
      <c r="VSA142" s="108"/>
      <c r="VSB142" s="108"/>
      <c r="VSC142" s="109"/>
      <c r="VSD142" s="107" t="s">
        <v>1</v>
      </c>
      <c r="VSE142" s="108"/>
      <c r="VSF142" s="108"/>
      <c r="VSG142" s="109"/>
      <c r="VSH142" s="107" t="s">
        <v>1</v>
      </c>
      <c r="VSI142" s="108"/>
      <c r="VSJ142" s="108"/>
      <c r="VSK142" s="109"/>
      <c r="VSL142" s="107" t="s">
        <v>1</v>
      </c>
      <c r="VSM142" s="108"/>
      <c r="VSN142" s="108"/>
      <c r="VSO142" s="109"/>
      <c r="VSP142" s="107" t="s">
        <v>1</v>
      </c>
      <c r="VSQ142" s="108"/>
      <c r="VSR142" s="108"/>
      <c r="VSS142" s="109"/>
      <c r="VST142" s="107" t="s">
        <v>1</v>
      </c>
      <c r="VSU142" s="108"/>
      <c r="VSV142" s="108"/>
      <c r="VSW142" s="109"/>
      <c r="VSX142" s="107" t="s">
        <v>1</v>
      </c>
      <c r="VSY142" s="108"/>
      <c r="VSZ142" s="108"/>
      <c r="VTA142" s="109"/>
      <c r="VTB142" s="107" t="s">
        <v>1</v>
      </c>
      <c r="VTC142" s="108"/>
      <c r="VTD142" s="108"/>
      <c r="VTE142" s="109"/>
      <c r="VTF142" s="107" t="s">
        <v>1</v>
      </c>
      <c r="VTG142" s="108"/>
      <c r="VTH142" s="108"/>
      <c r="VTI142" s="109"/>
      <c r="VTJ142" s="107" t="s">
        <v>1</v>
      </c>
      <c r="VTK142" s="108"/>
      <c r="VTL142" s="108"/>
      <c r="VTM142" s="109"/>
      <c r="VTN142" s="107" t="s">
        <v>1</v>
      </c>
      <c r="VTO142" s="108"/>
      <c r="VTP142" s="108"/>
      <c r="VTQ142" s="109"/>
      <c r="VTR142" s="107" t="s">
        <v>1</v>
      </c>
      <c r="VTS142" s="108"/>
      <c r="VTT142" s="108"/>
      <c r="VTU142" s="109"/>
      <c r="VTV142" s="107" t="s">
        <v>1</v>
      </c>
      <c r="VTW142" s="108"/>
      <c r="VTX142" s="108"/>
      <c r="VTY142" s="109"/>
      <c r="VTZ142" s="107" t="s">
        <v>1</v>
      </c>
      <c r="VUA142" s="108"/>
      <c r="VUB142" s="108"/>
      <c r="VUC142" s="109"/>
      <c r="VUD142" s="107" t="s">
        <v>1</v>
      </c>
      <c r="VUE142" s="108"/>
      <c r="VUF142" s="108"/>
      <c r="VUG142" s="109"/>
      <c r="VUH142" s="107" t="s">
        <v>1</v>
      </c>
      <c r="VUI142" s="108"/>
      <c r="VUJ142" s="108"/>
      <c r="VUK142" s="109"/>
      <c r="VUL142" s="107" t="s">
        <v>1</v>
      </c>
      <c r="VUM142" s="108"/>
      <c r="VUN142" s="108"/>
      <c r="VUO142" s="109"/>
      <c r="VUP142" s="107" t="s">
        <v>1</v>
      </c>
      <c r="VUQ142" s="108"/>
      <c r="VUR142" s="108"/>
      <c r="VUS142" s="109"/>
      <c r="VUT142" s="107" t="s">
        <v>1</v>
      </c>
      <c r="VUU142" s="108"/>
      <c r="VUV142" s="108"/>
      <c r="VUW142" s="109"/>
      <c r="VUX142" s="107" t="s">
        <v>1</v>
      </c>
      <c r="VUY142" s="108"/>
      <c r="VUZ142" s="108"/>
      <c r="VVA142" s="109"/>
      <c r="VVB142" s="107" t="s">
        <v>1</v>
      </c>
      <c r="VVC142" s="108"/>
      <c r="VVD142" s="108"/>
      <c r="VVE142" s="109"/>
      <c r="VVF142" s="107" t="s">
        <v>1</v>
      </c>
      <c r="VVG142" s="108"/>
      <c r="VVH142" s="108"/>
      <c r="VVI142" s="109"/>
      <c r="VVJ142" s="107" t="s">
        <v>1</v>
      </c>
      <c r="VVK142" s="108"/>
      <c r="VVL142" s="108"/>
      <c r="VVM142" s="109"/>
      <c r="VVN142" s="107" t="s">
        <v>1</v>
      </c>
      <c r="VVO142" s="108"/>
      <c r="VVP142" s="108"/>
      <c r="VVQ142" s="109"/>
      <c r="VVR142" s="107" t="s">
        <v>1</v>
      </c>
      <c r="VVS142" s="108"/>
      <c r="VVT142" s="108"/>
      <c r="VVU142" s="109"/>
      <c r="VVV142" s="107" t="s">
        <v>1</v>
      </c>
      <c r="VVW142" s="108"/>
      <c r="VVX142" s="108"/>
      <c r="VVY142" s="109"/>
      <c r="VVZ142" s="107" t="s">
        <v>1</v>
      </c>
      <c r="VWA142" s="108"/>
      <c r="VWB142" s="108"/>
      <c r="VWC142" s="109"/>
      <c r="VWD142" s="107" t="s">
        <v>1</v>
      </c>
      <c r="VWE142" s="108"/>
      <c r="VWF142" s="108"/>
      <c r="VWG142" s="109"/>
      <c r="VWH142" s="107" t="s">
        <v>1</v>
      </c>
      <c r="VWI142" s="108"/>
      <c r="VWJ142" s="108"/>
      <c r="VWK142" s="109"/>
      <c r="VWL142" s="107" t="s">
        <v>1</v>
      </c>
      <c r="VWM142" s="108"/>
      <c r="VWN142" s="108"/>
      <c r="VWO142" s="109"/>
      <c r="VWP142" s="107" t="s">
        <v>1</v>
      </c>
      <c r="VWQ142" s="108"/>
      <c r="VWR142" s="108"/>
      <c r="VWS142" s="109"/>
      <c r="VWT142" s="107" t="s">
        <v>1</v>
      </c>
      <c r="VWU142" s="108"/>
      <c r="VWV142" s="108"/>
      <c r="VWW142" s="109"/>
      <c r="VWX142" s="107" t="s">
        <v>1</v>
      </c>
      <c r="VWY142" s="108"/>
      <c r="VWZ142" s="108"/>
      <c r="VXA142" s="109"/>
      <c r="VXB142" s="107" t="s">
        <v>1</v>
      </c>
      <c r="VXC142" s="108"/>
      <c r="VXD142" s="108"/>
      <c r="VXE142" s="109"/>
      <c r="VXF142" s="107" t="s">
        <v>1</v>
      </c>
      <c r="VXG142" s="108"/>
      <c r="VXH142" s="108"/>
      <c r="VXI142" s="109"/>
      <c r="VXJ142" s="107" t="s">
        <v>1</v>
      </c>
      <c r="VXK142" s="108"/>
      <c r="VXL142" s="108"/>
      <c r="VXM142" s="109"/>
      <c r="VXN142" s="107" t="s">
        <v>1</v>
      </c>
      <c r="VXO142" s="108"/>
      <c r="VXP142" s="108"/>
      <c r="VXQ142" s="109"/>
      <c r="VXR142" s="107" t="s">
        <v>1</v>
      </c>
      <c r="VXS142" s="108"/>
      <c r="VXT142" s="108"/>
      <c r="VXU142" s="109"/>
      <c r="VXV142" s="107" t="s">
        <v>1</v>
      </c>
      <c r="VXW142" s="108"/>
      <c r="VXX142" s="108"/>
      <c r="VXY142" s="109"/>
      <c r="VXZ142" s="107" t="s">
        <v>1</v>
      </c>
      <c r="VYA142" s="108"/>
      <c r="VYB142" s="108"/>
      <c r="VYC142" s="109"/>
      <c r="VYD142" s="107" t="s">
        <v>1</v>
      </c>
      <c r="VYE142" s="108"/>
      <c r="VYF142" s="108"/>
      <c r="VYG142" s="109"/>
      <c r="VYH142" s="107" t="s">
        <v>1</v>
      </c>
      <c r="VYI142" s="108"/>
      <c r="VYJ142" s="108"/>
      <c r="VYK142" s="109"/>
      <c r="VYL142" s="107" t="s">
        <v>1</v>
      </c>
      <c r="VYM142" s="108"/>
      <c r="VYN142" s="108"/>
      <c r="VYO142" s="109"/>
      <c r="VYP142" s="107" t="s">
        <v>1</v>
      </c>
      <c r="VYQ142" s="108"/>
      <c r="VYR142" s="108"/>
      <c r="VYS142" s="109"/>
      <c r="VYT142" s="107" t="s">
        <v>1</v>
      </c>
      <c r="VYU142" s="108"/>
      <c r="VYV142" s="108"/>
      <c r="VYW142" s="109"/>
      <c r="VYX142" s="107" t="s">
        <v>1</v>
      </c>
      <c r="VYY142" s="108"/>
      <c r="VYZ142" s="108"/>
      <c r="VZA142" s="109"/>
      <c r="VZB142" s="107" t="s">
        <v>1</v>
      </c>
      <c r="VZC142" s="108"/>
      <c r="VZD142" s="108"/>
      <c r="VZE142" s="109"/>
      <c r="VZF142" s="107" t="s">
        <v>1</v>
      </c>
      <c r="VZG142" s="108"/>
      <c r="VZH142" s="108"/>
      <c r="VZI142" s="109"/>
      <c r="VZJ142" s="107" t="s">
        <v>1</v>
      </c>
      <c r="VZK142" s="108"/>
      <c r="VZL142" s="108"/>
      <c r="VZM142" s="109"/>
      <c r="VZN142" s="107" t="s">
        <v>1</v>
      </c>
      <c r="VZO142" s="108"/>
      <c r="VZP142" s="108"/>
      <c r="VZQ142" s="109"/>
      <c r="VZR142" s="107" t="s">
        <v>1</v>
      </c>
      <c r="VZS142" s="108"/>
      <c r="VZT142" s="108"/>
      <c r="VZU142" s="109"/>
      <c r="VZV142" s="107" t="s">
        <v>1</v>
      </c>
      <c r="VZW142" s="108"/>
      <c r="VZX142" s="108"/>
      <c r="VZY142" s="109"/>
      <c r="VZZ142" s="107" t="s">
        <v>1</v>
      </c>
      <c r="WAA142" s="108"/>
      <c r="WAB142" s="108"/>
      <c r="WAC142" s="109"/>
      <c r="WAD142" s="107" t="s">
        <v>1</v>
      </c>
      <c r="WAE142" s="108"/>
      <c r="WAF142" s="108"/>
      <c r="WAG142" s="109"/>
      <c r="WAH142" s="107" t="s">
        <v>1</v>
      </c>
      <c r="WAI142" s="108"/>
      <c r="WAJ142" s="108"/>
      <c r="WAK142" s="109"/>
      <c r="WAL142" s="107" t="s">
        <v>1</v>
      </c>
      <c r="WAM142" s="108"/>
      <c r="WAN142" s="108"/>
      <c r="WAO142" s="109"/>
      <c r="WAP142" s="107" t="s">
        <v>1</v>
      </c>
      <c r="WAQ142" s="108"/>
      <c r="WAR142" s="108"/>
      <c r="WAS142" s="109"/>
      <c r="WAT142" s="107" t="s">
        <v>1</v>
      </c>
      <c r="WAU142" s="108"/>
      <c r="WAV142" s="108"/>
      <c r="WAW142" s="109"/>
      <c r="WAX142" s="107" t="s">
        <v>1</v>
      </c>
      <c r="WAY142" s="108"/>
      <c r="WAZ142" s="108"/>
      <c r="WBA142" s="109"/>
      <c r="WBB142" s="107" t="s">
        <v>1</v>
      </c>
      <c r="WBC142" s="108"/>
      <c r="WBD142" s="108"/>
      <c r="WBE142" s="109"/>
      <c r="WBF142" s="107" t="s">
        <v>1</v>
      </c>
      <c r="WBG142" s="108"/>
      <c r="WBH142" s="108"/>
      <c r="WBI142" s="109"/>
      <c r="WBJ142" s="107" t="s">
        <v>1</v>
      </c>
      <c r="WBK142" s="108"/>
      <c r="WBL142" s="108"/>
      <c r="WBM142" s="109"/>
      <c r="WBN142" s="107" t="s">
        <v>1</v>
      </c>
      <c r="WBO142" s="108"/>
      <c r="WBP142" s="108"/>
      <c r="WBQ142" s="109"/>
      <c r="WBR142" s="107" t="s">
        <v>1</v>
      </c>
      <c r="WBS142" s="108"/>
      <c r="WBT142" s="108"/>
      <c r="WBU142" s="109"/>
      <c r="WBV142" s="107" t="s">
        <v>1</v>
      </c>
      <c r="WBW142" s="108"/>
      <c r="WBX142" s="108"/>
      <c r="WBY142" s="109"/>
      <c r="WBZ142" s="107" t="s">
        <v>1</v>
      </c>
      <c r="WCA142" s="108"/>
      <c r="WCB142" s="108"/>
      <c r="WCC142" s="109"/>
      <c r="WCD142" s="107" t="s">
        <v>1</v>
      </c>
      <c r="WCE142" s="108"/>
      <c r="WCF142" s="108"/>
      <c r="WCG142" s="109"/>
      <c r="WCH142" s="107" t="s">
        <v>1</v>
      </c>
      <c r="WCI142" s="108"/>
      <c r="WCJ142" s="108"/>
      <c r="WCK142" s="109"/>
      <c r="WCL142" s="107" t="s">
        <v>1</v>
      </c>
      <c r="WCM142" s="108"/>
      <c r="WCN142" s="108"/>
      <c r="WCO142" s="109"/>
      <c r="WCP142" s="107" t="s">
        <v>1</v>
      </c>
      <c r="WCQ142" s="108"/>
      <c r="WCR142" s="108"/>
      <c r="WCS142" s="109"/>
      <c r="WCT142" s="107" t="s">
        <v>1</v>
      </c>
      <c r="WCU142" s="108"/>
      <c r="WCV142" s="108"/>
      <c r="WCW142" s="109"/>
      <c r="WCX142" s="107" t="s">
        <v>1</v>
      </c>
      <c r="WCY142" s="108"/>
      <c r="WCZ142" s="108"/>
      <c r="WDA142" s="109"/>
      <c r="WDB142" s="107" t="s">
        <v>1</v>
      </c>
      <c r="WDC142" s="108"/>
      <c r="WDD142" s="108"/>
      <c r="WDE142" s="109"/>
      <c r="WDF142" s="107" t="s">
        <v>1</v>
      </c>
      <c r="WDG142" s="108"/>
      <c r="WDH142" s="108"/>
      <c r="WDI142" s="109"/>
      <c r="WDJ142" s="107" t="s">
        <v>1</v>
      </c>
      <c r="WDK142" s="108"/>
      <c r="WDL142" s="108"/>
      <c r="WDM142" s="109"/>
      <c r="WDN142" s="107" t="s">
        <v>1</v>
      </c>
      <c r="WDO142" s="108"/>
      <c r="WDP142" s="108"/>
      <c r="WDQ142" s="109"/>
      <c r="WDR142" s="107" t="s">
        <v>1</v>
      </c>
      <c r="WDS142" s="108"/>
      <c r="WDT142" s="108"/>
      <c r="WDU142" s="109"/>
      <c r="WDV142" s="107" t="s">
        <v>1</v>
      </c>
      <c r="WDW142" s="108"/>
      <c r="WDX142" s="108"/>
      <c r="WDY142" s="109"/>
      <c r="WDZ142" s="107" t="s">
        <v>1</v>
      </c>
      <c r="WEA142" s="108"/>
      <c r="WEB142" s="108"/>
      <c r="WEC142" s="109"/>
      <c r="WED142" s="107" t="s">
        <v>1</v>
      </c>
      <c r="WEE142" s="108"/>
      <c r="WEF142" s="108"/>
      <c r="WEG142" s="109"/>
      <c r="WEH142" s="107" t="s">
        <v>1</v>
      </c>
      <c r="WEI142" s="108"/>
      <c r="WEJ142" s="108"/>
      <c r="WEK142" s="109"/>
      <c r="WEL142" s="107" t="s">
        <v>1</v>
      </c>
      <c r="WEM142" s="108"/>
      <c r="WEN142" s="108"/>
      <c r="WEO142" s="109"/>
      <c r="WEP142" s="107" t="s">
        <v>1</v>
      </c>
      <c r="WEQ142" s="108"/>
      <c r="WER142" s="108"/>
      <c r="WES142" s="109"/>
      <c r="WET142" s="107" t="s">
        <v>1</v>
      </c>
      <c r="WEU142" s="108"/>
      <c r="WEV142" s="108"/>
      <c r="WEW142" s="109"/>
      <c r="WEX142" s="107" t="s">
        <v>1</v>
      </c>
      <c r="WEY142" s="108"/>
      <c r="WEZ142" s="108"/>
      <c r="WFA142" s="109"/>
      <c r="WFB142" s="107" t="s">
        <v>1</v>
      </c>
      <c r="WFC142" s="108"/>
      <c r="WFD142" s="108"/>
      <c r="WFE142" s="109"/>
      <c r="WFF142" s="107" t="s">
        <v>1</v>
      </c>
      <c r="WFG142" s="108"/>
      <c r="WFH142" s="108"/>
      <c r="WFI142" s="109"/>
      <c r="WFJ142" s="107" t="s">
        <v>1</v>
      </c>
      <c r="WFK142" s="108"/>
      <c r="WFL142" s="108"/>
      <c r="WFM142" s="109"/>
      <c r="WFN142" s="107" t="s">
        <v>1</v>
      </c>
      <c r="WFO142" s="108"/>
      <c r="WFP142" s="108"/>
      <c r="WFQ142" s="109"/>
      <c r="WFR142" s="107" t="s">
        <v>1</v>
      </c>
      <c r="WFS142" s="108"/>
      <c r="WFT142" s="108"/>
      <c r="WFU142" s="109"/>
      <c r="WFV142" s="107" t="s">
        <v>1</v>
      </c>
      <c r="WFW142" s="108"/>
      <c r="WFX142" s="108"/>
      <c r="WFY142" s="109"/>
      <c r="WFZ142" s="107" t="s">
        <v>1</v>
      </c>
      <c r="WGA142" s="108"/>
      <c r="WGB142" s="108"/>
      <c r="WGC142" s="109"/>
      <c r="WGD142" s="107" t="s">
        <v>1</v>
      </c>
      <c r="WGE142" s="108"/>
      <c r="WGF142" s="108"/>
      <c r="WGG142" s="109"/>
      <c r="WGH142" s="107" t="s">
        <v>1</v>
      </c>
      <c r="WGI142" s="108"/>
      <c r="WGJ142" s="108"/>
      <c r="WGK142" s="109"/>
      <c r="WGL142" s="107" t="s">
        <v>1</v>
      </c>
      <c r="WGM142" s="108"/>
      <c r="WGN142" s="108"/>
      <c r="WGO142" s="109"/>
      <c r="WGP142" s="107" t="s">
        <v>1</v>
      </c>
      <c r="WGQ142" s="108"/>
      <c r="WGR142" s="108"/>
      <c r="WGS142" s="109"/>
      <c r="WGT142" s="107" t="s">
        <v>1</v>
      </c>
      <c r="WGU142" s="108"/>
      <c r="WGV142" s="108"/>
      <c r="WGW142" s="109"/>
      <c r="WGX142" s="107" t="s">
        <v>1</v>
      </c>
      <c r="WGY142" s="108"/>
      <c r="WGZ142" s="108"/>
      <c r="WHA142" s="109"/>
      <c r="WHB142" s="107" t="s">
        <v>1</v>
      </c>
      <c r="WHC142" s="108"/>
      <c r="WHD142" s="108"/>
      <c r="WHE142" s="109"/>
      <c r="WHF142" s="107" t="s">
        <v>1</v>
      </c>
      <c r="WHG142" s="108"/>
      <c r="WHH142" s="108"/>
      <c r="WHI142" s="109"/>
      <c r="WHJ142" s="107" t="s">
        <v>1</v>
      </c>
      <c r="WHK142" s="108"/>
      <c r="WHL142" s="108"/>
      <c r="WHM142" s="109"/>
      <c r="WHN142" s="107" t="s">
        <v>1</v>
      </c>
      <c r="WHO142" s="108"/>
      <c r="WHP142" s="108"/>
      <c r="WHQ142" s="109"/>
      <c r="WHR142" s="107" t="s">
        <v>1</v>
      </c>
      <c r="WHS142" s="108"/>
      <c r="WHT142" s="108"/>
      <c r="WHU142" s="109"/>
      <c r="WHV142" s="107" t="s">
        <v>1</v>
      </c>
      <c r="WHW142" s="108"/>
      <c r="WHX142" s="108"/>
      <c r="WHY142" s="109"/>
      <c r="WHZ142" s="107" t="s">
        <v>1</v>
      </c>
      <c r="WIA142" s="108"/>
      <c r="WIB142" s="108"/>
      <c r="WIC142" s="109"/>
      <c r="WID142" s="107" t="s">
        <v>1</v>
      </c>
      <c r="WIE142" s="108"/>
      <c r="WIF142" s="108"/>
      <c r="WIG142" s="109"/>
      <c r="WIH142" s="107" t="s">
        <v>1</v>
      </c>
      <c r="WII142" s="108"/>
      <c r="WIJ142" s="108"/>
      <c r="WIK142" s="109"/>
      <c r="WIL142" s="107" t="s">
        <v>1</v>
      </c>
      <c r="WIM142" s="108"/>
      <c r="WIN142" s="108"/>
      <c r="WIO142" s="109"/>
      <c r="WIP142" s="107" t="s">
        <v>1</v>
      </c>
      <c r="WIQ142" s="108"/>
      <c r="WIR142" s="108"/>
      <c r="WIS142" s="109"/>
      <c r="WIT142" s="107" t="s">
        <v>1</v>
      </c>
      <c r="WIU142" s="108"/>
      <c r="WIV142" s="108"/>
      <c r="WIW142" s="109"/>
      <c r="WIX142" s="107" t="s">
        <v>1</v>
      </c>
      <c r="WIY142" s="108"/>
      <c r="WIZ142" s="108"/>
      <c r="WJA142" s="109"/>
      <c r="WJB142" s="107" t="s">
        <v>1</v>
      </c>
      <c r="WJC142" s="108"/>
      <c r="WJD142" s="108"/>
      <c r="WJE142" s="109"/>
      <c r="WJF142" s="107" t="s">
        <v>1</v>
      </c>
      <c r="WJG142" s="108"/>
      <c r="WJH142" s="108"/>
      <c r="WJI142" s="109"/>
      <c r="WJJ142" s="107" t="s">
        <v>1</v>
      </c>
      <c r="WJK142" s="108"/>
      <c r="WJL142" s="108"/>
      <c r="WJM142" s="109"/>
      <c r="WJN142" s="107" t="s">
        <v>1</v>
      </c>
      <c r="WJO142" s="108"/>
      <c r="WJP142" s="108"/>
      <c r="WJQ142" s="109"/>
      <c r="WJR142" s="107" t="s">
        <v>1</v>
      </c>
      <c r="WJS142" s="108"/>
      <c r="WJT142" s="108"/>
      <c r="WJU142" s="109"/>
      <c r="WJV142" s="107" t="s">
        <v>1</v>
      </c>
      <c r="WJW142" s="108"/>
      <c r="WJX142" s="108"/>
      <c r="WJY142" s="109"/>
      <c r="WJZ142" s="107" t="s">
        <v>1</v>
      </c>
      <c r="WKA142" s="108"/>
      <c r="WKB142" s="108"/>
      <c r="WKC142" s="109"/>
      <c r="WKD142" s="107" t="s">
        <v>1</v>
      </c>
      <c r="WKE142" s="108"/>
      <c r="WKF142" s="108"/>
      <c r="WKG142" s="109"/>
      <c r="WKH142" s="107" t="s">
        <v>1</v>
      </c>
      <c r="WKI142" s="108"/>
      <c r="WKJ142" s="108"/>
      <c r="WKK142" s="109"/>
      <c r="WKL142" s="107" t="s">
        <v>1</v>
      </c>
      <c r="WKM142" s="108"/>
      <c r="WKN142" s="108"/>
      <c r="WKO142" s="109"/>
      <c r="WKP142" s="107" t="s">
        <v>1</v>
      </c>
      <c r="WKQ142" s="108"/>
      <c r="WKR142" s="108"/>
      <c r="WKS142" s="109"/>
      <c r="WKT142" s="107" t="s">
        <v>1</v>
      </c>
      <c r="WKU142" s="108"/>
      <c r="WKV142" s="108"/>
      <c r="WKW142" s="109"/>
      <c r="WKX142" s="107" t="s">
        <v>1</v>
      </c>
      <c r="WKY142" s="108"/>
      <c r="WKZ142" s="108"/>
      <c r="WLA142" s="109"/>
      <c r="WLB142" s="107" t="s">
        <v>1</v>
      </c>
      <c r="WLC142" s="108"/>
      <c r="WLD142" s="108"/>
      <c r="WLE142" s="109"/>
      <c r="WLF142" s="107" t="s">
        <v>1</v>
      </c>
      <c r="WLG142" s="108"/>
      <c r="WLH142" s="108"/>
      <c r="WLI142" s="109"/>
      <c r="WLJ142" s="107" t="s">
        <v>1</v>
      </c>
      <c r="WLK142" s="108"/>
      <c r="WLL142" s="108"/>
      <c r="WLM142" s="109"/>
      <c r="WLN142" s="107" t="s">
        <v>1</v>
      </c>
      <c r="WLO142" s="108"/>
      <c r="WLP142" s="108"/>
      <c r="WLQ142" s="109"/>
      <c r="WLR142" s="107" t="s">
        <v>1</v>
      </c>
      <c r="WLS142" s="108"/>
      <c r="WLT142" s="108"/>
      <c r="WLU142" s="109"/>
      <c r="WLV142" s="107" t="s">
        <v>1</v>
      </c>
      <c r="WLW142" s="108"/>
      <c r="WLX142" s="108"/>
      <c r="WLY142" s="109"/>
      <c r="WLZ142" s="107" t="s">
        <v>1</v>
      </c>
      <c r="WMA142" s="108"/>
      <c r="WMB142" s="108"/>
      <c r="WMC142" s="109"/>
      <c r="WMD142" s="107" t="s">
        <v>1</v>
      </c>
      <c r="WME142" s="108"/>
      <c r="WMF142" s="108"/>
      <c r="WMG142" s="109"/>
      <c r="WMH142" s="107" t="s">
        <v>1</v>
      </c>
      <c r="WMI142" s="108"/>
      <c r="WMJ142" s="108"/>
      <c r="WMK142" s="109"/>
      <c r="WML142" s="107" t="s">
        <v>1</v>
      </c>
      <c r="WMM142" s="108"/>
      <c r="WMN142" s="108"/>
      <c r="WMO142" s="109"/>
      <c r="WMP142" s="107" t="s">
        <v>1</v>
      </c>
      <c r="WMQ142" s="108"/>
      <c r="WMR142" s="108"/>
      <c r="WMS142" s="109"/>
      <c r="WMT142" s="107" t="s">
        <v>1</v>
      </c>
      <c r="WMU142" s="108"/>
      <c r="WMV142" s="108"/>
      <c r="WMW142" s="109"/>
      <c r="WMX142" s="107" t="s">
        <v>1</v>
      </c>
      <c r="WMY142" s="108"/>
      <c r="WMZ142" s="108"/>
      <c r="WNA142" s="109"/>
      <c r="WNB142" s="107" t="s">
        <v>1</v>
      </c>
      <c r="WNC142" s="108"/>
      <c r="WND142" s="108"/>
      <c r="WNE142" s="109"/>
      <c r="WNF142" s="107" t="s">
        <v>1</v>
      </c>
      <c r="WNG142" s="108"/>
      <c r="WNH142" s="108"/>
      <c r="WNI142" s="109"/>
      <c r="WNJ142" s="107" t="s">
        <v>1</v>
      </c>
      <c r="WNK142" s="108"/>
      <c r="WNL142" s="108"/>
      <c r="WNM142" s="109"/>
      <c r="WNN142" s="107" t="s">
        <v>1</v>
      </c>
      <c r="WNO142" s="108"/>
      <c r="WNP142" s="108"/>
      <c r="WNQ142" s="109"/>
      <c r="WNR142" s="107" t="s">
        <v>1</v>
      </c>
      <c r="WNS142" s="108"/>
      <c r="WNT142" s="108"/>
      <c r="WNU142" s="109"/>
      <c r="WNV142" s="107" t="s">
        <v>1</v>
      </c>
      <c r="WNW142" s="108"/>
      <c r="WNX142" s="108"/>
      <c r="WNY142" s="109"/>
      <c r="WNZ142" s="107" t="s">
        <v>1</v>
      </c>
      <c r="WOA142" s="108"/>
      <c r="WOB142" s="108"/>
      <c r="WOC142" s="109"/>
      <c r="WOD142" s="107" t="s">
        <v>1</v>
      </c>
      <c r="WOE142" s="108"/>
      <c r="WOF142" s="108"/>
      <c r="WOG142" s="109"/>
      <c r="WOH142" s="107" t="s">
        <v>1</v>
      </c>
      <c r="WOI142" s="108"/>
      <c r="WOJ142" s="108"/>
      <c r="WOK142" s="109"/>
      <c r="WOL142" s="107" t="s">
        <v>1</v>
      </c>
      <c r="WOM142" s="108"/>
      <c r="WON142" s="108"/>
      <c r="WOO142" s="109"/>
      <c r="WOP142" s="107" t="s">
        <v>1</v>
      </c>
      <c r="WOQ142" s="108"/>
      <c r="WOR142" s="108"/>
      <c r="WOS142" s="109"/>
      <c r="WOT142" s="107" t="s">
        <v>1</v>
      </c>
      <c r="WOU142" s="108"/>
      <c r="WOV142" s="108"/>
      <c r="WOW142" s="109"/>
      <c r="WOX142" s="107" t="s">
        <v>1</v>
      </c>
      <c r="WOY142" s="108"/>
      <c r="WOZ142" s="108"/>
      <c r="WPA142" s="109"/>
      <c r="WPB142" s="107" t="s">
        <v>1</v>
      </c>
      <c r="WPC142" s="108"/>
      <c r="WPD142" s="108"/>
      <c r="WPE142" s="109"/>
      <c r="WPF142" s="107" t="s">
        <v>1</v>
      </c>
      <c r="WPG142" s="108"/>
      <c r="WPH142" s="108"/>
      <c r="WPI142" s="109"/>
      <c r="WPJ142" s="107" t="s">
        <v>1</v>
      </c>
      <c r="WPK142" s="108"/>
      <c r="WPL142" s="108"/>
      <c r="WPM142" s="109"/>
      <c r="WPN142" s="107" t="s">
        <v>1</v>
      </c>
      <c r="WPO142" s="108"/>
      <c r="WPP142" s="108"/>
      <c r="WPQ142" s="109"/>
      <c r="WPR142" s="107" t="s">
        <v>1</v>
      </c>
      <c r="WPS142" s="108"/>
      <c r="WPT142" s="108"/>
      <c r="WPU142" s="109"/>
      <c r="WPV142" s="107" t="s">
        <v>1</v>
      </c>
      <c r="WPW142" s="108"/>
      <c r="WPX142" s="108"/>
      <c r="WPY142" s="109"/>
      <c r="WPZ142" s="107" t="s">
        <v>1</v>
      </c>
      <c r="WQA142" s="108"/>
      <c r="WQB142" s="108"/>
      <c r="WQC142" s="109"/>
      <c r="WQD142" s="107" t="s">
        <v>1</v>
      </c>
      <c r="WQE142" s="108"/>
      <c r="WQF142" s="108"/>
      <c r="WQG142" s="109"/>
      <c r="WQH142" s="107" t="s">
        <v>1</v>
      </c>
      <c r="WQI142" s="108"/>
      <c r="WQJ142" s="108"/>
      <c r="WQK142" s="109"/>
      <c r="WQL142" s="107" t="s">
        <v>1</v>
      </c>
      <c r="WQM142" s="108"/>
      <c r="WQN142" s="108"/>
      <c r="WQO142" s="109"/>
      <c r="WQP142" s="107" t="s">
        <v>1</v>
      </c>
      <c r="WQQ142" s="108"/>
      <c r="WQR142" s="108"/>
      <c r="WQS142" s="109"/>
      <c r="WQT142" s="107" t="s">
        <v>1</v>
      </c>
      <c r="WQU142" s="108"/>
      <c r="WQV142" s="108"/>
      <c r="WQW142" s="109"/>
      <c r="WQX142" s="107" t="s">
        <v>1</v>
      </c>
      <c r="WQY142" s="108"/>
      <c r="WQZ142" s="108"/>
      <c r="WRA142" s="109"/>
      <c r="WRB142" s="107" t="s">
        <v>1</v>
      </c>
      <c r="WRC142" s="108"/>
      <c r="WRD142" s="108"/>
      <c r="WRE142" s="109"/>
      <c r="WRF142" s="107" t="s">
        <v>1</v>
      </c>
      <c r="WRG142" s="108"/>
      <c r="WRH142" s="108"/>
      <c r="WRI142" s="109"/>
      <c r="WRJ142" s="107" t="s">
        <v>1</v>
      </c>
      <c r="WRK142" s="108"/>
      <c r="WRL142" s="108"/>
      <c r="WRM142" s="109"/>
      <c r="WRN142" s="107" t="s">
        <v>1</v>
      </c>
      <c r="WRO142" s="108"/>
      <c r="WRP142" s="108"/>
      <c r="WRQ142" s="109"/>
      <c r="WRR142" s="107" t="s">
        <v>1</v>
      </c>
      <c r="WRS142" s="108"/>
      <c r="WRT142" s="108"/>
      <c r="WRU142" s="109"/>
      <c r="WRV142" s="107" t="s">
        <v>1</v>
      </c>
      <c r="WRW142" s="108"/>
      <c r="WRX142" s="108"/>
      <c r="WRY142" s="109"/>
      <c r="WRZ142" s="107" t="s">
        <v>1</v>
      </c>
      <c r="WSA142" s="108"/>
      <c r="WSB142" s="108"/>
      <c r="WSC142" s="109"/>
      <c r="WSD142" s="107" t="s">
        <v>1</v>
      </c>
      <c r="WSE142" s="108"/>
      <c r="WSF142" s="108"/>
      <c r="WSG142" s="109"/>
      <c r="WSH142" s="107" t="s">
        <v>1</v>
      </c>
      <c r="WSI142" s="108"/>
      <c r="WSJ142" s="108"/>
      <c r="WSK142" s="109"/>
      <c r="WSL142" s="107" t="s">
        <v>1</v>
      </c>
      <c r="WSM142" s="108"/>
      <c r="WSN142" s="108"/>
      <c r="WSO142" s="109"/>
      <c r="WSP142" s="107" t="s">
        <v>1</v>
      </c>
      <c r="WSQ142" s="108"/>
      <c r="WSR142" s="108"/>
      <c r="WSS142" s="109"/>
      <c r="WST142" s="107" t="s">
        <v>1</v>
      </c>
      <c r="WSU142" s="108"/>
      <c r="WSV142" s="108"/>
      <c r="WSW142" s="109"/>
      <c r="WSX142" s="107" t="s">
        <v>1</v>
      </c>
      <c r="WSY142" s="108"/>
      <c r="WSZ142" s="108"/>
      <c r="WTA142" s="109"/>
      <c r="WTB142" s="107" t="s">
        <v>1</v>
      </c>
      <c r="WTC142" s="108"/>
      <c r="WTD142" s="108"/>
      <c r="WTE142" s="109"/>
      <c r="WTF142" s="107" t="s">
        <v>1</v>
      </c>
      <c r="WTG142" s="108"/>
      <c r="WTH142" s="108"/>
      <c r="WTI142" s="109"/>
      <c r="WTJ142" s="107" t="s">
        <v>1</v>
      </c>
      <c r="WTK142" s="108"/>
      <c r="WTL142" s="108"/>
      <c r="WTM142" s="109"/>
      <c r="WTN142" s="107" t="s">
        <v>1</v>
      </c>
      <c r="WTO142" s="108"/>
      <c r="WTP142" s="108"/>
      <c r="WTQ142" s="109"/>
      <c r="WTR142" s="107" t="s">
        <v>1</v>
      </c>
      <c r="WTS142" s="108"/>
      <c r="WTT142" s="108"/>
      <c r="WTU142" s="109"/>
      <c r="WTV142" s="107" t="s">
        <v>1</v>
      </c>
      <c r="WTW142" s="108"/>
      <c r="WTX142" s="108"/>
      <c r="WTY142" s="109"/>
      <c r="WTZ142" s="107" t="s">
        <v>1</v>
      </c>
      <c r="WUA142" s="108"/>
      <c r="WUB142" s="108"/>
      <c r="WUC142" s="109"/>
      <c r="WUD142" s="107" t="s">
        <v>1</v>
      </c>
      <c r="WUE142" s="108"/>
      <c r="WUF142" s="108"/>
      <c r="WUG142" s="109"/>
      <c r="WUH142" s="107" t="s">
        <v>1</v>
      </c>
      <c r="WUI142" s="108"/>
      <c r="WUJ142" s="108"/>
      <c r="WUK142" s="109"/>
      <c r="WUL142" s="107" t="s">
        <v>1</v>
      </c>
      <c r="WUM142" s="108"/>
      <c r="WUN142" s="108"/>
      <c r="WUO142" s="109"/>
      <c r="WUP142" s="107" t="s">
        <v>1</v>
      </c>
      <c r="WUQ142" s="108"/>
      <c r="WUR142" s="108"/>
      <c r="WUS142" s="109"/>
      <c r="WUT142" s="107" t="s">
        <v>1</v>
      </c>
      <c r="WUU142" s="108"/>
      <c r="WUV142" s="108"/>
      <c r="WUW142" s="109"/>
      <c r="WUX142" s="107" t="s">
        <v>1</v>
      </c>
      <c r="WUY142" s="108"/>
      <c r="WUZ142" s="108"/>
      <c r="WVA142" s="109"/>
      <c r="WVB142" s="107" t="s">
        <v>1</v>
      </c>
      <c r="WVC142" s="108"/>
      <c r="WVD142" s="108"/>
      <c r="WVE142" s="109"/>
      <c r="WVF142" s="107" t="s">
        <v>1</v>
      </c>
      <c r="WVG142" s="108"/>
      <c r="WVH142" s="108"/>
      <c r="WVI142" s="109"/>
      <c r="WVJ142" s="107" t="s">
        <v>1</v>
      </c>
      <c r="WVK142" s="108"/>
      <c r="WVL142" s="108"/>
      <c r="WVM142" s="109"/>
      <c r="WVN142" s="107" t="s">
        <v>1</v>
      </c>
      <c r="WVO142" s="108"/>
      <c r="WVP142" s="108"/>
      <c r="WVQ142" s="109"/>
      <c r="WVR142" s="107" t="s">
        <v>1</v>
      </c>
      <c r="WVS142" s="108"/>
      <c r="WVT142" s="108"/>
      <c r="WVU142" s="109"/>
      <c r="WVV142" s="107" t="s">
        <v>1</v>
      </c>
      <c r="WVW142" s="108"/>
      <c r="WVX142" s="108"/>
      <c r="WVY142" s="109"/>
      <c r="WVZ142" s="107" t="s">
        <v>1</v>
      </c>
      <c r="WWA142" s="108"/>
      <c r="WWB142" s="108"/>
      <c r="WWC142" s="109"/>
      <c r="WWD142" s="107" t="s">
        <v>1</v>
      </c>
      <c r="WWE142" s="108"/>
      <c r="WWF142" s="108"/>
      <c r="WWG142" s="109"/>
      <c r="WWH142" s="107" t="s">
        <v>1</v>
      </c>
      <c r="WWI142" s="108"/>
      <c r="WWJ142" s="108"/>
      <c r="WWK142" s="109"/>
      <c r="WWL142" s="107" t="s">
        <v>1</v>
      </c>
      <c r="WWM142" s="108"/>
      <c r="WWN142" s="108"/>
      <c r="WWO142" s="109"/>
      <c r="WWP142" s="107" t="s">
        <v>1</v>
      </c>
      <c r="WWQ142" s="108"/>
      <c r="WWR142" s="108"/>
      <c r="WWS142" s="109"/>
      <c r="WWT142" s="107" t="s">
        <v>1</v>
      </c>
      <c r="WWU142" s="108"/>
      <c r="WWV142" s="108"/>
      <c r="WWW142" s="109"/>
      <c r="WWX142" s="107" t="s">
        <v>1</v>
      </c>
      <c r="WWY142" s="108"/>
      <c r="WWZ142" s="108"/>
      <c r="WXA142" s="109"/>
      <c r="WXB142" s="107" t="s">
        <v>1</v>
      </c>
      <c r="WXC142" s="108"/>
      <c r="WXD142" s="108"/>
      <c r="WXE142" s="109"/>
      <c r="WXF142" s="107" t="s">
        <v>1</v>
      </c>
      <c r="WXG142" s="108"/>
      <c r="WXH142" s="108"/>
      <c r="WXI142" s="109"/>
      <c r="WXJ142" s="107" t="s">
        <v>1</v>
      </c>
      <c r="WXK142" s="108"/>
      <c r="WXL142" s="108"/>
      <c r="WXM142" s="109"/>
      <c r="WXN142" s="107" t="s">
        <v>1</v>
      </c>
      <c r="WXO142" s="108"/>
      <c r="WXP142" s="108"/>
      <c r="WXQ142" s="109"/>
      <c r="WXR142" s="107" t="s">
        <v>1</v>
      </c>
      <c r="WXS142" s="108"/>
      <c r="WXT142" s="108"/>
      <c r="WXU142" s="109"/>
      <c r="WXV142" s="107" t="s">
        <v>1</v>
      </c>
      <c r="WXW142" s="108"/>
      <c r="WXX142" s="108"/>
      <c r="WXY142" s="109"/>
      <c r="WXZ142" s="107" t="s">
        <v>1</v>
      </c>
      <c r="WYA142" s="108"/>
      <c r="WYB142" s="108"/>
      <c r="WYC142" s="109"/>
      <c r="WYD142" s="107" t="s">
        <v>1</v>
      </c>
      <c r="WYE142" s="108"/>
      <c r="WYF142" s="108"/>
      <c r="WYG142" s="109"/>
      <c r="WYH142" s="107" t="s">
        <v>1</v>
      </c>
      <c r="WYI142" s="108"/>
      <c r="WYJ142" s="108"/>
      <c r="WYK142" s="109"/>
      <c r="WYL142" s="107" t="s">
        <v>1</v>
      </c>
      <c r="WYM142" s="108"/>
      <c r="WYN142" s="108"/>
      <c r="WYO142" s="109"/>
      <c r="WYP142" s="107" t="s">
        <v>1</v>
      </c>
      <c r="WYQ142" s="108"/>
      <c r="WYR142" s="108"/>
      <c r="WYS142" s="109"/>
      <c r="WYT142" s="107" t="s">
        <v>1</v>
      </c>
      <c r="WYU142" s="108"/>
      <c r="WYV142" s="108"/>
      <c r="WYW142" s="109"/>
      <c r="WYX142" s="107" t="s">
        <v>1</v>
      </c>
      <c r="WYY142" s="108"/>
      <c r="WYZ142" s="108"/>
      <c r="WZA142" s="109"/>
      <c r="WZB142" s="107" t="s">
        <v>1</v>
      </c>
      <c r="WZC142" s="108"/>
      <c r="WZD142" s="108"/>
      <c r="WZE142" s="109"/>
      <c r="WZF142" s="107" t="s">
        <v>1</v>
      </c>
      <c r="WZG142" s="108"/>
      <c r="WZH142" s="108"/>
      <c r="WZI142" s="109"/>
      <c r="WZJ142" s="107" t="s">
        <v>1</v>
      </c>
      <c r="WZK142" s="108"/>
      <c r="WZL142" s="108"/>
      <c r="WZM142" s="109"/>
      <c r="WZN142" s="107" t="s">
        <v>1</v>
      </c>
      <c r="WZO142" s="108"/>
      <c r="WZP142" s="108"/>
      <c r="WZQ142" s="109"/>
      <c r="WZR142" s="107" t="s">
        <v>1</v>
      </c>
      <c r="WZS142" s="108"/>
      <c r="WZT142" s="108"/>
      <c r="WZU142" s="109"/>
      <c r="WZV142" s="107" t="s">
        <v>1</v>
      </c>
      <c r="WZW142" s="108"/>
      <c r="WZX142" s="108"/>
      <c r="WZY142" s="109"/>
      <c r="WZZ142" s="107" t="s">
        <v>1</v>
      </c>
      <c r="XAA142" s="108"/>
      <c r="XAB142" s="108"/>
      <c r="XAC142" s="109"/>
      <c r="XAD142" s="107" t="s">
        <v>1</v>
      </c>
      <c r="XAE142" s="108"/>
      <c r="XAF142" s="108"/>
      <c r="XAG142" s="109"/>
      <c r="XAH142" s="107" t="s">
        <v>1</v>
      </c>
      <c r="XAI142" s="108"/>
      <c r="XAJ142" s="108"/>
      <c r="XAK142" s="109"/>
      <c r="XAL142" s="107" t="s">
        <v>1</v>
      </c>
      <c r="XAM142" s="108"/>
      <c r="XAN142" s="108"/>
      <c r="XAO142" s="109"/>
      <c r="XAP142" s="107" t="s">
        <v>1</v>
      </c>
      <c r="XAQ142" s="108"/>
      <c r="XAR142" s="108"/>
      <c r="XAS142" s="109"/>
      <c r="XAT142" s="107" t="s">
        <v>1</v>
      </c>
      <c r="XAU142" s="108"/>
      <c r="XAV142" s="108"/>
      <c r="XAW142" s="109"/>
      <c r="XAX142" s="107" t="s">
        <v>1</v>
      </c>
      <c r="XAY142" s="108"/>
      <c r="XAZ142" s="108"/>
      <c r="XBA142" s="109"/>
      <c r="XBB142" s="107" t="s">
        <v>1</v>
      </c>
      <c r="XBC142" s="108"/>
      <c r="XBD142" s="108"/>
      <c r="XBE142" s="109"/>
      <c r="XBF142" s="107" t="s">
        <v>1</v>
      </c>
      <c r="XBG142" s="108"/>
      <c r="XBH142" s="108"/>
      <c r="XBI142" s="109"/>
      <c r="XBJ142" s="107" t="s">
        <v>1</v>
      </c>
      <c r="XBK142" s="108"/>
      <c r="XBL142" s="108"/>
      <c r="XBM142" s="109"/>
      <c r="XBN142" s="107" t="s">
        <v>1</v>
      </c>
      <c r="XBO142" s="108"/>
      <c r="XBP142" s="108"/>
      <c r="XBQ142" s="109"/>
      <c r="XBR142" s="107" t="s">
        <v>1</v>
      </c>
      <c r="XBS142" s="108"/>
      <c r="XBT142" s="108"/>
      <c r="XBU142" s="109"/>
      <c r="XBV142" s="107" t="s">
        <v>1</v>
      </c>
      <c r="XBW142" s="108"/>
      <c r="XBX142" s="108"/>
      <c r="XBY142" s="109"/>
      <c r="XBZ142" s="107" t="s">
        <v>1</v>
      </c>
      <c r="XCA142" s="108"/>
      <c r="XCB142" s="108"/>
      <c r="XCC142" s="109"/>
      <c r="XCD142" s="107" t="s">
        <v>1</v>
      </c>
      <c r="XCE142" s="108"/>
      <c r="XCF142" s="108"/>
      <c r="XCG142" s="109"/>
      <c r="XCH142" s="107" t="s">
        <v>1</v>
      </c>
      <c r="XCI142" s="108"/>
      <c r="XCJ142" s="108"/>
      <c r="XCK142" s="109"/>
      <c r="XCL142" s="107" t="s">
        <v>1</v>
      </c>
      <c r="XCM142" s="108"/>
      <c r="XCN142" s="108"/>
      <c r="XCO142" s="109"/>
      <c r="XCP142" s="107" t="s">
        <v>1</v>
      </c>
      <c r="XCQ142" s="108"/>
      <c r="XCR142" s="108"/>
      <c r="XCS142" s="109"/>
      <c r="XCT142" s="107" t="s">
        <v>1</v>
      </c>
      <c r="XCU142" s="108"/>
      <c r="XCV142" s="108"/>
      <c r="XCW142" s="109"/>
      <c r="XCX142" s="107" t="s">
        <v>1</v>
      </c>
      <c r="XCY142" s="108"/>
      <c r="XCZ142" s="108"/>
      <c r="XDA142" s="109"/>
      <c r="XDB142" s="107" t="s">
        <v>1</v>
      </c>
      <c r="XDC142" s="108"/>
      <c r="XDD142" s="108"/>
      <c r="XDE142" s="109"/>
      <c r="XDF142" s="107" t="s">
        <v>1</v>
      </c>
      <c r="XDG142" s="108"/>
      <c r="XDH142" s="108"/>
      <c r="XDI142" s="109"/>
      <c r="XDJ142" s="107" t="s">
        <v>1</v>
      </c>
      <c r="XDK142" s="108"/>
      <c r="XDL142" s="108"/>
      <c r="XDM142" s="109"/>
      <c r="XDN142" s="107" t="s">
        <v>1</v>
      </c>
      <c r="XDO142" s="108"/>
      <c r="XDP142" s="108"/>
      <c r="XDQ142" s="109"/>
      <c r="XDR142" s="107" t="s">
        <v>1</v>
      </c>
      <c r="XDS142" s="108"/>
      <c r="XDT142" s="108"/>
      <c r="XDU142" s="109"/>
      <c r="XDV142" s="107" t="s">
        <v>1</v>
      </c>
      <c r="XDW142" s="108"/>
      <c r="XDX142" s="108"/>
      <c r="XDY142" s="109"/>
      <c r="XDZ142" s="107" t="s">
        <v>1</v>
      </c>
      <c r="XEA142" s="108"/>
      <c r="XEB142" s="108"/>
      <c r="XEC142" s="109"/>
      <c r="XED142" s="107" t="s">
        <v>1</v>
      </c>
      <c r="XEE142" s="108"/>
      <c r="XEF142" s="108"/>
      <c r="XEG142" s="109"/>
      <c r="XEH142" s="107" t="s">
        <v>1</v>
      </c>
      <c r="XEI142" s="108"/>
      <c r="XEJ142" s="108"/>
      <c r="XEK142" s="109"/>
      <c r="XEL142" s="107" t="s">
        <v>1</v>
      </c>
      <c r="XEM142" s="108"/>
      <c r="XEN142" s="108"/>
      <c r="XEO142" s="109"/>
      <c r="XEP142" s="107" t="s">
        <v>1</v>
      </c>
      <c r="XEQ142" s="108"/>
      <c r="XER142" s="108"/>
      <c r="XES142" s="109"/>
      <c r="XET142" s="107" t="s">
        <v>1</v>
      </c>
      <c r="XEU142" s="108"/>
      <c r="XEV142" s="108"/>
      <c r="XEW142" s="109"/>
      <c r="XEX142" s="107" t="s">
        <v>1</v>
      </c>
      <c r="XEY142" s="108"/>
      <c r="XEZ142" s="108"/>
      <c r="XFA142" s="109"/>
    </row>
    <row r="143" spans="1:16381" ht="34.5" hidden="1" customHeight="1" x14ac:dyDescent="0.25">
      <c r="A143" s="132" t="s">
        <v>200</v>
      </c>
      <c r="B143" s="133"/>
      <c r="C143" s="133"/>
      <c r="D143" s="134"/>
      <c r="E143" s="32"/>
      <c r="F143" s="32"/>
      <c r="G143" s="32"/>
      <c r="H143" s="32"/>
      <c r="I143" s="32"/>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c r="EL143" s="33"/>
      <c r="EM143" s="33"/>
      <c r="EN143" s="33"/>
      <c r="EO143" s="33"/>
      <c r="EP143" s="33"/>
      <c r="EQ143" s="33"/>
      <c r="ER143" s="33"/>
      <c r="ES143" s="33"/>
      <c r="ET143" s="33"/>
      <c r="EU143" s="33"/>
      <c r="EV143" s="33"/>
      <c r="EW143" s="33"/>
      <c r="EX143" s="33"/>
      <c r="EY143" s="33"/>
      <c r="EZ143" s="33"/>
      <c r="FA143" s="33"/>
      <c r="FB143" s="33"/>
      <c r="FC143" s="33"/>
      <c r="FD143" s="33"/>
      <c r="FE143" s="33"/>
      <c r="FF143" s="33"/>
      <c r="FG143" s="33"/>
      <c r="FH143" s="33"/>
      <c r="FI143" s="33"/>
      <c r="FJ143" s="33"/>
      <c r="FK143" s="33"/>
      <c r="FL143" s="33"/>
      <c r="FM143" s="33"/>
      <c r="FN143" s="33"/>
      <c r="FO143" s="33"/>
      <c r="FP143" s="33"/>
      <c r="FQ143" s="33"/>
      <c r="FR143" s="33"/>
      <c r="FS143" s="33"/>
      <c r="FT143" s="33"/>
      <c r="FU143" s="33"/>
      <c r="FV143" s="33"/>
      <c r="FW143" s="33"/>
      <c r="FX143" s="33"/>
      <c r="FY143" s="33"/>
      <c r="FZ143" s="33"/>
      <c r="GA143" s="33"/>
      <c r="GB143" s="33"/>
      <c r="GC143" s="33"/>
      <c r="GD143" s="33"/>
      <c r="GE143" s="33"/>
      <c r="GF143" s="33"/>
      <c r="GG143" s="33"/>
      <c r="GH143" s="33"/>
      <c r="GI143" s="33"/>
      <c r="GJ143" s="33"/>
      <c r="GK143" s="33"/>
      <c r="GL143" s="33"/>
      <c r="GM143" s="33"/>
      <c r="GN143" s="33"/>
      <c r="GO143" s="33"/>
      <c r="GP143" s="33"/>
      <c r="GQ143" s="33"/>
      <c r="GR143" s="33"/>
      <c r="GS143" s="33"/>
      <c r="GT143" s="33"/>
      <c r="GU143" s="33"/>
      <c r="GV143" s="33"/>
      <c r="GW143" s="33"/>
      <c r="GX143" s="33"/>
      <c r="GY143" s="33"/>
      <c r="GZ143" s="33"/>
      <c r="HA143" s="33"/>
      <c r="HB143" s="33"/>
      <c r="HC143" s="33"/>
      <c r="HD143" s="33"/>
      <c r="HE143" s="33"/>
      <c r="HF143" s="33"/>
      <c r="HG143" s="33"/>
      <c r="HH143" s="33"/>
      <c r="HI143" s="33"/>
      <c r="HJ143" s="33"/>
      <c r="HK143" s="33"/>
      <c r="HL143" s="33"/>
      <c r="HM143" s="33"/>
      <c r="HN143" s="33"/>
      <c r="HO143" s="33"/>
      <c r="HP143" s="33"/>
      <c r="HQ143" s="33"/>
      <c r="HR143" s="33"/>
      <c r="HS143" s="33"/>
      <c r="HT143" s="33"/>
      <c r="HU143" s="33"/>
      <c r="HV143" s="33"/>
      <c r="HW143" s="33"/>
      <c r="HX143" s="33"/>
      <c r="HY143" s="33"/>
      <c r="HZ143" s="33"/>
      <c r="IA143" s="33"/>
      <c r="IB143" s="33"/>
      <c r="IC143" s="33"/>
      <c r="ID143" s="33"/>
      <c r="IE143" s="33"/>
      <c r="IF143" s="33"/>
      <c r="IG143" s="33"/>
      <c r="IH143" s="33"/>
      <c r="II143" s="33"/>
      <c r="IJ143" s="33"/>
      <c r="IK143" s="33"/>
      <c r="IL143" s="33"/>
      <c r="IM143" s="33"/>
      <c r="IN143" s="33"/>
      <c r="IO143" s="33"/>
      <c r="IP143" s="33"/>
      <c r="IQ143" s="33"/>
      <c r="IR143" s="33"/>
      <c r="IS143" s="33"/>
      <c r="IT143" s="33"/>
      <c r="IU143" s="33"/>
      <c r="IV143" s="33"/>
      <c r="IW143" s="33"/>
      <c r="IX143" s="33"/>
      <c r="IY143" s="33"/>
      <c r="IZ143" s="33"/>
      <c r="JA143" s="33"/>
      <c r="JB143" s="33"/>
      <c r="JC143" s="33"/>
      <c r="JD143" s="33"/>
      <c r="JE143" s="33"/>
      <c r="JF143" s="33"/>
      <c r="JG143" s="33"/>
      <c r="JH143" s="33"/>
      <c r="JI143" s="33"/>
      <c r="JJ143" s="33"/>
      <c r="JK143" s="33"/>
      <c r="JL143" s="33"/>
      <c r="JM143" s="33"/>
      <c r="JN143" s="33"/>
      <c r="JO143" s="33"/>
      <c r="JP143" s="33"/>
      <c r="JQ143" s="33"/>
      <c r="JR143" s="33"/>
      <c r="JS143" s="33"/>
      <c r="JT143" s="33"/>
      <c r="JU143" s="33"/>
      <c r="JV143" s="33"/>
      <c r="JW143" s="33"/>
      <c r="JX143" s="33"/>
      <c r="JY143" s="33"/>
      <c r="JZ143" s="33"/>
      <c r="KA143" s="33"/>
      <c r="KB143" s="33"/>
      <c r="KC143" s="33"/>
      <c r="KD143" s="33"/>
      <c r="KE143" s="33"/>
      <c r="KF143" s="33"/>
      <c r="KG143" s="33"/>
      <c r="KH143" s="33"/>
      <c r="KI143" s="33"/>
      <c r="KJ143" s="33"/>
      <c r="KK143" s="33"/>
      <c r="KL143" s="33"/>
      <c r="KM143" s="33"/>
      <c r="KN143" s="33"/>
      <c r="KO143" s="33"/>
      <c r="KP143" s="33"/>
      <c r="KQ143" s="33"/>
      <c r="KR143" s="33"/>
      <c r="KS143" s="33"/>
      <c r="KT143" s="33"/>
      <c r="KU143" s="33"/>
      <c r="KV143" s="33"/>
      <c r="KW143" s="33"/>
      <c r="KX143" s="33"/>
      <c r="KY143" s="33"/>
      <c r="KZ143" s="33"/>
      <c r="LA143" s="33"/>
      <c r="LB143" s="33"/>
      <c r="LC143" s="33"/>
      <c r="LD143" s="33"/>
      <c r="LE143" s="33"/>
      <c r="LF143" s="33"/>
      <c r="LG143" s="33"/>
      <c r="LH143" s="33"/>
      <c r="LI143" s="33"/>
      <c r="LJ143" s="33"/>
      <c r="LK143" s="33"/>
      <c r="LL143" s="33"/>
      <c r="LM143" s="33"/>
      <c r="LN143" s="33"/>
      <c r="LO143" s="33"/>
      <c r="LP143" s="33"/>
      <c r="LQ143" s="33"/>
      <c r="LR143" s="33"/>
      <c r="LS143" s="33"/>
      <c r="LT143" s="33"/>
      <c r="LU143" s="33"/>
      <c r="LV143" s="33"/>
      <c r="LW143" s="33"/>
      <c r="LX143" s="33"/>
      <c r="LY143" s="33"/>
      <c r="LZ143" s="33"/>
      <c r="MA143" s="33"/>
      <c r="MB143" s="33"/>
      <c r="MC143" s="33"/>
      <c r="MD143" s="33"/>
      <c r="ME143" s="33"/>
      <c r="MF143" s="33"/>
      <c r="MG143" s="33"/>
      <c r="MH143" s="33"/>
      <c r="MI143" s="33"/>
      <c r="MJ143" s="33"/>
      <c r="MK143" s="33"/>
      <c r="ML143" s="33"/>
      <c r="MM143" s="33"/>
      <c r="MN143" s="33"/>
      <c r="MO143" s="33"/>
      <c r="MP143" s="33"/>
      <c r="MQ143" s="33"/>
      <c r="MR143" s="33"/>
      <c r="MS143" s="33"/>
      <c r="MT143" s="33"/>
      <c r="MU143" s="33"/>
      <c r="MV143" s="33"/>
      <c r="MW143" s="33"/>
      <c r="MX143" s="33"/>
      <c r="MY143" s="33"/>
      <c r="MZ143" s="33"/>
      <c r="NA143" s="33"/>
      <c r="NB143" s="33"/>
      <c r="NC143" s="33"/>
      <c r="ND143" s="33"/>
      <c r="NE143" s="33"/>
      <c r="NF143" s="33"/>
      <c r="NG143" s="33"/>
      <c r="NH143" s="33"/>
      <c r="NI143" s="33"/>
      <c r="NJ143" s="33"/>
      <c r="NK143" s="33"/>
      <c r="NL143" s="33"/>
      <c r="NM143" s="33"/>
      <c r="NN143" s="33"/>
      <c r="NO143" s="33"/>
      <c r="NP143" s="33"/>
      <c r="NQ143" s="33"/>
      <c r="NR143" s="33"/>
      <c r="NS143" s="33"/>
      <c r="NT143" s="33"/>
      <c r="NU143" s="33"/>
      <c r="NV143" s="33"/>
      <c r="NW143" s="33"/>
      <c r="NX143" s="33"/>
      <c r="NY143" s="33"/>
      <c r="NZ143" s="33"/>
      <c r="OA143" s="33"/>
      <c r="OB143" s="33"/>
      <c r="OC143" s="33"/>
      <c r="OD143" s="33"/>
      <c r="OE143" s="33"/>
      <c r="OF143" s="33"/>
      <c r="OG143" s="33"/>
      <c r="OH143" s="33"/>
      <c r="OI143" s="33"/>
      <c r="OJ143" s="33"/>
      <c r="OK143" s="33"/>
      <c r="OL143" s="33"/>
      <c r="OM143" s="33"/>
      <c r="ON143" s="33"/>
      <c r="OO143" s="33"/>
      <c r="OP143" s="33"/>
      <c r="OQ143" s="33"/>
      <c r="OR143" s="33"/>
      <c r="OS143" s="33"/>
      <c r="OT143" s="33"/>
      <c r="OU143" s="33"/>
      <c r="OV143" s="33"/>
      <c r="OW143" s="33"/>
      <c r="OX143" s="33"/>
      <c r="OY143" s="33"/>
      <c r="OZ143" s="33"/>
      <c r="PA143" s="33"/>
      <c r="PB143" s="33"/>
      <c r="PC143" s="33"/>
      <c r="PD143" s="33"/>
      <c r="PE143" s="33"/>
      <c r="PF143" s="33"/>
      <c r="PG143" s="33"/>
      <c r="PH143" s="33"/>
      <c r="PI143" s="33"/>
      <c r="PJ143" s="33"/>
      <c r="PK143" s="33"/>
      <c r="PL143" s="33"/>
      <c r="PM143" s="33"/>
      <c r="PN143" s="33"/>
      <c r="PO143" s="33"/>
      <c r="PP143" s="33"/>
      <c r="PQ143" s="33"/>
      <c r="PR143" s="33"/>
      <c r="PS143" s="33"/>
      <c r="PT143" s="33"/>
      <c r="PU143" s="33"/>
      <c r="PV143" s="33"/>
      <c r="PW143" s="33"/>
      <c r="PX143" s="33"/>
      <c r="PY143" s="33"/>
      <c r="PZ143" s="33"/>
      <c r="QA143" s="33"/>
      <c r="QB143" s="33"/>
      <c r="QC143" s="33"/>
      <c r="QD143" s="33"/>
      <c r="QE143" s="33"/>
      <c r="QF143" s="33"/>
      <c r="QG143" s="33"/>
      <c r="QH143" s="33"/>
      <c r="QI143" s="33"/>
      <c r="QJ143" s="33"/>
      <c r="QK143" s="33"/>
      <c r="QL143" s="33"/>
      <c r="QM143" s="33"/>
      <c r="QN143" s="33"/>
      <c r="QO143" s="33"/>
      <c r="QP143" s="33"/>
      <c r="QQ143" s="33"/>
      <c r="QR143" s="33"/>
      <c r="QS143" s="33"/>
      <c r="QT143" s="33"/>
      <c r="QU143" s="33"/>
      <c r="QV143" s="33"/>
      <c r="QW143" s="33"/>
      <c r="QX143" s="33"/>
      <c r="QY143" s="33"/>
      <c r="QZ143" s="33"/>
      <c r="RA143" s="33"/>
      <c r="RB143" s="33"/>
      <c r="RC143" s="33"/>
      <c r="RD143" s="33"/>
      <c r="RE143" s="33"/>
      <c r="RF143" s="33"/>
      <c r="RG143" s="33"/>
      <c r="RH143" s="33"/>
      <c r="RI143" s="33"/>
      <c r="RJ143" s="33"/>
      <c r="RK143" s="33"/>
      <c r="RL143" s="33"/>
      <c r="RM143" s="33"/>
      <c r="RN143" s="33"/>
      <c r="RO143" s="33"/>
      <c r="RP143" s="33"/>
      <c r="RQ143" s="33"/>
      <c r="RR143" s="33"/>
      <c r="RS143" s="33"/>
      <c r="RT143" s="33"/>
      <c r="RU143" s="33"/>
      <c r="RV143" s="33"/>
      <c r="RW143" s="33"/>
      <c r="RX143" s="33"/>
      <c r="RY143" s="33"/>
      <c r="RZ143" s="33"/>
      <c r="SA143" s="33"/>
      <c r="SB143" s="33"/>
      <c r="SC143" s="33"/>
      <c r="SD143" s="33"/>
      <c r="SE143" s="33"/>
      <c r="SF143" s="33"/>
      <c r="SG143" s="33"/>
      <c r="SH143" s="33"/>
      <c r="SI143" s="33"/>
      <c r="SJ143" s="33"/>
      <c r="SK143" s="33"/>
      <c r="SL143" s="33"/>
      <c r="SM143" s="33"/>
      <c r="SN143" s="33"/>
      <c r="SO143" s="33"/>
      <c r="SP143" s="33"/>
      <c r="SQ143" s="33"/>
      <c r="SR143" s="33"/>
      <c r="SS143" s="33"/>
      <c r="ST143" s="33"/>
      <c r="SU143" s="33"/>
      <c r="SV143" s="33"/>
      <c r="SW143" s="33"/>
      <c r="SX143" s="33"/>
      <c r="SY143" s="33"/>
      <c r="SZ143" s="33"/>
      <c r="TA143" s="33"/>
      <c r="TB143" s="33"/>
      <c r="TC143" s="33"/>
      <c r="TD143" s="33"/>
      <c r="TE143" s="33"/>
      <c r="TF143" s="33"/>
      <c r="TG143" s="33"/>
      <c r="TH143" s="33"/>
      <c r="TI143" s="33"/>
      <c r="TJ143" s="33"/>
      <c r="TK143" s="33"/>
      <c r="TL143" s="33"/>
      <c r="TM143" s="33"/>
      <c r="TN143" s="33"/>
      <c r="TO143" s="33"/>
      <c r="TP143" s="33"/>
      <c r="TQ143" s="33"/>
      <c r="TR143" s="33"/>
      <c r="TS143" s="33"/>
      <c r="TT143" s="33"/>
      <c r="TU143" s="33"/>
      <c r="TV143" s="33"/>
      <c r="TW143" s="33"/>
      <c r="TX143" s="33"/>
      <c r="TY143" s="33"/>
      <c r="TZ143" s="33"/>
      <c r="UA143" s="33"/>
      <c r="UB143" s="33"/>
      <c r="UC143" s="33"/>
      <c r="UD143" s="33"/>
      <c r="UE143" s="33"/>
      <c r="UF143" s="33"/>
      <c r="UG143" s="33"/>
      <c r="UH143" s="33"/>
      <c r="UI143" s="33"/>
      <c r="UJ143" s="33"/>
      <c r="UK143" s="33"/>
      <c r="UL143" s="33"/>
      <c r="UM143" s="33"/>
      <c r="UN143" s="33"/>
      <c r="UO143" s="33"/>
      <c r="UP143" s="33"/>
      <c r="UQ143" s="33"/>
      <c r="UR143" s="33"/>
      <c r="US143" s="33"/>
      <c r="UT143" s="33"/>
      <c r="UU143" s="33"/>
      <c r="UV143" s="33"/>
      <c r="UW143" s="33"/>
      <c r="UX143" s="33"/>
      <c r="UY143" s="33"/>
      <c r="UZ143" s="33"/>
      <c r="VA143" s="33"/>
      <c r="VB143" s="33"/>
      <c r="VC143" s="33"/>
      <c r="VD143" s="33"/>
      <c r="VE143" s="33"/>
      <c r="VF143" s="33"/>
      <c r="VG143" s="33"/>
      <c r="VH143" s="33"/>
      <c r="VI143" s="33"/>
      <c r="VJ143" s="33"/>
      <c r="VK143" s="33"/>
      <c r="VL143" s="33"/>
      <c r="VM143" s="33"/>
      <c r="VN143" s="33"/>
      <c r="VO143" s="33"/>
      <c r="VP143" s="33"/>
      <c r="VQ143" s="33"/>
      <c r="VR143" s="33"/>
      <c r="VS143" s="33"/>
      <c r="VT143" s="33"/>
      <c r="VU143" s="33"/>
      <c r="VV143" s="33"/>
      <c r="VW143" s="33"/>
      <c r="VX143" s="33"/>
      <c r="VY143" s="33"/>
      <c r="VZ143" s="33"/>
      <c r="WA143" s="33"/>
      <c r="WB143" s="33"/>
      <c r="WC143" s="33"/>
      <c r="WD143" s="33"/>
      <c r="WE143" s="33"/>
      <c r="WF143" s="33"/>
      <c r="WG143" s="33"/>
      <c r="WH143" s="33"/>
      <c r="WI143" s="33"/>
      <c r="WJ143" s="33"/>
      <c r="WK143" s="33"/>
      <c r="WL143" s="33"/>
      <c r="WM143" s="33"/>
      <c r="WN143" s="33"/>
      <c r="WO143" s="33"/>
      <c r="WP143" s="33"/>
      <c r="WQ143" s="33"/>
      <c r="WR143" s="33"/>
      <c r="WS143" s="33"/>
      <c r="WT143" s="33"/>
      <c r="WU143" s="33"/>
      <c r="WV143" s="33"/>
      <c r="WW143" s="33"/>
      <c r="WX143" s="33"/>
      <c r="WY143" s="33"/>
      <c r="WZ143" s="33"/>
      <c r="XA143" s="33"/>
      <c r="XB143" s="33"/>
      <c r="XC143" s="33"/>
      <c r="XD143" s="33"/>
      <c r="XE143" s="33"/>
      <c r="XF143" s="33"/>
      <c r="XG143" s="33"/>
      <c r="XH143" s="33"/>
      <c r="XI143" s="33"/>
      <c r="XJ143" s="33"/>
      <c r="XK143" s="33"/>
      <c r="XL143" s="33"/>
      <c r="XM143" s="33"/>
      <c r="XN143" s="33"/>
      <c r="XO143" s="33"/>
      <c r="XP143" s="33"/>
      <c r="XQ143" s="33"/>
      <c r="XR143" s="33"/>
      <c r="XS143" s="33"/>
      <c r="XT143" s="33"/>
      <c r="XU143" s="33"/>
      <c r="XV143" s="33"/>
      <c r="XW143" s="33"/>
      <c r="XX143" s="33"/>
      <c r="XY143" s="33"/>
      <c r="XZ143" s="33"/>
      <c r="YA143" s="33"/>
      <c r="YB143" s="33"/>
      <c r="YC143" s="33"/>
      <c r="YD143" s="33"/>
      <c r="YE143" s="33"/>
      <c r="YF143" s="33"/>
      <c r="YG143" s="33"/>
      <c r="YH143" s="33"/>
      <c r="YI143" s="33"/>
      <c r="YJ143" s="33"/>
      <c r="YK143" s="33"/>
      <c r="YL143" s="33"/>
      <c r="YM143" s="33"/>
      <c r="YN143" s="33"/>
      <c r="YO143" s="33"/>
      <c r="YP143" s="33"/>
      <c r="YQ143" s="33"/>
      <c r="YR143" s="33"/>
      <c r="YS143" s="33"/>
      <c r="YT143" s="33"/>
      <c r="YU143" s="33"/>
      <c r="YV143" s="33"/>
      <c r="YW143" s="33"/>
      <c r="YX143" s="33"/>
      <c r="YY143" s="33"/>
      <c r="YZ143" s="33"/>
      <c r="ZA143" s="33"/>
      <c r="ZB143" s="33"/>
      <c r="ZC143" s="33"/>
      <c r="ZD143" s="33"/>
      <c r="ZE143" s="33"/>
      <c r="ZF143" s="33"/>
      <c r="ZG143" s="33"/>
      <c r="ZH143" s="33"/>
      <c r="ZI143" s="33"/>
      <c r="ZJ143" s="33"/>
      <c r="ZK143" s="33"/>
      <c r="ZL143" s="33"/>
      <c r="ZM143" s="33"/>
      <c r="ZN143" s="33"/>
      <c r="ZO143" s="33"/>
      <c r="ZP143" s="33"/>
      <c r="ZQ143" s="33"/>
      <c r="ZR143" s="33"/>
      <c r="ZS143" s="33"/>
      <c r="ZT143" s="33"/>
      <c r="ZU143" s="33"/>
      <c r="ZV143" s="33"/>
      <c r="ZW143" s="33"/>
      <c r="ZX143" s="33"/>
      <c r="ZY143" s="33"/>
      <c r="ZZ143" s="33"/>
      <c r="AAA143" s="33"/>
      <c r="AAB143" s="33"/>
      <c r="AAC143" s="33"/>
      <c r="AAD143" s="33"/>
      <c r="AAE143" s="33"/>
      <c r="AAF143" s="33"/>
      <c r="AAG143" s="33"/>
      <c r="AAH143" s="33"/>
      <c r="AAI143" s="33"/>
      <c r="AAJ143" s="33"/>
      <c r="AAK143" s="33"/>
      <c r="AAL143" s="33"/>
      <c r="AAM143" s="33"/>
      <c r="AAN143" s="33"/>
      <c r="AAO143" s="33"/>
      <c r="AAP143" s="33"/>
      <c r="AAQ143" s="33"/>
      <c r="AAR143" s="33"/>
      <c r="AAS143" s="33"/>
      <c r="AAT143" s="33"/>
      <c r="AAU143" s="33"/>
      <c r="AAV143" s="33"/>
      <c r="AAW143" s="33"/>
      <c r="AAX143" s="33"/>
      <c r="AAY143" s="33"/>
      <c r="AAZ143" s="33"/>
      <c r="ABA143" s="33"/>
      <c r="ABB143" s="33"/>
      <c r="ABC143" s="33"/>
      <c r="ABD143" s="33"/>
      <c r="ABE143" s="33"/>
      <c r="ABF143" s="33"/>
      <c r="ABG143" s="33"/>
      <c r="ABH143" s="33"/>
      <c r="ABI143" s="33"/>
      <c r="ABJ143" s="33"/>
      <c r="ABK143" s="33"/>
      <c r="ABL143" s="33"/>
      <c r="ABM143" s="33"/>
      <c r="ABN143" s="33"/>
      <c r="ABO143" s="33"/>
      <c r="ABP143" s="33"/>
      <c r="ABQ143" s="33"/>
      <c r="ABR143" s="33"/>
      <c r="ABS143" s="33"/>
      <c r="ABT143" s="33"/>
      <c r="ABU143" s="33"/>
      <c r="ABV143" s="33"/>
      <c r="ABW143" s="33"/>
      <c r="ABX143" s="33"/>
      <c r="ABY143" s="33"/>
      <c r="ABZ143" s="33"/>
      <c r="ACA143" s="33"/>
      <c r="ACB143" s="33"/>
      <c r="ACC143" s="33"/>
      <c r="ACD143" s="33"/>
      <c r="ACE143" s="33"/>
      <c r="ACF143" s="33"/>
      <c r="ACG143" s="33"/>
      <c r="ACH143" s="33"/>
      <c r="ACI143" s="33"/>
      <c r="ACJ143" s="33"/>
      <c r="ACK143" s="33"/>
      <c r="ACL143" s="33"/>
      <c r="ACM143" s="33"/>
      <c r="ACN143" s="33"/>
      <c r="ACO143" s="33"/>
      <c r="ACP143" s="33"/>
      <c r="ACQ143" s="33"/>
      <c r="ACR143" s="33"/>
      <c r="ACS143" s="33"/>
      <c r="ACT143" s="33"/>
      <c r="ACU143" s="33"/>
      <c r="ACV143" s="33"/>
      <c r="ACW143" s="33"/>
      <c r="ACX143" s="33"/>
      <c r="ACY143" s="33"/>
      <c r="ACZ143" s="33"/>
      <c r="ADA143" s="33"/>
      <c r="ADB143" s="33"/>
      <c r="ADC143" s="33"/>
      <c r="ADD143" s="33"/>
      <c r="ADE143" s="33"/>
      <c r="ADF143" s="33"/>
      <c r="ADG143" s="33"/>
      <c r="ADH143" s="33"/>
      <c r="ADI143" s="33"/>
      <c r="ADJ143" s="33"/>
      <c r="ADK143" s="33"/>
      <c r="ADL143" s="33"/>
      <c r="ADM143" s="33"/>
      <c r="ADN143" s="33"/>
      <c r="ADO143" s="33"/>
      <c r="ADP143" s="33"/>
      <c r="ADQ143" s="33"/>
      <c r="ADR143" s="33"/>
      <c r="ADS143" s="33"/>
      <c r="ADT143" s="33"/>
      <c r="ADU143" s="33"/>
      <c r="ADV143" s="33"/>
      <c r="ADW143" s="33"/>
      <c r="ADX143" s="33"/>
      <c r="ADY143" s="33"/>
      <c r="ADZ143" s="33"/>
      <c r="AEA143" s="33"/>
      <c r="AEB143" s="33"/>
      <c r="AEC143" s="33"/>
      <c r="AED143" s="33"/>
      <c r="AEE143" s="33"/>
      <c r="AEF143" s="33"/>
      <c r="AEG143" s="33"/>
      <c r="AEH143" s="33"/>
      <c r="AEI143" s="33"/>
      <c r="AEJ143" s="33"/>
      <c r="AEK143" s="33"/>
      <c r="AEL143" s="33"/>
      <c r="AEM143" s="33"/>
      <c r="AEN143" s="33"/>
      <c r="AEO143" s="33"/>
      <c r="AEP143" s="33"/>
      <c r="AEQ143" s="33"/>
      <c r="AER143" s="33"/>
      <c r="AES143" s="33"/>
      <c r="AET143" s="33"/>
      <c r="AEU143" s="33"/>
      <c r="AEV143" s="33"/>
      <c r="AEW143" s="33"/>
      <c r="AEX143" s="33"/>
      <c r="AEY143" s="33"/>
      <c r="AEZ143" s="33"/>
      <c r="AFA143" s="33"/>
      <c r="AFB143" s="33"/>
      <c r="AFC143" s="33"/>
      <c r="AFD143" s="33"/>
      <c r="AFE143" s="33"/>
      <c r="AFF143" s="33"/>
      <c r="AFG143" s="33"/>
      <c r="AFH143" s="33"/>
      <c r="AFI143" s="33"/>
      <c r="AFJ143" s="33"/>
      <c r="AFK143" s="33"/>
      <c r="AFL143" s="33"/>
      <c r="AFM143" s="33"/>
      <c r="AFN143" s="33"/>
      <c r="AFO143" s="33"/>
      <c r="AFP143" s="33"/>
      <c r="AFQ143" s="33"/>
      <c r="AFR143" s="33"/>
      <c r="AFS143" s="33"/>
      <c r="AFT143" s="33"/>
      <c r="AFU143" s="33"/>
      <c r="AFV143" s="33"/>
      <c r="AFW143" s="33"/>
      <c r="AFX143" s="33"/>
      <c r="AFY143" s="33"/>
      <c r="AFZ143" s="33"/>
      <c r="AGA143" s="33"/>
      <c r="AGB143" s="33"/>
      <c r="AGC143" s="33"/>
      <c r="AGD143" s="33"/>
      <c r="AGE143" s="33"/>
      <c r="AGF143" s="33"/>
      <c r="AGG143" s="33"/>
      <c r="AGH143" s="33"/>
      <c r="AGI143" s="33"/>
      <c r="AGJ143" s="33"/>
      <c r="AGK143" s="33"/>
      <c r="AGL143" s="33"/>
      <c r="AGM143" s="33"/>
      <c r="AGN143" s="33"/>
      <c r="AGO143" s="33"/>
      <c r="AGP143" s="33"/>
      <c r="AGQ143" s="33"/>
      <c r="AGR143" s="33"/>
      <c r="AGS143" s="33"/>
      <c r="AGT143" s="33"/>
      <c r="AGU143" s="33"/>
      <c r="AGV143" s="33"/>
      <c r="AGW143" s="33"/>
      <c r="AGX143" s="33"/>
      <c r="AGY143" s="33"/>
      <c r="AGZ143" s="33"/>
      <c r="AHA143" s="33"/>
      <c r="AHB143" s="33"/>
      <c r="AHC143" s="33"/>
      <c r="AHD143" s="33"/>
      <c r="AHE143" s="33"/>
      <c r="AHF143" s="33"/>
      <c r="AHG143" s="33"/>
      <c r="AHH143" s="33"/>
      <c r="AHI143" s="33"/>
      <c r="AHJ143" s="33"/>
      <c r="AHK143" s="33"/>
      <c r="AHL143" s="33"/>
      <c r="AHM143" s="33"/>
      <c r="AHN143" s="33"/>
      <c r="AHO143" s="33"/>
      <c r="AHP143" s="33"/>
      <c r="AHQ143" s="33"/>
      <c r="AHR143" s="33"/>
      <c r="AHS143" s="33"/>
      <c r="AHT143" s="33"/>
      <c r="AHU143" s="33"/>
      <c r="AHV143" s="33"/>
      <c r="AHW143" s="33"/>
      <c r="AHX143" s="33"/>
      <c r="AHY143" s="33"/>
      <c r="AHZ143" s="33"/>
      <c r="AIA143" s="33"/>
      <c r="AIB143" s="33"/>
      <c r="AIC143" s="33"/>
      <c r="AID143" s="33"/>
      <c r="AIE143" s="33"/>
      <c r="AIF143" s="33"/>
      <c r="AIG143" s="33"/>
      <c r="AIH143" s="33"/>
      <c r="AII143" s="33"/>
      <c r="AIJ143" s="33"/>
      <c r="AIK143" s="33"/>
      <c r="AIL143" s="33"/>
      <c r="AIM143" s="33"/>
      <c r="AIN143" s="33"/>
      <c r="AIO143" s="33"/>
      <c r="AIP143" s="33"/>
      <c r="AIQ143" s="33"/>
      <c r="AIR143" s="33"/>
      <c r="AIS143" s="33"/>
      <c r="AIT143" s="33"/>
      <c r="AIU143" s="33"/>
      <c r="AIV143" s="33"/>
      <c r="AIW143" s="33"/>
      <c r="AIX143" s="33"/>
      <c r="AIY143" s="33"/>
      <c r="AIZ143" s="33"/>
      <c r="AJA143" s="33"/>
      <c r="AJB143" s="33"/>
      <c r="AJC143" s="33"/>
      <c r="AJD143" s="33"/>
      <c r="AJE143" s="33"/>
      <c r="AJF143" s="33"/>
      <c r="AJG143" s="33"/>
      <c r="AJH143" s="33"/>
      <c r="AJI143" s="33"/>
      <c r="AJJ143" s="33"/>
      <c r="AJK143" s="33"/>
      <c r="AJL143" s="33"/>
      <c r="AJM143" s="33"/>
      <c r="AJN143" s="33"/>
      <c r="AJO143" s="33"/>
      <c r="AJP143" s="33"/>
      <c r="AJQ143" s="33"/>
      <c r="AJR143" s="33"/>
      <c r="AJS143" s="33"/>
      <c r="AJT143" s="33"/>
      <c r="AJU143" s="33"/>
      <c r="AJV143" s="33"/>
      <c r="AJW143" s="33"/>
      <c r="AJX143" s="33"/>
      <c r="AJY143" s="33"/>
      <c r="AJZ143" s="33"/>
      <c r="AKA143" s="33"/>
      <c r="AKB143" s="33"/>
      <c r="AKC143" s="33"/>
      <c r="AKD143" s="33"/>
      <c r="AKE143" s="33"/>
      <c r="AKF143" s="33"/>
      <c r="AKG143" s="33"/>
      <c r="AKH143" s="33"/>
      <c r="AKI143" s="33"/>
      <c r="AKJ143" s="33"/>
      <c r="AKK143" s="33"/>
      <c r="AKL143" s="33"/>
      <c r="AKM143" s="33"/>
      <c r="AKN143" s="33"/>
      <c r="AKO143" s="33"/>
      <c r="AKP143" s="33"/>
      <c r="AKQ143" s="33"/>
      <c r="AKR143" s="33"/>
      <c r="AKS143" s="33"/>
      <c r="AKT143" s="33"/>
      <c r="AKU143" s="33"/>
      <c r="AKV143" s="33"/>
      <c r="AKW143" s="33"/>
      <c r="AKX143" s="33"/>
      <c r="AKY143" s="33"/>
      <c r="AKZ143" s="33"/>
      <c r="ALA143" s="33"/>
      <c r="ALB143" s="33"/>
      <c r="ALC143" s="33"/>
      <c r="ALD143" s="33"/>
      <c r="ALE143" s="33"/>
      <c r="ALF143" s="33"/>
      <c r="ALG143" s="33"/>
      <c r="ALH143" s="33"/>
      <c r="ALI143" s="33"/>
      <c r="ALJ143" s="33"/>
      <c r="ALK143" s="33"/>
      <c r="ALL143" s="33"/>
      <c r="ALM143" s="33"/>
      <c r="ALN143" s="33"/>
      <c r="ALO143" s="33"/>
      <c r="ALP143" s="33"/>
      <c r="ALQ143" s="33"/>
      <c r="ALR143" s="33"/>
      <c r="ALS143" s="33"/>
      <c r="ALT143" s="33"/>
      <c r="ALU143" s="33"/>
      <c r="ALV143" s="33"/>
      <c r="ALW143" s="33"/>
      <c r="ALX143" s="33"/>
      <c r="ALY143" s="33"/>
      <c r="ALZ143" s="33"/>
      <c r="AMA143" s="33"/>
      <c r="AMB143" s="33"/>
      <c r="AMC143" s="33"/>
      <c r="AMD143" s="33"/>
      <c r="AME143" s="33"/>
      <c r="AMF143" s="33"/>
      <c r="AMG143" s="33"/>
      <c r="AMH143" s="33"/>
      <c r="AMI143" s="33"/>
      <c r="AMJ143" s="33"/>
      <c r="AMK143" s="33"/>
      <c r="AML143" s="33"/>
      <c r="AMM143" s="33"/>
      <c r="AMN143" s="33"/>
      <c r="AMO143" s="33"/>
      <c r="AMP143" s="33"/>
      <c r="AMQ143" s="33"/>
      <c r="AMR143" s="33"/>
      <c r="AMS143" s="33"/>
      <c r="AMT143" s="33"/>
      <c r="AMU143" s="33"/>
      <c r="AMV143" s="33"/>
      <c r="AMW143" s="33"/>
      <c r="AMX143" s="33"/>
      <c r="AMY143" s="33"/>
      <c r="AMZ143" s="33"/>
      <c r="ANA143" s="33"/>
      <c r="ANB143" s="33"/>
      <c r="ANC143" s="33"/>
      <c r="AND143" s="33"/>
      <c r="ANE143" s="33"/>
      <c r="ANF143" s="33"/>
      <c r="ANG143" s="33"/>
      <c r="ANH143" s="33"/>
      <c r="ANI143" s="33"/>
      <c r="ANJ143" s="33"/>
      <c r="ANK143" s="33"/>
      <c r="ANL143" s="33"/>
      <c r="ANM143" s="33"/>
      <c r="ANN143" s="33"/>
      <c r="ANO143" s="33"/>
      <c r="ANP143" s="33"/>
      <c r="ANQ143" s="33"/>
      <c r="ANR143" s="33"/>
      <c r="ANS143" s="33"/>
      <c r="ANT143" s="33"/>
      <c r="ANU143" s="33"/>
      <c r="ANV143" s="33"/>
      <c r="ANW143" s="33"/>
      <c r="ANX143" s="33"/>
      <c r="ANY143" s="33"/>
      <c r="ANZ143" s="33"/>
      <c r="AOA143" s="33"/>
      <c r="AOB143" s="33"/>
      <c r="AOC143" s="33"/>
      <c r="AOD143" s="33"/>
      <c r="AOE143" s="33"/>
      <c r="AOF143" s="33"/>
      <c r="AOG143" s="33"/>
      <c r="AOH143" s="33"/>
      <c r="AOI143" s="33"/>
      <c r="AOJ143" s="33"/>
      <c r="AOK143" s="33"/>
      <c r="AOL143" s="33"/>
      <c r="AOM143" s="33"/>
      <c r="AON143" s="33"/>
      <c r="AOO143" s="33"/>
      <c r="AOP143" s="33"/>
      <c r="AOQ143" s="33"/>
      <c r="AOR143" s="33"/>
      <c r="AOS143" s="33"/>
      <c r="AOT143" s="33"/>
      <c r="AOU143" s="33"/>
      <c r="AOV143" s="33"/>
      <c r="AOW143" s="33"/>
      <c r="AOX143" s="33"/>
      <c r="AOY143" s="33"/>
      <c r="AOZ143" s="33"/>
      <c r="APA143" s="33"/>
      <c r="APB143" s="33"/>
      <c r="APC143" s="33"/>
      <c r="APD143" s="33"/>
      <c r="APE143" s="33"/>
      <c r="APF143" s="33"/>
      <c r="APG143" s="33"/>
      <c r="APH143" s="33"/>
      <c r="API143" s="33"/>
      <c r="APJ143" s="33"/>
      <c r="APK143" s="33"/>
      <c r="APL143" s="33"/>
      <c r="APM143" s="33"/>
      <c r="APN143" s="33"/>
      <c r="APO143" s="33"/>
      <c r="APP143" s="33"/>
      <c r="APQ143" s="33"/>
      <c r="APR143" s="33"/>
      <c r="APS143" s="33"/>
      <c r="APT143" s="33"/>
      <c r="APU143" s="33"/>
      <c r="APV143" s="33"/>
      <c r="APW143" s="33"/>
      <c r="APX143" s="33"/>
      <c r="APY143" s="33"/>
      <c r="APZ143" s="33"/>
      <c r="AQA143" s="33"/>
      <c r="AQB143" s="33"/>
      <c r="AQC143" s="33"/>
      <c r="AQD143" s="33"/>
      <c r="AQE143" s="33"/>
      <c r="AQF143" s="33"/>
      <c r="AQG143" s="33"/>
      <c r="AQH143" s="33"/>
      <c r="AQI143" s="33"/>
      <c r="AQJ143" s="33"/>
      <c r="AQK143" s="33"/>
      <c r="AQL143" s="33"/>
      <c r="AQM143" s="33"/>
      <c r="AQN143" s="33"/>
      <c r="AQO143" s="33"/>
      <c r="AQP143" s="33"/>
      <c r="AQQ143" s="33"/>
      <c r="AQR143" s="33"/>
      <c r="AQS143" s="33"/>
      <c r="AQT143" s="33"/>
      <c r="AQU143" s="33"/>
      <c r="AQV143" s="33"/>
      <c r="AQW143" s="33"/>
      <c r="AQX143" s="33"/>
      <c r="AQY143" s="33"/>
      <c r="AQZ143" s="33"/>
      <c r="ARA143" s="33"/>
      <c r="ARB143" s="33"/>
      <c r="ARC143" s="33"/>
      <c r="ARD143" s="33"/>
      <c r="ARE143" s="33"/>
      <c r="ARF143" s="33"/>
      <c r="ARG143" s="33"/>
      <c r="ARH143" s="33"/>
      <c r="ARI143" s="33"/>
      <c r="ARJ143" s="33"/>
      <c r="ARK143" s="33"/>
      <c r="ARL143" s="33"/>
      <c r="ARM143" s="33"/>
      <c r="ARN143" s="33"/>
      <c r="ARO143" s="33"/>
      <c r="ARP143" s="33"/>
      <c r="ARQ143" s="33"/>
      <c r="ARR143" s="33"/>
      <c r="ARS143" s="33"/>
      <c r="ART143" s="33"/>
      <c r="ARU143" s="33"/>
      <c r="ARV143" s="33"/>
      <c r="ARW143" s="33"/>
      <c r="ARX143" s="33"/>
      <c r="ARY143" s="33"/>
      <c r="ARZ143" s="33"/>
      <c r="ASA143" s="33"/>
      <c r="ASB143" s="33"/>
      <c r="ASC143" s="33"/>
      <c r="ASD143" s="33"/>
      <c r="ASE143" s="33"/>
      <c r="ASF143" s="33"/>
      <c r="ASG143" s="33"/>
      <c r="ASH143" s="33"/>
      <c r="ASI143" s="33"/>
      <c r="ASJ143" s="33"/>
      <c r="ASK143" s="33"/>
      <c r="ASL143" s="33"/>
      <c r="ASM143" s="33"/>
      <c r="ASN143" s="33"/>
      <c r="ASO143" s="33"/>
      <c r="ASP143" s="33"/>
      <c r="ASQ143" s="33"/>
      <c r="ASR143" s="33"/>
      <c r="ASS143" s="33"/>
      <c r="AST143" s="33"/>
      <c r="ASU143" s="33"/>
      <c r="ASV143" s="33"/>
      <c r="ASW143" s="33"/>
      <c r="ASX143" s="33"/>
      <c r="ASY143" s="33"/>
      <c r="ASZ143" s="33"/>
      <c r="ATA143" s="33"/>
      <c r="ATB143" s="33"/>
      <c r="ATC143" s="33"/>
      <c r="ATD143" s="33"/>
      <c r="ATE143" s="33"/>
      <c r="ATF143" s="33"/>
      <c r="ATG143" s="33"/>
      <c r="ATH143" s="33"/>
      <c r="ATI143" s="33"/>
      <c r="ATJ143" s="33"/>
      <c r="ATK143" s="33"/>
      <c r="ATL143" s="33"/>
      <c r="ATM143" s="33"/>
      <c r="ATN143" s="33"/>
      <c r="ATO143" s="33"/>
      <c r="ATP143" s="33"/>
      <c r="ATQ143" s="33"/>
      <c r="ATR143" s="33"/>
      <c r="ATS143" s="33"/>
      <c r="ATT143" s="33"/>
      <c r="ATU143" s="33"/>
      <c r="ATV143" s="33"/>
      <c r="ATW143" s="33"/>
      <c r="ATX143" s="33"/>
      <c r="ATY143" s="33"/>
      <c r="ATZ143" s="33"/>
      <c r="AUA143" s="33"/>
      <c r="AUB143" s="33"/>
      <c r="AUC143" s="33"/>
      <c r="AUD143" s="33"/>
      <c r="AUE143" s="33"/>
      <c r="AUF143" s="33"/>
      <c r="AUG143" s="33"/>
      <c r="AUH143" s="33"/>
      <c r="AUI143" s="33"/>
      <c r="AUJ143" s="33"/>
      <c r="AUK143" s="33"/>
      <c r="AUL143" s="33"/>
      <c r="AUM143" s="33"/>
      <c r="AUN143" s="33"/>
      <c r="AUO143" s="33"/>
      <c r="AUP143" s="33"/>
      <c r="AUQ143" s="33"/>
      <c r="AUR143" s="33"/>
      <c r="AUS143" s="33"/>
      <c r="AUT143" s="33"/>
      <c r="AUU143" s="33"/>
      <c r="AUV143" s="33"/>
      <c r="AUW143" s="33"/>
      <c r="AUX143" s="33"/>
      <c r="AUY143" s="33"/>
      <c r="AUZ143" s="33"/>
      <c r="AVA143" s="33"/>
      <c r="AVB143" s="33"/>
      <c r="AVC143" s="33"/>
      <c r="AVD143" s="33"/>
      <c r="AVE143" s="33"/>
      <c r="AVF143" s="33"/>
      <c r="AVG143" s="33"/>
      <c r="AVH143" s="33"/>
      <c r="AVI143" s="33"/>
      <c r="AVJ143" s="33"/>
      <c r="AVK143" s="33"/>
      <c r="AVL143" s="33"/>
      <c r="AVM143" s="33"/>
      <c r="AVN143" s="33"/>
      <c r="AVO143" s="33"/>
      <c r="AVP143" s="33"/>
      <c r="AVQ143" s="33"/>
      <c r="AVR143" s="33"/>
      <c r="AVS143" s="33"/>
      <c r="AVT143" s="33"/>
      <c r="AVU143" s="33"/>
      <c r="AVV143" s="33"/>
      <c r="AVW143" s="33"/>
      <c r="AVX143" s="33"/>
      <c r="AVY143" s="33"/>
      <c r="AVZ143" s="33"/>
      <c r="AWA143" s="33"/>
      <c r="AWB143" s="33"/>
      <c r="AWC143" s="33"/>
      <c r="AWD143" s="33"/>
      <c r="AWE143" s="33"/>
      <c r="AWF143" s="33"/>
      <c r="AWG143" s="33"/>
      <c r="AWH143" s="33"/>
      <c r="AWI143" s="33"/>
      <c r="AWJ143" s="33"/>
      <c r="AWK143" s="33"/>
      <c r="AWL143" s="33"/>
      <c r="AWM143" s="33"/>
      <c r="AWN143" s="33"/>
      <c r="AWO143" s="33"/>
      <c r="AWP143" s="33"/>
      <c r="AWQ143" s="33"/>
      <c r="AWR143" s="33"/>
      <c r="AWS143" s="33"/>
      <c r="AWT143" s="33"/>
      <c r="AWU143" s="33"/>
      <c r="AWV143" s="33"/>
      <c r="AWW143" s="33"/>
      <c r="AWX143" s="33"/>
      <c r="AWY143" s="33"/>
      <c r="AWZ143" s="33"/>
      <c r="AXA143" s="33"/>
      <c r="AXB143" s="33"/>
      <c r="AXC143" s="33"/>
      <c r="AXD143" s="33"/>
      <c r="AXE143" s="33"/>
      <c r="AXF143" s="33"/>
      <c r="AXG143" s="33"/>
      <c r="AXH143" s="33"/>
      <c r="AXI143" s="33"/>
      <c r="AXJ143" s="33"/>
      <c r="AXK143" s="33"/>
      <c r="AXL143" s="33"/>
      <c r="AXM143" s="33"/>
      <c r="AXN143" s="33"/>
      <c r="AXO143" s="33"/>
      <c r="AXP143" s="33"/>
      <c r="AXQ143" s="33"/>
      <c r="AXR143" s="33"/>
      <c r="AXS143" s="33"/>
      <c r="AXT143" s="33"/>
      <c r="AXU143" s="33"/>
      <c r="AXV143" s="33"/>
      <c r="AXW143" s="33"/>
      <c r="AXX143" s="33"/>
      <c r="AXY143" s="33"/>
      <c r="AXZ143" s="33"/>
      <c r="AYA143" s="33"/>
      <c r="AYB143" s="33"/>
      <c r="AYC143" s="33"/>
      <c r="AYD143" s="33"/>
      <c r="AYE143" s="33"/>
      <c r="AYF143" s="33"/>
      <c r="AYG143" s="33"/>
      <c r="AYH143" s="33"/>
      <c r="AYI143" s="33"/>
      <c r="AYJ143" s="33"/>
      <c r="AYK143" s="33"/>
      <c r="AYL143" s="33"/>
      <c r="AYM143" s="33"/>
      <c r="AYN143" s="33"/>
      <c r="AYO143" s="33"/>
      <c r="AYP143" s="33"/>
      <c r="AYQ143" s="33"/>
      <c r="AYR143" s="33"/>
      <c r="AYS143" s="33"/>
      <c r="AYT143" s="33"/>
      <c r="AYU143" s="33"/>
      <c r="AYV143" s="33"/>
      <c r="AYW143" s="33"/>
      <c r="AYX143" s="33"/>
      <c r="AYY143" s="33"/>
      <c r="AYZ143" s="33"/>
      <c r="AZA143" s="33"/>
      <c r="AZB143" s="33"/>
      <c r="AZC143" s="33"/>
      <c r="AZD143" s="33"/>
      <c r="AZE143" s="33"/>
      <c r="AZF143" s="33"/>
      <c r="AZG143" s="33"/>
      <c r="AZH143" s="33"/>
      <c r="AZI143" s="33"/>
      <c r="AZJ143" s="33"/>
      <c r="AZK143" s="33"/>
      <c r="AZL143" s="33"/>
      <c r="AZM143" s="33"/>
      <c r="AZN143" s="33"/>
      <c r="AZO143" s="33"/>
      <c r="AZP143" s="33"/>
      <c r="AZQ143" s="33"/>
      <c r="AZR143" s="33"/>
      <c r="AZS143" s="33"/>
      <c r="AZT143" s="33"/>
      <c r="AZU143" s="33"/>
      <c r="AZV143" s="33"/>
      <c r="AZW143" s="33"/>
      <c r="AZX143" s="33"/>
      <c r="AZY143" s="33"/>
      <c r="AZZ143" s="33"/>
      <c r="BAA143" s="33"/>
      <c r="BAB143" s="33"/>
      <c r="BAC143" s="33"/>
      <c r="BAD143" s="33"/>
      <c r="BAE143" s="33"/>
      <c r="BAF143" s="33"/>
      <c r="BAG143" s="33"/>
      <c r="BAH143" s="33"/>
      <c r="BAI143" s="33"/>
      <c r="BAJ143" s="33"/>
      <c r="BAK143" s="33"/>
      <c r="BAL143" s="33"/>
      <c r="BAM143" s="33"/>
      <c r="BAN143" s="33"/>
      <c r="BAO143" s="33"/>
      <c r="BAP143" s="33"/>
      <c r="BAQ143" s="33"/>
      <c r="BAR143" s="33"/>
      <c r="BAS143" s="33"/>
      <c r="BAT143" s="33"/>
      <c r="BAU143" s="33"/>
      <c r="BAV143" s="33"/>
      <c r="BAW143" s="33"/>
      <c r="BAX143" s="33"/>
      <c r="BAY143" s="33"/>
      <c r="BAZ143" s="33"/>
      <c r="BBA143" s="33"/>
      <c r="BBB143" s="33"/>
      <c r="BBC143" s="33"/>
      <c r="BBD143" s="33"/>
      <c r="BBE143" s="33"/>
      <c r="BBF143" s="33"/>
      <c r="BBG143" s="33"/>
      <c r="BBH143" s="33"/>
      <c r="BBI143" s="33"/>
      <c r="BBJ143" s="33"/>
      <c r="BBK143" s="33"/>
      <c r="BBL143" s="33"/>
      <c r="BBM143" s="33"/>
      <c r="BBN143" s="33"/>
      <c r="BBO143" s="33"/>
      <c r="BBP143" s="33"/>
      <c r="BBQ143" s="33"/>
      <c r="BBR143" s="33"/>
      <c r="BBS143" s="33"/>
      <c r="BBT143" s="33"/>
      <c r="BBU143" s="33"/>
      <c r="BBV143" s="33"/>
      <c r="BBW143" s="33"/>
      <c r="BBX143" s="33"/>
      <c r="BBY143" s="33"/>
      <c r="BBZ143" s="33"/>
      <c r="BCA143" s="33"/>
      <c r="BCB143" s="33"/>
      <c r="BCC143" s="33"/>
      <c r="BCD143" s="33"/>
      <c r="BCE143" s="33"/>
      <c r="BCF143" s="33"/>
      <c r="BCG143" s="33"/>
      <c r="BCH143" s="33"/>
      <c r="BCI143" s="33"/>
      <c r="BCJ143" s="33"/>
      <c r="BCK143" s="33"/>
      <c r="BCL143" s="33"/>
      <c r="BCM143" s="33"/>
      <c r="BCN143" s="33"/>
      <c r="BCO143" s="33"/>
      <c r="BCP143" s="33"/>
      <c r="BCQ143" s="33"/>
      <c r="BCR143" s="33"/>
      <c r="BCS143" s="33"/>
      <c r="BCT143" s="33"/>
      <c r="BCU143" s="33"/>
      <c r="BCV143" s="33"/>
      <c r="BCW143" s="33"/>
      <c r="BCX143" s="33"/>
      <c r="BCY143" s="33"/>
      <c r="BCZ143" s="33"/>
      <c r="BDA143" s="33"/>
      <c r="BDB143" s="33"/>
      <c r="BDC143" s="33"/>
      <c r="BDD143" s="33"/>
      <c r="BDE143" s="33"/>
      <c r="BDF143" s="33"/>
      <c r="BDG143" s="33"/>
      <c r="BDH143" s="33"/>
      <c r="BDI143" s="33"/>
      <c r="BDJ143" s="33"/>
      <c r="BDK143" s="33"/>
      <c r="BDL143" s="33"/>
      <c r="BDM143" s="33"/>
      <c r="BDN143" s="33"/>
      <c r="BDO143" s="33"/>
      <c r="BDP143" s="33"/>
      <c r="BDQ143" s="33"/>
      <c r="BDR143" s="33"/>
      <c r="BDS143" s="33"/>
      <c r="BDT143" s="33"/>
      <c r="BDU143" s="33"/>
      <c r="BDV143" s="33"/>
      <c r="BDW143" s="33"/>
      <c r="BDX143" s="33"/>
      <c r="BDY143" s="33"/>
      <c r="BDZ143" s="33"/>
      <c r="BEA143" s="33"/>
      <c r="BEB143" s="33"/>
      <c r="BEC143" s="33"/>
      <c r="BED143" s="33"/>
      <c r="BEE143" s="33"/>
      <c r="BEF143" s="33"/>
      <c r="BEG143" s="33"/>
      <c r="BEH143" s="33"/>
      <c r="BEI143" s="33"/>
      <c r="BEJ143" s="33"/>
      <c r="BEK143" s="33"/>
      <c r="BEL143" s="33"/>
      <c r="BEM143" s="33"/>
      <c r="BEN143" s="33"/>
      <c r="BEO143" s="33"/>
      <c r="BEP143" s="33"/>
      <c r="BEQ143" s="33"/>
      <c r="BER143" s="33"/>
      <c r="BES143" s="33"/>
      <c r="BET143" s="33"/>
      <c r="BEU143" s="33"/>
      <c r="BEV143" s="33"/>
      <c r="BEW143" s="33"/>
      <c r="BEX143" s="33"/>
      <c r="BEY143" s="33"/>
      <c r="BEZ143" s="33"/>
      <c r="BFA143" s="33"/>
      <c r="BFB143" s="33"/>
      <c r="BFC143" s="33"/>
      <c r="BFD143" s="33"/>
      <c r="BFE143" s="33"/>
      <c r="BFF143" s="33"/>
      <c r="BFG143" s="33"/>
      <c r="BFH143" s="33"/>
      <c r="BFI143" s="33"/>
      <c r="BFJ143" s="33"/>
      <c r="BFK143" s="33"/>
      <c r="BFL143" s="33"/>
      <c r="BFM143" s="33"/>
      <c r="BFN143" s="33"/>
      <c r="BFO143" s="33"/>
      <c r="BFP143" s="33"/>
      <c r="BFQ143" s="33"/>
      <c r="BFR143" s="33"/>
      <c r="BFS143" s="33"/>
      <c r="BFT143" s="33"/>
      <c r="BFU143" s="33"/>
      <c r="BFV143" s="33"/>
      <c r="BFW143" s="33"/>
      <c r="BFX143" s="33"/>
      <c r="BFY143" s="33"/>
      <c r="BFZ143" s="33"/>
      <c r="BGA143" s="33"/>
      <c r="BGB143" s="33"/>
      <c r="BGC143" s="33"/>
      <c r="BGD143" s="33"/>
      <c r="BGE143" s="33"/>
      <c r="BGF143" s="33"/>
      <c r="BGG143" s="33"/>
      <c r="BGH143" s="33"/>
      <c r="BGI143" s="33"/>
      <c r="BGJ143" s="33"/>
      <c r="BGK143" s="33"/>
      <c r="BGL143" s="33"/>
      <c r="BGM143" s="33"/>
      <c r="BGN143" s="33"/>
      <c r="BGO143" s="33"/>
      <c r="BGP143" s="33"/>
      <c r="BGQ143" s="33"/>
      <c r="BGR143" s="33"/>
      <c r="BGS143" s="33"/>
      <c r="BGT143" s="33"/>
      <c r="BGU143" s="33"/>
      <c r="BGV143" s="33"/>
      <c r="BGW143" s="33"/>
      <c r="BGX143" s="33"/>
      <c r="BGY143" s="33"/>
      <c r="BGZ143" s="33"/>
      <c r="BHA143" s="33"/>
      <c r="BHB143" s="33"/>
      <c r="BHC143" s="33"/>
      <c r="BHD143" s="33"/>
      <c r="BHE143" s="33"/>
      <c r="BHF143" s="33"/>
      <c r="BHG143" s="33"/>
      <c r="BHH143" s="33"/>
      <c r="BHI143" s="33"/>
      <c r="BHJ143" s="33"/>
      <c r="BHK143" s="33"/>
      <c r="BHL143" s="33"/>
      <c r="BHM143" s="33"/>
      <c r="BHN143" s="33"/>
      <c r="BHO143" s="33"/>
      <c r="BHP143" s="33"/>
      <c r="BHQ143" s="33"/>
      <c r="BHR143" s="33"/>
      <c r="BHS143" s="33"/>
      <c r="BHT143" s="33"/>
      <c r="BHU143" s="33"/>
      <c r="BHV143" s="33"/>
      <c r="BHW143" s="33"/>
      <c r="BHX143" s="33"/>
      <c r="BHY143" s="33"/>
      <c r="BHZ143" s="33"/>
      <c r="BIA143" s="33"/>
      <c r="BIB143" s="33"/>
      <c r="BIC143" s="33"/>
      <c r="BID143" s="33"/>
      <c r="BIE143" s="33"/>
      <c r="BIF143" s="33"/>
      <c r="BIG143" s="33"/>
      <c r="BIH143" s="33"/>
      <c r="BII143" s="33"/>
      <c r="BIJ143" s="33"/>
      <c r="BIK143" s="33"/>
      <c r="BIL143" s="33"/>
      <c r="BIM143" s="33"/>
      <c r="BIN143" s="33"/>
      <c r="BIO143" s="33"/>
      <c r="BIP143" s="33"/>
      <c r="BIQ143" s="33"/>
      <c r="BIR143" s="33"/>
      <c r="BIS143" s="33"/>
      <c r="BIT143" s="33"/>
      <c r="BIU143" s="33"/>
      <c r="BIV143" s="33"/>
      <c r="BIW143" s="33"/>
      <c r="BIX143" s="33"/>
      <c r="BIY143" s="33"/>
      <c r="BIZ143" s="33"/>
      <c r="BJA143" s="33"/>
      <c r="BJB143" s="33"/>
      <c r="BJC143" s="33"/>
      <c r="BJD143" s="33"/>
      <c r="BJE143" s="33"/>
      <c r="BJF143" s="33"/>
      <c r="BJG143" s="33"/>
      <c r="BJH143" s="33"/>
      <c r="BJI143" s="33"/>
      <c r="BJJ143" s="33"/>
      <c r="BJK143" s="33"/>
      <c r="BJL143" s="33"/>
      <c r="BJM143" s="33"/>
      <c r="BJN143" s="33"/>
      <c r="BJO143" s="33"/>
      <c r="BJP143" s="33"/>
      <c r="BJQ143" s="33"/>
      <c r="BJR143" s="33"/>
      <c r="BJS143" s="33"/>
      <c r="BJT143" s="33"/>
      <c r="BJU143" s="33"/>
      <c r="BJV143" s="33"/>
      <c r="BJW143" s="33"/>
      <c r="BJX143" s="33"/>
      <c r="BJY143" s="33"/>
      <c r="BJZ143" s="33"/>
      <c r="BKA143" s="33"/>
      <c r="BKB143" s="33"/>
      <c r="BKC143" s="33"/>
      <c r="BKD143" s="33"/>
      <c r="BKE143" s="33"/>
      <c r="BKF143" s="33"/>
      <c r="BKG143" s="33"/>
      <c r="BKH143" s="33"/>
      <c r="BKI143" s="33"/>
      <c r="BKJ143" s="33"/>
      <c r="BKK143" s="33"/>
      <c r="BKL143" s="33"/>
      <c r="BKM143" s="33"/>
      <c r="BKN143" s="33"/>
      <c r="BKO143" s="33"/>
      <c r="BKP143" s="33"/>
      <c r="BKQ143" s="33"/>
      <c r="BKR143" s="33"/>
      <c r="BKS143" s="33"/>
      <c r="BKT143" s="33"/>
      <c r="BKU143" s="33"/>
      <c r="BKV143" s="33"/>
      <c r="BKW143" s="33"/>
      <c r="BKX143" s="33"/>
      <c r="BKY143" s="33"/>
      <c r="BKZ143" s="33"/>
      <c r="BLA143" s="33"/>
      <c r="BLB143" s="33"/>
      <c r="BLC143" s="33"/>
      <c r="BLD143" s="33"/>
      <c r="BLE143" s="33"/>
      <c r="BLF143" s="33"/>
      <c r="BLG143" s="33"/>
      <c r="BLH143" s="33"/>
      <c r="BLI143" s="33"/>
      <c r="BLJ143" s="33"/>
      <c r="BLK143" s="33"/>
      <c r="BLL143" s="33"/>
      <c r="BLM143" s="33"/>
      <c r="BLN143" s="33"/>
      <c r="BLO143" s="33"/>
      <c r="BLP143" s="33"/>
      <c r="BLQ143" s="33"/>
      <c r="BLR143" s="33"/>
      <c r="BLS143" s="33"/>
      <c r="BLT143" s="33"/>
      <c r="BLU143" s="33"/>
      <c r="BLV143" s="33"/>
      <c r="BLW143" s="33"/>
      <c r="BLX143" s="33"/>
      <c r="BLY143" s="33"/>
      <c r="BLZ143" s="33"/>
      <c r="BMA143" s="33"/>
      <c r="BMB143" s="33"/>
      <c r="BMC143" s="33"/>
      <c r="BMD143" s="33"/>
      <c r="BME143" s="33"/>
      <c r="BMF143" s="33"/>
      <c r="BMG143" s="33"/>
      <c r="BMH143" s="33"/>
      <c r="BMI143" s="33"/>
      <c r="BMJ143" s="33"/>
      <c r="BMK143" s="33"/>
      <c r="BML143" s="33"/>
      <c r="BMM143" s="33"/>
      <c r="BMN143" s="33"/>
      <c r="BMO143" s="33"/>
      <c r="BMP143" s="33"/>
      <c r="BMQ143" s="33"/>
      <c r="BMR143" s="33"/>
      <c r="BMS143" s="33"/>
      <c r="BMT143" s="33"/>
      <c r="BMU143" s="33"/>
      <c r="BMV143" s="33"/>
      <c r="BMW143" s="33"/>
      <c r="BMX143" s="33"/>
      <c r="BMY143" s="33"/>
      <c r="BMZ143" s="33"/>
      <c r="BNA143" s="33"/>
      <c r="BNB143" s="33"/>
      <c r="BNC143" s="33"/>
      <c r="BND143" s="33"/>
      <c r="BNE143" s="33"/>
      <c r="BNF143" s="33"/>
      <c r="BNG143" s="33"/>
      <c r="BNH143" s="33"/>
      <c r="BNI143" s="33"/>
      <c r="BNJ143" s="33"/>
      <c r="BNK143" s="33"/>
      <c r="BNL143" s="33"/>
      <c r="BNM143" s="33"/>
      <c r="BNN143" s="33"/>
      <c r="BNO143" s="33"/>
      <c r="BNP143" s="33"/>
      <c r="BNQ143" s="33"/>
      <c r="BNR143" s="33"/>
      <c r="BNS143" s="33"/>
      <c r="BNT143" s="33"/>
      <c r="BNU143" s="33"/>
      <c r="BNV143" s="33"/>
      <c r="BNW143" s="33"/>
      <c r="BNX143" s="33"/>
      <c r="BNY143" s="33"/>
      <c r="BNZ143" s="33"/>
      <c r="BOA143" s="33"/>
      <c r="BOB143" s="33"/>
      <c r="BOC143" s="33"/>
      <c r="BOD143" s="33"/>
      <c r="BOE143" s="33"/>
      <c r="BOF143" s="33"/>
      <c r="BOG143" s="33"/>
      <c r="BOH143" s="33"/>
      <c r="BOI143" s="33"/>
      <c r="BOJ143" s="33"/>
      <c r="BOK143" s="33"/>
      <c r="BOL143" s="33"/>
      <c r="BOM143" s="33"/>
      <c r="BON143" s="33"/>
      <c r="BOO143" s="33"/>
      <c r="BOP143" s="33"/>
      <c r="BOQ143" s="33"/>
      <c r="BOR143" s="33"/>
      <c r="BOS143" s="33"/>
      <c r="BOT143" s="33"/>
      <c r="BOU143" s="33"/>
      <c r="BOV143" s="33"/>
      <c r="BOW143" s="33"/>
      <c r="BOX143" s="33"/>
      <c r="BOY143" s="33"/>
      <c r="BOZ143" s="33"/>
      <c r="BPA143" s="33"/>
      <c r="BPB143" s="33"/>
      <c r="BPC143" s="33"/>
      <c r="BPD143" s="33"/>
      <c r="BPE143" s="33"/>
      <c r="BPF143" s="33"/>
      <c r="BPG143" s="33"/>
      <c r="BPH143" s="33"/>
      <c r="BPI143" s="33"/>
      <c r="BPJ143" s="33"/>
      <c r="BPK143" s="33"/>
      <c r="BPL143" s="33"/>
      <c r="BPM143" s="33"/>
      <c r="BPN143" s="33"/>
      <c r="BPO143" s="33"/>
      <c r="BPP143" s="33"/>
      <c r="BPQ143" s="33"/>
      <c r="BPR143" s="33"/>
      <c r="BPS143" s="33"/>
      <c r="BPT143" s="33"/>
      <c r="BPU143" s="33"/>
      <c r="BPV143" s="33"/>
      <c r="BPW143" s="33"/>
      <c r="BPX143" s="33"/>
      <c r="BPY143" s="33"/>
      <c r="BPZ143" s="33"/>
      <c r="BQA143" s="33"/>
      <c r="BQB143" s="33"/>
      <c r="BQC143" s="33"/>
      <c r="BQD143" s="33"/>
      <c r="BQE143" s="33"/>
      <c r="BQF143" s="33"/>
      <c r="BQG143" s="33"/>
      <c r="BQH143" s="33"/>
      <c r="BQI143" s="33"/>
      <c r="BQJ143" s="33"/>
      <c r="BQK143" s="33"/>
      <c r="BQL143" s="33"/>
      <c r="BQM143" s="33"/>
      <c r="BQN143" s="33"/>
      <c r="BQO143" s="33"/>
      <c r="BQP143" s="33"/>
      <c r="BQQ143" s="33"/>
      <c r="BQR143" s="33"/>
      <c r="BQS143" s="33"/>
      <c r="BQT143" s="33"/>
      <c r="BQU143" s="33"/>
      <c r="BQV143" s="33"/>
      <c r="BQW143" s="33"/>
      <c r="BQX143" s="33"/>
      <c r="BQY143" s="33"/>
      <c r="BQZ143" s="33"/>
      <c r="BRA143" s="33"/>
      <c r="BRB143" s="33"/>
      <c r="BRC143" s="33"/>
      <c r="BRD143" s="33"/>
      <c r="BRE143" s="33"/>
      <c r="BRF143" s="33"/>
      <c r="BRG143" s="33"/>
      <c r="BRH143" s="33"/>
      <c r="BRI143" s="33"/>
      <c r="BRJ143" s="33"/>
      <c r="BRK143" s="33"/>
      <c r="BRL143" s="33"/>
      <c r="BRM143" s="33"/>
      <c r="BRN143" s="33"/>
      <c r="BRO143" s="33"/>
      <c r="BRP143" s="33"/>
      <c r="BRQ143" s="33"/>
      <c r="BRR143" s="33"/>
      <c r="BRS143" s="33"/>
      <c r="BRT143" s="33"/>
      <c r="BRU143" s="33"/>
      <c r="BRV143" s="33"/>
      <c r="BRW143" s="33"/>
      <c r="BRX143" s="33"/>
      <c r="BRY143" s="33"/>
      <c r="BRZ143" s="33"/>
      <c r="BSA143" s="33"/>
      <c r="BSB143" s="33"/>
      <c r="BSC143" s="33"/>
      <c r="BSD143" s="33"/>
      <c r="BSE143" s="33"/>
      <c r="BSF143" s="33"/>
      <c r="BSG143" s="33"/>
      <c r="BSH143" s="33"/>
      <c r="BSI143" s="33"/>
      <c r="BSJ143" s="33"/>
      <c r="BSK143" s="33"/>
      <c r="BSL143" s="33"/>
      <c r="BSM143" s="33"/>
      <c r="BSN143" s="33"/>
      <c r="BSO143" s="33"/>
      <c r="BSP143" s="33"/>
      <c r="BSQ143" s="33"/>
      <c r="BSR143" s="33"/>
      <c r="BSS143" s="33"/>
      <c r="BST143" s="33"/>
      <c r="BSU143" s="33"/>
      <c r="BSV143" s="33"/>
      <c r="BSW143" s="33"/>
      <c r="BSX143" s="33"/>
      <c r="BSY143" s="33"/>
      <c r="BSZ143" s="33"/>
      <c r="BTA143" s="33"/>
      <c r="BTB143" s="33"/>
      <c r="BTC143" s="33"/>
      <c r="BTD143" s="33"/>
      <c r="BTE143" s="33"/>
      <c r="BTF143" s="33"/>
      <c r="BTG143" s="33"/>
      <c r="BTH143" s="33"/>
      <c r="BTI143" s="33"/>
      <c r="BTJ143" s="33"/>
      <c r="BTK143" s="33"/>
      <c r="BTL143" s="33"/>
      <c r="BTM143" s="33"/>
      <c r="BTN143" s="33"/>
      <c r="BTO143" s="33"/>
      <c r="BTP143" s="33"/>
      <c r="BTQ143" s="33"/>
      <c r="BTR143" s="33"/>
      <c r="BTS143" s="33"/>
      <c r="BTT143" s="33"/>
      <c r="BTU143" s="33"/>
      <c r="BTV143" s="33"/>
      <c r="BTW143" s="33"/>
      <c r="BTX143" s="33"/>
      <c r="BTY143" s="33"/>
      <c r="BTZ143" s="33"/>
      <c r="BUA143" s="33"/>
      <c r="BUB143" s="33"/>
      <c r="BUC143" s="33"/>
      <c r="BUD143" s="33"/>
      <c r="BUE143" s="33"/>
      <c r="BUF143" s="33"/>
      <c r="BUG143" s="33"/>
      <c r="BUH143" s="33"/>
      <c r="BUI143" s="33"/>
      <c r="BUJ143" s="33"/>
      <c r="BUK143" s="33"/>
      <c r="BUL143" s="33"/>
      <c r="BUM143" s="33"/>
      <c r="BUN143" s="33"/>
      <c r="BUO143" s="33"/>
      <c r="BUP143" s="33"/>
      <c r="BUQ143" s="33"/>
      <c r="BUR143" s="33"/>
      <c r="BUS143" s="33"/>
      <c r="BUT143" s="33"/>
      <c r="BUU143" s="33"/>
      <c r="BUV143" s="33"/>
      <c r="BUW143" s="33"/>
      <c r="BUX143" s="33"/>
      <c r="BUY143" s="33"/>
      <c r="BUZ143" s="33"/>
      <c r="BVA143" s="33"/>
      <c r="BVB143" s="33"/>
      <c r="BVC143" s="33"/>
      <c r="BVD143" s="33"/>
      <c r="BVE143" s="33"/>
      <c r="BVF143" s="33"/>
      <c r="BVG143" s="33"/>
      <c r="BVH143" s="33"/>
      <c r="BVI143" s="33"/>
      <c r="BVJ143" s="33"/>
      <c r="BVK143" s="33"/>
      <c r="BVL143" s="33"/>
      <c r="BVM143" s="33"/>
      <c r="BVN143" s="33"/>
      <c r="BVO143" s="33"/>
      <c r="BVP143" s="33"/>
      <c r="BVQ143" s="33"/>
      <c r="BVR143" s="33"/>
      <c r="BVS143" s="33"/>
      <c r="BVT143" s="33"/>
      <c r="BVU143" s="33"/>
      <c r="BVV143" s="33"/>
      <c r="BVW143" s="33"/>
      <c r="BVX143" s="33"/>
      <c r="BVY143" s="33"/>
      <c r="BVZ143" s="33"/>
      <c r="BWA143" s="33"/>
      <c r="BWB143" s="33"/>
      <c r="BWC143" s="33"/>
      <c r="BWD143" s="33"/>
      <c r="BWE143" s="33"/>
      <c r="BWF143" s="33"/>
      <c r="BWG143" s="33"/>
      <c r="BWH143" s="33"/>
      <c r="BWI143" s="33"/>
      <c r="BWJ143" s="33"/>
      <c r="BWK143" s="33"/>
      <c r="BWL143" s="33"/>
      <c r="BWM143" s="33"/>
      <c r="BWN143" s="33"/>
      <c r="BWO143" s="33"/>
      <c r="BWP143" s="33"/>
      <c r="BWQ143" s="33"/>
      <c r="BWR143" s="33"/>
      <c r="BWS143" s="33"/>
      <c r="BWT143" s="33"/>
      <c r="BWU143" s="33"/>
      <c r="BWV143" s="33"/>
      <c r="BWW143" s="33"/>
      <c r="BWX143" s="33"/>
      <c r="BWY143" s="33"/>
      <c r="BWZ143" s="33"/>
      <c r="BXA143" s="33"/>
      <c r="BXB143" s="33"/>
      <c r="BXC143" s="33"/>
      <c r="BXD143" s="33"/>
      <c r="BXE143" s="33"/>
      <c r="BXF143" s="33"/>
      <c r="BXG143" s="33"/>
      <c r="BXH143" s="33"/>
      <c r="BXI143" s="33"/>
      <c r="BXJ143" s="33"/>
      <c r="BXK143" s="33"/>
      <c r="BXL143" s="33"/>
      <c r="BXM143" s="33"/>
      <c r="BXN143" s="33"/>
      <c r="BXO143" s="33"/>
      <c r="BXP143" s="33"/>
      <c r="BXQ143" s="33"/>
      <c r="BXR143" s="33"/>
      <c r="BXS143" s="33"/>
      <c r="BXT143" s="33"/>
      <c r="BXU143" s="33"/>
      <c r="BXV143" s="33"/>
      <c r="BXW143" s="33"/>
      <c r="BXX143" s="33"/>
      <c r="BXY143" s="33"/>
      <c r="BXZ143" s="33"/>
      <c r="BYA143" s="33"/>
      <c r="BYB143" s="33"/>
      <c r="BYC143" s="33"/>
      <c r="BYD143" s="33"/>
      <c r="BYE143" s="33"/>
      <c r="BYF143" s="33"/>
      <c r="BYG143" s="33"/>
      <c r="BYH143" s="33"/>
      <c r="BYI143" s="33"/>
      <c r="BYJ143" s="33"/>
      <c r="BYK143" s="33"/>
      <c r="BYL143" s="33"/>
      <c r="BYM143" s="33"/>
      <c r="BYN143" s="33"/>
      <c r="BYO143" s="33"/>
      <c r="BYP143" s="33"/>
      <c r="BYQ143" s="33"/>
      <c r="BYR143" s="33"/>
      <c r="BYS143" s="33"/>
      <c r="BYT143" s="33"/>
      <c r="BYU143" s="33"/>
      <c r="BYV143" s="33"/>
      <c r="BYW143" s="33"/>
      <c r="BYX143" s="33"/>
      <c r="BYY143" s="33"/>
      <c r="BYZ143" s="33"/>
      <c r="BZA143" s="33"/>
      <c r="BZB143" s="33"/>
      <c r="BZC143" s="33"/>
      <c r="BZD143" s="33"/>
      <c r="BZE143" s="33"/>
      <c r="BZF143" s="33"/>
      <c r="BZG143" s="33"/>
      <c r="BZH143" s="33"/>
      <c r="BZI143" s="33"/>
      <c r="BZJ143" s="33"/>
      <c r="BZK143" s="33"/>
      <c r="BZL143" s="33"/>
      <c r="BZM143" s="33"/>
      <c r="BZN143" s="33"/>
      <c r="BZO143" s="33"/>
      <c r="BZP143" s="33"/>
      <c r="BZQ143" s="33"/>
      <c r="BZR143" s="33"/>
      <c r="BZS143" s="33"/>
      <c r="BZT143" s="33"/>
      <c r="BZU143" s="33"/>
      <c r="BZV143" s="33"/>
      <c r="BZW143" s="33"/>
      <c r="BZX143" s="33"/>
      <c r="BZY143" s="33"/>
      <c r="BZZ143" s="33"/>
      <c r="CAA143" s="33"/>
      <c r="CAB143" s="33"/>
      <c r="CAC143" s="33"/>
      <c r="CAD143" s="33"/>
      <c r="CAE143" s="33"/>
      <c r="CAF143" s="33"/>
      <c r="CAG143" s="33"/>
      <c r="CAH143" s="33"/>
      <c r="CAI143" s="33"/>
      <c r="CAJ143" s="33"/>
      <c r="CAK143" s="33"/>
      <c r="CAL143" s="33"/>
      <c r="CAM143" s="33"/>
      <c r="CAN143" s="33"/>
      <c r="CAO143" s="33"/>
      <c r="CAP143" s="33"/>
      <c r="CAQ143" s="33"/>
      <c r="CAR143" s="33"/>
      <c r="CAS143" s="33"/>
      <c r="CAT143" s="33"/>
      <c r="CAU143" s="33"/>
      <c r="CAV143" s="33"/>
      <c r="CAW143" s="33"/>
      <c r="CAX143" s="33"/>
      <c r="CAY143" s="33"/>
      <c r="CAZ143" s="33"/>
      <c r="CBA143" s="33"/>
      <c r="CBB143" s="33"/>
      <c r="CBC143" s="33"/>
      <c r="CBD143" s="33"/>
      <c r="CBE143" s="33"/>
      <c r="CBF143" s="33"/>
      <c r="CBG143" s="33"/>
      <c r="CBH143" s="33"/>
      <c r="CBI143" s="33"/>
      <c r="CBJ143" s="33"/>
      <c r="CBK143" s="33"/>
      <c r="CBL143" s="33"/>
      <c r="CBM143" s="33"/>
      <c r="CBN143" s="33"/>
      <c r="CBO143" s="33"/>
      <c r="CBP143" s="33"/>
      <c r="CBQ143" s="33"/>
      <c r="CBR143" s="33"/>
      <c r="CBS143" s="33"/>
      <c r="CBT143" s="33"/>
      <c r="CBU143" s="33"/>
      <c r="CBV143" s="33"/>
      <c r="CBW143" s="33"/>
      <c r="CBX143" s="33"/>
      <c r="CBY143" s="33"/>
      <c r="CBZ143" s="33"/>
      <c r="CCA143" s="33"/>
      <c r="CCB143" s="33"/>
      <c r="CCC143" s="33"/>
      <c r="CCD143" s="33"/>
      <c r="CCE143" s="33"/>
      <c r="CCF143" s="33"/>
      <c r="CCG143" s="33"/>
      <c r="CCH143" s="33"/>
      <c r="CCI143" s="33"/>
      <c r="CCJ143" s="33"/>
      <c r="CCK143" s="33"/>
      <c r="CCL143" s="33"/>
      <c r="CCM143" s="33"/>
      <c r="CCN143" s="33"/>
      <c r="CCO143" s="33"/>
      <c r="CCP143" s="33"/>
      <c r="CCQ143" s="33"/>
      <c r="CCR143" s="33"/>
      <c r="CCS143" s="33"/>
      <c r="CCT143" s="33"/>
      <c r="CCU143" s="33"/>
      <c r="CCV143" s="33"/>
      <c r="CCW143" s="33"/>
      <c r="CCX143" s="33"/>
      <c r="CCY143" s="33"/>
      <c r="CCZ143" s="33"/>
      <c r="CDA143" s="33"/>
      <c r="CDB143" s="33"/>
      <c r="CDC143" s="33"/>
      <c r="CDD143" s="33"/>
      <c r="CDE143" s="33"/>
      <c r="CDF143" s="33"/>
      <c r="CDG143" s="33"/>
      <c r="CDH143" s="33"/>
      <c r="CDI143" s="33"/>
      <c r="CDJ143" s="33"/>
      <c r="CDK143" s="33"/>
      <c r="CDL143" s="33"/>
      <c r="CDM143" s="33"/>
      <c r="CDN143" s="33"/>
      <c r="CDO143" s="33"/>
      <c r="CDP143" s="33"/>
      <c r="CDQ143" s="33"/>
      <c r="CDR143" s="33"/>
      <c r="CDS143" s="33"/>
      <c r="CDT143" s="33"/>
      <c r="CDU143" s="33"/>
      <c r="CDV143" s="33"/>
      <c r="CDW143" s="33"/>
      <c r="CDX143" s="33"/>
      <c r="CDY143" s="33"/>
      <c r="CDZ143" s="33"/>
      <c r="CEA143" s="33"/>
      <c r="CEB143" s="33"/>
      <c r="CEC143" s="33"/>
      <c r="CED143" s="33"/>
      <c r="CEE143" s="33"/>
      <c r="CEF143" s="33"/>
      <c r="CEG143" s="33"/>
      <c r="CEH143" s="33"/>
      <c r="CEI143" s="33"/>
      <c r="CEJ143" s="33"/>
      <c r="CEK143" s="33"/>
      <c r="CEL143" s="33"/>
      <c r="CEM143" s="33"/>
      <c r="CEN143" s="33"/>
      <c r="CEO143" s="33"/>
      <c r="CEP143" s="33"/>
      <c r="CEQ143" s="33"/>
      <c r="CER143" s="33"/>
      <c r="CES143" s="33"/>
      <c r="CET143" s="33"/>
      <c r="CEU143" s="33"/>
      <c r="CEV143" s="33"/>
      <c r="CEW143" s="33"/>
      <c r="CEX143" s="33"/>
      <c r="CEY143" s="33"/>
      <c r="CEZ143" s="33"/>
      <c r="CFA143" s="33"/>
      <c r="CFB143" s="33"/>
      <c r="CFC143" s="33"/>
      <c r="CFD143" s="33"/>
      <c r="CFE143" s="33"/>
      <c r="CFF143" s="33"/>
      <c r="CFG143" s="33"/>
      <c r="CFH143" s="33"/>
      <c r="CFI143" s="33"/>
      <c r="CFJ143" s="33"/>
      <c r="CFK143" s="33"/>
      <c r="CFL143" s="33"/>
      <c r="CFM143" s="33"/>
      <c r="CFN143" s="33"/>
      <c r="CFO143" s="33"/>
      <c r="CFP143" s="33"/>
      <c r="CFQ143" s="33"/>
      <c r="CFR143" s="33"/>
      <c r="CFS143" s="33"/>
      <c r="CFT143" s="33"/>
      <c r="CFU143" s="33"/>
      <c r="CFV143" s="33"/>
      <c r="CFW143" s="33"/>
      <c r="CFX143" s="33"/>
      <c r="CFY143" s="33"/>
      <c r="CFZ143" s="33"/>
      <c r="CGA143" s="33"/>
      <c r="CGB143" s="33"/>
      <c r="CGC143" s="33"/>
      <c r="CGD143" s="33"/>
      <c r="CGE143" s="33"/>
      <c r="CGF143" s="33"/>
      <c r="CGG143" s="33"/>
      <c r="CGH143" s="33"/>
      <c r="CGI143" s="33"/>
      <c r="CGJ143" s="33"/>
      <c r="CGK143" s="33"/>
      <c r="CGL143" s="33"/>
      <c r="CGM143" s="33"/>
      <c r="CGN143" s="33"/>
      <c r="CGO143" s="33"/>
      <c r="CGP143" s="33"/>
      <c r="CGQ143" s="33"/>
      <c r="CGR143" s="33"/>
      <c r="CGS143" s="33"/>
      <c r="CGT143" s="33"/>
      <c r="CGU143" s="33"/>
      <c r="CGV143" s="33"/>
      <c r="CGW143" s="33"/>
      <c r="CGX143" s="33"/>
      <c r="CGY143" s="33"/>
      <c r="CGZ143" s="33"/>
      <c r="CHA143" s="33"/>
      <c r="CHB143" s="33"/>
      <c r="CHC143" s="33"/>
      <c r="CHD143" s="33"/>
      <c r="CHE143" s="33"/>
      <c r="CHF143" s="33"/>
      <c r="CHG143" s="33"/>
      <c r="CHH143" s="33"/>
      <c r="CHI143" s="33"/>
      <c r="CHJ143" s="33"/>
      <c r="CHK143" s="33"/>
      <c r="CHL143" s="33"/>
      <c r="CHM143" s="33"/>
      <c r="CHN143" s="33"/>
      <c r="CHO143" s="33"/>
      <c r="CHP143" s="33"/>
      <c r="CHQ143" s="33"/>
      <c r="CHR143" s="33"/>
      <c r="CHS143" s="33"/>
      <c r="CHT143" s="33"/>
      <c r="CHU143" s="33"/>
      <c r="CHV143" s="33"/>
      <c r="CHW143" s="33"/>
      <c r="CHX143" s="33"/>
      <c r="CHY143" s="33"/>
      <c r="CHZ143" s="33"/>
      <c r="CIA143" s="33"/>
      <c r="CIB143" s="33"/>
      <c r="CIC143" s="33"/>
      <c r="CID143" s="33"/>
      <c r="CIE143" s="33"/>
      <c r="CIF143" s="33"/>
      <c r="CIG143" s="33"/>
      <c r="CIH143" s="33"/>
      <c r="CII143" s="33"/>
      <c r="CIJ143" s="33"/>
      <c r="CIK143" s="33"/>
      <c r="CIL143" s="33"/>
      <c r="CIM143" s="33"/>
      <c r="CIN143" s="33"/>
      <c r="CIO143" s="33"/>
      <c r="CIP143" s="33"/>
      <c r="CIQ143" s="33"/>
      <c r="CIR143" s="33"/>
      <c r="CIS143" s="33"/>
      <c r="CIT143" s="33"/>
      <c r="CIU143" s="33"/>
      <c r="CIV143" s="33"/>
      <c r="CIW143" s="33"/>
      <c r="CIX143" s="33"/>
      <c r="CIY143" s="33"/>
      <c r="CIZ143" s="33"/>
      <c r="CJA143" s="33"/>
      <c r="CJB143" s="33"/>
      <c r="CJC143" s="33"/>
      <c r="CJD143" s="33"/>
      <c r="CJE143" s="33"/>
      <c r="CJF143" s="33"/>
      <c r="CJG143" s="33"/>
      <c r="CJH143" s="33"/>
      <c r="CJI143" s="33"/>
      <c r="CJJ143" s="33"/>
      <c r="CJK143" s="33"/>
      <c r="CJL143" s="33"/>
      <c r="CJM143" s="33"/>
      <c r="CJN143" s="33"/>
      <c r="CJO143" s="33"/>
      <c r="CJP143" s="33"/>
      <c r="CJQ143" s="33"/>
      <c r="CJR143" s="33"/>
      <c r="CJS143" s="33"/>
      <c r="CJT143" s="33"/>
      <c r="CJU143" s="33"/>
      <c r="CJV143" s="33"/>
      <c r="CJW143" s="33"/>
      <c r="CJX143" s="33"/>
      <c r="CJY143" s="33"/>
      <c r="CJZ143" s="33"/>
      <c r="CKA143" s="33"/>
      <c r="CKB143" s="33"/>
      <c r="CKC143" s="33"/>
      <c r="CKD143" s="33"/>
      <c r="CKE143" s="33"/>
      <c r="CKF143" s="33"/>
      <c r="CKG143" s="33"/>
      <c r="CKH143" s="33"/>
      <c r="CKI143" s="33"/>
      <c r="CKJ143" s="33"/>
      <c r="CKK143" s="33"/>
      <c r="CKL143" s="33"/>
      <c r="CKM143" s="33"/>
      <c r="CKN143" s="33"/>
      <c r="CKO143" s="33"/>
      <c r="CKP143" s="33"/>
      <c r="CKQ143" s="33"/>
      <c r="CKR143" s="33"/>
      <c r="CKS143" s="33"/>
      <c r="CKT143" s="33"/>
      <c r="CKU143" s="33"/>
      <c r="CKV143" s="33"/>
      <c r="CKW143" s="33"/>
      <c r="CKX143" s="33"/>
      <c r="CKY143" s="33"/>
      <c r="CKZ143" s="33"/>
      <c r="CLA143" s="33"/>
      <c r="CLB143" s="33"/>
      <c r="CLC143" s="33"/>
      <c r="CLD143" s="33"/>
      <c r="CLE143" s="33"/>
      <c r="CLF143" s="33"/>
      <c r="CLG143" s="33"/>
      <c r="CLH143" s="33"/>
      <c r="CLI143" s="33"/>
      <c r="CLJ143" s="33"/>
      <c r="CLK143" s="33"/>
      <c r="CLL143" s="33"/>
      <c r="CLM143" s="33"/>
      <c r="CLN143" s="33"/>
      <c r="CLO143" s="33"/>
      <c r="CLP143" s="33"/>
      <c r="CLQ143" s="33"/>
      <c r="CLR143" s="33"/>
      <c r="CLS143" s="33"/>
      <c r="CLT143" s="33"/>
      <c r="CLU143" s="33"/>
      <c r="CLV143" s="33"/>
      <c r="CLW143" s="33"/>
      <c r="CLX143" s="33"/>
      <c r="CLY143" s="33"/>
      <c r="CLZ143" s="33"/>
      <c r="CMA143" s="33"/>
      <c r="CMB143" s="33"/>
      <c r="CMC143" s="33"/>
      <c r="CMD143" s="33"/>
      <c r="CME143" s="33"/>
      <c r="CMF143" s="33"/>
      <c r="CMG143" s="33"/>
      <c r="CMH143" s="33"/>
      <c r="CMI143" s="33"/>
      <c r="CMJ143" s="33"/>
      <c r="CMK143" s="33"/>
      <c r="CML143" s="33"/>
      <c r="CMM143" s="33"/>
      <c r="CMN143" s="33"/>
      <c r="CMO143" s="33"/>
      <c r="CMP143" s="33"/>
      <c r="CMQ143" s="33"/>
      <c r="CMR143" s="33"/>
      <c r="CMS143" s="33"/>
      <c r="CMT143" s="33"/>
      <c r="CMU143" s="33"/>
      <c r="CMV143" s="33"/>
      <c r="CMW143" s="33"/>
      <c r="CMX143" s="33"/>
      <c r="CMY143" s="33"/>
      <c r="CMZ143" s="33"/>
      <c r="CNA143" s="33"/>
      <c r="CNB143" s="33"/>
      <c r="CNC143" s="33"/>
      <c r="CND143" s="33"/>
      <c r="CNE143" s="33"/>
      <c r="CNF143" s="33"/>
      <c r="CNG143" s="33"/>
      <c r="CNH143" s="33"/>
      <c r="CNI143" s="33"/>
      <c r="CNJ143" s="33"/>
      <c r="CNK143" s="33"/>
      <c r="CNL143" s="33"/>
      <c r="CNM143" s="33"/>
      <c r="CNN143" s="33"/>
      <c r="CNO143" s="33"/>
      <c r="CNP143" s="33"/>
      <c r="CNQ143" s="33"/>
      <c r="CNR143" s="33"/>
      <c r="CNS143" s="33"/>
      <c r="CNT143" s="33"/>
      <c r="CNU143" s="33"/>
      <c r="CNV143" s="33"/>
      <c r="CNW143" s="33"/>
      <c r="CNX143" s="33"/>
      <c r="CNY143" s="33"/>
      <c r="CNZ143" s="33"/>
      <c r="COA143" s="33"/>
      <c r="COB143" s="33"/>
      <c r="COC143" s="33"/>
      <c r="COD143" s="33"/>
      <c r="COE143" s="33"/>
      <c r="COF143" s="33"/>
      <c r="COG143" s="33"/>
      <c r="COH143" s="33"/>
      <c r="COI143" s="33"/>
      <c r="COJ143" s="33"/>
      <c r="COK143" s="33"/>
      <c r="COL143" s="33"/>
      <c r="COM143" s="33"/>
      <c r="CON143" s="33"/>
      <c r="COO143" s="33"/>
      <c r="COP143" s="33"/>
      <c r="COQ143" s="33"/>
      <c r="COR143" s="33"/>
      <c r="COS143" s="33"/>
      <c r="COT143" s="33"/>
      <c r="COU143" s="33"/>
      <c r="COV143" s="33"/>
      <c r="COW143" s="33"/>
      <c r="COX143" s="33"/>
      <c r="COY143" s="33"/>
      <c r="COZ143" s="33"/>
      <c r="CPA143" s="33"/>
      <c r="CPB143" s="33"/>
      <c r="CPC143" s="33"/>
      <c r="CPD143" s="33"/>
      <c r="CPE143" s="33"/>
      <c r="CPF143" s="33"/>
      <c r="CPG143" s="33"/>
      <c r="CPH143" s="33"/>
      <c r="CPI143" s="33"/>
      <c r="CPJ143" s="33"/>
      <c r="CPK143" s="33"/>
      <c r="CPL143" s="33"/>
      <c r="CPM143" s="33"/>
      <c r="CPN143" s="33"/>
      <c r="CPO143" s="33"/>
      <c r="CPP143" s="33"/>
      <c r="CPQ143" s="33"/>
      <c r="CPR143" s="33"/>
      <c r="CPS143" s="33"/>
      <c r="CPT143" s="33"/>
      <c r="CPU143" s="33"/>
      <c r="CPV143" s="33"/>
      <c r="CPW143" s="33"/>
      <c r="CPX143" s="33"/>
      <c r="CPY143" s="33"/>
      <c r="CPZ143" s="33"/>
      <c r="CQA143" s="33"/>
      <c r="CQB143" s="33"/>
      <c r="CQC143" s="33"/>
      <c r="CQD143" s="33"/>
      <c r="CQE143" s="33"/>
      <c r="CQF143" s="33"/>
      <c r="CQG143" s="33"/>
      <c r="CQH143" s="33"/>
      <c r="CQI143" s="33"/>
      <c r="CQJ143" s="33"/>
      <c r="CQK143" s="33"/>
      <c r="CQL143" s="33"/>
      <c r="CQM143" s="33"/>
      <c r="CQN143" s="33"/>
      <c r="CQO143" s="33"/>
      <c r="CQP143" s="33"/>
      <c r="CQQ143" s="33"/>
      <c r="CQR143" s="33"/>
      <c r="CQS143" s="33"/>
      <c r="CQT143" s="33"/>
      <c r="CQU143" s="33"/>
      <c r="CQV143" s="33"/>
      <c r="CQW143" s="33"/>
      <c r="CQX143" s="33"/>
      <c r="CQY143" s="33"/>
      <c r="CQZ143" s="33"/>
      <c r="CRA143" s="33"/>
      <c r="CRB143" s="33"/>
      <c r="CRC143" s="33"/>
      <c r="CRD143" s="33"/>
      <c r="CRE143" s="33"/>
      <c r="CRF143" s="33"/>
      <c r="CRG143" s="33"/>
      <c r="CRH143" s="33"/>
      <c r="CRI143" s="33"/>
      <c r="CRJ143" s="33"/>
      <c r="CRK143" s="33"/>
      <c r="CRL143" s="33"/>
      <c r="CRM143" s="33"/>
      <c r="CRN143" s="33"/>
      <c r="CRO143" s="33"/>
      <c r="CRP143" s="33"/>
      <c r="CRQ143" s="33"/>
      <c r="CRR143" s="33"/>
      <c r="CRS143" s="33"/>
      <c r="CRT143" s="33"/>
      <c r="CRU143" s="33"/>
      <c r="CRV143" s="33"/>
      <c r="CRW143" s="33"/>
      <c r="CRX143" s="33"/>
      <c r="CRY143" s="33"/>
      <c r="CRZ143" s="33"/>
      <c r="CSA143" s="33"/>
      <c r="CSB143" s="33"/>
      <c r="CSC143" s="33"/>
      <c r="CSD143" s="33"/>
      <c r="CSE143" s="33"/>
      <c r="CSF143" s="33"/>
      <c r="CSG143" s="33"/>
      <c r="CSH143" s="33"/>
      <c r="CSI143" s="33"/>
      <c r="CSJ143" s="33"/>
      <c r="CSK143" s="33"/>
      <c r="CSL143" s="33"/>
      <c r="CSM143" s="33"/>
      <c r="CSN143" s="33"/>
      <c r="CSO143" s="33"/>
      <c r="CSP143" s="33"/>
      <c r="CSQ143" s="33"/>
      <c r="CSR143" s="33"/>
      <c r="CSS143" s="33"/>
      <c r="CST143" s="33"/>
      <c r="CSU143" s="33"/>
      <c r="CSV143" s="33"/>
      <c r="CSW143" s="33"/>
      <c r="CSX143" s="33"/>
      <c r="CSY143" s="33"/>
      <c r="CSZ143" s="33"/>
      <c r="CTA143" s="33"/>
      <c r="CTB143" s="33"/>
      <c r="CTC143" s="33"/>
      <c r="CTD143" s="33"/>
      <c r="CTE143" s="33"/>
      <c r="CTF143" s="33"/>
      <c r="CTG143" s="33"/>
      <c r="CTH143" s="33"/>
      <c r="CTI143" s="33"/>
      <c r="CTJ143" s="33"/>
      <c r="CTK143" s="33"/>
      <c r="CTL143" s="33"/>
      <c r="CTM143" s="33"/>
      <c r="CTN143" s="33"/>
      <c r="CTO143" s="33"/>
      <c r="CTP143" s="33"/>
      <c r="CTQ143" s="33"/>
      <c r="CTR143" s="33"/>
      <c r="CTS143" s="33"/>
      <c r="CTT143" s="33"/>
      <c r="CTU143" s="33"/>
      <c r="CTV143" s="33"/>
      <c r="CTW143" s="33"/>
      <c r="CTX143" s="33"/>
      <c r="CTY143" s="33"/>
      <c r="CTZ143" s="33"/>
      <c r="CUA143" s="33"/>
      <c r="CUB143" s="33"/>
      <c r="CUC143" s="33"/>
      <c r="CUD143" s="33"/>
      <c r="CUE143" s="33"/>
      <c r="CUF143" s="33"/>
      <c r="CUG143" s="33"/>
      <c r="CUH143" s="33"/>
      <c r="CUI143" s="33"/>
      <c r="CUJ143" s="33"/>
      <c r="CUK143" s="33"/>
      <c r="CUL143" s="33"/>
      <c r="CUM143" s="33"/>
      <c r="CUN143" s="33"/>
      <c r="CUO143" s="33"/>
      <c r="CUP143" s="33"/>
      <c r="CUQ143" s="33"/>
      <c r="CUR143" s="33"/>
      <c r="CUS143" s="33"/>
      <c r="CUT143" s="33"/>
      <c r="CUU143" s="33"/>
      <c r="CUV143" s="33"/>
      <c r="CUW143" s="33"/>
      <c r="CUX143" s="33"/>
      <c r="CUY143" s="33"/>
      <c r="CUZ143" s="33"/>
      <c r="CVA143" s="33"/>
      <c r="CVB143" s="33"/>
      <c r="CVC143" s="33"/>
      <c r="CVD143" s="33"/>
      <c r="CVE143" s="33"/>
      <c r="CVF143" s="33"/>
      <c r="CVG143" s="33"/>
      <c r="CVH143" s="33"/>
      <c r="CVI143" s="33"/>
      <c r="CVJ143" s="33"/>
      <c r="CVK143" s="33"/>
      <c r="CVL143" s="33"/>
      <c r="CVM143" s="33"/>
      <c r="CVN143" s="33"/>
      <c r="CVO143" s="33"/>
      <c r="CVP143" s="33"/>
      <c r="CVQ143" s="33"/>
      <c r="CVR143" s="33"/>
      <c r="CVS143" s="33"/>
      <c r="CVT143" s="33"/>
      <c r="CVU143" s="33"/>
      <c r="CVV143" s="33"/>
      <c r="CVW143" s="33"/>
      <c r="CVX143" s="33"/>
      <c r="CVY143" s="33"/>
      <c r="CVZ143" s="33"/>
      <c r="CWA143" s="33"/>
      <c r="CWB143" s="33"/>
      <c r="CWC143" s="33"/>
      <c r="CWD143" s="33"/>
      <c r="CWE143" s="33"/>
      <c r="CWF143" s="33"/>
      <c r="CWG143" s="33"/>
      <c r="CWH143" s="33"/>
      <c r="CWI143" s="33"/>
      <c r="CWJ143" s="33"/>
      <c r="CWK143" s="33"/>
      <c r="CWL143" s="33"/>
      <c r="CWM143" s="33"/>
      <c r="CWN143" s="33"/>
      <c r="CWO143" s="33"/>
      <c r="CWP143" s="33"/>
      <c r="CWQ143" s="33"/>
      <c r="CWR143" s="33"/>
      <c r="CWS143" s="33"/>
      <c r="CWT143" s="33"/>
      <c r="CWU143" s="33"/>
      <c r="CWV143" s="33"/>
      <c r="CWW143" s="33"/>
      <c r="CWX143" s="33"/>
      <c r="CWY143" s="33"/>
      <c r="CWZ143" s="33"/>
      <c r="CXA143" s="33"/>
      <c r="CXB143" s="33"/>
      <c r="CXC143" s="33"/>
      <c r="CXD143" s="33"/>
      <c r="CXE143" s="33"/>
      <c r="CXF143" s="33"/>
      <c r="CXG143" s="33"/>
      <c r="CXH143" s="33"/>
      <c r="CXI143" s="33"/>
      <c r="CXJ143" s="33"/>
      <c r="CXK143" s="33"/>
      <c r="CXL143" s="33"/>
      <c r="CXM143" s="33"/>
      <c r="CXN143" s="33"/>
      <c r="CXO143" s="33"/>
      <c r="CXP143" s="33"/>
      <c r="CXQ143" s="33"/>
      <c r="CXR143" s="33"/>
      <c r="CXS143" s="33"/>
      <c r="CXT143" s="33"/>
      <c r="CXU143" s="33"/>
      <c r="CXV143" s="33"/>
      <c r="CXW143" s="33"/>
      <c r="CXX143" s="33"/>
      <c r="CXY143" s="33"/>
      <c r="CXZ143" s="33"/>
      <c r="CYA143" s="33"/>
      <c r="CYB143" s="33"/>
      <c r="CYC143" s="33"/>
      <c r="CYD143" s="33"/>
      <c r="CYE143" s="33"/>
      <c r="CYF143" s="33"/>
      <c r="CYG143" s="33"/>
      <c r="CYH143" s="33"/>
      <c r="CYI143" s="33"/>
      <c r="CYJ143" s="33"/>
      <c r="CYK143" s="33"/>
      <c r="CYL143" s="33"/>
      <c r="CYM143" s="33"/>
      <c r="CYN143" s="33"/>
      <c r="CYO143" s="33"/>
      <c r="CYP143" s="33"/>
      <c r="CYQ143" s="33"/>
      <c r="CYR143" s="33"/>
      <c r="CYS143" s="33"/>
      <c r="CYT143" s="33"/>
      <c r="CYU143" s="33"/>
      <c r="CYV143" s="33"/>
      <c r="CYW143" s="33"/>
      <c r="CYX143" s="33"/>
      <c r="CYY143" s="33"/>
      <c r="CYZ143" s="33"/>
      <c r="CZA143" s="33"/>
      <c r="CZB143" s="33"/>
      <c r="CZC143" s="33"/>
      <c r="CZD143" s="33"/>
      <c r="CZE143" s="33"/>
      <c r="CZF143" s="33"/>
      <c r="CZG143" s="33"/>
      <c r="CZH143" s="33"/>
      <c r="CZI143" s="33"/>
      <c r="CZJ143" s="33"/>
      <c r="CZK143" s="33"/>
      <c r="CZL143" s="33"/>
      <c r="CZM143" s="33"/>
      <c r="CZN143" s="33"/>
      <c r="CZO143" s="33"/>
      <c r="CZP143" s="33"/>
      <c r="CZQ143" s="33"/>
      <c r="CZR143" s="33"/>
      <c r="CZS143" s="33"/>
      <c r="CZT143" s="33"/>
      <c r="CZU143" s="33"/>
      <c r="CZV143" s="33"/>
      <c r="CZW143" s="33"/>
      <c r="CZX143" s="33"/>
      <c r="CZY143" s="33"/>
      <c r="CZZ143" s="33"/>
      <c r="DAA143" s="33"/>
      <c r="DAB143" s="33"/>
      <c r="DAC143" s="33"/>
      <c r="DAD143" s="33"/>
      <c r="DAE143" s="33"/>
      <c r="DAF143" s="33"/>
      <c r="DAG143" s="33"/>
      <c r="DAH143" s="33"/>
      <c r="DAI143" s="33"/>
      <c r="DAJ143" s="33"/>
      <c r="DAK143" s="33"/>
      <c r="DAL143" s="33"/>
      <c r="DAM143" s="33"/>
      <c r="DAN143" s="33"/>
      <c r="DAO143" s="33"/>
      <c r="DAP143" s="33"/>
      <c r="DAQ143" s="33"/>
      <c r="DAR143" s="33"/>
      <c r="DAS143" s="33"/>
      <c r="DAT143" s="33"/>
      <c r="DAU143" s="33"/>
      <c r="DAV143" s="33"/>
      <c r="DAW143" s="33"/>
      <c r="DAX143" s="33"/>
      <c r="DAY143" s="33"/>
      <c r="DAZ143" s="33"/>
      <c r="DBA143" s="33"/>
      <c r="DBB143" s="33"/>
      <c r="DBC143" s="33"/>
      <c r="DBD143" s="33"/>
      <c r="DBE143" s="33"/>
      <c r="DBF143" s="33"/>
      <c r="DBG143" s="33"/>
      <c r="DBH143" s="33"/>
      <c r="DBI143" s="33"/>
      <c r="DBJ143" s="33"/>
      <c r="DBK143" s="33"/>
      <c r="DBL143" s="33"/>
      <c r="DBM143" s="33"/>
      <c r="DBN143" s="33"/>
      <c r="DBO143" s="33"/>
      <c r="DBP143" s="33"/>
      <c r="DBQ143" s="33"/>
      <c r="DBR143" s="33"/>
      <c r="DBS143" s="33"/>
      <c r="DBT143" s="33"/>
      <c r="DBU143" s="33"/>
      <c r="DBV143" s="33"/>
      <c r="DBW143" s="33"/>
      <c r="DBX143" s="33"/>
      <c r="DBY143" s="33"/>
      <c r="DBZ143" s="33"/>
      <c r="DCA143" s="33"/>
      <c r="DCB143" s="33"/>
      <c r="DCC143" s="33"/>
      <c r="DCD143" s="33"/>
      <c r="DCE143" s="33"/>
      <c r="DCF143" s="33"/>
      <c r="DCG143" s="33"/>
      <c r="DCH143" s="33"/>
      <c r="DCI143" s="33"/>
      <c r="DCJ143" s="33"/>
      <c r="DCK143" s="33"/>
      <c r="DCL143" s="33"/>
      <c r="DCM143" s="33"/>
      <c r="DCN143" s="33"/>
      <c r="DCO143" s="33"/>
      <c r="DCP143" s="33"/>
      <c r="DCQ143" s="33"/>
      <c r="DCR143" s="33"/>
      <c r="DCS143" s="33"/>
      <c r="DCT143" s="33"/>
      <c r="DCU143" s="33"/>
      <c r="DCV143" s="33"/>
      <c r="DCW143" s="33"/>
      <c r="DCX143" s="33"/>
      <c r="DCY143" s="33"/>
      <c r="DCZ143" s="33"/>
      <c r="DDA143" s="33"/>
      <c r="DDB143" s="33"/>
      <c r="DDC143" s="33"/>
      <c r="DDD143" s="33"/>
      <c r="DDE143" s="33"/>
      <c r="DDF143" s="33"/>
      <c r="DDG143" s="33"/>
      <c r="DDH143" s="33"/>
      <c r="DDI143" s="33"/>
      <c r="DDJ143" s="33"/>
      <c r="DDK143" s="33"/>
      <c r="DDL143" s="33"/>
      <c r="DDM143" s="33"/>
      <c r="DDN143" s="33"/>
      <c r="DDO143" s="33"/>
      <c r="DDP143" s="33"/>
      <c r="DDQ143" s="33"/>
      <c r="DDR143" s="33"/>
      <c r="DDS143" s="33"/>
      <c r="DDT143" s="33"/>
      <c r="DDU143" s="33"/>
      <c r="DDV143" s="33"/>
      <c r="DDW143" s="33"/>
      <c r="DDX143" s="33"/>
      <c r="DDY143" s="33"/>
      <c r="DDZ143" s="33"/>
      <c r="DEA143" s="33"/>
      <c r="DEB143" s="33"/>
      <c r="DEC143" s="33"/>
      <c r="DED143" s="33"/>
      <c r="DEE143" s="33"/>
      <c r="DEF143" s="33"/>
      <c r="DEG143" s="33"/>
      <c r="DEH143" s="33"/>
      <c r="DEI143" s="33"/>
      <c r="DEJ143" s="33"/>
      <c r="DEK143" s="33"/>
      <c r="DEL143" s="33"/>
      <c r="DEM143" s="33"/>
      <c r="DEN143" s="33"/>
      <c r="DEO143" s="33"/>
      <c r="DEP143" s="33"/>
      <c r="DEQ143" s="33"/>
      <c r="DER143" s="33"/>
      <c r="DES143" s="33"/>
      <c r="DET143" s="33"/>
      <c r="DEU143" s="33"/>
      <c r="DEV143" s="33"/>
      <c r="DEW143" s="33"/>
      <c r="DEX143" s="33"/>
      <c r="DEY143" s="33"/>
      <c r="DEZ143" s="33"/>
      <c r="DFA143" s="33"/>
      <c r="DFB143" s="33"/>
      <c r="DFC143" s="33"/>
      <c r="DFD143" s="33"/>
      <c r="DFE143" s="33"/>
      <c r="DFF143" s="33"/>
      <c r="DFG143" s="33"/>
      <c r="DFH143" s="33"/>
      <c r="DFI143" s="33"/>
      <c r="DFJ143" s="33"/>
      <c r="DFK143" s="33"/>
      <c r="DFL143" s="33"/>
      <c r="DFM143" s="33"/>
      <c r="DFN143" s="33"/>
      <c r="DFO143" s="33"/>
      <c r="DFP143" s="33"/>
      <c r="DFQ143" s="33"/>
      <c r="DFR143" s="33"/>
      <c r="DFS143" s="33"/>
      <c r="DFT143" s="33"/>
      <c r="DFU143" s="33"/>
      <c r="DFV143" s="33"/>
      <c r="DFW143" s="33"/>
      <c r="DFX143" s="33"/>
      <c r="DFY143" s="33"/>
      <c r="DFZ143" s="33"/>
      <c r="DGA143" s="33"/>
      <c r="DGB143" s="33"/>
      <c r="DGC143" s="33"/>
      <c r="DGD143" s="33"/>
      <c r="DGE143" s="33"/>
      <c r="DGF143" s="33"/>
      <c r="DGG143" s="33"/>
      <c r="DGH143" s="33"/>
      <c r="DGI143" s="33"/>
      <c r="DGJ143" s="33"/>
      <c r="DGK143" s="33"/>
      <c r="DGL143" s="33"/>
      <c r="DGM143" s="33"/>
      <c r="DGN143" s="33"/>
      <c r="DGO143" s="33"/>
      <c r="DGP143" s="33"/>
      <c r="DGQ143" s="33"/>
      <c r="DGR143" s="33"/>
      <c r="DGS143" s="33"/>
      <c r="DGT143" s="33"/>
      <c r="DGU143" s="33"/>
      <c r="DGV143" s="33"/>
      <c r="DGW143" s="33"/>
      <c r="DGX143" s="33"/>
      <c r="DGY143" s="33"/>
      <c r="DGZ143" s="33"/>
      <c r="DHA143" s="33"/>
      <c r="DHB143" s="33"/>
      <c r="DHC143" s="33"/>
      <c r="DHD143" s="33"/>
      <c r="DHE143" s="33"/>
      <c r="DHF143" s="33"/>
      <c r="DHG143" s="33"/>
      <c r="DHH143" s="33"/>
      <c r="DHI143" s="33"/>
      <c r="DHJ143" s="33"/>
      <c r="DHK143" s="33"/>
      <c r="DHL143" s="33"/>
      <c r="DHM143" s="33"/>
      <c r="DHN143" s="33"/>
      <c r="DHO143" s="33"/>
      <c r="DHP143" s="33"/>
      <c r="DHQ143" s="33"/>
      <c r="DHR143" s="33"/>
      <c r="DHS143" s="33"/>
      <c r="DHT143" s="33"/>
      <c r="DHU143" s="33"/>
      <c r="DHV143" s="33"/>
      <c r="DHW143" s="33"/>
      <c r="DHX143" s="33"/>
      <c r="DHY143" s="33"/>
      <c r="DHZ143" s="33"/>
      <c r="DIA143" s="33"/>
      <c r="DIB143" s="33"/>
      <c r="DIC143" s="33"/>
      <c r="DID143" s="33"/>
      <c r="DIE143" s="33"/>
      <c r="DIF143" s="33"/>
      <c r="DIG143" s="33"/>
      <c r="DIH143" s="33"/>
      <c r="DII143" s="33"/>
      <c r="DIJ143" s="33"/>
      <c r="DIK143" s="33"/>
      <c r="DIL143" s="33"/>
      <c r="DIM143" s="33"/>
      <c r="DIN143" s="33"/>
      <c r="DIO143" s="33"/>
      <c r="DIP143" s="33"/>
      <c r="DIQ143" s="33"/>
      <c r="DIR143" s="33"/>
      <c r="DIS143" s="33"/>
      <c r="DIT143" s="33"/>
      <c r="DIU143" s="33"/>
      <c r="DIV143" s="33"/>
      <c r="DIW143" s="33"/>
      <c r="DIX143" s="33"/>
      <c r="DIY143" s="33"/>
      <c r="DIZ143" s="33"/>
      <c r="DJA143" s="33"/>
      <c r="DJB143" s="33"/>
      <c r="DJC143" s="33"/>
      <c r="DJD143" s="33"/>
      <c r="DJE143" s="33"/>
      <c r="DJF143" s="33"/>
      <c r="DJG143" s="33"/>
      <c r="DJH143" s="33"/>
      <c r="DJI143" s="33"/>
      <c r="DJJ143" s="33"/>
      <c r="DJK143" s="33"/>
      <c r="DJL143" s="33"/>
      <c r="DJM143" s="33"/>
      <c r="DJN143" s="33"/>
      <c r="DJO143" s="33"/>
      <c r="DJP143" s="33"/>
      <c r="DJQ143" s="33"/>
      <c r="DJR143" s="33"/>
      <c r="DJS143" s="33"/>
      <c r="DJT143" s="33"/>
      <c r="DJU143" s="33"/>
      <c r="DJV143" s="33"/>
      <c r="DJW143" s="33"/>
      <c r="DJX143" s="33"/>
      <c r="DJY143" s="33"/>
      <c r="DJZ143" s="33"/>
      <c r="DKA143" s="33"/>
      <c r="DKB143" s="33"/>
      <c r="DKC143" s="33"/>
      <c r="DKD143" s="33"/>
      <c r="DKE143" s="33"/>
      <c r="DKF143" s="33"/>
      <c r="DKG143" s="33"/>
      <c r="DKH143" s="33"/>
      <c r="DKI143" s="33"/>
      <c r="DKJ143" s="33"/>
      <c r="DKK143" s="33"/>
      <c r="DKL143" s="33"/>
      <c r="DKM143" s="33"/>
      <c r="DKN143" s="33"/>
      <c r="DKO143" s="33"/>
      <c r="DKP143" s="33"/>
      <c r="DKQ143" s="33"/>
      <c r="DKR143" s="33"/>
      <c r="DKS143" s="33"/>
      <c r="DKT143" s="33"/>
      <c r="DKU143" s="33"/>
      <c r="DKV143" s="33"/>
      <c r="DKW143" s="33"/>
      <c r="DKX143" s="33"/>
      <c r="DKY143" s="33"/>
      <c r="DKZ143" s="33"/>
      <c r="DLA143" s="33"/>
      <c r="DLB143" s="33"/>
      <c r="DLC143" s="33"/>
      <c r="DLD143" s="33"/>
      <c r="DLE143" s="33"/>
      <c r="DLF143" s="33"/>
      <c r="DLG143" s="33"/>
      <c r="DLH143" s="33"/>
      <c r="DLI143" s="33"/>
      <c r="DLJ143" s="33"/>
      <c r="DLK143" s="33"/>
      <c r="DLL143" s="33"/>
      <c r="DLM143" s="33"/>
      <c r="DLN143" s="33"/>
      <c r="DLO143" s="33"/>
      <c r="DLP143" s="33"/>
      <c r="DLQ143" s="33"/>
      <c r="DLR143" s="33"/>
      <c r="DLS143" s="33"/>
      <c r="DLT143" s="33"/>
      <c r="DLU143" s="33"/>
      <c r="DLV143" s="33"/>
      <c r="DLW143" s="33"/>
      <c r="DLX143" s="33"/>
      <c r="DLY143" s="33"/>
      <c r="DLZ143" s="33"/>
      <c r="DMA143" s="33"/>
      <c r="DMB143" s="33"/>
      <c r="DMC143" s="33"/>
      <c r="DMD143" s="33"/>
      <c r="DME143" s="33"/>
      <c r="DMF143" s="33"/>
      <c r="DMG143" s="33"/>
      <c r="DMH143" s="33"/>
      <c r="DMI143" s="33"/>
      <c r="DMJ143" s="33"/>
      <c r="DMK143" s="33"/>
      <c r="DML143" s="33"/>
      <c r="DMM143" s="33"/>
      <c r="DMN143" s="33"/>
      <c r="DMO143" s="33"/>
      <c r="DMP143" s="33"/>
      <c r="DMQ143" s="33"/>
      <c r="DMR143" s="33"/>
      <c r="DMS143" s="33"/>
      <c r="DMT143" s="33"/>
      <c r="DMU143" s="33"/>
      <c r="DMV143" s="33"/>
      <c r="DMW143" s="33"/>
      <c r="DMX143" s="33"/>
      <c r="DMY143" s="33"/>
      <c r="DMZ143" s="33"/>
      <c r="DNA143" s="33"/>
      <c r="DNB143" s="33"/>
      <c r="DNC143" s="33"/>
      <c r="DND143" s="33"/>
      <c r="DNE143" s="33"/>
      <c r="DNF143" s="33"/>
      <c r="DNG143" s="33"/>
      <c r="DNH143" s="33"/>
      <c r="DNI143" s="33"/>
      <c r="DNJ143" s="33"/>
      <c r="DNK143" s="33"/>
      <c r="DNL143" s="33"/>
      <c r="DNM143" s="33"/>
      <c r="DNN143" s="33"/>
      <c r="DNO143" s="33"/>
      <c r="DNP143" s="33"/>
      <c r="DNQ143" s="33"/>
      <c r="DNR143" s="33"/>
      <c r="DNS143" s="33"/>
      <c r="DNT143" s="33"/>
      <c r="DNU143" s="33"/>
      <c r="DNV143" s="33"/>
      <c r="DNW143" s="33"/>
      <c r="DNX143" s="33"/>
      <c r="DNY143" s="33"/>
      <c r="DNZ143" s="33"/>
      <c r="DOA143" s="33"/>
      <c r="DOB143" s="33"/>
      <c r="DOC143" s="33"/>
      <c r="DOD143" s="33"/>
      <c r="DOE143" s="33"/>
      <c r="DOF143" s="33"/>
      <c r="DOG143" s="33"/>
      <c r="DOH143" s="33"/>
      <c r="DOI143" s="33"/>
      <c r="DOJ143" s="33"/>
      <c r="DOK143" s="33"/>
      <c r="DOL143" s="33"/>
      <c r="DOM143" s="33"/>
      <c r="DON143" s="33"/>
      <c r="DOO143" s="33"/>
      <c r="DOP143" s="33"/>
      <c r="DOQ143" s="33"/>
      <c r="DOR143" s="33"/>
      <c r="DOS143" s="33"/>
      <c r="DOT143" s="33"/>
      <c r="DOU143" s="33"/>
      <c r="DOV143" s="33"/>
      <c r="DOW143" s="33"/>
      <c r="DOX143" s="33"/>
      <c r="DOY143" s="33"/>
      <c r="DOZ143" s="33"/>
      <c r="DPA143" s="33"/>
      <c r="DPB143" s="33"/>
      <c r="DPC143" s="33"/>
      <c r="DPD143" s="33"/>
      <c r="DPE143" s="33"/>
      <c r="DPF143" s="33"/>
      <c r="DPG143" s="33"/>
      <c r="DPH143" s="33"/>
      <c r="DPI143" s="33"/>
      <c r="DPJ143" s="33"/>
      <c r="DPK143" s="33"/>
      <c r="DPL143" s="33"/>
      <c r="DPM143" s="33"/>
      <c r="DPN143" s="33"/>
      <c r="DPO143" s="33"/>
      <c r="DPP143" s="33"/>
      <c r="DPQ143" s="33"/>
      <c r="DPR143" s="33"/>
      <c r="DPS143" s="33"/>
      <c r="DPT143" s="33"/>
      <c r="DPU143" s="33"/>
      <c r="DPV143" s="33"/>
      <c r="DPW143" s="33"/>
      <c r="DPX143" s="33"/>
      <c r="DPY143" s="33"/>
      <c r="DPZ143" s="33"/>
      <c r="DQA143" s="33"/>
      <c r="DQB143" s="33"/>
      <c r="DQC143" s="33"/>
      <c r="DQD143" s="33"/>
      <c r="DQE143" s="33"/>
      <c r="DQF143" s="33"/>
      <c r="DQG143" s="33"/>
      <c r="DQH143" s="33"/>
      <c r="DQI143" s="33"/>
      <c r="DQJ143" s="33"/>
      <c r="DQK143" s="33"/>
      <c r="DQL143" s="33"/>
      <c r="DQM143" s="33"/>
      <c r="DQN143" s="33"/>
      <c r="DQO143" s="33"/>
      <c r="DQP143" s="33"/>
      <c r="DQQ143" s="33"/>
      <c r="DQR143" s="33"/>
      <c r="DQS143" s="33"/>
      <c r="DQT143" s="33"/>
      <c r="DQU143" s="33"/>
      <c r="DQV143" s="33"/>
      <c r="DQW143" s="33"/>
      <c r="DQX143" s="33"/>
      <c r="DQY143" s="33"/>
      <c r="DQZ143" s="33"/>
      <c r="DRA143" s="33"/>
      <c r="DRB143" s="33"/>
      <c r="DRC143" s="33"/>
      <c r="DRD143" s="33"/>
      <c r="DRE143" s="33"/>
      <c r="DRF143" s="33"/>
      <c r="DRG143" s="33"/>
      <c r="DRH143" s="33"/>
      <c r="DRI143" s="33"/>
      <c r="DRJ143" s="33"/>
      <c r="DRK143" s="33"/>
      <c r="DRL143" s="33"/>
      <c r="DRM143" s="33"/>
      <c r="DRN143" s="33"/>
      <c r="DRO143" s="33"/>
      <c r="DRP143" s="33"/>
      <c r="DRQ143" s="33"/>
      <c r="DRR143" s="33"/>
      <c r="DRS143" s="33"/>
      <c r="DRT143" s="33"/>
      <c r="DRU143" s="33"/>
      <c r="DRV143" s="33"/>
      <c r="DRW143" s="33"/>
      <c r="DRX143" s="33"/>
      <c r="DRY143" s="33"/>
      <c r="DRZ143" s="33"/>
      <c r="DSA143" s="33"/>
      <c r="DSB143" s="33"/>
      <c r="DSC143" s="33"/>
      <c r="DSD143" s="33"/>
      <c r="DSE143" s="33"/>
      <c r="DSF143" s="33"/>
      <c r="DSG143" s="33"/>
      <c r="DSH143" s="33"/>
      <c r="DSI143" s="33"/>
      <c r="DSJ143" s="33"/>
      <c r="DSK143" s="33"/>
      <c r="DSL143" s="33"/>
      <c r="DSM143" s="33"/>
      <c r="DSN143" s="33"/>
      <c r="DSO143" s="33"/>
      <c r="DSP143" s="33"/>
      <c r="DSQ143" s="33"/>
      <c r="DSR143" s="33"/>
      <c r="DSS143" s="33"/>
      <c r="DST143" s="33"/>
      <c r="DSU143" s="33"/>
      <c r="DSV143" s="33"/>
      <c r="DSW143" s="33"/>
      <c r="DSX143" s="33"/>
      <c r="DSY143" s="33"/>
      <c r="DSZ143" s="33"/>
      <c r="DTA143" s="33"/>
      <c r="DTB143" s="33"/>
      <c r="DTC143" s="33"/>
      <c r="DTD143" s="33"/>
      <c r="DTE143" s="33"/>
      <c r="DTF143" s="33"/>
      <c r="DTG143" s="33"/>
      <c r="DTH143" s="33"/>
      <c r="DTI143" s="33"/>
      <c r="DTJ143" s="33"/>
      <c r="DTK143" s="33"/>
      <c r="DTL143" s="33"/>
      <c r="DTM143" s="33"/>
      <c r="DTN143" s="33"/>
      <c r="DTO143" s="33"/>
      <c r="DTP143" s="33"/>
      <c r="DTQ143" s="33"/>
      <c r="DTR143" s="33"/>
      <c r="DTS143" s="33"/>
      <c r="DTT143" s="33"/>
      <c r="DTU143" s="33"/>
      <c r="DTV143" s="33"/>
      <c r="DTW143" s="33"/>
      <c r="DTX143" s="33"/>
      <c r="DTY143" s="33"/>
      <c r="DTZ143" s="33"/>
      <c r="DUA143" s="33"/>
      <c r="DUB143" s="33"/>
      <c r="DUC143" s="33"/>
      <c r="DUD143" s="33"/>
      <c r="DUE143" s="33"/>
      <c r="DUF143" s="33"/>
      <c r="DUG143" s="33"/>
      <c r="DUH143" s="33"/>
      <c r="DUI143" s="33"/>
      <c r="DUJ143" s="33"/>
      <c r="DUK143" s="33"/>
      <c r="DUL143" s="33"/>
      <c r="DUM143" s="33"/>
      <c r="DUN143" s="33"/>
      <c r="DUO143" s="33"/>
      <c r="DUP143" s="33"/>
      <c r="DUQ143" s="33"/>
      <c r="DUR143" s="33"/>
      <c r="DUS143" s="33"/>
      <c r="DUT143" s="33"/>
      <c r="DUU143" s="33"/>
      <c r="DUV143" s="33"/>
      <c r="DUW143" s="33"/>
      <c r="DUX143" s="33"/>
      <c r="DUY143" s="33"/>
      <c r="DUZ143" s="33"/>
      <c r="DVA143" s="33"/>
      <c r="DVB143" s="33"/>
      <c r="DVC143" s="33"/>
      <c r="DVD143" s="33"/>
      <c r="DVE143" s="33"/>
      <c r="DVF143" s="33"/>
      <c r="DVG143" s="33"/>
      <c r="DVH143" s="33"/>
      <c r="DVI143" s="33"/>
      <c r="DVJ143" s="33"/>
      <c r="DVK143" s="33"/>
      <c r="DVL143" s="33"/>
      <c r="DVM143" s="33"/>
      <c r="DVN143" s="33"/>
      <c r="DVO143" s="33"/>
      <c r="DVP143" s="33"/>
      <c r="DVQ143" s="33"/>
      <c r="DVR143" s="33"/>
      <c r="DVS143" s="33"/>
      <c r="DVT143" s="33"/>
      <c r="DVU143" s="33"/>
      <c r="DVV143" s="33"/>
      <c r="DVW143" s="33"/>
      <c r="DVX143" s="33"/>
      <c r="DVY143" s="33"/>
      <c r="DVZ143" s="33"/>
      <c r="DWA143" s="33"/>
      <c r="DWB143" s="33"/>
      <c r="DWC143" s="33"/>
      <c r="DWD143" s="33"/>
      <c r="DWE143" s="33"/>
      <c r="DWF143" s="33"/>
      <c r="DWG143" s="33"/>
      <c r="DWH143" s="33"/>
      <c r="DWI143" s="33"/>
      <c r="DWJ143" s="33"/>
      <c r="DWK143" s="33"/>
      <c r="DWL143" s="33"/>
      <c r="DWM143" s="33"/>
      <c r="DWN143" s="33"/>
      <c r="DWO143" s="33"/>
      <c r="DWP143" s="33"/>
      <c r="DWQ143" s="33"/>
      <c r="DWR143" s="33"/>
      <c r="DWS143" s="33"/>
      <c r="DWT143" s="33"/>
      <c r="DWU143" s="33"/>
      <c r="DWV143" s="33"/>
      <c r="DWW143" s="33"/>
      <c r="DWX143" s="33"/>
      <c r="DWY143" s="33"/>
      <c r="DWZ143" s="33"/>
      <c r="DXA143" s="33"/>
      <c r="DXB143" s="33"/>
      <c r="DXC143" s="33"/>
      <c r="DXD143" s="33"/>
      <c r="DXE143" s="33"/>
      <c r="DXF143" s="33"/>
      <c r="DXG143" s="33"/>
      <c r="DXH143" s="33"/>
      <c r="DXI143" s="33"/>
      <c r="DXJ143" s="33"/>
      <c r="DXK143" s="33"/>
      <c r="DXL143" s="33"/>
      <c r="DXM143" s="33"/>
      <c r="DXN143" s="33"/>
      <c r="DXO143" s="33"/>
      <c r="DXP143" s="33"/>
      <c r="DXQ143" s="33"/>
      <c r="DXR143" s="33"/>
      <c r="DXS143" s="33"/>
      <c r="DXT143" s="33"/>
      <c r="DXU143" s="33"/>
      <c r="DXV143" s="33"/>
      <c r="DXW143" s="33"/>
      <c r="DXX143" s="33"/>
      <c r="DXY143" s="33"/>
      <c r="DXZ143" s="33"/>
      <c r="DYA143" s="33"/>
      <c r="DYB143" s="33"/>
      <c r="DYC143" s="33"/>
      <c r="DYD143" s="33"/>
      <c r="DYE143" s="33"/>
      <c r="DYF143" s="33"/>
      <c r="DYG143" s="33"/>
      <c r="DYH143" s="33"/>
      <c r="DYI143" s="33"/>
      <c r="DYJ143" s="33"/>
      <c r="DYK143" s="33"/>
      <c r="DYL143" s="33"/>
      <c r="DYM143" s="33"/>
      <c r="DYN143" s="33"/>
      <c r="DYO143" s="33"/>
      <c r="DYP143" s="33"/>
      <c r="DYQ143" s="33"/>
      <c r="DYR143" s="33"/>
      <c r="DYS143" s="33"/>
      <c r="DYT143" s="33"/>
      <c r="DYU143" s="33"/>
      <c r="DYV143" s="33"/>
      <c r="DYW143" s="33"/>
      <c r="DYX143" s="33"/>
      <c r="DYY143" s="33"/>
      <c r="DYZ143" s="33"/>
      <c r="DZA143" s="33"/>
      <c r="DZB143" s="33"/>
      <c r="DZC143" s="33"/>
      <c r="DZD143" s="33"/>
      <c r="DZE143" s="33"/>
      <c r="DZF143" s="33"/>
      <c r="DZG143" s="33"/>
      <c r="DZH143" s="33"/>
      <c r="DZI143" s="33"/>
      <c r="DZJ143" s="33"/>
      <c r="DZK143" s="33"/>
      <c r="DZL143" s="33"/>
      <c r="DZM143" s="33"/>
      <c r="DZN143" s="33"/>
      <c r="DZO143" s="33"/>
      <c r="DZP143" s="33"/>
      <c r="DZQ143" s="33"/>
      <c r="DZR143" s="33"/>
      <c r="DZS143" s="33"/>
      <c r="DZT143" s="33"/>
      <c r="DZU143" s="33"/>
      <c r="DZV143" s="33"/>
      <c r="DZW143" s="33"/>
      <c r="DZX143" s="33"/>
      <c r="DZY143" s="33"/>
      <c r="DZZ143" s="33"/>
      <c r="EAA143" s="33"/>
      <c r="EAB143" s="33"/>
      <c r="EAC143" s="33"/>
      <c r="EAD143" s="33"/>
      <c r="EAE143" s="33"/>
      <c r="EAF143" s="33"/>
      <c r="EAG143" s="33"/>
      <c r="EAH143" s="33"/>
      <c r="EAI143" s="33"/>
      <c r="EAJ143" s="33"/>
      <c r="EAK143" s="33"/>
      <c r="EAL143" s="33"/>
      <c r="EAM143" s="33"/>
      <c r="EAN143" s="33"/>
      <c r="EAO143" s="33"/>
      <c r="EAP143" s="33"/>
      <c r="EAQ143" s="33"/>
      <c r="EAR143" s="33"/>
      <c r="EAS143" s="33"/>
      <c r="EAT143" s="33"/>
      <c r="EAU143" s="33"/>
      <c r="EAV143" s="33"/>
      <c r="EAW143" s="33"/>
      <c r="EAX143" s="33"/>
      <c r="EAY143" s="33"/>
      <c r="EAZ143" s="33"/>
      <c r="EBA143" s="33"/>
      <c r="EBB143" s="33"/>
      <c r="EBC143" s="33"/>
      <c r="EBD143" s="33"/>
      <c r="EBE143" s="33"/>
      <c r="EBF143" s="33"/>
      <c r="EBG143" s="33"/>
      <c r="EBH143" s="33"/>
      <c r="EBI143" s="33"/>
      <c r="EBJ143" s="33"/>
      <c r="EBK143" s="33"/>
      <c r="EBL143" s="33"/>
      <c r="EBM143" s="33"/>
      <c r="EBN143" s="33"/>
      <c r="EBO143" s="33"/>
      <c r="EBP143" s="33"/>
      <c r="EBQ143" s="33"/>
      <c r="EBR143" s="33"/>
      <c r="EBS143" s="33"/>
      <c r="EBT143" s="33"/>
      <c r="EBU143" s="33"/>
      <c r="EBV143" s="33"/>
      <c r="EBW143" s="33"/>
      <c r="EBX143" s="33"/>
      <c r="EBY143" s="33"/>
      <c r="EBZ143" s="33"/>
      <c r="ECA143" s="33"/>
      <c r="ECB143" s="33"/>
      <c r="ECC143" s="33"/>
      <c r="ECD143" s="33"/>
      <c r="ECE143" s="33"/>
      <c r="ECF143" s="33"/>
      <c r="ECG143" s="33"/>
      <c r="ECH143" s="33"/>
      <c r="ECI143" s="33"/>
      <c r="ECJ143" s="33"/>
      <c r="ECK143" s="33"/>
      <c r="ECL143" s="33"/>
      <c r="ECM143" s="33"/>
      <c r="ECN143" s="33"/>
      <c r="ECO143" s="33"/>
      <c r="ECP143" s="33"/>
      <c r="ECQ143" s="33"/>
      <c r="ECR143" s="33"/>
      <c r="ECS143" s="33"/>
      <c r="ECT143" s="33"/>
      <c r="ECU143" s="33"/>
      <c r="ECV143" s="33"/>
      <c r="ECW143" s="33"/>
      <c r="ECX143" s="33"/>
      <c r="ECY143" s="33"/>
      <c r="ECZ143" s="33"/>
      <c r="EDA143" s="33"/>
      <c r="EDB143" s="33"/>
      <c r="EDC143" s="33"/>
      <c r="EDD143" s="33"/>
      <c r="EDE143" s="33"/>
      <c r="EDF143" s="33"/>
      <c r="EDG143" s="33"/>
      <c r="EDH143" s="33"/>
      <c r="EDI143" s="33"/>
      <c r="EDJ143" s="33"/>
      <c r="EDK143" s="33"/>
      <c r="EDL143" s="33"/>
      <c r="EDM143" s="33"/>
      <c r="EDN143" s="33"/>
      <c r="EDO143" s="33"/>
      <c r="EDP143" s="33"/>
      <c r="EDQ143" s="33"/>
      <c r="EDR143" s="33"/>
      <c r="EDS143" s="33"/>
      <c r="EDT143" s="33"/>
      <c r="EDU143" s="33"/>
      <c r="EDV143" s="33"/>
      <c r="EDW143" s="33"/>
      <c r="EDX143" s="33"/>
      <c r="EDY143" s="33"/>
      <c r="EDZ143" s="33"/>
      <c r="EEA143" s="33"/>
      <c r="EEB143" s="33"/>
      <c r="EEC143" s="33"/>
      <c r="EED143" s="33"/>
      <c r="EEE143" s="33"/>
      <c r="EEF143" s="33"/>
      <c r="EEG143" s="33"/>
      <c r="EEH143" s="33"/>
      <c r="EEI143" s="33"/>
      <c r="EEJ143" s="33"/>
      <c r="EEK143" s="33"/>
      <c r="EEL143" s="33"/>
      <c r="EEM143" s="33"/>
      <c r="EEN143" s="33"/>
      <c r="EEO143" s="33"/>
      <c r="EEP143" s="33"/>
      <c r="EEQ143" s="33"/>
      <c r="EER143" s="33"/>
      <c r="EES143" s="33"/>
      <c r="EET143" s="33"/>
      <c r="EEU143" s="33"/>
      <c r="EEV143" s="33"/>
      <c r="EEW143" s="33"/>
      <c r="EEX143" s="33"/>
      <c r="EEY143" s="33"/>
      <c r="EEZ143" s="33"/>
      <c r="EFA143" s="33"/>
      <c r="EFB143" s="33"/>
      <c r="EFC143" s="33"/>
      <c r="EFD143" s="33"/>
      <c r="EFE143" s="33"/>
      <c r="EFF143" s="33"/>
      <c r="EFG143" s="33"/>
      <c r="EFH143" s="33"/>
      <c r="EFI143" s="33"/>
      <c r="EFJ143" s="33"/>
      <c r="EFK143" s="33"/>
      <c r="EFL143" s="33"/>
      <c r="EFM143" s="33"/>
      <c r="EFN143" s="33"/>
      <c r="EFO143" s="33"/>
      <c r="EFP143" s="33"/>
      <c r="EFQ143" s="33"/>
      <c r="EFR143" s="33"/>
      <c r="EFS143" s="33"/>
      <c r="EFT143" s="33"/>
      <c r="EFU143" s="33"/>
      <c r="EFV143" s="33"/>
      <c r="EFW143" s="33"/>
      <c r="EFX143" s="33"/>
      <c r="EFY143" s="33"/>
      <c r="EFZ143" s="33"/>
      <c r="EGA143" s="33"/>
      <c r="EGB143" s="33"/>
      <c r="EGC143" s="33"/>
      <c r="EGD143" s="33"/>
      <c r="EGE143" s="33"/>
      <c r="EGF143" s="33"/>
      <c r="EGG143" s="33"/>
      <c r="EGH143" s="33"/>
      <c r="EGI143" s="33"/>
      <c r="EGJ143" s="33"/>
      <c r="EGK143" s="33"/>
      <c r="EGL143" s="33"/>
      <c r="EGM143" s="33"/>
      <c r="EGN143" s="33"/>
      <c r="EGO143" s="33"/>
      <c r="EGP143" s="33"/>
      <c r="EGQ143" s="33"/>
      <c r="EGR143" s="33"/>
      <c r="EGS143" s="33"/>
      <c r="EGT143" s="33"/>
      <c r="EGU143" s="33"/>
      <c r="EGV143" s="33"/>
      <c r="EGW143" s="33"/>
      <c r="EGX143" s="33"/>
      <c r="EGY143" s="33"/>
      <c r="EGZ143" s="33"/>
      <c r="EHA143" s="33"/>
      <c r="EHB143" s="33"/>
      <c r="EHC143" s="33"/>
      <c r="EHD143" s="33"/>
      <c r="EHE143" s="33"/>
      <c r="EHF143" s="33"/>
      <c r="EHG143" s="33"/>
      <c r="EHH143" s="33"/>
      <c r="EHI143" s="33"/>
      <c r="EHJ143" s="33"/>
      <c r="EHK143" s="33"/>
      <c r="EHL143" s="33"/>
      <c r="EHM143" s="33"/>
      <c r="EHN143" s="33"/>
      <c r="EHO143" s="33"/>
      <c r="EHP143" s="33"/>
      <c r="EHQ143" s="33"/>
      <c r="EHR143" s="33"/>
      <c r="EHS143" s="33"/>
      <c r="EHT143" s="33"/>
      <c r="EHU143" s="33"/>
      <c r="EHV143" s="33"/>
      <c r="EHW143" s="33"/>
      <c r="EHX143" s="33"/>
      <c r="EHY143" s="33"/>
      <c r="EHZ143" s="33"/>
      <c r="EIA143" s="33"/>
      <c r="EIB143" s="33"/>
      <c r="EIC143" s="33"/>
      <c r="EID143" s="33"/>
      <c r="EIE143" s="33"/>
      <c r="EIF143" s="33"/>
      <c r="EIG143" s="33"/>
      <c r="EIH143" s="33"/>
      <c r="EII143" s="33"/>
      <c r="EIJ143" s="33"/>
      <c r="EIK143" s="33"/>
      <c r="EIL143" s="33"/>
      <c r="EIM143" s="33"/>
      <c r="EIN143" s="33"/>
      <c r="EIO143" s="33"/>
      <c r="EIP143" s="33"/>
      <c r="EIQ143" s="33"/>
      <c r="EIR143" s="33"/>
      <c r="EIS143" s="33"/>
      <c r="EIT143" s="33"/>
      <c r="EIU143" s="33"/>
      <c r="EIV143" s="33"/>
      <c r="EIW143" s="33"/>
      <c r="EIX143" s="33"/>
      <c r="EIY143" s="33"/>
      <c r="EIZ143" s="33"/>
      <c r="EJA143" s="33"/>
      <c r="EJB143" s="33"/>
      <c r="EJC143" s="33"/>
      <c r="EJD143" s="33"/>
      <c r="EJE143" s="33"/>
      <c r="EJF143" s="33"/>
      <c r="EJG143" s="33"/>
      <c r="EJH143" s="33"/>
      <c r="EJI143" s="33"/>
      <c r="EJJ143" s="33"/>
      <c r="EJK143" s="33"/>
      <c r="EJL143" s="33"/>
      <c r="EJM143" s="33"/>
      <c r="EJN143" s="33"/>
      <c r="EJO143" s="33"/>
      <c r="EJP143" s="33"/>
      <c r="EJQ143" s="33"/>
      <c r="EJR143" s="33"/>
      <c r="EJS143" s="33"/>
      <c r="EJT143" s="33"/>
      <c r="EJU143" s="33"/>
      <c r="EJV143" s="33"/>
      <c r="EJW143" s="33"/>
      <c r="EJX143" s="33"/>
      <c r="EJY143" s="33"/>
      <c r="EJZ143" s="33"/>
      <c r="EKA143" s="33"/>
      <c r="EKB143" s="33"/>
      <c r="EKC143" s="33"/>
      <c r="EKD143" s="33"/>
      <c r="EKE143" s="33"/>
      <c r="EKF143" s="33"/>
      <c r="EKG143" s="33"/>
      <c r="EKH143" s="33"/>
      <c r="EKI143" s="33"/>
      <c r="EKJ143" s="33"/>
      <c r="EKK143" s="33"/>
      <c r="EKL143" s="33"/>
      <c r="EKM143" s="33"/>
      <c r="EKN143" s="33"/>
      <c r="EKO143" s="33"/>
      <c r="EKP143" s="33"/>
      <c r="EKQ143" s="33"/>
      <c r="EKR143" s="33"/>
      <c r="EKS143" s="33"/>
      <c r="EKT143" s="33"/>
      <c r="EKU143" s="33"/>
      <c r="EKV143" s="33"/>
      <c r="EKW143" s="33"/>
      <c r="EKX143" s="33"/>
      <c r="EKY143" s="33"/>
      <c r="EKZ143" s="33"/>
      <c r="ELA143" s="33"/>
      <c r="ELB143" s="33"/>
      <c r="ELC143" s="33"/>
      <c r="ELD143" s="33"/>
      <c r="ELE143" s="33"/>
      <c r="ELF143" s="33"/>
      <c r="ELG143" s="33"/>
      <c r="ELH143" s="33"/>
      <c r="ELI143" s="33"/>
      <c r="ELJ143" s="33"/>
      <c r="ELK143" s="33"/>
      <c r="ELL143" s="33"/>
      <c r="ELM143" s="33"/>
      <c r="ELN143" s="33"/>
      <c r="ELO143" s="33"/>
      <c r="ELP143" s="33"/>
      <c r="ELQ143" s="33"/>
      <c r="ELR143" s="33"/>
      <c r="ELS143" s="33"/>
      <c r="ELT143" s="33"/>
      <c r="ELU143" s="33"/>
      <c r="ELV143" s="33"/>
      <c r="ELW143" s="33"/>
      <c r="ELX143" s="33"/>
      <c r="ELY143" s="33"/>
      <c r="ELZ143" s="33"/>
      <c r="EMA143" s="33"/>
      <c r="EMB143" s="33"/>
      <c r="EMC143" s="33"/>
      <c r="EMD143" s="33"/>
      <c r="EME143" s="33"/>
      <c r="EMF143" s="33"/>
      <c r="EMG143" s="33"/>
      <c r="EMH143" s="33"/>
      <c r="EMI143" s="33"/>
      <c r="EMJ143" s="33"/>
      <c r="EMK143" s="33"/>
      <c r="EML143" s="33"/>
      <c r="EMM143" s="33"/>
      <c r="EMN143" s="33"/>
      <c r="EMO143" s="33"/>
      <c r="EMP143" s="33"/>
      <c r="EMQ143" s="33"/>
      <c r="EMR143" s="33"/>
      <c r="EMS143" s="33"/>
      <c r="EMT143" s="33"/>
      <c r="EMU143" s="33"/>
      <c r="EMV143" s="33"/>
      <c r="EMW143" s="33"/>
      <c r="EMX143" s="33"/>
      <c r="EMY143" s="33"/>
      <c r="EMZ143" s="33"/>
      <c r="ENA143" s="33"/>
      <c r="ENB143" s="33"/>
      <c r="ENC143" s="33"/>
      <c r="END143" s="33"/>
      <c r="ENE143" s="33"/>
      <c r="ENF143" s="33"/>
      <c r="ENG143" s="33"/>
      <c r="ENH143" s="33"/>
      <c r="ENI143" s="33"/>
      <c r="ENJ143" s="33"/>
      <c r="ENK143" s="33"/>
      <c r="ENL143" s="33"/>
      <c r="ENM143" s="33"/>
      <c r="ENN143" s="33"/>
      <c r="ENO143" s="33"/>
      <c r="ENP143" s="33"/>
      <c r="ENQ143" s="33"/>
      <c r="ENR143" s="33"/>
      <c r="ENS143" s="33"/>
      <c r="ENT143" s="33"/>
      <c r="ENU143" s="33"/>
      <c r="ENV143" s="33"/>
      <c r="ENW143" s="33"/>
      <c r="ENX143" s="33"/>
      <c r="ENY143" s="33"/>
      <c r="ENZ143" s="33"/>
      <c r="EOA143" s="33"/>
      <c r="EOB143" s="33"/>
      <c r="EOC143" s="33"/>
      <c r="EOD143" s="33"/>
      <c r="EOE143" s="33"/>
      <c r="EOF143" s="33"/>
      <c r="EOG143" s="33"/>
      <c r="EOH143" s="33"/>
      <c r="EOI143" s="33"/>
      <c r="EOJ143" s="33"/>
      <c r="EOK143" s="33"/>
      <c r="EOL143" s="33"/>
      <c r="EOM143" s="33"/>
      <c r="EON143" s="33"/>
      <c r="EOO143" s="33"/>
      <c r="EOP143" s="33"/>
      <c r="EOQ143" s="33"/>
      <c r="EOR143" s="33"/>
      <c r="EOS143" s="33"/>
      <c r="EOT143" s="33"/>
      <c r="EOU143" s="33"/>
      <c r="EOV143" s="33"/>
      <c r="EOW143" s="33"/>
      <c r="EOX143" s="33"/>
      <c r="EOY143" s="33"/>
      <c r="EOZ143" s="33"/>
      <c r="EPA143" s="33"/>
      <c r="EPB143" s="33"/>
      <c r="EPC143" s="33"/>
      <c r="EPD143" s="33"/>
      <c r="EPE143" s="33"/>
      <c r="EPF143" s="33"/>
      <c r="EPG143" s="33"/>
      <c r="EPH143" s="33"/>
      <c r="EPI143" s="33"/>
      <c r="EPJ143" s="33"/>
      <c r="EPK143" s="33"/>
      <c r="EPL143" s="33"/>
      <c r="EPM143" s="33"/>
      <c r="EPN143" s="33"/>
      <c r="EPO143" s="33"/>
      <c r="EPP143" s="33"/>
      <c r="EPQ143" s="33"/>
      <c r="EPR143" s="33"/>
      <c r="EPS143" s="33"/>
      <c r="EPT143" s="33"/>
      <c r="EPU143" s="33"/>
      <c r="EPV143" s="33"/>
      <c r="EPW143" s="33"/>
      <c r="EPX143" s="33"/>
      <c r="EPY143" s="33"/>
      <c r="EPZ143" s="33"/>
      <c r="EQA143" s="33"/>
      <c r="EQB143" s="33"/>
      <c r="EQC143" s="33"/>
      <c r="EQD143" s="33"/>
      <c r="EQE143" s="33"/>
      <c r="EQF143" s="33"/>
      <c r="EQG143" s="33"/>
      <c r="EQH143" s="33"/>
      <c r="EQI143" s="33"/>
      <c r="EQJ143" s="33"/>
      <c r="EQK143" s="33"/>
      <c r="EQL143" s="33"/>
      <c r="EQM143" s="33"/>
      <c r="EQN143" s="33"/>
      <c r="EQO143" s="33"/>
      <c r="EQP143" s="33"/>
      <c r="EQQ143" s="33"/>
      <c r="EQR143" s="33"/>
      <c r="EQS143" s="33"/>
      <c r="EQT143" s="33"/>
      <c r="EQU143" s="33"/>
      <c r="EQV143" s="33"/>
      <c r="EQW143" s="33"/>
      <c r="EQX143" s="33"/>
      <c r="EQY143" s="33"/>
      <c r="EQZ143" s="33"/>
      <c r="ERA143" s="33"/>
      <c r="ERB143" s="33"/>
      <c r="ERC143" s="33"/>
      <c r="ERD143" s="33"/>
      <c r="ERE143" s="33"/>
      <c r="ERF143" s="33"/>
      <c r="ERG143" s="33"/>
      <c r="ERH143" s="33"/>
      <c r="ERI143" s="33"/>
      <c r="ERJ143" s="33"/>
      <c r="ERK143" s="33"/>
      <c r="ERL143" s="33"/>
      <c r="ERM143" s="33"/>
      <c r="ERN143" s="33"/>
      <c r="ERO143" s="33"/>
      <c r="ERP143" s="33"/>
      <c r="ERQ143" s="33"/>
      <c r="ERR143" s="33"/>
      <c r="ERS143" s="33"/>
      <c r="ERT143" s="33"/>
      <c r="ERU143" s="33"/>
      <c r="ERV143" s="33"/>
      <c r="ERW143" s="33"/>
      <c r="ERX143" s="33"/>
      <c r="ERY143" s="33"/>
      <c r="ERZ143" s="33"/>
      <c r="ESA143" s="33"/>
      <c r="ESB143" s="33"/>
      <c r="ESC143" s="33"/>
      <c r="ESD143" s="33"/>
      <c r="ESE143" s="33"/>
      <c r="ESF143" s="33"/>
      <c r="ESG143" s="33"/>
      <c r="ESH143" s="33"/>
      <c r="ESI143" s="33"/>
      <c r="ESJ143" s="33"/>
      <c r="ESK143" s="33"/>
      <c r="ESL143" s="33"/>
      <c r="ESM143" s="33"/>
      <c r="ESN143" s="33"/>
      <c r="ESO143" s="33"/>
      <c r="ESP143" s="33"/>
      <c r="ESQ143" s="33"/>
      <c r="ESR143" s="33"/>
      <c r="ESS143" s="33"/>
      <c r="EST143" s="33"/>
      <c r="ESU143" s="33"/>
      <c r="ESV143" s="33"/>
      <c r="ESW143" s="33"/>
      <c r="ESX143" s="33"/>
      <c r="ESY143" s="33"/>
      <c r="ESZ143" s="33"/>
      <c r="ETA143" s="33"/>
      <c r="ETB143" s="33"/>
      <c r="ETC143" s="33"/>
      <c r="ETD143" s="33"/>
      <c r="ETE143" s="33"/>
      <c r="ETF143" s="33"/>
      <c r="ETG143" s="33"/>
      <c r="ETH143" s="33"/>
      <c r="ETI143" s="33"/>
      <c r="ETJ143" s="33"/>
      <c r="ETK143" s="33"/>
      <c r="ETL143" s="33"/>
      <c r="ETM143" s="33"/>
      <c r="ETN143" s="33"/>
      <c r="ETO143" s="33"/>
      <c r="ETP143" s="33"/>
      <c r="ETQ143" s="33"/>
      <c r="ETR143" s="33"/>
      <c r="ETS143" s="33"/>
      <c r="ETT143" s="33"/>
      <c r="ETU143" s="33"/>
      <c r="ETV143" s="33"/>
      <c r="ETW143" s="33"/>
      <c r="ETX143" s="33"/>
      <c r="ETY143" s="33"/>
      <c r="ETZ143" s="33"/>
      <c r="EUA143" s="33"/>
      <c r="EUB143" s="33"/>
      <c r="EUC143" s="33"/>
      <c r="EUD143" s="33"/>
      <c r="EUE143" s="33"/>
      <c r="EUF143" s="33"/>
      <c r="EUG143" s="33"/>
      <c r="EUH143" s="33"/>
      <c r="EUI143" s="33"/>
      <c r="EUJ143" s="33"/>
      <c r="EUK143" s="33"/>
      <c r="EUL143" s="33"/>
      <c r="EUM143" s="33"/>
      <c r="EUN143" s="33"/>
      <c r="EUO143" s="33"/>
      <c r="EUP143" s="33"/>
      <c r="EUQ143" s="33"/>
      <c r="EUR143" s="33"/>
      <c r="EUS143" s="33"/>
      <c r="EUT143" s="33"/>
      <c r="EUU143" s="33"/>
      <c r="EUV143" s="33"/>
      <c r="EUW143" s="33"/>
      <c r="EUX143" s="33"/>
      <c r="EUY143" s="33"/>
      <c r="EUZ143" s="33"/>
      <c r="EVA143" s="33"/>
      <c r="EVB143" s="33"/>
      <c r="EVC143" s="33"/>
      <c r="EVD143" s="33"/>
      <c r="EVE143" s="33"/>
      <c r="EVF143" s="33"/>
      <c r="EVG143" s="33"/>
      <c r="EVH143" s="33"/>
      <c r="EVI143" s="33"/>
      <c r="EVJ143" s="33"/>
      <c r="EVK143" s="33"/>
      <c r="EVL143" s="33"/>
      <c r="EVM143" s="33"/>
      <c r="EVN143" s="33"/>
      <c r="EVO143" s="33"/>
      <c r="EVP143" s="33"/>
      <c r="EVQ143" s="33"/>
      <c r="EVR143" s="33"/>
      <c r="EVS143" s="33"/>
      <c r="EVT143" s="33"/>
      <c r="EVU143" s="33"/>
      <c r="EVV143" s="33"/>
      <c r="EVW143" s="33"/>
      <c r="EVX143" s="33"/>
      <c r="EVY143" s="33"/>
      <c r="EVZ143" s="33"/>
      <c r="EWA143" s="33"/>
      <c r="EWB143" s="33"/>
      <c r="EWC143" s="33"/>
      <c r="EWD143" s="33"/>
      <c r="EWE143" s="33"/>
      <c r="EWF143" s="33"/>
      <c r="EWG143" s="33"/>
      <c r="EWH143" s="33"/>
      <c r="EWI143" s="33"/>
      <c r="EWJ143" s="33"/>
      <c r="EWK143" s="33"/>
      <c r="EWL143" s="33"/>
      <c r="EWM143" s="33"/>
      <c r="EWN143" s="33"/>
      <c r="EWO143" s="33"/>
      <c r="EWP143" s="33"/>
      <c r="EWQ143" s="33"/>
      <c r="EWR143" s="33"/>
      <c r="EWS143" s="33"/>
      <c r="EWT143" s="33"/>
      <c r="EWU143" s="33"/>
      <c r="EWV143" s="33"/>
      <c r="EWW143" s="33"/>
      <c r="EWX143" s="33"/>
      <c r="EWY143" s="33"/>
      <c r="EWZ143" s="33"/>
      <c r="EXA143" s="33"/>
      <c r="EXB143" s="33"/>
      <c r="EXC143" s="33"/>
      <c r="EXD143" s="33"/>
      <c r="EXE143" s="33"/>
      <c r="EXF143" s="33"/>
      <c r="EXG143" s="33"/>
      <c r="EXH143" s="33"/>
      <c r="EXI143" s="33"/>
      <c r="EXJ143" s="33"/>
      <c r="EXK143" s="33"/>
      <c r="EXL143" s="33"/>
      <c r="EXM143" s="33"/>
      <c r="EXN143" s="33"/>
      <c r="EXO143" s="33"/>
      <c r="EXP143" s="33"/>
      <c r="EXQ143" s="33"/>
      <c r="EXR143" s="33"/>
      <c r="EXS143" s="33"/>
      <c r="EXT143" s="33"/>
      <c r="EXU143" s="33"/>
      <c r="EXV143" s="33"/>
      <c r="EXW143" s="33"/>
      <c r="EXX143" s="33"/>
      <c r="EXY143" s="33"/>
      <c r="EXZ143" s="33"/>
      <c r="EYA143" s="33"/>
      <c r="EYB143" s="33"/>
      <c r="EYC143" s="33"/>
      <c r="EYD143" s="33"/>
      <c r="EYE143" s="33"/>
      <c r="EYF143" s="33"/>
      <c r="EYG143" s="33"/>
      <c r="EYH143" s="33"/>
      <c r="EYI143" s="33"/>
      <c r="EYJ143" s="33"/>
      <c r="EYK143" s="33"/>
      <c r="EYL143" s="33"/>
      <c r="EYM143" s="33"/>
      <c r="EYN143" s="33"/>
      <c r="EYO143" s="33"/>
      <c r="EYP143" s="33"/>
      <c r="EYQ143" s="33"/>
      <c r="EYR143" s="33"/>
      <c r="EYS143" s="33"/>
      <c r="EYT143" s="33"/>
      <c r="EYU143" s="33"/>
      <c r="EYV143" s="33"/>
      <c r="EYW143" s="33"/>
      <c r="EYX143" s="33"/>
      <c r="EYY143" s="33"/>
      <c r="EYZ143" s="33"/>
      <c r="EZA143" s="33"/>
      <c r="EZB143" s="33"/>
      <c r="EZC143" s="33"/>
      <c r="EZD143" s="33"/>
      <c r="EZE143" s="33"/>
      <c r="EZF143" s="33"/>
      <c r="EZG143" s="33"/>
      <c r="EZH143" s="33"/>
      <c r="EZI143" s="33"/>
      <c r="EZJ143" s="33"/>
      <c r="EZK143" s="33"/>
      <c r="EZL143" s="33"/>
      <c r="EZM143" s="33"/>
      <c r="EZN143" s="33"/>
      <c r="EZO143" s="33"/>
      <c r="EZP143" s="33"/>
      <c r="EZQ143" s="33"/>
      <c r="EZR143" s="33"/>
      <c r="EZS143" s="33"/>
      <c r="EZT143" s="33"/>
      <c r="EZU143" s="33"/>
      <c r="EZV143" s="33"/>
      <c r="EZW143" s="33"/>
      <c r="EZX143" s="33"/>
      <c r="EZY143" s="33"/>
      <c r="EZZ143" s="33"/>
      <c r="FAA143" s="33"/>
      <c r="FAB143" s="33"/>
      <c r="FAC143" s="33"/>
      <c r="FAD143" s="33"/>
      <c r="FAE143" s="33"/>
      <c r="FAF143" s="33"/>
      <c r="FAG143" s="33"/>
      <c r="FAH143" s="33"/>
      <c r="FAI143" s="33"/>
      <c r="FAJ143" s="33"/>
      <c r="FAK143" s="33"/>
      <c r="FAL143" s="33"/>
      <c r="FAM143" s="33"/>
      <c r="FAN143" s="33"/>
      <c r="FAO143" s="33"/>
      <c r="FAP143" s="33"/>
      <c r="FAQ143" s="33"/>
      <c r="FAR143" s="33"/>
      <c r="FAS143" s="33"/>
      <c r="FAT143" s="33"/>
      <c r="FAU143" s="33"/>
      <c r="FAV143" s="33"/>
      <c r="FAW143" s="33"/>
      <c r="FAX143" s="33"/>
      <c r="FAY143" s="33"/>
      <c r="FAZ143" s="33"/>
      <c r="FBA143" s="33"/>
      <c r="FBB143" s="33"/>
      <c r="FBC143" s="33"/>
      <c r="FBD143" s="33"/>
      <c r="FBE143" s="33"/>
      <c r="FBF143" s="33"/>
      <c r="FBG143" s="33"/>
      <c r="FBH143" s="33"/>
      <c r="FBI143" s="33"/>
      <c r="FBJ143" s="33"/>
      <c r="FBK143" s="33"/>
      <c r="FBL143" s="33"/>
      <c r="FBM143" s="33"/>
      <c r="FBN143" s="33"/>
      <c r="FBO143" s="33"/>
      <c r="FBP143" s="33"/>
      <c r="FBQ143" s="33"/>
      <c r="FBR143" s="33"/>
      <c r="FBS143" s="33"/>
      <c r="FBT143" s="33"/>
      <c r="FBU143" s="33"/>
      <c r="FBV143" s="33"/>
      <c r="FBW143" s="33"/>
      <c r="FBX143" s="33"/>
      <c r="FBY143" s="33"/>
      <c r="FBZ143" s="33"/>
      <c r="FCA143" s="33"/>
      <c r="FCB143" s="33"/>
      <c r="FCC143" s="33"/>
      <c r="FCD143" s="33"/>
      <c r="FCE143" s="33"/>
      <c r="FCF143" s="33"/>
      <c r="FCG143" s="33"/>
      <c r="FCH143" s="33"/>
      <c r="FCI143" s="33"/>
      <c r="FCJ143" s="33"/>
      <c r="FCK143" s="33"/>
      <c r="FCL143" s="33"/>
      <c r="FCM143" s="33"/>
      <c r="FCN143" s="33"/>
      <c r="FCO143" s="33"/>
      <c r="FCP143" s="33"/>
      <c r="FCQ143" s="33"/>
      <c r="FCR143" s="33"/>
      <c r="FCS143" s="33"/>
      <c r="FCT143" s="33"/>
      <c r="FCU143" s="33"/>
      <c r="FCV143" s="33"/>
      <c r="FCW143" s="33"/>
      <c r="FCX143" s="33"/>
      <c r="FCY143" s="33"/>
      <c r="FCZ143" s="33"/>
      <c r="FDA143" s="33"/>
      <c r="FDB143" s="33"/>
      <c r="FDC143" s="33"/>
      <c r="FDD143" s="33"/>
      <c r="FDE143" s="33"/>
      <c r="FDF143" s="33"/>
      <c r="FDG143" s="33"/>
      <c r="FDH143" s="33"/>
      <c r="FDI143" s="33"/>
      <c r="FDJ143" s="33"/>
      <c r="FDK143" s="33"/>
      <c r="FDL143" s="33"/>
      <c r="FDM143" s="33"/>
      <c r="FDN143" s="33"/>
      <c r="FDO143" s="33"/>
      <c r="FDP143" s="33"/>
      <c r="FDQ143" s="33"/>
      <c r="FDR143" s="33"/>
      <c r="FDS143" s="33"/>
      <c r="FDT143" s="33"/>
      <c r="FDU143" s="33"/>
      <c r="FDV143" s="33"/>
      <c r="FDW143" s="33"/>
      <c r="FDX143" s="33"/>
      <c r="FDY143" s="33"/>
      <c r="FDZ143" s="33"/>
      <c r="FEA143" s="33"/>
      <c r="FEB143" s="33"/>
      <c r="FEC143" s="33"/>
      <c r="FED143" s="33"/>
      <c r="FEE143" s="33"/>
      <c r="FEF143" s="33"/>
      <c r="FEG143" s="33"/>
      <c r="FEH143" s="33"/>
      <c r="FEI143" s="33"/>
      <c r="FEJ143" s="33"/>
      <c r="FEK143" s="33"/>
      <c r="FEL143" s="33"/>
      <c r="FEM143" s="33"/>
      <c r="FEN143" s="33"/>
      <c r="FEO143" s="33"/>
      <c r="FEP143" s="33"/>
      <c r="FEQ143" s="33"/>
      <c r="FER143" s="33"/>
      <c r="FES143" s="33"/>
      <c r="FET143" s="33"/>
      <c r="FEU143" s="33"/>
      <c r="FEV143" s="33"/>
      <c r="FEW143" s="33"/>
      <c r="FEX143" s="33"/>
      <c r="FEY143" s="33"/>
      <c r="FEZ143" s="33"/>
      <c r="FFA143" s="33"/>
      <c r="FFB143" s="33"/>
      <c r="FFC143" s="33"/>
      <c r="FFD143" s="33"/>
      <c r="FFE143" s="33"/>
      <c r="FFF143" s="33"/>
      <c r="FFG143" s="33"/>
      <c r="FFH143" s="33"/>
      <c r="FFI143" s="33"/>
      <c r="FFJ143" s="33"/>
      <c r="FFK143" s="33"/>
      <c r="FFL143" s="33"/>
      <c r="FFM143" s="33"/>
      <c r="FFN143" s="33"/>
      <c r="FFO143" s="33"/>
      <c r="FFP143" s="33"/>
      <c r="FFQ143" s="33"/>
      <c r="FFR143" s="33"/>
      <c r="FFS143" s="33"/>
      <c r="FFT143" s="33"/>
      <c r="FFU143" s="33"/>
      <c r="FFV143" s="33"/>
      <c r="FFW143" s="33"/>
      <c r="FFX143" s="33"/>
      <c r="FFY143" s="33"/>
      <c r="FFZ143" s="33"/>
      <c r="FGA143" s="33"/>
      <c r="FGB143" s="33"/>
      <c r="FGC143" s="33"/>
      <c r="FGD143" s="33"/>
      <c r="FGE143" s="33"/>
      <c r="FGF143" s="33"/>
      <c r="FGG143" s="33"/>
      <c r="FGH143" s="33"/>
      <c r="FGI143" s="33"/>
      <c r="FGJ143" s="33"/>
      <c r="FGK143" s="33"/>
      <c r="FGL143" s="33"/>
      <c r="FGM143" s="33"/>
      <c r="FGN143" s="33"/>
      <c r="FGO143" s="33"/>
      <c r="FGP143" s="33"/>
      <c r="FGQ143" s="33"/>
      <c r="FGR143" s="33"/>
      <c r="FGS143" s="33"/>
      <c r="FGT143" s="33"/>
      <c r="FGU143" s="33"/>
      <c r="FGV143" s="33"/>
      <c r="FGW143" s="33"/>
      <c r="FGX143" s="33"/>
      <c r="FGY143" s="33"/>
      <c r="FGZ143" s="33"/>
      <c r="FHA143" s="33"/>
      <c r="FHB143" s="33"/>
      <c r="FHC143" s="33"/>
      <c r="FHD143" s="33"/>
      <c r="FHE143" s="33"/>
      <c r="FHF143" s="33"/>
      <c r="FHG143" s="33"/>
      <c r="FHH143" s="33"/>
      <c r="FHI143" s="33"/>
      <c r="FHJ143" s="33"/>
      <c r="FHK143" s="33"/>
      <c r="FHL143" s="33"/>
      <c r="FHM143" s="33"/>
      <c r="FHN143" s="33"/>
      <c r="FHO143" s="33"/>
      <c r="FHP143" s="33"/>
      <c r="FHQ143" s="33"/>
      <c r="FHR143" s="33"/>
      <c r="FHS143" s="33"/>
      <c r="FHT143" s="33"/>
      <c r="FHU143" s="33"/>
      <c r="FHV143" s="33"/>
      <c r="FHW143" s="33"/>
      <c r="FHX143" s="33"/>
      <c r="FHY143" s="33"/>
      <c r="FHZ143" s="33"/>
      <c r="FIA143" s="33"/>
      <c r="FIB143" s="33"/>
      <c r="FIC143" s="33"/>
      <c r="FID143" s="33"/>
      <c r="FIE143" s="33"/>
      <c r="FIF143" s="33"/>
      <c r="FIG143" s="33"/>
      <c r="FIH143" s="33"/>
      <c r="FII143" s="33"/>
      <c r="FIJ143" s="33"/>
      <c r="FIK143" s="33"/>
      <c r="FIL143" s="33"/>
      <c r="FIM143" s="33"/>
      <c r="FIN143" s="33"/>
      <c r="FIO143" s="33"/>
      <c r="FIP143" s="33"/>
      <c r="FIQ143" s="33"/>
      <c r="FIR143" s="33"/>
      <c r="FIS143" s="33"/>
      <c r="FIT143" s="33"/>
      <c r="FIU143" s="33"/>
      <c r="FIV143" s="33"/>
      <c r="FIW143" s="33"/>
      <c r="FIX143" s="33"/>
      <c r="FIY143" s="33"/>
      <c r="FIZ143" s="33"/>
      <c r="FJA143" s="33"/>
      <c r="FJB143" s="33"/>
      <c r="FJC143" s="33"/>
      <c r="FJD143" s="33"/>
      <c r="FJE143" s="33"/>
      <c r="FJF143" s="33"/>
      <c r="FJG143" s="33"/>
      <c r="FJH143" s="33"/>
      <c r="FJI143" s="33"/>
      <c r="FJJ143" s="33"/>
      <c r="FJK143" s="33"/>
      <c r="FJL143" s="33"/>
      <c r="FJM143" s="33"/>
      <c r="FJN143" s="33"/>
      <c r="FJO143" s="33"/>
      <c r="FJP143" s="33"/>
      <c r="FJQ143" s="33"/>
      <c r="FJR143" s="33"/>
      <c r="FJS143" s="33"/>
      <c r="FJT143" s="33"/>
      <c r="FJU143" s="33"/>
      <c r="FJV143" s="33"/>
      <c r="FJW143" s="33"/>
      <c r="FJX143" s="33"/>
      <c r="FJY143" s="33"/>
      <c r="FJZ143" s="33"/>
      <c r="FKA143" s="33"/>
      <c r="FKB143" s="33"/>
      <c r="FKC143" s="33"/>
      <c r="FKD143" s="33"/>
      <c r="FKE143" s="33"/>
      <c r="FKF143" s="33"/>
      <c r="FKG143" s="33"/>
      <c r="FKH143" s="33"/>
      <c r="FKI143" s="33"/>
      <c r="FKJ143" s="33"/>
      <c r="FKK143" s="33"/>
      <c r="FKL143" s="33"/>
      <c r="FKM143" s="33"/>
      <c r="FKN143" s="33"/>
      <c r="FKO143" s="33"/>
      <c r="FKP143" s="33"/>
      <c r="FKQ143" s="33"/>
      <c r="FKR143" s="33"/>
      <c r="FKS143" s="33"/>
      <c r="FKT143" s="33"/>
      <c r="FKU143" s="33"/>
      <c r="FKV143" s="33"/>
      <c r="FKW143" s="33"/>
      <c r="FKX143" s="33"/>
      <c r="FKY143" s="33"/>
      <c r="FKZ143" s="33"/>
      <c r="FLA143" s="33"/>
      <c r="FLB143" s="33"/>
      <c r="FLC143" s="33"/>
      <c r="FLD143" s="33"/>
      <c r="FLE143" s="33"/>
      <c r="FLF143" s="33"/>
      <c r="FLG143" s="33"/>
      <c r="FLH143" s="33"/>
      <c r="FLI143" s="33"/>
      <c r="FLJ143" s="33"/>
      <c r="FLK143" s="33"/>
      <c r="FLL143" s="33"/>
      <c r="FLM143" s="33"/>
      <c r="FLN143" s="33"/>
      <c r="FLO143" s="33"/>
      <c r="FLP143" s="33"/>
      <c r="FLQ143" s="33"/>
      <c r="FLR143" s="33"/>
      <c r="FLS143" s="33"/>
      <c r="FLT143" s="33"/>
      <c r="FLU143" s="33"/>
      <c r="FLV143" s="33"/>
      <c r="FLW143" s="33"/>
      <c r="FLX143" s="33"/>
      <c r="FLY143" s="33"/>
      <c r="FLZ143" s="33"/>
      <c r="FMA143" s="33"/>
      <c r="FMB143" s="33"/>
      <c r="FMC143" s="33"/>
      <c r="FMD143" s="33"/>
      <c r="FME143" s="33"/>
      <c r="FMF143" s="33"/>
      <c r="FMG143" s="33"/>
      <c r="FMH143" s="33"/>
      <c r="FMI143" s="33"/>
      <c r="FMJ143" s="33"/>
      <c r="FMK143" s="33"/>
      <c r="FML143" s="33"/>
      <c r="FMM143" s="33"/>
      <c r="FMN143" s="33"/>
      <c r="FMO143" s="33"/>
      <c r="FMP143" s="33"/>
      <c r="FMQ143" s="33"/>
      <c r="FMR143" s="33"/>
      <c r="FMS143" s="33"/>
      <c r="FMT143" s="33"/>
      <c r="FMU143" s="33"/>
      <c r="FMV143" s="33"/>
      <c r="FMW143" s="33"/>
      <c r="FMX143" s="33"/>
      <c r="FMY143" s="33"/>
      <c r="FMZ143" s="33"/>
      <c r="FNA143" s="33"/>
      <c r="FNB143" s="33"/>
      <c r="FNC143" s="33"/>
      <c r="FND143" s="33"/>
      <c r="FNE143" s="33"/>
      <c r="FNF143" s="33"/>
      <c r="FNG143" s="33"/>
      <c r="FNH143" s="33"/>
      <c r="FNI143" s="33"/>
      <c r="FNJ143" s="33"/>
      <c r="FNK143" s="33"/>
      <c r="FNL143" s="33"/>
      <c r="FNM143" s="33"/>
      <c r="FNN143" s="33"/>
      <c r="FNO143" s="33"/>
      <c r="FNP143" s="33"/>
      <c r="FNQ143" s="33"/>
      <c r="FNR143" s="33"/>
      <c r="FNS143" s="33"/>
      <c r="FNT143" s="33"/>
      <c r="FNU143" s="33"/>
      <c r="FNV143" s="33"/>
      <c r="FNW143" s="33"/>
      <c r="FNX143" s="33"/>
      <c r="FNY143" s="33"/>
      <c r="FNZ143" s="33"/>
      <c r="FOA143" s="33"/>
      <c r="FOB143" s="33"/>
      <c r="FOC143" s="33"/>
      <c r="FOD143" s="33"/>
      <c r="FOE143" s="33"/>
      <c r="FOF143" s="33"/>
      <c r="FOG143" s="33"/>
      <c r="FOH143" s="33"/>
      <c r="FOI143" s="33"/>
      <c r="FOJ143" s="33"/>
      <c r="FOK143" s="33"/>
      <c r="FOL143" s="33"/>
      <c r="FOM143" s="33"/>
      <c r="FON143" s="33"/>
      <c r="FOO143" s="33"/>
      <c r="FOP143" s="33"/>
      <c r="FOQ143" s="33"/>
      <c r="FOR143" s="33"/>
      <c r="FOS143" s="33"/>
      <c r="FOT143" s="33"/>
      <c r="FOU143" s="33"/>
      <c r="FOV143" s="33"/>
      <c r="FOW143" s="33"/>
      <c r="FOX143" s="33"/>
      <c r="FOY143" s="33"/>
      <c r="FOZ143" s="33"/>
      <c r="FPA143" s="33"/>
      <c r="FPB143" s="33"/>
      <c r="FPC143" s="33"/>
      <c r="FPD143" s="33"/>
      <c r="FPE143" s="33"/>
      <c r="FPF143" s="33"/>
      <c r="FPG143" s="33"/>
      <c r="FPH143" s="33"/>
      <c r="FPI143" s="33"/>
      <c r="FPJ143" s="33"/>
      <c r="FPK143" s="33"/>
      <c r="FPL143" s="33"/>
      <c r="FPM143" s="33"/>
      <c r="FPN143" s="33"/>
      <c r="FPO143" s="33"/>
      <c r="FPP143" s="33"/>
      <c r="FPQ143" s="33"/>
      <c r="FPR143" s="33"/>
      <c r="FPS143" s="33"/>
      <c r="FPT143" s="33"/>
      <c r="FPU143" s="33"/>
      <c r="FPV143" s="33"/>
      <c r="FPW143" s="33"/>
      <c r="FPX143" s="33"/>
      <c r="FPY143" s="33"/>
      <c r="FPZ143" s="33"/>
      <c r="FQA143" s="33"/>
      <c r="FQB143" s="33"/>
      <c r="FQC143" s="33"/>
      <c r="FQD143" s="33"/>
      <c r="FQE143" s="33"/>
      <c r="FQF143" s="33"/>
      <c r="FQG143" s="33"/>
      <c r="FQH143" s="33"/>
      <c r="FQI143" s="33"/>
      <c r="FQJ143" s="33"/>
      <c r="FQK143" s="33"/>
      <c r="FQL143" s="33"/>
      <c r="FQM143" s="33"/>
      <c r="FQN143" s="33"/>
      <c r="FQO143" s="33"/>
      <c r="FQP143" s="33"/>
      <c r="FQQ143" s="33"/>
      <c r="FQR143" s="33"/>
      <c r="FQS143" s="33"/>
      <c r="FQT143" s="33"/>
      <c r="FQU143" s="33"/>
      <c r="FQV143" s="33"/>
      <c r="FQW143" s="33"/>
      <c r="FQX143" s="33"/>
      <c r="FQY143" s="33"/>
      <c r="FQZ143" s="33"/>
      <c r="FRA143" s="33"/>
      <c r="FRB143" s="33"/>
      <c r="FRC143" s="33"/>
      <c r="FRD143" s="33"/>
      <c r="FRE143" s="33"/>
      <c r="FRF143" s="33"/>
      <c r="FRG143" s="33"/>
      <c r="FRH143" s="33"/>
      <c r="FRI143" s="33"/>
      <c r="FRJ143" s="33"/>
      <c r="FRK143" s="33"/>
      <c r="FRL143" s="33"/>
      <c r="FRM143" s="33"/>
      <c r="FRN143" s="33"/>
      <c r="FRO143" s="33"/>
      <c r="FRP143" s="33"/>
      <c r="FRQ143" s="33"/>
      <c r="FRR143" s="33"/>
      <c r="FRS143" s="33"/>
      <c r="FRT143" s="33"/>
      <c r="FRU143" s="33"/>
      <c r="FRV143" s="33"/>
      <c r="FRW143" s="33"/>
      <c r="FRX143" s="33"/>
      <c r="FRY143" s="33"/>
      <c r="FRZ143" s="33"/>
      <c r="FSA143" s="33"/>
      <c r="FSB143" s="33"/>
      <c r="FSC143" s="33"/>
      <c r="FSD143" s="33"/>
      <c r="FSE143" s="33"/>
      <c r="FSF143" s="33"/>
      <c r="FSG143" s="33"/>
      <c r="FSH143" s="33"/>
      <c r="FSI143" s="33"/>
      <c r="FSJ143" s="33"/>
      <c r="FSK143" s="33"/>
      <c r="FSL143" s="33"/>
      <c r="FSM143" s="33"/>
      <c r="FSN143" s="33"/>
      <c r="FSO143" s="33"/>
      <c r="FSP143" s="33"/>
      <c r="FSQ143" s="33"/>
      <c r="FSR143" s="33"/>
      <c r="FSS143" s="33"/>
      <c r="FST143" s="33"/>
      <c r="FSU143" s="33"/>
      <c r="FSV143" s="33"/>
      <c r="FSW143" s="33"/>
      <c r="FSX143" s="33"/>
      <c r="FSY143" s="33"/>
      <c r="FSZ143" s="33"/>
      <c r="FTA143" s="33"/>
      <c r="FTB143" s="33"/>
      <c r="FTC143" s="33"/>
      <c r="FTD143" s="33"/>
      <c r="FTE143" s="33"/>
      <c r="FTF143" s="33"/>
      <c r="FTG143" s="33"/>
      <c r="FTH143" s="33"/>
      <c r="FTI143" s="33"/>
      <c r="FTJ143" s="33"/>
      <c r="FTK143" s="33"/>
      <c r="FTL143" s="33"/>
      <c r="FTM143" s="33"/>
      <c r="FTN143" s="33"/>
      <c r="FTO143" s="33"/>
      <c r="FTP143" s="33"/>
      <c r="FTQ143" s="33"/>
      <c r="FTR143" s="33"/>
      <c r="FTS143" s="33"/>
      <c r="FTT143" s="33"/>
      <c r="FTU143" s="33"/>
      <c r="FTV143" s="33"/>
      <c r="FTW143" s="33"/>
      <c r="FTX143" s="33"/>
      <c r="FTY143" s="33"/>
      <c r="FTZ143" s="33"/>
      <c r="FUA143" s="33"/>
      <c r="FUB143" s="33"/>
      <c r="FUC143" s="33"/>
      <c r="FUD143" s="33"/>
      <c r="FUE143" s="33"/>
      <c r="FUF143" s="33"/>
      <c r="FUG143" s="33"/>
      <c r="FUH143" s="33"/>
      <c r="FUI143" s="33"/>
      <c r="FUJ143" s="33"/>
      <c r="FUK143" s="33"/>
      <c r="FUL143" s="33"/>
      <c r="FUM143" s="33"/>
      <c r="FUN143" s="33"/>
      <c r="FUO143" s="33"/>
      <c r="FUP143" s="33"/>
      <c r="FUQ143" s="33"/>
      <c r="FUR143" s="33"/>
      <c r="FUS143" s="33"/>
      <c r="FUT143" s="33"/>
      <c r="FUU143" s="33"/>
      <c r="FUV143" s="33"/>
      <c r="FUW143" s="33"/>
      <c r="FUX143" s="33"/>
      <c r="FUY143" s="33"/>
      <c r="FUZ143" s="33"/>
      <c r="FVA143" s="33"/>
      <c r="FVB143" s="33"/>
      <c r="FVC143" s="33"/>
      <c r="FVD143" s="33"/>
      <c r="FVE143" s="33"/>
      <c r="FVF143" s="33"/>
      <c r="FVG143" s="33"/>
      <c r="FVH143" s="33"/>
      <c r="FVI143" s="33"/>
      <c r="FVJ143" s="33"/>
      <c r="FVK143" s="33"/>
      <c r="FVL143" s="33"/>
      <c r="FVM143" s="33"/>
      <c r="FVN143" s="33"/>
      <c r="FVO143" s="33"/>
      <c r="FVP143" s="33"/>
      <c r="FVQ143" s="33"/>
      <c r="FVR143" s="33"/>
      <c r="FVS143" s="33"/>
      <c r="FVT143" s="33"/>
      <c r="FVU143" s="33"/>
      <c r="FVV143" s="33"/>
      <c r="FVW143" s="33"/>
      <c r="FVX143" s="33"/>
      <c r="FVY143" s="33"/>
      <c r="FVZ143" s="33"/>
      <c r="FWA143" s="33"/>
      <c r="FWB143" s="33"/>
      <c r="FWC143" s="33"/>
      <c r="FWD143" s="33"/>
      <c r="FWE143" s="33"/>
      <c r="FWF143" s="33"/>
      <c r="FWG143" s="33"/>
      <c r="FWH143" s="33"/>
      <c r="FWI143" s="33"/>
      <c r="FWJ143" s="33"/>
      <c r="FWK143" s="33"/>
      <c r="FWL143" s="33"/>
      <c r="FWM143" s="33"/>
      <c r="FWN143" s="33"/>
      <c r="FWO143" s="33"/>
      <c r="FWP143" s="33"/>
      <c r="FWQ143" s="33"/>
      <c r="FWR143" s="33"/>
      <c r="FWS143" s="33"/>
      <c r="FWT143" s="33"/>
      <c r="FWU143" s="33"/>
      <c r="FWV143" s="33"/>
      <c r="FWW143" s="33"/>
      <c r="FWX143" s="33"/>
      <c r="FWY143" s="33"/>
      <c r="FWZ143" s="33"/>
      <c r="FXA143" s="33"/>
      <c r="FXB143" s="33"/>
      <c r="FXC143" s="33"/>
      <c r="FXD143" s="33"/>
      <c r="FXE143" s="33"/>
      <c r="FXF143" s="33"/>
      <c r="FXG143" s="33"/>
      <c r="FXH143" s="33"/>
      <c r="FXI143" s="33"/>
      <c r="FXJ143" s="33"/>
      <c r="FXK143" s="33"/>
      <c r="FXL143" s="33"/>
      <c r="FXM143" s="33"/>
      <c r="FXN143" s="33"/>
      <c r="FXO143" s="33"/>
      <c r="FXP143" s="33"/>
      <c r="FXQ143" s="33"/>
      <c r="FXR143" s="33"/>
      <c r="FXS143" s="33"/>
      <c r="FXT143" s="33"/>
      <c r="FXU143" s="33"/>
      <c r="FXV143" s="33"/>
      <c r="FXW143" s="33"/>
      <c r="FXX143" s="33"/>
      <c r="FXY143" s="33"/>
      <c r="FXZ143" s="33"/>
      <c r="FYA143" s="33"/>
      <c r="FYB143" s="33"/>
      <c r="FYC143" s="33"/>
      <c r="FYD143" s="33"/>
      <c r="FYE143" s="33"/>
      <c r="FYF143" s="33"/>
      <c r="FYG143" s="33"/>
      <c r="FYH143" s="33"/>
      <c r="FYI143" s="33"/>
      <c r="FYJ143" s="33"/>
      <c r="FYK143" s="33"/>
      <c r="FYL143" s="33"/>
      <c r="FYM143" s="33"/>
      <c r="FYN143" s="33"/>
      <c r="FYO143" s="33"/>
      <c r="FYP143" s="33"/>
      <c r="FYQ143" s="33"/>
      <c r="FYR143" s="33"/>
      <c r="FYS143" s="33"/>
      <c r="FYT143" s="33"/>
      <c r="FYU143" s="33"/>
      <c r="FYV143" s="33"/>
      <c r="FYW143" s="33"/>
      <c r="FYX143" s="33"/>
      <c r="FYY143" s="33"/>
      <c r="FYZ143" s="33"/>
      <c r="FZA143" s="33"/>
      <c r="FZB143" s="33"/>
      <c r="FZC143" s="33"/>
      <c r="FZD143" s="33"/>
      <c r="FZE143" s="33"/>
      <c r="FZF143" s="33"/>
      <c r="FZG143" s="33"/>
      <c r="FZH143" s="33"/>
      <c r="FZI143" s="33"/>
      <c r="FZJ143" s="33"/>
      <c r="FZK143" s="33"/>
      <c r="FZL143" s="33"/>
      <c r="FZM143" s="33"/>
      <c r="FZN143" s="33"/>
      <c r="FZO143" s="33"/>
      <c r="FZP143" s="33"/>
      <c r="FZQ143" s="33"/>
      <c r="FZR143" s="33"/>
      <c r="FZS143" s="33"/>
      <c r="FZT143" s="33"/>
      <c r="FZU143" s="33"/>
      <c r="FZV143" s="33"/>
      <c r="FZW143" s="33"/>
      <c r="FZX143" s="33"/>
      <c r="FZY143" s="33"/>
      <c r="FZZ143" s="33"/>
      <c r="GAA143" s="33"/>
      <c r="GAB143" s="33"/>
      <c r="GAC143" s="33"/>
      <c r="GAD143" s="33"/>
      <c r="GAE143" s="33"/>
      <c r="GAF143" s="33"/>
      <c r="GAG143" s="33"/>
      <c r="GAH143" s="33"/>
      <c r="GAI143" s="33"/>
      <c r="GAJ143" s="33"/>
      <c r="GAK143" s="33"/>
      <c r="GAL143" s="33"/>
      <c r="GAM143" s="33"/>
      <c r="GAN143" s="33"/>
      <c r="GAO143" s="33"/>
      <c r="GAP143" s="33"/>
      <c r="GAQ143" s="33"/>
      <c r="GAR143" s="33"/>
      <c r="GAS143" s="33"/>
      <c r="GAT143" s="33"/>
      <c r="GAU143" s="33"/>
      <c r="GAV143" s="33"/>
      <c r="GAW143" s="33"/>
      <c r="GAX143" s="33"/>
      <c r="GAY143" s="33"/>
      <c r="GAZ143" s="33"/>
      <c r="GBA143" s="33"/>
      <c r="GBB143" s="33"/>
      <c r="GBC143" s="33"/>
      <c r="GBD143" s="33"/>
      <c r="GBE143" s="33"/>
      <c r="GBF143" s="33"/>
      <c r="GBG143" s="33"/>
      <c r="GBH143" s="33"/>
      <c r="GBI143" s="33"/>
      <c r="GBJ143" s="33"/>
      <c r="GBK143" s="33"/>
      <c r="GBL143" s="33"/>
      <c r="GBM143" s="33"/>
      <c r="GBN143" s="33"/>
      <c r="GBO143" s="33"/>
      <c r="GBP143" s="33"/>
      <c r="GBQ143" s="33"/>
      <c r="GBR143" s="33"/>
      <c r="GBS143" s="33"/>
      <c r="GBT143" s="33"/>
      <c r="GBU143" s="33"/>
      <c r="GBV143" s="33"/>
      <c r="GBW143" s="33"/>
      <c r="GBX143" s="33"/>
      <c r="GBY143" s="33"/>
      <c r="GBZ143" s="33"/>
      <c r="GCA143" s="33"/>
      <c r="GCB143" s="33"/>
      <c r="GCC143" s="33"/>
      <c r="GCD143" s="33"/>
      <c r="GCE143" s="33"/>
      <c r="GCF143" s="33"/>
      <c r="GCG143" s="33"/>
      <c r="GCH143" s="33"/>
      <c r="GCI143" s="33"/>
      <c r="GCJ143" s="33"/>
      <c r="GCK143" s="33"/>
      <c r="GCL143" s="33"/>
      <c r="GCM143" s="33"/>
      <c r="GCN143" s="33"/>
      <c r="GCO143" s="33"/>
      <c r="GCP143" s="33"/>
      <c r="GCQ143" s="33"/>
      <c r="GCR143" s="33"/>
      <c r="GCS143" s="33"/>
      <c r="GCT143" s="33"/>
      <c r="GCU143" s="33"/>
      <c r="GCV143" s="33"/>
      <c r="GCW143" s="33"/>
      <c r="GCX143" s="33"/>
      <c r="GCY143" s="33"/>
      <c r="GCZ143" s="33"/>
      <c r="GDA143" s="33"/>
      <c r="GDB143" s="33"/>
      <c r="GDC143" s="33"/>
      <c r="GDD143" s="33"/>
      <c r="GDE143" s="33"/>
      <c r="GDF143" s="33"/>
      <c r="GDG143" s="33"/>
      <c r="GDH143" s="33"/>
      <c r="GDI143" s="33"/>
      <c r="GDJ143" s="33"/>
      <c r="GDK143" s="33"/>
      <c r="GDL143" s="33"/>
      <c r="GDM143" s="33"/>
      <c r="GDN143" s="33"/>
      <c r="GDO143" s="33"/>
      <c r="GDP143" s="33"/>
      <c r="GDQ143" s="33"/>
      <c r="GDR143" s="33"/>
      <c r="GDS143" s="33"/>
      <c r="GDT143" s="33"/>
      <c r="GDU143" s="33"/>
      <c r="GDV143" s="33"/>
      <c r="GDW143" s="33"/>
      <c r="GDX143" s="33"/>
      <c r="GDY143" s="33"/>
      <c r="GDZ143" s="33"/>
      <c r="GEA143" s="33"/>
      <c r="GEB143" s="33"/>
      <c r="GEC143" s="33"/>
      <c r="GED143" s="33"/>
      <c r="GEE143" s="33"/>
      <c r="GEF143" s="33"/>
      <c r="GEG143" s="33"/>
      <c r="GEH143" s="33"/>
      <c r="GEI143" s="33"/>
      <c r="GEJ143" s="33"/>
      <c r="GEK143" s="33"/>
      <c r="GEL143" s="33"/>
      <c r="GEM143" s="33"/>
      <c r="GEN143" s="33"/>
      <c r="GEO143" s="33"/>
      <c r="GEP143" s="33"/>
      <c r="GEQ143" s="33"/>
      <c r="GER143" s="33"/>
      <c r="GES143" s="33"/>
      <c r="GET143" s="33"/>
      <c r="GEU143" s="33"/>
      <c r="GEV143" s="33"/>
      <c r="GEW143" s="33"/>
      <c r="GEX143" s="33"/>
      <c r="GEY143" s="33"/>
      <c r="GEZ143" s="33"/>
      <c r="GFA143" s="33"/>
      <c r="GFB143" s="33"/>
      <c r="GFC143" s="33"/>
      <c r="GFD143" s="33"/>
      <c r="GFE143" s="33"/>
      <c r="GFF143" s="33"/>
      <c r="GFG143" s="33"/>
      <c r="GFH143" s="33"/>
      <c r="GFI143" s="33"/>
      <c r="GFJ143" s="33"/>
      <c r="GFK143" s="33"/>
      <c r="GFL143" s="33"/>
      <c r="GFM143" s="33"/>
      <c r="GFN143" s="33"/>
      <c r="GFO143" s="33"/>
      <c r="GFP143" s="33"/>
      <c r="GFQ143" s="33"/>
      <c r="GFR143" s="33"/>
      <c r="GFS143" s="33"/>
      <c r="GFT143" s="33"/>
      <c r="GFU143" s="33"/>
      <c r="GFV143" s="33"/>
      <c r="GFW143" s="33"/>
      <c r="GFX143" s="33"/>
      <c r="GFY143" s="33"/>
      <c r="GFZ143" s="33"/>
      <c r="GGA143" s="33"/>
      <c r="GGB143" s="33"/>
      <c r="GGC143" s="33"/>
      <c r="GGD143" s="33"/>
      <c r="GGE143" s="33"/>
      <c r="GGF143" s="33"/>
      <c r="GGG143" s="33"/>
      <c r="GGH143" s="33"/>
      <c r="GGI143" s="33"/>
      <c r="GGJ143" s="33"/>
      <c r="GGK143" s="33"/>
      <c r="GGL143" s="33"/>
      <c r="GGM143" s="33"/>
      <c r="GGN143" s="33"/>
      <c r="GGO143" s="33"/>
      <c r="GGP143" s="33"/>
      <c r="GGQ143" s="33"/>
      <c r="GGR143" s="33"/>
      <c r="GGS143" s="33"/>
      <c r="GGT143" s="33"/>
      <c r="GGU143" s="33"/>
      <c r="GGV143" s="33"/>
      <c r="GGW143" s="33"/>
      <c r="GGX143" s="33"/>
      <c r="GGY143" s="33"/>
      <c r="GGZ143" s="33"/>
      <c r="GHA143" s="33"/>
      <c r="GHB143" s="33"/>
      <c r="GHC143" s="33"/>
      <c r="GHD143" s="33"/>
      <c r="GHE143" s="33"/>
      <c r="GHF143" s="33"/>
      <c r="GHG143" s="33"/>
      <c r="GHH143" s="33"/>
      <c r="GHI143" s="33"/>
      <c r="GHJ143" s="33"/>
      <c r="GHK143" s="33"/>
      <c r="GHL143" s="33"/>
      <c r="GHM143" s="33"/>
      <c r="GHN143" s="33"/>
      <c r="GHO143" s="33"/>
      <c r="GHP143" s="33"/>
      <c r="GHQ143" s="33"/>
      <c r="GHR143" s="33"/>
      <c r="GHS143" s="33"/>
      <c r="GHT143" s="33"/>
      <c r="GHU143" s="33"/>
      <c r="GHV143" s="33"/>
      <c r="GHW143" s="33"/>
      <c r="GHX143" s="33"/>
      <c r="GHY143" s="33"/>
      <c r="GHZ143" s="33"/>
      <c r="GIA143" s="33"/>
      <c r="GIB143" s="33"/>
      <c r="GIC143" s="33"/>
      <c r="GID143" s="33"/>
      <c r="GIE143" s="33"/>
      <c r="GIF143" s="33"/>
      <c r="GIG143" s="33"/>
      <c r="GIH143" s="33"/>
      <c r="GII143" s="33"/>
      <c r="GIJ143" s="33"/>
      <c r="GIK143" s="33"/>
      <c r="GIL143" s="33"/>
      <c r="GIM143" s="33"/>
      <c r="GIN143" s="33"/>
      <c r="GIO143" s="33"/>
      <c r="GIP143" s="33"/>
      <c r="GIQ143" s="33"/>
      <c r="GIR143" s="33"/>
      <c r="GIS143" s="33"/>
      <c r="GIT143" s="33"/>
      <c r="GIU143" s="33"/>
      <c r="GIV143" s="33"/>
      <c r="GIW143" s="33"/>
      <c r="GIX143" s="33"/>
      <c r="GIY143" s="33"/>
      <c r="GIZ143" s="33"/>
      <c r="GJA143" s="33"/>
      <c r="GJB143" s="33"/>
      <c r="GJC143" s="33"/>
      <c r="GJD143" s="33"/>
      <c r="GJE143" s="33"/>
      <c r="GJF143" s="33"/>
      <c r="GJG143" s="33"/>
      <c r="GJH143" s="33"/>
      <c r="GJI143" s="33"/>
      <c r="GJJ143" s="33"/>
      <c r="GJK143" s="33"/>
      <c r="GJL143" s="33"/>
      <c r="GJM143" s="33"/>
      <c r="GJN143" s="33"/>
      <c r="GJO143" s="33"/>
      <c r="GJP143" s="33"/>
      <c r="GJQ143" s="33"/>
      <c r="GJR143" s="33"/>
      <c r="GJS143" s="33"/>
      <c r="GJT143" s="33"/>
      <c r="GJU143" s="33"/>
      <c r="GJV143" s="33"/>
      <c r="GJW143" s="33"/>
      <c r="GJX143" s="33"/>
      <c r="GJY143" s="33"/>
      <c r="GJZ143" s="33"/>
      <c r="GKA143" s="33"/>
      <c r="GKB143" s="33"/>
      <c r="GKC143" s="33"/>
      <c r="GKD143" s="33"/>
      <c r="GKE143" s="33"/>
      <c r="GKF143" s="33"/>
      <c r="GKG143" s="33"/>
      <c r="GKH143" s="33"/>
      <c r="GKI143" s="33"/>
      <c r="GKJ143" s="33"/>
      <c r="GKK143" s="33"/>
      <c r="GKL143" s="33"/>
      <c r="GKM143" s="33"/>
      <c r="GKN143" s="33"/>
      <c r="GKO143" s="33"/>
      <c r="GKP143" s="33"/>
      <c r="GKQ143" s="33"/>
      <c r="GKR143" s="33"/>
      <c r="GKS143" s="33"/>
      <c r="GKT143" s="33"/>
      <c r="GKU143" s="33"/>
      <c r="GKV143" s="33"/>
      <c r="GKW143" s="33"/>
      <c r="GKX143" s="33"/>
      <c r="GKY143" s="33"/>
      <c r="GKZ143" s="33"/>
      <c r="GLA143" s="33"/>
      <c r="GLB143" s="33"/>
      <c r="GLC143" s="33"/>
      <c r="GLD143" s="33"/>
      <c r="GLE143" s="33"/>
      <c r="GLF143" s="33"/>
      <c r="GLG143" s="33"/>
      <c r="GLH143" s="33"/>
      <c r="GLI143" s="33"/>
      <c r="GLJ143" s="33"/>
      <c r="GLK143" s="33"/>
      <c r="GLL143" s="33"/>
      <c r="GLM143" s="33"/>
      <c r="GLN143" s="33"/>
      <c r="GLO143" s="33"/>
      <c r="GLP143" s="33"/>
      <c r="GLQ143" s="33"/>
      <c r="GLR143" s="33"/>
      <c r="GLS143" s="33"/>
      <c r="GLT143" s="33"/>
      <c r="GLU143" s="33"/>
      <c r="GLV143" s="33"/>
      <c r="GLW143" s="33"/>
      <c r="GLX143" s="33"/>
      <c r="GLY143" s="33"/>
      <c r="GLZ143" s="33"/>
      <c r="GMA143" s="33"/>
      <c r="GMB143" s="33"/>
      <c r="GMC143" s="33"/>
      <c r="GMD143" s="33"/>
      <c r="GME143" s="33"/>
      <c r="GMF143" s="33"/>
      <c r="GMG143" s="33"/>
      <c r="GMH143" s="33"/>
      <c r="GMI143" s="33"/>
      <c r="GMJ143" s="33"/>
      <c r="GMK143" s="33"/>
      <c r="GML143" s="33"/>
      <c r="GMM143" s="33"/>
      <c r="GMN143" s="33"/>
      <c r="GMO143" s="33"/>
      <c r="GMP143" s="33"/>
      <c r="GMQ143" s="33"/>
      <c r="GMR143" s="33"/>
      <c r="GMS143" s="33"/>
      <c r="GMT143" s="33"/>
      <c r="GMU143" s="33"/>
      <c r="GMV143" s="33"/>
      <c r="GMW143" s="33"/>
      <c r="GMX143" s="33"/>
      <c r="GMY143" s="33"/>
      <c r="GMZ143" s="33"/>
      <c r="GNA143" s="33"/>
      <c r="GNB143" s="33"/>
      <c r="GNC143" s="33"/>
      <c r="GND143" s="33"/>
      <c r="GNE143" s="33"/>
      <c r="GNF143" s="33"/>
      <c r="GNG143" s="33"/>
      <c r="GNH143" s="33"/>
      <c r="GNI143" s="33"/>
      <c r="GNJ143" s="33"/>
      <c r="GNK143" s="33"/>
      <c r="GNL143" s="33"/>
      <c r="GNM143" s="33"/>
      <c r="GNN143" s="33"/>
      <c r="GNO143" s="33"/>
      <c r="GNP143" s="33"/>
      <c r="GNQ143" s="33"/>
      <c r="GNR143" s="33"/>
      <c r="GNS143" s="33"/>
      <c r="GNT143" s="33"/>
      <c r="GNU143" s="33"/>
      <c r="GNV143" s="33"/>
      <c r="GNW143" s="33"/>
      <c r="GNX143" s="33"/>
      <c r="GNY143" s="33"/>
      <c r="GNZ143" s="33"/>
      <c r="GOA143" s="33"/>
      <c r="GOB143" s="33"/>
      <c r="GOC143" s="33"/>
      <c r="GOD143" s="33"/>
      <c r="GOE143" s="33"/>
      <c r="GOF143" s="33"/>
      <c r="GOG143" s="33"/>
      <c r="GOH143" s="33"/>
      <c r="GOI143" s="33"/>
      <c r="GOJ143" s="33"/>
      <c r="GOK143" s="33"/>
      <c r="GOL143" s="33"/>
      <c r="GOM143" s="33"/>
      <c r="GON143" s="33"/>
      <c r="GOO143" s="33"/>
      <c r="GOP143" s="33"/>
      <c r="GOQ143" s="33"/>
      <c r="GOR143" s="33"/>
      <c r="GOS143" s="33"/>
      <c r="GOT143" s="33"/>
      <c r="GOU143" s="33"/>
      <c r="GOV143" s="33"/>
      <c r="GOW143" s="33"/>
      <c r="GOX143" s="33"/>
      <c r="GOY143" s="33"/>
      <c r="GOZ143" s="33"/>
      <c r="GPA143" s="33"/>
      <c r="GPB143" s="33"/>
      <c r="GPC143" s="33"/>
      <c r="GPD143" s="33"/>
      <c r="GPE143" s="33"/>
      <c r="GPF143" s="33"/>
      <c r="GPG143" s="33"/>
      <c r="GPH143" s="33"/>
      <c r="GPI143" s="33"/>
      <c r="GPJ143" s="33"/>
      <c r="GPK143" s="33"/>
      <c r="GPL143" s="33"/>
      <c r="GPM143" s="33"/>
      <c r="GPN143" s="33"/>
      <c r="GPO143" s="33"/>
      <c r="GPP143" s="33"/>
      <c r="GPQ143" s="33"/>
      <c r="GPR143" s="33"/>
      <c r="GPS143" s="33"/>
      <c r="GPT143" s="33"/>
      <c r="GPU143" s="33"/>
      <c r="GPV143" s="33"/>
      <c r="GPW143" s="33"/>
      <c r="GPX143" s="33"/>
      <c r="GPY143" s="33"/>
      <c r="GPZ143" s="33"/>
      <c r="GQA143" s="33"/>
      <c r="GQB143" s="33"/>
      <c r="GQC143" s="33"/>
      <c r="GQD143" s="33"/>
      <c r="GQE143" s="33"/>
      <c r="GQF143" s="33"/>
      <c r="GQG143" s="33"/>
      <c r="GQH143" s="33"/>
      <c r="GQI143" s="33"/>
      <c r="GQJ143" s="33"/>
      <c r="GQK143" s="33"/>
      <c r="GQL143" s="33"/>
      <c r="GQM143" s="33"/>
      <c r="GQN143" s="33"/>
      <c r="GQO143" s="33"/>
      <c r="GQP143" s="33"/>
      <c r="GQQ143" s="33"/>
      <c r="GQR143" s="33"/>
      <c r="GQS143" s="33"/>
      <c r="GQT143" s="33"/>
      <c r="GQU143" s="33"/>
      <c r="GQV143" s="33"/>
      <c r="GQW143" s="33"/>
      <c r="GQX143" s="33"/>
      <c r="GQY143" s="33"/>
      <c r="GQZ143" s="33"/>
      <c r="GRA143" s="33"/>
      <c r="GRB143" s="33"/>
      <c r="GRC143" s="33"/>
      <c r="GRD143" s="33"/>
      <c r="GRE143" s="33"/>
      <c r="GRF143" s="33"/>
      <c r="GRG143" s="33"/>
      <c r="GRH143" s="33"/>
      <c r="GRI143" s="33"/>
      <c r="GRJ143" s="33"/>
      <c r="GRK143" s="33"/>
      <c r="GRL143" s="33"/>
      <c r="GRM143" s="33"/>
      <c r="GRN143" s="33"/>
      <c r="GRO143" s="33"/>
      <c r="GRP143" s="33"/>
      <c r="GRQ143" s="33"/>
      <c r="GRR143" s="33"/>
      <c r="GRS143" s="33"/>
      <c r="GRT143" s="33"/>
      <c r="GRU143" s="33"/>
      <c r="GRV143" s="33"/>
      <c r="GRW143" s="33"/>
      <c r="GRX143" s="33"/>
      <c r="GRY143" s="33"/>
      <c r="GRZ143" s="33"/>
      <c r="GSA143" s="33"/>
      <c r="GSB143" s="33"/>
      <c r="GSC143" s="33"/>
      <c r="GSD143" s="33"/>
      <c r="GSE143" s="33"/>
      <c r="GSF143" s="33"/>
      <c r="GSG143" s="33"/>
      <c r="GSH143" s="33"/>
      <c r="GSI143" s="33"/>
      <c r="GSJ143" s="33"/>
      <c r="GSK143" s="33"/>
      <c r="GSL143" s="33"/>
      <c r="GSM143" s="33"/>
      <c r="GSN143" s="33"/>
      <c r="GSO143" s="33"/>
      <c r="GSP143" s="33"/>
      <c r="GSQ143" s="33"/>
      <c r="GSR143" s="33"/>
      <c r="GSS143" s="33"/>
      <c r="GST143" s="33"/>
      <c r="GSU143" s="33"/>
      <c r="GSV143" s="33"/>
      <c r="GSW143" s="33"/>
      <c r="GSX143" s="33"/>
      <c r="GSY143" s="33"/>
      <c r="GSZ143" s="33"/>
      <c r="GTA143" s="33"/>
      <c r="GTB143" s="33"/>
      <c r="GTC143" s="33"/>
      <c r="GTD143" s="33"/>
      <c r="GTE143" s="33"/>
      <c r="GTF143" s="33"/>
      <c r="GTG143" s="33"/>
      <c r="GTH143" s="33"/>
      <c r="GTI143" s="33"/>
      <c r="GTJ143" s="33"/>
      <c r="GTK143" s="33"/>
      <c r="GTL143" s="33"/>
      <c r="GTM143" s="33"/>
      <c r="GTN143" s="33"/>
      <c r="GTO143" s="33"/>
      <c r="GTP143" s="33"/>
      <c r="GTQ143" s="33"/>
      <c r="GTR143" s="33"/>
      <c r="GTS143" s="33"/>
      <c r="GTT143" s="33"/>
      <c r="GTU143" s="33"/>
      <c r="GTV143" s="33"/>
      <c r="GTW143" s="33"/>
      <c r="GTX143" s="33"/>
      <c r="GTY143" s="33"/>
      <c r="GTZ143" s="33"/>
      <c r="GUA143" s="33"/>
      <c r="GUB143" s="33"/>
      <c r="GUC143" s="33"/>
      <c r="GUD143" s="33"/>
      <c r="GUE143" s="33"/>
      <c r="GUF143" s="33"/>
      <c r="GUG143" s="33"/>
      <c r="GUH143" s="33"/>
      <c r="GUI143" s="33"/>
      <c r="GUJ143" s="33"/>
      <c r="GUK143" s="33"/>
      <c r="GUL143" s="33"/>
      <c r="GUM143" s="33"/>
      <c r="GUN143" s="33"/>
      <c r="GUO143" s="33"/>
      <c r="GUP143" s="33"/>
      <c r="GUQ143" s="33"/>
      <c r="GUR143" s="33"/>
      <c r="GUS143" s="33"/>
      <c r="GUT143" s="33"/>
      <c r="GUU143" s="33"/>
      <c r="GUV143" s="33"/>
      <c r="GUW143" s="33"/>
      <c r="GUX143" s="33"/>
      <c r="GUY143" s="33"/>
      <c r="GUZ143" s="33"/>
      <c r="GVA143" s="33"/>
      <c r="GVB143" s="33"/>
      <c r="GVC143" s="33"/>
      <c r="GVD143" s="33"/>
      <c r="GVE143" s="33"/>
      <c r="GVF143" s="33"/>
      <c r="GVG143" s="33"/>
      <c r="GVH143" s="33"/>
      <c r="GVI143" s="33"/>
      <c r="GVJ143" s="33"/>
      <c r="GVK143" s="33"/>
      <c r="GVL143" s="33"/>
      <c r="GVM143" s="33"/>
      <c r="GVN143" s="33"/>
      <c r="GVO143" s="33"/>
      <c r="GVP143" s="33"/>
      <c r="GVQ143" s="33"/>
      <c r="GVR143" s="33"/>
      <c r="GVS143" s="33"/>
      <c r="GVT143" s="33"/>
      <c r="GVU143" s="33"/>
      <c r="GVV143" s="33"/>
      <c r="GVW143" s="33"/>
      <c r="GVX143" s="33"/>
      <c r="GVY143" s="33"/>
      <c r="GVZ143" s="33"/>
      <c r="GWA143" s="33"/>
      <c r="GWB143" s="33"/>
      <c r="GWC143" s="33"/>
      <c r="GWD143" s="33"/>
      <c r="GWE143" s="33"/>
      <c r="GWF143" s="33"/>
      <c r="GWG143" s="33"/>
      <c r="GWH143" s="33"/>
      <c r="GWI143" s="33"/>
      <c r="GWJ143" s="33"/>
      <c r="GWK143" s="33"/>
      <c r="GWL143" s="33"/>
      <c r="GWM143" s="33"/>
      <c r="GWN143" s="33"/>
      <c r="GWO143" s="33"/>
      <c r="GWP143" s="33"/>
      <c r="GWQ143" s="33"/>
      <c r="GWR143" s="33"/>
      <c r="GWS143" s="33"/>
      <c r="GWT143" s="33"/>
      <c r="GWU143" s="33"/>
      <c r="GWV143" s="33"/>
      <c r="GWW143" s="33"/>
      <c r="GWX143" s="33"/>
      <c r="GWY143" s="33"/>
      <c r="GWZ143" s="33"/>
      <c r="GXA143" s="33"/>
      <c r="GXB143" s="33"/>
      <c r="GXC143" s="33"/>
      <c r="GXD143" s="33"/>
      <c r="GXE143" s="33"/>
      <c r="GXF143" s="33"/>
      <c r="GXG143" s="33"/>
      <c r="GXH143" s="33"/>
      <c r="GXI143" s="33"/>
      <c r="GXJ143" s="33"/>
      <c r="GXK143" s="33"/>
      <c r="GXL143" s="33"/>
      <c r="GXM143" s="33"/>
      <c r="GXN143" s="33"/>
      <c r="GXO143" s="33"/>
      <c r="GXP143" s="33"/>
      <c r="GXQ143" s="33"/>
      <c r="GXR143" s="33"/>
      <c r="GXS143" s="33"/>
      <c r="GXT143" s="33"/>
      <c r="GXU143" s="33"/>
      <c r="GXV143" s="33"/>
      <c r="GXW143" s="33"/>
      <c r="GXX143" s="33"/>
      <c r="GXY143" s="33"/>
      <c r="GXZ143" s="33"/>
      <c r="GYA143" s="33"/>
      <c r="GYB143" s="33"/>
      <c r="GYC143" s="33"/>
      <c r="GYD143" s="33"/>
      <c r="GYE143" s="33"/>
      <c r="GYF143" s="33"/>
      <c r="GYG143" s="33"/>
      <c r="GYH143" s="33"/>
      <c r="GYI143" s="33"/>
      <c r="GYJ143" s="33"/>
      <c r="GYK143" s="33"/>
      <c r="GYL143" s="33"/>
      <c r="GYM143" s="33"/>
      <c r="GYN143" s="33"/>
      <c r="GYO143" s="33"/>
      <c r="GYP143" s="33"/>
      <c r="GYQ143" s="33"/>
      <c r="GYR143" s="33"/>
      <c r="GYS143" s="33"/>
      <c r="GYT143" s="33"/>
      <c r="GYU143" s="33"/>
      <c r="GYV143" s="33"/>
      <c r="GYW143" s="33"/>
      <c r="GYX143" s="33"/>
      <c r="GYY143" s="33"/>
      <c r="GYZ143" s="33"/>
      <c r="GZA143" s="33"/>
      <c r="GZB143" s="33"/>
      <c r="GZC143" s="33"/>
      <c r="GZD143" s="33"/>
      <c r="GZE143" s="33"/>
      <c r="GZF143" s="33"/>
      <c r="GZG143" s="33"/>
      <c r="GZH143" s="33"/>
      <c r="GZI143" s="33"/>
      <c r="GZJ143" s="33"/>
      <c r="GZK143" s="33"/>
      <c r="GZL143" s="33"/>
      <c r="GZM143" s="33"/>
      <c r="GZN143" s="33"/>
      <c r="GZO143" s="33"/>
      <c r="GZP143" s="33"/>
      <c r="GZQ143" s="33"/>
      <c r="GZR143" s="33"/>
      <c r="GZS143" s="33"/>
      <c r="GZT143" s="33"/>
      <c r="GZU143" s="33"/>
      <c r="GZV143" s="33"/>
      <c r="GZW143" s="33"/>
      <c r="GZX143" s="33"/>
      <c r="GZY143" s="33"/>
      <c r="GZZ143" s="33"/>
      <c r="HAA143" s="33"/>
      <c r="HAB143" s="33"/>
      <c r="HAC143" s="33"/>
      <c r="HAD143" s="33"/>
      <c r="HAE143" s="33"/>
      <c r="HAF143" s="33"/>
      <c r="HAG143" s="33"/>
      <c r="HAH143" s="33"/>
      <c r="HAI143" s="33"/>
      <c r="HAJ143" s="33"/>
      <c r="HAK143" s="33"/>
      <c r="HAL143" s="33"/>
      <c r="HAM143" s="33"/>
      <c r="HAN143" s="33"/>
      <c r="HAO143" s="33"/>
      <c r="HAP143" s="33"/>
      <c r="HAQ143" s="33"/>
      <c r="HAR143" s="33"/>
      <c r="HAS143" s="33"/>
      <c r="HAT143" s="33"/>
      <c r="HAU143" s="33"/>
      <c r="HAV143" s="33"/>
      <c r="HAW143" s="33"/>
      <c r="HAX143" s="33"/>
      <c r="HAY143" s="33"/>
      <c r="HAZ143" s="33"/>
      <c r="HBA143" s="33"/>
      <c r="HBB143" s="33"/>
      <c r="HBC143" s="33"/>
      <c r="HBD143" s="33"/>
      <c r="HBE143" s="33"/>
      <c r="HBF143" s="33"/>
      <c r="HBG143" s="33"/>
      <c r="HBH143" s="33"/>
      <c r="HBI143" s="33"/>
      <c r="HBJ143" s="33"/>
      <c r="HBK143" s="33"/>
      <c r="HBL143" s="33"/>
      <c r="HBM143" s="33"/>
      <c r="HBN143" s="33"/>
      <c r="HBO143" s="33"/>
      <c r="HBP143" s="33"/>
      <c r="HBQ143" s="33"/>
      <c r="HBR143" s="33"/>
      <c r="HBS143" s="33"/>
      <c r="HBT143" s="33"/>
      <c r="HBU143" s="33"/>
      <c r="HBV143" s="33"/>
      <c r="HBW143" s="33"/>
      <c r="HBX143" s="33"/>
      <c r="HBY143" s="33"/>
      <c r="HBZ143" s="33"/>
      <c r="HCA143" s="33"/>
      <c r="HCB143" s="33"/>
      <c r="HCC143" s="33"/>
      <c r="HCD143" s="33"/>
      <c r="HCE143" s="33"/>
      <c r="HCF143" s="33"/>
      <c r="HCG143" s="33"/>
      <c r="HCH143" s="33"/>
      <c r="HCI143" s="33"/>
      <c r="HCJ143" s="33"/>
      <c r="HCK143" s="33"/>
      <c r="HCL143" s="33"/>
      <c r="HCM143" s="33"/>
      <c r="HCN143" s="33"/>
      <c r="HCO143" s="33"/>
      <c r="HCP143" s="33"/>
      <c r="HCQ143" s="33"/>
      <c r="HCR143" s="33"/>
      <c r="HCS143" s="33"/>
      <c r="HCT143" s="33"/>
      <c r="HCU143" s="33"/>
      <c r="HCV143" s="33"/>
      <c r="HCW143" s="33"/>
      <c r="HCX143" s="33"/>
      <c r="HCY143" s="33"/>
      <c r="HCZ143" s="33"/>
      <c r="HDA143" s="33"/>
      <c r="HDB143" s="33"/>
      <c r="HDC143" s="33"/>
      <c r="HDD143" s="33"/>
      <c r="HDE143" s="33"/>
      <c r="HDF143" s="33"/>
      <c r="HDG143" s="33"/>
      <c r="HDH143" s="33"/>
      <c r="HDI143" s="33"/>
      <c r="HDJ143" s="33"/>
      <c r="HDK143" s="33"/>
      <c r="HDL143" s="33"/>
      <c r="HDM143" s="33"/>
      <c r="HDN143" s="33"/>
      <c r="HDO143" s="33"/>
      <c r="HDP143" s="33"/>
      <c r="HDQ143" s="33"/>
      <c r="HDR143" s="33"/>
      <c r="HDS143" s="33"/>
      <c r="HDT143" s="33"/>
      <c r="HDU143" s="33"/>
      <c r="HDV143" s="33"/>
      <c r="HDW143" s="33"/>
      <c r="HDX143" s="33"/>
      <c r="HDY143" s="33"/>
      <c r="HDZ143" s="33"/>
      <c r="HEA143" s="33"/>
      <c r="HEB143" s="33"/>
      <c r="HEC143" s="33"/>
      <c r="HED143" s="33"/>
      <c r="HEE143" s="33"/>
      <c r="HEF143" s="33"/>
      <c r="HEG143" s="33"/>
      <c r="HEH143" s="33"/>
      <c r="HEI143" s="33"/>
      <c r="HEJ143" s="33"/>
      <c r="HEK143" s="33"/>
      <c r="HEL143" s="33"/>
      <c r="HEM143" s="33"/>
      <c r="HEN143" s="33"/>
      <c r="HEO143" s="33"/>
      <c r="HEP143" s="33"/>
      <c r="HEQ143" s="33"/>
      <c r="HER143" s="33"/>
      <c r="HES143" s="33"/>
      <c r="HET143" s="33"/>
      <c r="HEU143" s="33"/>
      <c r="HEV143" s="33"/>
      <c r="HEW143" s="33"/>
      <c r="HEX143" s="33"/>
      <c r="HEY143" s="33"/>
      <c r="HEZ143" s="33"/>
      <c r="HFA143" s="33"/>
      <c r="HFB143" s="33"/>
      <c r="HFC143" s="33"/>
      <c r="HFD143" s="33"/>
      <c r="HFE143" s="33"/>
      <c r="HFF143" s="33"/>
      <c r="HFG143" s="33"/>
      <c r="HFH143" s="33"/>
      <c r="HFI143" s="33"/>
      <c r="HFJ143" s="33"/>
      <c r="HFK143" s="33"/>
      <c r="HFL143" s="33"/>
      <c r="HFM143" s="33"/>
      <c r="HFN143" s="33"/>
      <c r="HFO143" s="33"/>
      <c r="HFP143" s="33"/>
      <c r="HFQ143" s="33"/>
      <c r="HFR143" s="33"/>
      <c r="HFS143" s="33"/>
      <c r="HFT143" s="33"/>
      <c r="HFU143" s="33"/>
      <c r="HFV143" s="33"/>
      <c r="HFW143" s="33"/>
      <c r="HFX143" s="33"/>
      <c r="HFY143" s="33"/>
      <c r="HFZ143" s="33"/>
      <c r="HGA143" s="33"/>
      <c r="HGB143" s="33"/>
      <c r="HGC143" s="33"/>
      <c r="HGD143" s="33"/>
      <c r="HGE143" s="33"/>
      <c r="HGF143" s="33"/>
      <c r="HGG143" s="33"/>
      <c r="HGH143" s="33"/>
      <c r="HGI143" s="33"/>
      <c r="HGJ143" s="33"/>
      <c r="HGK143" s="33"/>
      <c r="HGL143" s="33"/>
      <c r="HGM143" s="33"/>
      <c r="HGN143" s="33"/>
      <c r="HGO143" s="33"/>
      <c r="HGP143" s="33"/>
      <c r="HGQ143" s="33"/>
      <c r="HGR143" s="33"/>
      <c r="HGS143" s="33"/>
      <c r="HGT143" s="33"/>
      <c r="HGU143" s="33"/>
      <c r="HGV143" s="33"/>
      <c r="HGW143" s="33"/>
      <c r="HGX143" s="33"/>
      <c r="HGY143" s="33"/>
      <c r="HGZ143" s="33"/>
      <c r="HHA143" s="33"/>
      <c r="HHB143" s="33"/>
      <c r="HHC143" s="33"/>
      <c r="HHD143" s="33"/>
      <c r="HHE143" s="33"/>
      <c r="HHF143" s="33"/>
      <c r="HHG143" s="33"/>
      <c r="HHH143" s="33"/>
      <c r="HHI143" s="33"/>
      <c r="HHJ143" s="33"/>
      <c r="HHK143" s="33"/>
      <c r="HHL143" s="33"/>
      <c r="HHM143" s="33"/>
      <c r="HHN143" s="33"/>
      <c r="HHO143" s="33"/>
      <c r="HHP143" s="33"/>
      <c r="HHQ143" s="33"/>
      <c r="HHR143" s="33"/>
      <c r="HHS143" s="33"/>
      <c r="HHT143" s="33"/>
      <c r="HHU143" s="33"/>
      <c r="HHV143" s="33"/>
      <c r="HHW143" s="33"/>
      <c r="HHX143" s="33"/>
      <c r="HHY143" s="33"/>
      <c r="HHZ143" s="33"/>
      <c r="HIA143" s="33"/>
      <c r="HIB143" s="33"/>
      <c r="HIC143" s="33"/>
      <c r="HID143" s="33"/>
      <c r="HIE143" s="33"/>
      <c r="HIF143" s="33"/>
      <c r="HIG143" s="33"/>
      <c r="HIH143" s="33"/>
      <c r="HII143" s="33"/>
      <c r="HIJ143" s="33"/>
      <c r="HIK143" s="33"/>
      <c r="HIL143" s="33"/>
      <c r="HIM143" s="33"/>
      <c r="HIN143" s="33"/>
      <c r="HIO143" s="33"/>
      <c r="HIP143" s="33"/>
      <c r="HIQ143" s="33"/>
      <c r="HIR143" s="33"/>
      <c r="HIS143" s="33"/>
      <c r="HIT143" s="33"/>
      <c r="HIU143" s="33"/>
      <c r="HIV143" s="33"/>
      <c r="HIW143" s="33"/>
      <c r="HIX143" s="33"/>
      <c r="HIY143" s="33"/>
      <c r="HIZ143" s="33"/>
      <c r="HJA143" s="33"/>
      <c r="HJB143" s="33"/>
      <c r="HJC143" s="33"/>
      <c r="HJD143" s="33"/>
      <c r="HJE143" s="33"/>
      <c r="HJF143" s="33"/>
      <c r="HJG143" s="33"/>
      <c r="HJH143" s="33"/>
      <c r="HJI143" s="33"/>
      <c r="HJJ143" s="33"/>
      <c r="HJK143" s="33"/>
      <c r="HJL143" s="33"/>
      <c r="HJM143" s="33"/>
      <c r="HJN143" s="33"/>
      <c r="HJO143" s="33"/>
      <c r="HJP143" s="33"/>
      <c r="HJQ143" s="33"/>
      <c r="HJR143" s="33"/>
      <c r="HJS143" s="33"/>
      <c r="HJT143" s="33"/>
      <c r="HJU143" s="33"/>
      <c r="HJV143" s="33"/>
      <c r="HJW143" s="33"/>
      <c r="HJX143" s="33"/>
      <c r="HJY143" s="33"/>
      <c r="HJZ143" s="33"/>
      <c r="HKA143" s="33"/>
      <c r="HKB143" s="33"/>
      <c r="HKC143" s="33"/>
      <c r="HKD143" s="33"/>
      <c r="HKE143" s="33"/>
      <c r="HKF143" s="33"/>
      <c r="HKG143" s="33"/>
      <c r="HKH143" s="33"/>
      <c r="HKI143" s="33"/>
      <c r="HKJ143" s="33"/>
      <c r="HKK143" s="33"/>
      <c r="HKL143" s="33"/>
      <c r="HKM143" s="33"/>
      <c r="HKN143" s="33"/>
      <c r="HKO143" s="33"/>
      <c r="HKP143" s="33"/>
      <c r="HKQ143" s="33"/>
      <c r="HKR143" s="33"/>
      <c r="HKS143" s="33"/>
      <c r="HKT143" s="33"/>
      <c r="HKU143" s="33"/>
      <c r="HKV143" s="33"/>
      <c r="HKW143" s="33"/>
      <c r="HKX143" s="33"/>
      <c r="HKY143" s="33"/>
      <c r="HKZ143" s="33"/>
      <c r="HLA143" s="33"/>
      <c r="HLB143" s="33"/>
      <c r="HLC143" s="33"/>
      <c r="HLD143" s="33"/>
      <c r="HLE143" s="33"/>
      <c r="HLF143" s="33"/>
      <c r="HLG143" s="33"/>
      <c r="HLH143" s="33"/>
      <c r="HLI143" s="33"/>
      <c r="HLJ143" s="33"/>
      <c r="HLK143" s="33"/>
      <c r="HLL143" s="33"/>
      <c r="HLM143" s="33"/>
      <c r="HLN143" s="33"/>
      <c r="HLO143" s="33"/>
      <c r="HLP143" s="33"/>
      <c r="HLQ143" s="33"/>
      <c r="HLR143" s="33"/>
      <c r="HLS143" s="33"/>
      <c r="HLT143" s="33"/>
      <c r="HLU143" s="33"/>
      <c r="HLV143" s="33"/>
      <c r="HLW143" s="33"/>
      <c r="HLX143" s="33"/>
      <c r="HLY143" s="33"/>
      <c r="HLZ143" s="33"/>
      <c r="HMA143" s="33"/>
      <c r="HMB143" s="33"/>
      <c r="HMC143" s="33"/>
      <c r="HMD143" s="33"/>
      <c r="HME143" s="33"/>
      <c r="HMF143" s="33"/>
      <c r="HMG143" s="33"/>
      <c r="HMH143" s="33"/>
      <c r="HMI143" s="33"/>
      <c r="HMJ143" s="33"/>
      <c r="HMK143" s="33"/>
      <c r="HML143" s="33"/>
      <c r="HMM143" s="33"/>
      <c r="HMN143" s="33"/>
      <c r="HMO143" s="33"/>
      <c r="HMP143" s="33"/>
      <c r="HMQ143" s="33"/>
      <c r="HMR143" s="33"/>
      <c r="HMS143" s="33"/>
      <c r="HMT143" s="33"/>
      <c r="HMU143" s="33"/>
      <c r="HMV143" s="33"/>
      <c r="HMW143" s="33"/>
      <c r="HMX143" s="33"/>
      <c r="HMY143" s="33"/>
      <c r="HMZ143" s="33"/>
      <c r="HNA143" s="33"/>
      <c r="HNB143" s="33"/>
      <c r="HNC143" s="33"/>
      <c r="HND143" s="33"/>
      <c r="HNE143" s="33"/>
      <c r="HNF143" s="33"/>
      <c r="HNG143" s="33"/>
      <c r="HNH143" s="33"/>
      <c r="HNI143" s="33"/>
      <c r="HNJ143" s="33"/>
      <c r="HNK143" s="33"/>
      <c r="HNL143" s="33"/>
      <c r="HNM143" s="33"/>
      <c r="HNN143" s="33"/>
      <c r="HNO143" s="33"/>
      <c r="HNP143" s="33"/>
      <c r="HNQ143" s="33"/>
      <c r="HNR143" s="33"/>
      <c r="HNS143" s="33"/>
      <c r="HNT143" s="33"/>
      <c r="HNU143" s="33"/>
      <c r="HNV143" s="33"/>
      <c r="HNW143" s="33"/>
      <c r="HNX143" s="33"/>
      <c r="HNY143" s="33"/>
      <c r="HNZ143" s="33"/>
      <c r="HOA143" s="33"/>
      <c r="HOB143" s="33"/>
      <c r="HOC143" s="33"/>
      <c r="HOD143" s="33"/>
      <c r="HOE143" s="33"/>
      <c r="HOF143" s="33"/>
      <c r="HOG143" s="33"/>
      <c r="HOH143" s="33"/>
      <c r="HOI143" s="33"/>
      <c r="HOJ143" s="33"/>
      <c r="HOK143" s="33"/>
      <c r="HOL143" s="33"/>
      <c r="HOM143" s="33"/>
      <c r="HON143" s="33"/>
      <c r="HOO143" s="33"/>
      <c r="HOP143" s="33"/>
      <c r="HOQ143" s="33"/>
      <c r="HOR143" s="33"/>
      <c r="HOS143" s="33"/>
      <c r="HOT143" s="33"/>
      <c r="HOU143" s="33"/>
      <c r="HOV143" s="33"/>
      <c r="HOW143" s="33"/>
      <c r="HOX143" s="33"/>
      <c r="HOY143" s="33"/>
      <c r="HOZ143" s="33"/>
      <c r="HPA143" s="33"/>
      <c r="HPB143" s="33"/>
      <c r="HPC143" s="33"/>
      <c r="HPD143" s="33"/>
      <c r="HPE143" s="33"/>
      <c r="HPF143" s="33"/>
      <c r="HPG143" s="33"/>
      <c r="HPH143" s="33"/>
      <c r="HPI143" s="33"/>
      <c r="HPJ143" s="33"/>
      <c r="HPK143" s="33"/>
      <c r="HPL143" s="33"/>
      <c r="HPM143" s="33"/>
      <c r="HPN143" s="33"/>
      <c r="HPO143" s="33"/>
      <c r="HPP143" s="33"/>
      <c r="HPQ143" s="33"/>
      <c r="HPR143" s="33"/>
      <c r="HPS143" s="33"/>
      <c r="HPT143" s="33"/>
      <c r="HPU143" s="33"/>
      <c r="HPV143" s="33"/>
      <c r="HPW143" s="33"/>
      <c r="HPX143" s="33"/>
      <c r="HPY143" s="33"/>
      <c r="HPZ143" s="33"/>
      <c r="HQA143" s="33"/>
      <c r="HQB143" s="33"/>
      <c r="HQC143" s="33"/>
      <c r="HQD143" s="33"/>
      <c r="HQE143" s="33"/>
      <c r="HQF143" s="33"/>
      <c r="HQG143" s="33"/>
      <c r="HQH143" s="33"/>
      <c r="HQI143" s="33"/>
      <c r="HQJ143" s="33"/>
      <c r="HQK143" s="33"/>
      <c r="HQL143" s="33"/>
      <c r="HQM143" s="33"/>
      <c r="HQN143" s="33"/>
      <c r="HQO143" s="33"/>
      <c r="HQP143" s="33"/>
      <c r="HQQ143" s="33"/>
      <c r="HQR143" s="33"/>
      <c r="HQS143" s="33"/>
      <c r="HQT143" s="33"/>
      <c r="HQU143" s="33"/>
      <c r="HQV143" s="33"/>
      <c r="HQW143" s="33"/>
      <c r="HQX143" s="33"/>
      <c r="HQY143" s="33"/>
      <c r="HQZ143" s="33"/>
      <c r="HRA143" s="33"/>
      <c r="HRB143" s="33"/>
      <c r="HRC143" s="33"/>
      <c r="HRD143" s="33"/>
      <c r="HRE143" s="33"/>
      <c r="HRF143" s="33"/>
      <c r="HRG143" s="33"/>
      <c r="HRH143" s="33"/>
      <c r="HRI143" s="33"/>
      <c r="HRJ143" s="33"/>
      <c r="HRK143" s="33"/>
      <c r="HRL143" s="33"/>
      <c r="HRM143" s="33"/>
      <c r="HRN143" s="33"/>
      <c r="HRO143" s="33"/>
      <c r="HRP143" s="33"/>
      <c r="HRQ143" s="33"/>
      <c r="HRR143" s="33"/>
      <c r="HRS143" s="33"/>
      <c r="HRT143" s="33"/>
      <c r="HRU143" s="33"/>
      <c r="HRV143" s="33"/>
      <c r="HRW143" s="33"/>
      <c r="HRX143" s="33"/>
      <c r="HRY143" s="33"/>
      <c r="HRZ143" s="33"/>
      <c r="HSA143" s="33"/>
      <c r="HSB143" s="33"/>
      <c r="HSC143" s="33"/>
      <c r="HSD143" s="33"/>
      <c r="HSE143" s="33"/>
      <c r="HSF143" s="33"/>
      <c r="HSG143" s="33"/>
      <c r="HSH143" s="33"/>
      <c r="HSI143" s="33"/>
      <c r="HSJ143" s="33"/>
      <c r="HSK143" s="33"/>
      <c r="HSL143" s="33"/>
      <c r="HSM143" s="33"/>
      <c r="HSN143" s="33"/>
      <c r="HSO143" s="33"/>
      <c r="HSP143" s="33"/>
      <c r="HSQ143" s="33"/>
      <c r="HSR143" s="33"/>
      <c r="HSS143" s="33"/>
      <c r="HST143" s="33"/>
      <c r="HSU143" s="33"/>
      <c r="HSV143" s="33"/>
      <c r="HSW143" s="33"/>
      <c r="HSX143" s="33"/>
      <c r="HSY143" s="33"/>
      <c r="HSZ143" s="33"/>
      <c r="HTA143" s="33"/>
      <c r="HTB143" s="33"/>
      <c r="HTC143" s="33"/>
      <c r="HTD143" s="33"/>
      <c r="HTE143" s="33"/>
      <c r="HTF143" s="33"/>
      <c r="HTG143" s="33"/>
      <c r="HTH143" s="33"/>
      <c r="HTI143" s="33"/>
      <c r="HTJ143" s="33"/>
      <c r="HTK143" s="33"/>
      <c r="HTL143" s="33"/>
      <c r="HTM143" s="33"/>
      <c r="HTN143" s="33"/>
      <c r="HTO143" s="33"/>
      <c r="HTP143" s="33"/>
      <c r="HTQ143" s="33"/>
      <c r="HTR143" s="33"/>
      <c r="HTS143" s="33"/>
      <c r="HTT143" s="33"/>
      <c r="HTU143" s="33"/>
      <c r="HTV143" s="33"/>
      <c r="HTW143" s="33"/>
      <c r="HTX143" s="33"/>
      <c r="HTY143" s="33"/>
      <c r="HTZ143" s="33"/>
      <c r="HUA143" s="33"/>
      <c r="HUB143" s="33"/>
      <c r="HUC143" s="33"/>
      <c r="HUD143" s="33"/>
      <c r="HUE143" s="33"/>
      <c r="HUF143" s="33"/>
      <c r="HUG143" s="33"/>
      <c r="HUH143" s="33"/>
      <c r="HUI143" s="33"/>
      <c r="HUJ143" s="33"/>
      <c r="HUK143" s="33"/>
      <c r="HUL143" s="33"/>
      <c r="HUM143" s="33"/>
      <c r="HUN143" s="33"/>
      <c r="HUO143" s="33"/>
      <c r="HUP143" s="33"/>
      <c r="HUQ143" s="33"/>
      <c r="HUR143" s="33"/>
      <c r="HUS143" s="33"/>
      <c r="HUT143" s="33"/>
      <c r="HUU143" s="33"/>
      <c r="HUV143" s="33"/>
      <c r="HUW143" s="33"/>
      <c r="HUX143" s="33"/>
      <c r="HUY143" s="33"/>
      <c r="HUZ143" s="33"/>
      <c r="HVA143" s="33"/>
      <c r="HVB143" s="33"/>
      <c r="HVC143" s="33"/>
      <c r="HVD143" s="33"/>
      <c r="HVE143" s="33"/>
      <c r="HVF143" s="33"/>
      <c r="HVG143" s="33"/>
      <c r="HVH143" s="33"/>
      <c r="HVI143" s="33"/>
      <c r="HVJ143" s="33"/>
      <c r="HVK143" s="33"/>
      <c r="HVL143" s="33"/>
      <c r="HVM143" s="33"/>
      <c r="HVN143" s="33"/>
      <c r="HVO143" s="33"/>
      <c r="HVP143" s="33"/>
      <c r="HVQ143" s="33"/>
      <c r="HVR143" s="33"/>
      <c r="HVS143" s="33"/>
      <c r="HVT143" s="33"/>
      <c r="HVU143" s="33"/>
      <c r="HVV143" s="33"/>
      <c r="HVW143" s="33"/>
      <c r="HVX143" s="33"/>
      <c r="HVY143" s="33"/>
      <c r="HVZ143" s="33"/>
      <c r="HWA143" s="33"/>
      <c r="HWB143" s="33"/>
      <c r="HWC143" s="33"/>
      <c r="HWD143" s="33"/>
      <c r="HWE143" s="33"/>
      <c r="HWF143" s="33"/>
      <c r="HWG143" s="33"/>
      <c r="HWH143" s="33"/>
      <c r="HWI143" s="33"/>
      <c r="HWJ143" s="33"/>
      <c r="HWK143" s="33"/>
      <c r="HWL143" s="33"/>
      <c r="HWM143" s="33"/>
      <c r="HWN143" s="33"/>
      <c r="HWO143" s="33"/>
      <c r="HWP143" s="33"/>
      <c r="HWQ143" s="33"/>
      <c r="HWR143" s="33"/>
      <c r="HWS143" s="33"/>
      <c r="HWT143" s="33"/>
      <c r="HWU143" s="33"/>
      <c r="HWV143" s="33"/>
      <c r="HWW143" s="33"/>
      <c r="HWX143" s="33"/>
      <c r="HWY143" s="33"/>
      <c r="HWZ143" s="33"/>
      <c r="HXA143" s="33"/>
      <c r="HXB143" s="33"/>
      <c r="HXC143" s="33"/>
      <c r="HXD143" s="33"/>
      <c r="HXE143" s="33"/>
      <c r="HXF143" s="33"/>
      <c r="HXG143" s="33"/>
      <c r="HXH143" s="33"/>
      <c r="HXI143" s="33"/>
      <c r="HXJ143" s="33"/>
      <c r="HXK143" s="33"/>
      <c r="HXL143" s="33"/>
      <c r="HXM143" s="33"/>
      <c r="HXN143" s="33"/>
      <c r="HXO143" s="33"/>
      <c r="HXP143" s="33"/>
      <c r="HXQ143" s="33"/>
      <c r="HXR143" s="33"/>
      <c r="HXS143" s="33"/>
      <c r="HXT143" s="33"/>
      <c r="HXU143" s="33"/>
      <c r="HXV143" s="33"/>
      <c r="HXW143" s="33"/>
      <c r="HXX143" s="33"/>
      <c r="HXY143" s="33"/>
      <c r="HXZ143" s="33"/>
      <c r="HYA143" s="33"/>
      <c r="HYB143" s="33"/>
      <c r="HYC143" s="33"/>
      <c r="HYD143" s="33"/>
      <c r="HYE143" s="33"/>
      <c r="HYF143" s="33"/>
      <c r="HYG143" s="33"/>
      <c r="HYH143" s="33"/>
      <c r="HYI143" s="33"/>
      <c r="HYJ143" s="33"/>
      <c r="HYK143" s="33"/>
      <c r="HYL143" s="33"/>
      <c r="HYM143" s="33"/>
      <c r="HYN143" s="33"/>
      <c r="HYO143" s="33"/>
      <c r="HYP143" s="33"/>
      <c r="HYQ143" s="33"/>
      <c r="HYR143" s="33"/>
      <c r="HYS143" s="33"/>
      <c r="HYT143" s="33"/>
      <c r="HYU143" s="33"/>
      <c r="HYV143" s="33"/>
      <c r="HYW143" s="33"/>
      <c r="HYX143" s="33"/>
      <c r="HYY143" s="33"/>
      <c r="HYZ143" s="33"/>
      <c r="HZA143" s="33"/>
      <c r="HZB143" s="33"/>
      <c r="HZC143" s="33"/>
      <c r="HZD143" s="33"/>
      <c r="HZE143" s="33"/>
      <c r="HZF143" s="33"/>
      <c r="HZG143" s="33"/>
      <c r="HZH143" s="33"/>
      <c r="HZI143" s="33"/>
      <c r="HZJ143" s="33"/>
      <c r="HZK143" s="33"/>
      <c r="HZL143" s="33"/>
      <c r="HZM143" s="33"/>
      <c r="HZN143" s="33"/>
      <c r="HZO143" s="33"/>
      <c r="HZP143" s="33"/>
      <c r="HZQ143" s="33"/>
      <c r="HZR143" s="33"/>
      <c r="HZS143" s="33"/>
      <c r="HZT143" s="33"/>
      <c r="HZU143" s="33"/>
      <c r="HZV143" s="33"/>
      <c r="HZW143" s="33"/>
      <c r="HZX143" s="33"/>
      <c r="HZY143" s="33"/>
      <c r="HZZ143" s="33"/>
      <c r="IAA143" s="33"/>
      <c r="IAB143" s="33"/>
      <c r="IAC143" s="33"/>
      <c r="IAD143" s="33"/>
      <c r="IAE143" s="33"/>
      <c r="IAF143" s="33"/>
      <c r="IAG143" s="33"/>
      <c r="IAH143" s="33"/>
      <c r="IAI143" s="33"/>
      <c r="IAJ143" s="33"/>
      <c r="IAK143" s="33"/>
      <c r="IAL143" s="33"/>
      <c r="IAM143" s="33"/>
      <c r="IAN143" s="33"/>
      <c r="IAO143" s="33"/>
      <c r="IAP143" s="33"/>
      <c r="IAQ143" s="33"/>
      <c r="IAR143" s="33"/>
      <c r="IAS143" s="33"/>
      <c r="IAT143" s="33"/>
      <c r="IAU143" s="33"/>
      <c r="IAV143" s="33"/>
      <c r="IAW143" s="33"/>
      <c r="IAX143" s="33"/>
      <c r="IAY143" s="33"/>
      <c r="IAZ143" s="33"/>
      <c r="IBA143" s="33"/>
      <c r="IBB143" s="33"/>
      <c r="IBC143" s="33"/>
      <c r="IBD143" s="33"/>
      <c r="IBE143" s="33"/>
      <c r="IBF143" s="33"/>
      <c r="IBG143" s="33"/>
      <c r="IBH143" s="33"/>
      <c r="IBI143" s="33"/>
      <c r="IBJ143" s="33"/>
      <c r="IBK143" s="33"/>
      <c r="IBL143" s="33"/>
      <c r="IBM143" s="33"/>
      <c r="IBN143" s="33"/>
      <c r="IBO143" s="33"/>
      <c r="IBP143" s="33"/>
      <c r="IBQ143" s="33"/>
      <c r="IBR143" s="33"/>
      <c r="IBS143" s="33"/>
      <c r="IBT143" s="33"/>
      <c r="IBU143" s="33"/>
      <c r="IBV143" s="33"/>
      <c r="IBW143" s="33"/>
      <c r="IBX143" s="33"/>
      <c r="IBY143" s="33"/>
      <c r="IBZ143" s="33"/>
      <c r="ICA143" s="33"/>
      <c r="ICB143" s="33"/>
      <c r="ICC143" s="33"/>
      <c r="ICD143" s="33"/>
      <c r="ICE143" s="33"/>
      <c r="ICF143" s="33"/>
      <c r="ICG143" s="33"/>
      <c r="ICH143" s="33"/>
      <c r="ICI143" s="33"/>
      <c r="ICJ143" s="33"/>
      <c r="ICK143" s="33"/>
      <c r="ICL143" s="33"/>
      <c r="ICM143" s="33"/>
      <c r="ICN143" s="33"/>
      <c r="ICO143" s="33"/>
      <c r="ICP143" s="33"/>
      <c r="ICQ143" s="33"/>
      <c r="ICR143" s="33"/>
      <c r="ICS143" s="33"/>
      <c r="ICT143" s="33"/>
      <c r="ICU143" s="33"/>
      <c r="ICV143" s="33"/>
      <c r="ICW143" s="33"/>
      <c r="ICX143" s="33"/>
      <c r="ICY143" s="33"/>
      <c r="ICZ143" s="33"/>
      <c r="IDA143" s="33"/>
      <c r="IDB143" s="33"/>
      <c r="IDC143" s="33"/>
      <c r="IDD143" s="33"/>
      <c r="IDE143" s="33"/>
      <c r="IDF143" s="33"/>
      <c r="IDG143" s="33"/>
      <c r="IDH143" s="33"/>
      <c r="IDI143" s="33"/>
      <c r="IDJ143" s="33"/>
      <c r="IDK143" s="33"/>
      <c r="IDL143" s="33"/>
      <c r="IDM143" s="33"/>
      <c r="IDN143" s="33"/>
      <c r="IDO143" s="33"/>
      <c r="IDP143" s="33"/>
      <c r="IDQ143" s="33"/>
      <c r="IDR143" s="33"/>
      <c r="IDS143" s="33"/>
      <c r="IDT143" s="33"/>
      <c r="IDU143" s="33"/>
      <c r="IDV143" s="33"/>
      <c r="IDW143" s="33"/>
      <c r="IDX143" s="33"/>
      <c r="IDY143" s="33"/>
      <c r="IDZ143" s="33"/>
      <c r="IEA143" s="33"/>
      <c r="IEB143" s="33"/>
      <c r="IEC143" s="33"/>
      <c r="IED143" s="33"/>
      <c r="IEE143" s="33"/>
      <c r="IEF143" s="33"/>
      <c r="IEG143" s="33"/>
      <c r="IEH143" s="33"/>
      <c r="IEI143" s="33"/>
      <c r="IEJ143" s="33"/>
      <c r="IEK143" s="33"/>
      <c r="IEL143" s="33"/>
      <c r="IEM143" s="33"/>
      <c r="IEN143" s="33"/>
      <c r="IEO143" s="33"/>
      <c r="IEP143" s="33"/>
      <c r="IEQ143" s="33"/>
      <c r="IER143" s="33"/>
      <c r="IES143" s="33"/>
      <c r="IET143" s="33"/>
      <c r="IEU143" s="33"/>
      <c r="IEV143" s="33"/>
      <c r="IEW143" s="33"/>
      <c r="IEX143" s="33"/>
      <c r="IEY143" s="33"/>
      <c r="IEZ143" s="33"/>
      <c r="IFA143" s="33"/>
      <c r="IFB143" s="33"/>
      <c r="IFC143" s="33"/>
      <c r="IFD143" s="33"/>
      <c r="IFE143" s="33"/>
      <c r="IFF143" s="33"/>
      <c r="IFG143" s="33"/>
      <c r="IFH143" s="33"/>
      <c r="IFI143" s="33"/>
      <c r="IFJ143" s="33"/>
      <c r="IFK143" s="33"/>
      <c r="IFL143" s="33"/>
      <c r="IFM143" s="33"/>
      <c r="IFN143" s="33"/>
      <c r="IFO143" s="33"/>
      <c r="IFP143" s="33"/>
      <c r="IFQ143" s="33"/>
      <c r="IFR143" s="33"/>
      <c r="IFS143" s="33"/>
      <c r="IFT143" s="33"/>
      <c r="IFU143" s="33"/>
      <c r="IFV143" s="33"/>
      <c r="IFW143" s="33"/>
      <c r="IFX143" s="33"/>
      <c r="IFY143" s="33"/>
      <c r="IFZ143" s="33"/>
      <c r="IGA143" s="33"/>
      <c r="IGB143" s="33"/>
      <c r="IGC143" s="33"/>
      <c r="IGD143" s="33"/>
      <c r="IGE143" s="33"/>
      <c r="IGF143" s="33"/>
      <c r="IGG143" s="33"/>
      <c r="IGH143" s="33"/>
      <c r="IGI143" s="33"/>
      <c r="IGJ143" s="33"/>
      <c r="IGK143" s="33"/>
      <c r="IGL143" s="33"/>
      <c r="IGM143" s="33"/>
      <c r="IGN143" s="33"/>
      <c r="IGO143" s="33"/>
      <c r="IGP143" s="33"/>
      <c r="IGQ143" s="33"/>
      <c r="IGR143" s="33"/>
      <c r="IGS143" s="33"/>
      <c r="IGT143" s="33"/>
      <c r="IGU143" s="33"/>
      <c r="IGV143" s="33"/>
      <c r="IGW143" s="33"/>
      <c r="IGX143" s="33"/>
      <c r="IGY143" s="33"/>
      <c r="IGZ143" s="33"/>
      <c r="IHA143" s="33"/>
      <c r="IHB143" s="33"/>
      <c r="IHC143" s="33"/>
      <c r="IHD143" s="33"/>
      <c r="IHE143" s="33"/>
      <c r="IHF143" s="33"/>
      <c r="IHG143" s="33"/>
      <c r="IHH143" s="33"/>
      <c r="IHI143" s="33"/>
      <c r="IHJ143" s="33"/>
      <c r="IHK143" s="33"/>
      <c r="IHL143" s="33"/>
      <c r="IHM143" s="33"/>
      <c r="IHN143" s="33"/>
      <c r="IHO143" s="33"/>
      <c r="IHP143" s="33"/>
      <c r="IHQ143" s="33"/>
      <c r="IHR143" s="33"/>
      <c r="IHS143" s="33"/>
      <c r="IHT143" s="33"/>
      <c r="IHU143" s="33"/>
      <c r="IHV143" s="33"/>
      <c r="IHW143" s="33"/>
      <c r="IHX143" s="33"/>
      <c r="IHY143" s="33"/>
      <c r="IHZ143" s="33"/>
      <c r="IIA143" s="33"/>
      <c r="IIB143" s="33"/>
      <c r="IIC143" s="33"/>
      <c r="IID143" s="33"/>
      <c r="IIE143" s="33"/>
      <c r="IIF143" s="33"/>
      <c r="IIG143" s="33"/>
      <c r="IIH143" s="33"/>
      <c r="III143" s="33"/>
      <c r="IIJ143" s="33"/>
      <c r="IIK143" s="33"/>
      <c r="IIL143" s="33"/>
      <c r="IIM143" s="33"/>
      <c r="IIN143" s="33"/>
      <c r="IIO143" s="33"/>
      <c r="IIP143" s="33"/>
      <c r="IIQ143" s="33"/>
      <c r="IIR143" s="33"/>
      <c r="IIS143" s="33"/>
      <c r="IIT143" s="33"/>
      <c r="IIU143" s="33"/>
      <c r="IIV143" s="33"/>
      <c r="IIW143" s="33"/>
      <c r="IIX143" s="33"/>
      <c r="IIY143" s="33"/>
      <c r="IIZ143" s="33"/>
      <c r="IJA143" s="33"/>
      <c r="IJB143" s="33"/>
      <c r="IJC143" s="33"/>
      <c r="IJD143" s="33"/>
      <c r="IJE143" s="33"/>
      <c r="IJF143" s="33"/>
      <c r="IJG143" s="33"/>
      <c r="IJH143" s="33"/>
      <c r="IJI143" s="33"/>
      <c r="IJJ143" s="33"/>
      <c r="IJK143" s="33"/>
      <c r="IJL143" s="33"/>
      <c r="IJM143" s="33"/>
      <c r="IJN143" s="33"/>
      <c r="IJO143" s="33"/>
      <c r="IJP143" s="33"/>
      <c r="IJQ143" s="33"/>
      <c r="IJR143" s="33"/>
      <c r="IJS143" s="33"/>
      <c r="IJT143" s="33"/>
      <c r="IJU143" s="33"/>
      <c r="IJV143" s="33"/>
      <c r="IJW143" s="33"/>
      <c r="IJX143" s="33"/>
      <c r="IJY143" s="33"/>
      <c r="IJZ143" s="33"/>
      <c r="IKA143" s="33"/>
      <c r="IKB143" s="33"/>
      <c r="IKC143" s="33"/>
      <c r="IKD143" s="33"/>
      <c r="IKE143" s="33"/>
      <c r="IKF143" s="33"/>
      <c r="IKG143" s="33"/>
      <c r="IKH143" s="33"/>
      <c r="IKI143" s="33"/>
      <c r="IKJ143" s="33"/>
      <c r="IKK143" s="33"/>
      <c r="IKL143" s="33"/>
      <c r="IKM143" s="33"/>
      <c r="IKN143" s="33"/>
      <c r="IKO143" s="33"/>
      <c r="IKP143" s="33"/>
      <c r="IKQ143" s="33"/>
      <c r="IKR143" s="33"/>
      <c r="IKS143" s="33"/>
      <c r="IKT143" s="33"/>
      <c r="IKU143" s="33"/>
      <c r="IKV143" s="33"/>
      <c r="IKW143" s="33"/>
      <c r="IKX143" s="33"/>
      <c r="IKY143" s="33"/>
      <c r="IKZ143" s="33"/>
      <c r="ILA143" s="33"/>
      <c r="ILB143" s="33"/>
      <c r="ILC143" s="33"/>
      <c r="ILD143" s="33"/>
      <c r="ILE143" s="33"/>
      <c r="ILF143" s="33"/>
      <c r="ILG143" s="33"/>
      <c r="ILH143" s="33"/>
      <c r="ILI143" s="33"/>
      <c r="ILJ143" s="33"/>
      <c r="ILK143" s="33"/>
      <c r="ILL143" s="33"/>
      <c r="ILM143" s="33"/>
      <c r="ILN143" s="33"/>
      <c r="ILO143" s="33"/>
      <c r="ILP143" s="33"/>
      <c r="ILQ143" s="33"/>
      <c r="ILR143" s="33"/>
      <c r="ILS143" s="33"/>
      <c r="ILT143" s="33"/>
      <c r="ILU143" s="33"/>
      <c r="ILV143" s="33"/>
      <c r="ILW143" s="33"/>
      <c r="ILX143" s="33"/>
      <c r="ILY143" s="33"/>
      <c r="ILZ143" s="33"/>
      <c r="IMA143" s="33"/>
      <c r="IMB143" s="33"/>
      <c r="IMC143" s="33"/>
      <c r="IMD143" s="33"/>
      <c r="IME143" s="33"/>
      <c r="IMF143" s="33"/>
      <c r="IMG143" s="33"/>
      <c r="IMH143" s="33"/>
      <c r="IMI143" s="33"/>
      <c r="IMJ143" s="33"/>
      <c r="IMK143" s="33"/>
      <c r="IML143" s="33"/>
      <c r="IMM143" s="33"/>
      <c r="IMN143" s="33"/>
      <c r="IMO143" s="33"/>
      <c r="IMP143" s="33"/>
      <c r="IMQ143" s="33"/>
      <c r="IMR143" s="33"/>
      <c r="IMS143" s="33"/>
      <c r="IMT143" s="33"/>
      <c r="IMU143" s="33"/>
      <c r="IMV143" s="33"/>
      <c r="IMW143" s="33"/>
      <c r="IMX143" s="33"/>
      <c r="IMY143" s="33"/>
      <c r="IMZ143" s="33"/>
      <c r="INA143" s="33"/>
      <c r="INB143" s="33"/>
      <c r="INC143" s="33"/>
      <c r="IND143" s="33"/>
      <c r="INE143" s="33"/>
      <c r="INF143" s="33"/>
      <c r="ING143" s="33"/>
      <c r="INH143" s="33"/>
      <c r="INI143" s="33"/>
      <c r="INJ143" s="33"/>
      <c r="INK143" s="33"/>
      <c r="INL143" s="33"/>
      <c r="INM143" s="33"/>
      <c r="INN143" s="33"/>
      <c r="INO143" s="33"/>
      <c r="INP143" s="33"/>
      <c r="INQ143" s="33"/>
      <c r="INR143" s="33"/>
      <c r="INS143" s="33"/>
      <c r="INT143" s="33"/>
      <c r="INU143" s="33"/>
      <c r="INV143" s="33"/>
      <c r="INW143" s="33"/>
      <c r="INX143" s="33"/>
      <c r="INY143" s="33"/>
      <c r="INZ143" s="33"/>
      <c r="IOA143" s="33"/>
      <c r="IOB143" s="33"/>
      <c r="IOC143" s="33"/>
      <c r="IOD143" s="33"/>
      <c r="IOE143" s="33"/>
      <c r="IOF143" s="33"/>
      <c r="IOG143" s="33"/>
      <c r="IOH143" s="33"/>
      <c r="IOI143" s="33"/>
      <c r="IOJ143" s="33"/>
      <c r="IOK143" s="33"/>
      <c r="IOL143" s="33"/>
      <c r="IOM143" s="33"/>
      <c r="ION143" s="33"/>
      <c r="IOO143" s="33"/>
      <c r="IOP143" s="33"/>
      <c r="IOQ143" s="33"/>
      <c r="IOR143" s="33"/>
      <c r="IOS143" s="33"/>
      <c r="IOT143" s="33"/>
      <c r="IOU143" s="33"/>
      <c r="IOV143" s="33"/>
      <c r="IOW143" s="33"/>
      <c r="IOX143" s="33"/>
      <c r="IOY143" s="33"/>
      <c r="IOZ143" s="33"/>
      <c r="IPA143" s="33"/>
      <c r="IPB143" s="33"/>
      <c r="IPC143" s="33"/>
      <c r="IPD143" s="33"/>
      <c r="IPE143" s="33"/>
      <c r="IPF143" s="33"/>
      <c r="IPG143" s="33"/>
      <c r="IPH143" s="33"/>
      <c r="IPI143" s="33"/>
      <c r="IPJ143" s="33"/>
      <c r="IPK143" s="33"/>
      <c r="IPL143" s="33"/>
      <c r="IPM143" s="33"/>
      <c r="IPN143" s="33"/>
      <c r="IPO143" s="33"/>
      <c r="IPP143" s="33"/>
      <c r="IPQ143" s="33"/>
      <c r="IPR143" s="33"/>
      <c r="IPS143" s="33"/>
      <c r="IPT143" s="33"/>
      <c r="IPU143" s="33"/>
      <c r="IPV143" s="33"/>
      <c r="IPW143" s="33"/>
      <c r="IPX143" s="33"/>
      <c r="IPY143" s="33"/>
      <c r="IPZ143" s="33"/>
      <c r="IQA143" s="33"/>
      <c r="IQB143" s="33"/>
      <c r="IQC143" s="33"/>
      <c r="IQD143" s="33"/>
      <c r="IQE143" s="33"/>
      <c r="IQF143" s="33"/>
      <c r="IQG143" s="33"/>
      <c r="IQH143" s="33"/>
      <c r="IQI143" s="33"/>
      <c r="IQJ143" s="33"/>
      <c r="IQK143" s="33"/>
      <c r="IQL143" s="33"/>
      <c r="IQM143" s="33"/>
      <c r="IQN143" s="33"/>
      <c r="IQO143" s="33"/>
      <c r="IQP143" s="33"/>
      <c r="IQQ143" s="33"/>
      <c r="IQR143" s="33"/>
      <c r="IQS143" s="33"/>
      <c r="IQT143" s="33"/>
      <c r="IQU143" s="33"/>
      <c r="IQV143" s="33"/>
      <c r="IQW143" s="33"/>
      <c r="IQX143" s="33"/>
      <c r="IQY143" s="33"/>
      <c r="IQZ143" s="33"/>
      <c r="IRA143" s="33"/>
      <c r="IRB143" s="33"/>
      <c r="IRC143" s="33"/>
      <c r="IRD143" s="33"/>
      <c r="IRE143" s="33"/>
      <c r="IRF143" s="33"/>
      <c r="IRG143" s="33"/>
      <c r="IRH143" s="33"/>
      <c r="IRI143" s="33"/>
      <c r="IRJ143" s="33"/>
      <c r="IRK143" s="33"/>
      <c r="IRL143" s="33"/>
      <c r="IRM143" s="33"/>
      <c r="IRN143" s="33"/>
      <c r="IRO143" s="33"/>
      <c r="IRP143" s="33"/>
      <c r="IRQ143" s="33"/>
      <c r="IRR143" s="33"/>
      <c r="IRS143" s="33"/>
      <c r="IRT143" s="33"/>
      <c r="IRU143" s="33"/>
      <c r="IRV143" s="33"/>
      <c r="IRW143" s="33"/>
      <c r="IRX143" s="33"/>
      <c r="IRY143" s="33"/>
      <c r="IRZ143" s="33"/>
      <c r="ISA143" s="33"/>
      <c r="ISB143" s="33"/>
      <c r="ISC143" s="33"/>
      <c r="ISD143" s="33"/>
      <c r="ISE143" s="33"/>
      <c r="ISF143" s="33"/>
      <c r="ISG143" s="33"/>
      <c r="ISH143" s="33"/>
      <c r="ISI143" s="33"/>
      <c r="ISJ143" s="33"/>
      <c r="ISK143" s="33"/>
      <c r="ISL143" s="33"/>
      <c r="ISM143" s="33"/>
      <c r="ISN143" s="33"/>
      <c r="ISO143" s="33"/>
      <c r="ISP143" s="33"/>
      <c r="ISQ143" s="33"/>
      <c r="ISR143" s="33"/>
      <c r="ISS143" s="33"/>
      <c r="IST143" s="33"/>
      <c r="ISU143" s="33"/>
      <c r="ISV143" s="33"/>
      <c r="ISW143" s="33"/>
      <c r="ISX143" s="33"/>
      <c r="ISY143" s="33"/>
      <c r="ISZ143" s="33"/>
      <c r="ITA143" s="33"/>
      <c r="ITB143" s="33"/>
      <c r="ITC143" s="33"/>
      <c r="ITD143" s="33"/>
      <c r="ITE143" s="33"/>
      <c r="ITF143" s="33"/>
      <c r="ITG143" s="33"/>
      <c r="ITH143" s="33"/>
      <c r="ITI143" s="33"/>
      <c r="ITJ143" s="33"/>
      <c r="ITK143" s="33"/>
      <c r="ITL143" s="33"/>
      <c r="ITM143" s="33"/>
      <c r="ITN143" s="33"/>
      <c r="ITO143" s="33"/>
      <c r="ITP143" s="33"/>
      <c r="ITQ143" s="33"/>
      <c r="ITR143" s="33"/>
      <c r="ITS143" s="33"/>
      <c r="ITT143" s="33"/>
      <c r="ITU143" s="33"/>
      <c r="ITV143" s="33"/>
      <c r="ITW143" s="33"/>
      <c r="ITX143" s="33"/>
      <c r="ITY143" s="33"/>
      <c r="ITZ143" s="33"/>
      <c r="IUA143" s="33"/>
      <c r="IUB143" s="33"/>
      <c r="IUC143" s="33"/>
      <c r="IUD143" s="33"/>
      <c r="IUE143" s="33"/>
      <c r="IUF143" s="33"/>
      <c r="IUG143" s="33"/>
      <c r="IUH143" s="33"/>
      <c r="IUI143" s="33"/>
      <c r="IUJ143" s="33"/>
      <c r="IUK143" s="33"/>
      <c r="IUL143" s="33"/>
      <c r="IUM143" s="33"/>
      <c r="IUN143" s="33"/>
      <c r="IUO143" s="33"/>
      <c r="IUP143" s="33"/>
      <c r="IUQ143" s="33"/>
      <c r="IUR143" s="33"/>
      <c r="IUS143" s="33"/>
      <c r="IUT143" s="33"/>
      <c r="IUU143" s="33"/>
      <c r="IUV143" s="33"/>
      <c r="IUW143" s="33"/>
      <c r="IUX143" s="33"/>
      <c r="IUY143" s="33"/>
      <c r="IUZ143" s="33"/>
      <c r="IVA143" s="33"/>
      <c r="IVB143" s="33"/>
      <c r="IVC143" s="33"/>
      <c r="IVD143" s="33"/>
      <c r="IVE143" s="33"/>
      <c r="IVF143" s="33"/>
      <c r="IVG143" s="33"/>
      <c r="IVH143" s="33"/>
      <c r="IVI143" s="33"/>
      <c r="IVJ143" s="33"/>
      <c r="IVK143" s="33"/>
      <c r="IVL143" s="33"/>
      <c r="IVM143" s="33"/>
      <c r="IVN143" s="33"/>
      <c r="IVO143" s="33"/>
      <c r="IVP143" s="33"/>
      <c r="IVQ143" s="33"/>
      <c r="IVR143" s="33"/>
      <c r="IVS143" s="33"/>
      <c r="IVT143" s="33"/>
      <c r="IVU143" s="33"/>
      <c r="IVV143" s="33"/>
      <c r="IVW143" s="33"/>
      <c r="IVX143" s="33"/>
      <c r="IVY143" s="33"/>
      <c r="IVZ143" s="33"/>
      <c r="IWA143" s="33"/>
      <c r="IWB143" s="33"/>
      <c r="IWC143" s="33"/>
      <c r="IWD143" s="33"/>
      <c r="IWE143" s="33"/>
      <c r="IWF143" s="33"/>
      <c r="IWG143" s="33"/>
      <c r="IWH143" s="33"/>
      <c r="IWI143" s="33"/>
      <c r="IWJ143" s="33"/>
      <c r="IWK143" s="33"/>
      <c r="IWL143" s="33"/>
      <c r="IWM143" s="33"/>
      <c r="IWN143" s="33"/>
      <c r="IWO143" s="33"/>
      <c r="IWP143" s="33"/>
      <c r="IWQ143" s="33"/>
      <c r="IWR143" s="33"/>
      <c r="IWS143" s="33"/>
      <c r="IWT143" s="33"/>
      <c r="IWU143" s="33"/>
      <c r="IWV143" s="33"/>
      <c r="IWW143" s="33"/>
      <c r="IWX143" s="33"/>
      <c r="IWY143" s="33"/>
      <c r="IWZ143" s="33"/>
      <c r="IXA143" s="33"/>
      <c r="IXB143" s="33"/>
      <c r="IXC143" s="33"/>
      <c r="IXD143" s="33"/>
      <c r="IXE143" s="33"/>
      <c r="IXF143" s="33"/>
      <c r="IXG143" s="33"/>
      <c r="IXH143" s="33"/>
      <c r="IXI143" s="33"/>
      <c r="IXJ143" s="33"/>
      <c r="IXK143" s="33"/>
      <c r="IXL143" s="33"/>
      <c r="IXM143" s="33"/>
      <c r="IXN143" s="33"/>
      <c r="IXO143" s="33"/>
      <c r="IXP143" s="33"/>
      <c r="IXQ143" s="33"/>
      <c r="IXR143" s="33"/>
      <c r="IXS143" s="33"/>
      <c r="IXT143" s="33"/>
      <c r="IXU143" s="33"/>
      <c r="IXV143" s="33"/>
      <c r="IXW143" s="33"/>
      <c r="IXX143" s="33"/>
      <c r="IXY143" s="33"/>
      <c r="IXZ143" s="33"/>
      <c r="IYA143" s="33"/>
      <c r="IYB143" s="33"/>
      <c r="IYC143" s="33"/>
      <c r="IYD143" s="33"/>
      <c r="IYE143" s="33"/>
      <c r="IYF143" s="33"/>
      <c r="IYG143" s="33"/>
      <c r="IYH143" s="33"/>
      <c r="IYI143" s="33"/>
      <c r="IYJ143" s="33"/>
      <c r="IYK143" s="33"/>
      <c r="IYL143" s="33"/>
      <c r="IYM143" s="33"/>
      <c r="IYN143" s="33"/>
      <c r="IYO143" s="33"/>
      <c r="IYP143" s="33"/>
      <c r="IYQ143" s="33"/>
      <c r="IYR143" s="33"/>
      <c r="IYS143" s="33"/>
      <c r="IYT143" s="33"/>
      <c r="IYU143" s="33"/>
      <c r="IYV143" s="33"/>
      <c r="IYW143" s="33"/>
      <c r="IYX143" s="33"/>
      <c r="IYY143" s="33"/>
      <c r="IYZ143" s="33"/>
      <c r="IZA143" s="33"/>
      <c r="IZB143" s="33"/>
      <c r="IZC143" s="33"/>
      <c r="IZD143" s="33"/>
      <c r="IZE143" s="33"/>
      <c r="IZF143" s="33"/>
      <c r="IZG143" s="33"/>
      <c r="IZH143" s="33"/>
      <c r="IZI143" s="33"/>
      <c r="IZJ143" s="33"/>
      <c r="IZK143" s="33"/>
      <c r="IZL143" s="33"/>
      <c r="IZM143" s="33"/>
      <c r="IZN143" s="33"/>
      <c r="IZO143" s="33"/>
      <c r="IZP143" s="33"/>
      <c r="IZQ143" s="33"/>
      <c r="IZR143" s="33"/>
      <c r="IZS143" s="33"/>
      <c r="IZT143" s="33"/>
      <c r="IZU143" s="33"/>
      <c r="IZV143" s="33"/>
      <c r="IZW143" s="33"/>
      <c r="IZX143" s="33"/>
      <c r="IZY143" s="33"/>
      <c r="IZZ143" s="33"/>
      <c r="JAA143" s="33"/>
      <c r="JAB143" s="33"/>
      <c r="JAC143" s="33"/>
      <c r="JAD143" s="33"/>
      <c r="JAE143" s="33"/>
      <c r="JAF143" s="33"/>
      <c r="JAG143" s="33"/>
      <c r="JAH143" s="33"/>
      <c r="JAI143" s="33"/>
      <c r="JAJ143" s="33"/>
      <c r="JAK143" s="33"/>
      <c r="JAL143" s="33"/>
      <c r="JAM143" s="33"/>
      <c r="JAN143" s="33"/>
      <c r="JAO143" s="33"/>
      <c r="JAP143" s="33"/>
      <c r="JAQ143" s="33"/>
      <c r="JAR143" s="33"/>
      <c r="JAS143" s="33"/>
      <c r="JAT143" s="33"/>
      <c r="JAU143" s="33"/>
      <c r="JAV143" s="33"/>
      <c r="JAW143" s="33"/>
      <c r="JAX143" s="33"/>
      <c r="JAY143" s="33"/>
      <c r="JAZ143" s="33"/>
      <c r="JBA143" s="33"/>
      <c r="JBB143" s="33"/>
      <c r="JBC143" s="33"/>
      <c r="JBD143" s="33"/>
      <c r="JBE143" s="33"/>
      <c r="JBF143" s="33"/>
      <c r="JBG143" s="33"/>
      <c r="JBH143" s="33"/>
      <c r="JBI143" s="33"/>
      <c r="JBJ143" s="33"/>
      <c r="JBK143" s="33"/>
      <c r="JBL143" s="33"/>
      <c r="JBM143" s="33"/>
      <c r="JBN143" s="33"/>
      <c r="JBO143" s="33"/>
      <c r="JBP143" s="33"/>
      <c r="JBQ143" s="33"/>
      <c r="JBR143" s="33"/>
      <c r="JBS143" s="33"/>
      <c r="JBT143" s="33"/>
      <c r="JBU143" s="33"/>
      <c r="JBV143" s="33"/>
      <c r="JBW143" s="33"/>
      <c r="JBX143" s="33"/>
      <c r="JBY143" s="33"/>
      <c r="JBZ143" s="33"/>
      <c r="JCA143" s="33"/>
      <c r="JCB143" s="33"/>
      <c r="JCC143" s="33"/>
      <c r="JCD143" s="33"/>
      <c r="JCE143" s="33"/>
      <c r="JCF143" s="33"/>
      <c r="JCG143" s="33"/>
      <c r="JCH143" s="33"/>
      <c r="JCI143" s="33"/>
      <c r="JCJ143" s="33"/>
      <c r="JCK143" s="33"/>
      <c r="JCL143" s="33"/>
      <c r="JCM143" s="33"/>
      <c r="JCN143" s="33"/>
      <c r="JCO143" s="33"/>
      <c r="JCP143" s="33"/>
      <c r="JCQ143" s="33"/>
      <c r="JCR143" s="33"/>
      <c r="JCS143" s="33"/>
      <c r="JCT143" s="33"/>
      <c r="JCU143" s="33"/>
      <c r="JCV143" s="33"/>
      <c r="JCW143" s="33"/>
      <c r="JCX143" s="33"/>
      <c r="JCY143" s="33"/>
      <c r="JCZ143" s="33"/>
      <c r="JDA143" s="33"/>
      <c r="JDB143" s="33"/>
      <c r="JDC143" s="33"/>
      <c r="JDD143" s="33"/>
      <c r="JDE143" s="33"/>
      <c r="JDF143" s="33"/>
      <c r="JDG143" s="33"/>
      <c r="JDH143" s="33"/>
      <c r="JDI143" s="33"/>
      <c r="JDJ143" s="33"/>
      <c r="JDK143" s="33"/>
      <c r="JDL143" s="33"/>
      <c r="JDM143" s="33"/>
      <c r="JDN143" s="33"/>
      <c r="JDO143" s="33"/>
      <c r="JDP143" s="33"/>
      <c r="JDQ143" s="33"/>
      <c r="JDR143" s="33"/>
      <c r="JDS143" s="33"/>
      <c r="JDT143" s="33"/>
      <c r="JDU143" s="33"/>
      <c r="JDV143" s="33"/>
      <c r="JDW143" s="33"/>
      <c r="JDX143" s="33"/>
      <c r="JDY143" s="33"/>
      <c r="JDZ143" s="33"/>
      <c r="JEA143" s="33"/>
      <c r="JEB143" s="33"/>
      <c r="JEC143" s="33"/>
      <c r="JED143" s="33"/>
      <c r="JEE143" s="33"/>
      <c r="JEF143" s="33"/>
      <c r="JEG143" s="33"/>
      <c r="JEH143" s="33"/>
      <c r="JEI143" s="33"/>
      <c r="JEJ143" s="33"/>
      <c r="JEK143" s="33"/>
      <c r="JEL143" s="33"/>
      <c r="JEM143" s="33"/>
      <c r="JEN143" s="33"/>
      <c r="JEO143" s="33"/>
      <c r="JEP143" s="33"/>
      <c r="JEQ143" s="33"/>
      <c r="JER143" s="33"/>
      <c r="JES143" s="33"/>
      <c r="JET143" s="33"/>
      <c r="JEU143" s="33"/>
      <c r="JEV143" s="33"/>
      <c r="JEW143" s="33"/>
      <c r="JEX143" s="33"/>
      <c r="JEY143" s="33"/>
      <c r="JEZ143" s="33"/>
      <c r="JFA143" s="33"/>
      <c r="JFB143" s="33"/>
      <c r="JFC143" s="33"/>
      <c r="JFD143" s="33"/>
      <c r="JFE143" s="33"/>
      <c r="JFF143" s="33"/>
      <c r="JFG143" s="33"/>
      <c r="JFH143" s="33"/>
      <c r="JFI143" s="33"/>
      <c r="JFJ143" s="33"/>
      <c r="JFK143" s="33"/>
      <c r="JFL143" s="33"/>
      <c r="JFM143" s="33"/>
      <c r="JFN143" s="33"/>
      <c r="JFO143" s="33"/>
      <c r="JFP143" s="33"/>
      <c r="JFQ143" s="33"/>
      <c r="JFR143" s="33"/>
      <c r="JFS143" s="33"/>
      <c r="JFT143" s="33"/>
      <c r="JFU143" s="33"/>
      <c r="JFV143" s="33"/>
      <c r="JFW143" s="33"/>
      <c r="JFX143" s="33"/>
      <c r="JFY143" s="33"/>
      <c r="JFZ143" s="33"/>
      <c r="JGA143" s="33"/>
      <c r="JGB143" s="33"/>
      <c r="JGC143" s="33"/>
      <c r="JGD143" s="33"/>
      <c r="JGE143" s="33"/>
      <c r="JGF143" s="33"/>
      <c r="JGG143" s="33"/>
      <c r="JGH143" s="33"/>
      <c r="JGI143" s="33"/>
      <c r="JGJ143" s="33"/>
      <c r="JGK143" s="33"/>
      <c r="JGL143" s="33"/>
      <c r="JGM143" s="33"/>
      <c r="JGN143" s="33"/>
      <c r="JGO143" s="33"/>
      <c r="JGP143" s="33"/>
      <c r="JGQ143" s="33"/>
      <c r="JGR143" s="33"/>
      <c r="JGS143" s="33"/>
      <c r="JGT143" s="33"/>
      <c r="JGU143" s="33"/>
      <c r="JGV143" s="33"/>
      <c r="JGW143" s="33"/>
      <c r="JGX143" s="33"/>
      <c r="JGY143" s="33"/>
      <c r="JGZ143" s="33"/>
      <c r="JHA143" s="33"/>
      <c r="JHB143" s="33"/>
      <c r="JHC143" s="33"/>
      <c r="JHD143" s="33"/>
      <c r="JHE143" s="33"/>
      <c r="JHF143" s="33"/>
      <c r="JHG143" s="33"/>
      <c r="JHH143" s="33"/>
      <c r="JHI143" s="33"/>
      <c r="JHJ143" s="33"/>
      <c r="JHK143" s="33"/>
      <c r="JHL143" s="33"/>
      <c r="JHM143" s="33"/>
      <c r="JHN143" s="33"/>
      <c r="JHO143" s="33"/>
      <c r="JHP143" s="33"/>
      <c r="JHQ143" s="33"/>
      <c r="JHR143" s="33"/>
      <c r="JHS143" s="33"/>
      <c r="JHT143" s="33"/>
      <c r="JHU143" s="33"/>
      <c r="JHV143" s="33"/>
      <c r="JHW143" s="33"/>
      <c r="JHX143" s="33"/>
      <c r="JHY143" s="33"/>
      <c r="JHZ143" s="33"/>
      <c r="JIA143" s="33"/>
      <c r="JIB143" s="33"/>
      <c r="JIC143" s="33"/>
      <c r="JID143" s="33"/>
      <c r="JIE143" s="33"/>
      <c r="JIF143" s="33"/>
      <c r="JIG143" s="33"/>
      <c r="JIH143" s="33"/>
      <c r="JII143" s="33"/>
      <c r="JIJ143" s="33"/>
      <c r="JIK143" s="33"/>
      <c r="JIL143" s="33"/>
      <c r="JIM143" s="33"/>
      <c r="JIN143" s="33"/>
      <c r="JIO143" s="33"/>
      <c r="JIP143" s="33"/>
      <c r="JIQ143" s="33"/>
      <c r="JIR143" s="33"/>
      <c r="JIS143" s="33"/>
      <c r="JIT143" s="33"/>
      <c r="JIU143" s="33"/>
      <c r="JIV143" s="33"/>
      <c r="JIW143" s="33"/>
      <c r="JIX143" s="33"/>
      <c r="JIY143" s="33"/>
      <c r="JIZ143" s="33"/>
      <c r="JJA143" s="33"/>
      <c r="JJB143" s="33"/>
      <c r="JJC143" s="33"/>
      <c r="JJD143" s="33"/>
      <c r="JJE143" s="33"/>
      <c r="JJF143" s="33"/>
      <c r="JJG143" s="33"/>
      <c r="JJH143" s="33"/>
      <c r="JJI143" s="33"/>
      <c r="JJJ143" s="33"/>
      <c r="JJK143" s="33"/>
      <c r="JJL143" s="33"/>
      <c r="JJM143" s="33"/>
      <c r="JJN143" s="33"/>
      <c r="JJO143" s="33"/>
      <c r="JJP143" s="33"/>
      <c r="JJQ143" s="33"/>
      <c r="JJR143" s="33"/>
      <c r="JJS143" s="33"/>
      <c r="JJT143" s="33"/>
      <c r="JJU143" s="33"/>
      <c r="JJV143" s="33"/>
      <c r="JJW143" s="33"/>
      <c r="JJX143" s="33"/>
      <c r="JJY143" s="33"/>
      <c r="JJZ143" s="33"/>
      <c r="JKA143" s="33"/>
      <c r="JKB143" s="33"/>
      <c r="JKC143" s="33"/>
      <c r="JKD143" s="33"/>
      <c r="JKE143" s="33"/>
      <c r="JKF143" s="33"/>
      <c r="JKG143" s="33"/>
      <c r="JKH143" s="33"/>
      <c r="JKI143" s="33"/>
      <c r="JKJ143" s="33"/>
      <c r="JKK143" s="33"/>
      <c r="JKL143" s="33"/>
      <c r="JKM143" s="33"/>
      <c r="JKN143" s="33"/>
      <c r="JKO143" s="33"/>
      <c r="JKP143" s="33"/>
      <c r="JKQ143" s="33"/>
      <c r="JKR143" s="33"/>
      <c r="JKS143" s="33"/>
      <c r="JKT143" s="33"/>
      <c r="JKU143" s="33"/>
      <c r="JKV143" s="33"/>
      <c r="JKW143" s="33"/>
      <c r="JKX143" s="33"/>
      <c r="JKY143" s="33"/>
      <c r="JKZ143" s="33"/>
      <c r="JLA143" s="33"/>
      <c r="JLB143" s="33"/>
      <c r="JLC143" s="33"/>
      <c r="JLD143" s="33"/>
      <c r="JLE143" s="33"/>
      <c r="JLF143" s="33"/>
      <c r="JLG143" s="33"/>
      <c r="JLH143" s="33"/>
      <c r="JLI143" s="33"/>
      <c r="JLJ143" s="33"/>
      <c r="JLK143" s="33"/>
      <c r="JLL143" s="33"/>
      <c r="JLM143" s="33"/>
      <c r="JLN143" s="33"/>
      <c r="JLO143" s="33"/>
      <c r="JLP143" s="33"/>
      <c r="JLQ143" s="33"/>
      <c r="JLR143" s="33"/>
      <c r="JLS143" s="33"/>
      <c r="JLT143" s="33"/>
      <c r="JLU143" s="33"/>
      <c r="JLV143" s="33"/>
      <c r="JLW143" s="33"/>
      <c r="JLX143" s="33"/>
      <c r="JLY143" s="33"/>
      <c r="JLZ143" s="33"/>
      <c r="JMA143" s="33"/>
      <c r="JMB143" s="33"/>
      <c r="JMC143" s="33"/>
      <c r="JMD143" s="33"/>
      <c r="JME143" s="33"/>
      <c r="JMF143" s="33"/>
      <c r="JMG143" s="33"/>
      <c r="JMH143" s="33"/>
      <c r="JMI143" s="33"/>
      <c r="JMJ143" s="33"/>
      <c r="JMK143" s="33"/>
      <c r="JML143" s="33"/>
      <c r="JMM143" s="33"/>
      <c r="JMN143" s="33"/>
      <c r="JMO143" s="33"/>
      <c r="JMP143" s="33"/>
      <c r="JMQ143" s="33"/>
      <c r="JMR143" s="33"/>
      <c r="JMS143" s="33"/>
      <c r="JMT143" s="33"/>
      <c r="JMU143" s="33"/>
      <c r="JMV143" s="33"/>
      <c r="JMW143" s="33"/>
      <c r="JMX143" s="33"/>
      <c r="JMY143" s="33"/>
      <c r="JMZ143" s="33"/>
      <c r="JNA143" s="33"/>
      <c r="JNB143" s="33"/>
      <c r="JNC143" s="33"/>
      <c r="JND143" s="33"/>
      <c r="JNE143" s="33"/>
      <c r="JNF143" s="33"/>
      <c r="JNG143" s="33"/>
      <c r="JNH143" s="33"/>
      <c r="JNI143" s="33"/>
      <c r="JNJ143" s="33"/>
      <c r="JNK143" s="33"/>
      <c r="JNL143" s="33"/>
      <c r="JNM143" s="33"/>
      <c r="JNN143" s="33"/>
      <c r="JNO143" s="33"/>
      <c r="JNP143" s="33"/>
      <c r="JNQ143" s="33"/>
      <c r="JNR143" s="33"/>
      <c r="JNS143" s="33"/>
      <c r="JNT143" s="33"/>
      <c r="JNU143" s="33"/>
      <c r="JNV143" s="33"/>
      <c r="JNW143" s="33"/>
      <c r="JNX143" s="33"/>
      <c r="JNY143" s="33"/>
      <c r="JNZ143" s="33"/>
      <c r="JOA143" s="33"/>
      <c r="JOB143" s="33"/>
      <c r="JOC143" s="33"/>
      <c r="JOD143" s="33"/>
      <c r="JOE143" s="33"/>
      <c r="JOF143" s="33"/>
      <c r="JOG143" s="33"/>
      <c r="JOH143" s="33"/>
      <c r="JOI143" s="33"/>
      <c r="JOJ143" s="33"/>
      <c r="JOK143" s="33"/>
      <c r="JOL143" s="33"/>
      <c r="JOM143" s="33"/>
      <c r="JON143" s="33"/>
      <c r="JOO143" s="33"/>
      <c r="JOP143" s="33"/>
      <c r="JOQ143" s="33"/>
      <c r="JOR143" s="33"/>
      <c r="JOS143" s="33"/>
      <c r="JOT143" s="33"/>
      <c r="JOU143" s="33"/>
      <c r="JOV143" s="33"/>
      <c r="JOW143" s="33"/>
      <c r="JOX143" s="33"/>
      <c r="JOY143" s="33"/>
      <c r="JOZ143" s="33"/>
      <c r="JPA143" s="33"/>
      <c r="JPB143" s="33"/>
      <c r="JPC143" s="33"/>
      <c r="JPD143" s="33"/>
      <c r="JPE143" s="33"/>
      <c r="JPF143" s="33"/>
      <c r="JPG143" s="33"/>
      <c r="JPH143" s="33"/>
      <c r="JPI143" s="33"/>
      <c r="JPJ143" s="33"/>
      <c r="JPK143" s="33"/>
      <c r="JPL143" s="33"/>
      <c r="JPM143" s="33"/>
      <c r="JPN143" s="33"/>
      <c r="JPO143" s="33"/>
      <c r="JPP143" s="33"/>
      <c r="JPQ143" s="33"/>
      <c r="JPR143" s="33"/>
      <c r="JPS143" s="33"/>
      <c r="JPT143" s="33"/>
      <c r="JPU143" s="33"/>
      <c r="JPV143" s="33"/>
      <c r="JPW143" s="33"/>
      <c r="JPX143" s="33"/>
      <c r="JPY143" s="33"/>
      <c r="JPZ143" s="33"/>
      <c r="JQA143" s="33"/>
      <c r="JQB143" s="33"/>
      <c r="JQC143" s="33"/>
      <c r="JQD143" s="33"/>
      <c r="JQE143" s="33"/>
      <c r="JQF143" s="33"/>
      <c r="JQG143" s="33"/>
      <c r="JQH143" s="33"/>
      <c r="JQI143" s="33"/>
      <c r="JQJ143" s="33"/>
      <c r="JQK143" s="33"/>
      <c r="JQL143" s="33"/>
      <c r="JQM143" s="33"/>
      <c r="JQN143" s="33"/>
      <c r="JQO143" s="33"/>
      <c r="JQP143" s="33"/>
      <c r="JQQ143" s="33"/>
      <c r="JQR143" s="33"/>
      <c r="JQS143" s="33"/>
      <c r="JQT143" s="33"/>
      <c r="JQU143" s="33"/>
      <c r="JQV143" s="33"/>
      <c r="JQW143" s="33"/>
      <c r="JQX143" s="33"/>
      <c r="JQY143" s="33"/>
      <c r="JQZ143" s="33"/>
      <c r="JRA143" s="33"/>
      <c r="JRB143" s="33"/>
      <c r="JRC143" s="33"/>
      <c r="JRD143" s="33"/>
      <c r="JRE143" s="33"/>
      <c r="JRF143" s="33"/>
      <c r="JRG143" s="33"/>
      <c r="JRH143" s="33"/>
      <c r="JRI143" s="33"/>
      <c r="JRJ143" s="33"/>
      <c r="JRK143" s="33"/>
      <c r="JRL143" s="33"/>
      <c r="JRM143" s="33"/>
      <c r="JRN143" s="33"/>
      <c r="JRO143" s="33"/>
      <c r="JRP143" s="33"/>
      <c r="JRQ143" s="33"/>
      <c r="JRR143" s="33"/>
      <c r="JRS143" s="33"/>
      <c r="JRT143" s="33"/>
      <c r="JRU143" s="33"/>
      <c r="JRV143" s="33"/>
      <c r="JRW143" s="33"/>
      <c r="JRX143" s="33"/>
      <c r="JRY143" s="33"/>
      <c r="JRZ143" s="33"/>
      <c r="JSA143" s="33"/>
      <c r="JSB143" s="33"/>
      <c r="JSC143" s="33"/>
      <c r="JSD143" s="33"/>
      <c r="JSE143" s="33"/>
      <c r="JSF143" s="33"/>
      <c r="JSG143" s="33"/>
      <c r="JSH143" s="33"/>
      <c r="JSI143" s="33"/>
      <c r="JSJ143" s="33"/>
      <c r="JSK143" s="33"/>
      <c r="JSL143" s="33"/>
      <c r="JSM143" s="33"/>
      <c r="JSN143" s="33"/>
      <c r="JSO143" s="33"/>
      <c r="JSP143" s="33"/>
      <c r="JSQ143" s="33"/>
      <c r="JSR143" s="33"/>
      <c r="JSS143" s="33"/>
      <c r="JST143" s="33"/>
      <c r="JSU143" s="33"/>
      <c r="JSV143" s="33"/>
      <c r="JSW143" s="33"/>
      <c r="JSX143" s="33"/>
      <c r="JSY143" s="33"/>
      <c r="JSZ143" s="33"/>
      <c r="JTA143" s="33"/>
      <c r="JTB143" s="33"/>
      <c r="JTC143" s="33"/>
      <c r="JTD143" s="33"/>
      <c r="JTE143" s="33"/>
      <c r="JTF143" s="33"/>
      <c r="JTG143" s="33"/>
      <c r="JTH143" s="33"/>
      <c r="JTI143" s="33"/>
      <c r="JTJ143" s="33"/>
      <c r="JTK143" s="33"/>
      <c r="JTL143" s="33"/>
      <c r="JTM143" s="33"/>
      <c r="JTN143" s="33"/>
      <c r="JTO143" s="33"/>
      <c r="JTP143" s="33"/>
      <c r="JTQ143" s="33"/>
      <c r="JTR143" s="33"/>
      <c r="JTS143" s="33"/>
      <c r="JTT143" s="33"/>
      <c r="JTU143" s="33"/>
      <c r="JTV143" s="33"/>
      <c r="JTW143" s="33"/>
      <c r="JTX143" s="33"/>
      <c r="JTY143" s="33"/>
      <c r="JTZ143" s="33"/>
      <c r="JUA143" s="33"/>
      <c r="JUB143" s="33"/>
      <c r="JUC143" s="33"/>
      <c r="JUD143" s="33"/>
      <c r="JUE143" s="33"/>
      <c r="JUF143" s="33"/>
      <c r="JUG143" s="33"/>
      <c r="JUH143" s="33"/>
      <c r="JUI143" s="33"/>
      <c r="JUJ143" s="33"/>
      <c r="JUK143" s="33"/>
      <c r="JUL143" s="33"/>
      <c r="JUM143" s="33"/>
      <c r="JUN143" s="33"/>
      <c r="JUO143" s="33"/>
      <c r="JUP143" s="33"/>
      <c r="JUQ143" s="33"/>
      <c r="JUR143" s="33"/>
      <c r="JUS143" s="33"/>
      <c r="JUT143" s="33"/>
      <c r="JUU143" s="33"/>
      <c r="JUV143" s="33"/>
      <c r="JUW143" s="33"/>
      <c r="JUX143" s="33"/>
      <c r="JUY143" s="33"/>
      <c r="JUZ143" s="33"/>
      <c r="JVA143" s="33"/>
      <c r="JVB143" s="33"/>
      <c r="JVC143" s="33"/>
      <c r="JVD143" s="33"/>
      <c r="JVE143" s="33"/>
      <c r="JVF143" s="33"/>
      <c r="JVG143" s="33"/>
      <c r="JVH143" s="33"/>
      <c r="JVI143" s="33"/>
      <c r="JVJ143" s="33"/>
      <c r="JVK143" s="33"/>
      <c r="JVL143" s="33"/>
      <c r="JVM143" s="33"/>
      <c r="JVN143" s="33"/>
      <c r="JVO143" s="33"/>
      <c r="JVP143" s="33"/>
      <c r="JVQ143" s="33"/>
      <c r="JVR143" s="33"/>
      <c r="JVS143" s="33"/>
      <c r="JVT143" s="33"/>
      <c r="JVU143" s="33"/>
      <c r="JVV143" s="33"/>
      <c r="JVW143" s="33"/>
      <c r="JVX143" s="33"/>
      <c r="JVY143" s="33"/>
      <c r="JVZ143" s="33"/>
      <c r="JWA143" s="33"/>
      <c r="JWB143" s="33"/>
      <c r="JWC143" s="33"/>
      <c r="JWD143" s="33"/>
      <c r="JWE143" s="33"/>
      <c r="JWF143" s="33"/>
      <c r="JWG143" s="33"/>
      <c r="JWH143" s="33"/>
      <c r="JWI143" s="33"/>
      <c r="JWJ143" s="33"/>
      <c r="JWK143" s="33"/>
      <c r="JWL143" s="33"/>
      <c r="JWM143" s="33"/>
      <c r="JWN143" s="33"/>
      <c r="JWO143" s="33"/>
      <c r="JWP143" s="33"/>
      <c r="JWQ143" s="33"/>
      <c r="JWR143" s="33"/>
      <c r="JWS143" s="33"/>
      <c r="JWT143" s="33"/>
      <c r="JWU143" s="33"/>
      <c r="JWV143" s="33"/>
      <c r="JWW143" s="33"/>
      <c r="JWX143" s="33"/>
      <c r="JWY143" s="33"/>
      <c r="JWZ143" s="33"/>
      <c r="JXA143" s="33"/>
      <c r="JXB143" s="33"/>
      <c r="JXC143" s="33"/>
      <c r="JXD143" s="33"/>
      <c r="JXE143" s="33"/>
      <c r="JXF143" s="33"/>
      <c r="JXG143" s="33"/>
      <c r="JXH143" s="33"/>
      <c r="JXI143" s="33"/>
      <c r="JXJ143" s="33"/>
      <c r="JXK143" s="33"/>
      <c r="JXL143" s="33"/>
      <c r="JXM143" s="33"/>
      <c r="JXN143" s="33"/>
      <c r="JXO143" s="33"/>
      <c r="JXP143" s="33"/>
      <c r="JXQ143" s="33"/>
      <c r="JXR143" s="33"/>
      <c r="JXS143" s="33"/>
      <c r="JXT143" s="33"/>
      <c r="JXU143" s="33"/>
      <c r="JXV143" s="33"/>
      <c r="JXW143" s="33"/>
      <c r="JXX143" s="33"/>
      <c r="JXY143" s="33"/>
      <c r="JXZ143" s="33"/>
      <c r="JYA143" s="33"/>
      <c r="JYB143" s="33"/>
      <c r="JYC143" s="33"/>
      <c r="JYD143" s="33"/>
      <c r="JYE143" s="33"/>
      <c r="JYF143" s="33"/>
      <c r="JYG143" s="33"/>
      <c r="JYH143" s="33"/>
      <c r="JYI143" s="33"/>
      <c r="JYJ143" s="33"/>
      <c r="JYK143" s="33"/>
      <c r="JYL143" s="33"/>
      <c r="JYM143" s="33"/>
      <c r="JYN143" s="33"/>
      <c r="JYO143" s="33"/>
      <c r="JYP143" s="33"/>
      <c r="JYQ143" s="33"/>
      <c r="JYR143" s="33"/>
      <c r="JYS143" s="33"/>
      <c r="JYT143" s="33"/>
      <c r="JYU143" s="33"/>
      <c r="JYV143" s="33"/>
      <c r="JYW143" s="33"/>
      <c r="JYX143" s="33"/>
      <c r="JYY143" s="33"/>
      <c r="JYZ143" s="33"/>
      <c r="JZA143" s="33"/>
      <c r="JZB143" s="33"/>
      <c r="JZC143" s="33"/>
      <c r="JZD143" s="33"/>
      <c r="JZE143" s="33"/>
      <c r="JZF143" s="33"/>
      <c r="JZG143" s="33"/>
      <c r="JZH143" s="33"/>
      <c r="JZI143" s="33"/>
      <c r="JZJ143" s="33"/>
      <c r="JZK143" s="33"/>
      <c r="JZL143" s="33"/>
      <c r="JZM143" s="33"/>
      <c r="JZN143" s="33"/>
      <c r="JZO143" s="33"/>
      <c r="JZP143" s="33"/>
      <c r="JZQ143" s="33"/>
      <c r="JZR143" s="33"/>
      <c r="JZS143" s="33"/>
      <c r="JZT143" s="33"/>
      <c r="JZU143" s="33"/>
      <c r="JZV143" s="33"/>
      <c r="JZW143" s="33"/>
      <c r="JZX143" s="33"/>
      <c r="JZY143" s="33"/>
      <c r="JZZ143" s="33"/>
      <c r="KAA143" s="33"/>
      <c r="KAB143" s="33"/>
      <c r="KAC143" s="33"/>
      <c r="KAD143" s="33"/>
      <c r="KAE143" s="33"/>
      <c r="KAF143" s="33"/>
      <c r="KAG143" s="33"/>
      <c r="KAH143" s="33"/>
      <c r="KAI143" s="33"/>
      <c r="KAJ143" s="33"/>
      <c r="KAK143" s="33"/>
      <c r="KAL143" s="33"/>
      <c r="KAM143" s="33"/>
      <c r="KAN143" s="33"/>
      <c r="KAO143" s="33"/>
      <c r="KAP143" s="33"/>
      <c r="KAQ143" s="33"/>
      <c r="KAR143" s="33"/>
      <c r="KAS143" s="33"/>
      <c r="KAT143" s="33"/>
      <c r="KAU143" s="33"/>
      <c r="KAV143" s="33"/>
      <c r="KAW143" s="33"/>
      <c r="KAX143" s="33"/>
      <c r="KAY143" s="33"/>
      <c r="KAZ143" s="33"/>
      <c r="KBA143" s="33"/>
      <c r="KBB143" s="33"/>
      <c r="KBC143" s="33"/>
      <c r="KBD143" s="33"/>
      <c r="KBE143" s="33"/>
      <c r="KBF143" s="33"/>
      <c r="KBG143" s="33"/>
      <c r="KBH143" s="33"/>
      <c r="KBI143" s="33"/>
      <c r="KBJ143" s="33"/>
      <c r="KBK143" s="33"/>
      <c r="KBL143" s="33"/>
      <c r="KBM143" s="33"/>
      <c r="KBN143" s="33"/>
      <c r="KBO143" s="33"/>
      <c r="KBP143" s="33"/>
      <c r="KBQ143" s="33"/>
      <c r="KBR143" s="33"/>
      <c r="KBS143" s="33"/>
      <c r="KBT143" s="33"/>
      <c r="KBU143" s="33"/>
      <c r="KBV143" s="33"/>
      <c r="KBW143" s="33"/>
      <c r="KBX143" s="33"/>
      <c r="KBY143" s="33"/>
      <c r="KBZ143" s="33"/>
      <c r="KCA143" s="33"/>
      <c r="KCB143" s="33"/>
      <c r="KCC143" s="33"/>
      <c r="KCD143" s="33"/>
      <c r="KCE143" s="33"/>
      <c r="KCF143" s="33"/>
      <c r="KCG143" s="33"/>
      <c r="KCH143" s="33"/>
      <c r="KCI143" s="33"/>
      <c r="KCJ143" s="33"/>
      <c r="KCK143" s="33"/>
      <c r="KCL143" s="33"/>
      <c r="KCM143" s="33"/>
      <c r="KCN143" s="33"/>
      <c r="KCO143" s="33"/>
      <c r="KCP143" s="33"/>
      <c r="KCQ143" s="33"/>
      <c r="KCR143" s="33"/>
      <c r="KCS143" s="33"/>
      <c r="KCT143" s="33"/>
      <c r="KCU143" s="33"/>
      <c r="KCV143" s="33"/>
      <c r="KCW143" s="33"/>
      <c r="KCX143" s="33"/>
      <c r="KCY143" s="33"/>
      <c r="KCZ143" s="33"/>
      <c r="KDA143" s="33"/>
      <c r="KDB143" s="33"/>
      <c r="KDC143" s="33"/>
      <c r="KDD143" s="33"/>
      <c r="KDE143" s="33"/>
      <c r="KDF143" s="33"/>
      <c r="KDG143" s="33"/>
      <c r="KDH143" s="33"/>
      <c r="KDI143" s="33"/>
      <c r="KDJ143" s="33"/>
      <c r="KDK143" s="33"/>
      <c r="KDL143" s="33"/>
      <c r="KDM143" s="33"/>
      <c r="KDN143" s="33"/>
      <c r="KDO143" s="33"/>
      <c r="KDP143" s="33"/>
      <c r="KDQ143" s="33"/>
      <c r="KDR143" s="33"/>
      <c r="KDS143" s="33"/>
      <c r="KDT143" s="33"/>
      <c r="KDU143" s="33"/>
      <c r="KDV143" s="33"/>
      <c r="KDW143" s="33"/>
      <c r="KDX143" s="33"/>
      <c r="KDY143" s="33"/>
      <c r="KDZ143" s="33"/>
      <c r="KEA143" s="33"/>
      <c r="KEB143" s="33"/>
      <c r="KEC143" s="33"/>
      <c r="KED143" s="33"/>
      <c r="KEE143" s="33"/>
      <c r="KEF143" s="33"/>
      <c r="KEG143" s="33"/>
      <c r="KEH143" s="33"/>
      <c r="KEI143" s="33"/>
      <c r="KEJ143" s="33"/>
      <c r="KEK143" s="33"/>
      <c r="KEL143" s="33"/>
      <c r="KEM143" s="33"/>
      <c r="KEN143" s="33"/>
      <c r="KEO143" s="33"/>
      <c r="KEP143" s="33"/>
      <c r="KEQ143" s="33"/>
      <c r="KER143" s="33"/>
      <c r="KES143" s="33"/>
      <c r="KET143" s="33"/>
      <c r="KEU143" s="33"/>
      <c r="KEV143" s="33"/>
      <c r="KEW143" s="33"/>
      <c r="KEX143" s="33"/>
      <c r="KEY143" s="33"/>
      <c r="KEZ143" s="33"/>
      <c r="KFA143" s="33"/>
      <c r="KFB143" s="33"/>
      <c r="KFC143" s="33"/>
      <c r="KFD143" s="33"/>
      <c r="KFE143" s="33"/>
      <c r="KFF143" s="33"/>
      <c r="KFG143" s="33"/>
      <c r="KFH143" s="33"/>
      <c r="KFI143" s="33"/>
      <c r="KFJ143" s="33"/>
      <c r="KFK143" s="33"/>
      <c r="KFL143" s="33"/>
      <c r="KFM143" s="33"/>
      <c r="KFN143" s="33"/>
      <c r="KFO143" s="33"/>
      <c r="KFP143" s="33"/>
      <c r="KFQ143" s="33"/>
      <c r="KFR143" s="33"/>
      <c r="KFS143" s="33"/>
      <c r="KFT143" s="33"/>
      <c r="KFU143" s="33"/>
      <c r="KFV143" s="33"/>
      <c r="KFW143" s="33"/>
      <c r="KFX143" s="33"/>
      <c r="KFY143" s="33"/>
      <c r="KFZ143" s="33"/>
      <c r="KGA143" s="33"/>
      <c r="KGB143" s="33"/>
      <c r="KGC143" s="33"/>
      <c r="KGD143" s="33"/>
      <c r="KGE143" s="33"/>
      <c r="KGF143" s="33"/>
      <c r="KGG143" s="33"/>
      <c r="KGH143" s="33"/>
      <c r="KGI143" s="33"/>
      <c r="KGJ143" s="33"/>
      <c r="KGK143" s="33"/>
      <c r="KGL143" s="33"/>
      <c r="KGM143" s="33"/>
      <c r="KGN143" s="33"/>
      <c r="KGO143" s="33"/>
      <c r="KGP143" s="33"/>
      <c r="KGQ143" s="33"/>
      <c r="KGR143" s="33"/>
      <c r="KGS143" s="33"/>
      <c r="KGT143" s="33"/>
      <c r="KGU143" s="33"/>
      <c r="KGV143" s="33"/>
      <c r="KGW143" s="33"/>
      <c r="KGX143" s="33"/>
      <c r="KGY143" s="33"/>
      <c r="KGZ143" s="33"/>
      <c r="KHA143" s="33"/>
      <c r="KHB143" s="33"/>
      <c r="KHC143" s="33"/>
      <c r="KHD143" s="33"/>
      <c r="KHE143" s="33"/>
      <c r="KHF143" s="33"/>
      <c r="KHG143" s="33"/>
      <c r="KHH143" s="33"/>
      <c r="KHI143" s="33"/>
      <c r="KHJ143" s="33"/>
      <c r="KHK143" s="33"/>
      <c r="KHL143" s="33"/>
      <c r="KHM143" s="33"/>
      <c r="KHN143" s="33"/>
      <c r="KHO143" s="33"/>
      <c r="KHP143" s="33"/>
      <c r="KHQ143" s="33"/>
      <c r="KHR143" s="33"/>
      <c r="KHS143" s="33"/>
      <c r="KHT143" s="33"/>
      <c r="KHU143" s="33"/>
      <c r="KHV143" s="33"/>
      <c r="KHW143" s="33"/>
      <c r="KHX143" s="33"/>
      <c r="KHY143" s="33"/>
      <c r="KHZ143" s="33"/>
      <c r="KIA143" s="33"/>
      <c r="KIB143" s="33"/>
      <c r="KIC143" s="33"/>
      <c r="KID143" s="33"/>
      <c r="KIE143" s="33"/>
      <c r="KIF143" s="33"/>
      <c r="KIG143" s="33"/>
      <c r="KIH143" s="33"/>
      <c r="KII143" s="33"/>
      <c r="KIJ143" s="33"/>
      <c r="KIK143" s="33"/>
      <c r="KIL143" s="33"/>
      <c r="KIM143" s="33"/>
      <c r="KIN143" s="33"/>
      <c r="KIO143" s="33"/>
      <c r="KIP143" s="33"/>
      <c r="KIQ143" s="33"/>
      <c r="KIR143" s="33"/>
      <c r="KIS143" s="33"/>
      <c r="KIT143" s="33"/>
      <c r="KIU143" s="33"/>
      <c r="KIV143" s="33"/>
      <c r="KIW143" s="33"/>
      <c r="KIX143" s="33"/>
      <c r="KIY143" s="33"/>
      <c r="KIZ143" s="33"/>
      <c r="KJA143" s="33"/>
      <c r="KJB143" s="33"/>
      <c r="KJC143" s="33"/>
      <c r="KJD143" s="33"/>
      <c r="KJE143" s="33"/>
      <c r="KJF143" s="33"/>
      <c r="KJG143" s="33"/>
      <c r="KJH143" s="33"/>
      <c r="KJI143" s="33"/>
      <c r="KJJ143" s="33"/>
      <c r="KJK143" s="33"/>
      <c r="KJL143" s="33"/>
      <c r="KJM143" s="33"/>
      <c r="KJN143" s="33"/>
      <c r="KJO143" s="33"/>
      <c r="KJP143" s="33"/>
      <c r="KJQ143" s="33"/>
      <c r="KJR143" s="33"/>
      <c r="KJS143" s="33"/>
      <c r="KJT143" s="33"/>
      <c r="KJU143" s="33"/>
      <c r="KJV143" s="33"/>
      <c r="KJW143" s="33"/>
      <c r="KJX143" s="33"/>
      <c r="KJY143" s="33"/>
      <c r="KJZ143" s="33"/>
      <c r="KKA143" s="33"/>
      <c r="KKB143" s="33"/>
      <c r="KKC143" s="33"/>
      <c r="KKD143" s="33"/>
      <c r="KKE143" s="33"/>
      <c r="KKF143" s="33"/>
      <c r="KKG143" s="33"/>
      <c r="KKH143" s="33"/>
      <c r="KKI143" s="33"/>
      <c r="KKJ143" s="33"/>
      <c r="KKK143" s="33"/>
      <c r="KKL143" s="33"/>
      <c r="KKM143" s="33"/>
      <c r="KKN143" s="33"/>
      <c r="KKO143" s="33"/>
      <c r="KKP143" s="33"/>
      <c r="KKQ143" s="33"/>
      <c r="KKR143" s="33"/>
      <c r="KKS143" s="33"/>
      <c r="KKT143" s="33"/>
      <c r="KKU143" s="33"/>
      <c r="KKV143" s="33"/>
      <c r="KKW143" s="33"/>
      <c r="KKX143" s="33"/>
      <c r="KKY143" s="33"/>
      <c r="KKZ143" s="33"/>
      <c r="KLA143" s="33"/>
      <c r="KLB143" s="33"/>
      <c r="KLC143" s="33"/>
      <c r="KLD143" s="33"/>
      <c r="KLE143" s="33"/>
      <c r="KLF143" s="33"/>
      <c r="KLG143" s="33"/>
      <c r="KLH143" s="33"/>
      <c r="KLI143" s="33"/>
      <c r="KLJ143" s="33"/>
      <c r="KLK143" s="33"/>
      <c r="KLL143" s="33"/>
      <c r="KLM143" s="33"/>
      <c r="KLN143" s="33"/>
      <c r="KLO143" s="33"/>
      <c r="KLP143" s="33"/>
      <c r="KLQ143" s="33"/>
      <c r="KLR143" s="33"/>
      <c r="KLS143" s="33"/>
      <c r="KLT143" s="33"/>
      <c r="KLU143" s="33"/>
      <c r="KLV143" s="33"/>
      <c r="KLW143" s="33"/>
      <c r="KLX143" s="33"/>
      <c r="KLY143" s="33"/>
      <c r="KLZ143" s="33"/>
      <c r="KMA143" s="33"/>
      <c r="KMB143" s="33"/>
      <c r="KMC143" s="33"/>
      <c r="KMD143" s="33"/>
      <c r="KME143" s="33"/>
      <c r="KMF143" s="33"/>
      <c r="KMG143" s="33"/>
      <c r="KMH143" s="33"/>
      <c r="KMI143" s="33"/>
      <c r="KMJ143" s="33"/>
      <c r="KMK143" s="33"/>
      <c r="KML143" s="33"/>
      <c r="KMM143" s="33"/>
      <c r="KMN143" s="33"/>
      <c r="KMO143" s="33"/>
      <c r="KMP143" s="33"/>
      <c r="KMQ143" s="33"/>
      <c r="KMR143" s="33"/>
      <c r="KMS143" s="33"/>
      <c r="KMT143" s="33"/>
      <c r="KMU143" s="33"/>
      <c r="KMV143" s="33"/>
      <c r="KMW143" s="33"/>
      <c r="KMX143" s="33"/>
      <c r="KMY143" s="33"/>
      <c r="KMZ143" s="33"/>
      <c r="KNA143" s="33"/>
      <c r="KNB143" s="33"/>
      <c r="KNC143" s="33"/>
      <c r="KND143" s="33"/>
      <c r="KNE143" s="33"/>
      <c r="KNF143" s="33"/>
      <c r="KNG143" s="33"/>
      <c r="KNH143" s="33"/>
      <c r="KNI143" s="33"/>
      <c r="KNJ143" s="33"/>
      <c r="KNK143" s="33"/>
      <c r="KNL143" s="33"/>
      <c r="KNM143" s="33"/>
      <c r="KNN143" s="33"/>
      <c r="KNO143" s="33"/>
      <c r="KNP143" s="33"/>
      <c r="KNQ143" s="33"/>
      <c r="KNR143" s="33"/>
      <c r="KNS143" s="33"/>
      <c r="KNT143" s="33"/>
      <c r="KNU143" s="33"/>
      <c r="KNV143" s="33"/>
      <c r="KNW143" s="33"/>
      <c r="KNX143" s="33"/>
      <c r="KNY143" s="33"/>
      <c r="KNZ143" s="33"/>
      <c r="KOA143" s="33"/>
      <c r="KOB143" s="33"/>
      <c r="KOC143" s="33"/>
      <c r="KOD143" s="33"/>
      <c r="KOE143" s="33"/>
      <c r="KOF143" s="33"/>
      <c r="KOG143" s="33"/>
      <c r="KOH143" s="33"/>
      <c r="KOI143" s="33"/>
      <c r="KOJ143" s="33"/>
      <c r="KOK143" s="33"/>
      <c r="KOL143" s="33"/>
      <c r="KOM143" s="33"/>
      <c r="KON143" s="33"/>
      <c r="KOO143" s="33"/>
      <c r="KOP143" s="33"/>
      <c r="KOQ143" s="33"/>
      <c r="KOR143" s="33"/>
      <c r="KOS143" s="33"/>
      <c r="KOT143" s="33"/>
      <c r="KOU143" s="33"/>
      <c r="KOV143" s="33"/>
      <c r="KOW143" s="33"/>
      <c r="KOX143" s="33"/>
      <c r="KOY143" s="33"/>
      <c r="KOZ143" s="33"/>
      <c r="KPA143" s="33"/>
      <c r="KPB143" s="33"/>
      <c r="KPC143" s="33"/>
      <c r="KPD143" s="33"/>
      <c r="KPE143" s="33"/>
      <c r="KPF143" s="33"/>
      <c r="KPG143" s="33"/>
      <c r="KPH143" s="33"/>
      <c r="KPI143" s="33"/>
      <c r="KPJ143" s="33"/>
      <c r="KPK143" s="33"/>
      <c r="KPL143" s="33"/>
      <c r="KPM143" s="33"/>
      <c r="KPN143" s="33"/>
      <c r="KPO143" s="33"/>
      <c r="KPP143" s="33"/>
      <c r="KPQ143" s="33"/>
      <c r="KPR143" s="33"/>
      <c r="KPS143" s="33"/>
      <c r="KPT143" s="33"/>
      <c r="KPU143" s="33"/>
      <c r="KPV143" s="33"/>
      <c r="KPW143" s="33"/>
      <c r="KPX143" s="33"/>
      <c r="KPY143" s="33"/>
      <c r="KPZ143" s="33"/>
      <c r="KQA143" s="33"/>
      <c r="KQB143" s="33"/>
      <c r="KQC143" s="33"/>
      <c r="KQD143" s="33"/>
      <c r="KQE143" s="33"/>
      <c r="KQF143" s="33"/>
      <c r="KQG143" s="33"/>
      <c r="KQH143" s="33"/>
      <c r="KQI143" s="33"/>
      <c r="KQJ143" s="33"/>
      <c r="KQK143" s="33"/>
      <c r="KQL143" s="33"/>
      <c r="KQM143" s="33"/>
      <c r="KQN143" s="33"/>
      <c r="KQO143" s="33"/>
      <c r="KQP143" s="33"/>
      <c r="KQQ143" s="33"/>
      <c r="KQR143" s="33"/>
      <c r="KQS143" s="33"/>
      <c r="KQT143" s="33"/>
      <c r="KQU143" s="33"/>
      <c r="KQV143" s="33"/>
      <c r="KQW143" s="33"/>
      <c r="KQX143" s="33"/>
      <c r="KQY143" s="33"/>
      <c r="KQZ143" s="33"/>
      <c r="KRA143" s="33"/>
      <c r="KRB143" s="33"/>
      <c r="KRC143" s="33"/>
      <c r="KRD143" s="33"/>
      <c r="KRE143" s="33"/>
      <c r="KRF143" s="33"/>
      <c r="KRG143" s="33"/>
      <c r="KRH143" s="33"/>
      <c r="KRI143" s="33"/>
      <c r="KRJ143" s="33"/>
      <c r="KRK143" s="33"/>
      <c r="KRL143" s="33"/>
      <c r="KRM143" s="33"/>
      <c r="KRN143" s="33"/>
      <c r="KRO143" s="33"/>
      <c r="KRP143" s="33"/>
      <c r="KRQ143" s="33"/>
      <c r="KRR143" s="33"/>
      <c r="KRS143" s="33"/>
      <c r="KRT143" s="33"/>
      <c r="KRU143" s="33"/>
      <c r="KRV143" s="33"/>
      <c r="KRW143" s="33"/>
      <c r="KRX143" s="33"/>
      <c r="KRY143" s="33"/>
      <c r="KRZ143" s="33"/>
      <c r="KSA143" s="33"/>
      <c r="KSB143" s="33"/>
      <c r="KSC143" s="33"/>
      <c r="KSD143" s="33"/>
      <c r="KSE143" s="33"/>
      <c r="KSF143" s="33"/>
      <c r="KSG143" s="33"/>
      <c r="KSH143" s="33"/>
      <c r="KSI143" s="33"/>
      <c r="KSJ143" s="33"/>
      <c r="KSK143" s="33"/>
      <c r="KSL143" s="33"/>
      <c r="KSM143" s="33"/>
      <c r="KSN143" s="33"/>
      <c r="KSO143" s="33"/>
      <c r="KSP143" s="33"/>
      <c r="KSQ143" s="33"/>
      <c r="KSR143" s="33"/>
      <c r="KSS143" s="33"/>
      <c r="KST143" s="33"/>
      <c r="KSU143" s="33"/>
      <c r="KSV143" s="33"/>
      <c r="KSW143" s="33"/>
      <c r="KSX143" s="33"/>
      <c r="KSY143" s="33"/>
      <c r="KSZ143" s="33"/>
      <c r="KTA143" s="33"/>
      <c r="KTB143" s="33"/>
      <c r="KTC143" s="33"/>
      <c r="KTD143" s="33"/>
      <c r="KTE143" s="33"/>
      <c r="KTF143" s="33"/>
      <c r="KTG143" s="33"/>
      <c r="KTH143" s="33"/>
      <c r="KTI143" s="33"/>
      <c r="KTJ143" s="33"/>
      <c r="KTK143" s="33"/>
      <c r="KTL143" s="33"/>
      <c r="KTM143" s="33"/>
      <c r="KTN143" s="33"/>
      <c r="KTO143" s="33"/>
      <c r="KTP143" s="33"/>
      <c r="KTQ143" s="33"/>
      <c r="KTR143" s="33"/>
      <c r="KTS143" s="33"/>
      <c r="KTT143" s="33"/>
      <c r="KTU143" s="33"/>
      <c r="KTV143" s="33"/>
      <c r="KTW143" s="33"/>
      <c r="KTX143" s="33"/>
      <c r="KTY143" s="33"/>
      <c r="KTZ143" s="33"/>
      <c r="KUA143" s="33"/>
      <c r="KUB143" s="33"/>
      <c r="KUC143" s="33"/>
      <c r="KUD143" s="33"/>
      <c r="KUE143" s="33"/>
      <c r="KUF143" s="33"/>
      <c r="KUG143" s="33"/>
      <c r="KUH143" s="33"/>
      <c r="KUI143" s="33"/>
      <c r="KUJ143" s="33"/>
      <c r="KUK143" s="33"/>
      <c r="KUL143" s="33"/>
      <c r="KUM143" s="33"/>
      <c r="KUN143" s="33"/>
      <c r="KUO143" s="33"/>
      <c r="KUP143" s="33"/>
      <c r="KUQ143" s="33"/>
      <c r="KUR143" s="33"/>
      <c r="KUS143" s="33"/>
      <c r="KUT143" s="33"/>
      <c r="KUU143" s="33"/>
      <c r="KUV143" s="33"/>
      <c r="KUW143" s="33"/>
      <c r="KUX143" s="33"/>
      <c r="KUY143" s="33"/>
      <c r="KUZ143" s="33"/>
      <c r="KVA143" s="33"/>
      <c r="KVB143" s="33"/>
      <c r="KVC143" s="33"/>
      <c r="KVD143" s="33"/>
      <c r="KVE143" s="33"/>
      <c r="KVF143" s="33"/>
      <c r="KVG143" s="33"/>
      <c r="KVH143" s="33"/>
      <c r="KVI143" s="33"/>
      <c r="KVJ143" s="33"/>
      <c r="KVK143" s="33"/>
      <c r="KVL143" s="33"/>
      <c r="KVM143" s="33"/>
      <c r="KVN143" s="33"/>
      <c r="KVO143" s="33"/>
      <c r="KVP143" s="33"/>
      <c r="KVQ143" s="33"/>
      <c r="KVR143" s="33"/>
      <c r="KVS143" s="33"/>
      <c r="KVT143" s="33"/>
      <c r="KVU143" s="33"/>
      <c r="KVV143" s="33"/>
      <c r="KVW143" s="33"/>
      <c r="KVX143" s="33"/>
      <c r="KVY143" s="33"/>
      <c r="KVZ143" s="33"/>
      <c r="KWA143" s="33"/>
      <c r="KWB143" s="33"/>
      <c r="KWC143" s="33"/>
      <c r="KWD143" s="33"/>
      <c r="KWE143" s="33"/>
      <c r="KWF143" s="33"/>
      <c r="KWG143" s="33"/>
      <c r="KWH143" s="33"/>
      <c r="KWI143" s="33"/>
      <c r="KWJ143" s="33"/>
      <c r="KWK143" s="33"/>
      <c r="KWL143" s="33"/>
      <c r="KWM143" s="33"/>
      <c r="KWN143" s="33"/>
      <c r="KWO143" s="33"/>
      <c r="KWP143" s="33"/>
      <c r="KWQ143" s="33"/>
      <c r="KWR143" s="33"/>
      <c r="KWS143" s="33"/>
      <c r="KWT143" s="33"/>
      <c r="KWU143" s="33"/>
      <c r="KWV143" s="33"/>
      <c r="KWW143" s="33"/>
      <c r="KWX143" s="33"/>
      <c r="KWY143" s="33"/>
      <c r="KWZ143" s="33"/>
      <c r="KXA143" s="33"/>
      <c r="KXB143" s="33"/>
      <c r="KXC143" s="33"/>
      <c r="KXD143" s="33"/>
      <c r="KXE143" s="33"/>
      <c r="KXF143" s="33"/>
      <c r="KXG143" s="33"/>
      <c r="KXH143" s="33"/>
      <c r="KXI143" s="33"/>
      <c r="KXJ143" s="33"/>
      <c r="KXK143" s="33"/>
      <c r="KXL143" s="33"/>
      <c r="KXM143" s="33"/>
      <c r="KXN143" s="33"/>
      <c r="KXO143" s="33"/>
      <c r="KXP143" s="33"/>
      <c r="KXQ143" s="33"/>
      <c r="KXR143" s="33"/>
      <c r="KXS143" s="33"/>
      <c r="KXT143" s="33"/>
      <c r="KXU143" s="33"/>
      <c r="KXV143" s="33"/>
      <c r="KXW143" s="33"/>
      <c r="KXX143" s="33"/>
      <c r="KXY143" s="33"/>
      <c r="KXZ143" s="33"/>
      <c r="KYA143" s="33"/>
      <c r="KYB143" s="33"/>
      <c r="KYC143" s="33"/>
      <c r="KYD143" s="33"/>
      <c r="KYE143" s="33"/>
      <c r="KYF143" s="33"/>
      <c r="KYG143" s="33"/>
      <c r="KYH143" s="33"/>
      <c r="KYI143" s="33"/>
      <c r="KYJ143" s="33"/>
      <c r="KYK143" s="33"/>
      <c r="KYL143" s="33"/>
      <c r="KYM143" s="33"/>
      <c r="KYN143" s="33"/>
      <c r="KYO143" s="33"/>
      <c r="KYP143" s="33"/>
      <c r="KYQ143" s="33"/>
      <c r="KYR143" s="33"/>
      <c r="KYS143" s="33"/>
      <c r="KYT143" s="33"/>
      <c r="KYU143" s="33"/>
      <c r="KYV143" s="33"/>
      <c r="KYW143" s="33"/>
      <c r="KYX143" s="33"/>
      <c r="KYY143" s="33"/>
      <c r="KYZ143" s="33"/>
      <c r="KZA143" s="33"/>
      <c r="KZB143" s="33"/>
      <c r="KZC143" s="33"/>
      <c r="KZD143" s="33"/>
      <c r="KZE143" s="33"/>
      <c r="KZF143" s="33"/>
      <c r="KZG143" s="33"/>
      <c r="KZH143" s="33"/>
      <c r="KZI143" s="33"/>
      <c r="KZJ143" s="33"/>
      <c r="KZK143" s="33"/>
      <c r="KZL143" s="33"/>
      <c r="KZM143" s="33"/>
      <c r="KZN143" s="33"/>
      <c r="KZO143" s="33"/>
      <c r="KZP143" s="33"/>
      <c r="KZQ143" s="33"/>
      <c r="KZR143" s="33"/>
      <c r="KZS143" s="33"/>
      <c r="KZT143" s="33"/>
      <c r="KZU143" s="33"/>
      <c r="KZV143" s="33"/>
      <c r="KZW143" s="33"/>
      <c r="KZX143" s="33"/>
      <c r="KZY143" s="33"/>
      <c r="KZZ143" s="33"/>
      <c r="LAA143" s="33"/>
      <c r="LAB143" s="33"/>
      <c r="LAC143" s="33"/>
      <c r="LAD143" s="33"/>
      <c r="LAE143" s="33"/>
      <c r="LAF143" s="33"/>
      <c r="LAG143" s="33"/>
      <c r="LAH143" s="33"/>
      <c r="LAI143" s="33"/>
      <c r="LAJ143" s="33"/>
      <c r="LAK143" s="33"/>
      <c r="LAL143" s="33"/>
      <c r="LAM143" s="33"/>
      <c r="LAN143" s="33"/>
      <c r="LAO143" s="33"/>
      <c r="LAP143" s="33"/>
      <c r="LAQ143" s="33"/>
      <c r="LAR143" s="33"/>
      <c r="LAS143" s="33"/>
      <c r="LAT143" s="33"/>
      <c r="LAU143" s="33"/>
      <c r="LAV143" s="33"/>
      <c r="LAW143" s="33"/>
      <c r="LAX143" s="33"/>
      <c r="LAY143" s="33"/>
      <c r="LAZ143" s="33"/>
      <c r="LBA143" s="33"/>
      <c r="LBB143" s="33"/>
      <c r="LBC143" s="33"/>
      <c r="LBD143" s="33"/>
      <c r="LBE143" s="33"/>
      <c r="LBF143" s="33"/>
      <c r="LBG143" s="33"/>
      <c r="LBH143" s="33"/>
      <c r="LBI143" s="33"/>
      <c r="LBJ143" s="33"/>
      <c r="LBK143" s="33"/>
      <c r="LBL143" s="33"/>
      <c r="LBM143" s="33"/>
      <c r="LBN143" s="33"/>
      <c r="LBO143" s="33"/>
      <c r="LBP143" s="33"/>
      <c r="LBQ143" s="33"/>
      <c r="LBR143" s="33"/>
      <c r="LBS143" s="33"/>
      <c r="LBT143" s="33"/>
      <c r="LBU143" s="33"/>
      <c r="LBV143" s="33"/>
      <c r="LBW143" s="33"/>
      <c r="LBX143" s="33"/>
      <c r="LBY143" s="33"/>
      <c r="LBZ143" s="33"/>
      <c r="LCA143" s="33"/>
      <c r="LCB143" s="33"/>
      <c r="LCC143" s="33"/>
      <c r="LCD143" s="33"/>
      <c r="LCE143" s="33"/>
      <c r="LCF143" s="33"/>
      <c r="LCG143" s="33"/>
      <c r="LCH143" s="33"/>
      <c r="LCI143" s="33"/>
      <c r="LCJ143" s="33"/>
      <c r="LCK143" s="33"/>
      <c r="LCL143" s="33"/>
      <c r="LCM143" s="33"/>
      <c r="LCN143" s="33"/>
      <c r="LCO143" s="33"/>
      <c r="LCP143" s="33"/>
      <c r="LCQ143" s="33"/>
      <c r="LCR143" s="33"/>
      <c r="LCS143" s="33"/>
      <c r="LCT143" s="33"/>
      <c r="LCU143" s="33"/>
      <c r="LCV143" s="33"/>
      <c r="LCW143" s="33"/>
      <c r="LCX143" s="33"/>
      <c r="LCY143" s="33"/>
      <c r="LCZ143" s="33"/>
      <c r="LDA143" s="33"/>
      <c r="LDB143" s="33"/>
      <c r="LDC143" s="33"/>
      <c r="LDD143" s="33"/>
      <c r="LDE143" s="33"/>
      <c r="LDF143" s="33"/>
      <c r="LDG143" s="33"/>
      <c r="LDH143" s="33"/>
      <c r="LDI143" s="33"/>
      <c r="LDJ143" s="33"/>
      <c r="LDK143" s="33"/>
      <c r="LDL143" s="33"/>
      <c r="LDM143" s="33"/>
      <c r="LDN143" s="33"/>
      <c r="LDO143" s="33"/>
      <c r="LDP143" s="33"/>
      <c r="LDQ143" s="33"/>
      <c r="LDR143" s="33"/>
      <c r="LDS143" s="33"/>
      <c r="LDT143" s="33"/>
      <c r="LDU143" s="33"/>
      <c r="LDV143" s="33"/>
      <c r="LDW143" s="33"/>
      <c r="LDX143" s="33"/>
      <c r="LDY143" s="33"/>
      <c r="LDZ143" s="33"/>
      <c r="LEA143" s="33"/>
      <c r="LEB143" s="33"/>
      <c r="LEC143" s="33"/>
      <c r="LED143" s="33"/>
      <c r="LEE143" s="33"/>
      <c r="LEF143" s="33"/>
      <c r="LEG143" s="33"/>
      <c r="LEH143" s="33"/>
      <c r="LEI143" s="33"/>
      <c r="LEJ143" s="33"/>
      <c r="LEK143" s="33"/>
      <c r="LEL143" s="33"/>
      <c r="LEM143" s="33"/>
      <c r="LEN143" s="33"/>
      <c r="LEO143" s="33"/>
      <c r="LEP143" s="33"/>
      <c r="LEQ143" s="33"/>
      <c r="LER143" s="33"/>
      <c r="LES143" s="33"/>
      <c r="LET143" s="33"/>
      <c r="LEU143" s="33"/>
      <c r="LEV143" s="33"/>
      <c r="LEW143" s="33"/>
      <c r="LEX143" s="33"/>
      <c r="LEY143" s="33"/>
      <c r="LEZ143" s="33"/>
      <c r="LFA143" s="33"/>
      <c r="LFB143" s="33"/>
      <c r="LFC143" s="33"/>
      <c r="LFD143" s="33"/>
      <c r="LFE143" s="33"/>
      <c r="LFF143" s="33"/>
      <c r="LFG143" s="33"/>
      <c r="LFH143" s="33"/>
      <c r="LFI143" s="33"/>
      <c r="LFJ143" s="33"/>
      <c r="LFK143" s="33"/>
      <c r="LFL143" s="33"/>
      <c r="LFM143" s="33"/>
      <c r="LFN143" s="33"/>
      <c r="LFO143" s="33"/>
      <c r="LFP143" s="33"/>
      <c r="LFQ143" s="33"/>
      <c r="LFR143" s="33"/>
      <c r="LFS143" s="33"/>
      <c r="LFT143" s="33"/>
      <c r="LFU143" s="33"/>
      <c r="LFV143" s="33"/>
      <c r="LFW143" s="33"/>
      <c r="LFX143" s="33"/>
      <c r="LFY143" s="33"/>
      <c r="LFZ143" s="33"/>
      <c r="LGA143" s="33"/>
      <c r="LGB143" s="33"/>
      <c r="LGC143" s="33"/>
      <c r="LGD143" s="33"/>
      <c r="LGE143" s="33"/>
      <c r="LGF143" s="33"/>
      <c r="LGG143" s="33"/>
      <c r="LGH143" s="33"/>
      <c r="LGI143" s="33"/>
      <c r="LGJ143" s="33"/>
      <c r="LGK143" s="33"/>
      <c r="LGL143" s="33"/>
      <c r="LGM143" s="33"/>
      <c r="LGN143" s="33"/>
      <c r="LGO143" s="33"/>
      <c r="LGP143" s="33"/>
      <c r="LGQ143" s="33"/>
      <c r="LGR143" s="33"/>
      <c r="LGS143" s="33"/>
      <c r="LGT143" s="33"/>
      <c r="LGU143" s="33"/>
      <c r="LGV143" s="33"/>
      <c r="LGW143" s="33"/>
      <c r="LGX143" s="33"/>
      <c r="LGY143" s="33"/>
      <c r="LGZ143" s="33"/>
      <c r="LHA143" s="33"/>
      <c r="LHB143" s="33"/>
      <c r="LHC143" s="33"/>
      <c r="LHD143" s="33"/>
      <c r="LHE143" s="33"/>
      <c r="LHF143" s="33"/>
      <c r="LHG143" s="33"/>
      <c r="LHH143" s="33"/>
      <c r="LHI143" s="33"/>
      <c r="LHJ143" s="33"/>
      <c r="LHK143" s="33"/>
      <c r="LHL143" s="33"/>
      <c r="LHM143" s="33"/>
      <c r="LHN143" s="33"/>
      <c r="LHO143" s="33"/>
      <c r="LHP143" s="33"/>
      <c r="LHQ143" s="33"/>
      <c r="LHR143" s="33"/>
      <c r="LHS143" s="33"/>
      <c r="LHT143" s="33"/>
      <c r="LHU143" s="33"/>
      <c r="LHV143" s="33"/>
      <c r="LHW143" s="33"/>
      <c r="LHX143" s="33"/>
      <c r="LHY143" s="33"/>
      <c r="LHZ143" s="33"/>
      <c r="LIA143" s="33"/>
      <c r="LIB143" s="33"/>
      <c r="LIC143" s="33"/>
      <c r="LID143" s="33"/>
      <c r="LIE143" s="33"/>
      <c r="LIF143" s="33"/>
      <c r="LIG143" s="33"/>
      <c r="LIH143" s="33"/>
      <c r="LII143" s="33"/>
      <c r="LIJ143" s="33"/>
      <c r="LIK143" s="33"/>
      <c r="LIL143" s="33"/>
      <c r="LIM143" s="33"/>
      <c r="LIN143" s="33"/>
      <c r="LIO143" s="33"/>
      <c r="LIP143" s="33"/>
      <c r="LIQ143" s="33"/>
      <c r="LIR143" s="33"/>
      <c r="LIS143" s="33"/>
      <c r="LIT143" s="33"/>
      <c r="LIU143" s="33"/>
      <c r="LIV143" s="33"/>
      <c r="LIW143" s="33"/>
      <c r="LIX143" s="33"/>
      <c r="LIY143" s="33"/>
      <c r="LIZ143" s="33"/>
      <c r="LJA143" s="33"/>
      <c r="LJB143" s="33"/>
      <c r="LJC143" s="33"/>
      <c r="LJD143" s="33"/>
      <c r="LJE143" s="33"/>
      <c r="LJF143" s="33"/>
      <c r="LJG143" s="33"/>
      <c r="LJH143" s="33"/>
      <c r="LJI143" s="33"/>
      <c r="LJJ143" s="33"/>
      <c r="LJK143" s="33"/>
      <c r="LJL143" s="33"/>
      <c r="LJM143" s="33"/>
      <c r="LJN143" s="33"/>
      <c r="LJO143" s="33"/>
      <c r="LJP143" s="33"/>
      <c r="LJQ143" s="33"/>
      <c r="LJR143" s="33"/>
      <c r="LJS143" s="33"/>
      <c r="LJT143" s="33"/>
      <c r="LJU143" s="33"/>
      <c r="LJV143" s="33"/>
      <c r="LJW143" s="33"/>
      <c r="LJX143" s="33"/>
      <c r="LJY143" s="33"/>
      <c r="LJZ143" s="33"/>
      <c r="LKA143" s="33"/>
      <c r="LKB143" s="33"/>
      <c r="LKC143" s="33"/>
      <c r="LKD143" s="33"/>
      <c r="LKE143" s="33"/>
      <c r="LKF143" s="33"/>
      <c r="LKG143" s="33"/>
      <c r="LKH143" s="33"/>
      <c r="LKI143" s="33"/>
      <c r="LKJ143" s="33"/>
      <c r="LKK143" s="33"/>
      <c r="LKL143" s="33"/>
      <c r="LKM143" s="33"/>
      <c r="LKN143" s="33"/>
      <c r="LKO143" s="33"/>
      <c r="LKP143" s="33"/>
      <c r="LKQ143" s="33"/>
      <c r="LKR143" s="33"/>
      <c r="LKS143" s="33"/>
      <c r="LKT143" s="33"/>
      <c r="LKU143" s="33"/>
      <c r="LKV143" s="33"/>
      <c r="LKW143" s="33"/>
      <c r="LKX143" s="33"/>
      <c r="LKY143" s="33"/>
      <c r="LKZ143" s="33"/>
      <c r="LLA143" s="33"/>
      <c r="LLB143" s="33"/>
      <c r="LLC143" s="33"/>
      <c r="LLD143" s="33"/>
      <c r="LLE143" s="33"/>
      <c r="LLF143" s="33"/>
      <c r="LLG143" s="33"/>
      <c r="LLH143" s="33"/>
      <c r="LLI143" s="33"/>
      <c r="LLJ143" s="33"/>
      <c r="LLK143" s="33"/>
      <c r="LLL143" s="33"/>
      <c r="LLM143" s="33"/>
      <c r="LLN143" s="33"/>
      <c r="LLO143" s="33"/>
      <c r="LLP143" s="33"/>
      <c r="LLQ143" s="33"/>
      <c r="LLR143" s="33"/>
      <c r="LLS143" s="33"/>
      <c r="LLT143" s="33"/>
      <c r="LLU143" s="33"/>
      <c r="LLV143" s="33"/>
      <c r="LLW143" s="33"/>
      <c r="LLX143" s="33"/>
      <c r="LLY143" s="33"/>
      <c r="LLZ143" s="33"/>
      <c r="LMA143" s="33"/>
      <c r="LMB143" s="33"/>
      <c r="LMC143" s="33"/>
      <c r="LMD143" s="33"/>
      <c r="LME143" s="33"/>
      <c r="LMF143" s="33"/>
      <c r="LMG143" s="33"/>
      <c r="LMH143" s="33"/>
      <c r="LMI143" s="33"/>
      <c r="LMJ143" s="33"/>
      <c r="LMK143" s="33"/>
      <c r="LML143" s="33"/>
      <c r="LMM143" s="33"/>
      <c r="LMN143" s="33"/>
      <c r="LMO143" s="33"/>
      <c r="LMP143" s="33"/>
      <c r="LMQ143" s="33"/>
      <c r="LMR143" s="33"/>
      <c r="LMS143" s="33"/>
      <c r="LMT143" s="33"/>
      <c r="LMU143" s="33"/>
      <c r="LMV143" s="33"/>
      <c r="LMW143" s="33"/>
      <c r="LMX143" s="33"/>
      <c r="LMY143" s="33"/>
      <c r="LMZ143" s="33"/>
      <c r="LNA143" s="33"/>
      <c r="LNB143" s="33"/>
      <c r="LNC143" s="33"/>
      <c r="LND143" s="33"/>
      <c r="LNE143" s="33"/>
      <c r="LNF143" s="33"/>
      <c r="LNG143" s="33"/>
      <c r="LNH143" s="33"/>
      <c r="LNI143" s="33"/>
      <c r="LNJ143" s="33"/>
      <c r="LNK143" s="33"/>
      <c r="LNL143" s="33"/>
      <c r="LNM143" s="33"/>
      <c r="LNN143" s="33"/>
      <c r="LNO143" s="33"/>
      <c r="LNP143" s="33"/>
      <c r="LNQ143" s="33"/>
      <c r="LNR143" s="33"/>
      <c r="LNS143" s="33"/>
      <c r="LNT143" s="33"/>
      <c r="LNU143" s="33"/>
      <c r="LNV143" s="33"/>
      <c r="LNW143" s="33"/>
      <c r="LNX143" s="33"/>
      <c r="LNY143" s="33"/>
      <c r="LNZ143" s="33"/>
      <c r="LOA143" s="33"/>
      <c r="LOB143" s="33"/>
      <c r="LOC143" s="33"/>
      <c r="LOD143" s="33"/>
      <c r="LOE143" s="33"/>
      <c r="LOF143" s="33"/>
      <c r="LOG143" s="33"/>
      <c r="LOH143" s="33"/>
      <c r="LOI143" s="33"/>
      <c r="LOJ143" s="33"/>
      <c r="LOK143" s="33"/>
      <c r="LOL143" s="33"/>
      <c r="LOM143" s="33"/>
      <c r="LON143" s="33"/>
      <c r="LOO143" s="33"/>
      <c r="LOP143" s="33"/>
      <c r="LOQ143" s="33"/>
      <c r="LOR143" s="33"/>
      <c r="LOS143" s="33"/>
      <c r="LOT143" s="33"/>
      <c r="LOU143" s="33"/>
      <c r="LOV143" s="33"/>
      <c r="LOW143" s="33"/>
      <c r="LOX143" s="33"/>
      <c r="LOY143" s="33"/>
      <c r="LOZ143" s="33"/>
      <c r="LPA143" s="33"/>
      <c r="LPB143" s="33"/>
      <c r="LPC143" s="33"/>
      <c r="LPD143" s="33"/>
      <c r="LPE143" s="33"/>
      <c r="LPF143" s="33"/>
      <c r="LPG143" s="33"/>
      <c r="LPH143" s="33"/>
      <c r="LPI143" s="33"/>
      <c r="LPJ143" s="33"/>
      <c r="LPK143" s="33"/>
      <c r="LPL143" s="33"/>
      <c r="LPM143" s="33"/>
      <c r="LPN143" s="33"/>
      <c r="LPO143" s="33"/>
      <c r="LPP143" s="33"/>
      <c r="LPQ143" s="33"/>
      <c r="LPR143" s="33"/>
      <c r="LPS143" s="33"/>
      <c r="LPT143" s="33"/>
      <c r="LPU143" s="33"/>
      <c r="LPV143" s="33"/>
      <c r="LPW143" s="33"/>
      <c r="LPX143" s="33"/>
      <c r="LPY143" s="33"/>
      <c r="LPZ143" s="33"/>
      <c r="LQA143" s="33"/>
      <c r="LQB143" s="33"/>
      <c r="LQC143" s="33"/>
      <c r="LQD143" s="33"/>
      <c r="LQE143" s="33"/>
      <c r="LQF143" s="33"/>
      <c r="LQG143" s="33"/>
      <c r="LQH143" s="33"/>
      <c r="LQI143" s="33"/>
      <c r="LQJ143" s="33"/>
      <c r="LQK143" s="33"/>
      <c r="LQL143" s="33"/>
      <c r="LQM143" s="33"/>
      <c r="LQN143" s="33"/>
      <c r="LQO143" s="33"/>
      <c r="LQP143" s="33"/>
      <c r="LQQ143" s="33"/>
      <c r="LQR143" s="33"/>
      <c r="LQS143" s="33"/>
      <c r="LQT143" s="33"/>
      <c r="LQU143" s="33"/>
      <c r="LQV143" s="33"/>
      <c r="LQW143" s="33"/>
      <c r="LQX143" s="33"/>
      <c r="LQY143" s="33"/>
      <c r="LQZ143" s="33"/>
      <c r="LRA143" s="33"/>
      <c r="LRB143" s="33"/>
      <c r="LRC143" s="33"/>
      <c r="LRD143" s="33"/>
      <c r="LRE143" s="33"/>
      <c r="LRF143" s="33"/>
      <c r="LRG143" s="33"/>
      <c r="LRH143" s="33"/>
      <c r="LRI143" s="33"/>
      <c r="LRJ143" s="33"/>
      <c r="LRK143" s="33"/>
      <c r="LRL143" s="33"/>
      <c r="LRM143" s="33"/>
      <c r="LRN143" s="33"/>
      <c r="LRO143" s="33"/>
      <c r="LRP143" s="33"/>
      <c r="LRQ143" s="33"/>
      <c r="LRR143" s="33"/>
      <c r="LRS143" s="33"/>
      <c r="LRT143" s="33"/>
      <c r="LRU143" s="33"/>
      <c r="LRV143" s="33"/>
      <c r="LRW143" s="33"/>
      <c r="LRX143" s="33"/>
      <c r="LRY143" s="33"/>
      <c r="LRZ143" s="33"/>
      <c r="LSA143" s="33"/>
      <c r="LSB143" s="33"/>
      <c r="LSC143" s="33"/>
      <c r="LSD143" s="33"/>
      <c r="LSE143" s="33"/>
      <c r="LSF143" s="33"/>
      <c r="LSG143" s="33"/>
      <c r="LSH143" s="33"/>
      <c r="LSI143" s="33"/>
      <c r="LSJ143" s="33"/>
      <c r="LSK143" s="33"/>
      <c r="LSL143" s="33"/>
      <c r="LSM143" s="33"/>
      <c r="LSN143" s="33"/>
      <c r="LSO143" s="33"/>
      <c r="LSP143" s="33"/>
      <c r="LSQ143" s="33"/>
      <c r="LSR143" s="33"/>
      <c r="LSS143" s="33"/>
      <c r="LST143" s="33"/>
      <c r="LSU143" s="33"/>
      <c r="LSV143" s="33"/>
      <c r="LSW143" s="33"/>
      <c r="LSX143" s="33"/>
      <c r="LSY143" s="33"/>
      <c r="LSZ143" s="33"/>
      <c r="LTA143" s="33"/>
      <c r="LTB143" s="33"/>
      <c r="LTC143" s="33"/>
      <c r="LTD143" s="33"/>
      <c r="LTE143" s="33"/>
      <c r="LTF143" s="33"/>
      <c r="LTG143" s="33"/>
      <c r="LTH143" s="33"/>
      <c r="LTI143" s="33"/>
      <c r="LTJ143" s="33"/>
      <c r="LTK143" s="33"/>
      <c r="LTL143" s="33"/>
      <c r="LTM143" s="33"/>
      <c r="LTN143" s="33"/>
      <c r="LTO143" s="33"/>
      <c r="LTP143" s="33"/>
      <c r="LTQ143" s="33"/>
      <c r="LTR143" s="33"/>
      <c r="LTS143" s="33"/>
      <c r="LTT143" s="33"/>
      <c r="LTU143" s="33"/>
      <c r="LTV143" s="33"/>
      <c r="LTW143" s="33"/>
      <c r="LTX143" s="33"/>
      <c r="LTY143" s="33"/>
      <c r="LTZ143" s="33"/>
      <c r="LUA143" s="33"/>
      <c r="LUB143" s="33"/>
      <c r="LUC143" s="33"/>
      <c r="LUD143" s="33"/>
      <c r="LUE143" s="33"/>
      <c r="LUF143" s="33"/>
      <c r="LUG143" s="33"/>
      <c r="LUH143" s="33"/>
      <c r="LUI143" s="33"/>
      <c r="LUJ143" s="33"/>
      <c r="LUK143" s="33"/>
      <c r="LUL143" s="33"/>
      <c r="LUM143" s="33"/>
      <c r="LUN143" s="33"/>
      <c r="LUO143" s="33"/>
      <c r="LUP143" s="33"/>
      <c r="LUQ143" s="33"/>
      <c r="LUR143" s="33"/>
      <c r="LUS143" s="33"/>
      <c r="LUT143" s="33"/>
      <c r="LUU143" s="33"/>
      <c r="LUV143" s="33"/>
      <c r="LUW143" s="33"/>
      <c r="LUX143" s="33"/>
      <c r="LUY143" s="33"/>
      <c r="LUZ143" s="33"/>
      <c r="LVA143" s="33"/>
      <c r="LVB143" s="33"/>
      <c r="LVC143" s="33"/>
      <c r="LVD143" s="33"/>
      <c r="LVE143" s="33"/>
      <c r="LVF143" s="33"/>
      <c r="LVG143" s="33"/>
      <c r="LVH143" s="33"/>
      <c r="LVI143" s="33"/>
      <c r="LVJ143" s="33"/>
      <c r="LVK143" s="33"/>
      <c r="LVL143" s="33"/>
      <c r="LVM143" s="33"/>
      <c r="LVN143" s="33"/>
      <c r="LVO143" s="33"/>
      <c r="LVP143" s="33"/>
      <c r="LVQ143" s="33"/>
      <c r="LVR143" s="33"/>
      <c r="LVS143" s="33"/>
      <c r="LVT143" s="33"/>
      <c r="LVU143" s="33"/>
      <c r="LVV143" s="33"/>
      <c r="LVW143" s="33"/>
      <c r="LVX143" s="33"/>
      <c r="LVY143" s="33"/>
      <c r="LVZ143" s="33"/>
      <c r="LWA143" s="33"/>
      <c r="LWB143" s="33"/>
      <c r="LWC143" s="33"/>
      <c r="LWD143" s="33"/>
      <c r="LWE143" s="33"/>
      <c r="LWF143" s="33"/>
      <c r="LWG143" s="33"/>
      <c r="LWH143" s="33"/>
      <c r="LWI143" s="33"/>
      <c r="LWJ143" s="33"/>
      <c r="LWK143" s="33"/>
      <c r="LWL143" s="33"/>
      <c r="LWM143" s="33"/>
      <c r="LWN143" s="33"/>
      <c r="LWO143" s="33"/>
      <c r="LWP143" s="33"/>
      <c r="LWQ143" s="33"/>
      <c r="LWR143" s="33"/>
      <c r="LWS143" s="33"/>
      <c r="LWT143" s="33"/>
      <c r="LWU143" s="33"/>
      <c r="LWV143" s="33"/>
      <c r="LWW143" s="33"/>
      <c r="LWX143" s="33"/>
      <c r="LWY143" s="33"/>
      <c r="LWZ143" s="33"/>
      <c r="LXA143" s="33"/>
      <c r="LXB143" s="33"/>
      <c r="LXC143" s="33"/>
      <c r="LXD143" s="33"/>
      <c r="LXE143" s="33"/>
      <c r="LXF143" s="33"/>
      <c r="LXG143" s="33"/>
      <c r="LXH143" s="33"/>
      <c r="LXI143" s="33"/>
      <c r="LXJ143" s="33"/>
      <c r="LXK143" s="33"/>
      <c r="LXL143" s="33"/>
      <c r="LXM143" s="33"/>
      <c r="LXN143" s="33"/>
      <c r="LXO143" s="33"/>
      <c r="LXP143" s="33"/>
      <c r="LXQ143" s="33"/>
      <c r="LXR143" s="33"/>
      <c r="LXS143" s="33"/>
      <c r="LXT143" s="33"/>
      <c r="LXU143" s="33"/>
      <c r="LXV143" s="33"/>
      <c r="LXW143" s="33"/>
      <c r="LXX143" s="33"/>
      <c r="LXY143" s="33"/>
      <c r="LXZ143" s="33"/>
      <c r="LYA143" s="33"/>
      <c r="LYB143" s="33"/>
      <c r="LYC143" s="33"/>
      <c r="LYD143" s="33"/>
      <c r="LYE143" s="33"/>
      <c r="LYF143" s="33"/>
      <c r="LYG143" s="33"/>
      <c r="LYH143" s="33"/>
      <c r="LYI143" s="33"/>
      <c r="LYJ143" s="33"/>
      <c r="LYK143" s="33"/>
      <c r="LYL143" s="33"/>
      <c r="LYM143" s="33"/>
      <c r="LYN143" s="33"/>
      <c r="LYO143" s="33"/>
      <c r="LYP143" s="33"/>
      <c r="LYQ143" s="33"/>
      <c r="LYR143" s="33"/>
      <c r="LYS143" s="33"/>
      <c r="LYT143" s="33"/>
      <c r="LYU143" s="33"/>
      <c r="LYV143" s="33"/>
      <c r="LYW143" s="33"/>
      <c r="LYX143" s="33"/>
      <c r="LYY143" s="33"/>
      <c r="LYZ143" s="33"/>
      <c r="LZA143" s="33"/>
      <c r="LZB143" s="33"/>
      <c r="LZC143" s="33"/>
      <c r="LZD143" s="33"/>
      <c r="LZE143" s="33"/>
      <c r="LZF143" s="33"/>
      <c r="LZG143" s="33"/>
      <c r="LZH143" s="33"/>
      <c r="LZI143" s="33"/>
      <c r="LZJ143" s="33"/>
      <c r="LZK143" s="33"/>
      <c r="LZL143" s="33"/>
      <c r="LZM143" s="33"/>
      <c r="LZN143" s="33"/>
      <c r="LZO143" s="33"/>
      <c r="LZP143" s="33"/>
      <c r="LZQ143" s="33"/>
      <c r="LZR143" s="33"/>
      <c r="LZS143" s="33"/>
      <c r="LZT143" s="33"/>
      <c r="LZU143" s="33"/>
      <c r="LZV143" s="33"/>
      <c r="LZW143" s="33"/>
      <c r="LZX143" s="33"/>
      <c r="LZY143" s="33"/>
      <c r="LZZ143" s="33"/>
      <c r="MAA143" s="33"/>
      <c r="MAB143" s="33"/>
      <c r="MAC143" s="33"/>
      <c r="MAD143" s="33"/>
      <c r="MAE143" s="33"/>
      <c r="MAF143" s="33"/>
      <c r="MAG143" s="33"/>
      <c r="MAH143" s="33"/>
      <c r="MAI143" s="33"/>
      <c r="MAJ143" s="33"/>
      <c r="MAK143" s="33"/>
      <c r="MAL143" s="33"/>
      <c r="MAM143" s="33"/>
      <c r="MAN143" s="33"/>
      <c r="MAO143" s="33"/>
      <c r="MAP143" s="33"/>
      <c r="MAQ143" s="33"/>
      <c r="MAR143" s="33"/>
      <c r="MAS143" s="33"/>
      <c r="MAT143" s="33"/>
      <c r="MAU143" s="33"/>
      <c r="MAV143" s="33"/>
      <c r="MAW143" s="33"/>
      <c r="MAX143" s="33"/>
      <c r="MAY143" s="33"/>
      <c r="MAZ143" s="33"/>
      <c r="MBA143" s="33"/>
      <c r="MBB143" s="33"/>
      <c r="MBC143" s="33"/>
      <c r="MBD143" s="33"/>
      <c r="MBE143" s="33"/>
      <c r="MBF143" s="33"/>
      <c r="MBG143" s="33"/>
      <c r="MBH143" s="33"/>
      <c r="MBI143" s="33"/>
      <c r="MBJ143" s="33"/>
      <c r="MBK143" s="33"/>
      <c r="MBL143" s="33"/>
      <c r="MBM143" s="33"/>
      <c r="MBN143" s="33"/>
      <c r="MBO143" s="33"/>
      <c r="MBP143" s="33"/>
      <c r="MBQ143" s="33"/>
      <c r="MBR143" s="33"/>
      <c r="MBS143" s="33"/>
      <c r="MBT143" s="33"/>
      <c r="MBU143" s="33"/>
      <c r="MBV143" s="33"/>
      <c r="MBW143" s="33"/>
      <c r="MBX143" s="33"/>
      <c r="MBY143" s="33"/>
      <c r="MBZ143" s="33"/>
      <c r="MCA143" s="33"/>
      <c r="MCB143" s="33"/>
      <c r="MCC143" s="33"/>
      <c r="MCD143" s="33"/>
      <c r="MCE143" s="33"/>
      <c r="MCF143" s="33"/>
      <c r="MCG143" s="33"/>
      <c r="MCH143" s="33"/>
      <c r="MCI143" s="33"/>
      <c r="MCJ143" s="33"/>
      <c r="MCK143" s="33"/>
      <c r="MCL143" s="33"/>
      <c r="MCM143" s="33"/>
      <c r="MCN143" s="33"/>
      <c r="MCO143" s="33"/>
      <c r="MCP143" s="33"/>
      <c r="MCQ143" s="33"/>
      <c r="MCR143" s="33"/>
      <c r="MCS143" s="33"/>
      <c r="MCT143" s="33"/>
      <c r="MCU143" s="33"/>
      <c r="MCV143" s="33"/>
      <c r="MCW143" s="33"/>
      <c r="MCX143" s="33"/>
      <c r="MCY143" s="33"/>
      <c r="MCZ143" s="33"/>
      <c r="MDA143" s="33"/>
      <c r="MDB143" s="33"/>
      <c r="MDC143" s="33"/>
      <c r="MDD143" s="33"/>
      <c r="MDE143" s="33"/>
      <c r="MDF143" s="33"/>
      <c r="MDG143" s="33"/>
      <c r="MDH143" s="33"/>
      <c r="MDI143" s="33"/>
      <c r="MDJ143" s="33"/>
      <c r="MDK143" s="33"/>
      <c r="MDL143" s="33"/>
      <c r="MDM143" s="33"/>
      <c r="MDN143" s="33"/>
      <c r="MDO143" s="33"/>
      <c r="MDP143" s="33"/>
      <c r="MDQ143" s="33"/>
      <c r="MDR143" s="33"/>
      <c r="MDS143" s="33"/>
      <c r="MDT143" s="33"/>
      <c r="MDU143" s="33"/>
      <c r="MDV143" s="33"/>
      <c r="MDW143" s="33"/>
      <c r="MDX143" s="33"/>
      <c r="MDY143" s="33"/>
      <c r="MDZ143" s="33"/>
      <c r="MEA143" s="33"/>
      <c r="MEB143" s="33"/>
      <c r="MEC143" s="33"/>
      <c r="MED143" s="33"/>
      <c r="MEE143" s="33"/>
      <c r="MEF143" s="33"/>
      <c r="MEG143" s="33"/>
      <c r="MEH143" s="33"/>
      <c r="MEI143" s="33"/>
      <c r="MEJ143" s="33"/>
      <c r="MEK143" s="33"/>
      <c r="MEL143" s="33"/>
      <c r="MEM143" s="33"/>
      <c r="MEN143" s="33"/>
      <c r="MEO143" s="33"/>
      <c r="MEP143" s="33"/>
      <c r="MEQ143" s="33"/>
      <c r="MER143" s="33"/>
      <c r="MES143" s="33"/>
      <c r="MET143" s="33"/>
      <c r="MEU143" s="33"/>
      <c r="MEV143" s="33"/>
      <c r="MEW143" s="33"/>
      <c r="MEX143" s="33"/>
      <c r="MEY143" s="33"/>
      <c r="MEZ143" s="33"/>
      <c r="MFA143" s="33"/>
      <c r="MFB143" s="33"/>
      <c r="MFC143" s="33"/>
      <c r="MFD143" s="33"/>
      <c r="MFE143" s="33"/>
      <c r="MFF143" s="33"/>
      <c r="MFG143" s="33"/>
      <c r="MFH143" s="33"/>
      <c r="MFI143" s="33"/>
      <c r="MFJ143" s="33"/>
      <c r="MFK143" s="33"/>
      <c r="MFL143" s="33"/>
      <c r="MFM143" s="33"/>
      <c r="MFN143" s="33"/>
      <c r="MFO143" s="33"/>
      <c r="MFP143" s="33"/>
      <c r="MFQ143" s="33"/>
      <c r="MFR143" s="33"/>
      <c r="MFS143" s="33"/>
      <c r="MFT143" s="33"/>
      <c r="MFU143" s="33"/>
      <c r="MFV143" s="33"/>
      <c r="MFW143" s="33"/>
      <c r="MFX143" s="33"/>
      <c r="MFY143" s="33"/>
      <c r="MFZ143" s="33"/>
      <c r="MGA143" s="33"/>
      <c r="MGB143" s="33"/>
      <c r="MGC143" s="33"/>
      <c r="MGD143" s="33"/>
      <c r="MGE143" s="33"/>
      <c r="MGF143" s="33"/>
      <c r="MGG143" s="33"/>
      <c r="MGH143" s="33"/>
      <c r="MGI143" s="33"/>
      <c r="MGJ143" s="33"/>
      <c r="MGK143" s="33"/>
      <c r="MGL143" s="33"/>
      <c r="MGM143" s="33"/>
      <c r="MGN143" s="33"/>
      <c r="MGO143" s="33"/>
      <c r="MGP143" s="33"/>
      <c r="MGQ143" s="33"/>
      <c r="MGR143" s="33"/>
      <c r="MGS143" s="33"/>
      <c r="MGT143" s="33"/>
      <c r="MGU143" s="33"/>
      <c r="MGV143" s="33"/>
      <c r="MGW143" s="33"/>
      <c r="MGX143" s="33"/>
      <c r="MGY143" s="33"/>
      <c r="MGZ143" s="33"/>
      <c r="MHA143" s="33"/>
      <c r="MHB143" s="33"/>
      <c r="MHC143" s="33"/>
      <c r="MHD143" s="33"/>
      <c r="MHE143" s="33"/>
      <c r="MHF143" s="33"/>
      <c r="MHG143" s="33"/>
      <c r="MHH143" s="33"/>
      <c r="MHI143" s="33"/>
      <c r="MHJ143" s="33"/>
      <c r="MHK143" s="33"/>
      <c r="MHL143" s="33"/>
      <c r="MHM143" s="33"/>
      <c r="MHN143" s="33"/>
      <c r="MHO143" s="33"/>
      <c r="MHP143" s="33"/>
      <c r="MHQ143" s="33"/>
      <c r="MHR143" s="33"/>
      <c r="MHS143" s="33"/>
      <c r="MHT143" s="33"/>
      <c r="MHU143" s="33"/>
      <c r="MHV143" s="33"/>
      <c r="MHW143" s="33"/>
      <c r="MHX143" s="33"/>
      <c r="MHY143" s="33"/>
      <c r="MHZ143" s="33"/>
      <c r="MIA143" s="33"/>
      <c r="MIB143" s="33"/>
      <c r="MIC143" s="33"/>
      <c r="MID143" s="33"/>
      <c r="MIE143" s="33"/>
      <c r="MIF143" s="33"/>
      <c r="MIG143" s="33"/>
      <c r="MIH143" s="33"/>
      <c r="MII143" s="33"/>
      <c r="MIJ143" s="33"/>
      <c r="MIK143" s="33"/>
      <c r="MIL143" s="33"/>
      <c r="MIM143" s="33"/>
      <c r="MIN143" s="33"/>
      <c r="MIO143" s="33"/>
      <c r="MIP143" s="33"/>
      <c r="MIQ143" s="33"/>
      <c r="MIR143" s="33"/>
      <c r="MIS143" s="33"/>
      <c r="MIT143" s="33"/>
      <c r="MIU143" s="33"/>
      <c r="MIV143" s="33"/>
      <c r="MIW143" s="33"/>
      <c r="MIX143" s="33"/>
      <c r="MIY143" s="33"/>
      <c r="MIZ143" s="33"/>
      <c r="MJA143" s="33"/>
      <c r="MJB143" s="33"/>
      <c r="MJC143" s="33"/>
      <c r="MJD143" s="33"/>
      <c r="MJE143" s="33"/>
      <c r="MJF143" s="33"/>
      <c r="MJG143" s="33"/>
      <c r="MJH143" s="33"/>
      <c r="MJI143" s="33"/>
      <c r="MJJ143" s="33"/>
      <c r="MJK143" s="33"/>
      <c r="MJL143" s="33"/>
      <c r="MJM143" s="33"/>
      <c r="MJN143" s="33"/>
      <c r="MJO143" s="33"/>
      <c r="MJP143" s="33"/>
      <c r="MJQ143" s="33"/>
      <c r="MJR143" s="33"/>
      <c r="MJS143" s="33"/>
      <c r="MJT143" s="33"/>
      <c r="MJU143" s="33"/>
      <c r="MJV143" s="33"/>
      <c r="MJW143" s="33"/>
      <c r="MJX143" s="33"/>
      <c r="MJY143" s="33"/>
      <c r="MJZ143" s="33"/>
      <c r="MKA143" s="33"/>
      <c r="MKB143" s="33"/>
      <c r="MKC143" s="33"/>
      <c r="MKD143" s="33"/>
      <c r="MKE143" s="33"/>
      <c r="MKF143" s="33"/>
      <c r="MKG143" s="33"/>
      <c r="MKH143" s="33"/>
      <c r="MKI143" s="33"/>
      <c r="MKJ143" s="33"/>
      <c r="MKK143" s="33"/>
      <c r="MKL143" s="33"/>
      <c r="MKM143" s="33"/>
      <c r="MKN143" s="33"/>
      <c r="MKO143" s="33"/>
      <c r="MKP143" s="33"/>
      <c r="MKQ143" s="33"/>
      <c r="MKR143" s="33"/>
      <c r="MKS143" s="33"/>
      <c r="MKT143" s="33"/>
      <c r="MKU143" s="33"/>
      <c r="MKV143" s="33"/>
      <c r="MKW143" s="33"/>
      <c r="MKX143" s="33"/>
      <c r="MKY143" s="33"/>
      <c r="MKZ143" s="33"/>
      <c r="MLA143" s="33"/>
      <c r="MLB143" s="33"/>
      <c r="MLC143" s="33"/>
      <c r="MLD143" s="33"/>
      <c r="MLE143" s="33"/>
      <c r="MLF143" s="33"/>
      <c r="MLG143" s="33"/>
      <c r="MLH143" s="33"/>
      <c r="MLI143" s="33"/>
      <c r="MLJ143" s="33"/>
      <c r="MLK143" s="33"/>
      <c r="MLL143" s="33"/>
      <c r="MLM143" s="33"/>
      <c r="MLN143" s="33"/>
      <c r="MLO143" s="33"/>
      <c r="MLP143" s="33"/>
      <c r="MLQ143" s="33"/>
      <c r="MLR143" s="33"/>
      <c r="MLS143" s="33"/>
      <c r="MLT143" s="33"/>
      <c r="MLU143" s="33"/>
      <c r="MLV143" s="33"/>
      <c r="MLW143" s="33"/>
      <c r="MLX143" s="33"/>
      <c r="MLY143" s="33"/>
      <c r="MLZ143" s="33"/>
      <c r="MMA143" s="33"/>
      <c r="MMB143" s="33"/>
      <c r="MMC143" s="33"/>
      <c r="MMD143" s="33"/>
      <c r="MME143" s="33"/>
      <c r="MMF143" s="33"/>
      <c r="MMG143" s="33"/>
      <c r="MMH143" s="33"/>
      <c r="MMI143" s="33"/>
      <c r="MMJ143" s="33"/>
      <c r="MMK143" s="33"/>
      <c r="MML143" s="33"/>
      <c r="MMM143" s="33"/>
      <c r="MMN143" s="33"/>
      <c r="MMO143" s="33"/>
      <c r="MMP143" s="33"/>
      <c r="MMQ143" s="33"/>
      <c r="MMR143" s="33"/>
      <c r="MMS143" s="33"/>
      <c r="MMT143" s="33"/>
      <c r="MMU143" s="33"/>
      <c r="MMV143" s="33"/>
      <c r="MMW143" s="33"/>
      <c r="MMX143" s="33"/>
      <c r="MMY143" s="33"/>
      <c r="MMZ143" s="33"/>
      <c r="MNA143" s="33"/>
      <c r="MNB143" s="33"/>
      <c r="MNC143" s="33"/>
      <c r="MND143" s="33"/>
      <c r="MNE143" s="33"/>
      <c r="MNF143" s="33"/>
      <c r="MNG143" s="33"/>
      <c r="MNH143" s="33"/>
      <c r="MNI143" s="33"/>
      <c r="MNJ143" s="33"/>
      <c r="MNK143" s="33"/>
      <c r="MNL143" s="33"/>
      <c r="MNM143" s="33"/>
      <c r="MNN143" s="33"/>
      <c r="MNO143" s="33"/>
      <c r="MNP143" s="33"/>
      <c r="MNQ143" s="33"/>
      <c r="MNR143" s="33"/>
      <c r="MNS143" s="33"/>
      <c r="MNT143" s="33"/>
      <c r="MNU143" s="33"/>
      <c r="MNV143" s="33"/>
      <c r="MNW143" s="33"/>
      <c r="MNX143" s="33"/>
      <c r="MNY143" s="33"/>
      <c r="MNZ143" s="33"/>
      <c r="MOA143" s="33"/>
      <c r="MOB143" s="33"/>
      <c r="MOC143" s="33"/>
      <c r="MOD143" s="33"/>
      <c r="MOE143" s="33"/>
      <c r="MOF143" s="33"/>
      <c r="MOG143" s="33"/>
      <c r="MOH143" s="33"/>
      <c r="MOI143" s="33"/>
      <c r="MOJ143" s="33"/>
      <c r="MOK143" s="33"/>
      <c r="MOL143" s="33"/>
      <c r="MOM143" s="33"/>
      <c r="MON143" s="33"/>
      <c r="MOO143" s="33"/>
      <c r="MOP143" s="33"/>
      <c r="MOQ143" s="33"/>
      <c r="MOR143" s="33"/>
      <c r="MOS143" s="33"/>
      <c r="MOT143" s="33"/>
      <c r="MOU143" s="33"/>
      <c r="MOV143" s="33"/>
      <c r="MOW143" s="33"/>
      <c r="MOX143" s="33"/>
      <c r="MOY143" s="33"/>
      <c r="MOZ143" s="33"/>
      <c r="MPA143" s="33"/>
      <c r="MPB143" s="33"/>
      <c r="MPC143" s="33"/>
      <c r="MPD143" s="33"/>
      <c r="MPE143" s="33"/>
      <c r="MPF143" s="33"/>
      <c r="MPG143" s="33"/>
      <c r="MPH143" s="33"/>
      <c r="MPI143" s="33"/>
      <c r="MPJ143" s="33"/>
      <c r="MPK143" s="33"/>
      <c r="MPL143" s="33"/>
      <c r="MPM143" s="33"/>
      <c r="MPN143" s="33"/>
      <c r="MPO143" s="33"/>
      <c r="MPP143" s="33"/>
      <c r="MPQ143" s="33"/>
      <c r="MPR143" s="33"/>
      <c r="MPS143" s="33"/>
      <c r="MPT143" s="33"/>
      <c r="MPU143" s="33"/>
      <c r="MPV143" s="33"/>
      <c r="MPW143" s="33"/>
      <c r="MPX143" s="33"/>
      <c r="MPY143" s="33"/>
      <c r="MPZ143" s="33"/>
      <c r="MQA143" s="33"/>
      <c r="MQB143" s="33"/>
      <c r="MQC143" s="33"/>
      <c r="MQD143" s="33"/>
      <c r="MQE143" s="33"/>
      <c r="MQF143" s="33"/>
      <c r="MQG143" s="33"/>
      <c r="MQH143" s="33"/>
      <c r="MQI143" s="33"/>
      <c r="MQJ143" s="33"/>
      <c r="MQK143" s="33"/>
      <c r="MQL143" s="33"/>
      <c r="MQM143" s="33"/>
      <c r="MQN143" s="33"/>
      <c r="MQO143" s="33"/>
      <c r="MQP143" s="33"/>
      <c r="MQQ143" s="33"/>
      <c r="MQR143" s="33"/>
      <c r="MQS143" s="33"/>
      <c r="MQT143" s="33"/>
      <c r="MQU143" s="33"/>
      <c r="MQV143" s="33"/>
      <c r="MQW143" s="33"/>
      <c r="MQX143" s="33"/>
      <c r="MQY143" s="33"/>
      <c r="MQZ143" s="33"/>
      <c r="MRA143" s="33"/>
      <c r="MRB143" s="33"/>
      <c r="MRC143" s="33"/>
      <c r="MRD143" s="33"/>
      <c r="MRE143" s="33"/>
      <c r="MRF143" s="33"/>
      <c r="MRG143" s="33"/>
      <c r="MRH143" s="33"/>
      <c r="MRI143" s="33"/>
      <c r="MRJ143" s="33"/>
      <c r="MRK143" s="33"/>
      <c r="MRL143" s="33"/>
      <c r="MRM143" s="33"/>
      <c r="MRN143" s="33"/>
      <c r="MRO143" s="33"/>
      <c r="MRP143" s="33"/>
      <c r="MRQ143" s="33"/>
      <c r="MRR143" s="33"/>
      <c r="MRS143" s="33"/>
      <c r="MRT143" s="33"/>
      <c r="MRU143" s="33"/>
      <c r="MRV143" s="33"/>
      <c r="MRW143" s="33"/>
      <c r="MRX143" s="33"/>
      <c r="MRY143" s="33"/>
      <c r="MRZ143" s="33"/>
      <c r="MSA143" s="33"/>
      <c r="MSB143" s="33"/>
      <c r="MSC143" s="33"/>
      <c r="MSD143" s="33"/>
      <c r="MSE143" s="33"/>
      <c r="MSF143" s="33"/>
      <c r="MSG143" s="33"/>
      <c r="MSH143" s="33"/>
      <c r="MSI143" s="33"/>
      <c r="MSJ143" s="33"/>
      <c r="MSK143" s="33"/>
      <c r="MSL143" s="33"/>
      <c r="MSM143" s="33"/>
      <c r="MSN143" s="33"/>
      <c r="MSO143" s="33"/>
      <c r="MSP143" s="33"/>
      <c r="MSQ143" s="33"/>
      <c r="MSR143" s="33"/>
      <c r="MSS143" s="33"/>
      <c r="MST143" s="33"/>
      <c r="MSU143" s="33"/>
      <c r="MSV143" s="33"/>
      <c r="MSW143" s="33"/>
      <c r="MSX143" s="33"/>
      <c r="MSY143" s="33"/>
      <c r="MSZ143" s="33"/>
      <c r="MTA143" s="33"/>
      <c r="MTB143" s="33"/>
      <c r="MTC143" s="33"/>
      <c r="MTD143" s="33"/>
      <c r="MTE143" s="33"/>
      <c r="MTF143" s="33"/>
      <c r="MTG143" s="33"/>
      <c r="MTH143" s="33"/>
      <c r="MTI143" s="33"/>
      <c r="MTJ143" s="33"/>
      <c r="MTK143" s="33"/>
      <c r="MTL143" s="33"/>
      <c r="MTM143" s="33"/>
      <c r="MTN143" s="33"/>
      <c r="MTO143" s="33"/>
      <c r="MTP143" s="33"/>
      <c r="MTQ143" s="33"/>
      <c r="MTR143" s="33"/>
      <c r="MTS143" s="33"/>
      <c r="MTT143" s="33"/>
      <c r="MTU143" s="33"/>
      <c r="MTV143" s="33"/>
      <c r="MTW143" s="33"/>
      <c r="MTX143" s="33"/>
      <c r="MTY143" s="33"/>
      <c r="MTZ143" s="33"/>
      <c r="MUA143" s="33"/>
      <c r="MUB143" s="33"/>
      <c r="MUC143" s="33"/>
      <c r="MUD143" s="33"/>
      <c r="MUE143" s="33"/>
      <c r="MUF143" s="33"/>
      <c r="MUG143" s="33"/>
      <c r="MUH143" s="33"/>
      <c r="MUI143" s="33"/>
      <c r="MUJ143" s="33"/>
      <c r="MUK143" s="33"/>
      <c r="MUL143" s="33"/>
      <c r="MUM143" s="33"/>
      <c r="MUN143" s="33"/>
      <c r="MUO143" s="33"/>
      <c r="MUP143" s="33"/>
      <c r="MUQ143" s="33"/>
      <c r="MUR143" s="33"/>
      <c r="MUS143" s="33"/>
      <c r="MUT143" s="33"/>
      <c r="MUU143" s="33"/>
      <c r="MUV143" s="33"/>
      <c r="MUW143" s="33"/>
      <c r="MUX143" s="33"/>
      <c r="MUY143" s="33"/>
      <c r="MUZ143" s="33"/>
      <c r="MVA143" s="33"/>
      <c r="MVB143" s="33"/>
      <c r="MVC143" s="33"/>
      <c r="MVD143" s="33"/>
      <c r="MVE143" s="33"/>
      <c r="MVF143" s="33"/>
      <c r="MVG143" s="33"/>
      <c r="MVH143" s="33"/>
      <c r="MVI143" s="33"/>
      <c r="MVJ143" s="33"/>
      <c r="MVK143" s="33"/>
      <c r="MVL143" s="33"/>
      <c r="MVM143" s="33"/>
      <c r="MVN143" s="33"/>
      <c r="MVO143" s="33"/>
      <c r="MVP143" s="33"/>
      <c r="MVQ143" s="33"/>
      <c r="MVR143" s="33"/>
      <c r="MVS143" s="33"/>
      <c r="MVT143" s="33"/>
      <c r="MVU143" s="33"/>
      <c r="MVV143" s="33"/>
      <c r="MVW143" s="33"/>
      <c r="MVX143" s="33"/>
      <c r="MVY143" s="33"/>
      <c r="MVZ143" s="33"/>
      <c r="MWA143" s="33"/>
      <c r="MWB143" s="33"/>
      <c r="MWC143" s="33"/>
      <c r="MWD143" s="33"/>
      <c r="MWE143" s="33"/>
      <c r="MWF143" s="33"/>
      <c r="MWG143" s="33"/>
      <c r="MWH143" s="33"/>
      <c r="MWI143" s="33"/>
      <c r="MWJ143" s="33"/>
      <c r="MWK143" s="33"/>
      <c r="MWL143" s="33"/>
      <c r="MWM143" s="33"/>
      <c r="MWN143" s="33"/>
      <c r="MWO143" s="33"/>
      <c r="MWP143" s="33"/>
      <c r="MWQ143" s="33"/>
      <c r="MWR143" s="33"/>
      <c r="MWS143" s="33"/>
      <c r="MWT143" s="33"/>
      <c r="MWU143" s="33"/>
      <c r="MWV143" s="33"/>
      <c r="MWW143" s="33"/>
      <c r="MWX143" s="33"/>
      <c r="MWY143" s="33"/>
      <c r="MWZ143" s="33"/>
      <c r="MXA143" s="33"/>
      <c r="MXB143" s="33"/>
      <c r="MXC143" s="33"/>
      <c r="MXD143" s="33"/>
      <c r="MXE143" s="33"/>
      <c r="MXF143" s="33"/>
      <c r="MXG143" s="33"/>
      <c r="MXH143" s="33"/>
      <c r="MXI143" s="33"/>
      <c r="MXJ143" s="33"/>
      <c r="MXK143" s="33"/>
      <c r="MXL143" s="33"/>
      <c r="MXM143" s="33"/>
      <c r="MXN143" s="33"/>
      <c r="MXO143" s="33"/>
      <c r="MXP143" s="33"/>
      <c r="MXQ143" s="33"/>
      <c r="MXR143" s="33"/>
      <c r="MXS143" s="33"/>
      <c r="MXT143" s="33"/>
      <c r="MXU143" s="33"/>
      <c r="MXV143" s="33"/>
      <c r="MXW143" s="33"/>
      <c r="MXX143" s="33"/>
      <c r="MXY143" s="33"/>
      <c r="MXZ143" s="33"/>
      <c r="MYA143" s="33"/>
      <c r="MYB143" s="33"/>
      <c r="MYC143" s="33"/>
      <c r="MYD143" s="33"/>
      <c r="MYE143" s="33"/>
      <c r="MYF143" s="33"/>
      <c r="MYG143" s="33"/>
      <c r="MYH143" s="33"/>
      <c r="MYI143" s="33"/>
      <c r="MYJ143" s="33"/>
      <c r="MYK143" s="33"/>
      <c r="MYL143" s="33"/>
      <c r="MYM143" s="33"/>
      <c r="MYN143" s="33"/>
      <c r="MYO143" s="33"/>
      <c r="MYP143" s="33"/>
      <c r="MYQ143" s="33"/>
      <c r="MYR143" s="33"/>
      <c r="MYS143" s="33"/>
      <c r="MYT143" s="33"/>
      <c r="MYU143" s="33"/>
      <c r="MYV143" s="33"/>
      <c r="MYW143" s="33"/>
      <c r="MYX143" s="33"/>
      <c r="MYY143" s="33"/>
      <c r="MYZ143" s="33"/>
      <c r="MZA143" s="33"/>
      <c r="MZB143" s="33"/>
      <c r="MZC143" s="33"/>
      <c r="MZD143" s="33"/>
      <c r="MZE143" s="33"/>
      <c r="MZF143" s="33"/>
      <c r="MZG143" s="33"/>
      <c r="MZH143" s="33"/>
      <c r="MZI143" s="33"/>
      <c r="MZJ143" s="33"/>
      <c r="MZK143" s="33"/>
      <c r="MZL143" s="33"/>
      <c r="MZM143" s="33"/>
      <c r="MZN143" s="33"/>
      <c r="MZO143" s="33"/>
      <c r="MZP143" s="33"/>
      <c r="MZQ143" s="33"/>
      <c r="MZR143" s="33"/>
      <c r="MZS143" s="33"/>
      <c r="MZT143" s="33"/>
      <c r="MZU143" s="33"/>
      <c r="MZV143" s="33"/>
      <c r="MZW143" s="33"/>
      <c r="MZX143" s="33"/>
      <c r="MZY143" s="33"/>
      <c r="MZZ143" s="33"/>
      <c r="NAA143" s="33"/>
      <c r="NAB143" s="33"/>
      <c r="NAC143" s="33"/>
      <c r="NAD143" s="33"/>
      <c r="NAE143" s="33"/>
      <c r="NAF143" s="33"/>
      <c r="NAG143" s="33"/>
      <c r="NAH143" s="33"/>
      <c r="NAI143" s="33"/>
      <c r="NAJ143" s="33"/>
      <c r="NAK143" s="33"/>
      <c r="NAL143" s="33"/>
      <c r="NAM143" s="33"/>
      <c r="NAN143" s="33"/>
      <c r="NAO143" s="33"/>
      <c r="NAP143" s="33"/>
      <c r="NAQ143" s="33"/>
      <c r="NAR143" s="33"/>
      <c r="NAS143" s="33"/>
      <c r="NAT143" s="33"/>
      <c r="NAU143" s="33"/>
      <c r="NAV143" s="33"/>
      <c r="NAW143" s="33"/>
      <c r="NAX143" s="33"/>
      <c r="NAY143" s="33"/>
      <c r="NAZ143" s="33"/>
      <c r="NBA143" s="33"/>
      <c r="NBB143" s="33"/>
      <c r="NBC143" s="33"/>
      <c r="NBD143" s="33"/>
      <c r="NBE143" s="33"/>
      <c r="NBF143" s="33"/>
      <c r="NBG143" s="33"/>
      <c r="NBH143" s="33"/>
      <c r="NBI143" s="33"/>
      <c r="NBJ143" s="33"/>
      <c r="NBK143" s="33"/>
      <c r="NBL143" s="33"/>
      <c r="NBM143" s="33"/>
      <c r="NBN143" s="33"/>
      <c r="NBO143" s="33"/>
      <c r="NBP143" s="33"/>
      <c r="NBQ143" s="33"/>
      <c r="NBR143" s="33"/>
      <c r="NBS143" s="33"/>
      <c r="NBT143" s="33"/>
      <c r="NBU143" s="33"/>
      <c r="NBV143" s="33"/>
      <c r="NBW143" s="33"/>
      <c r="NBX143" s="33"/>
      <c r="NBY143" s="33"/>
      <c r="NBZ143" s="33"/>
      <c r="NCA143" s="33"/>
      <c r="NCB143" s="33"/>
      <c r="NCC143" s="33"/>
      <c r="NCD143" s="33"/>
      <c r="NCE143" s="33"/>
      <c r="NCF143" s="33"/>
      <c r="NCG143" s="33"/>
      <c r="NCH143" s="33"/>
      <c r="NCI143" s="33"/>
      <c r="NCJ143" s="33"/>
      <c r="NCK143" s="33"/>
      <c r="NCL143" s="33"/>
      <c r="NCM143" s="33"/>
      <c r="NCN143" s="33"/>
      <c r="NCO143" s="33"/>
      <c r="NCP143" s="33"/>
      <c r="NCQ143" s="33"/>
      <c r="NCR143" s="33"/>
      <c r="NCS143" s="33"/>
      <c r="NCT143" s="33"/>
      <c r="NCU143" s="33"/>
      <c r="NCV143" s="33"/>
      <c r="NCW143" s="33"/>
      <c r="NCX143" s="33"/>
      <c r="NCY143" s="33"/>
      <c r="NCZ143" s="33"/>
      <c r="NDA143" s="33"/>
      <c r="NDB143" s="33"/>
      <c r="NDC143" s="33"/>
      <c r="NDD143" s="33"/>
      <c r="NDE143" s="33"/>
      <c r="NDF143" s="33"/>
      <c r="NDG143" s="33"/>
      <c r="NDH143" s="33"/>
      <c r="NDI143" s="33"/>
      <c r="NDJ143" s="33"/>
      <c r="NDK143" s="33"/>
      <c r="NDL143" s="33"/>
      <c r="NDM143" s="33"/>
      <c r="NDN143" s="33"/>
      <c r="NDO143" s="33"/>
      <c r="NDP143" s="33"/>
      <c r="NDQ143" s="33"/>
      <c r="NDR143" s="33"/>
      <c r="NDS143" s="33"/>
      <c r="NDT143" s="33"/>
      <c r="NDU143" s="33"/>
      <c r="NDV143" s="33"/>
      <c r="NDW143" s="33"/>
      <c r="NDX143" s="33"/>
      <c r="NDY143" s="33"/>
      <c r="NDZ143" s="33"/>
      <c r="NEA143" s="33"/>
      <c r="NEB143" s="33"/>
      <c r="NEC143" s="33"/>
      <c r="NED143" s="33"/>
      <c r="NEE143" s="33"/>
      <c r="NEF143" s="33"/>
      <c r="NEG143" s="33"/>
      <c r="NEH143" s="33"/>
      <c r="NEI143" s="33"/>
      <c r="NEJ143" s="33"/>
      <c r="NEK143" s="33"/>
      <c r="NEL143" s="33"/>
      <c r="NEM143" s="33"/>
      <c r="NEN143" s="33"/>
      <c r="NEO143" s="33"/>
      <c r="NEP143" s="33"/>
      <c r="NEQ143" s="33"/>
      <c r="NER143" s="33"/>
      <c r="NES143" s="33"/>
      <c r="NET143" s="33"/>
      <c r="NEU143" s="33"/>
      <c r="NEV143" s="33"/>
      <c r="NEW143" s="33"/>
      <c r="NEX143" s="33"/>
      <c r="NEY143" s="33"/>
      <c r="NEZ143" s="33"/>
      <c r="NFA143" s="33"/>
      <c r="NFB143" s="33"/>
      <c r="NFC143" s="33"/>
      <c r="NFD143" s="33"/>
      <c r="NFE143" s="33"/>
      <c r="NFF143" s="33"/>
      <c r="NFG143" s="33"/>
      <c r="NFH143" s="33"/>
      <c r="NFI143" s="33"/>
      <c r="NFJ143" s="33"/>
      <c r="NFK143" s="33"/>
      <c r="NFL143" s="33"/>
      <c r="NFM143" s="33"/>
      <c r="NFN143" s="33"/>
      <c r="NFO143" s="33"/>
      <c r="NFP143" s="33"/>
      <c r="NFQ143" s="33"/>
      <c r="NFR143" s="33"/>
      <c r="NFS143" s="33"/>
      <c r="NFT143" s="33"/>
      <c r="NFU143" s="33"/>
      <c r="NFV143" s="33"/>
      <c r="NFW143" s="33"/>
      <c r="NFX143" s="33"/>
      <c r="NFY143" s="33"/>
      <c r="NFZ143" s="33"/>
      <c r="NGA143" s="33"/>
      <c r="NGB143" s="33"/>
      <c r="NGC143" s="33"/>
      <c r="NGD143" s="33"/>
      <c r="NGE143" s="33"/>
      <c r="NGF143" s="33"/>
      <c r="NGG143" s="33"/>
      <c r="NGH143" s="33"/>
      <c r="NGI143" s="33"/>
      <c r="NGJ143" s="33"/>
      <c r="NGK143" s="33"/>
      <c r="NGL143" s="33"/>
      <c r="NGM143" s="33"/>
      <c r="NGN143" s="33"/>
      <c r="NGO143" s="33"/>
      <c r="NGP143" s="33"/>
      <c r="NGQ143" s="33"/>
      <c r="NGR143" s="33"/>
      <c r="NGS143" s="33"/>
      <c r="NGT143" s="33"/>
      <c r="NGU143" s="33"/>
      <c r="NGV143" s="33"/>
      <c r="NGW143" s="33"/>
      <c r="NGX143" s="33"/>
      <c r="NGY143" s="33"/>
      <c r="NGZ143" s="33"/>
      <c r="NHA143" s="33"/>
      <c r="NHB143" s="33"/>
      <c r="NHC143" s="33"/>
      <c r="NHD143" s="33"/>
      <c r="NHE143" s="33"/>
      <c r="NHF143" s="33"/>
      <c r="NHG143" s="33"/>
      <c r="NHH143" s="33"/>
      <c r="NHI143" s="33"/>
      <c r="NHJ143" s="33"/>
      <c r="NHK143" s="33"/>
      <c r="NHL143" s="33"/>
      <c r="NHM143" s="33"/>
      <c r="NHN143" s="33"/>
      <c r="NHO143" s="33"/>
      <c r="NHP143" s="33"/>
      <c r="NHQ143" s="33"/>
      <c r="NHR143" s="33"/>
      <c r="NHS143" s="33"/>
      <c r="NHT143" s="33"/>
      <c r="NHU143" s="33"/>
      <c r="NHV143" s="33"/>
      <c r="NHW143" s="33"/>
      <c r="NHX143" s="33"/>
      <c r="NHY143" s="33"/>
      <c r="NHZ143" s="33"/>
      <c r="NIA143" s="33"/>
      <c r="NIB143" s="33"/>
      <c r="NIC143" s="33"/>
      <c r="NID143" s="33"/>
      <c r="NIE143" s="33"/>
      <c r="NIF143" s="33"/>
      <c r="NIG143" s="33"/>
      <c r="NIH143" s="33"/>
      <c r="NII143" s="33"/>
      <c r="NIJ143" s="33"/>
      <c r="NIK143" s="33"/>
      <c r="NIL143" s="33"/>
      <c r="NIM143" s="33"/>
      <c r="NIN143" s="33"/>
      <c r="NIO143" s="33"/>
      <c r="NIP143" s="33"/>
      <c r="NIQ143" s="33"/>
      <c r="NIR143" s="33"/>
      <c r="NIS143" s="33"/>
      <c r="NIT143" s="33"/>
      <c r="NIU143" s="33"/>
      <c r="NIV143" s="33"/>
      <c r="NIW143" s="33"/>
      <c r="NIX143" s="33"/>
      <c r="NIY143" s="33"/>
      <c r="NIZ143" s="33"/>
      <c r="NJA143" s="33"/>
      <c r="NJB143" s="33"/>
      <c r="NJC143" s="33"/>
      <c r="NJD143" s="33"/>
      <c r="NJE143" s="33"/>
      <c r="NJF143" s="33"/>
      <c r="NJG143" s="33"/>
      <c r="NJH143" s="33"/>
      <c r="NJI143" s="33"/>
      <c r="NJJ143" s="33"/>
      <c r="NJK143" s="33"/>
      <c r="NJL143" s="33"/>
      <c r="NJM143" s="33"/>
      <c r="NJN143" s="33"/>
      <c r="NJO143" s="33"/>
      <c r="NJP143" s="33"/>
      <c r="NJQ143" s="33"/>
      <c r="NJR143" s="33"/>
      <c r="NJS143" s="33"/>
      <c r="NJT143" s="33"/>
      <c r="NJU143" s="33"/>
      <c r="NJV143" s="33"/>
      <c r="NJW143" s="33"/>
      <c r="NJX143" s="33"/>
      <c r="NJY143" s="33"/>
      <c r="NJZ143" s="33"/>
      <c r="NKA143" s="33"/>
      <c r="NKB143" s="33"/>
      <c r="NKC143" s="33"/>
      <c r="NKD143" s="33"/>
      <c r="NKE143" s="33"/>
      <c r="NKF143" s="33"/>
      <c r="NKG143" s="33"/>
      <c r="NKH143" s="33"/>
      <c r="NKI143" s="33"/>
      <c r="NKJ143" s="33"/>
      <c r="NKK143" s="33"/>
      <c r="NKL143" s="33"/>
      <c r="NKM143" s="33"/>
      <c r="NKN143" s="33"/>
      <c r="NKO143" s="33"/>
      <c r="NKP143" s="33"/>
      <c r="NKQ143" s="33"/>
      <c r="NKR143" s="33"/>
      <c r="NKS143" s="33"/>
      <c r="NKT143" s="33"/>
      <c r="NKU143" s="33"/>
      <c r="NKV143" s="33"/>
      <c r="NKW143" s="33"/>
      <c r="NKX143" s="33"/>
      <c r="NKY143" s="33"/>
      <c r="NKZ143" s="33"/>
      <c r="NLA143" s="33"/>
      <c r="NLB143" s="33"/>
      <c r="NLC143" s="33"/>
      <c r="NLD143" s="33"/>
      <c r="NLE143" s="33"/>
      <c r="NLF143" s="33"/>
      <c r="NLG143" s="33"/>
      <c r="NLH143" s="33"/>
      <c r="NLI143" s="33"/>
      <c r="NLJ143" s="33"/>
      <c r="NLK143" s="33"/>
      <c r="NLL143" s="33"/>
      <c r="NLM143" s="33"/>
      <c r="NLN143" s="33"/>
      <c r="NLO143" s="33"/>
      <c r="NLP143" s="33"/>
      <c r="NLQ143" s="33"/>
      <c r="NLR143" s="33"/>
      <c r="NLS143" s="33"/>
      <c r="NLT143" s="33"/>
      <c r="NLU143" s="33"/>
      <c r="NLV143" s="33"/>
      <c r="NLW143" s="33"/>
      <c r="NLX143" s="33"/>
      <c r="NLY143" s="33"/>
      <c r="NLZ143" s="33"/>
      <c r="NMA143" s="33"/>
      <c r="NMB143" s="33"/>
      <c r="NMC143" s="33"/>
      <c r="NMD143" s="33"/>
      <c r="NME143" s="33"/>
      <c r="NMF143" s="33"/>
      <c r="NMG143" s="33"/>
      <c r="NMH143" s="33"/>
      <c r="NMI143" s="33"/>
      <c r="NMJ143" s="33"/>
      <c r="NMK143" s="33"/>
      <c r="NML143" s="33"/>
      <c r="NMM143" s="33"/>
      <c r="NMN143" s="33"/>
      <c r="NMO143" s="33"/>
      <c r="NMP143" s="33"/>
      <c r="NMQ143" s="33"/>
      <c r="NMR143" s="33"/>
      <c r="NMS143" s="33"/>
      <c r="NMT143" s="33"/>
      <c r="NMU143" s="33"/>
      <c r="NMV143" s="33"/>
      <c r="NMW143" s="33"/>
      <c r="NMX143" s="33"/>
      <c r="NMY143" s="33"/>
      <c r="NMZ143" s="33"/>
      <c r="NNA143" s="33"/>
      <c r="NNB143" s="33"/>
      <c r="NNC143" s="33"/>
      <c r="NND143" s="33"/>
      <c r="NNE143" s="33"/>
      <c r="NNF143" s="33"/>
      <c r="NNG143" s="33"/>
      <c r="NNH143" s="33"/>
      <c r="NNI143" s="33"/>
      <c r="NNJ143" s="33"/>
      <c r="NNK143" s="33"/>
      <c r="NNL143" s="33"/>
      <c r="NNM143" s="33"/>
      <c r="NNN143" s="33"/>
      <c r="NNO143" s="33"/>
      <c r="NNP143" s="33"/>
      <c r="NNQ143" s="33"/>
      <c r="NNR143" s="33"/>
      <c r="NNS143" s="33"/>
      <c r="NNT143" s="33"/>
      <c r="NNU143" s="33"/>
      <c r="NNV143" s="33"/>
      <c r="NNW143" s="33"/>
      <c r="NNX143" s="33"/>
      <c r="NNY143" s="33"/>
      <c r="NNZ143" s="33"/>
      <c r="NOA143" s="33"/>
      <c r="NOB143" s="33"/>
      <c r="NOC143" s="33"/>
      <c r="NOD143" s="33"/>
      <c r="NOE143" s="33"/>
      <c r="NOF143" s="33"/>
      <c r="NOG143" s="33"/>
      <c r="NOH143" s="33"/>
      <c r="NOI143" s="33"/>
      <c r="NOJ143" s="33"/>
      <c r="NOK143" s="33"/>
      <c r="NOL143" s="33"/>
      <c r="NOM143" s="33"/>
      <c r="NON143" s="33"/>
      <c r="NOO143" s="33"/>
      <c r="NOP143" s="33"/>
      <c r="NOQ143" s="33"/>
      <c r="NOR143" s="33"/>
      <c r="NOS143" s="33"/>
      <c r="NOT143" s="33"/>
      <c r="NOU143" s="33"/>
      <c r="NOV143" s="33"/>
      <c r="NOW143" s="33"/>
      <c r="NOX143" s="33"/>
      <c r="NOY143" s="33"/>
      <c r="NOZ143" s="33"/>
      <c r="NPA143" s="33"/>
      <c r="NPB143" s="33"/>
      <c r="NPC143" s="33"/>
      <c r="NPD143" s="33"/>
      <c r="NPE143" s="33"/>
      <c r="NPF143" s="33"/>
      <c r="NPG143" s="33"/>
      <c r="NPH143" s="33"/>
      <c r="NPI143" s="33"/>
      <c r="NPJ143" s="33"/>
      <c r="NPK143" s="33"/>
      <c r="NPL143" s="33"/>
      <c r="NPM143" s="33"/>
      <c r="NPN143" s="33"/>
      <c r="NPO143" s="33"/>
      <c r="NPP143" s="33"/>
      <c r="NPQ143" s="33"/>
      <c r="NPR143" s="33"/>
      <c r="NPS143" s="33"/>
      <c r="NPT143" s="33"/>
      <c r="NPU143" s="33"/>
      <c r="NPV143" s="33"/>
      <c r="NPW143" s="33"/>
      <c r="NPX143" s="33"/>
      <c r="NPY143" s="33"/>
      <c r="NPZ143" s="33"/>
      <c r="NQA143" s="33"/>
      <c r="NQB143" s="33"/>
      <c r="NQC143" s="33"/>
      <c r="NQD143" s="33"/>
      <c r="NQE143" s="33"/>
      <c r="NQF143" s="33"/>
      <c r="NQG143" s="33"/>
      <c r="NQH143" s="33"/>
      <c r="NQI143" s="33"/>
      <c r="NQJ143" s="33"/>
      <c r="NQK143" s="33"/>
      <c r="NQL143" s="33"/>
      <c r="NQM143" s="33"/>
      <c r="NQN143" s="33"/>
      <c r="NQO143" s="33"/>
      <c r="NQP143" s="33"/>
      <c r="NQQ143" s="33"/>
      <c r="NQR143" s="33"/>
      <c r="NQS143" s="33"/>
      <c r="NQT143" s="33"/>
      <c r="NQU143" s="33"/>
      <c r="NQV143" s="33"/>
      <c r="NQW143" s="33"/>
      <c r="NQX143" s="33"/>
      <c r="NQY143" s="33"/>
      <c r="NQZ143" s="33"/>
      <c r="NRA143" s="33"/>
      <c r="NRB143" s="33"/>
      <c r="NRC143" s="33"/>
      <c r="NRD143" s="33"/>
      <c r="NRE143" s="33"/>
      <c r="NRF143" s="33"/>
      <c r="NRG143" s="33"/>
      <c r="NRH143" s="33"/>
      <c r="NRI143" s="33"/>
      <c r="NRJ143" s="33"/>
      <c r="NRK143" s="33"/>
      <c r="NRL143" s="33"/>
      <c r="NRM143" s="33"/>
      <c r="NRN143" s="33"/>
      <c r="NRO143" s="33"/>
      <c r="NRP143" s="33"/>
      <c r="NRQ143" s="33"/>
      <c r="NRR143" s="33"/>
      <c r="NRS143" s="33"/>
      <c r="NRT143" s="33"/>
      <c r="NRU143" s="33"/>
      <c r="NRV143" s="33"/>
      <c r="NRW143" s="33"/>
      <c r="NRX143" s="33"/>
      <c r="NRY143" s="33"/>
      <c r="NRZ143" s="33"/>
      <c r="NSA143" s="33"/>
      <c r="NSB143" s="33"/>
      <c r="NSC143" s="33"/>
      <c r="NSD143" s="33"/>
      <c r="NSE143" s="33"/>
      <c r="NSF143" s="33"/>
      <c r="NSG143" s="33"/>
      <c r="NSH143" s="33"/>
      <c r="NSI143" s="33"/>
      <c r="NSJ143" s="33"/>
      <c r="NSK143" s="33"/>
      <c r="NSL143" s="33"/>
      <c r="NSM143" s="33"/>
      <c r="NSN143" s="33"/>
      <c r="NSO143" s="33"/>
      <c r="NSP143" s="33"/>
      <c r="NSQ143" s="33"/>
      <c r="NSR143" s="33"/>
      <c r="NSS143" s="33"/>
      <c r="NST143" s="33"/>
      <c r="NSU143" s="33"/>
      <c r="NSV143" s="33"/>
      <c r="NSW143" s="33"/>
      <c r="NSX143" s="33"/>
      <c r="NSY143" s="33"/>
      <c r="NSZ143" s="33"/>
      <c r="NTA143" s="33"/>
      <c r="NTB143" s="33"/>
      <c r="NTC143" s="33"/>
      <c r="NTD143" s="33"/>
      <c r="NTE143" s="33"/>
      <c r="NTF143" s="33"/>
      <c r="NTG143" s="33"/>
      <c r="NTH143" s="33"/>
      <c r="NTI143" s="33"/>
      <c r="NTJ143" s="33"/>
      <c r="NTK143" s="33"/>
      <c r="NTL143" s="33"/>
      <c r="NTM143" s="33"/>
      <c r="NTN143" s="33"/>
      <c r="NTO143" s="33"/>
      <c r="NTP143" s="33"/>
      <c r="NTQ143" s="33"/>
      <c r="NTR143" s="33"/>
      <c r="NTS143" s="33"/>
      <c r="NTT143" s="33"/>
      <c r="NTU143" s="33"/>
      <c r="NTV143" s="33"/>
      <c r="NTW143" s="33"/>
      <c r="NTX143" s="33"/>
      <c r="NTY143" s="33"/>
      <c r="NTZ143" s="33"/>
      <c r="NUA143" s="33"/>
      <c r="NUB143" s="33"/>
      <c r="NUC143" s="33"/>
      <c r="NUD143" s="33"/>
      <c r="NUE143" s="33"/>
      <c r="NUF143" s="33"/>
      <c r="NUG143" s="33"/>
      <c r="NUH143" s="33"/>
      <c r="NUI143" s="33"/>
      <c r="NUJ143" s="33"/>
      <c r="NUK143" s="33"/>
      <c r="NUL143" s="33"/>
      <c r="NUM143" s="33"/>
      <c r="NUN143" s="33"/>
      <c r="NUO143" s="33"/>
      <c r="NUP143" s="33"/>
      <c r="NUQ143" s="33"/>
      <c r="NUR143" s="33"/>
      <c r="NUS143" s="33"/>
      <c r="NUT143" s="33"/>
      <c r="NUU143" s="33"/>
      <c r="NUV143" s="33"/>
      <c r="NUW143" s="33"/>
      <c r="NUX143" s="33"/>
      <c r="NUY143" s="33"/>
      <c r="NUZ143" s="33"/>
      <c r="NVA143" s="33"/>
      <c r="NVB143" s="33"/>
      <c r="NVC143" s="33"/>
      <c r="NVD143" s="33"/>
      <c r="NVE143" s="33"/>
      <c r="NVF143" s="33"/>
      <c r="NVG143" s="33"/>
      <c r="NVH143" s="33"/>
      <c r="NVI143" s="33"/>
      <c r="NVJ143" s="33"/>
      <c r="NVK143" s="33"/>
      <c r="NVL143" s="33"/>
      <c r="NVM143" s="33"/>
      <c r="NVN143" s="33"/>
      <c r="NVO143" s="33"/>
      <c r="NVP143" s="33"/>
      <c r="NVQ143" s="33"/>
      <c r="NVR143" s="33"/>
      <c r="NVS143" s="33"/>
      <c r="NVT143" s="33"/>
      <c r="NVU143" s="33"/>
      <c r="NVV143" s="33"/>
      <c r="NVW143" s="33"/>
      <c r="NVX143" s="33"/>
      <c r="NVY143" s="33"/>
      <c r="NVZ143" s="33"/>
      <c r="NWA143" s="33"/>
      <c r="NWB143" s="33"/>
      <c r="NWC143" s="33"/>
      <c r="NWD143" s="33"/>
      <c r="NWE143" s="33"/>
      <c r="NWF143" s="33"/>
      <c r="NWG143" s="33"/>
      <c r="NWH143" s="33"/>
      <c r="NWI143" s="33"/>
      <c r="NWJ143" s="33"/>
      <c r="NWK143" s="33"/>
      <c r="NWL143" s="33"/>
      <c r="NWM143" s="33"/>
      <c r="NWN143" s="33"/>
      <c r="NWO143" s="33"/>
      <c r="NWP143" s="33"/>
      <c r="NWQ143" s="33"/>
      <c r="NWR143" s="33"/>
      <c r="NWS143" s="33"/>
      <c r="NWT143" s="33"/>
      <c r="NWU143" s="33"/>
      <c r="NWV143" s="33"/>
      <c r="NWW143" s="33"/>
      <c r="NWX143" s="33"/>
      <c r="NWY143" s="33"/>
      <c r="NWZ143" s="33"/>
      <c r="NXA143" s="33"/>
      <c r="NXB143" s="33"/>
      <c r="NXC143" s="33"/>
      <c r="NXD143" s="33"/>
      <c r="NXE143" s="33"/>
      <c r="NXF143" s="33"/>
      <c r="NXG143" s="33"/>
      <c r="NXH143" s="33"/>
      <c r="NXI143" s="33"/>
      <c r="NXJ143" s="33"/>
      <c r="NXK143" s="33"/>
      <c r="NXL143" s="33"/>
      <c r="NXM143" s="33"/>
      <c r="NXN143" s="33"/>
      <c r="NXO143" s="33"/>
      <c r="NXP143" s="33"/>
      <c r="NXQ143" s="33"/>
      <c r="NXR143" s="33"/>
      <c r="NXS143" s="33"/>
      <c r="NXT143" s="33"/>
      <c r="NXU143" s="33"/>
      <c r="NXV143" s="33"/>
      <c r="NXW143" s="33"/>
      <c r="NXX143" s="33"/>
      <c r="NXY143" s="33"/>
      <c r="NXZ143" s="33"/>
      <c r="NYA143" s="33"/>
      <c r="NYB143" s="33"/>
      <c r="NYC143" s="33"/>
      <c r="NYD143" s="33"/>
      <c r="NYE143" s="33"/>
      <c r="NYF143" s="33"/>
      <c r="NYG143" s="33"/>
      <c r="NYH143" s="33"/>
      <c r="NYI143" s="33"/>
      <c r="NYJ143" s="33"/>
      <c r="NYK143" s="33"/>
      <c r="NYL143" s="33"/>
      <c r="NYM143" s="33"/>
      <c r="NYN143" s="33"/>
      <c r="NYO143" s="33"/>
      <c r="NYP143" s="33"/>
      <c r="NYQ143" s="33"/>
      <c r="NYR143" s="33"/>
      <c r="NYS143" s="33"/>
      <c r="NYT143" s="33"/>
      <c r="NYU143" s="33"/>
      <c r="NYV143" s="33"/>
      <c r="NYW143" s="33"/>
      <c r="NYX143" s="33"/>
      <c r="NYY143" s="33"/>
      <c r="NYZ143" s="33"/>
      <c r="NZA143" s="33"/>
      <c r="NZB143" s="33"/>
      <c r="NZC143" s="33"/>
      <c r="NZD143" s="33"/>
      <c r="NZE143" s="33"/>
      <c r="NZF143" s="33"/>
      <c r="NZG143" s="33"/>
      <c r="NZH143" s="33"/>
      <c r="NZI143" s="33"/>
      <c r="NZJ143" s="33"/>
      <c r="NZK143" s="33"/>
      <c r="NZL143" s="33"/>
      <c r="NZM143" s="33"/>
      <c r="NZN143" s="33"/>
      <c r="NZO143" s="33"/>
      <c r="NZP143" s="33"/>
      <c r="NZQ143" s="33"/>
      <c r="NZR143" s="33"/>
      <c r="NZS143" s="33"/>
      <c r="NZT143" s="33"/>
      <c r="NZU143" s="33"/>
      <c r="NZV143" s="33"/>
      <c r="NZW143" s="33"/>
      <c r="NZX143" s="33"/>
      <c r="NZY143" s="33"/>
      <c r="NZZ143" s="33"/>
      <c r="OAA143" s="33"/>
      <c r="OAB143" s="33"/>
      <c r="OAC143" s="33"/>
      <c r="OAD143" s="33"/>
      <c r="OAE143" s="33"/>
      <c r="OAF143" s="33"/>
      <c r="OAG143" s="33"/>
      <c r="OAH143" s="33"/>
      <c r="OAI143" s="33"/>
      <c r="OAJ143" s="33"/>
      <c r="OAK143" s="33"/>
      <c r="OAL143" s="33"/>
      <c r="OAM143" s="33"/>
      <c r="OAN143" s="33"/>
      <c r="OAO143" s="33"/>
      <c r="OAP143" s="33"/>
      <c r="OAQ143" s="33"/>
      <c r="OAR143" s="33"/>
      <c r="OAS143" s="33"/>
      <c r="OAT143" s="33"/>
      <c r="OAU143" s="33"/>
      <c r="OAV143" s="33"/>
      <c r="OAW143" s="33"/>
      <c r="OAX143" s="33"/>
      <c r="OAY143" s="33"/>
      <c r="OAZ143" s="33"/>
      <c r="OBA143" s="33"/>
      <c r="OBB143" s="33"/>
      <c r="OBC143" s="33"/>
      <c r="OBD143" s="33"/>
      <c r="OBE143" s="33"/>
      <c r="OBF143" s="33"/>
      <c r="OBG143" s="33"/>
      <c r="OBH143" s="33"/>
      <c r="OBI143" s="33"/>
      <c r="OBJ143" s="33"/>
      <c r="OBK143" s="33"/>
      <c r="OBL143" s="33"/>
      <c r="OBM143" s="33"/>
      <c r="OBN143" s="33"/>
      <c r="OBO143" s="33"/>
      <c r="OBP143" s="33"/>
      <c r="OBQ143" s="33"/>
      <c r="OBR143" s="33"/>
      <c r="OBS143" s="33"/>
      <c r="OBT143" s="33"/>
      <c r="OBU143" s="33"/>
      <c r="OBV143" s="33"/>
      <c r="OBW143" s="33"/>
      <c r="OBX143" s="33"/>
      <c r="OBY143" s="33"/>
      <c r="OBZ143" s="33"/>
      <c r="OCA143" s="33"/>
      <c r="OCB143" s="33"/>
      <c r="OCC143" s="33"/>
      <c r="OCD143" s="33"/>
      <c r="OCE143" s="33"/>
      <c r="OCF143" s="33"/>
      <c r="OCG143" s="33"/>
      <c r="OCH143" s="33"/>
      <c r="OCI143" s="33"/>
      <c r="OCJ143" s="33"/>
      <c r="OCK143" s="33"/>
      <c r="OCL143" s="33"/>
      <c r="OCM143" s="33"/>
      <c r="OCN143" s="33"/>
      <c r="OCO143" s="33"/>
      <c r="OCP143" s="33"/>
      <c r="OCQ143" s="33"/>
      <c r="OCR143" s="33"/>
      <c r="OCS143" s="33"/>
      <c r="OCT143" s="33"/>
      <c r="OCU143" s="33"/>
      <c r="OCV143" s="33"/>
      <c r="OCW143" s="33"/>
      <c r="OCX143" s="33"/>
      <c r="OCY143" s="33"/>
      <c r="OCZ143" s="33"/>
      <c r="ODA143" s="33"/>
      <c r="ODB143" s="33"/>
      <c r="ODC143" s="33"/>
      <c r="ODD143" s="33"/>
      <c r="ODE143" s="33"/>
      <c r="ODF143" s="33"/>
      <c r="ODG143" s="33"/>
      <c r="ODH143" s="33"/>
      <c r="ODI143" s="33"/>
      <c r="ODJ143" s="33"/>
      <c r="ODK143" s="33"/>
      <c r="ODL143" s="33"/>
      <c r="ODM143" s="33"/>
      <c r="ODN143" s="33"/>
      <c r="ODO143" s="33"/>
      <c r="ODP143" s="33"/>
      <c r="ODQ143" s="33"/>
      <c r="ODR143" s="33"/>
      <c r="ODS143" s="33"/>
      <c r="ODT143" s="33"/>
      <c r="ODU143" s="33"/>
      <c r="ODV143" s="33"/>
      <c r="ODW143" s="33"/>
      <c r="ODX143" s="33"/>
      <c r="ODY143" s="33"/>
      <c r="ODZ143" s="33"/>
      <c r="OEA143" s="33"/>
      <c r="OEB143" s="33"/>
      <c r="OEC143" s="33"/>
      <c r="OED143" s="33"/>
      <c r="OEE143" s="33"/>
      <c r="OEF143" s="33"/>
      <c r="OEG143" s="33"/>
      <c r="OEH143" s="33"/>
      <c r="OEI143" s="33"/>
      <c r="OEJ143" s="33"/>
      <c r="OEK143" s="33"/>
      <c r="OEL143" s="33"/>
      <c r="OEM143" s="33"/>
      <c r="OEN143" s="33"/>
      <c r="OEO143" s="33"/>
      <c r="OEP143" s="33"/>
      <c r="OEQ143" s="33"/>
      <c r="OER143" s="33"/>
      <c r="OES143" s="33"/>
      <c r="OET143" s="33"/>
      <c r="OEU143" s="33"/>
      <c r="OEV143" s="33"/>
      <c r="OEW143" s="33"/>
      <c r="OEX143" s="33"/>
      <c r="OEY143" s="33"/>
      <c r="OEZ143" s="33"/>
      <c r="OFA143" s="33"/>
      <c r="OFB143" s="33"/>
      <c r="OFC143" s="33"/>
      <c r="OFD143" s="33"/>
      <c r="OFE143" s="33"/>
      <c r="OFF143" s="33"/>
      <c r="OFG143" s="33"/>
      <c r="OFH143" s="33"/>
      <c r="OFI143" s="33"/>
      <c r="OFJ143" s="33"/>
      <c r="OFK143" s="33"/>
      <c r="OFL143" s="33"/>
      <c r="OFM143" s="33"/>
      <c r="OFN143" s="33"/>
      <c r="OFO143" s="33"/>
      <c r="OFP143" s="33"/>
      <c r="OFQ143" s="33"/>
      <c r="OFR143" s="33"/>
      <c r="OFS143" s="33"/>
      <c r="OFT143" s="33"/>
      <c r="OFU143" s="33"/>
      <c r="OFV143" s="33"/>
      <c r="OFW143" s="33"/>
      <c r="OFX143" s="33"/>
      <c r="OFY143" s="33"/>
      <c r="OFZ143" s="33"/>
      <c r="OGA143" s="33"/>
      <c r="OGB143" s="33"/>
      <c r="OGC143" s="33"/>
      <c r="OGD143" s="33"/>
      <c r="OGE143" s="33"/>
      <c r="OGF143" s="33"/>
      <c r="OGG143" s="33"/>
      <c r="OGH143" s="33"/>
      <c r="OGI143" s="33"/>
      <c r="OGJ143" s="33"/>
      <c r="OGK143" s="33"/>
      <c r="OGL143" s="33"/>
      <c r="OGM143" s="33"/>
      <c r="OGN143" s="33"/>
      <c r="OGO143" s="33"/>
      <c r="OGP143" s="33"/>
      <c r="OGQ143" s="33"/>
      <c r="OGR143" s="33"/>
      <c r="OGS143" s="33"/>
      <c r="OGT143" s="33"/>
      <c r="OGU143" s="33"/>
      <c r="OGV143" s="33"/>
      <c r="OGW143" s="33"/>
      <c r="OGX143" s="33"/>
      <c r="OGY143" s="33"/>
      <c r="OGZ143" s="33"/>
      <c r="OHA143" s="33"/>
      <c r="OHB143" s="33"/>
      <c r="OHC143" s="33"/>
      <c r="OHD143" s="33"/>
      <c r="OHE143" s="33"/>
      <c r="OHF143" s="33"/>
      <c r="OHG143" s="33"/>
      <c r="OHH143" s="33"/>
      <c r="OHI143" s="33"/>
      <c r="OHJ143" s="33"/>
      <c r="OHK143" s="33"/>
      <c r="OHL143" s="33"/>
      <c r="OHM143" s="33"/>
      <c r="OHN143" s="33"/>
      <c r="OHO143" s="33"/>
      <c r="OHP143" s="33"/>
      <c r="OHQ143" s="33"/>
      <c r="OHR143" s="33"/>
      <c r="OHS143" s="33"/>
      <c r="OHT143" s="33"/>
      <c r="OHU143" s="33"/>
      <c r="OHV143" s="33"/>
      <c r="OHW143" s="33"/>
      <c r="OHX143" s="33"/>
      <c r="OHY143" s="33"/>
      <c r="OHZ143" s="33"/>
      <c r="OIA143" s="33"/>
      <c r="OIB143" s="33"/>
      <c r="OIC143" s="33"/>
      <c r="OID143" s="33"/>
      <c r="OIE143" s="33"/>
      <c r="OIF143" s="33"/>
      <c r="OIG143" s="33"/>
      <c r="OIH143" s="33"/>
      <c r="OII143" s="33"/>
      <c r="OIJ143" s="33"/>
      <c r="OIK143" s="33"/>
      <c r="OIL143" s="33"/>
      <c r="OIM143" s="33"/>
      <c r="OIN143" s="33"/>
      <c r="OIO143" s="33"/>
      <c r="OIP143" s="33"/>
      <c r="OIQ143" s="33"/>
      <c r="OIR143" s="33"/>
      <c r="OIS143" s="33"/>
      <c r="OIT143" s="33"/>
      <c r="OIU143" s="33"/>
      <c r="OIV143" s="33"/>
      <c r="OIW143" s="33"/>
      <c r="OIX143" s="33"/>
      <c r="OIY143" s="33"/>
      <c r="OIZ143" s="33"/>
      <c r="OJA143" s="33"/>
      <c r="OJB143" s="33"/>
      <c r="OJC143" s="33"/>
      <c r="OJD143" s="33"/>
      <c r="OJE143" s="33"/>
      <c r="OJF143" s="33"/>
      <c r="OJG143" s="33"/>
      <c r="OJH143" s="33"/>
      <c r="OJI143" s="33"/>
      <c r="OJJ143" s="33"/>
      <c r="OJK143" s="33"/>
      <c r="OJL143" s="33"/>
      <c r="OJM143" s="33"/>
      <c r="OJN143" s="33"/>
      <c r="OJO143" s="33"/>
      <c r="OJP143" s="33"/>
      <c r="OJQ143" s="33"/>
      <c r="OJR143" s="33"/>
      <c r="OJS143" s="33"/>
      <c r="OJT143" s="33"/>
      <c r="OJU143" s="33"/>
      <c r="OJV143" s="33"/>
      <c r="OJW143" s="33"/>
      <c r="OJX143" s="33"/>
      <c r="OJY143" s="33"/>
      <c r="OJZ143" s="33"/>
      <c r="OKA143" s="33"/>
      <c r="OKB143" s="33"/>
      <c r="OKC143" s="33"/>
      <c r="OKD143" s="33"/>
      <c r="OKE143" s="33"/>
      <c r="OKF143" s="33"/>
      <c r="OKG143" s="33"/>
      <c r="OKH143" s="33"/>
      <c r="OKI143" s="33"/>
      <c r="OKJ143" s="33"/>
      <c r="OKK143" s="33"/>
      <c r="OKL143" s="33"/>
      <c r="OKM143" s="33"/>
      <c r="OKN143" s="33"/>
      <c r="OKO143" s="33"/>
      <c r="OKP143" s="33"/>
      <c r="OKQ143" s="33"/>
      <c r="OKR143" s="33"/>
      <c r="OKS143" s="33"/>
      <c r="OKT143" s="33"/>
      <c r="OKU143" s="33"/>
      <c r="OKV143" s="33"/>
      <c r="OKW143" s="33"/>
      <c r="OKX143" s="33"/>
      <c r="OKY143" s="33"/>
      <c r="OKZ143" s="33"/>
      <c r="OLA143" s="33"/>
      <c r="OLB143" s="33"/>
      <c r="OLC143" s="33"/>
      <c r="OLD143" s="33"/>
      <c r="OLE143" s="33"/>
      <c r="OLF143" s="33"/>
      <c r="OLG143" s="33"/>
      <c r="OLH143" s="33"/>
      <c r="OLI143" s="33"/>
      <c r="OLJ143" s="33"/>
      <c r="OLK143" s="33"/>
      <c r="OLL143" s="33"/>
      <c r="OLM143" s="33"/>
      <c r="OLN143" s="33"/>
      <c r="OLO143" s="33"/>
      <c r="OLP143" s="33"/>
      <c r="OLQ143" s="33"/>
      <c r="OLR143" s="33"/>
      <c r="OLS143" s="33"/>
      <c r="OLT143" s="33"/>
      <c r="OLU143" s="33"/>
      <c r="OLV143" s="33"/>
      <c r="OLW143" s="33"/>
      <c r="OLX143" s="33"/>
      <c r="OLY143" s="33"/>
      <c r="OLZ143" s="33"/>
      <c r="OMA143" s="33"/>
      <c r="OMB143" s="33"/>
      <c r="OMC143" s="33"/>
      <c r="OMD143" s="33"/>
      <c r="OME143" s="33"/>
      <c r="OMF143" s="33"/>
      <c r="OMG143" s="33"/>
      <c r="OMH143" s="33"/>
      <c r="OMI143" s="33"/>
      <c r="OMJ143" s="33"/>
      <c r="OMK143" s="33"/>
      <c r="OML143" s="33"/>
      <c r="OMM143" s="33"/>
      <c r="OMN143" s="33"/>
      <c r="OMO143" s="33"/>
      <c r="OMP143" s="33"/>
      <c r="OMQ143" s="33"/>
      <c r="OMR143" s="33"/>
      <c r="OMS143" s="33"/>
      <c r="OMT143" s="33"/>
      <c r="OMU143" s="33"/>
      <c r="OMV143" s="33"/>
      <c r="OMW143" s="33"/>
      <c r="OMX143" s="33"/>
      <c r="OMY143" s="33"/>
      <c r="OMZ143" s="33"/>
      <c r="ONA143" s="33"/>
      <c r="ONB143" s="33"/>
      <c r="ONC143" s="33"/>
      <c r="OND143" s="33"/>
      <c r="ONE143" s="33"/>
      <c r="ONF143" s="33"/>
      <c r="ONG143" s="33"/>
      <c r="ONH143" s="33"/>
      <c r="ONI143" s="33"/>
      <c r="ONJ143" s="33"/>
      <c r="ONK143" s="33"/>
      <c r="ONL143" s="33"/>
      <c r="ONM143" s="33"/>
      <c r="ONN143" s="33"/>
      <c r="ONO143" s="33"/>
      <c r="ONP143" s="33"/>
      <c r="ONQ143" s="33"/>
      <c r="ONR143" s="33"/>
      <c r="ONS143" s="33"/>
      <c r="ONT143" s="33"/>
      <c r="ONU143" s="33"/>
      <c r="ONV143" s="33"/>
      <c r="ONW143" s="33"/>
      <c r="ONX143" s="33"/>
      <c r="ONY143" s="33"/>
      <c r="ONZ143" s="33"/>
      <c r="OOA143" s="33"/>
      <c r="OOB143" s="33"/>
      <c r="OOC143" s="33"/>
      <c r="OOD143" s="33"/>
      <c r="OOE143" s="33"/>
      <c r="OOF143" s="33"/>
      <c r="OOG143" s="33"/>
      <c r="OOH143" s="33"/>
      <c r="OOI143" s="33"/>
      <c r="OOJ143" s="33"/>
      <c r="OOK143" s="33"/>
      <c r="OOL143" s="33"/>
      <c r="OOM143" s="33"/>
      <c r="OON143" s="33"/>
      <c r="OOO143" s="33"/>
      <c r="OOP143" s="33"/>
      <c r="OOQ143" s="33"/>
      <c r="OOR143" s="33"/>
      <c r="OOS143" s="33"/>
      <c r="OOT143" s="33"/>
      <c r="OOU143" s="33"/>
      <c r="OOV143" s="33"/>
      <c r="OOW143" s="33"/>
      <c r="OOX143" s="33"/>
      <c r="OOY143" s="33"/>
      <c r="OOZ143" s="33"/>
      <c r="OPA143" s="33"/>
      <c r="OPB143" s="33"/>
      <c r="OPC143" s="33"/>
      <c r="OPD143" s="33"/>
      <c r="OPE143" s="33"/>
      <c r="OPF143" s="33"/>
      <c r="OPG143" s="33"/>
      <c r="OPH143" s="33"/>
      <c r="OPI143" s="33"/>
      <c r="OPJ143" s="33"/>
      <c r="OPK143" s="33"/>
      <c r="OPL143" s="33"/>
      <c r="OPM143" s="33"/>
      <c r="OPN143" s="33"/>
      <c r="OPO143" s="33"/>
      <c r="OPP143" s="33"/>
      <c r="OPQ143" s="33"/>
      <c r="OPR143" s="33"/>
      <c r="OPS143" s="33"/>
      <c r="OPT143" s="33"/>
      <c r="OPU143" s="33"/>
      <c r="OPV143" s="33"/>
      <c r="OPW143" s="33"/>
      <c r="OPX143" s="33"/>
      <c r="OPY143" s="33"/>
      <c r="OPZ143" s="33"/>
      <c r="OQA143" s="33"/>
      <c r="OQB143" s="33"/>
      <c r="OQC143" s="33"/>
      <c r="OQD143" s="33"/>
      <c r="OQE143" s="33"/>
      <c r="OQF143" s="33"/>
      <c r="OQG143" s="33"/>
      <c r="OQH143" s="33"/>
      <c r="OQI143" s="33"/>
      <c r="OQJ143" s="33"/>
      <c r="OQK143" s="33"/>
      <c r="OQL143" s="33"/>
      <c r="OQM143" s="33"/>
      <c r="OQN143" s="33"/>
      <c r="OQO143" s="33"/>
      <c r="OQP143" s="33"/>
      <c r="OQQ143" s="33"/>
      <c r="OQR143" s="33"/>
      <c r="OQS143" s="33"/>
      <c r="OQT143" s="33"/>
      <c r="OQU143" s="33"/>
      <c r="OQV143" s="33"/>
      <c r="OQW143" s="33"/>
      <c r="OQX143" s="33"/>
      <c r="OQY143" s="33"/>
      <c r="OQZ143" s="33"/>
      <c r="ORA143" s="33"/>
      <c r="ORB143" s="33"/>
      <c r="ORC143" s="33"/>
      <c r="ORD143" s="33"/>
      <c r="ORE143" s="33"/>
      <c r="ORF143" s="33"/>
      <c r="ORG143" s="33"/>
      <c r="ORH143" s="33"/>
      <c r="ORI143" s="33"/>
      <c r="ORJ143" s="33"/>
      <c r="ORK143" s="33"/>
      <c r="ORL143" s="33"/>
      <c r="ORM143" s="33"/>
      <c r="ORN143" s="33"/>
      <c r="ORO143" s="33"/>
      <c r="ORP143" s="33"/>
      <c r="ORQ143" s="33"/>
      <c r="ORR143" s="33"/>
      <c r="ORS143" s="33"/>
      <c r="ORT143" s="33"/>
      <c r="ORU143" s="33"/>
      <c r="ORV143" s="33"/>
      <c r="ORW143" s="33"/>
      <c r="ORX143" s="33"/>
      <c r="ORY143" s="33"/>
      <c r="ORZ143" s="33"/>
      <c r="OSA143" s="33"/>
      <c r="OSB143" s="33"/>
      <c r="OSC143" s="33"/>
      <c r="OSD143" s="33"/>
      <c r="OSE143" s="33"/>
      <c r="OSF143" s="33"/>
      <c r="OSG143" s="33"/>
      <c r="OSH143" s="33"/>
      <c r="OSI143" s="33"/>
      <c r="OSJ143" s="33"/>
      <c r="OSK143" s="33"/>
      <c r="OSL143" s="33"/>
      <c r="OSM143" s="33"/>
      <c r="OSN143" s="33"/>
      <c r="OSO143" s="33"/>
      <c r="OSP143" s="33"/>
      <c r="OSQ143" s="33"/>
      <c r="OSR143" s="33"/>
      <c r="OSS143" s="33"/>
      <c r="OST143" s="33"/>
      <c r="OSU143" s="33"/>
      <c r="OSV143" s="33"/>
      <c r="OSW143" s="33"/>
      <c r="OSX143" s="33"/>
      <c r="OSY143" s="33"/>
      <c r="OSZ143" s="33"/>
      <c r="OTA143" s="33"/>
      <c r="OTB143" s="33"/>
      <c r="OTC143" s="33"/>
      <c r="OTD143" s="33"/>
      <c r="OTE143" s="33"/>
      <c r="OTF143" s="33"/>
      <c r="OTG143" s="33"/>
      <c r="OTH143" s="33"/>
      <c r="OTI143" s="33"/>
      <c r="OTJ143" s="33"/>
      <c r="OTK143" s="33"/>
      <c r="OTL143" s="33"/>
      <c r="OTM143" s="33"/>
      <c r="OTN143" s="33"/>
      <c r="OTO143" s="33"/>
      <c r="OTP143" s="33"/>
      <c r="OTQ143" s="33"/>
      <c r="OTR143" s="33"/>
      <c r="OTS143" s="33"/>
      <c r="OTT143" s="33"/>
      <c r="OTU143" s="33"/>
      <c r="OTV143" s="33"/>
      <c r="OTW143" s="33"/>
      <c r="OTX143" s="33"/>
      <c r="OTY143" s="33"/>
      <c r="OTZ143" s="33"/>
      <c r="OUA143" s="33"/>
      <c r="OUB143" s="33"/>
      <c r="OUC143" s="33"/>
      <c r="OUD143" s="33"/>
      <c r="OUE143" s="33"/>
      <c r="OUF143" s="33"/>
      <c r="OUG143" s="33"/>
      <c r="OUH143" s="33"/>
      <c r="OUI143" s="33"/>
      <c r="OUJ143" s="33"/>
      <c r="OUK143" s="33"/>
      <c r="OUL143" s="33"/>
      <c r="OUM143" s="33"/>
      <c r="OUN143" s="33"/>
      <c r="OUO143" s="33"/>
      <c r="OUP143" s="33"/>
      <c r="OUQ143" s="33"/>
      <c r="OUR143" s="33"/>
      <c r="OUS143" s="33"/>
      <c r="OUT143" s="33"/>
      <c r="OUU143" s="33"/>
      <c r="OUV143" s="33"/>
      <c r="OUW143" s="33"/>
      <c r="OUX143" s="33"/>
      <c r="OUY143" s="33"/>
      <c r="OUZ143" s="33"/>
      <c r="OVA143" s="33"/>
      <c r="OVB143" s="33"/>
      <c r="OVC143" s="33"/>
      <c r="OVD143" s="33"/>
      <c r="OVE143" s="33"/>
      <c r="OVF143" s="33"/>
      <c r="OVG143" s="33"/>
      <c r="OVH143" s="33"/>
      <c r="OVI143" s="33"/>
      <c r="OVJ143" s="33"/>
      <c r="OVK143" s="33"/>
      <c r="OVL143" s="33"/>
      <c r="OVM143" s="33"/>
      <c r="OVN143" s="33"/>
      <c r="OVO143" s="33"/>
      <c r="OVP143" s="33"/>
      <c r="OVQ143" s="33"/>
      <c r="OVR143" s="33"/>
      <c r="OVS143" s="33"/>
      <c r="OVT143" s="33"/>
      <c r="OVU143" s="33"/>
      <c r="OVV143" s="33"/>
      <c r="OVW143" s="33"/>
      <c r="OVX143" s="33"/>
      <c r="OVY143" s="33"/>
      <c r="OVZ143" s="33"/>
      <c r="OWA143" s="33"/>
      <c r="OWB143" s="33"/>
      <c r="OWC143" s="33"/>
      <c r="OWD143" s="33"/>
      <c r="OWE143" s="33"/>
      <c r="OWF143" s="33"/>
      <c r="OWG143" s="33"/>
      <c r="OWH143" s="33"/>
      <c r="OWI143" s="33"/>
      <c r="OWJ143" s="33"/>
      <c r="OWK143" s="33"/>
      <c r="OWL143" s="33"/>
      <c r="OWM143" s="33"/>
      <c r="OWN143" s="33"/>
      <c r="OWO143" s="33"/>
      <c r="OWP143" s="33"/>
      <c r="OWQ143" s="33"/>
      <c r="OWR143" s="33"/>
      <c r="OWS143" s="33"/>
      <c r="OWT143" s="33"/>
      <c r="OWU143" s="33"/>
      <c r="OWV143" s="33"/>
      <c r="OWW143" s="33"/>
      <c r="OWX143" s="33"/>
      <c r="OWY143" s="33"/>
      <c r="OWZ143" s="33"/>
      <c r="OXA143" s="33"/>
      <c r="OXB143" s="33"/>
      <c r="OXC143" s="33"/>
      <c r="OXD143" s="33"/>
      <c r="OXE143" s="33"/>
      <c r="OXF143" s="33"/>
      <c r="OXG143" s="33"/>
      <c r="OXH143" s="33"/>
      <c r="OXI143" s="33"/>
      <c r="OXJ143" s="33"/>
      <c r="OXK143" s="33"/>
      <c r="OXL143" s="33"/>
      <c r="OXM143" s="33"/>
      <c r="OXN143" s="33"/>
      <c r="OXO143" s="33"/>
      <c r="OXP143" s="33"/>
      <c r="OXQ143" s="33"/>
      <c r="OXR143" s="33"/>
      <c r="OXS143" s="33"/>
      <c r="OXT143" s="33"/>
      <c r="OXU143" s="33"/>
      <c r="OXV143" s="33"/>
      <c r="OXW143" s="33"/>
      <c r="OXX143" s="33"/>
      <c r="OXY143" s="33"/>
      <c r="OXZ143" s="33"/>
      <c r="OYA143" s="33"/>
      <c r="OYB143" s="33"/>
      <c r="OYC143" s="33"/>
      <c r="OYD143" s="33"/>
      <c r="OYE143" s="33"/>
      <c r="OYF143" s="33"/>
      <c r="OYG143" s="33"/>
      <c r="OYH143" s="33"/>
      <c r="OYI143" s="33"/>
      <c r="OYJ143" s="33"/>
      <c r="OYK143" s="33"/>
      <c r="OYL143" s="33"/>
      <c r="OYM143" s="33"/>
      <c r="OYN143" s="33"/>
      <c r="OYO143" s="33"/>
      <c r="OYP143" s="33"/>
      <c r="OYQ143" s="33"/>
      <c r="OYR143" s="33"/>
      <c r="OYS143" s="33"/>
      <c r="OYT143" s="33"/>
      <c r="OYU143" s="33"/>
      <c r="OYV143" s="33"/>
      <c r="OYW143" s="33"/>
      <c r="OYX143" s="33"/>
      <c r="OYY143" s="33"/>
      <c r="OYZ143" s="33"/>
      <c r="OZA143" s="33"/>
      <c r="OZB143" s="33"/>
      <c r="OZC143" s="33"/>
      <c r="OZD143" s="33"/>
      <c r="OZE143" s="33"/>
      <c r="OZF143" s="33"/>
      <c r="OZG143" s="33"/>
      <c r="OZH143" s="33"/>
      <c r="OZI143" s="33"/>
      <c r="OZJ143" s="33"/>
      <c r="OZK143" s="33"/>
      <c r="OZL143" s="33"/>
      <c r="OZM143" s="33"/>
      <c r="OZN143" s="33"/>
      <c r="OZO143" s="33"/>
      <c r="OZP143" s="33"/>
      <c r="OZQ143" s="33"/>
      <c r="OZR143" s="33"/>
      <c r="OZS143" s="33"/>
      <c r="OZT143" s="33"/>
      <c r="OZU143" s="33"/>
      <c r="OZV143" s="33"/>
      <c r="OZW143" s="33"/>
      <c r="OZX143" s="33"/>
      <c r="OZY143" s="33"/>
      <c r="OZZ143" s="33"/>
      <c r="PAA143" s="33"/>
      <c r="PAB143" s="33"/>
      <c r="PAC143" s="33"/>
      <c r="PAD143" s="33"/>
      <c r="PAE143" s="33"/>
      <c r="PAF143" s="33"/>
      <c r="PAG143" s="33"/>
      <c r="PAH143" s="33"/>
      <c r="PAI143" s="33"/>
      <c r="PAJ143" s="33"/>
      <c r="PAK143" s="33"/>
      <c r="PAL143" s="33"/>
      <c r="PAM143" s="33"/>
      <c r="PAN143" s="33"/>
      <c r="PAO143" s="33"/>
      <c r="PAP143" s="33"/>
      <c r="PAQ143" s="33"/>
      <c r="PAR143" s="33"/>
      <c r="PAS143" s="33"/>
      <c r="PAT143" s="33"/>
      <c r="PAU143" s="33"/>
      <c r="PAV143" s="33"/>
      <c r="PAW143" s="33"/>
      <c r="PAX143" s="33"/>
      <c r="PAY143" s="33"/>
      <c r="PAZ143" s="33"/>
      <c r="PBA143" s="33"/>
      <c r="PBB143" s="33"/>
      <c r="PBC143" s="33"/>
      <c r="PBD143" s="33"/>
      <c r="PBE143" s="33"/>
      <c r="PBF143" s="33"/>
      <c r="PBG143" s="33"/>
      <c r="PBH143" s="33"/>
      <c r="PBI143" s="33"/>
      <c r="PBJ143" s="33"/>
      <c r="PBK143" s="33"/>
      <c r="PBL143" s="33"/>
      <c r="PBM143" s="33"/>
      <c r="PBN143" s="33"/>
      <c r="PBO143" s="33"/>
      <c r="PBP143" s="33"/>
      <c r="PBQ143" s="33"/>
      <c r="PBR143" s="33"/>
      <c r="PBS143" s="33"/>
      <c r="PBT143" s="33"/>
      <c r="PBU143" s="33"/>
      <c r="PBV143" s="33"/>
      <c r="PBW143" s="33"/>
      <c r="PBX143" s="33"/>
      <c r="PBY143" s="33"/>
      <c r="PBZ143" s="33"/>
      <c r="PCA143" s="33"/>
      <c r="PCB143" s="33"/>
      <c r="PCC143" s="33"/>
      <c r="PCD143" s="33"/>
      <c r="PCE143" s="33"/>
      <c r="PCF143" s="33"/>
      <c r="PCG143" s="33"/>
      <c r="PCH143" s="33"/>
      <c r="PCI143" s="33"/>
      <c r="PCJ143" s="33"/>
      <c r="PCK143" s="33"/>
      <c r="PCL143" s="33"/>
      <c r="PCM143" s="33"/>
      <c r="PCN143" s="33"/>
      <c r="PCO143" s="33"/>
      <c r="PCP143" s="33"/>
      <c r="PCQ143" s="33"/>
      <c r="PCR143" s="33"/>
      <c r="PCS143" s="33"/>
      <c r="PCT143" s="33"/>
      <c r="PCU143" s="33"/>
      <c r="PCV143" s="33"/>
      <c r="PCW143" s="33"/>
      <c r="PCX143" s="33"/>
      <c r="PCY143" s="33"/>
      <c r="PCZ143" s="33"/>
      <c r="PDA143" s="33"/>
      <c r="PDB143" s="33"/>
      <c r="PDC143" s="33"/>
      <c r="PDD143" s="33"/>
      <c r="PDE143" s="33"/>
      <c r="PDF143" s="33"/>
      <c r="PDG143" s="33"/>
      <c r="PDH143" s="33"/>
      <c r="PDI143" s="33"/>
      <c r="PDJ143" s="33"/>
      <c r="PDK143" s="33"/>
      <c r="PDL143" s="33"/>
      <c r="PDM143" s="33"/>
      <c r="PDN143" s="33"/>
      <c r="PDO143" s="33"/>
      <c r="PDP143" s="33"/>
      <c r="PDQ143" s="33"/>
      <c r="PDR143" s="33"/>
      <c r="PDS143" s="33"/>
      <c r="PDT143" s="33"/>
      <c r="PDU143" s="33"/>
      <c r="PDV143" s="33"/>
      <c r="PDW143" s="33"/>
      <c r="PDX143" s="33"/>
      <c r="PDY143" s="33"/>
      <c r="PDZ143" s="33"/>
      <c r="PEA143" s="33"/>
      <c r="PEB143" s="33"/>
      <c r="PEC143" s="33"/>
      <c r="PED143" s="33"/>
      <c r="PEE143" s="33"/>
      <c r="PEF143" s="33"/>
      <c r="PEG143" s="33"/>
      <c r="PEH143" s="33"/>
      <c r="PEI143" s="33"/>
      <c r="PEJ143" s="33"/>
      <c r="PEK143" s="33"/>
      <c r="PEL143" s="33"/>
      <c r="PEM143" s="33"/>
      <c r="PEN143" s="33"/>
      <c r="PEO143" s="33"/>
      <c r="PEP143" s="33"/>
      <c r="PEQ143" s="33"/>
      <c r="PER143" s="33"/>
      <c r="PES143" s="33"/>
      <c r="PET143" s="33"/>
      <c r="PEU143" s="33"/>
      <c r="PEV143" s="33"/>
      <c r="PEW143" s="33"/>
      <c r="PEX143" s="33"/>
      <c r="PEY143" s="33"/>
      <c r="PEZ143" s="33"/>
      <c r="PFA143" s="33"/>
      <c r="PFB143" s="33"/>
      <c r="PFC143" s="33"/>
      <c r="PFD143" s="33"/>
      <c r="PFE143" s="33"/>
      <c r="PFF143" s="33"/>
      <c r="PFG143" s="33"/>
      <c r="PFH143" s="33"/>
      <c r="PFI143" s="33"/>
      <c r="PFJ143" s="33"/>
      <c r="PFK143" s="33"/>
      <c r="PFL143" s="33"/>
      <c r="PFM143" s="33"/>
      <c r="PFN143" s="33"/>
      <c r="PFO143" s="33"/>
      <c r="PFP143" s="33"/>
      <c r="PFQ143" s="33"/>
      <c r="PFR143" s="33"/>
      <c r="PFS143" s="33"/>
      <c r="PFT143" s="33"/>
      <c r="PFU143" s="33"/>
      <c r="PFV143" s="33"/>
      <c r="PFW143" s="33"/>
      <c r="PFX143" s="33"/>
      <c r="PFY143" s="33"/>
      <c r="PFZ143" s="33"/>
      <c r="PGA143" s="33"/>
      <c r="PGB143" s="33"/>
      <c r="PGC143" s="33"/>
      <c r="PGD143" s="33"/>
      <c r="PGE143" s="33"/>
      <c r="PGF143" s="33"/>
      <c r="PGG143" s="33"/>
      <c r="PGH143" s="33"/>
      <c r="PGI143" s="33"/>
      <c r="PGJ143" s="33"/>
      <c r="PGK143" s="33"/>
      <c r="PGL143" s="33"/>
      <c r="PGM143" s="33"/>
      <c r="PGN143" s="33"/>
      <c r="PGO143" s="33"/>
      <c r="PGP143" s="33"/>
      <c r="PGQ143" s="33"/>
      <c r="PGR143" s="33"/>
      <c r="PGS143" s="33"/>
      <c r="PGT143" s="33"/>
      <c r="PGU143" s="33"/>
      <c r="PGV143" s="33"/>
      <c r="PGW143" s="33"/>
      <c r="PGX143" s="33"/>
      <c r="PGY143" s="33"/>
      <c r="PGZ143" s="33"/>
      <c r="PHA143" s="33"/>
      <c r="PHB143" s="33"/>
      <c r="PHC143" s="33"/>
      <c r="PHD143" s="33"/>
      <c r="PHE143" s="33"/>
      <c r="PHF143" s="33"/>
      <c r="PHG143" s="33"/>
      <c r="PHH143" s="33"/>
      <c r="PHI143" s="33"/>
      <c r="PHJ143" s="33"/>
      <c r="PHK143" s="33"/>
      <c r="PHL143" s="33"/>
      <c r="PHM143" s="33"/>
      <c r="PHN143" s="33"/>
      <c r="PHO143" s="33"/>
      <c r="PHP143" s="33"/>
      <c r="PHQ143" s="33"/>
      <c r="PHR143" s="33"/>
      <c r="PHS143" s="33"/>
      <c r="PHT143" s="33"/>
      <c r="PHU143" s="33"/>
      <c r="PHV143" s="33"/>
      <c r="PHW143" s="33"/>
      <c r="PHX143" s="33"/>
      <c r="PHY143" s="33"/>
      <c r="PHZ143" s="33"/>
      <c r="PIA143" s="33"/>
      <c r="PIB143" s="33"/>
      <c r="PIC143" s="33"/>
      <c r="PID143" s="33"/>
      <c r="PIE143" s="33"/>
      <c r="PIF143" s="33"/>
      <c r="PIG143" s="33"/>
      <c r="PIH143" s="33"/>
      <c r="PII143" s="33"/>
      <c r="PIJ143" s="33"/>
      <c r="PIK143" s="33"/>
      <c r="PIL143" s="33"/>
      <c r="PIM143" s="33"/>
      <c r="PIN143" s="33"/>
      <c r="PIO143" s="33"/>
      <c r="PIP143" s="33"/>
      <c r="PIQ143" s="33"/>
      <c r="PIR143" s="33"/>
      <c r="PIS143" s="33"/>
      <c r="PIT143" s="33"/>
      <c r="PIU143" s="33"/>
      <c r="PIV143" s="33"/>
      <c r="PIW143" s="33"/>
      <c r="PIX143" s="33"/>
      <c r="PIY143" s="33"/>
      <c r="PIZ143" s="33"/>
      <c r="PJA143" s="33"/>
      <c r="PJB143" s="33"/>
      <c r="PJC143" s="33"/>
      <c r="PJD143" s="33"/>
      <c r="PJE143" s="33"/>
      <c r="PJF143" s="33"/>
      <c r="PJG143" s="33"/>
      <c r="PJH143" s="33"/>
      <c r="PJI143" s="33"/>
      <c r="PJJ143" s="33"/>
      <c r="PJK143" s="33"/>
      <c r="PJL143" s="33"/>
      <c r="PJM143" s="33"/>
      <c r="PJN143" s="33"/>
      <c r="PJO143" s="33"/>
      <c r="PJP143" s="33"/>
      <c r="PJQ143" s="33"/>
      <c r="PJR143" s="33"/>
      <c r="PJS143" s="33"/>
      <c r="PJT143" s="33"/>
      <c r="PJU143" s="33"/>
      <c r="PJV143" s="33"/>
      <c r="PJW143" s="33"/>
      <c r="PJX143" s="33"/>
      <c r="PJY143" s="33"/>
      <c r="PJZ143" s="33"/>
      <c r="PKA143" s="33"/>
      <c r="PKB143" s="33"/>
      <c r="PKC143" s="33"/>
      <c r="PKD143" s="33"/>
      <c r="PKE143" s="33"/>
      <c r="PKF143" s="33"/>
      <c r="PKG143" s="33"/>
      <c r="PKH143" s="33"/>
      <c r="PKI143" s="33"/>
      <c r="PKJ143" s="33"/>
      <c r="PKK143" s="33"/>
      <c r="PKL143" s="33"/>
      <c r="PKM143" s="33"/>
      <c r="PKN143" s="33"/>
      <c r="PKO143" s="33"/>
      <c r="PKP143" s="33"/>
      <c r="PKQ143" s="33"/>
      <c r="PKR143" s="33"/>
      <c r="PKS143" s="33"/>
      <c r="PKT143" s="33"/>
      <c r="PKU143" s="33"/>
      <c r="PKV143" s="33"/>
      <c r="PKW143" s="33"/>
      <c r="PKX143" s="33"/>
      <c r="PKY143" s="33"/>
      <c r="PKZ143" s="33"/>
      <c r="PLA143" s="33"/>
      <c r="PLB143" s="33"/>
      <c r="PLC143" s="33"/>
      <c r="PLD143" s="33"/>
      <c r="PLE143" s="33"/>
      <c r="PLF143" s="33"/>
      <c r="PLG143" s="33"/>
      <c r="PLH143" s="33"/>
      <c r="PLI143" s="33"/>
      <c r="PLJ143" s="33"/>
      <c r="PLK143" s="33"/>
      <c r="PLL143" s="33"/>
      <c r="PLM143" s="33"/>
      <c r="PLN143" s="33"/>
      <c r="PLO143" s="33"/>
      <c r="PLP143" s="33"/>
      <c r="PLQ143" s="33"/>
      <c r="PLR143" s="33"/>
      <c r="PLS143" s="33"/>
      <c r="PLT143" s="33"/>
      <c r="PLU143" s="33"/>
      <c r="PLV143" s="33"/>
      <c r="PLW143" s="33"/>
      <c r="PLX143" s="33"/>
      <c r="PLY143" s="33"/>
      <c r="PLZ143" s="33"/>
      <c r="PMA143" s="33"/>
      <c r="PMB143" s="33"/>
      <c r="PMC143" s="33"/>
      <c r="PMD143" s="33"/>
      <c r="PME143" s="33"/>
      <c r="PMF143" s="33"/>
      <c r="PMG143" s="33"/>
      <c r="PMH143" s="33"/>
      <c r="PMI143" s="33"/>
      <c r="PMJ143" s="33"/>
      <c r="PMK143" s="33"/>
      <c r="PML143" s="33"/>
      <c r="PMM143" s="33"/>
      <c r="PMN143" s="33"/>
      <c r="PMO143" s="33"/>
      <c r="PMP143" s="33"/>
      <c r="PMQ143" s="33"/>
      <c r="PMR143" s="33"/>
      <c r="PMS143" s="33"/>
      <c r="PMT143" s="33"/>
      <c r="PMU143" s="33"/>
      <c r="PMV143" s="33"/>
      <c r="PMW143" s="33"/>
      <c r="PMX143" s="33"/>
      <c r="PMY143" s="33"/>
      <c r="PMZ143" s="33"/>
      <c r="PNA143" s="33"/>
      <c r="PNB143" s="33"/>
      <c r="PNC143" s="33"/>
      <c r="PND143" s="33"/>
      <c r="PNE143" s="33"/>
      <c r="PNF143" s="33"/>
      <c r="PNG143" s="33"/>
      <c r="PNH143" s="33"/>
      <c r="PNI143" s="33"/>
      <c r="PNJ143" s="33"/>
      <c r="PNK143" s="33"/>
      <c r="PNL143" s="33"/>
      <c r="PNM143" s="33"/>
      <c r="PNN143" s="33"/>
      <c r="PNO143" s="33"/>
      <c r="PNP143" s="33"/>
      <c r="PNQ143" s="33"/>
      <c r="PNR143" s="33"/>
      <c r="PNS143" s="33"/>
      <c r="PNT143" s="33"/>
      <c r="PNU143" s="33"/>
      <c r="PNV143" s="33"/>
      <c r="PNW143" s="33"/>
      <c r="PNX143" s="33"/>
      <c r="PNY143" s="33"/>
      <c r="PNZ143" s="33"/>
      <c r="POA143" s="33"/>
      <c r="POB143" s="33"/>
      <c r="POC143" s="33"/>
      <c r="POD143" s="33"/>
      <c r="POE143" s="33"/>
      <c r="POF143" s="33"/>
      <c r="POG143" s="33"/>
      <c r="POH143" s="33"/>
      <c r="POI143" s="33"/>
      <c r="POJ143" s="33"/>
      <c r="POK143" s="33"/>
      <c r="POL143" s="33"/>
      <c r="POM143" s="33"/>
      <c r="PON143" s="33"/>
      <c r="POO143" s="33"/>
      <c r="POP143" s="33"/>
      <c r="POQ143" s="33"/>
      <c r="POR143" s="33"/>
      <c r="POS143" s="33"/>
      <c r="POT143" s="33"/>
      <c r="POU143" s="33"/>
      <c r="POV143" s="33"/>
      <c r="POW143" s="33"/>
      <c r="POX143" s="33"/>
      <c r="POY143" s="33"/>
      <c r="POZ143" s="33"/>
      <c r="PPA143" s="33"/>
      <c r="PPB143" s="33"/>
      <c r="PPC143" s="33"/>
      <c r="PPD143" s="33"/>
      <c r="PPE143" s="33"/>
      <c r="PPF143" s="33"/>
      <c r="PPG143" s="33"/>
      <c r="PPH143" s="33"/>
      <c r="PPI143" s="33"/>
      <c r="PPJ143" s="33"/>
      <c r="PPK143" s="33"/>
      <c r="PPL143" s="33"/>
      <c r="PPM143" s="33"/>
      <c r="PPN143" s="33"/>
      <c r="PPO143" s="33"/>
      <c r="PPP143" s="33"/>
      <c r="PPQ143" s="33"/>
      <c r="PPR143" s="33"/>
      <c r="PPS143" s="33"/>
      <c r="PPT143" s="33"/>
      <c r="PPU143" s="33"/>
      <c r="PPV143" s="33"/>
      <c r="PPW143" s="33"/>
      <c r="PPX143" s="33"/>
      <c r="PPY143" s="33"/>
      <c r="PPZ143" s="33"/>
      <c r="PQA143" s="33"/>
      <c r="PQB143" s="33"/>
      <c r="PQC143" s="33"/>
      <c r="PQD143" s="33"/>
      <c r="PQE143" s="33"/>
      <c r="PQF143" s="33"/>
      <c r="PQG143" s="33"/>
      <c r="PQH143" s="33"/>
      <c r="PQI143" s="33"/>
      <c r="PQJ143" s="33"/>
      <c r="PQK143" s="33"/>
      <c r="PQL143" s="33"/>
      <c r="PQM143" s="33"/>
      <c r="PQN143" s="33"/>
      <c r="PQO143" s="33"/>
      <c r="PQP143" s="33"/>
      <c r="PQQ143" s="33"/>
      <c r="PQR143" s="33"/>
      <c r="PQS143" s="33"/>
      <c r="PQT143" s="33"/>
      <c r="PQU143" s="33"/>
      <c r="PQV143" s="33"/>
      <c r="PQW143" s="33"/>
      <c r="PQX143" s="33"/>
      <c r="PQY143" s="33"/>
      <c r="PQZ143" s="33"/>
      <c r="PRA143" s="33"/>
      <c r="PRB143" s="33"/>
      <c r="PRC143" s="33"/>
      <c r="PRD143" s="33"/>
      <c r="PRE143" s="33"/>
      <c r="PRF143" s="33"/>
      <c r="PRG143" s="33"/>
      <c r="PRH143" s="33"/>
      <c r="PRI143" s="33"/>
      <c r="PRJ143" s="33"/>
      <c r="PRK143" s="33"/>
      <c r="PRL143" s="33"/>
      <c r="PRM143" s="33"/>
      <c r="PRN143" s="33"/>
      <c r="PRO143" s="33"/>
      <c r="PRP143" s="33"/>
      <c r="PRQ143" s="33"/>
      <c r="PRR143" s="33"/>
      <c r="PRS143" s="33"/>
      <c r="PRT143" s="33"/>
      <c r="PRU143" s="33"/>
      <c r="PRV143" s="33"/>
      <c r="PRW143" s="33"/>
      <c r="PRX143" s="33"/>
      <c r="PRY143" s="33"/>
      <c r="PRZ143" s="33"/>
      <c r="PSA143" s="33"/>
      <c r="PSB143" s="33"/>
      <c r="PSC143" s="33"/>
      <c r="PSD143" s="33"/>
      <c r="PSE143" s="33"/>
      <c r="PSF143" s="33"/>
      <c r="PSG143" s="33"/>
      <c r="PSH143" s="33"/>
      <c r="PSI143" s="33"/>
      <c r="PSJ143" s="33"/>
      <c r="PSK143" s="33"/>
      <c r="PSL143" s="33"/>
      <c r="PSM143" s="33"/>
      <c r="PSN143" s="33"/>
      <c r="PSO143" s="33"/>
      <c r="PSP143" s="33"/>
      <c r="PSQ143" s="33"/>
      <c r="PSR143" s="33"/>
      <c r="PSS143" s="33"/>
      <c r="PST143" s="33"/>
      <c r="PSU143" s="33"/>
      <c r="PSV143" s="33"/>
      <c r="PSW143" s="33"/>
      <c r="PSX143" s="33"/>
      <c r="PSY143" s="33"/>
      <c r="PSZ143" s="33"/>
      <c r="PTA143" s="33"/>
      <c r="PTB143" s="33"/>
      <c r="PTC143" s="33"/>
      <c r="PTD143" s="33"/>
      <c r="PTE143" s="33"/>
      <c r="PTF143" s="33"/>
      <c r="PTG143" s="33"/>
      <c r="PTH143" s="33"/>
      <c r="PTI143" s="33"/>
      <c r="PTJ143" s="33"/>
      <c r="PTK143" s="33"/>
      <c r="PTL143" s="33"/>
      <c r="PTM143" s="33"/>
      <c r="PTN143" s="33"/>
      <c r="PTO143" s="33"/>
      <c r="PTP143" s="33"/>
      <c r="PTQ143" s="33"/>
      <c r="PTR143" s="33"/>
      <c r="PTS143" s="33"/>
      <c r="PTT143" s="33"/>
      <c r="PTU143" s="33"/>
      <c r="PTV143" s="33"/>
      <c r="PTW143" s="33"/>
      <c r="PTX143" s="33"/>
      <c r="PTY143" s="33"/>
      <c r="PTZ143" s="33"/>
      <c r="PUA143" s="33"/>
      <c r="PUB143" s="33"/>
      <c r="PUC143" s="33"/>
      <c r="PUD143" s="33"/>
      <c r="PUE143" s="33"/>
      <c r="PUF143" s="33"/>
      <c r="PUG143" s="33"/>
      <c r="PUH143" s="33"/>
      <c r="PUI143" s="33"/>
      <c r="PUJ143" s="33"/>
      <c r="PUK143" s="33"/>
      <c r="PUL143" s="33"/>
      <c r="PUM143" s="33"/>
      <c r="PUN143" s="33"/>
      <c r="PUO143" s="33"/>
      <c r="PUP143" s="33"/>
      <c r="PUQ143" s="33"/>
      <c r="PUR143" s="33"/>
      <c r="PUS143" s="33"/>
      <c r="PUT143" s="33"/>
      <c r="PUU143" s="33"/>
      <c r="PUV143" s="33"/>
      <c r="PUW143" s="33"/>
      <c r="PUX143" s="33"/>
      <c r="PUY143" s="33"/>
      <c r="PUZ143" s="33"/>
      <c r="PVA143" s="33"/>
      <c r="PVB143" s="33"/>
      <c r="PVC143" s="33"/>
      <c r="PVD143" s="33"/>
      <c r="PVE143" s="33"/>
      <c r="PVF143" s="33"/>
      <c r="PVG143" s="33"/>
      <c r="PVH143" s="33"/>
      <c r="PVI143" s="33"/>
      <c r="PVJ143" s="33"/>
      <c r="PVK143" s="33"/>
      <c r="PVL143" s="33"/>
      <c r="PVM143" s="33"/>
      <c r="PVN143" s="33"/>
      <c r="PVO143" s="33"/>
      <c r="PVP143" s="33"/>
      <c r="PVQ143" s="33"/>
      <c r="PVR143" s="33"/>
      <c r="PVS143" s="33"/>
      <c r="PVT143" s="33"/>
      <c r="PVU143" s="33"/>
      <c r="PVV143" s="33"/>
      <c r="PVW143" s="33"/>
      <c r="PVX143" s="33"/>
      <c r="PVY143" s="33"/>
      <c r="PVZ143" s="33"/>
      <c r="PWA143" s="33"/>
      <c r="PWB143" s="33"/>
      <c r="PWC143" s="33"/>
      <c r="PWD143" s="33"/>
      <c r="PWE143" s="33"/>
      <c r="PWF143" s="33"/>
      <c r="PWG143" s="33"/>
      <c r="PWH143" s="33"/>
      <c r="PWI143" s="33"/>
      <c r="PWJ143" s="33"/>
      <c r="PWK143" s="33"/>
      <c r="PWL143" s="33"/>
      <c r="PWM143" s="33"/>
      <c r="PWN143" s="33"/>
      <c r="PWO143" s="33"/>
      <c r="PWP143" s="33"/>
      <c r="PWQ143" s="33"/>
      <c r="PWR143" s="33"/>
      <c r="PWS143" s="33"/>
      <c r="PWT143" s="33"/>
      <c r="PWU143" s="33"/>
      <c r="PWV143" s="33"/>
      <c r="PWW143" s="33"/>
      <c r="PWX143" s="33"/>
      <c r="PWY143" s="33"/>
      <c r="PWZ143" s="33"/>
      <c r="PXA143" s="33"/>
      <c r="PXB143" s="33"/>
      <c r="PXC143" s="33"/>
      <c r="PXD143" s="33"/>
      <c r="PXE143" s="33"/>
      <c r="PXF143" s="33"/>
      <c r="PXG143" s="33"/>
      <c r="PXH143" s="33"/>
      <c r="PXI143" s="33"/>
      <c r="PXJ143" s="33"/>
      <c r="PXK143" s="33"/>
      <c r="PXL143" s="33"/>
      <c r="PXM143" s="33"/>
      <c r="PXN143" s="33"/>
      <c r="PXO143" s="33"/>
      <c r="PXP143" s="33"/>
      <c r="PXQ143" s="33"/>
      <c r="PXR143" s="33"/>
      <c r="PXS143" s="33"/>
      <c r="PXT143" s="33"/>
      <c r="PXU143" s="33"/>
      <c r="PXV143" s="33"/>
      <c r="PXW143" s="33"/>
      <c r="PXX143" s="33"/>
      <c r="PXY143" s="33"/>
      <c r="PXZ143" s="33"/>
      <c r="PYA143" s="33"/>
      <c r="PYB143" s="33"/>
      <c r="PYC143" s="33"/>
      <c r="PYD143" s="33"/>
      <c r="PYE143" s="33"/>
      <c r="PYF143" s="33"/>
      <c r="PYG143" s="33"/>
      <c r="PYH143" s="33"/>
      <c r="PYI143" s="33"/>
      <c r="PYJ143" s="33"/>
      <c r="PYK143" s="33"/>
      <c r="PYL143" s="33"/>
      <c r="PYM143" s="33"/>
      <c r="PYN143" s="33"/>
      <c r="PYO143" s="33"/>
      <c r="PYP143" s="33"/>
      <c r="PYQ143" s="33"/>
      <c r="PYR143" s="33"/>
      <c r="PYS143" s="33"/>
      <c r="PYT143" s="33"/>
      <c r="PYU143" s="33"/>
      <c r="PYV143" s="33"/>
      <c r="PYW143" s="33"/>
      <c r="PYX143" s="33"/>
      <c r="PYY143" s="33"/>
      <c r="PYZ143" s="33"/>
      <c r="PZA143" s="33"/>
      <c r="PZB143" s="33"/>
      <c r="PZC143" s="33"/>
      <c r="PZD143" s="33"/>
      <c r="PZE143" s="33"/>
      <c r="PZF143" s="33"/>
      <c r="PZG143" s="33"/>
      <c r="PZH143" s="33"/>
      <c r="PZI143" s="33"/>
      <c r="PZJ143" s="33"/>
      <c r="PZK143" s="33"/>
      <c r="PZL143" s="33"/>
      <c r="PZM143" s="33"/>
      <c r="PZN143" s="33"/>
      <c r="PZO143" s="33"/>
      <c r="PZP143" s="33"/>
      <c r="PZQ143" s="33"/>
      <c r="PZR143" s="33"/>
      <c r="PZS143" s="33"/>
      <c r="PZT143" s="33"/>
      <c r="PZU143" s="33"/>
      <c r="PZV143" s="33"/>
      <c r="PZW143" s="33"/>
      <c r="PZX143" s="33"/>
      <c r="PZY143" s="33"/>
      <c r="PZZ143" s="33"/>
      <c r="QAA143" s="33"/>
      <c r="QAB143" s="33"/>
      <c r="QAC143" s="33"/>
      <c r="QAD143" s="33"/>
      <c r="QAE143" s="33"/>
      <c r="QAF143" s="33"/>
      <c r="QAG143" s="33"/>
      <c r="QAH143" s="33"/>
      <c r="QAI143" s="33"/>
      <c r="QAJ143" s="33"/>
      <c r="QAK143" s="33"/>
      <c r="QAL143" s="33"/>
      <c r="QAM143" s="33"/>
      <c r="QAN143" s="33"/>
      <c r="QAO143" s="33"/>
      <c r="QAP143" s="33"/>
      <c r="QAQ143" s="33"/>
      <c r="QAR143" s="33"/>
      <c r="QAS143" s="33"/>
      <c r="QAT143" s="33"/>
      <c r="QAU143" s="33"/>
      <c r="QAV143" s="33"/>
      <c r="QAW143" s="33"/>
      <c r="QAX143" s="33"/>
      <c r="QAY143" s="33"/>
      <c r="QAZ143" s="33"/>
      <c r="QBA143" s="33"/>
      <c r="QBB143" s="33"/>
      <c r="QBC143" s="33"/>
      <c r="QBD143" s="33"/>
      <c r="QBE143" s="33"/>
      <c r="QBF143" s="33"/>
      <c r="QBG143" s="33"/>
      <c r="QBH143" s="33"/>
      <c r="QBI143" s="33"/>
      <c r="QBJ143" s="33"/>
      <c r="QBK143" s="33"/>
      <c r="QBL143" s="33"/>
      <c r="QBM143" s="33"/>
      <c r="QBN143" s="33"/>
      <c r="QBO143" s="33"/>
      <c r="QBP143" s="33"/>
      <c r="QBQ143" s="33"/>
      <c r="QBR143" s="33"/>
      <c r="QBS143" s="33"/>
      <c r="QBT143" s="33"/>
      <c r="QBU143" s="33"/>
      <c r="QBV143" s="33"/>
      <c r="QBW143" s="33"/>
      <c r="QBX143" s="33"/>
      <c r="QBY143" s="33"/>
      <c r="QBZ143" s="33"/>
      <c r="QCA143" s="33"/>
      <c r="QCB143" s="33"/>
      <c r="QCC143" s="33"/>
      <c r="QCD143" s="33"/>
      <c r="QCE143" s="33"/>
      <c r="QCF143" s="33"/>
      <c r="QCG143" s="33"/>
      <c r="QCH143" s="33"/>
      <c r="QCI143" s="33"/>
      <c r="QCJ143" s="33"/>
      <c r="QCK143" s="33"/>
      <c r="QCL143" s="33"/>
      <c r="QCM143" s="33"/>
      <c r="QCN143" s="33"/>
      <c r="QCO143" s="33"/>
      <c r="QCP143" s="33"/>
      <c r="QCQ143" s="33"/>
      <c r="QCR143" s="33"/>
      <c r="QCS143" s="33"/>
      <c r="QCT143" s="33"/>
      <c r="QCU143" s="33"/>
      <c r="QCV143" s="33"/>
      <c r="QCW143" s="33"/>
      <c r="QCX143" s="33"/>
      <c r="QCY143" s="33"/>
      <c r="QCZ143" s="33"/>
      <c r="QDA143" s="33"/>
      <c r="QDB143" s="33"/>
      <c r="QDC143" s="33"/>
      <c r="QDD143" s="33"/>
      <c r="QDE143" s="33"/>
      <c r="QDF143" s="33"/>
      <c r="QDG143" s="33"/>
      <c r="QDH143" s="33"/>
      <c r="QDI143" s="33"/>
      <c r="QDJ143" s="33"/>
      <c r="QDK143" s="33"/>
      <c r="QDL143" s="33"/>
      <c r="QDM143" s="33"/>
      <c r="QDN143" s="33"/>
      <c r="QDO143" s="33"/>
      <c r="QDP143" s="33"/>
      <c r="QDQ143" s="33"/>
      <c r="QDR143" s="33"/>
      <c r="QDS143" s="33"/>
      <c r="QDT143" s="33"/>
      <c r="QDU143" s="33"/>
      <c r="QDV143" s="33"/>
      <c r="QDW143" s="33"/>
      <c r="QDX143" s="33"/>
      <c r="QDY143" s="33"/>
      <c r="QDZ143" s="33"/>
      <c r="QEA143" s="33"/>
      <c r="QEB143" s="33"/>
      <c r="QEC143" s="33"/>
      <c r="QED143" s="33"/>
      <c r="QEE143" s="33"/>
      <c r="QEF143" s="33"/>
      <c r="QEG143" s="33"/>
      <c r="QEH143" s="33"/>
      <c r="QEI143" s="33"/>
      <c r="QEJ143" s="33"/>
      <c r="QEK143" s="33"/>
      <c r="QEL143" s="33"/>
      <c r="QEM143" s="33"/>
      <c r="QEN143" s="33"/>
      <c r="QEO143" s="33"/>
      <c r="QEP143" s="33"/>
      <c r="QEQ143" s="33"/>
      <c r="QER143" s="33"/>
      <c r="QES143" s="33"/>
      <c r="QET143" s="33"/>
      <c r="QEU143" s="33"/>
      <c r="QEV143" s="33"/>
      <c r="QEW143" s="33"/>
      <c r="QEX143" s="33"/>
      <c r="QEY143" s="33"/>
      <c r="QEZ143" s="33"/>
      <c r="QFA143" s="33"/>
      <c r="QFB143" s="33"/>
      <c r="QFC143" s="33"/>
      <c r="QFD143" s="33"/>
      <c r="QFE143" s="33"/>
      <c r="QFF143" s="33"/>
      <c r="QFG143" s="33"/>
      <c r="QFH143" s="33"/>
      <c r="QFI143" s="33"/>
      <c r="QFJ143" s="33"/>
      <c r="QFK143" s="33"/>
      <c r="QFL143" s="33"/>
      <c r="QFM143" s="33"/>
      <c r="QFN143" s="33"/>
      <c r="QFO143" s="33"/>
      <c r="QFP143" s="33"/>
      <c r="QFQ143" s="33"/>
      <c r="QFR143" s="33"/>
      <c r="QFS143" s="33"/>
      <c r="QFT143" s="33"/>
      <c r="QFU143" s="33"/>
      <c r="QFV143" s="33"/>
      <c r="QFW143" s="33"/>
      <c r="QFX143" s="33"/>
      <c r="QFY143" s="33"/>
      <c r="QFZ143" s="33"/>
      <c r="QGA143" s="33"/>
      <c r="QGB143" s="33"/>
      <c r="QGC143" s="33"/>
      <c r="QGD143" s="33"/>
      <c r="QGE143" s="33"/>
      <c r="QGF143" s="33"/>
      <c r="QGG143" s="33"/>
      <c r="QGH143" s="33"/>
      <c r="QGI143" s="33"/>
      <c r="QGJ143" s="33"/>
      <c r="QGK143" s="33"/>
      <c r="QGL143" s="33"/>
      <c r="QGM143" s="33"/>
      <c r="QGN143" s="33"/>
      <c r="QGO143" s="33"/>
      <c r="QGP143" s="33"/>
      <c r="QGQ143" s="33"/>
      <c r="QGR143" s="33"/>
      <c r="QGS143" s="33"/>
      <c r="QGT143" s="33"/>
      <c r="QGU143" s="33"/>
      <c r="QGV143" s="33"/>
      <c r="QGW143" s="33"/>
      <c r="QGX143" s="33"/>
      <c r="QGY143" s="33"/>
      <c r="QGZ143" s="33"/>
      <c r="QHA143" s="33"/>
      <c r="QHB143" s="33"/>
      <c r="QHC143" s="33"/>
      <c r="QHD143" s="33"/>
      <c r="QHE143" s="33"/>
      <c r="QHF143" s="33"/>
      <c r="QHG143" s="33"/>
      <c r="QHH143" s="33"/>
      <c r="QHI143" s="33"/>
      <c r="QHJ143" s="33"/>
      <c r="QHK143" s="33"/>
      <c r="QHL143" s="33"/>
      <c r="QHM143" s="33"/>
      <c r="QHN143" s="33"/>
      <c r="QHO143" s="33"/>
      <c r="QHP143" s="33"/>
      <c r="QHQ143" s="33"/>
      <c r="QHR143" s="33"/>
      <c r="QHS143" s="33"/>
      <c r="QHT143" s="33"/>
      <c r="QHU143" s="33"/>
      <c r="QHV143" s="33"/>
      <c r="QHW143" s="33"/>
      <c r="QHX143" s="33"/>
      <c r="QHY143" s="33"/>
      <c r="QHZ143" s="33"/>
      <c r="QIA143" s="33"/>
      <c r="QIB143" s="33"/>
      <c r="QIC143" s="33"/>
      <c r="QID143" s="33"/>
      <c r="QIE143" s="33"/>
      <c r="QIF143" s="33"/>
      <c r="QIG143" s="33"/>
      <c r="QIH143" s="33"/>
      <c r="QII143" s="33"/>
      <c r="QIJ143" s="33"/>
      <c r="QIK143" s="33"/>
      <c r="QIL143" s="33"/>
      <c r="QIM143" s="33"/>
      <c r="QIN143" s="33"/>
      <c r="QIO143" s="33"/>
      <c r="QIP143" s="33"/>
      <c r="QIQ143" s="33"/>
      <c r="QIR143" s="33"/>
      <c r="QIS143" s="33"/>
      <c r="QIT143" s="33"/>
      <c r="QIU143" s="33"/>
      <c r="QIV143" s="33"/>
      <c r="QIW143" s="33"/>
      <c r="QIX143" s="33"/>
      <c r="QIY143" s="33"/>
      <c r="QIZ143" s="33"/>
      <c r="QJA143" s="33"/>
      <c r="QJB143" s="33"/>
      <c r="QJC143" s="33"/>
      <c r="QJD143" s="33"/>
      <c r="QJE143" s="33"/>
      <c r="QJF143" s="33"/>
      <c r="QJG143" s="33"/>
      <c r="QJH143" s="33"/>
      <c r="QJI143" s="33"/>
      <c r="QJJ143" s="33"/>
      <c r="QJK143" s="33"/>
      <c r="QJL143" s="33"/>
      <c r="QJM143" s="33"/>
      <c r="QJN143" s="33"/>
      <c r="QJO143" s="33"/>
      <c r="QJP143" s="33"/>
      <c r="QJQ143" s="33"/>
      <c r="QJR143" s="33"/>
      <c r="QJS143" s="33"/>
      <c r="QJT143" s="33"/>
      <c r="QJU143" s="33"/>
      <c r="QJV143" s="33"/>
      <c r="QJW143" s="33"/>
      <c r="QJX143" s="33"/>
      <c r="QJY143" s="33"/>
      <c r="QJZ143" s="33"/>
      <c r="QKA143" s="33"/>
      <c r="QKB143" s="33"/>
      <c r="QKC143" s="33"/>
      <c r="QKD143" s="33"/>
      <c r="QKE143" s="33"/>
      <c r="QKF143" s="33"/>
      <c r="QKG143" s="33"/>
      <c r="QKH143" s="33"/>
      <c r="QKI143" s="33"/>
      <c r="QKJ143" s="33"/>
      <c r="QKK143" s="33"/>
      <c r="QKL143" s="33"/>
      <c r="QKM143" s="33"/>
      <c r="QKN143" s="33"/>
      <c r="QKO143" s="33"/>
      <c r="QKP143" s="33"/>
      <c r="QKQ143" s="33"/>
      <c r="QKR143" s="33"/>
      <c r="QKS143" s="33"/>
      <c r="QKT143" s="33"/>
      <c r="QKU143" s="33"/>
      <c r="QKV143" s="33"/>
      <c r="QKW143" s="33"/>
      <c r="QKX143" s="33"/>
      <c r="QKY143" s="33"/>
      <c r="QKZ143" s="33"/>
      <c r="QLA143" s="33"/>
      <c r="QLB143" s="33"/>
      <c r="QLC143" s="33"/>
      <c r="QLD143" s="33"/>
      <c r="QLE143" s="33"/>
      <c r="QLF143" s="33"/>
      <c r="QLG143" s="33"/>
      <c r="QLH143" s="33"/>
      <c r="QLI143" s="33"/>
      <c r="QLJ143" s="33"/>
      <c r="QLK143" s="33"/>
      <c r="QLL143" s="33"/>
      <c r="QLM143" s="33"/>
      <c r="QLN143" s="33"/>
      <c r="QLO143" s="33"/>
      <c r="QLP143" s="33"/>
      <c r="QLQ143" s="33"/>
      <c r="QLR143" s="33"/>
      <c r="QLS143" s="33"/>
      <c r="QLT143" s="33"/>
      <c r="QLU143" s="33"/>
      <c r="QLV143" s="33"/>
      <c r="QLW143" s="33"/>
      <c r="QLX143" s="33"/>
      <c r="QLY143" s="33"/>
      <c r="QLZ143" s="33"/>
      <c r="QMA143" s="33"/>
      <c r="QMB143" s="33"/>
      <c r="QMC143" s="33"/>
      <c r="QMD143" s="33"/>
      <c r="QME143" s="33"/>
      <c r="QMF143" s="33"/>
      <c r="QMG143" s="33"/>
      <c r="QMH143" s="33"/>
      <c r="QMI143" s="33"/>
      <c r="QMJ143" s="33"/>
      <c r="QMK143" s="33"/>
      <c r="QML143" s="33"/>
      <c r="QMM143" s="33"/>
      <c r="QMN143" s="33"/>
      <c r="QMO143" s="33"/>
      <c r="QMP143" s="33"/>
      <c r="QMQ143" s="33"/>
      <c r="QMR143" s="33"/>
      <c r="QMS143" s="33"/>
      <c r="QMT143" s="33"/>
      <c r="QMU143" s="33"/>
      <c r="QMV143" s="33"/>
      <c r="QMW143" s="33"/>
      <c r="QMX143" s="33"/>
      <c r="QMY143" s="33"/>
      <c r="QMZ143" s="33"/>
      <c r="QNA143" s="33"/>
      <c r="QNB143" s="33"/>
      <c r="QNC143" s="33"/>
      <c r="QND143" s="33"/>
      <c r="QNE143" s="33"/>
      <c r="QNF143" s="33"/>
      <c r="QNG143" s="33"/>
      <c r="QNH143" s="33"/>
      <c r="QNI143" s="33"/>
      <c r="QNJ143" s="33"/>
      <c r="QNK143" s="33"/>
      <c r="QNL143" s="33"/>
      <c r="QNM143" s="33"/>
      <c r="QNN143" s="33"/>
      <c r="QNO143" s="33"/>
      <c r="QNP143" s="33"/>
      <c r="QNQ143" s="33"/>
      <c r="QNR143" s="33"/>
      <c r="QNS143" s="33"/>
      <c r="QNT143" s="33"/>
      <c r="QNU143" s="33"/>
      <c r="QNV143" s="33"/>
      <c r="QNW143" s="33"/>
      <c r="QNX143" s="33"/>
      <c r="QNY143" s="33"/>
      <c r="QNZ143" s="33"/>
      <c r="QOA143" s="33"/>
      <c r="QOB143" s="33"/>
      <c r="QOC143" s="33"/>
      <c r="QOD143" s="33"/>
      <c r="QOE143" s="33"/>
      <c r="QOF143" s="33"/>
      <c r="QOG143" s="33"/>
      <c r="QOH143" s="33"/>
      <c r="QOI143" s="33"/>
      <c r="QOJ143" s="33"/>
      <c r="QOK143" s="33"/>
      <c r="QOL143" s="33"/>
      <c r="QOM143" s="33"/>
      <c r="QON143" s="33"/>
      <c r="QOO143" s="33"/>
      <c r="QOP143" s="33"/>
      <c r="QOQ143" s="33"/>
      <c r="QOR143" s="33"/>
      <c r="QOS143" s="33"/>
      <c r="QOT143" s="33"/>
      <c r="QOU143" s="33"/>
      <c r="QOV143" s="33"/>
      <c r="QOW143" s="33"/>
      <c r="QOX143" s="33"/>
      <c r="QOY143" s="33"/>
      <c r="QOZ143" s="33"/>
      <c r="QPA143" s="33"/>
      <c r="QPB143" s="33"/>
      <c r="QPC143" s="33"/>
      <c r="QPD143" s="33"/>
      <c r="QPE143" s="33"/>
      <c r="QPF143" s="33"/>
      <c r="QPG143" s="33"/>
      <c r="QPH143" s="33"/>
      <c r="QPI143" s="33"/>
      <c r="QPJ143" s="33"/>
      <c r="QPK143" s="33"/>
      <c r="QPL143" s="33"/>
      <c r="QPM143" s="33"/>
      <c r="QPN143" s="33"/>
      <c r="QPO143" s="33"/>
      <c r="QPP143" s="33"/>
      <c r="QPQ143" s="33"/>
      <c r="QPR143" s="33"/>
      <c r="QPS143" s="33"/>
      <c r="QPT143" s="33"/>
      <c r="QPU143" s="33"/>
      <c r="QPV143" s="33"/>
      <c r="QPW143" s="33"/>
      <c r="QPX143" s="33"/>
      <c r="QPY143" s="33"/>
      <c r="QPZ143" s="33"/>
      <c r="QQA143" s="33"/>
      <c r="QQB143" s="33"/>
      <c r="QQC143" s="33"/>
      <c r="QQD143" s="33"/>
      <c r="QQE143" s="33"/>
      <c r="QQF143" s="33"/>
      <c r="QQG143" s="33"/>
      <c r="QQH143" s="33"/>
      <c r="QQI143" s="33"/>
      <c r="QQJ143" s="33"/>
      <c r="QQK143" s="33"/>
      <c r="QQL143" s="33"/>
      <c r="QQM143" s="33"/>
      <c r="QQN143" s="33"/>
      <c r="QQO143" s="33"/>
      <c r="QQP143" s="33"/>
      <c r="QQQ143" s="33"/>
      <c r="QQR143" s="33"/>
      <c r="QQS143" s="33"/>
      <c r="QQT143" s="33"/>
      <c r="QQU143" s="33"/>
      <c r="QQV143" s="33"/>
      <c r="QQW143" s="33"/>
      <c r="QQX143" s="33"/>
      <c r="QQY143" s="33"/>
      <c r="QQZ143" s="33"/>
      <c r="QRA143" s="33"/>
      <c r="QRB143" s="33"/>
      <c r="QRC143" s="33"/>
      <c r="QRD143" s="33"/>
      <c r="QRE143" s="33"/>
      <c r="QRF143" s="33"/>
      <c r="QRG143" s="33"/>
      <c r="QRH143" s="33"/>
      <c r="QRI143" s="33"/>
      <c r="QRJ143" s="33"/>
      <c r="QRK143" s="33"/>
      <c r="QRL143" s="33"/>
      <c r="QRM143" s="33"/>
      <c r="QRN143" s="33"/>
      <c r="QRO143" s="33"/>
      <c r="QRP143" s="33"/>
      <c r="QRQ143" s="33"/>
      <c r="QRR143" s="33"/>
      <c r="QRS143" s="33"/>
      <c r="QRT143" s="33"/>
      <c r="QRU143" s="33"/>
      <c r="QRV143" s="33"/>
      <c r="QRW143" s="33"/>
      <c r="QRX143" s="33"/>
      <c r="QRY143" s="33"/>
      <c r="QRZ143" s="33"/>
      <c r="QSA143" s="33"/>
      <c r="QSB143" s="33"/>
      <c r="QSC143" s="33"/>
      <c r="QSD143" s="33"/>
      <c r="QSE143" s="33"/>
      <c r="QSF143" s="33"/>
      <c r="QSG143" s="33"/>
      <c r="QSH143" s="33"/>
      <c r="QSI143" s="33"/>
      <c r="QSJ143" s="33"/>
      <c r="QSK143" s="33"/>
      <c r="QSL143" s="33"/>
      <c r="QSM143" s="33"/>
      <c r="QSN143" s="33"/>
      <c r="QSO143" s="33"/>
      <c r="QSP143" s="33"/>
      <c r="QSQ143" s="33"/>
      <c r="QSR143" s="33"/>
      <c r="QSS143" s="33"/>
      <c r="QST143" s="33"/>
      <c r="QSU143" s="33"/>
      <c r="QSV143" s="33"/>
      <c r="QSW143" s="33"/>
      <c r="QSX143" s="33"/>
      <c r="QSY143" s="33"/>
      <c r="QSZ143" s="33"/>
      <c r="QTA143" s="33"/>
      <c r="QTB143" s="33"/>
      <c r="QTC143" s="33"/>
      <c r="QTD143" s="33"/>
      <c r="QTE143" s="33"/>
      <c r="QTF143" s="33"/>
      <c r="QTG143" s="33"/>
      <c r="QTH143" s="33"/>
      <c r="QTI143" s="33"/>
      <c r="QTJ143" s="33"/>
      <c r="QTK143" s="33"/>
      <c r="QTL143" s="33"/>
      <c r="QTM143" s="33"/>
      <c r="QTN143" s="33"/>
      <c r="QTO143" s="33"/>
      <c r="QTP143" s="33"/>
      <c r="QTQ143" s="33"/>
      <c r="QTR143" s="33"/>
      <c r="QTS143" s="33"/>
      <c r="QTT143" s="33"/>
      <c r="QTU143" s="33"/>
      <c r="QTV143" s="33"/>
      <c r="QTW143" s="33"/>
      <c r="QTX143" s="33"/>
      <c r="QTY143" s="33"/>
      <c r="QTZ143" s="33"/>
      <c r="QUA143" s="33"/>
      <c r="QUB143" s="33"/>
      <c r="QUC143" s="33"/>
      <c r="QUD143" s="33"/>
      <c r="QUE143" s="33"/>
      <c r="QUF143" s="33"/>
      <c r="QUG143" s="33"/>
      <c r="QUH143" s="33"/>
      <c r="QUI143" s="33"/>
      <c r="QUJ143" s="33"/>
      <c r="QUK143" s="33"/>
      <c r="QUL143" s="33"/>
      <c r="QUM143" s="33"/>
      <c r="QUN143" s="33"/>
      <c r="QUO143" s="33"/>
      <c r="QUP143" s="33"/>
      <c r="QUQ143" s="33"/>
      <c r="QUR143" s="33"/>
      <c r="QUS143" s="33"/>
      <c r="QUT143" s="33"/>
      <c r="QUU143" s="33"/>
      <c r="QUV143" s="33"/>
      <c r="QUW143" s="33"/>
      <c r="QUX143" s="33"/>
      <c r="QUY143" s="33"/>
      <c r="QUZ143" s="33"/>
      <c r="QVA143" s="33"/>
      <c r="QVB143" s="33"/>
      <c r="QVC143" s="33"/>
      <c r="QVD143" s="33"/>
      <c r="QVE143" s="33"/>
      <c r="QVF143" s="33"/>
      <c r="QVG143" s="33"/>
      <c r="QVH143" s="33"/>
      <c r="QVI143" s="33"/>
      <c r="QVJ143" s="33"/>
      <c r="QVK143" s="33"/>
      <c r="QVL143" s="33"/>
      <c r="QVM143" s="33"/>
      <c r="QVN143" s="33"/>
      <c r="QVO143" s="33"/>
      <c r="QVP143" s="33"/>
      <c r="QVQ143" s="33"/>
      <c r="QVR143" s="33"/>
      <c r="QVS143" s="33"/>
      <c r="QVT143" s="33"/>
      <c r="QVU143" s="33"/>
      <c r="QVV143" s="33"/>
      <c r="QVW143" s="33"/>
      <c r="QVX143" s="33"/>
      <c r="QVY143" s="33"/>
      <c r="QVZ143" s="33"/>
      <c r="QWA143" s="33"/>
      <c r="QWB143" s="33"/>
      <c r="QWC143" s="33"/>
      <c r="QWD143" s="33"/>
      <c r="QWE143" s="33"/>
      <c r="QWF143" s="33"/>
      <c r="QWG143" s="33"/>
      <c r="QWH143" s="33"/>
      <c r="QWI143" s="33"/>
      <c r="QWJ143" s="33"/>
      <c r="QWK143" s="33"/>
      <c r="QWL143" s="33"/>
      <c r="QWM143" s="33"/>
      <c r="QWN143" s="33"/>
      <c r="QWO143" s="33"/>
      <c r="QWP143" s="33"/>
      <c r="QWQ143" s="33"/>
      <c r="QWR143" s="33"/>
      <c r="QWS143" s="33"/>
      <c r="QWT143" s="33"/>
      <c r="QWU143" s="33"/>
      <c r="QWV143" s="33"/>
      <c r="QWW143" s="33"/>
      <c r="QWX143" s="33"/>
      <c r="QWY143" s="33"/>
      <c r="QWZ143" s="33"/>
      <c r="QXA143" s="33"/>
      <c r="QXB143" s="33"/>
      <c r="QXC143" s="33"/>
      <c r="QXD143" s="33"/>
      <c r="QXE143" s="33"/>
      <c r="QXF143" s="33"/>
      <c r="QXG143" s="33"/>
      <c r="QXH143" s="33"/>
      <c r="QXI143" s="33"/>
      <c r="QXJ143" s="33"/>
      <c r="QXK143" s="33"/>
      <c r="QXL143" s="33"/>
      <c r="QXM143" s="33"/>
      <c r="QXN143" s="33"/>
      <c r="QXO143" s="33"/>
      <c r="QXP143" s="33"/>
      <c r="QXQ143" s="33"/>
      <c r="QXR143" s="33"/>
      <c r="QXS143" s="33"/>
      <c r="QXT143" s="33"/>
      <c r="QXU143" s="33"/>
      <c r="QXV143" s="33"/>
      <c r="QXW143" s="33"/>
      <c r="QXX143" s="33"/>
      <c r="QXY143" s="33"/>
      <c r="QXZ143" s="33"/>
      <c r="QYA143" s="33"/>
      <c r="QYB143" s="33"/>
      <c r="QYC143" s="33"/>
      <c r="QYD143" s="33"/>
      <c r="QYE143" s="33"/>
      <c r="QYF143" s="33"/>
      <c r="QYG143" s="33"/>
      <c r="QYH143" s="33"/>
      <c r="QYI143" s="33"/>
      <c r="QYJ143" s="33"/>
      <c r="QYK143" s="33"/>
      <c r="QYL143" s="33"/>
      <c r="QYM143" s="33"/>
      <c r="QYN143" s="33"/>
      <c r="QYO143" s="33"/>
      <c r="QYP143" s="33"/>
      <c r="QYQ143" s="33"/>
      <c r="QYR143" s="33"/>
      <c r="QYS143" s="33"/>
      <c r="QYT143" s="33"/>
      <c r="QYU143" s="33"/>
      <c r="QYV143" s="33"/>
      <c r="QYW143" s="33"/>
      <c r="QYX143" s="33"/>
      <c r="QYY143" s="33"/>
      <c r="QYZ143" s="33"/>
      <c r="QZA143" s="33"/>
      <c r="QZB143" s="33"/>
      <c r="QZC143" s="33"/>
      <c r="QZD143" s="33"/>
      <c r="QZE143" s="33"/>
      <c r="QZF143" s="33"/>
      <c r="QZG143" s="33"/>
      <c r="QZH143" s="33"/>
      <c r="QZI143" s="33"/>
      <c r="QZJ143" s="33"/>
      <c r="QZK143" s="33"/>
      <c r="QZL143" s="33"/>
      <c r="QZM143" s="33"/>
      <c r="QZN143" s="33"/>
      <c r="QZO143" s="33"/>
      <c r="QZP143" s="33"/>
      <c r="QZQ143" s="33"/>
      <c r="QZR143" s="33"/>
      <c r="QZS143" s="33"/>
      <c r="QZT143" s="33"/>
      <c r="QZU143" s="33"/>
      <c r="QZV143" s="33"/>
      <c r="QZW143" s="33"/>
      <c r="QZX143" s="33"/>
      <c r="QZY143" s="33"/>
      <c r="QZZ143" s="33"/>
      <c r="RAA143" s="33"/>
      <c r="RAB143" s="33"/>
      <c r="RAC143" s="33"/>
      <c r="RAD143" s="33"/>
      <c r="RAE143" s="33"/>
      <c r="RAF143" s="33"/>
      <c r="RAG143" s="33"/>
      <c r="RAH143" s="33"/>
      <c r="RAI143" s="33"/>
      <c r="RAJ143" s="33"/>
      <c r="RAK143" s="33"/>
      <c r="RAL143" s="33"/>
      <c r="RAM143" s="33"/>
      <c r="RAN143" s="33"/>
      <c r="RAO143" s="33"/>
      <c r="RAP143" s="33"/>
      <c r="RAQ143" s="33"/>
      <c r="RAR143" s="33"/>
      <c r="RAS143" s="33"/>
      <c r="RAT143" s="33"/>
      <c r="RAU143" s="33"/>
      <c r="RAV143" s="33"/>
      <c r="RAW143" s="33"/>
      <c r="RAX143" s="33"/>
      <c r="RAY143" s="33"/>
      <c r="RAZ143" s="33"/>
      <c r="RBA143" s="33"/>
      <c r="RBB143" s="33"/>
      <c r="RBC143" s="33"/>
      <c r="RBD143" s="33"/>
      <c r="RBE143" s="33"/>
      <c r="RBF143" s="33"/>
      <c r="RBG143" s="33"/>
      <c r="RBH143" s="33"/>
      <c r="RBI143" s="33"/>
      <c r="RBJ143" s="33"/>
      <c r="RBK143" s="33"/>
      <c r="RBL143" s="33"/>
      <c r="RBM143" s="33"/>
      <c r="RBN143" s="33"/>
      <c r="RBO143" s="33"/>
      <c r="RBP143" s="33"/>
      <c r="RBQ143" s="33"/>
      <c r="RBR143" s="33"/>
      <c r="RBS143" s="33"/>
      <c r="RBT143" s="33"/>
      <c r="RBU143" s="33"/>
      <c r="RBV143" s="33"/>
      <c r="RBW143" s="33"/>
      <c r="RBX143" s="33"/>
      <c r="RBY143" s="33"/>
      <c r="RBZ143" s="33"/>
      <c r="RCA143" s="33"/>
      <c r="RCB143" s="33"/>
      <c r="RCC143" s="33"/>
      <c r="RCD143" s="33"/>
      <c r="RCE143" s="33"/>
      <c r="RCF143" s="33"/>
      <c r="RCG143" s="33"/>
      <c r="RCH143" s="33"/>
      <c r="RCI143" s="33"/>
      <c r="RCJ143" s="33"/>
      <c r="RCK143" s="33"/>
      <c r="RCL143" s="33"/>
      <c r="RCM143" s="33"/>
      <c r="RCN143" s="33"/>
      <c r="RCO143" s="33"/>
      <c r="RCP143" s="33"/>
      <c r="RCQ143" s="33"/>
      <c r="RCR143" s="33"/>
      <c r="RCS143" s="33"/>
      <c r="RCT143" s="33"/>
      <c r="RCU143" s="33"/>
      <c r="RCV143" s="33"/>
      <c r="RCW143" s="33"/>
      <c r="RCX143" s="33"/>
      <c r="RCY143" s="33"/>
      <c r="RCZ143" s="33"/>
      <c r="RDA143" s="33"/>
      <c r="RDB143" s="33"/>
      <c r="RDC143" s="33"/>
      <c r="RDD143" s="33"/>
      <c r="RDE143" s="33"/>
      <c r="RDF143" s="33"/>
      <c r="RDG143" s="33"/>
      <c r="RDH143" s="33"/>
      <c r="RDI143" s="33"/>
      <c r="RDJ143" s="33"/>
      <c r="RDK143" s="33"/>
      <c r="RDL143" s="33"/>
      <c r="RDM143" s="33"/>
      <c r="RDN143" s="33"/>
      <c r="RDO143" s="33"/>
      <c r="RDP143" s="33"/>
      <c r="RDQ143" s="33"/>
      <c r="RDR143" s="33"/>
      <c r="RDS143" s="33"/>
      <c r="RDT143" s="33"/>
      <c r="RDU143" s="33"/>
      <c r="RDV143" s="33"/>
      <c r="RDW143" s="33"/>
      <c r="RDX143" s="33"/>
      <c r="RDY143" s="33"/>
      <c r="RDZ143" s="33"/>
      <c r="REA143" s="33"/>
      <c r="REB143" s="33"/>
      <c r="REC143" s="33"/>
      <c r="RED143" s="33"/>
      <c r="REE143" s="33"/>
      <c r="REF143" s="33"/>
      <c r="REG143" s="33"/>
      <c r="REH143" s="33"/>
      <c r="REI143" s="33"/>
      <c r="REJ143" s="33"/>
      <c r="REK143" s="33"/>
      <c r="REL143" s="33"/>
      <c r="REM143" s="33"/>
      <c r="REN143" s="33"/>
      <c r="REO143" s="33"/>
      <c r="REP143" s="33"/>
      <c r="REQ143" s="33"/>
      <c r="RER143" s="33"/>
      <c r="RES143" s="33"/>
      <c r="RET143" s="33"/>
      <c r="REU143" s="33"/>
      <c r="REV143" s="33"/>
      <c r="REW143" s="33"/>
      <c r="REX143" s="33"/>
      <c r="REY143" s="33"/>
      <c r="REZ143" s="33"/>
      <c r="RFA143" s="33"/>
      <c r="RFB143" s="33"/>
      <c r="RFC143" s="33"/>
      <c r="RFD143" s="33"/>
      <c r="RFE143" s="33"/>
      <c r="RFF143" s="33"/>
      <c r="RFG143" s="33"/>
      <c r="RFH143" s="33"/>
      <c r="RFI143" s="33"/>
      <c r="RFJ143" s="33"/>
      <c r="RFK143" s="33"/>
      <c r="RFL143" s="33"/>
      <c r="RFM143" s="33"/>
      <c r="RFN143" s="33"/>
      <c r="RFO143" s="33"/>
      <c r="RFP143" s="33"/>
      <c r="RFQ143" s="33"/>
      <c r="RFR143" s="33"/>
      <c r="RFS143" s="33"/>
      <c r="RFT143" s="33"/>
      <c r="RFU143" s="33"/>
      <c r="RFV143" s="33"/>
      <c r="RFW143" s="33"/>
      <c r="RFX143" s="33"/>
      <c r="RFY143" s="33"/>
      <c r="RFZ143" s="33"/>
      <c r="RGA143" s="33"/>
      <c r="RGB143" s="33"/>
      <c r="RGC143" s="33"/>
      <c r="RGD143" s="33"/>
      <c r="RGE143" s="33"/>
      <c r="RGF143" s="33"/>
      <c r="RGG143" s="33"/>
      <c r="RGH143" s="33"/>
      <c r="RGI143" s="33"/>
      <c r="RGJ143" s="33"/>
      <c r="RGK143" s="33"/>
      <c r="RGL143" s="33"/>
      <c r="RGM143" s="33"/>
      <c r="RGN143" s="33"/>
      <c r="RGO143" s="33"/>
      <c r="RGP143" s="33"/>
      <c r="RGQ143" s="33"/>
      <c r="RGR143" s="33"/>
      <c r="RGS143" s="33"/>
      <c r="RGT143" s="33"/>
      <c r="RGU143" s="33"/>
      <c r="RGV143" s="33"/>
      <c r="RGW143" s="33"/>
      <c r="RGX143" s="33"/>
      <c r="RGY143" s="33"/>
      <c r="RGZ143" s="33"/>
      <c r="RHA143" s="33"/>
      <c r="RHB143" s="33"/>
      <c r="RHC143" s="33"/>
      <c r="RHD143" s="33"/>
      <c r="RHE143" s="33"/>
      <c r="RHF143" s="33"/>
      <c r="RHG143" s="33"/>
      <c r="RHH143" s="33"/>
      <c r="RHI143" s="33"/>
      <c r="RHJ143" s="33"/>
      <c r="RHK143" s="33"/>
      <c r="RHL143" s="33"/>
      <c r="RHM143" s="33"/>
      <c r="RHN143" s="33"/>
      <c r="RHO143" s="33"/>
      <c r="RHP143" s="33"/>
      <c r="RHQ143" s="33"/>
      <c r="RHR143" s="33"/>
      <c r="RHS143" s="33"/>
      <c r="RHT143" s="33"/>
      <c r="RHU143" s="33"/>
      <c r="RHV143" s="33"/>
      <c r="RHW143" s="33"/>
      <c r="RHX143" s="33"/>
      <c r="RHY143" s="33"/>
      <c r="RHZ143" s="33"/>
      <c r="RIA143" s="33"/>
      <c r="RIB143" s="33"/>
      <c r="RIC143" s="33"/>
      <c r="RID143" s="33"/>
      <c r="RIE143" s="33"/>
      <c r="RIF143" s="33"/>
      <c r="RIG143" s="33"/>
      <c r="RIH143" s="33"/>
      <c r="RII143" s="33"/>
      <c r="RIJ143" s="33"/>
      <c r="RIK143" s="33"/>
      <c r="RIL143" s="33"/>
      <c r="RIM143" s="33"/>
      <c r="RIN143" s="33"/>
      <c r="RIO143" s="33"/>
      <c r="RIP143" s="33"/>
      <c r="RIQ143" s="33"/>
      <c r="RIR143" s="33"/>
      <c r="RIS143" s="33"/>
      <c r="RIT143" s="33"/>
      <c r="RIU143" s="33"/>
      <c r="RIV143" s="33"/>
      <c r="RIW143" s="33"/>
      <c r="RIX143" s="33"/>
      <c r="RIY143" s="33"/>
      <c r="RIZ143" s="33"/>
      <c r="RJA143" s="33"/>
      <c r="RJB143" s="33"/>
      <c r="RJC143" s="33"/>
      <c r="RJD143" s="33"/>
      <c r="RJE143" s="33"/>
      <c r="RJF143" s="33"/>
      <c r="RJG143" s="33"/>
      <c r="RJH143" s="33"/>
      <c r="RJI143" s="33"/>
      <c r="RJJ143" s="33"/>
      <c r="RJK143" s="33"/>
      <c r="RJL143" s="33"/>
      <c r="RJM143" s="33"/>
      <c r="RJN143" s="33"/>
      <c r="RJO143" s="33"/>
      <c r="RJP143" s="33"/>
      <c r="RJQ143" s="33"/>
      <c r="RJR143" s="33"/>
      <c r="RJS143" s="33"/>
      <c r="RJT143" s="33"/>
      <c r="RJU143" s="33"/>
      <c r="RJV143" s="33"/>
      <c r="RJW143" s="33"/>
      <c r="RJX143" s="33"/>
      <c r="RJY143" s="33"/>
      <c r="RJZ143" s="33"/>
      <c r="RKA143" s="33"/>
      <c r="RKB143" s="33"/>
      <c r="RKC143" s="33"/>
      <c r="RKD143" s="33"/>
      <c r="RKE143" s="33"/>
      <c r="RKF143" s="33"/>
      <c r="RKG143" s="33"/>
      <c r="RKH143" s="33"/>
      <c r="RKI143" s="33"/>
      <c r="RKJ143" s="33"/>
      <c r="RKK143" s="33"/>
      <c r="RKL143" s="33"/>
      <c r="RKM143" s="33"/>
      <c r="RKN143" s="33"/>
      <c r="RKO143" s="33"/>
      <c r="RKP143" s="33"/>
      <c r="RKQ143" s="33"/>
      <c r="RKR143" s="33"/>
      <c r="RKS143" s="33"/>
      <c r="RKT143" s="33"/>
      <c r="RKU143" s="33"/>
      <c r="RKV143" s="33"/>
      <c r="RKW143" s="33"/>
      <c r="RKX143" s="33"/>
      <c r="RKY143" s="33"/>
      <c r="RKZ143" s="33"/>
      <c r="RLA143" s="33"/>
      <c r="RLB143" s="33"/>
      <c r="RLC143" s="33"/>
      <c r="RLD143" s="33"/>
      <c r="RLE143" s="33"/>
      <c r="RLF143" s="33"/>
      <c r="RLG143" s="33"/>
      <c r="RLH143" s="33"/>
      <c r="RLI143" s="33"/>
      <c r="RLJ143" s="33"/>
      <c r="RLK143" s="33"/>
      <c r="RLL143" s="33"/>
      <c r="RLM143" s="33"/>
      <c r="RLN143" s="33"/>
      <c r="RLO143" s="33"/>
      <c r="RLP143" s="33"/>
      <c r="RLQ143" s="33"/>
      <c r="RLR143" s="33"/>
      <c r="RLS143" s="33"/>
      <c r="RLT143" s="33"/>
      <c r="RLU143" s="33"/>
      <c r="RLV143" s="33"/>
      <c r="RLW143" s="33"/>
      <c r="RLX143" s="33"/>
      <c r="RLY143" s="33"/>
      <c r="RLZ143" s="33"/>
      <c r="RMA143" s="33"/>
      <c r="RMB143" s="33"/>
      <c r="RMC143" s="33"/>
      <c r="RMD143" s="33"/>
      <c r="RME143" s="33"/>
      <c r="RMF143" s="33"/>
      <c r="RMG143" s="33"/>
      <c r="RMH143" s="33"/>
      <c r="RMI143" s="33"/>
      <c r="RMJ143" s="33"/>
      <c r="RMK143" s="33"/>
      <c r="RML143" s="33"/>
      <c r="RMM143" s="33"/>
      <c r="RMN143" s="33"/>
      <c r="RMO143" s="33"/>
      <c r="RMP143" s="33"/>
      <c r="RMQ143" s="33"/>
      <c r="RMR143" s="33"/>
      <c r="RMS143" s="33"/>
      <c r="RMT143" s="33"/>
      <c r="RMU143" s="33"/>
      <c r="RMV143" s="33"/>
      <c r="RMW143" s="33"/>
      <c r="RMX143" s="33"/>
      <c r="RMY143" s="33"/>
      <c r="RMZ143" s="33"/>
      <c r="RNA143" s="33"/>
      <c r="RNB143" s="33"/>
      <c r="RNC143" s="33"/>
      <c r="RND143" s="33"/>
      <c r="RNE143" s="33"/>
      <c r="RNF143" s="33"/>
      <c r="RNG143" s="33"/>
      <c r="RNH143" s="33"/>
      <c r="RNI143" s="33"/>
      <c r="RNJ143" s="33"/>
      <c r="RNK143" s="33"/>
      <c r="RNL143" s="33"/>
      <c r="RNM143" s="33"/>
      <c r="RNN143" s="33"/>
      <c r="RNO143" s="33"/>
      <c r="RNP143" s="33"/>
      <c r="RNQ143" s="33"/>
      <c r="RNR143" s="33"/>
      <c r="RNS143" s="33"/>
      <c r="RNT143" s="33"/>
      <c r="RNU143" s="33"/>
      <c r="RNV143" s="33"/>
      <c r="RNW143" s="33"/>
      <c r="RNX143" s="33"/>
      <c r="RNY143" s="33"/>
      <c r="RNZ143" s="33"/>
      <c r="ROA143" s="33"/>
      <c r="ROB143" s="33"/>
      <c r="ROC143" s="33"/>
      <c r="ROD143" s="33"/>
      <c r="ROE143" s="33"/>
      <c r="ROF143" s="33"/>
      <c r="ROG143" s="33"/>
      <c r="ROH143" s="33"/>
      <c r="ROI143" s="33"/>
      <c r="ROJ143" s="33"/>
      <c r="ROK143" s="33"/>
      <c r="ROL143" s="33"/>
      <c r="ROM143" s="33"/>
      <c r="RON143" s="33"/>
      <c r="ROO143" s="33"/>
      <c r="ROP143" s="33"/>
      <c r="ROQ143" s="33"/>
      <c r="ROR143" s="33"/>
      <c r="ROS143" s="33"/>
      <c r="ROT143" s="33"/>
      <c r="ROU143" s="33"/>
      <c r="ROV143" s="33"/>
      <c r="ROW143" s="33"/>
      <c r="ROX143" s="33"/>
      <c r="ROY143" s="33"/>
      <c r="ROZ143" s="33"/>
      <c r="RPA143" s="33"/>
      <c r="RPB143" s="33"/>
      <c r="RPC143" s="33"/>
      <c r="RPD143" s="33"/>
      <c r="RPE143" s="33"/>
      <c r="RPF143" s="33"/>
      <c r="RPG143" s="33"/>
      <c r="RPH143" s="33"/>
      <c r="RPI143" s="33"/>
      <c r="RPJ143" s="33"/>
      <c r="RPK143" s="33"/>
      <c r="RPL143" s="33"/>
      <c r="RPM143" s="33"/>
      <c r="RPN143" s="33"/>
      <c r="RPO143" s="33"/>
      <c r="RPP143" s="33"/>
      <c r="RPQ143" s="33"/>
      <c r="RPR143" s="33"/>
      <c r="RPS143" s="33"/>
      <c r="RPT143" s="33"/>
      <c r="RPU143" s="33"/>
      <c r="RPV143" s="33"/>
      <c r="RPW143" s="33"/>
      <c r="RPX143" s="33"/>
      <c r="RPY143" s="33"/>
      <c r="RPZ143" s="33"/>
      <c r="RQA143" s="33"/>
      <c r="RQB143" s="33"/>
      <c r="RQC143" s="33"/>
      <c r="RQD143" s="33"/>
      <c r="RQE143" s="33"/>
      <c r="RQF143" s="33"/>
      <c r="RQG143" s="33"/>
      <c r="RQH143" s="33"/>
      <c r="RQI143" s="33"/>
      <c r="RQJ143" s="33"/>
      <c r="RQK143" s="33"/>
      <c r="RQL143" s="33"/>
      <c r="RQM143" s="33"/>
      <c r="RQN143" s="33"/>
      <c r="RQO143" s="33"/>
      <c r="RQP143" s="33"/>
      <c r="RQQ143" s="33"/>
      <c r="RQR143" s="33"/>
      <c r="RQS143" s="33"/>
      <c r="RQT143" s="33"/>
      <c r="RQU143" s="33"/>
      <c r="RQV143" s="33"/>
      <c r="RQW143" s="33"/>
      <c r="RQX143" s="33"/>
      <c r="RQY143" s="33"/>
      <c r="RQZ143" s="33"/>
      <c r="RRA143" s="33"/>
      <c r="RRB143" s="33"/>
      <c r="RRC143" s="33"/>
      <c r="RRD143" s="33"/>
      <c r="RRE143" s="33"/>
      <c r="RRF143" s="33"/>
      <c r="RRG143" s="33"/>
      <c r="RRH143" s="33"/>
      <c r="RRI143" s="33"/>
      <c r="RRJ143" s="33"/>
      <c r="RRK143" s="33"/>
      <c r="RRL143" s="33"/>
      <c r="RRM143" s="33"/>
      <c r="RRN143" s="33"/>
      <c r="RRO143" s="33"/>
      <c r="RRP143" s="33"/>
      <c r="RRQ143" s="33"/>
      <c r="RRR143" s="33"/>
      <c r="RRS143" s="33"/>
      <c r="RRT143" s="33"/>
      <c r="RRU143" s="33"/>
      <c r="RRV143" s="33"/>
      <c r="RRW143" s="33"/>
      <c r="RRX143" s="33"/>
      <c r="RRY143" s="33"/>
      <c r="RRZ143" s="33"/>
      <c r="RSA143" s="33"/>
      <c r="RSB143" s="33"/>
      <c r="RSC143" s="33"/>
      <c r="RSD143" s="33"/>
      <c r="RSE143" s="33"/>
      <c r="RSF143" s="33"/>
      <c r="RSG143" s="33"/>
      <c r="RSH143" s="33"/>
      <c r="RSI143" s="33"/>
      <c r="RSJ143" s="33"/>
      <c r="RSK143" s="33"/>
      <c r="RSL143" s="33"/>
      <c r="RSM143" s="33"/>
      <c r="RSN143" s="33"/>
      <c r="RSO143" s="33"/>
      <c r="RSP143" s="33"/>
      <c r="RSQ143" s="33"/>
      <c r="RSR143" s="33"/>
      <c r="RSS143" s="33"/>
      <c r="RST143" s="33"/>
      <c r="RSU143" s="33"/>
      <c r="RSV143" s="33"/>
      <c r="RSW143" s="33"/>
      <c r="RSX143" s="33"/>
      <c r="RSY143" s="33"/>
      <c r="RSZ143" s="33"/>
      <c r="RTA143" s="33"/>
      <c r="RTB143" s="33"/>
      <c r="RTC143" s="33"/>
      <c r="RTD143" s="33"/>
      <c r="RTE143" s="33"/>
      <c r="RTF143" s="33"/>
      <c r="RTG143" s="33"/>
      <c r="RTH143" s="33"/>
      <c r="RTI143" s="33"/>
      <c r="RTJ143" s="33"/>
      <c r="RTK143" s="33"/>
      <c r="RTL143" s="33"/>
      <c r="RTM143" s="33"/>
      <c r="RTN143" s="33"/>
      <c r="RTO143" s="33"/>
      <c r="RTP143" s="33"/>
      <c r="RTQ143" s="33"/>
      <c r="RTR143" s="33"/>
      <c r="RTS143" s="33"/>
      <c r="RTT143" s="33"/>
      <c r="RTU143" s="33"/>
      <c r="RTV143" s="33"/>
      <c r="RTW143" s="33"/>
      <c r="RTX143" s="33"/>
      <c r="RTY143" s="33"/>
      <c r="RTZ143" s="33"/>
      <c r="RUA143" s="33"/>
      <c r="RUB143" s="33"/>
      <c r="RUC143" s="33"/>
      <c r="RUD143" s="33"/>
      <c r="RUE143" s="33"/>
      <c r="RUF143" s="33"/>
      <c r="RUG143" s="33"/>
      <c r="RUH143" s="33"/>
      <c r="RUI143" s="33"/>
      <c r="RUJ143" s="33"/>
      <c r="RUK143" s="33"/>
      <c r="RUL143" s="33"/>
      <c r="RUM143" s="33"/>
      <c r="RUN143" s="33"/>
      <c r="RUO143" s="33"/>
      <c r="RUP143" s="33"/>
      <c r="RUQ143" s="33"/>
      <c r="RUR143" s="33"/>
      <c r="RUS143" s="33"/>
      <c r="RUT143" s="33"/>
      <c r="RUU143" s="33"/>
      <c r="RUV143" s="33"/>
      <c r="RUW143" s="33"/>
      <c r="RUX143" s="33"/>
      <c r="RUY143" s="33"/>
      <c r="RUZ143" s="33"/>
      <c r="RVA143" s="33"/>
      <c r="RVB143" s="33"/>
      <c r="RVC143" s="33"/>
      <c r="RVD143" s="33"/>
      <c r="RVE143" s="33"/>
      <c r="RVF143" s="33"/>
      <c r="RVG143" s="33"/>
      <c r="RVH143" s="33"/>
      <c r="RVI143" s="33"/>
      <c r="RVJ143" s="33"/>
      <c r="RVK143" s="33"/>
      <c r="RVL143" s="33"/>
      <c r="RVM143" s="33"/>
      <c r="RVN143" s="33"/>
      <c r="RVO143" s="33"/>
      <c r="RVP143" s="33"/>
      <c r="RVQ143" s="33"/>
      <c r="RVR143" s="33"/>
      <c r="RVS143" s="33"/>
      <c r="RVT143" s="33"/>
      <c r="RVU143" s="33"/>
      <c r="RVV143" s="33"/>
      <c r="RVW143" s="33"/>
      <c r="RVX143" s="33"/>
      <c r="RVY143" s="33"/>
      <c r="RVZ143" s="33"/>
      <c r="RWA143" s="33"/>
      <c r="RWB143" s="33"/>
      <c r="RWC143" s="33"/>
      <c r="RWD143" s="33"/>
      <c r="RWE143" s="33"/>
      <c r="RWF143" s="33"/>
      <c r="RWG143" s="33"/>
      <c r="RWH143" s="33"/>
      <c r="RWI143" s="33"/>
      <c r="RWJ143" s="33"/>
      <c r="RWK143" s="33"/>
      <c r="RWL143" s="33"/>
      <c r="RWM143" s="33"/>
      <c r="RWN143" s="33"/>
      <c r="RWO143" s="33"/>
      <c r="RWP143" s="33"/>
      <c r="RWQ143" s="33"/>
      <c r="RWR143" s="33"/>
      <c r="RWS143" s="33"/>
      <c r="RWT143" s="33"/>
      <c r="RWU143" s="33"/>
      <c r="RWV143" s="33"/>
      <c r="RWW143" s="33"/>
      <c r="RWX143" s="33"/>
      <c r="RWY143" s="33"/>
      <c r="RWZ143" s="33"/>
      <c r="RXA143" s="33"/>
      <c r="RXB143" s="33"/>
      <c r="RXC143" s="33"/>
      <c r="RXD143" s="33"/>
      <c r="RXE143" s="33"/>
      <c r="RXF143" s="33"/>
      <c r="RXG143" s="33"/>
      <c r="RXH143" s="33"/>
      <c r="RXI143" s="33"/>
      <c r="RXJ143" s="33"/>
      <c r="RXK143" s="33"/>
      <c r="RXL143" s="33"/>
      <c r="RXM143" s="33"/>
      <c r="RXN143" s="33"/>
      <c r="RXO143" s="33"/>
      <c r="RXP143" s="33"/>
      <c r="RXQ143" s="33"/>
      <c r="RXR143" s="33"/>
      <c r="RXS143" s="33"/>
      <c r="RXT143" s="33"/>
      <c r="RXU143" s="33"/>
      <c r="RXV143" s="33"/>
      <c r="RXW143" s="33"/>
      <c r="RXX143" s="33"/>
      <c r="RXY143" s="33"/>
      <c r="RXZ143" s="33"/>
      <c r="RYA143" s="33"/>
      <c r="RYB143" s="33"/>
      <c r="RYC143" s="33"/>
      <c r="RYD143" s="33"/>
      <c r="RYE143" s="33"/>
      <c r="RYF143" s="33"/>
      <c r="RYG143" s="33"/>
      <c r="RYH143" s="33"/>
      <c r="RYI143" s="33"/>
      <c r="RYJ143" s="33"/>
      <c r="RYK143" s="33"/>
      <c r="RYL143" s="33"/>
      <c r="RYM143" s="33"/>
      <c r="RYN143" s="33"/>
      <c r="RYO143" s="33"/>
      <c r="RYP143" s="33"/>
      <c r="RYQ143" s="33"/>
      <c r="RYR143" s="33"/>
      <c r="RYS143" s="33"/>
      <c r="RYT143" s="33"/>
      <c r="RYU143" s="33"/>
      <c r="RYV143" s="33"/>
      <c r="RYW143" s="33"/>
      <c r="RYX143" s="33"/>
      <c r="RYY143" s="33"/>
      <c r="RYZ143" s="33"/>
      <c r="RZA143" s="33"/>
      <c r="RZB143" s="33"/>
      <c r="RZC143" s="33"/>
      <c r="RZD143" s="33"/>
      <c r="RZE143" s="33"/>
      <c r="RZF143" s="33"/>
      <c r="RZG143" s="33"/>
      <c r="RZH143" s="33"/>
      <c r="RZI143" s="33"/>
      <c r="RZJ143" s="33"/>
      <c r="RZK143" s="33"/>
      <c r="RZL143" s="33"/>
      <c r="RZM143" s="33"/>
      <c r="RZN143" s="33"/>
      <c r="RZO143" s="33"/>
      <c r="RZP143" s="33"/>
      <c r="RZQ143" s="33"/>
      <c r="RZR143" s="33"/>
      <c r="RZS143" s="33"/>
      <c r="RZT143" s="33"/>
      <c r="RZU143" s="33"/>
      <c r="RZV143" s="33"/>
      <c r="RZW143" s="33"/>
      <c r="RZX143" s="33"/>
      <c r="RZY143" s="33"/>
      <c r="RZZ143" s="33"/>
      <c r="SAA143" s="33"/>
      <c r="SAB143" s="33"/>
      <c r="SAC143" s="33"/>
      <c r="SAD143" s="33"/>
      <c r="SAE143" s="33"/>
      <c r="SAF143" s="33"/>
      <c r="SAG143" s="33"/>
      <c r="SAH143" s="33"/>
      <c r="SAI143" s="33"/>
      <c r="SAJ143" s="33"/>
      <c r="SAK143" s="33"/>
      <c r="SAL143" s="33"/>
      <c r="SAM143" s="33"/>
      <c r="SAN143" s="33"/>
      <c r="SAO143" s="33"/>
      <c r="SAP143" s="33"/>
      <c r="SAQ143" s="33"/>
      <c r="SAR143" s="33"/>
      <c r="SAS143" s="33"/>
      <c r="SAT143" s="33"/>
      <c r="SAU143" s="33"/>
      <c r="SAV143" s="33"/>
      <c r="SAW143" s="33"/>
      <c r="SAX143" s="33"/>
      <c r="SAY143" s="33"/>
      <c r="SAZ143" s="33"/>
      <c r="SBA143" s="33"/>
      <c r="SBB143" s="33"/>
      <c r="SBC143" s="33"/>
      <c r="SBD143" s="33"/>
      <c r="SBE143" s="33"/>
      <c r="SBF143" s="33"/>
      <c r="SBG143" s="33"/>
      <c r="SBH143" s="33"/>
      <c r="SBI143" s="33"/>
      <c r="SBJ143" s="33"/>
      <c r="SBK143" s="33"/>
      <c r="SBL143" s="33"/>
      <c r="SBM143" s="33"/>
      <c r="SBN143" s="33"/>
      <c r="SBO143" s="33"/>
      <c r="SBP143" s="33"/>
      <c r="SBQ143" s="33"/>
      <c r="SBR143" s="33"/>
      <c r="SBS143" s="33"/>
      <c r="SBT143" s="33"/>
      <c r="SBU143" s="33"/>
      <c r="SBV143" s="33"/>
      <c r="SBW143" s="33"/>
      <c r="SBX143" s="33"/>
      <c r="SBY143" s="33"/>
      <c r="SBZ143" s="33"/>
      <c r="SCA143" s="33"/>
      <c r="SCB143" s="33"/>
      <c r="SCC143" s="33"/>
      <c r="SCD143" s="33"/>
      <c r="SCE143" s="33"/>
      <c r="SCF143" s="33"/>
      <c r="SCG143" s="33"/>
      <c r="SCH143" s="33"/>
      <c r="SCI143" s="33"/>
      <c r="SCJ143" s="33"/>
      <c r="SCK143" s="33"/>
      <c r="SCL143" s="33"/>
      <c r="SCM143" s="33"/>
      <c r="SCN143" s="33"/>
      <c r="SCO143" s="33"/>
      <c r="SCP143" s="33"/>
      <c r="SCQ143" s="33"/>
      <c r="SCR143" s="33"/>
      <c r="SCS143" s="33"/>
      <c r="SCT143" s="33"/>
      <c r="SCU143" s="33"/>
      <c r="SCV143" s="33"/>
      <c r="SCW143" s="33"/>
      <c r="SCX143" s="33"/>
      <c r="SCY143" s="33"/>
      <c r="SCZ143" s="33"/>
      <c r="SDA143" s="33"/>
      <c r="SDB143" s="33"/>
      <c r="SDC143" s="33"/>
      <c r="SDD143" s="33"/>
      <c r="SDE143" s="33"/>
      <c r="SDF143" s="33"/>
      <c r="SDG143" s="33"/>
      <c r="SDH143" s="33"/>
      <c r="SDI143" s="33"/>
      <c r="SDJ143" s="33"/>
      <c r="SDK143" s="33"/>
      <c r="SDL143" s="33"/>
      <c r="SDM143" s="33"/>
      <c r="SDN143" s="33"/>
      <c r="SDO143" s="33"/>
      <c r="SDP143" s="33"/>
      <c r="SDQ143" s="33"/>
      <c r="SDR143" s="33"/>
      <c r="SDS143" s="33"/>
      <c r="SDT143" s="33"/>
      <c r="SDU143" s="33"/>
      <c r="SDV143" s="33"/>
      <c r="SDW143" s="33"/>
      <c r="SDX143" s="33"/>
      <c r="SDY143" s="33"/>
      <c r="SDZ143" s="33"/>
      <c r="SEA143" s="33"/>
      <c r="SEB143" s="33"/>
      <c r="SEC143" s="33"/>
      <c r="SED143" s="33"/>
      <c r="SEE143" s="33"/>
      <c r="SEF143" s="33"/>
      <c r="SEG143" s="33"/>
      <c r="SEH143" s="33"/>
      <c r="SEI143" s="33"/>
      <c r="SEJ143" s="33"/>
      <c r="SEK143" s="33"/>
      <c r="SEL143" s="33"/>
      <c r="SEM143" s="33"/>
      <c r="SEN143" s="33"/>
      <c r="SEO143" s="33"/>
      <c r="SEP143" s="33"/>
      <c r="SEQ143" s="33"/>
      <c r="SER143" s="33"/>
      <c r="SES143" s="33"/>
      <c r="SET143" s="33"/>
      <c r="SEU143" s="33"/>
      <c r="SEV143" s="33"/>
      <c r="SEW143" s="33"/>
      <c r="SEX143" s="33"/>
      <c r="SEY143" s="33"/>
      <c r="SEZ143" s="33"/>
      <c r="SFA143" s="33"/>
      <c r="SFB143" s="33"/>
      <c r="SFC143" s="33"/>
      <c r="SFD143" s="33"/>
      <c r="SFE143" s="33"/>
      <c r="SFF143" s="33"/>
      <c r="SFG143" s="33"/>
      <c r="SFH143" s="33"/>
      <c r="SFI143" s="33"/>
      <c r="SFJ143" s="33"/>
      <c r="SFK143" s="33"/>
      <c r="SFL143" s="33"/>
      <c r="SFM143" s="33"/>
      <c r="SFN143" s="33"/>
      <c r="SFO143" s="33"/>
      <c r="SFP143" s="33"/>
      <c r="SFQ143" s="33"/>
      <c r="SFR143" s="33"/>
      <c r="SFS143" s="33"/>
      <c r="SFT143" s="33"/>
      <c r="SFU143" s="33"/>
      <c r="SFV143" s="33"/>
      <c r="SFW143" s="33"/>
      <c r="SFX143" s="33"/>
      <c r="SFY143" s="33"/>
      <c r="SFZ143" s="33"/>
      <c r="SGA143" s="33"/>
      <c r="SGB143" s="33"/>
      <c r="SGC143" s="33"/>
      <c r="SGD143" s="33"/>
      <c r="SGE143" s="33"/>
      <c r="SGF143" s="33"/>
      <c r="SGG143" s="33"/>
      <c r="SGH143" s="33"/>
      <c r="SGI143" s="33"/>
      <c r="SGJ143" s="33"/>
      <c r="SGK143" s="33"/>
      <c r="SGL143" s="33"/>
      <c r="SGM143" s="33"/>
      <c r="SGN143" s="33"/>
      <c r="SGO143" s="33"/>
      <c r="SGP143" s="33"/>
      <c r="SGQ143" s="33"/>
      <c r="SGR143" s="33"/>
      <c r="SGS143" s="33"/>
      <c r="SGT143" s="33"/>
      <c r="SGU143" s="33"/>
      <c r="SGV143" s="33"/>
      <c r="SGW143" s="33"/>
      <c r="SGX143" s="33"/>
      <c r="SGY143" s="33"/>
      <c r="SGZ143" s="33"/>
      <c r="SHA143" s="33"/>
      <c r="SHB143" s="33"/>
      <c r="SHC143" s="33"/>
      <c r="SHD143" s="33"/>
      <c r="SHE143" s="33"/>
      <c r="SHF143" s="33"/>
      <c r="SHG143" s="33"/>
      <c r="SHH143" s="33"/>
      <c r="SHI143" s="33"/>
      <c r="SHJ143" s="33"/>
      <c r="SHK143" s="33"/>
      <c r="SHL143" s="33"/>
      <c r="SHM143" s="33"/>
      <c r="SHN143" s="33"/>
      <c r="SHO143" s="33"/>
      <c r="SHP143" s="33"/>
      <c r="SHQ143" s="33"/>
      <c r="SHR143" s="33"/>
      <c r="SHS143" s="33"/>
      <c r="SHT143" s="33"/>
      <c r="SHU143" s="33"/>
      <c r="SHV143" s="33"/>
      <c r="SHW143" s="33"/>
      <c r="SHX143" s="33"/>
      <c r="SHY143" s="33"/>
      <c r="SHZ143" s="33"/>
      <c r="SIA143" s="33"/>
      <c r="SIB143" s="33"/>
      <c r="SIC143" s="33"/>
      <c r="SID143" s="33"/>
      <c r="SIE143" s="33"/>
      <c r="SIF143" s="33"/>
      <c r="SIG143" s="33"/>
      <c r="SIH143" s="33"/>
      <c r="SII143" s="33"/>
      <c r="SIJ143" s="33"/>
      <c r="SIK143" s="33"/>
      <c r="SIL143" s="33"/>
      <c r="SIM143" s="33"/>
      <c r="SIN143" s="33"/>
      <c r="SIO143" s="33"/>
      <c r="SIP143" s="33"/>
      <c r="SIQ143" s="33"/>
      <c r="SIR143" s="33"/>
      <c r="SIS143" s="33"/>
      <c r="SIT143" s="33"/>
      <c r="SIU143" s="33"/>
      <c r="SIV143" s="33"/>
      <c r="SIW143" s="33"/>
      <c r="SIX143" s="33"/>
      <c r="SIY143" s="33"/>
      <c r="SIZ143" s="33"/>
      <c r="SJA143" s="33"/>
      <c r="SJB143" s="33"/>
      <c r="SJC143" s="33"/>
      <c r="SJD143" s="33"/>
      <c r="SJE143" s="33"/>
      <c r="SJF143" s="33"/>
      <c r="SJG143" s="33"/>
      <c r="SJH143" s="33"/>
      <c r="SJI143" s="33"/>
      <c r="SJJ143" s="33"/>
      <c r="SJK143" s="33"/>
      <c r="SJL143" s="33"/>
      <c r="SJM143" s="33"/>
      <c r="SJN143" s="33"/>
      <c r="SJO143" s="33"/>
      <c r="SJP143" s="33"/>
      <c r="SJQ143" s="33"/>
      <c r="SJR143" s="33"/>
      <c r="SJS143" s="33"/>
      <c r="SJT143" s="33"/>
      <c r="SJU143" s="33"/>
      <c r="SJV143" s="33"/>
      <c r="SJW143" s="33"/>
      <c r="SJX143" s="33"/>
      <c r="SJY143" s="33"/>
      <c r="SJZ143" s="33"/>
      <c r="SKA143" s="33"/>
      <c r="SKB143" s="33"/>
      <c r="SKC143" s="33"/>
      <c r="SKD143" s="33"/>
      <c r="SKE143" s="33"/>
      <c r="SKF143" s="33"/>
      <c r="SKG143" s="33"/>
      <c r="SKH143" s="33"/>
      <c r="SKI143" s="33"/>
      <c r="SKJ143" s="33"/>
      <c r="SKK143" s="33"/>
      <c r="SKL143" s="33"/>
      <c r="SKM143" s="33"/>
      <c r="SKN143" s="33"/>
      <c r="SKO143" s="33"/>
      <c r="SKP143" s="33"/>
      <c r="SKQ143" s="33"/>
      <c r="SKR143" s="33"/>
      <c r="SKS143" s="33"/>
      <c r="SKT143" s="33"/>
      <c r="SKU143" s="33"/>
      <c r="SKV143" s="33"/>
      <c r="SKW143" s="33"/>
      <c r="SKX143" s="33"/>
      <c r="SKY143" s="33"/>
      <c r="SKZ143" s="33"/>
      <c r="SLA143" s="33"/>
      <c r="SLB143" s="33"/>
      <c r="SLC143" s="33"/>
      <c r="SLD143" s="33"/>
      <c r="SLE143" s="33"/>
      <c r="SLF143" s="33"/>
      <c r="SLG143" s="33"/>
      <c r="SLH143" s="33"/>
      <c r="SLI143" s="33"/>
      <c r="SLJ143" s="33"/>
      <c r="SLK143" s="33"/>
      <c r="SLL143" s="33"/>
      <c r="SLM143" s="33"/>
      <c r="SLN143" s="33"/>
      <c r="SLO143" s="33"/>
      <c r="SLP143" s="33"/>
      <c r="SLQ143" s="33"/>
      <c r="SLR143" s="33"/>
      <c r="SLS143" s="33"/>
      <c r="SLT143" s="33"/>
      <c r="SLU143" s="33"/>
      <c r="SLV143" s="33"/>
      <c r="SLW143" s="33"/>
      <c r="SLX143" s="33"/>
      <c r="SLY143" s="33"/>
      <c r="SLZ143" s="33"/>
      <c r="SMA143" s="33"/>
      <c r="SMB143" s="33"/>
      <c r="SMC143" s="33"/>
      <c r="SMD143" s="33"/>
      <c r="SME143" s="33"/>
      <c r="SMF143" s="33"/>
      <c r="SMG143" s="33"/>
      <c r="SMH143" s="33"/>
      <c r="SMI143" s="33"/>
      <c r="SMJ143" s="33"/>
      <c r="SMK143" s="33"/>
      <c r="SML143" s="33"/>
      <c r="SMM143" s="33"/>
      <c r="SMN143" s="33"/>
      <c r="SMO143" s="33"/>
      <c r="SMP143" s="33"/>
      <c r="SMQ143" s="33"/>
      <c r="SMR143" s="33"/>
      <c r="SMS143" s="33"/>
      <c r="SMT143" s="33"/>
      <c r="SMU143" s="33"/>
      <c r="SMV143" s="33"/>
      <c r="SMW143" s="33"/>
      <c r="SMX143" s="33"/>
      <c r="SMY143" s="33"/>
      <c r="SMZ143" s="33"/>
      <c r="SNA143" s="33"/>
      <c r="SNB143" s="33"/>
      <c r="SNC143" s="33"/>
      <c r="SND143" s="33"/>
      <c r="SNE143" s="33"/>
      <c r="SNF143" s="33"/>
      <c r="SNG143" s="33"/>
      <c r="SNH143" s="33"/>
      <c r="SNI143" s="33"/>
      <c r="SNJ143" s="33"/>
      <c r="SNK143" s="33"/>
      <c r="SNL143" s="33"/>
      <c r="SNM143" s="33"/>
      <c r="SNN143" s="33"/>
      <c r="SNO143" s="33"/>
      <c r="SNP143" s="33"/>
      <c r="SNQ143" s="33"/>
      <c r="SNR143" s="33"/>
      <c r="SNS143" s="33"/>
      <c r="SNT143" s="33"/>
      <c r="SNU143" s="33"/>
      <c r="SNV143" s="33"/>
      <c r="SNW143" s="33"/>
      <c r="SNX143" s="33"/>
      <c r="SNY143" s="33"/>
      <c r="SNZ143" s="33"/>
      <c r="SOA143" s="33"/>
      <c r="SOB143" s="33"/>
      <c r="SOC143" s="33"/>
      <c r="SOD143" s="33"/>
      <c r="SOE143" s="33"/>
      <c r="SOF143" s="33"/>
      <c r="SOG143" s="33"/>
      <c r="SOH143" s="33"/>
      <c r="SOI143" s="33"/>
      <c r="SOJ143" s="33"/>
      <c r="SOK143" s="33"/>
      <c r="SOL143" s="33"/>
      <c r="SOM143" s="33"/>
      <c r="SON143" s="33"/>
      <c r="SOO143" s="33"/>
      <c r="SOP143" s="33"/>
      <c r="SOQ143" s="33"/>
      <c r="SOR143" s="33"/>
      <c r="SOS143" s="33"/>
      <c r="SOT143" s="33"/>
      <c r="SOU143" s="33"/>
      <c r="SOV143" s="33"/>
      <c r="SOW143" s="33"/>
      <c r="SOX143" s="33"/>
      <c r="SOY143" s="33"/>
      <c r="SOZ143" s="33"/>
      <c r="SPA143" s="33"/>
      <c r="SPB143" s="33"/>
      <c r="SPC143" s="33"/>
      <c r="SPD143" s="33"/>
      <c r="SPE143" s="33"/>
      <c r="SPF143" s="33"/>
      <c r="SPG143" s="33"/>
      <c r="SPH143" s="33"/>
      <c r="SPI143" s="33"/>
      <c r="SPJ143" s="33"/>
      <c r="SPK143" s="33"/>
      <c r="SPL143" s="33"/>
      <c r="SPM143" s="33"/>
      <c r="SPN143" s="33"/>
      <c r="SPO143" s="33"/>
      <c r="SPP143" s="33"/>
      <c r="SPQ143" s="33"/>
      <c r="SPR143" s="33"/>
      <c r="SPS143" s="33"/>
      <c r="SPT143" s="33"/>
      <c r="SPU143" s="33"/>
      <c r="SPV143" s="33"/>
      <c r="SPW143" s="33"/>
      <c r="SPX143" s="33"/>
      <c r="SPY143" s="33"/>
      <c r="SPZ143" s="33"/>
      <c r="SQA143" s="33"/>
      <c r="SQB143" s="33"/>
      <c r="SQC143" s="33"/>
      <c r="SQD143" s="33"/>
      <c r="SQE143" s="33"/>
      <c r="SQF143" s="33"/>
      <c r="SQG143" s="33"/>
      <c r="SQH143" s="33"/>
      <c r="SQI143" s="33"/>
      <c r="SQJ143" s="33"/>
      <c r="SQK143" s="33"/>
      <c r="SQL143" s="33"/>
      <c r="SQM143" s="33"/>
      <c r="SQN143" s="33"/>
      <c r="SQO143" s="33"/>
      <c r="SQP143" s="33"/>
      <c r="SQQ143" s="33"/>
      <c r="SQR143" s="33"/>
      <c r="SQS143" s="33"/>
      <c r="SQT143" s="33"/>
      <c r="SQU143" s="33"/>
      <c r="SQV143" s="33"/>
      <c r="SQW143" s="33"/>
      <c r="SQX143" s="33"/>
      <c r="SQY143" s="33"/>
      <c r="SQZ143" s="33"/>
      <c r="SRA143" s="33"/>
      <c r="SRB143" s="33"/>
      <c r="SRC143" s="33"/>
      <c r="SRD143" s="33"/>
      <c r="SRE143" s="33"/>
      <c r="SRF143" s="33"/>
      <c r="SRG143" s="33"/>
      <c r="SRH143" s="33"/>
      <c r="SRI143" s="33"/>
      <c r="SRJ143" s="33"/>
      <c r="SRK143" s="33"/>
      <c r="SRL143" s="33"/>
      <c r="SRM143" s="33"/>
      <c r="SRN143" s="33"/>
      <c r="SRO143" s="33"/>
      <c r="SRP143" s="33"/>
      <c r="SRQ143" s="33"/>
      <c r="SRR143" s="33"/>
      <c r="SRS143" s="33"/>
      <c r="SRT143" s="33"/>
      <c r="SRU143" s="33"/>
      <c r="SRV143" s="33"/>
      <c r="SRW143" s="33"/>
      <c r="SRX143" s="33"/>
      <c r="SRY143" s="33"/>
      <c r="SRZ143" s="33"/>
      <c r="SSA143" s="33"/>
      <c r="SSB143" s="33"/>
      <c r="SSC143" s="33"/>
      <c r="SSD143" s="33"/>
      <c r="SSE143" s="33"/>
      <c r="SSF143" s="33"/>
      <c r="SSG143" s="33"/>
      <c r="SSH143" s="33"/>
      <c r="SSI143" s="33"/>
      <c r="SSJ143" s="33"/>
      <c r="SSK143" s="33"/>
      <c r="SSL143" s="33"/>
      <c r="SSM143" s="33"/>
      <c r="SSN143" s="33"/>
      <c r="SSO143" s="33"/>
      <c r="SSP143" s="33"/>
      <c r="SSQ143" s="33"/>
      <c r="SSR143" s="33"/>
      <c r="SSS143" s="33"/>
      <c r="SST143" s="33"/>
      <c r="SSU143" s="33"/>
      <c r="SSV143" s="33"/>
      <c r="SSW143" s="33"/>
      <c r="SSX143" s="33"/>
      <c r="SSY143" s="33"/>
      <c r="SSZ143" s="33"/>
      <c r="STA143" s="33"/>
      <c r="STB143" s="33"/>
      <c r="STC143" s="33"/>
      <c r="STD143" s="33"/>
      <c r="STE143" s="33"/>
      <c r="STF143" s="33"/>
      <c r="STG143" s="33"/>
      <c r="STH143" s="33"/>
      <c r="STI143" s="33"/>
      <c r="STJ143" s="33"/>
      <c r="STK143" s="33"/>
      <c r="STL143" s="33"/>
      <c r="STM143" s="33"/>
      <c r="STN143" s="33"/>
      <c r="STO143" s="33"/>
      <c r="STP143" s="33"/>
      <c r="STQ143" s="33"/>
      <c r="STR143" s="33"/>
      <c r="STS143" s="33"/>
      <c r="STT143" s="33"/>
      <c r="STU143" s="33"/>
      <c r="STV143" s="33"/>
      <c r="STW143" s="33"/>
      <c r="STX143" s="33"/>
      <c r="STY143" s="33"/>
      <c r="STZ143" s="33"/>
      <c r="SUA143" s="33"/>
      <c r="SUB143" s="33"/>
      <c r="SUC143" s="33"/>
      <c r="SUD143" s="33"/>
      <c r="SUE143" s="33"/>
      <c r="SUF143" s="33"/>
      <c r="SUG143" s="33"/>
      <c r="SUH143" s="33"/>
      <c r="SUI143" s="33"/>
      <c r="SUJ143" s="33"/>
      <c r="SUK143" s="33"/>
      <c r="SUL143" s="33"/>
      <c r="SUM143" s="33"/>
      <c r="SUN143" s="33"/>
      <c r="SUO143" s="33"/>
      <c r="SUP143" s="33"/>
      <c r="SUQ143" s="33"/>
      <c r="SUR143" s="33"/>
      <c r="SUS143" s="33"/>
      <c r="SUT143" s="33"/>
      <c r="SUU143" s="33"/>
      <c r="SUV143" s="33"/>
      <c r="SUW143" s="33"/>
      <c r="SUX143" s="33"/>
      <c r="SUY143" s="33"/>
      <c r="SUZ143" s="33"/>
      <c r="SVA143" s="33"/>
      <c r="SVB143" s="33"/>
      <c r="SVC143" s="33"/>
      <c r="SVD143" s="33"/>
      <c r="SVE143" s="33"/>
      <c r="SVF143" s="33"/>
      <c r="SVG143" s="33"/>
      <c r="SVH143" s="33"/>
      <c r="SVI143" s="33"/>
      <c r="SVJ143" s="33"/>
      <c r="SVK143" s="33"/>
      <c r="SVL143" s="33"/>
      <c r="SVM143" s="33"/>
      <c r="SVN143" s="33"/>
      <c r="SVO143" s="33"/>
      <c r="SVP143" s="33"/>
      <c r="SVQ143" s="33"/>
      <c r="SVR143" s="33"/>
      <c r="SVS143" s="33"/>
      <c r="SVT143" s="33"/>
      <c r="SVU143" s="33"/>
      <c r="SVV143" s="33"/>
      <c r="SVW143" s="33"/>
      <c r="SVX143" s="33"/>
      <c r="SVY143" s="33"/>
      <c r="SVZ143" s="33"/>
      <c r="SWA143" s="33"/>
      <c r="SWB143" s="33"/>
      <c r="SWC143" s="33"/>
      <c r="SWD143" s="33"/>
      <c r="SWE143" s="33"/>
      <c r="SWF143" s="33"/>
      <c r="SWG143" s="33"/>
      <c r="SWH143" s="33"/>
      <c r="SWI143" s="33"/>
      <c r="SWJ143" s="33"/>
      <c r="SWK143" s="33"/>
      <c r="SWL143" s="33"/>
      <c r="SWM143" s="33"/>
      <c r="SWN143" s="33"/>
      <c r="SWO143" s="33"/>
      <c r="SWP143" s="33"/>
      <c r="SWQ143" s="33"/>
      <c r="SWR143" s="33"/>
      <c r="SWS143" s="33"/>
      <c r="SWT143" s="33"/>
      <c r="SWU143" s="33"/>
      <c r="SWV143" s="33"/>
      <c r="SWW143" s="33"/>
      <c r="SWX143" s="33"/>
      <c r="SWY143" s="33"/>
      <c r="SWZ143" s="33"/>
      <c r="SXA143" s="33"/>
      <c r="SXB143" s="33"/>
      <c r="SXC143" s="33"/>
      <c r="SXD143" s="33"/>
      <c r="SXE143" s="33"/>
      <c r="SXF143" s="33"/>
      <c r="SXG143" s="33"/>
      <c r="SXH143" s="33"/>
      <c r="SXI143" s="33"/>
      <c r="SXJ143" s="33"/>
      <c r="SXK143" s="33"/>
      <c r="SXL143" s="33"/>
      <c r="SXM143" s="33"/>
      <c r="SXN143" s="33"/>
      <c r="SXO143" s="33"/>
      <c r="SXP143" s="33"/>
      <c r="SXQ143" s="33"/>
      <c r="SXR143" s="33"/>
      <c r="SXS143" s="33"/>
      <c r="SXT143" s="33"/>
      <c r="SXU143" s="33"/>
      <c r="SXV143" s="33"/>
      <c r="SXW143" s="33"/>
      <c r="SXX143" s="33"/>
      <c r="SXY143" s="33"/>
      <c r="SXZ143" s="33"/>
      <c r="SYA143" s="33"/>
      <c r="SYB143" s="33"/>
      <c r="SYC143" s="33"/>
      <c r="SYD143" s="33"/>
      <c r="SYE143" s="33"/>
      <c r="SYF143" s="33"/>
      <c r="SYG143" s="33"/>
      <c r="SYH143" s="33"/>
      <c r="SYI143" s="33"/>
      <c r="SYJ143" s="33"/>
      <c r="SYK143" s="33"/>
      <c r="SYL143" s="33"/>
      <c r="SYM143" s="33"/>
      <c r="SYN143" s="33"/>
      <c r="SYO143" s="33"/>
      <c r="SYP143" s="33"/>
      <c r="SYQ143" s="33"/>
      <c r="SYR143" s="33"/>
      <c r="SYS143" s="33"/>
      <c r="SYT143" s="33"/>
      <c r="SYU143" s="33"/>
      <c r="SYV143" s="33"/>
      <c r="SYW143" s="33"/>
      <c r="SYX143" s="33"/>
      <c r="SYY143" s="33"/>
      <c r="SYZ143" s="33"/>
      <c r="SZA143" s="33"/>
      <c r="SZB143" s="33"/>
      <c r="SZC143" s="33"/>
      <c r="SZD143" s="33"/>
      <c r="SZE143" s="33"/>
      <c r="SZF143" s="33"/>
      <c r="SZG143" s="33"/>
      <c r="SZH143" s="33"/>
      <c r="SZI143" s="33"/>
      <c r="SZJ143" s="33"/>
      <c r="SZK143" s="33"/>
      <c r="SZL143" s="33"/>
      <c r="SZM143" s="33"/>
      <c r="SZN143" s="33"/>
      <c r="SZO143" s="33"/>
      <c r="SZP143" s="33"/>
      <c r="SZQ143" s="33"/>
      <c r="SZR143" s="33"/>
      <c r="SZS143" s="33"/>
      <c r="SZT143" s="33"/>
      <c r="SZU143" s="33"/>
      <c r="SZV143" s="33"/>
      <c r="SZW143" s="33"/>
      <c r="SZX143" s="33"/>
      <c r="SZY143" s="33"/>
      <c r="SZZ143" s="33"/>
      <c r="TAA143" s="33"/>
      <c r="TAB143" s="33"/>
      <c r="TAC143" s="33"/>
      <c r="TAD143" s="33"/>
      <c r="TAE143" s="33"/>
      <c r="TAF143" s="33"/>
      <c r="TAG143" s="33"/>
      <c r="TAH143" s="33"/>
      <c r="TAI143" s="33"/>
      <c r="TAJ143" s="33"/>
      <c r="TAK143" s="33"/>
      <c r="TAL143" s="33"/>
      <c r="TAM143" s="33"/>
      <c r="TAN143" s="33"/>
      <c r="TAO143" s="33"/>
      <c r="TAP143" s="33"/>
      <c r="TAQ143" s="33"/>
      <c r="TAR143" s="33"/>
      <c r="TAS143" s="33"/>
      <c r="TAT143" s="33"/>
      <c r="TAU143" s="33"/>
      <c r="TAV143" s="33"/>
      <c r="TAW143" s="33"/>
      <c r="TAX143" s="33"/>
      <c r="TAY143" s="33"/>
      <c r="TAZ143" s="33"/>
      <c r="TBA143" s="33"/>
      <c r="TBB143" s="33"/>
      <c r="TBC143" s="33"/>
      <c r="TBD143" s="33"/>
      <c r="TBE143" s="33"/>
      <c r="TBF143" s="33"/>
      <c r="TBG143" s="33"/>
      <c r="TBH143" s="33"/>
      <c r="TBI143" s="33"/>
      <c r="TBJ143" s="33"/>
      <c r="TBK143" s="33"/>
      <c r="TBL143" s="33"/>
      <c r="TBM143" s="33"/>
      <c r="TBN143" s="33"/>
      <c r="TBO143" s="33"/>
      <c r="TBP143" s="33"/>
      <c r="TBQ143" s="33"/>
      <c r="TBR143" s="33"/>
      <c r="TBS143" s="33"/>
      <c r="TBT143" s="33"/>
      <c r="TBU143" s="33"/>
      <c r="TBV143" s="33"/>
      <c r="TBW143" s="33"/>
      <c r="TBX143" s="33"/>
      <c r="TBY143" s="33"/>
      <c r="TBZ143" s="33"/>
      <c r="TCA143" s="33"/>
      <c r="TCB143" s="33"/>
      <c r="TCC143" s="33"/>
      <c r="TCD143" s="33"/>
      <c r="TCE143" s="33"/>
      <c r="TCF143" s="33"/>
      <c r="TCG143" s="33"/>
      <c r="TCH143" s="33"/>
      <c r="TCI143" s="33"/>
      <c r="TCJ143" s="33"/>
      <c r="TCK143" s="33"/>
      <c r="TCL143" s="33"/>
      <c r="TCM143" s="33"/>
      <c r="TCN143" s="33"/>
      <c r="TCO143" s="33"/>
      <c r="TCP143" s="33"/>
      <c r="TCQ143" s="33"/>
      <c r="TCR143" s="33"/>
      <c r="TCS143" s="33"/>
      <c r="TCT143" s="33"/>
      <c r="TCU143" s="33"/>
      <c r="TCV143" s="33"/>
      <c r="TCW143" s="33"/>
      <c r="TCX143" s="33"/>
      <c r="TCY143" s="33"/>
      <c r="TCZ143" s="33"/>
      <c r="TDA143" s="33"/>
      <c r="TDB143" s="33"/>
      <c r="TDC143" s="33"/>
      <c r="TDD143" s="33"/>
      <c r="TDE143" s="33"/>
      <c r="TDF143" s="33"/>
      <c r="TDG143" s="33"/>
      <c r="TDH143" s="33"/>
      <c r="TDI143" s="33"/>
      <c r="TDJ143" s="33"/>
      <c r="TDK143" s="33"/>
      <c r="TDL143" s="33"/>
      <c r="TDM143" s="33"/>
      <c r="TDN143" s="33"/>
      <c r="TDO143" s="33"/>
      <c r="TDP143" s="33"/>
      <c r="TDQ143" s="33"/>
      <c r="TDR143" s="33"/>
      <c r="TDS143" s="33"/>
      <c r="TDT143" s="33"/>
      <c r="TDU143" s="33"/>
      <c r="TDV143" s="33"/>
      <c r="TDW143" s="33"/>
      <c r="TDX143" s="33"/>
      <c r="TDY143" s="33"/>
      <c r="TDZ143" s="33"/>
      <c r="TEA143" s="33"/>
      <c r="TEB143" s="33"/>
      <c r="TEC143" s="33"/>
      <c r="TED143" s="33"/>
      <c r="TEE143" s="33"/>
      <c r="TEF143" s="33"/>
      <c r="TEG143" s="33"/>
      <c r="TEH143" s="33"/>
      <c r="TEI143" s="33"/>
      <c r="TEJ143" s="33"/>
      <c r="TEK143" s="33"/>
      <c r="TEL143" s="33"/>
      <c r="TEM143" s="33"/>
      <c r="TEN143" s="33"/>
      <c r="TEO143" s="33"/>
      <c r="TEP143" s="33"/>
      <c r="TEQ143" s="33"/>
      <c r="TER143" s="33"/>
      <c r="TES143" s="33"/>
      <c r="TET143" s="33"/>
      <c r="TEU143" s="33"/>
      <c r="TEV143" s="33"/>
      <c r="TEW143" s="33"/>
      <c r="TEX143" s="33"/>
      <c r="TEY143" s="33"/>
      <c r="TEZ143" s="33"/>
      <c r="TFA143" s="33"/>
      <c r="TFB143" s="33"/>
      <c r="TFC143" s="33"/>
      <c r="TFD143" s="33"/>
      <c r="TFE143" s="33"/>
      <c r="TFF143" s="33"/>
      <c r="TFG143" s="33"/>
      <c r="TFH143" s="33"/>
      <c r="TFI143" s="33"/>
      <c r="TFJ143" s="33"/>
      <c r="TFK143" s="33"/>
      <c r="TFL143" s="33"/>
      <c r="TFM143" s="33"/>
      <c r="TFN143" s="33"/>
      <c r="TFO143" s="33"/>
      <c r="TFP143" s="33"/>
      <c r="TFQ143" s="33"/>
      <c r="TFR143" s="33"/>
      <c r="TFS143" s="33"/>
      <c r="TFT143" s="33"/>
      <c r="TFU143" s="33"/>
      <c r="TFV143" s="33"/>
      <c r="TFW143" s="33"/>
      <c r="TFX143" s="33"/>
      <c r="TFY143" s="33"/>
      <c r="TFZ143" s="33"/>
      <c r="TGA143" s="33"/>
      <c r="TGB143" s="33"/>
      <c r="TGC143" s="33"/>
      <c r="TGD143" s="33"/>
      <c r="TGE143" s="33"/>
      <c r="TGF143" s="33"/>
      <c r="TGG143" s="33"/>
      <c r="TGH143" s="33"/>
      <c r="TGI143" s="33"/>
      <c r="TGJ143" s="33"/>
      <c r="TGK143" s="33"/>
      <c r="TGL143" s="33"/>
      <c r="TGM143" s="33"/>
      <c r="TGN143" s="33"/>
      <c r="TGO143" s="33"/>
      <c r="TGP143" s="33"/>
      <c r="TGQ143" s="33"/>
      <c r="TGR143" s="33"/>
      <c r="TGS143" s="33"/>
      <c r="TGT143" s="33"/>
      <c r="TGU143" s="33"/>
      <c r="TGV143" s="33"/>
      <c r="TGW143" s="33"/>
      <c r="TGX143" s="33"/>
      <c r="TGY143" s="33"/>
      <c r="TGZ143" s="33"/>
      <c r="THA143" s="33"/>
      <c r="THB143" s="33"/>
      <c r="THC143" s="33"/>
      <c r="THD143" s="33"/>
      <c r="THE143" s="33"/>
      <c r="THF143" s="33"/>
      <c r="THG143" s="33"/>
      <c r="THH143" s="33"/>
      <c r="THI143" s="33"/>
      <c r="THJ143" s="33"/>
      <c r="THK143" s="33"/>
      <c r="THL143" s="33"/>
      <c r="THM143" s="33"/>
      <c r="THN143" s="33"/>
      <c r="THO143" s="33"/>
      <c r="THP143" s="33"/>
      <c r="THQ143" s="33"/>
      <c r="THR143" s="33"/>
      <c r="THS143" s="33"/>
      <c r="THT143" s="33"/>
      <c r="THU143" s="33"/>
      <c r="THV143" s="33"/>
      <c r="THW143" s="33"/>
      <c r="THX143" s="33"/>
      <c r="THY143" s="33"/>
      <c r="THZ143" s="33"/>
      <c r="TIA143" s="33"/>
      <c r="TIB143" s="33"/>
      <c r="TIC143" s="33"/>
      <c r="TID143" s="33"/>
      <c r="TIE143" s="33"/>
      <c r="TIF143" s="33"/>
      <c r="TIG143" s="33"/>
      <c r="TIH143" s="33"/>
      <c r="TII143" s="33"/>
      <c r="TIJ143" s="33"/>
      <c r="TIK143" s="33"/>
      <c r="TIL143" s="33"/>
      <c r="TIM143" s="33"/>
      <c r="TIN143" s="33"/>
      <c r="TIO143" s="33"/>
      <c r="TIP143" s="33"/>
      <c r="TIQ143" s="33"/>
      <c r="TIR143" s="33"/>
      <c r="TIS143" s="33"/>
      <c r="TIT143" s="33"/>
      <c r="TIU143" s="33"/>
      <c r="TIV143" s="33"/>
      <c r="TIW143" s="33"/>
      <c r="TIX143" s="33"/>
      <c r="TIY143" s="33"/>
      <c r="TIZ143" s="33"/>
      <c r="TJA143" s="33"/>
      <c r="TJB143" s="33"/>
      <c r="TJC143" s="33"/>
      <c r="TJD143" s="33"/>
      <c r="TJE143" s="33"/>
      <c r="TJF143" s="33"/>
      <c r="TJG143" s="33"/>
      <c r="TJH143" s="33"/>
      <c r="TJI143" s="33"/>
      <c r="TJJ143" s="33"/>
      <c r="TJK143" s="33"/>
      <c r="TJL143" s="33"/>
      <c r="TJM143" s="33"/>
      <c r="TJN143" s="33"/>
      <c r="TJO143" s="33"/>
      <c r="TJP143" s="33"/>
      <c r="TJQ143" s="33"/>
      <c r="TJR143" s="33"/>
      <c r="TJS143" s="33"/>
      <c r="TJT143" s="33"/>
      <c r="TJU143" s="33"/>
      <c r="TJV143" s="33"/>
      <c r="TJW143" s="33"/>
      <c r="TJX143" s="33"/>
      <c r="TJY143" s="33"/>
      <c r="TJZ143" s="33"/>
      <c r="TKA143" s="33"/>
      <c r="TKB143" s="33"/>
      <c r="TKC143" s="33"/>
      <c r="TKD143" s="33"/>
      <c r="TKE143" s="33"/>
      <c r="TKF143" s="33"/>
      <c r="TKG143" s="33"/>
      <c r="TKH143" s="33"/>
      <c r="TKI143" s="33"/>
      <c r="TKJ143" s="33"/>
      <c r="TKK143" s="33"/>
      <c r="TKL143" s="33"/>
      <c r="TKM143" s="33"/>
      <c r="TKN143" s="33"/>
      <c r="TKO143" s="33"/>
      <c r="TKP143" s="33"/>
      <c r="TKQ143" s="33"/>
      <c r="TKR143" s="33"/>
      <c r="TKS143" s="33"/>
      <c r="TKT143" s="33"/>
      <c r="TKU143" s="33"/>
      <c r="TKV143" s="33"/>
      <c r="TKW143" s="33"/>
      <c r="TKX143" s="33"/>
      <c r="TKY143" s="33"/>
      <c r="TKZ143" s="33"/>
      <c r="TLA143" s="33"/>
      <c r="TLB143" s="33"/>
      <c r="TLC143" s="33"/>
      <c r="TLD143" s="33"/>
      <c r="TLE143" s="33"/>
      <c r="TLF143" s="33"/>
      <c r="TLG143" s="33"/>
      <c r="TLH143" s="33"/>
      <c r="TLI143" s="33"/>
      <c r="TLJ143" s="33"/>
      <c r="TLK143" s="33"/>
      <c r="TLL143" s="33"/>
      <c r="TLM143" s="33"/>
      <c r="TLN143" s="33"/>
      <c r="TLO143" s="33"/>
      <c r="TLP143" s="33"/>
      <c r="TLQ143" s="33"/>
      <c r="TLR143" s="33"/>
      <c r="TLS143" s="33"/>
      <c r="TLT143" s="33"/>
      <c r="TLU143" s="33"/>
      <c r="TLV143" s="33"/>
      <c r="TLW143" s="33"/>
      <c r="TLX143" s="33"/>
      <c r="TLY143" s="33"/>
      <c r="TLZ143" s="33"/>
      <c r="TMA143" s="33"/>
      <c r="TMB143" s="33"/>
      <c r="TMC143" s="33"/>
      <c r="TMD143" s="33"/>
      <c r="TME143" s="33"/>
      <c r="TMF143" s="33"/>
      <c r="TMG143" s="33"/>
      <c r="TMH143" s="33"/>
      <c r="TMI143" s="33"/>
      <c r="TMJ143" s="33"/>
      <c r="TMK143" s="33"/>
      <c r="TML143" s="33"/>
      <c r="TMM143" s="33"/>
      <c r="TMN143" s="33"/>
      <c r="TMO143" s="33"/>
      <c r="TMP143" s="33"/>
      <c r="TMQ143" s="33"/>
      <c r="TMR143" s="33"/>
      <c r="TMS143" s="33"/>
      <c r="TMT143" s="33"/>
      <c r="TMU143" s="33"/>
      <c r="TMV143" s="33"/>
      <c r="TMW143" s="33"/>
      <c r="TMX143" s="33"/>
      <c r="TMY143" s="33"/>
      <c r="TMZ143" s="33"/>
      <c r="TNA143" s="33"/>
      <c r="TNB143" s="33"/>
      <c r="TNC143" s="33"/>
      <c r="TND143" s="33"/>
      <c r="TNE143" s="33"/>
      <c r="TNF143" s="33"/>
      <c r="TNG143" s="33"/>
      <c r="TNH143" s="33"/>
      <c r="TNI143" s="33"/>
      <c r="TNJ143" s="33"/>
      <c r="TNK143" s="33"/>
      <c r="TNL143" s="33"/>
      <c r="TNM143" s="33"/>
      <c r="TNN143" s="33"/>
      <c r="TNO143" s="33"/>
      <c r="TNP143" s="33"/>
      <c r="TNQ143" s="33"/>
      <c r="TNR143" s="33"/>
      <c r="TNS143" s="33"/>
      <c r="TNT143" s="33"/>
      <c r="TNU143" s="33"/>
      <c r="TNV143" s="33"/>
      <c r="TNW143" s="33"/>
      <c r="TNX143" s="33"/>
      <c r="TNY143" s="33"/>
      <c r="TNZ143" s="33"/>
      <c r="TOA143" s="33"/>
      <c r="TOB143" s="33"/>
      <c r="TOC143" s="33"/>
      <c r="TOD143" s="33"/>
      <c r="TOE143" s="33"/>
      <c r="TOF143" s="33"/>
      <c r="TOG143" s="33"/>
      <c r="TOH143" s="33"/>
      <c r="TOI143" s="33"/>
      <c r="TOJ143" s="33"/>
      <c r="TOK143" s="33"/>
      <c r="TOL143" s="33"/>
      <c r="TOM143" s="33"/>
      <c r="TON143" s="33"/>
      <c r="TOO143" s="33"/>
      <c r="TOP143" s="33"/>
      <c r="TOQ143" s="33"/>
      <c r="TOR143" s="33"/>
      <c r="TOS143" s="33"/>
      <c r="TOT143" s="33"/>
      <c r="TOU143" s="33"/>
      <c r="TOV143" s="33"/>
      <c r="TOW143" s="33"/>
      <c r="TOX143" s="33"/>
      <c r="TOY143" s="33"/>
      <c r="TOZ143" s="33"/>
      <c r="TPA143" s="33"/>
      <c r="TPB143" s="33"/>
      <c r="TPC143" s="33"/>
      <c r="TPD143" s="33"/>
      <c r="TPE143" s="33"/>
      <c r="TPF143" s="33"/>
      <c r="TPG143" s="33"/>
      <c r="TPH143" s="33"/>
      <c r="TPI143" s="33"/>
      <c r="TPJ143" s="33"/>
      <c r="TPK143" s="33"/>
      <c r="TPL143" s="33"/>
      <c r="TPM143" s="33"/>
      <c r="TPN143" s="33"/>
      <c r="TPO143" s="33"/>
      <c r="TPP143" s="33"/>
      <c r="TPQ143" s="33"/>
      <c r="TPR143" s="33"/>
      <c r="TPS143" s="33"/>
      <c r="TPT143" s="33"/>
      <c r="TPU143" s="33"/>
      <c r="TPV143" s="33"/>
      <c r="TPW143" s="33"/>
      <c r="TPX143" s="33"/>
      <c r="TPY143" s="33"/>
      <c r="TPZ143" s="33"/>
      <c r="TQA143" s="33"/>
      <c r="TQB143" s="33"/>
      <c r="TQC143" s="33"/>
      <c r="TQD143" s="33"/>
      <c r="TQE143" s="33"/>
      <c r="TQF143" s="33"/>
      <c r="TQG143" s="33"/>
      <c r="TQH143" s="33"/>
      <c r="TQI143" s="33"/>
      <c r="TQJ143" s="33"/>
      <c r="TQK143" s="33"/>
      <c r="TQL143" s="33"/>
      <c r="TQM143" s="33"/>
      <c r="TQN143" s="33"/>
      <c r="TQO143" s="33"/>
      <c r="TQP143" s="33"/>
      <c r="TQQ143" s="33"/>
      <c r="TQR143" s="33"/>
      <c r="TQS143" s="33"/>
      <c r="TQT143" s="33"/>
      <c r="TQU143" s="33"/>
      <c r="TQV143" s="33"/>
      <c r="TQW143" s="33"/>
      <c r="TQX143" s="33"/>
      <c r="TQY143" s="33"/>
      <c r="TQZ143" s="33"/>
      <c r="TRA143" s="33"/>
      <c r="TRB143" s="33"/>
      <c r="TRC143" s="33"/>
      <c r="TRD143" s="33"/>
      <c r="TRE143" s="33"/>
      <c r="TRF143" s="33"/>
      <c r="TRG143" s="33"/>
      <c r="TRH143" s="33"/>
      <c r="TRI143" s="33"/>
      <c r="TRJ143" s="33"/>
      <c r="TRK143" s="33"/>
      <c r="TRL143" s="33"/>
      <c r="TRM143" s="33"/>
      <c r="TRN143" s="33"/>
      <c r="TRO143" s="33"/>
      <c r="TRP143" s="33"/>
      <c r="TRQ143" s="33"/>
      <c r="TRR143" s="33"/>
      <c r="TRS143" s="33"/>
      <c r="TRT143" s="33"/>
      <c r="TRU143" s="33"/>
      <c r="TRV143" s="33"/>
      <c r="TRW143" s="33"/>
      <c r="TRX143" s="33"/>
      <c r="TRY143" s="33"/>
      <c r="TRZ143" s="33"/>
      <c r="TSA143" s="33"/>
      <c r="TSB143" s="33"/>
      <c r="TSC143" s="33"/>
      <c r="TSD143" s="33"/>
      <c r="TSE143" s="33"/>
      <c r="TSF143" s="33"/>
      <c r="TSG143" s="33"/>
      <c r="TSH143" s="33"/>
      <c r="TSI143" s="33"/>
      <c r="TSJ143" s="33"/>
      <c r="TSK143" s="33"/>
      <c r="TSL143" s="33"/>
      <c r="TSM143" s="33"/>
      <c r="TSN143" s="33"/>
      <c r="TSO143" s="33"/>
      <c r="TSP143" s="33"/>
      <c r="TSQ143" s="33"/>
      <c r="TSR143" s="33"/>
      <c r="TSS143" s="33"/>
      <c r="TST143" s="33"/>
      <c r="TSU143" s="33"/>
      <c r="TSV143" s="33"/>
      <c r="TSW143" s="33"/>
      <c r="TSX143" s="33"/>
      <c r="TSY143" s="33"/>
      <c r="TSZ143" s="33"/>
      <c r="TTA143" s="33"/>
      <c r="TTB143" s="33"/>
      <c r="TTC143" s="33"/>
      <c r="TTD143" s="33"/>
      <c r="TTE143" s="33"/>
      <c r="TTF143" s="33"/>
      <c r="TTG143" s="33"/>
      <c r="TTH143" s="33"/>
      <c r="TTI143" s="33"/>
      <c r="TTJ143" s="33"/>
      <c r="TTK143" s="33"/>
      <c r="TTL143" s="33"/>
      <c r="TTM143" s="33"/>
      <c r="TTN143" s="33"/>
      <c r="TTO143" s="33"/>
      <c r="TTP143" s="33"/>
      <c r="TTQ143" s="33"/>
      <c r="TTR143" s="33"/>
      <c r="TTS143" s="33"/>
      <c r="TTT143" s="33"/>
      <c r="TTU143" s="33"/>
      <c r="TTV143" s="33"/>
      <c r="TTW143" s="33"/>
      <c r="TTX143" s="33"/>
      <c r="TTY143" s="33"/>
      <c r="TTZ143" s="33"/>
      <c r="TUA143" s="33"/>
      <c r="TUB143" s="33"/>
      <c r="TUC143" s="33"/>
      <c r="TUD143" s="33"/>
      <c r="TUE143" s="33"/>
      <c r="TUF143" s="33"/>
      <c r="TUG143" s="33"/>
      <c r="TUH143" s="33"/>
      <c r="TUI143" s="33"/>
      <c r="TUJ143" s="33"/>
      <c r="TUK143" s="33"/>
      <c r="TUL143" s="33"/>
      <c r="TUM143" s="33"/>
      <c r="TUN143" s="33"/>
      <c r="TUO143" s="33"/>
      <c r="TUP143" s="33"/>
      <c r="TUQ143" s="33"/>
      <c r="TUR143" s="33"/>
      <c r="TUS143" s="33"/>
      <c r="TUT143" s="33"/>
      <c r="TUU143" s="33"/>
      <c r="TUV143" s="33"/>
      <c r="TUW143" s="33"/>
      <c r="TUX143" s="33"/>
      <c r="TUY143" s="33"/>
      <c r="TUZ143" s="33"/>
      <c r="TVA143" s="33"/>
      <c r="TVB143" s="33"/>
      <c r="TVC143" s="33"/>
      <c r="TVD143" s="33"/>
      <c r="TVE143" s="33"/>
      <c r="TVF143" s="33"/>
      <c r="TVG143" s="33"/>
      <c r="TVH143" s="33"/>
      <c r="TVI143" s="33"/>
      <c r="TVJ143" s="33"/>
      <c r="TVK143" s="33"/>
      <c r="TVL143" s="33"/>
      <c r="TVM143" s="33"/>
      <c r="TVN143" s="33"/>
      <c r="TVO143" s="33"/>
      <c r="TVP143" s="33"/>
      <c r="TVQ143" s="33"/>
      <c r="TVR143" s="33"/>
      <c r="TVS143" s="33"/>
      <c r="TVT143" s="33"/>
      <c r="TVU143" s="33"/>
      <c r="TVV143" s="33"/>
      <c r="TVW143" s="33"/>
      <c r="TVX143" s="33"/>
      <c r="TVY143" s="33"/>
      <c r="TVZ143" s="33"/>
      <c r="TWA143" s="33"/>
      <c r="TWB143" s="33"/>
      <c r="TWC143" s="33"/>
      <c r="TWD143" s="33"/>
      <c r="TWE143" s="33"/>
      <c r="TWF143" s="33"/>
      <c r="TWG143" s="33"/>
      <c r="TWH143" s="33"/>
      <c r="TWI143" s="33"/>
      <c r="TWJ143" s="33"/>
      <c r="TWK143" s="33"/>
      <c r="TWL143" s="33"/>
      <c r="TWM143" s="33"/>
      <c r="TWN143" s="33"/>
      <c r="TWO143" s="33"/>
      <c r="TWP143" s="33"/>
      <c r="TWQ143" s="33"/>
      <c r="TWR143" s="33"/>
      <c r="TWS143" s="33"/>
      <c r="TWT143" s="33"/>
      <c r="TWU143" s="33"/>
      <c r="TWV143" s="33"/>
      <c r="TWW143" s="33"/>
      <c r="TWX143" s="33"/>
      <c r="TWY143" s="33"/>
      <c r="TWZ143" s="33"/>
      <c r="TXA143" s="33"/>
      <c r="TXB143" s="33"/>
      <c r="TXC143" s="33"/>
      <c r="TXD143" s="33"/>
      <c r="TXE143" s="33"/>
      <c r="TXF143" s="33"/>
      <c r="TXG143" s="33"/>
      <c r="TXH143" s="33"/>
      <c r="TXI143" s="33"/>
      <c r="TXJ143" s="33"/>
      <c r="TXK143" s="33"/>
      <c r="TXL143" s="33"/>
      <c r="TXM143" s="33"/>
      <c r="TXN143" s="33"/>
      <c r="TXO143" s="33"/>
      <c r="TXP143" s="33"/>
      <c r="TXQ143" s="33"/>
      <c r="TXR143" s="33"/>
      <c r="TXS143" s="33"/>
      <c r="TXT143" s="33"/>
      <c r="TXU143" s="33"/>
      <c r="TXV143" s="33"/>
      <c r="TXW143" s="33"/>
      <c r="TXX143" s="33"/>
      <c r="TXY143" s="33"/>
      <c r="TXZ143" s="33"/>
      <c r="TYA143" s="33"/>
      <c r="TYB143" s="33"/>
      <c r="TYC143" s="33"/>
      <c r="TYD143" s="33"/>
      <c r="TYE143" s="33"/>
      <c r="TYF143" s="33"/>
      <c r="TYG143" s="33"/>
      <c r="TYH143" s="33"/>
      <c r="TYI143" s="33"/>
      <c r="TYJ143" s="33"/>
      <c r="TYK143" s="33"/>
      <c r="TYL143" s="33"/>
      <c r="TYM143" s="33"/>
      <c r="TYN143" s="33"/>
      <c r="TYO143" s="33"/>
      <c r="TYP143" s="33"/>
      <c r="TYQ143" s="33"/>
      <c r="TYR143" s="33"/>
      <c r="TYS143" s="33"/>
      <c r="TYT143" s="33"/>
      <c r="TYU143" s="33"/>
      <c r="TYV143" s="33"/>
      <c r="TYW143" s="33"/>
      <c r="TYX143" s="33"/>
      <c r="TYY143" s="33"/>
      <c r="TYZ143" s="33"/>
      <c r="TZA143" s="33"/>
      <c r="TZB143" s="33"/>
      <c r="TZC143" s="33"/>
      <c r="TZD143" s="33"/>
      <c r="TZE143" s="33"/>
      <c r="TZF143" s="33"/>
      <c r="TZG143" s="33"/>
      <c r="TZH143" s="33"/>
      <c r="TZI143" s="33"/>
      <c r="TZJ143" s="33"/>
      <c r="TZK143" s="33"/>
      <c r="TZL143" s="33"/>
      <c r="TZM143" s="33"/>
      <c r="TZN143" s="33"/>
      <c r="TZO143" s="33"/>
      <c r="TZP143" s="33"/>
      <c r="TZQ143" s="33"/>
      <c r="TZR143" s="33"/>
      <c r="TZS143" s="33"/>
      <c r="TZT143" s="33"/>
      <c r="TZU143" s="33"/>
      <c r="TZV143" s="33"/>
      <c r="TZW143" s="33"/>
      <c r="TZX143" s="33"/>
      <c r="TZY143" s="33"/>
      <c r="TZZ143" s="33"/>
      <c r="UAA143" s="33"/>
      <c r="UAB143" s="33"/>
      <c r="UAC143" s="33"/>
      <c r="UAD143" s="33"/>
      <c r="UAE143" s="33"/>
      <c r="UAF143" s="33"/>
      <c r="UAG143" s="33"/>
      <c r="UAH143" s="33"/>
      <c r="UAI143" s="33"/>
      <c r="UAJ143" s="33"/>
      <c r="UAK143" s="33"/>
      <c r="UAL143" s="33"/>
      <c r="UAM143" s="33"/>
      <c r="UAN143" s="33"/>
      <c r="UAO143" s="33"/>
      <c r="UAP143" s="33"/>
      <c r="UAQ143" s="33"/>
      <c r="UAR143" s="33"/>
      <c r="UAS143" s="33"/>
      <c r="UAT143" s="33"/>
      <c r="UAU143" s="33"/>
      <c r="UAV143" s="33"/>
      <c r="UAW143" s="33"/>
      <c r="UAX143" s="33"/>
      <c r="UAY143" s="33"/>
      <c r="UAZ143" s="33"/>
      <c r="UBA143" s="33"/>
      <c r="UBB143" s="33"/>
      <c r="UBC143" s="33"/>
      <c r="UBD143" s="33"/>
      <c r="UBE143" s="33"/>
      <c r="UBF143" s="33"/>
      <c r="UBG143" s="33"/>
      <c r="UBH143" s="33"/>
      <c r="UBI143" s="33"/>
      <c r="UBJ143" s="33"/>
      <c r="UBK143" s="33"/>
      <c r="UBL143" s="33"/>
      <c r="UBM143" s="33"/>
      <c r="UBN143" s="33"/>
      <c r="UBO143" s="33"/>
      <c r="UBP143" s="33"/>
      <c r="UBQ143" s="33"/>
      <c r="UBR143" s="33"/>
      <c r="UBS143" s="33"/>
      <c r="UBT143" s="33"/>
      <c r="UBU143" s="33"/>
      <c r="UBV143" s="33"/>
      <c r="UBW143" s="33"/>
      <c r="UBX143" s="33"/>
      <c r="UBY143" s="33"/>
      <c r="UBZ143" s="33"/>
      <c r="UCA143" s="33"/>
      <c r="UCB143" s="33"/>
      <c r="UCC143" s="33"/>
      <c r="UCD143" s="33"/>
      <c r="UCE143" s="33"/>
      <c r="UCF143" s="33"/>
      <c r="UCG143" s="33"/>
      <c r="UCH143" s="33"/>
      <c r="UCI143" s="33"/>
      <c r="UCJ143" s="33"/>
      <c r="UCK143" s="33"/>
      <c r="UCL143" s="33"/>
      <c r="UCM143" s="33"/>
      <c r="UCN143" s="33"/>
      <c r="UCO143" s="33"/>
      <c r="UCP143" s="33"/>
      <c r="UCQ143" s="33"/>
      <c r="UCR143" s="33"/>
      <c r="UCS143" s="33"/>
      <c r="UCT143" s="33"/>
      <c r="UCU143" s="33"/>
      <c r="UCV143" s="33"/>
      <c r="UCW143" s="33"/>
      <c r="UCX143" s="33"/>
      <c r="UCY143" s="33"/>
      <c r="UCZ143" s="33"/>
      <c r="UDA143" s="33"/>
      <c r="UDB143" s="33"/>
      <c r="UDC143" s="33"/>
      <c r="UDD143" s="33"/>
      <c r="UDE143" s="33"/>
      <c r="UDF143" s="33"/>
      <c r="UDG143" s="33"/>
      <c r="UDH143" s="33"/>
      <c r="UDI143" s="33"/>
      <c r="UDJ143" s="33"/>
      <c r="UDK143" s="33"/>
      <c r="UDL143" s="33"/>
      <c r="UDM143" s="33"/>
      <c r="UDN143" s="33"/>
      <c r="UDO143" s="33"/>
      <c r="UDP143" s="33"/>
      <c r="UDQ143" s="33"/>
      <c r="UDR143" s="33"/>
      <c r="UDS143" s="33"/>
      <c r="UDT143" s="33"/>
      <c r="UDU143" s="33"/>
      <c r="UDV143" s="33"/>
      <c r="UDW143" s="33"/>
      <c r="UDX143" s="33"/>
      <c r="UDY143" s="33"/>
      <c r="UDZ143" s="33"/>
      <c r="UEA143" s="33"/>
      <c r="UEB143" s="33"/>
      <c r="UEC143" s="33"/>
      <c r="UED143" s="33"/>
      <c r="UEE143" s="33"/>
      <c r="UEF143" s="33"/>
      <c r="UEG143" s="33"/>
      <c r="UEH143" s="33"/>
      <c r="UEI143" s="33"/>
      <c r="UEJ143" s="33"/>
      <c r="UEK143" s="33"/>
      <c r="UEL143" s="33"/>
      <c r="UEM143" s="33"/>
      <c r="UEN143" s="33"/>
      <c r="UEO143" s="33"/>
      <c r="UEP143" s="33"/>
      <c r="UEQ143" s="33"/>
      <c r="UER143" s="33"/>
      <c r="UES143" s="33"/>
      <c r="UET143" s="33"/>
      <c r="UEU143" s="33"/>
      <c r="UEV143" s="33"/>
      <c r="UEW143" s="33"/>
      <c r="UEX143" s="33"/>
      <c r="UEY143" s="33"/>
      <c r="UEZ143" s="33"/>
      <c r="UFA143" s="33"/>
      <c r="UFB143" s="33"/>
      <c r="UFC143" s="33"/>
      <c r="UFD143" s="33"/>
      <c r="UFE143" s="33"/>
      <c r="UFF143" s="33"/>
      <c r="UFG143" s="33"/>
      <c r="UFH143" s="33"/>
      <c r="UFI143" s="33"/>
      <c r="UFJ143" s="33"/>
      <c r="UFK143" s="33"/>
      <c r="UFL143" s="33"/>
      <c r="UFM143" s="33"/>
      <c r="UFN143" s="33"/>
      <c r="UFO143" s="33"/>
      <c r="UFP143" s="33"/>
      <c r="UFQ143" s="33"/>
      <c r="UFR143" s="33"/>
      <c r="UFS143" s="33"/>
      <c r="UFT143" s="33"/>
      <c r="UFU143" s="33"/>
      <c r="UFV143" s="33"/>
      <c r="UFW143" s="33"/>
      <c r="UFX143" s="33"/>
      <c r="UFY143" s="33"/>
      <c r="UFZ143" s="33"/>
      <c r="UGA143" s="33"/>
      <c r="UGB143" s="33"/>
      <c r="UGC143" s="33"/>
      <c r="UGD143" s="33"/>
      <c r="UGE143" s="33"/>
      <c r="UGF143" s="33"/>
      <c r="UGG143" s="33"/>
      <c r="UGH143" s="33"/>
      <c r="UGI143" s="33"/>
      <c r="UGJ143" s="33"/>
      <c r="UGK143" s="33"/>
      <c r="UGL143" s="33"/>
      <c r="UGM143" s="33"/>
      <c r="UGN143" s="33"/>
      <c r="UGO143" s="33"/>
      <c r="UGP143" s="33"/>
      <c r="UGQ143" s="33"/>
      <c r="UGR143" s="33"/>
      <c r="UGS143" s="33"/>
      <c r="UGT143" s="33"/>
      <c r="UGU143" s="33"/>
      <c r="UGV143" s="33"/>
      <c r="UGW143" s="33"/>
      <c r="UGX143" s="33"/>
      <c r="UGY143" s="33"/>
      <c r="UGZ143" s="33"/>
      <c r="UHA143" s="33"/>
      <c r="UHB143" s="33"/>
      <c r="UHC143" s="33"/>
      <c r="UHD143" s="33"/>
      <c r="UHE143" s="33"/>
      <c r="UHF143" s="33"/>
      <c r="UHG143" s="33"/>
      <c r="UHH143" s="33"/>
      <c r="UHI143" s="33"/>
      <c r="UHJ143" s="33"/>
      <c r="UHK143" s="33"/>
      <c r="UHL143" s="33"/>
      <c r="UHM143" s="33"/>
      <c r="UHN143" s="33"/>
      <c r="UHO143" s="33"/>
      <c r="UHP143" s="33"/>
      <c r="UHQ143" s="33"/>
      <c r="UHR143" s="33"/>
      <c r="UHS143" s="33"/>
      <c r="UHT143" s="33"/>
      <c r="UHU143" s="33"/>
      <c r="UHV143" s="33"/>
      <c r="UHW143" s="33"/>
      <c r="UHX143" s="33"/>
      <c r="UHY143" s="33"/>
      <c r="UHZ143" s="33"/>
      <c r="UIA143" s="33"/>
      <c r="UIB143" s="33"/>
      <c r="UIC143" s="33"/>
      <c r="UID143" s="33"/>
      <c r="UIE143" s="33"/>
      <c r="UIF143" s="33"/>
      <c r="UIG143" s="33"/>
      <c r="UIH143" s="33"/>
      <c r="UII143" s="33"/>
      <c r="UIJ143" s="33"/>
      <c r="UIK143" s="33"/>
      <c r="UIL143" s="33"/>
      <c r="UIM143" s="33"/>
      <c r="UIN143" s="33"/>
      <c r="UIO143" s="33"/>
      <c r="UIP143" s="33"/>
      <c r="UIQ143" s="33"/>
      <c r="UIR143" s="33"/>
      <c r="UIS143" s="33"/>
      <c r="UIT143" s="33"/>
      <c r="UIU143" s="33"/>
      <c r="UIV143" s="33"/>
      <c r="UIW143" s="33"/>
      <c r="UIX143" s="33"/>
      <c r="UIY143" s="33"/>
      <c r="UIZ143" s="33"/>
      <c r="UJA143" s="33"/>
      <c r="UJB143" s="33"/>
      <c r="UJC143" s="33"/>
      <c r="UJD143" s="33"/>
      <c r="UJE143" s="33"/>
      <c r="UJF143" s="33"/>
      <c r="UJG143" s="33"/>
      <c r="UJH143" s="33"/>
      <c r="UJI143" s="33"/>
      <c r="UJJ143" s="33"/>
      <c r="UJK143" s="33"/>
      <c r="UJL143" s="33"/>
      <c r="UJM143" s="33"/>
      <c r="UJN143" s="33"/>
      <c r="UJO143" s="33"/>
      <c r="UJP143" s="33"/>
      <c r="UJQ143" s="33"/>
      <c r="UJR143" s="33"/>
      <c r="UJS143" s="33"/>
      <c r="UJT143" s="33"/>
      <c r="UJU143" s="33"/>
      <c r="UJV143" s="33"/>
      <c r="UJW143" s="33"/>
      <c r="UJX143" s="33"/>
      <c r="UJY143" s="33"/>
      <c r="UJZ143" s="33"/>
      <c r="UKA143" s="33"/>
      <c r="UKB143" s="33"/>
      <c r="UKC143" s="33"/>
      <c r="UKD143" s="33"/>
      <c r="UKE143" s="33"/>
      <c r="UKF143" s="33"/>
      <c r="UKG143" s="33"/>
      <c r="UKH143" s="33"/>
      <c r="UKI143" s="33"/>
      <c r="UKJ143" s="33"/>
      <c r="UKK143" s="33"/>
      <c r="UKL143" s="33"/>
      <c r="UKM143" s="33"/>
      <c r="UKN143" s="33"/>
      <c r="UKO143" s="33"/>
      <c r="UKP143" s="33"/>
      <c r="UKQ143" s="33"/>
      <c r="UKR143" s="33"/>
      <c r="UKS143" s="33"/>
      <c r="UKT143" s="33"/>
      <c r="UKU143" s="33"/>
      <c r="UKV143" s="33"/>
      <c r="UKW143" s="33"/>
      <c r="UKX143" s="33"/>
      <c r="UKY143" s="33"/>
      <c r="UKZ143" s="33"/>
      <c r="ULA143" s="33"/>
      <c r="ULB143" s="33"/>
      <c r="ULC143" s="33"/>
      <c r="ULD143" s="33"/>
      <c r="ULE143" s="33"/>
      <c r="ULF143" s="33"/>
      <c r="ULG143" s="33"/>
      <c r="ULH143" s="33"/>
      <c r="ULI143" s="33"/>
      <c r="ULJ143" s="33"/>
      <c r="ULK143" s="33"/>
      <c r="ULL143" s="33"/>
      <c r="ULM143" s="33"/>
      <c r="ULN143" s="33"/>
      <c r="ULO143" s="33"/>
      <c r="ULP143" s="33"/>
      <c r="ULQ143" s="33"/>
      <c r="ULR143" s="33"/>
      <c r="ULS143" s="33"/>
      <c r="ULT143" s="33"/>
      <c r="ULU143" s="33"/>
      <c r="ULV143" s="33"/>
      <c r="ULW143" s="33"/>
      <c r="ULX143" s="33"/>
      <c r="ULY143" s="33"/>
      <c r="ULZ143" s="33"/>
      <c r="UMA143" s="33"/>
      <c r="UMB143" s="33"/>
      <c r="UMC143" s="33"/>
      <c r="UMD143" s="33"/>
      <c r="UME143" s="33"/>
      <c r="UMF143" s="33"/>
      <c r="UMG143" s="33"/>
      <c r="UMH143" s="33"/>
      <c r="UMI143" s="33"/>
      <c r="UMJ143" s="33"/>
      <c r="UMK143" s="33"/>
      <c r="UML143" s="33"/>
      <c r="UMM143" s="33"/>
      <c r="UMN143" s="33"/>
      <c r="UMO143" s="33"/>
      <c r="UMP143" s="33"/>
      <c r="UMQ143" s="33"/>
      <c r="UMR143" s="33"/>
      <c r="UMS143" s="33"/>
      <c r="UMT143" s="33"/>
      <c r="UMU143" s="33"/>
      <c r="UMV143" s="33"/>
      <c r="UMW143" s="33"/>
      <c r="UMX143" s="33"/>
      <c r="UMY143" s="33"/>
      <c r="UMZ143" s="33"/>
      <c r="UNA143" s="33"/>
      <c r="UNB143" s="33"/>
      <c r="UNC143" s="33"/>
      <c r="UND143" s="33"/>
      <c r="UNE143" s="33"/>
      <c r="UNF143" s="33"/>
      <c r="UNG143" s="33"/>
      <c r="UNH143" s="33"/>
      <c r="UNI143" s="33"/>
      <c r="UNJ143" s="33"/>
      <c r="UNK143" s="33"/>
      <c r="UNL143" s="33"/>
      <c r="UNM143" s="33"/>
      <c r="UNN143" s="33"/>
      <c r="UNO143" s="33"/>
      <c r="UNP143" s="33"/>
      <c r="UNQ143" s="33"/>
      <c r="UNR143" s="33"/>
      <c r="UNS143" s="33"/>
      <c r="UNT143" s="33"/>
      <c r="UNU143" s="33"/>
      <c r="UNV143" s="33"/>
      <c r="UNW143" s="33"/>
      <c r="UNX143" s="33"/>
      <c r="UNY143" s="33"/>
      <c r="UNZ143" s="33"/>
      <c r="UOA143" s="33"/>
      <c r="UOB143" s="33"/>
      <c r="UOC143" s="33"/>
      <c r="UOD143" s="33"/>
      <c r="UOE143" s="33"/>
      <c r="UOF143" s="33"/>
      <c r="UOG143" s="33"/>
      <c r="UOH143" s="33"/>
      <c r="UOI143" s="33"/>
      <c r="UOJ143" s="33"/>
      <c r="UOK143" s="33"/>
      <c r="UOL143" s="33"/>
      <c r="UOM143" s="33"/>
      <c r="UON143" s="33"/>
      <c r="UOO143" s="33"/>
      <c r="UOP143" s="33"/>
      <c r="UOQ143" s="33"/>
      <c r="UOR143" s="33"/>
      <c r="UOS143" s="33"/>
      <c r="UOT143" s="33"/>
      <c r="UOU143" s="33"/>
      <c r="UOV143" s="33"/>
      <c r="UOW143" s="33"/>
      <c r="UOX143" s="33"/>
      <c r="UOY143" s="33"/>
      <c r="UOZ143" s="33"/>
      <c r="UPA143" s="33"/>
      <c r="UPB143" s="33"/>
      <c r="UPC143" s="33"/>
      <c r="UPD143" s="33"/>
      <c r="UPE143" s="33"/>
      <c r="UPF143" s="33"/>
      <c r="UPG143" s="33"/>
      <c r="UPH143" s="33"/>
      <c r="UPI143" s="33"/>
      <c r="UPJ143" s="33"/>
      <c r="UPK143" s="33"/>
      <c r="UPL143" s="33"/>
      <c r="UPM143" s="33"/>
      <c r="UPN143" s="33"/>
      <c r="UPO143" s="33"/>
      <c r="UPP143" s="33"/>
      <c r="UPQ143" s="33"/>
      <c r="UPR143" s="33"/>
      <c r="UPS143" s="33"/>
      <c r="UPT143" s="33"/>
      <c r="UPU143" s="33"/>
      <c r="UPV143" s="33"/>
      <c r="UPW143" s="33"/>
      <c r="UPX143" s="33"/>
      <c r="UPY143" s="33"/>
      <c r="UPZ143" s="33"/>
      <c r="UQA143" s="33"/>
      <c r="UQB143" s="33"/>
      <c r="UQC143" s="33"/>
      <c r="UQD143" s="33"/>
      <c r="UQE143" s="33"/>
      <c r="UQF143" s="33"/>
      <c r="UQG143" s="33"/>
      <c r="UQH143" s="33"/>
      <c r="UQI143" s="33"/>
      <c r="UQJ143" s="33"/>
      <c r="UQK143" s="33"/>
      <c r="UQL143" s="33"/>
      <c r="UQM143" s="33"/>
      <c r="UQN143" s="33"/>
      <c r="UQO143" s="33"/>
      <c r="UQP143" s="33"/>
      <c r="UQQ143" s="33"/>
      <c r="UQR143" s="33"/>
      <c r="UQS143" s="33"/>
      <c r="UQT143" s="33"/>
      <c r="UQU143" s="33"/>
      <c r="UQV143" s="33"/>
      <c r="UQW143" s="33"/>
      <c r="UQX143" s="33"/>
      <c r="UQY143" s="33"/>
      <c r="UQZ143" s="33"/>
      <c r="URA143" s="33"/>
      <c r="URB143" s="33"/>
      <c r="URC143" s="33"/>
      <c r="URD143" s="33"/>
      <c r="URE143" s="33"/>
      <c r="URF143" s="33"/>
      <c r="URG143" s="33"/>
      <c r="URH143" s="33"/>
      <c r="URI143" s="33"/>
      <c r="URJ143" s="33"/>
      <c r="URK143" s="33"/>
      <c r="URL143" s="33"/>
      <c r="URM143" s="33"/>
      <c r="URN143" s="33"/>
      <c r="URO143" s="33"/>
      <c r="URP143" s="33"/>
      <c r="URQ143" s="33"/>
      <c r="URR143" s="33"/>
      <c r="URS143" s="33"/>
      <c r="URT143" s="33"/>
      <c r="URU143" s="33"/>
      <c r="URV143" s="33"/>
      <c r="URW143" s="33"/>
      <c r="URX143" s="33"/>
      <c r="URY143" s="33"/>
      <c r="URZ143" s="33"/>
      <c r="USA143" s="33"/>
      <c r="USB143" s="33"/>
      <c r="USC143" s="33"/>
      <c r="USD143" s="33"/>
      <c r="USE143" s="33"/>
      <c r="USF143" s="33"/>
      <c r="USG143" s="33"/>
      <c r="USH143" s="33"/>
      <c r="USI143" s="33"/>
      <c r="USJ143" s="33"/>
      <c r="USK143" s="33"/>
      <c r="USL143" s="33"/>
      <c r="USM143" s="33"/>
      <c r="USN143" s="33"/>
      <c r="USO143" s="33"/>
      <c r="USP143" s="33"/>
      <c r="USQ143" s="33"/>
      <c r="USR143" s="33"/>
      <c r="USS143" s="33"/>
      <c r="UST143" s="33"/>
      <c r="USU143" s="33"/>
      <c r="USV143" s="33"/>
      <c r="USW143" s="33"/>
      <c r="USX143" s="33"/>
      <c r="USY143" s="33"/>
      <c r="USZ143" s="33"/>
      <c r="UTA143" s="33"/>
      <c r="UTB143" s="33"/>
      <c r="UTC143" s="33"/>
      <c r="UTD143" s="33"/>
      <c r="UTE143" s="33"/>
      <c r="UTF143" s="33"/>
      <c r="UTG143" s="33"/>
      <c r="UTH143" s="33"/>
      <c r="UTI143" s="33"/>
      <c r="UTJ143" s="33"/>
      <c r="UTK143" s="33"/>
      <c r="UTL143" s="33"/>
      <c r="UTM143" s="33"/>
      <c r="UTN143" s="33"/>
      <c r="UTO143" s="33"/>
      <c r="UTP143" s="33"/>
      <c r="UTQ143" s="33"/>
      <c r="UTR143" s="33"/>
      <c r="UTS143" s="33"/>
      <c r="UTT143" s="33"/>
      <c r="UTU143" s="33"/>
      <c r="UTV143" s="33"/>
      <c r="UTW143" s="33"/>
      <c r="UTX143" s="33"/>
      <c r="UTY143" s="33"/>
      <c r="UTZ143" s="33"/>
      <c r="UUA143" s="33"/>
      <c r="UUB143" s="33"/>
      <c r="UUC143" s="33"/>
      <c r="UUD143" s="33"/>
      <c r="UUE143" s="33"/>
      <c r="UUF143" s="33"/>
      <c r="UUG143" s="33"/>
      <c r="UUH143" s="33"/>
      <c r="UUI143" s="33"/>
      <c r="UUJ143" s="33"/>
      <c r="UUK143" s="33"/>
      <c r="UUL143" s="33"/>
      <c r="UUM143" s="33"/>
      <c r="UUN143" s="33"/>
      <c r="UUO143" s="33"/>
      <c r="UUP143" s="33"/>
      <c r="UUQ143" s="33"/>
      <c r="UUR143" s="33"/>
      <c r="UUS143" s="33"/>
      <c r="UUT143" s="33"/>
      <c r="UUU143" s="33"/>
      <c r="UUV143" s="33"/>
      <c r="UUW143" s="33"/>
      <c r="UUX143" s="33"/>
      <c r="UUY143" s="33"/>
      <c r="UUZ143" s="33"/>
      <c r="UVA143" s="33"/>
      <c r="UVB143" s="33"/>
      <c r="UVC143" s="33"/>
      <c r="UVD143" s="33"/>
      <c r="UVE143" s="33"/>
      <c r="UVF143" s="33"/>
      <c r="UVG143" s="33"/>
      <c r="UVH143" s="33"/>
      <c r="UVI143" s="33"/>
      <c r="UVJ143" s="33"/>
      <c r="UVK143" s="33"/>
      <c r="UVL143" s="33"/>
      <c r="UVM143" s="33"/>
      <c r="UVN143" s="33"/>
      <c r="UVO143" s="33"/>
      <c r="UVP143" s="33"/>
      <c r="UVQ143" s="33"/>
      <c r="UVR143" s="33"/>
      <c r="UVS143" s="33"/>
      <c r="UVT143" s="33"/>
      <c r="UVU143" s="33"/>
      <c r="UVV143" s="33"/>
      <c r="UVW143" s="33"/>
      <c r="UVX143" s="33"/>
      <c r="UVY143" s="33"/>
      <c r="UVZ143" s="33"/>
      <c r="UWA143" s="33"/>
      <c r="UWB143" s="33"/>
      <c r="UWC143" s="33"/>
      <c r="UWD143" s="33"/>
      <c r="UWE143" s="33"/>
      <c r="UWF143" s="33"/>
      <c r="UWG143" s="33"/>
      <c r="UWH143" s="33"/>
      <c r="UWI143" s="33"/>
      <c r="UWJ143" s="33"/>
      <c r="UWK143" s="33"/>
      <c r="UWL143" s="33"/>
      <c r="UWM143" s="33"/>
      <c r="UWN143" s="33"/>
      <c r="UWO143" s="33"/>
      <c r="UWP143" s="33"/>
      <c r="UWQ143" s="33"/>
      <c r="UWR143" s="33"/>
      <c r="UWS143" s="33"/>
      <c r="UWT143" s="33"/>
      <c r="UWU143" s="33"/>
      <c r="UWV143" s="33"/>
      <c r="UWW143" s="33"/>
      <c r="UWX143" s="33"/>
      <c r="UWY143" s="33"/>
      <c r="UWZ143" s="33"/>
      <c r="UXA143" s="33"/>
      <c r="UXB143" s="33"/>
      <c r="UXC143" s="33"/>
      <c r="UXD143" s="33"/>
      <c r="UXE143" s="33"/>
      <c r="UXF143" s="33"/>
      <c r="UXG143" s="33"/>
      <c r="UXH143" s="33"/>
      <c r="UXI143" s="33"/>
      <c r="UXJ143" s="33"/>
      <c r="UXK143" s="33"/>
      <c r="UXL143" s="33"/>
      <c r="UXM143" s="33"/>
      <c r="UXN143" s="33"/>
      <c r="UXO143" s="33"/>
      <c r="UXP143" s="33"/>
      <c r="UXQ143" s="33"/>
      <c r="UXR143" s="33"/>
      <c r="UXS143" s="33"/>
      <c r="UXT143" s="33"/>
      <c r="UXU143" s="33"/>
      <c r="UXV143" s="33"/>
      <c r="UXW143" s="33"/>
      <c r="UXX143" s="33"/>
      <c r="UXY143" s="33"/>
      <c r="UXZ143" s="33"/>
      <c r="UYA143" s="33"/>
      <c r="UYB143" s="33"/>
      <c r="UYC143" s="33"/>
      <c r="UYD143" s="33"/>
      <c r="UYE143" s="33"/>
      <c r="UYF143" s="33"/>
      <c r="UYG143" s="33"/>
      <c r="UYH143" s="33"/>
      <c r="UYI143" s="33"/>
      <c r="UYJ143" s="33"/>
      <c r="UYK143" s="33"/>
      <c r="UYL143" s="33"/>
      <c r="UYM143" s="33"/>
      <c r="UYN143" s="33"/>
      <c r="UYO143" s="33"/>
      <c r="UYP143" s="33"/>
      <c r="UYQ143" s="33"/>
      <c r="UYR143" s="33"/>
      <c r="UYS143" s="33"/>
      <c r="UYT143" s="33"/>
      <c r="UYU143" s="33"/>
      <c r="UYV143" s="33"/>
      <c r="UYW143" s="33"/>
      <c r="UYX143" s="33"/>
      <c r="UYY143" s="33"/>
      <c r="UYZ143" s="33"/>
      <c r="UZA143" s="33"/>
      <c r="UZB143" s="33"/>
      <c r="UZC143" s="33"/>
      <c r="UZD143" s="33"/>
      <c r="UZE143" s="33"/>
      <c r="UZF143" s="33"/>
      <c r="UZG143" s="33"/>
      <c r="UZH143" s="33"/>
      <c r="UZI143" s="33"/>
      <c r="UZJ143" s="33"/>
      <c r="UZK143" s="33"/>
      <c r="UZL143" s="33"/>
      <c r="UZM143" s="33"/>
      <c r="UZN143" s="33"/>
      <c r="UZO143" s="33"/>
      <c r="UZP143" s="33"/>
      <c r="UZQ143" s="33"/>
      <c r="UZR143" s="33"/>
      <c r="UZS143" s="33"/>
      <c r="UZT143" s="33"/>
      <c r="UZU143" s="33"/>
      <c r="UZV143" s="33"/>
      <c r="UZW143" s="33"/>
      <c r="UZX143" s="33"/>
      <c r="UZY143" s="33"/>
      <c r="UZZ143" s="33"/>
      <c r="VAA143" s="33"/>
      <c r="VAB143" s="33"/>
      <c r="VAC143" s="33"/>
      <c r="VAD143" s="33"/>
      <c r="VAE143" s="33"/>
      <c r="VAF143" s="33"/>
      <c r="VAG143" s="33"/>
      <c r="VAH143" s="33"/>
      <c r="VAI143" s="33"/>
      <c r="VAJ143" s="33"/>
      <c r="VAK143" s="33"/>
      <c r="VAL143" s="33"/>
      <c r="VAM143" s="33"/>
      <c r="VAN143" s="33"/>
      <c r="VAO143" s="33"/>
      <c r="VAP143" s="33"/>
      <c r="VAQ143" s="33"/>
      <c r="VAR143" s="33"/>
      <c r="VAS143" s="33"/>
      <c r="VAT143" s="33"/>
      <c r="VAU143" s="33"/>
      <c r="VAV143" s="33"/>
      <c r="VAW143" s="33"/>
      <c r="VAX143" s="33"/>
      <c r="VAY143" s="33"/>
      <c r="VAZ143" s="33"/>
      <c r="VBA143" s="33"/>
      <c r="VBB143" s="33"/>
      <c r="VBC143" s="33"/>
      <c r="VBD143" s="33"/>
      <c r="VBE143" s="33"/>
      <c r="VBF143" s="33"/>
      <c r="VBG143" s="33"/>
      <c r="VBH143" s="33"/>
      <c r="VBI143" s="33"/>
      <c r="VBJ143" s="33"/>
      <c r="VBK143" s="33"/>
      <c r="VBL143" s="33"/>
      <c r="VBM143" s="33"/>
      <c r="VBN143" s="33"/>
      <c r="VBO143" s="33"/>
      <c r="VBP143" s="33"/>
      <c r="VBQ143" s="33"/>
      <c r="VBR143" s="33"/>
      <c r="VBS143" s="33"/>
      <c r="VBT143" s="33"/>
      <c r="VBU143" s="33"/>
      <c r="VBV143" s="33"/>
      <c r="VBW143" s="33"/>
      <c r="VBX143" s="33"/>
      <c r="VBY143" s="33"/>
      <c r="VBZ143" s="33"/>
      <c r="VCA143" s="33"/>
      <c r="VCB143" s="33"/>
      <c r="VCC143" s="33"/>
      <c r="VCD143" s="33"/>
      <c r="VCE143" s="33"/>
      <c r="VCF143" s="33"/>
      <c r="VCG143" s="33"/>
      <c r="VCH143" s="33"/>
      <c r="VCI143" s="33"/>
      <c r="VCJ143" s="33"/>
      <c r="VCK143" s="33"/>
      <c r="VCL143" s="33"/>
      <c r="VCM143" s="33"/>
      <c r="VCN143" s="33"/>
      <c r="VCO143" s="33"/>
      <c r="VCP143" s="33"/>
      <c r="VCQ143" s="33"/>
      <c r="VCR143" s="33"/>
      <c r="VCS143" s="33"/>
      <c r="VCT143" s="33"/>
      <c r="VCU143" s="33"/>
      <c r="VCV143" s="33"/>
      <c r="VCW143" s="33"/>
      <c r="VCX143" s="33"/>
      <c r="VCY143" s="33"/>
      <c r="VCZ143" s="33"/>
      <c r="VDA143" s="33"/>
      <c r="VDB143" s="33"/>
      <c r="VDC143" s="33"/>
      <c r="VDD143" s="33"/>
      <c r="VDE143" s="33"/>
      <c r="VDF143" s="33"/>
      <c r="VDG143" s="33"/>
      <c r="VDH143" s="33"/>
      <c r="VDI143" s="33"/>
      <c r="VDJ143" s="33"/>
      <c r="VDK143" s="33"/>
      <c r="VDL143" s="33"/>
      <c r="VDM143" s="33"/>
      <c r="VDN143" s="33"/>
      <c r="VDO143" s="33"/>
      <c r="VDP143" s="33"/>
      <c r="VDQ143" s="33"/>
      <c r="VDR143" s="33"/>
      <c r="VDS143" s="33"/>
      <c r="VDT143" s="33"/>
      <c r="VDU143" s="33"/>
      <c r="VDV143" s="33"/>
      <c r="VDW143" s="33"/>
      <c r="VDX143" s="33"/>
      <c r="VDY143" s="33"/>
      <c r="VDZ143" s="33"/>
      <c r="VEA143" s="33"/>
      <c r="VEB143" s="33"/>
      <c r="VEC143" s="33"/>
      <c r="VED143" s="33"/>
      <c r="VEE143" s="33"/>
      <c r="VEF143" s="33"/>
      <c r="VEG143" s="33"/>
      <c r="VEH143" s="33"/>
      <c r="VEI143" s="33"/>
      <c r="VEJ143" s="33"/>
      <c r="VEK143" s="33"/>
      <c r="VEL143" s="33"/>
      <c r="VEM143" s="33"/>
      <c r="VEN143" s="33"/>
      <c r="VEO143" s="33"/>
      <c r="VEP143" s="33"/>
      <c r="VEQ143" s="33"/>
      <c r="VER143" s="33"/>
      <c r="VES143" s="33"/>
      <c r="VET143" s="33"/>
      <c r="VEU143" s="33"/>
      <c r="VEV143" s="33"/>
      <c r="VEW143" s="33"/>
      <c r="VEX143" s="33"/>
      <c r="VEY143" s="33"/>
      <c r="VEZ143" s="33"/>
      <c r="VFA143" s="33"/>
      <c r="VFB143" s="33"/>
      <c r="VFC143" s="33"/>
      <c r="VFD143" s="33"/>
      <c r="VFE143" s="33"/>
      <c r="VFF143" s="33"/>
      <c r="VFG143" s="33"/>
      <c r="VFH143" s="33"/>
      <c r="VFI143" s="33"/>
      <c r="VFJ143" s="33"/>
      <c r="VFK143" s="33"/>
      <c r="VFL143" s="33"/>
      <c r="VFM143" s="33"/>
      <c r="VFN143" s="33"/>
      <c r="VFO143" s="33"/>
      <c r="VFP143" s="33"/>
      <c r="VFQ143" s="33"/>
      <c r="VFR143" s="33"/>
      <c r="VFS143" s="33"/>
      <c r="VFT143" s="33"/>
      <c r="VFU143" s="33"/>
      <c r="VFV143" s="33"/>
      <c r="VFW143" s="33"/>
      <c r="VFX143" s="33"/>
      <c r="VFY143" s="33"/>
      <c r="VFZ143" s="33"/>
      <c r="VGA143" s="33"/>
      <c r="VGB143" s="33"/>
      <c r="VGC143" s="33"/>
      <c r="VGD143" s="33"/>
      <c r="VGE143" s="33"/>
      <c r="VGF143" s="33"/>
      <c r="VGG143" s="33"/>
      <c r="VGH143" s="33"/>
      <c r="VGI143" s="33"/>
      <c r="VGJ143" s="33"/>
      <c r="VGK143" s="33"/>
      <c r="VGL143" s="33"/>
      <c r="VGM143" s="33"/>
      <c r="VGN143" s="33"/>
      <c r="VGO143" s="33"/>
      <c r="VGP143" s="33"/>
      <c r="VGQ143" s="33"/>
      <c r="VGR143" s="33"/>
      <c r="VGS143" s="33"/>
      <c r="VGT143" s="33"/>
      <c r="VGU143" s="33"/>
      <c r="VGV143" s="33"/>
      <c r="VGW143" s="33"/>
      <c r="VGX143" s="33"/>
      <c r="VGY143" s="33"/>
      <c r="VGZ143" s="33"/>
      <c r="VHA143" s="33"/>
      <c r="VHB143" s="33"/>
      <c r="VHC143" s="33"/>
      <c r="VHD143" s="33"/>
      <c r="VHE143" s="33"/>
      <c r="VHF143" s="33"/>
      <c r="VHG143" s="33"/>
      <c r="VHH143" s="33"/>
      <c r="VHI143" s="33"/>
      <c r="VHJ143" s="33"/>
      <c r="VHK143" s="33"/>
      <c r="VHL143" s="33"/>
      <c r="VHM143" s="33"/>
      <c r="VHN143" s="33"/>
      <c r="VHO143" s="33"/>
      <c r="VHP143" s="33"/>
      <c r="VHQ143" s="33"/>
      <c r="VHR143" s="33"/>
      <c r="VHS143" s="33"/>
      <c r="VHT143" s="33"/>
      <c r="VHU143" s="33"/>
      <c r="VHV143" s="33"/>
      <c r="VHW143" s="33"/>
      <c r="VHX143" s="33"/>
      <c r="VHY143" s="33"/>
      <c r="VHZ143" s="33"/>
      <c r="VIA143" s="33"/>
      <c r="VIB143" s="33"/>
      <c r="VIC143" s="33"/>
      <c r="VID143" s="33"/>
      <c r="VIE143" s="33"/>
      <c r="VIF143" s="33"/>
      <c r="VIG143" s="33"/>
      <c r="VIH143" s="33"/>
      <c r="VII143" s="33"/>
      <c r="VIJ143" s="33"/>
      <c r="VIK143" s="33"/>
      <c r="VIL143" s="33"/>
      <c r="VIM143" s="33"/>
      <c r="VIN143" s="33"/>
      <c r="VIO143" s="33"/>
      <c r="VIP143" s="33"/>
      <c r="VIQ143" s="33"/>
      <c r="VIR143" s="33"/>
      <c r="VIS143" s="33"/>
      <c r="VIT143" s="33"/>
      <c r="VIU143" s="33"/>
      <c r="VIV143" s="33"/>
      <c r="VIW143" s="33"/>
      <c r="VIX143" s="33"/>
      <c r="VIY143" s="33"/>
      <c r="VIZ143" s="33"/>
      <c r="VJA143" s="33"/>
      <c r="VJB143" s="33"/>
      <c r="VJC143" s="33"/>
      <c r="VJD143" s="33"/>
      <c r="VJE143" s="33"/>
      <c r="VJF143" s="33"/>
      <c r="VJG143" s="33"/>
      <c r="VJH143" s="33"/>
      <c r="VJI143" s="33"/>
      <c r="VJJ143" s="33"/>
      <c r="VJK143" s="33"/>
      <c r="VJL143" s="33"/>
      <c r="VJM143" s="33"/>
      <c r="VJN143" s="33"/>
      <c r="VJO143" s="33"/>
      <c r="VJP143" s="33"/>
      <c r="VJQ143" s="33"/>
      <c r="VJR143" s="33"/>
      <c r="VJS143" s="33"/>
      <c r="VJT143" s="33"/>
      <c r="VJU143" s="33"/>
      <c r="VJV143" s="33"/>
      <c r="VJW143" s="33"/>
      <c r="VJX143" s="33"/>
      <c r="VJY143" s="33"/>
      <c r="VJZ143" s="33"/>
      <c r="VKA143" s="33"/>
      <c r="VKB143" s="33"/>
      <c r="VKC143" s="33"/>
      <c r="VKD143" s="33"/>
      <c r="VKE143" s="33"/>
      <c r="VKF143" s="33"/>
      <c r="VKG143" s="33"/>
      <c r="VKH143" s="33"/>
      <c r="VKI143" s="33"/>
      <c r="VKJ143" s="33"/>
      <c r="VKK143" s="33"/>
      <c r="VKL143" s="33"/>
      <c r="VKM143" s="33"/>
      <c r="VKN143" s="33"/>
      <c r="VKO143" s="33"/>
      <c r="VKP143" s="33"/>
      <c r="VKQ143" s="33"/>
      <c r="VKR143" s="33"/>
      <c r="VKS143" s="33"/>
      <c r="VKT143" s="33"/>
      <c r="VKU143" s="33"/>
      <c r="VKV143" s="33"/>
      <c r="VKW143" s="33"/>
      <c r="VKX143" s="33"/>
      <c r="VKY143" s="33"/>
      <c r="VKZ143" s="33"/>
      <c r="VLA143" s="33"/>
      <c r="VLB143" s="33"/>
      <c r="VLC143" s="33"/>
      <c r="VLD143" s="33"/>
      <c r="VLE143" s="33"/>
      <c r="VLF143" s="33"/>
      <c r="VLG143" s="33"/>
      <c r="VLH143" s="33"/>
      <c r="VLI143" s="33"/>
      <c r="VLJ143" s="33"/>
      <c r="VLK143" s="33"/>
      <c r="VLL143" s="33"/>
      <c r="VLM143" s="33"/>
      <c r="VLN143" s="33"/>
      <c r="VLO143" s="33"/>
      <c r="VLP143" s="33"/>
      <c r="VLQ143" s="33"/>
      <c r="VLR143" s="33"/>
      <c r="VLS143" s="33"/>
      <c r="VLT143" s="33"/>
      <c r="VLU143" s="33"/>
      <c r="VLV143" s="33"/>
      <c r="VLW143" s="33"/>
      <c r="VLX143" s="33"/>
      <c r="VLY143" s="33"/>
      <c r="VLZ143" s="33"/>
      <c r="VMA143" s="33"/>
      <c r="VMB143" s="33"/>
      <c r="VMC143" s="33"/>
      <c r="VMD143" s="33"/>
      <c r="VME143" s="33"/>
      <c r="VMF143" s="33"/>
      <c r="VMG143" s="33"/>
      <c r="VMH143" s="33"/>
      <c r="VMI143" s="33"/>
      <c r="VMJ143" s="33"/>
      <c r="VMK143" s="33"/>
      <c r="VML143" s="33"/>
      <c r="VMM143" s="33"/>
      <c r="VMN143" s="33"/>
      <c r="VMO143" s="33"/>
      <c r="VMP143" s="33"/>
      <c r="VMQ143" s="33"/>
      <c r="VMR143" s="33"/>
      <c r="VMS143" s="33"/>
      <c r="VMT143" s="33"/>
      <c r="VMU143" s="33"/>
      <c r="VMV143" s="33"/>
      <c r="VMW143" s="33"/>
      <c r="VMX143" s="33"/>
      <c r="VMY143" s="33"/>
      <c r="VMZ143" s="33"/>
      <c r="VNA143" s="33"/>
      <c r="VNB143" s="33"/>
      <c r="VNC143" s="33"/>
      <c r="VND143" s="33"/>
      <c r="VNE143" s="33"/>
      <c r="VNF143" s="33"/>
      <c r="VNG143" s="33"/>
      <c r="VNH143" s="33"/>
      <c r="VNI143" s="33"/>
      <c r="VNJ143" s="33"/>
      <c r="VNK143" s="33"/>
      <c r="VNL143" s="33"/>
      <c r="VNM143" s="33"/>
      <c r="VNN143" s="33"/>
      <c r="VNO143" s="33"/>
      <c r="VNP143" s="33"/>
      <c r="VNQ143" s="33"/>
      <c r="VNR143" s="33"/>
      <c r="VNS143" s="33"/>
      <c r="VNT143" s="33"/>
      <c r="VNU143" s="33"/>
      <c r="VNV143" s="33"/>
      <c r="VNW143" s="33"/>
      <c r="VNX143" s="33"/>
      <c r="VNY143" s="33"/>
      <c r="VNZ143" s="33"/>
      <c r="VOA143" s="33"/>
      <c r="VOB143" s="33"/>
      <c r="VOC143" s="33"/>
      <c r="VOD143" s="33"/>
      <c r="VOE143" s="33"/>
      <c r="VOF143" s="33"/>
      <c r="VOG143" s="33"/>
      <c r="VOH143" s="33"/>
      <c r="VOI143" s="33"/>
      <c r="VOJ143" s="33"/>
      <c r="VOK143" s="33"/>
      <c r="VOL143" s="33"/>
      <c r="VOM143" s="33"/>
      <c r="VON143" s="33"/>
      <c r="VOO143" s="33"/>
      <c r="VOP143" s="33"/>
      <c r="VOQ143" s="33"/>
      <c r="VOR143" s="33"/>
      <c r="VOS143" s="33"/>
      <c r="VOT143" s="33"/>
      <c r="VOU143" s="33"/>
      <c r="VOV143" s="33"/>
      <c r="VOW143" s="33"/>
      <c r="VOX143" s="33"/>
      <c r="VOY143" s="33"/>
      <c r="VOZ143" s="33"/>
      <c r="VPA143" s="33"/>
      <c r="VPB143" s="33"/>
      <c r="VPC143" s="33"/>
      <c r="VPD143" s="33"/>
      <c r="VPE143" s="33"/>
      <c r="VPF143" s="33"/>
      <c r="VPG143" s="33"/>
      <c r="VPH143" s="33"/>
      <c r="VPI143" s="33"/>
      <c r="VPJ143" s="33"/>
      <c r="VPK143" s="33"/>
      <c r="VPL143" s="33"/>
      <c r="VPM143" s="33"/>
      <c r="VPN143" s="33"/>
      <c r="VPO143" s="33"/>
      <c r="VPP143" s="33"/>
      <c r="VPQ143" s="33"/>
      <c r="VPR143" s="33"/>
      <c r="VPS143" s="33"/>
      <c r="VPT143" s="33"/>
      <c r="VPU143" s="33"/>
      <c r="VPV143" s="33"/>
      <c r="VPW143" s="33"/>
      <c r="VPX143" s="33"/>
      <c r="VPY143" s="33"/>
      <c r="VPZ143" s="33"/>
      <c r="VQA143" s="33"/>
      <c r="VQB143" s="33"/>
      <c r="VQC143" s="33"/>
      <c r="VQD143" s="33"/>
      <c r="VQE143" s="33"/>
      <c r="VQF143" s="33"/>
      <c r="VQG143" s="33"/>
      <c r="VQH143" s="33"/>
      <c r="VQI143" s="33"/>
      <c r="VQJ143" s="33"/>
      <c r="VQK143" s="33"/>
      <c r="VQL143" s="33"/>
      <c r="VQM143" s="33"/>
      <c r="VQN143" s="33"/>
      <c r="VQO143" s="33"/>
      <c r="VQP143" s="33"/>
      <c r="VQQ143" s="33"/>
      <c r="VQR143" s="33"/>
      <c r="VQS143" s="33"/>
      <c r="VQT143" s="33"/>
      <c r="VQU143" s="33"/>
      <c r="VQV143" s="33"/>
      <c r="VQW143" s="33"/>
      <c r="VQX143" s="33"/>
      <c r="VQY143" s="33"/>
      <c r="VQZ143" s="33"/>
      <c r="VRA143" s="33"/>
      <c r="VRB143" s="33"/>
      <c r="VRC143" s="33"/>
      <c r="VRD143" s="33"/>
      <c r="VRE143" s="33"/>
      <c r="VRF143" s="33"/>
      <c r="VRG143" s="33"/>
      <c r="VRH143" s="33"/>
      <c r="VRI143" s="33"/>
      <c r="VRJ143" s="33"/>
      <c r="VRK143" s="33"/>
      <c r="VRL143" s="33"/>
      <c r="VRM143" s="33"/>
      <c r="VRN143" s="33"/>
      <c r="VRO143" s="33"/>
      <c r="VRP143" s="33"/>
      <c r="VRQ143" s="33"/>
      <c r="VRR143" s="33"/>
      <c r="VRS143" s="33"/>
      <c r="VRT143" s="33"/>
      <c r="VRU143" s="33"/>
      <c r="VRV143" s="33"/>
      <c r="VRW143" s="33"/>
      <c r="VRX143" s="33"/>
      <c r="VRY143" s="33"/>
      <c r="VRZ143" s="33"/>
      <c r="VSA143" s="33"/>
      <c r="VSB143" s="33"/>
      <c r="VSC143" s="33"/>
      <c r="VSD143" s="33"/>
      <c r="VSE143" s="33"/>
      <c r="VSF143" s="33"/>
      <c r="VSG143" s="33"/>
      <c r="VSH143" s="33"/>
      <c r="VSI143" s="33"/>
      <c r="VSJ143" s="33"/>
      <c r="VSK143" s="33"/>
      <c r="VSL143" s="33"/>
      <c r="VSM143" s="33"/>
      <c r="VSN143" s="33"/>
      <c r="VSO143" s="33"/>
      <c r="VSP143" s="33"/>
      <c r="VSQ143" s="33"/>
      <c r="VSR143" s="33"/>
      <c r="VSS143" s="33"/>
      <c r="VST143" s="33"/>
      <c r="VSU143" s="33"/>
      <c r="VSV143" s="33"/>
      <c r="VSW143" s="33"/>
      <c r="VSX143" s="33"/>
      <c r="VSY143" s="33"/>
      <c r="VSZ143" s="33"/>
      <c r="VTA143" s="33"/>
      <c r="VTB143" s="33"/>
      <c r="VTC143" s="33"/>
      <c r="VTD143" s="33"/>
      <c r="VTE143" s="33"/>
      <c r="VTF143" s="33"/>
      <c r="VTG143" s="33"/>
      <c r="VTH143" s="33"/>
      <c r="VTI143" s="33"/>
      <c r="VTJ143" s="33"/>
      <c r="VTK143" s="33"/>
      <c r="VTL143" s="33"/>
      <c r="VTM143" s="33"/>
      <c r="VTN143" s="33"/>
      <c r="VTO143" s="33"/>
      <c r="VTP143" s="33"/>
      <c r="VTQ143" s="33"/>
      <c r="VTR143" s="33"/>
      <c r="VTS143" s="33"/>
      <c r="VTT143" s="33"/>
      <c r="VTU143" s="33"/>
      <c r="VTV143" s="33"/>
      <c r="VTW143" s="33"/>
      <c r="VTX143" s="33"/>
      <c r="VTY143" s="33"/>
      <c r="VTZ143" s="33"/>
      <c r="VUA143" s="33"/>
      <c r="VUB143" s="33"/>
      <c r="VUC143" s="33"/>
      <c r="VUD143" s="33"/>
      <c r="VUE143" s="33"/>
      <c r="VUF143" s="33"/>
      <c r="VUG143" s="33"/>
      <c r="VUH143" s="33"/>
      <c r="VUI143" s="33"/>
      <c r="VUJ143" s="33"/>
      <c r="VUK143" s="33"/>
      <c r="VUL143" s="33"/>
      <c r="VUM143" s="33"/>
      <c r="VUN143" s="33"/>
      <c r="VUO143" s="33"/>
      <c r="VUP143" s="33"/>
      <c r="VUQ143" s="33"/>
      <c r="VUR143" s="33"/>
      <c r="VUS143" s="33"/>
      <c r="VUT143" s="33"/>
      <c r="VUU143" s="33"/>
      <c r="VUV143" s="33"/>
      <c r="VUW143" s="33"/>
      <c r="VUX143" s="33"/>
      <c r="VUY143" s="33"/>
      <c r="VUZ143" s="33"/>
      <c r="VVA143" s="33"/>
      <c r="VVB143" s="33"/>
      <c r="VVC143" s="33"/>
      <c r="VVD143" s="33"/>
      <c r="VVE143" s="33"/>
      <c r="VVF143" s="33"/>
      <c r="VVG143" s="33"/>
      <c r="VVH143" s="33"/>
      <c r="VVI143" s="33"/>
      <c r="VVJ143" s="33"/>
      <c r="VVK143" s="33"/>
      <c r="VVL143" s="33"/>
      <c r="VVM143" s="33"/>
      <c r="VVN143" s="33"/>
      <c r="VVO143" s="33"/>
      <c r="VVP143" s="33"/>
      <c r="VVQ143" s="33"/>
      <c r="VVR143" s="33"/>
      <c r="VVS143" s="33"/>
      <c r="VVT143" s="33"/>
      <c r="VVU143" s="33"/>
      <c r="VVV143" s="33"/>
      <c r="VVW143" s="33"/>
      <c r="VVX143" s="33"/>
      <c r="VVY143" s="33"/>
      <c r="VVZ143" s="33"/>
      <c r="VWA143" s="33"/>
      <c r="VWB143" s="33"/>
      <c r="VWC143" s="33"/>
      <c r="VWD143" s="33"/>
      <c r="VWE143" s="33"/>
      <c r="VWF143" s="33"/>
      <c r="VWG143" s="33"/>
      <c r="VWH143" s="33"/>
      <c r="VWI143" s="33"/>
      <c r="VWJ143" s="33"/>
      <c r="VWK143" s="33"/>
      <c r="VWL143" s="33"/>
      <c r="VWM143" s="33"/>
      <c r="VWN143" s="33"/>
      <c r="VWO143" s="33"/>
      <c r="VWP143" s="33"/>
      <c r="VWQ143" s="33"/>
      <c r="VWR143" s="33"/>
      <c r="VWS143" s="33"/>
      <c r="VWT143" s="33"/>
      <c r="VWU143" s="33"/>
      <c r="VWV143" s="33"/>
      <c r="VWW143" s="33"/>
      <c r="VWX143" s="33"/>
      <c r="VWY143" s="33"/>
      <c r="VWZ143" s="33"/>
      <c r="VXA143" s="33"/>
      <c r="VXB143" s="33"/>
      <c r="VXC143" s="33"/>
      <c r="VXD143" s="33"/>
      <c r="VXE143" s="33"/>
      <c r="VXF143" s="33"/>
      <c r="VXG143" s="33"/>
      <c r="VXH143" s="33"/>
      <c r="VXI143" s="33"/>
      <c r="VXJ143" s="33"/>
      <c r="VXK143" s="33"/>
      <c r="VXL143" s="33"/>
      <c r="VXM143" s="33"/>
      <c r="VXN143" s="33"/>
      <c r="VXO143" s="33"/>
      <c r="VXP143" s="33"/>
      <c r="VXQ143" s="33"/>
      <c r="VXR143" s="33"/>
      <c r="VXS143" s="33"/>
      <c r="VXT143" s="33"/>
      <c r="VXU143" s="33"/>
      <c r="VXV143" s="33"/>
      <c r="VXW143" s="33"/>
      <c r="VXX143" s="33"/>
      <c r="VXY143" s="33"/>
      <c r="VXZ143" s="33"/>
      <c r="VYA143" s="33"/>
      <c r="VYB143" s="33"/>
      <c r="VYC143" s="33"/>
      <c r="VYD143" s="33"/>
      <c r="VYE143" s="33"/>
      <c r="VYF143" s="33"/>
      <c r="VYG143" s="33"/>
      <c r="VYH143" s="33"/>
      <c r="VYI143" s="33"/>
      <c r="VYJ143" s="33"/>
      <c r="VYK143" s="33"/>
      <c r="VYL143" s="33"/>
      <c r="VYM143" s="33"/>
      <c r="VYN143" s="33"/>
      <c r="VYO143" s="33"/>
      <c r="VYP143" s="33"/>
      <c r="VYQ143" s="33"/>
      <c r="VYR143" s="33"/>
      <c r="VYS143" s="33"/>
      <c r="VYT143" s="33"/>
      <c r="VYU143" s="33"/>
      <c r="VYV143" s="33"/>
      <c r="VYW143" s="33"/>
      <c r="VYX143" s="33"/>
      <c r="VYY143" s="33"/>
      <c r="VYZ143" s="33"/>
      <c r="VZA143" s="33"/>
      <c r="VZB143" s="33"/>
      <c r="VZC143" s="33"/>
      <c r="VZD143" s="33"/>
      <c r="VZE143" s="33"/>
      <c r="VZF143" s="33"/>
      <c r="VZG143" s="33"/>
      <c r="VZH143" s="33"/>
      <c r="VZI143" s="33"/>
      <c r="VZJ143" s="33"/>
      <c r="VZK143" s="33"/>
      <c r="VZL143" s="33"/>
      <c r="VZM143" s="33"/>
      <c r="VZN143" s="33"/>
      <c r="VZO143" s="33"/>
      <c r="VZP143" s="33"/>
      <c r="VZQ143" s="33"/>
      <c r="VZR143" s="33"/>
      <c r="VZS143" s="33"/>
      <c r="VZT143" s="33"/>
      <c r="VZU143" s="33"/>
      <c r="VZV143" s="33"/>
      <c r="VZW143" s="33"/>
      <c r="VZX143" s="33"/>
      <c r="VZY143" s="33"/>
      <c r="VZZ143" s="33"/>
      <c r="WAA143" s="33"/>
      <c r="WAB143" s="33"/>
      <c r="WAC143" s="33"/>
      <c r="WAD143" s="33"/>
      <c r="WAE143" s="33"/>
      <c r="WAF143" s="33"/>
      <c r="WAG143" s="33"/>
      <c r="WAH143" s="33"/>
      <c r="WAI143" s="33"/>
      <c r="WAJ143" s="33"/>
      <c r="WAK143" s="33"/>
      <c r="WAL143" s="33"/>
      <c r="WAM143" s="33"/>
      <c r="WAN143" s="33"/>
      <c r="WAO143" s="33"/>
      <c r="WAP143" s="33"/>
      <c r="WAQ143" s="33"/>
      <c r="WAR143" s="33"/>
      <c r="WAS143" s="33"/>
      <c r="WAT143" s="33"/>
      <c r="WAU143" s="33"/>
      <c r="WAV143" s="33"/>
      <c r="WAW143" s="33"/>
      <c r="WAX143" s="33"/>
      <c r="WAY143" s="33"/>
      <c r="WAZ143" s="33"/>
      <c r="WBA143" s="33"/>
      <c r="WBB143" s="33"/>
      <c r="WBC143" s="33"/>
      <c r="WBD143" s="33"/>
      <c r="WBE143" s="33"/>
      <c r="WBF143" s="33"/>
      <c r="WBG143" s="33"/>
      <c r="WBH143" s="33"/>
      <c r="WBI143" s="33"/>
      <c r="WBJ143" s="33"/>
      <c r="WBK143" s="33"/>
      <c r="WBL143" s="33"/>
      <c r="WBM143" s="33"/>
      <c r="WBN143" s="33"/>
      <c r="WBO143" s="33"/>
      <c r="WBP143" s="33"/>
      <c r="WBQ143" s="33"/>
      <c r="WBR143" s="33"/>
      <c r="WBS143" s="33"/>
      <c r="WBT143" s="33"/>
      <c r="WBU143" s="33"/>
      <c r="WBV143" s="33"/>
      <c r="WBW143" s="33"/>
      <c r="WBX143" s="33"/>
      <c r="WBY143" s="33"/>
      <c r="WBZ143" s="33"/>
      <c r="WCA143" s="33"/>
      <c r="WCB143" s="33"/>
      <c r="WCC143" s="33"/>
      <c r="WCD143" s="33"/>
      <c r="WCE143" s="33"/>
      <c r="WCF143" s="33"/>
      <c r="WCG143" s="33"/>
      <c r="WCH143" s="33"/>
      <c r="WCI143" s="33"/>
      <c r="WCJ143" s="33"/>
      <c r="WCK143" s="33"/>
      <c r="WCL143" s="33"/>
      <c r="WCM143" s="33"/>
      <c r="WCN143" s="33"/>
      <c r="WCO143" s="33"/>
      <c r="WCP143" s="33"/>
      <c r="WCQ143" s="33"/>
      <c r="WCR143" s="33"/>
      <c r="WCS143" s="33"/>
      <c r="WCT143" s="33"/>
      <c r="WCU143" s="33"/>
      <c r="WCV143" s="33"/>
      <c r="WCW143" s="33"/>
      <c r="WCX143" s="33"/>
      <c r="WCY143" s="33"/>
      <c r="WCZ143" s="33"/>
      <c r="WDA143" s="33"/>
      <c r="WDB143" s="33"/>
      <c r="WDC143" s="33"/>
      <c r="WDD143" s="33"/>
      <c r="WDE143" s="33"/>
      <c r="WDF143" s="33"/>
      <c r="WDG143" s="33"/>
      <c r="WDH143" s="33"/>
      <c r="WDI143" s="33"/>
      <c r="WDJ143" s="33"/>
      <c r="WDK143" s="33"/>
      <c r="WDL143" s="33"/>
      <c r="WDM143" s="33"/>
      <c r="WDN143" s="33"/>
      <c r="WDO143" s="33"/>
      <c r="WDP143" s="33"/>
      <c r="WDQ143" s="33"/>
      <c r="WDR143" s="33"/>
      <c r="WDS143" s="33"/>
      <c r="WDT143" s="33"/>
      <c r="WDU143" s="33"/>
      <c r="WDV143" s="33"/>
      <c r="WDW143" s="33"/>
      <c r="WDX143" s="33"/>
      <c r="WDY143" s="33"/>
      <c r="WDZ143" s="33"/>
      <c r="WEA143" s="33"/>
      <c r="WEB143" s="33"/>
      <c r="WEC143" s="33"/>
      <c r="WED143" s="33"/>
      <c r="WEE143" s="33"/>
      <c r="WEF143" s="33"/>
      <c r="WEG143" s="33"/>
      <c r="WEH143" s="33"/>
      <c r="WEI143" s="33"/>
      <c r="WEJ143" s="33"/>
      <c r="WEK143" s="33"/>
      <c r="WEL143" s="33"/>
      <c r="WEM143" s="33"/>
      <c r="WEN143" s="33"/>
      <c r="WEO143" s="33"/>
      <c r="WEP143" s="33"/>
      <c r="WEQ143" s="33"/>
      <c r="WER143" s="33"/>
      <c r="WES143" s="33"/>
      <c r="WET143" s="33"/>
      <c r="WEU143" s="33"/>
      <c r="WEV143" s="33"/>
      <c r="WEW143" s="33"/>
      <c r="WEX143" s="33"/>
      <c r="WEY143" s="33"/>
      <c r="WEZ143" s="33"/>
      <c r="WFA143" s="33"/>
      <c r="WFB143" s="33"/>
      <c r="WFC143" s="33"/>
      <c r="WFD143" s="33"/>
      <c r="WFE143" s="33"/>
      <c r="WFF143" s="33"/>
      <c r="WFG143" s="33"/>
      <c r="WFH143" s="33"/>
      <c r="WFI143" s="33"/>
      <c r="WFJ143" s="33"/>
      <c r="WFK143" s="33"/>
      <c r="WFL143" s="33"/>
      <c r="WFM143" s="33"/>
      <c r="WFN143" s="33"/>
      <c r="WFO143" s="33"/>
      <c r="WFP143" s="33"/>
      <c r="WFQ143" s="33"/>
      <c r="WFR143" s="33"/>
      <c r="WFS143" s="33"/>
      <c r="WFT143" s="33"/>
      <c r="WFU143" s="33"/>
      <c r="WFV143" s="33"/>
      <c r="WFW143" s="33"/>
      <c r="WFX143" s="33"/>
      <c r="WFY143" s="33"/>
      <c r="WFZ143" s="33"/>
      <c r="WGA143" s="33"/>
      <c r="WGB143" s="33"/>
      <c r="WGC143" s="33"/>
      <c r="WGD143" s="33"/>
      <c r="WGE143" s="33"/>
      <c r="WGF143" s="33"/>
      <c r="WGG143" s="33"/>
      <c r="WGH143" s="33"/>
      <c r="WGI143" s="33"/>
      <c r="WGJ143" s="33"/>
      <c r="WGK143" s="33"/>
      <c r="WGL143" s="33"/>
      <c r="WGM143" s="33"/>
      <c r="WGN143" s="33"/>
      <c r="WGO143" s="33"/>
      <c r="WGP143" s="33"/>
      <c r="WGQ143" s="33"/>
      <c r="WGR143" s="33"/>
      <c r="WGS143" s="33"/>
      <c r="WGT143" s="33"/>
      <c r="WGU143" s="33"/>
      <c r="WGV143" s="33"/>
      <c r="WGW143" s="33"/>
      <c r="WGX143" s="33"/>
      <c r="WGY143" s="33"/>
      <c r="WGZ143" s="33"/>
      <c r="WHA143" s="33"/>
      <c r="WHB143" s="33"/>
      <c r="WHC143" s="33"/>
      <c r="WHD143" s="33"/>
      <c r="WHE143" s="33"/>
      <c r="WHF143" s="33"/>
      <c r="WHG143" s="33"/>
      <c r="WHH143" s="33"/>
      <c r="WHI143" s="33"/>
      <c r="WHJ143" s="33"/>
      <c r="WHK143" s="33"/>
      <c r="WHL143" s="33"/>
      <c r="WHM143" s="33"/>
      <c r="WHN143" s="33"/>
      <c r="WHO143" s="33"/>
      <c r="WHP143" s="33"/>
      <c r="WHQ143" s="33"/>
      <c r="WHR143" s="33"/>
      <c r="WHS143" s="33"/>
      <c r="WHT143" s="33"/>
      <c r="WHU143" s="33"/>
      <c r="WHV143" s="33"/>
      <c r="WHW143" s="33"/>
      <c r="WHX143" s="33"/>
      <c r="WHY143" s="33"/>
      <c r="WHZ143" s="33"/>
      <c r="WIA143" s="33"/>
      <c r="WIB143" s="33"/>
      <c r="WIC143" s="33"/>
      <c r="WID143" s="33"/>
      <c r="WIE143" s="33"/>
      <c r="WIF143" s="33"/>
      <c r="WIG143" s="33"/>
      <c r="WIH143" s="33"/>
      <c r="WII143" s="33"/>
      <c r="WIJ143" s="33"/>
      <c r="WIK143" s="33"/>
      <c r="WIL143" s="33"/>
      <c r="WIM143" s="33"/>
      <c r="WIN143" s="33"/>
      <c r="WIO143" s="33"/>
      <c r="WIP143" s="33"/>
      <c r="WIQ143" s="33"/>
      <c r="WIR143" s="33"/>
      <c r="WIS143" s="33"/>
      <c r="WIT143" s="33"/>
      <c r="WIU143" s="33"/>
      <c r="WIV143" s="33"/>
      <c r="WIW143" s="33"/>
      <c r="WIX143" s="33"/>
      <c r="WIY143" s="33"/>
      <c r="WIZ143" s="33"/>
      <c r="WJA143" s="33"/>
      <c r="WJB143" s="33"/>
      <c r="WJC143" s="33"/>
      <c r="WJD143" s="33"/>
      <c r="WJE143" s="33"/>
      <c r="WJF143" s="33"/>
      <c r="WJG143" s="33"/>
      <c r="WJH143" s="33"/>
      <c r="WJI143" s="33"/>
      <c r="WJJ143" s="33"/>
      <c r="WJK143" s="33"/>
      <c r="WJL143" s="33"/>
      <c r="WJM143" s="33"/>
      <c r="WJN143" s="33"/>
      <c r="WJO143" s="33"/>
      <c r="WJP143" s="33"/>
      <c r="WJQ143" s="33"/>
      <c r="WJR143" s="33"/>
      <c r="WJS143" s="33"/>
      <c r="WJT143" s="33"/>
      <c r="WJU143" s="33"/>
      <c r="WJV143" s="33"/>
      <c r="WJW143" s="33"/>
      <c r="WJX143" s="33"/>
      <c r="WJY143" s="33"/>
      <c r="WJZ143" s="33"/>
      <c r="WKA143" s="33"/>
      <c r="WKB143" s="33"/>
      <c r="WKC143" s="33"/>
      <c r="WKD143" s="33"/>
      <c r="WKE143" s="33"/>
      <c r="WKF143" s="33"/>
      <c r="WKG143" s="33"/>
      <c r="WKH143" s="33"/>
      <c r="WKI143" s="33"/>
      <c r="WKJ143" s="33"/>
      <c r="WKK143" s="33"/>
      <c r="WKL143" s="33"/>
      <c r="WKM143" s="33"/>
      <c r="WKN143" s="33"/>
      <c r="WKO143" s="33"/>
      <c r="WKP143" s="33"/>
      <c r="WKQ143" s="33"/>
      <c r="WKR143" s="33"/>
      <c r="WKS143" s="33"/>
      <c r="WKT143" s="33"/>
      <c r="WKU143" s="33"/>
      <c r="WKV143" s="33"/>
      <c r="WKW143" s="33"/>
      <c r="WKX143" s="33"/>
      <c r="WKY143" s="33"/>
      <c r="WKZ143" s="33"/>
      <c r="WLA143" s="33"/>
      <c r="WLB143" s="33"/>
      <c r="WLC143" s="33"/>
      <c r="WLD143" s="33"/>
      <c r="WLE143" s="33"/>
      <c r="WLF143" s="33"/>
      <c r="WLG143" s="33"/>
      <c r="WLH143" s="33"/>
      <c r="WLI143" s="33"/>
      <c r="WLJ143" s="33"/>
      <c r="WLK143" s="33"/>
      <c r="WLL143" s="33"/>
      <c r="WLM143" s="33"/>
      <c r="WLN143" s="33"/>
      <c r="WLO143" s="33"/>
      <c r="WLP143" s="33"/>
      <c r="WLQ143" s="33"/>
      <c r="WLR143" s="33"/>
      <c r="WLS143" s="33"/>
      <c r="WLT143" s="33"/>
      <c r="WLU143" s="33"/>
      <c r="WLV143" s="33"/>
      <c r="WLW143" s="33"/>
      <c r="WLX143" s="33"/>
      <c r="WLY143" s="33"/>
      <c r="WLZ143" s="33"/>
      <c r="WMA143" s="33"/>
      <c r="WMB143" s="33"/>
      <c r="WMC143" s="33"/>
      <c r="WMD143" s="33"/>
      <c r="WME143" s="33"/>
      <c r="WMF143" s="33"/>
      <c r="WMG143" s="33"/>
      <c r="WMH143" s="33"/>
      <c r="WMI143" s="33"/>
      <c r="WMJ143" s="33"/>
      <c r="WMK143" s="33"/>
      <c r="WML143" s="33"/>
      <c r="WMM143" s="33"/>
      <c r="WMN143" s="33"/>
      <c r="WMO143" s="33"/>
      <c r="WMP143" s="33"/>
      <c r="WMQ143" s="33"/>
      <c r="WMR143" s="33"/>
      <c r="WMS143" s="33"/>
      <c r="WMT143" s="33"/>
      <c r="WMU143" s="33"/>
      <c r="WMV143" s="33"/>
      <c r="WMW143" s="33"/>
      <c r="WMX143" s="33"/>
      <c r="WMY143" s="33"/>
      <c r="WMZ143" s="33"/>
      <c r="WNA143" s="33"/>
      <c r="WNB143" s="33"/>
      <c r="WNC143" s="33"/>
      <c r="WND143" s="33"/>
      <c r="WNE143" s="33"/>
      <c r="WNF143" s="33"/>
      <c r="WNG143" s="33"/>
      <c r="WNH143" s="33"/>
      <c r="WNI143" s="33"/>
      <c r="WNJ143" s="33"/>
      <c r="WNK143" s="33"/>
      <c r="WNL143" s="33"/>
      <c r="WNM143" s="33"/>
      <c r="WNN143" s="33"/>
      <c r="WNO143" s="33"/>
      <c r="WNP143" s="33"/>
      <c r="WNQ143" s="33"/>
      <c r="WNR143" s="33"/>
      <c r="WNS143" s="33"/>
      <c r="WNT143" s="33"/>
      <c r="WNU143" s="33"/>
      <c r="WNV143" s="33"/>
      <c r="WNW143" s="33"/>
      <c r="WNX143" s="33"/>
      <c r="WNY143" s="33"/>
      <c r="WNZ143" s="33"/>
      <c r="WOA143" s="33"/>
      <c r="WOB143" s="33"/>
      <c r="WOC143" s="33"/>
      <c r="WOD143" s="33"/>
      <c r="WOE143" s="33"/>
      <c r="WOF143" s="33"/>
      <c r="WOG143" s="33"/>
      <c r="WOH143" s="33"/>
      <c r="WOI143" s="33"/>
      <c r="WOJ143" s="33"/>
      <c r="WOK143" s="33"/>
      <c r="WOL143" s="33"/>
      <c r="WOM143" s="33"/>
      <c r="WON143" s="33"/>
      <c r="WOO143" s="33"/>
      <c r="WOP143" s="33"/>
      <c r="WOQ143" s="33"/>
      <c r="WOR143" s="33"/>
      <c r="WOS143" s="33"/>
      <c r="WOT143" s="33"/>
      <c r="WOU143" s="33"/>
      <c r="WOV143" s="33"/>
      <c r="WOW143" s="33"/>
      <c r="WOX143" s="33"/>
      <c r="WOY143" s="33"/>
      <c r="WOZ143" s="33"/>
      <c r="WPA143" s="33"/>
      <c r="WPB143" s="33"/>
      <c r="WPC143" s="33"/>
      <c r="WPD143" s="33"/>
      <c r="WPE143" s="33"/>
      <c r="WPF143" s="33"/>
      <c r="WPG143" s="33"/>
      <c r="WPH143" s="33"/>
      <c r="WPI143" s="33"/>
      <c r="WPJ143" s="33"/>
      <c r="WPK143" s="33"/>
      <c r="WPL143" s="33"/>
      <c r="WPM143" s="33"/>
      <c r="WPN143" s="33"/>
      <c r="WPO143" s="33"/>
      <c r="WPP143" s="33"/>
      <c r="WPQ143" s="33"/>
      <c r="WPR143" s="33"/>
      <c r="WPS143" s="33"/>
      <c r="WPT143" s="33"/>
      <c r="WPU143" s="33"/>
      <c r="WPV143" s="33"/>
      <c r="WPW143" s="33"/>
      <c r="WPX143" s="33"/>
      <c r="WPY143" s="33"/>
      <c r="WPZ143" s="33"/>
      <c r="WQA143" s="33"/>
      <c r="WQB143" s="33"/>
      <c r="WQC143" s="33"/>
      <c r="WQD143" s="33"/>
      <c r="WQE143" s="33"/>
      <c r="WQF143" s="33"/>
      <c r="WQG143" s="33"/>
      <c r="WQH143" s="33"/>
      <c r="WQI143" s="33"/>
      <c r="WQJ143" s="33"/>
      <c r="WQK143" s="33"/>
      <c r="WQL143" s="33"/>
      <c r="WQM143" s="33"/>
      <c r="WQN143" s="33"/>
      <c r="WQO143" s="33"/>
      <c r="WQP143" s="33"/>
      <c r="WQQ143" s="33"/>
      <c r="WQR143" s="33"/>
      <c r="WQS143" s="33"/>
      <c r="WQT143" s="33"/>
      <c r="WQU143" s="33"/>
      <c r="WQV143" s="33"/>
      <c r="WQW143" s="33"/>
      <c r="WQX143" s="33"/>
      <c r="WQY143" s="33"/>
      <c r="WQZ143" s="33"/>
      <c r="WRA143" s="33"/>
      <c r="WRB143" s="33"/>
      <c r="WRC143" s="33"/>
      <c r="WRD143" s="33"/>
      <c r="WRE143" s="33"/>
      <c r="WRF143" s="33"/>
      <c r="WRG143" s="33"/>
      <c r="WRH143" s="33"/>
      <c r="WRI143" s="33"/>
      <c r="WRJ143" s="33"/>
      <c r="WRK143" s="33"/>
      <c r="WRL143" s="33"/>
      <c r="WRM143" s="33"/>
      <c r="WRN143" s="33"/>
      <c r="WRO143" s="33"/>
      <c r="WRP143" s="33"/>
      <c r="WRQ143" s="33"/>
      <c r="WRR143" s="33"/>
      <c r="WRS143" s="33"/>
      <c r="WRT143" s="33"/>
      <c r="WRU143" s="33"/>
      <c r="WRV143" s="33"/>
      <c r="WRW143" s="33"/>
      <c r="WRX143" s="33"/>
      <c r="WRY143" s="33"/>
      <c r="WRZ143" s="33"/>
      <c r="WSA143" s="33"/>
      <c r="WSB143" s="33"/>
      <c r="WSC143" s="33"/>
      <c r="WSD143" s="33"/>
      <c r="WSE143" s="33"/>
      <c r="WSF143" s="33"/>
      <c r="WSG143" s="33"/>
      <c r="WSH143" s="33"/>
      <c r="WSI143" s="33"/>
      <c r="WSJ143" s="33"/>
      <c r="WSK143" s="33"/>
      <c r="WSL143" s="33"/>
      <c r="WSM143" s="33"/>
      <c r="WSN143" s="33"/>
      <c r="WSO143" s="33"/>
      <c r="WSP143" s="33"/>
      <c r="WSQ143" s="33"/>
      <c r="WSR143" s="33"/>
      <c r="WSS143" s="33"/>
      <c r="WST143" s="33"/>
      <c r="WSU143" s="33"/>
      <c r="WSV143" s="33"/>
      <c r="WSW143" s="33"/>
      <c r="WSX143" s="33"/>
      <c r="WSY143" s="33"/>
      <c r="WSZ143" s="33"/>
      <c r="WTA143" s="33"/>
      <c r="WTB143" s="33"/>
      <c r="WTC143" s="33"/>
      <c r="WTD143" s="33"/>
      <c r="WTE143" s="33"/>
      <c r="WTF143" s="33"/>
      <c r="WTG143" s="33"/>
      <c r="WTH143" s="33"/>
      <c r="WTI143" s="33"/>
      <c r="WTJ143" s="33"/>
      <c r="WTK143" s="33"/>
      <c r="WTL143" s="33"/>
      <c r="WTM143" s="33"/>
      <c r="WTN143" s="33"/>
      <c r="WTO143" s="33"/>
      <c r="WTP143" s="33"/>
      <c r="WTQ143" s="33"/>
      <c r="WTR143" s="33"/>
      <c r="WTS143" s="33"/>
      <c r="WTT143" s="33"/>
      <c r="WTU143" s="33"/>
      <c r="WTV143" s="33"/>
      <c r="WTW143" s="33"/>
      <c r="WTX143" s="33"/>
      <c r="WTY143" s="33"/>
      <c r="WTZ143" s="33"/>
      <c r="WUA143" s="33"/>
      <c r="WUB143" s="33"/>
      <c r="WUC143" s="33"/>
      <c r="WUD143" s="33"/>
      <c r="WUE143" s="33"/>
      <c r="WUF143" s="33"/>
      <c r="WUG143" s="33"/>
      <c r="WUH143" s="33"/>
      <c r="WUI143" s="33"/>
      <c r="WUJ143" s="33"/>
      <c r="WUK143" s="33"/>
      <c r="WUL143" s="33"/>
      <c r="WUM143" s="33"/>
      <c r="WUN143" s="33"/>
      <c r="WUO143" s="33"/>
      <c r="WUP143" s="33"/>
      <c r="WUQ143" s="33"/>
      <c r="WUR143" s="33"/>
      <c r="WUS143" s="33"/>
      <c r="WUT143" s="33"/>
      <c r="WUU143" s="33"/>
      <c r="WUV143" s="33"/>
      <c r="WUW143" s="33"/>
      <c r="WUX143" s="33"/>
      <c r="WUY143" s="33"/>
      <c r="WUZ143" s="33"/>
      <c r="WVA143" s="33"/>
      <c r="WVB143" s="33"/>
      <c r="WVC143" s="33"/>
      <c r="WVD143" s="33"/>
      <c r="WVE143" s="33"/>
      <c r="WVF143" s="33"/>
      <c r="WVG143" s="33"/>
      <c r="WVH143" s="33"/>
      <c r="WVI143" s="33"/>
      <c r="WVJ143" s="33"/>
      <c r="WVK143" s="33"/>
      <c r="WVL143" s="33"/>
      <c r="WVM143" s="33"/>
      <c r="WVN143" s="33"/>
      <c r="WVO143" s="33"/>
      <c r="WVP143" s="33"/>
      <c r="WVQ143" s="33"/>
      <c r="WVR143" s="33"/>
      <c r="WVS143" s="33"/>
      <c r="WVT143" s="33"/>
      <c r="WVU143" s="33"/>
      <c r="WVV143" s="33"/>
      <c r="WVW143" s="33"/>
      <c r="WVX143" s="33"/>
      <c r="WVY143" s="33"/>
      <c r="WVZ143" s="33"/>
      <c r="WWA143" s="33"/>
      <c r="WWB143" s="33"/>
      <c r="WWC143" s="33"/>
      <c r="WWD143" s="33"/>
      <c r="WWE143" s="33"/>
      <c r="WWF143" s="33"/>
      <c r="WWG143" s="33"/>
      <c r="WWH143" s="33"/>
      <c r="WWI143" s="33"/>
      <c r="WWJ143" s="33"/>
      <c r="WWK143" s="33"/>
      <c r="WWL143" s="33"/>
      <c r="WWM143" s="33"/>
      <c r="WWN143" s="33"/>
      <c r="WWO143" s="33"/>
      <c r="WWP143" s="33"/>
      <c r="WWQ143" s="33"/>
      <c r="WWR143" s="33"/>
      <c r="WWS143" s="33"/>
      <c r="WWT143" s="33"/>
      <c r="WWU143" s="33"/>
      <c r="WWV143" s="33"/>
      <c r="WWW143" s="33"/>
      <c r="WWX143" s="33"/>
      <c r="WWY143" s="33"/>
      <c r="WWZ143" s="33"/>
      <c r="WXA143" s="33"/>
      <c r="WXB143" s="33"/>
      <c r="WXC143" s="33"/>
      <c r="WXD143" s="33"/>
      <c r="WXE143" s="33"/>
      <c r="WXF143" s="33"/>
      <c r="WXG143" s="33"/>
      <c r="WXH143" s="33"/>
      <c r="WXI143" s="33"/>
      <c r="WXJ143" s="33"/>
      <c r="WXK143" s="33"/>
      <c r="WXL143" s="33"/>
      <c r="WXM143" s="33"/>
      <c r="WXN143" s="33"/>
      <c r="WXO143" s="33"/>
      <c r="WXP143" s="33"/>
      <c r="WXQ143" s="33"/>
      <c r="WXR143" s="33"/>
      <c r="WXS143" s="33"/>
      <c r="WXT143" s="33"/>
      <c r="WXU143" s="33"/>
      <c r="WXV143" s="33"/>
      <c r="WXW143" s="33"/>
      <c r="WXX143" s="33"/>
      <c r="WXY143" s="33"/>
      <c r="WXZ143" s="33"/>
      <c r="WYA143" s="33"/>
      <c r="WYB143" s="33"/>
      <c r="WYC143" s="33"/>
      <c r="WYD143" s="33"/>
      <c r="WYE143" s="33"/>
      <c r="WYF143" s="33"/>
      <c r="WYG143" s="33"/>
      <c r="WYH143" s="33"/>
      <c r="WYI143" s="33"/>
      <c r="WYJ143" s="33"/>
      <c r="WYK143" s="33"/>
      <c r="WYL143" s="33"/>
      <c r="WYM143" s="33"/>
      <c r="WYN143" s="33"/>
      <c r="WYO143" s="33"/>
      <c r="WYP143" s="33"/>
      <c r="WYQ143" s="33"/>
      <c r="WYR143" s="33"/>
      <c r="WYS143" s="33"/>
      <c r="WYT143" s="33"/>
      <c r="WYU143" s="33"/>
      <c r="WYV143" s="33"/>
      <c r="WYW143" s="33"/>
      <c r="WYX143" s="33"/>
      <c r="WYY143" s="33"/>
      <c r="WYZ143" s="33"/>
      <c r="WZA143" s="33"/>
      <c r="WZB143" s="33"/>
      <c r="WZC143" s="33"/>
      <c r="WZD143" s="33"/>
      <c r="WZE143" s="33"/>
      <c r="WZF143" s="33"/>
      <c r="WZG143" s="33"/>
      <c r="WZH143" s="33"/>
      <c r="WZI143" s="33"/>
      <c r="WZJ143" s="33"/>
      <c r="WZK143" s="33"/>
      <c r="WZL143" s="33"/>
      <c r="WZM143" s="33"/>
      <c r="WZN143" s="33"/>
      <c r="WZO143" s="33"/>
      <c r="WZP143" s="33"/>
      <c r="WZQ143" s="33"/>
      <c r="WZR143" s="33"/>
      <c r="WZS143" s="33"/>
      <c r="WZT143" s="33"/>
      <c r="WZU143" s="33"/>
      <c r="WZV143" s="33"/>
      <c r="WZW143" s="33"/>
      <c r="WZX143" s="33"/>
      <c r="WZY143" s="33"/>
      <c r="WZZ143" s="33"/>
      <c r="XAA143" s="33"/>
      <c r="XAB143" s="33"/>
      <c r="XAC143" s="33"/>
      <c r="XAD143" s="33"/>
      <c r="XAE143" s="33"/>
      <c r="XAF143" s="33"/>
      <c r="XAG143" s="33"/>
      <c r="XAH143" s="33"/>
      <c r="XAI143" s="33"/>
      <c r="XAJ143" s="33"/>
      <c r="XAK143" s="33"/>
      <c r="XAL143" s="33"/>
      <c r="XAM143" s="33"/>
      <c r="XAN143" s="33"/>
      <c r="XAO143" s="33"/>
      <c r="XAP143" s="33"/>
      <c r="XAQ143" s="33"/>
      <c r="XAR143" s="33"/>
      <c r="XAS143" s="33"/>
      <c r="XAT143" s="33"/>
      <c r="XAU143" s="33"/>
      <c r="XAV143" s="33"/>
      <c r="XAW143" s="33"/>
      <c r="XAX143" s="33"/>
      <c r="XAY143" s="33"/>
      <c r="XAZ143" s="33"/>
      <c r="XBA143" s="33"/>
      <c r="XBB143" s="33"/>
      <c r="XBC143" s="33"/>
      <c r="XBD143" s="33"/>
      <c r="XBE143" s="33"/>
      <c r="XBF143" s="33"/>
      <c r="XBG143" s="33"/>
      <c r="XBH143" s="33"/>
      <c r="XBI143" s="33"/>
      <c r="XBJ143" s="33"/>
      <c r="XBK143" s="33"/>
      <c r="XBL143" s="33"/>
      <c r="XBM143" s="33"/>
      <c r="XBN143" s="33"/>
      <c r="XBO143" s="33"/>
      <c r="XBP143" s="33"/>
      <c r="XBQ143" s="33"/>
      <c r="XBR143" s="33"/>
      <c r="XBS143" s="33"/>
      <c r="XBT143" s="33"/>
      <c r="XBU143" s="33"/>
      <c r="XBV143" s="33"/>
      <c r="XBW143" s="33"/>
      <c r="XBX143" s="33"/>
      <c r="XBY143" s="33"/>
      <c r="XBZ143" s="33"/>
      <c r="XCA143" s="33"/>
      <c r="XCB143" s="33"/>
      <c r="XCC143" s="33"/>
      <c r="XCD143" s="33"/>
      <c r="XCE143" s="33"/>
      <c r="XCF143" s="33"/>
      <c r="XCG143" s="33"/>
      <c r="XCH143" s="33"/>
      <c r="XCI143" s="33"/>
      <c r="XCJ143" s="33"/>
      <c r="XCK143" s="33"/>
      <c r="XCL143" s="33"/>
      <c r="XCM143" s="33"/>
      <c r="XCN143" s="33"/>
      <c r="XCO143" s="33"/>
      <c r="XCP143" s="33"/>
      <c r="XCQ143" s="33"/>
      <c r="XCR143" s="33"/>
      <c r="XCS143" s="33"/>
      <c r="XCT143" s="33"/>
      <c r="XCU143" s="33"/>
      <c r="XCV143" s="33"/>
      <c r="XCW143" s="33"/>
      <c r="XCX143" s="33"/>
      <c r="XCY143" s="33"/>
      <c r="XCZ143" s="33"/>
      <c r="XDA143" s="33"/>
      <c r="XDB143" s="33"/>
      <c r="XDC143" s="33"/>
      <c r="XDD143" s="33"/>
      <c r="XDE143" s="33"/>
      <c r="XDF143" s="33"/>
      <c r="XDG143" s="33"/>
      <c r="XDH143" s="33"/>
      <c r="XDI143" s="33"/>
      <c r="XDJ143" s="33"/>
      <c r="XDK143" s="33"/>
      <c r="XDL143" s="33"/>
      <c r="XDM143" s="33"/>
      <c r="XDN143" s="33"/>
      <c r="XDO143" s="33"/>
      <c r="XDP143" s="33"/>
      <c r="XDQ143" s="33"/>
      <c r="XDR143" s="33"/>
      <c r="XDS143" s="33"/>
      <c r="XDT143" s="33"/>
      <c r="XDU143" s="33"/>
      <c r="XDV143" s="33"/>
      <c r="XDW143" s="33"/>
      <c r="XDX143" s="33"/>
      <c r="XDY143" s="33"/>
      <c r="XDZ143" s="33"/>
      <c r="XEA143" s="33"/>
      <c r="XEB143" s="33"/>
      <c r="XEC143" s="33"/>
      <c r="XED143" s="33"/>
      <c r="XEE143" s="33"/>
      <c r="XEF143" s="33"/>
      <c r="XEG143" s="33"/>
      <c r="XEH143" s="33"/>
      <c r="XEI143" s="33"/>
      <c r="XEJ143" s="33"/>
      <c r="XEK143" s="33"/>
      <c r="XEL143" s="33"/>
      <c r="XEM143" s="33"/>
      <c r="XEN143" s="33"/>
      <c r="XEO143" s="33"/>
      <c r="XEP143" s="33"/>
      <c r="XEQ143" s="33"/>
      <c r="XER143" s="33"/>
      <c r="XES143" s="33"/>
      <c r="XET143" s="33"/>
      <c r="XEU143" s="33"/>
      <c r="XEV143" s="33"/>
      <c r="XEW143" s="33"/>
      <c r="XEX143" s="33"/>
      <c r="XEY143" s="33"/>
      <c r="XEZ143" s="33"/>
      <c r="XFA143" s="33"/>
    </row>
    <row r="144" spans="1:16381" ht="33" hidden="1" customHeight="1" x14ac:dyDescent="0.25">
      <c r="A144" s="53" t="s">
        <v>177</v>
      </c>
      <c r="B144" s="10" t="s">
        <v>82</v>
      </c>
      <c r="C144" s="31" t="s">
        <v>83</v>
      </c>
      <c r="D144" s="13" t="s">
        <v>182</v>
      </c>
      <c r="E144" s="4"/>
      <c r="F144" s="4"/>
      <c r="G144" s="4"/>
      <c r="H144" s="4"/>
      <c r="I144" s="4"/>
    </row>
    <row r="145" ht="12.95" hidden="1" customHeight="1" x14ac:dyDescent="0.2"/>
    <row r="146" ht="12.95" hidden="1" customHeight="1" x14ac:dyDescent="0.2"/>
    <row r="147" ht="12.95" hidden="1" customHeight="1" x14ac:dyDescent="0.2"/>
    <row r="148" ht="12.95" hidden="1" customHeight="1" x14ac:dyDescent="0.2"/>
    <row r="149" ht="12.95" hidden="1" customHeight="1" x14ac:dyDescent="0.2"/>
    <row r="150" ht="12.95" hidden="1" customHeight="1" x14ac:dyDescent="0.2"/>
    <row r="151" ht="12.95" hidden="1" customHeight="1" x14ac:dyDescent="0.2"/>
    <row r="152" ht="12.95" hidden="1" customHeight="1" x14ac:dyDescent="0.2"/>
    <row r="153" ht="12.95" hidden="1" customHeight="1" x14ac:dyDescent="0.2"/>
    <row r="154" ht="12.95" hidden="1" customHeight="1" x14ac:dyDescent="0.2"/>
  </sheetData>
  <mergeCells count="8285">
    <mergeCell ref="A140:D140"/>
    <mergeCell ref="D21:D22"/>
    <mergeCell ref="C27:C28"/>
    <mergeCell ref="D27:D28"/>
    <mergeCell ref="C33:C34"/>
    <mergeCell ref="D33:D34"/>
    <mergeCell ref="C39:C40"/>
    <mergeCell ref="C45:C46"/>
    <mergeCell ref="C51:C52"/>
    <mergeCell ref="C57:C58"/>
    <mergeCell ref="C63:C64"/>
    <mergeCell ref="C69:C70"/>
    <mergeCell ref="C75:C76"/>
    <mergeCell ref="D39:D40"/>
    <mergeCell ref="D45:D46"/>
    <mergeCell ref="D51:D52"/>
    <mergeCell ref="D57:D58"/>
    <mergeCell ref="D63:D64"/>
    <mergeCell ref="D69:D70"/>
    <mergeCell ref="D75:D76"/>
    <mergeCell ref="A67:D67"/>
    <mergeCell ref="A73:D73"/>
    <mergeCell ref="A79:D79"/>
    <mergeCell ref="B80:D80"/>
    <mergeCell ref="C81:C82"/>
    <mergeCell ref="D81:D82"/>
    <mergeCell ref="A85:D85"/>
    <mergeCell ref="B86:D86"/>
    <mergeCell ref="C87:C88"/>
    <mergeCell ref="D87:D88"/>
    <mergeCell ref="A91:D91"/>
    <mergeCell ref="B92:D92"/>
    <mergeCell ref="A2:B3"/>
    <mergeCell ref="BV14:BY14"/>
    <mergeCell ref="AD14:AG14"/>
    <mergeCell ref="AH14:AK14"/>
    <mergeCell ref="AL14:AO14"/>
    <mergeCell ref="AP14:AS14"/>
    <mergeCell ref="AT14:AW14"/>
    <mergeCell ref="AX14:BA14"/>
    <mergeCell ref="E14:I14"/>
    <mergeCell ref="J14:M14"/>
    <mergeCell ref="N14:Q14"/>
    <mergeCell ref="B68:D68"/>
    <mergeCell ref="B74:D74"/>
    <mergeCell ref="A139:D139"/>
    <mergeCell ref="B44:D44"/>
    <mergeCell ref="B50:D50"/>
    <mergeCell ref="B56:D56"/>
    <mergeCell ref="B32:D32"/>
    <mergeCell ref="B38:D38"/>
    <mergeCell ref="A16:D16"/>
    <mergeCell ref="B8:D8"/>
    <mergeCell ref="A25:D25"/>
    <mergeCell ref="A31:D31"/>
    <mergeCell ref="A37:D37"/>
    <mergeCell ref="A43:D43"/>
    <mergeCell ref="A49:D49"/>
    <mergeCell ref="A55:D55"/>
    <mergeCell ref="A61:D61"/>
    <mergeCell ref="C2:C3"/>
    <mergeCell ref="D2:D3"/>
    <mergeCell ref="A19:D19"/>
    <mergeCell ref="C21:C22"/>
    <mergeCell ref="CX14:DA14"/>
    <mergeCell ref="DB14:DE14"/>
    <mergeCell ref="DF14:DI14"/>
    <mergeCell ref="DJ14:DM14"/>
    <mergeCell ref="DN14:DQ14"/>
    <mergeCell ref="DR14:DU14"/>
    <mergeCell ref="R14:U14"/>
    <mergeCell ref="V14:Y14"/>
    <mergeCell ref="Z14:AC14"/>
    <mergeCell ref="JN14:JQ14"/>
    <mergeCell ref="FF14:FI14"/>
    <mergeCell ref="FJ14:FM14"/>
    <mergeCell ref="FN14:FQ14"/>
    <mergeCell ref="A143:D143"/>
    <mergeCell ref="B62:D62"/>
    <mergeCell ref="CL14:CO14"/>
    <mergeCell ref="CP14:CS14"/>
    <mergeCell ref="CT14:CW14"/>
    <mergeCell ref="BR14:BU14"/>
    <mergeCell ref="CX142:DA142"/>
    <mergeCell ref="DB142:DE142"/>
    <mergeCell ref="DF142:DI142"/>
    <mergeCell ref="DJ142:DM142"/>
    <mergeCell ref="DN142:DQ142"/>
    <mergeCell ref="DR142:DU142"/>
    <mergeCell ref="DV142:DY142"/>
    <mergeCell ref="DZ142:EC142"/>
    <mergeCell ref="ED142:EG142"/>
    <mergeCell ref="EH142:EK142"/>
    <mergeCell ref="EL142:EO142"/>
    <mergeCell ref="EP142:ES142"/>
    <mergeCell ref="ET142:EW142"/>
    <mergeCell ref="JR14:JU14"/>
    <mergeCell ref="FR14:FU14"/>
    <mergeCell ref="FV14:FY14"/>
    <mergeCell ref="B20:D20"/>
    <mergeCell ref="B26:D26"/>
    <mergeCell ref="B1:C1"/>
    <mergeCell ref="A4:D4"/>
    <mergeCell ref="A13:D13"/>
    <mergeCell ref="BB14:BE14"/>
    <mergeCell ref="BF14:BI14"/>
    <mergeCell ref="BJ14:BM14"/>
    <mergeCell ref="BN14:BQ14"/>
    <mergeCell ref="HN14:HQ14"/>
    <mergeCell ref="HR14:HU14"/>
    <mergeCell ref="HV14:HY14"/>
    <mergeCell ref="HZ14:IC14"/>
    <mergeCell ref="ID14:IG14"/>
    <mergeCell ref="IH14:IK14"/>
    <mergeCell ref="JF14:JI14"/>
    <mergeCell ref="FB14:FE14"/>
    <mergeCell ref="BZ14:CC14"/>
    <mergeCell ref="CD14:CG14"/>
    <mergeCell ref="CH14:CK14"/>
    <mergeCell ref="A10:D10"/>
    <mergeCell ref="ET14:EW14"/>
    <mergeCell ref="EX14:FA14"/>
    <mergeCell ref="DV14:DY14"/>
    <mergeCell ref="DZ14:EC14"/>
    <mergeCell ref="ED14:EG14"/>
    <mergeCell ref="EH14:EK14"/>
    <mergeCell ref="EL14:EO14"/>
    <mergeCell ref="EP14:ES14"/>
    <mergeCell ref="MD14:MG14"/>
    <mergeCell ref="JJ14:JM14"/>
    <mergeCell ref="GP14:GS14"/>
    <mergeCell ref="GT14:GW14"/>
    <mergeCell ref="GX14:HA14"/>
    <mergeCell ref="HB14:HE14"/>
    <mergeCell ref="HF14:HI14"/>
    <mergeCell ref="HJ14:HM14"/>
    <mergeCell ref="FZ14:GC14"/>
    <mergeCell ref="GD14:GG14"/>
    <mergeCell ref="GH14:GK14"/>
    <mergeCell ref="GL14:GO14"/>
    <mergeCell ref="LF14:LI14"/>
    <mergeCell ref="LJ14:LM14"/>
    <mergeCell ref="LN14:LQ14"/>
    <mergeCell ref="LR14:LU14"/>
    <mergeCell ref="LV14:LY14"/>
    <mergeCell ref="LZ14:MC14"/>
    <mergeCell ref="KH14:KK14"/>
    <mergeCell ref="KL14:KO14"/>
    <mergeCell ref="KP14:KS14"/>
    <mergeCell ref="KT14:KW14"/>
    <mergeCell ref="KX14:LA14"/>
    <mergeCell ref="LB14:LE14"/>
    <mergeCell ref="JV14:JY14"/>
    <mergeCell ref="JZ14:KC14"/>
    <mergeCell ref="KD14:KG14"/>
    <mergeCell ref="IL14:IO14"/>
    <mergeCell ref="IP14:IS14"/>
    <mergeCell ref="IT14:IW14"/>
    <mergeCell ref="IX14:JA14"/>
    <mergeCell ref="JB14:JE14"/>
    <mergeCell ref="NZ14:OC14"/>
    <mergeCell ref="OD14:OG14"/>
    <mergeCell ref="OH14:OK14"/>
    <mergeCell ref="OL14:OO14"/>
    <mergeCell ref="OP14:OS14"/>
    <mergeCell ref="OT14:OW14"/>
    <mergeCell ref="NB14:NE14"/>
    <mergeCell ref="NF14:NI14"/>
    <mergeCell ref="NJ14:NM14"/>
    <mergeCell ref="NN14:NQ14"/>
    <mergeCell ref="NR14:NU14"/>
    <mergeCell ref="NV14:NY14"/>
    <mergeCell ref="MH14:MK14"/>
    <mergeCell ref="ML14:MO14"/>
    <mergeCell ref="MP14:MS14"/>
    <mergeCell ref="MT14:MW14"/>
    <mergeCell ref="MX14:NA14"/>
    <mergeCell ref="QT14:QW14"/>
    <mergeCell ref="QX14:RA14"/>
    <mergeCell ref="RB14:RE14"/>
    <mergeCell ref="RF14:RI14"/>
    <mergeCell ref="RJ14:RM14"/>
    <mergeCell ref="RN14:RQ14"/>
    <mergeCell ref="PV14:PY14"/>
    <mergeCell ref="PZ14:QC14"/>
    <mergeCell ref="QD14:QG14"/>
    <mergeCell ref="QH14:QK14"/>
    <mergeCell ref="QL14:QO14"/>
    <mergeCell ref="QP14:QS14"/>
    <mergeCell ref="OX14:PA14"/>
    <mergeCell ref="PB14:PE14"/>
    <mergeCell ref="PF14:PI14"/>
    <mergeCell ref="PJ14:PM14"/>
    <mergeCell ref="PN14:PQ14"/>
    <mergeCell ref="PR14:PU14"/>
    <mergeCell ref="TN14:TQ14"/>
    <mergeCell ref="TR14:TU14"/>
    <mergeCell ref="TV14:TY14"/>
    <mergeCell ref="TZ14:UC14"/>
    <mergeCell ref="UD14:UG14"/>
    <mergeCell ref="UH14:UK14"/>
    <mergeCell ref="SP14:SS14"/>
    <mergeCell ref="ST14:SW14"/>
    <mergeCell ref="SX14:TA14"/>
    <mergeCell ref="TB14:TE14"/>
    <mergeCell ref="TF14:TI14"/>
    <mergeCell ref="TJ14:TM14"/>
    <mergeCell ref="RR14:RU14"/>
    <mergeCell ref="RV14:RY14"/>
    <mergeCell ref="RZ14:SC14"/>
    <mergeCell ref="SD14:SG14"/>
    <mergeCell ref="SH14:SK14"/>
    <mergeCell ref="SL14:SO14"/>
    <mergeCell ref="WH14:WK14"/>
    <mergeCell ref="WL14:WO14"/>
    <mergeCell ref="WP14:WS14"/>
    <mergeCell ref="WT14:WW14"/>
    <mergeCell ref="WX14:XA14"/>
    <mergeCell ref="XB14:XE14"/>
    <mergeCell ref="VJ14:VM14"/>
    <mergeCell ref="VN14:VQ14"/>
    <mergeCell ref="VR14:VU14"/>
    <mergeCell ref="VV14:VY14"/>
    <mergeCell ref="VZ14:WC14"/>
    <mergeCell ref="WD14:WG14"/>
    <mergeCell ref="UL14:UO14"/>
    <mergeCell ref="UP14:US14"/>
    <mergeCell ref="UT14:UW14"/>
    <mergeCell ref="UX14:VA14"/>
    <mergeCell ref="VB14:VE14"/>
    <mergeCell ref="VF14:VI14"/>
    <mergeCell ref="ZB14:ZE14"/>
    <mergeCell ref="ZF14:ZI14"/>
    <mergeCell ref="ZJ14:ZM14"/>
    <mergeCell ref="ZN14:ZQ14"/>
    <mergeCell ref="ZR14:ZU14"/>
    <mergeCell ref="ZV14:ZY14"/>
    <mergeCell ref="YD14:YG14"/>
    <mergeCell ref="YH14:YK14"/>
    <mergeCell ref="YL14:YO14"/>
    <mergeCell ref="YP14:YS14"/>
    <mergeCell ref="YT14:YW14"/>
    <mergeCell ref="YX14:ZA14"/>
    <mergeCell ref="XF14:XI14"/>
    <mergeCell ref="XJ14:XM14"/>
    <mergeCell ref="XN14:XQ14"/>
    <mergeCell ref="XR14:XU14"/>
    <mergeCell ref="XV14:XY14"/>
    <mergeCell ref="XZ14:YC14"/>
    <mergeCell ref="ABV14:ABY14"/>
    <mergeCell ref="ABZ14:ACC14"/>
    <mergeCell ref="ACD14:ACG14"/>
    <mergeCell ref="ACH14:ACK14"/>
    <mergeCell ref="ACL14:ACO14"/>
    <mergeCell ref="ACP14:ACS14"/>
    <mergeCell ref="AAX14:ABA14"/>
    <mergeCell ref="ABB14:ABE14"/>
    <mergeCell ref="ABF14:ABI14"/>
    <mergeCell ref="ABJ14:ABM14"/>
    <mergeCell ref="ABN14:ABQ14"/>
    <mergeCell ref="ABR14:ABU14"/>
    <mergeCell ref="ZZ14:AAC14"/>
    <mergeCell ref="AAD14:AAG14"/>
    <mergeCell ref="AAH14:AAK14"/>
    <mergeCell ref="AAL14:AAO14"/>
    <mergeCell ref="AAP14:AAS14"/>
    <mergeCell ref="AAT14:AAW14"/>
    <mergeCell ref="AEP14:AES14"/>
    <mergeCell ref="AET14:AEW14"/>
    <mergeCell ref="AEX14:AFA14"/>
    <mergeCell ref="AFB14:AFE14"/>
    <mergeCell ref="AFF14:AFI14"/>
    <mergeCell ref="AFJ14:AFM14"/>
    <mergeCell ref="ADR14:ADU14"/>
    <mergeCell ref="ADV14:ADY14"/>
    <mergeCell ref="ADZ14:AEC14"/>
    <mergeCell ref="AED14:AEG14"/>
    <mergeCell ref="AEH14:AEK14"/>
    <mergeCell ref="AEL14:AEO14"/>
    <mergeCell ref="ACT14:ACW14"/>
    <mergeCell ref="ACX14:ADA14"/>
    <mergeCell ref="ADB14:ADE14"/>
    <mergeCell ref="ADF14:ADI14"/>
    <mergeCell ref="ADJ14:ADM14"/>
    <mergeCell ref="ADN14:ADQ14"/>
    <mergeCell ref="AHJ14:AHM14"/>
    <mergeCell ref="AHN14:AHQ14"/>
    <mergeCell ref="AHR14:AHU14"/>
    <mergeCell ref="AHV14:AHY14"/>
    <mergeCell ref="AHZ14:AIC14"/>
    <mergeCell ref="AID14:AIG14"/>
    <mergeCell ref="AGL14:AGO14"/>
    <mergeCell ref="AGP14:AGS14"/>
    <mergeCell ref="AGT14:AGW14"/>
    <mergeCell ref="AGX14:AHA14"/>
    <mergeCell ref="AHB14:AHE14"/>
    <mergeCell ref="AHF14:AHI14"/>
    <mergeCell ref="AFN14:AFQ14"/>
    <mergeCell ref="AFR14:AFU14"/>
    <mergeCell ref="AFV14:AFY14"/>
    <mergeCell ref="AFZ14:AGC14"/>
    <mergeCell ref="AGD14:AGG14"/>
    <mergeCell ref="AGH14:AGK14"/>
    <mergeCell ref="AKD14:AKG14"/>
    <mergeCell ref="AKH14:AKK14"/>
    <mergeCell ref="AKL14:AKO14"/>
    <mergeCell ref="AKP14:AKS14"/>
    <mergeCell ref="AKT14:AKW14"/>
    <mergeCell ref="AKX14:ALA14"/>
    <mergeCell ref="AJF14:AJI14"/>
    <mergeCell ref="AJJ14:AJM14"/>
    <mergeCell ref="AJN14:AJQ14"/>
    <mergeCell ref="AJR14:AJU14"/>
    <mergeCell ref="AJV14:AJY14"/>
    <mergeCell ref="AJZ14:AKC14"/>
    <mergeCell ref="AIH14:AIK14"/>
    <mergeCell ref="AIL14:AIO14"/>
    <mergeCell ref="AIP14:AIS14"/>
    <mergeCell ref="AIT14:AIW14"/>
    <mergeCell ref="AIX14:AJA14"/>
    <mergeCell ref="AJB14:AJE14"/>
    <mergeCell ref="AMX14:ANA14"/>
    <mergeCell ref="ANB14:ANE14"/>
    <mergeCell ref="ANF14:ANI14"/>
    <mergeCell ref="ANJ14:ANM14"/>
    <mergeCell ref="ANN14:ANQ14"/>
    <mergeCell ref="ANR14:ANU14"/>
    <mergeCell ref="ALZ14:AMC14"/>
    <mergeCell ref="AMD14:AMG14"/>
    <mergeCell ref="AMH14:AMK14"/>
    <mergeCell ref="AML14:AMO14"/>
    <mergeCell ref="AMP14:AMS14"/>
    <mergeCell ref="AMT14:AMW14"/>
    <mergeCell ref="ALB14:ALE14"/>
    <mergeCell ref="ALF14:ALI14"/>
    <mergeCell ref="ALJ14:ALM14"/>
    <mergeCell ref="ALN14:ALQ14"/>
    <mergeCell ref="ALR14:ALU14"/>
    <mergeCell ref="ALV14:ALY14"/>
    <mergeCell ref="APR14:APU14"/>
    <mergeCell ref="APV14:APY14"/>
    <mergeCell ref="APZ14:AQC14"/>
    <mergeCell ref="AQD14:AQG14"/>
    <mergeCell ref="AQH14:AQK14"/>
    <mergeCell ref="AQL14:AQO14"/>
    <mergeCell ref="AOT14:AOW14"/>
    <mergeCell ref="AOX14:APA14"/>
    <mergeCell ref="APB14:APE14"/>
    <mergeCell ref="APF14:API14"/>
    <mergeCell ref="APJ14:APM14"/>
    <mergeCell ref="APN14:APQ14"/>
    <mergeCell ref="ANV14:ANY14"/>
    <mergeCell ref="ANZ14:AOC14"/>
    <mergeCell ref="AOD14:AOG14"/>
    <mergeCell ref="AOH14:AOK14"/>
    <mergeCell ref="AOL14:AOO14"/>
    <mergeCell ref="AOP14:AOS14"/>
    <mergeCell ref="ASL14:ASO14"/>
    <mergeCell ref="ASP14:ASS14"/>
    <mergeCell ref="AST14:ASW14"/>
    <mergeCell ref="ASX14:ATA14"/>
    <mergeCell ref="ATB14:ATE14"/>
    <mergeCell ref="ATF14:ATI14"/>
    <mergeCell ref="ARN14:ARQ14"/>
    <mergeCell ref="ARR14:ARU14"/>
    <mergeCell ref="ARV14:ARY14"/>
    <mergeCell ref="ARZ14:ASC14"/>
    <mergeCell ref="ASD14:ASG14"/>
    <mergeCell ref="ASH14:ASK14"/>
    <mergeCell ref="AQP14:AQS14"/>
    <mergeCell ref="AQT14:AQW14"/>
    <mergeCell ref="AQX14:ARA14"/>
    <mergeCell ref="ARB14:ARE14"/>
    <mergeCell ref="ARF14:ARI14"/>
    <mergeCell ref="ARJ14:ARM14"/>
    <mergeCell ref="AVF14:AVI14"/>
    <mergeCell ref="AVJ14:AVM14"/>
    <mergeCell ref="AVN14:AVQ14"/>
    <mergeCell ref="AVR14:AVU14"/>
    <mergeCell ref="AVV14:AVY14"/>
    <mergeCell ref="AVZ14:AWC14"/>
    <mergeCell ref="AUH14:AUK14"/>
    <mergeCell ref="AUL14:AUO14"/>
    <mergeCell ref="AUP14:AUS14"/>
    <mergeCell ref="AUT14:AUW14"/>
    <mergeCell ref="AUX14:AVA14"/>
    <mergeCell ref="AVB14:AVE14"/>
    <mergeCell ref="ATJ14:ATM14"/>
    <mergeCell ref="ATN14:ATQ14"/>
    <mergeCell ref="ATR14:ATU14"/>
    <mergeCell ref="ATV14:ATY14"/>
    <mergeCell ref="ATZ14:AUC14"/>
    <mergeCell ref="AUD14:AUG14"/>
    <mergeCell ref="AXZ14:AYC14"/>
    <mergeCell ref="AYD14:AYG14"/>
    <mergeCell ref="AYH14:AYK14"/>
    <mergeCell ref="AYL14:AYO14"/>
    <mergeCell ref="AYP14:AYS14"/>
    <mergeCell ref="AYT14:AYW14"/>
    <mergeCell ref="AXB14:AXE14"/>
    <mergeCell ref="AXF14:AXI14"/>
    <mergeCell ref="AXJ14:AXM14"/>
    <mergeCell ref="AXN14:AXQ14"/>
    <mergeCell ref="AXR14:AXU14"/>
    <mergeCell ref="AXV14:AXY14"/>
    <mergeCell ref="AWD14:AWG14"/>
    <mergeCell ref="AWH14:AWK14"/>
    <mergeCell ref="AWL14:AWO14"/>
    <mergeCell ref="AWP14:AWS14"/>
    <mergeCell ref="AWT14:AWW14"/>
    <mergeCell ref="AWX14:AXA14"/>
    <mergeCell ref="BAT14:BAW14"/>
    <mergeCell ref="BAX14:BBA14"/>
    <mergeCell ref="BBB14:BBE14"/>
    <mergeCell ref="BBF14:BBI14"/>
    <mergeCell ref="BBJ14:BBM14"/>
    <mergeCell ref="BBN14:BBQ14"/>
    <mergeCell ref="AZV14:AZY14"/>
    <mergeCell ref="AZZ14:BAC14"/>
    <mergeCell ref="BAD14:BAG14"/>
    <mergeCell ref="BAH14:BAK14"/>
    <mergeCell ref="BAL14:BAO14"/>
    <mergeCell ref="BAP14:BAS14"/>
    <mergeCell ref="AYX14:AZA14"/>
    <mergeCell ref="AZB14:AZE14"/>
    <mergeCell ref="AZF14:AZI14"/>
    <mergeCell ref="AZJ14:AZM14"/>
    <mergeCell ref="AZN14:AZQ14"/>
    <mergeCell ref="AZR14:AZU14"/>
    <mergeCell ref="BDN14:BDQ14"/>
    <mergeCell ref="BDR14:BDU14"/>
    <mergeCell ref="BDV14:BDY14"/>
    <mergeCell ref="BDZ14:BEC14"/>
    <mergeCell ref="BED14:BEG14"/>
    <mergeCell ref="BEH14:BEK14"/>
    <mergeCell ref="BCP14:BCS14"/>
    <mergeCell ref="BCT14:BCW14"/>
    <mergeCell ref="BCX14:BDA14"/>
    <mergeCell ref="BDB14:BDE14"/>
    <mergeCell ref="BDF14:BDI14"/>
    <mergeCell ref="BDJ14:BDM14"/>
    <mergeCell ref="BBR14:BBU14"/>
    <mergeCell ref="BBV14:BBY14"/>
    <mergeCell ref="BBZ14:BCC14"/>
    <mergeCell ref="BCD14:BCG14"/>
    <mergeCell ref="BCH14:BCK14"/>
    <mergeCell ref="BCL14:BCO14"/>
    <mergeCell ref="BGH14:BGK14"/>
    <mergeCell ref="BGL14:BGO14"/>
    <mergeCell ref="BGP14:BGS14"/>
    <mergeCell ref="BGT14:BGW14"/>
    <mergeCell ref="BGX14:BHA14"/>
    <mergeCell ref="BHB14:BHE14"/>
    <mergeCell ref="BFJ14:BFM14"/>
    <mergeCell ref="BFN14:BFQ14"/>
    <mergeCell ref="BFR14:BFU14"/>
    <mergeCell ref="BFV14:BFY14"/>
    <mergeCell ref="BFZ14:BGC14"/>
    <mergeCell ref="BGD14:BGG14"/>
    <mergeCell ref="BEL14:BEO14"/>
    <mergeCell ref="BEP14:BES14"/>
    <mergeCell ref="BET14:BEW14"/>
    <mergeCell ref="BEX14:BFA14"/>
    <mergeCell ref="BFB14:BFE14"/>
    <mergeCell ref="BFF14:BFI14"/>
    <mergeCell ref="BJB14:BJE14"/>
    <mergeCell ref="BJF14:BJI14"/>
    <mergeCell ref="BJJ14:BJM14"/>
    <mergeCell ref="BJN14:BJQ14"/>
    <mergeCell ref="BJR14:BJU14"/>
    <mergeCell ref="BJV14:BJY14"/>
    <mergeCell ref="BID14:BIG14"/>
    <mergeCell ref="BIH14:BIK14"/>
    <mergeCell ref="BIL14:BIO14"/>
    <mergeCell ref="BIP14:BIS14"/>
    <mergeCell ref="BIT14:BIW14"/>
    <mergeCell ref="BIX14:BJA14"/>
    <mergeCell ref="BHF14:BHI14"/>
    <mergeCell ref="BHJ14:BHM14"/>
    <mergeCell ref="BHN14:BHQ14"/>
    <mergeCell ref="BHR14:BHU14"/>
    <mergeCell ref="BHV14:BHY14"/>
    <mergeCell ref="BHZ14:BIC14"/>
    <mergeCell ref="BLV14:BLY14"/>
    <mergeCell ref="BLZ14:BMC14"/>
    <mergeCell ref="BMD14:BMG14"/>
    <mergeCell ref="BMH14:BMK14"/>
    <mergeCell ref="BML14:BMO14"/>
    <mergeCell ref="BMP14:BMS14"/>
    <mergeCell ref="BKX14:BLA14"/>
    <mergeCell ref="BLB14:BLE14"/>
    <mergeCell ref="BLF14:BLI14"/>
    <mergeCell ref="BLJ14:BLM14"/>
    <mergeCell ref="BLN14:BLQ14"/>
    <mergeCell ref="BLR14:BLU14"/>
    <mergeCell ref="BJZ14:BKC14"/>
    <mergeCell ref="BKD14:BKG14"/>
    <mergeCell ref="BKH14:BKK14"/>
    <mergeCell ref="BKL14:BKO14"/>
    <mergeCell ref="BKP14:BKS14"/>
    <mergeCell ref="BKT14:BKW14"/>
    <mergeCell ref="BOP14:BOS14"/>
    <mergeCell ref="BOT14:BOW14"/>
    <mergeCell ref="BOX14:BPA14"/>
    <mergeCell ref="BPB14:BPE14"/>
    <mergeCell ref="BPF14:BPI14"/>
    <mergeCell ref="BPJ14:BPM14"/>
    <mergeCell ref="BNR14:BNU14"/>
    <mergeCell ref="BNV14:BNY14"/>
    <mergeCell ref="BNZ14:BOC14"/>
    <mergeCell ref="BOD14:BOG14"/>
    <mergeCell ref="BOH14:BOK14"/>
    <mergeCell ref="BOL14:BOO14"/>
    <mergeCell ref="BMT14:BMW14"/>
    <mergeCell ref="BMX14:BNA14"/>
    <mergeCell ref="BNB14:BNE14"/>
    <mergeCell ref="BNF14:BNI14"/>
    <mergeCell ref="BNJ14:BNM14"/>
    <mergeCell ref="BNN14:BNQ14"/>
    <mergeCell ref="BRJ14:BRM14"/>
    <mergeCell ref="BRN14:BRQ14"/>
    <mergeCell ref="BRR14:BRU14"/>
    <mergeCell ref="BRV14:BRY14"/>
    <mergeCell ref="BRZ14:BSC14"/>
    <mergeCell ref="BSD14:BSG14"/>
    <mergeCell ref="BQL14:BQO14"/>
    <mergeCell ref="BQP14:BQS14"/>
    <mergeCell ref="BQT14:BQW14"/>
    <mergeCell ref="BQX14:BRA14"/>
    <mergeCell ref="BRB14:BRE14"/>
    <mergeCell ref="BRF14:BRI14"/>
    <mergeCell ref="BPN14:BPQ14"/>
    <mergeCell ref="BPR14:BPU14"/>
    <mergeCell ref="BPV14:BPY14"/>
    <mergeCell ref="BPZ14:BQC14"/>
    <mergeCell ref="BQD14:BQG14"/>
    <mergeCell ref="BQH14:BQK14"/>
    <mergeCell ref="BUD14:BUG14"/>
    <mergeCell ref="BUH14:BUK14"/>
    <mergeCell ref="BUL14:BUO14"/>
    <mergeCell ref="BUP14:BUS14"/>
    <mergeCell ref="BUT14:BUW14"/>
    <mergeCell ref="BUX14:BVA14"/>
    <mergeCell ref="BTF14:BTI14"/>
    <mergeCell ref="BTJ14:BTM14"/>
    <mergeCell ref="BTN14:BTQ14"/>
    <mergeCell ref="BTR14:BTU14"/>
    <mergeCell ref="BTV14:BTY14"/>
    <mergeCell ref="BTZ14:BUC14"/>
    <mergeCell ref="BSH14:BSK14"/>
    <mergeCell ref="BSL14:BSO14"/>
    <mergeCell ref="BSP14:BSS14"/>
    <mergeCell ref="BST14:BSW14"/>
    <mergeCell ref="BSX14:BTA14"/>
    <mergeCell ref="BTB14:BTE14"/>
    <mergeCell ref="BWX14:BXA14"/>
    <mergeCell ref="BXB14:BXE14"/>
    <mergeCell ref="BXF14:BXI14"/>
    <mergeCell ref="BXJ14:BXM14"/>
    <mergeCell ref="BXN14:BXQ14"/>
    <mergeCell ref="BXR14:BXU14"/>
    <mergeCell ref="BVZ14:BWC14"/>
    <mergeCell ref="BWD14:BWG14"/>
    <mergeCell ref="BWH14:BWK14"/>
    <mergeCell ref="BWL14:BWO14"/>
    <mergeCell ref="BWP14:BWS14"/>
    <mergeCell ref="BWT14:BWW14"/>
    <mergeCell ref="BVB14:BVE14"/>
    <mergeCell ref="BVF14:BVI14"/>
    <mergeCell ref="BVJ14:BVM14"/>
    <mergeCell ref="BVN14:BVQ14"/>
    <mergeCell ref="BVR14:BVU14"/>
    <mergeCell ref="BVV14:BVY14"/>
    <mergeCell ref="BZR14:BZU14"/>
    <mergeCell ref="BZV14:BZY14"/>
    <mergeCell ref="BZZ14:CAC14"/>
    <mergeCell ref="CAD14:CAG14"/>
    <mergeCell ref="CAH14:CAK14"/>
    <mergeCell ref="CAL14:CAO14"/>
    <mergeCell ref="BYT14:BYW14"/>
    <mergeCell ref="BYX14:BZA14"/>
    <mergeCell ref="BZB14:BZE14"/>
    <mergeCell ref="BZF14:BZI14"/>
    <mergeCell ref="BZJ14:BZM14"/>
    <mergeCell ref="BZN14:BZQ14"/>
    <mergeCell ref="BXV14:BXY14"/>
    <mergeCell ref="BXZ14:BYC14"/>
    <mergeCell ref="BYD14:BYG14"/>
    <mergeCell ref="BYH14:BYK14"/>
    <mergeCell ref="BYL14:BYO14"/>
    <mergeCell ref="BYP14:BYS14"/>
    <mergeCell ref="CCL14:CCO14"/>
    <mergeCell ref="CCP14:CCS14"/>
    <mergeCell ref="CCT14:CCW14"/>
    <mergeCell ref="CCX14:CDA14"/>
    <mergeCell ref="CDB14:CDE14"/>
    <mergeCell ref="CDF14:CDI14"/>
    <mergeCell ref="CBN14:CBQ14"/>
    <mergeCell ref="CBR14:CBU14"/>
    <mergeCell ref="CBV14:CBY14"/>
    <mergeCell ref="CBZ14:CCC14"/>
    <mergeCell ref="CCD14:CCG14"/>
    <mergeCell ref="CCH14:CCK14"/>
    <mergeCell ref="CAP14:CAS14"/>
    <mergeCell ref="CAT14:CAW14"/>
    <mergeCell ref="CAX14:CBA14"/>
    <mergeCell ref="CBB14:CBE14"/>
    <mergeCell ref="CBF14:CBI14"/>
    <mergeCell ref="CBJ14:CBM14"/>
    <mergeCell ref="CFF14:CFI14"/>
    <mergeCell ref="CFJ14:CFM14"/>
    <mergeCell ref="CFN14:CFQ14"/>
    <mergeCell ref="CFR14:CFU14"/>
    <mergeCell ref="CFV14:CFY14"/>
    <mergeCell ref="CFZ14:CGC14"/>
    <mergeCell ref="CEH14:CEK14"/>
    <mergeCell ref="CEL14:CEO14"/>
    <mergeCell ref="CEP14:CES14"/>
    <mergeCell ref="CET14:CEW14"/>
    <mergeCell ref="CEX14:CFA14"/>
    <mergeCell ref="CFB14:CFE14"/>
    <mergeCell ref="CDJ14:CDM14"/>
    <mergeCell ref="CDN14:CDQ14"/>
    <mergeCell ref="CDR14:CDU14"/>
    <mergeCell ref="CDV14:CDY14"/>
    <mergeCell ref="CDZ14:CEC14"/>
    <mergeCell ref="CED14:CEG14"/>
    <mergeCell ref="CHZ14:CIC14"/>
    <mergeCell ref="CID14:CIG14"/>
    <mergeCell ref="CIH14:CIK14"/>
    <mergeCell ref="CIL14:CIO14"/>
    <mergeCell ref="CIP14:CIS14"/>
    <mergeCell ref="CIT14:CIW14"/>
    <mergeCell ref="CHB14:CHE14"/>
    <mergeCell ref="CHF14:CHI14"/>
    <mergeCell ref="CHJ14:CHM14"/>
    <mergeCell ref="CHN14:CHQ14"/>
    <mergeCell ref="CHR14:CHU14"/>
    <mergeCell ref="CHV14:CHY14"/>
    <mergeCell ref="CGD14:CGG14"/>
    <mergeCell ref="CGH14:CGK14"/>
    <mergeCell ref="CGL14:CGO14"/>
    <mergeCell ref="CGP14:CGS14"/>
    <mergeCell ref="CGT14:CGW14"/>
    <mergeCell ref="CGX14:CHA14"/>
    <mergeCell ref="CKT14:CKW14"/>
    <mergeCell ref="CKX14:CLA14"/>
    <mergeCell ref="CLB14:CLE14"/>
    <mergeCell ref="CLF14:CLI14"/>
    <mergeCell ref="CLJ14:CLM14"/>
    <mergeCell ref="CLN14:CLQ14"/>
    <mergeCell ref="CJV14:CJY14"/>
    <mergeCell ref="CJZ14:CKC14"/>
    <mergeCell ref="CKD14:CKG14"/>
    <mergeCell ref="CKH14:CKK14"/>
    <mergeCell ref="CKL14:CKO14"/>
    <mergeCell ref="CKP14:CKS14"/>
    <mergeCell ref="CIX14:CJA14"/>
    <mergeCell ref="CJB14:CJE14"/>
    <mergeCell ref="CJF14:CJI14"/>
    <mergeCell ref="CJJ14:CJM14"/>
    <mergeCell ref="CJN14:CJQ14"/>
    <mergeCell ref="CJR14:CJU14"/>
    <mergeCell ref="CNN14:CNQ14"/>
    <mergeCell ref="CNR14:CNU14"/>
    <mergeCell ref="CNV14:CNY14"/>
    <mergeCell ref="CNZ14:COC14"/>
    <mergeCell ref="COD14:COG14"/>
    <mergeCell ref="COH14:COK14"/>
    <mergeCell ref="CMP14:CMS14"/>
    <mergeCell ref="CMT14:CMW14"/>
    <mergeCell ref="CMX14:CNA14"/>
    <mergeCell ref="CNB14:CNE14"/>
    <mergeCell ref="CNF14:CNI14"/>
    <mergeCell ref="CNJ14:CNM14"/>
    <mergeCell ref="CLR14:CLU14"/>
    <mergeCell ref="CLV14:CLY14"/>
    <mergeCell ref="CLZ14:CMC14"/>
    <mergeCell ref="CMD14:CMG14"/>
    <mergeCell ref="CMH14:CMK14"/>
    <mergeCell ref="CML14:CMO14"/>
    <mergeCell ref="CQH14:CQK14"/>
    <mergeCell ref="CQL14:CQO14"/>
    <mergeCell ref="CQP14:CQS14"/>
    <mergeCell ref="CQT14:CQW14"/>
    <mergeCell ref="CQX14:CRA14"/>
    <mergeCell ref="CRB14:CRE14"/>
    <mergeCell ref="CPJ14:CPM14"/>
    <mergeCell ref="CPN14:CPQ14"/>
    <mergeCell ref="CPR14:CPU14"/>
    <mergeCell ref="CPV14:CPY14"/>
    <mergeCell ref="CPZ14:CQC14"/>
    <mergeCell ref="CQD14:CQG14"/>
    <mergeCell ref="COL14:COO14"/>
    <mergeCell ref="COP14:COS14"/>
    <mergeCell ref="COT14:COW14"/>
    <mergeCell ref="COX14:CPA14"/>
    <mergeCell ref="CPB14:CPE14"/>
    <mergeCell ref="CPF14:CPI14"/>
    <mergeCell ref="CTB14:CTE14"/>
    <mergeCell ref="CTF14:CTI14"/>
    <mergeCell ref="CTJ14:CTM14"/>
    <mergeCell ref="CTN14:CTQ14"/>
    <mergeCell ref="CTR14:CTU14"/>
    <mergeCell ref="CTV14:CTY14"/>
    <mergeCell ref="CSD14:CSG14"/>
    <mergeCell ref="CSH14:CSK14"/>
    <mergeCell ref="CSL14:CSO14"/>
    <mergeCell ref="CSP14:CSS14"/>
    <mergeCell ref="CST14:CSW14"/>
    <mergeCell ref="CSX14:CTA14"/>
    <mergeCell ref="CRF14:CRI14"/>
    <mergeCell ref="CRJ14:CRM14"/>
    <mergeCell ref="CRN14:CRQ14"/>
    <mergeCell ref="CRR14:CRU14"/>
    <mergeCell ref="CRV14:CRY14"/>
    <mergeCell ref="CRZ14:CSC14"/>
    <mergeCell ref="CVV14:CVY14"/>
    <mergeCell ref="CVZ14:CWC14"/>
    <mergeCell ref="CWD14:CWG14"/>
    <mergeCell ref="CWH14:CWK14"/>
    <mergeCell ref="CWL14:CWO14"/>
    <mergeCell ref="CWP14:CWS14"/>
    <mergeCell ref="CUX14:CVA14"/>
    <mergeCell ref="CVB14:CVE14"/>
    <mergeCell ref="CVF14:CVI14"/>
    <mergeCell ref="CVJ14:CVM14"/>
    <mergeCell ref="CVN14:CVQ14"/>
    <mergeCell ref="CVR14:CVU14"/>
    <mergeCell ref="CTZ14:CUC14"/>
    <mergeCell ref="CUD14:CUG14"/>
    <mergeCell ref="CUH14:CUK14"/>
    <mergeCell ref="CUL14:CUO14"/>
    <mergeCell ref="CUP14:CUS14"/>
    <mergeCell ref="CUT14:CUW14"/>
    <mergeCell ref="CYP14:CYS14"/>
    <mergeCell ref="CYT14:CYW14"/>
    <mergeCell ref="CYX14:CZA14"/>
    <mergeCell ref="CZB14:CZE14"/>
    <mergeCell ref="CZF14:CZI14"/>
    <mergeCell ref="CZJ14:CZM14"/>
    <mergeCell ref="CXR14:CXU14"/>
    <mergeCell ref="CXV14:CXY14"/>
    <mergeCell ref="CXZ14:CYC14"/>
    <mergeCell ref="CYD14:CYG14"/>
    <mergeCell ref="CYH14:CYK14"/>
    <mergeCell ref="CYL14:CYO14"/>
    <mergeCell ref="CWT14:CWW14"/>
    <mergeCell ref="CWX14:CXA14"/>
    <mergeCell ref="CXB14:CXE14"/>
    <mergeCell ref="CXF14:CXI14"/>
    <mergeCell ref="CXJ14:CXM14"/>
    <mergeCell ref="CXN14:CXQ14"/>
    <mergeCell ref="DBJ14:DBM14"/>
    <mergeCell ref="DBN14:DBQ14"/>
    <mergeCell ref="DBR14:DBU14"/>
    <mergeCell ref="DBV14:DBY14"/>
    <mergeCell ref="DBZ14:DCC14"/>
    <mergeCell ref="DCD14:DCG14"/>
    <mergeCell ref="DAL14:DAO14"/>
    <mergeCell ref="DAP14:DAS14"/>
    <mergeCell ref="DAT14:DAW14"/>
    <mergeCell ref="DAX14:DBA14"/>
    <mergeCell ref="DBB14:DBE14"/>
    <mergeCell ref="DBF14:DBI14"/>
    <mergeCell ref="CZN14:CZQ14"/>
    <mergeCell ref="CZR14:CZU14"/>
    <mergeCell ref="CZV14:CZY14"/>
    <mergeCell ref="CZZ14:DAC14"/>
    <mergeCell ref="DAD14:DAG14"/>
    <mergeCell ref="DAH14:DAK14"/>
    <mergeCell ref="DED14:DEG14"/>
    <mergeCell ref="DEH14:DEK14"/>
    <mergeCell ref="DEL14:DEO14"/>
    <mergeCell ref="DEP14:DES14"/>
    <mergeCell ref="DET14:DEW14"/>
    <mergeCell ref="DEX14:DFA14"/>
    <mergeCell ref="DDF14:DDI14"/>
    <mergeCell ref="DDJ14:DDM14"/>
    <mergeCell ref="DDN14:DDQ14"/>
    <mergeCell ref="DDR14:DDU14"/>
    <mergeCell ref="DDV14:DDY14"/>
    <mergeCell ref="DDZ14:DEC14"/>
    <mergeCell ref="DCH14:DCK14"/>
    <mergeCell ref="DCL14:DCO14"/>
    <mergeCell ref="DCP14:DCS14"/>
    <mergeCell ref="DCT14:DCW14"/>
    <mergeCell ref="DCX14:DDA14"/>
    <mergeCell ref="DDB14:DDE14"/>
    <mergeCell ref="DGX14:DHA14"/>
    <mergeCell ref="DHB14:DHE14"/>
    <mergeCell ref="DHF14:DHI14"/>
    <mergeCell ref="DHJ14:DHM14"/>
    <mergeCell ref="DHN14:DHQ14"/>
    <mergeCell ref="DHR14:DHU14"/>
    <mergeCell ref="DFZ14:DGC14"/>
    <mergeCell ref="DGD14:DGG14"/>
    <mergeCell ref="DGH14:DGK14"/>
    <mergeCell ref="DGL14:DGO14"/>
    <mergeCell ref="DGP14:DGS14"/>
    <mergeCell ref="DGT14:DGW14"/>
    <mergeCell ref="DFB14:DFE14"/>
    <mergeCell ref="DFF14:DFI14"/>
    <mergeCell ref="DFJ14:DFM14"/>
    <mergeCell ref="DFN14:DFQ14"/>
    <mergeCell ref="DFR14:DFU14"/>
    <mergeCell ref="DFV14:DFY14"/>
    <mergeCell ref="DJR14:DJU14"/>
    <mergeCell ref="DJV14:DJY14"/>
    <mergeCell ref="DJZ14:DKC14"/>
    <mergeCell ref="DKD14:DKG14"/>
    <mergeCell ref="DKH14:DKK14"/>
    <mergeCell ref="DKL14:DKO14"/>
    <mergeCell ref="DIT14:DIW14"/>
    <mergeCell ref="DIX14:DJA14"/>
    <mergeCell ref="DJB14:DJE14"/>
    <mergeCell ref="DJF14:DJI14"/>
    <mergeCell ref="DJJ14:DJM14"/>
    <mergeCell ref="DJN14:DJQ14"/>
    <mergeCell ref="DHV14:DHY14"/>
    <mergeCell ref="DHZ14:DIC14"/>
    <mergeCell ref="DID14:DIG14"/>
    <mergeCell ref="DIH14:DIK14"/>
    <mergeCell ref="DIL14:DIO14"/>
    <mergeCell ref="DIP14:DIS14"/>
    <mergeCell ref="DML14:DMO14"/>
    <mergeCell ref="DMP14:DMS14"/>
    <mergeCell ref="DMT14:DMW14"/>
    <mergeCell ref="DMX14:DNA14"/>
    <mergeCell ref="DNB14:DNE14"/>
    <mergeCell ref="DNF14:DNI14"/>
    <mergeCell ref="DLN14:DLQ14"/>
    <mergeCell ref="DLR14:DLU14"/>
    <mergeCell ref="DLV14:DLY14"/>
    <mergeCell ref="DLZ14:DMC14"/>
    <mergeCell ref="DMD14:DMG14"/>
    <mergeCell ref="DMH14:DMK14"/>
    <mergeCell ref="DKP14:DKS14"/>
    <mergeCell ref="DKT14:DKW14"/>
    <mergeCell ref="DKX14:DLA14"/>
    <mergeCell ref="DLB14:DLE14"/>
    <mergeCell ref="DLF14:DLI14"/>
    <mergeCell ref="DLJ14:DLM14"/>
    <mergeCell ref="DPF14:DPI14"/>
    <mergeCell ref="DPJ14:DPM14"/>
    <mergeCell ref="DPN14:DPQ14"/>
    <mergeCell ref="DPR14:DPU14"/>
    <mergeCell ref="DPV14:DPY14"/>
    <mergeCell ref="DPZ14:DQC14"/>
    <mergeCell ref="DOH14:DOK14"/>
    <mergeCell ref="DOL14:DOO14"/>
    <mergeCell ref="DOP14:DOS14"/>
    <mergeCell ref="DOT14:DOW14"/>
    <mergeCell ref="DOX14:DPA14"/>
    <mergeCell ref="DPB14:DPE14"/>
    <mergeCell ref="DNJ14:DNM14"/>
    <mergeCell ref="DNN14:DNQ14"/>
    <mergeCell ref="DNR14:DNU14"/>
    <mergeCell ref="DNV14:DNY14"/>
    <mergeCell ref="DNZ14:DOC14"/>
    <mergeCell ref="DOD14:DOG14"/>
    <mergeCell ref="DRZ14:DSC14"/>
    <mergeCell ref="DSD14:DSG14"/>
    <mergeCell ref="DSH14:DSK14"/>
    <mergeCell ref="DSL14:DSO14"/>
    <mergeCell ref="DSP14:DSS14"/>
    <mergeCell ref="DST14:DSW14"/>
    <mergeCell ref="DRB14:DRE14"/>
    <mergeCell ref="DRF14:DRI14"/>
    <mergeCell ref="DRJ14:DRM14"/>
    <mergeCell ref="DRN14:DRQ14"/>
    <mergeCell ref="DRR14:DRU14"/>
    <mergeCell ref="DRV14:DRY14"/>
    <mergeCell ref="DQD14:DQG14"/>
    <mergeCell ref="DQH14:DQK14"/>
    <mergeCell ref="DQL14:DQO14"/>
    <mergeCell ref="DQP14:DQS14"/>
    <mergeCell ref="DQT14:DQW14"/>
    <mergeCell ref="DQX14:DRA14"/>
    <mergeCell ref="DUT14:DUW14"/>
    <mergeCell ref="DUX14:DVA14"/>
    <mergeCell ref="DVB14:DVE14"/>
    <mergeCell ref="DVF14:DVI14"/>
    <mergeCell ref="DVJ14:DVM14"/>
    <mergeCell ref="DVN14:DVQ14"/>
    <mergeCell ref="DTV14:DTY14"/>
    <mergeCell ref="DTZ14:DUC14"/>
    <mergeCell ref="DUD14:DUG14"/>
    <mergeCell ref="DUH14:DUK14"/>
    <mergeCell ref="DUL14:DUO14"/>
    <mergeCell ref="DUP14:DUS14"/>
    <mergeCell ref="DSX14:DTA14"/>
    <mergeCell ref="DTB14:DTE14"/>
    <mergeCell ref="DTF14:DTI14"/>
    <mergeCell ref="DTJ14:DTM14"/>
    <mergeCell ref="DTN14:DTQ14"/>
    <mergeCell ref="DTR14:DTU14"/>
    <mergeCell ref="DXN14:DXQ14"/>
    <mergeCell ref="DXR14:DXU14"/>
    <mergeCell ref="DXV14:DXY14"/>
    <mergeCell ref="DXZ14:DYC14"/>
    <mergeCell ref="DYD14:DYG14"/>
    <mergeCell ref="DYH14:DYK14"/>
    <mergeCell ref="DWP14:DWS14"/>
    <mergeCell ref="DWT14:DWW14"/>
    <mergeCell ref="DWX14:DXA14"/>
    <mergeCell ref="DXB14:DXE14"/>
    <mergeCell ref="DXF14:DXI14"/>
    <mergeCell ref="DXJ14:DXM14"/>
    <mergeCell ref="DVR14:DVU14"/>
    <mergeCell ref="DVV14:DVY14"/>
    <mergeCell ref="DVZ14:DWC14"/>
    <mergeCell ref="DWD14:DWG14"/>
    <mergeCell ref="DWH14:DWK14"/>
    <mergeCell ref="DWL14:DWO14"/>
    <mergeCell ref="EAH14:EAK14"/>
    <mergeCell ref="EAL14:EAO14"/>
    <mergeCell ref="EAP14:EAS14"/>
    <mergeCell ref="EAT14:EAW14"/>
    <mergeCell ref="EAX14:EBA14"/>
    <mergeCell ref="EBB14:EBE14"/>
    <mergeCell ref="DZJ14:DZM14"/>
    <mergeCell ref="DZN14:DZQ14"/>
    <mergeCell ref="DZR14:DZU14"/>
    <mergeCell ref="DZV14:DZY14"/>
    <mergeCell ref="DZZ14:EAC14"/>
    <mergeCell ref="EAD14:EAG14"/>
    <mergeCell ref="DYL14:DYO14"/>
    <mergeCell ref="DYP14:DYS14"/>
    <mergeCell ref="DYT14:DYW14"/>
    <mergeCell ref="DYX14:DZA14"/>
    <mergeCell ref="DZB14:DZE14"/>
    <mergeCell ref="DZF14:DZI14"/>
    <mergeCell ref="EDB14:EDE14"/>
    <mergeCell ref="EDF14:EDI14"/>
    <mergeCell ref="EDJ14:EDM14"/>
    <mergeCell ref="EDN14:EDQ14"/>
    <mergeCell ref="EDR14:EDU14"/>
    <mergeCell ref="EDV14:EDY14"/>
    <mergeCell ref="ECD14:ECG14"/>
    <mergeCell ref="ECH14:ECK14"/>
    <mergeCell ref="ECL14:ECO14"/>
    <mergeCell ref="ECP14:ECS14"/>
    <mergeCell ref="ECT14:ECW14"/>
    <mergeCell ref="ECX14:EDA14"/>
    <mergeCell ref="EBF14:EBI14"/>
    <mergeCell ref="EBJ14:EBM14"/>
    <mergeCell ref="EBN14:EBQ14"/>
    <mergeCell ref="EBR14:EBU14"/>
    <mergeCell ref="EBV14:EBY14"/>
    <mergeCell ref="EBZ14:ECC14"/>
    <mergeCell ref="EFV14:EFY14"/>
    <mergeCell ref="EFZ14:EGC14"/>
    <mergeCell ref="EGD14:EGG14"/>
    <mergeCell ref="EGH14:EGK14"/>
    <mergeCell ref="EGL14:EGO14"/>
    <mergeCell ref="EGP14:EGS14"/>
    <mergeCell ref="EEX14:EFA14"/>
    <mergeCell ref="EFB14:EFE14"/>
    <mergeCell ref="EFF14:EFI14"/>
    <mergeCell ref="EFJ14:EFM14"/>
    <mergeCell ref="EFN14:EFQ14"/>
    <mergeCell ref="EFR14:EFU14"/>
    <mergeCell ref="EDZ14:EEC14"/>
    <mergeCell ref="EED14:EEG14"/>
    <mergeCell ref="EEH14:EEK14"/>
    <mergeCell ref="EEL14:EEO14"/>
    <mergeCell ref="EEP14:EES14"/>
    <mergeCell ref="EET14:EEW14"/>
    <mergeCell ref="EIP14:EIS14"/>
    <mergeCell ref="EIT14:EIW14"/>
    <mergeCell ref="EIX14:EJA14"/>
    <mergeCell ref="EJB14:EJE14"/>
    <mergeCell ref="EJF14:EJI14"/>
    <mergeCell ref="EJJ14:EJM14"/>
    <mergeCell ref="EHR14:EHU14"/>
    <mergeCell ref="EHV14:EHY14"/>
    <mergeCell ref="EHZ14:EIC14"/>
    <mergeCell ref="EID14:EIG14"/>
    <mergeCell ref="EIH14:EIK14"/>
    <mergeCell ref="EIL14:EIO14"/>
    <mergeCell ref="EGT14:EGW14"/>
    <mergeCell ref="EGX14:EHA14"/>
    <mergeCell ref="EHB14:EHE14"/>
    <mergeCell ref="EHF14:EHI14"/>
    <mergeCell ref="EHJ14:EHM14"/>
    <mergeCell ref="EHN14:EHQ14"/>
    <mergeCell ref="ELJ14:ELM14"/>
    <mergeCell ref="ELN14:ELQ14"/>
    <mergeCell ref="ELR14:ELU14"/>
    <mergeCell ref="ELV14:ELY14"/>
    <mergeCell ref="ELZ14:EMC14"/>
    <mergeCell ref="EMD14:EMG14"/>
    <mergeCell ref="EKL14:EKO14"/>
    <mergeCell ref="EKP14:EKS14"/>
    <mergeCell ref="EKT14:EKW14"/>
    <mergeCell ref="EKX14:ELA14"/>
    <mergeCell ref="ELB14:ELE14"/>
    <mergeCell ref="ELF14:ELI14"/>
    <mergeCell ref="EJN14:EJQ14"/>
    <mergeCell ref="EJR14:EJU14"/>
    <mergeCell ref="EJV14:EJY14"/>
    <mergeCell ref="EJZ14:EKC14"/>
    <mergeCell ref="EKD14:EKG14"/>
    <mergeCell ref="EKH14:EKK14"/>
    <mergeCell ref="EOD14:EOG14"/>
    <mergeCell ref="EOH14:EOK14"/>
    <mergeCell ref="EOL14:EOO14"/>
    <mergeCell ref="EOP14:EOS14"/>
    <mergeCell ref="EOT14:EOW14"/>
    <mergeCell ref="EOX14:EPA14"/>
    <mergeCell ref="ENF14:ENI14"/>
    <mergeCell ref="ENJ14:ENM14"/>
    <mergeCell ref="ENN14:ENQ14"/>
    <mergeCell ref="ENR14:ENU14"/>
    <mergeCell ref="ENV14:ENY14"/>
    <mergeCell ref="ENZ14:EOC14"/>
    <mergeCell ref="EMH14:EMK14"/>
    <mergeCell ref="EML14:EMO14"/>
    <mergeCell ref="EMP14:EMS14"/>
    <mergeCell ref="EMT14:EMW14"/>
    <mergeCell ref="EMX14:ENA14"/>
    <mergeCell ref="ENB14:ENE14"/>
    <mergeCell ref="EQX14:ERA14"/>
    <mergeCell ref="ERB14:ERE14"/>
    <mergeCell ref="ERF14:ERI14"/>
    <mergeCell ref="ERJ14:ERM14"/>
    <mergeCell ref="ERN14:ERQ14"/>
    <mergeCell ref="ERR14:ERU14"/>
    <mergeCell ref="EPZ14:EQC14"/>
    <mergeCell ref="EQD14:EQG14"/>
    <mergeCell ref="EQH14:EQK14"/>
    <mergeCell ref="EQL14:EQO14"/>
    <mergeCell ref="EQP14:EQS14"/>
    <mergeCell ref="EQT14:EQW14"/>
    <mergeCell ref="EPB14:EPE14"/>
    <mergeCell ref="EPF14:EPI14"/>
    <mergeCell ref="EPJ14:EPM14"/>
    <mergeCell ref="EPN14:EPQ14"/>
    <mergeCell ref="EPR14:EPU14"/>
    <mergeCell ref="EPV14:EPY14"/>
    <mergeCell ref="ETR14:ETU14"/>
    <mergeCell ref="ETV14:ETY14"/>
    <mergeCell ref="ETZ14:EUC14"/>
    <mergeCell ref="EUD14:EUG14"/>
    <mergeCell ref="EUH14:EUK14"/>
    <mergeCell ref="EUL14:EUO14"/>
    <mergeCell ref="EST14:ESW14"/>
    <mergeCell ref="ESX14:ETA14"/>
    <mergeCell ref="ETB14:ETE14"/>
    <mergeCell ref="ETF14:ETI14"/>
    <mergeCell ref="ETJ14:ETM14"/>
    <mergeCell ref="ETN14:ETQ14"/>
    <mergeCell ref="ERV14:ERY14"/>
    <mergeCell ref="ERZ14:ESC14"/>
    <mergeCell ref="ESD14:ESG14"/>
    <mergeCell ref="ESH14:ESK14"/>
    <mergeCell ref="ESL14:ESO14"/>
    <mergeCell ref="ESP14:ESS14"/>
    <mergeCell ref="EWL14:EWO14"/>
    <mergeCell ref="EWP14:EWS14"/>
    <mergeCell ref="EWT14:EWW14"/>
    <mergeCell ref="EWX14:EXA14"/>
    <mergeCell ref="EXB14:EXE14"/>
    <mergeCell ref="EXF14:EXI14"/>
    <mergeCell ref="EVN14:EVQ14"/>
    <mergeCell ref="EVR14:EVU14"/>
    <mergeCell ref="EVV14:EVY14"/>
    <mergeCell ref="EVZ14:EWC14"/>
    <mergeCell ref="EWD14:EWG14"/>
    <mergeCell ref="EWH14:EWK14"/>
    <mergeCell ref="EUP14:EUS14"/>
    <mergeCell ref="EUT14:EUW14"/>
    <mergeCell ref="EUX14:EVA14"/>
    <mergeCell ref="EVB14:EVE14"/>
    <mergeCell ref="EVF14:EVI14"/>
    <mergeCell ref="EVJ14:EVM14"/>
    <mergeCell ref="EZF14:EZI14"/>
    <mergeCell ref="EZJ14:EZM14"/>
    <mergeCell ref="EZN14:EZQ14"/>
    <mergeCell ref="EZR14:EZU14"/>
    <mergeCell ref="EZV14:EZY14"/>
    <mergeCell ref="EZZ14:FAC14"/>
    <mergeCell ref="EYH14:EYK14"/>
    <mergeCell ref="EYL14:EYO14"/>
    <mergeCell ref="EYP14:EYS14"/>
    <mergeCell ref="EYT14:EYW14"/>
    <mergeCell ref="EYX14:EZA14"/>
    <mergeCell ref="EZB14:EZE14"/>
    <mergeCell ref="EXJ14:EXM14"/>
    <mergeCell ref="EXN14:EXQ14"/>
    <mergeCell ref="EXR14:EXU14"/>
    <mergeCell ref="EXV14:EXY14"/>
    <mergeCell ref="EXZ14:EYC14"/>
    <mergeCell ref="EYD14:EYG14"/>
    <mergeCell ref="FBZ14:FCC14"/>
    <mergeCell ref="FCD14:FCG14"/>
    <mergeCell ref="FCH14:FCK14"/>
    <mergeCell ref="FCL14:FCO14"/>
    <mergeCell ref="FCP14:FCS14"/>
    <mergeCell ref="FCT14:FCW14"/>
    <mergeCell ref="FBB14:FBE14"/>
    <mergeCell ref="FBF14:FBI14"/>
    <mergeCell ref="FBJ14:FBM14"/>
    <mergeCell ref="FBN14:FBQ14"/>
    <mergeCell ref="FBR14:FBU14"/>
    <mergeCell ref="FBV14:FBY14"/>
    <mergeCell ref="FAD14:FAG14"/>
    <mergeCell ref="FAH14:FAK14"/>
    <mergeCell ref="FAL14:FAO14"/>
    <mergeCell ref="FAP14:FAS14"/>
    <mergeCell ref="FAT14:FAW14"/>
    <mergeCell ref="FAX14:FBA14"/>
    <mergeCell ref="FET14:FEW14"/>
    <mergeCell ref="FEX14:FFA14"/>
    <mergeCell ref="FFB14:FFE14"/>
    <mergeCell ref="FFF14:FFI14"/>
    <mergeCell ref="FFJ14:FFM14"/>
    <mergeCell ref="FFN14:FFQ14"/>
    <mergeCell ref="FDV14:FDY14"/>
    <mergeCell ref="FDZ14:FEC14"/>
    <mergeCell ref="FED14:FEG14"/>
    <mergeCell ref="FEH14:FEK14"/>
    <mergeCell ref="FEL14:FEO14"/>
    <mergeCell ref="FEP14:FES14"/>
    <mergeCell ref="FCX14:FDA14"/>
    <mergeCell ref="FDB14:FDE14"/>
    <mergeCell ref="FDF14:FDI14"/>
    <mergeCell ref="FDJ14:FDM14"/>
    <mergeCell ref="FDN14:FDQ14"/>
    <mergeCell ref="FDR14:FDU14"/>
    <mergeCell ref="FHN14:FHQ14"/>
    <mergeCell ref="FHR14:FHU14"/>
    <mergeCell ref="FHV14:FHY14"/>
    <mergeCell ref="FHZ14:FIC14"/>
    <mergeCell ref="FID14:FIG14"/>
    <mergeCell ref="FIH14:FIK14"/>
    <mergeCell ref="FGP14:FGS14"/>
    <mergeCell ref="FGT14:FGW14"/>
    <mergeCell ref="FGX14:FHA14"/>
    <mergeCell ref="FHB14:FHE14"/>
    <mergeCell ref="FHF14:FHI14"/>
    <mergeCell ref="FHJ14:FHM14"/>
    <mergeCell ref="FFR14:FFU14"/>
    <mergeCell ref="FFV14:FFY14"/>
    <mergeCell ref="FFZ14:FGC14"/>
    <mergeCell ref="FGD14:FGG14"/>
    <mergeCell ref="FGH14:FGK14"/>
    <mergeCell ref="FGL14:FGO14"/>
    <mergeCell ref="FKH14:FKK14"/>
    <mergeCell ref="FKL14:FKO14"/>
    <mergeCell ref="FKP14:FKS14"/>
    <mergeCell ref="FKT14:FKW14"/>
    <mergeCell ref="FKX14:FLA14"/>
    <mergeCell ref="FLB14:FLE14"/>
    <mergeCell ref="FJJ14:FJM14"/>
    <mergeCell ref="FJN14:FJQ14"/>
    <mergeCell ref="FJR14:FJU14"/>
    <mergeCell ref="FJV14:FJY14"/>
    <mergeCell ref="FJZ14:FKC14"/>
    <mergeCell ref="FKD14:FKG14"/>
    <mergeCell ref="FIL14:FIO14"/>
    <mergeCell ref="FIP14:FIS14"/>
    <mergeCell ref="FIT14:FIW14"/>
    <mergeCell ref="FIX14:FJA14"/>
    <mergeCell ref="FJB14:FJE14"/>
    <mergeCell ref="FJF14:FJI14"/>
    <mergeCell ref="FNB14:FNE14"/>
    <mergeCell ref="FNF14:FNI14"/>
    <mergeCell ref="FNJ14:FNM14"/>
    <mergeCell ref="FNN14:FNQ14"/>
    <mergeCell ref="FNR14:FNU14"/>
    <mergeCell ref="FNV14:FNY14"/>
    <mergeCell ref="FMD14:FMG14"/>
    <mergeCell ref="FMH14:FMK14"/>
    <mergeCell ref="FML14:FMO14"/>
    <mergeCell ref="FMP14:FMS14"/>
    <mergeCell ref="FMT14:FMW14"/>
    <mergeCell ref="FMX14:FNA14"/>
    <mergeCell ref="FLF14:FLI14"/>
    <mergeCell ref="FLJ14:FLM14"/>
    <mergeCell ref="FLN14:FLQ14"/>
    <mergeCell ref="FLR14:FLU14"/>
    <mergeCell ref="FLV14:FLY14"/>
    <mergeCell ref="FLZ14:FMC14"/>
    <mergeCell ref="FPV14:FPY14"/>
    <mergeCell ref="FPZ14:FQC14"/>
    <mergeCell ref="FQD14:FQG14"/>
    <mergeCell ref="FQH14:FQK14"/>
    <mergeCell ref="FQL14:FQO14"/>
    <mergeCell ref="FQP14:FQS14"/>
    <mergeCell ref="FOX14:FPA14"/>
    <mergeCell ref="FPB14:FPE14"/>
    <mergeCell ref="FPF14:FPI14"/>
    <mergeCell ref="FPJ14:FPM14"/>
    <mergeCell ref="FPN14:FPQ14"/>
    <mergeCell ref="FPR14:FPU14"/>
    <mergeCell ref="FNZ14:FOC14"/>
    <mergeCell ref="FOD14:FOG14"/>
    <mergeCell ref="FOH14:FOK14"/>
    <mergeCell ref="FOL14:FOO14"/>
    <mergeCell ref="FOP14:FOS14"/>
    <mergeCell ref="FOT14:FOW14"/>
    <mergeCell ref="FSP14:FSS14"/>
    <mergeCell ref="FST14:FSW14"/>
    <mergeCell ref="FSX14:FTA14"/>
    <mergeCell ref="FTB14:FTE14"/>
    <mergeCell ref="FTF14:FTI14"/>
    <mergeCell ref="FTJ14:FTM14"/>
    <mergeCell ref="FRR14:FRU14"/>
    <mergeCell ref="FRV14:FRY14"/>
    <mergeCell ref="FRZ14:FSC14"/>
    <mergeCell ref="FSD14:FSG14"/>
    <mergeCell ref="FSH14:FSK14"/>
    <mergeCell ref="FSL14:FSO14"/>
    <mergeCell ref="FQT14:FQW14"/>
    <mergeCell ref="FQX14:FRA14"/>
    <mergeCell ref="FRB14:FRE14"/>
    <mergeCell ref="FRF14:FRI14"/>
    <mergeCell ref="FRJ14:FRM14"/>
    <mergeCell ref="FRN14:FRQ14"/>
    <mergeCell ref="FVJ14:FVM14"/>
    <mergeCell ref="FVN14:FVQ14"/>
    <mergeCell ref="FVR14:FVU14"/>
    <mergeCell ref="FVV14:FVY14"/>
    <mergeCell ref="FVZ14:FWC14"/>
    <mergeCell ref="FWD14:FWG14"/>
    <mergeCell ref="FUL14:FUO14"/>
    <mergeCell ref="FUP14:FUS14"/>
    <mergeCell ref="FUT14:FUW14"/>
    <mergeCell ref="FUX14:FVA14"/>
    <mergeCell ref="FVB14:FVE14"/>
    <mergeCell ref="FVF14:FVI14"/>
    <mergeCell ref="FTN14:FTQ14"/>
    <mergeCell ref="FTR14:FTU14"/>
    <mergeCell ref="FTV14:FTY14"/>
    <mergeCell ref="FTZ14:FUC14"/>
    <mergeCell ref="FUD14:FUG14"/>
    <mergeCell ref="FUH14:FUK14"/>
    <mergeCell ref="FYD14:FYG14"/>
    <mergeCell ref="FYH14:FYK14"/>
    <mergeCell ref="FYL14:FYO14"/>
    <mergeCell ref="FYP14:FYS14"/>
    <mergeCell ref="FYT14:FYW14"/>
    <mergeCell ref="FYX14:FZA14"/>
    <mergeCell ref="FXF14:FXI14"/>
    <mergeCell ref="FXJ14:FXM14"/>
    <mergeCell ref="FXN14:FXQ14"/>
    <mergeCell ref="FXR14:FXU14"/>
    <mergeCell ref="FXV14:FXY14"/>
    <mergeCell ref="FXZ14:FYC14"/>
    <mergeCell ref="FWH14:FWK14"/>
    <mergeCell ref="FWL14:FWO14"/>
    <mergeCell ref="FWP14:FWS14"/>
    <mergeCell ref="FWT14:FWW14"/>
    <mergeCell ref="FWX14:FXA14"/>
    <mergeCell ref="FXB14:FXE14"/>
    <mergeCell ref="GAX14:GBA14"/>
    <mergeCell ref="GBB14:GBE14"/>
    <mergeCell ref="GBF14:GBI14"/>
    <mergeCell ref="GBJ14:GBM14"/>
    <mergeCell ref="GBN14:GBQ14"/>
    <mergeCell ref="GBR14:GBU14"/>
    <mergeCell ref="FZZ14:GAC14"/>
    <mergeCell ref="GAD14:GAG14"/>
    <mergeCell ref="GAH14:GAK14"/>
    <mergeCell ref="GAL14:GAO14"/>
    <mergeCell ref="GAP14:GAS14"/>
    <mergeCell ref="GAT14:GAW14"/>
    <mergeCell ref="FZB14:FZE14"/>
    <mergeCell ref="FZF14:FZI14"/>
    <mergeCell ref="FZJ14:FZM14"/>
    <mergeCell ref="FZN14:FZQ14"/>
    <mergeCell ref="FZR14:FZU14"/>
    <mergeCell ref="FZV14:FZY14"/>
    <mergeCell ref="GDR14:GDU14"/>
    <mergeCell ref="GDV14:GDY14"/>
    <mergeCell ref="GDZ14:GEC14"/>
    <mergeCell ref="GED14:GEG14"/>
    <mergeCell ref="GEH14:GEK14"/>
    <mergeCell ref="GEL14:GEO14"/>
    <mergeCell ref="GCT14:GCW14"/>
    <mergeCell ref="GCX14:GDA14"/>
    <mergeCell ref="GDB14:GDE14"/>
    <mergeCell ref="GDF14:GDI14"/>
    <mergeCell ref="GDJ14:GDM14"/>
    <mergeCell ref="GDN14:GDQ14"/>
    <mergeCell ref="GBV14:GBY14"/>
    <mergeCell ref="GBZ14:GCC14"/>
    <mergeCell ref="GCD14:GCG14"/>
    <mergeCell ref="GCH14:GCK14"/>
    <mergeCell ref="GCL14:GCO14"/>
    <mergeCell ref="GCP14:GCS14"/>
    <mergeCell ref="GGL14:GGO14"/>
    <mergeCell ref="GGP14:GGS14"/>
    <mergeCell ref="GGT14:GGW14"/>
    <mergeCell ref="GGX14:GHA14"/>
    <mergeCell ref="GHB14:GHE14"/>
    <mergeCell ref="GHF14:GHI14"/>
    <mergeCell ref="GFN14:GFQ14"/>
    <mergeCell ref="GFR14:GFU14"/>
    <mergeCell ref="GFV14:GFY14"/>
    <mergeCell ref="GFZ14:GGC14"/>
    <mergeCell ref="GGD14:GGG14"/>
    <mergeCell ref="GGH14:GGK14"/>
    <mergeCell ref="GEP14:GES14"/>
    <mergeCell ref="GET14:GEW14"/>
    <mergeCell ref="GEX14:GFA14"/>
    <mergeCell ref="GFB14:GFE14"/>
    <mergeCell ref="GFF14:GFI14"/>
    <mergeCell ref="GFJ14:GFM14"/>
    <mergeCell ref="GJF14:GJI14"/>
    <mergeCell ref="GJJ14:GJM14"/>
    <mergeCell ref="GJN14:GJQ14"/>
    <mergeCell ref="GJR14:GJU14"/>
    <mergeCell ref="GJV14:GJY14"/>
    <mergeCell ref="GJZ14:GKC14"/>
    <mergeCell ref="GIH14:GIK14"/>
    <mergeCell ref="GIL14:GIO14"/>
    <mergeCell ref="GIP14:GIS14"/>
    <mergeCell ref="GIT14:GIW14"/>
    <mergeCell ref="GIX14:GJA14"/>
    <mergeCell ref="GJB14:GJE14"/>
    <mergeCell ref="GHJ14:GHM14"/>
    <mergeCell ref="GHN14:GHQ14"/>
    <mergeCell ref="GHR14:GHU14"/>
    <mergeCell ref="GHV14:GHY14"/>
    <mergeCell ref="GHZ14:GIC14"/>
    <mergeCell ref="GID14:GIG14"/>
    <mergeCell ref="GLZ14:GMC14"/>
    <mergeCell ref="GMD14:GMG14"/>
    <mergeCell ref="GMH14:GMK14"/>
    <mergeCell ref="GML14:GMO14"/>
    <mergeCell ref="GMP14:GMS14"/>
    <mergeCell ref="GMT14:GMW14"/>
    <mergeCell ref="GLB14:GLE14"/>
    <mergeCell ref="GLF14:GLI14"/>
    <mergeCell ref="GLJ14:GLM14"/>
    <mergeCell ref="GLN14:GLQ14"/>
    <mergeCell ref="GLR14:GLU14"/>
    <mergeCell ref="GLV14:GLY14"/>
    <mergeCell ref="GKD14:GKG14"/>
    <mergeCell ref="GKH14:GKK14"/>
    <mergeCell ref="GKL14:GKO14"/>
    <mergeCell ref="GKP14:GKS14"/>
    <mergeCell ref="GKT14:GKW14"/>
    <mergeCell ref="GKX14:GLA14"/>
    <mergeCell ref="GOT14:GOW14"/>
    <mergeCell ref="GOX14:GPA14"/>
    <mergeCell ref="GPB14:GPE14"/>
    <mergeCell ref="GPF14:GPI14"/>
    <mergeCell ref="GPJ14:GPM14"/>
    <mergeCell ref="GPN14:GPQ14"/>
    <mergeCell ref="GNV14:GNY14"/>
    <mergeCell ref="GNZ14:GOC14"/>
    <mergeCell ref="GOD14:GOG14"/>
    <mergeCell ref="GOH14:GOK14"/>
    <mergeCell ref="GOL14:GOO14"/>
    <mergeCell ref="GOP14:GOS14"/>
    <mergeCell ref="GMX14:GNA14"/>
    <mergeCell ref="GNB14:GNE14"/>
    <mergeCell ref="GNF14:GNI14"/>
    <mergeCell ref="GNJ14:GNM14"/>
    <mergeCell ref="GNN14:GNQ14"/>
    <mergeCell ref="GNR14:GNU14"/>
    <mergeCell ref="GRN14:GRQ14"/>
    <mergeCell ref="GRR14:GRU14"/>
    <mergeCell ref="GRV14:GRY14"/>
    <mergeCell ref="GRZ14:GSC14"/>
    <mergeCell ref="GSD14:GSG14"/>
    <mergeCell ref="GSH14:GSK14"/>
    <mergeCell ref="GQP14:GQS14"/>
    <mergeCell ref="GQT14:GQW14"/>
    <mergeCell ref="GQX14:GRA14"/>
    <mergeCell ref="GRB14:GRE14"/>
    <mergeCell ref="GRF14:GRI14"/>
    <mergeCell ref="GRJ14:GRM14"/>
    <mergeCell ref="GPR14:GPU14"/>
    <mergeCell ref="GPV14:GPY14"/>
    <mergeCell ref="GPZ14:GQC14"/>
    <mergeCell ref="GQD14:GQG14"/>
    <mergeCell ref="GQH14:GQK14"/>
    <mergeCell ref="GQL14:GQO14"/>
    <mergeCell ref="GUH14:GUK14"/>
    <mergeCell ref="GUL14:GUO14"/>
    <mergeCell ref="GUP14:GUS14"/>
    <mergeCell ref="GUT14:GUW14"/>
    <mergeCell ref="GUX14:GVA14"/>
    <mergeCell ref="GVB14:GVE14"/>
    <mergeCell ref="GTJ14:GTM14"/>
    <mergeCell ref="GTN14:GTQ14"/>
    <mergeCell ref="GTR14:GTU14"/>
    <mergeCell ref="GTV14:GTY14"/>
    <mergeCell ref="GTZ14:GUC14"/>
    <mergeCell ref="GUD14:GUG14"/>
    <mergeCell ref="GSL14:GSO14"/>
    <mergeCell ref="GSP14:GSS14"/>
    <mergeCell ref="GST14:GSW14"/>
    <mergeCell ref="GSX14:GTA14"/>
    <mergeCell ref="GTB14:GTE14"/>
    <mergeCell ref="GTF14:GTI14"/>
    <mergeCell ref="GXB14:GXE14"/>
    <mergeCell ref="GXF14:GXI14"/>
    <mergeCell ref="GXJ14:GXM14"/>
    <mergeCell ref="GXN14:GXQ14"/>
    <mergeCell ref="GXR14:GXU14"/>
    <mergeCell ref="GXV14:GXY14"/>
    <mergeCell ref="GWD14:GWG14"/>
    <mergeCell ref="GWH14:GWK14"/>
    <mergeCell ref="GWL14:GWO14"/>
    <mergeCell ref="GWP14:GWS14"/>
    <mergeCell ref="GWT14:GWW14"/>
    <mergeCell ref="GWX14:GXA14"/>
    <mergeCell ref="GVF14:GVI14"/>
    <mergeCell ref="GVJ14:GVM14"/>
    <mergeCell ref="GVN14:GVQ14"/>
    <mergeCell ref="GVR14:GVU14"/>
    <mergeCell ref="GVV14:GVY14"/>
    <mergeCell ref="GVZ14:GWC14"/>
    <mergeCell ref="GZV14:GZY14"/>
    <mergeCell ref="GZZ14:HAC14"/>
    <mergeCell ref="HAD14:HAG14"/>
    <mergeCell ref="HAH14:HAK14"/>
    <mergeCell ref="HAL14:HAO14"/>
    <mergeCell ref="HAP14:HAS14"/>
    <mergeCell ref="GYX14:GZA14"/>
    <mergeCell ref="GZB14:GZE14"/>
    <mergeCell ref="GZF14:GZI14"/>
    <mergeCell ref="GZJ14:GZM14"/>
    <mergeCell ref="GZN14:GZQ14"/>
    <mergeCell ref="GZR14:GZU14"/>
    <mergeCell ref="GXZ14:GYC14"/>
    <mergeCell ref="GYD14:GYG14"/>
    <mergeCell ref="GYH14:GYK14"/>
    <mergeCell ref="GYL14:GYO14"/>
    <mergeCell ref="GYP14:GYS14"/>
    <mergeCell ref="GYT14:GYW14"/>
    <mergeCell ref="HCP14:HCS14"/>
    <mergeCell ref="HCT14:HCW14"/>
    <mergeCell ref="HCX14:HDA14"/>
    <mergeCell ref="HDB14:HDE14"/>
    <mergeCell ref="HDF14:HDI14"/>
    <mergeCell ref="HDJ14:HDM14"/>
    <mergeCell ref="HBR14:HBU14"/>
    <mergeCell ref="HBV14:HBY14"/>
    <mergeCell ref="HBZ14:HCC14"/>
    <mergeCell ref="HCD14:HCG14"/>
    <mergeCell ref="HCH14:HCK14"/>
    <mergeCell ref="HCL14:HCO14"/>
    <mergeCell ref="HAT14:HAW14"/>
    <mergeCell ref="HAX14:HBA14"/>
    <mergeCell ref="HBB14:HBE14"/>
    <mergeCell ref="HBF14:HBI14"/>
    <mergeCell ref="HBJ14:HBM14"/>
    <mergeCell ref="HBN14:HBQ14"/>
    <mergeCell ref="HFJ14:HFM14"/>
    <mergeCell ref="HFN14:HFQ14"/>
    <mergeCell ref="HFR14:HFU14"/>
    <mergeCell ref="HFV14:HFY14"/>
    <mergeCell ref="HFZ14:HGC14"/>
    <mergeCell ref="HGD14:HGG14"/>
    <mergeCell ref="HEL14:HEO14"/>
    <mergeCell ref="HEP14:HES14"/>
    <mergeCell ref="HET14:HEW14"/>
    <mergeCell ref="HEX14:HFA14"/>
    <mergeCell ref="HFB14:HFE14"/>
    <mergeCell ref="HFF14:HFI14"/>
    <mergeCell ref="HDN14:HDQ14"/>
    <mergeCell ref="HDR14:HDU14"/>
    <mergeCell ref="HDV14:HDY14"/>
    <mergeCell ref="HDZ14:HEC14"/>
    <mergeCell ref="HED14:HEG14"/>
    <mergeCell ref="HEH14:HEK14"/>
    <mergeCell ref="HID14:HIG14"/>
    <mergeCell ref="HIH14:HIK14"/>
    <mergeCell ref="HIL14:HIO14"/>
    <mergeCell ref="HIP14:HIS14"/>
    <mergeCell ref="HIT14:HIW14"/>
    <mergeCell ref="HIX14:HJA14"/>
    <mergeCell ref="HHF14:HHI14"/>
    <mergeCell ref="HHJ14:HHM14"/>
    <mergeCell ref="HHN14:HHQ14"/>
    <mergeCell ref="HHR14:HHU14"/>
    <mergeCell ref="HHV14:HHY14"/>
    <mergeCell ref="HHZ14:HIC14"/>
    <mergeCell ref="HGH14:HGK14"/>
    <mergeCell ref="HGL14:HGO14"/>
    <mergeCell ref="HGP14:HGS14"/>
    <mergeCell ref="HGT14:HGW14"/>
    <mergeCell ref="HGX14:HHA14"/>
    <mergeCell ref="HHB14:HHE14"/>
    <mergeCell ref="HKX14:HLA14"/>
    <mergeCell ref="HLB14:HLE14"/>
    <mergeCell ref="HLF14:HLI14"/>
    <mergeCell ref="HLJ14:HLM14"/>
    <mergeCell ref="HLN14:HLQ14"/>
    <mergeCell ref="HLR14:HLU14"/>
    <mergeCell ref="HJZ14:HKC14"/>
    <mergeCell ref="HKD14:HKG14"/>
    <mergeCell ref="HKH14:HKK14"/>
    <mergeCell ref="HKL14:HKO14"/>
    <mergeCell ref="HKP14:HKS14"/>
    <mergeCell ref="HKT14:HKW14"/>
    <mergeCell ref="HJB14:HJE14"/>
    <mergeCell ref="HJF14:HJI14"/>
    <mergeCell ref="HJJ14:HJM14"/>
    <mergeCell ref="HJN14:HJQ14"/>
    <mergeCell ref="HJR14:HJU14"/>
    <mergeCell ref="HJV14:HJY14"/>
    <mergeCell ref="HNR14:HNU14"/>
    <mergeCell ref="HNV14:HNY14"/>
    <mergeCell ref="HNZ14:HOC14"/>
    <mergeCell ref="HOD14:HOG14"/>
    <mergeCell ref="HOH14:HOK14"/>
    <mergeCell ref="HOL14:HOO14"/>
    <mergeCell ref="HMT14:HMW14"/>
    <mergeCell ref="HMX14:HNA14"/>
    <mergeCell ref="HNB14:HNE14"/>
    <mergeCell ref="HNF14:HNI14"/>
    <mergeCell ref="HNJ14:HNM14"/>
    <mergeCell ref="HNN14:HNQ14"/>
    <mergeCell ref="HLV14:HLY14"/>
    <mergeCell ref="HLZ14:HMC14"/>
    <mergeCell ref="HMD14:HMG14"/>
    <mergeCell ref="HMH14:HMK14"/>
    <mergeCell ref="HML14:HMO14"/>
    <mergeCell ref="HMP14:HMS14"/>
    <mergeCell ref="HQL14:HQO14"/>
    <mergeCell ref="HQP14:HQS14"/>
    <mergeCell ref="HQT14:HQW14"/>
    <mergeCell ref="HQX14:HRA14"/>
    <mergeCell ref="HRB14:HRE14"/>
    <mergeCell ref="HRF14:HRI14"/>
    <mergeCell ref="HPN14:HPQ14"/>
    <mergeCell ref="HPR14:HPU14"/>
    <mergeCell ref="HPV14:HPY14"/>
    <mergeCell ref="HPZ14:HQC14"/>
    <mergeCell ref="HQD14:HQG14"/>
    <mergeCell ref="HQH14:HQK14"/>
    <mergeCell ref="HOP14:HOS14"/>
    <mergeCell ref="HOT14:HOW14"/>
    <mergeCell ref="HOX14:HPA14"/>
    <mergeCell ref="HPB14:HPE14"/>
    <mergeCell ref="HPF14:HPI14"/>
    <mergeCell ref="HPJ14:HPM14"/>
    <mergeCell ref="HTF14:HTI14"/>
    <mergeCell ref="HTJ14:HTM14"/>
    <mergeCell ref="HTN14:HTQ14"/>
    <mergeCell ref="HTR14:HTU14"/>
    <mergeCell ref="HTV14:HTY14"/>
    <mergeCell ref="HTZ14:HUC14"/>
    <mergeCell ref="HSH14:HSK14"/>
    <mergeCell ref="HSL14:HSO14"/>
    <mergeCell ref="HSP14:HSS14"/>
    <mergeCell ref="HST14:HSW14"/>
    <mergeCell ref="HSX14:HTA14"/>
    <mergeCell ref="HTB14:HTE14"/>
    <mergeCell ref="HRJ14:HRM14"/>
    <mergeCell ref="HRN14:HRQ14"/>
    <mergeCell ref="HRR14:HRU14"/>
    <mergeCell ref="HRV14:HRY14"/>
    <mergeCell ref="HRZ14:HSC14"/>
    <mergeCell ref="HSD14:HSG14"/>
    <mergeCell ref="HVZ14:HWC14"/>
    <mergeCell ref="HWD14:HWG14"/>
    <mergeCell ref="HWH14:HWK14"/>
    <mergeCell ref="HWL14:HWO14"/>
    <mergeCell ref="HWP14:HWS14"/>
    <mergeCell ref="HWT14:HWW14"/>
    <mergeCell ref="HVB14:HVE14"/>
    <mergeCell ref="HVF14:HVI14"/>
    <mergeCell ref="HVJ14:HVM14"/>
    <mergeCell ref="HVN14:HVQ14"/>
    <mergeCell ref="HVR14:HVU14"/>
    <mergeCell ref="HVV14:HVY14"/>
    <mergeCell ref="HUD14:HUG14"/>
    <mergeCell ref="HUH14:HUK14"/>
    <mergeCell ref="HUL14:HUO14"/>
    <mergeCell ref="HUP14:HUS14"/>
    <mergeCell ref="HUT14:HUW14"/>
    <mergeCell ref="HUX14:HVA14"/>
    <mergeCell ref="HYT14:HYW14"/>
    <mergeCell ref="HYX14:HZA14"/>
    <mergeCell ref="HZB14:HZE14"/>
    <mergeCell ref="HZF14:HZI14"/>
    <mergeCell ref="HZJ14:HZM14"/>
    <mergeCell ref="HZN14:HZQ14"/>
    <mergeCell ref="HXV14:HXY14"/>
    <mergeCell ref="HXZ14:HYC14"/>
    <mergeCell ref="HYD14:HYG14"/>
    <mergeCell ref="HYH14:HYK14"/>
    <mergeCell ref="HYL14:HYO14"/>
    <mergeCell ref="HYP14:HYS14"/>
    <mergeCell ref="HWX14:HXA14"/>
    <mergeCell ref="HXB14:HXE14"/>
    <mergeCell ref="HXF14:HXI14"/>
    <mergeCell ref="HXJ14:HXM14"/>
    <mergeCell ref="HXN14:HXQ14"/>
    <mergeCell ref="HXR14:HXU14"/>
    <mergeCell ref="IBN14:IBQ14"/>
    <mergeCell ref="IBR14:IBU14"/>
    <mergeCell ref="IBV14:IBY14"/>
    <mergeCell ref="IBZ14:ICC14"/>
    <mergeCell ref="ICD14:ICG14"/>
    <mergeCell ref="ICH14:ICK14"/>
    <mergeCell ref="IAP14:IAS14"/>
    <mergeCell ref="IAT14:IAW14"/>
    <mergeCell ref="IAX14:IBA14"/>
    <mergeCell ref="IBB14:IBE14"/>
    <mergeCell ref="IBF14:IBI14"/>
    <mergeCell ref="IBJ14:IBM14"/>
    <mergeCell ref="HZR14:HZU14"/>
    <mergeCell ref="HZV14:HZY14"/>
    <mergeCell ref="HZZ14:IAC14"/>
    <mergeCell ref="IAD14:IAG14"/>
    <mergeCell ref="IAH14:IAK14"/>
    <mergeCell ref="IAL14:IAO14"/>
    <mergeCell ref="IEH14:IEK14"/>
    <mergeCell ref="IEL14:IEO14"/>
    <mergeCell ref="IEP14:IES14"/>
    <mergeCell ref="IET14:IEW14"/>
    <mergeCell ref="IEX14:IFA14"/>
    <mergeCell ref="IFB14:IFE14"/>
    <mergeCell ref="IDJ14:IDM14"/>
    <mergeCell ref="IDN14:IDQ14"/>
    <mergeCell ref="IDR14:IDU14"/>
    <mergeCell ref="IDV14:IDY14"/>
    <mergeCell ref="IDZ14:IEC14"/>
    <mergeCell ref="IED14:IEG14"/>
    <mergeCell ref="ICL14:ICO14"/>
    <mergeCell ref="ICP14:ICS14"/>
    <mergeCell ref="ICT14:ICW14"/>
    <mergeCell ref="ICX14:IDA14"/>
    <mergeCell ref="IDB14:IDE14"/>
    <mergeCell ref="IDF14:IDI14"/>
    <mergeCell ref="IHB14:IHE14"/>
    <mergeCell ref="IHF14:IHI14"/>
    <mergeCell ref="IHJ14:IHM14"/>
    <mergeCell ref="IHN14:IHQ14"/>
    <mergeCell ref="IHR14:IHU14"/>
    <mergeCell ref="IHV14:IHY14"/>
    <mergeCell ref="IGD14:IGG14"/>
    <mergeCell ref="IGH14:IGK14"/>
    <mergeCell ref="IGL14:IGO14"/>
    <mergeCell ref="IGP14:IGS14"/>
    <mergeCell ref="IGT14:IGW14"/>
    <mergeCell ref="IGX14:IHA14"/>
    <mergeCell ref="IFF14:IFI14"/>
    <mergeCell ref="IFJ14:IFM14"/>
    <mergeCell ref="IFN14:IFQ14"/>
    <mergeCell ref="IFR14:IFU14"/>
    <mergeCell ref="IFV14:IFY14"/>
    <mergeCell ref="IFZ14:IGC14"/>
    <mergeCell ref="IJV14:IJY14"/>
    <mergeCell ref="IJZ14:IKC14"/>
    <mergeCell ref="IKD14:IKG14"/>
    <mergeCell ref="IKH14:IKK14"/>
    <mergeCell ref="IKL14:IKO14"/>
    <mergeCell ref="IKP14:IKS14"/>
    <mergeCell ref="IIX14:IJA14"/>
    <mergeCell ref="IJB14:IJE14"/>
    <mergeCell ref="IJF14:IJI14"/>
    <mergeCell ref="IJJ14:IJM14"/>
    <mergeCell ref="IJN14:IJQ14"/>
    <mergeCell ref="IJR14:IJU14"/>
    <mergeCell ref="IHZ14:IIC14"/>
    <mergeCell ref="IID14:IIG14"/>
    <mergeCell ref="IIH14:IIK14"/>
    <mergeCell ref="IIL14:IIO14"/>
    <mergeCell ref="IIP14:IIS14"/>
    <mergeCell ref="IIT14:IIW14"/>
    <mergeCell ref="IMP14:IMS14"/>
    <mergeCell ref="IMT14:IMW14"/>
    <mergeCell ref="IMX14:INA14"/>
    <mergeCell ref="INB14:INE14"/>
    <mergeCell ref="INF14:INI14"/>
    <mergeCell ref="INJ14:INM14"/>
    <mergeCell ref="ILR14:ILU14"/>
    <mergeCell ref="ILV14:ILY14"/>
    <mergeCell ref="ILZ14:IMC14"/>
    <mergeCell ref="IMD14:IMG14"/>
    <mergeCell ref="IMH14:IMK14"/>
    <mergeCell ref="IML14:IMO14"/>
    <mergeCell ref="IKT14:IKW14"/>
    <mergeCell ref="IKX14:ILA14"/>
    <mergeCell ref="ILB14:ILE14"/>
    <mergeCell ref="ILF14:ILI14"/>
    <mergeCell ref="ILJ14:ILM14"/>
    <mergeCell ref="ILN14:ILQ14"/>
    <mergeCell ref="IPJ14:IPM14"/>
    <mergeCell ref="IPN14:IPQ14"/>
    <mergeCell ref="IPR14:IPU14"/>
    <mergeCell ref="IPV14:IPY14"/>
    <mergeCell ref="IPZ14:IQC14"/>
    <mergeCell ref="IQD14:IQG14"/>
    <mergeCell ref="IOL14:IOO14"/>
    <mergeCell ref="IOP14:IOS14"/>
    <mergeCell ref="IOT14:IOW14"/>
    <mergeCell ref="IOX14:IPA14"/>
    <mergeCell ref="IPB14:IPE14"/>
    <mergeCell ref="IPF14:IPI14"/>
    <mergeCell ref="INN14:INQ14"/>
    <mergeCell ref="INR14:INU14"/>
    <mergeCell ref="INV14:INY14"/>
    <mergeCell ref="INZ14:IOC14"/>
    <mergeCell ref="IOD14:IOG14"/>
    <mergeCell ref="IOH14:IOK14"/>
    <mergeCell ref="ISD14:ISG14"/>
    <mergeCell ref="ISH14:ISK14"/>
    <mergeCell ref="ISL14:ISO14"/>
    <mergeCell ref="ISP14:ISS14"/>
    <mergeCell ref="IST14:ISW14"/>
    <mergeCell ref="ISX14:ITA14"/>
    <mergeCell ref="IRF14:IRI14"/>
    <mergeCell ref="IRJ14:IRM14"/>
    <mergeCell ref="IRN14:IRQ14"/>
    <mergeCell ref="IRR14:IRU14"/>
    <mergeCell ref="IRV14:IRY14"/>
    <mergeCell ref="IRZ14:ISC14"/>
    <mergeCell ref="IQH14:IQK14"/>
    <mergeCell ref="IQL14:IQO14"/>
    <mergeCell ref="IQP14:IQS14"/>
    <mergeCell ref="IQT14:IQW14"/>
    <mergeCell ref="IQX14:IRA14"/>
    <mergeCell ref="IRB14:IRE14"/>
    <mergeCell ref="IUX14:IVA14"/>
    <mergeCell ref="IVB14:IVE14"/>
    <mergeCell ref="IVF14:IVI14"/>
    <mergeCell ref="IVJ14:IVM14"/>
    <mergeCell ref="IVN14:IVQ14"/>
    <mergeCell ref="IVR14:IVU14"/>
    <mergeCell ref="ITZ14:IUC14"/>
    <mergeCell ref="IUD14:IUG14"/>
    <mergeCell ref="IUH14:IUK14"/>
    <mergeCell ref="IUL14:IUO14"/>
    <mergeCell ref="IUP14:IUS14"/>
    <mergeCell ref="IUT14:IUW14"/>
    <mergeCell ref="ITB14:ITE14"/>
    <mergeCell ref="ITF14:ITI14"/>
    <mergeCell ref="ITJ14:ITM14"/>
    <mergeCell ref="ITN14:ITQ14"/>
    <mergeCell ref="ITR14:ITU14"/>
    <mergeCell ref="ITV14:ITY14"/>
    <mergeCell ref="IXR14:IXU14"/>
    <mergeCell ref="IXV14:IXY14"/>
    <mergeCell ref="IXZ14:IYC14"/>
    <mergeCell ref="IYD14:IYG14"/>
    <mergeCell ref="IYH14:IYK14"/>
    <mergeCell ref="IYL14:IYO14"/>
    <mergeCell ref="IWT14:IWW14"/>
    <mergeCell ref="IWX14:IXA14"/>
    <mergeCell ref="IXB14:IXE14"/>
    <mergeCell ref="IXF14:IXI14"/>
    <mergeCell ref="IXJ14:IXM14"/>
    <mergeCell ref="IXN14:IXQ14"/>
    <mergeCell ref="IVV14:IVY14"/>
    <mergeCell ref="IVZ14:IWC14"/>
    <mergeCell ref="IWD14:IWG14"/>
    <mergeCell ref="IWH14:IWK14"/>
    <mergeCell ref="IWL14:IWO14"/>
    <mergeCell ref="IWP14:IWS14"/>
    <mergeCell ref="JAL14:JAO14"/>
    <mergeCell ref="JAP14:JAS14"/>
    <mergeCell ref="JAT14:JAW14"/>
    <mergeCell ref="JAX14:JBA14"/>
    <mergeCell ref="JBB14:JBE14"/>
    <mergeCell ref="JBF14:JBI14"/>
    <mergeCell ref="IZN14:IZQ14"/>
    <mergeCell ref="IZR14:IZU14"/>
    <mergeCell ref="IZV14:IZY14"/>
    <mergeCell ref="IZZ14:JAC14"/>
    <mergeCell ref="JAD14:JAG14"/>
    <mergeCell ref="JAH14:JAK14"/>
    <mergeCell ref="IYP14:IYS14"/>
    <mergeCell ref="IYT14:IYW14"/>
    <mergeCell ref="IYX14:IZA14"/>
    <mergeCell ref="IZB14:IZE14"/>
    <mergeCell ref="IZF14:IZI14"/>
    <mergeCell ref="IZJ14:IZM14"/>
    <mergeCell ref="JDF14:JDI14"/>
    <mergeCell ref="JDJ14:JDM14"/>
    <mergeCell ref="JDN14:JDQ14"/>
    <mergeCell ref="JDR14:JDU14"/>
    <mergeCell ref="JDV14:JDY14"/>
    <mergeCell ref="JDZ14:JEC14"/>
    <mergeCell ref="JCH14:JCK14"/>
    <mergeCell ref="JCL14:JCO14"/>
    <mergeCell ref="JCP14:JCS14"/>
    <mergeCell ref="JCT14:JCW14"/>
    <mergeCell ref="JCX14:JDA14"/>
    <mergeCell ref="JDB14:JDE14"/>
    <mergeCell ref="JBJ14:JBM14"/>
    <mergeCell ref="JBN14:JBQ14"/>
    <mergeCell ref="JBR14:JBU14"/>
    <mergeCell ref="JBV14:JBY14"/>
    <mergeCell ref="JBZ14:JCC14"/>
    <mergeCell ref="JCD14:JCG14"/>
    <mergeCell ref="JFZ14:JGC14"/>
    <mergeCell ref="JGD14:JGG14"/>
    <mergeCell ref="JGH14:JGK14"/>
    <mergeCell ref="JGL14:JGO14"/>
    <mergeCell ref="JGP14:JGS14"/>
    <mergeCell ref="JGT14:JGW14"/>
    <mergeCell ref="JFB14:JFE14"/>
    <mergeCell ref="JFF14:JFI14"/>
    <mergeCell ref="JFJ14:JFM14"/>
    <mergeCell ref="JFN14:JFQ14"/>
    <mergeCell ref="JFR14:JFU14"/>
    <mergeCell ref="JFV14:JFY14"/>
    <mergeCell ref="JED14:JEG14"/>
    <mergeCell ref="JEH14:JEK14"/>
    <mergeCell ref="JEL14:JEO14"/>
    <mergeCell ref="JEP14:JES14"/>
    <mergeCell ref="JET14:JEW14"/>
    <mergeCell ref="JEX14:JFA14"/>
    <mergeCell ref="JIT14:JIW14"/>
    <mergeCell ref="JIX14:JJA14"/>
    <mergeCell ref="JJB14:JJE14"/>
    <mergeCell ref="JJF14:JJI14"/>
    <mergeCell ref="JJJ14:JJM14"/>
    <mergeCell ref="JJN14:JJQ14"/>
    <mergeCell ref="JHV14:JHY14"/>
    <mergeCell ref="JHZ14:JIC14"/>
    <mergeCell ref="JID14:JIG14"/>
    <mergeCell ref="JIH14:JIK14"/>
    <mergeCell ref="JIL14:JIO14"/>
    <mergeCell ref="JIP14:JIS14"/>
    <mergeCell ref="JGX14:JHA14"/>
    <mergeCell ref="JHB14:JHE14"/>
    <mergeCell ref="JHF14:JHI14"/>
    <mergeCell ref="JHJ14:JHM14"/>
    <mergeCell ref="JHN14:JHQ14"/>
    <mergeCell ref="JHR14:JHU14"/>
    <mergeCell ref="JLN14:JLQ14"/>
    <mergeCell ref="JLR14:JLU14"/>
    <mergeCell ref="JLV14:JLY14"/>
    <mergeCell ref="JLZ14:JMC14"/>
    <mergeCell ref="JMD14:JMG14"/>
    <mergeCell ref="JMH14:JMK14"/>
    <mergeCell ref="JKP14:JKS14"/>
    <mergeCell ref="JKT14:JKW14"/>
    <mergeCell ref="JKX14:JLA14"/>
    <mergeCell ref="JLB14:JLE14"/>
    <mergeCell ref="JLF14:JLI14"/>
    <mergeCell ref="JLJ14:JLM14"/>
    <mergeCell ref="JJR14:JJU14"/>
    <mergeCell ref="JJV14:JJY14"/>
    <mergeCell ref="JJZ14:JKC14"/>
    <mergeCell ref="JKD14:JKG14"/>
    <mergeCell ref="JKH14:JKK14"/>
    <mergeCell ref="JKL14:JKO14"/>
    <mergeCell ref="JOH14:JOK14"/>
    <mergeCell ref="JOL14:JOO14"/>
    <mergeCell ref="JOP14:JOS14"/>
    <mergeCell ref="JOT14:JOW14"/>
    <mergeCell ref="JOX14:JPA14"/>
    <mergeCell ref="JPB14:JPE14"/>
    <mergeCell ref="JNJ14:JNM14"/>
    <mergeCell ref="JNN14:JNQ14"/>
    <mergeCell ref="JNR14:JNU14"/>
    <mergeCell ref="JNV14:JNY14"/>
    <mergeCell ref="JNZ14:JOC14"/>
    <mergeCell ref="JOD14:JOG14"/>
    <mergeCell ref="JML14:JMO14"/>
    <mergeCell ref="JMP14:JMS14"/>
    <mergeCell ref="JMT14:JMW14"/>
    <mergeCell ref="JMX14:JNA14"/>
    <mergeCell ref="JNB14:JNE14"/>
    <mergeCell ref="JNF14:JNI14"/>
    <mergeCell ref="JRB14:JRE14"/>
    <mergeCell ref="JRF14:JRI14"/>
    <mergeCell ref="JRJ14:JRM14"/>
    <mergeCell ref="JRN14:JRQ14"/>
    <mergeCell ref="JRR14:JRU14"/>
    <mergeCell ref="JRV14:JRY14"/>
    <mergeCell ref="JQD14:JQG14"/>
    <mergeCell ref="JQH14:JQK14"/>
    <mergeCell ref="JQL14:JQO14"/>
    <mergeCell ref="JQP14:JQS14"/>
    <mergeCell ref="JQT14:JQW14"/>
    <mergeCell ref="JQX14:JRA14"/>
    <mergeCell ref="JPF14:JPI14"/>
    <mergeCell ref="JPJ14:JPM14"/>
    <mergeCell ref="JPN14:JPQ14"/>
    <mergeCell ref="JPR14:JPU14"/>
    <mergeCell ref="JPV14:JPY14"/>
    <mergeCell ref="JPZ14:JQC14"/>
    <mergeCell ref="JTV14:JTY14"/>
    <mergeCell ref="JTZ14:JUC14"/>
    <mergeCell ref="JUD14:JUG14"/>
    <mergeCell ref="JUH14:JUK14"/>
    <mergeCell ref="JUL14:JUO14"/>
    <mergeCell ref="JUP14:JUS14"/>
    <mergeCell ref="JSX14:JTA14"/>
    <mergeCell ref="JTB14:JTE14"/>
    <mergeCell ref="JTF14:JTI14"/>
    <mergeCell ref="JTJ14:JTM14"/>
    <mergeCell ref="JTN14:JTQ14"/>
    <mergeCell ref="JTR14:JTU14"/>
    <mergeCell ref="JRZ14:JSC14"/>
    <mergeCell ref="JSD14:JSG14"/>
    <mergeCell ref="JSH14:JSK14"/>
    <mergeCell ref="JSL14:JSO14"/>
    <mergeCell ref="JSP14:JSS14"/>
    <mergeCell ref="JST14:JSW14"/>
    <mergeCell ref="JWP14:JWS14"/>
    <mergeCell ref="JWT14:JWW14"/>
    <mergeCell ref="JWX14:JXA14"/>
    <mergeCell ref="JXB14:JXE14"/>
    <mergeCell ref="JXF14:JXI14"/>
    <mergeCell ref="JXJ14:JXM14"/>
    <mergeCell ref="JVR14:JVU14"/>
    <mergeCell ref="JVV14:JVY14"/>
    <mergeCell ref="JVZ14:JWC14"/>
    <mergeCell ref="JWD14:JWG14"/>
    <mergeCell ref="JWH14:JWK14"/>
    <mergeCell ref="JWL14:JWO14"/>
    <mergeCell ref="JUT14:JUW14"/>
    <mergeCell ref="JUX14:JVA14"/>
    <mergeCell ref="JVB14:JVE14"/>
    <mergeCell ref="JVF14:JVI14"/>
    <mergeCell ref="JVJ14:JVM14"/>
    <mergeCell ref="JVN14:JVQ14"/>
    <mergeCell ref="JZJ14:JZM14"/>
    <mergeCell ref="JZN14:JZQ14"/>
    <mergeCell ref="JZR14:JZU14"/>
    <mergeCell ref="JZV14:JZY14"/>
    <mergeCell ref="JZZ14:KAC14"/>
    <mergeCell ref="KAD14:KAG14"/>
    <mergeCell ref="JYL14:JYO14"/>
    <mergeCell ref="JYP14:JYS14"/>
    <mergeCell ref="JYT14:JYW14"/>
    <mergeCell ref="JYX14:JZA14"/>
    <mergeCell ref="JZB14:JZE14"/>
    <mergeCell ref="JZF14:JZI14"/>
    <mergeCell ref="JXN14:JXQ14"/>
    <mergeCell ref="JXR14:JXU14"/>
    <mergeCell ref="JXV14:JXY14"/>
    <mergeCell ref="JXZ14:JYC14"/>
    <mergeCell ref="JYD14:JYG14"/>
    <mergeCell ref="JYH14:JYK14"/>
    <mergeCell ref="KCD14:KCG14"/>
    <mergeCell ref="KCH14:KCK14"/>
    <mergeCell ref="KCL14:KCO14"/>
    <mergeCell ref="KCP14:KCS14"/>
    <mergeCell ref="KCT14:KCW14"/>
    <mergeCell ref="KCX14:KDA14"/>
    <mergeCell ref="KBF14:KBI14"/>
    <mergeCell ref="KBJ14:KBM14"/>
    <mergeCell ref="KBN14:KBQ14"/>
    <mergeCell ref="KBR14:KBU14"/>
    <mergeCell ref="KBV14:KBY14"/>
    <mergeCell ref="KBZ14:KCC14"/>
    <mergeCell ref="KAH14:KAK14"/>
    <mergeCell ref="KAL14:KAO14"/>
    <mergeCell ref="KAP14:KAS14"/>
    <mergeCell ref="KAT14:KAW14"/>
    <mergeCell ref="KAX14:KBA14"/>
    <mergeCell ref="KBB14:KBE14"/>
    <mergeCell ref="KEX14:KFA14"/>
    <mergeCell ref="KFB14:KFE14"/>
    <mergeCell ref="KFF14:KFI14"/>
    <mergeCell ref="KFJ14:KFM14"/>
    <mergeCell ref="KFN14:KFQ14"/>
    <mergeCell ref="KFR14:KFU14"/>
    <mergeCell ref="KDZ14:KEC14"/>
    <mergeCell ref="KED14:KEG14"/>
    <mergeCell ref="KEH14:KEK14"/>
    <mergeCell ref="KEL14:KEO14"/>
    <mergeCell ref="KEP14:KES14"/>
    <mergeCell ref="KET14:KEW14"/>
    <mergeCell ref="KDB14:KDE14"/>
    <mergeCell ref="KDF14:KDI14"/>
    <mergeCell ref="KDJ14:KDM14"/>
    <mergeCell ref="KDN14:KDQ14"/>
    <mergeCell ref="KDR14:KDU14"/>
    <mergeCell ref="KDV14:KDY14"/>
    <mergeCell ref="KHR14:KHU14"/>
    <mergeCell ref="KHV14:KHY14"/>
    <mergeCell ref="KHZ14:KIC14"/>
    <mergeCell ref="KID14:KIG14"/>
    <mergeCell ref="KIH14:KIK14"/>
    <mergeCell ref="KIL14:KIO14"/>
    <mergeCell ref="KGT14:KGW14"/>
    <mergeCell ref="KGX14:KHA14"/>
    <mergeCell ref="KHB14:KHE14"/>
    <mergeCell ref="KHF14:KHI14"/>
    <mergeCell ref="KHJ14:KHM14"/>
    <mergeCell ref="KHN14:KHQ14"/>
    <mergeCell ref="KFV14:KFY14"/>
    <mergeCell ref="KFZ14:KGC14"/>
    <mergeCell ref="KGD14:KGG14"/>
    <mergeCell ref="KGH14:KGK14"/>
    <mergeCell ref="KGL14:KGO14"/>
    <mergeCell ref="KGP14:KGS14"/>
    <mergeCell ref="KKL14:KKO14"/>
    <mergeCell ref="KKP14:KKS14"/>
    <mergeCell ref="KKT14:KKW14"/>
    <mergeCell ref="KKX14:KLA14"/>
    <mergeCell ref="KLB14:KLE14"/>
    <mergeCell ref="KLF14:KLI14"/>
    <mergeCell ref="KJN14:KJQ14"/>
    <mergeCell ref="KJR14:KJU14"/>
    <mergeCell ref="KJV14:KJY14"/>
    <mergeCell ref="KJZ14:KKC14"/>
    <mergeCell ref="KKD14:KKG14"/>
    <mergeCell ref="KKH14:KKK14"/>
    <mergeCell ref="KIP14:KIS14"/>
    <mergeCell ref="KIT14:KIW14"/>
    <mergeCell ref="KIX14:KJA14"/>
    <mergeCell ref="KJB14:KJE14"/>
    <mergeCell ref="KJF14:KJI14"/>
    <mergeCell ref="KJJ14:KJM14"/>
    <mergeCell ref="KNF14:KNI14"/>
    <mergeCell ref="KNJ14:KNM14"/>
    <mergeCell ref="KNN14:KNQ14"/>
    <mergeCell ref="KNR14:KNU14"/>
    <mergeCell ref="KNV14:KNY14"/>
    <mergeCell ref="KNZ14:KOC14"/>
    <mergeCell ref="KMH14:KMK14"/>
    <mergeCell ref="KML14:KMO14"/>
    <mergeCell ref="KMP14:KMS14"/>
    <mergeCell ref="KMT14:KMW14"/>
    <mergeCell ref="KMX14:KNA14"/>
    <mergeCell ref="KNB14:KNE14"/>
    <mergeCell ref="KLJ14:KLM14"/>
    <mergeCell ref="KLN14:KLQ14"/>
    <mergeCell ref="KLR14:KLU14"/>
    <mergeCell ref="KLV14:KLY14"/>
    <mergeCell ref="KLZ14:KMC14"/>
    <mergeCell ref="KMD14:KMG14"/>
    <mergeCell ref="KPZ14:KQC14"/>
    <mergeCell ref="KQD14:KQG14"/>
    <mergeCell ref="KQH14:KQK14"/>
    <mergeCell ref="KQL14:KQO14"/>
    <mergeCell ref="KQP14:KQS14"/>
    <mergeCell ref="KQT14:KQW14"/>
    <mergeCell ref="KPB14:KPE14"/>
    <mergeCell ref="KPF14:KPI14"/>
    <mergeCell ref="KPJ14:KPM14"/>
    <mergeCell ref="KPN14:KPQ14"/>
    <mergeCell ref="KPR14:KPU14"/>
    <mergeCell ref="KPV14:KPY14"/>
    <mergeCell ref="KOD14:KOG14"/>
    <mergeCell ref="KOH14:KOK14"/>
    <mergeCell ref="KOL14:KOO14"/>
    <mergeCell ref="KOP14:KOS14"/>
    <mergeCell ref="KOT14:KOW14"/>
    <mergeCell ref="KOX14:KPA14"/>
    <mergeCell ref="KST14:KSW14"/>
    <mergeCell ref="KSX14:KTA14"/>
    <mergeCell ref="KTB14:KTE14"/>
    <mergeCell ref="KTF14:KTI14"/>
    <mergeCell ref="KTJ14:KTM14"/>
    <mergeCell ref="KTN14:KTQ14"/>
    <mergeCell ref="KRV14:KRY14"/>
    <mergeCell ref="KRZ14:KSC14"/>
    <mergeCell ref="KSD14:KSG14"/>
    <mergeCell ref="KSH14:KSK14"/>
    <mergeCell ref="KSL14:KSO14"/>
    <mergeCell ref="KSP14:KSS14"/>
    <mergeCell ref="KQX14:KRA14"/>
    <mergeCell ref="KRB14:KRE14"/>
    <mergeCell ref="KRF14:KRI14"/>
    <mergeCell ref="KRJ14:KRM14"/>
    <mergeCell ref="KRN14:KRQ14"/>
    <mergeCell ref="KRR14:KRU14"/>
    <mergeCell ref="KVN14:KVQ14"/>
    <mergeCell ref="KVR14:KVU14"/>
    <mergeCell ref="KVV14:KVY14"/>
    <mergeCell ref="KVZ14:KWC14"/>
    <mergeCell ref="KWD14:KWG14"/>
    <mergeCell ref="KWH14:KWK14"/>
    <mergeCell ref="KUP14:KUS14"/>
    <mergeCell ref="KUT14:KUW14"/>
    <mergeCell ref="KUX14:KVA14"/>
    <mergeCell ref="KVB14:KVE14"/>
    <mergeCell ref="KVF14:KVI14"/>
    <mergeCell ref="KVJ14:KVM14"/>
    <mergeCell ref="KTR14:KTU14"/>
    <mergeCell ref="KTV14:KTY14"/>
    <mergeCell ref="KTZ14:KUC14"/>
    <mergeCell ref="KUD14:KUG14"/>
    <mergeCell ref="KUH14:KUK14"/>
    <mergeCell ref="KUL14:KUO14"/>
    <mergeCell ref="KYH14:KYK14"/>
    <mergeCell ref="KYL14:KYO14"/>
    <mergeCell ref="KYP14:KYS14"/>
    <mergeCell ref="KYT14:KYW14"/>
    <mergeCell ref="KYX14:KZA14"/>
    <mergeCell ref="KZB14:KZE14"/>
    <mergeCell ref="KXJ14:KXM14"/>
    <mergeCell ref="KXN14:KXQ14"/>
    <mergeCell ref="KXR14:KXU14"/>
    <mergeCell ref="KXV14:KXY14"/>
    <mergeCell ref="KXZ14:KYC14"/>
    <mergeCell ref="KYD14:KYG14"/>
    <mergeCell ref="KWL14:KWO14"/>
    <mergeCell ref="KWP14:KWS14"/>
    <mergeCell ref="KWT14:KWW14"/>
    <mergeCell ref="KWX14:KXA14"/>
    <mergeCell ref="KXB14:KXE14"/>
    <mergeCell ref="KXF14:KXI14"/>
    <mergeCell ref="LBB14:LBE14"/>
    <mergeCell ref="LBF14:LBI14"/>
    <mergeCell ref="LBJ14:LBM14"/>
    <mergeCell ref="LBN14:LBQ14"/>
    <mergeCell ref="LBR14:LBU14"/>
    <mergeCell ref="LBV14:LBY14"/>
    <mergeCell ref="LAD14:LAG14"/>
    <mergeCell ref="LAH14:LAK14"/>
    <mergeCell ref="LAL14:LAO14"/>
    <mergeCell ref="LAP14:LAS14"/>
    <mergeCell ref="LAT14:LAW14"/>
    <mergeCell ref="LAX14:LBA14"/>
    <mergeCell ref="KZF14:KZI14"/>
    <mergeCell ref="KZJ14:KZM14"/>
    <mergeCell ref="KZN14:KZQ14"/>
    <mergeCell ref="KZR14:KZU14"/>
    <mergeCell ref="KZV14:KZY14"/>
    <mergeCell ref="KZZ14:LAC14"/>
    <mergeCell ref="LDV14:LDY14"/>
    <mergeCell ref="LDZ14:LEC14"/>
    <mergeCell ref="LED14:LEG14"/>
    <mergeCell ref="LEH14:LEK14"/>
    <mergeCell ref="LEL14:LEO14"/>
    <mergeCell ref="LEP14:LES14"/>
    <mergeCell ref="LCX14:LDA14"/>
    <mergeCell ref="LDB14:LDE14"/>
    <mergeCell ref="LDF14:LDI14"/>
    <mergeCell ref="LDJ14:LDM14"/>
    <mergeCell ref="LDN14:LDQ14"/>
    <mergeCell ref="LDR14:LDU14"/>
    <mergeCell ref="LBZ14:LCC14"/>
    <mergeCell ref="LCD14:LCG14"/>
    <mergeCell ref="LCH14:LCK14"/>
    <mergeCell ref="LCL14:LCO14"/>
    <mergeCell ref="LCP14:LCS14"/>
    <mergeCell ref="LCT14:LCW14"/>
    <mergeCell ref="LGP14:LGS14"/>
    <mergeCell ref="LGT14:LGW14"/>
    <mergeCell ref="LGX14:LHA14"/>
    <mergeCell ref="LHB14:LHE14"/>
    <mergeCell ref="LHF14:LHI14"/>
    <mergeCell ref="LHJ14:LHM14"/>
    <mergeCell ref="LFR14:LFU14"/>
    <mergeCell ref="LFV14:LFY14"/>
    <mergeCell ref="LFZ14:LGC14"/>
    <mergeCell ref="LGD14:LGG14"/>
    <mergeCell ref="LGH14:LGK14"/>
    <mergeCell ref="LGL14:LGO14"/>
    <mergeCell ref="LET14:LEW14"/>
    <mergeCell ref="LEX14:LFA14"/>
    <mergeCell ref="LFB14:LFE14"/>
    <mergeCell ref="LFF14:LFI14"/>
    <mergeCell ref="LFJ14:LFM14"/>
    <mergeCell ref="LFN14:LFQ14"/>
    <mergeCell ref="LJJ14:LJM14"/>
    <mergeCell ref="LJN14:LJQ14"/>
    <mergeCell ref="LJR14:LJU14"/>
    <mergeCell ref="LJV14:LJY14"/>
    <mergeCell ref="LJZ14:LKC14"/>
    <mergeCell ref="LKD14:LKG14"/>
    <mergeCell ref="LIL14:LIO14"/>
    <mergeCell ref="LIP14:LIS14"/>
    <mergeCell ref="LIT14:LIW14"/>
    <mergeCell ref="LIX14:LJA14"/>
    <mergeCell ref="LJB14:LJE14"/>
    <mergeCell ref="LJF14:LJI14"/>
    <mergeCell ref="LHN14:LHQ14"/>
    <mergeCell ref="LHR14:LHU14"/>
    <mergeCell ref="LHV14:LHY14"/>
    <mergeCell ref="LHZ14:LIC14"/>
    <mergeCell ref="LID14:LIG14"/>
    <mergeCell ref="LIH14:LIK14"/>
    <mergeCell ref="LMD14:LMG14"/>
    <mergeCell ref="LMH14:LMK14"/>
    <mergeCell ref="LML14:LMO14"/>
    <mergeCell ref="LMP14:LMS14"/>
    <mergeCell ref="LMT14:LMW14"/>
    <mergeCell ref="LMX14:LNA14"/>
    <mergeCell ref="LLF14:LLI14"/>
    <mergeCell ref="LLJ14:LLM14"/>
    <mergeCell ref="LLN14:LLQ14"/>
    <mergeCell ref="LLR14:LLU14"/>
    <mergeCell ref="LLV14:LLY14"/>
    <mergeCell ref="LLZ14:LMC14"/>
    <mergeCell ref="LKH14:LKK14"/>
    <mergeCell ref="LKL14:LKO14"/>
    <mergeCell ref="LKP14:LKS14"/>
    <mergeCell ref="LKT14:LKW14"/>
    <mergeCell ref="LKX14:LLA14"/>
    <mergeCell ref="LLB14:LLE14"/>
    <mergeCell ref="LOX14:LPA14"/>
    <mergeCell ref="LPB14:LPE14"/>
    <mergeCell ref="LPF14:LPI14"/>
    <mergeCell ref="LPJ14:LPM14"/>
    <mergeCell ref="LPN14:LPQ14"/>
    <mergeCell ref="LPR14:LPU14"/>
    <mergeCell ref="LNZ14:LOC14"/>
    <mergeCell ref="LOD14:LOG14"/>
    <mergeCell ref="LOH14:LOK14"/>
    <mergeCell ref="LOL14:LOO14"/>
    <mergeCell ref="LOP14:LOS14"/>
    <mergeCell ref="LOT14:LOW14"/>
    <mergeCell ref="LNB14:LNE14"/>
    <mergeCell ref="LNF14:LNI14"/>
    <mergeCell ref="LNJ14:LNM14"/>
    <mergeCell ref="LNN14:LNQ14"/>
    <mergeCell ref="LNR14:LNU14"/>
    <mergeCell ref="LNV14:LNY14"/>
    <mergeCell ref="LRR14:LRU14"/>
    <mergeCell ref="LRV14:LRY14"/>
    <mergeCell ref="LRZ14:LSC14"/>
    <mergeCell ref="LSD14:LSG14"/>
    <mergeCell ref="LSH14:LSK14"/>
    <mergeCell ref="LSL14:LSO14"/>
    <mergeCell ref="LQT14:LQW14"/>
    <mergeCell ref="LQX14:LRA14"/>
    <mergeCell ref="LRB14:LRE14"/>
    <mergeCell ref="LRF14:LRI14"/>
    <mergeCell ref="LRJ14:LRM14"/>
    <mergeCell ref="LRN14:LRQ14"/>
    <mergeCell ref="LPV14:LPY14"/>
    <mergeCell ref="LPZ14:LQC14"/>
    <mergeCell ref="LQD14:LQG14"/>
    <mergeCell ref="LQH14:LQK14"/>
    <mergeCell ref="LQL14:LQO14"/>
    <mergeCell ref="LQP14:LQS14"/>
    <mergeCell ref="LUL14:LUO14"/>
    <mergeCell ref="LUP14:LUS14"/>
    <mergeCell ref="LUT14:LUW14"/>
    <mergeCell ref="LUX14:LVA14"/>
    <mergeCell ref="LVB14:LVE14"/>
    <mergeCell ref="LVF14:LVI14"/>
    <mergeCell ref="LTN14:LTQ14"/>
    <mergeCell ref="LTR14:LTU14"/>
    <mergeCell ref="LTV14:LTY14"/>
    <mergeCell ref="LTZ14:LUC14"/>
    <mergeCell ref="LUD14:LUG14"/>
    <mergeCell ref="LUH14:LUK14"/>
    <mergeCell ref="LSP14:LSS14"/>
    <mergeCell ref="LST14:LSW14"/>
    <mergeCell ref="LSX14:LTA14"/>
    <mergeCell ref="LTB14:LTE14"/>
    <mergeCell ref="LTF14:LTI14"/>
    <mergeCell ref="LTJ14:LTM14"/>
    <mergeCell ref="LXF14:LXI14"/>
    <mergeCell ref="LXJ14:LXM14"/>
    <mergeCell ref="LXN14:LXQ14"/>
    <mergeCell ref="LXR14:LXU14"/>
    <mergeCell ref="LXV14:LXY14"/>
    <mergeCell ref="LXZ14:LYC14"/>
    <mergeCell ref="LWH14:LWK14"/>
    <mergeCell ref="LWL14:LWO14"/>
    <mergeCell ref="LWP14:LWS14"/>
    <mergeCell ref="LWT14:LWW14"/>
    <mergeCell ref="LWX14:LXA14"/>
    <mergeCell ref="LXB14:LXE14"/>
    <mergeCell ref="LVJ14:LVM14"/>
    <mergeCell ref="LVN14:LVQ14"/>
    <mergeCell ref="LVR14:LVU14"/>
    <mergeCell ref="LVV14:LVY14"/>
    <mergeCell ref="LVZ14:LWC14"/>
    <mergeCell ref="LWD14:LWG14"/>
    <mergeCell ref="LZZ14:MAC14"/>
    <mergeCell ref="MAD14:MAG14"/>
    <mergeCell ref="MAH14:MAK14"/>
    <mergeCell ref="MAL14:MAO14"/>
    <mergeCell ref="MAP14:MAS14"/>
    <mergeCell ref="MAT14:MAW14"/>
    <mergeCell ref="LZB14:LZE14"/>
    <mergeCell ref="LZF14:LZI14"/>
    <mergeCell ref="LZJ14:LZM14"/>
    <mergeCell ref="LZN14:LZQ14"/>
    <mergeCell ref="LZR14:LZU14"/>
    <mergeCell ref="LZV14:LZY14"/>
    <mergeCell ref="LYD14:LYG14"/>
    <mergeCell ref="LYH14:LYK14"/>
    <mergeCell ref="LYL14:LYO14"/>
    <mergeCell ref="LYP14:LYS14"/>
    <mergeCell ref="LYT14:LYW14"/>
    <mergeCell ref="LYX14:LZA14"/>
    <mergeCell ref="MCT14:MCW14"/>
    <mergeCell ref="MCX14:MDA14"/>
    <mergeCell ref="MDB14:MDE14"/>
    <mergeCell ref="MDF14:MDI14"/>
    <mergeCell ref="MDJ14:MDM14"/>
    <mergeCell ref="MDN14:MDQ14"/>
    <mergeCell ref="MBV14:MBY14"/>
    <mergeCell ref="MBZ14:MCC14"/>
    <mergeCell ref="MCD14:MCG14"/>
    <mergeCell ref="MCH14:MCK14"/>
    <mergeCell ref="MCL14:MCO14"/>
    <mergeCell ref="MCP14:MCS14"/>
    <mergeCell ref="MAX14:MBA14"/>
    <mergeCell ref="MBB14:MBE14"/>
    <mergeCell ref="MBF14:MBI14"/>
    <mergeCell ref="MBJ14:MBM14"/>
    <mergeCell ref="MBN14:MBQ14"/>
    <mergeCell ref="MBR14:MBU14"/>
    <mergeCell ref="MFN14:MFQ14"/>
    <mergeCell ref="MFR14:MFU14"/>
    <mergeCell ref="MFV14:MFY14"/>
    <mergeCell ref="MFZ14:MGC14"/>
    <mergeCell ref="MGD14:MGG14"/>
    <mergeCell ref="MGH14:MGK14"/>
    <mergeCell ref="MEP14:MES14"/>
    <mergeCell ref="MET14:MEW14"/>
    <mergeCell ref="MEX14:MFA14"/>
    <mergeCell ref="MFB14:MFE14"/>
    <mergeCell ref="MFF14:MFI14"/>
    <mergeCell ref="MFJ14:MFM14"/>
    <mergeCell ref="MDR14:MDU14"/>
    <mergeCell ref="MDV14:MDY14"/>
    <mergeCell ref="MDZ14:MEC14"/>
    <mergeCell ref="MED14:MEG14"/>
    <mergeCell ref="MEH14:MEK14"/>
    <mergeCell ref="MEL14:MEO14"/>
    <mergeCell ref="MIH14:MIK14"/>
    <mergeCell ref="MIL14:MIO14"/>
    <mergeCell ref="MIP14:MIS14"/>
    <mergeCell ref="MIT14:MIW14"/>
    <mergeCell ref="MIX14:MJA14"/>
    <mergeCell ref="MJB14:MJE14"/>
    <mergeCell ref="MHJ14:MHM14"/>
    <mergeCell ref="MHN14:MHQ14"/>
    <mergeCell ref="MHR14:MHU14"/>
    <mergeCell ref="MHV14:MHY14"/>
    <mergeCell ref="MHZ14:MIC14"/>
    <mergeCell ref="MID14:MIG14"/>
    <mergeCell ref="MGL14:MGO14"/>
    <mergeCell ref="MGP14:MGS14"/>
    <mergeCell ref="MGT14:MGW14"/>
    <mergeCell ref="MGX14:MHA14"/>
    <mergeCell ref="MHB14:MHE14"/>
    <mergeCell ref="MHF14:MHI14"/>
    <mergeCell ref="MLB14:MLE14"/>
    <mergeCell ref="MLF14:MLI14"/>
    <mergeCell ref="MLJ14:MLM14"/>
    <mergeCell ref="MLN14:MLQ14"/>
    <mergeCell ref="MLR14:MLU14"/>
    <mergeCell ref="MLV14:MLY14"/>
    <mergeCell ref="MKD14:MKG14"/>
    <mergeCell ref="MKH14:MKK14"/>
    <mergeCell ref="MKL14:MKO14"/>
    <mergeCell ref="MKP14:MKS14"/>
    <mergeCell ref="MKT14:MKW14"/>
    <mergeCell ref="MKX14:MLA14"/>
    <mergeCell ref="MJF14:MJI14"/>
    <mergeCell ref="MJJ14:MJM14"/>
    <mergeCell ref="MJN14:MJQ14"/>
    <mergeCell ref="MJR14:MJU14"/>
    <mergeCell ref="MJV14:MJY14"/>
    <mergeCell ref="MJZ14:MKC14"/>
    <mergeCell ref="MNV14:MNY14"/>
    <mergeCell ref="MNZ14:MOC14"/>
    <mergeCell ref="MOD14:MOG14"/>
    <mergeCell ref="MOH14:MOK14"/>
    <mergeCell ref="MOL14:MOO14"/>
    <mergeCell ref="MOP14:MOS14"/>
    <mergeCell ref="MMX14:MNA14"/>
    <mergeCell ref="MNB14:MNE14"/>
    <mergeCell ref="MNF14:MNI14"/>
    <mergeCell ref="MNJ14:MNM14"/>
    <mergeCell ref="MNN14:MNQ14"/>
    <mergeCell ref="MNR14:MNU14"/>
    <mergeCell ref="MLZ14:MMC14"/>
    <mergeCell ref="MMD14:MMG14"/>
    <mergeCell ref="MMH14:MMK14"/>
    <mergeCell ref="MML14:MMO14"/>
    <mergeCell ref="MMP14:MMS14"/>
    <mergeCell ref="MMT14:MMW14"/>
    <mergeCell ref="MQP14:MQS14"/>
    <mergeCell ref="MQT14:MQW14"/>
    <mergeCell ref="MQX14:MRA14"/>
    <mergeCell ref="MRB14:MRE14"/>
    <mergeCell ref="MRF14:MRI14"/>
    <mergeCell ref="MRJ14:MRM14"/>
    <mergeCell ref="MPR14:MPU14"/>
    <mergeCell ref="MPV14:MPY14"/>
    <mergeCell ref="MPZ14:MQC14"/>
    <mergeCell ref="MQD14:MQG14"/>
    <mergeCell ref="MQH14:MQK14"/>
    <mergeCell ref="MQL14:MQO14"/>
    <mergeCell ref="MOT14:MOW14"/>
    <mergeCell ref="MOX14:MPA14"/>
    <mergeCell ref="MPB14:MPE14"/>
    <mergeCell ref="MPF14:MPI14"/>
    <mergeCell ref="MPJ14:MPM14"/>
    <mergeCell ref="MPN14:MPQ14"/>
    <mergeCell ref="MTJ14:MTM14"/>
    <mergeCell ref="MTN14:MTQ14"/>
    <mergeCell ref="MTR14:MTU14"/>
    <mergeCell ref="MTV14:MTY14"/>
    <mergeCell ref="MTZ14:MUC14"/>
    <mergeCell ref="MUD14:MUG14"/>
    <mergeCell ref="MSL14:MSO14"/>
    <mergeCell ref="MSP14:MSS14"/>
    <mergeCell ref="MST14:MSW14"/>
    <mergeCell ref="MSX14:MTA14"/>
    <mergeCell ref="MTB14:MTE14"/>
    <mergeCell ref="MTF14:MTI14"/>
    <mergeCell ref="MRN14:MRQ14"/>
    <mergeCell ref="MRR14:MRU14"/>
    <mergeCell ref="MRV14:MRY14"/>
    <mergeCell ref="MRZ14:MSC14"/>
    <mergeCell ref="MSD14:MSG14"/>
    <mergeCell ref="MSH14:MSK14"/>
    <mergeCell ref="MWD14:MWG14"/>
    <mergeCell ref="MWH14:MWK14"/>
    <mergeCell ref="MWL14:MWO14"/>
    <mergeCell ref="MWP14:MWS14"/>
    <mergeCell ref="MWT14:MWW14"/>
    <mergeCell ref="MWX14:MXA14"/>
    <mergeCell ref="MVF14:MVI14"/>
    <mergeCell ref="MVJ14:MVM14"/>
    <mergeCell ref="MVN14:MVQ14"/>
    <mergeCell ref="MVR14:MVU14"/>
    <mergeCell ref="MVV14:MVY14"/>
    <mergeCell ref="MVZ14:MWC14"/>
    <mergeCell ref="MUH14:MUK14"/>
    <mergeCell ref="MUL14:MUO14"/>
    <mergeCell ref="MUP14:MUS14"/>
    <mergeCell ref="MUT14:MUW14"/>
    <mergeCell ref="MUX14:MVA14"/>
    <mergeCell ref="MVB14:MVE14"/>
    <mergeCell ref="MYX14:MZA14"/>
    <mergeCell ref="MZB14:MZE14"/>
    <mergeCell ref="MZF14:MZI14"/>
    <mergeCell ref="MZJ14:MZM14"/>
    <mergeCell ref="MZN14:MZQ14"/>
    <mergeCell ref="MZR14:MZU14"/>
    <mergeCell ref="MXZ14:MYC14"/>
    <mergeCell ref="MYD14:MYG14"/>
    <mergeCell ref="MYH14:MYK14"/>
    <mergeCell ref="MYL14:MYO14"/>
    <mergeCell ref="MYP14:MYS14"/>
    <mergeCell ref="MYT14:MYW14"/>
    <mergeCell ref="MXB14:MXE14"/>
    <mergeCell ref="MXF14:MXI14"/>
    <mergeCell ref="MXJ14:MXM14"/>
    <mergeCell ref="MXN14:MXQ14"/>
    <mergeCell ref="MXR14:MXU14"/>
    <mergeCell ref="MXV14:MXY14"/>
    <mergeCell ref="NBR14:NBU14"/>
    <mergeCell ref="NBV14:NBY14"/>
    <mergeCell ref="NBZ14:NCC14"/>
    <mergeCell ref="NCD14:NCG14"/>
    <mergeCell ref="NCH14:NCK14"/>
    <mergeCell ref="NCL14:NCO14"/>
    <mergeCell ref="NAT14:NAW14"/>
    <mergeCell ref="NAX14:NBA14"/>
    <mergeCell ref="NBB14:NBE14"/>
    <mergeCell ref="NBF14:NBI14"/>
    <mergeCell ref="NBJ14:NBM14"/>
    <mergeCell ref="NBN14:NBQ14"/>
    <mergeCell ref="MZV14:MZY14"/>
    <mergeCell ref="MZZ14:NAC14"/>
    <mergeCell ref="NAD14:NAG14"/>
    <mergeCell ref="NAH14:NAK14"/>
    <mergeCell ref="NAL14:NAO14"/>
    <mergeCell ref="NAP14:NAS14"/>
    <mergeCell ref="NEL14:NEO14"/>
    <mergeCell ref="NEP14:NES14"/>
    <mergeCell ref="NET14:NEW14"/>
    <mergeCell ref="NEX14:NFA14"/>
    <mergeCell ref="NFB14:NFE14"/>
    <mergeCell ref="NFF14:NFI14"/>
    <mergeCell ref="NDN14:NDQ14"/>
    <mergeCell ref="NDR14:NDU14"/>
    <mergeCell ref="NDV14:NDY14"/>
    <mergeCell ref="NDZ14:NEC14"/>
    <mergeCell ref="NED14:NEG14"/>
    <mergeCell ref="NEH14:NEK14"/>
    <mergeCell ref="NCP14:NCS14"/>
    <mergeCell ref="NCT14:NCW14"/>
    <mergeCell ref="NCX14:NDA14"/>
    <mergeCell ref="NDB14:NDE14"/>
    <mergeCell ref="NDF14:NDI14"/>
    <mergeCell ref="NDJ14:NDM14"/>
    <mergeCell ref="NHF14:NHI14"/>
    <mergeCell ref="NHJ14:NHM14"/>
    <mergeCell ref="NHN14:NHQ14"/>
    <mergeCell ref="NHR14:NHU14"/>
    <mergeCell ref="NHV14:NHY14"/>
    <mergeCell ref="NHZ14:NIC14"/>
    <mergeCell ref="NGH14:NGK14"/>
    <mergeCell ref="NGL14:NGO14"/>
    <mergeCell ref="NGP14:NGS14"/>
    <mergeCell ref="NGT14:NGW14"/>
    <mergeCell ref="NGX14:NHA14"/>
    <mergeCell ref="NHB14:NHE14"/>
    <mergeCell ref="NFJ14:NFM14"/>
    <mergeCell ref="NFN14:NFQ14"/>
    <mergeCell ref="NFR14:NFU14"/>
    <mergeCell ref="NFV14:NFY14"/>
    <mergeCell ref="NFZ14:NGC14"/>
    <mergeCell ref="NGD14:NGG14"/>
    <mergeCell ref="NJZ14:NKC14"/>
    <mergeCell ref="NKD14:NKG14"/>
    <mergeCell ref="NKH14:NKK14"/>
    <mergeCell ref="NKL14:NKO14"/>
    <mergeCell ref="NKP14:NKS14"/>
    <mergeCell ref="NKT14:NKW14"/>
    <mergeCell ref="NJB14:NJE14"/>
    <mergeCell ref="NJF14:NJI14"/>
    <mergeCell ref="NJJ14:NJM14"/>
    <mergeCell ref="NJN14:NJQ14"/>
    <mergeCell ref="NJR14:NJU14"/>
    <mergeCell ref="NJV14:NJY14"/>
    <mergeCell ref="NID14:NIG14"/>
    <mergeCell ref="NIH14:NIK14"/>
    <mergeCell ref="NIL14:NIO14"/>
    <mergeCell ref="NIP14:NIS14"/>
    <mergeCell ref="NIT14:NIW14"/>
    <mergeCell ref="NIX14:NJA14"/>
    <mergeCell ref="NMT14:NMW14"/>
    <mergeCell ref="NMX14:NNA14"/>
    <mergeCell ref="NNB14:NNE14"/>
    <mergeCell ref="NNF14:NNI14"/>
    <mergeCell ref="NNJ14:NNM14"/>
    <mergeCell ref="NNN14:NNQ14"/>
    <mergeCell ref="NLV14:NLY14"/>
    <mergeCell ref="NLZ14:NMC14"/>
    <mergeCell ref="NMD14:NMG14"/>
    <mergeCell ref="NMH14:NMK14"/>
    <mergeCell ref="NML14:NMO14"/>
    <mergeCell ref="NMP14:NMS14"/>
    <mergeCell ref="NKX14:NLA14"/>
    <mergeCell ref="NLB14:NLE14"/>
    <mergeCell ref="NLF14:NLI14"/>
    <mergeCell ref="NLJ14:NLM14"/>
    <mergeCell ref="NLN14:NLQ14"/>
    <mergeCell ref="NLR14:NLU14"/>
    <mergeCell ref="NPN14:NPQ14"/>
    <mergeCell ref="NPR14:NPU14"/>
    <mergeCell ref="NPV14:NPY14"/>
    <mergeCell ref="NPZ14:NQC14"/>
    <mergeCell ref="NQD14:NQG14"/>
    <mergeCell ref="NQH14:NQK14"/>
    <mergeCell ref="NOP14:NOS14"/>
    <mergeCell ref="NOT14:NOW14"/>
    <mergeCell ref="NOX14:NPA14"/>
    <mergeCell ref="NPB14:NPE14"/>
    <mergeCell ref="NPF14:NPI14"/>
    <mergeCell ref="NPJ14:NPM14"/>
    <mergeCell ref="NNR14:NNU14"/>
    <mergeCell ref="NNV14:NNY14"/>
    <mergeCell ref="NNZ14:NOC14"/>
    <mergeCell ref="NOD14:NOG14"/>
    <mergeCell ref="NOH14:NOK14"/>
    <mergeCell ref="NOL14:NOO14"/>
    <mergeCell ref="NSH14:NSK14"/>
    <mergeCell ref="NSL14:NSO14"/>
    <mergeCell ref="NSP14:NSS14"/>
    <mergeCell ref="NST14:NSW14"/>
    <mergeCell ref="NSX14:NTA14"/>
    <mergeCell ref="NTB14:NTE14"/>
    <mergeCell ref="NRJ14:NRM14"/>
    <mergeCell ref="NRN14:NRQ14"/>
    <mergeCell ref="NRR14:NRU14"/>
    <mergeCell ref="NRV14:NRY14"/>
    <mergeCell ref="NRZ14:NSC14"/>
    <mergeCell ref="NSD14:NSG14"/>
    <mergeCell ref="NQL14:NQO14"/>
    <mergeCell ref="NQP14:NQS14"/>
    <mergeCell ref="NQT14:NQW14"/>
    <mergeCell ref="NQX14:NRA14"/>
    <mergeCell ref="NRB14:NRE14"/>
    <mergeCell ref="NRF14:NRI14"/>
    <mergeCell ref="NVB14:NVE14"/>
    <mergeCell ref="NVF14:NVI14"/>
    <mergeCell ref="NVJ14:NVM14"/>
    <mergeCell ref="NVN14:NVQ14"/>
    <mergeCell ref="NVR14:NVU14"/>
    <mergeCell ref="NVV14:NVY14"/>
    <mergeCell ref="NUD14:NUG14"/>
    <mergeCell ref="NUH14:NUK14"/>
    <mergeCell ref="NUL14:NUO14"/>
    <mergeCell ref="NUP14:NUS14"/>
    <mergeCell ref="NUT14:NUW14"/>
    <mergeCell ref="NUX14:NVA14"/>
    <mergeCell ref="NTF14:NTI14"/>
    <mergeCell ref="NTJ14:NTM14"/>
    <mergeCell ref="NTN14:NTQ14"/>
    <mergeCell ref="NTR14:NTU14"/>
    <mergeCell ref="NTV14:NTY14"/>
    <mergeCell ref="NTZ14:NUC14"/>
    <mergeCell ref="NXV14:NXY14"/>
    <mergeCell ref="NXZ14:NYC14"/>
    <mergeCell ref="NYD14:NYG14"/>
    <mergeCell ref="NYH14:NYK14"/>
    <mergeCell ref="NYL14:NYO14"/>
    <mergeCell ref="NYP14:NYS14"/>
    <mergeCell ref="NWX14:NXA14"/>
    <mergeCell ref="NXB14:NXE14"/>
    <mergeCell ref="NXF14:NXI14"/>
    <mergeCell ref="NXJ14:NXM14"/>
    <mergeCell ref="NXN14:NXQ14"/>
    <mergeCell ref="NXR14:NXU14"/>
    <mergeCell ref="NVZ14:NWC14"/>
    <mergeCell ref="NWD14:NWG14"/>
    <mergeCell ref="NWH14:NWK14"/>
    <mergeCell ref="NWL14:NWO14"/>
    <mergeCell ref="NWP14:NWS14"/>
    <mergeCell ref="NWT14:NWW14"/>
    <mergeCell ref="OAP14:OAS14"/>
    <mergeCell ref="OAT14:OAW14"/>
    <mergeCell ref="OAX14:OBA14"/>
    <mergeCell ref="OBB14:OBE14"/>
    <mergeCell ref="OBF14:OBI14"/>
    <mergeCell ref="OBJ14:OBM14"/>
    <mergeCell ref="NZR14:NZU14"/>
    <mergeCell ref="NZV14:NZY14"/>
    <mergeCell ref="NZZ14:OAC14"/>
    <mergeCell ref="OAD14:OAG14"/>
    <mergeCell ref="OAH14:OAK14"/>
    <mergeCell ref="OAL14:OAO14"/>
    <mergeCell ref="NYT14:NYW14"/>
    <mergeCell ref="NYX14:NZA14"/>
    <mergeCell ref="NZB14:NZE14"/>
    <mergeCell ref="NZF14:NZI14"/>
    <mergeCell ref="NZJ14:NZM14"/>
    <mergeCell ref="NZN14:NZQ14"/>
    <mergeCell ref="ODJ14:ODM14"/>
    <mergeCell ref="ODN14:ODQ14"/>
    <mergeCell ref="ODR14:ODU14"/>
    <mergeCell ref="ODV14:ODY14"/>
    <mergeCell ref="ODZ14:OEC14"/>
    <mergeCell ref="OED14:OEG14"/>
    <mergeCell ref="OCL14:OCO14"/>
    <mergeCell ref="OCP14:OCS14"/>
    <mergeCell ref="OCT14:OCW14"/>
    <mergeCell ref="OCX14:ODA14"/>
    <mergeCell ref="ODB14:ODE14"/>
    <mergeCell ref="ODF14:ODI14"/>
    <mergeCell ref="OBN14:OBQ14"/>
    <mergeCell ref="OBR14:OBU14"/>
    <mergeCell ref="OBV14:OBY14"/>
    <mergeCell ref="OBZ14:OCC14"/>
    <mergeCell ref="OCD14:OCG14"/>
    <mergeCell ref="OCH14:OCK14"/>
    <mergeCell ref="OGD14:OGG14"/>
    <mergeCell ref="OGH14:OGK14"/>
    <mergeCell ref="OGL14:OGO14"/>
    <mergeCell ref="OGP14:OGS14"/>
    <mergeCell ref="OGT14:OGW14"/>
    <mergeCell ref="OGX14:OHA14"/>
    <mergeCell ref="OFF14:OFI14"/>
    <mergeCell ref="OFJ14:OFM14"/>
    <mergeCell ref="OFN14:OFQ14"/>
    <mergeCell ref="OFR14:OFU14"/>
    <mergeCell ref="OFV14:OFY14"/>
    <mergeCell ref="OFZ14:OGC14"/>
    <mergeCell ref="OEH14:OEK14"/>
    <mergeCell ref="OEL14:OEO14"/>
    <mergeCell ref="OEP14:OES14"/>
    <mergeCell ref="OET14:OEW14"/>
    <mergeCell ref="OEX14:OFA14"/>
    <mergeCell ref="OFB14:OFE14"/>
    <mergeCell ref="OIX14:OJA14"/>
    <mergeCell ref="OJB14:OJE14"/>
    <mergeCell ref="OJF14:OJI14"/>
    <mergeCell ref="OJJ14:OJM14"/>
    <mergeCell ref="OJN14:OJQ14"/>
    <mergeCell ref="OJR14:OJU14"/>
    <mergeCell ref="OHZ14:OIC14"/>
    <mergeCell ref="OID14:OIG14"/>
    <mergeCell ref="OIH14:OIK14"/>
    <mergeCell ref="OIL14:OIO14"/>
    <mergeCell ref="OIP14:OIS14"/>
    <mergeCell ref="OIT14:OIW14"/>
    <mergeCell ref="OHB14:OHE14"/>
    <mergeCell ref="OHF14:OHI14"/>
    <mergeCell ref="OHJ14:OHM14"/>
    <mergeCell ref="OHN14:OHQ14"/>
    <mergeCell ref="OHR14:OHU14"/>
    <mergeCell ref="OHV14:OHY14"/>
    <mergeCell ref="OLR14:OLU14"/>
    <mergeCell ref="OLV14:OLY14"/>
    <mergeCell ref="OLZ14:OMC14"/>
    <mergeCell ref="OMD14:OMG14"/>
    <mergeCell ref="OMH14:OMK14"/>
    <mergeCell ref="OML14:OMO14"/>
    <mergeCell ref="OKT14:OKW14"/>
    <mergeCell ref="OKX14:OLA14"/>
    <mergeCell ref="OLB14:OLE14"/>
    <mergeCell ref="OLF14:OLI14"/>
    <mergeCell ref="OLJ14:OLM14"/>
    <mergeCell ref="OLN14:OLQ14"/>
    <mergeCell ref="OJV14:OJY14"/>
    <mergeCell ref="OJZ14:OKC14"/>
    <mergeCell ref="OKD14:OKG14"/>
    <mergeCell ref="OKH14:OKK14"/>
    <mergeCell ref="OKL14:OKO14"/>
    <mergeCell ref="OKP14:OKS14"/>
    <mergeCell ref="OOL14:OOO14"/>
    <mergeCell ref="OOP14:OOS14"/>
    <mergeCell ref="OOT14:OOW14"/>
    <mergeCell ref="OOX14:OPA14"/>
    <mergeCell ref="OPB14:OPE14"/>
    <mergeCell ref="OPF14:OPI14"/>
    <mergeCell ref="ONN14:ONQ14"/>
    <mergeCell ref="ONR14:ONU14"/>
    <mergeCell ref="ONV14:ONY14"/>
    <mergeCell ref="ONZ14:OOC14"/>
    <mergeCell ref="OOD14:OOG14"/>
    <mergeCell ref="OOH14:OOK14"/>
    <mergeCell ref="OMP14:OMS14"/>
    <mergeCell ref="OMT14:OMW14"/>
    <mergeCell ref="OMX14:ONA14"/>
    <mergeCell ref="ONB14:ONE14"/>
    <mergeCell ref="ONF14:ONI14"/>
    <mergeCell ref="ONJ14:ONM14"/>
    <mergeCell ref="ORF14:ORI14"/>
    <mergeCell ref="ORJ14:ORM14"/>
    <mergeCell ref="ORN14:ORQ14"/>
    <mergeCell ref="ORR14:ORU14"/>
    <mergeCell ref="ORV14:ORY14"/>
    <mergeCell ref="ORZ14:OSC14"/>
    <mergeCell ref="OQH14:OQK14"/>
    <mergeCell ref="OQL14:OQO14"/>
    <mergeCell ref="OQP14:OQS14"/>
    <mergeCell ref="OQT14:OQW14"/>
    <mergeCell ref="OQX14:ORA14"/>
    <mergeCell ref="ORB14:ORE14"/>
    <mergeCell ref="OPJ14:OPM14"/>
    <mergeCell ref="OPN14:OPQ14"/>
    <mergeCell ref="OPR14:OPU14"/>
    <mergeCell ref="OPV14:OPY14"/>
    <mergeCell ref="OPZ14:OQC14"/>
    <mergeCell ref="OQD14:OQG14"/>
    <mergeCell ref="OTZ14:OUC14"/>
    <mergeCell ref="OUD14:OUG14"/>
    <mergeCell ref="OUH14:OUK14"/>
    <mergeCell ref="OUL14:OUO14"/>
    <mergeCell ref="OUP14:OUS14"/>
    <mergeCell ref="OUT14:OUW14"/>
    <mergeCell ref="OTB14:OTE14"/>
    <mergeCell ref="OTF14:OTI14"/>
    <mergeCell ref="OTJ14:OTM14"/>
    <mergeCell ref="OTN14:OTQ14"/>
    <mergeCell ref="OTR14:OTU14"/>
    <mergeCell ref="OTV14:OTY14"/>
    <mergeCell ref="OSD14:OSG14"/>
    <mergeCell ref="OSH14:OSK14"/>
    <mergeCell ref="OSL14:OSO14"/>
    <mergeCell ref="OSP14:OSS14"/>
    <mergeCell ref="OST14:OSW14"/>
    <mergeCell ref="OSX14:OTA14"/>
    <mergeCell ref="OWT14:OWW14"/>
    <mergeCell ref="OWX14:OXA14"/>
    <mergeCell ref="OXB14:OXE14"/>
    <mergeCell ref="OXF14:OXI14"/>
    <mergeCell ref="OXJ14:OXM14"/>
    <mergeCell ref="OXN14:OXQ14"/>
    <mergeCell ref="OVV14:OVY14"/>
    <mergeCell ref="OVZ14:OWC14"/>
    <mergeCell ref="OWD14:OWG14"/>
    <mergeCell ref="OWH14:OWK14"/>
    <mergeCell ref="OWL14:OWO14"/>
    <mergeCell ref="OWP14:OWS14"/>
    <mergeCell ref="OUX14:OVA14"/>
    <mergeCell ref="OVB14:OVE14"/>
    <mergeCell ref="OVF14:OVI14"/>
    <mergeCell ref="OVJ14:OVM14"/>
    <mergeCell ref="OVN14:OVQ14"/>
    <mergeCell ref="OVR14:OVU14"/>
    <mergeCell ref="OZN14:OZQ14"/>
    <mergeCell ref="OZR14:OZU14"/>
    <mergeCell ref="OZV14:OZY14"/>
    <mergeCell ref="OZZ14:PAC14"/>
    <mergeCell ref="PAD14:PAG14"/>
    <mergeCell ref="PAH14:PAK14"/>
    <mergeCell ref="OYP14:OYS14"/>
    <mergeCell ref="OYT14:OYW14"/>
    <mergeCell ref="OYX14:OZA14"/>
    <mergeCell ref="OZB14:OZE14"/>
    <mergeCell ref="OZF14:OZI14"/>
    <mergeCell ref="OZJ14:OZM14"/>
    <mergeCell ref="OXR14:OXU14"/>
    <mergeCell ref="OXV14:OXY14"/>
    <mergeCell ref="OXZ14:OYC14"/>
    <mergeCell ref="OYD14:OYG14"/>
    <mergeCell ref="OYH14:OYK14"/>
    <mergeCell ref="OYL14:OYO14"/>
    <mergeCell ref="PCH14:PCK14"/>
    <mergeCell ref="PCL14:PCO14"/>
    <mergeCell ref="PCP14:PCS14"/>
    <mergeCell ref="PCT14:PCW14"/>
    <mergeCell ref="PCX14:PDA14"/>
    <mergeCell ref="PDB14:PDE14"/>
    <mergeCell ref="PBJ14:PBM14"/>
    <mergeCell ref="PBN14:PBQ14"/>
    <mergeCell ref="PBR14:PBU14"/>
    <mergeCell ref="PBV14:PBY14"/>
    <mergeCell ref="PBZ14:PCC14"/>
    <mergeCell ref="PCD14:PCG14"/>
    <mergeCell ref="PAL14:PAO14"/>
    <mergeCell ref="PAP14:PAS14"/>
    <mergeCell ref="PAT14:PAW14"/>
    <mergeCell ref="PAX14:PBA14"/>
    <mergeCell ref="PBB14:PBE14"/>
    <mergeCell ref="PBF14:PBI14"/>
    <mergeCell ref="PFB14:PFE14"/>
    <mergeCell ref="PFF14:PFI14"/>
    <mergeCell ref="PFJ14:PFM14"/>
    <mergeCell ref="PFN14:PFQ14"/>
    <mergeCell ref="PFR14:PFU14"/>
    <mergeCell ref="PFV14:PFY14"/>
    <mergeCell ref="PED14:PEG14"/>
    <mergeCell ref="PEH14:PEK14"/>
    <mergeCell ref="PEL14:PEO14"/>
    <mergeCell ref="PEP14:PES14"/>
    <mergeCell ref="PET14:PEW14"/>
    <mergeCell ref="PEX14:PFA14"/>
    <mergeCell ref="PDF14:PDI14"/>
    <mergeCell ref="PDJ14:PDM14"/>
    <mergeCell ref="PDN14:PDQ14"/>
    <mergeCell ref="PDR14:PDU14"/>
    <mergeCell ref="PDV14:PDY14"/>
    <mergeCell ref="PDZ14:PEC14"/>
    <mergeCell ref="PHV14:PHY14"/>
    <mergeCell ref="PHZ14:PIC14"/>
    <mergeCell ref="PID14:PIG14"/>
    <mergeCell ref="PIH14:PIK14"/>
    <mergeCell ref="PIL14:PIO14"/>
    <mergeCell ref="PIP14:PIS14"/>
    <mergeCell ref="PGX14:PHA14"/>
    <mergeCell ref="PHB14:PHE14"/>
    <mergeCell ref="PHF14:PHI14"/>
    <mergeCell ref="PHJ14:PHM14"/>
    <mergeCell ref="PHN14:PHQ14"/>
    <mergeCell ref="PHR14:PHU14"/>
    <mergeCell ref="PFZ14:PGC14"/>
    <mergeCell ref="PGD14:PGG14"/>
    <mergeCell ref="PGH14:PGK14"/>
    <mergeCell ref="PGL14:PGO14"/>
    <mergeCell ref="PGP14:PGS14"/>
    <mergeCell ref="PGT14:PGW14"/>
    <mergeCell ref="PKP14:PKS14"/>
    <mergeCell ref="PKT14:PKW14"/>
    <mergeCell ref="PKX14:PLA14"/>
    <mergeCell ref="PLB14:PLE14"/>
    <mergeCell ref="PLF14:PLI14"/>
    <mergeCell ref="PLJ14:PLM14"/>
    <mergeCell ref="PJR14:PJU14"/>
    <mergeCell ref="PJV14:PJY14"/>
    <mergeCell ref="PJZ14:PKC14"/>
    <mergeCell ref="PKD14:PKG14"/>
    <mergeCell ref="PKH14:PKK14"/>
    <mergeCell ref="PKL14:PKO14"/>
    <mergeCell ref="PIT14:PIW14"/>
    <mergeCell ref="PIX14:PJA14"/>
    <mergeCell ref="PJB14:PJE14"/>
    <mergeCell ref="PJF14:PJI14"/>
    <mergeCell ref="PJJ14:PJM14"/>
    <mergeCell ref="PJN14:PJQ14"/>
    <mergeCell ref="PNJ14:PNM14"/>
    <mergeCell ref="PNN14:PNQ14"/>
    <mergeCell ref="PNR14:PNU14"/>
    <mergeCell ref="PNV14:PNY14"/>
    <mergeCell ref="PNZ14:POC14"/>
    <mergeCell ref="POD14:POG14"/>
    <mergeCell ref="PML14:PMO14"/>
    <mergeCell ref="PMP14:PMS14"/>
    <mergeCell ref="PMT14:PMW14"/>
    <mergeCell ref="PMX14:PNA14"/>
    <mergeCell ref="PNB14:PNE14"/>
    <mergeCell ref="PNF14:PNI14"/>
    <mergeCell ref="PLN14:PLQ14"/>
    <mergeCell ref="PLR14:PLU14"/>
    <mergeCell ref="PLV14:PLY14"/>
    <mergeCell ref="PLZ14:PMC14"/>
    <mergeCell ref="PMD14:PMG14"/>
    <mergeCell ref="PMH14:PMK14"/>
    <mergeCell ref="PQD14:PQG14"/>
    <mergeCell ref="PQH14:PQK14"/>
    <mergeCell ref="PQL14:PQO14"/>
    <mergeCell ref="PQP14:PQS14"/>
    <mergeCell ref="PQT14:PQW14"/>
    <mergeCell ref="PQX14:PRA14"/>
    <mergeCell ref="PPF14:PPI14"/>
    <mergeCell ref="PPJ14:PPM14"/>
    <mergeCell ref="PPN14:PPQ14"/>
    <mergeCell ref="PPR14:PPU14"/>
    <mergeCell ref="PPV14:PPY14"/>
    <mergeCell ref="PPZ14:PQC14"/>
    <mergeCell ref="POH14:POK14"/>
    <mergeCell ref="POL14:POO14"/>
    <mergeCell ref="POP14:POS14"/>
    <mergeCell ref="POT14:POW14"/>
    <mergeCell ref="POX14:PPA14"/>
    <mergeCell ref="PPB14:PPE14"/>
    <mergeCell ref="PSX14:PTA14"/>
    <mergeCell ref="PTB14:PTE14"/>
    <mergeCell ref="PTF14:PTI14"/>
    <mergeCell ref="PTJ14:PTM14"/>
    <mergeCell ref="PTN14:PTQ14"/>
    <mergeCell ref="PTR14:PTU14"/>
    <mergeCell ref="PRZ14:PSC14"/>
    <mergeCell ref="PSD14:PSG14"/>
    <mergeCell ref="PSH14:PSK14"/>
    <mergeCell ref="PSL14:PSO14"/>
    <mergeCell ref="PSP14:PSS14"/>
    <mergeCell ref="PST14:PSW14"/>
    <mergeCell ref="PRB14:PRE14"/>
    <mergeCell ref="PRF14:PRI14"/>
    <mergeCell ref="PRJ14:PRM14"/>
    <mergeCell ref="PRN14:PRQ14"/>
    <mergeCell ref="PRR14:PRU14"/>
    <mergeCell ref="PRV14:PRY14"/>
    <mergeCell ref="PVR14:PVU14"/>
    <mergeCell ref="PVV14:PVY14"/>
    <mergeCell ref="PVZ14:PWC14"/>
    <mergeCell ref="PWD14:PWG14"/>
    <mergeCell ref="PWH14:PWK14"/>
    <mergeCell ref="PWL14:PWO14"/>
    <mergeCell ref="PUT14:PUW14"/>
    <mergeCell ref="PUX14:PVA14"/>
    <mergeCell ref="PVB14:PVE14"/>
    <mergeCell ref="PVF14:PVI14"/>
    <mergeCell ref="PVJ14:PVM14"/>
    <mergeCell ref="PVN14:PVQ14"/>
    <mergeCell ref="PTV14:PTY14"/>
    <mergeCell ref="PTZ14:PUC14"/>
    <mergeCell ref="PUD14:PUG14"/>
    <mergeCell ref="PUH14:PUK14"/>
    <mergeCell ref="PUL14:PUO14"/>
    <mergeCell ref="PUP14:PUS14"/>
    <mergeCell ref="PYL14:PYO14"/>
    <mergeCell ref="PYP14:PYS14"/>
    <mergeCell ref="PYT14:PYW14"/>
    <mergeCell ref="PYX14:PZA14"/>
    <mergeCell ref="PZB14:PZE14"/>
    <mergeCell ref="PZF14:PZI14"/>
    <mergeCell ref="PXN14:PXQ14"/>
    <mergeCell ref="PXR14:PXU14"/>
    <mergeCell ref="PXV14:PXY14"/>
    <mergeCell ref="PXZ14:PYC14"/>
    <mergeCell ref="PYD14:PYG14"/>
    <mergeCell ref="PYH14:PYK14"/>
    <mergeCell ref="PWP14:PWS14"/>
    <mergeCell ref="PWT14:PWW14"/>
    <mergeCell ref="PWX14:PXA14"/>
    <mergeCell ref="PXB14:PXE14"/>
    <mergeCell ref="PXF14:PXI14"/>
    <mergeCell ref="PXJ14:PXM14"/>
    <mergeCell ref="QBF14:QBI14"/>
    <mergeCell ref="QBJ14:QBM14"/>
    <mergeCell ref="QBN14:QBQ14"/>
    <mergeCell ref="QBR14:QBU14"/>
    <mergeCell ref="QBV14:QBY14"/>
    <mergeCell ref="QBZ14:QCC14"/>
    <mergeCell ref="QAH14:QAK14"/>
    <mergeCell ref="QAL14:QAO14"/>
    <mergeCell ref="QAP14:QAS14"/>
    <mergeCell ref="QAT14:QAW14"/>
    <mergeCell ref="QAX14:QBA14"/>
    <mergeCell ref="QBB14:QBE14"/>
    <mergeCell ref="PZJ14:PZM14"/>
    <mergeCell ref="PZN14:PZQ14"/>
    <mergeCell ref="PZR14:PZU14"/>
    <mergeCell ref="PZV14:PZY14"/>
    <mergeCell ref="PZZ14:QAC14"/>
    <mergeCell ref="QAD14:QAG14"/>
    <mergeCell ref="QDZ14:QEC14"/>
    <mergeCell ref="QED14:QEG14"/>
    <mergeCell ref="QEH14:QEK14"/>
    <mergeCell ref="QEL14:QEO14"/>
    <mergeCell ref="QEP14:QES14"/>
    <mergeCell ref="QET14:QEW14"/>
    <mergeCell ref="QDB14:QDE14"/>
    <mergeCell ref="QDF14:QDI14"/>
    <mergeCell ref="QDJ14:QDM14"/>
    <mergeCell ref="QDN14:QDQ14"/>
    <mergeCell ref="QDR14:QDU14"/>
    <mergeCell ref="QDV14:QDY14"/>
    <mergeCell ref="QCD14:QCG14"/>
    <mergeCell ref="QCH14:QCK14"/>
    <mergeCell ref="QCL14:QCO14"/>
    <mergeCell ref="QCP14:QCS14"/>
    <mergeCell ref="QCT14:QCW14"/>
    <mergeCell ref="QCX14:QDA14"/>
    <mergeCell ref="QGT14:QGW14"/>
    <mergeCell ref="QGX14:QHA14"/>
    <mergeCell ref="QHB14:QHE14"/>
    <mergeCell ref="QHF14:QHI14"/>
    <mergeCell ref="QHJ14:QHM14"/>
    <mergeCell ref="QHN14:QHQ14"/>
    <mergeCell ref="QFV14:QFY14"/>
    <mergeCell ref="QFZ14:QGC14"/>
    <mergeCell ref="QGD14:QGG14"/>
    <mergeCell ref="QGH14:QGK14"/>
    <mergeCell ref="QGL14:QGO14"/>
    <mergeCell ref="QGP14:QGS14"/>
    <mergeCell ref="QEX14:QFA14"/>
    <mergeCell ref="QFB14:QFE14"/>
    <mergeCell ref="QFF14:QFI14"/>
    <mergeCell ref="QFJ14:QFM14"/>
    <mergeCell ref="QFN14:QFQ14"/>
    <mergeCell ref="QFR14:QFU14"/>
    <mergeCell ref="QJN14:QJQ14"/>
    <mergeCell ref="QJR14:QJU14"/>
    <mergeCell ref="QJV14:QJY14"/>
    <mergeCell ref="QJZ14:QKC14"/>
    <mergeCell ref="QKD14:QKG14"/>
    <mergeCell ref="QKH14:QKK14"/>
    <mergeCell ref="QIP14:QIS14"/>
    <mergeCell ref="QIT14:QIW14"/>
    <mergeCell ref="QIX14:QJA14"/>
    <mergeCell ref="QJB14:QJE14"/>
    <mergeCell ref="QJF14:QJI14"/>
    <mergeCell ref="QJJ14:QJM14"/>
    <mergeCell ref="QHR14:QHU14"/>
    <mergeCell ref="QHV14:QHY14"/>
    <mergeCell ref="QHZ14:QIC14"/>
    <mergeCell ref="QID14:QIG14"/>
    <mergeCell ref="QIH14:QIK14"/>
    <mergeCell ref="QIL14:QIO14"/>
    <mergeCell ref="QMH14:QMK14"/>
    <mergeCell ref="QML14:QMO14"/>
    <mergeCell ref="QMP14:QMS14"/>
    <mergeCell ref="QMT14:QMW14"/>
    <mergeCell ref="QMX14:QNA14"/>
    <mergeCell ref="QNB14:QNE14"/>
    <mergeCell ref="QLJ14:QLM14"/>
    <mergeCell ref="QLN14:QLQ14"/>
    <mergeCell ref="QLR14:QLU14"/>
    <mergeCell ref="QLV14:QLY14"/>
    <mergeCell ref="QLZ14:QMC14"/>
    <mergeCell ref="QMD14:QMG14"/>
    <mergeCell ref="QKL14:QKO14"/>
    <mergeCell ref="QKP14:QKS14"/>
    <mergeCell ref="QKT14:QKW14"/>
    <mergeCell ref="QKX14:QLA14"/>
    <mergeCell ref="QLB14:QLE14"/>
    <mergeCell ref="QLF14:QLI14"/>
    <mergeCell ref="QPB14:QPE14"/>
    <mergeCell ref="QPF14:QPI14"/>
    <mergeCell ref="QPJ14:QPM14"/>
    <mergeCell ref="QPN14:QPQ14"/>
    <mergeCell ref="QPR14:QPU14"/>
    <mergeCell ref="QPV14:QPY14"/>
    <mergeCell ref="QOD14:QOG14"/>
    <mergeCell ref="QOH14:QOK14"/>
    <mergeCell ref="QOL14:QOO14"/>
    <mergeCell ref="QOP14:QOS14"/>
    <mergeCell ref="QOT14:QOW14"/>
    <mergeCell ref="QOX14:QPA14"/>
    <mergeCell ref="QNF14:QNI14"/>
    <mergeCell ref="QNJ14:QNM14"/>
    <mergeCell ref="QNN14:QNQ14"/>
    <mergeCell ref="QNR14:QNU14"/>
    <mergeCell ref="QNV14:QNY14"/>
    <mergeCell ref="QNZ14:QOC14"/>
    <mergeCell ref="QRV14:QRY14"/>
    <mergeCell ref="QRZ14:QSC14"/>
    <mergeCell ref="QSD14:QSG14"/>
    <mergeCell ref="QSH14:QSK14"/>
    <mergeCell ref="QSL14:QSO14"/>
    <mergeCell ref="QSP14:QSS14"/>
    <mergeCell ref="QQX14:QRA14"/>
    <mergeCell ref="QRB14:QRE14"/>
    <mergeCell ref="QRF14:QRI14"/>
    <mergeCell ref="QRJ14:QRM14"/>
    <mergeCell ref="QRN14:QRQ14"/>
    <mergeCell ref="QRR14:QRU14"/>
    <mergeCell ref="QPZ14:QQC14"/>
    <mergeCell ref="QQD14:QQG14"/>
    <mergeCell ref="QQH14:QQK14"/>
    <mergeCell ref="QQL14:QQO14"/>
    <mergeCell ref="QQP14:QQS14"/>
    <mergeCell ref="QQT14:QQW14"/>
    <mergeCell ref="QUP14:QUS14"/>
    <mergeCell ref="QUT14:QUW14"/>
    <mergeCell ref="QUX14:QVA14"/>
    <mergeCell ref="QVB14:QVE14"/>
    <mergeCell ref="QVF14:QVI14"/>
    <mergeCell ref="QVJ14:QVM14"/>
    <mergeCell ref="QTR14:QTU14"/>
    <mergeCell ref="QTV14:QTY14"/>
    <mergeCell ref="QTZ14:QUC14"/>
    <mergeCell ref="QUD14:QUG14"/>
    <mergeCell ref="QUH14:QUK14"/>
    <mergeCell ref="QUL14:QUO14"/>
    <mergeCell ref="QST14:QSW14"/>
    <mergeCell ref="QSX14:QTA14"/>
    <mergeCell ref="QTB14:QTE14"/>
    <mergeCell ref="QTF14:QTI14"/>
    <mergeCell ref="QTJ14:QTM14"/>
    <mergeCell ref="QTN14:QTQ14"/>
    <mergeCell ref="QXJ14:QXM14"/>
    <mergeCell ref="QXN14:QXQ14"/>
    <mergeCell ref="QXR14:QXU14"/>
    <mergeCell ref="QXV14:QXY14"/>
    <mergeCell ref="QXZ14:QYC14"/>
    <mergeCell ref="QYD14:QYG14"/>
    <mergeCell ref="QWL14:QWO14"/>
    <mergeCell ref="QWP14:QWS14"/>
    <mergeCell ref="QWT14:QWW14"/>
    <mergeCell ref="QWX14:QXA14"/>
    <mergeCell ref="QXB14:QXE14"/>
    <mergeCell ref="QXF14:QXI14"/>
    <mergeCell ref="QVN14:QVQ14"/>
    <mergeCell ref="QVR14:QVU14"/>
    <mergeCell ref="QVV14:QVY14"/>
    <mergeCell ref="QVZ14:QWC14"/>
    <mergeCell ref="QWD14:QWG14"/>
    <mergeCell ref="QWH14:QWK14"/>
    <mergeCell ref="RAD14:RAG14"/>
    <mergeCell ref="RAH14:RAK14"/>
    <mergeCell ref="RAL14:RAO14"/>
    <mergeCell ref="RAP14:RAS14"/>
    <mergeCell ref="RAT14:RAW14"/>
    <mergeCell ref="RAX14:RBA14"/>
    <mergeCell ref="QZF14:QZI14"/>
    <mergeCell ref="QZJ14:QZM14"/>
    <mergeCell ref="QZN14:QZQ14"/>
    <mergeCell ref="QZR14:QZU14"/>
    <mergeCell ref="QZV14:QZY14"/>
    <mergeCell ref="QZZ14:RAC14"/>
    <mergeCell ref="QYH14:QYK14"/>
    <mergeCell ref="QYL14:QYO14"/>
    <mergeCell ref="QYP14:QYS14"/>
    <mergeCell ref="QYT14:QYW14"/>
    <mergeCell ref="QYX14:QZA14"/>
    <mergeCell ref="QZB14:QZE14"/>
    <mergeCell ref="RCX14:RDA14"/>
    <mergeCell ref="RDB14:RDE14"/>
    <mergeCell ref="RDF14:RDI14"/>
    <mergeCell ref="RDJ14:RDM14"/>
    <mergeCell ref="RDN14:RDQ14"/>
    <mergeCell ref="RDR14:RDU14"/>
    <mergeCell ref="RBZ14:RCC14"/>
    <mergeCell ref="RCD14:RCG14"/>
    <mergeCell ref="RCH14:RCK14"/>
    <mergeCell ref="RCL14:RCO14"/>
    <mergeCell ref="RCP14:RCS14"/>
    <mergeCell ref="RCT14:RCW14"/>
    <mergeCell ref="RBB14:RBE14"/>
    <mergeCell ref="RBF14:RBI14"/>
    <mergeCell ref="RBJ14:RBM14"/>
    <mergeCell ref="RBN14:RBQ14"/>
    <mergeCell ref="RBR14:RBU14"/>
    <mergeCell ref="RBV14:RBY14"/>
    <mergeCell ref="RFR14:RFU14"/>
    <mergeCell ref="RFV14:RFY14"/>
    <mergeCell ref="RFZ14:RGC14"/>
    <mergeCell ref="RGD14:RGG14"/>
    <mergeCell ref="RGH14:RGK14"/>
    <mergeCell ref="RGL14:RGO14"/>
    <mergeCell ref="RET14:REW14"/>
    <mergeCell ref="REX14:RFA14"/>
    <mergeCell ref="RFB14:RFE14"/>
    <mergeCell ref="RFF14:RFI14"/>
    <mergeCell ref="RFJ14:RFM14"/>
    <mergeCell ref="RFN14:RFQ14"/>
    <mergeCell ref="RDV14:RDY14"/>
    <mergeCell ref="RDZ14:REC14"/>
    <mergeCell ref="RED14:REG14"/>
    <mergeCell ref="REH14:REK14"/>
    <mergeCell ref="REL14:REO14"/>
    <mergeCell ref="REP14:RES14"/>
    <mergeCell ref="RIL14:RIO14"/>
    <mergeCell ref="RIP14:RIS14"/>
    <mergeCell ref="RIT14:RIW14"/>
    <mergeCell ref="RIX14:RJA14"/>
    <mergeCell ref="RJB14:RJE14"/>
    <mergeCell ref="RJF14:RJI14"/>
    <mergeCell ref="RHN14:RHQ14"/>
    <mergeCell ref="RHR14:RHU14"/>
    <mergeCell ref="RHV14:RHY14"/>
    <mergeCell ref="RHZ14:RIC14"/>
    <mergeCell ref="RID14:RIG14"/>
    <mergeCell ref="RIH14:RIK14"/>
    <mergeCell ref="RGP14:RGS14"/>
    <mergeCell ref="RGT14:RGW14"/>
    <mergeCell ref="RGX14:RHA14"/>
    <mergeCell ref="RHB14:RHE14"/>
    <mergeCell ref="RHF14:RHI14"/>
    <mergeCell ref="RHJ14:RHM14"/>
    <mergeCell ref="RLF14:RLI14"/>
    <mergeCell ref="RLJ14:RLM14"/>
    <mergeCell ref="RLN14:RLQ14"/>
    <mergeCell ref="RLR14:RLU14"/>
    <mergeCell ref="RLV14:RLY14"/>
    <mergeCell ref="RLZ14:RMC14"/>
    <mergeCell ref="RKH14:RKK14"/>
    <mergeCell ref="RKL14:RKO14"/>
    <mergeCell ref="RKP14:RKS14"/>
    <mergeCell ref="RKT14:RKW14"/>
    <mergeCell ref="RKX14:RLA14"/>
    <mergeCell ref="RLB14:RLE14"/>
    <mergeCell ref="RJJ14:RJM14"/>
    <mergeCell ref="RJN14:RJQ14"/>
    <mergeCell ref="RJR14:RJU14"/>
    <mergeCell ref="RJV14:RJY14"/>
    <mergeCell ref="RJZ14:RKC14"/>
    <mergeCell ref="RKD14:RKG14"/>
    <mergeCell ref="RNZ14:ROC14"/>
    <mergeCell ref="ROD14:ROG14"/>
    <mergeCell ref="ROH14:ROK14"/>
    <mergeCell ref="ROL14:ROO14"/>
    <mergeCell ref="ROP14:ROS14"/>
    <mergeCell ref="ROT14:ROW14"/>
    <mergeCell ref="RNB14:RNE14"/>
    <mergeCell ref="RNF14:RNI14"/>
    <mergeCell ref="RNJ14:RNM14"/>
    <mergeCell ref="RNN14:RNQ14"/>
    <mergeCell ref="RNR14:RNU14"/>
    <mergeCell ref="RNV14:RNY14"/>
    <mergeCell ref="RMD14:RMG14"/>
    <mergeCell ref="RMH14:RMK14"/>
    <mergeCell ref="RML14:RMO14"/>
    <mergeCell ref="RMP14:RMS14"/>
    <mergeCell ref="RMT14:RMW14"/>
    <mergeCell ref="RMX14:RNA14"/>
    <mergeCell ref="RQT14:RQW14"/>
    <mergeCell ref="RQX14:RRA14"/>
    <mergeCell ref="RRB14:RRE14"/>
    <mergeCell ref="RRF14:RRI14"/>
    <mergeCell ref="RRJ14:RRM14"/>
    <mergeCell ref="RRN14:RRQ14"/>
    <mergeCell ref="RPV14:RPY14"/>
    <mergeCell ref="RPZ14:RQC14"/>
    <mergeCell ref="RQD14:RQG14"/>
    <mergeCell ref="RQH14:RQK14"/>
    <mergeCell ref="RQL14:RQO14"/>
    <mergeCell ref="RQP14:RQS14"/>
    <mergeCell ref="ROX14:RPA14"/>
    <mergeCell ref="RPB14:RPE14"/>
    <mergeCell ref="RPF14:RPI14"/>
    <mergeCell ref="RPJ14:RPM14"/>
    <mergeCell ref="RPN14:RPQ14"/>
    <mergeCell ref="RPR14:RPU14"/>
    <mergeCell ref="RTN14:RTQ14"/>
    <mergeCell ref="RTR14:RTU14"/>
    <mergeCell ref="RTV14:RTY14"/>
    <mergeCell ref="RTZ14:RUC14"/>
    <mergeCell ref="RUD14:RUG14"/>
    <mergeCell ref="RUH14:RUK14"/>
    <mergeCell ref="RSP14:RSS14"/>
    <mergeCell ref="RST14:RSW14"/>
    <mergeCell ref="RSX14:RTA14"/>
    <mergeCell ref="RTB14:RTE14"/>
    <mergeCell ref="RTF14:RTI14"/>
    <mergeCell ref="RTJ14:RTM14"/>
    <mergeCell ref="RRR14:RRU14"/>
    <mergeCell ref="RRV14:RRY14"/>
    <mergeCell ref="RRZ14:RSC14"/>
    <mergeCell ref="RSD14:RSG14"/>
    <mergeCell ref="RSH14:RSK14"/>
    <mergeCell ref="RSL14:RSO14"/>
    <mergeCell ref="RWH14:RWK14"/>
    <mergeCell ref="RWL14:RWO14"/>
    <mergeCell ref="RWP14:RWS14"/>
    <mergeCell ref="RWT14:RWW14"/>
    <mergeCell ref="RWX14:RXA14"/>
    <mergeCell ref="RXB14:RXE14"/>
    <mergeCell ref="RVJ14:RVM14"/>
    <mergeCell ref="RVN14:RVQ14"/>
    <mergeCell ref="RVR14:RVU14"/>
    <mergeCell ref="RVV14:RVY14"/>
    <mergeCell ref="RVZ14:RWC14"/>
    <mergeCell ref="RWD14:RWG14"/>
    <mergeCell ref="RUL14:RUO14"/>
    <mergeCell ref="RUP14:RUS14"/>
    <mergeCell ref="RUT14:RUW14"/>
    <mergeCell ref="RUX14:RVA14"/>
    <mergeCell ref="RVB14:RVE14"/>
    <mergeCell ref="RVF14:RVI14"/>
    <mergeCell ref="RZB14:RZE14"/>
    <mergeCell ref="RZF14:RZI14"/>
    <mergeCell ref="RZJ14:RZM14"/>
    <mergeCell ref="RZN14:RZQ14"/>
    <mergeCell ref="RZR14:RZU14"/>
    <mergeCell ref="RZV14:RZY14"/>
    <mergeCell ref="RYD14:RYG14"/>
    <mergeCell ref="RYH14:RYK14"/>
    <mergeCell ref="RYL14:RYO14"/>
    <mergeCell ref="RYP14:RYS14"/>
    <mergeCell ref="RYT14:RYW14"/>
    <mergeCell ref="RYX14:RZA14"/>
    <mergeCell ref="RXF14:RXI14"/>
    <mergeCell ref="RXJ14:RXM14"/>
    <mergeCell ref="RXN14:RXQ14"/>
    <mergeCell ref="RXR14:RXU14"/>
    <mergeCell ref="RXV14:RXY14"/>
    <mergeCell ref="RXZ14:RYC14"/>
    <mergeCell ref="SBV14:SBY14"/>
    <mergeCell ref="SBZ14:SCC14"/>
    <mergeCell ref="SCD14:SCG14"/>
    <mergeCell ref="SCH14:SCK14"/>
    <mergeCell ref="SCL14:SCO14"/>
    <mergeCell ref="SCP14:SCS14"/>
    <mergeCell ref="SAX14:SBA14"/>
    <mergeCell ref="SBB14:SBE14"/>
    <mergeCell ref="SBF14:SBI14"/>
    <mergeCell ref="SBJ14:SBM14"/>
    <mergeCell ref="SBN14:SBQ14"/>
    <mergeCell ref="SBR14:SBU14"/>
    <mergeCell ref="RZZ14:SAC14"/>
    <mergeCell ref="SAD14:SAG14"/>
    <mergeCell ref="SAH14:SAK14"/>
    <mergeCell ref="SAL14:SAO14"/>
    <mergeCell ref="SAP14:SAS14"/>
    <mergeCell ref="SAT14:SAW14"/>
    <mergeCell ref="SEP14:SES14"/>
    <mergeCell ref="SET14:SEW14"/>
    <mergeCell ref="SEX14:SFA14"/>
    <mergeCell ref="SFB14:SFE14"/>
    <mergeCell ref="SFF14:SFI14"/>
    <mergeCell ref="SFJ14:SFM14"/>
    <mergeCell ref="SDR14:SDU14"/>
    <mergeCell ref="SDV14:SDY14"/>
    <mergeCell ref="SDZ14:SEC14"/>
    <mergeCell ref="SED14:SEG14"/>
    <mergeCell ref="SEH14:SEK14"/>
    <mergeCell ref="SEL14:SEO14"/>
    <mergeCell ref="SCT14:SCW14"/>
    <mergeCell ref="SCX14:SDA14"/>
    <mergeCell ref="SDB14:SDE14"/>
    <mergeCell ref="SDF14:SDI14"/>
    <mergeCell ref="SDJ14:SDM14"/>
    <mergeCell ref="SDN14:SDQ14"/>
    <mergeCell ref="SHJ14:SHM14"/>
    <mergeCell ref="SHN14:SHQ14"/>
    <mergeCell ref="SHR14:SHU14"/>
    <mergeCell ref="SHV14:SHY14"/>
    <mergeCell ref="SHZ14:SIC14"/>
    <mergeCell ref="SID14:SIG14"/>
    <mergeCell ref="SGL14:SGO14"/>
    <mergeCell ref="SGP14:SGS14"/>
    <mergeCell ref="SGT14:SGW14"/>
    <mergeCell ref="SGX14:SHA14"/>
    <mergeCell ref="SHB14:SHE14"/>
    <mergeCell ref="SHF14:SHI14"/>
    <mergeCell ref="SFN14:SFQ14"/>
    <mergeCell ref="SFR14:SFU14"/>
    <mergeCell ref="SFV14:SFY14"/>
    <mergeCell ref="SFZ14:SGC14"/>
    <mergeCell ref="SGD14:SGG14"/>
    <mergeCell ref="SGH14:SGK14"/>
    <mergeCell ref="SKD14:SKG14"/>
    <mergeCell ref="SKH14:SKK14"/>
    <mergeCell ref="SKL14:SKO14"/>
    <mergeCell ref="SKP14:SKS14"/>
    <mergeCell ref="SKT14:SKW14"/>
    <mergeCell ref="SKX14:SLA14"/>
    <mergeCell ref="SJF14:SJI14"/>
    <mergeCell ref="SJJ14:SJM14"/>
    <mergeCell ref="SJN14:SJQ14"/>
    <mergeCell ref="SJR14:SJU14"/>
    <mergeCell ref="SJV14:SJY14"/>
    <mergeCell ref="SJZ14:SKC14"/>
    <mergeCell ref="SIH14:SIK14"/>
    <mergeCell ref="SIL14:SIO14"/>
    <mergeCell ref="SIP14:SIS14"/>
    <mergeCell ref="SIT14:SIW14"/>
    <mergeCell ref="SIX14:SJA14"/>
    <mergeCell ref="SJB14:SJE14"/>
    <mergeCell ref="SMX14:SNA14"/>
    <mergeCell ref="SNB14:SNE14"/>
    <mergeCell ref="SNF14:SNI14"/>
    <mergeCell ref="SNJ14:SNM14"/>
    <mergeCell ref="SNN14:SNQ14"/>
    <mergeCell ref="SNR14:SNU14"/>
    <mergeCell ref="SLZ14:SMC14"/>
    <mergeCell ref="SMD14:SMG14"/>
    <mergeCell ref="SMH14:SMK14"/>
    <mergeCell ref="SML14:SMO14"/>
    <mergeCell ref="SMP14:SMS14"/>
    <mergeCell ref="SMT14:SMW14"/>
    <mergeCell ref="SLB14:SLE14"/>
    <mergeCell ref="SLF14:SLI14"/>
    <mergeCell ref="SLJ14:SLM14"/>
    <mergeCell ref="SLN14:SLQ14"/>
    <mergeCell ref="SLR14:SLU14"/>
    <mergeCell ref="SLV14:SLY14"/>
    <mergeCell ref="SPR14:SPU14"/>
    <mergeCell ref="SPV14:SPY14"/>
    <mergeCell ref="SPZ14:SQC14"/>
    <mergeCell ref="SQD14:SQG14"/>
    <mergeCell ref="SQH14:SQK14"/>
    <mergeCell ref="SQL14:SQO14"/>
    <mergeCell ref="SOT14:SOW14"/>
    <mergeCell ref="SOX14:SPA14"/>
    <mergeCell ref="SPB14:SPE14"/>
    <mergeCell ref="SPF14:SPI14"/>
    <mergeCell ref="SPJ14:SPM14"/>
    <mergeCell ref="SPN14:SPQ14"/>
    <mergeCell ref="SNV14:SNY14"/>
    <mergeCell ref="SNZ14:SOC14"/>
    <mergeCell ref="SOD14:SOG14"/>
    <mergeCell ref="SOH14:SOK14"/>
    <mergeCell ref="SOL14:SOO14"/>
    <mergeCell ref="SOP14:SOS14"/>
    <mergeCell ref="SSL14:SSO14"/>
    <mergeCell ref="SSP14:SSS14"/>
    <mergeCell ref="SST14:SSW14"/>
    <mergeCell ref="SSX14:STA14"/>
    <mergeCell ref="STB14:STE14"/>
    <mergeCell ref="STF14:STI14"/>
    <mergeCell ref="SRN14:SRQ14"/>
    <mergeCell ref="SRR14:SRU14"/>
    <mergeCell ref="SRV14:SRY14"/>
    <mergeCell ref="SRZ14:SSC14"/>
    <mergeCell ref="SSD14:SSG14"/>
    <mergeCell ref="SSH14:SSK14"/>
    <mergeCell ref="SQP14:SQS14"/>
    <mergeCell ref="SQT14:SQW14"/>
    <mergeCell ref="SQX14:SRA14"/>
    <mergeCell ref="SRB14:SRE14"/>
    <mergeCell ref="SRF14:SRI14"/>
    <mergeCell ref="SRJ14:SRM14"/>
    <mergeCell ref="SVF14:SVI14"/>
    <mergeCell ref="SVJ14:SVM14"/>
    <mergeCell ref="SVN14:SVQ14"/>
    <mergeCell ref="SVR14:SVU14"/>
    <mergeCell ref="SVV14:SVY14"/>
    <mergeCell ref="SVZ14:SWC14"/>
    <mergeCell ref="SUH14:SUK14"/>
    <mergeCell ref="SUL14:SUO14"/>
    <mergeCell ref="SUP14:SUS14"/>
    <mergeCell ref="SUT14:SUW14"/>
    <mergeCell ref="SUX14:SVA14"/>
    <mergeCell ref="SVB14:SVE14"/>
    <mergeCell ref="STJ14:STM14"/>
    <mergeCell ref="STN14:STQ14"/>
    <mergeCell ref="STR14:STU14"/>
    <mergeCell ref="STV14:STY14"/>
    <mergeCell ref="STZ14:SUC14"/>
    <mergeCell ref="SUD14:SUG14"/>
    <mergeCell ref="SXZ14:SYC14"/>
    <mergeCell ref="SYD14:SYG14"/>
    <mergeCell ref="SYH14:SYK14"/>
    <mergeCell ref="SYL14:SYO14"/>
    <mergeCell ref="SYP14:SYS14"/>
    <mergeCell ref="SYT14:SYW14"/>
    <mergeCell ref="SXB14:SXE14"/>
    <mergeCell ref="SXF14:SXI14"/>
    <mergeCell ref="SXJ14:SXM14"/>
    <mergeCell ref="SXN14:SXQ14"/>
    <mergeCell ref="SXR14:SXU14"/>
    <mergeCell ref="SXV14:SXY14"/>
    <mergeCell ref="SWD14:SWG14"/>
    <mergeCell ref="SWH14:SWK14"/>
    <mergeCell ref="SWL14:SWO14"/>
    <mergeCell ref="SWP14:SWS14"/>
    <mergeCell ref="SWT14:SWW14"/>
    <mergeCell ref="SWX14:SXA14"/>
    <mergeCell ref="TAT14:TAW14"/>
    <mergeCell ref="TAX14:TBA14"/>
    <mergeCell ref="TBB14:TBE14"/>
    <mergeCell ref="TBF14:TBI14"/>
    <mergeCell ref="TBJ14:TBM14"/>
    <mergeCell ref="TBN14:TBQ14"/>
    <mergeCell ref="SZV14:SZY14"/>
    <mergeCell ref="SZZ14:TAC14"/>
    <mergeCell ref="TAD14:TAG14"/>
    <mergeCell ref="TAH14:TAK14"/>
    <mergeCell ref="TAL14:TAO14"/>
    <mergeCell ref="TAP14:TAS14"/>
    <mergeCell ref="SYX14:SZA14"/>
    <mergeCell ref="SZB14:SZE14"/>
    <mergeCell ref="SZF14:SZI14"/>
    <mergeCell ref="SZJ14:SZM14"/>
    <mergeCell ref="SZN14:SZQ14"/>
    <mergeCell ref="SZR14:SZU14"/>
    <mergeCell ref="TDN14:TDQ14"/>
    <mergeCell ref="TDR14:TDU14"/>
    <mergeCell ref="TDV14:TDY14"/>
    <mergeCell ref="TDZ14:TEC14"/>
    <mergeCell ref="TED14:TEG14"/>
    <mergeCell ref="TEH14:TEK14"/>
    <mergeCell ref="TCP14:TCS14"/>
    <mergeCell ref="TCT14:TCW14"/>
    <mergeCell ref="TCX14:TDA14"/>
    <mergeCell ref="TDB14:TDE14"/>
    <mergeCell ref="TDF14:TDI14"/>
    <mergeCell ref="TDJ14:TDM14"/>
    <mergeCell ref="TBR14:TBU14"/>
    <mergeCell ref="TBV14:TBY14"/>
    <mergeCell ref="TBZ14:TCC14"/>
    <mergeCell ref="TCD14:TCG14"/>
    <mergeCell ref="TCH14:TCK14"/>
    <mergeCell ref="TCL14:TCO14"/>
    <mergeCell ref="TGH14:TGK14"/>
    <mergeCell ref="TGL14:TGO14"/>
    <mergeCell ref="TGP14:TGS14"/>
    <mergeCell ref="TGT14:TGW14"/>
    <mergeCell ref="TGX14:THA14"/>
    <mergeCell ref="THB14:THE14"/>
    <mergeCell ref="TFJ14:TFM14"/>
    <mergeCell ref="TFN14:TFQ14"/>
    <mergeCell ref="TFR14:TFU14"/>
    <mergeCell ref="TFV14:TFY14"/>
    <mergeCell ref="TFZ14:TGC14"/>
    <mergeCell ref="TGD14:TGG14"/>
    <mergeCell ref="TEL14:TEO14"/>
    <mergeCell ref="TEP14:TES14"/>
    <mergeCell ref="TET14:TEW14"/>
    <mergeCell ref="TEX14:TFA14"/>
    <mergeCell ref="TFB14:TFE14"/>
    <mergeCell ref="TFF14:TFI14"/>
    <mergeCell ref="TJB14:TJE14"/>
    <mergeCell ref="TJF14:TJI14"/>
    <mergeCell ref="TJJ14:TJM14"/>
    <mergeCell ref="TJN14:TJQ14"/>
    <mergeCell ref="TJR14:TJU14"/>
    <mergeCell ref="TJV14:TJY14"/>
    <mergeCell ref="TID14:TIG14"/>
    <mergeCell ref="TIH14:TIK14"/>
    <mergeCell ref="TIL14:TIO14"/>
    <mergeCell ref="TIP14:TIS14"/>
    <mergeCell ref="TIT14:TIW14"/>
    <mergeCell ref="TIX14:TJA14"/>
    <mergeCell ref="THF14:THI14"/>
    <mergeCell ref="THJ14:THM14"/>
    <mergeCell ref="THN14:THQ14"/>
    <mergeCell ref="THR14:THU14"/>
    <mergeCell ref="THV14:THY14"/>
    <mergeCell ref="THZ14:TIC14"/>
    <mergeCell ref="TLV14:TLY14"/>
    <mergeCell ref="TLZ14:TMC14"/>
    <mergeCell ref="TMD14:TMG14"/>
    <mergeCell ref="TMH14:TMK14"/>
    <mergeCell ref="TML14:TMO14"/>
    <mergeCell ref="TMP14:TMS14"/>
    <mergeCell ref="TKX14:TLA14"/>
    <mergeCell ref="TLB14:TLE14"/>
    <mergeCell ref="TLF14:TLI14"/>
    <mergeCell ref="TLJ14:TLM14"/>
    <mergeCell ref="TLN14:TLQ14"/>
    <mergeCell ref="TLR14:TLU14"/>
    <mergeCell ref="TJZ14:TKC14"/>
    <mergeCell ref="TKD14:TKG14"/>
    <mergeCell ref="TKH14:TKK14"/>
    <mergeCell ref="TKL14:TKO14"/>
    <mergeCell ref="TKP14:TKS14"/>
    <mergeCell ref="TKT14:TKW14"/>
    <mergeCell ref="TOP14:TOS14"/>
    <mergeCell ref="TOT14:TOW14"/>
    <mergeCell ref="TOX14:TPA14"/>
    <mergeCell ref="TPB14:TPE14"/>
    <mergeCell ref="TPF14:TPI14"/>
    <mergeCell ref="TPJ14:TPM14"/>
    <mergeCell ref="TNR14:TNU14"/>
    <mergeCell ref="TNV14:TNY14"/>
    <mergeCell ref="TNZ14:TOC14"/>
    <mergeCell ref="TOD14:TOG14"/>
    <mergeCell ref="TOH14:TOK14"/>
    <mergeCell ref="TOL14:TOO14"/>
    <mergeCell ref="TMT14:TMW14"/>
    <mergeCell ref="TMX14:TNA14"/>
    <mergeCell ref="TNB14:TNE14"/>
    <mergeCell ref="TNF14:TNI14"/>
    <mergeCell ref="TNJ14:TNM14"/>
    <mergeCell ref="TNN14:TNQ14"/>
    <mergeCell ref="TRJ14:TRM14"/>
    <mergeCell ref="TRN14:TRQ14"/>
    <mergeCell ref="TRR14:TRU14"/>
    <mergeCell ref="TRV14:TRY14"/>
    <mergeCell ref="TRZ14:TSC14"/>
    <mergeCell ref="TSD14:TSG14"/>
    <mergeCell ref="TQL14:TQO14"/>
    <mergeCell ref="TQP14:TQS14"/>
    <mergeCell ref="TQT14:TQW14"/>
    <mergeCell ref="TQX14:TRA14"/>
    <mergeCell ref="TRB14:TRE14"/>
    <mergeCell ref="TRF14:TRI14"/>
    <mergeCell ref="TPN14:TPQ14"/>
    <mergeCell ref="TPR14:TPU14"/>
    <mergeCell ref="TPV14:TPY14"/>
    <mergeCell ref="TPZ14:TQC14"/>
    <mergeCell ref="TQD14:TQG14"/>
    <mergeCell ref="TQH14:TQK14"/>
    <mergeCell ref="TUD14:TUG14"/>
    <mergeCell ref="TUH14:TUK14"/>
    <mergeCell ref="TUL14:TUO14"/>
    <mergeCell ref="TUP14:TUS14"/>
    <mergeCell ref="TUT14:TUW14"/>
    <mergeCell ref="TUX14:TVA14"/>
    <mergeCell ref="TTF14:TTI14"/>
    <mergeCell ref="TTJ14:TTM14"/>
    <mergeCell ref="TTN14:TTQ14"/>
    <mergeCell ref="TTR14:TTU14"/>
    <mergeCell ref="TTV14:TTY14"/>
    <mergeCell ref="TTZ14:TUC14"/>
    <mergeCell ref="TSH14:TSK14"/>
    <mergeCell ref="TSL14:TSO14"/>
    <mergeCell ref="TSP14:TSS14"/>
    <mergeCell ref="TST14:TSW14"/>
    <mergeCell ref="TSX14:TTA14"/>
    <mergeCell ref="TTB14:TTE14"/>
    <mergeCell ref="TWX14:TXA14"/>
    <mergeCell ref="TXB14:TXE14"/>
    <mergeCell ref="TXF14:TXI14"/>
    <mergeCell ref="TXJ14:TXM14"/>
    <mergeCell ref="TXN14:TXQ14"/>
    <mergeCell ref="TXR14:TXU14"/>
    <mergeCell ref="TVZ14:TWC14"/>
    <mergeCell ref="TWD14:TWG14"/>
    <mergeCell ref="TWH14:TWK14"/>
    <mergeCell ref="TWL14:TWO14"/>
    <mergeCell ref="TWP14:TWS14"/>
    <mergeCell ref="TWT14:TWW14"/>
    <mergeCell ref="TVB14:TVE14"/>
    <mergeCell ref="TVF14:TVI14"/>
    <mergeCell ref="TVJ14:TVM14"/>
    <mergeCell ref="TVN14:TVQ14"/>
    <mergeCell ref="TVR14:TVU14"/>
    <mergeCell ref="TVV14:TVY14"/>
    <mergeCell ref="TZR14:TZU14"/>
    <mergeCell ref="TZV14:TZY14"/>
    <mergeCell ref="TZZ14:UAC14"/>
    <mergeCell ref="UAD14:UAG14"/>
    <mergeCell ref="UAH14:UAK14"/>
    <mergeCell ref="UAL14:UAO14"/>
    <mergeCell ref="TYT14:TYW14"/>
    <mergeCell ref="TYX14:TZA14"/>
    <mergeCell ref="TZB14:TZE14"/>
    <mergeCell ref="TZF14:TZI14"/>
    <mergeCell ref="TZJ14:TZM14"/>
    <mergeCell ref="TZN14:TZQ14"/>
    <mergeCell ref="TXV14:TXY14"/>
    <mergeCell ref="TXZ14:TYC14"/>
    <mergeCell ref="TYD14:TYG14"/>
    <mergeCell ref="TYH14:TYK14"/>
    <mergeCell ref="TYL14:TYO14"/>
    <mergeCell ref="TYP14:TYS14"/>
    <mergeCell ref="UCL14:UCO14"/>
    <mergeCell ref="UCP14:UCS14"/>
    <mergeCell ref="UCT14:UCW14"/>
    <mergeCell ref="UCX14:UDA14"/>
    <mergeCell ref="UDB14:UDE14"/>
    <mergeCell ref="UDF14:UDI14"/>
    <mergeCell ref="UBN14:UBQ14"/>
    <mergeCell ref="UBR14:UBU14"/>
    <mergeCell ref="UBV14:UBY14"/>
    <mergeCell ref="UBZ14:UCC14"/>
    <mergeCell ref="UCD14:UCG14"/>
    <mergeCell ref="UCH14:UCK14"/>
    <mergeCell ref="UAP14:UAS14"/>
    <mergeCell ref="UAT14:UAW14"/>
    <mergeCell ref="UAX14:UBA14"/>
    <mergeCell ref="UBB14:UBE14"/>
    <mergeCell ref="UBF14:UBI14"/>
    <mergeCell ref="UBJ14:UBM14"/>
    <mergeCell ref="UFF14:UFI14"/>
    <mergeCell ref="UFJ14:UFM14"/>
    <mergeCell ref="UFN14:UFQ14"/>
    <mergeCell ref="UFR14:UFU14"/>
    <mergeCell ref="UFV14:UFY14"/>
    <mergeCell ref="UFZ14:UGC14"/>
    <mergeCell ref="UEH14:UEK14"/>
    <mergeCell ref="UEL14:UEO14"/>
    <mergeCell ref="UEP14:UES14"/>
    <mergeCell ref="UET14:UEW14"/>
    <mergeCell ref="UEX14:UFA14"/>
    <mergeCell ref="UFB14:UFE14"/>
    <mergeCell ref="UDJ14:UDM14"/>
    <mergeCell ref="UDN14:UDQ14"/>
    <mergeCell ref="UDR14:UDU14"/>
    <mergeCell ref="UDV14:UDY14"/>
    <mergeCell ref="UDZ14:UEC14"/>
    <mergeCell ref="UED14:UEG14"/>
    <mergeCell ref="UHZ14:UIC14"/>
    <mergeCell ref="UID14:UIG14"/>
    <mergeCell ref="UIH14:UIK14"/>
    <mergeCell ref="UIL14:UIO14"/>
    <mergeCell ref="UIP14:UIS14"/>
    <mergeCell ref="UIT14:UIW14"/>
    <mergeCell ref="UHB14:UHE14"/>
    <mergeCell ref="UHF14:UHI14"/>
    <mergeCell ref="UHJ14:UHM14"/>
    <mergeCell ref="UHN14:UHQ14"/>
    <mergeCell ref="UHR14:UHU14"/>
    <mergeCell ref="UHV14:UHY14"/>
    <mergeCell ref="UGD14:UGG14"/>
    <mergeCell ref="UGH14:UGK14"/>
    <mergeCell ref="UGL14:UGO14"/>
    <mergeCell ref="UGP14:UGS14"/>
    <mergeCell ref="UGT14:UGW14"/>
    <mergeCell ref="UGX14:UHA14"/>
    <mergeCell ref="UKT14:UKW14"/>
    <mergeCell ref="UKX14:ULA14"/>
    <mergeCell ref="ULB14:ULE14"/>
    <mergeCell ref="ULF14:ULI14"/>
    <mergeCell ref="ULJ14:ULM14"/>
    <mergeCell ref="ULN14:ULQ14"/>
    <mergeCell ref="UJV14:UJY14"/>
    <mergeCell ref="UJZ14:UKC14"/>
    <mergeCell ref="UKD14:UKG14"/>
    <mergeCell ref="UKH14:UKK14"/>
    <mergeCell ref="UKL14:UKO14"/>
    <mergeCell ref="UKP14:UKS14"/>
    <mergeCell ref="UIX14:UJA14"/>
    <mergeCell ref="UJB14:UJE14"/>
    <mergeCell ref="UJF14:UJI14"/>
    <mergeCell ref="UJJ14:UJM14"/>
    <mergeCell ref="UJN14:UJQ14"/>
    <mergeCell ref="UJR14:UJU14"/>
    <mergeCell ref="UNN14:UNQ14"/>
    <mergeCell ref="UNR14:UNU14"/>
    <mergeCell ref="UNV14:UNY14"/>
    <mergeCell ref="UNZ14:UOC14"/>
    <mergeCell ref="UOD14:UOG14"/>
    <mergeCell ref="UOH14:UOK14"/>
    <mergeCell ref="UMP14:UMS14"/>
    <mergeCell ref="UMT14:UMW14"/>
    <mergeCell ref="UMX14:UNA14"/>
    <mergeCell ref="UNB14:UNE14"/>
    <mergeCell ref="UNF14:UNI14"/>
    <mergeCell ref="UNJ14:UNM14"/>
    <mergeCell ref="ULR14:ULU14"/>
    <mergeCell ref="ULV14:ULY14"/>
    <mergeCell ref="ULZ14:UMC14"/>
    <mergeCell ref="UMD14:UMG14"/>
    <mergeCell ref="UMH14:UMK14"/>
    <mergeCell ref="UML14:UMO14"/>
    <mergeCell ref="UQH14:UQK14"/>
    <mergeCell ref="UQL14:UQO14"/>
    <mergeCell ref="UQP14:UQS14"/>
    <mergeCell ref="UQT14:UQW14"/>
    <mergeCell ref="UQX14:URA14"/>
    <mergeCell ref="URB14:URE14"/>
    <mergeCell ref="UPJ14:UPM14"/>
    <mergeCell ref="UPN14:UPQ14"/>
    <mergeCell ref="UPR14:UPU14"/>
    <mergeCell ref="UPV14:UPY14"/>
    <mergeCell ref="UPZ14:UQC14"/>
    <mergeCell ref="UQD14:UQG14"/>
    <mergeCell ref="UOL14:UOO14"/>
    <mergeCell ref="UOP14:UOS14"/>
    <mergeCell ref="UOT14:UOW14"/>
    <mergeCell ref="UOX14:UPA14"/>
    <mergeCell ref="UPB14:UPE14"/>
    <mergeCell ref="UPF14:UPI14"/>
    <mergeCell ref="UTB14:UTE14"/>
    <mergeCell ref="UTF14:UTI14"/>
    <mergeCell ref="UTJ14:UTM14"/>
    <mergeCell ref="UTN14:UTQ14"/>
    <mergeCell ref="UTR14:UTU14"/>
    <mergeCell ref="UTV14:UTY14"/>
    <mergeCell ref="USD14:USG14"/>
    <mergeCell ref="USH14:USK14"/>
    <mergeCell ref="USL14:USO14"/>
    <mergeCell ref="USP14:USS14"/>
    <mergeCell ref="UST14:USW14"/>
    <mergeCell ref="USX14:UTA14"/>
    <mergeCell ref="URF14:URI14"/>
    <mergeCell ref="URJ14:URM14"/>
    <mergeCell ref="URN14:URQ14"/>
    <mergeCell ref="URR14:URU14"/>
    <mergeCell ref="URV14:URY14"/>
    <mergeCell ref="URZ14:USC14"/>
    <mergeCell ref="UVV14:UVY14"/>
    <mergeCell ref="UVZ14:UWC14"/>
    <mergeCell ref="UWD14:UWG14"/>
    <mergeCell ref="UWH14:UWK14"/>
    <mergeCell ref="UWL14:UWO14"/>
    <mergeCell ref="UWP14:UWS14"/>
    <mergeCell ref="UUX14:UVA14"/>
    <mergeCell ref="UVB14:UVE14"/>
    <mergeCell ref="UVF14:UVI14"/>
    <mergeCell ref="UVJ14:UVM14"/>
    <mergeCell ref="UVN14:UVQ14"/>
    <mergeCell ref="UVR14:UVU14"/>
    <mergeCell ref="UTZ14:UUC14"/>
    <mergeCell ref="UUD14:UUG14"/>
    <mergeCell ref="UUH14:UUK14"/>
    <mergeCell ref="UUL14:UUO14"/>
    <mergeCell ref="UUP14:UUS14"/>
    <mergeCell ref="UUT14:UUW14"/>
    <mergeCell ref="UYP14:UYS14"/>
    <mergeCell ref="UYT14:UYW14"/>
    <mergeCell ref="UYX14:UZA14"/>
    <mergeCell ref="UZB14:UZE14"/>
    <mergeCell ref="UZF14:UZI14"/>
    <mergeCell ref="UZJ14:UZM14"/>
    <mergeCell ref="UXR14:UXU14"/>
    <mergeCell ref="UXV14:UXY14"/>
    <mergeCell ref="UXZ14:UYC14"/>
    <mergeCell ref="UYD14:UYG14"/>
    <mergeCell ref="UYH14:UYK14"/>
    <mergeCell ref="UYL14:UYO14"/>
    <mergeCell ref="UWT14:UWW14"/>
    <mergeCell ref="UWX14:UXA14"/>
    <mergeCell ref="UXB14:UXE14"/>
    <mergeCell ref="UXF14:UXI14"/>
    <mergeCell ref="UXJ14:UXM14"/>
    <mergeCell ref="UXN14:UXQ14"/>
    <mergeCell ref="VBJ14:VBM14"/>
    <mergeCell ref="VBN14:VBQ14"/>
    <mergeCell ref="VBR14:VBU14"/>
    <mergeCell ref="VBV14:VBY14"/>
    <mergeCell ref="VBZ14:VCC14"/>
    <mergeCell ref="VCD14:VCG14"/>
    <mergeCell ref="VAL14:VAO14"/>
    <mergeCell ref="VAP14:VAS14"/>
    <mergeCell ref="VAT14:VAW14"/>
    <mergeCell ref="VAX14:VBA14"/>
    <mergeCell ref="VBB14:VBE14"/>
    <mergeCell ref="VBF14:VBI14"/>
    <mergeCell ref="UZN14:UZQ14"/>
    <mergeCell ref="UZR14:UZU14"/>
    <mergeCell ref="UZV14:UZY14"/>
    <mergeCell ref="UZZ14:VAC14"/>
    <mergeCell ref="VAD14:VAG14"/>
    <mergeCell ref="VAH14:VAK14"/>
    <mergeCell ref="VED14:VEG14"/>
    <mergeCell ref="VEH14:VEK14"/>
    <mergeCell ref="VEL14:VEO14"/>
    <mergeCell ref="VEP14:VES14"/>
    <mergeCell ref="VET14:VEW14"/>
    <mergeCell ref="VEX14:VFA14"/>
    <mergeCell ref="VDF14:VDI14"/>
    <mergeCell ref="VDJ14:VDM14"/>
    <mergeCell ref="VDN14:VDQ14"/>
    <mergeCell ref="VDR14:VDU14"/>
    <mergeCell ref="VDV14:VDY14"/>
    <mergeCell ref="VDZ14:VEC14"/>
    <mergeCell ref="VCH14:VCK14"/>
    <mergeCell ref="VCL14:VCO14"/>
    <mergeCell ref="VCP14:VCS14"/>
    <mergeCell ref="VCT14:VCW14"/>
    <mergeCell ref="VCX14:VDA14"/>
    <mergeCell ref="VDB14:VDE14"/>
    <mergeCell ref="VGX14:VHA14"/>
    <mergeCell ref="VHB14:VHE14"/>
    <mergeCell ref="VHF14:VHI14"/>
    <mergeCell ref="VHJ14:VHM14"/>
    <mergeCell ref="VHN14:VHQ14"/>
    <mergeCell ref="VHR14:VHU14"/>
    <mergeCell ref="VFZ14:VGC14"/>
    <mergeCell ref="VGD14:VGG14"/>
    <mergeCell ref="VGH14:VGK14"/>
    <mergeCell ref="VGL14:VGO14"/>
    <mergeCell ref="VGP14:VGS14"/>
    <mergeCell ref="VGT14:VGW14"/>
    <mergeCell ref="VFB14:VFE14"/>
    <mergeCell ref="VFF14:VFI14"/>
    <mergeCell ref="VFJ14:VFM14"/>
    <mergeCell ref="VFN14:VFQ14"/>
    <mergeCell ref="VFR14:VFU14"/>
    <mergeCell ref="VFV14:VFY14"/>
    <mergeCell ref="VJR14:VJU14"/>
    <mergeCell ref="VJV14:VJY14"/>
    <mergeCell ref="VJZ14:VKC14"/>
    <mergeCell ref="VKD14:VKG14"/>
    <mergeCell ref="VKH14:VKK14"/>
    <mergeCell ref="VKL14:VKO14"/>
    <mergeCell ref="VIT14:VIW14"/>
    <mergeCell ref="VIX14:VJA14"/>
    <mergeCell ref="VJB14:VJE14"/>
    <mergeCell ref="VJF14:VJI14"/>
    <mergeCell ref="VJJ14:VJM14"/>
    <mergeCell ref="VJN14:VJQ14"/>
    <mergeCell ref="VHV14:VHY14"/>
    <mergeCell ref="VHZ14:VIC14"/>
    <mergeCell ref="VID14:VIG14"/>
    <mergeCell ref="VIH14:VIK14"/>
    <mergeCell ref="VIL14:VIO14"/>
    <mergeCell ref="VIP14:VIS14"/>
    <mergeCell ref="VML14:VMO14"/>
    <mergeCell ref="VMP14:VMS14"/>
    <mergeCell ref="VMT14:VMW14"/>
    <mergeCell ref="VMX14:VNA14"/>
    <mergeCell ref="VNB14:VNE14"/>
    <mergeCell ref="VNF14:VNI14"/>
    <mergeCell ref="VLN14:VLQ14"/>
    <mergeCell ref="VLR14:VLU14"/>
    <mergeCell ref="VLV14:VLY14"/>
    <mergeCell ref="VLZ14:VMC14"/>
    <mergeCell ref="VMD14:VMG14"/>
    <mergeCell ref="VMH14:VMK14"/>
    <mergeCell ref="VKP14:VKS14"/>
    <mergeCell ref="VKT14:VKW14"/>
    <mergeCell ref="VKX14:VLA14"/>
    <mergeCell ref="VLB14:VLE14"/>
    <mergeCell ref="VLF14:VLI14"/>
    <mergeCell ref="VLJ14:VLM14"/>
    <mergeCell ref="VPF14:VPI14"/>
    <mergeCell ref="VPJ14:VPM14"/>
    <mergeCell ref="VPN14:VPQ14"/>
    <mergeCell ref="VPR14:VPU14"/>
    <mergeCell ref="VPV14:VPY14"/>
    <mergeCell ref="VPZ14:VQC14"/>
    <mergeCell ref="VOH14:VOK14"/>
    <mergeCell ref="VOL14:VOO14"/>
    <mergeCell ref="VOP14:VOS14"/>
    <mergeCell ref="VOT14:VOW14"/>
    <mergeCell ref="VOX14:VPA14"/>
    <mergeCell ref="VPB14:VPE14"/>
    <mergeCell ref="VNJ14:VNM14"/>
    <mergeCell ref="VNN14:VNQ14"/>
    <mergeCell ref="VNR14:VNU14"/>
    <mergeCell ref="VNV14:VNY14"/>
    <mergeCell ref="VNZ14:VOC14"/>
    <mergeCell ref="VOD14:VOG14"/>
    <mergeCell ref="VRZ14:VSC14"/>
    <mergeCell ref="VSD14:VSG14"/>
    <mergeCell ref="VSH14:VSK14"/>
    <mergeCell ref="VSL14:VSO14"/>
    <mergeCell ref="VSP14:VSS14"/>
    <mergeCell ref="VST14:VSW14"/>
    <mergeCell ref="VRB14:VRE14"/>
    <mergeCell ref="VRF14:VRI14"/>
    <mergeCell ref="VRJ14:VRM14"/>
    <mergeCell ref="VRN14:VRQ14"/>
    <mergeCell ref="VRR14:VRU14"/>
    <mergeCell ref="VRV14:VRY14"/>
    <mergeCell ref="VQD14:VQG14"/>
    <mergeCell ref="VQH14:VQK14"/>
    <mergeCell ref="VQL14:VQO14"/>
    <mergeCell ref="VQP14:VQS14"/>
    <mergeCell ref="VQT14:VQW14"/>
    <mergeCell ref="VQX14:VRA14"/>
    <mergeCell ref="VUT14:VUW14"/>
    <mergeCell ref="VUX14:VVA14"/>
    <mergeCell ref="VVB14:VVE14"/>
    <mergeCell ref="VVF14:VVI14"/>
    <mergeCell ref="VVJ14:VVM14"/>
    <mergeCell ref="VVN14:VVQ14"/>
    <mergeCell ref="VTV14:VTY14"/>
    <mergeCell ref="VTZ14:VUC14"/>
    <mergeCell ref="VUD14:VUG14"/>
    <mergeCell ref="VUH14:VUK14"/>
    <mergeCell ref="VUL14:VUO14"/>
    <mergeCell ref="VUP14:VUS14"/>
    <mergeCell ref="VSX14:VTA14"/>
    <mergeCell ref="VTB14:VTE14"/>
    <mergeCell ref="VTF14:VTI14"/>
    <mergeCell ref="VTJ14:VTM14"/>
    <mergeCell ref="VTN14:VTQ14"/>
    <mergeCell ref="VTR14:VTU14"/>
    <mergeCell ref="VXN14:VXQ14"/>
    <mergeCell ref="VXR14:VXU14"/>
    <mergeCell ref="VXV14:VXY14"/>
    <mergeCell ref="VXZ14:VYC14"/>
    <mergeCell ref="VYD14:VYG14"/>
    <mergeCell ref="VYH14:VYK14"/>
    <mergeCell ref="VWP14:VWS14"/>
    <mergeCell ref="VWT14:VWW14"/>
    <mergeCell ref="VWX14:VXA14"/>
    <mergeCell ref="VXB14:VXE14"/>
    <mergeCell ref="VXF14:VXI14"/>
    <mergeCell ref="VXJ14:VXM14"/>
    <mergeCell ref="VVR14:VVU14"/>
    <mergeCell ref="VVV14:VVY14"/>
    <mergeCell ref="VVZ14:VWC14"/>
    <mergeCell ref="VWD14:VWG14"/>
    <mergeCell ref="VWH14:VWK14"/>
    <mergeCell ref="VWL14:VWO14"/>
    <mergeCell ref="WAH14:WAK14"/>
    <mergeCell ref="WAL14:WAO14"/>
    <mergeCell ref="WAP14:WAS14"/>
    <mergeCell ref="WAT14:WAW14"/>
    <mergeCell ref="WAX14:WBA14"/>
    <mergeCell ref="WBB14:WBE14"/>
    <mergeCell ref="VZJ14:VZM14"/>
    <mergeCell ref="VZN14:VZQ14"/>
    <mergeCell ref="VZR14:VZU14"/>
    <mergeCell ref="VZV14:VZY14"/>
    <mergeCell ref="VZZ14:WAC14"/>
    <mergeCell ref="WAD14:WAG14"/>
    <mergeCell ref="VYL14:VYO14"/>
    <mergeCell ref="VYP14:VYS14"/>
    <mergeCell ref="VYT14:VYW14"/>
    <mergeCell ref="VYX14:VZA14"/>
    <mergeCell ref="VZB14:VZE14"/>
    <mergeCell ref="VZF14:VZI14"/>
    <mergeCell ref="WDB14:WDE14"/>
    <mergeCell ref="WDF14:WDI14"/>
    <mergeCell ref="WDJ14:WDM14"/>
    <mergeCell ref="WDN14:WDQ14"/>
    <mergeCell ref="WDR14:WDU14"/>
    <mergeCell ref="WDV14:WDY14"/>
    <mergeCell ref="WCD14:WCG14"/>
    <mergeCell ref="WCH14:WCK14"/>
    <mergeCell ref="WCL14:WCO14"/>
    <mergeCell ref="WCP14:WCS14"/>
    <mergeCell ref="WCT14:WCW14"/>
    <mergeCell ref="WCX14:WDA14"/>
    <mergeCell ref="WBF14:WBI14"/>
    <mergeCell ref="WBJ14:WBM14"/>
    <mergeCell ref="WBN14:WBQ14"/>
    <mergeCell ref="WBR14:WBU14"/>
    <mergeCell ref="WBV14:WBY14"/>
    <mergeCell ref="WBZ14:WCC14"/>
    <mergeCell ref="WFV14:WFY14"/>
    <mergeCell ref="WFZ14:WGC14"/>
    <mergeCell ref="WGD14:WGG14"/>
    <mergeCell ref="WGH14:WGK14"/>
    <mergeCell ref="WGL14:WGO14"/>
    <mergeCell ref="WGP14:WGS14"/>
    <mergeCell ref="WEX14:WFA14"/>
    <mergeCell ref="WFB14:WFE14"/>
    <mergeCell ref="WFF14:WFI14"/>
    <mergeCell ref="WFJ14:WFM14"/>
    <mergeCell ref="WFN14:WFQ14"/>
    <mergeCell ref="WFR14:WFU14"/>
    <mergeCell ref="WDZ14:WEC14"/>
    <mergeCell ref="WED14:WEG14"/>
    <mergeCell ref="WEH14:WEK14"/>
    <mergeCell ref="WEL14:WEO14"/>
    <mergeCell ref="WEP14:WES14"/>
    <mergeCell ref="WET14:WEW14"/>
    <mergeCell ref="WIP14:WIS14"/>
    <mergeCell ref="WIT14:WIW14"/>
    <mergeCell ref="WIX14:WJA14"/>
    <mergeCell ref="WJB14:WJE14"/>
    <mergeCell ref="WJF14:WJI14"/>
    <mergeCell ref="WJJ14:WJM14"/>
    <mergeCell ref="WHR14:WHU14"/>
    <mergeCell ref="WHV14:WHY14"/>
    <mergeCell ref="WHZ14:WIC14"/>
    <mergeCell ref="WID14:WIG14"/>
    <mergeCell ref="WIH14:WIK14"/>
    <mergeCell ref="WIL14:WIO14"/>
    <mergeCell ref="WGT14:WGW14"/>
    <mergeCell ref="WGX14:WHA14"/>
    <mergeCell ref="WHB14:WHE14"/>
    <mergeCell ref="WHF14:WHI14"/>
    <mergeCell ref="WHJ14:WHM14"/>
    <mergeCell ref="WHN14:WHQ14"/>
    <mergeCell ref="WLJ14:WLM14"/>
    <mergeCell ref="WLN14:WLQ14"/>
    <mergeCell ref="WLR14:WLU14"/>
    <mergeCell ref="WLV14:WLY14"/>
    <mergeCell ref="WLZ14:WMC14"/>
    <mergeCell ref="WMD14:WMG14"/>
    <mergeCell ref="WKL14:WKO14"/>
    <mergeCell ref="WKP14:WKS14"/>
    <mergeCell ref="WKT14:WKW14"/>
    <mergeCell ref="WKX14:WLA14"/>
    <mergeCell ref="WLB14:WLE14"/>
    <mergeCell ref="WLF14:WLI14"/>
    <mergeCell ref="WJN14:WJQ14"/>
    <mergeCell ref="WJR14:WJU14"/>
    <mergeCell ref="WJV14:WJY14"/>
    <mergeCell ref="WJZ14:WKC14"/>
    <mergeCell ref="WKD14:WKG14"/>
    <mergeCell ref="WKH14:WKK14"/>
    <mergeCell ref="WOD14:WOG14"/>
    <mergeCell ref="WOH14:WOK14"/>
    <mergeCell ref="WOL14:WOO14"/>
    <mergeCell ref="WOP14:WOS14"/>
    <mergeCell ref="WOT14:WOW14"/>
    <mergeCell ref="WOX14:WPA14"/>
    <mergeCell ref="WNF14:WNI14"/>
    <mergeCell ref="WNJ14:WNM14"/>
    <mergeCell ref="WNN14:WNQ14"/>
    <mergeCell ref="WNR14:WNU14"/>
    <mergeCell ref="WNV14:WNY14"/>
    <mergeCell ref="WNZ14:WOC14"/>
    <mergeCell ref="WMH14:WMK14"/>
    <mergeCell ref="WML14:WMO14"/>
    <mergeCell ref="WMP14:WMS14"/>
    <mergeCell ref="WMT14:WMW14"/>
    <mergeCell ref="WMX14:WNA14"/>
    <mergeCell ref="WNB14:WNE14"/>
    <mergeCell ref="WQX14:WRA14"/>
    <mergeCell ref="WRB14:WRE14"/>
    <mergeCell ref="WRF14:WRI14"/>
    <mergeCell ref="WRJ14:WRM14"/>
    <mergeCell ref="WRN14:WRQ14"/>
    <mergeCell ref="WRR14:WRU14"/>
    <mergeCell ref="WPZ14:WQC14"/>
    <mergeCell ref="WQD14:WQG14"/>
    <mergeCell ref="WQH14:WQK14"/>
    <mergeCell ref="WQL14:WQO14"/>
    <mergeCell ref="WQP14:WQS14"/>
    <mergeCell ref="WQT14:WQW14"/>
    <mergeCell ref="WPB14:WPE14"/>
    <mergeCell ref="WPF14:WPI14"/>
    <mergeCell ref="WPJ14:WPM14"/>
    <mergeCell ref="WPN14:WPQ14"/>
    <mergeCell ref="WPR14:WPU14"/>
    <mergeCell ref="WPV14:WPY14"/>
    <mergeCell ref="WTR14:WTU14"/>
    <mergeCell ref="WTV14:WTY14"/>
    <mergeCell ref="WTZ14:WUC14"/>
    <mergeCell ref="WUD14:WUG14"/>
    <mergeCell ref="WUH14:WUK14"/>
    <mergeCell ref="WUL14:WUO14"/>
    <mergeCell ref="WST14:WSW14"/>
    <mergeCell ref="WSX14:WTA14"/>
    <mergeCell ref="WTB14:WTE14"/>
    <mergeCell ref="WTF14:WTI14"/>
    <mergeCell ref="WTJ14:WTM14"/>
    <mergeCell ref="WTN14:WTQ14"/>
    <mergeCell ref="WRV14:WRY14"/>
    <mergeCell ref="WRZ14:WSC14"/>
    <mergeCell ref="WSD14:WSG14"/>
    <mergeCell ref="WSH14:WSK14"/>
    <mergeCell ref="WSL14:WSO14"/>
    <mergeCell ref="WSP14:WSS14"/>
    <mergeCell ref="WWL14:WWO14"/>
    <mergeCell ref="WWP14:WWS14"/>
    <mergeCell ref="WWT14:WWW14"/>
    <mergeCell ref="WWX14:WXA14"/>
    <mergeCell ref="WXB14:WXE14"/>
    <mergeCell ref="WXF14:WXI14"/>
    <mergeCell ref="WVN14:WVQ14"/>
    <mergeCell ref="WVR14:WVU14"/>
    <mergeCell ref="WVV14:WVY14"/>
    <mergeCell ref="WVZ14:WWC14"/>
    <mergeCell ref="WWD14:WWG14"/>
    <mergeCell ref="WWH14:WWK14"/>
    <mergeCell ref="WUP14:WUS14"/>
    <mergeCell ref="WUT14:WUW14"/>
    <mergeCell ref="WUX14:WVA14"/>
    <mergeCell ref="WVB14:WVE14"/>
    <mergeCell ref="WVF14:WVI14"/>
    <mergeCell ref="WVJ14:WVM14"/>
    <mergeCell ref="XAL14:XAO14"/>
    <mergeCell ref="XAP14:XAS14"/>
    <mergeCell ref="XAT14:XAW14"/>
    <mergeCell ref="XAX14:XBA14"/>
    <mergeCell ref="WZF14:WZI14"/>
    <mergeCell ref="WZJ14:WZM14"/>
    <mergeCell ref="WZN14:WZQ14"/>
    <mergeCell ref="WZR14:WZU14"/>
    <mergeCell ref="WZV14:WZY14"/>
    <mergeCell ref="WZZ14:XAC14"/>
    <mergeCell ref="WYH14:WYK14"/>
    <mergeCell ref="WYL14:WYO14"/>
    <mergeCell ref="WYP14:WYS14"/>
    <mergeCell ref="WYT14:WYW14"/>
    <mergeCell ref="WYX14:WZA14"/>
    <mergeCell ref="WZB14:WZE14"/>
    <mergeCell ref="WXJ14:WXM14"/>
    <mergeCell ref="WXN14:WXQ14"/>
    <mergeCell ref="WXR14:WXU14"/>
    <mergeCell ref="WXV14:WXY14"/>
    <mergeCell ref="WXZ14:WYC14"/>
    <mergeCell ref="WYD14:WYG14"/>
    <mergeCell ref="XET14:XEW14"/>
    <mergeCell ref="XEX14:XFA14"/>
    <mergeCell ref="XDV14:XDY14"/>
    <mergeCell ref="XDZ14:XEC14"/>
    <mergeCell ref="XED14:XEG14"/>
    <mergeCell ref="XEH14:XEK14"/>
    <mergeCell ref="XEL14:XEO14"/>
    <mergeCell ref="XEP14:XES14"/>
    <mergeCell ref="XCX14:XDA14"/>
    <mergeCell ref="XDB14:XDE14"/>
    <mergeCell ref="XDF14:XDI14"/>
    <mergeCell ref="XDJ14:XDM14"/>
    <mergeCell ref="XDN14:XDQ14"/>
    <mergeCell ref="XDR14:XDU14"/>
    <mergeCell ref="XBZ14:XCC14"/>
    <mergeCell ref="XCD14:XCG14"/>
    <mergeCell ref="XCH14:XCK14"/>
    <mergeCell ref="XCL14:XCO14"/>
    <mergeCell ref="XCP14:XCS14"/>
    <mergeCell ref="XCT14:XCW14"/>
    <mergeCell ref="XBB14:XBE14"/>
    <mergeCell ref="XBF14:XBI14"/>
    <mergeCell ref="XBJ14:XBM14"/>
    <mergeCell ref="XBN14:XBQ14"/>
    <mergeCell ref="XBR14:XBU14"/>
    <mergeCell ref="XBV14:XBY14"/>
    <mergeCell ref="XAD14:XAG14"/>
    <mergeCell ref="XAH14:XAK14"/>
    <mergeCell ref="E142:I142"/>
    <mergeCell ref="J142:M142"/>
    <mergeCell ref="N142:Q142"/>
    <mergeCell ref="R142:U142"/>
    <mergeCell ref="V142:Y142"/>
    <mergeCell ref="Z142:AC142"/>
    <mergeCell ref="AD142:AG142"/>
    <mergeCell ref="AH142:AK142"/>
    <mergeCell ref="AL142:AO142"/>
    <mergeCell ref="AP142:AS142"/>
    <mergeCell ref="AT142:AW142"/>
    <mergeCell ref="AX142:BA142"/>
    <mergeCell ref="BB142:BE142"/>
    <mergeCell ref="BF142:BI142"/>
    <mergeCell ref="BJ142:BM142"/>
    <mergeCell ref="BN142:BQ142"/>
    <mergeCell ref="BR142:BU142"/>
    <mergeCell ref="BV142:BY142"/>
    <mergeCell ref="BZ142:CC142"/>
    <mergeCell ref="CD142:CG142"/>
    <mergeCell ref="CH142:CK142"/>
    <mergeCell ref="CL142:CO142"/>
    <mergeCell ref="CP142:CS142"/>
    <mergeCell ref="CT142:CW142"/>
    <mergeCell ref="EX142:FA142"/>
    <mergeCell ref="FB142:FE142"/>
    <mergeCell ref="FF142:FI142"/>
    <mergeCell ref="FJ142:FM142"/>
    <mergeCell ref="FN142:FQ142"/>
    <mergeCell ref="FR142:FU142"/>
    <mergeCell ref="FV142:FY142"/>
    <mergeCell ref="FZ142:GC142"/>
    <mergeCell ref="GD142:GG142"/>
    <mergeCell ref="GH142:GK142"/>
    <mergeCell ref="GL142:GO142"/>
    <mergeCell ref="GP142:GS142"/>
    <mergeCell ref="GT142:GW142"/>
    <mergeCell ref="GX142:HA142"/>
    <mergeCell ref="HB142:HE142"/>
    <mergeCell ref="HF142:HI142"/>
    <mergeCell ref="HJ142:HM142"/>
    <mergeCell ref="HN142:HQ142"/>
    <mergeCell ref="HR142:HU142"/>
    <mergeCell ref="HV142:HY142"/>
    <mergeCell ref="HZ142:IC142"/>
    <mergeCell ref="ID142:IG142"/>
    <mergeCell ref="IH142:IK142"/>
    <mergeCell ref="IL142:IO142"/>
    <mergeCell ref="IP142:IS142"/>
    <mergeCell ref="IT142:IW142"/>
    <mergeCell ref="IX142:JA142"/>
    <mergeCell ref="JB142:JE142"/>
    <mergeCell ref="JF142:JI142"/>
    <mergeCell ref="JJ142:JM142"/>
    <mergeCell ref="JN142:JQ142"/>
    <mergeCell ref="JR142:JU142"/>
    <mergeCell ref="JV142:JY142"/>
    <mergeCell ref="JZ142:KC142"/>
    <mergeCell ref="KD142:KG142"/>
    <mergeCell ref="KH142:KK142"/>
    <mergeCell ref="KL142:KO142"/>
    <mergeCell ref="KP142:KS142"/>
    <mergeCell ref="KT142:KW142"/>
    <mergeCell ref="KX142:LA142"/>
    <mergeCell ref="LB142:LE142"/>
    <mergeCell ref="LF142:LI142"/>
    <mergeCell ref="LJ142:LM142"/>
    <mergeCell ref="LN142:LQ142"/>
    <mergeCell ref="LR142:LU142"/>
    <mergeCell ref="LV142:LY142"/>
    <mergeCell ref="LZ142:MC142"/>
    <mergeCell ref="MD142:MG142"/>
    <mergeCell ref="MH142:MK142"/>
    <mergeCell ref="ML142:MO142"/>
    <mergeCell ref="MP142:MS142"/>
    <mergeCell ref="MT142:MW142"/>
    <mergeCell ref="MX142:NA142"/>
    <mergeCell ref="NB142:NE142"/>
    <mergeCell ref="NF142:NI142"/>
    <mergeCell ref="NJ142:NM142"/>
    <mergeCell ref="NN142:NQ142"/>
    <mergeCell ref="NR142:NU142"/>
    <mergeCell ref="NV142:NY142"/>
    <mergeCell ref="NZ142:OC142"/>
    <mergeCell ref="OD142:OG142"/>
    <mergeCell ref="OH142:OK142"/>
    <mergeCell ref="OL142:OO142"/>
    <mergeCell ref="OP142:OS142"/>
    <mergeCell ref="OT142:OW142"/>
    <mergeCell ref="OX142:PA142"/>
    <mergeCell ref="PB142:PE142"/>
    <mergeCell ref="PF142:PI142"/>
    <mergeCell ref="PJ142:PM142"/>
    <mergeCell ref="PN142:PQ142"/>
    <mergeCell ref="PR142:PU142"/>
    <mergeCell ref="PV142:PY142"/>
    <mergeCell ref="PZ142:QC142"/>
    <mergeCell ref="QD142:QG142"/>
    <mergeCell ref="QH142:QK142"/>
    <mergeCell ref="QL142:QO142"/>
    <mergeCell ref="QP142:QS142"/>
    <mergeCell ref="QT142:QW142"/>
    <mergeCell ref="QX142:RA142"/>
    <mergeCell ref="RB142:RE142"/>
    <mergeCell ref="RF142:RI142"/>
    <mergeCell ref="RJ142:RM142"/>
    <mergeCell ref="RN142:RQ142"/>
    <mergeCell ref="RR142:RU142"/>
    <mergeCell ref="RV142:RY142"/>
    <mergeCell ref="RZ142:SC142"/>
    <mergeCell ref="SD142:SG142"/>
    <mergeCell ref="SH142:SK142"/>
    <mergeCell ref="SL142:SO142"/>
    <mergeCell ref="SP142:SS142"/>
    <mergeCell ref="ST142:SW142"/>
    <mergeCell ref="SX142:TA142"/>
    <mergeCell ref="TB142:TE142"/>
    <mergeCell ref="TF142:TI142"/>
    <mergeCell ref="TJ142:TM142"/>
    <mergeCell ref="TN142:TQ142"/>
    <mergeCell ref="TR142:TU142"/>
    <mergeCell ref="TV142:TY142"/>
    <mergeCell ref="TZ142:UC142"/>
    <mergeCell ref="UD142:UG142"/>
    <mergeCell ref="UH142:UK142"/>
    <mergeCell ref="UL142:UO142"/>
    <mergeCell ref="UP142:US142"/>
    <mergeCell ref="UT142:UW142"/>
    <mergeCell ref="UX142:VA142"/>
    <mergeCell ref="VB142:VE142"/>
    <mergeCell ref="VF142:VI142"/>
    <mergeCell ref="VJ142:VM142"/>
    <mergeCell ref="VN142:VQ142"/>
    <mergeCell ref="VR142:VU142"/>
    <mergeCell ref="VV142:VY142"/>
    <mergeCell ref="VZ142:WC142"/>
    <mergeCell ref="WD142:WG142"/>
    <mergeCell ref="WH142:WK142"/>
    <mergeCell ref="WL142:WO142"/>
    <mergeCell ref="WP142:WS142"/>
    <mergeCell ref="WT142:WW142"/>
    <mergeCell ref="WX142:XA142"/>
    <mergeCell ref="XB142:XE142"/>
    <mergeCell ref="XF142:XI142"/>
    <mergeCell ref="XJ142:XM142"/>
    <mergeCell ref="XN142:XQ142"/>
    <mergeCell ref="XR142:XU142"/>
    <mergeCell ref="XV142:XY142"/>
    <mergeCell ref="XZ142:YC142"/>
    <mergeCell ref="YD142:YG142"/>
    <mergeCell ref="YH142:YK142"/>
    <mergeCell ref="YL142:YO142"/>
    <mergeCell ref="YP142:YS142"/>
    <mergeCell ref="YT142:YW142"/>
    <mergeCell ref="YX142:ZA142"/>
    <mergeCell ref="ZB142:ZE142"/>
    <mergeCell ref="ZF142:ZI142"/>
    <mergeCell ref="ZJ142:ZM142"/>
    <mergeCell ref="ZN142:ZQ142"/>
    <mergeCell ref="ZR142:ZU142"/>
    <mergeCell ref="ZV142:ZY142"/>
    <mergeCell ref="ZZ142:AAC142"/>
    <mergeCell ref="AAD142:AAG142"/>
    <mergeCell ref="AAH142:AAK142"/>
    <mergeCell ref="AAL142:AAO142"/>
    <mergeCell ref="AAP142:AAS142"/>
    <mergeCell ref="AAT142:AAW142"/>
    <mergeCell ref="AAX142:ABA142"/>
    <mergeCell ref="ABB142:ABE142"/>
    <mergeCell ref="ABF142:ABI142"/>
    <mergeCell ref="ABJ142:ABM142"/>
    <mergeCell ref="ABN142:ABQ142"/>
    <mergeCell ref="ABR142:ABU142"/>
    <mergeCell ref="ABV142:ABY142"/>
    <mergeCell ref="ABZ142:ACC142"/>
    <mergeCell ref="ACD142:ACG142"/>
    <mergeCell ref="ACH142:ACK142"/>
    <mergeCell ref="ACL142:ACO142"/>
    <mergeCell ref="ACP142:ACS142"/>
    <mergeCell ref="ACT142:ACW142"/>
    <mergeCell ref="ACX142:ADA142"/>
    <mergeCell ref="ADB142:ADE142"/>
    <mergeCell ref="ADF142:ADI142"/>
    <mergeCell ref="ADJ142:ADM142"/>
    <mergeCell ref="ADN142:ADQ142"/>
    <mergeCell ref="ADR142:ADU142"/>
    <mergeCell ref="ADV142:ADY142"/>
    <mergeCell ref="ADZ142:AEC142"/>
    <mergeCell ref="AED142:AEG142"/>
    <mergeCell ref="AEH142:AEK142"/>
    <mergeCell ref="AEL142:AEO142"/>
    <mergeCell ref="AEP142:AES142"/>
    <mergeCell ref="AET142:AEW142"/>
    <mergeCell ref="AEX142:AFA142"/>
    <mergeCell ref="AFB142:AFE142"/>
    <mergeCell ref="AFF142:AFI142"/>
    <mergeCell ref="AFJ142:AFM142"/>
    <mergeCell ref="AFN142:AFQ142"/>
    <mergeCell ref="AFR142:AFU142"/>
    <mergeCell ref="AFV142:AFY142"/>
    <mergeCell ref="AFZ142:AGC142"/>
    <mergeCell ref="AGD142:AGG142"/>
    <mergeCell ref="AGH142:AGK142"/>
    <mergeCell ref="AGL142:AGO142"/>
    <mergeCell ref="AGP142:AGS142"/>
    <mergeCell ref="AGT142:AGW142"/>
    <mergeCell ref="AGX142:AHA142"/>
    <mergeCell ref="AHB142:AHE142"/>
    <mergeCell ref="AHF142:AHI142"/>
    <mergeCell ref="AHJ142:AHM142"/>
    <mergeCell ref="AHN142:AHQ142"/>
    <mergeCell ref="AHR142:AHU142"/>
    <mergeCell ref="AHV142:AHY142"/>
    <mergeCell ref="AHZ142:AIC142"/>
    <mergeCell ref="AID142:AIG142"/>
    <mergeCell ref="AIH142:AIK142"/>
    <mergeCell ref="AIL142:AIO142"/>
    <mergeCell ref="AIP142:AIS142"/>
    <mergeCell ref="AIT142:AIW142"/>
    <mergeCell ref="AIX142:AJA142"/>
    <mergeCell ref="AJB142:AJE142"/>
    <mergeCell ref="AJF142:AJI142"/>
    <mergeCell ref="AJJ142:AJM142"/>
    <mergeCell ref="AJN142:AJQ142"/>
    <mergeCell ref="AJR142:AJU142"/>
    <mergeCell ref="AJV142:AJY142"/>
    <mergeCell ref="AJZ142:AKC142"/>
    <mergeCell ref="AKD142:AKG142"/>
    <mergeCell ref="AKH142:AKK142"/>
    <mergeCell ref="AKL142:AKO142"/>
    <mergeCell ref="AKP142:AKS142"/>
    <mergeCell ref="AKT142:AKW142"/>
    <mergeCell ref="AKX142:ALA142"/>
    <mergeCell ref="ALB142:ALE142"/>
    <mergeCell ref="ALF142:ALI142"/>
    <mergeCell ref="ALJ142:ALM142"/>
    <mergeCell ref="ALN142:ALQ142"/>
    <mergeCell ref="ALR142:ALU142"/>
    <mergeCell ref="ALV142:ALY142"/>
    <mergeCell ref="ALZ142:AMC142"/>
    <mergeCell ref="AMD142:AMG142"/>
    <mergeCell ref="AMH142:AMK142"/>
    <mergeCell ref="AML142:AMO142"/>
    <mergeCell ref="AMP142:AMS142"/>
    <mergeCell ref="AMT142:AMW142"/>
    <mergeCell ref="AMX142:ANA142"/>
    <mergeCell ref="ANB142:ANE142"/>
    <mergeCell ref="ANF142:ANI142"/>
    <mergeCell ref="ANJ142:ANM142"/>
    <mergeCell ref="ANN142:ANQ142"/>
    <mergeCell ref="ANR142:ANU142"/>
    <mergeCell ref="ANV142:ANY142"/>
    <mergeCell ref="ANZ142:AOC142"/>
    <mergeCell ref="AOD142:AOG142"/>
    <mergeCell ref="AOH142:AOK142"/>
    <mergeCell ref="AOL142:AOO142"/>
    <mergeCell ref="AOP142:AOS142"/>
    <mergeCell ref="AOT142:AOW142"/>
    <mergeCell ref="AOX142:APA142"/>
    <mergeCell ref="APB142:APE142"/>
    <mergeCell ref="APF142:API142"/>
    <mergeCell ref="APJ142:APM142"/>
    <mergeCell ref="APN142:APQ142"/>
    <mergeCell ref="APR142:APU142"/>
    <mergeCell ref="APV142:APY142"/>
    <mergeCell ref="APZ142:AQC142"/>
    <mergeCell ref="AQD142:AQG142"/>
    <mergeCell ref="AQH142:AQK142"/>
    <mergeCell ref="AQL142:AQO142"/>
    <mergeCell ref="AQP142:AQS142"/>
    <mergeCell ref="AQT142:AQW142"/>
    <mergeCell ref="AQX142:ARA142"/>
    <mergeCell ref="ARB142:ARE142"/>
    <mergeCell ref="ARF142:ARI142"/>
    <mergeCell ref="ARJ142:ARM142"/>
    <mergeCell ref="ARN142:ARQ142"/>
    <mergeCell ref="ARR142:ARU142"/>
    <mergeCell ref="ARV142:ARY142"/>
    <mergeCell ref="ARZ142:ASC142"/>
    <mergeCell ref="ASD142:ASG142"/>
    <mergeCell ref="ASH142:ASK142"/>
    <mergeCell ref="ASL142:ASO142"/>
    <mergeCell ref="ASP142:ASS142"/>
    <mergeCell ref="AST142:ASW142"/>
    <mergeCell ref="ASX142:ATA142"/>
    <mergeCell ref="ATB142:ATE142"/>
    <mergeCell ref="ATF142:ATI142"/>
    <mergeCell ref="ATJ142:ATM142"/>
    <mergeCell ref="ATN142:ATQ142"/>
    <mergeCell ref="ATR142:ATU142"/>
    <mergeCell ref="ATV142:ATY142"/>
    <mergeCell ref="ATZ142:AUC142"/>
    <mergeCell ref="AUD142:AUG142"/>
    <mergeCell ref="AUH142:AUK142"/>
    <mergeCell ref="AUL142:AUO142"/>
    <mergeCell ref="AUP142:AUS142"/>
    <mergeCell ref="AUT142:AUW142"/>
    <mergeCell ref="AUX142:AVA142"/>
    <mergeCell ref="AVB142:AVE142"/>
    <mergeCell ref="AVF142:AVI142"/>
    <mergeCell ref="AVJ142:AVM142"/>
    <mergeCell ref="AVN142:AVQ142"/>
    <mergeCell ref="AVR142:AVU142"/>
    <mergeCell ref="AVV142:AVY142"/>
    <mergeCell ref="AVZ142:AWC142"/>
    <mergeCell ref="AWD142:AWG142"/>
    <mergeCell ref="AWH142:AWK142"/>
    <mergeCell ref="AWL142:AWO142"/>
    <mergeCell ref="AWP142:AWS142"/>
    <mergeCell ref="AWT142:AWW142"/>
    <mergeCell ref="AWX142:AXA142"/>
    <mergeCell ref="AXB142:AXE142"/>
    <mergeCell ref="AXF142:AXI142"/>
    <mergeCell ref="AXJ142:AXM142"/>
    <mergeCell ref="AXN142:AXQ142"/>
    <mergeCell ref="AXR142:AXU142"/>
    <mergeCell ref="AXV142:AXY142"/>
    <mergeCell ref="AXZ142:AYC142"/>
    <mergeCell ref="AYD142:AYG142"/>
    <mergeCell ref="AYH142:AYK142"/>
    <mergeCell ref="AYL142:AYO142"/>
    <mergeCell ref="AYP142:AYS142"/>
    <mergeCell ref="AYT142:AYW142"/>
    <mergeCell ref="AYX142:AZA142"/>
    <mergeCell ref="AZB142:AZE142"/>
    <mergeCell ref="AZF142:AZI142"/>
    <mergeCell ref="AZJ142:AZM142"/>
    <mergeCell ref="AZN142:AZQ142"/>
    <mergeCell ref="AZR142:AZU142"/>
    <mergeCell ref="AZV142:AZY142"/>
    <mergeCell ref="AZZ142:BAC142"/>
    <mergeCell ref="BAD142:BAG142"/>
    <mergeCell ref="BAH142:BAK142"/>
    <mergeCell ref="BAL142:BAO142"/>
    <mergeCell ref="BAP142:BAS142"/>
    <mergeCell ref="BAT142:BAW142"/>
    <mergeCell ref="BAX142:BBA142"/>
    <mergeCell ref="BBB142:BBE142"/>
    <mergeCell ref="BBF142:BBI142"/>
    <mergeCell ref="BBJ142:BBM142"/>
    <mergeCell ref="BBN142:BBQ142"/>
    <mergeCell ref="BBR142:BBU142"/>
    <mergeCell ref="BBV142:BBY142"/>
    <mergeCell ref="BBZ142:BCC142"/>
    <mergeCell ref="BCD142:BCG142"/>
    <mergeCell ref="BCH142:BCK142"/>
    <mergeCell ref="BCL142:BCO142"/>
    <mergeCell ref="BCP142:BCS142"/>
    <mergeCell ref="BCT142:BCW142"/>
    <mergeCell ref="BCX142:BDA142"/>
    <mergeCell ref="BDB142:BDE142"/>
    <mergeCell ref="BDF142:BDI142"/>
    <mergeCell ref="BDJ142:BDM142"/>
    <mergeCell ref="BDN142:BDQ142"/>
    <mergeCell ref="BDR142:BDU142"/>
    <mergeCell ref="BDV142:BDY142"/>
    <mergeCell ref="BDZ142:BEC142"/>
    <mergeCell ref="BED142:BEG142"/>
    <mergeCell ref="BEH142:BEK142"/>
    <mergeCell ref="BEL142:BEO142"/>
    <mergeCell ref="BEP142:BES142"/>
    <mergeCell ref="BET142:BEW142"/>
    <mergeCell ref="BEX142:BFA142"/>
    <mergeCell ref="BFB142:BFE142"/>
    <mergeCell ref="BFF142:BFI142"/>
    <mergeCell ref="BFJ142:BFM142"/>
    <mergeCell ref="BFN142:BFQ142"/>
    <mergeCell ref="BFR142:BFU142"/>
    <mergeCell ref="BFV142:BFY142"/>
    <mergeCell ref="BFZ142:BGC142"/>
    <mergeCell ref="BGD142:BGG142"/>
    <mergeCell ref="BGH142:BGK142"/>
    <mergeCell ref="BGL142:BGO142"/>
    <mergeCell ref="BGP142:BGS142"/>
    <mergeCell ref="BGT142:BGW142"/>
    <mergeCell ref="BGX142:BHA142"/>
    <mergeCell ref="BHB142:BHE142"/>
    <mergeCell ref="BHF142:BHI142"/>
    <mergeCell ref="BHJ142:BHM142"/>
    <mergeCell ref="BHN142:BHQ142"/>
    <mergeCell ref="BHR142:BHU142"/>
    <mergeCell ref="BHV142:BHY142"/>
    <mergeCell ref="BHZ142:BIC142"/>
    <mergeCell ref="BID142:BIG142"/>
    <mergeCell ref="BIH142:BIK142"/>
    <mergeCell ref="BIL142:BIO142"/>
    <mergeCell ref="BIP142:BIS142"/>
    <mergeCell ref="BIT142:BIW142"/>
    <mergeCell ref="BIX142:BJA142"/>
    <mergeCell ref="BJB142:BJE142"/>
    <mergeCell ref="BJF142:BJI142"/>
    <mergeCell ref="BJJ142:BJM142"/>
    <mergeCell ref="BJN142:BJQ142"/>
    <mergeCell ref="BJR142:BJU142"/>
    <mergeCell ref="BJV142:BJY142"/>
    <mergeCell ref="BJZ142:BKC142"/>
    <mergeCell ref="BKD142:BKG142"/>
    <mergeCell ref="BKH142:BKK142"/>
    <mergeCell ref="BKL142:BKO142"/>
    <mergeCell ref="BKP142:BKS142"/>
    <mergeCell ref="BKT142:BKW142"/>
    <mergeCell ref="BKX142:BLA142"/>
    <mergeCell ref="BLB142:BLE142"/>
    <mergeCell ref="BLF142:BLI142"/>
    <mergeCell ref="BLJ142:BLM142"/>
    <mergeCell ref="BLN142:BLQ142"/>
    <mergeCell ref="BLR142:BLU142"/>
    <mergeCell ref="BLV142:BLY142"/>
    <mergeCell ref="BLZ142:BMC142"/>
    <mergeCell ref="BMD142:BMG142"/>
    <mergeCell ref="BMH142:BMK142"/>
    <mergeCell ref="BML142:BMO142"/>
    <mergeCell ref="BMP142:BMS142"/>
    <mergeCell ref="BMT142:BMW142"/>
    <mergeCell ref="BMX142:BNA142"/>
    <mergeCell ref="BNB142:BNE142"/>
    <mergeCell ref="BNF142:BNI142"/>
    <mergeCell ref="BNJ142:BNM142"/>
    <mergeCell ref="BNN142:BNQ142"/>
    <mergeCell ref="BNR142:BNU142"/>
    <mergeCell ref="BNV142:BNY142"/>
    <mergeCell ref="BNZ142:BOC142"/>
    <mergeCell ref="BOD142:BOG142"/>
    <mergeCell ref="BOH142:BOK142"/>
    <mergeCell ref="BOL142:BOO142"/>
    <mergeCell ref="BOP142:BOS142"/>
    <mergeCell ref="BOT142:BOW142"/>
    <mergeCell ref="BOX142:BPA142"/>
    <mergeCell ref="BPB142:BPE142"/>
    <mergeCell ref="BPF142:BPI142"/>
    <mergeCell ref="BPJ142:BPM142"/>
    <mergeCell ref="BPN142:BPQ142"/>
    <mergeCell ref="BPR142:BPU142"/>
    <mergeCell ref="BPV142:BPY142"/>
    <mergeCell ref="BPZ142:BQC142"/>
    <mergeCell ref="BQD142:BQG142"/>
    <mergeCell ref="BQH142:BQK142"/>
    <mergeCell ref="BQL142:BQO142"/>
    <mergeCell ref="BQP142:BQS142"/>
    <mergeCell ref="BQT142:BQW142"/>
    <mergeCell ref="BQX142:BRA142"/>
    <mergeCell ref="BRB142:BRE142"/>
    <mergeCell ref="BRF142:BRI142"/>
    <mergeCell ref="BRJ142:BRM142"/>
    <mergeCell ref="BRN142:BRQ142"/>
    <mergeCell ref="BRR142:BRU142"/>
    <mergeCell ref="BRV142:BRY142"/>
    <mergeCell ref="BRZ142:BSC142"/>
    <mergeCell ref="BSD142:BSG142"/>
    <mergeCell ref="BSH142:BSK142"/>
    <mergeCell ref="BSL142:BSO142"/>
    <mergeCell ref="BSP142:BSS142"/>
    <mergeCell ref="BST142:BSW142"/>
    <mergeCell ref="BSX142:BTA142"/>
    <mergeCell ref="BTB142:BTE142"/>
    <mergeCell ref="BTF142:BTI142"/>
    <mergeCell ref="BTJ142:BTM142"/>
    <mergeCell ref="BTN142:BTQ142"/>
    <mergeCell ref="BTR142:BTU142"/>
    <mergeCell ref="BTV142:BTY142"/>
    <mergeCell ref="BTZ142:BUC142"/>
    <mergeCell ref="BUD142:BUG142"/>
    <mergeCell ref="BUH142:BUK142"/>
    <mergeCell ref="BUL142:BUO142"/>
    <mergeCell ref="BUP142:BUS142"/>
    <mergeCell ref="BUT142:BUW142"/>
    <mergeCell ref="BUX142:BVA142"/>
    <mergeCell ref="BVB142:BVE142"/>
    <mergeCell ref="BVF142:BVI142"/>
    <mergeCell ref="BVJ142:BVM142"/>
    <mergeCell ref="BVN142:BVQ142"/>
    <mergeCell ref="BVR142:BVU142"/>
    <mergeCell ref="BVV142:BVY142"/>
    <mergeCell ref="BVZ142:BWC142"/>
    <mergeCell ref="BWD142:BWG142"/>
    <mergeCell ref="BWH142:BWK142"/>
    <mergeCell ref="BWL142:BWO142"/>
    <mergeCell ref="BWP142:BWS142"/>
    <mergeCell ref="BWT142:BWW142"/>
    <mergeCell ref="BWX142:BXA142"/>
    <mergeCell ref="BXB142:BXE142"/>
    <mergeCell ref="BXF142:BXI142"/>
    <mergeCell ref="BXJ142:BXM142"/>
    <mergeCell ref="BXN142:BXQ142"/>
    <mergeCell ref="BXR142:BXU142"/>
    <mergeCell ref="BXV142:BXY142"/>
    <mergeCell ref="BXZ142:BYC142"/>
    <mergeCell ref="BYD142:BYG142"/>
    <mergeCell ref="BYH142:BYK142"/>
    <mergeCell ref="BYL142:BYO142"/>
    <mergeCell ref="BYP142:BYS142"/>
    <mergeCell ref="BYT142:BYW142"/>
    <mergeCell ref="BYX142:BZA142"/>
    <mergeCell ref="BZB142:BZE142"/>
    <mergeCell ref="BZF142:BZI142"/>
    <mergeCell ref="BZJ142:BZM142"/>
    <mergeCell ref="BZN142:BZQ142"/>
    <mergeCell ref="BZR142:BZU142"/>
    <mergeCell ref="BZV142:BZY142"/>
    <mergeCell ref="BZZ142:CAC142"/>
    <mergeCell ref="CAD142:CAG142"/>
    <mergeCell ref="CAH142:CAK142"/>
    <mergeCell ref="CAL142:CAO142"/>
    <mergeCell ref="CAP142:CAS142"/>
    <mergeCell ref="CAT142:CAW142"/>
    <mergeCell ref="CAX142:CBA142"/>
    <mergeCell ref="CBB142:CBE142"/>
    <mergeCell ref="CBF142:CBI142"/>
    <mergeCell ref="CBJ142:CBM142"/>
    <mergeCell ref="CBN142:CBQ142"/>
    <mergeCell ref="CBR142:CBU142"/>
    <mergeCell ref="CBV142:CBY142"/>
    <mergeCell ref="CBZ142:CCC142"/>
    <mergeCell ref="CCD142:CCG142"/>
    <mergeCell ref="CCH142:CCK142"/>
    <mergeCell ref="CCL142:CCO142"/>
    <mergeCell ref="CCP142:CCS142"/>
    <mergeCell ref="CCT142:CCW142"/>
    <mergeCell ref="CCX142:CDA142"/>
    <mergeCell ref="CDB142:CDE142"/>
    <mergeCell ref="CDF142:CDI142"/>
    <mergeCell ref="CDJ142:CDM142"/>
    <mergeCell ref="CDN142:CDQ142"/>
    <mergeCell ref="CDR142:CDU142"/>
    <mergeCell ref="CDV142:CDY142"/>
    <mergeCell ref="CDZ142:CEC142"/>
    <mergeCell ref="CED142:CEG142"/>
    <mergeCell ref="CEH142:CEK142"/>
    <mergeCell ref="CEL142:CEO142"/>
    <mergeCell ref="CEP142:CES142"/>
    <mergeCell ref="CET142:CEW142"/>
    <mergeCell ref="CEX142:CFA142"/>
    <mergeCell ref="CFB142:CFE142"/>
    <mergeCell ref="CFF142:CFI142"/>
    <mergeCell ref="CFJ142:CFM142"/>
    <mergeCell ref="CFN142:CFQ142"/>
    <mergeCell ref="CFR142:CFU142"/>
    <mergeCell ref="CFV142:CFY142"/>
    <mergeCell ref="CFZ142:CGC142"/>
    <mergeCell ref="CGD142:CGG142"/>
    <mergeCell ref="CGH142:CGK142"/>
    <mergeCell ref="CGL142:CGO142"/>
    <mergeCell ref="CGP142:CGS142"/>
    <mergeCell ref="CGT142:CGW142"/>
    <mergeCell ref="CGX142:CHA142"/>
    <mergeCell ref="CHB142:CHE142"/>
    <mergeCell ref="CHF142:CHI142"/>
    <mergeCell ref="CHJ142:CHM142"/>
    <mergeCell ref="CHN142:CHQ142"/>
    <mergeCell ref="CHR142:CHU142"/>
    <mergeCell ref="CHV142:CHY142"/>
    <mergeCell ref="CHZ142:CIC142"/>
    <mergeCell ref="CID142:CIG142"/>
    <mergeCell ref="CIH142:CIK142"/>
    <mergeCell ref="CIL142:CIO142"/>
    <mergeCell ref="CIP142:CIS142"/>
    <mergeCell ref="CIT142:CIW142"/>
    <mergeCell ref="CIX142:CJA142"/>
    <mergeCell ref="CJB142:CJE142"/>
    <mergeCell ref="CJF142:CJI142"/>
    <mergeCell ref="CJJ142:CJM142"/>
    <mergeCell ref="CJN142:CJQ142"/>
    <mergeCell ref="CJR142:CJU142"/>
    <mergeCell ref="CJV142:CJY142"/>
    <mergeCell ref="CJZ142:CKC142"/>
    <mergeCell ref="CKD142:CKG142"/>
    <mergeCell ref="CKH142:CKK142"/>
    <mergeCell ref="CKL142:CKO142"/>
    <mergeCell ref="CKP142:CKS142"/>
    <mergeCell ref="CKT142:CKW142"/>
    <mergeCell ref="CKX142:CLA142"/>
    <mergeCell ref="CLB142:CLE142"/>
    <mergeCell ref="CLF142:CLI142"/>
    <mergeCell ref="CLJ142:CLM142"/>
    <mergeCell ref="CLN142:CLQ142"/>
    <mergeCell ref="CLR142:CLU142"/>
    <mergeCell ref="CLV142:CLY142"/>
    <mergeCell ref="CLZ142:CMC142"/>
    <mergeCell ref="CMD142:CMG142"/>
    <mergeCell ref="CMH142:CMK142"/>
    <mergeCell ref="CML142:CMO142"/>
    <mergeCell ref="CMP142:CMS142"/>
    <mergeCell ref="CMT142:CMW142"/>
    <mergeCell ref="CMX142:CNA142"/>
    <mergeCell ref="CNB142:CNE142"/>
    <mergeCell ref="CNF142:CNI142"/>
    <mergeCell ref="CNJ142:CNM142"/>
    <mergeCell ref="CNN142:CNQ142"/>
    <mergeCell ref="CNR142:CNU142"/>
    <mergeCell ref="CNV142:CNY142"/>
    <mergeCell ref="CNZ142:COC142"/>
    <mergeCell ref="COD142:COG142"/>
    <mergeCell ref="COH142:COK142"/>
    <mergeCell ref="COL142:COO142"/>
    <mergeCell ref="COP142:COS142"/>
    <mergeCell ref="COT142:COW142"/>
    <mergeCell ref="COX142:CPA142"/>
    <mergeCell ref="CPB142:CPE142"/>
    <mergeCell ref="CPF142:CPI142"/>
    <mergeCell ref="CPJ142:CPM142"/>
    <mergeCell ref="CPN142:CPQ142"/>
    <mergeCell ref="CPR142:CPU142"/>
    <mergeCell ref="CPV142:CPY142"/>
    <mergeCell ref="CPZ142:CQC142"/>
    <mergeCell ref="CQD142:CQG142"/>
    <mergeCell ref="CQH142:CQK142"/>
    <mergeCell ref="CQL142:CQO142"/>
    <mergeCell ref="CQP142:CQS142"/>
    <mergeCell ref="CQT142:CQW142"/>
    <mergeCell ref="CQX142:CRA142"/>
    <mergeCell ref="CRB142:CRE142"/>
    <mergeCell ref="CRF142:CRI142"/>
    <mergeCell ref="CRJ142:CRM142"/>
    <mergeCell ref="CRN142:CRQ142"/>
    <mergeCell ref="CRR142:CRU142"/>
    <mergeCell ref="CRV142:CRY142"/>
    <mergeCell ref="CRZ142:CSC142"/>
    <mergeCell ref="CSD142:CSG142"/>
    <mergeCell ref="CSH142:CSK142"/>
    <mergeCell ref="CSL142:CSO142"/>
    <mergeCell ref="CSP142:CSS142"/>
    <mergeCell ref="CST142:CSW142"/>
    <mergeCell ref="CSX142:CTA142"/>
    <mergeCell ref="CTB142:CTE142"/>
    <mergeCell ref="CTF142:CTI142"/>
    <mergeCell ref="CTJ142:CTM142"/>
    <mergeCell ref="CTN142:CTQ142"/>
    <mergeCell ref="CTR142:CTU142"/>
    <mergeCell ref="CTV142:CTY142"/>
    <mergeCell ref="CTZ142:CUC142"/>
    <mergeCell ref="CUD142:CUG142"/>
    <mergeCell ref="CUH142:CUK142"/>
    <mergeCell ref="CUL142:CUO142"/>
    <mergeCell ref="CUP142:CUS142"/>
    <mergeCell ref="CUT142:CUW142"/>
    <mergeCell ref="CUX142:CVA142"/>
    <mergeCell ref="CVB142:CVE142"/>
    <mergeCell ref="CVF142:CVI142"/>
    <mergeCell ref="CVJ142:CVM142"/>
    <mergeCell ref="CVN142:CVQ142"/>
    <mergeCell ref="CVR142:CVU142"/>
    <mergeCell ref="CVV142:CVY142"/>
    <mergeCell ref="CVZ142:CWC142"/>
    <mergeCell ref="CWD142:CWG142"/>
    <mergeCell ref="CWH142:CWK142"/>
    <mergeCell ref="CWL142:CWO142"/>
    <mergeCell ref="CWP142:CWS142"/>
    <mergeCell ref="CWT142:CWW142"/>
    <mergeCell ref="CWX142:CXA142"/>
    <mergeCell ref="CXB142:CXE142"/>
    <mergeCell ref="CXF142:CXI142"/>
    <mergeCell ref="CXJ142:CXM142"/>
    <mergeCell ref="CXN142:CXQ142"/>
    <mergeCell ref="CXR142:CXU142"/>
    <mergeCell ref="CXV142:CXY142"/>
    <mergeCell ref="CXZ142:CYC142"/>
    <mergeCell ref="CYD142:CYG142"/>
    <mergeCell ref="CYH142:CYK142"/>
    <mergeCell ref="CYL142:CYO142"/>
    <mergeCell ref="CYP142:CYS142"/>
    <mergeCell ref="CYT142:CYW142"/>
    <mergeCell ref="CYX142:CZA142"/>
    <mergeCell ref="CZB142:CZE142"/>
    <mergeCell ref="CZF142:CZI142"/>
    <mergeCell ref="CZJ142:CZM142"/>
    <mergeCell ref="CZN142:CZQ142"/>
    <mergeCell ref="CZR142:CZU142"/>
    <mergeCell ref="CZV142:CZY142"/>
    <mergeCell ref="CZZ142:DAC142"/>
    <mergeCell ref="DAD142:DAG142"/>
    <mergeCell ref="DAH142:DAK142"/>
    <mergeCell ref="DAL142:DAO142"/>
    <mergeCell ref="DAP142:DAS142"/>
    <mergeCell ref="DAT142:DAW142"/>
    <mergeCell ref="DAX142:DBA142"/>
    <mergeCell ref="DBB142:DBE142"/>
    <mergeCell ref="DBF142:DBI142"/>
    <mergeCell ref="DBJ142:DBM142"/>
    <mergeCell ref="DBN142:DBQ142"/>
    <mergeCell ref="DBR142:DBU142"/>
    <mergeCell ref="DBV142:DBY142"/>
    <mergeCell ref="DBZ142:DCC142"/>
    <mergeCell ref="DCD142:DCG142"/>
    <mergeCell ref="DCH142:DCK142"/>
    <mergeCell ref="DCL142:DCO142"/>
    <mergeCell ref="DCP142:DCS142"/>
    <mergeCell ref="DCT142:DCW142"/>
    <mergeCell ref="DCX142:DDA142"/>
    <mergeCell ref="DDB142:DDE142"/>
    <mergeCell ref="DDF142:DDI142"/>
    <mergeCell ref="DDJ142:DDM142"/>
    <mergeCell ref="DDN142:DDQ142"/>
    <mergeCell ref="DDR142:DDU142"/>
    <mergeCell ref="DDV142:DDY142"/>
    <mergeCell ref="DDZ142:DEC142"/>
    <mergeCell ref="DED142:DEG142"/>
    <mergeCell ref="DEH142:DEK142"/>
    <mergeCell ref="DEL142:DEO142"/>
    <mergeCell ref="DEP142:DES142"/>
    <mergeCell ref="DET142:DEW142"/>
    <mergeCell ref="DEX142:DFA142"/>
    <mergeCell ref="DFB142:DFE142"/>
    <mergeCell ref="DFF142:DFI142"/>
    <mergeCell ref="DFJ142:DFM142"/>
    <mergeCell ref="DFN142:DFQ142"/>
    <mergeCell ref="DFR142:DFU142"/>
    <mergeCell ref="DFV142:DFY142"/>
    <mergeCell ref="DFZ142:DGC142"/>
    <mergeCell ref="DGD142:DGG142"/>
    <mergeCell ref="DGH142:DGK142"/>
    <mergeCell ref="DGL142:DGO142"/>
    <mergeCell ref="DGP142:DGS142"/>
    <mergeCell ref="DGT142:DGW142"/>
    <mergeCell ref="DGX142:DHA142"/>
    <mergeCell ref="DHB142:DHE142"/>
    <mergeCell ref="DHF142:DHI142"/>
    <mergeCell ref="DHJ142:DHM142"/>
    <mergeCell ref="DHN142:DHQ142"/>
    <mergeCell ref="DHR142:DHU142"/>
    <mergeCell ref="DHV142:DHY142"/>
    <mergeCell ref="DHZ142:DIC142"/>
    <mergeCell ref="DID142:DIG142"/>
    <mergeCell ref="DIH142:DIK142"/>
    <mergeCell ref="DIL142:DIO142"/>
    <mergeCell ref="DIP142:DIS142"/>
    <mergeCell ref="DIT142:DIW142"/>
    <mergeCell ref="DIX142:DJA142"/>
    <mergeCell ref="DJB142:DJE142"/>
    <mergeCell ref="DJF142:DJI142"/>
    <mergeCell ref="DJJ142:DJM142"/>
    <mergeCell ref="DJN142:DJQ142"/>
    <mergeCell ref="DJR142:DJU142"/>
    <mergeCell ref="DJV142:DJY142"/>
    <mergeCell ref="DJZ142:DKC142"/>
    <mergeCell ref="DKD142:DKG142"/>
    <mergeCell ref="DKH142:DKK142"/>
    <mergeCell ref="DKL142:DKO142"/>
    <mergeCell ref="DKP142:DKS142"/>
    <mergeCell ref="DKT142:DKW142"/>
    <mergeCell ref="DKX142:DLA142"/>
    <mergeCell ref="DLB142:DLE142"/>
    <mergeCell ref="DLF142:DLI142"/>
    <mergeCell ref="DLJ142:DLM142"/>
    <mergeCell ref="DLN142:DLQ142"/>
    <mergeCell ref="DLR142:DLU142"/>
    <mergeCell ref="DLV142:DLY142"/>
    <mergeCell ref="DLZ142:DMC142"/>
    <mergeCell ref="DMD142:DMG142"/>
    <mergeCell ref="DMH142:DMK142"/>
    <mergeCell ref="DML142:DMO142"/>
    <mergeCell ref="DMP142:DMS142"/>
    <mergeCell ref="DMT142:DMW142"/>
    <mergeCell ref="DMX142:DNA142"/>
    <mergeCell ref="DNB142:DNE142"/>
    <mergeCell ref="DNF142:DNI142"/>
    <mergeCell ref="DNJ142:DNM142"/>
    <mergeCell ref="DNN142:DNQ142"/>
    <mergeCell ref="DNR142:DNU142"/>
    <mergeCell ref="DNV142:DNY142"/>
    <mergeCell ref="DNZ142:DOC142"/>
    <mergeCell ref="DOD142:DOG142"/>
    <mergeCell ref="DOH142:DOK142"/>
    <mergeCell ref="DOL142:DOO142"/>
    <mergeCell ref="DOP142:DOS142"/>
    <mergeCell ref="DOT142:DOW142"/>
    <mergeCell ref="DOX142:DPA142"/>
    <mergeCell ref="DPB142:DPE142"/>
    <mergeCell ref="DPF142:DPI142"/>
    <mergeCell ref="DPJ142:DPM142"/>
    <mergeCell ref="DPN142:DPQ142"/>
    <mergeCell ref="DPR142:DPU142"/>
    <mergeCell ref="DPV142:DPY142"/>
    <mergeCell ref="DPZ142:DQC142"/>
    <mergeCell ref="DQD142:DQG142"/>
    <mergeCell ref="DQH142:DQK142"/>
    <mergeCell ref="DQL142:DQO142"/>
    <mergeCell ref="DQP142:DQS142"/>
    <mergeCell ref="DQT142:DQW142"/>
    <mergeCell ref="DQX142:DRA142"/>
    <mergeCell ref="DRB142:DRE142"/>
    <mergeCell ref="DRF142:DRI142"/>
    <mergeCell ref="DRJ142:DRM142"/>
    <mergeCell ref="DRN142:DRQ142"/>
    <mergeCell ref="DRR142:DRU142"/>
    <mergeCell ref="DRV142:DRY142"/>
    <mergeCell ref="DRZ142:DSC142"/>
    <mergeCell ref="DSD142:DSG142"/>
    <mergeCell ref="DSH142:DSK142"/>
    <mergeCell ref="DSL142:DSO142"/>
    <mergeCell ref="DSP142:DSS142"/>
    <mergeCell ref="DST142:DSW142"/>
    <mergeCell ref="DSX142:DTA142"/>
    <mergeCell ref="DTB142:DTE142"/>
    <mergeCell ref="DTF142:DTI142"/>
    <mergeCell ref="DTJ142:DTM142"/>
    <mergeCell ref="DTN142:DTQ142"/>
    <mergeCell ref="DTR142:DTU142"/>
    <mergeCell ref="DTV142:DTY142"/>
    <mergeCell ref="DTZ142:DUC142"/>
    <mergeCell ref="DUD142:DUG142"/>
    <mergeCell ref="DUH142:DUK142"/>
    <mergeCell ref="DUL142:DUO142"/>
    <mergeCell ref="DUP142:DUS142"/>
    <mergeCell ref="DUT142:DUW142"/>
    <mergeCell ref="DUX142:DVA142"/>
    <mergeCell ref="DVB142:DVE142"/>
    <mergeCell ref="DVF142:DVI142"/>
    <mergeCell ref="DVJ142:DVM142"/>
    <mergeCell ref="DVN142:DVQ142"/>
    <mergeCell ref="DVR142:DVU142"/>
    <mergeCell ref="DVV142:DVY142"/>
    <mergeCell ref="DVZ142:DWC142"/>
    <mergeCell ref="DWD142:DWG142"/>
    <mergeCell ref="DWH142:DWK142"/>
    <mergeCell ref="DWL142:DWO142"/>
    <mergeCell ref="DWP142:DWS142"/>
    <mergeCell ref="DWT142:DWW142"/>
    <mergeCell ref="DWX142:DXA142"/>
    <mergeCell ref="DXB142:DXE142"/>
    <mergeCell ref="DXF142:DXI142"/>
    <mergeCell ref="DXJ142:DXM142"/>
    <mergeCell ref="DXN142:DXQ142"/>
    <mergeCell ref="DXR142:DXU142"/>
    <mergeCell ref="DXV142:DXY142"/>
    <mergeCell ref="DXZ142:DYC142"/>
    <mergeCell ref="DYD142:DYG142"/>
    <mergeCell ref="DYH142:DYK142"/>
    <mergeCell ref="DYL142:DYO142"/>
    <mergeCell ref="DYP142:DYS142"/>
    <mergeCell ref="DYT142:DYW142"/>
    <mergeCell ref="DYX142:DZA142"/>
    <mergeCell ref="DZB142:DZE142"/>
    <mergeCell ref="DZF142:DZI142"/>
    <mergeCell ref="DZJ142:DZM142"/>
    <mergeCell ref="DZN142:DZQ142"/>
    <mergeCell ref="DZR142:DZU142"/>
    <mergeCell ref="DZV142:DZY142"/>
    <mergeCell ref="DZZ142:EAC142"/>
    <mergeCell ref="EAD142:EAG142"/>
    <mergeCell ref="EAH142:EAK142"/>
    <mergeCell ref="EAL142:EAO142"/>
    <mergeCell ref="EAP142:EAS142"/>
    <mergeCell ref="EAT142:EAW142"/>
    <mergeCell ref="EAX142:EBA142"/>
    <mergeCell ref="EBB142:EBE142"/>
    <mergeCell ref="EBF142:EBI142"/>
    <mergeCell ref="EBJ142:EBM142"/>
    <mergeCell ref="EBN142:EBQ142"/>
    <mergeCell ref="EBR142:EBU142"/>
    <mergeCell ref="EBV142:EBY142"/>
    <mergeCell ref="EBZ142:ECC142"/>
    <mergeCell ref="ECD142:ECG142"/>
    <mergeCell ref="ECH142:ECK142"/>
    <mergeCell ref="ECL142:ECO142"/>
    <mergeCell ref="ECP142:ECS142"/>
    <mergeCell ref="ECT142:ECW142"/>
    <mergeCell ref="ECX142:EDA142"/>
    <mergeCell ref="EDB142:EDE142"/>
    <mergeCell ref="EDF142:EDI142"/>
    <mergeCell ref="EDJ142:EDM142"/>
    <mergeCell ref="EDN142:EDQ142"/>
    <mergeCell ref="EDR142:EDU142"/>
    <mergeCell ref="EDV142:EDY142"/>
    <mergeCell ref="EDZ142:EEC142"/>
    <mergeCell ref="EED142:EEG142"/>
    <mergeCell ref="EEH142:EEK142"/>
    <mergeCell ref="EEL142:EEO142"/>
    <mergeCell ref="EEP142:EES142"/>
    <mergeCell ref="EET142:EEW142"/>
    <mergeCell ref="EEX142:EFA142"/>
    <mergeCell ref="EFB142:EFE142"/>
    <mergeCell ref="EFF142:EFI142"/>
    <mergeCell ref="EFJ142:EFM142"/>
    <mergeCell ref="EFN142:EFQ142"/>
    <mergeCell ref="EFR142:EFU142"/>
    <mergeCell ref="EFV142:EFY142"/>
    <mergeCell ref="EFZ142:EGC142"/>
    <mergeCell ref="EGD142:EGG142"/>
    <mergeCell ref="EGH142:EGK142"/>
    <mergeCell ref="EGL142:EGO142"/>
    <mergeCell ref="EGP142:EGS142"/>
    <mergeCell ref="EGT142:EGW142"/>
    <mergeCell ref="EGX142:EHA142"/>
    <mergeCell ref="EHB142:EHE142"/>
    <mergeCell ref="EHF142:EHI142"/>
    <mergeCell ref="EHJ142:EHM142"/>
    <mergeCell ref="EHN142:EHQ142"/>
    <mergeCell ref="EHR142:EHU142"/>
    <mergeCell ref="EHV142:EHY142"/>
    <mergeCell ref="EHZ142:EIC142"/>
    <mergeCell ref="EID142:EIG142"/>
    <mergeCell ref="EIH142:EIK142"/>
    <mergeCell ref="EIL142:EIO142"/>
    <mergeCell ref="EIP142:EIS142"/>
    <mergeCell ref="EIT142:EIW142"/>
    <mergeCell ref="EIX142:EJA142"/>
    <mergeCell ref="EJB142:EJE142"/>
    <mergeCell ref="EJF142:EJI142"/>
    <mergeCell ref="EJJ142:EJM142"/>
    <mergeCell ref="EJN142:EJQ142"/>
    <mergeCell ref="EJR142:EJU142"/>
    <mergeCell ref="EJV142:EJY142"/>
    <mergeCell ref="EJZ142:EKC142"/>
    <mergeCell ref="EKD142:EKG142"/>
    <mergeCell ref="EKH142:EKK142"/>
    <mergeCell ref="EKL142:EKO142"/>
    <mergeCell ref="EKP142:EKS142"/>
    <mergeCell ref="EKT142:EKW142"/>
    <mergeCell ref="EKX142:ELA142"/>
    <mergeCell ref="ELB142:ELE142"/>
    <mergeCell ref="ELF142:ELI142"/>
    <mergeCell ref="ELJ142:ELM142"/>
    <mergeCell ref="ELN142:ELQ142"/>
    <mergeCell ref="ELR142:ELU142"/>
    <mergeCell ref="ELV142:ELY142"/>
    <mergeCell ref="ELZ142:EMC142"/>
    <mergeCell ref="EMD142:EMG142"/>
    <mergeCell ref="EMH142:EMK142"/>
    <mergeCell ref="EML142:EMO142"/>
    <mergeCell ref="EMP142:EMS142"/>
    <mergeCell ref="EMT142:EMW142"/>
    <mergeCell ref="EMX142:ENA142"/>
    <mergeCell ref="ENB142:ENE142"/>
    <mergeCell ref="ENF142:ENI142"/>
    <mergeCell ref="ENJ142:ENM142"/>
    <mergeCell ref="ENN142:ENQ142"/>
    <mergeCell ref="ENR142:ENU142"/>
    <mergeCell ref="ENV142:ENY142"/>
    <mergeCell ref="ENZ142:EOC142"/>
    <mergeCell ref="EOD142:EOG142"/>
    <mergeCell ref="EOH142:EOK142"/>
    <mergeCell ref="EOL142:EOO142"/>
    <mergeCell ref="EOP142:EOS142"/>
    <mergeCell ref="EOT142:EOW142"/>
    <mergeCell ref="EOX142:EPA142"/>
    <mergeCell ref="EPB142:EPE142"/>
    <mergeCell ref="EPF142:EPI142"/>
    <mergeCell ref="EPJ142:EPM142"/>
    <mergeCell ref="EPN142:EPQ142"/>
    <mergeCell ref="EPR142:EPU142"/>
    <mergeCell ref="EPV142:EPY142"/>
    <mergeCell ref="EPZ142:EQC142"/>
    <mergeCell ref="EQD142:EQG142"/>
    <mergeCell ref="EQH142:EQK142"/>
    <mergeCell ref="EQL142:EQO142"/>
    <mergeCell ref="EQP142:EQS142"/>
    <mergeCell ref="EQT142:EQW142"/>
    <mergeCell ref="EQX142:ERA142"/>
    <mergeCell ref="ERB142:ERE142"/>
    <mergeCell ref="ERF142:ERI142"/>
    <mergeCell ref="ERJ142:ERM142"/>
    <mergeCell ref="ERN142:ERQ142"/>
    <mergeCell ref="ERR142:ERU142"/>
    <mergeCell ref="ERV142:ERY142"/>
    <mergeCell ref="ERZ142:ESC142"/>
    <mergeCell ref="ESD142:ESG142"/>
    <mergeCell ref="ESH142:ESK142"/>
    <mergeCell ref="ESL142:ESO142"/>
    <mergeCell ref="ESP142:ESS142"/>
    <mergeCell ref="EST142:ESW142"/>
    <mergeCell ref="ESX142:ETA142"/>
    <mergeCell ref="ETB142:ETE142"/>
    <mergeCell ref="ETF142:ETI142"/>
    <mergeCell ref="ETJ142:ETM142"/>
    <mergeCell ref="ETN142:ETQ142"/>
    <mergeCell ref="ETR142:ETU142"/>
    <mergeCell ref="ETV142:ETY142"/>
    <mergeCell ref="ETZ142:EUC142"/>
    <mergeCell ref="EUD142:EUG142"/>
    <mergeCell ref="EUH142:EUK142"/>
    <mergeCell ref="EUL142:EUO142"/>
    <mergeCell ref="EUP142:EUS142"/>
    <mergeCell ref="EUT142:EUW142"/>
    <mergeCell ref="EUX142:EVA142"/>
    <mergeCell ref="EVB142:EVE142"/>
    <mergeCell ref="EVF142:EVI142"/>
    <mergeCell ref="EVJ142:EVM142"/>
    <mergeCell ref="EVN142:EVQ142"/>
    <mergeCell ref="EVR142:EVU142"/>
    <mergeCell ref="EVV142:EVY142"/>
    <mergeCell ref="EVZ142:EWC142"/>
    <mergeCell ref="EWD142:EWG142"/>
    <mergeCell ref="EWH142:EWK142"/>
    <mergeCell ref="EWL142:EWO142"/>
    <mergeCell ref="EWP142:EWS142"/>
    <mergeCell ref="EWT142:EWW142"/>
    <mergeCell ref="EWX142:EXA142"/>
    <mergeCell ref="EXB142:EXE142"/>
    <mergeCell ref="EXF142:EXI142"/>
    <mergeCell ref="EXJ142:EXM142"/>
    <mergeCell ref="EXN142:EXQ142"/>
    <mergeCell ref="EXR142:EXU142"/>
    <mergeCell ref="EXV142:EXY142"/>
    <mergeCell ref="EXZ142:EYC142"/>
    <mergeCell ref="EYD142:EYG142"/>
    <mergeCell ref="EYH142:EYK142"/>
    <mergeCell ref="EYL142:EYO142"/>
    <mergeCell ref="EYP142:EYS142"/>
    <mergeCell ref="EYT142:EYW142"/>
    <mergeCell ref="EYX142:EZA142"/>
    <mergeCell ref="EZB142:EZE142"/>
    <mergeCell ref="EZF142:EZI142"/>
    <mergeCell ref="EZJ142:EZM142"/>
    <mergeCell ref="EZN142:EZQ142"/>
    <mergeCell ref="EZR142:EZU142"/>
    <mergeCell ref="EZV142:EZY142"/>
    <mergeCell ref="EZZ142:FAC142"/>
    <mergeCell ref="FAD142:FAG142"/>
    <mergeCell ref="FAH142:FAK142"/>
    <mergeCell ref="FAL142:FAO142"/>
    <mergeCell ref="FAP142:FAS142"/>
    <mergeCell ref="FAT142:FAW142"/>
    <mergeCell ref="FAX142:FBA142"/>
    <mergeCell ref="FBB142:FBE142"/>
    <mergeCell ref="FBF142:FBI142"/>
    <mergeCell ref="FBJ142:FBM142"/>
    <mergeCell ref="FBN142:FBQ142"/>
    <mergeCell ref="FBR142:FBU142"/>
    <mergeCell ref="FBV142:FBY142"/>
    <mergeCell ref="FBZ142:FCC142"/>
    <mergeCell ref="FCD142:FCG142"/>
    <mergeCell ref="FCH142:FCK142"/>
    <mergeCell ref="FCL142:FCO142"/>
    <mergeCell ref="FCP142:FCS142"/>
    <mergeCell ref="FCT142:FCW142"/>
    <mergeCell ref="FCX142:FDA142"/>
    <mergeCell ref="FDB142:FDE142"/>
    <mergeCell ref="FDF142:FDI142"/>
    <mergeCell ref="FDJ142:FDM142"/>
    <mergeCell ref="FDN142:FDQ142"/>
    <mergeCell ref="FDR142:FDU142"/>
    <mergeCell ref="FDV142:FDY142"/>
    <mergeCell ref="FDZ142:FEC142"/>
    <mergeCell ref="FED142:FEG142"/>
    <mergeCell ref="FEH142:FEK142"/>
    <mergeCell ref="FEL142:FEO142"/>
    <mergeCell ref="FEP142:FES142"/>
    <mergeCell ref="FET142:FEW142"/>
    <mergeCell ref="FEX142:FFA142"/>
    <mergeCell ref="FFB142:FFE142"/>
    <mergeCell ref="FFF142:FFI142"/>
    <mergeCell ref="FFJ142:FFM142"/>
    <mergeCell ref="FFN142:FFQ142"/>
    <mergeCell ref="FFR142:FFU142"/>
    <mergeCell ref="FFV142:FFY142"/>
    <mergeCell ref="FFZ142:FGC142"/>
    <mergeCell ref="FGD142:FGG142"/>
    <mergeCell ref="FGH142:FGK142"/>
    <mergeCell ref="FGL142:FGO142"/>
    <mergeCell ref="FGP142:FGS142"/>
    <mergeCell ref="FGT142:FGW142"/>
    <mergeCell ref="FGX142:FHA142"/>
    <mergeCell ref="FHB142:FHE142"/>
    <mergeCell ref="FHF142:FHI142"/>
    <mergeCell ref="FHJ142:FHM142"/>
    <mergeCell ref="FHN142:FHQ142"/>
    <mergeCell ref="FHR142:FHU142"/>
    <mergeCell ref="FHV142:FHY142"/>
    <mergeCell ref="FHZ142:FIC142"/>
    <mergeCell ref="FID142:FIG142"/>
    <mergeCell ref="FIH142:FIK142"/>
    <mergeCell ref="FIL142:FIO142"/>
    <mergeCell ref="FIP142:FIS142"/>
    <mergeCell ref="FIT142:FIW142"/>
    <mergeCell ref="FIX142:FJA142"/>
    <mergeCell ref="FJB142:FJE142"/>
    <mergeCell ref="FJF142:FJI142"/>
    <mergeCell ref="FJJ142:FJM142"/>
    <mergeCell ref="FJN142:FJQ142"/>
    <mergeCell ref="FJR142:FJU142"/>
    <mergeCell ref="FJV142:FJY142"/>
    <mergeCell ref="FJZ142:FKC142"/>
    <mergeCell ref="FKD142:FKG142"/>
    <mergeCell ref="FKH142:FKK142"/>
    <mergeCell ref="FKL142:FKO142"/>
    <mergeCell ref="FKP142:FKS142"/>
    <mergeCell ref="FKT142:FKW142"/>
    <mergeCell ref="FKX142:FLA142"/>
    <mergeCell ref="FLB142:FLE142"/>
    <mergeCell ref="FLF142:FLI142"/>
    <mergeCell ref="FLJ142:FLM142"/>
    <mergeCell ref="FLN142:FLQ142"/>
    <mergeCell ref="FLR142:FLU142"/>
    <mergeCell ref="FLV142:FLY142"/>
    <mergeCell ref="FLZ142:FMC142"/>
    <mergeCell ref="FMD142:FMG142"/>
    <mergeCell ref="FMH142:FMK142"/>
    <mergeCell ref="FML142:FMO142"/>
    <mergeCell ref="FMP142:FMS142"/>
    <mergeCell ref="FMT142:FMW142"/>
    <mergeCell ref="FMX142:FNA142"/>
    <mergeCell ref="FNB142:FNE142"/>
    <mergeCell ref="FNF142:FNI142"/>
    <mergeCell ref="FNJ142:FNM142"/>
    <mergeCell ref="FNN142:FNQ142"/>
    <mergeCell ref="FNR142:FNU142"/>
    <mergeCell ref="FNV142:FNY142"/>
    <mergeCell ref="FNZ142:FOC142"/>
    <mergeCell ref="FOD142:FOG142"/>
    <mergeCell ref="FOH142:FOK142"/>
    <mergeCell ref="FOL142:FOO142"/>
    <mergeCell ref="FOP142:FOS142"/>
    <mergeCell ref="FOT142:FOW142"/>
    <mergeCell ref="FOX142:FPA142"/>
    <mergeCell ref="FPB142:FPE142"/>
    <mergeCell ref="FPF142:FPI142"/>
    <mergeCell ref="FPJ142:FPM142"/>
    <mergeCell ref="FPN142:FPQ142"/>
    <mergeCell ref="FPR142:FPU142"/>
    <mergeCell ref="FPV142:FPY142"/>
    <mergeCell ref="FPZ142:FQC142"/>
    <mergeCell ref="FQD142:FQG142"/>
    <mergeCell ref="FQH142:FQK142"/>
    <mergeCell ref="FQL142:FQO142"/>
    <mergeCell ref="FQP142:FQS142"/>
    <mergeCell ref="FQT142:FQW142"/>
    <mergeCell ref="FQX142:FRA142"/>
    <mergeCell ref="FRB142:FRE142"/>
    <mergeCell ref="FRF142:FRI142"/>
    <mergeCell ref="FRJ142:FRM142"/>
    <mergeCell ref="FRN142:FRQ142"/>
    <mergeCell ref="FRR142:FRU142"/>
    <mergeCell ref="FRV142:FRY142"/>
    <mergeCell ref="FRZ142:FSC142"/>
    <mergeCell ref="FSD142:FSG142"/>
    <mergeCell ref="FSH142:FSK142"/>
    <mergeCell ref="FSL142:FSO142"/>
    <mergeCell ref="FSP142:FSS142"/>
    <mergeCell ref="FST142:FSW142"/>
    <mergeCell ref="FSX142:FTA142"/>
    <mergeCell ref="FTB142:FTE142"/>
    <mergeCell ref="FTF142:FTI142"/>
    <mergeCell ref="FTJ142:FTM142"/>
    <mergeCell ref="FTN142:FTQ142"/>
    <mergeCell ref="FTR142:FTU142"/>
    <mergeCell ref="FTV142:FTY142"/>
    <mergeCell ref="FTZ142:FUC142"/>
    <mergeCell ref="FUD142:FUG142"/>
    <mergeCell ref="FUH142:FUK142"/>
    <mergeCell ref="FUL142:FUO142"/>
    <mergeCell ref="FUP142:FUS142"/>
    <mergeCell ref="FUT142:FUW142"/>
    <mergeCell ref="FUX142:FVA142"/>
    <mergeCell ref="FVB142:FVE142"/>
    <mergeCell ref="FVF142:FVI142"/>
    <mergeCell ref="FVJ142:FVM142"/>
    <mergeCell ref="FVN142:FVQ142"/>
    <mergeCell ref="FVR142:FVU142"/>
    <mergeCell ref="FVV142:FVY142"/>
    <mergeCell ref="FVZ142:FWC142"/>
    <mergeCell ref="FWD142:FWG142"/>
    <mergeCell ref="FWH142:FWK142"/>
    <mergeCell ref="FWL142:FWO142"/>
    <mergeCell ref="FWP142:FWS142"/>
    <mergeCell ref="FWT142:FWW142"/>
    <mergeCell ref="FWX142:FXA142"/>
    <mergeCell ref="FXB142:FXE142"/>
    <mergeCell ref="FXF142:FXI142"/>
    <mergeCell ref="FXJ142:FXM142"/>
    <mergeCell ref="FXN142:FXQ142"/>
    <mergeCell ref="FXR142:FXU142"/>
    <mergeCell ref="FXV142:FXY142"/>
    <mergeCell ref="FXZ142:FYC142"/>
    <mergeCell ref="FYD142:FYG142"/>
    <mergeCell ref="FYH142:FYK142"/>
    <mergeCell ref="FYL142:FYO142"/>
    <mergeCell ref="FYP142:FYS142"/>
    <mergeCell ref="FYT142:FYW142"/>
    <mergeCell ref="FYX142:FZA142"/>
    <mergeCell ref="FZB142:FZE142"/>
    <mergeCell ref="FZF142:FZI142"/>
    <mergeCell ref="FZJ142:FZM142"/>
    <mergeCell ref="FZN142:FZQ142"/>
    <mergeCell ref="FZR142:FZU142"/>
    <mergeCell ref="FZV142:FZY142"/>
    <mergeCell ref="FZZ142:GAC142"/>
    <mergeCell ref="GAD142:GAG142"/>
    <mergeCell ref="GAH142:GAK142"/>
    <mergeCell ref="GAL142:GAO142"/>
    <mergeCell ref="GAP142:GAS142"/>
    <mergeCell ref="GAT142:GAW142"/>
    <mergeCell ref="GAX142:GBA142"/>
    <mergeCell ref="GBB142:GBE142"/>
    <mergeCell ref="GBF142:GBI142"/>
    <mergeCell ref="GBJ142:GBM142"/>
    <mergeCell ref="GBN142:GBQ142"/>
    <mergeCell ref="GBR142:GBU142"/>
    <mergeCell ref="GBV142:GBY142"/>
    <mergeCell ref="GBZ142:GCC142"/>
    <mergeCell ref="GCD142:GCG142"/>
    <mergeCell ref="GCH142:GCK142"/>
    <mergeCell ref="GCL142:GCO142"/>
    <mergeCell ref="GCP142:GCS142"/>
    <mergeCell ref="GCT142:GCW142"/>
    <mergeCell ref="GCX142:GDA142"/>
    <mergeCell ref="GDB142:GDE142"/>
    <mergeCell ref="GDF142:GDI142"/>
    <mergeCell ref="GDJ142:GDM142"/>
    <mergeCell ref="GDN142:GDQ142"/>
    <mergeCell ref="GDR142:GDU142"/>
    <mergeCell ref="GDV142:GDY142"/>
    <mergeCell ref="GDZ142:GEC142"/>
    <mergeCell ref="GED142:GEG142"/>
    <mergeCell ref="GEH142:GEK142"/>
    <mergeCell ref="GEL142:GEO142"/>
    <mergeCell ref="GEP142:GES142"/>
    <mergeCell ref="GET142:GEW142"/>
    <mergeCell ref="GEX142:GFA142"/>
    <mergeCell ref="GFB142:GFE142"/>
    <mergeCell ref="GFF142:GFI142"/>
    <mergeCell ref="GFJ142:GFM142"/>
    <mergeCell ref="GFN142:GFQ142"/>
    <mergeCell ref="GFR142:GFU142"/>
    <mergeCell ref="GFV142:GFY142"/>
    <mergeCell ref="GFZ142:GGC142"/>
    <mergeCell ref="GGD142:GGG142"/>
    <mergeCell ref="GGH142:GGK142"/>
    <mergeCell ref="GGL142:GGO142"/>
    <mergeCell ref="GGP142:GGS142"/>
    <mergeCell ref="GGT142:GGW142"/>
    <mergeCell ref="GGX142:GHA142"/>
    <mergeCell ref="GHB142:GHE142"/>
    <mergeCell ref="GHF142:GHI142"/>
    <mergeCell ref="GHJ142:GHM142"/>
    <mergeCell ref="GHN142:GHQ142"/>
    <mergeCell ref="GHR142:GHU142"/>
    <mergeCell ref="GHV142:GHY142"/>
    <mergeCell ref="GHZ142:GIC142"/>
    <mergeCell ref="GID142:GIG142"/>
    <mergeCell ref="GIH142:GIK142"/>
    <mergeCell ref="GIL142:GIO142"/>
    <mergeCell ref="GIP142:GIS142"/>
    <mergeCell ref="GIT142:GIW142"/>
    <mergeCell ref="GIX142:GJA142"/>
    <mergeCell ref="GJB142:GJE142"/>
    <mergeCell ref="GJF142:GJI142"/>
    <mergeCell ref="GJJ142:GJM142"/>
    <mergeCell ref="GJN142:GJQ142"/>
    <mergeCell ref="GJR142:GJU142"/>
    <mergeCell ref="GJV142:GJY142"/>
    <mergeCell ref="GJZ142:GKC142"/>
    <mergeCell ref="GKD142:GKG142"/>
    <mergeCell ref="GKH142:GKK142"/>
    <mergeCell ref="GKL142:GKO142"/>
    <mergeCell ref="GKP142:GKS142"/>
    <mergeCell ref="GKT142:GKW142"/>
    <mergeCell ref="GKX142:GLA142"/>
    <mergeCell ref="GLB142:GLE142"/>
    <mergeCell ref="GLF142:GLI142"/>
    <mergeCell ref="GLJ142:GLM142"/>
    <mergeCell ref="GLN142:GLQ142"/>
    <mergeCell ref="GLR142:GLU142"/>
    <mergeCell ref="GLV142:GLY142"/>
    <mergeCell ref="GLZ142:GMC142"/>
    <mergeCell ref="GMD142:GMG142"/>
    <mergeCell ref="GMH142:GMK142"/>
    <mergeCell ref="GML142:GMO142"/>
    <mergeCell ref="GMP142:GMS142"/>
    <mergeCell ref="GMT142:GMW142"/>
    <mergeCell ref="GMX142:GNA142"/>
    <mergeCell ref="GNB142:GNE142"/>
    <mergeCell ref="GNF142:GNI142"/>
    <mergeCell ref="GNJ142:GNM142"/>
    <mergeCell ref="GNN142:GNQ142"/>
    <mergeCell ref="GNR142:GNU142"/>
    <mergeCell ref="GNV142:GNY142"/>
    <mergeCell ref="GNZ142:GOC142"/>
    <mergeCell ref="GOD142:GOG142"/>
    <mergeCell ref="GOH142:GOK142"/>
    <mergeCell ref="GOL142:GOO142"/>
    <mergeCell ref="GOP142:GOS142"/>
    <mergeCell ref="GOT142:GOW142"/>
    <mergeCell ref="GOX142:GPA142"/>
    <mergeCell ref="GPB142:GPE142"/>
    <mergeCell ref="GPF142:GPI142"/>
    <mergeCell ref="GPJ142:GPM142"/>
    <mergeCell ref="GPN142:GPQ142"/>
    <mergeCell ref="GPR142:GPU142"/>
    <mergeCell ref="GPV142:GPY142"/>
    <mergeCell ref="GPZ142:GQC142"/>
    <mergeCell ref="GQD142:GQG142"/>
    <mergeCell ref="GQH142:GQK142"/>
    <mergeCell ref="GQL142:GQO142"/>
    <mergeCell ref="GQP142:GQS142"/>
    <mergeCell ref="GQT142:GQW142"/>
    <mergeCell ref="GQX142:GRA142"/>
    <mergeCell ref="GRB142:GRE142"/>
    <mergeCell ref="GRF142:GRI142"/>
    <mergeCell ref="GRJ142:GRM142"/>
    <mergeCell ref="GRN142:GRQ142"/>
    <mergeCell ref="GRR142:GRU142"/>
    <mergeCell ref="GRV142:GRY142"/>
    <mergeCell ref="GRZ142:GSC142"/>
    <mergeCell ref="GSD142:GSG142"/>
    <mergeCell ref="GSH142:GSK142"/>
    <mergeCell ref="GSL142:GSO142"/>
    <mergeCell ref="GSP142:GSS142"/>
    <mergeCell ref="GST142:GSW142"/>
    <mergeCell ref="GSX142:GTA142"/>
    <mergeCell ref="GTB142:GTE142"/>
    <mergeCell ref="GTF142:GTI142"/>
    <mergeCell ref="GTJ142:GTM142"/>
    <mergeCell ref="GTN142:GTQ142"/>
    <mergeCell ref="GTR142:GTU142"/>
    <mergeCell ref="GTV142:GTY142"/>
    <mergeCell ref="GTZ142:GUC142"/>
    <mergeCell ref="GUD142:GUG142"/>
    <mergeCell ref="GUH142:GUK142"/>
    <mergeCell ref="GUL142:GUO142"/>
    <mergeCell ref="GUP142:GUS142"/>
    <mergeCell ref="GUT142:GUW142"/>
    <mergeCell ref="GUX142:GVA142"/>
    <mergeCell ref="GVB142:GVE142"/>
    <mergeCell ref="GVF142:GVI142"/>
    <mergeCell ref="GVJ142:GVM142"/>
    <mergeCell ref="GVN142:GVQ142"/>
    <mergeCell ref="GVR142:GVU142"/>
    <mergeCell ref="GVV142:GVY142"/>
    <mergeCell ref="GVZ142:GWC142"/>
    <mergeCell ref="GWD142:GWG142"/>
    <mergeCell ref="GWH142:GWK142"/>
    <mergeCell ref="GWL142:GWO142"/>
    <mergeCell ref="GWP142:GWS142"/>
    <mergeCell ref="GWT142:GWW142"/>
    <mergeCell ref="GWX142:GXA142"/>
    <mergeCell ref="GXB142:GXE142"/>
    <mergeCell ref="GXF142:GXI142"/>
    <mergeCell ref="GXJ142:GXM142"/>
    <mergeCell ref="GXN142:GXQ142"/>
    <mergeCell ref="GXR142:GXU142"/>
    <mergeCell ref="GXV142:GXY142"/>
    <mergeCell ref="GXZ142:GYC142"/>
    <mergeCell ref="GYD142:GYG142"/>
    <mergeCell ref="GYH142:GYK142"/>
    <mergeCell ref="GYL142:GYO142"/>
    <mergeCell ref="GYP142:GYS142"/>
    <mergeCell ref="GYT142:GYW142"/>
    <mergeCell ref="GYX142:GZA142"/>
    <mergeCell ref="GZB142:GZE142"/>
    <mergeCell ref="GZF142:GZI142"/>
    <mergeCell ref="GZJ142:GZM142"/>
    <mergeCell ref="GZN142:GZQ142"/>
    <mergeCell ref="GZR142:GZU142"/>
    <mergeCell ref="GZV142:GZY142"/>
    <mergeCell ref="GZZ142:HAC142"/>
    <mergeCell ref="HAD142:HAG142"/>
    <mergeCell ref="HAH142:HAK142"/>
    <mergeCell ref="HAL142:HAO142"/>
    <mergeCell ref="HAP142:HAS142"/>
    <mergeCell ref="HAT142:HAW142"/>
    <mergeCell ref="HAX142:HBA142"/>
    <mergeCell ref="HBB142:HBE142"/>
    <mergeCell ref="HBF142:HBI142"/>
    <mergeCell ref="HBJ142:HBM142"/>
    <mergeCell ref="HBN142:HBQ142"/>
    <mergeCell ref="HBR142:HBU142"/>
    <mergeCell ref="HBV142:HBY142"/>
    <mergeCell ref="HBZ142:HCC142"/>
    <mergeCell ref="HCD142:HCG142"/>
    <mergeCell ref="HCH142:HCK142"/>
    <mergeCell ref="HCL142:HCO142"/>
    <mergeCell ref="HCP142:HCS142"/>
    <mergeCell ref="HCT142:HCW142"/>
    <mergeCell ref="HCX142:HDA142"/>
    <mergeCell ref="HDB142:HDE142"/>
    <mergeCell ref="HDF142:HDI142"/>
    <mergeCell ref="HDJ142:HDM142"/>
    <mergeCell ref="HDN142:HDQ142"/>
    <mergeCell ref="HDR142:HDU142"/>
    <mergeCell ref="HDV142:HDY142"/>
    <mergeCell ref="HDZ142:HEC142"/>
    <mergeCell ref="HED142:HEG142"/>
    <mergeCell ref="HEH142:HEK142"/>
    <mergeCell ref="HEL142:HEO142"/>
    <mergeCell ref="HEP142:HES142"/>
    <mergeCell ref="HET142:HEW142"/>
    <mergeCell ref="HEX142:HFA142"/>
    <mergeCell ref="HFB142:HFE142"/>
    <mergeCell ref="HFF142:HFI142"/>
    <mergeCell ref="HFJ142:HFM142"/>
    <mergeCell ref="HFN142:HFQ142"/>
    <mergeCell ref="HFR142:HFU142"/>
    <mergeCell ref="HFV142:HFY142"/>
    <mergeCell ref="HFZ142:HGC142"/>
    <mergeCell ref="HGD142:HGG142"/>
    <mergeCell ref="HGH142:HGK142"/>
    <mergeCell ref="HGL142:HGO142"/>
    <mergeCell ref="HGP142:HGS142"/>
    <mergeCell ref="HGT142:HGW142"/>
    <mergeCell ref="HGX142:HHA142"/>
    <mergeCell ref="HHB142:HHE142"/>
    <mergeCell ref="HHF142:HHI142"/>
    <mergeCell ref="HHJ142:HHM142"/>
    <mergeCell ref="HHN142:HHQ142"/>
    <mergeCell ref="HHR142:HHU142"/>
    <mergeCell ref="HHV142:HHY142"/>
    <mergeCell ref="HHZ142:HIC142"/>
    <mergeCell ref="HID142:HIG142"/>
    <mergeCell ref="HIH142:HIK142"/>
    <mergeCell ref="HIL142:HIO142"/>
    <mergeCell ref="HIP142:HIS142"/>
    <mergeCell ref="HIT142:HIW142"/>
    <mergeCell ref="HIX142:HJA142"/>
    <mergeCell ref="HJB142:HJE142"/>
    <mergeCell ref="HJF142:HJI142"/>
    <mergeCell ref="HJJ142:HJM142"/>
    <mergeCell ref="HJN142:HJQ142"/>
    <mergeCell ref="HJR142:HJU142"/>
    <mergeCell ref="HJV142:HJY142"/>
    <mergeCell ref="HJZ142:HKC142"/>
    <mergeCell ref="HKD142:HKG142"/>
    <mergeCell ref="HKH142:HKK142"/>
    <mergeCell ref="HKL142:HKO142"/>
    <mergeCell ref="HKP142:HKS142"/>
    <mergeCell ref="HKT142:HKW142"/>
    <mergeCell ref="HKX142:HLA142"/>
    <mergeCell ref="HLB142:HLE142"/>
    <mergeCell ref="HLF142:HLI142"/>
    <mergeCell ref="HLJ142:HLM142"/>
    <mergeCell ref="HLN142:HLQ142"/>
    <mergeCell ref="HLR142:HLU142"/>
    <mergeCell ref="HLV142:HLY142"/>
    <mergeCell ref="HLZ142:HMC142"/>
    <mergeCell ref="HMD142:HMG142"/>
    <mergeCell ref="HMH142:HMK142"/>
    <mergeCell ref="HML142:HMO142"/>
    <mergeCell ref="HMP142:HMS142"/>
    <mergeCell ref="HMT142:HMW142"/>
    <mergeCell ref="HMX142:HNA142"/>
    <mergeCell ref="HNB142:HNE142"/>
    <mergeCell ref="HNF142:HNI142"/>
    <mergeCell ref="HNJ142:HNM142"/>
    <mergeCell ref="HNN142:HNQ142"/>
    <mergeCell ref="HNR142:HNU142"/>
    <mergeCell ref="HNV142:HNY142"/>
    <mergeCell ref="HNZ142:HOC142"/>
    <mergeCell ref="HOD142:HOG142"/>
    <mergeCell ref="HOH142:HOK142"/>
    <mergeCell ref="HOL142:HOO142"/>
    <mergeCell ref="HOP142:HOS142"/>
    <mergeCell ref="HOT142:HOW142"/>
    <mergeCell ref="HOX142:HPA142"/>
    <mergeCell ref="HPB142:HPE142"/>
    <mergeCell ref="HPF142:HPI142"/>
    <mergeCell ref="HPJ142:HPM142"/>
    <mergeCell ref="HPN142:HPQ142"/>
    <mergeCell ref="HPR142:HPU142"/>
    <mergeCell ref="HPV142:HPY142"/>
    <mergeCell ref="HPZ142:HQC142"/>
    <mergeCell ref="HQD142:HQG142"/>
    <mergeCell ref="HQH142:HQK142"/>
    <mergeCell ref="HQL142:HQO142"/>
    <mergeCell ref="HQP142:HQS142"/>
    <mergeCell ref="HQT142:HQW142"/>
    <mergeCell ref="HQX142:HRA142"/>
    <mergeCell ref="HRB142:HRE142"/>
    <mergeCell ref="HRF142:HRI142"/>
    <mergeCell ref="HRJ142:HRM142"/>
    <mergeCell ref="HRN142:HRQ142"/>
    <mergeCell ref="HRR142:HRU142"/>
    <mergeCell ref="HRV142:HRY142"/>
    <mergeCell ref="HRZ142:HSC142"/>
    <mergeCell ref="HSD142:HSG142"/>
    <mergeCell ref="HSH142:HSK142"/>
    <mergeCell ref="HSL142:HSO142"/>
    <mergeCell ref="HSP142:HSS142"/>
    <mergeCell ref="HST142:HSW142"/>
    <mergeCell ref="HSX142:HTA142"/>
    <mergeCell ref="HTB142:HTE142"/>
    <mergeCell ref="HTF142:HTI142"/>
    <mergeCell ref="HTJ142:HTM142"/>
    <mergeCell ref="HTN142:HTQ142"/>
    <mergeCell ref="HTR142:HTU142"/>
    <mergeCell ref="HTV142:HTY142"/>
    <mergeCell ref="HTZ142:HUC142"/>
    <mergeCell ref="HUD142:HUG142"/>
    <mergeCell ref="HUH142:HUK142"/>
    <mergeCell ref="HUL142:HUO142"/>
    <mergeCell ref="HUP142:HUS142"/>
    <mergeCell ref="HUT142:HUW142"/>
    <mergeCell ref="HUX142:HVA142"/>
    <mergeCell ref="HVB142:HVE142"/>
    <mergeCell ref="HVF142:HVI142"/>
    <mergeCell ref="HVJ142:HVM142"/>
    <mergeCell ref="HVN142:HVQ142"/>
    <mergeCell ref="HVR142:HVU142"/>
    <mergeCell ref="HVV142:HVY142"/>
    <mergeCell ref="HVZ142:HWC142"/>
    <mergeCell ref="HWD142:HWG142"/>
    <mergeCell ref="HWH142:HWK142"/>
    <mergeCell ref="HWL142:HWO142"/>
    <mergeCell ref="HWP142:HWS142"/>
    <mergeCell ref="HWT142:HWW142"/>
    <mergeCell ref="HWX142:HXA142"/>
    <mergeCell ref="HXB142:HXE142"/>
    <mergeCell ref="HXF142:HXI142"/>
    <mergeCell ref="HXJ142:HXM142"/>
    <mergeCell ref="HXN142:HXQ142"/>
    <mergeCell ref="HXR142:HXU142"/>
    <mergeCell ref="HXV142:HXY142"/>
    <mergeCell ref="HXZ142:HYC142"/>
    <mergeCell ref="HYD142:HYG142"/>
    <mergeCell ref="HYH142:HYK142"/>
    <mergeCell ref="HYL142:HYO142"/>
    <mergeCell ref="HYP142:HYS142"/>
    <mergeCell ref="HYT142:HYW142"/>
    <mergeCell ref="HYX142:HZA142"/>
    <mergeCell ref="HZB142:HZE142"/>
    <mergeCell ref="HZF142:HZI142"/>
    <mergeCell ref="HZJ142:HZM142"/>
    <mergeCell ref="HZN142:HZQ142"/>
    <mergeCell ref="HZR142:HZU142"/>
    <mergeCell ref="HZV142:HZY142"/>
    <mergeCell ref="HZZ142:IAC142"/>
    <mergeCell ref="IAD142:IAG142"/>
    <mergeCell ref="IAH142:IAK142"/>
    <mergeCell ref="IAL142:IAO142"/>
    <mergeCell ref="IAP142:IAS142"/>
    <mergeCell ref="IAT142:IAW142"/>
    <mergeCell ref="IAX142:IBA142"/>
    <mergeCell ref="IBB142:IBE142"/>
    <mergeCell ref="IBF142:IBI142"/>
    <mergeCell ref="IBJ142:IBM142"/>
    <mergeCell ref="IBN142:IBQ142"/>
    <mergeCell ref="IBR142:IBU142"/>
    <mergeCell ref="IBV142:IBY142"/>
    <mergeCell ref="IBZ142:ICC142"/>
    <mergeCell ref="ICD142:ICG142"/>
    <mergeCell ref="ICH142:ICK142"/>
    <mergeCell ref="ICL142:ICO142"/>
    <mergeCell ref="ICP142:ICS142"/>
    <mergeCell ref="ICT142:ICW142"/>
    <mergeCell ref="ICX142:IDA142"/>
    <mergeCell ref="IDB142:IDE142"/>
    <mergeCell ref="IDF142:IDI142"/>
    <mergeCell ref="IDJ142:IDM142"/>
    <mergeCell ref="IDN142:IDQ142"/>
    <mergeCell ref="IDR142:IDU142"/>
    <mergeCell ref="IDV142:IDY142"/>
    <mergeCell ref="IDZ142:IEC142"/>
    <mergeCell ref="IED142:IEG142"/>
    <mergeCell ref="IEH142:IEK142"/>
    <mergeCell ref="IEL142:IEO142"/>
    <mergeCell ref="IEP142:IES142"/>
    <mergeCell ref="IET142:IEW142"/>
    <mergeCell ref="IEX142:IFA142"/>
    <mergeCell ref="IFB142:IFE142"/>
    <mergeCell ref="IFF142:IFI142"/>
    <mergeCell ref="IFJ142:IFM142"/>
    <mergeCell ref="IFN142:IFQ142"/>
    <mergeCell ref="IFR142:IFU142"/>
    <mergeCell ref="IFV142:IFY142"/>
    <mergeCell ref="IFZ142:IGC142"/>
    <mergeCell ref="IGD142:IGG142"/>
    <mergeCell ref="IGH142:IGK142"/>
    <mergeCell ref="IGL142:IGO142"/>
    <mergeCell ref="IGP142:IGS142"/>
    <mergeCell ref="IGT142:IGW142"/>
    <mergeCell ref="IGX142:IHA142"/>
    <mergeCell ref="IHB142:IHE142"/>
    <mergeCell ref="IHF142:IHI142"/>
    <mergeCell ref="IHJ142:IHM142"/>
    <mergeCell ref="IHN142:IHQ142"/>
    <mergeCell ref="IHR142:IHU142"/>
    <mergeCell ref="IHV142:IHY142"/>
    <mergeCell ref="IHZ142:IIC142"/>
    <mergeCell ref="IID142:IIG142"/>
    <mergeCell ref="IIH142:IIK142"/>
    <mergeCell ref="IIL142:IIO142"/>
    <mergeCell ref="IIP142:IIS142"/>
    <mergeCell ref="IIT142:IIW142"/>
    <mergeCell ref="IIX142:IJA142"/>
    <mergeCell ref="IJB142:IJE142"/>
    <mergeCell ref="IJF142:IJI142"/>
    <mergeCell ref="IJJ142:IJM142"/>
    <mergeCell ref="IJN142:IJQ142"/>
    <mergeCell ref="IJR142:IJU142"/>
    <mergeCell ref="IJV142:IJY142"/>
    <mergeCell ref="IJZ142:IKC142"/>
    <mergeCell ref="IKD142:IKG142"/>
    <mergeCell ref="IKH142:IKK142"/>
    <mergeCell ref="IKL142:IKO142"/>
    <mergeCell ref="IKP142:IKS142"/>
    <mergeCell ref="IKT142:IKW142"/>
    <mergeCell ref="IKX142:ILA142"/>
    <mergeCell ref="ILB142:ILE142"/>
    <mergeCell ref="ILF142:ILI142"/>
    <mergeCell ref="ILJ142:ILM142"/>
    <mergeCell ref="ILN142:ILQ142"/>
    <mergeCell ref="ILR142:ILU142"/>
    <mergeCell ref="ILV142:ILY142"/>
    <mergeCell ref="ILZ142:IMC142"/>
    <mergeCell ref="IMD142:IMG142"/>
    <mergeCell ref="IMH142:IMK142"/>
    <mergeCell ref="IML142:IMO142"/>
    <mergeCell ref="IMP142:IMS142"/>
    <mergeCell ref="IMT142:IMW142"/>
    <mergeCell ref="IMX142:INA142"/>
    <mergeCell ref="INB142:INE142"/>
    <mergeCell ref="INF142:INI142"/>
    <mergeCell ref="INJ142:INM142"/>
    <mergeCell ref="INN142:INQ142"/>
    <mergeCell ref="INR142:INU142"/>
    <mergeCell ref="INV142:INY142"/>
    <mergeCell ref="INZ142:IOC142"/>
    <mergeCell ref="IOD142:IOG142"/>
    <mergeCell ref="IOH142:IOK142"/>
    <mergeCell ref="IOL142:IOO142"/>
    <mergeCell ref="IOP142:IOS142"/>
    <mergeCell ref="IOT142:IOW142"/>
    <mergeCell ref="IOX142:IPA142"/>
    <mergeCell ref="IPB142:IPE142"/>
    <mergeCell ref="IPF142:IPI142"/>
    <mergeCell ref="IPJ142:IPM142"/>
    <mergeCell ref="IPN142:IPQ142"/>
    <mergeCell ref="IPR142:IPU142"/>
    <mergeCell ref="IPV142:IPY142"/>
    <mergeCell ref="IPZ142:IQC142"/>
    <mergeCell ref="IQD142:IQG142"/>
    <mergeCell ref="IQH142:IQK142"/>
    <mergeCell ref="IQL142:IQO142"/>
    <mergeCell ref="IQP142:IQS142"/>
    <mergeCell ref="IQT142:IQW142"/>
    <mergeCell ref="IQX142:IRA142"/>
    <mergeCell ref="IRB142:IRE142"/>
    <mergeCell ref="IRF142:IRI142"/>
    <mergeCell ref="IRJ142:IRM142"/>
    <mergeCell ref="IRN142:IRQ142"/>
    <mergeCell ref="IRR142:IRU142"/>
    <mergeCell ref="IRV142:IRY142"/>
    <mergeCell ref="IRZ142:ISC142"/>
    <mergeCell ref="ISD142:ISG142"/>
    <mergeCell ref="ISH142:ISK142"/>
    <mergeCell ref="ISL142:ISO142"/>
    <mergeCell ref="ISP142:ISS142"/>
    <mergeCell ref="IST142:ISW142"/>
    <mergeCell ref="ISX142:ITA142"/>
    <mergeCell ref="ITB142:ITE142"/>
    <mergeCell ref="ITF142:ITI142"/>
    <mergeCell ref="ITJ142:ITM142"/>
    <mergeCell ref="ITN142:ITQ142"/>
    <mergeCell ref="ITR142:ITU142"/>
    <mergeCell ref="ITV142:ITY142"/>
    <mergeCell ref="ITZ142:IUC142"/>
    <mergeCell ref="IUD142:IUG142"/>
    <mergeCell ref="IUH142:IUK142"/>
    <mergeCell ref="IUL142:IUO142"/>
    <mergeCell ref="IUP142:IUS142"/>
    <mergeCell ref="IUT142:IUW142"/>
    <mergeCell ref="IUX142:IVA142"/>
    <mergeCell ref="IVB142:IVE142"/>
    <mergeCell ref="IVF142:IVI142"/>
    <mergeCell ref="IVJ142:IVM142"/>
    <mergeCell ref="IVN142:IVQ142"/>
    <mergeCell ref="IVR142:IVU142"/>
    <mergeCell ref="IVV142:IVY142"/>
    <mergeCell ref="IVZ142:IWC142"/>
    <mergeCell ref="IWD142:IWG142"/>
    <mergeCell ref="IWH142:IWK142"/>
    <mergeCell ref="IWL142:IWO142"/>
    <mergeCell ref="IWP142:IWS142"/>
    <mergeCell ref="IWT142:IWW142"/>
    <mergeCell ref="IWX142:IXA142"/>
    <mergeCell ref="IXB142:IXE142"/>
    <mergeCell ref="IXF142:IXI142"/>
    <mergeCell ref="IXJ142:IXM142"/>
    <mergeCell ref="IXN142:IXQ142"/>
    <mergeCell ref="IXR142:IXU142"/>
    <mergeCell ref="IXV142:IXY142"/>
    <mergeCell ref="IXZ142:IYC142"/>
    <mergeCell ref="IYD142:IYG142"/>
    <mergeCell ref="IYH142:IYK142"/>
    <mergeCell ref="IYL142:IYO142"/>
    <mergeCell ref="IYP142:IYS142"/>
    <mergeCell ref="IYT142:IYW142"/>
    <mergeCell ref="IYX142:IZA142"/>
    <mergeCell ref="IZB142:IZE142"/>
    <mergeCell ref="IZF142:IZI142"/>
    <mergeCell ref="IZJ142:IZM142"/>
    <mergeCell ref="IZN142:IZQ142"/>
    <mergeCell ref="IZR142:IZU142"/>
    <mergeCell ref="IZV142:IZY142"/>
    <mergeCell ref="IZZ142:JAC142"/>
    <mergeCell ref="JAD142:JAG142"/>
    <mergeCell ref="JAH142:JAK142"/>
    <mergeCell ref="JAL142:JAO142"/>
    <mergeCell ref="JAP142:JAS142"/>
    <mergeCell ref="JAT142:JAW142"/>
    <mergeCell ref="JAX142:JBA142"/>
    <mergeCell ref="JBB142:JBE142"/>
    <mergeCell ref="JBF142:JBI142"/>
    <mergeCell ref="JBJ142:JBM142"/>
    <mergeCell ref="JBN142:JBQ142"/>
    <mergeCell ref="JBR142:JBU142"/>
    <mergeCell ref="JBV142:JBY142"/>
    <mergeCell ref="JBZ142:JCC142"/>
    <mergeCell ref="JCD142:JCG142"/>
    <mergeCell ref="JCH142:JCK142"/>
    <mergeCell ref="JCL142:JCO142"/>
    <mergeCell ref="JCP142:JCS142"/>
    <mergeCell ref="JCT142:JCW142"/>
    <mergeCell ref="JCX142:JDA142"/>
    <mergeCell ref="JDB142:JDE142"/>
    <mergeCell ref="JDF142:JDI142"/>
    <mergeCell ref="JDJ142:JDM142"/>
    <mergeCell ref="JDN142:JDQ142"/>
    <mergeCell ref="JDR142:JDU142"/>
    <mergeCell ref="JDV142:JDY142"/>
    <mergeCell ref="JDZ142:JEC142"/>
    <mergeCell ref="JED142:JEG142"/>
    <mergeCell ref="JEH142:JEK142"/>
    <mergeCell ref="JEL142:JEO142"/>
    <mergeCell ref="JEP142:JES142"/>
    <mergeCell ref="JET142:JEW142"/>
    <mergeCell ref="JEX142:JFA142"/>
    <mergeCell ref="JFB142:JFE142"/>
    <mergeCell ref="JFF142:JFI142"/>
    <mergeCell ref="JFJ142:JFM142"/>
    <mergeCell ref="JFN142:JFQ142"/>
    <mergeCell ref="JFR142:JFU142"/>
    <mergeCell ref="JFV142:JFY142"/>
    <mergeCell ref="JFZ142:JGC142"/>
    <mergeCell ref="JGD142:JGG142"/>
    <mergeCell ref="JGH142:JGK142"/>
    <mergeCell ref="JGL142:JGO142"/>
    <mergeCell ref="JGP142:JGS142"/>
    <mergeCell ref="JGT142:JGW142"/>
    <mergeCell ref="JGX142:JHA142"/>
    <mergeCell ref="JHB142:JHE142"/>
    <mergeCell ref="JHF142:JHI142"/>
    <mergeCell ref="JHJ142:JHM142"/>
    <mergeCell ref="JHN142:JHQ142"/>
    <mergeCell ref="JHR142:JHU142"/>
    <mergeCell ref="JHV142:JHY142"/>
    <mergeCell ref="JHZ142:JIC142"/>
    <mergeCell ref="JID142:JIG142"/>
    <mergeCell ref="JIH142:JIK142"/>
    <mergeCell ref="JIL142:JIO142"/>
    <mergeCell ref="JIP142:JIS142"/>
    <mergeCell ref="JIT142:JIW142"/>
    <mergeCell ref="JIX142:JJA142"/>
    <mergeCell ref="JJB142:JJE142"/>
    <mergeCell ref="JJF142:JJI142"/>
    <mergeCell ref="JJJ142:JJM142"/>
    <mergeCell ref="JJN142:JJQ142"/>
    <mergeCell ref="JJR142:JJU142"/>
    <mergeCell ref="JJV142:JJY142"/>
    <mergeCell ref="JJZ142:JKC142"/>
    <mergeCell ref="JKD142:JKG142"/>
    <mergeCell ref="JKH142:JKK142"/>
    <mergeCell ref="JKL142:JKO142"/>
    <mergeCell ref="JKP142:JKS142"/>
    <mergeCell ref="JKT142:JKW142"/>
    <mergeCell ref="JKX142:JLA142"/>
    <mergeCell ref="JLB142:JLE142"/>
    <mergeCell ref="JLF142:JLI142"/>
    <mergeCell ref="JLJ142:JLM142"/>
    <mergeCell ref="JLN142:JLQ142"/>
    <mergeCell ref="JLR142:JLU142"/>
    <mergeCell ref="JLV142:JLY142"/>
    <mergeCell ref="JLZ142:JMC142"/>
    <mergeCell ref="JMD142:JMG142"/>
    <mergeCell ref="JMH142:JMK142"/>
    <mergeCell ref="JML142:JMO142"/>
    <mergeCell ref="JMP142:JMS142"/>
    <mergeCell ref="JMT142:JMW142"/>
    <mergeCell ref="JMX142:JNA142"/>
    <mergeCell ref="JNB142:JNE142"/>
    <mergeCell ref="JNF142:JNI142"/>
    <mergeCell ref="JNJ142:JNM142"/>
    <mergeCell ref="JNN142:JNQ142"/>
    <mergeCell ref="JNR142:JNU142"/>
    <mergeCell ref="JNV142:JNY142"/>
    <mergeCell ref="JNZ142:JOC142"/>
    <mergeCell ref="JOD142:JOG142"/>
    <mergeCell ref="JOH142:JOK142"/>
    <mergeCell ref="JOL142:JOO142"/>
    <mergeCell ref="JOP142:JOS142"/>
    <mergeCell ref="JOT142:JOW142"/>
    <mergeCell ref="JOX142:JPA142"/>
    <mergeCell ref="JPB142:JPE142"/>
    <mergeCell ref="JPF142:JPI142"/>
    <mergeCell ref="JPJ142:JPM142"/>
    <mergeCell ref="JPN142:JPQ142"/>
    <mergeCell ref="JPR142:JPU142"/>
    <mergeCell ref="JPV142:JPY142"/>
    <mergeCell ref="JPZ142:JQC142"/>
    <mergeCell ref="JQD142:JQG142"/>
    <mergeCell ref="JQH142:JQK142"/>
    <mergeCell ref="JQL142:JQO142"/>
    <mergeCell ref="JQP142:JQS142"/>
    <mergeCell ref="JQT142:JQW142"/>
    <mergeCell ref="JQX142:JRA142"/>
    <mergeCell ref="JRB142:JRE142"/>
    <mergeCell ref="JRF142:JRI142"/>
    <mergeCell ref="JRJ142:JRM142"/>
    <mergeCell ref="JRN142:JRQ142"/>
    <mergeCell ref="JRR142:JRU142"/>
    <mergeCell ref="JRV142:JRY142"/>
    <mergeCell ref="JRZ142:JSC142"/>
    <mergeCell ref="JSD142:JSG142"/>
    <mergeCell ref="JSH142:JSK142"/>
    <mergeCell ref="JSL142:JSO142"/>
    <mergeCell ref="JSP142:JSS142"/>
    <mergeCell ref="JST142:JSW142"/>
    <mergeCell ref="JSX142:JTA142"/>
    <mergeCell ref="JTB142:JTE142"/>
    <mergeCell ref="JTF142:JTI142"/>
    <mergeCell ref="JTJ142:JTM142"/>
    <mergeCell ref="JTN142:JTQ142"/>
    <mergeCell ref="JTR142:JTU142"/>
    <mergeCell ref="JTV142:JTY142"/>
    <mergeCell ref="JTZ142:JUC142"/>
    <mergeCell ref="JUD142:JUG142"/>
    <mergeCell ref="JUH142:JUK142"/>
    <mergeCell ref="JUL142:JUO142"/>
    <mergeCell ref="JUP142:JUS142"/>
    <mergeCell ref="JUT142:JUW142"/>
    <mergeCell ref="JUX142:JVA142"/>
    <mergeCell ref="JVB142:JVE142"/>
    <mergeCell ref="JVF142:JVI142"/>
    <mergeCell ref="JVJ142:JVM142"/>
    <mergeCell ref="JVN142:JVQ142"/>
    <mergeCell ref="JVR142:JVU142"/>
    <mergeCell ref="JVV142:JVY142"/>
    <mergeCell ref="JVZ142:JWC142"/>
    <mergeCell ref="JWD142:JWG142"/>
    <mergeCell ref="JWH142:JWK142"/>
    <mergeCell ref="JWL142:JWO142"/>
    <mergeCell ref="JWP142:JWS142"/>
    <mergeCell ref="JWT142:JWW142"/>
    <mergeCell ref="JWX142:JXA142"/>
    <mergeCell ref="JXB142:JXE142"/>
    <mergeCell ref="JXF142:JXI142"/>
    <mergeCell ref="JXJ142:JXM142"/>
    <mergeCell ref="JXN142:JXQ142"/>
    <mergeCell ref="JXR142:JXU142"/>
    <mergeCell ref="JXV142:JXY142"/>
    <mergeCell ref="JXZ142:JYC142"/>
    <mergeCell ref="JYD142:JYG142"/>
    <mergeCell ref="JYH142:JYK142"/>
    <mergeCell ref="JYL142:JYO142"/>
    <mergeCell ref="JYP142:JYS142"/>
    <mergeCell ref="JYT142:JYW142"/>
    <mergeCell ref="JYX142:JZA142"/>
    <mergeCell ref="JZB142:JZE142"/>
    <mergeCell ref="JZF142:JZI142"/>
    <mergeCell ref="JZJ142:JZM142"/>
    <mergeCell ref="JZN142:JZQ142"/>
    <mergeCell ref="JZR142:JZU142"/>
    <mergeCell ref="JZV142:JZY142"/>
    <mergeCell ref="JZZ142:KAC142"/>
    <mergeCell ref="KAD142:KAG142"/>
    <mergeCell ref="KAH142:KAK142"/>
    <mergeCell ref="KAL142:KAO142"/>
    <mergeCell ref="KAP142:KAS142"/>
    <mergeCell ref="KAT142:KAW142"/>
    <mergeCell ref="KAX142:KBA142"/>
    <mergeCell ref="KBB142:KBE142"/>
    <mergeCell ref="KBF142:KBI142"/>
    <mergeCell ref="KBJ142:KBM142"/>
    <mergeCell ref="KBN142:KBQ142"/>
    <mergeCell ref="KBR142:KBU142"/>
    <mergeCell ref="KBV142:KBY142"/>
    <mergeCell ref="KBZ142:KCC142"/>
    <mergeCell ref="KCD142:KCG142"/>
    <mergeCell ref="KCH142:KCK142"/>
    <mergeCell ref="KCL142:KCO142"/>
    <mergeCell ref="KCP142:KCS142"/>
    <mergeCell ref="KCT142:KCW142"/>
    <mergeCell ref="KCX142:KDA142"/>
    <mergeCell ref="KDB142:KDE142"/>
    <mergeCell ref="KDF142:KDI142"/>
    <mergeCell ref="KDJ142:KDM142"/>
    <mergeCell ref="KDN142:KDQ142"/>
    <mergeCell ref="KDR142:KDU142"/>
    <mergeCell ref="KDV142:KDY142"/>
    <mergeCell ref="KDZ142:KEC142"/>
    <mergeCell ref="KED142:KEG142"/>
    <mergeCell ref="KEH142:KEK142"/>
    <mergeCell ref="KEL142:KEO142"/>
    <mergeCell ref="KEP142:KES142"/>
    <mergeCell ref="KET142:KEW142"/>
    <mergeCell ref="KEX142:KFA142"/>
    <mergeCell ref="KFB142:KFE142"/>
    <mergeCell ref="KFF142:KFI142"/>
    <mergeCell ref="KFJ142:KFM142"/>
    <mergeCell ref="KFN142:KFQ142"/>
    <mergeCell ref="KFR142:KFU142"/>
    <mergeCell ref="KFV142:KFY142"/>
    <mergeCell ref="KFZ142:KGC142"/>
    <mergeCell ref="KGD142:KGG142"/>
    <mergeCell ref="KGH142:KGK142"/>
    <mergeCell ref="KGL142:KGO142"/>
    <mergeCell ref="KGP142:KGS142"/>
    <mergeCell ref="KGT142:KGW142"/>
    <mergeCell ref="KGX142:KHA142"/>
    <mergeCell ref="KHB142:KHE142"/>
    <mergeCell ref="KHF142:KHI142"/>
    <mergeCell ref="KHJ142:KHM142"/>
    <mergeCell ref="KHN142:KHQ142"/>
    <mergeCell ref="KHR142:KHU142"/>
    <mergeCell ref="KHV142:KHY142"/>
    <mergeCell ref="KHZ142:KIC142"/>
    <mergeCell ref="KID142:KIG142"/>
    <mergeCell ref="KIH142:KIK142"/>
    <mergeCell ref="KIL142:KIO142"/>
    <mergeCell ref="KIP142:KIS142"/>
    <mergeCell ref="KIT142:KIW142"/>
    <mergeCell ref="KIX142:KJA142"/>
    <mergeCell ref="KJB142:KJE142"/>
    <mergeCell ref="KJF142:KJI142"/>
    <mergeCell ref="KJJ142:KJM142"/>
    <mergeCell ref="KJN142:KJQ142"/>
    <mergeCell ref="KJR142:KJU142"/>
    <mergeCell ref="KJV142:KJY142"/>
    <mergeCell ref="KJZ142:KKC142"/>
    <mergeCell ref="KKD142:KKG142"/>
    <mergeCell ref="KKH142:KKK142"/>
    <mergeCell ref="KKL142:KKO142"/>
    <mergeCell ref="KKP142:KKS142"/>
    <mergeCell ref="KKT142:KKW142"/>
    <mergeCell ref="KKX142:KLA142"/>
    <mergeCell ref="KLB142:KLE142"/>
    <mergeCell ref="KLF142:KLI142"/>
    <mergeCell ref="KLJ142:KLM142"/>
    <mergeCell ref="KLN142:KLQ142"/>
    <mergeCell ref="KLR142:KLU142"/>
    <mergeCell ref="KLV142:KLY142"/>
    <mergeCell ref="KLZ142:KMC142"/>
    <mergeCell ref="KMD142:KMG142"/>
    <mergeCell ref="KMH142:KMK142"/>
    <mergeCell ref="KML142:KMO142"/>
    <mergeCell ref="KMP142:KMS142"/>
    <mergeCell ref="KMT142:KMW142"/>
    <mergeCell ref="KMX142:KNA142"/>
    <mergeCell ref="KNB142:KNE142"/>
    <mergeCell ref="KNF142:KNI142"/>
    <mergeCell ref="KNJ142:KNM142"/>
    <mergeCell ref="KNN142:KNQ142"/>
    <mergeCell ref="KNR142:KNU142"/>
    <mergeCell ref="KNV142:KNY142"/>
    <mergeCell ref="KNZ142:KOC142"/>
    <mergeCell ref="KOD142:KOG142"/>
    <mergeCell ref="KOH142:KOK142"/>
    <mergeCell ref="KOL142:KOO142"/>
    <mergeCell ref="KOP142:KOS142"/>
    <mergeCell ref="KOT142:KOW142"/>
    <mergeCell ref="KOX142:KPA142"/>
    <mergeCell ref="KPB142:KPE142"/>
    <mergeCell ref="KPF142:KPI142"/>
    <mergeCell ref="KPJ142:KPM142"/>
    <mergeCell ref="KPN142:KPQ142"/>
    <mergeCell ref="KPR142:KPU142"/>
    <mergeCell ref="KPV142:KPY142"/>
    <mergeCell ref="KPZ142:KQC142"/>
    <mergeCell ref="KQD142:KQG142"/>
    <mergeCell ref="KQH142:KQK142"/>
    <mergeCell ref="KQL142:KQO142"/>
    <mergeCell ref="KQP142:KQS142"/>
    <mergeCell ref="KQT142:KQW142"/>
    <mergeCell ref="KQX142:KRA142"/>
    <mergeCell ref="KRB142:KRE142"/>
    <mergeCell ref="KRF142:KRI142"/>
    <mergeCell ref="KRJ142:KRM142"/>
    <mergeCell ref="KRN142:KRQ142"/>
    <mergeCell ref="KRR142:KRU142"/>
    <mergeCell ref="KRV142:KRY142"/>
    <mergeCell ref="KRZ142:KSC142"/>
    <mergeCell ref="KSD142:KSG142"/>
    <mergeCell ref="KSH142:KSK142"/>
    <mergeCell ref="KSL142:KSO142"/>
    <mergeCell ref="KSP142:KSS142"/>
    <mergeCell ref="KST142:KSW142"/>
    <mergeCell ref="KSX142:KTA142"/>
    <mergeCell ref="KTB142:KTE142"/>
    <mergeCell ref="KTF142:KTI142"/>
    <mergeCell ref="KTJ142:KTM142"/>
    <mergeCell ref="KTN142:KTQ142"/>
    <mergeCell ref="KTR142:KTU142"/>
    <mergeCell ref="KTV142:KTY142"/>
    <mergeCell ref="KTZ142:KUC142"/>
    <mergeCell ref="KUD142:KUG142"/>
    <mergeCell ref="KUH142:KUK142"/>
    <mergeCell ref="KUL142:KUO142"/>
    <mergeCell ref="KUP142:KUS142"/>
    <mergeCell ref="KUT142:KUW142"/>
    <mergeCell ref="KUX142:KVA142"/>
    <mergeCell ref="KVB142:KVE142"/>
    <mergeCell ref="KVF142:KVI142"/>
    <mergeCell ref="KVJ142:KVM142"/>
    <mergeCell ref="KVN142:KVQ142"/>
    <mergeCell ref="KVR142:KVU142"/>
    <mergeCell ref="KVV142:KVY142"/>
    <mergeCell ref="KVZ142:KWC142"/>
    <mergeCell ref="KWD142:KWG142"/>
    <mergeCell ref="KWH142:KWK142"/>
    <mergeCell ref="KWL142:KWO142"/>
    <mergeCell ref="KWP142:KWS142"/>
    <mergeCell ref="KWT142:KWW142"/>
    <mergeCell ref="KWX142:KXA142"/>
    <mergeCell ref="KXB142:KXE142"/>
    <mergeCell ref="KXF142:KXI142"/>
    <mergeCell ref="KXJ142:KXM142"/>
    <mergeCell ref="KXN142:KXQ142"/>
    <mergeCell ref="KXR142:KXU142"/>
    <mergeCell ref="KXV142:KXY142"/>
    <mergeCell ref="KXZ142:KYC142"/>
    <mergeCell ref="KYD142:KYG142"/>
    <mergeCell ref="KYH142:KYK142"/>
    <mergeCell ref="KYL142:KYO142"/>
    <mergeCell ref="KYP142:KYS142"/>
    <mergeCell ref="KYT142:KYW142"/>
    <mergeCell ref="KYX142:KZA142"/>
    <mergeCell ref="KZB142:KZE142"/>
    <mergeCell ref="KZF142:KZI142"/>
    <mergeCell ref="KZJ142:KZM142"/>
    <mergeCell ref="KZN142:KZQ142"/>
    <mergeCell ref="KZR142:KZU142"/>
    <mergeCell ref="KZV142:KZY142"/>
    <mergeCell ref="KZZ142:LAC142"/>
    <mergeCell ref="LAD142:LAG142"/>
    <mergeCell ref="LAH142:LAK142"/>
    <mergeCell ref="LAL142:LAO142"/>
    <mergeCell ref="LAP142:LAS142"/>
    <mergeCell ref="LAT142:LAW142"/>
    <mergeCell ref="LAX142:LBA142"/>
    <mergeCell ref="LBB142:LBE142"/>
    <mergeCell ref="LBF142:LBI142"/>
    <mergeCell ref="LBJ142:LBM142"/>
    <mergeCell ref="LBN142:LBQ142"/>
    <mergeCell ref="LBR142:LBU142"/>
    <mergeCell ref="LBV142:LBY142"/>
    <mergeCell ref="LBZ142:LCC142"/>
    <mergeCell ref="LCD142:LCG142"/>
    <mergeCell ref="LCH142:LCK142"/>
    <mergeCell ref="LCL142:LCO142"/>
    <mergeCell ref="LCP142:LCS142"/>
    <mergeCell ref="LCT142:LCW142"/>
    <mergeCell ref="LCX142:LDA142"/>
    <mergeCell ref="LDB142:LDE142"/>
    <mergeCell ref="LDF142:LDI142"/>
    <mergeCell ref="LDJ142:LDM142"/>
    <mergeCell ref="LDN142:LDQ142"/>
    <mergeCell ref="LDR142:LDU142"/>
    <mergeCell ref="LDV142:LDY142"/>
    <mergeCell ref="LDZ142:LEC142"/>
    <mergeCell ref="LED142:LEG142"/>
    <mergeCell ref="LEH142:LEK142"/>
    <mergeCell ref="LEL142:LEO142"/>
    <mergeCell ref="LEP142:LES142"/>
    <mergeCell ref="LET142:LEW142"/>
    <mergeCell ref="LEX142:LFA142"/>
    <mergeCell ref="LFB142:LFE142"/>
    <mergeCell ref="LFF142:LFI142"/>
    <mergeCell ref="LFJ142:LFM142"/>
    <mergeCell ref="LFN142:LFQ142"/>
    <mergeCell ref="LFR142:LFU142"/>
    <mergeCell ref="LFV142:LFY142"/>
    <mergeCell ref="LFZ142:LGC142"/>
    <mergeCell ref="LGD142:LGG142"/>
    <mergeCell ref="LGH142:LGK142"/>
    <mergeCell ref="LGL142:LGO142"/>
    <mergeCell ref="LGP142:LGS142"/>
    <mergeCell ref="LGT142:LGW142"/>
    <mergeCell ref="LGX142:LHA142"/>
    <mergeCell ref="LHB142:LHE142"/>
    <mergeCell ref="LHF142:LHI142"/>
    <mergeCell ref="LHJ142:LHM142"/>
    <mergeCell ref="LHN142:LHQ142"/>
    <mergeCell ref="LHR142:LHU142"/>
    <mergeCell ref="LHV142:LHY142"/>
    <mergeCell ref="LHZ142:LIC142"/>
    <mergeCell ref="LID142:LIG142"/>
    <mergeCell ref="LIH142:LIK142"/>
    <mergeCell ref="LIL142:LIO142"/>
    <mergeCell ref="LIP142:LIS142"/>
    <mergeCell ref="LIT142:LIW142"/>
    <mergeCell ref="LIX142:LJA142"/>
    <mergeCell ref="LJB142:LJE142"/>
    <mergeCell ref="LJF142:LJI142"/>
    <mergeCell ref="LJJ142:LJM142"/>
    <mergeCell ref="LJN142:LJQ142"/>
    <mergeCell ref="LJR142:LJU142"/>
    <mergeCell ref="LJV142:LJY142"/>
    <mergeCell ref="LJZ142:LKC142"/>
    <mergeCell ref="LKD142:LKG142"/>
    <mergeCell ref="LKH142:LKK142"/>
    <mergeCell ref="LKL142:LKO142"/>
    <mergeCell ref="LKP142:LKS142"/>
    <mergeCell ref="LKT142:LKW142"/>
    <mergeCell ref="LKX142:LLA142"/>
    <mergeCell ref="LLB142:LLE142"/>
    <mergeCell ref="LLF142:LLI142"/>
    <mergeCell ref="LLJ142:LLM142"/>
    <mergeCell ref="LLN142:LLQ142"/>
    <mergeCell ref="LLR142:LLU142"/>
    <mergeCell ref="LLV142:LLY142"/>
    <mergeCell ref="LLZ142:LMC142"/>
    <mergeCell ref="LMD142:LMG142"/>
    <mergeCell ref="LMH142:LMK142"/>
    <mergeCell ref="LML142:LMO142"/>
    <mergeCell ref="LMP142:LMS142"/>
    <mergeCell ref="LMT142:LMW142"/>
    <mergeCell ref="LMX142:LNA142"/>
    <mergeCell ref="LNB142:LNE142"/>
    <mergeCell ref="LNF142:LNI142"/>
    <mergeCell ref="LNJ142:LNM142"/>
    <mergeCell ref="LNN142:LNQ142"/>
    <mergeCell ref="LNR142:LNU142"/>
    <mergeCell ref="LNV142:LNY142"/>
    <mergeCell ref="LNZ142:LOC142"/>
    <mergeCell ref="LOD142:LOG142"/>
    <mergeCell ref="LOH142:LOK142"/>
    <mergeCell ref="LOL142:LOO142"/>
    <mergeCell ref="LOP142:LOS142"/>
    <mergeCell ref="LOT142:LOW142"/>
    <mergeCell ref="LOX142:LPA142"/>
    <mergeCell ref="LPB142:LPE142"/>
    <mergeCell ref="LPF142:LPI142"/>
    <mergeCell ref="LPJ142:LPM142"/>
    <mergeCell ref="LPN142:LPQ142"/>
    <mergeCell ref="LPR142:LPU142"/>
    <mergeCell ref="LPV142:LPY142"/>
    <mergeCell ref="LPZ142:LQC142"/>
    <mergeCell ref="LQD142:LQG142"/>
    <mergeCell ref="LQH142:LQK142"/>
    <mergeCell ref="LQL142:LQO142"/>
    <mergeCell ref="LQP142:LQS142"/>
    <mergeCell ref="LQT142:LQW142"/>
    <mergeCell ref="LQX142:LRA142"/>
    <mergeCell ref="LRB142:LRE142"/>
    <mergeCell ref="LRF142:LRI142"/>
    <mergeCell ref="LRJ142:LRM142"/>
    <mergeCell ref="LRN142:LRQ142"/>
    <mergeCell ref="LRR142:LRU142"/>
    <mergeCell ref="LRV142:LRY142"/>
    <mergeCell ref="LRZ142:LSC142"/>
    <mergeCell ref="LSD142:LSG142"/>
    <mergeCell ref="LSH142:LSK142"/>
    <mergeCell ref="LSL142:LSO142"/>
    <mergeCell ref="LSP142:LSS142"/>
    <mergeCell ref="LST142:LSW142"/>
    <mergeCell ref="LSX142:LTA142"/>
    <mergeCell ref="LTB142:LTE142"/>
    <mergeCell ref="LTF142:LTI142"/>
    <mergeCell ref="LTJ142:LTM142"/>
    <mergeCell ref="LTN142:LTQ142"/>
    <mergeCell ref="LTR142:LTU142"/>
    <mergeCell ref="LTV142:LTY142"/>
    <mergeCell ref="LTZ142:LUC142"/>
    <mergeCell ref="LUD142:LUG142"/>
    <mergeCell ref="LUH142:LUK142"/>
    <mergeCell ref="LUL142:LUO142"/>
    <mergeCell ref="LUP142:LUS142"/>
    <mergeCell ref="LUT142:LUW142"/>
    <mergeCell ref="LUX142:LVA142"/>
    <mergeCell ref="LVB142:LVE142"/>
    <mergeCell ref="LVF142:LVI142"/>
    <mergeCell ref="LVJ142:LVM142"/>
    <mergeCell ref="LVN142:LVQ142"/>
    <mergeCell ref="LVR142:LVU142"/>
    <mergeCell ref="LVV142:LVY142"/>
    <mergeCell ref="LVZ142:LWC142"/>
    <mergeCell ref="LWD142:LWG142"/>
    <mergeCell ref="LWH142:LWK142"/>
    <mergeCell ref="LWL142:LWO142"/>
    <mergeCell ref="LWP142:LWS142"/>
    <mergeCell ref="LWT142:LWW142"/>
    <mergeCell ref="LWX142:LXA142"/>
    <mergeCell ref="LXB142:LXE142"/>
    <mergeCell ref="LXF142:LXI142"/>
    <mergeCell ref="LXJ142:LXM142"/>
    <mergeCell ref="LXN142:LXQ142"/>
    <mergeCell ref="LXR142:LXU142"/>
    <mergeCell ref="LXV142:LXY142"/>
    <mergeCell ref="LXZ142:LYC142"/>
    <mergeCell ref="LYD142:LYG142"/>
    <mergeCell ref="LYH142:LYK142"/>
    <mergeCell ref="LYL142:LYO142"/>
    <mergeCell ref="LYP142:LYS142"/>
    <mergeCell ref="LYT142:LYW142"/>
    <mergeCell ref="LYX142:LZA142"/>
    <mergeCell ref="LZB142:LZE142"/>
    <mergeCell ref="LZF142:LZI142"/>
    <mergeCell ref="LZJ142:LZM142"/>
    <mergeCell ref="LZN142:LZQ142"/>
    <mergeCell ref="LZR142:LZU142"/>
    <mergeCell ref="LZV142:LZY142"/>
    <mergeCell ref="LZZ142:MAC142"/>
    <mergeCell ref="MAD142:MAG142"/>
    <mergeCell ref="MAH142:MAK142"/>
    <mergeCell ref="MAL142:MAO142"/>
    <mergeCell ref="MAP142:MAS142"/>
    <mergeCell ref="MAT142:MAW142"/>
    <mergeCell ref="MAX142:MBA142"/>
    <mergeCell ref="MBB142:MBE142"/>
    <mergeCell ref="MBF142:MBI142"/>
    <mergeCell ref="MBJ142:MBM142"/>
    <mergeCell ref="MBN142:MBQ142"/>
    <mergeCell ref="MBR142:MBU142"/>
    <mergeCell ref="MBV142:MBY142"/>
    <mergeCell ref="MBZ142:MCC142"/>
    <mergeCell ref="MCD142:MCG142"/>
    <mergeCell ref="MCH142:MCK142"/>
    <mergeCell ref="MCL142:MCO142"/>
    <mergeCell ref="MCP142:MCS142"/>
    <mergeCell ref="MCT142:MCW142"/>
    <mergeCell ref="MCX142:MDA142"/>
    <mergeCell ref="MDB142:MDE142"/>
    <mergeCell ref="MDF142:MDI142"/>
    <mergeCell ref="MDJ142:MDM142"/>
    <mergeCell ref="MDN142:MDQ142"/>
    <mergeCell ref="MDR142:MDU142"/>
    <mergeCell ref="MDV142:MDY142"/>
    <mergeCell ref="MDZ142:MEC142"/>
    <mergeCell ref="MED142:MEG142"/>
    <mergeCell ref="MEH142:MEK142"/>
    <mergeCell ref="MEL142:MEO142"/>
    <mergeCell ref="MEP142:MES142"/>
    <mergeCell ref="MET142:MEW142"/>
    <mergeCell ref="MEX142:MFA142"/>
    <mergeCell ref="MFB142:MFE142"/>
    <mergeCell ref="MFF142:MFI142"/>
    <mergeCell ref="MFJ142:MFM142"/>
    <mergeCell ref="MFN142:MFQ142"/>
    <mergeCell ref="MFR142:MFU142"/>
    <mergeCell ref="MFV142:MFY142"/>
    <mergeCell ref="MFZ142:MGC142"/>
    <mergeCell ref="MGD142:MGG142"/>
    <mergeCell ref="MGH142:MGK142"/>
    <mergeCell ref="MGL142:MGO142"/>
    <mergeCell ref="MGP142:MGS142"/>
    <mergeCell ref="MGT142:MGW142"/>
    <mergeCell ref="MGX142:MHA142"/>
    <mergeCell ref="MHB142:MHE142"/>
    <mergeCell ref="MHF142:MHI142"/>
    <mergeCell ref="MHJ142:MHM142"/>
    <mergeCell ref="MHN142:MHQ142"/>
    <mergeCell ref="MHR142:MHU142"/>
    <mergeCell ref="MHV142:MHY142"/>
    <mergeCell ref="MHZ142:MIC142"/>
    <mergeCell ref="MID142:MIG142"/>
    <mergeCell ref="MIH142:MIK142"/>
    <mergeCell ref="MIL142:MIO142"/>
    <mergeCell ref="MIP142:MIS142"/>
    <mergeCell ref="MIT142:MIW142"/>
    <mergeCell ref="MIX142:MJA142"/>
    <mergeCell ref="MJB142:MJE142"/>
    <mergeCell ref="MJF142:MJI142"/>
    <mergeCell ref="MJJ142:MJM142"/>
    <mergeCell ref="MJN142:MJQ142"/>
    <mergeCell ref="MJR142:MJU142"/>
    <mergeCell ref="MJV142:MJY142"/>
    <mergeCell ref="MJZ142:MKC142"/>
    <mergeCell ref="MKD142:MKG142"/>
    <mergeCell ref="MKH142:MKK142"/>
    <mergeCell ref="MKL142:MKO142"/>
    <mergeCell ref="MKP142:MKS142"/>
    <mergeCell ref="MKT142:MKW142"/>
    <mergeCell ref="MKX142:MLA142"/>
    <mergeCell ref="MLB142:MLE142"/>
    <mergeCell ref="MLF142:MLI142"/>
    <mergeCell ref="MLJ142:MLM142"/>
    <mergeCell ref="MLN142:MLQ142"/>
    <mergeCell ref="MLR142:MLU142"/>
    <mergeCell ref="MLV142:MLY142"/>
    <mergeCell ref="MLZ142:MMC142"/>
    <mergeCell ref="MMD142:MMG142"/>
    <mergeCell ref="MMH142:MMK142"/>
    <mergeCell ref="MML142:MMO142"/>
    <mergeCell ref="MMP142:MMS142"/>
    <mergeCell ref="MMT142:MMW142"/>
    <mergeCell ref="MMX142:MNA142"/>
    <mergeCell ref="MNB142:MNE142"/>
    <mergeCell ref="MNF142:MNI142"/>
    <mergeCell ref="MNJ142:MNM142"/>
    <mergeCell ref="MNN142:MNQ142"/>
    <mergeCell ref="MNR142:MNU142"/>
    <mergeCell ref="MNV142:MNY142"/>
    <mergeCell ref="MNZ142:MOC142"/>
    <mergeCell ref="MOD142:MOG142"/>
    <mergeCell ref="MOH142:MOK142"/>
    <mergeCell ref="MOL142:MOO142"/>
    <mergeCell ref="MOP142:MOS142"/>
    <mergeCell ref="MOT142:MOW142"/>
    <mergeCell ref="MOX142:MPA142"/>
    <mergeCell ref="MPB142:MPE142"/>
    <mergeCell ref="MPF142:MPI142"/>
    <mergeCell ref="MPJ142:MPM142"/>
    <mergeCell ref="MPN142:MPQ142"/>
    <mergeCell ref="MPR142:MPU142"/>
    <mergeCell ref="MPV142:MPY142"/>
    <mergeCell ref="MPZ142:MQC142"/>
    <mergeCell ref="MQD142:MQG142"/>
    <mergeCell ref="MQH142:MQK142"/>
    <mergeCell ref="MQL142:MQO142"/>
    <mergeCell ref="MQP142:MQS142"/>
    <mergeCell ref="MQT142:MQW142"/>
    <mergeCell ref="MQX142:MRA142"/>
    <mergeCell ref="MRB142:MRE142"/>
    <mergeCell ref="MRF142:MRI142"/>
    <mergeCell ref="MRJ142:MRM142"/>
    <mergeCell ref="MRN142:MRQ142"/>
    <mergeCell ref="MRR142:MRU142"/>
    <mergeCell ref="MRV142:MRY142"/>
    <mergeCell ref="MRZ142:MSC142"/>
    <mergeCell ref="MSD142:MSG142"/>
    <mergeCell ref="MSH142:MSK142"/>
    <mergeCell ref="MSL142:MSO142"/>
    <mergeCell ref="MSP142:MSS142"/>
    <mergeCell ref="MST142:MSW142"/>
    <mergeCell ref="MSX142:MTA142"/>
    <mergeCell ref="MTB142:MTE142"/>
    <mergeCell ref="MTF142:MTI142"/>
    <mergeCell ref="MTJ142:MTM142"/>
    <mergeCell ref="MTN142:MTQ142"/>
    <mergeCell ref="MTR142:MTU142"/>
    <mergeCell ref="MTV142:MTY142"/>
    <mergeCell ref="MTZ142:MUC142"/>
    <mergeCell ref="MUD142:MUG142"/>
    <mergeCell ref="MUH142:MUK142"/>
    <mergeCell ref="MUL142:MUO142"/>
    <mergeCell ref="MUP142:MUS142"/>
    <mergeCell ref="MUT142:MUW142"/>
    <mergeCell ref="MUX142:MVA142"/>
    <mergeCell ref="MVB142:MVE142"/>
    <mergeCell ref="MVF142:MVI142"/>
    <mergeCell ref="MVJ142:MVM142"/>
    <mergeCell ref="MVN142:MVQ142"/>
    <mergeCell ref="MVR142:MVU142"/>
    <mergeCell ref="MVV142:MVY142"/>
    <mergeCell ref="MVZ142:MWC142"/>
    <mergeCell ref="MWD142:MWG142"/>
    <mergeCell ref="MWH142:MWK142"/>
    <mergeCell ref="MWL142:MWO142"/>
    <mergeCell ref="MWP142:MWS142"/>
    <mergeCell ref="MWT142:MWW142"/>
    <mergeCell ref="MWX142:MXA142"/>
    <mergeCell ref="MXB142:MXE142"/>
    <mergeCell ref="MXF142:MXI142"/>
    <mergeCell ref="MXJ142:MXM142"/>
    <mergeCell ref="MXN142:MXQ142"/>
    <mergeCell ref="MXR142:MXU142"/>
    <mergeCell ref="MXV142:MXY142"/>
    <mergeCell ref="MXZ142:MYC142"/>
    <mergeCell ref="MYD142:MYG142"/>
    <mergeCell ref="MYH142:MYK142"/>
    <mergeCell ref="MYL142:MYO142"/>
    <mergeCell ref="MYP142:MYS142"/>
    <mergeCell ref="MYT142:MYW142"/>
    <mergeCell ref="MYX142:MZA142"/>
    <mergeCell ref="MZB142:MZE142"/>
    <mergeCell ref="MZF142:MZI142"/>
    <mergeCell ref="MZJ142:MZM142"/>
    <mergeCell ref="MZN142:MZQ142"/>
    <mergeCell ref="MZR142:MZU142"/>
    <mergeCell ref="MZV142:MZY142"/>
    <mergeCell ref="MZZ142:NAC142"/>
    <mergeCell ref="NAD142:NAG142"/>
    <mergeCell ref="NAH142:NAK142"/>
    <mergeCell ref="NAL142:NAO142"/>
    <mergeCell ref="NAP142:NAS142"/>
    <mergeCell ref="NAT142:NAW142"/>
    <mergeCell ref="NAX142:NBA142"/>
    <mergeCell ref="NBB142:NBE142"/>
    <mergeCell ref="NBF142:NBI142"/>
    <mergeCell ref="NBJ142:NBM142"/>
    <mergeCell ref="NBN142:NBQ142"/>
    <mergeCell ref="NBR142:NBU142"/>
    <mergeCell ref="NBV142:NBY142"/>
    <mergeCell ref="NBZ142:NCC142"/>
    <mergeCell ref="NCD142:NCG142"/>
    <mergeCell ref="NCH142:NCK142"/>
    <mergeCell ref="NCL142:NCO142"/>
    <mergeCell ref="NCP142:NCS142"/>
    <mergeCell ref="NCT142:NCW142"/>
    <mergeCell ref="NCX142:NDA142"/>
    <mergeCell ref="NDB142:NDE142"/>
    <mergeCell ref="NDF142:NDI142"/>
    <mergeCell ref="NDJ142:NDM142"/>
    <mergeCell ref="NDN142:NDQ142"/>
    <mergeCell ref="NDR142:NDU142"/>
    <mergeCell ref="NDV142:NDY142"/>
    <mergeCell ref="NDZ142:NEC142"/>
    <mergeCell ref="NED142:NEG142"/>
    <mergeCell ref="NEH142:NEK142"/>
    <mergeCell ref="NEL142:NEO142"/>
    <mergeCell ref="NEP142:NES142"/>
    <mergeCell ref="NET142:NEW142"/>
    <mergeCell ref="NEX142:NFA142"/>
    <mergeCell ref="NFB142:NFE142"/>
    <mergeCell ref="NFF142:NFI142"/>
    <mergeCell ref="NFJ142:NFM142"/>
    <mergeCell ref="NFN142:NFQ142"/>
    <mergeCell ref="NFR142:NFU142"/>
    <mergeCell ref="NFV142:NFY142"/>
    <mergeCell ref="NFZ142:NGC142"/>
    <mergeCell ref="NGD142:NGG142"/>
    <mergeCell ref="NGH142:NGK142"/>
    <mergeCell ref="NGL142:NGO142"/>
    <mergeCell ref="NGP142:NGS142"/>
    <mergeCell ref="NGT142:NGW142"/>
    <mergeCell ref="NGX142:NHA142"/>
    <mergeCell ref="NHB142:NHE142"/>
    <mergeCell ref="NHF142:NHI142"/>
    <mergeCell ref="NHJ142:NHM142"/>
    <mergeCell ref="NHN142:NHQ142"/>
    <mergeCell ref="NHR142:NHU142"/>
    <mergeCell ref="NHV142:NHY142"/>
    <mergeCell ref="NHZ142:NIC142"/>
    <mergeCell ref="NID142:NIG142"/>
    <mergeCell ref="NIH142:NIK142"/>
    <mergeCell ref="NIL142:NIO142"/>
    <mergeCell ref="NIP142:NIS142"/>
    <mergeCell ref="NIT142:NIW142"/>
    <mergeCell ref="NIX142:NJA142"/>
    <mergeCell ref="NJB142:NJE142"/>
    <mergeCell ref="NJF142:NJI142"/>
    <mergeCell ref="NJJ142:NJM142"/>
    <mergeCell ref="NJN142:NJQ142"/>
    <mergeCell ref="NJR142:NJU142"/>
    <mergeCell ref="NJV142:NJY142"/>
    <mergeCell ref="NJZ142:NKC142"/>
    <mergeCell ref="NKD142:NKG142"/>
    <mergeCell ref="NKH142:NKK142"/>
    <mergeCell ref="NKL142:NKO142"/>
    <mergeCell ref="NKP142:NKS142"/>
    <mergeCell ref="NKT142:NKW142"/>
    <mergeCell ref="NKX142:NLA142"/>
    <mergeCell ref="NLB142:NLE142"/>
    <mergeCell ref="NLF142:NLI142"/>
    <mergeCell ref="NLJ142:NLM142"/>
    <mergeCell ref="NLN142:NLQ142"/>
    <mergeCell ref="NLR142:NLU142"/>
    <mergeCell ref="NLV142:NLY142"/>
    <mergeCell ref="NLZ142:NMC142"/>
    <mergeCell ref="NMD142:NMG142"/>
    <mergeCell ref="NMH142:NMK142"/>
    <mergeCell ref="NML142:NMO142"/>
    <mergeCell ref="NMP142:NMS142"/>
    <mergeCell ref="NMT142:NMW142"/>
    <mergeCell ref="NMX142:NNA142"/>
    <mergeCell ref="NNB142:NNE142"/>
    <mergeCell ref="NNF142:NNI142"/>
    <mergeCell ref="NNJ142:NNM142"/>
    <mergeCell ref="NNN142:NNQ142"/>
    <mergeCell ref="NNR142:NNU142"/>
    <mergeCell ref="NNV142:NNY142"/>
    <mergeCell ref="NNZ142:NOC142"/>
    <mergeCell ref="NOD142:NOG142"/>
    <mergeCell ref="NOH142:NOK142"/>
    <mergeCell ref="NOL142:NOO142"/>
    <mergeCell ref="NOP142:NOS142"/>
    <mergeCell ref="NOT142:NOW142"/>
    <mergeCell ref="NOX142:NPA142"/>
    <mergeCell ref="NPB142:NPE142"/>
    <mergeCell ref="NPF142:NPI142"/>
    <mergeCell ref="NPJ142:NPM142"/>
    <mergeCell ref="NPN142:NPQ142"/>
    <mergeCell ref="NPR142:NPU142"/>
    <mergeCell ref="NPV142:NPY142"/>
    <mergeCell ref="NPZ142:NQC142"/>
    <mergeCell ref="NQD142:NQG142"/>
    <mergeCell ref="NQH142:NQK142"/>
    <mergeCell ref="NQL142:NQO142"/>
    <mergeCell ref="NQP142:NQS142"/>
    <mergeCell ref="NQT142:NQW142"/>
    <mergeCell ref="NQX142:NRA142"/>
    <mergeCell ref="NRB142:NRE142"/>
    <mergeCell ref="NRF142:NRI142"/>
    <mergeCell ref="NRJ142:NRM142"/>
    <mergeCell ref="NRN142:NRQ142"/>
    <mergeCell ref="NRR142:NRU142"/>
    <mergeCell ref="NRV142:NRY142"/>
    <mergeCell ref="NRZ142:NSC142"/>
    <mergeCell ref="NSD142:NSG142"/>
    <mergeCell ref="NSH142:NSK142"/>
    <mergeCell ref="NSL142:NSO142"/>
    <mergeCell ref="NSP142:NSS142"/>
    <mergeCell ref="NST142:NSW142"/>
    <mergeCell ref="NSX142:NTA142"/>
    <mergeCell ref="NTB142:NTE142"/>
    <mergeCell ref="NTF142:NTI142"/>
    <mergeCell ref="NTJ142:NTM142"/>
    <mergeCell ref="NTN142:NTQ142"/>
    <mergeCell ref="NTR142:NTU142"/>
    <mergeCell ref="NTV142:NTY142"/>
    <mergeCell ref="NTZ142:NUC142"/>
    <mergeCell ref="NUD142:NUG142"/>
    <mergeCell ref="NUH142:NUK142"/>
    <mergeCell ref="NUL142:NUO142"/>
    <mergeCell ref="NUP142:NUS142"/>
    <mergeCell ref="NUT142:NUW142"/>
    <mergeCell ref="NUX142:NVA142"/>
    <mergeCell ref="NVB142:NVE142"/>
    <mergeCell ref="NVF142:NVI142"/>
    <mergeCell ref="NVJ142:NVM142"/>
    <mergeCell ref="NVN142:NVQ142"/>
    <mergeCell ref="NVR142:NVU142"/>
    <mergeCell ref="NVV142:NVY142"/>
    <mergeCell ref="NVZ142:NWC142"/>
    <mergeCell ref="NWD142:NWG142"/>
    <mergeCell ref="NWH142:NWK142"/>
    <mergeCell ref="NWL142:NWO142"/>
    <mergeCell ref="NWP142:NWS142"/>
    <mergeCell ref="NWT142:NWW142"/>
    <mergeCell ref="NWX142:NXA142"/>
    <mergeCell ref="NXB142:NXE142"/>
    <mergeCell ref="NXF142:NXI142"/>
    <mergeCell ref="NXJ142:NXM142"/>
    <mergeCell ref="NXN142:NXQ142"/>
    <mergeCell ref="NXR142:NXU142"/>
    <mergeCell ref="NXV142:NXY142"/>
    <mergeCell ref="NXZ142:NYC142"/>
    <mergeCell ref="NYD142:NYG142"/>
    <mergeCell ref="NYH142:NYK142"/>
    <mergeCell ref="NYL142:NYO142"/>
    <mergeCell ref="NYP142:NYS142"/>
    <mergeCell ref="NYT142:NYW142"/>
    <mergeCell ref="NYX142:NZA142"/>
    <mergeCell ref="NZB142:NZE142"/>
    <mergeCell ref="NZF142:NZI142"/>
    <mergeCell ref="NZJ142:NZM142"/>
    <mergeCell ref="NZN142:NZQ142"/>
    <mergeCell ref="NZR142:NZU142"/>
    <mergeCell ref="NZV142:NZY142"/>
    <mergeCell ref="NZZ142:OAC142"/>
    <mergeCell ref="OAD142:OAG142"/>
    <mergeCell ref="OAH142:OAK142"/>
    <mergeCell ref="OAL142:OAO142"/>
    <mergeCell ref="OAP142:OAS142"/>
    <mergeCell ref="OAT142:OAW142"/>
    <mergeCell ref="OAX142:OBA142"/>
    <mergeCell ref="OBB142:OBE142"/>
    <mergeCell ref="OBF142:OBI142"/>
    <mergeCell ref="OBJ142:OBM142"/>
    <mergeCell ref="OBN142:OBQ142"/>
    <mergeCell ref="OBR142:OBU142"/>
    <mergeCell ref="OBV142:OBY142"/>
    <mergeCell ref="OBZ142:OCC142"/>
    <mergeCell ref="OCD142:OCG142"/>
    <mergeCell ref="OCH142:OCK142"/>
    <mergeCell ref="OCL142:OCO142"/>
    <mergeCell ref="OCP142:OCS142"/>
    <mergeCell ref="OCT142:OCW142"/>
    <mergeCell ref="OCX142:ODA142"/>
    <mergeCell ref="ODB142:ODE142"/>
    <mergeCell ref="ODF142:ODI142"/>
    <mergeCell ref="ODJ142:ODM142"/>
    <mergeCell ref="ODN142:ODQ142"/>
    <mergeCell ref="ODR142:ODU142"/>
    <mergeCell ref="ODV142:ODY142"/>
    <mergeCell ref="ODZ142:OEC142"/>
    <mergeCell ref="OED142:OEG142"/>
    <mergeCell ref="OEH142:OEK142"/>
    <mergeCell ref="OEL142:OEO142"/>
    <mergeCell ref="OEP142:OES142"/>
    <mergeCell ref="OET142:OEW142"/>
    <mergeCell ref="OEX142:OFA142"/>
    <mergeCell ref="OFB142:OFE142"/>
    <mergeCell ref="OFF142:OFI142"/>
    <mergeCell ref="OFJ142:OFM142"/>
    <mergeCell ref="OFN142:OFQ142"/>
    <mergeCell ref="OFR142:OFU142"/>
    <mergeCell ref="OFV142:OFY142"/>
    <mergeCell ref="OFZ142:OGC142"/>
    <mergeCell ref="OGD142:OGG142"/>
    <mergeCell ref="OGH142:OGK142"/>
    <mergeCell ref="OGL142:OGO142"/>
    <mergeCell ref="OGP142:OGS142"/>
    <mergeCell ref="OGT142:OGW142"/>
    <mergeCell ref="OGX142:OHA142"/>
    <mergeCell ref="OHB142:OHE142"/>
    <mergeCell ref="OHF142:OHI142"/>
    <mergeCell ref="OHJ142:OHM142"/>
    <mergeCell ref="OHN142:OHQ142"/>
    <mergeCell ref="OHR142:OHU142"/>
    <mergeCell ref="OHV142:OHY142"/>
    <mergeCell ref="OHZ142:OIC142"/>
    <mergeCell ref="OID142:OIG142"/>
    <mergeCell ref="OIH142:OIK142"/>
    <mergeCell ref="OIL142:OIO142"/>
    <mergeCell ref="OIP142:OIS142"/>
    <mergeCell ref="OIT142:OIW142"/>
    <mergeCell ref="OIX142:OJA142"/>
    <mergeCell ref="OJB142:OJE142"/>
    <mergeCell ref="OJF142:OJI142"/>
    <mergeCell ref="OJJ142:OJM142"/>
    <mergeCell ref="OJN142:OJQ142"/>
    <mergeCell ref="OJR142:OJU142"/>
    <mergeCell ref="OJV142:OJY142"/>
    <mergeCell ref="OJZ142:OKC142"/>
    <mergeCell ref="OKD142:OKG142"/>
    <mergeCell ref="OKH142:OKK142"/>
    <mergeCell ref="OKL142:OKO142"/>
    <mergeCell ref="OKP142:OKS142"/>
    <mergeCell ref="OKT142:OKW142"/>
    <mergeCell ref="OKX142:OLA142"/>
    <mergeCell ref="OLB142:OLE142"/>
    <mergeCell ref="OLF142:OLI142"/>
    <mergeCell ref="OLJ142:OLM142"/>
    <mergeCell ref="OLN142:OLQ142"/>
    <mergeCell ref="OLR142:OLU142"/>
    <mergeCell ref="OLV142:OLY142"/>
    <mergeCell ref="OLZ142:OMC142"/>
    <mergeCell ref="OMD142:OMG142"/>
    <mergeCell ref="OMH142:OMK142"/>
    <mergeCell ref="OML142:OMO142"/>
    <mergeCell ref="OMP142:OMS142"/>
    <mergeCell ref="OMT142:OMW142"/>
    <mergeCell ref="OMX142:ONA142"/>
    <mergeCell ref="ONB142:ONE142"/>
    <mergeCell ref="ONF142:ONI142"/>
    <mergeCell ref="ONJ142:ONM142"/>
    <mergeCell ref="ONN142:ONQ142"/>
    <mergeCell ref="ONR142:ONU142"/>
    <mergeCell ref="ONV142:ONY142"/>
    <mergeCell ref="ONZ142:OOC142"/>
    <mergeCell ref="OOD142:OOG142"/>
    <mergeCell ref="OOH142:OOK142"/>
    <mergeCell ref="OOL142:OOO142"/>
    <mergeCell ref="OOP142:OOS142"/>
    <mergeCell ref="OOT142:OOW142"/>
    <mergeCell ref="OOX142:OPA142"/>
    <mergeCell ref="OPB142:OPE142"/>
    <mergeCell ref="OPF142:OPI142"/>
    <mergeCell ref="OPJ142:OPM142"/>
    <mergeCell ref="OPN142:OPQ142"/>
    <mergeCell ref="OPR142:OPU142"/>
    <mergeCell ref="OPV142:OPY142"/>
    <mergeCell ref="OPZ142:OQC142"/>
    <mergeCell ref="OQD142:OQG142"/>
    <mergeCell ref="OQH142:OQK142"/>
    <mergeCell ref="OQL142:OQO142"/>
    <mergeCell ref="OQP142:OQS142"/>
    <mergeCell ref="OQT142:OQW142"/>
    <mergeCell ref="OQX142:ORA142"/>
    <mergeCell ref="ORB142:ORE142"/>
    <mergeCell ref="ORF142:ORI142"/>
    <mergeCell ref="ORJ142:ORM142"/>
    <mergeCell ref="ORN142:ORQ142"/>
    <mergeCell ref="ORR142:ORU142"/>
    <mergeCell ref="ORV142:ORY142"/>
    <mergeCell ref="ORZ142:OSC142"/>
    <mergeCell ref="OSD142:OSG142"/>
    <mergeCell ref="OSH142:OSK142"/>
    <mergeCell ref="OSL142:OSO142"/>
    <mergeCell ref="OSP142:OSS142"/>
    <mergeCell ref="OST142:OSW142"/>
    <mergeCell ref="OSX142:OTA142"/>
    <mergeCell ref="OTB142:OTE142"/>
    <mergeCell ref="OTF142:OTI142"/>
    <mergeCell ref="OTJ142:OTM142"/>
    <mergeCell ref="OTN142:OTQ142"/>
    <mergeCell ref="OTR142:OTU142"/>
    <mergeCell ref="OTV142:OTY142"/>
    <mergeCell ref="OTZ142:OUC142"/>
    <mergeCell ref="OUD142:OUG142"/>
    <mergeCell ref="OUH142:OUK142"/>
    <mergeCell ref="OUL142:OUO142"/>
    <mergeCell ref="OUP142:OUS142"/>
    <mergeCell ref="OUT142:OUW142"/>
    <mergeCell ref="OUX142:OVA142"/>
    <mergeCell ref="OVB142:OVE142"/>
    <mergeCell ref="OVF142:OVI142"/>
    <mergeCell ref="OVJ142:OVM142"/>
    <mergeCell ref="OVN142:OVQ142"/>
    <mergeCell ref="OVR142:OVU142"/>
    <mergeCell ref="OVV142:OVY142"/>
    <mergeCell ref="OVZ142:OWC142"/>
    <mergeCell ref="OWD142:OWG142"/>
    <mergeCell ref="OWH142:OWK142"/>
    <mergeCell ref="OWL142:OWO142"/>
    <mergeCell ref="OWP142:OWS142"/>
    <mergeCell ref="OWT142:OWW142"/>
    <mergeCell ref="OWX142:OXA142"/>
    <mergeCell ref="OXB142:OXE142"/>
    <mergeCell ref="OXF142:OXI142"/>
    <mergeCell ref="OXJ142:OXM142"/>
    <mergeCell ref="OXN142:OXQ142"/>
    <mergeCell ref="OXR142:OXU142"/>
    <mergeCell ref="OXV142:OXY142"/>
    <mergeCell ref="OXZ142:OYC142"/>
    <mergeCell ref="OYD142:OYG142"/>
    <mergeCell ref="OYH142:OYK142"/>
    <mergeCell ref="OYL142:OYO142"/>
    <mergeCell ref="OYP142:OYS142"/>
    <mergeCell ref="OYT142:OYW142"/>
    <mergeCell ref="OYX142:OZA142"/>
    <mergeCell ref="OZB142:OZE142"/>
    <mergeCell ref="OZF142:OZI142"/>
    <mergeCell ref="OZJ142:OZM142"/>
    <mergeCell ref="OZN142:OZQ142"/>
    <mergeCell ref="OZR142:OZU142"/>
    <mergeCell ref="OZV142:OZY142"/>
    <mergeCell ref="OZZ142:PAC142"/>
    <mergeCell ref="PAD142:PAG142"/>
    <mergeCell ref="PAH142:PAK142"/>
    <mergeCell ref="PAL142:PAO142"/>
    <mergeCell ref="PAP142:PAS142"/>
    <mergeCell ref="PAT142:PAW142"/>
    <mergeCell ref="PAX142:PBA142"/>
    <mergeCell ref="PBB142:PBE142"/>
    <mergeCell ref="PBF142:PBI142"/>
    <mergeCell ref="PBJ142:PBM142"/>
    <mergeCell ref="PBN142:PBQ142"/>
    <mergeCell ref="PBR142:PBU142"/>
    <mergeCell ref="PBV142:PBY142"/>
    <mergeCell ref="PBZ142:PCC142"/>
    <mergeCell ref="PCD142:PCG142"/>
    <mergeCell ref="PCH142:PCK142"/>
    <mergeCell ref="PCL142:PCO142"/>
    <mergeCell ref="PCP142:PCS142"/>
    <mergeCell ref="PCT142:PCW142"/>
    <mergeCell ref="PCX142:PDA142"/>
    <mergeCell ref="PDB142:PDE142"/>
    <mergeCell ref="PDF142:PDI142"/>
    <mergeCell ref="PDJ142:PDM142"/>
    <mergeCell ref="PDN142:PDQ142"/>
    <mergeCell ref="PDR142:PDU142"/>
    <mergeCell ref="PDV142:PDY142"/>
    <mergeCell ref="PDZ142:PEC142"/>
    <mergeCell ref="PED142:PEG142"/>
    <mergeCell ref="PEH142:PEK142"/>
    <mergeCell ref="PEL142:PEO142"/>
    <mergeCell ref="PEP142:PES142"/>
    <mergeCell ref="PET142:PEW142"/>
    <mergeCell ref="PEX142:PFA142"/>
    <mergeCell ref="PFB142:PFE142"/>
    <mergeCell ref="PFF142:PFI142"/>
    <mergeCell ref="PFJ142:PFM142"/>
    <mergeCell ref="PFN142:PFQ142"/>
    <mergeCell ref="PFR142:PFU142"/>
    <mergeCell ref="PFV142:PFY142"/>
    <mergeCell ref="PFZ142:PGC142"/>
    <mergeCell ref="PGD142:PGG142"/>
    <mergeCell ref="PGH142:PGK142"/>
    <mergeCell ref="PGL142:PGO142"/>
    <mergeCell ref="PGP142:PGS142"/>
    <mergeCell ref="PGT142:PGW142"/>
    <mergeCell ref="PGX142:PHA142"/>
    <mergeCell ref="PHB142:PHE142"/>
    <mergeCell ref="PHF142:PHI142"/>
    <mergeCell ref="PHJ142:PHM142"/>
    <mergeCell ref="PHN142:PHQ142"/>
    <mergeCell ref="PHR142:PHU142"/>
    <mergeCell ref="PHV142:PHY142"/>
    <mergeCell ref="PHZ142:PIC142"/>
    <mergeCell ref="PID142:PIG142"/>
    <mergeCell ref="PIH142:PIK142"/>
    <mergeCell ref="PIL142:PIO142"/>
    <mergeCell ref="PIP142:PIS142"/>
    <mergeCell ref="PIT142:PIW142"/>
    <mergeCell ref="PIX142:PJA142"/>
    <mergeCell ref="PJB142:PJE142"/>
    <mergeCell ref="PJF142:PJI142"/>
    <mergeCell ref="PJJ142:PJM142"/>
    <mergeCell ref="PJN142:PJQ142"/>
    <mergeCell ref="PJR142:PJU142"/>
    <mergeCell ref="PJV142:PJY142"/>
    <mergeCell ref="PJZ142:PKC142"/>
    <mergeCell ref="PKD142:PKG142"/>
    <mergeCell ref="PKH142:PKK142"/>
    <mergeCell ref="PKL142:PKO142"/>
    <mergeCell ref="PKP142:PKS142"/>
    <mergeCell ref="PKT142:PKW142"/>
    <mergeCell ref="PKX142:PLA142"/>
    <mergeCell ref="PLB142:PLE142"/>
    <mergeCell ref="PLF142:PLI142"/>
    <mergeCell ref="PLJ142:PLM142"/>
    <mergeCell ref="PLN142:PLQ142"/>
    <mergeCell ref="PLR142:PLU142"/>
    <mergeCell ref="PLV142:PLY142"/>
    <mergeCell ref="PLZ142:PMC142"/>
    <mergeCell ref="PMD142:PMG142"/>
    <mergeCell ref="PMH142:PMK142"/>
    <mergeCell ref="PML142:PMO142"/>
    <mergeCell ref="PMP142:PMS142"/>
    <mergeCell ref="PMT142:PMW142"/>
    <mergeCell ref="PMX142:PNA142"/>
    <mergeCell ref="PNB142:PNE142"/>
    <mergeCell ref="PNF142:PNI142"/>
    <mergeCell ref="PNJ142:PNM142"/>
    <mergeCell ref="PNN142:PNQ142"/>
    <mergeCell ref="PNR142:PNU142"/>
    <mergeCell ref="PNV142:PNY142"/>
    <mergeCell ref="PNZ142:POC142"/>
    <mergeCell ref="POD142:POG142"/>
    <mergeCell ref="POH142:POK142"/>
    <mergeCell ref="POL142:POO142"/>
    <mergeCell ref="POP142:POS142"/>
    <mergeCell ref="POT142:POW142"/>
    <mergeCell ref="POX142:PPA142"/>
    <mergeCell ref="PPB142:PPE142"/>
    <mergeCell ref="PPF142:PPI142"/>
    <mergeCell ref="PPJ142:PPM142"/>
    <mergeCell ref="PPN142:PPQ142"/>
    <mergeCell ref="PPR142:PPU142"/>
    <mergeCell ref="PPV142:PPY142"/>
    <mergeCell ref="PPZ142:PQC142"/>
    <mergeCell ref="PQD142:PQG142"/>
    <mergeCell ref="PQH142:PQK142"/>
    <mergeCell ref="PQL142:PQO142"/>
    <mergeCell ref="PQP142:PQS142"/>
    <mergeCell ref="PQT142:PQW142"/>
    <mergeCell ref="PQX142:PRA142"/>
    <mergeCell ref="PRB142:PRE142"/>
    <mergeCell ref="PRF142:PRI142"/>
    <mergeCell ref="PRJ142:PRM142"/>
    <mergeCell ref="PRN142:PRQ142"/>
    <mergeCell ref="PRR142:PRU142"/>
    <mergeCell ref="PRV142:PRY142"/>
    <mergeCell ref="PRZ142:PSC142"/>
    <mergeCell ref="PSD142:PSG142"/>
    <mergeCell ref="PSH142:PSK142"/>
    <mergeCell ref="PSL142:PSO142"/>
    <mergeCell ref="PSP142:PSS142"/>
    <mergeCell ref="PST142:PSW142"/>
    <mergeCell ref="PSX142:PTA142"/>
    <mergeCell ref="PTB142:PTE142"/>
    <mergeCell ref="PTF142:PTI142"/>
    <mergeCell ref="PTJ142:PTM142"/>
    <mergeCell ref="PTN142:PTQ142"/>
    <mergeCell ref="PTR142:PTU142"/>
    <mergeCell ref="PTV142:PTY142"/>
    <mergeCell ref="PTZ142:PUC142"/>
    <mergeCell ref="PUD142:PUG142"/>
    <mergeCell ref="PUH142:PUK142"/>
    <mergeCell ref="PUL142:PUO142"/>
    <mergeCell ref="PUP142:PUS142"/>
    <mergeCell ref="PUT142:PUW142"/>
    <mergeCell ref="PUX142:PVA142"/>
    <mergeCell ref="PVB142:PVE142"/>
    <mergeCell ref="PVF142:PVI142"/>
    <mergeCell ref="PVJ142:PVM142"/>
    <mergeCell ref="PVN142:PVQ142"/>
    <mergeCell ref="PVR142:PVU142"/>
    <mergeCell ref="PVV142:PVY142"/>
    <mergeCell ref="PVZ142:PWC142"/>
    <mergeCell ref="PWD142:PWG142"/>
    <mergeCell ref="PWH142:PWK142"/>
    <mergeCell ref="PWL142:PWO142"/>
    <mergeCell ref="PWP142:PWS142"/>
    <mergeCell ref="PWT142:PWW142"/>
    <mergeCell ref="PWX142:PXA142"/>
    <mergeCell ref="PXB142:PXE142"/>
    <mergeCell ref="PXF142:PXI142"/>
    <mergeCell ref="PXJ142:PXM142"/>
    <mergeCell ref="PXN142:PXQ142"/>
    <mergeCell ref="PXR142:PXU142"/>
    <mergeCell ref="PXV142:PXY142"/>
    <mergeCell ref="PXZ142:PYC142"/>
    <mergeCell ref="PYD142:PYG142"/>
    <mergeCell ref="PYH142:PYK142"/>
    <mergeCell ref="PYL142:PYO142"/>
    <mergeCell ref="PYP142:PYS142"/>
    <mergeCell ref="PYT142:PYW142"/>
    <mergeCell ref="PYX142:PZA142"/>
    <mergeCell ref="PZB142:PZE142"/>
    <mergeCell ref="PZF142:PZI142"/>
    <mergeCell ref="PZJ142:PZM142"/>
    <mergeCell ref="PZN142:PZQ142"/>
    <mergeCell ref="PZR142:PZU142"/>
    <mergeCell ref="PZV142:PZY142"/>
    <mergeCell ref="PZZ142:QAC142"/>
    <mergeCell ref="QAD142:QAG142"/>
    <mergeCell ref="QAH142:QAK142"/>
    <mergeCell ref="QAL142:QAO142"/>
    <mergeCell ref="QAP142:QAS142"/>
    <mergeCell ref="QAT142:QAW142"/>
    <mergeCell ref="QAX142:QBA142"/>
    <mergeCell ref="QBB142:QBE142"/>
    <mergeCell ref="QBF142:QBI142"/>
    <mergeCell ref="QBJ142:QBM142"/>
    <mergeCell ref="QBN142:QBQ142"/>
    <mergeCell ref="QBR142:QBU142"/>
    <mergeCell ref="QBV142:QBY142"/>
    <mergeCell ref="QBZ142:QCC142"/>
    <mergeCell ref="QCD142:QCG142"/>
    <mergeCell ref="QCH142:QCK142"/>
    <mergeCell ref="QCL142:QCO142"/>
    <mergeCell ref="QCP142:QCS142"/>
    <mergeCell ref="QCT142:QCW142"/>
    <mergeCell ref="QCX142:QDA142"/>
    <mergeCell ref="QDB142:QDE142"/>
    <mergeCell ref="QDF142:QDI142"/>
    <mergeCell ref="QDJ142:QDM142"/>
    <mergeCell ref="QDN142:QDQ142"/>
    <mergeCell ref="QDR142:QDU142"/>
    <mergeCell ref="QDV142:QDY142"/>
    <mergeCell ref="QDZ142:QEC142"/>
    <mergeCell ref="QED142:QEG142"/>
    <mergeCell ref="QEH142:QEK142"/>
    <mergeCell ref="QEL142:QEO142"/>
    <mergeCell ref="QEP142:QES142"/>
    <mergeCell ref="QET142:QEW142"/>
    <mergeCell ref="QEX142:QFA142"/>
    <mergeCell ref="QFB142:QFE142"/>
    <mergeCell ref="QFF142:QFI142"/>
    <mergeCell ref="QFJ142:QFM142"/>
    <mergeCell ref="QFN142:QFQ142"/>
    <mergeCell ref="QFR142:QFU142"/>
    <mergeCell ref="QFV142:QFY142"/>
    <mergeCell ref="QFZ142:QGC142"/>
    <mergeCell ref="QGD142:QGG142"/>
    <mergeCell ref="QGH142:QGK142"/>
    <mergeCell ref="QGL142:QGO142"/>
    <mergeCell ref="QGP142:QGS142"/>
    <mergeCell ref="QGT142:QGW142"/>
    <mergeCell ref="QGX142:QHA142"/>
    <mergeCell ref="QHB142:QHE142"/>
    <mergeCell ref="QHF142:QHI142"/>
    <mergeCell ref="QHJ142:QHM142"/>
    <mergeCell ref="QHN142:QHQ142"/>
    <mergeCell ref="QHR142:QHU142"/>
    <mergeCell ref="QHV142:QHY142"/>
    <mergeCell ref="QHZ142:QIC142"/>
    <mergeCell ref="QID142:QIG142"/>
    <mergeCell ref="QIH142:QIK142"/>
    <mergeCell ref="QIL142:QIO142"/>
    <mergeCell ref="QIP142:QIS142"/>
    <mergeCell ref="QIT142:QIW142"/>
    <mergeCell ref="QIX142:QJA142"/>
    <mergeCell ref="QJB142:QJE142"/>
    <mergeCell ref="QJF142:QJI142"/>
    <mergeCell ref="QJJ142:QJM142"/>
    <mergeCell ref="QJN142:QJQ142"/>
    <mergeCell ref="QJR142:QJU142"/>
    <mergeCell ref="QJV142:QJY142"/>
    <mergeCell ref="QJZ142:QKC142"/>
    <mergeCell ref="QKD142:QKG142"/>
    <mergeCell ref="QKH142:QKK142"/>
    <mergeCell ref="QKL142:QKO142"/>
    <mergeCell ref="QKP142:QKS142"/>
    <mergeCell ref="QKT142:QKW142"/>
    <mergeCell ref="QKX142:QLA142"/>
    <mergeCell ref="QLB142:QLE142"/>
    <mergeCell ref="QLF142:QLI142"/>
    <mergeCell ref="QLJ142:QLM142"/>
    <mergeCell ref="QLN142:QLQ142"/>
    <mergeCell ref="QLR142:QLU142"/>
    <mergeCell ref="QLV142:QLY142"/>
    <mergeCell ref="QLZ142:QMC142"/>
    <mergeCell ref="QMD142:QMG142"/>
    <mergeCell ref="QMH142:QMK142"/>
    <mergeCell ref="QML142:QMO142"/>
    <mergeCell ref="QMP142:QMS142"/>
    <mergeCell ref="QMT142:QMW142"/>
    <mergeCell ref="QMX142:QNA142"/>
    <mergeCell ref="QNB142:QNE142"/>
    <mergeCell ref="QNF142:QNI142"/>
    <mergeCell ref="QNJ142:QNM142"/>
    <mergeCell ref="QNN142:QNQ142"/>
    <mergeCell ref="QNR142:QNU142"/>
    <mergeCell ref="QNV142:QNY142"/>
    <mergeCell ref="QNZ142:QOC142"/>
    <mergeCell ref="QOD142:QOG142"/>
    <mergeCell ref="QOH142:QOK142"/>
    <mergeCell ref="QOL142:QOO142"/>
    <mergeCell ref="QOP142:QOS142"/>
    <mergeCell ref="QOT142:QOW142"/>
    <mergeCell ref="QOX142:QPA142"/>
    <mergeCell ref="QPB142:QPE142"/>
    <mergeCell ref="QPF142:QPI142"/>
    <mergeCell ref="QPJ142:QPM142"/>
    <mergeCell ref="QPN142:QPQ142"/>
    <mergeCell ref="QPR142:QPU142"/>
    <mergeCell ref="QPV142:QPY142"/>
    <mergeCell ref="QPZ142:QQC142"/>
    <mergeCell ref="QQD142:QQG142"/>
    <mergeCell ref="QQH142:QQK142"/>
    <mergeCell ref="QQL142:QQO142"/>
    <mergeCell ref="QQP142:QQS142"/>
    <mergeCell ref="QQT142:QQW142"/>
    <mergeCell ref="QQX142:QRA142"/>
    <mergeCell ref="QRB142:QRE142"/>
    <mergeCell ref="QRF142:QRI142"/>
    <mergeCell ref="QRJ142:QRM142"/>
    <mergeCell ref="QRN142:QRQ142"/>
    <mergeCell ref="QRR142:QRU142"/>
    <mergeCell ref="QRV142:QRY142"/>
    <mergeCell ref="QRZ142:QSC142"/>
    <mergeCell ref="QSD142:QSG142"/>
    <mergeCell ref="QSH142:QSK142"/>
    <mergeCell ref="QSL142:QSO142"/>
    <mergeCell ref="QSP142:QSS142"/>
    <mergeCell ref="QST142:QSW142"/>
    <mergeCell ref="QSX142:QTA142"/>
    <mergeCell ref="QTB142:QTE142"/>
    <mergeCell ref="QTF142:QTI142"/>
    <mergeCell ref="QTJ142:QTM142"/>
    <mergeCell ref="QTN142:QTQ142"/>
    <mergeCell ref="QTR142:QTU142"/>
    <mergeCell ref="QTV142:QTY142"/>
    <mergeCell ref="QTZ142:QUC142"/>
    <mergeCell ref="QUD142:QUG142"/>
    <mergeCell ref="QUH142:QUK142"/>
    <mergeCell ref="QUL142:QUO142"/>
    <mergeCell ref="QUP142:QUS142"/>
    <mergeCell ref="QUT142:QUW142"/>
    <mergeCell ref="QUX142:QVA142"/>
    <mergeCell ref="QVB142:QVE142"/>
    <mergeCell ref="QVF142:QVI142"/>
    <mergeCell ref="QVJ142:QVM142"/>
    <mergeCell ref="QVN142:QVQ142"/>
    <mergeCell ref="QVR142:QVU142"/>
    <mergeCell ref="QVV142:QVY142"/>
    <mergeCell ref="QVZ142:QWC142"/>
    <mergeCell ref="QWD142:QWG142"/>
    <mergeCell ref="QWH142:QWK142"/>
    <mergeCell ref="QWL142:QWO142"/>
    <mergeCell ref="QWP142:QWS142"/>
    <mergeCell ref="QWT142:QWW142"/>
    <mergeCell ref="QWX142:QXA142"/>
    <mergeCell ref="QXB142:QXE142"/>
    <mergeCell ref="QXF142:QXI142"/>
    <mergeCell ref="QXJ142:QXM142"/>
    <mergeCell ref="QXN142:QXQ142"/>
    <mergeCell ref="QXR142:QXU142"/>
    <mergeCell ref="QXV142:QXY142"/>
    <mergeCell ref="QXZ142:QYC142"/>
    <mergeCell ref="QYD142:QYG142"/>
    <mergeCell ref="QYH142:QYK142"/>
    <mergeCell ref="QYL142:QYO142"/>
    <mergeCell ref="QYP142:QYS142"/>
    <mergeCell ref="QYT142:QYW142"/>
    <mergeCell ref="QYX142:QZA142"/>
    <mergeCell ref="QZB142:QZE142"/>
    <mergeCell ref="QZF142:QZI142"/>
    <mergeCell ref="QZJ142:QZM142"/>
    <mergeCell ref="QZN142:QZQ142"/>
    <mergeCell ref="QZR142:QZU142"/>
    <mergeCell ref="QZV142:QZY142"/>
    <mergeCell ref="QZZ142:RAC142"/>
    <mergeCell ref="RAD142:RAG142"/>
    <mergeCell ref="RAH142:RAK142"/>
    <mergeCell ref="RAL142:RAO142"/>
    <mergeCell ref="RAP142:RAS142"/>
    <mergeCell ref="RAT142:RAW142"/>
    <mergeCell ref="RAX142:RBA142"/>
    <mergeCell ref="RBB142:RBE142"/>
    <mergeCell ref="RBF142:RBI142"/>
    <mergeCell ref="RBJ142:RBM142"/>
    <mergeCell ref="RBN142:RBQ142"/>
    <mergeCell ref="RBR142:RBU142"/>
    <mergeCell ref="RBV142:RBY142"/>
    <mergeCell ref="RBZ142:RCC142"/>
    <mergeCell ref="RCD142:RCG142"/>
    <mergeCell ref="RCH142:RCK142"/>
    <mergeCell ref="RCL142:RCO142"/>
    <mergeCell ref="RCP142:RCS142"/>
    <mergeCell ref="RCT142:RCW142"/>
    <mergeCell ref="RCX142:RDA142"/>
    <mergeCell ref="RDB142:RDE142"/>
    <mergeCell ref="RDF142:RDI142"/>
    <mergeCell ref="RDJ142:RDM142"/>
    <mergeCell ref="RDN142:RDQ142"/>
    <mergeCell ref="RDR142:RDU142"/>
    <mergeCell ref="RDV142:RDY142"/>
    <mergeCell ref="RDZ142:REC142"/>
    <mergeCell ref="RED142:REG142"/>
    <mergeCell ref="REH142:REK142"/>
    <mergeCell ref="REL142:REO142"/>
    <mergeCell ref="REP142:RES142"/>
    <mergeCell ref="RET142:REW142"/>
    <mergeCell ref="REX142:RFA142"/>
    <mergeCell ref="RFB142:RFE142"/>
    <mergeCell ref="RFF142:RFI142"/>
    <mergeCell ref="RFJ142:RFM142"/>
    <mergeCell ref="RFN142:RFQ142"/>
    <mergeCell ref="RFR142:RFU142"/>
    <mergeCell ref="RFV142:RFY142"/>
    <mergeCell ref="RFZ142:RGC142"/>
    <mergeCell ref="RGD142:RGG142"/>
    <mergeCell ref="RGH142:RGK142"/>
    <mergeCell ref="RGL142:RGO142"/>
    <mergeCell ref="RGP142:RGS142"/>
    <mergeCell ref="RGT142:RGW142"/>
    <mergeCell ref="RGX142:RHA142"/>
    <mergeCell ref="RHB142:RHE142"/>
    <mergeCell ref="RHF142:RHI142"/>
    <mergeCell ref="RHJ142:RHM142"/>
    <mergeCell ref="RHN142:RHQ142"/>
    <mergeCell ref="RHR142:RHU142"/>
    <mergeCell ref="RHV142:RHY142"/>
    <mergeCell ref="RHZ142:RIC142"/>
    <mergeCell ref="RID142:RIG142"/>
    <mergeCell ref="RIH142:RIK142"/>
    <mergeCell ref="RIL142:RIO142"/>
    <mergeCell ref="RIP142:RIS142"/>
    <mergeCell ref="RIT142:RIW142"/>
    <mergeCell ref="RIX142:RJA142"/>
    <mergeCell ref="RJB142:RJE142"/>
    <mergeCell ref="RJF142:RJI142"/>
    <mergeCell ref="RJJ142:RJM142"/>
    <mergeCell ref="RJN142:RJQ142"/>
    <mergeCell ref="RJR142:RJU142"/>
    <mergeCell ref="RJV142:RJY142"/>
    <mergeCell ref="RJZ142:RKC142"/>
    <mergeCell ref="RKD142:RKG142"/>
    <mergeCell ref="RKH142:RKK142"/>
    <mergeCell ref="RKL142:RKO142"/>
    <mergeCell ref="RKP142:RKS142"/>
    <mergeCell ref="RKT142:RKW142"/>
    <mergeCell ref="RKX142:RLA142"/>
    <mergeCell ref="RLB142:RLE142"/>
    <mergeCell ref="RLF142:RLI142"/>
    <mergeCell ref="RLJ142:RLM142"/>
    <mergeCell ref="RLN142:RLQ142"/>
    <mergeCell ref="RLR142:RLU142"/>
    <mergeCell ref="RLV142:RLY142"/>
    <mergeCell ref="RLZ142:RMC142"/>
    <mergeCell ref="RMD142:RMG142"/>
    <mergeCell ref="RMH142:RMK142"/>
    <mergeCell ref="RML142:RMO142"/>
    <mergeCell ref="RMP142:RMS142"/>
    <mergeCell ref="RMT142:RMW142"/>
    <mergeCell ref="RMX142:RNA142"/>
    <mergeCell ref="RNB142:RNE142"/>
    <mergeCell ref="RNF142:RNI142"/>
    <mergeCell ref="RNJ142:RNM142"/>
    <mergeCell ref="RNN142:RNQ142"/>
    <mergeCell ref="RNR142:RNU142"/>
    <mergeCell ref="RNV142:RNY142"/>
    <mergeCell ref="RNZ142:ROC142"/>
    <mergeCell ref="ROD142:ROG142"/>
    <mergeCell ref="ROH142:ROK142"/>
    <mergeCell ref="ROL142:ROO142"/>
    <mergeCell ref="ROP142:ROS142"/>
    <mergeCell ref="ROT142:ROW142"/>
    <mergeCell ref="ROX142:RPA142"/>
    <mergeCell ref="RPB142:RPE142"/>
    <mergeCell ref="RPF142:RPI142"/>
    <mergeCell ref="RPJ142:RPM142"/>
    <mergeCell ref="RPN142:RPQ142"/>
    <mergeCell ref="RPR142:RPU142"/>
    <mergeCell ref="RPV142:RPY142"/>
    <mergeCell ref="RPZ142:RQC142"/>
    <mergeCell ref="RQD142:RQG142"/>
    <mergeCell ref="RQH142:RQK142"/>
    <mergeCell ref="RQL142:RQO142"/>
    <mergeCell ref="RQP142:RQS142"/>
    <mergeCell ref="RQT142:RQW142"/>
    <mergeCell ref="RQX142:RRA142"/>
    <mergeCell ref="RRB142:RRE142"/>
    <mergeCell ref="RRF142:RRI142"/>
    <mergeCell ref="RRJ142:RRM142"/>
    <mergeCell ref="RRN142:RRQ142"/>
    <mergeCell ref="RRR142:RRU142"/>
    <mergeCell ref="RRV142:RRY142"/>
    <mergeCell ref="RRZ142:RSC142"/>
    <mergeCell ref="RSD142:RSG142"/>
    <mergeCell ref="RSH142:RSK142"/>
    <mergeCell ref="RSL142:RSO142"/>
    <mergeCell ref="RSP142:RSS142"/>
    <mergeCell ref="RST142:RSW142"/>
    <mergeCell ref="RSX142:RTA142"/>
    <mergeCell ref="RTB142:RTE142"/>
    <mergeCell ref="RTF142:RTI142"/>
    <mergeCell ref="RTJ142:RTM142"/>
    <mergeCell ref="RTN142:RTQ142"/>
    <mergeCell ref="RTR142:RTU142"/>
    <mergeCell ref="RTV142:RTY142"/>
    <mergeCell ref="RTZ142:RUC142"/>
    <mergeCell ref="RUD142:RUG142"/>
    <mergeCell ref="RUH142:RUK142"/>
    <mergeCell ref="RUL142:RUO142"/>
    <mergeCell ref="RUP142:RUS142"/>
    <mergeCell ref="RUT142:RUW142"/>
    <mergeCell ref="RUX142:RVA142"/>
    <mergeCell ref="RVB142:RVE142"/>
    <mergeCell ref="RVF142:RVI142"/>
    <mergeCell ref="RVJ142:RVM142"/>
    <mergeCell ref="RVN142:RVQ142"/>
    <mergeCell ref="RVR142:RVU142"/>
    <mergeCell ref="RVV142:RVY142"/>
    <mergeCell ref="RVZ142:RWC142"/>
    <mergeCell ref="RWD142:RWG142"/>
    <mergeCell ref="RWH142:RWK142"/>
    <mergeCell ref="RWL142:RWO142"/>
    <mergeCell ref="RWP142:RWS142"/>
    <mergeCell ref="RWT142:RWW142"/>
    <mergeCell ref="RWX142:RXA142"/>
    <mergeCell ref="RXB142:RXE142"/>
    <mergeCell ref="RXF142:RXI142"/>
    <mergeCell ref="RXJ142:RXM142"/>
    <mergeCell ref="RXN142:RXQ142"/>
    <mergeCell ref="RXR142:RXU142"/>
    <mergeCell ref="RXV142:RXY142"/>
    <mergeCell ref="RXZ142:RYC142"/>
    <mergeCell ref="RYD142:RYG142"/>
    <mergeCell ref="RYH142:RYK142"/>
    <mergeCell ref="RYL142:RYO142"/>
    <mergeCell ref="RYP142:RYS142"/>
    <mergeCell ref="RYT142:RYW142"/>
    <mergeCell ref="RYX142:RZA142"/>
    <mergeCell ref="RZB142:RZE142"/>
    <mergeCell ref="RZF142:RZI142"/>
    <mergeCell ref="RZJ142:RZM142"/>
    <mergeCell ref="RZN142:RZQ142"/>
    <mergeCell ref="RZR142:RZU142"/>
    <mergeCell ref="RZV142:RZY142"/>
    <mergeCell ref="RZZ142:SAC142"/>
    <mergeCell ref="SAD142:SAG142"/>
    <mergeCell ref="SAH142:SAK142"/>
    <mergeCell ref="SAL142:SAO142"/>
    <mergeCell ref="SAP142:SAS142"/>
    <mergeCell ref="SAT142:SAW142"/>
    <mergeCell ref="SAX142:SBA142"/>
    <mergeCell ref="SBB142:SBE142"/>
    <mergeCell ref="SBF142:SBI142"/>
    <mergeCell ref="SBJ142:SBM142"/>
    <mergeCell ref="SBN142:SBQ142"/>
    <mergeCell ref="SBR142:SBU142"/>
    <mergeCell ref="SBV142:SBY142"/>
    <mergeCell ref="SBZ142:SCC142"/>
    <mergeCell ref="SCD142:SCG142"/>
    <mergeCell ref="SCH142:SCK142"/>
    <mergeCell ref="SCL142:SCO142"/>
    <mergeCell ref="SCP142:SCS142"/>
    <mergeCell ref="SCT142:SCW142"/>
    <mergeCell ref="SCX142:SDA142"/>
    <mergeCell ref="SDB142:SDE142"/>
    <mergeCell ref="SDF142:SDI142"/>
    <mergeCell ref="SDJ142:SDM142"/>
    <mergeCell ref="SDN142:SDQ142"/>
    <mergeCell ref="SDR142:SDU142"/>
    <mergeCell ref="SDV142:SDY142"/>
    <mergeCell ref="SDZ142:SEC142"/>
    <mergeCell ref="SED142:SEG142"/>
    <mergeCell ref="SEH142:SEK142"/>
    <mergeCell ref="SEL142:SEO142"/>
    <mergeCell ref="SEP142:SES142"/>
    <mergeCell ref="SET142:SEW142"/>
    <mergeCell ref="SEX142:SFA142"/>
    <mergeCell ref="SFB142:SFE142"/>
    <mergeCell ref="SFF142:SFI142"/>
    <mergeCell ref="SFJ142:SFM142"/>
    <mergeCell ref="SFN142:SFQ142"/>
    <mergeCell ref="SFR142:SFU142"/>
    <mergeCell ref="SFV142:SFY142"/>
    <mergeCell ref="SFZ142:SGC142"/>
    <mergeCell ref="SGD142:SGG142"/>
    <mergeCell ref="SGH142:SGK142"/>
    <mergeCell ref="SGL142:SGO142"/>
    <mergeCell ref="SGP142:SGS142"/>
    <mergeCell ref="SGT142:SGW142"/>
    <mergeCell ref="SGX142:SHA142"/>
    <mergeCell ref="SHB142:SHE142"/>
    <mergeCell ref="SHF142:SHI142"/>
    <mergeCell ref="SHJ142:SHM142"/>
    <mergeCell ref="SHN142:SHQ142"/>
    <mergeCell ref="SHR142:SHU142"/>
    <mergeCell ref="SHV142:SHY142"/>
    <mergeCell ref="SHZ142:SIC142"/>
    <mergeCell ref="SID142:SIG142"/>
    <mergeCell ref="SIH142:SIK142"/>
    <mergeCell ref="SIL142:SIO142"/>
    <mergeCell ref="SIP142:SIS142"/>
    <mergeCell ref="SIT142:SIW142"/>
    <mergeCell ref="SIX142:SJA142"/>
    <mergeCell ref="SJB142:SJE142"/>
    <mergeCell ref="SJF142:SJI142"/>
    <mergeCell ref="SJJ142:SJM142"/>
    <mergeCell ref="SJN142:SJQ142"/>
    <mergeCell ref="SJR142:SJU142"/>
    <mergeCell ref="SJV142:SJY142"/>
    <mergeCell ref="SJZ142:SKC142"/>
    <mergeCell ref="SKD142:SKG142"/>
    <mergeCell ref="SKH142:SKK142"/>
    <mergeCell ref="SKL142:SKO142"/>
    <mergeCell ref="SKP142:SKS142"/>
    <mergeCell ref="SKT142:SKW142"/>
    <mergeCell ref="SKX142:SLA142"/>
    <mergeCell ref="SLB142:SLE142"/>
    <mergeCell ref="SLF142:SLI142"/>
    <mergeCell ref="SLJ142:SLM142"/>
    <mergeCell ref="SLN142:SLQ142"/>
    <mergeCell ref="SLR142:SLU142"/>
    <mergeCell ref="SLV142:SLY142"/>
    <mergeCell ref="SLZ142:SMC142"/>
    <mergeCell ref="SMD142:SMG142"/>
    <mergeCell ref="SMH142:SMK142"/>
    <mergeCell ref="SML142:SMO142"/>
    <mergeCell ref="SMP142:SMS142"/>
    <mergeCell ref="SMT142:SMW142"/>
    <mergeCell ref="SMX142:SNA142"/>
    <mergeCell ref="SNB142:SNE142"/>
    <mergeCell ref="SNF142:SNI142"/>
    <mergeCell ref="SNJ142:SNM142"/>
    <mergeCell ref="SNN142:SNQ142"/>
    <mergeCell ref="SNR142:SNU142"/>
    <mergeCell ref="SNV142:SNY142"/>
    <mergeCell ref="SNZ142:SOC142"/>
    <mergeCell ref="SOD142:SOG142"/>
    <mergeCell ref="SOH142:SOK142"/>
    <mergeCell ref="SOL142:SOO142"/>
    <mergeCell ref="SOP142:SOS142"/>
    <mergeCell ref="SOT142:SOW142"/>
    <mergeCell ref="SOX142:SPA142"/>
    <mergeCell ref="SPB142:SPE142"/>
    <mergeCell ref="SPF142:SPI142"/>
    <mergeCell ref="SPJ142:SPM142"/>
    <mergeCell ref="SPN142:SPQ142"/>
    <mergeCell ref="SPR142:SPU142"/>
    <mergeCell ref="SPV142:SPY142"/>
    <mergeCell ref="SPZ142:SQC142"/>
    <mergeCell ref="SQD142:SQG142"/>
    <mergeCell ref="SQH142:SQK142"/>
    <mergeCell ref="SQL142:SQO142"/>
    <mergeCell ref="SQP142:SQS142"/>
    <mergeCell ref="SQT142:SQW142"/>
    <mergeCell ref="SQX142:SRA142"/>
    <mergeCell ref="SRB142:SRE142"/>
    <mergeCell ref="SRF142:SRI142"/>
    <mergeCell ref="SRJ142:SRM142"/>
    <mergeCell ref="SRN142:SRQ142"/>
    <mergeCell ref="SRR142:SRU142"/>
    <mergeCell ref="SRV142:SRY142"/>
    <mergeCell ref="SRZ142:SSC142"/>
    <mergeCell ref="SSD142:SSG142"/>
    <mergeCell ref="SSH142:SSK142"/>
    <mergeCell ref="SSL142:SSO142"/>
    <mergeCell ref="SSP142:SSS142"/>
    <mergeCell ref="SST142:SSW142"/>
    <mergeCell ref="SSX142:STA142"/>
    <mergeCell ref="STB142:STE142"/>
    <mergeCell ref="STF142:STI142"/>
    <mergeCell ref="STJ142:STM142"/>
    <mergeCell ref="STN142:STQ142"/>
    <mergeCell ref="STR142:STU142"/>
    <mergeCell ref="STV142:STY142"/>
    <mergeCell ref="STZ142:SUC142"/>
    <mergeCell ref="SUD142:SUG142"/>
    <mergeCell ref="SUH142:SUK142"/>
    <mergeCell ref="SUL142:SUO142"/>
    <mergeCell ref="SUP142:SUS142"/>
    <mergeCell ref="SUT142:SUW142"/>
    <mergeCell ref="SUX142:SVA142"/>
    <mergeCell ref="SVB142:SVE142"/>
    <mergeCell ref="SVF142:SVI142"/>
    <mergeCell ref="SVJ142:SVM142"/>
    <mergeCell ref="SVN142:SVQ142"/>
    <mergeCell ref="SVR142:SVU142"/>
    <mergeCell ref="SVV142:SVY142"/>
    <mergeCell ref="SVZ142:SWC142"/>
    <mergeCell ref="SWD142:SWG142"/>
    <mergeCell ref="SWH142:SWK142"/>
    <mergeCell ref="SWL142:SWO142"/>
    <mergeCell ref="SWP142:SWS142"/>
    <mergeCell ref="SWT142:SWW142"/>
    <mergeCell ref="SWX142:SXA142"/>
    <mergeCell ref="SXB142:SXE142"/>
    <mergeCell ref="SXF142:SXI142"/>
    <mergeCell ref="SXJ142:SXM142"/>
    <mergeCell ref="SXN142:SXQ142"/>
    <mergeCell ref="SXR142:SXU142"/>
    <mergeCell ref="SXV142:SXY142"/>
    <mergeCell ref="SXZ142:SYC142"/>
    <mergeCell ref="SYD142:SYG142"/>
    <mergeCell ref="SYH142:SYK142"/>
    <mergeCell ref="SYL142:SYO142"/>
    <mergeCell ref="SYP142:SYS142"/>
    <mergeCell ref="SYT142:SYW142"/>
    <mergeCell ref="SYX142:SZA142"/>
    <mergeCell ref="SZB142:SZE142"/>
    <mergeCell ref="SZF142:SZI142"/>
    <mergeCell ref="SZJ142:SZM142"/>
    <mergeCell ref="SZN142:SZQ142"/>
    <mergeCell ref="SZR142:SZU142"/>
    <mergeCell ref="SZV142:SZY142"/>
    <mergeCell ref="SZZ142:TAC142"/>
    <mergeCell ref="TAD142:TAG142"/>
    <mergeCell ref="TAH142:TAK142"/>
    <mergeCell ref="TAL142:TAO142"/>
    <mergeCell ref="TAP142:TAS142"/>
    <mergeCell ref="TAT142:TAW142"/>
    <mergeCell ref="TAX142:TBA142"/>
    <mergeCell ref="TBB142:TBE142"/>
    <mergeCell ref="TBF142:TBI142"/>
    <mergeCell ref="TBJ142:TBM142"/>
    <mergeCell ref="TBN142:TBQ142"/>
    <mergeCell ref="TBR142:TBU142"/>
    <mergeCell ref="TBV142:TBY142"/>
    <mergeCell ref="TBZ142:TCC142"/>
    <mergeCell ref="TCD142:TCG142"/>
    <mergeCell ref="TCH142:TCK142"/>
    <mergeCell ref="TCL142:TCO142"/>
    <mergeCell ref="TCP142:TCS142"/>
    <mergeCell ref="TCT142:TCW142"/>
    <mergeCell ref="TCX142:TDA142"/>
    <mergeCell ref="TDB142:TDE142"/>
    <mergeCell ref="TDF142:TDI142"/>
    <mergeCell ref="TDJ142:TDM142"/>
    <mergeCell ref="TDN142:TDQ142"/>
    <mergeCell ref="TDR142:TDU142"/>
    <mergeCell ref="TDV142:TDY142"/>
    <mergeCell ref="TDZ142:TEC142"/>
    <mergeCell ref="TED142:TEG142"/>
    <mergeCell ref="TEH142:TEK142"/>
    <mergeCell ref="TEL142:TEO142"/>
    <mergeCell ref="TEP142:TES142"/>
    <mergeCell ref="TET142:TEW142"/>
    <mergeCell ref="TEX142:TFA142"/>
    <mergeCell ref="TFB142:TFE142"/>
    <mergeCell ref="TFF142:TFI142"/>
    <mergeCell ref="TFJ142:TFM142"/>
    <mergeCell ref="TFN142:TFQ142"/>
    <mergeCell ref="TFR142:TFU142"/>
    <mergeCell ref="TFV142:TFY142"/>
    <mergeCell ref="TFZ142:TGC142"/>
    <mergeCell ref="TGD142:TGG142"/>
    <mergeCell ref="TGH142:TGK142"/>
    <mergeCell ref="TGL142:TGO142"/>
    <mergeCell ref="TGP142:TGS142"/>
    <mergeCell ref="TGT142:TGW142"/>
    <mergeCell ref="TGX142:THA142"/>
    <mergeCell ref="THB142:THE142"/>
    <mergeCell ref="THF142:THI142"/>
    <mergeCell ref="THJ142:THM142"/>
    <mergeCell ref="THN142:THQ142"/>
    <mergeCell ref="THR142:THU142"/>
    <mergeCell ref="THV142:THY142"/>
    <mergeCell ref="THZ142:TIC142"/>
    <mergeCell ref="TID142:TIG142"/>
    <mergeCell ref="TIH142:TIK142"/>
    <mergeCell ref="TIL142:TIO142"/>
    <mergeCell ref="TIP142:TIS142"/>
    <mergeCell ref="TIT142:TIW142"/>
    <mergeCell ref="TIX142:TJA142"/>
    <mergeCell ref="TJB142:TJE142"/>
    <mergeCell ref="TJF142:TJI142"/>
    <mergeCell ref="TJJ142:TJM142"/>
    <mergeCell ref="TJN142:TJQ142"/>
    <mergeCell ref="TJR142:TJU142"/>
    <mergeCell ref="TJV142:TJY142"/>
    <mergeCell ref="TJZ142:TKC142"/>
    <mergeCell ref="TKD142:TKG142"/>
    <mergeCell ref="TKH142:TKK142"/>
    <mergeCell ref="TKL142:TKO142"/>
    <mergeCell ref="TKP142:TKS142"/>
    <mergeCell ref="TKT142:TKW142"/>
    <mergeCell ref="TKX142:TLA142"/>
    <mergeCell ref="TLB142:TLE142"/>
    <mergeCell ref="TLF142:TLI142"/>
    <mergeCell ref="TLJ142:TLM142"/>
    <mergeCell ref="TLN142:TLQ142"/>
    <mergeCell ref="TLR142:TLU142"/>
    <mergeCell ref="TLV142:TLY142"/>
    <mergeCell ref="TLZ142:TMC142"/>
    <mergeCell ref="TMD142:TMG142"/>
    <mergeCell ref="TMH142:TMK142"/>
    <mergeCell ref="TML142:TMO142"/>
    <mergeCell ref="TMP142:TMS142"/>
    <mergeCell ref="TMT142:TMW142"/>
    <mergeCell ref="TMX142:TNA142"/>
    <mergeCell ref="TNB142:TNE142"/>
    <mergeCell ref="TNF142:TNI142"/>
    <mergeCell ref="TNJ142:TNM142"/>
    <mergeCell ref="TNN142:TNQ142"/>
    <mergeCell ref="TNR142:TNU142"/>
    <mergeCell ref="TNV142:TNY142"/>
    <mergeCell ref="TNZ142:TOC142"/>
    <mergeCell ref="TOD142:TOG142"/>
    <mergeCell ref="TOH142:TOK142"/>
    <mergeCell ref="TOL142:TOO142"/>
    <mergeCell ref="TOP142:TOS142"/>
    <mergeCell ref="TOT142:TOW142"/>
    <mergeCell ref="TOX142:TPA142"/>
    <mergeCell ref="TPB142:TPE142"/>
    <mergeCell ref="TPF142:TPI142"/>
    <mergeCell ref="TPJ142:TPM142"/>
    <mergeCell ref="TPN142:TPQ142"/>
    <mergeCell ref="TPR142:TPU142"/>
    <mergeCell ref="TPV142:TPY142"/>
    <mergeCell ref="TPZ142:TQC142"/>
    <mergeCell ref="TQD142:TQG142"/>
    <mergeCell ref="TQH142:TQK142"/>
    <mergeCell ref="TQL142:TQO142"/>
    <mergeCell ref="TQP142:TQS142"/>
    <mergeCell ref="TQT142:TQW142"/>
    <mergeCell ref="TQX142:TRA142"/>
    <mergeCell ref="TRB142:TRE142"/>
    <mergeCell ref="TRF142:TRI142"/>
    <mergeCell ref="TRJ142:TRM142"/>
    <mergeCell ref="TRN142:TRQ142"/>
    <mergeCell ref="TRR142:TRU142"/>
    <mergeCell ref="TRV142:TRY142"/>
    <mergeCell ref="TRZ142:TSC142"/>
    <mergeCell ref="TSD142:TSG142"/>
    <mergeCell ref="TSH142:TSK142"/>
    <mergeCell ref="TSL142:TSO142"/>
    <mergeCell ref="TSP142:TSS142"/>
    <mergeCell ref="TST142:TSW142"/>
    <mergeCell ref="TSX142:TTA142"/>
    <mergeCell ref="TTB142:TTE142"/>
    <mergeCell ref="TTF142:TTI142"/>
    <mergeCell ref="TTJ142:TTM142"/>
    <mergeCell ref="TTN142:TTQ142"/>
    <mergeCell ref="TTR142:TTU142"/>
    <mergeCell ref="TTV142:TTY142"/>
    <mergeCell ref="TTZ142:TUC142"/>
    <mergeCell ref="TUD142:TUG142"/>
    <mergeCell ref="TUH142:TUK142"/>
    <mergeCell ref="TUL142:TUO142"/>
    <mergeCell ref="TUP142:TUS142"/>
    <mergeCell ref="TUT142:TUW142"/>
    <mergeCell ref="TUX142:TVA142"/>
    <mergeCell ref="TVB142:TVE142"/>
    <mergeCell ref="TVF142:TVI142"/>
    <mergeCell ref="TVJ142:TVM142"/>
    <mergeCell ref="TVN142:TVQ142"/>
    <mergeCell ref="TVR142:TVU142"/>
    <mergeCell ref="TVV142:TVY142"/>
    <mergeCell ref="TVZ142:TWC142"/>
    <mergeCell ref="TWD142:TWG142"/>
    <mergeCell ref="TWH142:TWK142"/>
    <mergeCell ref="TWL142:TWO142"/>
    <mergeCell ref="TWP142:TWS142"/>
    <mergeCell ref="TWT142:TWW142"/>
    <mergeCell ref="TWX142:TXA142"/>
    <mergeCell ref="TXB142:TXE142"/>
    <mergeCell ref="TXF142:TXI142"/>
    <mergeCell ref="TXJ142:TXM142"/>
    <mergeCell ref="TXN142:TXQ142"/>
    <mergeCell ref="TXR142:TXU142"/>
    <mergeCell ref="TXV142:TXY142"/>
    <mergeCell ref="TXZ142:TYC142"/>
    <mergeCell ref="TYD142:TYG142"/>
    <mergeCell ref="TYH142:TYK142"/>
    <mergeCell ref="TYL142:TYO142"/>
    <mergeCell ref="TYP142:TYS142"/>
    <mergeCell ref="TYT142:TYW142"/>
    <mergeCell ref="TYX142:TZA142"/>
    <mergeCell ref="TZB142:TZE142"/>
    <mergeCell ref="TZF142:TZI142"/>
    <mergeCell ref="TZJ142:TZM142"/>
    <mergeCell ref="TZN142:TZQ142"/>
    <mergeCell ref="TZR142:TZU142"/>
    <mergeCell ref="TZV142:TZY142"/>
    <mergeCell ref="TZZ142:UAC142"/>
    <mergeCell ref="UAD142:UAG142"/>
    <mergeCell ref="UAH142:UAK142"/>
    <mergeCell ref="UAL142:UAO142"/>
    <mergeCell ref="UAP142:UAS142"/>
    <mergeCell ref="UAT142:UAW142"/>
    <mergeCell ref="UAX142:UBA142"/>
    <mergeCell ref="UBB142:UBE142"/>
    <mergeCell ref="UBF142:UBI142"/>
    <mergeCell ref="UBJ142:UBM142"/>
    <mergeCell ref="UBN142:UBQ142"/>
    <mergeCell ref="UBR142:UBU142"/>
    <mergeCell ref="UBV142:UBY142"/>
    <mergeCell ref="UBZ142:UCC142"/>
    <mergeCell ref="UCD142:UCG142"/>
    <mergeCell ref="UCH142:UCK142"/>
    <mergeCell ref="UCL142:UCO142"/>
    <mergeCell ref="UCP142:UCS142"/>
    <mergeCell ref="UCT142:UCW142"/>
    <mergeCell ref="UCX142:UDA142"/>
    <mergeCell ref="UDB142:UDE142"/>
    <mergeCell ref="UDF142:UDI142"/>
    <mergeCell ref="UDJ142:UDM142"/>
    <mergeCell ref="UDN142:UDQ142"/>
    <mergeCell ref="UDR142:UDU142"/>
    <mergeCell ref="UDV142:UDY142"/>
    <mergeCell ref="UDZ142:UEC142"/>
    <mergeCell ref="UED142:UEG142"/>
    <mergeCell ref="UEH142:UEK142"/>
    <mergeCell ref="UEL142:UEO142"/>
    <mergeCell ref="UEP142:UES142"/>
    <mergeCell ref="UET142:UEW142"/>
    <mergeCell ref="UEX142:UFA142"/>
    <mergeCell ref="UFB142:UFE142"/>
    <mergeCell ref="UFF142:UFI142"/>
    <mergeCell ref="UFJ142:UFM142"/>
    <mergeCell ref="UFN142:UFQ142"/>
    <mergeCell ref="UFR142:UFU142"/>
    <mergeCell ref="UFV142:UFY142"/>
    <mergeCell ref="UFZ142:UGC142"/>
    <mergeCell ref="UGD142:UGG142"/>
    <mergeCell ref="UGH142:UGK142"/>
    <mergeCell ref="UGL142:UGO142"/>
    <mergeCell ref="UGP142:UGS142"/>
    <mergeCell ref="UGT142:UGW142"/>
    <mergeCell ref="UGX142:UHA142"/>
    <mergeCell ref="UHB142:UHE142"/>
    <mergeCell ref="UHF142:UHI142"/>
    <mergeCell ref="UHJ142:UHM142"/>
    <mergeCell ref="UHN142:UHQ142"/>
    <mergeCell ref="UHR142:UHU142"/>
    <mergeCell ref="UHV142:UHY142"/>
    <mergeCell ref="UHZ142:UIC142"/>
    <mergeCell ref="UID142:UIG142"/>
    <mergeCell ref="UIH142:UIK142"/>
    <mergeCell ref="UIL142:UIO142"/>
    <mergeCell ref="UIP142:UIS142"/>
    <mergeCell ref="UIT142:UIW142"/>
    <mergeCell ref="UIX142:UJA142"/>
    <mergeCell ref="UJB142:UJE142"/>
    <mergeCell ref="UJF142:UJI142"/>
    <mergeCell ref="UJJ142:UJM142"/>
    <mergeCell ref="UJN142:UJQ142"/>
    <mergeCell ref="UJR142:UJU142"/>
    <mergeCell ref="UJV142:UJY142"/>
    <mergeCell ref="UJZ142:UKC142"/>
    <mergeCell ref="UKD142:UKG142"/>
    <mergeCell ref="UKH142:UKK142"/>
    <mergeCell ref="UKL142:UKO142"/>
    <mergeCell ref="UKP142:UKS142"/>
    <mergeCell ref="UKT142:UKW142"/>
    <mergeCell ref="UKX142:ULA142"/>
    <mergeCell ref="ULB142:ULE142"/>
    <mergeCell ref="ULF142:ULI142"/>
    <mergeCell ref="ULJ142:ULM142"/>
    <mergeCell ref="ULN142:ULQ142"/>
    <mergeCell ref="ULR142:ULU142"/>
    <mergeCell ref="ULV142:ULY142"/>
    <mergeCell ref="ULZ142:UMC142"/>
    <mergeCell ref="UMD142:UMG142"/>
    <mergeCell ref="UMH142:UMK142"/>
    <mergeCell ref="UML142:UMO142"/>
    <mergeCell ref="UMP142:UMS142"/>
    <mergeCell ref="UMT142:UMW142"/>
    <mergeCell ref="UMX142:UNA142"/>
    <mergeCell ref="UNB142:UNE142"/>
    <mergeCell ref="UNF142:UNI142"/>
    <mergeCell ref="UNJ142:UNM142"/>
    <mergeCell ref="UNN142:UNQ142"/>
    <mergeCell ref="UNR142:UNU142"/>
    <mergeCell ref="UNV142:UNY142"/>
    <mergeCell ref="UNZ142:UOC142"/>
    <mergeCell ref="UOD142:UOG142"/>
    <mergeCell ref="UOH142:UOK142"/>
    <mergeCell ref="UOL142:UOO142"/>
    <mergeCell ref="UOP142:UOS142"/>
    <mergeCell ref="UOT142:UOW142"/>
    <mergeCell ref="UOX142:UPA142"/>
    <mergeCell ref="UPB142:UPE142"/>
    <mergeCell ref="UPF142:UPI142"/>
    <mergeCell ref="UPJ142:UPM142"/>
    <mergeCell ref="UPN142:UPQ142"/>
    <mergeCell ref="UPR142:UPU142"/>
    <mergeCell ref="UPV142:UPY142"/>
    <mergeCell ref="UPZ142:UQC142"/>
    <mergeCell ref="UQD142:UQG142"/>
    <mergeCell ref="UQH142:UQK142"/>
    <mergeCell ref="UQL142:UQO142"/>
    <mergeCell ref="UQP142:UQS142"/>
    <mergeCell ref="UQT142:UQW142"/>
    <mergeCell ref="UQX142:URA142"/>
    <mergeCell ref="URB142:URE142"/>
    <mergeCell ref="URF142:URI142"/>
    <mergeCell ref="URJ142:URM142"/>
    <mergeCell ref="URN142:URQ142"/>
    <mergeCell ref="URR142:URU142"/>
    <mergeCell ref="URV142:URY142"/>
    <mergeCell ref="URZ142:USC142"/>
    <mergeCell ref="USD142:USG142"/>
    <mergeCell ref="USH142:USK142"/>
    <mergeCell ref="USL142:USO142"/>
    <mergeCell ref="USP142:USS142"/>
    <mergeCell ref="UST142:USW142"/>
    <mergeCell ref="USX142:UTA142"/>
    <mergeCell ref="UTB142:UTE142"/>
    <mergeCell ref="UTF142:UTI142"/>
    <mergeCell ref="UTJ142:UTM142"/>
    <mergeCell ref="UTN142:UTQ142"/>
    <mergeCell ref="UTR142:UTU142"/>
    <mergeCell ref="UTV142:UTY142"/>
    <mergeCell ref="UTZ142:UUC142"/>
    <mergeCell ref="UUD142:UUG142"/>
    <mergeCell ref="UUH142:UUK142"/>
    <mergeCell ref="UUL142:UUO142"/>
    <mergeCell ref="UUP142:UUS142"/>
    <mergeCell ref="UUT142:UUW142"/>
    <mergeCell ref="UUX142:UVA142"/>
    <mergeCell ref="UVB142:UVE142"/>
    <mergeCell ref="UVF142:UVI142"/>
    <mergeCell ref="UVJ142:UVM142"/>
    <mergeCell ref="UVN142:UVQ142"/>
    <mergeCell ref="UVR142:UVU142"/>
    <mergeCell ref="UVV142:UVY142"/>
    <mergeCell ref="UVZ142:UWC142"/>
    <mergeCell ref="UWD142:UWG142"/>
    <mergeCell ref="UWH142:UWK142"/>
    <mergeCell ref="UWL142:UWO142"/>
    <mergeCell ref="UWP142:UWS142"/>
    <mergeCell ref="UWT142:UWW142"/>
    <mergeCell ref="UWX142:UXA142"/>
    <mergeCell ref="UXB142:UXE142"/>
    <mergeCell ref="UXF142:UXI142"/>
    <mergeCell ref="UXJ142:UXM142"/>
    <mergeCell ref="UXN142:UXQ142"/>
    <mergeCell ref="UXR142:UXU142"/>
    <mergeCell ref="UXV142:UXY142"/>
    <mergeCell ref="UXZ142:UYC142"/>
    <mergeCell ref="UYD142:UYG142"/>
    <mergeCell ref="UYH142:UYK142"/>
    <mergeCell ref="UYL142:UYO142"/>
    <mergeCell ref="UYP142:UYS142"/>
    <mergeCell ref="UYT142:UYW142"/>
    <mergeCell ref="UYX142:UZA142"/>
    <mergeCell ref="UZB142:UZE142"/>
    <mergeCell ref="UZF142:UZI142"/>
    <mergeCell ref="UZJ142:UZM142"/>
    <mergeCell ref="UZN142:UZQ142"/>
    <mergeCell ref="UZR142:UZU142"/>
    <mergeCell ref="UZV142:UZY142"/>
    <mergeCell ref="UZZ142:VAC142"/>
    <mergeCell ref="VAD142:VAG142"/>
    <mergeCell ref="VAH142:VAK142"/>
    <mergeCell ref="VAL142:VAO142"/>
    <mergeCell ref="VAP142:VAS142"/>
    <mergeCell ref="VAT142:VAW142"/>
    <mergeCell ref="VAX142:VBA142"/>
    <mergeCell ref="VBB142:VBE142"/>
    <mergeCell ref="VBF142:VBI142"/>
    <mergeCell ref="VBJ142:VBM142"/>
    <mergeCell ref="VBN142:VBQ142"/>
    <mergeCell ref="VBR142:VBU142"/>
    <mergeCell ref="VBV142:VBY142"/>
    <mergeCell ref="VBZ142:VCC142"/>
    <mergeCell ref="VCD142:VCG142"/>
    <mergeCell ref="VCH142:VCK142"/>
    <mergeCell ref="VCL142:VCO142"/>
    <mergeCell ref="VCP142:VCS142"/>
    <mergeCell ref="VCT142:VCW142"/>
    <mergeCell ref="VCX142:VDA142"/>
    <mergeCell ref="VDB142:VDE142"/>
    <mergeCell ref="VDF142:VDI142"/>
    <mergeCell ref="VDJ142:VDM142"/>
    <mergeCell ref="VDN142:VDQ142"/>
    <mergeCell ref="VDR142:VDU142"/>
    <mergeCell ref="VDV142:VDY142"/>
    <mergeCell ref="VDZ142:VEC142"/>
    <mergeCell ref="VED142:VEG142"/>
    <mergeCell ref="VEH142:VEK142"/>
    <mergeCell ref="VEL142:VEO142"/>
    <mergeCell ref="VEP142:VES142"/>
    <mergeCell ref="VET142:VEW142"/>
    <mergeCell ref="VEX142:VFA142"/>
    <mergeCell ref="VFB142:VFE142"/>
    <mergeCell ref="VFF142:VFI142"/>
    <mergeCell ref="VFJ142:VFM142"/>
    <mergeCell ref="VFN142:VFQ142"/>
    <mergeCell ref="VFR142:VFU142"/>
    <mergeCell ref="VFV142:VFY142"/>
    <mergeCell ref="VFZ142:VGC142"/>
    <mergeCell ref="VGD142:VGG142"/>
    <mergeCell ref="VGH142:VGK142"/>
    <mergeCell ref="VGL142:VGO142"/>
    <mergeCell ref="VGP142:VGS142"/>
    <mergeCell ref="VGT142:VGW142"/>
    <mergeCell ref="VGX142:VHA142"/>
    <mergeCell ref="VHB142:VHE142"/>
    <mergeCell ref="VHF142:VHI142"/>
    <mergeCell ref="VHJ142:VHM142"/>
    <mergeCell ref="VHN142:VHQ142"/>
    <mergeCell ref="VHR142:VHU142"/>
    <mergeCell ref="VHV142:VHY142"/>
    <mergeCell ref="VHZ142:VIC142"/>
    <mergeCell ref="VID142:VIG142"/>
    <mergeCell ref="VIH142:VIK142"/>
    <mergeCell ref="VIL142:VIO142"/>
    <mergeCell ref="VIP142:VIS142"/>
    <mergeCell ref="VIT142:VIW142"/>
    <mergeCell ref="VIX142:VJA142"/>
    <mergeCell ref="VJB142:VJE142"/>
    <mergeCell ref="VJF142:VJI142"/>
    <mergeCell ref="VJJ142:VJM142"/>
    <mergeCell ref="VJN142:VJQ142"/>
    <mergeCell ref="VJR142:VJU142"/>
    <mergeCell ref="VJV142:VJY142"/>
    <mergeCell ref="VJZ142:VKC142"/>
    <mergeCell ref="VKD142:VKG142"/>
    <mergeCell ref="VKH142:VKK142"/>
    <mergeCell ref="VKL142:VKO142"/>
    <mergeCell ref="VKP142:VKS142"/>
    <mergeCell ref="VKT142:VKW142"/>
    <mergeCell ref="VKX142:VLA142"/>
    <mergeCell ref="VLB142:VLE142"/>
    <mergeCell ref="VLF142:VLI142"/>
    <mergeCell ref="VLJ142:VLM142"/>
    <mergeCell ref="VLN142:VLQ142"/>
    <mergeCell ref="VLR142:VLU142"/>
    <mergeCell ref="VLV142:VLY142"/>
    <mergeCell ref="VLZ142:VMC142"/>
    <mergeCell ref="VMD142:VMG142"/>
    <mergeCell ref="VMH142:VMK142"/>
    <mergeCell ref="VML142:VMO142"/>
    <mergeCell ref="VMP142:VMS142"/>
    <mergeCell ref="VMT142:VMW142"/>
    <mergeCell ref="VMX142:VNA142"/>
    <mergeCell ref="VNB142:VNE142"/>
    <mergeCell ref="VNF142:VNI142"/>
    <mergeCell ref="VNJ142:VNM142"/>
    <mergeCell ref="VNN142:VNQ142"/>
    <mergeCell ref="VNR142:VNU142"/>
    <mergeCell ref="VNV142:VNY142"/>
    <mergeCell ref="VNZ142:VOC142"/>
    <mergeCell ref="VOD142:VOG142"/>
    <mergeCell ref="VOH142:VOK142"/>
    <mergeCell ref="VOL142:VOO142"/>
    <mergeCell ref="VOP142:VOS142"/>
    <mergeCell ref="VOT142:VOW142"/>
    <mergeCell ref="VOX142:VPA142"/>
    <mergeCell ref="VPB142:VPE142"/>
    <mergeCell ref="VPF142:VPI142"/>
    <mergeCell ref="VPJ142:VPM142"/>
    <mergeCell ref="VPN142:VPQ142"/>
    <mergeCell ref="VPR142:VPU142"/>
    <mergeCell ref="VPV142:VPY142"/>
    <mergeCell ref="VPZ142:VQC142"/>
    <mergeCell ref="VQD142:VQG142"/>
    <mergeCell ref="VQH142:VQK142"/>
    <mergeCell ref="VQL142:VQO142"/>
    <mergeCell ref="VQP142:VQS142"/>
    <mergeCell ref="VQT142:VQW142"/>
    <mergeCell ref="VQX142:VRA142"/>
    <mergeCell ref="VRB142:VRE142"/>
    <mergeCell ref="VRF142:VRI142"/>
    <mergeCell ref="VRJ142:VRM142"/>
    <mergeCell ref="VRN142:VRQ142"/>
    <mergeCell ref="VRR142:VRU142"/>
    <mergeCell ref="VRV142:VRY142"/>
    <mergeCell ref="VRZ142:VSC142"/>
    <mergeCell ref="VSD142:VSG142"/>
    <mergeCell ref="VSH142:VSK142"/>
    <mergeCell ref="VSL142:VSO142"/>
    <mergeCell ref="VSP142:VSS142"/>
    <mergeCell ref="VST142:VSW142"/>
    <mergeCell ref="VSX142:VTA142"/>
    <mergeCell ref="VTB142:VTE142"/>
    <mergeCell ref="VTF142:VTI142"/>
    <mergeCell ref="VTJ142:VTM142"/>
    <mergeCell ref="VTN142:VTQ142"/>
    <mergeCell ref="VTR142:VTU142"/>
    <mergeCell ref="VTV142:VTY142"/>
    <mergeCell ref="VTZ142:VUC142"/>
    <mergeCell ref="VUD142:VUG142"/>
    <mergeCell ref="VUH142:VUK142"/>
    <mergeCell ref="VUL142:VUO142"/>
    <mergeCell ref="VUP142:VUS142"/>
    <mergeCell ref="VUT142:VUW142"/>
    <mergeCell ref="VUX142:VVA142"/>
    <mergeCell ref="VVB142:VVE142"/>
    <mergeCell ref="VVF142:VVI142"/>
    <mergeCell ref="VVJ142:VVM142"/>
    <mergeCell ref="VVN142:VVQ142"/>
    <mergeCell ref="VVR142:VVU142"/>
    <mergeCell ref="VVV142:VVY142"/>
    <mergeCell ref="VVZ142:VWC142"/>
    <mergeCell ref="VWD142:VWG142"/>
    <mergeCell ref="VWH142:VWK142"/>
    <mergeCell ref="VWL142:VWO142"/>
    <mergeCell ref="VWP142:VWS142"/>
    <mergeCell ref="VWT142:VWW142"/>
    <mergeCell ref="VWX142:VXA142"/>
    <mergeCell ref="VXB142:VXE142"/>
    <mergeCell ref="VXF142:VXI142"/>
    <mergeCell ref="VXJ142:VXM142"/>
    <mergeCell ref="VXN142:VXQ142"/>
    <mergeCell ref="VXR142:VXU142"/>
    <mergeCell ref="VXV142:VXY142"/>
    <mergeCell ref="VXZ142:VYC142"/>
    <mergeCell ref="VYD142:VYG142"/>
    <mergeCell ref="VYH142:VYK142"/>
    <mergeCell ref="VYL142:VYO142"/>
    <mergeCell ref="VYP142:VYS142"/>
    <mergeCell ref="VYT142:VYW142"/>
    <mergeCell ref="VYX142:VZA142"/>
    <mergeCell ref="VZB142:VZE142"/>
    <mergeCell ref="VZF142:VZI142"/>
    <mergeCell ref="VZJ142:VZM142"/>
    <mergeCell ref="VZN142:VZQ142"/>
    <mergeCell ref="VZR142:VZU142"/>
    <mergeCell ref="VZV142:VZY142"/>
    <mergeCell ref="VZZ142:WAC142"/>
    <mergeCell ref="WAD142:WAG142"/>
    <mergeCell ref="WAH142:WAK142"/>
    <mergeCell ref="WAL142:WAO142"/>
    <mergeCell ref="WAP142:WAS142"/>
    <mergeCell ref="WAT142:WAW142"/>
    <mergeCell ref="WAX142:WBA142"/>
    <mergeCell ref="WBB142:WBE142"/>
    <mergeCell ref="WBF142:WBI142"/>
    <mergeCell ref="WBJ142:WBM142"/>
    <mergeCell ref="WBN142:WBQ142"/>
    <mergeCell ref="WBR142:WBU142"/>
    <mergeCell ref="WBV142:WBY142"/>
    <mergeCell ref="WBZ142:WCC142"/>
    <mergeCell ref="WCD142:WCG142"/>
    <mergeCell ref="WCH142:WCK142"/>
    <mergeCell ref="WCL142:WCO142"/>
    <mergeCell ref="WCP142:WCS142"/>
    <mergeCell ref="WCT142:WCW142"/>
    <mergeCell ref="WCX142:WDA142"/>
    <mergeCell ref="WDB142:WDE142"/>
    <mergeCell ref="WDF142:WDI142"/>
    <mergeCell ref="WDJ142:WDM142"/>
    <mergeCell ref="WDN142:WDQ142"/>
    <mergeCell ref="WDR142:WDU142"/>
    <mergeCell ref="WDV142:WDY142"/>
    <mergeCell ref="WDZ142:WEC142"/>
    <mergeCell ref="WED142:WEG142"/>
    <mergeCell ref="WEH142:WEK142"/>
    <mergeCell ref="WEL142:WEO142"/>
    <mergeCell ref="WEP142:WES142"/>
    <mergeCell ref="WET142:WEW142"/>
    <mergeCell ref="WEX142:WFA142"/>
    <mergeCell ref="WFB142:WFE142"/>
    <mergeCell ref="WFF142:WFI142"/>
    <mergeCell ref="WFJ142:WFM142"/>
    <mergeCell ref="WFN142:WFQ142"/>
    <mergeCell ref="WFR142:WFU142"/>
    <mergeCell ref="WFV142:WFY142"/>
    <mergeCell ref="WFZ142:WGC142"/>
    <mergeCell ref="WGD142:WGG142"/>
    <mergeCell ref="WGH142:WGK142"/>
    <mergeCell ref="WGL142:WGO142"/>
    <mergeCell ref="WGP142:WGS142"/>
    <mergeCell ref="WGT142:WGW142"/>
    <mergeCell ref="WGX142:WHA142"/>
    <mergeCell ref="WHB142:WHE142"/>
    <mergeCell ref="WHF142:WHI142"/>
    <mergeCell ref="WHJ142:WHM142"/>
    <mergeCell ref="WHN142:WHQ142"/>
    <mergeCell ref="WHR142:WHU142"/>
    <mergeCell ref="WHV142:WHY142"/>
    <mergeCell ref="WHZ142:WIC142"/>
    <mergeCell ref="WID142:WIG142"/>
    <mergeCell ref="WIH142:WIK142"/>
    <mergeCell ref="WIL142:WIO142"/>
    <mergeCell ref="WIP142:WIS142"/>
    <mergeCell ref="WIT142:WIW142"/>
    <mergeCell ref="WIX142:WJA142"/>
    <mergeCell ref="WJB142:WJE142"/>
    <mergeCell ref="WJF142:WJI142"/>
    <mergeCell ref="WJJ142:WJM142"/>
    <mergeCell ref="WJN142:WJQ142"/>
    <mergeCell ref="WJR142:WJU142"/>
    <mergeCell ref="WJV142:WJY142"/>
    <mergeCell ref="WJZ142:WKC142"/>
    <mergeCell ref="WKD142:WKG142"/>
    <mergeCell ref="WKH142:WKK142"/>
    <mergeCell ref="WKL142:WKO142"/>
    <mergeCell ref="WKP142:WKS142"/>
    <mergeCell ref="WKT142:WKW142"/>
    <mergeCell ref="WKX142:WLA142"/>
    <mergeCell ref="WLB142:WLE142"/>
    <mergeCell ref="WLF142:WLI142"/>
    <mergeCell ref="WLJ142:WLM142"/>
    <mergeCell ref="WLN142:WLQ142"/>
    <mergeCell ref="WLR142:WLU142"/>
    <mergeCell ref="WLV142:WLY142"/>
    <mergeCell ref="WLZ142:WMC142"/>
    <mergeCell ref="WMD142:WMG142"/>
    <mergeCell ref="WMH142:WMK142"/>
    <mergeCell ref="WML142:WMO142"/>
    <mergeCell ref="WMP142:WMS142"/>
    <mergeCell ref="WMT142:WMW142"/>
    <mergeCell ref="WMX142:WNA142"/>
    <mergeCell ref="WNB142:WNE142"/>
    <mergeCell ref="WNF142:WNI142"/>
    <mergeCell ref="WNJ142:WNM142"/>
    <mergeCell ref="WNN142:WNQ142"/>
    <mergeCell ref="WNR142:WNU142"/>
    <mergeCell ref="WNV142:WNY142"/>
    <mergeCell ref="WNZ142:WOC142"/>
    <mergeCell ref="WOD142:WOG142"/>
    <mergeCell ref="WOH142:WOK142"/>
    <mergeCell ref="WOL142:WOO142"/>
    <mergeCell ref="WOP142:WOS142"/>
    <mergeCell ref="WOT142:WOW142"/>
    <mergeCell ref="WOX142:WPA142"/>
    <mergeCell ref="WPB142:WPE142"/>
    <mergeCell ref="WPF142:WPI142"/>
    <mergeCell ref="WPJ142:WPM142"/>
    <mergeCell ref="WPN142:WPQ142"/>
    <mergeCell ref="WPR142:WPU142"/>
    <mergeCell ref="WPV142:WPY142"/>
    <mergeCell ref="WPZ142:WQC142"/>
    <mergeCell ref="WQD142:WQG142"/>
    <mergeCell ref="WQH142:WQK142"/>
    <mergeCell ref="WQL142:WQO142"/>
    <mergeCell ref="WQP142:WQS142"/>
    <mergeCell ref="WQT142:WQW142"/>
    <mergeCell ref="WQX142:WRA142"/>
    <mergeCell ref="WRB142:WRE142"/>
    <mergeCell ref="WRF142:WRI142"/>
    <mergeCell ref="WRJ142:WRM142"/>
    <mergeCell ref="WRN142:WRQ142"/>
    <mergeCell ref="WRR142:WRU142"/>
    <mergeCell ref="WRV142:WRY142"/>
    <mergeCell ref="WRZ142:WSC142"/>
    <mergeCell ref="WSD142:WSG142"/>
    <mergeCell ref="WSH142:WSK142"/>
    <mergeCell ref="WSL142:WSO142"/>
    <mergeCell ref="WSP142:WSS142"/>
    <mergeCell ref="WST142:WSW142"/>
    <mergeCell ref="WYP142:WYS142"/>
    <mergeCell ref="WSX142:WTA142"/>
    <mergeCell ref="WTB142:WTE142"/>
    <mergeCell ref="WTF142:WTI142"/>
    <mergeCell ref="WTJ142:WTM142"/>
    <mergeCell ref="WTN142:WTQ142"/>
    <mergeCell ref="WTR142:WTU142"/>
    <mergeCell ref="WTV142:WTY142"/>
    <mergeCell ref="WTZ142:WUC142"/>
    <mergeCell ref="WUD142:WUG142"/>
    <mergeCell ref="WUH142:WUK142"/>
    <mergeCell ref="WUL142:WUO142"/>
    <mergeCell ref="WUP142:WUS142"/>
    <mergeCell ref="WUT142:WUW142"/>
    <mergeCell ref="WUX142:WVA142"/>
    <mergeCell ref="WVB142:WVE142"/>
    <mergeCell ref="WVF142:WVI142"/>
    <mergeCell ref="WVJ142:WVM142"/>
    <mergeCell ref="WZN142:WZQ142"/>
    <mergeCell ref="WZR142:WZU142"/>
    <mergeCell ref="WVN142:WVQ142"/>
    <mergeCell ref="WVR142:WVU142"/>
    <mergeCell ref="WVV142:WVY142"/>
    <mergeCell ref="WVZ142:WWC142"/>
    <mergeCell ref="WZV142:WZY142"/>
    <mergeCell ref="WZZ142:XAC142"/>
    <mergeCell ref="XAD142:XAG142"/>
    <mergeCell ref="XCX142:XDA142"/>
    <mergeCell ref="XDB142:XDE142"/>
    <mergeCell ref="XDF142:XDI142"/>
    <mergeCell ref="XDJ142:XDM142"/>
    <mergeCell ref="XDN142:XDQ142"/>
    <mergeCell ref="XDR142:XDU142"/>
    <mergeCell ref="XDV142:XDY142"/>
    <mergeCell ref="WWD142:WWG142"/>
    <mergeCell ref="WWH142:WWK142"/>
    <mergeCell ref="WWL142:WWO142"/>
    <mergeCell ref="WWP142:WWS142"/>
    <mergeCell ref="WWT142:WWW142"/>
    <mergeCell ref="WWX142:WXA142"/>
    <mergeCell ref="WXB142:WXE142"/>
    <mergeCell ref="WXF142:WXI142"/>
    <mergeCell ref="WXJ142:WXM142"/>
    <mergeCell ref="WXN142:WXQ142"/>
    <mergeCell ref="WXR142:WXU142"/>
    <mergeCell ref="WXV142:WXY142"/>
    <mergeCell ref="WXZ142:WYC142"/>
    <mergeCell ref="WYD142:WYG142"/>
    <mergeCell ref="WYH142:WYK142"/>
    <mergeCell ref="WYL142:WYO142"/>
    <mergeCell ref="A127:D127"/>
    <mergeCell ref="B128:D128"/>
    <mergeCell ref="XDZ142:XEC142"/>
    <mergeCell ref="XED142:XEG142"/>
    <mergeCell ref="XEH142:XEK142"/>
    <mergeCell ref="XEL142:XEO142"/>
    <mergeCell ref="XEP142:XES142"/>
    <mergeCell ref="XET142:XEW142"/>
    <mergeCell ref="XEX142:XFA142"/>
    <mergeCell ref="A141:D141"/>
    <mergeCell ref="XAH142:XAK142"/>
    <mergeCell ref="XAL142:XAO142"/>
    <mergeCell ref="XAP142:XAS142"/>
    <mergeCell ref="XAT142:XAW142"/>
    <mergeCell ref="XAX142:XBA142"/>
    <mergeCell ref="XBB142:XBE142"/>
    <mergeCell ref="XBF142:XBI142"/>
    <mergeCell ref="XBJ142:XBM142"/>
    <mergeCell ref="XBN142:XBQ142"/>
    <mergeCell ref="XBR142:XBU142"/>
    <mergeCell ref="XBV142:XBY142"/>
    <mergeCell ref="XBZ142:XCC142"/>
    <mergeCell ref="XCD142:XCG142"/>
    <mergeCell ref="XCH142:XCK142"/>
    <mergeCell ref="XCL142:XCO142"/>
    <mergeCell ref="XCP142:XCS142"/>
    <mergeCell ref="XCT142:XCW142"/>
    <mergeCell ref="WYT142:WYW142"/>
    <mergeCell ref="WYX142:WZA142"/>
    <mergeCell ref="WZB142:WZE142"/>
    <mergeCell ref="WZF142:WZI142"/>
    <mergeCell ref="WZJ142:WZM142"/>
    <mergeCell ref="A17:B17"/>
    <mergeCell ref="A18:B18"/>
    <mergeCell ref="C17:D17"/>
    <mergeCell ref="C18:D18"/>
    <mergeCell ref="C93:C94"/>
    <mergeCell ref="D93:D94"/>
    <mergeCell ref="A97:D97"/>
    <mergeCell ref="B98:D98"/>
    <mergeCell ref="C99:C100"/>
    <mergeCell ref="D99:D100"/>
    <mergeCell ref="A103:D103"/>
    <mergeCell ref="C129:C130"/>
    <mergeCell ref="D129:D130"/>
    <mergeCell ref="A133:D133"/>
    <mergeCell ref="B134:D134"/>
    <mergeCell ref="C135:C136"/>
    <mergeCell ref="D135:D136"/>
    <mergeCell ref="B104:D104"/>
    <mergeCell ref="C105:C106"/>
    <mergeCell ref="D105:D106"/>
    <mergeCell ref="A109:D109"/>
    <mergeCell ref="B110:D110"/>
    <mergeCell ref="C111:C112"/>
    <mergeCell ref="D111:D112"/>
    <mergeCell ref="A115:D115"/>
    <mergeCell ref="B116:D116"/>
    <mergeCell ref="C117:C118"/>
    <mergeCell ref="D117:D118"/>
    <mergeCell ref="A121:D121"/>
    <mergeCell ref="B122:D122"/>
    <mergeCell ref="C123:C124"/>
    <mergeCell ref="D123:D124"/>
  </mergeCells>
  <conditionalFormatting sqref="D2">
    <cfRule type="expression" dxfId="27" priority="134">
      <formula>D2="Yes"</formula>
    </cfRule>
  </conditionalFormatting>
  <conditionalFormatting sqref="A14:A15">
    <cfRule type="expression" dxfId="26" priority="135">
      <formula>$D$2="Yes"</formula>
    </cfRule>
  </conditionalFormatting>
  <conditionalFormatting sqref="B124">
    <cfRule type="expression" dxfId="25" priority="54">
      <formula>($D$5+D123)&gt;B124</formula>
    </cfRule>
  </conditionalFormatting>
  <conditionalFormatting sqref="B130">
    <cfRule type="expression" dxfId="24" priority="53">
      <formula>($D$5+D129)&gt;B130</formula>
    </cfRule>
  </conditionalFormatting>
  <conditionalFormatting sqref="B136">
    <cfRule type="expression" dxfId="23" priority="52">
      <formula>($D$5+D135)&gt;B136</formula>
    </cfRule>
  </conditionalFormatting>
  <conditionalFormatting sqref="B118">
    <cfRule type="expression" dxfId="22" priority="17">
      <formula>($D$5+D117)&gt;B118</formula>
    </cfRule>
  </conditionalFormatting>
  <conditionalFormatting sqref="B112">
    <cfRule type="expression" dxfId="21" priority="16">
      <formula>($D$5+D111)&gt;B112</formula>
    </cfRule>
  </conditionalFormatting>
  <conditionalFormatting sqref="B106">
    <cfRule type="expression" dxfId="20" priority="15">
      <formula>($D$5+D105)&gt;B106</formula>
    </cfRule>
  </conditionalFormatting>
  <conditionalFormatting sqref="B100">
    <cfRule type="expression" dxfId="19" priority="14">
      <formula>($D$5+D99)&gt;B100</formula>
    </cfRule>
  </conditionalFormatting>
  <conditionalFormatting sqref="B94">
    <cfRule type="expression" dxfId="18" priority="13">
      <formula>($D$5+D93)&gt;B94</formula>
    </cfRule>
  </conditionalFormatting>
  <conditionalFormatting sqref="B88">
    <cfRule type="expression" dxfId="17" priority="12">
      <formula>($D$5+D87)&gt;B88</formula>
    </cfRule>
  </conditionalFormatting>
  <conditionalFormatting sqref="B82">
    <cfRule type="expression" dxfId="16" priority="11">
      <formula>($D$5+D81)&gt;B82</formula>
    </cfRule>
  </conditionalFormatting>
  <conditionalFormatting sqref="B76">
    <cfRule type="expression" dxfId="15" priority="10">
      <formula>($D$5+D75)&gt;B76</formula>
    </cfRule>
  </conditionalFormatting>
  <conditionalFormatting sqref="B70">
    <cfRule type="expression" dxfId="14" priority="9">
      <formula>($D$5+D69)&gt;B70</formula>
    </cfRule>
  </conditionalFormatting>
  <conditionalFormatting sqref="B64">
    <cfRule type="expression" dxfId="13" priority="8">
      <formula>($D$5+D63)&gt;B64</formula>
    </cfRule>
  </conditionalFormatting>
  <conditionalFormatting sqref="B58">
    <cfRule type="expression" dxfId="12" priority="7">
      <formula>($D$5+D57)&gt;B58</formula>
    </cfRule>
  </conditionalFormatting>
  <conditionalFormatting sqref="B52">
    <cfRule type="expression" dxfId="11" priority="6">
      <formula>($D$5+D51)&gt;B52</formula>
    </cfRule>
  </conditionalFormatting>
  <conditionalFormatting sqref="B46">
    <cfRule type="expression" dxfId="10" priority="5">
      <formula>($D$5+D45)&gt;B46</formula>
    </cfRule>
  </conditionalFormatting>
  <conditionalFormatting sqref="B40">
    <cfRule type="expression" dxfId="9" priority="4">
      <formula>($D$5+D39)&gt;B40</formula>
    </cfRule>
  </conditionalFormatting>
  <conditionalFormatting sqref="B34">
    <cfRule type="expression" dxfId="8" priority="3">
      <formula>($D$5+D33)&gt;B34</formula>
    </cfRule>
  </conditionalFormatting>
  <conditionalFormatting sqref="B28">
    <cfRule type="expression" dxfId="7" priority="2">
      <formula>($D$5+D27)&gt;B28</formula>
    </cfRule>
  </conditionalFormatting>
  <conditionalFormatting sqref="B22">
    <cfRule type="expression" dxfId="6" priority="1">
      <formula>($D$5+D21)&gt;B22</formula>
    </cfRule>
  </conditionalFormatting>
  <dataValidations count="2">
    <dataValidation type="list" allowBlank="1" showInputMessage="1" showErrorMessage="1" sqref="B30 B137:B138 B131:B132 B125:B126 B42 B36 B66 B60 B54 B48" xr:uid="{00000000-0002-0000-0100-000000000000}">
      <formula1>$AC$1:$AC$15</formula1>
    </dataValidation>
    <dataValidation type="list" allowBlank="1" showInputMessage="1" showErrorMessage="1" sqref="B29 B119:B120 B113:B114 B107:B108 B101:B102 B95:B96 B89:B90 B83:B84 B77:B78 B71:B72 B65 B59 B53 B47 B41 B35" xr:uid="{00000000-0002-0000-0100-000001000000}">
      <formula1>$AD$1:$AD$15</formula1>
    </dataValidation>
  </dataValidations>
  <pageMargins left="0.25" right="0.25" top="0.75" bottom="0.75" header="0.3" footer="0.3"/>
  <pageSetup scale="64" fitToHeight="0" orientation="portrait" r:id="rId1"/>
  <headerFooter>
    <oddFooter>Page &amp;P of &amp;N</oddFooter>
  </headerFooter>
  <cellWatches>
    <cellWatch r="B8"/>
    <cellWatch r="D7"/>
    <cellWatch r="B7"/>
  </cellWatche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0]!Sheet7.Mail_workbook_Outlook_1">
                <anchor moveWithCells="1">
                  <from>
                    <xdr:col>3</xdr:col>
                    <xdr:colOff>800100</xdr:colOff>
                    <xdr:row>0</xdr:row>
                    <xdr:rowOff>285750</xdr:rowOff>
                  </from>
                  <to>
                    <xdr:col>3</xdr:col>
                    <xdr:colOff>1819275</xdr:colOff>
                    <xdr:row>0</xdr:row>
                    <xdr:rowOff>581025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100-000002000000}">
          <x14:formula1>
            <xm:f>'Hidden Data Sheet'!$L$2:$L$4</xm:f>
          </x14:formula1>
          <xm:sqref>B7</xm:sqref>
        </x14:dataValidation>
        <x14:dataValidation type="list" allowBlank="1" showInputMessage="1" showErrorMessage="1" xr:uid="{00000000-0002-0000-0100-000003000000}">
          <x14:formula1>
            <xm:f>'Hidden Data Sheet'!$R$1:$R$4</xm:f>
          </x14:formula1>
          <xm:sqref>D7</xm:sqref>
        </x14:dataValidation>
        <x14:dataValidation type="list" allowBlank="1" showInputMessage="1" showErrorMessage="1" xr:uid="{00000000-0002-0000-0100-000004000000}">
          <x14:formula1>
            <xm:f>'Hidden Data Sheet'!$AD$1:$AD$15</xm:f>
          </x14:formula1>
          <xm:sqref>B23:B24</xm:sqref>
        </x14:dataValidation>
        <x14:dataValidation type="list" allowBlank="1" showInputMessage="1" showErrorMessage="1" xr:uid="{00000000-0002-0000-0100-000005000000}">
          <x14:formula1>
            <xm:f>'Hidden Data Sheet'!$AK$1:$AK$6</xm:f>
          </x14:formula1>
          <xm:sqref>B8:D8</xm:sqref>
        </x14:dataValidation>
        <x14:dataValidation type="list" allowBlank="1" showInputMessage="1" showErrorMessage="1" xr:uid="{00000000-0002-0000-0100-000006000000}">
          <x14:formula1>
            <xm:f>'Hidden Data Sheet'!$S$2:$S$6</xm:f>
          </x14:formula1>
          <xm:sqref>C17:D17</xm:sqref>
        </x14:dataValidation>
        <x14:dataValidation type="list" allowBlank="1" showInputMessage="1" showErrorMessage="1" xr:uid="{00000000-0002-0000-0100-000007000000}">
          <x14:formula1>
            <xm:f>'Hidden Data Sheet'!$T$2:$T$4</xm:f>
          </x14:formula1>
          <xm:sqref>C18:D18</xm:sqref>
        </x14:dataValidation>
        <x14:dataValidation type="list" allowBlank="1" showInputMessage="1" showErrorMessage="1" xr:uid="{00000000-0002-0000-0100-000008000000}">
          <x14:formula1>
            <xm:f>'Hidden CLINs'!$E$2:$E$42</xm:f>
          </x14:formula1>
          <xm:sqref>B74:D74 B32:D32 B38:D38 B44:D44 B50:D50 B56:D56 B62:D62 B68:D68 B134:D134 B80:D80 B86:D86 B92:D92 B98:D98 B104:D104 B110:D110 B116:D116 B122:D122 B128:D128 B26:D26 B20:D20</xm:sqref>
        </x14:dataValidation>
        <x14:dataValidation type="list" allowBlank="1" showInputMessage="1" showErrorMessage="1" xr:uid="{00000000-0002-0000-0100-000009000000}">
          <x14:formula1>
            <xm:f>'Hidden Data Sheet'!$K$14:$K$719</xm:f>
          </x14:formula1>
          <xm:sqref>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1:XFC176"/>
  <sheetViews>
    <sheetView topLeftCell="A4" zoomScale="86" zoomScaleNormal="86" workbookViewId="0">
      <selection activeCell="D28" sqref="D28"/>
    </sheetView>
  </sheetViews>
  <sheetFormatPr defaultColWidth="0" defaultRowHeight="0" customHeight="1" zeroHeight="1" x14ac:dyDescent="0.2"/>
  <cols>
    <col min="1" max="1" width="43.140625" style="23" customWidth="1"/>
    <col min="2" max="2" width="38" style="1" customWidth="1"/>
    <col min="3" max="3" width="41.5703125" style="1" customWidth="1"/>
    <col min="4" max="4" width="39.28515625" style="22" customWidth="1"/>
    <col min="5" max="5" width="4.28515625" style="1" hidden="1"/>
    <col min="6" max="6" width="13.28515625" style="1" hidden="1"/>
    <col min="7" max="7" width="9.140625" style="1" hidden="1"/>
    <col min="8" max="16382" width="12.5703125" style="1" hidden="1"/>
    <col min="16383" max="16383" width="9.140625" style="1" hidden="1"/>
    <col min="16384" max="16384" width="4.28515625" style="1" hidden="1"/>
  </cols>
  <sheetData>
    <row r="1" spans="1:16380" ht="65.25" customHeight="1" x14ac:dyDescent="0.25">
      <c r="A1" s="25" t="s">
        <v>0</v>
      </c>
      <c r="B1" s="144" t="str">
        <f>AROW!B1</f>
        <v>Acquisitions Requirements Order Worksheet: Version 2.2</v>
      </c>
      <c r="C1" s="110"/>
      <c r="D1" s="26"/>
    </row>
    <row r="2" spans="1:16380" ht="44.25" customHeight="1" x14ac:dyDescent="0.25">
      <c r="A2" s="166" t="s">
        <v>1074</v>
      </c>
      <c r="B2" s="167"/>
      <c r="C2" s="63" t="s">
        <v>959</v>
      </c>
      <c r="D2" s="50" t="s">
        <v>1168</v>
      </c>
    </row>
    <row r="3" spans="1:16380" ht="44.25" customHeight="1" x14ac:dyDescent="0.25">
      <c r="A3" s="168"/>
      <c r="B3" s="169"/>
      <c r="C3" s="64" t="s">
        <v>893</v>
      </c>
      <c r="D3" s="49" t="str">
        <f>AROW!D2</f>
        <v>No</v>
      </c>
      <c r="E3" s="15" t="str">
        <f>IF(ISNUMBER(COUNTIF(G22:G44, "false")), "Yes", "No")</f>
        <v>Yes</v>
      </c>
    </row>
    <row r="4" spans="1:16380" ht="22.5" customHeight="1" x14ac:dyDescent="0.2">
      <c r="A4" s="104" t="s">
        <v>151</v>
      </c>
      <c r="B4" s="104"/>
      <c r="C4" s="104"/>
      <c r="D4" s="104"/>
    </row>
    <row r="5" spans="1:16380" ht="17.25" customHeight="1" x14ac:dyDescent="0.25">
      <c r="A5" s="58" t="s">
        <v>79</v>
      </c>
      <c r="B5" s="54" t="str">
        <f>IF(AROW!B5&lt;&gt;0,AROW!B5,"")</f>
        <v/>
      </c>
      <c r="C5" s="60" t="s">
        <v>895</v>
      </c>
      <c r="D5" s="13" t="str">
        <f>IF(AROW!D5&lt;&gt;0,AROW!D5,"")</f>
        <v/>
      </c>
    </row>
    <row r="6" spans="1:16380" ht="17.25" customHeight="1" x14ac:dyDescent="0.25">
      <c r="A6" s="58" t="s">
        <v>80</v>
      </c>
      <c r="B6" s="54" t="str">
        <f>IF(AROW!B6&lt;&gt;0,AROW!B6,"")</f>
        <v/>
      </c>
      <c r="C6" s="58" t="s">
        <v>81</v>
      </c>
      <c r="D6" s="13" t="str">
        <f>IF(AROW!D6&lt;&gt;0,AROW!D6,"")</f>
        <v/>
      </c>
    </row>
    <row r="7" spans="1:16380" ht="17.25" customHeight="1" x14ac:dyDescent="0.25">
      <c r="A7" s="58" t="s">
        <v>897</v>
      </c>
      <c r="B7" s="54" t="str">
        <f>IF(AROW!B7&lt;&gt;0,AROW!B7,"")</f>
        <v/>
      </c>
      <c r="C7" s="59" t="s">
        <v>896</v>
      </c>
      <c r="D7" s="13" t="str">
        <f>IF(AROW!D7&lt;&gt;0,AROW!D7,"")</f>
        <v/>
      </c>
    </row>
    <row r="8" spans="1:16380" ht="17.25" customHeight="1" x14ac:dyDescent="0.25">
      <c r="A8" s="58" t="s">
        <v>881</v>
      </c>
      <c r="B8" s="170" t="str">
        <f>IF(AROW!B8&lt;&gt;0,AROW!B8,"")</f>
        <v/>
      </c>
      <c r="C8" s="171"/>
      <c r="D8" s="172"/>
    </row>
    <row r="9" spans="1:16380" ht="17.25" customHeight="1" x14ac:dyDescent="0.25">
      <c r="A9" s="58" t="s">
        <v>199</v>
      </c>
      <c r="B9" s="170" t="str">
        <f>IF(AROW!B9&lt;&gt;0,AROW!B9,"")</f>
        <v/>
      </c>
      <c r="C9" s="171"/>
      <c r="D9" s="172"/>
    </row>
    <row r="10" spans="1:16380" ht="22.5" customHeight="1" x14ac:dyDescent="0.2">
      <c r="A10" s="104" t="s">
        <v>889</v>
      </c>
      <c r="B10" s="104"/>
      <c r="C10" s="104"/>
      <c r="D10" s="104"/>
    </row>
    <row r="11" spans="1:16380" ht="44.25" customHeight="1" x14ac:dyDescent="0.2">
      <c r="A11" s="58" t="s">
        <v>84</v>
      </c>
      <c r="B11" s="55" t="str">
        <f>IF(AROW!B11&lt;&gt;0,AROW!B11,"")</f>
        <v/>
      </c>
      <c r="C11" s="60" t="s">
        <v>183</v>
      </c>
      <c r="D11" s="55" t="str">
        <f>IF(AROW!D11&lt;&gt;0,AROW!D11,"")</f>
        <v/>
      </c>
    </row>
    <row r="12" spans="1:16380" ht="44.25" customHeight="1" x14ac:dyDescent="0.2">
      <c r="A12" s="58" t="s">
        <v>153</v>
      </c>
      <c r="B12" s="94" t="str">
        <f>IF(AROW!B12&lt;&gt;0,AROW!B12,"")</f>
        <v/>
      </c>
      <c r="C12" s="58" t="s">
        <v>78</v>
      </c>
      <c r="D12" s="55" t="str">
        <f>IF(AROW!D12&lt;&gt;0,AROW!D12,"")</f>
        <v/>
      </c>
    </row>
    <row r="13" spans="1:16380" ht="34.5" customHeight="1" x14ac:dyDescent="0.2">
      <c r="A13" s="104" t="s">
        <v>96</v>
      </c>
      <c r="B13" s="104"/>
      <c r="C13" s="104"/>
      <c r="D13" s="104"/>
      <c r="E13" s="4"/>
      <c r="F13" s="4"/>
      <c r="G13" s="4"/>
      <c r="H13" s="4"/>
    </row>
    <row r="14" spans="1:16380" ht="33" customHeight="1" x14ac:dyDescent="0.25">
      <c r="A14" s="40" t="s">
        <v>180</v>
      </c>
      <c r="B14" s="10" t="str">
        <f>IF(AROW!B14&lt;&gt;0,AROW!B14,"")</f>
        <v>Signature</v>
      </c>
      <c r="C14" s="65" t="s">
        <v>83</v>
      </c>
      <c r="D14" s="13" t="str">
        <f>IF(AROW!D14&lt;&gt;0,AROW!D14,"")</f>
        <v>MM/DD/YYYY</v>
      </c>
      <c r="E14" s="105"/>
      <c r="F14" s="105"/>
      <c r="G14" s="105"/>
      <c r="H14" s="106"/>
      <c r="I14" s="107" t="s">
        <v>1</v>
      </c>
      <c r="J14" s="108"/>
      <c r="K14" s="108"/>
      <c r="L14" s="109"/>
      <c r="M14" s="107" t="s">
        <v>1</v>
      </c>
      <c r="N14" s="108"/>
      <c r="O14" s="108"/>
      <c r="P14" s="109"/>
      <c r="Q14" s="107" t="s">
        <v>1</v>
      </c>
      <c r="R14" s="108"/>
      <c r="S14" s="108"/>
      <c r="T14" s="109"/>
      <c r="U14" s="107" t="s">
        <v>1</v>
      </c>
      <c r="V14" s="108"/>
      <c r="W14" s="108"/>
      <c r="X14" s="109"/>
      <c r="Y14" s="107" t="s">
        <v>1</v>
      </c>
      <c r="Z14" s="108"/>
      <c r="AA14" s="108"/>
      <c r="AB14" s="109"/>
      <c r="AC14" s="107" t="s">
        <v>1</v>
      </c>
      <c r="AD14" s="108"/>
      <c r="AE14" s="108"/>
      <c r="AF14" s="109"/>
      <c r="AG14" s="107" t="s">
        <v>1</v>
      </c>
      <c r="AH14" s="108"/>
      <c r="AI14" s="108"/>
      <c r="AJ14" s="109"/>
      <c r="AK14" s="107" t="s">
        <v>1</v>
      </c>
      <c r="AL14" s="108"/>
      <c r="AM14" s="108"/>
      <c r="AN14" s="109"/>
      <c r="AO14" s="107" t="s">
        <v>1</v>
      </c>
      <c r="AP14" s="108"/>
      <c r="AQ14" s="108"/>
      <c r="AR14" s="109"/>
      <c r="AS14" s="107" t="s">
        <v>1</v>
      </c>
      <c r="AT14" s="108"/>
      <c r="AU14" s="108"/>
      <c r="AV14" s="109"/>
      <c r="AW14" s="107" t="s">
        <v>1</v>
      </c>
      <c r="AX14" s="108"/>
      <c r="AY14" s="108"/>
      <c r="AZ14" s="109"/>
      <c r="BA14" s="107" t="s">
        <v>1</v>
      </c>
      <c r="BB14" s="108"/>
      <c r="BC14" s="108"/>
      <c r="BD14" s="109"/>
      <c r="BE14" s="107" t="s">
        <v>1</v>
      </c>
      <c r="BF14" s="108"/>
      <c r="BG14" s="108"/>
      <c r="BH14" s="109"/>
      <c r="BI14" s="107" t="s">
        <v>1</v>
      </c>
      <c r="BJ14" s="108"/>
      <c r="BK14" s="108"/>
      <c r="BL14" s="109"/>
      <c r="BM14" s="107" t="s">
        <v>1</v>
      </c>
      <c r="BN14" s="108"/>
      <c r="BO14" s="108"/>
      <c r="BP14" s="109"/>
      <c r="BQ14" s="107" t="s">
        <v>1</v>
      </c>
      <c r="BR14" s="108"/>
      <c r="BS14" s="108"/>
      <c r="BT14" s="109"/>
      <c r="BU14" s="107" t="s">
        <v>1</v>
      </c>
      <c r="BV14" s="108"/>
      <c r="BW14" s="108"/>
      <c r="BX14" s="109"/>
      <c r="BY14" s="107" t="s">
        <v>1</v>
      </c>
      <c r="BZ14" s="108"/>
      <c r="CA14" s="108"/>
      <c r="CB14" s="109"/>
      <c r="CC14" s="107" t="s">
        <v>1</v>
      </c>
      <c r="CD14" s="108"/>
      <c r="CE14" s="108"/>
      <c r="CF14" s="109"/>
      <c r="CG14" s="107" t="s">
        <v>1</v>
      </c>
      <c r="CH14" s="108"/>
      <c r="CI14" s="108"/>
      <c r="CJ14" s="109"/>
      <c r="CK14" s="107" t="s">
        <v>1</v>
      </c>
      <c r="CL14" s="108"/>
      <c r="CM14" s="108"/>
      <c r="CN14" s="109"/>
      <c r="CO14" s="107" t="s">
        <v>1</v>
      </c>
      <c r="CP14" s="108"/>
      <c r="CQ14" s="108"/>
      <c r="CR14" s="109"/>
      <c r="CS14" s="107" t="s">
        <v>1</v>
      </c>
      <c r="CT14" s="108"/>
      <c r="CU14" s="108"/>
      <c r="CV14" s="109"/>
      <c r="CW14" s="107" t="s">
        <v>1</v>
      </c>
      <c r="CX14" s="108"/>
      <c r="CY14" s="108"/>
      <c r="CZ14" s="109"/>
      <c r="DA14" s="107" t="s">
        <v>1</v>
      </c>
      <c r="DB14" s="108"/>
      <c r="DC14" s="108"/>
      <c r="DD14" s="109"/>
      <c r="DE14" s="107" t="s">
        <v>1</v>
      </c>
      <c r="DF14" s="108"/>
      <c r="DG14" s="108"/>
      <c r="DH14" s="109"/>
      <c r="DI14" s="107" t="s">
        <v>1</v>
      </c>
      <c r="DJ14" s="108"/>
      <c r="DK14" s="108"/>
      <c r="DL14" s="109"/>
      <c r="DM14" s="107" t="s">
        <v>1</v>
      </c>
      <c r="DN14" s="108"/>
      <c r="DO14" s="108"/>
      <c r="DP14" s="109"/>
      <c r="DQ14" s="107" t="s">
        <v>1</v>
      </c>
      <c r="DR14" s="108"/>
      <c r="DS14" s="108"/>
      <c r="DT14" s="109"/>
      <c r="DU14" s="107" t="s">
        <v>1</v>
      </c>
      <c r="DV14" s="108"/>
      <c r="DW14" s="108"/>
      <c r="DX14" s="109"/>
      <c r="DY14" s="107" t="s">
        <v>1</v>
      </c>
      <c r="DZ14" s="108"/>
      <c r="EA14" s="108"/>
      <c r="EB14" s="109"/>
      <c r="EC14" s="107" t="s">
        <v>1</v>
      </c>
      <c r="ED14" s="108"/>
      <c r="EE14" s="108"/>
      <c r="EF14" s="109"/>
      <c r="EG14" s="107" t="s">
        <v>1</v>
      </c>
      <c r="EH14" s="108"/>
      <c r="EI14" s="108"/>
      <c r="EJ14" s="109"/>
      <c r="EK14" s="107" t="s">
        <v>1</v>
      </c>
      <c r="EL14" s="108"/>
      <c r="EM14" s="108"/>
      <c r="EN14" s="109"/>
      <c r="EO14" s="107" t="s">
        <v>1</v>
      </c>
      <c r="EP14" s="108"/>
      <c r="EQ14" s="108"/>
      <c r="ER14" s="109"/>
      <c r="ES14" s="107" t="s">
        <v>1</v>
      </c>
      <c r="ET14" s="108"/>
      <c r="EU14" s="108"/>
      <c r="EV14" s="109"/>
      <c r="EW14" s="107" t="s">
        <v>1</v>
      </c>
      <c r="EX14" s="108"/>
      <c r="EY14" s="108"/>
      <c r="EZ14" s="109"/>
      <c r="FA14" s="107" t="s">
        <v>1</v>
      </c>
      <c r="FB14" s="108"/>
      <c r="FC14" s="108"/>
      <c r="FD14" s="109"/>
      <c r="FE14" s="107" t="s">
        <v>1</v>
      </c>
      <c r="FF14" s="108"/>
      <c r="FG14" s="108"/>
      <c r="FH14" s="109"/>
      <c r="FI14" s="107" t="s">
        <v>1</v>
      </c>
      <c r="FJ14" s="108"/>
      <c r="FK14" s="108"/>
      <c r="FL14" s="109"/>
      <c r="FM14" s="107" t="s">
        <v>1</v>
      </c>
      <c r="FN14" s="108"/>
      <c r="FO14" s="108"/>
      <c r="FP14" s="109"/>
      <c r="FQ14" s="107" t="s">
        <v>1</v>
      </c>
      <c r="FR14" s="108"/>
      <c r="FS14" s="108"/>
      <c r="FT14" s="109"/>
      <c r="FU14" s="107" t="s">
        <v>1</v>
      </c>
      <c r="FV14" s="108"/>
      <c r="FW14" s="108"/>
      <c r="FX14" s="109"/>
      <c r="FY14" s="107" t="s">
        <v>1</v>
      </c>
      <c r="FZ14" s="108"/>
      <c r="GA14" s="108"/>
      <c r="GB14" s="109"/>
      <c r="GC14" s="107" t="s">
        <v>1</v>
      </c>
      <c r="GD14" s="108"/>
      <c r="GE14" s="108"/>
      <c r="GF14" s="109"/>
      <c r="GG14" s="107" t="s">
        <v>1</v>
      </c>
      <c r="GH14" s="108"/>
      <c r="GI14" s="108"/>
      <c r="GJ14" s="109"/>
      <c r="GK14" s="107" t="s">
        <v>1</v>
      </c>
      <c r="GL14" s="108"/>
      <c r="GM14" s="108"/>
      <c r="GN14" s="109"/>
      <c r="GO14" s="107" t="s">
        <v>1</v>
      </c>
      <c r="GP14" s="108"/>
      <c r="GQ14" s="108"/>
      <c r="GR14" s="109"/>
      <c r="GS14" s="107" t="s">
        <v>1</v>
      </c>
      <c r="GT14" s="108"/>
      <c r="GU14" s="108"/>
      <c r="GV14" s="109"/>
      <c r="GW14" s="107" t="s">
        <v>1</v>
      </c>
      <c r="GX14" s="108"/>
      <c r="GY14" s="108"/>
      <c r="GZ14" s="109"/>
      <c r="HA14" s="107" t="s">
        <v>1</v>
      </c>
      <c r="HB14" s="108"/>
      <c r="HC14" s="108"/>
      <c r="HD14" s="109"/>
      <c r="HE14" s="107" t="s">
        <v>1</v>
      </c>
      <c r="HF14" s="108"/>
      <c r="HG14" s="108"/>
      <c r="HH14" s="109"/>
      <c r="HI14" s="107" t="s">
        <v>1</v>
      </c>
      <c r="HJ14" s="108"/>
      <c r="HK14" s="108"/>
      <c r="HL14" s="109"/>
      <c r="HM14" s="107" t="s">
        <v>1</v>
      </c>
      <c r="HN14" s="108"/>
      <c r="HO14" s="108"/>
      <c r="HP14" s="109"/>
      <c r="HQ14" s="107" t="s">
        <v>1</v>
      </c>
      <c r="HR14" s="108"/>
      <c r="HS14" s="108"/>
      <c r="HT14" s="109"/>
      <c r="HU14" s="107" t="s">
        <v>1</v>
      </c>
      <c r="HV14" s="108"/>
      <c r="HW14" s="108"/>
      <c r="HX14" s="109"/>
      <c r="HY14" s="107" t="s">
        <v>1</v>
      </c>
      <c r="HZ14" s="108"/>
      <c r="IA14" s="108"/>
      <c r="IB14" s="109"/>
      <c r="IC14" s="107" t="s">
        <v>1</v>
      </c>
      <c r="ID14" s="108"/>
      <c r="IE14" s="108"/>
      <c r="IF14" s="109"/>
      <c r="IG14" s="107" t="s">
        <v>1</v>
      </c>
      <c r="IH14" s="108"/>
      <c r="II14" s="108"/>
      <c r="IJ14" s="109"/>
      <c r="IK14" s="107" t="s">
        <v>1</v>
      </c>
      <c r="IL14" s="108"/>
      <c r="IM14" s="108"/>
      <c r="IN14" s="109"/>
      <c r="IO14" s="107" t="s">
        <v>1</v>
      </c>
      <c r="IP14" s="108"/>
      <c r="IQ14" s="108"/>
      <c r="IR14" s="109"/>
      <c r="IS14" s="107" t="s">
        <v>1</v>
      </c>
      <c r="IT14" s="108"/>
      <c r="IU14" s="108"/>
      <c r="IV14" s="109"/>
      <c r="IW14" s="107" t="s">
        <v>1</v>
      </c>
      <c r="IX14" s="108"/>
      <c r="IY14" s="108"/>
      <c r="IZ14" s="109"/>
      <c r="JA14" s="107" t="s">
        <v>1</v>
      </c>
      <c r="JB14" s="108"/>
      <c r="JC14" s="108"/>
      <c r="JD14" s="109"/>
      <c r="JE14" s="107" t="s">
        <v>1</v>
      </c>
      <c r="JF14" s="108"/>
      <c r="JG14" s="108"/>
      <c r="JH14" s="109"/>
      <c r="JI14" s="107" t="s">
        <v>1</v>
      </c>
      <c r="JJ14" s="108"/>
      <c r="JK14" s="108"/>
      <c r="JL14" s="109"/>
      <c r="JM14" s="107" t="s">
        <v>1</v>
      </c>
      <c r="JN14" s="108"/>
      <c r="JO14" s="108"/>
      <c r="JP14" s="109"/>
      <c r="JQ14" s="107" t="s">
        <v>1</v>
      </c>
      <c r="JR14" s="108"/>
      <c r="JS14" s="108"/>
      <c r="JT14" s="109"/>
      <c r="JU14" s="107" t="s">
        <v>1</v>
      </c>
      <c r="JV14" s="108"/>
      <c r="JW14" s="108"/>
      <c r="JX14" s="109"/>
      <c r="JY14" s="107" t="s">
        <v>1</v>
      </c>
      <c r="JZ14" s="108"/>
      <c r="KA14" s="108"/>
      <c r="KB14" s="109"/>
      <c r="KC14" s="107" t="s">
        <v>1</v>
      </c>
      <c r="KD14" s="108"/>
      <c r="KE14" s="108"/>
      <c r="KF14" s="109"/>
      <c r="KG14" s="107" t="s">
        <v>1</v>
      </c>
      <c r="KH14" s="108"/>
      <c r="KI14" s="108"/>
      <c r="KJ14" s="109"/>
      <c r="KK14" s="107" t="s">
        <v>1</v>
      </c>
      <c r="KL14" s="108"/>
      <c r="KM14" s="108"/>
      <c r="KN14" s="109"/>
      <c r="KO14" s="107" t="s">
        <v>1</v>
      </c>
      <c r="KP14" s="108"/>
      <c r="KQ14" s="108"/>
      <c r="KR14" s="109"/>
      <c r="KS14" s="107" t="s">
        <v>1</v>
      </c>
      <c r="KT14" s="108"/>
      <c r="KU14" s="108"/>
      <c r="KV14" s="109"/>
      <c r="KW14" s="107" t="s">
        <v>1</v>
      </c>
      <c r="KX14" s="108"/>
      <c r="KY14" s="108"/>
      <c r="KZ14" s="109"/>
      <c r="LA14" s="107" t="s">
        <v>1</v>
      </c>
      <c r="LB14" s="108"/>
      <c r="LC14" s="108"/>
      <c r="LD14" s="109"/>
      <c r="LE14" s="107" t="s">
        <v>1</v>
      </c>
      <c r="LF14" s="108"/>
      <c r="LG14" s="108"/>
      <c r="LH14" s="109"/>
      <c r="LI14" s="107" t="s">
        <v>1</v>
      </c>
      <c r="LJ14" s="108"/>
      <c r="LK14" s="108"/>
      <c r="LL14" s="109"/>
      <c r="LM14" s="107" t="s">
        <v>1</v>
      </c>
      <c r="LN14" s="108"/>
      <c r="LO14" s="108"/>
      <c r="LP14" s="109"/>
      <c r="LQ14" s="107" t="s">
        <v>1</v>
      </c>
      <c r="LR14" s="108"/>
      <c r="LS14" s="108"/>
      <c r="LT14" s="109"/>
      <c r="LU14" s="107" t="s">
        <v>1</v>
      </c>
      <c r="LV14" s="108"/>
      <c r="LW14" s="108"/>
      <c r="LX14" s="109"/>
      <c r="LY14" s="107" t="s">
        <v>1</v>
      </c>
      <c r="LZ14" s="108"/>
      <c r="MA14" s="108"/>
      <c r="MB14" s="109"/>
      <c r="MC14" s="107" t="s">
        <v>1</v>
      </c>
      <c r="MD14" s="108"/>
      <c r="ME14" s="108"/>
      <c r="MF14" s="109"/>
      <c r="MG14" s="107" t="s">
        <v>1</v>
      </c>
      <c r="MH14" s="108"/>
      <c r="MI14" s="108"/>
      <c r="MJ14" s="109"/>
      <c r="MK14" s="107" t="s">
        <v>1</v>
      </c>
      <c r="ML14" s="108"/>
      <c r="MM14" s="108"/>
      <c r="MN14" s="109"/>
      <c r="MO14" s="107" t="s">
        <v>1</v>
      </c>
      <c r="MP14" s="108"/>
      <c r="MQ14" s="108"/>
      <c r="MR14" s="109"/>
      <c r="MS14" s="107" t="s">
        <v>1</v>
      </c>
      <c r="MT14" s="108"/>
      <c r="MU14" s="108"/>
      <c r="MV14" s="109"/>
      <c r="MW14" s="107" t="s">
        <v>1</v>
      </c>
      <c r="MX14" s="108"/>
      <c r="MY14" s="108"/>
      <c r="MZ14" s="109"/>
      <c r="NA14" s="107" t="s">
        <v>1</v>
      </c>
      <c r="NB14" s="108"/>
      <c r="NC14" s="108"/>
      <c r="ND14" s="109"/>
      <c r="NE14" s="107" t="s">
        <v>1</v>
      </c>
      <c r="NF14" s="108"/>
      <c r="NG14" s="108"/>
      <c r="NH14" s="109"/>
      <c r="NI14" s="107" t="s">
        <v>1</v>
      </c>
      <c r="NJ14" s="108"/>
      <c r="NK14" s="108"/>
      <c r="NL14" s="109"/>
      <c r="NM14" s="107" t="s">
        <v>1</v>
      </c>
      <c r="NN14" s="108"/>
      <c r="NO14" s="108"/>
      <c r="NP14" s="109"/>
      <c r="NQ14" s="107" t="s">
        <v>1</v>
      </c>
      <c r="NR14" s="108"/>
      <c r="NS14" s="108"/>
      <c r="NT14" s="109"/>
      <c r="NU14" s="107" t="s">
        <v>1</v>
      </c>
      <c r="NV14" s="108"/>
      <c r="NW14" s="108"/>
      <c r="NX14" s="109"/>
      <c r="NY14" s="107" t="s">
        <v>1</v>
      </c>
      <c r="NZ14" s="108"/>
      <c r="OA14" s="108"/>
      <c r="OB14" s="109"/>
      <c r="OC14" s="107" t="s">
        <v>1</v>
      </c>
      <c r="OD14" s="108"/>
      <c r="OE14" s="108"/>
      <c r="OF14" s="109"/>
      <c r="OG14" s="107" t="s">
        <v>1</v>
      </c>
      <c r="OH14" s="108"/>
      <c r="OI14" s="108"/>
      <c r="OJ14" s="109"/>
      <c r="OK14" s="107" t="s">
        <v>1</v>
      </c>
      <c r="OL14" s="108"/>
      <c r="OM14" s="108"/>
      <c r="ON14" s="109"/>
      <c r="OO14" s="107" t="s">
        <v>1</v>
      </c>
      <c r="OP14" s="108"/>
      <c r="OQ14" s="108"/>
      <c r="OR14" s="109"/>
      <c r="OS14" s="107" t="s">
        <v>1</v>
      </c>
      <c r="OT14" s="108"/>
      <c r="OU14" s="108"/>
      <c r="OV14" s="109"/>
      <c r="OW14" s="107" t="s">
        <v>1</v>
      </c>
      <c r="OX14" s="108"/>
      <c r="OY14" s="108"/>
      <c r="OZ14" s="109"/>
      <c r="PA14" s="107" t="s">
        <v>1</v>
      </c>
      <c r="PB14" s="108"/>
      <c r="PC14" s="108"/>
      <c r="PD14" s="109"/>
      <c r="PE14" s="107" t="s">
        <v>1</v>
      </c>
      <c r="PF14" s="108"/>
      <c r="PG14" s="108"/>
      <c r="PH14" s="109"/>
      <c r="PI14" s="107" t="s">
        <v>1</v>
      </c>
      <c r="PJ14" s="108"/>
      <c r="PK14" s="108"/>
      <c r="PL14" s="109"/>
      <c r="PM14" s="107" t="s">
        <v>1</v>
      </c>
      <c r="PN14" s="108"/>
      <c r="PO14" s="108"/>
      <c r="PP14" s="109"/>
      <c r="PQ14" s="107" t="s">
        <v>1</v>
      </c>
      <c r="PR14" s="108"/>
      <c r="PS14" s="108"/>
      <c r="PT14" s="109"/>
      <c r="PU14" s="107" t="s">
        <v>1</v>
      </c>
      <c r="PV14" s="108"/>
      <c r="PW14" s="108"/>
      <c r="PX14" s="109"/>
      <c r="PY14" s="107" t="s">
        <v>1</v>
      </c>
      <c r="PZ14" s="108"/>
      <c r="QA14" s="108"/>
      <c r="QB14" s="109"/>
      <c r="QC14" s="107" t="s">
        <v>1</v>
      </c>
      <c r="QD14" s="108"/>
      <c r="QE14" s="108"/>
      <c r="QF14" s="109"/>
      <c r="QG14" s="107" t="s">
        <v>1</v>
      </c>
      <c r="QH14" s="108"/>
      <c r="QI14" s="108"/>
      <c r="QJ14" s="109"/>
      <c r="QK14" s="107" t="s">
        <v>1</v>
      </c>
      <c r="QL14" s="108"/>
      <c r="QM14" s="108"/>
      <c r="QN14" s="109"/>
      <c r="QO14" s="107" t="s">
        <v>1</v>
      </c>
      <c r="QP14" s="108"/>
      <c r="QQ14" s="108"/>
      <c r="QR14" s="109"/>
      <c r="QS14" s="107" t="s">
        <v>1</v>
      </c>
      <c r="QT14" s="108"/>
      <c r="QU14" s="108"/>
      <c r="QV14" s="109"/>
      <c r="QW14" s="107" t="s">
        <v>1</v>
      </c>
      <c r="QX14" s="108"/>
      <c r="QY14" s="108"/>
      <c r="QZ14" s="109"/>
      <c r="RA14" s="107" t="s">
        <v>1</v>
      </c>
      <c r="RB14" s="108"/>
      <c r="RC14" s="108"/>
      <c r="RD14" s="109"/>
      <c r="RE14" s="107" t="s">
        <v>1</v>
      </c>
      <c r="RF14" s="108"/>
      <c r="RG14" s="108"/>
      <c r="RH14" s="109"/>
      <c r="RI14" s="107" t="s">
        <v>1</v>
      </c>
      <c r="RJ14" s="108"/>
      <c r="RK14" s="108"/>
      <c r="RL14" s="109"/>
      <c r="RM14" s="107" t="s">
        <v>1</v>
      </c>
      <c r="RN14" s="108"/>
      <c r="RO14" s="108"/>
      <c r="RP14" s="109"/>
      <c r="RQ14" s="107" t="s">
        <v>1</v>
      </c>
      <c r="RR14" s="108"/>
      <c r="RS14" s="108"/>
      <c r="RT14" s="109"/>
      <c r="RU14" s="107" t="s">
        <v>1</v>
      </c>
      <c r="RV14" s="108"/>
      <c r="RW14" s="108"/>
      <c r="RX14" s="109"/>
      <c r="RY14" s="107" t="s">
        <v>1</v>
      </c>
      <c r="RZ14" s="108"/>
      <c r="SA14" s="108"/>
      <c r="SB14" s="109"/>
      <c r="SC14" s="107" t="s">
        <v>1</v>
      </c>
      <c r="SD14" s="108"/>
      <c r="SE14" s="108"/>
      <c r="SF14" s="109"/>
      <c r="SG14" s="107" t="s">
        <v>1</v>
      </c>
      <c r="SH14" s="108"/>
      <c r="SI14" s="108"/>
      <c r="SJ14" s="109"/>
      <c r="SK14" s="107" t="s">
        <v>1</v>
      </c>
      <c r="SL14" s="108"/>
      <c r="SM14" s="108"/>
      <c r="SN14" s="109"/>
      <c r="SO14" s="107" t="s">
        <v>1</v>
      </c>
      <c r="SP14" s="108"/>
      <c r="SQ14" s="108"/>
      <c r="SR14" s="109"/>
      <c r="SS14" s="107" t="s">
        <v>1</v>
      </c>
      <c r="ST14" s="108"/>
      <c r="SU14" s="108"/>
      <c r="SV14" s="109"/>
      <c r="SW14" s="107" t="s">
        <v>1</v>
      </c>
      <c r="SX14" s="108"/>
      <c r="SY14" s="108"/>
      <c r="SZ14" s="109"/>
      <c r="TA14" s="107" t="s">
        <v>1</v>
      </c>
      <c r="TB14" s="108"/>
      <c r="TC14" s="108"/>
      <c r="TD14" s="109"/>
      <c r="TE14" s="107" t="s">
        <v>1</v>
      </c>
      <c r="TF14" s="108"/>
      <c r="TG14" s="108"/>
      <c r="TH14" s="109"/>
      <c r="TI14" s="107" t="s">
        <v>1</v>
      </c>
      <c r="TJ14" s="108"/>
      <c r="TK14" s="108"/>
      <c r="TL14" s="109"/>
      <c r="TM14" s="107" t="s">
        <v>1</v>
      </c>
      <c r="TN14" s="108"/>
      <c r="TO14" s="108"/>
      <c r="TP14" s="109"/>
      <c r="TQ14" s="107" t="s">
        <v>1</v>
      </c>
      <c r="TR14" s="108"/>
      <c r="TS14" s="108"/>
      <c r="TT14" s="109"/>
      <c r="TU14" s="107" t="s">
        <v>1</v>
      </c>
      <c r="TV14" s="108"/>
      <c r="TW14" s="108"/>
      <c r="TX14" s="109"/>
      <c r="TY14" s="107" t="s">
        <v>1</v>
      </c>
      <c r="TZ14" s="108"/>
      <c r="UA14" s="108"/>
      <c r="UB14" s="109"/>
      <c r="UC14" s="107" t="s">
        <v>1</v>
      </c>
      <c r="UD14" s="108"/>
      <c r="UE14" s="108"/>
      <c r="UF14" s="109"/>
      <c r="UG14" s="107" t="s">
        <v>1</v>
      </c>
      <c r="UH14" s="108"/>
      <c r="UI14" s="108"/>
      <c r="UJ14" s="109"/>
      <c r="UK14" s="107" t="s">
        <v>1</v>
      </c>
      <c r="UL14" s="108"/>
      <c r="UM14" s="108"/>
      <c r="UN14" s="109"/>
      <c r="UO14" s="107" t="s">
        <v>1</v>
      </c>
      <c r="UP14" s="108"/>
      <c r="UQ14" s="108"/>
      <c r="UR14" s="109"/>
      <c r="US14" s="107" t="s">
        <v>1</v>
      </c>
      <c r="UT14" s="108"/>
      <c r="UU14" s="108"/>
      <c r="UV14" s="109"/>
      <c r="UW14" s="107" t="s">
        <v>1</v>
      </c>
      <c r="UX14" s="108"/>
      <c r="UY14" s="108"/>
      <c r="UZ14" s="109"/>
      <c r="VA14" s="107" t="s">
        <v>1</v>
      </c>
      <c r="VB14" s="108"/>
      <c r="VC14" s="108"/>
      <c r="VD14" s="109"/>
      <c r="VE14" s="107" t="s">
        <v>1</v>
      </c>
      <c r="VF14" s="108"/>
      <c r="VG14" s="108"/>
      <c r="VH14" s="109"/>
      <c r="VI14" s="107" t="s">
        <v>1</v>
      </c>
      <c r="VJ14" s="108"/>
      <c r="VK14" s="108"/>
      <c r="VL14" s="109"/>
      <c r="VM14" s="107" t="s">
        <v>1</v>
      </c>
      <c r="VN14" s="108"/>
      <c r="VO14" s="108"/>
      <c r="VP14" s="109"/>
      <c r="VQ14" s="107" t="s">
        <v>1</v>
      </c>
      <c r="VR14" s="108"/>
      <c r="VS14" s="108"/>
      <c r="VT14" s="109"/>
      <c r="VU14" s="107" t="s">
        <v>1</v>
      </c>
      <c r="VV14" s="108"/>
      <c r="VW14" s="108"/>
      <c r="VX14" s="109"/>
      <c r="VY14" s="107" t="s">
        <v>1</v>
      </c>
      <c r="VZ14" s="108"/>
      <c r="WA14" s="108"/>
      <c r="WB14" s="109"/>
      <c r="WC14" s="107" t="s">
        <v>1</v>
      </c>
      <c r="WD14" s="108"/>
      <c r="WE14" s="108"/>
      <c r="WF14" s="109"/>
      <c r="WG14" s="107" t="s">
        <v>1</v>
      </c>
      <c r="WH14" s="108"/>
      <c r="WI14" s="108"/>
      <c r="WJ14" s="109"/>
      <c r="WK14" s="107" t="s">
        <v>1</v>
      </c>
      <c r="WL14" s="108"/>
      <c r="WM14" s="108"/>
      <c r="WN14" s="109"/>
      <c r="WO14" s="107" t="s">
        <v>1</v>
      </c>
      <c r="WP14" s="108"/>
      <c r="WQ14" s="108"/>
      <c r="WR14" s="109"/>
      <c r="WS14" s="107" t="s">
        <v>1</v>
      </c>
      <c r="WT14" s="108"/>
      <c r="WU14" s="108"/>
      <c r="WV14" s="109"/>
      <c r="WW14" s="107" t="s">
        <v>1</v>
      </c>
      <c r="WX14" s="108"/>
      <c r="WY14" s="108"/>
      <c r="WZ14" s="109"/>
      <c r="XA14" s="107" t="s">
        <v>1</v>
      </c>
      <c r="XB14" s="108"/>
      <c r="XC14" s="108"/>
      <c r="XD14" s="109"/>
      <c r="XE14" s="107" t="s">
        <v>1</v>
      </c>
      <c r="XF14" s="108"/>
      <c r="XG14" s="108"/>
      <c r="XH14" s="109"/>
      <c r="XI14" s="107" t="s">
        <v>1</v>
      </c>
      <c r="XJ14" s="108"/>
      <c r="XK14" s="108"/>
      <c r="XL14" s="109"/>
      <c r="XM14" s="107" t="s">
        <v>1</v>
      </c>
      <c r="XN14" s="108"/>
      <c r="XO14" s="108"/>
      <c r="XP14" s="109"/>
      <c r="XQ14" s="107" t="s">
        <v>1</v>
      </c>
      <c r="XR14" s="108"/>
      <c r="XS14" s="108"/>
      <c r="XT14" s="109"/>
      <c r="XU14" s="107" t="s">
        <v>1</v>
      </c>
      <c r="XV14" s="108"/>
      <c r="XW14" s="108"/>
      <c r="XX14" s="109"/>
      <c r="XY14" s="107" t="s">
        <v>1</v>
      </c>
      <c r="XZ14" s="108"/>
      <c r="YA14" s="108"/>
      <c r="YB14" s="109"/>
      <c r="YC14" s="107" t="s">
        <v>1</v>
      </c>
      <c r="YD14" s="108"/>
      <c r="YE14" s="108"/>
      <c r="YF14" s="109"/>
      <c r="YG14" s="107" t="s">
        <v>1</v>
      </c>
      <c r="YH14" s="108"/>
      <c r="YI14" s="108"/>
      <c r="YJ14" s="109"/>
      <c r="YK14" s="107" t="s">
        <v>1</v>
      </c>
      <c r="YL14" s="108"/>
      <c r="YM14" s="108"/>
      <c r="YN14" s="109"/>
      <c r="YO14" s="107" t="s">
        <v>1</v>
      </c>
      <c r="YP14" s="108"/>
      <c r="YQ14" s="108"/>
      <c r="YR14" s="109"/>
      <c r="YS14" s="107" t="s">
        <v>1</v>
      </c>
      <c r="YT14" s="108"/>
      <c r="YU14" s="108"/>
      <c r="YV14" s="109"/>
      <c r="YW14" s="107" t="s">
        <v>1</v>
      </c>
      <c r="YX14" s="108"/>
      <c r="YY14" s="108"/>
      <c r="YZ14" s="109"/>
      <c r="ZA14" s="107" t="s">
        <v>1</v>
      </c>
      <c r="ZB14" s="108"/>
      <c r="ZC14" s="108"/>
      <c r="ZD14" s="109"/>
      <c r="ZE14" s="107" t="s">
        <v>1</v>
      </c>
      <c r="ZF14" s="108"/>
      <c r="ZG14" s="108"/>
      <c r="ZH14" s="109"/>
      <c r="ZI14" s="107" t="s">
        <v>1</v>
      </c>
      <c r="ZJ14" s="108"/>
      <c r="ZK14" s="108"/>
      <c r="ZL14" s="109"/>
      <c r="ZM14" s="107" t="s">
        <v>1</v>
      </c>
      <c r="ZN14" s="108"/>
      <c r="ZO14" s="108"/>
      <c r="ZP14" s="109"/>
      <c r="ZQ14" s="107" t="s">
        <v>1</v>
      </c>
      <c r="ZR14" s="108"/>
      <c r="ZS14" s="108"/>
      <c r="ZT14" s="109"/>
      <c r="ZU14" s="107" t="s">
        <v>1</v>
      </c>
      <c r="ZV14" s="108"/>
      <c r="ZW14" s="108"/>
      <c r="ZX14" s="109"/>
      <c r="ZY14" s="107" t="s">
        <v>1</v>
      </c>
      <c r="ZZ14" s="108"/>
      <c r="AAA14" s="108"/>
      <c r="AAB14" s="109"/>
      <c r="AAC14" s="107" t="s">
        <v>1</v>
      </c>
      <c r="AAD14" s="108"/>
      <c r="AAE14" s="108"/>
      <c r="AAF14" s="109"/>
      <c r="AAG14" s="107" t="s">
        <v>1</v>
      </c>
      <c r="AAH14" s="108"/>
      <c r="AAI14" s="108"/>
      <c r="AAJ14" s="109"/>
      <c r="AAK14" s="107" t="s">
        <v>1</v>
      </c>
      <c r="AAL14" s="108"/>
      <c r="AAM14" s="108"/>
      <c r="AAN14" s="109"/>
      <c r="AAO14" s="107" t="s">
        <v>1</v>
      </c>
      <c r="AAP14" s="108"/>
      <c r="AAQ14" s="108"/>
      <c r="AAR14" s="109"/>
      <c r="AAS14" s="107" t="s">
        <v>1</v>
      </c>
      <c r="AAT14" s="108"/>
      <c r="AAU14" s="108"/>
      <c r="AAV14" s="109"/>
      <c r="AAW14" s="107" t="s">
        <v>1</v>
      </c>
      <c r="AAX14" s="108"/>
      <c r="AAY14" s="108"/>
      <c r="AAZ14" s="109"/>
      <c r="ABA14" s="107" t="s">
        <v>1</v>
      </c>
      <c r="ABB14" s="108"/>
      <c r="ABC14" s="108"/>
      <c r="ABD14" s="109"/>
      <c r="ABE14" s="107" t="s">
        <v>1</v>
      </c>
      <c r="ABF14" s="108"/>
      <c r="ABG14" s="108"/>
      <c r="ABH14" s="109"/>
      <c r="ABI14" s="107" t="s">
        <v>1</v>
      </c>
      <c r="ABJ14" s="108"/>
      <c r="ABK14" s="108"/>
      <c r="ABL14" s="109"/>
      <c r="ABM14" s="107" t="s">
        <v>1</v>
      </c>
      <c r="ABN14" s="108"/>
      <c r="ABO14" s="108"/>
      <c r="ABP14" s="109"/>
      <c r="ABQ14" s="107" t="s">
        <v>1</v>
      </c>
      <c r="ABR14" s="108"/>
      <c r="ABS14" s="108"/>
      <c r="ABT14" s="109"/>
      <c r="ABU14" s="107" t="s">
        <v>1</v>
      </c>
      <c r="ABV14" s="108"/>
      <c r="ABW14" s="108"/>
      <c r="ABX14" s="109"/>
      <c r="ABY14" s="107" t="s">
        <v>1</v>
      </c>
      <c r="ABZ14" s="108"/>
      <c r="ACA14" s="108"/>
      <c r="ACB14" s="109"/>
      <c r="ACC14" s="107" t="s">
        <v>1</v>
      </c>
      <c r="ACD14" s="108"/>
      <c r="ACE14" s="108"/>
      <c r="ACF14" s="109"/>
      <c r="ACG14" s="107" t="s">
        <v>1</v>
      </c>
      <c r="ACH14" s="108"/>
      <c r="ACI14" s="108"/>
      <c r="ACJ14" s="109"/>
      <c r="ACK14" s="107" t="s">
        <v>1</v>
      </c>
      <c r="ACL14" s="108"/>
      <c r="ACM14" s="108"/>
      <c r="ACN14" s="109"/>
      <c r="ACO14" s="107" t="s">
        <v>1</v>
      </c>
      <c r="ACP14" s="108"/>
      <c r="ACQ14" s="108"/>
      <c r="ACR14" s="109"/>
      <c r="ACS14" s="107" t="s">
        <v>1</v>
      </c>
      <c r="ACT14" s="108"/>
      <c r="ACU14" s="108"/>
      <c r="ACV14" s="109"/>
      <c r="ACW14" s="107" t="s">
        <v>1</v>
      </c>
      <c r="ACX14" s="108"/>
      <c r="ACY14" s="108"/>
      <c r="ACZ14" s="109"/>
      <c r="ADA14" s="107" t="s">
        <v>1</v>
      </c>
      <c r="ADB14" s="108"/>
      <c r="ADC14" s="108"/>
      <c r="ADD14" s="109"/>
      <c r="ADE14" s="107" t="s">
        <v>1</v>
      </c>
      <c r="ADF14" s="108"/>
      <c r="ADG14" s="108"/>
      <c r="ADH14" s="109"/>
      <c r="ADI14" s="107" t="s">
        <v>1</v>
      </c>
      <c r="ADJ14" s="108"/>
      <c r="ADK14" s="108"/>
      <c r="ADL14" s="109"/>
      <c r="ADM14" s="107" t="s">
        <v>1</v>
      </c>
      <c r="ADN14" s="108"/>
      <c r="ADO14" s="108"/>
      <c r="ADP14" s="109"/>
      <c r="ADQ14" s="107" t="s">
        <v>1</v>
      </c>
      <c r="ADR14" s="108"/>
      <c r="ADS14" s="108"/>
      <c r="ADT14" s="109"/>
      <c r="ADU14" s="107" t="s">
        <v>1</v>
      </c>
      <c r="ADV14" s="108"/>
      <c r="ADW14" s="108"/>
      <c r="ADX14" s="109"/>
      <c r="ADY14" s="107" t="s">
        <v>1</v>
      </c>
      <c r="ADZ14" s="108"/>
      <c r="AEA14" s="108"/>
      <c r="AEB14" s="109"/>
      <c r="AEC14" s="107" t="s">
        <v>1</v>
      </c>
      <c r="AED14" s="108"/>
      <c r="AEE14" s="108"/>
      <c r="AEF14" s="109"/>
      <c r="AEG14" s="107" t="s">
        <v>1</v>
      </c>
      <c r="AEH14" s="108"/>
      <c r="AEI14" s="108"/>
      <c r="AEJ14" s="109"/>
      <c r="AEK14" s="107" t="s">
        <v>1</v>
      </c>
      <c r="AEL14" s="108"/>
      <c r="AEM14" s="108"/>
      <c r="AEN14" s="109"/>
      <c r="AEO14" s="107" t="s">
        <v>1</v>
      </c>
      <c r="AEP14" s="108"/>
      <c r="AEQ14" s="108"/>
      <c r="AER14" s="109"/>
      <c r="AES14" s="107" t="s">
        <v>1</v>
      </c>
      <c r="AET14" s="108"/>
      <c r="AEU14" s="108"/>
      <c r="AEV14" s="109"/>
      <c r="AEW14" s="107" t="s">
        <v>1</v>
      </c>
      <c r="AEX14" s="108"/>
      <c r="AEY14" s="108"/>
      <c r="AEZ14" s="109"/>
      <c r="AFA14" s="107" t="s">
        <v>1</v>
      </c>
      <c r="AFB14" s="108"/>
      <c r="AFC14" s="108"/>
      <c r="AFD14" s="109"/>
      <c r="AFE14" s="107" t="s">
        <v>1</v>
      </c>
      <c r="AFF14" s="108"/>
      <c r="AFG14" s="108"/>
      <c r="AFH14" s="109"/>
      <c r="AFI14" s="107" t="s">
        <v>1</v>
      </c>
      <c r="AFJ14" s="108"/>
      <c r="AFK14" s="108"/>
      <c r="AFL14" s="109"/>
      <c r="AFM14" s="107" t="s">
        <v>1</v>
      </c>
      <c r="AFN14" s="108"/>
      <c r="AFO14" s="108"/>
      <c r="AFP14" s="109"/>
      <c r="AFQ14" s="107" t="s">
        <v>1</v>
      </c>
      <c r="AFR14" s="108"/>
      <c r="AFS14" s="108"/>
      <c r="AFT14" s="109"/>
      <c r="AFU14" s="107" t="s">
        <v>1</v>
      </c>
      <c r="AFV14" s="108"/>
      <c r="AFW14" s="108"/>
      <c r="AFX14" s="109"/>
      <c r="AFY14" s="107" t="s">
        <v>1</v>
      </c>
      <c r="AFZ14" s="108"/>
      <c r="AGA14" s="108"/>
      <c r="AGB14" s="109"/>
      <c r="AGC14" s="107" t="s">
        <v>1</v>
      </c>
      <c r="AGD14" s="108"/>
      <c r="AGE14" s="108"/>
      <c r="AGF14" s="109"/>
      <c r="AGG14" s="107" t="s">
        <v>1</v>
      </c>
      <c r="AGH14" s="108"/>
      <c r="AGI14" s="108"/>
      <c r="AGJ14" s="109"/>
      <c r="AGK14" s="107" t="s">
        <v>1</v>
      </c>
      <c r="AGL14" s="108"/>
      <c r="AGM14" s="108"/>
      <c r="AGN14" s="109"/>
      <c r="AGO14" s="107" t="s">
        <v>1</v>
      </c>
      <c r="AGP14" s="108"/>
      <c r="AGQ14" s="108"/>
      <c r="AGR14" s="109"/>
      <c r="AGS14" s="107" t="s">
        <v>1</v>
      </c>
      <c r="AGT14" s="108"/>
      <c r="AGU14" s="108"/>
      <c r="AGV14" s="109"/>
      <c r="AGW14" s="107" t="s">
        <v>1</v>
      </c>
      <c r="AGX14" s="108"/>
      <c r="AGY14" s="108"/>
      <c r="AGZ14" s="109"/>
      <c r="AHA14" s="107" t="s">
        <v>1</v>
      </c>
      <c r="AHB14" s="108"/>
      <c r="AHC14" s="108"/>
      <c r="AHD14" s="109"/>
      <c r="AHE14" s="107" t="s">
        <v>1</v>
      </c>
      <c r="AHF14" s="108"/>
      <c r="AHG14" s="108"/>
      <c r="AHH14" s="109"/>
      <c r="AHI14" s="107" t="s">
        <v>1</v>
      </c>
      <c r="AHJ14" s="108"/>
      <c r="AHK14" s="108"/>
      <c r="AHL14" s="109"/>
      <c r="AHM14" s="107" t="s">
        <v>1</v>
      </c>
      <c r="AHN14" s="108"/>
      <c r="AHO14" s="108"/>
      <c r="AHP14" s="109"/>
      <c r="AHQ14" s="107" t="s">
        <v>1</v>
      </c>
      <c r="AHR14" s="108"/>
      <c r="AHS14" s="108"/>
      <c r="AHT14" s="109"/>
      <c r="AHU14" s="107" t="s">
        <v>1</v>
      </c>
      <c r="AHV14" s="108"/>
      <c r="AHW14" s="108"/>
      <c r="AHX14" s="109"/>
      <c r="AHY14" s="107" t="s">
        <v>1</v>
      </c>
      <c r="AHZ14" s="108"/>
      <c r="AIA14" s="108"/>
      <c r="AIB14" s="109"/>
      <c r="AIC14" s="107" t="s">
        <v>1</v>
      </c>
      <c r="AID14" s="108"/>
      <c r="AIE14" s="108"/>
      <c r="AIF14" s="109"/>
      <c r="AIG14" s="107" t="s">
        <v>1</v>
      </c>
      <c r="AIH14" s="108"/>
      <c r="AII14" s="108"/>
      <c r="AIJ14" s="109"/>
      <c r="AIK14" s="107" t="s">
        <v>1</v>
      </c>
      <c r="AIL14" s="108"/>
      <c r="AIM14" s="108"/>
      <c r="AIN14" s="109"/>
      <c r="AIO14" s="107" t="s">
        <v>1</v>
      </c>
      <c r="AIP14" s="108"/>
      <c r="AIQ14" s="108"/>
      <c r="AIR14" s="109"/>
      <c r="AIS14" s="107" t="s">
        <v>1</v>
      </c>
      <c r="AIT14" s="108"/>
      <c r="AIU14" s="108"/>
      <c r="AIV14" s="109"/>
      <c r="AIW14" s="107" t="s">
        <v>1</v>
      </c>
      <c r="AIX14" s="108"/>
      <c r="AIY14" s="108"/>
      <c r="AIZ14" s="109"/>
      <c r="AJA14" s="107" t="s">
        <v>1</v>
      </c>
      <c r="AJB14" s="108"/>
      <c r="AJC14" s="108"/>
      <c r="AJD14" s="109"/>
      <c r="AJE14" s="107" t="s">
        <v>1</v>
      </c>
      <c r="AJF14" s="108"/>
      <c r="AJG14" s="108"/>
      <c r="AJH14" s="109"/>
      <c r="AJI14" s="107" t="s">
        <v>1</v>
      </c>
      <c r="AJJ14" s="108"/>
      <c r="AJK14" s="108"/>
      <c r="AJL14" s="109"/>
      <c r="AJM14" s="107" t="s">
        <v>1</v>
      </c>
      <c r="AJN14" s="108"/>
      <c r="AJO14" s="108"/>
      <c r="AJP14" s="109"/>
      <c r="AJQ14" s="107" t="s">
        <v>1</v>
      </c>
      <c r="AJR14" s="108"/>
      <c r="AJS14" s="108"/>
      <c r="AJT14" s="109"/>
      <c r="AJU14" s="107" t="s">
        <v>1</v>
      </c>
      <c r="AJV14" s="108"/>
      <c r="AJW14" s="108"/>
      <c r="AJX14" s="109"/>
      <c r="AJY14" s="107" t="s">
        <v>1</v>
      </c>
      <c r="AJZ14" s="108"/>
      <c r="AKA14" s="108"/>
      <c r="AKB14" s="109"/>
      <c r="AKC14" s="107" t="s">
        <v>1</v>
      </c>
      <c r="AKD14" s="108"/>
      <c r="AKE14" s="108"/>
      <c r="AKF14" s="109"/>
      <c r="AKG14" s="107" t="s">
        <v>1</v>
      </c>
      <c r="AKH14" s="108"/>
      <c r="AKI14" s="108"/>
      <c r="AKJ14" s="109"/>
      <c r="AKK14" s="107" t="s">
        <v>1</v>
      </c>
      <c r="AKL14" s="108"/>
      <c r="AKM14" s="108"/>
      <c r="AKN14" s="109"/>
      <c r="AKO14" s="107" t="s">
        <v>1</v>
      </c>
      <c r="AKP14" s="108"/>
      <c r="AKQ14" s="108"/>
      <c r="AKR14" s="109"/>
      <c r="AKS14" s="107" t="s">
        <v>1</v>
      </c>
      <c r="AKT14" s="108"/>
      <c r="AKU14" s="108"/>
      <c r="AKV14" s="109"/>
      <c r="AKW14" s="107" t="s">
        <v>1</v>
      </c>
      <c r="AKX14" s="108"/>
      <c r="AKY14" s="108"/>
      <c r="AKZ14" s="109"/>
      <c r="ALA14" s="107" t="s">
        <v>1</v>
      </c>
      <c r="ALB14" s="108"/>
      <c r="ALC14" s="108"/>
      <c r="ALD14" s="109"/>
      <c r="ALE14" s="107" t="s">
        <v>1</v>
      </c>
      <c r="ALF14" s="108"/>
      <c r="ALG14" s="108"/>
      <c r="ALH14" s="109"/>
      <c r="ALI14" s="107" t="s">
        <v>1</v>
      </c>
      <c r="ALJ14" s="108"/>
      <c r="ALK14" s="108"/>
      <c r="ALL14" s="109"/>
      <c r="ALM14" s="107" t="s">
        <v>1</v>
      </c>
      <c r="ALN14" s="108"/>
      <c r="ALO14" s="108"/>
      <c r="ALP14" s="109"/>
      <c r="ALQ14" s="107" t="s">
        <v>1</v>
      </c>
      <c r="ALR14" s="108"/>
      <c r="ALS14" s="108"/>
      <c r="ALT14" s="109"/>
      <c r="ALU14" s="107" t="s">
        <v>1</v>
      </c>
      <c r="ALV14" s="108"/>
      <c r="ALW14" s="108"/>
      <c r="ALX14" s="109"/>
      <c r="ALY14" s="107" t="s">
        <v>1</v>
      </c>
      <c r="ALZ14" s="108"/>
      <c r="AMA14" s="108"/>
      <c r="AMB14" s="109"/>
      <c r="AMC14" s="107" t="s">
        <v>1</v>
      </c>
      <c r="AMD14" s="108"/>
      <c r="AME14" s="108"/>
      <c r="AMF14" s="109"/>
      <c r="AMG14" s="107" t="s">
        <v>1</v>
      </c>
      <c r="AMH14" s="108"/>
      <c r="AMI14" s="108"/>
      <c r="AMJ14" s="109"/>
      <c r="AMK14" s="107" t="s">
        <v>1</v>
      </c>
      <c r="AML14" s="108"/>
      <c r="AMM14" s="108"/>
      <c r="AMN14" s="109"/>
      <c r="AMO14" s="107" t="s">
        <v>1</v>
      </c>
      <c r="AMP14" s="108"/>
      <c r="AMQ14" s="108"/>
      <c r="AMR14" s="109"/>
      <c r="AMS14" s="107" t="s">
        <v>1</v>
      </c>
      <c r="AMT14" s="108"/>
      <c r="AMU14" s="108"/>
      <c r="AMV14" s="109"/>
      <c r="AMW14" s="107" t="s">
        <v>1</v>
      </c>
      <c r="AMX14" s="108"/>
      <c r="AMY14" s="108"/>
      <c r="AMZ14" s="109"/>
      <c r="ANA14" s="107" t="s">
        <v>1</v>
      </c>
      <c r="ANB14" s="108"/>
      <c r="ANC14" s="108"/>
      <c r="AND14" s="109"/>
      <c r="ANE14" s="107" t="s">
        <v>1</v>
      </c>
      <c r="ANF14" s="108"/>
      <c r="ANG14" s="108"/>
      <c r="ANH14" s="109"/>
      <c r="ANI14" s="107" t="s">
        <v>1</v>
      </c>
      <c r="ANJ14" s="108"/>
      <c r="ANK14" s="108"/>
      <c r="ANL14" s="109"/>
      <c r="ANM14" s="107" t="s">
        <v>1</v>
      </c>
      <c r="ANN14" s="108"/>
      <c r="ANO14" s="108"/>
      <c r="ANP14" s="109"/>
      <c r="ANQ14" s="107" t="s">
        <v>1</v>
      </c>
      <c r="ANR14" s="108"/>
      <c r="ANS14" s="108"/>
      <c r="ANT14" s="109"/>
      <c r="ANU14" s="107" t="s">
        <v>1</v>
      </c>
      <c r="ANV14" s="108"/>
      <c r="ANW14" s="108"/>
      <c r="ANX14" s="109"/>
      <c r="ANY14" s="107" t="s">
        <v>1</v>
      </c>
      <c r="ANZ14" s="108"/>
      <c r="AOA14" s="108"/>
      <c r="AOB14" s="109"/>
      <c r="AOC14" s="107" t="s">
        <v>1</v>
      </c>
      <c r="AOD14" s="108"/>
      <c r="AOE14" s="108"/>
      <c r="AOF14" s="109"/>
      <c r="AOG14" s="107" t="s">
        <v>1</v>
      </c>
      <c r="AOH14" s="108"/>
      <c r="AOI14" s="108"/>
      <c r="AOJ14" s="109"/>
      <c r="AOK14" s="107" t="s">
        <v>1</v>
      </c>
      <c r="AOL14" s="108"/>
      <c r="AOM14" s="108"/>
      <c r="AON14" s="109"/>
      <c r="AOO14" s="107" t="s">
        <v>1</v>
      </c>
      <c r="AOP14" s="108"/>
      <c r="AOQ14" s="108"/>
      <c r="AOR14" s="109"/>
      <c r="AOS14" s="107" t="s">
        <v>1</v>
      </c>
      <c r="AOT14" s="108"/>
      <c r="AOU14" s="108"/>
      <c r="AOV14" s="109"/>
      <c r="AOW14" s="107" t="s">
        <v>1</v>
      </c>
      <c r="AOX14" s="108"/>
      <c r="AOY14" s="108"/>
      <c r="AOZ14" s="109"/>
      <c r="APA14" s="107" t="s">
        <v>1</v>
      </c>
      <c r="APB14" s="108"/>
      <c r="APC14" s="108"/>
      <c r="APD14" s="109"/>
      <c r="APE14" s="107" t="s">
        <v>1</v>
      </c>
      <c r="APF14" s="108"/>
      <c r="APG14" s="108"/>
      <c r="APH14" s="109"/>
      <c r="API14" s="107" t="s">
        <v>1</v>
      </c>
      <c r="APJ14" s="108"/>
      <c r="APK14" s="108"/>
      <c r="APL14" s="109"/>
      <c r="APM14" s="107" t="s">
        <v>1</v>
      </c>
      <c r="APN14" s="108"/>
      <c r="APO14" s="108"/>
      <c r="APP14" s="109"/>
      <c r="APQ14" s="107" t="s">
        <v>1</v>
      </c>
      <c r="APR14" s="108"/>
      <c r="APS14" s="108"/>
      <c r="APT14" s="109"/>
      <c r="APU14" s="107" t="s">
        <v>1</v>
      </c>
      <c r="APV14" s="108"/>
      <c r="APW14" s="108"/>
      <c r="APX14" s="109"/>
      <c r="APY14" s="107" t="s">
        <v>1</v>
      </c>
      <c r="APZ14" s="108"/>
      <c r="AQA14" s="108"/>
      <c r="AQB14" s="109"/>
      <c r="AQC14" s="107" t="s">
        <v>1</v>
      </c>
      <c r="AQD14" s="108"/>
      <c r="AQE14" s="108"/>
      <c r="AQF14" s="109"/>
      <c r="AQG14" s="107" t="s">
        <v>1</v>
      </c>
      <c r="AQH14" s="108"/>
      <c r="AQI14" s="108"/>
      <c r="AQJ14" s="109"/>
      <c r="AQK14" s="107" t="s">
        <v>1</v>
      </c>
      <c r="AQL14" s="108"/>
      <c r="AQM14" s="108"/>
      <c r="AQN14" s="109"/>
      <c r="AQO14" s="107" t="s">
        <v>1</v>
      </c>
      <c r="AQP14" s="108"/>
      <c r="AQQ14" s="108"/>
      <c r="AQR14" s="109"/>
      <c r="AQS14" s="107" t="s">
        <v>1</v>
      </c>
      <c r="AQT14" s="108"/>
      <c r="AQU14" s="108"/>
      <c r="AQV14" s="109"/>
      <c r="AQW14" s="107" t="s">
        <v>1</v>
      </c>
      <c r="AQX14" s="108"/>
      <c r="AQY14" s="108"/>
      <c r="AQZ14" s="109"/>
      <c r="ARA14" s="107" t="s">
        <v>1</v>
      </c>
      <c r="ARB14" s="108"/>
      <c r="ARC14" s="108"/>
      <c r="ARD14" s="109"/>
      <c r="ARE14" s="107" t="s">
        <v>1</v>
      </c>
      <c r="ARF14" s="108"/>
      <c r="ARG14" s="108"/>
      <c r="ARH14" s="109"/>
      <c r="ARI14" s="107" t="s">
        <v>1</v>
      </c>
      <c r="ARJ14" s="108"/>
      <c r="ARK14" s="108"/>
      <c r="ARL14" s="109"/>
      <c r="ARM14" s="107" t="s">
        <v>1</v>
      </c>
      <c r="ARN14" s="108"/>
      <c r="ARO14" s="108"/>
      <c r="ARP14" s="109"/>
      <c r="ARQ14" s="107" t="s">
        <v>1</v>
      </c>
      <c r="ARR14" s="108"/>
      <c r="ARS14" s="108"/>
      <c r="ART14" s="109"/>
      <c r="ARU14" s="107" t="s">
        <v>1</v>
      </c>
      <c r="ARV14" s="108"/>
      <c r="ARW14" s="108"/>
      <c r="ARX14" s="109"/>
      <c r="ARY14" s="107" t="s">
        <v>1</v>
      </c>
      <c r="ARZ14" s="108"/>
      <c r="ASA14" s="108"/>
      <c r="ASB14" s="109"/>
      <c r="ASC14" s="107" t="s">
        <v>1</v>
      </c>
      <c r="ASD14" s="108"/>
      <c r="ASE14" s="108"/>
      <c r="ASF14" s="109"/>
      <c r="ASG14" s="107" t="s">
        <v>1</v>
      </c>
      <c r="ASH14" s="108"/>
      <c r="ASI14" s="108"/>
      <c r="ASJ14" s="109"/>
      <c r="ASK14" s="107" t="s">
        <v>1</v>
      </c>
      <c r="ASL14" s="108"/>
      <c r="ASM14" s="108"/>
      <c r="ASN14" s="109"/>
      <c r="ASO14" s="107" t="s">
        <v>1</v>
      </c>
      <c r="ASP14" s="108"/>
      <c r="ASQ14" s="108"/>
      <c r="ASR14" s="109"/>
      <c r="ASS14" s="107" t="s">
        <v>1</v>
      </c>
      <c r="AST14" s="108"/>
      <c r="ASU14" s="108"/>
      <c r="ASV14" s="109"/>
      <c r="ASW14" s="107" t="s">
        <v>1</v>
      </c>
      <c r="ASX14" s="108"/>
      <c r="ASY14" s="108"/>
      <c r="ASZ14" s="109"/>
      <c r="ATA14" s="107" t="s">
        <v>1</v>
      </c>
      <c r="ATB14" s="108"/>
      <c r="ATC14" s="108"/>
      <c r="ATD14" s="109"/>
      <c r="ATE14" s="107" t="s">
        <v>1</v>
      </c>
      <c r="ATF14" s="108"/>
      <c r="ATG14" s="108"/>
      <c r="ATH14" s="109"/>
      <c r="ATI14" s="107" t="s">
        <v>1</v>
      </c>
      <c r="ATJ14" s="108"/>
      <c r="ATK14" s="108"/>
      <c r="ATL14" s="109"/>
      <c r="ATM14" s="107" t="s">
        <v>1</v>
      </c>
      <c r="ATN14" s="108"/>
      <c r="ATO14" s="108"/>
      <c r="ATP14" s="109"/>
      <c r="ATQ14" s="107" t="s">
        <v>1</v>
      </c>
      <c r="ATR14" s="108"/>
      <c r="ATS14" s="108"/>
      <c r="ATT14" s="109"/>
      <c r="ATU14" s="107" t="s">
        <v>1</v>
      </c>
      <c r="ATV14" s="108"/>
      <c r="ATW14" s="108"/>
      <c r="ATX14" s="109"/>
      <c r="ATY14" s="107" t="s">
        <v>1</v>
      </c>
      <c r="ATZ14" s="108"/>
      <c r="AUA14" s="108"/>
      <c r="AUB14" s="109"/>
      <c r="AUC14" s="107" t="s">
        <v>1</v>
      </c>
      <c r="AUD14" s="108"/>
      <c r="AUE14" s="108"/>
      <c r="AUF14" s="109"/>
      <c r="AUG14" s="107" t="s">
        <v>1</v>
      </c>
      <c r="AUH14" s="108"/>
      <c r="AUI14" s="108"/>
      <c r="AUJ14" s="109"/>
      <c r="AUK14" s="107" t="s">
        <v>1</v>
      </c>
      <c r="AUL14" s="108"/>
      <c r="AUM14" s="108"/>
      <c r="AUN14" s="109"/>
      <c r="AUO14" s="107" t="s">
        <v>1</v>
      </c>
      <c r="AUP14" s="108"/>
      <c r="AUQ14" s="108"/>
      <c r="AUR14" s="109"/>
      <c r="AUS14" s="107" t="s">
        <v>1</v>
      </c>
      <c r="AUT14" s="108"/>
      <c r="AUU14" s="108"/>
      <c r="AUV14" s="109"/>
      <c r="AUW14" s="107" t="s">
        <v>1</v>
      </c>
      <c r="AUX14" s="108"/>
      <c r="AUY14" s="108"/>
      <c r="AUZ14" s="109"/>
      <c r="AVA14" s="107" t="s">
        <v>1</v>
      </c>
      <c r="AVB14" s="108"/>
      <c r="AVC14" s="108"/>
      <c r="AVD14" s="109"/>
      <c r="AVE14" s="107" t="s">
        <v>1</v>
      </c>
      <c r="AVF14" s="108"/>
      <c r="AVG14" s="108"/>
      <c r="AVH14" s="109"/>
      <c r="AVI14" s="107" t="s">
        <v>1</v>
      </c>
      <c r="AVJ14" s="108"/>
      <c r="AVK14" s="108"/>
      <c r="AVL14" s="109"/>
      <c r="AVM14" s="107" t="s">
        <v>1</v>
      </c>
      <c r="AVN14" s="108"/>
      <c r="AVO14" s="108"/>
      <c r="AVP14" s="109"/>
      <c r="AVQ14" s="107" t="s">
        <v>1</v>
      </c>
      <c r="AVR14" s="108"/>
      <c r="AVS14" s="108"/>
      <c r="AVT14" s="109"/>
      <c r="AVU14" s="107" t="s">
        <v>1</v>
      </c>
      <c r="AVV14" s="108"/>
      <c r="AVW14" s="108"/>
      <c r="AVX14" s="109"/>
      <c r="AVY14" s="107" t="s">
        <v>1</v>
      </c>
      <c r="AVZ14" s="108"/>
      <c r="AWA14" s="108"/>
      <c r="AWB14" s="109"/>
      <c r="AWC14" s="107" t="s">
        <v>1</v>
      </c>
      <c r="AWD14" s="108"/>
      <c r="AWE14" s="108"/>
      <c r="AWF14" s="109"/>
      <c r="AWG14" s="107" t="s">
        <v>1</v>
      </c>
      <c r="AWH14" s="108"/>
      <c r="AWI14" s="108"/>
      <c r="AWJ14" s="109"/>
      <c r="AWK14" s="107" t="s">
        <v>1</v>
      </c>
      <c r="AWL14" s="108"/>
      <c r="AWM14" s="108"/>
      <c r="AWN14" s="109"/>
      <c r="AWO14" s="107" t="s">
        <v>1</v>
      </c>
      <c r="AWP14" s="108"/>
      <c r="AWQ14" s="108"/>
      <c r="AWR14" s="109"/>
      <c r="AWS14" s="107" t="s">
        <v>1</v>
      </c>
      <c r="AWT14" s="108"/>
      <c r="AWU14" s="108"/>
      <c r="AWV14" s="109"/>
      <c r="AWW14" s="107" t="s">
        <v>1</v>
      </c>
      <c r="AWX14" s="108"/>
      <c r="AWY14" s="108"/>
      <c r="AWZ14" s="109"/>
      <c r="AXA14" s="107" t="s">
        <v>1</v>
      </c>
      <c r="AXB14" s="108"/>
      <c r="AXC14" s="108"/>
      <c r="AXD14" s="109"/>
      <c r="AXE14" s="107" t="s">
        <v>1</v>
      </c>
      <c r="AXF14" s="108"/>
      <c r="AXG14" s="108"/>
      <c r="AXH14" s="109"/>
      <c r="AXI14" s="107" t="s">
        <v>1</v>
      </c>
      <c r="AXJ14" s="108"/>
      <c r="AXK14" s="108"/>
      <c r="AXL14" s="109"/>
      <c r="AXM14" s="107" t="s">
        <v>1</v>
      </c>
      <c r="AXN14" s="108"/>
      <c r="AXO14" s="108"/>
      <c r="AXP14" s="109"/>
      <c r="AXQ14" s="107" t="s">
        <v>1</v>
      </c>
      <c r="AXR14" s="108"/>
      <c r="AXS14" s="108"/>
      <c r="AXT14" s="109"/>
      <c r="AXU14" s="107" t="s">
        <v>1</v>
      </c>
      <c r="AXV14" s="108"/>
      <c r="AXW14" s="108"/>
      <c r="AXX14" s="109"/>
      <c r="AXY14" s="107" t="s">
        <v>1</v>
      </c>
      <c r="AXZ14" s="108"/>
      <c r="AYA14" s="108"/>
      <c r="AYB14" s="109"/>
      <c r="AYC14" s="107" t="s">
        <v>1</v>
      </c>
      <c r="AYD14" s="108"/>
      <c r="AYE14" s="108"/>
      <c r="AYF14" s="109"/>
      <c r="AYG14" s="107" t="s">
        <v>1</v>
      </c>
      <c r="AYH14" s="108"/>
      <c r="AYI14" s="108"/>
      <c r="AYJ14" s="109"/>
      <c r="AYK14" s="107" t="s">
        <v>1</v>
      </c>
      <c r="AYL14" s="108"/>
      <c r="AYM14" s="108"/>
      <c r="AYN14" s="109"/>
      <c r="AYO14" s="107" t="s">
        <v>1</v>
      </c>
      <c r="AYP14" s="108"/>
      <c r="AYQ14" s="108"/>
      <c r="AYR14" s="109"/>
      <c r="AYS14" s="107" t="s">
        <v>1</v>
      </c>
      <c r="AYT14" s="108"/>
      <c r="AYU14" s="108"/>
      <c r="AYV14" s="109"/>
      <c r="AYW14" s="107" t="s">
        <v>1</v>
      </c>
      <c r="AYX14" s="108"/>
      <c r="AYY14" s="108"/>
      <c r="AYZ14" s="109"/>
      <c r="AZA14" s="107" t="s">
        <v>1</v>
      </c>
      <c r="AZB14" s="108"/>
      <c r="AZC14" s="108"/>
      <c r="AZD14" s="109"/>
      <c r="AZE14" s="107" t="s">
        <v>1</v>
      </c>
      <c r="AZF14" s="108"/>
      <c r="AZG14" s="108"/>
      <c r="AZH14" s="109"/>
      <c r="AZI14" s="107" t="s">
        <v>1</v>
      </c>
      <c r="AZJ14" s="108"/>
      <c r="AZK14" s="108"/>
      <c r="AZL14" s="109"/>
      <c r="AZM14" s="107" t="s">
        <v>1</v>
      </c>
      <c r="AZN14" s="108"/>
      <c r="AZO14" s="108"/>
      <c r="AZP14" s="109"/>
      <c r="AZQ14" s="107" t="s">
        <v>1</v>
      </c>
      <c r="AZR14" s="108"/>
      <c r="AZS14" s="108"/>
      <c r="AZT14" s="109"/>
      <c r="AZU14" s="107" t="s">
        <v>1</v>
      </c>
      <c r="AZV14" s="108"/>
      <c r="AZW14" s="108"/>
      <c r="AZX14" s="109"/>
      <c r="AZY14" s="107" t="s">
        <v>1</v>
      </c>
      <c r="AZZ14" s="108"/>
      <c r="BAA14" s="108"/>
      <c r="BAB14" s="109"/>
      <c r="BAC14" s="107" t="s">
        <v>1</v>
      </c>
      <c r="BAD14" s="108"/>
      <c r="BAE14" s="108"/>
      <c r="BAF14" s="109"/>
      <c r="BAG14" s="107" t="s">
        <v>1</v>
      </c>
      <c r="BAH14" s="108"/>
      <c r="BAI14" s="108"/>
      <c r="BAJ14" s="109"/>
      <c r="BAK14" s="107" t="s">
        <v>1</v>
      </c>
      <c r="BAL14" s="108"/>
      <c r="BAM14" s="108"/>
      <c r="BAN14" s="109"/>
      <c r="BAO14" s="107" t="s">
        <v>1</v>
      </c>
      <c r="BAP14" s="108"/>
      <c r="BAQ14" s="108"/>
      <c r="BAR14" s="109"/>
      <c r="BAS14" s="107" t="s">
        <v>1</v>
      </c>
      <c r="BAT14" s="108"/>
      <c r="BAU14" s="108"/>
      <c r="BAV14" s="109"/>
      <c r="BAW14" s="107" t="s">
        <v>1</v>
      </c>
      <c r="BAX14" s="108"/>
      <c r="BAY14" s="108"/>
      <c r="BAZ14" s="109"/>
      <c r="BBA14" s="107" t="s">
        <v>1</v>
      </c>
      <c r="BBB14" s="108"/>
      <c r="BBC14" s="108"/>
      <c r="BBD14" s="109"/>
      <c r="BBE14" s="107" t="s">
        <v>1</v>
      </c>
      <c r="BBF14" s="108"/>
      <c r="BBG14" s="108"/>
      <c r="BBH14" s="109"/>
      <c r="BBI14" s="107" t="s">
        <v>1</v>
      </c>
      <c r="BBJ14" s="108"/>
      <c r="BBK14" s="108"/>
      <c r="BBL14" s="109"/>
      <c r="BBM14" s="107" t="s">
        <v>1</v>
      </c>
      <c r="BBN14" s="108"/>
      <c r="BBO14" s="108"/>
      <c r="BBP14" s="109"/>
      <c r="BBQ14" s="107" t="s">
        <v>1</v>
      </c>
      <c r="BBR14" s="108"/>
      <c r="BBS14" s="108"/>
      <c r="BBT14" s="109"/>
      <c r="BBU14" s="107" t="s">
        <v>1</v>
      </c>
      <c r="BBV14" s="108"/>
      <c r="BBW14" s="108"/>
      <c r="BBX14" s="109"/>
      <c r="BBY14" s="107" t="s">
        <v>1</v>
      </c>
      <c r="BBZ14" s="108"/>
      <c r="BCA14" s="108"/>
      <c r="BCB14" s="109"/>
      <c r="BCC14" s="107" t="s">
        <v>1</v>
      </c>
      <c r="BCD14" s="108"/>
      <c r="BCE14" s="108"/>
      <c r="BCF14" s="109"/>
      <c r="BCG14" s="107" t="s">
        <v>1</v>
      </c>
      <c r="BCH14" s="108"/>
      <c r="BCI14" s="108"/>
      <c r="BCJ14" s="109"/>
      <c r="BCK14" s="107" t="s">
        <v>1</v>
      </c>
      <c r="BCL14" s="108"/>
      <c r="BCM14" s="108"/>
      <c r="BCN14" s="109"/>
      <c r="BCO14" s="107" t="s">
        <v>1</v>
      </c>
      <c r="BCP14" s="108"/>
      <c r="BCQ14" s="108"/>
      <c r="BCR14" s="109"/>
      <c r="BCS14" s="107" t="s">
        <v>1</v>
      </c>
      <c r="BCT14" s="108"/>
      <c r="BCU14" s="108"/>
      <c r="BCV14" s="109"/>
      <c r="BCW14" s="107" t="s">
        <v>1</v>
      </c>
      <c r="BCX14" s="108"/>
      <c r="BCY14" s="108"/>
      <c r="BCZ14" s="109"/>
      <c r="BDA14" s="107" t="s">
        <v>1</v>
      </c>
      <c r="BDB14" s="108"/>
      <c r="BDC14" s="108"/>
      <c r="BDD14" s="109"/>
      <c r="BDE14" s="107" t="s">
        <v>1</v>
      </c>
      <c r="BDF14" s="108"/>
      <c r="BDG14" s="108"/>
      <c r="BDH14" s="109"/>
      <c r="BDI14" s="107" t="s">
        <v>1</v>
      </c>
      <c r="BDJ14" s="108"/>
      <c r="BDK14" s="108"/>
      <c r="BDL14" s="109"/>
      <c r="BDM14" s="107" t="s">
        <v>1</v>
      </c>
      <c r="BDN14" s="108"/>
      <c r="BDO14" s="108"/>
      <c r="BDP14" s="109"/>
      <c r="BDQ14" s="107" t="s">
        <v>1</v>
      </c>
      <c r="BDR14" s="108"/>
      <c r="BDS14" s="108"/>
      <c r="BDT14" s="109"/>
      <c r="BDU14" s="107" t="s">
        <v>1</v>
      </c>
      <c r="BDV14" s="108"/>
      <c r="BDW14" s="108"/>
      <c r="BDX14" s="109"/>
      <c r="BDY14" s="107" t="s">
        <v>1</v>
      </c>
      <c r="BDZ14" s="108"/>
      <c r="BEA14" s="108"/>
      <c r="BEB14" s="109"/>
      <c r="BEC14" s="107" t="s">
        <v>1</v>
      </c>
      <c r="BED14" s="108"/>
      <c r="BEE14" s="108"/>
      <c r="BEF14" s="109"/>
      <c r="BEG14" s="107" t="s">
        <v>1</v>
      </c>
      <c r="BEH14" s="108"/>
      <c r="BEI14" s="108"/>
      <c r="BEJ14" s="109"/>
      <c r="BEK14" s="107" t="s">
        <v>1</v>
      </c>
      <c r="BEL14" s="108"/>
      <c r="BEM14" s="108"/>
      <c r="BEN14" s="109"/>
      <c r="BEO14" s="107" t="s">
        <v>1</v>
      </c>
      <c r="BEP14" s="108"/>
      <c r="BEQ14" s="108"/>
      <c r="BER14" s="109"/>
      <c r="BES14" s="107" t="s">
        <v>1</v>
      </c>
      <c r="BET14" s="108"/>
      <c r="BEU14" s="108"/>
      <c r="BEV14" s="109"/>
      <c r="BEW14" s="107" t="s">
        <v>1</v>
      </c>
      <c r="BEX14" s="108"/>
      <c r="BEY14" s="108"/>
      <c r="BEZ14" s="109"/>
      <c r="BFA14" s="107" t="s">
        <v>1</v>
      </c>
      <c r="BFB14" s="108"/>
      <c r="BFC14" s="108"/>
      <c r="BFD14" s="109"/>
      <c r="BFE14" s="107" t="s">
        <v>1</v>
      </c>
      <c r="BFF14" s="108"/>
      <c r="BFG14" s="108"/>
      <c r="BFH14" s="109"/>
      <c r="BFI14" s="107" t="s">
        <v>1</v>
      </c>
      <c r="BFJ14" s="108"/>
      <c r="BFK14" s="108"/>
      <c r="BFL14" s="109"/>
      <c r="BFM14" s="107" t="s">
        <v>1</v>
      </c>
      <c r="BFN14" s="108"/>
      <c r="BFO14" s="108"/>
      <c r="BFP14" s="109"/>
      <c r="BFQ14" s="107" t="s">
        <v>1</v>
      </c>
      <c r="BFR14" s="108"/>
      <c r="BFS14" s="108"/>
      <c r="BFT14" s="109"/>
      <c r="BFU14" s="107" t="s">
        <v>1</v>
      </c>
      <c r="BFV14" s="108"/>
      <c r="BFW14" s="108"/>
      <c r="BFX14" s="109"/>
      <c r="BFY14" s="107" t="s">
        <v>1</v>
      </c>
      <c r="BFZ14" s="108"/>
      <c r="BGA14" s="108"/>
      <c r="BGB14" s="109"/>
      <c r="BGC14" s="107" t="s">
        <v>1</v>
      </c>
      <c r="BGD14" s="108"/>
      <c r="BGE14" s="108"/>
      <c r="BGF14" s="109"/>
      <c r="BGG14" s="107" t="s">
        <v>1</v>
      </c>
      <c r="BGH14" s="108"/>
      <c r="BGI14" s="108"/>
      <c r="BGJ14" s="109"/>
      <c r="BGK14" s="107" t="s">
        <v>1</v>
      </c>
      <c r="BGL14" s="108"/>
      <c r="BGM14" s="108"/>
      <c r="BGN14" s="109"/>
      <c r="BGO14" s="107" t="s">
        <v>1</v>
      </c>
      <c r="BGP14" s="108"/>
      <c r="BGQ14" s="108"/>
      <c r="BGR14" s="109"/>
      <c r="BGS14" s="107" t="s">
        <v>1</v>
      </c>
      <c r="BGT14" s="108"/>
      <c r="BGU14" s="108"/>
      <c r="BGV14" s="109"/>
      <c r="BGW14" s="107" t="s">
        <v>1</v>
      </c>
      <c r="BGX14" s="108"/>
      <c r="BGY14" s="108"/>
      <c r="BGZ14" s="109"/>
      <c r="BHA14" s="107" t="s">
        <v>1</v>
      </c>
      <c r="BHB14" s="108"/>
      <c r="BHC14" s="108"/>
      <c r="BHD14" s="109"/>
      <c r="BHE14" s="107" t="s">
        <v>1</v>
      </c>
      <c r="BHF14" s="108"/>
      <c r="BHG14" s="108"/>
      <c r="BHH14" s="109"/>
      <c r="BHI14" s="107" t="s">
        <v>1</v>
      </c>
      <c r="BHJ14" s="108"/>
      <c r="BHK14" s="108"/>
      <c r="BHL14" s="109"/>
      <c r="BHM14" s="107" t="s">
        <v>1</v>
      </c>
      <c r="BHN14" s="108"/>
      <c r="BHO14" s="108"/>
      <c r="BHP14" s="109"/>
      <c r="BHQ14" s="107" t="s">
        <v>1</v>
      </c>
      <c r="BHR14" s="108"/>
      <c r="BHS14" s="108"/>
      <c r="BHT14" s="109"/>
      <c r="BHU14" s="107" t="s">
        <v>1</v>
      </c>
      <c r="BHV14" s="108"/>
      <c r="BHW14" s="108"/>
      <c r="BHX14" s="109"/>
      <c r="BHY14" s="107" t="s">
        <v>1</v>
      </c>
      <c r="BHZ14" s="108"/>
      <c r="BIA14" s="108"/>
      <c r="BIB14" s="109"/>
      <c r="BIC14" s="107" t="s">
        <v>1</v>
      </c>
      <c r="BID14" s="108"/>
      <c r="BIE14" s="108"/>
      <c r="BIF14" s="109"/>
      <c r="BIG14" s="107" t="s">
        <v>1</v>
      </c>
      <c r="BIH14" s="108"/>
      <c r="BII14" s="108"/>
      <c r="BIJ14" s="109"/>
      <c r="BIK14" s="107" t="s">
        <v>1</v>
      </c>
      <c r="BIL14" s="108"/>
      <c r="BIM14" s="108"/>
      <c r="BIN14" s="109"/>
      <c r="BIO14" s="107" t="s">
        <v>1</v>
      </c>
      <c r="BIP14" s="108"/>
      <c r="BIQ14" s="108"/>
      <c r="BIR14" s="109"/>
      <c r="BIS14" s="107" t="s">
        <v>1</v>
      </c>
      <c r="BIT14" s="108"/>
      <c r="BIU14" s="108"/>
      <c r="BIV14" s="109"/>
      <c r="BIW14" s="107" t="s">
        <v>1</v>
      </c>
      <c r="BIX14" s="108"/>
      <c r="BIY14" s="108"/>
      <c r="BIZ14" s="109"/>
      <c r="BJA14" s="107" t="s">
        <v>1</v>
      </c>
      <c r="BJB14" s="108"/>
      <c r="BJC14" s="108"/>
      <c r="BJD14" s="109"/>
      <c r="BJE14" s="107" t="s">
        <v>1</v>
      </c>
      <c r="BJF14" s="108"/>
      <c r="BJG14" s="108"/>
      <c r="BJH14" s="109"/>
      <c r="BJI14" s="107" t="s">
        <v>1</v>
      </c>
      <c r="BJJ14" s="108"/>
      <c r="BJK14" s="108"/>
      <c r="BJL14" s="109"/>
      <c r="BJM14" s="107" t="s">
        <v>1</v>
      </c>
      <c r="BJN14" s="108"/>
      <c r="BJO14" s="108"/>
      <c r="BJP14" s="109"/>
      <c r="BJQ14" s="107" t="s">
        <v>1</v>
      </c>
      <c r="BJR14" s="108"/>
      <c r="BJS14" s="108"/>
      <c r="BJT14" s="109"/>
      <c r="BJU14" s="107" t="s">
        <v>1</v>
      </c>
      <c r="BJV14" s="108"/>
      <c r="BJW14" s="108"/>
      <c r="BJX14" s="109"/>
      <c r="BJY14" s="107" t="s">
        <v>1</v>
      </c>
      <c r="BJZ14" s="108"/>
      <c r="BKA14" s="108"/>
      <c r="BKB14" s="109"/>
      <c r="BKC14" s="107" t="s">
        <v>1</v>
      </c>
      <c r="BKD14" s="108"/>
      <c r="BKE14" s="108"/>
      <c r="BKF14" s="109"/>
      <c r="BKG14" s="107" t="s">
        <v>1</v>
      </c>
      <c r="BKH14" s="108"/>
      <c r="BKI14" s="108"/>
      <c r="BKJ14" s="109"/>
      <c r="BKK14" s="107" t="s">
        <v>1</v>
      </c>
      <c r="BKL14" s="108"/>
      <c r="BKM14" s="108"/>
      <c r="BKN14" s="109"/>
      <c r="BKO14" s="107" t="s">
        <v>1</v>
      </c>
      <c r="BKP14" s="108"/>
      <c r="BKQ14" s="108"/>
      <c r="BKR14" s="109"/>
      <c r="BKS14" s="107" t="s">
        <v>1</v>
      </c>
      <c r="BKT14" s="108"/>
      <c r="BKU14" s="108"/>
      <c r="BKV14" s="109"/>
      <c r="BKW14" s="107" t="s">
        <v>1</v>
      </c>
      <c r="BKX14" s="108"/>
      <c r="BKY14" s="108"/>
      <c r="BKZ14" s="109"/>
      <c r="BLA14" s="107" t="s">
        <v>1</v>
      </c>
      <c r="BLB14" s="108"/>
      <c r="BLC14" s="108"/>
      <c r="BLD14" s="109"/>
      <c r="BLE14" s="107" t="s">
        <v>1</v>
      </c>
      <c r="BLF14" s="108"/>
      <c r="BLG14" s="108"/>
      <c r="BLH14" s="109"/>
      <c r="BLI14" s="107" t="s">
        <v>1</v>
      </c>
      <c r="BLJ14" s="108"/>
      <c r="BLK14" s="108"/>
      <c r="BLL14" s="109"/>
      <c r="BLM14" s="107" t="s">
        <v>1</v>
      </c>
      <c r="BLN14" s="108"/>
      <c r="BLO14" s="108"/>
      <c r="BLP14" s="109"/>
      <c r="BLQ14" s="107" t="s">
        <v>1</v>
      </c>
      <c r="BLR14" s="108"/>
      <c r="BLS14" s="108"/>
      <c r="BLT14" s="109"/>
      <c r="BLU14" s="107" t="s">
        <v>1</v>
      </c>
      <c r="BLV14" s="108"/>
      <c r="BLW14" s="108"/>
      <c r="BLX14" s="109"/>
      <c r="BLY14" s="107" t="s">
        <v>1</v>
      </c>
      <c r="BLZ14" s="108"/>
      <c r="BMA14" s="108"/>
      <c r="BMB14" s="109"/>
      <c r="BMC14" s="107" t="s">
        <v>1</v>
      </c>
      <c r="BMD14" s="108"/>
      <c r="BME14" s="108"/>
      <c r="BMF14" s="109"/>
      <c r="BMG14" s="107" t="s">
        <v>1</v>
      </c>
      <c r="BMH14" s="108"/>
      <c r="BMI14" s="108"/>
      <c r="BMJ14" s="109"/>
      <c r="BMK14" s="107" t="s">
        <v>1</v>
      </c>
      <c r="BML14" s="108"/>
      <c r="BMM14" s="108"/>
      <c r="BMN14" s="109"/>
      <c r="BMO14" s="107" t="s">
        <v>1</v>
      </c>
      <c r="BMP14" s="108"/>
      <c r="BMQ14" s="108"/>
      <c r="BMR14" s="109"/>
      <c r="BMS14" s="107" t="s">
        <v>1</v>
      </c>
      <c r="BMT14" s="108"/>
      <c r="BMU14" s="108"/>
      <c r="BMV14" s="109"/>
      <c r="BMW14" s="107" t="s">
        <v>1</v>
      </c>
      <c r="BMX14" s="108"/>
      <c r="BMY14" s="108"/>
      <c r="BMZ14" s="109"/>
      <c r="BNA14" s="107" t="s">
        <v>1</v>
      </c>
      <c r="BNB14" s="108"/>
      <c r="BNC14" s="108"/>
      <c r="BND14" s="109"/>
      <c r="BNE14" s="107" t="s">
        <v>1</v>
      </c>
      <c r="BNF14" s="108"/>
      <c r="BNG14" s="108"/>
      <c r="BNH14" s="109"/>
      <c r="BNI14" s="107" t="s">
        <v>1</v>
      </c>
      <c r="BNJ14" s="108"/>
      <c r="BNK14" s="108"/>
      <c r="BNL14" s="109"/>
      <c r="BNM14" s="107" t="s">
        <v>1</v>
      </c>
      <c r="BNN14" s="108"/>
      <c r="BNO14" s="108"/>
      <c r="BNP14" s="109"/>
      <c r="BNQ14" s="107" t="s">
        <v>1</v>
      </c>
      <c r="BNR14" s="108"/>
      <c r="BNS14" s="108"/>
      <c r="BNT14" s="109"/>
      <c r="BNU14" s="107" t="s">
        <v>1</v>
      </c>
      <c r="BNV14" s="108"/>
      <c r="BNW14" s="108"/>
      <c r="BNX14" s="109"/>
      <c r="BNY14" s="107" t="s">
        <v>1</v>
      </c>
      <c r="BNZ14" s="108"/>
      <c r="BOA14" s="108"/>
      <c r="BOB14" s="109"/>
      <c r="BOC14" s="107" t="s">
        <v>1</v>
      </c>
      <c r="BOD14" s="108"/>
      <c r="BOE14" s="108"/>
      <c r="BOF14" s="109"/>
      <c r="BOG14" s="107" t="s">
        <v>1</v>
      </c>
      <c r="BOH14" s="108"/>
      <c r="BOI14" s="108"/>
      <c r="BOJ14" s="109"/>
      <c r="BOK14" s="107" t="s">
        <v>1</v>
      </c>
      <c r="BOL14" s="108"/>
      <c r="BOM14" s="108"/>
      <c r="BON14" s="109"/>
      <c r="BOO14" s="107" t="s">
        <v>1</v>
      </c>
      <c r="BOP14" s="108"/>
      <c r="BOQ14" s="108"/>
      <c r="BOR14" s="109"/>
      <c r="BOS14" s="107" t="s">
        <v>1</v>
      </c>
      <c r="BOT14" s="108"/>
      <c r="BOU14" s="108"/>
      <c r="BOV14" s="109"/>
      <c r="BOW14" s="107" t="s">
        <v>1</v>
      </c>
      <c r="BOX14" s="108"/>
      <c r="BOY14" s="108"/>
      <c r="BOZ14" s="109"/>
      <c r="BPA14" s="107" t="s">
        <v>1</v>
      </c>
      <c r="BPB14" s="108"/>
      <c r="BPC14" s="108"/>
      <c r="BPD14" s="109"/>
      <c r="BPE14" s="107" t="s">
        <v>1</v>
      </c>
      <c r="BPF14" s="108"/>
      <c r="BPG14" s="108"/>
      <c r="BPH14" s="109"/>
      <c r="BPI14" s="107" t="s">
        <v>1</v>
      </c>
      <c r="BPJ14" s="108"/>
      <c r="BPK14" s="108"/>
      <c r="BPL14" s="109"/>
      <c r="BPM14" s="107" t="s">
        <v>1</v>
      </c>
      <c r="BPN14" s="108"/>
      <c r="BPO14" s="108"/>
      <c r="BPP14" s="109"/>
      <c r="BPQ14" s="107" t="s">
        <v>1</v>
      </c>
      <c r="BPR14" s="108"/>
      <c r="BPS14" s="108"/>
      <c r="BPT14" s="109"/>
      <c r="BPU14" s="107" t="s">
        <v>1</v>
      </c>
      <c r="BPV14" s="108"/>
      <c r="BPW14" s="108"/>
      <c r="BPX14" s="109"/>
      <c r="BPY14" s="107" t="s">
        <v>1</v>
      </c>
      <c r="BPZ14" s="108"/>
      <c r="BQA14" s="108"/>
      <c r="BQB14" s="109"/>
      <c r="BQC14" s="107" t="s">
        <v>1</v>
      </c>
      <c r="BQD14" s="108"/>
      <c r="BQE14" s="108"/>
      <c r="BQF14" s="109"/>
      <c r="BQG14" s="107" t="s">
        <v>1</v>
      </c>
      <c r="BQH14" s="108"/>
      <c r="BQI14" s="108"/>
      <c r="BQJ14" s="109"/>
      <c r="BQK14" s="107" t="s">
        <v>1</v>
      </c>
      <c r="BQL14" s="108"/>
      <c r="BQM14" s="108"/>
      <c r="BQN14" s="109"/>
      <c r="BQO14" s="107" t="s">
        <v>1</v>
      </c>
      <c r="BQP14" s="108"/>
      <c r="BQQ14" s="108"/>
      <c r="BQR14" s="109"/>
      <c r="BQS14" s="107" t="s">
        <v>1</v>
      </c>
      <c r="BQT14" s="108"/>
      <c r="BQU14" s="108"/>
      <c r="BQV14" s="109"/>
      <c r="BQW14" s="107" t="s">
        <v>1</v>
      </c>
      <c r="BQX14" s="108"/>
      <c r="BQY14" s="108"/>
      <c r="BQZ14" s="109"/>
      <c r="BRA14" s="107" t="s">
        <v>1</v>
      </c>
      <c r="BRB14" s="108"/>
      <c r="BRC14" s="108"/>
      <c r="BRD14" s="109"/>
      <c r="BRE14" s="107" t="s">
        <v>1</v>
      </c>
      <c r="BRF14" s="108"/>
      <c r="BRG14" s="108"/>
      <c r="BRH14" s="109"/>
      <c r="BRI14" s="107" t="s">
        <v>1</v>
      </c>
      <c r="BRJ14" s="108"/>
      <c r="BRK14" s="108"/>
      <c r="BRL14" s="109"/>
      <c r="BRM14" s="107" t="s">
        <v>1</v>
      </c>
      <c r="BRN14" s="108"/>
      <c r="BRO14" s="108"/>
      <c r="BRP14" s="109"/>
      <c r="BRQ14" s="107" t="s">
        <v>1</v>
      </c>
      <c r="BRR14" s="108"/>
      <c r="BRS14" s="108"/>
      <c r="BRT14" s="109"/>
      <c r="BRU14" s="107" t="s">
        <v>1</v>
      </c>
      <c r="BRV14" s="108"/>
      <c r="BRW14" s="108"/>
      <c r="BRX14" s="109"/>
      <c r="BRY14" s="107" t="s">
        <v>1</v>
      </c>
      <c r="BRZ14" s="108"/>
      <c r="BSA14" s="108"/>
      <c r="BSB14" s="109"/>
      <c r="BSC14" s="107" t="s">
        <v>1</v>
      </c>
      <c r="BSD14" s="108"/>
      <c r="BSE14" s="108"/>
      <c r="BSF14" s="109"/>
      <c r="BSG14" s="107" t="s">
        <v>1</v>
      </c>
      <c r="BSH14" s="108"/>
      <c r="BSI14" s="108"/>
      <c r="BSJ14" s="109"/>
      <c r="BSK14" s="107" t="s">
        <v>1</v>
      </c>
      <c r="BSL14" s="108"/>
      <c r="BSM14" s="108"/>
      <c r="BSN14" s="109"/>
      <c r="BSO14" s="107" t="s">
        <v>1</v>
      </c>
      <c r="BSP14" s="108"/>
      <c r="BSQ14" s="108"/>
      <c r="BSR14" s="109"/>
      <c r="BSS14" s="107" t="s">
        <v>1</v>
      </c>
      <c r="BST14" s="108"/>
      <c r="BSU14" s="108"/>
      <c r="BSV14" s="109"/>
      <c r="BSW14" s="107" t="s">
        <v>1</v>
      </c>
      <c r="BSX14" s="108"/>
      <c r="BSY14" s="108"/>
      <c r="BSZ14" s="109"/>
      <c r="BTA14" s="107" t="s">
        <v>1</v>
      </c>
      <c r="BTB14" s="108"/>
      <c r="BTC14" s="108"/>
      <c r="BTD14" s="109"/>
      <c r="BTE14" s="107" t="s">
        <v>1</v>
      </c>
      <c r="BTF14" s="108"/>
      <c r="BTG14" s="108"/>
      <c r="BTH14" s="109"/>
      <c r="BTI14" s="107" t="s">
        <v>1</v>
      </c>
      <c r="BTJ14" s="108"/>
      <c r="BTK14" s="108"/>
      <c r="BTL14" s="109"/>
      <c r="BTM14" s="107" t="s">
        <v>1</v>
      </c>
      <c r="BTN14" s="108"/>
      <c r="BTO14" s="108"/>
      <c r="BTP14" s="109"/>
      <c r="BTQ14" s="107" t="s">
        <v>1</v>
      </c>
      <c r="BTR14" s="108"/>
      <c r="BTS14" s="108"/>
      <c r="BTT14" s="109"/>
      <c r="BTU14" s="107" t="s">
        <v>1</v>
      </c>
      <c r="BTV14" s="108"/>
      <c r="BTW14" s="108"/>
      <c r="BTX14" s="109"/>
      <c r="BTY14" s="107" t="s">
        <v>1</v>
      </c>
      <c r="BTZ14" s="108"/>
      <c r="BUA14" s="108"/>
      <c r="BUB14" s="109"/>
      <c r="BUC14" s="107" t="s">
        <v>1</v>
      </c>
      <c r="BUD14" s="108"/>
      <c r="BUE14" s="108"/>
      <c r="BUF14" s="109"/>
      <c r="BUG14" s="107" t="s">
        <v>1</v>
      </c>
      <c r="BUH14" s="108"/>
      <c r="BUI14" s="108"/>
      <c r="BUJ14" s="109"/>
      <c r="BUK14" s="107" t="s">
        <v>1</v>
      </c>
      <c r="BUL14" s="108"/>
      <c r="BUM14" s="108"/>
      <c r="BUN14" s="109"/>
      <c r="BUO14" s="107" t="s">
        <v>1</v>
      </c>
      <c r="BUP14" s="108"/>
      <c r="BUQ14" s="108"/>
      <c r="BUR14" s="109"/>
      <c r="BUS14" s="107" t="s">
        <v>1</v>
      </c>
      <c r="BUT14" s="108"/>
      <c r="BUU14" s="108"/>
      <c r="BUV14" s="109"/>
      <c r="BUW14" s="107" t="s">
        <v>1</v>
      </c>
      <c r="BUX14" s="108"/>
      <c r="BUY14" s="108"/>
      <c r="BUZ14" s="109"/>
      <c r="BVA14" s="107" t="s">
        <v>1</v>
      </c>
      <c r="BVB14" s="108"/>
      <c r="BVC14" s="108"/>
      <c r="BVD14" s="109"/>
      <c r="BVE14" s="107" t="s">
        <v>1</v>
      </c>
      <c r="BVF14" s="108"/>
      <c r="BVG14" s="108"/>
      <c r="BVH14" s="109"/>
      <c r="BVI14" s="107" t="s">
        <v>1</v>
      </c>
      <c r="BVJ14" s="108"/>
      <c r="BVK14" s="108"/>
      <c r="BVL14" s="109"/>
      <c r="BVM14" s="107" t="s">
        <v>1</v>
      </c>
      <c r="BVN14" s="108"/>
      <c r="BVO14" s="108"/>
      <c r="BVP14" s="109"/>
      <c r="BVQ14" s="107" t="s">
        <v>1</v>
      </c>
      <c r="BVR14" s="108"/>
      <c r="BVS14" s="108"/>
      <c r="BVT14" s="109"/>
      <c r="BVU14" s="107" t="s">
        <v>1</v>
      </c>
      <c r="BVV14" s="108"/>
      <c r="BVW14" s="108"/>
      <c r="BVX14" s="109"/>
      <c r="BVY14" s="107" t="s">
        <v>1</v>
      </c>
      <c r="BVZ14" s="108"/>
      <c r="BWA14" s="108"/>
      <c r="BWB14" s="109"/>
      <c r="BWC14" s="107" t="s">
        <v>1</v>
      </c>
      <c r="BWD14" s="108"/>
      <c r="BWE14" s="108"/>
      <c r="BWF14" s="109"/>
      <c r="BWG14" s="107" t="s">
        <v>1</v>
      </c>
      <c r="BWH14" s="108"/>
      <c r="BWI14" s="108"/>
      <c r="BWJ14" s="109"/>
      <c r="BWK14" s="107" t="s">
        <v>1</v>
      </c>
      <c r="BWL14" s="108"/>
      <c r="BWM14" s="108"/>
      <c r="BWN14" s="109"/>
      <c r="BWO14" s="107" t="s">
        <v>1</v>
      </c>
      <c r="BWP14" s="108"/>
      <c r="BWQ14" s="108"/>
      <c r="BWR14" s="109"/>
      <c r="BWS14" s="107" t="s">
        <v>1</v>
      </c>
      <c r="BWT14" s="108"/>
      <c r="BWU14" s="108"/>
      <c r="BWV14" s="109"/>
      <c r="BWW14" s="107" t="s">
        <v>1</v>
      </c>
      <c r="BWX14" s="108"/>
      <c r="BWY14" s="108"/>
      <c r="BWZ14" s="109"/>
      <c r="BXA14" s="107" t="s">
        <v>1</v>
      </c>
      <c r="BXB14" s="108"/>
      <c r="BXC14" s="108"/>
      <c r="BXD14" s="109"/>
      <c r="BXE14" s="107" t="s">
        <v>1</v>
      </c>
      <c r="BXF14" s="108"/>
      <c r="BXG14" s="108"/>
      <c r="BXH14" s="109"/>
      <c r="BXI14" s="107" t="s">
        <v>1</v>
      </c>
      <c r="BXJ14" s="108"/>
      <c r="BXK14" s="108"/>
      <c r="BXL14" s="109"/>
      <c r="BXM14" s="107" t="s">
        <v>1</v>
      </c>
      <c r="BXN14" s="108"/>
      <c r="BXO14" s="108"/>
      <c r="BXP14" s="109"/>
      <c r="BXQ14" s="107" t="s">
        <v>1</v>
      </c>
      <c r="BXR14" s="108"/>
      <c r="BXS14" s="108"/>
      <c r="BXT14" s="109"/>
      <c r="BXU14" s="107" t="s">
        <v>1</v>
      </c>
      <c r="BXV14" s="108"/>
      <c r="BXW14" s="108"/>
      <c r="BXX14" s="109"/>
      <c r="BXY14" s="107" t="s">
        <v>1</v>
      </c>
      <c r="BXZ14" s="108"/>
      <c r="BYA14" s="108"/>
      <c r="BYB14" s="109"/>
      <c r="BYC14" s="107" t="s">
        <v>1</v>
      </c>
      <c r="BYD14" s="108"/>
      <c r="BYE14" s="108"/>
      <c r="BYF14" s="109"/>
      <c r="BYG14" s="107" t="s">
        <v>1</v>
      </c>
      <c r="BYH14" s="108"/>
      <c r="BYI14" s="108"/>
      <c r="BYJ14" s="109"/>
      <c r="BYK14" s="107" t="s">
        <v>1</v>
      </c>
      <c r="BYL14" s="108"/>
      <c r="BYM14" s="108"/>
      <c r="BYN14" s="109"/>
      <c r="BYO14" s="107" t="s">
        <v>1</v>
      </c>
      <c r="BYP14" s="108"/>
      <c r="BYQ14" s="108"/>
      <c r="BYR14" s="109"/>
      <c r="BYS14" s="107" t="s">
        <v>1</v>
      </c>
      <c r="BYT14" s="108"/>
      <c r="BYU14" s="108"/>
      <c r="BYV14" s="109"/>
      <c r="BYW14" s="107" t="s">
        <v>1</v>
      </c>
      <c r="BYX14" s="108"/>
      <c r="BYY14" s="108"/>
      <c r="BYZ14" s="109"/>
      <c r="BZA14" s="107" t="s">
        <v>1</v>
      </c>
      <c r="BZB14" s="108"/>
      <c r="BZC14" s="108"/>
      <c r="BZD14" s="109"/>
      <c r="BZE14" s="107" t="s">
        <v>1</v>
      </c>
      <c r="BZF14" s="108"/>
      <c r="BZG14" s="108"/>
      <c r="BZH14" s="109"/>
      <c r="BZI14" s="107" t="s">
        <v>1</v>
      </c>
      <c r="BZJ14" s="108"/>
      <c r="BZK14" s="108"/>
      <c r="BZL14" s="109"/>
      <c r="BZM14" s="107" t="s">
        <v>1</v>
      </c>
      <c r="BZN14" s="108"/>
      <c r="BZO14" s="108"/>
      <c r="BZP14" s="109"/>
      <c r="BZQ14" s="107" t="s">
        <v>1</v>
      </c>
      <c r="BZR14" s="108"/>
      <c r="BZS14" s="108"/>
      <c r="BZT14" s="109"/>
      <c r="BZU14" s="107" t="s">
        <v>1</v>
      </c>
      <c r="BZV14" s="108"/>
      <c r="BZW14" s="108"/>
      <c r="BZX14" s="109"/>
      <c r="BZY14" s="107" t="s">
        <v>1</v>
      </c>
      <c r="BZZ14" s="108"/>
      <c r="CAA14" s="108"/>
      <c r="CAB14" s="109"/>
      <c r="CAC14" s="107" t="s">
        <v>1</v>
      </c>
      <c r="CAD14" s="108"/>
      <c r="CAE14" s="108"/>
      <c r="CAF14" s="109"/>
      <c r="CAG14" s="107" t="s">
        <v>1</v>
      </c>
      <c r="CAH14" s="108"/>
      <c r="CAI14" s="108"/>
      <c r="CAJ14" s="109"/>
      <c r="CAK14" s="107" t="s">
        <v>1</v>
      </c>
      <c r="CAL14" s="108"/>
      <c r="CAM14" s="108"/>
      <c r="CAN14" s="109"/>
      <c r="CAO14" s="107" t="s">
        <v>1</v>
      </c>
      <c r="CAP14" s="108"/>
      <c r="CAQ14" s="108"/>
      <c r="CAR14" s="109"/>
      <c r="CAS14" s="107" t="s">
        <v>1</v>
      </c>
      <c r="CAT14" s="108"/>
      <c r="CAU14" s="108"/>
      <c r="CAV14" s="109"/>
      <c r="CAW14" s="107" t="s">
        <v>1</v>
      </c>
      <c r="CAX14" s="108"/>
      <c r="CAY14" s="108"/>
      <c r="CAZ14" s="109"/>
      <c r="CBA14" s="107" t="s">
        <v>1</v>
      </c>
      <c r="CBB14" s="108"/>
      <c r="CBC14" s="108"/>
      <c r="CBD14" s="109"/>
      <c r="CBE14" s="107" t="s">
        <v>1</v>
      </c>
      <c r="CBF14" s="108"/>
      <c r="CBG14" s="108"/>
      <c r="CBH14" s="109"/>
      <c r="CBI14" s="107" t="s">
        <v>1</v>
      </c>
      <c r="CBJ14" s="108"/>
      <c r="CBK14" s="108"/>
      <c r="CBL14" s="109"/>
      <c r="CBM14" s="107" t="s">
        <v>1</v>
      </c>
      <c r="CBN14" s="108"/>
      <c r="CBO14" s="108"/>
      <c r="CBP14" s="109"/>
      <c r="CBQ14" s="107" t="s">
        <v>1</v>
      </c>
      <c r="CBR14" s="108"/>
      <c r="CBS14" s="108"/>
      <c r="CBT14" s="109"/>
      <c r="CBU14" s="107" t="s">
        <v>1</v>
      </c>
      <c r="CBV14" s="108"/>
      <c r="CBW14" s="108"/>
      <c r="CBX14" s="109"/>
      <c r="CBY14" s="107" t="s">
        <v>1</v>
      </c>
      <c r="CBZ14" s="108"/>
      <c r="CCA14" s="108"/>
      <c r="CCB14" s="109"/>
      <c r="CCC14" s="107" t="s">
        <v>1</v>
      </c>
      <c r="CCD14" s="108"/>
      <c r="CCE14" s="108"/>
      <c r="CCF14" s="109"/>
      <c r="CCG14" s="107" t="s">
        <v>1</v>
      </c>
      <c r="CCH14" s="108"/>
      <c r="CCI14" s="108"/>
      <c r="CCJ14" s="109"/>
      <c r="CCK14" s="107" t="s">
        <v>1</v>
      </c>
      <c r="CCL14" s="108"/>
      <c r="CCM14" s="108"/>
      <c r="CCN14" s="109"/>
      <c r="CCO14" s="107" t="s">
        <v>1</v>
      </c>
      <c r="CCP14" s="108"/>
      <c r="CCQ14" s="108"/>
      <c r="CCR14" s="109"/>
      <c r="CCS14" s="107" t="s">
        <v>1</v>
      </c>
      <c r="CCT14" s="108"/>
      <c r="CCU14" s="108"/>
      <c r="CCV14" s="109"/>
      <c r="CCW14" s="107" t="s">
        <v>1</v>
      </c>
      <c r="CCX14" s="108"/>
      <c r="CCY14" s="108"/>
      <c r="CCZ14" s="109"/>
      <c r="CDA14" s="107" t="s">
        <v>1</v>
      </c>
      <c r="CDB14" s="108"/>
      <c r="CDC14" s="108"/>
      <c r="CDD14" s="109"/>
      <c r="CDE14" s="107" t="s">
        <v>1</v>
      </c>
      <c r="CDF14" s="108"/>
      <c r="CDG14" s="108"/>
      <c r="CDH14" s="109"/>
      <c r="CDI14" s="107" t="s">
        <v>1</v>
      </c>
      <c r="CDJ14" s="108"/>
      <c r="CDK14" s="108"/>
      <c r="CDL14" s="109"/>
      <c r="CDM14" s="107" t="s">
        <v>1</v>
      </c>
      <c r="CDN14" s="108"/>
      <c r="CDO14" s="108"/>
      <c r="CDP14" s="109"/>
      <c r="CDQ14" s="107" t="s">
        <v>1</v>
      </c>
      <c r="CDR14" s="108"/>
      <c r="CDS14" s="108"/>
      <c r="CDT14" s="109"/>
      <c r="CDU14" s="107" t="s">
        <v>1</v>
      </c>
      <c r="CDV14" s="108"/>
      <c r="CDW14" s="108"/>
      <c r="CDX14" s="109"/>
      <c r="CDY14" s="107" t="s">
        <v>1</v>
      </c>
      <c r="CDZ14" s="108"/>
      <c r="CEA14" s="108"/>
      <c r="CEB14" s="109"/>
      <c r="CEC14" s="107" t="s">
        <v>1</v>
      </c>
      <c r="CED14" s="108"/>
      <c r="CEE14" s="108"/>
      <c r="CEF14" s="109"/>
      <c r="CEG14" s="107" t="s">
        <v>1</v>
      </c>
      <c r="CEH14" s="108"/>
      <c r="CEI14" s="108"/>
      <c r="CEJ14" s="109"/>
      <c r="CEK14" s="107" t="s">
        <v>1</v>
      </c>
      <c r="CEL14" s="108"/>
      <c r="CEM14" s="108"/>
      <c r="CEN14" s="109"/>
      <c r="CEO14" s="107" t="s">
        <v>1</v>
      </c>
      <c r="CEP14" s="108"/>
      <c r="CEQ14" s="108"/>
      <c r="CER14" s="109"/>
      <c r="CES14" s="107" t="s">
        <v>1</v>
      </c>
      <c r="CET14" s="108"/>
      <c r="CEU14" s="108"/>
      <c r="CEV14" s="109"/>
      <c r="CEW14" s="107" t="s">
        <v>1</v>
      </c>
      <c r="CEX14" s="108"/>
      <c r="CEY14" s="108"/>
      <c r="CEZ14" s="109"/>
      <c r="CFA14" s="107" t="s">
        <v>1</v>
      </c>
      <c r="CFB14" s="108"/>
      <c r="CFC14" s="108"/>
      <c r="CFD14" s="109"/>
      <c r="CFE14" s="107" t="s">
        <v>1</v>
      </c>
      <c r="CFF14" s="108"/>
      <c r="CFG14" s="108"/>
      <c r="CFH14" s="109"/>
      <c r="CFI14" s="107" t="s">
        <v>1</v>
      </c>
      <c r="CFJ14" s="108"/>
      <c r="CFK14" s="108"/>
      <c r="CFL14" s="109"/>
      <c r="CFM14" s="107" t="s">
        <v>1</v>
      </c>
      <c r="CFN14" s="108"/>
      <c r="CFO14" s="108"/>
      <c r="CFP14" s="109"/>
      <c r="CFQ14" s="107" t="s">
        <v>1</v>
      </c>
      <c r="CFR14" s="108"/>
      <c r="CFS14" s="108"/>
      <c r="CFT14" s="109"/>
      <c r="CFU14" s="107" t="s">
        <v>1</v>
      </c>
      <c r="CFV14" s="108"/>
      <c r="CFW14" s="108"/>
      <c r="CFX14" s="109"/>
      <c r="CFY14" s="107" t="s">
        <v>1</v>
      </c>
      <c r="CFZ14" s="108"/>
      <c r="CGA14" s="108"/>
      <c r="CGB14" s="109"/>
      <c r="CGC14" s="107" t="s">
        <v>1</v>
      </c>
      <c r="CGD14" s="108"/>
      <c r="CGE14" s="108"/>
      <c r="CGF14" s="109"/>
      <c r="CGG14" s="107" t="s">
        <v>1</v>
      </c>
      <c r="CGH14" s="108"/>
      <c r="CGI14" s="108"/>
      <c r="CGJ14" s="109"/>
      <c r="CGK14" s="107" t="s">
        <v>1</v>
      </c>
      <c r="CGL14" s="108"/>
      <c r="CGM14" s="108"/>
      <c r="CGN14" s="109"/>
      <c r="CGO14" s="107" t="s">
        <v>1</v>
      </c>
      <c r="CGP14" s="108"/>
      <c r="CGQ14" s="108"/>
      <c r="CGR14" s="109"/>
      <c r="CGS14" s="107" t="s">
        <v>1</v>
      </c>
      <c r="CGT14" s="108"/>
      <c r="CGU14" s="108"/>
      <c r="CGV14" s="109"/>
      <c r="CGW14" s="107" t="s">
        <v>1</v>
      </c>
      <c r="CGX14" s="108"/>
      <c r="CGY14" s="108"/>
      <c r="CGZ14" s="109"/>
      <c r="CHA14" s="107" t="s">
        <v>1</v>
      </c>
      <c r="CHB14" s="108"/>
      <c r="CHC14" s="108"/>
      <c r="CHD14" s="109"/>
      <c r="CHE14" s="107" t="s">
        <v>1</v>
      </c>
      <c r="CHF14" s="108"/>
      <c r="CHG14" s="108"/>
      <c r="CHH14" s="109"/>
      <c r="CHI14" s="107" t="s">
        <v>1</v>
      </c>
      <c r="CHJ14" s="108"/>
      <c r="CHK14" s="108"/>
      <c r="CHL14" s="109"/>
      <c r="CHM14" s="107" t="s">
        <v>1</v>
      </c>
      <c r="CHN14" s="108"/>
      <c r="CHO14" s="108"/>
      <c r="CHP14" s="109"/>
      <c r="CHQ14" s="107" t="s">
        <v>1</v>
      </c>
      <c r="CHR14" s="108"/>
      <c r="CHS14" s="108"/>
      <c r="CHT14" s="109"/>
      <c r="CHU14" s="107" t="s">
        <v>1</v>
      </c>
      <c r="CHV14" s="108"/>
      <c r="CHW14" s="108"/>
      <c r="CHX14" s="109"/>
      <c r="CHY14" s="107" t="s">
        <v>1</v>
      </c>
      <c r="CHZ14" s="108"/>
      <c r="CIA14" s="108"/>
      <c r="CIB14" s="109"/>
      <c r="CIC14" s="107" t="s">
        <v>1</v>
      </c>
      <c r="CID14" s="108"/>
      <c r="CIE14" s="108"/>
      <c r="CIF14" s="109"/>
      <c r="CIG14" s="107" t="s">
        <v>1</v>
      </c>
      <c r="CIH14" s="108"/>
      <c r="CII14" s="108"/>
      <c r="CIJ14" s="109"/>
      <c r="CIK14" s="107" t="s">
        <v>1</v>
      </c>
      <c r="CIL14" s="108"/>
      <c r="CIM14" s="108"/>
      <c r="CIN14" s="109"/>
      <c r="CIO14" s="107" t="s">
        <v>1</v>
      </c>
      <c r="CIP14" s="108"/>
      <c r="CIQ14" s="108"/>
      <c r="CIR14" s="109"/>
      <c r="CIS14" s="107" t="s">
        <v>1</v>
      </c>
      <c r="CIT14" s="108"/>
      <c r="CIU14" s="108"/>
      <c r="CIV14" s="109"/>
      <c r="CIW14" s="107" t="s">
        <v>1</v>
      </c>
      <c r="CIX14" s="108"/>
      <c r="CIY14" s="108"/>
      <c r="CIZ14" s="109"/>
      <c r="CJA14" s="107" t="s">
        <v>1</v>
      </c>
      <c r="CJB14" s="108"/>
      <c r="CJC14" s="108"/>
      <c r="CJD14" s="109"/>
      <c r="CJE14" s="107" t="s">
        <v>1</v>
      </c>
      <c r="CJF14" s="108"/>
      <c r="CJG14" s="108"/>
      <c r="CJH14" s="109"/>
      <c r="CJI14" s="107" t="s">
        <v>1</v>
      </c>
      <c r="CJJ14" s="108"/>
      <c r="CJK14" s="108"/>
      <c r="CJL14" s="109"/>
      <c r="CJM14" s="107" t="s">
        <v>1</v>
      </c>
      <c r="CJN14" s="108"/>
      <c r="CJO14" s="108"/>
      <c r="CJP14" s="109"/>
      <c r="CJQ14" s="107" t="s">
        <v>1</v>
      </c>
      <c r="CJR14" s="108"/>
      <c r="CJS14" s="108"/>
      <c r="CJT14" s="109"/>
      <c r="CJU14" s="107" t="s">
        <v>1</v>
      </c>
      <c r="CJV14" s="108"/>
      <c r="CJW14" s="108"/>
      <c r="CJX14" s="109"/>
      <c r="CJY14" s="107" t="s">
        <v>1</v>
      </c>
      <c r="CJZ14" s="108"/>
      <c r="CKA14" s="108"/>
      <c r="CKB14" s="109"/>
      <c r="CKC14" s="107" t="s">
        <v>1</v>
      </c>
      <c r="CKD14" s="108"/>
      <c r="CKE14" s="108"/>
      <c r="CKF14" s="109"/>
      <c r="CKG14" s="107" t="s">
        <v>1</v>
      </c>
      <c r="CKH14" s="108"/>
      <c r="CKI14" s="108"/>
      <c r="CKJ14" s="109"/>
      <c r="CKK14" s="107" t="s">
        <v>1</v>
      </c>
      <c r="CKL14" s="108"/>
      <c r="CKM14" s="108"/>
      <c r="CKN14" s="109"/>
      <c r="CKO14" s="107" t="s">
        <v>1</v>
      </c>
      <c r="CKP14" s="108"/>
      <c r="CKQ14" s="108"/>
      <c r="CKR14" s="109"/>
      <c r="CKS14" s="107" t="s">
        <v>1</v>
      </c>
      <c r="CKT14" s="108"/>
      <c r="CKU14" s="108"/>
      <c r="CKV14" s="109"/>
      <c r="CKW14" s="107" t="s">
        <v>1</v>
      </c>
      <c r="CKX14" s="108"/>
      <c r="CKY14" s="108"/>
      <c r="CKZ14" s="109"/>
      <c r="CLA14" s="107" t="s">
        <v>1</v>
      </c>
      <c r="CLB14" s="108"/>
      <c r="CLC14" s="108"/>
      <c r="CLD14" s="109"/>
      <c r="CLE14" s="107" t="s">
        <v>1</v>
      </c>
      <c r="CLF14" s="108"/>
      <c r="CLG14" s="108"/>
      <c r="CLH14" s="109"/>
      <c r="CLI14" s="107" t="s">
        <v>1</v>
      </c>
      <c r="CLJ14" s="108"/>
      <c r="CLK14" s="108"/>
      <c r="CLL14" s="109"/>
      <c r="CLM14" s="107" t="s">
        <v>1</v>
      </c>
      <c r="CLN14" s="108"/>
      <c r="CLO14" s="108"/>
      <c r="CLP14" s="109"/>
      <c r="CLQ14" s="107" t="s">
        <v>1</v>
      </c>
      <c r="CLR14" s="108"/>
      <c r="CLS14" s="108"/>
      <c r="CLT14" s="109"/>
      <c r="CLU14" s="107" t="s">
        <v>1</v>
      </c>
      <c r="CLV14" s="108"/>
      <c r="CLW14" s="108"/>
      <c r="CLX14" s="109"/>
      <c r="CLY14" s="107" t="s">
        <v>1</v>
      </c>
      <c r="CLZ14" s="108"/>
      <c r="CMA14" s="108"/>
      <c r="CMB14" s="109"/>
      <c r="CMC14" s="107" t="s">
        <v>1</v>
      </c>
      <c r="CMD14" s="108"/>
      <c r="CME14" s="108"/>
      <c r="CMF14" s="109"/>
      <c r="CMG14" s="107" t="s">
        <v>1</v>
      </c>
      <c r="CMH14" s="108"/>
      <c r="CMI14" s="108"/>
      <c r="CMJ14" s="109"/>
      <c r="CMK14" s="107" t="s">
        <v>1</v>
      </c>
      <c r="CML14" s="108"/>
      <c r="CMM14" s="108"/>
      <c r="CMN14" s="109"/>
      <c r="CMO14" s="107" t="s">
        <v>1</v>
      </c>
      <c r="CMP14" s="108"/>
      <c r="CMQ14" s="108"/>
      <c r="CMR14" s="109"/>
      <c r="CMS14" s="107" t="s">
        <v>1</v>
      </c>
      <c r="CMT14" s="108"/>
      <c r="CMU14" s="108"/>
      <c r="CMV14" s="109"/>
      <c r="CMW14" s="107" t="s">
        <v>1</v>
      </c>
      <c r="CMX14" s="108"/>
      <c r="CMY14" s="108"/>
      <c r="CMZ14" s="109"/>
      <c r="CNA14" s="107" t="s">
        <v>1</v>
      </c>
      <c r="CNB14" s="108"/>
      <c r="CNC14" s="108"/>
      <c r="CND14" s="109"/>
      <c r="CNE14" s="107" t="s">
        <v>1</v>
      </c>
      <c r="CNF14" s="108"/>
      <c r="CNG14" s="108"/>
      <c r="CNH14" s="109"/>
      <c r="CNI14" s="107" t="s">
        <v>1</v>
      </c>
      <c r="CNJ14" s="108"/>
      <c r="CNK14" s="108"/>
      <c r="CNL14" s="109"/>
      <c r="CNM14" s="107" t="s">
        <v>1</v>
      </c>
      <c r="CNN14" s="108"/>
      <c r="CNO14" s="108"/>
      <c r="CNP14" s="109"/>
      <c r="CNQ14" s="107" t="s">
        <v>1</v>
      </c>
      <c r="CNR14" s="108"/>
      <c r="CNS14" s="108"/>
      <c r="CNT14" s="109"/>
      <c r="CNU14" s="107" t="s">
        <v>1</v>
      </c>
      <c r="CNV14" s="108"/>
      <c r="CNW14" s="108"/>
      <c r="CNX14" s="109"/>
      <c r="CNY14" s="107" t="s">
        <v>1</v>
      </c>
      <c r="CNZ14" s="108"/>
      <c r="COA14" s="108"/>
      <c r="COB14" s="109"/>
      <c r="COC14" s="107" t="s">
        <v>1</v>
      </c>
      <c r="COD14" s="108"/>
      <c r="COE14" s="108"/>
      <c r="COF14" s="109"/>
      <c r="COG14" s="107" t="s">
        <v>1</v>
      </c>
      <c r="COH14" s="108"/>
      <c r="COI14" s="108"/>
      <c r="COJ14" s="109"/>
      <c r="COK14" s="107" t="s">
        <v>1</v>
      </c>
      <c r="COL14" s="108"/>
      <c r="COM14" s="108"/>
      <c r="CON14" s="109"/>
      <c r="COO14" s="107" t="s">
        <v>1</v>
      </c>
      <c r="COP14" s="108"/>
      <c r="COQ14" s="108"/>
      <c r="COR14" s="109"/>
      <c r="COS14" s="107" t="s">
        <v>1</v>
      </c>
      <c r="COT14" s="108"/>
      <c r="COU14" s="108"/>
      <c r="COV14" s="109"/>
      <c r="COW14" s="107" t="s">
        <v>1</v>
      </c>
      <c r="COX14" s="108"/>
      <c r="COY14" s="108"/>
      <c r="COZ14" s="109"/>
      <c r="CPA14" s="107" t="s">
        <v>1</v>
      </c>
      <c r="CPB14" s="108"/>
      <c r="CPC14" s="108"/>
      <c r="CPD14" s="109"/>
      <c r="CPE14" s="107" t="s">
        <v>1</v>
      </c>
      <c r="CPF14" s="108"/>
      <c r="CPG14" s="108"/>
      <c r="CPH14" s="109"/>
      <c r="CPI14" s="107" t="s">
        <v>1</v>
      </c>
      <c r="CPJ14" s="108"/>
      <c r="CPK14" s="108"/>
      <c r="CPL14" s="109"/>
      <c r="CPM14" s="107" t="s">
        <v>1</v>
      </c>
      <c r="CPN14" s="108"/>
      <c r="CPO14" s="108"/>
      <c r="CPP14" s="109"/>
      <c r="CPQ14" s="107" t="s">
        <v>1</v>
      </c>
      <c r="CPR14" s="108"/>
      <c r="CPS14" s="108"/>
      <c r="CPT14" s="109"/>
      <c r="CPU14" s="107" t="s">
        <v>1</v>
      </c>
      <c r="CPV14" s="108"/>
      <c r="CPW14" s="108"/>
      <c r="CPX14" s="109"/>
      <c r="CPY14" s="107" t="s">
        <v>1</v>
      </c>
      <c r="CPZ14" s="108"/>
      <c r="CQA14" s="108"/>
      <c r="CQB14" s="109"/>
      <c r="CQC14" s="107" t="s">
        <v>1</v>
      </c>
      <c r="CQD14" s="108"/>
      <c r="CQE14" s="108"/>
      <c r="CQF14" s="109"/>
      <c r="CQG14" s="107" t="s">
        <v>1</v>
      </c>
      <c r="CQH14" s="108"/>
      <c r="CQI14" s="108"/>
      <c r="CQJ14" s="109"/>
      <c r="CQK14" s="107" t="s">
        <v>1</v>
      </c>
      <c r="CQL14" s="108"/>
      <c r="CQM14" s="108"/>
      <c r="CQN14" s="109"/>
      <c r="CQO14" s="107" t="s">
        <v>1</v>
      </c>
      <c r="CQP14" s="108"/>
      <c r="CQQ14" s="108"/>
      <c r="CQR14" s="109"/>
      <c r="CQS14" s="107" t="s">
        <v>1</v>
      </c>
      <c r="CQT14" s="108"/>
      <c r="CQU14" s="108"/>
      <c r="CQV14" s="109"/>
      <c r="CQW14" s="107" t="s">
        <v>1</v>
      </c>
      <c r="CQX14" s="108"/>
      <c r="CQY14" s="108"/>
      <c r="CQZ14" s="109"/>
      <c r="CRA14" s="107" t="s">
        <v>1</v>
      </c>
      <c r="CRB14" s="108"/>
      <c r="CRC14" s="108"/>
      <c r="CRD14" s="109"/>
      <c r="CRE14" s="107" t="s">
        <v>1</v>
      </c>
      <c r="CRF14" s="108"/>
      <c r="CRG14" s="108"/>
      <c r="CRH14" s="109"/>
      <c r="CRI14" s="107" t="s">
        <v>1</v>
      </c>
      <c r="CRJ14" s="108"/>
      <c r="CRK14" s="108"/>
      <c r="CRL14" s="109"/>
      <c r="CRM14" s="107" t="s">
        <v>1</v>
      </c>
      <c r="CRN14" s="108"/>
      <c r="CRO14" s="108"/>
      <c r="CRP14" s="109"/>
      <c r="CRQ14" s="107" t="s">
        <v>1</v>
      </c>
      <c r="CRR14" s="108"/>
      <c r="CRS14" s="108"/>
      <c r="CRT14" s="109"/>
      <c r="CRU14" s="107" t="s">
        <v>1</v>
      </c>
      <c r="CRV14" s="108"/>
      <c r="CRW14" s="108"/>
      <c r="CRX14" s="109"/>
      <c r="CRY14" s="107" t="s">
        <v>1</v>
      </c>
      <c r="CRZ14" s="108"/>
      <c r="CSA14" s="108"/>
      <c r="CSB14" s="109"/>
      <c r="CSC14" s="107" t="s">
        <v>1</v>
      </c>
      <c r="CSD14" s="108"/>
      <c r="CSE14" s="108"/>
      <c r="CSF14" s="109"/>
      <c r="CSG14" s="107" t="s">
        <v>1</v>
      </c>
      <c r="CSH14" s="108"/>
      <c r="CSI14" s="108"/>
      <c r="CSJ14" s="109"/>
      <c r="CSK14" s="107" t="s">
        <v>1</v>
      </c>
      <c r="CSL14" s="108"/>
      <c r="CSM14" s="108"/>
      <c r="CSN14" s="109"/>
      <c r="CSO14" s="107" t="s">
        <v>1</v>
      </c>
      <c r="CSP14" s="108"/>
      <c r="CSQ14" s="108"/>
      <c r="CSR14" s="109"/>
      <c r="CSS14" s="107" t="s">
        <v>1</v>
      </c>
      <c r="CST14" s="108"/>
      <c r="CSU14" s="108"/>
      <c r="CSV14" s="109"/>
      <c r="CSW14" s="107" t="s">
        <v>1</v>
      </c>
      <c r="CSX14" s="108"/>
      <c r="CSY14" s="108"/>
      <c r="CSZ14" s="109"/>
      <c r="CTA14" s="107" t="s">
        <v>1</v>
      </c>
      <c r="CTB14" s="108"/>
      <c r="CTC14" s="108"/>
      <c r="CTD14" s="109"/>
      <c r="CTE14" s="107" t="s">
        <v>1</v>
      </c>
      <c r="CTF14" s="108"/>
      <c r="CTG14" s="108"/>
      <c r="CTH14" s="109"/>
      <c r="CTI14" s="107" t="s">
        <v>1</v>
      </c>
      <c r="CTJ14" s="108"/>
      <c r="CTK14" s="108"/>
      <c r="CTL14" s="109"/>
      <c r="CTM14" s="107" t="s">
        <v>1</v>
      </c>
      <c r="CTN14" s="108"/>
      <c r="CTO14" s="108"/>
      <c r="CTP14" s="109"/>
      <c r="CTQ14" s="107" t="s">
        <v>1</v>
      </c>
      <c r="CTR14" s="108"/>
      <c r="CTS14" s="108"/>
      <c r="CTT14" s="109"/>
      <c r="CTU14" s="107" t="s">
        <v>1</v>
      </c>
      <c r="CTV14" s="108"/>
      <c r="CTW14" s="108"/>
      <c r="CTX14" s="109"/>
      <c r="CTY14" s="107" t="s">
        <v>1</v>
      </c>
      <c r="CTZ14" s="108"/>
      <c r="CUA14" s="108"/>
      <c r="CUB14" s="109"/>
      <c r="CUC14" s="107" t="s">
        <v>1</v>
      </c>
      <c r="CUD14" s="108"/>
      <c r="CUE14" s="108"/>
      <c r="CUF14" s="109"/>
      <c r="CUG14" s="107" t="s">
        <v>1</v>
      </c>
      <c r="CUH14" s="108"/>
      <c r="CUI14" s="108"/>
      <c r="CUJ14" s="109"/>
      <c r="CUK14" s="107" t="s">
        <v>1</v>
      </c>
      <c r="CUL14" s="108"/>
      <c r="CUM14" s="108"/>
      <c r="CUN14" s="109"/>
      <c r="CUO14" s="107" t="s">
        <v>1</v>
      </c>
      <c r="CUP14" s="108"/>
      <c r="CUQ14" s="108"/>
      <c r="CUR14" s="109"/>
      <c r="CUS14" s="107" t="s">
        <v>1</v>
      </c>
      <c r="CUT14" s="108"/>
      <c r="CUU14" s="108"/>
      <c r="CUV14" s="109"/>
      <c r="CUW14" s="107" t="s">
        <v>1</v>
      </c>
      <c r="CUX14" s="108"/>
      <c r="CUY14" s="108"/>
      <c r="CUZ14" s="109"/>
      <c r="CVA14" s="107" t="s">
        <v>1</v>
      </c>
      <c r="CVB14" s="108"/>
      <c r="CVC14" s="108"/>
      <c r="CVD14" s="109"/>
      <c r="CVE14" s="107" t="s">
        <v>1</v>
      </c>
      <c r="CVF14" s="108"/>
      <c r="CVG14" s="108"/>
      <c r="CVH14" s="109"/>
      <c r="CVI14" s="107" t="s">
        <v>1</v>
      </c>
      <c r="CVJ14" s="108"/>
      <c r="CVK14" s="108"/>
      <c r="CVL14" s="109"/>
      <c r="CVM14" s="107" t="s">
        <v>1</v>
      </c>
      <c r="CVN14" s="108"/>
      <c r="CVO14" s="108"/>
      <c r="CVP14" s="109"/>
      <c r="CVQ14" s="107" t="s">
        <v>1</v>
      </c>
      <c r="CVR14" s="108"/>
      <c r="CVS14" s="108"/>
      <c r="CVT14" s="109"/>
      <c r="CVU14" s="107" t="s">
        <v>1</v>
      </c>
      <c r="CVV14" s="108"/>
      <c r="CVW14" s="108"/>
      <c r="CVX14" s="109"/>
      <c r="CVY14" s="107" t="s">
        <v>1</v>
      </c>
      <c r="CVZ14" s="108"/>
      <c r="CWA14" s="108"/>
      <c r="CWB14" s="109"/>
      <c r="CWC14" s="107" t="s">
        <v>1</v>
      </c>
      <c r="CWD14" s="108"/>
      <c r="CWE14" s="108"/>
      <c r="CWF14" s="109"/>
      <c r="CWG14" s="107" t="s">
        <v>1</v>
      </c>
      <c r="CWH14" s="108"/>
      <c r="CWI14" s="108"/>
      <c r="CWJ14" s="109"/>
      <c r="CWK14" s="107" t="s">
        <v>1</v>
      </c>
      <c r="CWL14" s="108"/>
      <c r="CWM14" s="108"/>
      <c r="CWN14" s="109"/>
      <c r="CWO14" s="107" t="s">
        <v>1</v>
      </c>
      <c r="CWP14" s="108"/>
      <c r="CWQ14" s="108"/>
      <c r="CWR14" s="109"/>
      <c r="CWS14" s="107" t="s">
        <v>1</v>
      </c>
      <c r="CWT14" s="108"/>
      <c r="CWU14" s="108"/>
      <c r="CWV14" s="109"/>
      <c r="CWW14" s="107" t="s">
        <v>1</v>
      </c>
      <c r="CWX14" s="108"/>
      <c r="CWY14" s="108"/>
      <c r="CWZ14" s="109"/>
      <c r="CXA14" s="107" t="s">
        <v>1</v>
      </c>
      <c r="CXB14" s="108"/>
      <c r="CXC14" s="108"/>
      <c r="CXD14" s="109"/>
      <c r="CXE14" s="107" t="s">
        <v>1</v>
      </c>
      <c r="CXF14" s="108"/>
      <c r="CXG14" s="108"/>
      <c r="CXH14" s="109"/>
      <c r="CXI14" s="107" t="s">
        <v>1</v>
      </c>
      <c r="CXJ14" s="108"/>
      <c r="CXK14" s="108"/>
      <c r="CXL14" s="109"/>
      <c r="CXM14" s="107" t="s">
        <v>1</v>
      </c>
      <c r="CXN14" s="108"/>
      <c r="CXO14" s="108"/>
      <c r="CXP14" s="109"/>
      <c r="CXQ14" s="107" t="s">
        <v>1</v>
      </c>
      <c r="CXR14" s="108"/>
      <c r="CXS14" s="108"/>
      <c r="CXT14" s="109"/>
      <c r="CXU14" s="107" t="s">
        <v>1</v>
      </c>
      <c r="CXV14" s="108"/>
      <c r="CXW14" s="108"/>
      <c r="CXX14" s="109"/>
      <c r="CXY14" s="107" t="s">
        <v>1</v>
      </c>
      <c r="CXZ14" s="108"/>
      <c r="CYA14" s="108"/>
      <c r="CYB14" s="109"/>
      <c r="CYC14" s="107" t="s">
        <v>1</v>
      </c>
      <c r="CYD14" s="108"/>
      <c r="CYE14" s="108"/>
      <c r="CYF14" s="109"/>
      <c r="CYG14" s="107" t="s">
        <v>1</v>
      </c>
      <c r="CYH14" s="108"/>
      <c r="CYI14" s="108"/>
      <c r="CYJ14" s="109"/>
      <c r="CYK14" s="107" t="s">
        <v>1</v>
      </c>
      <c r="CYL14" s="108"/>
      <c r="CYM14" s="108"/>
      <c r="CYN14" s="109"/>
      <c r="CYO14" s="107" t="s">
        <v>1</v>
      </c>
      <c r="CYP14" s="108"/>
      <c r="CYQ14" s="108"/>
      <c r="CYR14" s="109"/>
      <c r="CYS14" s="107" t="s">
        <v>1</v>
      </c>
      <c r="CYT14" s="108"/>
      <c r="CYU14" s="108"/>
      <c r="CYV14" s="109"/>
      <c r="CYW14" s="107" t="s">
        <v>1</v>
      </c>
      <c r="CYX14" s="108"/>
      <c r="CYY14" s="108"/>
      <c r="CYZ14" s="109"/>
      <c r="CZA14" s="107" t="s">
        <v>1</v>
      </c>
      <c r="CZB14" s="108"/>
      <c r="CZC14" s="108"/>
      <c r="CZD14" s="109"/>
      <c r="CZE14" s="107" t="s">
        <v>1</v>
      </c>
      <c r="CZF14" s="108"/>
      <c r="CZG14" s="108"/>
      <c r="CZH14" s="109"/>
      <c r="CZI14" s="107" t="s">
        <v>1</v>
      </c>
      <c r="CZJ14" s="108"/>
      <c r="CZK14" s="108"/>
      <c r="CZL14" s="109"/>
      <c r="CZM14" s="107" t="s">
        <v>1</v>
      </c>
      <c r="CZN14" s="108"/>
      <c r="CZO14" s="108"/>
      <c r="CZP14" s="109"/>
      <c r="CZQ14" s="107" t="s">
        <v>1</v>
      </c>
      <c r="CZR14" s="108"/>
      <c r="CZS14" s="108"/>
      <c r="CZT14" s="109"/>
      <c r="CZU14" s="107" t="s">
        <v>1</v>
      </c>
      <c r="CZV14" s="108"/>
      <c r="CZW14" s="108"/>
      <c r="CZX14" s="109"/>
      <c r="CZY14" s="107" t="s">
        <v>1</v>
      </c>
      <c r="CZZ14" s="108"/>
      <c r="DAA14" s="108"/>
      <c r="DAB14" s="109"/>
      <c r="DAC14" s="107" t="s">
        <v>1</v>
      </c>
      <c r="DAD14" s="108"/>
      <c r="DAE14" s="108"/>
      <c r="DAF14" s="109"/>
      <c r="DAG14" s="107" t="s">
        <v>1</v>
      </c>
      <c r="DAH14" s="108"/>
      <c r="DAI14" s="108"/>
      <c r="DAJ14" s="109"/>
      <c r="DAK14" s="107" t="s">
        <v>1</v>
      </c>
      <c r="DAL14" s="108"/>
      <c r="DAM14" s="108"/>
      <c r="DAN14" s="109"/>
      <c r="DAO14" s="107" t="s">
        <v>1</v>
      </c>
      <c r="DAP14" s="108"/>
      <c r="DAQ14" s="108"/>
      <c r="DAR14" s="109"/>
      <c r="DAS14" s="107" t="s">
        <v>1</v>
      </c>
      <c r="DAT14" s="108"/>
      <c r="DAU14" s="108"/>
      <c r="DAV14" s="109"/>
      <c r="DAW14" s="107" t="s">
        <v>1</v>
      </c>
      <c r="DAX14" s="108"/>
      <c r="DAY14" s="108"/>
      <c r="DAZ14" s="109"/>
      <c r="DBA14" s="107" t="s">
        <v>1</v>
      </c>
      <c r="DBB14" s="108"/>
      <c r="DBC14" s="108"/>
      <c r="DBD14" s="109"/>
      <c r="DBE14" s="107" t="s">
        <v>1</v>
      </c>
      <c r="DBF14" s="108"/>
      <c r="DBG14" s="108"/>
      <c r="DBH14" s="109"/>
      <c r="DBI14" s="107" t="s">
        <v>1</v>
      </c>
      <c r="DBJ14" s="108"/>
      <c r="DBK14" s="108"/>
      <c r="DBL14" s="109"/>
      <c r="DBM14" s="107" t="s">
        <v>1</v>
      </c>
      <c r="DBN14" s="108"/>
      <c r="DBO14" s="108"/>
      <c r="DBP14" s="109"/>
      <c r="DBQ14" s="107" t="s">
        <v>1</v>
      </c>
      <c r="DBR14" s="108"/>
      <c r="DBS14" s="108"/>
      <c r="DBT14" s="109"/>
      <c r="DBU14" s="107" t="s">
        <v>1</v>
      </c>
      <c r="DBV14" s="108"/>
      <c r="DBW14" s="108"/>
      <c r="DBX14" s="109"/>
      <c r="DBY14" s="107" t="s">
        <v>1</v>
      </c>
      <c r="DBZ14" s="108"/>
      <c r="DCA14" s="108"/>
      <c r="DCB14" s="109"/>
      <c r="DCC14" s="107" t="s">
        <v>1</v>
      </c>
      <c r="DCD14" s="108"/>
      <c r="DCE14" s="108"/>
      <c r="DCF14" s="109"/>
      <c r="DCG14" s="107" t="s">
        <v>1</v>
      </c>
      <c r="DCH14" s="108"/>
      <c r="DCI14" s="108"/>
      <c r="DCJ14" s="109"/>
      <c r="DCK14" s="107" t="s">
        <v>1</v>
      </c>
      <c r="DCL14" s="108"/>
      <c r="DCM14" s="108"/>
      <c r="DCN14" s="109"/>
      <c r="DCO14" s="107" t="s">
        <v>1</v>
      </c>
      <c r="DCP14" s="108"/>
      <c r="DCQ14" s="108"/>
      <c r="DCR14" s="109"/>
      <c r="DCS14" s="107" t="s">
        <v>1</v>
      </c>
      <c r="DCT14" s="108"/>
      <c r="DCU14" s="108"/>
      <c r="DCV14" s="109"/>
      <c r="DCW14" s="107" t="s">
        <v>1</v>
      </c>
      <c r="DCX14" s="108"/>
      <c r="DCY14" s="108"/>
      <c r="DCZ14" s="109"/>
      <c r="DDA14" s="107" t="s">
        <v>1</v>
      </c>
      <c r="DDB14" s="108"/>
      <c r="DDC14" s="108"/>
      <c r="DDD14" s="109"/>
      <c r="DDE14" s="107" t="s">
        <v>1</v>
      </c>
      <c r="DDF14" s="108"/>
      <c r="DDG14" s="108"/>
      <c r="DDH14" s="109"/>
      <c r="DDI14" s="107" t="s">
        <v>1</v>
      </c>
      <c r="DDJ14" s="108"/>
      <c r="DDK14" s="108"/>
      <c r="DDL14" s="109"/>
      <c r="DDM14" s="107" t="s">
        <v>1</v>
      </c>
      <c r="DDN14" s="108"/>
      <c r="DDO14" s="108"/>
      <c r="DDP14" s="109"/>
      <c r="DDQ14" s="107" t="s">
        <v>1</v>
      </c>
      <c r="DDR14" s="108"/>
      <c r="DDS14" s="108"/>
      <c r="DDT14" s="109"/>
      <c r="DDU14" s="107" t="s">
        <v>1</v>
      </c>
      <c r="DDV14" s="108"/>
      <c r="DDW14" s="108"/>
      <c r="DDX14" s="109"/>
      <c r="DDY14" s="107" t="s">
        <v>1</v>
      </c>
      <c r="DDZ14" s="108"/>
      <c r="DEA14" s="108"/>
      <c r="DEB14" s="109"/>
      <c r="DEC14" s="107" t="s">
        <v>1</v>
      </c>
      <c r="DED14" s="108"/>
      <c r="DEE14" s="108"/>
      <c r="DEF14" s="109"/>
      <c r="DEG14" s="107" t="s">
        <v>1</v>
      </c>
      <c r="DEH14" s="108"/>
      <c r="DEI14" s="108"/>
      <c r="DEJ14" s="109"/>
      <c r="DEK14" s="107" t="s">
        <v>1</v>
      </c>
      <c r="DEL14" s="108"/>
      <c r="DEM14" s="108"/>
      <c r="DEN14" s="109"/>
      <c r="DEO14" s="107" t="s">
        <v>1</v>
      </c>
      <c r="DEP14" s="108"/>
      <c r="DEQ14" s="108"/>
      <c r="DER14" s="109"/>
      <c r="DES14" s="107" t="s">
        <v>1</v>
      </c>
      <c r="DET14" s="108"/>
      <c r="DEU14" s="108"/>
      <c r="DEV14" s="109"/>
      <c r="DEW14" s="107" t="s">
        <v>1</v>
      </c>
      <c r="DEX14" s="108"/>
      <c r="DEY14" s="108"/>
      <c r="DEZ14" s="109"/>
      <c r="DFA14" s="107" t="s">
        <v>1</v>
      </c>
      <c r="DFB14" s="108"/>
      <c r="DFC14" s="108"/>
      <c r="DFD14" s="109"/>
      <c r="DFE14" s="107" t="s">
        <v>1</v>
      </c>
      <c r="DFF14" s="108"/>
      <c r="DFG14" s="108"/>
      <c r="DFH14" s="109"/>
      <c r="DFI14" s="107" t="s">
        <v>1</v>
      </c>
      <c r="DFJ14" s="108"/>
      <c r="DFK14" s="108"/>
      <c r="DFL14" s="109"/>
      <c r="DFM14" s="107" t="s">
        <v>1</v>
      </c>
      <c r="DFN14" s="108"/>
      <c r="DFO14" s="108"/>
      <c r="DFP14" s="109"/>
      <c r="DFQ14" s="107" t="s">
        <v>1</v>
      </c>
      <c r="DFR14" s="108"/>
      <c r="DFS14" s="108"/>
      <c r="DFT14" s="109"/>
      <c r="DFU14" s="107" t="s">
        <v>1</v>
      </c>
      <c r="DFV14" s="108"/>
      <c r="DFW14" s="108"/>
      <c r="DFX14" s="109"/>
      <c r="DFY14" s="107" t="s">
        <v>1</v>
      </c>
      <c r="DFZ14" s="108"/>
      <c r="DGA14" s="108"/>
      <c r="DGB14" s="109"/>
      <c r="DGC14" s="107" t="s">
        <v>1</v>
      </c>
      <c r="DGD14" s="108"/>
      <c r="DGE14" s="108"/>
      <c r="DGF14" s="109"/>
      <c r="DGG14" s="107" t="s">
        <v>1</v>
      </c>
      <c r="DGH14" s="108"/>
      <c r="DGI14" s="108"/>
      <c r="DGJ14" s="109"/>
      <c r="DGK14" s="107" t="s">
        <v>1</v>
      </c>
      <c r="DGL14" s="108"/>
      <c r="DGM14" s="108"/>
      <c r="DGN14" s="109"/>
      <c r="DGO14" s="107" t="s">
        <v>1</v>
      </c>
      <c r="DGP14" s="108"/>
      <c r="DGQ14" s="108"/>
      <c r="DGR14" s="109"/>
      <c r="DGS14" s="107" t="s">
        <v>1</v>
      </c>
      <c r="DGT14" s="108"/>
      <c r="DGU14" s="108"/>
      <c r="DGV14" s="109"/>
      <c r="DGW14" s="107" t="s">
        <v>1</v>
      </c>
      <c r="DGX14" s="108"/>
      <c r="DGY14" s="108"/>
      <c r="DGZ14" s="109"/>
      <c r="DHA14" s="107" t="s">
        <v>1</v>
      </c>
      <c r="DHB14" s="108"/>
      <c r="DHC14" s="108"/>
      <c r="DHD14" s="109"/>
      <c r="DHE14" s="107" t="s">
        <v>1</v>
      </c>
      <c r="DHF14" s="108"/>
      <c r="DHG14" s="108"/>
      <c r="DHH14" s="109"/>
      <c r="DHI14" s="107" t="s">
        <v>1</v>
      </c>
      <c r="DHJ14" s="108"/>
      <c r="DHK14" s="108"/>
      <c r="DHL14" s="109"/>
      <c r="DHM14" s="107" t="s">
        <v>1</v>
      </c>
      <c r="DHN14" s="108"/>
      <c r="DHO14" s="108"/>
      <c r="DHP14" s="109"/>
      <c r="DHQ14" s="107" t="s">
        <v>1</v>
      </c>
      <c r="DHR14" s="108"/>
      <c r="DHS14" s="108"/>
      <c r="DHT14" s="109"/>
      <c r="DHU14" s="107" t="s">
        <v>1</v>
      </c>
      <c r="DHV14" s="108"/>
      <c r="DHW14" s="108"/>
      <c r="DHX14" s="109"/>
      <c r="DHY14" s="107" t="s">
        <v>1</v>
      </c>
      <c r="DHZ14" s="108"/>
      <c r="DIA14" s="108"/>
      <c r="DIB14" s="109"/>
      <c r="DIC14" s="107" t="s">
        <v>1</v>
      </c>
      <c r="DID14" s="108"/>
      <c r="DIE14" s="108"/>
      <c r="DIF14" s="109"/>
      <c r="DIG14" s="107" t="s">
        <v>1</v>
      </c>
      <c r="DIH14" s="108"/>
      <c r="DII14" s="108"/>
      <c r="DIJ14" s="109"/>
      <c r="DIK14" s="107" t="s">
        <v>1</v>
      </c>
      <c r="DIL14" s="108"/>
      <c r="DIM14" s="108"/>
      <c r="DIN14" s="109"/>
      <c r="DIO14" s="107" t="s">
        <v>1</v>
      </c>
      <c r="DIP14" s="108"/>
      <c r="DIQ14" s="108"/>
      <c r="DIR14" s="109"/>
      <c r="DIS14" s="107" t="s">
        <v>1</v>
      </c>
      <c r="DIT14" s="108"/>
      <c r="DIU14" s="108"/>
      <c r="DIV14" s="109"/>
      <c r="DIW14" s="107" t="s">
        <v>1</v>
      </c>
      <c r="DIX14" s="108"/>
      <c r="DIY14" s="108"/>
      <c r="DIZ14" s="109"/>
      <c r="DJA14" s="107" t="s">
        <v>1</v>
      </c>
      <c r="DJB14" s="108"/>
      <c r="DJC14" s="108"/>
      <c r="DJD14" s="109"/>
      <c r="DJE14" s="107" t="s">
        <v>1</v>
      </c>
      <c r="DJF14" s="108"/>
      <c r="DJG14" s="108"/>
      <c r="DJH14" s="109"/>
      <c r="DJI14" s="107" t="s">
        <v>1</v>
      </c>
      <c r="DJJ14" s="108"/>
      <c r="DJK14" s="108"/>
      <c r="DJL14" s="109"/>
      <c r="DJM14" s="107" t="s">
        <v>1</v>
      </c>
      <c r="DJN14" s="108"/>
      <c r="DJO14" s="108"/>
      <c r="DJP14" s="109"/>
      <c r="DJQ14" s="107" t="s">
        <v>1</v>
      </c>
      <c r="DJR14" s="108"/>
      <c r="DJS14" s="108"/>
      <c r="DJT14" s="109"/>
      <c r="DJU14" s="107" t="s">
        <v>1</v>
      </c>
      <c r="DJV14" s="108"/>
      <c r="DJW14" s="108"/>
      <c r="DJX14" s="109"/>
      <c r="DJY14" s="107" t="s">
        <v>1</v>
      </c>
      <c r="DJZ14" s="108"/>
      <c r="DKA14" s="108"/>
      <c r="DKB14" s="109"/>
      <c r="DKC14" s="107" t="s">
        <v>1</v>
      </c>
      <c r="DKD14" s="108"/>
      <c r="DKE14" s="108"/>
      <c r="DKF14" s="109"/>
      <c r="DKG14" s="107" t="s">
        <v>1</v>
      </c>
      <c r="DKH14" s="108"/>
      <c r="DKI14" s="108"/>
      <c r="DKJ14" s="109"/>
      <c r="DKK14" s="107" t="s">
        <v>1</v>
      </c>
      <c r="DKL14" s="108"/>
      <c r="DKM14" s="108"/>
      <c r="DKN14" s="109"/>
      <c r="DKO14" s="107" t="s">
        <v>1</v>
      </c>
      <c r="DKP14" s="108"/>
      <c r="DKQ14" s="108"/>
      <c r="DKR14" s="109"/>
      <c r="DKS14" s="107" t="s">
        <v>1</v>
      </c>
      <c r="DKT14" s="108"/>
      <c r="DKU14" s="108"/>
      <c r="DKV14" s="109"/>
      <c r="DKW14" s="107" t="s">
        <v>1</v>
      </c>
      <c r="DKX14" s="108"/>
      <c r="DKY14" s="108"/>
      <c r="DKZ14" s="109"/>
      <c r="DLA14" s="107" t="s">
        <v>1</v>
      </c>
      <c r="DLB14" s="108"/>
      <c r="DLC14" s="108"/>
      <c r="DLD14" s="109"/>
      <c r="DLE14" s="107" t="s">
        <v>1</v>
      </c>
      <c r="DLF14" s="108"/>
      <c r="DLG14" s="108"/>
      <c r="DLH14" s="109"/>
      <c r="DLI14" s="107" t="s">
        <v>1</v>
      </c>
      <c r="DLJ14" s="108"/>
      <c r="DLK14" s="108"/>
      <c r="DLL14" s="109"/>
      <c r="DLM14" s="107" t="s">
        <v>1</v>
      </c>
      <c r="DLN14" s="108"/>
      <c r="DLO14" s="108"/>
      <c r="DLP14" s="109"/>
      <c r="DLQ14" s="107" t="s">
        <v>1</v>
      </c>
      <c r="DLR14" s="108"/>
      <c r="DLS14" s="108"/>
      <c r="DLT14" s="109"/>
      <c r="DLU14" s="107" t="s">
        <v>1</v>
      </c>
      <c r="DLV14" s="108"/>
      <c r="DLW14" s="108"/>
      <c r="DLX14" s="109"/>
      <c r="DLY14" s="107" t="s">
        <v>1</v>
      </c>
      <c r="DLZ14" s="108"/>
      <c r="DMA14" s="108"/>
      <c r="DMB14" s="109"/>
      <c r="DMC14" s="107" t="s">
        <v>1</v>
      </c>
      <c r="DMD14" s="108"/>
      <c r="DME14" s="108"/>
      <c r="DMF14" s="109"/>
      <c r="DMG14" s="107" t="s">
        <v>1</v>
      </c>
      <c r="DMH14" s="108"/>
      <c r="DMI14" s="108"/>
      <c r="DMJ14" s="109"/>
      <c r="DMK14" s="107" t="s">
        <v>1</v>
      </c>
      <c r="DML14" s="108"/>
      <c r="DMM14" s="108"/>
      <c r="DMN14" s="109"/>
      <c r="DMO14" s="107" t="s">
        <v>1</v>
      </c>
      <c r="DMP14" s="108"/>
      <c r="DMQ14" s="108"/>
      <c r="DMR14" s="109"/>
      <c r="DMS14" s="107" t="s">
        <v>1</v>
      </c>
      <c r="DMT14" s="108"/>
      <c r="DMU14" s="108"/>
      <c r="DMV14" s="109"/>
      <c r="DMW14" s="107" t="s">
        <v>1</v>
      </c>
      <c r="DMX14" s="108"/>
      <c r="DMY14" s="108"/>
      <c r="DMZ14" s="109"/>
      <c r="DNA14" s="107" t="s">
        <v>1</v>
      </c>
      <c r="DNB14" s="108"/>
      <c r="DNC14" s="108"/>
      <c r="DND14" s="109"/>
      <c r="DNE14" s="107" t="s">
        <v>1</v>
      </c>
      <c r="DNF14" s="108"/>
      <c r="DNG14" s="108"/>
      <c r="DNH14" s="109"/>
      <c r="DNI14" s="107" t="s">
        <v>1</v>
      </c>
      <c r="DNJ14" s="108"/>
      <c r="DNK14" s="108"/>
      <c r="DNL14" s="109"/>
      <c r="DNM14" s="107" t="s">
        <v>1</v>
      </c>
      <c r="DNN14" s="108"/>
      <c r="DNO14" s="108"/>
      <c r="DNP14" s="109"/>
      <c r="DNQ14" s="107" t="s">
        <v>1</v>
      </c>
      <c r="DNR14" s="108"/>
      <c r="DNS14" s="108"/>
      <c r="DNT14" s="109"/>
      <c r="DNU14" s="107" t="s">
        <v>1</v>
      </c>
      <c r="DNV14" s="108"/>
      <c r="DNW14" s="108"/>
      <c r="DNX14" s="109"/>
      <c r="DNY14" s="107" t="s">
        <v>1</v>
      </c>
      <c r="DNZ14" s="108"/>
      <c r="DOA14" s="108"/>
      <c r="DOB14" s="109"/>
      <c r="DOC14" s="107" t="s">
        <v>1</v>
      </c>
      <c r="DOD14" s="108"/>
      <c r="DOE14" s="108"/>
      <c r="DOF14" s="109"/>
      <c r="DOG14" s="107" t="s">
        <v>1</v>
      </c>
      <c r="DOH14" s="108"/>
      <c r="DOI14" s="108"/>
      <c r="DOJ14" s="109"/>
      <c r="DOK14" s="107" t="s">
        <v>1</v>
      </c>
      <c r="DOL14" s="108"/>
      <c r="DOM14" s="108"/>
      <c r="DON14" s="109"/>
      <c r="DOO14" s="107" t="s">
        <v>1</v>
      </c>
      <c r="DOP14" s="108"/>
      <c r="DOQ14" s="108"/>
      <c r="DOR14" s="109"/>
      <c r="DOS14" s="107" t="s">
        <v>1</v>
      </c>
      <c r="DOT14" s="108"/>
      <c r="DOU14" s="108"/>
      <c r="DOV14" s="109"/>
      <c r="DOW14" s="107" t="s">
        <v>1</v>
      </c>
      <c r="DOX14" s="108"/>
      <c r="DOY14" s="108"/>
      <c r="DOZ14" s="109"/>
      <c r="DPA14" s="107" t="s">
        <v>1</v>
      </c>
      <c r="DPB14" s="108"/>
      <c r="DPC14" s="108"/>
      <c r="DPD14" s="109"/>
      <c r="DPE14" s="107" t="s">
        <v>1</v>
      </c>
      <c r="DPF14" s="108"/>
      <c r="DPG14" s="108"/>
      <c r="DPH14" s="109"/>
      <c r="DPI14" s="107" t="s">
        <v>1</v>
      </c>
      <c r="DPJ14" s="108"/>
      <c r="DPK14" s="108"/>
      <c r="DPL14" s="109"/>
      <c r="DPM14" s="107" t="s">
        <v>1</v>
      </c>
      <c r="DPN14" s="108"/>
      <c r="DPO14" s="108"/>
      <c r="DPP14" s="109"/>
      <c r="DPQ14" s="107" t="s">
        <v>1</v>
      </c>
      <c r="DPR14" s="108"/>
      <c r="DPS14" s="108"/>
      <c r="DPT14" s="109"/>
      <c r="DPU14" s="107" t="s">
        <v>1</v>
      </c>
      <c r="DPV14" s="108"/>
      <c r="DPW14" s="108"/>
      <c r="DPX14" s="109"/>
      <c r="DPY14" s="107" t="s">
        <v>1</v>
      </c>
      <c r="DPZ14" s="108"/>
      <c r="DQA14" s="108"/>
      <c r="DQB14" s="109"/>
      <c r="DQC14" s="107" t="s">
        <v>1</v>
      </c>
      <c r="DQD14" s="108"/>
      <c r="DQE14" s="108"/>
      <c r="DQF14" s="109"/>
      <c r="DQG14" s="107" t="s">
        <v>1</v>
      </c>
      <c r="DQH14" s="108"/>
      <c r="DQI14" s="108"/>
      <c r="DQJ14" s="109"/>
      <c r="DQK14" s="107" t="s">
        <v>1</v>
      </c>
      <c r="DQL14" s="108"/>
      <c r="DQM14" s="108"/>
      <c r="DQN14" s="109"/>
      <c r="DQO14" s="107" t="s">
        <v>1</v>
      </c>
      <c r="DQP14" s="108"/>
      <c r="DQQ14" s="108"/>
      <c r="DQR14" s="109"/>
      <c r="DQS14" s="107" t="s">
        <v>1</v>
      </c>
      <c r="DQT14" s="108"/>
      <c r="DQU14" s="108"/>
      <c r="DQV14" s="109"/>
      <c r="DQW14" s="107" t="s">
        <v>1</v>
      </c>
      <c r="DQX14" s="108"/>
      <c r="DQY14" s="108"/>
      <c r="DQZ14" s="109"/>
      <c r="DRA14" s="107" t="s">
        <v>1</v>
      </c>
      <c r="DRB14" s="108"/>
      <c r="DRC14" s="108"/>
      <c r="DRD14" s="109"/>
      <c r="DRE14" s="107" t="s">
        <v>1</v>
      </c>
      <c r="DRF14" s="108"/>
      <c r="DRG14" s="108"/>
      <c r="DRH14" s="109"/>
      <c r="DRI14" s="107" t="s">
        <v>1</v>
      </c>
      <c r="DRJ14" s="108"/>
      <c r="DRK14" s="108"/>
      <c r="DRL14" s="109"/>
      <c r="DRM14" s="107" t="s">
        <v>1</v>
      </c>
      <c r="DRN14" s="108"/>
      <c r="DRO14" s="108"/>
      <c r="DRP14" s="109"/>
      <c r="DRQ14" s="107" t="s">
        <v>1</v>
      </c>
      <c r="DRR14" s="108"/>
      <c r="DRS14" s="108"/>
      <c r="DRT14" s="109"/>
      <c r="DRU14" s="107" t="s">
        <v>1</v>
      </c>
      <c r="DRV14" s="108"/>
      <c r="DRW14" s="108"/>
      <c r="DRX14" s="109"/>
      <c r="DRY14" s="107" t="s">
        <v>1</v>
      </c>
      <c r="DRZ14" s="108"/>
      <c r="DSA14" s="108"/>
      <c r="DSB14" s="109"/>
      <c r="DSC14" s="107" t="s">
        <v>1</v>
      </c>
      <c r="DSD14" s="108"/>
      <c r="DSE14" s="108"/>
      <c r="DSF14" s="109"/>
      <c r="DSG14" s="107" t="s">
        <v>1</v>
      </c>
      <c r="DSH14" s="108"/>
      <c r="DSI14" s="108"/>
      <c r="DSJ14" s="109"/>
      <c r="DSK14" s="107" t="s">
        <v>1</v>
      </c>
      <c r="DSL14" s="108"/>
      <c r="DSM14" s="108"/>
      <c r="DSN14" s="109"/>
      <c r="DSO14" s="107" t="s">
        <v>1</v>
      </c>
      <c r="DSP14" s="108"/>
      <c r="DSQ14" s="108"/>
      <c r="DSR14" s="109"/>
      <c r="DSS14" s="107" t="s">
        <v>1</v>
      </c>
      <c r="DST14" s="108"/>
      <c r="DSU14" s="108"/>
      <c r="DSV14" s="109"/>
      <c r="DSW14" s="107" t="s">
        <v>1</v>
      </c>
      <c r="DSX14" s="108"/>
      <c r="DSY14" s="108"/>
      <c r="DSZ14" s="109"/>
      <c r="DTA14" s="107" t="s">
        <v>1</v>
      </c>
      <c r="DTB14" s="108"/>
      <c r="DTC14" s="108"/>
      <c r="DTD14" s="109"/>
      <c r="DTE14" s="107" t="s">
        <v>1</v>
      </c>
      <c r="DTF14" s="108"/>
      <c r="DTG14" s="108"/>
      <c r="DTH14" s="109"/>
      <c r="DTI14" s="107" t="s">
        <v>1</v>
      </c>
      <c r="DTJ14" s="108"/>
      <c r="DTK14" s="108"/>
      <c r="DTL14" s="109"/>
      <c r="DTM14" s="107" t="s">
        <v>1</v>
      </c>
      <c r="DTN14" s="108"/>
      <c r="DTO14" s="108"/>
      <c r="DTP14" s="109"/>
      <c r="DTQ14" s="107" t="s">
        <v>1</v>
      </c>
      <c r="DTR14" s="108"/>
      <c r="DTS14" s="108"/>
      <c r="DTT14" s="109"/>
      <c r="DTU14" s="107" t="s">
        <v>1</v>
      </c>
      <c r="DTV14" s="108"/>
      <c r="DTW14" s="108"/>
      <c r="DTX14" s="109"/>
      <c r="DTY14" s="107" t="s">
        <v>1</v>
      </c>
      <c r="DTZ14" s="108"/>
      <c r="DUA14" s="108"/>
      <c r="DUB14" s="109"/>
      <c r="DUC14" s="107" t="s">
        <v>1</v>
      </c>
      <c r="DUD14" s="108"/>
      <c r="DUE14" s="108"/>
      <c r="DUF14" s="109"/>
      <c r="DUG14" s="107" t="s">
        <v>1</v>
      </c>
      <c r="DUH14" s="108"/>
      <c r="DUI14" s="108"/>
      <c r="DUJ14" s="109"/>
      <c r="DUK14" s="107" t="s">
        <v>1</v>
      </c>
      <c r="DUL14" s="108"/>
      <c r="DUM14" s="108"/>
      <c r="DUN14" s="109"/>
      <c r="DUO14" s="107" t="s">
        <v>1</v>
      </c>
      <c r="DUP14" s="108"/>
      <c r="DUQ14" s="108"/>
      <c r="DUR14" s="109"/>
      <c r="DUS14" s="107" t="s">
        <v>1</v>
      </c>
      <c r="DUT14" s="108"/>
      <c r="DUU14" s="108"/>
      <c r="DUV14" s="109"/>
      <c r="DUW14" s="107" t="s">
        <v>1</v>
      </c>
      <c r="DUX14" s="108"/>
      <c r="DUY14" s="108"/>
      <c r="DUZ14" s="109"/>
      <c r="DVA14" s="107" t="s">
        <v>1</v>
      </c>
      <c r="DVB14" s="108"/>
      <c r="DVC14" s="108"/>
      <c r="DVD14" s="109"/>
      <c r="DVE14" s="107" t="s">
        <v>1</v>
      </c>
      <c r="DVF14" s="108"/>
      <c r="DVG14" s="108"/>
      <c r="DVH14" s="109"/>
      <c r="DVI14" s="107" t="s">
        <v>1</v>
      </c>
      <c r="DVJ14" s="108"/>
      <c r="DVK14" s="108"/>
      <c r="DVL14" s="109"/>
      <c r="DVM14" s="107" t="s">
        <v>1</v>
      </c>
      <c r="DVN14" s="108"/>
      <c r="DVO14" s="108"/>
      <c r="DVP14" s="109"/>
      <c r="DVQ14" s="107" t="s">
        <v>1</v>
      </c>
      <c r="DVR14" s="108"/>
      <c r="DVS14" s="108"/>
      <c r="DVT14" s="109"/>
      <c r="DVU14" s="107" t="s">
        <v>1</v>
      </c>
      <c r="DVV14" s="108"/>
      <c r="DVW14" s="108"/>
      <c r="DVX14" s="109"/>
      <c r="DVY14" s="107" t="s">
        <v>1</v>
      </c>
      <c r="DVZ14" s="108"/>
      <c r="DWA14" s="108"/>
      <c r="DWB14" s="109"/>
      <c r="DWC14" s="107" t="s">
        <v>1</v>
      </c>
      <c r="DWD14" s="108"/>
      <c r="DWE14" s="108"/>
      <c r="DWF14" s="109"/>
      <c r="DWG14" s="107" t="s">
        <v>1</v>
      </c>
      <c r="DWH14" s="108"/>
      <c r="DWI14" s="108"/>
      <c r="DWJ14" s="109"/>
      <c r="DWK14" s="107" t="s">
        <v>1</v>
      </c>
      <c r="DWL14" s="108"/>
      <c r="DWM14" s="108"/>
      <c r="DWN14" s="109"/>
      <c r="DWO14" s="107" t="s">
        <v>1</v>
      </c>
      <c r="DWP14" s="108"/>
      <c r="DWQ14" s="108"/>
      <c r="DWR14" s="109"/>
      <c r="DWS14" s="107" t="s">
        <v>1</v>
      </c>
      <c r="DWT14" s="108"/>
      <c r="DWU14" s="108"/>
      <c r="DWV14" s="109"/>
      <c r="DWW14" s="107" t="s">
        <v>1</v>
      </c>
      <c r="DWX14" s="108"/>
      <c r="DWY14" s="108"/>
      <c r="DWZ14" s="109"/>
      <c r="DXA14" s="107" t="s">
        <v>1</v>
      </c>
      <c r="DXB14" s="108"/>
      <c r="DXC14" s="108"/>
      <c r="DXD14" s="109"/>
      <c r="DXE14" s="107" t="s">
        <v>1</v>
      </c>
      <c r="DXF14" s="108"/>
      <c r="DXG14" s="108"/>
      <c r="DXH14" s="109"/>
      <c r="DXI14" s="107" t="s">
        <v>1</v>
      </c>
      <c r="DXJ14" s="108"/>
      <c r="DXK14" s="108"/>
      <c r="DXL14" s="109"/>
      <c r="DXM14" s="107" t="s">
        <v>1</v>
      </c>
      <c r="DXN14" s="108"/>
      <c r="DXO14" s="108"/>
      <c r="DXP14" s="109"/>
      <c r="DXQ14" s="107" t="s">
        <v>1</v>
      </c>
      <c r="DXR14" s="108"/>
      <c r="DXS14" s="108"/>
      <c r="DXT14" s="109"/>
      <c r="DXU14" s="107" t="s">
        <v>1</v>
      </c>
      <c r="DXV14" s="108"/>
      <c r="DXW14" s="108"/>
      <c r="DXX14" s="109"/>
      <c r="DXY14" s="107" t="s">
        <v>1</v>
      </c>
      <c r="DXZ14" s="108"/>
      <c r="DYA14" s="108"/>
      <c r="DYB14" s="109"/>
      <c r="DYC14" s="107" t="s">
        <v>1</v>
      </c>
      <c r="DYD14" s="108"/>
      <c r="DYE14" s="108"/>
      <c r="DYF14" s="109"/>
      <c r="DYG14" s="107" t="s">
        <v>1</v>
      </c>
      <c r="DYH14" s="108"/>
      <c r="DYI14" s="108"/>
      <c r="DYJ14" s="109"/>
      <c r="DYK14" s="107" t="s">
        <v>1</v>
      </c>
      <c r="DYL14" s="108"/>
      <c r="DYM14" s="108"/>
      <c r="DYN14" s="109"/>
      <c r="DYO14" s="107" t="s">
        <v>1</v>
      </c>
      <c r="DYP14" s="108"/>
      <c r="DYQ14" s="108"/>
      <c r="DYR14" s="109"/>
      <c r="DYS14" s="107" t="s">
        <v>1</v>
      </c>
      <c r="DYT14" s="108"/>
      <c r="DYU14" s="108"/>
      <c r="DYV14" s="109"/>
      <c r="DYW14" s="107" t="s">
        <v>1</v>
      </c>
      <c r="DYX14" s="108"/>
      <c r="DYY14" s="108"/>
      <c r="DYZ14" s="109"/>
      <c r="DZA14" s="107" t="s">
        <v>1</v>
      </c>
      <c r="DZB14" s="108"/>
      <c r="DZC14" s="108"/>
      <c r="DZD14" s="109"/>
      <c r="DZE14" s="107" t="s">
        <v>1</v>
      </c>
      <c r="DZF14" s="108"/>
      <c r="DZG14" s="108"/>
      <c r="DZH14" s="109"/>
      <c r="DZI14" s="107" t="s">
        <v>1</v>
      </c>
      <c r="DZJ14" s="108"/>
      <c r="DZK14" s="108"/>
      <c r="DZL14" s="109"/>
      <c r="DZM14" s="107" t="s">
        <v>1</v>
      </c>
      <c r="DZN14" s="108"/>
      <c r="DZO14" s="108"/>
      <c r="DZP14" s="109"/>
      <c r="DZQ14" s="107" t="s">
        <v>1</v>
      </c>
      <c r="DZR14" s="108"/>
      <c r="DZS14" s="108"/>
      <c r="DZT14" s="109"/>
      <c r="DZU14" s="107" t="s">
        <v>1</v>
      </c>
      <c r="DZV14" s="108"/>
      <c r="DZW14" s="108"/>
      <c r="DZX14" s="109"/>
      <c r="DZY14" s="107" t="s">
        <v>1</v>
      </c>
      <c r="DZZ14" s="108"/>
      <c r="EAA14" s="108"/>
      <c r="EAB14" s="109"/>
      <c r="EAC14" s="107" t="s">
        <v>1</v>
      </c>
      <c r="EAD14" s="108"/>
      <c r="EAE14" s="108"/>
      <c r="EAF14" s="109"/>
      <c r="EAG14" s="107" t="s">
        <v>1</v>
      </c>
      <c r="EAH14" s="108"/>
      <c r="EAI14" s="108"/>
      <c r="EAJ14" s="109"/>
      <c r="EAK14" s="107" t="s">
        <v>1</v>
      </c>
      <c r="EAL14" s="108"/>
      <c r="EAM14" s="108"/>
      <c r="EAN14" s="109"/>
      <c r="EAO14" s="107" t="s">
        <v>1</v>
      </c>
      <c r="EAP14" s="108"/>
      <c r="EAQ14" s="108"/>
      <c r="EAR14" s="109"/>
      <c r="EAS14" s="107" t="s">
        <v>1</v>
      </c>
      <c r="EAT14" s="108"/>
      <c r="EAU14" s="108"/>
      <c r="EAV14" s="109"/>
      <c r="EAW14" s="107" t="s">
        <v>1</v>
      </c>
      <c r="EAX14" s="108"/>
      <c r="EAY14" s="108"/>
      <c r="EAZ14" s="109"/>
      <c r="EBA14" s="107" t="s">
        <v>1</v>
      </c>
      <c r="EBB14" s="108"/>
      <c r="EBC14" s="108"/>
      <c r="EBD14" s="109"/>
      <c r="EBE14" s="107" t="s">
        <v>1</v>
      </c>
      <c r="EBF14" s="108"/>
      <c r="EBG14" s="108"/>
      <c r="EBH14" s="109"/>
      <c r="EBI14" s="107" t="s">
        <v>1</v>
      </c>
      <c r="EBJ14" s="108"/>
      <c r="EBK14" s="108"/>
      <c r="EBL14" s="109"/>
      <c r="EBM14" s="107" t="s">
        <v>1</v>
      </c>
      <c r="EBN14" s="108"/>
      <c r="EBO14" s="108"/>
      <c r="EBP14" s="109"/>
      <c r="EBQ14" s="107" t="s">
        <v>1</v>
      </c>
      <c r="EBR14" s="108"/>
      <c r="EBS14" s="108"/>
      <c r="EBT14" s="109"/>
      <c r="EBU14" s="107" t="s">
        <v>1</v>
      </c>
      <c r="EBV14" s="108"/>
      <c r="EBW14" s="108"/>
      <c r="EBX14" s="109"/>
      <c r="EBY14" s="107" t="s">
        <v>1</v>
      </c>
      <c r="EBZ14" s="108"/>
      <c r="ECA14" s="108"/>
      <c r="ECB14" s="109"/>
      <c r="ECC14" s="107" t="s">
        <v>1</v>
      </c>
      <c r="ECD14" s="108"/>
      <c r="ECE14" s="108"/>
      <c r="ECF14" s="109"/>
      <c r="ECG14" s="107" t="s">
        <v>1</v>
      </c>
      <c r="ECH14" s="108"/>
      <c r="ECI14" s="108"/>
      <c r="ECJ14" s="109"/>
      <c r="ECK14" s="107" t="s">
        <v>1</v>
      </c>
      <c r="ECL14" s="108"/>
      <c r="ECM14" s="108"/>
      <c r="ECN14" s="109"/>
      <c r="ECO14" s="107" t="s">
        <v>1</v>
      </c>
      <c r="ECP14" s="108"/>
      <c r="ECQ14" s="108"/>
      <c r="ECR14" s="109"/>
      <c r="ECS14" s="107" t="s">
        <v>1</v>
      </c>
      <c r="ECT14" s="108"/>
      <c r="ECU14" s="108"/>
      <c r="ECV14" s="109"/>
      <c r="ECW14" s="107" t="s">
        <v>1</v>
      </c>
      <c r="ECX14" s="108"/>
      <c r="ECY14" s="108"/>
      <c r="ECZ14" s="109"/>
      <c r="EDA14" s="107" t="s">
        <v>1</v>
      </c>
      <c r="EDB14" s="108"/>
      <c r="EDC14" s="108"/>
      <c r="EDD14" s="109"/>
      <c r="EDE14" s="107" t="s">
        <v>1</v>
      </c>
      <c r="EDF14" s="108"/>
      <c r="EDG14" s="108"/>
      <c r="EDH14" s="109"/>
      <c r="EDI14" s="107" t="s">
        <v>1</v>
      </c>
      <c r="EDJ14" s="108"/>
      <c r="EDK14" s="108"/>
      <c r="EDL14" s="109"/>
      <c r="EDM14" s="107" t="s">
        <v>1</v>
      </c>
      <c r="EDN14" s="108"/>
      <c r="EDO14" s="108"/>
      <c r="EDP14" s="109"/>
      <c r="EDQ14" s="107" t="s">
        <v>1</v>
      </c>
      <c r="EDR14" s="108"/>
      <c r="EDS14" s="108"/>
      <c r="EDT14" s="109"/>
      <c r="EDU14" s="107" t="s">
        <v>1</v>
      </c>
      <c r="EDV14" s="108"/>
      <c r="EDW14" s="108"/>
      <c r="EDX14" s="109"/>
      <c r="EDY14" s="107" t="s">
        <v>1</v>
      </c>
      <c r="EDZ14" s="108"/>
      <c r="EEA14" s="108"/>
      <c r="EEB14" s="109"/>
      <c r="EEC14" s="107" t="s">
        <v>1</v>
      </c>
      <c r="EED14" s="108"/>
      <c r="EEE14" s="108"/>
      <c r="EEF14" s="109"/>
      <c r="EEG14" s="107" t="s">
        <v>1</v>
      </c>
      <c r="EEH14" s="108"/>
      <c r="EEI14" s="108"/>
      <c r="EEJ14" s="109"/>
      <c r="EEK14" s="107" t="s">
        <v>1</v>
      </c>
      <c r="EEL14" s="108"/>
      <c r="EEM14" s="108"/>
      <c r="EEN14" s="109"/>
      <c r="EEO14" s="107" t="s">
        <v>1</v>
      </c>
      <c r="EEP14" s="108"/>
      <c r="EEQ14" s="108"/>
      <c r="EER14" s="109"/>
      <c r="EES14" s="107" t="s">
        <v>1</v>
      </c>
      <c r="EET14" s="108"/>
      <c r="EEU14" s="108"/>
      <c r="EEV14" s="109"/>
      <c r="EEW14" s="107" t="s">
        <v>1</v>
      </c>
      <c r="EEX14" s="108"/>
      <c r="EEY14" s="108"/>
      <c r="EEZ14" s="109"/>
      <c r="EFA14" s="107" t="s">
        <v>1</v>
      </c>
      <c r="EFB14" s="108"/>
      <c r="EFC14" s="108"/>
      <c r="EFD14" s="109"/>
      <c r="EFE14" s="107" t="s">
        <v>1</v>
      </c>
      <c r="EFF14" s="108"/>
      <c r="EFG14" s="108"/>
      <c r="EFH14" s="109"/>
      <c r="EFI14" s="107" t="s">
        <v>1</v>
      </c>
      <c r="EFJ14" s="108"/>
      <c r="EFK14" s="108"/>
      <c r="EFL14" s="109"/>
      <c r="EFM14" s="107" t="s">
        <v>1</v>
      </c>
      <c r="EFN14" s="108"/>
      <c r="EFO14" s="108"/>
      <c r="EFP14" s="109"/>
      <c r="EFQ14" s="107" t="s">
        <v>1</v>
      </c>
      <c r="EFR14" s="108"/>
      <c r="EFS14" s="108"/>
      <c r="EFT14" s="109"/>
      <c r="EFU14" s="107" t="s">
        <v>1</v>
      </c>
      <c r="EFV14" s="108"/>
      <c r="EFW14" s="108"/>
      <c r="EFX14" s="109"/>
      <c r="EFY14" s="107" t="s">
        <v>1</v>
      </c>
      <c r="EFZ14" s="108"/>
      <c r="EGA14" s="108"/>
      <c r="EGB14" s="109"/>
      <c r="EGC14" s="107" t="s">
        <v>1</v>
      </c>
      <c r="EGD14" s="108"/>
      <c r="EGE14" s="108"/>
      <c r="EGF14" s="109"/>
      <c r="EGG14" s="107" t="s">
        <v>1</v>
      </c>
      <c r="EGH14" s="108"/>
      <c r="EGI14" s="108"/>
      <c r="EGJ14" s="109"/>
      <c r="EGK14" s="107" t="s">
        <v>1</v>
      </c>
      <c r="EGL14" s="108"/>
      <c r="EGM14" s="108"/>
      <c r="EGN14" s="109"/>
      <c r="EGO14" s="107" t="s">
        <v>1</v>
      </c>
      <c r="EGP14" s="108"/>
      <c r="EGQ14" s="108"/>
      <c r="EGR14" s="109"/>
      <c r="EGS14" s="107" t="s">
        <v>1</v>
      </c>
      <c r="EGT14" s="108"/>
      <c r="EGU14" s="108"/>
      <c r="EGV14" s="109"/>
      <c r="EGW14" s="107" t="s">
        <v>1</v>
      </c>
      <c r="EGX14" s="108"/>
      <c r="EGY14" s="108"/>
      <c r="EGZ14" s="109"/>
      <c r="EHA14" s="107" t="s">
        <v>1</v>
      </c>
      <c r="EHB14" s="108"/>
      <c r="EHC14" s="108"/>
      <c r="EHD14" s="109"/>
      <c r="EHE14" s="107" t="s">
        <v>1</v>
      </c>
      <c r="EHF14" s="108"/>
      <c r="EHG14" s="108"/>
      <c r="EHH14" s="109"/>
      <c r="EHI14" s="107" t="s">
        <v>1</v>
      </c>
      <c r="EHJ14" s="108"/>
      <c r="EHK14" s="108"/>
      <c r="EHL14" s="109"/>
      <c r="EHM14" s="107" t="s">
        <v>1</v>
      </c>
      <c r="EHN14" s="108"/>
      <c r="EHO14" s="108"/>
      <c r="EHP14" s="109"/>
      <c r="EHQ14" s="107" t="s">
        <v>1</v>
      </c>
      <c r="EHR14" s="108"/>
      <c r="EHS14" s="108"/>
      <c r="EHT14" s="109"/>
      <c r="EHU14" s="107" t="s">
        <v>1</v>
      </c>
      <c r="EHV14" s="108"/>
      <c r="EHW14" s="108"/>
      <c r="EHX14" s="109"/>
      <c r="EHY14" s="107" t="s">
        <v>1</v>
      </c>
      <c r="EHZ14" s="108"/>
      <c r="EIA14" s="108"/>
      <c r="EIB14" s="109"/>
      <c r="EIC14" s="107" t="s">
        <v>1</v>
      </c>
      <c r="EID14" s="108"/>
      <c r="EIE14" s="108"/>
      <c r="EIF14" s="109"/>
      <c r="EIG14" s="107" t="s">
        <v>1</v>
      </c>
      <c r="EIH14" s="108"/>
      <c r="EII14" s="108"/>
      <c r="EIJ14" s="109"/>
      <c r="EIK14" s="107" t="s">
        <v>1</v>
      </c>
      <c r="EIL14" s="108"/>
      <c r="EIM14" s="108"/>
      <c r="EIN14" s="109"/>
      <c r="EIO14" s="107" t="s">
        <v>1</v>
      </c>
      <c r="EIP14" s="108"/>
      <c r="EIQ14" s="108"/>
      <c r="EIR14" s="109"/>
      <c r="EIS14" s="107" t="s">
        <v>1</v>
      </c>
      <c r="EIT14" s="108"/>
      <c r="EIU14" s="108"/>
      <c r="EIV14" s="109"/>
      <c r="EIW14" s="107" t="s">
        <v>1</v>
      </c>
      <c r="EIX14" s="108"/>
      <c r="EIY14" s="108"/>
      <c r="EIZ14" s="109"/>
      <c r="EJA14" s="107" t="s">
        <v>1</v>
      </c>
      <c r="EJB14" s="108"/>
      <c r="EJC14" s="108"/>
      <c r="EJD14" s="109"/>
      <c r="EJE14" s="107" t="s">
        <v>1</v>
      </c>
      <c r="EJF14" s="108"/>
      <c r="EJG14" s="108"/>
      <c r="EJH14" s="109"/>
      <c r="EJI14" s="107" t="s">
        <v>1</v>
      </c>
      <c r="EJJ14" s="108"/>
      <c r="EJK14" s="108"/>
      <c r="EJL14" s="109"/>
      <c r="EJM14" s="107" t="s">
        <v>1</v>
      </c>
      <c r="EJN14" s="108"/>
      <c r="EJO14" s="108"/>
      <c r="EJP14" s="109"/>
      <c r="EJQ14" s="107" t="s">
        <v>1</v>
      </c>
      <c r="EJR14" s="108"/>
      <c r="EJS14" s="108"/>
      <c r="EJT14" s="109"/>
      <c r="EJU14" s="107" t="s">
        <v>1</v>
      </c>
      <c r="EJV14" s="108"/>
      <c r="EJW14" s="108"/>
      <c r="EJX14" s="109"/>
      <c r="EJY14" s="107" t="s">
        <v>1</v>
      </c>
      <c r="EJZ14" s="108"/>
      <c r="EKA14" s="108"/>
      <c r="EKB14" s="109"/>
      <c r="EKC14" s="107" t="s">
        <v>1</v>
      </c>
      <c r="EKD14" s="108"/>
      <c r="EKE14" s="108"/>
      <c r="EKF14" s="109"/>
      <c r="EKG14" s="107" t="s">
        <v>1</v>
      </c>
      <c r="EKH14" s="108"/>
      <c r="EKI14" s="108"/>
      <c r="EKJ14" s="109"/>
      <c r="EKK14" s="107" t="s">
        <v>1</v>
      </c>
      <c r="EKL14" s="108"/>
      <c r="EKM14" s="108"/>
      <c r="EKN14" s="109"/>
      <c r="EKO14" s="107" t="s">
        <v>1</v>
      </c>
      <c r="EKP14" s="108"/>
      <c r="EKQ14" s="108"/>
      <c r="EKR14" s="109"/>
      <c r="EKS14" s="107" t="s">
        <v>1</v>
      </c>
      <c r="EKT14" s="108"/>
      <c r="EKU14" s="108"/>
      <c r="EKV14" s="109"/>
      <c r="EKW14" s="107" t="s">
        <v>1</v>
      </c>
      <c r="EKX14" s="108"/>
      <c r="EKY14" s="108"/>
      <c r="EKZ14" s="109"/>
      <c r="ELA14" s="107" t="s">
        <v>1</v>
      </c>
      <c r="ELB14" s="108"/>
      <c r="ELC14" s="108"/>
      <c r="ELD14" s="109"/>
      <c r="ELE14" s="107" t="s">
        <v>1</v>
      </c>
      <c r="ELF14" s="108"/>
      <c r="ELG14" s="108"/>
      <c r="ELH14" s="109"/>
      <c r="ELI14" s="107" t="s">
        <v>1</v>
      </c>
      <c r="ELJ14" s="108"/>
      <c r="ELK14" s="108"/>
      <c r="ELL14" s="109"/>
      <c r="ELM14" s="107" t="s">
        <v>1</v>
      </c>
      <c r="ELN14" s="108"/>
      <c r="ELO14" s="108"/>
      <c r="ELP14" s="109"/>
      <c r="ELQ14" s="107" t="s">
        <v>1</v>
      </c>
      <c r="ELR14" s="108"/>
      <c r="ELS14" s="108"/>
      <c r="ELT14" s="109"/>
      <c r="ELU14" s="107" t="s">
        <v>1</v>
      </c>
      <c r="ELV14" s="108"/>
      <c r="ELW14" s="108"/>
      <c r="ELX14" s="109"/>
      <c r="ELY14" s="107" t="s">
        <v>1</v>
      </c>
      <c r="ELZ14" s="108"/>
      <c r="EMA14" s="108"/>
      <c r="EMB14" s="109"/>
      <c r="EMC14" s="107" t="s">
        <v>1</v>
      </c>
      <c r="EMD14" s="108"/>
      <c r="EME14" s="108"/>
      <c r="EMF14" s="109"/>
      <c r="EMG14" s="107" t="s">
        <v>1</v>
      </c>
      <c r="EMH14" s="108"/>
      <c r="EMI14" s="108"/>
      <c r="EMJ14" s="109"/>
      <c r="EMK14" s="107" t="s">
        <v>1</v>
      </c>
      <c r="EML14" s="108"/>
      <c r="EMM14" s="108"/>
      <c r="EMN14" s="109"/>
      <c r="EMO14" s="107" t="s">
        <v>1</v>
      </c>
      <c r="EMP14" s="108"/>
      <c r="EMQ14" s="108"/>
      <c r="EMR14" s="109"/>
      <c r="EMS14" s="107" t="s">
        <v>1</v>
      </c>
      <c r="EMT14" s="108"/>
      <c r="EMU14" s="108"/>
      <c r="EMV14" s="109"/>
      <c r="EMW14" s="107" t="s">
        <v>1</v>
      </c>
      <c r="EMX14" s="108"/>
      <c r="EMY14" s="108"/>
      <c r="EMZ14" s="109"/>
      <c r="ENA14" s="107" t="s">
        <v>1</v>
      </c>
      <c r="ENB14" s="108"/>
      <c r="ENC14" s="108"/>
      <c r="END14" s="109"/>
      <c r="ENE14" s="107" t="s">
        <v>1</v>
      </c>
      <c r="ENF14" s="108"/>
      <c r="ENG14" s="108"/>
      <c r="ENH14" s="109"/>
      <c r="ENI14" s="107" t="s">
        <v>1</v>
      </c>
      <c r="ENJ14" s="108"/>
      <c r="ENK14" s="108"/>
      <c r="ENL14" s="109"/>
      <c r="ENM14" s="107" t="s">
        <v>1</v>
      </c>
      <c r="ENN14" s="108"/>
      <c r="ENO14" s="108"/>
      <c r="ENP14" s="109"/>
      <c r="ENQ14" s="107" t="s">
        <v>1</v>
      </c>
      <c r="ENR14" s="108"/>
      <c r="ENS14" s="108"/>
      <c r="ENT14" s="109"/>
      <c r="ENU14" s="107" t="s">
        <v>1</v>
      </c>
      <c r="ENV14" s="108"/>
      <c r="ENW14" s="108"/>
      <c r="ENX14" s="109"/>
      <c r="ENY14" s="107" t="s">
        <v>1</v>
      </c>
      <c r="ENZ14" s="108"/>
      <c r="EOA14" s="108"/>
      <c r="EOB14" s="109"/>
      <c r="EOC14" s="107" t="s">
        <v>1</v>
      </c>
      <c r="EOD14" s="108"/>
      <c r="EOE14" s="108"/>
      <c r="EOF14" s="109"/>
      <c r="EOG14" s="107" t="s">
        <v>1</v>
      </c>
      <c r="EOH14" s="108"/>
      <c r="EOI14" s="108"/>
      <c r="EOJ14" s="109"/>
      <c r="EOK14" s="107" t="s">
        <v>1</v>
      </c>
      <c r="EOL14" s="108"/>
      <c r="EOM14" s="108"/>
      <c r="EON14" s="109"/>
      <c r="EOO14" s="107" t="s">
        <v>1</v>
      </c>
      <c r="EOP14" s="108"/>
      <c r="EOQ14" s="108"/>
      <c r="EOR14" s="109"/>
      <c r="EOS14" s="107" t="s">
        <v>1</v>
      </c>
      <c r="EOT14" s="108"/>
      <c r="EOU14" s="108"/>
      <c r="EOV14" s="109"/>
      <c r="EOW14" s="107" t="s">
        <v>1</v>
      </c>
      <c r="EOX14" s="108"/>
      <c r="EOY14" s="108"/>
      <c r="EOZ14" s="109"/>
      <c r="EPA14" s="107" t="s">
        <v>1</v>
      </c>
      <c r="EPB14" s="108"/>
      <c r="EPC14" s="108"/>
      <c r="EPD14" s="109"/>
      <c r="EPE14" s="107" t="s">
        <v>1</v>
      </c>
      <c r="EPF14" s="108"/>
      <c r="EPG14" s="108"/>
      <c r="EPH14" s="109"/>
      <c r="EPI14" s="107" t="s">
        <v>1</v>
      </c>
      <c r="EPJ14" s="108"/>
      <c r="EPK14" s="108"/>
      <c r="EPL14" s="109"/>
      <c r="EPM14" s="107" t="s">
        <v>1</v>
      </c>
      <c r="EPN14" s="108"/>
      <c r="EPO14" s="108"/>
      <c r="EPP14" s="109"/>
      <c r="EPQ14" s="107" t="s">
        <v>1</v>
      </c>
      <c r="EPR14" s="108"/>
      <c r="EPS14" s="108"/>
      <c r="EPT14" s="109"/>
      <c r="EPU14" s="107" t="s">
        <v>1</v>
      </c>
      <c r="EPV14" s="108"/>
      <c r="EPW14" s="108"/>
      <c r="EPX14" s="109"/>
      <c r="EPY14" s="107" t="s">
        <v>1</v>
      </c>
      <c r="EPZ14" s="108"/>
      <c r="EQA14" s="108"/>
      <c r="EQB14" s="109"/>
      <c r="EQC14" s="107" t="s">
        <v>1</v>
      </c>
      <c r="EQD14" s="108"/>
      <c r="EQE14" s="108"/>
      <c r="EQF14" s="109"/>
      <c r="EQG14" s="107" t="s">
        <v>1</v>
      </c>
      <c r="EQH14" s="108"/>
      <c r="EQI14" s="108"/>
      <c r="EQJ14" s="109"/>
      <c r="EQK14" s="107" t="s">
        <v>1</v>
      </c>
      <c r="EQL14" s="108"/>
      <c r="EQM14" s="108"/>
      <c r="EQN14" s="109"/>
      <c r="EQO14" s="107" t="s">
        <v>1</v>
      </c>
      <c r="EQP14" s="108"/>
      <c r="EQQ14" s="108"/>
      <c r="EQR14" s="109"/>
      <c r="EQS14" s="107" t="s">
        <v>1</v>
      </c>
      <c r="EQT14" s="108"/>
      <c r="EQU14" s="108"/>
      <c r="EQV14" s="109"/>
      <c r="EQW14" s="107" t="s">
        <v>1</v>
      </c>
      <c r="EQX14" s="108"/>
      <c r="EQY14" s="108"/>
      <c r="EQZ14" s="109"/>
      <c r="ERA14" s="107" t="s">
        <v>1</v>
      </c>
      <c r="ERB14" s="108"/>
      <c r="ERC14" s="108"/>
      <c r="ERD14" s="109"/>
      <c r="ERE14" s="107" t="s">
        <v>1</v>
      </c>
      <c r="ERF14" s="108"/>
      <c r="ERG14" s="108"/>
      <c r="ERH14" s="109"/>
      <c r="ERI14" s="107" t="s">
        <v>1</v>
      </c>
      <c r="ERJ14" s="108"/>
      <c r="ERK14" s="108"/>
      <c r="ERL14" s="109"/>
      <c r="ERM14" s="107" t="s">
        <v>1</v>
      </c>
      <c r="ERN14" s="108"/>
      <c r="ERO14" s="108"/>
      <c r="ERP14" s="109"/>
      <c r="ERQ14" s="107" t="s">
        <v>1</v>
      </c>
      <c r="ERR14" s="108"/>
      <c r="ERS14" s="108"/>
      <c r="ERT14" s="109"/>
      <c r="ERU14" s="107" t="s">
        <v>1</v>
      </c>
      <c r="ERV14" s="108"/>
      <c r="ERW14" s="108"/>
      <c r="ERX14" s="109"/>
      <c r="ERY14" s="107" t="s">
        <v>1</v>
      </c>
      <c r="ERZ14" s="108"/>
      <c r="ESA14" s="108"/>
      <c r="ESB14" s="109"/>
      <c r="ESC14" s="107" t="s">
        <v>1</v>
      </c>
      <c r="ESD14" s="108"/>
      <c r="ESE14" s="108"/>
      <c r="ESF14" s="109"/>
      <c r="ESG14" s="107" t="s">
        <v>1</v>
      </c>
      <c r="ESH14" s="108"/>
      <c r="ESI14" s="108"/>
      <c r="ESJ14" s="109"/>
      <c r="ESK14" s="107" t="s">
        <v>1</v>
      </c>
      <c r="ESL14" s="108"/>
      <c r="ESM14" s="108"/>
      <c r="ESN14" s="109"/>
      <c r="ESO14" s="107" t="s">
        <v>1</v>
      </c>
      <c r="ESP14" s="108"/>
      <c r="ESQ14" s="108"/>
      <c r="ESR14" s="109"/>
      <c r="ESS14" s="107" t="s">
        <v>1</v>
      </c>
      <c r="EST14" s="108"/>
      <c r="ESU14" s="108"/>
      <c r="ESV14" s="109"/>
      <c r="ESW14" s="107" t="s">
        <v>1</v>
      </c>
      <c r="ESX14" s="108"/>
      <c r="ESY14" s="108"/>
      <c r="ESZ14" s="109"/>
      <c r="ETA14" s="107" t="s">
        <v>1</v>
      </c>
      <c r="ETB14" s="108"/>
      <c r="ETC14" s="108"/>
      <c r="ETD14" s="109"/>
      <c r="ETE14" s="107" t="s">
        <v>1</v>
      </c>
      <c r="ETF14" s="108"/>
      <c r="ETG14" s="108"/>
      <c r="ETH14" s="109"/>
      <c r="ETI14" s="107" t="s">
        <v>1</v>
      </c>
      <c r="ETJ14" s="108"/>
      <c r="ETK14" s="108"/>
      <c r="ETL14" s="109"/>
      <c r="ETM14" s="107" t="s">
        <v>1</v>
      </c>
      <c r="ETN14" s="108"/>
      <c r="ETO14" s="108"/>
      <c r="ETP14" s="109"/>
      <c r="ETQ14" s="107" t="s">
        <v>1</v>
      </c>
      <c r="ETR14" s="108"/>
      <c r="ETS14" s="108"/>
      <c r="ETT14" s="109"/>
      <c r="ETU14" s="107" t="s">
        <v>1</v>
      </c>
      <c r="ETV14" s="108"/>
      <c r="ETW14" s="108"/>
      <c r="ETX14" s="109"/>
      <c r="ETY14" s="107" t="s">
        <v>1</v>
      </c>
      <c r="ETZ14" s="108"/>
      <c r="EUA14" s="108"/>
      <c r="EUB14" s="109"/>
      <c r="EUC14" s="107" t="s">
        <v>1</v>
      </c>
      <c r="EUD14" s="108"/>
      <c r="EUE14" s="108"/>
      <c r="EUF14" s="109"/>
      <c r="EUG14" s="107" t="s">
        <v>1</v>
      </c>
      <c r="EUH14" s="108"/>
      <c r="EUI14" s="108"/>
      <c r="EUJ14" s="109"/>
      <c r="EUK14" s="107" t="s">
        <v>1</v>
      </c>
      <c r="EUL14" s="108"/>
      <c r="EUM14" s="108"/>
      <c r="EUN14" s="109"/>
      <c r="EUO14" s="107" t="s">
        <v>1</v>
      </c>
      <c r="EUP14" s="108"/>
      <c r="EUQ14" s="108"/>
      <c r="EUR14" s="109"/>
      <c r="EUS14" s="107" t="s">
        <v>1</v>
      </c>
      <c r="EUT14" s="108"/>
      <c r="EUU14" s="108"/>
      <c r="EUV14" s="109"/>
      <c r="EUW14" s="107" t="s">
        <v>1</v>
      </c>
      <c r="EUX14" s="108"/>
      <c r="EUY14" s="108"/>
      <c r="EUZ14" s="109"/>
      <c r="EVA14" s="107" t="s">
        <v>1</v>
      </c>
      <c r="EVB14" s="108"/>
      <c r="EVC14" s="108"/>
      <c r="EVD14" s="109"/>
      <c r="EVE14" s="107" t="s">
        <v>1</v>
      </c>
      <c r="EVF14" s="108"/>
      <c r="EVG14" s="108"/>
      <c r="EVH14" s="109"/>
      <c r="EVI14" s="107" t="s">
        <v>1</v>
      </c>
      <c r="EVJ14" s="108"/>
      <c r="EVK14" s="108"/>
      <c r="EVL14" s="109"/>
      <c r="EVM14" s="107" t="s">
        <v>1</v>
      </c>
      <c r="EVN14" s="108"/>
      <c r="EVO14" s="108"/>
      <c r="EVP14" s="109"/>
      <c r="EVQ14" s="107" t="s">
        <v>1</v>
      </c>
      <c r="EVR14" s="108"/>
      <c r="EVS14" s="108"/>
      <c r="EVT14" s="109"/>
      <c r="EVU14" s="107" t="s">
        <v>1</v>
      </c>
      <c r="EVV14" s="108"/>
      <c r="EVW14" s="108"/>
      <c r="EVX14" s="109"/>
      <c r="EVY14" s="107" t="s">
        <v>1</v>
      </c>
      <c r="EVZ14" s="108"/>
      <c r="EWA14" s="108"/>
      <c r="EWB14" s="109"/>
      <c r="EWC14" s="107" t="s">
        <v>1</v>
      </c>
      <c r="EWD14" s="108"/>
      <c r="EWE14" s="108"/>
      <c r="EWF14" s="109"/>
      <c r="EWG14" s="107" t="s">
        <v>1</v>
      </c>
      <c r="EWH14" s="108"/>
      <c r="EWI14" s="108"/>
      <c r="EWJ14" s="109"/>
      <c r="EWK14" s="107" t="s">
        <v>1</v>
      </c>
      <c r="EWL14" s="108"/>
      <c r="EWM14" s="108"/>
      <c r="EWN14" s="109"/>
      <c r="EWO14" s="107" t="s">
        <v>1</v>
      </c>
      <c r="EWP14" s="108"/>
      <c r="EWQ14" s="108"/>
      <c r="EWR14" s="109"/>
      <c r="EWS14" s="107" t="s">
        <v>1</v>
      </c>
      <c r="EWT14" s="108"/>
      <c r="EWU14" s="108"/>
      <c r="EWV14" s="109"/>
      <c r="EWW14" s="107" t="s">
        <v>1</v>
      </c>
      <c r="EWX14" s="108"/>
      <c r="EWY14" s="108"/>
      <c r="EWZ14" s="109"/>
      <c r="EXA14" s="107" t="s">
        <v>1</v>
      </c>
      <c r="EXB14" s="108"/>
      <c r="EXC14" s="108"/>
      <c r="EXD14" s="109"/>
      <c r="EXE14" s="107" t="s">
        <v>1</v>
      </c>
      <c r="EXF14" s="108"/>
      <c r="EXG14" s="108"/>
      <c r="EXH14" s="109"/>
      <c r="EXI14" s="107" t="s">
        <v>1</v>
      </c>
      <c r="EXJ14" s="108"/>
      <c r="EXK14" s="108"/>
      <c r="EXL14" s="109"/>
      <c r="EXM14" s="107" t="s">
        <v>1</v>
      </c>
      <c r="EXN14" s="108"/>
      <c r="EXO14" s="108"/>
      <c r="EXP14" s="109"/>
      <c r="EXQ14" s="107" t="s">
        <v>1</v>
      </c>
      <c r="EXR14" s="108"/>
      <c r="EXS14" s="108"/>
      <c r="EXT14" s="109"/>
      <c r="EXU14" s="107" t="s">
        <v>1</v>
      </c>
      <c r="EXV14" s="108"/>
      <c r="EXW14" s="108"/>
      <c r="EXX14" s="109"/>
      <c r="EXY14" s="107" t="s">
        <v>1</v>
      </c>
      <c r="EXZ14" s="108"/>
      <c r="EYA14" s="108"/>
      <c r="EYB14" s="109"/>
      <c r="EYC14" s="107" t="s">
        <v>1</v>
      </c>
      <c r="EYD14" s="108"/>
      <c r="EYE14" s="108"/>
      <c r="EYF14" s="109"/>
      <c r="EYG14" s="107" t="s">
        <v>1</v>
      </c>
      <c r="EYH14" s="108"/>
      <c r="EYI14" s="108"/>
      <c r="EYJ14" s="109"/>
      <c r="EYK14" s="107" t="s">
        <v>1</v>
      </c>
      <c r="EYL14" s="108"/>
      <c r="EYM14" s="108"/>
      <c r="EYN14" s="109"/>
      <c r="EYO14" s="107" t="s">
        <v>1</v>
      </c>
      <c r="EYP14" s="108"/>
      <c r="EYQ14" s="108"/>
      <c r="EYR14" s="109"/>
      <c r="EYS14" s="107" t="s">
        <v>1</v>
      </c>
      <c r="EYT14" s="108"/>
      <c r="EYU14" s="108"/>
      <c r="EYV14" s="109"/>
      <c r="EYW14" s="107" t="s">
        <v>1</v>
      </c>
      <c r="EYX14" s="108"/>
      <c r="EYY14" s="108"/>
      <c r="EYZ14" s="109"/>
      <c r="EZA14" s="107" t="s">
        <v>1</v>
      </c>
      <c r="EZB14" s="108"/>
      <c r="EZC14" s="108"/>
      <c r="EZD14" s="109"/>
      <c r="EZE14" s="107" t="s">
        <v>1</v>
      </c>
      <c r="EZF14" s="108"/>
      <c r="EZG14" s="108"/>
      <c r="EZH14" s="109"/>
      <c r="EZI14" s="107" t="s">
        <v>1</v>
      </c>
      <c r="EZJ14" s="108"/>
      <c r="EZK14" s="108"/>
      <c r="EZL14" s="109"/>
      <c r="EZM14" s="107" t="s">
        <v>1</v>
      </c>
      <c r="EZN14" s="108"/>
      <c r="EZO14" s="108"/>
      <c r="EZP14" s="109"/>
      <c r="EZQ14" s="107" t="s">
        <v>1</v>
      </c>
      <c r="EZR14" s="108"/>
      <c r="EZS14" s="108"/>
      <c r="EZT14" s="109"/>
      <c r="EZU14" s="107" t="s">
        <v>1</v>
      </c>
      <c r="EZV14" s="108"/>
      <c r="EZW14" s="108"/>
      <c r="EZX14" s="109"/>
      <c r="EZY14" s="107" t="s">
        <v>1</v>
      </c>
      <c r="EZZ14" s="108"/>
      <c r="FAA14" s="108"/>
      <c r="FAB14" s="109"/>
      <c r="FAC14" s="107" t="s">
        <v>1</v>
      </c>
      <c r="FAD14" s="108"/>
      <c r="FAE14" s="108"/>
      <c r="FAF14" s="109"/>
      <c r="FAG14" s="107" t="s">
        <v>1</v>
      </c>
      <c r="FAH14" s="108"/>
      <c r="FAI14" s="108"/>
      <c r="FAJ14" s="109"/>
      <c r="FAK14" s="107" t="s">
        <v>1</v>
      </c>
      <c r="FAL14" s="108"/>
      <c r="FAM14" s="108"/>
      <c r="FAN14" s="109"/>
      <c r="FAO14" s="107" t="s">
        <v>1</v>
      </c>
      <c r="FAP14" s="108"/>
      <c r="FAQ14" s="108"/>
      <c r="FAR14" s="109"/>
      <c r="FAS14" s="107" t="s">
        <v>1</v>
      </c>
      <c r="FAT14" s="108"/>
      <c r="FAU14" s="108"/>
      <c r="FAV14" s="109"/>
      <c r="FAW14" s="107" t="s">
        <v>1</v>
      </c>
      <c r="FAX14" s="108"/>
      <c r="FAY14" s="108"/>
      <c r="FAZ14" s="109"/>
      <c r="FBA14" s="107" t="s">
        <v>1</v>
      </c>
      <c r="FBB14" s="108"/>
      <c r="FBC14" s="108"/>
      <c r="FBD14" s="109"/>
      <c r="FBE14" s="107" t="s">
        <v>1</v>
      </c>
      <c r="FBF14" s="108"/>
      <c r="FBG14" s="108"/>
      <c r="FBH14" s="109"/>
      <c r="FBI14" s="107" t="s">
        <v>1</v>
      </c>
      <c r="FBJ14" s="108"/>
      <c r="FBK14" s="108"/>
      <c r="FBL14" s="109"/>
      <c r="FBM14" s="107" t="s">
        <v>1</v>
      </c>
      <c r="FBN14" s="108"/>
      <c r="FBO14" s="108"/>
      <c r="FBP14" s="109"/>
      <c r="FBQ14" s="107" t="s">
        <v>1</v>
      </c>
      <c r="FBR14" s="108"/>
      <c r="FBS14" s="108"/>
      <c r="FBT14" s="109"/>
      <c r="FBU14" s="107" t="s">
        <v>1</v>
      </c>
      <c r="FBV14" s="108"/>
      <c r="FBW14" s="108"/>
      <c r="FBX14" s="109"/>
      <c r="FBY14" s="107" t="s">
        <v>1</v>
      </c>
      <c r="FBZ14" s="108"/>
      <c r="FCA14" s="108"/>
      <c r="FCB14" s="109"/>
      <c r="FCC14" s="107" t="s">
        <v>1</v>
      </c>
      <c r="FCD14" s="108"/>
      <c r="FCE14" s="108"/>
      <c r="FCF14" s="109"/>
      <c r="FCG14" s="107" t="s">
        <v>1</v>
      </c>
      <c r="FCH14" s="108"/>
      <c r="FCI14" s="108"/>
      <c r="FCJ14" s="109"/>
      <c r="FCK14" s="107" t="s">
        <v>1</v>
      </c>
      <c r="FCL14" s="108"/>
      <c r="FCM14" s="108"/>
      <c r="FCN14" s="109"/>
      <c r="FCO14" s="107" t="s">
        <v>1</v>
      </c>
      <c r="FCP14" s="108"/>
      <c r="FCQ14" s="108"/>
      <c r="FCR14" s="109"/>
      <c r="FCS14" s="107" t="s">
        <v>1</v>
      </c>
      <c r="FCT14" s="108"/>
      <c r="FCU14" s="108"/>
      <c r="FCV14" s="109"/>
      <c r="FCW14" s="107" t="s">
        <v>1</v>
      </c>
      <c r="FCX14" s="108"/>
      <c r="FCY14" s="108"/>
      <c r="FCZ14" s="109"/>
      <c r="FDA14" s="107" t="s">
        <v>1</v>
      </c>
      <c r="FDB14" s="108"/>
      <c r="FDC14" s="108"/>
      <c r="FDD14" s="109"/>
      <c r="FDE14" s="107" t="s">
        <v>1</v>
      </c>
      <c r="FDF14" s="108"/>
      <c r="FDG14" s="108"/>
      <c r="FDH14" s="109"/>
      <c r="FDI14" s="107" t="s">
        <v>1</v>
      </c>
      <c r="FDJ14" s="108"/>
      <c r="FDK14" s="108"/>
      <c r="FDL14" s="109"/>
      <c r="FDM14" s="107" t="s">
        <v>1</v>
      </c>
      <c r="FDN14" s="108"/>
      <c r="FDO14" s="108"/>
      <c r="FDP14" s="109"/>
      <c r="FDQ14" s="107" t="s">
        <v>1</v>
      </c>
      <c r="FDR14" s="108"/>
      <c r="FDS14" s="108"/>
      <c r="FDT14" s="109"/>
      <c r="FDU14" s="107" t="s">
        <v>1</v>
      </c>
      <c r="FDV14" s="108"/>
      <c r="FDW14" s="108"/>
      <c r="FDX14" s="109"/>
      <c r="FDY14" s="107" t="s">
        <v>1</v>
      </c>
      <c r="FDZ14" s="108"/>
      <c r="FEA14" s="108"/>
      <c r="FEB14" s="109"/>
      <c r="FEC14" s="107" t="s">
        <v>1</v>
      </c>
      <c r="FED14" s="108"/>
      <c r="FEE14" s="108"/>
      <c r="FEF14" s="109"/>
      <c r="FEG14" s="107" t="s">
        <v>1</v>
      </c>
      <c r="FEH14" s="108"/>
      <c r="FEI14" s="108"/>
      <c r="FEJ14" s="109"/>
      <c r="FEK14" s="107" t="s">
        <v>1</v>
      </c>
      <c r="FEL14" s="108"/>
      <c r="FEM14" s="108"/>
      <c r="FEN14" s="109"/>
      <c r="FEO14" s="107" t="s">
        <v>1</v>
      </c>
      <c r="FEP14" s="108"/>
      <c r="FEQ14" s="108"/>
      <c r="FER14" s="109"/>
      <c r="FES14" s="107" t="s">
        <v>1</v>
      </c>
      <c r="FET14" s="108"/>
      <c r="FEU14" s="108"/>
      <c r="FEV14" s="109"/>
      <c r="FEW14" s="107" t="s">
        <v>1</v>
      </c>
      <c r="FEX14" s="108"/>
      <c r="FEY14" s="108"/>
      <c r="FEZ14" s="109"/>
      <c r="FFA14" s="107" t="s">
        <v>1</v>
      </c>
      <c r="FFB14" s="108"/>
      <c r="FFC14" s="108"/>
      <c r="FFD14" s="109"/>
      <c r="FFE14" s="107" t="s">
        <v>1</v>
      </c>
      <c r="FFF14" s="108"/>
      <c r="FFG14" s="108"/>
      <c r="FFH14" s="109"/>
      <c r="FFI14" s="107" t="s">
        <v>1</v>
      </c>
      <c r="FFJ14" s="108"/>
      <c r="FFK14" s="108"/>
      <c r="FFL14" s="109"/>
      <c r="FFM14" s="107" t="s">
        <v>1</v>
      </c>
      <c r="FFN14" s="108"/>
      <c r="FFO14" s="108"/>
      <c r="FFP14" s="109"/>
      <c r="FFQ14" s="107" t="s">
        <v>1</v>
      </c>
      <c r="FFR14" s="108"/>
      <c r="FFS14" s="108"/>
      <c r="FFT14" s="109"/>
      <c r="FFU14" s="107" t="s">
        <v>1</v>
      </c>
      <c r="FFV14" s="108"/>
      <c r="FFW14" s="108"/>
      <c r="FFX14" s="109"/>
      <c r="FFY14" s="107" t="s">
        <v>1</v>
      </c>
      <c r="FFZ14" s="108"/>
      <c r="FGA14" s="108"/>
      <c r="FGB14" s="109"/>
      <c r="FGC14" s="107" t="s">
        <v>1</v>
      </c>
      <c r="FGD14" s="108"/>
      <c r="FGE14" s="108"/>
      <c r="FGF14" s="109"/>
      <c r="FGG14" s="107" t="s">
        <v>1</v>
      </c>
      <c r="FGH14" s="108"/>
      <c r="FGI14" s="108"/>
      <c r="FGJ14" s="109"/>
      <c r="FGK14" s="107" t="s">
        <v>1</v>
      </c>
      <c r="FGL14" s="108"/>
      <c r="FGM14" s="108"/>
      <c r="FGN14" s="109"/>
      <c r="FGO14" s="107" t="s">
        <v>1</v>
      </c>
      <c r="FGP14" s="108"/>
      <c r="FGQ14" s="108"/>
      <c r="FGR14" s="109"/>
      <c r="FGS14" s="107" t="s">
        <v>1</v>
      </c>
      <c r="FGT14" s="108"/>
      <c r="FGU14" s="108"/>
      <c r="FGV14" s="109"/>
      <c r="FGW14" s="107" t="s">
        <v>1</v>
      </c>
      <c r="FGX14" s="108"/>
      <c r="FGY14" s="108"/>
      <c r="FGZ14" s="109"/>
      <c r="FHA14" s="107" t="s">
        <v>1</v>
      </c>
      <c r="FHB14" s="108"/>
      <c r="FHC14" s="108"/>
      <c r="FHD14" s="109"/>
      <c r="FHE14" s="107" t="s">
        <v>1</v>
      </c>
      <c r="FHF14" s="108"/>
      <c r="FHG14" s="108"/>
      <c r="FHH14" s="109"/>
      <c r="FHI14" s="107" t="s">
        <v>1</v>
      </c>
      <c r="FHJ14" s="108"/>
      <c r="FHK14" s="108"/>
      <c r="FHL14" s="109"/>
      <c r="FHM14" s="107" t="s">
        <v>1</v>
      </c>
      <c r="FHN14" s="108"/>
      <c r="FHO14" s="108"/>
      <c r="FHP14" s="109"/>
      <c r="FHQ14" s="107" t="s">
        <v>1</v>
      </c>
      <c r="FHR14" s="108"/>
      <c r="FHS14" s="108"/>
      <c r="FHT14" s="109"/>
      <c r="FHU14" s="107" t="s">
        <v>1</v>
      </c>
      <c r="FHV14" s="108"/>
      <c r="FHW14" s="108"/>
      <c r="FHX14" s="109"/>
      <c r="FHY14" s="107" t="s">
        <v>1</v>
      </c>
      <c r="FHZ14" s="108"/>
      <c r="FIA14" s="108"/>
      <c r="FIB14" s="109"/>
      <c r="FIC14" s="107" t="s">
        <v>1</v>
      </c>
      <c r="FID14" s="108"/>
      <c r="FIE14" s="108"/>
      <c r="FIF14" s="109"/>
      <c r="FIG14" s="107" t="s">
        <v>1</v>
      </c>
      <c r="FIH14" s="108"/>
      <c r="FII14" s="108"/>
      <c r="FIJ14" s="109"/>
      <c r="FIK14" s="107" t="s">
        <v>1</v>
      </c>
      <c r="FIL14" s="108"/>
      <c r="FIM14" s="108"/>
      <c r="FIN14" s="109"/>
      <c r="FIO14" s="107" t="s">
        <v>1</v>
      </c>
      <c r="FIP14" s="108"/>
      <c r="FIQ14" s="108"/>
      <c r="FIR14" s="109"/>
      <c r="FIS14" s="107" t="s">
        <v>1</v>
      </c>
      <c r="FIT14" s="108"/>
      <c r="FIU14" s="108"/>
      <c r="FIV14" s="109"/>
      <c r="FIW14" s="107" t="s">
        <v>1</v>
      </c>
      <c r="FIX14" s="108"/>
      <c r="FIY14" s="108"/>
      <c r="FIZ14" s="109"/>
      <c r="FJA14" s="107" t="s">
        <v>1</v>
      </c>
      <c r="FJB14" s="108"/>
      <c r="FJC14" s="108"/>
      <c r="FJD14" s="109"/>
      <c r="FJE14" s="107" t="s">
        <v>1</v>
      </c>
      <c r="FJF14" s="108"/>
      <c r="FJG14" s="108"/>
      <c r="FJH14" s="109"/>
      <c r="FJI14" s="107" t="s">
        <v>1</v>
      </c>
      <c r="FJJ14" s="108"/>
      <c r="FJK14" s="108"/>
      <c r="FJL14" s="109"/>
      <c r="FJM14" s="107" t="s">
        <v>1</v>
      </c>
      <c r="FJN14" s="108"/>
      <c r="FJO14" s="108"/>
      <c r="FJP14" s="109"/>
      <c r="FJQ14" s="107" t="s">
        <v>1</v>
      </c>
      <c r="FJR14" s="108"/>
      <c r="FJS14" s="108"/>
      <c r="FJT14" s="109"/>
      <c r="FJU14" s="107" t="s">
        <v>1</v>
      </c>
      <c r="FJV14" s="108"/>
      <c r="FJW14" s="108"/>
      <c r="FJX14" s="109"/>
      <c r="FJY14" s="107" t="s">
        <v>1</v>
      </c>
      <c r="FJZ14" s="108"/>
      <c r="FKA14" s="108"/>
      <c r="FKB14" s="109"/>
      <c r="FKC14" s="107" t="s">
        <v>1</v>
      </c>
      <c r="FKD14" s="108"/>
      <c r="FKE14" s="108"/>
      <c r="FKF14" s="109"/>
      <c r="FKG14" s="107" t="s">
        <v>1</v>
      </c>
      <c r="FKH14" s="108"/>
      <c r="FKI14" s="108"/>
      <c r="FKJ14" s="109"/>
      <c r="FKK14" s="107" t="s">
        <v>1</v>
      </c>
      <c r="FKL14" s="108"/>
      <c r="FKM14" s="108"/>
      <c r="FKN14" s="109"/>
      <c r="FKO14" s="107" t="s">
        <v>1</v>
      </c>
      <c r="FKP14" s="108"/>
      <c r="FKQ14" s="108"/>
      <c r="FKR14" s="109"/>
      <c r="FKS14" s="107" t="s">
        <v>1</v>
      </c>
      <c r="FKT14" s="108"/>
      <c r="FKU14" s="108"/>
      <c r="FKV14" s="109"/>
      <c r="FKW14" s="107" t="s">
        <v>1</v>
      </c>
      <c r="FKX14" s="108"/>
      <c r="FKY14" s="108"/>
      <c r="FKZ14" s="109"/>
      <c r="FLA14" s="107" t="s">
        <v>1</v>
      </c>
      <c r="FLB14" s="108"/>
      <c r="FLC14" s="108"/>
      <c r="FLD14" s="109"/>
      <c r="FLE14" s="107" t="s">
        <v>1</v>
      </c>
      <c r="FLF14" s="108"/>
      <c r="FLG14" s="108"/>
      <c r="FLH14" s="109"/>
      <c r="FLI14" s="107" t="s">
        <v>1</v>
      </c>
      <c r="FLJ14" s="108"/>
      <c r="FLK14" s="108"/>
      <c r="FLL14" s="109"/>
      <c r="FLM14" s="107" t="s">
        <v>1</v>
      </c>
      <c r="FLN14" s="108"/>
      <c r="FLO14" s="108"/>
      <c r="FLP14" s="109"/>
      <c r="FLQ14" s="107" t="s">
        <v>1</v>
      </c>
      <c r="FLR14" s="108"/>
      <c r="FLS14" s="108"/>
      <c r="FLT14" s="109"/>
      <c r="FLU14" s="107" t="s">
        <v>1</v>
      </c>
      <c r="FLV14" s="108"/>
      <c r="FLW14" s="108"/>
      <c r="FLX14" s="109"/>
      <c r="FLY14" s="107" t="s">
        <v>1</v>
      </c>
      <c r="FLZ14" s="108"/>
      <c r="FMA14" s="108"/>
      <c r="FMB14" s="109"/>
      <c r="FMC14" s="107" t="s">
        <v>1</v>
      </c>
      <c r="FMD14" s="108"/>
      <c r="FME14" s="108"/>
      <c r="FMF14" s="109"/>
      <c r="FMG14" s="107" t="s">
        <v>1</v>
      </c>
      <c r="FMH14" s="108"/>
      <c r="FMI14" s="108"/>
      <c r="FMJ14" s="109"/>
      <c r="FMK14" s="107" t="s">
        <v>1</v>
      </c>
      <c r="FML14" s="108"/>
      <c r="FMM14" s="108"/>
      <c r="FMN14" s="109"/>
      <c r="FMO14" s="107" t="s">
        <v>1</v>
      </c>
      <c r="FMP14" s="108"/>
      <c r="FMQ14" s="108"/>
      <c r="FMR14" s="109"/>
      <c r="FMS14" s="107" t="s">
        <v>1</v>
      </c>
      <c r="FMT14" s="108"/>
      <c r="FMU14" s="108"/>
      <c r="FMV14" s="109"/>
      <c r="FMW14" s="107" t="s">
        <v>1</v>
      </c>
      <c r="FMX14" s="108"/>
      <c r="FMY14" s="108"/>
      <c r="FMZ14" s="109"/>
      <c r="FNA14" s="107" t="s">
        <v>1</v>
      </c>
      <c r="FNB14" s="108"/>
      <c r="FNC14" s="108"/>
      <c r="FND14" s="109"/>
      <c r="FNE14" s="107" t="s">
        <v>1</v>
      </c>
      <c r="FNF14" s="108"/>
      <c r="FNG14" s="108"/>
      <c r="FNH14" s="109"/>
      <c r="FNI14" s="107" t="s">
        <v>1</v>
      </c>
      <c r="FNJ14" s="108"/>
      <c r="FNK14" s="108"/>
      <c r="FNL14" s="109"/>
      <c r="FNM14" s="107" t="s">
        <v>1</v>
      </c>
      <c r="FNN14" s="108"/>
      <c r="FNO14" s="108"/>
      <c r="FNP14" s="109"/>
      <c r="FNQ14" s="107" t="s">
        <v>1</v>
      </c>
      <c r="FNR14" s="108"/>
      <c r="FNS14" s="108"/>
      <c r="FNT14" s="109"/>
      <c r="FNU14" s="107" t="s">
        <v>1</v>
      </c>
      <c r="FNV14" s="108"/>
      <c r="FNW14" s="108"/>
      <c r="FNX14" s="109"/>
      <c r="FNY14" s="107" t="s">
        <v>1</v>
      </c>
      <c r="FNZ14" s="108"/>
      <c r="FOA14" s="108"/>
      <c r="FOB14" s="109"/>
      <c r="FOC14" s="107" t="s">
        <v>1</v>
      </c>
      <c r="FOD14" s="108"/>
      <c r="FOE14" s="108"/>
      <c r="FOF14" s="109"/>
      <c r="FOG14" s="107" t="s">
        <v>1</v>
      </c>
      <c r="FOH14" s="108"/>
      <c r="FOI14" s="108"/>
      <c r="FOJ14" s="109"/>
      <c r="FOK14" s="107" t="s">
        <v>1</v>
      </c>
      <c r="FOL14" s="108"/>
      <c r="FOM14" s="108"/>
      <c r="FON14" s="109"/>
      <c r="FOO14" s="107" t="s">
        <v>1</v>
      </c>
      <c r="FOP14" s="108"/>
      <c r="FOQ14" s="108"/>
      <c r="FOR14" s="109"/>
      <c r="FOS14" s="107" t="s">
        <v>1</v>
      </c>
      <c r="FOT14" s="108"/>
      <c r="FOU14" s="108"/>
      <c r="FOV14" s="109"/>
      <c r="FOW14" s="107" t="s">
        <v>1</v>
      </c>
      <c r="FOX14" s="108"/>
      <c r="FOY14" s="108"/>
      <c r="FOZ14" s="109"/>
      <c r="FPA14" s="107" t="s">
        <v>1</v>
      </c>
      <c r="FPB14" s="108"/>
      <c r="FPC14" s="108"/>
      <c r="FPD14" s="109"/>
      <c r="FPE14" s="107" t="s">
        <v>1</v>
      </c>
      <c r="FPF14" s="108"/>
      <c r="FPG14" s="108"/>
      <c r="FPH14" s="109"/>
      <c r="FPI14" s="107" t="s">
        <v>1</v>
      </c>
      <c r="FPJ14" s="108"/>
      <c r="FPK14" s="108"/>
      <c r="FPL14" s="109"/>
      <c r="FPM14" s="107" t="s">
        <v>1</v>
      </c>
      <c r="FPN14" s="108"/>
      <c r="FPO14" s="108"/>
      <c r="FPP14" s="109"/>
      <c r="FPQ14" s="107" t="s">
        <v>1</v>
      </c>
      <c r="FPR14" s="108"/>
      <c r="FPS14" s="108"/>
      <c r="FPT14" s="109"/>
      <c r="FPU14" s="107" t="s">
        <v>1</v>
      </c>
      <c r="FPV14" s="108"/>
      <c r="FPW14" s="108"/>
      <c r="FPX14" s="109"/>
      <c r="FPY14" s="107" t="s">
        <v>1</v>
      </c>
      <c r="FPZ14" s="108"/>
      <c r="FQA14" s="108"/>
      <c r="FQB14" s="109"/>
      <c r="FQC14" s="107" t="s">
        <v>1</v>
      </c>
      <c r="FQD14" s="108"/>
      <c r="FQE14" s="108"/>
      <c r="FQF14" s="109"/>
      <c r="FQG14" s="107" t="s">
        <v>1</v>
      </c>
      <c r="FQH14" s="108"/>
      <c r="FQI14" s="108"/>
      <c r="FQJ14" s="109"/>
      <c r="FQK14" s="107" t="s">
        <v>1</v>
      </c>
      <c r="FQL14" s="108"/>
      <c r="FQM14" s="108"/>
      <c r="FQN14" s="109"/>
      <c r="FQO14" s="107" t="s">
        <v>1</v>
      </c>
      <c r="FQP14" s="108"/>
      <c r="FQQ14" s="108"/>
      <c r="FQR14" s="109"/>
      <c r="FQS14" s="107" t="s">
        <v>1</v>
      </c>
      <c r="FQT14" s="108"/>
      <c r="FQU14" s="108"/>
      <c r="FQV14" s="109"/>
      <c r="FQW14" s="107" t="s">
        <v>1</v>
      </c>
      <c r="FQX14" s="108"/>
      <c r="FQY14" s="108"/>
      <c r="FQZ14" s="109"/>
      <c r="FRA14" s="107" t="s">
        <v>1</v>
      </c>
      <c r="FRB14" s="108"/>
      <c r="FRC14" s="108"/>
      <c r="FRD14" s="109"/>
      <c r="FRE14" s="107" t="s">
        <v>1</v>
      </c>
      <c r="FRF14" s="108"/>
      <c r="FRG14" s="108"/>
      <c r="FRH14" s="109"/>
      <c r="FRI14" s="107" t="s">
        <v>1</v>
      </c>
      <c r="FRJ14" s="108"/>
      <c r="FRK14" s="108"/>
      <c r="FRL14" s="109"/>
      <c r="FRM14" s="107" t="s">
        <v>1</v>
      </c>
      <c r="FRN14" s="108"/>
      <c r="FRO14" s="108"/>
      <c r="FRP14" s="109"/>
      <c r="FRQ14" s="107" t="s">
        <v>1</v>
      </c>
      <c r="FRR14" s="108"/>
      <c r="FRS14" s="108"/>
      <c r="FRT14" s="109"/>
      <c r="FRU14" s="107" t="s">
        <v>1</v>
      </c>
      <c r="FRV14" s="108"/>
      <c r="FRW14" s="108"/>
      <c r="FRX14" s="109"/>
      <c r="FRY14" s="107" t="s">
        <v>1</v>
      </c>
      <c r="FRZ14" s="108"/>
      <c r="FSA14" s="108"/>
      <c r="FSB14" s="109"/>
      <c r="FSC14" s="107" t="s">
        <v>1</v>
      </c>
      <c r="FSD14" s="108"/>
      <c r="FSE14" s="108"/>
      <c r="FSF14" s="109"/>
      <c r="FSG14" s="107" t="s">
        <v>1</v>
      </c>
      <c r="FSH14" s="108"/>
      <c r="FSI14" s="108"/>
      <c r="FSJ14" s="109"/>
      <c r="FSK14" s="107" t="s">
        <v>1</v>
      </c>
      <c r="FSL14" s="108"/>
      <c r="FSM14" s="108"/>
      <c r="FSN14" s="109"/>
      <c r="FSO14" s="107" t="s">
        <v>1</v>
      </c>
      <c r="FSP14" s="108"/>
      <c r="FSQ14" s="108"/>
      <c r="FSR14" s="109"/>
      <c r="FSS14" s="107" t="s">
        <v>1</v>
      </c>
      <c r="FST14" s="108"/>
      <c r="FSU14" s="108"/>
      <c r="FSV14" s="109"/>
      <c r="FSW14" s="107" t="s">
        <v>1</v>
      </c>
      <c r="FSX14" s="108"/>
      <c r="FSY14" s="108"/>
      <c r="FSZ14" s="109"/>
      <c r="FTA14" s="107" t="s">
        <v>1</v>
      </c>
      <c r="FTB14" s="108"/>
      <c r="FTC14" s="108"/>
      <c r="FTD14" s="109"/>
      <c r="FTE14" s="107" t="s">
        <v>1</v>
      </c>
      <c r="FTF14" s="108"/>
      <c r="FTG14" s="108"/>
      <c r="FTH14" s="109"/>
      <c r="FTI14" s="107" t="s">
        <v>1</v>
      </c>
      <c r="FTJ14" s="108"/>
      <c r="FTK14" s="108"/>
      <c r="FTL14" s="109"/>
      <c r="FTM14" s="107" t="s">
        <v>1</v>
      </c>
      <c r="FTN14" s="108"/>
      <c r="FTO14" s="108"/>
      <c r="FTP14" s="109"/>
      <c r="FTQ14" s="107" t="s">
        <v>1</v>
      </c>
      <c r="FTR14" s="108"/>
      <c r="FTS14" s="108"/>
      <c r="FTT14" s="109"/>
      <c r="FTU14" s="107" t="s">
        <v>1</v>
      </c>
      <c r="FTV14" s="108"/>
      <c r="FTW14" s="108"/>
      <c r="FTX14" s="109"/>
      <c r="FTY14" s="107" t="s">
        <v>1</v>
      </c>
      <c r="FTZ14" s="108"/>
      <c r="FUA14" s="108"/>
      <c r="FUB14" s="109"/>
      <c r="FUC14" s="107" t="s">
        <v>1</v>
      </c>
      <c r="FUD14" s="108"/>
      <c r="FUE14" s="108"/>
      <c r="FUF14" s="109"/>
      <c r="FUG14" s="107" t="s">
        <v>1</v>
      </c>
      <c r="FUH14" s="108"/>
      <c r="FUI14" s="108"/>
      <c r="FUJ14" s="109"/>
      <c r="FUK14" s="107" t="s">
        <v>1</v>
      </c>
      <c r="FUL14" s="108"/>
      <c r="FUM14" s="108"/>
      <c r="FUN14" s="109"/>
      <c r="FUO14" s="107" t="s">
        <v>1</v>
      </c>
      <c r="FUP14" s="108"/>
      <c r="FUQ14" s="108"/>
      <c r="FUR14" s="109"/>
      <c r="FUS14" s="107" t="s">
        <v>1</v>
      </c>
      <c r="FUT14" s="108"/>
      <c r="FUU14" s="108"/>
      <c r="FUV14" s="109"/>
      <c r="FUW14" s="107" t="s">
        <v>1</v>
      </c>
      <c r="FUX14" s="108"/>
      <c r="FUY14" s="108"/>
      <c r="FUZ14" s="109"/>
      <c r="FVA14" s="107" t="s">
        <v>1</v>
      </c>
      <c r="FVB14" s="108"/>
      <c r="FVC14" s="108"/>
      <c r="FVD14" s="109"/>
      <c r="FVE14" s="107" t="s">
        <v>1</v>
      </c>
      <c r="FVF14" s="108"/>
      <c r="FVG14" s="108"/>
      <c r="FVH14" s="109"/>
      <c r="FVI14" s="107" t="s">
        <v>1</v>
      </c>
      <c r="FVJ14" s="108"/>
      <c r="FVK14" s="108"/>
      <c r="FVL14" s="109"/>
      <c r="FVM14" s="107" t="s">
        <v>1</v>
      </c>
      <c r="FVN14" s="108"/>
      <c r="FVO14" s="108"/>
      <c r="FVP14" s="109"/>
      <c r="FVQ14" s="107" t="s">
        <v>1</v>
      </c>
      <c r="FVR14" s="108"/>
      <c r="FVS14" s="108"/>
      <c r="FVT14" s="109"/>
      <c r="FVU14" s="107" t="s">
        <v>1</v>
      </c>
      <c r="FVV14" s="108"/>
      <c r="FVW14" s="108"/>
      <c r="FVX14" s="109"/>
      <c r="FVY14" s="107" t="s">
        <v>1</v>
      </c>
      <c r="FVZ14" s="108"/>
      <c r="FWA14" s="108"/>
      <c r="FWB14" s="109"/>
      <c r="FWC14" s="107" t="s">
        <v>1</v>
      </c>
      <c r="FWD14" s="108"/>
      <c r="FWE14" s="108"/>
      <c r="FWF14" s="109"/>
      <c r="FWG14" s="107" t="s">
        <v>1</v>
      </c>
      <c r="FWH14" s="108"/>
      <c r="FWI14" s="108"/>
      <c r="FWJ14" s="109"/>
      <c r="FWK14" s="107" t="s">
        <v>1</v>
      </c>
      <c r="FWL14" s="108"/>
      <c r="FWM14" s="108"/>
      <c r="FWN14" s="109"/>
      <c r="FWO14" s="107" t="s">
        <v>1</v>
      </c>
      <c r="FWP14" s="108"/>
      <c r="FWQ14" s="108"/>
      <c r="FWR14" s="109"/>
      <c r="FWS14" s="107" t="s">
        <v>1</v>
      </c>
      <c r="FWT14" s="108"/>
      <c r="FWU14" s="108"/>
      <c r="FWV14" s="109"/>
      <c r="FWW14" s="107" t="s">
        <v>1</v>
      </c>
      <c r="FWX14" s="108"/>
      <c r="FWY14" s="108"/>
      <c r="FWZ14" s="109"/>
      <c r="FXA14" s="107" t="s">
        <v>1</v>
      </c>
      <c r="FXB14" s="108"/>
      <c r="FXC14" s="108"/>
      <c r="FXD14" s="109"/>
      <c r="FXE14" s="107" t="s">
        <v>1</v>
      </c>
      <c r="FXF14" s="108"/>
      <c r="FXG14" s="108"/>
      <c r="FXH14" s="109"/>
      <c r="FXI14" s="107" t="s">
        <v>1</v>
      </c>
      <c r="FXJ14" s="108"/>
      <c r="FXK14" s="108"/>
      <c r="FXL14" s="109"/>
      <c r="FXM14" s="107" t="s">
        <v>1</v>
      </c>
      <c r="FXN14" s="108"/>
      <c r="FXO14" s="108"/>
      <c r="FXP14" s="109"/>
      <c r="FXQ14" s="107" t="s">
        <v>1</v>
      </c>
      <c r="FXR14" s="108"/>
      <c r="FXS14" s="108"/>
      <c r="FXT14" s="109"/>
      <c r="FXU14" s="107" t="s">
        <v>1</v>
      </c>
      <c r="FXV14" s="108"/>
      <c r="FXW14" s="108"/>
      <c r="FXX14" s="109"/>
      <c r="FXY14" s="107" t="s">
        <v>1</v>
      </c>
      <c r="FXZ14" s="108"/>
      <c r="FYA14" s="108"/>
      <c r="FYB14" s="109"/>
      <c r="FYC14" s="107" t="s">
        <v>1</v>
      </c>
      <c r="FYD14" s="108"/>
      <c r="FYE14" s="108"/>
      <c r="FYF14" s="109"/>
      <c r="FYG14" s="107" t="s">
        <v>1</v>
      </c>
      <c r="FYH14" s="108"/>
      <c r="FYI14" s="108"/>
      <c r="FYJ14" s="109"/>
      <c r="FYK14" s="107" t="s">
        <v>1</v>
      </c>
      <c r="FYL14" s="108"/>
      <c r="FYM14" s="108"/>
      <c r="FYN14" s="109"/>
      <c r="FYO14" s="107" t="s">
        <v>1</v>
      </c>
      <c r="FYP14" s="108"/>
      <c r="FYQ14" s="108"/>
      <c r="FYR14" s="109"/>
      <c r="FYS14" s="107" t="s">
        <v>1</v>
      </c>
      <c r="FYT14" s="108"/>
      <c r="FYU14" s="108"/>
      <c r="FYV14" s="109"/>
      <c r="FYW14" s="107" t="s">
        <v>1</v>
      </c>
      <c r="FYX14" s="108"/>
      <c r="FYY14" s="108"/>
      <c r="FYZ14" s="109"/>
      <c r="FZA14" s="107" t="s">
        <v>1</v>
      </c>
      <c r="FZB14" s="108"/>
      <c r="FZC14" s="108"/>
      <c r="FZD14" s="109"/>
      <c r="FZE14" s="107" t="s">
        <v>1</v>
      </c>
      <c r="FZF14" s="108"/>
      <c r="FZG14" s="108"/>
      <c r="FZH14" s="109"/>
      <c r="FZI14" s="107" t="s">
        <v>1</v>
      </c>
      <c r="FZJ14" s="108"/>
      <c r="FZK14" s="108"/>
      <c r="FZL14" s="109"/>
      <c r="FZM14" s="107" t="s">
        <v>1</v>
      </c>
      <c r="FZN14" s="108"/>
      <c r="FZO14" s="108"/>
      <c r="FZP14" s="109"/>
      <c r="FZQ14" s="107" t="s">
        <v>1</v>
      </c>
      <c r="FZR14" s="108"/>
      <c r="FZS14" s="108"/>
      <c r="FZT14" s="109"/>
      <c r="FZU14" s="107" t="s">
        <v>1</v>
      </c>
      <c r="FZV14" s="108"/>
      <c r="FZW14" s="108"/>
      <c r="FZX14" s="109"/>
      <c r="FZY14" s="107" t="s">
        <v>1</v>
      </c>
      <c r="FZZ14" s="108"/>
      <c r="GAA14" s="108"/>
      <c r="GAB14" s="109"/>
      <c r="GAC14" s="107" t="s">
        <v>1</v>
      </c>
      <c r="GAD14" s="108"/>
      <c r="GAE14" s="108"/>
      <c r="GAF14" s="109"/>
      <c r="GAG14" s="107" t="s">
        <v>1</v>
      </c>
      <c r="GAH14" s="108"/>
      <c r="GAI14" s="108"/>
      <c r="GAJ14" s="109"/>
      <c r="GAK14" s="107" t="s">
        <v>1</v>
      </c>
      <c r="GAL14" s="108"/>
      <c r="GAM14" s="108"/>
      <c r="GAN14" s="109"/>
      <c r="GAO14" s="107" t="s">
        <v>1</v>
      </c>
      <c r="GAP14" s="108"/>
      <c r="GAQ14" s="108"/>
      <c r="GAR14" s="109"/>
      <c r="GAS14" s="107" t="s">
        <v>1</v>
      </c>
      <c r="GAT14" s="108"/>
      <c r="GAU14" s="108"/>
      <c r="GAV14" s="109"/>
      <c r="GAW14" s="107" t="s">
        <v>1</v>
      </c>
      <c r="GAX14" s="108"/>
      <c r="GAY14" s="108"/>
      <c r="GAZ14" s="109"/>
      <c r="GBA14" s="107" t="s">
        <v>1</v>
      </c>
      <c r="GBB14" s="108"/>
      <c r="GBC14" s="108"/>
      <c r="GBD14" s="109"/>
      <c r="GBE14" s="107" t="s">
        <v>1</v>
      </c>
      <c r="GBF14" s="108"/>
      <c r="GBG14" s="108"/>
      <c r="GBH14" s="109"/>
      <c r="GBI14" s="107" t="s">
        <v>1</v>
      </c>
      <c r="GBJ14" s="108"/>
      <c r="GBK14" s="108"/>
      <c r="GBL14" s="109"/>
      <c r="GBM14" s="107" t="s">
        <v>1</v>
      </c>
      <c r="GBN14" s="108"/>
      <c r="GBO14" s="108"/>
      <c r="GBP14" s="109"/>
      <c r="GBQ14" s="107" t="s">
        <v>1</v>
      </c>
      <c r="GBR14" s="108"/>
      <c r="GBS14" s="108"/>
      <c r="GBT14" s="109"/>
      <c r="GBU14" s="107" t="s">
        <v>1</v>
      </c>
      <c r="GBV14" s="108"/>
      <c r="GBW14" s="108"/>
      <c r="GBX14" s="109"/>
      <c r="GBY14" s="107" t="s">
        <v>1</v>
      </c>
      <c r="GBZ14" s="108"/>
      <c r="GCA14" s="108"/>
      <c r="GCB14" s="109"/>
      <c r="GCC14" s="107" t="s">
        <v>1</v>
      </c>
      <c r="GCD14" s="108"/>
      <c r="GCE14" s="108"/>
      <c r="GCF14" s="109"/>
      <c r="GCG14" s="107" t="s">
        <v>1</v>
      </c>
      <c r="GCH14" s="108"/>
      <c r="GCI14" s="108"/>
      <c r="GCJ14" s="109"/>
      <c r="GCK14" s="107" t="s">
        <v>1</v>
      </c>
      <c r="GCL14" s="108"/>
      <c r="GCM14" s="108"/>
      <c r="GCN14" s="109"/>
      <c r="GCO14" s="107" t="s">
        <v>1</v>
      </c>
      <c r="GCP14" s="108"/>
      <c r="GCQ14" s="108"/>
      <c r="GCR14" s="109"/>
      <c r="GCS14" s="107" t="s">
        <v>1</v>
      </c>
      <c r="GCT14" s="108"/>
      <c r="GCU14" s="108"/>
      <c r="GCV14" s="109"/>
      <c r="GCW14" s="107" t="s">
        <v>1</v>
      </c>
      <c r="GCX14" s="108"/>
      <c r="GCY14" s="108"/>
      <c r="GCZ14" s="109"/>
      <c r="GDA14" s="107" t="s">
        <v>1</v>
      </c>
      <c r="GDB14" s="108"/>
      <c r="GDC14" s="108"/>
      <c r="GDD14" s="109"/>
      <c r="GDE14" s="107" t="s">
        <v>1</v>
      </c>
      <c r="GDF14" s="108"/>
      <c r="GDG14" s="108"/>
      <c r="GDH14" s="109"/>
      <c r="GDI14" s="107" t="s">
        <v>1</v>
      </c>
      <c r="GDJ14" s="108"/>
      <c r="GDK14" s="108"/>
      <c r="GDL14" s="109"/>
      <c r="GDM14" s="107" t="s">
        <v>1</v>
      </c>
      <c r="GDN14" s="108"/>
      <c r="GDO14" s="108"/>
      <c r="GDP14" s="109"/>
      <c r="GDQ14" s="107" t="s">
        <v>1</v>
      </c>
      <c r="GDR14" s="108"/>
      <c r="GDS14" s="108"/>
      <c r="GDT14" s="109"/>
      <c r="GDU14" s="107" t="s">
        <v>1</v>
      </c>
      <c r="GDV14" s="108"/>
      <c r="GDW14" s="108"/>
      <c r="GDX14" s="109"/>
      <c r="GDY14" s="107" t="s">
        <v>1</v>
      </c>
      <c r="GDZ14" s="108"/>
      <c r="GEA14" s="108"/>
      <c r="GEB14" s="109"/>
      <c r="GEC14" s="107" t="s">
        <v>1</v>
      </c>
      <c r="GED14" s="108"/>
      <c r="GEE14" s="108"/>
      <c r="GEF14" s="109"/>
      <c r="GEG14" s="107" t="s">
        <v>1</v>
      </c>
      <c r="GEH14" s="108"/>
      <c r="GEI14" s="108"/>
      <c r="GEJ14" s="109"/>
      <c r="GEK14" s="107" t="s">
        <v>1</v>
      </c>
      <c r="GEL14" s="108"/>
      <c r="GEM14" s="108"/>
      <c r="GEN14" s="109"/>
      <c r="GEO14" s="107" t="s">
        <v>1</v>
      </c>
      <c r="GEP14" s="108"/>
      <c r="GEQ14" s="108"/>
      <c r="GER14" s="109"/>
      <c r="GES14" s="107" t="s">
        <v>1</v>
      </c>
      <c r="GET14" s="108"/>
      <c r="GEU14" s="108"/>
      <c r="GEV14" s="109"/>
      <c r="GEW14" s="107" t="s">
        <v>1</v>
      </c>
      <c r="GEX14" s="108"/>
      <c r="GEY14" s="108"/>
      <c r="GEZ14" s="109"/>
      <c r="GFA14" s="107" t="s">
        <v>1</v>
      </c>
      <c r="GFB14" s="108"/>
      <c r="GFC14" s="108"/>
      <c r="GFD14" s="109"/>
      <c r="GFE14" s="107" t="s">
        <v>1</v>
      </c>
      <c r="GFF14" s="108"/>
      <c r="GFG14" s="108"/>
      <c r="GFH14" s="109"/>
      <c r="GFI14" s="107" t="s">
        <v>1</v>
      </c>
      <c r="GFJ14" s="108"/>
      <c r="GFK14" s="108"/>
      <c r="GFL14" s="109"/>
      <c r="GFM14" s="107" t="s">
        <v>1</v>
      </c>
      <c r="GFN14" s="108"/>
      <c r="GFO14" s="108"/>
      <c r="GFP14" s="109"/>
      <c r="GFQ14" s="107" t="s">
        <v>1</v>
      </c>
      <c r="GFR14" s="108"/>
      <c r="GFS14" s="108"/>
      <c r="GFT14" s="109"/>
      <c r="GFU14" s="107" t="s">
        <v>1</v>
      </c>
      <c r="GFV14" s="108"/>
      <c r="GFW14" s="108"/>
      <c r="GFX14" s="109"/>
      <c r="GFY14" s="107" t="s">
        <v>1</v>
      </c>
      <c r="GFZ14" s="108"/>
      <c r="GGA14" s="108"/>
      <c r="GGB14" s="109"/>
      <c r="GGC14" s="107" t="s">
        <v>1</v>
      </c>
      <c r="GGD14" s="108"/>
      <c r="GGE14" s="108"/>
      <c r="GGF14" s="109"/>
      <c r="GGG14" s="107" t="s">
        <v>1</v>
      </c>
      <c r="GGH14" s="108"/>
      <c r="GGI14" s="108"/>
      <c r="GGJ14" s="109"/>
      <c r="GGK14" s="107" t="s">
        <v>1</v>
      </c>
      <c r="GGL14" s="108"/>
      <c r="GGM14" s="108"/>
      <c r="GGN14" s="109"/>
      <c r="GGO14" s="107" t="s">
        <v>1</v>
      </c>
      <c r="GGP14" s="108"/>
      <c r="GGQ14" s="108"/>
      <c r="GGR14" s="109"/>
      <c r="GGS14" s="107" t="s">
        <v>1</v>
      </c>
      <c r="GGT14" s="108"/>
      <c r="GGU14" s="108"/>
      <c r="GGV14" s="109"/>
      <c r="GGW14" s="107" t="s">
        <v>1</v>
      </c>
      <c r="GGX14" s="108"/>
      <c r="GGY14" s="108"/>
      <c r="GGZ14" s="109"/>
      <c r="GHA14" s="107" t="s">
        <v>1</v>
      </c>
      <c r="GHB14" s="108"/>
      <c r="GHC14" s="108"/>
      <c r="GHD14" s="109"/>
      <c r="GHE14" s="107" t="s">
        <v>1</v>
      </c>
      <c r="GHF14" s="108"/>
      <c r="GHG14" s="108"/>
      <c r="GHH14" s="109"/>
      <c r="GHI14" s="107" t="s">
        <v>1</v>
      </c>
      <c r="GHJ14" s="108"/>
      <c r="GHK14" s="108"/>
      <c r="GHL14" s="109"/>
      <c r="GHM14" s="107" t="s">
        <v>1</v>
      </c>
      <c r="GHN14" s="108"/>
      <c r="GHO14" s="108"/>
      <c r="GHP14" s="109"/>
      <c r="GHQ14" s="107" t="s">
        <v>1</v>
      </c>
      <c r="GHR14" s="108"/>
      <c r="GHS14" s="108"/>
      <c r="GHT14" s="109"/>
      <c r="GHU14" s="107" t="s">
        <v>1</v>
      </c>
      <c r="GHV14" s="108"/>
      <c r="GHW14" s="108"/>
      <c r="GHX14" s="109"/>
      <c r="GHY14" s="107" t="s">
        <v>1</v>
      </c>
      <c r="GHZ14" s="108"/>
      <c r="GIA14" s="108"/>
      <c r="GIB14" s="109"/>
      <c r="GIC14" s="107" t="s">
        <v>1</v>
      </c>
      <c r="GID14" s="108"/>
      <c r="GIE14" s="108"/>
      <c r="GIF14" s="109"/>
      <c r="GIG14" s="107" t="s">
        <v>1</v>
      </c>
      <c r="GIH14" s="108"/>
      <c r="GII14" s="108"/>
      <c r="GIJ14" s="109"/>
      <c r="GIK14" s="107" t="s">
        <v>1</v>
      </c>
      <c r="GIL14" s="108"/>
      <c r="GIM14" s="108"/>
      <c r="GIN14" s="109"/>
      <c r="GIO14" s="107" t="s">
        <v>1</v>
      </c>
      <c r="GIP14" s="108"/>
      <c r="GIQ14" s="108"/>
      <c r="GIR14" s="109"/>
      <c r="GIS14" s="107" t="s">
        <v>1</v>
      </c>
      <c r="GIT14" s="108"/>
      <c r="GIU14" s="108"/>
      <c r="GIV14" s="109"/>
      <c r="GIW14" s="107" t="s">
        <v>1</v>
      </c>
      <c r="GIX14" s="108"/>
      <c r="GIY14" s="108"/>
      <c r="GIZ14" s="109"/>
      <c r="GJA14" s="107" t="s">
        <v>1</v>
      </c>
      <c r="GJB14" s="108"/>
      <c r="GJC14" s="108"/>
      <c r="GJD14" s="109"/>
      <c r="GJE14" s="107" t="s">
        <v>1</v>
      </c>
      <c r="GJF14" s="108"/>
      <c r="GJG14" s="108"/>
      <c r="GJH14" s="109"/>
      <c r="GJI14" s="107" t="s">
        <v>1</v>
      </c>
      <c r="GJJ14" s="108"/>
      <c r="GJK14" s="108"/>
      <c r="GJL14" s="109"/>
      <c r="GJM14" s="107" t="s">
        <v>1</v>
      </c>
      <c r="GJN14" s="108"/>
      <c r="GJO14" s="108"/>
      <c r="GJP14" s="109"/>
      <c r="GJQ14" s="107" t="s">
        <v>1</v>
      </c>
      <c r="GJR14" s="108"/>
      <c r="GJS14" s="108"/>
      <c r="GJT14" s="109"/>
      <c r="GJU14" s="107" t="s">
        <v>1</v>
      </c>
      <c r="GJV14" s="108"/>
      <c r="GJW14" s="108"/>
      <c r="GJX14" s="109"/>
      <c r="GJY14" s="107" t="s">
        <v>1</v>
      </c>
      <c r="GJZ14" s="108"/>
      <c r="GKA14" s="108"/>
      <c r="GKB14" s="109"/>
      <c r="GKC14" s="107" t="s">
        <v>1</v>
      </c>
      <c r="GKD14" s="108"/>
      <c r="GKE14" s="108"/>
      <c r="GKF14" s="109"/>
      <c r="GKG14" s="107" t="s">
        <v>1</v>
      </c>
      <c r="GKH14" s="108"/>
      <c r="GKI14" s="108"/>
      <c r="GKJ14" s="109"/>
      <c r="GKK14" s="107" t="s">
        <v>1</v>
      </c>
      <c r="GKL14" s="108"/>
      <c r="GKM14" s="108"/>
      <c r="GKN14" s="109"/>
      <c r="GKO14" s="107" t="s">
        <v>1</v>
      </c>
      <c r="GKP14" s="108"/>
      <c r="GKQ14" s="108"/>
      <c r="GKR14" s="109"/>
      <c r="GKS14" s="107" t="s">
        <v>1</v>
      </c>
      <c r="GKT14" s="108"/>
      <c r="GKU14" s="108"/>
      <c r="GKV14" s="109"/>
      <c r="GKW14" s="107" t="s">
        <v>1</v>
      </c>
      <c r="GKX14" s="108"/>
      <c r="GKY14" s="108"/>
      <c r="GKZ14" s="109"/>
      <c r="GLA14" s="107" t="s">
        <v>1</v>
      </c>
      <c r="GLB14" s="108"/>
      <c r="GLC14" s="108"/>
      <c r="GLD14" s="109"/>
      <c r="GLE14" s="107" t="s">
        <v>1</v>
      </c>
      <c r="GLF14" s="108"/>
      <c r="GLG14" s="108"/>
      <c r="GLH14" s="109"/>
      <c r="GLI14" s="107" t="s">
        <v>1</v>
      </c>
      <c r="GLJ14" s="108"/>
      <c r="GLK14" s="108"/>
      <c r="GLL14" s="109"/>
      <c r="GLM14" s="107" t="s">
        <v>1</v>
      </c>
      <c r="GLN14" s="108"/>
      <c r="GLO14" s="108"/>
      <c r="GLP14" s="109"/>
      <c r="GLQ14" s="107" t="s">
        <v>1</v>
      </c>
      <c r="GLR14" s="108"/>
      <c r="GLS14" s="108"/>
      <c r="GLT14" s="109"/>
      <c r="GLU14" s="107" t="s">
        <v>1</v>
      </c>
      <c r="GLV14" s="108"/>
      <c r="GLW14" s="108"/>
      <c r="GLX14" s="109"/>
      <c r="GLY14" s="107" t="s">
        <v>1</v>
      </c>
      <c r="GLZ14" s="108"/>
      <c r="GMA14" s="108"/>
      <c r="GMB14" s="109"/>
      <c r="GMC14" s="107" t="s">
        <v>1</v>
      </c>
      <c r="GMD14" s="108"/>
      <c r="GME14" s="108"/>
      <c r="GMF14" s="109"/>
      <c r="GMG14" s="107" t="s">
        <v>1</v>
      </c>
      <c r="GMH14" s="108"/>
      <c r="GMI14" s="108"/>
      <c r="GMJ14" s="109"/>
      <c r="GMK14" s="107" t="s">
        <v>1</v>
      </c>
      <c r="GML14" s="108"/>
      <c r="GMM14" s="108"/>
      <c r="GMN14" s="109"/>
      <c r="GMO14" s="107" t="s">
        <v>1</v>
      </c>
      <c r="GMP14" s="108"/>
      <c r="GMQ14" s="108"/>
      <c r="GMR14" s="109"/>
      <c r="GMS14" s="107" t="s">
        <v>1</v>
      </c>
      <c r="GMT14" s="108"/>
      <c r="GMU14" s="108"/>
      <c r="GMV14" s="109"/>
      <c r="GMW14" s="107" t="s">
        <v>1</v>
      </c>
      <c r="GMX14" s="108"/>
      <c r="GMY14" s="108"/>
      <c r="GMZ14" s="109"/>
      <c r="GNA14" s="107" t="s">
        <v>1</v>
      </c>
      <c r="GNB14" s="108"/>
      <c r="GNC14" s="108"/>
      <c r="GND14" s="109"/>
      <c r="GNE14" s="107" t="s">
        <v>1</v>
      </c>
      <c r="GNF14" s="108"/>
      <c r="GNG14" s="108"/>
      <c r="GNH14" s="109"/>
      <c r="GNI14" s="107" t="s">
        <v>1</v>
      </c>
      <c r="GNJ14" s="108"/>
      <c r="GNK14" s="108"/>
      <c r="GNL14" s="109"/>
      <c r="GNM14" s="107" t="s">
        <v>1</v>
      </c>
      <c r="GNN14" s="108"/>
      <c r="GNO14" s="108"/>
      <c r="GNP14" s="109"/>
      <c r="GNQ14" s="107" t="s">
        <v>1</v>
      </c>
      <c r="GNR14" s="108"/>
      <c r="GNS14" s="108"/>
      <c r="GNT14" s="109"/>
      <c r="GNU14" s="107" t="s">
        <v>1</v>
      </c>
      <c r="GNV14" s="108"/>
      <c r="GNW14" s="108"/>
      <c r="GNX14" s="109"/>
      <c r="GNY14" s="107" t="s">
        <v>1</v>
      </c>
      <c r="GNZ14" s="108"/>
      <c r="GOA14" s="108"/>
      <c r="GOB14" s="109"/>
      <c r="GOC14" s="107" t="s">
        <v>1</v>
      </c>
      <c r="GOD14" s="108"/>
      <c r="GOE14" s="108"/>
      <c r="GOF14" s="109"/>
      <c r="GOG14" s="107" t="s">
        <v>1</v>
      </c>
      <c r="GOH14" s="108"/>
      <c r="GOI14" s="108"/>
      <c r="GOJ14" s="109"/>
      <c r="GOK14" s="107" t="s">
        <v>1</v>
      </c>
      <c r="GOL14" s="108"/>
      <c r="GOM14" s="108"/>
      <c r="GON14" s="109"/>
      <c r="GOO14" s="107" t="s">
        <v>1</v>
      </c>
      <c r="GOP14" s="108"/>
      <c r="GOQ14" s="108"/>
      <c r="GOR14" s="109"/>
      <c r="GOS14" s="107" t="s">
        <v>1</v>
      </c>
      <c r="GOT14" s="108"/>
      <c r="GOU14" s="108"/>
      <c r="GOV14" s="109"/>
      <c r="GOW14" s="107" t="s">
        <v>1</v>
      </c>
      <c r="GOX14" s="108"/>
      <c r="GOY14" s="108"/>
      <c r="GOZ14" s="109"/>
      <c r="GPA14" s="107" t="s">
        <v>1</v>
      </c>
      <c r="GPB14" s="108"/>
      <c r="GPC14" s="108"/>
      <c r="GPD14" s="109"/>
      <c r="GPE14" s="107" t="s">
        <v>1</v>
      </c>
      <c r="GPF14" s="108"/>
      <c r="GPG14" s="108"/>
      <c r="GPH14" s="109"/>
      <c r="GPI14" s="107" t="s">
        <v>1</v>
      </c>
      <c r="GPJ14" s="108"/>
      <c r="GPK14" s="108"/>
      <c r="GPL14" s="109"/>
      <c r="GPM14" s="107" t="s">
        <v>1</v>
      </c>
      <c r="GPN14" s="108"/>
      <c r="GPO14" s="108"/>
      <c r="GPP14" s="109"/>
      <c r="GPQ14" s="107" t="s">
        <v>1</v>
      </c>
      <c r="GPR14" s="108"/>
      <c r="GPS14" s="108"/>
      <c r="GPT14" s="109"/>
      <c r="GPU14" s="107" t="s">
        <v>1</v>
      </c>
      <c r="GPV14" s="108"/>
      <c r="GPW14" s="108"/>
      <c r="GPX14" s="109"/>
      <c r="GPY14" s="107" t="s">
        <v>1</v>
      </c>
      <c r="GPZ14" s="108"/>
      <c r="GQA14" s="108"/>
      <c r="GQB14" s="109"/>
      <c r="GQC14" s="107" t="s">
        <v>1</v>
      </c>
      <c r="GQD14" s="108"/>
      <c r="GQE14" s="108"/>
      <c r="GQF14" s="109"/>
      <c r="GQG14" s="107" t="s">
        <v>1</v>
      </c>
      <c r="GQH14" s="108"/>
      <c r="GQI14" s="108"/>
      <c r="GQJ14" s="109"/>
      <c r="GQK14" s="107" t="s">
        <v>1</v>
      </c>
      <c r="GQL14" s="108"/>
      <c r="GQM14" s="108"/>
      <c r="GQN14" s="109"/>
      <c r="GQO14" s="107" t="s">
        <v>1</v>
      </c>
      <c r="GQP14" s="108"/>
      <c r="GQQ14" s="108"/>
      <c r="GQR14" s="109"/>
      <c r="GQS14" s="107" t="s">
        <v>1</v>
      </c>
      <c r="GQT14" s="108"/>
      <c r="GQU14" s="108"/>
      <c r="GQV14" s="109"/>
      <c r="GQW14" s="107" t="s">
        <v>1</v>
      </c>
      <c r="GQX14" s="108"/>
      <c r="GQY14" s="108"/>
      <c r="GQZ14" s="109"/>
      <c r="GRA14" s="107" t="s">
        <v>1</v>
      </c>
      <c r="GRB14" s="108"/>
      <c r="GRC14" s="108"/>
      <c r="GRD14" s="109"/>
      <c r="GRE14" s="107" t="s">
        <v>1</v>
      </c>
      <c r="GRF14" s="108"/>
      <c r="GRG14" s="108"/>
      <c r="GRH14" s="109"/>
      <c r="GRI14" s="107" t="s">
        <v>1</v>
      </c>
      <c r="GRJ14" s="108"/>
      <c r="GRK14" s="108"/>
      <c r="GRL14" s="109"/>
      <c r="GRM14" s="107" t="s">
        <v>1</v>
      </c>
      <c r="GRN14" s="108"/>
      <c r="GRO14" s="108"/>
      <c r="GRP14" s="109"/>
      <c r="GRQ14" s="107" t="s">
        <v>1</v>
      </c>
      <c r="GRR14" s="108"/>
      <c r="GRS14" s="108"/>
      <c r="GRT14" s="109"/>
      <c r="GRU14" s="107" t="s">
        <v>1</v>
      </c>
      <c r="GRV14" s="108"/>
      <c r="GRW14" s="108"/>
      <c r="GRX14" s="109"/>
      <c r="GRY14" s="107" t="s">
        <v>1</v>
      </c>
      <c r="GRZ14" s="108"/>
      <c r="GSA14" s="108"/>
      <c r="GSB14" s="109"/>
      <c r="GSC14" s="107" t="s">
        <v>1</v>
      </c>
      <c r="GSD14" s="108"/>
      <c r="GSE14" s="108"/>
      <c r="GSF14" s="109"/>
      <c r="GSG14" s="107" t="s">
        <v>1</v>
      </c>
      <c r="GSH14" s="108"/>
      <c r="GSI14" s="108"/>
      <c r="GSJ14" s="109"/>
      <c r="GSK14" s="107" t="s">
        <v>1</v>
      </c>
      <c r="GSL14" s="108"/>
      <c r="GSM14" s="108"/>
      <c r="GSN14" s="109"/>
      <c r="GSO14" s="107" t="s">
        <v>1</v>
      </c>
      <c r="GSP14" s="108"/>
      <c r="GSQ14" s="108"/>
      <c r="GSR14" s="109"/>
      <c r="GSS14" s="107" t="s">
        <v>1</v>
      </c>
      <c r="GST14" s="108"/>
      <c r="GSU14" s="108"/>
      <c r="GSV14" s="109"/>
      <c r="GSW14" s="107" t="s">
        <v>1</v>
      </c>
      <c r="GSX14" s="108"/>
      <c r="GSY14" s="108"/>
      <c r="GSZ14" s="109"/>
      <c r="GTA14" s="107" t="s">
        <v>1</v>
      </c>
      <c r="GTB14" s="108"/>
      <c r="GTC14" s="108"/>
      <c r="GTD14" s="109"/>
      <c r="GTE14" s="107" t="s">
        <v>1</v>
      </c>
      <c r="GTF14" s="108"/>
      <c r="GTG14" s="108"/>
      <c r="GTH14" s="109"/>
      <c r="GTI14" s="107" t="s">
        <v>1</v>
      </c>
      <c r="GTJ14" s="108"/>
      <c r="GTK14" s="108"/>
      <c r="GTL14" s="109"/>
      <c r="GTM14" s="107" t="s">
        <v>1</v>
      </c>
      <c r="GTN14" s="108"/>
      <c r="GTO14" s="108"/>
      <c r="GTP14" s="109"/>
      <c r="GTQ14" s="107" t="s">
        <v>1</v>
      </c>
      <c r="GTR14" s="108"/>
      <c r="GTS14" s="108"/>
      <c r="GTT14" s="109"/>
      <c r="GTU14" s="107" t="s">
        <v>1</v>
      </c>
      <c r="GTV14" s="108"/>
      <c r="GTW14" s="108"/>
      <c r="GTX14" s="109"/>
      <c r="GTY14" s="107" t="s">
        <v>1</v>
      </c>
      <c r="GTZ14" s="108"/>
      <c r="GUA14" s="108"/>
      <c r="GUB14" s="109"/>
      <c r="GUC14" s="107" t="s">
        <v>1</v>
      </c>
      <c r="GUD14" s="108"/>
      <c r="GUE14" s="108"/>
      <c r="GUF14" s="109"/>
      <c r="GUG14" s="107" t="s">
        <v>1</v>
      </c>
      <c r="GUH14" s="108"/>
      <c r="GUI14" s="108"/>
      <c r="GUJ14" s="109"/>
      <c r="GUK14" s="107" t="s">
        <v>1</v>
      </c>
      <c r="GUL14" s="108"/>
      <c r="GUM14" s="108"/>
      <c r="GUN14" s="109"/>
      <c r="GUO14" s="107" t="s">
        <v>1</v>
      </c>
      <c r="GUP14" s="108"/>
      <c r="GUQ14" s="108"/>
      <c r="GUR14" s="109"/>
      <c r="GUS14" s="107" t="s">
        <v>1</v>
      </c>
      <c r="GUT14" s="108"/>
      <c r="GUU14" s="108"/>
      <c r="GUV14" s="109"/>
      <c r="GUW14" s="107" t="s">
        <v>1</v>
      </c>
      <c r="GUX14" s="108"/>
      <c r="GUY14" s="108"/>
      <c r="GUZ14" s="109"/>
      <c r="GVA14" s="107" t="s">
        <v>1</v>
      </c>
      <c r="GVB14" s="108"/>
      <c r="GVC14" s="108"/>
      <c r="GVD14" s="109"/>
      <c r="GVE14" s="107" t="s">
        <v>1</v>
      </c>
      <c r="GVF14" s="108"/>
      <c r="GVG14" s="108"/>
      <c r="GVH14" s="109"/>
      <c r="GVI14" s="107" t="s">
        <v>1</v>
      </c>
      <c r="GVJ14" s="108"/>
      <c r="GVK14" s="108"/>
      <c r="GVL14" s="109"/>
      <c r="GVM14" s="107" t="s">
        <v>1</v>
      </c>
      <c r="GVN14" s="108"/>
      <c r="GVO14" s="108"/>
      <c r="GVP14" s="109"/>
      <c r="GVQ14" s="107" t="s">
        <v>1</v>
      </c>
      <c r="GVR14" s="108"/>
      <c r="GVS14" s="108"/>
      <c r="GVT14" s="109"/>
      <c r="GVU14" s="107" t="s">
        <v>1</v>
      </c>
      <c r="GVV14" s="108"/>
      <c r="GVW14" s="108"/>
      <c r="GVX14" s="109"/>
      <c r="GVY14" s="107" t="s">
        <v>1</v>
      </c>
      <c r="GVZ14" s="108"/>
      <c r="GWA14" s="108"/>
      <c r="GWB14" s="109"/>
      <c r="GWC14" s="107" t="s">
        <v>1</v>
      </c>
      <c r="GWD14" s="108"/>
      <c r="GWE14" s="108"/>
      <c r="GWF14" s="109"/>
      <c r="GWG14" s="107" t="s">
        <v>1</v>
      </c>
      <c r="GWH14" s="108"/>
      <c r="GWI14" s="108"/>
      <c r="GWJ14" s="109"/>
      <c r="GWK14" s="107" t="s">
        <v>1</v>
      </c>
      <c r="GWL14" s="108"/>
      <c r="GWM14" s="108"/>
      <c r="GWN14" s="109"/>
      <c r="GWO14" s="107" t="s">
        <v>1</v>
      </c>
      <c r="GWP14" s="108"/>
      <c r="GWQ14" s="108"/>
      <c r="GWR14" s="109"/>
      <c r="GWS14" s="107" t="s">
        <v>1</v>
      </c>
      <c r="GWT14" s="108"/>
      <c r="GWU14" s="108"/>
      <c r="GWV14" s="109"/>
      <c r="GWW14" s="107" t="s">
        <v>1</v>
      </c>
      <c r="GWX14" s="108"/>
      <c r="GWY14" s="108"/>
      <c r="GWZ14" s="109"/>
      <c r="GXA14" s="107" t="s">
        <v>1</v>
      </c>
      <c r="GXB14" s="108"/>
      <c r="GXC14" s="108"/>
      <c r="GXD14" s="109"/>
      <c r="GXE14" s="107" t="s">
        <v>1</v>
      </c>
      <c r="GXF14" s="108"/>
      <c r="GXG14" s="108"/>
      <c r="GXH14" s="109"/>
      <c r="GXI14" s="107" t="s">
        <v>1</v>
      </c>
      <c r="GXJ14" s="108"/>
      <c r="GXK14" s="108"/>
      <c r="GXL14" s="109"/>
      <c r="GXM14" s="107" t="s">
        <v>1</v>
      </c>
      <c r="GXN14" s="108"/>
      <c r="GXO14" s="108"/>
      <c r="GXP14" s="109"/>
      <c r="GXQ14" s="107" t="s">
        <v>1</v>
      </c>
      <c r="GXR14" s="108"/>
      <c r="GXS14" s="108"/>
      <c r="GXT14" s="109"/>
      <c r="GXU14" s="107" t="s">
        <v>1</v>
      </c>
      <c r="GXV14" s="108"/>
      <c r="GXW14" s="108"/>
      <c r="GXX14" s="109"/>
      <c r="GXY14" s="107" t="s">
        <v>1</v>
      </c>
      <c r="GXZ14" s="108"/>
      <c r="GYA14" s="108"/>
      <c r="GYB14" s="109"/>
      <c r="GYC14" s="107" t="s">
        <v>1</v>
      </c>
      <c r="GYD14" s="108"/>
      <c r="GYE14" s="108"/>
      <c r="GYF14" s="109"/>
      <c r="GYG14" s="107" t="s">
        <v>1</v>
      </c>
      <c r="GYH14" s="108"/>
      <c r="GYI14" s="108"/>
      <c r="GYJ14" s="109"/>
      <c r="GYK14" s="107" t="s">
        <v>1</v>
      </c>
      <c r="GYL14" s="108"/>
      <c r="GYM14" s="108"/>
      <c r="GYN14" s="109"/>
      <c r="GYO14" s="107" t="s">
        <v>1</v>
      </c>
      <c r="GYP14" s="108"/>
      <c r="GYQ14" s="108"/>
      <c r="GYR14" s="109"/>
      <c r="GYS14" s="107" t="s">
        <v>1</v>
      </c>
      <c r="GYT14" s="108"/>
      <c r="GYU14" s="108"/>
      <c r="GYV14" s="109"/>
      <c r="GYW14" s="107" t="s">
        <v>1</v>
      </c>
      <c r="GYX14" s="108"/>
      <c r="GYY14" s="108"/>
      <c r="GYZ14" s="109"/>
      <c r="GZA14" s="107" t="s">
        <v>1</v>
      </c>
      <c r="GZB14" s="108"/>
      <c r="GZC14" s="108"/>
      <c r="GZD14" s="109"/>
      <c r="GZE14" s="107" t="s">
        <v>1</v>
      </c>
      <c r="GZF14" s="108"/>
      <c r="GZG14" s="108"/>
      <c r="GZH14" s="109"/>
      <c r="GZI14" s="107" t="s">
        <v>1</v>
      </c>
      <c r="GZJ14" s="108"/>
      <c r="GZK14" s="108"/>
      <c r="GZL14" s="109"/>
      <c r="GZM14" s="107" t="s">
        <v>1</v>
      </c>
      <c r="GZN14" s="108"/>
      <c r="GZO14" s="108"/>
      <c r="GZP14" s="109"/>
      <c r="GZQ14" s="107" t="s">
        <v>1</v>
      </c>
      <c r="GZR14" s="108"/>
      <c r="GZS14" s="108"/>
      <c r="GZT14" s="109"/>
      <c r="GZU14" s="107" t="s">
        <v>1</v>
      </c>
      <c r="GZV14" s="108"/>
      <c r="GZW14" s="108"/>
      <c r="GZX14" s="109"/>
      <c r="GZY14" s="107" t="s">
        <v>1</v>
      </c>
      <c r="GZZ14" s="108"/>
      <c r="HAA14" s="108"/>
      <c r="HAB14" s="109"/>
      <c r="HAC14" s="107" t="s">
        <v>1</v>
      </c>
      <c r="HAD14" s="108"/>
      <c r="HAE14" s="108"/>
      <c r="HAF14" s="109"/>
      <c r="HAG14" s="107" t="s">
        <v>1</v>
      </c>
      <c r="HAH14" s="108"/>
      <c r="HAI14" s="108"/>
      <c r="HAJ14" s="109"/>
      <c r="HAK14" s="107" t="s">
        <v>1</v>
      </c>
      <c r="HAL14" s="108"/>
      <c r="HAM14" s="108"/>
      <c r="HAN14" s="109"/>
      <c r="HAO14" s="107" t="s">
        <v>1</v>
      </c>
      <c r="HAP14" s="108"/>
      <c r="HAQ14" s="108"/>
      <c r="HAR14" s="109"/>
      <c r="HAS14" s="107" t="s">
        <v>1</v>
      </c>
      <c r="HAT14" s="108"/>
      <c r="HAU14" s="108"/>
      <c r="HAV14" s="109"/>
      <c r="HAW14" s="107" t="s">
        <v>1</v>
      </c>
      <c r="HAX14" s="108"/>
      <c r="HAY14" s="108"/>
      <c r="HAZ14" s="109"/>
      <c r="HBA14" s="107" t="s">
        <v>1</v>
      </c>
      <c r="HBB14" s="108"/>
      <c r="HBC14" s="108"/>
      <c r="HBD14" s="109"/>
      <c r="HBE14" s="107" t="s">
        <v>1</v>
      </c>
      <c r="HBF14" s="108"/>
      <c r="HBG14" s="108"/>
      <c r="HBH14" s="109"/>
      <c r="HBI14" s="107" t="s">
        <v>1</v>
      </c>
      <c r="HBJ14" s="108"/>
      <c r="HBK14" s="108"/>
      <c r="HBL14" s="109"/>
      <c r="HBM14" s="107" t="s">
        <v>1</v>
      </c>
      <c r="HBN14" s="108"/>
      <c r="HBO14" s="108"/>
      <c r="HBP14" s="109"/>
      <c r="HBQ14" s="107" t="s">
        <v>1</v>
      </c>
      <c r="HBR14" s="108"/>
      <c r="HBS14" s="108"/>
      <c r="HBT14" s="109"/>
      <c r="HBU14" s="107" t="s">
        <v>1</v>
      </c>
      <c r="HBV14" s="108"/>
      <c r="HBW14" s="108"/>
      <c r="HBX14" s="109"/>
      <c r="HBY14" s="107" t="s">
        <v>1</v>
      </c>
      <c r="HBZ14" s="108"/>
      <c r="HCA14" s="108"/>
      <c r="HCB14" s="109"/>
      <c r="HCC14" s="107" t="s">
        <v>1</v>
      </c>
      <c r="HCD14" s="108"/>
      <c r="HCE14" s="108"/>
      <c r="HCF14" s="109"/>
      <c r="HCG14" s="107" t="s">
        <v>1</v>
      </c>
      <c r="HCH14" s="108"/>
      <c r="HCI14" s="108"/>
      <c r="HCJ14" s="109"/>
      <c r="HCK14" s="107" t="s">
        <v>1</v>
      </c>
      <c r="HCL14" s="108"/>
      <c r="HCM14" s="108"/>
      <c r="HCN14" s="109"/>
      <c r="HCO14" s="107" t="s">
        <v>1</v>
      </c>
      <c r="HCP14" s="108"/>
      <c r="HCQ14" s="108"/>
      <c r="HCR14" s="109"/>
      <c r="HCS14" s="107" t="s">
        <v>1</v>
      </c>
      <c r="HCT14" s="108"/>
      <c r="HCU14" s="108"/>
      <c r="HCV14" s="109"/>
      <c r="HCW14" s="107" t="s">
        <v>1</v>
      </c>
      <c r="HCX14" s="108"/>
      <c r="HCY14" s="108"/>
      <c r="HCZ14" s="109"/>
      <c r="HDA14" s="107" t="s">
        <v>1</v>
      </c>
      <c r="HDB14" s="108"/>
      <c r="HDC14" s="108"/>
      <c r="HDD14" s="109"/>
      <c r="HDE14" s="107" t="s">
        <v>1</v>
      </c>
      <c r="HDF14" s="108"/>
      <c r="HDG14" s="108"/>
      <c r="HDH14" s="109"/>
      <c r="HDI14" s="107" t="s">
        <v>1</v>
      </c>
      <c r="HDJ14" s="108"/>
      <c r="HDK14" s="108"/>
      <c r="HDL14" s="109"/>
      <c r="HDM14" s="107" t="s">
        <v>1</v>
      </c>
      <c r="HDN14" s="108"/>
      <c r="HDO14" s="108"/>
      <c r="HDP14" s="109"/>
      <c r="HDQ14" s="107" t="s">
        <v>1</v>
      </c>
      <c r="HDR14" s="108"/>
      <c r="HDS14" s="108"/>
      <c r="HDT14" s="109"/>
      <c r="HDU14" s="107" t="s">
        <v>1</v>
      </c>
      <c r="HDV14" s="108"/>
      <c r="HDW14" s="108"/>
      <c r="HDX14" s="109"/>
      <c r="HDY14" s="107" t="s">
        <v>1</v>
      </c>
      <c r="HDZ14" s="108"/>
      <c r="HEA14" s="108"/>
      <c r="HEB14" s="109"/>
      <c r="HEC14" s="107" t="s">
        <v>1</v>
      </c>
      <c r="HED14" s="108"/>
      <c r="HEE14" s="108"/>
      <c r="HEF14" s="109"/>
      <c r="HEG14" s="107" t="s">
        <v>1</v>
      </c>
      <c r="HEH14" s="108"/>
      <c r="HEI14" s="108"/>
      <c r="HEJ14" s="109"/>
      <c r="HEK14" s="107" t="s">
        <v>1</v>
      </c>
      <c r="HEL14" s="108"/>
      <c r="HEM14" s="108"/>
      <c r="HEN14" s="109"/>
      <c r="HEO14" s="107" t="s">
        <v>1</v>
      </c>
      <c r="HEP14" s="108"/>
      <c r="HEQ14" s="108"/>
      <c r="HER14" s="109"/>
      <c r="HES14" s="107" t="s">
        <v>1</v>
      </c>
      <c r="HET14" s="108"/>
      <c r="HEU14" s="108"/>
      <c r="HEV14" s="109"/>
      <c r="HEW14" s="107" t="s">
        <v>1</v>
      </c>
      <c r="HEX14" s="108"/>
      <c r="HEY14" s="108"/>
      <c r="HEZ14" s="109"/>
      <c r="HFA14" s="107" t="s">
        <v>1</v>
      </c>
      <c r="HFB14" s="108"/>
      <c r="HFC14" s="108"/>
      <c r="HFD14" s="109"/>
      <c r="HFE14" s="107" t="s">
        <v>1</v>
      </c>
      <c r="HFF14" s="108"/>
      <c r="HFG14" s="108"/>
      <c r="HFH14" s="109"/>
      <c r="HFI14" s="107" t="s">
        <v>1</v>
      </c>
      <c r="HFJ14" s="108"/>
      <c r="HFK14" s="108"/>
      <c r="HFL14" s="109"/>
      <c r="HFM14" s="107" t="s">
        <v>1</v>
      </c>
      <c r="HFN14" s="108"/>
      <c r="HFO14" s="108"/>
      <c r="HFP14" s="109"/>
      <c r="HFQ14" s="107" t="s">
        <v>1</v>
      </c>
      <c r="HFR14" s="108"/>
      <c r="HFS14" s="108"/>
      <c r="HFT14" s="109"/>
      <c r="HFU14" s="107" t="s">
        <v>1</v>
      </c>
      <c r="HFV14" s="108"/>
      <c r="HFW14" s="108"/>
      <c r="HFX14" s="109"/>
      <c r="HFY14" s="107" t="s">
        <v>1</v>
      </c>
      <c r="HFZ14" s="108"/>
      <c r="HGA14" s="108"/>
      <c r="HGB14" s="109"/>
      <c r="HGC14" s="107" t="s">
        <v>1</v>
      </c>
      <c r="HGD14" s="108"/>
      <c r="HGE14" s="108"/>
      <c r="HGF14" s="109"/>
      <c r="HGG14" s="107" t="s">
        <v>1</v>
      </c>
      <c r="HGH14" s="108"/>
      <c r="HGI14" s="108"/>
      <c r="HGJ14" s="109"/>
      <c r="HGK14" s="107" t="s">
        <v>1</v>
      </c>
      <c r="HGL14" s="108"/>
      <c r="HGM14" s="108"/>
      <c r="HGN14" s="109"/>
      <c r="HGO14" s="107" t="s">
        <v>1</v>
      </c>
      <c r="HGP14" s="108"/>
      <c r="HGQ14" s="108"/>
      <c r="HGR14" s="109"/>
      <c r="HGS14" s="107" t="s">
        <v>1</v>
      </c>
      <c r="HGT14" s="108"/>
      <c r="HGU14" s="108"/>
      <c r="HGV14" s="109"/>
      <c r="HGW14" s="107" t="s">
        <v>1</v>
      </c>
      <c r="HGX14" s="108"/>
      <c r="HGY14" s="108"/>
      <c r="HGZ14" s="109"/>
      <c r="HHA14" s="107" t="s">
        <v>1</v>
      </c>
      <c r="HHB14" s="108"/>
      <c r="HHC14" s="108"/>
      <c r="HHD14" s="109"/>
      <c r="HHE14" s="107" t="s">
        <v>1</v>
      </c>
      <c r="HHF14" s="108"/>
      <c r="HHG14" s="108"/>
      <c r="HHH14" s="109"/>
      <c r="HHI14" s="107" t="s">
        <v>1</v>
      </c>
      <c r="HHJ14" s="108"/>
      <c r="HHK14" s="108"/>
      <c r="HHL14" s="109"/>
      <c r="HHM14" s="107" t="s">
        <v>1</v>
      </c>
      <c r="HHN14" s="108"/>
      <c r="HHO14" s="108"/>
      <c r="HHP14" s="109"/>
      <c r="HHQ14" s="107" t="s">
        <v>1</v>
      </c>
      <c r="HHR14" s="108"/>
      <c r="HHS14" s="108"/>
      <c r="HHT14" s="109"/>
      <c r="HHU14" s="107" t="s">
        <v>1</v>
      </c>
      <c r="HHV14" s="108"/>
      <c r="HHW14" s="108"/>
      <c r="HHX14" s="109"/>
      <c r="HHY14" s="107" t="s">
        <v>1</v>
      </c>
      <c r="HHZ14" s="108"/>
      <c r="HIA14" s="108"/>
      <c r="HIB14" s="109"/>
      <c r="HIC14" s="107" t="s">
        <v>1</v>
      </c>
      <c r="HID14" s="108"/>
      <c r="HIE14" s="108"/>
      <c r="HIF14" s="109"/>
      <c r="HIG14" s="107" t="s">
        <v>1</v>
      </c>
      <c r="HIH14" s="108"/>
      <c r="HII14" s="108"/>
      <c r="HIJ14" s="109"/>
      <c r="HIK14" s="107" t="s">
        <v>1</v>
      </c>
      <c r="HIL14" s="108"/>
      <c r="HIM14" s="108"/>
      <c r="HIN14" s="109"/>
      <c r="HIO14" s="107" t="s">
        <v>1</v>
      </c>
      <c r="HIP14" s="108"/>
      <c r="HIQ14" s="108"/>
      <c r="HIR14" s="109"/>
      <c r="HIS14" s="107" t="s">
        <v>1</v>
      </c>
      <c r="HIT14" s="108"/>
      <c r="HIU14" s="108"/>
      <c r="HIV14" s="109"/>
      <c r="HIW14" s="107" t="s">
        <v>1</v>
      </c>
      <c r="HIX14" s="108"/>
      <c r="HIY14" s="108"/>
      <c r="HIZ14" s="109"/>
      <c r="HJA14" s="107" t="s">
        <v>1</v>
      </c>
      <c r="HJB14" s="108"/>
      <c r="HJC14" s="108"/>
      <c r="HJD14" s="109"/>
      <c r="HJE14" s="107" t="s">
        <v>1</v>
      </c>
      <c r="HJF14" s="108"/>
      <c r="HJG14" s="108"/>
      <c r="HJH14" s="109"/>
      <c r="HJI14" s="107" t="s">
        <v>1</v>
      </c>
      <c r="HJJ14" s="108"/>
      <c r="HJK14" s="108"/>
      <c r="HJL14" s="109"/>
      <c r="HJM14" s="107" t="s">
        <v>1</v>
      </c>
      <c r="HJN14" s="108"/>
      <c r="HJO14" s="108"/>
      <c r="HJP14" s="109"/>
      <c r="HJQ14" s="107" t="s">
        <v>1</v>
      </c>
      <c r="HJR14" s="108"/>
      <c r="HJS14" s="108"/>
      <c r="HJT14" s="109"/>
      <c r="HJU14" s="107" t="s">
        <v>1</v>
      </c>
      <c r="HJV14" s="108"/>
      <c r="HJW14" s="108"/>
      <c r="HJX14" s="109"/>
      <c r="HJY14" s="107" t="s">
        <v>1</v>
      </c>
      <c r="HJZ14" s="108"/>
      <c r="HKA14" s="108"/>
      <c r="HKB14" s="109"/>
      <c r="HKC14" s="107" t="s">
        <v>1</v>
      </c>
      <c r="HKD14" s="108"/>
      <c r="HKE14" s="108"/>
      <c r="HKF14" s="109"/>
      <c r="HKG14" s="107" t="s">
        <v>1</v>
      </c>
      <c r="HKH14" s="108"/>
      <c r="HKI14" s="108"/>
      <c r="HKJ14" s="109"/>
      <c r="HKK14" s="107" t="s">
        <v>1</v>
      </c>
      <c r="HKL14" s="108"/>
      <c r="HKM14" s="108"/>
      <c r="HKN14" s="109"/>
      <c r="HKO14" s="107" t="s">
        <v>1</v>
      </c>
      <c r="HKP14" s="108"/>
      <c r="HKQ14" s="108"/>
      <c r="HKR14" s="109"/>
      <c r="HKS14" s="107" t="s">
        <v>1</v>
      </c>
      <c r="HKT14" s="108"/>
      <c r="HKU14" s="108"/>
      <c r="HKV14" s="109"/>
      <c r="HKW14" s="107" t="s">
        <v>1</v>
      </c>
      <c r="HKX14" s="108"/>
      <c r="HKY14" s="108"/>
      <c r="HKZ14" s="109"/>
      <c r="HLA14" s="107" t="s">
        <v>1</v>
      </c>
      <c r="HLB14" s="108"/>
      <c r="HLC14" s="108"/>
      <c r="HLD14" s="109"/>
      <c r="HLE14" s="107" t="s">
        <v>1</v>
      </c>
      <c r="HLF14" s="108"/>
      <c r="HLG14" s="108"/>
      <c r="HLH14" s="109"/>
      <c r="HLI14" s="107" t="s">
        <v>1</v>
      </c>
      <c r="HLJ14" s="108"/>
      <c r="HLK14" s="108"/>
      <c r="HLL14" s="109"/>
      <c r="HLM14" s="107" t="s">
        <v>1</v>
      </c>
      <c r="HLN14" s="108"/>
      <c r="HLO14" s="108"/>
      <c r="HLP14" s="109"/>
      <c r="HLQ14" s="107" t="s">
        <v>1</v>
      </c>
      <c r="HLR14" s="108"/>
      <c r="HLS14" s="108"/>
      <c r="HLT14" s="109"/>
      <c r="HLU14" s="107" t="s">
        <v>1</v>
      </c>
      <c r="HLV14" s="108"/>
      <c r="HLW14" s="108"/>
      <c r="HLX14" s="109"/>
      <c r="HLY14" s="107" t="s">
        <v>1</v>
      </c>
      <c r="HLZ14" s="108"/>
      <c r="HMA14" s="108"/>
      <c r="HMB14" s="109"/>
      <c r="HMC14" s="107" t="s">
        <v>1</v>
      </c>
      <c r="HMD14" s="108"/>
      <c r="HME14" s="108"/>
      <c r="HMF14" s="109"/>
      <c r="HMG14" s="107" t="s">
        <v>1</v>
      </c>
      <c r="HMH14" s="108"/>
      <c r="HMI14" s="108"/>
      <c r="HMJ14" s="109"/>
      <c r="HMK14" s="107" t="s">
        <v>1</v>
      </c>
      <c r="HML14" s="108"/>
      <c r="HMM14" s="108"/>
      <c r="HMN14" s="109"/>
      <c r="HMO14" s="107" t="s">
        <v>1</v>
      </c>
      <c r="HMP14" s="108"/>
      <c r="HMQ14" s="108"/>
      <c r="HMR14" s="109"/>
      <c r="HMS14" s="107" t="s">
        <v>1</v>
      </c>
      <c r="HMT14" s="108"/>
      <c r="HMU14" s="108"/>
      <c r="HMV14" s="109"/>
      <c r="HMW14" s="107" t="s">
        <v>1</v>
      </c>
      <c r="HMX14" s="108"/>
      <c r="HMY14" s="108"/>
      <c r="HMZ14" s="109"/>
      <c r="HNA14" s="107" t="s">
        <v>1</v>
      </c>
      <c r="HNB14" s="108"/>
      <c r="HNC14" s="108"/>
      <c r="HND14" s="109"/>
      <c r="HNE14" s="107" t="s">
        <v>1</v>
      </c>
      <c r="HNF14" s="108"/>
      <c r="HNG14" s="108"/>
      <c r="HNH14" s="109"/>
      <c r="HNI14" s="107" t="s">
        <v>1</v>
      </c>
      <c r="HNJ14" s="108"/>
      <c r="HNK14" s="108"/>
      <c r="HNL14" s="109"/>
      <c r="HNM14" s="107" t="s">
        <v>1</v>
      </c>
      <c r="HNN14" s="108"/>
      <c r="HNO14" s="108"/>
      <c r="HNP14" s="109"/>
      <c r="HNQ14" s="107" t="s">
        <v>1</v>
      </c>
      <c r="HNR14" s="108"/>
      <c r="HNS14" s="108"/>
      <c r="HNT14" s="109"/>
      <c r="HNU14" s="107" t="s">
        <v>1</v>
      </c>
      <c r="HNV14" s="108"/>
      <c r="HNW14" s="108"/>
      <c r="HNX14" s="109"/>
      <c r="HNY14" s="107" t="s">
        <v>1</v>
      </c>
      <c r="HNZ14" s="108"/>
      <c r="HOA14" s="108"/>
      <c r="HOB14" s="109"/>
      <c r="HOC14" s="107" t="s">
        <v>1</v>
      </c>
      <c r="HOD14" s="108"/>
      <c r="HOE14" s="108"/>
      <c r="HOF14" s="109"/>
      <c r="HOG14" s="107" t="s">
        <v>1</v>
      </c>
      <c r="HOH14" s="108"/>
      <c r="HOI14" s="108"/>
      <c r="HOJ14" s="109"/>
      <c r="HOK14" s="107" t="s">
        <v>1</v>
      </c>
      <c r="HOL14" s="108"/>
      <c r="HOM14" s="108"/>
      <c r="HON14" s="109"/>
      <c r="HOO14" s="107" t="s">
        <v>1</v>
      </c>
      <c r="HOP14" s="108"/>
      <c r="HOQ14" s="108"/>
      <c r="HOR14" s="109"/>
      <c r="HOS14" s="107" t="s">
        <v>1</v>
      </c>
      <c r="HOT14" s="108"/>
      <c r="HOU14" s="108"/>
      <c r="HOV14" s="109"/>
      <c r="HOW14" s="107" t="s">
        <v>1</v>
      </c>
      <c r="HOX14" s="108"/>
      <c r="HOY14" s="108"/>
      <c r="HOZ14" s="109"/>
      <c r="HPA14" s="107" t="s">
        <v>1</v>
      </c>
      <c r="HPB14" s="108"/>
      <c r="HPC14" s="108"/>
      <c r="HPD14" s="109"/>
      <c r="HPE14" s="107" t="s">
        <v>1</v>
      </c>
      <c r="HPF14" s="108"/>
      <c r="HPG14" s="108"/>
      <c r="HPH14" s="109"/>
      <c r="HPI14" s="107" t="s">
        <v>1</v>
      </c>
      <c r="HPJ14" s="108"/>
      <c r="HPK14" s="108"/>
      <c r="HPL14" s="109"/>
      <c r="HPM14" s="107" t="s">
        <v>1</v>
      </c>
      <c r="HPN14" s="108"/>
      <c r="HPO14" s="108"/>
      <c r="HPP14" s="109"/>
      <c r="HPQ14" s="107" t="s">
        <v>1</v>
      </c>
      <c r="HPR14" s="108"/>
      <c r="HPS14" s="108"/>
      <c r="HPT14" s="109"/>
      <c r="HPU14" s="107" t="s">
        <v>1</v>
      </c>
      <c r="HPV14" s="108"/>
      <c r="HPW14" s="108"/>
      <c r="HPX14" s="109"/>
      <c r="HPY14" s="107" t="s">
        <v>1</v>
      </c>
      <c r="HPZ14" s="108"/>
      <c r="HQA14" s="108"/>
      <c r="HQB14" s="109"/>
      <c r="HQC14" s="107" t="s">
        <v>1</v>
      </c>
      <c r="HQD14" s="108"/>
      <c r="HQE14" s="108"/>
      <c r="HQF14" s="109"/>
      <c r="HQG14" s="107" t="s">
        <v>1</v>
      </c>
      <c r="HQH14" s="108"/>
      <c r="HQI14" s="108"/>
      <c r="HQJ14" s="109"/>
      <c r="HQK14" s="107" t="s">
        <v>1</v>
      </c>
      <c r="HQL14" s="108"/>
      <c r="HQM14" s="108"/>
      <c r="HQN14" s="109"/>
      <c r="HQO14" s="107" t="s">
        <v>1</v>
      </c>
      <c r="HQP14" s="108"/>
      <c r="HQQ14" s="108"/>
      <c r="HQR14" s="109"/>
      <c r="HQS14" s="107" t="s">
        <v>1</v>
      </c>
      <c r="HQT14" s="108"/>
      <c r="HQU14" s="108"/>
      <c r="HQV14" s="109"/>
      <c r="HQW14" s="107" t="s">
        <v>1</v>
      </c>
      <c r="HQX14" s="108"/>
      <c r="HQY14" s="108"/>
      <c r="HQZ14" s="109"/>
      <c r="HRA14" s="107" t="s">
        <v>1</v>
      </c>
      <c r="HRB14" s="108"/>
      <c r="HRC14" s="108"/>
      <c r="HRD14" s="109"/>
      <c r="HRE14" s="107" t="s">
        <v>1</v>
      </c>
      <c r="HRF14" s="108"/>
      <c r="HRG14" s="108"/>
      <c r="HRH14" s="109"/>
      <c r="HRI14" s="107" t="s">
        <v>1</v>
      </c>
      <c r="HRJ14" s="108"/>
      <c r="HRK14" s="108"/>
      <c r="HRL14" s="109"/>
      <c r="HRM14" s="107" t="s">
        <v>1</v>
      </c>
      <c r="HRN14" s="108"/>
      <c r="HRO14" s="108"/>
      <c r="HRP14" s="109"/>
      <c r="HRQ14" s="107" t="s">
        <v>1</v>
      </c>
      <c r="HRR14" s="108"/>
      <c r="HRS14" s="108"/>
      <c r="HRT14" s="109"/>
      <c r="HRU14" s="107" t="s">
        <v>1</v>
      </c>
      <c r="HRV14" s="108"/>
      <c r="HRW14" s="108"/>
      <c r="HRX14" s="109"/>
      <c r="HRY14" s="107" t="s">
        <v>1</v>
      </c>
      <c r="HRZ14" s="108"/>
      <c r="HSA14" s="108"/>
      <c r="HSB14" s="109"/>
      <c r="HSC14" s="107" t="s">
        <v>1</v>
      </c>
      <c r="HSD14" s="108"/>
      <c r="HSE14" s="108"/>
      <c r="HSF14" s="109"/>
      <c r="HSG14" s="107" t="s">
        <v>1</v>
      </c>
      <c r="HSH14" s="108"/>
      <c r="HSI14" s="108"/>
      <c r="HSJ14" s="109"/>
      <c r="HSK14" s="107" t="s">
        <v>1</v>
      </c>
      <c r="HSL14" s="108"/>
      <c r="HSM14" s="108"/>
      <c r="HSN14" s="109"/>
      <c r="HSO14" s="107" t="s">
        <v>1</v>
      </c>
      <c r="HSP14" s="108"/>
      <c r="HSQ14" s="108"/>
      <c r="HSR14" s="109"/>
      <c r="HSS14" s="107" t="s">
        <v>1</v>
      </c>
      <c r="HST14" s="108"/>
      <c r="HSU14" s="108"/>
      <c r="HSV14" s="109"/>
      <c r="HSW14" s="107" t="s">
        <v>1</v>
      </c>
      <c r="HSX14" s="108"/>
      <c r="HSY14" s="108"/>
      <c r="HSZ14" s="109"/>
      <c r="HTA14" s="107" t="s">
        <v>1</v>
      </c>
      <c r="HTB14" s="108"/>
      <c r="HTC14" s="108"/>
      <c r="HTD14" s="109"/>
      <c r="HTE14" s="107" t="s">
        <v>1</v>
      </c>
      <c r="HTF14" s="108"/>
      <c r="HTG14" s="108"/>
      <c r="HTH14" s="109"/>
      <c r="HTI14" s="107" t="s">
        <v>1</v>
      </c>
      <c r="HTJ14" s="108"/>
      <c r="HTK14" s="108"/>
      <c r="HTL14" s="109"/>
      <c r="HTM14" s="107" t="s">
        <v>1</v>
      </c>
      <c r="HTN14" s="108"/>
      <c r="HTO14" s="108"/>
      <c r="HTP14" s="109"/>
      <c r="HTQ14" s="107" t="s">
        <v>1</v>
      </c>
      <c r="HTR14" s="108"/>
      <c r="HTS14" s="108"/>
      <c r="HTT14" s="109"/>
      <c r="HTU14" s="107" t="s">
        <v>1</v>
      </c>
      <c r="HTV14" s="108"/>
      <c r="HTW14" s="108"/>
      <c r="HTX14" s="109"/>
      <c r="HTY14" s="107" t="s">
        <v>1</v>
      </c>
      <c r="HTZ14" s="108"/>
      <c r="HUA14" s="108"/>
      <c r="HUB14" s="109"/>
      <c r="HUC14" s="107" t="s">
        <v>1</v>
      </c>
      <c r="HUD14" s="108"/>
      <c r="HUE14" s="108"/>
      <c r="HUF14" s="109"/>
      <c r="HUG14" s="107" t="s">
        <v>1</v>
      </c>
      <c r="HUH14" s="108"/>
      <c r="HUI14" s="108"/>
      <c r="HUJ14" s="109"/>
      <c r="HUK14" s="107" t="s">
        <v>1</v>
      </c>
      <c r="HUL14" s="108"/>
      <c r="HUM14" s="108"/>
      <c r="HUN14" s="109"/>
      <c r="HUO14" s="107" t="s">
        <v>1</v>
      </c>
      <c r="HUP14" s="108"/>
      <c r="HUQ14" s="108"/>
      <c r="HUR14" s="109"/>
      <c r="HUS14" s="107" t="s">
        <v>1</v>
      </c>
      <c r="HUT14" s="108"/>
      <c r="HUU14" s="108"/>
      <c r="HUV14" s="109"/>
      <c r="HUW14" s="107" t="s">
        <v>1</v>
      </c>
      <c r="HUX14" s="108"/>
      <c r="HUY14" s="108"/>
      <c r="HUZ14" s="109"/>
      <c r="HVA14" s="107" t="s">
        <v>1</v>
      </c>
      <c r="HVB14" s="108"/>
      <c r="HVC14" s="108"/>
      <c r="HVD14" s="109"/>
      <c r="HVE14" s="107" t="s">
        <v>1</v>
      </c>
      <c r="HVF14" s="108"/>
      <c r="HVG14" s="108"/>
      <c r="HVH14" s="109"/>
      <c r="HVI14" s="107" t="s">
        <v>1</v>
      </c>
      <c r="HVJ14" s="108"/>
      <c r="HVK14" s="108"/>
      <c r="HVL14" s="109"/>
      <c r="HVM14" s="107" t="s">
        <v>1</v>
      </c>
      <c r="HVN14" s="108"/>
      <c r="HVO14" s="108"/>
      <c r="HVP14" s="109"/>
      <c r="HVQ14" s="107" t="s">
        <v>1</v>
      </c>
      <c r="HVR14" s="108"/>
      <c r="HVS14" s="108"/>
      <c r="HVT14" s="109"/>
      <c r="HVU14" s="107" t="s">
        <v>1</v>
      </c>
      <c r="HVV14" s="108"/>
      <c r="HVW14" s="108"/>
      <c r="HVX14" s="109"/>
      <c r="HVY14" s="107" t="s">
        <v>1</v>
      </c>
      <c r="HVZ14" s="108"/>
      <c r="HWA14" s="108"/>
      <c r="HWB14" s="109"/>
      <c r="HWC14" s="107" t="s">
        <v>1</v>
      </c>
      <c r="HWD14" s="108"/>
      <c r="HWE14" s="108"/>
      <c r="HWF14" s="109"/>
      <c r="HWG14" s="107" t="s">
        <v>1</v>
      </c>
      <c r="HWH14" s="108"/>
      <c r="HWI14" s="108"/>
      <c r="HWJ14" s="109"/>
      <c r="HWK14" s="107" t="s">
        <v>1</v>
      </c>
      <c r="HWL14" s="108"/>
      <c r="HWM14" s="108"/>
      <c r="HWN14" s="109"/>
      <c r="HWO14" s="107" t="s">
        <v>1</v>
      </c>
      <c r="HWP14" s="108"/>
      <c r="HWQ14" s="108"/>
      <c r="HWR14" s="109"/>
      <c r="HWS14" s="107" t="s">
        <v>1</v>
      </c>
      <c r="HWT14" s="108"/>
      <c r="HWU14" s="108"/>
      <c r="HWV14" s="109"/>
      <c r="HWW14" s="107" t="s">
        <v>1</v>
      </c>
      <c r="HWX14" s="108"/>
      <c r="HWY14" s="108"/>
      <c r="HWZ14" s="109"/>
      <c r="HXA14" s="107" t="s">
        <v>1</v>
      </c>
      <c r="HXB14" s="108"/>
      <c r="HXC14" s="108"/>
      <c r="HXD14" s="109"/>
      <c r="HXE14" s="107" t="s">
        <v>1</v>
      </c>
      <c r="HXF14" s="108"/>
      <c r="HXG14" s="108"/>
      <c r="HXH14" s="109"/>
      <c r="HXI14" s="107" t="s">
        <v>1</v>
      </c>
      <c r="HXJ14" s="108"/>
      <c r="HXK14" s="108"/>
      <c r="HXL14" s="109"/>
      <c r="HXM14" s="107" t="s">
        <v>1</v>
      </c>
      <c r="HXN14" s="108"/>
      <c r="HXO14" s="108"/>
      <c r="HXP14" s="109"/>
      <c r="HXQ14" s="107" t="s">
        <v>1</v>
      </c>
      <c r="HXR14" s="108"/>
      <c r="HXS14" s="108"/>
      <c r="HXT14" s="109"/>
      <c r="HXU14" s="107" t="s">
        <v>1</v>
      </c>
      <c r="HXV14" s="108"/>
      <c r="HXW14" s="108"/>
      <c r="HXX14" s="109"/>
      <c r="HXY14" s="107" t="s">
        <v>1</v>
      </c>
      <c r="HXZ14" s="108"/>
      <c r="HYA14" s="108"/>
      <c r="HYB14" s="109"/>
      <c r="HYC14" s="107" t="s">
        <v>1</v>
      </c>
      <c r="HYD14" s="108"/>
      <c r="HYE14" s="108"/>
      <c r="HYF14" s="109"/>
      <c r="HYG14" s="107" t="s">
        <v>1</v>
      </c>
      <c r="HYH14" s="108"/>
      <c r="HYI14" s="108"/>
      <c r="HYJ14" s="109"/>
      <c r="HYK14" s="107" t="s">
        <v>1</v>
      </c>
      <c r="HYL14" s="108"/>
      <c r="HYM14" s="108"/>
      <c r="HYN14" s="109"/>
      <c r="HYO14" s="107" t="s">
        <v>1</v>
      </c>
      <c r="HYP14" s="108"/>
      <c r="HYQ14" s="108"/>
      <c r="HYR14" s="109"/>
      <c r="HYS14" s="107" t="s">
        <v>1</v>
      </c>
      <c r="HYT14" s="108"/>
      <c r="HYU14" s="108"/>
      <c r="HYV14" s="109"/>
      <c r="HYW14" s="107" t="s">
        <v>1</v>
      </c>
      <c r="HYX14" s="108"/>
      <c r="HYY14" s="108"/>
      <c r="HYZ14" s="109"/>
      <c r="HZA14" s="107" t="s">
        <v>1</v>
      </c>
      <c r="HZB14" s="108"/>
      <c r="HZC14" s="108"/>
      <c r="HZD14" s="109"/>
      <c r="HZE14" s="107" t="s">
        <v>1</v>
      </c>
      <c r="HZF14" s="108"/>
      <c r="HZG14" s="108"/>
      <c r="HZH14" s="109"/>
      <c r="HZI14" s="107" t="s">
        <v>1</v>
      </c>
      <c r="HZJ14" s="108"/>
      <c r="HZK14" s="108"/>
      <c r="HZL14" s="109"/>
      <c r="HZM14" s="107" t="s">
        <v>1</v>
      </c>
      <c r="HZN14" s="108"/>
      <c r="HZO14" s="108"/>
      <c r="HZP14" s="109"/>
      <c r="HZQ14" s="107" t="s">
        <v>1</v>
      </c>
      <c r="HZR14" s="108"/>
      <c r="HZS14" s="108"/>
      <c r="HZT14" s="109"/>
      <c r="HZU14" s="107" t="s">
        <v>1</v>
      </c>
      <c r="HZV14" s="108"/>
      <c r="HZW14" s="108"/>
      <c r="HZX14" s="109"/>
      <c r="HZY14" s="107" t="s">
        <v>1</v>
      </c>
      <c r="HZZ14" s="108"/>
      <c r="IAA14" s="108"/>
      <c r="IAB14" s="109"/>
      <c r="IAC14" s="107" t="s">
        <v>1</v>
      </c>
      <c r="IAD14" s="108"/>
      <c r="IAE14" s="108"/>
      <c r="IAF14" s="109"/>
      <c r="IAG14" s="107" t="s">
        <v>1</v>
      </c>
      <c r="IAH14" s="108"/>
      <c r="IAI14" s="108"/>
      <c r="IAJ14" s="109"/>
      <c r="IAK14" s="107" t="s">
        <v>1</v>
      </c>
      <c r="IAL14" s="108"/>
      <c r="IAM14" s="108"/>
      <c r="IAN14" s="109"/>
      <c r="IAO14" s="107" t="s">
        <v>1</v>
      </c>
      <c r="IAP14" s="108"/>
      <c r="IAQ14" s="108"/>
      <c r="IAR14" s="109"/>
      <c r="IAS14" s="107" t="s">
        <v>1</v>
      </c>
      <c r="IAT14" s="108"/>
      <c r="IAU14" s="108"/>
      <c r="IAV14" s="109"/>
      <c r="IAW14" s="107" t="s">
        <v>1</v>
      </c>
      <c r="IAX14" s="108"/>
      <c r="IAY14" s="108"/>
      <c r="IAZ14" s="109"/>
      <c r="IBA14" s="107" t="s">
        <v>1</v>
      </c>
      <c r="IBB14" s="108"/>
      <c r="IBC14" s="108"/>
      <c r="IBD14" s="109"/>
      <c r="IBE14" s="107" t="s">
        <v>1</v>
      </c>
      <c r="IBF14" s="108"/>
      <c r="IBG14" s="108"/>
      <c r="IBH14" s="109"/>
      <c r="IBI14" s="107" t="s">
        <v>1</v>
      </c>
      <c r="IBJ14" s="108"/>
      <c r="IBK14" s="108"/>
      <c r="IBL14" s="109"/>
      <c r="IBM14" s="107" t="s">
        <v>1</v>
      </c>
      <c r="IBN14" s="108"/>
      <c r="IBO14" s="108"/>
      <c r="IBP14" s="109"/>
      <c r="IBQ14" s="107" t="s">
        <v>1</v>
      </c>
      <c r="IBR14" s="108"/>
      <c r="IBS14" s="108"/>
      <c r="IBT14" s="109"/>
      <c r="IBU14" s="107" t="s">
        <v>1</v>
      </c>
      <c r="IBV14" s="108"/>
      <c r="IBW14" s="108"/>
      <c r="IBX14" s="109"/>
      <c r="IBY14" s="107" t="s">
        <v>1</v>
      </c>
      <c r="IBZ14" s="108"/>
      <c r="ICA14" s="108"/>
      <c r="ICB14" s="109"/>
      <c r="ICC14" s="107" t="s">
        <v>1</v>
      </c>
      <c r="ICD14" s="108"/>
      <c r="ICE14" s="108"/>
      <c r="ICF14" s="109"/>
      <c r="ICG14" s="107" t="s">
        <v>1</v>
      </c>
      <c r="ICH14" s="108"/>
      <c r="ICI14" s="108"/>
      <c r="ICJ14" s="109"/>
      <c r="ICK14" s="107" t="s">
        <v>1</v>
      </c>
      <c r="ICL14" s="108"/>
      <c r="ICM14" s="108"/>
      <c r="ICN14" s="109"/>
      <c r="ICO14" s="107" t="s">
        <v>1</v>
      </c>
      <c r="ICP14" s="108"/>
      <c r="ICQ14" s="108"/>
      <c r="ICR14" s="109"/>
      <c r="ICS14" s="107" t="s">
        <v>1</v>
      </c>
      <c r="ICT14" s="108"/>
      <c r="ICU14" s="108"/>
      <c r="ICV14" s="109"/>
      <c r="ICW14" s="107" t="s">
        <v>1</v>
      </c>
      <c r="ICX14" s="108"/>
      <c r="ICY14" s="108"/>
      <c r="ICZ14" s="109"/>
      <c r="IDA14" s="107" t="s">
        <v>1</v>
      </c>
      <c r="IDB14" s="108"/>
      <c r="IDC14" s="108"/>
      <c r="IDD14" s="109"/>
      <c r="IDE14" s="107" t="s">
        <v>1</v>
      </c>
      <c r="IDF14" s="108"/>
      <c r="IDG14" s="108"/>
      <c r="IDH14" s="109"/>
      <c r="IDI14" s="107" t="s">
        <v>1</v>
      </c>
      <c r="IDJ14" s="108"/>
      <c r="IDK14" s="108"/>
      <c r="IDL14" s="109"/>
      <c r="IDM14" s="107" t="s">
        <v>1</v>
      </c>
      <c r="IDN14" s="108"/>
      <c r="IDO14" s="108"/>
      <c r="IDP14" s="109"/>
      <c r="IDQ14" s="107" t="s">
        <v>1</v>
      </c>
      <c r="IDR14" s="108"/>
      <c r="IDS14" s="108"/>
      <c r="IDT14" s="109"/>
      <c r="IDU14" s="107" t="s">
        <v>1</v>
      </c>
      <c r="IDV14" s="108"/>
      <c r="IDW14" s="108"/>
      <c r="IDX14" s="109"/>
      <c r="IDY14" s="107" t="s">
        <v>1</v>
      </c>
      <c r="IDZ14" s="108"/>
      <c r="IEA14" s="108"/>
      <c r="IEB14" s="109"/>
      <c r="IEC14" s="107" t="s">
        <v>1</v>
      </c>
      <c r="IED14" s="108"/>
      <c r="IEE14" s="108"/>
      <c r="IEF14" s="109"/>
      <c r="IEG14" s="107" t="s">
        <v>1</v>
      </c>
      <c r="IEH14" s="108"/>
      <c r="IEI14" s="108"/>
      <c r="IEJ14" s="109"/>
      <c r="IEK14" s="107" t="s">
        <v>1</v>
      </c>
      <c r="IEL14" s="108"/>
      <c r="IEM14" s="108"/>
      <c r="IEN14" s="109"/>
      <c r="IEO14" s="107" t="s">
        <v>1</v>
      </c>
      <c r="IEP14" s="108"/>
      <c r="IEQ14" s="108"/>
      <c r="IER14" s="109"/>
      <c r="IES14" s="107" t="s">
        <v>1</v>
      </c>
      <c r="IET14" s="108"/>
      <c r="IEU14" s="108"/>
      <c r="IEV14" s="109"/>
      <c r="IEW14" s="107" t="s">
        <v>1</v>
      </c>
      <c r="IEX14" s="108"/>
      <c r="IEY14" s="108"/>
      <c r="IEZ14" s="109"/>
      <c r="IFA14" s="107" t="s">
        <v>1</v>
      </c>
      <c r="IFB14" s="108"/>
      <c r="IFC14" s="108"/>
      <c r="IFD14" s="109"/>
      <c r="IFE14" s="107" t="s">
        <v>1</v>
      </c>
      <c r="IFF14" s="108"/>
      <c r="IFG14" s="108"/>
      <c r="IFH14" s="109"/>
      <c r="IFI14" s="107" t="s">
        <v>1</v>
      </c>
      <c r="IFJ14" s="108"/>
      <c r="IFK14" s="108"/>
      <c r="IFL14" s="109"/>
      <c r="IFM14" s="107" t="s">
        <v>1</v>
      </c>
      <c r="IFN14" s="108"/>
      <c r="IFO14" s="108"/>
      <c r="IFP14" s="109"/>
      <c r="IFQ14" s="107" t="s">
        <v>1</v>
      </c>
      <c r="IFR14" s="108"/>
      <c r="IFS14" s="108"/>
      <c r="IFT14" s="109"/>
      <c r="IFU14" s="107" t="s">
        <v>1</v>
      </c>
      <c r="IFV14" s="108"/>
      <c r="IFW14" s="108"/>
      <c r="IFX14" s="109"/>
      <c r="IFY14" s="107" t="s">
        <v>1</v>
      </c>
      <c r="IFZ14" s="108"/>
      <c r="IGA14" s="108"/>
      <c r="IGB14" s="109"/>
      <c r="IGC14" s="107" t="s">
        <v>1</v>
      </c>
      <c r="IGD14" s="108"/>
      <c r="IGE14" s="108"/>
      <c r="IGF14" s="109"/>
      <c r="IGG14" s="107" t="s">
        <v>1</v>
      </c>
      <c r="IGH14" s="108"/>
      <c r="IGI14" s="108"/>
      <c r="IGJ14" s="109"/>
      <c r="IGK14" s="107" t="s">
        <v>1</v>
      </c>
      <c r="IGL14" s="108"/>
      <c r="IGM14" s="108"/>
      <c r="IGN14" s="109"/>
      <c r="IGO14" s="107" t="s">
        <v>1</v>
      </c>
      <c r="IGP14" s="108"/>
      <c r="IGQ14" s="108"/>
      <c r="IGR14" s="109"/>
      <c r="IGS14" s="107" t="s">
        <v>1</v>
      </c>
      <c r="IGT14" s="108"/>
      <c r="IGU14" s="108"/>
      <c r="IGV14" s="109"/>
      <c r="IGW14" s="107" t="s">
        <v>1</v>
      </c>
      <c r="IGX14" s="108"/>
      <c r="IGY14" s="108"/>
      <c r="IGZ14" s="109"/>
      <c r="IHA14" s="107" t="s">
        <v>1</v>
      </c>
      <c r="IHB14" s="108"/>
      <c r="IHC14" s="108"/>
      <c r="IHD14" s="109"/>
      <c r="IHE14" s="107" t="s">
        <v>1</v>
      </c>
      <c r="IHF14" s="108"/>
      <c r="IHG14" s="108"/>
      <c r="IHH14" s="109"/>
      <c r="IHI14" s="107" t="s">
        <v>1</v>
      </c>
      <c r="IHJ14" s="108"/>
      <c r="IHK14" s="108"/>
      <c r="IHL14" s="109"/>
      <c r="IHM14" s="107" t="s">
        <v>1</v>
      </c>
      <c r="IHN14" s="108"/>
      <c r="IHO14" s="108"/>
      <c r="IHP14" s="109"/>
      <c r="IHQ14" s="107" t="s">
        <v>1</v>
      </c>
      <c r="IHR14" s="108"/>
      <c r="IHS14" s="108"/>
      <c r="IHT14" s="109"/>
      <c r="IHU14" s="107" t="s">
        <v>1</v>
      </c>
      <c r="IHV14" s="108"/>
      <c r="IHW14" s="108"/>
      <c r="IHX14" s="109"/>
      <c r="IHY14" s="107" t="s">
        <v>1</v>
      </c>
      <c r="IHZ14" s="108"/>
      <c r="IIA14" s="108"/>
      <c r="IIB14" s="109"/>
      <c r="IIC14" s="107" t="s">
        <v>1</v>
      </c>
      <c r="IID14" s="108"/>
      <c r="IIE14" s="108"/>
      <c r="IIF14" s="109"/>
      <c r="IIG14" s="107" t="s">
        <v>1</v>
      </c>
      <c r="IIH14" s="108"/>
      <c r="III14" s="108"/>
      <c r="IIJ14" s="109"/>
      <c r="IIK14" s="107" t="s">
        <v>1</v>
      </c>
      <c r="IIL14" s="108"/>
      <c r="IIM14" s="108"/>
      <c r="IIN14" s="109"/>
      <c r="IIO14" s="107" t="s">
        <v>1</v>
      </c>
      <c r="IIP14" s="108"/>
      <c r="IIQ14" s="108"/>
      <c r="IIR14" s="109"/>
      <c r="IIS14" s="107" t="s">
        <v>1</v>
      </c>
      <c r="IIT14" s="108"/>
      <c r="IIU14" s="108"/>
      <c r="IIV14" s="109"/>
      <c r="IIW14" s="107" t="s">
        <v>1</v>
      </c>
      <c r="IIX14" s="108"/>
      <c r="IIY14" s="108"/>
      <c r="IIZ14" s="109"/>
      <c r="IJA14" s="107" t="s">
        <v>1</v>
      </c>
      <c r="IJB14" s="108"/>
      <c r="IJC14" s="108"/>
      <c r="IJD14" s="109"/>
      <c r="IJE14" s="107" t="s">
        <v>1</v>
      </c>
      <c r="IJF14" s="108"/>
      <c r="IJG14" s="108"/>
      <c r="IJH14" s="109"/>
      <c r="IJI14" s="107" t="s">
        <v>1</v>
      </c>
      <c r="IJJ14" s="108"/>
      <c r="IJK14" s="108"/>
      <c r="IJL14" s="109"/>
      <c r="IJM14" s="107" t="s">
        <v>1</v>
      </c>
      <c r="IJN14" s="108"/>
      <c r="IJO14" s="108"/>
      <c r="IJP14" s="109"/>
      <c r="IJQ14" s="107" t="s">
        <v>1</v>
      </c>
      <c r="IJR14" s="108"/>
      <c r="IJS14" s="108"/>
      <c r="IJT14" s="109"/>
      <c r="IJU14" s="107" t="s">
        <v>1</v>
      </c>
      <c r="IJV14" s="108"/>
      <c r="IJW14" s="108"/>
      <c r="IJX14" s="109"/>
      <c r="IJY14" s="107" t="s">
        <v>1</v>
      </c>
      <c r="IJZ14" s="108"/>
      <c r="IKA14" s="108"/>
      <c r="IKB14" s="109"/>
      <c r="IKC14" s="107" t="s">
        <v>1</v>
      </c>
      <c r="IKD14" s="108"/>
      <c r="IKE14" s="108"/>
      <c r="IKF14" s="109"/>
      <c r="IKG14" s="107" t="s">
        <v>1</v>
      </c>
      <c r="IKH14" s="108"/>
      <c r="IKI14" s="108"/>
      <c r="IKJ14" s="109"/>
      <c r="IKK14" s="107" t="s">
        <v>1</v>
      </c>
      <c r="IKL14" s="108"/>
      <c r="IKM14" s="108"/>
      <c r="IKN14" s="109"/>
      <c r="IKO14" s="107" t="s">
        <v>1</v>
      </c>
      <c r="IKP14" s="108"/>
      <c r="IKQ14" s="108"/>
      <c r="IKR14" s="109"/>
      <c r="IKS14" s="107" t="s">
        <v>1</v>
      </c>
      <c r="IKT14" s="108"/>
      <c r="IKU14" s="108"/>
      <c r="IKV14" s="109"/>
      <c r="IKW14" s="107" t="s">
        <v>1</v>
      </c>
      <c r="IKX14" s="108"/>
      <c r="IKY14" s="108"/>
      <c r="IKZ14" s="109"/>
      <c r="ILA14" s="107" t="s">
        <v>1</v>
      </c>
      <c r="ILB14" s="108"/>
      <c r="ILC14" s="108"/>
      <c r="ILD14" s="109"/>
      <c r="ILE14" s="107" t="s">
        <v>1</v>
      </c>
      <c r="ILF14" s="108"/>
      <c r="ILG14" s="108"/>
      <c r="ILH14" s="109"/>
      <c r="ILI14" s="107" t="s">
        <v>1</v>
      </c>
      <c r="ILJ14" s="108"/>
      <c r="ILK14" s="108"/>
      <c r="ILL14" s="109"/>
      <c r="ILM14" s="107" t="s">
        <v>1</v>
      </c>
      <c r="ILN14" s="108"/>
      <c r="ILO14" s="108"/>
      <c r="ILP14" s="109"/>
      <c r="ILQ14" s="107" t="s">
        <v>1</v>
      </c>
      <c r="ILR14" s="108"/>
      <c r="ILS14" s="108"/>
      <c r="ILT14" s="109"/>
      <c r="ILU14" s="107" t="s">
        <v>1</v>
      </c>
      <c r="ILV14" s="108"/>
      <c r="ILW14" s="108"/>
      <c r="ILX14" s="109"/>
      <c r="ILY14" s="107" t="s">
        <v>1</v>
      </c>
      <c r="ILZ14" s="108"/>
      <c r="IMA14" s="108"/>
      <c r="IMB14" s="109"/>
      <c r="IMC14" s="107" t="s">
        <v>1</v>
      </c>
      <c r="IMD14" s="108"/>
      <c r="IME14" s="108"/>
      <c r="IMF14" s="109"/>
      <c r="IMG14" s="107" t="s">
        <v>1</v>
      </c>
      <c r="IMH14" s="108"/>
      <c r="IMI14" s="108"/>
      <c r="IMJ14" s="109"/>
      <c r="IMK14" s="107" t="s">
        <v>1</v>
      </c>
      <c r="IML14" s="108"/>
      <c r="IMM14" s="108"/>
      <c r="IMN14" s="109"/>
      <c r="IMO14" s="107" t="s">
        <v>1</v>
      </c>
      <c r="IMP14" s="108"/>
      <c r="IMQ14" s="108"/>
      <c r="IMR14" s="109"/>
      <c r="IMS14" s="107" t="s">
        <v>1</v>
      </c>
      <c r="IMT14" s="108"/>
      <c r="IMU14" s="108"/>
      <c r="IMV14" s="109"/>
      <c r="IMW14" s="107" t="s">
        <v>1</v>
      </c>
      <c r="IMX14" s="108"/>
      <c r="IMY14" s="108"/>
      <c r="IMZ14" s="109"/>
      <c r="INA14" s="107" t="s">
        <v>1</v>
      </c>
      <c r="INB14" s="108"/>
      <c r="INC14" s="108"/>
      <c r="IND14" s="109"/>
      <c r="INE14" s="107" t="s">
        <v>1</v>
      </c>
      <c r="INF14" s="108"/>
      <c r="ING14" s="108"/>
      <c r="INH14" s="109"/>
      <c r="INI14" s="107" t="s">
        <v>1</v>
      </c>
      <c r="INJ14" s="108"/>
      <c r="INK14" s="108"/>
      <c r="INL14" s="109"/>
      <c r="INM14" s="107" t="s">
        <v>1</v>
      </c>
      <c r="INN14" s="108"/>
      <c r="INO14" s="108"/>
      <c r="INP14" s="109"/>
      <c r="INQ14" s="107" t="s">
        <v>1</v>
      </c>
      <c r="INR14" s="108"/>
      <c r="INS14" s="108"/>
      <c r="INT14" s="109"/>
      <c r="INU14" s="107" t="s">
        <v>1</v>
      </c>
      <c r="INV14" s="108"/>
      <c r="INW14" s="108"/>
      <c r="INX14" s="109"/>
      <c r="INY14" s="107" t="s">
        <v>1</v>
      </c>
      <c r="INZ14" s="108"/>
      <c r="IOA14" s="108"/>
      <c r="IOB14" s="109"/>
      <c r="IOC14" s="107" t="s">
        <v>1</v>
      </c>
      <c r="IOD14" s="108"/>
      <c r="IOE14" s="108"/>
      <c r="IOF14" s="109"/>
      <c r="IOG14" s="107" t="s">
        <v>1</v>
      </c>
      <c r="IOH14" s="108"/>
      <c r="IOI14" s="108"/>
      <c r="IOJ14" s="109"/>
      <c r="IOK14" s="107" t="s">
        <v>1</v>
      </c>
      <c r="IOL14" s="108"/>
      <c r="IOM14" s="108"/>
      <c r="ION14" s="109"/>
      <c r="IOO14" s="107" t="s">
        <v>1</v>
      </c>
      <c r="IOP14" s="108"/>
      <c r="IOQ14" s="108"/>
      <c r="IOR14" s="109"/>
      <c r="IOS14" s="107" t="s">
        <v>1</v>
      </c>
      <c r="IOT14" s="108"/>
      <c r="IOU14" s="108"/>
      <c r="IOV14" s="109"/>
      <c r="IOW14" s="107" t="s">
        <v>1</v>
      </c>
      <c r="IOX14" s="108"/>
      <c r="IOY14" s="108"/>
      <c r="IOZ14" s="109"/>
      <c r="IPA14" s="107" t="s">
        <v>1</v>
      </c>
      <c r="IPB14" s="108"/>
      <c r="IPC14" s="108"/>
      <c r="IPD14" s="109"/>
      <c r="IPE14" s="107" t="s">
        <v>1</v>
      </c>
      <c r="IPF14" s="108"/>
      <c r="IPG14" s="108"/>
      <c r="IPH14" s="109"/>
      <c r="IPI14" s="107" t="s">
        <v>1</v>
      </c>
      <c r="IPJ14" s="108"/>
      <c r="IPK14" s="108"/>
      <c r="IPL14" s="109"/>
      <c r="IPM14" s="107" t="s">
        <v>1</v>
      </c>
      <c r="IPN14" s="108"/>
      <c r="IPO14" s="108"/>
      <c r="IPP14" s="109"/>
      <c r="IPQ14" s="107" t="s">
        <v>1</v>
      </c>
      <c r="IPR14" s="108"/>
      <c r="IPS14" s="108"/>
      <c r="IPT14" s="109"/>
      <c r="IPU14" s="107" t="s">
        <v>1</v>
      </c>
      <c r="IPV14" s="108"/>
      <c r="IPW14" s="108"/>
      <c r="IPX14" s="109"/>
      <c r="IPY14" s="107" t="s">
        <v>1</v>
      </c>
      <c r="IPZ14" s="108"/>
      <c r="IQA14" s="108"/>
      <c r="IQB14" s="109"/>
      <c r="IQC14" s="107" t="s">
        <v>1</v>
      </c>
      <c r="IQD14" s="108"/>
      <c r="IQE14" s="108"/>
      <c r="IQF14" s="109"/>
      <c r="IQG14" s="107" t="s">
        <v>1</v>
      </c>
      <c r="IQH14" s="108"/>
      <c r="IQI14" s="108"/>
      <c r="IQJ14" s="109"/>
      <c r="IQK14" s="107" t="s">
        <v>1</v>
      </c>
      <c r="IQL14" s="108"/>
      <c r="IQM14" s="108"/>
      <c r="IQN14" s="109"/>
      <c r="IQO14" s="107" t="s">
        <v>1</v>
      </c>
      <c r="IQP14" s="108"/>
      <c r="IQQ14" s="108"/>
      <c r="IQR14" s="109"/>
      <c r="IQS14" s="107" t="s">
        <v>1</v>
      </c>
      <c r="IQT14" s="108"/>
      <c r="IQU14" s="108"/>
      <c r="IQV14" s="109"/>
      <c r="IQW14" s="107" t="s">
        <v>1</v>
      </c>
      <c r="IQX14" s="108"/>
      <c r="IQY14" s="108"/>
      <c r="IQZ14" s="109"/>
      <c r="IRA14" s="107" t="s">
        <v>1</v>
      </c>
      <c r="IRB14" s="108"/>
      <c r="IRC14" s="108"/>
      <c r="IRD14" s="109"/>
      <c r="IRE14" s="107" t="s">
        <v>1</v>
      </c>
      <c r="IRF14" s="108"/>
      <c r="IRG14" s="108"/>
      <c r="IRH14" s="109"/>
      <c r="IRI14" s="107" t="s">
        <v>1</v>
      </c>
      <c r="IRJ14" s="108"/>
      <c r="IRK14" s="108"/>
      <c r="IRL14" s="109"/>
      <c r="IRM14" s="107" t="s">
        <v>1</v>
      </c>
      <c r="IRN14" s="108"/>
      <c r="IRO14" s="108"/>
      <c r="IRP14" s="109"/>
      <c r="IRQ14" s="107" t="s">
        <v>1</v>
      </c>
      <c r="IRR14" s="108"/>
      <c r="IRS14" s="108"/>
      <c r="IRT14" s="109"/>
      <c r="IRU14" s="107" t="s">
        <v>1</v>
      </c>
      <c r="IRV14" s="108"/>
      <c r="IRW14" s="108"/>
      <c r="IRX14" s="109"/>
      <c r="IRY14" s="107" t="s">
        <v>1</v>
      </c>
      <c r="IRZ14" s="108"/>
      <c r="ISA14" s="108"/>
      <c r="ISB14" s="109"/>
      <c r="ISC14" s="107" t="s">
        <v>1</v>
      </c>
      <c r="ISD14" s="108"/>
      <c r="ISE14" s="108"/>
      <c r="ISF14" s="109"/>
      <c r="ISG14" s="107" t="s">
        <v>1</v>
      </c>
      <c r="ISH14" s="108"/>
      <c r="ISI14" s="108"/>
      <c r="ISJ14" s="109"/>
      <c r="ISK14" s="107" t="s">
        <v>1</v>
      </c>
      <c r="ISL14" s="108"/>
      <c r="ISM14" s="108"/>
      <c r="ISN14" s="109"/>
      <c r="ISO14" s="107" t="s">
        <v>1</v>
      </c>
      <c r="ISP14" s="108"/>
      <c r="ISQ14" s="108"/>
      <c r="ISR14" s="109"/>
      <c r="ISS14" s="107" t="s">
        <v>1</v>
      </c>
      <c r="IST14" s="108"/>
      <c r="ISU14" s="108"/>
      <c r="ISV14" s="109"/>
      <c r="ISW14" s="107" t="s">
        <v>1</v>
      </c>
      <c r="ISX14" s="108"/>
      <c r="ISY14" s="108"/>
      <c r="ISZ14" s="109"/>
      <c r="ITA14" s="107" t="s">
        <v>1</v>
      </c>
      <c r="ITB14" s="108"/>
      <c r="ITC14" s="108"/>
      <c r="ITD14" s="109"/>
      <c r="ITE14" s="107" t="s">
        <v>1</v>
      </c>
      <c r="ITF14" s="108"/>
      <c r="ITG14" s="108"/>
      <c r="ITH14" s="109"/>
      <c r="ITI14" s="107" t="s">
        <v>1</v>
      </c>
      <c r="ITJ14" s="108"/>
      <c r="ITK14" s="108"/>
      <c r="ITL14" s="109"/>
      <c r="ITM14" s="107" t="s">
        <v>1</v>
      </c>
      <c r="ITN14" s="108"/>
      <c r="ITO14" s="108"/>
      <c r="ITP14" s="109"/>
      <c r="ITQ14" s="107" t="s">
        <v>1</v>
      </c>
      <c r="ITR14" s="108"/>
      <c r="ITS14" s="108"/>
      <c r="ITT14" s="109"/>
      <c r="ITU14" s="107" t="s">
        <v>1</v>
      </c>
      <c r="ITV14" s="108"/>
      <c r="ITW14" s="108"/>
      <c r="ITX14" s="109"/>
      <c r="ITY14" s="107" t="s">
        <v>1</v>
      </c>
      <c r="ITZ14" s="108"/>
      <c r="IUA14" s="108"/>
      <c r="IUB14" s="109"/>
      <c r="IUC14" s="107" t="s">
        <v>1</v>
      </c>
      <c r="IUD14" s="108"/>
      <c r="IUE14" s="108"/>
      <c r="IUF14" s="109"/>
      <c r="IUG14" s="107" t="s">
        <v>1</v>
      </c>
      <c r="IUH14" s="108"/>
      <c r="IUI14" s="108"/>
      <c r="IUJ14" s="109"/>
      <c r="IUK14" s="107" t="s">
        <v>1</v>
      </c>
      <c r="IUL14" s="108"/>
      <c r="IUM14" s="108"/>
      <c r="IUN14" s="109"/>
      <c r="IUO14" s="107" t="s">
        <v>1</v>
      </c>
      <c r="IUP14" s="108"/>
      <c r="IUQ14" s="108"/>
      <c r="IUR14" s="109"/>
      <c r="IUS14" s="107" t="s">
        <v>1</v>
      </c>
      <c r="IUT14" s="108"/>
      <c r="IUU14" s="108"/>
      <c r="IUV14" s="109"/>
      <c r="IUW14" s="107" t="s">
        <v>1</v>
      </c>
      <c r="IUX14" s="108"/>
      <c r="IUY14" s="108"/>
      <c r="IUZ14" s="109"/>
      <c r="IVA14" s="107" t="s">
        <v>1</v>
      </c>
      <c r="IVB14" s="108"/>
      <c r="IVC14" s="108"/>
      <c r="IVD14" s="109"/>
      <c r="IVE14" s="107" t="s">
        <v>1</v>
      </c>
      <c r="IVF14" s="108"/>
      <c r="IVG14" s="108"/>
      <c r="IVH14" s="109"/>
      <c r="IVI14" s="107" t="s">
        <v>1</v>
      </c>
      <c r="IVJ14" s="108"/>
      <c r="IVK14" s="108"/>
      <c r="IVL14" s="109"/>
      <c r="IVM14" s="107" t="s">
        <v>1</v>
      </c>
      <c r="IVN14" s="108"/>
      <c r="IVO14" s="108"/>
      <c r="IVP14" s="109"/>
      <c r="IVQ14" s="107" t="s">
        <v>1</v>
      </c>
      <c r="IVR14" s="108"/>
      <c r="IVS14" s="108"/>
      <c r="IVT14" s="109"/>
      <c r="IVU14" s="107" t="s">
        <v>1</v>
      </c>
      <c r="IVV14" s="108"/>
      <c r="IVW14" s="108"/>
      <c r="IVX14" s="109"/>
      <c r="IVY14" s="107" t="s">
        <v>1</v>
      </c>
      <c r="IVZ14" s="108"/>
      <c r="IWA14" s="108"/>
      <c r="IWB14" s="109"/>
      <c r="IWC14" s="107" t="s">
        <v>1</v>
      </c>
      <c r="IWD14" s="108"/>
      <c r="IWE14" s="108"/>
      <c r="IWF14" s="109"/>
      <c r="IWG14" s="107" t="s">
        <v>1</v>
      </c>
      <c r="IWH14" s="108"/>
      <c r="IWI14" s="108"/>
      <c r="IWJ14" s="109"/>
      <c r="IWK14" s="107" t="s">
        <v>1</v>
      </c>
      <c r="IWL14" s="108"/>
      <c r="IWM14" s="108"/>
      <c r="IWN14" s="109"/>
      <c r="IWO14" s="107" t="s">
        <v>1</v>
      </c>
      <c r="IWP14" s="108"/>
      <c r="IWQ14" s="108"/>
      <c r="IWR14" s="109"/>
      <c r="IWS14" s="107" t="s">
        <v>1</v>
      </c>
      <c r="IWT14" s="108"/>
      <c r="IWU14" s="108"/>
      <c r="IWV14" s="109"/>
      <c r="IWW14" s="107" t="s">
        <v>1</v>
      </c>
      <c r="IWX14" s="108"/>
      <c r="IWY14" s="108"/>
      <c r="IWZ14" s="109"/>
      <c r="IXA14" s="107" t="s">
        <v>1</v>
      </c>
      <c r="IXB14" s="108"/>
      <c r="IXC14" s="108"/>
      <c r="IXD14" s="109"/>
      <c r="IXE14" s="107" t="s">
        <v>1</v>
      </c>
      <c r="IXF14" s="108"/>
      <c r="IXG14" s="108"/>
      <c r="IXH14" s="109"/>
      <c r="IXI14" s="107" t="s">
        <v>1</v>
      </c>
      <c r="IXJ14" s="108"/>
      <c r="IXK14" s="108"/>
      <c r="IXL14" s="109"/>
      <c r="IXM14" s="107" t="s">
        <v>1</v>
      </c>
      <c r="IXN14" s="108"/>
      <c r="IXO14" s="108"/>
      <c r="IXP14" s="109"/>
      <c r="IXQ14" s="107" t="s">
        <v>1</v>
      </c>
      <c r="IXR14" s="108"/>
      <c r="IXS14" s="108"/>
      <c r="IXT14" s="109"/>
      <c r="IXU14" s="107" t="s">
        <v>1</v>
      </c>
      <c r="IXV14" s="108"/>
      <c r="IXW14" s="108"/>
      <c r="IXX14" s="109"/>
      <c r="IXY14" s="107" t="s">
        <v>1</v>
      </c>
      <c r="IXZ14" s="108"/>
      <c r="IYA14" s="108"/>
      <c r="IYB14" s="109"/>
      <c r="IYC14" s="107" t="s">
        <v>1</v>
      </c>
      <c r="IYD14" s="108"/>
      <c r="IYE14" s="108"/>
      <c r="IYF14" s="109"/>
      <c r="IYG14" s="107" t="s">
        <v>1</v>
      </c>
      <c r="IYH14" s="108"/>
      <c r="IYI14" s="108"/>
      <c r="IYJ14" s="109"/>
      <c r="IYK14" s="107" t="s">
        <v>1</v>
      </c>
      <c r="IYL14" s="108"/>
      <c r="IYM14" s="108"/>
      <c r="IYN14" s="109"/>
      <c r="IYO14" s="107" t="s">
        <v>1</v>
      </c>
      <c r="IYP14" s="108"/>
      <c r="IYQ14" s="108"/>
      <c r="IYR14" s="109"/>
      <c r="IYS14" s="107" t="s">
        <v>1</v>
      </c>
      <c r="IYT14" s="108"/>
      <c r="IYU14" s="108"/>
      <c r="IYV14" s="109"/>
      <c r="IYW14" s="107" t="s">
        <v>1</v>
      </c>
      <c r="IYX14" s="108"/>
      <c r="IYY14" s="108"/>
      <c r="IYZ14" s="109"/>
      <c r="IZA14" s="107" t="s">
        <v>1</v>
      </c>
      <c r="IZB14" s="108"/>
      <c r="IZC14" s="108"/>
      <c r="IZD14" s="109"/>
      <c r="IZE14" s="107" t="s">
        <v>1</v>
      </c>
      <c r="IZF14" s="108"/>
      <c r="IZG14" s="108"/>
      <c r="IZH14" s="109"/>
      <c r="IZI14" s="107" t="s">
        <v>1</v>
      </c>
      <c r="IZJ14" s="108"/>
      <c r="IZK14" s="108"/>
      <c r="IZL14" s="109"/>
      <c r="IZM14" s="107" t="s">
        <v>1</v>
      </c>
      <c r="IZN14" s="108"/>
      <c r="IZO14" s="108"/>
      <c r="IZP14" s="109"/>
      <c r="IZQ14" s="107" t="s">
        <v>1</v>
      </c>
      <c r="IZR14" s="108"/>
      <c r="IZS14" s="108"/>
      <c r="IZT14" s="109"/>
      <c r="IZU14" s="107" t="s">
        <v>1</v>
      </c>
      <c r="IZV14" s="108"/>
      <c r="IZW14" s="108"/>
      <c r="IZX14" s="109"/>
      <c r="IZY14" s="107" t="s">
        <v>1</v>
      </c>
      <c r="IZZ14" s="108"/>
      <c r="JAA14" s="108"/>
      <c r="JAB14" s="109"/>
      <c r="JAC14" s="107" t="s">
        <v>1</v>
      </c>
      <c r="JAD14" s="108"/>
      <c r="JAE14" s="108"/>
      <c r="JAF14" s="109"/>
      <c r="JAG14" s="107" t="s">
        <v>1</v>
      </c>
      <c r="JAH14" s="108"/>
      <c r="JAI14" s="108"/>
      <c r="JAJ14" s="109"/>
      <c r="JAK14" s="107" t="s">
        <v>1</v>
      </c>
      <c r="JAL14" s="108"/>
      <c r="JAM14" s="108"/>
      <c r="JAN14" s="109"/>
      <c r="JAO14" s="107" t="s">
        <v>1</v>
      </c>
      <c r="JAP14" s="108"/>
      <c r="JAQ14" s="108"/>
      <c r="JAR14" s="109"/>
      <c r="JAS14" s="107" t="s">
        <v>1</v>
      </c>
      <c r="JAT14" s="108"/>
      <c r="JAU14" s="108"/>
      <c r="JAV14" s="109"/>
      <c r="JAW14" s="107" t="s">
        <v>1</v>
      </c>
      <c r="JAX14" s="108"/>
      <c r="JAY14" s="108"/>
      <c r="JAZ14" s="109"/>
      <c r="JBA14" s="107" t="s">
        <v>1</v>
      </c>
      <c r="JBB14" s="108"/>
      <c r="JBC14" s="108"/>
      <c r="JBD14" s="109"/>
      <c r="JBE14" s="107" t="s">
        <v>1</v>
      </c>
      <c r="JBF14" s="108"/>
      <c r="JBG14" s="108"/>
      <c r="JBH14" s="109"/>
      <c r="JBI14" s="107" t="s">
        <v>1</v>
      </c>
      <c r="JBJ14" s="108"/>
      <c r="JBK14" s="108"/>
      <c r="JBL14" s="109"/>
      <c r="JBM14" s="107" t="s">
        <v>1</v>
      </c>
      <c r="JBN14" s="108"/>
      <c r="JBO14" s="108"/>
      <c r="JBP14" s="109"/>
      <c r="JBQ14" s="107" t="s">
        <v>1</v>
      </c>
      <c r="JBR14" s="108"/>
      <c r="JBS14" s="108"/>
      <c r="JBT14" s="109"/>
      <c r="JBU14" s="107" t="s">
        <v>1</v>
      </c>
      <c r="JBV14" s="108"/>
      <c r="JBW14" s="108"/>
      <c r="JBX14" s="109"/>
      <c r="JBY14" s="107" t="s">
        <v>1</v>
      </c>
      <c r="JBZ14" s="108"/>
      <c r="JCA14" s="108"/>
      <c r="JCB14" s="109"/>
      <c r="JCC14" s="107" t="s">
        <v>1</v>
      </c>
      <c r="JCD14" s="108"/>
      <c r="JCE14" s="108"/>
      <c r="JCF14" s="109"/>
      <c r="JCG14" s="107" t="s">
        <v>1</v>
      </c>
      <c r="JCH14" s="108"/>
      <c r="JCI14" s="108"/>
      <c r="JCJ14" s="109"/>
      <c r="JCK14" s="107" t="s">
        <v>1</v>
      </c>
      <c r="JCL14" s="108"/>
      <c r="JCM14" s="108"/>
      <c r="JCN14" s="109"/>
      <c r="JCO14" s="107" t="s">
        <v>1</v>
      </c>
      <c r="JCP14" s="108"/>
      <c r="JCQ14" s="108"/>
      <c r="JCR14" s="109"/>
      <c r="JCS14" s="107" t="s">
        <v>1</v>
      </c>
      <c r="JCT14" s="108"/>
      <c r="JCU14" s="108"/>
      <c r="JCV14" s="109"/>
      <c r="JCW14" s="107" t="s">
        <v>1</v>
      </c>
      <c r="JCX14" s="108"/>
      <c r="JCY14" s="108"/>
      <c r="JCZ14" s="109"/>
      <c r="JDA14" s="107" t="s">
        <v>1</v>
      </c>
      <c r="JDB14" s="108"/>
      <c r="JDC14" s="108"/>
      <c r="JDD14" s="109"/>
      <c r="JDE14" s="107" t="s">
        <v>1</v>
      </c>
      <c r="JDF14" s="108"/>
      <c r="JDG14" s="108"/>
      <c r="JDH14" s="109"/>
      <c r="JDI14" s="107" t="s">
        <v>1</v>
      </c>
      <c r="JDJ14" s="108"/>
      <c r="JDK14" s="108"/>
      <c r="JDL14" s="109"/>
      <c r="JDM14" s="107" t="s">
        <v>1</v>
      </c>
      <c r="JDN14" s="108"/>
      <c r="JDO14" s="108"/>
      <c r="JDP14" s="109"/>
      <c r="JDQ14" s="107" t="s">
        <v>1</v>
      </c>
      <c r="JDR14" s="108"/>
      <c r="JDS14" s="108"/>
      <c r="JDT14" s="109"/>
      <c r="JDU14" s="107" t="s">
        <v>1</v>
      </c>
      <c r="JDV14" s="108"/>
      <c r="JDW14" s="108"/>
      <c r="JDX14" s="109"/>
      <c r="JDY14" s="107" t="s">
        <v>1</v>
      </c>
      <c r="JDZ14" s="108"/>
      <c r="JEA14" s="108"/>
      <c r="JEB14" s="109"/>
      <c r="JEC14" s="107" t="s">
        <v>1</v>
      </c>
      <c r="JED14" s="108"/>
      <c r="JEE14" s="108"/>
      <c r="JEF14" s="109"/>
      <c r="JEG14" s="107" t="s">
        <v>1</v>
      </c>
      <c r="JEH14" s="108"/>
      <c r="JEI14" s="108"/>
      <c r="JEJ14" s="109"/>
      <c r="JEK14" s="107" t="s">
        <v>1</v>
      </c>
      <c r="JEL14" s="108"/>
      <c r="JEM14" s="108"/>
      <c r="JEN14" s="109"/>
      <c r="JEO14" s="107" t="s">
        <v>1</v>
      </c>
      <c r="JEP14" s="108"/>
      <c r="JEQ14" s="108"/>
      <c r="JER14" s="109"/>
      <c r="JES14" s="107" t="s">
        <v>1</v>
      </c>
      <c r="JET14" s="108"/>
      <c r="JEU14" s="108"/>
      <c r="JEV14" s="109"/>
      <c r="JEW14" s="107" t="s">
        <v>1</v>
      </c>
      <c r="JEX14" s="108"/>
      <c r="JEY14" s="108"/>
      <c r="JEZ14" s="109"/>
      <c r="JFA14" s="107" t="s">
        <v>1</v>
      </c>
      <c r="JFB14" s="108"/>
      <c r="JFC14" s="108"/>
      <c r="JFD14" s="109"/>
      <c r="JFE14" s="107" t="s">
        <v>1</v>
      </c>
      <c r="JFF14" s="108"/>
      <c r="JFG14" s="108"/>
      <c r="JFH14" s="109"/>
      <c r="JFI14" s="107" t="s">
        <v>1</v>
      </c>
      <c r="JFJ14" s="108"/>
      <c r="JFK14" s="108"/>
      <c r="JFL14" s="109"/>
      <c r="JFM14" s="107" t="s">
        <v>1</v>
      </c>
      <c r="JFN14" s="108"/>
      <c r="JFO14" s="108"/>
      <c r="JFP14" s="109"/>
      <c r="JFQ14" s="107" t="s">
        <v>1</v>
      </c>
      <c r="JFR14" s="108"/>
      <c r="JFS14" s="108"/>
      <c r="JFT14" s="109"/>
      <c r="JFU14" s="107" t="s">
        <v>1</v>
      </c>
      <c r="JFV14" s="108"/>
      <c r="JFW14" s="108"/>
      <c r="JFX14" s="109"/>
      <c r="JFY14" s="107" t="s">
        <v>1</v>
      </c>
      <c r="JFZ14" s="108"/>
      <c r="JGA14" s="108"/>
      <c r="JGB14" s="109"/>
      <c r="JGC14" s="107" t="s">
        <v>1</v>
      </c>
      <c r="JGD14" s="108"/>
      <c r="JGE14" s="108"/>
      <c r="JGF14" s="109"/>
      <c r="JGG14" s="107" t="s">
        <v>1</v>
      </c>
      <c r="JGH14" s="108"/>
      <c r="JGI14" s="108"/>
      <c r="JGJ14" s="109"/>
      <c r="JGK14" s="107" t="s">
        <v>1</v>
      </c>
      <c r="JGL14" s="108"/>
      <c r="JGM14" s="108"/>
      <c r="JGN14" s="109"/>
      <c r="JGO14" s="107" t="s">
        <v>1</v>
      </c>
      <c r="JGP14" s="108"/>
      <c r="JGQ14" s="108"/>
      <c r="JGR14" s="109"/>
      <c r="JGS14" s="107" t="s">
        <v>1</v>
      </c>
      <c r="JGT14" s="108"/>
      <c r="JGU14" s="108"/>
      <c r="JGV14" s="109"/>
      <c r="JGW14" s="107" t="s">
        <v>1</v>
      </c>
      <c r="JGX14" s="108"/>
      <c r="JGY14" s="108"/>
      <c r="JGZ14" s="109"/>
      <c r="JHA14" s="107" t="s">
        <v>1</v>
      </c>
      <c r="JHB14" s="108"/>
      <c r="JHC14" s="108"/>
      <c r="JHD14" s="109"/>
      <c r="JHE14" s="107" t="s">
        <v>1</v>
      </c>
      <c r="JHF14" s="108"/>
      <c r="JHG14" s="108"/>
      <c r="JHH14" s="109"/>
      <c r="JHI14" s="107" t="s">
        <v>1</v>
      </c>
      <c r="JHJ14" s="108"/>
      <c r="JHK14" s="108"/>
      <c r="JHL14" s="109"/>
      <c r="JHM14" s="107" t="s">
        <v>1</v>
      </c>
      <c r="JHN14" s="108"/>
      <c r="JHO14" s="108"/>
      <c r="JHP14" s="109"/>
      <c r="JHQ14" s="107" t="s">
        <v>1</v>
      </c>
      <c r="JHR14" s="108"/>
      <c r="JHS14" s="108"/>
      <c r="JHT14" s="109"/>
      <c r="JHU14" s="107" t="s">
        <v>1</v>
      </c>
      <c r="JHV14" s="108"/>
      <c r="JHW14" s="108"/>
      <c r="JHX14" s="109"/>
      <c r="JHY14" s="107" t="s">
        <v>1</v>
      </c>
      <c r="JHZ14" s="108"/>
      <c r="JIA14" s="108"/>
      <c r="JIB14" s="109"/>
      <c r="JIC14" s="107" t="s">
        <v>1</v>
      </c>
      <c r="JID14" s="108"/>
      <c r="JIE14" s="108"/>
      <c r="JIF14" s="109"/>
      <c r="JIG14" s="107" t="s">
        <v>1</v>
      </c>
      <c r="JIH14" s="108"/>
      <c r="JII14" s="108"/>
      <c r="JIJ14" s="109"/>
      <c r="JIK14" s="107" t="s">
        <v>1</v>
      </c>
      <c r="JIL14" s="108"/>
      <c r="JIM14" s="108"/>
      <c r="JIN14" s="109"/>
      <c r="JIO14" s="107" t="s">
        <v>1</v>
      </c>
      <c r="JIP14" s="108"/>
      <c r="JIQ14" s="108"/>
      <c r="JIR14" s="109"/>
      <c r="JIS14" s="107" t="s">
        <v>1</v>
      </c>
      <c r="JIT14" s="108"/>
      <c r="JIU14" s="108"/>
      <c r="JIV14" s="109"/>
      <c r="JIW14" s="107" t="s">
        <v>1</v>
      </c>
      <c r="JIX14" s="108"/>
      <c r="JIY14" s="108"/>
      <c r="JIZ14" s="109"/>
      <c r="JJA14" s="107" t="s">
        <v>1</v>
      </c>
      <c r="JJB14" s="108"/>
      <c r="JJC14" s="108"/>
      <c r="JJD14" s="109"/>
      <c r="JJE14" s="107" t="s">
        <v>1</v>
      </c>
      <c r="JJF14" s="108"/>
      <c r="JJG14" s="108"/>
      <c r="JJH14" s="109"/>
      <c r="JJI14" s="107" t="s">
        <v>1</v>
      </c>
      <c r="JJJ14" s="108"/>
      <c r="JJK14" s="108"/>
      <c r="JJL14" s="109"/>
      <c r="JJM14" s="107" t="s">
        <v>1</v>
      </c>
      <c r="JJN14" s="108"/>
      <c r="JJO14" s="108"/>
      <c r="JJP14" s="109"/>
      <c r="JJQ14" s="107" t="s">
        <v>1</v>
      </c>
      <c r="JJR14" s="108"/>
      <c r="JJS14" s="108"/>
      <c r="JJT14" s="109"/>
      <c r="JJU14" s="107" t="s">
        <v>1</v>
      </c>
      <c r="JJV14" s="108"/>
      <c r="JJW14" s="108"/>
      <c r="JJX14" s="109"/>
      <c r="JJY14" s="107" t="s">
        <v>1</v>
      </c>
      <c r="JJZ14" s="108"/>
      <c r="JKA14" s="108"/>
      <c r="JKB14" s="109"/>
      <c r="JKC14" s="107" t="s">
        <v>1</v>
      </c>
      <c r="JKD14" s="108"/>
      <c r="JKE14" s="108"/>
      <c r="JKF14" s="109"/>
      <c r="JKG14" s="107" t="s">
        <v>1</v>
      </c>
      <c r="JKH14" s="108"/>
      <c r="JKI14" s="108"/>
      <c r="JKJ14" s="109"/>
      <c r="JKK14" s="107" t="s">
        <v>1</v>
      </c>
      <c r="JKL14" s="108"/>
      <c r="JKM14" s="108"/>
      <c r="JKN14" s="109"/>
      <c r="JKO14" s="107" t="s">
        <v>1</v>
      </c>
      <c r="JKP14" s="108"/>
      <c r="JKQ14" s="108"/>
      <c r="JKR14" s="109"/>
      <c r="JKS14" s="107" t="s">
        <v>1</v>
      </c>
      <c r="JKT14" s="108"/>
      <c r="JKU14" s="108"/>
      <c r="JKV14" s="109"/>
      <c r="JKW14" s="107" t="s">
        <v>1</v>
      </c>
      <c r="JKX14" s="108"/>
      <c r="JKY14" s="108"/>
      <c r="JKZ14" s="109"/>
      <c r="JLA14" s="107" t="s">
        <v>1</v>
      </c>
      <c r="JLB14" s="108"/>
      <c r="JLC14" s="108"/>
      <c r="JLD14" s="109"/>
      <c r="JLE14" s="107" t="s">
        <v>1</v>
      </c>
      <c r="JLF14" s="108"/>
      <c r="JLG14" s="108"/>
      <c r="JLH14" s="109"/>
      <c r="JLI14" s="107" t="s">
        <v>1</v>
      </c>
      <c r="JLJ14" s="108"/>
      <c r="JLK14" s="108"/>
      <c r="JLL14" s="109"/>
      <c r="JLM14" s="107" t="s">
        <v>1</v>
      </c>
      <c r="JLN14" s="108"/>
      <c r="JLO14" s="108"/>
      <c r="JLP14" s="109"/>
      <c r="JLQ14" s="107" t="s">
        <v>1</v>
      </c>
      <c r="JLR14" s="108"/>
      <c r="JLS14" s="108"/>
      <c r="JLT14" s="109"/>
      <c r="JLU14" s="107" t="s">
        <v>1</v>
      </c>
      <c r="JLV14" s="108"/>
      <c r="JLW14" s="108"/>
      <c r="JLX14" s="109"/>
      <c r="JLY14" s="107" t="s">
        <v>1</v>
      </c>
      <c r="JLZ14" s="108"/>
      <c r="JMA14" s="108"/>
      <c r="JMB14" s="109"/>
      <c r="JMC14" s="107" t="s">
        <v>1</v>
      </c>
      <c r="JMD14" s="108"/>
      <c r="JME14" s="108"/>
      <c r="JMF14" s="109"/>
      <c r="JMG14" s="107" t="s">
        <v>1</v>
      </c>
      <c r="JMH14" s="108"/>
      <c r="JMI14" s="108"/>
      <c r="JMJ14" s="109"/>
      <c r="JMK14" s="107" t="s">
        <v>1</v>
      </c>
      <c r="JML14" s="108"/>
      <c r="JMM14" s="108"/>
      <c r="JMN14" s="109"/>
      <c r="JMO14" s="107" t="s">
        <v>1</v>
      </c>
      <c r="JMP14" s="108"/>
      <c r="JMQ14" s="108"/>
      <c r="JMR14" s="109"/>
      <c r="JMS14" s="107" t="s">
        <v>1</v>
      </c>
      <c r="JMT14" s="108"/>
      <c r="JMU14" s="108"/>
      <c r="JMV14" s="109"/>
      <c r="JMW14" s="107" t="s">
        <v>1</v>
      </c>
      <c r="JMX14" s="108"/>
      <c r="JMY14" s="108"/>
      <c r="JMZ14" s="109"/>
      <c r="JNA14" s="107" t="s">
        <v>1</v>
      </c>
      <c r="JNB14" s="108"/>
      <c r="JNC14" s="108"/>
      <c r="JND14" s="109"/>
      <c r="JNE14" s="107" t="s">
        <v>1</v>
      </c>
      <c r="JNF14" s="108"/>
      <c r="JNG14" s="108"/>
      <c r="JNH14" s="109"/>
      <c r="JNI14" s="107" t="s">
        <v>1</v>
      </c>
      <c r="JNJ14" s="108"/>
      <c r="JNK14" s="108"/>
      <c r="JNL14" s="109"/>
      <c r="JNM14" s="107" t="s">
        <v>1</v>
      </c>
      <c r="JNN14" s="108"/>
      <c r="JNO14" s="108"/>
      <c r="JNP14" s="109"/>
      <c r="JNQ14" s="107" t="s">
        <v>1</v>
      </c>
      <c r="JNR14" s="108"/>
      <c r="JNS14" s="108"/>
      <c r="JNT14" s="109"/>
      <c r="JNU14" s="107" t="s">
        <v>1</v>
      </c>
      <c r="JNV14" s="108"/>
      <c r="JNW14" s="108"/>
      <c r="JNX14" s="109"/>
      <c r="JNY14" s="107" t="s">
        <v>1</v>
      </c>
      <c r="JNZ14" s="108"/>
      <c r="JOA14" s="108"/>
      <c r="JOB14" s="109"/>
      <c r="JOC14" s="107" t="s">
        <v>1</v>
      </c>
      <c r="JOD14" s="108"/>
      <c r="JOE14" s="108"/>
      <c r="JOF14" s="109"/>
      <c r="JOG14" s="107" t="s">
        <v>1</v>
      </c>
      <c r="JOH14" s="108"/>
      <c r="JOI14" s="108"/>
      <c r="JOJ14" s="109"/>
      <c r="JOK14" s="107" t="s">
        <v>1</v>
      </c>
      <c r="JOL14" s="108"/>
      <c r="JOM14" s="108"/>
      <c r="JON14" s="109"/>
      <c r="JOO14" s="107" t="s">
        <v>1</v>
      </c>
      <c r="JOP14" s="108"/>
      <c r="JOQ14" s="108"/>
      <c r="JOR14" s="109"/>
      <c r="JOS14" s="107" t="s">
        <v>1</v>
      </c>
      <c r="JOT14" s="108"/>
      <c r="JOU14" s="108"/>
      <c r="JOV14" s="109"/>
      <c r="JOW14" s="107" t="s">
        <v>1</v>
      </c>
      <c r="JOX14" s="108"/>
      <c r="JOY14" s="108"/>
      <c r="JOZ14" s="109"/>
      <c r="JPA14" s="107" t="s">
        <v>1</v>
      </c>
      <c r="JPB14" s="108"/>
      <c r="JPC14" s="108"/>
      <c r="JPD14" s="109"/>
      <c r="JPE14" s="107" t="s">
        <v>1</v>
      </c>
      <c r="JPF14" s="108"/>
      <c r="JPG14" s="108"/>
      <c r="JPH14" s="109"/>
      <c r="JPI14" s="107" t="s">
        <v>1</v>
      </c>
      <c r="JPJ14" s="108"/>
      <c r="JPK14" s="108"/>
      <c r="JPL14" s="109"/>
      <c r="JPM14" s="107" t="s">
        <v>1</v>
      </c>
      <c r="JPN14" s="108"/>
      <c r="JPO14" s="108"/>
      <c r="JPP14" s="109"/>
      <c r="JPQ14" s="107" t="s">
        <v>1</v>
      </c>
      <c r="JPR14" s="108"/>
      <c r="JPS14" s="108"/>
      <c r="JPT14" s="109"/>
      <c r="JPU14" s="107" t="s">
        <v>1</v>
      </c>
      <c r="JPV14" s="108"/>
      <c r="JPW14" s="108"/>
      <c r="JPX14" s="109"/>
      <c r="JPY14" s="107" t="s">
        <v>1</v>
      </c>
      <c r="JPZ14" s="108"/>
      <c r="JQA14" s="108"/>
      <c r="JQB14" s="109"/>
      <c r="JQC14" s="107" t="s">
        <v>1</v>
      </c>
      <c r="JQD14" s="108"/>
      <c r="JQE14" s="108"/>
      <c r="JQF14" s="109"/>
      <c r="JQG14" s="107" t="s">
        <v>1</v>
      </c>
      <c r="JQH14" s="108"/>
      <c r="JQI14" s="108"/>
      <c r="JQJ14" s="109"/>
      <c r="JQK14" s="107" t="s">
        <v>1</v>
      </c>
      <c r="JQL14" s="108"/>
      <c r="JQM14" s="108"/>
      <c r="JQN14" s="109"/>
      <c r="JQO14" s="107" t="s">
        <v>1</v>
      </c>
      <c r="JQP14" s="108"/>
      <c r="JQQ14" s="108"/>
      <c r="JQR14" s="109"/>
      <c r="JQS14" s="107" t="s">
        <v>1</v>
      </c>
      <c r="JQT14" s="108"/>
      <c r="JQU14" s="108"/>
      <c r="JQV14" s="109"/>
      <c r="JQW14" s="107" t="s">
        <v>1</v>
      </c>
      <c r="JQX14" s="108"/>
      <c r="JQY14" s="108"/>
      <c r="JQZ14" s="109"/>
      <c r="JRA14" s="107" t="s">
        <v>1</v>
      </c>
      <c r="JRB14" s="108"/>
      <c r="JRC14" s="108"/>
      <c r="JRD14" s="109"/>
      <c r="JRE14" s="107" t="s">
        <v>1</v>
      </c>
      <c r="JRF14" s="108"/>
      <c r="JRG14" s="108"/>
      <c r="JRH14" s="109"/>
      <c r="JRI14" s="107" t="s">
        <v>1</v>
      </c>
      <c r="JRJ14" s="108"/>
      <c r="JRK14" s="108"/>
      <c r="JRL14" s="109"/>
      <c r="JRM14" s="107" t="s">
        <v>1</v>
      </c>
      <c r="JRN14" s="108"/>
      <c r="JRO14" s="108"/>
      <c r="JRP14" s="109"/>
      <c r="JRQ14" s="107" t="s">
        <v>1</v>
      </c>
      <c r="JRR14" s="108"/>
      <c r="JRS14" s="108"/>
      <c r="JRT14" s="109"/>
      <c r="JRU14" s="107" t="s">
        <v>1</v>
      </c>
      <c r="JRV14" s="108"/>
      <c r="JRW14" s="108"/>
      <c r="JRX14" s="109"/>
      <c r="JRY14" s="107" t="s">
        <v>1</v>
      </c>
      <c r="JRZ14" s="108"/>
      <c r="JSA14" s="108"/>
      <c r="JSB14" s="109"/>
      <c r="JSC14" s="107" t="s">
        <v>1</v>
      </c>
      <c r="JSD14" s="108"/>
      <c r="JSE14" s="108"/>
      <c r="JSF14" s="109"/>
      <c r="JSG14" s="107" t="s">
        <v>1</v>
      </c>
      <c r="JSH14" s="108"/>
      <c r="JSI14" s="108"/>
      <c r="JSJ14" s="109"/>
      <c r="JSK14" s="107" t="s">
        <v>1</v>
      </c>
      <c r="JSL14" s="108"/>
      <c r="JSM14" s="108"/>
      <c r="JSN14" s="109"/>
      <c r="JSO14" s="107" t="s">
        <v>1</v>
      </c>
      <c r="JSP14" s="108"/>
      <c r="JSQ14" s="108"/>
      <c r="JSR14" s="109"/>
      <c r="JSS14" s="107" t="s">
        <v>1</v>
      </c>
      <c r="JST14" s="108"/>
      <c r="JSU14" s="108"/>
      <c r="JSV14" s="109"/>
      <c r="JSW14" s="107" t="s">
        <v>1</v>
      </c>
      <c r="JSX14" s="108"/>
      <c r="JSY14" s="108"/>
      <c r="JSZ14" s="109"/>
      <c r="JTA14" s="107" t="s">
        <v>1</v>
      </c>
      <c r="JTB14" s="108"/>
      <c r="JTC14" s="108"/>
      <c r="JTD14" s="109"/>
      <c r="JTE14" s="107" t="s">
        <v>1</v>
      </c>
      <c r="JTF14" s="108"/>
      <c r="JTG14" s="108"/>
      <c r="JTH14" s="109"/>
      <c r="JTI14" s="107" t="s">
        <v>1</v>
      </c>
      <c r="JTJ14" s="108"/>
      <c r="JTK14" s="108"/>
      <c r="JTL14" s="109"/>
      <c r="JTM14" s="107" t="s">
        <v>1</v>
      </c>
      <c r="JTN14" s="108"/>
      <c r="JTO14" s="108"/>
      <c r="JTP14" s="109"/>
      <c r="JTQ14" s="107" t="s">
        <v>1</v>
      </c>
      <c r="JTR14" s="108"/>
      <c r="JTS14" s="108"/>
      <c r="JTT14" s="109"/>
      <c r="JTU14" s="107" t="s">
        <v>1</v>
      </c>
      <c r="JTV14" s="108"/>
      <c r="JTW14" s="108"/>
      <c r="JTX14" s="109"/>
      <c r="JTY14" s="107" t="s">
        <v>1</v>
      </c>
      <c r="JTZ14" s="108"/>
      <c r="JUA14" s="108"/>
      <c r="JUB14" s="109"/>
      <c r="JUC14" s="107" t="s">
        <v>1</v>
      </c>
      <c r="JUD14" s="108"/>
      <c r="JUE14" s="108"/>
      <c r="JUF14" s="109"/>
      <c r="JUG14" s="107" t="s">
        <v>1</v>
      </c>
      <c r="JUH14" s="108"/>
      <c r="JUI14" s="108"/>
      <c r="JUJ14" s="109"/>
      <c r="JUK14" s="107" t="s">
        <v>1</v>
      </c>
      <c r="JUL14" s="108"/>
      <c r="JUM14" s="108"/>
      <c r="JUN14" s="109"/>
      <c r="JUO14" s="107" t="s">
        <v>1</v>
      </c>
      <c r="JUP14" s="108"/>
      <c r="JUQ14" s="108"/>
      <c r="JUR14" s="109"/>
      <c r="JUS14" s="107" t="s">
        <v>1</v>
      </c>
      <c r="JUT14" s="108"/>
      <c r="JUU14" s="108"/>
      <c r="JUV14" s="109"/>
      <c r="JUW14" s="107" t="s">
        <v>1</v>
      </c>
      <c r="JUX14" s="108"/>
      <c r="JUY14" s="108"/>
      <c r="JUZ14" s="109"/>
      <c r="JVA14" s="107" t="s">
        <v>1</v>
      </c>
      <c r="JVB14" s="108"/>
      <c r="JVC14" s="108"/>
      <c r="JVD14" s="109"/>
      <c r="JVE14" s="107" t="s">
        <v>1</v>
      </c>
      <c r="JVF14" s="108"/>
      <c r="JVG14" s="108"/>
      <c r="JVH14" s="109"/>
      <c r="JVI14" s="107" t="s">
        <v>1</v>
      </c>
      <c r="JVJ14" s="108"/>
      <c r="JVK14" s="108"/>
      <c r="JVL14" s="109"/>
      <c r="JVM14" s="107" t="s">
        <v>1</v>
      </c>
      <c r="JVN14" s="108"/>
      <c r="JVO14" s="108"/>
      <c r="JVP14" s="109"/>
      <c r="JVQ14" s="107" t="s">
        <v>1</v>
      </c>
      <c r="JVR14" s="108"/>
      <c r="JVS14" s="108"/>
      <c r="JVT14" s="109"/>
      <c r="JVU14" s="107" t="s">
        <v>1</v>
      </c>
      <c r="JVV14" s="108"/>
      <c r="JVW14" s="108"/>
      <c r="JVX14" s="109"/>
      <c r="JVY14" s="107" t="s">
        <v>1</v>
      </c>
      <c r="JVZ14" s="108"/>
      <c r="JWA14" s="108"/>
      <c r="JWB14" s="109"/>
      <c r="JWC14" s="107" t="s">
        <v>1</v>
      </c>
      <c r="JWD14" s="108"/>
      <c r="JWE14" s="108"/>
      <c r="JWF14" s="109"/>
      <c r="JWG14" s="107" t="s">
        <v>1</v>
      </c>
      <c r="JWH14" s="108"/>
      <c r="JWI14" s="108"/>
      <c r="JWJ14" s="109"/>
      <c r="JWK14" s="107" t="s">
        <v>1</v>
      </c>
      <c r="JWL14" s="108"/>
      <c r="JWM14" s="108"/>
      <c r="JWN14" s="109"/>
      <c r="JWO14" s="107" t="s">
        <v>1</v>
      </c>
      <c r="JWP14" s="108"/>
      <c r="JWQ14" s="108"/>
      <c r="JWR14" s="109"/>
      <c r="JWS14" s="107" t="s">
        <v>1</v>
      </c>
      <c r="JWT14" s="108"/>
      <c r="JWU14" s="108"/>
      <c r="JWV14" s="109"/>
      <c r="JWW14" s="107" t="s">
        <v>1</v>
      </c>
      <c r="JWX14" s="108"/>
      <c r="JWY14" s="108"/>
      <c r="JWZ14" s="109"/>
      <c r="JXA14" s="107" t="s">
        <v>1</v>
      </c>
      <c r="JXB14" s="108"/>
      <c r="JXC14" s="108"/>
      <c r="JXD14" s="109"/>
      <c r="JXE14" s="107" t="s">
        <v>1</v>
      </c>
      <c r="JXF14" s="108"/>
      <c r="JXG14" s="108"/>
      <c r="JXH14" s="109"/>
      <c r="JXI14" s="107" t="s">
        <v>1</v>
      </c>
      <c r="JXJ14" s="108"/>
      <c r="JXK14" s="108"/>
      <c r="JXL14" s="109"/>
      <c r="JXM14" s="107" t="s">
        <v>1</v>
      </c>
      <c r="JXN14" s="108"/>
      <c r="JXO14" s="108"/>
      <c r="JXP14" s="109"/>
      <c r="JXQ14" s="107" t="s">
        <v>1</v>
      </c>
      <c r="JXR14" s="108"/>
      <c r="JXS14" s="108"/>
      <c r="JXT14" s="109"/>
      <c r="JXU14" s="107" t="s">
        <v>1</v>
      </c>
      <c r="JXV14" s="108"/>
      <c r="JXW14" s="108"/>
      <c r="JXX14" s="109"/>
      <c r="JXY14" s="107" t="s">
        <v>1</v>
      </c>
      <c r="JXZ14" s="108"/>
      <c r="JYA14" s="108"/>
      <c r="JYB14" s="109"/>
      <c r="JYC14" s="107" t="s">
        <v>1</v>
      </c>
      <c r="JYD14" s="108"/>
      <c r="JYE14" s="108"/>
      <c r="JYF14" s="109"/>
      <c r="JYG14" s="107" t="s">
        <v>1</v>
      </c>
      <c r="JYH14" s="108"/>
      <c r="JYI14" s="108"/>
      <c r="JYJ14" s="109"/>
      <c r="JYK14" s="107" t="s">
        <v>1</v>
      </c>
      <c r="JYL14" s="108"/>
      <c r="JYM14" s="108"/>
      <c r="JYN14" s="109"/>
      <c r="JYO14" s="107" t="s">
        <v>1</v>
      </c>
      <c r="JYP14" s="108"/>
      <c r="JYQ14" s="108"/>
      <c r="JYR14" s="109"/>
      <c r="JYS14" s="107" t="s">
        <v>1</v>
      </c>
      <c r="JYT14" s="108"/>
      <c r="JYU14" s="108"/>
      <c r="JYV14" s="109"/>
      <c r="JYW14" s="107" t="s">
        <v>1</v>
      </c>
      <c r="JYX14" s="108"/>
      <c r="JYY14" s="108"/>
      <c r="JYZ14" s="109"/>
      <c r="JZA14" s="107" t="s">
        <v>1</v>
      </c>
      <c r="JZB14" s="108"/>
      <c r="JZC14" s="108"/>
      <c r="JZD14" s="109"/>
      <c r="JZE14" s="107" t="s">
        <v>1</v>
      </c>
      <c r="JZF14" s="108"/>
      <c r="JZG14" s="108"/>
      <c r="JZH14" s="109"/>
      <c r="JZI14" s="107" t="s">
        <v>1</v>
      </c>
      <c r="JZJ14" s="108"/>
      <c r="JZK14" s="108"/>
      <c r="JZL14" s="109"/>
      <c r="JZM14" s="107" t="s">
        <v>1</v>
      </c>
      <c r="JZN14" s="108"/>
      <c r="JZO14" s="108"/>
      <c r="JZP14" s="109"/>
      <c r="JZQ14" s="107" t="s">
        <v>1</v>
      </c>
      <c r="JZR14" s="108"/>
      <c r="JZS14" s="108"/>
      <c r="JZT14" s="109"/>
      <c r="JZU14" s="107" t="s">
        <v>1</v>
      </c>
      <c r="JZV14" s="108"/>
      <c r="JZW14" s="108"/>
      <c r="JZX14" s="109"/>
      <c r="JZY14" s="107" t="s">
        <v>1</v>
      </c>
      <c r="JZZ14" s="108"/>
      <c r="KAA14" s="108"/>
      <c r="KAB14" s="109"/>
      <c r="KAC14" s="107" t="s">
        <v>1</v>
      </c>
      <c r="KAD14" s="108"/>
      <c r="KAE14" s="108"/>
      <c r="KAF14" s="109"/>
      <c r="KAG14" s="107" t="s">
        <v>1</v>
      </c>
      <c r="KAH14" s="108"/>
      <c r="KAI14" s="108"/>
      <c r="KAJ14" s="109"/>
      <c r="KAK14" s="107" t="s">
        <v>1</v>
      </c>
      <c r="KAL14" s="108"/>
      <c r="KAM14" s="108"/>
      <c r="KAN14" s="109"/>
      <c r="KAO14" s="107" t="s">
        <v>1</v>
      </c>
      <c r="KAP14" s="108"/>
      <c r="KAQ14" s="108"/>
      <c r="KAR14" s="109"/>
      <c r="KAS14" s="107" t="s">
        <v>1</v>
      </c>
      <c r="KAT14" s="108"/>
      <c r="KAU14" s="108"/>
      <c r="KAV14" s="109"/>
      <c r="KAW14" s="107" t="s">
        <v>1</v>
      </c>
      <c r="KAX14" s="108"/>
      <c r="KAY14" s="108"/>
      <c r="KAZ14" s="109"/>
      <c r="KBA14" s="107" t="s">
        <v>1</v>
      </c>
      <c r="KBB14" s="108"/>
      <c r="KBC14" s="108"/>
      <c r="KBD14" s="109"/>
      <c r="KBE14" s="107" t="s">
        <v>1</v>
      </c>
      <c r="KBF14" s="108"/>
      <c r="KBG14" s="108"/>
      <c r="KBH14" s="109"/>
      <c r="KBI14" s="107" t="s">
        <v>1</v>
      </c>
      <c r="KBJ14" s="108"/>
      <c r="KBK14" s="108"/>
      <c r="KBL14" s="109"/>
      <c r="KBM14" s="107" t="s">
        <v>1</v>
      </c>
      <c r="KBN14" s="108"/>
      <c r="KBO14" s="108"/>
      <c r="KBP14" s="109"/>
      <c r="KBQ14" s="107" t="s">
        <v>1</v>
      </c>
      <c r="KBR14" s="108"/>
      <c r="KBS14" s="108"/>
      <c r="KBT14" s="109"/>
      <c r="KBU14" s="107" t="s">
        <v>1</v>
      </c>
      <c r="KBV14" s="108"/>
      <c r="KBW14" s="108"/>
      <c r="KBX14" s="109"/>
      <c r="KBY14" s="107" t="s">
        <v>1</v>
      </c>
      <c r="KBZ14" s="108"/>
      <c r="KCA14" s="108"/>
      <c r="KCB14" s="109"/>
      <c r="KCC14" s="107" t="s">
        <v>1</v>
      </c>
      <c r="KCD14" s="108"/>
      <c r="KCE14" s="108"/>
      <c r="KCF14" s="109"/>
      <c r="KCG14" s="107" t="s">
        <v>1</v>
      </c>
      <c r="KCH14" s="108"/>
      <c r="KCI14" s="108"/>
      <c r="KCJ14" s="109"/>
      <c r="KCK14" s="107" t="s">
        <v>1</v>
      </c>
      <c r="KCL14" s="108"/>
      <c r="KCM14" s="108"/>
      <c r="KCN14" s="109"/>
      <c r="KCO14" s="107" t="s">
        <v>1</v>
      </c>
      <c r="KCP14" s="108"/>
      <c r="KCQ14" s="108"/>
      <c r="KCR14" s="109"/>
      <c r="KCS14" s="107" t="s">
        <v>1</v>
      </c>
      <c r="KCT14" s="108"/>
      <c r="KCU14" s="108"/>
      <c r="KCV14" s="109"/>
      <c r="KCW14" s="107" t="s">
        <v>1</v>
      </c>
      <c r="KCX14" s="108"/>
      <c r="KCY14" s="108"/>
      <c r="KCZ14" s="109"/>
      <c r="KDA14" s="107" t="s">
        <v>1</v>
      </c>
      <c r="KDB14" s="108"/>
      <c r="KDC14" s="108"/>
      <c r="KDD14" s="109"/>
      <c r="KDE14" s="107" t="s">
        <v>1</v>
      </c>
      <c r="KDF14" s="108"/>
      <c r="KDG14" s="108"/>
      <c r="KDH14" s="109"/>
      <c r="KDI14" s="107" t="s">
        <v>1</v>
      </c>
      <c r="KDJ14" s="108"/>
      <c r="KDK14" s="108"/>
      <c r="KDL14" s="109"/>
      <c r="KDM14" s="107" t="s">
        <v>1</v>
      </c>
      <c r="KDN14" s="108"/>
      <c r="KDO14" s="108"/>
      <c r="KDP14" s="109"/>
      <c r="KDQ14" s="107" t="s">
        <v>1</v>
      </c>
      <c r="KDR14" s="108"/>
      <c r="KDS14" s="108"/>
      <c r="KDT14" s="109"/>
      <c r="KDU14" s="107" t="s">
        <v>1</v>
      </c>
      <c r="KDV14" s="108"/>
      <c r="KDW14" s="108"/>
      <c r="KDX14" s="109"/>
      <c r="KDY14" s="107" t="s">
        <v>1</v>
      </c>
      <c r="KDZ14" s="108"/>
      <c r="KEA14" s="108"/>
      <c r="KEB14" s="109"/>
      <c r="KEC14" s="107" t="s">
        <v>1</v>
      </c>
      <c r="KED14" s="108"/>
      <c r="KEE14" s="108"/>
      <c r="KEF14" s="109"/>
      <c r="KEG14" s="107" t="s">
        <v>1</v>
      </c>
      <c r="KEH14" s="108"/>
      <c r="KEI14" s="108"/>
      <c r="KEJ14" s="109"/>
      <c r="KEK14" s="107" t="s">
        <v>1</v>
      </c>
      <c r="KEL14" s="108"/>
      <c r="KEM14" s="108"/>
      <c r="KEN14" s="109"/>
      <c r="KEO14" s="107" t="s">
        <v>1</v>
      </c>
      <c r="KEP14" s="108"/>
      <c r="KEQ14" s="108"/>
      <c r="KER14" s="109"/>
      <c r="KES14" s="107" t="s">
        <v>1</v>
      </c>
      <c r="KET14" s="108"/>
      <c r="KEU14" s="108"/>
      <c r="KEV14" s="109"/>
      <c r="KEW14" s="107" t="s">
        <v>1</v>
      </c>
      <c r="KEX14" s="108"/>
      <c r="KEY14" s="108"/>
      <c r="KEZ14" s="109"/>
      <c r="KFA14" s="107" t="s">
        <v>1</v>
      </c>
      <c r="KFB14" s="108"/>
      <c r="KFC14" s="108"/>
      <c r="KFD14" s="109"/>
      <c r="KFE14" s="107" t="s">
        <v>1</v>
      </c>
      <c r="KFF14" s="108"/>
      <c r="KFG14" s="108"/>
      <c r="KFH14" s="109"/>
      <c r="KFI14" s="107" t="s">
        <v>1</v>
      </c>
      <c r="KFJ14" s="108"/>
      <c r="KFK14" s="108"/>
      <c r="KFL14" s="109"/>
      <c r="KFM14" s="107" t="s">
        <v>1</v>
      </c>
      <c r="KFN14" s="108"/>
      <c r="KFO14" s="108"/>
      <c r="KFP14" s="109"/>
      <c r="KFQ14" s="107" t="s">
        <v>1</v>
      </c>
      <c r="KFR14" s="108"/>
      <c r="KFS14" s="108"/>
      <c r="KFT14" s="109"/>
      <c r="KFU14" s="107" t="s">
        <v>1</v>
      </c>
      <c r="KFV14" s="108"/>
      <c r="KFW14" s="108"/>
      <c r="KFX14" s="109"/>
      <c r="KFY14" s="107" t="s">
        <v>1</v>
      </c>
      <c r="KFZ14" s="108"/>
      <c r="KGA14" s="108"/>
      <c r="KGB14" s="109"/>
      <c r="KGC14" s="107" t="s">
        <v>1</v>
      </c>
      <c r="KGD14" s="108"/>
      <c r="KGE14" s="108"/>
      <c r="KGF14" s="109"/>
      <c r="KGG14" s="107" t="s">
        <v>1</v>
      </c>
      <c r="KGH14" s="108"/>
      <c r="KGI14" s="108"/>
      <c r="KGJ14" s="109"/>
      <c r="KGK14" s="107" t="s">
        <v>1</v>
      </c>
      <c r="KGL14" s="108"/>
      <c r="KGM14" s="108"/>
      <c r="KGN14" s="109"/>
      <c r="KGO14" s="107" t="s">
        <v>1</v>
      </c>
      <c r="KGP14" s="108"/>
      <c r="KGQ14" s="108"/>
      <c r="KGR14" s="109"/>
      <c r="KGS14" s="107" t="s">
        <v>1</v>
      </c>
      <c r="KGT14" s="108"/>
      <c r="KGU14" s="108"/>
      <c r="KGV14" s="109"/>
      <c r="KGW14" s="107" t="s">
        <v>1</v>
      </c>
      <c r="KGX14" s="108"/>
      <c r="KGY14" s="108"/>
      <c r="KGZ14" s="109"/>
      <c r="KHA14" s="107" t="s">
        <v>1</v>
      </c>
      <c r="KHB14" s="108"/>
      <c r="KHC14" s="108"/>
      <c r="KHD14" s="109"/>
      <c r="KHE14" s="107" t="s">
        <v>1</v>
      </c>
      <c r="KHF14" s="108"/>
      <c r="KHG14" s="108"/>
      <c r="KHH14" s="109"/>
      <c r="KHI14" s="107" t="s">
        <v>1</v>
      </c>
      <c r="KHJ14" s="108"/>
      <c r="KHK14" s="108"/>
      <c r="KHL14" s="109"/>
      <c r="KHM14" s="107" t="s">
        <v>1</v>
      </c>
      <c r="KHN14" s="108"/>
      <c r="KHO14" s="108"/>
      <c r="KHP14" s="109"/>
      <c r="KHQ14" s="107" t="s">
        <v>1</v>
      </c>
      <c r="KHR14" s="108"/>
      <c r="KHS14" s="108"/>
      <c r="KHT14" s="109"/>
      <c r="KHU14" s="107" t="s">
        <v>1</v>
      </c>
      <c r="KHV14" s="108"/>
      <c r="KHW14" s="108"/>
      <c r="KHX14" s="109"/>
      <c r="KHY14" s="107" t="s">
        <v>1</v>
      </c>
      <c r="KHZ14" s="108"/>
      <c r="KIA14" s="108"/>
      <c r="KIB14" s="109"/>
      <c r="KIC14" s="107" t="s">
        <v>1</v>
      </c>
      <c r="KID14" s="108"/>
      <c r="KIE14" s="108"/>
      <c r="KIF14" s="109"/>
      <c r="KIG14" s="107" t="s">
        <v>1</v>
      </c>
      <c r="KIH14" s="108"/>
      <c r="KII14" s="108"/>
      <c r="KIJ14" s="109"/>
      <c r="KIK14" s="107" t="s">
        <v>1</v>
      </c>
      <c r="KIL14" s="108"/>
      <c r="KIM14" s="108"/>
      <c r="KIN14" s="109"/>
      <c r="KIO14" s="107" t="s">
        <v>1</v>
      </c>
      <c r="KIP14" s="108"/>
      <c r="KIQ14" s="108"/>
      <c r="KIR14" s="109"/>
      <c r="KIS14" s="107" t="s">
        <v>1</v>
      </c>
      <c r="KIT14" s="108"/>
      <c r="KIU14" s="108"/>
      <c r="KIV14" s="109"/>
      <c r="KIW14" s="107" t="s">
        <v>1</v>
      </c>
      <c r="KIX14" s="108"/>
      <c r="KIY14" s="108"/>
      <c r="KIZ14" s="109"/>
      <c r="KJA14" s="107" t="s">
        <v>1</v>
      </c>
      <c r="KJB14" s="108"/>
      <c r="KJC14" s="108"/>
      <c r="KJD14" s="109"/>
      <c r="KJE14" s="107" t="s">
        <v>1</v>
      </c>
      <c r="KJF14" s="108"/>
      <c r="KJG14" s="108"/>
      <c r="KJH14" s="109"/>
      <c r="KJI14" s="107" t="s">
        <v>1</v>
      </c>
      <c r="KJJ14" s="108"/>
      <c r="KJK14" s="108"/>
      <c r="KJL14" s="109"/>
      <c r="KJM14" s="107" t="s">
        <v>1</v>
      </c>
      <c r="KJN14" s="108"/>
      <c r="KJO14" s="108"/>
      <c r="KJP14" s="109"/>
      <c r="KJQ14" s="107" t="s">
        <v>1</v>
      </c>
      <c r="KJR14" s="108"/>
      <c r="KJS14" s="108"/>
      <c r="KJT14" s="109"/>
      <c r="KJU14" s="107" t="s">
        <v>1</v>
      </c>
      <c r="KJV14" s="108"/>
      <c r="KJW14" s="108"/>
      <c r="KJX14" s="109"/>
      <c r="KJY14" s="107" t="s">
        <v>1</v>
      </c>
      <c r="KJZ14" s="108"/>
      <c r="KKA14" s="108"/>
      <c r="KKB14" s="109"/>
      <c r="KKC14" s="107" t="s">
        <v>1</v>
      </c>
      <c r="KKD14" s="108"/>
      <c r="KKE14" s="108"/>
      <c r="KKF14" s="109"/>
      <c r="KKG14" s="107" t="s">
        <v>1</v>
      </c>
      <c r="KKH14" s="108"/>
      <c r="KKI14" s="108"/>
      <c r="KKJ14" s="109"/>
      <c r="KKK14" s="107" t="s">
        <v>1</v>
      </c>
      <c r="KKL14" s="108"/>
      <c r="KKM14" s="108"/>
      <c r="KKN14" s="109"/>
      <c r="KKO14" s="107" t="s">
        <v>1</v>
      </c>
      <c r="KKP14" s="108"/>
      <c r="KKQ14" s="108"/>
      <c r="KKR14" s="109"/>
      <c r="KKS14" s="107" t="s">
        <v>1</v>
      </c>
      <c r="KKT14" s="108"/>
      <c r="KKU14" s="108"/>
      <c r="KKV14" s="109"/>
      <c r="KKW14" s="107" t="s">
        <v>1</v>
      </c>
      <c r="KKX14" s="108"/>
      <c r="KKY14" s="108"/>
      <c r="KKZ14" s="109"/>
      <c r="KLA14" s="107" t="s">
        <v>1</v>
      </c>
      <c r="KLB14" s="108"/>
      <c r="KLC14" s="108"/>
      <c r="KLD14" s="109"/>
      <c r="KLE14" s="107" t="s">
        <v>1</v>
      </c>
      <c r="KLF14" s="108"/>
      <c r="KLG14" s="108"/>
      <c r="KLH14" s="109"/>
      <c r="KLI14" s="107" t="s">
        <v>1</v>
      </c>
      <c r="KLJ14" s="108"/>
      <c r="KLK14" s="108"/>
      <c r="KLL14" s="109"/>
      <c r="KLM14" s="107" t="s">
        <v>1</v>
      </c>
      <c r="KLN14" s="108"/>
      <c r="KLO14" s="108"/>
      <c r="KLP14" s="109"/>
      <c r="KLQ14" s="107" t="s">
        <v>1</v>
      </c>
      <c r="KLR14" s="108"/>
      <c r="KLS14" s="108"/>
      <c r="KLT14" s="109"/>
      <c r="KLU14" s="107" t="s">
        <v>1</v>
      </c>
      <c r="KLV14" s="108"/>
      <c r="KLW14" s="108"/>
      <c r="KLX14" s="109"/>
      <c r="KLY14" s="107" t="s">
        <v>1</v>
      </c>
      <c r="KLZ14" s="108"/>
      <c r="KMA14" s="108"/>
      <c r="KMB14" s="109"/>
      <c r="KMC14" s="107" t="s">
        <v>1</v>
      </c>
      <c r="KMD14" s="108"/>
      <c r="KME14" s="108"/>
      <c r="KMF14" s="109"/>
      <c r="KMG14" s="107" t="s">
        <v>1</v>
      </c>
      <c r="KMH14" s="108"/>
      <c r="KMI14" s="108"/>
      <c r="KMJ14" s="109"/>
      <c r="KMK14" s="107" t="s">
        <v>1</v>
      </c>
      <c r="KML14" s="108"/>
      <c r="KMM14" s="108"/>
      <c r="KMN14" s="109"/>
      <c r="KMO14" s="107" t="s">
        <v>1</v>
      </c>
      <c r="KMP14" s="108"/>
      <c r="KMQ14" s="108"/>
      <c r="KMR14" s="109"/>
      <c r="KMS14" s="107" t="s">
        <v>1</v>
      </c>
      <c r="KMT14" s="108"/>
      <c r="KMU14" s="108"/>
      <c r="KMV14" s="109"/>
      <c r="KMW14" s="107" t="s">
        <v>1</v>
      </c>
      <c r="KMX14" s="108"/>
      <c r="KMY14" s="108"/>
      <c r="KMZ14" s="109"/>
      <c r="KNA14" s="107" t="s">
        <v>1</v>
      </c>
      <c r="KNB14" s="108"/>
      <c r="KNC14" s="108"/>
      <c r="KND14" s="109"/>
      <c r="KNE14" s="107" t="s">
        <v>1</v>
      </c>
      <c r="KNF14" s="108"/>
      <c r="KNG14" s="108"/>
      <c r="KNH14" s="109"/>
      <c r="KNI14" s="107" t="s">
        <v>1</v>
      </c>
      <c r="KNJ14" s="108"/>
      <c r="KNK14" s="108"/>
      <c r="KNL14" s="109"/>
      <c r="KNM14" s="107" t="s">
        <v>1</v>
      </c>
      <c r="KNN14" s="108"/>
      <c r="KNO14" s="108"/>
      <c r="KNP14" s="109"/>
      <c r="KNQ14" s="107" t="s">
        <v>1</v>
      </c>
      <c r="KNR14" s="108"/>
      <c r="KNS14" s="108"/>
      <c r="KNT14" s="109"/>
      <c r="KNU14" s="107" t="s">
        <v>1</v>
      </c>
      <c r="KNV14" s="108"/>
      <c r="KNW14" s="108"/>
      <c r="KNX14" s="109"/>
      <c r="KNY14" s="107" t="s">
        <v>1</v>
      </c>
      <c r="KNZ14" s="108"/>
      <c r="KOA14" s="108"/>
      <c r="KOB14" s="109"/>
      <c r="KOC14" s="107" t="s">
        <v>1</v>
      </c>
      <c r="KOD14" s="108"/>
      <c r="KOE14" s="108"/>
      <c r="KOF14" s="109"/>
      <c r="KOG14" s="107" t="s">
        <v>1</v>
      </c>
      <c r="KOH14" s="108"/>
      <c r="KOI14" s="108"/>
      <c r="KOJ14" s="109"/>
      <c r="KOK14" s="107" t="s">
        <v>1</v>
      </c>
      <c r="KOL14" s="108"/>
      <c r="KOM14" s="108"/>
      <c r="KON14" s="109"/>
      <c r="KOO14" s="107" t="s">
        <v>1</v>
      </c>
      <c r="KOP14" s="108"/>
      <c r="KOQ14" s="108"/>
      <c r="KOR14" s="109"/>
      <c r="KOS14" s="107" t="s">
        <v>1</v>
      </c>
      <c r="KOT14" s="108"/>
      <c r="KOU14" s="108"/>
      <c r="KOV14" s="109"/>
      <c r="KOW14" s="107" t="s">
        <v>1</v>
      </c>
      <c r="KOX14" s="108"/>
      <c r="KOY14" s="108"/>
      <c r="KOZ14" s="109"/>
      <c r="KPA14" s="107" t="s">
        <v>1</v>
      </c>
      <c r="KPB14" s="108"/>
      <c r="KPC14" s="108"/>
      <c r="KPD14" s="109"/>
      <c r="KPE14" s="107" t="s">
        <v>1</v>
      </c>
      <c r="KPF14" s="108"/>
      <c r="KPG14" s="108"/>
      <c r="KPH14" s="109"/>
      <c r="KPI14" s="107" t="s">
        <v>1</v>
      </c>
      <c r="KPJ14" s="108"/>
      <c r="KPK14" s="108"/>
      <c r="KPL14" s="109"/>
      <c r="KPM14" s="107" t="s">
        <v>1</v>
      </c>
      <c r="KPN14" s="108"/>
      <c r="KPO14" s="108"/>
      <c r="KPP14" s="109"/>
      <c r="KPQ14" s="107" t="s">
        <v>1</v>
      </c>
      <c r="KPR14" s="108"/>
      <c r="KPS14" s="108"/>
      <c r="KPT14" s="109"/>
      <c r="KPU14" s="107" t="s">
        <v>1</v>
      </c>
      <c r="KPV14" s="108"/>
      <c r="KPW14" s="108"/>
      <c r="KPX14" s="109"/>
      <c r="KPY14" s="107" t="s">
        <v>1</v>
      </c>
      <c r="KPZ14" s="108"/>
      <c r="KQA14" s="108"/>
      <c r="KQB14" s="109"/>
      <c r="KQC14" s="107" t="s">
        <v>1</v>
      </c>
      <c r="KQD14" s="108"/>
      <c r="KQE14" s="108"/>
      <c r="KQF14" s="109"/>
      <c r="KQG14" s="107" t="s">
        <v>1</v>
      </c>
      <c r="KQH14" s="108"/>
      <c r="KQI14" s="108"/>
      <c r="KQJ14" s="109"/>
      <c r="KQK14" s="107" t="s">
        <v>1</v>
      </c>
      <c r="KQL14" s="108"/>
      <c r="KQM14" s="108"/>
      <c r="KQN14" s="109"/>
      <c r="KQO14" s="107" t="s">
        <v>1</v>
      </c>
      <c r="KQP14" s="108"/>
      <c r="KQQ14" s="108"/>
      <c r="KQR14" s="109"/>
      <c r="KQS14" s="107" t="s">
        <v>1</v>
      </c>
      <c r="KQT14" s="108"/>
      <c r="KQU14" s="108"/>
      <c r="KQV14" s="109"/>
      <c r="KQW14" s="107" t="s">
        <v>1</v>
      </c>
      <c r="KQX14" s="108"/>
      <c r="KQY14" s="108"/>
      <c r="KQZ14" s="109"/>
      <c r="KRA14" s="107" t="s">
        <v>1</v>
      </c>
      <c r="KRB14" s="108"/>
      <c r="KRC14" s="108"/>
      <c r="KRD14" s="109"/>
      <c r="KRE14" s="107" t="s">
        <v>1</v>
      </c>
      <c r="KRF14" s="108"/>
      <c r="KRG14" s="108"/>
      <c r="KRH14" s="109"/>
      <c r="KRI14" s="107" t="s">
        <v>1</v>
      </c>
      <c r="KRJ14" s="108"/>
      <c r="KRK14" s="108"/>
      <c r="KRL14" s="109"/>
      <c r="KRM14" s="107" t="s">
        <v>1</v>
      </c>
      <c r="KRN14" s="108"/>
      <c r="KRO14" s="108"/>
      <c r="KRP14" s="109"/>
      <c r="KRQ14" s="107" t="s">
        <v>1</v>
      </c>
      <c r="KRR14" s="108"/>
      <c r="KRS14" s="108"/>
      <c r="KRT14" s="109"/>
      <c r="KRU14" s="107" t="s">
        <v>1</v>
      </c>
      <c r="KRV14" s="108"/>
      <c r="KRW14" s="108"/>
      <c r="KRX14" s="109"/>
      <c r="KRY14" s="107" t="s">
        <v>1</v>
      </c>
      <c r="KRZ14" s="108"/>
      <c r="KSA14" s="108"/>
      <c r="KSB14" s="109"/>
      <c r="KSC14" s="107" t="s">
        <v>1</v>
      </c>
      <c r="KSD14" s="108"/>
      <c r="KSE14" s="108"/>
      <c r="KSF14" s="109"/>
      <c r="KSG14" s="107" t="s">
        <v>1</v>
      </c>
      <c r="KSH14" s="108"/>
      <c r="KSI14" s="108"/>
      <c r="KSJ14" s="109"/>
      <c r="KSK14" s="107" t="s">
        <v>1</v>
      </c>
      <c r="KSL14" s="108"/>
      <c r="KSM14" s="108"/>
      <c r="KSN14" s="109"/>
      <c r="KSO14" s="107" t="s">
        <v>1</v>
      </c>
      <c r="KSP14" s="108"/>
      <c r="KSQ14" s="108"/>
      <c r="KSR14" s="109"/>
      <c r="KSS14" s="107" t="s">
        <v>1</v>
      </c>
      <c r="KST14" s="108"/>
      <c r="KSU14" s="108"/>
      <c r="KSV14" s="109"/>
      <c r="KSW14" s="107" t="s">
        <v>1</v>
      </c>
      <c r="KSX14" s="108"/>
      <c r="KSY14" s="108"/>
      <c r="KSZ14" s="109"/>
      <c r="KTA14" s="107" t="s">
        <v>1</v>
      </c>
      <c r="KTB14" s="108"/>
      <c r="KTC14" s="108"/>
      <c r="KTD14" s="109"/>
      <c r="KTE14" s="107" t="s">
        <v>1</v>
      </c>
      <c r="KTF14" s="108"/>
      <c r="KTG14" s="108"/>
      <c r="KTH14" s="109"/>
      <c r="KTI14" s="107" t="s">
        <v>1</v>
      </c>
      <c r="KTJ14" s="108"/>
      <c r="KTK14" s="108"/>
      <c r="KTL14" s="109"/>
      <c r="KTM14" s="107" t="s">
        <v>1</v>
      </c>
      <c r="KTN14" s="108"/>
      <c r="KTO14" s="108"/>
      <c r="KTP14" s="109"/>
      <c r="KTQ14" s="107" t="s">
        <v>1</v>
      </c>
      <c r="KTR14" s="108"/>
      <c r="KTS14" s="108"/>
      <c r="KTT14" s="109"/>
      <c r="KTU14" s="107" t="s">
        <v>1</v>
      </c>
      <c r="KTV14" s="108"/>
      <c r="KTW14" s="108"/>
      <c r="KTX14" s="109"/>
      <c r="KTY14" s="107" t="s">
        <v>1</v>
      </c>
      <c r="KTZ14" s="108"/>
      <c r="KUA14" s="108"/>
      <c r="KUB14" s="109"/>
      <c r="KUC14" s="107" t="s">
        <v>1</v>
      </c>
      <c r="KUD14" s="108"/>
      <c r="KUE14" s="108"/>
      <c r="KUF14" s="109"/>
      <c r="KUG14" s="107" t="s">
        <v>1</v>
      </c>
      <c r="KUH14" s="108"/>
      <c r="KUI14" s="108"/>
      <c r="KUJ14" s="109"/>
      <c r="KUK14" s="107" t="s">
        <v>1</v>
      </c>
      <c r="KUL14" s="108"/>
      <c r="KUM14" s="108"/>
      <c r="KUN14" s="109"/>
      <c r="KUO14" s="107" t="s">
        <v>1</v>
      </c>
      <c r="KUP14" s="108"/>
      <c r="KUQ14" s="108"/>
      <c r="KUR14" s="109"/>
      <c r="KUS14" s="107" t="s">
        <v>1</v>
      </c>
      <c r="KUT14" s="108"/>
      <c r="KUU14" s="108"/>
      <c r="KUV14" s="109"/>
      <c r="KUW14" s="107" t="s">
        <v>1</v>
      </c>
      <c r="KUX14" s="108"/>
      <c r="KUY14" s="108"/>
      <c r="KUZ14" s="109"/>
      <c r="KVA14" s="107" t="s">
        <v>1</v>
      </c>
      <c r="KVB14" s="108"/>
      <c r="KVC14" s="108"/>
      <c r="KVD14" s="109"/>
      <c r="KVE14" s="107" t="s">
        <v>1</v>
      </c>
      <c r="KVF14" s="108"/>
      <c r="KVG14" s="108"/>
      <c r="KVH14" s="109"/>
      <c r="KVI14" s="107" t="s">
        <v>1</v>
      </c>
      <c r="KVJ14" s="108"/>
      <c r="KVK14" s="108"/>
      <c r="KVL14" s="109"/>
      <c r="KVM14" s="107" t="s">
        <v>1</v>
      </c>
      <c r="KVN14" s="108"/>
      <c r="KVO14" s="108"/>
      <c r="KVP14" s="109"/>
      <c r="KVQ14" s="107" t="s">
        <v>1</v>
      </c>
      <c r="KVR14" s="108"/>
      <c r="KVS14" s="108"/>
      <c r="KVT14" s="109"/>
      <c r="KVU14" s="107" t="s">
        <v>1</v>
      </c>
      <c r="KVV14" s="108"/>
      <c r="KVW14" s="108"/>
      <c r="KVX14" s="109"/>
      <c r="KVY14" s="107" t="s">
        <v>1</v>
      </c>
      <c r="KVZ14" s="108"/>
      <c r="KWA14" s="108"/>
      <c r="KWB14" s="109"/>
      <c r="KWC14" s="107" t="s">
        <v>1</v>
      </c>
      <c r="KWD14" s="108"/>
      <c r="KWE14" s="108"/>
      <c r="KWF14" s="109"/>
      <c r="KWG14" s="107" t="s">
        <v>1</v>
      </c>
      <c r="KWH14" s="108"/>
      <c r="KWI14" s="108"/>
      <c r="KWJ14" s="109"/>
      <c r="KWK14" s="107" t="s">
        <v>1</v>
      </c>
      <c r="KWL14" s="108"/>
      <c r="KWM14" s="108"/>
      <c r="KWN14" s="109"/>
      <c r="KWO14" s="107" t="s">
        <v>1</v>
      </c>
      <c r="KWP14" s="108"/>
      <c r="KWQ14" s="108"/>
      <c r="KWR14" s="109"/>
      <c r="KWS14" s="107" t="s">
        <v>1</v>
      </c>
      <c r="KWT14" s="108"/>
      <c r="KWU14" s="108"/>
      <c r="KWV14" s="109"/>
      <c r="KWW14" s="107" t="s">
        <v>1</v>
      </c>
      <c r="KWX14" s="108"/>
      <c r="KWY14" s="108"/>
      <c r="KWZ14" s="109"/>
      <c r="KXA14" s="107" t="s">
        <v>1</v>
      </c>
      <c r="KXB14" s="108"/>
      <c r="KXC14" s="108"/>
      <c r="KXD14" s="109"/>
      <c r="KXE14" s="107" t="s">
        <v>1</v>
      </c>
      <c r="KXF14" s="108"/>
      <c r="KXG14" s="108"/>
      <c r="KXH14" s="109"/>
      <c r="KXI14" s="107" t="s">
        <v>1</v>
      </c>
      <c r="KXJ14" s="108"/>
      <c r="KXK14" s="108"/>
      <c r="KXL14" s="109"/>
      <c r="KXM14" s="107" t="s">
        <v>1</v>
      </c>
      <c r="KXN14" s="108"/>
      <c r="KXO14" s="108"/>
      <c r="KXP14" s="109"/>
      <c r="KXQ14" s="107" t="s">
        <v>1</v>
      </c>
      <c r="KXR14" s="108"/>
      <c r="KXS14" s="108"/>
      <c r="KXT14" s="109"/>
      <c r="KXU14" s="107" t="s">
        <v>1</v>
      </c>
      <c r="KXV14" s="108"/>
      <c r="KXW14" s="108"/>
      <c r="KXX14" s="109"/>
      <c r="KXY14" s="107" t="s">
        <v>1</v>
      </c>
      <c r="KXZ14" s="108"/>
      <c r="KYA14" s="108"/>
      <c r="KYB14" s="109"/>
      <c r="KYC14" s="107" t="s">
        <v>1</v>
      </c>
      <c r="KYD14" s="108"/>
      <c r="KYE14" s="108"/>
      <c r="KYF14" s="109"/>
      <c r="KYG14" s="107" t="s">
        <v>1</v>
      </c>
      <c r="KYH14" s="108"/>
      <c r="KYI14" s="108"/>
      <c r="KYJ14" s="109"/>
      <c r="KYK14" s="107" t="s">
        <v>1</v>
      </c>
      <c r="KYL14" s="108"/>
      <c r="KYM14" s="108"/>
      <c r="KYN14" s="109"/>
      <c r="KYO14" s="107" t="s">
        <v>1</v>
      </c>
      <c r="KYP14" s="108"/>
      <c r="KYQ14" s="108"/>
      <c r="KYR14" s="109"/>
      <c r="KYS14" s="107" t="s">
        <v>1</v>
      </c>
      <c r="KYT14" s="108"/>
      <c r="KYU14" s="108"/>
      <c r="KYV14" s="109"/>
      <c r="KYW14" s="107" t="s">
        <v>1</v>
      </c>
      <c r="KYX14" s="108"/>
      <c r="KYY14" s="108"/>
      <c r="KYZ14" s="109"/>
      <c r="KZA14" s="107" t="s">
        <v>1</v>
      </c>
      <c r="KZB14" s="108"/>
      <c r="KZC14" s="108"/>
      <c r="KZD14" s="109"/>
      <c r="KZE14" s="107" t="s">
        <v>1</v>
      </c>
      <c r="KZF14" s="108"/>
      <c r="KZG14" s="108"/>
      <c r="KZH14" s="109"/>
      <c r="KZI14" s="107" t="s">
        <v>1</v>
      </c>
      <c r="KZJ14" s="108"/>
      <c r="KZK14" s="108"/>
      <c r="KZL14" s="109"/>
      <c r="KZM14" s="107" t="s">
        <v>1</v>
      </c>
      <c r="KZN14" s="108"/>
      <c r="KZO14" s="108"/>
      <c r="KZP14" s="109"/>
      <c r="KZQ14" s="107" t="s">
        <v>1</v>
      </c>
      <c r="KZR14" s="108"/>
      <c r="KZS14" s="108"/>
      <c r="KZT14" s="109"/>
      <c r="KZU14" s="107" t="s">
        <v>1</v>
      </c>
      <c r="KZV14" s="108"/>
      <c r="KZW14" s="108"/>
      <c r="KZX14" s="109"/>
      <c r="KZY14" s="107" t="s">
        <v>1</v>
      </c>
      <c r="KZZ14" s="108"/>
      <c r="LAA14" s="108"/>
      <c r="LAB14" s="109"/>
      <c r="LAC14" s="107" t="s">
        <v>1</v>
      </c>
      <c r="LAD14" s="108"/>
      <c r="LAE14" s="108"/>
      <c r="LAF14" s="109"/>
      <c r="LAG14" s="107" t="s">
        <v>1</v>
      </c>
      <c r="LAH14" s="108"/>
      <c r="LAI14" s="108"/>
      <c r="LAJ14" s="109"/>
      <c r="LAK14" s="107" t="s">
        <v>1</v>
      </c>
      <c r="LAL14" s="108"/>
      <c r="LAM14" s="108"/>
      <c r="LAN14" s="109"/>
      <c r="LAO14" s="107" t="s">
        <v>1</v>
      </c>
      <c r="LAP14" s="108"/>
      <c r="LAQ14" s="108"/>
      <c r="LAR14" s="109"/>
      <c r="LAS14" s="107" t="s">
        <v>1</v>
      </c>
      <c r="LAT14" s="108"/>
      <c r="LAU14" s="108"/>
      <c r="LAV14" s="109"/>
      <c r="LAW14" s="107" t="s">
        <v>1</v>
      </c>
      <c r="LAX14" s="108"/>
      <c r="LAY14" s="108"/>
      <c r="LAZ14" s="109"/>
      <c r="LBA14" s="107" t="s">
        <v>1</v>
      </c>
      <c r="LBB14" s="108"/>
      <c r="LBC14" s="108"/>
      <c r="LBD14" s="109"/>
      <c r="LBE14" s="107" t="s">
        <v>1</v>
      </c>
      <c r="LBF14" s="108"/>
      <c r="LBG14" s="108"/>
      <c r="LBH14" s="109"/>
      <c r="LBI14" s="107" t="s">
        <v>1</v>
      </c>
      <c r="LBJ14" s="108"/>
      <c r="LBK14" s="108"/>
      <c r="LBL14" s="109"/>
      <c r="LBM14" s="107" t="s">
        <v>1</v>
      </c>
      <c r="LBN14" s="108"/>
      <c r="LBO14" s="108"/>
      <c r="LBP14" s="109"/>
      <c r="LBQ14" s="107" t="s">
        <v>1</v>
      </c>
      <c r="LBR14" s="108"/>
      <c r="LBS14" s="108"/>
      <c r="LBT14" s="109"/>
      <c r="LBU14" s="107" t="s">
        <v>1</v>
      </c>
      <c r="LBV14" s="108"/>
      <c r="LBW14" s="108"/>
      <c r="LBX14" s="109"/>
      <c r="LBY14" s="107" t="s">
        <v>1</v>
      </c>
      <c r="LBZ14" s="108"/>
      <c r="LCA14" s="108"/>
      <c r="LCB14" s="109"/>
      <c r="LCC14" s="107" t="s">
        <v>1</v>
      </c>
      <c r="LCD14" s="108"/>
      <c r="LCE14" s="108"/>
      <c r="LCF14" s="109"/>
      <c r="LCG14" s="107" t="s">
        <v>1</v>
      </c>
      <c r="LCH14" s="108"/>
      <c r="LCI14" s="108"/>
      <c r="LCJ14" s="109"/>
      <c r="LCK14" s="107" t="s">
        <v>1</v>
      </c>
      <c r="LCL14" s="108"/>
      <c r="LCM14" s="108"/>
      <c r="LCN14" s="109"/>
      <c r="LCO14" s="107" t="s">
        <v>1</v>
      </c>
      <c r="LCP14" s="108"/>
      <c r="LCQ14" s="108"/>
      <c r="LCR14" s="109"/>
      <c r="LCS14" s="107" t="s">
        <v>1</v>
      </c>
      <c r="LCT14" s="108"/>
      <c r="LCU14" s="108"/>
      <c r="LCV14" s="109"/>
      <c r="LCW14" s="107" t="s">
        <v>1</v>
      </c>
      <c r="LCX14" s="108"/>
      <c r="LCY14" s="108"/>
      <c r="LCZ14" s="109"/>
      <c r="LDA14" s="107" t="s">
        <v>1</v>
      </c>
      <c r="LDB14" s="108"/>
      <c r="LDC14" s="108"/>
      <c r="LDD14" s="109"/>
      <c r="LDE14" s="107" t="s">
        <v>1</v>
      </c>
      <c r="LDF14" s="108"/>
      <c r="LDG14" s="108"/>
      <c r="LDH14" s="109"/>
      <c r="LDI14" s="107" t="s">
        <v>1</v>
      </c>
      <c r="LDJ14" s="108"/>
      <c r="LDK14" s="108"/>
      <c r="LDL14" s="109"/>
      <c r="LDM14" s="107" t="s">
        <v>1</v>
      </c>
      <c r="LDN14" s="108"/>
      <c r="LDO14" s="108"/>
      <c r="LDP14" s="109"/>
      <c r="LDQ14" s="107" t="s">
        <v>1</v>
      </c>
      <c r="LDR14" s="108"/>
      <c r="LDS14" s="108"/>
      <c r="LDT14" s="109"/>
      <c r="LDU14" s="107" t="s">
        <v>1</v>
      </c>
      <c r="LDV14" s="108"/>
      <c r="LDW14" s="108"/>
      <c r="LDX14" s="109"/>
      <c r="LDY14" s="107" t="s">
        <v>1</v>
      </c>
      <c r="LDZ14" s="108"/>
      <c r="LEA14" s="108"/>
      <c r="LEB14" s="109"/>
      <c r="LEC14" s="107" t="s">
        <v>1</v>
      </c>
      <c r="LED14" s="108"/>
      <c r="LEE14" s="108"/>
      <c r="LEF14" s="109"/>
      <c r="LEG14" s="107" t="s">
        <v>1</v>
      </c>
      <c r="LEH14" s="108"/>
      <c r="LEI14" s="108"/>
      <c r="LEJ14" s="109"/>
      <c r="LEK14" s="107" t="s">
        <v>1</v>
      </c>
      <c r="LEL14" s="108"/>
      <c r="LEM14" s="108"/>
      <c r="LEN14" s="109"/>
      <c r="LEO14" s="107" t="s">
        <v>1</v>
      </c>
      <c r="LEP14" s="108"/>
      <c r="LEQ14" s="108"/>
      <c r="LER14" s="109"/>
      <c r="LES14" s="107" t="s">
        <v>1</v>
      </c>
      <c r="LET14" s="108"/>
      <c r="LEU14" s="108"/>
      <c r="LEV14" s="109"/>
      <c r="LEW14" s="107" t="s">
        <v>1</v>
      </c>
      <c r="LEX14" s="108"/>
      <c r="LEY14" s="108"/>
      <c r="LEZ14" s="109"/>
      <c r="LFA14" s="107" t="s">
        <v>1</v>
      </c>
      <c r="LFB14" s="108"/>
      <c r="LFC14" s="108"/>
      <c r="LFD14" s="109"/>
      <c r="LFE14" s="107" t="s">
        <v>1</v>
      </c>
      <c r="LFF14" s="108"/>
      <c r="LFG14" s="108"/>
      <c r="LFH14" s="109"/>
      <c r="LFI14" s="107" t="s">
        <v>1</v>
      </c>
      <c r="LFJ14" s="108"/>
      <c r="LFK14" s="108"/>
      <c r="LFL14" s="109"/>
      <c r="LFM14" s="107" t="s">
        <v>1</v>
      </c>
      <c r="LFN14" s="108"/>
      <c r="LFO14" s="108"/>
      <c r="LFP14" s="109"/>
      <c r="LFQ14" s="107" t="s">
        <v>1</v>
      </c>
      <c r="LFR14" s="108"/>
      <c r="LFS14" s="108"/>
      <c r="LFT14" s="109"/>
      <c r="LFU14" s="107" t="s">
        <v>1</v>
      </c>
      <c r="LFV14" s="108"/>
      <c r="LFW14" s="108"/>
      <c r="LFX14" s="109"/>
      <c r="LFY14" s="107" t="s">
        <v>1</v>
      </c>
      <c r="LFZ14" s="108"/>
      <c r="LGA14" s="108"/>
      <c r="LGB14" s="109"/>
      <c r="LGC14" s="107" t="s">
        <v>1</v>
      </c>
      <c r="LGD14" s="108"/>
      <c r="LGE14" s="108"/>
      <c r="LGF14" s="109"/>
      <c r="LGG14" s="107" t="s">
        <v>1</v>
      </c>
      <c r="LGH14" s="108"/>
      <c r="LGI14" s="108"/>
      <c r="LGJ14" s="109"/>
      <c r="LGK14" s="107" t="s">
        <v>1</v>
      </c>
      <c r="LGL14" s="108"/>
      <c r="LGM14" s="108"/>
      <c r="LGN14" s="109"/>
      <c r="LGO14" s="107" t="s">
        <v>1</v>
      </c>
      <c r="LGP14" s="108"/>
      <c r="LGQ14" s="108"/>
      <c r="LGR14" s="109"/>
      <c r="LGS14" s="107" t="s">
        <v>1</v>
      </c>
      <c r="LGT14" s="108"/>
      <c r="LGU14" s="108"/>
      <c r="LGV14" s="109"/>
      <c r="LGW14" s="107" t="s">
        <v>1</v>
      </c>
      <c r="LGX14" s="108"/>
      <c r="LGY14" s="108"/>
      <c r="LGZ14" s="109"/>
      <c r="LHA14" s="107" t="s">
        <v>1</v>
      </c>
      <c r="LHB14" s="108"/>
      <c r="LHC14" s="108"/>
      <c r="LHD14" s="109"/>
      <c r="LHE14" s="107" t="s">
        <v>1</v>
      </c>
      <c r="LHF14" s="108"/>
      <c r="LHG14" s="108"/>
      <c r="LHH14" s="109"/>
      <c r="LHI14" s="107" t="s">
        <v>1</v>
      </c>
      <c r="LHJ14" s="108"/>
      <c r="LHK14" s="108"/>
      <c r="LHL14" s="109"/>
      <c r="LHM14" s="107" t="s">
        <v>1</v>
      </c>
      <c r="LHN14" s="108"/>
      <c r="LHO14" s="108"/>
      <c r="LHP14" s="109"/>
      <c r="LHQ14" s="107" t="s">
        <v>1</v>
      </c>
      <c r="LHR14" s="108"/>
      <c r="LHS14" s="108"/>
      <c r="LHT14" s="109"/>
      <c r="LHU14" s="107" t="s">
        <v>1</v>
      </c>
      <c r="LHV14" s="108"/>
      <c r="LHW14" s="108"/>
      <c r="LHX14" s="109"/>
      <c r="LHY14" s="107" t="s">
        <v>1</v>
      </c>
      <c r="LHZ14" s="108"/>
      <c r="LIA14" s="108"/>
      <c r="LIB14" s="109"/>
      <c r="LIC14" s="107" t="s">
        <v>1</v>
      </c>
      <c r="LID14" s="108"/>
      <c r="LIE14" s="108"/>
      <c r="LIF14" s="109"/>
      <c r="LIG14" s="107" t="s">
        <v>1</v>
      </c>
      <c r="LIH14" s="108"/>
      <c r="LII14" s="108"/>
      <c r="LIJ14" s="109"/>
      <c r="LIK14" s="107" t="s">
        <v>1</v>
      </c>
      <c r="LIL14" s="108"/>
      <c r="LIM14" s="108"/>
      <c r="LIN14" s="109"/>
      <c r="LIO14" s="107" t="s">
        <v>1</v>
      </c>
      <c r="LIP14" s="108"/>
      <c r="LIQ14" s="108"/>
      <c r="LIR14" s="109"/>
      <c r="LIS14" s="107" t="s">
        <v>1</v>
      </c>
      <c r="LIT14" s="108"/>
      <c r="LIU14" s="108"/>
      <c r="LIV14" s="109"/>
      <c r="LIW14" s="107" t="s">
        <v>1</v>
      </c>
      <c r="LIX14" s="108"/>
      <c r="LIY14" s="108"/>
      <c r="LIZ14" s="109"/>
      <c r="LJA14" s="107" t="s">
        <v>1</v>
      </c>
      <c r="LJB14" s="108"/>
      <c r="LJC14" s="108"/>
      <c r="LJD14" s="109"/>
      <c r="LJE14" s="107" t="s">
        <v>1</v>
      </c>
      <c r="LJF14" s="108"/>
      <c r="LJG14" s="108"/>
      <c r="LJH14" s="109"/>
      <c r="LJI14" s="107" t="s">
        <v>1</v>
      </c>
      <c r="LJJ14" s="108"/>
      <c r="LJK14" s="108"/>
      <c r="LJL14" s="109"/>
      <c r="LJM14" s="107" t="s">
        <v>1</v>
      </c>
      <c r="LJN14" s="108"/>
      <c r="LJO14" s="108"/>
      <c r="LJP14" s="109"/>
      <c r="LJQ14" s="107" t="s">
        <v>1</v>
      </c>
      <c r="LJR14" s="108"/>
      <c r="LJS14" s="108"/>
      <c r="LJT14" s="109"/>
      <c r="LJU14" s="107" t="s">
        <v>1</v>
      </c>
      <c r="LJV14" s="108"/>
      <c r="LJW14" s="108"/>
      <c r="LJX14" s="109"/>
      <c r="LJY14" s="107" t="s">
        <v>1</v>
      </c>
      <c r="LJZ14" s="108"/>
      <c r="LKA14" s="108"/>
      <c r="LKB14" s="109"/>
      <c r="LKC14" s="107" t="s">
        <v>1</v>
      </c>
      <c r="LKD14" s="108"/>
      <c r="LKE14" s="108"/>
      <c r="LKF14" s="109"/>
      <c r="LKG14" s="107" t="s">
        <v>1</v>
      </c>
      <c r="LKH14" s="108"/>
      <c r="LKI14" s="108"/>
      <c r="LKJ14" s="109"/>
      <c r="LKK14" s="107" t="s">
        <v>1</v>
      </c>
      <c r="LKL14" s="108"/>
      <c r="LKM14" s="108"/>
      <c r="LKN14" s="109"/>
      <c r="LKO14" s="107" t="s">
        <v>1</v>
      </c>
      <c r="LKP14" s="108"/>
      <c r="LKQ14" s="108"/>
      <c r="LKR14" s="109"/>
      <c r="LKS14" s="107" t="s">
        <v>1</v>
      </c>
      <c r="LKT14" s="108"/>
      <c r="LKU14" s="108"/>
      <c r="LKV14" s="109"/>
      <c r="LKW14" s="107" t="s">
        <v>1</v>
      </c>
      <c r="LKX14" s="108"/>
      <c r="LKY14" s="108"/>
      <c r="LKZ14" s="109"/>
      <c r="LLA14" s="107" t="s">
        <v>1</v>
      </c>
      <c r="LLB14" s="108"/>
      <c r="LLC14" s="108"/>
      <c r="LLD14" s="109"/>
      <c r="LLE14" s="107" t="s">
        <v>1</v>
      </c>
      <c r="LLF14" s="108"/>
      <c r="LLG14" s="108"/>
      <c r="LLH14" s="109"/>
      <c r="LLI14" s="107" t="s">
        <v>1</v>
      </c>
      <c r="LLJ14" s="108"/>
      <c r="LLK14" s="108"/>
      <c r="LLL14" s="109"/>
      <c r="LLM14" s="107" t="s">
        <v>1</v>
      </c>
      <c r="LLN14" s="108"/>
      <c r="LLO14" s="108"/>
      <c r="LLP14" s="109"/>
      <c r="LLQ14" s="107" t="s">
        <v>1</v>
      </c>
      <c r="LLR14" s="108"/>
      <c r="LLS14" s="108"/>
      <c r="LLT14" s="109"/>
      <c r="LLU14" s="107" t="s">
        <v>1</v>
      </c>
      <c r="LLV14" s="108"/>
      <c r="LLW14" s="108"/>
      <c r="LLX14" s="109"/>
      <c r="LLY14" s="107" t="s">
        <v>1</v>
      </c>
      <c r="LLZ14" s="108"/>
      <c r="LMA14" s="108"/>
      <c r="LMB14" s="109"/>
      <c r="LMC14" s="107" t="s">
        <v>1</v>
      </c>
      <c r="LMD14" s="108"/>
      <c r="LME14" s="108"/>
      <c r="LMF14" s="109"/>
      <c r="LMG14" s="107" t="s">
        <v>1</v>
      </c>
      <c r="LMH14" s="108"/>
      <c r="LMI14" s="108"/>
      <c r="LMJ14" s="109"/>
      <c r="LMK14" s="107" t="s">
        <v>1</v>
      </c>
      <c r="LML14" s="108"/>
      <c r="LMM14" s="108"/>
      <c r="LMN14" s="109"/>
      <c r="LMO14" s="107" t="s">
        <v>1</v>
      </c>
      <c r="LMP14" s="108"/>
      <c r="LMQ14" s="108"/>
      <c r="LMR14" s="109"/>
      <c r="LMS14" s="107" t="s">
        <v>1</v>
      </c>
      <c r="LMT14" s="108"/>
      <c r="LMU14" s="108"/>
      <c r="LMV14" s="109"/>
      <c r="LMW14" s="107" t="s">
        <v>1</v>
      </c>
      <c r="LMX14" s="108"/>
      <c r="LMY14" s="108"/>
      <c r="LMZ14" s="109"/>
      <c r="LNA14" s="107" t="s">
        <v>1</v>
      </c>
      <c r="LNB14" s="108"/>
      <c r="LNC14" s="108"/>
      <c r="LND14" s="109"/>
      <c r="LNE14" s="107" t="s">
        <v>1</v>
      </c>
      <c r="LNF14" s="108"/>
      <c r="LNG14" s="108"/>
      <c r="LNH14" s="109"/>
      <c r="LNI14" s="107" t="s">
        <v>1</v>
      </c>
      <c r="LNJ14" s="108"/>
      <c r="LNK14" s="108"/>
      <c r="LNL14" s="109"/>
      <c r="LNM14" s="107" t="s">
        <v>1</v>
      </c>
      <c r="LNN14" s="108"/>
      <c r="LNO14" s="108"/>
      <c r="LNP14" s="109"/>
      <c r="LNQ14" s="107" t="s">
        <v>1</v>
      </c>
      <c r="LNR14" s="108"/>
      <c r="LNS14" s="108"/>
      <c r="LNT14" s="109"/>
      <c r="LNU14" s="107" t="s">
        <v>1</v>
      </c>
      <c r="LNV14" s="108"/>
      <c r="LNW14" s="108"/>
      <c r="LNX14" s="109"/>
      <c r="LNY14" s="107" t="s">
        <v>1</v>
      </c>
      <c r="LNZ14" s="108"/>
      <c r="LOA14" s="108"/>
      <c r="LOB14" s="109"/>
      <c r="LOC14" s="107" t="s">
        <v>1</v>
      </c>
      <c r="LOD14" s="108"/>
      <c r="LOE14" s="108"/>
      <c r="LOF14" s="109"/>
      <c r="LOG14" s="107" t="s">
        <v>1</v>
      </c>
      <c r="LOH14" s="108"/>
      <c r="LOI14" s="108"/>
      <c r="LOJ14" s="109"/>
      <c r="LOK14" s="107" t="s">
        <v>1</v>
      </c>
      <c r="LOL14" s="108"/>
      <c r="LOM14" s="108"/>
      <c r="LON14" s="109"/>
      <c r="LOO14" s="107" t="s">
        <v>1</v>
      </c>
      <c r="LOP14" s="108"/>
      <c r="LOQ14" s="108"/>
      <c r="LOR14" s="109"/>
      <c r="LOS14" s="107" t="s">
        <v>1</v>
      </c>
      <c r="LOT14" s="108"/>
      <c r="LOU14" s="108"/>
      <c r="LOV14" s="109"/>
      <c r="LOW14" s="107" t="s">
        <v>1</v>
      </c>
      <c r="LOX14" s="108"/>
      <c r="LOY14" s="108"/>
      <c r="LOZ14" s="109"/>
      <c r="LPA14" s="107" t="s">
        <v>1</v>
      </c>
      <c r="LPB14" s="108"/>
      <c r="LPC14" s="108"/>
      <c r="LPD14" s="109"/>
      <c r="LPE14" s="107" t="s">
        <v>1</v>
      </c>
      <c r="LPF14" s="108"/>
      <c r="LPG14" s="108"/>
      <c r="LPH14" s="109"/>
      <c r="LPI14" s="107" t="s">
        <v>1</v>
      </c>
      <c r="LPJ14" s="108"/>
      <c r="LPK14" s="108"/>
      <c r="LPL14" s="109"/>
      <c r="LPM14" s="107" t="s">
        <v>1</v>
      </c>
      <c r="LPN14" s="108"/>
      <c r="LPO14" s="108"/>
      <c r="LPP14" s="109"/>
      <c r="LPQ14" s="107" t="s">
        <v>1</v>
      </c>
      <c r="LPR14" s="108"/>
      <c r="LPS14" s="108"/>
      <c r="LPT14" s="109"/>
      <c r="LPU14" s="107" t="s">
        <v>1</v>
      </c>
      <c r="LPV14" s="108"/>
      <c r="LPW14" s="108"/>
      <c r="LPX14" s="109"/>
      <c r="LPY14" s="107" t="s">
        <v>1</v>
      </c>
      <c r="LPZ14" s="108"/>
      <c r="LQA14" s="108"/>
      <c r="LQB14" s="109"/>
      <c r="LQC14" s="107" t="s">
        <v>1</v>
      </c>
      <c r="LQD14" s="108"/>
      <c r="LQE14" s="108"/>
      <c r="LQF14" s="109"/>
      <c r="LQG14" s="107" t="s">
        <v>1</v>
      </c>
      <c r="LQH14" s="108"/>
      <c r="LQI14" s="108"/>
      <c r="LQJ14" s="109"/>
      <c r="LQK14" s="107" t="s">
        <v>1</v>
      </c>
      <c r="LQL14" s="108"/>
      <c r="LQM14" s="108"/>
      <c r="LQN14" s="109"/>
      <c r="LQO14" s="107" t="s">
        <v>1</v>
      </c>
      <c r="LQP14" s="108"/>
      <c r="LQQ14" s="108"/>
      <c r="LQR14" s="109"/>
      <c r="LQS14" s="107" t="s">
        <v>1</v>
      </c>
      <c r="LQT14" s="108"/>
      <c r="LQU14" s="108"/>
      <c r="LQV14" s="109"/>
      <c r="LQW14" s="107" t="s">
        <v>1</v>
      </c>
      <c r="LQX14" s="108"/>
      <c r="LQY14" s="108"/>
      <c r="LQZ14" s="109"/>
      <c r="LRA14" s="107" t="s">
        <v>1</v>
      </c>
      <c r="LRB14" s="108"/>
      <c r="LRC14" s="108"/>
      <c r="LRD14" s="109"/>
      <c r="LRE14" s="107" t="s">
        <v>1</v>
      </c>
      <c r="LRF14" s="108"/>
      <c r="LRG14" s="108"/>
      <c r="LRH14" s="109"/>
      <c r="LRI14" s="107" t="s">
        <v>1</v>
      </c>
      <c r="LRJ14" s="108"/>
      <c r="LRK14" s="108"/>
      <c r="LRL14" s="109"/>
      <c r="LRM14" s="107" t="s">
        <v>1</v>
      </c>
      <c r="LRN14" s="108"/>
      <c r="LRO14" s="108"/>
      <c r="LRP14" s="109"/>
      <c r="LRQ14" s="107" t="s">
        <v>1</v>
      </c>
      <c r="LRR14" s="108"/>
      <c r="LRS14" s="108"/>
      <c r="LRT14" s="109"/>
      <c r="LRU14" s="107" t="s">
        <v>1</v>
      </c>
      <c r="LRV14" s="108"/>
      <c r="LRW14" s="108"/>
      <c r="LRX14" s="109"/>
      <c r="LRY14" s="107" t="s">
        <v>1</v>
      </c>
      <c r="LRZ14" s="108"/>
      <c r="LSA14" s="108"/>
      <c r="LSB14" s="109"/>
      <c r="LSC14" s="107" t="s">
        <v>1</v>
      </c>
      <c r="LSD14" s="108"/>
      <c r="LSE14" s="108"/>
      <c r="LSF14" s="109"/>
      <c r="LSG14" s="107" t="s">
        <v>1</v>
      </c>
      <c r="LSH14" s="108"/>
      <c r="LSI14" s="108"/>
      <c r="LSJ14" s="109"/>
      <c r="LSK14" s="107" t="s">
        <v>1</v>
      </c>
      <c r="LSL14" s="108"/>
      <c r="LSM14" s="108"/>
      <c r="LSN14" s="109"/>
      <c r="LSO14" s="107" t="s">
        <v>1</v>
      </c>
      <c r="LSP14" s="108"/>
      <c r="LSQ14" s="108"/>
      <c r="LSR14" s="109"/>
      <c r="LSS14" s="107" t="s">
        <v>1</v>
      </c>
      <c r="LST14" s="108"/>
      <c r="LSU14" s="108"/>
      <c r="LSV14" s="109"/>
      <c r="LSW14" s="107" t="s">
        <v>1</v>
      </c>
      <c r="LSX14" s="108"/>
      <c r="LSY14" s="108"/>
      <c r="LSZ14" s="109"/>
      <c r="LTA14" s="107" t="s">
        <v>1</v>
      </c>
      <c r="LTB14" s="108"/>
      <c r="LTC14" s="108"/>
      <c r="LTD14" s="109"/>
      <c r="LTE14" s="107" t="s">
        <v>1</v>
      </c>
      <c r="LTF14" s="108"/>
      <c r="LTG14" s="108"/>
      <c r="LTH14" s="109"/>
      <c r="LTI14" s="107" t="s">
        <v>1</v>
      </c>
      <c r="LTJ14" s="108"/>
      <c r="LTK14" s="108"/>
      <c r="LTL14" s="109"/>
      <c r="LTM14" s="107" t="s">
        <v>1</v>
      </c>
      <c r="LTN14" s="108"/>
      <c r="LTO14" s="108"/>
      <c r="LTP14" s="109"/>
      <c r="LTQ14" s="107" t="s">
        <v>1</v>
      </c>
      <c r="LTR14" s="108"/>
      <c r="LTS14" s="108"/>
      <c r="LTT14" s="109"/>
      <c r="LTU14" s="107" t="s">
        <v>1</v>
      </c>
      <c r="LTV14" s="108"/>
      <c r="LTW14" s="108"/>
      <c r="LTX14" s="109"/>
      <c r="LTY14" s="107" t="s">
        <v>1</v>
      </c>
      <c r="LTZ14" s="108"/>
      <c r="LUA14" s="108"/>
      <c r="LUB14" s="109"/>
      <c r="LUC14" s="107" t="s">
        <v>1</v>
      </c>
      <c r="LUD14" s="108"/>
      <c r="LUE14" s="108"/>
      <c r="LUF14" s="109"/>
      <c r="LUG14" s="107" t="s">
        <v>1</v>
      </c>
      <c r="LUH14" s="108"/>
      <c r="LUI14" s="108"/>
      <c r="LUJ14" s="109"/>
      <c r="LUK14" s="107" t="s">
        <v>1</v>
      </c>
      <c r="LUL14" s="108"/>
      <c r="LUM14" s="108"/>
      <c r="LUN14" s="109"/>
      <c r="LUO14" s="107" t="s">
        <v>1</v>
      </c>
      <c r="LUP14" s="108"/>
      <c r="LUQ14" s="108"/>
      <c r="LUR14" s="109"/>
      <c r="LUS14" s="107" t="s">
        <v>1</v>
      </c>
      <c r="LUT14" s="108"/>
      <c r="LUU14" s="108"/>
      <c r="LUV14" s="109"/>
      <c r="LUW14" s="107" t="s">
        <v>1</v>
      </c>
      <c r="LUX14" s="108"/>
      <c r="LUY14" s="108"/>
      <c r="LUZ14" s="109"/>
      <c r="LVA14" s="107" t="s">
        <v>1</v>
      </c>
      <c r="LVB14" s="108"/>
      <c r="LVC14" s="108"/>
      <c r="LVD14" s="109"/>
      <c r="LVE14" s="107" t="s">
        <v>1</v>
      </c>
      <c r="LVF14" s="108"/>
      <c r="LVG14" s="108"/>
      <c r="LVH14" s="109"/>
      <c r="LVI14" s="107" t="s">
        <v>1</v>
      </c>
      <c r="LVJ14" s="108"/>
      <c r="LVK14" s="108"/>
      <c r="LVL14" s="109"/>
      <c r="LVM14" s="107" t="s">
        <v>1</v>
      </c>
      <c r="LVN14" s="108"/>
      <c r="LVO14" s="108"/>
      <c r="LVP14" s="109"/>
      <c r="LVQ14" s="107" t="s">
        <v>1</v>
      </c>
      <c r="LVR14" s="108"/>
      <c r="LVS14" s="108"/>
      <c r="LVT14" s="109"/>
      <c r="LVU14" s="107" t="s">
        <v>1</v>
      </c>
      <c r="LVV14" s="108"/>
      <c r="LVW14" s="108"/>
      <c r="LVX14" s="109"/>
      <c r="LVY14" s="107" t="s">
        <v>1</v>
      </c>
      <c r="LVZ14" s="108"/>
      <c r="LWA14" s="108"/>
      <c r="LWB14" s="109"/>
      <c r="LWC14" s="107" t="s">
        <v>1</v>
      </c>
      <c r="LWD14" s="108"/>
      <c r="LWE14" s="108"/>
      <c r="LWF14" s="109"/>
      <c r="LWG14" s="107" t="s">
        <v>1</v>
      </c>
      <c r="LWH14" s="108"/>
      <c r="LWI14" s="108"/>
      <c r="LWJ14" s="109"/>
      <c r="LWK14" s="107" t="s">
        <v>1</v>
      </c>
      <c r="LWL14" s="108"/>
      <c r="LWM14" s="108"/>
      <c r="LWN14" s="109"/>
      <c r="LWO14" s="107" t="s">
        <v>1</v>
      </c>
      <c r="LWP14" s="108"/>
      <c r="LWQ14" s="108"/>
      <c r="LWR14" s="109"/>
      <c r="LWS14" s="107" t="s">
        <v>1</v>
      </c>
      <c r="LWT14" s="108"/>
      <c r="LWU14" s="108"/>
      <c r="LWV14" s="109"/>
      <c r="LWW14" s="107" t="s">
        <v>1</v>
      </c>
      <c r="LWX14" s="108"/>
      <c r="LWY14" s="108"/>
      <c r="LWZ14" s="109"/>
      <c r="LXA14" s="107" t="s">
        <v>1</v>
      </c>
      <c r="LXB14" s="108"/>
      <c r="LXC14" s="108"/>
      <c r="LXD14" s="109"/>
      <c r="LXE14" s="107" t="s">
        <v>1</v>
      </c>
      <c r="LXF14" s="108"/>
      <c r="LXG14" s="108"/>
      <c r="LXH14" s="109"/>
      <c r="LXI14" s="107" t="s">
        <v>1</v>
      </c>
      <c r="LXJ14" s="108"/>
      <c r="LXK14" s="108"/>
      <c r="LXL14" s="109"/>
      <c r="LXM14" s="107" t="s">
        <v>1</v>
      </c>
      <c r="LXN14" s="108"/>
      <c r="LXO14" s="108"/>
      <c r="LXP14" s="109"/>
      <c r="LXQ14" s="107" t="s">
        <v>1</v>
      </c>
      <c r="LXR14" s="108"/>
      <c r="LXS14" s="108"/>
      <c r="LXT14" s="109"/>
      <c r="LXU14" s="107" t="s">
        <v>1</v>
      </c>
      <c r="LXV14" s="108"/>
      <c r="LXW14" s="108"/>
      <c r="LXX14" s="109"/>
      <c r="LXY14" s="107" t="s">
        <v>1</v>
      </c>
      <c r="LXZ14" s="108"/>
      <c r="LYA14" s="108"/>
      <c r="LYB14" s="109"/>
      <c r="LYC14" s="107" t="s">
        <v>1</v>
      </c>
      <c r="LYD14" s="108"/>
      <c r="LYE14" s="108"/>
      <c r="LYF14" s="109"/>
      <c r="LYG14" s="107" t="s">
        <v>1</v>
      </c>
      <c r="LYH14" s="108"/>
      <c r="LYI14" s="108"/>
      <c r="LYJ14" s="109"/>
      <c r="LYK14" s="107" t="s">
        <v>1</v>
      </c>
      <c r="LYL14" s="108"/>
      <c r="LYM14" s="108"/>
      <c r="LYN14" s="109"/>
      <c r="LYO14" s="107" t="s">
        <v>1</v>
      </c>
      <c r="LYP14" s="108"/>
      <c r="LYQ14" s="108"/>
      <c r="LYR14" s="109"/>
      <c r="LYS14" s="107" t="s">
        <v>1</v>
      </c>
      <c r="LYT14" s="108"/>
      <c r="LYU14" s="108"/>
      <c r="LYV14" s="109"/>
      <c r="LYW14" s="107" t="s">
        <v>1</v>
      </c>
      <c r="LYX14" s="108"/>
      <c r="LYY14" s="108"/>
      <c r="LYZ14" s="109"/>
      <c r="LZA14" s="107" t="s">
        <v>1</v>
      </c>
      <c r="LZB14" s="108"/>
      <c r="LZC14" s="108"/>
      <c r="LZD14" s="109"/>
      <c r="LZE14" s="107" t="s">
        <v>1</v>
      </c>
      <c r="LZF14" s="108"/>
      <c r="LZG14" s="108"/>
      <c r="LZH14" s="109"/>
      <c r="LZI14" s="107" t="s">
        <v>1</v>
      </c>
      <c r="LZJ14" s="108"/>
      <c r="LZK14" s="108"/>
      <c r="LZL14" s="109"/>
      <c r="LZM14" s="107" t="s">
        <v>1</v>
      </c>
      <c r="LZN14" s="108"/>
      <c r="LZO14" s="108"/>
      <c r="LZP14" s="109"/>
      <c r="LZQ14" s="107" t="s">
        <v>1</v>
      </c>
      <c r="LZR14" s="108"/>
      <c r="LZS14" s="108"/>
      <c r="LZT14" s="109"/>
      <c r="LZU14" s="107" t="s">
        <v>1</v>
      </c>
      <c r="LZV14" s="108"/>
      <c r="LZW14" s="108"/>
      <c r="LZX14" s="109"/>
      <c r="LZY14" s="107" t="s">
        <v>1</v>
      </c>
      <c r="LZZ14" s="108"/>
      <c r="MAA14" s="108"/>
      <c r="MAB14" s="109"/>
      <c r="MAC14" s="107" t="s">
        <v>1</v>
      </c>
      <c r="MAD14" s="108"/>
      <c r="MAE14" s="108"/>
      <c r="MAF14" s="109"/>
      <c r="MAG14" s="107" t="s">
        <v>1</v>
      </c>
      <c r="MAH14" s="108"/>
      <c r="MAI14" s="108"/>
      <c r="MAJ14" s="109"/>
      <c r="MAK14" s="107" t="s">
        <v>1</v>
      </c>
      <c r="MAL14" s="108"/>
      <c r="MAM14" s="108"/>
      <c r="MAN14" s="109"/>
      <c r="MAO14" s="107" t="s">
        <v>1</v>
      </c>
      <c r="MAP14" s="108"/>
      <c r="MAQ14" s="108"/>
      <c r="MAR14" s="109"/>
      <c r="MAS14" s="107" t="s">
        <v>1</v>
      </c>
      <c r="MAT14" s="108"/>
      <c r="MAU14" s="108"/>
      <c r="MAV14" s="109"/>
      <c r="MAW14" s="107" t="s">
        <v>1</v>
      </c>
      <c r="MAX14" s="108"/>
      <c r="MAY14" s="108"/>
      <c r="MAZ14" s="109"/>
      <c r="MBA14" s="107" t="s">
        <v>1</v>
      </c>
      <c r="MBB14" s="108"/>
      <c r="MBC14" s="108"/>
      <c r="MBD14" s="109"/>
      <c r="MBE14" s="107" t="s">
        <v>1</v>
      </c>
      <c r="MBF14" s="108"/>
      <c r="MBG14" s="108"/>
      <c r="MBH14" s="109"/>
      <c r="MBI14" s="107" t="s">
        <v>1</v>
      </c>
      <c r="MBJ14" s="108"/>
      <c r="MBK14" s="108"/>
      <c r="MBL14" s="109"/>
      <c r="MBM14" s="107" t="s">
        <v>1</v>
      </c>
      <c r="MBN14" s="108"/>
      <c r="MBO14" s="108"/>
      <c r="MBP14" s="109"/>
      <c r="MBQ14" s="107" t="s">
        <v>1</v>
      </c>
      <c r="MBR14" s="108"/>
      <c r="MBS14" s="108"/>
      <c r="MBT14" s="109"/>
      <c r="MBU14" s="107" t="s">
        <v>1</v>
      </c>
      <c r="MBV14" s="108"/>
      <c r="MBW14" s="108"/>
      <c r="MBX14" s="109"/>
      <c r="MBY14" s="107" t="s">
        <v>1</v>
      </c>
      <c r="MBZ14" s="108"/>
      <c r="MCA14" s="108"/>
      <c r="MCB14" s="109"/>
      <c r="MCC14" s="107" t="s">
        <v>1</v>
      </c>
      <c r="MCD14" s="108"/>
      <c r="MCE14" s="108"/>
      <c r="MCF14" s="109"/>
      <c r="MCG14" s="107" t="s">
        <v>1</v>
      </c>
      <c r="MCH14" s="108"/>
      <c r="MCI14" s="108"/>
      <c r="MCJ14" s="109"/>
      <c r="MCK14" s="107" t="s">
        <v>1</v>
      </c>
      <c r="MCL14" s="108"/>
      <c r="MCM14" s="108"/>
      <c r="MCN14" s="109"/>
      <c r="MCO14" s="107" t="s">
        <v>1</v>
      </c>
      <c r="MCP14" s="108"/>
      <c r="MCQ14" s="108"/>
      <c r="MCR14" s="109"/>
      <c r="MCS14" s="107" t="s">
        <v>1</v>
      </c>
      <c r="MCT14" s="108"/>
      <c r="MCU14" s="108"/>
      <c r="MCV14" s="109"/>
      <c r="MCW14" s="107" t="s">
        <v>1</v>
      </c>
      <c r="MCX14" s="108"/>
      <c r="MCY14" s="108"/>
      <c r="MCZ14" s="109"/>
      <c r="MDA14" s="107" t="s">
        <v>1</v>
      </c>
      <c r="MDB14" s="108"/>
      <c r="MDC14" s="108"/>
      <c r="MDD14" s="109"/>
      <c r="MDE14" s="107" t="s">
        <v>1</v>
      </c>
      <c r="MDF14" s="108"/>
      <c r="MDG14" s="108"/>
      <c r="MDH14" s="109"/>
      <c r="MDI14" s="107" t="s">
        <v>1</v>
      </c>
      <c r="MDJ14" s="108"/>
      <c r="MDK14" s="108"/>
      <c r="MDL14" s="109"/>
      <c r="MDM14" s="107" t="s">
        <v>1</v>
      </c>
      <c r="MDN14" s="108"/>
      <c r="MDO14" s="108"/>
      <c r="MDP14" s="109"/>
      <c r="MDQ14" s="107" t="s">
        <v>1</v>
      </c>
      <c r="MDR14" s="108"/>
      <c r="MDS14" s="108"/>
      <c r="MDT14" s="109"/>
      <c r="MDU14" s="107" t="s">
        <v>1</v>
      </c>
      <c r="MDV14" s="108"/>
      <c r="MDW14" s="108"/>
      <c r="MDX14" s="109"/>
      <c r="MDY14" s="107" t="s">
        <v>1</v>
      </c>
      <c r="MDZ14" s="108"/>
      <c r="MEA14" s="108"/>
      <c r="MEB14" s="109"/>
      <c r="MEC14" s="107" t="s">
        <v>1</v>
      </c>
      <c r="MED14" s="108"/>
      <c r="MEE14" s="108"/>
      <c r="MEF14" s="109"/>
      <c r="MEG14" s="107" t="s">
        <v>1</v>
      </c>
      <c r="MEH14" s="108"/>
      <c r="MEI14" s="108"/>
      <c r="MEJ14" s="109"/>
      <c r="MEK14" s="107" t="s">
        <v>1</v>
      </c>
      <c r="MEL14" s="108"/>
      <c r="MEM14" s="108"/>
      <c r="MEN14" s="109"/>
      <c r="MEO14" s="107" t="s">
        <v>1</v>
      </c>
      <c r="MEP14" s="108"/>
      <c r="MEQ14" s="108"/>
      <c r="MER14" s="109"/>
      <c r="MES14" s="107" t="s">
        <v>1</v>
      </c>
      <c r="MET14" s="108"/>
      <c r="MEU14" s="108"/>
      <c r="MEV14" s="109"/>
      <c r="MEW14" s="107" t="s">
        <v>1</v>
      </c>
      <c r="MEX14" s="108"/>
      <c r="MEY14" s="108"/>
      <c r="MEZ14" s="109"/>
      <c r="MFA14" s="107" t="s">
        <v>1</v>
      </c>
      <c r="MFB14" s="108"/>
      <c r="MFC14" s="108"/>
      <c r="MFD14" s="109"/>
      <c r="MFE14" s="107" t="s">
        <v>1</v>
      </c>
      <c r="MFF14" s="108"/>
      <c r="MFG14" s="108"/>
      <c r="MFH14" s="109"/>
      <c r="MFI14" s="107" t="s">
        <v>1</v>
      </c>
      <c r="MFJ14" s="108"/>
      <c r="MFK14" s="108"/>
      <c r="MFL14" s="109"/>
      <c r="MFM14" s="107" t="s">
        <v>1</v>
      </c>
      <c r="MFN14" s="108"/>
      <c r="MFO14" s="108"/>
      <c r="MFP14" s="109"/>
      <c r="MFQ14" s="107" t="s">
        <v>1</v>
      </c>
      <c r="MFR14" s="108"/>
      <c r="MFS14" s="108"/>
      <c r="MFT14" s="109"/>
      <c r="MFU14" s="107" t="s">
        <v>1</v>
      </c>
      <c r="MFV14" s="108"/>
      <c r="MFW14" s="108"/>
      <c r="MFX14" s="109"/>
      <c r="MFY14" s="107" t="s">
        <v>1</v>
      </c>
      <c r="MFZ14" s="108"/>
      <c r="MGA14" s="108"/>
      <c r="MGB14" s="109"/>
      <c r="MGC14" s="107" t="s">
        <v>1</v>
      </c>
      <c r="MGD14" s="108"/>
      <c r="MGE14" s="108"/>
      <c r="MGF14" s="109"/>
      <c r="MGG14" s="107" t="s">
        <v>1</v>
      </c>
      <c r="MGH14" s="108"/>
      <c r="MGI14" s="108"/>
      <c r="MGJ14" s="109"/>
      <c r="MGK14" s="107" t="s">
        <v>1</v>
      </c>
      <c r="MGL14" s="108"/>
      <c r="MGM14" s="108"/>
      <c r="MGN14" s="109"/>
      <c r="MGO14" s="107" t="s">
        <v>1</v>
      </c>
      <c r="MGP14" s="108"/>
      <c r="MGQ14" s="108"/>
      <c r="MGR14" s="109"/>
      <c r="MGS14" s="107" t="s">
        <v>1</v>
      </c>
      <c r="MGT14" s="108"/>
      <c r="MGU14" s="108"/>
      <c r="MGV14" s="109"/>
      <c r="MGW14" s="107" t="s">
        <v>1</v>
      </c>
      <c r="MGX14" s="108"/>
      <c r="MGY14" s="108"/>
      <c r="MGZ14" s="109"/>
      <c r="MHA14" s="107" t="s">
        <v>1</v>
      </c>
      <c r="MHB14" s="108"/>
      <c r="MHC14" s="108"/>
      <c r="MHD14" s="109"/>
      <c r="MHE14" s="107" t="s">
        <v>1</v>
      </c>
      <c r="MHF14" s="108"/>
      <c r="MHG14" s="108"/>
      <c r="MHH14" s="109"/>
      <c r="MHI14" s="107" t="s">
        <v>1</v>
      </c>
      <c r="MHJ14" s="108"/>
      <c r="MHK14" s="108"/>
      <c r="MHL14" s="109"/>
      <c r="MHM14" s="107" t="s">
        <v>1</v>
      </c>
      <c r="MHN14" s="108"/>
      <c r="MHO14" s="108"/>
      <c r="MHP14" s="109"/>
      <c r="MHQ14" s="107" t="s">
        <v>1</v>
      </c>
      <c r="MHR14" s="108"/>
      <c r="MHS14" s="108"/>
      <c r="MHT14" s="109"/>
      <c r="MHU14" s="107" t="s">
        <v>1</v>
      </c>
      <c r="MHV14" s="108"/>
      <c r="MHW14" s="108"/>
      <c r="MHX14" s="109"/>
      <c r="MHY14" s="107" t="s">
        <v>1</v>
      </c>
      <c r="MHZ14" s="108"/>
      <c r="MIA14" s="108"/>
      <c r="MIB14" s="109"/>
      <c r="MIC14" s="107" t="s">
        <v>1</v>
      </c>
      <c r="MID14" s="108"/>
      <c r="MIE14" s="108"/>
      <c r="MIF14" s="109"/>
      <c r="MIG14" s="107" t="s">
        <v>1</v>
      </c>
      <c r="MIH14" s="108"/>
      <c r="MII14" s="108"/>
      <c r="MIJ14" s="109"/>
      <c r="MIK14" s="107" t="s">
        <v>1</v>
      </c>
      <c r="MIL14" s="108"/>
      <c r="MIM14" s="108"/>
      <c r="MIN14" s="109"/>
      <c r="MIO14" s="107" t="s">
        <v>1</v>
      </c>
      <c r="MIP14" s="108"/>
      <c r="MIQ14" s="108"/>
      <c r="MIR14" s="109"/>
      <c r="MIS14" s="107" t="s">
        <v>1</v>
      </c>
      <c r="MIT14" s="108"/>
      <c r="MIU14" s="108"/>
      <c r="MIV14" s="109"/>
      <c r="MIW14" s="107" t="s">
        <v>1</v>
      </c>
      <c r="MIX14" s="108"/>
      <c r="MIY14" s="108"/>
      <c r="MIZ14" s="109"/>
      <c r="MJA14" s="107" t="s">
        <v>1</v>
      </c>
      <c r="MJB14" s="108"/>
      <c r="MJC14" s="108"/>
      <c r="MJD14" s="109"/>
      <c r="MJE14" s="107" t="s">
        <v>1</v>
      </c>
      <c r="MJF14" s="108"/>
      <c r="MJG14" s="108"/>
      <c r="MJH14" s="109"/>
      <c r="MJI14" s="107" t="s">
        <v>1</v>
      </c>
      <c r="MJJ14" s="108"/>
      <c r="MJK14" s="108"/>
      <c r="MJL14" s="109"/>
      <c r="MJM14" s="107" t="s">
        <v>1</v>
      </c>
      <c r="MJN14" s="108"/>
      <c r="MJO14" s="108"/>
      <c r="MJP14" s="109"/>
      <c r="MJQ14" s="107" t="s">
        <v>1</v>
      </c>
      <c r="MJR14" s="108"/>
      <c r="MJS14" s="108"/>
      <c r="MJT14" s="109"/>
      <c r="MJU14" s="107" t="s">
        <v>1</v>
      </c>
      <c r="MJV14" s="108"/>
      <c r="MJW14" s="108"/>
      <c r="MJX14" s="109"/>
      <c r="MJY14" s="107" t="s">
        <v>1</v>
      </c>
      <c r="MJZ14" s="108"/>
      <c r="MKA14" s="108"/>
      <c r="MKB14" s="109"/>
      <c r="MKC14" s="107" t="s">
        <v>1</v>
      </c>
      <c r="MKD14" s="108"/>
      <c r="MKE14" s="108"/>
      <c r="MKF14" s="109"/>
      <c r="MKG14" s="107" t="s">
        <v>1</v>
      </c>
      <c r="MKH14" s="108"/>
      <c r="MKI14" s="108"/>
      <c r="MKJ14" s="109"/>
      <c r="MKK14" s="107" t="s">
        <v>1</v>
      </c>
      <c r="MKL14" s="108"/>
      <c r="MKM14" s="108"/>
      <c r="MKN14" s="109"/>
      <c r="MKO14" s="107" t="s">
        <v>1</v>
      </c>
      <c r="MKP14" s="108"/>
      <c r="MKQ14" s="108"/>
      <c r="MKR14" s="109"/>
      <c r="MKS14" s="107" t="s">
        <v>1</v>
      </c>
      <c r="MKT14" s="108"/>
      <c r="MKU14" s="108"/>
      <c r="MKV14" s="109"/>
      <c r="MKW14" s="107" t="s">
        <v>1</v>
      </c>
      <c r="MKX14" s="108"/>
      <c r="MKY14" s="108"/>
      <c r="MKZ14" s="109"/>
      <c r="MLA14" s="107" t="s">
        <v>1</v>
      </c>
      <c r="MLB14" s="108"/>
      <c r="MLC14" s="108"/>
      <c r="MLD14" s="109"/>
      <c r="MLE14" s="107" t="s">
        <v>1</v>
      </c>
      <c r="MLF14" s="108"/>
      <c r="MLG14" s="108"/>
      <c r="MLH14" s="109"/>
      <c r="MLI14" s="107" t="s">
        <v>1</v>
      </c>
      <c r="MLJ14" s="108"/>
      <c r="MLK14" s="108"/>
      <c r="MLL14" s="109"/>
      <c r="MLM14" s="107" t="s">
        <v>1</v>
      </c>
      <c r="MLN14" s="108"/>
      <c r="MLO14" s="108"/>
      <c r="MLP14" s="109"/>
      <c r="MLQ14" s="107" t="s">
        <v>1</v>
      </c>
      <c r="MLR14" s="108"/>
      <c r="MLS14" s="108"/>
      <c r="MLT14" s="109"/>
      <c r="MLU14" s="107" t="s">
        <v>1</v>
      </c>
      <c r="MLV14" s="108"/>
      <c r="MLW14" s="108"/>
      <c r="MLX14" s="109"/>
      <c r="MLY14" s="107" t="s">
        <v>1</v>
      </c>
      <c r="MLZ14" s="108"/>
      <c r="MMA14" s="108"/>
      <c r="MMB14" s="109"/>
      <c r="MMC14" s="107" t="s">
        <v>1</v>
      </c>
      <c r="MMD14" s="108"/>
      <c r="MME14" s="108"/>
      <c r="MMF14" s="109"/>
      <c r="MMG14" s="107" t="s">
        <v>1</v>
      </c>
      <c r="MMH14" s="108"/>
      <c r="MMI14" s="108"/>
      <c r="MMJ14" s="109"/>
      <c r="MMK14" s="107" t="s">
        <v>1</v>
      </c>
      <c r="MML14" s="108"/>
      <c r="MMM14" s="108"/>
      <c r="MMN14" s="109"/>
      <c r="MMO14" s="107" t="s">
        <v>1</v>
      </c>
      <c r="MMP14" s="108"/>
      <c r="MMQ14" s="108"/>
      <c r="MMR14" s="109"/>
      <c r="MMS14" s="107" t="s">
        <v>1</v>
      </c>
      <c r="MMT14" s="108"/>
      <c r="MMU14" s="108"/>
      <c r="MMV14" s="109"/>
      <c r="MMW14" s="107" t="s">
        <v>1</v>
      </c>
      <c r="MMX14" s="108"/>
      <c r="MMY14" s="108"/>
      <c r="MMZ14" s="109"/>
      <c r="MNA14" s="107" t="s">
        <v>1</v>
      </c>
      <c r="MNB14" s="108"/>
      <c r="MNC14" s="108"/>
      <c r="MND14" s="109"/>
      <c r="MNE14" s="107" t="s">
        <v>1</v>
      </c>
      <c r="MNF14" s="108"/>
      <c r="MNG14" s="108"/>
      <c r="MNH14" s="109"/>
      <c r="MNI14" s="107" t="s">
        <v>1</v>
      </c>
      <c r="MNJ14" s="108"/>
      <c r="MNK14" s="108"/>
      <c r="MNL14" s="109"/>
      <c r="MNM14" s="107" t="s">
        <v>1</v>
      </c>
      <c r="MNN14" s="108"/>
      <c r="MNO14" s="108"/>
      <c r="MNP14" s="109"/>
      <c r="MNQ14" s="107" t="s">
        <v>1</v>
      </c>
      <c r="MNR14" s="108"/>
      <c r="MNS14" s="108"/>
      <c r="MNT14" s="109"/>
      <c r="MNU14" s="107" t="s">
        <v>1</v>
      </c>
      <c r="MNV14" s="108"/>
      <c r="MNW14" s="108"/>
      <c r="MNX14" s="109"/>
      <c r="MNY14" s="107" t="s">
        <v>1</v>
      </c>
      <c r="MNZ14" s="108"/>
      <c r="MOA14" s="108"/>
      <c r="MOB14" s="109"/>
      <c r="MOC14" s="107" t="s">
        <v>1</v>
      </c>
      <c r="MOD14" s="108"/>
      <c r="MOE14" s="108"/>
      <c r="MOF14" s="109"/>
      <c r="MOG14" s="107" t="s">
        <v>1</v>
      </c>
      <c r="MOH14" s="108"/>
      <c r="MOI14" s="108"/>
      <c r="MOJ14" s="109"/>
      <c r="MOK14" s="107" t="s">
        <v>1</v>
      </c>
      <c r="MOL14" s="108"/>
      <c r="MOM14" s="108"/>
      <c r="MON14" s="109"/>
      <c r="MOO14" s="107" t="s">
        <v>1</v>
      </c>
      <c r="MOP14" s="108"/>
      <c r="MOQ14" s="108"/>
      <c r="MOR14" s="109"/>
      <c r="MOS14" s="107" t="s">
        <v>1</v>
      </c>
      <c r="MOT14" s="108"/>
      <c r="MOU14" s="108"/>
      <c r="MOV14" s="109"/>
      <c r="MOW14" s="107" t="s">
        <v>1</v>
      </c>
      <c r="MOX14" s="108"/>
      <c r="MOY14" s="108"/>
      <c r="MOZ14" s="109"/>
      <c r="MPA14" s="107" t="s">
        <v>1</v>
      </c>
      <c r="MPB14" s="108"/>
      <c r="MPC14" s="108"/>
      <c r="MPD14" s="109"/>
      <c r="MPE14" s="107" t="s">
        <v>1</v>
      </c>
      <c r="MPF14" s="108"/>
      <c r="MPG14" s="108"/>
      <c r="MPH14" s="109"/>
      <c r="MPI14" s="107" t="s">
        <v>1</v>
      </c>
      <c r="MPJ14" s="108"/>
      <c r="MPK14" s="108"/>
      <c r="MPL14" s="109"/>
      <c r="MPM14" s="107" t="s">
        <v>1</v>
      </c>
      <c r="MPN14" s="108"/>
      <c r="MPO14" s="108"/>
      <c r="MPP14" s="109"/>
      <c r="MPQ14" s="107" t="s">
        <v>1</v>
      </c>
      <c r="MPR14" s="108"/>
      <c r="MPS14" s="108"/>
      <c r="MPT14" s="109"/>
      <c r="MPU14" s="107" t="s">
        <v>1</v>
      </c>
      <c r="MPV14" s="108"/>
      <c r="MPW14" s="108"/>
      <c r="MPX14" s="109"/>
      <c r="MPY14" s="107" t="s">
        <v>1</v>
      </c>
      <c r="MPZ14" s="108"/>
      <c r="MQA14" s="108"/>
      <c r="MQB14" s="109"/>
      <c r="MQC14" s="107" t="s">
        <v>1</v>
      </c>
      <c r="MQD14" s="108"/>
      <c r="MQE14" s="108"/>
      <c r="MQF14" s="109"/>
      <c r="MQG14" s="107" t="s">
        <v>1</v>
      </c>
      <c r="MQH14" s="108"/>
      <c r="MQI14" s="108"/>
      <c r="MQJ14" s="109"/>
      <c r="MQK14" s="107" t="s">
        <v>1</v>
      </c>
      <c r="MQL14" s="108"/>
      <c r="MQM14" s="108"/>
      <c r="MQN14" s="109"/>
      <c r="MQO14" s="107" t="s">
        <v>1</v>
      </c>
      <c r="MQP14" s="108"/>
      <c r="MQQ14" s="108"/>
      <c r="MQR14" s="109"/>
      <c r="MQS14" s="107" t="s">
        <v>1</v>
      </c>
      <c r="MQT14" s="108"/>
      <c r="MQU14" s="108"/>
      <c r="MQV14" s="109"/>
      <c r="MQW14" s="107" t="s">
        <v>1</v>
      </c>
      <c r="MQX14" s="108"/>
      <c r="MQY14" s="108"/>
      <c r="MQZ14" s="109"/>
      <c r="MRA14" s="107" t="s">
        <v>1</v>
      </c>
      <c r="MRB14" s="108"/>
      <c r="MRC14" s="108"/>
      <c r="MRD14" s="109"/>
      <c r="MRE14" s="107" t="s">
        <v>1</v>
      </c>
      <c r="MRF14" s="108"/>
      <c r="MRG14" s="108"/>
      <c r="MRH14" s="109"/>
      <c r="MRI14" s="107" t="s">
        <v>1</v>
      </c>
      <c r="MRJ14" s="108"/>
      <c r="MRK14" s="108"/>
      <c r="MRL14" s="109"/>
      <c r="MRM14" s="107" t="s">
        <v>1</v>
      </c>
      <c r="MRN14" s="108"/>
      <c r="MRO14" s="108"/>
      <c r="MRP14" s="109"/>
      <c r="MRQ14" s="107" t="s">
        <v>1</v>
      </c>
      <c r="MRR14" s="108"/>
      <c r="MRS14" s="108"/>
      <c r="MRT14" s="109"/>
      <c r="MRU14" s="107" t="s">
        <v>1</v>
      </c>
      <c r="MRV14" s="108"/>
      <c r="MRW14" s="108"/>
      <c r="MRX14" s="109"/>
      <c r="MRY14" s="107" t="s">
        <v>1</v>
      </c>
      <c r="MRZ14" s="108"/>
      <c r="MSA14" s="108"/>
      <c r="MSB14" s="109"/>
      <c r="MSC14" s="107" t="s">
        <v>1</v>
      </c>
      <c r="MSD14" s="108"/>
      <c r="MSE14" s="108"/>
      <c r="MSF14" s="109"/>
      <c r="MSG14" s="107" t="s">
        <v>1</v>
      </c>
      <c r="MSH14" s="108"/>
      <c r="MSI14" s="108"/>
      <c r="MSJ14" s="109"/>
      <c r="MSK14" s="107" t="s">
        <v>1</v>
      </c>
      <c r="MSL14" s="108"/>
      <c r="MSM14" s="108"/>
      <c r="MSN14" s="109"/>
      <c r="MSO14" s="107" t="s">
        <v>1</v>
      </c>
      <c r="MSP14" s="108"/>
      <c r="MSQ14" s="108"/>
      <c r="MSR14" s="109"/>
      <c r="MSS14" s="107" t="s">
        <v>1</v>
      </c>
      <c r="MST14" s="108"/>
      <c r="MSU14" s="108"/>
      <c r="MSV14" s="109"/>
      <c r="MSW14" s="107" t="s">
        <v>1</v>
      </c>
      <c r="MSX14" s="108"/>
      <c r="MSY14" s="108"/>
      <c r="MSZ14" s="109"/>
      <c r="MTA14" s="107" t="s">
        <v>1</v>
      </c>
      <c r="MTB14" s="108"/>
      <c r="MTC14" s="108"/>
      <c r="MTD14" s="109"/>
      <c r="MTE14" s="107" t="s">
        <v>1</v>
      </c>
      <c r="MTF14" s="108"/>
      <c r="MTG14" s="108"/>
      <c r="MTH14" s="109"/>
      <c r="MTI14" s="107" t="s">
        <v>1</v>
      </c>
      <c r="MTJ14" s="108"/>
      <c r="MTK14" s="108"/>
      <c r="MTL14" s="109"/>
      <c r="MTM14" s="107" t="s">
        <v>1</v>
      </c>
      <c r="MTN14" s="108"/>
      <c r="MTO14" s="108"/>
      <c r="MTP14" s="109"/>
      <c r="MTQ14" s="107" t="s">
        <v>1</v>
      </c>
      <c r="MTR14" s="108"/>
      <c r="MTS14" s="108"/>
      <c r="MTT14" s="109"/>
      <c r="MTU14" s="107" t="s">
        <v>1</v>
      </c>
      <c r="MTV14" s="108"/>
      <c r="MTW14" s="108"/>
      <c r="MTX14" s="109"/>
      <c r="MTY14" s="107" t="s">
        <v>1</v>
      </c>
      <c r="MTZ14" s="108"/>
      <c r="MUA14" s="108"/>
      <c r="MUB14" s="109"/>
      <c r="MUC14" s="107" t="s">
        <v>1</v>
      </c>
      <c r="MUD14" s="108"/>
      <c r="MUE14" s="108"/>
      <c r="MUF14" s="109"/>
      <c r="MUG14" s="107" t="s">
        <v>1</v>
      </c>
      <c r="MUH14" s="108"/>
      <c r="MUI14" s="108"/>
      <c r="MUJ14" s="109"/>
      <c r="MUK14" s="107" t="s">
        <v>1</v>
      </c>
      <c r="MUL14" s="108"/>
      <c r="MUM14" s="108"/>
      <c r="MUN14" s="109"/>
      <c r="MUO14" s="107" t="s">
        <v>1</v>
      </c>
      <c r="MUP14" s="108"/>
      <c r="MUQ14" s="108"/>
      <c r="MUR14" s="109"/>
      <c r="MUS14" s="107" t="s">
        <v>1</v>
      </c>
      <c r="MUT14" s="108"/>
      <c r="MUU14" s="108"/>
      <c r="MUV14" s="109"/>
      <c r="MUW14" s="107" t="s">
        <v>1</v>
      </c>
      <c r="MUX14" s="108"/>
      <c r="MUY14" s="108"/>
      <c r="MUZ14" s="109"/>
      <c r="MVA14" s="107" t="s">
        <v>1</v>
      </c>
      <c r="MVB14" s="108"/>
      <c r="MVC14" s="108"/>
      <c r="MVD14" s="109"/>
      <c r="MVE14" s="107" t="s">
        <v>1</v>
      </c>
      <c r="MVF14" s="108"/>
      <c r="MVG14" s="108"/>
      <c r="MVH14" s="109"/>
      <c r="MVI14" s="107" t="s">
        <v>1</v>
      </c>
      <c r="MVJ14" s="108"/>
      <c r="MVK14" s="108"/>
      <c r="MVL14" s="109"/>
      <c r="MVM14" s="107" t="s">
        <v>1</v>
      </c>
      <c r="MVN14" s="108"/>
      <c r="MVO14" s="108"/>
      <c r="MVP14" s="109"/>
      <c r="MVQ14" s="107" t="s">
        <v>1</v>
      </c>
      <c r="MVR14" s="108"/>
      <c r="MVS14" s="108"/>
      <c r="MVT14" s="109"/>
      <c r="MVU14" s="107" t="s">
        <v>1</v>
      </c>
      <c r="MVV14" s="108"/>
      <c r="MVW14" s="108"/>
      <c r="MVX14" s="109"/>
      <c r="MVY14" s="107" t="s">
        <v>1</v>
      </c>
      <c r="MVZ14" s="108"/>
      <c r="MWA14" s="108"/>
      <c r="MWB14" s="109"/>
      <c r="MWC14" s="107" t="s">
        <v>1</v>
      </c>
      <c r="MWD14" s="108"/>
      <c r="MWE14" s="108"/>
      <c r="MWF14" s="109"/>
      <c r="MWG14" s="107" t="s">
        <v>1</v>
      </c>
      <c r="MWH14" s="108"/>
      <c r="MWI14" s="108"/>
      <c r="MWJ14" s="109"/>
      <c r="MWK14" s="107" t="s">
        <v>1</v>
      </c>
      <c r="MWL14" s="108"/>
      <c r="MWM14" s="108"/>
      <c r="MWN14" s="109"/>
      <c r="MWO14" s="107" t="s">
        <v>1</v>
      </c>
      <c r="MWP14" s="108"/>
      <c r="MWQ14" s="108"/>
      <c r="MWR14" s="109"/>
      <c r="MWS14" s="107" t="s">
        <v>1</v>
      </c>
      <c r="MWT14" s="108"/>
      <c r="MWU14" s="108"/>
      <c r="MWV14" s="109"/>
      <c r="MWW14" s="107" t="s">
        <v>1</v>
      </c>
      <c r="MWX14" s="108"/>
      <c r="MWY14" s="108"/>
      <c r="MWZ14" s="109"/>
      <c r="MXA14" s="107" t="s">
        <v>1</v>
      </c>
      <c r="MXB14" s="108"/>
      <c r="MXC14" s="108"/>
      <c r="MXD14" s="109"/>
      <c r="MXE14" s="107" t="s">
        <v>1</v>
      </c>
      <c r="MXF14" s="108"/>
      <c r="MXG14" s="108"/>
      <c r="MXH14" s="109"/>
      <c r="MXI14" s="107" t="s">
        <v>1</v>
      </c>
      <c r="MXJ14" s="108"/>
      <c r="MXK14" s="108"/>
      <c r="MXL14" s="109"/>
      <c r="MXM14" s="107" t="s">
        <v>1</v>
      </c>
      <c r="MXN14" s="108"/>
      <c r="MXO14" s="108"/>
      <c r="MXP14" s="109"/>
      <c r="MXQ14" s="107" t="s">
        <v>1</v>
      </c>
      <c r="MXR14" s="108"/>
      <c r="MXS14" s="108"/>
      <c r="MXT14" s="109"/>
      <c r="MXU14" s="107" t="s">
        <v>1</v>
      </c>
      <c r="MXV14" s="108"/>
      <c r="MXW14" s="108"/>
      <c r="MXX14" s="109"/>
      <c r="MXY14" s="107" t="s">
        <v>1</v>
      </c>
      <c r="MXZ14" s="108"/>
      <c r="MYA14" s="108"/>
      <c r="MYB14" s="109"/>
      <c r="MYC14" s="107" t="s">
        <v>1</v>
      </c>
      <c r="MYD14" s="108"/>
      <c r="MYE14" s="108"/>
      <c r="MYF14" s="109"/>
      <c r="MYG14" s="107" t="s">
        <v>1</v>
      </c>
      <c r="MYH14" s="108"/>
      <c r="MYI14" s="108"/>
      <c r="MYJ14" s="109"/>
      <c r="MYK14" s="107" t="s">
        <v>1</v>
      </c>
      <c r="MYL14" s="108"/>
      <c r="MYM14" s="108"/>
      <c r="MYN14" s="109"/>
      <c r="MYO14" s="107" t="s">
        <v>1</v>
      </c>
      <c r="MYP14" s="108"/>
      <c r="MYQ14" s="108"/>
      <c r="MYR14" s="109"/>
      <c r="MYS14" s="107" t="s">
        <v>1</v>
      </c>
      <c r="MYT14" s="108"/>
      <c r="MYU14" s="108"/>
      <c r="MYV14" s="109"/>
      <c r="MYW14" s="107" t="s">
        <v>1</v>
      </c>
      <c r="MYX14" s="108"/>
      <c r="MYY14" s="108"/>
      <c r="MYZ14" s="109"/>
      <c r="MZA14" s="107" t="s">
        <v>1</v>
      </c>
      <c r="MZB14" s="108"/>
      <c r="MZC14" s="108"/>
      <c r="MZD14" s="109"/>
      <c r="MZE14" s="107" t="s">
        <v>1</v>
      </c>
      <c r="MZF14" s="108"/>
      <c r="MZG14" s="108"/>
      <c r="MZH14" s="109"/>
      <c r="MZI14" s="107" t="s">
        <v>1</v>
      </c>
      <c r="MZJ14" s="108"/>
      <c r="MZK14" s="108"/>
      <c r="MZL14" s="109"/>
      <c r="MZM14" s="107" t="s">
        <v>1</v>
      </c>
      <c r="MZN14" s="108"/>
      <c r="MZO14" s="108"/>
      <c r="MZP14" s="109"/>
      <c r="MZQ14" s="107" t="s">
        <v>1</v>
      </c>
      <c r="MZR14" s="108"/>
      <c r="MZS14" s="108"/>
      <c r="MZT14" s="109"/>
      <c r="MZU14" s="107" t="s">
        <v>1</v>
      </c>
      <c r="MZV14" s="108"/>
      <c r="MZW14" s="108"/>
      <c r="MZX14" s="109"/>
      <c r="MZY14" s="107" t="s">
        <v>1</v>
      </c>
      <c r="MZZ14" s="108"/>
      <c r="NAA14" s="108"/>
      <c r="NAB14" s="109"/>
      <c r="NAC14" s="107" t="s">
        <v>1</v>
      </c>
      <c r="NAD14" s="108"/>
      <c r="NAE14" s="108"/>
      <c r="NAF14" s="109"/>
      <c r="NAG14" s="107" t="s">
        <v>1</v>
      </c>
      <c r="NAH14" s="108"/>
      <c r="NAI14" s="108"/>
      <c r="NAJ14" s="109"/>
      <c r="NAK14" s="107" t="s">
        <v>1</v>
      </c>
      <c r="NAL14" s="108"/>
      <c r="NAM14" s="108"/>
      <c r="NAN14" s="109"/>
      <c r="NAO14" s="107" t="s">
        <v>1</v>
      </c>
      <c r="NAP14" s="108"/>
      <c r="NAQ14" s="108"/>
      <c r="NAR14" s="109"/>
      <c r="NAS14" s="107" t="s">
        <v>1</v>
      </c>
      <c r="NAT14" s="108"/>
      <c r="NAU14" s="108"/>
      <c r="NAV14" s="109"/>
      <c r="NAW14" s="107" t="s">
        <v>1</v>
      </c>
      <c r="NAX14" s="108"/>
      <c r="NAY14" s="108"/>
      <c r="NAZ14" s="109"/>
      <c r="NBA14" s="107" t="s">
        <v>1</v>
      </c>
      <c r="NBB14" s="108"/>
      <c r="NBC14" s="108"/>
      <c r="NBD14" s="109"/>
      <c r="NBE14" s="107" t="s">
        <v>1</v>
      </c>
      <c r="NBF14" s="108"/>
      <c r="NBG14" s="108"/>
      <c r="NBH14" s="109"/>
      <c r="NBI14" s="107" t="s">
        <v>1</v>
      </c>
      <c r="NBJ14" s="108"/>
      <c r="NBK14" s="108"/>
      <c r="NBL14" s="109"/>
      <c r="NBM14" s="107" t="s">
        <v>1</v>
      </c>
      <c r="NBN14" s="108"/>
      <c r="NBO14" s="108"/>
      <c r="NBP14" s="109"/>
      <c r="NBQ14" s="107" t="s">
        <v>1</v>
      </c>
      <c r="NBR14" s="108"/>
      <c r="NBS14" s="108"/>
      <c r="NBT14" s="109"/>
      <c r="NBU14" s="107" t="s">
        <v>1</v>
      </c>
      <c r="NBV14" s="108"/>
      <c r="NBW14" s="108"/>
      <c r="NBX14" s="109"/>
      <c r="NBY14" s="107" t="s">
        <v>1</v>
      </c>
      <c r="NBZ14" s="108"/>
      <c r="NCA14" s="108"/>
      <c r="NCB14" s="109"/>
      <c r="NCC14" s="107" t="s">
        <v>1</v>
      </c>
      <c r="NCD14" s="108"/>
      <c r="NCE14" s="108"/>
      <c r="NCF14" s="109"/>
      <c r="NCG14" s="107" t="s">
        <v>1</v>
      </c>
      <c r="NCH14" s="108"/>
      <c r="NCI14" s="108"/>
      <c r="NCJ14" s="109"/>
      <c r="NCK14" s="107" t="s">
        <v>1</v>
      </c>
      <c r="NCL14" s="108"/>
      <c r="NCM14" s="108"/>
      <c r="NCN14" s="109"/>
      <c r="NCO14" s="107" t="s">
        <v>1</v>
      </c>
      <c r="NCP14" s="108"/>
      <c r="NCQ14" s="108"/>
      <c r="NCR14" s="109"/>
      <c r="NCS14" s="107" t="s">
        <v>1</v>
      </c>
      <c r="NCT14" s="108"/>
      <c r="NCU14" s="108"/>
      <c r="NCV14" s="109"/>
      <c r="NCW14" s="107" t="s">
        <v>1</v>
      </c>
      <c r="NCX14" s="108"/>
      <c r="NCY14" s="108"/>
      <c r="NCZ14" s="109"/>
      <c r="NDA14" s="107" t="s">
        <v>1</v>
      </c>
      <c r="NDB14" s="108"/>
      <c r="NDC14" s="108"/>
      <c r="NDD14" s="109"/>
      <c r="NDE14" s="107" t="s">
        <v>1</v>
      </c>
      <c r="NDF14" s="108"/>
      <c r="NDG14" s="108"/>
      <c r="NDH14" s="109"/>
      <c r="NDI14" s="107" t="s">
        <v>1</v>
      </c>
      <c r="NDJ14" s="108"/>
      <c r="NDK14" s="108"/>
      <c r="NDL14" s="109"/>
      <c r="NDM14" s="107" t="s">
        <v>1</v>
      </c>
      <c r="NDN14" s="108"/>
      <c r="NDO14" s="108"/>
      <c r="NDP14" s="109"/>
      <c r="NDQ14" s="107" t="s">
        <v>1</v>
      </c>
      <c r="NDR14" s="108"/>
      <c r="NDS14" s="108"/>
      <c r="NDT14" s="109"/>
      <c r="NDU14" s="107" t="s">
        <v>1</v>
      </c>
      <c r="NDV14" s="108"/>
      <c r="NDW14" s="108"/>
      <c r="NDX14" s="109"/>
      <c r="NDY14" s="107" t="s">
        <v>1</v>
      </c>
      <c r="NDZ14" s="108"/>
      <c r="NEA14" s="108"/>
      <c r="NEB14" s="109"/>
      <c r="NEC14" s="107" t="s">
        <v>1</v>
      </c>
      <c r="NED14" s="108"/>
      <c r="NEE14" s="108"/>
      <c r="NEF14" s="109"/>
      <c r="NEG14" s="107" t="s">
        <v>1</v>
      </c>
      <c r="NEH14" s="108"/>
      <c r="NEI14" s="108"/>
      <c r="NEJ14" s="109"/>
      <c r="NEK14" s="107" t="s">
        <v>1</v>
      </c>
      <c r="NEL14" s="108"/>
      <c r="NEM14" s="108"/>
      <c r="NEN14" s="109"/>
      <c r="NEO14" s="107" t="s">
        <v>1</v>
      </c>
      <c r="NEP14" s="108"/>
      <c r="NEQ14" s="108"/>
      <c r="NER14" s="109"/>
      <c r="NES14" s="107" t="s">
        <v>1</v>
      </c>
      <c r="NET14" s="108"/>
      <c r="NEU14" s="108"/>
      <c r="NEV14" s="109"/>
      <c r="NEW14" s="107" t="s">
        <v>1</v>
      </c>
      <c r="NEX14" s="108"/>
      <c r="NEY14" s="108"/>
      <c r="NEZ14" s="109"/>
      <c r="NFA14" s="107" t="s">
        <v>1</v>
      </c>
      <c r="NFB14" s="108"/>
      <c r="NFC14" s="108"/>
      <c r="NFD14" s="109"/>
      <c r="NFE14" s="107" t="s">
        <v>1</v>
      </c>
      <c r="NFF14" s="108"/>
      <c r="NFG14" s="108"/>
      <c r="NFH14" s="109"/>
      <c r="NFI14" s="107" t="s">
        <v>1</v>
      </c>
      <c r="NFJ14" s="108"/>
      <c r="NFK14" s="108"/>
      <c r="NFL14" s="109"/>
      <c r="NFM14" s="107" t="s">
        <v>1</v>
      </c>
      <c r="NFN14" s="108"/>
      <c r="NFO14" s="108"/>
      <c r="NFP14" s="109"/>
      <c r="NFQ14" s="107" t="s">
        <v>1</v>
      </c>
      <c r="NFR14" s="108"/>
      <c r="NFS14" s="108"/>
      <c r="NFT14" s="109"/>
      <c r="NFU14" s="107" t="s">
        <v>1</v>
      </c>
      <c r="NFV14" s="108"/>
      <c r="NFW14" s="108"/>
      <c r="NFX14" s="109"/>
      <c r="NFY14" s="107" t="s">
        <v>1</v>
      </c>
      <c r="NFZ14" s="108"/>
      <c r="NGA14" s="108"/>
      <c r="NGB14" s="109"/>
      <c r="NGC14" s="107" t="s">
        <v>1</v>
      </c>
      <c r="NGD14" s="108"/>
      <c r="NGE14" s="108"/>
      <c r="NGF14" s="109"/>
      <c r="NGG14" s="107" t="s">
        <v>1</v>
      </c>
      <c r="NGH14" s="108"/>
      <c r="NGI14" s="108"/>
      <c r="NGJ14" s="109"/>
      <c r="NGK14" s="107" t="s">
        <v>1</v>
      </c>
      <c r="NGL14" s="108"/>
      <c r="NGM14" s="108"/>
      <c r="NGN14" s="109"/>
      <c r="NGO14" s="107" t="s">
        <v>1</v>
      </c>
      <c r="NGP14" s="108"/>
      <c r="NGQ14" s="108"/>
      <c r="NGR14" s="109"/>
      <c r="NGS14" s="107" t="s">
        <v>1</v>
      </c>
      <c r="NGT14" s="108"/>
      <c r="NGU14" s="108"/>
      <c r="NGV14" s="109"/>
      <c r="NGW14" s="107" t="s">
        <v>1</v>
      </c>
      <c r="NGX14" s="108"/>
      <c r="NGY14" s="108"/>
      <c r="NGZ14" s="109"/>
      <c r="NHA14" s="107" t="s">
        <v>1</v>
      </c>
      <c r="NHB14" s="108"/>
      <c r="NHC14" s="108"/>
      <c r="NHD14" s="109"/>
      <c r="NHE14" s="107" t="s">
        <v>1</v>
      </c>
      <c r="NHF14" s="108"/>
      <c r="NHG14" s="108"/>
      <c r="NHH14" s="109"/>
      <c r="NHI14" s="107" t="s">
        <v>1</v>
      </c>
      <c r="NHJ14" s="108"/>
      <c r="NHK14" s="108"/>
      <c r="NHL14" s="109"/>
      <c r="NHM14" s="107" t="s">
        <v>1</v>
      </c>
      <c r="NHN14" s="108"/>
      <c r="NHO14" s="108"/>
      <c r="NHP14" s="109"/>
      <c r="NHQ14" s="107" t="s">
        <v>1</v>
      </c>
      <c r="NHR14" s="108"/>
      <c r="NHS14" s="108"/>
      <c r="NHT14" s="109"/>
      <c r="NHU14" s="107" t="s">
        <v>1</v>
      </c>
      <c r="NHV14" s="108"/>
      <c r="NHW14" s="108"/>
      <c r="NHX14" s="109"/>
      <c r="NHY14" s="107" t="s">
        <v>1</v>
      </c>
      <c r="NHZ14" s="108"/>
      <c r="NIA14" s="108"/>
      <c r="NIB14" s="109"/>
      <c r="NIC14" s="107" t="s">
        <v>1</v>
      </c>
      <c r="NID14" s="108"/>
      <c r="NIE14" s="108"/>
      <c r="NIF14" s="109"/>
      <c r="NIG14" s="107" t="s">
        <v>1</v>
      </c>
      <c r="NIH14" s="108"/>
      <c r="NII14" s="108"/>
      <c r="NIJ14" s="109"/>
      <c r="NIK14" s="107" t="s">
        <v>1</v>
      </c>
      <c r="NIL14" s="108"/>
      <c r="NIM14" s="108"/>
      <c r="NIN14" s="109"/>
      <c r="NIO14" s="107" t="s">
        <v>1</v>
      </c>
      <c r="NIP14" s="108"/>
      <c r="NIQ14" s="108"/>
      <c r="NIR14" s="109"/>
      <c r="NIS14" s="107" t="s">
        <v>1</v>
      </c>
      <c r="NIT14" s="108"/>
      <c r="NIU14" s="108"/>
      <c r="NIV14" s="109"/>
      <c r="NIW14" s="107" t="s">
        <v>1</v>
      </c>
      <c r="NIX14" s="108"/>
      <c r="NIY14" s="108"/>
      <c r="NIZ14" s="109"/>
      <c r="NJA14" s="107" t="s">
        <v>1</v>
      </c>
      <c r="NJB14" s="108"/>
      <c r="NJC14" s="108"/>
      <c r="NJD14" s="109"/>
      <c r="NJE14" s="107" t="s">
        <v>1</v>
      </c>
      <c r="NJF14" s="108"/>
      <c r="NJG14" s="108"/>
      <c r="NJH14" s="109"/>
      <c r="NJI14" s="107" t="s">
        <v>1</v>
      </c>
      <c r="NJJ14" s="108"/>
      <c r="NJK14" s="108"/>
      <c r="NJL14" s="109"/>
      <c r="NJM14" s="107" t="s">
        <v>1</v>
      </c>
      <c r="NJN14" s="108"/>
      <c r="NJO14" s="108"/>
      <c r="NJP14" s="109"/>
      <c r="NJQ14" s="107" t="s">
        <v>1</v>
      </c>
      <c r="NJR14" s="108"/>
      <c r="NJS14" s="108"/>
      <c r="NJT14" s="109"/>
      <c r="NJU14" s="107" t="s">
        <v>1</v>
      </c>
      <c r="NJV14" s="108"/>
      <c r="NJW14" s="108"/>
      <c r="NJX14" s="109"/>
      <c r="NJY14" s="107" t="s">
        <v>1</v>
      </c>
      <c r="NJZ14" s="108"/>
      <c r="NKA14" s="108"/>
      <c r="NKB14" s="109"/>
      <c r="NKC14" s="107" t="s">
        <v>1</v>
      </c>
      <c r="NKD14" s="108"/>
      <c r="NKE14" s="108"/>
      <c r="NKF14" s="109"/>
      <c r="NKG14" s="107" t="s">
        <v>1</v>
      </c>
      <c r="NKH14" s="108"/>
      <c r="NKI14" s="108"/>
      <c r="NKJ14" s="109"/>
      <c r="NKK14" s="107" t="s">
        <v>1</v>
      </c>
      <c r="NKL14" s="108"/>
      <c r="NKM14" s="108"/>
      <c r="NKN14" s="109"/>
      <c r="NKO14" s="107" t="s">
        <v>1</v>
      </c>
      <c r="NKP14" s="108"/>
      <c r="NKQ14" s="108"/>
      <c r="NKR14" s="109"/>
      <c r="NKS14" s="107" t="s">
        <v>1</v>
      </c>
      <c r="NKT14" s="108"/>
      <c r="NKU14" s="108"/>
      <c r="NKV14" s="109"/>
      <c r="NKW14" s="107" t="s">
        <v>1</v>
      </c>
      <c r="NKX14" s="108"/>
      <c r="NKY14" s="108"/>
      <c r="NKZ14" s="109"/>
      <c r="NLA14" s="107" t="s">
        <v>1</v>
      </c>
      <c r="NLB14" s="108"/>
      <c r="NLC14" s="108"/>
      <c r="NLD14" s="109"/>
      <c r="NLE14" s="107" t="s">
        <v>1</v>
      </c>
      <c r="NLF14" s="108"/>
      <c r="NLG14" s="108"/>
      <c r="NLH14" s="109"/>
      <c r="NLI14" s="107" t="s">
        <v>1</v>
      </c>
      <c r="NLJ14" s="108"/>
      <c r="NLK14" s="108"/>
      <c r="NLL14" s="109"/>
      <c r="NLM14" s="107" t="s">
        <v>1</v>
      </c>
      <c r="NLN14" s="108"/>
      <c r="NLO14" s="108"/>
      <c r="NLP14" s="109"/>
      <c r="NLQ14" s="107" t="s">
        <v>1</v>
      </c>
      <c r="NLR14" s="108"/>
      <c r="NLS14" s="108"/>
      <c r="NLT14" s="109"/>
      <c r="NLU14" s="107" t="s">
        <v>1</v>
      </c>
      <c r="NLV14" s="108"/>
      <c r="NLW14" s="108"/>
      <c r="NLX14" s="109"/>
      <c r="NLY14" s="107" t="s">
        <v>1</v>
      </c>
      <c r="NLZ14" s="108"/>
      <c r="NMA14" s="108"/>
      <c r="NMB14" s="109"/>
      <c r="NMC14" s="107" t="s">
        <v>1</v>
      </c>
      <c r="NMD14" s="108"/>
      <c r="NME14" s="108"/>
      <c r="NMF14" s="109"/>
      <c r="NMG14" s="107" t="s">
        <v>1</v>
      </c>
      <c r="NMH14" s="108"/>
      <c r="NMI14" s="108"/>
      <c r="NMJ14" s="109"/>
      <c r="NMK14" s="107" t="s">
        <v>1</v>
      </c>
      <c r="NML14" s="108"/>
      <c r="NMM14" s="108"/>
      <c r="NMN14" s="109"/>
      <c r="NMO14" s="107" t="s">
        <v>1</v>
      </c>
      <c r="NMP14" s="108"/>
      <c r="NMQ14" s="108"/>
      <c r="NMR14" s="109"/>
      <c r="NMS14" s="107" t="s">
        <v>1</v>
      </c>
      <c r="NMT14" s="108"/>
      <c r="NMU14" s="108"/>
      <c r="NMV14" s="109"/>
      <c r="NMW14" s="107" t="s">
        <v>1</v>
      </c>
      <c r="NMX14" s="108"/>
      <c r="NMY14" s="108"/>
      <c r="NMZ14" s="109"/>
      <c r="NNA14" s="107" t="s">
        <v>1</v>
      </c>
      <c r="NNB14" s="108"/>
      <c r="NNC14" s="108"/>
      <c r="NND14" s="109"/>
      <c r="NNE14" s="107" t="s">
        <v>1</v>
      </c>
      <c r="NNF14" s="108"/>
      <c r="NNG14" s="108"/>
      <c r="NNH14" s="109"/>
      <c r="NNI14" s="107" t="s">
        <v>1</v>
      </c>
      <c r="NNJ14" s="108"/>
      <c r="NNK14" s="108"/>
      <c r="NNL14" s="109"/>
      <c r="NNM14" s="107" t="s">
        <v>1</v>
      </c>
      <c r="NNN14" s="108"/>
      <c r="NNO14" s="108"/>
      <c r="NNP14" s="109"/>
      <c r="NNQ14" s="107" t="s">
        <v>1</v>
      </c>
      <c r="NNR14" s="108"/>
      <c r="NNS14" s="108"/>
      <c r="NNT14" s="109"/>
      <c r="NNU14" s="107" t="s">
        <v>1</v>
      </c>
      <c r="NNV14" s="108"/>
      <c r="NNW14" s="108"/>
      <c r="NNX14" s="109"/>
      <c r="NNY14" s="107" t="s">
        <v>1</v>
      </c>
      <c r="NNZ14" s="108"/>
      <c r="NOA14" s="108"/>
      <c r="NOB14" s="109"/>
      <c r="NOC14" s="107" t="s">
        <v>1</v>
      </c>
      <c r="NOD14" s="108"/>
      <c r="NOE14" s="108"/>
      <c r="NOF14" s="109"/>
      <c r="NOG14" s="107" t="s">
        <v>1</v>
      </c>
      <c r="NOH14" s="108"/>
      <c r="NOI14" s="108"/>
      <c r="NOJ14" s="109"/>
      <c r="NOK14" s="107" t="s">
        <v>1</v>
      </c>
      <c r="NOL14" s="108"/>
      <c r="NOM14" s="108"/>
      <c r="NON14" s="109"/>
      <c r="NOO14" s="107" t="s">
        <v>1</v>
      </c>
      <c r="NOP14" s="108"/>
      <c r="NOQ14" s="108"/>
      <c r="NOR14" s="109"/>
      <c r="NOS14" s="107" t="s">
        <v>1</v>
      </c>
      <c r="NOT14" s="108"/>
      <c r="NOU14" s="108"/>
      <c r="NOV14" s="109"/>
      <c r="NOW14" s="107" t="s">
        <v>1</v>
      </c>
      <c r="NOX14" s="108"/>
      <c r="NOY14" s="108"/>
      <c r="NOZ14" s="109"/>
      <c r="NPA14" s="107" t="s">
        <v>1</v>
      </c>
      <c r="NPB14" s="108"/>
      <c r="NPC14" s="108"/>
      <c r="NPD14" s="109"/>
      <c r="NPE14" s="107" t="s">
        <v>1</v>
      </c>
      <c r="NPF14" s="108"/>
      <c r="NPG14" s="108"/>
      <c r="NPH14" s="109"/>
      <c r="NPI14" s="107" t="s">
        <v>1</v>
      </c>
      <c r="NPJ14" s="108"/>
      <c r="NPK14" s="108"/>
      <c r="NPL14" s="109"/>
      <c r="NPM14" s="107" t="s">
        <v>1</v>
      </c>
      <c r="NPN14" s="108"/>
      <c r="NPO14" s="108"/>
      <c r="NPP14" s="109"/>
      <c r="NPQ14" s="107" t="s">
        <v>1</v>
      </c>
      <c r="NPR14" s="108"/>
      <c r="NPS14" s="108"/>
      <c r="NPT14" s="109"/>
      <c r="NPU14" s="107" t="s">
        <v>1</v>
      </c>
      <c r="NPV14" s="108"/>
      <c r="NPW14" s="108"/>
      <c r="NPX14" s="109"/>
      <c r="NPY14" s="107" t="s">
        <v>1</v>
      </c>
      <c r="NPZ14" s="108"/>
      <c r="NQA14" s="108"/>
      <c r="NQB14" s="109"/>
      <c r="NQC14" s="107" t="s">
        <v>1</v>
      </c>
      <c r="NQD14" s="108"/>
      <c r="NQE14" s="108"/>
      <c r="NQF14" s="109"/>
      <c r="NQG14" s="107" t="s">
        <v>1</v>
      </c>
      <c r="NQH14" s="108"/>
      <c r="NQI14" s="108"/>
      <c r="NQJ14" s="109"/>
      <c r="NQK14" s="107" t="s">
        <v>1</v>
      </c>
      <c r="NQL14" s="108"/>
      <c r="NQM14" s="108"/>
      <c r="NQN14" s="109"/>
      <c r="NQO14" s="107" t="s">
        <v>1</v>
      </c>
      <c r="NQP14" s="108"/>
      <c r="NQQ14" s="108"/>
      <c r="NQR14" s="109"/>
      <c r="NQS14" s="107" t="s">
        <v>1</v>
      </c>
      <c r="NQT14" s="108"/>
      <c r="NQU14" s="108"/>
      <c r="NQV14" s="109"/>
      <c r="NQW14" s="107" t="s">
        <v>1</v>
      </c>
      <c r="NQX14" s="108"/>
      <c r="NQY14" s="108"/>
      <c r="NQZ14" s="109"/>
      <c r="NRA14" s="107" t="s">
        <v>1</v>
      </c>
      <c r="NRB14" s="108"/>
      <c r="NRC14" s="108"/>
      <c r="NRD14" s="109"/>
      <c r="NRE14" s="107" t="s">
        <v>1</v>
      </c>
      <c r="NRF14" s="108"/>
      <c r="NRG14" s="108"/>
      <c r="NRH14" s="109"/>
      <c r="NRI14" s="107" t="s">
        <v>1</v>
      </c>
      <c r="NRJ14" s="108"/>
      <c r="NRK14" s="108"/>
      <c r="NRL14" s="109"/>
      <c r="NRM14" s="107" t="s">
        <v>1</v>
      </c>
      <c r="NRN14" s="108"/>
      <c r="NRO14" s="108"/>
      <c r="NRP14" s="109"/>
      <c r="NRQ14" s="107" t="s">
        <v>1</v>
      </c>
      <c r="NRR14" s="108"/>
      <c r="NRS14" s="108"/>
      <c r="NRT14" s="109"/>
      <c r="NRU14" s="107" t="s">
        <v>1</v>
      </c>
      <c r="NRV14" s="108"/>
      <c r="NRW14" s="108"/>
      <c r="NRX14" s="109"/>
      <c r="NRY14" s="107" t="s">
        <v>1</v>
      </c>
      <c r="NRZ14" s="108"/>
      <c r="NSA14" s="108"/>
      <c r="NSB14" s="109"/>
      <c r="NSC14" s="107" t="s">
        <v>1</v>
      </c>
      <c r="NSD14" s="108"/>
      <c r="NSE14" s="108"/>
      <c r="NSF14" s="109"/>
      <c r="NSG14" s="107" t="s">
        <v>1</v>
      </c>
      <c r="NSH14" s="108"/>
      <c r="NSI14" s="108"/>
      <c r="NSJ14" s="109"/>
      <c r="NSK14" s="107" t="s">
        <v>1</v>
      </c>
      <c r="NSL14" s="108"/>
      <c r="NSM14" s="108"/>
      <c r="NSN14" s="109"/>
      <c r="NSO14" s="107" t="s">
        <v>1</v>
      </c>
      <c r="NSP14" s="108"/>
      <c r="NSQ14" s="108"/>
      <c r="NSR14" s="109"/>
      <c r="NSS14" s="107" t="s">
        <v>1</v>
      </c>
      <c r="NST14" s="108"/>
      <c r="NSU14" s="108"/>
      <c r="NSV14" s="109"/>
      <c r="NSW14" s="107" t="s">
        <v>1</v>
      </c>
      <c r="NSX14" s="108"/>
      <c r="NSY14" s="108"/>
      <c r="NSZ14" s="109"/>
      <c r="NTA14" s="107" t="s">
        <v>1</v>
      </c>
      <c r="NTB14" s="108"/>
      <c r="NTC14" s="108"/>
      <c r="NTD14" s="109"/>
      <c r="NTE14" s="107" t="s">
        <v>1</v>
      </c>
      <c r="NTF14" s="108"/>
      <c r="NTG14" s="108"/>
      <c r="NTH14" s="109"/>
      <c r="NTI14" s="107" t="s">
        <v>1</v>
      </c>
      <c r="NTJ14" s="108"/>
      <c r="NTK14" s="108"/>
      <c r="NTL14" s="109"/>
      <c r="NTM14" s="107" t="s">
        <v>1</v>
      </c>
      <c r="NTN14" s="108"/>
      <c r="NTO14" s="108"/>
      <c r="NTP14" s="109"/>
      <c r="NTQ14" s="107" t="s">
        <v>1</v>
      </c>
      <c r="NTR14" s="108"/>
      <c r="NTS14" s="108"/>
      <c r="NTT14" s="109"/>
      <c r="NTU14" s="107" t="s">
        <v>1</v>
      </c>
      <c r="NTV14" s="108"/>
      <c r="NTW14" s="108"/>
      <c r="NTX14" s="109"/>
      <c r="NTY14" s="107" t="s">
        <v>1</v>
      </c>
      <c r="NTZ14" s="108"/>
      <c r="NUA14" s="108"/>
      <c r="NUB14" s="109"/>
      <c r="NUC14" s="107" t="s">
        <v>1</v>
      </c>
      <c r="NUD14" s="108"/>
      <c r="NUE14" s="108"/>
      <c r="NUF14" s="109"/>
      <c r="NUG14" s="107" t="s">
        <v>1</v>
      </c>
      <c r="NUH14" s="108"/>
      <c r="NUI14" s="108"/>
      <c r="NUJ14" s="109"/>
      <c r="NUK14" s="107" t="s">
        <v>1</v>
      </c>
      <c r="NUL14" s="108"/>
      <c r="NUM14" s="108"/>
      <c r="NUN14" s="109"/>
      <c r="NUO14" s="107" t="s">
        <v>1</v>
      </c>
      <c r="NUP14" s="108"/>
      <c r="NUQ14" s="108"/>
      <c r="NUR14" s="109"/>
      <c r="NUS14" s="107" t="s">
        <v>1</v>
      </c>
      <c r="NUT14" s="108"/>
      <c r="NUU14" s="108"/>
      <c r="NUV14" s="109"/>
      <c r="NUW14" s="107" t="s">
        <v>1</v>
      </c>
      <c r="NUX14" s="108"/>
      <c r="NUY14" s="108"/>
      <c r="NUZ14" s="109"/>
      <c r="NVA14" s="107" t="s">
        <v>1</v>
      </c>
      <c r="NVB14" s="108"/>
      <c r="NVC14" s="108"/>
      <c r="NVD14" s="109"/>
      <c r="NVE14" s="107" t="s">
        <v>1</v>
      </c>
      <c r="NVF14" s="108"/>
      <c r="NVG14" s="108"/>
      <c r="NVH14" s="109"/>
      <c r="NVI14" s="107" t="s">
        <v>1</v>
      </c>
      <c r="NVJ14" s="108"/>
      <c r="NVK14" s="108"/>
      <c r="NVL14" s="109"/>
      <c r="NVM14" s="107" t="s">
        <v>1</v>
      </c>
      <c r="NVN14" s="108"/>
      <c r="NVO14" s="108"/>
      <c r="NVP14" s="109"/>
      <c r="NVQ14" s="107" t="s">
        <v>1</v>
      </c>
      <c r="NVR14" s="108"/>
      <c r="NVS14" s="108"/>
      <c r="NVT14" s="109"/>
      <c r="NVU14" s="107" t="s">
        <v>1</v>
      </c>
      <c r="NVV14" s="108"/>
      <c r="NVW14" s="108"/>
      <c r="NVX14" s="109"/>
      <c r="NVY14" s="107" t="s">
        <v>1</v>
      </c>
      <c r="NVZ14" s="108"/>
      <c r="NWA14" s="108"/>
      <c r="NWB14" s="109"/>
      <c r="NWC14" s="107" t="s">
        <v>1</v>
      </c>
      <c r="NWD14" s="108"/>
      <c r="NWE14" s="108"/>
      <c r="NWF14" s="109"/>
      <c r="NWG14" s="107" t="s">
        <v>1</v>
      </c>
      <c r="NWH14" s="108"/>
      <c r="NWI14" s="108"/>
      <c r="NWJ14" s="109"/>
      <c r="NWK14" s="107" t="s">
        <v>1</v>
      </c>
      <c r="NWL14" s="108"/>
      <c r="NWM14" s="108"/>
      <c r="NWN14" s="109"/>
      <c r="NWO14" s="107" t="s">
        <v>1</v>
      </c>
      <c r="NWP14" s="108"/>
      <c r="NWQ14" s="108"/>
      <c r="NWR14" s="109"/>
      <c r="NWS14" s="107" t="s">
        <v>1</v>
      </c>
      <c r="NWT14" s="108"/>
      <c r="NWU14" s="108"/>
      <c r="NWV14" s="109"/>
      <c r="NWW14" s="107" t="s">
        <v>1</v>
      </c>
      <c r="NWX14" s="108"/>
      <c r="NWY14" s="108"/>
      <c r="NWZ14" s="109"/>
      <c r="NXA14" s="107" t="s">
        <v>1</v>
      </c>
      <c r="NXB14" s="108"/>
      <c r="NXC14" s="108"/>
      <c r="NXD14" s="109"/>
      <c r="NXE14" s="107" t="s">
        <v>1</v>
      </c>
      <c r="NXF14" s="108"/>
      <c r="NXG14" s="108"/>
      <c r="NXH14" s="109"/>
      <c r="NXI14" s="107" t="s">
        <v>1</v>
      </c>
      <c r="NXJ14" s="108"/>
      <c r="NXK14" s="108"/>
      <c r="NXL14" s="109"/>
      <c r="NXM14" s="107" t="s">
        <v>1</v>
      </c>
      <c r="NXN14" s="108"/>
      <c r="NXO14" s="108"/>
      <c r="NXP14" s="109"/>
      <c r="NXQ14" s="107" t="s">
        <v>1</v>
      </c>
      <c r="NXR14" s="108"/>
      <c r="NXS14" s="108"/>
      <c r="NXT14" s="109"/>
      <c r="NXU14" s="107" t="s">
        <v>1</v>
      </c>
      <c r="NXV14" s="108"/>
      <c r="NXW14" s="108"/>
      <c r="NXX14" s="109"/>
      <c r="NXY14" s="107" t="s">
        <v>1</v>
      </c>
      <c r="NXZ14" s="108"/>
      <c r="NYA14" s="108"/>
      <c r="NYB14" s="109"/>
      <c r="NYC14" s="107" t="s">
        <v>1</v>
      </c>
      <c r="NYD14" s="108"/>
      <c r="NYE14" s="108"/>
      <c r="NYF14" s="109"/>
      <c r="NYG14" s="107" t="s">
        <v>1</v>
      </c>
      <c r="NYH14" s="108"/>
      <c r="NYI14" s="108"/>
      <c r="NYJ14" s="109"/>
      <c r="NYK14" s="107" t="s">
        <v>1</v>
      </c>
      <c r="NYL14" s="108"/>
      <c r="NYM14" s="108"/>
      <c r="NYN14" s="109"/>
      <c r="NYO14" s="107" t="s">
        <v>1</v>
      </c>
      <c r="NYP14" s="108"/>
      <c r="NYQ14" s="108"/>
      <c r="NYR14" s="109"/>
      <c r="NYS14" s="107" t="s">
        <v>1</v>
      </c>
      <c r="NYT14" s="108"/>
      <c r="NYU14" s="108"/>
      <c r="NYV14" s="109"/>
      <c r="NYW14" s="107" t="s">
        <v>1</v>
      </c>
      <c r="NYX14" s="108"/>
      <c r="NYY14" s="108"/>
      <c r="NYZ14" s="109"/>
      <c r="NZA14" s="107" t="s">
        <v>1</v>
      </c>
      <c r="NZB14" s="108"/>
      <c r="NZC14" s="108"/>
      <c r="NZD14" s="109"/>
      <c r="NZE14" s="107" t="s">
        <v>1</v>
      </c>
      <c r="NZF14" s="108"/>
      <c r="NZG14" s="108"/>
      <c r="NZH14" s="109"/>
      <c r="NZI14" s="107" t="s">
        <v>1</v>
      </c>
      <c r="NZJ14" s="108"/>
      <c r="NZK14" s="108"/>
      <c r="NZL14" s="109"/>
      <c r="NZM14" s="107" t="s">
        <v>1</v>
      </c>
      <c r="NZN14" s="108"/>
      <c r="NZO14" s="108"/>
      <c r="NZP14" s="109"/>
      <c r="NZQ14" s="107" t="s">
        <v>1</v>
      </c>
      <c r="NZR14" s="108"/>
      <c r="NZS14" s="108"/>
      <c r="NZT14" s="109"/>
      <c r="NZU14" s="107" t="s">
        <v>1</v>
      </c>
      <c r="NZV14" s="108"/>
      <c r="NZW14" s="108"/>
      <c r="NZX14" s="109"/>
      <c r="NZY14" s="107" t="s">
        <v>1</v>
      </c>
      <c r="NZZ14" s="108"/>
      <c r="OAA14" s="108"/>
      <c r="OAB14" s="109"/>
      <c r="OAC14" s="107" t="s">
        <v>1</v>
      </c>
      <c r="OAD14" s="108"/>
      <c r="OAE14" s="108"/>
      <c r="OAF14" s="109"/>
      <c r="OAG14" s="107" t="s">
        <v>1</v>
      </c>
      <c r="OAH14" s="108"/>
      <c r="OAI14" s="108"/>
      <c r="OAJ14" s="109"/>
      <c r="OAK14" s="107" t="s">
        <v>1</v>
      </c>
      <c r="OAL14" s="108"/>
      <c r="OAM14" s="108"/>
      <c r="OAN14" s="109"/>
      <c r="OAO14" s="107" t="s">
        <v>1</v>
      </c>
      <c r="OAP14" s="108"/>
      <c r="OAQ14" s="108"/>
      <c r="OAR14" s="109"/>
      <c r="OAS14" s="107" t="s">
        <v>1</v>
      </c>
      <c r="OAT14" s="108"/>
      <c r="OAU14" s="108"/>
      <c r="OAV14" s="109"/>
      <c r="OAW14" s="107" t="s">
        <v>1</v>
      </c>
      <c r="OAX14" s="108"/>
      <c r="OAY14" s="108"/>
      <c r="OAZ14" s="109"/>
      <c r="OBA14" s="107" t="s">
        <v>1</v>
      </c>
      <c r="OBB14" s="108"/>
      <c r="OBC14" s="108"/>
      <c r="OBD14" s="109"/>
      <c r="OBE14" s="107" t="s">
        <v>1</v>
      </c>
      <c r="OBF14" s="108"/>
      <c r="OBG14" s="108"/>
      <c r="OBH14" s="109"/>
      <c r="OBI14" s="107" t="s">
        <v>1</v>
      </c>
      <c r="OBJ14" s="108"/>
      <c r="OBK14" s="108"/>
      <c r="OBL14" s="109"/>
      <c r="OBM14" s="107" t="s">
        <v>1</v>
      </c>
      <c r="OBN14" s="108"/>
      <c r="OBO14" s="108"/>
      <c r="OBP14" s="109"/>
      <c r="OBQ14" s="107" t="s">
        <v>1</v>
      </c>
      <c r="OBR14" s="108"/>
      <c r="OBS14" s="108"/>
      <c r="OBT14" s="109"/>
      <c r="OBU14" s="107" t="s">
        <v>1</v>
      </c>
      <c r="OBV14" s="108"/>
      <c r="OBW14" s="108"/>
      <c r="OBX14" s="109"/>
      <c r="OBY14" s="107" t="s">
        <v>1</v>
      </c>
      <c r="OBZ14" s="108"/>
      <c r="OCA14" s="108"/>
      <c r="OCB14" s="109"/>
      <c r="OCC14" s="107" t="s">
        <v>1</v>
      </c>
      <c r="OCD14" s="108"/>
      <c r="OCE14" s="108"/>
      <c r="OCF14" s="109"/>
      <c r="OCG14" s="107" t="s">
        <v>1</v>
      </c>
      <c r="OCH14" s="108"/>
      <c r="OCI14" s="108"/>
      <c r="OCJ14" s="109"/>
      <c r="OCK14" s="107" t="s">
        <v>1</v>
      </c>
      <c r="OCL14" s="108"/>
      <c r="OCM14" s="108"/>
      <c r="OCN14" s="109"/>
      <c r="OCO14" s="107" t="s">
        <v>1</v>
      </c>
      <c r="OCP14" s="108"/>
      <c r="OCQ14" s="108"/>
      <c r="OCR14" s="109"/>
      <c r="OCS14" s="107" t="s">
        <v>1</v>
      </c>
      <c r="OCT14" s="108"/>
      <c r="OCU14" s="108"/>
      <c r="OCV14" s="109"/>
      <c r="OCW14" s="107" t="s">
        <v>1</v>
      </c>
      <c r="OCX14" s="108"/>
      <c r="OCY14" s="108"/>
      <c r="OCZ14" s="109"/>
      <c r="ODA14" s="107" t="s">
        <v>1</v>
      </c>
      <c r="ODB14" s="108"/>
      <c r="ODC14" s="108"/>
      <c r="ODD14" s="109"/>
      <c r="ODE14" s="107" t="s">
        <v>1</v>
      </c>
      <c r="ODF14" s="108"/>
      <c r="ODG14" s="108"/>
      <c r="ODH14" s="109"/>
      <c r="ODI14" s="107" t="s">
        <v>1</v>
      </c>
      <c r="ODJ14" s="108"/>
      <c r="ODK14" s="108"/>
      <c r="ODL14" s="109"/>
      <c r="ODM14" s="107" t="s">
        <v>1</v>
      </c>
      <c r="ODN14" s="108"/>
      <c r="ODO14" s="108"/>
      <c r="ODP14" s="109"/>
      <c r="ODQ14" s="107" t="s">
        <v>1</v>
      </c>
      <c r="ODR14" s="108"/>
      <c r="ODS14" s="108"/>
      <c r="ODT14" s="109"/>
      <c r="ODU14" s="107" t="s">
        <v>1</v>
      </c>
      <c r="ODV14" s="108"/>
      <c r="ODW14" s="108"/>
      <c r="ODX14" s="109"/>
      <c r="ODY14" s="107" t="s">
        <v>1</v>
      </c>
      <c r="ODZ14" s="108"/>
      <c r="OEA14" s="108"/>
      <c r="OEB14" s="109"/>
      <c r="OEC14" s="107" t="s">
        <v>1</v>
      </c>
      <c r="OED14" s="108"/>
      <c r="OEE14" s="108"/>
      <c r="OEF14" s="109"/>
      <c r="OEG14" s="107" t="s">
        <v>1</v>
      </c>
      <c r="OEH14" s="108"/>
      <c r="OEI14" s="108"/>
      <c r="OEJ14" s="109"/>
      <c r="OEK14" s="107" t="s">
        <v>1</v>
      </c>
      <c r="OEL14" s="108"/>
      <c r="OEM14" s="108"/>
      <c r="OEN14" s="109"/>
      <c r="OEO14" s="107" t="s">
        <v>1</v>
      </c>
      <c r="OEP14" s="108"/>
      <c r="OEQ14" s="108"/>
      <c r="OER14" s="109"/>
      <c r="OES14" s="107" t="s">
        <v>1</v>
      </c>
      <c r="OET14" s="108"/>
      <c r="OEU14" s="108"/>
      <c r="OEV14" s="109"/>
      <c r="OEW14" s="107" t="s">
        <v>1</v>
      </c>
      <c r="OEX14" s="108"/>
      <c r="OEY14" s="108"/>
      <c r="OEZ14" s="109"/>
      <c r="OFA14" s="107" t="s">
        <v>1</v>
      </c>
      <c r="OFB14" s="108"/>
      <c r="OFC14" s="108"/>
      <c r="OFD14" s="109"/>
      <c r="OFE14" s="107" t="s">
        <v>1</v>
      </c>
      <c r="OFF14" s="108"/>
      <c r="OFG14" s="108"/>
      <c r="OFH14" s="109"/>
      <c r="OFI14" s="107" t="s">
        <v>1</v>
      </c>
      <c r="OFJ14" s="108"/>
      <c r="OFK14" s="108"/>
      <c r="OFL14" s="109"/>
      <c r="OFM14" s="107" t="s">
        <v>1</v>
      </c>
      <c r="OFN14" s="108"/>
      <c r="OFO14" s="108"/>
      <c r="OFP14" s="109"/>
      <c r="OFQ14" s="107" t="s">
        <v>1</v>
      </c>
      <c r="OFR14" s="108"/>
      <c r="OFS14" s="108"/>
      <c r="OFT14" s="109"/>
      <c r="OFU14" s="107" t="s">
        <v>1</v>
      </c>
      <c r="OFV14" s="108"/>
      <c r="OFW14" s="108"/>
      <c r="OFX14" s="109"/>
      <c r="OFY14" s="107" t="s">
        <v>1</v>
      </c>
      <c r="OFZ14" s="108"/>
      <c r="OGA14" s="108"/>
      <c r="OGB14" s="109"/>
      <c r="OGC14" s="107" t="s">
        <v>1</v>
      </c>
      <c r="OGD14" s="108"/>
      <c r="OGE14" s="108"/>
      <c r="OGF14" s="109"/>
      <c r="OGG14" s="107" t="s">
        <v>1</v>
      </c>
      <c r="OGH14" s="108"/>
      <c r="OGI14" s="108"/>
      <c r="OGJ14" s="109"/>
      <c r="OGK14" s="107" t="s">
        <v>1</v>
      </c>
      <c r="OGL14" s="108"/>
      <c r="OGM14" s="108"/>
      <c r="OGN14" s="109"/>
      <c r="OGO14" s="107" t="s">
        <v>1</v>
      </c>
      <c r="OGP14" s="108"/>
      <c r="OGQ14" s="108"/>
      <c r="OGR14" s="109"/>
      <c r="OGS14" s="107" t="s">
        <v>1</v>
      </c>
      <c r="OGT14" s="108"/>
      <c r="OGU14" s="108"/>
      <c r="OGV14" s="109"/>
      <c r="OGW14" s="107" t="s">
        <v>1</v>
      </c>
      <c r="OGX14" s="108"/>
      <c r="OGY14" s="108"/>
      <c r="OGZ14" s="109"/>
      <c r="OHA14" s="107" t="s">
        <v>1</v>
      </c>
      <c r="OHB14" s="108"/>
      <c r="OHC14" s="108"/>
      <c r="OHD14" s="109"/>
      <c r="OHE14" s="107" t="s">
        <v>1</v>
      </c>
      <c r="OHF14" s="108"/>
      <c r="OHG14" s="108"/>
      <c r="OHH14" s="109"/>
      <c r="OHI14" s="107" t="s">
        <v>1</v>
      </c>
      <c r="OHJ14" s="108"/>
      <c r="OHK14" s="108"/>
      <c r="OHL14" s="109"/>
      <c r="OHM14" s="107" t="s">
        <v>1</v>
      </c>
      <c r="OHN14" s="108"/>
      <c r="OHO14" s="108"/>
      <c r="OHP14" s="109"/>
      <c r="OHQ14" s="107" t="s">
        <v>1</v>
      </c>
      <c r="OHR14" s="108"/>
      <c r="OHS14" s="108"/>
      <c r="OHT14" s="109"/>
      <c r="OHU14" s="107" t="s">
        <v>1</v>
      </c>
      <c r="OHV14" s="108"/>
      <c r="OHW14" s="108"/>
      <c r="OHX14" s="109"/>
      <c r="OHY14" s="107" t="s">
        <v>1</v>
      </c>
      <c r="OHZ14" s="108"/>
      <c r="OIA14" s="108"/>
      <c r="OIB14" s="109"/>
      <c r="OIC14" s="107" t="s">
        <v>1</v>
      </c>
      <c r="OID14" s="108"/>
      <c r="OIE14" s="108"/>
      <c r="OIF14" s="109"/>
      <c r="OIG14" s="107" t="s">
        <v>1</v>
      </c>
      <c r="OIH14" s="108"/>
      <c r="OII14" s="108"/>
      <c r="OIJ14" s="109"/>
      <c r="OIK14" s="107" t="s">
        <v>1</v>
      </c>
      <c r="OIL14" s="108"/>
      <c r="OIM14" s="108"/>
      <c r="OIN14" s="109"/>
      <c r="OIO14" s="107" t="s">
        <v>1</v>
      </c>
      <c r="OIP14" s="108"/>
      <c r="OIQ14" s="108"/>
      <c r="OIR14" s="109"/>
      <c r="OIS14" s="107" t="s">
        <v>1</v>
      </c>
      <c r="OIT14" s="108"/>
      <c r="OIU14" s="108"/>
      <c r="OIV14" s="109"/>
      <c r="OIW14" s="107" t="s">
        <v>1</v>
      </c>
      <c r="OIX14" s="108"/>
      <c r="OIY14" s="108"/>
      <c r="OIZ14" s="109"/>
      <c r="OJA14" s="107" t="s">
        <v>1</v>
      </c>
      <c r="OJB14" s="108"/>
      <c r="OJC14" s="108"/>
      <c r="OJD14" s="109"/>
      <c r="OJE14" s="107" t="s">
        <v>1</v>
      </c>
      <c r="OJF14" s="108"/>
      <c r="OJG14" s="108"/>
      <c r="OJH14" s="109"/>
      <c r="OJI14" s="107" t="s">
        <v>1</v>
      </c>
      <c r="OJJ14" s="108"/>
      <c r="OJK14" s="108"/>
      <c r="OJL14" s="109"/>
      <c r="OJM14" s="107" t="s">
        <v>1</v>
      </c>
      <c r="OJN14" s="108"/>
      <c r="OJO14" s="108"/>
      <c r="OJP14" s="109"/>
      <c r="OJQ14" s="107" t="s">
        <v>1</v>
      </c>
      <c r="OJR14" s="108"/>
      <c r="OJS14" s="108"/>
      <c r="OJT14" s="109"/>
      <c r="OJU14" s="107" t="s">
        <v>1</v>
      </c>
      <c r="OJV14" s="108"/>
      <c r="OJW14" s="108"/>
      <c r="OJX14" s="109"/>
      <c r="OJY14" s="107" t="s">
        <v>1</v>
      </c>
      <c r="OJZ14" s="108"/>
      <c r="OKA14" s="108"/>
      <c r="OKB14" s="109"/>
      <c r="OKC14" s="107" t="s">
        <v>1</v>
      </c>
      <c r="OKD14" s="108"/>
      <c r="OKE14" s="108"/>
      <c r="OKF14" s="109"/>
      <c r="OKG14" s="107" t="s">
        <v>1</v>
      </c>
      <c r="OKH14" s="108"/>
      <c r="OKI14" s="108"/>
      <c r="OKJ14" s="109"/>
      <c r="OKK14" s="107" t="s">
        <v>1</v>
      </c>
      <c r="OKL14" s="108"/>
      <c r="OKM14" s="108"/>
      <c r="OKN14" s="109"/>
      <c r="OKO14" s="107" t="s">
        <v>1</v>
      </c>
      <c r="OKP14" s="108"/>
      <c r="OKQ14" s="108"/>
      <c r="OKR14" s="109"/>
      <c r="OKS14" s="107" t="s">
        <v>1</v>
      </c>
      <c r="OKT14" s="108"/>
      <c r="OKU14" s="108"/>
      <c r="OKV14" s="109"/>
      <c r="OKW14" s="107" t="s">
        <v>1</v>
      </c>
      <c r="OKX14" s="108"/>
      <c r="OKY14" s="108"/>
      <c r="OKZ14" s="109"/>
      <c r="OLA14" s="107" t="s">
        <v>1</v>
      </c>
      <c r="OLB14" s="108"/>
      <c r="OLC14" s="108"/>
      <c r="OLD14" s="109"/>
      <c r="OLE14" s="107" t="s">
        <v>1</v>
      </c>
      <c r="OLF14" s="108"/>
      <c r="OLG14" s="108"/>
      <c r="OLH14" s="109"/>
      <c r="OLI14" s="107" t="s">
        <v>1</v>
      </c>
      <c r="OLJ14" s="108"/>
      <c r="OLK14" s="108"/>
      <c r="OLL14" s="109"/>
      <c r="OLM14" s="107" t="s">
        <v>1</v>
      </c>
      <c r="OLN14" s="108"/>
      <c r="OLO14" s="108"/>
      <c r="OLP14" s="109"/>
      <c r="OLQ14" s="107" t="s">
        <v>1</v>
      </c>
      <c r="OLR14" s="108"/>
      <c r="OLS14" s="108"/>
      <c r="OLT14" s="109"/>
      <c r="OLU14" s="107" t="s">
        <v>1</v>
      </c>
      <c r="OLV14" s="108"/>
      <c r="OLW14" s="108"/>
      <c r="OLX14" s="109"/>
      <c r="OLY14" s="107" t="s">
        <v>1</v>
      </c>
      <c r="OLZ14" s="108"/>
      <c r="OMA14" s="108"/>
      <c r="OMB14" s="109"/>
      <c r="OMC14" s="107" t="s">
        <v>1</v>
      </c>
      <c r="OMD14" s="108"/>
      <c r="OME14" s="108"/>
      <c r="OMF14" s="109"/>
      <c r="OMG14" s="107" t="s">
        <v>1</v>
      </c>
      <c r="OMH14" s="108"/>
      <c r="OMI14" s="108"/>
      <c r="OMJ14" s="109"/>
      <c r="OMK14" s="107" t="s">
        <v>1</v>
      </c>
      <c r="OML14" s="108"/>
      <c r="OMM14" s="108"/>
      <c r="OMN14" s="109"/>
      <c r="OMO14" s="107" t="s">
        <v>1</v>
      </c>
      <c r="OMP14" s="108"/>
      <c r="OMQ14" s="108"/>
      <c r="OMR14" s="109"/>
      <c r="OMS14" s="107" t="s">
        <v>1</v>
      </c>
      <c r="OMT14" s="108"/>
      <c r="OMU14" s="108"/>
      <c r="OMV14" s="109"/>
      <c r="OMW14" s="107" t="s">
        <v>1</v>
      </c>
      <c r="OMX14" s="108"/>
      <c r="OMY14" s="108"/>
      <c r="OMZ14" s="109"/>
      <c r="ONA14" s="107" t="s">
        <v>1</v>
      </c>
      <c r="ONB14" s="108"/>
      <c r="ONC14" s="108"/>
      <c r="OND14" s="109"/>
      <c r="ONE14" s="107" t="s">
        <v>1</v>
      </c>
      <c r="ONF14" s="108"/>
      <c r="ONG14" s="108"/>
      <c r="ONH14" s="109"/>
      <c r="ONI14" s="107" t="s">
        <v>1</v>
      </c>
      <c r="ONJ14" s="108"/>
      <c r="ONK14" s="108"/>
      <c r="ONL14" s="109"/>
      <c r="ONM14" s="107" t="s">
        <v>1</v>
      </c>
      <c r="ONN14" s="108"/>
      <c r="ONO14" s="108"/>
      <c r="ONP14" s="109"/>
      <c r="ONQ14" s="107" t="s">
        <v>1</v>
      </c>
      <c r="ONR14" s="108"/>
      <c r="ONS14" s="108"/>
      <c r="ONT14" s="109"/>
      <c r="ONU14" s="107" t="s">
        <v>1</v>
      </c>
      <c r="ONV14" s="108"/>
      <c r="ONW14" s="108"/>
      <c r="ONX14" s="109"/>
      <c r="ONY14" s="107" t="s">
        <v>1</v>
      </c>
      <c r="ONZ14" s="108"/>
      <c r="OOA14" s="108"/>
      <c r="OOB14" s="109"/>
      <c r="OOC14" s="107" t="s">
        <v>1</v>
      </c>
      <c r="OOD14" s="108"/>
      <c r="OOE14" s="108"/>
      <c r="OOF14" s="109"/>
      <c r="OOG14" s="107" t="s">
        <v>1</v>
      </c>
      <c r="OOH14" s="108"/>
      <c r="OOI14" s="108"/>
      <c r="OOJ14" s="109"/>
      <c r="OOK14" s="107" t="s">
        <v>1</v>
      </c>
      <c r="OOL14" s="108"/>
      <c r="OOM14" s="108"/>
      <c r="OON14" s="109"/>
      <c r="OOO14" s="107" t="s">
        <v>1</v>
      </c>
      <c r="OOP14" s="108"/>
      <c r="OOQ14" s="108"/>
      <c r="OOR14" s="109"/>
      <c r="OOS14" s="107" t="s">
        <v>1</v>
      </c>
      <c r="OOT14" s="108"/>
      <c r="OOU14" s="108"/>
      <c r="OOV14" s="109"/>
      <c r="OOW14" s="107" t="s">
        <v>1</v>
      </c>
      <c r="OOX14" s="108"/>
      <c r="OOY14" s="108"/>
      <c r="OOZ14" s="109"/>
      <c r="OPA14" s="107" t="s">
        <v>1</v>
      </c>
      <c r="OPB14" s="108"/>
      <c r="OPC14" s="108"/>
      <c r="OPD14" s="109"/>
      <c r="OPE14" s="107" t="s">
        <v>1</v>
      </c>
      <c r="OPF14" s="108"/>
      <c r="OPG14" s="108"/>
      <c r="OPH14" s="109"/>
      <c r="OPI14" s="107" t="s">
        <v>1</v>
      </c>
      <c r="OPJ14" s="108"/>
      <c r="OPK14" s="108"/>
      <c r="OPL14" s="109"/>
      <c r="OPM14" s="107" t="s">
        <v>1</v>
      </c>
      <c r="OPN14" s="108"/>
      <c r="OPO14" s="108"/>
      <c r="OPP14" s="109"/>
      <c r="OPQ14" s="107" t="s">
        <v>1</v>
      </c>
      <c r="OPR14" s="108"/>
      <c r="OPS14" s="108"/>
      <c r="OPT14" s="109"/>
      <c r="OPU14" s="107" t="s">
        <v>1</v>
      </c>
      <c r="OPV14" s="108"/>
      <c r="OPW14" s="108"/>
      <c r="OPX14" s="109"/>
      <c r="OPY14" s="107" t="s">
        <v>1</v>
      </c>
      <c r="OPZ14" s="108"/>
      <c r="OQA14" s="108"/>
      <c r="OQB14" s="109"/>
      <c r="OQC14" s="107" t="s">
        <v>1</v>
      </c>
      <c r="OQD14" s="108"/>
      <c r="OQE14" s="108"/>
      <c r="OQF14" s="109"/>
      <c r="OQG14" s="107" t="s">
        <v>1</v>
      </c>
      <c r="OQH14" s="108"/>
      <c r="OQI14" s="108"/>
      <c r="OQJ14" s="109"/>
      <c r="OQK14" s="107" t="s">
        <v>1</v>
      </c>
      <c r="OQL14" s="108"/>
      <c r="OQM14" s="108"/>
      <c r="OQN14" s="109"/>
      <c r="OQO14" s="107" t="s">
        <v>1</v>
      </c>
      <c r="OQP14" s="108"/>
      <c r="OQQ14" s="108"/>
      <c r="OQR14" s="109"/>
      <c r="OQS14" s="107" t="s">
        <v>1</v>
      </c>
      <c r="OQT14" s="108"/>
      <c r="OQU14" s="108"/>
      <c r="OQV14" s="109"/>
      <c r="OQW14" s="107" t="s">
        <v>1</v>
      </c>
      <c r="OQX14" s="108"/>
      <c r="OQY14" s="108"/>
      <c r="OQZ14" s="109"/>
      <c r="ORA14" s="107" t="s">
        <v>1</v>
      </c>
      <c r="ORB14" s="108"/>
      <c r="ORC14" s="108"/>
      <c r="ORD14" s="109"/>
      <c r="ORE14" s="107" t="s">
        <v>1</v>
      </c>
      <c r="ORF14" s="108"/>
      <c r="ORG14" s="108"/>
      <c r="ORH14" s="109"/>
      <c r="ORI14" s="107" t="s">
        <v>1</v>
      </c>
      <c r="ORJ14" s="108"/>
      <c r="ORK14" s="108"/>
      <c r="ORL14" s="109"/>
      <c r="ORM14" s="107" t="s">
        <v>1</v>
      </c>
      <c r="ORN14" s="108"/>
      <c r="ORO14" s="108"/>
      <c r="ORP14" s="109"/>
      <c r="ORQ14" s="107" t="s">
        <v>1</v>
      </c>
      <c r="ORR14" s="108"/>
      <c r="ORS14" s="108"/>
      <c r="ORT14" s="109"/>
      <c r="ORU14" s="107" t="s">
        <v>1</v>
      </c>
      <c r="ORV14" s="108"/>
      <c r="ORW14" s="108"/>
      <c r="ORX14" s="109"/>
      <c r="ORY14" s="107" t="s">
        <v>1</v>
      </c>
      <c r="ORZ14" s="108"/>
      <c r="OSA14" s="108"/>
      <c r="OSB14" s="109"/>
      <c r="OSC14" s="107" t="s">
        <v>1</v>
      </c>
      <c r="OSD14" s="108"/>
      <c r="OSE14" s="108"/>
      <c r="OSF14" s="109"/>
      <c r="OSG14" s="107" t="s">
        <v>1</v>
      </c>
      <c r="OSH14" s="108"/>
      <c r="OSI14" s="108"/>
      <c r="OSJ14" s="109"/>
      <c r="OSK14" s="107" t="s">
        <v>1</v>
      </c>
      <c r="OSL14" s="108"/>
      <c r="OSM14" s="108"/>
      <c r="OSN14" s="109"/>
      <c r="OSO14" s="107" t="s">
        <v>1</v>
      </c>
      <c r="OSP14" s="108"/>
      <c r="OSQ14" s="108"/>
      <c r="OSR14" s="109"/>
      <c r="OSS14" s="107" t="s">
        <v>1</v>
      </c>
      <c r="OST14" s="108"/>
      <c r="OSU14" s="108"/>
      <c r="OSV14" s="109"/>
      <c r="OSW14" s="107" t="s">
        <v>1</v>
      </c>
      <c r="OSX14" s="108"/>
      <c r="OSY14" s="108"/>
      <c r="OSZ14" s="109"/>
      <c r="OTA14" s="107" t="s">
        <v>1</v>
      </c>
      <c r="OTB14" s="108"/>
      <c r="OTC14" s="108"/>
      <c r="OTD14" s="109"/>
      <c r="OTE14" s="107" t="s">
        <v>1</v>
      </c>
      <c r="OTF14" s="108"/>
      <c r="OTG14" s="108"/>
      <c r="OTH14" s="109"/>
      <c r="OTI14" s="107" t="s">
        <v>1</v>
      </c>
      <c r="OTJ14" s="108"/>
      <c r="OTK14" s="108"/>
      <c r="OTL14" s="109"/>
      <c r="OTM14" s="107" t="s">
        <v>1</v>
      </c>
      <c r="OTN14" s="108"/>
      <c r="OTO14" s="108"/>
      <c r="OTP14" s="109"/>
      <c r="OTQ14" s="107" t="s">
        <v>1</v>
      </c>
      <c r="OTR14" s="108"/>
      <c r="OTS14" s="108"/>
      <c r="OTT14" s="109"/>
      <c r="OTU14" s="107" t="s">
        <v>1</v>
      </c>
      <c r="OTV14" s="108"/>
      <c r="OTW14" s="108"/>
      <c r="OTX14" s="109"/>
      <c r="OTY14" s="107" t="s">
        <v>1</v>
      </c>
      <c r="OTZ14" s="108"/>
      <c r="OUA14" s="108"/>
      <c r="OUB14" s="109"/>
      <c r="OUC14" s="107" t="s">
        <v>1</v>
      </c>
      <c r="OUD14" s="108"/>
      <c r="OUE14" s="108"/>
      <c r="OUF14" s="109"/>
      <c r="OUG14" s="107" t="s">
        <v>1</v>
      </c>
      <c r="OUH14" s="108"/>
      <c r="OUI14" s="108"/>
      <c r="OUJ14" s="109"/>
      <c r="OUK14" s="107" t="s">
        <v>1</v>
      </c>
      <c r="OUL14" s="108"/>
      <c r="OUM14" s="108"/>
      <c r="OUN14" s="109"/>
      <c r="OUO14" s="107" t="s">
        <v>1</v>
      </c>
      <c r="OUP14" s="108"/>
      <c r="OUQ14" s="108"/>
      <c r="OUR14" s="109"/>
      <c r="OUS14" s="107" t="s">
        <v>1</v>
      </c>
      <c r="OUT14" s="108"/>
      <c r="OUU14" s="108"/>
      <c r="OUV14" s="109"/>
      <c r="OUW14" s="107" t="s">
        <v>1</v>
      </c>
      <c r="OUX14" s="108"/>
      <c r="OUY14" s="108"/>
      <c r="OUZ14" s="109"/>
      <c r="OVA14" s="107" t="s">
        <v>1</v>
      </c>
      <c r="OVB14" s="108"/>
      <c r="OVC14" s="108"/>
      <c r="OVD14" s="109"/>
      <c r="OVE14" s="107" t="s">
        <v>1</v>
      </c>
      <c r="OVF14" s="108"/>
      <c r="OVG14" s="108"/>
      <c r="OVH14" s="109"/>
      <c r="OVI14" s="107" t="s">
        <v>1</v>
      </c>
      <c r="OVJ14" s="108"/>
      <c r="OVK14" s="108"/>
      <c r="OVL14" s="109"/>
      <c r="OVM14" s="107" t="s">
        <v>1</v>
      </c>
      <c r="OVN14" s="108"/>
      <c r="OVO14" s="108"/>
      <c r="OVP14" s="109"/>
      <c r="OVQ14" s="107" t="s">
        <v>1</v>
      </c>
      <c r="OVR14" s="108"/>
      <c r="OVS14" s="108"/>
      <c r="OVT14" s="109"/>
      <c r="OVU14" s="107" t="s">
        <v>1</v>
      </c>
      <c r="OVV14" s="108"/>
      <c r="OVW14" s="108"/>
      <c r="OVX14" s="109"/>
      <c r="OVY14" s="107" t="s">
        <v>1</v>
      </c>
      <c r="OVZ14" s="108"/>
      <c r="OWA14" s="108"/>
      <c r="OWB14" s="109"/>
      <c r="OWC14" s="107" t="s">
        <v>1</v>
      </c>
      <c r="OWD14" s="108"/>
      <c r="OWE14" s="108"/>
      <c r="OWF14" s="109"/>
      <c r="OWG14" s="107" t="s">
        <v>1</v>
      </c>
      <c r="OWH14" s="108"/>
      <c r="OWI14" s="108"/>
      <c r="OWJ14" s="109"/>
      <c r="OWK14" s="107" t="s">
        <v>1</v>
      </c>
      <c r="OWL14" s="108"/>
      <c r="OWM14" s="108"/>
      <c r="OWN14" s="109"/>
      <c r="OWO14" s="107" t="s">
        <v>1</v>
      </c>
      <c r="OWP14" s="108"/>
      <c r="OWQ14" s="108"/>
      <c r="OWR14" s="109"/>
      <c r="OWS14" s="107" t="s">
        <v>1</v>
      </c>
      <c r="OWT14" s="108"/>
      <c r="OWU14" s="108"/>
      <c r="OWV14" s="109"/>
      <c r="OWW14" s="107" t="s">
        <v>1</v>
      </c>
      <c r="OWX14" s="108"/>
      <c r="OWY14" s="108"/>
      <c r="OWZ14" s="109"/>
      <c r="OXA14" s="107" t="s">
        <v>1</v>
      </c>
      <c r="OXB14" s="108"/>
      <c r="OXC14" s="108"/>
      <c r="OXD14" s="109"/>
      <c r="OXE14" s="107" t="s">
        <v>1</v>
      </c>
      <c r="OXF14" s="108"/>
      <c r="OXG14" s="108"/>
      <c r="OXH14" s="109"/>
      <c r="OXI14" s="107" t="s">
        <v>1</v>
      </c>
      <c r="OXJ14" s="108"/>
      <c r="OXK14" s="108"/>
      <c r="OXL14" s="109"/>
      <c r="OXM14" s="107" t="s">
        <v>1</v>
      </c>
      <c r="OXN14" s="108"/>
      <c r="OXO14" s="108"/>
      <c r="OXP14" s="109"/>
      <c r="OXQ14" s="107" t="s">
        <v>1</v>
      </c>
      <c r="OXR14" s="108"/>
      <c r="OXS14" s="108"/>
      <c r="OXT14" s="109"/>
      <c r="OXU14" s="107" t="s">
        <v>1</v>
      </c>
      <c r="OXV14" s="108"/>
      <c r="OXW14" s="108"/>
      <c r="OXX14" s="109"/>
      <c r="OXY14" s="107" t="s">
        <v>1</v>
      </c>
      <c r="OXZ14" s="108"/>
      <c r="OYA14" s="108"/>
      <c r="OYB14" s="109"/>
      <c r="OYC14" s="107" t="s">
        <v>1</v>
      </c>
      <c r="OYD14" s="108"/>
      <c r="OYE14" s="108"/>
      <c r="OYF14" s="109"/>
      <c r="OYG14" s="107" t="s">
        <v>1</v>
      </c>
      <c r="OYH14" s="108"/>
      <c r="OYI14" s="108"/>
      <c r="OYJ14" s="109"/>
      <c r="OYK14" s="107" t="s">
        <v>1</v>
      </c>
      <c r="OYL14" s="108"/>
      <c r="OYM14" s="108"/>
      <c r="OYN14" s="109"/>
      <c r="OYO14" s="107" t="s">
        <v>1</v>
      </c>
      <c r="OYP14" s="108"/>
      <c r="OYQ14" s="108"/>
      <c r="OYR14" s="109"/>
      <c r="OYS14" s="107" t="s">
        <v>1</v>
      </c>
      <c r="OYT14" s="108"/>
      <c r="OYU14" s="108"/>
      <c r="OYV14" s="109"/>
      <c r="OYW14" s="107" t="s">
        <v>1</v>
      </c>
      <c r="OYX14" s="108"/>
      <c r="OYY14" s="108"/>
      <c r="OYZ14" s="109"/>
      <c r="OZA14" s="107" t="s">
        <v>1</v>
      </c>
      <c r="OZB14" s="108"/>
      <c r="OZC14" s="108"/>
      <c r="OZD14" s="109"/>
      <c r="OZE14" s="107" t="s">
        <v>1</v>
      </c>
      <c r="OZF14" s="108"/>
      <c r="OZG14" s="108"/>
      <c r="OZH14" s="109"/>
      <c r="OZI14" s="107" t="s">
        <v>1</v>
      </c>
      <c r="OZJ14" s="108"/>
      <c r="OZK14" s="108"/>
      <c r="OZL14" s="109"/>
      <c r="OZM14" s="107" t="s">
        <v>1</v>
      </c>
      <c r="OZN14" s="108"/>
      <c r="OZO14" s="108"/>
      <c r="OZP14" s="109"/>
      <c r="OZQ14" s="107" t="s">
        <v>1</v>
      </c>
      <c r="OZR14" s="108"/>
      <c r="OZS14" s="108"/>
      <c r="OZT14" s="109"/>
      <c r="OZU14" s="107" t="s">
        <v>1</v>
      </c>
      <c r="OZV14" s="108"/>
      <c r="OZW14" s="108"/>
      <c r="OZX14" s="109"/>
      <c r="OZY14" s="107" t="s">
        <v>1</v>
      </c>
      <c r="OZZ14" s="108"/>
      <c r="PAA14" s="108"/>
      <c r="PAB14" s="109"/>
      <c r="PAC14" s="107" t="s">
        <v>1</v>
      </c>
      <c r="PAD14" s="108"/>
      <c r="PAE14" s="108"/>
      <c r="PAF14" s="109"/>
      <c r="PAG14" s="107" t="s">
        <v>1</v>
      </c>
      <c r="PAH14" s="108"/>
      <c r="PAI14" s="108"/>
      <c r="PAJ14" s="109"/>
      <c r="PAK14" s="107" t="s">
        <v>1</v>
      </c>
      <c r="PAL14" s="108"/>
      <c r="PAM14" s="108"/>
      <c r="PAN14" s="109"/>
      <c r="PAO14" s="107" t="s">
        <v>1</v>
      </c>
      <c r="PAP14" s="108"/>
      <c r="PAQ14" s="108"/>
      <c r="PAR14" s="109"/>
      <c r="PAS14" s="107" t="s">
        <v>1</v>
      </c>
      <c r="PAT14" s="108"/>
      <c r="PAU14" s="108"/>
      <c r="PAV14" s="109"/>
      <c r="PAW14" s="107" t="s">
        <v>1</v>
      </c>
      <c r="PAX14" s="108"/>
      <c r="PAY14" s="108"/>
      <c r="PAZ14" s="109"/>
      <c r="PBA14" s="107" t="s">
        <v>1</v>
      </c>
      <c r="PBB14" s="108"/>
      <c r="PBC14" s="108"/>
      <c r="PBD14" s="109"/>
      <c r="PBE14" s="107" t="s">
        <v>1</v>
      </c>
      <c r="PBF14" s="108"/>
      <c r="PBG14" s="108"/>
      <c r="PBH14" s="109"/>
      <c r="PBI14" s="107" t="s">
        <v>1</v>
      </c>
      <c r="PBJ14" s="108"/>
      <c r="PBK14" s="108"/>
      <c r="PBL14" s="109"/>
      <c r="PBM14" s="107" t="s">
        <v>1</v>
      </c>
      <c r="PBN14" s="108"/>
      <c r="PBO14" s="108"/>
      <c r="PBP14" s="109"/>
      <c r="PBQ14" s="107" t="s">
        <v>1</v>
      </c>
      <c r="PBR14" s="108"/>
      <c r="PBS14" s="108"/>
      <c r="PBT14" s="109"/>
      <c r="PBU14" s="107" t="s">
        <v>1</v>
      </c>
      <c r="PBV14" s="108"/>
      <c r="PBW14" s="108"/>
      <c r="PBX14" s="109"/>
      <c r="PBY14" s="107" t="s">
        <v>1</v>
      </c>
      <c r="PBZ14" s="108"/>
      <c r="PCA14" s="108"/>
      <c r="PCB14" s="109"/>
      <c r="PCC14" s="107" t="s">
        <v>1</v>
      </c>
      <c r="PCD14" s="108"/>
      <c r="PCE14" s="108"/>
      <c r="PCF14" s="109"/>
      <c r="PCG14" s="107" t="s">
        <v>1</v>
      </c>
      <c r="PCH14" s="108"/>
      <c r="PCI14" s="108"/>
      <c r="PCJ14" s="109"/>
      <c r="PCK14" s="107" t="s">
        <v>1</v>
      </c>
      <c r="PCL14" s="108"/>
      <c r="PCM14" s="108"/>
      <c r="PCN14" s="109"/>
      <c r="PCO14" s="107" t="s">
        <v>1</v>
      </c>
      <c r="PCP14" s="108"/>
      <c r="PCQ14" s="108"/>
      <c r="PCR14" s="109"/>
      <c r="PCS14" s="107" t="s">
        <v>1</v>
      </c>
      <c r="PCT14" s="108"/>
      <c r="PCU14" s="108"/>
      <c r="PCV14" s="109"/>
      <c r="PCW14" s="107" t="s">
        <v>1</v>
      </c>
      <c r="PCX14" s="108"/>
      <c r="PCY14" s="108"/>
      <c r="PCZ14" s="109"/>
      <c r="PDA14" s="107" t="s">
        <v>1</v>
      </c>
      <c r="PDB14" s="108"/>
      <c r="PDC14" s="108"/>
      <c r="PDD14" s="109"/>
      <c r="PDE14" s="107" t="s">
        <v>1</v>
      </c>
      <c r="PDF14" s="108"/>
      <c r="PDG14" s="108"/>
      <c r="PDH14" s="109"/>
      <c r="PDI14" s="107" t="s">
        <v>1</v>
      </c>
      <c r="PDJ14" s="108"/>
      <c r="PDK14" s="108"/>
      <c r="PDL14" s="109"/>
      <c r="PDM14" s="107" t="s">
        <v>1</v>
      </c>
      <c r="PDN14" s="108"/>
      <c r="PDO14" s="108"/>
      <c r="PDP14" s="109"/>
      <c r="PDQ14" s="107" t="s">
        <v>1</v>
      </c>
      <c r="PDR14" s="108"/>
      <c r="PDS14" s="108"/>
      <c r="PDT14" s="109"/>
      <c r="PDU14" s="107" t="s">
        <v>1</v>
      </c>
      <c r="PDV14" s="108"/>
      <c r="PDW14" s="108"/>
      <c r="PDX14" s="109"/>
      <c r="PDY14" s="107" t="s">
        <v>1</v>
      </c>
      <c r="PDZ14" s="108"/>
      <c r="PEA14" s="108"/>
      <c r="PEB14" s="109"/>
      <c r="PEC14" s="107" t="s">
        <v>1</v>
      </c>
      <c r="PED14" s="108"/>
      <c r="PEE14" s="108"/>
      <c r="PEF14" s="109"/>
      <c r="PEG14" s="107" t="s">
        <v>1</v>
      </c>
      <c r="PEH14" s="108"/>
      <c r="PEI14" s="108"/>
      <c r="PEJ14" s="109"/>
      <c r="PEK14" s="107" t="s">
        <v>1</v>
      </c>
      <c r="PEL14" s="108"/>
      <c r="PEM14" s="108"/>
      <c r="PEN14" s="109"/>
      <c r="PEO14" s="107" t="s">
        <v>1</v>
      </c>
      <c r="PEP14" s="108"/>
      <c r="PEQ14" s="108"/>
      <c r="PER14" s="109"/>
      <c r="PES14" s="107" t="s">
        <v>1</v>
      </c>
      <c r="PET14" s="108"/>
      <c r="PEU14" s="108"/>
      <c r="PEV14" s="109"/>
      <c r="PEW14" s="107" t="s">
        <v>1</v>
      </c>
      <c r="PEX14" s="108"/>
      <c r="PEY14" s="108"/>
      <c r="PEZ14" s="109"/>
      <c r="PFA14" s="107" t="s">
        <v>1</v>
      </c>
      <c r="PFB14" s="108"/>
      <c r="PFC14" s="108"/>
      <c r="PFD14" s="109"/>
      <c r="PFE14" s="107" t="s">
        <v>1</v>
      </c>
      <c r="PFF14" s="108"/>
      <c r="PFG14" s="108"/>
      <c r="PFH14" s="109"/>
      <c r="PFI14" s="107" t="s">
        <v>1</v>
      </c>
      <c r="PFJ14" s="108"/>
      <c r="PFK14" s="108"/>
      <c r="PFL14" s="109"/>
      <c r="PFM14" s="107" t="s">
        <v>1</v>
      </c>
      <c r="PFN14" s="108"/>
      <c r="PFO14" s="108"/>
      <c r="PFP14" s="109"/>
      <c r="PFQ14" s="107" t="s">
        <v>1</v>
      </c>
      <c r="PFR14" s="108"/>
      <c r="PFS14" s="108"/>
      <c r="PFT14" s="109"/>
      <c r="PFU14" s="107" t="s">
        <v>1</v>
      </c>
      <c r="PFV14" s="108"/>
      <c r="PFW14" s="108"/>
      <c r="PFX14" s="109"/>
      <c r="PFY14" s="107" t="s">
        <v>1</v>
      </c>
      <c r="PFZ14" s="108"/>
      <c r="PGA14" s="108"/>
      <c r="PGB14" s="109"/>
      <c r="PGC14" s="107" t="s">
        <v>1</v>
      </c>
      <c r="PGD14" s="108"/>
      <c r="PGE14" s="108"/>
      <c r="PGF14" s="109"/>
      <c r="PGG14" s="107" t="s">
        <v>1</v>
      </c>
      <c r="PGH14" s="108"/>
      <c r="PGI14" s="108"/>
      <c r="PGJ14" s="109"/>
      <c r="PGK14" s="107" t="s">
        <v>1</v>
      </c>
      <c r="PGL14" s="108"/>
      <c r="PGM14" s="108"/>
      <c r="PGN14" s="109"/>
      <c r="PGO14" s="107" t="s">
        <v>1</v>
      </c>
      <c r="PGP14" s="108"/>
      <c r="PGQ14" s="108"/>
      <c r="PGR14" s="109"/>
      <c r="PGS14" s="107" t="s">
        <v>1</v>
      </c>
      <c r="PGT14" s="108"/>
      <c r="PGU14" s="108"/>
      <c r="PGV14" s="109"/>
      <c r="PGW14" s="107" t="s">
        <v>1</v>
      </c>
      <c r="PGX14" s="108"/>
      <c r="PGY14" s="108"/>
      <c r="PGZ14" s="109"/>
      <c r="PHA14" s="107" t="s">
        <v>1</v>
      </c>
      <c r="PHB14" s="108"/>
      <c r="PHC14" s="108"/>
      <c r="PHD14" s="109"/>
      <c r="PHE14" s="107" t="s">
        <v>1</v>
      </c>
      <c r="PHF14" s="108"/>
      <c r="PHG14" s="108"/>
      <c r="PHH14" s="109"/>
      <c r="PHI14" s="107" t="s">
        <v>1</v>
      </c>
      <c r="PHJ14" s="108"/>
      <c r="PHK14" s="108"/>
      <c r="PHL14" s="109"/>
      <c r="PHM14" s="107" t="s">
        <v>1</v>
      </c>
      <c r="PHN14" s="108"/>
      <c r="PHO14" s="108"/>
      <c r="PHP14" s="109"/>
      <c r="PHQ14" s="107" t="s">
        <v>1</v>
      </c>
      <c r="PHR14" s="108"/>
      <c r="PHS14" s="108"/>
      <c r="PHT14" s="109"/>
      <c r="PHU14" s="107" t="s">
        <v>1</v>
      </c>
      <c r="PHV14" s="108"/>
      <c r="PHW14" s="108"/>
      <c r="PHX14" s="109"/>
      <c r="PHY14" s="107" t="s">
        <v>1</v>
      </c>
      <c r="PHZ14" s="108"/>
      <c r="PIA14" s="108"/>
      <c r="PIB14" s="109"/>
      <c r="PIC14" s="107" t="s">
        <v>1</v>
      </c>
      <c r="PID14" s="108"/>
      <c r="PIE14" s="108"/>
      <c r="PIF14" s="109"/>
      <c r="PIG14" s="107" t="s">
        <v>1</v>
      </c>
      <c r="PIH14" s="108"/>
      <c r="PII14" s="108"/>
      <c r="PIJ14" s="109"/>
      <c r="PIK14" s="107" t="s">
        <v>1</v>
      </c>
      <c r="PIL14" s="108"/>
      <c r="PIM14" s="108"/>
      <c r="PIN14" s="109"/>
      <c r="PIO14" s="107" t="s">
        <v>1</v>
      </c>
      <c r="PIP14" s="108"/>
      <c r="PIQ14" s="108"/>
      <c r="PIR14" s="109"/>
      <c r="PIS14" s="107" t="s">
        <v>1</v>
      </c>
      <c r="PIT14" s="108"/>
      <c r="PIU14" s="108"/>
      <c r="PIV14" s="109"/>
      <c r="PIW14" s="107" t="s">
        <v>1</v>
      </c>
      <c r="PIX14" s="108"/>
      <c r="PIY14" s="108"/>
      <c r="PIZ14" s="109"/>
      <c r="PJA14" s="107" t="s">
        <v>1</v>
      </c>
      <c r="PJB14" s="108"/>
      <c r="PJC14" s="108"/>
      <c r="PJD14" s="109"/>
      <c r="PJE14" s="107" t="s">
        <v>1</v>
      </c>
      <c r="PJF14" s="108"/>
      <c r="PJG14" s="108"/>
      <c r="PJH14" s="109"/>
      <c r="PJI14" s="107" t="s">
        <v>1</v>
      </c>
      <c r="PJJ14" s="108"/>
      <c r="PJK14" s="108"/>
      <c r="PJL14" s="109"/>
      <c r="PJM14" s="107" t="s">
        <v>1</v>
      </c>
      <c r="PJN14" s="108"/>
      <c r="PJO14" s="108"/>
      <c r="PJP14" s="109"/>
      <c r="PJQ14" s="107" t="s">
        <v>1</v>
      </c>
      <c r="PJR14" s="108"/>
      <c r="PJS14" s="108"/>
      <c r="PJT14" s="109"/>
      <c r="PJU14" s="107" t="s">
        <v>1</v>
      </c>
      <c r="PJV14" s="108"/>
      <c r="PJW14" s="108"/>
      <c r="PJX14" s="109"/>
      <c r="PJY14" s="107" t="s">
        <v>1</v>
      </c>
      <c r="PJZ14" s="108"/>
      <c r="PKA14" s="108"/>
      <c r="PKB14" s="109"/>
      <c r="PKC14" s="107" t="s">
        <v>1</v>
      </c>
      <c r="PKD14" s="108"/>
      <c r="PKE14" s="108"/>
      <c r="PKF14" s="109"/>
      <c r="PKG14" s="107" t="s">
        <v>1</v>
      </c>
      <c r="PKH14" s="108"/>
      <c r="PKI14" s="108"/>
      <c r="PKJ14" s="109"/>
      <c r="PKK14" s="107" t="s">
        <v>1</v>
      </c>
      <c r="PKL14" s="108"/>
      <c r="PKM14" s="108"/>
      <c r="PKN14" s="109"/>
      <c r="PKO14" s="107" t="s">
        <v>1</v>
      </c>
      <c r="PKP14" s="108"/>
      <c r="PKQ14" s="108"/>
      <c r="PKR14" s="109"/>
      <c r="PKS14" s="107" t="s">
        <v>1</v>
      </c>
      <c r="PKT14" s="108"/>
      <c r="PKU14" s="108"/>
      <c r="PKV14" s="109"/>
      <c r="PKW14" s="107" t="s">
        <v>1</v>
      </c>
      <c r="PKX14" s="108"/>
      <c r="PKY14" s="108"/>
      <c r="PKZ14" s="109"/>
      <c r="PLA14" s="107" t="s">
        <v>1</v>
      </c>
      <c r="PLB14" s="108"/>
      <c r="PLC14" s="108"/>
      <c r="PLD14" s="109"/>
      <c r="PLE14" s="107" t="s">
        <v>1</v>
      </c>
      <c r="PLF14" s="108"/>
      <c r="PLG14" s="108"/>
      <c r="PLH14" s="109"/>
      <c r="PLI14" s="107" t="s">
        <v>1</v>
      </c>
      <c r="PLJ14" s="108"/>
      <c r="PLK14" s="108"/>
      <c r="PLL14" s="109"/>
      <c r="PLM14" s="107" t="s">
        <v>1</v>
      </c>
      <c r="PLN14" s="108"/>
      <c r="PLO14" s="108"/>
      <c r="PLP14" s="109"/>
      <c r="PLQ14" s="107" t="s">
        <v>1</v>
      </c>
      <c r="PLR14" s="108"/>
      <c r="PLS14" s="108"/>
      <c r="PLT14" s="109"/>
      <c r="PLU14" s="107" t="s">
        <v>1</v>
      </c>
      <c r="PLV14" s="108"/>
      <c r="PLW14" s="108"/>
      <c r="PLX14" s="109"/>
      <c r="PLY14" s="107" t="s">
        <v>1</v>
      </c>
      <c r="PLZ14" s="108"/>
      <c r="PMA14" s="108"/>
      <c r="PMB14" s="109"/>
      <c r="PMC14" s="107" t="s">
        <v>1</v>
      </c>
      <c r="PMD14" s="108"/>
      <c r="PME14" s="108"/>
      <c r="PMF14" s="109"/>
      <c r="PMG14" s="107" t="s">
        <v>1</v>
      </c>
      <c r="PMH14" s="108"/>
      <c r="PMI14" s="108"/>
      <c r="PMJ14" s="109"/>
      <c r="PMK14" s="107" t="s">
        <v>1</v>
      </c>
      <c r="PML14" s="108"/>
      <c r="PMM14" s="108"/>
      <c r="PMN14" s="109"/>
      <c r="PMO14" s="107" t="s">
        <v>1</v>
      </c>
      <c r="PMP14" s="108"/>
      <c r="PMQ14" s="108"/>
      <c r="PMR14" s="109"/>
      <c r="PMS14" s="107" t="s">
        <v>1</v>
      </c>
      <c r="PMT14" s="108"/>
      <c r="PMU14" s="108"/>
      <c r="PMV14" s="109"/>
      <c r="PMW14" s="107" t="s">
        <v>1</v>
      </c>
      <c r="PMX14" s="108"/>
      <c r="PMY14" s="108"/>
      <c r="PMZ14" s="109"/>
      <c r="PNA14" s="107" t="s">
        <v>1</v>
      </c>
      <c r="PNB14" s="108"/>
      <c r="PNC14" s="108"/>
      <c r="PND14" s="109"/>
      <c r="PNE14" s="107" t="s">
        <v>1</v>
      </c>
      <c r="PNF14" s="108"/>
      <c r="PNG14" s="108"/>
      <c r="PNH14" s="109"/>
      <c r="PNI14" s="107" t="s">
        <v>1</v>
      </c>
      <c r="PNJ14" s="108"/>
      <c r="PNK14" s="108"/>
      <c r="PNL14" s="109"/>
      <c r="PNM14" s="107" t="s">
        <v>1</v>
      </c>
      <c r="PNN14" s="108"/>
      <c r="PNO14" s="108"/>
      <c r="PNP14" s="109"/>
      <c r="PNQ14" s="107" t="s">
        <v>1</v>
      </c>
      <c r="PNR14" s="108"/>
      <c r="PNS14" s="108"/>
      <c r="PNT14" s="109"/>
      <c r="PNU14" s="107" t="s">
        <v>1</v>
      </c>
      <c r="PNV14" s="108"/>
      <c r="PNW14" s="108"/>
      <c r="PNX14" s="109"/>
      <c r="PNY14" s="107" t="s">
        <v>1</v>
      </c>
      <c r="PNZ14" s="108"/>
      <c r="POA14" s="108"/>
      <c r="POB14" s="109"/>
      <c r="POC14" s="107" t="s">
        <v>1</v>
      </c>
      <c r="POD14" s="108"/>
      <c r="POE14" s="108"/>
      <c r="POF14" s="109"/>
      <c r="POG14" s="107" t="s">
        <v>1</v>
      </c>
      <c r="POH14" s="108"/>
      <c r="POI14" s="108"/>
      <c r="POJ14" s="109"/>
      <c r="POK14" s="107" t="s">
        <v>1</v>
      </c>
      <c r="POL14" s="108"/>
      <c r="POM14" s="108"/>
      <c r="PON14" s="109"/>
      <c r="POO14" s="107" t="s">
        <v>1</v>
      </c>
      <c r="POP14" s="108"/>
      <c r="POQ14" s="108"/>
      <c r="POR14" s="109"/>
      <c r="POS14" s="107" t="s">
        <v>1</v>
      </c>
      <c r="POT14" s="108"/>
      <c r="POU14" s="108"/>
      <c r="POV14" s="109"/>
      <c r="POW14" s="107" t="s">
        <v>1</v>
      </c>
      <c r="POX14" s="108"/>
      <c r="POY14" s="108"/>
      <c r="POZ14" s="109"/>
      <c r="PPA14" s="107" t="s">
        <v>1</v>
      </c>
      <c r="PPB14" s="108"/>
      <c r="PPC14" s="108"/>
      <c r="PPD14" s="109"/>
      <c r="PPE14" s="107" t="s">
        <v>1</v>
      </c>
      <c r="PPF14" s="108"/>
      <c r="PPG14" s="108"/>
      <c r="PPH14" s="109"/>
      <c r="PPI14" s="107" t="s">
        <v>1</v>
      </c>
      <c r="PPJ14" s="108"/>
      <c r="PPK14" s="108"/>
      <c r="PPL14" s="109"/>
      <c r="PPM14" s="107" t="s">
        <v>1</v>
      </c>
      <c r="PPN14" s="108"/>
      <c r="PPO14" s="108"/>
      <c r="PPP14" s="109"/>
      <c r="PPQ14" s="107" t="s">
        <v>1</v>
      </c>
      <c r="PPR14" s="108"/>
      <c r="PPS14" s="108"/>
      <c r="PPT14" s="109"/>
      <c r="PPU14" s="107" t="s">
        <v>1</v>
      </c>
      <c r="PPV14" s="108"/>
      <c r="PPW14" s="108"/>
      <c r="PPX14" s="109"/>
      <c r="PPY14" s="107" t="s">
        <v>1</v>
      </c>
      <c r="PPZ14" s="108"/>
      <c r="PQA14" s="108"/>
      <c r="PQB14" s="109"/>
      <c r="PQC14" s="107" t="s">
        <v>1</v>
      </c>
      <c r="PQD14" s="108"/>
      <c r="PQE14" s="108"/>
      <c r="PQF14" s="109"/>
      <c r="PQG14" s="107" t="s">
        <v>1</v>
      </c>
      <c r="PQH14" s="108"/>
      <c r="PQI14" s="108"/>
      <c r="PQJ14" s="109"/>
      <c r="PQK14" s="107" t="s">
        <v>1</v>
      </c>
      <c r="PQL14" s="108"/>
      <c r="PQM14" s="108"/>
      <c r="PQN14" s="109"/>
      <c r="PQO14" s="107" t="s">
        <v>1</v>
      </c>
      <c r="PQP14" s="108"/>
      <c r="PQQ14" s="108"/>
      <c r="PQR14" s="109"/>
      <c r="PQS14" s="107" t="s">
        <v>1</v>
      </c>
      <c r="PQT14" s="108"/>
      <c r="PQU14" s="108"/>
      <c r="PQV14" s="109"/>
      <c r="PQW14" s="107" t="s">
        <v>1</v>
      </c>
      <c r="PQX14" s="108"/>
      <c r="PQY14" s="108"/>
      <c r="PQZ14" s="109"/>
      <c r="PRA14" s="107" t="s">
        <v>1</v>
      </c>
      <c r="PRB14" s="108"/>
      <c r="PRC14" s="108"/>
      <c r="PRD14" s="109"/>
      <c r="PRE14" s="107" t="s">
        <v>1</v>
      </c>
      <c r="PRF14" s="108"/>
      <c r="PRG14" s="108"/>
      <c r="PRH14" s="109"/>
      <c r="PRI14" s="107" t="s">
        <v>1</v>
      </c>
      <c r="PRJ14" s="108"/>
      <c r="PRK14" s="108"/>
      <c r="PRL14" s="109"/>
      <c r="PRM14" s="107" t="s">
        <v>1</v>
      </c>
      <c r="PRN14" s="108"/>
      <c r="PRO14" s="108"/>
      <c r="PRP14" s="109"/>
      <c r="PRQ14" s="107" t="s">
        <v>1</v>
      </c>
      <c r="PRR14" s="108"/>
      <c r="PRS14" s="108"/>
      <c r="PRT14" s="109"/>
      <c r="PRU14" s="107" t="s">
        <v>1</v>
      </c>
      <c r="PRV14" s="108"/>
      <c r="PRW14" s="108"/>
      <c r="PRX14" s="109"/>
      <c r="PRY14" s="107" t="s">
        <v>1</v>
      </c>
      <c r="PRZ14" s="108"/>
      <c r="PSA14" s="108"/>
      <c r="PSB14" s="109"/>
      <c r="PSC14" s="107" t="s">
        <v>1</v>
      </c>
      <c r="PSD14" s="108"/>
      <c r="PSE14" s="108"/>
      <c r="PSF14" s="109"/>
      <c r="PSG14" s="107" t="s">
        <v>1</v>
      </c>
      <c r="PSH14" s="108"/>
      <c r="PSI14" s="108"/>
      <c r="PSJ14" s="109"/>
      <c r="PSK14" s="107" t="s">
        <v>1</v>
      </c>
      <c r="PSL14" s="108"/>
      <c r="PSM14" s="108"/>
      <c r="PSN14" s="109"/>
      <c r="PSO14" s="107" t="s">
        <v>1</v>
      </c>
      <c r="PSP14" s="108"/>
      <c r="PSQ14" s="108"/>
      <c r="PSR14" s="109"/>
      <c r="PSS14" s="107" t="s">
        <v>1</v>
      </c>
      <c r="PST14" s="108"/>
      <c r="PSU14" s="108"/>
      <c r="PSV14" s="109"/>
      <c r="PSW14" s="107" t="s">
        <v>1</v>
      </c>
      <c r="PSX14" s="108"/>
      <c r="PSY14" s="108"/>
      <c r="PSZ14" s="109"/>
      <c r="PTA14" s="107" t="s">
        <v>1</v>
      </c>
      <c r="PTB14" s="108"/>
      <c r="PTC14" s="108"/>
      <c r="PTD14" s="109"/>
      <c r="PTE14" s="107" t="s">
        <v>1</v>
      </c>
      <c r="PTF14" s="108"/>
      <c r="PTG14" s="108"/>
      <c r="PTH14" s="109"/>
      <c r="PTI14" s="107" t="s">
        <v>1</v>
      </c>
      <c r="PTJ14" s="108"/>
      <c r="PTK14" s="108"/>
      <c r="PTL14" s="109"/>
      <c r="PTM14" s="107" t="s">
        <v>1</v>
      </c>
      <c r="PTN14" s="108"/>
      <c r="PTO14" s="108"/>
      <c r="PTP14" s="109"/>
      <c r="PTQ14" s="107" t="s">
        <v>1</v>
      </c>
      <c r="PTR14" s="108"/>
      <c r="PTS14" s="108"/>
      <c r="PTT14" s="109"/>
      <c r="PTU14" s="107" t="s">
        <v>1</v>
      </c>
      <c r="PTV14" s="108"/>
      <c r="PTW14" s="108"/>
      <c r="PTX14" s="109"/>
      <c r="PTY14" s="107" t="s">
        <v>1</v>
      </c>
      <c r="PTZ14" s="108"/>
      <c r="PUA14" s="108"/>
      <c r="PUB14" s="109"/>
      <c r="PUC14" s="107" t="s">
        <v>1</v>
      </c>
      <c r="PUD14" s="108"/>
      <c r="PUE14" s="108"/>
      <c r="PUF14" s="109"/>
      <c r="PUG14" s="107" t="s">
        <v>1</v>
      </c>
      <c r="PUH14" s="108"/>
      <c r="PUI14" s="108"/>
      <c r="PUJ14" s="109"/>
      <c r="PUK14" s="107" t="s">
        <v>1</v>
      </c>
      <c r="PUL14" s="108"/>
      <c r="PUM14" s="108"/>
      <c r="PUN14" s="109"/>
      <c r="PUO14" s="107" t="s">
        <v>1</v>
      </c>
      <c r="PUP14" s="108"/>
      <c r="PUQ14" s="108"/>
      <c r="PUR14" s="109"/>
      <c r="PUS14" s="107" t="s">
        <v>1</v>
      </c>
      <c r="PUT14" s="108"/>
      <c r="PUU14" s="108"/>
      <c r="PUV14" s="109"/>
      <c r="PUW14" s="107" t="s">
        <v>1</v>
      </c>
      <c r="PUX14" s="108"/>
      <c r="PUY14" s="108"/>
      <c r="PUZ14" s="109"/>
      <c r="PVA14" s="107" t="s">
        <v>1</v>
      </c>
      <c r="PVB14" s="108"/>
      <c r="PVC14" s="108"/>
      <c r="PVD14" s="109"/>
      <c r="PVE14" s="107" t="s">
        <v>1</v>
      </c>
      <c r="PVF14" s="108"/>
      <c r="PVG14" s="108"/>
      <c r="PVH14" s="109"/>
      <c r="PVI14" s="107" t="s">
        <v>1</v>
      </c>
      <c r="PVJ14" s="108"/>
      <c r="PVK14" s="108"/>
      <c r="PVL14" s="109"/>
      <c r="PVM14" s="107" t="s">
        <v>1</v>
      </c>
      <c r="PVN14" s="108"/>
      <c r="PVO14" s="108"/>
      <c r="PVP14" s="109"/>
      <c r="PVQ14" s="107" t="s">
        <v>1</v>
      </c>
      <c r="PVR14" s="108"/>
      <c r="PVS14" s="108"/>
      <c r="PVT14" s="109"/>
      <c r="PVU14" s="107" t="s">
        <v>1</v>
      </c>
      <c r="PVV14" s="108"/>
      <c r="PVW14" s="108"/>
      <c r="PVX14" s="109"/>
      <c r="PVY14" s="107" t="s">
        <v>1</v>
      </c>
      <c r="PVZ14" s="108"/>
      <c r="PWA14" s="108"/>
      <c r="PWB14" s="109"/>
      <c r="PWC14" s="107" t="s">
        <v>1</v>
      </c>
      <c r="PWD14" s="108"/>
      <c r="PWE14" s="108"/>
      <c r="PWF14" s="109"/>
      <c r="PWG14" s="107" t="s">
        <v>1</v>
      </c>
      <c r="PWH14" s="108"/>
      <c r="PWI14" s="108"/>
      <c r="PWJ14" s="109"/>
      <c r="PWK14" s="107" t="s">
        <v>1</v>
      </c>
      <c r="PWL14" s="108"/>
      <c r="PWM14" s="108"/>
      <c r="PWN14" s="109"/>
      <c r="PWO14" s="107" t="s">
        <v>1</v>
      </c>
      <c r="PWP14" s="108"/>
      <c r="PWQ14" s="108"/>
      <c r="PWR14" s="109"/>
      <c r="PWS14" s="107" t="s">
        <v>1</v>
      </c>
      <c r="PWT14" s="108"/>
      <c r="PWU14" s="108"/>
      <c r="PWV14" s="109"/>
      <c r="PWW14" s="107" t="s">
        <v>1</v>
      </c>
      <c r="PWX14" s="108"/>
      <c r="PWY14" s="108"/>
      <c r="PWZ14" s="109"/>
      <c r="PXA14" s="107" t="s">
        <v>1</v>
      </c>
      <c r="PXB14" s="108"/>
      <c r="PXC14" s="108"/>
      <c r="PXD14" s="109"/>
      <c r="PXE14" s="107" t="s">
        <v>1</v>
      </c>
      <c r="PXF14" s="108"/>
      <c r="PXG14" s="108"/>
      <c r="PXH14" s="109"/>
      <c r="PXI14" s="107" t="s">
        <v>1</v>
      </c>
      <c r="PXJ14" s="108"/>
      <c r="PXK14" s="108"/>
      <c r="PXL14" s="109"/>
      <c r="PXM14" s="107" t="s">
        <v>1</v>
      </c>
      <c r="PXN14" s="108"/>
      <c r="PXO14" s="108"/>
      <c r="PXP14" s="109"/>
      <c r="PXQ14" s="107" t="s">
        <v>1</v>
      </c>
      <c r="PXR14" s="108"/>
      <c r="PXS14" s="108"/>
      <c r="PXT14" s="109"/>
      <c r="PXU14" s="107" t="s">
        <v>1</v>
      </c>
      <c r="PXV14" s="108"/>
      <c r="PXW14" s="108"/>
      <c r="PXX14" s="109"/>
      <c r="PXY14" s="107" t="s">
        <v>1</v>
      </c>
      <c r="PXZ14" s="108"/>
      <c r="PYA14" s="108"/>
      <c r="PYB14" s="109"/>
      <c r="PYC14" s="107" t="s">
        <v>1</v>
      </c>
      <c r="PYD14" s="108"/>
      <c r="PYE14" s="108"/>
      <c r="PYF14" s="109"/>
      <c r="PYG14" s="107" t="s">
        <v>1</v>
      </c>
      <c r="PYH14" s="108"/>
      <c r="PYI14" s="108"/>
      <c r="PYJ14" s="109"/>
      <c r="PYK14" s="107" t="s">
        <v>1</v>
      </c>
      <c r="PYL14" s="108"/>
      <c r="PYM14" s="108"/>
      <c r="PYN14" s="109"/>
      <c r="PYO14" s="107" t="s">
        <v>1</v>
      </c>
      <c r="PYP14" s="108"/>
      <c r="PYQ14" s="108"/>
      <c r="PYR14" s="109"/>
      <c r="PYS14" s="107" t="s">
        <v>1</v>
      </c>
      <c r="PYT14" s="108"/>
      <c r="PYU14" s="108"/>
      <c r="PYV14" s="109"/>
      <c r="PYW14" s="107" t="s">
        <v>1</v>
      </c>
      <c r="PYX14" s="108"/>
      <c r="PYY14" s="108"/>
      <c r="PYZ14" s="109"/>
      <c r="PZA14" s="107" t="s">
        <v>1</v>
      </c>
      <c r="PZB14" s="108"/>
      <c r="PZC14" s="108"/>
      <c r="PZD14" s="109"/>
      <c r="PZE14" s="107" t="s">
        <v>1</v>
      </c>
      <c r="PZF14" s="108"/>
      <c r="PZG14" s="108"/>
      <c r="PZH14" s="109"/>
      <c r="PZI14" s="107" t="s">
        <v>1</v>
      </c>
      <c r="PZJ14" s="108"/>
      <c r="PZK14" s="108"/>
      <c r="PZL14" s="109"/>
      <c r="PZM14" s="107" t="s">
        <v>1</v>
      </c>
      <c r="PZN14" s="108"/>
      <c r="PZO14" s="108"/>
      <c r="PZP14" s="109"/>
      <c r="PZQ14" s="107" t="s">
        <v>1</v>
      </c>
      <c r="PZR14" s="108"/>
      <c r="PZS14" s="108"/>
      <c r="PZT14" s="109"/>
      <c r="PZU14" s="107" t="s">
        <v>1</v>
      </c>
      <c r="PZV14" s="108"/>
      <c r="PZW14" s="108"/>
      <c r="PZX14" s="109"/>
      <c r="PZY14" s="107" t="s">
        <v>1</v>
      </c>
      <c r="PZZ14" s="108"/>
      <c r="QAA14" s="108"/>
      <c r="QAB14" s="109"/>
      <c r="QAC14" s="107" t="s">
        <v>1</v>
      </c>
      <c r="QAD14" s="108"/>
      <c r="QAE14" s="108"/>
      <c r="QAF14" s="109"/>
      <c r="QAG14" s="107" t="s">
        <v>1</v>
      </c>
      <c r="QAH14" s="108"/>
      <c r="QAI14" s="108"/>
      <c r="QAJ14" s="109"/>
      <c r="QAK14" s="107" t="s">
        <v>1</v>
      </c>
      <c r="QAL14" s="108"/>
      <c r="QAM14" s="108"/>
      <c r="QAN14" s="109"/>
      <c r="QAO14" s="107" t="s">
        <v>1</v>
      </c>
      <c r="QAP14" s="108"/>
      <c r="QAQ14" s="108"/>
      <c r="QAR14" s="109"/>
      <c r="QAS14" s="107" t="s">
        <v>1</v>
      </c>
      <c r="QAT14" s="108"/>
      <c r="QAU14" s="108"/>
      <c r="QAV14" s="109"/>
      <c r="QAW14" s="107" t="s">
        <v>1</v>
      </c>
      <c r="QAX14" s="108"/>
      <c r="QAY14" s="108"/>
      <c r="QAZ14" s="109"/>
      <c r="QBA14" s="107" t="s">
        <v>1</v>
      </c>
      <c r="QBB14" s="108"/>
      <c r="QBC14" s="108"/>
      <c r="QBD14" s="109"/>
      <c r="QBE14" s="107" t="s">
        <v>1</v>
      </c>
      <c r="QBF14" s="108"/>
      <c r="QBG14" s="108"/>
      <c r="QBH14" s="109"/>
      <c r="QBI14" s="107" t="s">
        <v>1</v>
      </c>
      <c r="QBJ14" s="108"/>
      <c r="QBK14" s="108"/>
      <c r="QBL14" s="109"/>
      <c r="QBM14" s="107" t="s">
        <v>1</v>
      </c>
      <c r="QBN14" s="108"/>
      <c r="QBO14" s="108"/>
      <c r="QBP14" s="109"/>
      <c r="QBQ14" s="107" t="s">
        <v>1</v>
      </c>
      <c r="QBR14" s="108"/>
      <c r="QBS14" s="108"/>
      <c r="QBT14" s="109"/>
      <c r="QBU14" s="107" t="s">
        <v>1</v>
      </c>
      <c r="QBV14" s="108"/>
      <c r="QBW14" s="108"/>
      <c r="QBX14" s="109"/>
      <c r="QBY14" s="107" t="s">
        <v>1</v>
      </c>
      <c r="QBZ14" s="108"/>
      <c r="QCA14" s="108"/>
      <c r="QCB14" s="109"/>
      <c r="QCC14" s="107" t="s">
        <v>1</v>
      </c>
      <c r="QCD14" s="108"/>
      <c r="QCE14" s="108"/>
      <c r="QCF14" s="109"/>
      <c r="QCG14" s="107" t="s">
        <v>1</v>
      </c>
      <c r="QCH14" s="108"/>
      <c r="QCI14" s="108"/>
      <c r="QCJ14" s="109"/>
      <c r="QCK14" s="107" t="s">
        <v>1</v>
      </c>
      <c r="QCL14" s="108"/>
      <c r="QCM14" s="108"/>
      <c r="QCN14" s="109"/>
      <c r="QCO14" s="107" t="s">
        <v>1</v>
      </c>
      <c r="QCP14" s="108"/>
      <c r="QCQ14" s="108"/>
      <c r="QCR14" s="109"/>
      <c r="QCS14" s="107" t="s">
        <v>1</v>
      </c>
      <c r="QCT14" s="108"/>
      <c r="QCU14" s="108"/>
      <c r="QCV14" s="109"/>
      <c r="QCW14" s="107" t="s">
        <v>1</v>
      </c>
      <c r="QCX14" s="108"/>
      <c r="QCY14" s="108"/>
      <c r="QCZ14" s="109"/>
      <c r="QDA14" s="107" t="s">
        <v>1</v>
      </c>
      <c r="QDB14" s="108"/>
      <c r="QDC14" s="108"/>
      <c r="QDD14" s="109"/>
      <c r="QDE14" s="107" t="s">
        <v>1</v>
      </c>
      <c r="QDF14" s="108"/>
      <c r="QDG14" s="108"/>
      <c r="QDH14" s="109"/>
      <c r="QDI14" s="107" t="s">
        <v>1</v>
      </c>
      <c r="QDJ14" s="108"/>
      <c r="QDK14" s="108"/>
      <c r="QDL14" s="109"/>
      <c r="QDM14" s="107" t="s">
        <v>1</v>
      </c>
      <c r="QDN14" s="108"/>
      <c r="QDO14" s="108"/>
      <c r="QDP14" s="109"/>
      <c r="QDQ14" s="107" t="s">
        <v>1</v>
      </c>
      <c r="QDR14" s="108"/>
      <c r="QDS14" s="108"/>
      <c r="QDT14" s="109"/>
      <c r="QDU14" s="107" t="s">
        <v>1</v>
      </c>
      <c r="QDV14" s="108"/>
      <c r="QDW14" s="108"/>
      <c r="QDX14" s="109"/>
      <c r="QDY14" s="107" t="s">
        <v>1</v>
      </c>
      <c r="QDZ14" s="108"/>
      <c r="QEA14" s="108"/>
      <c r="QEB14" s="109"/>
      <c r="QEC14" s="107" t="s">
        <v>1</v>
      </c>
      <c r="QED14" s="108"/>
      <c r="QEE14" s="108"/>
      <c r="QEF14" s="109"/>
      <c r="QEG14" s="107" t="s">
        <v>1</v>
      </c>
      <c r="QEH14" s="108"/>
      <c r="QEI14" s="108"/>
      <c r="QEJ14" s="109"/>
      <c r="QEK14" s="107" t="s">
        <v>1</v>
      </c>
      <c r="QEL14" s="108"/>
      <c r="QEM14" s="108"/>
      <c r="QEN14" s="109"/>
      <c r="QEO14" s="107" t="s">
        <v>1</v>
      </c>
      <c r="QEP14" s="108"/>
      <c r="QEQ14" s="108"/>
      <c r="QER14" s="109"/>
      <c r="QES14" s="107" t="s">
        <v>1</v>
      </c>
      <c r="QET14" s="108"/>
      <c r="QEU14" s="108"/>
      <c r="QEV14" s="109"/>
      <c r="QEW14" s="107" t="s">
        <v>1</v>
      </c>
      <c r="QEX14" s="108"/>
      <c r="QEY14" s="108"/>
      <c r="QEZ14" s="109"/>
      <c r="QFA14" s="107" t="s">
        <v>1</v>
      </c>
      <c r="QFB14" s="108"/>
      <c r="QFC14" s="108"/>
      <c r="QFD14" s="109"/>
      <c r="QFE14" s="107" t="s">
        <v>1</v>
      </c>
      <c r="QFF14" s="108"/>
      <c r="QFG14" s="108"/>
      <c r="QFH14" s="109"/>
      <c r="QFI14" s="107" t="s">
        <v>1</v>
      </c>
      <c r="QFJ14" s="108"/>
      <c r="QFK14" s="108"/>
      <c r="QFL14" s="109"/>
      <c r="QFM14" s="107" t="s">
        <v>1</v>
      </c>
      <c r="QFN14" s="108"/>
      <c r="QFO14" s="108"/>
      <c r="QFP14" s="109"/>
      <c r="QFQ14" s="107" t="s">
        <v>1</v>
      </c>
      <c r="QFR14" s="108"/>
      <c r="QFS14" s="108"/>
      <c r="QFT14" s="109"/>
      <c r="QFU14" s="107" t="s">
        <v>1</v>
      </c>
      <c r="QFV14" s="108"/>
      <c r="QFW14" s="108"/>
      <c r="QFX14" s="109"/>
      <c r="QFY14" s="107" t="s">
        <v>1</v>
      </c>
      <c r="QFZ14" s="108"/>
      <c r="QGA14" s="108"/>
      <c r="QGB14" s="109"/>
      <c r="QGC14" s="107" t="s">
        <v>1</v>
      </c>
      <c r="QGD14" s="108"/>
      <c r="QGE14" s="108"/>
      <c r="QGF14" s="109"/>
      <c r="QGG14" s="107" t="s">
        <v>1</v>
      </c>
      <c r="QGH14" s="108"/>
      <c r="QGI14" s="108"/>
      <c r="QGJ14" s="109"/>
      <c r="QGK14" s="107" t="s">
        <v>1</v>
      </c>
      <c r="QGL14" s="108"/>
      <c r="QGM14" s="108"/>
      <c r="QGN14" s="109"/>
      <c r="QGO14" s="107" t="s">
        <v>1</v>
      </c>
      <c r="QGP14" s="108"/>
      <c r="QGQ14" s="108"/>
      <c r="QGR14" s="109"/>
      <c r="QGS14" s="107" t="s">
        <v>1</v>
      </c>
      <c r="QGT14" s="108"/>
      <c r="QGU14" s="108"/>
      <c r="QGV14" s="109"/>
      <c r="QGW14" s="107" t="s">
        <v>1</v>
      </c>
      <c r="QGX14" s="108"/>
      <c r="QGY14" s="108"/>
      <c r="QGZ14" s="109"/>
      <c r="QHA14" s="107" t="s">
        <v>1</v>
      </c>
      <c r="QHB14" s="108"/>
      <c r="QHC14" s="108"/>
      <c r="QHD14" s="109"/>
      <c r="QHE14" s="107" t="s">
        <v>1</v>
      </c>
      <c r="QHF14" s="108"/>
      <c r="QHG14" s="108"/>
      <c r="QHH14" s="109"/>
      <c r="QHI14" s="107" t="s">
        <v>1</v>
      </c>
      <c r="QHJ14" s="108"/>
      <c r="QHK14" s="108"/>
      <c r="QHL14" s="109"/>
      <c r="QHM14" s="107" t="s">
        <v>1</v>
      </c>
      <c r="QHN14" s="108"/>
      <c r="QHO14" s="108"/>
      <c r="QHP14" s="109"/>
      <c r="QHQ14" s="107" t="s">
        <v>1</v>
      </c>
      <c r="QHR14" s="108"/>
      <c r="QHS14" s="108"/>
      <c r="QHT14" s="109"/>
      <c r="QHU14" s="107" t="s">
        <v>1</v>
      </c>
      <c r="QHV14" s="108"/>
      <c r="QHW14" s="108"/>
      <c r="QHX14" s="109"/>
      <c r="QHY14" s="107" t="s">
        <v>1</v>
      </c>
      <c r="QHZ14" s="108"/>
      <c r="QIA14" s="108"/>
      <c r="QIB14" s="109"/>
      <c r="QIC14" s="107" t="s">
        <v>1</v>
      </c>
      <c r="QID14" s="108"/>
      <c r="QIE14" s="108"/>
      <c r="QIF14" s="109"/>
      <c r="QIG14" s="107" t="s">
        <v>1</v>
      </c>
      <c r="QIH14" s="108"/>
      <c r="QII14" s="108"/>
      <c r="QIJ14" s="109"/>
      <c r="QIK14" s="107" t="s">
        <v>1</v>
      </c>
      <c r="QIL14" s="108"/>
      <c r="QIM14" s="108"/>
      <c r="QIN14" s="109"/>
      <c r="QIO14" s="107" t="s">
        <v>1</v>
      </c>
      <c r="QIP14" s="108"/>
      <c r="QIQ14" s="108"/>
      <c r="QIR14" s="109"/>
      <c r="QIS14" s="107" t="s">
        <v>1</v>
      </c>
      <c r="QIT14" s="108"/>
      <c r="QIU14" s="108"/>
      <c r="QIV14" s="109"/>
      <c r="QIW14" s="107" t="s">
        <v>1</v>
      </c>
      <c r="QIX14" s="108"/>
      <c r="QIY14" s="108"/>
      <c r="QIZ14" s="109"/>
      <c r="QJA14" s="107" t="s">
        <v>1</v>
      </c>
      <c r="QJB14" s="108"/>
      <c r="QJC14" s="108"/>
      <c r="QJD14" s="109"/>
      <c r="QJE14" s="107" t="s">
        <v>1</v>
      </c>
      <c r="QJF14" s="108"/>
      <c r="QJG14" s="108"/>
      <c r="QJH14" s="109"/>
      <c r="QJI14" s="107" t="s">
        <v>1</v>
      </c>
      <c r="QJJ14" s="108"/>
      <c r="QJK14" s="108"/>
      <c r="QJL14" s="109"/>
      <c r="QJM14" s="107" t="s">
        <v>1</v>
      </c>
      <c r="QJN14" s="108"/>
      <c r="QJO14" s="108"/>
      <c r="QJP14" s="109"/>
      <c r="QJQ14" s="107" t="s">
        <v>1</v>
      </c>
      <c r="QJR14" s="108"/>
      <c r="QJS14" s="108"/>
      <c r="QJT14" s="109"/>
      <c r="QJU14" s="107" t="s">
        <v>1</v>
      </c>
      <c r="QJV14" s="108"/>
      <c r="QJW14" s="108"/>
      <c r="QJX14" s="109"/>
      <c r="QJY14" s="107" t="s">
        <v>1</v>
      </c>
      <c r="QJZ14" s="108"/>
      <c r="QKA14" s="108"/>
      <c r="QKB14" s="109"/>
      <c r="QKC14" s="107" t="s">
        <v>1</v>
      </c>
      <c r="QKD14" s="108"/>
      <c r="QKE14" s="108"/>
      <c r="QKF14" s="109"/>
      <c r="QKG14" s="107" t="s">
        <v>1</v>
      </c>
      <c r="QKH14" s="108"/>
      <c r="QKI14" s="108"/>
      <c r="QKJ14" s="109"/>
      <c r="QKK14" s="107" t="s">
        <v>1</v>
      </c>
      <c r="QKL14" s="108"/>
      <c r="QKM14" s="108"/>
      <c r="QKN14" s="109"/>
      <c r="QKO14" s="107" t="s">
        <v>1</v>
      </c>
      <c r="QKP14" s="108"/>
      <c r="QKQ14" s="108"/>
      <c r="QKR14" s="109"/>
      <c r="QKS14" s="107" t="s">
        <v>1</v>
      </c>
      <c r="QKT14" s="108"/>
      <c r="QKU14" s="108"/>
      <c r="QKV14" s="109"/>
      <c r="QKW14" s="107" t="s">
        <v>1</v>
      </c>
      <c r="QKX14" s="108"/>
      <c r="QKY14" s="108"/>
      <c r="QKZ14" s="109"/>
      <c r="QLA14" s="107" t="s">
        <v>1</v>
      </c>
      <c r="QLB14" s="108"/>
      <c r="QLC14" s="108"/>
      <c r="QLD14" s="109"/>
      <c r="QLE14" s="107" t="s">
        <v>1</v>
      </c>
      <c r="QLF14" s="108"/>
      <c r="QLG14" s="108"/>
      <c r="QLH14" s="109"/>
      <c r="QLI14" s="107" t="s">
        <v>1</v>
      </c>
      <c r="QLJ14" s="108"/>
      <c r="QLK14" s="108"/>
      <c r="QLL14" s="109"/>
      <c r="QLM14" s="107" t="s">
        <v>1</v>
      </c>
      <c r="QLN14" s="108"/>
      <c r="QLO14" s="108"/>
      <c r="QLP14" s="109"/>
      <c r="QLQ14" s="107" t="s">
        <v>1</v>
      </c>
      <c r="QLR14" s="108"/>
      <c r="QLS14" s="108"/>
      <c r="QLT14" s="109"/>
      <c r="QLU14" s="107" t="s">
        <v>1</v>
      </c>
      <c r="QLV14" s="108"/>
      <c r="QLW14" s="108"/>
      <c r="QLX14" s="109"/>
      <c r="QLY14" s="107" t="s">
        <v>1</v>
      </c>
      <c r="QLZ14" s="108"/>
      <c r="QMA14" s="108"/>
      <c r="QMB14" s="109"/>
      <c r="QMC14" s="107" t="s">
        <v>1</v>
      </c>
      <c r="QMD14" s="108"/>
      <c r="QME14" s="108"/>
      <c r="QMF14" s="109"/>
      <c r="QMG14" s="107" t="s">
        <v>1</v>
      </c>
      <c r="QMH14" s="108"/>
      <c r="QMI14" s="108"/>
      <c r="QMJ14" s="109"/>
      <c r="QMK14" s="107" t="s">
        <v>1</v>
      </c>
      <c r="QML14" s="108"/>
      <c r="QMM14" s="108"/>
      <c r="QMN14" s="109"/>
      <c r="QMO14" s="107" t="s">
        <v>1</v>
      </c>
      <c r="QMP14" s="108"/>
      <c r="QMQ14" s="108"/>
      <c r="QMR14" s="109"/>
      <c r="QMS14" s="107" t="s">
        <v>1</v>
      </c>
      <c r="QMT14" s="108"/>
      <c r="QMU14" s="108"/>
      <c r="QMV14" s="109"/>
      <c r="QMW14" s="107" t="s">
        <v>1</v>
      </c>
      <c r="QMX14" s="108"/>
      <c r="QMY14" s="108"/>
      <c r="QMZ14" s="109"/>
      <c r="QNA14" s="107" t="s">
        <v>1</v>
      </c>
      <c r="QNB14" s="108"/>
      <c r="QNC14" s="108"/>
      <c r="QND14" s="109"/>
      <c r="QNE14" s="107" t="s">
        <v>1</v>
      </c>
      <c r="QNF14" s="108"/>
      <c r="QNG14" s="108"/>
      <c r="QNH14" s="109"/>
      <c r="QNI14" s="107" t="s">
        <v>1</v>
      </c>
      <c r="QNJ14" s="108"/>
      <c r="QNK14" s="108"/>
      <c r="QNL14" s="109"/>
      <c r="QNM14" s="107" t="s">
        <v>1</v>
      </c>
      <c r="QNN14" s="108"/>
      <c r="QNO14" s="108"/>
      <c r="QNP14" s="109"/>
      <c r="QNQ14" s="107" t="s">
        <v>1</v>
      </c>
      <c r="QNR14" s="108"/>
      <c r="QNS14" s="108"/>
      <c r="QNT14" s="109"/>
      <c r="QNU14" s="107" t="s">
        <v>1</v>
      </c>
      <c r="QNV14" s="108"/>
      <c r="QNW14" s="108"/>
      <c r="QNX14" s="109"/>
      <c r="QNY14" s="107" t="s">
        <v>1</v>
      </c>
      <c r="QNZ14" s="108"/>
      <c r="QOA14" s="108"/>
      <c r="QOB14" s="109"/>
      <c r="QOC14" s="107" t="s">
        <v>1</v>
      </c>
      <c r="QOD14" s="108"/>
      <c r="QOE14" s="108"/>
      <c r="QOF14" s="109"/>
      <c r="QOG14" s="107" t="s">
        <v>1</v>
      </c>
      <c r="QOH14" s="108"/>
      <c r="QOI14" s="108"/>
      <c r="QOJ14" s="109"/>
      <c r="QOK14" s="107" t="s">
        <v>1</v>
      </c>
      <c r="QOL14" s="108"/>
      <c r="QOM14" s="108"/>
      <c r="QON14" s="109"/>
      <c r="QOO14" s="107" t="s">
        <v>1</v>
      </c>
      <c r="QOP14" s="108"/>
      <c r="QOQ14" s="108"/>
      <c r="QOR14" s="109"/>
      <c r="QOS14" s="107" t="s">
        <v>1</v>
      </c>
      <c r="QOT14" s="108"/>
      <c r="QOU14" s="108"/>
      <c r="QOV14" s="109"/>
      <c r="QOW14" s="107" t="s">
        <v>1</v>
      </c>
      <c r="QOX14" s="108"/>
      <c r="QOY14" s="108"/>
      <c r="QOZ14" s="109"/>
      <c r="QPA14" s="107" t="s">
        <v>1</v>
      </c>
      <c r="QPB14" s="108"/>
      <c r="QPC14" s="108"/>
      <c r="QPD14" s="109"/>
      <c r="QPE14" s="107" t="s">
        <v>1</v>
      </c>
      <c r="QPF14" s="108"/>
      <c r="QPG14" s="108"/>
      <c r="QPH14" s="109"/>
      <c r="QPI14" s="107" t="s">
        <v>1</v>
      </c>
      <c r="QPJ14" s="108"/>
      <c r="QPK14" s="108"/>
      <c r="QPL14" s="109"/>
      <c r="QPM14" s="107" t="s">
        <v>1</v>
      </c>
      <c r="QPN14" s="108"/>
      <c r="QPO14" s="108"/>
      <c r="QPP14" s="109"/>
      <c r="QPQ14" s="107" t="s">
        <v>1</v>
      </c>
      <c r="QPR14" s="108"/>
      <c r="QPS14" s="108"/>
      <c r="QPT14" s="109"/>
      <c r="QPU14" s="107" t="s">
        <v>1</v>
      </c>
      <c r="QPV14" s="108"/>
      <c r="QPW14" s="108"/>
      <c r="QPX14" s="109"/>
      <c r="QPY14" s="107" t="s">
        <v>1</v>
      </c>
      <c r="QPZ14" s="108"/>
      <c r="QQA14" s="108"/>
      <c r="QQB14" s="109"/>
      <c r="QQC14" s="107" t="s">
        <v>1</v>
      </c>
      <c r="QQD14" s="108"/>
      <c r="QQE14" s="108"/>
      <c r="QQF14" s="109"/>
      <c r="QQG14" s="107" t="s">
        <v>1</v>
      </c>
      <c r="QQH14" s="108"/>
      <c r="QQI14" s="108"/>
      <c r="QQJ14" s="109"/>
      <c r="QQK14" s="107" t="s">
        <v>1</v>
      </c>
      <c r="QQL14" s="108"/>
      <c r="QQM14" s="108"/>
      <c r="QQN14" s="109"/>
      <c r="QQO14" s="107" t="s">
        <v>1</v>
      </c>
      <c r="QQP14" s="108"/>
      <c r="QQQ14" s="108"/>
      <c r="QQR14" s="109"/>
      <c r="QQS14" s="107" t="s">
        <v>1</v>
      </c>
      <c r="QQT14" s="108"/>
      <c r="QQU14" s="108"/>
      <c r="QQV14" s="109"/>
      <c r="QQW14" s="107" t="s">
        <v>1</v>
      </c>
      <c r="QQX14" s="108"/>
      <c r="QQY14" s="108"/>
      <c r="QQZ14" s="109"/>
      <c r="QRA14" s="107" t="s">
        <v>1</v>
      </c>
      <c r="QRB14" s="108"/>
      <c r="QRC14" s="108"/>
      <c r="QRD14" s="109"/>
      <c r="QRE14" s="107" t="s">
        <v>1</v>
      </c>
      <c r="QRF14" s="108"/>
      <c r="QRG14" s="108"/>
      <c r="QRH14" s="109"/>
      <c r="QRI14" s="107" t="s">
        <v>1</v>
      </c>
      <c r="QRJ14" s="108"/>
      <c r="QRK14" s="108"/>
      <c r="QRL14" s="109"/>
      <c r="QRM14" s="107" t="s">
        <v>1</v>
      </c>
      <c r="QRN14" s="108"/>
      <c r="QRO14" s="108"/>
      <c r="QRP14" s="109"/>
      <c r="QRQ14" s="107" t="s">
        <v>1</v>
      </c>
      <c r="QRR14" s="108"/>
      <c r="QRS14" s="108"/>
      <c r="QRT14" s="109"/>
      <c r="QRU14" s="107" t="s">
        <v>1</v>
      </c>
      <c r="QRV14" s="108"/>
      <c r="QRW14" s="108"/>
      <c r="QRX14" s="109"/>
      <c r="QRY14" s="107" t="s">
        <v>1</v>
      </c>
      <c r="QRZ14" s="108"/>
      <c r="QSA14" s="108"/>
      <c r="QSB14" s="109"/>
      <c r="QSC14" s="107" t="s">
        <v>1</v>
      </c>
      <c r="QSD14" s="108"/>
      <c r="QSE14" s="108"/>
      <c r="QSF14" s="109"/>
      <c r="QSG14" s="107" t="s">
        <v>1</v>
      </c>
      <c r="QSH14" s="108"/>
      <c r="QSI14" s="108"/>
      <c r="QSJ14" s="109"/>
      <c r="QSK14" s="107" t="s">
        <v>1</v>
      </c>
      <c r="QSL14" s="108"/>
      <c r="QSM14" s="108"/>
      <c r="QSN14" s="109"/>
      <c r="QSO14" s="107" t="s">
        <v>1</v>
      </c>
      <c r="QSP14" s="108"/>
      <c r="QSQ14" s="108"/>
      <c r="QSR14" s="109"/>
      <c r="QSS14" s="107" t="s">
        <v>1</v>
      </c>
      <c r="QST14" s="108"/>
      <c r="QSU14" s="108"/>
      <c r="QSV14" s="109"/>
      <c r="QSW14" s="107" t="s">
        <v>1</v>
      </c>
      <c r="QSX14" s="108"/>
      <c r="QSY14" s="108"/>
      <c r="QSZ14" s="109"/>
      <c r="QTA14" s="107" t="s">
        <v>1</v>
      </c>
      <c r="QTB14" s="108"/>
      <c r="QTC14" s="108"/>
      <c r="QTD14" s="109"/>
      <c r="QTE14" s="107" t="s">
        <v>1</v>
      </c>
      <c r="QTF14" s="108"/>
      <c r="QTG14" s="108"/>
      <c r="QTH14" s="109"/>
      <c r="QTI14" s="107" t="s">
        <v>1</v>
      </c>
      <c r="QTJ14" s="108"/>
      <c r="QTK14" s="108"/>
      <c r="QTL14" s="109"/>
      <c r="QTM14" s="107" t="s">
        <v>1</v>
      </c>
      <c r="QTN14" s="108"/>
      <c r="QTO14" s="108"/>
      <c r="QTP14" s="109"/>
      <c r="QTQ14" s="107" t="s">
        <v>1</v>
      </c>
      <c r="QTR14" s="108"/>
      <c r="QTS14" s="108"/>
      <c r="QTT14" s="109"/>
      <c r="QTU14" s="107" t="s">
        <v>1</v>
      </c>
      <c r="QTV14" s="108"/>
      <c r="QTW14" s="108"/>
      <c r="QTX14" s="109"/>
      <c r="QTY14" s="107" t="s">
        <v>1</v>
      </c>
      <c r="QTZ14" s="108"/>
      <c r="QUA14" s="108"/>
      <c r="QUB14" s="109"/>
      <c r="QUC14" s="107" t="s">
        <v>1</v>
      </c>
      <c r="QUD14" s="108"/>
      <c r="QUE14" s="108"/>
      <c r="QUF14" s="109"/>
      <c r="QUG14" s="107" t="s">
        <v>1</v>
      </c>
      <c r="QUH14" s="108"/>
      <c r="QUI14" s="108"/>
      <c r="QUJ14" s="109"/>
      <c r="QUK14" s="107" t="s">
        <v>1</v>
      </c>
      <c r="QUL14" s="108"/>
      <c r="QUM14" s="108"/>
      <c r="QUN14" s="109"/>
      <c r="QUO14" s="107" t="s">
        <v>1</v>
      </c>
      <c r="QUP14" s="108"/>
      <c r="QUQ14" s="108"/>
      <c r="QUR14" s="109"/>
      <c r="QUS14" s="107" t="s">
        <v>1</v>
      </c>
      <c r="QUT14" s="108"/>
      <c r="QUU14" s="108"/>
      <c r="QUV14" s="109"/>
      <c r="QUW14" s="107" t="s">
        <v>1</v>
      </c>
      <c r="QUX14" s="108"/>
      <c r="QUY14" s="108"/>
      <c r="QUZ14" s="109"/>
      <c r="QVA14" s="107" t="s">
        <v>1</v>
      </c>
      <c r="QVB14" s="108"/>
      <c r="QVC14" s="108"/>
      <c r="QVD14" s="109"/>
      <c r="QVE14" s="107" t="s">
        <v>1</v>
      </c>
      <c r="QVF14" s="108"/>
      <c r="QVG14" s="108"/>
      <c r="QVH14" s="109"/>
      <c r="QVI14" s="107" t="s">
        <v>1</v>
      </c>
      <c r="QVJ14" s="108"/>
      <c r="QVK14" s="108"/>
      <c r="QVL14" s="109"/>
      <c r="QVM14" s="107" t="s">
        <v>1</v>
      </c>
      <c r="QVN14" s="108"/>
      <c r="QVO14" s="108"/>
      <c r="QVP14" s="109"/>
      <c r="QVQ14" s="107" t="s">
        <v>1</v>
      </c>
      <c r="QVR14" s="108"/>
      <c r="QVS14" s="108"/>
      <c r="QVT14" s="109"/>
      <c r="QVU14" s="107" t="s">
        <v>1</v>
      </c>
      <c r="QVV14" s="108"/>
      <c r="QVW14" s="108"/>
      <c r="QVX14" s="109"/>
      <c r="QVY14" s="107" t="s">
        <v>1</v>
      </c>
      <c r="QVZ14" s="108"/>
      <c r="QWA14" s="108"/>
      <c r="QWB14" s="109"/>
      <c r="QWC14" s="107" t="s">
        <v>1</v>
      </c>
      <c r="QWD14" s="108"/>
      <c r="QWE14" s="108"/>
      <c r="QWF14" s="109"/>
      <c r="QWG14" s="107" t="s">
        <v>1</v>
      </c>
      <c r="QWH14" s="108"/>
      <c r="QWI14" s="108"/>
      <c r="QWJ14" s="109"/>
      <c r="QWK14" s="107" t="s">
        <v>1</v>
      </c>
      <c r="QWL14" s="108"/>
      <c r="QWM14" s="108"/>
      <c r="QWN14" s="109"/>
      <c r="QWO14" s="107" t="s">
        <v>1</v>
      </c>
      <c r="QWP14" s="108"/>
      <c r="QWQ14" s="108"/>
      <c r="QWR14" s="109"/>
      <c r="QWS14" s="107" t="s">
        <v>1</v>
      </c>
      <c r="QWT14" s="108"/>
      <c r="QWU14" s="108"/>
      <c r="QWV14" s="109"/>
      <c r="QWW14" s="107" t="s">
        <v>1</v>
      </c>
      <c r="QWX14" s="108"/>
      <c r="QWY14" s="108"/>
      <c r="QWZ14" s="109"/>
      <c r="QXA14" s="107" t="s">
        <v>1</v>
      </c>
      <c r="QXB14" s="108"/>
      <c r="QXC14" s="108"/>
      <c r="QXD14" s="109"/>
      <c r="QXE14" s="107" t="s">
        <v>1</v>
      </c>
      <c r="QXF14" s="108"/>
      <c r="QXG14" s="108"/>
      <c r="QXH14" s="109"/>
      <c r="QXI14" s="107" t="s">
        <v>1</v>
      </c>
      <c r="QXJ14" s="108"/>
      <c r="QXK14" s="108"/>
      <c r="QXL14" s="109"/>
      <c r="QXM14" s="107" t="s">
        <v>1</v>
      </c>
      <c r="QXN14" s="108"/>
      <c r="QXO14" s="108"/>
      <c r="QXP14" s="109"/>
      <c r="QXQ14" s="107" t="s">
        <v>1</v>
      </c>
      <c r="QXR14" s="108"/>
      <c r="QXS14" s="108"/>
      <c r="QXT14" s="109"/>
      <c r="QXU14" s="107" t="s">
        <v>1</v>
      </c>
      <c r="QXV14" s="108"/>
      <c r="QXW14" s="108"/>
      <c r="QXX14" s="109"/>
      <c r="QXY14" s="107" t="s">
        <v>1</v>
      </c>
      <c r="QXZ14" s="108"/>
      <c r="QYA14" s="108"/>
      <c r="QYB14" s="109"/>
      <c r="QYC14" s="107" t="s">
        <v>1</v>
      </c>
      <c r="QYD14" s="108"/>
      <c r="QYE14" s="108"/>
      <c r="QYF14" s="109"/>
      <c r="QYG14" s="107" t="s">
        <v>1</v>
      </c>
      <c r="QYH14" s="108"/>
      <c r="QYI14" s="108"/>
      <c r="QYJ14" s="109"/>
      <c r="QYK14" s="107" t="s">
        <v>1</v>
      </c>
      <c r="QYL14" s="108"/>
      <c r="QYM14" s="108"/>
      <c r="QYN14" s="109"/>
      <c r="QYO14" s="107" t="s">
        <v>1</v>
      </c>
      <c r="QYP14" s="108"/>
      <c r="QYQ14" s="108"/>
      <c r="QYR14" s="109"/>
      <c r="QYS14" s="107" t="s">
        <v>1</v>
      </c>
      <c r="QYT14" s="108"/>
      <c r="QYU14" s="108"/>
      <c r="QYV14" s="109"/>
      <c r="QYW14" s="107" t="s">
        <v>1</v>
      </c>
      <c r="QYX14" s="108"/>
      <c r="QYY14" s="108"/>
      <c r="QYZ14" s="109"/>
      <c r="QZA14" s="107" t="s">
        <v>1</v>
      </c>
      <c r="QZB14" s="108"/>
      <c r="QZC14" s="108"/>
      <c r="QZD14" s="109"/>
      <c r="QZE14" s="107" t="s">
        <v>1</v>
      </c>
      <c r="QZF14" s="108"/>
      <c r="QZG14" s="108"/>
      <c r="QZH14" s="109"/>
      <c r="QZI14" s="107" t="s">
        <v>1</v>
      </c>
      <c r="QZJ14" s="108"/>
      <c r="QZK14" s="108"/>
      <c r="QZL14" s="109"/>
      <c r="QZM14" s="107" t="s">
        <v>1</v>
      </c>
      <c r="QZN14" s="108"/>
      <c r="QZO14" s="108"/>
      <c r="QZP14" s="109"/>
      <c r="QZQ14" s="107" t="s">
        <v>1</v>
      </c>
      <c r="QZR14" s="108"/>
      <c r="QZS14" s="108"/>
      <c r="QZT14" s="109"/>
      <c r="QZU14" s="107" t="s">
        <v>1</v>
      </c>
      <c r="QZV14" s="108"/>
      <c r="QZW14" s="108"/>
      <c r="QZX14" s="109"/>
      <c r="QZY14" s="107" t="s">
        <v>1</v>
      </c>
      <c r="QZZ14" s="108"/>
      <c r="RAA14" s="108"/>
      <c r="RAB14" s="109"/>
      <c r="RAC14" s="107" t="s">
        <v>1</v>
      </c>
      <c r="RAD14" s="108"/>
      <c r="RAE14" s="108"/>
      <c r="RAF14" s="109"/>
      <c r="RAG14" s="107" t="s">
        <v>1</v>
      </c>
      <c r="RAH14" s="108"/>
      <c r="RAI14" s="108"/>
      <c r="RAJ14" s="109"/>
      <c r="RAK14" s="107" t="s">
        <v>1</v>
      </c>
      <c r="RAL14" s="108"/>
      <c r="RAM14" s="108"/>
      <c r="RAN14" s="109"/>
      <c r="RAO14" s="107" t="s">
        <v>1</v>
      </c>
      <c r="RAP14" s="108"/>
      <c r="RAQ14" s="108"/>
      <c r="RAR14" s="109"/>
      <c r="RAS14" s="107" t="s">
        <v>1</v>
      </c>
      <c r="RAT14" s="108"/>
      <c r="RAU14" s="108"/>
      <c r="RAV14" s="109"/>
      <c r="RAW14" s="107" t="s">
        <v>1</v>
      </c>
      <c r="RAX14" s="108"/>
      <c r="RAY14" s="108"/>
      <c r="RAZ14" s="109"/>
      <c r="RBA14" s="107" t="s">
        <v>1</v>
      </c>
      <c r="RBB14" s="108"/>
      <c r="RBC14" s="108"/>
      <c r="RBD14" s="109"/>
      <c r="RBE14" s="107" t="s">
        <v>1</v>
      </c>
      <c r="RBF14" s="108"/>
      <c r="RBG14" s="108"/>
      <c r="RBH14" s="109"/>
      <c r="RBI14" s="107" t="s">
        <v>1</v>
      </c>
      <c r="RBJ14" s="108"/>
      <c r="RBK14" s="108"/>
      <c r="RBL14" s="109"/>
      <c r="RBM14" s="107" t="s">
        <v>1</v>
      </c>
      <c r="RBN14" s="108"/>
      <c r="RBO14" s="108"/>
      <c r="RBP14" s="109"/>
      <c r="RBQ14" s="107" t="s">
        <v>1</v>
      </c>
      <c r="RBR14" s="108"/>
      <c r="RBS14" s="108"/>
      <c r="RBT14" s="109"/>
      <c r="RBU14" s="107" t="s">
        <v>1</v>
      </c>
      <c r="RBV14" s="108"/>
      <c r="RBW14" s="108"/>
      <c r="RBX14" s="109"/>
      <c r="RBY14" s="107" t="s">
        <v>1</v>
      </c>
      <c r="RBZ14" s="108"/>
      <c r="RCA14" s="108"/>
      <c r="RCB14" s="109"/>
      <c r="RCC14" s="107" t="s">
        <v>1</v>
      </c>
      <c r="RCD14" s="108"/>
      <c r="RCE14" s="108"/>
      <c r="RCF14" s="109"/>
      <c r="RCG14" s="107" t="s">
        <v>1</v>
      </c>
      <c r="RCH14" s="108"/>
      <c r="RCI14" s="108"/>
      <c r="RCJ14" s="109"/>
      <c r="RCK14" s="107" t="s">
        <v>1</v>
      </c>
      <c r="RCL14" s="108"/>
      <c r="RCM14" s="108"/>
      <c r="RCN14" s="109"/>
      <c r="RCO14" s="107" t="s">
        <v>1</v>
      </c>
      <c r="RCP14" s="108"/>
      <c r="RCQ14" s="108"/>
      <c r="RCR14" s="109"/>
      <c r="RCS14" s="107" t="s">
        <v>1</v>
      </c>
      <c r="RCT14" s="108"/>
      <c r="RCU14" s="108"/>
      <c r="RCV14" s="109"/>
      <c r="RCW14" s="107" t="s">
        <v>1</v>
      </c>
      <c r="RCX14" s="108"/>
      <c r="RCY14" s="108"/>
      <c r="RCZ14" s="109"/>
      <c r="RDA14" s="107" t="s">
        <v>1</v>
      </c>
      <c r="RDB14" s="108"/>
      <c r="RDC14" s="108"/>
      <c r="RDD14" s="109"/>
      <c r="RDE14" s="107" t="s">
        <v>1</v>
      </c>
      <c r="RDF14" s="108"/>
      <c r="RDG14" s="108"/>
      <c r="RDH14" s="109"/>
      <c r="RDI14" s="107" t="s">
        <v>1</v>
      </c>
      <c r="RDJ14" s="108"/>
      <c r="RDK14" s="108"/>
      <c r="RDL14" s="109"/>
      <c r="RDM14" s="107" t="s">
        <v>1</v>
      </c>
      <c r="RDN14" s="108"/>
      <c r="RDO14" s="108"/>
      <c r="RDP14" s="109"/>
      <c r="RDQ14" s="107" t="s">
        <v>1</v>
      </c>
      <c r="RDR14" s="108"/>
      <c r="RDS14" s="108"/>
      <c r="RDT14" s="109"/>
      <c r="RDU14" s="107" t="s">
        <v>1</v>
      </c>
      <c r="RDV14" s="108"/>
      <c r="RDW14" s="108"/>
      <c r="RDX14" s="109"/>
      <c r="RDY14" s="107" t="s">
        <v>1</v>
      </c>
      <c r="RDZ14" s="108"/>
      <c r="REA14" s="108"/>
      <c r="REB14" s="109"/>
      <c r="REC14" s="107" t="s">
        <v>1</v>
      </c>
      <c r="RED14" s="108"/>
      <c r="REE14" s="108"/>
      <c r="REF14" s="109"/>
      <c r="REG14" s="107" t="s">
        <v>1</v>
      </c>
      <c r="REH14" s="108"/>
      <c r="REI14" s="108"/>
      <c r="REJ14" s="109"/>
      <c r="REK14" s="107" t="s">
        <v>1</v>
      </c>
      <c r="REL14" s="108"/>
      <c r="REM14" s="108"/>
      <c r="REN14" s="109"/>
      <c r="REO14" s="107" t="s">
        <v>1</v>
      </c>
      <c r="REP14" s="108"/>
      <c r="REQ14" s="108"/>
      <c r="RER14" s="109"/>
      <c r="RES14" s="107" t="s">
        <v>1</v>
      </c>
      <c r="RET14" s="108"/>
      <c r="REU14" s="108"/>
      <c r="REV14" s="109"/>
      <c r="REW14" s="107" t="s">
        <v>1</v>
      </c>
      <c r="REX14" s="108"/>
      <c r="REY14" s="108"/>
      <c r="REZ14" s="109"/>
      <c r="RFA14" s="107" t="s">
        <v>1</v>
      </c>
      <c r="RFB14" s="108"/>
      <c r="RFC14" s="108"/>
      <c r="RFD14" s="109"/>
      <c r="RFE14" s="107" t="s">
        <v>1</v>
      </c>
      <c r="RFF14" s="108"/>
      <c r="RFG14" s="108"/>
      <c r="RFH14" s="109"/>
      <c r="RFI14" s="107" t="s">
        <v>1</v>
      </c>
      <c r="RFJ14" s="108"/>
      <c r="RFK14" s="108"/>
      <c r="RFL14" s="109"/>
      <c r="RFM14" s="107" t="s">
        <v>1</v>
      </c>
      <c r="RFN14" s="108"/>
      <c r="RFO14" s="108"/>
      <c r="RFP14" s="109"/>
      <c r="RFQ14" s="107" t="s">
        <v>1</v>
      </c>
      <c r="RFR14" s="108"/>
      <c r="RFS14" s="108"/>
      <c r="RFT14" s="109"/>
      <c r="RFU14" s="107" t="s">
        <v>1</v>
      </c>
      <c r="RFV14" s="108"/>
      <c r="RFW14" s="108"/>
      <c r="RFX14" s="109"/>
      <c r="RFY14" s="107" t="s">
        <v>1</v>
      </c>
      <c r="RFZ14" s="108"/>
      <c r="RGA14" s="108"/>
      <c r="RGB14" s="109"/>
      <c r="RGC14" s="107" t="s">
        <v>1</v>
      </c>
      <c r="RGD14" s="108"/>
      <c r="RGE14" s="108"/>
      <c r="RGF14" s="109"/>
      <c r="RGG14" s="107" t="s">
        <v>1</v>
      </c>
      <c r="RGH14" s="108"/>
      <c r="RGI14" s="108"/>
      <c r="RGJ14" s="109"/>
      <c r="RGK14" s="107" t="s">
        <v>1</v>
      </c>
      <c r="RGL14" s="108"/>
      <c r="RGM14" s="108"/>
      <c r="RGN14" s="109"/>
      <c r="RGO14" s="107" t="s">
        <v>1</v>
      </c>
      <c r="RGP14" s="108"/>
      <c r="RGQ14" s="108"/>
      <c r="RGR14" s="109"/>
      <c r="RGS14" s="107" t="s">
        <v>1</v>
      </c>
      <c r="RGT14" s="108"/>
      <c r="RGU14" s="108"/>
      <c r="RGV14" s="109"/>
      <c r="RGW14" s="107" t="s">
        <v>1</v>
      </c>
      <c r="RGX14" s="108"/>
      <c r="RGY14" s="108"/>
      <c r="RGZ14" s="109"/>
      <c r="RHA14" s="107" t="s">
        <v>1</v>
      </c>
      <c r="RHB14" s="108"/>
      <c r="RHC14" s="108"/>
      <c r="RHD14" s="109"/>
      <c r="RHE14" s="107" t="s">
        <v>1</v>
      </c>
      <c r="RHF14" s="108"/>
      <c r="RHG14" s="108"/>
      <c r="RHH14" s="109"/>
      <c r="RHI14" s="107" t="s">
        <v>1</v>
      </c>
      <c r="RHJ14" s="108"/>
      <c r="RHK14" s="108"/>
      <c r="RHL14" s="109"/>
      <c r="RHM14" s="107" t="s">
        <v>1</v>
      </c>
      <c r="RHN14" s="108"/>
      <c r="RHO14" s="108"/>
      <c r="RHP14" s="109"/>
      <c r="RHQ14" s="107" t="s">
        <v>1</v>
      </c>
      <c r="RHR14" s="108"/>
      <c r="RHS14" s="108"/>
      <c r="RHT14" s="109"/>
      <c r="RHU14" s="107" t="s">
        <v>1</v>
      </c>
      <c r="RHV14" s="108"/>
      <c r="RHW14" s="108"/>
      <c r="RHX14" s="109"/>
      <c r="RHY14" s="107" t="s">
        <v>1</v>
      </c>
      <c r="RHZ14" s="108"/>
      <c r="RIA14" s="108"/>
      <c r="RIB14" s="109"/>
      <c r="RIC14" s="107" t="s">
        <v>1</v>
      </c>
      <c r="RID14" s="108"/>
      <c r="RIE14" s="108"/>
      <c r="RIF14" s="109"/>
      <c r="RIG14" s="107" t="s">
        <v>1</v>
      </c>
      <c r="RIH14" s="108"/>
      <c r="RII14" s="108"/>
      <c r="RIJ14" s="109"/>
      <c r="RIK14" s="107" t="s">
        <v>1</v>
      </c>
      <c r="RIL14" s="108"/>
      <c r="RIM14" s="108"/>
      <c r="RIN14" s="109"/>
      <c r="RIO14" s="107" t="s">
        <v>1</v>
      </c>
      <c r="RIP14" s="108"/>
      <c r="RIQ14" s="108"/>
      <c r="RIR14" s="109"/>
      <c r="RIS14" s="107" t="s">
        <v>1</v>
      </c>
      <c r="RIT14" s="108"/>
      <c r="RIU14" s="108"/>
      <c r="RIV14" s="109"/>
      <c r="RIW14" s="107" t="s">
        <v>1</v>
      </c>
      <c r="RIX14" s="108"/>
      <c r="RIY14" s="108"/>
      <c r="RIZ14" s="109"/>
      <c r="RJA14" s="107" t="s">
        <v>1</v>
      </c>
      <c r="RJB14" s="108"/>
      <c r="RJC14" s="108"/>
      <c r="RJD14" s="109"/>
      <c r="RJE14" s="107" t="s">
        <v>1</v>
      </c>
      <c r="RJF14" s="108"/>
      <c r="RJG14" s="108"/>
      <c r="RJH14" s="109"/>
      <c r="RJI14" s="107" t="s">
        <v>1</v>
      </c>
      <c r="RJJ14" s="108"/>
      <c r="RJK14" s="108"/>
      <c r="RJL14" s="109"/>
      <c r="RJM14" s="107" t="s">
        <v>1</v>
      </c>
      <c r="RJN14" s="108"/>
      <c r="RJO14" s="108"/>
      <c r="RJP14" s="109"/>
      <c r="RJQ14" s="107" t="s">
        <v>1</v>
      </c>
      <c r="RJR14" s="108"/>
      <c r="RJS14" s="108"/>
      <c r="RJT14" s="109"/>
      <c r="RJU14" s="107" t="s">
        <v>1</v>
      </c>
      <c r="RJV14" s="108"/>
      <c r="RJW14" s="108"/>
      <c r="RJX14" s="109"/>
      <c r="RJY14" s="107" t="s">
        <v>1</v>
      </c>
      <c r="RJZ14" s="108"/>
      <c r="RKA14" s="108"/>
      <c r="RKB14" s="109"/>
      <c r="RKC14" s="107" t="s">
        <v>1</v>
      </c>
      <c r="RKD14" s="108"/>
      <c r="RKE14" s="108"/>
      <c r="RKF14" s="109"/>
      <c r="RKG14" s="107" t="s">
        <v>1</v>
      </c>
      <c r="RKH14" s="108"/>
      <c r="RKI14" s="108"/>
      <c r="RKJ14" s="109"/>
      <c r="RKK14" s="107" t="s">
        <v>1</v>
      </c>
      <c r="RKL14" s="108"/>
      <c r="RKM14" s="108"/>
      <c r="RKN14" s="109"/>
      <c r="RKO14" s="107" t="s">
        <v>1</v>
      </c>
      <c r="RKP14" s="108"/>
      <c r="RKQ14" s="108"/>
      <c r="RKR14" s="109"/>
      <c r="RKS14" s="107" t="s">
        <v>1</v>
      </c>
      <c r="RKT14" s="108"/>
      <c r="RKU14" s="108"/>
      <c r="RKV14" s="109"/>
      <c r="RKW14" s="107" t="s">
        <v>1</v>
      </c>
      <c r="RKX14" s="108"/>
      <c r="RKY14" s="108"/>
      <c r="RKZ14" s="109"/>
      <c r="RLA14" s="107" t="s">
        <v>1</v>
      </c>
      <c r="RLB14" s="108"/>
      <c r="RLC14" s="108"/>
      <c r="RLD14" s="109"/>
      <c r="RLE14" s="107" t="s">
        <v>1</v>
      </c>
      <c r="RLF14" s="108"/>
      <c r="RLG14" s="108"/>
      <c r="RLH14" s="109"/>
      <c r="RLI14" s="107" t="s">
        <v>1</v>
      </c>
      <c r="RLJ14" s="108"/>
      <c r="RLK14" s="108"/>
      <c r="RLL14" s="109"/>
      <c r="RLM14" s="107" t="s">
        <v>1</v>
      </c>
      <c r="RLN14" s="108"/>
      <c r="RLO14" s="108"/>
      <c r="RLP14" s="109"/>
      <c r="RLQ14" s="107" t="s">
        <v>1</v>
      </c>
      <c r="RLR14" s="108"/>
      <c r="RLS14" s="108"/>
      <c r="RLT14" s="109"/>
      <c r="RLU14" s="107" t="s">
        <v>1</v>
      </c>
      <c r="RLV14" s="108"/>
      <c r="RLW14" s="108"/>
      <c r="RLX14" s="109"/>
      <c r="RLY14" s="107" t="s">
        <v>1</v>
      </c>
      <c r="RLZ14" s="108"/>
      <c r="RMA14" s="108"/>
      <c r="RMB14" s="109"/>
      <c r="RMC14" s="107" t="s">
        <v>1</v>
      </c>
      <c r="RMD14" s="108"/>
      <c r="RME14" s="108"/>
      <c r="RMF14" s="109"/>
      <c r="RMG14" s="107" t="s">
        <v>1</v>
      </c>
      <c r="RMH14" s="108"/>
      <c r="RMI14" s="108"/>
      <c r="RMJ14" s="109"/>
      <c r="RMK14" s="107" t="s">
        <v>1</v>
      </c>
      <c r="RML14" s="108"/>
      <c r="RMM14" s="108"/>
      <c r="RMN14" s="109"/>
      <c r="RMO14" s="107" t="s">
        <v>1</v>
      </c>
      <c r="RMP14" s="108"/>
      <c r="RMQ14" s="108"/>
      <c r="RMR14" s="109"/>
      <c r="RMS14" s="107" t="s">
        <v>1</v>
      </c>
      <c r="RMT14" s="108"/>
      <c r="RMU14" s="108"/>
      <c r="RMV14" s="109"/>
      <c r="RMW14" s="107" t="s">
        <v>1</v>
      </c>
      <c r="RMX14" s="108"/>
      <c r="RMY14" s="108"/>
      <c r="RMZ14" s="109"/>
      <c r="RNA14" s="107" t="s">
        <v>1</v>
      </c>
      <c r="RNB14" s="108"/>
      <c r="RNC14" s="108"/>
      <c r="RND14" s="109"/>
      <c r="RNE14" s="107" t="s">
        <v>1</v>
      </c>
      <c r="RNF14" s="108"/>
      <c r="RNG14" s="108"/>
      <c r="RNH14" s="109"/>
      <c r="RNI14" s="107" t="s">
        <v>1</v>
      </c>
      <c r="RNJ14" s="108"/>
      <c r="RNK14" s="108"/>
      <c r="RNL14" s="109"/>
      <c r="RNM14" s="107" t="s">
        <v>1</v>
      </c>
      <c r="RNN14" s="108"/>
      <c r="RNO14" s="108"/>
      <c r="RNP14" s="109"/>
      <c r="RNQ14" s="107" t="s">
        <v>1</v>
      </c>
      <c r="RNR14" s="108"/>
      <c r="RNS14" s="108"/>
      <c r="RNT14" s="109"/>
      <c r="RNU14" s="107" t="s">
        <v>1</v>
      </c>
      <c r="RNV14" s="108"/>
      <c r="RNW14" s="108"/>
      <c r="RNX14" s="109"/>
      <c r="RNY14" s="107" t="s">
        <v>1</v>
      </c>
      <c r="RNZ14" s="108"/>
      <c r="ROA14" s="108"/>
      <c r="ROB14" s="109"/>
      <c r="ROC14" s="107" t="s">
        <v>1</v>
      </c>
      <c r="ROD14" s="108"/>
      <c r="ROE14" s="108"/>
      <c r="ROF14" s="109"/>
      <c r="ROG14" s="107" t="s">
        <v>1</v>
      </c>
      <c r="ROH14" s="108"/>
      <c r="ROI14" s="108"/>
      <c r="ROJ14" s="109"/>
      <c r="ROK14" s="107" t="s">
        <v>1</v>
      </c>
      <c r="ROL14" s="108"/>
      <c r="ROM14" s="108"/>
      <c r="RON14" s="109"/>
      <c r="ROO14" s="107" t="s">
        <v>1</v>
      </c>
      <c r="ROP14" s="108"/>
      <c r="ROQ14" s="108"/>
      <c r="ROR14" s="109"/>
      <c r="ROS14" s="107" t="s">
        <v>1</v>
      </c>
      <c r="ROT14" s="108"/>
      <c r="ROU14" s="108"/>
      <c r="ROV14" s="109"/>
      <c r="ROW14" s="107" t="s">
        <v>1</v>
      </c>
      <c r="ROX14" s="108"/>
      <c r="ROY14" s="108"/>
      <c r="ROZ14" s="109"/>
      <c r="RPA14" s="107" t="s">
        <v>1</v>
      </c>
      <c r="RPB14" s="108"/>
      <c r="RPC14" s="108"/>
      <c r="RPD14" s="109"/>
      <c r="RPE14" s="107" t="s">
        <v>1</v>
      </c>
      <c r="RPF14" s="108"/>
      <c r="RPG14" s="108"/>
      <c r="RPH14" s="109"/>
      <c r="RPI14" s="107" t="s">
        <v>1</v>
      </c>
      <c r="RPJ14" s="108"/>
      <c r="RPK14" s="108"/>
      <c r="RPL14" s="109"/>
      <c r="RPM14" s="107" t="s">
        <v>1</v>
      </c>
      <c r="RPN14" s="108"/>
      <c r="RPO14" s="108"/>
      <c r="RPP14" s="109"/>
      <c r="RPQ14" s="107" t="s">
        <v>1</v>
      </c>
      <c r="RPR14" s="108"/>
      <c r="RPS14" s="108"/>
      <c r="RPT14" s="109"/>
      <c r="RPU14" s="107" t="s">
        <v>1</v>
      </c>
      <c r="RPV14" s="108"/>
      <c r="RPW14" s="108"/>
      <c r="RPX14" s="109"/>
      <c r="RPY14" s="107" t="s">
        <v>1</v>
      </c>
      <c r="RPZ14" s="108"/>
      <c r="RQA14" s="108"/>
      <c r="RQB14" s="109"/>
      <c r="RQC14" s="107" t="s">
        <v>1</v>
      </c>
      <c r="RQD14" s="108"/>
      <c r="RQE14" s="108"/>
      <c r="RQF14" s="109"/>
      <c r="RQG14" s="107" t="s">
        <v>1</v>
      </c>
      <c r="RQH14" s="108"/>
      <c r="RQI14" s="108"/>
      <c r="RQJ14" s="109"/>
      <c r="RQK14" s="107" t="s">
        <v>1</v>
      </c>
      <c r="RQL14" s="108"/>
      <c r="RQM14" s="108"/>
      <c r="RQN14" s="109"/>
      <c r="RQO14" s="107" t="s">
        <v>1</v>
      </c>
      <c r="RQP14" s="108"/>
      <c r="RQQ14" s="108"/>
      <c r="RQR14" s="109"/>
      <c r="RQS14" s="107" t="s">
        <v>1</v>
      </c>
      <c r="RQT14" s="108"/>
      <c r="RQU14" s="108"/>
      <c r="RQV14" s="109"/>
      <c r="RQW14" s="107" t="s">
        <v>1</v>
      </c>
      <c r="RQX14" s="108"/>
      <c r="RQY14" s="108"/>
      <c r="RQZ14" s="109"/>
      <c r="RRA14" s="107" t="s">
        <v>1</v>
      </c>
      <c r="RRB14" s="108"/>
      <c r="RRC14" s="108"/>
      <c r="RRD14" s="109"/>
      <c r="RRE14" s="107" t="s">
        <v>1</v>
      </c>
      <c r="RRF14" s="108"/>
      <c r="RRG14" s="108"/>
      <c r="RRH14" s="109"/>
      <c r="RRI14" s="107" t="s">
        <v>1</v>
      </c>
      <c r="RRJ14" s="108"/>
      <c r="RRK14" s="108"/>
      <c r="RRL14" s="109"/>
      <c r="RRM14" s="107" t="s">
        <v>1</v>
      </c>
      <c r="RRN14" s="108"/>
      <c r="RRO14" s="108"/>
      <c r="RRP14" s="109"/>
      <c r="RRQ14" s="107" t="s">
        <v>1</v>
      </c>
      <c r="RRR14" s="108"/>
      <c r="RRS14" s="108"/>
      <c r="RRT14" s="109"/>
      <c r="RRU14" s="107" t="s">
        <v>1</v>
      </c>
      <c r="RRV14" s="108"/>
      <c r="RRW14" s="108"/>
      <c r="RRX14" s="109"/>
      <c r="RRY14" s="107" t="s">
        <v>1</v>
      </c>
      <c r="RRZ14" s="108"/>
      <c r="RSA14" s="108"/>
      <c r="RSB14" s="109"/>
      <c r="RSC14" s="107" t="s">
        <v>1</v>
      </c>
      <c r="RSD14" s="108"/>
      <c r="RSE14" s="108"/>
      <c r="RSF14" s="109"/>
      <c r="RSG14" s="107" t="s">
        <v>1</v>
      </c>
      <c r="RSH14" s="108"/>
      <c r="RSI14" s="108"/>
      <c r="RSJ14" s="109"/>
      <c r="RSK14" s="107" t="s">
        <v>1</v>
      </c>
      <c r="RSL14" s="108"/>
      <c r="RSM14" s="108"/>
      <c r="RSN14" s="109"/>
      <c r="RSO14" s="107" t="s">
        <v>1</v>
      </c>
      <c r="RSP14" s="108"/>
      <c r="RSQ14" s="108"/>
      <c r="RSR14" s="109"/>
      <c r="RSS14" s="107" t="s">
        <v>1</v>
      </c>
      <c r="RST14" s="108"/>
      <c r="RSU14" s="108"/>
      <c r="RSV14" s="109"/>
      <c r="RSW14" s="107" t="s">
        <v>1</v>
      </c>
      <c r="RSX14" s="108"/>
      <c r="RSY14" s="108"/>
      <c r="RSZ14" s="109"/>
      <c r="RTA14" s="107" t="s">
        <v>1</v>
      </c>
      <c r="RTB14" s="108"/>
      <c r="RTC14" s="108"/>
      <c r="RTD14" s="109"/>
      <c r="RTE14" s="107" t="s">
        <v>1</v>
      </c>
      <c r="RTF14" s="108"/>
      <c r="RTG14" s="108"/>
      <c r="RTH14" s="109"/>
      <c r="RTI14" s="107" t="s">
        <v>1</v>
      </c>
      <c r="RTJ14" s="108"/>
      <c r="RTK14" s="108"/>
      <c r="RTL14" s="109"/>
      <c r="RTM14" s="107" t="s">
        <v>1</v>
      </c>
      <c r="RTN14" s="108"/>
      <c r="RTO14" s="108"/>
      <c r="RTP14" s="109"/>
      <c r="RTQ14" s="107" t="s">
        <v>1</v>
      </c>
      <c r="RTR14" s="108"/>
      <c r="RTS14" s="108"/>
      <c r="RTT14" s="109"/>
      <c r="RTU14" s="107" t="s">
        <v>1</v>
      </c>
      <c r="RTV14" s="108"/>
      <c r="RTW14" s="108"/>
      <c r="RTX14" s="109"/>
      <c r="RTY14" s="107" t="s">
        <v>1</v>
      </c>
      <c r="RTZ14" s="108"/>
      <c r="RUA14" s="108"/>
      <c r="RUB14" s="109"/>
      <c r="RUC14" s="107" t="s">
        <v>1</v>
      </c>
      <c r="RUD14" s="108"/>
      <c r="RUE14" s="108"/>
      <c r="RUF14" s="109"/>
      <c r="RUG14" s="107" t="s">
        <v>1</v>
      </c>
      <c r="RUH14" s="108"/>
      <c r="RUI14" s="108"/>
      <c r="RUJ14" s="109"/>
      <c r="RUK14" s="107" t="s">
        <v>1</v>
      </c>
      <c r="RUL14" s="108"/>
      <c r="RUM14" s="108"/>
      <c r="RUN14" s="109"/>
      <c r="RUO14" s="107" t="s">
        <v>1</v>
      </c>
      <c r="RUP14" s="108"/>
      <c r="RUQ14" s="108"/>
      <c r="RUR14" s="109"/>
      <c r="RUS14" s="107" t="s">
        <v>1</v>
      </c>
      <c r="RUT14" s="108"/>
      <c r="RUU14" s="108"/>
      <c r="RUV14" s="109"/>
      <c r="RUW14" s="107" t="s">
        <v>1</v>
      </c>
      <c r="RUX14" s="108"/>
      <c r="RUY14" s="108"/>
      <c r="RUZ14" s="109"/>
      <c r="RVA14" s="107" t="s">
        <v>1</v>
      </c>
      <c r="RVB14" s="108"/>
      <c r="RVC14" s="108"/>
      <c r="RVD14" s="109"/>
      <c r="RVE14" s="107" t="s">
        <v>1</v>
      </c>
      <c r="RVF14" s="108"/>
      <c r="RVG14" s="108"/>
      <c r="RVH14" s="109"/>
      <c r="RVI14" s="107" t="s">
        <v>1</v>
      </c>
      <c r="RVJ14" s="108"/>
      <c r="RVK14" s="108"/>
      <c r="RVL14" s="109"/>
      <c r="RVM14" s="107" t="s">
        <v>1</v>
      </c>
      <c r="RVN14" s="108"/>
      <c r="RVO14" s="108"/>
      <c r="RVP14" s="109"/>
      <c r="RVQ14" s="107" t="s">
        <v>1</v>
      </c>
      <c r="RVR14" s="108"/>
      <c r="RVS14" s="108"/>
      <c r="RVT14" s="109"/>
      <c r="RVU14" s="107" t="s">
        <v>1</v>
      </c>
      <c r="RVV14" s="108"/>
      <c r="RVW14" s="108"/>
      <c r="RVX14" s="109"/>
      <c r="RVY14" s="107" t="s">
        <v>1</v>
      </c>
      <c r="RVZ14" s="108"/>
      <c r="RWA14" s="108"/>
      <c r="RWB14" s="109"/>
      <c r="RWC14" s="107" t="s">
        <v>1</v>
      </c>
      <c r="RWD14" s="108"/>
      <c r="RWE14" s="108"/>
      <c r="RWF14" s="109"/>
      <c r="RWG14" s="107" t="s">
        <v>1</v>
      </c>
      <c r="RWH14" s="108"/>
      <c r="RWI14" s="108"/>
      <c r="RWJ14" s="109"/>
      <c r="RWK14" s="107" t="s">
        <v>1</v>
      </c>
      <c r="RWL14" s="108"/>
      <c r="RWM14" s="108"/>
      <c r="RWN14" s="109"/>
      <c r="RWO14" s="107" t="s">
        <v>1</v>
      </c>
      <c r="RWP14" s="108"/>
      <c r="RWQ14" s="108"/>
      <c r="RWR14" s="109"/>
      <c r="RWS14" s="107" t="s">
        <v>1</v>
      </c>
      <c r="RWT14" s="108"/>
      <c r="RWU14" s="108"/>
      <c r="RWV14" s="109"/>
      <c r="RWW14" s="107" t="s">
        <v>1</v>
      </c>
      <c r="RWX14" s="108"/>
      <c r="RWY14" s="108"/>
      <c r="RWZ14" s="109"/>
      <c r="RXA14" s="107" t="s">
        <v>1</v>
      </c>
      <c r="RXB14" s="108"/>
      <c r="RXC14" s="108"/>
      <c r="RXD14" s="109"/>
      <c r="RXE14" s="107" t="s">
        <v>1</v>
      </c>
      <c r="RXF14" s="108"/>
      <c r="RXG14" s="108"/>
      <c r="RXH14" s="109"/>
      <c r="RXI14" s="107" t="s">
        <v>1</v>
      </c>
      <c r="RXJ14" s="108"/>
      <c r="RXK14" s="108"/>
      <c r="RXL14" s="109"/>
      <c r="RXM14" s="107" t="s">
        <v>1</v>
      </c>
      <c r="RXN14" s="108"/>
      <c r="RXO14" s="108"/>
      <c r="RXP14" s="109"/>
      <c r="RXQ14" s="107" t="s">
        <v>1</v>
      </c>
      <c r="RXR14" s="108"/>
      <c r="RXS14" s="108"/>
      <c r="RXT14" s="109"/>
      <c r="RXU14" s="107" t="s">
        <v>1</v>
      </c>
      <c r="RXV14" s="108"/>
      <c r="RXW14" s="108"/>
      <c r="RXX14" s="109"/>
      <c r="RXY14" s="107" t="s">
        <v>1</v>
      </c>
      <c r="RXZ14" s="108"/>
      <c r="RYA14" s="108"/>
      <c r="RYB14" s="109"/>
      <c r="RYC14" s="107" t="s">
        <v>1</v>
      </c>
      <c r="RYD14" s="108"/>
      <c r="RYE14" s="108"/>
      <c r="RYF14" s="109"/>
      <c r="RYG14" s="107" t="s">
        <v>1</v>
      </c>
      <c r="RYH14" s="108"/>
      <c r="RYI14" s="108"/>
      <c r="RYJ14" s="109"/>
      <c r="RYK14" s="107" t="s">
        <v>1</v>
      </c>
      <c r="RYL14" s="108"/>
      <c r="RYM14" s="108"/>
      <c r="RYN14" s="109"/>
      <c r="RYO14" s="107" t="s">
        <v>1</v>
      </c>
      <c r="RYP14" s="108"/>
      <c r="RYQ14" s="108"/>
      <c r="RYR14" s="109"/>
      <c r="RYS14" s="107" t="s">
        <v>1</v>
      </c>
      <c r="RYT14" s="108"/>
      <c r="RYU14" s="108"/>
      <c r="RYV14" s="109"/>
      <c r="RYW14" s="107" t="s">
        <v>1</v>
      </c>
      <c r="RYX14" s="108"/>
      <c r="RYY14" s="108"/>
      <c r="RYZ14" s="109"/>
      <c r="RZA14" s="107" t="s">
        <v>1</v>
      </c>
      <c r="RZB14" s="108"/>
      <c r="RZC14" s="108"/>
      <c r="RZD14" s="109"/>
      <c r="RZE14" s="107" t="s">
        <v>1</v>
      </c>
      <c r="RZF14" s="108"/>
      <c r="RZG14" s="108"/>
      <c r="RZH14" s="109"/>
      <c r="RZI14" s="107" t="s">
        <v>1</v>
      </c>
      <c r="RZJ14" s="108"/>
      <c r="RZK14" s="108"/>
      <c r="RZL14" s="109"/>
      <c r="RZM14" s="107" t="s">
        <v>1</v>
      </c>
      <c r="RZN14" s="108"/>
      <c r="RZO14" s="108"/>
      <c r="RZP14" s="109"/>
      <c r="RZQ14" s="107" t="s">
        <v>1</v>
      </c>
      <c r="RZR14" s="108"/>
      <c r="RZS14" s="108"/>
      <c r="RZT14" s="109"/>
      <c r="RZU14" s="107" t="s">
        <v>1</v>
      </c>
      <c r="RZV14" s="108"/>
      <c r="RZW14" s="108"/>
      <c r="RZX14" s="109"/>
      <c r="RZY14" s="107" t="s">
        <v>1</v>
      </c>
      <c r="RZZ14" s="108"/>
      <c r="SAA14" s="108"/>
      <c r="SAB14" s="109"/>
      <c r="SAC14" s="107" t="s">
        <v>1</v>
      </c>
      <c r="SAD14" s="108"/>
      <c r="SAE14" s="108"/>
      <c r="SAF14" s="109"/>
      <c r="SAG14" s="107" t="s">
        <v>1</v>
      </c>
      <c r="SAH14" s="108"/>
      <c r="SAI14" s="108"/>
      <c r="SAJ14" s="109"/>
      <c r="SAK14" s="107" t="s">
        <v>1</v>
      </c>
      <c r="SAL14" s="108"/>
      <c r="SAM14" s="108"/>
      <c r="SAN14" s="109"/>
      <c r="SAO14" s="107" t="s">
        <v>1</v>
      </c>
      <c r="SAP14" s="108"/>
      <c r="SAQ14" s="108"/>
      <c r="SAR14" s="109"/>
      <c r="SAS14" s="107" t="s">
        <v>1</v>
      </c>
      <c r="SAT14" s="108"/>
      <c r="SAU14" s="108"/>
      <c r="SAV14" s="109"/>
      <c r="SAW14" s="107" t="s">
        <v>1</v>
      </c>
      <c r="SAX14" s="108"/>
      <c r="SAY14" s="108"/>
      <c r="SAZ14" s="109"/>
      <c r="SBA14" s="107" t="s">
        <v>1</v>
      </c>
      <c r="SBB14" s="108"/>
      <c r="SBC14" s="108"/>
      <c r="SBD14" s="109"/>
      <c r="SBE14" s="107" t="s">
        <v>1</v>
      </c>
      <c r="SBF14" s="108"/>
      <c r="SBG14" s="108"/>
      <c r="SBH14" s="109"/>
      <c r="SBI14" s="107" t="s">
        <v>1</v>
      </c>
      <c r="SBJ14" s="108"/>
      <c r="SBK14" s="108"/>
      <c r="SBL14" s="109"/>
      <c r="SBM14" s="107" t="s">
        <v>1</v>
      </c>
      <c r="SBN14" s="108"/>
      <c r="SBO14" s="108"/>
      <c r="SBP14" s="109"/>
      <c r="SBQ14" s="107" t="s">
        <v>1</v>
      </c>
      <c r="SBR14" s="108"/>
      <c r="SBS14" s="108"/>
      <c r="SBT14" s="109"/>
      <c r="SBU14" s="107" t="s">
        <v>1</v>
      </c>
      <c r="SBV14" s="108"/>
      <c r="SBW14" s="108"/>
      <c r="SBX14" s="109"/>
      <c r="SBY14" s="107" t="s">
        <v>1</v>
      </c>
      <c r="SBZ14" s="108"/>
      <c r="SCA14" s="108"/>
      <c r="SCB14" s="109"/>
      <c r="SCC14" s="107" t="s">
        <v>1</v>
      </c>
      <c r="SCD14" s="108"/>
      <c r="SCE14" s="108"/>
      <c r="SCF14" s="109"/>
      <c r="SCG14" s="107" t="s">
        <v>1</v>
      </c>
      <c r="SCH14" s="108"/>
      <c r="SCI14" s="108"/>
      <c r="SCJ14" s="109"/>
      <c r="SCK14" s="107" t="s">
        <v>1</v>
      </c>
      <c r="SCL14" s="108"/>
      <c r="SCM14" s="108"/>
      <c r="SCN14" s="109"/>
      <c r="SCO14" s="107" t="s">
        <v>1</v>
      </c>
      <c r="SCP14" s="108"/>
      <c r="SCQ14" s="108"/>
      <c r="SCR14" s="109"/>
      <c r="SCS14" s="107" t="s">
        <v>1</v>
      </c>
      <c r="SCT14" s="108"/>
      <c r="SCU14" s="108"/>
      <c r="SCV14" s="109"/>
      <c r="SCW14" s="107" t="s">
        <v>1</v>
      </c>
      <c r="SCX14" s="108"/>
      <c r="SCY14" s="108"/>
      <c r="SCZ14" s="109"/>
      <c r="SDA14" s="107" t="s">
        <v>1</v>
      </c>
      <c r="SDB14" s="108"/>
      <c r="SDC14" s="108"/>
      <c r="SDD14" s="109"/>
      <c r="SDE14" s="107" t="s">
        <v>1</v>
      </c>
      <c r="SDF14" s="108"/>
      <c r="SDG14" s="108"/>
      <c r="SDH14" s="109"/>
      <c r="SDI14" s="107" t="s">
        <v>1</v>
      </c>
      <c r="SDJ14" s="108"/>
      <c r="SDK14" s="108"/>
      <c r="SDL14" s="109"/>
      <c r="SDM14" s="107" t="s">
        <v>1</v>
      </c>
      <c r="SDN14" s="108"/>
      <c r="SDO14" s="108"/>
      <c r="SDP14" s="109"/>
      <c r="SDQ14" s="107" t="s">
        <v>1</v>
      </c>
      <c r="SDR14" s="108"/>
      <c r="SDS14" s="108"/>
      <c r="SDT14" s="109"/>
      <c r="SDU14" s="107" t="s">
        <v>1</v>
      </c>
      <c r="SDV14" s="108"/>
      <c r="SDW14" s="108"/>
      <c r="SDX14" s="109"/>
      <c r="SDY14" s="107" t="s">
        <v>1</v>
      </c>
      <c r="SDZ14" s="108"/>
      <c r="SEA14" s="108"/>
      <c r="SEB14" s="109"/>
      <c r="SEC14" s="107" t="s">
        <v>1</v>
      </c>
      <c r="SED14" s="108"/>
      <c r="SEE14" s="108"/>
      <c r="SEF14" s="109"/>
      <c r="SEG14" s="107" t="s">
        <v>1</v>
      </c>
      <c r="SEH14" s="108"/>
      <c r="SEI14" s="108"/>
      <c r="SEJ14" s="109"/>
      <c r="SEK14" s="107" t="s">
        <v>1</v>
      </c>
      <c r="SEL14" s="108"/>
      <c r="SEM14" s="108"/>
      <c r="SEN14" s="109"/>
      <c r="SEO14" s="107" t="s">
        <v>1</v>
      </c>
      <c r="SEP14" s="108"/>
      <c r="SEQ14" s="108"/>
      <c r="SER14" s="109"/>
      <c r="SES14" s="107" t="s">
        <v>1</v>
      </c>
      <c r="SET14" s="108"/>
      <c r="SEU14" s="108"/>
      <c r="SEV14" s="109"/>
      <c r="SEW14" s="107" t="s">
        <v>1</v>
      </c>
      <c r="SEX14" s="108"/>
      <c r="SEY14" s="108"/>
      <c r="SEZ14" s="109"/>
      <c r="SFA14" s="107" t="s">
        <v>1</v>
      </c>
      <c r="SFB14" s="108"/>
      <c r="SFC14" s="108"/>
      <c r="SFD14" s="109"/>
      <c r="SFE14" s="107" t="s">
        <v>1</v>
      </c>
      <c r="SFF14" s="108"/>
      <c r="SFG14" s="108"/>
      <c r="SFH14" s="109"/>
      <c r="SFI14" s="107" t="s">
        <v>1</v>
      </c>
      <c r="SFJ14" s="108"/>
      <c r="SFK14" s="108"/>
      <c r="SFL14" s="109"/>
      <c r="SFM14" s="107" t="s">
        <v>1</v>
      </c>
      <c r="SFN14" s="108"/>
      <c r="SFO14" s="108"/>
      <c r="SFP14" s="109"/>
      <c r="SFQ14" s="107" t="s">
        <v>1</v>
      </c>
      <c r="SFR14" s="108"/>
      <c r="SFS14" s="108"/>
      <c r="SFT14" s="109"/>
      <c r="SFU14" s="107" t="s">
        <v>1</v>
      </c>
      <c r="SFV14" s="108"/>
      <c r="SFW14" s="108"/>
      <c r="SFX14" s="109"/>
      <c r="SFY14" s="107" t="s">
        <v>1</v>
      </c>
      <c r="SFZ14" s="108"/>
      <c r="SGA14" s="108"/>
      <c r="SGB14" s="109"/>
      <c r="SGC14" s="107" t="s">
        <v>1</v>
      </c>
      <c r="SGD14" s="108"/>
      <c r="SGE14" s="108"/>
      <c r="SGF14" s="109"/>
      <c r="SGG14" s="107" t="s">
        <v>1</v>
      </c>
      <c r="SGH14" s="108"/>
      <c r="SGI14" s="108"/>
      <c r="SGJ14" s="109"/>
      <c r="SGK14" s="107" t="s">
        <v>1</v>
      </c>
      <c r="SGL14" s="108"/>
      <c r="SGM14" s="108"/>
      <c r="SGN14" s="109"/>
      <c r="SGO14" s="107" t="s">
        <v>1</v>
      </c>
      <c r="SGP14" s="108"/>
      <c r="SGQ14" s="108"/>
      <c r="SGR14" s="109"/>
      <c r="SGS14" s="107" t="s">
        <v>1</v>
      </c>
      <c r="SGT14" s="108"/>
      <c r="SGU14" s="108"/>
      <c r="SGV14" s="109"/>
      <c r="SGW14" s="107" t="s">
        <v>1</v>
      </c>
      <c r="SGX14" s="108"/>
      <c r="SGY14" s="108"/>
      <c r="SGZ14" s="109"/>
      <c r="SHA14" s="107" t="s">
        <v>1</v>
      </c>
      <c r="SHB14" s="108"/>
      <c r="SHC14" s="108"/>
      <c r="SHD14" s="109"/>
      <c r="SHE14" s="107" t="s">
        <v>1</v>
      </c>
      <c r="SHF14" s="108"/>
      <c r="SHG14" s="108"/>
      <c r="SHH14" s="109"/>
      <c r="SHI14" s="107" t="s">
        <v>1</v>
      </c>
      <c r="SHJ14" s="108"/>
      <c r="SHK14" s="108"/>
      <c r="SHL14" s="109"/>
      <c r="SHM14" s="107" t="s">
        <v>1</v>
      </c>
      <c r="SHN14" s="108"/>
      <c r="SHO14" s="108"/>
      <c r="SHP14" s="109"/>
      <c r="SHQ14" s="107" t="s">
        <v>1</v>
      </c>
      <c r="SHR14" s="108"/>
      <c r="SHS14" s="108"/>
      <c r="SHT14" s="109"/>
      <c r="SHU14" s="107" t="s">
        <v>1</v>
      </c>
      <c r="SHV14" s="108"/>
      <c r="SHW14" s="108"/>
      <c r="SHX14" s="109"/>
      <c r="SHY14" s="107" t="s">
        <v>1</v>
      </c>
      <c r="SHZ14" s="108"/>
      <c r="SIA14" s="108"/>
      <c r="SIB14" s="109"/>
      <c r="SIC14" s="107" t="s">
        <v>1</v>
      </c>
      <c r="SID14" s="108"/>
      <c r="SIE14" s="108"/>
      <c r="SIF14" s="109"/>
      <c r="SIG14" s="107" t="s">
        <v>1</v>
      </c>
      <c r="SIH14" s="108"/>
      <c r="SII14" s="108"/>
      <c r="SIJ14" s="109"/>
      <c r="SIK14" s="107" t="s">
        <v>1</v>
      </c>
      <c r="SIL14" s="108"/>
      <c r="SIM14" s="108"/>
      <c r="SIN14" s="109"/>
      <c r="SIO14" s="107" t="s">
        <v>1</v>
      </c>
      <c r="SIP14" s="108"/>
      <c r="SIQ14" s="108"/>
      <c r="SIR14" s="109"/>
      <c r="SIS14" s="107" t="s">
        <v>1</v>
      </c>
      <c r="SIT14" s="108"/>
      <c r="SIU14" s="108"/>
      <c r="SIV14" s="109"/>
      <c r="SIW14" s="107" t="s">
        <v>1</v>
      </c>
      <c r="SIX14" s="108"/>
      <c r="SIY14" s="108"/>
      <c r="SIZ14" s="109"/>
      <c r="SJA14" s="107" t="s">
        <v>1</v>
      </c>
      <c r="SJB14" s="108"/>
      <c r="SJC14" s="108"/>
      <c r="SJD14" s="109"/>
      <c r="SJE14" s="107" t="s">
        <v>1</v>
      </c>
      <c r="SJF14" s="108"/>
      <c r="SJG14" s="108"/>
      <c r="SJH14" s="109"/>
      <c r="SJI14" s="107" t="s">
        <v>1</v>
      </c>
      <c r="SJJ14" s="108"/>
      <c r="SJK14" s="108"/>
      <c r="SJL14" s="109"/>
      <c r="SJM14" s="107" t="s">
        <v>1</v>
      </c>
      <c r="SJN14" s="108"/>
      <c r="SJO14" s="108"/>
      <c r="SJP14" s="109"/>
      <c r="SJQ14" s="107" t="s">
        <v>1</v>
      </c>
      <c r="SJR14" s="108"/>
      <c r="SJS14" s="108"/>
      <c r="SJT14" s="109"/>
      <c r="SJU14" s="107" t="s">
        <v>1</v>
      </c>
      <c r="SJV14" s="108"/>
      <c r="SJW14" s="108"/>
      <c r="SJX14" s="109"/>
      <c r="SJY14" s="107" t="s">
        <v>1</v>
      </c>
      <c r="SJZ14" s="108"/>
      <c r="SKA14" s="108"/>
      <c r="SKB14" s="109"/>
      <c r="SKC14" s="107" t="s">
        <v>1</v>
      </c>
      <c r="SKD14" s="108"/>
      <c r="SKE14" s="108"/>
      <c r="SKF14" s="109"/>
      <c r="SKG14" s="107" t="s">
        <v>1</v>
      </c>
      <c r="SKH14" s="108"/>
      <c r="SKI14" s="108"/>
      <c r="SKJ14" s="109"/>
      <c r="SKK14" s="107" t="s">
        <v>1</v>
      </c>
      <c r="SKL14" s="108"/>
      <c r="SKM14" s="108"/>
      <c r="SKN14" s="109"/>
      <c r="SKO14" s="107" t="s">
        <v>1</v>
      </c>
      <c r="SKP14" s="108"/>
      <c r="SKQ14" s="108"/>
      <c r="SKR14" s="109"/>
      <c r="SKS14" s="107" t="s">
        <v>1</v>
      </c>
      <c r="SKT14" s="108"/>
      <c r="SKU14" s="108"/>
      <c r="SKV14" s="109"/>
      <c r="SKW14" s="107" t="s">
        <v>1</v>
      </c>
      <c r="SKX14" s="108"/>
      <c r="SKY14" s="108"/>
      <c r="SKZ14" s="109"/>
      <c r="SLA14" s="107" t="s">
        <v>1</v>
      </c>
      <c r="SLB14" s="108"/>
      <c r="SLC14" s="108"/>
      <c r="SLD14" s="109"/>
      <c r="SLE14" s="107" t="s">
        <v>1</v>
      </c>
      <c r="SLF14" s="108"/>
      <c r="SLG14" s="108"/>
      <c r="SLH14" s="109"/>
      <c r="SLI14" s="107" t="s">
        <v>1</v>
      </c>
      <c r="SLJ14" s="108"/>
      <c r="SLK14" s="108"/>
      <c r="SLL14" s="109"/>
      <c r="SLM14" s="107" t="s">
        <v>1</v>
      </c>
      <c r="SLN14" s="108"/>
      <c r="SLO14" s="108"/>
      <c r="SLP14" s="109"/>
      <c r="SLQ14" s="107" t="s">
        <v>1</v>
      </c>
      <c r="SLR14" s="108"/>
      <c r="SLS14" s="108"/>
      <c r="SLT14" s="109"/>
      <c r="SLU14" s="107" t="s">
        <v>1</v>
      </c>
      <c r="SLV14" s="108"/>
      <c r="SLW14" s="108"/>
      <c r="SLX14" s="109"/>
      <c r="SLY14" s="107" t="s">
        <v>1</v>
      </c>
      <c r="SLZ14" s="108"/>
      <c r="SMA14" s="108"/>
      <c r="SMB14" s="109"/>
      <c r="SMC14" s="107" t="s">
        <v>1</v>
      </c>
      <c r="SMD14" s="108"/>
      <c r="SME14" s="108"/>
      <c r="SMF14" s="109"/>
      <c r="SMG14" s="107" t="s">
        <v>1</v>
      </c>
      <c r="SMH14" s="108"/>
      <c r="SMI14" s="108"/>
      <c r="SMJ14" s="109"/>
      <c r="SMK14" s="107" t="s">
        <v>1</v>
      </c>
      <c r="SML14" s="108"/>
      <c r="SMM14" s="108"/>
      <c r="SMN14" s="109"/>
      <c r="SMO14" s="107" t="s">
        <v>1</v>
      </c>
      <c r="SMP14" s="108"/>
      <c r="SMQ14" s="108"/>
      <c r="SMR14" s="109"/>
      <c r="SMS14" s="107" t="s">
        <v>1</v>
      </c>
      <c r="SMT14" s="108"/>
      <c r="SMU14" s="108"/>
      <c r="SMV14" s="109"/>
      <c r="SMW14" s="107" t="s">
        <v>1</v>
      </c>
      <c r="SMX14" s="108"/>
      <c r="SMY14" s="108"/>
      <c r="SMZ14" s="109"/>
      <c r="SNA14" s="107" t="s">
        <v>1</v>
      </c>
      <c r="SNB14" s="108"/>
      <c r="SNC14" s="108"/>
      <c r="SND14" s="109"/>
      <c r="SNE14" s="107" t="s">
        <v>1</v>
      </c>
      <c r="SNF14" s="108"/>
      <c r="SNG14" s="108"/>
      <c r="SNH14" s="109"/>
      <c r="SNI14" s="107" t="s">
        <v>1</v>
      </c>
      <c r="SNJ14" s="108"/>
      <c r="SNK14" s="108"/>
      <c r="SNL14" s="109"/>
      <c r="SNM14" s="107" t="s">
        <v>1</v>
      </c>
      <c r="SNN14" s="108"/>
      <c r="SNO14" s="108"/>
      <c r="SNP14" s="109"/>
      <c r="SNQ14" s="107" t="s">
        <v>1</v>
      </c>
      <c r="SNR14" s="108"/>
      <c r="SNS14" s="108"/>
      <c r="SNT14" s="109"/>
      <c r="SNU14" s="107" t="s">
        <v>1</v>
      </c>
      <c r="SNV14" s="108"/>
      <c r="SNW14" s="108"/>
      <c r="SNX14" s="109"/>
      <c r="SNY14" s="107" t="s">
        <v>1</v>
      </c>
      <c r="SNZ14" s="108"/>
      <c r="SOA14" s="108"/>
      <c r="SOB14" s="109"/>
      <c r="SOC14" s="107" t="s">
        <v>1</v>
      </c>
      <c r="SOD14" s="108"/>
      <c r="SOE14" s="108"/>
      <c r="SOF14" s="109"/>
      <c r="SOG14" s="107" t="s">
        <v>1</v>
      </c>
      <c r="SOH14" s="108"/>
      <c r="SOI14" s="108"/>
      <c r="SOJ14" s="109"/>
      <c r="SOK14" s="107" t="s">
        <v>1</v>
      </c>
      <c r="SOL14" s="108"/>
      <c r="SOM14" s="108"/>
      <c r="SON14" s="109"/>
      <c r="SOO14" s="107" t="s">
        <v>1</v>
      </c>
      <c r="SOP14" s="108"/>
      <c r="SOQ14" s="108"/>
      <c r="SOR14" s="109"/>
      <c r="SOS14" s="107" t="s">
        <v>1</v>
      </c>
      <c r="SOT14" s="108"/>
      <c r="SOU14" s="108"/>
      <c r="SOV14" s="109"/>
      <c r="SOW14" s="107" t="s">
        <v>1</v>
      </c>
      <c r="SOX14" s="108"/>
      <c r="SOY14" s="108"/>
      <c r="SOZ14" s="109"/>
      <c r="SPA14" s="107" t="s">
        <v>1</v>
      </c>
      <c r="SPB14" s="108"/>
      <c r="SPC14" s="108"/>
      <c r="SPD14" s="109"/>
      <c r="SPE14" s="107" t="s">
        <v>1</v>
      </c>
      <c r="SPF14" s="108"/>
      <c r="SPG14" s="108"/>
      <c r="SPH14" s="109"/>
      <c r="SPI14" s="107" t="s">
        <v>1</v>
      </c>
      <c r="SPJ14" s="108"/>
      <c r="SPK14" s="108"/>
      <c r="SPL14" s="109"/>
      <c r="SPM14" s="107" t="s">
        <v>1</v>
      </c>
      <c r="SPN14" s="108"/>
      <c r="SPO14" s="108"/>
      <c r="SPP14" s="109"/>
      <c r="SPQ14" s="107" t="s">
        <v>1</v>
      </c>
      <c r="SPR14" s="108"/>
      <c r="SPS14" s="108"/>
      <c r="SPT14" s="109"/>
      <c r="SPU14" s="107" t="s">
        <v>1</v>
      </c>
      <c r="SPV14" s="108"/>
      <c r="SPW14" s="108"/>
      <c r="SPX14" s="109"/>
      <c r="SPY14" s="107" t="s">
        <v>1</v>
      </c>
      <c r="SPZ14" s="108"/>
      <c r="SQA14" s="108"/>
      <c r="SQB14" s="109"/>
      <c r="SQC14" s="107" t="s">
        <v>1</v>
      </c>
      <c r="SQD14" s="108"/>
      <c r="SQE14" s="108"/>
      <c r="SQF14" s="109"/>
      <c r="SQG14" s="107" t="s">
        <v>1</v>
      </c>
      <c r="SQH14" s="108"/>
      <c r="SQI14" s="108"/>
      <c r="SQJ14" s="109"/>
      <c r="SQK14" s="107" t="s">
        <v>1</v>
      </c>
      <c r="SQL14" s="108"/>
      <c r="SQM14" s="108"/>
      <c r="SQN14" s="109"/>
      <c r="SQO14" s="107" t="s">
        <v>1</v>
      </c>
      <c r="SQP14" s="108"/>
      <c r="SQQ14" s="108"/>
      <c r="SQR14" s="109"/>
      <c r="SQS14" s="107" t="s">
        <v>1</v>
      </c>
      <c r="SQT14" s="108"/>
      <c r="SQU14" s="108"/>
      <c r="SQV14" s="109"/>
      <c r="SQW14" s="107" t="s">
        <v>1</v>
      </c>
      <c r="SQX14" s="108"/>
      <c r="SQY14" s="108"/>
      <c r="SQZ14" s="109"/>
      <c r="SRA14" s="107" t="s">
        <v>1</v>
      </c>
      <c r="SRB14" s="108"/>
      <c r="SRC14" s="108"/>
      <c r="SRD14" s="109"/>
      <c r="SRE14" s="107" t="s">
        <v>1</v>
      </c>
      <c r="SRF14" s="108"/>
      <c r="SRG14" s="108"/>
      <c r="SRH14" s="109"/>
      <c r="SRI14" s="107" t="s">
        <v>1</v>
      </c>
      <c r="SRJ14" s="108"/>
      <c r="SRK14" s="108"/>
      <c r="SRL14" s="109"/>
      <c r="SRM14" s="107" t="s">
        <v>1</v>
      </c>
      <c r="SRN14" s="108"/>
      <c r="SRO14" s="108"/>
      <c r="SRP14" s="109"/>
      <c r="SRQ14" s="107" t="s">
        <v>1</v>
      </c>
      <c r="SRR14" s="108"/>
      <c r="SRS14" s="108"/>
      <c r="SRT14" s="109"/>
      <c r="SRU14" s="107" t="s">
        <v>1</v>
      </c>
      <c r="SRV14" s="108"/>
      <c r="SRW14" s="108"/>
      <c r="SRX14" s="109"/>
      <c r="SRY14" s="107" t="s">
        <v>1</v>
      </c>
      <c r="SRZ14" s="108"/>
      <c r="SSA14" s="108"/>
      <c r="SSB14" s="109"/>
      <c r="SSC14" s="107" t="s">
        <v>1</v>
      </c>
      <c r="SSD14" s="108"/>
      <c r="SSE14" s="108"/>
      <c r="SSF14" s="109"/>
      <c r="SSG14" s="107" t="s">
        <v>1</v>
      </c>
      <c r="SSH14" s="108"/>
      <c r="SSI14" s="108"/>
      <c r="SSJ14" s="109"/>
      <c r="SSK14" s="107" t="s">
        <v>1</v>
      </c>
      <c r="SSL14" s="108"/>
      <c r="SSM14" s="108"/>
      <c r="SSN14" s="109"/>
      <c r="SSO14" s="107" t="s">
        <v>1</v>
      </c>
      <c r="SSP14" s="108"/>
      <c r="SSQ14" s="108"/>
      <c r="SSR14" s="109"/>
      <c r="SSS14" s="107" t="s">
        <v>1</v>
      </c>
      <c r="SST14" s="108"/>
      <c r="SSU14" s="108"/>
      <c r="SSV14" s="109"/>
      <c r="SSW14" s="107" t="s">
        <v>1</v>
      </c>
      <c r="SSX14" s="108"/>
      <c r="SSY14" s="108"/>
      <c r="SSZ14" s="109"/>
      <c r="STA14" s="107" t="s">
        <v>1</v>
      </c>
      <c r="STB14" s="108"/>
      <c r="STC14" s="108"/>
      <c r="STD14" s="109"/>
      <c r="STE14" s="107" t="s">
        <v>1</v>
      </c>
      <c r="STF14" s="108"/>
      <c r="STG14" s="108"/>
      <c r="STH14" s="109"/>
      <c r="STI14" s="107" t="s">
        <v>1</v>
      </c>
      <c r="STJ14" s="108"/>
      <c r="STK14" s="108"/>
      <c r="STL14" s="109"/>
      <c r="STM14" s="107" t="s">
        <v>1</v>
      </c>
      <c r="STN14" s="108"/>
      <c r="STO14" s="108"/>
      <c r="STP14" s="109"/>
      <c r="STQ14" s="107" t="s">
        <v>1</v>
      </c>
      <c r="STR14" s="108"/>
      <c r="STS14" s="108"/>
      <c r="STT14" s="109"/>
      <c r="STU14" s="107" t="s">
        <v>1</v>
      </c>
      <c r="STV14" s="108"/>
      <c r="STW14" s="108"/>
      <c r="STX14" s="109"/>
      <c r="STY14" s="107" t="s">
        <v>1</v>
      </c>
      <c r="STZ14" s="108"/>
      <c r="SUA14" s="108"/>
      <c r="SUB14" s="109"/>
      <c r="SUC14" s="107" t="s">
        <v>1</v>
      </c>
      <c r="SUD14" s="108"/>
      <c r="SUE14" s="108"/>
      <c r="SUF14" s="109"/>
      <c r="SUG14" s="107" t="s">
        <v>1</v>
      </c>
      <c r="SUH14" s="108"/>
      <c r="SUI14" s="108"/>
      <c r="SUJ14" s="109"/>
      <c r="SUK14" s="107" t="s">
        <v>1</v>
      </c>
      <c r="SUL14" s="108"/>
      <c r="SUM14" s="108"/>
      <c r="SUN14" s="109"/>
      <c r="SUO14" s="107" t="s">
        <v>1</v>
      </c>
      <c r="SUP14" s="108"/>
      <c r="SUQ14" s="108"/>
      <c r="SUR14" s="109"/>
      <c r="SUS14" s="107" t="s">
        <v>1</v>
      </c>
      <c r="SUT14" s="108"/>
      <c r="SUU14" s="108"/>
      <c r="SUV14" s="109"/>
      <c r="SUW14" s="107" t="s">
        <v>1</v>
      </c>
      <c r="SUX14" s="108"/>
      <c r="SUY14" s="108"/>
      <c r="SUZ14" s="109"/>
      <c r="SVA14" s="107" t="s">
        <v>1</v>
      </c>
      <c r="SVB14" s="108"/>
      <c r="SVC14" s="108"/>
      <c r="SVD14" s="109"/>
      <c r="SVE14" s="107" t="s">
        <v>1</v>
      </c>
      <c r="SVF14" s="108"/>
      <c r="SVG14" s="108"/>
      <c r="SVH14" s="109"/>
      <c r="SVI14" s="107" t="s">
        <v>1</v>
      </c>
      <c r="SVJ14" s="108"/>
      <c r="SVK14" s="108"/>
      <c r="SVL14" s="109"/>
      <c r="SVM14" s="107" t="s">
        <v>1</v>
      </c>
      <c r="SVN14" s="108"/>
      <c r="SVO14" s="108"/>
      <c r="SVP14" s="109"/>
      <c r="SVQ14" s="107" t="s">
        <v>1</v>
      </c>
      <c r="SVR14" s="108"/>
      <c r="SVS14" s="108"/>
      <c r="SVT14" s="109"/>
      <c r="SVU14" s="107" t="s">
        <v>1</v>
      </c>
      <c r="SVV14" s="108"/>
      <c r="SVW14" s="108"/>
      <c r="SVX14" s="109"/>
      <c r="SVY14" s="107" t="s">
        <v>1</v>
      </c>
      <c r="SVZ14" s="108"/>
      <c r="SWA14" s="108"/>
      <c r="SWB14" s="109"/>
      <c r="SWC14" s="107" t="s">
        <v>1</v>
      </c>
      <c r="SWD14" s="108"/>
      <c r="SWE14" s="108"/>
      <c r="SWF14" s="109"/>
      <c r="SWG14" s="107" t="s">
        <v>1</v>
      </c>
      <c r="SWH14" s="108"/>
      <c r="SWI14" s="108"/>
      <c r="SWJ14" s="109"/>
      <c r="SWK14" s="107" t="s">
        <v>1</v>
      </c>
      <c r="SWL14" s="108"/>
      <c r="SWM14" s="108"/>
      <c r="SWN14" s="109"/>
      <c r="SWO14" s="107" t="s">
        <v>1</v>
      </c>
      <c r="SWP14" s="108"/>
      <c r="SWQ14" s="108"/>
      <c r="SWR14" s="109"/>
      <c r="SWS14" s="107" t="s">
        <v>1</v>
      </c>
      <c r="SWT14" s="108"/>
      <c r="SWU14" s="108"/>
      <c r="SWV14" s="109"/>
      <c r="SWW14" s="107" t="s">
        <v>1</v>
      </c>
      <c r="SWX14" s="108"/>
      <c r="SWY14" s="108"/>
      <c r="SWZ14" s="109"/>
      <c r="SXA14" s="107" t="s">
        <v>1</v>
      </c>
      <c r="SXB14" s="108"/>
      <c r="SXC14" s="108"/>
      <c r="SXD14" s="109"/>
      <c r="SXE14" s="107" t="s">
        <v>1</v>
      </c>
      <c r="SXF14" s="108"/>
      <c r="SXG14" s="108"/>
      <c r="SXH14" s="109"/>
      <c r="SXI14" s="107" t="s">
        <v>1</v>
      </c>
      <c r="SXJ14" s="108"/>
      <c r="SXK14" s="108"/>
      <c r="SXL14" s="109"/>
      <c r="SXM14" s="107" t="s">
        <v>1</v>
      </c>
      <c r="SXN14" s="108"/>
      <c r="SXO14" s="108"/>
      <c r="SXP14" s="109"/>
      <c r="SXQ14" s="107" t="s">
        <v>1</v>
      </c>
      <c r="SXR14" s="108"/>
      <c r="SXS14" s="108"/>
      <c r="SXT14" s="109"/>
      <c r="SXU14" s="107" t="s">
        <v>1</v>
      </c>
      <c r="SXV14" s="108"/>
      <c r="SXW14" s="108"/>
      <c r="SXX14" s="109"/>
      <c r="SXY14" s="107" t="s">
        <v>1</v>
      </c>
      <c r="SXZ14" s="108"/>
      <c r="SYA14" s="108"/>
      <c r="SYB14" s="109"/>
      <c r="SYC14" s="107" t="s">
        <v>1</v>
      </c>
      <c r="SYD14" s="108"/>
      <c r="SYE14" s="108"/>
      <c r="SYF14" s="109"/>
      <c r="SYG14" s="107" t="s">
        <v>1</v>
      </c>
      <c r="SYH14" s="108"/>
      <c r="SYI14" s="108"/>
      <c r="SYJ14" s="109"/>
      <c r="SYK14" s="107" t="s">
        <v>1</v>
      </c>
      <c r="SYL14" s="108"/>
      <c r="SYM14" s="108"/>
      <c r="SYN14" s="109"/>
      <c r="SYO14" s="107" t="s">
        <v>1</v>
      </c>
      <c r="SYP14" s="108"/>
      <c r="SYQ14" s="108"/>
      <c r="SYR14" s="109"/>
      <c r="SYS14" s="107" t="s">
        <v>1</v>
      </c>
      <c r="SYT14" s="108"/>
      <c r="SYU14" s="108"/>
      <c r="SYV14" s="109"/>
      <c r="SYW14" s="107" t="s">
        <v>1</v>
      </c>
      <c r="SYX14" s="108"/>
      <c r="SYY14" s="108"/>
      <c r="SYZ14" s="109"/>
      <c r="SZA14" s="107" t="s">
        <v>1</v>
      </c>
      <c r="SZB14" s="108"/>
      <c r="SZC14" s="108"/>
      <c r="SZD14" s="109"/>
      <c r="SZE14" s="107" t="s">
        <v>1</v>
      </c>
      <c r="SZF14" s="108"/>
      <c r="SZG14" s="108"/>
      <c r="SZH14" s="109"/>
      <c r="SZI14" s="107" t="s">
        <v>1</v>
      </c>
      <c r="SZJ14" s="108"/>
      <c r="SZK14" s="108"/>
      <c r="SZL14" s="109"/>
      <c r="SZM14" s="107" t="s">
        <v>1</v>
      </c>
      <c r="SZN14" s="108"/>
      <c r="SZO14" s="108"/>
      <c r="SZP14" s="109"/>
      <c r="SZQ14" s="107" t="s">
        <v>1</v>
      </c>
      <c r="SZR14" s="108"/>
      <c r="SZS14" s="108"/>
      <c r="SZT14" s="109"/>
      <c r="SZU14" s="107" t="s">
        <v>1</v>
      </c>
      <c r="SZV14" s="108"/>
      <c r="SZW14" s="108"/>
      <c r="SZX14" s="109"/>
      <c r="SZY14" s="107" t="s">
        <v>1</v>
      </c>
      <c r="SZZ14" s="108"/>
      <c r="TAA14" s="108"/>
      <c r="TAB14" s="109"/>
      <c r="TAC14" s="107" t="s">
        <v>1</v>
      </c>
      <c r="TAD14" s="108"/>
      <c r="TAE14" s="108"/>
      <c r="TAF14" s="109"/>
      <c r="TAG14" s="107" t="s">
        <v>1</v>
      </c>
      <c r="TAH14" s="108"/>
      <c r="TAI14" s="108"/>
      <c r="TAJ14" s="109"/>
      <c r="TAK14" s="107" t="s">
        <v>1</v>
      </c>
      <c r="TAL14" s="108"/>
      <c r="TAM14" s="108"/>
      <c r="TAN14" s="109"/>
      <c r="TAO14" s="107" t="s">
        <v>1</v>
      </c>
      <c r="TAP14" s="108"/>
      <c r="TAQ14" s="108"/>
      <c r="TAR14" s="109"/>
      <c r="TAS14" s="107" t="s">
        <v>1</v>
      </c>
      <c r="TAT14" s="108"/>
      <c r="TAU14" s="108"/>
      <c r="TAV14" s="109"/>
      <c r="TAW14" s="107" t="s">
        <v>1</v>
      </c>
      <c r="TAX14" s="108"/>
      <c r="TAY14" s="108"/>
      <c r="TAZ14" s="109"/>
      <c r="TBA14" s="107" t="s">
        <v>1</v>
      </c>
      <c r="TBB14" s="108"/>
      <c r="TBC14" s="108"/>
      <c r="TBD14" s="109"/>
      <c r="TBE14" s="107" t="s">
        <v>1</v>
      </c>
      <c r="TBF14" s="108"/>
      <c r="TBG14" s="108"/>
      <c r="TBH14" s="109"/>
      <c r="TBI14" s="107" t="s">
        <v>1</v>
      </c>
      <c r="TBJ14" s="108"/>
      <c r="TBK14" s="108"/>
      <c r="TBL14" s="109"/>
      <c r="TBM14" s="107" t="s">
        <v>1</v>
      </c>
      <c r="TBN14" s="108"/>
      <c r="TBO14" s="108"/>
      <c r="TBP14" s="109"/>
      <c r="TBQ14" s="107" t="s">
        <v>1</v>
      </c>
      <c r="TBR14" s="108"/>
      <c r="TBS14" s="108"/>
      <c r="TBT14" s="109"/>
      <c r="TBU14" s="107" t="s">
        <v>1</v>
      </c>
      <c r="TBV14" s="108"/>
      <c r="TBW14" s="108"/>
      <c r="TBX14" s="109"/>
      <c r="TBY14" s="107" t="s">
        <v>1</v>
      </c>
      <c r="TBZ14" s="108"/>
      <c r="TCA14" s="108"/>
      <c r="TCB14" s="109"/>
      <c r="TCC14" s="107" t="s">
        <v>1</v>
      </c>
      <c r="TCD14" s="108"/>
      <c r="TCE14" s="108"/>
      <c r="TCF14" s="109"/>
      <c r="TCG14" s="107" t="s">
        <v>1</v>
      </c>
      <c r="TCH14" s="108"/>
      <c r="TCI14" s="108"/>
      <c r="TCJ14" s="109"/>
      <c r="TCK14" s="107" t="s">
        <v>1</v>
      </c>
      <c r="TCL14" s="108"/>
      <c r="TCM14" s="108"/>
      <c r="TCN14" s="109"/>
      <c r="TCO14" s="107" t="s">
        <v>1</v>
      </c>
      <c r="TCP14" s="108"/>
      <c r="TCQ14" s="108"/>
      <c r="TCR14" s="109"/>
      <c r="TCS14" s="107" t="s">
        <v>1</v>
      </c>
      <c r="TCT14" s="108"/>
      <c r="TCU14" s="108"/>
      <c r="TCV14" s="109"/>
      <c r="TCW14" s="107" t="s">
        <v>1</v>
      </c>
      <c r="TCX14" s="108"/>
      <c r="TCY14" s="108"/>
      <c r="TCZ14" s="109"/>
      <c r="TDA14" s="107" t="s">
        <v>1</v>
      </c>
      <c r="TDB14" s="108"/>
      <c r="TDC14" s="108"/>
      <c r="TDD14" s="109"/>
      <c r="TDE14" s="107" t="s">
        <v>1</v>
      </c>
      <c r="TDF14" s="108"/>
      <c r="TDG14" s="108"/>
      <c r="TDH14" s="109"/>
      <c r="TDI14" s="107" t="s">
        <v>1</v>
      </c>
      <c r="TDJ14" s="108"/>
      <c r="TDK14" s="108"/>
      <c r="TDL14" s="109"/>
      <c r="TDM14" s="107" t="s">
        <v>1</v>
      </c>
      <c r="TDN14" s="108"/>
      <c r="TDO14" s="108"/>
      <c r="TDP14" s="109"/>
      <c r="TDQ14" s="107" t="s">
        <v>1</v>
      </c>
      <c r="TDR14" s="108"/>
      <c r="TDS14" s="108"/>
      <c r="TDT14" s="109"/>
      <c r="TDU14" s="107" t="s">
        <v>1</v>
      </c>
      <c r="TDV14" s="108"/>
      <c r="TDW14" s="108"/>
      <c r="TDX14" s="109"/>
      <c r="TDY14" s="107" t="s">
        <v>1</v>
      </c>
      <c r="TDZ14" s="108"/>
      <c r="TEA14" s="108"/>
      <c r="TEB14" s="109"/>
      <c r="TEC14" s="107" t="s">
        <v>1</v>
      </c>
      <c r="TED14" s="108"/>
      <c r="TEE14" s="108"/>
      <c r="TEF14" s="109"/>
      <c r="TEG14" s="107" t="s">
        <v>1</v>
      </c>
      <c r="TEH14" s="108"/>
      <c r="TEI14" s="108"/>
      <c r="TEJ14" s="109"/>
      <c r="TEK14" s="107" t="s">
        <v>1</v>
      </c>
      <c r="TEL14" s="108"/>
      <c r="TEM14" s="108"/>
      <c r="TEN14" s="109"/>
      <c r="TEO14" s="107" t="s">
        <v>1</v>
      </c>
      <c r="TEP14" s="108"/>
      <c r="TEQ14" s="108"/>
      <c r="TER14" s="109"/>
      <c r="TES14" s="107" t="s">
        <v>1</v>
      </c>
      <c r="TET14" s="108"/>
      <c r="TEU14" s="108"/>
      <c r="TEV14" s="109"/>
      <c r="TEW14" s="107" t="s">
        <v>1</v>
      </c>
      <c r="TEX14" s="108"/>
      <c r="TEY14" s="108"/>
      <c r="TEZ14" s="109"/>
      <c r="TFA14" s="107" t="s">
        <v>1</v>
      </c>
      <c r="TFB14" s="108"/>
      <c r="TFC14" s="108"/>
      <c r="TFD14" s="109"/>
      <c r="TFE14" s="107" t="s">
        <v>1</v>
      </c>
      <c r="TFF14" s="108"/>
      <c r="TFG14" s="108"/>
      <c r="TFH14" s="109"/>
      <c r="TFI14" s="107" t="s">
        <v>1</v>
      </c>
      <c r="TFJ14" s="108"/>
      <c r="TFK14" s="108"/>
      <c r="TFL14" s="109"/>
      <c r="TFM14" s="107" t="s">
        <v>1</v>
      </c>
      <c r="TFN14" s="108"/>
      <c r="TFO14" s="108"/>
      <c r="TFP14" s="109"/>
      <c r="TFQ14" s="107" t="s">
        <v>1</v>
      </c>
      <c r="TFR14" s="108"/>
      <c r="TFS14" s="108"/>
      <c r="TFT14" s="109"/>
      <c r="TFU14" s="107" t="s">
        <v>1</v>
      </c>
      <c r="TFV14" s="108"/>
      <c r="TFW14" s="108"/>
      <c r="TFX14" s="109"/>
      <c r="TFY14" s="107" t="s">
        <v>1</v>
      </c>
      <c r="TFZ14" s="108"/>
      <c r="TGA14" s="108"/>
      <c r="TGB14" s="109"/>
      <c r="TGC14" s="107" t="s">
        <v>1</v>
      </c>
      <c r="TGD14" s="108"/>
      <c r="TGE14" s="108"/>
      <c r="TGF14" s="109"/>
      <c r="TGG14" s="107" t="s">
        <v>1</v>
      </c>
      <c r="TGH14" s="108"/>
      <c r="TGI14" s="108"/>
      <c r="TGJ14" s="109"/>
      <c r="TGK14" s="107" t="s">
        <v>1</v>
      </c>
      <c r="TGL14" s="108"/>
      <c r="TGM14" s="108"/>
      <c r="TGN14" s="109"/>
      <c r="TGO14" s="107" t="s">
        <v>1</v>
      </c>
      <c r="TGP14" s="108"/>
      <c r="TGQ14" s="108"/>
      <c r="TGR14" s="109"/>
      <c r="TGS14" s="107" t="s">
        <v>1</v>
      </c>
      <c r="TGT14" s="108"/>
      <c r="TGU14" s="108"/>
      <c r="TGV14" s="109"/>
      <c r="TGW14" s="107" t="s">
        <v>1</v>
      </c>
      <c r="TGX14" s="108"/>
      <c r="TGY14" s="108"/>
      <c r="TGZ14" s="109"/>
      <c r="THA14" s="107" t="s">
        <v>1</v>
      </c>
      <c r="THB14" s="108"/>
      <c r="THC14" s="108"/>
      <c r="THD14" s="109"/>
      <c r="THE14" s="107" t="s">
        <v>1</v>
      </c>
      <c r="THF14" s="108"/>
      <c r="THG14" s="108"/>
      <c r="THH14" s="109"/>
      <c r="THI14" s="107" t="s">
        <v>1</v>
      </c>
      <c r="THJ14" s="108"/>
      <c r="THK14" s="108"/>
      <c r="THL14" s="109"/>
      <c r="THM14" s="107" t="s">
        <v>1</v>
      </c>
      <c r="THN14" s="108"/>
      <c r="THO14" s="108"/>
      <c r="THP14" s="109"/>
      <c r="THQ14" s="107" t="s">
        <v>1</v>
      </c>
      <c r="THR14" s="108"/>
      <c r="THS14" s="108"/>
      <c r="THT14" s="109"/>
      <c r="THU14" s="107" t="s">
        <v>1</v>
      </c>
      <c r="THV14" s="108"/>
      <c r="THW14" s="108"/>
      <c r="THX14" s="109"/>
      <c r="THY14" s="107" t="s">
        <v>1</v>
      </c>
      <c r="THZ14" s="108"/>
      <c r="TIA14" s="108"/>
      <c r="TIB14" s="109"/>
      <c r="TIC14" s="107" t="s">
        <v>1</v>
      </c>
      <c r="TID14" s="108"/>
      <c r="TIE14" s="108"/>
      <c r="TIF14" s="109"/>
      <c r="TIG14" s="107" t="s">
        <v>1</v>
      </c>
      <c r="TIH14" s="108"/>
      <c r="TII14" s="108"/>
      <c r="TIJ14" s="109"/>
      <c r="TIK14" s="107" t="s">
        <v>1</v>
      </c>
      <c r="TIL14" s="108"/>
      <c r="TIM14" s="108"/>
      <c r="TIN14" s="109"/>
      <c r="TIO14" s="107" t="s">
        <v>1</v>
      </c>
      <c r="TIP14" s="108"/>
      <c r="TIQ14" s="108"/>
      <c r="TIR14" s="109"/>
      <c r="TIS14" s="107" t="s">
        <v>1</v>
      </c>
      <c r="TIT14" s="108"/>
      <c r="TIU14" s="108"/>
      <c r="TIV14" s="109"/>
      <c r="TIW14" s="107" t="s">
        <v>1</v>
      </c>
      <c r="TIX14" s="108"/>
      <c r="TIY14" s="108"/>
      <c r="TIZ14" s="109"/>
      <c r="TJA14" s="107" t="s">
        <v>1</v>
      </c>
      <c r="TJB14" s="108"/>
      <c r="TJC14" s="108"/>
      <c r="TJD14" s="109"/>
      <c r="TJE14" s="107" t="s">
        <v>1</v>
      </c>
      <c r="TJF14" s="108"/>
      <c r="TJG14" s="108"/>
      <c r="TJH14" s="109"/>
      <c r="TJI14" s="107" t="s">
        <v>1</v>
      </c>
      <c r="TJJ14" s="108"/>
      <c r="TJK14" s="108"/>
      <c r="TJL14" s="109"/>
      <c r="TJM14" s="107" t="s">
        <v>1</v>
      </c>
      <c r="TJN14" s="108"/>
      <c r="TJO14" s="108"/>
      <c r="TJP14" s="109"/>
      <c r="TJQ14" s="107" t="s">
        <v>1</v>
      </c>
      <c r="TJR14" s="108"/>
      <c r="TJS14" s="108"/>
      <c r="TJT14" s="109"/>
      <c r="TJU14" s="107" t="s">
        <v>1</v>
      </c>
      <c r="TJV14" s="108"/>
      <c r="TJW14" s="108"/>
      <c r="TJX14" s="109"/>
      <c r="TJY14" s="107" t="s">
        <v>1</v>
      </c>
      <c r="TJZ14" s="108"/>
      <c r="TKA14" s="108"/>
      <c r="TKB14" s="109"/>
      <c r="TKC14" s="107" t="s">
        <v>1</v>
      </c>
      <c r="TKD14" s="108"/>
      <c r="TKE14" s="108"/>
      <c r="TKF14" s="109"/>
      <c r="TKG14" s="107" t="s">
        <v>1</v>
      </c>
      <c r="TKH14" s="108"/>
      <c r="TKI14" s="108"/>
      <c r="TKJ14" s="109"/>
      <c r="TKK14" s="107" t="s">
        <v>1</v>
      </c>
      <c r="TKL14" s="108"/>
      <c r="TKM14" s="108"/>
      <c r="TKN14" s="109"/>
      <c r="TKO14" s="107" t="s">
        <v>1</v>
      </c>
      <c r="TKP14" s="108"/>
      <c r="TKQ14" s="108"/>
      <c r="TKR14" s="109"/>
      <c r="TKS14" s="107" t="s">
        <v>1</v>
      </c>
      <c r="TKT14" s="108"/>
      <c r="TKU14" s="108"/>
      <c r="TKV14" s="109"/>
      <c r="TKW14" s="107" t="s">
        <v>1</v>
      </c>
      <c r="TKX14" s="108"/>
      <c r="TKY14" s="108"/>
      <c r="TKZ14" s="109"/>
      <c r="TLA14" s="107" t="s">
        <v>1</v>
      </c>
      <c r="TLB14" s="108"/>
      <c r="TLC14" s="108"/>
      <c r="TLD14" s="109"/>
      <c r="TLE14" s="107" t="s">
        <v>1</v>
      </c>
      <c r="TLF14" s="108"/>
      <c r="TLG14" s="108"/>
      <c r="TLH14" s="109"/>
      <c r="TLI14" s="107" t="s">
        <v>1</v>
      </c>
      <c r="TLJ14" s="108"/>
      <c r="TLK14" s="108"/>
      <c r="TLL14" s="109"/>
      <c r="TLM14" s="107" t="s">
        <v>1</v>
      </c>
      <c r="TLN14" s="108"/>
      <c r="TLO14" s="108"/>
      <c r="TLP14" s="109"/>
      <c r="TLQ14" s="107" t="s">
        <v>1</v>
      </c>
      <c r="TLR14" s="108"/>
      <c r="TLS14" s="108"/>
      <c r="TLT14" s="109"/>
      <c r="TLU14" s="107" t="s">
        <v>1</v>
      </c>
      <c r="TLV14" s="108"/>
      <c r="TLW14" s="108"/>
      <c r="TLX14" s="109"/>
      <c r="TLY14" s="107" t="s">
        <v>1</v>
      </c>
      <c r="TLZ14" s="108"/>
      <c r="TMA14" s="108"/>
      <c r="TMB14" s="109"/>
      <c r="TMC14" s="107" t="s">
        <v>1</v>
      </c>
      <c r="TMD14" s="108"/>
      <c r="TME14" s="108"/>
      <c r="TMF14" s="109"/>
      <c r="TMG14" s="107" t="s">
        <v>1</v>
      </c>
      <c r="TMH14" s="108"/>
      <c r="TMI14" s="108"/>
      <c r="TMJ14" s="109"/>
      <c r="TMK14" s="107" t="s">
        <v>1</v>
      </c>
      <c r="TML14" s="108"/>
      <c r="TMM14" s="108"/>
      <c r="TMN14" s="109"/>
      <c r="TMO14" s="107" t="s">
        <v>1</v>
      </c>
      <c r="TMP14" s="108"/>
      <c r="TMQ14" s="108"/>
      <c r="TMR14" s="109"/>
      <c r="TMS14" s="107" t="s">
        <v>1</v>
      </c>
      <c r="TMT14" s="108"/>
      <c r="TMU14" s="108"/>
      <c r="TMV14" s="109"/>
      <c r="TMW14" s="107" t="s">
        <v>1</v>
      </c>
      <c r="TMX14" s="108"/>
      <c r="TMY14" s="108"/>
      <c r="TMZ14" s="109"/>
      <c r="TNA14" s="107" t="s">
        <v>1</v>
      </c>
      <c r="TNB14" s="108"/>
      <c r="TNC14" s="108"/>
      <c r="TND14" s="109"/>
      <c r="TNE14" s="107" t="s">
        <v>1</v>
      </c>
      <c r="TNF14" s="108"/>
      <c r="TNG14" s="108"/>
      <c r="TNH14" s="109"/>
      <c r="TNI14" s="107" t="s">
        <v>1</v>
      </c>
      <c r="TNJ14" s="108"/>
      <c r="TNK14" s="108"/>
      <c r="TNL14" s="109"/>
      <c r="TNM14" s="107" t="s">
        <v>1</v>
      </c>
      <c r="TNN14" s="108"/>
      <c r="TNO14" s="108"/>
      <c r="TNP14" s="109"/>
      <c r="TNQ14" s="107" t="s">
        <v>1</v>
      </c>
      <c r="TNR14" s="108"/>
      <c r="TNS14" s="108"/>
      <c r="TNT14" s="109"/>
      <c r="TNU14" s="107" t="s">
        <v>1</v>
      </c>
      <c r="TNV14" s="108"/>
      <c r="TNW14" s="108"/>
      <c r="TNX14" s="109"/>
      <c r="TNY14" s="107" t="s">
        <v>1</v>
      </c>
      <c r="TNZ14" s="108"/>
      <c r="TOA14" s="108"/>
      <c r="TOB14" s="109"/>
      <c r="TOC14" s="107" t="s">
        <v>1</v>
      </c>
      <c r="TOD14" s="108"/>
      <c r="TOE14" s="108"/>
      <c r="TOF14" s="109"/>
      <c r="TOG14" s="107" t="s">
        <v>1</v>
      </c>
      <c r="TOH14" s="108"/>
      <c r="TOI14" s="108"/>
      <c r="TOJ14" s="109"/>
      <c r="TOK14" s="107" t="s">
        <v>1</v>
      </c>
      <c r="TOL14" s="108"/>
      <c r="TOM14" s="108"/>
      <c r="TON14" s="109"/>
      <c r="TOO14" s="107" t="s">
        <v>1</v>
      </c>
      <c r="TOP14" s="108"/>
      <c r="TOQ14" s="108"/>
      <c r="TOR14" s="109"/>
      <c r="TOS14" s="107" t="s">
        <v>1</v>
      </c>
      <c r="TOT14" s="108"/>
      <c r="TOU14" s="108"/>
      <c r="TOV14" s="109"/>
      <c r="TOW14" s="107" t="s">
        <v>1</v>
      </c>
      <c r="TOX14" s="108"/>
      <c r="TOY14" s="108"/>
      <c r="TOZ14" s="109"/>
      <c r="TPA14" s="107" t="s">
        <v>1</v>
      </c>
      <c r="TPB14" s="108"/>
      <c r="TPC14" s="108"/>
      <c r="TPD14" s="109"/>
      <c r="TPE14" s="107" t="s">
        <v>1</v>
      </c>
      <c r="TPF14" s="108"/>
      <c r="TPG14" s="108"/>
      <c r="TPH14" s="109"/>
      <c r="TPI14" s="107" t="s">
        <v>1</v>
      </c>
      <c r="TPJ14" s="108"/>
      <c r="TPK14" s="108"/>
      <c r="TPL14" s="109"/>
      <c r="TPM14" s="107" t="s">
        <v>1</v>
      </c>
      <c r="TPN14" s="108"/>
      <c r="TPO14" s="108"/>
      <c r="TPP14" s="109"/>
      <c r="TPQ14" s="107" t="s">
        <v>1</v>
      </c>
      <c r="TPR14" s="108"/>
      <c r="TPS14" s="108"/>
      <c r="TPT14" s="109"/>
      <c r="TPU14" s="107" t="s">
        <v>1</v>
      </c>
      <c r="TPV14" s="108"/>
      <c r="TPW14" s="108"/>
      <c r="TPX14" s="109"/>
      <c r="TPY14" s="107" t="s">
        <v>1</v>
      </c>
      <c r="TPZ14" s="108"/>
      <c r="TQA14" s="108"/>
      <c r="TQB14" s="109"/>
      <c r="TQC14" s="107" t="s">
        <v>1</v>
      </c>
      <c r="TQD14" s="108"/>
      <c r="TQE14" s="108"/>
      <c r="TQF14" s="109"/>
      <c r="TQG14" s="107" t="s">
        <v>1</v>
      </c>
      <c r="TQH14" s="108"/>
      <c r="TQI14" s="108"/>
      <c r="TQJ14" s="109"/>
      <c r="TQK14" s="107" t="s">
        <v>1</v>
      </c>
      <c r="TQL14" s="108"/>
      <c r="TQM14" s="108"/>
      <c r="TQN14" s="109"/>
      <c r="TQO14" s="107" t="s">
        <v>1</v>
      </c>
      <c r="TQP14" s="108"/>
      <c r="TQQ14" s="108"/>
      <c r="TQR14" s="109"/>
      <c r="TQS14" s="107" t="s">
        <v>1</v>
      </c>
      <c r="TQT14" s="108"/>
      <c r="TQU14" s="108"/>
      <c r="TQV14" s="109"/>
      <c r="TQW14" s="107" t="s">
        <v>1</v>
      </c>
      <c r="TQX14" s="108"/>
      <c r="TQY14" s="108"/>
      <c r="TQZ14" s="109"/>
      <c r="TRA14" s="107" t="s">
        <v>1</v>
      </c>
      <c r="TRB14" s="108"/>
      <c r="TRC14" s="108"/>
      <c r="TRD14" s="109"/>
      <c r="TRE14" s="107" t="s">
        <v>1</v>
      </c>
      <c r="TRF14" s="108"/>
      <c r="TRG14" s="108"/>
      <c r="TRH14" s="109"/>
      <c r="TRI14" s="107" t="s">
        <v>1</v>
      </c>
      <c r="TRJ14" s="108"/>
      <c r="TRK14" s="108"/>
      <c r="TRL14" s="109"/>
      <c r="TRM14" s="107" t="s">
        <v>1</v>
      </c>
      <c r="TRN14" s="108"/>
      <c r="TRO14" s="108"/>
      <c r="TRP14" s="109"/>
      <c r="TRQ14" s="107" t="s">
        <v>1</v>
      </c>
      <c r="TRR14" s="108"/>
      <c r="TRS14" s="108"/>
      <c r="TRT14" s="109"/>
      <c r="TRU14" s="107" t="s">
        <v>1</v>
      </c>
      <c r="TRV14" s="108"/>
      <c r="TRW14" s="108"/>
      <c r="TRX14" s="109"/>
      <c r="TRY14" s="107" t="s">
        <v>1</v>
      </c>
      <c r="TRZ14" s="108"/>
      <c r="TSA14" s="108"/>
      <c r="TSB14" s="109"/>
      <c r="TSC14" s="107" t="s">
        <v>1</v>
      </c>
      <c r="TSD14" s="108"/>
      <c r="TSE14" s="108"/>
      <c r="TSF14" s="109"/>
      <c r="TSG14" s="107" t="s">
        <v>1</v>
      </c>
      <c r="TSH14" s="108"/>
      <c r="TSI14" s="108"/>
      <c r="TSJ14" s="109"/>
      <c r="TSK14" s="107" t="s">
        <v>1</v>
      </c>
      <c r="TSL14" s="108"/>
      <c r="TSM14" s="108"/>
      <c r="TSN14" s="109"/>
      <c r="TSO14" s="107" t="s">
        <v>1</v>
      </c>
      <c r="TSP14" s="108"/>
      <c r="TSQ14" s="108"/>
      <c r="TSR14" s="109"/>
      <c r="TSS14" s="107" t="s">
        <v>1</v>
      </c>
      <c r="TST14" s="108"/>
      <c r="TSU14" s="108"/>
      <c r="TSV14" s="109"/>
      <c r="TSW14" s="107" t="s">
        <v>1</v>
      </c>
      <c r="TSX14" s="108"/>
      <c r="TSY14" s="108"/>
      <c r="TSZ14" s="109"/>
      <c r="TTA14" s="107" t="s">
        <v>1</v>
      </c>
      <c r="TTB14" s="108"/>
      <c r="TTC14" s="108"/>
      <c r="TTD14" s="109"/>
      <c r="TTE14" s="107" t="s">
        <v>1</v>
      </c>
      <c r="TTF14" s="108"/>
      <c r="TTG14" s="108"/>
      <c r="TTH14" s="109"/>
      <c r="TTI14" s="107" t="s">
        <v>1</v>
      </c>
      <c r="TTJ14" s="108"/>
      <c r="TTK14" s="108"/>
      <c r="TTL14" s="109"/>
      <c r="TTM14" s="107" t="s">
        <v>1</v>
      </c>
      <c r="TTN14" s="108"/>
      <c r="TTO14" s="108"/>
      <c r="TTP14" s="109"/>
      <c r="TTQ14" s="107" t="s">
        <v>1</v>
      </c>
      <c r="TTR14" s="108"/>
      <c r="TTS14" s="108"/>
      <c r="TTT14" s="109"/>
      <c r="TTU14" s="107" t="s">
        <v>1</v>
      </c>
      <c r="TTV14" s="108"/>
      <c r="TTW14" s="108"/>
      <c r="TTX14" s="109"/>
      <c r="TTY14" s="107" t="s">
        <v>1</v>
      </c>
      <c r="TTZ14" s="108"/>
      <c r="TUA14" s="108"/>
      <c r="TUB14" s="109"/>
      <c r="TUC14" s="107" t="s">
        <v>1</v>
      </c>
      <c r="TUD14" s="108"/>
      <c r="TUE14" s="108"/>
      <c r="TUF14" s="109"/>
      <c r="TUG14" s="107" t="s">
        <v>1</v>
      </c>
      <c r="TUH14" s="108"/>
      <c r="TUI14" s="108"/>
      <c r="TUJ14" s="109"/>
      <c r="TUK14" s="107" t="s">
        <v>1</v>
      </c>
      <c r="TUL14" s="108"/>
      <c r="TUM14" s="108"/>
      <c r="TUN14" s="109"/>
      <c r="TUO14" s="107" t="s">
        <v>1</v>
      </c>
      <c r="TUP14" s="108"/>
      <c r="TUQ14" s="108"/>
      <c r="TUR14" s="109"/>
      <c r="TUS14" s="107" t="s">
        <v>1</v>
      </c>
      <c r="TUT14" s="108"/>
      <c r="TUU14" s="108"/>
      <c r="TUV14" s="109"/>
      <c r="TUW14" s="107" t="s">
        <v>1</v>
      </c>
      <c r="TUX14" s="108"/>
      <c r="TUY14" s="108"/>
      <c r="TUZ14" s="109"/>
      <c r="TVA14" s="107" t="s">
        <v>1</v>
      </c>
      <c r="TVB14" s="108"/>
      <c r="TVC14" s="108"/>
      <c r="TVD14" s="109"/>
      <c r="TVE14" s="107" t="s">
        <v>1</v>
      </c>
      <c r="TVF14" s="108"/>
      <c r="TVG14" s="108"/>
      <c r="TVH14" s="109"/>
      <c r="TVI14" s="107" t="s">
        <v>1</v>
      </c>
      <c r="TVJ14" s="108"/>
      <c r="TVK14" s="108"/>
      <c r="TVL14" s="109"/>
      <c r="TVM14" s="107" t="s">
        <v>1</v>
      </c>
      <c r="TVN14" s="108"/>
      <c r="TVO14" s="108"/>
      <c r="TVP14" s="109"/>
      <c r="TVQ14" s="107" t="s">
        <v>1</v>
      </c>
      <c r="TVR14" s="108"/>
      <c r="TVS14" s="108"/>
      <c r="TVT14" s="109"/>
      <c r="TVU14" s="107" t="s">
        <v>1</v>
      </c>
      <c r="TVV14" s="108"/>
      <c r="TVW14" s="108"/>
      <c r="TVX14" s="109"/>
      <c r="TVY14" s="107" t="s">
        <v>1</v>
      </c>
      <c r="TVZ14" s="108"/>
      <c r="TWA14" s="108"/>
      <c r="TWB14" s="109"/>
      <c r="TWC14" s="107" t="s">
        <v>1</v>
      </c>
      <c r="TWD14" s="108"/>
      <c r="TWE14" s="108"/>
      <c r="TWF14" s="109"/>
      <c r="TWG14" s="107" t="s">
        <v>1</v>
      </c>
      <c r="TWH14" s="108"/>
      <c r="TWI14" s="108"/>
      <c r="TWJ14" s="109"/>
      <c r="TWK14" s="107" t="s">
        <v>1</v>
      </c>
      <c r="TWL14" s="108"/>
      <c r="TWM14" s="108"/>
      <c r="TWN14" s="109"/>
      <c r="TWO14" s="107" t="s">
        <v>1</v>
      </c>
      <c r="TWP14" s="108"/>
      <c r="TWQ14" s="108"/>
      <c r="TWR14" s="109"/>
      <c r="TWS14" s="107" t="s">
        <v>1</v>
      </c>
      <c r="TWT14" s="108"/>
      <c r="TWU14" s="108"/>
      <c r="TWV14" s="109"/>
      <c r="TWW14" s="107" t="s">
        <v>1</v>
      </c>
      <c r="TWX14" s="108"/>
      <c r="TWY14" s="108"/>
      <c r="TWZ14" s="109"/>
      <c r="TXA14" s="107" t="s">
        <v>1</v>
      </c>
      <c r="TXB14" s="108"/>
      <c r="TXC14" s="108"/>
      <c r="TXD14" s="109"/>
      <c r="TXE14" s="107" t="s">
        <v>1</v>
      </c>
      <c r="TXF14" s="108"/>
      <c r="TXG14" s="108"/>
      <c r="TXH14" s="109"/>
      <c r="TXI14" s="107" t="s">
        <v>1</v>
      </c>
      <c r="TXJ14" s="108"/>
      <c r="TXK14" s="108"/>
      <c r="TXL14" s="109"/>
      <c r="TXM14" s="107" t="s">
        <v>1</v>
      </c>
      <c r="TXN14" s="108"/>
      <c r="TXO14" s="108"/>
      <c r="TXP14" s="109"/>
      <c r="TXQ14" s="107" t="s">
        <v>1</v>
      </c>
      <c r="TXR14" s="108"/>
      <c r="TXS14" s="108"/>
      <c r="TXT14" s="109"/>
      <c r="TXU14" s="107" t="s">
        <v>1</v>
      </c>
      <c r="TXV14" s="108"/>
      <c r="TXW14" s="108"/>
      <c r="TXX14" s="109"/>
      <c r="TXY14" s="107" t="s">
        <v>1</v>
      </c>
      <c r="TXZ14" s="108"/>
      <c r="TYA14" s="108"/>
      <c r="TYB14" s="109"/>
      <c r="TYC14" s="107" t="s">
        <v>1</v>
      </c>
      <c r="TYD14" s="108"/>
      <c r="TYE14" s="108"/>
      <c r="TYF14" s="109"/>
      <c r="TYG14" s="107" t="s">
        <v>1</v>
      </c>
      <c r="TYH14" s="108"/>
      <c r="TYI14" s="108"/>
      <c r="TYJ14" s="109"/>
      <c r="TYK14" s="107" t="s">
        <v>1</v>
      </c>
      <c r="TYL14" s="108"/>
      <c r="TYM14" s="108"/>
      <c r="TYN14" s="109"/>
      <c r="TYO14" s="107" t="s">
        <v>1</v>
      </c>
      <c r="TYP14" s="108"/>
      <c r="TYQ14" s="108"/>
      <c r="TYR14" s="109"/>
      <c r="TYS14" s="107" t="s">
        <v>1</v>
      </c>
      <c r="TYT14" s="108"/>
      <c r="TYU14" s="108"/>
      <c r="TYV14" s="109"/>
      <c r="TYW14" s="107" t="s">
        <v>1</v>
      </c>
      <c r="TYX14" s="108"/>
      <c r="TYY14" s="108"/>
      <c r="TYZ14" s="109"/>
      <c r="TZA14" s="107" t="s">
        <v>1</v>
      </c>
      <c r="TZB14" s="108"/>
      <c r="TZC14" s="108"/>
      <c r="TZD14" s="109"/>
      <c r="TZE14" s="107" t="s">
        <v>1</v>
      </c>
      <c r="TZF14" s="108"/>
      <c r="TZG14" s="108"/>
      <c r="TZH14" s="109"/>
      <c r="TZI14" s="107" t="s">
        <v>1</v>
      </c>
      <c r="TZJ14" s="108"/>
      <c r="TZK14" s="108"/>
      <c r="TZL14" s="109"/>
      <c r="TZM14" s="107" t="s">
        <v>1</v>
      </c>
      <c r="TZN14" s="108"/>
      <c r="TZO14" s="108"/>
      <c r="TZP14" s="109"/>
      <c r="TZQ14" s="107" t="s">
        <v>1</v>
      </c>
      <c r="TZR14" s="108"/>
      <c r="TZS14" s="108"/>
      <c r="TZT14" s="109"/>
      <c r="TZU14" s="107" t="s">
        <v>1</v>
      </c>
      <c r="TZV14" s="108"/>
      <c r="TZW14" s="108"/>
      <c r="TZX14" s="109"/>
      <c r="TZY14" s="107" t="s">
        <v>1</v>
      </c>
      <c r="TZZ14" s="108"/>
      <c r="UAA14" s="108"/>
      <c r="UAB14" s="109"/>
      <c r="UAC14" s="107" t="s">
        <v>1</v>
      </c>
      <c r="UAD14" s="108"/>
      <c r="UAE14" s="108"/>
      <c r="UAF14" s="109"/>
      <c r="UAG14" s="107" t="s">
        <v>1</v>
      </c>
      <c r="UAH14" s="108"/>
      <c r="UAI14" s="108"/>
      <c r="UAJ14" s="109"/>
      <c r="UAK14" s="107" t="s">
        <v>1</v>
      </c>
      <c r="UAL14" s="108"/>
      <c r="UAM14" s="108"/>
      <c r="UAN14" s="109"/>
      <c r="UAO14" s="107" t="s">
        <v>1</v>
      </c>
      <c r="UAP14" s="108"/>
      <c r="UAQ14" s="108"/>
      <c r="UAR14" s="109"/>
      <c r="UAS14" s="107" t="s">
        <v>1</v>
      </c>
      <c r="UAT14" s="108"/>
      <c r="UAU14" s="108"/>
      <c r="UAV14" s="109"/>
      <c r="UAW14" s="107" t="s">
        <v>1</v>
      </c>
      <c r="UAX14" s="108"/>
      <c r="UAY14" s="108"/>
      <c r="UAZ14" s="109"/>
      <c r="UBA14" s="107" t="s">
        <v>1</v>
      </c>
      <c r="UBB14" s="108"/>
      <c r="UBC14" s="108"/>
      <c r="UBD14" s="109"/>
      <c r="UBE14" s="107" t="s">
        <v>1</v>
      </c>
      <c r="UBF14" s="108"/>
      <c r="UBG14" s="108"/>
      <c r="UBH14" s="109"/>
      <c r="UBI14" s="107" t="s">
        <v>1</v>
      </c>
      <c r="UBJ14" s="108"/>
      <c r="UBK14" s="108"/>
      <c r="UBL14" s="109"/>
      <c r="UBM14" s="107" t="s">
        <v>1</v>
      </c>
      <c r="UBN14" s="108"/>
      <c r="UBO14" s="108"/>
      <c r="UBP14" s="109"/>
      <c r="UBQ14" s="107" t="s">
        <v>1</v>
      </c>
      <c r="UBR14" s="108"/>
      <c r="UBS14" s="108"/>
      <c r="UBT14" s="109"/>
      <c r="UBU14" s="107" t="s">
        <v>1</v>
      </c>
      <c r="UBV14" s="108"/>
      <c r="UBW14" s="108"/>
      <c r="UBX14" s="109"/>
      <c r="UBY14" s="107" t="s">
        <v>1</v>
      </c>
      <c r="UBZ14" s="108"/>
      <c r="UCA14" s="108"/>
      <c r="UCB14" s="109"/>
      <c r="UCC14" s="107" t="s">
        <v>1</v>
      </c>
      <c r="UCD14" s="108"/>
      <c r="UCE14" s="108"/>
      <c r="UCF14" s="109"/>
      <c r="UCG14" s="107" t="s">
        <v>1</v>
      </c>
      <c r="UCH14" s="108"/>
      <c r="UCI14" s="108"/>
      <c r="UCJ14" s="109"/>
      <c r="UCK14" s="107" t="s">
        <v>1</v>
      </c>
      <c r="UCL14" s="108"/>
      <c r="UCM14" s="108"/>
      <c r="UCN14" s="109"/>
      <c r="UCO14" s="107" t="s">
        <v>1</v>
      </c>
      <c r="UCP14" s="108"/>
      <c r="UCQ14" s="108"/>
      <c r="UCR14" s="109"/>
      <c r="UCS14" s="107" t="s">
        <v>1</v>
      </c>
      <c r="UCT14" s="108"/>
      <c r="UCU14" s="108"/>
      <c r="UCV14" s="109"/>
      <c r="UCW14" s="107" t="s">
        <v>1</v>
      </c>
      <c r="UCX14" s="108"/>
      <c r="UCY14" s="108"/>
      <c r="UCZ14" s="109"/>
      <c r="UDA14" s="107" t="s">
        <v>1</v>
      </c>
      <c r="UDB14" s="108"/>
      <c r="UDC14" s="108"/>
      <c r="UDD14" s="109"/>
      <c r="UDE14" s="107" t="s">
        <v>1</v>
      </c>
      <c r="UDF14" s="108"/>
      <c r="UDG14" s="108"/>
      <c r="UDH14" s="109"/>
      <c r="UDI14" s="107" t="s">
        <v>1</v>
      </c>
      <c r="UDJ14" s="108"/>
      <c r="UDK14" s="108"/>
      <c r="UDL14" s="109"/>
      <c r="UDM14" s="107" t="s">
        <v>1</v>
      </c>
      <c r="UDN14" s="108"/>
      <c r="UDO14" s="108"/>
      <c r="UDP14" s="109"/>
      <c r="UDQ14" s="107" t="s">
        <v>1</v>
      </c>
      <c r="UDR14" s="108"/>
      <c r="UDS14" s="108"/>
      <c r="UDT14" s="109"/>
      <c r="UDU14" s="107" t="s">
        <v>1</v>
      </c>
      <c r="UDV14" s="108"/>
      <c r="UDW14" s="108"/>
      <c r="UDX14" s="109"/>
      <c r="UDY14" s="107" t="s">
        <v>1</v>
      </c>
      <c r="UDZ14" s="108"/>
      <c r="UEA14" s="108"/>
      <c r="UEB14" s="109"/>
      <c r="UEC14" s="107" t="s">
        <v>1</v>
      </c>
      <c r="UED14" s="108"/>
      <c r="UEE14" s="108"/>
      <c r="UEF14" s="109"/>
      <c r="UEG14" s="107" t="s">
        <v>1</v>
      </c>
      <c r="UEH14" s="108"/>
      <c r="UEI14" s="108"/>
      <c r="UEJ14" s="109"/>
      <c r="UEK14" s="107" t="s">
        <v>1</v>
      </c>
      <c r="UEL14" s="108"/>
      <c r="UEM14" s="108"/>
      <c r="UEN14" s="109"/>
      <c r="UEO14" s="107" t="s">
        <v>1</v>
      </c>
      <c r="UEP14" s="108"/>
      <c r="UEQ14" s="108"/>
      <c r="UER14" s="109"/>
      <c r="UES14" s="107" t="s">
        <v>1</v>
      </c>
      <c r="UET14" s="108"/>
      <c r="UEU14" s="108"/>
      <c r="UEV14" s="109"/>
      <c r="UEW14" s="107" t="s">
        <v>1</v>
      </c>
      <c r="UEX14" s="108"/>
      <c r="UEY14" s="108"/>
      <c r="UEZ14" s="109"/>
      <c r="UFA14" s="107" t="s">
        <v>1</v>
      </c>
      <c r="UFB14" s="108"/>
      <c r="UFC14" s="108"/>
      <c r="UFD14" s="109"/>
      <c r="UFE14" s="107" t="s">
        <v>1</v>
      </c>
      <c r="UFF14" s="108"/>
      <c r="UFG14" s="108"/>
      <c r="UFH14" s="109"/>
      <c r="UFI14" s="107" t="s">
        <v>1</v>
      </c>
      <c r="UFJ14" s="108"/>
      <c r="UFK14" s="108"/>
      <c r="UFL14" s="109"/>
      <c r="UFM14" s="107" t="s">
        <v>1</v>
      </c>
      <c r="UFN14" s="108"/>
      <c r="UFO14" s="108"/>
      <c r="UFP14" s="109"/>
      <c r="UFQ14" s="107" t="s">
        <v>1</v>
      </c>
      <c r="UFR14" s="108"/>
      <c r="UFS14" s="108"/>
      <c r="UFT14" s="109"/>
      <c r="UFU14" s="107" t="s">
        <v>1</v>
      </c>
      <c r="UFV14" s="108"/>
      <c r="UFW14" s="108"/>
      <c r="UFX14" s="109"/>
      <c r="UFY14" s="107" t="s">
        <v>1</v>
      </c>
      <c r="UFZ14" s="108"/>
      <c r="UGA14" s="108"/>
      <c r="UGB14" s="109"/>
      <c r="UGC14" s="107" t="s">
        <v>1</v>
      </c>
      <c r="UGD14" s="108"/>
      <c r="UGE14" s="108"/>
      <c r="UGF14" s="109"/>
      <c r="UGG14" s="107" t="s">
        <v>1</v>
      </c>
      <c r="UGH14" s="108"/>
      <c r="UGI14" s="108"/>
      <c r="UGJ14" s="109"/>
      <c r="UGK14" s="107" t="s">
        <v>1</v>
      </c>
      <c r="UGL14" s="108"/>
      <c r="UGM14" s="108"/>
      <c r="UGN14" s="109"/>
      <c r="UGO14" s="107" t="s">
        <v>1</v>
      </c>
      <c r="UGP14" s="108"/>
      <c r="UGQ14" s="108"/>
      <c r="UGR14" s="109"/>
      <c r="UGS14" s="107" t="s">
        <v>1</v>
      </c>
      <c r="UGT14" s="108"/>
      <c r="UGU14" s="108"/>
      <c r="UGV14" s="109"/>
      <c r="UGW14" s="107" t="s">
        <v>1</v>
      </c>
      <c r="UGX14" s="108"/>
      <c r="UGY14" s="108"/>
      <c r="UGZ14" s="109"/>
      <c r="UHA14" s="107" t="s">
        <v>1</v>
      </c>
      <c r="UHB14" s="108"/>
      <c r="UHC14" s="108"/>
      <c r="UHD14" s="109"/>
      <c r="UHE14" s="107" t="s">
        <v>1</v>
      </c>
      <c r="UHF14" s="108"/>
      <c r="UHG14" s="108"/>
      <c r="UHH14" s="109"/>
      <c r="UHI14" s="107" t="s">
        <v>1</v>
      </c>
      <c r="UHJ14" s="108"/>
      <c r="UHK14" s="108"/>
      <c r="UHL14" s="109"/>
      <c r="UHM14" s="107" t="s">
        <v>1</v>
      </c>
      <c r="UHN14" s="108"/>
      <c r="UHO14" s="108"/>
      <c r="UHP14" s="109"/>
      <c r="UHQ14" s="107" t="s">
        <v>1</v>
      </c>
      <c r="UHR14" s="108"/>
      <c r="UHS14" s="108"/>
      <c r="UHT14" s="109"/>
      <c r="UHU14" s="107" t="s">
        <v>1</v>
      </c>
      <c r="UHV14" s="108"/>
      <c r="UHW14" s="108"/>
      <c r="UHX14" s="109"/>
      <c r="UHY14" s="107" t="s">
        <v>1</v>
      </c>
      <c r="UHZ14" s="108"/>
      <c r="UIA14" s="108"/>
      <c r="UIB14" s="109"/>
      <c r="UIC14" s="107" t="s">
        <v>1</v>
      </c>
      <c r="UID14" s="108"/>
      <c r="UIE14" s="108"/>
      <c r="UIF14" s="109"/>
      <c r="UIG14" s="107" t="s">
        <v>1</v>
      </c>
      <c r="UIH14" s="108"/>
      <c r="UII14" s="108"/>
      <c r="UIJ14" s="109"/>
      <c r="UIK14" s="107" t="s">
        <v>1</v>
      </c>
      <c r="UIL14" s="108"/>
      <c r="UIM14" s="108"/>
      <c r="UIN14" s="109"/>
      <c r="UIO14" s="107" t="s">
        <v>1</v>
      </c>
      <c r="UIP14" s="108"/>
      <c r="UIQ14" s="108"/>
      <c r="UIR14" s="109"/>
      <c r="UIS14" s="107" t="s">
        <v>1</v>
      </c>
      <c r="UIT14" s="108"/>
      <c r="UIU14" s="108"/>
      <c r="UIV14" s="109"/>
      <c r="UIW14" s="107" t="s">
        <v>1</v>
      </c>
      <c r="UIX14" s="108"/>
      <c r="UIY14" s="108"/>
      <c r="UIZ14" s="109"/>
      <c r="UJA14" s="107" t="s">
        <v>1</v>
      </c>
      <c r="UJB14" s="108"/>
      <c r="UJC14" s="108"/>
      <c r="UJD14" s="109"/>
      <c r="UJE14" s="107" t="s">
        <v>1</v>
      </c>
      <c r="UJF14" s="108"/>
      <c r="UJG14" s="108"/>
      <c r="UJH14" s="109"/>
      <c r="UJI14" s="107" t="s">
        <v>1</v>
      </c>
      <c r="UJJ14" s="108"/>
      <c r="UJK14" s="108"/>
      <c r="UJL14" s="109"/>
      <c r="UJM14" s="107" t="s">
        <v>1</v>
      </c>
      <c r="UJN14" s="108"/>
      <c r="UJO14" s="108"/>
      <c r="UJP14" s="109"/>
      <c r="UJQ14" s="107" t="s">
        <v>1</v>
      </c>
      <c r="UJR14" s="108"/>
      <c r="UJS14" s="108"/>
      <c r="UJT14" s="109"/>
      <c r="UJU14" s="107" t="s">
        <v>1</v>
      </c>
      <c r="UJV14" s="108"/>
      <c r="UJW14" s="108"/>
      <c r="UJX14" s="109"/>
      <c r="UJY14" s="107" t="s">
        <v>1</v>
      </c>
      <c r="UJZ14" s="108"/>
      <c r="UKA14" s="108"/>
      <c r="UKB14" s="109"/>
      <c r="UKC14" s="107" t="s">
        <v>1</v>
      </c>
      <c r="UKD14" s="108"/>
      <c r="UKE14" s="108"/>
      <c r="UKF14" s="109"/>
      <c r="UKG14" s="107" t="s">
        <v>1</v>
      </c>
      <c r="UKH14" s="108"/>
      <c r="UKI14" s="108"/>
      <c r="UKJ14" s="109"/>
      <c r="UKK14" s="107" t="s">
        <v>1</v>
      </c>
      <c r="UKL14" s="108"/>
      <c r="UKM14" s="108"/>
      <c r="UKN14" s="109"/>
      <c r="UKO14" s="107" t="s">
        <v>1</v>
      </c>
      <c r="UKP14" s="108"/>
      <c r="UKQ14" s="108"/>
      <c r="UKR14" s="109"/>
      <c r="UKS14" s="107" t="s">
        <v>1</v>
      </c>
      <c r="UKT14" s="108"/>
      <c r="UKU14" s="108"/>
      <c r="UKV14" s="109"/>
      <c r="UKW14" s="107" t="s">
        <v>1</v>
      </c>
      <c r="UKX14" s="108"/>
      <c r="UKY14" s="108"/>
      <c r="UKZ14" s="109"/>
      <c r="ULA14" s="107" t="s">
        <v>1</v>
      </c>
      <c r="ULB14" s="108"/>
      <c r="ULC14" s="108"/>
      <c r="ULD14" s="109"/>
      <c r="ULE14" s="107" t="s">
        <v>1</v>
      </c>
      <c r="ULF14" s="108"/>
      <c r="ULG14" s="108"/>
      <c r="ULH14" s="109"/>
      <c r="ULI14" s="107" t="s">
        <v>1</v>
      </c>
      <c r="ULJ14" s="108"/>
      <c r="ULK14" s="108"/>
      <c r="ULL14" s="109"/>
      <c r="ULM14" s="107" t="s">
        <v>1</v>
      </c>
      <c r="ULN14" s="108"/>
      <c r="ULO14" s="108"/>
      <c r="ULP14" s="109"/>
      <c r="ULQ14" s="107" t="s">
        <v>1</v>
      </c>
      <c r="ULR14" s="108"/>
      <c r="ULS14" s="108"/>
      <c r="ULT14" s="109"/>
      <c r="ULU14" s="107" t="s">
        <v>1</v>
      </c>
      <c r="ULV14" s="108"/>
      <c r="ULW14" s="108"/>
      <c r="ULX14" s="109"/>
      <c r="ULY14" s="107" t="s">
        <v>1</v>
      </c>
      <c r="ULZ14" s="108"/>
      <c r="UMA14" s="108"/>
      <c r="UMB14" s="109"/>
      <c r="UMC14" s="107" t="s">
        <v>1</v>
      </c>
      <c r="UMD14" s="108"/>
      <c r="UME14" s="108"/>
      <c r="UMF14" s="109"/>
      <c r="UMG14" s="107" t="s">
        <v>1</v>
      </c>
      <c r="UMH14" s="108"/>
      <c r="UMI14" s="108"/>
      <c r="UMJ14" s="109"/>
      <c r="UMK14" s="107" t="s">
        <v>1</v>
      </c>
      <c r="UML14" s="108"/>
      <c r="UMM14" s="108"/>
      <c r="UMN14" s="109"/>
      <c r="UMO14" s="107" t="s">
        <v>1</v>
      </c>
      <c r="UMP14" s="108"/>
      <c r="UMQ14" s="108"/>
      <c r="UMR14" s="109"/>
      <c r="UMS14" s="107" t="s">
        <v>1</v>
      </c>
      <c r="UMT14" s="108"/>
      <c r="UMU14" s="108"/>
      <c r="UMV14" s="109"/>
      <c r="UMW14" s="107" t="s">
        <v>1</v>
      </c>
      <c r="UMX14" s="108"/>
      <c r="UMY14" s="108"/>
      <c r="UMZ14" s="109"/>
      <c r="UNA14" s="107" t="s">
        <v>1</v>
      </c>
      <c r="UNB14" s="108"/>
      <c r="UNC14" s="108"/>
      <c r="UND14" s="109"/>
      <c r="UNE14" s="107" t="s">
        <v>1</v>
      </c>
      <c r="UNF14" s="108"/>
      <c r="UNG14" s="108"/>
      <c r="UNH14" s="109"/>
      <c r="UNI14" s="107" t="s">
        <v>1</v>
      </c>
      <c r="UNJ14" s="108"/>
      <c r="UNK14" s="108"/>
      <c r="UNL14" s="109"/>
      <c r="UNM14" s="107" t="s">
        <v>1</v>
      </c>
      <c r="UNN14" s="108"/>
      <c r="UNO14" s="108"/>
      <c r="UNP14" s="109"/>
      <c r="UNQ14" s="107" t="s">
        <v>1</v>
      </c>
      <c r="UNR14" s="108"/>
      <c r="UNS14" s="108"/>
      <c r="UNT14" s="109"/>
      <c r="UNU14" s="107" t="s">
        <v>1</v>
      </c>
      <c r="UNV14" s="108"/>
      <c r="UNW14" s="108"/>
      <c r="UNX14" s="109"/>
      <c r="UNY14" s="107" t="s">
        <v>1</v>
      </c>
      <c r="UNZ14" s="108"/>
      <c r="UOA14" s="108"/>
      <c r="UOB14" s="109"/>
      <c r="UOC14" s="107" t="s">
        <v>1</v>
      </c>
      <c r="UOD14" s="108"/>
      <c r="UOE14" s="108"/>
      <c r="UOF14" s="109"/>
      <c r="UOG14" s="107" t="s">
        <v>1</v>
      </c>
      <c r="UOH14" s="108"/>
      <c r="UOI14" s="108"/>
      <c r="UOJ14" s="109"/>
      <c r="UOK14" s="107" t="s">
        <v>1</v>
      </c>
      <c r="UOL14" s="108"/>
      <c r="UOM14" s="108"/>
      <c r="UON14" s="109"/>
      <c r="UOO14" s="107" t="s">
        <v>1</v>
      </c>
      <c r="UOP14" s="108"/>
      <c r="UOQ14" s="108"/>
      <c r="UOR14" s="109"/>
      <c r="UOS14" s="107" t="s">
        <v>1</v>
      </c>
      <c r="UOT14" s="108"/>
      <c r="UOU14" s="108"/>
      <c r="UOV14" s="109"/>
      <c r="UOW14" s="107" t="s">
        <v>1</v>
      </c>
      <c r="UOX14" s="108"/>
      <c r="UOY14" s="108"/>
      <c r="UOZ14" s="109"/>
      <c r="UPA14" s="107" t="s">
        <v>1</v>
      </c>
      <c r="UPB14" s="108"/>
      <c r="UPC14" s="108"/>
      <c r="UPD14" s="109"/>
      <c r="UPE14" s="107" t="s">
        <v>1</v>
      </c>
      <c r="UPF14" s="108"/>
      <c r="UPG14" s="108"/>
      <c r="UPH14" s="109"/>
      <c r="UPI14" s="107" t="s">
        <v>1</v>
      </c>
      <c r="UPJ14" s="108"/>
      <c r="UPK14" s="108"/>
      <c r="UPL14" s="109"/>
      <c r="UPM14" s="107" t="s">
        <v>1</v>
      </c>
      <c r="UPN14" s="108"/>
      <c r="UPO14" s="108"/>
      <c r="UPP14" s="109"/>
      <c r="UPQ14" s="107" t="s">
        <v>1</v>
      </c>
      <c r="UPR14" s="108"/>
      <c r="UPS14" s="108"/>
      <c r="UPT14" s="109"/>
      <c r="UPU14" s="107" t="s">
        <v>1</v>
      </c>
      <c r="UPV14" s="108"/>
      <c r="UPW14" s="108"/>
      <c r="UPX14" s="109"/>
      <c r="UPY14" s="107" t="s">
        <v>1</v>
      </c>
      <c r="UPZ14" s="108"/>
      <c r="UQA14" s="108"/>
      <c r="UQB14" s="109"/>
      <c r="UQC14" s="107" t="s">
        <v>1</v>
      </c>
      <c r="UQD14" s="108"/>
      <c r="UQE14" s="108"/>
      <c r="UQF14" s="109"/>
      <c r="UQG14" s="107" t="s">
        <v>1</v>
      </c>
      <c r="UQH14" s="108"/>
      <c r="UQI14" s="108"/>
      <c r="UQJ14" s="109"/>
      <c r="UQK14" s="107" t="s">
        <v>1</v>
      </c>
      <c r="UQL14" s="108"/>
      <c r="UQM14" s="108"/>
      <c r="UQN14" s="109"/>
      <c r="UQO14" s="107" t="s">
        <v>1</v>
      </c>
      <c r="UQP14" s="108"/>
      <c r="UQQ14" s="108"/>
      <c r="UQR14" s="109"/>
      <c r="UQS14" s="107" t="s">
        <v>1</v>
      </c>
      <c r="UQT14" s="108"/>
      <c r="UQU14" s="108"/>
      <c r="UQV14" s="109"/>
      <c r="UQW14" s="107" t="s">
        <v>1</v>
      </c>
      <c r="UQX14" s="108"/>
      <c r="UQY14" s="108"/>
      <c r="UQZ14" s="109"/>
      <c r="URA14" s="107" t="s">
        <v>1</v>
      </c>
      <c r="URB14" s="108"/>
      <c r="URC14" s="108"/>
      <c r="URD14" s="109"/>
      <c r="URE14" s="107" t="s">
        <v>1</v>
      </c>
      <c r="URF14" s="108"/>
      <c r="URG14" s="108"/>
      <c r="URH14" s="109"/>
      <c r="URI14" s="107" t="s">
        <v>1</v>
      </c>
      <c r="URJ14" s="108"/>
      <c r="URK14" s="108"/>
      <c r="URL14" s="109"/>
      <c r="URM14" s="107" t="s">
        <v>1</v>
      </c>
      <c r="URN14" s="108"/>
      <c r="URO14" s="108"/>
      <c r="URP14" s="109"/>
      <c r="URQ14" s="107" t="s">
        <v>1</v>
      </c>
      <c r="URR14" s="108"/>
      <c r="URS14" s="108"/>
      <c r="URT14" s="109"/>
      <c r="URU14" s="107" t="s">
        <v>1</v>
      </c>
      <c r="URV14" s="108"/>
      <c r="URW14" s="108"/>
      <c r="URX14" s="109"/>
      <c r="URY14" s="107" t="s">
        <v>1</v>
      </c>
      <c r="URZ14" s="108"/>
      <c r="USA14" s="108"/>
      <c r="USB14" s="109"/>
      <c r="USC14" s="107" t="s">
        <v>1</v>
      </c>
      <c r="USD14" s="108"/>
      <c r="USE14" s="108"/>
      <c r="USF14" s="109"/>
      <c r="USG14" s="107" t="s">
        <v>1</v>
      </c>
      <c r="USH14" s="108"/>
      <c r="USI14" s="108"/>
      <c r="USJ14" s="109"/>
      <c r="USK14" s="107" t="s">
        <v>1</v>
      </c>
      <c r="USL14" s="108"/>
      <c r="USM14" s="108"/>
      <c r="USN14" s="109"/>
      <c r="USO14" s="107" t="s">
        <v>1</v>
      </c>
      <c r="USP14" s="108"/>
      <c r="USQ14" s="108"/>
      <c r="USR14" s="109"/>
      <c r="USS14" s="107" t="s">
        <v>1</v>
      </c>
      <c r="UST14" s="108"/>
      <c r="USU14" s="108"/>
      <c r="USV14" s="109"/>
      <c r="USW14" s="107" t="s">
        <v>1</v>
      </c>
      <c r="USX14" s="108"/>
      <c r="USY14" s="108"/>
      <c r="USZ14" s="109"/>
      <c r="UTA14" s="107" t="s">
        <v>1</v>
      </c>
      <c r="UTB14" s="108"/>
      <c r="UTC14" s="108"/>
      <c r="UTD14" s="109"/>
      <c r="UTE14" s="107" t="s">
        <v>1</v>
      </c>
      <c r="UTF14" s="108"/>
      <c r="UTG14" s="108"/>
      <c r="UTH14" s="109"/>
      <c r="UTI14" s="107" t="s">
        <v>1</v>
      </c>
      <c r="UTJ14" s="108"/>
      <c r="UTK14" s="108"/>
      <c r="UTL14" s="109"/>
      <c r="UTM14" s="107" t="s">
        <v>1</v>
      </c>
      <c r="UTN14" s="108"/>
      <c r="UTO14" s="108"/>
      <c r="UTP14" s="109"/>
      <c r="UTQ14" s="107" t="s">
        <v>1</v>
      </c>
      <c r="UTR14" s="108"/>
      <c r="UTS14" s="108"/>
      <c r="UTT14" s="109"/>
      <c r="UTU14" s="107" t="s">
        <v>1</v>
      </c>
      <c r="UTV14" s="108"/>
      <c r="UTW14" s="108"/>
      <c r="UTX14" s="109"/>
      <c r="UTY14" s="107" t="s">
        <v>1</v>
      </c>
      <c r="UTZ14" s="108"/>
      <c r="UUA14" s="108"/>
      <c r="UUB14" s="109"/>
      <c r="UUC14" s="107" t="s">
        <v>1</v>
      </c>
      <c r="UUD14" s="108"/>
      <c r="UUE14" s="108"/>
      <c r="UUF14" s="109"/>
      <c r="UUG14" s="107" t="s">
        <v>1</v>
      </c>
      <c r="UUH14" s="108"/>
      <c r="UUI14" s="108"/>
      <c r="UUJ14" s="109"/>
      <c r="UUK14" s="107" t="s">
        <v>1</v>
      </c>
      <c r="UUL14" s="108"/>
      <c r="UUM14" s="108"/>
      <c r="UUN14" s="109"/>
      <c r="UUO14" s="107" t="s">
        <v>1</v>
      </c>
      <c r="UUP14" s="108"/>
      <c r="UUQ14" s="108"/>
      <c r="UUR14" s="109"/>
      <c r="UUS14" s="107" t="s">
        <v>1</v>
      </c>
      <c r="UUT14" s="108"/>
      <c r="UUU14" s="108"/>
      <c r="UUV14" s="109"/>
      <c r="UUW14" s="107" t="s">
        <v>1</v>
      </c>
      <c r="UUX14" s="108"/>
      <c r="UUY14" s="108"/>
      <c r="UUZ14" s="109"/>
      <c r="UVA14" s="107" t="s">
        <v>1</v>
      </c>
      <c r="UVB14" s="108"/>
      <c r="UVC14" s="108"/>
      <c r="UVD14" s="109"/>
      <c r="UVE14" s="107" t="s">
        <v>1</v>
      </c>
      <c r="UVF14" s="108"/>
      <c r="UVG14" s="108"/>
      <c r="UVH14" s="109"/>
      <c r="UVI14" s="107" t="s">
        <v>1</v>
      </c>
      <c r="UVJ14" s="108"/>
      <c r="UVK14" s="108"/>
      <c r="UVL14" s="109"/>
      <c r="UVM14" s="107" t="s">
        <v>1</v>
      </c>
      <c r="UVN14" s="108"/>
      <c r="UVO14" s="108"/>
      <c r="UVP14" s="109"/>
      <c r="UVQ14" s="107" t="s">
        <v>1</v>
      </c>
      <c r="UVR14" s="108"/>
      <c r="UVS14" s="108"/>
      <c r="UVT14" s="109"/>
      <c r="UVU14" s="107" t="s">
        <v>1</v>
      </c>
      <c r="UVV14" s="108"/>
      <c r="UVW14" s="108"/>
      <c r="UVX14" s="109"/>
      <c r="UVY14" s="107" t="s">
        <v>1</v>
      </c>
      <c r="UVZ14" s="108"/>
      <c r="UWA14" s="108"/>
      <c r="UWB14" s="109"/>
      <c r="UWC14" s="107" t="s">
        <v>1</v>
      </c>
      <c r="UWD14" s="108"/>
      <c r="UWE14" s="108"/>
      <c r="UWF14" s="109"/>
      <c r="UWG14" s="107" t="s">
        <v>1</v>
      </c>
      <c r="UWH14" s="108"/>
      <c r="UWI14" s="108"/>
      <c r="UWJ14" s="109"/>
      <c r="UWK14" s="107" t="s">
        <v>1</v>
      </c>
      <c r="UWL14" s="108"/>
      <c r="UWM14" s="108"/>
      <c r="UWN14" s="109"/>
      <c r="UWO14" s="107" t="s">
        <v>1</v>
      </c>
      <c r="UWP14" s="108"/>
      <c r="UWQ14" s="108"/>
      <c r="UWR14" s="109"/>
      <c r="UWS14" s="107" t="s">
        <v>1</v>
      </c>
      <c r="UWT14" s="108"/>
      <c r="UWU14" s="108"/>
      <c r="UWV14" s="109"/>
      <c r="UWW14" s="107" t="s">
        <v>1</v>
      </c>
      <c r="UWX14" s="108"/>
      <c r="UWY14" s="108"/>
      <c r="UWZ14" s="109"/>
      <c r="UXA14" s="107" t="s">
        <v>1</v>
      </c>
      <c r="UXB14" s="108"/>
      <c r="UXC14" s="108"/>
      <c r="UXD14" s="109"/>
      <c r="UXE14" s="107" t="s">
        <v>1</v>
      </c>
      <c r="UXF14" s="108"/>
      <c r="UXG14" s="108"/>
      <c r="UXH14" s="109"/>
      <c r="UXI14" s="107" t="s">
        <v>1</v>
      </c>
      <c r="UXJ14" s="108"/>
      <c r="UXK14" s="108"/>
      <c r="UXL14" s="109"/>
      <c r="UXM14" s="107" t="s">
        <v>1</v>
      </c>
      <c r="UXN14" s="108"/>
      <c r="UXO14" s="108"/>
      <c r="UXP14" s="109"/>
      <c r="UXQ14" s="107" t="s">
        <v>1</v>
      </c>
      <c r="UXR14" s="108"/>
      <c r="UXS14" s="108"/>
      <c r="UXT14" s="109"/>
      <c r="UXU14" s="107" t="s">
        <v>1</v>
      </c>
      <c r="UXV14" s="108"/>
      <c r="UXW14" s="108"/>
      <c r="UXX14" s="109"/>
      <c r="UXY14" s="107" t="s">
        <v>1</v>
      </c>
      <c r="UXZ14" s="108"/>
      <c r="UYA14" s="108"/>
      <c r="UYB14" s="109"/>
      <c r="UYC14" s="107" t="s">
        <v>1</v>
      </c>
      <c r="UYD14" s="108"/>
      <c r="UYE14" s="108"/>
      <c r="UYF14" s="109"/>
      <c r="UYG14" s="107" t="s">
        <v>1</v>
      </c>
      <c r="UYH14" s="108"/>
      <c r="UYI14" s="108"/>
      <c r="UYJ14" s="109"/>
      <c r="UYK14" s="107" t="s">
        <v>1</v>
      </c>
      <c r="UYL14" s="108"/>
      <c r="UYM14" s="108"/>
      <c r="UYN14" s="109"/>
      <c r="UYO14" s="107" t="s">
        <v>1</v>
      </c>
      <c r="UYP14" s="108"/>
      <c r="UYQ14" s="108"/>
      <c r="UYR14" s="109"/>
      <c r="UYS14" s="107" t="s">
        <v>1</v>
      </c>
      <c r="UYT14" s="108"/>
      <c r="UYU14" s="108"/>
      <c r="UYV14" s="109"/>
      <c r="UYW14" s="107" t="s">
        <v>1</v>
      </c>
      <c r="UYX14" s="108"/>
      <c r="UYY14" s="108"/>
      <c r="UYZ14" s="109"/>
      <c r="UZA14" s="107" t="s">
        <v>1</v>
      </c>
      <c r="UZB14" s="108"/>
      <c r="UZC14" s="108"/>
      <c r="UZD14" s="109"/>
      <c r="UZE14" s="107" t="s">
        <v>1</v>
      </c>
      <c r="UZF14" s="108"/>
      <c r="UZG14" s="108"/>
      <c r="UZH14" s="109"/>
      <c r="UZI14" s="107" t="s">
        <v>1</v>
      </c>
      <c r="UZJ14" s="108"/>
      <c r="UZK14" s="108"/>
      <c r="UZL14" s="109"/>
      <c r="UZM14" s="107" t="s">
        <v>1</v>
      </c>
      <c r="UZN14" s="108"/>
      <c r="UZO14" s="108"/>
      <c r="UZP14" s="109"/>
      <c r="UZQ14" s="107" t="s">
        <v>1</v>
      </c>
      <c r="UZR14" s="108"/>
      <c r="UZS14" s="108"/>
      <c r="UZT14" s="109"/>
      <c r="UZU14" s="107" t="s">
        <v>1</v>
      </c>
      <c r="UZV14" s="108"/>
      <c r="UZW14" s="108"/>
      <c r="UZX14" s="109"/>
      <c r="UZY14" s="107" t="s">
        <v>1</v>
      </c>
      <c r="UZZ14" s="108"/>
      <c r="VAA14" s="108"/>
      <c r="VAB14" s="109"/>
      <c r="VAC14" s="107" t="s">
        <v>1</v>
      </c>
      <c r="VAD14" s="108"/>
      <c r="VAE14" s="108"/>
      <c r="VAF14" s="109"/>
      <c r="VAG14" s="107" t="s">
        <v>1</v>
      </c>
      <c r="VAH14" s="108"/>
      <c r="VAI14" s="108"/>
      <c r="VAJ14" s="109"/>
      <c r="VAK14" s="107" t="s">
        <v>1</v>
      </c>
      <c r="VAL14" s="108"/>
      <c r="VAM14" s="108"/>
      <c r="VAN14" s="109"/>
      <c r="VAO14" s="107" t="s">
        <v>1</v>
      </c>
      <c r="VAP14" s="108"/>
      <c r="VAQ14" s="108"/>
      <c r="VAR14" s="109"/>
      <c r="VAS14" s="107" t="s">
        <v>1</v>
      </c>
      <c r="VAT14" s="108"/>
      <c r="VAU14" s="108"/>
      <c r="VAV14" s="109"/>
      <c r="VAW14" s="107" t="s">
        <v>1</v>
      </c>
      <c r="VAX14" s="108"/>
      <c r="VAY14" s="108"/>
      <c r="VAZ14" s="109"/>
      <c r="VBA14" s="107" t="s">
        <v>1</v>
      </c>
      <c r="VBB14" s="108"/>
      <c r="VBC14" s="108"/>
      <c r="VBD14" s="109"/>
      <c r="VBE14" s="107" t="s">
        <v>1</v>
      </c>
      <c r="VBF14" s="108"/>
      <c r="VBG14" s="108"/>
      <c r="VBH14" s="109"/>
      <c r="VBI14" s="107" t="s">
        <v>1</v>
      </c>
      <c r="VBJ14" s="108"/>
      <c r="VBK14" s="108"/>
      <c r="VBL14" s="109"/>
      <c r="VBM14" s="107" t="s">
        <v>1</v>
      </c>
      <c r="VBN14" s="108"/>
      <c r="VBO14" s="108"/>
      <c r="VBP14" s="109"/>
      <c r="VBQ14" s="107" t="s">
        <v>1</v>
      </c>
      <c r="VBR14" s="108"/>
      <c r="VBS14" s="108"/>
      <c r="VBT14" s="109"/>
      <c r="VBU14" s="107" t="s">
        <v>1</v>
      </c>
      <c r="VBV14" s="108"/>
      <c r="VBW14" s="108"/>
      <c r="VBX14" s="109"/>
      <c r="VBY14" s="107" t="s">
        <v>1</v>
      </c>
      <c r="VBZ14" s="108"/>
      <c r="VCA14" s="108"/>
      <c r="VCB14" s="109"/>
      <c r="VCC14" s="107" t="s">
        <v>1</v>
      </c>
      <c r="VCD14" s="108"/>
      <c r="VCE14" s="108"/>
      <c r="VCF14" s="109"/>
      <c r="VCG14" s="107" t="s">
        <v>1</v>
      </c>
      <c r="VCH14" s="108"/>
      <c r="VCI14" s="108"/>
      <c r="VCJ14" s="109"/>
      <c r="VCK14" s="107" t="s">
        <v>1</v>
      </c>
      <c r="VCL14" s="108"/>
      <c r="VCM14" s="108"/>
      <c r="VCN14" s="109"/>
      <c r="VCO14" s="107" t="s">
        <v>1</v>
      </c>
      <c r="VCP14" s="108"/>
      <c r="VCQ14" s="108"/>
      <c r="VCR14" s="109"/>
      <c r="VCS14" s="107" t="s">
        <v>1</v>
      </c>
      <c r="VCT14" s="108"/>
      <c r="VCU14" s="108"/>
      <c r="VCV14" s="109"/>
      <c r="VCW14" s="107" t="s">
        <v>1</v>
      </c>
      <c r="VCX14" s="108"/>
      <c r="VCY14" s="108"/>
      <c r="VCZ14" s="109"/>
      <c r="VDA14" s="107" t="s">
        <v>1</v>
      </c>
      <c r="VDB14" s="108"/>
      <c r="VDC14" s="108"/>
      <c r="VDD14" s="109"/>
      <c r="VDE14" s="107" t="s">
        <v>1</v>
      </c>
      <c r="VDF14" s="108"/>
      <c r="VDG14" s="108"/>
      <c r="VDH14" s="109"/>
      <c r="VDI14" s="107" t="s">
        <v>1</v>
      </c>
      <c r="VDJ14" s="108"/>
      <c r="VDK14" s="108"/>
      <c r="VDL14" s="109"/>
      <c r="VDM14" s="107" t="s">
        <v>1</v>
      </c>
      <c r="VDN14" s="108"/>
      <c r="VDO14" s="108"/>
      <c r="VDP14" s="109"/>
      <c r="VDQ14" s="107" t="s">
        <v>1</v>
      </c>
      <c r="VDR14" s="108"/>
      <c r="VDS14" s="108"/>
      <c r="VDT14" s="109"/>
      <c r="VDU14" s="107" t="s">
        <v>1</v>
      </c>
      <c r="VDV14" s="108"/>
      <c r="VDW14" s="108"/>
      <c r="VDX14" s="109"/>
      <c r="VDY14" s="107" t="s">
        <v>1</v>
      </c>
      <c r="VDZ14" s="108"/>
      <c r="VEA14" s="108"/>
      <c r="VEB14" s="109"/>
      <c r="VEC14" s="107" t="s">
        <v>1</v>
      </c>
      <c r="VED14" s="108"/>
      <c r="VEE14" s="108"/>
      <c r="VEF14" s="109"/>
      <c r="VEG14" s="107" t="s">
        <v>1</v>
      </c>
      <c r="VEH14" s="108"/>
      <c r="VEI14" s="108"/>
      <c r="VEJ14" s="109"/>
      <c r="VEK14" s="107" t="s">
        <v>1</v>
      </c>
      <c r="VEL14" s="108"/>
      <c r="VEM14" s="108"/>
      <c r="VEN14" s="109"/>
      <c r="VEO14" s="107" t="s">
        <v>1</v>
      </c>
      <c r="VEP14" s="108"/>
      <c r="VEQ14" s="108"/>
      <c r="VER14" s="109"/>
      <c r="VES14" s="107" t="s">
        <v>1</v>
      </c>
      <c r="VET14" s="108"/>
      <c r="VEU14" s="108"/>
      <c r="VEV14" s="109"/>
      <c r="VEW14" s="107" t="s">
        <v>1</v>
      </c>
      <c r="VEX14" s="108"/>
      <c r="VEY14" s="108"/>
      <c r="VEZ14" s="109"/>
      <c r="VFA14" s="107" t="s">
        <v>1</v>
      </c>
      <c r="VFB14" s="108"/>
      <c r="VFC14" s="108"/>
      <c r="VFD14" s="109"/>
      <c r="VFE14" s="107" t="s">
        <v>1</v>
      </c>
      <c r="VFF14" s="108"/>
      <c r="VFG14" s="108"/>
      <c r="VFH14" s="109"/>
      <c r="VFI14" s="107" t="s">
        <v>1</v>
      </c>
      <c r="VFJ14" s="108"/>
      <c r="VFK14" s="108"/>
      <c r="VFL14" s="109"/>
      <c r="VFM14" s="107" t="s">
        <v>1</v>
      </c>
      <c r="VFN14" s="108"/>
      <c r="VFO14" s="108"/>
      <c r="VFP14" s="109"/>
      <c r="VFQ14" s="107" t="s">
        <v>1</v>
      </c>
      <c r="VFR14" s="108"/>
      <c r="VFS14" s="108"/>
      <c r="VFT14" s="109"/>
      <c r="VFU14" s="107" t="s">
        <v>1</v>
      </c>
      <c r="VFV14" s="108"/>
      <c r="VFW14" s="108"/>
      <c r="VFX14" s="109"/>
      <c r="VFY14" s="107" t="s">
        <v>1</v>
      </c>
      <c r="VFZ14" s="108"/>
      <c r="VGA14" s="108"/>
      <c r="VGB14" s="109"/>
      <c r="VGC14" s="107" t="s">
        <v>1</v>
      </c>
      <c r="VGD14" s="108"/>
      <c r="VGE14" s="108"/>
      <c r="VGF14" s="109"/>
      <c r="VGG14" s="107" t="s">
        <v>1</v>
      </c>
      <c r="VGH14" s="108"/>
      <c r="VGI14" s="108"/>
      <c r="VGJ14" s="109"/>
      <c r="VGK14" s="107" t="s">
        <v>1</v>
      </c>
      <c r="VGL14" s="108"/>
      <c r="VGM14" s="108"/>
      <c r="VGN14" s="109"/>
      <c r="VGO14" s="107" t="s">
        <v>1</v>
      </c>
      <c r="VGP14" s="108"/>
      <c r="VGQ14" s="108"/>
      <c r="VGR14" s="109"/>
      <c r="VGS14" s="107" t="s">
        <v>1</v>
      </c>
      <c r="VGT14" s="108"/>
      <c r="VGU14" s="108"/>
      <c r="VGV14" s="109"/>
      <c r="VGW14" s="107" t="s">
        <v>1</v>
      </c>
      <c r="VGX14" s="108"/>
      <c r="VGY14" s="108"/>
      <c r="VGZ14" s="109"/>
      <c r="VHA14" s="107" t="s">
        <v>1</v>
      </c>
      <c r="VHB14" s="108"/>
      <c r="VHC14" s="108"/>
      <c r="VHD14" s="109"/>
      <c r="VHE14" s="107" t="s">
        <v>1</v>
      </c>
      <c r="VHF14" s="108"/>
      <c r="VHG14" s="108"/>
      <c r="VHH14" s="109"/>
      <c r="VHI14" s="107" t="s">
        <v>1</v>
      </c>
      <c r="VHJ14" s="108"/>
      <c r="VHK14" s="108"/>
      <c r="VHL14" s="109"/>
      <c r="VHM14" s="107" t="s">
        <v>1</v>
      </c>
      <c r="VHN14" s="108"/>
      <c r="VHO14" s="108"/>
      <c r="VHP14" s="109"/>
      <c r="VHQ14" s="107" t="s">
        <v>1</v>
      </c>
      <c r="VHR14" s="108"/>
      <c r="VHS14" s="108"/>
      <c r="VHT14" s="109"/>
      <c r="VHU14" s="107" t="s">
        <v>1</v>
      </c>
      <c r="VHV14" s="108"/>
      <c r="VHW14" s="108"/>
      <c r="VHX14" s="109"/>
      <c r="VHY14" s="107" t="s">
        <v>1</v>
      </c>
      <c r="VHZ14" s="108"/>
      <c r="VIA14" s="108"/>
      <c r="VIB14" s="109"/>
      <c r="VIC14" s="107" t="s">
        <v>1</v>
      </c>
      <c r="VID14" s="108"/>
      <c r="VIE14" s="108"/>
      <c r="VIF14" s="109"/>
      <c r="VIG14" s="107" t="s">
        <v>1</v>
      </c>
      <c r="VIH14" s="108"/>
      <c r="VII14" s="108"/>
      <c r="VIJ14" s="109"/>
      <c r="VIK14" s="107" t="s">
        <v>1</v>
      </c>
      <c r="VIL14" s="108"/>
      <c r="VIM14" s="108"/>
      <c r="VIN14" s="109"/>
      <c r="VIO14" s="107" t="s">
        <v>1</v>
      </c>
      <c r="VIP14" s="108"/>
      <c r="VIQ14" s="108"/>
      <c r="VIR14" s="109"/>
      <c r="VIS14" s="107" t="s">
        <v>1</v>
      </c>
      <c r="VIT14" s="108"/>
      <c r="VIU14" s="108"/>
      <c r="VIV14" s="109"/>
      <c r="VIW14" s="107" t="s">
        <v>1</v>
      </c>
      <c r="VIX14" s="108"/>
      <c r="VIY14" s="108"/>
      <c r="VIZ14" s="109"/>
      <c r="VJA14" s="107" t="s">
        <v>1</v>
      </c>
      <c r="VJB14" s="108"/>
      <c r="VJC14" s="108"/>
      <c r="VJD14" s="109"/>
      <c r="VJE14" s="107" t="s">
        <v>1</v>
      </c>
      <c r="VJF14" s="108"/>
      <c r="VJG14" s="108"/>
      <c r="VJH14" s="109"/>
      <c r="VJI14" s="107" t="s">
        <v>1</v>
      </c>
      <c r="VJJ14" s="108"/>
      <c r="VJK14" s="108"/>
      <c r="VJL14" s="109"/>
      <c r="VJM14" s="107" t="s">
        <v>1</v>
      </c>
      <c r="VJN14" s="108"/>
      <c r="VJO14" s="108"/>
      <c r="VJP14" s="109"/>
      <c r="VJQ14" s="107" t="s">
        <v>1</v>
      </c>
      <c r="VJR14" s="108"/>
      <c r="VJS14" s="108"/>
      <c r="VJT14" s="109"/>
      <c r="VJU14" s="107" t="s">
        <v>1</v>
      </c>
      <c r="VJV14" s="108"/>
      <c r="VJW14" s="108"/>
      <c r="VJX14" s="109"/>
      <c r="VJY14" s="107" t="s">
        <v>1</v>
      </c>
      <c r="VJZ14" s="108"/>
      <c r="VKA14" s="108"/>
      <c r="VKB14" s="109"/>
      <c r="VKC14" s="107" t="s">
        <v>1</v>
      </c>
      <c r="VKD14" s="108"/>
      <c r="VKE14" s="108"/>
      <c r="VKF14" s="109"/>
      <c r="VKG14" s="107" t="s">
        <v>1</v>
      </c>
      <c r="VKH14" s="108"/>
      <c r="VKI14" s="108"/>
      <c r="VKJ14" s="109"/>
      <c r="VKK14" s="107" t="s">
        <v>1</v>
      </c>
      <c r="VKL14" s="108"/>
      <c r="VKM14" s="108"/>
      <c r="VKN14" s="109"/>
      <c r="VKO14" s="107" t="s">
        <v>1</v>
      </c>
      <c r="VKP14" s="108"/>
      <c r="VKQ14" s="108"/>
      <c r="VKR14" s="109"/>
      <c r="VKS14" s="107" t="s">
        <v>1</v>
      </c>
      <c r="VKT14" s="108"/>
      <c r="VKU14" s="108"/>
      <c r="VKV14" s="109"/>
      <c r="VKW14" s="107" t="s">
        <v>1</v>
      </c>
      <c r="VKX14" s="108"/>
      <c r="VKY14" s="108"/>
      <c r="VKZ14" s="109"/>
      <c r="VLA14" s="107" t="s">
        <v>1</v>
      </c>
      <c r="VLB14" s="108"/>
      <c r="VLC14" s="108"/>
      <c r="VLD14" s="109"/>
      <c r="VLE14" s="107" t="s">
        <v>1</v>
      </c>
      <c r="VLF14" s="108"/>
      <c r="VLG14" s="108"/>
      <c r="VLH14" s="109"/>
      <c r="VLI14" s="107" t="s">
        <v>1</v>
      </c>
      <c r="VLJ14" s="108"/>
      <c r="VLK14" s="108"/>
      <c r="VLL14" s="109"/>
      <c r="VLM14" s="107" t="s">
        <v>1</v>
      </c>
      <c r="VLN14" s="108"/>
      <c r="VLO14" s="108"/>
      <c r="VLP14" s="109"/>
      <c r="VLQ14" s="107" t="s">
        <v>1</v>
      </c>
      <c r="VLR14" s="108"/>
      <c r="VLS14" s="108"/>
      <c r="VLT14" s="109"/>
      <c r="VLU14" s="107" t="s">
        <v>1</v>
      </c>
      <c r="VLV14" s="108"/>
      <c r="VLW14" s="108"/>
      <c r="VLX14" s="109"/>
      <c r="VLY14" s="107" t="s">
        <v>1</v>
      </c>
      <c r="VLZ14" s="108"/>
      <c r="VMA14" s="108"/>
      <c r="VMB14" s="109"/>
      <c r="VMC14" s="107" t="s">
        <v>1</v>
      </c>
      <c r="VMD14" s="108"/>
      <c r="VME14" s="108"/>
      <c r="VMF14" s="109"/>
      <c r="VMG14" s="107" t="s">
        <v>1</v>
      </c>
      <c r="VMH14" s="108"/>
      <c r="VMI14" s="108"/>
      <c r="VMJ14" s="109"/>
      <c r="VMK14" s="107" t="s">
        <v>1</v>
      </c>
      <c r="VML14" s="108"/>
      <c r="VMM14" s="108"/>
      <c r="VMN14" s="109"/>
      <c r="VMO14" s="107" t="s">
        <v>1</v>
      </c>
      <c r="VMP14" s="108"/>
      <c r="VMQ14" s="108"/>
      <c r="VMR14" s="109"/>
      <c r="VMS14" s="107" t="s">
        <v>1</v>
      </c>
      <c r="VMT14" s="108"/>
      <c r="VMU14" s="108"/>
      <c r="VMV14" s="109"/>
      <c r="VMW14" s="107" t="s">
        <v>1</v>
      </c>
      <c r="VMX14" s="108"/>
      <c r="VMY14" s="108"/>
      <c r="VMZ14" s="109"/>
      <c r="VNA14" s="107" t="s">
        <v>1</v>
      </c>
      <c r="VNB14" s="108"/>
      <c r="VNC14" s="108"/>
      <c r="VND14" s="109"/>
      <c r="VNE14" s="107" t="s">
        <v>1</v>
      </c>
      <c r="VNF14" s="108"/>
      <c r="VNG14" s="108"/>
      <c r="VNH14" s="109"/>
      <c r="VNI14" s="107" t="s">
        <v>1</v>
      </c>
      <c r="VNJ14" s="108"/>
      <c r="VNK14" s="108"/>
      <c r="VNL14" s="109"/>
      <c r="VNM14" s="107" t="s">
        <v>1</v>
      </c>
      <c r="VNN14" s="108"/>
      <c r="VNO14" s="108"/>
      <c r="VNP14" s="109"/>
      <c r="VNQ14" s="107" t="s">
        <v>1</v>
      </c>
      <c r="VNR14" s="108"/>
      <c r="VNS14" s="108"/>
      <c r="VNT14" s="109"/>
      <c r="VNU14" s="107" t="s">
        <v>1</v>
      </c>
      <c r="VNV14" s="108"/>
      <c r="VNW14" s="108"/>
      <c r="VNX14" s="109"/>
      <c r="VNY14" s="107" t="s">
        <v>1</v>
      </c>
      <c r="VNZ14" s="108"/>
      <c r="VOA14" s="108"/>
      <c r="VOB14" s="109"/>
      <c r="VOC14" s="107" t="s">
        <v>1</v>
      </c>
      <c r="VOD14" s="108"/>
      <c r="VOE14" s="108"/>
      <c r="VOF14" s="109"/>
      <c r="VOG14" s="107" t="s">
        <v>1</v>
      </c>
      <c r="VOH14" s="108"/>
      <c r="VOI14" s="108"/>
      <c r="VOJ14" s="109"/>
      <c r="VOK14" s="107" t="s">
        <v>1</v>
      </c>
      <c r="VOL14" s="108"/>
      <c r="VOM14" s="108"/>
      <c r="VON14" s="109"/>
      <c r="VOO14" s="107" t="s">
        <v>1</v>
      </c>
      <c r="VOP14" s="108"/>
      <c r="VOQ14" s="108"/>
      <c r="VOR14" s="109"/>
      <c r="VOS14" s="107" t="s">
        <v>1</v>
      </c>
      <c r="VOT14" s="108"/>
      <c r="VOU14" s="108"/>
      <c r="VOV14" s="109"/>
      <c r="VOW14" s="107" t="s">
        <v>1</v>
      </c>
      <c r="VOX14" s="108"/>
      <c r="VOY14" s="108"/>
      <c r="VOZ14" s="109"/>
      <c r="VPA14" s="107" t="s">
        <v>1</v>
      </c>
      <c r="VPB14" s="108"/>
      <c r="VPC14" s="108"/>
      <c r="VPD14" s="109"/>
      <c r="VPE14" s="107" t="s">
        <v>1</v>
      </c>
      <c r="VPF14" s="108"/>
      <c r="VPG14" s="108"/>
      <c r="VPH14" s="109"/>
      <c r="VPI14" s="107" t="s">
        <v>1</v>
      </c>
      <c r="VPJ14" s="108"/>
      <c r="VPK14" s="108"/>
      <c r="VPL14" s="109"/>
      <c r="VPM14" s="107" t="s">
        <v>1</v>
      </c>
      <c r="VPN14" s="108"/>
      <c r="VPO14" s="108"/>
      <c r="VPP14" s="109"/>
      <c r="VPQ14" s="107" t="s">
        <v>1</v>
      </c>
      <c r="VPR14" s="108"/>
      <c r="VPS14" s="108"/>
      <c r="VPT14" s="109"/>
      <c r="VPU14" s="107" t="s">
        <v>1</v>
      </c>
      <c r="VPV14" s="108"/>
      <c r="VPW14" s="108"/>
      <c r="VPX14" s="109"/>
      <c r="VPY14" s="107" t="s">
        <v>1</v>
      </c>
      <c r="VPZ14" s="108"/>
      <c r="VQA14" s="108"/>
      <c r="VQB14" s="109"/>
      <c r="VQC14" s="107" t="s">
        <v>1</v>
      </c>
      <c r="VQD14" s="108"/>
      <c r="VQE14" s="108"/>
      <c r="VQF14" s="109"/>
      <c r="VQG14" s="107" t="s">
        <v>1</v>
      </c>
      <c r="VQH14" s="108"/>
      <c r="VQI14" s="108"/>
      <c r="VQJ14" s="109"/>
      <c r="VQK14" s="107" t="s">
        <v>1</v>
      </c>
      <c r="VQL14" s="108"/>
      <c r="VQM14" s="108"/>
      <c r="VQN14" s="109"/>
      <c r="VQO14" s="107" t="s">
        <v>1</v>
      </c>
      <c r="VQP14" s="108"/>
      <c r="VQQ14" s="108"/>
      <c r="VQR14" s="109"/>
      <c r="VQS14" s="107" t="s">
        <v>1</v>
      </c>
      <c r="VQT14" s="108"/>
      <c r="VQU14" s="108"/>
      <c r="VQV14" s="109"/>
      <c r="VQW14" s="107" t="s">
        <v>1</v>
      </c>
      <c r="VQX14" s="108"/>
      <c r="VQY14" s="108"/>
      <c r="VQZ14" s="109"/>
      <c r="VRA14" s="107" t="s">
        <v>1</v>
      </c>
      <c r="VRB14" s="108"/>
      <c r="VRC14" s="108"/>
      <c r="VRD14" s="109"/>
      <c r="VRE14" s="107" t="s">
        <v>1</v>
      </c>
      <c r="VRF14" s="108"/>
      <c r="VRG14" s="108"/>
      <c r="VRH14" s="109"/>
      <c r="VRI14" s="107" t="s">
        <v>1</v>
      </c>
      <c r="VRJ14" s="108"/>
      <c r="VRK14" s="108"/>
      <c r="VRL14" s="109"/>
      <c r="VRM14" s="107" t="s">
        <v>1</v>
      </c>
      <c r="VRN14" s="108"/>
      <c r="VRO14" s="108"/>
      <c r="VRP14" s="109"/>
      <c r="VRQ14" s="107" t="s">
        <v>1</v>
      </c>
      <c r="VRR14" s="108"/>
      <c r="VRS14" s="108"/>
      <c r="VRT14" s="109"/>
      <c r="VRU14" s="107" t="s">
        <v>1</v>
      </c>
      <c r="VRV14" s="108"/>
      <c r="VRW14" s="108"/>
      <c r="VRX14" s="109"/>
      <c r="VRY14" s="107" t="s">
        <v>1</v>
      </c>
      <c r="VRZ14" s="108"/>
      <c r="VSA14" s="108"/>
      <c r="VSB14" s="109"/>
      <c r="VSC14" s="107" t="s">
        <v>1</v>
      </c>
      <c r="VSD14" s="108"/>
      <c r="VSE14" s="108"/>
      <c r="VSF14" s="109"/>
      <c r="VSG14" s="107" t="s">
        <v>1</v>
      </c>
      <c r="VSH14" s="108"/>
      <c r="VSI14" s="108"/>
      <c r="VSJ14" s="109"/>
      <c r="VSK14" s="107" t="s">
        <v>1</v>
      </c>
      <c r="VSL14" s="108"/>
      <c r="VSM14" s="108"/>
      <c r="VSN14" s="109"/>
      <c r="VSO14" s="107" t="s">
        <v>1</v>
      </c>
      <c r="VSP14" s="108"/>
      <c r="VSQ14" s="108"/>
      <c r="VSR14" s="109"/>
      <c r="VSS14" s="107" t="s">
        <v>1</v>
      </c>
      <c r="VST14" s="108"/>
      <c r="VSU14" s="108"/>
      <c r="VSV14" s="109"/>
      <c r="VSW14" s="107" t="s">
        <v>1</v>
      </c>
      <c r="VSX14" s="108"/>
      <c r="VSY14" s="108"/>
      <c r="VSZ14" s="109"/>
      <c r="VTA14" s="107" t="s">
        <v>1</v>
      </c>
      <c r="VTB14" s="108"/>
      <c r="VTC14" s="108"/>
      <c r="VTD14" s="109"/>
      <c r="VTE14" s="107" t="s">
        <v>1</v>
      </c>
      <c r="VTF14" s="108"/>
      <c r="VTG14" s="108"/>
      <c r="VTH14" s="109"/>
      <c r="VTI14" s="107" t="s">
        <v>1</v>
      </c>
      <c r="VTJ14" s="108"/>
      <c r="VTK14" s="108"/>
      <c r="VTL14" s="109"/>
      <c r="VTM14" s="107" t="s">
        <v>1</v>
      </c>
      <c r="VTN14" s="108"/>
      <c r="VTO14" s="108"/>
      <c r="VTP14" s="109"/>
      <c r="VTQ14" s="107" t="s">
        <v>1</v>
      </c>
      <c r="VTR14" s="108"/>
      <c r="VTS14" s="108"/>
      <c r="VTT14" s="109"/>
      <c r="VTU14" s="107" t="s">
        <v>1</v>
      </c>
      <c r="VTV14" s="108"/>
      <c r="VTW14" s="108"/>
      <c r="VTX14" s="109"/>
      <c r="VTY14" s="107" t="s">
        <v>1</v>
      </c>
      <c r="VTZ14" s="108"/>
      <c r="VUA14" s="108"/>
      <c r="VUB14" s="109"/>
      <c r="VUC14" s="107" t="s">
        <v>1</v>
      </c>
      <c r="VUD14" s="108"/>
      <c r="VUE14" s="108"/>
      <c r="VUF14" s="109"/>
      <c r="VUG14" s="107" t="s">
        <v>1</v>
      </c>
      <c r="VUH14" s="108"/>
      <c r="VUI14" s="108"/>
      <c r="VUJ14" s="109"/>
      <c r="VUK14" s="107" t="s">
        <v>1</v>
      </c>
      <c r="VUL14" s="108"/>
      <c r="VUM14" s="108"/>
      <c r="VUN14" s="109"/>
      <c r="VUO14" s="107" t="s">
        <v>1</v>
      </c>
      <c r="VUP14" s="108"/>
      <c r="VUQ14" s="108"/>
      <c r="VUR14" s="109"/>
      <c r="VUS14" s="107" t="s">
        <v>1</v>
      </c>
      <c r="VUT14" s="108"/>
      <c r="VUU14" s="108"/>
      <c r="VUV14" s="109"/>
      <c r="VUW14" s="107" t="s">
        <v>1</v>
      </c>
      <c r="VUX14" s="108"/>
      <c r="VUY14" s="108"/>
      <c r="VUZ14" s="109"/>
      <c r="VVA14" s="107" t="s">
        <v>1</v>
      </c>
      <c r="VVB14" s="108"/>
      <c r="VVC14" s="108"/>
      <c r="VVD14" s="109"/>
      <c r="VVE14" s="107" t="s">
        <v>1</v>
      </c>
      <c r="VVF14" s="108"/>
      <c r="VVG14" s="108"/>
      <c r="VVH14" s="109"/>
      <c r="VVI14" s="107" t="s">
        <v>1</v>
      </c>
      <c r="VVJ14" s="108"/>
      <c r="VVK14" s="108"/>
      <c r="VVL14" s="109"/>
      <c r="VVM14" s="107" t="s">
        <v>1</v>
      </c>
      <c r="VVN14" s="108"/>
      <c r="VVO14" s="108"/>
      <c r="VVP14" s="109"/>
      <c r="VVQ14" s="107" t="s">
        <v>1</v>
      </c>
      <c r="VVR14" s="108"/>
      <c r="VVS14" s="108"/>
      <c r="VVT14" s="109"/>
      <c r="VVU14" s="107" t="s">
        <v>1</v>
      </c>
      <c r="VVV14" s="108"/>
      <c r="VVW14" s="108"/>
      <c r="VVX14" s="109"/>
      <c r="VVY14" s="107" t="s">
        <v>1</v>
      </c>
      <c r="VVZ14" s="108"/>
      <c r="VWA14" s="108"/>
      <c r="VWB14" s="109"/>
      <c r="VWC14" s="107" t="s">
        <v>1</v>
      </c>
      <c r="VWD14" s="108"/>
      <c r="VWE14" s="108"/>
      <c r="VWF14" s="109"/>
      <c r="VWG14" s="107" t="s">
        <v>1</v>
      </c>
      <c r="VWH14" s="108"/>
      <c r="VWI14" s="108"/>
      <c r="VWJ14" s="109"/>
      <c r="VWK14" s="107" t="s">
        <v>1</v>
      </c>
      <c r="VWL14" s="108"/>
      <c r="VWM14" s="108"/>
      <c r="VWN14" s="109"/>
      <c r="VWO14" s="107" t="s">
        <v>1</v>
      </c>
      <c r="VWP14" s="108"/>
      <c r="VWQ14" s="108"/>
      <c r="VWR14" s="109"/>
      <c r="VWS14" s="107" t="s">
        <v>1</v>
      </c>
      <c r="VWT14" s="108"/>
      <c r="VWU14" s="108"/>
      <c r="VWV14" s="109"/>
      <c r="VWW14" s="107" t="s">
        <v>1</v>
      </c>
      <c r="VWX14" s="108"/>
      <c r="VWY14" s="108"/>
      <c r="VWZ14" s="109"/>
      <c r="VXA14" s="107" t="s">
        <v>1</v>
      </c>
      <c r="VXB14" s="108"/>
      <c r="VXC14" s="108"/>
      <c r="VXD14" s="109"/>
      <c r="VXE14" s="107" t="s">
        <v>1</v>
      </c>
      <c r="VXF14" s="108"/>
      <c r="VXG14" s="108"/>
      <c r="VXH14" s="109"/>
      <c r="VXI14" s="107" t="s">
        <v>1</v>
      </c>
      <c r="VXJ14" s="108"/>
      <c r="VXK14" s="108"/>
      <c r="VXL14" s="109"/>
      <c r="VXM14" s="107" t="s">
        <v>1</v>
      </c>
      <c r="VXN14" s="108"/>
      <c r="VXO14" s="108"/>
      <c r="VXP14" s="109"/>
      <c r="VXQ14" s="107" t="s">
        <v>1</v>
      </c>
      <c r="VXR14" s="108"/>
      <c r="VXS14" s="108"/>
      <c r="VXT14" s="109"/>
      <c r="VXU14" s="107" t="s">
        <v>1</v>
      </c>
      <c r="VXV14" s="108"/>
      <c r="VXW14" s="108"/>
      <c r="VXX14" s="109"/>
      <c r="VXY14" s="107" t="s">
        <v>1</v>
      </c>
      <c r="VXZ14" s="108"/>
      <c r="VYA14" s="108"/>
      <c r="VYB14" s="109"/>
      <c r="VYC14" s="107" t="s">
        <v>1</v>
      </c>
      <c r="VYD14" s="108"/>
      <c r="VYE14" s="108"/>
      <c r="VYF14" s="109"/>
      <c r="VYG14" s="107" t="s">
        <v>1</v>
      </c>
      <c r="VYH14" s="108"/>
      <c r="VYI14" s="108"/>
      <c r="VYJ14" s="109"/>
      <c r="VYK14" s="107" t="s">
        <v>1</v>
      </c>
      <c r="VYL14" s="108"/>
      <c r="VYM14" s="108"/>
      <c r="VYN14" s="109"/>
      <c r="VYO14" s="107" t="s">
        <v>1</v>
      </c>
      <c r="VYP14" s="108"/>
      <c r="VYQ14" s="108"/>
      <c r="VYR14" s="109"/>
      <c r="VYS14" s="107" t="s">
        <v>1</v>
      </c>
      <c r="VYT14" s="108"/>
      <c r="VYU14" s="108"/>
      <c r="VYV14" s="109"/>
      <c r="VYW14" s="107" t="s">
        <v>1</v>
      </c>
      <c r="VYX14" s="108"/>
      <c r="VYY14" s="108"/>
      <c r="VYZ14" s="109"/>
      <c r="VZA14" s="107" t="s">
        <v>1</v>
      </c>
      <c r="VZB14" s="108"/>
      <c r="VZC14" s="108"/>
      <c r="VZD14" s="109"/>
      <c r="VZE14" s="107" t="s">
        <v>1</v>
      </c>
      <c r="VZF14" s="108"/>
      <c r="VZG14" s="108"/>
      <c r="VZH14" s="109"/>
      <c r="VZI14" s="107" t="s">
        <v>1</v>
      </c>
      <c r="VZJ14" s="108"/>
      <c r="VZK14" s="108"/>
      <c r="VZL14" s="109"/>
      <c r="VZM14" s="107" t="s">
        <v>1</v>
      </c>
      <c r="VZN14" s="108"/>
      <c r="VZO14" s="108"/>
      <c r="VZP14" s="109"/>
      <c r="VZQ14" s="107" t="s">
        <v>1</v>
      </c>
      <c r="VZR14" s="108"/>
      <c r="VZS14" s="108"/>
      <c r="VZT14" s="109"/>
      <c r="VZU14" s="107" t="s">
        <v>1</v>
      </c>
      <c r="VZV14" s="108"/>
      <c r="VZW14" s="108"/>
      <c r="VZX14" s="109"/>
      <c r="VZY14" s="107" t="s">
        <v>1</v>
      </c>
      <c r="VZZ14" s="108"/>
      <c r="WAA14" s="108"/>
      <c r="WAB14" s="109"/>
      <c r="WAC14" s="107" t="s">
        <v>1</v>
      </c>
      <c r="WAD14" s="108"/>
      <c r="WAE14" s="108"/>
      <c r="WAF14" s="109"/>
      <c r="WAG14" s="107" t="s">
        <v>1</v>
      </c>
      <c r="WAH14" s="108"/>
      <c r="WAI14" s="108"/>
      <c r="WAJ14" s="109"/>
      <c r="WAK14" s="107" t="s">
        <v>1</v>
      </c>
      <c r="WAL14" s="108"/>
      <c r="WAM14" s="108"/>
      <c r="WAN14" s="109"/>
      <c r="WAO14" s="107" t="s">
        <v>1</v>
      </c>
      <c r="WAP14" s="108"/>
      <c r="WAQ14" s="108"/>
      <c r="WAR14" s="109"/>
      <c r="WAS14" s="107" t="s">
        <v>1</v>
      </c>
      <c r="WAT14" s="108"/>
      <c r="WAU14" s="108"/>
      <c r="WAV14" s="109"/>
      <c r="WAW14" s="107" t="s">
        <v>1</v>
      </c>
      <c r="WAX14" s="108"/>
      <c r="WAY14" s="108"/>
      <c r="WAZ14" s="109"/>
      <c r="WBA14" s="107" t="s">
        <v>1</v>
      </c>
      <c r="WBB14" s="108"/>
      <c r="WBC14" s="108"/>
      <c r="WBD14" s="109"/>
      <c r="WBE14" s="107" t="s">
        <v>1</v>
      </c>
      <c r="WBF14" s="108"/>
      <c r="WBG14" s="108"/>
      <c r="WBH14" s="109"/>
      <c r="WBI14" s="107" t="s">
        <v>1</v>
      </c>
      <c r="WBJ14" s="108"/>
      <c r="WBK14" s="108"/>
      <c r="WBL14" s="109"/>
      <c r="WBM14" s="107" t="s">
        <v>1</v>
      </c>
      <c r="WBN14" s="108"/>
      <c r="WBO14" s="108"/>
      <c r="WBP14" s="109"/>
      <c r="WBQ14" s="107" t="s">
        <v>1</v>
      </c>
      <c r="WBR14" s="108"/>
      <c r="WBS14" s="108"/>
      <c r="WBT14" s="109"/>
      <c r="WBU14" s="107" t="s">
        <v>1</v>
      </c>
      <c r="WBV14" s="108"/>
      <c r="WBW14" s="108"/>
      <c r="WBX14" s="109"/>
      <c r="WBY14" s="107" t="s">
        <v>1</v>
      </c>
      <c r="WBZ14" s="108"/>
      <c r="WCA14" s="108"/>
      <c r="WCB14" s="109"/>
      <c r="WCC14" s="107" t="s">
        <v>1</v>
      </c>
      <c r="WCD14" s="108"/>
      <c r="WCE14" s="108"/>
      <c r="WCF14" s="109"/>
      <c r="WCG14" s="107" t="s">
        <v>1</v>
      </c>
      <c r="WCH14" s="108"/>
      <c r="WCI14" s="108"/>
      <c r="WCJ14" s="109"/>
      <c r="WCK14" s="107" t="s">
        <v>1</v>
      </c>
      <c r="WCL14" s="108"/>
      <c r="WCM14" s="108"/>
      <c r="WCN14" s="109"/>
      <c r="WCO14" s="107" t="s">
        <v>1</v>
      </c>
      <c r="WCP14" s="108"/>
      <c r="WCQ14" s="108"/>
      <c r="WCR14" s="109"/>
      <c r="WCS14" s="107" t="s">
        <v>1</v>
      </c>
      <c r="WCT14" s="108"/>
      <c r="WCU14" s="108"/>
      <c r="WCV14" s="109"/>
      <c r="WCW14" s="107" t="s">
        <v>1</v>
      </c>
      <c r="WCX14" s="108"/>
      <c r="WCY14" s="108"/>
      <c r="WCZ14" s="109"/>
      <c r="WDA14" s="107" t="s">
        <v>1</v>
      </c>
      <c r="WDB14" s="108"/>
      <c r="WDC14" s="108"/>
      <c r="WDD14" s="109"/>
      <c r="WDE14" s="107" t="s">
        <v>1</v>
      </c>
      <c r="WDF14" s="108"/>
      <c r="WDG14" s="108"/>
      <c r="WDH14" s="109"/>
      <c r="WDI14" s="107" t="s">
        <v>1</v>
      </c>
      <c r="WDJ14" s="108"/>
      <c r="WDK14" s="108"/>
      <c r="WDL14" s="109"/>
      <c r="WDM14" s="107" t="s">
        <v>1</v>
      </c>
      <c r="WDN14" s="108"/>
      <c r="WDO14" s="108"/>
      <c r="WDP14" s="109"/>
      <c r="WDQ14" s="107" t="s">
        <v>1</v>
      </c>
      <c r="WDR14" s="108"/>
      <c r="WDS14" s="108"/>
      <c r="WDT14" s="109"/>
      <c r="WDU14" s="107" t="s">
        <v>1</v>
      </c>
      <c r="WDV14" s="108"/>
      <c r="WDW14" s="108"/>
      <c r="WDX14" s="109"/>
      <c r="WDY14" s="107" t="s">
        <v>1</v>
      </c>
      <c r="WDZ14" s="108"/>
      <c r="WEA14" s="108"/>
      <c r="WEB14" s="109"/>
      <c r="WEC14" s="107" t="s">
        <v>1</v>
      </c>
      <c r="WED14" s="108"/>
      <c r="WEE14" s="108"/>
      <c r="WEF14" s="109"/>
      <c r="WEG14" s="107" t="s">
        <v>1</v>
      </c>
      <c r="WEH14" s="108"/>
      <c r="WEI14" s="108"/>
      <c r="WEJ14" s="109"/>
      <c r="WEK14" s="107" t="s">
        <v>1</v>
      </c>
      <c r="WEL14" s="108"/>
      <c r="WEM14" s="108"/>
      <c r="WEN14" s="109"/>
      <c r="WEO14" s="107" t="s">
        <v>1</v>
      </c>
      <c r="WEP14" s="108"/>
      <c r="WEQ14" s="108"/>
      <c r="WER14" s="109"/>
      <c r="WES14" s="107" t="s">
        <v>1</v>
      </c>
      <c r="WET14" s="108"/>
      <c r="WEU14" s="108"/>
      <c r="WEV14" s="109"/>
      <c r="WEW14" s="107" t="s">
        <v>1</v>
      </c>
      <c r="WEX14" s="108"/>
      <c r="WEY14" s="108"/>
      <c r="WEZ14" s="109"/>
      <c r="WFA14" s="107" t="s">
        <v>1</v>
      </c>
      <c r="WFB14" s="108"/>
      <c r="WFC14" s="108"/>
      <c r="WFD14" s="109"/>
      <c r="WFE14" s="107" t="s">
        <v>1</v>
      </c>
      <c r="WFF14" s="108"/>
      <c r="WFG14" s="108"/>
      <c r="WFH14" s="109"/>
      <c r="WFI14" s="107" t="s">
        <v>1</v>
      </c>
      <c r="WFJ14" s="108"/>
      <c r="WFK14" s="108"/>
      <c r="WFL14" s="109"/>
      <c r="WFM14" s="107" t="s">
        <v>1</v>
      </c>
      <c r="WFN14" s="108"/>
      <c r="WFO14" s="108"/>
      <c r="WFP14" s="109"/>
      <c r="WFQ14" s="107" t="s">
        <v>1</v>
      </c>
      <c r="WFR14" s="108"/>
      <c r="WFS14" s="108"/>
      <c r="WFT14" s="109"/>
      <c r="WFU14" s="107" t="s">
        <v>1</v>
      </c>
      <c r="WFV14" s="108"/>
      <c r="WFW14" s="108"/>
      <c r="WFX14" s="109"/>
      <c r="WFY14" s="107" t="s">
        <v>1</v>
      </c>
      <c r="WFZ14" s="108"/>
      <c r="WGA14" s="108"/>
      <c r="WGB14" s="109"/>
      <c r="WGC14" s="107" t="s">
        <v>1</v>
      </c>
      <c r="WGD14" s="108"/>
      <c r="WGE14" s="108"/>
      <c r="WGF14" s="109"/>
      <c r="WGG14" s="107" t="s">
        <v>1</v>
      </c>
      <c r="WGH14" s="108"/>
      <c r="WGI14" s="108"/>
      <c r="WGJ14" s="109"/>
      <c r="WGK14" s="107" t="s">
        <v>1</v>
      </c>
      <c r="WGL14" s="108"/>
      <c r="WGM14" s="108"/>
      <c r="WGN14" s="109"/>
      <c r="WGO14" s="107" t="s">
        <v>1</v>
      </c>
      <c r="WGP14" s="108"/>
      <c r="WGQ14" s="108"/>
      <c r="WGR14" s="109"/>
      <c r="WGS14" s="107" t="s">
        <v>1</v>
      </c>
      <c r="WGT14" s="108"/>
      <c r="WGU14" s="108"/>
      <c r="WGV14" s="109"/>
      <c r="WGW14" s="107" t="s">
        <v>1</v>
      </c>
      <c r="WGX14" s="108"/>
      <c r="WGY14" s="108"/>
      <c r="WGZ14" s="109"/>
      <c r="WHA14" s="107" t="s">
        <v>1</v>
      </c>
      <c r="WHB14" s="108"/>
      <c r="WHC14" s="108"/>
      <c r="WHD14" s="109"/>
      <c r="WHE14" s="107" t="s">
        <v>1</v>
      </c>
      <c r="WHF14" s="108"/>
      <c r="WHG14" s="108"/>
      <c r="WHH14" s="109"/>
      <c r="WHI14" s="107" t="s">
        <v>1</v>
      </c>
      <c r="WHJ14" s="108"/>
      <c r="WHK14" s="108"/>
      <c r="WHL14" s="109"/>
      <c r="WHM14" s="107" t="s">
        <v>1</v>
      </c>
      <c r="WHN14" s="108"/>
      <c r="WHO14" s="108"/>
      <c r="WHP14" s="109"/>
      <c r="WHQ14" s="107" t="s">
        <v>1</v>
      </c>
      <c r="WHR14" s="108"/>
      <c r="WHS14" s="108"/>
      <c r="WHT14" s="109"/>
      <c r="WHU14" s="107" t="s">
        <v>1</v>
      </c>
      <c r="WHV14" s="108"/>
      <c r="WHW14" s="108"/>
      <c r="WHX14" s="109"/>
      <c r="WHY14" s="107" t="s">
        <v>1</v>
      </c>
      <c r="WHZ14" s="108"/>
      <c r="WIA14" s="108"/>
      <c r="WIB14" s="109"/>
      <c r="WIC14" s="107" t="s">
        <v>1</v>
      </c>
      <c r="WID14" s="108"/>
      <c r="WIE14" s="108"/>
      <c r="WIF14" s="109"/>
      <c r="WIG14" s="107" t="s">
        <v>1</v>
      </c>
      <c r="WIH14" s="108"/>
      <c r="WII14" s="108"/>
      <c r="WIJ14" s="109"/>
      <c r="WIK14" s="107" t="s">
        <v>1</v>
      </c>
      <c r="WIL14" s="108"/>
      <c r="WIM14" s="108"/>
      <c r="WIN14" s="109"/>
      <c r="WIO14" s="107" t="s">
        <v>1</v>
      </c>
      <c r="WIP14" s="108"/>
      <c r="WIQ14" s="108"/>
      <c r="WIR14" s="109"/>
      <c r="WIS14" s="107" t="s">
        <v>1</v>
      </c>
      <c r="WIT14" s="108"/>
      <c r="WIU14" s="108"/>
      <c r="WIV14" s="109"/>
      <c r="WIW14" s="107" t="s">
        <v>1</v>
      </c>
      <c r="WIX14" s="108"/>
      <c r="WIY14" s="108"/>
      <c r="WIZ14" s="109"/>
      <c r="WJA14" s="107" t="s">
        <v>1</v>
      </c>
      <c r="WJB14" s="108"/>
      <c r="WJC14" s="108"/>
      <c r="WJD14" s="109"/>
      <c r="WJE14" s="107" t="s">
        <v>1</v>
      </c>
      <c r="WJF14" s="108"/>
      <c r="WJG14" s="108"/>
      <c r="WJH14" s="109"/>
      <c r="WJI14" s="107" t="s">
        <v>1</v>
      </c>
      <c r="WJJ14" s="108"/>
      <c r="WJK14" s="108"/>
      <c r="WJL14" s="109"/>
      <c r="WJM14" s="107" t="s">
        <v>1</v>
      </c>
      <c r="WJN14" s="108"/>
      <c r="WJO14" s="108"/>
      <c r="WJP14" s="109"/>
      <c r="WJQ14" s="107" t="s">
        <v>1</v>
      </c>
      <c r="WJR14" s="108"/>
      <c r="WJS14" s="108"/>
      <c r="WJT14" s="109"/>
      <c r="WJU14" s="107" t="s">
        <v>1</v>
      </c>
      <c r="WJV14" s="108"/>
      <c r="WJW14" s="108"/>
      <c r="WJX14" s="109"/>
      <c r="WJY14" s="107" t="s">
        <v>1</v>
      </c>
      <c r="WJZ14" s="108"/>
      <c r="WKA14" s="108"/>
      <c r="WKB14" s="109"/>
      <c r="WKC14" s="107" t="s">
        <v>1</v>
      </c>
      <c r="WKD14" s="108"/>
      <c r="WKE14" s="108"/>
      <c r="WKF14" s="109"/>
      <c r="WKG14" s="107" t="s">
        <v>1</v>
      </c>
      <c r="WKH14" s="108"/>
      <c r="WKI14" s="108"/>
      <c r="WKJ14" s="109"/>
      <c r="WKK14" s="107" t="s">
        <v>1</v>
      </c>
      <c r="WKL14" s="108"/>
      <c r="WKM14" s="108"/>
      <c r="WKN14" s="109"/>
      <c r="WKO14" s="107" t="s">
        <v>1</v>
      </c>
      <c r="WKP14" s="108"/>
      <c r="WKQ14" s="108"/>
      <c r="WKR14" s="109"/>
      <c r="WKS14" s="107" t="s">
        <v>1</v>
      </c>
      <c r="WKT14" s="108"/>
      <c r="WKU14" s="108"/>
      <c r="WKV14" s="109"/>
      <c r="WKW14" s="107" t="s">
        <v>1</v>
      </c>
      <c r="WKX14" s="108"/>
      <c r="WKY14" s="108"/>
      <c r="WKZ14" s="109"/>
      <c r="WLA14" s="107" t="s">
        <v>1</v>
      </c>
      <c r="WLB14" s="108"/>
      <c r="WLC14" s="108"/>
      <c r="WLD14" s="109"/>
      <c r="WLE14" s="107" t="s">
        <v>1</v>
      </c>
      <c r="WLF14" s="108"/>
      <c r="WLG14" s="108"/>
      <c r="WLH14" s="109"/>
      <c r="WLI14" s="107" t="s">
        <v>1</v>
      </c>
      <c r="WLJ14" s="108"/>
      <c r="WLK14" s="108"/>
      <c r="WLL14" s="109"/>
      <c r="WLM14" s="107" t="s">
        <v>1</v>
      </c>
      <c r="WLN14" s="108"/>
      <c r="WLO14" s="108"/>
      <c r="WLP14" s="109"/>
      <c r="WLQ14" s="107" t="s">
        <v>1</v>
      </c>
      <c r="WLR14" s="108"/>
      <c r="WLS14" s="108"/>
      <c r="WLT14" s="109"/>
      <c r="WLU14" s="107" t="s">
        <v>1</v>
      </c>
      <c r="WLV14" s="108"/>
      <c r="WLW14" s="108"/>
      <c r="WLX14" s="109"/>
      <c r="WLY14" s="107" t="s">
        <v>1</v>
      </c>
      <c r="WLZ14" s="108"/>
      <c r="WMA14" s="108"/>
      <c r="WMB14" s="109"/>
      <c r="WMC14" s="107" t="s">
        <v>1</v>
      </c>
      <c r="WMD14" s="108"/>
      <c r="WME14" s="108"/>
      <c r="WMF14" s="109"/>
      <c r="WMG14" s="107" t="s">
        <v>1</v>
      </c>
      <c r="WMH14" s="108"/>
      <c r="WMI14" s="108"/>
      <c r="WMJ14" s="109"/>
      <c r="WMK14" s="107" t="s">
        <v>1</v>
      </c>
      <c r="WML14" s="108"/>
      <c r="WMM14" s="108"/>
      <c r="WMN14" s="109"/>
      <c r="WMO14" s="107" t="s">
        <v>1</v>
      </c>
      <c r="WMP14" s="108"/>
      <c r="WMQ14" s="108"/>
      <c r="WMR14" s="109"/>
      <c r="WMS14" s="107" t="s">
        <v>1</v>
      </c>
      <c r="WMT14" s="108"/>
      <c r="WMU14" s="108"/>
      <c r="WMV14" s="109"/>
      <c r="WMW14" s="107" t="s">
        <v>1</v>
      </c>
      <c r="WMX14" s="108"/>
      <c r="WMY14" s="108"/>
      <c r="WMZ14" s="109"/>
      <c r="WNA14" s="107" t="s">
        <v>1</v>
      </c>
      <c r="WNB14" s="108"/>
      <c r="WNC14" s="108"/>
      <c r="WND14" s="109"/>
      <c r="WNE14" s="107" t="s">
        <v>1</v>
      </c>
      <c r="WNF14" s="108"/>
      <c r="WNG14" s="108"/>
      <c r="WNH14" s="109"/>
      <c r="WNI14" s="107" t="s">
        <v>1</v>
      </c>
      <c r="WNJ14" s="108"/>
      <c r="WNK14" s="108"/>
      <c r="WNL14" s="109"/>
      <c r="WNM14" s="107" t="s">
        <v>1</v>
      </c>
      <c r="WNN14" s="108"/>
      <c r="WNO14" s="108"/>
      <c r="WNP14" s="109"/>
      <c r="WNQ14" s="107" t="s">
        <v>1</v>
      </c>
      <c r="WNR14" s="108"/>
      <c r="WNS14" s="108"/>
      <c r="WNT14" s="109"/>
      <c r="WNU14" s="107" t="s">
        <v>1</v>
      </c>
      <c r="WNV14" s="108"/>
      <c r="WNW14" s="108"/>
      <c r="WNX14" s="109"/>
      <c r="WNY14" s="107" t="s">
        <v>1</v>
      </c>
      <c r="WNZ14" s="108"/>
      <c r="WOA14" s="108"/>
      <c r="WOB14" s="109"/>
      <c r="WOC14" s="107" t="s">
        <v>1</v>
      </c>
      <c r="WOD14" s="108"/>
      <c r="WOE14" s="108"/>
      <c r="WOF14" s="109"/>
      <c r="WOG14" s="107" t="s">
        <v>1</v>
      </c>
      <c r="WOH14" s="108"/>
      <c r="WOI14" s="108"/>
      <c r="WOJ14" s="109"/>
      <c r="WOK14" s="107" t="s">
        <v>1</v>
      </c>
      <c r="WOL14" s="108"/>
      <c r="WOM14" s="108"/>
      <c r="WON14" s="109"/>
      <c r="WOO14" s="107" t="s">
        <v>1</v>
      </c>
      <c r="WOP14" s="108"/>
      <c r="WOQ14" s="108"/>
      <c r="WOR14" s="109"/>
      <c r="WOS14" s="107" t="s">
        <v>1</v>
      </c>
      <c r="WOT14" s="108"/>
      <c r="WOU14" s="108"/>
      <c r="WOV14" s="109"/>
      <c r="WOW14" s="107" t="s">
        <v>1</v>
      </c>
      <c r="WOX14" s="108"/>
      <c r="WOY14" s="108"/>
      <c r="WOZ14" s="109"/>
      <c r="WPA14" s="107" t="s">
        <v>1</v>
      </c>
      <c r="WPB14" s="108"/>
      <c r="WPC14" s="108"/>
      <c r="WPD14" s="109"/>
      <c r="WPE14" s="107" t="s">
        <v>1</v>
      </c>
      <c r="WPF14" s="108"/>
      <c r="WPG14" s="108"/>
      <c r="WPH14" s="109"/>
      <c r="WPI14" s="107" t="s">
        <v>1</v>
      </c>
      <c r="WPJ14" s="108"/>
      <c r="WPK14" s="108"/>
      <c r="WPL14" s="109"/>
      <c r="WPM14" s="107" t="s">
        <v>1</v>
      </c>
      <c r="WPN14" s="108"/>
      <c r="WPO14" s="108"/>
      <c r="WPP14" s="109"/>
      <c r="WPQ14" s="107" t="s">
        <v>1</v>
      </c>
      <c r="WPR14" s="108"/>
      <c r="WPS14" s="108"/>
      <c r="WPT14" s="109"/>
      <c r="WPU14" s="107" t="s">
        <v>1</v>
      </c>
      <c r="WPV14" s="108"/>
      <c r="WPW14" s="108"/>
      <c r="WPX14" s="109"/>
      <c r="WPY14" s="107" t="s">
        <v>1</v>
      </c>
      <c r="WPZ14" s="108"/>
      <c r="WQA14" s="108"/>
      <c r="WQB14" s="109"/>
      <c r="WQC14" s="107" t="s">
        <v>1</v>
      </c>
      <c r="WQD14" s="108"/>
      <c r="WQE14" s="108"/>
      <c r="WQF14" s="109"/>
      <c r="WQG14" s="107" t="s">
        <v>1</v>
      </c>
      <c r="WQH14" s="108"/>
      <c r="WQI14" s="108"/>
      <c r="WQJ14" s="109"/>
      <c r="WQK14" s="107" t="s">
        <v>1</v>
      </c>
      <c r="WQL14" s="108"/>
      <c r="WQM14" s="108"/>
      <c r="WQN14" s="109"/>
      <c r="WQO14" s="107" t="s">
        <v>1</v>
      </c>
      <c r="WQP14" s="108"/>
      <c r="WQQ14" s="108"/>
      <c r="WQR14" s="109"/>
      <c r="WQS14" s="107" t="s">
        <v>1</v>
      </c>
      <c r="WQT14" s="108"/>
      <c r="WQU14" s="108"/>
      <c r="WQV14" s="109"/>
      <c r="WQW14" s="107" t="s">
        <v>1</v>
      </c>
      <c r="WQX14" s="108"/>
      <c r="WQY14" s="108"/>
      <c r="WQZ14" s="109"/>
      <c r="WRA14" s="107" t="s">
        <v>1</v>
      </c>
      <c r="WRB14" s="108"/>
      <c r="WRC14" s="108"/>
      <c r="WRD14" s="109"/>
      <c r="WRE14" s="107" t="s">
        <v>1</v>
      </c>
      <c r="WRF14" s="108"/>
      <c r="WRG14" s="108"/>
      <c r="WRH14" s="109"/>
      <c r="WRI14" s="107" t="s">
        <v>1</v>
      </c>
      <c r="WRJ14" s="108"/>
      <c r="WRK14" s="108"/>
      <c r="WRL14" s="109"/>
      <c r="WRM14" s="107" t="s">
        <v>1</v>
      </c>
      <c r="WRN14" s="108"/>
      <c r="WRO14" s="108"/>
      <c r="WRP14" s="109"/>
      <c r="WRQ14" s="107" t="s">
        <v>1</v>
      </c>
      <c r="WRR14" s="108"/>
      <c r="WRS14" s="108"/>
      <c r="WRT14" s="109"/>
      <c r="WRU14" s="107" t="s">
        <v>1</v>
      </c>
      <c r="WRV14" s="108"/>
      <c r="WRW14" s="108"/>
      <c r="WRX14" s="109"/>
      <c r="WRY14" s="107" t="s">
        <v>1</v>
      </c>
      <c r="WRZ14" s="108"/>
      <c r="WSA14" s="108"/>
      <c r="WSB14" s="109"/>
      <c r="WSC14" s="107" t="s">
        <v>1</v>
      </c>
      <c r="WSD14" s="108"/>
      <c r="WSE14" s="108"/>
      <c r="WSF14" s="109"/>
      <c r="WSG14" s="107" t="s">
        <v>1</v>
      </c>
      <c r="WSH14" s="108"/>
      <c r="WSI14" s="108"/>
      <c r="WSJ14" s="109"/>
      <c r="WSK14" s="107" t="s">
        <v>1</v>
      </c>
      <c r="WSL14" s="108"/>
      <c r="WSM14" s="108"/>
      <c r="WSN14" s="109"/>
      <c r="WSO14" s="107" t="s">
        <v>1</v>
      </c>
      <c r="WSP14" s="108"/>
      <c r="WSQ14" s="108"/>
      <c r="WSR14" s="109"/>
      <c r="WSS14" s="107" t="s">
        <v>1</v>
      </c>
      <c r="WST14" s="108"/>
      <c r="WSU14" s="108"/>
      <c r="WSV14" s="109"/>
      <c r="WSW14" s="107" t="s">
        <v>1</v>
      </c>
      <c r="WSX14" s="108"/>
      <c r="WSY14" s="108"/>
      <c r="WSZ14" s="109"/>
      <c r="WTA14" s="107" t="s">
        <v>1</v>
      </c>
      <c r="WTB14" s="108"/>
      <c r="WTC14" s="108"/>
      <c r="WTD14" s="109"/>
      <c r="WTE14" s="107" t="s">
        <v>1</v>
      </c>
      <c r="WTF14" s="108"/>
      <c r="WTG14" s="108"/>
      <c r="WTH14" s="109"/>
      <c r="WTI14" s="107" t="s">
        <v>1</v>
      </c>
      <c r="WTJ14" s="108"/>
      <c r="WTK14" s="108"/>
      <c r="WTL14" s="109"/>
      <c r="WTM14" s="107" t="s">
        <v>1</v>
      </c>
      <c r="WTN14" s="108"/>
      <c r="WTO14" s="108"/>
      <c r="WTP14" s="109"/>
      <c r="WTQ14" s="107" t="s">
        <v>1</v>
      </c>
      <c r="WTR14" s="108"/>
      <c r="WTS14" s="108"/>
      <c r="WTT14" s="109"/>
      <c r="WTU14" s="107" t="s">
        <v>1</v>
      </c>
      <c r="WTV14" s="108"/>
      <c r="WTW14" s="108"/>
      <c r="WTX14" s="109"/>
      <c r="WTY14" s="107" t="s">
        <v>1</v>
      </c>
      <c r="WTZ14" s="108"/>
      <c r="WUA14" s="108"/>
      <c r="WUB14" s="109"/>
      <c r="WUC14" s="107" t="s">
        <v>1</v>
      </c>
      <c r="WUD14" s="108"/>
      <c r="WUE14" s="108"/>
      <c r="WUF14" s="109"/>
      <c r="WUG14" s="107" t="s">
        <v>1</v>
      </c>
      <c r="WUH14" s="108"/>
      <c r="WUI14" s="108"/>
      <c r="WUJ14" s="109"/>
      <c r="WUK14" s="107" t="s">
        <v>1</v>
      </c>
      <c r="WUL14" s="108"/>
      <c r="WUM14" s="108"/>
      <c r="WUN14" s="109"/>
      <c r="WUO14" s="107" t="s">
        <v>1</v>
      </c>
      <c r="WUP14" s="108"/>
      <c r="WUQ14" s="108"/>
      <c r="WUR14" s="109"/>
      <c r="WUS14" s="107" t="s">
        <v>1</v>
      </c>
      <c r="WUT14" s="108"/>
      <c r="WUU14" s="108"/>
      <c r="WUV14" s="109"/>
      <c r="WUW14" s="107" t="s">
        <v>1</v>
      </c>
      <c r="WUX14" s="108"/>
      <c r="WUY14" s="108"/>
      <c r="WUZ14" s="109"/>
      <c r="WVA14" s="107" t="s">
        <v>1</v>
      </c>
      <c r="WVB14" s="108"/>
      <c r="WVC14" s="108"/>
      <c r="WVD14" s="109"/>
      <c r="WVE14" s="107" t="s">
        <v>1</v>
      </c>
      <c r="WVF14" s="108"/>
      <c r="WVG14" s="108"/>
      <c r="WVH14" s="109"/>
      <c r="WVI14" s="107" t="s">
        <v>1</v>
      </c>
      <c r="WVJ14" s="108"/>
      <c r="WVK14" s="108"/>
      <c r="WVL14" s="109"/>
      <c r="WVM14" s="107" t="s">
        <v>1</v>
      </c>
      <c r="WVN14" s="108"/>
      <c r="WVO14" s="108"/>
      <c r="WVP14" s="109"/>
      <c r="WVQ14" s="107" t="s">
        <v>1</v>
      </c>
      <c r="WVR14" s="108"/>
      <c r="WVS14" s="108"/>
      <c r="WVT14" s="109"/>
      <c r="WVU14" s="107" t="s">
        <v>1</v>
      </c>
      <c r="WVV14" s="108"/>
      <c r="WVW14" s="108"/>
      <c r="WVX14" s="109"/>
      <c r="WVY14" s="107" t="s">
        <v>1</v>
      </c>
      <c r="WVZ14" s="108"/>
      <c r="WWA14" s="108"/>
      <c r="WWB14" s="109"/>
      <c r="WWC14" s="107" t="s">
        <v>1</v>
      </c>
      <c r="WWD14" s="108"/>
      <c r="WWE14" s="108"/>
      <c r="WWF14" s="109"/>
      <c r="WWG14" s="107" t="s">
        <v>1</v>
      </c>
      <c r="WWH14" s="108"/>
      <c r="WWI14" s="108"/>
      <c r="WWJ14" s="109"/>
      <c r="WWK14" s="107" t="s">
        <v>1</v>
      </c>
      <c r="WWL14" s="108"/>
      <c r="WWM14" s="108"/>
      <c r="WWN14" s="109"/>
      <c r="WWO14" s="107" t="s">
        <v>1</v>
      </c>
      <c r="WWP14" s="108"/>
      <c r="WWQ14" s="108"/>
      <c r="WWR14" s="109"/>
      <c r="WWS14" s="107" t="s">
        <v>1</v>
      </c>
      <c r="WWT14" s="108"/>
      <c r="WWU14" s="108"/>
      <c r="WWV14" s="109"/>
      <c r="WWW14" s="107" t="s">
        <v>1</v>
      </c>
      <c r="WWX14" s="108"/>
      <c r="WWY14" s="108"/>
      <c r="WWZ14" s="109"/>
      <c r="WXA14" s="107" t="s">
        <v>1</v>
      </c>
      <c r="WXB14" s="108"/>
      <c r="WXC14" s="108"/>
      <c r="WXD14" s="109"/>
      <c r="WXE14" s="107" t="s">
        <v>1</v>
      </c>
      <c r="WXF14" s="108"/>
      <c r="WXG14" s="108"/>
      <c r="WXH14" s="109"/>
      <c r="WXI14" s="107" t="s">
        <v>1</v>
      </c>
      <c r="WXJ14" s="108"/>
      <c r="WXK14" s="108"/>
      <c r="WXL14" s="109"/>
      <c r="WXM14" s="107" t="s">
        <v>1</v>
      </c>
      <c r="WXN14" s="108"/>
      <c r="WXO14" s="108"/>
      <c r="WXP14" s="109"/>
      <c r="WXQ14" s="107" t="s">
        <v>1</v>
      </c>
      <c r="WXR14" s="108"/>
      <c r="WXS14" s="108"/>
      <c r="WXT14" s="109"/>
      <c r="WXU14" s="107" t="s">
        <v>1</v>
      </c>
      <c r="WXV14" s="108"/>
      <c r="WXW14" s="108"/>
      <c r="WXX14" s="109"/>
      <c r="WXY14" s="107" t="s">
        <v>1</v>
      </c>
      <c r="WXZ14" s="108"/>
      <c r="WYA14" s="108"/>
      <c r="WYB14" s="109"/>
      <c r="WYC14" s="107" t="s">
        <v>1</v>
      </c>
      <c r="WYD14" s="108"/>
      <c r="WYE14" s="108"/>
      <c r="WYF14" s="109"/>
      <c r="WYG14" s="107" t="s">
        <v>1</v>
      </c>
      <c r="WYH14" s="108"/>
      <c r="WYI14" s="108"/>
      <c r="WYJ14" s="109"/>
      <c r="WYK14" s="107" t="s">
        <v>1</v>
      </c>
      <c r="WYL14" s="108"/>
      <c r="WYM14" s="108"/>
      <c r="WYN14" s="109"/>
      <c r="WYO14" s="107" t="s">
        <v>1</v>
      </c>
      <c r="WYP14" s="108"/>
      <c r="WYQ14" s="108"/>
      <c r="WYR14" s="109"/>
      <c r="WYS14" s="107" t="s">
        <v>1</v>
      </c>
      <c r="WYT14" s="108"/>
      <c r="WYU14" s="108"/>
      <c r="WYV14" s="109"/>
      <c r="WYW14" s="107" t="s">
        <v>1</v>
      </c>
      <c r="WYX14" s="108"/>
      <c r="WYY14" s="108"/>
      <c r="WYZ14" s="109"/>
      <c r="WZA14" s="107" t="s">
        <v>1</v>
      </c>
      <c r="WZB14" s="108"/>
      <c r="WZC14" s="108"/>
      <c r="WZD14" s="109"/>
      <c r="WZE14" s="107" t="s">
        <v>1</v>
      </c>
      <c r="WZF14" s="108"/>
      <c r="WZG14" s="108"/>
      <c r="WZH14" s="109"/>
      <c r="WZI14" s="107" t="s">
        <v>1</v>
      </c>
      <c r="WZJ14" s="108"/>
      <c r="WZK14" s="108"/>
      <c r="WZL14" s="109"/>
      <c r="WZM14" s="107" t="s">
        <v>1</v>
      </c>
      <c r="WZN14" s="108"/>
      <c r="WZO14" s="108"/>
      <c r="WZP14" s="109"/>
      <c r="WZQ14" s="107" t="s">
        <v>1</v>
      </c>
      <c r="WZR14" s="108"/>
      <c r="WZS14" s="108"/>
      <c r="WZT14" s="109"/>
      <c r="WZU14" s="107" t="s">
        <v>1</v>
      </c>
      <c r="WZV14" s="108"/>
      <c r="WZW14" s="108"/>
      <c r="WZX14" s="109"/>
      <c r="WZY14" s="107" t="s">
        <v>1</v>
      </c>
      <c r="WZZ14" s="108"/>
      <c r="XAA14" s="108"/>
      <c r="XAB14" s="109"/>
      <c r="XAC14" s="107" t="s">
        <v>1</v>
      </c>
      <c r="XAD14" s="108"/>
      <c r="XAE14" s="108"/>
      <c r="XAF14" s="109"/>
      <c r="XAG14" s="107" t="s">
        <v>1</v>
      </c>
      <c r="XAH14" s="108"/>
      <c r="XAI14" s="108"/>
      <c r="XAJ14" s="109"/>
      <c r="XAK14" s="107" t="s">
        <v>1</v>
      </c>
      <c r="XAL14" s="108"/>
      <c r="XAM14" s="108"/>
      <c r="XAN14" s="109"/>
      <c r="XAO14" s="107" t="s">
        <v>1</v>
      </c>
      <c r="XAP14" s="108"/>
      <c r="XAQ14" s="108"/>
      <c r="XAR14" s="109"/>
      <c r="XAS14" s="107" t="s">
        <v>1</v>
      </c>
      <c r="XAT14" s="108"/>
      <c r="XAU14" s="108"/>
      <c r="XAV14" s="109"/>
      <c r="XAW14" s="107" t="s">
        <v>1</v>
      </c>
      <c r="XAX14" s="108"/>
      <c r="XAY14" s="108"/>
      <c r="XAZ14" s="109"/>
      <c r="XBA14" s="107" t="s">
        <v>1</v>
      </c>
      <c r="XBB14" s="108"/>
      <c r="XBC14" s="108"/>
      <c r="XBD14" s="109"/>
      <c r="XBE14" s="107" t="s">
        <v>1</v>
      </c>
      <c r="XBF14" s="108"/>
      <c r="XBG14" s="108"/>
      <c r="XBH14" s="109"/>
      <c r="XBI14" s="107" t="s">
        <v>1</v>
      </c>
      <c r="XBJ14" s="108"/>
      <c r="XBK14" s="108"/>
      <c r="XBL14" s="109"/>
      <c r="XBM14" s="107" t="s">
        <v>1</v>
      </c>
      <c r="XBN14" s="108"/>
      <c r="XBO14" s="108"/>
      <c r="XBP14" s="109"/>
      <c r="XBQ14" s="107" t="s">
        <v>1</v>
      </c>
      <c r="XBR14" s="108"/>
      <c r="XBS14" s="108"/>
      <c r="XBT14" s="109"/>
      <c r="XBU14" s="107" t="s">
        <v>1</v>
      </c>
      <c r="XBV14" s="108"/>
      <c r="XBW14" s="108"/>
      <c r="XBX14" s="109"/>
      <c r="XBY14" s="107" t="s">
        <v>1</v>
      </c>
      <c r="XBZ14" s="108"/>
      <c r="XCA14" s="108"/>
      <c r="XCB14" s="109"/>
      <c r="XCC14" s="107" t="s">
        <v>1</v>
      </c>
      <c r="XCD14" s="108"/>
      <c r="XCE14" s="108"/>
      <c r="XCF14" s="109"/>
      <c r="XCG14" s="107" t="s">
        <v>1</v>
      </c>
      <c r="XCH14" s="108"/>
      <c r="XCI14" s="108"/>
      <c r="XCJ14" s="109"/>
      <c r="XCK14" s="107" t="s">
        <v>1</v>
      </c>
      <c r="XCL14" s="108"/>
      <c r="XCM14" s="108"/>
      <c r="XCN14" s="109"/>
      <c r="XCO14" s="107" t="s">
        <v>1</v>
      </c>
      <c r="XCP14" s="108"/>
      <c r="XCQ14" s="108"/>
      <c r="XCR14" s="109"/>
      <c r="XCS14" s="107" t="s">
        <v>1</v>
      </c>
      <c r="XCT14" s="108"/>
      <c r="XCU14" s="108"/>
      <c r="XCV14" s="109"/>
      <c r="XCW14" s="107" t="s">
        <v>1</v>
      </c>
      <c r="XCX14" s="108"/>
      <c r="XCY14" s="108"/>
      <c r="XCZ14" s="109"/>
      <c r="XDA14" s="107" t="s">
        <v>1</v>
      </c>
      <c r="XDB14" s="108"/>
      <c r="XDC14" s="108"/>
      <c r="XDD14" s="109"/>
      <c r="XDE14" s="107" t="s">
        <v>1</v>
      </c>
      <c r="XDF14" s="108"/>
      <c r="XDG14" s="108"/>
      <c r="XDH14" s="109"/>
      <c r="XDI14" s="107" t="s">
        <v>1</v>
      </c>
      <c r="XDJ14" s="108"/>
      <c r="XDK14" s="108"/>
      <c r="XDL14" s="109"/>
      <c r="XDM14" s="107" t="s">
        <v>1</v>
      </c>
      <c r="XDN14" s="108"/>
      <c r="XDO14" s="108"/>
      <c r="XDP14" s="109"/>
      <c r="XDQ14" s="107" t="s">
        <v>1</v>
      </c>
      <c r="XDR14" s="108"/>
      <c r="XDS14" s="108"/>
      <c r="XDT14" s="109"/>
      <c r="XDU14" s="107" t="s">
        <v>1</v>
      </c>
      <c r="XDV14" s="108"/>
      <c r="XDW14" s="108"/>
      <c r="XDX14" s="109"/>
      <c r="XDY14" s="107" t="s">
        <v>1</v>
      </c>
      <c r="XDZ14" s="108"/>
      <c r="XEA14" s="108"/>
      <c r="XEB14" s="109"/>
      <c r="XEC14" s="107" t="s">
        <v>1</v>
      </c>
      <c r="XED14" s="108"/>
      <c r="XEE14" s="108"/>
      <c r="XEF14" s="109"/>
      <c r="XEG14" s="107" t="s">
        <v>1</v>
      </c>
      <c r="XEH14" s="108"/>
      <c r="XEI14" s="108"/>
      <c r="XEJ14" s="109"/>
      <c r="XEK14" s="107" t="s">
        <v>1</v>
      </c>
      <c r="XEL14" s="108"/>
      <c r="XEM14" s="108"/>
      <c r="XEN14" s="109"/>
      <c r="XEO14" s="107" t="s">
        <v>1</v>
      </c>
      <c r="XEP14" s="108"/>
      <c r="XEQ14" s="108"/>
      <c r="XER14" s="109"/>
      <c r="XES14" s="107" t="s">
        <v>1</v>
      </c>
      <c r="XET14" s="108"/>
      <c r="XEU14" s="108"/>
      <c r="XEV14" s="109"/>
      <c r="XEW14" s="107" t="s">
        <v>1</v>
      </c>
      <c r="XEX14" s="108"/>
      <c r="XEY14" s="108"/>
      <c r="XEZ14" s="109"/>
    </row>
    <row r="15" spans="1:16380" ht="33" customHeight="1" x14ac:dyDescent="0.25">
      <c r="A15" s="40" t="s">
        <v>181</v>
      </c>
      <c r="B15" s="10" t="str">
        <f>IF(AROW!B15&lt;&gt;0,AROW!B15,"")</f>
        <v>Signature</v>
      </c>
      <c r="C15" s="65" t="s">
        <v>83</v>
      </c>
      <c r="D15" s="13" t="str">
        <f>IF(AROW!D15&lt;&gt;0,AROW!D15,"")</f>
        <v>MM/DD/YYYY</v>
      </c>
      <c r="E15" s="4"/>
      <c r="F15" s="4"/>
      <c r="G15" s="4"/>
      <c r="H15" s="4"/>
    </row>
    <row r="16" spans="1:16380" ht="22.5" customHeight="1" x14ac:dyDescent="0.2">
      <c r="A16" s="104" t="s">
        <v>890</v>
      </c>
      <c r="B16" s="104"/>
      <c r="C16" s="104"/>
      <c r="D16" s="104"/>
    </row>
    <row r="17" spans="1:8" ht="15.75" customHeight="1" x14ac:dyDescent="0.25">
      <c r="A17" s="173" t="s">
        <v>1135</v>
      </c>
      <c r="B17" s="174"/>
      <c r="C17" s="175" t="str">
        <f>IF(AROW!C17&lt;&gt;0,AROW!C17,"")</f>
        <v>Select</v>
      </c>
      <c r="D17" s="176"/>
    </row>
    <row r="18" spans="1:8" ht="15.75" customHeight="1" x14ac:dyDescent="0.25">
      <c r="A18" s="173" t="s">
        <v>1087</v>
      </c>
      <c r="B18" s="174"/>
      <c r="C18" s="175" t="str">
        <f>IF(AROW!C18&lt;&gt;0,AROW!C18,"")</f>
        <v>Select</v>
      </c>
      <c r="D18" s="176"/>
    </row>
    <row r="19" spans="1:8" ht="8.25" customHeight="1" x14ac:dyDescent="0.2">
      <c r="A19" s="104"/>
      <c r="B19" s="104"/>
      <c r="C19" s="104"/>
      <c r="D19" s="104"/>
    </row>
    <row r="20" spans="1:8" s="8" customFormat="1" ht="15.75" x14ac:dyDescent="0.25">
      <c r="A20" s="60" t="s">
        <v>1131</v>
      </c>
      <c r="B20" s="162" t="str">
        <f>IF(AROW!B20&lt;&gt;0,AROW!B20,"")</f>
        <v>Select</v>
      </c>
      <c r="C20" s="163"/>
      <c r="D20" s="164"/>
      <c r="E20" s="8" t="s">
        <v>148</v>
      </c>
      <c r="F20" s="8" t="s">
        <v>149</v>
      </c>
      <c r="G20" s="8" t="s">
        <v>150</v>
      </c>
    </row>
    <row r="21" spans="1:8" s="8" customFormat="1" ht="15.75" x14ac:dyDescent="0.25">
      <c r="A21" s="61" t="s">
        <v>86</v>
      </c>
      <c r="B21" s="56" t="str">
        <f>IF(AROW!B21&lt;&gt;0,AROW!B21,"")</f>
        <v/>
      </c>
      <c r="C21" s="82" t="s">
        <v>968</v>
      </c>
      <c r="D21" s="12">
        <f>IFERROR(INDEX(Data_Sheet[Lead Time Total], MATCH('AROW - COR'!$B$20, Data_Sheet[Concatenate C+D],0)),"")</f>
        <v>0</v>
      </c>
      <c r="E21" s="1">
        <v>1</v>
      </c>
      <c r="F21" s="16" t="str">
        <f>IF($B$22="", "", B22)</f>
        <v>MM/DD/YYYY</v>
      </c>
      <c r="G21" s="1" t="str">
        <f>IFERROR(_xlfn.DAYS(F21,$D$5)&gt;D21, "")</f>
        <v/>
      </c>
    </row>
    <row r="22" spans="1:8" ht="15.75" x14ac:dyDescent="0.25">
      <c r="A22" s="18" t="s">
        <v>963</v>
      </c>
      <c r="B22" s="57" t="str">
        <f>IF(AROW!B22&lt;&gt;0,AROW!B22,"")</f>
        <v>MM/DD/YYYY</v>
      </c>
      <c r="C22" s="62" t="s">
        <v>85</v>
      </c>
      <c r="D22" s="52">
        <v>0</v>
      </c>
      <c r="E22" s="1">
        <v>2</v>
      </c>
      <c r="F22" s="16" t="str">
        <f>IF($B$28="","",B28)</f>
        <v>MM/DD/YYYY</v>
      </c>
      <c r="G22" s="1" t="str">
        <f>IFERROR(_xlfn.DAYS(F22,$D$5)&gt;D27, "")</f>
        <v/>
      </c>
    </row>
    <row r="23" spans="1:8" ht="16.5" thickBot="1" x14ac:dyDescent="0.3">
      <c r="A23" s="90" t="s">
        <v>9</v>
      </c>
      <c r="B23" s="51"/>
      <c r="C23" s="62" t="s">
        <v>152</v>
      </c>
      <c r="D23" s="85" t="str">
        <f>B21</f>
        <v/>
      </c>
      <c r="E23" s="2">
        <v>3</v>
      </c>
      <c r="F23" s="16" t="str">
        <f>IF($B$34="", "", B34)</f>
        <v>MM/DD/YYYY</v>
      </c>
      <c r="G23" s="1" t="str">
        <f>IFERROR(_xlfn.DAYS(F23,$D$5)&gt;D33, "")</f>
        <v/>
      </c>
    </row>
    <row r="24" spans="1:8" ht="15.75" x14ac:dyDescent="0.25">
      <c r="A24" s="62" t="s">
        <v>9</v>
      </c>
      <c r="B24" s="51"/>
      <c r="C24" s="62" t="s">
        <v>152</v>
      </c>
      <c r="D24" s="50"/>
      <c r="E24" s="7">
        <v>4</v>
      </c>
      <c r="F24" s="16" t="str">
        <f>IF($B$40="", "", B40)</f>
        <v>MM/DD/YYYY</v>
      </c>
      <c r="G24" s="1" t="str">
        <f>IFERROR(_xlfn.DAYS(F24,#REF!)&gt;D39, "")</f>
        <v/>
      </c>
    </row>
    <row r="25" spans="1:8" s="7" customFormat="1" ht="8.25" customHeight="1" x14ac:dyDescent="0.2">
      <c r="A25" s="104"/>
      <c r="B25" s="104"/>
      <c r="C25" s="104"/>
      <c r="D25" s="104"/>
      <c r="E25" s="7">
        <v>5</v>
      </c>
      <c r="F25" s="16" t="str">
        <f>IF($B$46="", "", B46)</f>
        <v>MM/DD/YYYY</v>
      </c>
      <c r="G25" s="1" t="str">
        <f>IFERROR(_xlfn.DAYS(F25,$D$5)&gt;D45, "")</f>
        <v/>
      </c>
      <c r="H25" s="1"/>
    </row>
    <row r="26" spans="1:8" s="8" customFormat="1" ht="15.75" x14ac:dyDescent="0.25">
      <c r="A26" s="60" t="s">
        <v>1076</v>
      </c>
      <c r="B26" s="162" t="str">
        <f>IF(AROW!B26&lt;&gt;0,AROW!B26,"")</f>
        <v>Select</v>
      </c>
      <c r="C26" s="163"/>
      <c r="D26" s="164"/>
      <c r="E26" s="7">
        <v>6</v>
      </c>
      <c r="F26" s="16" t="str">
        <f>IF($B$52="", "", B52)</f>
        <v>MM/DD/YYYY</v>
      </c>
      <c r="G26" s="1" t="str">
        <f>IFERROR(_xlfn.DAYS(F26,$D$5)&gt;D51, "")</f>
        <v/>
      </c>
    </row>
    <row r="27" spans="1:8" s="8" customFormat="1" ht="15.75" x14ac:dyDescent="0.25">
      <c r="A27" s="90" t="s">
        <v>86</v>
      </c>
      <c r="B27" s="56" t="str">
        <f>IF(AROW!B27&lt;&gt;0,AROW!B27,"")</f>
        <v/>
      </c>
      <c r="C27" s="82" t="s">
        <v>968</v>
      </c>
      <c r="D27" s="12">
        <f>IFERROR(INDEX(Data_Sheet[Lead Time Total], MATCH('AROW - COR'!$B$26, Data_Sheet[Concatenate C+D],0)),"")</f>
        <v>0</v>
      </c>
      <c r="E27" s="8">
        <v>7</v>
      </c>
      <c r="F27" s="16" t="str">
        <f>IF($B$58="", "", B58)</f>
        <v>MM/DD/YYYY</v>
      </c>
      <c r="G27" s="1" t="str">
        <f>IFERROR(_xlfn.DAYS(F27,$D$5)&gt;D57, "")</f>
        <v/>
      </c>
    </row>
    <row r="28" spans="1:8" ht="15.75" x14ac:dyDescent="0.25">
      <c r="A28" s="18" t="s">
        <v>963</v>
      </c>
      <c r="B28" s="57" t="str">
        <f>IF(AROW!B28&lt;&gt;0,AROW!B28,"")</f>
        <v>MM/DD/YYYY</v>
      </c>
      <c r="C28" s="62" t="s">
        <v>85</v>
      </c>
      <c r="D28" s="52">
        <v>0</v>
      </c>
      <c r="E28" s="1">
        <v>8</v>
      </c>
      <c r="F28" s="16" t="str">
        <f>IF($B$64="", "", B64)</f>
        <v>MM/DD/YYYY</v>
      </c>
      <c r="G28" s="1" t="str">
        <f>IFERROR(_xlfn.DAYS(F28,$D$5)&gt;D63, "")</f>
        <v/>
      </c>
    </row>
    <row r="29" spans="1:8" ht="15.75" x14ac:dyDescent="0.25">
      <c r="A29" s="90" t="s">
        <v>9</v>
      </c>
      <c r="B29" s="51" t="s">
        <v>142</v>
      </c>
      <c r="C29" s="62" t="s">
        <v>152</v>
      </c>
      <c r="D29" s="85" t="str">
        <f>B27</f>
        <v/>
      </c>
      <c r="E29" s="1">
        <v>9</v>
      </c>
      <c r="F29" s="16" t="str">
        <f xml:space="preserve"> IF($B$70="", "",B70)</f>
        <v>MM/DD/YYYY</v>
      </c>
      <c r="G29" s="1" t="str">
        <f>IFERROR(_xlfn.DAYS(F29,$D$5)&gt;D69, "")</f>
        <v/>
      </c>
    </row>
    <row r="30" spans="1:8" ht="16.5" thickBot="1" x14ac:dyDescent="0.3">
      <c r="A30" s="62" t="s">
        <v>9</v>
      </c>
      <c r="B30" s="51" t="s">
        <v>142</v>
      </c>
      <c r="C30" s="62" t="s">
        <v>152</v>
      </c>
      <c r="D30" s="50"/>
      <c r="E30" s="2">
        <v>10</v>
      </c>
      <c r="F30" s="16" t="str">
        <f>IF($B$76="", "", B76)</f>
        <v>MM/DD/YYYY</v>
      </c>
      <c r="G30" s="1" t="str">
        <f>IFERROR(_xlfn.DAYS(F30,$D$15)&gt;D70, "")</f>
        <v/>
      </c>
    </row>
    <row r="31" spans="1:8" s="8" customFormat="1" ht="8.25" customHeight="1" x14ac:dyDescent="0.2">
      <c r="A31" s="104"/>
      <c r="B31" s="104"/>
      <c r="C31" s="104"/>
      <c r="D31" s="104"/>
      <c r="E31" s="7">
        <v>10</v>
      </c>
      <c r="F31" s="16" t="str">
        <f xml:space="preserve"> IF($B$76="", "",B76)</f>
        <v>MM/DD/YYYY</v>
      </c>
      <c r="G31" s="1" t="str">
        <f>IFERROR(_xlfn.DAYS(F31,$D$5)&gt;D75, "")</f>
        <v/>
      </c>
    </row>
    <row r="32" spans="1:8" s="8" customFormat="1" ht="15.75" x14ac:dyDescent="0.25">
      <c r="A32" s="89" t="s">
        <v>970</v>
      </c>
      <c r="B32" s="162" t="str">
        <f>IF(AROW!B32&lt;&gt;0,AROW!B32,"")</f>
        <v>Select</v>
      </c>
      <c r="C32" s="163"/>
      <c r="D32" s="164"/>
      <c r="E32" s="3">
        <v>11</v>
      </c>
      <c r="F32" s="16" t="str">
        <f xml:space="preserve"> IF($B$82="", "",B82)</f>
        <v>MM/DD/YYYY</v>
      </c>
      <c r="G32" s="1" t="str">
        <f>IFERROR(_xlfn.DAYS(F32,$D$5)&gt;D81, "")</f>
        <v/>
      </c>
    </row>
    <row r="33" spans="1:8" ht="15.75" x14ac:dyDescent="0.25">
      <c r="A33" s="90" t="s">
        <v>86</v>
      </c>
      <c r="B33" s="56" t="str">
        <f>IF(AROW!B33&lt;&gt;0,AROW!B33,"")</f>
        <v/>
      </c>
      <c r="C33" s="82" t="s">
        <v>968</v>
      </c>
      <c r="D33" s="12">
        <f>IFERROR(INDEX(Data_Sheet[Lead Time Total], MATCH('AROW - COR'!$B$32, Data_Sheet[Concatenate C+D],0)),"")</f>
        <v>0</v>
      </c>
      <c r="E33" s="1">
        <v>12</v>
      </c>
      <c r="F33" s="16" t="str">
        <f xml:space="preserve"> IF($B$88="", "",B88)</f>
        <v>MM/DD/YYYY</v>
      </c>
      <c r="G33" s="1" t="str">
        <f>IFERROR(_xlfn.DAYS(F33,$D$5)&gt;D87, "")</f>
        <v/>
      </c>
    </row>
    <row r="34" spans="1:8" ht="15.75" x14ac:dyDescent="0.25">
      <c r="A34" s="18" t="s">
        <v>963</v>
      </c>
      <c r="B34" s="93" t="str">
        <f>IF(AROW!B34&lt;&gt;0,AROW!B34,"")</f>
        <v>MM/DD/YYYY</v>
      </c>
      <c r="C34" s="62" t="s">
        <v>85</v>
      </c>
      <c r="D34" s="52">
        <v>0</v>
      </c>
      <c r="E34" s="1">
        <v>13</v>
      </c>
      <c r="F34" s="16" t="str">
        <f xml:space="preserve"> IF($B$94="", "",B94)</f>
        <v>MM/DD/YYYY</v>
      </c>
      <c r="G34" s="1" t="str">
        <f>IFERROR(_xlfn.DAYS(F34,$D$5)&gt;D93, "")</f>
        <v/>
      </c>
    </row>
    <row r="35" spans="1:8" s="7" customFormat="1" ht="15.75" x14ac:dyDescent="0.25">
      <c r="A35" s="90" t="s">
        <v>9</v>
      </c>
      <c r="B35" s="51" t="s">
        <v>142</v>
      </c>
      <c r="C35" s="62" t="s">
        <v>152</v>
      </c>
      <c r="D35" s="85" t="str">
        <f>B33</f>
        <v/>
      </c>
      <c r="E35" s="7">
        <v>14</v>
      </c>
      <c r="F35" s="16" t="str">
        <f xml:space="preserve"> IF($B$100="", "",B100)</f>
        <v>MM/DD/YYYY</v>
      </c>
      <c r="G35" s="1" t="str">
        <f>IFERROR(_xlfn.DAYS(F35,$D$5)&gt;D99, "")</f>
        <v/>
      </c>
      <c r="H35" s="1"/>
    </row>
    <row r="36" spans="1:8" s="7" customFormat="1" ht="15.75" x14ac:dyDescent="0.25">
      <c r="A36" s="62" t="s">
        <v>9</v>
      </c>
      <c r="B36" s="51" t="s">
        <v>142</v>
      </c>
      <c r="C36" s="62" t="s">
        <v>152</v>
      </c>
      <c r="D36" s="50"/>
      <c r="F36" s="16" t="str">
        <f t="shared" ref="F36" si="0" xml:space="preserve"> IF($B$70="", "",B77)</f>
        <v>Select</v>
      </c>
      <c r="G36" s="1" t="str">
        <f t="shared" ref="G36:G42" si="1">IFERROR(_xlfn.DAYS(F36,$D$15)&gt;D76, "")</f>
        <v/>
      </c>
      <c r="H36" s="1"/>
    </row>
    <row r="37" spans="1:8" s="7" customFormat="1" ht="8.25" customHeight="1" x14ac:dyDescent="0.2">
      <c r="A37" s="104"/>
      <c r="B37" s="104"/>
      <c r="C37" s="104"/>
      <c r="D37" s="104"/>
      <c r="E37" s="7">
        <v>15</v>
      </c>
      <c r="F37" s="16" t="str">
        <f xml:space="preserve"> IF($B$106="", "",B106)</f>
        <v>MM/DD/YYYY</v>
      </c>
      <c r="G37" s="1" t="str">
        <f>IFERROR(_xlfn.DAYS(F37,$D$5)&gt;D105, "")</f>
        <v/>
      </c>
      <c r="H37" s="1"/>
    </row>
    <row r="38" spans="1:8" s="8" customFormat="1" ht="15.75" x14ac:dyDescent="0.25">
      <c r="A38" s="89" t="s">
        <v>1157</v>
      </c>
      <c r="B38" s="162" t="str">
        <f>IF(AROW!B38&lt;&gt;0,AROW!B38,"")</f>
        <v>Select</v>
      </c>
      <c r="C38" s="163"/>
      <c r="D38" s="164"/>
      <c r="E38" s="8">
        <v>16</v>
      </c>
      <c r="F38" s="16" t="str">
        <f xml:space="preserve"> IF($B$112="", "",B112)</f>
        <v>MM/DD/YYYY</v>
      </c>
      <c r="G38" s="1" t="str">
        <f>IFERROR(_xlfn.DAYS(F38,$D$5)&gt;D111, "")</f>
        <v/>
      </c>
      <c r="H38" s="1"/>
    </row>
    <row r="39" spans="1:8" ht="15.75" x14ac:dyDescent="0.25">
      <c r="A39" s="90" t="s">
        <v>86</v>
      </c>
      <c r="B39" s="56" t="str">
        <f>IF(AROW!B39&lt;&gt;0,AROW!B39,"")</f>
        <v/>
      </c>
      <c r="C39" s="82" t="s">
        <v>968</v>
      </c>
      <c r="D39" s="12">
        <f>IFERROR(INDEX(Data_Sheet[Lead Time Total], MATCH('AROW - COR'!$B$38, Data_Sheet[Concatenate C+D],0)),"")</f>
        <v>0</v>
      </c>
      <c r="E39" s="1">
        <v>17</v>
      </c>
      <c r="F39" s="16" t="str">
        <f xml:space="preserve"> IF($B$118="", "",B118)</f>
        <v>MM/DD/YYYY</v>
      </c>
      <c r="G39" s="1" t="str">
        <f>IFERROR(_xlfn.DAYS(F39,$D$5)&gt;D117, "")</f>
        <v/>
      </c>
    </row>
    <row r="40" spans="1:8" ht="15.75" x14ac:dyDescent="0.25">
      <c r="A40" s="18" t="s">
        <v>963</v>
      </c>
      <c r="B40" s="93" t="str">
        <f>IF(AROW!B40&lt;&gt;0,AROW!B40,"")</f>
        <v>MM/DD/YYYY</v>
      </c>
      <c r="C40" s="62" t="s">
        <v>85</v>
      </c>
      <c r="D40" s="52">
        <v>0</v>
      </c>
      <c r="E40" s="1">
        <v>18</v>
      </c>
      <c r="F40" s="16" t="str">
        <f xml:space="preserve"> IF($B$124="", "",B124)</f>
        <v>MM/DD/YYYY</v>
      </c>
      <c r="G40" s="1" t="str">
        <f>IFERROR(_xlfn.DAYS(F40,$D$5)&gt;D123, "")</f>
        <v/>
      </c>
    </row>
    <row r="41" spans="1:8" s="8" customFormat="1" ht="15.75" x14ac:dyDescent="0.25">
      <c r="A41" s="90" t="s">
        <v>9</v>
      </c>
      <c r="B41" s="51" t="s">
        <v>142</v>
      </c>
      <c r="C41" s="62" t="s">
        <v>152</v>
      </c>
      <c r="D41" s="85" t="str">
        <f>B39</f>
        <v/>
      </c>
      <c r="E41" s="8">
        <v>19</v>
      </c>
      <c r="F41" s="16" t="str">
        <f xml:space="preserve"> IF($B$130="", "",B130)</f>
        <v>MM/DD/YYYY</v>
      </c>
      <c r="G41" s="1" t="str">
        <f>IFERROR(_xlfn.DAYS(F41,$D$5)&gt;D129, "")</f>
        <v/>
      </c>
    </row>
    <row r="42" spans="1:8" s="8" customFormat="1" ht="15.75" x14ac:dyDescent="0.25">
      <c r="A42" s="62" t="s">
        <v>9</v>
      </c>
      <c r="B42" s="51" t="s">
        <v>142</v>
      </c>
      <c r="C42" s="62" t="s">
        <v>152</v>
      </c>
      <c r="D42" s="50"/>
      <c r="F42" s="16" t="str">
        <f xml:space="preserve"> IF($B$70="", "",B83)</f>
        <v>Select</v>
      </c>
      <c r="G42" s="1" t="str">
        <f t="shared" si="1"/>
        <v/>
      </c>
    </row>
    <row r="43" spans="1:8" ht="8.25" customHeight="1" x14ac:dyDescent="0.2">
      <c r="A43" s="104"/>
      <c r="B43" s="104"/>
      <c r="C43" s="104"/>
      <c r="D43" s="104"/>
      <c r="E43" s="1">
        <v>20</v>
      </c>
      <c r="F43" s="16" t="str">
        <f xml:space="preserve"> IF($B$136="", "",B136)</f>
        <v>MM/DD/YYYY</v>
      </c>
      <c r="G43" s="1" t="str">
        <f>IFERROR(_xlfn.DAYS(F43,$D$5)&gt;D135, "")</f>
        <v/>
      </c>
    </row>
    <row r="44" spans="1:8" ht="15.75" x14ac:dyDescent="0.25">
      <c r="A44" s="60" t="s">
        <v>1158</v>
      </c>
      <c r="B44" s="162" t="str">
        <f>IF(AROW!B44&lt;&gt;0,AROW!B44,"")</f>
        <v>Select</v>
      </c>
      <c r="C44" s="163"/>
      <c r="D44" s="164"/>
      <c r="F44" s="16"/>
      <c r="G44" s="7">
        <f>COUNTIF(G21:G43, "False")</f>
        <v>0</v>
      </c>
    </row>
    <row r="45" spans="1:8" s="7" customFormat="1" ht="15.75" x14ac:dyDescent="0.25">
      <c r="A45" s="61" t="s">
        <v>86</v>
      </c>
      <c r="B45" s="56" t="str">
        <f>IF(AROW!B45&lt;&gt;0,AROW!B45,"")</f>
        <v/>
      </c>
      <c r="C45" s="82" t="s">
        <v>968</v>
      </c>
      <c r="D45" s="12">
        <f>IFERROR(INDEX(Data_Sheet[Lead Time Total], MATCH('AROW - COR'!$B$44, Data_Sheet[Concatenate C+D],0)),"")</f>
        <v>0</v>
      </c>
      <c r="F45" s="16"/>
      <c r="G45" s="1">
        <f>IF(ISNUMBER(G44), G44, "")</f>
        <v>0</v>
      </c>
      <c r="H45" s="1"/>
    </row>
    <row r="46" spans="1:8" s="7" customFormat="1" ht="15.75" x14ac:dyDescent="0.25">
      <c r="A46" s="18" t="s">
        <v>963</v>
      </c>
      <c r="B46" s="93" t="str">
        <f>IF(AROW!B46&lt;&gt;0,AROW!B46,"")</f>
        <v>MM/DD/YYYY</v>
      </c>
      <c r="C46" s="62" t="s">
        <v>85</v>
      </c>
      <c r="D46" s="52">
        <v>0</v>
      </c>
      <c r="F46" s="16"/>
      <c r="G46" s="1"/>
      <c r="H46" s="1"/>
    </row>
    <row r="47" spans="1:8" s="7" customFormat="1" ht="15.75" x14ac:dyDescent="0.25">
      <c r="A47" s="90" t="s">
        <v>9</v>
      </c>
      <c r="B47" s="51" t="s">
        <v>142</v>
      </c>
      <c r="C47" s="62" t="s">
        <v>152</v>
      </c>
      <c r="D47" s="85" t="str">
        <f>B45</f>
        <v/>
      </c>
      <c r="F47" s="16"/>
      <c r="G47" s="1"/>
      <c r="H47" s="1"/>
    </row>
    <row r="48" spans="1:8" s="8" customFormat="1" ht="15.75" x14ac:dyDescent="0.25">
      <c r="A48" s="62" t="s">
        <v>9</v>
      </c>
      <c r="B48" s="51" t="s">
        <v>142</v>
      </c>
      <c r="C48" s="62" t="s">
        <v>152</v>
      </c>
      <c r="D48" s="50"/>
      <c r="F48" s="16"/>
      <c r="G48" s="1"/>
      <c r="H48" s="1"/>
    </row>
    <row r="49" spans="1:8" ht="8.25" customHeight="1" x14ac:dyDescent="0.2">
      <c r="A49" s="104"/>
      <c r="B49" s="104"/>
      <c r="C49" s="104"/>
      <c r="D49" s="104"/>
      <c r="F49" s="16"/>
    </row>
    <row r="50" spans="1:8" ht="15.75" x14ac:dyDescent="0.25">
      <c r="A50" s="60" t="s">
        <v>1159</v>
      </c>
      <c r="B50" s="162" t="str">
        <f>IF(AROW!B50&lt;&gt;0,AROW!B50,"")</f>
        <v>Select</v>
      </c>
      <c r="C50" s="163"/>
      <c r="D50" s="164"/>
    </row>
    <row r="51" spans="1:8" s="8" customFormat="1" ht="15.75" x14ac:dyDescent="0.25">
      <c r="A51" s="61" t="s">
        <v>86</v>
      </c>
      <c r="B51" s="56" t="str">
        <f>IF(AROW!B51&lt;&gt;0,AROW!B51,"")</f>
        <v/>
      </c>
      <c r="C51" s="82" t="s">
        <v>968</v>
      </c>
      <c r="D51" s="12">
        <f>IFERROR(INDEX(Data_Sheet[Lead Time Total], MATCH('AROW - COR'!$B$50, Data_Sheet[Concatenate C+D],0)),"")</f>
        <v>0</v>
      </c>
    </row>
    <row r="52" spans="1:8" s="8" customFormat="1" ht="15.75" x14ac:dyDescent="0.25">
      <c r="A52" s="18" t="s">
        <v>963</v>
      </c>
      <c r="B52" s="93" t="str">
        <f>IF(AROW!B52&lt;&gt;0,AROW!B52,"")</f>
        <v>MM/DD/YYYY</v>
      </c>
      <c r="C52" s="62" t="s">
        <v>85</v>
      </c>
      <c r="D52" s="52">
        <v>0</v>
      </c>
    </row>
    <row r="53" spans="1:8" ht="15.75" x14ac:dyDescent="0.25">
      <c r="A53" s="90" t="s">
        <v>9</v>
      </c>
      <c r="B53" s="51" t="s">
        <v>142</v>
      </c>
      <c r="C53" s="62" t="s">
        <v>152</v>
      </c>
      <c r="D53" s="85" t="str">
        <f>B51</f>
        <v/>
      </c>
      <c r="F53" s="16"/>
    </row>
    <row r="54" spans="1:8" ht="15.75" x14ac:dyDescent="0.25">
      <c r="A54" s="62" t="s">
        <v>9</v>
      </c>
      <c r="B54" s="51" t="s">
        <v>142</v>
      </c>
      <c r="C54" s="62" t="s">
        <v>152</v>
      </c>
      <c r="D54" s="50"/>
      <c r="F54" s="16"/>
    </row>
    <row r="55" spans="1:8" s="7" customFormat="1" ht="8.25" customHeight="1" x14ac:dyDescent="0.2">
      <c r="A55" s="104"/>
      <c r="B55" s="104"/>
      <c r="C55" s="104"/>
      <c r="D55" s="104"/>
      <c r="F55" s="16"/>
      <c r="G55" s="1"/>
      <c r="H55" s="1"/>
    </row>
    <row r="56" spans="1:8" s="7" customFormat="1" ht="15.75" x14ac:dyDescent="0.25">
      <c r="A56" s="60" t="s">
        <v>974</v>
      </c>
      <c r="B56" s="162" t="str">
        <f>IF(AROW!B56&lt;&gt;0,AROW!B56,"")</f>
        <v>Select</v>
      </c>
      <c r="C56" s="163"/>
      <c r="D56" s="164"/>
      <c r="F56" s="16"/>
      <c r="G56" s="1"/>
      <c r="H56" s="1"/>
    </row>
    <row r="57" spans="1:8" s="7" customFormat="1" ht="15.75" x14ac:dyDescent="0.25">
      <c r="A57" s="61" t="s">
        <v>86</v>
      </c>
      <c r="B57" s="56" t="str">
        <f>IF(AROW!B57&lt;&gt;0,AROW!B57,"")</f>
        <v/>
      </c>
      <c r="C57" s="82" t="s">
        <v>968</v>
      </c>
      <c r="D57" s="12">
        <f>IFERROR(INDEX(Data_Sheet[Lead Time Total], MATCH('AROW - COR'!$B$56, Data_Sheet[Concatenate C+D],0)),"")</f>
        <v>0</v>
      </c>
      <c r="F57" s="16"/>
      <c r="G57" s="1"/>
      <c r="H57" s="1"/>
    </row>
    <row r="58" spans="1:8" s="8" customFormat="1" ht="15.75" x14ac:dyDescent="0.25">
      <c r="A58" s="18" t="s">
        <v>963</v>
      </c>
      <c r="B58" s="57" t="str">
        <f>IF(AROW!B58&lt;&gt;0,AROW!B58,"")</f>
        <v>MM/DD/YYYY</v>
      </c>
      <c r="C58" s="62" t="s">
        <v>85</v>
      </c>
      <c r="D58" s="52">
        <v>0</v>
      </c>
      <c r="F58" s="16"/>
      <c r="G58" s="1"/>
      <c r="H58" s="1"/>
    </row>
    <row r="59" spans="1:8" ht="15.75" x14ac:dyDescent="0.25">
      <c r="A59" s="90" t="s">
        <v>9</v>
      </c>
      <c r="B59" s="51" t="s">
        <v>142</v>
      </c>
      <c r="C59" s="62" t="s">
        <v>152</v>
      </c>
      <c r="D59" s="85" t="str">
        <f>B57</f>
        <v/>
      </c>
      <c r="F59" s="16"/>
    </row>
    <row r="60" spans="1:8" s="8" customFormat="1" ht="15.75" x14ac:dyDescent="0.25">
      <c r="A60" s="62" t="s">
        <v>9</v>
      </c>
      <c r="B60" s="51" t="s">
        <v>142</v>
      </c>
      <c r="C60" s="62" t="s">
        <v>152</v>
      </c>
      <c r="D60" s="50"/>
    </row>
    <row r="61" spans="1:8" s="8" customFormat="1" ht="8.25" customHeight="1" x14ac:dyDescent="0.2">
      <c r="A61" s="104"/>
      <c r="B61" s="104"/>
      <c r="C61" s="104"/>
      <c r="D61" s="104"/>
    </row>
    <row r="62" spans="1:8" ht="15.75" x14ac:dyDescent="0.25">
      <c r="A62" s="60" t="s">
        <v>1160</v>
      </c>
      <c r="B62" s="162" t="str">
        <f>IF(AROW!B62&lt;&gt;0,AROW!B62,"")</f>
        <v>Select</v>
      </c>
      <c r="C62" s="163"/>
      <c r="D62" s="164"/>
      <c r="F62" s="16"/>
    </row>
    <row r="63" spans="1:8" ht="15.75" x14ac:dyDescent="0.25">
      <c r="A63" s="61" t="s">
        <v>86</v>
      </c>
      <c r="B63" s="56" t="str">
        <f>IF(AROW!B63&lt;&gt;0,AROW!B63,"")</f>
        <v/>
      </c>
      <c r="C63" s="82" t="s">
        <v>968</v>
      </c>
      <c r="D63" s="12">
        <f>IFERROR(INDEX(Data_Sheet[Lead Time Total], MATCH('AROW - COR'!$B$62, Data_Sheet[Concatenate C+D],0)),"")</f>
        <v>0</v>
      </c>
      <c r="F63" s="16"/>
    </row>
    <row r="64" spans="1:8" s="7" customFormat="1" ht="15.75" x14ac:dyDescent="0.25">
      <c r="A64" s="18" t="s">
        <v>963</v>
      </c>
      <c r="B64" s="57" t="str">
        <f>IF(AROW!B64&lt;&gt;0,AROW!B64,"")</f>
        <v>MM/DD/YYYY</v>
      </c>
      <c r="C64" s="62" t="s">
        <v>85</v>
      </c>
      <c r="D64" s="52">
        <v>0</v>
      </c>
      <c r="F64" s="16"/>
      <c r="G64" s="1"/>
      <c r="H64" s="1"/>
    </row>
    <row r="65" spans="1:8" s="7" customFormat="1" ht="15.75" x14ac:dyDescent="0.25">
      <c r="A65" s="90" t="s">
        <v>9</v>
      </c>
      <c r="B65" s="51" t="s">
        <v>142</v>
      </c>
      <c r="C65" s="62" t="s">
        <v>152</v>
      </c>
      <c r="D65" s="85" t="str">
        <f>B63</f>
        <v/>
      </c>
      <c r="F65" s="16"/>
      <c r="G65" s="1"/>
      <c r="H65" s="1"/>
    </row>
    <row r="66" spans="1:8" s="7" customFormat="1" ht="15.75" x14ac:dyDescent="0.25">
      <c r="A66" s="62" t="s">
        <v>9</v>
      </c>
      <c r="B66" s="51" t="s">
        <v>142</v>
      </c>
      <c r="C66" s="62" t="s">
        <v>152</v>
      </c>
      <c r="D66" s="50"/>
      <c r="F66" s="16"/>
      <c r="G66" s="1"/>
      <c r="H66" s="1"/>
    </row>
    <row r="67" spans="1:8" s="8" customFormat="1" ht="8.25" customHeight="1" x14ac:dyDescent="0.2">
      <c r="A67" s="104"/>
      <c r="B67" s="104"/>
      <c r="C67" s="104"/>
      <c r="D67" s="104"/>
      <c r="F67" s="16"/>
      <c r="G67" s="1"/>
      <c r="H67" s="1"/>
    </row>
    <row r="68" spans="1:8" s="7" customFormat="1" ht="15.75" x14ac:dyDescent="0.25">
      <c r="A68" s="60" t="s">
        <v>1161</v>
      </c>
      <c r="B68" s="162" t="str">
        <f>IF(AROW!B68&lt;&gt;0,AROW!B68,"")</f>
        <v>Select</v>
      </c>
      <c r="C68" s="163"/>
      <c r="D68" s="164"/>
      <c r="F68" s="16"/>
      <c r="G68" s="1"/>
      <c r="H68" s="1"/>
    </row>
    <row r="69" spans="1:8" s="7" customFormat="1" ht="15.75" x14ac:dyDescent="0.25">
      <c r="A69" s="61" t="s">
        <v>86</v>
      </c>
      <c r="B69" s="99" t="str">
        <f>IF(AROW!B69&lt;&gt;0,AROW!B69,"")</f>
        <v/>
      </c>
      <c r="C69" s="82" t="s">
        <v>968</v>
      </c>
      <c r="D69" s="12">
        <f>IFERROR(INDEX(Data_Sheet[Lead Time Total], MATCH('AROW - COR'!$B$68, Data_Sheet[Concatenate C+D],0)),"")</f>
        <v>0</v>
      </c>
      <c r="F69" s="16"/>
      <c r="G69" s="1"/>
      <c r="H69" s="1"/>
    </row>
    <row r="70" spans="1:8" s="8" customFormat="1" ht="15.75" x14ac:dyDescent="0.25">
      <c r="A70" s="18" t="s">
        <v>963</v>
      </c>
      <c r="B70" s="93" t="str">
        <f>IF(AROW!B70&lt;&gt;0,AROW!B70,"")</f>
        <v>MM/DD/YYYY</v>
      </c>
      <c r="C70" s="62" t="s">
        <v>85</v>
      </c>
      <c r="D70" s="52">
        <v>0</v>
      </c>
      <c r="F70" s="16"/>
      <c r="G70" s="1"/>
      <c r="H70" s="1"/>
    </row>
    <row r="71" spans="1:8" ht="15.75" x14ac:dyDescent="0.25">
      <c r="A71" s="90" t="s">
        <v>9</v>
      </c>
      <c r="B71" s="51" t="s">
        <v>142</v>
      </c>
      <c r="C71" s="62" t="s">
        <v>152</v>
      </c>
      <c r="D71" s="85" t="str">
        <f>B69</f>
        <v/>
      </c>
      <c r="F71" s="16"/>
    </row>
    <row r="72" spans="1:8" s="8" customFormat="1" ht="15.75" x14ac:dyDescent="0.25">
      <c r="A72" s="90" t="s">
        <v>9</v>
      </c>
      <c r="B72" s="51" t="s">
        <v>142</v>
      </c>
      <c r="C72" s="62" t="s">
        <v>152</v>
      </c>
      <c r="D72" s="50"/>
    </row>
    <row r="73" spans="1:8" s="8" customFormat="1" ht="8.25" customHeight="1" x14ac:dyDescent="0.2">
      <c r="A73" s="104"/>
      <c r="B73" s="104"/>
      <c r="C73" s="104"/>
      <c r="D73" s="104"/>
    </row>
    <row r="74" spans="1:8" ht="15.75" x14ac:dyDescent="0.25">
      <c r="A74" s="60" t="s">
        <v>1077</v>
      </c>
      <c r="B74" s="162" t="str">
        <f>IF(AROW!B74&lt;&gt;0,AROW!B74,"")</f>
        <v>Select</v>
      </c>
      <c r="C74" s="163"/>
      <c r="D74" s="164"/>
      <c r="F74" s="16"/>
    </row>
    <row r="75" spans="1:8" ht="15.75" x14ac:dyDescent="0.25">
      <c r="A75" s="61" t="s">
        <v>86</v>
      </c>
      <c r="B75" s="56" t="str">
        <f>IF(AROW!B75&lt;&gt;0,AROW!B75,"")</f>
        <v/>
      </c>
      <c r="C75" s="82" t="s">
        <v>968</v>
      </c>
      <c r="D75" s="12">
        <f>IFERROR(INDEX(Data_Sheet[Lead Time Total], MATCH('AROW - COR'!$B$74, Data_Sheet[Concatenate C+D],0)),"")</f>
        <v>0</v>
      </c>
      <c r="F75" s="16"/>
    </row>
    <row r="76" spans="1:8" s="7" customFormat="1" ht="15.75" x14ac:dyDescent="0.25">
      <c r="A76" s="18" t="s">
        <v>963</v>
      </c>
      <c r="B76" s="93" t="str">
        <f>IF(AROW!B76&lt;&gt;0,AROW!B76,"")</f>
        <v>MM/DD/YYYY</v>
      </c>
      <c r="C76" s="62" t="s">
        <v>85</v>
      </c>
      <c r="D76" s="52">
        <v>0</v>
      </c>
      <c r="F76" s="16"/>
      <c r="G76" s="1"/>
      <c r="H76" s="1"/>
    </row>
    <row r="77" spans="1:8" s="7" customFormat="1" ht="15.75" x14ac:dyDescent="0.25">
      <c r="A77" s="90" t="s">
        <v>9</v>
      </c>
      <c r="B77" s="51" t="s">
        <v>142</v>
      </c>
      <c r="C77" s="62" t="s">
        <v>152</v>
      </c>
      <c r="D77" s="85" t="str">
        <f>B75</f>
        <v/>
      </c>
      <c r="F77" s="16"/>
      <c r="G77" s="1"/>
      <c r="H77" s="1"/>
    </row>
    <row r="78" spans="1:8" s="7" customFormat="1" ht="15.75" x14ac:dyDescent="0.25">
      <c r="A78" s="90" t="s">
        <v>9</v>
      </c>
      <c r="B78" s="51" t="s">
        <v>142</v>
      </c>
      <c r="C78" s="62" t="s">
        <v>152</v>
      </c>
      <c r="D78" s="50"/>
      <c r="E78" s="7">
        <v>6</v>
      </c>
      <c r="F78" s="16" t="e">
        <f xml:space="preserve"> IF($D$46="", "",#REF!)</f>
        <v>#REF!</v>
      </c>
      <c r="G78" s="1" t="str">
        <f>IFERROR(_xlfn.DAYS(F78,#REF!)&gt;D140,"")</f>
        <v/>
      </c>
      <c r="H78" s="1"/>
    </row>
    <row r="79" spans="1:8" s="8" customFormat="1" ht="8.25" customHeight="1" x14ac:dyDescent="0.2">
      <c r="A79" s="104"/>
      <c r="B79" s="104"/>
      <c r="C79" s="104"/>
      <c r="D79" s="104"/>
    </row>
    <row r="80" spans="1:8" ht="15.75" x14ac:dyDescent="0.25">
      <c r="A80" s="60" t="s">
        <v>1078</v>
      </c>
      <c r="B80" s="162" t="str">
        <f>IF(AROW!B80&lt;&gt;0,AROW!B80,"")</f>
        <v>Select</v>
      </c>
      <c r="C80" s="163"/>
      <c r="D80" s="164"/>
      <c r="F80" s="16"/>
    </row>
    <row r="81" spans="1:8" ht="15.75" x14ac:dyDescent="0.25">
      <c r="A81" s="61" t="s">
        <v>86</v>
      </c>
      <c r="B81" s="56" t="str">
        <f>IF(AROW!B81&lt;&gt;0,AROW!B81,"")</f>
        <v/>
      </c>
      <c r="C81" s="82" t="s">
        <v>968</v>
      </c>
      <c r="D81" s="12">
        <f>IFERROR(INDEX(Data_Sheet[Lead Time Total], MATCH('AROW - COR'!$B$80, Data_Sheet[Concatenate C+D],0)),"")</f>
        <v>0</v>
      </c>
      <c r="F81" s="16"/>
    </row>
    <row r="82" spans="1:8" s="7" customFormat="1" ht="15.75" x14ac:dyDescent="0.25">
      <c r="A82" s="18" t="s">
        <v>963</v>
      </c>
      <c r="B82" s="57" t="str">
        <f>IF(AROW!B82&lt;&gt;0,AROW!B82,"")</f>
        <v>MM/DD/YYYY</v>
      </c>
      <c r="C82" s="62" t="s">
        <v>85</v>
      </c>
      <c r="D82" s="52">
        <v>0</v>
      </c>
      <c r="F82" s="16"/>
      <c r="G82" s="1"/>
      <c r="H82" s="1"/>
    </row>
    <row r="83" spans="1:8" s="7" customFormat="1" ht="15.75" x14ac:dyDescent="0.25">
      <c r="A83" s="90" t="s">
        <v>9</v>
      </c>
      <c r="B83" s="51" t="s">
        <v>142</v>
      </c>
      <c r="C83" s="62" t="s">
        <v>152</v>
      </c>
      <c r="D83" s="85" t="str">
        <f>B81</f>
        <v/>
      </c>
      <c r="F83" s="16"/>
      <c r="G83" s="1"/>
      <c r="H83" s="1"/>
    </row>
    <row r="84" spans="1:8" s="7" customFormat="1" ht="15.75" x14ac:dyDescent="0.25">
      <c r="A84" s="90" t="s">
        <v>9</v>
      </c>
      <c r="B84" s="51" t="s">
        <v>142</v>
      </c>
      <c r="C84" s="62" t="s">
        <v>152</v>
      </c>
      <c r="D84" s="50"/>
      <c r="E84" s="7">
        <v>6</v>
      </c>
      <c r="F84" s="16" t="e">
        <f xml:space="preserve"> IF($D$46="", "",#REF!)</f>
        <v>#REF!</v>
      </c>
      <c r="G84" s="1" t="str">
        <f>IFERROR(_xlfn.DAYS(F84,#REF!)&gt;#REF!,"")</f>
        <v/>
      </c>
      <c r="H84" s="1"/>
    </row>
    <row r="85" spans="1:8" s="8" customFormat="1" ht="8.25" customHeight="1" x14ac:dyDescent="0.2">
      <c r="A85" s="104"/>
      <c r="B85" s="104"/>
      <c r="C85" s="104"/>
      <c r="D85" s="104"/>
    </row>
    <row r="86" spans="1:8" ht="15.75" x14ac:dyDescent="0.25">
      <c r="A86" s="60" t="s">
        <v>979</v>
      </c>
      <c r="B86" s="162" t="str">
        <f>IF(AROW!B86&lt;&gt;0,AROW!B86,"")</f>
        <v>Select</v>
      </c>
      <c r="C86" s="163"/>
      <c r="D86" s="164"/>
      <c r="F86" s="16"/>
    </row>
    <row r="87" spans="1:8" ht="15.75" x14ac:dyDescent="0.25">
      <c r="A87" s="61" t="s">
        <v>86</v>
      </c>
      <c r="B87" s="56" t="str">
        <f>IF(AROW!B87&lt;&gt;0,AROW!B87,"")</f>
        <v/>
      </c>
      <c r="C87" s="82" t="s">
        <v>968</v>
      </c>
      <c r="D87" s="12">
        <f>IFERROR(INDEX(Data_Sheet[Lead Time Total], MATCH('AROW - COR'!$B$86, Data_Sheet[Concatenate C+D],0)),"")</f>
        <v>0</v>
      </c>
      <c r="F87" s="16"/>
    </row>
    <row r="88" spans="1:8" s="7" customFormat="1" ht="15.75" x14ac:dyDescent="0.25">
      <c r="A88" s="18" t="s">
        <v>963</v>
      </c>
      <c r="B88" s="57" t="str">
        <f>IF(AROW!B88&lt;&gt;0,AROW!B88,"")</f>
        <v>MM/DD/YYYY</v>
      </c>
      <c r="C88" s="62" t="s">
        <v>85</v>
      </c>
      <c r="D88" s="52">
        <v>0</v>
      </c>
      <c r="F88" s="16"/>
      <c r="G88" s="1"/>
      <c r="H88" s="1"/>
    </row>
    <row r="89" spans="1:8" s="7" customFormat="1" ht="15.75" x14ac:dyDescent="0.25">
      <c r="A89" s="90" t="s">
        <v>9</v>
      </c>
      <c r="B89" s="51" t="s">
        <v>142</v>
      </c>
      <c r="C89" s="62" t="s">
        <v>152</v>
      </c>
      <c r="D89" s="85" t="str">
        <f>B87</f>
        <v/>
      </c>
      <c r="F89" s="16"/>
      <c r="G89" s="1"/>
      <c r="H89" s="1"/>
    </row>
    <row r="90" spans="1:8" s="7" customFormat="1" ht="15.75" x14ac:dyDescent="0.25">
      <c r="A90" s="90" t="s">
        <v>9</v>
      </c>
      <c r="B90" s="51" t="s">
        <v>142</v>
      </c>
      <c r="C90" s="62" t="s">
        <v>152</v>
      </c>
      <c r="D90" s="50"/>
      <c r="E90" s="7">
        <v>6</v>
      </c>
      <c r="F90" s="16">
        <f>IF($D$46="", "", D144)</f>
        <v>0</v>
      </c>
      <c r="G90" s="1" t="str">
        <f>IFERROR(_xlfn.DAYS(F90,#REF!)&gt;D145,"")</f>
        <v/>
      </c>
      <c r="H90" s="1"/>
    </row>
    <row r="91" spans="1:8" s="8" customFormat="1" ht="8.25" customHeight="1" x14ac:dyDescent="0.2">
      <c r="A91" s="104"/>
      <c r="B91" s="104"/>
      <c r="C91" s="104"/>
      <c r="D91" s="104"/>
    </row>
    <row r="92" spans="1:8" ht="15.75" x14ac:dyDescent="0.25">
      <c r="A92" s="60" t="s">
        <v>980</v>
      </c>
      <c r="B92" s="162" t="str">
        <f>IF(AROW!B92&lt;&gt;0,AROW!B92,"")</f>
        <v>Select</v>
      </c>
      <c r="C92" s="163"/>
      <c r="D92" s="164"/>
      <c r="F92" s="16"/>
    </row>
    <row r="93" spans="1:8" ht="15.75" x14ac:dyDescent="0.25">
      <c r="A93" s="61" t="s">
        <v>86</v>
      </c>
      <c r="B93" s="56" t="str">
        <f>IF(AROW!B93&lt;&gt;0,AROW!B93,"")</f>
        <v/>
      </c>
      <c r="C93" s="82" t="s">
        <v>968</v>
      </c>
      <c r="D93" s="12">
        <f>IFERROR(INDEX(Data_Sheet[Lead Time Total], MATCH('AROW - COR'!$B$92, Data_Sheet[Concatenate C+D],0)),"")</f>
        <v>0</v>
      </c>
      <c r="F93" s="16"/>
    </row>
    <row r="94" spans="1:8" s="7" customFormat="1" ht="15.75" x14ac:dyDescent="0.25">
      <c r="A94" s="18" t="s">
        <v>963</v>
      </c>
      <c r="B94" s="57" t="str">
        <f>IF(AROW!B94&lt;&gt;0,AROW!B94,"")</f>
        <v>MM/DD/YYYY</v>
      </c>
      <c r="C94" s="62" t="s">
        <v>85</v>
      </c>
      <c r="D94" s="52">
        <v>0</v>
      </c>
      <c r="F94" s="16"/>
      <c r="G94" s="1"/>
      <c r="H94" s="1"/>
    </row>
    <row r="95" spans="1:8" s="7" customFormat="1" ht="15.75" x14ac:dyDescent="0.25">
      <c r="A95" s="90" t="s">
        <v>9</v>
      </c>
      <c r="B95" s="51" t="s">
        <v>142</v>
      </c>
      <c r="C95" s="62" t="s">
        <v>152</v>
      </c>
      <c r="D95" s="50"/>
      <c r="F95" s="16"/>
      <c r="G95" s="1"/>
      <c r="H95" s="1"/>
    </row>
    <row r="96" spans="1:8" s="7" customFormat="1" ht="15.75" x14ac:dyDescent="0.25">
      <c r="A96" s="90" t="s">
        <v>9</v>
      </c>
      <c r="B96" s="51" t="s">
        <v>142</v>
      </c>
      <c r="C96" s="62" t="s">
        <v>152</v>
      </c>
      <c r="D96" s="50"/>
      <c r="E96" s="7">
        <v>6</v>
      </c>
      <c r="F96" s="16">
        <f>IF($D$46="", "", D150)</f>
        <v>0</v>
      </c>
      <c r="G96" s="1" t="str">
        <f>IFERROR(_xlfn.DAYS(F96,#REF!)&gt;D151,"")</f>
        <v/>
      </c>
      <c r="H96" s="1"/>
    </row>
    <row r="97" spans="1:8" s="8" customFormat="1" ht="8.25" customHeight="1" x14ac:dyDescent="0.2">
      <c r="A97" s="104"/>
      <c r="B97" s="104"/>
      <c r="C97" s="104"/>
      <c r="D97" s="104"/>
    </row>
    <row r="98" spans="1:8" ht="15.75" x14ac:dyDescent="0.25">
      <c r="A98" s="60" t="s">
        <v>1162</v>
      </c>
      <c r="B98" s="162" t="str">
        <f>IF(AROW!B98&lt;&gt;0,AROW!B98,"")</f>
        <v>Select</v>
      </c>
      <c r="C98" s="163"/>
      <c r="D98" s="164"/>
      <c r="F98" s="16"/>
    </row>
    <row r="99" spans="1:8" ht="15.75" x14ac:dyDescent="0.25">
      <c r="A99" s="61" t="s">
        <v>86</v>
      </c>
      <c r="B99" s="56" t="str">
        <f>IF(AROW!B99&lt;&gt;0,AROW!B99,"")</f>
        <v/>
      </c>
      <c r="C99" s="82" t="s">
        <v>968</v>
      </c>
      <c r="D99" s="12">
        <f>IFERROR(INDEX(Data_Sheet[Lead Time Total], MATCH('AROW - COR'!$B$98, Data_Sheet[Concatenate C+D],0)),"")</f>
        <v>0</v>
      </c>
      <c r="F99" s="16"/>
    </row>
    <row r="100" spans="1:8" s="7" customFormat="1" ht="15.75" x14ac:dyDescent="0.25">
      <c r="A100" s="18" t="s">
        <v>963</v>
      </c>
      <c r="B100" s="57" t="str">
        <f>IF(AROW!B100&lt;&gt;0,AROW!B100,"")</f>
        <v>MM/DD/YYYY</v>
      </c>
      <c r="C100" s="62" t="s">
        <v>85</v>
      </c>
      <c r="D100" s="52">
        <v>0</v>
      </c>
      <c r="F100" s="16"/>
      <c r="G100" s="1"/>
      <c r="H100" s="1"/>
    </row>
    <row r="101" spans="1:8" s="7" customFormat="1" ht="15.75" x14ac:dyDescent="0.25">
      <c r="A101" s="90" t="s">
        <v>9</v>
      </c>
      <c r="B101" s="51" t="s">
        <v>142</v>
      </c>
      <c r="C101" s="62" t="s">
        <v>152</v>
      </c>
      <c r="D101" s="85" t="str">
        <f>B99</f>
        <v/>
      </c>
      <c r="F101" s="16"/>
      <c r="G101" s="1"/>
      <c r="H101" s="1"/>
    </row>
    <row r="102" spans="1:8" s="7" customFormat="1" ht="15.75" x14ac:dyDescent="0.25">
      <c r="A102" s="90" t="s">
        <v>9</v>
      </c>
      <c r="B102" s="51" t="s">
        <v>142</v>
      </c>
      <c r="C102" s="62" t="s">
        <v>152</v>
      </c>
      <c r="D102" s="85"/>
      <c r="E102" s="7">
        <v>6</v>
      </c>
      <c r="F102" s="16">
        <f>IF($D$46="", "", D156)</f>
        <v>0</v>
      </c>
      <c r="G102" s="1" t="str">
        <f>IFERROR(_xlfn.DAYS(F102,#REF!)&gt;D157,"")</f>
        <v/>
      </c>
      <c r="H102" s="1"/>
    </row>
    <row r="103" spans="1:8" s="8" customFormat="1" ht="8.25" customHeight="1" x14ac:dyDescent="0.2">
      <c r="A103" s="104"/>
      <c r="B103" s="104"/>
      <c r="C103" s="104"/>
      <c r="D103" s="104"/>
    </row>
    <row r="104" spans="1:8" ht="15.75" x14ac:dyDescent="0.25">
      <c r="A104" s="60" t="s">
        <v>1163</v>
      </c>
      <c r="B104" s="162" t="str">
        <f>IF(AROW!B104&lt;&gt;0,AROW!B104,"")</f>
        <v>Select</v>
      </c>
      <c r="C104" s="163"/>
      <c r="D104" s="164"/>
      <c r="F104" s="16"/>
    </row>
    <row r="105" spans="1:8" ht="15.75" x14ac:dyDescent="0.25">
      <c r="A105" s="61" t="s">
        <v>86</v>
      </c>
      <c r="B105" s="56" t="str">
        <f>IF(AROW!B105&lt;&gt;0,AROW!B105,"")</f>
        <v/>
      </c>
      <c r="C105" s="82" t="s">
        <v>968</v>
      </c>
      <c r="D105" s="12">
        <f>IFERROR(INDEX(Data_Sheet[Lead Time Total], MATCH('AROW - COR'!$B$104, Data_Sheet[Concatenate C+D],0)),"")</f>
        <v>0</v>
      </c>
      <c r="F105" s="16"/>
    </row>
    <row r="106" spans="1:8" s="7" customFormat="1" ht="15.75" x14ac:dyDescent="0.25">
      <c r="A106" s="18" t="s">
        <v>963</v>
      </c>
      <c r="B106" s="57" t="str">
        <f>IF(AROW!B106&lt;&gt;0,AROW!B106,"")</f>
        <v>MM/DD/YYYY</v>
      </c>
      <c r="C106" s="62" t="s">
        <v>85</v>
      </c>
      <c r="D106" s="52">
        <v>0</v>
      </c>
      <c r="F106" s="16"/>
      <c r="G106" s="1"/>
      <c r="H106" s="1"/>
    </row>
    <row r="107" spans="1:8" s="7" customFormat="1" ht="15.75" x14ac:dyDescent="0.25">
      <c r="A107" s="90" t="s">
        <v>9</v>
      </c>
      <c r="B107" s="51" t="s">
        <v>142</v>
      </c>
      <c r="C107" s="62" t="s">
        <v>152</v>
      </c>
      <c r="D107" s="85" t="str">
        <f>B105</f>
        <v/>
      </c>
      <c r="F107" s="16"/>
      <c r="G107" s="1"/>
      <c r="H107" s="1"/>
    </row>
    <row r="108" spans="1:8" s="7" customFormat="1" ht="15.75" x14ac:dyDescent="0.25">
      <c r="A108" s="90" t="s">
        <v>9</v>
      </c>
      <c r="B108" s="51" t="s">
        <v>142</v>
      </c>
      <c r="C108" s="62" t="s">
        <v>152</v>
      </c>
      <c r="D108" s="50"/>
      <c r="E108" s="7">
        <v>6</v>
      </c>
      <c r="F108" s="16">
        <f>IF($D$46="", "", D163)</f>
        <v>0</v>
      </c>
      <c r="G108" s="1" t="str">
        <f>IFERROR(_xlfn.DAYS(F108,#REF!)&gt;D164,"")</f>
        <v/>
      </c>
      <c r="H108" s="1"/>
    </row>
    <row r="109" spans="1:8" s="8" customFormat="1" ht="8.25" customHeight="1" x14ac:dyDescent="0.2">
      <c r="A109" s="104"/>
      <c r="B109" s="104"/>
      <c r="C109" s="104"/>
      <c r="D109" s="104"/>
    </row>
    <row r="110" spans="1:8" ht="15.75" x14ac:dyDescent="0.25">
      <c r="A110" s="60" t="s">
        <v>1164</v>
      </c>
      <c r="B110" s="162" t="str">
        <f>IF(AROW!B110&lt;&gt;0,AROW!B110,"")</f>
        <v>Select</v>
      </c>
      <c r="C110" s="163"/>
      <c r="D110" s="164"/>
      <c r="F110" s="16"/>
    </row>
    <row r="111" spans="1:8" ht="15.75" x14ac:dyDescent="0.25">
      <c r="A111" s="61" t="s">
        <v>86</v>
      </c>
      <c r="B111" s="56" t="str">
        <f>IF(AROW!B111&lt;&gt;0,AROW!B111,"")</f>
        <v/>
      </c>
      <c r="C111" s="82" t="s">
        <v>968</v>
      </c>
      <c r="D111" s="12">
        <f>IFERROR(INDEX(Data_Sheet[Lead Time Total], MATCH('AROW - COR'!$B$110, Data_Sheet[Concatenate C+D],0)),"")</f>
        <v>0</v>
      </c>
      <c r="F111" s="16"/>
    </row>
    <row r="112" spans="1:8" s="7" customFormat="1" ht="15.75" x14ac:dyDescent="0.25">
      <c r="A112" s="18" t="s">
        <v>963</v>
      </c>
      <c r="B112" s="93" t="str">
        <f>IF(AROW!B112&lt;&gt;0,AROW!B112,"")</f>
        <v>MM/DD/YYYY</v>
      </c>
      <c r="C112" s="62" t="s">
        <v>85</v>
      </c>
      <c r="D112" s="52">
        <v>0</v>
      </c>
      <c r="F112" s="16"/>
      <c r="G112" s="1"/>
      <c r="H112" s="1"/>
    </row>
    <row r="113" spans="1:8" s="7" customFormat="1" ht="15.75" x14ac:dyDescent="0.25">
      <c r="A113" s="90" t="s">
        <v>9</v>
      </c>
      <c r="B113" s="51" t="s">
        <v>142</v>
      </c>
      <c r="C113" s="62" t="s">
        <v>152</v>
      </c>
      <c r="D113" s="85" t="str">
        <f>B111</f>
        <v/>
      </c>
      <c r="F113" s="16"/>
      <c r="G113" s="1"/>
      <c r="H113" s="1"/>
    </row>
    <row r="114" spans="1:8" s="7" customFormat="1" ht="15.75" x14ac:dyDescent="0.25">
      <c r="A114" s="90" t="s">
        <v>9</v>
      </c>
      <c r="B114" s="51" t="s">
        <v>142</v>
      </c>
      <c r="C114" s="62" t="s">
        <v>152</v>
      </c>
      <c r="D114" s="50"/>
      <c r="E114" s="7">
        <v>6</v>
      </c>
      <c r="F114" s="16">
        <f>IF($D$46="", "", D170)</f>
        <v>0</v>
      </c>
      <c r="G114" s="1" t="str">
        <f>IFERROR(_xlfn.DAYS(F114,#REF!)&gt;D171,"")</f>
        <v/>
      </c>
      <c r="H114" s="1"/>
    </row>
    <row r="115" spans="1:8" s="8" customFormat="1" ht="8.25" customHeight="1" x14ac:dyDescent="0.2">
      <c r="A115" s="104"/>
      <c r="B115" s="104"/>
      <c r="C115" s="104"/>
      <c r="D115" s="104"/>
    </row>
    <row r="116" spans="1:8" ht="15.75" x14ac:dyDescent="0.25">
      <c r="A116" s="60" t="s">
        <v>1165</v>
      </c>
      <c r="B116" s="162" t="str">
        <f>IF(AROW!B116&lt;&gt;0,AROW!B116,"")</f>
        <v>Select</v>
      </c>
      <c r="C116" s="163"/>
      <c r="D116" s="164"/>
      <c r="F116" s="16"/>
    </row>
    <row r="117" spans="1:8" ht="15.75" x14ac:dyDescent="0.25">
      <c r="A117" s="61" t="s">
        <v>86</v>
      </c>
      <c r="B117" s="56" t="str">
        <f>IF(AROW!B117&lt;&gt;0,AROW!B117,"")</f>
        <v/>
      </c>
      <c r="C117" s="82" t="s">
        <v>968</v>
      </c>
      <c r="D117" s="12">
        <f>IFERROR(INDEX(Data_Sheet[Lead Time Total], MATCH('AROW - COR'!$B$74, Data_Sheet[Concatenate C+D],0)),"")</f>
        <v>0</v>
      </c>
      <c r="F117" s="16"/>
    </row>
    <row r="118" spans="1:8" s="7" customFormat="1" ht="15.75" x14ac:dyDescent="0.25">
      <c r="A118" s="18" t="s">
        <v>963</v>
      </c>
      <c r="B118" s="93" t="str">
        <f>IF(AROW!B118&lt;&gt;0,AROW!B118,"")</f>
        <v>MM/DD/YYYY</v>
      </c>
      <c r="C118" s="62" t="s">
        <v>85</v>
      </c>
      <c r="D118" s="52">
        <v>0</v>
      </c>
      <c r="F118" s="16"/>
      <c r="G118" s="1"/>
      <c r="H118" s="1"/>
    </row>
    <row r="119" spans="1:8" s="7" customFormat="1" ht="15.75" x14ac:dyDescent="0.25">
      <c r="A119" s="90" t="s">
        <v>9</v>
      </c>
      <c r="B119" s="51" t="s">
        <v>142</v>
      </c>
      <c r="C119" s="62" t="s">
        <v>152</v>
      </c>
      <c r="D119" s="85" t="str">
        <f>B117</f>
        <v/>
      </c>
      <c r="F119" s="16"/>
      <c r="G119" s="1"/>
      <c r="H119" s="1"/>
    </row>
    <row r="120" spans="1:8" s="7" customFormat="1" ht="15.75" x14ac:dyDescent="0.25">
      <c r="A120" s="90" t="s">
        <v>9</v>
      </c>
      <c r="B120" s="51" t="s">
        <v>142</v>
      </c>
      <c r="C120" s="62" t="s">
        <v>152</v>
      </c>
      <c r="D120" s="50"/>
      <c r="E120" s="7">
        <v>6</v>
      </c>
      <c r="F120" s="16">
        <f>IF($D$46="", "", D177)</f>
        <v>0</v>
      </c>
      <c r="G120" s="1" t="str">
        <f>IFERROR(_xlfn.DAYS(F120,#REF!)&gt;D178,"")</f>
        <v/>
      </c>
      <c r="H120" s="1"/>
    </row>
    <row r="121" spans="1:8" s="8" customFormat="1" ht="8.25" customHeight="1" x14ac:dyDescent="0.2">
      <c r="A121" s="104"/>
      <c r="B121" s="104"/>
      <c r="C121" s="104"/>
      <c r="D121" s="104"/>
    </row>
    <row r="122" spans="1:8" ht="15.75" x14ac:dyDescent="0.25">
      <c r="A122" s="60" t="s">
        <v>1079</v>
      </c>
      <c r="B122" s="162" t="str">
        <f>IF(AROW!B122&lt;&gt;0,AROW!B122,"")</f>
        <v>Select</v>
      </c>
      <c r="C122" s="163"/>
      <c r="D122" s="164"/>
      <c r="F122" s="16"/>
    </row>
    <row r="123" spans="1:8" ht="15.75" x14ac:dyDescent="0.25">
      <c r="A123" s="61" t="s">
        <v>86</v>
      </c>
      <c r="B123" s="56" t="str">
        <f>IF(AROW!B123&lt;&gt;0,AROW!B123,"")</f>
        <v/>
      </c>
      <c r="C123" s="82" t="s">
        <v>1080</v>
      </c>
      <c r="D123" s="12">
        <f>IFERROR(INDEX(Data_Sheet[Lead Time Total], MATCH('AROW - COR'!$B$74, Data_Sheet[Concatenate C+D],0)),"")</f>
        <v>0</v>
      </c>
      <c r="F123" s="16"/>
    </row>
    <row r="124" spans="1:8" s="7" customFormat="1" ht="15.75" x14ac:dyDescent="0.25">
      <c r="A124" s="18" t="s">
        <v>963</v>
      </c>
      <c r="B124" s="57" t="str">
        <f>IF(AROW!B124&lt;&gt;0,AROW!B124,"")</f>
        <v>MM/DD/YYYY</v>
      </c>
      <c r="C124" s="62" t="s">
        <v>85</v>
      </c>
      <c r="D124" s="52">
        <v>0</v>
      </c>
      <c r="F124" s="16"/>
      <c r="G124" s="1"/>
      <c r="H124" s="1"/>
    </row>
    <row r="125" spans="1:8" s="7" customFormat="1" ht="15.75" x14ac:dyDescent="0.25">
      <c r="A125" s="90" t="s">
        <v>9</v>
      </c>
      <c r="B125" s="51" t="s">
        <v>142</v>
      </c>
      <c r="C125" s="62" t="s">
        <v>152</v>
      </c>
      <c r="D125" s="50"/>
      <c r="F125" s="16"/>
      <c r="G125" s="1"/>
      <c r="H125" s="1"/>
    </row>
    <row r="126" spans="1:8" s="7" customFormat="1" ht="15.75" x14ac:dyDescent="0.25">
      <c r="A126" s="90" t="s">
        <v>9</v>
      </c>
      <c r="B126" s="51" t="s">
        <v>142</v>
      </c>
      <c r="C126" s="62" t="s">
        <v>152</v>
      </c>
      <c r="D126" s="50"/>
      <c r="E126" s="7">
        <v>6</v>
      </c>
      <c r="F126" s="16">
        <f>IF($D$46="", "", D184)</f>
        <v>0</v>
      </c>
      <c r="G126" s="1" t="str">
        <f>IFERROR(_xlfn.DAYS(F126,#REF!)&gt;D185,"")</f>
        <v/>
      </c>
      <c r="H126" s="1"/>
    </row>
    <row r="127" spans="1:8" s="8" customFormat="1" ht="8.25" customHeight="1" x14ac:dyDescent="0.2">
      <c r="A127" s="104"/>
      <c r="B127" s="104"/>
      <c r="C127" s="104"/>
      <c r="D127" s="104"/>
    </row>
    <row r="128" spans="1:8" ht="15.75" x14ac:dyDescent="0.25">
      <c r="A128" s="60" t="s">
        <v>1081</v>
      </c>
      <c r="B128" s="162" t="str">
        <f>IF(AROW!B128&lt;&gt;0,AROW!B128,"")</f>
        <v>Select</v>
      </c>
      <c r="C128" s="163"/>
      <c r="D128" s="164"/>
      <c r="F128" s="16"/>
    </row>
    <row r="129" spans="1:16380" ht="15.75" x14ac:dyDescent="0.25">
      <c r="A129" s="61" t="s">
        <v>86</v>
      </c>
      <c r="B129" s="56" t="str">
        <f>IF(AROW!B129&lt;&gt;0,AROW!B129,"")</f>
        <v/>
      </c>
      <c r="C129" s="82" t="s">
        <v>968</v>
      </c>
      <c r="D129" s="12">
        <f>IFERROR(INDEX(Data_Sheet[Lead Time Total], MATCH('AROW - COR'!$B$74, Data_Sheet[Concatenate C+D],0)),"")</f>
        <v>0</v>
      </c>
      <c r="F129" s="16"/>
    </row>
    <row r="130" spans="1:16380" s="7" customFormat="1" ht="15.75" x14ac:dyDescent="0.25">
      <c r="A130" s="18" t="s">
        <v>963</v>
      </c>
      <c r="B130" s="57" t="str">
        <f>IF(AROW!B130&lt;&gt;0,AROW!B130,"")</f>
        <v>MM/DD/YYYY</v>
      </c>
      <c r="C130" s="62" t="s">
        <v>85</v>
      </c>
      <c r="D130" s="52">
        <v>0</v>
      </c>
      <c r="F130" s="16"/>
      <c r="G130" s="1"/>
      <c r="H130" s="1"/>
    </row>
    <row r="131" spans="1:16380" s="7" customFormat="1" ht="15.75" x14ac:dyDescent="0.25">
      <c r="A131" s="90" t="s">
        <v>9</v>
      </c>
      <c r="B131" s="51" t="s">
        <v>142</v>
      </c>
      <c r="C131" s="62" t="s">
        <v>152</v>
      </c>
      <c r="D131" s="50"/>
      <c r="F131" s="16"/>
      <c r="G131" s="1"/>
      <c r="H131" s="1"/>
    </row>
    <row r="132" spans="1:16380" s="7" customFormat="1" ht="15.75" x14ac:dyDescent="0.25">
      <c r="A132" s="90" t="s">
        <v>9</v>
      </c>
      <c r="B132" s="51" t="s">
        <v>142</v>
      </c>
      <c r="C132" s="62" t="s">
        <v>152</v>
      </c>
      <c r="D132" s="50"/>
      <c r="E132" s="7">
        <v>6</v>
      </c>
      <c r="F132" s="16">
        <f>IF($D$46="", "", D191)</f>
        <v>0</v>
      </c>
      <c r="G132" s="1" t="str">
        <f>IFERROR(_xlfn.DAYS(F132,#REF!)&gt;D192,"")</f>
        <v/>
      </c>
      <c r="H132" s="1"/>
    </row>
    <row r="133" spans="1:16380" s="8" customFormat="1" ht="8.25" customHeight="1" x14ac:dyDescent="0.2">
      <c r="A133" s="104"/>
      <c r="B133" s="104"/>
      <c r="C133" s="104"/>
      <c r="D133" s="104"/>
    </row>
    <row r="134" spans="1:16380" ht="15.75" x14ac:dyDescent="0.25">
      <c r="A134" s="60" t="s">
        <v>1082</v>
      </c>
      <c r="B134" s="162" t="str">
        <f>IF(AROW!B134&lt;&gt;0,AROW!B134,"")</f>
        <v>Select</v>
      </c>
      <c r="C134" s="163"/>
      <c r="D134" s="164"/>
      <c r="F134" s="16"/>
    </row>
    <row r="135" spans="1:16380" ht="15.75" x14ac:dyDescent="0.25">
      <c r="A135" s="61" t="s">
        <v>86</v>
      </c>
      <c r="B135" s="56" t="str">
        <f>IF(AROW!B135&lt;&gt;0,AROW!B135,"")</f>
        <v/>
      </c>
      <c r="C135" s="82" t="s">
        <v>968</v>
      </c>
      <c r="D135" s="12">
        <f>IFERROR(INDEX(Data_Sheet[Lead Time Total], MATCH('AROW - COR'!$B$74, Data_Sheet[Concatenate C+D],0)),"")</f>
        <v>0</v>
      </c>
      <c r="F135" s="16"/>
    </row>
    <row r="136" spans="1:16380" s="7" customFormat="1" ht="15.75" x14ac:dyDescent="0.25">
      <c r="A136" s="18" t="s">
        <v>963</v>
      </c>
      <c r="B136" s="57" t="str">
        <f>IF(AROW!B136&lt;&gt;0,AROW!B136,"")</f>
        <v>MM/DD/YYYY</v>
      </c>
      <c r="C136" s="62" t="s">
        <v>85</v>
      </c>
      <c r="D136" s="52">
        <v>0</v>
      </c>
      <c r="F136" s="16"/>
      <c r="G136" s="1"/>
      <c r="H136" s="1"/>
    </row>
    <row r="137" spans="1:16380" s="7" customFormat="1" ht="17.100000000000001" customHeight="1" x14ac:dyDescent="0.25">
      <c r="A137" s="90" t="s">
        <v>9</v>
      </c>
      <c r="B137" s="51" t="s">
        <v>142</v>
      </c>
      <c r="C137" s="62" t="s">
        <v>152</v>
      </c>
      <c r="D137" s="50"/>
      <c r="F137" s="16"/>
      <c r="G137" s="1"/>
      <c r="H137" s="1"/>
    </row>
    <row r="138" spans="1:16380" s="7" customFormat="1" ht="17.45" customHeight="1" x14ac:dyDescent="0.25">
      <c r="A138" s="90" t="s">
        <v>9</v>
      </c>
      <c r="B138" s="51" t="s">
        <v>142</v>
      </c>
      <c r="C138" s="62" t="s">
        <v>152</v>
      </c>
      <c r="D138" s="50"/>
      <c r="E138" s="7">
        <v>6</v>
      </c>
      <c r="F138" s="16">
        <f>IF($D$46="", "", D198)</f>
        <v>0</v>
      </c>
      <c r="G138" s="1" t="str">
        <f>IFERROR(_xlfn.DAYS(F138,#REF!)&gt;D199,"")</f>
        <v/>
      </c>
      <c r="H138" s="1"/>
    </row>
    <row r="139" spans="1:16380" s="75" customFormat="1" ht="22.5" customHeight="1" x14ac:dyDescent="0.2">
      <c r="A139" s="165" t="s">
        <v>2</v>
      </c>
      <c r="B139" s="165"/>
      <c r="C139" s="165"/>
      <c r="D139" s="165"/>
    </row>
    <row r="140" spans="1:16380" ht="87" customHeight="1" x14ac:dyDescent="0.2">
      <c r="A140" s="159">
        <f>AROW!A140</f>
        <v>0</v>
      </c>
      <c r="B140" s="160"/>
      <c r="C140" s="160"/>
      <c r="D140" s="161"/>
    </row>
    <row r="141" spans="1:16380" ht="22.5" customHeight="1" x14ac:dyDescent="0.2">
      <c r="A141" s="104" t="s">
        <v>178</v>
      </c>
      <c r="B141" s="104"/>
      <c r="C141" s="104"/>
      <c r="D141" s="104"/>
    </row>
    <row r="142" spans="1:16380" ht="33" customHeight="1" x14ac:dyDescent="0.25">
      <c r="A142" s="53" t="s">
        <v>1083</v>
      </c>
      <c r="B142" s="10"/>
      <c r="C142" s="65" t="s">
        <v>83</v>
      </c>
      <c r="D142" s="13"/>
      <c r="E142" s="105"/>
      <c r="F142" s="105"/>
      <c r="G142" s="105"/>
      <c r="H142" s="106"/>
      <c r="I142" s="107" t="s">
        <v>1</v>
      </c>
      <c r="J142" s="108"/>
      <c r="K142" s="108"/>
      <c r="L142" s="109"/>
      <c r="M142" s="107" t="s">
        <v>1</v>
      </c>
      <c r="N142" s="108"/>
      <c r="O142" s="108"/>
      <c r="P142" s="109"/>
      <c r="Q142" s="107" t="s">
        <v>1</v>
      </c>
      <c r="R142" s="108"/>
      <c r="S142" s="108"/>
      <c r="T142" s="109"/>
      <c r="U142" s="107" t="s">
        <v>1</v>
      </c>
      <c r="V142" s="108"/>
      <c r="W142" s="108"/>
      <c r="X142" s="109"/>
      <c r="Y142" s="107" t="s">
        <v>1</v>
      </c>
      <c r="Z142" s="108"/>
      <c r="AA142" s="108"/>
      <c r="AB142" s="109"/>
      <c r="AC142" s="107" t="s">
        <v>1</v>
      </c>
      <c r="AD142" s="108"/>
      <c r="AE142" s="108"/>
      <c r="AF142" s="109"/>
      <c r="AG142" s="107" t="s">
        <v>1</v>
      </c>
      <c r="AH142" s="108"/>
      <c r="AI142" s="108"/>
      <c r="AJ142" s="109"/>
      <c r="AK142" s="107" t="s">
        <v>1</v>
      </c>
      <c r="AL142" s="108"/>
      <c r="AM142" s="108"/>
      <c r="AN142" s="109"/>
      <c r="AO142" s="107" t="s">
        <v>1</v>
      </c>
      <c r="AP142" s="108"/>
      <c r="AQ142" s="108"/>
      <c r="AR142" s="109"/>
      <c r="AS142" s="107" t="s">
        <v>1</v>
      </c>
      <c r="AT142" s="108"/>
      <c r="AU142" s="108"/>
      <c r="AV142" s="109"/>
      <c r="AW142" s="107" t="s">
        <v>1</v>
      </c>
      <c r="AX142" s="108"/>
      <c r="AY142" s="108"/>
      <c r="AZ142" s="109"/>
      <c r="BA142" s="107" t="s">
        <v>1</v>
      </c>
      <c r="BB142" s="108"/>
      <c r="BC142" s="108"/>
      <c r="BD142" s="109"/>
      <c r="BE142" s="107" t="s">
        <v>1</v>
      </c>
      <c r="BF142" s="108"/>
      <c r="BG142" s="108"/>
      <c r="BH142" s="109"/>
      <c r="BI142" s="107" t="s">
        <v>1</v>
      </c>
      <c r="BJ142" s="108"/>
      <c r="BK142" s="108"/>
      <c r="BL142" s="109"/>
      <c r="BM142" s="107" t="s">
        <v>1</v>
      </c>
      <c r="BN142" s="108"/>
      <c r="BO142" s="108"/>
      <c r="BP142" s="109"/>
      <c r="BQ142" s="107" t="s">
        <v>1</v>
      </c>
      <c r="BR142" s="108"/>
      <c r="BS142" s="108"/>
      <c r="BT142" s="109"/>
      <c r="BU142" s="107" t="s">
        <v>1</v>
      </c>
      <c r="BV142" s="108"/>
      <c r="BW142" s="108"/>
      <c r="BX142" s="109"/>
      <c r="BY142" s="107" t="s">
        <v>1</v>
      </c>
      <c r="BZ142" s="108"/>
      <c r="CA142" s="108"/>
      <c r="CB142" s="109"/>
      <c r="CC142" s="107" t="s">
        <v>1</v>
      </c>
      <c r="CD142" s="108"/>
      <c r="CE142" s="108"/>
      <c r="CF142" s="109"/>
      <c r="CG142" s="107" t="s">
        <v>1</v>
      </c>
      <c r="CH142" s="108"/>
      <c r="CI142" s="108"/>
      <c r="CJ142" s="109"/>
      <c r="CK142" s="107" t="s">
        <v>1</v>
      </c>
      <c r="CL142" s="108"/>
      <c r="CM142" s="108"/>
      <c r="CN142" s="109"/>
      <c r="CO142" s="107" t="s">
        <v>1</v>
      </c>
      <c r="CP142" s="108"/>
      <c r="CQ142" s="108"/>
      <c r="CR142" s="109"/>
      <c r="CS142" s="107" t="s">
        <v>1</v>
      </c>
      <c r="CT142" s="108"/>
      <c r="CU142" s="108"/>
      <c r="CV142" s="109"/>
      <c r="CW142" s="107" t="s">
        <v>1</v>
      </c>
      <c r="CX142" s="108"/>
      <c r="CY142" s="108"/>
      <c r="CZ142" s="109"/>
      <c r="DA142" s="107" t="s">
        <v>1</v>
      </c>
      <c r="DB142" s="108"/>
      <c r="DC142" s="108"/>
      <c r="DD142" s="109"/>
      <c r="DE142" s="107" t="s">
        <v>1</v>
      </c>
      <c r="DF142" s="108"/>
      <c r="DG142" s="108"/>
      <c r="DH142" s="109"/>
      <c r="DI142" s="107" t="s">
        <v>1</v>
      </c>
      <c r="DJ142" s="108"/>
      <c r="DK142" s="108"/>
      <c r="DL142" s="109"/>
      <c r="DM142" s="107" t="s">
        <v>1</v>
      </c>
      <c r="DN142" s="108"/>
      <c r="DO142" s="108"/>
      <c r="DP142" s="109"/>
      <c r="DQ142" s="107" t="s">
        <v>1</v>
      </c>
      <c r="DR142" s="108"/>
      <c r="DS142" s="108"/>
      <c r="DT142" s="109"/>
      <c r="DU142" s="107" t="s">
        <v>1</v>
      </c>
      <c r="DV142" s="108"/>
      <c r="DW142" s="108"/>
      <c r="DX142" s="109"/>
      <c r="DY142" s="107" t="s">
        <v>1</v>
      </c>
      <c r="DZ142" s="108"/>
      <c r="EA142" s="108"/>
      <c r="EB142" s="109"/>
      <c r="EC142" s="107" t="s">
        <v>1</v>
      </c>
      <c r="ED142" s="108"/>
      <c r="EE142" s="108"/>
      <c r="EF142" s="109"/>
      <c r="EG142" s="107" t="s">
        <v>1</v>
      </c>
      <c r="EH142" s="108"/>
      <c r="EI142" s="108"/>
      <c r="EJ142" s="109"/>
      <c r="EK142" s="107" t="s">
        <v>1</v>
      </c>
      <c r="EL142" s="108"/>
      <c r="EM142" s="108"/>
      <c r="EN142" s="109"/>
      <c r="EO142" s="107" t="s">
        <v>1</v>
      </c>
      <c r="EP142" s="108"/>
      <c r="EQ142" s="108"/>
      <c r="ER142" s="109"/>
      <c r="ES142" s="107" t="s">
        <v>1</v>
      </c>
      <c r="ET142" s="108"/>
      <c r="EU142" s="108"/>
      <c r="EV142" s="109"/>
      <c r="EW142" s="107" t="s">
        <v>1</v>
      </c>
      <c r="EX142" s="108"/>
      <c r="EY142" s="108"/>
      <c r="EZ142" s="109"/>
      <c r="FA142" s="107" t="s">
        <v>1</v>
      </c>
      <c r="FB142" s="108"/>
      <c r="FC142" s="108"/>
      <c r="FD142" s="109"/>
      <c r="FE142" s="107" t="s">
        <v>1</v>
      </c>
      <c r="FF142" s="108"/>
      <c r="FG142" s="108"/>
      <c r="FH142" s="109"/>
      <c r="FI142" s="107" t="s">
        <v>1</v>
      </c>
      <c r="FJ142" s="108"/>
      <c r="FK142" s="108"/>
      <c r="FL142" s="109"/>
      <c r="FM142" s="107" t="s">
        <v>1</v>
      </c>
      <c r="FN142" s="108"/>
      <c r="FO142" s="108"/>
      <c r="FP142" s="109"/>
      <c r="FQ142" s="107" t="s">
        <v>1</v>
      </c>
      <c r="FR142" s="108"/>
      <c r="FS142" s="108"/>
      <c r="FT142" s="109"/>
      <c r="FU142" s="107" t="s">
        <v>1</v>
      </c>
      <c r="FV142" s="108"/>
      <c r="FW142" s="108"/>
      <c r="FX142" s="109"/>
      <c r="FY142" s="107" t="s">
        <v>1</v>
      </c>
      <c r="FZ142" s="108"/>
      <c r="GA142" s="108"/>
      <c r="GB142" s="109"/>
      <c r="GC142" s="107" t="s">
        <v>1</v>
      </c>
      <c r="GD142" s="108"/>
      <c r="GE142" s="108"/>
      <c r="GF142" s="109"/>
      <c r="GG142" s="107" t="s">
        <v>1</v>
      </c>
      <c r="GH142" s="108"/>
      <c r="GI142" s="108"/>
      <c r="GJ142" s="109"/>
      <c r="GK142" s="107" t="s">
        <v>1</v>
      </c>
      <c r="GL142" s="108"/>
      <c r="GM142" s="108"/>
      <c r="GN142" s="109"/>
      <c r="GO142" s="107" t="s">
        <v>1</v>
      </c>
      <c r="GP142" s="108"/>
      <c r="GQ142" s="108"/>
      <c r="GR142" s="109"/>
      <c r="GS142" s="107" t="s">
        <v>1</v>
      </c>
      <c r="GT142" s="108"/>
      <c r="GU142" s="108"/>
      <c r="GV142" s="109"/>
      <c r="GW142" s="107" t="s">
        <v>1</v>
      </c>
      <c r="GX142" s="108"/>
      <c r="GY142" s="108"/>
      <c r="GZ142" s="109"/>
      <c r="HA142" s="107" t="s">
        <v>1</v>
      </c>
      <c r="HB142" s="108"/>
      <c r="HC142" s="108"/>
      <c r="HD142" s="109"/>
      <c r="HE142" s="107" t="s">
        <v>1</v>
      </c>
      <c r="HF142" s="108"/>
      <c r="HG142" s="108"/>
      <c r="HH142" s="109"/>
      <c r="HI142" s="107" t="s">
        <v>1</v>
      </c>
      <c r="HJ142" s="108"/>
      <c r="HK142" s="108"/>
      <c r="HL142" s="109"/>
      <c r="HM142" s="107" t="s">
        <v>1</v>
      </c>
      <c r="HN142" s="108"/>
      <c r="HO142" s="108"/>
      <c r="HP142" s="109"/>
      <c r="HQ142" s="107" t="s">
        <v>1</v>
      </c>
      <c r="HR142" s="108"/>
      <c r="HS142" s="108"/>
      <c r="HT142" s="109"/>
      <c r="HU142" s="107" t="s">
        <v>1</v>
      </c>
      <c r="HV142" s="108"/>
      <c r="HW142" s="108"/>
      <c r="HX142" s="109"/>
      <c r="HY142" s="107" t="s">
        <v>1</v>
      </c>
      <c r="HZ142" s="108"/>
      <c r="IA142" s="108"/>
      <c r="IB142" s="109"/>
      <c r="IC142" s="107" t="s">
        <v>1</v>
      </c>
      <c r="ID142" s="108"/>
      <c r="IE142" s="108"/>
      <c r="IF142" s="109"/>
      <c r="IG142" s="107" t="s">
        <v>1</v>
      </c>
      <c r="IH142" s="108"/>
      <c r="II142" s="108"/>
      <c r="IJ142" s="109"/>
      <c r="IK142" s="107" t="s">
        <v>1</v>
      </c>
      <c r="IL142" s="108"/>
      <c r="IM142" s="108"/>
      <c r="IN142" s="109"/>
      <c r="IO142" s="107" t="s">
        <v>1</v>
      </c>
      <c r="IP142" s="108"/>
      <c r="IQ142" s="108"/>
      <c r="IR142" s="109"/>
      <c r="IS142" s="107" t="s">
        <v>1</v>
      </c>
      <c r="IT142" s="108"/>
      <c r="IU142" s="108"/>
      <c r="IV142" s="109"/>
      <c r="IW142" s="107" t="s">
        <v>1</v>
      </c>
      <c r="IX142" s="108"/>
      <c r="IY142" s="108"/>
      <c r="IZ142" s="109"/>
      <c r="JA142" s="107" t="s">
        <v>1</v>
      </c>
      <c r="JB142" s="108"/>
      <c r="JC142" s="108"/>
      <c r="JD142" s="109"/>
      <c r="JE142" s="107" t="s">
        <v>1</v>
      </c>
      <c r="JF142" s="108"/>
      <c r="JG142" s="108"/>
      <c r="JH142" s="109"/>
      <c r="JI142" s="107" t="s">
        <v>1</v>
      </c>
      <c r="JJ142" s="108"/>
      <c r="JK142" s="108"/>
      <c r="JL142" s="109"/>
      <c r="JM142" s="107" t="s">
        <v>1</v>
      </c>
      <c r="JN142" s="108"/>
      <c r="JO142" s="108"/>
      <c r="JP142" s="109"/>
      <c r="JQ142" s="107" t="s">
        <v>1</v>
      </c>
      <c r="JR142" s="108"/>
      <c r="JS142" s="108"/>
      <c r="JT142" s="109"/>
      <c r="JU142" s="107" t="s">
        <v>1</v>
      </c>
      <c r="JV142" s="108"/>
      <c r="JW142" s="108"/>
      <c r="JX142" s="109"/>
      <c r="JY142" s="107" t="s">
        <v>1</v>
      </c>
      <c r="JZ142" s="108"/>
      <c r="KA142" s="108"/>
      <c r="KB142" s="109"/>
      <c r="KC142" s="107" t="s">
        <v>1</v>
      </c>
      <c r="KD142" s="108"/>
      <c r="KE142" s="108"/>
      <c r="KF142" s="109"/>
      <c r="KG142" s="107" t="s">
        <v>1</v>
      </c>
      <c r="KH142" s="108"/>
      <c r="KI142" s="108"/>
      <c r="KJ142" s="109"/>
      <c r="KK142" s="107" t="s">
        <v>1</v>
      </c>
      <c r="KL142" s="108"/>
      <c r="KM142" s="108"/>
      <c r="KN142" s="109"/>
      <c r="KO142" s="107" t="s">
        <v>1</v>
      </c>
      <c r="KP142" s="108"/>
      <c r="KQ142" s="108"/>
      <c r="KR142" s="109"/>
      <c r="KS142" s="107" t="s">
        <v>1</v>
      </c>
      <c r="KT142" s="108"/>
      <c r="KU142" s="108"/>
      <c r="KV142" s="109"/>
      <c r="KW142" s="107" t="s">
        <v>1</v>
      </c>
      <c r="KX142" s="108"/>
      <c r="KY142" s="108"/>
      <c r="KZ142" s="109"/>
      <c r="LA142" s="107" t="s">
        <v>1</v>
      </c>
      <c r="LB142" s="108"/>
      <c r="LC142" s="108"/>
      <c r="LD142" s="109"/>
      <c r="LE142" s="107" t="s">
        <v>1</v>
      </c>
      <c r="LF142" s="108"/>
      <c r="LG142" s="108"/>
      <c r="LH142" s="109"/>
      <c r="LI142" s="107" t="s">
        <v>1</v>
      </c>
      <c r="LJ142" s="108"/>
      <c r="LK142" s="108"/>
      <c r="LL142" s="109"/>
      <c r="LM142" s="107" t="s">
        <v>1</v>
      </c>
      <c r="LN142" s="108"/>
      <c r="LO142" s="108"/>
      <c r="LP142" s="109"/>
      <c r="LQ142" s="107" t="s">
        <v>1</v>
      </c>
      <c r="LR142" s="108"/>
      <c r="LS142" s="108"/>
      <c r="LT142" s="109"/>
      <c r="LU142" s="107" t="s">
        <v>1</v>
      </c>
      <c r="LV142" s="108"/>
      <c r="LW142" s="108"/>
      <c r="LX142" s="109"/>
      <c r="LY142" s="107" t="s">
        <v>1</v>
      </c>
      <c r="LZ142" s="108"/>
      <c r="MA142" s="108"/>
      <c r="MB142" s="109"/>
      <c r="MC142" s="107" t="s">
        <v>1</v>
      </c>
      <c r="MD142" s="108"/>
      <c r="ME142" s="108"/>
      <c r="MF142" s="109"/>
      <c r="MG142" s="107" t="s">
        <v>1</v>
      </c>
      <c r="MH142" s="108"/>
      <c r="MI142" s="108"/>
      <c r="MJ142" s="109"/>
      <c r="MK142" s="107" t="s">
        <v>1</v>
      </c>
      <c r="ML142" s="108"/>
      <c r="MM142" s="108"/>
      <c r="MN142" s="109"/>
      <c r="MO142" s="107" t="s">
        <v>1</v>
      </c>
      <c r="MP142" s="108"/>
      <c r="MQ142" s="108"/>
      <c r="MR142" s="109"/>
      <c r="MS142" s="107" t="s">
        <v>1</v>
      </c>
      <c r="MT142" s="108"/>
      <c r="MU142" s="108"/>
      <c r="MV142" s="109"/>
      <c r="MW142" s="107" t="s">
        <v>1</v>
      </c>
      <c r="MX142" s="108"/>
      <c r="MY142" s="108"/>
      <c r="MZ142" s="109"/>
      <c r="NA142" s="107" t="s">
        <v>1</v>
      </c>
      <c r="NB142" s="108"/>
      <c r="NC142" s="108"/>
      <c r="ND142" s="109"/>
      <c r="NE142" s="107" t="s">
        <v>1</v>
      </c>
      <c r="NF142" s="108"/>
      <c r="NG142" s="108"/>
      <c r="NH142" s="109"/>
      <c r="NI142" s="107" t="s">
        <v>1</v>
      </c>
      <c r="NJ142" s="108"/>
      <c r="NK142" s="108"/>
      <c r="NL142" s="109"/>
      <c r="NM142" s="107" t="s">
        <v>1</v>
      </c>
      <c r="NN142" s="108"/>
      <c r="NO142" s="108"/>
      <c r="NP142" s="109"/>
      <c r="NQ142" s="107" t="s">
        <v>1</v>
      </c>
      <c r="NR142" s="108"/>
      <c r="NS142" s="108"/>
      <c r="NT142" s="109"/>
      <c r="NU142" s="107" t="s">
        <v>1</v>
      </c>
      <c r="NV142" s="108"/>
      <c r="NW142" s="108"/>
      <c r="NX142" s="109"/>
      <c r="NY142" s="107" t="s">
        <v>1</v>
      </c>
      <c r="NZ142" s="108"/>
      <c r="OA142" s="108"/>
      <c r="OB142" s="109"/>
      <c r="OC142" s="107" t="s">
        <v>1</v>
      </c>
      <c r="OD142" s="108"/>
      <c r="OE142" s="108"/>
      <c r="OF142" s="109"/>
      <c r="OG142" s="107" t="s">
        <v>1</v>
      </c>
      <c r="OH142" s="108"/>
      <c r="OI142" s="108"/>
      <c r="OJ142" s="109"/>
      <c r="OK142" s="107" t="s">
        <v>1</v>
      </c>
      <c r="OL142" s="108"/>
      <c r="OM142" s="108"/>
      <c r="ON142" s="109"/>
      <c r="OO142" s="107" t="s">
        <v>1</v>
      </c>
      <c r="OP142" s="108"/>
      <c r="OQ142" s="108"/>
      <c r="OR142" s="109"/>
      <c r="OS142" s="107" t="s">
        <v>1</v>
      </c>
      <c r="OT142" s="108"/>
      <c r="OU142" s="108"/>
      <c r="OV142" s="109"/>
      <c r="OW142" s="107" t="s">
        <v>1</v>
      </c>
      <c r="OX142" s="108"/>
      <c r="OY142" s="108"/>
      <c r="OZ142" s="109"/>
      <c r="PA142" s="107" t="s">
        <v>1</v>
      </c>
      <c r="PB142" s="108"/>
      <c r="PC142" s="108"/>
      <c r="PD142" s="109"/>
      <c r="PE142" s="107" t="s">
        <v>1</v>
      </c>
      <c r="PF142" s="108"/>
      <c r="PG142" s="108"/>
      <c r="PH142" s="109"/>
      <c r="PI142" s="107" t="s">
        <v>1</v>
      </c>
      <c r="PJ142" s="108"/>
      <c r="PK142" s="108"/>
      <c r="PL142" s="109"/>
      <c r="PM142" s="107" t="s">
        <v>1</v>
      </c>
      <c r="PN142" s="108"/>
      <c r="PO142" s="108"/>
      <c r="PP142" s="109"/>
      <c r="PQ142" s="107" t="s">
        <v>1</v>
      </c>
      <c r="PR142" s="108"/>
      <c r="PS142" s="108"/>
      <c r="PT142" s="109"/>
      <c r="PU142" s="107" t="s">
        <v>1</v>
      </c>
      <c r="PV142" s="108"/>
      <c r="PW142" s="108"/>
      <c r="PX142" s="109"/>
      <c r="PY142" s="107" t="s">
        <v>1</v>
      </c>
      <c r="PZ142" s="108"/>
      <c r="QA142" s="108"/>
      <c r="QB142" s="109"/>
      <c r="QC142" s="107" t="s">
        <v>1</v>
      </c>
      <c r="QD142" s="108"/>
      <c r="QE142" s="108"/>
      <c r="QF142" s="109"/>
      <c r="QG142" s="107" t="s">
        <v>1</v>
      </c>
      <c r="QH142" s="108"/>
      <c r="QI142" s="108"/>
      <c r="QJ142" s="109"/>
      <c r="QK142" s="107" t="s">
        <v>1</v>
      </c>
      <c r="QL142" s="108"/>
      <c r="QM142" s="108"/>
      <c r="QN142" s="109"/>
      <c r="QO142" s="107" t="s">
        <v>1</v>
      </c>
      <c r="QP142" s="108"/>
      <c r="QQ142" s="108"/>
      <c r="QR142" s="109"/>
      <c r="QS142" s="107" t="s">
        <v>1</v>
      </c>
      <c r="QT142" s="108"/>
      <c r="QU142" s="108"/>
      <c r="QV142" s="109"/>
      <c r="QW142" s="107" t="s">
        <v>1</v>
      </c>
      <c r="QX142" s="108"/>
      <c r="QY142" s="108"/>
      <c r="QZ142" s="109"/>
      <c r="RA142" s="107" t="s">
        <v>1</v>
      </c>
      <c r="RB142" s="108"/>
      <c r="RC142" s="108"/>
      <c r="RD142" s="109"/>
      <c r="RE142" s="107" t="s">
        <v>1</v>
      </c>
      <c r="RF142" s="108"/>
      <c r="RG142" s="108"/>
      <c r="RH142" s="109"/>
      <c r="RI142" s="107" t="s">
        <v>1</v>
      </c>
      <c r="RJ142" s="108"/>
      <c r="RK142" s="108"/>
      <c r="RL142" s="109"/>
      <c r="RM142" s="107" t="s">
        <v>1</v>
      </c>
      <c r="RN142" s="108"/>
      <c r="RO142" s="108"/>
      <c r="RP142" s="109"/>
      <c r="RQ142" s="107" t="s">
        <v>1</v>
      </c>
      <c r="RR142" s="108"/>
      <c r="RS142" s="108"/>
      <c r="RT142" s="109"/>
      <c r="RU142" s="107" t="s">
        <v>1</v>
      </c>
      <c r="RV142" s="108"/>
      <c r="RW142" s="108"/>
      <c r="RX142" s="109"/>
      <c r="RY142" s="107" t="s">
        <v>1</v>
      </c>
      <c r="RZ142" s="108"/>
      <c r="SA142" s="108"/>
      <c r="SB142" s="109"/>
      <c r="SC142" s="107" t="s">
        <v>1</v>
      </c>
      <c r="SD142" s="108"/>
      <c r="SE142" s="108"/>
      <c r="SF142" s="109"/>
      <c r="SG142" s="107" t="s">
        <v>1</v>
      </c>
      <c r="SH142" s="108"/>
      <c r="SI142" s="108"/>
      <c r="SJ142" s="109"/>
      <c r="SK142" s="107" t="s">
        <v>1</v>
      </c>
      <c r="SL142" s="108"/>
      <c r="SM142" s="108"/>
      <c r="SN142" s="109"/>
      <c r="SO142" s="107" t="s">
        <v>1</v>
      </c>
      <c r="SP142" s="108"/>
      <c r="SQ142" s="108"/>
      <c r="SR142" s="109"/>
      <c r="SS142" s="107" t="s">
        <v>1</v>
      </c>
      <c r="ST142" s="108"/>
      <c r="SU142" s="108"/>
      <c r="SV142" s="109"/>
      <c r="SW142" s="107" t="s">
        <v>1</v>
      </c>
      <c r="SX142" s="108"/>
      <c r="SY142" s="108"/>
      <c r="SZ142" s="109"/>
      <c r="TA142" s="107" t="s">
        <v>1</v>
      </c>
      <c r="TB142" s="108"/>
      <c r="TC142" s="108"/>
      <c r="TD142" s="109"/>
      <c r="TE142" s="107" t="s">
        <v>1</v>
      </c>
      <c r="TF142" s="108"/>
      <c r="TG142" s="108"/>
      <c r="TH142" s="109"/>
      <c r="TI142" s="107" t="s">
        <v>1</v>
      </c>
      <c r="TJ142" s="108"/>
      <c r="TK142" s="108"/>
      <c r="TL142" s="109"/>
      <c r="TM142" s="107" t="s">
        <v>1</v>
      </c>
      <c r="TN142" s="108"/>
      <c r="TO142" s="108"/>
      <c r="TP142" s="109"/>
      <c r="TQ142" s="107" t="s">
        <v>1</v>
      </c>
      <c r="TR142" s="108"/>
      <c r="TS142" s="108"/>
      <c r="TT142" s="109"/>
      <c r="TU142" s="107" t="s">
        <v>1</v>
      </c>
      <c r="TV142" s="108"/>
      <c r="TW142" s="108"/>
      <c r="TX142" s="109"/>
      <c r="TY142" s="107" t="s">
        <v>1</v>
      </c>
      <c r="TZ142" s="108"/>
      <c r="UA142" s="108"/>
      <c r="UB142" s="109"/>
      <c r="UC142" s="107" t="s">
        <v>1</v>
      </c>
      <c r="UD142" s="108"/>
      <c r="UE142" s="108"/>
      <c r="UF142" s="109"/>
      <c r="UG142" s="107" t="s">
        <v>1</v>
      </c>
      <c r="UH142" s="108"/>
      <c r="UI142" s="108"/>
      <c r="UJ142" s="109"/>
      <c r="UK142" s="107" t="s">
        <v>1</v>
      </c>
      <c r="UL142" s="108"/>
      <c r="UM142" s="108"/>
      <c r="UN142" s="109"/>
      <c r="UO142" s="107" t="s">
        <v>1</v>
      </c>
      <c r="UP142" s="108"/>
      <c r="UQ142" s="108"/>
      <c r="UR142" s="109"/>
      <c r="US142" s="107" t="s">
        <v>1</v>
      </c>
      <c r="UT142" s="108"/>
      <c r="UU142" s="108"/>
      <c r="UV142" s="109"/>
      <c r="UW142" s="107" t="s">
        <v>1</v>
      </c>
      <c r="UX142" s="108"/>
      <c r="UY142" s="108"/>
      <c r="UZ142" s="109"/>
      <c r="VA142" s="107" t="s">
        <v>1</v>
      </c>
      <c r="VB142" s="108"/>
      <c r="VC142" s="108"/>
      <c r="VD142" s="109"/>
      <c r="VE142" s="107" t="s">
        <v>1</v>
      </c>
      <c r="VF142" s="108"/>
      <c r="VG142" s="108"/>
      <c r="VH142" s="109"/>
      <c r="VI142" s="107" t="s">
        <v>1</v>
      </c>
      <c r="VJ142" s="108"/>
      <c r="VK142" s="108"/>
      <c r="VL142" s="109"/>
      <c r="VM142" s="107" t="s">
        <v>1</v>
      </c>
      <c r="VN142" s="108"/>
      <c r="VO142" s="108"/>
      <c r="VP142" s="109"/>
      <c r="VQ142" s="107" t="s">
        <v>1</v>
      </c>
      <c r="VR142" s="108"/>
      <c r="VS142" s="108"/>
      <c r="VT142" s="109"/>
      <c r="VU142" s="107" t="s">
        <v>1</v>
      </c>
      <c r="VV142" s="108"/>
      <c r="VW142" s="108"/>
      <c r="VX142" s="109"/>
      <c r="VY142" s="107" t="s">
        <v>1</v>
      </c>
      <c r="VZ142" s="108"/>
      <c r="WA142" s="108"/>
      <c r="WB142" s="109"/>
      <c r="WC142" s="107" t="s">
        <v>1</v>
      </c>
      <c r="WD142" s="108"/>
      <c r="WE142" s="108"/>
      <c r="WF142" s="109"/>
      <c r="WG142" s="107" t="s">
        <v>1</v>
      </c>
      <c r="WH142" s="108"/>
      <c r="WI142" s="108"/>
      <c r="WJ142" s="109"/>
      <c r="WK142" s="107" t="s">
        <v>1</v>
      </c>
      <c r="WL142" s="108"/>
      <c r="WM142" s="108"/>
      <c r="WN142" s="109"/>
      <c r="WO142" s="107" t="s">
        <v>1</v>
      </c>
      <c r="WP142" s="108"/>
      <c r="WQ142" s="108"/>
      <c r="WR142" s="109"/>
      <c r="WS142" s="107" t="s">
        <v>1</v>
      </c>
      <c r="WT142" s="108"/>
      <c r="WU142" s="108"/>
      <c r="WV142" s="109"/>
      <c r="WW142" s="107" t="s">
        <v>1</v>
      </c>
      <c r="WX142" s="108"/>
      <c r="WY142" s="108"/>
      <c r="WZ142" s="109"/>
      <c r="XA142" s="107" t="s">
        <v>1</v>
      </c>
      <c r="XB142" s="108"/>
      <c r="XC142" s="108"/>
      <c r="XD142" s="109"/>
      <c r="XE142" s="107" t="s">
        <v>1</v>
      </c>
      <c r="XF142" s="108"/>
      <c r="XG142" s="108"/>
      <c r="XH142" s="109"/>
      <c r="XI142" s="107" t="s">
        <v>1</v>
      </c>
      <c r="XJ142" s="108"/>
      <c r="XK142" s="108"/>
      <c r="XL142" s="109"/>
      <c r="XM142" s="107" t="s">
        <v>1</v>
      </c>
      <c r="XN142" s="108"/>
      <c r="XO142" s="108"/>
      <c r="XP142" s="109"/>
      <c r="XQ142" s="107" t="s">
        <v>1</v>
      </c>
      <c r="XR142" s="108"/>
      <c r="XS142" s="108"/>
      <c r="XT142" s="109"/>
      <c r="XU142" s="107" t="s">
        <v>1</v>
      </c>
      <c r="XV142" s="108"/>
      <c r="XW142" s="108"/>
      <c r="XX142" s="109"/>
      <c r="XY142" s="107" t="s">
        <v>1</v>
      </c>
      <c r="XZ142" s="108"/>
      <c r="YA142" s="108"/>
      <c r="YB142" s="109"/>
      <c r="YC142" s="107" t="s">
        <v>1</v>
      </c>
      <c r="YD142" s="108"/>
      <c r="YE142" s="108"/>
      <c r="YF142" s="109"/>
      <c r="YG142" s="107" t="s">
        <v>1</v>
      </c>
      <c r="YH142" s="108"/>
      <c r="YI142" s="108"/>
      <c r="YJ142" s="109"/>
      <c r="YK142" s="107" t="s">
        <v>1</v>
      </c>
      <c r="YL142" s="108"/>
      <c r="YM142" s="108"/>
      <c r="YN142" s="109"/>
      <c r="YO142" s="107" t="s">
        <v>1</v>
      </c>
      <c r="YP142" s="108"/>
      <c r="YQ142" s="108"/>
      <c r="YR142" s="109"/>
      <c r="YS142" s="107" t="s">
        <v>1</v>
      </c>
      <c r="YT142" s="108"/>
      <c r="YU142" s="108"/>
      <c r="YV142" s="109"/>
      <c r="YW142" s="107" t="s">
        <v>1</v>
      </c>
      <c r="YX142" s="108"/>
      <c r="YY142" s="108"/>
      <c r="YZ142" s="109"/>
      <c r="ZA142" s="107" t="s">
        <v>1</v>
      </c>
      <c r="ZB142" s="108"/>
      <c r="ZC142" s="108"/>
      <c r="ZD142" s="109"/>
      <c r="ZE142" s="107" t="s">
        <v>1</v>
      </c>
      <c r="ZF142" s="108"/>
      <c r="ZG142" s="108"/>
      <c r="ZH142" s="109"/>
      <c r="ZI142" s="107" t="s">
        <v>1</v>
      </c>
      <c r="ZJ142" s="108"/>
      <c r="ZK142" s="108"/>
      <c r="ZL142" s="109"/>
      <c r="ZM142" s="107" t="s">
        <v>1</v>
      </c>
      <c r="ZN142" s="108"/>
      <c r="ZO142" s="108"/>
      <c r="ZP142" s="109"/>
      <c r="ZQ142" s="107" t="s">
        <v>1</v>
      </c>
      <c r="ZR142" s="108"/>
      <c r="ZS142" s="108"/>
      <c r="ZT142" s="109"/>
      <c r="ZU142" s="107" t="s">
        <v>1</v>
      </c>
      <c r="ZV142" s="108"/>
      <c r="ZW142" s="108"/>
      <c r="ZX142" s="109"/>
      <c r="ZY142" s="107" t="s">
        <v>1</v>
      </c>
      <c r="ZZ142" s="108"/>
      <c r="AAA142" s="108"/>
      <c r="AAB142" s="109"/>
      <c r="AAC142" s="107" t="s">
        <v>1</v>
      </c>
      <c r="AAD142" s="108"/>
      <c r="AAE142" s="108"/>
      <c r="AAF142" s="109"/>
      <c r="AAG142" s="107" t="s">
        <v>1</v>
      </c>
      <c r="AAH142" s="108"/>
      <c r="AAI142" s="108"/>
      <c r="AAJ142" s="109"/>
      <c r="AAK142" s="107" t="s">
        <v>1</v>
      </c>
      <c r="AAL142" s="108"/>
      <c r="AAM142" s="108"/>
      <c r="AAN142" s="109"/>
      <c r="AAO142" s="107" t="s">
        <v>1</v>
      </c>
      <c r="AAP142" s="108"/>
      <c r="AAQ142" s="108"/>
      <c r="AAR142" s="109"/>
      <c r="AAS142" s="107" t="s">
        <v>1</v>
      </c>
      <c r="AAT142" s="108"/>
      <c r="AAU142" s="108"/>
      <c r="AAV142" s="109"/>
      <c r="AAW142" s="107" t="s">
        <v>1</v>
      </c>
      <c r="AAX142" s="108"/>
      <c r="AAY142" s="108"/>
      <c r="AAZ142" s="109"/>
      <c r="ABA142" s="107" t="s">
        <v>1</v>
      </c>
      <c r="ABB142" s="108"/>
      <c r="ABC142" s="108"/>
      <c r="ABD142" s="109"/>
      <c r="ABE142" s="107" t="s">
        <v>1</v>
      </c>
      <c r="ABF142" s="108"/>
      <c r="ABG142" s="108"/>
      <c r="ABH142" s="109"/>
      <c r="ABI142" s="107" t="s">
        <v>1</v>
      </c>
      <c r="ABJ142" s="108"/>
      <c r="ABK142" s="108"/>
      <c r="ABL142" s="109"/>
      <c r="ABM142" s="107" t="s">
        <v>1</v>
      </c>
      <c r="ABN142" s="108"/>
      <c r="ABO142" s="108"/>
      <c r="ABP142" s="109"/>
      <c r="ABQ142" s="107" t="s">
        <v>1</v>
      </c>
      <c r="ABR142" s="108"/>
      <c r="ABS142" s="108"/>
      <c r="ABT142" s="109"/>
      <c r="ABU142" s="107" t="s">
        <v>1</v>
      </c>
      <c r="ABV142" s="108"/>
      <c r="ABW142" s="108"/>
      <c r="ABX142" s="109"/>
      <c r="ABY142" s="107" t="s">
        <v>1</v>
      </c>
      <c r="ABZ142" s="108"/>
      <c r="ACA142" s="108"/>
      <c r="ACB142" s="109"/>
      <c r="ACC142" s="107" t="s">
        <v>1</v>
      </c>
      <c r="ACD142" s="108"/>
      <c r="ACE142" s="108"/>
      <c r="ACF142" s="109"/>
      <c r="ACG142" s="107" t="s">
        <v>1</v>
      </c>
      <c r="ACH142" s="108"/>
      <c r="ACI142" s="108"/>
      <c r="ACJ142" s="109"/>
      <c r="ACK142" s="107" t="s">
        <v>1</v>
      </c>
      <c r="ACL142" s="108"/>
      <c r="ACM142" s="108"/>
      <c r="ACN142" s="109"/>
      <c r="ACO142" s="107" t="s">
        <v>1</v>
      </c>
      <c r="ACP142" s="108"/>
      <c r="ACQ142" s="108"/>
      <c r="ACR142" s="109"/>
      <c r="ACS142" s="107" t="s">
        <v>1</v>
      </c>
      <c r="ACT142" s="108"/>
      <c r="ACU142" s="108"/>
      <c r="ACV142" s="109"/>
      <c r="ACW142" s="107" t="s">
        <v>1</v>
      </c>
      <c r="ACX142" s="108"/>
      <c r="ACY142" s="108"/>
      <c r="ACZ142" s="109"/>
      <c r="ADA142" s="107" t="s">
        <v>1</v>
      </c>
      <c r="ADB142" s="108"/>
      <c r="ADC142" s="108"/>
      <c r="ADD142" s="109"/>
      <c r="ADE142" s="107" t="s">
        <v>1</v>
      </c>
      <c r="ADF142" s="108"/>
      <c r="ADG142" s="108"/>
      <c r="ADH142" s="109"/>
      <c r="ADI142" s="107" t="s">
        <v>1</v>
      </c>
      <c r="ADJ142" s="108"/>
      <c r="ADK142" s="108"/>
      <c r="ADL142" s="109"/>
      <c r="ADM142" s="107" t="s">
        <v>1</v>
      </c>
      <c r="ADN142" s="108"/>
      <c r="ADO142" s="108"/>
      <c r="ADP142" s="109"/>
      <c r="ADQ142" s="107" t="s">
        <v>1</v>
      </c>
      <c r="ADR142" s="108"/>
      <c r="ADS142" s="108"/>
      <c r="ADT142" s="109"/>
      <c r="ADU142" s="107" t="s">
        <v>1</v>
      </c>
      <c r="ADV142" s="108"/>
      <c r="ADW142" s="108"/>
      <c r="ADX142" s="109"/>
      <c r="ADY142" s="107" t="s">
        <v>1</v>
      </c>
      <c r="ADZ142" s="108"/>
      <c r="AEA142" s="108"/>
      <c r="AEB142" s="109"/>
      <c r="AEC142" s="107" t="s">
        <v>1</v>
      </c>
      <c r="AED142" s="108"/>
      <c r="AEE142" s="108"/>
      <c r="AEF142" s="109"/>
      <c r="AEG142" s="107" t="s">
        <v>1</v>
      </c>
      <c r="AEH142" s="108"/>
      <c r="AEI142" s="108"/>
      <c r="AEJ142" s="109"/>
      <c r="AEK142" s="107" t="s">
        <v>1</v>
      </c>
      <c r="AEL142" s="108"/>
      <c r="AEM142" s="108"/>
      <c r="AEN142" s="109"/>
      <c r="AEO142" s="107" t="s">
        <v>1</v>
      </c>
      <c r="AEP142" s="108"/>
      <c r="AEQ142" s="108"/>
      <c r="AER142" s="109"/>
      <c r="AES142" s="107" t="s">
        <v>1</v>
      </c>
      <c r="AET142" s="108"/>
      <c r="AEU142" s="108"/>
      <c r="AEV142" s="109"/>
      <c r="AEW142" s="107" t="s">
        <v>1</v>
      </c>
      <c r="AEX142" s="108"/>
      <c r="AEY142" s="108"/>
      <c r="AEZ142" s="109"/>
      <c r="AFA142" s="107" t="s">
        <v>1</v>
      </c>
      <c r="AFB142" s="108"/>
      <c r="AFC142" s="108"/>
      <c r="AFD142" s="109"/>
      <c r="AFE142" s="107" t="s">
        <v>1</v>
      </c>
      <c r="AFF142" s="108"/>
      <c r="AFG142" s="108"/>
      <c r="AFH142" s="109"/>
      <c r="AFI142" s="107" t="s">
        <v>1</v>
      </c>
      <c r="AFJ142" s="108"/>
      <c r="AFK142" s="108"/>
      <c r="AFL142" s="109"/>
      <c r="AFM142" s="107" t="s">
        <v>1</v>
      </c>
      <c r="AFN142" s="108"/>
      <c r="AFO142" s="108"/>
      <c r="AFP142" s="109"/>
      <c r="AFQ142" s="107" t="s">
        <v>1</v>
      </c>
      <c r="AFR142" s="108"/>
      <c r="AFS142" s="108"/>
      <c r="AFT142" s="109"/>
      <c r="AFU142" s="107" t="s">
        <v>1</v>
      </c>
      <c r="AFV142" s="108"/>
      <c r="AFW142" s="108"/>
      <c r="AFX142" s="109"/>
      <c r="AFY142" s="107" t="s">
        <v>1</v>
      </c>
      <c r="AFZ142" s="108"/>
      <c r="AGA142" s="108"/>
      <c r="AGB142" s="109"/>
      <c r="AGC142" s="107" t="s">
        <v>1</v>
      </c>
      <c r="AGD142" s="108"/>
      <c r="AGE142" s="108"/>
      <c r="AGF142" s="109"/>
      <c r="AGG142" s="107" t="s">
        <v>1</v>
      </c>
      <c r="AGH142" s="108"/>
      <c r="AGI142" s="108"/>
      <c r="AGJ142" s="109"/>
      <c r="AGK142" s="107" t="s">
        <v>1</v>
      </c>
      <c r="AGL142" s="108"/>
      <c r="AGM142" s="108"/>
      <c r="AGN142" s="109"/>
      <c r="AGO142" s="107" t="s">
        <v>1</v>
      </c>
      <c r="AGP142" s="108"/>
      <c r="AGQ142" s="108"/>
      <c r="AGR142" s="109"/>
      <c r="AGS142" s="107" t="s">
        <v>1</v>
      </c>
      <c r="AGT142" s="108"/>
      <c r="AGU142" s="108"/>
      <c r="AGV142" s="109"/>
      <c r="AGW142" s="107" t="s">
        <v>1</v>
      </c>
      <c r="AGX142" s="108"/>
      <c r="AGY142" s="108"/>
      <c r="AGZ142" s="109"/>
      <c r="AHA142" s="107" t="s">
        <v>1</v>
      </c>
      <c r="AHB142" s="108"/>
      <c r="AHC142" s="108"/>
      <c r="AHD142" s="109"/>
      <c r="AHE142" s="107" t="s">
        <v>1</v>
      </c>
      <c r="AHF142" s="108"/>
      <c r="AHG142" s="108"/>
      <c r="AHH142" s="109"/>
      <c r="AHI142" s="107" t="s">
        <v>1</v>
      </c>
      <c r="AHJ142" s="108"/>
      <c r="AHK142" s="108"/>
      <c r="AHL142" s="109"/>
      <c r="AHM142" s="107" t="s">
        <v>1</v>
      </c>
      <c r="AHN142" s="108"/>
      <c r="AHO142" s="108"/>
      <c r="AHP142" s="109"/>
      <c r="AHQ142" s="107" t="s">
        <v>1</v>
      </c>
      <c r="AHR142" s="108"/>
      <c r="AHS142" s="108"/>
      <c r="AHT142" s="109"/>
      <c r="AHU142" s="107" t="s">
        <v>1</v>
      </c>
      <c r="AHV142" s="108"/>
      <c r="AHW142" s="108"/>
      <c r="AHX142" s="109"/>
      <c r="AHY142" s="107" t="s">
        <v>1</v>
      </c>
      <c r="AHZ142" s="108"/>
      <c r="AIA142" s="108"/>
      <c r="AIB142" s="109"/>
      <c r="AIC142" s="107" t="s">
        <v>1</v>
      </c>
      <c r="AID142" s="108"/>
      <c r="AIE142" s="108"/>
      <c r="AIF142" s="109"/>
      <c r="AIG142" s="107" t="s">
        <v>1</v>
      </c>
      <c r="AIH142" s="108"/>
      <c r="AII142" s="108"/>
      <c r="AIJ142" s="109"/>
      <c r="AIK142" s="107" t="s">
        <v>1</v>
      </c>
      <c r="AIL142" s="108"/>
      <c r="AIM142" s="108"/>
      <c r="AIN142" s="109"/>
      <c r="AIO142" s="107" t="s">
        <v>1</v>
      </c>
      <c r="AIP142" s="108"/>
      <c r="AIQ142" s="108"/>
      <c r="AIR142" s="109"/>
      <c r="AIS142" s="107" t="s">
        <v>1</v>
      </c>
      <c r="AIT142" s="108"/>
      <c r="AIU142" s="108"/>
      <c r="AIV142" s="109"/>
      <c r="AIW142" s="107" t="s">
        <v>1</v>
      </c>
      <c r="AIX142" s="108"/>
      <c r="AIY142" s="108"/>
      <c r="AIZ142" s="109"/>
      <c r="AJA142" s="107" t="s">
        <v>1</v>
      </c>
      <c r="AJB142" s="108"/>
      <c r="AJC142" s="108"/>
      <c r="AJD142" s="109"/>
      <c r="AJE142" s="107" t="s">
        <v>1</v>
      </c>
      <c r="AJF142" s="108"/>
      <c r="AJG142" s="108"/>
      <c r="AJH142" s="109"/>
      <c r="AJI142" s="107" t="s">
        <v>1</v>
      </c>
      <c r="AJJ142" s="108"/>
      <c r="AJK142" s="108"/>
      <c r="AJL142" s="109"/>
      <c r="AJM142" s="107" t="s">
        <v>1</v>
      </c>
      <c r="AJN142" s="108"/>
      <c r="AJO142" s="108"/>
      <c r="AJP142" s="109"/>
      <c r="AJQ142" s="107" t="s">
        <v>1</v>
      </c>
      <c r="AJR142" s="108"/>
      <c r="AJS142" s="108"/>
      <c r="AJT142" s="109"/>
      <c r="AJU142" s="107" t="s">
        <v>1</v>
      </c>
      <c r="AJV142" s="108"/>
      <c r="AJW142" s="108"/>
      <c r="AJX142" s="109"/>
      <c r="AJY142" s="107" t="s">
        <v>1</v>
      </c>
      <c r="AJZ142" s="108"/>
      <c r="AKA142" s="108"/>
      <c r="AKB142" s="109"/>
      <c r="AKC142" s="107" t="s">
        <v>1</v>
      </c>
      <c r="AKD142" s="108"/>
      <c r="AKE142" s="108"/>
      <c r="AKF142" s="109"/>
      <c r="AKG142" s="107" t="s">
        <v>1</v>
      </c>
      <c r="AKH142" s="108"/>
      <c r="AKI142" s="108"/>
      <c r="AKJ142" s="109"/>
      <c r="AKK142" s="107" t="s">
        <v>1</v>
      </c>
      <c r="AKL142" s="108"/>
      <c r="AKM142" s="108"/>
      <c r="AKN142" s="109"/>
      <c r="AKO142" s="107" t="s">
        <v>1</v>
      </c>
      <c r="AKP142" s="108"/>
      <c r="AKQ142" s="108"/>
      <c r="AKR142" s="109"/>
      <c r="AKS142" s="107" t="s">
        <v>1</v>
      </c>
      <c r="AKT142" s="108"/>
      <c r="AKU142" s="108"/>
      <c r="AKV142" s="109"/>
      <c r="AKW142" s="107" t="s">
        <v>1</v>
      </c>
      <c r="AKX142" s="108"/>
      <c r="AKY142" s="108"/>
      <c r="AKZ142" s="109"/>
      <c r="ALA142" s="107" t="s">
        <v>1</v>
      </c>
      <c r="ALB142" s="108"/>
      <c r="ALC142" s="108"/>
      <c r="ALD142" s="109"/>
      <c r="ALE142" s="107" t="s">
        <v>1</v>
      </c>
      <c r="ALF142" s="108"/>
      <c r="ALG142" s="108"/>
      <c r="ALH142" s="109"/>
      <c r="ALI142" s="107" t="s">
        <v>1</v>
      </c>
      <c r="ALJ142" s="108"/>
      <c r="ALK142" s="108"/>
      <c r="ALL142" s="109"/>
      <c r="ALM142" s="107" t="s">
        <v>1</v>
      </c>
      <c r="ALN142" s="108"/>
      <c r="ALO142" s="108"/>
      <c r="ALP142" s="109"/>
      <c r="ALQ142" s="107" t="s">
        <v>1</v>
      </c>
      <c r="ALR142" s="108"/>
      <c r="ALS142" s="108"/>
      <c r="ALT142" s="109"/>
      <c r="ALU142" s="107" t="s">
        <v>1</v>
      </c>
      <c r="ALV142" s="108"/>
      <c r="ALW142" s="108"/>
      <c r="ALX142" s="109"/>
      <c r="ALY142" s="107" t="s">
        <v>1</v>
      </c>
      <c r="ALZ142" s="108"/>
      <c r="AMA142" s="108"/>
      <c r="AMB142" s="109"/>
      <c r="AMC142" s="107" t="s">
        <v>1</v>
      </c>
      <c r="AMD142" s="108"/>
      <c r="AME142" s="108"/>
      <c r="AMF142" s="109"/>
      <c r="AMG142" s="107" t="s">
        <v>1</v>
      </c>
      <c r="AMH142" s="108"/>
      <c r="AMI142" s="108"/>
      <c r="AMJ142" s="109"/>
      <c r="AMK142" s="107" t="s">
        <v>1</v>
      </c>
      <c r="AML142" s="108"/>
      <c r="AMM142" s="108"/>
      <c r="AMN142" s="109"/>
      <c r="AMO142" s="107" t="s">
        <v>1</v>
      </c>
      <c r="AMP142" s="108"/>
      <c r="AMQ142" s="108"/>
      <c r="AMR142" s="109"/>
      <c r="AMS142" s="107" t="s">
        <v>1</v>
      </c>
      <c r="AMT142" s="108"/>
      <c r="AMU142" s="108"/>
      <c r="AMV142" s="109"/>
      <c r="AMW142" s="107" t="s">
        <v>1</v>
      </c>
      <c r="AMX142" s="108"/>
      <c r="AMY142" s="108"/>
      <c r="AMZ142" s="109"/>
      <c r="ANA142" s="107" t="s">
        <v>1</v>
      </c>
      <c r="ANB142" s="108"/>
      <c r="ANC142" s="108"/>
      <c r="AND142" s="109"/>
      <c r="ANE142" s="107" t="s">
        <v>1</v>
      </c>
      <c r="ANF142" s="108"/>
      <c r="ANG142" s="108"/>
      <c r="ANH142" s="109"/>
      <c r="ANI142" s="107" t="s">
        <v>1</v>
      </c>
      <c r="ANJ142" s="108"/>
      <c r="ANK142" s="108"/>
      <c r="ANL142" s="109"/>
      <c r="ANM142" s="107" t="s">
        <v>1</v>
      </c>
      <c r="ANN142" s="108"/>
      <c r="ANO142" s="108"/>
      <c r="ANP142" s="109"/>
      <c r="ANQ142" s="107" t="s">
        <v>1</v>
      </c>
      <c r="ANR142" s="108"/>
      <c r="ANS142" s="108"/>
      <c r="ANT142" s="109"/>
      <c r="ANU142" s="107" t="s">
        <v>1</v>
      </c>
      <c r="ANV142" s="108"/>
      <c r="ANW142" s="108"/>
      <c r="ANX142" s="109"/>
      <c r="ANY142" s="107" t="s">
        <v>1</v>
      </c>
      <c r="ANZ142" s="108"/>
      <c r="AOA142" s="108"/>
      <c r="AOB142" s="109"/>
      <c r="AOC142" s="107" t="s">
        <v>1</v>
      </c>
      <c r="AOD142" s="108"/>
      <c r="AOE142" s="108"/>
      <c r="AOF142" s="109"/>
      <c r="AOG142" s="107" t="s">
        <v>1</v>
      </c>
      <c r="AOH142" s="108"/>
      <c r="AOI142" s="108"/>
      <c r="AOJ142" s="109"/>
      <c r="AOK142" s="107" t="s">
        <v>1</v>
      </c>
      <c r="AOL142" s="108"/>
      <c r="AOM142" s="108"/>
      <c r="AON142" s="109"/>
      <c r="AOO142" s="107" t="s">
        <v>1</v>
      </c>
      <c r="AOP142" s="108"/>
      <c r="AOQ142" s="108"/>
      <c r="AOR142" s="109"/>
      <c r="AOS142" s="107" t="s">
        <v>1</v>
      </c>
      <c r="AOT142" s="108"/>
      <c r="AOU142" s="108"/>
      <c r="AOV142" s="109"/>
      <c r="AOW142" s="107" t="s">
        <v>1</v>
      </c>
      <c r="AOX142" s="108"/>
      <c r="AOY142" s="108"/>
      <c r="AOZ142" s="109"/>
      <c r="APA142" s="107" t="s">
        <v>1</v>
      </c>
      <c r="APB142" s="108"/>
      <c r="APC142" s="108"/>
      <c r="APD142" s="109"/>
      <c r="APE142" s="107" t="s">
        <v>1</v>
      </c>
      <c r="APF142" s="108"/>
      <c r="APG142" s="108"/>
      <c r="APH142" s="109"/>
      <c r="API142" s="107" t="s">
        <v>1</v>
      </c>
      <c r="APJ142" s="108"/>
      <c r="APK142" s="108"/>
      <c r="APL142" s="109"/>
      <c r="APM142" s="107" t="s">
        <v>1</v>
      </c>
      <c r="APN142" s="108"/>
      <c r="APO142" s="108"/>
      <c r="APP142" s="109"/>
      <c r="APQ142" s="107" t="s">
        <v>1</v>
      </c>
      <c r="APR142" s="108"/>
      <c r="APS142" s="108"/>
      <c r="APT142" s="109"/>
      <c r="APU142" s="107" t="s">
        <v>1</v>
      </c>
      <c r="APV142" s="108"/>
      <c r="APW142" s="108"/>
      <c r="APX142" s="109"/>
      <c r="APY142" s="107" t="s">
        <v>1</v>
      </c>
      <c r="APZ142" s="108"/>
      <c r="AQA142" s="108"/>
      <c r="AQB142" s="109"/>
      <c r="AQC142" s="107" t="s">
        <v>1</v>
      </c>
      <c r="AQD142" s="108"/>
      <c r="AQE142" s="108"/>
      <c r="AQF142" s="109"/>
      <c r="AQG142" s="107" t="s">
        <v>1</v>
      </c>
      <c r="AQH142" s="108"/>
      <c r="AQI142" s="108"/>
      <c r="AQJ142" s="109"/>
      <c r="AQK142" s="107" t="s">
        <v>1</v>
      </c>
      <c r="AQL142" s="108"/>
      <c r="AQM142" s="108"/>
      <c r="AQN142" s="109"/>
      <c r="AQO142" s="107" t="s">
        <v>1</v>
      </c>
      <c r="AQP142" s="108"/>
      <c r="AQQ142" s="108"/>
      <c r="AQR142" s="109"/>
      <c r="AQS142" s="107" t="s">
        <v>1</v>
      </c>
      <c r="AQT142" s="108"/>
      <c r="AQU142" s="108"/>
      <c r="AQV142" s="109"/>
      <c r="AQW142" s="107" t="s">
        <v>1</v>
      </c>
      <c r="AQX142" s="108"/>
      <c r="AQY142" s="108"/>
      <c r="AQZ142" s="109"/>
      <c r="ARA142" s="107" t="s">
        <v>1</v>
      </c>
      <c r="ARB142" s="108"/>
      <c r="ARC142" s="108"/>
      <c r="ARD142" s="109"/>
      <c r="ARE142" s="107" t="s">
        <v>1</v>
      </c>
      <c r="ARF142" s="108"/>
      <c r="ARG142" s="108"/>
      <c r="ARH142" s="109"/>
      <c r="ARI142" s="107" t="s">
        <v>1</v>
      </c>
      <c r="ARJ142" s="108"/>
      <c r="ARK142" s="108"/>
      <c r="ARL142" s="109"/>
      <c r="ARM142" s="107" t="s">
        <v>1</v>
      </c>
      <c r="ARN142" s="108"/>
      <c r="ARO142" s="108"/>
      <c r="ARP142" s="109"/>
      <c r="ARQ142" s="107" t="s">
        <v>1</v>
      </c>
      <c r="ARR142" s="108"/>
      <c r="ARS142" s="108"/>
      <c r="ART142" s="109"/>
      <c r="ARU142" s="107" t="s">
        <v>1</v>
      </c>
      <c r="ARV142" s="108"/>
      <c r="ARW142" s="108"/>
      <c r="ARX142" s="109"/>
      <c r="ARY142" s="107" t="s">
        <v>1</v>
      </c>
      <c r="ARZ142" s="108"/>
      <c r="ASA142" s="108"/>
      <c r="ASB142" s="109"/>
      <c r="ASC142" s="107" t="s">
        <v>1</v>
      </c>
      <c r="ASD142" s="108"/>
      <c r="ASE142" s="108"/>
      <c r="ASF142" s="109"/>
      <c r="ASG142" s="107" t="s">
        <v>1</v>
      </c>
      <c r="ASH142" s="108"/>
      <c r="ASI142" s="108"/>
      <c r="ASJ142" s="109"/>
      <c r="ASK142" s="107" t="s">
        <v>1</v>
      </c>
      <c r="ASL142" s="108"/>
      <c r="ASM142" s="108"/>
      <c r="ASN142" s="109"/>
      <c r="ASO142" s="107" t="s">
        <v>1</v>
      </c>
      <c r="ASP142" s="108"/>
      <c r="ASQ142" s="108"/>
      <c r="ASR142" s="109"/>
      <c r="ASS142" s="107" t="s">
        <v>1</v>
      </c>
      <c r="AST142" s="108"/>
      <c r="ASU142" s="108"/>
      <c r="ASV142" s="109"/>
      <c r="ASW142" s="107" t="s">
        <v>1</v>
      </c>
      <c r="ASX142" s="108"/>
      <c r="ASY142" s="108"/>
      <c r="ASZ142" s="109"/>
      <c r="ATA142" s="107" t="s">
        <v>1</v>
      </c>
      <c r="ATB142" s="108"/>
      <c r="ATC142" s="108"/>
      <c r="ATD142" s="109"/>
      <c r="ATE142" s="107" t="s">
        <v>1</v>
      </c>
      <c r="ATF142" s="108"/>
      <c r="ATG142" s="108"/>
      <c r="ATH142" s="109"/>
      <c r="ATI142" s="107" t="s">
        <v>1</v>
      </c>
      <c r="ATJ142" s="108"/>
      <c r="ATK142" s="108"/>
      <c r="ATL142" s="109"/>
      <c r="ATM142" s="107" t="s">
        <v>1</v>
      </c>
      <c r="ATN142" s="108"/>
      <c r="ATO142" s="108"/>
      <c r="ATP142" s="109"/>
      <c r="ATQ142" s="107" t="s">
        <v>1</v>
      </c>
      <c r="ATR142" s="108"/>
      <c r="ATS142" s="108"/>
      <c r="ATT142" s="109"/>
      <c r="ATU142" s="107" t="s">
        <v>1</v>
      </c>
      <c r="ATV142" s="108"/>
      <c r="ATW142" s="108"/>
      <c r="ATX142" s="109"/>
      <c r="ATY142" s="107" t="s">
        <v>1</v>
      </c>
      <c r="ATZ142" s="108"/>
      <c r="AUA142" s="108"/>
      <c r="AUB142" s="109"/>
      <c r="AUC142" s="107" t="s">
        <v>1</v>
      </c>
      <c r="AUD142" s="108"/>
      <c r="AUE142" s="108"/>
      <c r="AUF142" s="109"/>
      <c r="AUG142" s="107" t="s">
        <v>1</v>
      </c>
      <c r="AUH142" s="108"/>
      <c r="AUI142" s="108"/>
      <c r="AUJ142" s="109"/>
      <c r="AUK142" s="107" t="s">
        <v>1</v>
      </c>
      <c r="AUL142" s="108"/>
      <c r="AUM142" s="108"/>
      <c r="AUN142" s="109"/>
      <c r="AUO142" s="107" t="s">
        <v>1</v>
      </c>
      <c r="AUP142" s="108"/>
      <c r="AUQ142" s="108"/>
      <c r="AUR142" s="109"/>
      <c r="AUS142" s="107" t="s">
        <v>1</v>
      </c>
      <c r="AUT142" s="108"/>
      <c r="AUU142" s="108"/>
      <c r="AUV142" s="109"/>
      <c r="AUW142" s="107" t="s">
        <v>1</v>
      </c>
      <c r="AUX142" s="108"/>
      <c r="AUY142" s="108"/>
      <c r="AUZ142" s="109"/>
      <c r="AVA142" s="107" t="s">
        <v>1</v>
      </c>
      <c r="AVB142" s="108"/>
      <c r="AVC142" s="108"/>
      <c r="AVD142" s="109"/>
      <c r="AVE142" s="107" t="s">
        <v>1</v>
      </c>
      <c r="AVF142" s="108"/>
      <c r="AVG142" s="108"/>
      <c r="AVH142" s="109"/>
      <c r="AVI142" s="107" t="s">
        <v>1</v>
      </c>
      <c r="AVJ142" s="108"/>
      <c r="AVK142" s="108"/>
      <c r="AVL142" s="109"/>
      <c r="AVM142" s="107" t="s">
        <v>1</v>
      </c>
      <c r="AVN142" s="108"/>
      <c r="AVO142" s="108"/>
      <c r="AVP142" s="109"/>
      <c r="AVQ142" s="107" t="s">
        <v>1</v>
      </c>
      <c r="AVR142" s="108"/>
      <c r="AVS142" s="108"/>
      <c r="AVT142" s="109"/>
      <c r="AVU142" s="107" t="s">
        <v>1</v>
      </c>
      <c r="AVV142" s="108"/>
      <c r="AVW142" s="108"/>
      <c r="AVX142" s="109"/>
      <c r="AVY142" s="107" t="s">
        <v>1</v>
      </c>
      <c r="AVZ142" s="108"/>
      <c r="AWA142" s="108"/>
      <c r="AWB142" s="109"/>
      <c r="AWC142" s="107" t="s">
        <v>1</v>
      </c>
      <c r="AWD142" s="108"/>
      <c r="AWE142" s="108"/>
      <c r="AWF142" s="109"/>
      <c r="AWG142" s="107" t="s">
        <v>1</v>
      </c>
      <c r="AWH142" s="108"/>
      <c r="AWI142" s="108"/>
      <c r="AWJ142" s="109"/>
      <c r="AWK142" s="107" t="s">
        <v>1</v>
      </c>
      <c r="AWL142" s="108"/>
      <c r="AWM142" s="108"/>
      <c r="AWN142" s="109"/>
      <c r="AWO142" s="107" t="s">
        <v>1</v>
      </c>
      <c r="AWP142" s="108"/>
      <c r="AWQ142" s="108"/>
      <c r="AWR142" s="109"/>
      <c r="AWS142" s="107" t="s">
        <v>1</v>
      </c>
      <c r="AWT142" s="108"/>
      <c r="AWU142" s="108"/>
      <c r="AWV142" s="109"/>
      <c r="AWW142" s="107" t="s">
        <v>1</v>
      </c>
      <c r="AWX142" s="108"/>
      <c r="AWY142" s="108"/>
      <c r="AWZ142" s="109"/>
      <c r="AXA142" s="107" t="s">
        <v>1</v>
      </c>
      <c r="AXB142" s="108"/>
      <c r="AXC142" s="108"/>
      <c r="AXD142" s="109"/>
      <c r="AXE142" s="107" t="s">
        <v>1</v>
      </c>
      <c r="AXF142" s="108"/>
      <c r="AXG142" s="108"/>
      <c r="AXH142" s="109"/>
      <c r="AXI142" s="107" t="s">
        <v>1</v>
      </c>
      <c r="AXJ142" s="108"/>
      <c r="AXK142" s="108"/>
      <c r="AXL142" s="109"/>
      <c r="AXM142" s="107" t="s">
        <v>1</v>
      </c>
      <c r="AXN142" s="108"/>
      <c r="AXO142" s="108"/>
      <c r="AXP142" s="109"/>
      <c r="AXQ142" s="107" t="s">
        <v>1</v>
      </c>
      <c r="AXR142" s="108"/>
      <c r="AXS142" s="108"/>
      <c r="AXT142" s="109"/>
      <c r="AXU142" s="107" t="s">
        <v>1</v>
      </c>
      <c r="AXV142" s="108"/>
      <c r="AXW142" s="108"/>
      <c r="AXX142" s="109"/>
      <c r="AXY142" s="107" t="s">
        <v>1</v>
      </c>
      <c r="AXZ142" s="108"/>
      <c r="AYA142" s="108"/>
      <c r="AYB142" s="109"/>
      <c r="AYC142" s="107" t="s">
        <v>1</v>
      </c>
      <c r="AYD142" s="108"/>
      <c r="AYE142" s="108"/>
      <c r="AYF142" s="109"/>
      <c r="AYG142" s="107" t="s">
        <v>1</v>
      </c>
      <c r="AYH142" s="108"/>
      <c r="AYI142" s="108"/>
      <c r="AYJ142" s="109"/>
      <c r="AYK142" s="107" t="s">
        <v>1</v>
      </c>
      <c r="AYL142" s="108"/>
      <c r="AYM142" s="108"/>
      <c r="AYN142" s="109"/>
      <c r="AYO142" s="107" t="s">
        <v>1</v>
      </c>
      <c r="AYP142" s="108"/>
      <c r="AYQ142" s="108"/>
      <c r="AYR142" s="109"/>
      <c r="AYS142" s="107" t="s">
        <v>1</v>
      </c>
      <c r="AYT142" s="108"/>
      <c r="AYU142" s="108"/>
      <c r="AYV142" s="109"/>
      <c r="AYW142" s="107" t="s">
        <v>1</v>
      </c>
      <c r="AYX142" s="108"/>
      <c r="AYY142" s="108"/>
      <c r="AYZ142" s="109"/>
      <c r="AZA142" s="107" t="s">
        <v>1</v>
      </c>
      <c r="AZB142" s="108"/>
      <c r="AZC142" s="108"/>
      <c r="AZD142" s="109"/>
      <c r="AZE142" s="107" t="s">
        <v>1</v>
      </c>
      <c r="AZF142" s="108"/>
      <c r="AZG142" s="108"/>
      <c r="AZH142" s="109"/>
      <c r="AZI142" s="107" t="s">
        <v>1</v>
      </c>
      <c r="AZJ142" s="108"/>
      <c r="AZK142" s="108"/>
      <c r="AZL142" s="109"/>
      <c r="AZM142" s="107" t="s">
        <v>1</v>
      </c>
      <c r="AZN142" s="108"/>
      <c r="AZO142" s="108"/>
      <c r="AZP142" s="109"/>
      <c r="AZQ142" s="107" t="s">
        <v>1</v>
      </c>
      <c r="AZR142" s="108"/>
      <c r="AZS142" s="108"/>
      <c r="AZT142" s="109"/>
      <c r="AZU142" s="107" t="s">
        <v>1</v>
      </c>
      <c r="AZV142" s="108"/>
      <c r="AZW142" s="108"/>
      <c r="AZX142" s="109"/>
      <c r="AZY142" s="107" t="s">
        <v>1</v>
      </c>
      <c r="AZZ142" s="108"/>
      <c r="BAA142" s="108"/>
      <c r="BAB142" s="109"/>
      <c r="BAC142" s="107" t="s">
        <v>1</v>
      </c>
      <c r="BAD142" s="108"/>
      <c r="BAE142" s="108"/>
      <c r="BAF142" s="109"/>
      <c r="BAG142" s="107" t="s">
        <v>1</v>
      </c>
      <c r="BAH142" s="108"/>
      <c r="BAI142" s="108"/>
      <c r="BAJ142" s="109"/>
      <c r="BAK142" s="107" t="s">
        <v>1</v>
      </c>
      <c r="BAL142" s="108"/>
      <c r="BAM142" s="108"/>
      <c r="BAN142" s="109"/>
      <c r="BAO142" s="107" t="s">
        <v>1</v>
      </c>
      <c r="BAP142" s="108"/>
      <c r="BAQ142" s="108"/>
      <c r="BAR142" s="109"/>
      <c r="BAS142" s="107" t="s">
        <v>1</v>
      </c>
      <c r="BAT142" s="108"/>
      <c r="BAU142" s="108"/>
      <c r="BAV142" s="109"/>
      <c r="BAW142" s="107" t="s">
        <v>1</v>
      </c>
      <c r="BAX142" s="108"/>
      <c r="BAY142" s="108"/>
      <c r="BAZ142" s="109"/>
      <c r="BBA142" s="107" t="s">
        <v>1</v>
      </c>
      <c r="BBB142" s="108"/>
      <c r="BBC142" s="108"/>
      <c r="BBD142" s="109"/>
      <c r="BBE142" s="107" t="s">
        <v>1</v>
      </c>
      <c r="BBF142" s="108"/>
      <c r="BBG142" s="108"/>
      <c r="BBH142" s="109"/>
      <c r="BBI142" s="107" t="s">
        <v>1</v>
      </c>
      <c r="BBJ142" s="108"/>
      <c r="BBK142" s="108"/>
      <c r="BBL142" s="109"/>
      <c r="BBM142" s="107" t="s">
        <v>1</v>
      </c>
      <c r="BBN142" s="108"/>
      <c r="BBO142" s="108"/>
      <c r="BBP142" s="109"/>
      <c r="BBQ142" s="107" t="s">
        <v>1</v>
      </c>
      <c r="BBR142" s="108"/>
      <c r="BBS142" s="108"/>
      <c r="BBT142" s="109"/>
      <c r="BBU142" s="107" t="s">
        <v>1</v>
      </c>
      <c r="BBV142" s="108"/>
      <c r="BBW142" s="108"/>
      <c r="BBX142" s="109"/>
      <c r="BBY142" s="107" t="s">
        <v>1</v>
      </c>
      <c r="BBZ142" s="108"/>
      <c r="BCA142" s="108"/>
      <c r="BCB142" s="109"/>
      <c r="BCC142" s="107" t="s">
        <v>1</v>
      </c>
      <c r="BCD142" s="108"/>
      <c r="BCE142" s="108"/>
      <c r="BCF142" s="109"/>
      <c r="BCG142" s="107" t="s">
        <v>1</v>
      </c>
      <c r="BCH142" s="108"/>
      <c r="BCI142" s="108"/>
      <c r="BCJ142" s="109"/>
      <c r="BCK142" s="107" t="s">
        <v>1</v>
      </c>
      <c r="BCL142" s="108"/>
      <c r="BCM142" s="108"/>
      <c r="BCN142" s="109"/>
      <c r="BCO142" s="107" t="s">
        <v>1</v>
      </c>
      <c r="BCP142" s="108"/>
      <c r="BCQ142" s="108"/>
      <c r="BCR142" s="109"/>
      <c r="BCS142" s="107" t="s">
        <v>1</v>
      </c>
      <c r="BCT142" s="108"/>
      <c r="BCU142" s="108"/>
      <c r="BCV142" s="109"/>
      <c r="BCW142" s="107" t="s">
        <v>1</v>
      </c>
      <c r="BCX142" s="108"/>
      <c r="BCY142" s="108"/>
      <c r="BCZ142" s="109"/>
      <c r="BDA142" s="107" t="s">
        <v>1</v>
      </c>
      <c r="BDB142" s="108"/>
      <c r="BDC142" s="108"/>
      <c r="BDD142" s="109"/>
      <c r="BDE142" s="107" t="s">
        <v>1</v>
      </c>
      <c r="BDF142" s="108"/>
      <c r="BDG142" s="108"/>
      <c r="BDH142" s="109"/>
      <c r="BDI142" s="107" t="s">
        <v>1</v>
      </c>
      <c r="BDJ142" s="108"/>
      <c r="BDK142" s="108"/>
      <c r="BDL142" s="109"/>
      <c r="BDM142" s="107" t="s">
        <v>1</v>
      </c>
      <c r="BDN142" s="108"/>
      <c r="BDO142" s="108"/>
      <c r="BDP142" s="109"/>
      <c r="BDQ142" s="107" t="s">
        <v>1</v>
      </c>
      <c r="BDR142" s="108"/>
      <c r="BDS142" s="108"/>
      <c r="BDT142" s="109"/>
      <c r="BDU142" s="107" t="s">
        <v>1</v>
      </c>
      <c r="BDV142" s="108"/>
      <c r="BDW142" s="108"/>
      <c r="BDX142" s="109"/>
      <c r="BDY142" s="107" t="s">
        <v>1</v>
      </c>
      <c r="BDZ142" s="108"/>
      <c r="BEA142" s="108"/>
      <c r="BEB142" s="109"/>
      <c r="BEC142" s="107" t="s">
        <v>1</v>
      </c>
      <c r="BED142" s="108"/>
      <c r="BEE142" s="108"/>
      <c r="BEF142" s="109"/>
      <c r="BEG142" s="107" t="s">
        <v>1</v>
      </c>
      <c r="BEH142" s="108"/>
      <c r="BEI142" s="108"/>
      <c r="BEJ142" s="109"/>
      <c r="BEK142" s="107" t="s">
        <v>1</v>
      </c>
      <c r="BEL142" s="108"/>
      <c r="BEM142" s="108"/>
      <c r="BEN142" s="109"/>
      <c r="BEO142" s="107" t="s">
        <v>1</v>
      </c>
      <c r="BEP142" s="108"/>
      <c r="BEQ142" s="108"/>
      <c r="BER142" s="109"/>
      <c r="BES142" s="107" t="s">
        <v>1</v>
      </c>
      <c r="BET142" s="108"/>
      <c r="BEU142" s="108"/>
      <c r="BEV142" s="109"/>
      <c r="BEW142" s="107" t="s">
        <v>1</v>
      </c>
      <c r="BEX142" s="108"/>
      <c r="BEY142" s="108"/>
      <c r="BEZ142" s="109"/>
      <c r="BFA142" s="107" t="s">
        <v>1</v>
      </c>
      <c r="BFB142" s="108"/>
      <c r="BFC142" s="108"/>
      <c r="BFD142" s="109"/>
      <c r="BFE142" s="107" t="s">
        <v>1</v>
      </c>
      <c r="BFF142" s="108"/>
      <c r="BFG142" s="108"/>
      <c r="BFH142" s="109"/>
      <c r="BFI142" s="107" t="s">
        <v>1</v>
      </c>
      <c r="BFJ142" s="108"/>
      <c r="BFK142" s="108"/>
      <c r="BFL142" s="109"/>
      <c r="BFM142" s="107" t="s">
        <v>1</v>
      </c>
      <c r="BFN142" s="108"/>
      <c r="BFO142" s="108"/>
      <c r="BFP142" s="109"/>
      <c r="BFQ142" s="107" t="s">
        <v>1</v>
      </c>
      <c r="BFR142" s="108"/>
      <c r="BFS142" s="108"/>
      <c r="BFT142" s="109"/>
      <c r="BFU142" s="107" t="s">
        <v>1</v>
      </c>
      <c r="BFV142" s="108"/>
      <c r="BFW142" s="108"/>
      <c r="BFX142" s="109"/>
      <c r="BFY142" s="107" t="s">
        <v>1</v>
      </c>
      <c r="BFZ142" s="108"/>
      <c r="BGA142" s="108"/>
      <c r="BGB142" s="109"/>
      <c r="BGC142" s="107" t="s">
        <v>1</v>
      </c>
      <c r="BGD142" s="108"/>
      <c r="BGE142" s="108"/>
      <c r="BGF142" s="109"/>
      <c r="BGG142" s="107" t="s">
        <v>1</v>
      </c>
      <c r="BGH142" s="108"/>
      <c r="BGI142" s="108"/>
      <c r="BGJ142" s="109"/>
      <c r="BGK142" s="107" t="s">
        <v>1</v>
      </c>
      <c r="BGL142" s="108"/>
      <c r="BGM142" s="108"/>
      <c r="BGN142" s="109"/>
      <c r="BGO142" s="107" t="s">
        <v>1</v>
      </c>
      <c r="BGP142" s="108"/>
      <c r="BGQ142" s="108"/>
      <c r="BGR142" s="109"/>
      <c r="BGS142" s="107" t="s">
        <v>1</v>
      </c>
      <c r="BGT142" s="108"/>
      <c r="BGU142" s="108"/>
      <c r="BGV142" s="109"/>
      <c r="BGW142" s="107" t="s">
        <v>1</v>
      </c>
      <c r="BGX142" s="108"/>
      <c r="BGY142" s="108"/>
      <c r="BGZ142" s="109"/>
      <c r="BHA142" s="107" t="s">
        <v>1</v>
      </c>
      <c r="BHB142" s="108"/>
      <c r="BHC142" s="108"/>
      <c r="BHD142" s="109"/>
      <c r="BHE142" s="107" t="s">
        <v>1</v>
      </c>
      <c r="BHF142" s="108"/>
      <c r="BHG142" s="108"/>
      <c r="BHH142" s="109"/>
      <c r="BHI142" s="107" t="s">
        <v>1</v>
      </c>
      <c r="BHJ142" s="108"/>
      <c r="BHK142" s="108"/>
      <c r="BHL142" s="109"/>
      <c r="BHM142" s="107" t="s">
        <v>1</v>
      </c>
      <c r="BHN142" s="108"/>
      <c r="BHO142" s="108"/>
      <c r="BHP142" s="109"/>
      <c r="BHQ142" s="107" t="s">
        <v>1</v>
      </c>
      <c r="BHR142" s="108"/>
      <c r="BHS142" s="108"/>
      <c r="BHT142" s="109"/>
      <c r="BHU142" s="107" t="s">
        <v>1</v>
      </c>
      <c r="BHV142" s="108"/>
      <c r="BHW142" s="108"/>
      <c r="BHX142" s="109"/>
      <c r="BHY142" s="107" t="s">
        <v>1</v>
      </c>
      <c r="BHZ142" s="108"/>
      <c r="BIA142" s="108"/>
      <c r="BIB142" s="109"/>
      <c r="BIC142" s="107" t="s">
        <v>1</v>
      </c>
      <c r="BID142" s="108"/>
      <c r="BIE142" s="108"/>
      <c r="BIF142" s="109"/>
      <c r="BIG142" s="107" t="s">
        <v>1</v>
      </c>
      <c r="BIH142" s="108"/>
      <c r="BII142" s="108"/>
      <c r="BIJ142" s="109"/>
      <c r="BIK142" s="107" t="s">
        <v>1</v>
      </c>
      <c r="BIL142" s="108"/>
      <c r="BIM142" s="108"/>
      <c r="BIN142" s="109"/>
      <c r="BIO142" s="107" t="s">
        <v>1</v>
      </c>
      <c r="BIP142" s="108"/>
      <c r="BIQ142" s="108"/>
      <c r="BIR142" s="109"/>
      <c r="BIS142" s="107" t="s">
        <v>1</v>
      </c>
      <c r="BIT142" s="108"/>
      <c r="BIU142" s="108"/>
      <c r="BIV142" s="109"/>
      <c r="BIW142" s="107" t="s">
        <v>1</v>
      </c>
      <c r="BIX142" s="108"/>
      <c r="BIY142" s="108"/>
      <c r="BIZ142" s="109"/>
      <c r="BJA142" s="107" t="s">
        <v>1</v>
      </c>
      <c r="BJB142" s="108"/>
      <c r="BJC142" s="108"/>
      <c r="BJD142" s="109"/>
      <c r="BJE142" s="107" t="s">
        <v>1</v>
      </c>
      <c r="BJF142" s="108"/>
      <c r="BJG142" s="108"/>
      <c r="BJH142" s="109"/>
      <c r="BJI142" s="107" t="s">
        <v>1</v>
      </c>
      <c r="BJJ142" s="108"/>
      <c r="BJK142" s="108"/>
      <c r="BJL142" s="109"/>
      <c r="BJM142" s="107" t="s">
        <v>1</v>
      </c>
      <c r="BJN142" s="108"/>
      <c r="BJO142" s="108"/>
      <c r="BJP142" s="109"/>
      <c r="BJQ142" s="107" t="s">
        <v>1</v>
      </c>
      <c r="BJR142" s="108"/>
      <c r="BJS142" s="108"/>
      <c r="BJT142" s="109"/>
      <c r="BJU142" s="107" t="s">
        <v>1</v>
      </c>
      <c r="BJV142" s="108"/>
      <c r="BJW142" s="108"/>
      <c r="BJX142" s="109"/>
      <c r="BJY142" s="107" t="s">
        <v>1</v>
      </c>
      <c r="BJZ142" s="108"/>
      <c r="BKA142" s="108"/>
      <c r="BKB142" s="109"/>
      <c r="BKC142" s="107" t="s">
        <v>1</v>
      </c>
      <c r="BKD142" s="108"/>
      <c r="BKE142" s="108"/>
      <c r="BKF142" s="109"/>
      <c r="BKG142" s="107" t="s">
        <v>1</v>
      </c>
      <c r="BKH142" s="108"/>
      <c r="BKI142" s="108"/>
      <c r="BKJ142" s="109"/>
      <c r="BKK142" s="107" t="s">
        <v>1</v>
      </c>
      <c r="BKL142" s="108"/>
      <c r="BKM142" s="108"/>
      <c r="BKN142" s="109"/>
      <c r="BKO142" s="107" t="s">
        <v>1</v>
      </c>
      <c r="BKP142" s="108"/>
      <c r="BKQ142" s="108"/>
      <c r="BKR142" s="109"/>
      <c r="BKS142" s="107" t="s">
        <v>1</v>
      </c>
      <c r="BKT142" s="108"/>
      <c r="BKU142" s="108"/>
      <c r="BKV142" s="109"/>
      <c r="BKW142" s="107" t="s">
        <v>1</v>
      </c>
      <c r="BKX142" s="108"/>
      <c r="BKY142" s="108"/>
      <c r="BKZ142" s="109"/>
      <c r="BLA142" s="107" t="s">
        <v>1</v>
      </c>
      <c r="BLB142" s="108"/>
      <c r="BLC142" s="108"/>
      <c r="BLD142" s="109"/>
      <c r="BLE142" s="107" t="s">
        <v>1</v>
      </c>
      <c r="BLF142" s="108"/>
      <c r="BLG142" s="108"/>
      <c r="BLH142" s="109"/>
      <c r="BLI142" s="107" t="s">
        <v>1</v>
      </c>
      <c r="BLJ142" s="108"/>
      <c r="BLK142" s="108"/>
      <c r="BLL142" s="109"/>
      <c r="BLM142" s="107" t="s">
        <v>1</v>
      </c>
      <c r="BLN142" s="108"/>
      <c r="BLO142" s="108"/>
      <c r="BLP142" s="109"/>
      <c r="BLQ142" s="107" t="s">
        <v>1</v>
      </c>
      <c r="BLR142" s="108"/>
      <c r="BLS142" s="108"/>
      <c r="BLT142" s="109"/>
      <c r="BLU142" s="107" t="s">
        <v>1</v>
      </c>
      <c r="BLV142" s="108"/>
      <c r="BLW142" s="108"/>
      <c r="BLX142" s="109"/>
      <c r="BLY142" s="107" t="s">
        <v>1</v>
      </c>
      <c r="BLZ142" s="108"/>
      <c r="BMA142" s="108"/>
      <c r="BMB142" s="109"/>
      <c r="BMC142" s="107" t="s">
        <v>1</v>
      </c>
      <c r="BMD142" s="108"/>
      <c r="BME142" s="108"/>
      <c r="BMF142" s="109"/>
      <c r="BMG142" s="107" t="s">
        <v>1</v>
      </c>
      <c r="BMH142" s="108"/>
      <c r="BMI142" s="108"/>
      <c r="BMJ142" s="109"/>
      <c r="BMK142" s="107" t="s">
        <v>1</v>
      </c>
      <c r="BML142" s="108"/>
      <c r="BMM142" s="108"/>
      <c r="BMN142" s="109"/>
      <c r="BMO142" s="107" t="s">
        <v>1</v>
      </c>
      <c r="BMP142" s="108"/>
      <c r="BMQ142" s="108"/>
      <c r="BMR142" s="109"/>
      <c r="BMS142" s="107" t="s">
        <v>1</v>
      </c>
      <c r="BMT142" s="108"/>
      <c r="BMU142" s="108"/>
      <c r="BMV142" s="109"/>
      <c r="BMW142" s="107" t="s">
        <v>1</v>
      </c>
      <c r="BMX142" s="108"/>
      <c r="BMY142" s="108"/>
      <c r="BMZ142" s="109"/>
      <c r="BNA142" s="107" t="s">
        <v>1</v>
      </c>
      <c r="BNB142" s="108"/>
      <c r="BNC142" s="108"/>
      <c r="BND142" s="109"/>
      <c r="BNE142" s="107" t="s">
        <v>1</v>
      </c>
      <c r="BNF142" s="108"/>
      <c r="BNG142" s="108"/>
      <c r="BNH142" s="109"/>
      <c r="BNI142" s="107" t="s">
        <v>1</v>
      </c>
      <c r="BNJ142" s="108"/>
      <c r="BNK142" s="108"/>
      <c r="BNL142" s="109"/>
      <c r="BNM142" s="107" t="s">
        <v>1</v>
      </c>
      <c r="BNN142" s="108"/>
      <c r="BNO142" s="108"/>
      <c r="BNP142" s="109"/>
      <c r="BNQ142" s="107" t="s">
        <v>1</v>
      </c>
      <c r="BNR142" s="108"/>
      <c r="BNS142" s="108"/>
      <c r="BNT142" s="109"/>
      <c r="BNU142" s="107" t="s">
        <v>1</v>
      </c>
      <c r="BNV142" s="108"/>
      <c r="BNW142" s="108"/>
      <c r="BNX142" s="109"/>
      <c r="BNY142" s="107" t="s">
        <v>1</v>
      </c>
      <c r="BNZ142" s="108"/>
      <c r="BOA142" s="108"/>
      <c r="BOB142" s="109"/>
      <c r="BOC142" s="107" t="s">
        <v>1</v>
      </c>
      <c r="BOD142" s="108"/>
      <c r="BOE142" s="108"/>
      <c r="BOF142" s="109"/>
      <c r="BOG142" s="107" t="s">
        <v>1</v>
      </c>
      <c r="BOH142" s="108"/>
      <c r="BOI142" s="108"/>
      <c r="BOJ142" s="109"/>
      <c r="BOK142" s="107" t="s">
        <v>1</v>
      </c>
      <c r="BOL142" s="108"/>
      <c r="BOM142" s="108"/>
      <c r="BON142" s="109"/>
      <c r="BOO142" s="107" t="s">
        <v>1</v>
      </c>
      <c r="BOP142" s="108"/>
      <c r="BOQ142" s="108"/>
      <c r="BOR142" s="109"/>
      <c r="BOS142" s="107" t="s">
        <v>1</v>
      </c>
      <c r="BOT142" s="108"/>
      <c r="BOU142" s="108"/>
      <c r="BOV142" s="109"/>
      <c r="BOW142" s="107" t="s">
        <v>1</v>
      </c>
      <c r="BOX142" s="108"/>
      <c r="BOY142" s="108"/>
      <c r="BOZ142" s="109"/>
      <c r="BPA142" s="107" t="s">
        <v>1</v>
      </c>
      <c r="BPB142" s="108"/>
      <c r="BPC142" s="108"/>
      <c r="BPD142" s="109"/>
      <c r="BPE142" s="107" t="s">
        <v>1</v>
      </c>
      <c r="BPF142" s="108"/>
      <c r="BPG142" s="108"/>
      <c r="BPH142" s="109"/>
      <c r="BPI142" s="107" t="s">
        <v>1</v>
      </c>
      <c r="BPJ142" s="108"/>
      <c r="BPK142" s="108"/>
      <c r="BPL142" s="109"/>
      <c r="BPM142" s="107" t="s">
        <v>1</v>
      </c>
      <c r="BPN142" s="108"/>
      <c r="BPO142" s="108"/>
      <c r="BPP142" s="109"/>
      <c r="BPQ142" s="107" t="s">
        <v>1</v>
      </c>
      <c r="BPR142" s="108"/>
      <c r="BPS142" s="108"/>
      <c r="BPT142" s="109"/>
      <c r="BPU142" s="107" t="s">
        <v>1</v>
      </c>
      <c r="BPV142" s="108"/>
      <c r="BPW142" s="108"/>
      <c r="BPX142" s="109"/>
      <c r="BPY142" s="107" t="s">
        <v>1</v>
      </c>
      <c r="BPZ142" s="108"/>
      <c r="BQA142" s="108"/>
      <c r="BQB142" s="109"/>
      <c r="BQC142" s="107" t="s">
        <v>1</v>
      </c>
      <c r="BQD142" s="108"/>
      <c r="BQE142" s="108"/>
      <c r="BQF142" s="109"/>
      <c r="BQG142" s="107" t="s">
        <v>1</v>
      </c>
      <c r="BQH142" s="108"/>
      <c r="BQI142" s="108"/>
      <c r="BQJ142" s="109"/>
      <c r="BQK142" s="107" t="s">
        <v>1</v>
      </c>
      <c r="BQL142" s="108"/>
      <c r="BQM142" s="108"/>
      <c r="BQN142" s="109"/>
      <c r="BQO142" s="107" t="s">
        <v>1</v>
      </c>
      <c r="BQP142" s="108"/>
      <c r="BQQ142" s="108"/>
      <c r="BQR142" s="109"/>
      <c r="BQS142" s="107" t="s">
        <v>1</v>
      </c>
      <c r="BQT142" s="108"/>
      <c r="BQU142" s="108"/>
      <c r="BQV142" s="109"/>
      <c r="BQW142" s="107" t="s">
        <v>1</v>
      </c>
      <c r="BQX142" s="108"/>
      <c r="BQY142" s="108"/>
      <c r="BQZ142" s="109"/>
      <c r="BRA142" s="107" t="s">
        <v>1</v>
      </c>
      <c r="BRB142" s="108"/>
      <c r="BRC142" s="108"/>
      <c r="BRD142" s="109"/>
      <c r="BRE142" s="107" t="s">
        <v>1</v>
      </c>
      <c r="BRF142" s="108"/>
      <c r="BRG142" s="108"/>
      <c r="BRH142" s="109"/>
      <c r="BRI142" s="107" t="s">
        <v>1</v>
      </c>
      <c r="BRJ142" s="108"/>
      <c r="BRK142" s="108"/>
      <c r="BRL142" s="109"/>
      <c r="BRM142" s="107" t="s">
        <v>1</v>
      </c>
      <c r="BRN142" s="108"/>
      <c r="BRO142" s="108"/>
      <c r="BRP142" s="109"/>
      <c r="BRQ142" s="107" t="s">
        <v>1</v>
      </c>
      <c r="BRR142" s="108"/>
      <c r="BRS142" s="108"/>
      <c r="BRT142" s="109"/>
      <c r="BRU142" s="107" t="s">
        <v>1</v>
      </c>
      <c r="BRV142" s="108"/>
      <c r="BRW142" s="108"/>
      <c r="BRX142" s="109"/>
      <c r="BRY142" s="107" t="s">
        <v>1</v>
      </c>
      <c r="BRZ142" s="108"/>
      <c r="BSA142" s="108"/>
      <c r="BSB142" s="109"/>
      <c r="BSC142" s="107" t="s">
        <v>1</v>
      </c>
      <c r="BSD142" s="108"/>
      <c r="BSE142" s="108"/>
      <c r="BSF142" s="109"/>
      <c r="BSG142" s="107" t="s">
        <v>1</v>
      </c>
      <c r="BSH142" s="108"/>
      <c r="BSI142" s="108"/>
      <c r="BSJ142" s="109"/>
      <c r="BSK142" s="107" t="s">
        <v>1</v>
      </c>
      <c r="BSL142" s="108"/>
      <c r="BSM142" s="108"/>
      <c r="BSN142" s="109"/>
      <c r="BSO142" s="107" t="s">
        <v>1</v>
      </c>
      <c r="BSP142" s="108"/>
      <c r="BSQ142" s="108"/>
      <c r="BSR142" s="109"/>
      <c r="BSS142" s="107" t="s">
        <v>1</v>
      </c>
      <c r="BST142" s="108"/>
      <c r="BSU142" s="108"/>
      <c r="BSV142" s="109"/>
      <c r="BSW142" s="107" t="s">
        <v>1</v>
      </c>
      <c r="BSX142" s="108"/>
      <c r="BSY142" s="108"/>
      <c r="BSZ142" s="109"/>
      <c r="BTA142" s="107" t="s">
        <v>1</v>
      </c>
      <c r="BTB142" s="108"/>
      <c r="BTC142" s="108"/>
      <c r="BTD142" s="109"/>
      <c r="BTE142" s="107" t="s">
        <v>1</v>
      </c>
      <c r="BTF142" s="108"/>
      <c r="BTG142" s="108"/>
      <c r="BTH142" s="109"/>
      <c r="BTI142" s="107" t="s">
        <v>1</v>
      </c>
      <c r="BTJ142" s="108"/>
      <c r="BTK142" s="108"/>
      <c r="BTL142" s="109"/>
      <c r="BTM142" s="107" t="s">
        <v>1</v>
      </c>
      <c r="BTN142" s="108"/>
      <c r="BTO142" s="108"/>
      <c r="BTP142" s="109"/>
      <c r="BTQ142" s="107" t="s">
        <v>1</v>
      </c>
      <c r="BTR142" s="108"/>
      <c r="BTS142" s="108"/>
      <c r="BTT142" s="109"/>
      <c r="BTU142" s="107" t="s">
        <v>1</v>
      </c>
      <c r="BTV142" s="108"/>
      <c r="BTW142" s="108"/>
      <c r="BTX142" s="109"/>
      <c r="BTY142" s="107" t="s">
        <v>1</v>
      </c>
      <c r="BTZ142" s="108"/>
      <c r="BUA142" s="108"/>
      <c r="BUB142" s="109"/>
      <c r="BUC142" s="107" t="s">
        <v>1</v>
      </c>
      <c r="BUD142" s="108"/>
      <c r="BUE142" s="108"/>
      <c r="BUF142" s="109"/>
      <c r="BUG142" s="107" t="s">
        <v>1</v>
      </c>
      <c r="BUH142" s="108"/>
      <c r="BUI142" s="108"/>
      <c r="BUJ142" s="109"/>
      <c r="BUK142" s="107" t="s">
        <v>1</v>
      </c>
      <c r="BUL142" s="108"/>
      <c r="BUM142" s="108"/>
      <c r="BUN142" s="109"/>
      <c r="BUO142" s="107" t="s">
        <v>1</v>
      </c>
      <c r="BUP142" s="108"/>
      <c r="BUQ142" s="108"/>
      <c r="BUR142" s="109"/>
      <c r="BUS142" s="107" t="s">
        <v>1</v>
      </c>
      <c r="BUT142" s="108"/>
      <c r="BUU142" s="108"/>
      <c r="BUV142" s="109"/>
      <c r="BUW142" s="107" t="s">
        <v>1</v>
      </c>
      <c r="BUX142" s="108"/>
      <c r="BUY142" s="108"/>
      <c r="BUZ142" s="109"/>
      <c r="BVA142" s="107" t="s">
        <v>1</v>
      </c>
      <c r="BVB142" s="108"/>
      <c r="BVC142" s="108"/>
      <c r="BVD142" s="109"/>
      <c r="BVE142" s="107" t="s">
        <v>1</v>
      </c>
      <c r="BVF142" s="108"/>
      <c r="BVG142" s="108"/>
      <c r="BVH142" s="109"/>
      <c r="BVI142" s="107" t="s">
        <v>1</v>
      </c>
      <c r="BVJ142" s="108"/>
      <c r="BVK142" s="108"/>
      <c r="BVL142" s="109"/>
      <c r="BVM142" s="107" t="s">
        <v>1</v>
      </c>
      <c r="BVN142" s="108"/>
      <c r="BVO142" s="108"/>
      <c r="BVP142" s="109"/>
      <c r="BVQ142" s="107" t="s">
        <v>1</v>
      </c>
      <c r="BVR142" s="108"/>
      <c r="BVS142" s="108"/>
      <c r="BVT142" s="109"/>
      <c r="BVU142" s="107" t="s">
        <v>1</v>
      </c>
      <c r="BVV142" s="108"/>
      <c r="BVW142" s="108"/>
      <c r="BVX142" s="109"/>
      <c r="BVY142" s="107" t="s">
        <v>1</v>
      </c>
      <c r="BVZ142" s="108"/>
      <c r="BWA142" s="108"/>
      <c r="BWB142" s="109"/>
      <c r="BWC142" s="107" t="s">
        <v>1</v>
      </c>
      <c r="BWD142" s="108"/>
      <c r="BWE142" s="108"/>
      <c r="BWF142" s="109"/>
      <c r="BWG142" s="107" t="s">
        <v>1</v>
      </c>
      <c r="BWH142" s="108"/>
      <c r="BWI142" s="108"/>
      <c r="BWJ142" s="109"/>
      <c r="BWK142" s="107" t="s">
        <v>1</v>
      </c>
      <c r="BWL142" s="108"/>
      <c r="BWM142" s="108"/>
      <c r="BWN142" s="109"/>
      <c r="BWO142" s="107" t="s">
        <v>1</v>
      </c>
      <c r="BWP142" s="108"/>
      <c r="BWQ142" s="108"/>
      <c r="BWR142" s="109"/>
      <c r="BWS142" s="107" t="s">
        <v>1</v>
      </c>
      <c r="BWT142" s="108"/>
      <c r="BWU142" s="108"/>
      <c r="BWV142" s="109"/>
      <c r="BWW142" s="107" t="s">
        <v>1</v>
      </c>
      <c r="BWX142" s="108"/>
      <c r="BWY142" s="108"/>
      <c r="BWZ142" s="109"/>
      <c r="BXA142" s="107" t="s">
        <v>1</v>
      </c>
      <c r="BXB142" s="108"/>
      <c r="BXC142" s="108"/>
      <c r="BXD142" s="109"/>
      <c r="BXE142" s="107" t="s">
        <v>1</v>
      </c>
      <c r="BXF142" s="108"/>
      <c r="BXG142" s="108"/>
      <c r="BXH142" s="109"/>
      <c r="BXI142" s="107" t="s">
        <v>1</v>
      </c>
      <c r="BXJ142" s="108"/>
      <c r="BXK142" s="108"/>
      <c r="BXL142" s="109"/>
      <c r="BXM142" s="107" t="s">
        <v>1</v>
      </c>
      <c r="BXN142" s="108"/>
      <c r="BXO142" s="108"/>
      <c r="BXP142" s="109"/>
      <c r="BXQ142" s="107" t="s">
        <v>1</v>
      </c>
      <c r="BXR142" s="108"/>
      <c r="BXS142" s="108"/>
      <c r="BXT142" s="109"/>
      <c r="BXU142" s="107" t="s">
        <v>1</v>
      </c>
      <c r="BXV142" s="108"/>
      <c r="BXW142" s="108"/>
      <c r="BXX142" s="109"/>
      <c r="BXY142" s="107" t="s">
        <v>1</v>
      </c>
      <c r="BXZ142" s="108"/>
      <c r="BYA142" s="108"/>
      <c r="BYB142" s="109"/>
      <c r="BYC142" s="107" t="s">
        <v>1</v>
      </c>
      <c r="BYD142" s="108"/>
      <c r="BYE142" s="108"/>
      <c r="BYF142" s="109"/>
      <c r="BYG142" s="107" t="s">
        <v>1</v>
      </c>
      <c r="BYH142" s="108"/>
      <c r="BYI142" s="108"/>
      <c r="BYJ142" s="109"/>
      <c r="BYK142" s="107" t="s">
        <v>1</v>
      </c>
      <c r="BYL142" s="108"/>
      <c r="BYM142" s="108"/>
      <c r="BYN142" s="109"/>
      <c r="BYO142" s="107" t="s">
        <v>1</v>
      </c>
      <c r="BYP142" s="108"/>
      <c r="BYQ142" s="108"/>
      <c r="BYR142" s="109"/>
      <c r="BYS142" s="107" t="s">
        <v>1</v>
      </c>
      <c r="BYT142" s="108"/>
      <c r="BYU142" s="108"/>
      <c r="BYV142" s="109"/>
      <c r="BYW142" s="107" t="s">
        <v>1</v>
      </c>
      <c r="BYX142" s="108"/>
      <c r="BYY142" s="108"/>
      <c r="BYZ142" s="109"/>
      <c r="BZA142" s="107" t="s">
        <v>1</v>
      </c>
      <c r="BZB142" s="108"/>
      <c r="BZC142" s="108"/>
      <c r="BZD142" s="109"/>
      <c r="BZE142" s="107" t="s">
        <v>1</v>
      </c>
      <c r="BZF142" s="108"/>
      <c r="BZG142" s="108"/>
      <c r="BZH142" s="109"/>
      <c r="BZI142" s="107" t="s">
        <v>1</v>
      </c>
      <c r="BZJ142" s="108"/>
      <c r="BZK142" s="108"/>
      <c r="BZL142" s="109"/>
      <c r="BZM142" s="107" t="s">
        <v>1</v>
      </c>
      <c r="BZN142" s="108"/>
      <c r="BZO142" s="108"/>
      <c r="BZP142" s="109"/>
      <c r="BZQ142" s="107" t="s">
        <v>1</v>
      </c>
      <c r="BZR142" s="108"/>
      <c r="BZS142" s="108"/>
      <c r="BZT142" s="109"/>
      <c r="BZU142" s="107" t="s">
        <v>1</v>
      </c>
      <c r="BZV142" s="108"/>
      <c r="BZW142" s="108"/>
      <c r="BZX142" s="109"/>
      <c r="BZY142" s="107" t="s">
        <v>1</v>
      </c>
      <c r="BZZ142" s="108"/>
      <c r="CAA142" s="108"/>
      <c r="CAB142" s="109"/>
      <c r="CAC142" s="107" t="s">
        <v>1</v>
      </c>
      <c r="CAD142" s="108"/>
      <c r="CAE142" s="108"/>
      <c r="CAF142" s="109"/>
      <c r="CAG142" s="107" t="s">
        <v>1</v>
      </c>
      <c r="CAH142" s="108"/>
      <c r="CAI142" s="108"/>
      <c r="CAJ142" s="109"/>
      <c r="CAK142" s="107" t="s">
        <v>1</v>
      </c>
      <c r="CAL142" s="108"/>
      <c r="CAM142" s="108"/>
      <c r="CAN142" s="109"/>
      <c r="CAO142" s="107" t="s">
        <v>1</v>
      </c>
      <c r="CAP142" s="108"/>
      <c r="CAQ142" s="108"/>
      <c r="CAR142" s="109"/>
      <c r="CAS142" s="107" t="s">
        <v>1</v>
      </c>
      <c r="CAT142" s="108"/>
      <c r="CAU142" s="108"/>
      <c r="CAV142" s="109"/>
      <c r="CAW142" s="107" t="s">
        <v>1</v>
      </c>
      <c r="CAX142" s="108"/>
      <c r="CAY142" s="108"/>
      <c r="CAZ142" s="109"/>
      <c r="CBA142" s="107" t="s">
        <v>1</v>
      </c>
      <c r="CBB142" s="108"/>
      <c r="CBC142" s="108"/>
      <c r="CBD142" s="109"/>
      <c r="CBE142" s="107" t="s">
        <v>1</v>
      </c>
      <c r="CBF142" s="108"/>
      <c r="CBG142" s="108"/>
      <c r="CBH142" s="109"/>
      <c r="CBI142" s="107" t="s">
        <v>1</v>
      </c>
      <c r="CBJ142" s="108"/>
      <c r="CBK142" s="108"/>
      <c r="CBL142" s="109"/>
      <c r="CBM142" s="107" t="s">
        <v>1</v>
      </c>
      <c r="CBN142" s="108"/>
      <c r="CBO142" s="108"/>
      <c r="CBP142" s="109"/>
      <c r="CBQ142" s="107" t="s">
        <v>1</v>
      </c>
      <c r="CBR142" s="108"/>
      <c r="CBS142" s="108"/>
      <c r="CBT142" s="109"/>
      <c r="CBU142" s="107" t="s">
        <v>1</v>
      </c>
      <c r="CBV142" s="108"/>
      <c r="CBW142" s="108"/>
      <c r="CBX142" s="109"/>
      <c r="CBY142" s="107" t="s">
        <v>1</v>
      </c>
      <c r="CBZ142" s="108"/>
      <c r="CCA142" s="108"/>
      <c r="CCB142" s="109"/>
      <c r="CCC142" s="107" t="s">
        <v>1</v>
      </c>
      <c r="CCD142" s="108"/>
      <c r="CCE142" s="108"/>
      <c r="CCF142" s="109"/>
      <c r="CCG142" s="107" t="s">
        <v>1</v>
      </c>
      <c r="CCH142" s="108"/>
      <c r="CCI142" s="108"/>
      <c r="CCJ142" s="109"/>
      <c r="CCK142" s="107" t="s">
        <v>1</v>
      </c>
      <c r="CCL142" s="108"/>
      <c r="CCM142" s="108"/>
      <c r="CCN142" s="109"/>
      <c r="CCO142" s="107" t="s">
        <v>1</v>
      </c>
      <c r="CCP142" s="108"/>
      <c r="CCQ142" s="108"/>
      <c r="CCR142" s="109"/>
      <c r="CCS142" s="107" t="s">
        <v>1</v>
      </c>
      <c r="CCT142" s="108"/>
      <c r="CCU142" s="108"/>
      <c r="CCV142" s="109"/>
      <c r="CCW142" s="107" t="s">
        <v>1</v>
      </c>
      <c r="CCX142" s="108"/>
      <c r="CCY142" s="108"/>
      <c r="CCZ142" s="109"/>
      <c r="CDA142" s="107" t="s">
        <v>1</v>
      </c>
      <c r="CDB142" s="108"/>
      <c r="CDC142" s="108"/>
      <c r="CDD142" s="109"/>
      <c r="CDE142" s="107" t="s">
        <v>1</v>
      </c>
      <c r="CDF142" s="108"/>
      <c r="CDG142" s="108"/>
      <c r="CDH142" s="109"/>
      <c r="CDI142" s="107" t="s">
        <v>1</v>
      </c>
      <c r="CDJ142" s="108"/>
      <c r="CDK142" s="108"/>
      <c r="CDL142" s="109"/>
      <c r="CDM142" s="107" t="s">
        <v>1</v>
      </c>
      <c r="CDN142" s="108"/>
      <c r="CDO142" s="108"/>
      <c r="CDP142" s="109"/>
      <c r="CDQ142" s="107" t="s">
        <v>1</v>
      </c>
      <c r="CDR142" s="108"/>
      <c r="CDS142" s="108"/>
      <c r="CDT142" s="109"/>
      <c r="CDU142" s="107" t="s">
        <v>1</v>
      </c>
      <c r="CDV142" s="108"/>
      <c r="CDW142" s="108"/>
      <c r="CDX142" s="109"/>
      <c r="CDY142" s="107" t="s">
        <v>1</v>
      </c>
      <c r="CDZ142" s="108"/>
      <c r="CEA142" s="108"/>
      <c r="CEB142" s="109"/>
      <c r="CEC142" s="107" t="s">
        <v>1</v>
      </c>
      <c r="CED142" s="108"/>
      <c r="CEE142" s="108"/>
      <c r="CEF142" s="109"/>
      <c r="CEG142" s="107" t="s">
        <v>1</v>
      </c>
      <c r="CEH142" s="108"/>
      <c r="CEI142" s="108"/>
      <c r="CEJ142" s="109"/>
      <c r="CEK142" s="107" t="s">
        <v>1</v>
      </c>
      <c r="CEL142" s="108"/>
      <c r="CEM142" s="108"/>
      <c r="CEN142" s="109"/>
      <c r="CEO142" s="107" t="s">
        <v>1</v>
      </c>
      <c r="CEP142" s="108"/>
      <c r="CEQ142" s="108"/>
      <c r="CER142" s="109"/>
      <c r="CES142" s="107" t="s">
        <v>1</v>
      </c>
      <c r="CET142" s="108"/>
      <c r="CEU142" s="108"/>
      <c r="CEV142" s="109"/>
      <c r="CEW142" s="107" t="s">
        <v>1</v>
      </c>
      <c r="CEX142" s="108"/>
      <c r="CEY142" s="108"/>
      <c r="CEZ142" s="109"/>
      <c r="CFA142" s="107" t="s">
        <v>1</v>
      </c>
      <c r="CFB142" s="108"/>
      <c r="CFC142" s="108"/>
      <c r="CFD142" s="109"/>
      <c r="CFE142" s="107" t="s">
        <v>1</v>
      </c>
      <c r="CFF142" s="108"/>
      <c r="CFG142" s="108"/>
      <c r="CFH142" s="109"/>
      <c r="CFI142" s="107" t="s">
        <v>1</v>
      </c>
      <c r="CFJ142" s="108"/>
      <c r="CFK142" s="108"/>
      <c r="CFL142" s="109"/>
      <c r="CFM142" s="107" t="s">
        <v>1</v>
      </c>
      <c r="CFN142" s="108"/>
      <c r="CFO142" s="108"/>
      <c r="CFP142" s="109"/>
      <c r="CFQ142" s="107" t="s">
        <v>1</v>
      </c>
      <c r="CFR142" s="108"/>
      <c r="CFS142" s="108"/>
      <c r="CFT142" s="109"/>
      <c r="CFU142" s="107" t="s">
        <v>1</v>
      </c>
      <c r="CFV142" s="108"/>
      <c r="CFW142" s="108"/>
      <c r="CFX142" s="109"/>
      <c r="CFY142" s="107" t="s">
        <v>1</v>
      </c>
      <c r="CFZ142" s="108"/>
      <c r="CGA142" s="108"/>
      <c r="CGB142" s="109"/>
      <c r="CGC142" s="107" t="s">
        <v>1</v>
      </c>
      <c r="CGD142" s="108"/>
      <c r="CGE142" s="108"/>
      <c r="CGF142" s="109"/>
      <c r="CGG142" s="107" t="s">
        <v>1</v>
      </c>
      <c r="CGH142" s="108"/>
      <c r="CGI142" s="108"/>
      <c r="CGJ142" s="109"/>
      <c r="CGK142" s="107" t="s">
        <v>1</v>
      </c>
      <c r="CGL142" s="108"/>
      <c r="CGM142" s="108"/>
      <c r="CGN142" s="109"/>
      <c r="CGO142" s="107" t="s">
        <v>1</v>
      </c>
      <c r="CGP142" s="108"/>
      <c r="CGQ142" s="108"/>
      <c r="CGR142" s="109"/>
      <c r="CGS142" s="107" t="s">
        <v>1</v>
      </c>
      <c r="CGT142" s="108"/>
      <c r="CGU142" s="108"/>
      <c r="CGV142" s="109"/>
      <c r="CGW142" s="107" t="s">
        <v>1</v>
      </c>
      <c r="CGX142" s="108"/>
      <c r="CGY142" s="108"/>
      <c r="CGZ142" s="109"/>
      <c r="CHA142" s="107" t="s">
        <v>1</v>
      </c>
      <c r="CHB142" s="108"/>
      <c r="CHC142" s="108"/>
      <c r="CHD142" s="109"/>
      <c r="CHE142" s="107" t="s">
        <v>1</v>
      </c>
      <c r="CHF142" s="108"/>
      <c r="CHG142" s="108"/>
      <c r="CHH142" s="109"/>
      <c r="CHI142" s="107" t="s">
        <v>1</v>
      </c>
      <c r="CHJ142" s="108"/>
      <c r="CHK142" s="108"/>
      <c r="CHL142" s="109"/>
      <c r="CHM142" s="107" t="s">
        <v>1</v>
      </c>
      <c r="CHN142" s="108"/>
      <c r="CHO142" s="108"/>
      <c r="CHP142" s="109"/>
      <c r="CHQ142" s="107" t="s">
        <v>1</v>
      </c>
      <c r="CHR142" s="108"/>
      <c r="CHS142" s="108"/>
      <c r="CHT142" s="109"/>
      <c r="CHU142" s="107" t="s">
        <v>1</v>
      </c>
      <c r="CHV142" s="108"/>
      <c r="CHW142" s="108"/>
      <c r="CHX142" s="109"/>
      <c r="CHY142" s="107" t="s">
        <v>1</v>
      </c>
      <c r="CHZ142" s="108"/>
      <c r="CIA142" s="108"/>
      <c r="CIB142" s="109"/>
      <c r="CIC142" s="107" t="s">
        <v>1</v>
      </c>
      <c r="CID142" s="108"/>
      <c r="CIE142" s="108"/>
      <c r="CIF142" s="109"/>
      <c r="CIG142" s="107" t="s">
        <v>1</v>
      </c>
      <c r="CIH142" s="108"/>
      <c r="CII142" s="108"/>
      <c r="CIJ142" s="109"/>
      <c r="CIK142" s="107" t="s">
        <v>1</v>
      </c>
      <c r="CIL142" s="108"/>
      <c r="CIM142" s="108"/>
      <c r="CIN142" s="109"/>
      <c r="CIO142" s="107" t="s">
        <v>1</v>
      </c>
      <c r="CIP142" s="108"/>
      <c r="CIQ142" s="108"/>
      <c r="CIR142" s="109"/>
      <c r="CIS142" s="107" t="s">
        <v>1</v>
      </c>
      <c r="CIT142" s="108"/>
      <c r="CIU142" s="108"/>
      <c r="CIV142" s="109"/>
      <c r="CIW142" s="107" t="s">
        <v>1</v>
      </c>
      <c r="CIX142" s="108"/>
      <c r="CIY142" s="108"/>
      <c r="CIZ142" s="109"/>
      <c r="CJA142" s="107" t="s">
        <v>1</v>
      </c>
      <c r="CJB142" s="108"/>
      <c r="CJC142" s="108"/>
      <c r="CJD142" s="109"/>
      <c r="CJE142" s="107" t="s">
        <v>1</v>
      </c>
      <c r="CJF142" s="108"/>
      <c r="CJG142" s="108"/>
      <c r="CJH142" s="109"/>
      <c r="CJI142" s="107" t="s">
        <v>1</v>
      </c>
      <c r="CJJ142" s="108"/>
      <c r="CJK142" s="108"/>
      <c r="CJL142" s="109"/>
      <c r="CJM142" s="107" t="s">
        <v>1</v>
      </c>
      <c r="CJN142" s="108"/>
      <c r="CJO142" s="108"/>
      <c r="CJP142" s="109"/>
      <c r="CJQ142" s="107" t="s">
        <v>1</v>
      </c>
      <c r="CJR142" s="108"/>
      <c r="CJS142" s="108"/>
      <c r="CJT142" s="109"/>
      <c r="CJU142" s="107" t="s">
        <v>1</v>
      </c>
      <c r="CJV142" s="108"/>
      <c r="CJW142" s="108"/>
      <c r="CJX142" s="109"/>
      <c r="CJY142" s="107" t="s">
        <v>1</v>
      </c>
      <c r="CJZ142" s="108"/>
      <c r="CKA142" s="108"/>
      <c r="CKB142" s="109"/>
      <c r="CKC142" s="107" t="s">
        <v>1</v>
      </c>
      <c r="CKD142" s="108"/>
      <c r="CKE142" s="108"/>
      <c r="CKF142" s="109"/>
      <c r="CKG142" s="107" t="s">
        <v>1</v>
      </c>
      <c r="CKH142" s="108"/>
      <c r="CKI142" s="108"/>
      <c r="CKJ142" s="109"/>
      <c r="CKK142" s="107" t="s">
        <v>1</v>
      </c>
      <c r="CKL142" s="108"/>
      <c r="CKM142" s="108"/>
      <c r="CKN142" s="109"/>
      <c r="CKO142" s="107" t="s">
        <v>1</v>
      </c>
      <c r="CKP142" s="108"/>
      <c r="CKQ142" s="108"/>
      <c r="CKR142" s="109"/>
      <c r="CKS142" s="107" t="s">
        <v>1</v>
      </c>
      <c r="CKT142" s="108"/>
      <c r="CKU142" s="108"/>
      <c r="CKV142" s="109"/>
      <c r="CKW142" s="107" t="s">
        <v>1</v>
      </c>
      <c r="CKX142" s="108"/>
      <c r="CKY142" s="108"/>
      <c r="CKZ142" s="109"/>
      <c r="CLA142" s="107" t="s">
        <v>1</v>
      </c>
      <c r="CLB142" s="108"/>
      <c r="CLC142" s="108"/>
      <c r="CLD142" s="109"/>
      <c r="CLE142" s="107" t="s">
        <v>1</v>
      </c>
      <c r="CLF142" s="108"/>
      <c r="CLG142" s="108"/>
      <c r="CLH142" s="109"/>
      <c r="CLI142" s="107" t="s">
        <v>1</v>
      </c>
      <c r="CLJ142" s="108"/>
      <c r="CLK142" s="108"/>
      <c r="CLL142" s="109"/>
      <c r="CLM142" s="107" t="s">
        <v>1</v>
      </c>
      <c r="CLN142" s="108"/>
      <c r="CLO142" s="108"/>
      <c r="CLP142" s="109"/>
      <c r="CLQ142" s="107" t="s">
        <v>1</v>
      </c>
      <c r="CLR142" s="108"/>
      <c r="CLS142" s="108"/>
      <c r="CLT142" s="109"/>
      <c r="CLU142" s="107" t="s">
        <v>1</v>
      </c>
      <c r="CLV142" s="108"/>
      <c r="CLW142" s="108"/>
      <c r="CLX142" s="109"/>
      <c r="CLY142" s="107" t="s">
        <v>1</v>
      </c>
      <c r="CLZ142" s="108"/>
      <c r="CMA142" s="108"/>
      <c r="CMB142" s="109"/>
      <c r="CMC142" s="107" t="s">
        <v>1</v>
      </c>
      <c r="CMD142" s="108"/>
      <c r="CME142" s="108"/>
      <c r="CMF142" s="109"/>
      <c r="CMG142" s="107" t="s">
        <v>1</v>
      </c>
      <c r="CMH142" s="108"/>
      <c r="CMI142" s="108"/>
      <c r="CMJ142" s="109"/>
      <c r="CMK142" s="107" t="s">
        <v>1</v>
      </c>
      <c r="CML142" s="108"/>
      <c r="CMM142" s="108"/>
      <c r="CMN142" s="109"/>
      <c r="CMO142" s="107" t="s">
        <v>1</v>
      </c>
      <c r="CMP142" s="108"/>
      <c r="CMQ142" s="108"/>
      <c r="CMR142" s="109"/>
      <c r="CMS142" s="107" t="s">
        <v>1</v>
      </c>
      <c r="CMT142" s="108"/>
      <c r="CMU142" s="108"/>
      <c r="CMV142" s="109"/>
      <c r="CMW142" s="107" t="s">
        <v>1</v>
      </c>
      <c r="CMX142" s="108"/>
      <c r="CMY142" s="108"/>
      <c r="CMZ142" s="109"/>
      <c r="CNA142" s="107" t="s">
        <v>1</v>
      </c>
      <c r="CNB142" s="108"/>
      <c r="CNC142" s="108"/>
      <c r="CND142" s="109"/>
      <c r="CNE142" s="107" t="s">
        <v>1</v>
      </c>
      <c r="CNF142" s="108"/>
      <c r="CNG142" s="108"/>
      <c r="CNH142" s="109"/>
      <c r="CNI142" s="107" t="s">
        <v>1</v>
      </c>
      <c r="CNJ142" s="108"/>
      <c r="CNK142" s="108"/>
      <c r="CNL142" s="109"/>
      <c r="CNM142" s="107" t="s">
        <v>1</v>
      </c>
      <c r="CNN142" s="108"/>
      <c r="CNO142" s="108"/>
      <c r="CNP142" s="109"/>
      <c r="CNQ142" s="107" t="s">
        <v>1</v>
      </c>
      <c r="CNR142" s="108"/>
      <c r="CNS142" s="108"/>
      <c r="CNT142" s="109"/>
      <c r="CNU142" s="107" t="s">
        <v>1</v>
      </c>
      <c r="CNV142" s="108"/>
      <c r="CNW142" s="108"/>
      <c r="CNX142" s="109"/>
      <c r="CNY142" s="107" t="s">
        <v>1</v>
      </c>
      <c r="CNZ142" s="108"/>
      <c r="COA142" s="108"/>
      <c r="COB142" s="109"/>
      <c r="COC142" s="107" t="s">
        <v>1</v>
      </c>
      <c r="COD142" s="108"/>
      <c r="COE142" s="108"/>
      <c r="COF142" s="109"/>
      <c r="COG142" s="107" t="s">
        <v>1</v>
      </c>
      <c r="COH142" s="108"/>
      <c r="COI142" s="108"/>
      <c r="COJ142" s="109"/>
      <c r="COK142" s="107" t="s">
        <v>1</v>
      </c>
      <c r="COL142" s="108"/>
      <c r="COM142" s="108"/>
      <c r="CON142" s="109"/>
      <c r="COO142" s="107" t="s">
        <v>1</v>
      </c>
      <c r="COP142" s="108"/>
      <c r="COQ142" s="108"/>
      <c r="COR142" s="109"/>
      <c r="COS142" s="107" t="s">
        <v>1</v>
      </c>
      <c r="COT142" s="108"/>
      <c r="COU142" s="108"/>
      <c r="COV142" s="109"/>
      <c r="COW142" s="107" t="s">
        <v>1</v>
      </c>
      <c r="COX142" s="108"/>
      <c r="COY142" s="108"/>
      <c r="COZ142" s="109"/>
      <c r="CPA142" s="107" t="s">
        <v>1</v>
      </c>
      <c r="CPB142" s="108"/>
      <c r="CPC142" s="108"/>
      <c r="CPD142" s="109"/>
      <c r="CPE142" s="107" t="s">
        <v>1</v>
      </c>
      <c r="CPF142" s="108"/>
      <c r="CPG142" s="108"/>
      <c r="CPH142" s="109"/>
      <c r="CPI142" s="107" t="s">
        <v>1</v>
      </c>
      <c r="CPJ142" s="108"/>
      <c r="CPK142" s="108"/>
      <c r="CPL142" s="109"/>
      <c r="CPM142" s="107" t="s">
        <v>1</v>
      </c>
      <c r="CPN142" s="108"/>
      <c r="CPO142" s="108"/>
      <c r="CPP142" s="109"/>
      <c r="CPQ142" s="107" t="s">
        <v>1</v>
      </c>
      <c r="CPR142" s="108"/>
      <c r="CPS142" s="108"/>
      <c r="CPT142" s="109"/>
      <c r="CPU142" s="107" t="s">
        <v>1</v>
      </c>
      <c r="CPV142" s="108"/>
      <c r="CPW142" s="108"/>
      <c r="CPX142" s="109"/>
      <c r="CPY142" s="107" t="s">
        <v>1</v>
      </c>
      <c r="CPZ142" s="108"/>
      <c r="CQA142" s="108"/>
      <c r="CQB142" s="109"/>
      <c r="CQC142" s="107" t="s">
        <v>1</v>
      </c>
      <c r="CQD142" s="108"/>
      <c r="CQE142" s="108"/>
      <c r="CQF142" s="109"/>
      <c r="CQG142" s="107" t="s">
        <v>1</v>
      </c>
      <c r="CQH142" s="108"/>
      <c r="CQI142" s="108"/>
      <c r="CQJ142" s="109"/>
      <c r="CQK142" s="107" t="s">
        <v>1</v>
      </c>
      <c r="CQL142" s="108"/>
      <c r="CQM142" s="108"/>
      <c r="CQN142" s="109"/>
      <c r="CQO142" s="107" t="s">
        <v>1</v>
      </c>
      <c r="CQP142" s="108"/>
      <c r="CQQ142" s="108"/>
      <c r="CQR142" s="109"/>
      <c r="CQS142" s="107" t="s">
        <v>1</v>
      </c>
      <c r="CQT142" s="108"/>
      <c r="CQU142" s="108"/>
      <c r="CQV142" s="109"/>
      <c r="CQW142" s="107" t="s">
        <v>1</v>
      </c>
      <c r="CQX142" s="108"/>
      <c r="CQY142" s="108"/>
      <c r="CQZ142" s="109"/>
      <c r="CRA142" s="107" t="s">
        <v>1</v>
      </c>
      <c r="CRB142" s="108"/>
      <c r="CRC142" s="108"/>
      <c r="CRD142" s="109"/>
      <c r="CRE142" s="107" t="s">
        <v>1</v>
      </c>
      <c r="CRF142" s="108"/>
      <c r="CRG142" s="108"/>
      <c r="CRH142" s="109"/>
      <c r="CRI142" s="107" t="s">
        <v>1</v>
      </c>
      <c r="CRJ142" s="108"/>
      <c r="CRK142" s="108"/>
      <c r="CRL142" s="109"/>
      <c r="CRM142" s="107" t="s">
        <v>1</v>
      </c>
      <c r="CRN142" s="108"/>
      <c r="CRO142" s="108"/>
      <c r="CRP142" s="109"/>
      <c r="CRQ142" s="107" t="s">
        <v>1</v>
      </c>
      <c r="CRR142" s="108"/>
      <c r="CRS142" s="108"/>
      <c r="CRT142" s="109"/>
      <c r="CRU142" s="107" t="s">
        <v>1</v>
      </c>
      <c r="CRV142" s="108"/>
      <c r="CRW142" s="108"/>
      <c r="CRX142" s="109"/>
      <c r="CRY142" s="107" t="s">
        <v>1</v>
      </c>
      <c r="CRZ142" s="108"/>
      <c r="CSA142" s="108"/>
      <c r="CSB142" s="109"/>
      <c r="CSC142" s="107" t="s">
        <v>1</v>
      </c>
      <c r="CSD142" s="108"/>
      <c r="CSE142" s="108"/>
      <c r="CSF142" s="109"/>
      <c r="CSG142" s="107" t="s">
        <v>1</v>
      </c>
      <c r="CSH142" s="108"/>
      <c r="CSI142" s="108"/>
      <c r="CSJ142" s="109"/>
      <c r="CSK142" s="107" t="s">
        <v>1</v>
      </c>
      <c r="CSL142" s="108"/>
      <c r="CSM142" s="108"/>
      <c r="CSN142" s="109"/>
      <c r="CSO142" s="107" t="s">
        <v>1</v>
      </c>
      <c r="CSP142" s="108"/>
      <c r="CSQ142" s="108"/>
      <c r="CSR142" s="109"/>
      <c r="CSS142" s="107" t="s">
        <v>1</v>
      </c>
      <c r="CST142" s="108"/>
      <c r="CSU142" s="108"/>
      <c r="CSV142" s="109"/>
      <c r="CSW142" s="107" t="s">
        <v>1</v>
      </c>
      <c r="CSX142" s="108"/>
      <c r="CSY142" s="108"/>
      <c r="CSZ142" s="109"/>
      <c r="CTA142" s="107" t="s">
        <v>1</v>
      </c>
      <c r="CTB142" s="108"/>
      <c r="CTC142" s="108"/>
      <c r="CTD142" s="109"/>
      <c r="CTE142" s="107" t="s">
        <v>1</v>
      </c>
      <c r="CTF142" s="108"/>
      <c r="CTG142" s="108"/>
      <c r="CTH142" s="109"/>
      <c r="CTI142" s="107" t="s">
        <v>1</v>
      </c>
      <c r="CTJ142" s="108"/>
      <c r="CTK142" s="108"/>
      <c r="CTL142" s="109"/>
      <c r="CTM142" s="107" t="s">
        <v>1</v>
      </c>
      <c r="CTN142" s="108"/>
      <c r="CTO142" s="108"/>
      <c r="CTP142" s="109"/>
      <c r="CTQ142" s="107" t="s">
        <v>1</v>
      </c>
      <c r="CTR142" s="108"/>
      <c r="CTS142" s="108"/>
      <c r="CTT142" s="109"/>
      <c r="CTU142" s="107" t="s">
        <v>1</v>
      </c>
      <c r="CTV142" s="108"/>
      <c r="CTW142" s="108"/>
      <c r="CTX142" s="109"/>
      <c r="CTY142" s="107" t="s">
        <v>1</v>
      </c>
      <c r="CTZ142" s="108"/>
      <c r="CUA142" s="108"/>
      <c r="CUB142" s="109"/>
      <c r="CUC142" s="107" t="s">
        <v>1</v>
      </c>
      <c r="CUD142" s="108"/>
      <c r="CUE142" s="108"/>
      <c r="CUF142" s="109"/>
      <c r="CUG142" s="107" t="s">
        <v>1</v>
      </c>
      <c r="CUH142" s="108"/>
      <c r="CUI142" s="108"/>
      <c r="CUJ142" s="109"/>
      <c r="CUK142" s="107" t="s">
        <v>1</v>
      </c>
      <c r="CUL142" s="108"/>
      <c r="CUM142" s="108"/>
      <c r="CUN142" s="109"/>
      <c r="CUO142" s="107" t="s">
        <v>1</v>
      </c>
      <c r="CUP142" s="108"/>
      <c r="CUQ142" s="108"/>
      <c r="CUR142" s="109"/>
      <c r="CUS142" s="107" t="s">
        <v>1</v>
      </c>
      <c r="CUT142" s="108"/>
      <c r="CUU142" s="108"/>
      <c r="CUV142" s="109"/>
      <c r="CUW142" s="107" t="s">
        <v>1</v>
      </c>
      <c r="CUX142" s="108"/>
      <c r="CUY142" s="108"/>
      <c r="CUZ142" s="109"/>
      <c r="CVA142" s="107" t="s">
        <v>1</v>
      </c>
      <c r="CVB142" s="108"/>
      <c r="CVC142" s="108"/>
      <c r="CVD142" s="109"/>
      <c r="CVE142" s="107" t="s">
        <v>1</v>
      </c>
      <c r="CVF142" s="108"/>
      <c r="CVG142" s="108"/>
      <c r="CVH142" s="109"/>
      <c r="CVI142" s="107" t="s">
        <v>1</v>
      </c>
      <c r="CVJ142" s="108"/>
      <c r="CVK142" s="108"/>
      <c r="CVL142" s="109"/>
      <c r="CVM142" s="107" t="s">
        <v>1</v>
      </c>
      <c r="CVN142" s="108"/>
      <c r="CVO142" s="108"/>
      <c r="CVP142" s="109"/>
      <c r="CVQ142" s="107" t="s">
        <v>1</v>
      </c>
      <c r="CVR142" s="108"/>
      <c r="CVS142" s="108"/>
      <c r="CVT142" s="109"/>
      <c r="CVU142" s="107" t="s">
        <v>1</v>
      </c>
      <c r="CVV142" s="108"/>
      <c r="CVW142" s="108"/>
      <c r="CVX142" s="109"/>
      <c r="CVY142" s="107" t="s">
        <v>1</v>
      </c>
      <c r="CVZ142" s="108"/>
      <c r="CWA142" s="108"/>
      <c r="CWB142" s="109"/>
      <c r="CWC142" s="107" t="s">
        <v>1</v>
      </c>
      <c r="CWD142" s="108"/>
      <c r="CWE142" s="108"/>
      <c r="CWF142" s="109"/>
      <c r="CWG142" s="107" t="s">
        <v>1</v>
      </c>
      <c r="CWH142" s="108"/>
      <c r="CWI142" s="108"/>
      <c r="CWJ142" s="109"/>
      <c r="CWK142" s="107" t="s">
        <v>1</v>
      </c>
      <c r="CWL142" s="108"/>
      <c r="CWM142" s="108"/>
      <c r="CWN142" s="109"/>
      <c r="CWO142" s="107" t="s">
        <v>1</v>
      </c>
      <c r="CWP142" s="108"/>
      <c r="CWQ142" s="108"/>
      <c r="CWR142" s="109"/>
      <c r="CWS142" s="107" t="s">
        <v>1</v>
      </c>
      <c r="CWT142" s="108"/>
      <c r="CWU142" s="108"/>
      <c r="CWV142" s="109"/>
      <c r="CWW142" s="107" t="s">
        <v>1</v>
      </c>
      <c r="CWX142" s="108"/>
      <c r="CWY142" s="108"/>
      <c r="CWZ142" s="109"/>
      <c r="CXA142" s="107" t="s">
        <v>1</v>
      </c>
      <c r="CXB142" s="108"/>
      <c r="CXC142" s="108"/>
      <c r="CXD142" s="109"/>
      <c r="CXE142" s="107" t="s">
        <v>1</v>
      </c>
      <c r="CXF142" s="108"/>
      <c r="CXG142" s="108"/>
      <c r="CXH142" s="109"/>
      <c r="CXI142" s="107" t="s">
        <v>1</v>
      </c>
      <c r="CXJ142" s="108"/>
      <c r="CXK142" s="108"/>
      <c r="CXL142" s="109"/>
      <c r="CXM142" s="107" t="s">
        <v>1</v>
      </c>
      <c r="CXN142" s="108"/>
      <c r="CXO142" s="108"/>
      <c r="CXP142" s="109"/>
      <c r="CXQ142" s="107" t="s">
        <v>1</v>
      </c>
      <c r="CXR142" s="108"/>
      <c r="CXS142" s="108"/>
      <c r="CXT142" s="109"/>
      <c r="CXU142" s="107" t="s">
        <v>1</v>
      </c>
      <c r="CXV142" s="108"/>
      <c r="CXW142" s="108"/>
      <c r="CXX142" s="109"/>
      <c r="CXY142" s="107" t="s">
        <v>1</v>
      </c>
      <c r="CXZ142" s="108"/>
      <c r="CYA142" s="108"/>
      <c r="CYB142" s="109"/>
      <c r="CYC142" s="107" t="s">
        <v>1</v>
      </c>
      <c r="CYD142" s="108"/>
      <c r="CYE142" s="108"/>
      <c r="CYF142" s="109"/>
      <c r="CYG142" s="107" t="s">
        <v>1</v>
      </c>
      <c r="CYH142" s="108"/>
      <c r="CYI142" s="108"/>
      <c r="CYJ142" s="109"/>
      <c r="CYK142" s="107" t="s">
        <v>1</v>
      </c>
      <c r="CYL142" s="108"/>
      <c r="CYM142" s="108"/>
      <c r="CYN142" s="109"/>
      <c r="CYO142" s="107" t="s">
        <v>1</v>
      </c>
      <c r="CYP142" s="108"/>
      <c r="CYQ142" s="108"/>
      <c r="CYR142" s="109"/>
      <c r="CYS142" s="107" t="s">
        <v>1</v>
      </c>
      <c r="CYT142" s="108"/>
      <c r="CYU142" s="108"/>
      <c r="CYV142" s="109"/>
      <c r="CYW142" s="107" t="s">
        <v>1</v>
      </c>
      <c r="CYX142" s="108"/>
      <c r="CYY142" s="108"/>
      <c r="CYZ142" s="109"/>
      <c r="CZA142" s="107" t="s">
        <v>1</v>
      </c>
      <c r="CZB142" s="108"/>
      <c r="CZC142" s="108"/>
      <c r="CZD142" s="109"/>
      <c r="CZE142" s="107" t="s">
        <v>1</v>
      </c>
      <c r="CZF142" s="108"/>
      <c r="CZG142" s="108"/>
      <c r="CZH142" s="109"/>
      <c r="CZI142" s="107" t="s">
        <v>1</v>
      </c>
      <c r="CZJ142" s="108"/>
      <c r="CZK142" s="108"/>
      <c r="CZL142" s="109"/>
      <c r="CZM142" s="107" t="s">
        <v>1</v>
      </c>
      <c r="CZN142" s="108"/>
      <c r="CZO142" s="108"/>
      <c r="CZP142" s="109"/>
      <c r="CZQ142" s="107" t="s">
        <v>1</v>
      </c>
      <c r="CZR142" s="108"/>
      <c r="CZS142" s="108"/>
      <c r="CZT142" s="109"/>
      <c r="CZU142" s="107" t="s">
        <v>1</v>
      </c>
      <c r="CZV142" s="108"/>
      <c r="CZW142" s="108"/>
      <c r="CZX142" s="109"/>
      <c r="CZY142" s="107" t="s">
        <v>1</v>
      </c>
      <c r="CZZ142" s="108"/>
      <c r="DAA142" s="108"/>
      <c r="DAB142" s="109"/>
      <c r="DAC142" s="107" t="s">
        <v>1</v>
      </c>
      <c r="DAD142" s="108"/>
      <c r="DAE142" s="108"/>
      <c r="DAF142" s="109"/>
      <c r="DAG142" s="107" t="s">
        <v>1</v>
      </c>
      <c r="DAH142" s="108"/>
      <c r="DAI142" s="108"/>
      <c r="DAJ142" s="109"/>
      <c r="DAK142" s="107" t="s">
        <v>1</v>
      </c>
      <c r="DAL142" s="108"/>
      <c r="DAM142" s="108"/>
      <c r="DAN142" s="109"/>
      <c r="DAO142" s="107" t="s">
        <v>1</v>
      </c>
      <c r="DAP142" s="108"/>
      <c r="DAQ142" s="108"/>
      <c r="DAR142" s="109"/>
      <c r="DAS142" s="107" t="s">
        <v>1</v>
      </c>
      <c r="DAT142" s="108"/>
      <c r="DAU142" s="108"/>
      <c r="DAV142" s="109"/>
      <c r="DAW142" s="107" t="s">
        <v>1</v>
      </c>
      <c r="DAX142" s="108"/>
      <c r="DAY142" s="108"/>
      <c r="DAZ142" s="109"/>
      <c r="DBA142" s="107" t="s">
        <v>1</v>
      </c>
      <c r="DBB142" s="108"/>
      <c r="DBC142" s="108"/>
      <c r="DBD142" s="109"/>
      <c r="DBE142" s="107" t="s">
        <v>1</v>
      </c>
      <c r="DBF142" s="108"/>
      <c r="DBG142" s="108"/>
      <c r="DBH142" s="109"/>
      <c r="DBI142" s="107" t="s">
        <v>1</v>
      </c>
      <c r="DBJ142" s="108"/>
      <c r="DBK142" s="108"/>
      <c r="DBL142" s="109"/>
      <c r="DBM142" s="107" t="s">
        <v>1</v>
      </c>
      <c r="DBN142" s="108"/>
      <c r="DBO142" s="108"/>
      <c r="DBP142" s="109"/>
      <c r="DBQ142" s="107" t="s">
        <v>1</v>
      </c>
      <c r="DBR142" s="108"/>
      <c r="DBS142" s="108"/>
      <c r="DBT142" s="109"/>
      <c r="DBU142" s="107" t="s">
        <v>1</v>
      </c>
      <c r="DBV142" s="108"/>
      <c r="DBW142" s="108"/>
      <c r="DBX142" s="109"/>
      <c r="DBY142" s="107" t="s">
        <v>1</v>
      </c>
      <c r="DBZ142" s="108"/>
      <c r="DCA142" s="108"/>
      <c r="DCB142" s="109"/>
      <c r="DCC142" s="107" t="s">
        <v>1</v>
      </c>
      <c r="DCD142" s="108"/>
      <c r="DCE142" s="108"/>
      <c r="DCF142" s="109"/>
      <c r="DCG142" s="107" t="s">
        <v>1</v>
      </c>
      <c r="DCH142" s="108"/>
      <c r="DCI142" s="108"/>
      <c r="DCJ142" s="109"/>
      <c r="DCK142" s="107" t="s">
        <v>1</v>
      </c>
      <c r="DCL142" s="108"/>
      <c r="DCM142" s="108"/>
      <c r="DCN142" s="109"/>
      <c r="DCO142" s="107" t="s">
        <v>1</v>
      </c>
      <c r="DCP142" s="108"/>
      <c r="DCQ142" s="108"/>
      <c r="DCR142" s="109"/>
      <c r="DCS142" s="107" t="s">
        <v>1</v>
      </c>
      <c r="DCT142" s="108"/>
      <c r="DCU142" s="108"/>
      <c r="DCV142" s="109"/>
      <c r="DCW142" s="107" t="s">
        <v>1</v>
      </c>
      <c r="DCX142" s="108"/>
      <c r="DCY142" s="108"/>
      <c r="DCZ142" s="109"/>
      <c r="DDA142" s="107" t="s">
        <v>1</v>
      </c>
      <c r="DDB142" s="108"/>
      <c r="DDC142" s="108"/>
      <c r="DDD142" s="109"/>
      <c r="DDE142" s="107" t="s">
        <v>1</v>
      </c>
      <c r="DDF142" s="108"/>
      <c r="DDG142" s="108"/>
      <c r="DDH142" s="109"/>
      <c r="DDI142" s="107" t="s">
        <v>1</v>
      </c>
      <c r="DDJ142" s="108"/>
      <c r="DDK142" s="108"/>
      <c r="DDL142" s="109"/>
      <c r="DDM142" s="107" t="s">
        <v>1</v>
      </c>
      <c r="DDN142" s="108"/>
      <c r="DDO142" s="108"/>
      <c r="DDP142" s="109"/>
      <c r="DDQ142" s="107" t="s">
        <v>1</v>
      </c>
      <c r="DDR142" s="108"/>
      <c r="DDS142" s="108"/>
      <c r="DDT142" s="109"/>
      <c r="DDU142" s="107" t="s">
        <v>1</v>
      </c>
      <c r="DDV142" s="108"/>
      <c r="DDW142" s="108"/>
      <c r="DDX142" s="109"/>
      <c r="DDY142" s="107" t="s">
        <v>1</v>
      </c>
      <c r="DDZ142" s="108"/>
      <c r="DEA142" s="108"/>
      <c r="DEB142" s="109"/>
      <c r="DEC142" s="107" t="s">
        <v>1</v>
      </c>
      <c r="DED142" s="108"/>
      <c r="DEE142" s="108"/>
      <c r="DEF142" s="109"/>
      <c r="DEG142" s="107" t="s">
        <v>1</v>
      </c>
      <c r="DEH142" s="108"/>
      <c r="DEI142" s="108"/>
      <c r="DEJ142" s="109"/>
      <c r="DEK142" s="107" t="s">
        <v>1</v>
      </c>
      <c r="DEL142" s="108"/>
      <c r="DEM142" s="108"/>
      <c r="DEN142" s="109"/>
      <c r="DEO142" s="107" t="s">
        <v>1</v>
      </c>
      <c r="DEP142" s="108"/>
      <c r="DEQ142" s="108"/>
      <c r="DER142" s="109"/>
      <c r="DES142" s="107" t="s">
        <v>1</v>
      </c>
      <c r="DET142" s="108"/>
      <c r="DEU142" s="108"/>
      <c r="DEV142" s="109"/>
      <c r="DEW142" s="107" t="s">
        <v>1</v>
      </c>
      <c r="DEX142" s="108"/>
      <c r="DEY142" s="108"/>
      <c r="DEZ142" s="109"/>
      <c r="DFA142" s="107" t="s">
        <v>1</v>
      </c>
      <c r="DFB142" s="108"/>
      <c r="DFC142" s="108"/>
      <c r="DFD142" s="109"/>
      <c r="DFE142" s="107" t="s">
        <v>1</v>
      </c>
      <c r="DFF142" s="108"/>
      <c r="DFG142" s="108"/>
      <c r="DFH142" s="109"/>
      <c r="DFI142" s="107" t="s">
        <v>1</v>
      </c>
      <c r="DFJ142" s="108"/>
      <c r="DFK142" s="108"/>
      <c r="DFL142" s="109"/>
      <c r="DFM142" s="107" t="s">
        <v>1</v>
      </c>
      <c r="DFN142" s="108"/>
      <c r="DFO142" s="108"/>
      <c r="DFP142" s="109"/>
      <c r="DFQ142" s="107" t="s">
        <v>1</v>
      </c>
      <c r="DFR142" s="108"/>
      <c r="DFS142" s="108"/>
      <c r="DFT142" s="109"/>
      <c r="DFU142" s="107" t="s">
        <v>1</v>
      </c>
      <c r="DFV142" s="108"/>
      <c r="DFW142" s="108"/>
      <c r="DFX142" s="109"/>
      <c r="DFY142" s="107" t="s">
        <v>1</v>
      </c>
      <c r="DFZ142" s="108"/>
      <c r="DGA142" s="108"/>
      <c r="DGB142" s="109"/>
      <c r="DGC142" s="107" t="s">
        <v>1</v>
      </c>
      <c r="DGD142" s="108"/>
      <c r="DGE142" s="108"/>
      <c r="DGF142" s="109"/>
      <c r="DGG142" s="107" t="s">
        <v>1</v>
      </c>
      <c r="DGH142" s="108"/>
      <c r="DGI142" s="108"/>
      <c r="DGJ142" s="109"/>
      <c r="DGK142" s="107" t="s">
        <v>1</v>
      </c>
      <c r="DGL142" s="108"/>
      <c r="DGM142" s="108"/>
      <c r="DGN142" s="109"/>
      <c r="DGO142" s="107" t="s">
        <v>1</v>
      </c>
      <c r="DGP142" s="108"/>
      <c r="DGQ142" s="108"/>
      <c r="DGR142" s="109"/>
      <c r="DGS142" s="107" t="s">
        <v>1</v>
      </c>
      <c r="DGT142" s="108"/>
      <c r="DGU142" s="108"/>
      <c r="DGV142" s="109"/>
      <c r="DGW142" s="107" t="s">
        <v>1</v>
      </c>
      <c r="DGX142" s="108"/>
      <c r="DGY142" s="108"/>
      <c r="DGZ142" s="109"/>
      <c r="DHA142" s="107" t="s">
        <v>1</v>
      </c>
      <c r="DHB142" s="108"/>
      <c r="DHC142" s="108"/>
      <c r="DHD142" s="109"/>
      <c r="DHE142" s="107" t="s">
        <v>1</v>
      </c>
      <c r="DHF142" s="108"/>
      <c r="DHG142" s="108"/>
      <c r="DHH142" s="109"/>
      <c r="DHI142" s="107" t="s">
        <v>1</v>
      </c>
      <c r="DHJ142" s="108"/>
      <c r="DHK142" s="108"/>
      <c r="DHL142" s="109"/>
      <c r="DHM142" s="107" t="s">
        <v>1</v>
      </c>
      <c r="DHN142" s="108"/>
      <c r="DHO142" s="108"/>
      <c r="DHP142" s="109"/>
      <c r="DHQ142" s="107" t="s">
        <v>1</v>
      </c>
      <c r="DHR142" s="108"/>
      <c r="DHS142" s="108"/>
      <c r="DHT142" s="109"/>
      <c r="DHU142" s="107" t="s">
        <v>1</v>
      </c>
      <c r="DHV142" s="108"/>
      <c r="DHW142" s="108"/>
      <c r="DHX142" s="109"/>
      <c r="DHY142" s="107" t="s">
        <v>1</v>
      </c>
      <c r="DHZ142" s="108"/>
      <c r="DIA142" s="108"/>
      <c r="DIB142" s="109"/>
      <c r="DIC142" s="107" t="s">
        <v>1</v>
      </c>
      <c r="DID142" s="108"/>
      <c r="DIE142" s="108"/>
      <c r="DIF142" s="109"/>
      <c r="DIG142" s="107" t="s">
        <v>1</v>
      </c>
      <c r="DIH142" s="108"/>
      <c r="DII142" s="108"/>
      <c r="DIJ142" s="109"/>
      <c r="DIK142" s="107" t="s">
        <v>1</v>
      </c>
      <c r="DIL142" s="108"/>
      <c r="DIM142" s="108"/>
      <c r="DIN142" s="109"/>
      <c r="DIO142" s="107" t="s">
        <v>1</v>
      </c>
      <c r="DIP142" s="108"/>
      <c r="DIQ142" s="108"/>
      <c r="DIR142" s="109"/>
      <c r="DIS142" s="107" t="s">
        <v>1</v>
      </c>
      <c r="DIT142" s="108"/>
      <c r="DIU142" s="108"/>
      <c r="DIV142" s="109"/>
      <c r="DIW142" s="107" t="s">
        <v>1</v>
      </c>
      <c r="DIX142" s="108"/>
      <c r="DIY142" s="108"/>
      <c r="DIZ142" s="109"/>
      <c r="DJA142" s="107" t="s">
        <v>1</v>
      </c>
      <c r="DJB142" s="108"/>
      <c r="DJC142" s="108"/>
      <c r="DJD142" s="109"/>
      <c r="DJE142" s="107" t="s">
        <v>1</v>
      </c>
      <c r="DJF142" s="108"/>
      <c r="DJG142" s="108"/>
      <c r="DJH142" s="109"/>
      <c r="DJI142" s="107" t="s">
        <v>1</v>
      </c>
      <c r="DJJ142" s="108"/>
      <c r="DJK142" s="108"/>
      <c r="DJL142" s="109"/>
      <c r="DJM142" s="107" t="s">
        <v>1</v>
      </c>
      <c r="DJN142" s="108"/>
      <c r="DJO142" s="108"/>
      <c r="DJP142" s="109"/>
      <c r="DJQ142" s="107" t="s">
        <v>1</v>
      </c>
      <c r="DJR142" s="108"/>
      <c r="DJS142" s="108"/>
      <c r="DJT142" s="109"/>
      <c r="DJU142" s="107" t="s">
        <v>1</v>
      </c>
      <c r="DJV142" s="108"/>
      <c r="DJW142" s="108"/>
      <c r="DJX142" s="109"/>
      <c r="DJY142" s="107" t="s">
        <v>1</v>
      </c>
      <c r="DJZ142" s="108"/>
      <c r="DKA142" s="108"/>
      <c r="DKB142" s="109"/>
      <c r="DKC142" s="107" t="s">
        <v>1</v>
      </c>
      <c r="DKD142" s="108"/>
      <c r="DKE142" s="108"/>
      <c r="DKF142" s="109"/>
      <c r="DKG142" s="107" t="s">
        <v>1</v>
      </c>
      <c r="DKH142" s="108"/>
      <c r="DKI142" s="108"/>
      <c r="DKJ142" s="109"/>
      <c r="DKK142" s="107" t="s">
        <v>1</v>
      </c>
      <c r="DKL142" s="108"/>
      <c r="DKM142" s="108"/>
      <c r="DKN142" s="109"/>
      <c r="DKO142" s="107" t="s">
        <v>1</v>
      </c>
      <c r="DKP142" s="108"/>
      <c r="DKQ142" s="108"/>
      <c r="DKR142" s="109"/>
      <c r="DKS142" s="107" t="s">
        <v>1</v>
      </c>
      <c r="DKT142" s="108"/>
      <c r="DKU142" s="108"/>
      <c r="DKV142" s="109"/>
      <c r="DKW142" s="107" t="s">
        <v>1</v>
      </c>
      <c r="DKX142" s="108"/>
      <c r="DKY142" s="108"/>
      <c r="DKZ142" s="109"/>
      <c r="DLA142" s="107" t="s">
        <v>1</v>
      </c>
      <c r="DLB142" s="108"/>
      <c r="DLC142" s="108"/>
      <c r="DLD142" s="109"/>
      <c r="DLE142" s="107" t="s">
        <v>1</v>
      </c>
      <c r="DLF142" s="108"/>
      <c r="DLG142" s="108"/>
      <c r="DLH142" s="109"/>
      <c r="DLI142" s="107" t="s">
        <v>1</v>
      </c>
      <c r="DLJ142" s="108"/>
      <c r="DLK142" s="108"/>
      <c r="DLL142" s="109"/>
      <c r="DLM142" s="107" t="s">
        <v>1</v>
      </c>
      <c r="DLN142" s="108"/>
      <c r="DLO142" s="108"/>
      <c r="DLP142" s="109"/>
      <c r="DLQ142" s="107" t="s">
        <v>1</v>
      </c>
      <c r="DLR142" s="108"/>
      <c r="DLS142" s="108"/>
      <c r="DLT142" s="109"/>
      <c r="DLU142" s="107" t="s">
        <v>1</v>
      </c>
      <c r="DLV142" s="108"/>
      <c r="DLW142" s="108"/>
      <c r="DLX142" s="109"/>
      <c r="DLY142" s="107" t="s">
        <v>1</v>
      </c>
      <c r="DLZ142" s="108"/>
      <c r="DMA142" s="108"/>
      <c r="DMB142" s="109"/>
      <c r="DMC142" s="107" t="s">
        <v>1</v>
      </c>
      <c r="DMD142" s="108"/>
      <c r="DME142" s="108"/>
      <c r="DMF142" s="109"/>
      <c r="DMG142" s="107" t="s">
        <v>1</v>
      </c>
      <c r="DMH142" s="108"/>
      <c r="DMI142" s="108"/>
      <c r="DMJ142" s="109"/>
      <c r="DMK142" s="107" t="s">
        <v>1</v>
      </c>
      <c r="DML142" s="108"/>
      <c r="DMM142" s="108"/>
      <c r="DMN142" s="109"/>
      <c r="DMO142" s="107" t="s">
        <v>1</v>
      </c>
      <c r="DMP142" s="108"/>
      <c r="DMQ142" s="108"/>
      <c r="DMR142" s="109"/>
      <c r="DMS142" s="107" t="s">
        <v>1</v>
      </c>
      <c r="DMT142" s="108"/>
      <c r="DMU142" s="108"/>
      <c r="DMV142" s="109"/>
      <c r="DMW142" s="107" t="s">
        <v>1</v>
      </c>
      <c r="DMX142" s="108"/>
      <c r="DMY142" s="108"/>
      <c r="DMZ142" s="109"/>
      <c r="DNA142" s="107" t="s">
        <v>1</v>
      </c>
      <c r="DNB142" s="108"/>
      <c r="DNC142" s="108"/>
      <c r="DND142" s="109"/>
      <c r="DNE142" s="107" t="s">
        <v>1</v>
      </c>
      <c r="DNF142" s="108"/>
      <c r="DNG142" s="108"/>
      <c r="DNH142" s="109"/>
      <c r="DNI142" s="107" t="s">
        <v>1</v>
      </c>
      <c r="DNJ142" s="108"/>
      <c r="DNK142" s="108"/>
      <c r="DNL142" s="109"/>
      <c r="DNM142" s="107" t="s">
        <v>1</v>
      </c>
      <c r="DNN142" s="108"/>
      <c r="DNO142" s="108"/>
      <c r="DNP142" s="109"/>
      <c r="DNQ142" s="107" t="s">
        <v>1</v>
      </c>
      <c r="DNR142" s="108"/>
      <c r="DNS142" s="108"/>
      <c r="DNT142" s="109"/>
      <c r="DNU142" s="107" t="s">
        <v>1</v>
      </c>
      <c r="DNV142" s="108"/>
      <c r="DNW142" s="108"/>
      <c r="DNX142" s="109"/>
      <c r="DNY142" s="107" t="s">
        <v>1</v>
      </c>
      <c r="DNZ142" s="108"/>
      <c r="DOA142" s="108"/>
      <c r="DOB142" s="109"/>
      <c r="DOC142" s="107" t="s">
        <v>1</v>
      </c>
      <c r="DOD142" s="108"/>
      <c r="DOE142" s="108"/>
      <c r="DOF142" s="109"/>
      <c r="DOG142" s="107" t="s">
        <v>1</v>
      </c>
      <c r="DOH142" s="108"/>
      <c r="DOI142" s="108"/>
      <c r="DOJ142" s="109"/>
      <c r="DOK142" s="107" t="s">
        <v>1</v>
      </c>
      <c r="DOL142" s="108"/>
      <c r="DOM142" s="108"/>
      <c r="DON142" s="109"/>
      <c r="DOO142" s="107" t="s">
        <v>1</v>
      </c>
      <c r="DOP142" s="108"/>
      <c r="DOQ142" s="108"/>
      <c r="DOR142" s="109"/>
      <c r="DOS142" s="107" t="s">
        <v>1</v>
      </c>
      <c r="DOT142" s="108"/>
      <c r="DOU142" s="108"/>
      <c r="DOV142" s="109"/>
      <c r="DOW142" s="107" t="s">
        <v>1</v>
      </c>
      <c r="DOX142" s="108"/>
      <c r="DOY142" s="108"/>
      <c r="DOZ142" s="109"/>
      <c r="DPA142" s="107" t="s">
        <v>1</v>
      </c>
      <c r="DPB142" s="108"/>
      <c r="DPC142" s="108"/>
      <c r="DPD142" s="109"/>
      <c r="DPE142" s="107" t="s">
        <v>1</v>
      </c>
      <c r="DPF142" s="108"/>
      <c r="DPG142" s="108"/>
      <c r="DPH142" s="109"/>
      <c r="DPI142" s="107" t="s">
        <v>1</v>
      </c>
      <c r="DPJ142" s="108"/>
      <c r="DPK142" s="108"/>
      <c r="DPL142" s="109"/>
      <c r="DPM142" s="107" t="s">
        <v>1</v>
      </c>
      <c r="DPN142" s="108"/>
      <c r="DPO142" s="108"/>
      <c r="DPP142" s="109"/>
      <c r="DPQ142" s="107" t="s">
        <v>1</v>
      </c>
      <c r="DPR142" s="108"/>
      <c r="DPS142" s="108"/>
      <c r="DPT142" s="109"/>
      <c r="DPU142" s="107" t="s">
        <v>1</v>
      </c>
      <c r="DPV142" s="108"/>
      <c r="DPW142" s="108"/>
      <c r="DPX142" s="109"/>
      <c r="DPY142" s="107" t="s">
        <v>1</v>
      </c>
      <c r="DPZ142" s="108"/>
      <c r="DQA142" s="108"/>
      <c r="DQB142" s="109"/>
      <c r="DQC142" s="107" t="s">
        <v>1</v>
      </c>
      <c r="DQD142" s="108"/>
      <c r="DQE142" s="108"/>
      <c r="DQF142" s="109"/>
      <c r="DQG142" s="107" t="s">
        <v>1</v>
      </c>
      <c r="DQH142" s="108"/>
      <c r="DQI142" s="108"/>
      <c r="DQJ142" s="109"/>
      <c r="DQK142" s="107" t="s">
        <v>1</v>
      </c>
      <c r="DQL142" s="108"/>
      <c r="DQM142" s="108"/>
      <c r="DQN142" s="109"/>
      <c r="DQO142" s="107" t="s">
        <v>1</v>
      </c>
      <c r="DQP142" s="108"/>
      <c r="DQQ142" s="108"/>
      <c r="DQR142" s="109"/>
      <c r="DQS142" s="107" t="s">
        <v>1</v>
      </c>
      <c r="DQT142" s="108"/>
      <c r="DQU142" s="108"/>
      <c r="DQV142" s="109"/>
      <c r="DQW142" s="107" t="s">
        <v>1</v>
      </c>
      <c r="DQX142" s="108"/>
      <c r="DQY142" s="108"/>
      <c r="DQZ142" s="109"/>
      <c r="DRA142" s="107" t="s">
        <v>1</v>
      </c>
      <c r="DRB142" s="108"/>
      <c r="DRC142" s="108"/>
      <c r="DRD142" s="109"/>
      <c r="DRE142" s="107" t="s">
        <v>1</v>
      </c>
      <c r="DRF142" s="108"/>
      <c r="DRG142" s="108"/>
      <c r="DRH142" s="109"/>
      <c r="DRI142" s="107" t="s">
        <v>1</v>
      </c>
      <c r="DRJ142" s="108"/>
      <c r="DRK142" s="108"/>
      <c r="DRL142" s="109"/>
      <c r="DRM142" s="107" t="s">
        <v>1</v>
      </c>
      <c r="DRN142" s="108"/>
      <c r="DRO142" s="108"/>
      <c r="DRP142" s="109"/>
      <c r="DRQ142" s="107" t="s">
        <v>1</v>
      </c>
      <c r="DRR142" s="108"/>
      <c r="DRS142" s="108"/>
      <c r="DRT142" s="109"/>
      <c r="DRU142" s="107" t="s">
        <v>1</v>
      </c>
      <c r="DRV142" s="108"/>
      <c r="DRW142" s="108"/>
      <c r="DRX142" s="109"/>
      <c r="DRY142" s="107" t="s">
        <v>1</v>
      </c>
      <c r="DRZ142" s="108"/>
      <c r="DSA142" s="108"/>
      <c r="DSB142" s="109"/>
      <c r="DSC142" s="107" t="s">
        <v>1</v>
      </c>
      <c r="DSD142" s="108"/>
      <c r="DSE142" s="108"/>
      <c r="DSF142" s="109"/>
      <c r="DSG142" s="107" t="s">
        <v>1</v>
      </c>
      <c r="DSH142" s="108"/>
      <c r="DSI142" s="108"/>
      <c r="DSJ142" s="109"/>
      <c r="DSK142" s="107" t="s">
        <v>1</v>
      </c>
      <c r="DSL142" s="108"/>
      <c r="DSM142" s="108"/>
      <c r="DSN142" s="109"/>
      <c r="DSO142" s="107" t="s">
        <v>1</v>
      </c>
      <c r="DSP142" s="108"/>
      <c r="DSQ142" s="108"/>
      <c r="DSR142" s="109"/>
      <c r="DSS142" s="107" t="s">
        <v>1</v>
      </c>
      <c r="DST142" s="108"/>
      <c r="DSU142" s="108"/>
      <c r="DSV142" s="109"/>
      <c r="DSW142" s="107" t="s">
        <v>1</v>
      </c>
      <c r="DSX142" s="108"/>
      <c r="DSY142" s="108"/>
      <c r="DSZ142" s="109"/>
      <c r="DTA142" s="107" t="s">
        <v>1</v>
      </c>
      <c r="DTB142" s="108"/>
      <c r="DTC142" s="108"/>
      <c r="DTD142" s="109"/>
      <c r="DTE142" s="107" t="s">
        <v>1</v>
      </c>
      <c r="DTF142" s="108"/>
      <c r="DTG142" s="108"/>
      <c r="DTH142" s="109"/>
      <c r="DTI142" s="107" t="s">
        <v>1</v>
      </c>
      <c r="DTJ142" s="108"/>
      <c r="DTK142" s="108"/>
      <c r="DTL142" s="109"/>
      <c r="DTM142" s="107" t="s">
        <v>1</v>
      </c>
      <c r="DTN142" s="108"/>
      <c r="DTO142" s="108"/>
      <c r="DTP142" s="109"/>
      <c r="DTQ142" s="107" t="s">
        <v>1</v>
      </c>
      <c r="DTR142" s="108"/>
      <c r="DTS142" s="108"/>
      <c r="DTT142" s="109"/>
      <c r="DTU142" s="107" t="s">
        <v>1</v>
      </c>
      <c r="DTV142" s="108"/>
      <c r="DTW142" s="108"/>
      <c r="DTX142" s="109"/>
      <c r="DTY142" s="107" t="s">
        <v>1</v>
      </c>
      <c r="DTZ142" s="108"/>
      <c r="DUA142" s="108"/>
      <c r="DUB142" s="109"/>
      <c r="DUC142" s="107" t="s">
        <v>1</v>
      </c>
      <c r="DUD142" s="108"/>
      <c r="DUE142" s="108"/>
      <c r="DUF142" s="109"/>
      <c r="DUG142" s="107" t="s">
        <v>1</v>
      </c>
      <c r="DUH142" s="108"/>
      <c r="DUI142" s="108"/>
      <c r="DUJ142" s="109"/>
      <c r="DUK142" s="107" t="s">
        <v>1</v>
      </c>
      <c r="DUL142" s="108"/>
      <c r="DUM142" s="108"/>
      <c r="DUN142" s="109"/>
      <c r="DUO142" s="107" t="s">
        <v>1</v>
      </c>
      <c r="DUP142" s="108"/>
      <c r="DUQ142" s="108"/>
      <c r="DUR142" s="109"/>
      <c r="DUS142" s="107" t="s">
        <v>1</v>
      </c>
      <c r="DUT142" s="108"/>
      <c r="DUU142" s="108"/>
      <c r="DUV142" s="109"/>
      <c r="DUW142" s="107" t="s">
        <v>1</v>
      </c>
      <c r="DUX142" s="108"/>
      <c r="DUY142" s="108"/>
      <c r="DUZ142" s="109"/>
      <c r="DVA142" s="107" t="s">
        <v>1</v>
      </c>
      <c r="DVB142" s="108"/>
      <c r="DVC142" s="108"/>
      <c r="DVD142" s="109"/>
      <c r="DVE142" s="107" t="s">
        <v>1</v>
      </c>
      <c r="DVF142" s="108"/>
      <c r="DVG142" s="108"/>
      <c r="DVH142" s="109"/>
      <c r="DVI142" s="107" t="s">
        <v>1</v>
      </c>
      <c r="DVJ142" s="108"/>
      <c r="DVK142" s="108"/>
      <c r="DVL142" s="109"/>
      <c r="DVM142" s="107" t="s">
        <v>1</v>
      </c>
      <c r="DVN142" s="108"/>
      <c r="DVO142" s="108"/>
      <c r="DVP142" s="109"/>
      <c r="DVQ142" s="107" t="s">
        <v>1</v>
      </c>
      <c r="DVR142" s="108"/>
      <c r="DVS142" s="108"/>
      <c r="DVT142" s="109"/>
      <c r="DVU142" s="107" t="s">
        <v>1</v>
      </c>
      <c r="DVV142" s="108"/>
      <c r="DVW142" s="108"/>
      <c r="DVX142" s="109"/>
      <c r="DVY142" s="107" t="s">
        <v>1</v>
      </c>
      <c r="DVZ142" s="108"/>
      <c r="DWA142" s="108"/>
      <c r="DWB142" s="109"/>
      <c r="DWC142" s="107" t="s">
        <v>1</v>
      </c>
      <c r="DWD142" s="108"/>
      <c r="DWE142" s="108"/>
      <c r="DWF142" s="109"/>
      <c r="DWG142" s="107" t="s">
        <v>1</v>
      </c>
      <c r="DWH142" s="108"/>
      <c r="DWI142" s="108"/>
      <c r="DWJ142" s="109"/>
      <c r="DWK142" s="107" t="s">
        <v>1</v>
      </c>
      <c r="DWL142" s="108"/>
      <c r="DWM142" s="108"/>
      <c r="DWN142" s="109"/>
      <c r="DWO142" s="107" t="s">
        <v>1</v>
      </c>
      <c r="DWP142" s="108"/>
      <c r="DWQ142" s="108"/>
      <c r="DWR142" s="109"/>
      <c r="DWS142" s="107" t="s">
        <v>1</v>
      </c>
      <c r="DWT142" s="108"/>
      <c r="DWU142" s="108"/>
      <c r="DWV142" s="109"/>
      <c r="DWW142" s="107" t="s">
        <v>1</v>
      </c>
      <c r="DWX142" s="108"/>
      <c r="DWY142" s="108"/>
      <c r="DWZ142" s="109"/>
      <c r="DXA142" s="107" t="s">
        <v>1</v>
      </c>
      <c r="DXB142" s="108"/>
      <c r="DXC142" s="108"/>
      <c r="DXD142" s="109"/>
      <c r="DXE142" s="107" t="s">
        <v>1</v>
      </c>
      <c r="DXF142" s="108"/>
      <c r="DXG142" s="108"/>
      <c r="DXH142" s="109"/>
      <c r="DXI142" s="107" t="s">
        <v>1</v>
      </c>
      <c r="DXJ142" s="108"/>
      <c r="DXK142" s="108"/>
      <c r="DXL142" s="109"/>
      <c r="DXM142" s="107" t="s">
        <v>1</v>
      </c>
      <c r="DXN142" s="108"/>
      <c r="DXO142" s="108"/>
      <c r="DXP142" s="109"/>
      <c r="DXQ142" s="107" t="s">
        <v>1</v>
      </c>
      <c r="DXR142" s="108"/>
      <c r="DXS142" s="108"/>
      <c r="DXT142" s="109"/>
      <c r="DXU142" s="107" t="s">
        <v>1</v>
      </c>
      <c r="DXV142" s="108"/>
      <c r="DXW142" s="108"/>
      <c r="DXX142" s="109"/>
      <c r="DXY142" s="107" t="s">
        <v>1</v>
      </c>
      <c r="DXZ142" s="108"/>
      <c r="DYA142" s="108"/>
      <c r="DYB142" s="109"/>
      <c r="DYC142" s="107" t="s">
        <v>1</v>
      </c>
      <c r="DYD142" s="108"/>
      <c r="DYE142" s="108"/>
      <c r="DYF142" s="109"/>
      <c r="DYG142" s="107" t="s">
        <v>1</v>
      </c>
      <c r="DYH142" s="108"/>
      <c r="DYI142" s="108"/>
      <c r="DYJ142" s="109"/>
      <c r="DYK142" s="107" t="s">
        <v>1</v>
      </c>
      <c r="DYL142" s="108"/>
      <c r="DYM142" s="108"/>
      <c r="DYN142" s="109"/>
      <c r="DYO142" s="107" t="s">
        <v>1</v>
      </c>
      <c r="DYP142" s="108"/>
      <c r="DYQ142" s="108"/>
      <c r="DYR142" s="109"/>
      <c r="DYS142" s="107" t="s">
        <v>1</v>
      </c>
      <c r="DYT142" s="108"/>
      <c r="DYU142" s="108"/>
      <c r="DYV142" s="109"/>
      <c r="DYW142" s="107" t="s">
        <v>1</v>
      </c>
      <c r="DYX142" s="108"/>
      <c r="DYY142" s="108"/>
      <c r="DYZ142" s="109"/>
      <c r="DZA142" s="107" t="s">
        <v>1</v>
      </c>
      <c r="DZB142" s="108"/>
      <c r="DZC142" s="108"/>
      <c r="DZD142" s="109"/>
      <c r="DZE142" s="107" t="s">
        <v>1</v>
      </c>
      <c r="DZF142" s="108"/>
      <c r="DZG142" s="108"/>
      <c r="DZH142" s="109"/>
      <c r="DZI142" s="107" t="s">
        <v>1</v>
      </c>
      <c r="DZJ142" s="108"/>
      <c r="DZK142" s="108"/>
      <c r="DZL142" s="109"/>
      <c r="DZM142" s="107" t="s">
        <v>1</v>
      </c>
      <c r="DZN142" s="108"/>
      <c r="DZO142" s="108"/>
      <c r="DZP142" s="109"/>
      <c r="DZQ142" s="107" t="s">
        <v>1</v>
      </c>
      <c r="DZR142" s="108"/>
      <c r="DZS142" s="108"/>
      <c r="DZT142" s="109"/>
      <c r="DZU142" s="107" t="s">
        <v>1</v>
      </c>
      <c r="DZV142" s="108"/>
      <c r="DZW142" s="108"/>
      <c r="DZX142" s="109"/>
      <c r="DZY142" s="107" t="s">
        <v>1</v>
      </c>
      <c r="DZZ142" s="108"/>
      <c r="EAA142" s="108"/>
      <c r="EAB142" s="109"/>
      <c r="EAC142" s="107" t="s">
        <v>1</v>
      </c>
      <c r="EAD142" s="108"/>
      <c r="EAE142" s="108"/>
      <c r="EAF142" s="109"/>
      <c r="EAG142" s="107" t="s">
        <v>1</v>
      </c>
      <c r="EAH142" s="108"/>
      <c r="EAI142" s="108"/>
      <c r="EAJ142" s="109"/>
      <c r="EAK142" s="107" t="s">
        <v>1</v>
      </c>
      <c r="EAL142" s="108"/>
      <c r="EAM142" s="108"/>
      <c r="EAN142" s="109"/>
      <c r="EAO142" s="107" t="s">
        <v>1</v>
      </c>
      <c r="EAP142" s="108"/>
      <c r="EAQ142" s="108"/>
      <c r="EAR142" s="109"/>
      <c r="EAS142" s="107" t="s">
        <v>1</v>
      </c>
      <c r="EAT142" s="108"/>
      <c r="EAU142" s="108"/>
      <c r="EAV142" s="109"/>
      <c r="EAW142" s="107" t="s">
        <v>1</v>
      </c>
      <c r="EAX142" s="108"/>
      <c r="EAY142" s="108"/>
      <c r="EAZ142" s="109"/>
      <c r="EBA142" s="107" t="s">
        <v>1</v>
      </c>
      <c r="EBB142" s="108"/>
      <c r="EBC142" s="108"/>
      <c r="EBD142" s="109"/>
      <c r="EBE142" s="107" t="s">
        <v>1</v>
      </c>
      <c r="EBF142" s="108"/>
      <c r="EBG142" s="108"/>
      <c r="EBH142" s="109"/>
      <c r="EBI142" s="107" t="s">
        <v>1</v>
      </c>
      <c r="EBJ142" s="108"/>
      <c r="EBK142" s="108"/>
      <c r="EBL142" s="109"/>
      <c r="EBM142" s="107" t="s">
        <v>1</v>
      </c>
      <c r="EBN142" s="108"/>
      <c r="EBO142" s="108"/>
      <c r="EBP142" s="109"/>
      <c r="EBQ142" s="107" t="s">
        <v>1</v>
      </c>
      <c r="EBR142" s="108"/>
      <c r="EBS142" s="108"/>
      <c r="EBT142" s="109"/>
      <c r="EBU142" s="107" t="s">
        <v>1</v>
      </c>
      <c r="EBV142" s="108"/>
      <c r="EBW142" s="108"/>
      <c r="EBX142" s="109"/>
      <c r="EBY142" s="107" t="s">
        <v>1</v>
      </c>
      <c r="EBZ142" s="108"/>
      <c r="ECA142" s="108"/>
      <c r="ECB142" s="109"/>
      <c r="ECC142" s="107" t="s">
        <v>1</v>
      </c>
      <c r="ECD142" s="108"/>
      <c r="ECE142" s="108"/>
      <c r="ECF142" s="109"/>
      <c r="ECG142" s="107" t="s">
        <v>1</v>
      </c>
      <c r="ECH142" s="108"/>
      <c r="ECI142" s="108"/>
      <c r="ECJ142" s="109"/>
      <c r="ECK142" s="107" t="s">
        <v>1</v>
      </c>
      <c r="ECL142" s="108"/>
      <c r="ECM142" s="108"/>
      <c r="ECN142" s="109"/>
      <c r="ECO142" s="107" t="s">
        <v>1</v>
      </c>
      <c r="ECP142" s="108"/>
      <c r="ECQ142" s="108"/>
      <c r="ECR142" s="109"/>
      <c r="ECS142" s="107" t="s">
        <v>1</v>
      </c>
      <c r="ECT142" s="108"/>
      <c r="ECU142" s="108"/>
      <c r="ECV142" s="109"/>
      <c r="ECW142" s="107" t="s">
        <v>1</v>
      </c>
      <c r="ECX142" s="108"/>
      <c r="ECY142" s="108"/>
      <c r="ECZ142" s="109"/>
      <c r="EDA142" s="107" t="s">
        <v>1</v>
      </c>
      <c r="EDB142" s="108"/>
      <c r="EDC142" s="108"/>
      <c r="EDD142" s="109"/>
      <c r="EDE142" s="107" t="s">
        <v>1</v>
      </c>
      <c r="EDF142" s="108"/>
      <c r="EDG142" s="108"/>
      <c r="EDH142" s="109"/>
      <c r="EDI142" s="107" t="s">
        <v>1</v>
      </c>
      <c r="EDJ142" s="108"/>
      <c r="EDK142" s="108"/>
      <c r="EDL142" s="109"/>
      <c r="EDM142" s="107" t="s">
        <v>1</v>
      </c>
      <c r="EDN142" s="108"/>
      <c r="EDO142" s="108"/>
      <c r="EDP142" s="109"/>
      <c r="EDQ142" s="107" t="s">
        <v>1</v>
      </c>
      <c r="EDR142" s="108"/>
      <c r="EDS142" s="108"/>
      <c r="EDT142" s="109"/>
      <c r="EDU142" s="107" t="s">
        <v>1</v>
      </c>
      <c r="EDV142" s="108"/>
      <c r="EDW142" s="108"/>
      <c r="EDX142" s="109"/>
      <c r="EDY142" s="107" t="s">
        <v>1</v>
      </c>
      <c r="EDZ142" s="108"/>
      <c r="EEA142" s="108"/>
      <c r="EEB142" s="109"/>
      <c r="EEC142" s="107" t="s">
        <v>1</v>
      </c>
      <c r="EED142" s="108"/>
      <c r="EEE142" s="108"/>
      <c r="EEF142" s="109"/>
      <c r="EEG142" s="107" t="s">
        <v>1</v>
      </c>
      <c r="EEH142" s="108"/>
      <c r="EEI142" s="108"/>
      <c r="EEJ142" s="109"/>
      <c r="EEK142" s="107" t="s">
        <v>1</v>
      </c>
      <c r="EEL142" s="108"/>
      <c r="EEM142" s="108"/>
      <c r="EEN142" s="109"/>
      <c r="EEO142" s="107" t="s">
        <v>1</v>
      </c>
      <c r="EEP142" s="108"/>
      <c r="EEQ142" s="108"/>
      <c r="EER142" s="109"/>
      <c r="EES142" s="107" t="s">
        <v>1</v>
      </c>
      <c r="EET142" s="108"/>
      <c r="EEU142" s="108"/>
      <c r="EEV142" s="109"/>
      <c r="EEW142" s="107" t="s">
        <v>1</v>
      </c>
      <c r="EEX142" s="108"/>
      <c r="EEY142" s="108"/>
      <c r="EEZ142" s="109"/>
      <c r="EFA142" s="107" t="s">
        <v>1</v>
      </c>
      <c r="EFB142" s="108"/>
      <c r="EFC142" s="108"/>
      <c r="EFD142" s="109"/>
      <c r="EFE142" s="107" t="s">
        <v>1</v>
      </c>
      <c r="EFF142" s="108"/>
      <c r="EFG142" s="108"/>
      <c r="EFH142" s="109"/>
      <c r="EFI142" s="107" t="s">
        <v>1</v>
      </c>
      <c r="EFJ142" s="108"/>
      <c r="EFK142" s="108"/>
      <c r="EFL142" s="109"/>
      <c r="EFM142" s="107" t="s">
        <v>1</v>
      </c>
      <c r="EFN142" s="108"/>
      <c r="EFO142" s="108"/>
      <c r="EFP142" s="109"/>
      <c r="EFQ142" s="107" t="s">
        <v>1</v>
      </c>
      <c r="EFR142" s="108"/>
      <c r="EFS142" s="108"/>
      <c r="EFT142" s="109"/>
      <c r="EFU142" s="107" t="s">
        <v>1</v>
      </c>
      <c r="EFV142" s="108"/>
      <c r="EFW142" s="108"/>
      <c r="EFX142" s="109"/>
      <c r="EFY142" s="107" t="s">
        <v>1</v>
      </c>
      <c r="EFZ142" s="108"/>
      <c r="EGA142" s="108"/>
      <c r="EGB142" s="109"/>
      <c r="EGC142" s="107" t="s">
        <v>1</v>
      </c>
      <c r="EGD142" s="108"/>
      <c r="EGE142" s="108"/>
      <c r="EGF142" s="109"/>
      <c r="EGG142" s="107" t="s">
        <v>1</v>
      </c>
      <c r="EGH142" s="108"/>
      <c r="EGI142" s="108"/>
      <c r="EGJ142" s="109"/>
      <c r="EGK142" s="107" t="s">
        <v>1</v>
      </c>
      <c r="EGL142" s="108"/>
      <c r="EGM142" s="108"/>
      <c r="EGN142" s="109"/>
      <c r="EGO142" s="107" t="s">
        <v>1</v>
      </c>
      <c r="EGP142" s="108"/>
      <c r="EGQ142" s="108"/>
      <c r="EGR142" s="109"/>
      <c r="EGS142" s="107" t="s">
        <v>1</v>
      </c>
      <c r="EGT142" s="108"/>
      <c r="EGU142" s="108"/>
      <c r="EGV142" s="109"/>
      <c r="EGW142" s="107" t="s">
        <v>1</v>
      </c>
      <c r="EGX142" s="108"/>
      <c r="EGY142" s="108"/>
      <c r="EGZ142" s="109"/>
      <c r="EHA142" s="107" t="s">
        <v>1</v>
      </c>
      <c r="EHB142" s="108"/>
      <c r="EHC142" s="108"/>
      <c r="EHD142" s="109"/>
      <c r="EHE142" s="107" t="s">
        <v>1</v>
      </c>
      <c r="EHF142" s="108"/>
      <c r="EHG142" s="108"/>
      <c r="EHH142" s="109"/>
      <c r="EHI142" s="107" t="s">
        <v>1</v>
      </c>
      <c r="EHJ142" s="108"/>
      <c r="EHK142" s="108"/>
      <c r="EHL142" s="109"/>
      <c r="EHM142" s="107" t="s">
        <v>1</v>
      </c>
      <c r="EHN142" s="108"/>
      <c r="EHO142" s="108"/>
      <c r="EHP142" s="109"/>
      <c r="EHQ142" s="107" t="s">
        <v>1</v>
      </c>
      <c r="EHR142" s="108"/>
      <c r="EHS142" s="108"/>
      <c r="EHT142" s="109"/>
      <c r="EHU142" s="107" t="s">
        <v>1</v>
      </c>
      <c r="EHV142" s="108"/>
      <c r="EHW142" s="108"/>
      <c r="EHX142" s="109"/>
      <c r="EHY142" s="107" t="s">
        <v>1</v>
      </c>
      <c r="EHZ142" s="108"/>
      <c r="EIA142" s="108"/>
      <c r="EIB142" s="109"/>
      <c r="EIC142" s="107" t="s">
        <v>1</v>
      </c>
      <c r="EID142" s="108"/>
      <c r="EIE142" s="108"/>
      <c r="EIF142" s="109"/>
      <c r="EIG142" s="107" t="s">
        <v>1</v>
      </c>
      <c r="EIH142" s="108"/>
      <c r="EII142" s="108"/>
      <c r="EIJ142" s="109"/>
      <c r="EIK142" s="107" t="s">
        <v>1</v>
      </c>
      <c r="EIL142" s="108"/>
      <c r="EIM142" s="108"/>
      <c r="EIN142" s="109"/>
      <c r="EIO142" s="107" t="s">
        <v>1</v>
      </c>
      <c r="EIP142" s="108"/>
      <c r="EIQ142" s="108"/>
      <c r="EIR142" s="109"/>
      <c r="EIS142" s="107" t="s">
        <v>1</v>
      </c>
      <c r="EIT142" s="108"/>
      <c r="EIU142" s="108"/>
      <c r="EIV142" s="109"/>
      <c r="EIW142" s="107" t="s">
        <v>1</v>
      </c>
      <c r="EIX142" s="108"/>
      <c r="EIY142" s="108"/>
      <c r="EIZ142" s="109"/>
      <c r="EJA142" s="107" t="s">
        <v>1</v>
      </c>
      <c r="EJB142" s="108"/>
      <c r="EJC142" s="108"/>
      <c r="EJD142" s="109"/>
      <c r="EJE142" s="107" t="s">
        <v>1</v>
      </c>
      <c r="EJF142" s="108"/>
      <c r="EJG142" s="108"/>
      <c r="EJH142" s="109"/>
      <c r="EJI142" s="107" t="s">
        <v>1</v>
      </c>
      <c r="EJJ142" s="108"/>
      <c r="EJK142" s="108"/>
      <c r="EJL142" s="109"/>
      <c r="EJM142" s="107" t="s">
        <v>1</v>
      </c>
      <c r="EJN142" s="108"/>
      <c r="EJO142" s="108"/>
      <c r="EJP142" s="109"/>
      <c r="EJQ142" s="107" t="s">
        <v>1</v>
      </c>
      <c r="EJR142" s="108"/>
      <c r="EJS142" s="108"/>
      <c r="EJT142" s="109"/>
      <c r="EJU142" s="107" t="s">
        <v>1</v>
      </c>
      <c r="EJV142" s="108"/>
      <c r="EJW142" s="108"/>
      <c r="EJX142" s="109"/>
      <c r="EJY142" s="107" t="s">
        <v>1</v>
      </c>
      <c r="EJZ142" s="108"/>
      <c r="EKA142" s="108"/>
      <c r="EKB142" s="109"/>
      <c r="EKC142" s="107" t="s">
        <v>1</v>
      </c>
      <c r="EKD142" s="108"/>
      <c r="EKE142" s="108"/>
      <c r="EKF142" s="109"/>
      <c r="EKG142" s="107" t="s">
        <v>1</v>
      </c>
      <c r="EKH142" s="108"/>
      <c r="EKI142" s="108"/>
      <c r="EKJ142" s="109"/>
      <c r="EKK142" s="107" t="s">
        <v>1</v>
      </c>
      <c r="EKL142" s="108"/>
      <c r="EKM142" s="108"/>
      <c r="EKN142" s="109"/>
      <c r="EKO142" s="107" t="s">
        <v>1</v>
      </c>
      <c r="EKP142" s="108"/>
      <c r="EKQ142" s="108"/>
      <c r="EKR142" s="109"/>
      <c r="EKS142" s="107" t="s">
        <v>1</v>
      </c>
      <c r="EKT142" s="108"/>
      <c r="EKU142" s="108"/>
      <c r="EKV142" s="109"/>
      <c r="EKW142" s="107" t="s">
        <v>1</v>
      </c>
      <c r="EKX142" s="108"/>
      <c r="EKY142" s="108"/>
      <c r="EKZ142" s="109"/>
      <c r="ELA142" s="107" t="s">
        <v>1</v>
      </c>
      <c r="ELB142" s="108"/>
      <c r="ELC142" s="108"/>
      <c r="ELD142" s="109"/>
      <c r="ELE142" s="107" t="s">
        <v>1</v>
      </c>
      <c r="ELF142" s="108"/>
      <c r="ELG142" s="108"/>
      <c r="ELH142" s="109"/>
      <c r="ELI142" s="107" t="s">
        <v>1</v>
      </c>
      <c r="ELJ142" s="108"/>
      <c r="ELK142" s="108"/>
      <c r="ELL142" s="109"/>
      <c r="ELM142" s="107" t="s">
        <v>1</v>
      </c>
      <c r="ELN142" s="108"/>
      <c r="ELO142" s="108"/>
      <c r="ELP142" s="109"/>
      <c r="ELQ142" s="107" t="s">
        <v>1</v>
      </c>
      <c r="ELR142" s="108"/>
      <c r="ELS142" s="108"/>
      <c r="ELT142" s="109"/>
      <c r="ELU142" s="107" t="s">
        <v>1</v>
      </c>
      <c r="ELV142" s="108"/>
      <c r="ELW142" s="108"/>
      <c r="ELX142" s="109"/>
      <c r="ELY142" s="107" t="s">
        <v>1</v>
      </c>
      <c r="ELZ142" s="108"/>
      <c r="EMA142" s="108"/>
      <c r="EMB142" s="109"/>
      <c r="EMC142" s="107" t="s">
        <v>1</v>
      </c>
      <c r="EMD142" s="108"/>
      <c r="EME142" s="108"/>
      <c r="EMF142" s="109"/>
      <c r="EMG142" s="107" t="s">
        <v>1</v>
      </c>
      <c r="EMH142" s="108"/>
      <c r="EMI142" s="108"/>
      <c r="EMJ142" s="109"/>
      <c r="EMK142" s="107" t="s">
        <v>1</v>
      </c>
      <c r="EML142" s="108"/>
      <c r="EMM142" s="108"/>
      <c r="EMN142" s="109"/>
      <c r="EMO142" s="107" t="s">
        <v>1</v>
      </c>
      <c r="EMP142" s="108"/>
      <c r="EMQ142" s="108"/>
      <c r="EMR142" s="109"/>
      <c r="EMS142" s="107" t="s">
        <v>1</v>
      </c>
      <c r="EMT142" s="108"/>
      <c r="EMU142" s="108"/>
      <c r="EMV142" s="109"/>
      <c r="EMW142" s="107" t="s">
        <v>1</v>
      </c>
      <c r="EMX142" s="108"/>
      <c r="EMY142" s="108"/>
      <c r="EMZ142" s="109"/>
      <c r="ENA142" s="107" t="s">
        <v>1</v>
      </c>
      <c r="ENB142" s="108"/>
      <c r="ENC142" s="108"/>
      <c r="END142" s="109"/>
      <c r="ENE142" s="107" t="s">
        <v>1</v>
      </c>
      <c r="ENF142" s="108"/>
      <c r="ENG142" s="108"/>
      <c r="ENH142" s="109"/>
      <c r="ENI142" s="107" t="s">
        <v>1</v>
      </c>
      <c r="ENJ142" s="108"/>
      <c r="ENK142" s="108"/>
      <c r="ENL142" s="109"/>
      <c r="ENM142" s="107" t="s">
        <v>1</v>
      </c>
      <c r="ENN142" s="108"/>
      <c r="ENO142" s="108"/>
      <c r="ENP142" s="109"/>
      <c r="ENQ142" s="107" t="s">
        <v>1</v>
      </c>
      <c r="ENR142" s="108"/>
      <c r="ENS142" s="108"/>
      <c r="ENT142" s="109"/>
      <c r="ENU142" s="107" t="s">
        <v>1</v>
      </c>
      <c r="ENV142" s="108"/>
      <c r="ENW142" s="108"/>
      <c r="ENX142" s="109"/>
      <c r="ENY142" s="107" t="s">
        <v>1</v>
      </c>
      <c r="ENZ142" s="108"/>
      <c r="EOA142" s="108"/>
      <c r="EOB142" s="109"/>
      <c r="EOC142" s="107" t="s">
        <v>1</v>
      </c>
      <c r="EOD142" s="108"/>
      <c r="EOE142" s="108"/>
      <c r="EOF142" s="109"/>
      <c r="EOG142" s="107" t="s">
        <v>1</v>
      </c>
      <c r="EOH142" s="108"/>
      <c r="EOI142" s="108"/>
      <c r="EOJ142" s="109"/>
      <c r="EOK142" s="107" t="s">
        <v>1</v>
      </c>
      <c r="EOL142" s="108"/>
      <c r="EOM142" s="108"/>
      <c r="EON142" s="109"/>
      <c r="EOO142" s="107" t="s">
        <v>1</v>
      </c>
      <c r="EOP142" s="108"/>
      <c r="EOQ142" s="108"/>
      <c r="EOR142" s="109"/>
      <c r="EOS142" s="107" t="s">
        <v>1</v>
      </c>
      <c r="EOT142" s="108"/>
      <c r="EOU142" s="108"/>
      <c r="EOV142" s="109"/>
      <c r="EOW142" s="107" t="s">
        <v>1</v>
      </c>
      <c r="EOX142" s="108"/>
      <c r="EOY142" s="108"/>
      <c r="EOZ142" s="109"/>
      <c r="EPA142" s="107" t="s">
        <v>1</v>
      </c>
      <c r="EPB142" s="108"/>
      <c r="EPC142" s="108"/>
      <c r="EPD142" s="109"/>
      <c r="EPE142" s="107" t="s">
        <v>1</v>
      </c>
      <c r="EPF142" s="108"/>
      <c r="EPG142" s="108"/>
      <c r="EPH142" s="109"/>
      <c r="EPI142" s="107" t="s">
        <v>1</v>
      </c>
      <c r="EPJ142" s="108"/>
      <c r="EPK142" s="108"/>
      <c r="EPL142" s="109"/>
      <c r="EPM142" s="107" t="s">
        <v>1</v>
      </c>
      <c r="EPN142" s="108"/>
      <c r="EPO142" s="108"/>
      <c r="EPP142" s="109"/>
      <c r="EPQ142" s="107" t="s">
        <v>1</v>
      </c>
      <c r="EPR142" s="108"/>
      <c r="EPS142" s="108"/>
      <c r="EPT142" s="109"/>
      <c r="EPU142" s="107" t="s">
        <v>1</v>
      </c>
      <c r="EPV142" s="108"/>
      <c r="EPW142" s="108"/>
      <c r="EPX142" s="109"/>
      <c r="EPY142" s="107" t="s">
        <v>1</v>
      </c>
      <c r="EPZ142" s="108"/>
      <c r="EQA142" s="108"/>
      <c r="EQB142" s="109"/>
      <c r="EQC142" s="107" t="s">
        <v>1</v>
      </c>
      <c r="EQD142" s="108"/>
      <c r="EQE142" s="108"/>
      <c r="EQF142" s="109"/>
      <c r="EQG142" s="107" t="s">
        <v>1</v>
      </c>
      <c r="EQH142" s="108"/>
      <c r="EQI142" s="108"/>
      <c r="EQJ142" s="109"/>
      <c r="EQK142" s="107" t="s">
        <v>1</v>
      </c>
      <c r="EQL142" s="108"/>
      <c r="EQM142" s="108"/>
      <c r="EQN142" s="109"/>
      <c r="EQO142" s="107" t="s">
        <v>1</v>
      </c>
      <c r="EQP142" s="108"/>
      <c r="EQQ142" s="108"/>
      <c r="EQR142" s="109"/>
      <c r="EQS142" s="107" t="s">
        <v>1</v>
      </c>
      <c r="EQT142" s="108"/>
      <c r="EQU142" s="108"/>
      <c r="EQV142" s="109"/>
      <c r="EQW142" s="107" t="s">
        <v>1</v>
      </c>
      <c r="EQX142" s="108"/>
      <c r="EQY142" s="108"/>
      <c r="EQZ142" s="109"/>
      <c r="ERA142" s="107" t="s">
        <v>1</v>
      </c>
      <c r="ERB142" s="108"/>
      <c r="ERC142" s="108"/>
      <c r="ERD142" s="109"/>
      <c r="ERE142" s="107" t="s">
        <v>1</v>
      </c>
      <c r="ERF142" s="108"/>
      <c r="ERG142" s="108"/>
      <c r="ERH142" s="109"/>
      <c r="ERI142" s="107" t="s">
        <v>1</v>
      </c>
      <c r="ERJ142" s="108"/>
      <c r="ERK142" s="108"/>
      <c r="ERL142" s="109"/>
      <c r="ERM142" s="107" t="s">
        <v>1</v>
      </c>
      <c r="ERN142" s="108"/>
      <c r="ERO142" s="108"/>
      <c r="ERP142" s="109"/>
      <c r="ERQ142" s="107" t="s">
        <v>1</v>
      </c>
      <c r="ERR142" s="108"/>
      <c r="ERS142" s="108"/>
      <c r="ERT142" s="109"/>
      <c r="ERU142" s="107" t="s">
        <v>1</v>
      </c>
      <c r="ERV142" s="108"/>
      <c r="ERW142" s="108"/>
      <c r="ERX142" s="109"/>
      <c r="ERY142" s="107" t="s">
        <v>1</v>
      </c>
      <c r="ERZ142" s="108"/>
      <c r="ESA142" s="108"/>
      <c r="ESB142" s="109"/>
      <c r="ESC142" s="107" t="s">
        <v>1</v>
      </c>
      <c r="ESD142" s="108"/>
      <c r="ESE142" s="108"/>
      <c r="ESF142" s="109"/>
      <c r="ESG142" s="107" t="s">
        <v>1</v>
      </c>
      <c r="ESH142" s="108"/>
      <c r="ESI142" s="108"/>
      <c r="ESJ142" s="109"/>
      <c r="ESK142" s="107" t="s">
        <v>1</v>
      </c>
      <c r="ESL142" s="108"/>
      <c r="ESM142" s="108"/>
      <c r="ESN142" s="109"/>
      <c r="ESO142" s="107" t="s">
        <v>1</v>
      </c>
      <c r="ESP142" s="108"/>
      <c r="ESQ142" s="108"/>
      <c r="ESR142" s="109"/>
      <c r="ESS142" s="107" t="s">
        <v>1</v>
      </c>
      <c r="EST142" s="108"/>
      <c r="ESU142" s="108"/>
      <c r="ESV142" s="109"/>
      <c r="ESW142" s="107" t="s">
        <v>1</v>
      </c>
      <c r="ESX142" s="108"/>
      <c r="ESY142" s="108"/>
      <c r="ESZ142" s="109"/>
      <c r="ETA142" s="107" t="s">
        <v>1</v>
      </c>
      <c r="ETB142" s="108"/>
      <c r="ETC142" s="108"/>
      <c r="ETD142" s="109"/>
      <c r="ETE142" s="107" t="s">
        <v>1</v>
      </c>
      <c r="ETF142" s="108"/>
      <c r="ETG142" s="108"/>
      <c r="ETH142" s="109"/>
      <c r="ETI142" s="107" t="s">
        <v>1</v>
      </c>
      <c r="ETJ142" s="108"/>
      <c r="ETK142" s="108"/>
      <c r="ETL142" s="109"/>
      <c r="ETM142" s="107" t="s">
        <v>1</v>
      </c>
      <c r="ETN142" s="108"/>
      <c r="ETO142" s="108"/>
      <c r="ETP142" s="109"/>
      <c r="ETQ142" s="107" t="s">
        <v>1</v>
      </c>
      <c r="ETR142" s="108"/>
      <c r="ETS142" s="108"/>
      <c r="ETT142" s="109"/>
      <c r="ETU142" s="107" t="s">
        <v>1</v>
      </c>
      <c r="ETV142" s="108"/>
      <c r="ETW142" s="108"/>
      <c r="ETX142" s="109"/>
      <c r="ETY142" s="107" t="s">
        <v>1</v>
      </c>
      <c r="ETZ142" s="108"/>
      <c r="EUA142" s="108"/>
      <c r="EUB142" s="109"/>
      <c r="EUC142" s="107" t="s">
        <v>1</v>
      </c>
      <c r="EUD142" s="108"/>
      <c r="EUE142" s="108"/>
      <c r="EUF142" s="109"/>
      <c r="EUG142" s="107" t="s">
        <v>1</v>
      </c>
      <c r="EUH142" s="108"/>
      <c r="EUI142" s="108"/>
      <c r="EUJ142" s="109"/>
      <c r="EUK142" s="107" t="s">
        <v>1</v>
      </c>
      <c r="EUL142" s="108"/>
      <c r="EUM142" s="108"/>
      <c r="EUN142" s="109"/>
      <c r="EUO142" s="107" t="s">
        <v>1</v>
      </c>
      <c r="EUP142" s="108"/>
      <c r="EUQ142" s="108"/>
      <c r="EUR142" s="109"/>
      <c r="EUS142" s="107" t="s">
        <v>1</v>
      </c>
      <c r="EUT142" s="108"/>
      <c r="EUU142" s="108"/>
      <c r="EUV142" s="109"/>
      <c r="EUW142" s="107" t="s">
        <v>1</v>
      </c>
      <c r="EUX142" s="108"/>
      <c r="EUY142" s="108"/>
      <c r="EUZ142" s="109"/>
      <c r="EVA142" s="107" t="s">
        <v>1</v>
      </c>
      <c r="EVB142" s="108"/>
      <c r="EVC142" s="108"/>
      <c r="EVD142" s="109"/>
      <c r="EVE142" s="107" t="s">
        <v>1</v>
      </c>
      <c r="EVF142" s="108"/>
      <c r="EVG142" s="108"/>
      <c r="EVH142" s="109"/>
      <c r="EVI142" s="107" t="s">
        <v>1</v>
      </c>
      <c r="EVJ142" s="108"/>
      <c r="EVK142" s="108"/>
      <c r="EVL142" s="109"/>
      <c r="EVM142" s="107" t="s">
        <v>1</v>
      </c>
      <c r="EVN142" s="108"/>
      <c r="EVO142" s="108"/>
      <c r="EVP142" s="109"/>
      <c r="EVQ142" s="107" t="s">
        <v>1</v>
      </c>
      <c r="EVR142" s="108"/>
      <c r="EVS142" s="108"/>
      <c r="EVT142" s="109"/>
      <c r="EVU142" s="107" t="s">
        <v>1</v>
      </c>
      <c r="EVV142" s="108"/>
      <c r="EVW142" s="108"/>
      <c r="EVX142" s="109"/>
      <c r="EVY142" s="107" t="s">
        <v>1</v>
      </c>
      <c r="EVZ142" s="108"/>
      <c r="EWA142" s="108"/>
      <c r="EWB142" s="109"/>
      <c r="EWC142" s="107" t="s">
        <v>1</v>
      </c>
      <c r="EWD142" s="108"/>
      <c r="EWE142" s="108"/>
      <c r="EWF142" s="109"/>
      <c r="EWG142" s="107" t="s">
        <v>1</v>
      </c>
      <c r="EWH142" s="108"/>
      <c r="EWI142" s="108"/>
      <c r="EWJ142" s="109"/>
      <c r="EWK142" s="107" t="s">
        <v>1</v>
      </c>
      <c r="EWL142" s="108"/>
      <c r="EWM142" s="108"/>
      <c r="EWN142" s="109"/>
      <c r="EWO142" s="107" t="s">
        <v>1</v>
      </c>
      <c r="EWP142" s="108"/>
      <c r="EWQ142" s="108"/>
      <c r="EWR142" s="109"/>
      <c r="EWS142" s="107" t="s">
        <v>1</v>
      </c>
      <c r="EWT142" s="108"/>
      <c r="EWU142" s="108"/>
      <c r="EWV142" s="109"/>
      <c r="EWW142" s="107" t="s">
        <v>1</v>
      </c>
      <c r="EWX142" s="108"/>
      <c r="EWY142" s="108"/>
      <c r="EWZ142" s="109"/>
      <c r="EXA142" s="107" t="s">
        <v>1</v>
      </c>
      <c r="EXB142" s="108"/>
      <c r="EXC142" s="108"/>
      <c r="EXD142" s="109"/>
      <c r="EXE142" s="107" t="s">
        <v>1</v>
      </c>
      <c r="EXF142" s="108"/>
      <c r="EXG142" s="108"/>
      <c r="EXH142" s="109"/>
      <c r="EXI142" s="107" t="s">
        <v>1</v>
      </c>
      <c r="EXJ142" s="108"/>
      <c r="EXK142" s="108"/>
      <c r="EXL142" s="109"/>
      <c r="EXM142" s="107" t="s">
        <v>1</v>
      </c>
      <c r="EXN142" s="108"/>
      <c r="EXO142" s="108"/>
      <c r="EXP142" s="109"/>
      <c r="EXQ142" s="107" t="s">
        <v>1</v>
      </c>
      <c r="EXR142" s="108"/>
      <c r="EXS142" s="108"/>
      <c r="EXT142" s="109"/>
      <c r="EXU142" s="107" t="s">
        <v>1</v>
      </c>
      <c r="EXV142" s="108"/>
      <c r="EXW142" s="108"/>
      <c r="EXX142" s="109"/>
      <c r="EXY142" s="107" t="s">
        <v>1</v>
      </c>
      <c r="EXZ142" s="108"/>
      <c r="EYA142" s="108"/>
      <c r="EYB142" s="109"/>
      <c r="EYC142" s="107" t="s">
        <v>1</v>
      </c>
      <c r="EYD142" s="108"/>
      <c r="EYE142" s="108"/>
      <c r="EYF142" s="109"/>
      <c r="EYG142" s="107" t="s">
        <v>1</v>
      </c>
      <c r="EYH142" s="108"/>
      <c r="EYI142" s="108"/>
      <c r="EYJ142" s="109"/>
      <c r="EYK142" s="107" t="s">
        <v>1</v>
      </c>
      <c r="EYL142" s="108"/>
      <c r="EYM142" s="108"/>
      <c r="EYN142" s="109"/>
      <c r="EYO142" s="107" t="s">
        <v>1</v>
      </c>
      <c r="EYP142" s="108"/>
      <c r="EYQ142" s="108"/>
      <c r="EYR142" s="109"/>
      <c r="EYS142" s="107" t="s">
        <v>1</v>
      </c>
      <c r="EYT142" s="108"/>
      <c r="EYU142" s="108"/>
      <c r="EYV142" s="109"/>
      <c r="EYW142" s="107" t="s">
        <v>1</v>
      </c>
      <c r="EYX142" s="108"/>
      <c r="EYY142" s="108"/>
      <c r="EYZ142" s="109"/>
      <c r="EZA142" s="107" t="s">
        <v>1</v>
      </c>
      <c r="EZB142" s="108"/>
      <c r="EZC142" s="108"/>
      <c r="EZD142" s="109"/>
      <c r="EZE142" s="107" t="s">
        <v>1</v>
      </c>
      <c r="EZF142" s="108"/>
      <c r="EZG142" s="108"/>
      <c r="EZH142" s="109"/>
      <c r="EZI142" s="107" t="s">
        <v>1</v>
      </c>
      <c r="EZJ142" s="108"/>
      <c r="EZK142" s="108"/>
      <c r="EZL142" s="109"/>
      <c r="EZM142" s="107" t="s">
        <v>1</v>
      </c>
      <c r="EZN142" s="108"/>
      <c r="EZO142" s="108"/>
      <c r="EZP142" s="109"/>
      <c r="EZQ142" s="107" t="s">
        <v>1</v>
      </c>
      <c r="EZR142" s="108"/>
      <c r="EZS142" s="108"/>
      <c r="EZT142" s="109"/>
      <c r="EZU142" s="107" t="s">
        <v>1</v>
      </c>
      <c r="EZV142" s="108"/>
      <c r="EZW142" s="108"/>
      <c r="EZX142" s="109"/>
      <c r="EZY142" s="107" t="s">
        <v>1</v>
      </c>
      <c r="EZZ142" s="108"/>
      <c r="FAA142" s="108"/>
      <c r="FAB142" s="109"/>
      <c r="FAC142" s="107" t="s">
        <v>1</v>
      </c>
      <c r="FAD142" s="108"/>
      <c r="FAE142" s="108"/>
      <c r="FAF142" s="109"/>
      <c r="FAG142" s="107" t="s">
        <v>1</v>
      </c>
      <c r="FAH142" s="108"/>
      <c r="FAI142" s="108"/>
      <c r="FAJ142" s="109"/>
      <c r="FAK142" s="107" t="s">
        <v>1</v>
      </c>
      <c r="FAL142" s="108"/>
      <c r="FAM142" s="108"/>
      <c r="FAN142" s="109"/>
      <c r="FAO142" s="107" t="s">
        <v>1</v>
      </c>
      <c r="FAP142" s="108"/>
      <c r="FAQ142" s="108"/>
      <c r="FAR142" s="109"/>
      <c r="FAS142" s="107" t="s">
        <v>1</v>
      </c>
      <c r="FAT142" s="108"/>
      <c r="FAU142" s="108"/>
      <c r="FAV142" s="109"/>
      <c r="FAW142" s="107" t="s">
        <v>1</v>
      </c>
      <c r="FAX142" s="108"/>
      <c r="FAY142" s="108"/>
      <c r="FAZ142" s="109"/>
      <c r="FBA142" s="107" t="s">
        <v>1</v>
      </c>
      <c r="FBB142" s="108"/>
      <c r="FBC142" s="108"/>
      <c r="FBD142" s="109"/>
      <c r="FBE142" s="107" t="s">
        <v>1</v>
      </c>
      <c r="FBF142" s="108"/>
      <c r="FBG142" s="108"/>
      <c r="FBH142" s="109"/>
      <c r="FBI142" s="107" t="s">
        <v>1</v>
      </c>
      <c r="FBJ142" s="108"/>
      <c r="FBK142" s="108"/>
      <c r="FBL142" s="109"/>
      <c r="FBM142" s="107" t="s">
        <v>1</v>
      </c>
      <c r="FBN142" s="108"/>
      <c r="FBO142" s="108"/>
      <c r="FBP142" s="109"/>
      <c r="FBQ142" s="107" t="s">
        <v>1</v>
      </c>
      <c r="FBR142" s="108"/>
      <c r="FBS142" s="108"/>
      <c r="FBT142" s="109"/>
      <c r="FBU142" s="107" t="s">
        <v>1</v>
      </c>
      <c r="FBV142" s="108"/>
      <c r="FBW142" s="108"/>
      <c r="FBX142" s="109"/>
      <c r="FBY142" s="107" t="s">
        <v>1</v>
      </c>
      <c r="FBZ142" s="108"/>
      <c r="FCA142" s="108"/>
      <c r="FCB142" s="109"/>
      <c r="FCC142" s="107" t="s">
        <v>1</v>
      </c>
      <c r="FCD142" s="108"/>
      <c r="FCE142" s="108"/>
      <c r="FCF142" s="109"/>
      <c r="FCG142" s="107" t="s">
        <v>1</v>
      </c>
      <c r="FCH142" s="108"/>
      <c r="FCI142" s="108"/>
      <c r="FCJ142" s="109"/>
      <c r="FCK142" s="107" t="s">
        <v>1</v>
      </c>
      <c r="FCL142" s="108"/>
      <c r="FCM142" s="108"/>
      <c r="FCN142" s="109"/>
      <c r="FCO142" s="107" t="s">
        <v>1</v>
      </c>
      <c r="FCP142" s="108"/>
      <c r="FCQ142" s="108"/>
      <c r="FCR142" s="109"/>
      <c r="FCS142" s="107" t="s">
        <v>1</v>
      </c>
      <c r="FCT142" s="108"/>
      <c r="FCU142" s="108"/>
      <c r="FCV142" s="109"/>
      <c r="FCW142" s="107" t="s">
        <v>1</v>
      </c>
      <c r="FCX142" s="108"/>
      <c r="FCY142" s="108"/>
      <c r="FCZ142" s="109"/>
      <c r="FDA142" s="107" t="s">
        <v>1</v>
      </c>
      <c r="FDB142" s="108"/>
      <c r="FDC142" s="108"/>
      <c r="FDD142" s="109"/>
      <c r="FDE142" s="107" t="s">
        <v>1</v>
      </c>
      <c r="FDF142" s="108"/>
      <c r="FDG142" s="108"/>
      <c r="FDH142" s="109"/>
      <c r="FDI142" s="107" t="s">
        <v>1</v>
      </c>
      <c r="FDJ142" s="108"/>
      <c r="FDK142" s="108"/>
      <c r="FDL142" s="109"/>
      <c r="FDM142" s="107" t="s">
        <v>1</v>
      </c>
      <c r="FDN142" s="108"/>
      <c r="FDO142" s="108"/>
      <c r="FDP142" s="109"/>
      <c r="FDQ142" s="107" t="s">
        <v>1</v>
      </c>
      <c r="FDR142" s="108"/>
      <c r="FDS142" s="108"/>
      <c r="FDT142" s="109"/>
      <c r="FDU142" s="107" t="s">
        <v>1</v>
      </c>
      <c r="FDV142" s="108"/>
      <c r="FDW142" s="108"/>
      <c r="FDX142" s="109"/>
      <c r="FDY142" s="107" t="s">
        <v>1</v>
      </c>
      <c r="FDZ142" s="108"/>
      <c r="FEA142" s="108"/>
      <c r="FEB142" s="109"/>
      <c r="FEC142" s="107" t="s">
        <v>1</v>
      </c>
      <c r="FED142" s="108"/>
      <c r="FEE142" s="108"/>
      <c r="FEF142" s="109"/>
      <c r="FEG142" s="107" t="s">
        <v>1</v>
      </c>
      <c r="FEH142" s="108"/>
      <c r="FEI142" s="108"/>
      <c r="FEJ142" s="109"/>
      <c r="FEK142" s="107" t="s">
        <v>1</v>
      </c>
      <c r="FEL142" s="108"/>
      <c r="FEM142" s="108"/>
      <c r="FEN142" s="109"/>
      <c r="FEO142" s="107" t="s">
        <v>1</v>
      </c>
      <c r="FEP142" s="108"/>
      <c r="FEQ142" s="108"/>
      <c r="FER142" s="109"/>
      <c r="FES142" s="107" t="s">
        <v>1</v>
      </c>
      <c r="FET142" s="108"/>
      <c r="FEU142" s="108"/>
      <c r="FEV142" s="109"/>
      <c r="FEW142" s="107" t="s">
        <v>1</v>
      </c>
      <c r="FEX142" s="108"/>
      <c r="FEY142" s="108"/>
      <c r="FEZ142" s="109"/>
      <c r="FFA142" s="107" t="s">
        <v>1</v>
      </c>
      <c r="FFB142" s="108"/>
      <c r="FFC142" s="108"/>
      <c r="FFD142" s="109"/>
      <c r="FFE142" s="107" t="s">
        <v>1</v>
      </c>
      <c r="FFF142" s="108"/>
      <c r="FFG142" s="108"/>
      <c r="FFH142" s="109"/>
      <c r="FFI142" s="107" t="s">
        <v>1</v>
      </c>
      <c r="FFJ142" s="108"/>
      <c r="FFK142" s="108"/>
      <c r="FFL142" s="109"/>
      <c r="FFM142" s="107" t="s">
        <v>1</v>
      </c>
      <c r="FFN142" s="108"/>
      <c r="FFO142" s="108"/>
      <c r="FFP142" s="109"/>
      <c r="FFQ142" s="107" t="s">
        <v>1</v>
      </c>
      <c r="FFR142" s="108"/>
      <c r="FFS142" s="108"/>
      <c r="FFT142" s="109"/>
      <c r="FFU142" s="107" t="s">
        <v>1</v>
      </c>
      <c r="FFV142" s="108"/>
      <c r="FFW142" s="108"/>
      <c r="FFX142" s="109"/>
      <c r="FFY142" s="107" t="s">
        <v>1</v>
      </c>
      <c r="FFZ142" s="108"/>
      <c r="FGA142" s="108"/>
      <c r="FGB142" s="109"/>
      <c r="FGC142" s="107" t="s">
        <v>1</v>
      </c>
      <c r="FGD142" s="108"/>
      <c r="FGE142" s="108"/>
      <c r="FGF142" s="109"/>
      <c r="FGG142" s="107" t="s">
        <v>1</v>
      </c>
      <c r="FGH142" s="108"/>
      <c r="FGI142" s="108"/>
      <c r="FGJ142" s="109"/>
      <c r="FGK142" s="107" t="s">
        <v>1</v>
      </c>
      <c r="FGL142" s="108"/>
      <c r="FGM142" s="108"/>
      <c r="FGN142" s="109"/>
      <c r="FGO142" s="107" t="s">
        <v>1</v>
      </c>
      <c r="FGP142" s="108"/>
      <c r="FGQ142" s="108"/>
      <c r="FGR142" s="109"/>
      <c r="FGS142" s="107" t="s">
        <v>1</v>
      </c>
      <c r="FGT142" s="108"/>
      <c r="FGU142" s="108"/>
      <c r="FGV142" s="109"/>
      <c r="FGW142" s="107" t="s">
        <v>1</v>
      </c>
      <c r="FGX142" s="108"/>
      <c r="FGY142" s="108"/>
      <c r="FGZ142" s="109"/>
      <c r="FHA142" s="107" t="s">
        <v>1</v>
      </c>
      <c r="FHB142" s="108"/>
      <c r="FHC142" s="108"/>
      <c r="FHD142" s="109"/>
      <c r="FHE142" s="107" t="s">
        <v>1</v>
      </c>
      <c r="FHF142" s="108"/>
      <c r="FHG142" s="108"/>
      <c r="FHH142" s="109"/>
      <c r="FHI142" s="107" t="s">
        <v>1</v>
      </c>
      <c r="FHJ142" s="108"/>
      <c r="FHK142" s="108"/>
      <c r="FHL142" s="109"/>
      <c r="FHM142" s="107" t="s">
        <v>1</v>
      </c>
      <c r="FHN142" s="108"/>
      <c r="FHO142" s="108"/>
      <c r="FHP142" s="109"/>
      <c r="FHQ142" s="107" t="s">
        <v>1</v>
      </c>
      <c r="FHR142" s="108"/>
      <c r="FHS142" s="108"/>
      <c r="FHT142" s="109"/>
      <c r="FHU142" s="107" t="s">
        <v>1</v>
      </c>
      <c r="FHV142" s="108"/>
      <c r="FHW142" s="108"/>
      <c r="FHX142" s="109"/>
      <c r="FHY142" s="107" t="s">
        <v>1</v>
      </c>
      <c r="FHZ142" s="108"/>
      <c r="FIA142" s="108"/>
      <c r="FIB142" s="109"/>
      <c r="FIC142" s="107" t="s">
        <v>1</v>
      </c>
      <c r="FID142" s="108"/>
      <c r="FIE142" s="108"/>
      <c r="FIF142" s="109"/>
      <c r="FIG142" s="107" t="s">
        <v>1</v>
      </c>
      <c r="FIH142" s="108"/>
      <c r="FII142" s="108"/>
      <c r="FIJ142" s="109"/>
      <c r="FIK142" s="107" t="s">
        <v>1</v>
      </c>
      <c r="FIL142" s="108"/>
      <c r="FIM142" s="108"/>
      <c r="FIN142" s="109"/>
      <c r="FIO142" s="107" t="s">
        <v>1</v>
      </c>
      <c r="FIP142" s="108"/>
      <c r="FIQ142" s="108"/>
      <c r="FIR142" s="109"/>
      <c r="FIS142" s="107" t="s">
        <v>1</v>
      </c>
      <c r="FIT142" s="108"/>
      <c r="FIU142" s="108"/>
      <c r="FIV142" s="109"/>
      <c r="FIW142" s="107" t="s">
        <v>1</v>
      </c>
      <c r="FIX142" s="108"/>
      <c r="FIY142" s="108"/>
      <c r="FIZ142" s="109"/>
      <c r="FJA142" s="107" t="s">
        <v>1</v>
      </c>
      <c r="FJB142" s="108"/>
      <c r="FJC142" s="108"/>
      <c r="FJD142" s="109"/>
      <c r="FJE142" s="107" t="s">
        <v>1</v>
      </c>
      <c r="FJF142" s="108"/>
      <c r="FJG142" s="108"/>
      <c r="FJH142" s="109"/>
      <c r="FJI142" s="107" t="s">
        <v>1</v>
      </c>
      <c r="FJJ142" s="108"/>
      <c r="FJK142" s="108"/>
      <c r="FJL142" s="109"/>
      <c r="FJM142" s="107" t="s">
        <v>1</v>
      </c>
      <c r="FJN142" s="108"/>
      <c r="FJO142" s="108"/>
      <c r="FJP142" s="109"/>
      <c r="FJQ142" s="107" t="s">
        <v>1</v>
      </c>
      <c r="FJR142" s="108"/>
      <c r="FJS142" s="108"/>
      <c r="FJT142" s="109"/>
      <c r="FJU142" s="107" t="s">
        <v>1</v>
      </c>
      <c r="FJV142" s="108"/>
      <c r="FJW142" s="108"/>
      <c r="FJX142" s="109"/>
      <c r="FJY142" s="107" t="s">
        <v>1</v>
      </c>
      <c r="FJZ142" s="108"/>
      <c r="FKA142" s="108"/>
      <c r="FKB142" s="109"/>
      <c r="FKC142" s="107" t="s">
        <v>1</v>
      </c>
      <c r="FKD142" s="108"/>
      <c r="FKE142" s="108"/>
      <c r="FKF142" s="109"/>
      <c r="FKG142" s="107" t="s">
        <v>1</v>
      </c>
      <c r="FKH142" s="108"/>
      <c r="FKI142" s="108"/>
      <c r="FKJ142" s="109"/>
      <c r="FKK142" s="107" t="s">
        <v>1</v>
      </c>
      <c r="FKL142" s="108"/>
      <c r="FKM142" s="108"/>
      <c r="FKN142" s="109"/>
      <c r="FKO142" s="107" t="s">
        <v>1</v>
      </c>
      <c r="FKP142" s="108"/>
      <c r="FKQ142" s="108"/>
      <c r="FKR142" s="109"/>
      <c r="FKS142" s="107" t="s">
        <v>1</v>
      </c>
      <c r="FKT142" s="108"/>
      <c r="FKU142" s="108"/>
      <c r="FKV142" s="109"/>
      <c r="FKW142" s="107" t="s">
        <v>1</v>
      </c>
      <c r="FKX142" s="108"/>
      <c r="FKY142" s="108"/>
      <c r="FKZ142" s="109"/>
      <c r="FLA142" s="107" t="s">
        <v>1</v>
      </c>
      <c r="FLB142" s="108"/>
      <c r="FLC142" s="108"/>
      <c r="FLD142" s="109"/>
      <c r="FLE142" s="107" t="s">
        <v>1</v>
      </c>
      <c r="FLF142" s="108"/>
      <c r="FLG142" s="108"/>
      <c r="FLH142" s="109"/>
      <c r="FLI142" s="107" t="s">
        <v>1</v>
      </c>
      <c r="FLJ142" s="108"/>
      <c r="FLK142" s="108"/>
      <c r="FLL142" s="109"/>
      <c r="FLM142" s="107" t="s">
        <v>1</v>
      </c>
      <c r="FLN142" s="108"/>
      <c r="FLO142" s="108"/>
      <c r="FLP142" s="109"/>
      <c r="FLQ142" s="107" t="s">
        <v>1</v>
      </c>
      <c r="FLR142" s="108"/>
      <c r="FLS142" s="108"/>
      <c r="FLT142" s="109"/>
      <c r="FLU142" s="107" t="s">
        <v>1</v>
      </c>
      <c r="FLV142" s="108"/>
      <c r="FLW142" s="108"/>
      <c r="FLX142" s="109"/>
      <c r="FLY142" s="107" t="s">
        <v>1</v>
      </c>
      <c r="FLZ142" s="108"/>
      <c r="FMA142" s="108"/>
      <c r="FMB142" s="109"/>
      <c r="FMC142" s="107" t="s">
        <v>1</v>
      </c>
      <c r="FMD142" s="108"/>
      <c r="FME142" s="108"/>
      <c r="FMF142" s="109"/>
      <c r="FMG142" s="107" t="s">
        <v>1</v>
      </c>
      <c r="FMH142" s="108"/>
      <c r="FMI142" s="108"/>
      <c r="FMJ142" s="109"/>
      <c r="FMK142" s="107" t="s">
        <v>1</v>
      </c>
      <c r="FML142" s="108"/>
      <c r="FMM142" s="108"/>
      <c r="FMN142" s="109"/>
      <c r="FMO142" s="107" t="s">
        <v>1</v>
      </c>
      <c r="FMP142" s="108"/>
      <c r="FMQ142" s="108"/>
      <c r="FMR142" s="109"/>
      <c r="FMS142" s="107" t="s">
        <v>1</v>
      </c>
      <c r="FMT142" s="108"/>
      <c r="FMU142" s="108"/>
      <c r="FMV142" s="109"/>
      <c r="FMW142" s="107" t="s">
        <v>1</v>
      </c>
      <c r="FMX142" s="108"/>
      <c r="FMY142" s="108"/>
      <c r="FMZ142" s="109"/>
      <c r="FNA142" s="107" t="s">
        <v>1</v>
      </c>
      <c r="FNB142" s="108"/>
      <c r="FNC142" s="108"/>
      <c r="FND142" s="109"/>
      <c r="FNE142" s="107" t="s">
        <v>1</v>
      </c>
      <c r="FNF142" s="108"/>
      <c r="FNG142" s="108"/>
      <c r="FNH142" s="109"/>
      <c r="FNI142" s="107" t="s">
        <v>1</v>
      </c>
      <c r="FNJ142" s="108"/>
      <c r="FNK142" s="108"/>
      <c r="FNL142" s="109"/>
      <c r="FNM142" s="107" t="s">
        <v>1</v>
      </c>
      <c r="FNN142" s="108"/>
      <c r="FNO142" s="108"/>
      <c r="FNP142" s="109"/>
      <c r="FNQ142" s="107" t="s">
        <v>1</v>
      </c>
      <c r="FNR142" s="108"/>
      <c r="FNS142" s="108"/>
      <c r="FNT142" s="109"/>
      <c r="FNU142" s="107" t="s">
        <v>1</v>
      </c>
      <c r="FNV142" s="108"/>
      <c r="FNW142" s="108"/>
      <c r="FNX142" s="109"/>
      <c r="FNY142" s="107" t="s">
        <v>1</v>
      </c>
      <c r="FNZ142" s="108"/>
      <c r="FOA142" s="108"/>
      <c r="FOB142" s="109"/>
      <c r="FOC142" s="107" t="s">
        <v>1</v>
      </c>
      <c r="FOD142" s="108"/>
      <c r="FOE142" s="108"/>
      <c r="FOF142" s="109"/>
      <c r="FOG142" s="107" t="s">
        <v>1</v>
      </c>
      <c r="FOH142" s="108"/>
      <c r="FOI142" s="108"/>
      <c r="FOJ142" s="109"/>
      <c r="FOK142" s="107" t="s">
        <v>1</v>
      </c>
      <c r="FOL142" s="108"/>
      <c r="FOM142" s="108"/>
      <c r="FON142" s="109"/>
      <c r="FOO142" s="107" t="s">
        <v>1</v>
      </c>
      <c r="FOP142" s="108"/>
      <c r="FOQ142" s="108"/>
      <c r="FOR142" s="109"/>
      <c r="FOS142" s="107" t="s">
        <v>1</v>
      </c>
      <c r="FOT142" s="108"/>
      <c r="FOU142" s="108"/>
      <c r="FOV142" s="109"/>
      <c r="FOW142" s="107" t="s">
        <v>1</v>
      </c>
      <c r="FOX142" s="108"/>
      <c r="FOY142" s="108"/>
      <c r="FOZ142" s="109"/>
      <c r="FPA142" s="107" t="s">
        <v>1</v>
      </c>
      <c r="FPB142" s="108"/>
      <c r="FPC142" s="108"/>
      <c r="FPD142" s="109"/>
      <c r="FPE142" s="107" t="s">
        <v>1</v>
      </c>
      <c r="FPF142" s="108"/>
      <c r="FPG142" s="108"/>
      <c r="FPH142" s="109"/>
      <c r="FPI142" s="107" t="s">
        <v>1</v>
      </c>
      <c r="FPJ142" s="108"/>
      <c r="FPK142" s="108"/>
      <c r="FPL142" s="109"/>
      <c r="FPM142" s="107" t="s">
        <v>1</v>
      </c>
      <c r="FPN142" s="108"/>
      <c r="FPO142" s="108"/>
      <c r="FPP142" s="109"/>
      <c r="FPQ142" s="107" t="s">
        <v>1</v>
      </c>
      <c r="FPR142" s="108"/>
      <c r="FPS142" s="108"/>
      <c r="FPT142" s="109"/>
      <c r="FPU142" s="107" t="s">
        <v>1</v>
      </c>
      <c r="FPV142" s="108"/>
      <c r="FPW142" s="108"/>
      <c r="FPX142" s="109"/>
      <c r="FPY142" s="107" t="s">
        <v>1</v>
      </c>
      <c r="FPZ142" s="108"/>
      <c r="FQA142" s="108"/>
      <c r="FQB142" s="109"/>
      <c r="FQC142" s="107" t="s">
        <v>1</v>
      </c>
      <c r="FQD142" s="108"/>
      <c r="FQE142" s="108"/>
      <c r="FQF142" s="109"/>
      <c r="FQG142" s="107" t="s">
        <v>1</v>
      </c>
      <c r="FQH142" s="108"/>
      <c r="FQI142" s="108"/>
      <c r="FQJ142" s="109"/>
      <c r="FQK142" s="107" t="s">
        <v>1</v>
      </c>
      <c r="FQL142" s="108"/>
      <c r="FQM142" s="108"/>
      <c r="FQN142" s="109"/>
      <c r="FQO142" s="107" t="s">
        <v>1</v>
      </c>
      <c r="FQP142" s="108"/>
      <c r="FQQ142" s="108"/>
      <c r="FQR142" s="109"/>
      <c r="FQS142" s="107" t="s">
        <v>1</v>
      </c>
      <c r="FQT142" s="108"/>
      <c r="FQU142" s="108"/>
      <c r="FQV142" s="109"/>
      <c r="FQW142" s="107" t="s">
        <v>1</v>
      </c>
      <c r="FQX142" s="108"/>
      <c r="FQY142" s="108"/>
      <c r="FQZ142" s="109"/>
      <c r="FRA142" s="107" t="s">
        <v>1</v>
      </c>
      <c r="FRB142" s="108"/>
      <c r="FRC142" s="108"/>
      <c r="FRD142" s="109"/>
      <c r="FRE142" s="107" t="s">
        <v>1</v>
      </c>
      <c r="FRF142" s="108"/>
      <c r="FRG142" s="108"/>
      <c r="FRH142" s="109"/>
      <c r="FRI142" s="107" t="s">
        <v>1</v>
      </c>
      <c r="FRJ142" s="108"/>
      <c r="FRK142" s="108"/>
      <c r="FRL142" s="109"/>
      <c r="FRM142" s="107" t="s">
        <v>1</v>
      </c>
      <c r="FRN142" s="108"/>
      <c r="FRO142" s="108"/>
      <c r="FRP142" s="109"/>
      <c r="FRQ142" s="107" t="s">
        <v>1</v>
      </c>
      <c r="FRR142" s="108"/>
      <c r="FRS142" s="108"/>
      <c r="FRT142" s="109"/>
      <c r="FRU142" s="107" t="s">
        <v>1</v>
      </c>
      <c r="FRV142" s="108"/>
      <c r="FRW142" s="108"/>
      <c r="FRX142" s="109"/>
      <c r="FRY142" s="107" t="s">
        <v>1</v>
      </c>
      <c r="FRZ142" s="108"/>
      <c r="FSA142" s="108"/>
      <c r="FSB142" s="109"/>
      <c r="FSC142" s="107" t="s">
        <v>1</v>
      </c>
      <c r="FSD142" s="108"/>
      <c r="FSE142" s="108"/>
      <c r="FSF142" s="109"/>
      <c r="FSG142" s="107" t="s">
        <v>1</v>
      </c>
      <c r="FSH142" s="108"/>
      <c r="FSI142" s="108"/>
      <c r="FSJ142" s="109"/>
      <c r="FSK142" s="107" t="s">
        <v>1</v>
      </c>
      <c r="FSL142" s="108"/>
      <c r="FSM142" s="108"/>
      <c r="FSN142" s="109"/>
      <c r="FSO142" s="107" t="s">
        <v>1</v>
      </c>
      <c r="FSP142" s="108"/>
      <c r="FSQ142" s="108"/>
      <c r="FSR142" s="109"/>
      <c r="FSS142" s="107" t="s">
        <v>1</v>
      </c>
      <c r="FST142" s="108"/>
      <c r="FSU142" s="108"/>
      <c r="FSV142" s="109"/>
      <c r="FSW142" s="107" t="s">
        <v>1</v>
      </c>
      <c r="FSX142" s="108"/>
      <c r="FSY142" s="108"/>
      <c r="FSZ142" s="109"/>
      <c r="FTA142" s="107" t="s">
        <v>1</v>
      </c>
      <c r="FTB142" s="108"/>
      <c r="FTC142" s="108"/>
      <c r="FTD142" s="109"/>
      <c r="FTE142" s="107" t="s">
        <v>1</v>
      </c>
      <c r="FTF142" s="108"/>
      <c r="FTG142" s="108"/>
      <c r="FTH142" s="109"/>
      <c r="FTI142" s="107" t="s">
        <v>1</v>
      </c>
      <c r="FTJ142" s="108"/>
      <c r="FTK142" s="108"/>
      <c r="FTL142" s="109"/>
      <c r="FTM142" s="107" t="s">
        <v>1</v>
      </c>
      <c r="FTN142" s="108"/>
      <c r="FTO142" s="108"/>
      <c r="FTP142" s="109"/>
      <c r="FTQ142" s="107" t="s">
        <v>1</v>
      </c>
      <c r="FTR142" s="108"/>
      <c r="FTS142" s="108"/>
      <c r="FTT142" s="109"/>
      <c r="FTU142" s="107" t="s">
        <v>1</v>
      </c>
      <c r="FTV142" s="108"/>
      <c r="FTW142" s="108"/>
      <c r="FTX142" s="109"/>
      <c r="FTY142" s="107" t="s">
        <v>1</v>
      </c>
      <c r="FTZ142" s="108"/>
      <c r="FUA142" s="108"/>
      <c r="FUB142" s="109"/>
      <c r="FUC142" s="107" t="s">
        <v>1</v>
      </c>
      <c r="FUD142" s="108"/>
      <c r="FUE142" s="108"/>
      <c r="FUF142" s="109"/>
      <c r="FUG142" s="107" t="s">
        <v>1</v>
      </c>
      <c r="FUH142" s="108"/>
      <c r="FUI142" s="108"/>
      <c r="FUJ142" s="109"/>
      <c r="FUK142" s="107" t="s">
        <v>1</v>
      </c>
      <c r="FUL142" s="108"/>
      <c r="FUM142" s="108"/>
      <c r="FUN142" s="109"/>
      <c r="FUO142" s="107" t="s">
        <v>1</v>
      </c>
      <c r="FUP142" s="108"/>
      <c r="FUQ142" s="108"/>
      <c r="FUR142" s="109"/>
      <c r="FUS142" s="107" t="s">
        <v>1</v>
      </c>
      <c r="FUT142" s="108"/>
      <c r="FUU142" s="108"/>
      <c r="FUV142" s="109"/>
      <c r="FUW142" s="107" t="s">
        <v>1</v>
      </c>
      <c r="FUX142" s="108"/>
      <c r="FUY142" s="108"/>
      <c r="FUZ142" s="109"/>
      <c r="FVA142" s="107" t="s">
        <v>1</v>
      </c>
      <c r="FVB142" s="108"/>
      <c r="FVC142" s="108"/>
      <c r="FVD142" s="109"/>
      <c r="FVE142" s="107" t="s">
        <v>1</v>
      </c>
      <c r="FVF142" s="108"/>
      <c r="FVG142" s="108"/>
      <c r="FVH142" s="109"/>
      <c r="FVI142" s="107" t="s">
        <v>1</v>
      </c>
      <c r="FVJ142" s="108"/>
      <c r="FVK142" s="108"/>
      <c r="FVL142" s="109"/>
      <c r="FVM142" s="107" t="s">
        <v>1</v>
      </c>
      <c r="FVN142" s="108"/>
      <c r="FVO142" s="108"/>
      <c r="FVP142" s="109"/>
      <c r="FVQ142" s="107" t="s">
        <v>1</v>
      </c>
      <c r="FVR142" s="108"/>
      <c r="FVS142" s="108"/>
      <c r="FVT142" s="109"/>
      <c r="FVU142" s="107" t="s">
        <v>1</v>
      </c>
      <c r="FVV142" s="108"/>
      <c r="FVW142" s="108"/>
      <c r="FVX142" s="109"/>
      <c r="FVY142" s="107" t="s">
        <v>1</v>
      </c>
      <c r="FVZ142" s="108"/>
      <c r="FWA142" s="108"/>
      <c r="FWB142" s="109"/>
      <c r="FWC142" s="107" t="s">
        <v>1</v>
      </c>
      <c r="FWD142" s="108"/>
      <c r="FWE142" s="108"/>
      <c r="FWF142" s="109"/>
      <c r="FWG142" s="107" t="s">
        <v>1</v>
      </c>
      <c r="FWH142" s="108"/>
      <c r="FWI142" s="108"/>
      <c r="FWJ142" s="109"/>
      <c r="FWK142" s="107" t="s">
        <v>1</v>
      </c>
      <c r="FWL142" s="108"/>
      <c r="FWM142" s="108"/>
      <c r="FWN142" s="109"/>
      <c r="FWO142" s="107" t="s">
        <v>1</v>
      </c>
      <c r="FWP142" s="108"/>
      <c r="FWQ142" s="108"/>
      <c r="FWR142" s="109"/>
      <c r="FWS142" s="107" t="s">
        <v>1</v>
      </c>
      <c r="FWT142" s="108"/>
      <c r="FWU142" s="108"/>
      <c r="FWV142" s="109"/>
      <c r="FWW142" s="107" t="s">
        <v>1</v>
      </c>
      <c r="FWX142" s="108"/>
      <c r="FWY142" s="108"/>
      <c r="FWZ142" s="109"/>
      <c r="FXA142" s="107" t="s">
        <v>1</v>
      </c>
      <c r="FXB142" s="108"/>
      <c r="FXC142" s="108"/>
      <c r="FXD142" s="109"/>
      <c r="FXE142" s="107" t="s">
        <v>1</v>
      </c>
      <c r="FXF142" s="108"/>
      <c r="FXG142" s="108"/>
      <c r="FXH142" s="109"/>
      <c r="FXI142" s="107" t="s">
        <v>1</v>
      </c>
      <c r="FXJ142" s="108"/>
      <c r="FXK142" s="108"/>
      <c r="FXL142" s="109"/>
      <c r="FXM142" s="107" t="s">
        <v>1</v>
      </c>
      <c r="FXN142" s="108"/>
      <c r="FXO142" s="108"/>
      <c r="FXP142" s="109"/>
      <c r="FXQ142" s="107" t="s">
        <v>1</v>
      </c>
      <c r="FXR142" s="108"/>
      <c r="FXS142" s="108"/>
      <c r="FXT142" s="109"/>
      <c r="FXU142" s="107" t="s">
        <v>1</v>
      </c>
      <c r="FXV142" s="108"/>
      <c r="FXW142" s="108"/>
      <c r="FXX142" s="109"/>
      <c r="FXY142" s="107" t="s">
        <v>1</v>
      </c>
      <c r="FXZ142" s="108"/>
      <c r="FYA142" s="108"/>
      <c r="FYB142" s="109"/>
      <c r="FYC142" s="107" t="s">
        <v>1</v>
      </c>
      <c r="FYD142" s="108"/>
      <c r="FYE142" s="108"/>
      <c r="FYF142" s="109"/>
      <c r="FYG142" s="107" t="s">
        <v>1</v>
      </c>
      <c r="FYH142" s="108"/>
      <c r="FYI142" s="108"/>
      <c r="FYJ142" s="109"/>
      <c r="FYK142" s="107" t="s">
        <v>1</v>
      </c>
      <c r="FYL142" s="108"/>
      <c r="FYM142" s="108"/>
      <c r="FYN142" s="109"/>
      <c r="FYO142" s="107" t="s">
        <v>1</v>
      </c>
      <c r="FYP142" s="108"/>
      <c r="FYQ142" s="108"/>
      <c r="FYR142" s="109"/>
      <c r="FYS142" s="107" t="s">
        <v>1</v>
      </c>
      <c r="FYT142" s="108"/>
      <c r="FYU142" s="108"/>
      <c r="FYV142" s="109"/>
      <c r="FYW142" s="107" t="s">
        <v>1</v>
      </c>
      <c r="FYX142" s="108"/>
      <c r="FYY142" s="108"/>
      <c r="FYZ142" s="109"/>
      <c r="FZA142" s="107" t="s">
        <v>1</v>
      </c>
      <c r="FZB142" s="108"/>
      <c r="FZC142" s="108"/>
      <c r="FZD142" s="109"/>
      <c r="FZE142" s="107" t="s">
        <v>1</v>
      </c>
      <c r="FZF142" s="108"/>
      <c r="FZG142" s="108"/>
      <c r="FZH142" s="109"/>
      <c r="FZI142" s="107" t="s">
        <v>1</v>
      </c>
      <c r="FZJ142" s="108"/>
      <c r="FZK142" s="108"/>
      <c r="FZL142" s="109"/>
      <c r="FZM142" s="107" t="s">
        <v>1</v>
      </c>
      <c r="FZN142" s="108"/>
      <c r="FZO142" s="108"/>
      <c r="FZP142" s="109"/>
      <c r="FZQ142" s="107" t="s">
        <v>1</v>
      </c>
      <c r="FZR142" s="108"/>
      <c r="FZS142" s="108"/>
      <c r="FZT142" s="109"/>
      <c r="FZU142" s="107" t="s">
        <v>1</v>
      </c>
      <c r="FZV142" s="108"/>
      <c r="FZW142" s="108"/>
      <c r="FZX142" s="109"/>
      <c r="FZY142" s="107" t="s">
        <v>1</v>
      </c>
      <c r="FZZ142" s="108"/>
      <c r="GAA142" s="108"/>
      <c r="GAB142" s="109"/>
      <c r="GAC142" s="107" t="s">
        <v>1</v>
      </c>
      <c r="GAD142" s="108"/>
      <c r="GAE142" s="108"/>
      <c r="GAF142" s="109"/>
      <c r="GAG142" s="107" t="s">
        <v>1</v>
      </c>
      <c r="GAH142" s="108"/>
      <c r="GAI142" s="108"/>
      <c r="GAJ142" s="109"/>
      <c r="GAK142" s="107" t="s">
        <v>1</v>
      </c>
      <c r="GAL142" s="108"/>
      <c r="GAM142" s="108"/>
      <c r="GAN142" s="109"/>
      <c r="GAO142" s="107" t="s">
        <v>1</v>
      </c>
      <c r="GAP142" s="108"/>
      <c r="GAQ142" s="108"/>
      <c r="GAR142" s="109"/>
      <c r="GAS142" s="107" t="s">
        <v>1</v>
      </c>
      <c r="GAT142" s="108"/>
      <c r="GAU142" s="108"/>
      <c r="GAV142" s="109"/>
      <c r="GAW142" s="107" t="s">
        <v>1</v>
      </c>
      <c r="GAX142" s="108"/>
      <c r="GAY142" s="108"/>
      <c r="GAZ142" s="109"/>
      <c r="GBA142" s="107" t="s">
        <v>1</v>
      </c>
      <c r="GBB142" s="108"/>
      <c r="GBC142" s="108"/>
      <c r="GBD142" s="109"/>
      <c r="GBE142" s="107" t="s">
        <v>1</v>
      </c>
      <c r="GBF142" s="108"/>
      <c r="GBG142" s="108"/>
      <c r="GBH142" s="109"/>
      <c r="GBI142" s="107" t="s">
        <v>1</v>
      </c>
      <c r="GBJ142" s="108"/>
      <c r="GBK142" s="108"/>
      <c r="GBL142" s="109"/>
      <c r="GBM142" s="107" t="s">
        <v>1</v>
      </c>
      <c r="GBN142" s="108"/>
      <c r="GBO142" s="108"/>
      <c r="GBP142" s="109"/>
      <c r="GBQ142" s="107" t="s">
        <v>1</v>
      </c>
      <c r="GBR142" s="108"/>
      <c r="GBS142" s="108"/>
      <c r="GBT142" s="109"/>
      <c r="GBU142" s="107" t="s">
        <v>1</v>
      </c>
      <c r="GBV142" s="108"/>
      <c r="GBW142" s="108"/>
      <c r="GBX142" s="109"/>
      <c r="GBY142" s="107" t="s">
        <v>1</v>
      </c>
      <c r="GBZ142" s="108"/>
      <c r="GCA142" s="108"/>
      <c r="GCB142" s="109"/>
      <c r="GCC142" s="107" t="s">
        <v>1</v>
      </c>
      <c r="GCD142" s="108"/>
      <c r="GCE142" s="108"/>
      <c r="GCF142" s="109"/>
      <c r="GCG142" s="107" t="s">
        <v>1</v>
      </c>
      <c r="GCH142" s="108"/>
      <c r="GCI142" s="108"/>
      <c r="GCJ142" s="109"/>
      <c r="GCK142" s="107" t="s">
        <v>1</v>
      </c>
      <c r="GCL142" s="108"/>
      <c r="GCM142" s="108"/>
      <c r="GCN142" s="109"/>
      <c r="GCO142" s="107" t="s">
        <v>1</v>
      </c>
      <c r="GCP142" s="108"/>
      <c r="GCQ142" s="108"/>
      <c r="GCR142" s="109"/>
      <c r="GCS142" s="107" t="s">
        <v>1</v>
      </c>
      <c r="GCT142" s="108"/>
      <c r="GCU142" s="108"/>
      <c r="GCV142" s="109"/>
      <c r="GCW142" s="107" t="s">
        <v>1</v>
      </c>
      <c r="GCX142" s="108"/>
      <c r="GCY142" s="108"/>
      <c r="GCZ142" s="109"/>
      <c r="GDA142" s="107" t="s">
        <v>1</v>
      </c>
      <c r="GDB142" s="108"/>
      <c r="GDC142" s="108"/>
      <c r="GDD142" s="109"/>
      <c r="GDE142" s="107" t="s">
        <v>1</v>
      </c>
      <c r="GDF142" s="108"/>
      <c r="GDG142" s="108"/>
      <c r="GDH142" s="109"/>
      <c r="GDI142" s="107" t="s">
        <v>1</v>
      </c>
      <c r="GDJ142" s="108"/>
      <c r="GDK142" s="108"/>
      <c r="GDL142" s="109"/>
      <c r="GDM142" s="107" t="s">
        <v>1</v>
      </c>
      <c r="GDN142" s="108"/>
      <c r="GDO142" s="108"/>
      <c r="GDP142" s="109"/>
      <c r="GDQ142" s="107" t="s">
        <v>1</v>
      </c>
      <c r="GDR142" s="108"/>
      <c r="GDS142" s="108"/>
      <c r="GDT142" s="109"/>
      <c r="GDU142" s="107" t="s">
        <v>1</v>
      </c>
      <c r="GDV142" s="108"/>
      <c r="GDW142" s="108"/>
      <c r="GDX142" s="109"/>
      <c r="GDY142" s="107" t="s">
        <v>1</v>
      </c>
      <c r="GDZ142" s="108"/>
      <c r="GEA142" s="108"/>
      <c r="GEB142" s="109"/>
      <c r="GEC142" s="107" t="s">
        <v>1</v>
      </c>
      <c r="GED142" s="108"/>
      <c r="GEE142" s="108"/>
      <c r="GEF142" s="109"/>
      <c r="GEG142" s="107" t="s">
        <v>1</v>
      </c>
      <c r="GEH142" s="108"/>
      <c r="GEI142" s="108"/>
      <c r="GEJ142" s="109"/>
      <c r="GEK142" s="107" t="s">
        <v>1</v>
      </c>
      <c r="GEL142" s="108"/>
      <c r="GEM142" s="108"/>
      <c r="GEN142" s="109"/>
      <c r="GEO142" s="107" t="s">
        <v>1</v>
      </c>
      <c r="GEP142" s="108"/>
      <c r="GEQ142" s="108"/>
      <c r="GER142" s="109"/>
      <c r="GES142" s="107" t="s">
        <v>1</v>
      </c>
      <c r="GET142" s="108"/>
      <c r="GEU142" s="108"/>
      <c r="GEV142" s="109"/>
      <c r="GEW142" s="107" t="s">
        <v>1</v>
      </c>
      <c r="GEX142" s="108"/>
      <c r="GEY142" s="108"/>
      <c r="GEZ142" s="109"/>
      <c r="GFA142" s="107" t="s">
        <v>1</v>
      </c>
      <c r="GFB142" s="108"/>
      <c r="GFC142" s="108"/>
      <c r="GFD142" s="109"/>
      <c r="GFE142" s="107" t="s">
        <v>1</v>
      </c>
      <c r="GFF142" s="108"/>
      <c r="GFG142" s="108"/>
      <c r="GFH142" s="109"/>
      <c r="GFI142" s="107" t="s">
        <v>1</v>
      </c>
      <c r="GFJ142" s="108"/>
      <c r="GFK142" s="108"/>
      <c r="GFL142" s="109"/>
      <c r="GFM142" s="107" t="s">
        <v>1</v>
      </c>
      <c r="GFN142" s="108"/>
      <c r="GFO142" s="108"/>
      <c r="GFP142" s="109"/>
      <c r="GFQ142" s="107" t="s">
        <v>1</v>
      </c>
      <c r="GFR142" s="108"/>
      <c r="GFS142" s="108"/>
      <c r="GFT142" s="109"/>
      <c r="GFU142" s="107" t="s">
        <v>1</v>
      </c>
      <c r="GFV142" s="108"/>
      <c r="GFW142" s="108"/>
      <c r="GFX142" s="109"/>
      <c r="GFY142" s="107" t="s">
        <v>1</v>
      </c>
      <c r="GFZ142" s="108"/>
      <c r="GGA142" s="108"/>
      <c r="GGB142" s="109"/>
      <c r="GGC142" s="107" t="s">
        <v>1</v>
      </c>
      <c r="GGD142" s="108"/>
      <c r="GGE142" s="108"/>
      <c r="GGF142" s="109"/>
      <c r="GGG142" s="107" t="s">
        <v>1</v>
      </c>
      <c r="GGH142" s="108"/>
      <c r="GGI142" s="108"/>
      <c r="GGJ142" s="109"/>
      <c r="GGK142" s="107" t="s">
        <v>1</v>
      </c>
      <c r="GGL142" s="108"/>
      <c r="GGM142" s="108"/>
      <c r="GGN142" s="109"/>
      <c r="GGO142" s="107" t="s">
        <v>1</v>
      </c>
      <c r="GGP142" s="108"/>
      <c r="GGQ142" s="108"/>
      <c r="GGR142" s="109"/>
      <c r="GGS142" s="107" t="s">
        <v>1</v>
      </c>
      <c r="GGT142" s="108"/>
      <c r="GGU142" s="108"/>
      <c r="GGV142" s="109"/>
      <c r="GGW142" s="107" t="s">
        <v>1</v>
      </c>
      <c r="GGX142" s="108"/>
      <c r="GGY142" s="108"/>
      <c r="GGZ142" s="109"/>
      <c r="GHA142" s="107" t="s">
        <v>1</v>
      </c>
      <c r="GHB142" s="108"/>
      <c r="GHC142" s="108"/>
      <c r="GHD142" s="109"/>
      <c r="GHE142" s="107" t="s">
        <v>1</v>
      </c>
      <c r="GHF142" s="108"/>
      <c r="GHG142" s="108"/>
      <c r="GHH142" s="109"/>
      <c r="GHI142" s="107" t="s">
        <v>1</v>
      </c>
      <c r="GHJ142" s="108"/>
      <c r="GHK142" s="108"/>
      <c r="GHL142" s="109"/>
      <c r="GHM142" s="107" t="s">
        <v>1</v>
      </c>
      <c r="GHN142" s="108"/>
      <c r="GHO142" s="108"/>
      <c r="GHP142" s="109"/>
      <c r="GHQ142" s="107" t="s">
        <v>1</v>
      </c>
      <c r="GHR142" s="108"/>
      <c r="GHS142" s="108"/>
      <c r="GHT142" s="109"/>
      <c r="GHU142" s="107" t="s">
        <v>1</v>
      </c>
      <c r="GHV142" s="108"/>
      <c r="GHW142" s="108"/>
      <c r="GHX142" s="109"/>
      <c r="GHY142" s="107" t="s">
        <v>1</v>
      </c>
      <c r="GHZ142" s="108"/>
      <c r="GIA142" s="108"/>
      <c r="GIB142" s="109"/>
      <c r="GIC142" s="107" t="s">
        <v>1</v>
      </c>
      <c r="GID142" s="108"/>
      <c r="GIE142" s="108"/>
      <c r="GIF142" s="109"/>
      <c r="GIG142" s="107" t="s">
        <v>1</v>
      </c>
      <c r="GIH142" s="108"/>
      <c r="GII142" s="108"/>
      <c r="GIJ142" s="109"/>
      <c r="GIK142" s="107" t="s">
        <v>1</v>
      </c>
      <c r="GIL142" s="108"/>
      <c r="GIM142" s="108"/>
      <c r="GIN142" s="109"/>
      <c r="GIO142" s="107" t="s">
        <v>1</v>
      </c>
      <c r="GIP142" s="108"/>
      <c r="GIQ142" s="108"/>
      <c r="GIR142" s="109"/>
      <c r="GIS142" s="107" t="s">
        <v>1</v>
      </c>
      <c r="GIT142" s="108"/>
      <c r="GIU142" s="108"/>
      <c r="GIV142" s="109"/>
      <c r="GIW142" s="107" t="s">
        <v>1</v>
      </c>
      <c r="GIX142" s="108"/>
      <c r="GIY142" s="108"/>
      <c r="GIZ142" s="109"/>
      <c r="GJA142" s="107" t="s">
        <v>1</v>
      </c>
      <c r="GJB142" s="108"/>
      <c r="GJC142" s="108"/>
      <c r="GJD142" s="109"/>
      <c r="GJE142" s="107" t="s">
        <v>1</v>
      </c>
      <c r="GJF142" s="108"/>
      <c r="GJG142" s="108"/>
      <c r="GJH142" s="109"/>
      <c r="GJI142" s="107" t="s">
        <v>1</v>
      </c>
      <c r="GJJ142" s="108"/>
      <c r="GJK142" s="108"/>
      <c r="GJL142" s="109"/>
      <c r="GJM142" s="107" t="s">
        <v>1</v>
      </c>
      <c r="GJN142" s="108"/>
      <c r="GJO142" s="108"/>
      <c r="GJP142" s="109"/>
      <c r="GJQ142" s="107" t="s">
        <v>1</v>
      </c>
      <c r="GJR142" s="108"/>
      <c r="GJS142" s="108"/>
      <c r="GJT142" s="109"/>
      <c r="GJU142" s="107" t="s">
        <v>1</v>
      </c>
      <c r="GJV142" s="108"/>
      <c r="GJW142" s="108"/>
      <c r="GJX142" s="109"/>
      <c r="GJY142" s="107" t="s">
        <v>1</v>
      </c>
      <c r="GJZ142" s="108"/>
      <c r="GKA142" s="108"/>
      <c r="GKB142" s="109"/>
      <c r="GKC142" s="107" t="s">
        <v>1</v>
      </c>
      <c r="GKD142" s="108"/>
      <c r="GKE142" s="108"/>
      <c r="GKF142" s="109"/>
      <c r="GKG142" s="107" t="s">
        <v>1</v>
      </c>
      <c r="GKH142" s="108"/>
      <c r="GKI142" s="108"/>
      <c r="GKJ142" s="109"/>
      <c r="GKK142" s="107" t="s">
        <v>1</v>
      </c>
      <c r="GKL142" s="108"/>
      <c r="GKM142" s="108"/>
      <c r="GKN142" s="109"/>
      <c r="GKO142" s="107" t="s">
        <v>1</v>
      </c>
      <c r="GKP142" s="108"/>
      <c r="GKQ142" s="108"/>
      <c r="GKR142" s="109"/>
      <c r="GKS142" s="107" t="s">
        <v>1</v>
      </c>
      <c r="GKT142" s="108"/>
      <c r="GKU142" s="108"/>
      <c r="GKV142" s="109"/>
      <c r="GKW142" s="107" t="s">
        <v>1</v>
      </c>
      <c r="GKX142" s="108"/>
      <c r="GKY142" s="108"/>
      <c r="GKZ142" s="109"/>
      <c r="GLA142" s="107" t="s">
        <v>1</v>
      </c>
      <c r="GLB142" s="108"/>
      <c r="GLC142" s="108"/>
      <c r="GLD142" s="109"/>
      <c r="GLE142" s="107" t="s">
        <v>1</v>
      </c>
      <c r="GLF142" s="108"/>
      <c r="GLG142" s="108"/>
      <c r="GLH142" s="109"/>
      <c r="GLI142" s="107" t="s">
        <v>1</v>
      </c>
      <c r="GLJ142" s="108"/>
      <c r="GLK142" s="108"/>
      <c r="GLL142" s="109"/>
      <c r="GLM142" s="107" t="s">
        <v>1</v>
      </c>
      <c r="GLN142" s="108"/>
      <c r="GLO142" s="108"/>
      <c r="GLP142" s="109"/>
      <c r="GLQ142" s="107" t="s">
        <v>1</v>
      </c>
      <c r="GLR142" s="108"/>
      <c r="GLS142" s="108"/>
      <c r="GLT142" s="109"/>
      <c r="GLU142" s="107" t="s">
        <v>1</v>
      </c>
      <c r="GLV142" s="108"/>
      <c r="GLW142" s="108"/>
      <c r="GLX142" s="109"/>
      <c r="GLY142" s="107" t="s">
        <v>1</v>
      </c>
      <c r="GLZ142" s="108"/>
      <c r="GMA142" s="108"/>
      <c r="GMB142" s="109"/>
      <c r="GMC142" s="107" t="s">
        <v>1</v>
      </c>
      <c r="GMD142" s="108"/>
      <c r="GME142" s="108"/>
      <c r="GMF142" s="109"/>
      <c r="GMG142" s="107" t="s">
        <v>1</v>
      </c>
      <c r="GMH142" s="108"/>
      <c r="GMI142" s="108"/>
      <c r="GMJ142" s="109"/>
      <c r="GMK142" s="107" t="s">
        <v>1</v>
      </c>
      <c r="GML142" s="108"/>
      <c r="GMM142" s="108"/>
      <c r="GMN142" s="109"/>
      <c r="GMO142" s="107" t="s">
        <v>1</v>
      </c>
      <c r="GMP142" s="108"/>
      <c r="GMQ142" s="108"/>
      <c r="GMR142" s="109"/>
      <c r="GMS142" s="107" t="s">
        <v>1</v>
      </c>
      <c r="GMT142" s="108"/>
      <c r="GMU142" s="108"/>
      <c r="GMV142" s="109"/>
      <c r="GMW142" s="107" t="s">
        <v>1</v>
      </c>
      <c r="GMX142" s="108"/>
      <c r="GMY142" s="108"/>
      <c r="GMZ142" s="109"/>
      <c r="GNA142" s="107" t="s">
        <v>1</v>
      </c>
      <c r="GNB142" s="108"/>
      <c r="GNC142" s="108"/>
      <c r="GND142" s="109"/>
      <c r="GNE142" s="107" t="s">
        <v>1</v>
      </c>
      <c r="GNF142" s="108"/>
      <c r="GNG142" s="108"/>
      <c r="GNH142" s="109"/>
      <c r="GNI142" s="107" t="s">
        <v>1</v>
      </c>
      <c r="GNJ142" s="108"/>
      <c r="GNK142" s="108"/>
      <c r="GNL142" s="109"/>
      <c r="GNM142" s="107" t="s">
        <v>1</v>
      </c>
      <c r="GNN142" s="108"/>
      <c r="GNO142" s="108"/>
      <c r="GNP142" s="109"/>
      <c r="GNQ142" s="107" t="s">
        <v>1</v>
      </c>
      <c r="GNR142" s="108"/>
      <c r="GNS142" s="108"/>
      <c r="GNT142" s="109"/>
      <c r="GNU142" s="107" t="s">
        <v>1</v>
      </c>
      <c r="GNV142" s="108"/>
      <c r="GNW142" s="108"/>
      <c r="GNX142" s="109"/>
      <c r="GNY142" s="107" t="s">
        <v>1</v>
      </c>
      <c r="GNZ142" s="108"/>
      <c r="GOA142" s="108"/>
      <c r="GOB142" s="109"/>
      <c r="GOC142" s="107" t="s">
        <v>1</v>
      </c>
      <c r="GOD142" s="108"/>
      <c r="GOE142" s="108"/>
      <c r="GOF142" s="109"/>
      <c r="GOG142" s="107" t="s">
        <v>1</v>
      </c>
      <c r="GOH142" s="108"/>
      <c r="GOI142" s="108"/>
      <c r="GOJ142" s="109"/>
      <c r="GOK142" s="107" t="s">
        <v>1</v>
      </c>
      <c r="GOL142" s="108"/>
      <c r="GOM142" s="108"/>
      <c r="GON142" s="109"/>
      <c r="GOO142" s="107" t="s">
        <v>1</v>
      </c>
      <c r="GOP142" s="108"/>
      <c r="GOQ142" s="108"/>
      <c r="GOR142" s="109"/>
      <c r="GOS142" s="107" t="s">
        <v>1</v>
      </c>
      <c r="GOT142" s="108"/>
      <c r="GOU142" s="108"/>
      <c r="GOV142" s="109"/>
      <c r="GOW142" s="107" t="s">
        <v>1</v>
      </c>
      <c r="GOX142" s="108"/>
      <c r="GOY142" s="108"/>
      <c r="GOZ142" s="109"/>
      <c r="GPA142" s="107" t="s">
        <v>1</v>
      </c>
      <c r="GPB142" s="108"/>
      <c r="GPC142" s="108"/>
      <c r="GPD142" s="109"/>
      <c r="GPE142" s="107" t="s">
        <v>1</v>
      </c>
      <c r="GPF142" s="108"/>
      <c r="GPG142" s="108"/>
      <c r="GPH142" s="109"/>
      <c r="GPI142" s="107" t="s">
        <v>1</v>
      </c>
      <c r="GPJ142" s="108"/>
      <c r="GPK142" s="108"/>
      <c r="GPL142" s="109"/>
      <c r="GPM142" s="107" t="s">
        <v>1</v>
      </c>
      <c r="GPN142" s="108"/>
      <c r="GPO142" s="108"/>
      <c r="GPP142" s="109"/>
      <c r="GPQ142" s="107" t="s">
        <v>1</v>
      </c>
      <c r="GPR142" s="108"/>
      <c r="GPS142" s="108"/>
      <c r="GPT142" s="109"/>
      <c r="GPU142" s="107" t="s">
        <v>1</v>
      </c>
      <c r="GPV142" s="108"/>
      <c r="GPW142" s="108"/>
      <c r="GPX142" s="109"/>
      <c r="GPY142" s="107" t="s">
        <v>1</v>
      </c>
      <c r="GPZ142" s="108"/>
      <c r="GQA142" s="108"/>
      <c r="GQB142" s="109"/>
      <c r="GQC142" s="107" t="s">
        <v>1</v>
      </c>
      <c r="GQD142" s="108"/>
      <c r="GQE142" s="108"/>
      <c r="GQF142" s="109"/>
      <c r="GQG142" s="107" t="s">
        <v>1</v>
      </c>
      <c r="GQH142" s="108"/>
      <c r="GQI142" s="108"/>
      <c r="GQJ142" s="109"/>
      <c r="GQK142" s="107" t="s">
        <v>1</v>
      </c>
      <c r="GQL142" s="108"/>
      <c r="GQM142" s="108"/>
      <c r="GQN142" s="109"/>
      <c r="GQO142" s="107" t="s">
        <v>1</v>
      </c>
      <c r="GQP142" s="108"/>
      <c r="GQQ142" s="108"/>
      <c r="GQR142" s="109"/>
      <c r="GQS142" s="107" t="s">
        <v>1</v>
      </c>
      <c r="GQT142" s="108"/>
      <c r="GQU142" s="108"/>
      <c r="GQV142" s="109"/>
      <c r="GQW142" s="107" t="s">
        <v>1</v>
      </c>
      <c r="GQX142" s="108"/>
      <c r="GQY142" s="108"/>
      <c r="GQZ142" s="109"/>
      <c r="GRA142" s="107" t="s">
        <v>1</v>
      </c>
      <c r="GRB142" s="108"/>
      <c r="GRC142" s="108"/>
      <c r="GRD142" s="109"/>
      <c r="GRE142" s="107" t="s">
        <v>1</v>
      </c>
      <c r="GRF142" s="108"/>
      <c r="GRG142" s="108"/>
      <c r="GRH142" s="109"/>
      <c r="GRI142" s="107" t="s">
        <v>1</v>
      </c>
      <c r="GRJ142" s="108"/>
      <c r="GRK142" s="108"/>
      <c r="GRL142" s="109"/>
      <c r="GRM142" s="107" t="s">
        <v>1</v>
      </c>
      <c r="GRN142" s="108"/>
      <c r="GRO142" s="108"/>
      <c r="GRP142" s="109"/>
      <c r="GRQ142" s="107" t="s">
        <v>1</v>
      </c>
      <c r="GRR142" s="108"/>
      <c r="GRS142" s="108"/>
      <c r="GRT142" s="109"/>
      <c r="GRU142" s="107" t="s">
        <v>1</v>
      </c>
      <c r="GRV142" s="108"/>
      <c r="GRW142" s="108"/>
      <c r="GRX142" s="109"/>
      <c r="GRY142" s="107" t="s">
        <v>1</v>
      </c>
      <c r="GRZ142" s="108"/>
      <c r="GSA142" s="108"/>
      <c r="GSB142" s="109"/>
      <c r="GSC142" s="107" t="s">
        <v>1</v>
      </c>
      <c r="GSD142" s="108"/>
      <c r="GSE142" s="108"/>
      <c r="GSF142" s="109"/>
      <c r="GSG142" s="107" t="s">
        <v>1</v>
      </c>
      <c r="GSH142" s="108"/>
      <c r="GSI142" s="108"/>
      <c r="GSJ142" s="109"/>
      <c r="GSK142" s="107" t="s">
        <v>1</v>
      </c>
      <c r="GSL142" s="108"/>
      <c r="GSM142" s="108"/>
      <c r="GSN142" s="109"/>
      <c r="GSO142" s="107" t="s">
        <v>1</v>
      </c>
      <c r="GSP142" s="108"/>
      <c r="GSQ142" s="108"/>
      <c r="GSR142" s="109"/>
      <c r="GSS142" s="107" t="s">
        <v>1</v>
      </c>
      <c r="GST142" s="108"/>
      <c r="GSU142" s="108"/>
      <c r="GSV142" s="109"/>
      <c r="GSW142" s="107" t="s">
        <v>1</v>
      </c>
      <c r="GSX142" s="108"/>
      <c r="GSY142" s="108"/>
      <c r="GSZ142" s="109"/>
      <c r="GTA142" s="107" t="s">
        <v>1</v>
      </c>
      <c r="GTB142" s="108"/>
      <c r="GTC142" s="108"/>
      <c r="GTD142" s="109"/>
      <c r="GTE142" s="107" t="s">
        <v>1</v>
      </c>
      <c r="GTF142" s="108"/>
      <c r="GTG142" s="108"/>
      <c r="GTH142" s="109"/>
      <c r="GTI142" s="107" t="s">
        <v>1</v>
      </c>
      <c r="GTJ142" s="108"/>
      <c r="GTK142" s="108"/>
      <c r="GTL142" s="109"/>
      <c r="GTM142" s="107" t="s">
        <v>1</v>
      </c>
      <c r="GTN142" s="108"/>
      <c r="GTO142" s="108"/>
      <c r="GTP142" s="109"/>
      <c r="GTQ142" s="107" t="s">
        <v>1</v>
      </c>
      <c r="GTR142" s="108"/>
      <c r="GTS142" s="108"/>
      <c r="GTT142" s="109"/>
      <c r="GTU142" s="107" t="s">
        <v>1</v>
      </c>
      <c r="GTV142" s="108"/>
      <c r="GTW142" s="108"/>
      <c r="GTX142" s="109"/>
      <c r="GTY142" s="107" t="s">
        <v>1</v>
      </c>
      <c r="GTZ142" s="108"/>
      <c r="GUA142" s="108"/>
      <c r="GUB142" s="109"/>
      <c r="GUC142" s="107" t="s">
        <v>1</v>
      </c>
      <c r="GUD142" s="108"/>
      <c r="GUE142" s="108"/>
      <c r="GUF142" s="109"/>
      <c r="GUG142" s="107" t="s">
        <v>1</v>
      </c>
      <c r="GUH142" s="108"/>
      <c r="GUI142" s="108"/>
      <c r="GUJ142" s="109"/>
      <c r="GUK142" s="107" t="s">
        <v>1</v>
      </c>
      <c r="GUL142" s="108"/>
      <c r="GUM142" s="108"/>
      <c r="GUN142" s="109"/>
      <c r="GUO142" s="107" t="s">
        <v>1</v>
      </c>
      <c r="GUP142" s="108"/>
      <c r="GUQ142" s="108"/>
      <c r="GUR142" s="109"/>
      <c r="GUS142" s="107" t="s">
        <v>1</v>
      </c>
      <c r="GUT142" s="108"/>
      <c r="GUU142" s="108"/>
      <c r="GUV142" s="109"/>
      <c r="GUW142" s="107" t="s">
        <v>1</v>
      </c>
      <c r="GUX142" s="108"/>
      <c r="GUY142" s="108"/>
      <c r="GUZ142" s="109"/>
      <c r="GVA142" s="107" t="s">
        <v>1</v>
      </c>
      <c r="GVB142" s="108"/>
      <c r="GVC142" s="108"/>
      <c r="GVD142" s="109"/>
      <c r="GVE142" s="107" t="s">
        <v>1</v>
      </c>
      <c r="GVF142" s="108"/>
      <c r="GVG142" s="108"/>
      <c r="GVH142" s="109"/>
      <c r="GVI142" s="107" t="s">
        <v>1</v>
      </c>
      <c r="GVJ142" s="108"/>
      <c r="GVK142" s="108"/>
      <c r="GVL142" s="109"/>
      <c r="GVM142" s="107" t="s">
        <v>1</v>
      </c>
      <c r="GVN142" s="108"/>
      <c r="GVO142" s="108"/>
      <c r="GVP142" s="109"/>
      <c r="GVQ142" s="107" t="s">
        <v>1</v>
      </c>
      <c r="GVR142" s="108"/>
      <c r="GVS142" s="108"/>
      <c r="GVT142" s="109"/>
      <c r="GVU142" s="107" t="s">
        <v>1</v>
      </c>
      <c r="GVV142" s="108"/>
      <c r="GVW142" s="108"/>
      <c r="GVX142" s="109"/>
      <c r="GVY142" s="107" t="s">
        <v>1</v>
      </c>
      <c r="GVZ142" s="108"/>
      <c r="GWA142" s="108"/>
      <c r="GWB142" s="109"/>
      <c r="GWC142" s="107" t="s">
        <v>1</v>
      </c>
      <c r="GWD142" s="108"/>
      <c r="GWE142" s="108"/>
      <c r="GWF142" s="109"/>
      <c r="GWG142" s="107" t="s">
        <v>1</v>
      </c>
      <c r="GWH142" s="108"/>
      <c r="GWI142" s="108"/>
      <c r="GWJ142" s="109"/>
      <c r="GWK142" s="107" t="s">
        <v>1</v>
      </c>
      <c r="GWL142" s="108"/>
      <c r="GWM142" s="108"/>
      <c r="GWN142" s="109"/>
      <c r="GWO142" s="107" t="s">
        <v>1</v>
      </c>
      <c r="GWP142" s="108"/>
      <c r="GWQ142" s="108"/>
      <c r="GWR142" s="109"/>
      <c r="GWS142" s="107" t="s">
        <v>1</v>
      </c>
      <c r="GWT142" s="108"/>
      <c r="GWU142" s="108"/>
      <c r="GWV142" s="109"/>
      <c r="GWW142" s="107" t="s">
        <v>1</v>
      </c>
      <c r="GWX142" s="108"/>
      <c r="GWY142" s="108"/>
      <c r="GWZ142" s="109"/>
      <c r="GXA142" s="107" t="s">
        <v>1</v>
      </c>
      <c r="GXB142" s="108"/>
      <c r="GXC142" s="108"/>
      <c r="GXD142" s="109"/>
      <c r="GXE142" s="107" t="s">
        <v>1</v>
      </c>
      <c r="GXF142" s="108"/>
      <c r="GXG142" s="108"/>
      <c r="GXH142" s="109"/>
      <c r="GXI142" s="107" t="s">
        <v>1</v>
      </c>
      <c r="GXJ142" s="108"/>
      <c r="GXK142" s="108"/>
      <c r="GXL142" s="109"/>
      <c r="GXM142" s="107" t="s">
        <v>1</v>
      </c>
      <c r="GXN142" s="108"/>
      <c r="GXO142" s="108"/>
      <c r="GXP142" s="109"/>
      <c r="GXQ142" s="107" t="s">
        <v>1</v>
      </c>
      <c r="GXR142" s="108"/>
      <c r="GXS142" s="108"/>
      <c r="GXT142" s="109"/>
      <c r="GXU142" s="107" t="s">
        <v>1</v>
      </c>
      <c r="GXV142" s="108"/>
      <c r="GXW142" s="108"/>
      <c r="GXX142" s="109"/>
      <c r="GXY142" s="107" t="s">
        <v>1</v>
      </c>
      <c r="GXZ142" s="108"/>
      <c r="GYA142" s="108"/>
      <c r="GYB142" s="109"/>
      <c r="GYC142" s="107" t="s">
        <v>1</v>
      </c>
      <c r="GYD142" s="108"/>
      <c r="GYE142" s="108"/>
      <c r="GYF142" s="109"/>
      <c r="GYG142" s="107" t="s">
        <v>1</v>
      </c>
      <c r="GYH142" s="108"/>
      <c r="GYI142" s="108"/>
      <c r="GYJ142" s="109"/>
      <c r="GYK142" s="107" t="s">
        <v>1</v>
      </c>
      <c r="GYL142" s="108"/>
      <c r="GYM142" s="108"/>
      <c r="GYN142" s="109"/>
      <c r="GYO142" s="107" t="s">
        <v>1</v>
      </c>
      <c r="GYP142" s="108"/>
      <c r="GYQ142" s="108"/>
      <c r="GYR142" s="109"/>
      <c r="GYS142" s="107" t="s">
        <v>1</v>
      </c>
      <c r="GYT142" s="108"/>
      <c r="GYU142" s="108"/>
      <c r="GYV142" s="109"/>
      <c r="GYW142" s="107" t="s">
        <v>1</v>
      </c>
      <c r="GYX142" s="108"/>
      <c r="GYY142" s="108"/>
      <c r="GYZ142" s="109"/>
      <c r="GZA142" s="107" t="s">
        <v>1</v>
      </c>
      <c r="GZB142" s="108"/>
      <c r="GZC142" s="108"/>
      <c r="GZD142" s="109"/>
      <c r="GZE142" s="107" t="s">
        <v>1</v>
      </c>
      <c r="GZF142" s="108"/>
      <c r="GZG142" s="108"/>
      <c r="GZH142" s="109"/>
      <c r="GZI142" s="107" t="s">
        <v>1</v>
      </c>
      <c r="GZJ142" s="108"/>
      <c r="GZK142" s="108"/>
      <c r="GZL142" s="109"/>
      <c r="GZM142" s="107" t="s">
        <v>1</v>
      </c>
      <c r="GZN142" s="108"/>
      <c r="GZO142" s="108"/>
      <c r="GZP142" s="109"/>
      <c r="GZQ142" s="107" t="s">
        <v>1</v>
      </c>
      <c r="GZR142" s="108"/>
      <c r="GZS142" s="108"/>
      <c r="GZT142" s="109"/>
      <c r="GZU142" s="107" t="s">
        <v>1</v>
      </c>
      <c r="GZV142" s="108"/>
      <c r="GZW142" s="108"/>
      <c r="GZX142" s="109"/>
      <c r="GZY142" s="107" t="s">
        <v>1</v>
      </c>
      <c r="GZZ142" s="108"/>
      <c r="HAA142" s="108"/>
      <c r="HAB142" s="109"/>
      <c r="HAC142" s="107" t="s">
        <v>1</v>
      </c>
      <c r="HAD142" s="108"/>
      <c r="HAE142" s="108"/>
      <c r="HAF142" s="109"/>
      <c r="HAG142" s="107" t="s">
        <v>1</v>
      </c>
      <c r="HAH142" s="108"/>
      <c r="HAI142" s="108"/>
      <c r="HAJ142" s="109"/>
      <c r="HAK142" s="107" t="s">
        <v>1</v>
      </c>
      <c r="HAL142" s="108"/>
      <c r="HAM142" s="108"/>
      <c r="HAN142" s="109"/>
      <c r="HAO142" s="107" t="s">
        <v>1</v>
      </c>
      <c r="HAP142" s="108"/>
      <c r="HAQ142" s="108"/>
      <c r="HAR142" s="109"/>
      <c r="HAS142" s="107" t="s">
        <v>1</v>
      </c>
      <c r="HAT142" s="108"/>
      <c r="HAU142" s="108"/>
      <c r="HAV142" s="109"/>
      <c r="HAW142" s="107" t="s">
        <v>1</v>
      </c>
      <c r="HAX142" s="108"/>
      <c r="HAY142" s="108"/>
      <c r="HAZ142" s="109"/>
      <c r="HBA142" s="107" t="s">
        <v>1</v>
      </c>
      <c r="HBB142" s="108"/>
      <c r="HBC142" s="108"/>
      <c r="HBD142" s="109"/>
      <c r="HBE142" s="107" t="s">
        <v>1</v>
      </c>
      <c r="HBF142" s="108"/>
      <c r="HBG142" s="108"/>
      <c r="HBH142" s="109"/>
      <c r="HBI142" s="107" t="s">
        <v>1</v>
      </c>
      <c r="HBJ142" s="108"/>
      <c r="HBK142" s="108"/>
      <c r="HBL142" s="109"/>
      <c r="HBM142" s="107" t="s">
        <v>1</v>
      </c>
      <c r="HBN142" s="108"/>
      <c r="HBO142" s="108"/>
      <c r="HBP142" s="109"/>
      <c r="HBQ142" s="107" t="s">
        <v>1</v>
      </c>
      <c r="HBR142" s="108"/>
      <c r="HBS142" s="108"/>
      <c r="HBT142" s="109"/>
      <c r="HBU142" s="107" t="s">
        <v>1</v>
      </c>
      <c r="HBV142" s="108"/>
      <c r="HBW142" s="108"/>
      <c r="HBX142" s="109"/>
      <c r="HBY142" s="107" t="s">
        <v>1</v>
      </c>
      <c r="HBZ142" s="108"/>
      <c r="HCA142" s="108"/>
      <c r="HCB142" s="109"/>
      <c r="HCC142" s="107" t="s">
        <v>1</v>
      </c>
      <c r="HCD142" s="108"/>
      <c r="HCE142" s="108"/>
      <c r="HCF142" s="109"/>
      <c r="HCG142" s="107" t="s">
        <v>1</v>
      </c>
      <c r="HCH142" s="108"/>
      <c r="HCI142" s="108"/>
      <c r="HCJ142" s="109"/>
      <c r="HCK142" s="107" t="s">
        <v>1</v>
      </c>
      <c r="HCL142" s="108"/>
      <c r="HCM142" s="108"/>
      <c r="HCN142" s="109"/>
      <c r="HCO142" s="107" t="s">
        <v>1</v>
      </c>
      <c r="HCP142" s="108"/>
      <c r="HCQ142" s="108"/>
      <c r="HCR142" s="109"/>
      <c r="HCS142" s="107" t="s">
        <v>1</v>
      </c>
      <c r="HCT142" s="108"/>
      <c r="HCU142" s="108"/>
      <c r="HCV142" s="109"/>
      <c r="HCW142" s="107" t="s">
        <v>1</v>
      </c>
      <c r="HCX142" s="108"/>
      <c r="HCY142" s="108"/>
      <c r="HCZ142" s="109"/>
      <c r="HDA142" s="107" t="s">
        <v>1</v>
      </c>
      <c r="HDB142" s="108"/>
      <c r="HDC142" s="108"/>
      <c r="HDD142" s="109"/>
      <c r="HDE142" s="107" t="s">
        <v>1</v>
      </c>
      <c r="HDF142" s="108"/>
      <c r="HDG142" s="108"/>
      <c r="HDH142" s="109"/>
      <c r="HDI142" s="107" t="s">
        <v>1</v>
      </c>
      <c r="HDJ142" s="108"/>
      <c r="HDK142" s="108"/>
      <c r="HDL142" s="109"/>
      <c r="HDM142" s="107" t="s">
        <v>1</v>
      </c>
      <c r="HDN142" s="108"/>
      <c r="HDO142" s="108"/>
      <c r="HDP142" s="109"/>
      <c r="HDQ142" s="107" t="s">
        <v>1</v>
      </c>
      <c r="HDR142" s="108"/>
      <c r="HDS142" s="108"/>
      <c r="HDT142" s="109"/>
      <c r="HDU142" s="107" t="s">
        <v>1</v>
      </c>
      <c r="HDV142" s="108"/>
      <c r="HDW142" s="108"/>
      <c r="HDX142" s="109"/>
      <c r="HDY142" s="107" t="s">
        <v>1</v>
      </c>
      <c r="HDZ142" s="108"/>
      <c r="HEA142" s="108"/>
      <c r="HEB142" s="109"/>
      <c r="HEC142" s="107" t="s">
        <v>1</v>
      </c>
      <c r="HED142" s="108"/>
      <c r="HEE142" s="108"/>
      <c r="HEF142" s="109"/>
      <c r="HEG142" s="107" t="s">
        <v>1</v>
      </c>
      <c r="HEH142" s="108"/>
      <c r="HEI142" s="108"/>
      <c r="HEJ142" s="109"/>
      <c r="HEK142" s="107" t="s">
        <v>1</v>
      </c>
      <c r="HEL142" s="108"/>
      <c r="HEM142" s="108"/>
      <c r="HEN142" s="109"/>
      <c r="HEO142" s="107" t="s">
        <v>1</v>
      </c>
      <c r="HEP142" s="108"/>
      <c r="HEQ142" s="108"/>
      <c r="HER142" s="109"/>
      <c r="HES142" s="107" t="s">
        <v>1</v>
      </c>
      <c r="HET142" s="108"/>
      <c r="HEU142" s="108"/>
      <c r="HEV142" s="109"/>
      <c r="HEW142" s="107" t="s">
        <v>1</v>
      </c>
      <c r="HEX142" s="108"/>
      <c r="HEY142" s="108"/>
      <c r="HEZ142" s="109"/>
      <c r="HFA142" s="107" t="s">
        <v>1</v>
      </c>
      <c r="HFB142" s="108"/>
      <c r="HFC142" s="108"/>
      <c r="HFD142" s="109"/>
      <c r="HFE142" s="107" t="s">
        <v>1</v>
      </c>
      <c r="HFF142" s="108"/>
      <c r="HFG142" s="108"/>
      <c r="HFH142" s="109"/>
      <c r="HFI142" s="107" t="s">
        <v>1</v>
      </c>
      <c r="HFJ142" s="108"/>
      <c r="HFK142" s="108"/>
      <c r="HFL142" s="109"/>
      <c r="HFM142" s="107" t="s">
        <v>1</v>
      </c>
      <c r="HFN142" s="108"/>
      <c r="HFO142" s="108"/>
      <c r="HFP142" s="109"/>
      <c r="HFQ142" s="107" t="s">
        <v>1</v>
      </c>
      <c r="HFR142" s="108"/>
      <c r="HFS142" s="108"/>
      <c r="HFT142" s="109"/>
      <c r="HFU142" s="107" t="s">
        <v>1</v>
      </c>
      <c r="HFV142" s="108"/>
      <c r="HFW142" s="108"/>
      <c r="HFX142" s="109"/>
      <c r="HFY142" s="107" t="s">
        <v>1</v>
      </c>
      <c r="HFZ142" s="108"/>
      <c r="HGA142" s="108"/>
      <c r="HGB142" s="109"/>
      <c r="HGC142" s="107" t="s">
        <v>1</v>
      </c>
      <c r="HGD142" s="108"/>
      <c r="HGE142" s="108"/>
      <c r="HGF142" s="109"/>
      <c r="HGG142" s="107" t="s">
        <v>1</v>
      </c>
      <c r="HGH142" s="108"/>
      <c r="HGI142" s="108"/>
      <c r="HGJ142" s="109"/>
      <c r="HGK142" s="107" t="s">
        <v>1</v>
      </c>
      <c r="HGL142" s="108"/>
      <c r="HGM142" s="108"/>
      <c r="HGN142" s="109"/>
      <c r="HGO142" s="107" t="s">
        <v>1</v>
      </c>
      <c r="HGP142" s="108"/>
      <c r="HGQ142" s="108"/>
      <c r="HGR142" s="109"/>
      <c r="HGS142" s="107" t="s">
        <v>1</v>
      </c>
      <c r="HGT142" s="108"/>
      <c r="HGU142" s="108"/>
      <c r="HGV142" s="109"/>
      <c r="HGW142" s="107" t="s">
        <v>1</v>
      </c>
      <c r="HGX142" s="108"/>
      <c r="HGY142" s="108"/>
      <c r="HGZ142" s="109"/>
      <c r="HHA142" s="107" t="s">
        <v>1</v>
      </c>
      <c r="HHB142" s="108"/>
      <c r="HHC142" s="108"/>
      <c r="HHD142" s="109"/>
      <c r="HHE142" s="107" t="s">
        <v>1</v>
      </c>
      <c r="HHF142" s="108"/>
      <c r="HHG142" s="108"/>
      <c r="HHH142" s="109"/>
      <c r="HHI142" s="107" t="s">
        <v>1</v>
      </c>
      <c r="HHJ142" s="108"/>
      <c r="HHK142" s="108"/>
      <c r="HHL142" s="109"/>
      <c r="HHM142" s="107" t="s">
        <v>1</v>
      </c>
      <c r="HHN142" s="108"/>
      <c r="HHO142" s="108"/>
      <c r="HHP142" s="109"/>
      <c r="HHQ142" s="107" t="s">
        <v>1</v>
      </c>
      <c r="HHR142" s="108"/>
      <c r="HHS142" s="108"/>
      <c r="HHT142" s="109"/>
      <c r="HHU142" s="107" t="s">
        <v>1</v>
      </c>
      <c r="HHV142" s="108"/>
      <c r="HHW142" s="108"/>
      <c r="HHX142" s="109"/>
      <c r="HHY142" s="107" t="s">
        <v>1</v>
      </c>
      <c r="HHZ142" s="108"/>
      <c r="HIA142" s="108"/>
      <c r="HIB142" s="109"/>
      <c r="HIC142" s="107" t="s">
        <v>1</v>
      </c>
      <c r="HID142" s="108"/>
      <c r="HIE142" s="108"/>
      <c r="HIF142" s="109"/>
      <c r="HIG142" s="107" t="s">
        <v>1</v>
      </c>
      <c r="HIH142" s="108"/>
      <c r="HII142" s="108"/>
      <c r="HIJ142" s="109"/>
      <c r="HIK142" s="107" t="s">
        <v>1</v>
      </c>
      <c r="HIL142" s="108"/>
      <c r="HIM142" s="108"/>
      <c r="HIN142" s="109"/>
      <c r="HIO142" s="107" t="s">
        <v>1</v>
      </c>
      <c r="HIP142" s="108"/>
      <c r="HIQ142" s="108"/>
      <c r="HIR142" s="109"/>
      <c r="HIS142" s="107" t="s">
        <v>1</v>
      </c>
      <c r="HIT142" s="108"/>
      <c r="HIU142" s="108"/>
      <c r="HIV142" s="109"/>
      <c r="HIW142" s="107" t="s">
        <v>1</v>
      </c>
      <c r="HIX142" s="108"/>
      <c r="HIY142" s="108"/>
      <c r="HIZ142" s="109"/>
      <c r="HJA142" s="107" t="s">
        <v>1</v>
      </c>
      <c r="HJB142" s="108"/>
      <c r="HJC142" s="108"/>
      <c r="HJD142" s="109"/>
      <c r="HJE142" s="107" t="s">
        <v>1</v>
      </c>
      <c r="HJF142" s="108"/>
      <c r="HJG142" s="108"/>
      <c r="HJH142" s="109"/>
      <c r="HJI142" s="107" t="s">
        <v>1</v>
      </c>
      <c r="HJJ142" s="108"/>
      <c r="HJK142" s="108"/>
      <c r="HJL142" s="109"/>
      <c r="HJM142" s="107" t="s">
        <v>1</v>
      </c>
      <c r="HJN142" s="108"/>
      <c r="HJO142" s="108"/>
      <c r="HJP142" s="109"/>
      <c r="HJQ142" s="107" t="s">
        <v>1</v>
      </c>
      <c r="HJR142" s="108"/>
      <c r="HJS142" s="108"/>
      <c r="HJT142" s="109"/>
      <c r="HJU142" s="107" t="s">
        <v>1</v>
      </c>
      <c r="HJV142" s="108"/>
      <c r="HJW142" s="108"/>
      <c r="HJX142" s="109"/>
      <c r="HJY142" s="107" t="s">
        <v>1</v>
      </c>
      <c r="HJZ142" s="108"/>
      <c r="HKA142" s="108"/>
      <c r="HKB142" s="109"/>
      <c r="HKC142" s="107" t="s">
        <v>1</v>
      </c>
      <c r="HKD142" s="108"/>
      <c r="HKE142" s="108"/>
      <c r="HKF142" s="109"/>
      <c r="HKG142" s="107" t="s">
        <v>1</v>
      </c>
      <c r="HKH142" s="108"/>
      <c r="HKI142" s="108"/>
      <c r="HKJ142" s="109"/>
      <c r="HKK142" s="107" t="s">
        <v>1</v>
      </c>
      <c r="HKL142" s="108"/>
      <c r="HKM142" s="108"/>
      <c r="HKN142" s="109"/>
      <c r="HKO142" s="107" t="s">
        <v>1</v>
      </c>
      <c r="HKP142" s="108"/>
      <c r="HKQ142" s="108"/>
      <c r="HKR142" s="109"/>
      <c r="HKS142" s="107" t="s">
        <v>1</v>
      </c>
      <c r="HKT142" s="108"/>
      <c r="HKU142" s="108"/>
      <c r="HKV142" s="109"/>
      <c r="HKW142" s="107" t="s">
        <v>1</v>
      </c>
      <c r="HKX142" s="108"/>
      <c r="HKY142" s="108"/>
      <c r="HKZ142" s="109"/>
      <c r="HLA142" s="107" t="s">
        <v>1</v>
      </c>
      <c r="HLB142" s="108"/>
      <c r="HLC142" s="108"/>
      <c r="HLD142" s="109"/>
      <c r="HLE142" s="107" t="s">
        <v>1</v>
      </c>
      <c r="HLF142" s="108"/>
      <c r="HLG142" s="108"/>
      <c r="HLH142" s="109"/>
      <c r="HLI142" s="107" t="s">
        <v>1</v>
      </c>
      <c r="HLJ142" s="108"/>
      <c r="HLK142" s="108"/>
      <c r="HLL142" s="109"/>
      <c r="HLM142" s="107" t="s">
        <v>1</v>
      </c>
      <c r="HLN142" s="108"/>
      <c r="HLO142" s="108"/>
      <c r="HLP142" s="109"/>
      <c r="HLQ142" s="107" t="s">
        <v>1</v>
      </c>
      <c r="HLR142" s="108"/>
      <c r="HLS142" s="108"/>
      <c r="HLT142" s="109"/>
      <c r="HLU142" s="107" t="s">
        <v>1</v>
      </c>
      <c r="HLV142" s="108"/>
      <c r="HLW142" s="108"/>
      <c r="HLX142" s="109"/>
      <c r="HLY142" s="107" t="s">
        <v>1</v>
      </c>
      <c r="HLZ142" s="108"/>
      <c r="HMA142" s="108"/>
      <c r="HMB142" s="109"/>
      <c r="HMC142" s="107" t="s">
        <v>1</v>
      </c>
      <c r="HMD142" s="108"/>
      <c r="HME142" s="108"/>
      <c r="HMF142" s="109"/>
      <c r="HMG142" s="107" t="s">
        <v>1</v>
      </c>
      <c r="HMH142" s="108"/>
      <c r="HMI142" s="108"/>
      <c r="HMJ142" s="109"/>
      <c r="HMK142" s="107" t="s">
        <v>1</v>
      </c>
      <c r="HML142" s="108"/>
      <c r="HMM142" s="108"/>
      <c r="HMN142" s="109"/>
      <c r="HMO142" s="107" t="s">
        <v>1</v>
      </c>
      <c r="HMP142" s="108"/>
      <c r="HMQ142" s="108"/>
      <c r="HMR142" s="109"/>
      <c r="HMS142" s="107" t="s">
        <v>1</v>
      </c>
      <c r="HMT142" s="108"/>
      <c r="HMU142" s="108"/>
      <c r="HMV142" s="109"/>
      <c r="HMW142" s="107" t="s">
        <v>1</v>
      </c>
      <c r="HMX142" s="108"/>
      <c r="HMY142" s="108"/>
      <c r="HMZ142" s="109"/>
      <c r="HNA142" s="107" t="s">
        <v>1</v>
      </c>
      <c r="HNB142" s="108"/>
      <c r="HNC142" s="108"/>
      <c r="HND142" s="109"/>
      <c r="HNE142" s="107" t="s">
        <v>1</v>
      </c>
      <c r="HNF142" s="108"/>
      <c r="HNG142" s="108"/>
      <c r="HNH142" s="109"/>
      <c r="HNI142" s="107" t="s">
        <v>1</v>
      </c>
      <c r="HNJ142" s="108"/>
      <c r="HNK142" s="108"/>
      <c r="HNL142" s="109"/>
      <c r="HNM142" s="107" t="s">
        <v>1</v>
      </c>
      <c r="HNN142" s="108"/>
      <c r="HNO142" s="108"/>
      <c r="HNP142" s="109"/>
      <c r="HNQ142" s="107" t="s">
        <v>1</v>
      </c>
      <c r="HNR142" s="108"/>
      <c r="HNS142" s="108"/>
      <c r="HNT142" s="109"/>
      <c r="HNU142" s="107" t="s">
        <v>1</v>
      </c>
      <c r="HNV142" s="108"/>
      <c r="HNW142" s="108"/>
      <c r="HNX142" s="109"/>
      <c r="HNY142" s="107" t="s">
        <v>1</v>
      </c>
      <c r="HNZ142" s="108"/>
      <c r="HOA142" s="108"/>
      <c r="HOB142" s="109"/>
      <c r="HOC142" s="107" t="s">
        <v>1</v>
      </c>
      <c r="HOD142" s="108"/>
      <c r="HOE142" s="108"/>
      <c r="HOF142" s="109"/>
      <c r="HOG142" s="107" t="s">
        <v>1</v>
      </c>
      <c r="HOH142" s="108"/>
      <c r="HOI142" s="108"/>
      <c r="HOJ142" s="109"/>
      <c r="HOK142" s="107" t="s">
        <v>1</v>
      </c>
      <c r="HOL142" s="108"/>
      <c r="HOM142" s="108"/>
      <c r="HON142" s="109"/>
      <c r="HOO142" s="107" t="s">
        <v>1</v>
      </c>
      <c r="HOP142" s="108"/>
      <c r="HOQ142" s="108"/>
      <c r="HOR142" s="109"/>
      <c r="HOS142" s="107" t="s">
        <v>1</v>
      </c>
      <c r="HOT142" s="108"/>
      <c r="HOU142" s="108"/>
      <c r="HOV142" s="109"/>
      <c r="HOW142" s="107" t="s">
        <v>1</v>
      </c>
      <c r="HOX142" s="108"/>
      <c r="HOY142" s="108"/>
      <c r="HOZ142" s="109"/>
      <c r="HPA142" s="107" t="s">
        <v>1</v>
      </c>
      <c r="HPB142" s="108"/>
      <c r="HPC142" s="108"/>
      <c r="HPD142" s="109"/>
      <c r="HPE142" s="107" t="s">
        <v>1</v>
      </c>
      <c r="HPF142" s="108"/>
      <c r="HPG142" s="108"/>
      <c r="HPH142" s="109"/>
      <c r="HPI142" s="107" t="s">
        <v>1</v>
      </c>
      <c r="HPJ142" s="108"/>
      <c r="HPK142" s="108"/>
      <c r="HPL142" s="109"/>
      <c r="HPM142" s="107" t="s">
        <v>1</v>
      </c>
      <c r="HPN142" s="108"/>
      <c r="HPO142" s="108"/>
      <c r="HPP142" s="109"/>
      <c r="HPQ142" s="107" t="s">
        <v>1</v>
      </c>
      <c r="HPR142" s="108"/>
      <c r="HPS142" s="108"/>
      <c r="HPT142" s="109"/>
      <c r="HPU142" s="107" t="s">
        <v>1</v>
      </c>
      <c r="HPV142" s="108"/>
      <c r="HPW142" s="108"/>
      <c r="HPX142" s="109"/>
      <c r="HPY142" s="107" t="s">
        <v>1</v>
      </c>
      <c r="HPZ142" s="108"/>
      <c r="HQA142" s="108"/>
      <c r="HQB142" s="109"/>
      <c r="HQC142" s="107" t="s">
        <v>1</v>
      </c>
      <c r="HQD142" s="108"/>
      <c r="HQE142" s="108"/>
      <c r="HQF142" s="109"/>
      <c r="HQG142" s="107" t="s">
        <v>1</v>
      </c>
      <c r="HQH142" s="108"/>
      <c r="HQI142" s="108"/>
      <c r="HQJ142" s="109"/>
      <c r="HQK142" s="107" t="s">
        <v>1</v>
      </c>
      <c r="HQL142" s="108"/>
      <c r="HQM142" s="108"/>
      <c r="HQN142" s="109"/>
      <c r="HQO142" s="107" t="s">
        <v>1</v>
      </c>
      <c r="HQP142" s="108"/>
      <c r="HQQ142" s="108"/>
      <c r="HQR142" s="109"/>
      <c r="HQS142" s="107" t="s">
        <v>1</v>
      </c>
      <c r="HQT142" s="108"/>
      <c r="HQU142" s="108"/>
      <c r="HQV142" s="109"/>
      <c r="HQW142" s="107" t="s">
        <v>1</v>
      </c>
      <c r="HQX142" s="108"/>
      <c r="HQY142" s="108"/>
      <c r="HQZ142" s="109"/>
      <c r="HRA142" s="107" t="s">
        <v>1</v>
      </c>
      <c r="HRB142" s="108"/>
      <c r="HRC142" s="108"/>
      <c r="HRD142" s="109"/>
      <c r="HRE142" s="107" t="s">
        <v>1</v>
      </c>
      <c r="HRF142" s="108"/>
      <c r="HRG142" s="108"/>
      <c r="HRH142" s="109"/>
      <c r="HRI142" s="107" t="s">
        <v>1</v>
      </c>
      <c r="HRJ142" s="108"/>
      <c r="HRK142" s="108"/>
      <c r="HRL142" s="109"/>
      <c r="HRM142" s="107" t="s">
        <v>1</v>
      </c>
      <c r="HRN142" s="108"/>
      <c r="HRO142" s="108"/>
      <c r="HRP142" s="109"/>
      <c r="HRQ142" s="107" t="s">
        <v>1</v>
      </c>
      <c r="HRR142" s="108"/>
      <c r="HRS142" s="108"/>
      <c r="HRT142" s="109"/>
      <c r="HRU142" s="107" t="s">
        <v>1</v>
      </c>
      <c r="HRV142" s="108"/>
      <c r="HRW142" s="108"/>
      <c r="HRX142" s="109"/>
      <c r="HRY142" s="107" t="s">
        <v>1</v>
      </c>
      <c r="HRZ142" s="108"/>
      <c r="HSA142" s="108"/>
      <c r="HSB142" s="109"/>
      <c r="HSC142" s="107" t="s">
        <v>1</v>
      </c>
      <c r="HSD142" s="108"/>
      <c r="HSE142" s="108"/>
      <c r="HSF142" s="109"/>
      <c r="HSG142" s="107" t="s">
        <v>1</v>
      </c>
      <c r="HSH142" s="108"/>
      <c r="HSI142" s="108"/>
      <c r="HSJ142" s="109"/>
      <c r="HSK142" s="107" t="s">
        <v>1</v>
      </c>
      <c r="HSL142" s="108"/>
      <c r="HSM142" s="108"/>
      <c r="HSN142" s="109"/>
      <c r="HSO142" s="107" t="s">
        <v>1</v>
      </c>
      <c r="HSP142" s="108"/>
      <c r="HSQ142" s="108"/>
      <c r="HSR142" s="109"/>
      <c r="HSS142" s="107" t="s">
        <v>1</v>
      </c>
      <c r="HST142" s="108"/>
      <c r="HSU142" s="108"/>
      <c r="HSV142" s="109"/>
      <c r="HSW142" s="107" t="s">
        <v>1</v>
      </c>
      <c r="HSX142" s="108"/>
      <c r="HSY142" s="108"/>
      <c r="HSZ142" s="109"/>
      <c r="HTA142" s="107" t="s">
        <v>1</v>
      </c>
      <c r="HTB142" s="108"/>
      <c r="HTC142" s="108"/>
      <c r="HTD142" s="109"/>
      <c r="HTE142" s="107" t="s">
        <v>1</v>
      </c>
      <c r="HTF142" s="108"/>
      <c r="HTG142" s="108"/>
      <c r="HTH142" s="109"/>
      <c r="HTI142" s="107" t="s">
        <v>1</v>
      </c>
      <c r="HTJ142" s="108"/>
      <c r="HTK142" s="108"/>
      <c r="HTL142" s="109"/>
      <c r="HTM142" s="107" t="s">
        <v>1</v>
      </c>
      <c r="HTN142" s="108"/>
      <c r="HTO142" s="108"/>
      <c r="HTP142" s="109"/>
      <c r="HTQ142" s="107" t="s">
        <v>1</v>
      </c>
      <c r="HTR142" s="108"/>
      <c r="HTS142" s="108"/>
      <c r="HTT142" s="109"/>
      <c r="HTU142" s="107" t="s">
        <v>1</v>
      </c>
      <c r="HTV142" s="108"/>
      <c r="HTW142" s="108"/>
      <c r="HTX142" s="109"/>
      <c r="HTY142" s="107" t="s">
        <v>1</v>
      </c>
      <c r="HTZ142" s="108"/>
      <c r="HUA142" s="108"/>
      <c r="HUB142" s="109"/>
      <c r="HUC142" s="107" t="s">
        <v>1</v>
      </c>
      <c r="HUD142" s="108"/>
      <c r="HUE142" s="108"/>
      <c r="HUF142" s="109"/>
      <c r="HUG142" s="107" t="s">
        <v>1</v>
      </c>
      <c r="HUH142" s="108"/>
      <c r="HUI142" s="108"/>
      <c r="HUJ142" s="109"/>
      <c r="HUK142" s="107" t="s">
        <v>1</v>
      </c>
      <c r="HUL142" s="108"/>
      <c r="HUM142" s="108"/>
      <c r="HUN142" s="109"/>
      <c r="HUO142" s="107" t="s">
        <v>1</v>
      </c>
      <c r="HUP142" s="108"/>
      <c r="HUQ142" s="108"/>
      <c r="HUR142" s="109"/>
      <c r="HUS142" s="107" t="s">
        <v>1</v>
      </c>
      <c r="HUT142" s="108"/>
      <c r="HUU142" s="108"/>
      <c r="HUV142" s="109"/>
      <c r="HUW142" s="107" t="s">
        <v>1</v>
      </c>
      <c r="HUX142" s="108"/>
      <c r="HUY142" s="108"/>
      <c r="HUZ142" s="109"/>
      <c r="HVA142" s="107" t="s">
        <v>1</v>
      </c>
      <c r="HVB142" s="108"/>
      <c r="HVC142" s="108"/>
      <c r="HVD142" s="109"/>
      <c r="HVE142" s="107" t="s">
        <v>1</v>
      </c>
      <c r="HVF142" s="108"/>
      <c r="HVG142" s="108"/>
      <c r="HVH142" s="109"/>
      <c r="HVI142" s="107" t="s">
        <v>1</v>
      </c>
      <c r="HVJ142" s="108"/>
      <c r="HVK142" s="108"/>
      <c r="HVL142" s="109"/>
      <c r="HVM142" s="107" t="s">
        <v>1</v>
      </c>
      <c r="HVN142" s="108"/>
      <c r="HVO142" s="108"/>
      <c r="HVP142" s="109"/>
      <c r="HVQ142" s="107" t="s">
        <v>1</v>
      </c>
      <c r="HVR142" s="108"/>
      <c r="HVS142" s="108"/>
      <c r="HVT142" s="109"/>
      <c r="HVU142" s="107" t="s">
        <v>1</v>
      </c>
      <c r="HVV142" s="108"/>
      <c r="HVW142" s="108"/>
      <c r="HVX142" s="109"/>
      <c r="HVY142" s="107" t="s">
        <v>1</v>
      </c>
      <c r="HVZ142" s="108"/>
      <c r="HWA142" s="108"/>
      <c r="HWB142" s="109"/>
      <c r="HWC142" s="107" t="s">
        <v>1</v>
      </c>
      <c r="HWD142" s="108"/>
      <c r="HWE142" s="108"/>
      <c r="HWF142" s="109"/>
      <c r="HWG142" s="107" t="s">
        <v>1</v>
      </c>
      <c r="HWH142" s="108"/>
      <c r="HWI142" s="108"/>
      <c r="HWJ142" s="109"/>
      <c r="HWK142" s="107" t="s">
        <v>1</v>
      </c>
      <c r="HWL142" s="108"/>
      <c r="HWM142" s="108"/>
      <c r="HWN142" s="109"/>
      <c r="HWO142" s="107" t="s">
        <v>1</v>
      </c>
      <c r="HWP142" s="108"/>
      <c r="HWQ142" s="108"/>
      <c r="HWR142" s="109"/>
      <c r="HWS142" s="107" t="s">
        <v>1</v>
      </c>
      <c r="HWT142" s="108"/>
      <c r="HWU142" s="108"/>
      <c r="HWV142" s="109"/>
      <c r="HWW142" s="107" t="s">
        <v>1</v>
      </c>
      <c r="HWX142" s="108"/>
      <c r="HWY142" s="108"/>
      <c r="HWZ142" s="109"/>
      <c r="HXA142" s="107" t="s">
        <v>1</v>
      </c>
      <c r="HXB142" s="108"/>
      <c r="HXC142" s="108"/>
      <c r="HXD142" s="109"/>
      <c r="HXE142" s="107" t="s">
        <v>1</v>
      </c>
      <c r="HXF142" s="108"/>
      <c r="HXG142" s="108"/>
      <c r="HXH142" s="109"/>
      <c r="HXI142" s="107" t="s">
        <v>1</v>
      </c>
      <c r="HXJ142" s="108"/>
      <c r="HXK142" s="108"/>
      <c r="HXL142" s="109"/>
      <c r="HXM142" s="107" t="s">
        <v>1</v>
      </c>
      <c r="HXN142" s="108"/>
      <c r="HXO142" s="108"/>
      <c r="HXP142" s="109"/>
      <c r="HXQ142" s="107" t="s">
        <v>1</v>
      </c>
      <c r="HXR142" s="108"/>
      <c r="HXS142" s="108"/>
      <c r="HXT142" s="109"/>
      <c r="HXU142" s="107" t="s">
        <v>1</v>
      </c>
      <c r="HXV142" s="108"/>
      <c r="HXW142" s="108"/>
      <c r="HXX142" s="109"/>
      <c r="HXY142" s="107" t="s">
        <v>1</v>
      </c>
      <c r="HXZ142" s="108"/>
      <c r="HYA142" s="108"/>
      <c r="HYB142" s="109"/>
      <c r="HYC142" s="107" t="s">
        <v>1</v>
      </c>
      <c r="HYD142" s="108"/>
      <c r="HYE142" s="108"/>
      <c r="HYF142" s="109"/>
      <c r="HYG142" s="107" t="s">
        <v>1</v>
      </c>
      <c r="HYH142" s="108"/>
      <c r="HYI142" s="108"/>
      <c r="HYJ142" s="109"/>
      <c r="HYK142" s="107" t="s">
        <v>1</v>
      </c>
      <c r="HYL142" s="108"/>
      <c r="HYM142" s="108"/>
      <c r="HYN142" s="109"/>
      <c r="HYO142" s="107" t="s">
        <v>1</v>
      </c>
      <c r="HYP142" s="108"/>
      <c r="HYQ142" s="108"/>
      <c r="HYR142" s="109"/>
      <c r="HYS142" s="107" t="s">
        <v>1</v>
      </c>
      <c r="HYT142" s="108"/>
      <c r="HYU142" s="108"/>
      <c r="HYV142" s="109"/>
      <c r="HYW142" s="107" t="s">
        <v>1</v>
      </c>
      <c r="HYX142" s="108"/>
      <c r="HYY142" s="108"/>
      <c r="HYZ142" s="109"/>
      <c r="HZA142" s="107" t="s">
        <v>1</v>
      </c>
      <c r="HZB142" s="108"/>
      <c r="HZC142" s="108"/>
      <c r="HZD142" s="109"/>
      <c r="HZE142" s="107" t="s">
        <v>1</v>
      </c>
      <c r="HZF142" s="108"/>
      <c r="HZG142" s="108"/>
      <c r="HZH142" s="109"/>
      <c r="HZI142" s="107" t="s">
        <v>1</v>
      </c>
      <c r="HZJ142" s="108"/>
      <c r="HZK142" s="108"/>
      <c r="HZL142" s="109"/>
      <c r="HZM142" s="107" t="s">
        <v>1</v>
      </c>
      <c r="HZN142" s="108"/>
      <c r="HZO142" s="108"/>
      <c r="HZP142" s="109"/>
      <c r="HZQ142" s="107" t="s">
        <v>1</v>
      </c>
      <c r="HZR142" s="108"/>
      <c r="HZS142" s="108"/>
      <c r="HZT142" s="109"/>
      <c r="HZU142" s="107" t="s">
        <v>1</v>
      </c>
      <c r="HZV142" s="108"/>
      <c r="HZW142" s="108"/>
      <c r="HZX142" s="109"/>
      <c r="HZY142" s="107" t="s">
        <v>1</v>
      </c>
      <c r="HZZ142" s="108"/>
      <c r="IAA142" s="108"/>
      <c r="IAB142" s="109"/>
      <c r="IAC142" s="107" t="s">
        <v>1</v>
      </c>
      <c r="IAD142" s="108"/>
      <c r="IAE142" s="108"/>
      <c r="IAF142" s="109"/>
      <c r="IAG142" s="107" t="s">
        <v>1</v>
      </c>
      <c r="IAH142" s="108"/>
      <c r="IAI142" s="108"/>
      <c r="IAJ142" s="109"/>
      <c r="IAK142" s="107" t="s">
        <v>1</v>
      </c>
      <c r="IAL142" s="108"/>
      <c r="IAM142" s="108"/>
      <c r="IAN142" s="109"/>
      <c r="IAO142" s="107" t="s">
        <v>1</v>
      </c>
      <c r="IAP142" s="108"/>
      <c r="IAQ142" s="108"/>
      <c r="IAR142" s="109"/>
      <c r="IAS142" s="107" t="s">
        <v>1</v>
      </c>
      <c r="IAT142" s="108"/>
      <c r="IAU142" s="108"/>
      <c r="IAV142" s="109"/>
      <c r="IAW142" s="107" t="s">
        <v>1</v>
      </c>
      <c r="IAX142" s="108"/>
      <c r="IAY142" s="108"/>
      <c r="IAZ142" s="109"/>
      <c r="IBA142" s="107" t="s">
        <v>1</v>
      </c>
      <c r="IBB142" s="108"/>
      <c r="IBC142" s="108"/>
      <c r="IBD142" s="109"/>
      <c r="IBE142" s="107" t="s">
        <v>1</v>
      </c>
      <c r="IBF142" s="108"/>
      <c r="IBG142" s="108"/>
      <c r="IBH142" s="109"/>
      <c r="IBI142" s="107" t="s">
        <v>1</v>
      </c>
      <c r="IBJ142" s="108"/>
      <c r="IBK142" s="108"/>
      <c r="IBL142" s="109"/>
      <c r="IBM142" s="107" t="s">
        <v>1</v>
      </c>
      <c r="IBN142" s="108"/>
      <c r="IBO142" s="108"/>
      <c r="IBP142" s="109"/>
      <c r="IBQ142" s="107" t="s">
        <v>1</v>
      </c>
      <c r="IBR142" s="108"/>
      <c r="IBS142" s="108"/>
      <c r="IBT142" s="109"/>
      <c r="IBU142" s="107" t="s">
        <v>1</v>
      </c>
      <c r="IBV142" s="108"/>
      <c r="IBW142" s="108"/>
      <c r="IBX142" s="109"/>
      <c r="IBY142" s="107" t="s">
        <v>1</v>
      </c>
      <c r="IBZ142" s="108"/>
      <c r="ICA142" s="108"/>
      <c r="ICB142" s="109"/>
      <c r="ICC142" s="107" t="s">
        <v>1</v>
      </c>
      <c r="ICD142" s="108"/>
      <c r="ICE142" s="108"/>
      <c r="ICF142" s="109"/>
      <c r="ICG142" s="107" t="s">
        <v>1</v>
      </c>
      <c r="ICH142" s="108"/>
      <c r="ICI142" s="108"/>
      <c r="ICJ142" s="109"/>
      <c r="ICK142" s="107" t="s">
        <v>1</v>
      </c>
      <c r="ICL142" s="108"/>
      <c r="ICM142" s="108"/>
      <c r="ICN142" s="109"/>
      <c r="ICO142" s="107" t="s">
        <v>1</v>
      </c>
      <c r="ICP142" s="108"/>
      <c r="ICQ142" s="108"/>
      <c r="ICR142" s="109"/>
      <c r="ICS142" s="107" t="s">
        <v>1</v>
      </c>
      <c r="ICT142" s="108"/>
      <c r="ICU142" s="108"/>
      <c r="ICV142" s="109"/>
      <c r="ICW142" s="107" t="s">
        <v>1</v>
      </c>
      <c r="ICX142" s="108"/>
      <c r="ICY142" s="108"/>
      <c r="ICZ142" s="109"/>
      <c r="IDA142" s="107" t="s">
        <v>1</v>
      </c>
      <c r="IDB142" s="108"/>
      <c r="IDC142" s="108"/>
      <c r="IDD142" s="109"/>
      <c r="IDE142" s="107" t="s">
        <v>1</v>
      </c>
      <c r="IDF142" s="108"/>
      <c r="IDG142" s="108"/>
      <c r="IDH142" s="109"/>
      <c r="IDI142" s="107" t="s">
        <v>1</v>
      </c>
      <c r="IDJ142" s="108"/>
      <c r="IDK142" s="108"/>
      <c r="IDL142" s="109"/>
      <c r="IDM142" s="107" t="s">
        <v>1</v>
      </c>
      <c r="IDN142" s="108"/>
      <c r="IDO142" s="108"/>
      <c r="IDP142" s="109"/>
      <c r="IDQ142" s="107" t="s">
        <v>1</v>
      </c>
      <c r="IDR142" s="108"/>
      <c r="IDS142" s="108"/>
      <c r="IDT142" s="109"/>
      <c r="IDU142" s="107" t="s">
        <v>1</v>
      </c>
      <c r="IDV142" s="108"/>
      <c r="IDW142" s="108"/>
      <c r="IDX142" s="109"/>
      <c r="IDY142" s="107" t="s">
        <v>1</v>
      </c>
      <c r="IDZ142" s="108"/>
      <c r="IEA142" s="108"/>
      <c r="IEB142" s="109"/>
      <c r="IEC142" s="107" t="s">
        <v>1</v>
      </c>
      <c r="IED142" s="108"/>
      <c r="IEE142" s="108"/>
      <c r="IEF142" s="109"/>
      <c r="IEG142" s="107" t="s">
        <v>1</v>
      </c>
      <c r="IEH142" s="108"/>
      <c r="IEI142" s="108"/>
      <c r="IEJ142" s="109"/>
      <c r="IEK142" s="107" t="s">
        <v>1</v>
      </c>
      <c r="IEL142" s="108"/>
      <c r="IEM142" s="108"/>
      <c r="IEN142" s="109"/>
      <c r="IEO142" s="107" t="s">
        <v>1</v>
      </c>
      <c r="IEP142" s="108"/>
      <c r="IEQ142" s="108"/>
      <c r="IER142" s="109"/>
      <c r="IES142" s="107" t="s">
        <v>1</v>
      </c>
      <c r="IET142" s="108"/>
      <c r="IEU142" s="108"/>
      <c r="IEV142" s="109"/>
      <c r="IEW142" s="107" t="s">
        <v>1</v>
      </c>
      <c r="IEX142" s="108"/>
      <c r="IEY142" s="108"/>
      <c r="IEZ142" s="109"/>
      <c r="IFA142" s="107" t="s">
        <v>1</v>
      </c>
      <c r="IFB142" s="108"/>
      <c r="IFC142" s="108"/>
      <c r="IFD142" s="109"/>
      <c r="IFE142" s="107" t="s">
        <v>1</v>
      </c>
      <c r="IFF142" s="108"/>
      <c r="IFG142" s="108"/>
      <c r="IFH142" s="109"/>
      <c r="IFI142" s="107" t="s">
        <v>1</v>
      </c>
      <c r="IFJ142" s="108"/>
      <c r="IFK142" s="108"/>
      <c r="IFL142" s="109"/>
      <c r="IFM142" s="107" t="s">
        <v>1</v>
      </c>
      <c r="IFN142" s="108"/>
      <c r="IFO142" s="108"/>
      <c r="IFP142" s="109"/>
      <c r="IFQ142" s="107" t="s">
        <v>1</v>
      </c>
      <c r="IFR142" s="108"/>
      <c r="IFS142" s="108"/>
      <c r="IFT142" s="109"/>
      <c r="IFU142" s="107" t="s">
        <v>1</v>
      </c>
      <c r="IFV142" s="108"/>
      <c r="IFW142" s="108"/>
      <c r="IFX142" s="109"/>
      <c r="IFY142" s="107" t="s">
        <v>1</v>
      </c>
      <c r="IFZ142" s="108"/>
      <c r="IGA142" s="108"/>
      <c r="IGB142" s="109"/>
      <c r="IGC142" s="107" t="s">
        <v>1</v>
      </c>
      <c r="IGD142" s="108"/>
      <c r="IGE142" s="108"/>
      <c r="IGF142" s="109"/>
      <c r="IGG142" s="107" t="s">
        <v>1</v>
      </c>
      <c r="IGH142" s="108"/>
      <c r="IGI142" s="108"/>
      <c r="IGJ142" s="109"/>
      <c r="IGK142" s="107" t="s">
        <v>1</v>
      </c>
      <c r="IGL142" s="108"/>
      <c r="IGM142" s="108"/>
      <c r="IGN142" s="109"/>
      <c r="IGO142" s="107" t="s">
        <v>1</v>
      </c>
      <c r="IGP142" s="108"/>
      <c r="IGQ142" s="108"/>
      <c r="IGR142" s="109"/>
      <c r="IGS142" s="107" t="s">
        <v>1</v>
      </c>
      <c r="IGT142" s="108"/>
      <c r="IGU142" s="108"/>
      <c r="IGV142" s="109"/>
      <c r="IGW142" s="107" t="s">
        <v>1</v>
      </c>
      <c r="IGX142" s="108"/>
      <c r="IGY142" s="108"/>
      <c r="IGZ142" s="109"/>
      <c r="IHA142" s="107" t="s">
        <v>1</v>
      </c>
      <c r="IHB142" s="108"/>
      <c r="IHC142" s="108"/>
      <c r="IHD142" s="109"/>
      <c r="IHE142" s="107" t="s">
        <v>1</v>
      </c>
      <c r="IHF142" s="108"/>
      <c r="IHG142" s="108"/>
      <c r="IHH142" s="109"/>
      <c r="IHI142" s="107" t="s">
        <v>1</v>
      </c>
      <c r="IHJ142" s="108"/>
      <c r="IHK142" s="108"/>
      <c r="IHL142" s="109"/>
      <c r="IHM142" s="107" t="s">
        <v>1</v>
      </c>
      <c r="IHN142" s="108"/>
      <c r="IHO142" s="108"/>
      <c r="IHP142" s="109"/>
      <c r="IHQ142" s="107" t="s">
        <v>1</v>
      </c>
      <c r="IHR142" s="108"/>
      <c r="IHS142" s="108"/>
      <c r="IHT142" s="109"/>
      <c r="IHU142" s="107" t="s">
        <v>1</v>
      </c>
      <c r="IHV142" s="108"/>
      <c r="IHW142" s="108"/>
      <c r="IHX142" s="109"/>
      <c r="IHY142" s="107" t="s">
        <v>1</v>
      </c>
      <c r="IHZ142" s="108"/>
      <c r="IIA142" s="108"/>
      <c r="IIB142" s="109"/>
      <c r="IIC142" s="107" t="s">
        <v>1</v>
      </c>
      <c r="IID142" s="108"/>
      <c r="IIE142" s="108"/>
      <c r="IIF142" s="109"/>
      <c r="IIG142" s="107" t="s">
        <v>1</v>
      </c>
      <c r="IIH142" s="108"/>
      <c r="III142" s="108"/>
      <c r="IIJ142" s="109"/>
      <c r="IIK142" s="107" t="s">
        <v>1</v>
      </c>
      <c r="IIL142" s="108"/>
      <c r="IIM142" s="108"/>
      <c r="IIN142" s="109"/>
      <c r="IIO142" s="107" t="s">
        <v>1</v>
      </c>
      <c r="IIP142" s="108"/>
      <c r="IIQ142" s="108"/>
      <c r="IIR142" s="109"/>
      <c r="IIS142" s="107" t="s">
        <v>1</v>
      </c>
      <c r="IIT142" s="108"/>
      <c r="IIU142" s="108"/>
      <c r="IIV142" s="109"/>
      <c r="IIW142" s="107" t="s">
        <v>1</v>
      </c>
      <c r="IIX142" s="108"/>
      <c r="IIY142" s="108"/>
      <c r="IIZ142" s="109"/>
      <c r="IJA142" s="107" t="s">
        <v>1</v>
      </c>
      <c r="IJB142" s="108"/>
      <c r="IJC142" s="108"/>
      <c r="IJD142" s="109"/>
      <c r="IJE142" s="107" t="s">
        <v>1</v>
      </c>
      <c r="IJF142" s="108"/>
      <c r="IJG142" s="108"/>
      <c r="IJH142" s="109"/>
      <c r="IJI142" s="107" t="s">
        <v>1</v>
      </c>
      <c r="IJJ142" s="108"/>
      <c r="IJK142" s="108"/>
      <c r="IJL142" s="109"/>
      <c r="IJM142" s="107" t="s">
        <v>1</v>
      </c>
      <c r="IJN142" s="108"/>
      <c r="IJO142" s="108"/>
      <c r="IJP142" s="109"/>
      <c r="IJQ142" s="107" t="s">
        <v>1</v>
      </c>
      <c r="IJR142" s="108"/>
      <c r="IJS142" s="108"/>
      <c r="IJT142" s="109"/>
      <c r="IJU142" s="107" t="s">
        <v>1</v>
      </c>
      <c r="IJV142" s="108"/>
      <c r="IJW142" s="108"/>
      <c r="IJX142" s="109"/>
      <c r="IJY142" s="107" t="s">
        <v>1</v>
      </c>
      <c r="IJZ142" s="108"/>
      <c r="IKA142" s="108"/>
      <c r="IKB142" s="109"/>
      <c r="IKC142" s="107" t="s">
        <v>1</v>
      </c>
      <c r="IKD142" s="108"/>
      <c r="IKE142" s="108"/>
      <c r="IKF142" s="109"/>
      <c r="IKG142" s="107" t="s">
        <v>1</v>
      </c>
      <c r="IKH142" s="108"/>
      <c r="IKI142" s="108"/>
      <c r="IKJ142" s="109"/>
      <c r="IKK142" s="107" t="s">
        <v>1</v>
      </c>
      <c r="IKL142" s="108"/>
      <c r="IKM142" s="108"/>
      <c r="IKN142" s="109"/>
      <c r="IKO142" s="107" t="s">
        <v>1</v>
      </c>
      <c r="IKP142" s="108"/>
      <c r="IKQ142" s="108"/>
      <c r="IKR142" s="109"/>
      <c r="IKS142" s="107" t="s">
        <v>1</v>
      </c>
      <c r="IKT142" s="108"/>
      <c r="IKU142" s="108"/>
      <c r="IKV142" s="109"/>
      <c r="IKW142" s="107" t="s">
        <v>1</v>
      </c>
      <c r="IKX142" s="108"/>
      <c r="IKY142" s="108"/>
      <c r="IKZ142" s="109"/>
      <c r="ILA142" s="107" t="s">
        <v>1</v>
      </c>
      <c r="ILB142" s="108"/>
      <c r="ILC142" s="108"/>
      <c r="ILD142" s="109"/>
      <c r="ILE142" s="107" t="s">
        <v>1</v>
      </c>
      <c r="ILF142" s="108"/>
      <c r="ILG142" s="108"/>
      <c r="ILH142" s="109"/>
      <c r="ILI142" s="107" t="s">
        <v>1</v>
      </c>
      <c r="ILJ142" s="108"/>
      <c r="ILK142" s="108"/>
      <c r="ILL142" s="109"/>
      <c r="ILM142" s="107" t="s">
        <v>1</v>
      </c>
      <c r="ILN142" s="108"/>
      <c r="ILO142" s="108"/>
      <c r="ILP142" s="109"/>
      <c r="ILQ142" s="107" t="s">
        <v>1</v>
      </c>
      <c r="ILR142" s="108"/>
      <c r="ILS142" s="108"/>
      <c r="ILT142" s="109"/>
      <c r="ILU142" s="107" t="s">
        <v>1</v>
      </c>
      <c r="ILV142" s="108"/>
      <c r="ILW142" s="108"/>
      <c r="ILX142" s="109"/>
      <c r="ILY142" s="107" t="s">
        <v>1</v>
      </c>
      <c r="ILZ142" s="108"/>
      <c r="IMA142" s="108"/>
      <c r="IMB142" s="109"/>
      <c r="IMC142" s="107" t="s">
        <v>1</v>
      </c>
      <c r="IMD142" s="108"/>
      <c r="IME142" s="108"/>
      <c r="IMF142" s="109"/>
      <c r="IMG142" s="107" t="s">
        <v>1</v>
      </c>
      <c r="IMH142" s="108"/>
      <c r="IMI142" s="108"/>
      <c r="IMJ142" s="109"/>
      <c r="IMK142" s="107" t="s">
        <v>1</v>
      </c>
      <c r="IML142" s="108"/>
      <c r="IMM142" s="108"/>
      <c r="IMN142" s="109"/>
      <c r="IMO142" s="107" t="s">
        <v>1</v>
      </c>
      <c r="IMP142" s="108"/>
      <c r="IMQ142" s="108"/>
      <c r="IMR142" s="109"/>
      <c r="IMS142" s="107" t="s">
        <v>1</v>
      </c>
      <c r="IMT142" s="108"/>
      <c r="IMU142" s="108"/>
      <c r="IMV142" s="109"/>
      <c r="IMW142" s="107" t="s">
        <v>1</v>
      </c>
      <c r="IMX142" s="108"/>
      <c r="IMY142" s="108"/>
      <c r="IMZ142" s="109"/>
      <c r="INA142" s="107" t="s">
        <v>1</v>
      </c>
      <c r="INB142" s="108"/>
      <c r="INC142" s="108"/>
      <c r="IND142" s="109"/>
      <c r="INE142" s="107" t="s">
        <v>1</v>
      </c>
      <c r="INF142" s="108"/>
      <c r="ING142" s="108"/>
      <c r="INH142" s="109"/>
      <c r="INI142" s="107" t="s">
        <v>1</v>
      </c>
      <c r="INJ142" s="108"/>
      <c r="INK142" s="108"/>
      <c r="INL142" s="109"/>
      <c r="INM142" s="107" t="s">
        <v>1</v>
      </c>
      <c r="INN142" s="108"/>
      <c r="INO142" s="108"/>
      <c r="INP142" s="109"/>
      <c r="INQ142" s="107" t="s">
        <v>1</v>
      </c>
      <c r="INR142" s="108"/>
      <c r="INS142" s="108"/>
      <c r="INT142" s="109"/>
      <c r="INU142" s="107" t="s">
        <v>1</v>
      </c>
      <c r="INV142" s="108"/>
      <c r="INW142" s="108"/>
      <c r="INX142" s="109"/>
      <c r="INY142" s="107" t="s">
        <v>1</v>
      </c>
      <c r="INZ142" s="108"/>
      <c r="IOA142" s="108"/>
      <c r="IOB142" s="109"/>
      <c r="IOC142" s="107" t="s">
        <v>1</v>
      </c>
      <c r="IOD142" s="108"/>
      <c r="IOE142" s="108"/>
      <c r="IOF142" s="109"/>
      <c r="IOG142" s="107" t="s">
        <v>1</v>
      </c>
      <c r="IOH142" s="108"/>
      <c r="IOI142" s="108"/>
      <c r="IOJ142" s="109"/>
      <c r="IOK142" s="107" t="s">
        <v>1</v>
      </c>
      <c r="IOL142" s="108"/>
      <c r="IOM142" s="108"/>
      <c r="ION142" s="109"/>
      <c r="IOO142" s="107" t="s">
        <v>1</v>
      </c>
      <c r="IOP142" s="108"/>
      <c r="IOQ142" s="108"/>
      <c r="IOR142" s="109"/>
      <c r="IOS142" s="107" t="s">
        <v>1</v>
      </c>
      <c r="IOT142" s="108"/>
      <c r="IOU142" s="108"/>
      <c r="IOV142" s="109"/>
      <c r="IOW142" s="107" t="s">
        <v>1</v>
      </c>
      <c r="IOX142" s="108"/>
      <c r="IOY142" s="108"/>
      <c r="IOZ142" s="109"/>
      <c r="IPA142" s="107" t="s">
        <v>1</v>
      </c>
      <c r="IPB142" s="108"/>
      <c r="IPC142" s="108"/>
      <c r="IPD142" s="109"/>
      <c r="IPE142" s="107" t="s">
        <v>1</v>
      </c>
      <c r="IPF142" s="108"/>
      <c r="IPG142" s="108"/>
      <c r="IPH142" s="109"/>
      <c r="IPI142" s="107" t="s">
        <v>1</v>
      </c>
      <c r="IPJ142" s="108"/>
      <c r="IPK142" s="108"/>
      <c r="IPL142" s="109"/>
      <c r="IPM142" s="107" t="s">
        <v>1</v>
      </c>
      <c r="IPN142" s="108"/>
      <c r="IPO142" s="108"/>
      <c r="IPP142" s="109"/>
      <c r="IPQ142" s="107" t="s">
        <v>1</v>
      </c>
      <c r="IPR142" s="108"/>
      <c r="IPS142" s="108"/>
      <c r="IPT142" s="109"/>
      <c r="IPU142" s="107" t="s">
        <v>1</v>
      </c>
      <c r="IPV142" s="108"/>
      <c r="IPW142" s="108"/>
      <c r="IPX142" s="109"/>
      <c r="IPY142" s="107" t="s">
        <v>1</v>
      </c>
      <c r="IPZ142" s="108"/>
      <c r="IQA142" s="108"/>
      <c r="IQB142" s="109"/>
      <c r="IQC142" s="107" t="s">
        <v>1</v>
      </c>
      <c r="IQD142" s="108"/>
      <c r="IQE142" s="108"/>
      <c r="IQF142" s="109"/>
      <c r="IQG142" s="107" t="s">
        <v>1</v>
      </c>
      <c r="IQH142" s="108"/>
      <c r="IQI142" s="108"/>
      <c r="IQJ142" s="109"/>
      <c r="IQK142" s="107" t="s">
        <v>1</v>
      </c>
      <c r="IQL142" s="108"/>
      <c r="IQM142" s="108"/>
      <c r="IQN142" s="109"/>
      <c r="IQO142" s="107" t="s">
        <v>1</v>
      </c>
      <c r="IQP142" s="108"/>
      <c r="IQQ142" s="108"/>
      <c r="IQR142" s="109"/>
      <c r="IQS142" s="107" t="s">
        <v>1</v>
      </c>
      <c r="IQT142" s="108"/>
      <c r="IQU142" s="108"/>
      <c r="IQV142" s="109"/>
      <c r="IQW142" s="107" t="s">
        <v>1</v>
      </c>
      <c r="IQX142" s="108"/>
      <c r="IQY142" s="108"/>
      <c r="IQZ142" s="109"/>
      <c r="IRA142" s="107" t="s">
        <v>1</v>
      </c>
      <c r="IRB142" s="108"/>
      <c r="IRC142" s="108"/>
      <c r="IRD142" s="109"/>
      <c r="IRE142" s="107" t="s">
        <v>1</v>
      </c>
      <c r="IRF142" s="108"/>
      <c r="IRG142" s="108"/>
      <c r="IRH142" s="109"/>
      <c r="IRI142" s="107" t="s">
        <v>1</v>
      </c>
      <c r="IRJ142" s="108"/>
      <c r="IRK142" s="108"/>
      <c r="IRL142" s="109"/>
      <c r="IRM142" s="107" t="s">
        <v>1</v>
      </c>
      <c r="IRN142" s="108"/>
      <c r="IRO142" s="108"/>
      <c r="IRP142" s="109"/>
      <c r="IRQ142" s="107" t="s">
        <v>1</v>
      </c>
      <c r="IRR142" s="108"/>
      <c r="IRS142" s="108"/>
      <c r="IRT142" s="109"/>
      <c r="IRU142" s="107" t="s">
        <v>1</v>
      </c>
      <c r="IRV142" s="108"/>
      <c r="IRW142" s="108"/>
      <c r="IRX142" s="109"/>
      <c r="IRY142" s="107" t="s">
        <v>1</v>
      </c>
      <c r="IRZ142" s="108"/>
      <c r="ISA142" s="108"/>
      <c r="ISB142" s="109"/>
      <c r="ISC142" s="107" t="s">
        <v>1</v>
      </c>
      <c r="ISD142" s="108"/>
      <c r="ISE142" s="108"/>
      <c r="ISF142" s="109"/>
      <c r="ISG142" s="107" t="s">
        <v>1</v>
      </c>
      <c r="ISH142" s="108"/>
      <c r="ISI142" s="108"/>
      <c r="ISJ142" s="109"/>
      <c r="ISK142" s="107" t="s">
        <v>1</v>
      </c>
      <c r="ISL142" s="108"/>
      <c r="ISM142" s="108"/>
      <c r="ISN142" s="109"/>
      <c r="ISO142" s="107" t="s">
        <v>1</v>
      </c>
      <c r="ISP142" s="108"/>
      <c r="ISQ142" s="108"/>
      <c r="ISR142" s="109"/>
      <c r="ISS142" s="107" t="s">
        <v>1</v>
      </c>
      <c r="IST142" s="108"/>
      <c r="ISU142" s="108"/>
      <c r="ISV142" s="109"/>
      <c r="ISW142" s="107" t="s">
        <v>1</v>
      </c>
      <c r="ISX142" s="108"/>
      <c r="ISY142" s="108"/>
      <c r="ISZ142" s="109"/>
      <c r="ITA142" s="107" t="s">
        <v>1</v>
      </c>
      <c r="ITB142" s="108"/>
      <c r="ITC142" s="108"/>
      <c r="ITD142" s="109"/>
      <c r="ITE142" s="107" t="s">
        <v>1</v>
      </c>
      <c r="ITF142" s="108"/>
      <c r="ITG142" s="108"/>
      <c r="ITH142" s="109"/>
      <c r="ITI142" s="107" t="s">
        <v>1</v>
      </c>
      <c r="ITJ142" s="108"/>
      <c r="ITK142" s="108"/>
      <c r="ITL142" s="109"/>
      <c r="ITM142" s="107" t="s">
        <v>1</v>
      </c>
      <c r="ITN142" s="108"/>
      <c r="ITO142" s="108"/>
      <c r="ITP142" s="109"/>
      <c r="ITQ142" s="107" t="s">
        <v>1</v>
      </c>
      <c r="ITR142" s="108"/>
      <c r="ITS142" s="108"/>
      <c r="ITT142" s="109"/>
      <c r="ITU142" s="107" t="s">
        <v>1</v>
      </c>
      <c r="ITV142" s="108"/>
      <c r="ITW142" s="108"/>
      <c r="ITX142" s="109"/>
      <c r="ITY142" s="107" t="s">
        <v>1</v>
      </c>
      <c r="ITZ142" s="108"/>
      <c r="IUA142" s="108"/>
      <c r="IUB142" s="109"/>
      <c r="IUC142" s="107" t="s">
        <v>1</v>
      </c>
      <c r="IUD142" s="108"/>
      <c r="IUE142" s="108"/>
      <c r="IUF142" s="109"/>
      <c r="IUG142" s="107" t="s">
        <v>1</v>
      </c>
      <c r="IUH142" s="108"/>
      <c r="IUI142" s="108"/>
      <c r="IUJ142" s="109"/>
      <c r="IUK142" s="107" t="s">
        <v>1</v>
      </c>
      <c r="IUL142" s="108"/>
      <c r="IUM142" s="108"/>
      <c r="IUN142" s="109"/>
      <c r="IUO142" s="107" t="s">
        <v>1</v>
      </c>
      <c r="IUP142" s="108"/>
      <c r="IUQ142" s="108"/>
      <c r="IUR142" s="109"/>
      <c r="IUS142" s="107" t="s">
        <v>1</v>
      </c>
      <c r="IUT142" s="108"/>
      <c r="IUU142" s="108"/>
      <c r="IUV142" s="109"/>
      <c r="IUW142" s="107" t="s">
        <v>1</v>
      </c>
      <c r="IUX142" s="108"/>
      <c r="IUY142" s="108"/>
      <c r="IUZ142" s="109"/>
      <c r="IVA142" s="107" t="s">
        <v>1</v>
      </c>
      <c r="IVB142" s="108"/>
      <c r="IVC142" s="108"/>
      <c r="IVD142" s="109"/>
      <c r="IVE142" s="107" t="s">
        <v>1</v>
      </c>
      <c r="IVF142" s="108"/>
      <c r="IVG142" s="108"/>
      <c r="IVH142" s="109"/>
      <c r="IVI142" s="107" t="s">
        <v>1</v>
      </c>
      <c r="IVJ142" s="108"/>
      <c r="IVK142" s="108"/>
      <c r="IVL142" s="109"/>
      <c r="IVM142" s="107" t="s">
        <v>1</v>
      </c>
      <c r="IVN142" s="108"/>
      <c r="IVO142" s="108"/>
      <c r="IVP142" s="109"/>
      <c r="IVQ142" s="107" t="s">
        <v>1</v>
      </c>
      <c r="IVR142" s="108"/>
      <c r="IVS142" s="108"/>
      <c r="IVT142" s="109"/>
      <c r="IVU142" s="107" t="s">
        <v>1</v>
      </c>
      <c r="IVV142" s="108"/>
      <c r="IVW142" s="108"/>
      <c r="IVX142" s="109"/>
      <c r="IVY142" s="107" t="s">
        <v>1</v>
      </c>
      <c r="IVZ142" s="108"/>
      <c r="IWA142" s="108"/>
      <c r="IWB142" s="109"/>
      <c r="IWC142" s="107" t="s">
        <v>1</v>
      </c>
      <c r="IWD142" s="108"/>
      <c r="IWE142" s="108"/>
      <c r="IWF142" s="109"/>
      <c r="IWG142" s="107" t="s">
        <v>1</v>
      </c>
      <c r="IWH142" s="108"/>
      <c r="IWI142" s="108"/>
      <c r="IWJ142" s="109"/>
      <c r="IWK142" s="107" t="s">
        <v>1</v>
      </c>
      <c r="IWL142" s="108"/>
      <c r="IWM142" s="108"/>
      <c r="IWN142" s="109"/>
      <c r="IWO142" s="107" t="s">
        <v>1</v>
      </c>
      <c r="IWP142" s="108"/>
      <c r="IWQ142" s="108"/>
      <c r="IWR142" s="109"/>
      <c r="IWS142" s="107" t="s">
        <v>1</v>
      </c>
      <c r="IWT142" s="108"/>
      <c r="IWU142" s="108"/>
      <c r="IWV142" s="109"/>
      <c r="IWW142" s="107" t="s">
        <v>1</v>
      </c>
      <c r="IWX142" s="108"/>
      <c r="IWY142" s="108"/>
      <c r="IWZ142" s="109"/>
      <c r="IXA142" s="107" t="s">
        <v>1</v>
      </c>
      <c r="IXB142" s="108"/>
      <c r="IXC142" s="108"/>
      <c r="IXD142" s="109"/>
      <c r="IXE142" s="107" t="s">
        <v>1</v>
      </c>
      <c r="IXF142" s="108"/>
      <c r="IXG142" s="108"/>
      <c r="IXH142" s="109"/>
      <c r="IXI142" s="107" t="s">
        <v>1</v>
      </c>
      <c r="IXJ142" s="108"/>
      <c r="IXK142" s="108"/>
      <c r="IXL142" s="109"/>
      <c r="IXM142" s="107" t="s">
        <v>1</v>
      </c>
      <c r="IXN142" s="108"/>
      <c r="IXO142" s="108"/>
      <c r="IXP142" s="109"/>
      <c r="IXQ142" s="107" t="s">
        <v>1</v>
      </c>
      <c r="IXR142" s="108"/>
      <c r="IXS142" s="108"/>
      <c r="IXT142" s="109"/>
      <c r="IXU142" s="107" t="s">
        <v>1</v>
      </c>
      <c r="IXV142" s="108"/>
      <c r="IXW142" s="108"/>
      <c r="IXX142" s="109"/>
      <c r="IXY142" s="107" t="s">
        <v>1</v>
      </c>
      <c r="IXZ142" s="108"/>
      <c r="IYA142" s="108"/>
      <c r="IYB142" s="109"/>
      <c r="IYC142" s="107" t="s">
        <v>1</v>
      </c>
      <c r="IYD142" s="108"/>
      <c r="IYE142" s="108"/>
      <c r="IYF142" s="109"/>
      <c r="IYG142" s="107" t="s">
        <v>1</v>
      </c>
      <c r="IYH142" s="108"/>
      <c r="IYI142" s="108"/>
      <c r="IYJ142" s="109"/>
      <c r="IYK142" s="107" t="s">
        <v>1</v>
      </c>
      <c r="IYL142" s="108"/>
      <c r="IYM142" s="108"/>
      <c r="IYN142" s="109"/>
      <c r="IYO142" s="107" t="s">
        <v>1</v>
      </c>
      <c r="IYP142" s="108"/>
      <c r="IYQ142" s="108"/>
      <c r="IYR142" s="109"/>
      <c r="IYS142" s="107" t="s">
        <v>1</v>
      </c>
      <c r="IYT142" s="108"/>
      <c r="IYU142" s="108"/>
      <c r="IYV142" s="109"/>
      <c r="IYW142" s="107" t="s">
        <v>1</v>
      </c>
      <c r="IYX142" s="108"/>
      <c r="IYY142" s="108"/>
      <c r="IYZ142" s="109"/>
      <c r="IZA142" s="107" t="s">
        <v>1</v>
      </c>
      <c r="IZB142" s="108"/>
      <c r="IZC142" s="108"/>
      <c r="IZD142" s="109"/>
      <c r="IZE142" s="107" t="s">
        <v>1</v>
      </c>
      <c r="IZF142" s="108"/>
      <c r="IZG142" s="108"/>
      <c r="IZH142" s="109"/>
      <c r="IZI142" s="107" t="s">
        <v>1</v>
      </c>
      <c r="IZJ142" s="108"/>
      <c r="IZK142" s="108"/>
      <c r="IZL142" s="109"/>
      <c r="IZM142" s="107" t="s">
        <v>1</v>
      </c>
      <c r="IZN142" s="108"/>
      <c r="IZO142" s="108"/>
      <c r="IZP142" s="109"/>
      <c r="IZQ142" s="107" t="s">
        <v>1</v>
      </c>
      <c r="IZR142" s="108"/>
      <c r="IZS142" s="108"/>
      <c r="IZT142" s="109"/>
      <c r="IZU142" s="107" t="s">
        <v>1</v>
      </c>
      <c r="IZV142" s="108"/>
      <c r="IZW142" s="108"/>
      <c r="IZX142" s="109"/>
      <c r="IZY142" s="107" t="s">
        <v>1</v>
      </c>
      <c r="IZZ142" s="108"/>
      <c r="JAA142" s="108"/>
      <c r="JAB142" s="109"/>
      <c r="JAC142" s="107" t="s">
        <v>1</v>
      </c>
      <c r="JAD142" s="108"/>
      <c r="JAE142" s="108"/>
      <c r="JAF142" s="109"/>
      <c r="JAG142" s="107" t="s">
        <v>1</v>
      </c>
      <c r="JAH142" s="108"/>
      <c r="JAI142" s="108"/>
      <c r="JAJ142" s="109"/>
      <c r="JAK142" s="107" t="s">
        <v>1</v>
      </c>
      <c r="JAL142" s="108"/>
      <c r="JAM142" s="108"/>
      <c r="JAN142" s="109"/>
      <c r="JAO142" s="107" t="s">
        <v>1</v>
      </c>
      <c r="JAP142" s="108"/>
      <c r="JAQ142" s="108"/>
      <c r="JAR142" s="109"/>
      <c r="JAS142" s="107" t="s">
        <v>1</v>
      </c>
      <c r="JAT142" s="108"/>
      <c r="JAU142" s="108"/>
      <c r="JAV142" s="109"/>
      <c r="JAW142" s="107" t="s">
        <v>1</v>
      </c>
      <c r="JAX142" s="108"/>
      <c r="JAY142" s="108"/>
      <c r="JAZ142" s="109"/>
      <c r="JBA142" s="107" t="s">
        <v>1</v>
      </c>
      <c r="JBB142" s="108"/>
      <c r="JBC142" s="108"/>
      <c r="JBD142" s="109"/>
      <c r="JBE142" s="107" t="s">
        <v>1</v>
      </c>
      <c r="JBF142" s="108"/>
      <c r="JBG142" s="108"/>
      <c r="JBH142" s="109"/>
      <c r="JBI142" s="107" t="s">
        <v>1</v>
      </c>
      <c r="JBJ142" s="108"/>
      <c r="JBK142" s="108"/>
      <c r="JBL142" s="109"/>
      <c r="JBM142" s="107" t="s">
        <v>1</v>
      </c>
      <c r="JBN142" s="108"/>
      <c r="JBO142" s="108"/>
      <c r="JBP142" s="109"/>
      <c r="JBQ142" s="107" t="s">
        <v>1</v>
      </c>
      <c r="JBR142" s="108"/>
      <c r="JBS142" s="108"/>
      <c r="JBT142" s="109"/>
      <c r="JBU142" s="107" t="s">
        <v>1</v>
      </c>
      <c r="JBV142" s="108"/>
      <c r="JBW142" s="108"/>
      <c r="JBX142" s="109"/>
      <c r="JBY142" s="107" t="s">
        <v>1</v>
      </c>
      <c r="JBZ142" s="108"/>
      <c r="JCA142" s="108"/>
      <c r="JCB142" s="109"/>
      <c r="JCC142" s="107" t="s">
        <v>1</v>
      </c>
      <c r="JCD142" s="108"/>
      <c r="JCE142" s="108"/>
      <c r="JCF142" s="109"/>
      <c r="JCG142" s="107" t="s">
        <v>1</v>
      </c>
      <c r="JCH142" s="108"/>
      <c r="JCI142" s="108"/>
      <c r="JCJ142" s="109"/>
      <c r="JCK142" s="107" t="s">
        <v>1</v>
      </c>
      <c r="JCL142" s="108"/>
      <c r="JCM142" s="108"/>
      <c r="JCN142" s="109"/>
      <c r="JCO142" s="107" t="s">
        <v>1</v>
      </c>
      <c r="JCP142" s="108"/>
      <c r="JCQ142" s="108"/>
      <c r="JCR142" s="109"/>
      <c r="JCS142" s="107" t="s">
        <v>1</v>
      </c>
      <c r="JCT142" s="108"/>
      <c r="JCU142" s="108"/>
      <c r="JCV142" s="109"/>
      <c r="JCW142" s="107" t="s">
        <v>1</v>
      </c>
      <c r="JCX142" s="108"/>
      <c r="JCY142" s="108"/>
      <c r="JCZ142" s="109"/>
      <c r="JDA142" s="107" t="s">
        <v>1</v>
      </c>
      <c r="JDB142" s="108"/>
      <c r="JDC142" s="108"/>
      <c r="JDD142" s="109"/>
      <c r="JDE142" s="107" t="s">
        <v>1</v>
      </c>
      <c r="JDF142" s="108"/>
      <c r="JDG142" s="108"/>
      <c r="JDH142" s="109"/>
      <c r="JDI142" s="107" t="s">
        <v>1</v>
      </c>
      <c r="JDJ142" s="108"/>
      <c r="JDK142" s="108"/>
      <c r="JDL142" s="109"/>
      <c r="JDM142" s="107" t="s">
        <v>1</v>
      </c>
      <c r="JDN142" s="108"/>
      <c r="JDO142" s="108"/>
      <c r="JDP142" s="109"/>
      <c r="JDQ142" s="107" t="s">
        <v>1</v>
      </c>
      <c r="JDR142" s="108"/>
      <c r="JDS142" s="108"/>
      <c r="JDT142" s="109"/>
      <c r="JDU142" s="107" t="s">
        <v>1</v>
      </c>
      <c r="JDV142" s="108"/>
      <c r="JDW142" s="108"/>
      <c r="JDX142" s="109"/>
      <c r="JDY142" s="107" t="s">
        <v>1</v>
      </c>
      <c r="JDZ142" s="108"/>
      <c r="JEA142" s="108"/>
      <c r="JEB142" s="109"/>
      <c r="JEC142" s="107" t="s">
        <v>1</v>
      </c>
      <c r="JED142" s="108"/>
      <c r="JEE142" s="108"/>
      <c r="JEF142" s="109"/>
      <c r="JEG142" s="107" t="s">
        <v>1</v>
      </c>
      <c r="JEH142" s="108"/>
      <c r="JEI142" s="108"/>
      <c r="JEJ142" s="109"/>
      <c r="JEK142" s="107" t="s">
        <v>1</v>
      </c>
      <c r="JEL142" s="108"/>
      <c r="JEM142" s="108"/>
      <c r="JEN142" s="109"/>
      <c r="JEO142" s="107" t="s">
        <v>1</v>
      </c>
      <c r="JEP142" s="108"/>
      <c r="JEQ142" s="108"/>
      <c r="JER142" s="109"/>
      <c r="JES142" s="107" t="s">
        <v>1</v>
      </c>
      <c r="JET142" s="108"/>
      <c r="JEU142" s="108"/>
      <c r="JEV142" s="109"/>
      <c r="JEW142" s="107" t="s">
        <v>1</v>
      </c>
      <c r="JEX142" s="108"/>
      <c r="JEY142" s="108"/>
      <c r="JEZ142" s="109"/>
      <c r="JFA142" s="107" t="s">
        <v>1</v>
      </c>
      <c r="JFB142" s="108"/>
      <c r="JFC142" s="108"/>
      <c r="JFD142" s="109"/>
      <c r="JFE142" s="107" t="s">
        <v>1</v>
      </c>
      <c r="JFF142" s="108"/>
      <c r="JFG142" s="108"/>
      <c r="JFH142" s="109"/>
      <c r="JFI142" s="107" t="s">
        <v>1</v>
      </c>
      <c r="JFJ142" s="108"/>
      <c r="JFK142" s="108"/>
      <c r="JFL142" s="109"/>
      <c r="JFM142" s="107" t="s">
        <v>1</v>
      </c>
      <c r="JFN142" s="108"/>
      <c r="JFO142" s="108"/>
      <c r="JFP142" s="109"/>
      <c r="JFQ142" s="107" t="s">
        <v>1</v>
      </c>
      <c r="JFR142" s="108"/>
      <c r="JFS142" s="108"/>
      <c r="JFT142" s="109"/>
      <c r="JFU142" s="107" t="s">
        <v>1</v>
      </c>
      <c r="JFV142" s="108"/>
      <c r="JFW142" s="108"/>
      <c r="JFX142" s="109"/>
      <c r="JFY142" s="107" t="s">
        <v>1</v>
      </c>
      <c r="JFZ142" s="108"/>
      <c r="JGA142" s="108"/>
      <c r="JGB142" s="109"/>
      <c r="JGC142" s="107" t="s">
        <v>1</v>
      </c>
      <c r="JGD142" s="108"/>
      <c r="JGE142" s="108"/>
      <c r="JGF142" s="109"/>
      <c r="JGG142" s="107" t="s">
        <v>1</v>
      </c>
      <c r="JGH142" s="108"/>
      <c r="JGI142" s="108"/>
      <c r="JGJ142" s="109"/>
      <c r="JGK142" s="107" t="s">
        <v>1</v>
      </c>
      <c r="JGL142" s="108"/>
      <c r="JGM142" s="108"/>
      <c r="JGN142" s="109"/>
      <c r="JGO142" s="107" t="s">
        <v>1</v>
      </c>
      <c r="JGP142" s="108"/>
      <c r="JGQ142" s="108"/>
      <c r="JGR142" s="109"/>
      <c r="JGS142" s="107" t="s">
        <v>1</v>
      </c>
      <c r="JGT142" s="108"/>
      <c r="JGU142" s="108"/>
      <c r="JGV142" s="109"/>
      <c r="JGW142" s="107" t="s">
        <v>1</v>
      </c>
      <c r="JGX142" s="108"/>
      <c r="JGY142" s="108"/>
      <c r="JGZ142" s="109"/>
      <c r="JHA142" s="107" t="s">
        <v>1</v>
      </c>
      <c r="JHB142" s="108"/>
      <c r="JHC142" s="108"/>
      <c r="JHD142" s="109"/>
      <c r="JHE142" s="107" t="s">
        <v>1</v>
      </c>
      <c r="JHF142" s="108"/>
      <c r="JHG142" s="108"/>
      <c r="JHH142" s="109"/>
      <c r="JHI142" s="107" t="s">
        <v>1</v>
      </c>
      <c r="JHJ142" s="108"/>
      <c r="JHK142" s="108"/>
      <c r="JHL142" s="109"/>
      <c r="JHM142" s="107" t="s">
        <v>1</v>
      </c>
      <c r="JHN142" s="108"/>
      <c r="JHO142" s="108"/>
      <c r="JHP142" s="109"/>
      <c r="JHQ142" s="107" t="s">
        <v>1</v>
      </c>
      <c r="JHR142" s="108"/>
      <c r="JHS142" s="108"/>
      <c r="JHT142" s="109"/>
      <c r="JHU142" s="107" t="s">
        <v>1</v>
      </c>
      <c r="JHV142" s="108"/>
      <c r="JHW142" s="108"/>
      <c r="JHX142" s="109"/>
      <c r="JHY142" s="107" t="s">
        <v>1</v>
      </c>
      <c r="JHZ142" s="108"/>
      <c r="JIA142" s="108"/>
      <c r="JIB142" s="109"/>
      <c r="JIC142" s="107" t="s">
        <v>1</v>
      </c>
      <c r="JID142" s="108"/>
      <c r="JIE142" s="108"/>
      <c r="JIF142" s="109"/>
      <c r="JIG142" s="107" t="s">
        <v>1</v>
      </c>
      <c r="JIH142" s="108"/>
      <c r="JII142" s="108"/>
      <c r="JIJ142" s="109"/>
      <c r="JIK142" s="107" t="s">
        <v>1</v>
      </c>
      <c r="JIL142" s="108"/>
      <c r="JIM142" s="108"/>
      <c r="JIN142" s="109"/>
      <c r="JIO142" s="107" t="s">
        <v>1</v>
      </c>
      <c r="JIP142" s="108"/>
      <c r="JIQ142" s="108"/>
      <c r="JIR142" s="109"/>
      <c r="JIS142" s="107" t="s">
        <v>1</v>
      </c>
      <c r="JIT142" s="108"/>
      <c r="JIU142" s="108"/>
      <c r="JIV142" s="109"/>
      <c r="JIW142" s="107" t="s">
        <v>1</v>
      </c>
      <c r="JIX142" s="108"/>
      <c r="JIY142" s="108"/>
      <c r="JIZ142" s="109"/>
      <c r="JJA142" s="107" t="s">
        <v>1</v>
      </c>
      <c r="JJB142" s="108"/>
      <c r="JJC142" s="108"/>
      <c r="JJD142" s="109"/>
      <c r="JJE142" s="107" t="s">
        <v>1</v>
      </c>
      <c r="JJF142" s="108"/>
      <c r="JJG142" s="108"/>
      <c r="JJH142" s="109"/>
      <c r="JJI142" s="107" t="s">
        <v>1</v>
      </c>
      <c r="JJJ142" s="108"/>
      <c r="JJK142" s="108"/>
      <c r="JJL142" s="109"/>
      <c r="JJM142" s="107" t="s">
        <v>1</v>
      </c>
      <c r="JJN142" s="108"/>
      <c r="JJO142" s="108"/>
      <c r="JJP142" s="109"/>
      <c r="JJQ142" s="107" t="s">
        <v>1</v>
      </c>
      <c r="JJR142" s="108"/>
      <c r="JJS142" s="108"/>
      <c r="JJT142" s="109"/>
      <c r="JJU142" s="107" t="s">
        <v>1</v>
      </c>
      <c r="JJV142" s="108"/>
      <c r="JJW142" s="108"/>
      <c r="JJX142" s="109"/>
      <c r="JJY142" s="107" t="s">
        <v>1</v>
      </c>
      <c r="JJZ142" s="108"/>
      <c r="JKA142" s="108"/>
      <c r="JKB142" s="109"/>
      <c r="JKC142" s="107" t="s">
        <v>1</v>
      </c>
      <c r="JKD142" s="108"/>
      <c r="JKE142" s="108"/>
      <c r="JKF142" s="109"/>
      <c r="JKG142" s="107" t="s">
        <v>1</v>
      </c>
      <c r="JKH142" s="108"/>
      <c r="JKI142" s="108"/>
      <c r="JKJ142" s="109"/>
      <c r="JKK142" s="107" t="s">
        <v>1</v>
      </c>
      <c r="JKL142" s="108"/>
      <c r="JKM142" s="108"/>
      <c r="JKN142" s="109"/>
      <c r="JKO142" s="107" t="s">
        <v>1</v>
      </c>
      <c r="JKP142" s="108"/>
      <c r="JKQ142" s="108"/>
      <c r="JKR142" s="109"/>
      <c r="JKS142" s="107" t="s">
        <v>1</v>
      </c>
      <c r="JKT142" s="108"/>
      <c r="JKU142" s="108"/>
      <c r="JKV142" s="109"/>
      <c r="JKW142" s="107" t="s">
        <v>1</v>
      </c>
      <c r="JKX142" s="108"/>
      <c r="JKY142" s="108"/>
      <c r="JKZ142" s="109"/>
      <c r="JLA142" s="107" t="s">
        <v>1</v>
      </c>
      <c r="JLB142" s="108"/>
      <c r="JLC142" s="108"/>
      <c r="JLD142" s="109"/>
      <c r="JLE142" s="107" t="s">
        <v>1</v>
      </c>
      <c r="JLF142" s="108"/>
      <c r="JLG142" s="108"/>
      <c r="JLH142" s="109"/>
      <c r="JLI142" s="107" t="s">
        <v>1</v>
      </c>
      <c r="JLJ142" s="108"/>
      <c r="JLK142" s="108"/>
      <c r="JLL142" s="109"/>
      <c r="JLM142" s="107" t="s">
        <v>1</v>
      </c>
      <c r="JLN142" s="108"/>
      <c r="JLO142" s="108"/>
      <c r="JLP142" s="109"/>
      <c r="JLQ142" s="107" t="s">
        <v>1</v>
      </c>
      <c r="JLR142" s="108"/>
      <c r="JLS142" s="108"/>
      <c r="JLT142" s="109"/>
      <c r="JLU142" s="107" t="s">
        <v>1</v>
      </c>
      <c r="JLV142" s="108"/>
      <c r="JLW142" s="108"/>
      <c r="JLX142" s="109"/>
      <c r="JLY142" s="107" t="s">
        <v>1</v>
      </c>
      <c r="JLZ142" s="108"/>
      <c r="JMA142" s="108"/>
      <c r="JMB142" s="109"/>
      <c r="JMC142" s="107" t="s">
        <v>1</v>
      </c>
      <c r="JMD142" s="108"/>
      <c r="JME142" s="108"/>
      <c r="JMF142" s="109"/>
      <c r="JMG142" s="107" t="s">
        <v>1</v>
      </c>
      <c r="JMH142" s="108"/>
      <c r="JMI142" s="108"/>
      <c r="JMJ142" s="109"/>
      <c r="JMK142" s="107" t="s">
        <v>1</v>
      </c>
      <c r="JML142" s="108"/>
      <c r="JMM142" s="108"/>
      <c r="JMN142" s="109"/>
      <c r="JMO142" s="107" t="s">
        <v>1</v>
      </c>
      <c r="JMP142" s="108"/>
      <c r="JMQ142" s="108"/>
      <c r="JMR142" s="109"/>
      <c r="JMS142" s="107" t="s">
        <v>1</v>
      </c>
      <c r="JMT142" s="108"/>
      <c r="JMU142" s="108"/>
      <c r="JMV142" s="109"/>
      <c r="JMW142" s="107" t="s">
        <v>1</v>
      </c>
      <c r="JMX142" s="108"/>
      <c r="JMY142" s="108"/>
      <c r="JMZ142" s="109"/>
      <c r="JNA142" s="107" t="s">
        <v>1</v>
      </c>
      <c r="JNB142" s="108"/>
      <c r="JNC142" s="108"/>
      <c r="JND142" s="109"/>
      <c r="JNE142" s="107" t="s">
        <v>1</v>
      </c>
      <c r="JNF142" s="108"/>
      <c r="JNG142" s="108"/>
      <c r="JNH142" s="109"/>
      <c r="JNI142" s="107" t="s">
        <v>1</v>
      </c>
      <c r="JNJ142" s="108"/>
      <c r="JNK142" s="108"/>
      <c r="JNL142" s="109"/>
      <c r="JNM142" s="107" t="s">
        <v>1</v>
      </c>
      <c r="JNN142" s="108"/>
      <c r="JNO142" s="108"/>
      <c r="JNP142" s="109"/>
      <c r="JNQ142" s="107" t="s">
        <v>1</v>
      </c>
      <c r="JNR142" s="108"/>
      <c r="JNS142" s="108"/>
      <c r="JNT142" s="109"/>
      <c r="JNU142" s="107" t="s">
        <v>1</v>
      </c>
      <c r="JNV142" s="108"/>
      <c r="JNW142" s="108"/>
      <c r="JNX142" s="109"/>
      <c r="JNY142" s="107" t="s">
        <v>1</v>
      </c>
      <c r="JNZ142" s="108"/>
      <c r="JOA142" s="108"/>
      <c r="JOB142" s="109"/>
      <c r="JOC142" s="107" t="s">
        <v>1</v>
      </c>
      <c r="JOD142" s="108"/>
      <c r="JOE142" s="108"/>
      <c r="JOF142" s="109"/>
      <c r="JOG142" s="107" t="s">
        <v>1</v>
      </c>
      <c r="JOH142" s="108"/>
      <c r="JOI142" s="108"/>
      <c r="JOJ142" s="109"/>
      <c r="JOK142" s="107" t="s">
        <v>1</v>
      </c>
      <c r="JOL142" s="108"/>
      <c r="JOM142" s="108"/>
      <c r="JON142" s="109"/>
      <c r="JOO142" s="107" t="s">
        <v>1</v>
      </c>
      <c r="JOP142" s="108"/>
      <c r="JOQ142" s="108"/>
      <c r="JOR142" s="109"/>
      <c r="JOS142" s="107" t="s">
        <v>1</v>
      </c>
      <c r="JOT142" s="108"/>
      <c r="JOU142" s="108"/>
      <c r="JOV142" s="109"/>
      <c r="JOW142" s="107" t="s">
        <v>1</v>
      </c>
      <c r="JOX142" s="108"/>
      <c r="JOY142" s="108"/>
      <c r="JOZ142" s="109"/>
      <c r="JPA142" s="107" t="s">
        <v>1</v>
      </c>
      <c r="JPB142" s="108"/>
      <c r="JPC142" s="108"/>
      <c r="JPD142" s="109"/>
      <c r="JPE142" s="107" t="s">
        <v>1</v>
      </c>
      <c r="JPF142" s="108"/>
      <c r="JPG142" s="108"/>
      <c r="JPH142" s="109"/>
      <c r="JPI142" s="107" t="s">
        <v>1</v>
      </c>
      <c r="JPJ142" s="108"/>
      <c r="JPK142" s="108"/>
      <c r="JPL142" s="109"/>
      <c r="JPM142" s="107" t="s">
        <v>1</v>
      </c>
      <c r="JPN142" s="108"/>
      <c r="JPO142" s="108"/>
      <c r="JPP142" s="109"/>
      <c r="JPQ142" s="107" t="s">
        <v>1</v>
      </c>
      <c r="JPR142" s="108"/>
      <c r="JPS142" s="108"/>
      <c r="JPT142" s="109"/>
      <c r="JPU142" s="107" t="s">
        <v>1</v>
      </c>
      <c r="JPV142" s="108"/>
      <c r="JPW142" s="108"/>
      <c r="JPX142" s="109"/>
      <c r="JPY142" s="107" t="s">
        <v>1</v>
      </c>
      <c r="JPZ142" s="108"/>
      <c r="JQA142" s="108"/>
      <c r="JQB142" s="109"/>
      <c r="JQC142" s="107" t="s">
        <v>1</v>
      </c>
      <c r="JQD142" s="108"/>
      <c r="JQE142" s="108"/>
      <c r="JQF142" s="109"/>
      <c r="JQG142" s="107" t="s">
        <v>1</v>
      </c>
      <c r="JQH142" s="108"/>
      <c r="JQI142" s="108"/>
      <c r="JQJ142" s="109"/>
      <c r="JQK142" s="107" t="s">
        <v>1</v>
      </c>
      <c r="JQL142" s="108"/>
      <c r="JQM142" s="108"/>
      <c r="JQN142" s="109"/>
      <c r="JQO142" s="107" t="s">
        <v>1</v>
      </c>
      <c r="JQP142" s="108"/>
      <c r="JQQ142" s="108"/>
      <c r="JQR142" s="109"/>
      <c r="JQS142" s="107" t="s">
        <v>1</v>
      </c>
      <c r="JQT142" s="108"/>
      <c r="JQU142" s="108"/>
      <c r="JQV142" s="109"/>
      <c r="JQW142" s="107" t="s">
        <v>1</v>
      </c>
      <c r="JQX142" s="108"/>
      <c r="JQY142" s="108"/>
      <c r="JQZ142" s="109"/>
      <c r="JRA142" s="107" t="s">
        <v>1</v>
      </c>
      <c r="JRB142" s="108"/>
      <c r="JRC142" s="108"/>
      <c r="JRD142" s="109"/>
      <c r="JRE142" s="107" t="s">
        <v>1</v>
      </c>
      <c r="JRF142" s="108"/>
      <c r="JRG142" s="108"/>
      <c r="JRH142" s="109"/>
      <c r="JRI142" s="107" t="s">
        <v>1</v>
      </c>
      <c r="JRJ142" s="108"/>
      <c r="JRK142" s="108"/>
      <c r="JRL142" s="109"/>
      <c r="JRM142" s="107" t="s">
        <v>1</v>
      </c>
      <c r="JRN142" s="108"/>
      <c r="JRO142" s="108"/>
      <c r="JRP142" s="109"/>
      <c r="JRQ142" s="107" t="s">
        <v>1</v>
      </c>
      <c r="JRR142" s="108"/>
      <c r="JRS142" s="108"/>
      <c r="JRT142" s="109"/>
      <c r="JRU142" s="107" t="s">
        <v>1</v>
      </c>
      <c r="JRV142" s="108"/>
      <c r="JRW142" s="108"/>
      <c r="JRX142" s="109"/>
      <c r="JRY142" s="107" t="s">
        <v>1</v>
      </c>
      <c r="JRZ142" s="108"/>
      <c r="JSA142" s="108"/>
      <c r="JSB142" s="109"/>
      <c r="JSC142" s="107" t="s">
        <v>1</v>
      </c>
      <c r="JSD142" s="108"/>
      <c r="JSE142" s="108"/>
      <c r="JSF142" s="109"/>
      <c r="JSG142" s="107" t="s">
        <v>1</v>
      </c>
      <c r="JSH142" s="108"/>
      <c r="JSI142" s="108"/>
      <c r="JSJ142" s="109"/>
      <c r="JSK142" s="107" t="s">
        <v>1</v>
      </c>
      <c r="JSL142" s="108"/>
      <c r="JSM142" s="108"/>
      <c r="JSN142" s="109"/>
      <c r="JSO142" s="107" t="s">
        <v>1</v>
      </c>
      <c r="JSP142" s="108"/>
      <c r="JSQ142" s="108"/>
      <c r="JSR142" s="109"/>
      <c r="JSS142" s="107" t="s">
        <v>1</v>
      </c>
      <c r="JST142" s="108"/>
      <c r="JSU142" s="108"/>
      <c r="JSV142" s="109"/>
      <c r="JSW142" s="107" t="s">
        <v>1</v>
      </c>
      <c r="JSX142" s="108"/>
      <c r="JSY142" s="108"/>
      <c r="JSZ142" s="109"/>
      <c r="JTA142" s="107" t="s">
        <v>1</v>
      </c>
      <c r="JTB142" s="108"/>
      <c r="JTC142" s="108"/>
      <c r="JTD142" s="109"/>
      <c r="JTE142" s="107" t="s">
        <v>1</v>
      </c>
      <c r="JTF142" s="108"/>
      <c r="JTG142" s="108"/>
      <c r="JTH142" s="109"/>
      <c r="JTI142" s="107" t="s">
        <v>1</v>
      </c>
      <c r="JTJ142" s="108"/>
      <c r="JTK142" s="108"/>
      <c r="JTL142" s="109"/>
      <c r="JTM142" s="107" t="s">
        <v>1</v>
      </c>
      <c r="JTN142" s="108"/>
      <c r="JTO142" s="108"/>
      <c r="JTP142" s="109"/>
      <c r="JTQ142" s="107" t="s">
        <v>1</v>
      </c>
      <c r="JTR142" s="108"/>
      <c r="JTS142" s="108"/>
      <c r="JTT142" s="109"/>
      <c r="JTU142" s="107" t="s">
        <v>1</v>
      </c>
      <c r="JTV142" s="108"/>
      <c r="JTW142" s="108"/>
      <c r="JTX142" s="109"/>
      <c r="JTY142" s="107" t="s">
        <v>1</v>
      </c>
      <c r="JTZ142" s="108"/>
      <c r="JUA142" s="108"/>
      <c r="JUB142" s="109"/>
      <c r="JUC142" s="107" t="s">
        <v>1</v>
      </c>
      <c r="JUD142" s="108"/>
      <c r="JUE142" s="108"/>
      <c r="JUF142" s="109"/>
      <c r="JUG142" s="107" t="s">
        <v>1</v>
      </c>
      <c r="JUH142" s="108"/>
      <c r="JUI142" s="108"/>
      <c r="JUJ142" s="109"/>
      <c r="JUK142" s="107" t="s">
        <v>1</v>
      </c>
      <c r="JUL142" s="108"/>
      <c r="JUM142" s="108"/>
      <c r="JUN142" s="109"/>
      <c r="JUO142" s="107" t="s">
        <v>1</v>
      </c>
      <c r="JUP142" s="108"/>
      <c r="JUQ142" s="108"/>
      <c r="JUR142" s="109"/>
      <c r="JUS142" s="107" t="s">
        <v>1</v>
      </c>
      <c r="JUT142" s="108"/>
      <c r="JUU142" s="108"/>
      <c r="JUV142" s="109"/>
      <c r="JUW142" s="107" t="s">
        <v>1</v>
      </c>
      <c r="JUX142" s="108"/>
      <c r="JUY142" s="108"/>
      <c r="JUZ142" s="109"/>
      <c r="JVA142" s="107" t="s">
        <v>1</v>
      </c>
      <c r="JVB142" s="108"/>
      <c r="JVC142" s="108"/>
      <c r="JVD142" s="109"/>
      <c r="JVE142" s="107" t="s">
        <v>1</v>
      </c>
      <c r="JVF142" s="108"/>
      <c r="JVG142" s="108"/>
      <c r="JVH142" s="109"/>
      <c r="JVI142" s="107" t="s">
        <v>1</v>
      </c>
      <c r="JVJ142" s="108"/>
      <c r="JVK142" s="108"/>
      <c r="JVL142" s="109"/>
      <c r="JVM142" s="107" t="s">
        <v>1</v>
      </c>
      <c r="JVN142" s="108"/>
      <c r="JVO142" s="108"/>
      <c r="JVP142" s="109"/>
      <c r="JVQ142" s="107" t="s">
        <v>1</v>
      </c>
      <c r="JVR142" s="108"/>
      <c r="JVS142" s="108"/>
      <c r="JVT142" s="109"/>
      <c r="JVU142" s="107" t="s">
        <v>1</v>
      </c>
      <c r="JVV142" s="108"/>
      <c r="JVW142" s="108"/>
      <c r="JVX142" s="109"/>
      <c r="JVY142" s="107" t="s">
        <v>1</v>
      </c>
      <c r="JVZ142" s="108"/>
      <c r="JWA142" s="108"/>
      <c r="JWB142" s="109"/>
      <c r="JWC142" s="107" t="s">
        <v>1</v>
      </c>
      <c r="JWD142" s="108"/>
      <c r="JWE142" s="108"/>
      <c r="JWF142" s="109"/>
      <c r="JWG142" s="107" t="s">
        <v>1</v>
      </c>
      <c r="JWH142" s="108"/>
      <c r="JWI142" s="108"/>
      <c r="JWJ142" s="109"/>
      <c r="JWK142" s="107" t="s">
        <v>1</v>
      </c>
      <c r="JWL142" s="108"/>
      <c r="JWM142" s="108"/>
      <c r="JWN142" s="109"/>
      <c r="JWO142" s="107" t="s">
        <v>1</v>
      </c>
      <c r="JWP142" s="108"/>
      <c r="JWQ142" s="108"/>
      <c r="JWR142" s="109"/>
      <c r="JWS142" s="107" t="s">
        <v>1</v>
      </c>
      <c r="JWT142" s="108"/>
      <c r="JWU142" s="108"/>
      <c r="JWV142" s="109"/>
      <c r="JWW142" s="107" t="s">
        <v>1</v>
      </c>
      <c r="JWX142" s="108"/>
      <c r="JWY142" s="108"/>
      <c r="JWZ142" s="109"/>
      <c r="JXA142" s="107" t="s">
        <v>1</v>
      </c>
      <c r="JXB142" s="108"/>
      <c r="JXC142" s="108"/>
      <c r="JXD142" s="109"/>
      <c r="JXE142" s="107" t="s">
        <v>1</v>
      </c>
      <c r="JXF142" s="108"/>
      <c r="JXG142" s="108"/>
      <c r="JXH142" s="109"/>
      <c r="JXI142" s="107" t="s">
        <v>1</v>
      </c>
      <c r="JXJ142" s="108"/>
      <c r="JXK142" s="108"/>
      <c r="JXL142" s="109"/>
      <c r="JXM142" s="107" t="s">
        <v>1</v>
      </c>
      <c r="JXN142" s="108"/>
      <c r="JXO142" s="108"/>
      <c r="JXP142" s="109"/>
      <c r="JXQ142" s="107" t="s">
        <v>1</v>
      </c>
      <c r="JXR142" s="108"/>
      <c r="JXS142" s="108"/>
      <c r="JXT142" s="109"/>
      <c r="JXU142" s="107" t="s">
        <v>1</v>
      </c>
      <c r="JXV142" s="108"/>
      <c r="JXW142" s="108"/>
      <c r="JXX142" s="109"/>
      <c r="JXY142" s="107" t="s">
        <v>1</v>
      </c>
      <c r="JXZ142" s="108"/>
      <c r="JYA142" s="108"/>
      <c r="JYB142" s="109"/>
      <c r="JYC142" s="107" t="s">
        <v>1</v>
      </c>
      <c r="JYD142" s="108"/>
      <c r="JYE142" s="108"/>
      <c r="JYF142" s="109"/>
      <c r="JYG142" s="107" t="s">
        <v>1</v>
      </c>
      <c r="JYH142" s="108"/>
      <c r="JYI142" s="108"/>
      <c r="JYJ142" s="109"/>
      <c r="JYK142" s="107" t="s">
        <v>1</v>
      </c>
      <c r="JYL142" s="108"/>
      <c r="JYM142" s="108"/>
      <c r="JYN142" s="109"/>
      <c r="JYO142" s="107" t="s">
        <v>1</v>
      </c>
      <c r="JYP142" s="108"/>
      <c r="JYQ142" s="108"/>
      <c r="JYR142" s="109"/>
      <c r="JYS142" s="107" t="s">
        <v>1</v>
      </c>
      <c r="JYT142" s="108"/>
      <c r="JYU142" s="108"/>
      <c r="JYV142" s="109"/>
      <c r="JYW142" s="107" t="s">
        <v>1</v>
      </c>
      <c r="JYX142" s="108"/>
      <c r="JYY142" s="108"/>
      <c r="JYZ142" s="109"/>
      <c r="JZA142" s="107" t="s">
        <v>1</v>
      </c>
      <c r="JZB142" s="108"/>
      <c r="JZC142" s="108"/>
      <c r="JZD142" s="109"/>
      <c r="JZE142" s="107" t="s">
        <v>1</v>
      </c>
      <c r="JZF142" s="108"/>
      <c r="JZG142" s="108"/>
      <c r="JZH142" s="109"/>
      <c r="JZI142" s="107" t="s">
        <v>1</v>
      </c>
      <c r="JZJ142" s="108"/>
      <c r="JZK142" s="108"/>
      <c r="JZL142" s="109"/>
      <c r="JZM142" s="107" t="s">
        <v>1</v>
      </c>
      <c r="JZN142" s="108"/>
      <c r="JZO142" s="108"/>
      <c r="JZP142" s="109"/>
      <c r="JZQ142" s="107" t="s">
        <v>1</v>
      </c>
      <c r="JZR142" s="108"/>
      <c r="JZS142" s="108"/>
      <c r="JZT142" s="109"/>
      <c r="JZU142" s="107" t="s">
        <v>1</v>
      </c>
      <c r="JZV142" s="108"/>
      <c r="JZW142" s="108"/>
      <c r="JZX142" s="109"/>
      <c r="JZY142" s="107" t="s">
        <v>1</v>
      </c>
      <c r="JZZ142" s="108"/>
      <c r="KAA142" s="108"/>
      <c r="KAB142" s="109"/>
      <c r="KAC142" s="107" t="s">
        <v>1</v>
      </c>
      <c r="KAD142" s="108"/>
      <c r="KAE142" s="108"/>
      <c r="KAF142" s="109"/>
      <c r="KAG142" s="107" t="s">
        <v>1</v>
      </c>
      <c r="KAH142" s="108"/>
      <c r="KAI142" s="108"/>
      <c r="KAJ142" s="109"/>
      <c r="KAK142" s="107" t="s">
        <v>1</v>
      </c>
      <c r="KAL142" s="108"/>
      <c r="KAM142" s="108"/>
      <c r="KAN142" s="109"/>
      <c r="KAO142" s="107" t="s">
        <v>1</v>
      </c>
      <c r="KAP142" s="108"/>
      <c r="KAQ142" s="108"/>
      <c r="KAR142" s="109"/>
      <c r="KAS142" s="107" t="s">
        <v>1</v>
      </c>
      <c r="KAT142" s="108"/>
      <c r="KAU142" s="108"/>
      <c r="KAV142" s="109"/>
      <c r="KAW142" s="107" t="s">
        <v>1</v>
      </c>
      <c r="KAX142" s="108"/>
      <c r="KAY142" s="108"/>
      <c r="KAZ142" s="109"/>
      <c r="KBA142" s="107" t="s">
        <v>1</v>
      </c>
      <c r="KBB142" s="108"/>
      <c r="KBC142" s="108"/>
      <c r="KBD142" s="109"/>
      <c r="KBE142" s="107" t="s">
        <v>1</v>
      </c>
      <c r="KBF142" s="108"/>
      <c r="KBG142" s="108"/>
      <c r="KBH142" s="109"/>
      <c r="KBI142" s="107" t="s">
        <v>1</v>
      </c>
      <c r="KBJ142" s="108"/>
      <c r="KBK142" s="108"/>
      <c r="KBL142" s="109"/>
      <c r="KBM142" s="107" t="s">
        <v>1</v>
      </c>
      <c r="KBN142" s="108"/>
      <c r="KBO142" s="108"/>
      <c r="KBP142" s="109"/>
      <c r="KBQ142" s="107" t="s">
        <v>1</v>
      </c>
      <c r="KBR142" s="108"/>
      <c r="KBS142" s="108"/>
      <c r="KBT142" s="109"/>
      <c r="KBU142" s="107" t="s">
        <v>1</v>
      </c>
      <c r="KBV142" s="108"/>
      <c r="KBW142" s="108"/>
      <c r="KBX142" s="109"/>
      <c r="KBY142" s="107" t="s">
        <v>1</v>
      </c>
      <c r="KBZ142" s="108"/>
      <c r="KCA142" s="108"/>
      <c r="KCB142" s="109"/>
      <c r="KCC142" s="107" t="s">
        <v>1</v>
      </c>
      <c r="KCD142" s="108"/>
      <c r="KCE142" s="108"/>
      <c r="KCF142" s="109"/>
      <c r="KCG142" s="107" t="s">
        <v>1</v>
      </c>
      <c r="KCH142" s="108"/>
      <c r="KCI142" s="108"/>
      <c r="KCJ142" s="109"/>
      <c r="KCK142" s="107" t="s">
        <v>1</v>
      </c>
      <c r="KCL142" s="108"/>
      <c r="KCM142" s="108"/>
      <c r="KCN142" s="109"/>
      <c r="KCO142" s="107" t="s">
        <v>1</v>
      </c>
      <c r="KCP142" s="108"/>
      <c r="KCQ142" s="108"/>
      <c r="KCR142" s="109"/>
      <c r="KCS142" s="107" t="s">
        <v>1</v>
      </c>
      <c r="KCT142" s="108"/>
      <c r="KCU142" s="108"/>
      <c r="KCV142" s="109"/>
      <c r="KCW142" s="107" t="s">
        <v>1</v>
      </c>
      <c r="KCX142" s="108"/>
      <c r="KCY142" s="108"/>
      <c r="KCZ142" s="109"/>
      <c r="KDA142" s="107" t="s">
        <v>1</v>
      </c>
      <c r="KDB142" s="108"/>
      <c r="KDC142" s="108"/>
      <c r="KDD142" s="109"/>
      <c r="KDE142" s="107" t="s">
        <v>1</v>
      </c>
      <c r="KDF142" s="108"/>
      <c r="KDG142" s="108"/>
      <c r="KDH142" s="109"/>
      <c r="KDI142" s="107" t="s">
        <v>1</v>
      </c>
      <c r="KDJ142" s="108"/>
      <c r="KDK142" s="108"/>
      <c r="KDL142" s="109"/>
      <c r="KDM142" s="107" t="s">
        <v>1</v>
      </c>
      <c r="KDN142" s="108"/>
      <c r="KDO142" s="108"/>
      <c r="KDP142" s="109"/>
      <c r="KDQ142" s="107" t="s">
        <v>1</v>
      </c>
      <c r="KDR142" s="108"/>
      <c r="KDS142" s="108"/>
      <c r="KDT142" s="109"/>
      <c r="KDU142" s="107" t="s">
        <v>1</v>
      </c>
      <c r="KDV142" s="108"/>
      <c r="KDW142" s="108"/>
      <c r="KDX142" s="109"/>
      <c r="KDY142" s="107" t="s">
        <v>1</v>
      </c>
      <c r="KDZ142" s="108"/>
      <c r="KEA142" s="108"/>
      <c r="KEB142" s="109"/>
      <c r="KEC142" s="107" t="s">
        <v>1</v>
      </c>
      <c r="KED142" s="108"/>
      <c r="KEE142" s="108"/>
      <c r="KEF142" s="109"/>
      <c r="KEG142" s="107" t="s">
        <v>1</v>
      </c>
      <c r="KEH142" s="108"/>
      <c r="KEI142" s="108"/>
      <c r="KEJ142" s="109"/>
      <c r="KEK142" s="107" t="s">
        <v>1</v>
      </c>
      <c r="KEL142" s="108"/>
      <c r="KEM142" s="108"/>
      <c r="KEN142" s="109"/>
      <c r="KEO142" s="107" t="s">
        <v>1</v>
      </c>
      <c r="KEP142" s="108"/>
      <c r="KEQ142" s="108"/>
      <c r="KER142" s="109"/>
      <c r="KES142" s="107" t="s">
        <v>1</v>
      </c>
      <c r="KET142" s="108"/>
      <c r="KEU142" s="108"/>
      <c r="KEV142" s="109"/>
      <c r="KEW142" s="107" t="s">
        <v>1</v>
      </c>
      <c r="KEX142" s="108"/>
      <c r="KEY142" s="108"/>
      <c r="KEZ142" s="109"/>
      <c r="KFA142" s="107" t="s">
        <v>1</v>
      </c>
      <c r="KFB142" s="108"/>
      <c r="KFC142" s="108"/>
      <c r="KFD142" s="109"/>
      <c r="KFE142" s="107" t="s">
        <v>1</v>
      </c>
      <c r="KFF142" s="108"/>
      <c r="KFG142" s="108"/>
      <c r="KFH142" s="109"/>
      <c r="KFI142" s="107" t="s">
        <v>1</v>
      </c>
      <c r="KFJ142" s="108"/>
      <c r="KFK142" s="108"/>
      <c r="KFL142" s="109"/>
      <c r="KFM142" s="107" t="s">
        <v>1</v>
      </c>
      <c r="KFN142" s="108"/>
      <c r="KFO142" s="108"/>
      <c r="KFP142" s="109"/>
      <c r="KFQ142" s="107" t="s">
        <v>1</v>
      </c>
      <c r="KFR142" s="108"/>
      <c r="KFS142" s="108"/>
      <c r="KFT142" s="109"/>
      <c r="KFU142" s="107" t="s">
        <v>1</v>
      </c>
      <c r="KFV142" s="108"/>
      <c r="KFW142" s="108"/>
      <c r="KFX142" s="109"/>
      <c r="KFY142" s="107" t="s">
        <v>1</v>
      </c>
      <c r="KFZ142" s="108"/>
      <c r="KGA142" s="108"/>
      <c r="KGB142" s="109"/>
      <c r="KGC142" s="107" t="s">
        <v>1</v>
      </c>
      <c r="KGD142" s="108"/>
      <c r="KGE142" s="108"/>
      <c r="KGF142" s="109"/>
      <c r="KGG142" s="107" t="s">
        <v>1</v>
      </c>
      <c r="KGH142" s="108"/>
      <c r="KGI142" s="108"/>
      <c r="KGJ142" s="109"/>
      <c r="KGK142" s="107" t="s">
        <v>1</v>
      </c>
      <c r="KGL142" s="108"/>
      <c r="KGM142" s="108"/>
      <c r="KGN142" s="109"/>
      <c r="KGO142" s="107" t="s">
        <v>1</v>
      </c>
      <c r="KGP142" s="108"/>
      <c r="KGQ142" s="108"/>
      <c r="KGR142" s="109"/>
      <c r="KGS142" s="107" t="s">
        <v>1</v>
      </c>
      <c r="KGT142" s="108"/>
      <c r="KGU142" s="108"/>
      <c r="KGV142" s="109"/>
      <c r="KGW142" s="107" t="s">
        <v>1</v>
      </c>
      <c r="KGX142" s="108"/>
      <c r="KGY142" s="108"/>
      <c r="KGZ142" s="109"/>
      <c r="KHA142" s="107" t="s">
        <v>1</v>
      </c>
      <c r="KHB142" s="108"/>
      <c r="KHC142" s="108"/>
      <c r="KHD142" s="109"/>
      <c r="KHE142" s="107" t="s">
        <v>1</v>
      </c>
      <c r="KHF142" s="108"/>
      <c r="KHG142" s="108"/>
      <c r="KHH142" s="109"/>
      <c r="KHI142" s="107" t="s">
        <v>1</v>
      </c>
      <c r="KHJ142" s="108"/>
      <c r="KHK142" s="108"/>
      <c r="KHL142" s="109"/>
      <c r="KHM142" s="107" t="s">
        <v>1</v>
      </c>
      <c r="KHN142" s="108"/>
      <c r="KHO142" s="108"/>
      <c r="KHP142" s="109"/>
      <c r="KHQ142" s="107" t="s">
        <v>1</v>
      </c>
      <c r="KHR142" s="108"/>
      <c r="KHS142" s="108"/>
      <c r="KHT142" s="109"/>
      <c r="KHU142" s="107" t="s">
        <v>1</v>
      </c>
      <c r="KHV142" s="108"/>
      <c r="KHW142" s="108"/>
      <c r="KHX142" s="109"/>
      <c r="KHY142" s="107" t="s">
        <v>1</v>
      </c>
      <c r="KHZ142" s="108"/>
      <c r="KIA142" s="108"/>
      <c r="KIB142" s="109"/>
      <c r="KIC142" s="107" t="s">
        <v>1</v>
      </c>
      <c r="KID142" s="108"/>
      <c r="KIE142" s="108"/>
      <c r="KIF142" s="109"/>
      <c r="KIG142" s="107" t="s">
        <v>1</v>
      </c>
      <c r="KIH142" s="108"/>
      <c r="KII142" s="108"/>
      <c r="KIJ142" s="109"/>
      <c r="KIK142" s="107" t="s">
        <v>1</v>
      </c>
      <c r="KIL142" s="108"/>
      <c r="KIM142" s="108"/>
      <c r="KIN142" s="109"/>
      <c r="KIO142" s="107" t="s">
        <v>1</v>
      </c>
      <c r="KIP142" s="108"/>
      <c r="KIQ142" s="108"/>
      <c r="KIR142" s="109"/>
      <c r="KIS142" s="107" t="s">
        <v>1</v>
      </c>
      <c r="KIT142" s="108"/>
      <c r="KIU142" s="108"/>
      <c r="KIV142" s="109"/>
      <c r="KIW142" s="107" t="s">
        <v>1</v>
      </c>
      <c r="KIX142" s="108"/>
      <c r="KIY142" s="108"/>
      <c r="KIZ142" s="109"/>
      <c r="KJA142" s="107" t="s">
        <v>1</v>
      </c>
      <c r="KJB142" s="108"/>
      <c r="KJC142" s="108"/>
      <c r="KJD142" s="109"/>
      <c r="KJE142" s="107" t="s">
        <v>1</v>
      </c>
      <c r="KJF142" s="108"/>
      <c r="KJG142" s="108"/>
      <c r="KJH142" s="109"/>
      <c r="KJI142" s="107" t="s">
        <v>1</v>
      </c>
      <c r="KJJ142" s="108"/>
      <c r="KJK142" s="108"/>
      <c r="KJL142" s="109"/>
      <c r="KJM142" s="107" t="s">
        <v>1</v>
      </c>
      <c r="KJN142" s="108"/>
      <c r="KJO142" s="108"/>
      <c r="KJP142" s="109"/>
      <c r="KJQ142" s="107" t="s">
        <v>1</v>
      </c>
      <c r="KJR142" s="108"/>
      <c r="KJS142" s="108"/>
      <c r="KJT142" s="109"/>
      <c r="KJU142" s="107" t="s">
        <v>1</v>
      </c>
      <c r="KJV142" s="108"/>
      <c r="KJW142" s="108"/>
      <c r="KJX142" s="109"/>
      <c r="KJY142" s="107" t="s">
        <v>1</v>
      </c>
      <c r="KJZ142" s="108"/>
      <c r="KKA142" s="108"/>
      <c r="KKB142" s="109"/>
      <c r="KKC142" s="107" t="s">
        <v>1</v>
      </c>
      <c r="KKD142" s="108"/>
      <c r="KKE142" s="108"/>
      <c r="KKF142" s="109"/>
      <c r="KKG142" s="107" t="s">
        <v>1</v>
      </c>
      <c r="KKH142" s="108"/>
      <c r="KKI142" s="108"/>
      <c r="KKJ142" s="109"/>
      <c r="KKK142" s="107" t="s">
        <v>1</v>
      </c>
      <c r="KKL142" s="108"/>
      <c r="KKM142" s="108"/>
      <c r="KKN142" s="109"/>
      <c r="KKO142" s="107" t="s">
        <v>1</v>
      </c>
      <c r="KKP142" s="108"/>
      <c r="KKQ142" s="108"/>
      <c r="KKR142" s="109"/>
      <c r="KKS142" s="107" t="s">
        <v>1</v>
      </c>
      <c r="KKT142" s="108"/>
      <c r="KKU142" s="108"/>
      <c r="KKV142" s="109"/>
      <c r="KKW142" s="107" t="s">
        <v>1</v>
      </c>
      <c r="KKX142" s="108"/>
      <c r="KKY142" s="108"/>
      <c r="KKZ142" s="109"/>
      <c r="KLA142" s="107" t="s">
        <v>1</v>
      </c>
      <c r="KLB142" s="108"/>
      <c r="KLC142" s="108"/>
      <c r="KLD142" s="109"/>
      <c r="KLE142" s="107" t="s">
        <v>1</v>
      </c>
      <c r="KLF142" s="108"/>
      <c r="KLG142" s="108"/>
      <c r="KLH142" s="109"/>
      <c r="KLI142" s="107" t="s">
        <v>1</v>
      </c>
      <c r="KLJ142" s="108"/>
      <c r="KLK142" s="108"/>
      <c r="KLL142" s="109"/>
      <c r="KLM142" s="107" t="s">
        <v>1</v>
      </c>
      <c r="KLN142" s="108"/>
      <c r="KLO142" s="108"/>
      <c r="KLP142" s="109"/>
      <c r="KLQ142" s="107" t="s">
        <v>1</v>
      </c>
      <c r="KLR142" s="108"/>
      <c r="KLS142" s="108"/>
      <c r="KLT142" s="109"/>
      <c r="KLU142" s="107" t="s">
        <v>1</v>
      </c>
      <c r="KLV142" s="108"/>
      <c r="KLW142" s="108"/>
      <c r="KLX142" s="109"/>
      <c r="KLY142" s="107" t="s">
        <v>1</v>
      </c>
      <c r="KLZ142" s="108"/>
      <c r="KMA142" s="108"/>
      <c r="KMB142" s="109"/>
      <c r="KMC142" s="107" t="s">
        <v>1</v>
      </c>
      <c r="KMD142" s="108"/>
      <c r="KME142" s="108"/>
      <c r="KMF142" s="109"/>
      <c r="KMG142" s="107" t="s">
        <v>1</v>
      </c>
      <c r="KMH142" s="108"/>
      <c r="KMI142" s="108"/>
      <c r="KMJ142" s="109"/>
      <c r="KMK142" s="107" t="s">
        <v>1</v>
      </c>
      <c r="KML142" s="108"/>
      <c r="KMM142" s="108"/>
      <c r="KMN142" s="109"/>
      <c r="KMO142" s="107" t="s">
        <v>1</v>
      </c>
      <c r="KMP142" s="108"/>
      <c r="KMQ142" s="108"/>
      <c r="KMR142" s="109"/>
      <c r="KMS142" s="107" t="s">
        <v>1</v>
      </c>
      <c r="KMT142" s="108"/>
      <c r="KMU142" s="108"/>
      <c r="KMV142" s="109"/>
      <c r="KMW142" s="107" t="s">
        <v>1</v>
      </c>
      <c r="KMX142" s="108"/>
      <c r="KMY142" s="108"/>
      <c r="KMZ142" s="109"/>
      <c r="KNA142" s="107" t="s">
        <v>1</v>
      </c>
      <c r="KNB142" s="108"/>
      <c r="KNC142" s="108"/>
      <c r="KND142" s="109"/>
      <c r="KNE142" s="107" t="s">
        <v>1</v>
      </c>
      <c r="KNF142" s="108"/>
      <c r="KNG142" s="108"/>
      <c r="KNH142" s="109"/>
      <c r="KNI142" s="107" t="s">
        <v>1</v>
      </c>
      <c r="KNJ142" s="108"/>
      <c r="KNK142" s="108"/>
      <c r="KNL142" s="109"/>
      <c r="KNM142" s="107" t="s">
        <v>1</v>
      </c>
      <c r="KNN142" s="108"/>
      <c r="KNO142" s="108"/>
      <c r="KNP142" s="109"/>
      <c r="KNQ142" s="107" t="s">
        <v>1</v>
      </c>
      <c r="KNR142" s="108"/>
      <c r="KNS142" s="108"/>
      <c r="KNT142" s="109"/>
      <c r="KNU142" s="107" t="s">
        <v>1</v>
      </c>
      <c r="KNV142" s="108"/>
      <c r="KNW142" s="108"/>
      <c r="KNX142" s="109"/>
      <c r="KNY142" s="107" t="s">
        <v>1</v>
      </c>
      <c r="KNZ142" s="108"/>
      <c r="KOA142" s="108"/>
      <c r="KOB142" s="109"/>
      <c r="KOC142" s="107" t="s">
        <v>1</v>
      </c>
      <c r="KOD142" s="108"/>
      <c r="KOE142" s="108"/>
      <c r="KOF142" s="109"/>
      <c r="KOG142" s="107" t="s">
        <v>1</v>
      </c>
      <c r="KOH142" s="108"/>
      <c r="KOI142" s="108"/>
      <c r="KOJ142" s="109"/>
      <c r="KOK142" s="107" t="s">
        <v>1</v>
      </c>
      <c r="KOL142" s="108"/>
      <c r="KOM142" s="108"/>
      <c r="KON142" s="109"/>
      <c r="KOO142" s="107" t="s">
        <v>1</v>
      </c>
      <c r="KOP142" s="108"/>
      <c r="KOQ142" s="108"/>
      <c r="KOR142" s="109"/>
      <c r="KOS142" s="107" t="s">
        <v>1</v>
      </c>
      <c r="KOT142" s="108"/>
      <c r="KOU142" s="108"/>
      <c r="KOV142" s="109"/>
      <c r="KOW142" s="107" t="s">
        <v>1</v>
      </c>
      <c r="KOX142" s="108"/>
      <c r="KOY142" s="108"/>
      <c r="KOZ142" s="109"/>
      <c r="KPA142" s="107" t="s">
        <v>1</v>
      </c>
      <c r="KPB142" s="108"/>
      <c r="KPC142" s="108"/>
      <c r="KPD142" s="109"/>
      <c r="KPE142" s="107" t="s">
        <v>1</v>
      </c>
      <c r="KPF142" s="108"/>
      <c r="KPG142" s="108"/>
      <c r="KPH142" s="109"/>
      <c r="KPI142" s="107" t="s">
        <v>1</v>
      </c>
      <c r="KPJ142" s="108"/>
      <c r="KPK142" s="108"/>
      <c r="KPL142" s="109"/>
      <c r="KPM142" s="107" t="s">
        <v>1</v>
      </c>
      <c r="KPN142" s="108"/>
      <c r="KPO142" s="108"/>
      <c r="KPP142" s="109"/>
      <c r="KPQ142" s="107" t="s">
        <v>1</v>
      </c>
      <c r="KPR142" s="108"/>
      <c r="KPS142" s="108"/>
      <c r="KPT142" s="109"/>
      <c r="KPU142" s="107" t="s">
        <v>1</v>
      </c>
      <c r="KPV142" s="108"/>
      <c r="KPW142" s="108"/>
      <c r="KPX142" s="109"/>
      <c r="KPY142" s="107" t="s">
        <v>1</v>
      </c>
      <c r="KPZ142" s="108"/>
      <c r="KQA142" s="108"/>
      <c r="KQB142" s="109"/>
      <c r="KQC142" s="107" t="s">
        <v>1</v>
      </c>
      <c r="KQD142" s="108"/>
      <c r="KQE142" s="108"/>
      <c r="KQF142" s="109"/>
      <c r="KQG142" s="107" t="s">
        <v>1</v>
      </c>
      <c r="KQH142" s="108"/>
      <c r="KQI142" s="108"/>
      <c r="KQJ142" s="109"/>
      <c r="KQK142" s="107" t="s">
        <v>1</v>
      </c>
      <c r="KQL142" s="108"/>
      <c r="KQM142" s="108"/>
      <c r="KQN142" s="109"/>
      <c r="KQO142" s="107" t="s">
        <v>1</v>
      </c>
      <c r="KQP142" s="108"/>
      <c r="KQQ142" s="108"/>
      <c r="KQR142" s="109"/>
      <c r="KQS142" s="107" t="s">
        <v>1</v>
      </c>
      <c r="KQT142" s="108"/>
      <c r="KQU142" s="108"/>
      <c r="KQV142" s="109"/>
      <c r="KQW142" s="107" t="s">
        <v>1</v>
      </c>
      <c r="KQX142" s="108"/>
      <c r="KQY142" s="108"/>
      <c r="KQZ142" s="109"/>
      <c r="KRA142" s="107" t="s">
        <v>1</v>
      </c>
      <c r="KRB142" s="108"/>
      <c r="KRC142" s="108"/>
      <c r="KRD142" s="109"/>
      <c r="KRE142" s="107" t="s">
        <v>1</v>
      </c>
      <c r="KRF142" s="108"/>
      <c r="KRG142" s="108"/>
      <c r="KRH142" s="109"/>
      <c r="KRI142" s="107" t="s">
        <v>1</v>
      </c>
      <c r="KRJ142" s="108"/>
      <c r="KRK142" s="108"/>
      <c r="KRL142" s="109"/>
      <c r="KRM142" s="107" t="s">
        <v>1</v>
      </c>
      <c r="KRN142" s="108"/>
      <c r="KRO142" s="108"/>
      <c r="KRP142" s="109"/>
      <c r="KRQ142" s="107" t="s">
        <v>1</v>
      </c>
      <c r="KRR142" s="108"/>
      <c r="KRS142" s="108"/>
      <c r="KRT142" s="109"/>
      <c r="KRU142" s="107" t="s">
        <v>1</v>
      </c>
      <c r="KRV142" s="108"/>
      <c r="KRW142" s="108"/>
      <c r="KRX142" s="109"/>
      <c r="KRY142" s="107" t="s">
        <v>1</v>
      </c>
      <c r="KRZ142" s="108"/>
      <c r="KSA142" s="108"/>
      <c r="KSB142" s="109"/>
      <c r="KSC142" s="107" t="s">
        <v>1</v>
      </c>
      <c r="KSD142" s="108"/>
      <c r="KSE142" s="108"/>
      <c r="KSF142" s="109"/>
      <c r="KSG142" s="107" t="s">
        <v>1</v>
      </c>
      <c r="KSH142" s="108"/>
      <c r="KSI142" s="108"/>
      <c r="KSJ142" s="109"/>
      <c r="KSK142" s="107" t="s">
        <v>1</v>
      </c>
      <c r="KSL142" s="108"/>
      <c r="KSM142" s="108"/>
      <c r="KSN142" s="109"/>
      <c r="KSO142" s="107" t="s">
        <v>1</v>
      </c>
      <c r="KSP142" s="108"/>
      <c r="KSQ142" s="108"/>
      <c r="KSR142" s="109"/>
      <c r="KSS142" s="107" t="s">
        <v>1</v>
      </c>
      <c r="KST142" s="108"/>
      <c r="KSU142" s="108"/>
      <c r="KSV142" s="109"/>
      <c r="KSW142" s="107" t="s">
        <v>1</v>
      </c>
      <c r="KSX142" s="108"/>
      <c r="KSY142" s="108"/>
      <c r="KSZ142" s="109"/>
      <c r="KTA142" s="107" t="s">
        <v>1</v>
      </c>
      <c r="KTB142" s="108"/>
      <c r="KTC142" s="108"/>
      <c r="KTD142" s="109"/>
      <c r="KTE142" s="107" t="s">
        <v>1</v>
      </c>
      <c r="KTF142" s="108"/>
      <c r="KTG142" s="108"/>
      <c r="KTH142" s="109"/>
      <c r="KTI142" s="107" t="s">
        <v>1</v>
      </c>
      <c r="KTJ142" s="108"/>
      <c r="KTK142" s="108"/>
      <c r="KTL142" s="109"/>
      <c r="KTM142" s="107" t="s">
        <v>1</v>
      </c>
      <c r="KTN142" s="108"/>
      <c r="KTO142" s="108"/>
      <c r="KTP142" s="109"/>
      <c r="KTQ142" s="107" t="s">
        <v>1</v>
      </c>
      <c r="KTR142" s="108"/>
      <c r="KTS142" s="108"/>
      <c r="KTT142" s="109"/>
      <c r="KTU142" s="107" t="s">
        <v>1</v>
      </c>
      <c r="KTV142" s="108"/>
      <c r="KTW142" s="108"/>
      <c r="KTX142" s="109"/>
      <c r="KTY142" s="107" t="s">
        <v>1</v>
      </c>
      <c r="KTZ142" s="108"/>
      <c r="KUA142" s="108"/>
      <c r="KUB142" s="109"/>
      <c r="KUC142" s="107" t="s">
        <v>1</v>
      </c>
      <c r="KUD142" s="108"/>
      <c r="KUE142" s="108"/>
      <c r="KUF142" s="109"/>
      <c r="KUG142" s="107" t="s">
        <v>1</v>
      </c>
      <c r="KUH142" s="108"/>
      <c r="KUI142" s="108"/>
      <c r="KUJ142" s="109"/>
      <c r="KUK142" s="107" t="s">
        <v>1</v>
      </c>
      <c r="KUL142" s="108"/>
      <c r="KUM142" s="108"/>
      <c r="KUN142" s="109"/>
      <c r="KUO142" s="107" t="s">
        <v>1</v>
      </c>
      <c r="KUP142" s="108"/>
      <c r="KUQ142" s="108"/>
      <c r="KUR142" s="109"/>
      <c r="KUS142" s="107" t="s">
        <v>1</v>
      </c>
      <c r="KUT142" s="108"/>
      <c r="KUU142" s="108"/>
      <c r="KUV142" s="109"/>
      <c r="KUW142" s="107" t="s">
        <v>1</v>
      </c>
      <c r="KUX142" s="108"/>
      <c r="KUY142" s="108"/>
      <c r="KUZ142" s="109"/>
      <c r="KVA142" s="107" t="s">
        <v>1</v>
      </c>
      <c r="KVB142" s="108"/>
      <c r="KVC142" s="108"/>
      <c r="KVD142" s="109"/>
      <c r="KVE142" s="107" t="s">
        <v>1</v>
      </c>
      <c r="KVF142" s="108"/>
      <c r="KVG142" s="108"/>
      <c r="KVH142" s="109"/>
      <c r="KVI142" s="107" t="s">
        <v>1</v>
      </c>
      <c r="KVJ142" s="108"/>
      <c r="KVK142" s="108"/>
      <c r="KVL142" s="109"/>
      <c r="KVM142" s="107" t="s">
        <v>1</v>
      </c>
      <c r="KVN142" s="108"/>
      <c r="KVO142" s="108"/>
      <c r="KVP142" s="109"/>
      <c r="KVQ142" s="107" t="s">
        <v>1</v>
      </c>
      <c r="KVR142" s="108"/>
      <c r="KVS142" s="108"/>
      <c r="KVT142" s="109"/>
      <c r="KVU142" s="107" t="s">
        <v>1</v>
      </c>
      <c r="KVV142" s="108"/>
      <c r="KVW142" s="108"/>
      <c r="KVX142" s="109"/>
      <c r="KVY142" s="107" t="s">
        <v>1</v>
      </c>
      <c r="KVZ142" s="108"/>
      <c r="KWA142" s="108"/>
      <c r="KWB142" s="109"/>
      <c r="KWC142" s="107" t="s">
        <v>1</v>
      </c>
      <c r="KWD142" s="108"/>
      <c r="KWE142" s="108"/>
      <c r="KWF142" s="109"/>
      <c r="KWG142" s="107" t="s">
        <v>1</v>
      </c>
      <c r="KWH142" s="108"/>
      <c r="KWI142" s="108"/>
      <c r="KWJ142" s="109"/>
      <c r="KWK142" s="107" t="s">
        <v>1</v>
      </c>
      <c r="KWL142" s="108"/>
      <c r="KWM142" s="108"/>
      <c r="KWN142" s="109"/>
      <c r="KWO142" s="107" t="s">
        <v>1</v>
      </c>
      <c r="KWP142" s="108"/>
      <c r="KWQ142" s="108"/>
      <c r="KWR142" s="109"/>
      <c r="KWS142" s="107" t="s">
        <v>1</v>
      </c>
      <c r="KWT142" s="108"/>
      <c r="KWU142" s="108"/>
      <c r="KWV142" s="109"/>
      <c r="KWW142" s="107" t="s">
        <v>1</v>
      </c>
      <c r="KWX142" s="108"/>
      <c r="KWY142" s="108"/>
      <c r="KWZ142" s="109"/>
      <c r="KXA142" s="107" t="s">
        <v>1</v>
      </c>
      <c r="KXB142" s="108"/>
      <c r="KXC142" s="108"/>
      <c r="KXD142" s="109"/>
      <c r="KXE142" s="107" t="s">
        <v>1</v>
      </c>
      <c r="KXF142" s="108"/>
      <c r="KXG142" s="108"/>
      <c r="KXH142" s="109"/>
      <c r="KXI142" s="107" t="s">
        <v>1</v>
      </c>
      <c r="KXJ142" s="108"/>
      <c r="KXK142" s="108"/>
      <c r="KXL142" s="109"/>
      <c r="KXM142" s="107" t="s">
        <v>1</v>
      </c>
      <c r="KXN142" s="108"/>
      <c r="KXO142" s="108"/>
      <c r="KXP142" s="109"/>
      <c r="KXQ142" s="107" t="s">
        <v>1</v>
      </c>
      <c r="KXR142" s="108"/>
      <c r="KXS142" s="108"/>
      <c r="KXT142" s="109"/>
      <c r="KXU142" s="107" t="s">
        <v>1</v>
      </c>
      <c r="KXV142" s="108"/>
      <c r="KXW142" s="108"/>
      <c r="KXX142" s="109"/>
      <c r="KXY142" s="107" t="s">
        <v>1</v>
      </c>
      <c r="KXZ142" s="108"/>
      <c r="KYA142" s="108"/>
      <c r="KYB142" s="109"/>
      <c r="KYC142" s="107" t="s">
        <v>1</v>
      </c>
      <c r="KYD142" s="108"/>
      <c r="KYE142" s="108"/>
      <c r="KYF142" s="109"/>
      <c r="KYG142" s="107" t="s">
        <v>1</v>
      </c>
      <c r="KYH142" s="108"/>
      <c r="KYI142" s="108"/>
      <c r="KYJ142" s="109"/>
      <c r="KYK142" s="107" t="s">
        <v>1</v>
      </c>
      <c r="KYL142" s="108"/>
      <c r="KYM142" s="108"/>
      <c r="KYN142" s="109"/>
      <c r="KYO142" s="107" t="s">
        <v>1</v>
      </c>
      <c r="KYP142" s="108"/>
      <c r="KYQ142" s="108"/>
      <c r="KYR142" s="109"/>
      <c r="KYS142" s="107" t="s">
        <v>1</v>
      </c>
      <c r="KYT142" s="108"/>
      <c r="KYU142" s="108"/>
      <c r="KYV142" s="109"/>
      <c r="KYW142" s="107" t="s">
        <v>1</v>
      </c>
      <c r="KYX142" s="108"/>
      <c r="KYY142" s="108"/>
      <c r="KYZ142" s="109"/>
      <c r="KZA142" s="107" t="s">
        <v>1</v>
      </c>
      <c r="KZB142" s="108"/>
      <c r="KZC142" s="108"/>
      <c r="KZD142" s="109"/>
      <c r="KZE142" s="107" t="s">
        <v>1</v>
      </c>
      <c r="KZF142" s="108"/>
      <c r="KZG142" s="108"/>
      <c r="KZH142" s="109"/>
      <c r="KZI142" s="107" t="s">
        <v>1</v>
      </c>
      <c r="KZJ142" s="108"/>
      <c r="KZK142" s="108"/>
      <c r="KZL142" s="109"/>
      <c r="KZM142" s="107" t="s">
        <v>1</v>
      </c>
      <c r="KZN142" s="108"/>
      <c r="KZO142" s="108"/>
      <c r="KZP142" s="109"/>
      <c r="KZQ142" s="107" t="s">
        <v>1</v>
      </c>
      <c r="KZR142" s="108"/>
      <c r="KZS142" s="108"/>
      <c r="KZT142" s="109"/>
      <c r="KZU142" s="107" t="s">
        <v>1</v>
      </c>
      <c r="KZV142" s="108"/>
      <c r="KZW142" s="108"/>
      <c r="KZX142" s="109"/>
      <c r="KZY142" s="107" t="s">
        <v>1</v>
      </c>
      <c r="KZZ142" s="108"/>
      <c r="LAA142" s="108"/>
      <c r="LAB142" s="109"/>
      <c r="LAC142" s="107" t="s">
        <v>1</v>
      </c>
      <c r="LAD142" s="108"/>
      <c r="LAE142" s="108"/>
      <c r="LAF142" s="109"/>
      <c r="LAG142" s="107" t="s">
        <v>1</v>
      </c>
      <c r="LAH142" s="108"/>
      <c r="LAI142" s="108"/>
      <c r="LAJ142" s="109"/>
      <c r="LAK142" s="107" t="s">
        <v>1</v>
      </c>
      <c r="LAL142" s="108"/>
      <c r="LAM142" s="108"/>
      <c r="LAN142" s="109"/>
      <c r="LAO142" s="107" t="s">
        <v>1</v>
      </c>
      <c r="LAP142" s="108"/>
      <c r="LAQ142" s="108"/>
      <c r="LAR142" s="109"/>
      <c r="LAS142" s="107" t="s">
        <v>1</v>
      </c>
      <c r="LAT142" s="108"/>
      <c r="LAU142" s="108"/>
      <c r="LAV142" s="109"/>
      <c r="LAW142" s="107" t="s">
        <v>1</v>
      </c>
      <c r="LAX142" s="108"/>
      <c r="LAY142" s="108"/>
      <c r="LAZ142" s="109"/>
      <c r="LBA142" s="107" t="s">
        <v>1</v>
      </c>
      <c r="LBB142" s="108"/>
      <c r="LBC142" s="108"/>
      <c r="LBD142" s="109"/>
      <c r="LBE142" s="107" t="s">
        <v>1</v>
      </c>
      <c r="LBF142" s="108"/>
      <c r="LBG142" s="108"/>
      <c r="LBH142" s="109"/>
      <c r="LBI142" s="107" t="s">
        <v>1</v>
      </c>
      <c r="LBJ142" s="108"/>
      <c r="LBK142" s="108"/>
      <c r="LBL142" s="109"/>
      <c r="LBM142" s="107" t="s">
        <v>1</v>
      </c>
      <c r="LBN142" s="108"/>
      <c r="LBO142" s="108"/>
      <c r="LBP142" s="109"/>
      <c r="LBQ142" s="107" t="s">
        <v>1</v>
      </c>
      <c r="LBR142" s="108"/>
      <c r="LBS142" s="108"/>
      <c r="LBT142" s="109"/>
      <c r="LBU142" s="107" t="s">
        <v>1</v>
      </c>
      <c r="LBV142" s="108"/>
      <c r="LBW142" s="108"/>
      <c r="LBX142" s="109"/>
      <c r="LBY142" s="107" t="s">
        <v>1</v>
      </c>
      <c r="LBZ142" s="108"/>
      <c r="LCA142" s="108"/>
      <c r="LCB142" s="109"/>
      <c r="LCC142" s="107" t="s">
        <v>1</v>
      </c>
      <c r="LCD142" s="108"/>
      <c r="LCE142" s="108"/>
      <c r="LCF142" s="109"/>
      <c r="LCG142" s="107" t="s">
        <v>1</v>
      </c>
      <c r="LCH142" s="108"/>
      <c r="LCI142" s="108"/>
      <c r="LCJ142" s="109"/>
      <c r="LCK142" s="107" t="s">
        <v>1</v>
      </c>
      <c r="LCL142" s="108"/>
      <c r="LCM142" s="108"/>
      <c r="LCN142" s="109"/>
      <c r="LCO142" s="107" t="s">
        <v>1</v>
      </c>
      <c r="LCP142" s="108"/>
      <c r="LCQ142" s="108"/>
      <c r="LCR142" s="109"/>
      <c r="LCS142" s="107" t="s">
        <v>1</v>
      </c>
      <c r="LCT142" s="108"/>
      <c r="LCU142" s="108"/>
      <c r="LCV142" s="109"/>
      <c r="LCW142" s="107" t="s">
        <v>1</v>
      </c>
      <c r="LCX142" s="108"/>
      <c r="LCY142" s="108"/>
      <c r="LCZ142" s="109"/>
      <c r="LDA142" s="107" t="s">
        <v>1</v>
      </c>
      <c r="LDB142" s="108"/>
      <c r="LDC142" s="108"/>
      <c r="LDD142" s="109"/>
      <c r="LDE142" s="107" t="s">
        <v>1</v>
      </c>
      <c r="LDF142" s="108"/>
      <c r="LDG142" s="108"/>
      <c r="LDH142" s="109"/>
      <c r="LDI142" s="107" t="s">
        <v>1</v>
      </c>
      <c r="LDJ142" s="108"/>
      <c r="LDK142" s="108"/>
      <c r="LDL142" s="109"/>
      <c r="LDM142" s="107" t="s">
        <v>1</v>
      </c>
      <c r="LDN142" s="108"/>
      <c r="LDO142" s="108"/>
      <c r="LDP142" s="109"/>
      <c r="LDQ142" s="107" t="s">
        <v>1</v>
      </c>
      <c r="LDR142" s="108"/>
      <c r="LDS142" s="108"/>
      <c r="LDT142" s="109"/>
      <c r="LDU142" s="107" t="s">
        <v>1</v>
      </c>
      <c r="LDV142" s="108"/>
      <c r="LDW142" s="108"/>
      <c r="LDX142" s="109"/>
      <c r="LDY142" s="107" t="s">
        <v>1</v>
      </c>
      <c r="LDZ142" s="108"/>
      <c r="LEA142" s="108"/>
      <c r="LEB142" s="109"/>
      <c r="LEC142" s="107" t="s">
        <v>1</v>
      </c>
      <c r="LED142" s="108"/>
      <c r="LEE142" s="108"/>
      <c r="LEF142" s="109"/>
      <c r="LEG142" s="107" t="s">
        <v>1</v>
      </c>
      <c r="LEH142" s="108"/>
      <c r="LEI142" s="108"/>
      <c r="LEJ142" s="109"/>
      <c r="LEK142" s="107" t="s">
        <v>1</v>
      </c>
      <c r="LEL142" s="108"/>
      <c r="LEM142" s="108"/>
      <c r="LEN142" s="109"/>
      <c r="LEO142" s="107" t="s">
        <v>1</v>
      </c>
      <c r="LEP142" s="108"/>
      <c r="LEQ142" s="108"/>
      <c r="LER142" s="109"/>
      <c r="LES142" s="107" t="s">
        <v>1</v>
      </c>
      <c r="LET142" s="108"/>
      <c r="LEU142" s="108"/>
      <c r="LEV142" s="109"/>
      <c r="LEW142" s="107" t="s">
        <v>1</v>
      </c>
      <c r="LEX142" s="108"/>
      <c r="LEY142" s="108"/>
      <c r="LEZ142" s="109"/>
      <c r="LFA142" s="107" t="s">
        <v>1</v>
      </c>
      <c r="LFB142" s="108"/>
      <c r="LFC142" s="108"/>
      <c r="LFD142" s="109"/>
      <c r="LFE142" s="107" t="s">
        <v>1</v>
      </c>
      <c r="LFF142" s="108"/>
      <c r="LFG142" s="108"/>
      <c r="LFH142" s="109"/>
      <c r="LFI142" s="107" t="s">
        <v>1</v>
      </c>
      <c r="LFJ142" s="108"/>
      <c r="LFK142" s="108"/>
      <c r="LFL142" s="109"/>
      <c r="LFM142" s="107" t="s">
        <v>1</v>
      </c>
      <c r="LFN142" s="108"/>
      <c r="LFO142" s="108"/>
      <c r="LFP142" s="109"/>
      <c r="LFQ142" s="107" t="s">
        <v>1</v>
      </c>
      <c r="LFR142" s="108"/>
      <c r="LFS142" s="108"/>
      <c r="LFT142" s="109"/>
      <c r="LFU142" s="107" t="s">
        <v>1</v>
      </c>
      <c r="LFV142" s="108"/>
      <c r="LFW142" s="108"/>
      <c r="LFX142" s="109"/>
      <c r="LFY142" s="107" t="s">
        <v>1</v>
      </c>
      <c r="LFZ142" s="108"/>
      <c r="LGA142" s="108"/>
      <c r="LGB142" s="109"/>
      <c r="LGC142" s="107" t="s">
        <v>1</v>
      </c>
      <c r="LGD142" s="108"/>
      <c r="LGE142" s="108"/>
      <c r="LGF142" s="109"/>
      <c r="LGG142" s="107" t="s">
        <v>1</v>
      </c>
      <c r="LGH142" s="108"/>
      <c r="LGI142" s="108"/>
      <c r="LGJ142" s="109"/>
      <c r="LGK142" s="107" t="s">
        <v>1</v>
      </c>
      <c r="LGL142" s="108"/>
      <c r="LGM142" s="108"/>
      <c r="LGN142" s="109"/>
      <c r="LGO142" s="107" t="s">
        <v>1</v>
      </c>
      <c r="LGP142" s="108"/>
      <c r="LGQ142" s="108"/>
      <c r="LGR142" s="109"/>
      <c r="LGS142" s="107" t="s">
        <v>1</v>
      </c>
      <c r="LGT142" s="108"/>
      <c r="LGU142" s="108"/>
      <c r="LGV142" s="109"/>
      <c r="LGW142" s="107" t="s">
        <v>1</v>
      </c>
      <c r="LGX142" s="108"/>
      <c r="LGY142" s="108"/>
      <c r="LGZ142" s="109"/>
      <c r="LHA142" s="107" t="s">
        <v>1</v>
      </c>
      <c r="LHB142" s="108"/>
      <c r="LHC142" s="108"/>
      <c r="LHD142" s="109"/>
      <c r="LHE142" s="107" t="s">
        <v>1</v>
      </c>
      <c r="LHF142" s="108"/>
      <c r="LHG142" s="108"/>
      <c r="LHH142" s="109"/>
      <c r="LHI142" s="107" t="s">
        <v>1</v>
      </c>
      <c r="LHJ142" s="108"/>
      <c r="LHK142" s="108"/>
      <c r="LHL142" s="109"/>
      <c r="LHM142" s="107" t="s">
        <v>1</v>
      </c>
      <c r="LHN142" s="108"/>
      <c r="LHO142" s="108"/>
      <c r="LHP142" s="109"/>
      <c r="LHQ142" s="107" t="s">
        <v>1</v>
      </c>
      <c r="LHR142" s="108"/>
      <c r="LHS142" s="108"/>
      <c r="LHT142" s="109"/>
      <c r="LHU142" s="107" t="s">
        <v>1</v>
      </c>
      <c r="LHV142" s="108"/>
      <c r="LHW142" s="108"/>
      <c r="LHX142" s="109"/>
      <c r="LHY142" s="107" t="s">
        <v>1</v>
      </c>
      <c r="LHZ142" s="108"/>
      <c r="LIA142" s="108"/>
      <c r="LIB142" s="109"/>
      <c r="LIC142" s="107" t="s">
        <v>1</v>
      </c>
      <c r="LID142" s="108"/>
      <c r="LIE142" s="108"/>
      <c r="LIF142" s="109"/>
      <c r="LIG142" s="107" t="s">
        <v>1</v>
      </c>
      <c r="LIH142" s="108"/>
      <c r="LII142" s="108"/>
      <c r="LIJ142" s="109"/>
      <c r="LIK142" s="107" t="s">
        <v>1</v>
      </c>
      <c r="LIL142" s="108"/>
      <c r="LIM142" s="108"/>
      <c r="LIN142" s="109"/>
      <c r="LIO142" s="107" t="s">
        <v>1</v>
      </c>
      <c r="LIP142" s="108"/>
      <c r="LIQ142" s="108"/>
      <c r="LIR142" s="109"/>
      <c r="LIS142" s="107" t="s">
        <v>1</v>
      </c>
      <c r="LIT142" s="108"/>
      <c r="LIU142" s="108"/>
      <c r="LIV142" s="109"/>
      <c r="LIW142" s="107" t="s">
        <v>1</v>
      </c>
      <c r="LIX142" s="108"/>
      <c r="LIY142" s="108"/>
      <c r="LIZ142" s="109"/>
      <c r="LJA142" s="107" t="s">
        <v>1</v>
      </c>
      <c r="LJB142" s="108"/>
      <c r="LJC142" s="108"/>
      <c r="LJD142" s="109"/>
      <c r="LJE142" s="107" t="s">
        <v>1</v>
      </c>
      <c r="LJF142" s="108"/>
      <c r="LJG142" s="108"/>
      <c r="LJH142" s="109"/>
      <c r="LJI142" s="107" t="s">
        <v>1</v>
      </c>
      <c r="LJJ142" s="108"/>
      <c r="LJK142" s="108"/>
      <c r="LJL142" s="109"/>
      <c r="LJM142" s="107" t="s">
        <v>1</v>
      </c>
      <c r="LJN142" s="108"/>
      <c r="LJO142" s="108"/>
      <c r="LJP142" s="109"/>
      <c r="LJQ142" s="107" t="s">
        <v>1</v>
      </c>
      <c r="LJR142" s="108"/>
      <c r="LJS142" s="108"/>
      <c r="LJT142" s="109"/>
      <c r="LJU142" s="107" t="s">
        <v>1</v>
      </c>
      <c r="LJV142" s="108"/>
      <c r="LJW142" s="108"/>
      <c r="LJX142" s="109"/>
      <c r="LJY142" s="107" t="s">
        <v>1</v>
      </c>
      <c r="LJZ142" s="108"/>
      <c r="LKA142" s="108"/>
      <c r="LKB142" s="109"/>
      <c r="LKC142" s="107" t="s">
        <v>1</v>
      </c>
      <c r="LKD142" s="108"/>
      <c r="LKE142" s="108"/>
      <c r="LKF142" s="109"/>
      <c r="LKG142" s="107" t="s">
        <v>1</v>
      </c>
      <c r="LKH142" s="108"/>
      <c r="LKI142" s="108"/>
      <c r="LKJ142" s="109"/>
      <c r="LKK142" s="107" t="s">
        <v>1</v>
      </c>
      <c r="LKL142" s="108"/>
      <c r="LKM142" s="108"/>
      <c r="LKN142" s="109"/>
      <c r="LKO142" s="107" t="s">
        <v>1</v>
      </c>
      <c r="LKP142" s="108"/>
      <c r="LKQ142" s="108"/>
      <c r="LKR142" s="109"/>
      <c r="LKS142" s="107" t="s">
        <v>1</v>
      </c>
      <c r="LKT142" s="108"/>
      <c r="LKU142" s="108"/>
      <c r="LKV142" s="109"/>
      <c r="LKW142" s="107" t="s">
        <v>1</v>
      </c>
      <c r="LKX142" s="108"/>
      <c r="LKY142" s="108"/>
      <c r="LKZ142" s="109"/>
      <c r="LLA142" s="107" t="s">
        <v>1</v>
      </c>
      <c r="LLB142" s="108"/>
      <c r="LLC142" s="108"/>
      <c r="LLD142" s="109"/>
      <c r="LLE142" s="107" t="s">
        <v>1</v>
      </c>
      <c r="LLF142" s="108"/>
      <c r="LLG142" s="108"/>
      <c r="LLH142" s="109"/>
      <c r="LLI142" s="107" t="s">
        <v>1</v>
      </c>
      <c r="LLJ142" s="108"/>
      <c r="LLK142" s="108"/>
      <c r="LLL142" s="109"/>
      <c r="LLM142" s="107" t="s">
        <v>1</v>
      </c>
      <c r="LLN142" s="108"/>
      <c r="LLO142" s="108"/>
      <c r="LLP142" s="109"/>
      <c r="LLQ142" s="107" t="s">
        <v>1</v>
      </c>
      <c r="LLR142" s="108"/>
      <c r="LLS142" s="108"/>
      <c r="LLT142" s="109"/>
      <c r="LLU142" s="107" t="s">
        <v>1</v>
      </c>
      <c r="LLV142" s="108"/>
      <c r="LLW142" s="108"/>
      <c r="LLX142" s="109"/>
      <c r="LLY142" s="107" t="s">
        <v>1</v>
      </c>
      <c r="LLZ142" s="108"/>
      <c r="LMA142" s="108"/>
      <c r="LMB142" s="109"/>
      <c r="LMC142" s="107" t="s">
        <v>1</v>
      </c>
      <c r="LMD142" s="108"/>
      <c r="LME142" s="108"/>
      <c r="LMF142" s="109"/>
      <c r="LMG142" s="107" t="s">
        <v>1</v>
      </c>
      <c r="LMH142" s="108"/>
      <c r="LMI142" s="108"/>
      <c r="LMJ142" s="109"/>
      <c r="LMK142" s="107" t="s">
        <v>1</v>
      </c>
      <c r="LML142" s="108"/>
      <c r="LMM142" s="108"/>
      <c r="LMN142" s="109"/>
      <c r="LMO142" s="107" t="s">
        <v>1</v>
      </c>
      <c r="LMP142" s="108"/>
      <c r="LMQ142" s="108"/>
      <c r="LMR142" s="109"/>
      <c r="LMS142" s="107" t="s">
        <v>1</v>
      </c>
      <c r="LMT142" s="108"/>
      <c r="LMU142" s="108"/>
      <c r="LMV142" s="109"/>
      <c r="LMW142" s="107" t="s">
        <v>1</v>
      </c>
      <c r="LMX142" s="108"/>
      <c r="LMY142" s="108"/>
      <c r="LMZ142" s="109"/>
      <c r="LNA142" s="107" t="s">
        <v>1</v>
      </c>
      <c r="LNB142" s="108"/>
      <c r="LNC142" s="108"/>
      <c r="LND142" s="109"/>
      <c r="LNE142" s="107" t="s">
        <v>1</v>
      </c>
      <c r="LNF142" s="108"/>
      <c r="LNG142" s="108"/>
      <c r="LNH142" s="109"/>
      <c r="LNI142" s="107" t="s">
        <v>1</v>
      </c>
      <c r="LNJ142" s="108"/>
      <c r="LNK142" s="108"/>
      <c r="LNL142" s="109"/>
      <c r="LNM142" s="107" t="s">
        <v>1</v>
      </c>
      <c r="LNN142" s="108"/>
      <c r="LNO142" s="108"/>
      <c r="LNP142" s="109"/>
      <c r="LNQ142" s="107" t="s">
        <v>1</v>
      </c>
      <c r="LNR142" s="108"/>
      <c r="LNS142" s="108"/>
      <c r="LNT142" s="109"/>
      <c r="LNU142" s="107" t="s">
        <v>1</v>
      </c>
      <c r="LNV142" s="108"/>
      <c r="LNW142" s="108"/>
      <c r="LNX142" s="109"/>
      <c r="LNY142" s="107" t="s">
        <v>1</v>
      </c>
      <c r="LNZ142" s="108"/>
      <c r="LOA142" s="108"/>
      <c r="LOB142" s="109"/>
      <c r="LOC142" s="107" t="s">
        <v>1</v>
      </c>
      <c r="LOD142" s="108"/>
      <c r="LOE142" s="108"/>
      <c r="LOF142" s="109"/>
      <c r="LOG142" s="107" t="s">
        <v>1</v>
      </c>
      <c r="LOH142" s="108"/>
      <c r="LOI142" s="108"/>
      <c r="LOJ142" s="109"/>
      <c r="LOK142" s="107" t="s">
        <v>1</v>
      </c>
      <c r="LOL142" s="108"/>
      <c r="LOM142" s="108"/>
      <c r="LON142" s="109"/>
      <c r="LOO142" s="107" t="s">
        <v>1</v>
      </c>
      <c r="LOP142" s="108"/>
      <c r="LOQ142" s="108"/>
      <c r="LOR142" s="109"/>
      <c r="LOS142" s="107" t="s">
        <v>1</v>
      </c>
      <c r="LOT142" s="108"/>
      <c r="LOU142" s="108"/>
      <c r="LOV142" s="109"/>
      <c r="LOW142" s="107" t="s">
        <v>1</v>
      </c>
      <c r="LOX142" s="108"/>
      <c r="LOY142" s="108"/>
      <c r="LOZ142" s="109"/>
      <c r="LPA142" s="107" t="s">
        <v>1</v>
      </c>
      <c r="LPB142" s="108"/>
      <c r="LPC142" s="108"/>
      <c r="LPD142" s="109"/>
      <c r="LPE142" s="107" t="s">
        <v>1</v>
      </c>
      <c r="LPF142" s="108"/>
      <c r="LPG142" s="108"/>
      <c r="LPH142" s="109"/>
      <c r="LPI142" s="107" t="s">
        <v>1</v>
      </c>
      <c r="LPJ142" s="108"/>
      <c r="LPK142" s="108"/>
      <c r="LPL142" s="109"/>
      <c r="LPM142" s="107" t="s">
        <v>1</v>
      </c>
      <c r="LPN142" s="108"/>
      <c r="LPO142" s="108"/>
      <c r="LPP142" s="109"/>
      <c r="LPQ142" s="107" t="s">
        <v>1</v>
      </c>
      <c r="LPR142" s="108"/>
      <c r="LPS142" s="108"/>
      <c r="LPT142" s="109"/>
      <c r="LPU142" s="107" t="s">
        <v>1</v>
      </c>
      <c r="LPV142" s="108"/>
      <c r="LPW142" s="108"/>
      <c r="LPX142" s="109"/>
      <c r="LPY142" s="107" t="s">
        <v>1</v>
      </c>
      <c r="LPZ142" s="108"/>
      <c r="LQA142" s="108"/>
      <c r="LQB142" s="109"/>
      <c r="LQC142" s="107" t="s">
        <v>1</v>
      </c>
      <c r="LQD142" s="108"/>
      <c r="LQE142" s="108"/>
      <c r="LQF142" s="109"/>
      <c r="LQG142" s="107" t="s">
        <v>1</v>
      </c>
      <c r="LQH142" s="108"/>
      <c r="LQI142" s="108"/>
      <c r="LQJ142" s="109"/>
      <c r="LQK142" s="107" t="s">
        <v>1</v>
      </c>
      <c r="LQL142" s="108"/>
      <c r="LQM142" s="108"/>
      <c r="LQN142" s="109"/>
      <c r="LQO142" s="107" t="s">
        <v>1</v>
      </c>
      <c r="LQP142" s="108"/>
      <c r="LQQ142" s="108"/>
      <c r="LQR142" s="109"/>
      <c r="LQS142" s="107" t="s">
        <v>1</v>
      </c>
      <c r="LQT142" s="108"/>
      <c r="LQU142" s="108"/>
      <c r="LQV142" s="109"/>
      <c r="LQW142" s="107" t="s">
        <v>1</v>
      </c>
      <c r="LQX142" s="108"/>
      <c r="LQY142" s="108"/>
      <c r="LQZ142" s="109"/>
      <c r="LRA142" s="107" t="s">
        <v>1</v>
      </c>
      <c r="LRB142" s="108"/>
      <c r="LRC142" s="108"/>
      <c r="LRD142" s="109"/>
      <c r="LRE142" s="107" t="s">
        <v>1</v>
      </c>
      <c r="LRF142" s="108"/>
      <c r="LRG142" s="108"/>
      <c r="LRH142" s="109"/>
      <c r="LRI142" s="107" t="s">
        <v>1</v>
      </c>
      <c r="LRJ142" s="108"/>
      <c r="LRK142" s="108"/>
      <c r="LRL142" s="109"/>
      <c r="LRM142" s="107" t="s">
        <v>1</v>
      </c>
      <c r="LRN142" s="108"/>
      <c r="LRO142" s="108"/>
      <c r="LRP142" s="109"/>
      <c r="LRQ142" s="107" t="s">
        <v>1</v>
      </c>
      <c r="LRR142" s="108"/>
      <c r="LRS142" s="108"/>
      <c r="LRT142" s="109"/>
      <c r="LRU142" s="107" t="s">
        <v>1</v>
      </c>
      <c r="LRV142" s="108"/>
      <c r="LRW142" s="108"/>
      <c r="LRX142" s="109"/>
      <c r="LRY142" s="107" t="s">
        <v>1</v>
      </c>
      <c r="LRZ142" s="108"/>
      <c r="LSA142" s="108"/>
      <c r="LSB142" s="109"/>
      <c r="LSC142" s="107" t="s">
        <v>1</v>
      </c>
      <c r="LSD142" s="108"/>
      <c r="LSE142" s="108"/>
      <c r="LSF142" s="109"/>
      <c r="LSG142" s="107" t="s">
        <v>1</v>
      </c>
      <c r="LSH142" s="108"/>
      <c r="LSI142" s="108"/>
      <c r="LSJ142" s="109"/>
      <c r="LSK142" s="107" t="s">
        <v>1</v>
      </c>
      <c r="LSL142" s="108"/>
      <c r="LSM142" s="108"/>
      <c r="LSN142" s="109"/>
      <c r="LSO142" s="107" t="s">
        <v>1</v>
      </c>
      <c r="LSP142" s="108"/>
      <c r="LSQ142" s="108"/>
      <c r="LSR142" s="109"/>
      <c r="LSS142" s="107" t="s">
        <v>1</v>
      </c>
      <c r="LST142" s="108"/>
      <c r="LSU142" s="108"/>
      <c r="LSV142" s="109"/>
      <c r="LSW142" s="107" t="s">
        <v>1</v>
      </c>
      <c r="LSX142" s="108"/>
      <c r="LSY142" s="108"/>
      <c r="LSZ142" s="109"/>
      <c r="LTA142" s="107" t="s">
        <v>1</v>
      </c>
      <c r="LTB142" s="108"/>
      <c r="LTC142" s="108"/>
      <c r="LTD142" s="109"/>
      <c r="LTE142" s="107" t="s">
        <v>1</v>
      </c>
      <c r="LTF142" s="108"/>
      <c r="LTG142" s="108"/>
      <c r="LTH142" s="109"/>
      <c r="LTI142" s="107" t="s">
        <v>1</v>
      </c>
      <c r="LTJ142" s="108"/>
      <c r="LTK142" s="108"/>
      <c r="LTL142" s="109"/>
      <c r="LTM142" s="107" t="s">
        <v>1</v>
      </c>
      <c r="LTN142" s="108"/>
      <c r="LTO142" s="108"/>
      <c r="LTP142" s="109"/>
      <c r="LTQ142" s="107" t="s">
        <v>1</v>
      </c>
      <c r="LTR142" s="108"/>
      <c r="LTS142" s="108"/>
      <c r="LTT142" s="109"/>
      <c r="LTU142" s="107" t="s">
        <v>1</v>
      </c>
      <c r="LTV142" s="108"/>
      <c r="LTW142" s="108"/>
      <c r="LTX142" s="109"/>
      <c r="LTY142" s="107" t="s">
        <v>1</v>
      </c>
      <c r="LTZ142" s="108"/>
      <c r="LUA142" s="108"/>
      <c r="LUB142" s="109"/>
      <c r="LUC142" s="107" t="s">
        <v>1</v>
      </c>
      <c r="LUD142" s="108"/>
      <c r="LUE142" s="108"/>
      <c r="LUF142" s="109"/>
      <c r="LUG142" s="107" t="s">
        <v>1</v>
      </c>
      <c r="LUH142" s="108"/>
      <c r="LUI142" s="108"/>
      <c r="LUJ142" s="109"/>
      <c r="LUK142" s="107" t="s">
        <v>1</v>
      </c>
      <c r="LUL142" s="108"/>
      <c r="LUM142" s="108"/>
      <c r="LUN142" s="109"/>
      <c r="LUO142" s="107" t="s">
        <v>1</v>
      </c>
      <c r="LUP142" s="108"/>
      <c r="LUQ142" s="108"/>
      <c r="LUR142" s="109"/>
      <c r="LUS142" s="107" t="s">
        <v>1</v>
      </c>
      <c r="LUT142" s="108"/>
      <c r="LUU142" s="108"/>
      <c r="LUV142" s="109"/>
      <c r="LUW142" s="107" t="s">
        <v>1</v>
      </c>
      <c r="LUX142" s="108"/>
      <c r="LUY142" s="108"/>
      <c r="LUZ142" s="109"/>
      <c r="LVA142" s="107" t="s">
        <v>1</v>
      </c>
      <c r="LVB142" s="108"/>
      <c r="LVC142" s="108"/>
      <c r="LVD142" s="109"/>
      <c r="LVE142" s="107" t="s">
        <v>1</v>
      </c>
      <c r="LVF142" s="108"/>
      <c r="LVG142" s="108"/>
      <c r="LVH142" s="109"/>
      <c r="LVI142" s="107" t="s">
        <v>1</v>
      </c>
      <c r="LVJ142" s="108"/>
      <c r="LVK142" s="108"/>
      <c r="LVL142" s="109"/>
      <c r="LVM142" s="107" t="s">
        <v>1</v>
      </c>
      <c r="LVN142" s="108"/>
      <c r="LVO142" s="108"/>
      <c r="LVP142" s="109"/>
      <c r="LVQ142" s="107" t="s">
        <v>1</v>
      </c>
      <c r="LVR142" s="108"/>
      <c r="LVS142" s="108"/>
      <c r="LVT142" s="109"/>
      <c r="LVU142" s="107" t="s">
        <v>1</v>
      </c>
      <c r="LVV142" s="108"/>
      <c r="LVW142" s="108"/>
      <c r="LVX142" s="109"/>
      <c r="LVY142" s="107" t="s">
        <v>1</v>
      </c>
      <c r="LVZ142" s="108"/>
      <c r="LWA142" s="108"/>
      <c r="LWB142" s="109"/>
      <c r="LWC142" s="107" t="s">
        <v>1</v>
      </c>
      <c r="LWD142" s="108"/>
      <c r="LWE142" s="108"/>
      <c r="LWF142" s="109"/>
      <c r="LWG142" s="107" t="s">
        <v>1</v>
      </c>
      <c r="LWH142" s="108"/>
      <c r="LWI142" s="108"/>
      <c r="LWJ142" s="109"/>
      <c r="LWK142" s="107" t="s">
        <v>1</v>
      </c>
      <c r="LWL142" s="108"/>
      <c r="LWM142" s="108"/>
      <c r="LWN142" s="109"/>
      <c r="LWO142" s="107" t="s">
        <v>1</v>
      </c>
      <c r="LWP142" s="108"/>
      <c r="LWQ142" s="108"/>
      <c r="LWR142" s="109"/>
      <c r="LWS142" s="107" t="s">
        <v>1</v>
      </c>
      <c r="LWT142" s="108"/>
      <c r="LWU142" s="108"/>
      <c r="LWV142" s="109"/>
      <c r="LWW142" s="107" t="s">
        <v>1</v>
      </c>
      <c r="LWX142" s="108"/>
      <c r="LWY142" s="108"/>
      <c r="LWZ142" s="109"/>
      <c r="LXA142" s="107" t="s">
        <v>1</v>
      </c>
      <c r="LXB142" s="108"/>
      <c r="LXC142" s="108"/>
      <c r="LXD142" s="109"/>
      <c r="LXE142" s="107" t="s">
        <v>1</v>
      </c>
      <c r="LXF142" s="108"/>
      <c r="LXG142" s="108"/>
      <c r="LXH142" s="109"/>
      <c r="LXI142" s="107" t="s">
        <v>1</v>
      </c>
      <c r="LXJ142" s="108"/>
      <c r="LXK142" s="108"/>
      <c r="LXL142" s="109"/>
      <c r="LXM142" s="107" t="s">
        <v>1</v>
      </c>
      <c r="LXN142" s="108"/>
      <c r="LXO142" s="108"/>
      <c r="LXP142" s="109"/>
      <c r="LXQ142" s="107" t="s">
        <v>1</v>
      </c>
      <c r="LXR142" s="108"/>
      <c r="LXS142" s="108"/>
      <c r="LXT142" s="109"/>
      <c r="LXU142" s="107" t="s">
        <v>1</v>
      </c>
      <c r="LXV142" s="108"/>
      <c r="LXW142" s="108"/>
      <c r="LXX142" s="109"/>
      <c r="LXY142" s="107" t="s">
        <v>1</v>
      </c>
      <c r="LXZ142" s="108"/>
      <c r="LYA142" s="108"/>
      <c r="LYB142" s="109"/>
      <c r="LYC142" s="107" t="s">
        <v>1</v>
      </c>
      <c r="LYD142" s="108"/>
      <c r="LYE142" s="108"/>
      <c r="LYF142" s="109"/>
      <c r="LYG142" s="107" t="s">
        <v>1</v>
      </c>
      <c r="LYH142" s="108"/>
      <c r="LYI142" s="108"/>
      <c r="LYJ142" s="109"/>
      <c r="LYK142" s="107" t="s">
        <v>1</v>
      </c>
      <c r="LYL142" s="108"/>
      <c r="LYM142" s="108"/>
      <c r="LYN142" s="109"/>
      <c r="LYO142" s="107" t="s">
        <v>1</v>
      </c>
      <c r="LYP142" s="108"/>
      <c r="LYQ142" s="108"/>
      <c r="LYR142" s="109"/>
      <c r="LYS142" s="107" t="s">
        <v>1</v>
      </c>
      <c r="LYT142" s="108"/>
      <c r="LYU142" s="108"/>
      <c r="LYV142" s="109"/>
      <c r="LYW142" s="107" t="s">
        <v>1</v>
      </c>
      <c r="LYX142" s="108"/>
      <c r="LYY142" s="108"/>
      <c r="LYZ142" s="109"/>
      <c r="LZA142" s="107" t="s">
        <v>1</v>
      </c>
      <c r="LZB142" s="108"/>
      <c r="LZC142" s="108"/>
      <c r="LZD142" s="109"/>
      <c r="LZE142" s="107" t="s">
        <v>1</v>
      </c>
      <c r="LZF142" s="108"/>
      <c r="LZG142" s="108"/>
      <c r="LZH142" s="109"/>
      <c r="LZI142" s="107" t="s">
        <v>1</v>
      </c>
      <c r="LZJ142" s="108"/>
      <c r="LZK142" s="108"/>
      <c r="LZL142" s="109"/>
      <c r="LZM142" s="107" t="s">
        <v>1</v>
      </c>
      <c r="LZN142" s="108"/>
      <c r="LZO142" s="108"/>
      <c r="LZP142" s="109"/>
      <c r="LZQ142" s="107" t="s">
        <v>1</v>
      </c>
      <c r="LZR142" s="108"/>
      <c r="LZS142" s="108"/>
      <c r="LZT142" s="109"/>
      <c r="LZU142" s="107" t="s">
        <v>1</v>
      </c>
      <c r="LZV142" s="108"/>
      <c r="LZW142" s="108"/>
      <c r="LZX142" s="109"/>
      <c r="LZY142" s="107" t="s">
        <v>1</v>
      </c>
      <c r="LZZ142" s="108"/>
      <c r="MAA142" s="108"/>
      <c r="MAB142" s="109"/>
      <c r="MAC142" s="107" t="s">
        <v>1</v>
      </c>
      <c r="MAD142" s="108"/>
      <c r="MAE142" s="108"/>
      <c r="MAF142" s="109"/>
      <c r="MAG142" s="107" t="s">
        <v>1</v>
      </c>
      <c r="MAH142" s="108"/>
      <c r="MAI142" s="108"/>
      <c r="MAJ142" s="109"/>
      <c r="MAK142" s="107" t="s">
        <v>1</v>
      </c>
      <c r="MAL142" s="108"/>
      <c r="MAM142" s="108"/>
      <c r="MAN142" s="109"/>
      <c r="MAO142" s="107" t="s">
        <v>1</v>
      </c>
      <c r="MAP142" s="108"/>
      <c r="MAQ142" s="108"/>
      <c r="MAR142" s="109"/>
      <c r="MAS142" s="107" t="s">
        <v>1</v>
      </c>
      <c r="MAT142" s="108"/>
      <c r="MAU142" s="108"/>
      <c r="MAV142" s="109"/>
      <c r="MAW142" s="107" t="s">
        <v>1</v>
      </c>
      <c r="MAX142" s="108"/>
      <c r="MAY142" s="108"/>
      <c r="MAZ142" s="109"/>
      <c r="MBA142" s="107" t="s">
        <v>1</v>
      </c>
      <c r="MBB142" s="108"/>
      <c r="MBC142" s="108"/>
      <c r="MBD142" s="109"/>
      <c r="MBE142" s="107" t="s">
        <v>1</v>
      </c>
      <c r="MBF142" s="108"/>
      <c r="MBG142" s="108"/>
      <c r="MBH142" s="109"/>
      <c r="MBI142" s="107" t="s">
        <v>1</v>
      </c>
      <c r="MBJ142" s="108"/>
      <c r="MBK142" s="108"/>
      <c r="MBL142" s="109"/>
      <c r="MBM142" s="107" t="s">
        <v>1</v>
      </c>
      <c r="MBN142" s="108"/>
      <c r="MBO142" s="108"/>
      <c r="MBP142" s="109"/>
      <c r="MBQ142" s="107" t="s">
        <v>1</v>
      </c>
      <c r="MBR142" s="108"/>
      <c r="MBS142" s="108"/>
      <c r="MBT142" s="109"/>
      <c r="MBU142" s="107" t="s">
        <v>1</v>
      </c>
      <c r="MBV142" s="108"/>
      <c r="MBW142" s="108"/>
      <c r="MBX142" s="109"/>
      <c r="MBY142" s="107" t="s">
        <v>1</v>
      </c>
      <c r="MBZ142" s="108"/>
      <c r="MCA142" s="108"/>
      <c r="MCB142" s="109"/>
      <c r="MCC142" s="107" t="s">
        <v>1</v>
      </c>
      <c r="MCD142" s="108"/>
      <c r="MCE142" s="108"/>
      <c r="MCF142" s="109"/>
      <c r="MCG142" s="107" t="s">
        <v>1</v>
      </c>
      <c r="MCH142" s="108"/>
      <c r="MCI142" s="108"/>
      <c r="MCJ142" s="109"/>
      <c r="MCK142" s="107" t="s">
        <v>1</v>
      </c>
      <c r="MCL142" s="108"/>
      <c r="MCM142" s="108"/>
      <c r="MCN142" s="109"/>
      <c r="MCO142" s="107" t="s">
        <v>1</v>
      </c>
      <c r="MCP142" s="108"/>
      <c r="MCQ142" s="108"/>
      <c r="MCR142" s="109"/>
      <c r="MCS142" s="107" t="s">
        <v>1</v>
      </c>
      <c r="MCT142" s="108"/>
      <c r="MCU142" s="108"/>
      <c r="MCV142" s="109"/>
      <c r="MCW142" s="107" t="s">
        <v>1</v>
      </c>
      <c r="MCX142" s="108"/>
      <c r="MCY142" s="108"/>
      <c r="MCZ142" s="109"/>
      <c r="MDA142" s="107" t="s">
        <v>1</v>
      </c>
      <c r="MDB142" s="108"/>
      <c r="MDC142" s="108"/>
      <c r="MDD142" s="109"/>
      <c r="MDE142" s="107" t="s">
        <v>1</v>
      </c>
      <c r="MDF142" s="108"/>
      <c r="MDG142" s="108"/>
      <c r="MDH142" s="109"/>
      <c r="MDI142" s="107" t="s">
        <v>1</v>
      </c>
      <c r="MDJ142" s="108"/>
      <c r="MDK142" s="108"/>
      <c r="MDL142" s="109"/>
      <c r="MDM142" s="107" t="s">
        <v>1</v>
      </c>
      <c r="MDN142" s="108"/>
      <c r="MDO142" s="108"/>
      <c r="MDP142" s="109"/>
      <c r="MDQ142" s="107" t="s">
        <v>1</v>
      </c>
      <c r="MDR142" s="108"/>
      <c r="MDS142" s="108"/>
      <c r="MDT142" s="109"/>
      <c r="MDU142" s="107" t="s">
        <v>1</v>
      </c>
      <c r="MDV142" s="108"/>
      <c r="MDW142" s="108"/>
      <c r="MDX142" s="109"/>
      <c r="MDY142" s="107" t="s">
        <v>1</v>
      </c>
      <c r="MDZ142" s="108"/>
      <c r="MEA142" s="108"/>
      <c r="MEB142" s="109"/>
      <c r="MEC142" s="107" t="s">
        <v>1</v>
      </c>
      <c r="MED142" s="108"/>
      <c r="MEE142" s="108"/>
      <c r="MEF142" s="109"/>
      <c r="MEG142" s="107" t="s">
        <v>1</v>
      </c>
      <c r="MEH142" s="108"/>
      <c r="MEI142" s="108"/>
      <c r="MEJ142" s="109"/>
      <c r="MEK142" s="107" t="s">
        <v>1</v>
      </c>
      <c r="MEL142" s="108"/>
      <c r="MEM142" s="108"/>
      <c r="MEN142" s="109"/>
      <c r="MEO142" s="107" t="s">
        <v>1</v>
      </c>
      <c r="MEP142" s="108"/>
      <c r="MEQ142" s="108"/>
      <c r="MER142" s="109"/>
      <c r="MES142" s="107" t="s">
        <v>1</v>
      </c>
      <c r="MET142" s="108"/>
      <c r="MEU142" s="108"/>
      <c r="MEV142" s="109"/>
      <c r="MEW142" s="107" t="s">
        <v>1</v>
      </c>
      <c r="MEX142" s="108"/>
      <c r="MEY142" s="108"/>
      <c r="MEZ142" s="109"/>
      <c r="MFA142" s="107" t="s">
        <v>1</v>
      </c>
      <c r="MFB142" s="108"/>
      <c r="MFC142" s="108"/>
      <c r="MFD142" s="109"/>
      <c r="MFE142" s="107" t="s">
        <v>1</v>
      </c>
      <c r="MFF142" s="108"/>
      <c r="MFG142" s="108"/>
      <c r="MFH142" s="109"/>
      <c r="MFI142" s="107" t="s">
        <v>1</v>
      </c>
      <c r="MFJ142" s="108"/>
      <c r="MFK142" s="108"/>
      <c r="MFL142" s="109"/>
      <c r="MFM142" s="107" t="s">
        <v>1</v>
      </c>
      <c r="MFN142" s="108"/>
      <c r="MFO142" s="108"/>
      <c r="MFP142" s="109"/>
      <c r="MFQ142" s="107" t="s">
        <v>1</v>
      </c>
      <c r="MFR142" s="108"/>
      <c r="MFS142" s="108"/>
      <c r="MFT142" s="109"/>
      <c r="MFU142" s="107" t="s">
        <v>1</v>
      </c>
      <c r="MFV142" s="108"/>
      <c r="MFW142" s="108"/>
      <c r="MFX142" s="109"/>
      <c r="MFY142" s="107" t="s">
        <v>1</v>
      </c>
      <c r="MFZ142" s="108"/>
      <c r="MGA142" s="108"/>
      <c r="MGB142" s="109"/>
      <c r="MGC142" s="107" t="s">
        <v>1</v>
      </c>
      <c r="MGD142" s="108"/>
      <c r="MGE142" s="108"/>
      <c r="MGF142" s="109"/>
      <c r="MGG142" s="107" t="s">
        <v>1</v>
      </c>
      <c r="MGH142" s="108"/>
      <c r="MGI142" s="108"/>
      <c r="MGJ142" s="109"/>
      <c r="MGK142" s="107" t="s">
        <v>1</v>
      </c>
      <c r="MGL142" s="108"/>
      <c r="MGM142" s="108"/>
      <c r="MGN142" s="109"/>
      <c r="MGO142" s="107" t="s">
        <v>1</v>
      </c>
      <c r="MGP142" s="108"/>
      <c r="MGQ142" s="108"/>
      <c r="MGR142" s="109"/>
      <c r="MGS142" s="107" t="s">
        <v>1</v>
      </c>
      <c r="MGT142" s="108"/>
      <c r="MGU142" s="108"/>
      <c r="MGV142" s="109"/>
      <c r="MGW142" s="107" t="s">
        <v>1</v>
      </c>
      <c r="MGX142" s="108"/>
      <c r="MGY142" s="108"/>
      <c r="MGZ142" s="109"/>
      <c r="MHA142" s="107" t="s">
        <v>1</v>
      </c>
      <c r="MHB142" s="108"/>
      <c r="MHC142" s="108"/>
      <c r="MHD142" s="109"/>
      <c r="MHE142" s="107" t="s">
        <v>1</v>
      </c>
      <c r="MHF142" s="108"/>
      <c r="MHG142" s="108"/>
      <c r="MHH142" s="109"/>
      <c r="MHI142" s="107" t="s">
        <v>1</v>
      </c>
      <c r="MHJ142" s="108"/>
      <c r="MHK142" s="108"/>
      <c r="MHL142" s="109"/>
      <c r="MHM142" s="107" t="s">
        <v>1</v>
      </c>
      <c r="MHN142" s="108"/>
      <c r="MHO142" s="108"/>
      <c r="MHP142" s="109"/>
      <c r="MHQ142" s="107" t="s">
        <v>1</v>
      </c>
      <c r="MHR142" s="108"/>
      <c r="MHS142" s="108"/>
      <c r="MHT142" s="109"/>
      <c r="MHU142" s="107" t="s">
        <v>1</v>
      </c>
      <c r="MHV142" s="108"/>
      <c r="MHW142" s="108"/>
      <c r="MHX142" s="109"/>
      <c r="MHY142" s="107" t="s">
        <v>1</v>
      </c>
      <c r="MHZ142" s="108"/>
      <c r="MIA142" s="108"/>
      <c r="MIB142" s="109"/>
      <c r="MIC142" s="107" t="s">
        <v>1</v>
      </c>
      <c r="MID142" s="108"/>
      <c r="MIE142" s="108"/>
      <c r="MIF142" s="109"/>
      <c r="MIG142" s="107" t="s">
        <v>1</v>
      </c>
      <c r="MIH142" s="108"/>
      <c r="MII142" s="108"/>
      <c r="MIJ142" s="109"/>
      <c r="MIK142" s="107" t="s">
        <v>1</v>
      </c>
      <c r="MIL142" s="108"/>
      <c r="MIM142" s="108"/>
      <c r="MIN142" s="109"/>
      <c r="MIO142" s="107" t="s">
        <v>1</v>
      </c>
      <c r="MIP142" s="108"/>
      <c r="MIQ142" s="108"/>
      <c r="MIR142" s="109"/>
      <c r="MIS142" s="107" t="s">
        <v>1</v>
      </c>
      <c r="MIT142" s="108"/>
      <c r="MIU142" s="108"/>
      <c r="MIV142" s="109"/>
      <c r="MIW142" s="107" t="s">
        <v>1</v>
      </c>
      <c r="MIX142" s="108"/>
      <c r="MIY142" s="108"/>
      <c r="MIZ142" s="109"/>
      <c r="MJA142" s="107" t="s">
        <v>1</v>
      </c>
      <c r="MJB142" s="108"/>
      <c r="MJC142" s="108"/>
      <c r="MJD142" s="109"/>
      <c r="MJE142" s="107" t="s">
        <v>1</v>
      </c>
      <c r="MJF142" s="108"/>
      <c r="MJG142" s="108"/>
      <c r="MJH142" s="109"/>
      <c r="MJI142" s="107" t="s">
        <v>1</v>
      </c>
      <c r="MJJ142" s="108"/>
      <c r="MJK142" s="108"/>
      <c r="MJL142" s="109"/>
      <c r="MJM142" s="107" t="s">
        <v>1</v>
      </c>
      <c r="MJN142" s="108"/>
      <c r="MJO142" s="108"/>
      <c r="MJP142" s="109"/>
      <c r="MJQ142" s="107" t="s">
        <v>1</v>
      </c>
      <c r="MJR142" s="108"/>
      <c r="MJS142" s="108"/>
      <c r="MJT142" s="109"/>
      <c r="MJU142" s="107" t="s">
        <v>1</v>
      </c>
      <c r="MJV142" s="108"/>
      <c r="MJW142" s="108"/>
      <c r="MJX142" s="109"/>
      <c r="MJY142" s="107" t="s">
        <v>1</v>
      </c>
      <c r="MJZ142" s="108"/>
      <c r="MKA142" s="108"/>
      <c r="MKB142" s="109"/>
      <c r="MKC142" s="107" t="s">
        <v>1</v>
      </c>
      <c r="MKD142" s="108"/>
      <c r="MKE142" s="108"/>
      <c r="MKF142" s="109"/>
      <c r="MKG142" s="107" t="s">
        <v>1</v>
      </c>
      <c r="MKH142" s="108"/>
      <c r="MKI142" s="108"/>
      <c r="MKJ142" s="109"/>
      <c r="MKK142" s="107" t="s">
        <v>1</v>
      </c>
      <c r="MKL142" s="108"/>
      <c r="MKM142" s="108"/>
      <c r="MKN142" s="109"/>
      <c r="MKO142" s="107" t="s">
        <v>1</v>
      </c>
      <c r="MKP142" s="108"/>
      <c r="MKQ142" s="108"/>
      <c r="MKR142" s="109"/>
      <c r="MKS142" s="107" t="s">
        <v>1</v>
      </c>
      <c r="MKT142" s="108"/>
      <c r="MKU142" s="108"/>
      <c r="MKV142" s="109"/>
      <c r="MKW142" s="107" t="s">
        <v>1</v>
      </c>
      <c r="MKX142" s="108"/>
      <c r="MKY142" s="108"/>
      <c r="MKZ142" s="109"/>
      <c r="MLA142" s="107" t="s">
        <v>1</v>
      </c>
      <c r="MLB142" s="108"/>
      <c r="MLC142" s="108"/>
      <c r="MLD142" s="109"/>
      <c r="MLE142" s="107" t="s">
        <v>1</v>
      </c>
      <c r="MLF142" s="108"/>
      <c r="MLG142" s="108"/>
      <c r="MLH142" s="109"/>
      <c r="MLI142" s="107" t="s">
        <v>1</v>
      </c>
      <c r="MLJ142" s="108"/>
      <c r="MLK142" s="108"/>
      <c r="MLL142" s="109"/>
      <c r="MLM142" s="107" t="s">
        <v>1</v>
      </c>
      <c r="MLN142" s="108"/>
      <c r="MLO142" s="108"/>
      <c r="MLP142" s="109"/>
      <c r="MLQ142" s="107" t="s">
        <v>1</v>
      </c>
      <c r="MLR142" s="108"/>
      <c r="MLS142" s="108"/>
      <c r="MLT142" s="109"/>
      <c r="MLU142" s="107" t="s">
        <v>1</v>
      </c>
      <c r="MLV142" s="108"/>
      <c r="MLW142" s="108"/>
      <c r="MLX142" s="109"/>
      <c r="MLY142" s="107" t="s">
        <v>1</v>
      </c>
      <c r="MLZ142" s="108"/>
      <c r="MMA142" s="108"/>
      <c r="MMB142" s="109"/>
      <c r="MMC142" s="107" t="s">
        <v>1</v>
      </c>
      <c r="MMD142" s="108"/>
      <c r="MME142" s="108"/>
      <c r="MMF142" s="109"/>
      <c r="MMG142" s="107" t="s">
        <v>1</v>
      </c>
      <c r="MMH142" s="108"/>
      <c r="MMI142" s="108"/>
      <c r="MMJ142" s="109"/>
      <c r="MMK142" s="107" t="s">
        <v>1</v>
      </c>
      <c r="MML142" s="108"/>
      <c r="MMM142" s="108"/>
      <c r="MMN142" s="109"/>
      <c r="MMO142" s="107" t="s">
        <v>1</v>
      </c>
      <c r="MMP142" s="108"/>
      <c r="MMQ142" s="108"/>
      <c r="MMR142" s="109"/>
      <c r="MMS142" s="107" t="s">
        <v>1</v>
      </c>
      <c r="MMT142" s="108"/>
      <c r="MMU142" s="108"/>
      <c r="MMV142" s="109"/>
      <c r="MMW142" s="107" t="s">
        <v>1</v>
      </c>
      <c r="MMX142" s="108"/>
      <c r="MMY142" s="108"/>
      <c r="MMZ142" s="109"/>
      <c r="MNA142" s="107" t="s">
        <v>1</v>
      </c>
      <c r="MNB142" s="108"/>
      <c r="MNC142" s="108"/>
      <c r="MND142" s="109"/>
      <c r="MNE142" s="107" t="s">
        <v>1</v>
      </c>
      <c r="MNF142" s="108"/>
      <c r="MNG142" s="108"/>
      <c r="MNH142" s="109"/>
      <c r="MNI142" s="107" t="s">
        <v>1</v>
      </c>
      <c r="MNJ142" s="108"/>
      <c r="MNK142" s="108"/>
      <c r="MNL142" s="109"/>
      <c r="MNM142" s="107" t="s">
        <v>1</v>
      </c>
      <c r="MNN142" s="108"/>
      <c r="MNO142" s="108"/>
      <c r="MNP142" s="109"/>
      <c r="MNQ142" s="107" t="s">
        <v>1</v>
      </c>
      <c r="MNR142" s="108"/>
      <c r="MNS142" s="108"/>
      <c r="MNT142" s="109"/>
      <c r="MNU142" s="107" t="s">
        <v>1</v>
      </c>
      <c r="MNV142" s="108"/>
      <c r="MNW142" s="108"/>
      <c r="MNX142" s="109"/>
      <c r="MNY142" s="107" t="s">
        <v>1</v>
      </c>
      <c r="MNZ142" s="108"/>
      <c r="MOA142" s="108"/>
      <c r="MOB142" s="109"/>
      <c r="MOC142" s="107" t="s">
        <v>1</v>
      </c>
      <c r="MOD142" s="108"/>
      <c r="MOE142" s="108"/>
      <c r="MOF142" s="109"/>
      <c r="MOG142" s="107" t="s">
        <v>1</v>
      </c>
      <c r="MOH142" s="108"/>
      <c r="MOI142" s="108"/>
      <c r="MOJ142" s="109"/>
      <c r="MOK142" s="107" t="s">
        <v>1</v>
      </c>
      <c r="MOL142" s="108"/>
      <c r="MOM142" s="108"/>
      <c r="MON142" s="109"/>
      <c r="MOO142" s="107" t="s">
        <v>1</v>
      </c>
      <c r="MOP142" s="108"/>
      <c r="MOQ142" s="108"/>
      <c r="MOR142" s="109"/>
      <c r="MOS142" s="107" t="s">
        <v>1</v>
      </c>
      <c r="MOT142" s="108"/>
      <c r="MOU142" s="108"/>
      <c r="MOV142" s="109"/>
      <c r="MOW142" s="107" t="s">
        <v>1</v>
      </c>
      <c r="MOX142" s="108"/>
      <c r="MOY142" s="108"/>
      <c r="MOZ142" s="109"/>
      <c r="MPA142" s="107" t="s">
        <v>1</v>
      </c>
      <c r="MPB142" s="108"/>
      <c r="MPC142" s="108"/>
      <c r="MPD142" s="109"/>
      <c r="MPE142" s="107" t="s">
        <v>1</v>
      </c>
      <c r="MPF142" s="108"/>
      <c r="MPG142" s="108"/>
      <c r="MPH142" s="109"/>
      <c r="MPI142" s="107" t="s">
        <v>1</v>
      </c>
      <c r="MPJ142" s="108"/>
      <c r="MPK142" s="108"/>
      <c r="MPL142" s="109"/>
      <c r="MPM142" s="107" t="s">
        <v>1</v>
      </c>
      <c r="MPN142" s="108"/>
      <c r="MPO142" s="108"/>
      <c r="MPP142" s="109"/>
      <c r="MPQ142" s="107" t="s">
        <v>1</v>
      </c>
      <c r="MPR142" s="108"/>
      <c r="MPS142" s="108"/>
      <c r="MPT142" s="109"/>
      <c r="MPU142" s="107" t="s">
        <v>1</v>
      </c>
      <c r="MPV142" s="108"/>
      <c r="MPW142" s="108"/>
      <c r="MPX142" s="109"/>
      <c r="MPY142" s="107" t="s">
        <v>1</v>
      </c>
      <c r="MPZ142" s="108"/>
      <c r="MQA142" s="108"/>
      <c r="MQB142" s="109"/>
      <c r="MQC142" s="107" t="s">
        <v>1</v>
      </c>
      <c r="MQD142" s="108"/>
      <c r="MQE142" s="108"/>
      <c r="MQF142" s="109"/>
      <c r="MQG142" s="107" t="s">
        <v>1</v>
      </c>
      <c r="MQH142" s="108"/>
      <c r="MQI142" s="108"/>
      <c r="MQJ142" s="109"/>
      <c r="MQK142" s="107" t="s">
        <v>1</v>
      </c>
      <c r="MQL142" s="108"/>
      <c r="MQM142" s="108"/>
      <c r="MQN142" s="109"/>
      <c r="MQO142" s="107" t="s">
        <v>1</v>
      </c>
      <c r="MQP142" s="108"/>
      <c r="MQQ142" s="108"/>
      <c r="MQR142" s="109"/>
      <c r="MQS142" s="107" t="s">
        <v>1</v>
      </c>
      <c r="MQT142" s="108"/>
      <c r="MQU142" s="108"/>
      <c r="MQV142" s="109"/>
      <c r="MQW142" s="107" t="s">
        <v>1</v>
      </c>
      <c r="MQX142" s="108"/>
      <c r="MQY142" s="108"/>
      <c r="MQZ142" s="109"/>
      <c r="MRA142" s="107" t="s">
        <v>1</v>
      </c>
      <c r="MRB142" s="108"/>
      <c r="MRC142" s="108"/>
      <c r="MRD142" s="109"/>
      <c r="MRE142" s="107" t="s">
        <v>1</v>
      </c>
      <c r="MRF142" s="108"/>
      <c r="MRG142" s="108"/>
      <c r="MRH142" s="109"/>
      <c r="MRI142" s="107" t="s">
        <v>1</v>
      </c>
      <c r="MRJ142" s="108"/>
      <c r="MRK142" s="108"/>
      <c r="MRL142" s="109"/>
      <c r="MRM142" s="107" t="s">
        <v>1</v>
      </c>
      <c r="MRN142" s="108"/>
      <c r="MRO142" s="108"/>
      <c r="MRP142" s="109"/>
      <c r="MRQ142" s="107" t="s">
        <v>1</v>
      </c>
      <c r="MRR142" s="108"/>
      <c r="MRS142" s="108"/>
      <c r="MRT142" s="109"/>
      <c r="MRU142" s="107" t="s">
        <v>1</v>
      </c>
      <c r="MRV142" s="108"/>
      <c r="MRW142" s="108"/>
      <c r="MRX142" s="109"/>
      <c r="MRY142" s="107" t="s">
        <v>1</v>
      </c>
      <c r="MRZ142" s="108"/>
      <c r="MSA142" s="108"/>
      <c r="MSB142" s="109"/>
      <c r="MSC142" s="107" t="s">
        <v>1</v>
      </c>
      <c r="MSD142" s="108"/>
      <c r="MSE142" s="108"/>
      <c r="MSF142" s="109"/>
      <c r="MSG142" s="107" t="s">
        <v>1</v>
      </c>
      <c r="MSH142" s="108"/>
      <c r="MSI142" s="108"/>
      <c r="MSJ142" s="109"/>
      <c r="MSK142" s="107" t="s">
        <v>1</v>
      </c>
      <c r="MSL142" s="108"/>
      <c r="MSM142" s="108"/>
      <c r="MSN142" s="109"/>
      <c r="MSO142" s="107" t="s">
        <v>1</v>
      </c>
      <c r="MSP142" s="108"/>
      <c r="MSQ142" s="108"/>
      <c r="MSR142" s="109"/>
      <c r="MSS142" s="107" t="s">
        <v>1</v>
      </c>
      <c r="MST142" s="108"/>
      <c r="MSU142" s="108"/>
      <c r="MSV142" s="109"/>
      <c r="MSW142" s="107" t="s">
        <v>1</v>
      </c>
      <c r="MSX142" s="108"/>
      <c r="MSY142" s="108"/>
      <c r="MSZ142" s="109"/>
      <c r="MTA142" s="107" t="s">
        <v>1</v>
      </c>
      <c r="MTB142" s="108"/>
      <c r="MTC142" s="108"/>
      <c r="MTD142" s="109"/>
      <c r="MTE142" s="107" t="s">
        <v>1</v>
      </c>
      <c r="MTF142" s="108"/>
      <c r="MTG142" s="108"/>
      <c r="MTH142" s="109"/>
      <c r="MTI142" s="107" t="s">
        <v>1</v>
      </c>
      <c r="MTJ142" s="108"/>
      <c r="MTK142" s="108"/>
      <c r="MTL142" s="109"/>
      <c r="MTM142" s="107" t="s">
        <v>1</v>
      </c>
      <c r="MTN142" s="108"/>
      <c r="MTO142" s="108"/>
      <c r="MTP142" s="109"/>
      <c r="MTQ142" s="107" t="s">
        <v>1</v>
      </c>
      <c r="MTR142" s="108"/>
      <c r="MTS142" s="108"/>
      <c r="MTT142" s="109"/>
      <c r="MTU142" s="107" t="s">
        <v>1</v>
      </c>
      <c r="MTV142" s="108"/>
      <c r="MTW142" s="108"/>
      <c r="MTX142" s="109"/>
      <c r="MTY142" s="107" t="s">
        <v>1</v>
      </c>
      <c r="MTZ142" s="108"/>
      <c r="MUA142" s="108"/>
      <c r="MUB142" s="109"/>
      <c r="MUC142" s="107" t="s">
        <v>1</v>
      </c>
      <c r="MUD142" s="108"/>
      <c r="MUE142" s="108"/>
      <c r="MUF142" s="109"/>
      <c r="MUG142" s="107" t="s">
        <v>1</v>
      </c>
      <c r="MUH142" s="108"/>
      <c r="MUI142" s="108"/>
      <c r="MUJ142" s="109"/>
      <c r="MUK142" s="107" t="s">
        <v>1</v>
      </c>
      <c r="MUL142" s="108"/>
      <c r="MUM142" s="108"/>
      <c r="MUN142" s="109"/>
      <c r="MUO142" s="107" t="s">
        <v>1</v>
      </c>
      <c r="MUP142" s="108"/>
      <c r="MUQ142" s="108"/>
      <c r="MUR142" s="109"/>
      <c r="MUS142" s="107" t="s">
        <v>1</v>
      </c>
      <c r="MUT142" s="108"/>
      <c r="MUU142" s="108"/>
      <c r="MUV142" s="109"/>
      <c r="MUW142" s="107" t="s">
        <v>1</v>
      </c>
      <c r="MUX142" s="108"/>
      <c r="MUY142" s="108"/>
      <c r="MUZ142" s="109"/>
      <c r="MVA142" s="107" t="s">
        <v>1</v>
      </c>
      <c r="MVB142" s="108"/>
      <c r="MVC142" s="108"/>
      <c r="MVD142" s="109"/>
      <c r="MVE142" s="107" t="s">
        <v>1</v>
      </c>
      <c r="MVF142" s="108"/>
      <c r="MVG142" s="108"/>
      <c r="MVH142" s="109"/>
      <c r="MVI142" s="107" t="s">
        <v>1</v>
      </c>
      <c r="MVJ142" s="108"/>
      <c r="MVK142" s="108"/>
      <c r="MVL142" s="109"/>
      <c r="MVM142" s="107" t="s">
        <v>1</v>
      </c>
      <c r="MVN142" s="108"/>
      <c r="MVO142" s="108"/>
      <c r="MVP142" s="109"/>
      <c r="MVQ142" s="107" t="s">
        <v>1</v>
      </c>
      <c r="MVR142" s="108"/>
      <c r="MVS142" s="108"/>
      <c r="MVT142" s="109"/>
      <c r="MVU142" s="107" t="s">
        <v>1</v>
      </c>
      <c r="MVV142" s="108"/>
      <c r="MVW142" s="108"/>
      <c r="MVX142" s="109"/>
      <c r="MVY142" s="107" t="s">
        <v>1</v>
      </c>
      <c r="MVZ142" s="108"/>
      <c r="MWA142" s="108"/>
      <c r="MWB142" s="109"/>
      <c r="MWC142" s="107" t="s">
        <v>1</v>
      </c>
      <c r="MWD142" s="108"/>
      <c r="MWE142" s="108"/>
      <c r="MWF142" s="109"/>
      <c r="MWG142" s="107" t="s">
        <v>1</v>
      </c>
      <c r="MWH142" s="108"/>
      <c r="MWI142" s="108"/>
      <c r="MWJ142" s="109"/>
      <c r="MWK142" s="107" t="s">
        <v>1</v>
      </c>
      <c r="MWL142" s="108"/>
      <c r="MWM142" s="108"/>
      <c r="MWN142" s="109"/>
      <c r="MWO142" s="107" t="s">
        <v>1</v>
      </c>
      <c r="MWP142" s="108"/>
      <c r="MWQ142" s="108"/>
      <c r="MWR142" s="109"/>
      <c r="MWS142" s="107" t="s">
        <v>1</v>
      </c>
      <c r="MWT142" s="108"/>
      <c r="MWU142" s="108"/>
      <c r="MWV142" s="109"/>
      <c r="MWW142" s="107" t="s">
        <v>1</v>
      </c>
      <c r="MWX142" s="108"/>
      <c r="MWY142" s="108"/>
      <c r="MWZ142" s="109"/>
      <c r="MXA142" s="107" t="s">
        <v>1</v>
      </c>
      <c r="MXB142" s="108"/>
      <c r="MXC142" s="108"/>
      <c r="MXD142" s="109"/>
      <c r="MXE142" s="107" t="s">
        <v>1</v>
      </c>
      <c r="MXF142" s="108"/>
      <c r="MXG142" s="108"/>
      <c r="MXH142" s="109"/>
      <c r="MXI142" s="107" t="s">
        <v>1</v>
      </c>
      <c r="MXJ142" s="108"/>
      <c r="MXK142" s="108"/>
      <c r="MXL142" s="109"/>
      <c r="MXM142" s="107" t="s">
        <v>1</v>
      </c>
      <c r="MXN142" s="108"/>
      <c r="MXO142" s="108"/>
      <c r="MXP142" s="109"/>
      <c r="MXQ142" s="107" t="s">
        <v>1</v>
      </c>
      <c r="MXR142" s="108"/>
      <c r="MXS142" s="108"/>
      <c r="MXT142" s="109"/>
      <c r="MXU142" s="107" t="s">
        <v>1</v>
      </c>
      <c r="MXV142" s="108"/>
      <c r="MXW142" s="108"/>
      <c r="MXX142" s="109"/>
      <c r="MXY142" s="107" t="s">
        <v>1</v>
      </c>
      <c r="MXZ142" s="108"/>
      <c r="MYA142" s="108"/>
      <c r="MYB142" s="109"/>
      <c r="MYC142" s="107" t="s">
        <v>1</v>
      </c>
      <c r="MYD142" s="108"/>
      <c r="MYE142" s="108"/>
      <c r="MYF142" s="109"/>
      <c r="MYG142" s="107" t="s">
        <v>1</v>
      </c>
      <c r="MYH142" s="108"/>
      <c r="MYI142" s="108"/>
      <c r="MYJ142" s="109"/>
      <c r="MYK142" s="107" t="s">
        <v>1</v>
      </c>
      <c r="MYL142" s="108"/>
      <c r="MYM142" s="108"/>
      <c r="MYN142" s="109"/>
      <c r="MYO142" s="107" t="s">
        <v>1</v>
      </c>
      <c r="MYP142" s="108"/>
      <c r="MYQ142" s="108"/>
      <c r="MYR142" s="109"/>
      <c r="MYS142" s="107" t="s">
        <v>1</v>
      </c>
      <c r="MYT142" s="108"/>
      <c r="MYU142" s="108"/>
      <c r="MYV142" s="109"/>
      <c r="MYW142" s="107" t="s">
        <v>1</v>
      </c>
      <c r="MYX142" s="108"/>
      <c r="MYY142" s="108"/>
      <c r="MYZ142" s="109"/>
      <c r="MZA142" s="107" t="s">
        <v>1</v>
      </c>
      <c r="MZB142" s="108"/>
      <c r="MZC142" s="108"/>
      <c r="MZD142" s="109"/>
      <c r="MZE142" s="107" t="s">
        <v>1</v>
      </c>
      <c r="MZF142" s="108"/>
      <c r="MZG142" s="108"/>
      <c r="MZH142" s="109"/>
      <c r="MZI142" s="107" t="s">
        <v>1</v>
      </c>
      <c r="MZJ142" s="108"/>
      <c r="MZK142" s="108"/>
      <c r="MZL142" s="109"/>
      <c r="MZM142" s="107" t="s">
        <v>1</v>
      </c>
      <c r="MZN142" s="108"/>
      <c r="MZO142" s="108"/>
      <c r="MZP142" s="109"/>
      <c r="MZQ142" s="107" t="s">
        <v>1</v>
      </c>
      <c r="MZR142" s="108"/>
      <c r="MZS142" s="108"/>
      <c r="MZT142" s="109"/>
      <c r="MZU142" s="107" t="s">
        <v>1</v>
      </c>
      <c r="MZV142" s="108"/>
      <c r="MZW142" s="108"/>
      <c r="MZX142" s="109"/>
      <c r="MZY142" s="107" t="s">
        <v>1</v>
      </c>
      <c r="MZZ142" s="108"/>
      <c r="NAA142" s="108"/>
      <c r="NAB142" s="109"/>
      <c r="NAC142" s="107" t="s">
        <v>1</v>
      </c>
      <c r="NAD142" s="108"/>
      <c r="NAE142" s="108"/>
      <c r="NAF142" s="109"/>
      <c r="NAG142" s="107" t="s">
        <v>1</v>
      </c>
      <c r="NAH142" s="108"/>
      <c r="NAI142" s="108"/>
      <c r="NAJ142" s="109"/>
      <c r="NAK142" s="107" t="s">
        <v>1</v>
      </c>
      <c r="NAL142" s="108"/>
      <c r="NAM142" s="108"/>
      <c r="NAN142" s="109"/>
      <c r="NAO142" s="107" t="s">
        <v>1</v>
      </c>
      <c r="NAP142" s="108"/>
      <c r="NAQ142" s="108"/>
      <c r="NAR142" s="109"/>
      <c r="NAS142" s="107" t="s">
        <v>1</v>
      </c>
      <c r="NAT142" s="108"/>
      <c r="NAU142" s="108"/>
      <c r="NAV142" s="109"/>
      <c r="NAW142" s="107" t="s">
        <v>1</v>
      </c>
      <c r="NAX142" s="108"/>
      <c r="NAY142" s="108"/>
      <c r="NAZ142" s="109"/>
      <c r="NBA142" s="107" t="s">
        <v>1</v>
      </c>
      <c r="NBB142" s="108"/>
      <c r="NBC142" s="108"/>
      <c r="NBD142" s="109"/>
      <c r="NBE142" s="107" t="s">
        <v>1</v>
      </c>
      <c r="NBF142" s="108"/>
      <c r="NBG142" s="108"/>
      <c r="NBH142" s="109"/>
      <c r="NBI142" s="107" t="s">
        <v>1</v>
      </c>
      <c r="NBJ142" s="108"/>
      <c r="NBK142" s="108"/>
      <c r="NBL142" s="109"/>
      <c r="NBM142" s="107" t="s">
        <v>1</v>
      </c>
      <c r="NBN142" s="108"/>
      <c r="NBO142" s="108"/>
      <c r="NBP142" s="109"/>
      <c r="NBQ142" s="107" t="s">
        <v>1</v>
      </c>
      <c r="NBR142" s="108"/>
      <c r="NBS142" s="108"/>
      <c r="NBT142" s="109"/>
      <c r="NBU142" s="107" t="s">
        <v>1</v>
      </c>
      <c r="NBV142" s="108"/>
      <c r="NBW142" s="108"/>
      <c r="NBX142" s="109"/>
      <c r="NBY142" s="107" t="s">
        <v>1</v>
      </c>
      <c r="NBZ142" s="108"/>
      <c r="NCA142" s="108"/>
      <c r="NCB142" s="109"/>
      <c r="NCC142" s="107" t="s">
        <v>1</v>
      </c>
      <c r="NCD142" s="108"/>
      <c r="NCE142" s="108"/>
      <c r="NCF142" s="109"/>
      <c r="NCG142" s="107" t="s">
        <v>1</v>
      </c>
      <c r="NCH142" s="108"/>
      <c r="NCI142" s="108"/>
      <c r="NCJ142" s="109"/>
      <c r="NCK142" s="107" t="s">
        <v>1</v>
      </c>
      <c r="NCL142" s="108"/>
      <c r="NCM142" s="108"/>
      <c r="NCN142" s="109"/>
      <c r="NCO142" s="107" t="s">
        <v>1</v>
      </c>
      <c r="NCP142" s="108"/>
      <c r="NCQ142" s="108"/>
      <c r="NCR142" s="109"/>
      <c r="NCS142" s="107" t="s">
        <v>1</v>
      </c>
      <c r="NCT142" s="108"/>
      <c r="NCU142" s="108"/>
      <c r="NCV142" s="109"/>
      <c r="NCW142" s="107" t="s">
        <v>1</v>
      </c>
      <c r="NCX142" s="108"/>
      <c r="NCY142" s="108"/>
      <c r="NCZ142" s="109"/>
      <c r="NDA142" s="107" t="s">
        <v>1</v>
      </c>
      <c r="NDB142" s="108"/>
      <c r="NDC142" s="108"/>
      <c r="NDD142" s="109"/>
      <c r="NDE142" s="107" t="s">
        <v>1</v>
      </c>
      <c r="NDF142" s="108"/>
      <c r="NDG142" s="108"/>
      <c r="NDH142" s="109"/>
      <c r="NDI142" s="107" t="s">
        <v>1</v>
      </c>
      <c r="NDJ142" s="108"/>
      <c r="NDK142" s="108"/>
      <c r="NDL142" s="109"/>
      <c r="NDM142" s="107" t="s">
        <v>1</v>
      </c>
      <c r="NDN142" s="108"/>
      <c r="NDO142" s="108"/>
      <c r="NDP142" s="109"/>
      <c r="NDQ142" s="107" t="s">
        <v>1</v>
      </c>
      <c r="NDR142" s="108"/>
      <c r="NDS142" s="108"/>
      <c r="NDT142" s="109"/>
      <c r="NDU142" s="107" t="s">
        <v>1</v>
      </c>
      <c r="NDV142" s="108"/>
      <c r="NDW142" s="108"/>
      <c r="NDX142" s="109"/>
      <c r="NDY142" s="107" t="s">
        <v>1</v>
      </c>
      <c r="NDZ142" s="108"/>
      <c r="NEA142" s="108"/>
      <c r="NEB142" s="109"/>
      <c r="NEC142" s="107" t="s">
        <v>1</v>
      </c>
      <c r="NED142" s="108"/>
      <c r="NEE142" s="108"/>
      <c r="NEF142" s="109"/>
      <c r="NEG142" s="107" t="s">
        <v>1</v>
      </c>
      <c r="NEH142" s="108"/>
      <c r="NEI142" s="108"/>
      <c r="NEJ142" s="109"/>
      <c r="NEK142" s="107" t="s">
        <v>1</v>
      </c>
      <c r="NEL142" s="108"/>
      <c r="NEM142" s="108"/>
      <c r="NEN142" s="109"/>
      <c r="NEO142" s="107" t="s">
        <v>1</v>
      </c>
      <c r="NEP142" s="108"/>
      <c r="NEQ142" s="108"/>
      <c r="NER142" s="109"/>
      <c r="NES142" s="107" t="s">
        <v>1</v>
      </c>
      <c r="NET142" s="108"/>
      <c r="NEU142" s="108"/>
      <c r="NEV142" s="109"/>
      <c r="NEW142" s="107" t="s">
        <v>1</v>
      </c>
      <c r="NEX142" s="108"/>
      <c r="NEY142" s="108"/>
      <c r="NEZ142" s="109"/>
      <c r="NFA142" s="107" t="s">
        <v>1</v>
      </c>
      <c r="NFB142" s="108"/>
      <c r="NFC142" s="108"/>
      <c r="NFD142" s="109"/>
      <c r="NFE142" s="107" t="s">
        <v>1</v>
      </c>
      <c r="NFF142" s="108"/>
      <c r="NFG142" s="108"/>
      <c r="NFH142" s="109"/>
      <c r="NFI142" s="107" t="s">
        <v>1</v>
      </c>
      <c r="NFJ142" s="108"/>
      <c r="NFK142" s="108"/>
      <c r="NFL142" s="109"/>
      <c r="NFM142" s="107" t="s">
        <v>1</v>
      </c>
      <c r="NFN142" s="108"/>
      <c r="NFO142" s="108"/>
      <c r="NFP142" s="109"/>
      <c r="NFQ142" s="107" t="s">
        <v>1</v>
      </c>
      <c r="NFR142" s="108"/>
      <c r="NFS142" s="108"/>
      <c r="NFT142" s="109"/>
      <c r="NFU142" s="107" t="s">
        <v>1</v>
      </c>
      <c r="NFV142" s="108"/>
      <c r="NFW142" s="108"/>
      <c r="NFX142" s="109"/>
      <c r="NFY142" s="107" t="s">
        <v>1</v>
      </c>
      <c r="NFZ142" s="108"/>
      <c r="NGA142" s="108"/>
      <c r="NGB142" s="109"/>
      <c r="NGC142" s="107" t="s">
        <v>1</v>
      </c>
      <c r="NGD142" s="108"/>
      <c r="NGE142" s="108"/>
      <c r="NGF142" s="109"/>
      <c r="NGG142" s="107" t="s">
        <v>1</v>
      </c>
      <c r="NGH142" s="108"/>
      <c r="NGI142" s="108"/>
      <c r="NGJ142" s="109"/>
      <c r="NGK142" s="107" t="s">
        <v>1</v>
      </c>
      <c r="NGL142" s="108"/>
      <c r="NGM142" s="108"/>
      <c r="NGN142" s="109"/>
      <c r="NGO142" s="107" t="s">
        <v>1</v>
      </c>
      <c r="NGP142" s="108"/>
      <c r="NGQ142" s="108"/>
      <c r="NGR142" s="109"/>
      <c r="NGS142" s="107" t="s">
        <v>1</v>
      </c>
      <c r="NGT142" s="108"/>
      <c r="NGU142" s="108"/>
      <c r="NGV142" s="109"/>
      <c r="NGW142" s="107" t="s">
        <v>1</v>
      </c>
      <c r="NGX142" s="108"/>
      <c r="NGY142" s="108"/>
      <c r="NGZ142" s="109"/>
      <c r="NHA142" s="107" t="s">
        <v>1</v>
      </c>
      <c r="NHB142" s="108"/>
      <c r="NHC142" s="108"/>
      <c r="NHD142" s="109"/>
      <c r="NHE142" s="107" t="s">
        <v>1</v>
      </c>
      <c r="NHF142" s="108"/>
      <c r="NHG142" s="108"/>
      <c r="NHH142" s="109"/>
      <c r="NHI142" s="107" t="s">
        <v>1</v>
      </c>
      <c r="NHJ142" s="108"/>
      <c r="NHK142" s="108"/>
      <c r="NHL142" s="109"/>
      <c r="NHM142" s="107" t="s">
        <v>1</v>
      </c>
      <c r="NHN142" s="108"/>
      <c r="NHO142" s="108"/>
      <c r="NHP142" s="109"/>
      <c r="NHQ142" s="107" t="s">
        <v>1</v>
      </c>
      <c r="NHR142" s="108"/>
      <c r="NHS142" s="108"/>
      <c r="NHT142" s="109"/>
      <c r="NHU142" s="107" t="s">
        <v>1</v>
      </c>
      <c r="NHV142" s="108"/>
      <c r="NHW142" s="108"/>
      <c r="NHX142" s="109"/>
      <c r="NHY142" s="107" t="s">
        <v>1</v>
      </c>
      <c r="NHZ142" s="108"/>
      <c r="NIA142" s="108"/>
      <c r="NIB142" s="109"/>
      <c r="NIC142" s="107" t="s">
        <v>1</v>
      </c>
      <c r="NID142" s="108"/>
      <c r="NIE142" s="108"/>
      <c r="NIF142" s="109"/>
      <c r="NIG142" s="107" t="s">
        <v>1</v>
      </c>
      <c r="NIH142" s="108"/>
      <c r="NII142" s="108"/>
      <c r="NIJ142" s="109"/>
      <c r="NIK142" s="107" t="s">
        <v>1</v>
      </c>
      <c r="NIL142" s="108"/>
      <c r="NIM142" s="108"/>
      <c r="NIN142" s="109"/>
      <c r="NIO142" s="107" t="s">
        <v>1</v>
      </c>
      <c r="NIP142" s="108"/>
      <c r="NIQ142" s="108"/>
      <c r="NIR142" s="109"/>
      <c r="NIS142" s="107" t="s">
        <v>1</v>
      </c>
      <c r="NIT142" s="108"/>
      <c r="NIU142" s="108"/>
      <c r="NIV142" s="109"/>
      <c r="NIW142" s="107" t="s">
        <v>1</v>
      </c>
      <c r="NIX142" s="108"/>
      <c r="NIY142" s="108"/>
      <c r="NIZ142" s="109"/>
      <c r="NJA142" s="107" t="s">
        <v>1</v>
      </c>
      <c r="NJB142" s="108"/>
      <c r="NJC142" s="108"/>
      <c r="NJD142" s="109"/>
      <c r="NJE142" s="107" t="s">
        <v>1</v>
      </c>
      <c r="NJF142" s="108"/>
      <c r="NJG142" s="108"/>
      <c r="NJH142" s="109"/>
      <c r="NJI142" s="107" t="s">
        <v>1</v>
      </c>
      <c r="NJJ142" s="108"/>
      <c r="NJK142" s="108"/>
      <c r="NJL142" s="109"/>
      <c r="NJM142" s="107" t="s">
        <v>1</v>
      </c>
      <c r="NJN142" s="108"/>
      <c r="NJO142" s="108"/>
      <c r="NJP142" s="109"/>
      <c r="NJQ142" s="107" t="s">
        <v>1</v>
      </c>
      <c r="NJR142" s="108"/>
      <c r="NJS142" s="108"/>
      <c r="NJT142" s="109"/>
      <c r="NJU142" s="107" t="s">
        <v>1</v>
      </c>
      <c r="NJV142" s="108"/>
      <c r="NJW142" s="108"/>
      <c r="NJX142" s="109"/>
      <c r="NJY142" s="107" t="s">
        <v>1</v>
      </c>
      <c r="NJZ142" s="108"/>
      <c r="NKA142" s="108"/>
      <c r="NKB142" s="109"/>
      <c r="NKC142" s="107" t="s">
        <v>1</v>
      </c>
      <c r="NKD142" s="108"/>
      <c r="NKE142" s="108"/>
      <c r="NKF142" s="109"/>
      <c r="NKG142" s="107" t="s">
        <v>1</v>
      </c>
      <c r="NKH142" s="108"/>
      <c r="NKI142" s="108"/>
      <c r="NKJ142" s="109"/>
      <c r="NKK142" s="107" t="s">
        <v>1</v>
      </c>
      <c r="NKL142" s="108"/>
      <c r="NKM142" s="108"/>
      <c r="NKN142" s="109"/>
      <c r="NKO142" s="107" t="s">
        <v>1</v>
      </c>
      <c r="NKP142" s="108"/>
      <c r="NKQ142" s="108"/>
      <c r="NKR142" s="109"/>
      <c r="NKS142" s="107" t="s">
        <v>1</v>
      </c>
      <c r="NKT142" s="108"/>
      <c r="NKU142" s="108"/>
      <c r="NKV142" s="109"/>
      <c r="NKW142" s="107" t="s">
        <v>1</v>
      </c>
      <c r="NKX142" s="108"/>
      <c r="NKY142" s="108"/>
      <c r="NKZ142" s="109"/>
      <c r="NLA142" s="107" t="s">
        <v>1</v>
      </c>
      <c r="NLB142" s="108"/>
      <c r="NLC142" s="108"/>
      <c r="NLD142" s="109"/>
      <c r="NLE142" s="107" t="s">
        <v>1</v>
      </c>
      <c r="NLF142" s="108"/>
      <c r="NLG142" s="108"/>
      <c r="NLH142" s="109"/>
      <c r="NLI142" s="107" t="s">
        <v>1</v>
      </c>
      <c r="NLJ142" s="108"/>
      <c r="NLK142" s="108"/>
      <c r="NLL142" s="109"/>
      <c r="NLM142" s="107" t="s">
        <v>1</v>
      </c>
      <c r="NLN142" s="108"/>
      <c r="NLO142" s="108"/>
      <c r="NLP142" s="109"/>
      <c r="NLQ142" s="107" t="s">
        <v>1</v>
      </c>
      <c r="NLR142" s="108"/>
      <c r="NLS142" s="108"/>
      <c r="NLT142" s="109"/>
      <c r="NLU142" s="107" t="s">
        <v>1</v>
      </c>
      <c r="NLV142" s="108"/>
      <c r="NLW142" s="108"/>
      <c r="NLX142" s="109"/>
      <c r="NLY142" s="107" t="s">
        <v>1</v>
      </c>
      <c r="NLZ142" s="108"/>
      <c r="NMA142" s="108"/>
      <c r="NMB142" s="109"/>
      <c r="NMC142" s="107" t="s">
        <v>1</v>
      </c>
      <c r="NMD142" s="108"/>
      <c r="NME142" s="108"/>
      <c r="NMF142" s="109"/>
      <c r="NMG142" s="107" t="s">
        <v>1</v>
      </c>
      <c r="NMH142" s="108"/>
      <c r="NMI142" s="108"/>
      <c r="NMJ142" s="109"/>
      <c r="NMK142" s="107" t="s">
        <v>1</v>
      </c>
      <c r="NML142" s="108"/>
      <c r="NMM142" s="108"/>
      <c r="NMN142" s="109"/>
      <c r="NMO142" s="107" t="s">
        <v>1</v>
      </c>
      <c r="NMP142" s="108"/>
      <c r="NMQ142" s="108"/>
      <c r="NMR142" s="109"/>
      <c r="NMS142" s="107" t="s">
        <v>1</v>
      </c>
      <c r="NMT142" s="108"/>
      <c r="NMU142" s="108"/>
      <c r="NMV142" s="109"/>
      <c r="NMW142" s="107" t="s">
        <v>1</v>
      </c>
      <c r="NMX142" s="108"/>
      <c r="NMY142" s="108"/>
      <c r="NMZ142" s="109"/>
      <c r="NNA142" s="107" t="s">
        <v>1</v>
      </c>
      <c r="NNB142" s="108"/>
      <c r="NNC142" s="108"/>
      <c r="NND142" s="109"/>
      <c r="NNE142" s="107" t="s">
        <v>1</v>
      </c>
      <c r="NNF142" s="108"/>
      <c r="NNG142" s="108"/>
      <c r="NNH142" s="109"/>
      <c r="NNI142" s="107" t="s">
        <v>1</v>
      </c>
      <c r="NNJ142" s="108"/>
      <c r="NNK142" s="108"/>
      <c r="NNL142" s="109"/>
      <c r="NNM142" s="107" t="s">
        <v>1</v>
      </c>
      <c r="NNN142" s="108"/>
      <c r="NNO142" s="108"/>
      <c r="NNP142" s="109"/>
      <c r="NNQ142" s="107" t="s">
        <v>1</v>
      </c>
      <c r="NNR142" s="108"/>
      <c r="NNS142" s="108"/>
      <c r="NNT142" s="109"/>
      <c r="NNU142" s="107" t="s">
        <v>1</v>
      </c>
      <c r="NNV142" s="108"/>
      <c r="NNW142" s="108"/>
      <c r="NNX142" s="109"/>
      <c r="NNY142" s="107" t="s">
        <v>1</v>
      </c>
      <c r="NNZ142" s="108"/>
      <c r="NOA142" s="108"/>
      <c r="NOB142" s="109"/>
      <c r="NOC142" s="107" t="s">
        <v>1</v>
      </c>
      <c r="NOD142" s="108"/>
      <c r="NOE142" s="108"/>
      <c r="NOF142" s="109"/>
      <c r="NOG142" s="107" t="s">
        <v>1</v>
      </c>
      <c r="NOH142" s="108"/>
      <c r="NOI142" s="108"/>
      <c r="NOJ142" s="109"/>
      <c r="NOK142" s="107" t="s">
        <v>1</v>
      </c>
      <c r="NOL142" s="108"/>
      <c r="NOM142" s="108"/>
      <c r="NON142" s="109"/>
      <c r="NOO142" s="107" t="s">
        <v>1</v>
      </c>
      <c r="NOP142" s="108"/>
      <c r="NOQ142" s="108"/>
      <c r="NOR142" s="109"/>
      <c r="NOS142" s="107" t="s">
        <v>1</v>
      </c>
      <c r="NOT142" s="108"/>
      <c r="NOU142" s="108"/>
      <c r="NOV142" s="109"/>
      <c r="NOW142" s="107" t="s">
        <v>1</v>
      </c>
      <c r="NOX142" s="108"/>
      <c r="NOY142" s="108"/>
      <c r="NOZ142" s="109"/>
      <c r="NPA142" s="107" t="s">
        <v>1</v>
      </c>
      <c r="NPB142" s="108"/>
      <c r="NPC142" s="108"/>
      <c r="NPD142" s="109"/>
      <c r="NPE142" s="107" t="s">
        <v>1</v>
      </c>
      <c r="NPF142" s="108"/>
      <c r="NPG142" s="108"/>
      <c r="NPH142" s="109"/>
      <c r="NPI142" s="107" t="s">
        <v>1</v>
      </c>
      <c r="NPJ142" s="108"/>
      <c r="NPK142" s="108"/>
      <c r="NPL142" s="109"/>
      <c r="NPM142" s="107" t="s">
        <v>1</v>
      </c>
      <c r="NPN142" s="108"/>
      <c r="NPO142" s="108"/>
      <c r="NPP142" s="109"/>
      <c r="NPQ142" s="107" t="s">
        <v>1</v>
      </c>
      <c r="NPR142" s="108"/>
      <c r="NPS142" s="108"/>
      <c r="NPT142" s="109"/>
      <c r="NPU142" s="107" t="s">
        <v>1</v>
      </c>
      <c r="NPV142" s="108"/>
      <c r="NPW142" s="108"/>
      <c r="NPX142" s="109"/>
      <c r="NPY142" s="107" t="s">
        <v>1</v>
      </c>
      <c r="NPZ142" s="108"/>
      <c r="NQA142" s="108"/>
      <c r="NQB142" s="109"/>
      <c r="NQC142" s="107" t="s">
        <v>1</v>
      </c>
      <c r="NQD142" s="108"/>
      <c r="NQE142" s="108"/>
      <c r="NQF142" s="109"/>
      <c r="NQG142" s="107" t="s">
        <v>1</v>
      </c>
      <c r="NQH142" s="108"/>
      <c r="NQI142" s="108"/>
      <c r="NQJ142" s="109"/>
      <c r="NQK142" s="107" t="s">
        <v>1</v>
      </c>
      <c r="NQL142" s="108"/>
      <c r="NQM142" s="108"/>
      <c r="NQN142" s="109"/>
      <c r="NQO142" s="107" t="s">
        <v>1</v>
      </c>
      <c r="NQP142" s="108"/>
      <c r="NQQ142" s="108"/>
      <c r="NQR142" s="109"/>
      <c r="NQS142" s="107" t="s">
        <v>1</v>
      </c>
      <c r="NQT142" s="108"/>
      <c r="NQU142" s="108"/>
      <c r="NQV142" s="109"/>
      <c r="NQW142" s="107" t="s">
        <v>1</v>
      </c>
      <c r="NQX142" s="108"/>
      <c r="NQY142" s="108"/>
      <c r="NQZ142" s="109"/>
      <c r="NRA142" s="107" t="s">
        <v>1</v>
      </c>
      <c r="NRB142" s="108"/>
      <c r="NRC142" s="108"/>
      <c r="NRD142" s="109"/>
      <c r="NRE142" s="107" t="s">
        <v>1</v>
      </c>
      <c r="NRF142" s="108"/>
      <c r="NRG142" s="108"/>
      <c r="NRH142" s="109"/>
      <c r="NRI142" s="107" t="s">
        <v>1</v>
      </c>
      <c r="NRJ142" s="108"/>
      <c r="NRK142" s="108"/>
      <c r="NRL142" s="109"/>
      <c r="NRM142" s="107" t="s">
        <v>1</v>
      </c>
      <c r="NRN142" s="108"/>
      <c r="NRO142" s="108"/>
      <c r="NRP142" s="109"/>
      <c r="NRQ142" s="107" t="s">
        <v>1</v>
      </c>
      <c r="NRR142" s="108"/>
      <c r="NRS142" s="108"/>
      <c r="NRT142" s="109"/>
      <c r="NRU142" s="107" t="s">
        <v>1</v>
      </c>
      <c r="NRV142" s="108"/>
      <c r="NRW142" s="108"/>
      <c r="NRX142" s="109"/>
      <c r="NRY142" s="107" t="s">
        <v>1</v>
      </c>
      <c r="NRZ142" s="108"/>
      <c r="NSA142" s="108"/>
      <c r="NSB142" s="109"/>
      <c r="NSC142" s="107" t="s">
        <v>1</v>
      </c>
      <c r="NSD142" s="108"/>
      <c r="NSE142" s="108"/>
      <c r="NSF142" s="109"/>
      <c r="NSG142" s="107" t="s">
        <v>1</v>
      </c>
      <c r="NSH142" s="108"/>
      <c r="NSI142" s="108"/>
      <c r="NSJ142" s="109"/>
      <c r="NSK142" s="107" t="s">
        <v>1</v>
      </c>
      <c r="NSL142" s="108"/>
      <c r="NSM142" s="108"/>
      <c r="NSN142" s="109"/>
      <c r="NSO142" s="107" t="s">
        <v>1</v>
      </c>
      <c r="NSP142" s="108"/>
      <c r="NSQ142" s="108"/>
      <c r="NSR142" s="109"/>
      <c r="NSS142" s="107" t="s">
        <v>1</v>
      </c>
      <c r="NST142" s="108"/>
      <c r="NSU142" s="108"/>
      <c r="NSV142" s="109"/>
      <c r="NSW142" s="107" t="s">
        <v>1</v>
      </c>
      <c r="NSX142" s="108"/>
      <c r="NSY142" s="108"/>
      <c r="NSZ142" s="109"/>
      <c r="NTA142" s="107" t="s">
        <v>1</v>
      </c>
      <c r="NTB142" s="108"/>
      <c r="NTC142" s="108"/>
      <c r="NTD142" s="109"/>
      <c r="NTE142" s="107" t="s">
        <v>1</v>
      </c>
      <c r="NTF142" s="108"/>
      <c r="NTG142" s="108"/>
      <c r="NTH142" s="109"/>
      <c r="NTI142" s="107" t="s">
        <v>1</v>
      </c>
      <c r="NTJ142" s="108"/>
      <c r="NTK142" s="108"/>
      <c r="NTL142" s="109"/>
      <c r="NTM142" s="107" t="s">
        <v>1</v>
      </c>
      <c r="NTN142" s="108"/>
      <c r="NTO142" s="108"/>
      <c r="NTP142" s="109"/>
      <c r="NTQ142" s="107" t="s">
        <v>1</v>
      </c>
      <c r="NTR142" s="108"/>
      <c r="NTS142" s="108"/>
      <c r="NTT142" s="109"/>
      <c r="NTU142" s="107" t="s">
        <v>1</v>
      </c>
      <c r="NTV142" s="108"/>
      <c r="NTW142" s="108"/>
      <c r="NTX142" s="109"/>
      <c r="NTY142" s="107" t="s">
        <v>1</v>
      </c>
      <c r="NTZ142" s="108"/>
      <c r="NUA142" s="108"/>
      <c r="NUB142" s="109"/>
      <c r="NUC142" s="107" t="s">
        <v>1</v>
      </c>
      <c r="NUD142" s="108"/>
      <c r="NUE142" s="108"/>
      <c r="NUF142" s="109"/>
      <c r="NUG142" s="107" t="s">
        <v>1</v>
      </c>
      <c r="NUH142" s="108"/>
      <c r="NUI142" s="108"/>
      <c r="NUJ142" s="109"/>
      <c r="NUK142" s="107" t="s">
        <v>1</v>
      </c>
      <c r="NUL142" s="108"/>
      <c r="NUM142" s="108"/>
      <c r="NUN142" s="109"/>
      <c r="NUO142" s="107" t="s">
        <v>1</v>
      </c>
      <c r="NUP142" s="108"/>
      <c r="NUQ142" s="108"/>
      <c r="NUR142" s="109"/>
      <c r="NUS142" s="107" t="s">
        <v>1</v>
      </c>
      <c r="NUT142" s="108"/>
      <c r="NUU142" s="108"/>
      <c r="NUV142" s="109"/>
      <c r="NUW142" s="107" t="s">
        <v>1</v>
      </c>
      <c r="NUX142" s="108"/>
      <c r="NUY142" s="108"/>
      <c r="NUZ142" s="109"/>
      <c r="NVA142" s="107" t="s">
        <v>1</v>
      </c>
      <c r="NVB142" s="108"/>
      <c r="NVC142" s="108"/>
      <c r="NVD142" s="109"/>
      <c r="NVE142" s="107" t="s">
        <v>1</v>
      </c>
      <c r="NVF142" s="108"/>
      <c r="NVG142" s="108"/>
      <c r="NVH142" s="109"/>
      <c r="NVI142" s="107" t="s">
        <v>1</v>
      </c>
      <c r="NVJ142" s="108"/>
      <c r="NVK142" s="108"/>
      <c r="NVL142" s="109"/>
      <c r="NVM142" s="107" t="s">
        <v>1</v>
      </c>
      <c r="NVN142" s="108"/>
      <c r="NVO142" s="108"/>
      <c r="NVP142" s="109"/>
      <c r="NVQ142" s="107" t="s">
        <v>1</v>
      </c>
      <c r="NVR142" s="108"/>
      <c r="NVS142" s="108"/>
      <c r="NVT142" s="109"/>
      <c r="NVU142" s="107" t="s">
        <v>1</v>
      </c>
      <c r="NVV142" s="108"/>
      <c r="NVW142" s="108"/>
      <c r="NVX142" s="109"/>
      <c r="NVY142" s="107" t="s">
        <v>1</v>
      </c>
      <c r="NVZ142" s="108"/>
      <c r="NWA142" s="108"/>
      <c r="NWB142" s="109"/>
      <c r="NWC142" s="107" t="s">
        <v>1</v>
      </c>
      <c r="NWD142" s="108"/>
      <c r="NWE142" s="108"/>
      <c r="NWF142" s="109"/>
      <c r="NWG142" s="107" t="s">
        <v>1</v>
      </c>
      <c r="NWH142" s="108"/>
      <c r="NWI142" s="108"/>
      <c r="NWJ142" s="109"/>
      <c r="NWK142" s="107" t="s">
        <v>1</v>
      </c>
      <c r="NWL142" s="108"/>
      <c r="NWM142" s="108"/>
      <c r="NWN142" s="109"/>
      <c r="NWO142" s="107" t="s">
        <v>1</v>
      </c>
      <c r="NWP142" s="108"/>
      <c r="NWQ142" s="108"/>
      <c r="NWR142" s="109"/>
      <c r="NWS142" s="107" t="s">
        <v>1</v>
      </c>
      <c r="NWT142" s="108"/>
      <c r="NWU142" s="108"/>
      <c r="NWV142" s="109"/>
      <c r="NWW142" s="107" t="s">
        <v>1</v>
      </c>
      <c r="NWX142" s="108"/>
      <c r="NWY142" s="108"/>
      <c r="NWZ142" s="109"/>
      <c r="NXA142" s="107" t="s">
        <v>1</v>
      </c>
      <c r="NXB142" s="108"/>
      <c r="NXC142" s="108"/>
      <c r="NXD142" s="109"/>
      <c r="NXE142" s="107" t="s">
        <v>1</v>
      </c>
      <c r="NXF142" s="108"/>
      <c r="NXG142" s="108"/>
      <c r="NXH142" s="109"/>
      <c r="NXI142" s="107" t="s">
        <v>1</v>
      </c>
      <c r="NXJ142" s="108"/>
      <c r="NXK142" s="108"/>
      <c r="NXL142" s="109"/>
      <c r="NXM142" s="107" t="s">
        <v>1</v>
      </c>
      <c r="NXN142" s="108"/>
      <c r="NXO142" s="108"/>
      <c r="NXP142" s="109"/>
      <c r="NXQ142" s="107" t="s">
        <v>1</v>
      </c>
      <c r="NXR142" s="108"/>
      <c r="NXS142" s="108"/>
      <c r="NXT142" s="109"/>
      <c r="NXU142" s="107" t="s">
        <v>1</v>
      </c>
      <c r="NXV142" s="108"/>
      <c r="NXW142" s="108"/>
      <c r="NXX142" s="109"/>
      <c r="NXY142" s="107" t="s">
        <v>1</v>
      </c>
      <c r="NXZ142" s="108"/>
      <c r="NYA142" s="108"/>
      <c r="NYB142" s="109"/>
      <c r="NYC142" s="107" t="s">
        <v>1</v>
      </c>
      <c r="NYD142" s="108"/>
      <c r="NYE142" s="108"/>
      <c r="NYF142" s="109"/>
      <c r="NYG142" s="107" t="s">
        <v>1</v>
      </c>
      <c r="NYH142" s="108"/>
      <c r="NYI142" s="108"/>
      <c r="NYJ142" s="109"/>
      <c r="NYK142" s="107" t="s">
        <v>1</v>
      </c>
      <c r="NYL142" s="108"/>
      <c r="NYM142" s="108"/>
      <c r="NYN142" s="109"/>
      <c r="NYO142" s="107" t="s">
        <v>1</v>
      </c>
      <c r="NYP142" s="108"/>
      <c r="NYQ142" s="108"/>
      <c r="NYR142" s="109"/>
      <c r="NYS142" s="107" t="s">
        <v>1</v>
      </c>
      <c r="NYT142" s="108"/>
      <c r="NYU142" s="108"/>
      <c r="NYV142" s="109"/>
      <c r="NYW142" s="107" t="s">
        <v>1</v>
      </c>
      <c r="NYX142" s="108"/>
      <c r="NYY142" s="108"/>
      <c r="NYZ142" s="109"/>
      <c r="NZA142" s="107" t="s">
        <v>1</v>
      </c>
      <c r="NZB142" s="108"/>
      <c r="NZC142" s="108"/>
      <c r="NZD142" s="109"/>
      <c r="NZE142" s="107" t="s">
        <v>1</v>
      </c>
      <c r="NZF142" s="108"/>
      <c r="NZG142" s="108"/>
      <c r="NZH142" s="109"/>
      <c r="NZI142" s="107" t="s">
        <v>1</v>
      </c>
      <c r="NZJ142" s="108"/>
      <c r="NZK142" s="108"/>
      <c r="NZL142" s="109"/>
      <c r="NZM142" s="107" t="s">
        <v>1</v>
      </c>
      <c r="NZN142" s="108"/>
      <c r="NZO142" s="108"/>
      <c r="NZP142" s="109"/>
      <c r="NZQ142" s="107" t="s">
        <v>1</v>
      </c>
      <c r="NZR142" s="108"/>
      <c r="NZS142" s="108"/>
      <c r="NZT142" s="109"/>
      <c r="NZU142" s="107" t="s">
        <v>1</v>
      </c>
      <c r="NZV142" s="108"/>
      <c r="NZW142" s="108"/>
      <c r="NZX142" s="109"/>
      <c r="NZY142" s="107" t="s">
        <v>1</v>
      </c>
      <c r="NZZ142" s="108"/>
      <c r="OAA142" s="108"/>
      <c r="OAB142" s="109"/>
      <c r="OAC142" s="107" t="s">
        <v>1</v>
      </c>
      <c r="OAD142" s="108"/>
      <c r="OAE142" s="108"/>
      <c r="OAF142" s="109"/>
      <c r="OAG142" s="107" t="s">
        <v>1</v>
      </c>
      <c r="OAH142" s="108"/>
      <c r="OAI142" s="108"/>
      <c r="OAJ142" s="109"/>
      <c r="OAK142" s="107" t="s">
        <v>1</v>
      </c>
      <c r="OAL142" s="108"/>
      <c r="OAM142" s="108"/>
      <c r="OAN142" s="109"/>
      <c r="OAO142" s="107" t="s">
        <v>1</v>
      </c>
      <c r="OAP142" s="108"/>
      <c r="OAQ142" s="108"/>
      <c r="OAR142" s="109"/>
      <c r="OAS142" s="107" t="s">
        <v>1</v>
      </c>
      <c r="OAT142" s="108"/>
      <c r="OAU142" s="108"/>
      <c r="OAV142" s="109"/>
      <c r="OAW142" s="107" t="s">
        <v>1</v>
      </c>
      <c r="OAX142" s="108"/>
      <c r="OAY142" s="108"/>
      <c r="OAZ142" s="109"/>
      <c r="OBA142" s="107" t="s">
        <v>1</v>
      </c>
      <c r="OBB142" s="108"/>
      <c r="OBC142" s="108"/>
      <c r="OBD142" s="109"/>
      <c r="OBE142" s="107" t="s">
        <v>1</v>
      </c>
      <c r="OBF142" s="108"/>
      <c r="OBG142" s="108"/>
      <c r="OBH142" s="109"/>
      <c r="OBI142" s="107" t="s">
        <v>1</v>
      </c>
      <c r="OBJ142" s="108"/>
      <c r="OBK142" s="108"/>
      <c r="OBL142" s="109"/>
      <c r="OBM142" s="107" t="s">
        <v>1</v>
      </c>
      <c r="OBN142" s="108"/>
      <c r="OBO142" s="108"/>
      <c r="OBP142" s="109"/>
      <c r="OBQ142" s="107" t="s">
        <v>1</v>
      </c>
      <c r="OBR142" s="108"/>
      <c r="OBS142" s="108"/>
      <c r="OBT142" s="109"/>
      <c r="OBU142" s="107" t="s">
        <v>1</v>
      </c>
      <c r="OBV142" s="108"/>
      <c r="OBW142" s="108"/>
      <c r="OBX142" s="109"/>
      <c r="OBY142" s="107" t="s">
        <v>1</v>
      </c>
      <c r="OBZ142" s="108"/>
      <c r="OCA142" s="108"/>
      <c r="OCB142" s="109"/>
      <c r="OCC142" s="107" t="s">
        <v>1</v>
      </c>
      <c r="OCD142" s="108"/>
      <c r="OCE142" s="108"/>
      <c r="OCF142" s="109"/>
      <c r="OCG142" s="107" t="s">
        <v>1</v>
      </c>
      <c r="OCH142" s="108"/>
      <c r="OCI142" s="108"/>
      <c r="OCJ142" s="109"/>
      <c r="OCK142" s="107" t="s">
        <v>1</v>
      </c>
      <c r="OCL142" s="108"/>
      <c r="OCM142" s="108"/>
      <c r="OCN142" s="109"/>
      <c r="OCO142" s="107" t="s">
        <v>1</v>
      </c>
      <c r="OCP142" s="108"/>
      <c r="OCQ142" s="108"/>
      <c r="OCR142" s="109"/>
      <c r="OCS142" s="107" t="s">
        <v>1</v>
      </c>
      <c r="OCT142" s="108"/>
      <c r="OCU142" s="108"/>
      <c r="OCV142" s="109"/>
      <c r="OCW142" s="107" t="s">
        <v>1</v>
      </c>
      <c r="OCX142" s="108"/>
      <c r="OCY142" s="108"/>
      <c r="OCZ142" s="109"/>
      <c r="ODA142" s="107" t="s">
        <v>1</v>
      </c>
      <c r="ODB142" s="108"/>
      <c r="ODC142" s="108"/>
      <c r="ODD142" s="109"/>
      <c r="ODE142" s="107" t="s">
        <v>1</v>
      </c>
      <c r="ODF142" s="108"/>
      <c r="ODG142" s="108"/>
      <c r="ODH142" s="109"/>
      <c r="ODI142" s="107" t="s">
        <v>1</v>
      </c>
      <c r="ODJ142" s="108"/>
      <c r="ODK142" s="108"/>
      <c r="ODL142" s="109"/>
      <c r="ODM142" s="107" t="s">
        <v>1</v>
      </c>
      <c r="ODN142" s="108"/>
      <c r="ODO142" s="108"/>
      <c r="ODP142" s="109"/>
      <c r="ODQ142" s="107" t="s">
        <v>1</v>
      </c>
      <c r="ODR142" s="108"/>
      <c r="ODS142" s="108"/>
      <c r="ODT142" s="109"/>
      <c r="ODU142" s="107" t="s">
        <v>1</v>
      </c>
      <c r="ODV142" s="108"/>
      <c r="ODW142" s="108"/>
      <c r="ODX142" s="109"/>
      <c r="ODY142" s="107" t="s">
        <v>1</v>
      </c>
      <c r="ODZ142" s="108"/>
      <c r="OEA142" s="108"/>
      <c r="OEB142" s="109"/>
      <c r="OEC142" s="107" t="s">
        <v>1</v>
      </c>
      <c r="OED142" s="108"/>
      <c r="OEE142" s="108"/>
      <c r="OEF142" s="109"/>
      <c r="OEG142" s="107" t="s">
        <v>1</v>
      </c>
      <c r="OEH142" s="108"/>
      <c r="OEI142" s="108"/>
      <c r="OEJ142" s="109"/>
      <c r="OEK142" s="107" t="s">
        <v>1</v>
      </c>
      <c r="OEL142" s="108"/>
      <c r="OEM142" s="108"/>
      <c r="OEN142" s="109"/>
      <c r="OEO142" s="107" t="s">
        <v>1</v>
      </c>
      <c r="OEP142" s="108"/>
      <c r="OEQ142" s="108"/>
      <c r="OER142" s="109"/>
      <c r="OES142" s="107" t="s">
        <v>1</v>
      </c>
      <c r="OET142" s="108"/>
      <c r="OEU142" s="108"/>
      <c r="OEV142" s="109"/>
      <c r="OEW142" s="107" t="s">
        <v>1</v>
      </c>
      <c r="OEX142" s="108"/>
      <c r="OEY142" s="108"/>
      <c r="OEZ142" s="109"/>
      <c r="OFA142" s="107" t="s">
        <v>1</v>
      </c>
      <c r="OFB142" s="108"/>
      <c r="OFC142" s="108"/>
      <c r="OFD142" s="109"/>
      <c r="OFE142" s="107" t="s">
        <v>1</v>
      </c>
      <c r="OFF142" s="108"/>
      <c r="OFG142" s="108"/>
      <c r="OFH142" s="109"/>
      <c r="OFI142" s="107" t="s">
        <v>1</v>
      </c>
      <c r="OFJ142" s="108"/>
      <c r="OFK142" s="108"/>
      <c r="OFL142" s="109"/>
      <c r="OFM142" s="107" t="s">
        <v>1</v>
      </c>
      <c r="OFN142" s="108"/>
      <c r="OFO142" s="108"/>
      <c r="OFP142" s="109"/>
      <c r="OFQ142" s="107" t="s">
        <v>1</v>
      </c>
      <c r="OFR142" s="108"/>
      <c r="OFS142" s="108"/>
      <c r="OFT142" s="109"/>
      <c r="OFU142" s="107" t="s">
        <v>1</v>
      </c>
      <c r="OFV142" s="108"/>
      <c r="OFW142" s="108"/>
      <c r="OFX142" s="109"/>
      <c r="OFY142" s="107" t="s">
        <v>1</v>
      </c>
      <c r="OFZ142" s="108"/>
      <c r="OGA142" s="108"/>
      <c r="OGB142" s="109"/>
      <c r="OGC142" s="107" t="s">
        <v>1</v>
      </c>
      <c r="OGD142" s="108"/>
      <c r="OGE142" s="108"/>
      <c r="OGF142" s="109"/>
      <c r="OGG142" s="107" t="s">
        <v>1</v>
      </c>
      <c r="OGH142" s="108"/>
      <c r="OGI142" s="108"/>
      <c r="OGJ142" s="109"/>
      <c r="OGK142" s="107" t="s">
        <v>1</v>
      </c>
      <c r="OGL142" s="108"/>
      <c r="OGM142" s="108"/>
      <c r="OGN142" s="109"/>
      <c r="OGO142" s="107" t="s">
        <v>1</v>
      </c>
      <c r="OGP142" s="108"/>
      <c r="OGQ142" s="108"/>
      <c r="OGR142" s="109"/>
      <c r="OGS142" s="107" t="s">
        <v>1</v>
      </c>
      <c r="OGT142" s="108"/>
      <c r="OGU142" s="108"/>
      <c r="OGV142" s="109"/>
      <c r="OGW142" s="107" t="s">
        <v>1</v>
      </c>
      <c r="OGX142" s="108"/>
      <c r="OGY142" s="108"/>
      <c r="OGZ142" s="109"/>
      <c r="OHA142" s="107" t="s">
        <v>1</v>
      </c>
      <c r="OHB142" s="108"/>
      <c r="OHC142" s="108"/>
      <c r="OHD142" s="109"/>
      <c r="OHE142" s="107" t="s">
        <v>1</v>
      </c>
      <c r="OHF142" s="108"/>
      <c r="OHG142" s="108"/>
      <c r="OHH142" s="109"/>
      <c r="OHI142" s="107" t="s">
        <v>1</v>
      </c>
      <c r="OHJ142" s="108"/>
      <c r="OHK142" s="108"/>
      <c r="OHL142" s="109"/>
      <c r="OHM142" s="107" t="s">
        <v>1</v>
      </c>
      <c r="OHN142" s="108"/>
      <c r="OHO142" s="108"/>
      <c r="OHP142" s="109"/>
      <c r="OHQ142" s="107" t="s">
        <v>1</v>
      </c>
      <c r="OHR142" s="108"/>
      <c r="OHS142" s="108"/>
      <c r="OHT142" s="109"/>
      <c r="OHU142" s="107" t="s">
        <v>1</v>
      </c>
      <c r="OHV142" s="108"/>
      <c r="OHW142" s="108"/>
      <c r="OHX142" s="109"/>
      <c r="OHY142" s="107" t="s">
        <v>1</v>
      </c>
      <c r="OHZ142" s="108"/>
      <c r="OIA142" s="108"/>
      <c r="OIB142" s="109"/>
      <c r="OIC142" s="107" t="s">
        <v>1</v>
      </c>
      <c r="OID142" s="108"/>
      <c r="OIE142" s="108"/>
      <c r="OIF142" s="109"/>
      <c r="OIG142" s="107" t="s">
        <v>1</v>
      </c>
      <c r="OIH142" s="108"/>
      <c r="OII142" s="108"/>
      <c r="OIJ142" s="109"/>
      <c r="OIK142" s="107" t="s">
        <v>1</v>
      </c>
      <c r="OIL142" s="108"/>
      <c r="OIM142" s="108"/>
      <c r="OIN142" s="109"/>
      <c r="OIO142" s="107" t="s">
        <v>1</v>
      </c>
      <c r="OIP142" s="108"/>
      <c r="OIQ142" s="108"/>
      <c r="OIR142" s="109"/>
      <c r="OIS142" s="107" t="s">
        <v>1</v>
      </c>
      <c r="OIT142" s="108"/>
      <c r="OIU142" s="108"/>
      <c r="OIV142" s="109"/>
      <c r="OIW142" s="107" t="s">
        <v>1</v>
      </c>
      <c r="OIX142" s="108"/>
      <c r="OIY142" s="108"/>
      <c r="OIZ142" s="109"/>
      <c r="OJA142" s="107" t="s">
        <v>1</v>
      </c>
      <c r="OJB142" s="108"/>
      <c r="OJC142" s="108"/>
      <c r="OJD142" s="109"/>
      <c r="OJE142" s="107" t="s">
        <v>1</v>
      </c>
      <c r="OJF142" s="108"/>
      <c r="OJG142" s="108"/>
      <c r="OJH142" s="109"/>
      <c r="OJI142" s="107" t="s">
        <v>1</v>
      </c>
      <c r="OJJ142" s="108"/>
      <c r="OJK142" s="108"/>
      <c r="OJL142" s="109"/>
      <c r="OJM142" s="107" t="s">
        <v>1</v>
      </c>
      <c r="OJN142" s="108"/>
      <c r="OJO142" s="108"/>
      <c r="OJP142" s="109"/>
      <c r="OJQ142" s="107" t="s">
        <v>1</v>
      </c>
      <c r="OJR142" s="108"/>
      <c r="OJS142" s="108"/>
      <c r="OJT142" s="109"/>
      <c r="OJU142" s="107" t="s">
        <v>1</v>
      </c>
      <c r="OJV142" s="108"/>
      <c r="OJW142" s="108"/>
      <c r="OJX142" s="109"/>
      <c r="OJY142" s="107" t="s">
        <v>1</v>
      </c>
      <c r="OJZ142" s="108"/>
      <c r="OKA142" s="108"/>
      <c r="OKB142" s="109"/>
      <c r="OKC142" s="107" t="s">
        <v>1</v>
      </c>
      <c r="OKD142" s="108"/>
      <c r="OKE142" s="108"/>
      <c r="OKF142" s="109"/>
      <c r="OKG142" s="107" t="s">
        <v>1</v>
      </c>
      <c r="OKH142" s="108"/>
      <c r="OKI142" s="108"/>
      <c r="OKJ142" s="109"/>
      <c r="OKK142" s="107" t="s">
        <v>1</v>
      </c>
      <c r="OKL142" s="108"/>
      <c r="OKM142" s="108"/>
      <c r="OKN142" s="109"/>
      <c r="OKO142" s="107" t="s">
        <v>1</v>
      </c>
      <c r="OKP142" s="108"/>
      <c r="OKQ142" s="108"/>
      <c r="OKR142" s="109"/>
      <c r="OKS142" s="107" t="s">
        <v>1</v>
      </c>
      <c r="OKT142" s="108"/>
      <c r="OKU142" s="108"/>
      <c r="OKV142" s="109"/>
      <c r="OKW142" s="107" t="s">
        <v>1</v>
      </c>
      <c r="OKX142" s="108"/>
      <c r="OKY142" s="108"/>
      <c r="OKZ142" s="109"/>
      <c r="OLA142" s="107" t="s">
        <v>1</v>
      </c>
      <c r="OLB142" s="108"/>
      <c r="OLC142" s="108"/>
      <c r="OLD142" s="109"/>
      <c r="OLE142" s="107" t="s">
        <v>1</v>
      </c>
      <c r="OLF142" s="108"/>
      <c r="OLG142" s="108"/>
      <c r="OLH142" s="109"/>
      <c r="OLI142" s="107" t="s">
        <v>1</v>
      </c>
      <c r="OLJ142" s="108"/>
      <c r="OLK142" s="108"/>
      <c r="OLL142" s="109"/>
      <c r="OLM142" s="107" t="s">
        <v>1</v>
      </c>
      <c r="OLN142" s="108"/>
      <c r="OLO142" s="108"/>
      <c r="OLP142" s="109"/>
      <c r="OLQ142" s="107" t="s">
        <v>1</v>
      </c>
      <c r="OLR142" s="108"/>
      <c r="OLS142" s="108"/>
      <c r="OLT142" s="109"/>
      <c r="OLU142" s="107" t="s">
        <v>1</v>
      </c>
      <c r="OLV142" s="108"/>
      <c r="OLW142" s="108"/>
      <c r="OLX142" s="109"/>
      <c r="OLY142" s="107" t="s">
        <v>1</v>
      </c>
      <c r="OLZ142" s="108"/>
      <c r="OMA142" s="108"/>
      <c r="OMB142" s="109"/>
      <c r="OMC142" s="107" t="s">
        <v>1</v>
      </c>
      <c r="OMD142" s="108"/>
      <c r="OME142" s="108"/>
      <c r="OMF142" s="109"/>
      <c r="OMG142" s="107" t="s">
        <v>1</v>
      </c>
      <c r="OMH142" s="108"/>
      <c r="OMI142" s="108"/>
      <c r="OMJ142" s="109"/>
      <c r="OMK142" s="107" t="s">
        <v>1</v>
      </c>
      <c r="OML142" s="108"/>
      <c r="OMM142" s="108"/>
      <c r="OMN142" s="109"/>
      <c r="OMO142" s="107" t="s">
        <v>1</v>
      </c>
      <c r="OMP142" s="108"/>
      <c r="OMQ142" s="108"/>
      <c r="OMR142" s="109"/>
      <c r="OMS142" s="107" t="s">
        <v>1</v>
      </c>
      <c r="OMT142" s="108"/>
      <c r="OMU142" s="108"/>
      <c r="OMV142" s="109"/>
      <c r="OMW142" s="107" t="s">
        <v>1</v>
      </c>
      <c r="OMX142" s="108"/>
      <c r="OMY142" s="108"/>
      <c r="OMZ142" s="109"/>
      <c r="ONA142" s="107" t="s">
        <v>1</v>
      </c>
      <c r="ONB142" s="108"/>
      <c r="ONC142" s="108"/>
      <c r="OND142" s="109"/>
      <c r="ONE142" s="107" t="s">
        <v>1</v>
      </c>
      <c r="ONF142" s="108"/>
      <c r="ONG142" s="108"/>
      <c r="ONH142" s="109"/>
      <c r="ONI142" s="107" t="s">
        <v>1</v>
      </c>
      <c r="ONJ142" s="108"/>
      <c r="ONK142" s="108"/>
      <c r="ONL142" s="109"/>
      <c r="ONM142" s="107" t="s">
        <v>1</v>
      </c>
      <c r="ONN142" s="108"/>
      <c r="ONO142" s="108"/>
      <c r="ONP142" s="109"/>
      <c r="ONQ142" s="107" t="s">
        <v>1</v>
      </c>
      <c r="ONR142" s="108"/>
      <c r="ONS142" s="108"/>
      <c r="ONT142" s="109"/>
      <c r="ONU142" s="107" t="s">
        <v>1</v>
      </c>
      <c r="ONV142" s="108"/>
      <c r="ONW142" s="108"/>
      <c r="ONX142" s="109"/>
      <c r="ONY142" s="107" t="s">
        <v>1</v>
      </c>
      <c r="ONZ142" s="108"/>
      <c r="OOA142" s="108"/>
      <c r="OOB142" s="109"/>
      <c r="OOC142" s="107" t="s">
        <v>1</v>
      </c>
      <c r="OOD142" s="108"/>
      <c r="OOE142" s="108"/>
      <c r="OOF142" s="109"/>
      <c r="OOG142" s="107" t="s">
        <v>1</v>
      </c>
      <c r="OOH142" s="108"/>
      <c r="OOI142" s="108"/>
      <c r="OOJ142" s="109"/>
      <c r="OOK142" s="107" t="s">
        <v>1</v>
      </c>
      <c r="OOL142" s="108"/>
      <c r="OOM142" s="108"/>
      <c r="OON142" s="109"/>
      <c r="OOO142" s="107" t="s">
        <v>1</v>
      </c>
      <c r="OOP142" s="108"/>
      <c r="OOQ142" s="108"/>
      <c r="OOR142" s="109"/>
      <c r="OOS142" s="107" t="s">
        <v>1</v>
      </c>
      <c r="OOT142" s="108"/>
      <c r="OOU142" s="108"/>
      <c r="OOV142" s="109"/>
      <c r="OOW142" s="107" t="s">
        <v>1</v>
      </c>
      <c r="OOX142" s="108"/>
      <c r="OOY142" s="108"/>
      <c r="OOZ142" s="109"/>
      <c r="OPA142" s="107" t="s">
        <v>1</v>
      </c>
      <c r="OPB142" s="108"/>
      <c r="OPC142" s="108"/>
      <c r="OPD142" s="109"/>
      <c r="OPE142" s="107" t="s">
        <v>1</v>
      </c>
      <c r="OPF142" s="108"/>
      <c r="OPG142" s="108"/>
      <c r="OPH142" s="109"/>
      <c r="OPI142" s="107" t="s">
        <v>1</v>
      </c>
      <c r="OPJ142" s="108"/>
      <c r="OPK142" s="108"/>
      <c r="OPL142" s="109"/>
      <c r="OPM142" s="107" t="s">
        <v>1</v>
      </c>
      <c r="OPN142" s="108"/>
      <c r="OPO142" s="108"/>
      <c r="OPP142" s="109"/>
      <c r="OPQ142" s="107" t="s">
        <v>1</v>
      </c>
      <c r="OPR142" s="108"/>
      <c r="OPS142" s="108"/>
      <c r="OPT142" s="109"/>
      <c r="OPU142" s="107" t="s">
        <v>1</v>
      </c>
      <c r="OPV142" s="108"/>
      <c r="OPW142" s="108"/>
      <c r="OPX142" s="109"/>
      <c r="OPY142" s="107" t="s">
        <v>1</v>
      </c>
      <c r="OPZ142" s="108"/>
      <c r="OQA142" s="108"/>
      <c r="OQB142" s="109"/>
      <c r="OQC142" s="107" t="s">
        <v>1</v>
      </c>
      <c r="OQD142" s="108"/>
      <c r="OQE142" s="108"/>
      <c r="OQF142" s="109"/>
      <c r="OQG142" s="107" t="s">
        <v>1</v>
      </c>
      <c r="OQH142" s="108"/>
      <c r="OQI142" s="108"/>
      <c r="OQJ142" s="109"/>
      <c r="OQK142" s="107" t="s">
        <v>1</v>
      </c>
      <c r="OQL142" s="108"/>
      <c r="OQM142" s="108"/>
      <c r="OQN142" s="109"/>
      <c r="OQO142" s="107" t="s">
        <v>1</v>
      </c>
      <c r="OQP142" s="108"/>
      <c r="OQQ142" s="108"/>
      <c r="OQR142" s="109"/>
      <c r="OQS142" s="107" t="s">
        <v>1</v>
      </c>
      <c r="OQT142" s="108"/>
      <c r="OQU142" s="108"/>
      <c r="OQV142" s="109"/>
      <c r="OQW142" s="107" t="s">
        <v>1</v>
      </c>
      <c r="OQX142" s="108"/>
      <c r="OQY142" s="108"/>
      <c r="OQZ142" s="109"/>
      <c r="ORA142" s="107" t="s">
        <v>1</v>
      </c>
      <c r="ORB142" s="108"/>
      <c r="ORC142" s="108"/>
      <c r="ORD142" s="109"/>
      <c r="ORE142" s="107" t="s">
        <v>1</v>
      </c>
      <c r="ORF142" s="108"/>
      <c r="ORG142" s="108"/>
      <c r="ORH142" s="109"/>
      <c r="ORI142" s="107" t="s">
        <v>1</v>
      </c>
      <c r="ORJ142" s="108"/>
      <c r="ORK142" s="108"/>
      <c r="ORL142" s="109"/>
      <c r="ORM142" s="107" t="s">
        <v>1</v>
      </c>
      <c r="ORN142" s="108"/>
      <c r="ORO142" s="108"/>
      <c r="ORP142" s="109"/>
      <c r="ORQ142" s="107" t="s">
        <v>1</v>
      </c>
      <c r="ORR142" s="108"/>
      <c r="ORS142" s="108"/>
      <c r="ORT142" s="109"/>
      <c r="ORU142" s="107" t="s">
        <v>1</v>
      </c>
      <c r="ORV142" s="108"/>
      <c r="ORW142" s="108"/>
      <c r="ORX142" s="109"/>
      <c r="ORY142" s="107" t="s">
        <v>1</v>
      </c>
      <c r="ORZ142" s="108"/>
      <c r="OSA142" s="108"/>
      <c r="OSB142" s="109"/>
      <c r="OSC142" s="107" t="s">
        <v>1</v>
      </c>
      <c r="OSD142" s="108"/>
      <c r="OSE142" s="108"/>
      <c r="OSF142" s="109"/>
      <c r="OSG142" s="107" t="s">
        <v>1</v>
      </c>
      <c r="OSH142" s="108"/>
      <c r="OSI142" s="108"/>
      <c r="OSJ142" s="109"/>
      <c r="OSK142" s="107" t="s">
        <v>1</v>
      </c>
      <c r="OSL142" s="108"/>
      <c r="OSM142" s="108"/>
      <c r="OSN142" s="109"/>
      <c r="OSO142" s="107" t="s">
        <v>1</v>
      </c>
      <c r="OSP142" s="108"/>
      <c r="OSQ142" s="108"/>
      <c r="OSR142" s="109"/>
      <c r="OSS142" s="107" t="s">
        <v>1</v>
      </c>
      <c r="OST142" s="108"/>
      <c r="OSU142" s="108"/>
      <c r="OSV142" s="109"/>
      <c r="OSW142" s="107" t="s">
        <v>1</v>
      </c>
      <c r="OSX142" s="108"/>
      <c r="OSY142" s="108"/>
      <c r="OSZ142" s="109"/>
      <c r="OTA142" s="107" t="s">
        <v>1</v>
      </c>
      <c r="OTB142" s="108"/>
      <c r="OTC142" s="108"/>
      <c r="OTD142" s="109"/>
      <c r="OTE142" s="107" t="s">
        <v>1</v>
      </c>
      <c r="OTF142" s="108"/>
      <c r="OTG142" s="108"/>
      <c r="OTH142" s="109"/>
      <c r="OTI142" s="107" t="s">
        <v>1</v>
      </c>
      <c r="OTJ142" s="108"/>
      <c r="OTK142" s="108"/>
      <c r="OTL142" s="109"/>
      <c r="OTM142" s="107" t="s">
        <v>1</v>
      </c>
      <c r="OTN142" s="108"/>
      <c r="OTO142" s="108"/>
      <c r="OTP142" s="109"/>
      <c r="OTQ142" s="107" t="s">
        <v>1</v>
      </c>
      <c r="OTR142" s="108"/>
      <c r="OTS142" s="108"/>
      <c r="OTT142" s="109"/>
      <c r="OTU142" s="107" t="s">
        <v>1</v>
      </c>
      <c r="OTV142" s="108"/>
      <c r="OTW142" s="108"/>
      <c r="OTX142" s="109"/>
      <c r="OTY142" s="107" t="s">
        <v>1</v>
      </c>
      <c r="OTZ142" s="108"/>
      <c r="OUA142" s="108"/>
      <c r="OUB142" s="109"/>
      <c r="OUC142" s="107" t="s">
        <v>1</v>
      </c>
      <c r="OUD142" s="108"/>
      <c r="OUE142" s="108"/>
      <c r="OUF142" s="109"/>
      <c r="OUG142" s="107" t="s">
        <v>1</v>
      </c>
      <c r="OUH142" s="108"/>
      <c r="OUI142" s="108"/>
      <c r="OUJ142" s="109"/>
      <c r="OUK142" s="107" t="s">
        <v>1</v>
      </c>
      <c r="OUL142" s="108"/>
      <c r="OUM142" s="108"/>
      <c r="OUN142" s="109"/>
      <c r="OUO142" s="107" t="s">
        <v>1</v>
      </c>
      <c r="OUP142" s="108"/>
      <c r="OUQ142" s="108"/>
      <c r="OUR142" s="109"/>
      <c r="OUS142" s="107" t="s">
        <v>1</v>
      </c>
      <c r="OUT142" s="108"/>
      <c r="OUU142" s="108"/>
      <c r="OUV142" s="109"/>
      <c r="OUW142" s="107" t="s">
        <v>1</v>
      </c>
      <c r="OUX142" s="108"/>
      <c r="OUY142" s="108"/>
      <c r="OUZ142" s="109"/>
      <c r="OVA142" s="107" t="s">
        <v>1</v>
      </c>
      <c r="OVB142" s="108"/>
      <c r="OVC142" s="108"/>
      <c r="OVD142" s="109"/>
      <c r="OVE142" s="107" t="s">
        <v>1</v>
      </c>
      <c r="OVF142" s="108"/>
      <c r="OVG142" s="108"/>
      <c r="OVH142" s="109"/>
      <c r="OVI142" s="107" t="s">
        <v>1</v>
      </c>
      <c r="OVJ142" s="108"/>
      <c r="OVK142" s="108"/>
      <c r="OVL142" s="109"/>
      <c r="OVM142" s="107" t="s">
        <v>1</v>
      </c>
      <c r="OVN142" s="108"/>
      <c r="OVO142" s="108"/>
      <c r="OVP142" s="109"/>
      <c r="OVQ142" s="107" t="s">
        <v>1</v>
      </c>
      <c r="OVR142" s="108"/>
      <c r="OVS142" s="108"/>
      <c r="OVT142" s="109"/>
      <c r="OVU142" s="107" t="s">
        <v>1</v>
      </c>
      <c r="OVV142" s="108"/>
      <c r="OVW142" s="108"/>
      <c r="OVX142" s="109"/>
      <c r="OVY142" s="107" t="s">
        <v>1</v>
      </c>
      <c r="OVZ142" s="108"/>
      <c r="OWA142" s="108"/>
      <c r="OWB142" s="109"/>
      <c r="OWC142" s="107" t="s">
        <v>1</v>
      </c>
      <c r="OWD142" s="108"/>
      <c r="OWE142" s="108"/>
      <c r="OWF142" s="109"/>
      <c r="OWG142" s="107" t="s">
        <v>1</v>
      </c>
      <c r="OWH142" s="108"/>
      <c r="OWI142" s="108"/>
      <c r="OWJ142" s="109"/>
      <c r="OWK142" s="107" t="s">
        <v>1</v>
      </c>
      <c r="OWL142" s="108"/>
      <c r="OWM142" s="108"/>
      <c r="OWN142" s="109"/>
      <c r="OWO142" s="107" t="s">
        <v>1</v>
      </c>
      <c r="OWP142" s="108"/>
      <c r="OWQ142" s="108"/>
      <c r="OWR142" s="109"/>
      <c r="OWS142" s="107" t="s">
        <v>1</v>
      </c>
      <c r="OWT142" s="108"/>
      <c r="OWU142" s="108"/>
      <c r="OWV142" s="109"/>
      <c r="OWW142" s="107" t="s">
        <v>1</v>
      </c>
      <c r="OWX142" s="108"/>
      <c r="OWY142" s="108"/>
      <c r="OWZ142" s="109"/>
      <c r="OXA142" s="107" t="s">
        <v>1</v>
      </c>
      <c r="OXB142" s="108"/>
      <c r="OXC142" s="108"/>
      <c r="OXD142" s="109"/>
      <c r="OXE142" s="107" t="s">
        <v>1</v>
      </c>
      <c r="OXF142" s="108"/>
      <c r="OXG142" s="108"/>
      <c r="OXH142" s="109"/>
      <c r="OXI142" s="107" t="s">
        <v>1</v>
      </c>
      <c r="OXJ142" s="108"/>
      <c r="OXK142" s="108"/>
      <c r="OXL142" s="109"/>
      <c r="OXM142" s="107" t="s">
        <v>1</v>
      </c>
      <c r="OXN142" s="108"/>
      <c r="OXO142" s="108"/>
      <c r="OXP142" s="109"/>
      <c r="OXQ142" s="107" t="s">
        <v>1</v>
      </c>
      <c r="OXR142" s="108"/>
      <c r="OXS142" s="108"/>
      <c r="OXT142" s="109"/>
      <c r="OXU142" s="107" t="s">
        <v>1</v>
      </c>
      <c r="OXV142" s="108"/>
      <c r="OXW142" s="108"/>
      <c r="OXX142" s="109"/>
      <c r="OXY142" s="107" t="s">
        <v>1</v>
      </c>
      <c r="OXZ142" s="108"/>
      <c r="OYA142" s="108"/>
      <c r="OYB142" s="109"/>
      <c r="OYC142" s="107" t="s">
        <v>1</v>
      </c>
      <c r="OYD142" s="108"/>
      <c r="OYE142" s="108"/>
      <c r="OYF142" s="109"/>
      <c r="OYG142" s="107" t="s">
        <v>1</v>
      </c>
      <c r="OYH142" s="108"/>
      <c r="OYI142" s="108"/>
      <c r="OYJ142" s="109"/>
      <c r="OYK142" s="107" t="s">
        <v>1</v>
      </c>
      <c r="OYL142" s="108"/>
      <c r="OYM142" s="108"/>
      <c r="OYN142" s="109"/>
      <c r="OYO142" s="107" t="s">
        <v>1</v>
      </c>
      <c r="OYP142" s="108"/>
      <c r="OYQ142" s="108"/>
      <c r="OYR142" s="109"/>
      <c r="OYS142" s="107" t="s">
        <v>1</v>
      </c>
      <c r="OYT142" s="108"/>
      <c r="OYU142" s="108"/>
      <c r="OYV142" s="109"/>
      <c r="OYW142" s="107" t="s">
        <v>1</v>
      </c>
      <c r="OYX142" s="108"/>
      <c r="OYY142" s="108"/>
      <c r="OYZ142" s="109"/>
      <c r="OZA142" s="107" t="s">
        <v>1</v>
      </c>
      <c r="OZB142" s="108"/>
      <c r="OZC142" s="108"/>
      <c r="OZD142" s="109"/>
      <c r="OZE142" s="107" t="s">
        <v>1</v>
      </c>
      <c r="OZF142" s="108"/>
      <c r="OZG142" s="108"/>
      <c r="OZH142" s="109"/>
      <c r="OZI142" s="107" t="s">
        <v>1</v>
      </c>
      <c r="OZJ142" s="108"/>
      <c r="OZK142" s="108"/>
      <c r="OZL142" s="109"/>
      <c r="OZM142" s="107" t="s">
        <v>1</v>
      </c>
      <c r="OZN142" s="108"/>
      <c r="OZO142" s="108"/>
      <c r="OZP142" s="109"/>
      <c r="OZQ142" s="107" t="s">
        <v>1</v>
      </c>
      <c r="OZR142" s="108"/>
      <c r="OZS142" s="108"/>
      <c r="OZT142" s="109"/>
      <c r="OZU142" s="107" t="s">
        <v>1</v>
      </c>
      <c r="OZV142" s="108"/>
      <c r="OZW142" s="108"/>
      <c r="OZX142" s="109"/>
      <c r="OZY142" s="107" t="s">
        <v>1</v>
      </c>
      <c r="OZZ142" s="108"/>
      <c r="PAA142" s="108"/>
      <c r="PAB142" s="109"/>
      <c r="PAC142" s="107" t="s">
        <v>1</v>
      </c>
      <c r="PAD142" s="108"/>
      <c r="PAE142" s="108"/>
      <c r="PAF142" s="109"/>
      <c r="PAG142" s="107" t="s">
        <v>1</v>
      </c>
      <c r="PAH142" s="108"/>
      <c r="PAI142" s="108"/>
      <c r="PAJ142" s="109"/>
      <c r="PAK142" s="107" t="s">
        <v>1</v>
      </c>
      <c r="PAL142" s="108"/>
      <c r="PAM142" s="108"/>
      <c r="PAN142" s="109"/>
      <c r="PAO142" s="107" t="s">
        <v>1</v>
      </c>
      <c r="PAP142" s="108"/>
      <c r="PAQ142" s="108"/>
      <c r="PAR142" s="109"/>
      <c r="PAS142" s="107" t="s">
        <v>1</v>
      </c>
      <c r="PAT142" s="108"/>
      <c r="PAU142" s="108"/>
      <c r="PAV142" s="109"/>
      <c r="PAW142" s="107" t="s">
        <v>1</v>
      </c>
      <c r="PAX142" s="108"/>
      <c r="PAY142" s="108"/>
      <c r="PAZ142" s="109"/>
      <c r="PBA142" s="107" t="s">
        <v>1</v>
      </c>
      <c r="PBB142" s="108"/>
      <c r="PBC142" s="108"/>
      <c r="PBD142" s="109"/>
      <c r="PBE142" s="107" t="s">
        <v>1</v>
      </c>
      <c r="PBF142" s="108"/>
      <c r="PBG142" s="108"/>
      <c r="PBH142" s="109"/>
      <c r="PBI142" s="107" t="s">
        <v>1</v>
      </c>
      <c r="PBJ142" s="108"/>
      <c r="PBK142" s="108"/>
      <c r="PBL142" s="109"/>
      <c r="PBM142" s="107" t="s">
        <v>1</v>
      </c>
      <c r="PBN142" s="108"/>
      <c r="PBO142" s="108"/>
      <c r="PBP142" s="109"/>
      <c r="PBQ142" s="107" t="s">
        <v>1</v>
      </c>
      <c r="PBR142" s="108"/>
      <c r="PBS142" s="108"/>
      <c r="PBT142" s="109"/>
      <c r="PBU142" s="107" t="s">
        <v>1</v>
      </c>
      <c r="PBV142" s="108"/>
      <c r="PBW142" s="108"/>
      <c r="PBX142" s="109"/>
      <c r="PBY142" s="107" t="s">
        <v>1</v>
      </c>
      <c r="PBZ142" s="108"/>
      <c r="PCA142" s="108"/>
      <c r="PCB142" s="109"/>
      <c r="PCC142" s="107" t="s">
        <v>1</v>
      </c>
      <c r="PCD142" s="108"/>
      <c r="PCE142" s="108"/>
      <c r="PCF142" s="109"/>
      <c r="PCG142" s="107" t="s">
        <v>1</v>
      </c>
      <c r="PCH142" s="108"/>
      <c r="PCI142" s="108"/>
      <c r="PCJ142" s="109"/>
      <c r="PCK142" s="107" t="s">
        <v>1</v>
      </c>
      <c r="PCL142" s="108"/>
      <c r="PCM142" s="108"/>
      <c r="PCN142" s="109"/>
      <c r="PCO142" s="107" t="s">
        <v>1</v>
      </c>
      <c r="PCP142" s="108"/>
      <c r="PCQ142" s="108"/>
      <c r="PCR142" s="109"/>
      <c r="PCS142" s="107" t="s">
        <v>1</v>
      </c>
      <c r="PCT142" s="108"/>
      <c r="PCU142" s="108"/>
      <c r="PCV142" s="109"/>
      <c r="PCW142" s="107" t="s">
        <v>1</v>
      </c>
      <c r="PCX142" s="108"/>
      <c r="PCY142" s="108"/>
      <c r="PCZ142" s="109"/>
      <c r="PDA142" s="107" t="s">
        <v>1</v>
      </c>
      <c r="PDB142" s="108"/>
      <c r="PDC142" s="108"/>
      <c r="PDD142" s="109"/>
      <c r="PDE142" s="107" t="s">
        <v>1</v>
      </c>
      <c r="PDF142" s="108"/>
      <c r="PDG142" s="108"/>
      <c r="PDH142" s="109"/>
      <c r="PDI142" s="107" t="s">
        <v>1</v>
      </c>
      <c r="PDJ142" s="108"/>
      <c r="PDK142" s="108"/>
      <c r="PDL142" s="109"/>
      <c r="PDM142" s="107" t="s">
        <v>1</v>
      </c>
      <c r="PDN142" s="108"/>
      <c r="PDO142" s="108"/>
      <c r="PDP142" s="109"/>
      <c r="PDQ142" s="107" t="s">
        <v>1</v>
      </c>
      <c r="PDR142" s="108"/>
      <c r="PDS142" s="108"/>
      <c r="PDT142" s="109"/>
      <c r="PDU142" s="107" t="s">
        <v>1</v>
      </c>
      <c r="PDV142" s="108"/>
      <c r="PDW142" s="108"/>
      <c r="PDX142" s="109"/>
      <c r="PDY142" s="107" t="s">
        <v>1</v>
      </c>
      <c r="PDZ142" s="108"/>
      <c r="PEA142" s="108"/>
      <c r="PEB142" s="109"/>
      <c r="PEC142" s="107" t="s">
        <v>1</v>
      </c>
      <c r="PED142" s="108"/>
      <c r="PEE142" s="108"/>
      <c r="PEF142" s="109"/>
      <c r="PEG142" s="107" t="s">
        <v>1</v>
      </c>
      <c r="PEH142" s="108"/>
      <c r="PEI142" s="108"/>
      <c r="PEJ142" s="109"/>
      <c r="PEK142" s="107" t="s">
        <v>1</v>
      </c>
      <c r="PEL142" s="108"/>
      <c r="PEM142" s="108"/>
      <c r="PEN142" s="109"/>
      <c r="PEO142" s="107" t="s">
        <v>1</v>
      </c>
      <c r="PEP142" s="108"/>
      <c r="PEQ142" s="108"/>
      <c r="PER142" s="109"/>
      <c r="PES142" s="107" t="s">
        <v>1</v>
      </c>
      <c r="PET142" s="108"/>
      <c r="PEU142" s="108"/>
      <c r="PEV142" s="109"/>
      <c r="PEW142" s="107" t="s">
        <v>1</v>
      </c>
      <c r="PEX142" s="108"/>
      <c r="PEY142" s="108"/>
      <c r="PEZ142" s="109"/>
      <c r="PFA142" s="107" t="s">
        <v>1</v>
      </c>
      <c r="PFB142" s="108"/>
      <c r="PFC142" s="108"/>
      <c r="PFD142" s="109"/>
      <c r="PFE142" s="107" t="s">
        <v>1</v>
      </c>
      <c r="PFF142" s="108"/>
      <c r="PFG142" s="108"/>
      <c r="PFH142" s="109"/>
      <c r="PFI142" s="107" t="s">
        <v>1</v>
      </c>
      <c r="PFJ142" s="108"/>
      <c r="PFK142" s="108"/>
      <c r="PFL142" s="109"/>
      <c r="PFM142" s="107" t="s">
        <v>1</v>
      </c>
      <c r="PFN142" s="108"/>
      <c r="PFO142" s="108"/>
      <c r="PFP142" s="109"/>
      <c r="PFQ142" s="107" t="s">
        <v>1</v>
      </c>
      <c r="PFR142" s="108"/>
      <c r="PFS142" s="108"/>
      <c r="PFT142" s="109"/>
      <c r="PFU142" s="107" t="s">
        <v>1</v>
      </c>
      <c r="PFV142" s="108"/>
      <c r="PFW142" s="108"/>
      <c r="PFX142" s="109"/>
      <c r="PFY142" s="107" t="s">
        <v>1</v>
      </c>
      <c r="PFZ142" s="108"/>
      <c r="PGA142" s="108"/>
      <c r="PGB142" s="109"/>
      <c r="PGC142" s="107" t="s">
        <v>1</v>
      </c>
      <c r="PGD142" s="108"/>
      <c r="PGE142" s="108"/>
      <c r="PGF142" s="109"/>
      <c r="PGG142" s="107" t="s">
        <v>1</v>
      </c>
      <c r="PGH142" s="108"/>
      <c r="PGI142" s="108"/>
      <c r="PGJ142" s="109"/>
      <c r="PGK142" s="107" t="s">
        <v>1</v>
      </c>
      <c r="PGL142" s="108"/>
      <c r="PGM142" s="108"/>
      <c r="PGN142" s="109"/>
      <c r="PGO142" s="107" t="s">
        <v>1</v>
      </c>
      <c r="PGP142" s="108"/>
      <c r="PGQ142" s="108"/>
      <c r="PGR142" s="109"/>
      <c r="PGS142" s="107" t="s">
        <v>1</v>
      </c>
      <c r="PGT142" s="108"/>
      <c r="PGU142" s="108"/>
      <c r="PGV142" s="109"/>
      <c r="PGW142" s="107" t="s">
        <v>1</v>
      </c>
      <c r="PGX142" s="108"/>
      <c r="PGY142" s="108"/>
      <c r="PGZ142" s="109"/>
      <c r="PHA142" s="107" t="s">
        <v>1</v>
      </c>
      <c r="PHB142" s="108"/>
      <c r="PHC142" s="108"/>
      <c r="PHD142" s="109"/>
      <c r="PHE142" s="107" t="s">
        <v>1</v>
      </c>
      <c r="PHF142" s="108"/>
      <c r="PHG142" s="108"/>
      <c r="PHH142" s="109"/>
      <c r="PHI142" s="107" t="s">
        <v>1</v>
      </c>
      <c r="PHJ142" s="108"/>
      <c r="PHK142" s="108"/>
      <c r="PHL142" s="109"/>
      <c r="PHM142" s="107" t="s">
        <v>1</v>
      </c>
      <c r="PHN142" s="108"/>
      <c r="PHO142" s="108"/>
      <c r="PHP142" s="109"/>
      <c r="PHQ142" s="107" t="s">
        <v>1</v>
      </c>
      <c r="PHR142" s="108"/>
      <c r="PHS142" s="108"/>
      <c r="PHT142" s="109"/>
      <c r="PHU142" s="107" t="s">
        <v>1</v>
      </c>
      <c r="PHV142" s="108"/>
      <c r="PHW142" s="108"/>
      <c r="PHX142" s="109"/>
      <c r="PHY142" s="107" t="s">
        <v>1</v>
      </c>
      <c r="PHZ142" s="108"/>
      <c r="PIA142" s="108"/>
      <c r="PIB142" s="109"/>
      <c r="PIC142" s="107" t="s">
        <v>1</v>
      </c>
      <c r="PID142" s="108"/>
      <c r="PIE142" s="108"/>
      <c r="PIF142" s="109"/>
      <c r="PIG142" s="107" t="s">
        <v>1</v>
      </c>
      <c r="PIH142" s="108"/>
      <c r="PII142" s="108"/>
      <c r="PIJ142" s="109"/>
      <c r="PIK142" s="107" t="s">
        <v>1</v>
      </c>
      <c r="PIL142" s="108"/>
      <c r="PIM142" s="108"/>
      <c r="PIN142" s="109"/>
      <c r="PIO142" s="107" t="s">
        <v>1</v>
      </c>
      <c r="PIP142" s="108"/>
      <c r="PIQ142" s="108"/>
      <c r="PIR142" s="109"/>
      <c r="PIS142" s="107" t="s">
        <v>1</v>
      </c>
      <c r="PIT142" s="108"/>
      <c r="PIU142" s="108"/>
      <c r="PIV142" s="109"/>
      <c r="PIW142" s="107" t="s">
        <v>1</v>
      </c>
      <c r="PIX142" s="108"/>
      <c r="PIY142" s="108"/>
      <c r="PIZ142" s="109"/>
      <c r="PJA142" s="107" t="s">
        <v>1</v>
      </c>
      <c r="PJB142" s="108"/>
      <c r="PJC142" s="108"/>
      <c r="PJD142" s="109"/>
      <c r="PJE142" s="107" t="s">
        <v>1</v>
      </c>
      <c r="PJF142" s="108"/>
      <c r="PJG142" s="108"/>
      <c r="PJH142" s="109"/>
      <c r="PJI142" s="107" t="s">
        <v>1</v>
      </c>
      <c r="PJJ142" s="108"/>
      <c r="PJK142" s="108"/>
      <c r="PJL142" s="109"/>
      <c r="PJM142" s="107" t="s">
        <v>1</v>
      </c>
      <c r="PJN142" s="108"/>
      <c r="PJO142" s="108"/>
      <c r="PJP142" s="109"/>
      <c r="PJQ142" s="107" t="s">
        <v>1</v>
      </c>
      <c r="PJR142" s="108"/>
      <c r="PJS142" s="108"/>
      <c r="PJT142" s="109"/>
      <c r="PJU142" s="107" t="s">
        <v>1</v>
      </c>
      <c r="PJV142" s="108"/>
      <c r="PJW142" s="108"/>
      <c r="PJX142" s="109"/>
      <c r="PJY142" s="107" t="s">
        <v>1</v>
      </c>
      <c r="PJZ142" s="108"/>
      <c r="PKA142" s="108"/>
      <c r="PKB142" s="109"/>
      <c r="PKC142" s="107" t="s">
        <v>1</v>
      </c>
      <c r="PKD142" s="108"/>
      <c r="PKE142" s="108"/>
      <c r="PKF142" s="109"/>
      <c r="PKG142" s="107" t="s">
        <v>1</v>
      </c>
      <c r="PKH142" s="108"/>
      <c r="PKI142" s="108"/>
      <c r="PKJ142" s="109"/>
      <c r="PKK142" s="107" t="s">
        <v>1</v>
      </c>
      <c r="PKL142" s="108"/>
      <c r="PKM142" s="108"/>
      <c r="PKN142" s="109"/>
      <c r="PKO142" s="107" t="s">
        <v>1</v>
      </c>
      <c r="PKP142" s="108"/>
      <c r="PKQ142" s="108"/>
      <c r="PKR142" s="109"/>
      <c r="PKS142" s="107" t="s">
        <v>1</v>
      </c>
      <c r="PKT142" s="108"/>
      <c r="PKU142" s="108"/>
      <c r="PKV142" s="109"/>
      <c r="PKW142" s="107" t="s">
        <v>1</v>
      </c>
      <c r="PKX142" s="108"/>
      <c r="PKY142" s="108"/>
      <c r="PKZ142" s="109"/>
      <c r="PLA142" s="107" t="s">
        <v>1</v>
      </c>
      <c r="PLB142" s="108"/>
      <c r="PLC142" s="108"/>
      <c r="PLD142" s="109"/>
      <c r="PLE142" s="107" t="s">
        <v>1</v>
      </c>
      <c r="PLF142" s="108"/>
      <c r="PLG142" s="108"/>
      <c r="PLH142" s="109"/>
      <c r="PLI142" s="107" t="s">
        <v>1</v>
      </c>
      <c r="PLJ142" s="108"/>
      <c r="PLK142" s="108"/>
      <c r="PLL142" s="109"/>
      <c r="PLM142" s="107" t="s">
        <v>1</v>
      </c>
      <c r="PLN142" s="108"/>
      <c r="PLO142" s="108"/>
      <c r="PLP142" s="109"/>
      <c r="PLQ142" s="107" t="s">
        <v>1</v>
      </c>
      <c r="PLR142" s="108"/>
      <c r="PLS142" s="108"/>
      <c r="PLT142" s="109"/>
      <c r="PLU142" s="107" t="s">
        <v>1</v>
      </c>
      <c r="PLV142" s="108"/>
      <c r="PLW142" s="108"/>
      <c r="PLX142" s="109"/>
      <c r="PLY142" s="107" t="s">
        <v>1</v>
      </c>
      <c r="PLZ142" s="108"/>
      <c r="PMA142" s="108"/>
      <c r="PMB142" s="109"/>
      <c r="PMC142" s="107" t="s">
        <v>1</v>
      </c>
      <c r="PMD142" s="108"/>
      <c r="PME142" s="108"/>
      <c r="PMF142" s="109"/>
      <c r="PMG142" s="107" t="s">
        <v>1</v>
      </c>
      <c r="PMH142" s="108"/>
      <c r="PMI142" s="108"/>
      <c r="PMJ142" s="109"/>
      <c r="PMK142" s="107" t="s">
        <v>1</v>
      </c>
      <c r="PML142" s="108"/>
      <c r="PMM142" s="108"/>
      <c r="PMN142" s="109"/>
      <c r="PMO142" s="107" t="s">
        <v>1</v>
      </c>
      <c r="PMP142" s="108"/>
      <c r="PMQ142" s="108"/>
      <c r="PMR142" s="109"/>
      <c r="PMS142" s="107" t="s">
        <v>1</v>
      </c>
      <c r="PMT142" s="108"/>
      <c r="PMU142" s="108"/>
      <c r="PMV142" s="109"/>
      <c r="PMW142" s="107" t="s">
        <v>1</v>
      </c>
      <c r="PMX142" s="108"/>
      <c r="PMY142" s="108"/>
      <c r="PMZ142" s="109"/>
      <c r="PNA142" s="107" t="s">
        <v>1</v>
      </c>
      <c r="PNB142" s="108"/>
      <c r="PNC142" s="108"/>
      <c r="PND142" s="109"/>
      <c r="PNE142" s="107" t="s">
        <v>1</v>
      </c>
      <c r="PNF142" s="108"/>
      <c r="PNG142" s="108"/>
      <c r="PNH142" s="109"/>
      <c r="PNI142" s="107" t="s">
        <v>1</v>
      </c>
      <c r="PNJ142" s="108"/>
      <c r="PNK142" s="108"/>
      <c r="PNL142" s="109"/>
      <c r="PNM142" s="107" t="s">
        <v>1</v>
      </c>
      <c r="PNN142" s="108"/>
      <c r="PNO142" s="108"/>
      <c r="PNP142" s="109"/>
      <c r="PNQ142" s="107" t="s">
        <v>1</v>
      </c>
      <c r="PNR142" s="108"/>
      <c r="PNS142" s="108"/>
      <c r="PNT142" s="109"/>
      <c r="PNU142" s="107" t="s">
        <v>1</v>
      </c>
      <c r="PNV142" s="108"/>
      <c r="PNW142" s="108"/>
      <c r="PNX142" s="109"/>
      <c r="PNY142" s="107" t="s">
        <v>1</v>
      </c>
      <c r="PNZ142" s="108"/>
      <c r="POA142" s="108"/>
      <c r="POB142" s="109"/>
      <c r="POC142" s="107" t="s">
        <v>1</v>
      </c>
      <c r="POD142" s="108"/>
      <c r="POE142" s="108"/>
      <c r="POF142" s="109"/>
      <c r="POG142" s="107" t="s">
        <v>1</v>
      </c>
      <c r="POH142" s="108"/>
      <c r="POI142" s="108"/>
      <c r="POJ142" s="109"/>
      <c r="POK142" s="107" t="s">
        <v>1</v>
      </c>
      <c r="POL142" s="108"/>
      <c r="POM142" s="108"/>
      <c r="PON142" s="109"/>
      <c r="POO142" s="107" t="s">
        <v>1</v>
      </c>
      <c r="POP142" s="108"/>
      <c r="POQ142" s="108"/>
      <c r="POR142" s="109"/>
      <c r="POS142" s="107" t="s">
        <v>1</v>
      </c>
      <c r="POT142" s="108"/>
      <c r="POU142" s="108"/>
      <c r="POV142" s="109"/>
      <c r="POW142" s="107" t="s">
        <v>1</v>
      </c>
      <c r="POX142" s="108"/>
      <c r="POY142" s="108"/>
      <c r="POZ142" s="109"/>
      <c r="PPA142" s="107" t="s">
        <v>1</v>
      </c>
      <c r="PPB142" s="108"/>
      <c r="PPC142" s="108"/>
      <c r="PPD142" s="109"/>
      <c r="PPE142" s="107" t="s">
        <v>1</v>
      </c>
      <c r="PPF142" s="108"/>
      <c r="PPG142" s="108"/>
      <c r="PPH142" s="109"/>
      <c r="PPI142" s="107" t="s">
        <v>1</v>
      </c>
      <c r="PPJ142" s="108"/>
      <c r="PPK142" s="108"/>
      <c r="PPL142" s="109"/>
      <c r="PPM142" s="107" t="s">
        <v>1</v>
      </c>
      <c r="PPN142" s="108"/>
      <c r="PPO142" s="108"/>
      <c r="PPP142" s="109"/>
      <c r="PPQ142" s="107" t="s">
        <v>1</v>
      </c>
      <c r="PPR142" s="108"/>
      <c r="PPS142" s="108"/>
      <c r="PPT142" s="109"/>
      <c r="PPU142" s="107" t="s">
        <v>1</v>
      </c>
      <c r="PPV142" s="108"/>
      <c r="PPW142" s="108"/>
      <c r="PPX142" s="109"/>
      <c r="PPY142" s="107" t="s">
        <v>1</v>
      </c>
      <c r="PPZ142" s="108"/>
      <c r="PQA142" s="108"/>
      <c r="PQB142" s="109"/>
      <c r="PQC142" s="107" t="s">
        <v>1</v>
      </c>
      <c r="PQD142" s="108"/>
      <c r="PQE142" s="108"/>
      <c r="PQF142" s="109"/>
      <c r="PQG142" s="107" t="s">
        <v>1</v>
      </c>
      <c r="PQH142" s="108"/>
      <c r="PQI142" s="108"/>
      <c r="PQJ142" s="109"/>
      <c r="PQK142" s="107" t="s">
        <v>1</v>
      </c>
      <c r="PQL142" s="108"/>
      <c r="PQM142" s="108"/>
      <c r="PQN142" s="109"/>
      <c r="PQO142" s="107" t="s">
        <v>1</v>
      </c>
      <c r="PQP142" s="108"/>
      <c r="PQQ142" s="108"/>
      <c r="PQR142" s="109"/>
      <c r="PQS142" s="107" t="s">
        <v>1</v>
      </c>
      <c r="PQT142" s="108"/>
      <c r="PQU142" s="108"/>
      <c r="PQV142" s="109"/>
      <c r="PQW142" s="107" t="s">
        <v>1</v>
      </c>
      <c r="PQX142" s="108"/>
      <c r="PQY142" s="108"/>
      <c r="PQZ142" s="109"/>
      <c r="PRA142" s="107" t="s">
        <v>1</v>
      </c>
      <c r="PRB142" s="108"/>
      <c r="PRC142" s="108"/>
      <c r="PRD142" s="109"/>
      <c r="PRE142" s="107" t="s">
        <v>1</v>
      </c>
      <c r="PRF142" s="108"/>
      <c r="PRG142" s="108"/>
      <c r="PRH142" s="109"/>
      <c r="PRI142" s="107" t="s">
        <v>1</v>
      </c>
      <c r="PRJ142" s="108"/>
      <c r="PRK142" s="108"/>
      <c r="PRL142" s="109"/>
      <c r="PRM142" s="107" t="s">
        <v>1</v>
      </c>
      <c r="PRN142" s="108"/>
      <c r="PRO142" s="108"/>
      <c r="PRP142" s="109"/>
      <c r="PRQ142" s="107" t="s">
        <v>1</v>
      </c>
      <c r="PRR142" s="108"/>
      <c r="PRS142" s="108"/>
      <c r="PRT142" s="109"/>
      <c r="PRU142" s="107" t="s">
        <v>1</v>
      </c>
      <c r="PRV142" s="108"/>
      <c r="PRW142" s="108"/>
      <c r="PRX142" s="109"/>
      <c r="PRY142" s="107" t="s">
        <v>1</v>
      </c>
      <c r="PRZ142" s="108"/>
      <c r="PSA142" s="108"/>
      <c r="PSB142" s="109"/>
      <c r="PSC142" s="107" t="s">
        <v>1</v>
      </c>
      <c r="PSD142" s="108"/>
      <c r="PSE142" s="108"/>
      <c r="PSF142" s="109"/>
      <c r="PSG142" s="107" t="s">
        <v>1</v>
      </c>
      <c r="PSH142" s="108"/>
      <c r="PSI142" s="108"/>
      <c r="PSJ142" s="109"/>
      <c r="PSK142" s="107" t="s">
        <v>1</v>
      </c>
      <c r="PSL142" s="108"/>
      <c r="PSM142" s="108"/>
      <c r="PSN142" s="109"/>
      <c r="PSO142" s="107" t="s">
        <v>1</v>
      </c>
      <c r="PSP142" s="108"/>
      <c r="PSQ142" s="108"/>
      <c r="PSR142" s="109"/>
      <c r="PSS142" s="107" t="s">
        <v>1</v>
      </c>
      <c r="PST142" s="108"/>
      <c r="PSU142" s="108"/>
      <c r="PSV142" s="109"/>
      <c r="PSW142" s="107" t="s">
        <v>1</v>
      </c>
      <c r="PSX142" s="108"/>
      <c r="PSY142" s="108"/>
      <c r="PSZ142" s="109"/>
      <c r="PTA142" s="107" t="s">
        <v>1</v>
      </c>
      <c r="PTB142" s="108"/>
      <c r="PTC142" s="108"/>
      <c r="PTD142" s="109"/>
      <c r="PTE142" s="107" t="s">
        <v>1</v>
      </c>
      <c r="PTF142" s="108"/>
      <c r="PTG142" s="108"/>
      <c r="PTH142" s="109"/>
      <c r="PTI142" s="107" t="s">
        <v>1</v>
      </c>
      <c r="PTJ142" s="108"/>
      <c r="PTK142" s="108"/>
      <c r="PTL142" s="109"/>
      <c r="PTM142" s="107" t="s">
        <v>1</v>
      </c>
      <c r="PTN142" s="108"/>
      <c r="PTO142" s="108"/>
      <c r="PTP142" s="109"/>
      <c r="PTQ142" s="107" t="s">
        <v>1</v>
      </c>
      <c r="PTR142" s="108"/>
      <c r="PTS142" s="108"/>
      <c r="PTT142" s="109"/>
      <c r="PTU142" s="107" t="s">
        <v>1</v>
      </c>
      <c r="PTV142" s="108"/>
      <c r="PTW142" s="108"/>
      <c r="PTX142" s="109"/>
      <c r="PTY142" s="107" t="s">
        <v>1</v>
      </c>
      <c r="PTZ142" s="108"/>
      <c r="PUA142" s="108"/>
      <c r="PUB142" s="109"/>
      <c r="PUC142" s="107" t="s">
        <v>1</v>
      </c>
      <c r="PUD142" s="108"/>
      <c r="PUE142" s="108"/>
      <c r="PUF142" s="109"/>
      <c r="PUG142" s="107" t="s">
        <v>1</v>
      </c>
      <c r="PUH142" s="108"/>
      <c r="PUI142" s="108"/>
      <c r="PUJ142" s="109"/>
      <c r="PUK142" s="107" t="s">
        <v>1</v>
      </c>
      <c r="PUL142" s="108"/>
      <c r="PUM142" s="108"/>
      <c r="PUN142" s="109"/>
      <c r="PUO142" s="107" t="s">
        <v>1</v>
      </c>
      <c r="PUP142" s="108"/>
      <c r="PUQ142" s="108"/>
      <c r="PUR142" s="109"/>
      <c r="PUS142" s="107" t="s">
        <v>1</v>
      </c>
      <c r="PUT142" s="108"/>
      <c r="PUU142" s="108"/>
      <c r="PUV142" s="109"/>
      <c r="PUW142" s="107" t="s">
        <v>1</v>
      </c>
      <c r="PUX142" s="108"/>
      <c r="PUY142" s="108"/>
      <c r="PUZ142" s="109"/>
      <c r="PVA142" s="107" t="s">
        <v>1</v>
      </c>
      <c r="PVB142" s="108"/>
      <c r="PVC142" s="108"/>
      <c r="PVD142" s="109"/>
      <c r="PVE142" s="107" t="s">
        <v>1</v>
      </c>
      <c r="PVF142" s="108"/>
      <c r="PVG142" s="108"/>
      <c r="PVH142" s="109"/>
      <c r="PVI142" s="107" t="s">
        <v>1</v>
      </c>
      <c r="PVJ142" s="108"/>
      <c r="PVK142" s="108"/>
      <c r="PVL142" s="109"/>
      <c r="PVM142" s="107" t="s">
        <v>1</v>
      </c>
      <c r="PVN142" s="108"/>
      <c r="PVO142" s="108"/>
      <c r="PVP142" s="109"/>
      <c r="PVQ142" s="107" t="s">
        <v>1</v>
      </c>
      <c r="PVR142" s="108"/>
      <c r="PVS142" s="108"/>
      <c r="PVT142" s="109"/>
      <c r="PVU142" s="107" t="s">
        <v>1</v>
      </c>
      <c r="PVV142" s="108"/>
      <c r="PVW142" s="108"/>
      <c r="PVX142" s="109"/>
      <c r="PVY142" s="107" t="s">
        <v>1</v>
      </c>
      <c r="PVZ142" s="108"/>
      <c r="PWA142" s="108"/>
      <c r="PWB142" s="109"/>
      <c r="PWC142" s="107" t="s">
        <v>1</v>
      </c>
      <c r="PWD142" s="108"/>
      <c r="PWE142" s="108"/>
      <c r="PWF142" s="109"/>
      <c r="PWG142" s="107" t="s">
        <v>1</v>
      </c>
      <c r="PWH142" s="108"/>
      <c r="PWI142" s="108"/>
      <c r="PWJ142" s="109"/>
      <c r="PWK142" s="107" t="s">
        <v>1</v>
      </c>
      <c r="PWL142" s="108"/>
      <c r="PWM142" s="108"/>
      <c r="PWN142" s="109"/>
      <c r="PWO142" s="107" t="s">
        <v>1</v>
      </c>
      <c r="PWP142" s="108"/>
      <c r="PWQ142" s="108"/>
      <c r="PWR142" s="109"/>
      <c r="PWS142" s="107" t="s">
        <v>1</v>
      </c>
      <c r="PWT142" s="108"/>
      <c r="PWU142" s="108"/>
      <c r="PWV142" s="109"/>
      <c r="PWW142" s="107" t="s">
        <v>1</v>
      </c>
      <c r="PWX142" s="108"/>
      <c r="PWY142" s="108"/>
      <c r="PWZ142" s="109"/>
      <c r="PXA142" s="107" t="s">
        <v>1</v>
      </c>
      <c r="PXB142" s="108"/>
      <c r="PXC142" s="108"/>
      <c r="PXD142" s="109"/>
      <c r="PXE142" s="107" t="s">
        <v>1</v>
      </c>
      <c r="PXF142" s="108"/>
      <c r="PXG142" s="108"/>
      <c r="PXH142" s="109"/>
      <c r="PXI142" s="107" t="s">
        <v>1</v>
      </c>
      <c r="PXJ142" s="108"/>
      <c r="PXK142" s="108"/>
      <c r="PXL142" s="109"/>
      <c r="PXM142" s="107" t="s">
        <v>1</v>
      </c>
      <c r="PXN142" s="108"/>
      <c r="PXO142" s="108"/>
      <c r="PXP142" s="109"/>
      <c r="PXQ142" s="107" t="s">
        <v>1</v>
      </c>
      <c r="PXR142" s="108"/>
      <c r="PXS142" s="108"/>
      <c r="PXT142" s="109"/>
      <c r="PXU142" s="107" t="s">
        <v>1</v>
      </c>
      <c r="PXV142" s="108"/>
      <c r="PXW142" s="108"/>
      <c r="PXX142" s="109"/>
      <c r="PXY142" s="107" t="s">
        <v>1</v>
      </c>
      <c r="PXZ142" s="108"/>
      <c r="PYA142" s="108"/>
      <c r="PYB142" s="109"/>
      <c r="PYC142" s="107" t="s">
        <v>1</v>
      </c>
      <c r="PYD142" s="108"/>
      <c r="PYE142" s="108"/>
      <c r="PYF142" s="109"/>
      <c r="PYG142" s="107" t="s">
        <v>1</v>
      </c>
      <c r="PYH142" s="108"/>
      <c r="PYI142" s="108"/>
      <c r="PYJ142" s="109"/>
      <c r="PYK142" s="107" t="s">
        <v>1</v>
      </c>
      <c r="PYL142" s="108"/>
      <c r="PYM142" s="108"/>
      <c r="PYN142" s="109"/>
      <c r="PYO142" s="107" t="s">
        <v>1</v>
      </c>
      <c r="PYP142" s="108"/>
      <c r="PYQ142" s="108"/>
      <c r="PYR142" s="109"/>
      <c r="PYS142" s="107" t="s">
        <v>1</v>
      </c>
      <c r="PYT142" s="108"/>
      <c r="PYU142" s="108"/>
      <c r="PYV142" s="109"/>
      <c r="PYW142" s="107" t="s">
        <v>1</v>
      </c>
      <c r="PYX142" s="108"/>
      <c r="PYY142" s="108"/>
      <c r="PYZ142" s="109"/>
      <c r="PZA142" s="107" t="s">
        <v>1</v>
      </c>
      <c r="PZB142" s="108"/>
      <c r="PZC142" s="108"/>
      <c r="PZD142" s="109"/>
      <c r="PZE142" s="107" t="s">
        <v>1</v>
      </c>
      <c r="PZF142" s="108"/>
      <c r="PZG142" s="108"/>
      <c r="PZH142" s="109"/>
      <c r="PZI142" s="107" t="s">
        <v>1</v>
      </c>
      <c r="PZJ142" s="108"/>
      <c r="PZK142" s="108"/>
      <c r="PZL142" s="109"/>
      <c r="PZM142" s="107" t="s">
        <v>1</v>
      </c>
      <c r="PZN142" s="108"/>
      <c r="PZO142" s="108"/>
      <c r="PZP142" s="109"/>
      <c r="PZQ142" s="107" t="s">
        <v>1</v>
      </c>
      <c r="PZR142" s="108"/>
      <c r="PZS142" s="108"/>
      <c r="PZT142" s="109"/>
      <c r="PZU142" s="107" t="s">
        <v>1</v>
      </c>
      <c r="PZV142" s="108"/>
      <c r="PZW142" s="108"/>
      <c r="PZX142" s="109"/>
      <c r="PZY142" s="107" t="s">
        <v>1</v>
      </c>
      <c r="PZZ142" s="108"/>
      <c r="QAA142" s="108"/>
      <c r="QAB142" s="109"/>
      <c r="QAC142" s="107" t="s">
        <v>1</v>
      </c>
      <c r="QAD142" s="108"/>
      <c r="QAE142" s="108"/>
      <c r="QAF142" s="109"/>
      <c r="QAG142" s="107" t="s">
        <v>1</v>
      </c>
      <c r="QAH142" s="108"/>
      <c r="QAI142" s="108"/>
      <c r="QAJ142" s="109"/>
      <c r="QAK142" s="107" t="s">
        <v>1</v>
      </c>
      <c r="QAL142" s="108"/>
      <c r="QAM142" s="108"/>
      <c r="QAN142" s="109"/>
      <c r="QAO142" s="107" t="s">
        <v>1</v>
      </c>
      <c r="QAP142" s="108"/>
      <c r="QAQ142" s="108"/>
      <c r="QAR142" s="109"/>
      <c r="QAS142" s="107" t="s">
        <v>1</v>
      </c>
      <c r="QAT142" s="108"/>
      <c r="QAU142" s="108"/>
      <c r="QAV142" s="109"/>
      <c r="QAW142" s="107" t="s">
        <v>1</v>
      </c>
      <c r="QAX142" s="108"/>
      <c r="QAY142" s="108"/>
      <c r="QAZ142" s="109"/>
      <c r="QBA142" s="107" t="s">
        <v>1</v>
      </c>
      <c r="QBB142" s="108"/>
      <c r="QBC142" s="108"/>
      <c r="QBD142" s="109"/>
      <c r="QBE142" s="107" t="s">
        <v>1</v>
      </c>
      <c r="QBF142" s="108"/>
      <c r="QBG142" s="108"/>
      <c r="QBH142" s="109"/>
      <c r="QBI142" s="107" t="s">
        <v>1</v>
      </c>
      <c r="QBJ142" s="108"/>
      <c r="QBK142" s="108"/>
      <c r="QBL142" s="109"/>
      <c r="QBM142" s="107" t="s">
        <v>1</v>
      </c>
      <c r="QBN142" s="108"/>
      <c r="QBO142" s="108"/>
      <c r="QBP142" s="109"/>
      <c r="QBQ142" s="107" t="s">
        <v>1</v>
      </c>
      <c r="QBR142" s="108"/>
      <c r="QBS142" s="108"/>
      <c r="QBT142" s="109"/>
      <c r="QBU142" s="107" t="s">
        <v>1</v>
      </c>
      <c r="QBV142" s="108"/>
      <c r="QBW142" s="108"/>
      <c r="QBX142" s="109"/>
      <c r="QBY142" s="107" t="s">
        <v>1</v>
      </c>
      <c r="QBZ142" s="108"/>
      <c r="QCA142" s="108"/>
      <c r="QCB142" s="109"/>
      <c r="QCC142" s="107" t="s">
        <v>1</v>
      </c>
      <c r="QCD142" s="108"/>
      <c r="QCE142" s="108"/>
      <c r="QCF142" s="109"/>
      <c r="QCG142" s="107" t="s">
        <v>1</v>
      </c>
      <c r="QCH142" s="108"/>
      <c r="QCI142" s="108"/>
      <c r="QCJ142" s="109"/>
      <c r="QCK142" s="107" t="s">
        <v>1</v>
      </c>
      <c r="QCL142" s="108"/>
      <c r="QCM142" s="108"/>
      <c r="QCN142" s="109"/>
      <c r="QCO142" s="107" t="s">
        <v>1</v>
      </c>
      <c r="QCP142" s="108"/>
      <c r="QCQ142" s="108"/>
      <c r="QCR142" s="109"/>
      <c r="QCS142" s="107" t="s">
        <v>1</v>
      </c>
      <c r="QCT142" s="108"/>
      <c r="QCU142" s="108"/>
      <c r="QCV142" s="109"/>
      <c r="QCW142" s="107" t="s">
        <v>1</v>
      </c>
      <c r="QCX142" s="108"/>
      <c r="QCY142" s="108"/>
      <c r="QCZ142" s="109"/>
      <c r="QDA142" s="107" t="s">
        <v>1</v>
      </c>
      <c r="QDB142" s="108"/>
      <c r="QDC142" s="108"/>
      <c r="QDD142" s="109"/>
      <c r="QDE142" s="107" t="s">
        <v>1</v>
      </c>
      <c r="QDF142" s="108"/>
      <c r="QDG142" s="108"/>
      <c r="QDH142" s="109"/>
      <c r="QDI142" s="107" t="s">
        <v>1</v>
      </c>
      <c r="QDJ142" s="108"/>
      <c r="QDK142" s="108"/>
      <c r="QDL142" s="109"/>
      <c r="QDM142" s="107" t="s">
        <v>1</v>
      </c>
      <c r="QDN142" s="108"/>
      <c r="QDO142" s="108"/>
      <c r="QDP142" s="109"/>
      <c r="QDQ142" s="107" t="s">
        <v>1</v>
      </c>
      <c r="QDR142" s="108"/>
      <c r="QDS142" s="108"/>
      <c r="QDT142" s="109"/>
      <c r="QDU142" s="107" t="s">
        <v>1</v>
      </c>
      <c r="QDV142" s="108"/>
      <c r="QDW142" s="108"/>
      <c r="QDX142" s="109"/>
      <c r="QDY142" s="107" t="s">
        <v>1</v>
      </c>
      <c r="QDZ142" s="108"/>
      <c r="QEA142" s="108"/>
      <c r="QEB142" s="109"/>
      <c r="QEC142" s="107" t="s">
        <v>1</v>
      </c>
      <c r="QED142" s="108"/>
      <c r="QEE142" s="108"/>
      <c r="QEF142" s="109"/>
      <c r="QEG142" s="107" t="s">
        <v>1</v>
      </c>
      <c r="QEH142" s="108"/>
      <c r="QEI142" s="108"/>
      <c r="QEJ142" s="109"/>
      <c r="QEK142" s="107" t="s">
        <v>1</v>
      </c>
      <c r="QEL142" s="108"/>
      <c r="QEM142" s="108"/>
      <c r="QEN142" s="109"/>
      <c r="QEO142" s="107" t="s">
        <v>1</v>
      </c>
      <c r="QEP142" s="108"/>
      <c r="QEQ142" s="108"/>
      <c r="QER142" s="109"/>
      <c r="QES142" s="107" t="s">
        <v>1</v>
      </c>
      <c r="QET142" s="108"/>
      <c r="QEU142" s="108"/>
      <c r="QEV142" s="109"/>
      <c r="QEW142" s="107" t="s">
        <v>1</v>
      </c>
      <c r="QEX142" s="108"/>
      <c r="QEY142" s="108"/>
      <c r="QEZ142" s="109"/>
      <c r="QFA142" s="107" t="s">
        <v>1</v>
      </c>
      <c r="QFB142" s="108"/>
      <c r="QFC142" s="108"/>
      <c r="QFD142" s="109"/>
      <c r="QFE142" s="107" t="s">
        <v>1</v>
      </c>
      <c r="QFF142" s="108"/>
      <c r="QFG142" s="108"/>
      <c r="QFH142" s="109"/>
      <c r="QFI142" s="107" t="s">
        <v>1</v>
      </c>
      <c r="QFJ142" s="108"/>
      <c r="QFK142" s="108"/>
      <c r="QFL142" s="109"/>
      <c r="QFM142" s="107" t="s">
        <v>1</v>
      </c>
      <c r="QFN142" s="108"/>
      <c r="QFO142" s="108"/>
      <c r="QFP142" s="109"/>
      <c r="QFQ142" s="107" t="s">
        <v>1</v>
      </c>
      <c r="QFR142" s="108"/>
      <c r="QFS142" s="108"/>
      <c r="QFT142" s="109"/>
      <c r="QFU142" s="107" t="s">
        <v>1</v>
      </c>
      <c r="QFV142" s="108"/>
      <c r="QFW142" s="108"/>
      <c r="QFX142" s="109"/>
      <c r="QFY142" s="107" t="s">
        <v>1</v>
      </c>
      <c r="QFZ142" s="108"/>
      <c r="QGA142" s="108"/>
      <c r="QGB142" s="109"/>
      <c r="QGC142" s="107" t="s">
        <v>1</v>
      </c>
      <c r="QGD142" s="108"/>
      <c r="QGE142" s="108"/>
      <c r="QGF142" s="109"/>
      <c r="QGG142" s="107" t="s">
        <v>1</v>
      </c>
      <c r="QGH142" s="108"/>
      <c r="QGI142" s="108"/>
      <c r="QGJ142" s="109"/>
      <c r="QGK142" s="107" t="s">
        <v>1</v>
      </c>
      <c r="QGL142" s="108"/>
      <c r="QGM142" s="108"/>
      <c r="QGN142" s="109"/>
      <c r="QGO142" s="107" t="s">
        <v>1</v>
      </c>
      <c r="QGP142" s="108"/>
      <c r="QGQ142" s="108"/>
      <c r="QGR142" s="109"/>
      <c r="QGS142" s="107" t="s">
        <v>1</v>
      </c>
      <c r="QGT142" s="108"/>
      <c r="QGU142" s="108"/>
      <c r="QGV142" s="109"/>
      <c r="QGW142" s="107" t="s">
        <v>1</v>
      </c>
      <c r="QGX142" s="108"/>
      <c r="QGY142" s="108"/>
      <c r="QGZ142" s="109"/>
      <c r="QHA142" s="107" t="s">
        <v>1</v>
      </c>
      <c r="QHB142" s="108"/>
      <c r="QHC142" s="108"/>
      <c r="QHD142" s="109"/>
      <c r="QHE142" s="107" t="s">
        <v>1</v>
      </c>
      <c r="QHF142" s="108"/>
      <c r="QHG142" s="108"/>
      <c r="QHH142" s="109"/>
      <c r="QHI142" s="107" t="s">
        <v>1</v>
      </c>
      <c r="QHJ142" s="108"/>
      <c r="QHK142" s="108"/>
      <c r="QHL142" s="109"/>
      <c r="QHM142" s="107" t="s">
        <v>1</v>
      </c>
      <c r="QHN142" s="108"/>
      <c r="QHO142" s="108"/>
      <c r="QHP142" s="109"/>
      <c r="QHQ142" s="107" t="s">
        <v>1</v>
      </c>
      <c r="QHR142" s="108"/>
      <c r="QHS142" s="108"/>
      <c r="QHT142" s="109"/>
      <c r="QHU142" s="107" t="s">
        <v>1</v>
      </c>
      <c r="QHV142" s="108"/>
      <c r="QHW142" s="108"/>
      <c r="QHX142" s="109"/>
      <c r="QHY142" s="107" t="s">
        <v>1</v>
      </c>
      <c r="QHZ142" s="108"/>
      <c r="QIA142" s="108"/>
      <c r="QIB142" s="109"/>
      <c r="QIC142" s="107" t="s">
        <v>1</v>
      </c>
      <c r="QID142" s="108"/>
      <c r="QIE142" s="108"/>
      <c r="QIF142" s="109"/>
      <c r="QIG142" s="107" t="s">
        <v>1</v>
      </c>
      <c r="QIH142" s="108"/>
      <c r="QII142" s="108"/>
      <c r="QIJ142" s="109"/>
      <c r="QIK142" s="107" t="s">
        <v>1</v>
      </c>
      <c r="QIL142" s="108"/>
      <c r="QIM142" s="108"/>
      <c r="QIN142" s="109"/>
      <c r="QIO142" s="107" t="s">
        <v>1</v>
      </c>
      <c r="QIP142" s="108"/>
      <c r="QIQ142" s="108"/>
      <c r="QIR142" s="109"/>
      <c r="QIS142" s="107" t="s">
        <v>1</v>
      </c>
      <c r="QIT142" s="108"/>
      <c r="QIU142" s="108"/>
      <c r="QIV142" s="109"/>
      <c r="QIW142" s="107" t="s">
        <v>1</v>
      </c>
      <c r="QIX142" s="108"/>
      <c r="QIY142" s="108"/>
      <c r="QIZ142" s="109"/>
      <c r="QJA142" s="107" t="s">
        <v>1</v>
      </c>
      <c r="QJB142" s="108"/>
      <c r="QJC142" s="108"/>
      <c r="QJD142" s="109"/>
      <c r="QJE142" s="107" t="s">
        <v>1</v>
      </c>
      <c r="QJF142" s="108"/>
      <c r="QJG142" s="108"/>
      <c r="QJH142" s="109"/>
      <c r="QJI142" s="107" t="s">
        <v>1</v>
      </c>
      <c r="QJJ142" s="108"/>
      <c r="QJK142" s="108"/>
      <c r="QJL142" s="109"/>
      <c r="QJM142" s="107" t="s">
        <v>1</v>
      </c>
      <c r="QJN142" s="108"/>
      <c r="QJO142" s="108"/>
      <c r="QJP142" s="109"/>
      <c r="QJQ142" s="107" t="s">
        <v>1</v>
      </c>
      <c r="QJR142" s="108"/>
      <c r="QJS142" s="108"/>
      <c r="QJT142" s="109"/>
      <c r="QJU142" s="107" t="s">
        <v>1</v>
      </c>
      <c r="QJV142" s="108"/>
      <c r="QJW142" s="108"/>
      <c r="QJX142" s="109"/>
      <c r="QJY142" s="107" t="s">
        <v>1</v>
      </c>
      <c r="QJZ142" s="108"/>
      <c r="QKA142" s="108"/>
      <c r="QKB142" s="109"/>
      <c r="QKC142" s="107" t="s">
        <v>1</v>
      </c>
      <c r="QKD142" s="108"/>
      <c r="QKE142" s="108"/>
      <c r="QKF142" s="109"/>
      <c r="QKG142" s="107" t="s">
        <v>1</v>
      </c>
      <c r="QKH142" s="108"/>
      <c r="QKI142" s="108"/>
      <c r="QKJ142" s="109"/>
      <c r="QKK142" s="107" t="s">
        <v>1</v>
      </c>
      <c r="QKL142" s="108"/>
      <c r="QKM142" s="108"/>
      <c r="QKN142" s="109"/>
      <c r="QKO142" s="107" t="s">
        <v>1</v>
      </c>
      <c r="QKP142" s="108"/>
      <c r="QKQ142" s="108"/>
      <c r="QKR142" s="109"/>
      <c r="QKS142" s="107" t="s">
        <v>1</v>
      </c>
      <c r="QKT142" s="108"/>
      <c r="QKU142" s="108"/>
      <c r="QKV142" s="109"/>
      <c r="QKW142" s="107" t="s">
        <v>1</v>
      </c>
      <c r="QKX142" s="108"/>
      <c r="QKY142" s="108"/>
      <c r="QKZ142" s="109"/>
      <c r="QLA142" s="107" t="s">
        <v>1</v>
      </c>
      <c r="QLB142" s="108"/>
      <c r="QLC142" s="108"/>
      <c r="QLD142" s="109"/>
      <c r="QLE142" s="107" t="s">
        <v>1</v>
      </c>
      <c r="QLF142" s="108"/>
      <c r="QLG142" s="108"/>
      <c r="QLH142" s="109"/>
      <c r="QLI142" s="107" t="s">
        <v>1</v>
      </c>
      <c r="QLJ142" s="108"/>
      <c r="QLK142" s="108"/>
      <c r="QLL142" s="109"/>
      <c r="QLM142" s="107" t="s">
        <v>1</v>
      </c>
      <c r="QLN142" s="108"/>
      <c r="QLO142" s="108"/>
      <c r="QLP142" s="109"/>
      <c r="QLQ142" s="107" t="s">
        <v>1</v>
      </c>
      <c r="QLR142" s="108"/>
      <c r="QLS142" s="108"/>
      <c r="QLT142" s="109"/>
      <c r="QLU142" s="107" t="s">
        <v>1</v>
      </c>
      <c r="QLV142" s="108"/>
      <c r="QLW142" s="108"/>
      <c r="QLX142" s="109"/>
      <c r="QLY142" s="107" t="s">
        <v>1</v>
      </c>
      <c r="QLZ142" s="108"/>
      <c r="QMA142" s="108"/>
      <c r="QMB142" s="109"/>
      <c r="QMC142" s="107" t="s">
        <v>1</v>
      </c>
      <c r="QMD142" s="108"/>
      <c r="QME142" s="108"/>
      <c r="QMF142" s="109"/>
      <c r="QMG142" s="107" t="s">
        <v>1</v>
      </c>
      <c r="QMH142" s="108"/>
      <c r="QMI142" s="108"/>
      <c r="QMJ142" s="109"/>
      <c r="QMK142" s="107" t="s">
        <v>1</v>
      </c>
      <c r="QML142" s="108"/>
      <c r="QMM142" s="108"/>
      <c r="QMN142" s="109"/>
      <c r="QMO142" s="107" t="s">
        <v>1</v>
      </c>
      <c r="QMP142" s="108"/>
      <c r="QMQ142" s="108"/>
      <c r="QMR142" s="109"/>
      <c r="QMS142" s="107" t="s">
        <v>1</v>
      </c>
      <c r="QMT142" s="108"/>
      <c r="QMU142" s="108"/>
      <c r="QMV142" s="109"/>
      <c r="QMW142" s="107" t="s">
        <v>1</v>
      </c>
      <c r="QMX142" s="108"/>
      <c r="QMY142" s="108"/>
      <c r="QMZ142" s="109"/>
      <c r="QNA142" s="107" t="s">
        <v>1</v>
      </c>
      <c r="QNB142" s="108"/>
      <c r="QNC142" s="108"/>
      <c r="QND142" s="109"/>
      <c r="QNE142" s="107" t="s">
        <v>1</v>
      </c>
      <c r="QNF142" s="108"/>
      <c r="QNG142" s="108"/>
      <c r="QNH142" s="109"/>
      <c r="QNI142" s="107" t="s">
        <v>1</v>
      </c>
      <c r="QNJ142" s="108"/>
      <c r="QNK142" s="108"/>
      <c r="QNL142" s="109"/>
      <c r="QNM142" s="107" t="s">
        <v>1</v>
      </c>
      <c r="QNN142" s="108"/>
      <c r="QNO142" s="108"/>
      <c r="QNP142" s="109"/>
      <c r="QNQ142" s="107" t="s">
        <v>1</v>
      </c>
      <c r="QNR142" s="108"/>
      <c r="QNS142" s="108"/>
      <c r="QNT142" s="109"/>
      <c r="QNU142" s="107" t="s">
        <v>1</v>
      </c>
      <c r="QNV142" s="108"/>
      <c r="QNW142" s="108"/>
      <c r="QNX142" s="109"/>
      <c r="QNY142" s="107" t="s">
        <v>1</v>
      </c>
      <c r="QNZ142" s="108"/>
      <c r="QOA142" s="108"/>
      <c r="QOB142" s="109"/>
      <c r="QOC142" s="107" t="s">
        <v>1</v>
      </c>
      <c r="QOD142" s="108"/>
      <c r="QOE142" s="108"/>
      <c r="QOF142" s="109"/>
      <c r="QOG142" s="107" t="s">
        <v>1</v>
      </c>
      <c r="QOH142" s="108"/>
      <c r="QOI142" s="108"/>
      <c r="QOJ142" s="109"/>
      <c r="QOK142" s="107" t="s">
        <v>1</v>
      </c>
      <c r="QOL142" s="108"/>
      <c r="QOM142" s="108"/>
      <c r="QON142" s="109"/>
      <c r="QOO142" s="107" t="s">
        <v>1</v>
      </c>
      <c r="QOP142" s="108"/>
      <c r="QOQ142" s="108"/>
      <c r="QOR142" s="109"/>
      <c r="QOS142" s="107" t="s">
        <v>1</v>
      </c>
      <c r="QOT142" s="108"/>
      <c r="QOU142" s="108"/>
      <c r="QOV142" s="109"/>
      <c r="QOW142" s="107" t="s">
        <v>1</v>
      </c>
      <c r="QOX142" s="108"/>
      <c r="QOY142" s="108"/>
      <c r="QOZ142" s="109"/>
      <c r="QPA142" s="107" t="s">
        <v>1</v>
      </c>
      <c r="QPB142" s="108"/>
      <c r="QPC142" s="108"/>
      <c r="QPD142" s="109"/>
      <c r="QPE142" s="107" t="s">
        <v>1</v>
      </c>
      <c r="QPF142" s="108"/>
      <c r="QPG142" s="108"/>
      <c r="QPH142" s="109"/>
      <c r="QPI142" s="107" t="s">
        <v>1</v>
      </c>
      <c r="QPJ142" s="108"/>
      <c r="QPK142" s="108"/>
      <c r="QPL142" s="109"/>
      <c r="QPM142" s="107" t="s">
        <v>1</v>
      </c>
      <c r="QPN142" s="108"/>
      <c r="QPO142" s="108"/>
      <c r="QPP142" s="109"/>
      <c r="QPQ142" s="107" t="s">
        <v>1</v>
      </c>
      <c r="QPR142" s="108"/>
      <c r="QPS142" s="108"/>
      <c r="QPT142" s="109"/>
      <c r="QPU142" s="107" t="s">
        <v>1</v>
      </c>
      <c r="QPV142" s="108"/>
      <c r="QPW142" s="108"/>
      <c r="QPX142" s="109"/>
      <c r="QPY142" s="107" t="s">
        <v>1</v>
      </c>
      <c r="QPZ142" s="108"/>
      <c r="QQA142" s="108"/>
      <c r="QQB142" s="109"/>
      <c r="QQC142" s="107" t="s">
        <v>1</v>
      </c>
      <c r="QQD142" s="108"/>
      <c r="QQE142" s="108"/>
      <c r="QQF142" s="109"/>
      <c r="QQG142" s="107" t="s">
        <v>1</v>
      </c>
      <c r="QQH142" s="108"/>
      <c r="QQI142" s="108"/>
      <c r="QQJ142" s="109"/>
      <c r="QQK142" s="107" t="s">
        <v>1</v>
      </c>
      <c r="QQL142" s="108"/>
      <c r="QQM142" s="108"/>
      <c r="QQN142" s="109"/>
      <c r="QQO142" s="107" t="s">
        <v>1</v>
      </c>
      <c r="QQP142" s="108"/>
      <c r="QQQ142" s="108"/>
      <c r="QQR142" s="109"/>
      <c r="QQS142" s="107" t="s">
        <v>1</v>
      </c>
      <c r="QQT142" s="108"/>
      <c r="QQU142" s="108"/>
      <c r="QQV142" s="109"/>
      <c r="QQW142" s="107" t="s">
        <v>1</v>
      </c>
      <c r="QQX142" s="108"/>
      <c r="QQY142" s="108"/>
      <c r="QQZ142" s="109"/>
      <c r="QRA142" s="107" t="s">
        <v>1</v>
      </c>
      <c r="QRB142" s="108"/>
      <c r="QRC142" s="108"/>
      <c r="QRD142" s="109"/>
      <c r="QRE142" s="107" t="s">
        <v>1</v>
      </c>
      <c r="QRF142" s="108"/>
      <c r="QRG142" s="108"/>
      <c r="QRH142" s="109"/>
      <c r="QRI142" s="107" t="s">
        <v>1</v>
      </c>
      <c r="QRJ142" s="108"/>
      <c r="QRK142" s="108"/>
      <c r="QRL142" s="109"/>
      <c r="QRM142" s="107" t="s">
        <v>1</v>
      </c>
      <c r="QRN142" s="108"/>
      <c r="QRO142" s="108"/>
      <c r="QRP142" s="109"/>
      <c r="QRQ142" s="107" t="s">
        <v>1</v>
      </c>
      <c r="QRR142" s="108"/>
      <c r="QRS142" s="108"/>
      <c r="QRT142" s="109"/>
      <c r="QRU142" s="107" t="s">
        <v>1</v>
      </c>
      <c r="QRV142" s="108"/>
      <c r="QRW142" s="108"/>
      <c r="QRX142" s="109"/>
      <c r="QRY142" s="107" t="s">
        <v>1</v>
      </c>
      <c r="QRZ142" s="108"/>
      <c r="QSA142" s="108"/>
      <c r="QSB142" s="109"/>
      <c r="QSC142" s="107" t="s">
        <v>1</v>
      </c>
      <c r="QSD142" s="108"/>
      <c r="QSE142" s="108"/>
      <c r="QSF142" s="109"/>
      <c r="QSG142" s="107" t="s">
        <v>1</v>
      </c>
      <c r="QSH142" s="108"/>
      <c r="QSI142" s="108"/>
      <c r="QSJ142" s="109"/>
      <c r="QSK142" s="107" t="s">
        <v>1</v>
      </c>
      <c r="QSL142" s="108"/>
      <c r="QSM142" s="108"/>
      <c r="QSN142" s="109"/>
      <c r="QSO142" s="107" t="s">
        <v>1</v>
      </c>
      <c r="QSP142" s="108"/>
      <c r="QSQ142" s="108"/>
      <c r="QSR142" s="109"/>
      <c r="QSS142" s="107" t="s">
        <v>1</v>
      </c>
      <c r="QST142" s="108"/>
      <c r="QSU142" s="108"/>
      <c r="QSV142" s="109"/>
      <c r="QSW142" s="107" t="s">
        <v>1</v>
      </c>
      <c r="QSX142" s="108"/>
      <c r="QSY142" s="108"/>
      <c r="QSZ142" s="109"/>
      <c r="QTA142" s="107" t="s">
        <v>1</v>
      </c>
      <c r="QTB142" s="108"/>
      <c r="QTC142" s="108"/>
      <c r="QTD142" s="109"/>
      <c r="QTE142" s="107" t="s">
        <v>1</v>
      </c>
      <c r="QTF142" s="108"/>
      <c r="QTG142" s="108"/>
      <c r="QTH142" s="109"/>
      <c r="QTI142" s="107" t="s">
        <v>1</v>
      </c>
      <c r="QTJ142" s="108"/>
      <c r="QTK142" s="108"/>
      <c r="QTL142" s="109"/>
      <c r="QTM142" s="107" t="s">
        <v>1</v>
      </c>
      <c r="QTN142" s="108"/>
      <c r="QTO142" s="108"/>
      <c r="QTP142" s="109"/>
      <c r="QTQ142" s="107" t="s">
        <v>1</v>
      </c>
      <c r="QTR142" s="108"/>
      <c r="QTS142" s="108"/>
      <c r="QTT142" s="109"/>
      <c r="QTU142" s="107" t="s">
        <v>1</v>
      </c>
      <c r="QTV142" s="108"/>
      <c r="QTW142" s="108"/>
      <c r="QTX142" s="109"/>
      <c r="QTY142" s="107" t="s">
        <v>1</v>
      </c>
      <c r="QTZ142" s="108"/>
      <c r="QUA142" s="108"/>
      <c r="QUB142" s="109"/>
      <c r="QUC142" s="107" t="s">
        <v>1</v>
      </c>
      <c r="QUD142" s="108"/>
      <c r="QUE142" s="108"/>
      <c r="QUF142" s="109"/>
      <c r="QUG142" s="107" t="s">
        <v>1</v>
      </c>
      <c r="QUH142" s="108"/>
      <c r="QUI142" s="108"/>
      <c r="QUJ142" s="109"/>
      <c r="QUK142" s="107" t="s">
        <v>1</v>
      </c>
      <c r="QUL142" s="108"/>
      <c r="QUM142" s="108"/>
      <c r="QUN142" s="109"/>
      <c r="QUO142" s="107" t="s">
        <v>1</v>
      </c>
      <c r="QUP142" s="108"/>
      <c r="QUQ142" s="108"/>
      <c r="QUR142" s="109"/>
      <c r="QUS142" s="107" t="s">
        <v>1</v>
      </c>
      <c r="QUT142" s="108"/>
      <c r="QUU142" s="108"/>
      <c r="QUV142" s="109"/>
      <c r="QUW142" s="107" t="s">
        <v>1</v>
      </c>
      <c r="QUX142" s="108"/>
      <c r="QUY142" s="108"/>
      <c r="QUZ142" s="109"/>
      <c r="QVA142" s="107" t="s">
        <v>1</v>
      </c>
      <c r="QVB142" s="108"/>
      <c r="QVC142" s="108"/>
      <c r="QVD142" s="109"/>
      <c r="QVE142" s="107" t="s">
        <v>1</v>
      </c>
      <c r="QVF142" s="108"/>
      <c r="QVG142" s="108"/>
      <c r="QVH142" s="109"/>
      <c r="QVI142" s="107" t="s">
        <v>1</v>
      </c>
      <c r="QVJ142" s="108"/>
      <c r="QVK142" s="108"/>
      <c r="QVL142" s="109"/>
      <c r="QVM142" s="107" t="s">
        <v>1</v>
      </c>
      <c r="QVN142" s="108"/>
      <c r="QVO142" s="108"/>
      <c r="QVP142" s="109"/>
      <c r="QVQ142" s="107" t="s">
        <v>1</v>
      </c>
      <c r="QVR142" s="108"/>
      <c r="QVS142" s="108"/>
      <c r="QVT142" s="109"/>
      <c r="QVU142" s="107" t="s">
        <v>1</v>
      </c>
      <c r="QVV142" s="108"/>
      <c r="QVW142" s="108"/>
      <c r="QVX142" s="109"/>
      <c r="QVY142" s="107" t="s">
        <v>1</v>
      </c>
      <c r="QVZ142" s="108"/>
      <c r="QWA142" s="108"/>
      <c r="QWB142" s="109"/>
      <c r="QWC142" s="107" t="s">
        <v>1</v>
      </c>
      <c r="QWD142" s="108"/>
      <c r="QWE142" s="108"/>
      <c r="QWF142" s="109"/>
      <c r="QWG142" s="107" t="s">
        <v>1</v>
      </c>
      <c r="QWH142" s="108"/>
      <c r="QWI142" s="108"/>
      <c r="QWJ142" s="109"/>
      <c r="QWK142" s="107" t="s">
        <v>1</v>
      </c>
      <c r="QWL142" s="108"/>
      <c r="QWM142" s="108"/>
      <c r="QWN142" s="109"/>
      <c r="QWO142" s="107" t="s">
        <v>1</v>
      </c>
      <c r="QWP142" s="108"/>
      <c r="QWQ142" s="108"/>
      <c r="QWR142" s="109"/>
      <c r="QWS142" s="107" t="s">
        <v>1</v>
      </c>
      <c r="QWT142" s="108"/>
      <c r="QWU142" s="108"/>
      <c r="QWV142" s="109"/>
      <c r="QWW142" s="107" t="s">
        <v>1</v>
      </c>
      <c r="QWX142" s="108"/>
      <c r="QWY142" s="108"/>
      <c r="QWZ142" s="109"/>
      <c r="QXA142" s="107" t="s">
        <v>1</v>
      </c>
      <c r="QXB142" s="108"/>
      <c r="QXC142" s="108"/>
      <c r="QXD142" s="109"/>
      <c r="QXE142" s="107" t="s">
        <v>1</v>
      </c>
      <c r="QXF142" s="108"/>
      <c r="QXG142" s="108"/>
      <c r="QXH142" s="109"/>
      <c r="QXI142" s="107" t="s">
        <v>1</v>
      </c>
      <c r="QXJ142" s="108"/>
      <c r="QXK142" s="108"/>
      <c r="QXL142" s="109"/>
      <c r="QXM142" s="107" t="s">
        <v>1</v>
      </c>
      <c r="QXN142" s="108"/>
      <c r="QXO142" s="108"/>
      <c r="QXP142" s="109"/>
      <c r="QXQ142" s="107" t="s">
        <v>1</v>
      </c>
      <c r="QXR142" s="108"/>
      <c r="QXS142" s="108"/>
      <c r="QXT142" s="109"/>
      <c r="QXU142" s="107" t="s">
        <v>1</v>
      </c>
      <c r="QXV142" s="108"/>
      <c r="QXW142" s="108"/>
      <c r="QXX142" s="109"/>
      <c r="QXY142" s="107" t="s">
        <v>1</v>
      </c>
      <c r="QXZ142" s="108"/>
      <c r="QYA142" s="108"/>
      <c r="QYB142" s="109"/>
      <c r="QYC142" s="107" t="s">
        <v>1</v>
      </c>
      <c r="QYD142" s="108"/>
      <c r="QYE142" s="108"/>
      <c r="QYF142" s="109"/>
      <c r="QYG142" s="107" t="s">
        <v>1</v>
      </c>
      <c r="QYH142" s="108"/>
      <c r="QYI142" s="108"/>
      <c r="QYJ142" s="109"/>
      <c r="QYK142" s="107" t="s">
        <v>1</v>
      </c>
      <c r="QYL142" s="108"/>
      <c r="QYM142" s="108"/>
      <c r="QYN142" s="109"/>
      <c r="QYO142" s="107" t="s">
        <v>1</v>
      </c>
      <c r="QYP142" s="108"/>
      <c r="QYQ142" s="108"/>
      <c r="QYR142" s="109"/>
      <c r="QYS142" s="107" t="s">
        <v>1</v>
      </c>
      <c r="QYT142" s="108"/>
      <c r="QYU142" s="108"/>
      <c r="QYV142" s="109"/>
      <c r="QYW142" s="107" t="s">
        <v>1</v>
      </c>
      <c r="QYX142" s="108"/>
      <c r="QYY142" s="108"/>
      <c r="QYZ142" s="109"/>
      <c r="QZA142" s="107" t="s">
        <v>1</v>
      </c>
      <c r="QZB142" s="108"/>
      <c r="QZC142" s="108"/>
      <c r="QZD142" s="109"/>
      <c r="QZE142" s="107" t="s">
        <v>1</v>
      </c>
      <c r="QZF142" s="108"/>
      <c r="QZG142" s="108"/>
      <c r="QZH142" s="109"/>
      <c r="QZI142" s="107" t="s">
        <v>1</v>
      </c>
      <c r="QZJ142" s="108"/>
      <c r="QZK142" s="108"/>
      <c r="QZL142" s="109"/>
      <c r="QZM142" s="107" t="s">
        <v>1</v>
      </c>
      <c r="QZN142" s="108"/>
      <c r="QZO142" s="108"/>
      <c r="QZP142" s="109"/>
      <c r="QZQ142" s="107" t="s">
        <v>1</v>
      </c>
      <c r="QZR142" s="108"/>
      <c r="QZS142" s="108"/>
      <c r="QZT142" s="109"/>
      <c r="QZU142" s="107" t="s">
        <v>1</v>
      </c>
      <c r="QZV142" s="108"/>
      <c r="QZW142" s="108"/>
      <c r="QZX142" s="109"/>
      <c r="QZY142" s="107" t="s">
        <v>1</v>
      </c>
      <c r="QZZ142" s="108"/>
      <c r="RAA142" s="108"/>
      <c r="RAB142" s="109"/>
      <c r="RAC142" s="107" t="s">
        <v>1</v>
      </c>
      <c r="RAD142" s="108"/>
      <c r="RAE142" s="108"/>
      <c r="RAF142" s="109"/>
      <c r="RAG142" s="107" t="s">
        <v>1</v>
      </c>
      <c r="RAH142" s="108"/>
      <c r="RAI142" s="108"/>
      <c r="RAJ142" s="109"/>
      <c r="RAK142" s="107" t="s">
        <v>1</v>
      </c>
      <c r="RAL142" s="108"/>
      <c r="RAM142" s="108"/>
      <c r="RAN142" s="109"/>
      <c r="RAO142" s="107" t="s">
        <v>1</v>
      </c>
      <c r="RAP142" s="108"/>
      <c r="RAQ142" s="108"/>
      <c r="RAR142" s="109"/>
      <c r="RAS142" s="107" t="s">
        <v>1</v>
      </c>
      <c r="RAT142" s="108"/>
      <c r="RAU142" s="108"/>
      <c r="RAV142" s="109"/>
      <c r="RAW142" s="107" t="s">
        <v>1</v>
      </c>
      <c r="RAX142" s="108"/>
      <c r="RAY142" s="108"/>
      <c r="RAZ142" s="109"/>
      <c r="RBA142" s="107" t="s">
        <v>1</v>
      </c>
      <c r="RBB142" s="108"/>
      <c r="RBC142" s="108"/>
      <c r="RBD142" s="109"/>
      <c r="RBE142" s="107" t="s">
        <v>1</v>
      </c>
      <c r="RBF142" s="108"/>
      <c r="RBG142" s="108"/>
      <c r="RBH142" s="109"/>
      <c r="RBI142" s="107" t="s">
        <v>1</v>
      </c>
      <c r="RBJ142" s="108"/>
      <c r="RBK142" s="108"/>
      <c r="RBL142" s="109"/>
      <c r="RBM142" s="107" t="s">
        <v>1</v>
      </c>
      <c r="RBN142" s="108"/>
      <c r="RBO142" s="108"/>
      <c r="RBP142" s="109"/>
      <c r="RBQ142" s="107" t="s">
        <v>1</v>
      </c>
      <c r="RBR142" s="108"/>
      <c r="RBS142" s="108"/>
      <c r="RBT142" s="109"/>
      <c r="RBU142" s="107" t="s">
        <v>1</v>
      </c>
      <c r="RBV142" s="108"/>
      <c r="RBW142" s="108"/>
      <c r="RBX142" s="109"/>
      <c r="RBY142" s="107" t="s">
        <v>1</v>
      </c>
      <c r="RBZ142" s="108"/>
      <c r="RCA142" s="108"/>
      <c r="RCB142" s="109"/>
      <c r="RCC142" s="107" t="s">
        <v>1</v>
      </c>
      <c r="RCD142" s="108"/>
      <c r="RCE142" s="108"/>
      <c r="RCF142" s="109"/>
      <c r="RCG142" s="107" t="s">
        <v>1</v>
      </c>
      <c r="RCH142" s="108"/>
      <c r="RCI142" s="108"/>
      <c r="RCJ142" s="109"/>
      <c r="RCK142" s="107" t="s">
        <v>1</v>
      </c>
      <c r="RCL142" s="108"/>
      <c r="RCM142" s="108"/>
      <c r="RCN142" s="109"/>
      <c r="RCO142" s="107" t="s">
        <v>1</v>
      </c>
      <c r="RCP142" s="108"/>
      <c r="RCQ142" s="108"/>
      <c r="RCR142" s="109"/>
      <c r="RCS142" s="107" t="s">
        <v>1</v>
      </c>
      <c r="RCT142" s="108"/>
      <c r="RCU142" s="108"/>
      <c r="RCV142" s="109"/>
      <c r="RCW142" s="107" t="s">
        <v>1</v>
      </c>
      <c r="RCX142" s="108"/>
      <c r="RCY142" s="108"/>
      <c r="RCZ142" s="109"/>
      <c r="RDA142" s="107" t="s">
        <v>1</v>
      </c>
      <c r="RDB142" s="108"/>
      <c r="RDC142" s="108"/>
      <c r="RDD142" s="109"/>
      <c r="RDE142" s="107" t="s">
        <v>1</v>
      </c>
      <c r="RDF142" s="108"/>
      <c r="RDG142" s="108"/>
      <c r="RDH142" s="109"/>
      <c r="RDI142" s="107" t="s">
        <v>1</v>
      </c>
      <c r="RDJ142" s="108"/>
      <c r="RDK142" s="108"/>
      <c r="RDL142" s="109"/>
      <c r="RDM142" s="107" t="s">
        <v>1</v>
      </c>
      <c r="RDN142" s="108"/>
      <c r="RDO142" s="108"/>
      <c r="RDP142" s="109"/>
      <c r="RDQ142" s="107" t="s">
        <v>1</v>
      </c>
      <c r="RDR142" s="108"/>
      <c r="RDS142" s="108"/>
      <c r="RDT142" s="109"/>
      <c r="RDU142" s="107" t="s">
        <v>1</v>
      </c>
      <c r="RDV142" s="108"/>
      <c r="RDW142" s="108"/>
      <c r="RDX142" s="109"/>
      <c r="RDY142" s="107" t="s">
        <v>1</v>
      </c>
      <c r="RDZ142" s="108"/>
      <c r="REA142" s="108"/>
      <c r="REB142" s="109"/>
      <c r="REC142" s="107" t="s">
        <v>1</v>
      </c>
      <c r="RED142" s="108"/>
      <c r="REE142" s="108"/>
      <c r="REF142" s="109"/>
      <c r="REG142" s="107" t="s">
        <v>1</v>
      </c>
      <c r="REH142" s="108"/>
      <c r="REI142" s="108"/>
      <c r="REJ142" s="109"/>
      <c r="REK142" s="107" t="s">
        <v>1</v>
      </c>
      <c r="REL142" s="108"/>
      <c r="REM142" s="108"/>
      <c r="REN142" s="109"/>
      <c r="REO142" s="107" t="s">
        <v>1</v>
      </c>
      <c r="REP142" s="108"/>
      <c r="REQ142" s="108"/>
      <c r="RER142" s="109"/>
      <c r="RES142" s="107" t="s">
        <v>1</v>
      </c>
      <c r="RET142" s="108"/>
      <c r="REU142" s="108"/>
      <c r="REV142" s="109"/>
      <c r="REW142" s="107" t="s">
        <v>1</v>
      </c>
      <c r="REX142" s="108"/>
      <c r="REY142" s="108"/>
      <c r="REZ142" s="109"/>
      <c r="RFA142" s="107" t="s">
        <v>1</v>
      </c>
      <c r="RFB142" s="108"/>
      <c r="RFC142" s="108"/>
      <c r="RFD142" s="109"/>
      <c r="RFE142" s="107" t="s">
        <v>1</v>
      </c>
      <c r="RFF142" s="108"/>
      <c r="RFG142" s="108"/>
      <c r="RFH142" s="109"/>
      <c r="RFI142" s="107" t="s">
        <v>1</v>
      </c>
      <c r="RFJ142" s="108"/>
      <c r="RFK142" s="108"/>
      <c r="RFL142" s="109"/>
      <c r="RFM142" s="107" t="s">
        <v>1</v>
      </c>
      <c r="RFN142" s="108"/>
      <c r="RFO142" s="108"/>
      <c r="RFP142" s="109"/>
      <c r="RFQ142" s="107" t="s">
        <v>1</v>
      </c>
      <c r="RFR142" s="108"/>
      <c r="RFS142" s="108"/>
      <c r="RFT142" s="109"/>
      <c r="RFU142" s="107" t="s">
        <v>1</v>
      </c>
      <c r="RFV142" s="108"/>
      <c r="RFW142" s="108"/>
      <c r="RFX142" s="109"/>
      <c r="RFY142" s="107" t="s">
        <v>1</v>
      </c>
      <c r="RFZ142" s="108"/>
      <c r="RGA142" s="108"/>
      <c r="RGB142" s="109"/>
      <c r="RGC142" s="107" t="s">
        <v>1</v>
      </c>
      <c r="RGD142" s="108"/>
      <c r="RGE142" s="108"/>
      <c r="RGF142" s="109"/>
      <c r="RGG142" s="107" t="s">
        <v>1</v>
      </c>
      <c r="RGH142" s="108"/>
      <c r="RGI142" s="108"/>
      <c r="RGJ142" s="109"/>
      <c r="RGK142" s="107" t="s">
        <v>1</v>
      </c>
      <c r="RGL142" s="108"/>
      <c r="RGM142" s="108"/>
      <c r="RGN142" s="109"/>
      <c r="RGO142" s="107" t="s">
        <v>1</v>
      </c>
      <c r="RGP142" s="108"/>
      <c r="RGQ142" s="108"/>
      <c r="RGR142" s="109"/>
      <c r="RGS142" s="107" t="s">
        <v>1</v>
      </c>
      <c r="RGT142" s="108"/>
      <c r="RGU142" s="108"/>
      <c r="RGV142" s="109"/>
      <c r="RGW142" s="107" t="s">
        <v>1</v>
      </c>
      <c r="RGX142" s="108"/>
      <c r="RGY142" s="108"/>
      <c r="RGZ142" s="109"/>
      <c r="RHA142" s="107" t="s">
        <v>1</v>
      </c>
      <c r="RHB142" s="108"/>
      <c r="RHC142" s="108"/>
      <c r="RHD142" s="109"/>
      <c r="RHE142" s="107" t="s">
        <v>1</v>
      </c>
      <c r="RHF142" s="108"/>
      <c r="RHG142" s="108"/>
      <c r="RHH142" s="109"/>
      <c r="RHI142" s="107" t="s">
        <v>1</v>
      </c>
      <c r="RHJ142" s="108"/>
      <c r="RHK142" s="108"/>
      <c r="RHL142" s="109"/>
      <c r="RHM142" s="107" t="s">
        <v>1</v>
      </c>
      <c r="RHN142" s="108"/>
      <c r="RHO142" s="108"/>
      <c r="RHP142" s="109"/>
      <c r="RHQ142" s="107" t="s">
        <v>1</v>
      </c>
      <c r="RHR142" s="108"/>
      <c r="RHS142" s="108"/>
      <c r="RHT142" s="109"/>
      <c r="RHU142" s="107" t="s">
        <v>1</v>
      </c>
      <c r="RHV142" s="108"/>
      <c r="RHW142" s="108"/>
      <c r="RHX142" s="109"/>
      <c r="RHY142" s="107" t="s">
        <v>1</v>
      </c>
      <c r="RHZ142" s="108"/>
      <c r="RIA142" s="108"/>
      <c r="RIB142" s="109"/>
      <c r="RIC142" s="107" t="s">
        <v>1</v>
      </c>
      <c r="RID142" s="108"/>
      <c r="RIE142" s="108"/>
      <c r="RIF142" s="109"/>
      <c r="RIG142" s="107" t="s">
        <v>1</v>
      </c>
      <c r="RIH142" s="108"/>
      <c r="RII142" s="108"/>
      <c r="RIJ142" s="109"/>
      <c r="RIK142" s="107" t="s">
        <v>1</v>
      </c>
      <c r="RIL142" s="108"/>
      <c r="RIM142" s="108"/>
      <c r="RIN142" s="109"/>
      <c r="RIO142" s="107" t="s">
        <v>1</v>
      </c>
      <c r="RIP142" s="108"/>
      <c r="RIQ142" s="108"/>
      <c r="RIR142" s="109"/>
      <c r="RIS142" s="107" t="s">
        <v>1</v>
      </c>
      <c r="RIT142" s="108"/>
      <c r="RIU142" s="108"/>
      <c r="RIV142" s="109"/>
      <c r="RIW142" s="107" t="s">
        <v>1</v>
      </c>
      <c r="RIX142" s="108"/>
      <c r="RIY142" s="108"/>
      <c r="RIZ142" s="109"/>
      <c r="RJA142" s="107" t="s">
        <v>1</v>
      </c>
      <c r="RJB142" s="108"/>
      <c r="RJC142" s="108"/>
      <c r="RJD142" s="109"/>
      <c r="RJE142" s="107" t="s">
        <v>1</v>
      </c>
      <c r="RJF142" s="108"/>
      <c r="RJG142" s="108"/>
      <c r="RJH142" s="109"/>
      <c r="RJI142" s="107" t="s">
        <v>1</v>
      </c>
      <c r="RJJ142" s="108"/>
      <c r="RJK142" s="108"/>
      <c r="RJL142" s="109"/>
      <c r="RJM142" s="107" t="s">
        <v>1</v>
      </c>
      <c r="RJN142" s="108"/>
      <c r="RJO142" s="108"/>
      <c r="RJP142" s="109"/>
      <c r="RJQ142" s="107" t="s">
        <v>1</v>
      </c>
      <c r="RJR142" s="108"/>
      <c r="RJS142" s="108"/>
      <c r="RJT142" s="109"/>
      <c r="RJU142" s="107" t="s">
        <v>1</v>
      </c>
      <c r="RJV142" s="108"/>
      <c r="RJW142" s="108"/>
      <c r="RJX142" s="109"/>
      <c r="RJY142" s="107" t="s">
        <v>1</v>
      </c>
      <c r="RJZ142" s="108"/>
      <c r="RKA142" s="108"/>
      <c r="RKB142" s="109"/>
      <c r="RKC142" s="107" t="s">
        <v>1</v>
      </c>
      <c r="RKD142" s="108"/>
      <c r="RKE142" s="108"/>
      <c r="RKF142" s="109"/>
      <c r="RKG142" s="107" t="s">
        <v>1</v>
      </c>
      <c r="RKH142" s="108"/>
      <c r="RKI142" s="108"/>
      <c r="RKJ142" s="109"/>
      <c r="RKK142" s="107" t="s">
        <v>1</v>
      </c>
      <c r="RKL142" s="108"/>
      <c r="RKM142" s="108"/>
      <c r="RKN142" s="109"/>
      <c r="RKO142" s="107" t="s">
        <v>1</v>
      </c>
      <c r="RKP142" s="108"/>
      <c r="RKQ142" s="108"/>
      <c r="RKR142" s="109"/>
      <c r="RKS142" s="107" t="s">
        <v>1</v>
      </c>
      <c r="RKT142" s="108"/>
      <c r="RKU142" s="108"/>
      <c r="RKV142" s="109"/>
      <c r="RKW142" s="107" t="s">
        <v>1</v>
      </c>
      <c r="RKX142" s="108"/>
      <c r="RKY142" s="108"/>
      <c r="RKZ142" s="109"/>
      <c r="RLA142" s="107" t="s">
        <v>1</v>
      </c>
      <c r="RLB142" s="108"/>
      <c r="RLC142" s="108"/>
      <c r="RLD142" s="109"/>
      <c r="RLE142" s="107" t="s">
        <v>1</v>
      </c>
      <c r="RLF142" s="108"/>
      <c r="RLG142" s="108"/>
      <c r="RLH142" s="109"/>
      <c r="RLI142" s="107" t="s">
        <v>1</v>
      </c>
      <c r="RLJ142" s="108"/>
      <c r="RLK142" s="108"/>
      <c r="RLL142" s="109"/>
      <c r="RLM142" s="107" t="s">
        <v>1</v>
      </c>
      <c r="RLN142" s="108"/>
      <c r="RLO142" s="108"/>
      <c r="RLP142" s="109"/>
      <c r="RLQ142" s="107" t="s">
        <v>1</v>
      </c>
      <c r="RLR142" s="108"/>
      <c r="RLS142" s="108"/>
      <c r="RLT142" s="109"/>
      <c r="RLU142" s="107" t="s">
        <v>1</v>
      </c>
      <c r="RLV142" s="108"/>
      <c r="RLW142" s="108"/>
      <c r="RLX142" s="109"/>
      <c r="RLY142" s="107" t="s">
        <v>1</v>
      </c>
      <c r="RLZ142" s="108"/>
      <c r="RMA142" s="108"/>
      <c r="RMB142" s="109"/>
      <c r="RMC142" s="107" t="s">
        <v>1</v>
      </c>
      <c r="RMD142" s="108"/>
      <c r="RME142" s="108"/>
      <c r="RMF142" s="109"/>
      <c r="RMG142" s="107" t="s">
        <v>1</v>
      </c>
      <c r="RMH142" s="108"/>
      <c r="RMI142" s="108"/>
      <c r="RMJ142" s="109"/>
      <c r="RMK142" s="107" t="s">
        <v>1</v>
      </c>
      <c r="RML142" s="108"/>
      <c r="RMM142" s="108"/>
      <c r="RMN142" s="109"/>
      <c r="RMO142" s="107" t="s">
        <v>1</v>
      </c>
      <c r="RMP142" s="108"/>
      <c r="RMQ142" s="108"/>
      <c r="RMR142" s="109"/>
      <c r="RMS142" s="107" t="s">
        <v>1</v>
      </c>
      <c r="RMT142" s="108"/>
      <c r="RMU142" s="108"/>
      <c r="RMV142" s="109"/>
      <c r="RMW142" s="107" t="s">
        <v>1</v>
      </c>
      <c r="RMX142" s="108"/>
      <c r="RMY142" s="108"/>
      <c r="RMZ142" s="109"/>
      <c r="RNA142" s="107" t="s">
        <v>1</v>
      </c>
      <c r="RNB142" s="108"/>
      <c r="RNC142" s="108"/>
      <c r="RND142" s="109"/>
      <c r="RNE142" s="107" t="s">
        <v>1</v>
      </c>
      <c r="RNF142" s="108"/>
      <c r="RNG142" s="108"/>
      <c r="RNH142" s="109"/>
      <c r="RNI142" s="107" t="s">
        <v>1</v>
      </c>
      <c r="RNJ142" s="108"/>
      <c r="RNK142" s="108"/>
      <c r="RNL142" s="109"/>
      <c r="RNM142" s="107" t="s">
        <v>1</v>
      </c>
      <c r="RNN142" s="108"/>
      <c r="RNO142" s="108"/>
      <c r="RNP142" s="109"/>
      <c r="RNQ142" s="107" t="s">
        <v>1</v>
      </c>
      <c r="RNR142" s="108"/>
      <c r="RNS142" s="108"/>
      <c r="RNT142" s="109"/>
      <c r="RNU142" s="107" t="s">
        <v>1</v>
      </c>
      <c r="RNV142" s="108"/>
      <c r="RNW142" s="108"/>
      <c r="RNX142" s="109"/>
      <c r="RNY142" s="107" t="s">
        <v>1</v>
      </c>
      <c r="RNZ142" s="108"/>
      <c r="ROA142" s="108"/>
      <c r="ROB142" s="109"/>
      <c r="ROC142" s="107" t="s">
        <v>1</v>
      </c>
      <c r="ROD142" s="108"/>
      <c r="ROE142" s="108"/>
      <c r="ROF142" s="109"/>
      <c r="ROG142" s="107" t="s">
        <v>1</v>
      </c>
      <c r="ROH142" s="108"/>
      <c r="ROI142" s="108"/>
      <c r="ROJ142" s="109"/>
      <c r="ROK142" s="107" t="s">
        <v>1</v>
      </c>
      <c r="ROL142" s="108"/>
      <c r="ROM142" s="108"/>
      <c r="RON142" s="109"/>
      <c r="ROO142" s="107" t="s">
        <v>1</v>
      </c>
      <c r="ROP142" s="108"/>
      <c r="ROQ142" s="108"/>
      <c r="ROR142" s="109"/>
      <c r="ROS142" s="107" t="s">
        <v>1</v>
      </c>
      <c r="ROT142" s="108"/>
      <c r="ROU142" s="108"/>
      <c r="ROV142" s="109"/>
      <c r="ROW142" s="107" t="s">
        <v>1</v>
      </c>
      <c r="ROX142" s="108"/>
      <c r="ROY142" s="108"/>
      <c r="ROZ142" s="109"/>
      <c r="RPA142" s="107" t="s">
        <v>1</v>
      </c>
      <c r="RPB142" s="108"/>
      <c r="RPC142" s="108"/>
      <c r="RPD142" s="109"/>
      <c r="RPE142" s="107" t="s">
        <v>1</v>
      </c>
      <c r="RPF142" s="108"/>
      <c r="RPG142" s="108"/>
      <c r="RPH142" s="109"/>
      <c r="RPI142" s="107" t="s">
        <v>1</v>
      </c>
      <c r="RPJ142" s="108"/>
      <c r="RPK142" s="108"/>
      <c r="RPL142" s="109"/>
      <c r="RPM142" s="107" t="s">
        <v>1</v>
      </c>
      <c r="RPN142" s="108"/>
      <c r="RPO142" s="108"/>
      <c r="RPP142" s="109"/>
      <c r="RPQ142" s="107" t="s">
        <v>1</v>
      </c>
      <c r="RPR142" s="108"/>
      <c r="RPS142" s="108"/>
      <c r="RPT142" s="109"/>
      <c r="RPU142" s="107" t="s">
        <v>1</v>
      </c>
      <c r="RPV142" s="108"/>
      <c r="RPW142" s="108"/>
      <c r="RPX142" s="109"/>
      <c r="RPY142" s="107" t="s">
        <v>1</v>
      </c>
      <c r="RPZ142" s="108"/>
      <c r="RQA142" s="108"/>
      <c r="RQB142" s="109"/>
      <c r="RQC142" s="107" t="s">
        <v>1</v>
      </c>
      <c r="RQD142" s="108"/>
      <c r="RQE142" s="108"/>
      <c r="RQF142" s="109"/>
      <c r="RQG142" s="107" t="s">
        <v>1</v>
      </c>
      <c r="RQH142" s="108"/>
      <c r="RQI142" s="108"/>
      <c r="RQJ142" s="109"/>
      <c r="RQK142" s="107" t="s">
        <v>1</v>
      </c>
      <c r="RQL142" s="108"/>
      <c r="RQM142" s="108"/>
      <c r="RQN142" s="109"/>
      <c r="RQO142" s="107" t="s">
        <v>1</v>
      </c>
      <c r="RQP142" s="108"/>
      <c r="RQQ142" s="108"/>
      <c r="RQR142" s="109"/>
      <c r="RQS142" s="107" t="s">
        <v>1</v>
      </c>
      <c r="RQT142" s="108"/>
      <c r="RQU142" s="108"/>
      <c r="RQV142" s="109"/>
      <c r="RQW142" s="107" t="s">
        <v>1</v>
      </c>
      <c r="RQX142" s="108"/>
      <c r="RQY142" s="108"/>
      <c r="RQZ142" s="109"/>
      <c r="RRA142" s="107" t="s">
        <v>1</v>
      </c>
      <c r="RRB142" s="108"/>
      <c r="RRC142" s="108"/>
      <c r="RRD142" s="109"/>
      <c r="RRE142" s="107" t="s">
        <v>1</v>
      </c>
      <c r="RRF142" s="108"/>
      <c r="RRG142" s="108"/>
      <c r="RRH142" s="109"/>
      <c r="RRI142" s="107" t="s">
        <v>1</v>
      </c>
      <c r="RRJ142" s="108"/>
      <c r="RRK142" s="108"/>
      <c r="RRL142" s="109"/>
      <c r="RRM142" s="107" t="s">
        <v>1</v>
      </c>
      <c r="RRN142" s="108"/>
      <c r="RRO142" s="108"/>
      <c r="RRP142" s="109"/>
      <c r="RRQ142" s="107" t="s">
        <v>1</v>
      </c>
      <c r="RRR142" s="108"/>
      <c r="RRS142" s="108"/>
      <c r="RRT142" s="109"/>
      <c r="RRU142" s="107" t="s">
        <v>1</v>
      </c>
      <c r="RRV142" s="108"/>
      <c r="RRW142" s="108"/>
      <c r="RRX142" s="109"/>
      <c r="RRY142" s="107" t="s">
        <v>1</v>
      </c>
      <c r="RRZ142" s="108"/>
      <c r="RSA142" s="108"/>
      <c r="RSB142" s="109"/>
      <c r="RSC142" s="107" t="s">
        <v>1</v>
      </c>
      <c r="RSD142" s="108"/>
      <c r="RSE142" s="108"/>
      <c r="RSF142" s="109"/>
      <c r="RSG142" s="107" t="s">
        <v>1</v>
      </c>
      <c r="RSH142" s="108"/>
      <c r="RSI142" s="108"/>
      <c r="RSJ142" s="109"/>
      <c r="RSK142" s="107" t="s">
        <v>1</v>
      </c>
      <c r="RSL142" s="108"/>
      <c r="RSM142" s="108"/>
      <c r="RSN142" s="109"/>
      <c r="RSO142" s="107" t="s">
        <v>1</v>
      </c>
      <c r="RSP142" s="108"/>
      <c r="RSQ142" s="108"/>
      <c r="RSR142" s="109"/>
      <c r="RSS142" s="107" t="s">
        <v>1</v>
      </c>
      <c r="RST142" s="108"/>
      <c r="RSU142" s="108"/>
      <c r="RSV142" s="109"/>
      <c r="RSW142" s="107" t="s">
        <v>1</v>
      </c>
      <c r="RSX142" s="108"/>
      <c r="RSY142" s="108"/>
      <c r="RSZ142" s="109"/>
      <c r="RTA142" s="107" t="s">
        <v>1</v>
      </c>
      <c r="RTB142" s="108"/>
      <c r="RTC142" s="108"/>
      <c r="RTD142" s="109"/>
      <c r="RTE142" s="107" t="s">
        <v>1</v>
      </c>
      <c r="RTF142" s="108"/>
      <c r="RTG142" s="108"/>
      <c r="RTH142" s="109"/>
      <c r="RTI142" s="107" t="s">
        <v>1</v>
      </c>
      <c r="RTJ142" s="108"/>
      <c r="RTK142" s="108"/>
      <c r="RTL142" s="109"/>
      <c r="RTM142" s="107" t="s">
        <v>1</v>
      </c>
      <c r="RTN142" s="108"/>
      <c r="RTO142" s="108"/>
      <c r="RTP142" s="109"/>
      <c r="RTQ142" s="107" t="s">
        <v>1</v>
      </c>
      <c r="RTR142" s="108"/>
      <c r="RTS142" s="108"/>
      <c r="RTT142" s="109"/>
      <c r="RTU142" s="107" t="s">
        <v>1</v>
      </c>
      <c r="RTV142" s="108"/>
      <c r="RTW142" s="108"/>
      <c r="RTX142" s="109"/>
      <c r="RTY142" s="107" t="s">
        <v>1</v>
      </c>
      <c r="RTZ142" s="108"/>
      <c r="RUA142" s="108"/>
      <c r="RUB142" s="109"/>
      <c r="RUC142" s="107" t="s">
        <v>1</v>
      </c>
      <c r="RUD142" s="108"/>
      <c r="RUE142" s="108"/>
      <c r="RUF142" s="109"/>
      <c r="RUG142" s="107" t="s">
        <v>1</v>
      </c>
      <c r="RUH142" s="108"/>
      <c r="RUI142" s="108"/>
      <c r="RUJ142" s="109"/>
      <c r="RUK142" s="107" t="s">
        <v>1</v>
      </c>
      <c r="RUL142" s="108"/>
      <c r="RUM142" s="108"/>
      <c r="RUN142" s="109"/>
      <c r="RUO142" s="107" t="s">
        <v>1</v>
      </c>
      <c r="RUP142" s="108"/>
      <c r="RUQ142" s="108"/>
      <c r="RUR142" s="109"/>
      <c r="RUS142" s="107" t="s">
        <v>1</v>
      </c>
      <c r="RUT142" s="108"/>
      <c r="RUU142" s="108"/>
      <c r="RUV142" s="109"/>
      <c r="RUW142" s="107" t="s">
        <v>1</v>
      </c>
      <c r="RUX142" s="108"/>
      <c r="RUY142" s="108"/>
      <c r="RUZ142" s="109"/>
      <c r="RVA142" s="107" t="s">
        <v>1</v>
      </c>
      <c r="RVB142" s="108"/>
      <c r="RVC142" s="108"/>
      <c r="RVD142" s="109"/>
      <c r="RVE142" s="107" t="s">
        <v>1</v>
      </c>
      <c r="RVF142" s="108"/>
      <c r="RVG142" s="108"/>
      <c r="RVH142" s="109"/>
      <c r="RVI142" s="107" t="s">
        <v>1</v>
      </c>
      <c r="RVJ142" s="108"/>
      <c r="RVK142" s="108"/>
      <c r="RVL142" s="109"/>
      <c r="RVM142" s="107" t="s">
        <v>1</v>
      </c>
      <c r="RVN142" s="108"/>
      <c r="RVO142" s="108"/>
      <c r="RVP142" s="109"/>
      <c r="RVQ142" s="107" t="s">
        <v>1</v>
      </c>
      <c r="RVR142" s="108"/>
      <c r="RVS142" s="108"/>
      <c r="RVT142" s="109"/>
      <c r="RVU142" s="107" t="s">
        <v>1</v>
      </c>
      <c r="RVV142" s="108"/>
      <c r="RVW142" s="108"/>
      <c r="RVX142" s="109"/>
      <c r="RVY142" s="107" t="s">
        <v>1</v>
      </c>
      <c r="RVZ142" s="108"/>
      <c r="RWA142" s="108"/>
      <c r="RWB142" s="109"/>
      <c r="RWC142" s="107" t="s">
        <v>1</v>
      </c>
      <c r="RWD142" s="108"/>
      <c r="RWE142" s="108"/>
      <c r="RWF142" s="109"/>
      <c r="RWG142" s="107" t="s">
        <v>1</v>
      </c>
      <c r="RWH142" s="108"/>
      <c r="RWI142" s="108"/>
      <c r="RWJ142" s="109"/>
      <c r="RWK142" s="107" t="s">
        <v>1</v>
      </c>
      <c r="RWL142" s="108"/>
      <c r="RWM142" s="108"/>
      <c r="RWN142" s="109"/>
      <c r="RWO142" s="107" t="s">
        <v>1</v>
      </c>
      <c r="RWP142" s="108"/>
      <c r="RWQ142" s="108"/>
      <c r="RWR142" s="109"/>
      <c r="RWS142" s="107" t="s">
        <v>1</v>
      </c>
      <c r="RWT142" s="108"/>
      <c r="RWU142" s="108"/>
      <c r="RWV142" s="109"/>
      <c r="RWW142" s="107" t="s">
        <v>1</v>
      </c>
      <c r="RWX142" s="108"/>
      <c r="RWY142" s="108"/>
      <c r="RWZ142" s="109"/>
      <c r="RXA142" s="107" t="s">
        <v>1</v>
      </c>
      <c r="RXB142" s="108"/>
      <c r="RXC142" s="108"/>
      <c r="RXD142" s="109"/>
      <c r="RXE142" s="107" t="s">
        <v>1</v>
      </c>
      <c r="RXF142" s="108"/>
      <c r="RXG142" s="108"/>
      <c r="RXH142" s="109"/>
      <c r="RXI142" s="107" t="s">
        <v>1</v>
      </c>
      <c r="RXJ142" s="108"/>
      <c r="RXK142" s="108"/>
      <c r="RXL142" s="109"/>
      <c r="RXM142" s="107" t="s">
        <v>1</v>
      </c>
      <c r="RXN142" s="108"/>
      <c r="RXO142" s="108"/>
      <c r="RXP142" s="109"/>
      <c r="RXQ142" s="107" t="s">
        <v>1</v>
      </c>
      <c r="RXR142" s="108"/>
      <c r="RXS142" s="108"/>
      <c r="RXT142" s="109"/>
      <c r="RXU142" s="107" t="s">
        <v>1</v>
      </c>
      <c r="RXV142" s="108"/>
      <c r="RXW142" s="108"/>
      <c r="RXX142" s="109"/>
      <c r="RXY142" s="107" t="s">
        <v>1</v>
      </c>
      <c r="RXZ142" s="108"/>
      <c r="RYA142" s="108"/>
      <c r="RYB142" s="109"/>
      <c r="RYC142" s="107" t="s">
        <v>1</v>
      </c>
      <c r="RYD142" s="108"/>
      <c r="RYE142" s="108"/>
      <c r="RYF142" s="109"/>
      <c r="RYG142" s="107" t="s">
        <v>1</v>
      </c>
      <c r="RYH142" s="108"/>
      <c r="RYI142" s="108"/>
      <c r="RYJ142" s="109"/>
      <c r="RYK142" s="107" t="s">
        <v>1</v>
      </c>
      <c r="RYL142" s="108"/>
      <c r="RYM142" s="108"/>
      <c r="RYN142" s="109"/>
      <c r="RYO142" s="107" t="s">
        <v>1</v>
      </c>
      <c r="RYP142" s="108"/>
      <c r="RYQ142" s="108"/>
      <c r="RYR142" s="109"/>
      <c r="RYS142" s="107" t="s">
        <v>1</v>
      </c>
      <c r="RYT142" s="108"/>
      <c r="RYU142" s="108"/>
      <c r="RYV142" s="109"/>
      <c r="RYW142" s="107" t="s">
        <v>1</v>
      </c>
      <c r="RYX142" s="108"/>
      <c r="RYY142" s="108"/>
      <c r="RYZ142" s="109"/>
      <c r="RZA142" s="107" t="s">
        <v>1</v>
      </c>
      <c r="RZB142" s="108"/>
      <c r="RZC142" s="108"/>
      <c r="RZD142" s="109"/>
      <c r="RZE142" s="107" t="s">
        <v>1</v>
      </c>
      <c r="RZF142" s="108"/>
      <c r="RZG142" s="108"/>
      <c r="RZH142" s="109"/>
      <c r="RZI142" s="107" t="s">
        <v>1</v>
      </c>
      <c r="RZJ142" s="108"/>
      <c r="RZK142" s="108"/>
      <c r="RZL142" s="109"/>
      <c r="RZM142" s="107" t="s">
        <v>1</v>
      </c>
      <c r="RZN142" s="108"/>
      <c r="RZO142" s="108"/>
      <c r="RZP142" s="109"/>
      <c r="RZQ142" s="107" t="s">
        <v>1</v>
      </c>
      <c r="RZR142" s="108"/>
      <c r="RZS142" s="108"/>
      <c r="RZT142" s="109"/>
      <c r="RZU142" s="107" t="s">
        <v>1</v>
      </c>
      <c r="RZV142" s="108"/>
      <c r="RZW142" s="108"/>
      <c r="RZX142" s="109"/>
      <c r="RZY142" s="107" t="s">
        <v>1</v>
      </c>
      <c r="RZZ142" s="108"/>
      <c r="SAA142" s="108"/>
      <c r="SAB142" s="109"/>
      <c r="SAC142" s="107" t="s">
        <v>1</v>
      </c>
      <c r="SAD142" s="108"/>
      <c r="SAE142" s="108"/>
      <c r="SAF142" s="109"/>
      <c r="SAG142" s="107" t="s">
        <v>1</v>
      </c>
      <c r="SAH142" s="108"/>
      <c r="SAI142" s="108"/>
      <c r="SAJ142" s="109"/>
      <c r="SAK142" s="107" t="s">
        <v>1</v>
      </c>
      <c r="SAL142" s="108"/>
      <c r="SAM142" s="108"/>
      <c r="SAN142" s="109"/>
      <c r="SAO142" s="107" t="s">
        <v>1</v>
      </c>
      <c r="SAP142" s="108"/>
      <c r="SAQ142" s="108"/>
      <c r="SAR142" s="109"/>
      <c r="SAS142" s="107" t="s">
        <v>1</v>
      </c>
      <c r="SAT142" s="108"/>
      <c r="SAU142" s="108"/>
      <c r="SAV142" s="109"/>
      <c r="SAW142" s="107" t="s">
        <v>1</v>
      </c>
      <c r="SAX142" s="108"/>
      <c r="SAY142" s="108"/>
      <c r="SAZ142" s="109"/>
      <c r="SBA142" s="107" t="s">
        <v>1</v>
      </c>
      <c r="SBB142" s="108"/>
      <c r="SBC142" s="108"/>
      <c r="SBD142" s="109"/>
      <c r="SBE142" s="107" t="s">
        <v>1</v>
      </c>
      <c r="SBF142" s="108"/>
      <c r="SBG142" s="108"/>
      <c r="SBH142" s="109"/>
      <c r="SBI142" s="107" t="s">
        <v>1</v>
      </c>
      <c r="SBJ142" s="108"/>
      <c r="SBK142" s="108"/>
      <c r="SBL142" s="109"/>
      <c r="SBM142" s="107" t="s">
        <v>1</v>
      </c>
      <c r="SBN142" s="108"/>
      <c r="SBO142" s="108"/>
      <c r="SBP142" s="109"/>
      <c r="SBQ142" s="107" t="s">
        <v>1</v>
      </c>
      <c r="SBR142" s="108"/>
      <c r="SBS142" s="108"/>
      <c r="SBT142" s="109"/>
      <c r="SBU142" s="107" t="s">
        <v>1</v>
      </c>
      <c r="SBV142" s="108"/>
      <c r="SBW142" s="108"/>
      <c r="SBX142" s="109"/>
      <c r="SBY142" s="107" t="s">
        <v>1</v>
      </c>
      <c r="SBZ142" s="108"/>
      <c r="SCA142" s="108"/>
      <c r="SCB142" s="109"/>
      <c r="SCC142" s="107" t="s">
        <v>1</v>
      </c>
      <c r="SCD142" s="108"/>
      <c r="SCE142" s="108"/>
      <c r="SCF142" s="109"/>
      <c r="SCG142" s="107" t="s">
        <v>1</v>
      </c>
      <c r="SCH142" s="108"/>
      <c r="SCI142" s="108"/>
      <c r="SCJ142" s="109"/>
      <c r="SCK142" s="107" t="s">
        <v>1</v>
      </c>
      <c r="SCL142" s="108"/>
      <c r="SCM142" s="108"/>
      <c r="SCN142" s="109"/>
      <c r="SCO142" s="107" t="s">
        <v>1</v>
      </c>
      <c r="SCP142" s="108"/>
      <c r="SCQ142" s="108"/>
      <c r="SCR142" s="109"/>
      <c r="SCS142" s="107" t="s">
        <v>1</v>
      </c>
      <c r="SCT142" s="108"/>
      <c r="SCU142" s="108"/>
      <c r="SCV142" s="109"/>
      <c r="SCW142" s="107" t="s">
        <v>1</v>
      </c>
      <c r="SCX142" s="108"/>
      <c r="SCY142" s="108"/>
      <c r="SCZ142" s="109"/>
      <c r="SDA142" s="107" t="s">
        <v>1</v>
      </c>
      <c r="SDB142" s="108"/>
      <c r="SDC142" s="108"/>
      <c r="SDD142" s="109"/>
      <c r="SDE142" s="107" t="s">
        <v>1</v>
      </c>
      <c r="SDF142" s="108"/>
      <c r="SDG142" s="108"/>
      <c r="SDH142" s="109"/>
      <c r="SDI142" s="107" t="s">
        <v>1</v>
      </c>
      <c r="SDJ142" s="108"/>
      <c r="SDK142" s="108"/>
      <c r="SDL142" s="109"/>
      <c r="SDM142" s="107" t="s">
        <v>1</v>
      </c>
      <c r="SDN142" s="108"/>
      <c r="SDO142" s="108"/>
      <c r="SDP142" s="109"/>
      <c r="SDQ142" s="107" t="s">
        <v>1</v>
      </c>
      <c r="SDR142" s="108"/>
      <c r="SDS142" s="108"/>
      <c r="SDT142" s="109"/>
      <c r="SDU142" s="107" t="s">
        <v>1</v>
      </c>
      <c r="SDV142" s="108"/>
      <c r="SDW142" s="108"/>
      <c r="SDX142" s="109"/>
      <c r="SDY142" s="107" t="s">
        <v>1</v>
      </c>
      <c r="SDZ142" s="108"/>
      <c r="SEA142" s="108"/>
      <c r="SEB142" s="109"/>
      <c r="SEC142" s="107" t="s">
        <v>1</v>
      </c>
      <c r="SED142" s="108"/>
      <c r="SEE142" s="108"/>
      <c r="SEF142" s="109"/>
      <c r="SEG142" s="107" t="s">
        <v>1</v>
      </c>
      <c r="SEH142" s="108"/>
      <c r="SEI142" s="108"/>
      <c r="SEJ142" s="109"/>
      <c r="SEK142" s="107" t="s">
        <v>1</v>
      </c>
      <c r="SEL142" s="108"/>
      <c r="SEM142" s="108"/>
      <c r="SEN142" s="109"/>
      <c r="SEO142" s="107" t="s">
        <v>1</v>
      </c>
      <c r="SEP142" s="108"/>
      <c r="SEQ142" s="108"/>
      <c r="SER142" s="109"/>
      <c r="SES142" s="107" t="s">
        <v>1</v>
      </c>
      <c r="SET142" s="108"/>
      <c r="SEU142" s="108"/>
      <c r="SEV142" s="109"/>
      <c r="SEW142" s="107" t="s">
        <v>1</v>
      </c>
      <c r="SEX142" s="108"/>
      <c r="SEY142" s="108"/>
      <c r="SEZ142" s="109"/>
      <c r="SFA142" s="107" t="s">
        <v>1</v>
      </c>
      <c r="SFB142" s="108"/>
      <c r="SFC142" s="108"/>
      <c r="SFD142" s="109"/>
      <c r="SFE142" s="107" t="s">
        <v>1</v>
      </c>
      <c r="SFF142" s="108"/>
      <c r="SFG142" s="108"/>
      <c r="SFH142" s="109"/>
      <c r="SFI142" s="107" t="s">
        <v>1</v>
      </c>
      <c r="SFJ142" s="108"/>
      <c r="SFK142" s="108"/>
      <c r="SFL142" s="109"/>
      <c r="SFM142" s="107" t="s">
        <v>1</v>
      </c>
      <c r="SFN142" s="108"/>
      <c r="SFO142" s="108"/>
      <c r="SFP142" s="109"/>
      <c r="SFQ142" s="107" t="s">
        <v>1</v>
      </c>
      <c r="SFR142" s="108"/>
      <c r="SFS142" s="108"/>
      <c r="SFT142" s="109"/>
      <c r="SFU142" s="107" t="s">
        <v>1</v>
      </c>
      <c r="SFV142" s="108"/>
      <c r="SFW142" s="108"/>
      <c r="SFX142" s="109"/>
      <c r="SFY142" s="107" t="s">
        <v>1</v>
      </c>
      <c r="SFZ142" s="108"/>
      <c r="SGA142" s="108"/>
      <c r="SGB142" s="109"/>
      <c r="SGC142" s="107" t="s">
        <v>1</v>
      </c>
      <c r="SGD142" s="108"/>
      <c r="SGE142" s="108"/>
      <c r="SGF142" s="109"/>
      <c r="SGG142" s="107" t="s">
        <v>1</v>
      </c>
      <c r="SGH142" s="108"/>
      <c r="SGI142" s="108"/>
      <c r="SGJ142" s="109"/>
      <c r="SGK142" s="107" t="s">
        <v>1</v>
      </c>
      <c r="SGL142" s="108"/>
      <c r="SGM142" s="108"/>
      <c r="SGN142" s="109"/>
      <c r="SGO142" s="107" t="s">
        <v>1</v>
      </c>
      <c r="SGP142" s="108"/>
      <c r="SGQ142" s="108"/>
      <c r="SGR142" s="109"/>
      <c r="SGS142" s="107" t="s">
        <v>1</v>
      </c>
      <c r="SGT142" s="108"/>
      <c r="SGU142" s="108"/>
      <c r="SGV142" s="109"/>
      <c r="SGW142" s="107" t="s">
        <v>1</v>
      </c>
      <c r="SGX142" s="108"/>
      <c r="SGY142" s="108"/>
      <c r="SGZ142" s="109"/>
      <c r="SHA142" s="107" t="s">
        <v>1</v>
      </c>
      <c r="SHB142" s="108"/>
      <c r="SHC142" s="108"/>
      <c r="SHD142" s="109"/>
      <c r="SHE142" s="107" t="s">
        <v>1</v>
      </c>
      <c r="SHF142" s="108"/>
      <c r="SHG142" s="108"/>
      <c r="SHH142" s="109"/>
      <c r="SHI142" s="107" t="s">
        <v>1</v>
      </c>
      <c r="SHJ142" s="108"/>
      <c r="SHK142" s="108"/>
      <c r="SHL142" s="109"/>
      <c r="SHM142" s="107" t="s">
        <v>1</v>
      </c>
      <c r="SHN142" s="108"/>
      <c r="SHO142" s="108"/>
      <c r="SHP142" s="109"/>
      <c r="SHQ142" s="107" t="s">
        <v>1</v>
      </c>
      <c r="SHR142" s="108"/>
      <c r="SHS142" s="108"/>
      <c r="SHT142" s="109"/>
      <c r="SHU142" s="107" t="s">
        <v>1</v>
      </c>
      <c r="SHV142" s="108"/>
      <c r="SHW142" s="108"/>
      <c r="SHX142" s="109"/>
      <c r="SHY142" s="107" t="s">
        <v>1</v>
      </c>
      <c r="SHZ142" s="108"/>
      <c r="SIA142" s="108"/>
      <c r="SIB142" s="109"/>
      <c r="SIC142" s="107" t="s">
        <v>1</v>
      </c>
      <c r="SID142" s="108"/>
      <c r="SIE142" s="108"/>
      <c r="SIF142" s="109"/>
      <c r="SIG142" s="107" t="s">
        <v>1</v>
      </c>
      <c r="SIH142" s="108"/>
      <c r="SII142" s="108"/>
      <c r="SIJ142" s="109"/>
      <c r="SIK142" s="107" t="s">
        <v>1</v>
      </c>
      <c r="SIL142" s="108"/>
      <c r="SIM142" s="108"/>
      <c r="SIN142" s="109"/>
      <c r="SIO142" s="107" t="s">
        <v>1</v>
      </c>
      <c r="SIP142" s="108"/>
      <c r="SIQ142" s="108"/>
      <c r="SIR142" s="109"/>
      <c r="SIS142" s="107" t="s">
        <v>1</v>
      </c>
      <c r="SIT142" s="108"/>
      <c r="SIU142" s="108"/>
      <c r="SIV142" s="109"/>
      <c r="SIW142" s="107" t="s">
        <v>1</v>
      </c>
      <c r="SIX142" s="108"/>
      <c r="SIY142" s="108"/>
      <c r="SIZ142" s="109"/>
      <c r="SJA142" s="107" t="s">
        <v>1</v>
      </c>
      <c r="SJB142" s="108"/>
      <c r="SJC142" s="108"/>
      <c r="SJD142" s="109"/>
      <c r="SJE142" s="107" t="s">
        <v>1</v>
      </c>
      <c r="SJF142" s="108"/>
      <c r="SJG142" s="108"/>
      <c r="SJH142" s="109"/>
      <c r="SJI142" s="107" t="s">
        <v>1</v>
      </c>
      <c r="SJJ142" s="108"/>
      <c r="SJK142" s="108"/>
      <c r="SJL142" s="109"/>
      <c r="SJM142" s="107" t="s">
        <v>1</v>
      </c>
      <c r="SJN142" s="108"/>
      <c r="SJO142" s="108"/>
      <c r="SJP142" s="109"/>
      <c r="SJQ142" s="107" t="s">
        <v>1</v>
      </c>
      <c r="SJR142" s="108"/>
      <c r="SJS142" s="108"/>
      <c r="SJT142" s="109"/>
      <c r="SJU142" s="107" t="s">
        <v>1</v>
      </c>
      <c r="SJV142" s="108"/>
      <c r="SJW142" s="108"/>
      <c r="SJX142" s="109"/>
      <c r="SJY142" s="107" t="s">
        <v>1</v>
      </c>
      <c r="SJZ142" s="108"/>
      <c r="SKA142" s="108"/>
      <c r="SKB142" s="109"/>
      <c r="SKC142" s="107" t="s">
        <v>1</v>
      </c>
      <c r="SKD142" s="108"/>
      <c r="SKE142" s="108"/>
      <c r="SKF142" s="109"/>
      <c r="SKG142" s="107" t="s">
        <v>1</v>
      </c>
      <c r="SKH142" s="108"/>
      <c r="SKI142" s="108"/>
      <c r="SKJ142" s="109"/>
      <c r="SKK142" s="107" t="s">
        <v>1</v>
      </c>
      <c r="SKL142" s="108"/>
      <c r="SKM142" s="108"/>
      <c r="SKN142" s="109"/>
      <c r="SKO142" s="107" t="s">
        <v>1</v>
      </c>
      <c r="SKP142" s="108"/>
      <c r="SKQ142" s="108"/>
      <c r="SKR142" s="109"/>
      <c r="SKS142" s="107" t="s">
        <v>1</v>
      </c>
      <c r="SKT142" s="108"/>
      <c r="SKU142" s="108"/>
      <c r="SKV142" s="109"/>
      <c r="SKW142" s="107" t="s">
        <v>1</v>
      </c>
      <c r="SKX142" s="108"/>
      <c r="SKY142" s="108"/>
      <c r="SKZ142" s="109"/>
      <c r="SLA142" s="107" t="s">
        <v>1</v>
      </c>
      <c r="SLB142" s="108"/>
      <c r="SLC142" s="108"/>
      <c r="SLD142" s="109"/>
      <c r="SLE142" s="107" t="s">
        <v>1</v>
      </c>
      <c r="SLF142" s="108"/>
      <c r="SLG142" s="108"/>
      <c r="SLH142" s="109"/>
      <c r="SLI142" s="107" t="s">
        <v>1</v>
      </c>
      <c r="SLJ142" s="108"/>
      <c r="SLK142" s="108"/>
      <c r="SLL142" s="109"/>
      <c r="SLM142" s="107" t="s">
        <v>1</v>
      </c>
      <c r="SLN142" s="108"/>
      <c r="SLO142" s="108"/>
      <c r="SLP142" s="109"/>
      <c r="SLQ142" s="107" t="s">
        <v>1</v>
      </c>
      <c r="SLR142" s="108"/>
      <c r="SLS142" s="108"/>
      <c r="SLT142" s="109"/>
      <c r="SLU142" s="107" t="s">
        <v>1</v>
      </c>
      <c r="SLV142" s="108"/>
      <c r="SLW142" s="108"/>
      <c r="SLX142" s="109"/>
      <c r="SLY142" s="107" t="s">
        <v>1</v>
      </c>
      <c r="SLZ142" s="108"/>
      <c r="SMA142" s="108"/>
      <c r="SMB142" s="109"/>
      <c r="SMC142" s="107" t="s">
        <v>1</v>
      </c>
      <c r="SMD142" s="108"/>
      <c r="SME142" s="108"/>
      <c r="SMF142" s="109"/>
      <c r="SMG142" s="107" t="s">
        <v>1</v>
      </c>
      <c r="SMH142" s="108"/>
      <c r="SMI142" s="108"/>
      <c r="SMJ142" s="109"/>
      <c r="SMK142" s="107" t="s">
        <v>1</v>
      </c>
      <c r="SML142" s="108"/>
      <c r="SMM142" s="108"/>
      <c r="SMN142" s="109"/>
      <c r="SMO142" s="107" t="s">
        <v>1</v>
      </c>
      <c r="SMP142" s="108"/>
      <c r="SMQ142" s="108"/>
      <c r="SMR142" s="109"/>
      <c r="SMS142" s="107" t="s">
        <v>1</v>
      </c>
      <c r="SMT142" s="108"/>
      <c r="SMU142" s="108"/>
      <c r="SMV142" s="109"/>
      <c r="SMW142" s="107" t="s">
        <v>1</v>
      </c>
      <c r="SMX142" s="108"/>
      <c r="SMY142" s="108"/>
      <c r="SMZ142" s="109"/>
      <c r="SNA142" s="107" t="s">
        <v>1</v>
      </c>
      <c r="SNB142" s="108"/>
      <c r="SNC142" s="108"/>
      <c r="SND142" s="109"/>
      <c r="SNE142" s="107" t="s">
        <v>1</v>
      </c>
      <c r="SNF142" s="108"/>
      <c r="SNG142" s="108"/>
      <c r="SNH142" s="109"/>
      <c r="SNI142" s="107" t="s">
        <v>1</v>
      </c>
      <c r="SNJ142" s="108"/>
      <c r="SNK142" s="108"/>
      <c r="SNL142" s="109"/>
      <c r="SNM142" s="107" t="s">
        <v>1</v>
      </c>
      <c r="SNN142" s="108"/>
      <c r="SNO142" s="108"/>
      <c r="SNP142" s="109"/>
      <c r="SNQ142" s="107" t="s">
        <v>1</v>
      </c>
      <c r="SNR142" s="108"/>
      <c r="SNS142" s="108"/>
      <c r="SNT142" s="109"/>
      <c r="SNU142" s="107" t="s">
        <v>1</v>
      </c>
      <c r="SNV142" s="108"/>
      <c r="SNW142" s="108"/>
      <c r="SNX142" s="109"/>
      <c r="SNY142" s="107" t="s">
        <v>1</v>
      </c>
      <c r="SNZ142" s="108"/>
      <c r="SOA142" s="108"/>
      <c r="SOB142" s="109"/>
      <c r="SOC142" s="107" t="s">
        <v>1</v>
      </c>
      <c r="SOD142" s="108"/>
      <c r="SOE142" s="108"/>
      <c r="SOF142" s="109"/>
      <c r="SOG142" s="107" t="s">
        <v>1</v>
      </c>
      <c r="SOH142" s="108"/>
      <c r="SOI142" s="108"/>
      <c r="SOJ142" s="109"/>
      <c r="SOK142" s="107" t="s">
        <v>1</v>
      </c>
      <c r="SOL142" s="108"/>
      <c r="SOM142" s="108"/>
      <c r="SON142" s="109"/>
      <c r="SOO142" s="107" t="s">
        <v>1</v>
      </c>
      <c r="SOP142" s="108"/>
      <c r="SOQ142" s="108"/>
      <c r="SOR142" s="109"/>
      <c r="SOS142" s="107" t="s">
        <v>1</v>
      </c>
      <c r="SOT142" s="108"/>
      <c r="SOU142" s="108"/>
      <c r="SOV142" s="109"/>
      <c r="SOW142" s="107" t="s">
        <v>1</v>
      </c>
      <c r="SOX142" s="108"/>
      <c r="SOY142" s="108"/>
      <c r="SOZ142" s="109"/>
      <c r="SPA142" s="107" t="s">
        <v>1</v>
      </c>
      <c r="SPB142" s="108"/>
      <c r="SPC142" s="108"/>
      <c r="SPD142" s="109"/>
      <c r="SPE142" s="107" t="s">
        <v>1</v>
      </c>
      <c r="SPF142" s="108"/>
      <c r="SPG142" s="108"/>
      <c r="SPH142" s="109"/>
      <c r="SPI142" s="107" t="s">
        <v>1</v>
      </c>
      <c r="SPJ142" s="108"/>
      <c r="SPK142" s="108"/>
      <c r="SPL142" s="109"/>
      <c r="SPM142" s="107" t="s">
        <v>1</v>
      </c>
      <c r="SPN142" s="108"/>
      <c r="SPO142" s="108"/>
      <c r="SPP142" s="109"/>
      <c r="SPQ142" s="107" t="s">
        <v>1</v>
      </c>
      <c r="SPR142" s="108"/>
      <c r="SPS142" s="108"/>
      <c r="SPT142" s="109"/>
      <c r="SPU142" s="107" t="s">
        <v>1</v>
      </c>
      <c r="SPV142" s="108"/>
      <c r="SPW142" s="108"/>
      <c r="SPX142" s="109"/>
      <c r="SPY142" s="107" t="s">
        <v>1</v>
      </c>
      <c r="SPZ142" s="108"/>
      <c r="SQA142" s="108"/>
      <c r="SQB142" s="109"/>
      <c r="SQC142" s="107" t="s">
        <v>1</v>
      </c>
      <c r="SQD142" s="108"/>
      <c r="SQE142" s="108"/>
      <c r="SQF142" s="109"/>
      <c r="SQG142" s="107" t="s">
        <v>1</v>
      </c>
      <c r="SQH142" s="108"/>
      <c r="SQI142" s="108"/>
      <c r="SQJ142" s="109"/>
      <c r="SQK142" s="107" t="s">
        <v>1</v>
      </c>
      <c r="SQL142" s="108"/>
      <c r="SQM142" s="108"/>
      <c r="SQN142" s="109"/>
      <c r="SQO142" s="107" t="s">
        <v>1</v>
      </c>
      <c r="SQP142" s="108"/>
      <c r="SQQ142" s="108"/>
      <c r="SQR142" s="109"/>
      <c r="SQS142" s="107" t="s">
        <v>1</v>
      </c>
      <c r="SQT142" s="108"/>
      <c r="SQU142" s="108"/>
      <c r="SQV142" s="109"/>
      <c r="SQW142" s="107" t="s">
        <v>1</v>
      </c>
      <c r="SQX142" s="108"/>
      <c r="SQY142" s="108"/>
      <c r="SQZ142" s="109"/>
      <c r="SRA142" s="107" t="s">
        <v>1</v>
      </c>
      <c r="SRB142" s="108"/>
      <c r="SRC142" s="108"/>
      <c r="SRD142" s="109"/>
      <c r="SRE142" s="107" t="s">
        <v>1</v>
      </c>
      <c r="SRF142" s="108"/>
      <c r="SRG142" s="108"/>
      <c r="SRH142" s="109"/>
      <c r="SRI142" s="107" t="s">
        <v>1</v>
      </c>
      <c r="SRJ142" s="108"/>
      <c r="SRK142" s="108"/>
      <c r="SRL142" s="109"/>
      <c r="SRM142" s="107" t="s">
        <v>1</v>
      </c>
      <c r="SRN142" s="108"/>
      <c r="SRO142" s="108"/>
      <c r="SRP142" s="109"/>
      <c r="SRQ142" s="107" t="s">
        <v>1</v>
      </c>
      <c r="SRR142" s="108"/>
      <c r="SRS142" s="108"/>
      <c r="SRT142" s="109"/>
      <c r="SRU142" s="107" t="s">
        <v>1</v>
      </c>
      <c r="SRV142" s="108"/>
      <c r="SRW142" s="108"/>
      <c r="SRX142" s="109"/>
      <c r="SRY142" s="107" t="s">
        <v>1</v>
      </c>
      <c r="SRZ142" s="108"/>
      <c r="SSA142" s="108"/>
      <c r="SSB142" s="109"/>
      <c r="SSC142" s="107" t="s">
        <v>1</v>
      </c>
      <c r="SSD142" s="108"/>
      <c r="SSE142" s="108"/>
      <c r="SSF142" s="109"/>
      <c r="SSG142" s="107" t="s">
        <v>1</v>
      </c>
      <c r="SSH142" s="108"/>
      <c r="SSI142" s="108"/>
      <c r="SSJ142" s="109"/>
      <c r="SSK142" s="107" t="s">
        <v>1</v>
      </c>
      <c r="SSL142" s="108"/>
      <c r="SSM142" s="108"/>
      <c r="SSN142" s="109"/>
      <c r="SSO142" s="107" t="s">
        <v>1</v>
      </c>
      <c r="SSP142" s="108"/>
      <c r="SSQ142" s="108"/>
      <c r="SSR142" s="109"/>
      <c r="SSS142" s="107" t="s">
        <v>1</v>
      </c>
      <c r="SST142" s="108"/>
      <c r="SSU142" s="108"/>
      <c r="SSV142" s="109"/>
      <c r="SSW142" s="107" t="s">
        <v>1</v>
      </c>
      <c r="SSX142" s="108"/>
      <c r="SSY142" s="108"/>
      <c r="SSZ142" s="109"/>
      <c r="STA142" s="107" t="s">
        <v>1</v>
      </c>
      <c r="STB142" s="108"/>
      <c r="STC142" s="108"/>
      <c r="STD142" s="109"/>
      <c r="STE142" s="107" t="s">
        <v>1</v>
      </c>
      <c r="STF142" s="108"/>
      <c r="STG142" s="108"/>
      <c r="STH142" s="109"/>
      <c r="STI142" s="107" t="s">
        <v>1</v>
      </c>
      <c r="STJ142" s="108"/>
      <c r="STK142" s="108"/>
      <c r="STL142" s="109"/>
      <c r="STM142" s="107" t="s">
        <v>1</v>
      </c>
      <c r="STN142" s="108"/>
      <c r="STO142" s="108"/>
      <c r="STP142" s="109"/>
      <c r="STQ142" s="107" t="s">
        <v>1</v>
      </c>
      <c r="STR142" s="108"/>
      <c r="STS142" s="108"/>
      <c r="STT142" s="109"/>
      <c r="STU142" s="107" t="s">
        <v>1</v>
      </c>
      <c r="STV142" s="108"/>
      <c r="STW142" s="108"/>
      <c r="STX142" s="109"/>
      <c r="STY142" s="107" t="s">
        <v>1</v>
      </c>
      <c r="STZ142" s="108"/>
      <c r="SUA142" s="108"/>
      <c r="SUB142" s="109"/>
      <c r="SUC142" s="107" t="s">
        <v>1</v>
      </c>
      <c r="SUD142" s="108"/>
      <c r="SUE142" s="108"/>
      <c r="SUF142" s="109"/>
      <c r="SUG142" s="107" t="s">
        <v>1</v>
      </c>
      <c r="SUH142" s="108"/>
      <c r="SUI142" s="108"/>
      <c r="SUJ142" s="109"/>
      <c r="SUK142" s="107" t="s">
        <v>1</v>
      </c>
      <c r="SUL142" s="108"/>
      <c r="SUM142" s="108"/>
      <c r="SUN142" s="109"/>
      <c r="SUO142" s="107" t="s">
        <v>1</v>
      </c>
      <c r="SUP142" s="108"/>
      <c r="SUQ142" s="108"/>
      <c r="SUR142" s="109"/>
      <c r="SUS142" s="107" t="s">
        <v>1</v>
      </c>
      <c r="SUT142" s="108"/>
      <c r="SUU142" s="108"/>
      <c r="SUV142" s="109"/>
      <c r="SUW142" s="107" t="s">
        <v>1</v>
      </c>
      <c r="SUX142" s="108"/>
      <c r="SUY142" s="108"/>
      <c r="SUZ142" s="109"/>
      <c r="SVA142" s="107" t="s">
        <v>1</v>
      </c>
      <c r="SVB142" s="108"/>
      <c r="SVC142" s="108"/>
      <c r="SVD142" s="109"/>
      <c r="SVE142" s="107" t="s">
        <v>1</v>
      </c>
      <c r="SVF142" s="108"/>
      <c r="SVG142" s="108"/>
      <c r="SVH142" s="109"/>
      <c r="SVI142" s="107" t="s">
        <v>1</v>
      </c>
      <c r="SVJ142" s="108"/>
      <c r="SVK142" s="108"/>
      <c r="SVL142" s="109"/>
      <c r="SVM142" s="107" t="s">
        <v>1</v>
      </c>
      <c r="SVN142" s="108"/>
      <c r="SVO142" s="108"/>
      <c r="SVP142" s="109"/>
      <c r="SVQ142" s="107" t="s">
        <v>1</v>
      </c>
      <c r="SVR142" s="108"/>
      <c r="SVS142" s="108"/>
      <c r="SVT142" s="109"/>
      <c r="SVU142" s="107" t="s">
        <v>1</v>
      </c>
      <c r="SVV142" s="108"/>
      <c r="SVW142" s="108"/>
      <c r="SVX142" s="109"/>
      <c r="SVY142" s="107" t="s">
        <v>1</v>
      </c>
      <c r="SVZ142" s="108"/>
      <c r="SWA142" s="108"/>
      <c r="SWB142" s="109"/>
      <c r="SWC142" s="107" t="s">
        <v>1</v>
      </c>
      <c r="SWD142" s="108"/>
      <c r="SWE142" s="108"/>
      <c r="SWF142" s="109"/>
      <c r="SWG142" s="107" t="s">
        <v>1</v>
      </c>
      <c r="SWH142" s="108"/>
      <c r="SWI142" s="108"/>
      <c r="SWJ142" s="109"/>
      <c r="SWK142" s="107" t="s">
        <v>1</v>
      </c>
      <c r="SWL142" s="108"/>
      <c r="SWM142" s="108"/>
      <c r="SWN142" s="109"/>
      <c r="SWO142" s="107" t="s">
        <v>1</v>
      </c>
      <c r="SWP142" s="108"/>
      <c r="SWQ142" s="108"/>
      <c r="SWR142" s="109"/>
      <c r="SWS142" s="107" t="s">
        <v>1</v>
      </c>
      <c r="SWT142" s="108"/>
      <c r="SWU142" s="108"/>
      <c r="SWV142" s="109"/>
      <c r="SWW142" s="107" t="s">
        <v>1</v>
      </c>
      <c r="SWX142" s="108"/>
      <c r="SWY142" s="108"/>
      <c r="SWZ142" s="109"/>
      <c r="SXA142" s="107" t="s">
        <v>1</v>
      </c>
      <c r="SXB142" s="108"/>
      <c r="SXC142" s="108"/>
      <c r="SXD142" s="109"/>
      <c r="SXE142" s="107" t="s">
        <v>1</v>
      </c>
      <c r="SXF142" s="108"/>
      <c r="SXG142" s="108"/>
      <c r="SXH142" s="109"/>
      <c r="SXI142" s="107" t="s">
        <v>1</v>
      </c>
      <c r="SXJ142" s="108"/>
      <c r="SXK142" s="108"/>
      <c r="SXL142" s="109"/>
      <c r="SXM142" s="107" t="s">
        <v>1</v>
      </c>
      <c r="SXN142" s="108"/>
      <c r="SXO142" s="108"/>
      <c r="SXP142" s="109"/>
      <c r="SXQ142" s="107" t="s">
        <v>1</v>
      </c>
      <c r="SXR142" s="108"/>
      <c r="SXS142" s="108"/>
      <c r="SXT142" s="109"/>
      <c r="SXU142" s="107" t="s">
        <v>1</v>
      </c>
      <c r="SXV142" s="108"/>
      <c r="SXW142" s="108"/>
      <c r="SXX142" s="109"/>
      <c r="SXY142" s="107" t="s">
        <v>1</v>
      </c>
      <c r="SXZ142" s="108"/>
      <c r="SYA142" s="108"/>
      <c r="SYB142" s="109"/>
      <c r="SYC142" s="107" t="s">
        <v>1</v>
      </c>
      <c r="SYD142" s="108"/>
      <c r="SYE142" s="108"/>
      <c r="SYF142" s="109"/>
      <c r="SYG142" s="107" t="s">
        <v>1</v>
      </c>
      <c r="SYH142" s="108"/>
      <c r="SYI142" s="108"/>
      <c r="SYJ142" s="109"/>
      <c r="SYK142" s="107" t="s">
        <v>1</v>
      </c>
      <c r="SYL142" s="108"/>
      <c r="SYM142" s="108"/>
      <c r="SYN142" s="109"/>
      <c r="SYO142" s="107" t="s">
        <v>1</v>
      </c>
      <c r="SYP142" s="108"/>
      <c r="SYQ142" s="108"/>
      <c r="SYR142" s="109"/>
      <c r="SYS142" s="107" t="s">
        <v>1</v>
      </c>
      <c r="SYT142" s="108"/>
      <c r="SYU142" s="108"/>
      <c r="SYV142" s="109"/>
      <c r="SYW142" s="107" t="s">
        <v>1</v>
      </c>
      <c r="SYX142" s="108"/>
      <c r="SYY142" s="108"/>
      <c r="SYZ142" s="109"/>
      <c r="SZA142" s="107" t="s">
        <v>1</v>
      </c>
      <c r="SZB142" s="108"/>
      <c r="SZC142" s="108"/>
      <c r="SZD142" s="109"/>
      <c r="SZE142" s="107" t="s">
        <v>1</v>
      </c>
      <c r="SZF142" s="108"/>
      <c r="SZG142" s="108"/>
      <c r="SZH142" s="109"/>
      <c r="SZI142" s="107" t="s">
        <v>1</v>
      </c>
      <c r="SZJ142" s="108"/>
      <c r="SZK142" s="108"/>
      <c r="SZL142" s="109"/>
      <c r="SZM142" s="107" t="s">
        <v>1</v>
      </c>
      <c r="SZN142" s="108"/>
      <c r="SZO142" s="108"/>
      <c r="SZP142" s="109"/>
      <c r="SZQ142" s="107" t="s">
        <v>1</v>
      </c>
      <c r="SZR142" s="108"/>
      <c r="SZS142" s="108"/>
      <c r="SZT142" s="109"/>
      <c r="SZU142" s="107" t="s">
        <v>1</v>
      </c>
      <c r="SZV142" s="108"/>
      <c r="SZW142" s="108"/>
      <c r="SZX142" s="109"/>
      <c r="SZY142" s="107" t="s">
        <v>1</v>
      </c>
      <c r="SZZ142" s="108"/>
      <c r="TAA142" s="108"/>
      <c r="TAB142" s="109"/>
      <c r="TAC142" s="107" t="s">
        <v>1</v>
      </c>
      <c r="TAD142" s="108"/>
      <c r="TAE142" s="108"/>
      <c r="TAF142" s="109"/>
      <c r="TAG142" s="107" t="s">
        <v>1</v>
      </c>
      <c r="TAH142" s="108"/>
      <c r="TAI142" s="108"/>
      <c r="TAJ142" s="109"/>
      <c r="TAK142" s="107" t="s">
        <v>1</v>
      </c>
      <c r="TAL142" s="108"/>
      <c r="TAM142" s="108"/>
      <c r="TAN142" s="109"/>
      <c r="TAO142" s="107" t="s">
        <v>1</v>
      </c>
      <c r="TAP142" s="108"/>
      <c r="TAQ142" s="108"/>
      <c r="TAR142" s="109"/>
      <c r="TAS142" s="107" t="s">
        <v>1</v>
      </c>
      <c r="TAT142" s="108"/>
      <c r="TAU142" s="108"/>
      <c r="TAV142" s="109"/>
      <c r="TAW142" s="107" t="s">
        <v>1</v>
      </c>
      <c r="TAX142" s="108"/>
      <c r="TAY142" s="108"/>
      <c r="TAZ142" s="109"/>
      <c r="TBA142" s="107" t="s">
        <v>1</v>
      </c>
      <c r="TBB142" s="108"/>
      <c r="TBC142" s="108"/>
      <c r="TBD142" s="109"/>
      <c r="TBE142" s="107" t="s">
        <v>1</v>
      </c>
      <c r="TBF142" s="108"/>
      <c r="TBG142" s="108"/>
      <c r="TBH142" s="109"/>
      <c r="TBI142" s="107" t="s">
        <v>1</v>
      </c>
      <c r="TBJ142" s="108"/>
      <c r="TBK142" s="108"/>
      <c r="TBL142" s="109"/>
      <c r="TBM142" s="107" t="s">
        <v>1</v>
      </c>
      <c r="TBN142" s="108"/>
      <c r="TBO142" s="108"/>
      <c r="TBP142" s="109"/>
      <c r="TBQ142" s="107" t="s">
        <v>1</v>
      </c>
      <c r="TBR142" s="108"/>
      <c r="TBS142" s="108"/>
      <c r="TBT142" s="109"/>
      <c r="TBU142" s="107" t="s">
        <v>1</v>
      </c>
      <c r="TBV142" s="108"/>
      <c r="TBW142" s="108"/>
      <c r="TBX142" s="109"/>
      <c r="TBY142" s="107" t="s">
        <v>1</v>
      </c>
      <c r="TBZ142" s="108"/>
      <c r="TCA142" s="108"/>
      <c r="TCB142" s="109"/>
      <c r="TCC142" s="107" t="s">
        <v>1</v>
      </c>
      <c r="TCD142" s="108"/>
      <c r="TCE142" s="108"/>
      <c r="TCF142" s="109"/>
      <c r="TCG142" s="107" t="s">
        <v>1</v>
      </c>
      <c r="TCH142" s="108"/>
      <c r="TCI142" s="108"/>
      <c r="TCJ142" s="109"/>
      <c r="TCK142" s="107" t="s">
        <v>1</v>
      </c>
      <c r="TCL142" s="108"/>
      <c r="TCM142" s="108"/>
      <c r="TCN142" s="109"/>
      <c r="TCO142" s="107" t="s">
        <v>1</v>
      </c>
      <c r="TCP142" s="108"/>
      <c r="TCQ142" s="108"/>
      <c r="TCR142" s="109"/>
      <c r="TCS142" s="107" t="s">
        <v>1</v>
      </c>
      <c r="TCT142" s="108"/>
      <c r="TCU142" s="108"/>
      <c r="TCV142" s="109"/>
      <c r="TCW142" s="107" t="s">
        <v>1</v>
      </c>
      <c r="TCX142" s="108"/>
      <c r="TCY142" s="108"/>
      <c r="TCZ142" s="109"/>
      <c r="TDA142" s="107" t="s">
        <v>1</v>
      </c>
      <c r="TDB142" s="108"/>
      <c r="TDC142" s="108"/>
      <c r="TDD142" s="109"/>
      <c r="TDE142" s="107" t="s">
        <v>1</v>
      </c>
      <c r="TDF142" s="108"/>
      <c r="TDG142" s="108"/>
      <c r="TDH142" s="109"/>
      <c r="TDI142" s="107" t="s">
        <v>1</v>
      </c>
      <c r="TDJ142" s="108"/>
      <c r="TDK142" s="108"/>
      <c r="TDL142" s="109"/>
      <c r="TDM142" s="107" t="s">
        <v>1</v>
      </c>
      <c r="TDN142" s="108"/>
      <c r="TDO142" s="108"/>
      <c r="TDP142" s="109"/>
      <c r="TDQ142" s="107" t="s">
        <v>1</v>
      </c>
      <c r="TDR142" s="108"/>
      <c r="TDS142" s="108"/>
      <c r="TDT142" s="109"/>
      <c r="TDU142" s="107" t="s">
        <v>1</v>
      </c>
      <c r="TDV142" s="108"/>
      <c r="TDW142" s="108"/>
      <c r="TDX142" s="109"/>
      <c r="TDY142" s="107" t="s">
        <v>1</v>
      </c>
      <c r="TDZ142" s="108"/>
      <c r="TEA142" s="108"/>
      <c r="TEB142" s="109"/>
      <c r="TEC142" s="107" t="s">
        <v>1</v>
      </c>
      <c r="TED142" s="108"/>
      <c r="TEE142" s="108"/>
      <c r="TEF142" s="109"/>
      <c r="TEG142" s="107" t="s">
        <v>1</v>
      </c>
      <c r="TEH142" s="108"/>
      <c r="TEI142" s="108"/>
      <c r="TEJ142" s="109"/>
      <c r="TEK142" s="107" t="s">
        <v>1</v>
      </c>
      <c r="TEL142" s="108"/>
      <c r="TEM142" s="108"/>
      <c r="TEN142" s="109"/>
      <c r="TEO142" s="107" t="s">
        <v>1</v>
      </c>
      <c r="TEP142" s="108"/>
      <c r="TEQ142" s="108"/>
      <c r="TER142" s="109"/>
      <c r="TES142" s="107" t="s">
        <v>1</v>
      </c>
      <c r="TET142" s="108"/>
      <c r="TEU142" s="108"/>
      <c r="TEV142" s="109"/>
      <c r="TEW142" s="107" t="s">
        <v>1</v>
      </c>
      <c r="TEX142" s="108"/>
      <c r="TEY142" s="108"/>
      <c r="TEZ142" s="109"/>
      <c r="TFA142" s="107" t="s">
        <v>1</v>
      </c>
      <c r="TFB142" s="108"/>
      <c r="TFC142" s="108"/>
      <c r="TFD142" s="109"/>
      <c r="TFE142" s="107" t="s">
        <v>1</v>
      </c>
      <c r="TFF142" s="108"/>
      <c r="TFG142" s="108"/>
      <c r="TFH142" s="109"/>
      <c r="TFI142" s="107" t="s">
        <v>1</v>
      </c>
      <c r="TFJ142" s="108"/>
      <c r="TFK142" s="108"/>
      <c r="TFL142" s="109"/>
      <c r="TFM142" s="107" t="s">
        <v>1</v>
      </c>
      <c r="TFN142" s="108"/>
      <c r="TFO142" s="108"/>
      <c r="TFP142" s="109"/>
      <c r="TFQ142" s="107" t="s">
        <v>1</v>
      </c>
      <c r="TFR142" s="108"/>
      <c r="TFS142" s="108"/>
      <c r="TFT142" s="109"/>
      <c r="TFU142" s="107" t="s">
        <v>1</v>
      </c>
      <c r="TFV142" s="108"/>
      <c r="TFW142" s="108"/>
      <c r="TFX142" s="109"/>
      <c r="TFY142" s="107" t="s">
        <v>1</v>
      </c>
      <c r="TFZ142" s="108"/>
      <c r="TGA142" s="108"/>
      <c r="TGB142" s="109"/>
      <c r="TGC142" s="107" t="s">
        <v>1</v>
      </c>
      <c r="TGD142" s="108"/>
      <c r="TGE142" s="108"/>
      <c r="TGF142" s="109"/>
      <c r="TGG142" s="107" t="s">
        <v>1</v>
      </c>
      <c r="TGH142" s="108"/>
      <c r="TGI142" s="108"/>
      <c r="TGJ142" s="109"/>
      <c r="TGK142" s="107" t="s">
        <v>1</v>
      </c>
      <c r="TGL142" s="108"/>
      <c r="TGM142" s="108"/>
      <c r="TGN142" s="109"/>
      <c r="TGO142" s="107" t="s">
        <v>1</v>
      </c>
      <c r="TGP142" s="108"/>
      <c r="TGQ142" s="108"/>
      <c r="TGR142" s="109"/>
      <c r="TGS142" s="107" t="s">
        <v>1</v>
      </c>
      <c r="TGT142" s="108"/>
      <c r="TGU142" s="108"/>
      <c r="TGV142" s="109"/>
      <c r="TGW142" s="107" t="s">
        <v>1</v>
      </c>
      <c r="TGX142" s="108"/>
      <c r="TGY142" s="108"/>
      <c r="TGZ142" s="109"/>
      <c r="THA142" s="107" t="s">
        <v>1</v>
      </c>
      <c r="THB142" s="108"/>
      <c r="THC142" s="108"/>
      <c r="THD142" s="109"/>
      <c r="THE142" s="107" t="s">
        <v>1</v>
      </c>
      <c r="THF142" s="108"/>
      <c r="THG142" s="108"/>
      <c r="THH142" s="109"/>
      <c r="THI142" s="107" t="s">
        <v>1</v>
      </c>
      <c r="THJ142" s="108"/>
      <c r="THK142" s="108"/>
      <c r="THL142" s="109"/>
      <c r="THM142" s="107" t="s">
        <v>1</v>
      </c>
      <c r="THN142" s="108"/>
      <c r="THO142" s="108"/>
      <c r="THP142" s="109"/>
      <c r="THQ142" s="107" t="s">
        <v>1</v>
      </c>
      <c r="THR142" s="108"/>
      <c r="THS142" s="108"/>
      <c r="THT142" s="109"/>
      <c r="THU142" s="107" t="s">
        <v>1</v>
      </c>
      <c r="THV142" s="108"/>
      <c r="THW142" s="108"/>
      <c r="THX142" s="109"/>
      <c r="THY142" s="107" t="s">
        <v>1</v>
      </c>
      <c r="THZ142" s="108"/>
      <c r="TIA142" s="108"/>
      <c r="TIB142" s="109"/>
      <c r="TIC142" s="107" t="s">
        <v>1</v>
      </c>
      <c r="TID142" s="108"/>
      <c r="TIE142" s="108"/>
      <c r="TIF142" s="109"/>
      <c r="TIG142" s="107" t="s">
        <v>1</v>
      </c>
      <c r="TIH142" s="108"/>
      <c r="TII142" s="108"/>
      <c r="TIJ142" s="109"/>
      <c r="TIK142" s="107" t="s">
        <v>1</v>
      </c>
      <c r="TIL142" s="108"/>
      <c r="TIM142" s="108"/>
      <c r="TIN142" s="109"/>
      <c r="TIO142" s="107" t="s">
        <v>1</v>
      </c>
      <c r="TIP142" s="108"/>
      <c r="TIQ142" s="108"/>
      <c r="TIR142" s="109"/>
      <c r="TIS142" s="107" t="s">
        <v>1</v>
      </c>
      <c r="TIT142" s="108"/>
      <c r="TIU142" s="108"/>
      <c r="TIV142" s="109"/>
      <c r="TIW142" s="107" t="s">
        <v>1</v>
      </c>
      <c r="TIX142" s="108"/>
      <c r="TIY142" s="108"/>
      <c r="TIZ142" s="109"/>
      <c r="TJA142" s="107" t="s">
        <v>1</v>
      </c>
      <c r="TJB142" s="108"/>
      <c r="TJC142" s="108"/>
      <c r="TJD142" s="109"/>
      <c r="TJE142" s="107" t="s">
        <v>1</v>
      </c>
      <c r="TJF142" s="108"/>
      <c r="TJG142" s="108"/>
      <c r="TJH142" s="109"/>
      <c r="TJI142" s="107" t="s">
        <v>1</v>
      </c>
      <c r="TJJ142" s="108"/>
      <c r="TJK142" s="108"/>
      <c r="TJL142" s="109"/>
      <c r="TJM142" s="107" t="s">
        <v>1</v>
      </c>
      <c r="TJN142" s="108"/>
      <c r="TJO142" s="108"/>
      <c r="TJP142" s="109"/>
      <c r="TJQ142" s="107" t="s">
        <v>1</v>
      </c>
      <c r="TJR142" s="108"/>
      <c r="TJS142" s="108"/>
      <c r="TJT142" s="109"/>
      <c r="TJU142" s="107" t="s">
        <v>1</v>
      </c>
      <c r="TJV142" s="108"/>
      <c r="TJW142" s="108"/>
      <c r="TJX142" s="109"/>
      <c r="TJY142" s="107" t="s">
        <v>1</v>
      </c>
      <c r="TJZ142" s="108"/>
      <c r="TKA142" s="108"/>
      <c r="TKB142" s="109"/>
      <c r="TKC142" s="107" t="s">
        <v>1</v>
      </c>
      <c r="TKD142" s="108"/>
      <c r="TKE142" s="108"/>
      <c r="TKF142" s="109"/>
      <c r="TKG142" s="107" t="s">
        <v>1</v>
      </c>
      <c r="TKH142" s="108"/>
      <c r="TKI142" s="108"/>
      <c r="TKJ142" s="109"/>
      <c r="TKK142" s="107" t="s">
        <v>1</v>
      </c>
      <c r="TKL142" s="108"/>
      <c r="TKM142" s="108"/>
      <c r="TKN142" s="109"/>
      <c r="TKO142" s="107" t="s">
        <v>1</v>
      </c>
      <c r="TKP142" s="108"/>
      <c r="TKQ142" s="108"/>
      <c r="TKR142" s="109"/>
      <c r="TKS142" s="107" t="s">
        <v>1</v>
      </c>
      <c r="TKT142" s="108"/>
      <c r="TKU142" s="108"/>
      <c r="TKV142" s="109"/>
      <c r="TKW142" s="107" t="s">
        <v>1</v>
      </c>
      <c r="TKX142" s="108"/>
      <c r="TKY142" s="108"/>
      <c r="TKZ142" s="109"/>
      <c r="TLA142" s="107" t="s">
        <v>1</v>
      </c>
      <c r="TLB142" s="108"/>
      <c r="TLC142" s="108"/>
      <c r="TLD142" s="109"/>
      <c r="TLE142" s="107" t="s">
        <v>1</v>
      </c>
      <c r="TLF142" s="108"/>
      <c r="TLG142" s="108"/>
      <c r="TLH142" s="109"/>
      <c r="TLI142" s="107" t="s">
        <v>1</v>
      </c>
      <c r="TLJ142" s="108"/>
      <c r="TLK142" s="108"/>
      <c r="TLL142" s="109"/>
      <c r="TLM142" s="107" t="s">
        <v>1</v>
      </c>
      <c r="TLN142" s="108"/>
      <c r="TLO142" s="108"/>
      <c r="TLP142" s="109"/>
      <c r="TLQ142" s="107" t="s">
        <v>1</v>
      </c>
      <c r="TLR142" s="108"/>
      <c r="TLS142" s="108"/>
      <c r="TLT142" s="109"/>
      <c r="TLU142" s="107" t="s">
        <v>1</v>
      </c>
      <c r="TLV142" s="108"/>
      <c r="TLW142" s="108"/>
      <c r="TLX142" s="109"/>
      <c r="TLY142" s="107" t="s">
        <v>1</v>
      </c>
      <c r="TLZ142" s="108"/>
      <c r="TMA142" s="108"/>
      <c r="TMB142" s="109"/>
      <c r="TMC142" s="107" t="s">
        <v>1</v>
      </c>
      <c r="TMD142" s="108"/>
      <c r="TME142" s="108"/>
      <c r="TMF142" s="109"/>
      <c r="TMG142" s="107" t="s">
        <v>1</v>
      </c>
      <c r="TMH142" s="108"/>
      <c r="TMI142" s="108"/>
      <c r="TMJ142" s="109"/>
      <c r="TMK142" s="107" t="s">
        <v>1</v>
      </c>
      <c r="TML142" s="108"/>
      <c r="TMM142" s="108"/>
      <c r="TMN142" s="109"/>
      <c r="TMO142" s="107" t="s">
        <v>1</v>
      </c>
      <c r="TMP142" s="108"/>
      <c r="TMQ142" s="108"/>
      <c r="TMR142" s="109"/>
      <c r="TMS142" s="107" t="s">
        <v>1</v>
      </c>
      <c r="TMT142" s="108"/>
      <c r="TMU142" s="108"/>
      <c r="TMV142" s="109"/>
      <c r="TMW142" s="107" t="s">
        <v>1</v>
      </c>
      <c r="TMX142" s="108"/>
      <c r="TMY142" s="108"/>
      <c r="TMZ142" s="109"/>
      <c r="TNA142" s="107" t="s">
        <v>1</v>
      </c>
      <c r="TNB142" s="108"/>
      <c r="TNC142" s="108"/>
      <c r="TND142" s="109"/>
      <c r="TNE142" s="107" t="s">
        <v>1</v>
      </c>
      <c r="TNF142" s="108"/>
      <c r="TNG142" s="108"/>
      <c r="TNH142" s="109"/>
      <c r="TNI142" s="107" t="s">
        <v>1</v>
      </c>
      <c r="TNJ142" s="108"/>
      <c r="TNK142" s="108"/>
      <c r="TNL142" s="109"/>
      <c r="TNM142" s="107" t="s">
        <v>1</v>
      </c>
      <c r="TNN142" s="108"/>
      <c r="TNO142" s="108"/>
      <c r="TNP142" s="109"/>
      <c r="TNQ142" s="107" t="s">
        <v>1</v>
      </c>
      <c r="TNR142" s="108"/>
      <c r="TNS142" s="108"/>
      <c r="TNT142" s="109"/>
      <c r="TNU142" s="107" t="s">
        <v>1</v>
      </c>
      <c r="TNV142" s="108"/>
      <c r="TNW142" s="108"/>
      <c r="TNX142" s="109"/>
      <c r="TNY142" s="107" t="s">
        <v>1</v>
      </c>
      <c r="TNZ142" s="108"/>
      <c r="TOA142" s="108"/>
      <c r="TOB142" s="109"/>
      <c r="TOC142" s="107" t="s">
        <v>1</v>
      </c>
      <c r="TOD142" s="108"/>
      <c r="TOE142" s="108"/>
      <c r="TOF142" s="109"/>
      <c r="TOG142" s="107" t="s">
        <v>1</v>
      </c>
      <c r="TOH142" s="108"/>
      <c r="TOI142" s="108"/>
      <c r="TOJ142" s="109"/>
      <c r="TOK142" s="107" t="s">
        <v>1</v>
      </c>
      <c r="TOL142" s="108"/>
      <c r="TOM142" s="108"/>
      <c r="TON142" s="109"/>
      <c r="TOO142" s="107" t="s">
        <v>1</v>
      </c>
      <c r="TOP142" s="108"/>
      <c r="TOQ142" s="108"/>
      <c r="TOR142" s="109"/>
      <c r="TOS142" s="107" t="s">
        <v>1</v>
      </c>
      <c r="TOT142" s="108"/>
      <c r="TOU142" s="108"/>
      <c r="TOV142" s="109"/>
      <c r="TOW142" s="107" t="s">
        <v>1</v>
      </c>
      <c r="TOX142" s="108"/>
      <c r="TOY142" s="108"/>
      <c r="TOZ142" s="109"/>
      <c r="TPA142" s="107" t="s">
        <v>1</v>
      </c>
      <c r="TPB142" s="108"/>
      <c r="TPC142" s="108"/>
      <c r="TPD142" s="109"/>
      <c r="TPE142" s="107" t="s">
        <v>1</v>
      </c>
      <c r="TPF142" s="108"/>
      <c r="TPG142" s="108"/>
      <c r="TPH142" s="109"/>
      <c r="TPI142" s="107" t="s">
        <v>1</v>
      </c>
      <c r="TPJ142" s="108"/>
      <c r="TPK142" s="108"/>
      <c r="TPL142" s="109"/>
      <c r="TPM142" s="107" t="s">
        <v>1</v>
      </c>
      <c r="TPN142" s="108"/>
      <c r="TPO142" s="108"/>
      <c r="TPP142" s="109"/>
      <c r="TPQ142" s="107" t="s">
        <v>1</v>
      </c>
      <c r="TPR142" s="108"/>
      <c r="TPS142" s="108"/>
      <c r="TPT142" s="109"/>
      <c r="TPU142" s="107" t="s">
        <v>1</v>
      </c>
      <c r="TPV142" s="108"/>
      <c r="TPW142" s="108"/>
      <c r="TPX142" s="109"/>
      <c r="TPY142" s="107" t="s">
        <v>1</v>
      </c>
      <c r="TPZ142" s="108"/>
      <c r="TQA142" s="108"/>
      <c r="TQB142" s="109"/>
      <c r="TQC142" s="107" t="s">
        <v>1</v>
      </c>
      <c r="TQD142" s="108"/>
      <c r="TQE142" s="108"/>
      <c r="TQF142" s="109"/>
      <c r="TQG142" s="107" t="s">
        <v>1</v>
      </c>
      <c r="TQH142" s="108"/>
      <c r="TQI142" s="108"/>
      <c r="TQJ142" s="109"/>
      <c r="TQK142" s="107" t="s">
        <v>1</v>
      </c>
      <c r="TQL142" s="108"/>
      <c r="TQM142" s="108"/>
      <c r="TQN142" s="109"/>
      <c r="TQO142" s="107" t="s">
        <v>1</v>
      </c>
      <c r="TQP142" s="108"/>
      <c r="TQQ142" s="108"/>
      <c r="TQR142" s="109"/>
      <c r="TQS142" s="107" t="s">
        <v>1</v>
      </c>
      <c r="TQT142" s="108"/>
      <c r="TQU142" s="108"/>
      <c r="TQV142" s="109"/>
      <c r="TQW142" s="107" t="s">
        <v>1</v>
      </c>
      <c r="TQX142" s="108"/>
      <c r="TQY142" s="108"/>
      <c r="TQZ142" s="109"/>
      <c r="TRA142" s="107" t="s">
        <v>1</v>
      </c>
      <c r="TRB142" s="108"/>
      <c r="TRC142" s="108"/>
      <c r="TRD142" s="109"/>
      <c r="TRE142" s="107" t="s">
        <v>1</v>
      </c>
      <c r="TRF142" s="108"/>
      <c r="TRG142" s="108"/>
      <c r="TRH142" s="109"/>
      <c r="TRI142" s="107" t="s">
        <v>1</v>
      </c>
      <c r="TRJ142" s="108"/>
      <c r="TRK142" s="108"/>
      <c r="TRL142" s="109"/>
      <c r="TRM142" s="107" t="s">
        <v>1</v>
      </c>
      <c r="TRN142" s="108"/>
      <c r="TRO142" s="108"/>
      <c r="TRP142" s="109"/>
      <c r="TRQ142" s="107" t="s">
        <v>1</v>
      </c>
      <c r="TRR142" s="108"/>
      <c r="TRS142" s="108"/>
      <c r="TRT142" s="109"/>
      <c r="TRU142" s="107" t="s">
        <v>1</v>
      </c>
      <c r="TRV142" s="108"/>
      <c r="TRW142" s="108"/>
      <c r="TRX142" s="109"/>
      <c r="TRY142" s="107" t="s">
        <v>1</v>
      </c>
      <c r="TRZ142" s="108"/>
      <c r="TSA142" s="108"/>
      <c r="TSB142" s="109"/>
      <c r="TSC142" s="107" t="s">
        <v>1</v>
      </c>
      <c r="TSD142" s="108"/>
      <c r="TSE142" s="108"/>
      <c r="TSF142" s="109"/>
      <c r="TSG142" s="107" t="s">
        <v>1</v>
      </c>
      <c r="TSH142" s="108"/>
      <c r="TSI142" s="108"/>
      <c r="TSJ142" s="109"/>
      <c r="TSK142" s="107" t="s">
        <v>1</v>
      </c>
      <c r="TSL142" s="108"/>
      <c r="TSM142" s="108"/>
      <c r="TSN142" s="109"/>
      <c r="TSO142" s="107" t="s">
        <v>1</v>
      </c>
      <c r="TSP142" s="108"/>
      <c r="TSQ142" s="108"/>
      <c r="TSR142" s="109"/>
      <c r="TSS142" s="107" t="s">
        <v>1</v>
      </c>
      <c r="TST142" s="108"/>
      <c r="TSU142" s="108"/>
      <c r="TSV142" s="109"/>
      <c r="TSW142" s="107" t="s">
        <v>1</v>
      </c>
      <c r="TSX142" s="108"/>
      <c r="TSY142" s="108"/>
      <c r="TSZ142" s="109"/>
      <c r="TTA142" s="107" t="s">
        <v>1</v>
      </c>
      <c r="TTB142" s="108"/>
      <c r="TTC142" s="108"/>
      <c r="TTD142" s="109"/>
      <c r="TTE142" s="107" t="s">
        <v>1</v>
      </c>
      <c r="TTF142" s="108"/>
      <c r="TTG142" s="108"/>
      <c r="TTH142" s="109"/>
      <c r="TTI142" s="107" t="s">
        <v>1</v>
      </c>
      <c r="TTJ142" s="108"/>
      <c r="TTK142" s="108"/>
      <c r="TTL142" s="109"/>
      <c r="TTM142" s="107" t="s">
        <v>1</v>
      </c>
      <c r="TTN142" s="108"/>
      <c r="TTO142" s="108"/>
      <c r="TTP142" s="109"/>
      <c r="TTQ142" s="107" t="s">
        <v>1</v>
      </c>
      <c r="TTR142" s="108"/>
      <c r="TTS142" s="108"/>
      <c r="TTT142" s="109"/>
      <c r="TTU142" s="107" t="s">
        <v>1</v>
      </c>
      <c r="TTV142" s="108"/>
      <c r="TTW142" s="108"/>
      <c r="TTX142" s="109"/>
      <c r="TTY142" s="107" t="s">
        <v>1</v>
      </c>
      <c r="TTZ142" s="108"/>
      <c r="TUA142" s="108"/>
      <c r="TUB142" s="109"/>
      <c r="TUC142" s="107" t="s">
        <v>1</v>
      </c>
      <c r="TUD142" s="108"/>
      <c r="TUE142" s="108"/>
      <c r="TUF142" s="109"/>
      <c r="TUG142" s="107" t="s">
        <v>1</v>
      </c>
      <c r="TUH142" s="108"/>
      <c r="TUI142" s="108"/>
      <c r="TUJ142" s="109"/>
      <c r="TUK142" s="107" t="s">
        <v>1</v>
      </c>
      <c r="TUL142" s="108"/>
      <c r="TUM142" s="108"/>
      <c r="TUN142" s="109"/>
      <c r="TUO142" s="107" t="s">
        <v>1</v>
      </c>
      <c r="TUP142" s="108"/>
      <c r="TUQ142" s="108"/>
      <c r="TUR142" s="109"/>
      <c r="TUS142" s="107" t="s">
        <v>1</v>
      </c>
      <c r="TUT142" s="108"/>
      <c r="TUU142" s="108"/>
      <c r="TUV142" s="109"/>
      <c r="TUW142" s="107" t="s">
        <v>1</v>
      </c>
      <c r="TUX142" s="108"/>
      <c r="TUY142" s="108"/>
      <c r="TUZ142" s="109"/>
      <c r="TVA142" s="107" t="s">
        <v>1</v>
      </c>
      <c r="TVB142" s="108"/>
      <c r="TVC142" s="108"/>
      <c r="TVD142" s="109"/>
      <c r="TVE142" s="107" t="s">
        <v>1</v>
      </c>
      <c r="TVF142" s="108"/>
      <c r="TVG142" s="108"/>
      <c r="TVH142" s="109"/>
      <c r="TVI142" s="107" t="s">
        <v>1</v>
      </c>
      <c r="TVJ142" s="108"/>
      <c r="TVK142" s="108"/>
      <c r="TVL142" s="109"/>
      <c r="TVM142" s="107" t="s">
        <v>1</v>
      </c>
      <c r="TVN142" s="108"/>
      <c r="TVO142" s="108"/>
      <c r="TVP142" s="109"/>
      <c r="TVQ142" s="107" t="s">
        <v>1</v>
      </c>
      <c r="TVR142" s="108"/>
      <c r="TVS142" s="108"/>
      <c r="TVT142" s="109"/>
      <c r="TVU142" s="107" t="s">
        <v>1</v>
      </c>
      <c r="TVV142" s="108"/>
      <c r="TVW142" s="108"/>
      <c r="TVX142" s="109"/>
      <c r="TVY142" s="107" t="s">
        <v>1</v>
      </c>
      <c r="TVZ142" s="108"/>
      <c r="TWA142" s="108"/>
      <c r="TWB142" s="109"/>
      <c r="TWC142" s="107" t="s">
        <v>1</v>
      </c>
      <c r="TWD142" s="108"/>
      <c r="TWE142" s="108"/>
      <c r="TWF142" s="109"/>
      <c r="TWG142" s="107" t="s">
        <v>1</v>
      </c>
      <c r="TWH142" s="108"/>
      <c r="TWI142" s="108"/>
      <c r="TWJ142" s="109"/>
      <c r="TWK142" s="107" t="s">
        <v>1</v>
      </c>
      <c r="TWL142" s="108"/>
      <c r="TWM142" s="108"/>
      <c r="TWN142" s="109"/>
      <c r="TWO142" s="107" t="s">
        <v>1</v>
      </c>
      <c r="TWP142" s="108"/>
      <c r="TWQ142" s="108"/>
      <c r="TWR142" s="109"/>
      <c r="TWS142" s="107" t="s">
        <v>1</v>
      </c>
      <c r="TWT142" s="108"/>
      <c r="TWU142" s="108"/>
      <c r="TWV142" s="109"/>
      <c r="TWW142" s="107" t="s">
        <v>1</v>
      </c>
      <c r="TWX142" s="108"/>
      <c r="TWY142" s="108"/>
      <c r="TWZ142" s="109"/>
      <c r="TXA142" s="107" t="s">
        <v>1</v>
      </c>
      <c r="TXB142" s="108"/>
      <c r="TXC142" s="108"/>
      <c r="TXD142" s="109"/>
      <c r="TXE142" s="107" t="s">
        <v>1</v>
      </c>
      <c r="TXF142" s="108"/>
      <c r="TXG142" s="108"/>
      <c r="TXH142" s="109"/>
      <c r="TXI142" s="107" t="s">
        <v>1</v>
      </c>
      <c r="TXJ142" s="108"/>
      <c r="TXK142" s="108"/>
      <c r="TXL142" s="109"/>
      <c r="TXM142" s="107" t="s">
        <v>1</v>
      </c>
      <c r="TXN142" s="108"/>
      <c r="TXO142" s="108"/>
      <c r="TXP142" s="109"/>
      <c r="TXQ142" s="107" t="s">
        <v>1</v>
      </c>
      <c r="TXR142" s="108"/>
      <c r="TXS142" s="108"/>
      <c r="TXT142" s="109"/>
      <c r="TXU142" s="107" t="s">
        <v>1</v>
      </c>
      <c r="TXV142" s="108"/>
      <c r="TXW142" s="108"/>
      <c r="TXX142" s="109"/>
      <c r="TXY142" s="107" t="s">
        <v>1</v>
      </c>
      <c r="TXZ142" s="108"/>
      <c r="TYA142" s="108"/>
      <c r="TYB142" s="109"/>
      <c r="TYC142" s="107" t="s">
        <v>1</v>
      </c>
      <c r="TYD142" s="108"/>
      <c r="TYE142" s="108"/>
      <c r="TYF142" s="109"/>
      <c r="TYG142" s="107" t="s">
        <v>1</v>
      </c>
      <c r="TYH142" s="108"/>
      <c r="TYI142" s="108"/>
      <c r="TYJ142" s="109"/>
      <c r="TYK142" s="107" t="s">
        <v>1</v>
      </c>
      <c r="TYL142" s="108"/>
      <c r="TYM142" s="108"/>
      <c r="TYN142" s="109"/>
      <c r="TYO142" s="107" t="s">
        <v>1</v>
      </c>
      <c r="TYP142" s="108"/>
      <c r="TYQ142" s="108"/>
      <c r="TYR142" s="109"/>
      <c r="TYS142" s="107" t="s">
        <v>1</v>
      </c>
      <c r="TYT142" s="108"/>
      <c r="TYU142" s="108"/>
      <c r="TYV142" s="109"/>
      <c r="TYW142" s="107" t="s">
        <v>1</v>
      </c>
      <c r="TYX142" s="108"/>
      <c r="TYY142" s="108"/>
      <c r="TYZ142" s="109"/>
      <c r="TZA142" s="107" t="s">
        <v>1</v>
      </c>
      <c r="TZB142" s="108"/>
      <c r="TZC142" s="108"/>
      <c r="TZD142" s="109"/>
      <c r="TZE142" s="107" t="s">
        <v>1</v>
      </c>
      <c r="TZF142" s="108"/>
      <c r="TZG142" s="108"/>
      <c r="TZH142" s="109"/>
      <c r="TZI142" s="107" t="s">
        <v>1</v>
      </c>
      <c r="TZJ142" s="108"/>
      <c r="TZK142" s="108"/>
      <c r="TZL142" s="109"/>
      <c r="TZM142" s="107" t="s">
        <v>1</v>
      </c>
      <c r="TZN142" s="108"/>
      <c r="TZO142" s="108"/>
      <c r="TZP142" s="109"/>
      <c r="TZQ142" s="107" t="s">
        <v>1</v>
      </c>
      <c r="TZR142" s="108"/>
      <c r="TZS142" s="108"/>
      <c r="TZT142" s="109"/>
      <c r="TZU142" s="107" t="s">
        <v>1</v>
      </c>
      <c r="TZV142" s="108"/>
      <c r="TZW142" s="108"/>
      <c r="TZX142" s="109"/>
      <c r="TZY142" s="107" t="s">
        <v>1</v>
      </c>
      <c r="TZZ142" s="108"/>
      <c r="UAA142" s="108"/>
      <c r="UAB142" s="109"/>
      <c r="UAC142" s="107" t="s">
        <v>1</v>
      </c>
      <c r="UAD142" s="108"/>
      <c r="UAE142" s="108"/>
      <c r="UAF142" s="109"/>
      <c r="UAG142" s="107" t="s">
        <v>1</v>
      </c>
      <c r="UAH142" s="108"/>
      <c r="UAI142" s="108"/>
      <c r="UAJ142" s="109"/>
      <c r="UAK142" s="107" t="s">
        <v>1</v>
      </c>
      <c r="UAL142" s="108"/>
      <c r="UAM142" s="108"/>
      <c r="UAN142" s="109"/>
      <c r="UAO142" s="107" t="s">
        <v>1</v>
      </c>
      <c r="UAP142" s="108"/>
      <c r="UAQ142" s="108"/>
      <c r="UAR142" s="109"/>
      <c r="UAS142" s="107" t="s">
        <v>1</v>
      </c>
      <c r="UAT142" s="108"/>
      <c r="UAU142" s="108"/>
      <c r="UAV142" s="109"/>
      <c r="UAW142" s="107" t="s">
        <v>1</v>
      </c>
      <c r="UAX142" s="108"/>
      <c r="UAY142" s="108"/>
      <c r="UAZ142" s="109"/>
      <c r="UBA142" s="107" t="s">
        <v>1</v>
      </c>
      <c r="UBB142" s="108"/>
      <c r="UBC142" s="108"/>
      <c r="UBD142" s="109"/>
      <c r="UBE142" s="107" t="s">
        <v>1</v>
      </c>
      <c r="UBF142" s="108"/>
      <c r="UBG142" s="108"/>
      <c r="UBH142" s="109"/>
      <c r="UBI142" s="107" t="s">
        <v>1</v>
      </c>
      <c r="UBJ142" s="108"/>
      <c r="UBK142" s="108"/>
      <c r="UBL142" s="109"/>
      <c r="UBM142" s="107" t="s">
        <v>1</v>
      </c>
      <c r="UBN142" s="108"/>
      <c r="UBO142" s="108"/>
      <c r="UBP142" s="109"/>
      <c r="UBQ142" s="107" t="s">
        <v>1</v>
      </c>
      <c r="UBR142" s="108"/>
      <c r="UBS142" s="108"/>
      <c r="UBT142" s="109"/>
      <c r="UBU142" s="107" t="s">
        <v>1</v>
      </c>
      <c r="UBV142" s="108"/>
      <c r="UBW142" s="108"/>
      <c r="UBX142" s="109"/>
      <c r="UBY142" s="107" t="s">
        <v>1</v>
      </c>
      <c r="UBZ142" s="108"/>
      <c r="UCA142" s="108"/>
      <c r="UCB142" s="109"/>
      <c r="UCC142" s="107" t="s">
        <v>1</v>
      </c>
      <c r="UCD142" s="108"/>
      <c r="UCE142" s="108"/>
      <c r="UCF142" s="109"/>
      <c r="UCG142" s="107" t="s">
        <v>1</v>
      </c>
      <c r="UCH142" s="108"/>
      <c r="UCI142" s="108"/>
      <c r="UCJ142" s="109"/>
      <c r="UCK142" s="107" t="s">
        <v>1</v>
      </c>
      <c r="UCL142" s="108"/>
      <c r="UCM142" s="108"/>
      <c r="UCN142" s="109"/>
      <c r="UCO142" s="107" t="s">
        <v>1</v>
      </c>
      <c r="UCP142" s="108"/>
      <c r="UCQ142" s="108"/>
      <c r="UCR142" s="109"/>
      <c r="UCS142" s="107" t="s">
        <v>1</v>
      </c>
      <c r="UCT142" s="108"/>
      <c r="UCU142" s="108"/>
      <c r="UCV142" s="109"/>
      <c r="UCW142" s="107" t="s">
        <v>1</v>
      </c>
      <c r="UCX142" s="108"/>
      <c r="UCY142" s="108"/>
      <c r="UCZ142" s="109"/>
      <c r="UDA142" s="107" t="s">
        <v>1</v>
      </c>
      <c r="UDB142" s="108"/>
      <c r="UDC142" s="108"/>
      <c r="UDD142" s="109"/>
      <c r="UDE142" s="107" t="s">
        <v>1</v>
      </c>
      <c r="UDF142" s="108"/>
      <c r="UDG142" s="108"/>
      <c r="UDH142" s="109"/>
      <c r="UDI142" s="107" t="s">
        <v>1</v>
      </c>
      <c r="UDJ142" s="108"/>
      <c r="UDK142" s="108"/>
      <c r="UDL142" s="109"/>
      <c r="UDM142" s="107" t="s">
        <v>1</v>
      </c>
      <c r="UDN142" s="108"/>
      <c r="UDO142" s="108"/>
      <c r="UDP142" s="109"/>
      <c r="UDQ142" s="107" t="s">
        <v>1</v>
      </c>
      <c r="UDR142" s="108"/>
      <c r="UDS142" s="108"/>
      <c r="UDT142" s="109"/>
      <c r="UDU142" s="107" t="s">
        <v>1</v>
      </c>
      <c r="UDV142" s="108"/>
      <c r="UDW142" s="108"/>
      <c r="UDX142" s="109"/>
      <c r="UDY142" s="107" t="s">
        <v>1</v>
      </c>
      <c r="UDZ142" s="108"/>
      <c r="UEA142" s="108"/>
      <c r="UEB142" s="109"/>
      <c r="UEC142" s="107" t="s">
        <v>1</v>
      </c>
      <c r="UED142" s="108"/>
      <c r="UEE142" s="108"/>
      <c r="UEF142" s="109"/>
      <c r="UEG142" s="107" t="s">
        <v>1</v>
      </c>
      <c r="UEH142" s="108"/>
      <c r="UEI142" s="108"/>
      <c r="UEJ142" s="109"/>
      <c r="UEK142" s="107" t="s">
        <v>1</v>
      </c>
      <c r="UEL142" s="108"/>
      <c r="UEM142" s="108"/>
      <c r="UEN142" s="109"/>
      <c r="UEO142" s="107" t="s">
        <v>1</v>
      </c>
      <c r="UEP142" s="108"/>
      <c r="UEQ142" s="108"/>
      <c r="UER142" s="109"/>
      <c r="UES142" s="107" t="s">
        <v>1</v>
      </c>
      <c r="UET142" s="108"/>
      <c r="UEU142" s="108"/>
      <c r="UEV142" s="109"/>
      <c r="UEW142" s="107" t="s">
        <v>1</v>
      </c>
      <c r="UEX142" s="108"/>
      <c r="UEY142" s="108"/>
      <c r="UEZ142" s="109"/>
      <c r="UFA142" s="107" t="s">
        <v>1</v>
      </c>
      <c r="UFB142" s="108"/>
      <c r="UFC142" s="108"/>
      <c r="UFD142" s="109"/>
      <c r="UFE142" s="107" t="s">
        <v>1</v>
      </c>
      <c r="UFF142" s="108"/>
      <c r="UFG142" s="108"/>
      <c r="UFH142" s="109"/>
      <c r="UFI142" s="107" t="s">
        <v>1</v>
      </c>
      <c r="UFJ142" s="108"/>
      <c r="UFK142" s="108"/>
      <c r="UFL142" s="109"/>
      <c r="UFM142" s="107" t="s">
        <v>1</v>
      </c>
      <c r="UFN142" s="108"/>
      <c r="UFO142" s="108"/>
      <c r="UFP142" s="109"/>
      <c r="UFQ142" s="107" t="s">
        <v>1</v>
      </c>
      <c r="UFR142" s="108"/>
      <c r="UFS142" s="108"/>
      <c r="UFT142" s="109"/>
      <c r="UFU142" s="107" t="s">
        <v>1</v>
      </c>
      <c r="UFV142" s="108"/>
      <c r="UFW142" s="108"/>
      <c r="UFX142" s="109"/>
      <c r="UFY142" s="107" t="s">
        <v>1</v>
      </c>
      <c r="UFZ142" s="108"/>
      <c r="UGA142" s="108"/>
      <c r="UGB142" s="109"/>
      <c r="UGC142" s="107" t="s">
        <v>1</v>
      </c>
      <c r="UGD142" s="108"/>
      <c r="UGE142" s="108"/>
      <c r="UGF142" s="109"/>
      <c r="UGG142" s="107" t="s">
        <v>1</v>
      </c>
      <c r="UGH142" s="108"/>
      <c r="UGI142" s="108"/>
      <c r="UGJ142" s="109"/>
      <c r="UGK142" s="107" t="s">
        <v>1</v>
      </c>
      <c r="UGL142" s="108"/>
      <c r="UGM142" s="108"/>
      <c r="UGN142" s="109"/>
      <c r="UGO142" s="107" t="s">
        <v>1</v>
      </c>
      <c r="UGP142" s="108"/>
      <c r="UGQ142" s="108"/>
      <c r="UGR142" s="109"/>
      <c r="UGS142" s="107" t="s">
        <v>1</v>
      </c>
      <c r="UGT142" s="108"/>
      <c r="UGU142" s="108"/>
      <c r="UGV142" s="109"/>
      <c r="UGW142" s="107" t="s">
        <v>1</v>
      </c>
      <c r="UGX142" s="108"/>
      <c r="UGY142" s="108"/>
      <c r="UGZ142" s="109"/>
      <c r="UHA142" s="107" t="s">
        <v>1</v>
      </c>
      <c r="UHB142" s="108"/>
      <c r="UHC142" s="108"/>
      <c r="UHD142" s="109"/>
      <c r="UHE142" s="107" t="s">
        <v>1</v>
      </c>
      <c r="UHF142" s="108"/>
      <c r="UHG142" s="108"/>
      <c r="UHH142" s="109"/>
      <c r="UHI142" s="107" t="s">
        <v>1</v>
      </c>
      <c r="UHJ142" s="108"/>
      <c r="UHK142" s="108"/>
      <c r="UHL142" s="109"/>
      <c r="UHM142" s="107" t="s">
        <v>1</v>
      </c>
      <c r="UHN142" s="108"/>
      <c r="UHO142" s="108"/>
      <c r="UHP142" s="109"/>
      <c r="UHQ142" s="107" t="s">
        <v>1</v>
      </c>
      <c r="UHR142" s="108"/>
      <c r="UHS142" s="108"/>
      <c r="UHT142" s="109"/>
      <c r="UHU142" s="107" t="s">
        <v>1</v>
      </c>
      <c r="UHV142" s="108"/>
      <c r="UHW142" s="108"/>
      <c r="UHX142" s="109"/>
      <c r="UHY142" s="107" t="s">
        <v>1</v>
      </c>
      <c r="UHZ142" s="108"/>
      <c r="UIA142" s="108"/>
      <c r="UIB142" s="109"/>
      <c r="UIC142" s="107" t="s">
        <v>1</v>
      </c>
      <c r="UID142" s="108"/>
      <c r="UIE142" s="108"/>
      <c r="UIF142" s="109"/>
      <c r="UIG142" s="107" t="s">
        <v>1</v>
      </c>
      <c r="UIH142" s="108"/>
      <c r="UII142" s="108"/>
      <c r="UIJ142" s="109"/>
      <c r="UIK142" s="107" t="s">
        <v>1</v>
      </c>
      <c r="UIL142" s="108"/>
      <c r="UIM142" s="108"/>
      <c r="UIN142" s="109"/>
      <c r="UIO142" s="107" t="s">
        <v>1</v>
      </c>
      <c r="UIP142" s="108"/>
      <c r="UIQ142" s="108"/>
      <c r="UIR142" s="109"/>
      <c r="UIS142" s="107" t="s">
        <v>1</v>
      </c>
      <c r="UIT142" s="108"/>
      <c r="UIU142" s="108"/>
      <c r="UIV142" s="109"/>
      <c r="UIW142" s="107" t="s">
        <v>1</v>
      </c>
      <c r="UIX142" s="108"/>
      <c r="UIY142" s="108"/>
      <c r="UIZ142" s="109"/>
      <c r="UJA142" s="107" t="s">
        <v>1</v>
      </c>
      <c r="UJB142" s="108"/>
      <c r="UJC142" s="108"/>
      <c r="UJD142" s="109"/>
      <c r="UJE142" s="107" t="s">
        <v>1</v>
      </c>
      <c r="UJF142" s="108"/>
      <c r="UJG142" s="108"/>
      <c r="UJH142" s="109"/>
      <c r="UJI142" s="107" t="s">
        <v>1</v>
      </c>
      <c r="UJJ142" s="108"/>
      <c r="UJK142" s="108"/>
      <c r="UJL142" s="109"/>
      <c r="UJM142" s="107" t="s">
        <v>1</v>
      </c>
      <c r="UJN142" s="108"/>
      <c r="UJO142" s="108"/>
      <c r="UJP142" s="109"/>
      <c r="UJQ142" s="107" t="s">
        <v>1</v>
      </c>
      <c r="UJR142" s="108"/>
      <c r="UJS142" s="108"/>
      <c r="UJT142" s="109"/>
      <c r="UJU142" s="107" t="s">
        <v>1</v>
      </c>
      <c r="UJV142" s="108"/>
      <c r="UJW142" s="108"/>
      <c r="UJX142" s="109"/>
      <c r="UJY142" s="107" t="s">
        <v>1</v>
      </c>
      <c r="UJZ142" s="108"/>
      <c r="UKA142" s="108"/>
      <c r="UKB142" s="109"/>
      <c r="UKC142" s="107" t="s">
        <v>1</v>
      </c>
      <c r="UKD142" s="108"/>
      <c r="UKE142" s="108"/>
      <c r="UKF142" s="109"/>
      <c r="UKG142" s="107" t="s">
        <v>1</v>
      </c>
      <c r="UKH142" s="108"/>
      <c r="UKI142" s="108"/>
      <c r="UKJ142" s="109"/>
      <c r="UKK142" s="107" t="s">
        <v>1</v>
      </c>
      <c r="UKL142" s="108"/>
      <c r="UKM142" s="108"/>
      <c r="UKN142" s="109"/>
      <c r="UKO142" s="107" t="s">
        <v>1</v>
      </c>
      <c r="UKP142" s="108"/>
      <c r="UKQ142" s="108"/>
      <c r="UKR142" s="109"/>
      <c r="UKS142" s="107" t="s">
        <v>1</v>
      </c>
      <c r="UKT142" s="108"/>
      <c r="UKU142" s="108"/>
      <c r="UKV142" s="109"/>
      <c r="UKW142" s="107" t="s">
        <v>1</v>
      </c>
      <c r="UKX142" s="108"/>
      <c r="UKY142" s="108"/>
      <c r="UKZ142" s="109"/>
      <c r="ULA142" s="107" t="s">
        <v>1</v>
      </c>
      <c r="ULB142" s="108"/>
      <c r="ULC142" s="108"/>
      <c r="ULD142" s="109"/>
      <c r="ULE142" s="107" t="s">
        <v>1</v>
      </c>
      <c r="ULF142" s="108"/>
      <c r="ULG142" s="108"/>
      <c r="ULH142" s="109"/>
      <c r="ULI142" s="107" t="s">
        <v>1</v>
      </c>
      <c r="ULJ142" s="108"/>
      <c r="ULK142" s="108"/>
      <c r="ULL142" s="109"/>
      <c r="ULM142" s="107" t="s">
        <v>1</v>
      </c>
      <c r="ULN142" s="108"/>
      <c r="ULO142" s="108"/>
      <c r="ULP142" s="109"/>
      <c r="ULQ142" s="107" t="s">
        <v>1</v>
      </c>
      <c r="ULR142" s="108"/>
      <c r="ULS142" s="108"/>
      <c r="ULT142" s="109"/>
      <c r="ULU142" s="107" t="s">
        <v>1</v>
      </c>
      <c r="ULV142" s="108"/>
      <c r="ULW142" s="108"/>
      <c r="ULX142" s="109"/>
      <c r="ULY142" s="107" t="s">
        <v>1</v>
      </c>
      <c r="ULZ142" s="108"/>
      <c r="UMA142" s="108"/>
      <c r="UMB142" s="109"/>
      <c r="UMC142" s="107" t="s">
        <v>1</v>
      </c>
      <c r="UMD142" s="108"/>
      <c r="UME142" s="108"/>
      <c r="UMF142" s="109"/>
      <c r="UMG142" s="107" t="s">
        <v>1</v>
      </c>
      <c r="UMH142" s="108"/>
      <c r="UMI142" s="108"/>
      <c r="UMJ142" s="109"/>
      <c r="UMK142" s="107" t="s">
        <v>1</v>
      </c>
      <c r="UML142" s="108"/>
      <c r="UMM142" s="108"/>
      <c r="UMN142" s="109"/>
      <c r="UMO142" s="107" t="s">
        <v>1</v>
      </c>
      <c r="UMP142" s="108"/>
      <c r="UMQ142" s="108"/>
      <c r="UMR142" s="109"/>
      <c r="UMS142" s="107" t="s">
        <v>1</v>
      </c>
      <c r="UMT142" s="108"/>
      <c r="UMU142" s="108"/>
      <c r="UMV142" s="109"/>
      <c r="UMW142" s="107" t="s">
        <v>1</v>
      </c>
      <c r="UMX142" s="108"/>
      <c r="UMY142" s="108"/>
      <c r="UMZ142" s="109"/>
      <c r="UNA142" s="107" t="s">
        <v>1</v>
      </c>
      <c r="UNB142" s="108"/>
      <c r="UNC142" s="108"/>
      <c r="UND142" s="109"/>
      <c r="UNE142" s="107" t="s">
        <v>1</v>
      </c>
      <c r="UNF142" s="108"/>
      <c r="UNG142" s="108"/>
      <c r="UNH142" s="109"/>
      <c r="UNI142" s="107" t="s">
        <v>1</v>
      </c>
      <c r="UNJ142" s="108"/>
      <c r="UNK142" s="108"/>
      <c r="UNL142" s="109"/>
      <c r="UNM142" s="107" t="s">
        <v>1</v>
      </c>
      <c r="UNN142" s="108"/>
      <c r="UNO142" s="108"/>
      <c r="UNP142" s="109"/>
      <c r="UNQ142" s="107" t="s">
        <v>1</v>
      </c>
      <c r="UNR142" s="108"/>
      <c r="UNS142" s="108"/>
      <c r="UNT142" s="109"/>
      <c r="UNU142" s="107" t="s">
        <v>1</v>
      </c>
      <c r="UNV142" s="108"/>
      <c r="UNW142" s="108"/>
      <c r="UNX142" s="109"/>
      <c r="UNY142" s="107" t="s">
        <v>1</v>
      </c>
      <c r="UNZ142" s="108"/>
      <c r="UOA142" s="108"/>
      <c r="UOB142" s="109"/>
      <c r="UOC142" s="107" t="s">
        <v>1</v>
      </c>
      <c r="UOD142" s="108"/>
      <c r="UOE142" s="108"/>
      <c r="UOF142" s="109"/>
      <c r="UOG142" s="107" t="s">
        <v>1</v>
      </c>
      <c r="UOH142" s="108"/>
      <c r="UOI142" s="108"/>
      <c r="UOJ142" s="109"/>
      <c r="UOK142" s="107" t="s">
        <v>1</v>
      </c>
      <c r="UOL142" s="108"/>
      <c r="UOM142" s="108"/>
      <c r="UON142" s="109"/>
      <c r="UOO142" s="107" t="s">
        <v>1</v>
      </c>
      <c r="UOP142" s="108"/>
      <c r="UOQ142" s="108"/>
      <c r="UOR142" s="109"/>
      <c r="UOS142" s="107" t="s">
        <v>1</v>
      </c>
      <c r="UOT142" s="108"/>
      <c r="UOU142" s="108"/>
      <c r="UOV142" s="109"/>
      <c r="UOW142" s="107" t="s">
        <v>1</v>
      </c>
      <c r="UOX142" s="108"/>
      <c r="UOY142" s="108"/>
      <c r="UOZ142" s="109"/>
      <c r="UPA142" s="107" t="s">
        <v>1</v>
      </c>
      <c r="UPB142" s="108"/>
      <c r="UPC142" s="108"/>
      <c r="UPD142" s="109"/>
      <c r="UPE142" s="107" t="s">
        <v>1</v>
      </c>
      <c r="UPF142" s="108"/>
      <c r="UPG142" s="108"/>
      <c r="UPH142" s="109"/>
      <c r="UPI142" s="107" t="s">
        <v>1</v>
      </c>
      <c r="UPJ142" s="108"/>
      <c r="UPK142" s="108"/>
      <c r="UPL142" s="109"/>
      <c r="UPM142" s="107" t="s">
        <v>1</v>
      </c>
      <c r="UPN142" s="108"/>
      <c r="UPO142" s="108"/>
      <c r="UPP142" s="109"/>
      <c r="UPQ142" s="107" t="s">
        <v>1</v>
      </c>
      <c r="UPR142" s="108"/>
      <c r="UPS142" s="108"/>
      <c r="UPT142" s="109"/>
      <c r="UPU142" s="107" t="s">
        <v>1</v>
      </c>
      <c r="UPV142" s="108"/>
      <c r="UPW142" s="108"/>
      <c r="UPX142" s="109"/>
      <c r="UPY142" s="107" t="s">
        <v>1</v>
      </c>
      <c r="UPZ142" s="108"/>
      <c r="UQA142" s="108"/>
      <c r="UQB142" s="109"/>
      <c r="UQC142" s="107" t="s">
        <v>1</v>
      </c>
      <c r="UQD142" s="108"/>
      <c r="UQE142" s="108"/>
      <c r="UQF142" s="109"/>
      <c r="UQG142" s="107" t="s">
        <v>1</v>
      </c>
      <c r="UQH142" s="108"/>
      <c r="UQI142" s="108"/>
      <c r="UQJ142" s="109"/>
      <c r="UQK142" s="107" t="s">
        <v>1</v>
      </c>
      <c r="UQL142" s="108"/>
      <c r="UQM142" s="108"/>
      <c r="UQN142" s="109"/>
      <c r="UQO142" s="107" t="s">
        <v>1</v>
      </c>
      <c r="UQP142" s="108"/>
      <c r="UQQ142" s="108"/>
      <c r="UQR142" s="109"/>
      <c r="UQS142" s="107" t="s">
        <v>1</v>
      </c>
      <c r="UQT142" s="108"/>
      <c r="UQU142" s="108"/>
      <c r="UQV142" s="109"/>
      <c r="UQW142" s="107" t="s">
        <v>1</v>
      </c>
      <c r="UQX142" s="108"/>
      <c r="UQY142" s="108"/>
      <c r="UQZ142" s="109"/>
      <c r="URA142" s="107" t="s">
        <v>1</v>
      </c>
      <c r="URB142" s="108"/>
      <c r="URC142" s="108"/>
      <c r="URD142" s="109"/>
      <c r="URE142" s="107" t="s">
        <v>1</v>
      </c>
      <c r="URF142" s="108"/>
      <c r="URG142" s="108"/>
      <c r="URH142" s="109"/>
      <c r="URI142" s="107" t="s">
        <v>1</v>
      </c>
      <c r="URJ142" s="108"/>
      <c r="URK142" s="108"/>
      <c r="URL142" s="109"/>
      <c r="URM142" s="107" t="s">
        <v>1</v>
      </c>
      <c r="URN142" s="108"/>
      <c r="URO142" s="108"/>
      <c r="URP142" s="109"/>
      <c r="URQ142" s="107" t="s">
        <v>1</v>
      </c>
      <c r="URR142" s="108"/>
      <c r="URS142" s="108"/>
      <c r="URT142" s="109"/>
      <c r="URU142" s="107" t="s">
        <v>1</v>
      </c>
      <c r="URV142" s="108"/>
      <c r="URW142" s="108"/>
      <c r="URX142" s="109"/>
      <c r="URY142" s="107" t="s">
        <v>1</v>
      </c>
      <c r="URZ142" s="108"/>
      <c r="USA142" s="108"/>
      <c r="USB142" s="109"/>
      <c r="USC142" s="107" t="s">
        <v>1</v>
      </c>
      <c r="USD142" s="108"/>
      <c r="USE142" s="108"/>
      <c r="USF142" s="109"/>
      <c r="USG142" s="107" t="s">
        <v>1</v>
      </c>
      <c r="USH142" s="108"/>
      <c r="USI142" s="108"/>
      <c r="USJ142" s="109"/>
      <c r="USK142" s="107" t="s">
        <v>1</v>
      </c>
      <c r="USL142" s="108"/>
      <c r="USM142" s="108"/>
      <c r="USN142" s="109"/>
      <c r="USO142" s="107" t="s">
        <v>1</v>
      </c>
      <c r="USP142" s="108"/>
      <c r="USQ142" s="108"/>
      <c r="USR142" s="109"/>
      <c r="USS142" s="107" t="s">
        <v>1</v>
      </c>
      <c r="UST142" s="108"/>
      <c r="USU142" s="108"/>
      <c r="USV142" s="109"/>
      <c r="USW142" s="107" t="s">
        <v>1</v>
      </c>
      <c r="USX142" s="108"/>
      <c r="USY142" s="108"/>
      <c r="USZ142" s="109"/>
      <c r="UTA142" s="107" t="s">
        <v>1</v>
      </c>
      <c r="UTB142" s="108"/>
      <c r="UTC142" s="108"/>
      <c r="UTD142" s="109"/>
      <c r="UTE142" s="107" t="s">
        <v>1</v>
      </c>
      <c r="UTF142" s="108"/>
      <c r="UTG142" s="108"/>
      <c r="UTH142" s="109"/>
      <c r="UTI142" s="107" t="s">
        <v>1</v>
      </c>
      <c r="UTJ142" s="108"/>
      <c r="UTK142" s="108"/>
      <c r="UTL142" s="109"/>
      <c r="UTM142" s="107" t="s">
        <v>1</v>
      </c>
      <c r="UTN142" s="108"/>
      <c r="UTO142" s="108"/>
      <c r="UTP142" s="109"/>
      <c r="UTQ142" s="107" t="s">
        <v>1</v>
      </c>
      <c r="UTR142" s="108"/>
      <c r="UTS142" s="108"/>
      <c r="UTT142" s="109"/>
      <c r="UTU142" s="107" t="s">
        <v>1</v>
      </c>
      <c r="UTV142" s="108"/>
      <c r="UTW142" s="108"/>
      <c r="UTX142" s="109"/>
      <c r="UTY142" s="107" t="s">
        <v>1</v>
      </c>
      <c r="UTZ142" s="108"/>
      <c r="UUA142" s="108"/>
      <c r="UUB142" s="109"/>
      <c r="UUC142" s="107" t="s">
        <v>1</v>
      </c>
      <c r="UUD142" s="108"/>
      <c r="UUE142" s="108"/>
      <c r="UUF142" s="109"/>
      <c r="UUG142" s="107" t="s">
        <v>1</v>
      </c>
      <c r="UUH142" s="108"/>
      <c r="UUI142" s="108"/>
      <c r="UUJ142" s="109"/>
      <c r="UUK142" s="107" t="s">
        <v>1</v>
      </c>
      <c r="UUL142" s="108"/>
      <c r="UUM142" s="108"/>
      <c r="UUN142" s="109"/>
      <c r="UUO142" s="107" t="s">
        <v>1</v>
      </c>
      <c r="UUP142" s="108"/>
      <c r="UUQ142" s="108"/>
      <c r="UUR142" s="109"/>
      <c r="UUS142" s="107" t="s">
        <v>1</v>
      </c>
      <c r="UUT142" s="108"/>
      <c r="UUU142" s="108"/>
      <c r="UUV142" s="109"/>
      <c r="UUW142" s="107" t="s">
        <v>1</v>
      </c>
      <c r="UUX142" s="108"/>
      <c r="UUY142" s="108"/>
      <c r="UUZ142" s="109"/>
      <c r="UVA142" s="107" t="s">
        <v>1</v>
      </c>
      <c r="UVB142" s="108"/>
      <c r="UVC142" s="108"/>
      <c r="UVD142" s="109"/>
      <c r="UVE142" s="107" t="s">
        <v>1</v>
      </c>
      <c r="UVF142" s="108"/>
      <c r="UVG142" s="108"/>
      <c r="UVH142" s="109"/>
      <c r="UVI142" s="107" t="s">
        <v>1</v>
      </c>
      <c r="UVJ142" s="108"/>
      <c r="UVK142" s="108"/>
      <c r="UVL142" s="109"/>
      <c r="UVM142" s="107" t="s">
        <v>1</v>
      </c>
      <c r="UVN142" s="108"/>
      <c r="UVO142" s="108"/>
      <c r="UVP142" s="109"/>
      <c r="UVQ142" s="107" t="s">
        <v>1</v>
      </c>
      <c r="UVR142" s="108"/>
      <c r="UVS142" s="108"/>
      <c r="UVT142" s="109"/>
      <c r="UVU142" s="107" t="s">
        <v>1</v>
      </c>
      <c r="UVV142" s="108"/>
      <c r="UVW142" s="108"/>
      <c r="UVX142" s="109"/>
      <c r="UVY142" s="107" t="s">
        <v>1</v>
      </c>
      <c r="UVZ142" s="108"/>
      <c r="UWA142" s="108"/>
      <c r="UWB142" s="109"/>
      <c r="UWC142" s="107" t="s">
        <v>1</v>
      </c>
      <c r="UWD142" s="108"/>
      <c r="UWE142" s="108"/>
      <c r="UWF142" s="109"/>
      <c r="UWG142" s="107" t="s">
        <v>1</v>
      </c>
      <c r="UWH142" s="108"/>
      <c r="UWI142" s="108"/>
      <c r="UWJ142" s="109"/>
      <c r="UWK142" s="107" t="s">
        <v>1</v>
      </c>
      <c r="UWL142" s="108"/>
      <c r="UWM142" s="108"/>
      <c r="UWN142" s="109"/>
      <c r="UWO142" s="107" t="s">
        <v>1</v>
      </c>
      <c r="UWP142" s="108"/>
      <c r="UWQ142" s="108"/>
      <c r="UWR142" s="109"/>
      <c r="UWS142" s="107" t="s">
        <v>1</v>
      </c>
      <c r="UWT142" s="108"/>
      <c r="UWU142" s="108"/>
      <c r="UWV142" s="109"/>
      <c r="UWW142" s="107" t="s">
        <v>1</v>
      </c>
      <c r="UWX142" s="108"/>
      <c r="UWY142" s="108"/>
      <c r="UWZ142" s="109"/>
      <c r="UXA142" s="107" t="s">
        <v>1</v>
      </c>
      <c r="UXB142" s="108"/>
      <c r="UXC142" s="108"/>
      <c r="UXD142" s="109"/>
      <c r="UXE142" s="107" t="s">
        <v>1</v>
      </c>
      <c r="UXF142" s="108"/>
      <c r="UXG142" s="108"/>
      <c r="UXH142" s="109"/>
      <c r="UXI142" s="107" t="s">
        <v>1</v>
      </c>
      <c r="UXJ142" s="108"/>
      <c r="UXK142" s="108"/>
      <c r="UXL142" s="109"/>
      <c r="UXM142" s="107" t="s">
        <v>1</v>
      </c>
      <c r="UXN142" s="108"/>
      <c r="UXO142" s="108"/>
      <c r="UXP142" s="109"/>
      <c r="UXQ142" s="107" t="s">
        <v>1</v>
      </c>
      <c r="UXR142" s="108"/>
      <c r="UXS142" s="108"/>
      <c r="UXT142" s="109"/>
      <c r="UXU142" s="107" t="s">
        <v>1</v>
      </c>
      <c r="UXV142" s="108"/>
      <c r="UXW142" s="108"/>
      <c r="UXX142" s="109"/>
      <c r="UXY142" s="107" t="s">
        <v>1</v>
      </c>
      <c r="UXZ142" s="108"/>
      <c r="UYA142" s="108"/>
      <c r="UYB142" s="109"/>
      <c r="UYC142" s="107" t="s">
        <v>1</v>
      </c>
      <c r="UYD142" s="108"/>
      <c r="UYE142" s="108"/>
      <c r="UYF142" s="109"/>
      <c r="UYG142" s="107" t="s">
        <v>1</v>
      </c>
      <c r="UYH142" s="108"/>
      <c r="UYI142" s="108"/>
      <c r="UYJ142" s="109"/>
      <c r="UYK142" s="107" t="s">
        <v>1</v>
      </c>
      <c r="UYL142" s="108"/>
      <c r="UYM142" s="108"/>
      <c r="UYN142" s="109"/>
      <c r="UYO142" s="107" t="s">
        <v>1</v>
      </c>
      <c r="UYP142" s="108"/>
      <c r="UYQ142" s="108"/>
      <c r="UYR142" s="109"/>
      <c r="UYS142" s="107" t="s">
        <v>1</v>
      </c>
      <c r="UYT142" s="108"/>
      <c r="UYU142" s="108"/>
      <c r="UYV142" s="109"/>
      <c r="UYW142" s="107" t="s">
        <v>1</v>
      </c>
      <c r="UYX142" s="108"/>
      <c r="UYY142" s="108"/>
      <c r="UYZ142" s="109"/>
      <c r="UZA142" s="107" t="s">
        <v>1</v>
      </c>
      <c r="UZB142" s="108"/>
      <c r="UZC142" s="108"/>
      <c r="UZD142" s="109"/>
      <c r="UZE142" s="107" t="s">
        <v>1</v>
      </c>
      <c r="UZF142" s="108"/>
      <c r="UZG142" s="108"/>
      <c r="UZH142" s="109"/>
      <c r="UZI142" s="107" t="s">
        <v>1</v>
      </c>
      <c r="UZJ142" s="108"/>
      <c r="UZK142" s="108"/>
      <c r="UZL142" s="109"/>
      <c r="UZM142" s="107" t="s">
        <v>1</v>
      </c>
      <c r="UZN142" s="108"/>
      <c r="UZO142" s="108"/>
      <c r="UZP142" s="109"/>
      <c r="UZQ142" s="107" t="s">
        <v>1</v>
      </c>
      <c r="UZR142" s="108"/>
      <c r="UZS142" s="108"/>
      <c r="UZT142" s="109"/>
      <c r="UZU142" s="107" t="s">
        <v>1</v>
      </c>
      <c r="UZV142" s="108"/>
      <c r="UZW142" s="108"/>
      <c r="UZX142" s="109"/>
      <c r="UZY142" s="107" t="s">
        <v>1</v>
      </c>
      <c r="UZZ142" s="108"/>
      <c r="VAA142" s="108"/>
      <c r="VAB142" s="109"/>
      <c r="VAC142" s="107" t="s">
        <v>1</v>
      </c>
      <c r="VAD142" s="108"/>
      <c r="VAE142" s="108"/>
      <c r="VAF142" s="109"/>
      <c r="VAG142" s="107" t="s">
        <v>1</v>
      </c>
      <c r="VAH142" s="108"/>
      <c r="VAI142" s="108"/>
      <c r="VAJ142" s="109"/>
      <c r="VAK142" s="107" t="s">
        <v>1</v>
      </c>
      <c r="VAL142" s="108"/>
      <c r="VAM142" s="108"/>
      <c r="VAN142" s="109"/>
      <c r="VAO142" s="107" t="s">
        <v>1</v>
      </c>
      <c r="VAP142" s="108"/>
      <c r="VAQ142" s="108"/>
      <c r="VAR142" s="109"/>
      <c r="VAS142" s="107" t="s">
        <v>1</v>
      </c>
      <c r="VAT142" s="108"/>
      <c r="VAU142" s="108"/>
      <c r="VAV142" s="109"/>
      <c r="VAW142" s="107" t="s">
        <v>1</v>
      </c>
      <c r="VAX142" s="108"/>
      <c r="VAY142" s="108"/>
      <c r="VAZ142" s="109"/>
      <c r="VBA142" s="107" t="s">
        <v>1</v>
      </c>
      <c r="VBB142" s="108"/>
      <c r="VBC142" s="108"/>
      <c r="VBD142" s="109"/>
      <c r="VBE142" s="107" t="s">
        <v>1</v>
      </c>
      <c r="VBF142" s="108"/>
      <c r="VBG142" s="108"/>
      <c r="VBH142" s="109"/>
      <c r="VBI142" s="107" t="s">
        <v>1</v>
      </c>
      <c r="VBJ142" s="108"/>
      <c r="VBK142" s="108"/>
      <c r="VBL142" s="109"/>
      <c r="VBM142" s="107" t="s">
        <v>1</v>
      </c>
      <c r="VBN142" s="108"/>
      <c r="VBO142" s="108"/>
      <c r="VBP142" s="109"/>
      <c r="VBQ142" s="107" t="s">
        <v>1</v>
      </c>
      <c r="VBR142" s="108"/>
      <c r="VBS142" s="108"/>
      <c r="VBT142" s="109"/>
      <c r="VBU142" s="107" t="s">
        <v>1</v>
      </c>
      <c r="VBV142" s="108"/>
      <c r="VBW142" s="108"/>
      <c r="VBX142" s="109"/>
      <c r="VBY142" s="107" t="s">
        <v>1</v>
      </c>
      <c r="VBZ142" s="108"/>
      <c r="VCA142" s="108"/>
      <c r="VCB142" s="109"/>
      <c r="VCC142" s="107" t="s">
        <v>1</v>
      </c>
      <c r="VCD142" s="108"/>
      <c r="VCE142" s="108"/>
      <c r="VCF142" s="109"/>
      <c r="VCG142" s="107" t="s">
        <v>1</v>
      </c>
      <c r="VCH142" s="108"/>
      <c r="VCI142" s="108"/>
      <c r="VCJ142" s="109"/>
      <c r="VCK142" s="107" t="s">
        <v>1</v>
      </c>
      <c r="VCL142" s="108"/>
      <c r="VCM142" s="108"/>
      <c r="VCN142" s="109"/>
      <c r="VCO142" s="107" t="s">
        <v>1</v>
      </c>
      <c r="VCP142" s="108"/>
      <c r="VCQ142" s="108"/>
      <c r="VCR142" s="109"/>
      <c r="VCS142" s="107" t="s">
        <v>1</v>
      </c>
      <c r="VCT142" s="108"/>
      <c r="VCU142" s="108"/>
      <c r="VCV142" s="109"/>
      <c r="VCW142" s="107" t="s">
        <v>1</v>
      </c>
      <c r="VCX142" s="108"/>
      <c r="VCY142" s="108"/>
      <c r="VCZ142" s="109"/>
      <c r="VDA142" s="107" t="s">
        <v>1</v>
      </c>
      <c r="VDB142" s="108"/>
      <c r="VDC142" s="108"/>
      <c r="VDD142" s="109"/>
      <c r="VDE142" s="107" t="s">
        <v>1</v>
      </c>
      <c r="VDF142" s="108"/>
      <c r="VDG142" s="108"/>
      <c r="VDH142" s="109"/>
      <c r="VDI142" s="107" t="s">
        <v>1</v>
      </c>
      <c r="VDJ142" s="108"/>
      <c r="VDK142" s="108"/>
      <c r="VDL142" s="109"/>
      <c r="VDM142" s="107" t="s">
        <v>1</v>
      </c>
      <c r="VDN142" s="108"/>
      <c r="VDO142" s="108"/>
      <c r="VDP142" s="109"/>
      <c r="VDQ142" s="107" t="s">
        <v>1</v>
      </c>
      <c r="VDR142" s="108"/>
      <c r="VDS142" s="108"/>
      <c r="VDT142" s="109"/>
      <c r="VDU142" s="107" t="s">
        <v>1</v>
      </c>
      <c r="VDV142" s="108"/>
      <c r="VDW142" s="108"/>
      <c r="VDX142" s="109"/>
      <c r="VDY142" s="107" t="s">
        <v>1</v>
      </c>
      <c r="VDZ142" s="108"/>
      <c r="VEA142" s="108"/>
      <c r="VEB142" s="109"/>
      <c r="VEC142" s="107" t="s">
        <v>1</v>
      </c>
      <c r="VED142" s="108"/>
      <c r="VEE142" s="108"/>
      <c r="VEF142" s="109"/>
      <c r="VEG142" s="107" t="s">
        <v>1</v>
      </c>
      <c r="VEH142" s="108"/>
      <c r="VEI142" s="108"/>
      <c r="VEJ142" s="109"/>
      <c r="VEK142" s="107" t="s">
        <v>1</v>
      </c>
      <c r="VEL142" s="108"/>
      <c r="VEM142" s="108"/>
      <c r="VEN142" s="109"/>
      <c r="VEO142" s="107" t="s">
        <v>1</v>
      </c>
      <c r="VEP142" s="108"/>
      <c r="VEQ142" s="108"/>
      <c r="VER142" s="109"/>
      <c r="VES142" s="107" t="s">
        <v>1</v>
      </c>
      <c r="VET142" s="108"/>
      <c r="VEU142" s="108"/>
      <c r="VEV142" s="109"/>
      <c r="VEW142" s="107" t="s">
        <v>1</v>
      </c>
      <c r="VEX142" s="108"/>
      <c r="VEY142" s="108"/>
      <c r="VEZ142" s="109"/>
      <c r="VFA142" s="107" t="s">
        <v>1</v>
      </c>
      <c r="VFB142" s="108"/>
      <c r="VFC142" s="108"/>
      <c r="VFD142" s="109"/>
      <c r="VFE142" s="107" t="s">
        <v>1</v>
      </c>
      <c r="VFF142" s="108"/>
      <c r="VFG142" s="108"/>
      <c r="VFH142" s="109"/>
      <c r="VFI142" s="107" t="s">
        <v>1</v>
      </c>
      <c r="VFJ142" s="108"/>
      <c r="VFK142" s="108"/>
      <c r="VFL142" s="109"/>
      <c r="VFM142" s="107" t="s">
        <v>1</v>
      </c>
      <c r="VFN142" s="108"/>
      <c r="VFO142" s="108"/>
      <c r="VFP142" s="109"/>
      <c r="VFQ142" s="107" t="s">
        <v>1</v>
      </c>
      <c r="VFR142" s="108"/>
      <c r="VFS142" s="108"/>
      <c r="VFT142" s="109"/>
      <c r="VFU142" s="107" t="s">
        <v>1</v>
      </c>
      <c r="VFV142" s="108"/>
      <c r="VFW142" s="108"/>
      <c r="VFX142" s="109"/>
      <c r="VFY142" s="107" t="s">
        <v>1</v>
      </c>
      <c r="VFZ142" s="108"/>
      <c r="VGA142" s="108"/>
      <c r="VGB142" s="109"/>
      <c r="VGC142" s="107" t="s">
        <v>1</v>
      </c>
      <c r="VGD142" s="108"/>
      <c r="VGE142" s="108"/>
      <c r="VGF142" s="109"/>
      <c r="VGG142" s="107" t="s">
        <v>1</v>
      </c>
      <c r="VGH142" s="108"/>
      <c r="VGI142" s="108"/>
      <c r="VGJ142" s="109"/>
      <c r="VGK142" s="107" t="s">
        <v>1</v>
      </c>
      <c r="VGL142" s="108"/>
      <c r="VGM142" s="108"/>
      <c r="VGN142" s="109"/>
      <c r="VGO142" s="107" t="s">
        <v>1</v>
      </c>
      <c r="VGP142" s="108"/>
      <c r="VGQ142" s="108"/>
      <c r="VGR142" s="109"/>
      <c r="VGS142" s="107" t="s">
        <v>1</v>
      </c>
      <c r="VGT142" s="108"/>
      <c r="VGU142" s="108"/>
      <c r="VGV142" s="109"/>
      <c r="VGW142" s="107" t="s">
        <v>1</v>
      </c>
      <c r="VGX142" s="108"/>
      <c r="VGY142" s="108"/>
      <c r="VGZ142" s="109"/>
      <c r="VHA142" s="107" t="s">
        <v>1</v>
      </c>
      <c r="VHB142" s="108"/>
      <c r="VHC142" s="108"/>
      <c r="VHD142" s="109"/>
      <c r="VHE142" s="107" t="s">
        <v>1</v>
      </c>
      <c r="VHF142" s="108"/>
      <c r="VHG142" s="108"/>
      <c r="VHH142" s="109"/>
      <c r="VHI142" s="107" t="s">
        <v>1</v>
      </c>
      <c r="VHJ142" s="108"/>
      <c r="VHK142" s="108"/>
      <c r="VHL142" s="109"/>
      <c r="VHM142" s="107" t="s">
        <v>1</v>
      </c>
      <c r="VHN142" s="108"/>
      <c r="VHO142" s="108"/>
      <c r="VHP142" s="109"/>
      <c r="VHQ142" s="107" t="s">
        <v>1</v>
      </c>
      <c r="VHR142" s="108"/>
      <c r="VHS142" s="108"/>
      <c r="VHT142" s="109"/>
      <c r="VHU142" s="107" t="s">
        <v>1</v>
      </c>
      <c r="VHV142" s="108"/>
      <c r="VHW142" s="108"/>
      <c r="VHX142" s="109"/>
      <c r="VHY142" s="107" t="s">
        <v>1</v>
      </c>
      <c r="VHZ142" s="108"/>
      <c r="VIA142" s="108"/>
      <c r="VIB142" s="109"/>
      <c r="VIC142" s="107" t="s">
        <v>1</v>
      </c>
      <c r="VID142" s="108"/>
      <c r="VIE142" s="108"/>
      <c r="VIF142" s="109"/>
      <c r="VIG142" s="107" t="s">
        <v>1</v>
      </c>
      <c r="VIH142" s="108"/>
      <c r="VII142" s="108"/>
      <c r="VIJ142" s="109"/>
      <c r="VIK142" s="107" t="s">
        <v>1</v>
      </c>
      <c r="VIL142" s="108"/>
      <c r="VIM142" s="108"/>
      <c r="VIN142" s="109"/>
      <c r="VIO142" s="107" t="s">
        <v>1</v>
      </c>
      <c r="VIP142" s="108"/>
      <c r="VIQ142" s="108"/>
      <c r="VIR142" s="109"/>
      <c r="VIS142" s="107" t="s">
        <v>1</v>
      </c>
      <c r="VIT142" s="108"/>
      <c r="VIU142" s="108"/>
      <c r="VIV142" s="109"/>
      <c r="VIW142" s="107" t="s">
        <v>1</v>
      </c>
      <c r="VIX142" s="108"/>
      <c r="VIY142" s="108"/>
      <c r="VIZ142" s="109"/>
      <c r="VJA142" s="107" t="s">
        <v>1</v>
      </c>
      <c r="VJB142" s="108"/>
      <c r="VJC142" s="108"/>
      <c r="VJD142" s="109"/>
      <c r="VJE142" s="107" t="s">
        <v>1</v>
      </c>
      <c r="VJF142" s="108"/>
      <c r="VJG142" s="108"/>
      <c r="VJH142" s="109"/>
      <c r="VJI142" s="107" t="s">
        <v>1</v>
      </c>
      <c r="VJJ142" s="108"/>
      <c r="VJK142" s="108"/>
      <c r="VJL142" s="109"/>
      <c r="VJM142" s="107" t="s">
        <v>1</v>
      </c>
      <c r="VJN142" s="108"/>
      <c r="VJO142" s="108"/>
      <c r="VJP142" s="109"/>
      <c r="VJQ142" s="107" t="s">
        <v>1</v>
      </c>
      <c r="VJR142" s="108"/>
      <c r="VJS142" s="108"/>
      <c r="VJT142" s="109"/>
      <c r="VJU142" s="107" t="s">
        <v>1</v>
      </c>
      <c r="VJV142" s="108"/>
      <c r="VJW142" s="108"/>
      <c r="VJX142" s="109"/>
      <c r="VJY142" s="107" t="s">
        <v>1</v>
      </c>
      <c r="VJZ142" s="108"/>
      <c r="VKA142" s="108"/>
      <c r="VKB142" s="109"/>
      <c r="VKC142" s="107" t="s">
        <v>1</v>
      </c>
      <c r="VKD142" s="108"/>
      <c r="VKE142" s="108"/>
      <c r="VKF142" s="109"/>
      <c r="VKG142" s="107" t="s">
        <v>1</v>
      </c>
      <c r="VKH142" s="108"/>
      <c r="VKI142" s="108"/>
      <c r="VKJ142" s="109"/>
      <c r="VKK142" s="107" t="s">
        <v>1</v>
      </c>
      <c r="VKL142" s="108"/>
      <c r="VKM142" s="108"/>
      <c r="VKN142" s="109"/>
      <c r="VKO142" s="107" t="s">
        <v>1</v>
      </c>
      <c r="VKP142" s="108"/>
      <c r="VKQ142" s="108"/>
      <c r="VKR142" s="109"/>
      <c r="VKS142" s="107" t="s">
        <v>1</v>
      </c>
      <c r="VKT142" s="108"/>
      <c r="VKU142" s="108"/>
      <c r="VKV142" s="109"/>
      <c r="VKW142" s="107" t="s">
        <v>1</v>
      </c>
      <c r="VKX142" s="108"/>
      <c r="VKY142" s="108"/>
      <c r="VKZ142" s="109"/>
      <c r="VLA142" s="107" t="s">
        <v>1</v>
      </c>
      <c r="VLB142" s="108"/>
      <c r="VLC142" s="108"/>
      <c r="VLD142" s="109"/>
      <c r="VLE142" s="107" t="s">
        <v>1</v>
      </c>
      <c r="VLF142" s="108"/>
      <c r="VLG142" s="108"/>
      <c r="VLH142" s="109"/>
      <c r="VLI142" s="107" t="s">
        <v>1</v>
      </c>
      <c r="VLJ142" s="108"/>
      <c r="VLK142" s="108"/>
      <c r="VLL142" s="109"/>
      <c r="VLM142" s="107" t="s">
        <v>1</v>
      </c>
      <c r="VLN142" s="108"/>
      <c r="VLO142" s="108"/>
      <c r="VLP142" s="109"/>
      <c r="VLQ142" s="107" t="s">
        <v>1</v>
      </c>
      <c r="VLR142" s="108"/>
      <c r="VLS142" s="108"/>
      <c r="VLT142" s="109"/>
      <c r="VLU142" s="107" t="s">
        <v>1</v>
      </c>
      <c r="VLV142" s="108"/>
      <c r="VLW142" s="108"/>
      <c r="VLX142" s="109"/>
      <c r="VLY142" s="107" t="s">
        <v>1</v>
      </c>
      <c r="VLZ142" s="108"/>
      <c r="VMA142" s="108"/>
      <c r="VMB142" s="109"/>
      <c r="VMC142" s="107" t="s">
        <v>1</v>
      </c>
      <c r="VMD142" s="108"/>
      <c r="VME142" s="108"/>
      <c r="VMF142" s="109"/>
      <c r="VMG142" s="107" t="s">
        <v>1</v>
      </c>
      <c r="VMH142" s="108"/>
      <c r="VMI142" s="108"/>
      <c r="VMJ142" s="109"/>
      <c r="VMK142" s="107" t="s">
        <v>1</v>
      </c>
      <c r="VML142" s="108"/>
      <c r="VMM142" s="108"/>
      <c r="VMN142" s="109"/>
      <c r="VMO142" s="107" t="s">
        <v>1</v>
      </c>
      <c r="VMP142" s="108"/>
      <c r="VMQ142" s="108"/>
      <c r="VMR142" s="109"/>
      <c r="VMS142" s="107" t="s">
        <v>1</v>
      </c>
      <c r="VMT142" s="108"/>
      <c r="VMU142" s="108"/>
      <c r="VMV142" s="109"/>
      <c r="VMW142" s="107" t="s">
        <v>1</v>
      </c>
      <c r="VMX142" s="108"/>
      <c r="VMY142" s="108"/>
      <c r="VMZ142" s="109"/>
      <c r="VNA142" s="107" t="s">
        <v>1</v>
      </c>
      <c r="VNB142" s="108"/>
      <c r="VNC142" s="108"/>
      <c r="VND142" s="109"/>
      <c r="VNE142" s="107" t="s">
        <v>1</v>
      </c>
      <c r="VNF142" s="108"/>
      <c r="VNG142" s="108"/>
      <c r="VNH142" s="109"/>
      <c r="VNI142" s="107" t="s">
        <v>1</v>
      </c>
      <c r="VNJ142" s="108"/>
      <c r="VNK142" s="108"/>
      <c r="VNL142" s="109"/>
      <c r="VNM142" s="107" t="s">
        <v>1</v>
      </c>
      <c r="VNN142" s="108"/>
      <c r="VNO142" s="108"/>
      <c r="VNP142" s="109"/>
      <c r="VNQ142" s="107" t="s">
        <v>1</v>
      </c>
      <c r="VNR142" s="108"/>
      <c r="VNS142" s="108"/>
      <c r="VNT142" s="109"/>
      <c r="VNU142" s="107" t="s">
        <v>1</v>
      </c>
      <c r="VNV142" s="108"/>
      <c r="VNW142" s="108"/>
      <c r="VNX142" s="109"/>
      <c r="VNY142" s="107" t="s">
        <v>1</v>
      </c>
      <c r="VNZ142" s="108"/>
      <c r="VOA142" s="108"/>
      <c r="VOB142" s="109"/>
      <c r="VOC142" s="107" t="s">
        <v>1</v>
      </c>
      <c r="VOD142" s="108"/>
      <c r="VOE142" s="108"/>
      <c r="VOF142" s="109"/>
      <c r="VOG142" s="107" t="s">
        <v>1</v>
      </c>
      <c r="VOH142" s="108"/>
      <c r="VOI142" s="108"/>
      <c r="VOJ142" s="109"/>
      <c r="VOK142" s="107" t="s">
        <v>1</v>
      </c>
      <c r="VOL142" s="108"/>
      <c r="VOM142" s="108"/>
      <c r="VON142" s="109"/>
      <c r="VOO142" s="107" t="s">
        <v>1</v>
      </c>
      <c r="VOP142" s="108"/>
      <c r="VOQ142" s="108"/>
      <c r="VOR142" s="109"/>
      <c r="VOS142" s="107" t="s">
        <v>1</v>
      </c>
      <c r="VOT142" s="108"/>
      <c r="VOU142" s="108"/>
      <c r="VOV142" s="109"/>
      <c r="VOW142" s="107" t="s">
        <v>1</v>
      </c>
      <c r="VOX142" s="108"/>
      <c r="VOY142" s="108"/>
      <c r="VOZ142" s="109"/>
      <c r="VPA142" s="107" t="s">
        <v>1</v>
      </c>
      <c r="VPB142" s="108"/>
      <c r="VPC142" s="108"/>
      <c r="VPD142" s="109"/>
      <c r="VPE142" s="107" t="s">
        <v>1</v>
      </c>
      <c r="VPF142" s="108"/>
      <c r="VPG142" s="108"/>
      <c r="VPH142" s="109"/>
      <c r="VPI142" s="107" t="s">
        <v>1</v>
      </c>
      <c r="VPJ142" s="108"/>
      <c r="VPK142" s="108"/>
      <c r="VPL142" s="109"/>
      <c r="VPM142" s="107" t="s">
        <v>1</v>
      </c>
      <c r="VPN142" s="108"/>
      <c r="VPO142" s="108"/>
      <c r="VPP142" s="109"/>
      <c r="VPQ142" s="107" t="s">
        <v>1</v>
      </c>
      <c r="VPR142" s="108"/>
      <c r="VPS142" s="108"/>
      <c r="VPT142" s="109"/>
      <c r="VPU142" s="107" t="s">
        <v>1</v>
      </c>
      <c r="VPV142" s="108"/>
      <c r="VPW142" s="108"/>
      <c r="VPX142" s="109"/>
      <c r="VPY142" s="107" t="s">
        <v>1</v>
      </c>
      <c r="VPZ142" s="108"/>
      <c r="VQA142" s="108"/>
      <c r="VQB142" s="109"/>
      <c r="VQC142" s="107" t="s">
        <v>1</v>
      </c>
      <c r="VQD142" s="108"/>
      <c r="VQE142" s="108"/>
      <c r="VQF142" s="109"/>
      <c r="VQG142" s="107" t="s">
        <v>1</v>
      </c>
      <c r="VQH142" s="108"/>
      <c r="VQI142" s="108"/>
      <c r="VQJ142" s="109"/>
      <c r="VQK142" s="107" t="s">
        <v>1</v>
      </c>
      <c r="VQL142" s="108"/>
      <c r="VQM142" s="108"/>
      <c r="VQN142" s="109"/>
      <c r="VQO142" s="107" t="s">
        <v>1</v>
      </c>
      <c r="VQP142" s="108"/>
      <c r="VQQ142" s="108"/>
      <c r="VQR142" s="109"/>
      <c r="VQS142" s="107" t="s">
        <v>1</v>
      </c>
      <c r="VQT142" s="108"/>
      <c r="VQU142" s="108"/>
      <c r="VQV142" s="109"/>
      <c r="VQW142" s="107" t="s">
        <v>1</v>
      </c>
      <c r="VQX142" s="108"/>
      <c r="VQY142" s="108"/>
      <c r="VQZ142" s="109"/>
      <c r="VRA142" s="107" t="s">
        <v>1</v>
      </c>
      <c r="VRB142" s="108"/>
      <c r="VRC142" s="108"/>
      <c r="VRD142" s="109"/>
      <c r="VRE142" s="107" t="s">
        <v>1</v>
      </c>
      <c r="VRF142" s="108"/>
      <c r="VRG142" s="108"/>
      <c r="VRH142" s="109"/>
      <c r="VRI142" s="107" t="s">
        <v>1</v>
      </c>
      <c r="VRJ142" s="108"/>
      <c r="VRK142" s="108"/>
      <c r="VRL142" s="109"/>
      <c r="VRM142" s="107" t="s">
        <v>1</v>
      </c>
      <c r="VRN142" s="108"/>
      <c r="VRO142" s="108"/>
      <c r="VRP142" s="109"/>
      <c r="VRQ142" s="107" t="s">
        <v>1</v>
      </c>
      <c r="VRR142" s="108"/>
      <c r="VRS142" s="108"/>
      <c r="VRT142" s="109"/>
      <c r="VRU142" s="107" t="s">
        <v>1</v>
      </c>
      <c r="VRV142" s="108"/>
      <c r="VRW142" s="108"/>
      <c r="VRX142" s="109"/>
      <c r="VRY142" s="107" t="s">
        <v>1</v>
      </c>
      <c r="VRZ142" s="108"/>
      <c r="VSA142" s="108"/>
      <c r="VSB142" s="109"/>
      <c r="VSC142" s="107" t="s">
        <v>1</v>
      </c>
      <c r="VSD142" s="108"/>
      <c r="VSE142" s="108"/>
      <c r="VSF142" s="109"/>
      <c r="VSG142" s="107" t="s">
        <v>1</v>
      </c>
      <c r="VSH142" s="108"/>
      <c r="VSI142" s="108"/>
      <c r="VSJ142" s="109"/>
      <c r="VSK142" s="107" t="s">
        <v>1</v>
      </c>
      <c r="VSL142" s="108"/>
      <c r="VSM142" s="108"/>
      <c r="VSN142" s="109"/>
      <c r="VSO142" s="107" t="s">
        <v>1</v>
      </c>
      <c r="VSP142" s="108"/>
      <c r="VSQ142" s="108"/>
      <c r="VSR142" s="109"/>
      <c r="VSS142" s="107" t="s">
        <v>1</v>
      </c>
      <c r="VST142" s="108"/>
      <c r="VSU142" s="108"/>
      <c r="VSV142" s="109"/>
      <c r="VSW142" s="107" t="s">
        <v>1</v>
      </c>
      <c r="VSX142" s="108"/>
      <c r="VSY142" s="108"/>
      <c r="VSZ142" s="109"/>
      <c r="VTA142" s="107" t="s">
        <v>1</v>
      </c>
      <c r="VTB142" s="108"/>
      <c r="VTC142" s="108"/>
      <c r="VTD142" s="109"/>
      <c r="VTE142" s="107" t="s">
        <v>1</v>
      </c>
      <c r="VTF142" s="108"/>
      <c r="VTG142" s="108"/>
      <c r="VTH142" s="109"/>
      <c r="VTI142" s="107" t="s">
        <v>1</v>
      </c>
      <c r="VTJ142" s="108"/>
      <c r="VTK142" s="108"/>
      <c r="VTL142" s="109"/>
      <c r="VTM142" s="107" t="s">
        <v>1</v>
      </c>
      <c r="VTN142" s="108"/>
      <c r="VTO142" s="108"/>
      <c r="VTP142" s="109"/>
      <c r="VTQ142" s="107" t="s">
        <v>1</v>
      </c>
      <c r="VTR142" s="108"/>
      <c r="VTS142" s="108"/>
      <c r="VTT142" s="109"/>
      <c r="VTU142" s="107" t="s">
        <v>1</v>
      </c>
      <c r="VTV142" s="108"/>
      <c r="VTW142" s="108"/>
      <c r="VTX142" s="109"/>
      <c r="VTY142" s="107" t="s">
        <v>1</v>
      </c>
      <c r="VTZ142" s="108"/>
      <c r="VUA142" s="108"/>
      <c r="VUB142" s="109"/>
      <c r="VUC142" s="107" t="s">
        <v>1</v>
      </c>
      <c r="VUD142" s="108"/>
      <c r="VUE142" s="108"/>
      <c r="VUF142" s="109"/>
      <c r="VUG142" s="107" t="s">
        <v>1</v>
      </c>
      <c r="VUH142" s="108"/>
      <c r="VUI142" s="108"/>
      <c r="VUJ142" s="109"/>
      <c r="VUK142" s="107" t="s">
        <v>1</v>
      </c>
      <c r="VUL142" s="108"/>
      <c r="VUM142" s="108"/>
      <c r="VUN142" s="109"/>
      <c r="VUO142" s="107" t="s">
        <v>1</v>
      </c>
      <c r="VUP142" s="108"/>
      <c r="VUQ142" s="108"/>
      <c r="VUR142" s="109"/>
      <c r="VUS142" s="107" t="s">
        <v>1</v>
      </c>
      <c r="VUT142" s="108"/>
      <c r="VUU142" s="108"/>
      <c r="VUV142" s="109"/>
      <c r="VUW142" s="107" t="s">
        <v>1</v>
      </c>
      <c r="VUX142" s="108"/>
      <c r="VUY142" s="108"/>
      <c r="VUZ142" s="109"/>
      <c r="VVA142" s="107" t="s">
        <v>1</v>
      </c>
      <c r="VVB142" s="108"/>
      <c r="VVC142" s="108"/>
      <c r="VVD142" s="109"/>
      <c r="VVE142" s="107" t="s">
        <v>1</v>
      </c>
      <c r="VVF142" s="108"/>
      <c r="VVG142" s="108"/>
      <c r="VVH142" s="109"/>
      <c r="VVI142" s="107" t="s">
        <v>1</v>
      </c>
      <c r="VVJ142" s="108"/>
      <c r="VVK142" s="108"/>
      <c r="VVL142" s="109"/>
      <c r="VVM142" s="107" t="s">
        <v>1</v>
      </c>
      <c r="VVN142" s="108"/>
      <c r="VVO142" s="108"/>
      <c r="VVP142" s="109"/>
      <c r="VVQ142" s="107" t="s">
        <v>1</v>
      </c>
      <c r="VVR142" s="108"/>
      <c r="VVS142" s="108"/>
      <c r="VVT142" s="109"/>
      <c r="VVU142" s="107" t="s">
        <v>1</v>
      </c>
      <c r="VVV142" s="108"/>
      <c r="VVW142" s="108"/>
      <c r="VVX142" s="109"/>
      <c r="VVY142" s="107" t="s">
        <v>1</v>
      </c>
      <c r="VVZ142" s="108"/>
      <c r="VWA142" s="108"/>
      <c r="VWB142" s="109"/>
      <c r="VWC142" s="107" t="s">
        <v>1</v>
      </c>
      <c r="VWD142" s="108"/>
      <c r="VWE142" s="108"/>
      <c r="VWF142" s="109"/>
      <c r="VWG142" s="107" t="s">
        <v>1</v>
      </c>
      <c r="VWH142" s="108"/>
      <c r="VWI142" s="108"/>
      <c r="VWJ142" s="109"/>
      <c r="VWK142" s="107" t="s">
        <v>1</v>
      </c>
      <c r="VWL142" s="108"/>
      <c r="VWM142" s="108"/>
      <c r="VWN142" s="109"/>
      <c r="VWO142" s="107" t="s">
        <v>1</v>
      </c>
      <c r="VWP142" s="108"/>
      <c r="VWQ142" s="108"/>
      <c r="VWR142" s="109"/>
      <c r="VWS142" s="107" t="s">
        <v>1</v>
      </c>
      <c r="VWT142" s="108"/>
      <c r="VWU142" s="108"/>
      <c r="VWV142" s="109"/>
      <c r="VWW142" s="107" t="s">
        <v>1</v>
      </c>
      <c r="VWX142" s="108"/>
      <c r="VWY142" s="108"/>
      <c r="VWZ142" s="109"/>
      <c r="VXA142" s="107" t="s">
        <v>1</v>
      </c>
      <c r="VXB142" s="108"/>
      <c r="VXC142" s="108"/>
      <c r="VXD142" s="109"/>
      <c r="VXE142" s="107" t="s">
        <v>1</v>
      </c>
      <c r="VXF142" s="108"/>
      <c r="VXG142" s="108"/>
      <c r="VXH142" s="109"/>
      <c r="VXI142" s="107" t="s">
        <v>1</v>
      </c>
      <c r="VXJ142" s="108"/>
      <c r="VXK142" s="108"/>
      <c r="VXL142" s="109"/>
      <c r="VXM142" s="107" t="s">
        <v>1</v>
      </c>
      <c r="VXN142" s="108"/>
      <c r="VXO142" s="108"/>
      <c r="VXP142" s="109"/>
      <c r="VXQ142" s="107" t="s">
        <v>1</v>
      </c>
      <c r="VXR142" s="108"/>
      <c r="VXS142" s="108"/>
      <c r="VXT142" s="109"/>
      <c r="VXU142" s="107" t="s">
        <v>1</v>
      </c>
      <c r="VXV142" s="108"/>
      <c r="VXW142" s="108"/>
      <c r="VXX142" s="109"/>
      <c r="VXY142" s="107" t="s">
        <v>1</v>
      </c>
      <c r="VXZ142" s="108"/>
      <c r="VYA142" s="108"/>
      <c r="VYB142" s="109"/>
      <c r="VYC142" s="107" t="s">
        <v>1</v>
      </c>
      <c r="VYD142" s="108"/>
      <c r="VYE142" s="108"/>
      <c r="VYF142" s="109"/>
      <c r="VYG142" s="107" t="s">
        <v>1</v>
      </c>
      <c r="VYH142" s="108"/>
      <c r="VYI142" s="108"/>
      <c r="VYJ142" s="109"/>
      <c r="VYK142" s="107" t="s">
        <v>1</v>
      </c>
      <c r="VYL142" s="108"/>
      <c r="VYM142" s="108"/>
      <c r="VYN142" s="109"/>
      <c r="VYO142" s="107" t="s">
        <v>1</v>
      </c>
      <c r="VYP142" s="108"/>
      <c r="VYQ142" s="108"/>
      <c r="VYR142" s="109"/>
      <c r="VYS142" s="107" t="s">
        <v>1</v>
      </c>
      <c r="VYT142" s="108"/>
      <c r="VYU142" s="108"/>
      <c r="VYV142" s="109"/>
      <c r="VYW142" s="107" t="s">
        <v>1</v>
      </c>
      <c r="VYX142" s="108"/>
      <c r="VYY142" s="108"/>
      <c r="VYZ142" s="109"/>
      <c r="VZA142" s="107" t="s">
        <v>1</v>
      </c>
      <c r="VZB142" s="108"/>
      <c r="VZC142" s="108"/>
      <c r="VZD142" s="109"/>
      <c r="VZE142" s="107" t="s">
        <v>1</v>
      </c>
      <c r="VZF142" s="108"/>
      <c r="VZG142" s="108"/>
      <c r="VZH142" s="109"/>
      <c r="VZI142" s="107" t="s">
        <v>1</v>
      </c>
      <c r="VZJ142" s="108"/>
      <c r="VZK142" s="108"/>
      <c r="VZL142" s="109"/>
      <c r="VZM142" s="107" t="s">
        <v>1</v>
      </c>
      <c r="VZN142" s="108"/>
      <c r="VZO142" s="108"/>
      <c r="VZP142" s="109"/>
      <c r="VZQ142" s="107" t="s">
        <v>1</v>
      </c>
      <c r="VZR142" s="108"/>
      <c r="VZS142" s="108"/>
      <c r="VZT142" s="109"/>
      <c r="VZU142" s="107" t="s">
        <v>1</v>
      </c>
      <c r="VZV142" s="108"/>
      <c r="VZW142" s="108"/>
      <c r="VZX142" s="109"/>
      <c r="VZY142" s="107" t="s">
        <v>1</v>
      </c>
      <c r="VZZ142" s="108"/>
      <c r="WAA142" s="108"/>
      <c r="WAB142" s="109"/>
      <c r="WAC142" s="107" t="s">
        <v>1</v>
      </c>
      <c r="WAD142" s="108"/>
      <c r="WAE142" s="108"/>
      <c r="WAF142" s="109"/>
      <c r="WAG142" s="107" t="s">
        <v>1</v>
      </c>
      <c r="WAH142" s="108"/>
      <c r="WAI142" s="108"/>
      <c r="WAJ142" s="109"/>
      <c r="WAK142" s="107" t="s">
        <v>1</v>
      </c>
      <c r="WAL142" s="108"/>
      <c r="WAM142" s="108"/>
      <c r="WAN142" s="109"/>
      <c r="WAO142" s="107" t="s">
        <v>1</v>
      </c>
      <c r="WAP142" s="108"/>
      <c r="WAQ142" s="108"/>
      <c r="WAR142" s="109"/>
      <c r="WAS142" s="107" t="s">
        <v>1</v>
      </c>
      <c r="WAT142" s="108"/>
      <c r="WAU142" s="108"/>
      <c r="WAV142" s="109"/>
      <c r="WAW142" s="107" t="s">
        <v>1</v>
      </c>
      <c r="WAX142" s="108"/>
      <c r="WAY142" s="108"/>
      <c r="WAZ142" s="109"/>
      <c r="WBA142" s="107" t="s">
        <v>1</v>
      </c>
      <c r="WBB142" s="108"/>
      <c r="WBC142" s="108"/>
      <c r="WBD142" s="109"/>
      <c r="WBE142" s="107" t="s">
        <v>1</v>
      </c>
      <c r="WBF142" s="108"/>
      <c r="WBG142" s="108"/>
      <c r="WBH142" s="109"/>
      <c r="WBI142" s="107" t="s">
        <v>1</v>
      </c>
      <c r="WBJ142" s="108"/>
      <c r="WBK142" s="108"/>
      <c r="WBL142" s="109"/>
      <c r="WBM142" s="107" t="s">
        <v>1</v>
      </c>
      <c r="WBN142" s="108"/>
      <c r="WBO142" s="108"/>
      <c r="WBP142" s="109"/>
      <c r="WBQ142" s="107" t="s">
        <v>1</v>
      </c>
      <c r="WBR142" s="108"/>
      <c r="WBS142" s="108"/>
      <c r="WBT142" s="109"/>
      <c r="WBU142" s="107" t="s">
        <v>1</v>
      </c>
      <c r="WBV142" s="108"/>
      <c r="WBW142" s="108"/>
      <c r="WBX142" s="109"/>
      <c r="WBY142" s="107" t="s">
        <v>1</v>
      </c>
      <c r="WBZ142" s="108"/>
      <c r="WCA142" s="108"/>
      <c r="WCB142" s="109"/>
      <c r="WCC142" s="107" t="s">
        <v>1</v>
      </c>
      <c r="WCD142" s="108"/>
      <c r="WCE142" s="108"/>
      <c r="WCF142" s="109"/>
      <c r="WCG142" s="107" t="s">
        <v>1</v>
      </c>
      <c r="WCH142" s="108"/>
      <c r="WCI142" s="108"/>
      <c r="WCJ142" s="109"/>
      <c r="WCK142" s="107" t="s">
        <v>1</v>
      </c>
      <c r="WCL142" s="108"/>
      <c r="WCM142" s="108"/>
      <c r="WCN142" s="109"/>
      <c r="WCO142" s="107" t="s">
        <v>1</v>
      </c>
      <c r="WCP142" s="108"/>
      <c r="WCQ142" s="108"/>
      <c r="WCR142" s="109"/>
      <c r="WCS142" s="107" t="s">
        <v>1</v>
      </c>
      <c r="WCT142" s="108"/>
      <c r="WCU142" s="108"/>
      <c r="WCV142" s="109"/>
      <c r="WCW142" s="107" t="s">
        <v>1</v>
      </c>
      <c r="WCX142" s="108"/>
      <c r="WCY142" s="108"/>
      <c r="WCZ142" s="109"/>
      <c r="WDA142" s="107" t="s">
        <v>1</v>
      </c>
      <c r="WDB142" s="108"/>
      <c r="WDC142" s="108"/>
      <c r="WDD142" s="109"/>
      <c r="WDE142" s="107" t="s">
        <v>1</v>
      </c>
      <c r="WDF142" s="108"/>
      <c r="WDG142" s="108"/>
      <c r="WDH142" s="109"/>
      <c r="WDI142" s="107" t="s">
        <v>1</v>
      </c>
      <c r="WDJ142" s="108"/>
      <c r="WDK142" s="108"/>
      <c r="WDL142" s="109"/>
      <c r="WDM142" s="107" t="s">
        <v>1</v>
      </c>
      <c r="WDN142" s="108"/>
      <c r="WDO142" s="108"/>
      <c r="WDP142" s="109"/>
      <c r="WDQ142" s="107" t="s">
        <v>1</v>
      </c>
      <c r="WDR142" s="108"/>
      <c r="WDS142" s="108"/>
      <c r="WDT142" s="109"/>
      <c r="WDU142" s="107" t="s">
        <v>1</v>
      </c>
      <c r="WDV142" s="108"/>
      <c r="WDW142" s="108"/>
      <c r="WDX142" s="109"/>
      <c r="WDY142" s="107" t="s">
        <v>1</v>
      </c>
      <c r="WDZ142" s="108"/>
      <c r="WEA142" s="108"/>
      <c r="WEB142" s="109"/>
      <c r="WEC142" s="107" t="s">
        <v>1</v>
      </c>
      <c r="WED142" s="108"/>
      <c r="WEE142" s="108"/>
      <c r="WEF142" s="109"/>
      <c r="WEG142" s="107" t="s">
        <v>1</v>
      </c>
      <c r="WEH142" s="108"/>
      <c r="WEI142" s="108"/>
      <c r="WEJ142" s="109"/>
      <c r="WEK142" s="107" t="s">
        <v>1</v>
      </c>
      <c r="WEL142" s="108"/>
      <c r="WEM142" s="108"/>
      <c r="WEN142" s="109"/>
      <c r="WEO142" s="107" t="s">
        <v>1</v>
      </c>
      <c r="WEP142" s="108"/>
      <c r="WEQ142" s="108"/>
      <c r="WER142" s="109"/>
      <c r="WES142" s="107" t="s">
        <v>1</v>
      </c>
      <c r="WET142" s="108"/>
      <c r="WEU142" s="108"/>
      <c r="WEV142" s="109"/>
      <c r="WEW142" s="107" t="s">
        <v>1</v>
      </c>
      <c r="WEX142" s="108"/>
      <c r="WEY142" s="108"/>
      <c r="WEZ142" s="109"/>
      <c r="WFA142" s="107" t="s">
        <v>1</v>
      </c>
      <c r="WFB142" s="108"/>
      <c r="WFC142" s="108"/>
      <c r="WFD142" s="109"/>
      <c r="WFE142" s="107" t="s">
        <v>1</v>
      </c>
      <c r="WFF142" s="108"/>
      <c r="WFG142" s="108"/>
      <c r="WFH142" s="109"/>
      <c r="WFI142" s="107" t="s">
        <v>1</v>
      </c>
      <c r="WFJ142" s="108"/>
      <c r="WFK142" s="108"/>
      <c r="WFL142" s="109"/>
      <c r="WFM142" s="107" t="s">
        <v>1</v>
      </c>
      <c r="WFN142" s="108"/>
      <c r="WFO142" s="108"/>
      <c r="WFP142" s="109"/>
      <c r="WFQ142" s="107" t="s">
        <v>1</v>
      </c>
      <c r="WFR142" s="108"/>
      <c r="WFS142" s="108"/>
      <c r="WFT142" s="109"/>
      <c r="WFU142" s="107" t="s">
        <v>1</v>
      </c>
      <c r="WFV142" s="108"/>
      <c r="WFW142" s="108"/>
      <c r="WFX142" s="109"/>
      <c r="WFY142" s="107" t="s">
        <v>1</v>
      </c>
      <c r="WFZ142" s="108"/>
      <c r="WGA142" s="108"/>
      <c r="WGB142" s="109"/>
      <c r="WGC142" s="107" t="s">
        <v>1</v>
      </c>
      <c r="WGD142" s="108"/>
      <c r="WGE142" s="108"/>
      <c r="WGF142" s="109"/>
      <c r="WGG142" s="107" t="s">
        <v>1</v>
      </c>
      <c r="WGH142" s="108"/>
      <c r="WGI142" s="108"/>
      <c r="WGJ142" s="109"/>
      <c r="WGK142" s="107" t="s">
        <v>1</v>
      </c>
      <c r="WGL142" s="108"/>
      <c r="WGM142" s="108"/>
      <c r="WGN142" s="109"/>
      <c r="WGO142" s="107" t="s">
        <v>1</v>
      </c>
      <c r="WGP142" s="108"/>
      <c r="WGQ142" s="108"/>
      <c r="WGR142" s="109"/>
      <c r="WGS142" s="107" t="s">
        <v>1</v>
      </c>
      <c r="WGT142" s="108"/>
      <c r="WGU142" s="108"/>
      <c r="WGV142" s="109"/>
      <c r="WGW142" s="107" t="s">
        <v>1</v>
      </c>
      <c r="WGX142" s="108"/>
      <c r="WGY142" s="108"/>
      <c r="WGZ142" s="109"/>
      <c r="WHA142" s="107" t="s">
        <v>1</v>
      </c>
      <c r="WHB142" s="108"/>
      <c r="WHC142" s="108"/>
      <c r="WHD142" s="109"/>
      <c r="WHE142" s="107" t="s">
        <v>1</v>
      </c>
      <c r="WHF142" s="108"/>
      <c r="WHG142" s="108"/>
      <c r="WHH142" s="109"/>
      <c r="WHI142" s="107" t="s">
        <v>1</v>
      </c>
      <c r="WHJ142" s="108"/>
      <c r="WHK142" s="108"/>
      <c r="WHL142" s="109"/>
      <c r="WHM142" s="107" t="s">
        <v>1</v>
      </c>
      <c r="WHN142" s="108"/>
      <c r="WHO142" s="108"/>
      <c r="WHP142" s="109"/>
      <c r="WHQ142" s="107" t="s">
        <v>1</v>
      </c>
      <c r="WHR142" s="108"/>
      <c r="WHS142" s="108"/>
      <c r="WHT142" s="109"/>
      <c r="WHU142" s="107" t="s">
        <v>1</v>
      </c>
      <c r="WHV142" s="108"/>
      <c r="WHW142" s="108"/>
      <c r="WHX142" s="109"/>
      <c r="WHY142" s="107" t="s">
        <v>1</v>
      </c>
      <c r="WHZ142" s="108"/>
      <c r="WIA142" s="108"/>
      <c r="WIB142" s="109"/>
      <c r="WIC142" s="107" t="s">
        <v>1</v>
      </c>
      <c r="WID142" s="108"/>
      <c r="WIE142" s="108"/>
      <c r="WIF142" s="109"/>
      <c r="WIG142" s="107" t="s">
        <v>1</v>
      </c>
      <c r="WIH142" s="108"/>
      <c r="WII142" s="108"/>
      <c r="WIJ142" s="109"/>
      <c r="WIK142" s="107" t="s">
        <v>1</v>
      </c>
      <c r="WIL142" s="108"/>
      <c r="WIM142" s="108"/>
      <c r="WIN142" s="109"/>
      <c r="WIO142" s="107" t="s">
        <v>1</v>
      </c>
      <c r="WIP142" s="108"/>
      <c r="WIQ142" s="108"/>
      <c r="WIR142" s="109"/>
      <c r="WIS142" s="107" t="s">
        <v>1</v>
      </c>
      <c r="WIT142" s="108"/>
      <c r="WIU142" s="108"/>
      <c r="WIV142" s="109"/>
      <c r="WIW142" s="107" t="s">
        <v>1</v>
      </c>
      <c r="WIX142" s="108"/>
      <c r="WIY142" s="108"/>
      <c r="WIZ142" s="109"/>
      <c r="WJA142" s="107" t="s">
        <v>1</v>
      </c>
      <c r="WJB142" s="108"/>
      <c r="WJC142" s="108"/>
      <c r="WJD142" s="109"/>
      <c r="WJE142" s="107" t="s">
        <v>1</v>
      </c>
      <c r="WJF142" s="108"/>
      <c r="WJG142" s="108"/>
      <c r="WJH142" s="109"/>
      <c r="WJI142" s="107" t="s">
        <v>1</v>
      </c>
      <c r="WJJ142" s="108"/>
      <c r="WJK142" s="108"/>
      <c r="WJL142" s="109"/>
      <c r="WJM142" s="107" t="s">
        <v>1</v>
      </c>
      <c r="WJN142" s="108"/>
      <c r="WJO142" s="108"/>
      <c r="WJP142" s="109"/>
      <c r="WJQ142" s="107" t="s">
        <v>1</v>
      </c>
      <c r="WJR142" s="108"/>
      <c r="WJS142" s="108"/>
      <c r="WJT142" s="109"/>
      <c r="WJU142" s="107" t="s">
        <v>1</v>
      </c>
      <c r="WJV142" s="108"/>
      <c r="WJW142" s="108"/>
      <c r="WJX142" s="109"/>
      <c r="WJY142" s="107" t="s">
        <v>1</v>
      </c>
      <c r="WJZ142" s="108"/>
      <c r="WKA142" s="108"/>
      <c r="WKB142" s="109"/>
      <c r="WKC142" s="107" t="s">
        <v>1</v>
      </c>
      <c r="WKD142" s="108"/>
      <c r="WKE142" s="108"/>
      <c r="WKF142" s="109"/>
      <c r="WKG142" s="107" t="s">
        <v>1</v>
      </c>
      <c r="WKH142" s="108"/>
      <c r="WKI142" s="108"/>
      <c r="WKJ142" s="109"/>
      <c r="WKK142" s="107" t="s">
        <v>1</v>
      </c>
      <c r="WKL142" s="108"/>
      <c r="WKM142" s="108"/>
      <c r="WKN142" s="109"/>
      <c r="WKO142" s="107" t="s">
        <v>1</v>
      </c>
      <c r="WKP142" s="108"/>
      <c r="WKQ142" s="108"/>
      <c r="WKR142" s="109"/>
      <c r="WKS142" s="107" t="s">
        <v>1</v>
      </c>
      <c r="WKT142" s="108"/>
      <c r="WKU142" s="108"/>
      <c r="WKV142" s="109"/>
      <c r="WKW142" s="107" t="s">
        <v>1</v>
      </c>
      <c r="WKX142" s="108"/>
      <c r="WKY142" s="108"/>
      <c r="WKZ142" s="109"/>
      <c r="WLA142" s="107" t="s">
        <v>1</v>
      </c>
      <c r="WLB142" s="108"/>
      <c r="WLC142" s="108"/>
      <c r="WLD142" s="109"/>
      <c r="WLE142" s="107" t="s">
        <v>1</v>
      </c>
      <c r="WLF142" s="108"/>
      <c r="WLG142" s="108"/>
      <c r="WLH142" s="109"/>
      <c r="WLI142" s="107" t="s">
        <v>1</v>
      </c>
      <c r="WLJ142" s="108"/>
      <c r="WLK142" s="108"/>
      <c r="WLL142" s="109"/>
      <c r="WLM142" s="107" t="s">
        <v>1</v>
      </c>
      <c r="WLN142" s="108"/>
      <c r="WLO142" s="108"/>
      <c r="WLP142" s="109"/>
      <c r="WLQ142" s="107" t="s">
        <v>1</v>
      </c>
      <c r="WLR142" s="108"/>
      <c r="WLS142" s="108"/>
      <c r="WLT142" s="109"/>
      <c r="WLU142" s="107" t="s">
        <v>1</v>
      </c>
      <c r="WLV142" s="108"/>
      <c r="WLW142" s="108"/>
      <c r="WLX142" s="109"/>
      <c r="WLY142" s="107" t="s">
        <v>1</v>
      </c>
      <c r="WLZ142" s="108"/>
      <c r="WMA142" s="108"/>
      <c r="WMB142" s="109"/>
      <c r="WMC142" s="107" t="s">
        <v>1</v>
      </c>
      <c r="WMD142" s="108"/>
      <c r="WME142" s="108"/>
      <c r="WMF142" s="109"/>
      <c r="WMG142" s="107" t="s">
        <v>1</v>
      </c>
      <c r="WMH142" s="108"/>
      <c r="WMI142" s="108"/>
      <c r="WMJ142" s="109"/>
      <c r="WMK142" s="107" t="s">
        <v>1</v>
      </c>
      <c r="WML142" s="108"/>
      <c r="WMM142" s="108"/>
      <c r="WMN142" s="109"/>
      <c r="WMO142" s="107" t="s">
        <v>1</v>
      </c>
      <c r="WMP142" s="108"/>
      <c r="WMQ142" s="108"/>
      <c r="WMR142" s="109"/>
      <c r="WMS142" s="107" t="s">
        <v>1</v>
      </c>
      <c r="WMT142" s="108"/>
      <c r="WMU142" s="108"/>
      <c r="WMV142" s="109"/>
      <c r="WMW142" s="107" t="s">
        <v>1</v>
      </c>
      <c r="WMX142" s="108"/>
      <c r="WMY142" s="108"/>
      <c r="WMZ142" s="109"/>
      <c r="WNA142" s="107" t="s">
        <v>1</v>
      </c>
      <c r="WNB142" s="108"/>
      <c r="WNC142" s="108"/>
      <c r="WND142" s="109"/>
      <c r="WNE142" s="107" t="s">
        <v>1</v>
      </c>
      <c r="WNF142" s="108"/>
      <c r="WNG142" s="108"/>
      <c r="WNH142" s="109"/>
      <c r="WNI142" s="107" t="s">
        <v>1</v>
      </c>
      <c r="WNJ142" s="108"/>
      <c r="WNK142" s="108"/>
      <c r="WNL142" s="109"/>
      <c r="WNM142" s="107" t="s">
        <v>1</v>
      </c>
      <c r="WNN142" s="108"/>
      <c r="WNO142" s="108"/>
      <c r="WNP142" s="109"/>
      <c r="WNQ142" s="107" t="s">
        <v>1</v>
      </c>
      <c r="WNR142" s="108"/>
      <c r="WNS142" s="108"/>
      <c r="WNT142" s="109"/>
      <c r="WNU142" s="107" t="s">
        <v>1</v>
      </c>
      <c r="WNV142" s="108"/>
      <c r="WNW142" s="108"/>
      <c r="WNX142" s="109"/>
      <c r="WNY142" s="107" t="s">
        <v>1</v>
      </c>
      <c r="WNZ142" s="108"/>
      <c r="WOA142" s="108"/>
      <c r="WOB142" s="109"/>
      <c r="WOC142" s="107" t="s">
        <v>1</v>
      </c>
      <c r="WOD142" s="108"/>
      <c r="WOE142" s="108"/>
      <c r="WOF142" s="109"/>
      <c r="WOG142" s="107" t="s">
        <v>1</v>
      </c>
      <c r="WOH142" s="108"/>
      <c r="WOI142" s="108"/>
      <c r="WOJ142" s="109"/>
      <c r="WOK142" s="107" t="s">
        <v>1</v>
      </c>
      <c r="WOL142" s="108"/>
      <c r="WOM142" s="108"/>
      <c r="WON142" s="109"/>
      <c r="WOO142" s="107" t="s">
        <v>1</v>
      </c>
      <c r="WOP142" s="108"/>
      <c r="WOQ142" s="108"/>
      <c r="WOR142" s="109"/>
      <c r="WOS142" s="107" t="s">
        <v>1</v>
      </c>
      <c r="WOT142" s="108"/>
      <c r="WOU142" s="108"/>
      <c r="WOV142" s="109"/>
      <c r="WOW142" s="107" t="s">
        <v>1</v>
      </c>
      <c r="WOX142" s="108"/>
      <c r="WOY142" s="108"/>
      <c r="WOZ142" s="109"/>
      <c r="WPA142" s="107" t="s">
        <v>1</v>
      </c>
      <c r="WPB142" s="108"/>
      <c r="WPC142" s="108"/>
      <c r="WPD142" s="109"/>
      <c r="WPE142" s="107" t="s">
        <v>1</v>
      </c>
      <c r="WPF142" s="108"/>
      <c r="WPG142" s="108"/>
      <c r="WPH142" s="109"/>
      <c r="WPI142" s="107" t="s">
        <v>1</v>
      </c>
      <c r="WPJ142" s="108"/>
      <c r="WPK142" s="108"/>
      <c r="WPL142" s="109"/>
      <c r="WPM142" s="107" t="s">
        <v>1</v>
      </c>
      <c r="WPN142" s="108"/>
      <c r="WPO142" s="108"/>
      <c r="WPP142" s="109"/>
      <c r="WPQ142" s="107" t="s">
        <v>1</v>
      </c>
      <c r="WPR142" s="108"/>
      <c r="WPS142" s="108"/>
      <c r="WPT142" s="109"/>
      <c r="WPU142" s="107" t="s">
        <v>1</v>
      </c>
      <c r="WPV142" s="108"/>
      <c r="WPW142" s="108"/>
      <c r="WPX142" s="109"/>
      <c r="WPY142" s="107" t="s">
        <v>1</v>
      </c>
      <c r="WPZ142" s="108"/>
      <c r="WQA142" s="108"/>
      <c r="WQB142" s="109"/>
      <c r="WQC142" s="107" t="s">
        <v>1</v>
      </c>
      <c r="WQD142" s="108"/>
      <c r="WQE142" s="108"/>
      <c r="WQF142" s="109"/>
      <c r="WQG142" s="107" t="s">
        <v>1</v>
      </c>
      <c r="WQH142" s="108"/>
      <c r="WQI142" s="108"/>
      <c r="WQJ142" s="109"/>
      <c r="WQK142" s="107" t="s">
        <v>1</v>
      </c>
      <c r="WQL142" s="108"/>
      <c r="WQM142" s="108"/>
      <c r="WQN142" s="109"/>
      <c r="WQO142" s="107" t="s">
        <v>1</v>
      </c>
      <c r="WQP142" s="108"/>
      <c r="WQQ142" s="108"/>
      <c r="WQR142" s="109"/>
      <c r="WQS142" s="107" t="s">
        <v>1</v>
      </c>
      <c r="WQT142" s="108"/>
      <c r="WQU142" s="108"/>
      <c r="WQV142" s="109"/>
      <c r="WQW142" s="107" t="s">
        <v>1</v>
      </c>
      <c r="WQX142" s="108"/>
      <c r="WQY142" s="108"/>
      <c r="WQZ142" s="109"/>
      <c r="WRA142" s="107" t="s">
        <v>1</v>
      </c>
      <c r="WRB142" s="108"/>
      <c r="WRC142" s="108"/>
      <c r="WRD142" s="109"/>
      <c r="WRE142" s="107" t="s">
        <v>1</v>
      </c>
      <c r="WRF142" s="108"/>
      <c r="WRG142" s="108"/>
      <c r="WRH142" s="109"/>
      <c r="WRI142" s="107" t="s">
        <v>1</v>
      </c>
      <c r="WRJ142" s="108"/>
      <c r="WRK142" s="108"/>
      <c r="WRL142" s="109"/>
      <c r="WRM142" s="107" t="s">
        <v>1</v>
      </c>
      <c r="WRN142" s="108"/>
      <c r="WRO142" s="108"/>
      <c r="WRP142" s="109"/>
      <c r="WRQ142" s="107" t="s">
        <v>1</v>
      </c>
      <c r="WRR142" s="108"/>
      <c r="WRS142" s="108"/>
      <c r="WRT142" s="109"/>
      <c r="WRU142" s="107" t="s">
        <v>1</v>
      </c>
      <c r="WRV142" s="108"/>
      <c r="WRW142" s="108"/>
      <c r="WRX142" s="109"/>
      <c r="WRY142" s="107" t="s">
        <v>1</v>
      </c>
      <c r="WRZ142" s="108"/>
      <c r="WSA142" s="108"/>
      <c r="WSB142" s="109"/>
      <c r="WSC142" s="107" t="s">
        <v>1</v>
      </c>
      <c r="WSD142" s="108"/>
      <c r="WSE142" s="108"/>
      <c r="WSF142" s="109"/>
      <c r="WSG142" s="107" t="s">
        <v>1</v>
      </c>
      <c r="WSH142" s="108"/>
      <c r="WSI142" s="108"/>
      <c r="WSJ142" s="109"/>
      <c r="WSK142" s="107" t="s">
        <v>1</v>
      </c>
      <c r="WSL142" s="108"/>
      <c r="WSM142" s="108"/>
      <c r="WSN142" s="109"/>
      <c r="WSO142" s="107" t="s">
        <v>1</v>
      </c>
      <c r="WSP142" s="108"/>
      <c r="WSQ142" s="108"/>
      <c r="WSR142" s="109"/>
      <c r="WSS142" s="107" t="s">
        <v>1</v>
      </c>
      <c r="WST142" s="108"/>
      <c r="WSU142" s="108"/>
      <c r="WSV142" s="109"/>
      <c r="WSW142" s="107" t="s">
        <v>1</v>
      </c>
      <c r="WSX142" s="108"/>
      <c r="WSY142" s="108"/>
      <c r="WSZ142" s="109"/>
      <c r="WTA142" s="107" t="s">
        <v>1</v>
      </c>
      <c r="WTB142" s="108"/>
      <c r="WTC142" s="108"/>
      <c r="WTD142" s="109"/>
      <c r="WTE142" s="107" t="s">
        <v>1</v>
      </c>
      <c r="WTF142" s="108"/>
      <c r="WTG142" s="108"/>
      <c r="WTH142" s="109"/>
      <c r="WTI142" s="107" t="s">
        <v>1</v>
      </c>
      <c r="WTJ142" s="108"/>
      <c r="WTK142" s="108"/>
      <c r="WTL142" s="109"/>
      <c r="WTM142" s="107" t="s">
        <v>1</v>
      </c>
      <c r="WTN142" s="108"/>
      <c r="WTO142" s="108"/>
      <c r="WTP142" s="109"/>
      <c r="WTQ142" s="107" t="s">
        <v>1</v>
      </c>
      <c r="WTR142" s="108"/>
      <c r="WTS142" s="108"/>
      <c r="WTT142" s="109"/>
      <c r="WTU142" s="107" t="s">
        <v>1</v>
      </c>
      <c r="WTV142" s="108"/>
      <c r="WTW142" s="108"/>
      <c r="WTX142" s="109"/>
      <c r="WTY142" s="107" t="s">
        <v>1</v>
      </c>
      <c r="WTZ142" s="108"/>
      <c r="WUA142" s="108"/>
      <c r="WUB142" s="109"/>
      <c r="WUC142" s="107" t="s">
        <v>1</v>
      </c>
      <c r="WUD142" s="108"/>
      <c r="WUE142" s="108"/>
      <c r="WUF142" s="109"/>
      <c r="WUG142" s="107" t="s">
        <v>1</v>
      </c>
      <c r="WUH142" s="108"/>
      <c r="WUI142" s="108"/>
      <c r="WUJ142" s="109"/>
      <c r="WUK142" s="107" t="s">
        <v>1</v>
      </c>
      <c r="WUL142" s="108"/>
      <c r="WUM142" s="108"/>
      <c r="WUN142" s="109"/>
      <c r="WUO142" s="107" t="s">
        <v>1</v>
      </c>
      <c r="WUP142" s="108"/>
      <c r="WUQ142" s="108"/>
      <c r="WUR142" s="109"/>
      <c r="WUS142" s="107" t="s">
        <v>1</v>
      </c>
      <c r="WUT142" s="108"/>
      <c r="WUU142" s="108"/>
      <c r="WUV142" s="109"/>
      <c r="WUW142" s="107" t="s">
        <v>1</v>
      </c>
      <c r="WUX142" s="108"/>
      <c r="WUY142" s="108"/>
      <c r="WUZ142" s="109"/>
      <c r="WVA142" s="107" t="s">
        <v>1</v>
      </c>
      <c r="WVB142" s="108"/>
      <c r="WVC142" s="108"/>
      <c r="WVD142" s="109"/>
      <c r="WVE142" s="107" t="s">
        <v>1</v>
      </c>
      <c r="WVF142" s="108"/>
      <c r="WVG142" s="108"/>
      <c r="WVH142" s="109"/>
      <c r="WVI142" s="107" t="s">
        <v>1</v>
      </c>
      <c r="WVJ142" s="108"/>
      <c r="WVK142" s="108"/>
      <c r="WVL142" s="109"/>
      <c r="WVM142" s="107" t="s">
        <v>1</v>
      </c>
      <c r="WVN142" s="108"/>
      <c r="WVO142" s="108"/>
      <c r="WVP142" s="109"/>
      <c r="WVQ142" s="107" t="s">
        <v>1</v>
      </c>
      <c r="WVR142" s="108"/>
      <c r="WVS142" s="108"/>
      <c r="WVT142" s="109"/>
      <c r="WVU142" s="107" t="s">
        <v>1</v>
      </c>
      <c r="WVV142" s="108"/>
      <c r="WVW142" s="108"/>
      <c r="WVX142" s="109"/>
      <c r="WVY142" s="107" t="s">
        <v>1</v>
      </c>
      <c r="WVZ142" s="108"/>
      <c r="WWA142" s="108"/>
      <c r="WWB142" s="109"/>
      <c r="WWC142" s="107" t="s">
        <v>1</v>
      </c>
      <c r="WWD142" s="108"/>
      <c r="WWE142" s="108"/>
      <c r="WWF142" s="109"/>
      <c r="WWG142" s="107" t="s">
        <v>1</v>
      </c>
      <c r="WWH142" s="108"/>
      <c r="WWI142" s="108"/>
      <c r="WWJ142" s="109"/>
      <c r="WWK142" s="107" t="s">
        <v>1</v>
      </c>
      <c r="WWL142" s="108"/>
      <c r="WWM142" s="108"/>
      <c r="WWN142" s="109"/>
      <c r="WWO142" s="107" t="s">
        <v>1</v>
      </c>
      <c r="WWP142" s="108"/>
      <c r="WWQ142" s="108"/>
      <c r="WWR142" s="109"/>
      <c r="WWS142" s="107" t="s">
        <v>1</v>
      </c>
      <c r="WWT142" s="108"/>
      <c r="WWU142" s="108"/>
      <c r="WWV142" s="109"/>
      <c r="WWW142" s="107" t="s">
        <v>1</v>
      </c>
      <c r="WWX142" s="108"/>
      <c r="WWY142" s="108"/>
      <c r="WWZ142" s="109"/>
      <c r="WXA142" s="107" t="s">
        <v>1</v>
      </c>
      <c r="WXB142" s="108"/>
      <c r="WXC142" s="108"/>
      <c r="WXD142" s="109"/>
      <c r="WXE142" s="107" t="s">
        <v>1</v>
      </c>
      <c r="WXF142" s="108"/>
      <c r="WXG142" s="108"/>
      <c r="WXH142" s="109"/>
      <c r="WXI142" s="107" t="s">
        <v>1</v>
      </c>
      <c r="WXJ142" s="108"/>
      <c r="WXK142" s="108"/>
      <c r="WXL142" s="109"/>
      <c r="WXM142" s="107" t="s">
        <v>1</v>
      </c>
      <c r="WXN142" s="108"/>
      <c r="WXO142" s="108"/>
      <c r="WXP142" s="109"/>
      <c r="WXQ142" s="107" t="s">
        <v>1</v>
      </c>
      <c r="WXR142" s="108"/>
      <c r="WXS142" s="108"/>
      <c r="WXT142" s="109"/>
      <c r="WXU142" s="107" t="s">
        <v>1</v>
      </c>
      <c r="WXV142" s="108"/>
      <c r="WXW142" s="108"/>
      <c r="WXX142" s="109"/>
      <c r="WXY142" s="107" t="s">
        <v>1</v>
      </c>
      <c r="WXZ142" s="108"/>
      <c r="WYA142" s="108"/>
      <c r="WYB142" s="109"/>
      <c r="WYC142" s="107" t="s">
        <v>1</v>
      </c>
      <c r="WYD142" s="108"/>
      <c r="WYE142" s="108"/>
      <c r="WYF142" s="109"/>
      <c r="WYG142" s="107" t="s">
        <v>1</v>
      </c>
      <c r="WYH142" s="108"/>
      <c r="WYI142" s="108"/>
      <c r="WYJ142" s="109"/>
      <c r="WYK142" s="107" t="s">
        <v>1</v>
      </c>
      <c r="WYL142" s="108"/>
      <c r="WYM142" s="108"/>
      <c r="WYN142" s="109"/>
      <c r="WYO142" s="107" t="s">
        <v>1</v>
      </c>
      <c r="WYP142" s="108"/>
      <c r="WYQ142" s="108"/>
      <c r="WYR142" s="109"/>
      <c r="WYS142" s="107" t="s">
        <v>1</v>
      </c>
      <c r="WYT142" s="108"/>
      <c r="WYU142" s="108"/>
      <c r="WYV142" s="109"/>
      <c r="WYW142" s="107" t="s">
        <v>1</v>
      </c>
      <c r="WYX142" s="108"/>
      <c r="WYY142" s="108"/>
      <c r="WYZ142" s="109"/>
      <c r="WZA142" s="107" t="s">
        <v>1</v>
      </c>
      <c r="WZB142" s="108"/>
      <c r="WZC142" s="108"/>
      <c r="WZD142" s="109"/>
      <c r="WZE142" s="107" t="s">
        <v>1</v>
      </c>
      <c r="WZF142" s="108"/>
      <c r="WZG142" s="108"/>
      <c r="WZH142" s="109"/>
      <c r="WZI142" s="107" t="s">
        <v>1</v>
      </c>
      <c r="WZJ142" s="108"/>
      <c r="WZK142" s="108"/>
      <c r="WZL142" s="109"/>
      <c r="WZM142" s="107" t="s">
        <v>1</v>
      </c>
      <c r="WZN142" s="108"/>
      <c r="WZO142" s="108"/>
      <c r="WZP142" s="109"/>
      <c r="WZQ142" s="107" t="s">
        <v>1</v>
      </c>
      <c r="WZR142" s="108"/>
      <c r="WZS142" s="108"/>
      <c r="WZT142" s="109"/>
      <c r="WZU142" s="107" t="s">
        <v>1</v>
      </c>
      <c r="WZV142" s="108"/>
      <c r="WZW142" s="108"/>
      <c r="WZX142" s="109"/>
      <c r="WZY142" s="107" t="s">
        <v>1</v>
      </c>
      <c r="WZZ142" s="108"/>
      <c r="XAA142" s="108"/>
      <c r="XAB142" s="109"/>
      <c r="XAC142" s="107" t="s">
        <v>1</v>
      </c>
      <c r="XAD142" s="108"/>
      <c r="XAE142" s="108"/>
      <c r="XAF142" s="109"/>
      <c r="XAG142" s="107" t="s">
        <v>1</v>
      </c>
      <c r="XAH142" s="108"/>
      <c r="XAI142" s="108"/>
      <c r="XAJ142" s="109"/>
      <c r="XAK142" s="107" t="s">
        <v>1</v>
      </c>
      <c r="XAL142" s="108"/>
      <c r="XAM142" s="108"/>
      <c r="XAN142" s="109"/>
      <c r="XAO142" s="107" t="s">
        <v>1</v>
      </c>
      <c r="XAP142" s="108"/>
      <c r="XAQ142" s="108"/>
      <c r="XAR142" s="109"/>
      <c r="XAS142" s="107" t="s">
        <v>1</v>
      </c>
      <c r="XAT142" s="108"/>
      <c r="XAU142" s="108"/>
      <c r="XAV142" s="109"/>
      <c r="XAW142" s="107" t="s">
        <v>1</v>
      </c>
      <c r="XAX142" s="108"/>
      <c r="XAY142" s="108"/>
      <c r="XAZ142" s="109"/>
      <c r="XBA142" s="107" t="s">
        <v>1</v>
      </c>
      <c r="XBB142" s="108"/>
      <c r="XBC142" s="108"/>
      <c r="XBD142" s="109"/>
      <c r="XBE142" s="107" t="s">
        <v>1</v>
      </c>
      <c r="XBF142" s="108"/>
      <c r="XBG142" s="108"/>
      <c r="XBH142" s="109"/>
      <c r="XBI142" s="107" t="s">
        <v>1</v>
      </c>
      <c r="XBJ142" s="108"/>
      <c r="XBK142" s="108"/>
      <c r="XBL142" s="109"/>
      <c r="XBM142" s="107" t="s">
        <v>1</v>
      </c>
      <c r="XBN142" s="108"/>
      <c r="XBO142" s="108"/>
      <c r="XBP142" s="109"/>
      <c r="XBQ142" s="107" t="s">
        <v>1</v>
      </c>
      <c r="XBR142" s="108"/>
      <c r="XBS142" s="108"/>
      <c r="XBT142" s="109"/>
      <c r="XBU142" s="107" t="s">
        <v>1</v>
      </c>
      <c r="XBV142" s="108"/>
      <c r="XBW142" s="108"/>
      <c r="XBX142" s="109"/>
      <c r="XBY142" s="107" t="s">
        <v>1</v>
      </c>
      <c r="XBZ142" s="108"/>
      <c r="XCA142" s="108"/>
      <c r="XCB142" s="109"/>
      <c r="XCC142" s="107" t="s">
        <v>1</v>
      </c>
      <c r="XCD142" s="108"/>
      <c r="XCE142" s="108"/>
      <c r="XCF142" s="109"/>
      <c r="XCG142" s="107" t="s">
        <v>1</v>
      </c>
      <c r="XCH142" s="108"/>
      <c r="XCI142" s="108"/>
      <c r="XCJ142" s="109"/>
      <c r="XCK142" s="107" t="s">
        <v>1</v>
      </c>
      <c r="XCL142" s="108"/>
      <c r="XCM142" s="108"/>
      <c r="XCN142" s="109"/>
      <c r="XCO142" s="107" t="s">
        <v>1</v>
      </c>
      <c r="XCP142" s="108"/>
      <c r="XCQ142" s="108"/>
      <c r="XCR142" s="109"/>
      <c r="XCS142" s="107" t="s">
        <v>1</v>
      </c>
      <c r="XCT142" s="108"/>
      <c r="XCU142" s="108"/>
      <c r="XCV142" s="109"/>
      <c r="XCW142" s="107" t="s">
        <v>1</v>
      </c>
      <c r="XCX142" s="108"/>
      <c r="XCY142" s="108"/>
      <c r="XCZ142" s="109"/>
      <c r="XDA142" s="107" t="s">
        <v>1</v>
      </c>
      <c r="XDB142" s="108"/>
      <c r="XDC142" s="108"/>
      <c r="XDD142" s="109"/>
      <c r="XDE142" s="107" t="s">
        <v>1</v>
      </c>
      <c r="XDF142" s="108"/>
      <c r="XDG142" s="108"/>
      <c r="XDH142" s="109"/>
      <c r="XDI142" s="107" t="s">
        <v>1</v>
      </c>
      <c r="XDJ142" s="108"/>
      <c r="XDK142" s="108"/>
      <c r="XDL142" s="109"/>
      <c r="XDM142" s="107" t="s">
        <v>1</v>
      </c>
      <c r="XDN142" s="108"/>
      <c r="XDO142" s="108"/>
      <c r="XDP142" s="109"/>
      <c r="XDQ142" s="107" t="s">
        <v>1</v>
      </c>
      <c r="XDR142" s="108"/>
      <c r="XDS142" s="108"/>
      <c r="XDT142" s="109"/>
      <c r="XDU142" s="107" t="s">
        <v>1</v>
      </c>
      <c r="XDV142" s="108"/>
      <c r="XDW142" s="108"/>
      <c r="XDX142" s="109"/>
      <c r="XDY142" s="107" t="s">
        <v>1</v>
      </c>
      <c r="XDZ142" s="108"/>
      <c r="XEA142" s="108"/>
      <c r="XEB142" s="109"/>
      <c r="XEC142" s="107" t="s">
        <v>1</v>
      </c>
      <c r="XED142" s="108"/>
      <c r="XEE142" s="108"/>
      <c r="XEF142" s="109"/>
      <c r="XEG142" s="107" t="s">
        <v>1</v>
      </c>
      <c r="XEH142" s="108"/>
      <c r="XEI142" s="108"/>
      <c r="XEJ142" s="109"/>
      <c r="XEK142" s="107" t="s">
        <v>1</v>
      </c>
      <c r="XEL142" s="108"/>
      <c r="XEM142" s="108"/>
      <c r="XEN142" s="109"/>
      <c r="XEO142" s="107" t="s">
        <v>1</v>
      </c>
      <c r="XEP142" s="108"/>
      <c r="XEQ142" s="108"/>
      <c r="XER142" s="109"/>
      <c r="XES142" s="107" t="s">
        <v>1</v>
      </c>
      <c r="XET142" s="108"/>
      <c r="XEU142" s="108"/>
      <c r="XEV142" s="109"/>
      <c r="XEW142" s="107" t="s">
        <v>1</v>
      </c>
      <c r="XEX142" s="108"/>
      <c r="XEY142" s="108"/>
      <c r="XEZ142" s="109"/>
    </row>
    <row r="143" spans="1:16380" ht="34.5" customHeight="1" x14ac:dyDescent="0.25">
      <c r="A143" s="156" t="s">
        <v>200</v>
      </c>
      <c r="B143" s="157"/>
      <c r="C143" s="157"/>
      <c r="D143" s="158"/>
      <c r="E143" s="32"/>
      <c r="F143" s="32"/>
      <c r="G143" s="32"/>
      <c r="H143" s="32"/>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c r="EL143" s="33"/>
      <c r="EM143" s="33"/>
      <c r="EN143" s="33"/>
      <c r="EO143" s="33"/>
      <c r="EP143" s="33"/>
      <c r="EQ143" s="33"/>
      <c r="ER143" s="33"/>
      <c r="ES143" s="33"/>
      <c r="ET143" s="33"/>
      <c r="EU143" s="33"/>
      <c r="EV143" s="33"/>
      <c r="EW143" s="33"/>
      <c r="EX143" s="33"/>
      <c r="EY143" s="33"/>
      <c r="EZ143" s="33"/>
      <c r="FA143" s="33"/>
      <c r="FB143" s="33"/>
      <c r="FC143" s="33"/>
      <c r="FD143" s="33"/>
      <c r="FE143" s="33"/>
      <c r="FF143" s="33"/>
      <c r="FG143" s="33"/>
      <c r="FH143" s="33"/>
      <c r="FI143" s="33"/>
      <c r="FJ143" s="33"/>
      <c r="FK143" s="33"/>
      <c r="FL143" s="33"/>
      <c r="FM143" s="33"/>
      <c r="FN143" s="33"/>
      <c r="FO143" s="33"/>
      <c r="FP143" s="33"/>
      <c r="FQ143" s="33"/>
      <c r="FR143" s="33"/>
      <c r="FS143" s="33"/>
      <c r="FT143" s="33"/>
      <c r="FU143" s="33"/>
      <c r="FV143" s="33"/>
      <c r="FW143" s="33"/>
      <c r="FX143" s="33"/>
      <c r="FY143" s="33"/>
      <c r="FZ143" s="33"/>
      <c r="GA143" s="33"/>
      <c r="GB143" s="33"/>
      <c r="GC143" s="33"/>
      <c r="GD143" s="33"/>
      <c r="GE143" s="33"/>
      <c r="GF143" s="33"/>
      <c r="GG143" s="33"/>
      <c r="GH143" s="33"/>
      <c r="GI143" s="33"/>
      <c r="GJ143" s="33"/>
      <c r="GK143" s="33"/>
      <c r="GL143" s="33"/>
      <c r="GM143" s="33"/>
      <c r="GN143" s="33"/>
      <c r="GO143" s="33"/>
      <c r="GP143" s="33"/>
      <c r="GQ143" s="33"/>
      <c r="GR143" s="33"/>
      <c r="GS143" s="33"/>
      <c r="GT143" s="33"/>
      <c r="GU143" s="33"/>
      <c r="GV143" s="33"/>
      <c r="GW143" s="33"/>
      <c r="GX143" s="33"/>
      <c r="GY143" s="33"/>
      <c r="GZ143" s="33"/>
      <c r="HA143" s="33"/>
      <c r="HB143" s="33"/>
      <c r="HC143" s="33"/>
      <c r="HD143" s="33"/>
      <c r="HE143" s="33"/>
      <c r="HF143" s="33"/>
      <c r="HG143" s="33"/>
      <c r="HH143" s="33"/>
      <c r="HI143" s="33"/>
      <c r="HJ143" s="33"/>
      <c r="HK143" s="33"/>
      <c r="HL143" s="33"/>
      <c r="HM143" s="33"/>
      <c r="HN143" s="33"/>
      <c r="HO143" s="33"/>
      <c r="HP143" s="33"/>
      <c r="HQ143" s="33"/>
      <c r="HR143" s="33"/>
      <c r="HS143" s="33"/>
      <c r="HT143" s="33"/>
      <c r="HU143" s="33"/>
      <c r="HV143" s="33"/>
      <c r="HW143" s="33"/>
      <c r="HX143" s="33"/>
      <c r="HY143" s="33"/>
      <c r="HZ143" s="33"/>
      <c r="IA143" s="33"/>
      <c r="IB143" s="33"/>
      <c r="IC143" s="33"/>
      <c r="ID143" s="33"/>
      <c r="IE143" s="33"/>
      <c r="IF143" s="33"/>
      <c r="IG143" s="33"/>
      <c r="IH143" s="33"/>
      <c r="II143" s="33"/>
      <c r="IJ143" s="33"/>
      <c r="IK143" s="33"/>
      <c r="IL143" s="33"/>
      <c r="IM143" s="33"/>
      <c r="IN143" s="33"/>
      <c r="IO143" s="33"/>
      <c r="IP143" s="33"/>
      <c r="IQ143" s="33"/>
      <c r="IR143" s="33"/>
      <c r="IS143" s="33"/>
      <c r="IT143" s="33"/>
      <c r="IU143" s="33"/>
      <c r="IV143" s="33"/>
      <c r="IW143" s="33"/>
      <c r="IX143" s="33"/>
      <c r="IY143" s="33"/>
      <c r="IZ143" s="33"/>
      <c r="JA143" s="33"/>
      <c r="JB143" s="33"/>
      <c r="JC143" s="33"/>
      <c r="JD143" s="33"/>
      <c r="JE143" s="33"/>
      <c r="JF143" s="33"/>
      <c r="JG143" s="33"/>
      <c r="JH143" s="33"/>
      <c r="JI143" s="33"/>
      <c r="JJ143" s="33"/>
      <c r="JK143" s="33"/>
      <c r="JL143" s="33"/>
      <c r="JM143" s="33"/>
      <c r="JN143" s="33"/>
      <c r="JO143" s="33"/>
      <c r="JP143" s="33"/>
      <c r="JQ143" s="33"/>
      <c r="JR143" s="33"/>
      <c r="JS143" s="33"/>
      <c r="JT143" s="33"/>
      <c r="JU143" s="33"/>
      <c r="JV143" s="33"/>
      <c r="JW143" s="33"/>
      <c r="JX143" s="33"/>
      <c r="JY143" s="33"/>
      <c r="JZ143" s="33"/>
      <c r="KA143" s="33"/>
      <c r="KB143" s="33"/>
      <c r="KC143" s="33"/>
      <c r="KD143" s="33"/>
      <c r="KE143" s="33"/>
      <c r="KF143" s="33"/>
      <c r="KG143" s="33"/>
      <c r="KH143" s="33"/>
      <c r="KI143" s="33"/>
      <c r="KJ143" s="33"/>
      <c r="KK143" s="33"/>
      <c r="KL143" s="33"/>
      <c r="KM143" s="33"/>
      <c r="KN143" s="33"/>
      <c r="KO143" s="33"/>
      <c r="KP143" s="33"/>
      <c r="KQ143" s="33"/>
      <c r="KR143" s="33"/>
      <c r="KS143" s="33"/>
      <c r="KT143" s="33"/>
      <c r="KU143" s="33"/>
      <c r="KV143" s="33"/>
      <c r="KW143" s="33"/>
      <c r="KX143" s="33"/>
      <c r="KY143" s="33"/>
      <c r="KZ143" s="33"/>
      <c r="LA143" s="33"/>
      <c r="LB143" s="33"/>
      <c r="LC143" s="33"/>
      <c r="LD143" s="33"/>
      <c r="LE143" s="33"/>
      <c r="LF143" s="33"/>
      <c r="LG143" s="33"/>
      <c r="LH143" s="33"/>
      <c r="LI143" s="33"/>
      <c r="LJ143" s="33"/>
      <c r="LK143" s="33"/>
      <c r="LL143" s="33"/>
      <c r="LM143" s="33"/>
      <c r="LN143" s="33"/>
      <c r="LO143" s="33"/>
      <c r="LP143" s="33"/>
      <c r="LQ143" s="33"/>
      <c r="LR143" s="33"/>
      <c r="LS143" s="33"/>
      <c r="LT143" s="33"/>
      <c r="LU143" s="33"/>
      <c r="LV143" s="33"/>
      <c r="LW143" s="33"/>
      <c r="LX143" s="33"/>
      <c r="LY143" s="33"/>
      <c r="LZ143" s="33"/>
      <c r="MA143" s="33"/>
      <c r="MB143" s="33"/>
      <c r="MC143" s="33"/>
      <c r="MD143" s="33"/>
      <c r="ME143" s="33"/>
      <c r="MF143" s="33"/>
      <c r="MG143" s="33"/>
      <c r="MH143" s="33"/>
      <c r="MI143" s="33"/>
      <c r="MJ143" s="33"/>
      <c r="MK143" s="33"/>
      <c r="ML143" s="33"/>
      <c r="MM143" s="33"/>
      <c r="MN143" s="33"/>
      <c r="MO143" s="33"/>
      <c r="MP143" s="33"/>
      <c r="MQ143" s="33"/>
      <c r="MR143" s="33"/>
      <c r="MS143" s="33"/>
      <c r="MT143" s="33"/>
      <c r="MU143" s="33"/>
      <c r="MV143" s="33"/>
      <c r="MW143" s="33"/>
      <c r="MX143" s="33"/>
      <c r="MY143" s="33"/>
      <c r="MZ143" s="33"/>
      <c r="NA143" s="33"/>
      <c r="NB143" s="33"/>
      <c r="NC143" s="33"/>
      <c r="ND143" s="33"/>
      <c r="NE143" s="33"/>
      <c r="NF143" s="33"/>
      <c r="NG143" s="33"/>
      <c r="NH143" s="33"/>
      <c r="NI143" s="33"/>
      <c r="NJ143" s="33"/>
      <c r="NK143" s="33"/>
      <c r="NL143" s="33"/>
      <c r="NM143" s="33"/>
      <c r="NN143" s="33"/>
      <c r="NO143" s="33"/>
      <c r="NP143" s="33"/>
      <c r="NQ143" s="33"/>
      <c r="NR143" s="33"/>
      <c r="NS143" s="33"/>
      <c r="NT143" s="33"/>
      <c r="NU143" s="33"/>
      <c r="NV143" s="33"/>
      <c r="NW143" s="33"/>
      <c r="NX143" s="33"/>
      <c r="NY143" s="33"/>
      <c r="NZ143" s="33"/>
      <c r="OA143" s="33"/>
      <c r="OB143" s="33"/>
      <c r="OC143" s="33"/>
      <c r="OD143" s="33"/>
      <c r="OE143" s="33"/>
      <c r="OF143" s="33"/>
      <c r="OG143" s="33"/>
      <c r="OH143" s="33"/>
      <c r="OI143" s="33"/>
      <c r="OJ143" s="33"/>
      <c r="OK143" s="33"/>
      <c r="OL143" s="33"/>
      <c r="OM143" s="33"/>
      <c r="ON143" s="33"/>
      <c r="OO143" s="33"/>
      <c r="OP143" s="33"/>
      <c r="OQ143" s="33"/>
      <c r="OR143" s="33"/>
      <c r="OS143" s="33"/>
      <c r="OT143" s="33"/>
      <c r="OU143" s="33"/>
      <c r="OV143" s="33"/>
      <c r="OW143" s="33"/>
      <c r="OX143" s="33"/>
      <c r="OY143" s="33"/>
      <c r="OZ143" s="33"/>
      <c r="PA143" s="33"/>
      <c r="PB143" s="33"/>
      <c r="PC143" s="33"/>
      <c r="PD143" s="33"/>
      <c r="PE143" s="33"/>
      <c r="PF143" s="33"/>
      <c r="PG143" s="33"/>
      <c r="PH143" s="33"/>
      <c r="PI143" s="33"/>
      <c r="PJ143" s="33"/>
      <c r="PK143" s="33"/>
      <c r="PL143" s="33"/>
      <c r="PM143" s="33"/>
      <c r="PN143" s="33"/>
      <c r="PO143" s="33"/>
      <c r="PP143" s="33"/>
      <c r="PQ143" s="33"/>
      <c r="PR143" s="33"/>
      <c r="PS143" s="33"/>
      <c r="PT143" s="33"/>
      <c r="PU143" s="33"/>
      <c r="PV143" s="33"/>
      <c r="PW143" s="33"/>
      <c r="PX143" s="33"/>
      <c r="PY143" s="33"/>
      <c r="PZ143" s="33"/>
      <c r="QA143" s="33"/>
      <c r="QB143" s="33"/>
      <c r="QC143" s="33"/>
      <c r="QD143" s="33"/>
      <c r="QE143" s="33"/>
      <c r="QF143" s="33"/>
      <c r="QG143" s="33"/>
      <c r="QH143" s="33"/>
      <c r="QI143" s="33"/>
      <c r="QJ143" s="33"/>
      <c r="QK143" s="33"/>
      <c r="QL143" s="33"/>
      <c r="QM143" s="33"/>
      <c r="QN143" s="33"/>
      <c r="QO143" s="33"/>
      <c r="QP143" s="33"/>
      <c r="QQ143" s="33"/>
      <c r="QR143" s="33"/>
      <c r="QS143" s="33"/>
      <c r="QT143" s="33"/>
      <c r="QU143" s="33"/>
      <c r="QV143" s="33"/>
      <c r="QW143" s="33"/>
      <c r="QX143" s="33"/>
      <c r="QY143" s="33"/>
      <c r="QZ143" s="33"/>
      <c r="RA143" s="33"/>
      <c r="RB143" s="33"/>
      <c r="RC143" s="33"/>
      <c r="RD143" s="33"/>
      <c r="RE143" s="33"/>
      <c r="RF143" s="33"/>
      <c r="RG143" s="33"/>
      <c r="RH143" s="33"/>
      <c r="RI143" s="33"/>
      <c r="RJ143" s="33"/>
      <c r="RK143" s="33"/>
      <c r="RL143" s="33"/>
      <c r="RM143" s="33"/>
      <c r="RN143" s="33"/>
      <c r="RO143" s="33"/>
      <c r="RP143" s="33"/>
      <c r="RQ143" s="33"/>
      <c r="RR143" s="33"/>
      <c r="RS143" s="33"/>
      <c r="RT143" s="33"/>
      <c r="RU143" s="33"/>
      <c r="RV143" s="33"/>
      <c r="RW143" s="33"/>
      <c r="RX143" s="33"/>
      <c r="RY143" s="33"/>
      <c r="RZ143" s="33"/>
      <c r="SA143" s="33"/>
      <c r="SB143" s="33"/>
      <c r="SC143" s="33"/>
      <c r="SD143" s="33"/>
      <c r="SE143" s="33"/>
      <c r="SF143" s="33"/>
      <c r="SG143" s="33"/>
      <c r="SH143" s="33"/>
      <c r="SI143" s="33"/>
      <c r="SJ143" s="33"/>
      <c r="SK143" s="33"/>
      <c r="SL143" s="33"/>
      <c r="SM143" s="33"/>
      <c r="SN143" s="33"/>
      <c r="SO143" s="33"/>
      <c r="SP143" s="33"/>
      <c r="SQ143" s="33"/>
      <c r="SR143" s="33"/>
      <c r="SS143" s="33"/>
      <c r="ST143" s="33"/>
      <c r="SU143" s="33"/>
      <c r="SV143" s="33"/>
      <c r="SW143" s="33"/>
      <c r="SX143" s="33"/>
      <c r="SY143" s="33"/>
      <c r="SZ143" s="33"/>
      <c r="TA143" s="33"/>
      <c r="TB143" s="33"/>
      <c r="TC143" s="33"/>
      <c r="TD143" s="33"/>
      <c r="TE143" s="33"/>
      <c r="TF143" s="33"/>
      <c r="TG143" s="33"/>
      <c r="TH143" s="33"/>
      <c r="TI143" s="33"/>
      <c r="TJ143" s="33"/>
      <c r="TK143" s="33"/>
      <c r="TL143" s="33"/>
      <c r="TM143" s="33"/>
      <c r="TN143" s="33"/>
      <c r="TO143" s="33"/>
      <c r="TP143" s="33"/>
      <c r="TQ143" s="33"/>
      <c r="TR143" s="33"/>
      <c r="TS143" s="33"/>
      <c r="TT143" s="33"/>
      <c r="TU143" s="33"/>
      <c r="TV143" s="33"/>
      <c r="TW143" s="33"/>
      <c r="TX143" s="33"/>
      <c r="TY143" s="33"/>
      <c r="TZ143" s="33"/>
      <c r="UA143" s="33"/>
      <c r="UB143" s="33"/>
      <c r="UC143" s="33"/>
      <c r="UD143" s="33"/>
      <c r="UE143" s="33"/>
      <c r="UF143" s="33"/>
      <c r="UG143" s="33"/>
      <c r="UH143" s="33"/>
      <c r="UI143" s="33"/>
      <c r="UJ143" s="33"/>
      <c r="UK143" s="33"/>
      <c r="UL143" s="33"/>
      <c r="UM143" s="33"/>
      <c r="UN143" s="33"/>
      <c r="UO143" s="33"/>
      <c r="UP143" s="33"/>
      <c r="UQ143" s="33"/>
      <c r="UR143" s="33"/>
      <c r="US143" s="33"/>
      <c r="UT143" s="33"/>
      <c r="UU143" s="33"/>
      <c r="UV143" s="33"/>
      <c r="UW143" s="33"/>
      <c r="UX143" s="33"/>
      <c r="UY143" s="33"/>
      <c r="UZ143" s="33"/>
      <c r="VA143" s="33"/>
      <c r="VB143" s="33"/>
      <c r="VC143" s="33"/>
      <c r="VD143" s="33"/>
      <c r="VE143" s="33"/>
      <c r="VF143" s="33"/>
      <c r="VG143" s="33"/>
      <c r="VH143" s="33"/>
      <c r="VI143" s="33"/>
      <c r="VJ143" s="33"/>
      <c r="VK143" s="33"/>
      <c r="VL143" s="33"/>
      <c r="VM143" s="33"/>
      <c r="VN143" s="33"/>
      <c r="VO143" s="33"/>
      <c r="VP143" s="33"/>
      <c r="VQ143" s="33"/>
      <c r="VR143" s="33"/>
      <c r="VS143" s="33"/>
      <c r="VT143" s="33"/>
      <c r="VU143" s="33"/>
      <c r="VV143" s="33"/>
      <c r="VW143" s="33"/>
      <c r="VX143" s="33"/>
      <c r="VY143" s="33"/>
      <c r="VZ143" s="33"/>
      <c r="WA143" s="33"/>
      <c r="WB143" s="33"/>
      <c r="WC143" s="33"/>
      <c r="WD143" s="33"/>
      <c r="WE143" s="33"/>
      <c r="WF143" s="33"/>
      <c r="WG143" s="33"/>
      <c r="WH143" s="33"/>
      <c r="WI143" s="33"/>
      <c r="WJ143" s="33"/>
      <c r="WK143" s="33"/>
      <c r="WL143" s="33"/>
      <c r="WM143" s="33"/>
      <c r="WN143" s="33"/>
      <c r="WO143" s="33"/>
      <c r="WP143" s="33"/>
      <c r="WQ143" s="33"/>
      <c r="WR143" s="33"/>
      <c r="WS143" s="33"/>
      <c r="WT143" s="33"/>
      <c r="WU143" s="33"/>
      <c r="WV143" s="33"/>
      <c r="WW143" s="33"/>
      <c r="WX143" s="33"/>
      <c r="WY143" s="33"/>
      <c r="WZ143" s="33"/>
      <c r="XA143" s="33"/>
      <c r="XB143" s="33"/>
      <c r="XC143" s="33"/>
      <c r="XD143" s="33"/>
      <c r="XE143" s="33"/>
      <c r="XF143" s="33"/>
      <c r="XG143" s="33"/>
      <c r="XH143" s="33"/>
      <c r="XI143" s="33"/>
      <c r="XJ143" s="33"/>
      <c r="XK143" s="33"/>
      <c r="XL143" s="33"/>
      <c r="XM143" s="33"/>
      <c r="XN143" s="33"/>
      <c r="XO143" s="33"/>
      <c r="XP143" s="33"/>
      <c r="XQ143" s="33"/>
      <c r="XR143" s="33"/>
      <c r="XS143" s="33"/>
      <c r="XT143" s="33"/>
      <c r="XU143" s="33"/>
      <c r="XV143" s="33"/>
      <c r="XW143" s="33"/>
      <c r="XX143" s="33"/>
      <c r="XY143" s="33"/>
      <c r="XZ143" s="33"/>
      <c r="YA143" s="33"/>
      <c r="YB143" s="33"/>
      <c r="YC143" s="33"/>
      <c r="YD143" s="33"/>
      <c r="YE143" s="33"/>
      <c r="YF143" s="33"/>
      <c r="YG143" s="33"/>
      <c r="YH143" s="33"/>
      <c r="YI143" s="33"/>
      <c r="YJ143" s="33"/>
      <c r="YK143" s="33"/>
      <c r="YL143" s="33"/>
      <c r="YM143" s="33"/>
      <c r="YN143" s="33"/>
      <c r="YO143" s="33"/>
      <c r="YP143" s="33"/>
      <c r="YQ143" s="33"/>
      <c r="YR143" s="33"/>
      <c r="YS143" s="33"/>
      <c r="YT143" s="33"/>
      <c r="YU143" s="33"/>
      <c r="YV143" s="33"/>
      <c r="YW143" s="33"/>
      <c r="YX143" s="33"/>
      <c r="YY143" s="33"/>
      <c r="YZ143" s="33"/>
      <c r="ZA143" s="33"/>
      <c r="ZB143" s="33"/>
      <c r="ZC143" s="33"/>
      <c r="ZD143" s="33"/>
      <c r="ZE143" s="33"/>
      <c r="ZF143" s="33"/>
      <c r="ZG143" s="33"/>
      <c r="ZH143" s="33"/>
      <c r="ZI143" s="33"/>
      <c r="ZJ143" s="33"/>
      <c r="ZK143" s="33"/>
      <c r="ZL143" s="33"/>
      <c r="ZM143" s="33"/>
      <c r="ZN143" s="33"/>
      <c r="ZO143" s="33"/>
      <c r="ZP143" s="33"/>
      <c r="ZQ143" s="33"/>
      <c r="ZR143" s="33"/>
      <c r="ZS143" s="33"/>
      <c r="ZT143" s="33"/>
      <c r="ZU143" s="33"/>
      <c r="ZV143" s="33"/>
      <c r="ZW143" s="33"/>
      <c r="ZX143" s="33"/>
      <c r="ZY143" s="33"/>
      <c r="ZZ143" s="33"/>
      <c r="AAA143" s="33"/>
      <c r="AAB143" s="33"/>
      <c r="AAC143" s="33"/>
      <c r="AAD143" s="33"/>
      <c r="AAE143" s="33"/>
      <c r="AAF143" s="33"/>
      <c r="AAG143" s="33"/>
      <c r="AAH143" s="33"/>
      <c r="AAI143" s="33"/>
      <c r="AAJ143" s="33"/>
      <c r="AAK143" s="33"/>
      <c r="AAL143" s="33"/>
      <c r="AAM143" s="33"/>
      <c r="AAN143" s="33"/>
      <c r="AAO143" s="33"/>
      <c r="AAP143" s="33"/>
      <c r="AAQ143" s="33"/>
      <c r="AAR143" s="33"/>
      <c r="AAS143" s="33"/>
      <c r="AAT143" s="33"/>
      <c r="AAU143" s="33"/>
      <c r="AAV143" s="33"/>
      <c r="AAW143" s="33"/>
      <c r="AAX143" s="33"/>
      <c r="AAY143" s="33"/>
      <c r="AAZ143" s="33"/>
      <c r="ABA143" s="33"/>
      <c r="ABB143" s="33"/>
      <c r="ABC143" s="33"/>
      <c r="ABD143" s="33"/>
      <c r="ABE143" s="33"/>
      <c r="ABF143" s="33"/>
      <c r="ABG143" s="33"/>
      <c r="ABH143" s="33"/>
      <c r="ABI143" s="33"/>
      <c r="ABJ143" s="33"/>
      <c r="ABK143" s="33"/>
      <c r="ABL143" s="33"/>
      <c r="ABM143" s="33"/>
      <c r="ABN143" s="33"/>
      <c r="ABO143" s="33"/>
      <c r="ABP143" s="33"/>
      <c r="ABQ143" s="33"/>
      <c r="ABR143" s="33"/>
      <c r="ABS143" s="33"/>
      <c r="ABT143" s="33"/>
      <c r="ABU143" s="33"/>
      <c r="ABV143" s="33"/>
      <c r="ABW143" s="33"/>
      <c r="ABX143" s="33"/>
      <c r="ABY143" s="33"/>
      <c r="ABZ143" s="33"/>
      <c r="ACA143" s="33"/>
      <c r="ACB143" s="33"/>
      <c r="ACC143" s="33"/>
      <c r="ACD143" s="33"/>
      <c r="ACE143" s="33"/>
      <c r="ACF143" s="33"/>
      <c r="ACG143" s="33"/>
      <c r="ACH143" s="33"/>
      <c r="ACI143" s="33"/>
      <c r="ACJ143" s="33"/>
      <c r="ACK143" s="33"/>
      <c r="ACL143" s="33"/>
      <c r="ACM143" s="33"/>
      <c r="ACN143" s="33"/>
      <c r="ACO143" s="33"/>
      <c r="ACP143" s="33"/>
      <c r="ACQ143" s="33"/>
      <c r="ACR143" s="33"/>
      <c r="ACS143" s="33"/>
      <c r="ACT143" s="33"/>
      <c r="ACU143" s="33"/>
      <c r="ACV143" s="33"/>
      <c r="ACW143" s="33"/>
      <c r="ACX143" s="33"/>
      <c r="ACY143" s="33"/>
      <c r="ACZ143" s="33"/>
      <c r="ADA143" s="33"/>
      <c r="ADB143" s="33"/>
      <c r="ADC143" s="33"/>
      <c r="ADD143" s="33"/>
      <c r="ADE143" s="33"/>
      <c r="ADF143" s="33"/>
      <c r="ADG143" s="33"/>
      <c r="ADH143" s="33"/>
      <c r="ADI143" s="33"/>
      <c r="ADJ143" s="33"/>
      <c r="ADK143" s="33"/>
      <c r="ADL143" s="33"/>
      <c r="ADM143" s="33"/>
      <c r="ADN143" s="33"/>
      <c r="ADO143" s="33"/>
      <c r="ADP143" s="33"/>
      <c r="ADQ143" s="33"/>
      <c r="ADR143" s="33"/>
      <c r="ADS143" s="33"/>
      <c r="ADT143" s="33"/>
      <c r="ADU143" s="33"/>
      <c r="ADV143" s="33"/>
      <c r="ADW143" s="33"/>
      <c r="ADX143" s="33"/>
      <c r="ADY143" s="33"/>
      <c r="ADZ143" s="33"/>
      <c r="AEA143" s="33"/>
      <c r="AEB143" s="33"/>
      <c r="AEC143" s="33"/>
      <c r="AED143" s="33"/>
      <c r="AEE143" s="33"/>
      <c r="AEF143" s="33"/>
      <c r="AEG143" s="33"/>
      <c r="AEH143" s="33"/>
      <c r="AEI143" s="33"/>
      <c r="AEJ143" s="33"/>
      <c r="AEK143" s="33"/>
      <c r="AEL143" s="33"/>
      <c r="AEM143" s="33"/>
      <c r="AEN143" s="33"/>
      <c r="AEO143" s="33"/>
      <c r="AEP143" s="33"/>
      <c r="AEQ143" s="33"/>
      <c r="AER143" s="33"/>
      <c r="AES143" s="33"/>
      <c r="AET143" s="33"/>
      <c r="AEU143" s="33"/>
      <c r="AEV143" s="33"/>
      <c r="AEW143" s="33"/>
      <c r="AEX143" s="33"/>
      <c r="AEY143" s="33"/>
      <c r="AEZ143" s="33"/>
      <c r="AFA143" s="33"/>
      <c r="AFB143" s="33"/>
      <c r="AFC143" s="33"/>
      <c r="AFD143" s="33"/>
      <c r="AFE143" s="33"/>
      <c r="AFF143" s="33"/>
      <c r="AFG143" s="33"/>
      <c r="AFH143" s="33"/>
      <c r="AFI143" s="33"/>
      <c r="AFJ143" s="33"/>
      <c r="AFK143" s="33"/>
      <c r="AFL143" s="33"/>
      <c r="AFM143" s="33"/>
      <c r="AFN143" s="33"/>
      <c r="AFO143" s="33"/>
      <c r="AFP143" s="33"/>
      <c r="AFQ143" s="33"/>
      <c r="AFR143" s="33"/>
      <c r="AFS143" s="33"/>
      <c r="AFT143" s="33"/>
      <c r="AFU143" s="33"/>
      <c r="AFV143" s="33"/>
      <c r="AFW143" s="33"/>
      <c r="AFX143" s="33"/>
      <c r="AFY143" s="33"/>
      <c r="AFZ143" s="33"/>
      <c r="AGA143" s="33"/>
      <c r="AGB143" s="33"/>
      <c r="AGC143" s="33"/>
      <c r="AGD143" s="33"/>
      <c r="AGE143" s="33"/>
      <c r="AGF143" s="33"/>
      <c r="AGG143" s="33"/>
      <c r="AGH143" s="33"/>
      <c r="AGI143" s="33"/>
      <c r="AGJ143" s="33"/>
      <c r="AGK143" s="33"/>
      <c r="AGL143" s="33"/>
      <c r="AGM143" s="33"/>
      <c r="AGN143" s="33"/>
      <c r="AGO143" s="33"/>
      <c r="AGP143" s="33"/>
      <c r="AGQ143" s="33"/>
      <c r="AGR143" s="33"/>
      <c r="AGS143" s="33"/>
      <c r="AGT143" s="33"/>
      <c r="AGU143" s="33"/>
      <c r="AGV143" s="33"/>
      <c r="AGW143" s="33"/>
      <c r="AGX143" s="33"/>
      <c r="AGY143" s="33"/>
      <c r="AGZ143" s="33"/>
      <c r="AHA143" s="33"/>
      <c r="AHB143" s="33"/>
      <c r="AHC143" s="33"/>
      <c r="AHD143" s="33"/>
      <c r="AHE143" s="33"/>
      <c r="AHF143" s="33"/>
      <c r="AHG143" s="33"/>
      <c r="AHH143" s="33"/>
      <c r="AHI143" s="33"/>
      <c r="AHJ143" s="33"/>
      <c r="AHK143" s="33"/>
      <c r="AHL143" s="33"/>
      <c r="AHM143" s="33"/>
      <c r="AHN143" s="33"/>
      <c r="AHO143" s="33"/>
      <c r="AHP143" s="33"/>
      <c r="AHQ143" s="33"/>
      <c r="AHR143" s="33"/>
      <c r="AHS143" s="33"/>
      <c r="AHT143" s="33"/>
      <c r="AHU143" s="33"/>
      <c r="AHV143" s="33"/>
      <c r="AHW143" s="33"/>
      <c r="AHX143" s="33"/>
      <c r="AHY143" s="33"/>
      <c r="AHZ143" s="33"/>
      <c r="AIA143" s="33"/>
      <c r="AIB143" s="33"/>
      <c r="AIC143" s="33"/>
      <c r="AID143" s="33"/>
      <c r="AIE143" s="33"/>
      <c r="AIF143" s="33"/>
      <c r="AIG143" s="33"/>
      <c r="AIH143" s="33"/>
      <c r="AII143" s="33"/>
      <c r="AIJ143" s="33"/>
      <c r="AIK143" s="33"/>
      <c r="AIL143" s="33"/>
      <c r="AIM143" s="33"/>
      <c r="AIN143" s="33"/>
      <c r="AIO143" s="33"/>
      <c r="AIP143" s="33"/>
      <c r="AIQ143" s="33"/>
      <c r="AIR143" s="33"/>
      <c r="AIS143" s="33"/>
      <c r="AIT143" s="33"/>
      <c r="AIU143" s="33"/>
      <c r="AIV143" s="33"/>
      <c r="AIW143" s="33"/>
      <c r="AIX143" s="33"/>
      <c r="AIY143" s="33"/>
      <c r="AIZ143" s="33"/>
      <c r="AJA143" s="33"/>
      <c r="AJB143" s="33"/>
      <c r="AJC143" s="33"/>
      <c r="AJD143" s="33"/>
      <c r="AJE143" s="33"/>
      <c r="AJF143" s="33"/>
      <c r="AJG143" s="33"/>
      <c r="AJH143" s="33"/>
      <c r="AJI143" s="33"/>
      <c r="AJJ143" s="33"/>
      <c r="AJK143" s="33"/>
      <c r="AJL143" s="33"/>
      <c r="AJM143" s="33"/>
      <c r="AJN143" s="33"/>
      <c r="AJO143" s="33"/>
      <c r="AJP143" s="33"/>
      <c r="AJQ143" s="33"/>
      <c r="AJR143" s="33"/>
      <c r="AJS143" s="33"/>
      <c r="AJT143" s="33"/>
      <c r="AJU143" s="33"/>
      <c r="AJV143" s="33"/>
      <c r="AJW143" s="33"/>
      <c r="AJX143" s="33"/>
      <c r="AJY143" s="33"/>
      <c r="AJZ143" s="33"/>
      <c r="AKA143" s="33"/>
      <c r="AKB143" s="33"/>
      <c r="AKC143" s="33"/>
      <c r="AKD143" s="33"/>
      <c r="AKE143" s="33"/>
      <c r="AKF143" s="33"/>
      <c r="AKG143" s="33"/>
      <c r="AKH143" s="33"/>
      <c r="AKI143" s="33"/>
      <c r="AKJ143" s="33"/>
      <c r="AKK143" s="33"/>
      <c r="AKL143" s="33"/>
      <c r="AKM143" s="33"/>
      <c r="AKN143" s="33"/>
      <c r="AKO143" s="33"/>
      <c r="AKP143" s="33"/>
      <c r="AKQ143" s="33"/>
      <c r="AKR143" s="33"/>
      <c r="AKS143" s="33"/>
      <c r="AKT143" s="33"/>
      <c r="AKU143" s="33"/>
      <c r="AKV143" s="33"/>
      <c r="AKW143" s="33"/>
      <c r="AKX143" s="33"/>
      <c r="AKY143" s="33"/>
      <c r="AKZ143" s="33"/>
      <c r="ALA143" s="33"/>
      <c r="ALB143" s="33"/>
      <c r="ALC143" s="33"/>
      <c r="ALD143" s="33"/>
      <c r="ALE143" s="33"/>
      <c r="ALF143" s="33"/>
      <c r="ALG143" s="33"/>
      <c r="ALH143" s="33"/>
      <c r="ALI143" s="33"/>
      <c r="ALJ143" s="33"/>
      <c r="ALK143" s="33"/>
      <c r="ALL143" s="33"/>
      <c r="ALM143" s="33"/>
      <c r="ALN143" s="33"/>
      <c r="ALO143" s="33"/>
      <c r="ALP143" s="33"/>
      <c r="ALQ143" s="33"/>
      <c r="ALR143" s="33"/>
      <c r="ALS143" s="33"/>
      <c r="ALT143" s="33"/>
      <c r="ALU143" s="33"/>
      <c r="ALV143" s="33"/>
      <c r="ALW143" s="33"/>
      <c r="ALX143" s="33"/>
      <c r="ALY143" s="33"/>
      <c r="ALZ143" s="33"/>
      <c r="AMA143" s="33"/>
      <c r="AMB143" s="33"/>
      <c r="AMC143" s="33"/>
      <c r="AMD143" s="33"/>
      <c r="AME143" s="33"/>
      <c r="AMF143" s="33"/>
      <c r="AMG143" s="33"/>
      <c r="AMH143" s="33"/>
      <c r="AMI143" s="33"/>
      <c r="AMJ143" s="33"/>
      <c r="AMK143" s="33"/>
      <c r="AML143" s="33"/>
      <c r="AMM143" s="33"/>
      <c r="AMN143" s="33"/>
      <c r="AMO143" s="33"/>
      <c r="AMP143" s="33"/>
      <c r="AMQ143" s="33"/>
      <c r="AMR143" s="33"/>
      <c r="AMS143" s="33"/>
      <c r="AMT143" s="33"/>
      <c r="AMU143" s="33"/>
      <c r="AMV143" s="33"/>
      <c r="AMW143" s="33"/>
      <c r="AMX143" s="33"/>
      <c r="AMY143" s="33"/>
      <c r="AMZ143" s="33"/>
      <c r="ANA143" s="33"/>
      <c r="ANB143" s="33"/>
      <c r="ANC143" s="33"/>
      <c r="AND143" s="33"/>
      <c r="ANE143" s="33"/>
      <c r="ANF143" s="33"/>
      <c r="ANG143" s="33"/>
      <c r="ANH143" s="33"/>
      <c r="ANI143" s="33"/>
      <c r="ANJ143" s="33"/>
      <c r="ANK143" s="33"/>
      <c r="ANL143" s="33"/>
      <c r="ANM143" s="33"/>
      <c r="ANN143" s="33"/>
      <c r="ANO143" s="33"/>
      <c r="ANP143" s="33"/>
      <c r="ANQ143" s="33"/>
      <c r="ANR143" s="33"/>
      <c r="ANS143" s="33"/>
      <c r="ANT143" s="33"/>
      <c r="ANU143" s="33"/>
      <c r="ANV143" s="33"/>
      <c r="ANW143" s="33"/>
      <c r="ANX143" s="33"/>
      <c r="ANY143" s="33"/>
      <c r="ANZ143" s="33"/>
      <c r="AOA143" s="33"/>
      <c r="AOB143" s="33"/>
      <c r="AOC143" s="33"/>
      <c r="AOD143" s="33"/>
      <c r="AOE143" s="33"/>
      <c r="AOF143" s="33"/>
      <c r="AOG143" s="33"/>
      <c r="AOH143" s="33"/>
      <c r="AOI143" s="33"/>
      <c r="AOJ143" s="33"/>
      <c r="AOK143" s="33"/>
      <c r="AOL143" s="33"/>
      <c r="AOM143" s="33"/>
      <c r="AON143" s="33"/>
      <c r="AOO143" s="33"/>
      <c r="AOP143" s="33"/>
      <c r="AOQ143" s="33"/>
      <c r="AOR143" s="33"/>
      <c r="AOS143" s="33"/>
      <c r="AOT143" s="33"/>
      <c r="AOU143" s="33"/>
      <c r="AOV143" s="33"/>
      <c r="AOW143" s="33"/>
      <c r="AOX143" s="33"/>
      <c r="AOY143" s="33"/>
      <c r="AOZ143" s="33"/>
      <c r="APA143" s="33"/>
      <c r="APB143" s="33"/>
      <c r="APC143" s="33"/>
      <c r="APD143" s="33"/>
      <c r="APE143" s="33"/>
      <c r="APF143" s="33"/>
      <c r="APG143" s="33"/>
      <c r="APH143" s="33"/>
      <c r="API143" s="33"/>
      <c r="APJ143" s="33"/>
      <c r="APK143" s="33"/>
      <c r="APL143" s="33"/>
      <c r="APM143" s="33"/>
      <c r="APN143" s="33"/>
      <c r="APO143" s="33"/>
      <c r="APP143" s="33"/>
      <c r="APQ143" s="33"/>
      <c r="APR143" s="33"/>
      <c r="APS143" s="33"/>
      <c r="APT143" s="33"/>
      <c r="APU143" s="33"/>
      <c r="APV143" s="33"/>
      <c r="APW143" s="33"/>
      <c r="APX143" s="33"/>
      <c r="APY143" s="33"/>
      <c r="APZ143" s="33"/>
      <c r="AQA143" s="33"/>
      <c r="AQB143" s="33"/>
      <c r="AQC143" s="33"/>
      <c r="AQD143" s="33"/>
      <c r="AQE143" s="33"/>
      <c r="AQF143" s="33"/>
      <c r="AQG143" s="33"/>
      <c r="AQH143" s="33"/>
      <c r="AQI143" s="33"/>
      <c r="AQJ143" s="33"/>
      <c r="AQK143" s="33"/>
      <c r="AQL143" s="33"/>
      <c r="AQM143" s="33"/>
      <c r="AQN143" s="33"/>
      <c r="AQO143" s="33"/>
      <c r="AQP143" s="33"/>
      <c r="AQQ143" s="33"/>
      <c r="AQR143" s="33"/>
      <c r="AQS143" s="33"/>
      <c r="AQT143" s="33"/>
      <c r="AQU143" s="33"/>
      <c r="AQV143" s="33"/>
      <c r="AQW143" s="33"/>
      <c r="AQX143" s="33"/>
      <c r="AQY143" s="33"/>
      <c r="AQZ143" s="33"/>
      <c r="ARA143" s="33"/>
      <c r="ARB143" s="33"/>
      <c r="ARC143" s="33"/>
      <c r="ARD143" s="33"/>
      <c r="ARE143" s="33"/>
      <c r="ARF143" s="33"/>
      <c r="ARG143" s="33"/>
      <c r="ARH143" s="33"/>
      <c r="ARI143" s="33"/>
      <c r="ARJ143" s="33"/>
      <c r="ARK143" s="33"/>
      <c r="ARL143" s="33"/>
      <c r="ARM143" s="33"/>
      <c r="ARN143" s="33"/>
      <c r="ARO143" s="33"/>
      <c r="ARP143" s="33"/>
      <c r="ARQ143" s="33"/>
      <c r="ARR143" s="33"/>
      <c r="ARS143" s="33"/>
      <c r="ART143" s="33"/>
      <c r="ARU143" s="33"/>
      <c r="ARV143" s="33"/>
      <c r="ARW143" s="33"/>
      <c r="ARX143" s="33"/>
      <c r="ARY143" s="33"/>
      <c r="ARZ143" s="33"/>
      <c r="ASA143" s="33"/>
      <c r="ASB143" s="33"/>
      <c r="ASC143" s="33"/>
      <c r="ASD143" s="33"/>
      <c r="ASE143" s="33"/>
      <c r="ASF143" s="33"/>
      <c r="ASG143" s="33"/>
      <c r="ASH143" s="33"/>
      <c r="ASI143" s="33"/>
      <c r="ASJ143" s="33"/>
      <c r="ASK143" s="33"/>
      <c r="ASL143" s="33"/>
      <c r="ASM143" s="33"/>
      <c r="ASN143" s="33"/>
      <c r="ASO143" s="33"/>
      <c r="ASP143" s="33"/>
      <c r="ASQ143" s="33"/>
      <c r="ASR143" s="33"/>
      <c r="ASS143" s="33"/>
      <c r="AST143" s="33"/>
      <c r="ASU143" s="33"/>
      <c r="ASV143" s="33"/>
      <c r="ASW143" s="33"/>
      <c r="ASX143" s="33"/>
      <c r="ASY143" s="33"/>
      <c r="ASZ143" s="33"/>
      <c r="ATA143" s="33"/>
      <c r="ATB143" s="33"/>
      <c r="ATC143" s="33"/>
      <c r="ATD143" s="33"/>
      <c r="ATE143" s="33"/>
      <c r="ATF143" s="33"/>
      <c r="ATG143" s="33"/>
      <c r="ATH143" s="33"/>
      <c r="ATI143" s="33"/>
      <c r="ATJ143" s="33"/>
      <c r="ATK143" s="33"/>
      <c r="ATL143" s="33"/>
      <c r="ATM143" s="33"/>
      <c r="ATN143" s="33"/>
      <c r="ATO143" s="33"/>
      <c r="ATP143" s="33"/>
      <c r="ATQ143" s="33"/>
      <c r="ATR143" s="33"/>
      <c r="ATS143" s="33"/>
      <c r="ATT143" s="33"/>
      <c r="ATU143" s="33"/>
      <c r="ATV143" s="33"/>
      <c r="ATW143" s="33"/>
      <c r="ATX143" s="33"/>
      <c r="ATY143" s="33"/>
      <c r="ATZ143" s="33"/>
      <c r="AUA143" s="33"/>
      <c r="AUB143" s="33"/>
      <c r="AUC143" s="33"/>
      <c r="AUD143" s="33"/>
      <c r="AUE143" s="33"/>
      <c r="AUF143" s="33"/>
      <c r="AUG143" s="33"/>
      <c r="AUH143" s="33"/>
      <c r="AUI143" s="33"/>
      <c r="AUJ143" s="33"/>
      <c r="AUK143" s="33"/>
      <c r="AUL143" s="33"/>
      <c r="AUM143" s="33"/>
      <c r="AUN143" s="33"/>
      <c r="AUO143" s="33"/>
      <c r="AUP143" s="33"/>
      <c r="AUQ143" s="33"/>
      <c r="AUR143" s="33"/>
      <c r="AUS143" s="33"/>
      <c r="AUT143" s="33"/>
      <c r="AUU143" s="33"/>
      <c r="AUV143" s="33"/>
      <c r="AUW143" s="33"/>
      <c r="AUX143" s="33"/>
      <c r="AUY143" s="33"/>
      <c r="AUZ143" s="33"/>
      <c r="AVA143" s="33"/>
      <c r="AVB143" s="33"/>
      <c r="AVC143" s="33"/>
      <c r="AVD143" s="33"/>
      <c r="AVE143" s="33"/>
      <c r="AVF143" s="33"/>
      <c r="AVG143" s="33"/>
      <c r="AVH143" s="33"/>
      <c r="AVI143" s="33"/>
      <c r="AVJ143" s="33"/>
      <c r="AVK143" s="33"/>
      <c r="AVL143" s="33"/>
      <c r="AVM143" s="33"/>
      <c r="AVN143" s="33"/>
      <c r="AVO143" s="33"/>
      <c r="AVP143" s="33"/>
      <c r="AVQ143" s="33"/>
      <c r="AVR143" s="33"/>
      <c r="AVS143" s="33"/>
      <c r="AVT143" s="33"/>
      <c r="AVU143" s="33"/>
      <c r="AVV143" s="33"/>
      <c r="AVW143" s="33"/>
      <c r="AVX143" s="33"/>
      <c r="AVY143" s="33"/>
      <c r="AVZ143" s="33"/>
      <c r="AWA143" s="33"/>
      <c r="AWB143" s="33"/>
      <c r="AWC143" s="33"/>
      <c r="AWD143" s="33"/>
      <c r="AWE143" s="33"/>
      <c r="AWF143" s="33"/>
      <c r="AWG143" s="33"/>
      <c r="AWH143" s="33"/>
      <c r="AWI143" s="33"/>
      <c r="AWJ143" s="33"/>
      <c r="AWK143" s="33"/>
      <c r="AWL143" s="33"/>
      <c r="AWM143" s="33"/>
      <c r="AWN143" s="33"/>
      <c r="AWO143" s="33"/>
      <c r="AWP143" s="33"/>
      <c r="AWQ143" s="33"/>
      <c r="AWR143" s="33"/>
      <c r="AWS143" s="33"/>
      <c r="AWT143" s="33"/>
      <c r="AWU143" s="33"/>
      <c r="AWV143" s="33"/>
      <c r="AWW143" s="33"/>
      <c r="AWX143" s="33"/>
      <c r="AWY143" s="33"/>
      <c r="AWZ143" s="33"/>
      <c r="AXA143" s="33"/>
      <c r="AXB143" s="33"/>
      <c r="AXC143" s="33"/>
      <c r="AXD143" s="33"/>
      <c r="AXE143" s="33"/>
      <c r="AXF143" s="33"/>
      <c r="AXG143" s="33"/>
      <c r="AXH143" s="33"/>
      <c r="AXI143" s="33"/>
      <c r="AXJ143" s="33"/>
      <c r="AXK143" s="33"/>
      <c r="AXL143" s="33"/>
      <c r="AXM143" s="33"/>
      <c r="AXN143" s="33"/>
      <c r="AXO143" s="33"/>
      <c r="AXP143" s="33"/>
      <c r="AXQ143" s="33"/>
      <c r="AXR143" s="33"/>
      <c r="AXS143" s="33"/>
      <c r="AXT143" s="33"/>
      <c r="AXU143" s="33"/>
      <c r="AXV143" s="33"/>
      <c r="AXW143" s="33"/>
      <c r="AXX143" s="33"/>
      <c r="AXY143" s="33"/>
      <c r="AXZ143" s="33"/>
      <c r="AYA143" s="33"/>
      <c r="AYB143" s="33"/>
      <c r="AYC143" s="33"/>
      <c r="AYD143" s="33"/>
      <c r="AYE143" s="33"/>
      <c r="AYF143" s="33"/>
      <c r="AYG143" s="33"/>
      <c r="AYH143" s="33"/>
      <c r="AYI143" s="33"/>
      <c r="AYJ143" s="33"/>
      <c r="AYK143" s="33"/>
      <c r="AYL143" s="33"/>
      <c r="AYM143" s="33"/>
      <c r="AYN143" s="33"/>
      <c r="AYO143" s="33"/>
      <c r="AYP143" s="33"/>
      <c r="AYQ143" s="33"/>
      <c r="AYR143" s="33"/>
      <c r="AYS143" s="33"/>
      <c r="AYT143" s="33"/>
      <c r="AYU143" s="33"/>
      <c r="AYV143" s="33"/>
      <c r="AYW143" s="33"/>
      <c r="AYX143" s="33"/>
      <c r="AYY143" s="33"/>
      <c r="AYZ143" s="33"/>
      <c r="AZA143" s="33"/>
      <c r="AZB143" s="33"/>
      <c r="AZC143" s="33"/>
      <c r="AZD143" s="33"/>
      <c r="AZE143" s="33"/>
      <c r="AZF143" s="33"/>
      <c r="AZG143" s="33"/>
      <c r="AZH143" s="33"/>
      <c r="AZI143" s="33"/>
      <c r="AZJ143" s="33"/>
      <c r="AZK143" s="33"/>
      <c r="AZL143" s="33"/>
      <c r="AZM143" s="33"/>
      <c r="AZN143" s="33"/>
      <c r="AZO143" s="33"/>
      <c r="AZP143" s="33"/>
      <c r="AZQ143" s="33"/>
      <c r="AZR143" s="33"/>
      <c r="AZS143" s="33"/>
      <c r="AZT143" s="33"/>
      <c r="AZU143" s="33"/>
      <c r="AZV143" s="33"/>
      <c r="AZW143" s="33"/>
      <c r="AZX143" s="33"/>
      <c r="AZY143" s="33"/>
      <c r="AZZ143" s="33"/>
      <c r="BAA143" s="33"/>
      <c r="BAB143" s="33"/>
      <c r="BAC143" s="33"/>
      <c r="BAD143" s="33"/>
      <c r="BAE143" s="33"/>
      <c r="BAF143" s="33"/>
      <c r="BAG143" s="33"/>
      <c r="BAH143" s="33"/>
      <c r="BAI143" s="33"/>
      <c r="BAJ143" s="33"/>
      <c r="BAK143" s="33"/>
      <c r="BAL143" s="33"/>
      <c r="BAM143" s="33"/>
      <c r="BAN143" s="33"/>
      <c r="BAO143" s="33"/>
      <c r="BAP143" s="33"/>
      <c r="BAQ143" s="33"/>
      <c r="BAR143" s="33"/>
      <c r="BAS143" s="33"/>
      <c r="BAT143" s="33"/>
      <c r="BAU143" s="33"/>
      <c r="BAV143" s="33"/>
      <c r="BAW143" s="33"/>
      <c r="BAX143" s="33"/>
      <c r="BAY143" s="33"/>
      <c r="BAZ143" s="33"/>
      <c r="BBA143" s="33"/>
      <c r="BBB143" s="33"/>
      <c r="BBC143" s="33"/>
      <c r="BBD143" s="33"/>
      <c r="BBE143" s="33"/>
      <c r="BBF143" s="33"/>
      <c r="BBG143" s="33"/>
      <c r="BBH143" s="33"/>
      <c r="BBI143" s="33"/>
      <c r="BBJ143" s="33"/>
      <c r="BBK143" s="33"/>
      <c r="BBL143" s="33"/>
      <c r="BBM143" s="33"/>
      <c r="BBN143" s="33"/>
      <c r="BBO143" s="33"/>
      <c r="BBP143" s="33"/>
      <c r="BBQ143" s="33"/>
      <c r="BBR143" s="33"/>
      <c r="BBS143" s="33"/>
      <c r="BBT143" s="33"/>
      <c r="BBU143" s="33"/>
      <c r="BBV143" s="33"/>
      <c r="BBW143" s="33"/>
      <c r="BBX143" s="33"/>
      <c r="BBY143" s="33"/>
      <c r="BBZ143" s="33"/>
      <c r="BCA143" s="33"/>
      <c r="BCB143" s="33"/>
      <c r="BCC143" s="33"/>
      <c r="BCD143" s="33"/>
      <c r="BCE143" s="33"/>
      <c r="BCF143" s="33"/>
      <c r="BCG143" s="33"/>
      <c r="BCH143" s="33"/>
      <c r="BCI143" s="33"/>
      <c r="BCJ143" s="33"/>
      <c r="BCK143" s="33"/>
      <c r="BCL143" s="33"/>
      <c r="BCM143" s="33"/>
      <c r="BCN143" s="33"/>
      <c r="BCO143" s="33"/>
      <c r="BCP143" s="33"/>
      <c r="BCQ143" s="33"/>
      <c r="BCR143" s="33"/>
      <c r="BCS143" s="33"/>
      <c r="BCT143" s="33"/>
      <c r="BCU143" s="33"/>
      <c r="BCV143" s="33"/>
      <c r="BCW143" s="33"/>
      <c r="BCX143" s="33"/>
      <c r="BCY143" s="33"/>
      <c r="BCZ143" s="33"/>
      <c r="BDA143" s="33"/>
      <c r="BDB143" s="33"/>
      <c r="BDC143" s="33"/>
      <c r="BDD143" s="33"/>
      <c r="BDE143" s="33"/>
      <c r="BDF143" s="33"/>
      <c r="BDG143" s="33"/>
      <c r="BDH143" s="33"/>
      <c r="BDI143" s="33"/>
      <c r="BDJ143" s="33"/>
      <c r="BDK143" s="33"/>
      <c r="BDL143" s="33"/>
      <c r="BDM143" s="33"/>
      <c r="BDN143" s="33"/>
      <c r="BDO143" s="33"/>
      <c r="BDP143" s="33"/>
      <c r="BDQ143" s="33"/>
      <c r="BDR143" s="33"/>
      <c r="BDS143" s="33"/>
      <c r="BDT143" s="33"/>
      <c r="BDU143" s="33"/>
      <c r="BDV143" s="33"/>
      <c r="BDW143" s="33"/>
      <c r="BDX143" s="33"/>
      <c r="BDY143" s="33"/>
      <c r="BDZ143" s="33"/>
      <c r="BEA143" s="33"/>
      <c r="BEB143" s="33"/>
      <c r="BEC143" s="33"/>
      <c r="BED143" s="33"/>
      <c r="BEE143" s="33"/>
      <c r="BEF143" s="33"/>
      <c r="BEG143" s="33"/>
      <c r="BEH143" s="33"/>
      <c r="BEI143" s="33"/>
      <c r="BEJ143" s="33"/>
      <c r="BEK143" s="33"/>
      <c r="BEL143" s="33"/>
      <c r="BEM143" s="33"/>
      <c r="BEN143" s="33"/>
      <c r="BEO143" s="33"/>
      <c r="BEP143" s="33"/>
      <c r="BEQ143" s="33"/>
      <c r="BER143" s="33"/>
      <c r="BES143" s="33"/>
      <c r="BET143" s="33"/>
      <c r="BEU143" s="33"/>
      <c r="BEV143" s="33"/>
      <c r="BEW143" s="33"/>
      <c r="BEX143" s="33"/>
      <c r="BEY143" s="33"/>
      <c r="BEZ143" s="33"/>
      <c r="BFA143" s="33"/>
      <c r="BFB143" s="33"/>
      <c r="BFC143" s="33"/>
      <c r="BFD143" s="33"/>
      <c r="BFE143" s="33"/>
      <c r="BFF143" s="33"/>
      <c r="BFG143" s="33"/>
      <c r="BFH143" s="33"/>
      <c r="BFI143" s="33"/>
      <c r="BFJ143" s="33"/>
      <c r="BFK143" s="33"/>
      <c r="BFL143" s="33"/>
      <c r="BFM143" s="33"/>
      <c r="BFN143" s="33"/>
      <c r="BFO143" s="33"/>
      <c r="BFP143" s="33"/>
      <c r="BFQ143" s="33"/>
      <c r="BFR143" s="33"/>
      <c r="BFS143" s="33"/>
      <c r="BFT143" s="33"/>
      <c r="BFU143" s="33"/>
      <c r="BFV143" s="33"/>
      <c r="BFW143" s="33"/>
      <c r="BFX143" s="33"/>
      <c r="BFY143" s="33"/>
      <c r="BFZ143" s="33"/>
      <c r="BGA143" s="33"/>
      <c r="BGB143" s="33"/>
      <c r="BGC143" s="33"/>
      <c r="BGD143" s="33"/>
      <c r="BGE143" s="33"/>
      <c r="BGF143" s="33"/>
      <c r="BGG143" s="33"/>
      <c r="BGH143" s="33"/>
      <c r="BGI143" s="33"/>
      <c r="BGJ143" s="33"/>
      <c r="BGK143" s="33"/>
      <c r="BGL143" s="33"/>
      <c r="BGM143" s="33"/>
      <c r="BGN143" s="33"/>
      <c r="BGO143" s="33"/>
      <c r="BGP143" s="33"/>
      <c r="BGQ143" s="33"/>
      <c r="BGR143" s="33"/>
      <c r="BGS143" s="33"/>
      <c r="BGT143" s="33"/>
      <c r="BGU143" s="33"/>
      <c r="BGV143" s="33"/>
      <c r="BGW143" s="33"/>
      <c r="BGX143" s="33"/>
      <c r="BGY143" s="33"/>
      <c r="BGZ143" s="33"/>
      <c r="BHA143" s="33"/>
      <c r="BHB143" s="33"/>
      <c r="BHC143" s="33"/>
      <c r="BHD143" s="33"/>
      <c r="BHE143" s="33"/>
      <c r="BHF143" s="33"/>
      <c r="BHG143" s="33"/>
      <c r="BHH143" s="33"/>
      <c r="BHI143" s="33"/>
      <c r="BHJ143" s="33"/>
      <c r="BHK143" s="33"/>
      <c r="BHL143" s="33"/>
      <c r="BHM143" s="33"/>
      <c r="BHN143" s="33"/>
      <c r="BHO143" s="33"/>
      <c r="BHP143" s="33"/>
      <c r="BHQ143" s="33"/>
      <c r="BHR143" s="33"/>
      <c r="BHS143" s="33"/>
      <c r="BHT143" s="33"/>
      <c r="BHU143" s="33"/>
      <c r="BHV143" s="33"/>
      <c r="BHW143" s="33"/>
      <c r="BHX143" s="33"/>
      <c r="BHY143" s="33"/>
      <c r="BHZ143" s="33"/>
      <c r="BIA143" s="33"/>
      <c r="BIB143" s="33"/>
      <c r="BIC143" s="33"/>
      <c r="BID143" s="33"/>
      <c r="BIE143" s="33"/>
      <c r="BIF143" s="33"/>
      <c r="BIG143" s="33"/>
      <c r="BIH143" s="33"/>
      <c r="BII143" s="33"/>
      <c r="BIJ143" s="33"/>
      <c r="BIK143" s="33"/>
      <c r="BIL143" s="33"/>
      <c r="BIM143" s="33"/>
      <c r="BIN143" s="33"/>
      <c r="BIO143" s="33"/>
      <c r="BIP143" s="33"/>
      <c r="BIQ143" s="33"/>
      <c r="BIR143" s="33"/>
      <c r="BIS143" s="33"/>
      <c r="BIT143" s="33"/>
      <c r="BIU143" s="33"/>
      <c r="BIV143" s="33"/>
      <c r="BIW143" s="33"/>
      <c r="BIX143" s="33"/>
      <c r="BIY143" s="33"/>
      <c r="BIZ143" s="33"/>
      <c r="BJA143" s="33"/>
      <c r="BJB143" s="33"/>
      <c r="BJC143" s="33"/>
      <c r="BJD143" s="33"/>
      <c r="BJE143" s="33"/>
      <c r="BJF143" s="33"/>
      <c r="BJG143" s="33"/>
      <c r="BJH143" s="33"/>
      <c r="BJI143" s="33"/>
      <c r="BJJ143" s="33"/>
      <c r="BJK143" s="33"/>
      <c r="BJL143" s="33"/>
      <c r="BJM143" s="33"/>
      <c r="BJN143" s="33"/>
      <c r="BJO143" s="33"/>
      <c r="BJP143" s="33"/>
      <c r="BJQ143" s="33"/>
      <c r="BJR143" s="33"/>
      <c r="BJS143" s="33"/>
      <c r="BJT143" s="33"/>
      <c r="BJU143" s="33"/>
      <c r="BJV143" s="33"/>
      <c r="BJW143" s="33"/>
      <c r="BJX143" s="33"/>
      <c r="BJY143" s="33"/>
      <c r="BJZ143" s="33"/>
      <c r="BKA143" s="33"/>
      <c r="BKB143" s="33"/>
      <c r="BKC143" s="33"/>
      <c r="BKD143" s="33"/>
      <c r="BKE143" s="33"/>
      <c r="BKF143" s="33"/>
      <c r="BKG143" s="33"/>
      <c r="BKH143" s="33"/>
      <c r="BKI143" s="33"/>
      <c r="BKJ143" s="33"/>
      <c r="BKK143" s="33"/>
      <c r="BKL143" s="33"/>
      <c r="BKM143" s="33"/>
      <c r="BKN143" s="33"/>
      <c r="BKO143" s="33"/>
      <c r="BKP143" s="33"/>
      <c r="BKQ143" s="33"/>
      <c r="BKR143" s="33"/>
      <c r="BKS143" s="33"/>
      <c r="BKT143" s="33"/>
      <c r="BKU143" s="33"/>
      <c r="BKV143" s="33"/>
      <c r="BKW143" s="33"/>
      <c r="BKX143" s="33"/>
      <c r="BKY143" s="33"/>
      <c r="BKZ143" s="33"/>
      <c r="BLA143" s="33"/>
      <c r="BLB143" s="33"/>
      <c r="BLC143" s="33"/>
      <c r="BLD143" s="33"/>
      <c r="BLE143" s="33"/>
      <c r="BLF143" s="33"/>
      <c r="BLG143" s="33"/>
      <c r="BLH143" s="33"/>
      <c r="BLI143" s="33"/>
      <c r="BLJ143" s="33"/>
      <c r="BLK143" s="33"/>
      <c r="BLL143" s="33"/>
      <c r="BLM143" s="33"/>
      <c r="BLN143" s="33"/>
      <c r="BLO143" s="33"/>
      <c r="BLP143" s="33"/>
      <c r="BLQ143" s="33"/>
      <c r="BLR143" s="33"/>
      <c r="BLS143" s="33"/>
      <c r="BLT143" s="33"/>
      <c r="BLU143" s="33"/>
      <c r="BLV143" s="33"/>
      <c r="BLW143" s="33"/>
      <c r="BLX143" s="33"/>
      <c r="BLY143" s="33"/>
      <c r="BLZ143" s="33"/>
      <c r="BMA143" s="33"/>
      <c r="BMB143" s="33"/>
      <c r="BMC143" s="33"/>
      <c r="BMD143" s="33"/>
      <c r="BME143" s="33"/>
      <c r="BMF143" s="33"/>
      <c r="BMG143" s="33"/>
      <c r="BMH143" s="33"/>
      <c r="BMI143" s="33"/>
      <c r="BMJ143" s="33"/>
      <c r="BMK143" s="33"/>
      <c r="BML143" s="33"/>
      <c r="BMM143" s="33"/>
      <c r="BMN143" s="33"/>
      <c r="BMO143" s="33"/>
      <c r="BMP143" s="33"/>
      <c r="BMQ143" s="33"/>
      <c r="BMR143" s="33"/>
      <c r="BMS143" s="33"/>
      <c r="BMT143" s="33"/>
      <c r="BMU143" s="33"/>
      <c r="BMV143" s="33"/>
      <c r="BMW143" s="33"/>
      <c r="BMX143" s="33"/>
      <c r="BMY143" s="33"/>
      <c r="BMZ143" s="33"/>
      <c r="BNA143" s="33"/>
      <c r="BNB143" s="33"/>
      <c r="BNC143" s="33"/>
      <c r="BND143" s="33"/>
      <c r="BNE143" s="33"/>
      <c r="BNF143" s="33"/>
      <c r="BNG143" s="33"/>
      <c r="BNH143" s="33"/>
      <c r="BNI143" s="33"/>
      <c r="BNJ143" s="33"/>
      <c r="BNK143" s="33"/>
      <c r="BNL143" s="33"/>
      <c r="BNM143" s="33"/>
      <c r="BNN143" s="33"/>
      <c r="BNO143" s="33"/>
      <c r="BNP143" s="33"/>
      <c r="BNQ143" s="33"/>
      <c r="BNR143" s="33"/>
      <c r="BNS143" s="33"/>
      <c r="BNT143" s="33"/>
      <c r="BNU143" s="33"/>
      <c r="BNV143" s="33"/>
      <c r="BNW143" s="33"/>
      <c r="BNX143" s="33"/>
      <c r="BNY143" s="33"/>
      <c r="BNZ143" s="33"/>
      <c r="BOA143" s="33"/>
      <c r="BOB143" s="33"/>
      <c r="BOC143" s="33"/>
      <c r="BOD143" s="33"/>
      <c r="BOE143" s="33"/>
      <c r="BOF143" s="33"/>
      <c r="BOG143" s="33"/>
      <c r="BOH143" s="33"/>
      <c r="BOI143" s="33"/>
      <c r="BOJ143" s="33"/>
      <c r="BOK143" s="33"/>
      <c r="BOL143" s="33"/>
      <c r="BOM143" s="33"/>
      <c r="BON143" s="33"/>
      <c r="BOO143" s="33"/>
      <c r="BOP143" s="33"/>
      <c r="BOQ143" s="33"/>
      <c r="BOR143" s="33"/>
      <c r="BOS143" s="33"/>
      <c r="BOT143" s="33"/>
      <c r="BOU143" s="33"/>
      <c r="BOV143" s="33"/>
      <c r="BOW143" s="33"/>
      <c r="BOX143" s="33"/>
      <c r="BOY143" s="33"/>
      <c r="BOZ143" s="33"/>
      <c r="BPA143" s="33"/>
      <c r="BPB143" s="33"/>
      <c r="BPC143" s="33"/>
      <c r="BPD143" s="33"/>
      <c r="BPE143" s="33"/>
      <c r="BPF143" s="33"/>
      <c r="BPG143" s="33"/>
      <c r="BPH143" s="33"/>
      <c r="BPI143" s="33"/>
      <c r="BPJ143" s="33"/>
      <c r="BPK143" s="33"/>
      <c r="BPL143" s="33"/>
      <c r="BPM143" s="33"/>
      <c r="BPN143" s="33"/>
      <c r="BPO143" s="33"/>
      <c r="BPP143" s="33"/>
      <c r="BPQ143" s="33"/>
      <c r="BPR143" s="33"/>
      <c r="BPS143" s="33"/>
      <c r="BPT143" s="33"/>
      <c r="BPU143" s="33"/>
      <c r="BPV143" s="33"/>
      <c r="BPW143" s="33"/>
      <c r="BPX143" s="33"/>
      <c r="BPY143" s="33"/>
      <c r="BPZ143" s="33"/>
      <c r="BQA143" s="33"/>
      <c r="BQB143" s="33"/>
      <c r="BQC143" s="33"/>
      <c r="BQD143" s="33"/>
      <c r="BQE143" s="33"/>
      <c r="BQF143" s="33"/>
      <c r="BQG143" s="33"/>
      <c r="BQH143" s="33"/>
      <c r="BQI143" s="33"/>
      <c r="BQJ143" s="33"/>
      <c r="BQK143" s="33"/>
      <c r="BQL143" s="33"/>
      <c r="BQM143" s="33"/>
      <c r="BQN143" s="33"/>
      <c r="BQO143" s="33"/>
      <c r="BQP143" s="33"/>
      <c r="BQQ143" s="33"/>
      <c r="BQR143" s="33"/>
      <c r="BQS143" s="33"/>
      <c r="BQT143" s="33"/>
      <c r="BQU143" s="33"/>
      <c r="BQV143" s="33"/>
      <c r="BQW143" s="33"/>
      <c r="BQX143" s="33"/>
      <c r="BQY143" s="33"/>
      <c r="BQZ143" s="33"/>
      <c r="BRA143" s="33"/>
      <c r="BRB143" s="33"/>
      <c r="BRC143" s="33"/>
      <c r="BRD143" s="33"/>
      <c r="BRE143" s="33"/>
      <c r="BRF143" s="33"/>
      <c r="BRG143" s="33"/>
      <c r="BRH143" s="33"/>
      <c r="BRI143" s="33"/>
      <c r="BRJ143" s="33"/>
      <c r="BRK143" s="33"/>
      <c r="BRL143" s="33"/>
      <c r="BRM143" s="33"/>
      <c r="BRN143" s="33"/>
      <c r="BRO143" s="33"/>
      <c r="BRP143" s="33"/>
      <c r="BRQ143" s="33"/>
      <c r="BRR143" s="33"/>
      <c r="BRS143" s="33"/>
      <c r="BRT143" s="33"/>
      <c r="BRU143" s="33"/>
      <c r="BRV143" s="33"/>
      <c r="BRW143" s="33"/>
      <c r="BRX143" s="33"/>
      <c r="BRY143" s="33"/>
      <c r="BRZ143" s="33"/>
      <c r="BSA143" s="33"/>
      <c r="BSB143" s="33"/>
      <c r="BSC143" s="33"/>
      <c r="BSD143" s="33"/>
      <c r="BSE143" s="33"/>
      <c r="BSF143" s="33"/>
      <c r="BSG143" s="33"/>
      <c r="BSH143" s="33"/>
      <c r="BSI143" s="33"/>
      <c r="BSJ143" s="33"/>
      <c r="BSK143" s="33"/>
      <c r="BSL143" s="33"/>
      <c r="BSM143" s="33"/>
      <c r="BSN143" s="33"/>
      <c r="BSO143" s="33"/>
      <c r="BSP143" s="33"/>
      <c r="BSQ143" s="33"/>
      <c r="BSR143" s="33"/>
      <c r="BSS143" s="33"/>
      <c r="BST143" s="33"/>
      <c r="BSU143" s="33"/>
      <c r="BSV143" s="33"/>
      <c r="BSW143" s="33"/>
      <c r="BSX143" s="33"/>
      <c r="BSY143" s="33"/>
      <c r="BSZ143" s="33"/>
      <c r="BTA143" s="33"/>
      <c r="BTB143" s="33"/>
      <c r="BTC143" s="33"/>
      <c r="BTD143" s="33"/>
      <c r="BTE143" s="33"/>
      <c r="BTF143" s="33"/>
      <c r="BTG143" s="33"/>
      <c r="BTH143" s="33"/>
      <c r="BTI143" s="33"/>
      <c r="BTJ143" s="33"/>
      <c r="BTK143" s="33"/>
      <c r="BTL143" s="33"/>
      <c r="BTM143" s="33"/>
      <c r="BTN143" s="33"/>
      <c r="BTO143" s="33"/>
      <c r="BTP143" s="33"/>
      <c r="BTQ143" s="33"/>
      <c r="BTR143" s="33"/>
      <c r="BTS143" s="33"/>
      <c r="BTT143" s="33"/>
      <c r="BTU143" s="33"/>
      <c r="BTV143" s="33"/>
      <c r="BTW143" s="33"/>
      <c r="BTX143" s="33"/>
      <c r="BTY143" s="33"/>
      <c r="BTZ143" s="33"/>
      <c r="BUA143" s="33"/>
      <c r="BUB143" s="33"/>
      <c r="BUC143" s="33"/>
      <c r="BUD143" s="33"/>
      <c r="BUE143" s="33"/>
      <c r="BUF143" s="33"/>
      <c r="BUG143" s="33"/>
      <c r="BUH143" s="33"/>
      <c r="BUI143" s="33"/>
      <c r="BUJ143" s="33"/>
      <c r="BUK143" s="33"/>
      <c r="BUL143" s="33"/>
      <c r="BUM143" s="33"/>
      <c r="BUN143" s="33"/>
      <c r="BUO143" s="33"/>
      <c r="BUP143" s="33"/>
      <c r="BUQ143" s="33"/>
      <c r="BUR143" s="33"/>
      <c r="BUS143" s="33"/>
      <c r="BUT143" s="33"/>
      <c r="BUU143" s="33"/>
      <c r="BUV143" s="33"/>
      <c r="BUW143" s="33"/>
      <c r="BUX143" s="33"/>
      <c r="BUY143" s="33"/>
      <c r="BUZ143" s="33"/>
      <c r="BVA143" s="33"/>
      <c r="BVB143" s="33"/>
      <c r="BVC143" s="33"/>
      <c r="BVD143" s="33"/>
      <c r="BVE143" s="33"/>
      <c r="BVF143" s="33"/>
      <c r="BVG143" s="33"/>
      <c r="BVH143" s="33"/>
      <c r="BVI143" s="33"/>
      <c r="BVJ143" s="33"/>
      <c r="BVK143" s="33"/>
      <c r="BVL143" s="33"/>
      <c r="BVM143" s="33"/>
      <c r="BVN143" s="33"/>
      <c r="BVO143" s="33"/>
      <c r="BVP143" s="33"/>
      <c r="BVQ143" s="33"/>
      <c r="BVR143" s="33"/>
      <c r="BVS143" s="33"/>
      <c r="BVT143" s="33"/>
      <c r="BVU143" s="33"/>
      <c r="BVV143" s="33"/>
      <c r="BVW143" s="33"/>
      <c r="BVX143" s="33"/>
      <c r="BVY143" s="33"/>
      <c r="BVZ143" s="33"/>
      <c r="BWA143" s="33"/>
      <c r="BWB143" s="33"/>
      <c r="BWC143" s="33"/>
      <c r="BWD143" s="33"/>
      <c r="BWE143" s="33"/>
      <c r="BWF143" s="33"/>
      <c r="BWG143" s="33"/>
      <c r="BWH143" s="33"/>
      <c r="BWI143" s="33"/>
      <c r="BWJ143" s="33"/>
      <c r="BWK143" s="33"/>
      <c r="BWL143" s="33"/>
      <c r="BWM143" s="33"/>
      <c r="BWN143" s="33"/>
      <c r="BWO143" s="33"/>
      <c r="BWP143" s="33"/>
      <c r="BWQ143" s="33"/>
      <c r="BWR143" s="33"/>
      <c r="BWS143" s="33"/>
      <c r="BWT143" s="33"/>
      <c r="BWU143" s="33"/>
      <c r="BWV143" s="33"/>
      <c r="BWW143" s="33"/>
      <c r="BWX143" s="33"/>
      <c r="BWY143" s="33"/>
      <c r="BWZ143" s="33"/>
      <c r="BXA143" s="33"/>
      <c r="BXB143" s="33"/>
      <c r="BXC143" s="33"/>
      <c r="BXD143" s="33"/>
      <c r="BXE143" s="33"/>
      <c r="BXF143" s="33"/>
      <c r="BXG143" s="33"/>
      <c r="BXH143" s="33"/>
      <c r="BXI143" s="33"/>
      <c r="BXJ143" s="33"/>
      <c r="BXK143" s="33"/>
      <c r="BXL143" s="33"/>
      <c r="BXM143" s="33"/>
      <c r="BXN143" s="33"/>
      <c r="BXO143" s="33"/>
      <c r="BXP143" s="33"/>
      <c r="BXQ143" s="33"/>
      <c r="BXR143" s="33"/>
      <c r="BXS143" s="33"/>
      <c r="BXT143" s="33"/>
      <c r="BXU143" s="33"/>
      <c r="BXV143" s="33"/>
      <c r="BXW143" s="33"/>
      <c r="BXX143" s="33"/>
      <c r="BXY143" s="33"/>
      <c r="BXZ143" s="33"/>
      <c r="BYA143" s="33"/>
      <c r="BYB143" s="33"/>
      <c r="BYC143" s="33"/>
      <c r="BYD143" s="33"/>
      <c r="BYE143" s="33"/>
      <c r="BYF143" s="33"/>
      <c r="BYG143" s="33"/>
      <c r="BYH143" s="33"/>
      <c r="BYI143" s="33"/>
      <c r="BYJ143" s="33"/>
      <c r="BYK143" s="33"/>
      <c r="BYL143" s="33"/>
      <c r="BYM143" s="33"/>
      <c r="BYN143" s="33"/>
      <c r="BYO143" s="33"/>
      <c r="BYP143" s="33"/>
      <c r="BYQ143" s="33"/>
      <c r="BYR143" s="33"/>
      <c r="BYS143" s="33"/>
      <c r="BYT143" s="33"/>
      <c r="BYU143" s="33"/>
      <c r="BYV143" s="33"/>
      <c r="BYW143" s="33"/>
      <c r="BYX143" s="33"/>
      <c r="BYY143" s="33"/>
      <c r="BYZ143" s="33"/>
      <c r="BZA143" s="33"/>
      <c r="BZB143" s="33"/>
      <c r="BZC143" s="33"/>
      <c r="BZD143" s="33"/>
      <c r="BZE143" s="33"/>
      <c r="BZF143" s="33"/>
      <c r="BZG143" s="33"/>
      <c r="BZH143" s="33"/>
      <c r="BZI143" s="33"/>
      <c r="BZJ143" s="33"/>
      <c r="BZK143" s="33"/>
      <c r="BZL143" s="33"/>
      <c r="BZM143" s="33"/>
      <c r="BZN143" s="33"/>
      <c r="BZO143" s="33"/>
      <c r="BZP143" s="33"/>
      <c r="BZQ143" s="33"/>
      <c r="BZR143" s="33"/>
      <c r="BZS143" s="33"/>
      <c r="BZT143" s="33"/>
      <c r="BZU143" s="33"/>
      <c r="BZV143" s="33"/>
      <c r="BZW143" s="33"/>
      <c r="BZX143" s="33"/>
      <c r="BZY143" s="33"/>
      <c r="BZZ143" s="33"/>
      <c r="CAA143" s="33"/>
      <c r="CAB143" s="33"/>
      <c r="CAC143" s="33"/>
      <c r="CAD143" s="33"/>
      <c r="CAE143" s="33"/>
      <c r="CAF143" s="33"/>
      <c r="CAG143" s="33"/>
      <c r="CAH143" s="33"/>
      <c r="CAI143" s="33"/>
      <c r="CAJ143" s="33"/>
      <c r="CAK143" s="33"/>
      <c r="CAL143" s="33"/>
      <c r="CAM143" s="33"/>
      <c r="CAN143" s="33"/>
      <c r="CAO143" s="33"/>
      <c r="CAP143" s="33"/>
      <c r="CAQ143" s="33"/>
      <c r="CAR143" s="33"/>
      <c r="CAS143" s="33"/>
      <c r="CAT143" s="33"/>
      <c r="CAU143" s="33"/>
      <c r="CAV143" s="33"/>
      <c r="CAW143" s="33"/>
      <c r="CAX143" s="33"/>
      <c r="CAY143" s="33"/>
      <c r="CAZ143" s="33"/>
      <c r="CBA143" s="33"/>
      <c r="CBB143" s="33"/>
      <c r="CBC143" s="33"/>
      <c r="CBD143" s="33"/>
      <c r="CBE143" s="33"/>
      <c r="CBF143" s="33"/>
      <c r="CBG143" s="33"/>
      <c r="CBH143" s="33"/>
      <c r="CBI143" s="33"/>
      <c r="CBJ143" s="33"/>
      <c r="CBK143" s="33"/>
      <c r="CBL143" s="33"/>
      <c r="CBM143" s="33"/>
      <c r="CBN143" s="33"/>
      <c r="CBO143" s="33"/>
      <c r="CBP143" s="33"/>
      <c r="CBQ143" s="33"/>
      <c r="CBR143" s="33"/>
      <c r="CBS143" s="33"/>
      <c r="CBT143" s="33"/>
      <c r="CBU143" s="33"/>
      <c r="CBV143" s="33"/>
      <c r="CBW143" s="33"/>
      <c r="CBX143" s="33"/>
      <c r="CBY143" s="33"/>
      <c r="CBZ143" s="33"/>
      <c r="CCA143" s="33"/>
      <c r="CCB143" s="33"/>
      <c r="CCC143" s="33"/>
      <c r="CCD143" s="33"/>
      <c r="CCE143" s="33"/>
      <c r="CCF143" s="33"/>
      <c r="CCG143" s="33"/>
      <c r="CCH143" s="33"/>
      <c r="CCI143" s="33"/>
      <c r="CCJ143" s="33"/>
      <c r="CCK143" s="33"/>
      <c r="CCL143" s="33"/>
      <c r="CCM143" s="33"/>
      <c r="CCN143" s="33"/>
      <c r="CCO143" s="33"/>
      <c r="CCP143" s="33"/>
      <c r="CCQ143" s="33"/>
      <c r="CCR143" s="33"/>
      <c r="CCS143" s="33"/>
      <c r="CCT143" s="33"/>
      <c r="CCU143" s="33"/>
      <c r="CCV143" s="33"/>
      <c r="CCW143" s="33"/>
      <c r="CCX143" s="33"/>
      <c r="CCY143" s="33"/>
      <c r="CCZ143" s="33"/>
      <c r="CDA143" s="33"/>
      <c r="CDB143" s="33"/>
      <c r="CDC143" s="33"/>
      <c r="CDD143" s="33"/>
      <c r="CDE143" s="33"/>
      <c r="CDF143" s="33"/>
      <c r="CDG143" s="33"/>
      <c r="CDH143" s="33"/>
      <c r="CDI143" s="33"/>
      <c r="CDJ143" s="33"/>
      <c r="CDK143" s="33"/>
      <c r="CDL143" s="33"/>
      <c r="CDM143" s="33"/>
      <c r="CDN143" s="33"/>
      <c r="CDO143" s="33"/>
      <c r="CDP143" s="33"/>
      <c r="CDQ143" s="33"/>
      <c r="CDR143" s="33"/>
      <c r="CDS143" s="33"/>
      <c r="CDT143" s="33"/>
      <c r="CDU143" s="33"/>
      <c r="CDV143" s="33"/>
      <c r="CDW143" s="33"/>
      <c r="CDX143" s="33"/>
      <c r="CDY143" s="33"/>
      <c r="CDZ143" s="33"/>
      <c r="CEA143" s="33"/>
      <c r="CEB143" s="33"/>
      <c r="CEC143" s="33"/>
      <c r="CED143" s="33"/>
      <c r="CEE143" s="33"/>
      <c r="CEF143" s="33"/>
      <c r="CEG143" s="33"/>
      <c r="CEH143" s="33"/>
      <c r="CEI143" s="33"/>
      <c r="CEJ143" s="33"/>
      <c r="CEK143" s="33"/>
      <c r="CEL143" s="33"/>
      <c r="CEM143" s="33"/>
      <c r="CEN143" s="33"/>
      <c r="CEO143" s="33"/>
      <c r="CEP143" s="33"/>
      <c r="CEQ143" s="33"/>
      <c r="CER143" s="33"/>
      <c r="CES143" s="33"/>
      <c r="CET143" s="33"/>
      <c r="CEU143" s="33"/>
      <c r="CEV143" s="33"/>
      <c r="CEW143" s="33"/>
      <c r="CEX143" s="33"/>
      <c r="CEY143" s="33"/>
      <c r="CEZ143" s="33"/>
      <c r="CFA143" s="33"/>
      <c r="CFB143" s="33"/>
      <c r="CFC143" s="33"/>
      <c r="CFD143" s="33"/>
      <c r="CFE143" s="33"/>
      <c r="CFF143" s="33"/>
      <c r="CFG143" s="33"/>
      <c r="CFH143" s="33"/>
      <c r="CFI143" s="33"/>
      <c r="CFJ143" s="33"/>
      <c r="CFK143" s="33"/>
      <c r="CFL143" s="33"/>
      <c r="CFM143" s="33"/>
      <c r="CFN143" s="33"/>
      <c r="CFO143" s="33"/>
      <c r="CFP143" s="33"/>
      <c r="CFQ143" s="33"/>
      <c r="CFR143" s="33"/>
      <c r="CFS143" s="33"/>
      <c r="CFT143" s="33"/>
      <c r="CFU143" s="33"/>
      <c r="CFV143" s="33"/>
      <c r="CFW143" s="33"/>
      <c r="CFX143" s="33"/>
      <c r="CFY143" s="33"/>
      <c r="CFZ143" s="33"/>
      <c r="CGA143" s="33"/>
      <c r="CGB143" s="33"/>
      <c r="CGC143" s="33"/>
      <c r="CGD143" s="33"/>
      <c r="CGE143" s="33"/>
      <c r="CGF143" s="33"/>
      <c r="CGG143" s="33"/>
      <c r="CGH143" s="33"/>
      <c r="CGI143" s="33"/>
      <c r="CGJ143" s="33"/>
      <c r="CGK143" s="33"/>
      <c r="CGL143" s="33"/>
      <c r="CGM143" s="33"/>
      <c r="CGN143" s="33"/>
      <c r="CGO143" s="33"/>
      <c r="CGP143" s="33"/>
      <c r="CGQ143" s="33"/>
      <c r="CGR143" s="33"/>
      <c r="CGS143" s="33"/>
      <c r="CGT143" s="33"/>
      <c r="CGU143" s="33"/>
      <c r="CGV143" s="33"/>
      <c r="CGW143" s="33"/>
      <c r="CGX143" s="33"/>
      <c r="CGY143" s="33"/>
      <c r="CGZ143" s="33"/>
      <c r="CHA143" s="33"/>
      <c r="CHB143" s="33"/>
      <c r="CHC143" s="33"/>
      <c r="CHD143" s="33"/>
      <c r="CHE143" s="33"/>
      <c r="CHF143" s="33"/>
      <c r="CHG143" s="33"/>
      <c r="CHH143" s="33"/>
      <c r="CHI143" s="33"/>
      <c r="CHJ143" s="33"/>
      <c r="CHK143" s="33"/>
      <c r="CHL143" s="33"/>
      <c r="CHM143" s="33"/>
      <c r="CHN143" s="33"/>
      <c r="CHO143" s="33"/>
      <c r="CHP143" s="33"/>
      <c r="CHQ143" s="33"/>
      <c r="CHR143" s="33"/>
      <c r="CHS143" s="33"/>
      <c r="CHT143" s="33"/>
      <c r="CHU143" s="33"/>
      <c r="CHV143" s="33"/>
      <c r="CHW143" s="33"/>
      <c r="CHX143" s="33"/>
      <c r="CHY143" s="33"/>
      <c r="CHZ143" s="33"/>
      <c r="CIA143" s="33"/>
      <c r="CIB143" s="33"/>
      <c r="CIC143" s="33"/>
      <c r="CID143" s="33"/>
      <c r="CIE143" s="33"/>
      <c r="CIF143" s="33"/>
      <c r="CIG143" s="33"/>
      <c r="CIH143" s="33"/>
      <c r="CII143" s="33"/>
      <c r="CIJ143" s="33"/>
      <c r="CIK143" s="33"/>
      <c r="CIL143" s="33"/>
      <c r="CIM143" s="33"/>
      <c r="CIN143" s="33"/>
      <c r="CIO143" s="33"/>
      <c r="CIP143" s="33"/>
      <c r="CIQ143" s="33"/>
      <c r="CIR143" s="33"/>
      <c r="CIS143" s="33"/>
      <c r="CIT143" s="33"/>
      <c r="CIU143" s="33"/>
      <c r="CIV143" s="33"/>
      <c r="CIW143" s="33"/>
      <c r="CIX143" s="33"/>
      <c r="CIY143" s="33"/>
      <c r="CIZ143" s="33"/>
      <c r="CJA143" s="33"/>
      <c r="CJB143" s="33"/>
      <c r="CJC143" s="33"/>
      <c r="CJD143" s="33"/>
      <c r="CJE143" s="33"/>
      <c r="CJF143" s="33"/>
      <c r="CJG143" s="33"/>
      <c r="CJH143" s="33"/>
      <c r="CJI143" s="33"/>
      <c r="CJJ143" s="33"/>
      <c r="CJK143" s="33"/>
      <c r="CJL143" s="33"/>
      <c r="CJM143" s="33"/>
      <c r="CJN143" s="33"/>
      <c r="CJO143" s="33"/>
      <c r="CJP143" s="33"/>
      <c r="CJQ143" s="33"/>
      <c r="CJR143" s="33"/>
      <c r="CJS143" s="33"/>
      <c r="CJT143" s="33"/>
      <c r="CJU143" s="33"/>
      <c r="CJV143" s="33"/>
      <c r="CJW143" s="33"/>
      <c r="CJX143" s="33"/>
      <c r="CJY143" s="33"/>
      <c r="CJZ143" s="33"/>
      <c r="CKA143" s="33"/>
      <c r="CKB143" s="33"/>
      <c r="CKC143" s="33"/>
      <c r="CKD143" s="33"/>
      <c r="CKE143" s="33"/>
      <c r="CKF143" s="33"/>
      <c r="CKG143" s="33"/>
      <c r="CKH143" s="33"/>
      <c r="CKI143" s="33"/>
      <c r="CKJ143" s="33"/>
      <c r="CKK143" s="33"/>
      <c r="CKL143" s="33"/>
      <c r="CKM143" s="33"/>
      <c r="CKN143" s="33"/>
      <c r="CKO143" s="33"/>
      <c r="CKP143" s="33"/>
      <c r="CKQ143" s="33"/>
      <c r="CKR143" s="33"/>
      <c r="CKS143" s="33"/>
      <c r="CKT143" s="33"/>
      <c r="CKU143" s="33"/>
      <c r="CKV143" s="33"/>
      <c r="CKW143" s="33"/>
      <c r="CKX143" s="33"/>
      <c r="CKY143" s="33"/>
      <c r="CKZ143" s="33"/>
      <c r="CLA143" s="33"/>
      <c r="CLB143" s="33"/>
      <c r="CLC143" s="33"/>
      <c r="CLD143" s="33"/>
      <c r="CLE143" s="33"/>
      <c r="CLF143" s="33"/>
      <c r="CLG143" s="33"/>
      <c r="CLH143" s="33"/>
      <c r="CLI143" s="33"/>
      <c r="CLJ143" s="33"/>
      <c r="CLK143" s="33"/>
      <c r="CLL143" s="33"/>
      <c r="CLM143" s="33"/>
      <c r="CLN143" s="33"/>
      <c r="CLO143" s="33"/>
      <c r="CLP143" s="33"/>
      <c r="CLQ143" s="33"/>
      <c r="CLR143" s="33"/>
      <c r="CLS143" s="33"/>
      <c r="CLT143" s="33"/>
      <c r="CLU143" s="33"/>
      <c r="CLV143" s="33"/>
      <c r="CLW143" s="33"/>
      <c r="CLX143" s="33"/>
      <c r="CLY143" s="33"/>
      <c r="CLZ143" s="33"/>
      <c r="CMA143" s="33"/>
      <c r="CMB143" s="33"/>
      <c r="CMC143" s="33"/>
      <c r="CMD143" s="33"/>
      <c r="CME143" s="33"/>
      <c r="CMF143" s="33"/>
      <c r="CMG143" s="33"/>
      <c r="CMH143" s="33"/>
      <c r="CMI143" s="33"/>
      <c r="CMJ143" s="33"/>
      <c r="CMK143" s="33"/>
      <c r="CML143" s="33"/>
      <c r="CMM143" s="33"/>
      <c r="CMN143" s="33"/>
      <c r="CMO143" s="33"/>
      <c r="CMP143" s="33"/>
      <c r="CMQ143" s="33"/>
      <c r="CMR143" s="33"/>
      <c r="CMS143" s="33"/>
      <c r="CMT143" s="33"/>
      <c r="CMU143" s="33"/>
      <c r="CMV143" s="33"/>
      <c r="CMW143" s="33"/>
      <c r="CMX143" s="33"/>
      <c r="CMY143" s="33"/>
      <c r="CMZ143" s="33"/>
      <c r="CNA143" s="33"/>
      <c r="CNB143" s="33"/>
      <c r="CNC143" s="33"/>
      <c r="CND143" s="33"/>
      <c r="CNE143" s="33"/>
      <c r="CNF143" s="33"/>
      <c r="CNG143" s="33"/>
      <c r="CNH143" s="33"/>
      <c r="CNI143" s="33"/>
      <c r="CNJ143" s="33"/>
      <c r="CNK143" s="33"/>
      <c r="CNL143" s="33"/>
      <c r="CNM143" s="33"/>
      <c r="CNN143" s="33"/>
      <c r="CNO143" s="33"/>
      <c r="CNP143" s="33"/>
      <c r="CNQ143" s="33"/>
      <c r="CNR143" s="33"/>
      <c r="CNS143" s="33"/>
      <c r="CNT143" s="33"/>
      <c r="CNU143" s="33"/>
      <c r="CNV143" s="33"/>
      <c r="CNW143" s="33"/>
      <c r="CNX143" s="33"/>
      <c r="CNY143" s="33"/>
      <c r="CNZ143" s="33"/>
      <c r="COA143" s="33"/>
      <c r="COB143" s="33"/>
      <c r="COC143" s="33"/>
      <c r="COD143" s="33"/>
      <c r="COE143" s="33"/>
      <c r="COF143" s="33"/>
      <c r="COG143" s="33"/>
      <c r="COH143" s="33"/>
      <c r="COI143" s="33"/>
      <c r="COJ143" s="33"/>
      <c r="COK143" s="33"/>
      <c r="COL143" s="33"/>
      <c r="COM143" s="33"/>
      <c r="CON143" s="33"/>
      <c r="COO143" s="33"/>
      <c r="COP143" s="33"/>
      <c r="COQ143" s="33"/>
      <c r="COR143" s="33"/>
      <c r="COS143" s="33"/>
      <c r="COT143" s="33"/>
      <c r="COU143" s="33"/>
      <c r="COV143" s="33"/>
      <c r="COW143" s="33"/>
      <c r="COX143" s="33"/>
      <c r="COY143" s="33"/>
      <c r="COZ143" s="33"/>
      <c r="CPA143" s="33"/>
      <c r="CPB143" s="33"/>
      <c r="CPC143" s="33"/>
      <c r="CPD143" s="33"/>
      <c r="CPE143" s="33"/>
      <c r="CPF143" s="33"/>
      <c r="CPG143" s="33"/>
      <c r="CPH143" s="33"/>
      <c r="CPI143" s="33"/>
      <c r="CPJ143" s="33"/>
      <c r="CPK143" s="33"/>
      <c r="CPL143" s="33"/>
      <c r="CPM143" s="33"/>
      <c r="CPN143" s="33"/>
      <c r="CPO143" s="33"/>
      <c r="CPP143" s="33"/>
      <c r="CPQ143" s="33"/>
      <c r="CPR143" s="33"/>
      <c r="CPS143" s="33"/>
      <c r="CPT143" s="33"/>
      <c r="CPU143" s="33"/>
      <c r="CPV143" s="33"/>
      <c r="CPW143" s="33"/>
      <c r="CPX143" s="33"/>
      <c r="CPY143" s="33"/>
      <c r="CPZ143" s="33"/>
      <c r="CQA143" s="33"/>
      <c r="CQB143" s="33"/>
      <c r="CQC143" s="33"/>
      <c r="CQD143" s="33"/>
      <c r="CQE143" s="33"/>
      <c r="CQF143" s="33"/>
      <c r="CQG143" s="33"/>
      <c r="CQH143" s="33"/>
      <c r="CQI143" s="33"/>
      <c r="CQJ143" s="33"/>
      <c r="CQK143" s="33"/>
      <c r="CQL143" s="33"/>
      <c r="CQM143" s="33"/>
      <c r="CQN143" s="33"/>
      <c r="CQO143" s="33"/>
      <c r="CQP143" s="33"/>
      <c r="CQQ143" s="33"/>
      <c r="CQR143" s="33"/>
      <c r="CQS143" s="33"/>
      <c r="CQT143" s="33"/>
      <c r="CQU143" s="33"/>
      <c r="CQV143" s="33"/>
      <c r="CQW143" s="33"/>
      <c r="CQX143" s="33"/>
      <c r="CQY143" s="33"/>
      <c r="CQZ143" s="33"/>
      <c r="CRA143" s="33"/>
      <c r="CRB143" s="33"/>
      <c r="CRC143" s="33"/>
      <c r="CRD143" s="33"/>
      <c r="CRE143" s="33"/>
      <c r="CRF143" s="33"/>
      <c r="CRG143" s="33"/>
      <c r="CRH143" s="33"/>
      <c r="CRI143" s="33"/>
      <c r="CRJ143" s="33"/>
      <c r="CRK143" s="33"/>
      <c r="CRL143" s="33"/>
      <c r="CRM143" s="33"/>
      <c r="CRN143" s="33"/>
      <c r="CRO143" s="33"/>
      <c r="CRP143" s="33"/>
      <c r="CRQ143" s="33"/>
      <c r="CRR143" s="33"/>
      <c r="CRS143" s="33"/>
      <c r="CRT143" s="33"/>
      <c r="CRU143" s="33"/>
      <c r="CRV143" s="33"/>
      <c r="CRW143" s="33"/>
      <c r="CRX143" s="33"/>
      <c r="CRY143" s="33"/>
      <c r="CRZ143" s="33"/>
      <c r="CSA143" s="33"/>
      <c r="CSB143" s="33"/>
      <c r="CSC143" s="33"/>
      <c r="CSD143" s="33"/>
      <c r="CSE143" s="33"/>
      <c r="CSF143" s="33"/>
      <c r="CSG143" s="33"/>
      <c r="CSH143" s="33"/>
      <c r="CSI143" s="33"/>
      <c r="CSJ143" s="33"/>
      <c r="CSK143" s="33"/>
      <c r="CSL143" s="33"/>
      <c r="CSM143" s="33"/>
      <c r="CSN143" s="33"/>
      <c r="CSO143" s="33"/>
      <c r="CSP143" s="33"/>
      <c r="CSQ143" s="33"/>
      <c r="CSR143" s="33"/>
      <c r="CSS143" s="33"/>
      <c r="CST143" s="33"/>
      <c r="CSU143" s="33"/>
      <c r="CSV143" s="33"/>
      <c r="CSW143" s="33"/>
      <c r="CSX143" s="33"/>
      <c r="CSY143" s="33"/>
      <c r="CSZ143" s="33"/>
      <c r="CTA143" s="33"/>
      <c r="CTB143" s="33"/>
      <c r="CTC143" s="33"/>
      <c r="CTD143" s="33"/>
      <c r="CTE143" s="33"/>
      <c r="CTF143" s="33"/>
      <c r="CTG143" s="33"/>
      <c r="CTH143" s="33"/>
      <c r="CTI143" s="33"/>
      <c r="CTJ143" s="33"/>
      <c r="CTK143" s="33"/>
      <c r="CTL143" s="33"/>
      <c r="CTM143" s="33"/>
      <c r="CTN143" s="33"/>
      <c r="CTO143" s="33"/>
      <c r="CTP143" s="33"/>
      <c r="CTQ143" s="33"/>
      <c r="CTR143" s="33"/>
      <c r="CTS143" s="33"/>
      <c r="CTT143" s="33"/>
      <c r="CTU143" s="33"/>
      <c r="CTV143" s="33"/>
      <c r="CTW143" s="33"/>
      <c r="CTX143" s="33"/>
      <c r="CTY143" s="33"/>
      <c r="CTZ143" s="33"/>
      <c r="CUA143" s="33"/>
      <c r="CUB143" s="33"/>
      <c r="CUC143" s="33"/>
      <c r="CUD143" s="33"/>
      <c r="CUE143" s="33"/>
      <c r="CUF143" s="33"/>
      <c r="CUG143" s="33"/>
      <c r="CUH143" s="33"/>
      <c r="CUI143" s="33"/>
      <c r="CUJ143" s="33"/>
      <c r="CUK143" s="33"/>
      <c r="CUL143" s="33"/>
      <c r="CUM143" s="33"/>
      <c r="CUN143" s="33"/>
      <c r="CUO143" s="33"/>
      <c r="CUP143" s="33"/>
      <c r="CUQ143" s="33"/>
      <c r="CUR143" s="33"/>
      <c r="CUS143" s="33"/>
      <c r="CUT143" s="33"/>
      <c r="CUU143" s="33"/>
      <c r="CUV143" s="33"/>
      <c r="CUW143" s="33"/>
      <c r="CUX143" s="33"/>
      <c r="CUY143" s="33"/>
      <c r="CUZ143" s="33"/>
      <c r="CVA143" s="33"/>
      <c r="CVB143" s="33"/>
      <c r="CVC143" s="33"/>
      <c r="CVD143" s="33"/>
      <c r="CVE143" s="33"/>
      <c r="CVF143" s="33"/>
      <c r="CVG143" s="33"/>
      <c r="CVH143" s="33"/>
      <c r="CVI143" s="33"/>
      <c r="CVJ143" s="33"/>
      <c r="CVK143" s="33"/>
      <c r="CVL143" s="33"/>
      <c r="CVM143" s="33"/>
      <c r="CVN143" s="33"/>
      <c r="CVO143" s="33"/>
      <c r="CVP143" s="33"/>
      <c r="CVQ143" s="33"/>
      <c r="CVR143" s="33"/>
      <c r="CVS143" s="33"/>
      <c r="CVT143" s="33"/>
      <c r="CVU143" s="33"/>
      <c r="CVV143" s="33"/>
      <c r="CVW143" s="33"/>
      <c r="CVX143" s="33"/>
      <c r="CVY143" s="33"/>
      <c r="CVZ143" s="33"/>
      <c r="CWA143" s="33"/>
      <c r="CWB143" s="33"/>
      <c r="CWC143" s="33"/>
      <c r="CWD143" s="33"/>
      <c r="CWE143" s="33"/>
      <c r="CWF143" s="33"/>
      <c r="CWG143" s="33"/>
      <c r="CWH143" s="33"/>
      <c r="CWI143" s="33"/>
      <c r="CWJ143" s="33"/>
      <c r="CWK143" s="33"/>
      <c r="CWL143" s="33"/>
      <c r="CWM143" s="33"/>
      <c r="CWN143" s="33"/>
      <c r="CWO143" s="33"/>
      <c r="CWP143" s="33"/>
      <c r="CWQ143" s="33"/>
      <c r="CWR143" s="33"/>
      <c r="CWS143" s="33"/>
      <c r="CWT143" s="33"/>
      <c r="CWU143" s="33"/>
      <c r="CWV143" s="33"/>
      <c r="CWW143" s="33"/>
      <c r="CWX143" s="33"/>
      <c r="CWY143" s="33"/>
      <c r="CWZ143" s="33"/>
      <c r="CXA143" s="33"/>
      <c r="CXB143" s="33"/>
      <c r="CXC143" s="33"/>
      <c r="CXD143" s="33"/>
      <c r="CXE143" s="33"/>
      <c r="CXF143" s="33"/>
      <c r="CXG143" s="33"/>
      <c r="CXH143" s="33"/>
      <c r="CXI143" s="33"/>
      <c r="CXJ143" s="33"/>
      <c r="CXK143" s="33"/>
      <c r="CXL143" s="33"/>
      <c r="CXM143" s="33"/>
      <c r="CXN143" s="33"/>
      <c r="CXO143" s="33"/>
      <c r="CXP143" s="33"/>
      <c r="CXQ143" s="33"/>
      <c r="CXR143" s="33"/>
      <c r="CXS143" s="33"/>
      <c r="CXT143" s="33"/>
      <c r="CXU143" s="33"/>
      <c r="CXV143" s="33"/>
      <c r="CXW143" s="33"/>
      <c r="CXX143" s="33"/>
      <c r="CXY143" s="33"/>
      <c r="CXZ143" s="33"/>
      <c r="CYA143" s="33"/>
      <c r="CYB143" s="33"/>
      <c r="CYC143" s="33"/>
      <c r="CYD143" s="33"/>
      <c r="CYE143" s="33"/>
      <c r="CYF143" s="33"/>
      <c r="CYG143" s="33"/>
      <c r="CYH143" s="33"/>
      <c r="CYI143" s="33"/>
      <c r="CYJ143" s="33"/>
      <c r="CYK143" s="33"/>
      <c r="CYL143" s="33"/>
      <c r="CYM143" s="33"/>
      <c r="CYN143" s="33"/>
      <c r="CYO143" s="33"/>
      <c r="CYP143" s="33"/>
      <c r="CYQ143" s="33"/>
      <c r="CYR143" s="33"/>
      <c r="CYS143" s="33"/>
      <c r="CYT143" s="33"/>
      <c r="CYU143" s="33"/>
      <c r="CYV143" s="33"/>
      <c r="CYW143" s="33"/>
      <c r="CYX143" s="33"/>
      <c r="CYY143" s="33"/>
      <c r="CYZ143" s="33"/>
      <c r="CZA143" s="33"/>
      <c r="CZB143" s="33"/>
      <c r="CZC143" s="33"/>
      <c r="CZD143" s="33"/>
      <c r="CZE143" s="33"/>
      <c r="CZF143" s="33"/>
      <c r="CZG143" s="33"/>
      <c r="CZH143" s="33"/>
      <c r="CZI143" s="33"/>
      <c r="CZJ143" s="33"/>
      <c r="CZK143" s="33"/>
      <c r="CZL143" s="33"/>
      <c r="CZM143" s="33"/>
      <c r="CZN143" s="33"/>
      <c r="CZO143" s="33"/>
      <c r="CZP143" s="33"/>
      <c r="CZQ143" s="33"/>
      <c r="CZR143" s="33"/>
      <c r="CZS143" s="33"/>
      <c r="CZT143" s="33"/>
      <c r="CZU143" s="33"/>
      <c r="CZV143" s="33"/>
      <c r="CZW143" s="33"/>
      <c r="CZX143" s="33"/>
      <c r="CZY143" s="33"/>
      <c r="CZZ143" s="33"/>
      <c r="DAA143" s="33"/>
      <c r="DAB143" s="33"/>
      <c r="DAC143" s="33"/>
      <c r="DAD143" s="33"/>
      <c r="DAE143" s="33"/>
      <c r="DAF143" s="33"/>
      <c r="DAG143" s="33"/>
      <c r="DAH143" s="33"/>
      <c r="DAI143" s="33"/>
      <c r="DAJ143" s="33"/>
      <c r="DAK143" s="33"/>
      <c r="DAL143" s="33"/>
      <c r="DAM143" s="33"/>
      <c r="DAN143" s="33"/>
      <c r="DAO143" s="33"/>
      <c r="DAP143" s="33"/>
      <c r="DAQ143" s="33"/>
      <c r="DAR143" s="33"/>
      <c r="DAS143" s="33"/>
      <c r="DAT143" s="33"/>
      <c r="DAU143" s="33"/>
      <c r="DAV143" s="33"/>
      <c r="DAW143" s="33"/>
      <c r="DAX143" s="33"/>
      <c r="DAY143" s="33"/>
      <c r="DAZ143" s="33"/>
      <c r="DBA143" s="33"/>
      <c r="DBB143" s="33"/>
      <c r="DBC143" s="33"/>
      <c r="DBD143" s="33"/>
      <c r="DBE143" s="33"/>
      <c r="DBF143" s="33"/>
      <c r="DBG143" s="33"/>
      <c r="DBH143" s="33"/>
      <c r="DBI143" s="33"/>
      <c r="DBJ143" s="33"/>
      <c r="DBK143" s="33"/>
      <c r="DBL143" s="33"/>
      <c r="DBM143" s="33"/>
      <c r="DBN143" s="33"/>
      <c r="DBO143" s="33"/>
      <c r="DBP143" s="33"/>
      <c r="DBQ143" s="33"/>
      <c r="DBR143" s="33"/>
      <c r="DBS143" s="33"/>
      <c r="DBT143" s="33"/>
      <c r="DBU143" s="33"/>
      <c r="DBV143" s="33"/>
      <c r="DBW143" s="33"/>
      <c r="DBX143" s="33"/>
      <c r="DBY143" s="33"/>
      <c r="DBZ143" s="33"/>
      <c r="DCA143" s="33"/>
      <c r="DCB143" s="33"/>
      <c r="DCC143" s="33"/>
      <c r="DCD143" s="33"/>
      <c r="DCE143" s="33"/>
      <c r="DCF143" s="33"/>
      <c r="DCG143" s="33"/>
      <c r="DCH143" s="33"/>
      <c r="DCI143" s="33"/>
      <c r="DCJ143" s="33"/>
      <c r="DCK143" s="33"/>
      <c r="DCL143" s="33"/>
      <c r="DCM143" s="33"/>
      <c r="DCN143" s="33"/>
      <c r="DCO143" s="33"/>
      <c r="DCP143" s="33"/>
      <c r="DCQ143" s="33"/>
      <c r="DCR143" s="33"/>
      <c r="DCS143" s="33"/>
      <c r="DCT143" s="33"/>
      <c r="DCU143" s="33"/>
      <c r="DCV143" s="33"/>
      <c r="DCW143" s="33"/>
      <c r="DCX143" s="33"/>
      <c r="DCY143" s="33"/>
      <c r="DCZ143" s="33"/>
      <c r="DDA143" s="33"/>
      <c r="DDB143" s="33"/>
      <c r="DDC143" s="33"/>
      <c r="DDD143" s="33"/>
      <c r="DDE143" s="33"/>
      <c r="DDF143" s="33"/>
      <c r="DDG143" s="33"/>
      <c r="DDH143" s="33"/>
      <c r="DDI143" s="33"/>
      <c r="DDJ143" s="33"/>
      <c r="DDK143" s="33"/>
      <c r="DDL143" s="33"/>
      <c r="DDM143" s="33"/>
      <c r="DDN143" s="33"/>
      <c r="DDO143" s="33"/>
      <c r="DDP143" s="33"/>
      <c r="DDQ143" s="33"/>
      <c r="DDR143" s="33"/>
      <c r="DDS143" s="33"/>
      <c r="DDT143" s="33"/>
      <c r="DDU143" s="33"/>
      <c r="DDV143" s="33"/>
      <c r="DDW143" s="33"/>
      <c r="DDX143" s="33"/>
      <c r="DDY143" s="33"/>
      <c r="DDZ143" s="33"/>
      <c r="DEA143" s="33"/>
      <c r="DEB143" s="33"/>
      <c r="DEC143" s="33"/>
      <c r="DED143" s="33"/>
      <c r="DEE143" s="33"/>
      <c r="DEF143" s="33"/>
      <c r="DEG143" s="33"/>
      <c r="DEH143" s="33"/>
      <c r="DEI143" s="33"/>
      <c r="DEJ143" s="33"/>
      <c r="DEK143" s="33"/>
      <c r="DEL143" s="33"/>
      <c r="DEM143" s="33"/>
      <c r="DEN143" s="33"/>
      <c r="DEO143" s="33"/>
      <c r="DEP143" s="33"/>
      <c r="DEQ143" s="33"/>
      <c r="DER143" s="33"/>
      <c r="DES143" s="33"/>
      <c r="DET143" s="33"/>
      <c r="DEU143" s="33"/>
      <c r="DEV143" s="33"/>
      <c r="DEW143" s="33"/>
      <c r="DEX143" s="33"/>
      <c r="DEY143" s="33"/>
      <c r="DEZ143" s="33"/>
      <c r="DFA143" s="33"/>
      <c r="DFB143" s="33"/>
      <c r="DFC143" s="33"/>
      <c r="DFD143" s="33"/>
      <c r="DFE143" s="33"/>
      <c r="DFF143" s="33"/>
      <c r="DFG143" s="33"/>
      <c r="DFH143" s="33"/>
      <c r="DFI143" s="33"/>
      <c r="DFJ143" s="33"/>
      <c r="DFK143" s="33"/>
      <c r="DFL143" s="33"/>
      <c r="DFM143" s="33"/>
      <c r="DFN143" s="33"/>
      <c r="DFO143" s="33"/>
      <c r="DFP143" s="33"/>
      <c r="DFQ143" s="33"/>
      <c r="DFR143" s="33"/>
      <c r="DFS143" s="33"/>
      <c r="DFT143" s="33"/>
      <c r="DFU143" s="33"/>
      <c r="DFV143" s="33"/>
      <c r="DFW143" s="33"/>
      <c r="DFX143" s="33"/>
      <c r="DFY143" s="33"/>
      <c r="DFZ143" s="33"/>
      <c r="DGA143" s="33"/>
      <c r="DGB143" s="33"/>
      <c r="DGC143" s="33"/>
      <c r="DGD143" s="33"/>
      <c r="DGE143" s="33"/>
      <c r="DGF143" s="33"/>
      <c r="DGG143" s="33"/>
      <c r="DGH143" s="33"/>
      <c r="DGI143" s="33"/>
      <c r="DGJ143" s="33"/>
      <c r="DGK143" s="33"/>
      <c r="DGL143" s="33"/>
      <c r="DGM143" s="33"/>
      <c r="DGN143" s="33"/>
      <c r="DGO143" s="33"/>
      <c r="DGP143" s="33"/>
      <c r="DGQ143" s="33"/>
      <c r="DGR143" s="33"/>
      <c r="DGS143" s="33"/>
      <c r="DGT143" s="33"/>
      <c r="DGU143" s="33"/>
      <c r="DGV143" s="33"/>
      <c r="DGW143" s="33"/>
      <c r="DGX143" s="33"/>
      <c r="DGY143" s="33"/>
      <c r="DGZ143" s="33"/>
      <c r="DHA143" s="33"/>
      <c r="DHB143" s="33"/>
      <c r="DHC143" s="33"/>
      <c r="DHD143" s="33"/>
      <c r="DHE143" s="33"/>
      <c r="DHF143" s="33"/>
      <c r="DHG143" s="33"/>
      <c r="DHH143" s="33"/>
      <c r="DHI143" s="33"/>
      <c r="DHJ143" s="33"/>
      <c r="DHK143" s="33"/>
      <c r="DHL143" s="33"/>
      <c r="DHM143" s="33"/>
      <c r="DHN143" s="33"/>
      <c r="DHO143" s="33"/>
      <c r="DHP143" s="33"/>
      <c r="DHQ143" s="33"/>
      <c r="DHR143" s="33"/>
      <c r="DHS143" s="33"/>
      <c r="DHT143" s="33"/>
      <c r="DHU143" s="33"/>
      <c r="DHV143" s="33"/>
      <c r="DHW143" s="33"/>
      <c r="DHX143" s="33"/>
      <c r="DHY143" s="33"/>
      <c r="DHZ143" s="33"/>
      <c r="DIA143" s="33"/>
      <c r="DIB143" s="33"/>
      <c r="DIC143" s="33"/>
      <c r="DID143" s="33"/>
      <c r="DIE143" s="33"/>
      <c r="DIF143" s="33"/>
      <c r="DIG143" s="33"/>
      <c r="DIH143" s="33"/>
      <c r="DII143" s="33"/>
      <c r="DIJ143" s="33"/>
      <c r="DIK143" s="33"/>
      <c r="DIL143" s="33"/>
      <c r="DIM143" s="33"/>
      <c r="DIN143" s="33"/>
      <c r="DIO143" s="33"/>
      <c r="DIP143" s="33"/>
      <c r="DIQ143" s="33"/>
      <c r="DIR143" s="33"/>
      <c r="DIS143" s="33"/>
      <c r="DIT143" s="33"/>
      <c r="DIU143" s="33"/>
      <c r="DIV143" s="33"/>
      <c r="DIW143" s="33"/>
      <c r="DIX143" s="33"/>
      <c r="DIY143" s="33"/>
      <c r="DIZ143" s="33"/>
      <c r="DJA143" s="33"/>
      <c r="DJB143" s="33"/>
      <c r="DJC143" s="33"/>
      <c r="DJD143" s="33"/>
      <c r="DJE143" s="33"/>
      <c r="DJF143" s="33"/>
      <c r="DJG143" s="33"/>
      <c r="DJH143" s="33"/>
      <c r="DJI143" s="33"/>
      <c r="DJJ143" s="33"/>
      <c r="DJK143" s="33"/>
      <c r="DJL143" s="33"/>
      <c r="DJM143" s="33"/>
      <c r="DJN143" s="33"/>
      <c r="DJO143" s="33"/>
      <c r="DJP143" s="33"/>
      <c r="DJQ143" s="33"/>
      <c r="DJR143" s="33"/>
      <c r="DJS143" s="33"/>
      <c r="DJT143" s="33"/>
      <c r="DJU143" s="33"/>
      <c r="DJV143" s="33"/>
      <c r="DJW143" s="33"/>
      <c r="DJX143" s="33"/>
      <c r="DJY143" s="33"/>
      <c r="DJZ143" s="33"/>
      <c r="DKA143" s="33"/>
      <c r="DKB143" s="33"/>
      <c r="DKC143" s="33"/>
      <c r="DKD143" s="33"/>
      <c r="DKE143" s="33"/>
      <c r="DKF143" s="33"/>
      <c r="DKG143" s="33"/>
      <c r="DKH143" s="33"/>
      <c r="DKI143" s="33"/>
      <c r="DKJ143" s="33"/>
      <c r="DKK143" s="33"/>
      <c r="DKL143" s="33"/>
      <c r="DKM143" s="33"/>
      <c r="DKN143" s="33"/>
      <c r="DKO143" s="33"/>
      <c r="DKP143" s="33"/>
      <c r="DKQ143" s="33"/>
      <c r="DKR143" s="33"/>
      <c r="DKS143" s="33"/>
      <c r="DKT143" s="33"/>
      <c r="DKU143" s="33"/>
      <c r="DKV143" s="33"/>
      <c r="DKW143" s="33"/>
      <c r="DKX143" s="33"/>
      <c r="DKY143" s="33"/>
      <c r="DKZ143" s="33"/>
      <c r="DLA143" s="33"/>
      <c r="DLB143" s="33"/>
      <c r="DLC143" s="33"/>
      <c r="DLD143" s="33"/>
      <c r="DLE143" s="33"/>
      <c r="DLF143" s="33"/>
      <c r="DLG143" s="33"/>
      <c r="DLH143" s="33"/>
      <c r="DLI143" s="33"/>
      <c r="DLJ143" s="33"/>
      <c r="DLK143" s="33"/>
      <c r="DLL143" s="33"/>
      <c r="DLM143" s="33"/>
      <c r="DLN143" s="33"/>
      <c r="DLO143" s="33"/>
      <c r="DLP143" s="33"/>
      <c r="DLQ143" s="33"/>
      <c r="DLR143" s="33"/>
      <c r="DLS143" s="33"/>
      <c r="DLT143" s="33"/>
      <c r="DLU143" s="33"/>
      <c r="DLV143" s="33"/>
      <c r="DLW143" s="33"/>
      <c r="DLX143" s="33"/>
      <c r="DLY143" s="33"/>
      <c r="DLZ143" s="33"/>
      <c r="DMA143" s="33"/>
      <c r="DMB143" s="33"/>
      <c r="DMC143" s="33"/>
      <c r="DMD143" s="33"/>
      <c r="DME143" s="33"/>
      <c r="DMF143" s="33"/>
      <c r="DMG143" s="33"/>
      <c r="DMH143" s="33"/>
      <c r="DMI143" s="33"/>
      <c r="DMJ143" s="33"/>
      <c r="DMK143" s="33"/>
      <c r="DML143" s="33"/>
      <c r="DMM143" s="33"/>
      <c r="DMN143" s="33"/>
      <c r="DMO143" s="33"/>
      <c r="DMP143" s="33"/>
      <c r="DMQ143" s="33"/>
      <c r="DMR143" s="33"/>
      <c r="DMS143" s="33"/>
      <c r="DMT143" s="33"/>
      <c r="DMU143" s="33"/>
      <c r="DMV143" s="33"/>
      <c r="DMW143" s="33"/>
      <c r="DMX143" s="33"/>
      <c r="DMY143" s="33"/>
      <c r="DMZ143" s="33"/>
      <c r="DNA143" s="33"/>
      <c r="DNB143" s="33"/>
      <c r="DNC143" s="33"/>
      <c r="DND143" s="33"/>
      <c r="DNE143" s="33"/>
      <c r="DNF143" s="33"/>
      <c r="DNG143" s="33"/>
      <c r="DNH143" s="33"/>
      <c r="DNI143" s="33"/>
      <c r="DNJ143" s="33"/>
      <c r="DNK143" s="33"/>
      <c r="DNL143" s="33"/>
      <c r="DNM143" s="33"/>
      <c r="DNN143" s="33"/>
      <c r="DNO143" s="33"/>
      <c r="DNP143" s="33"/>
      <c r="DNQ143" s="33"/>
      <c r="DNR143" s="33"/>
      <c r="DNS143" s="33"/>
      <c r="DNT143" s="33"/>
      <c r="DNU143" s="33"/>
      <c r="DNV143" s="33"/>
      <c r="DNW143" s="33"/>
      <c r="DNX143" s="33"/>
      <c r="DNY143" s="33"/>
      <c r="DNZ143" s="33"/>
      <c r="DOA143" s="33"/>
      <c r="DOB143" s="33"/>
      <c r="DOC143" s="33"/>
      <c r="DOD143" s="33"/>
      <c r="DOE143" s="33"/>
      <c r="DOF143" s="33"/>
      <c r="DOG143" s="33"/>
      <c r="DOH143" s="33"/>
      <c r="DOI143" s="33"/>
      <c r="DOJ143" s="33"/>
      <c r="DOK143" s="33"/>
      <c r="DOL143" s="33"/>
      <c r="DOM143" s="33"/>
      <c r="DON143" s="33"/>
      <c r="DOO143" s="33"/>
      <c r="DOP143" s="33"/>
      <c r="DOQ143" s="33"/>
      <c r="DOR143" s="33"/>
      <c r="DOS143" s="33"/>
      <c r="DOT143" s="33"/>
      <c r="DOU143" s="33"/>
      <c r="DOV143" s="33"/>
      <c r="DOW143" s="33"/>
      <c r="DOX143" s="33"/>
      <c r="DOY143" s="33"/>
      <c r="DOZ143" s="33"/>
      <c r="DPA143" s="33"/>
      <c r="DPB143" s="33"/>
      <c r="DPC143" s="33"/>
      <c r="DPD143" s="33"/>
      <c r="DPE143" s="33"/>
      <c r="DPF143" s="33"/>
      <c r="DPG143" s="33"/>
      <c r="DPH143" s="33"/>
      <c r="DPI143" s="33"/>
      <c r="DPJ143" s="33"/>
      <c r="DPK143" s="33"/>
      <c r="DPL143" s="33"/>
      <c r="DPM143" s="33"/>
      <c r="DPN143" s="33"/>
      <c r="DPO143" s="33"/>
      <c r="DPP143" s="33"/>
      <c r="DPQ143" s="33"/>
      <c r="DPR143" s="33"/>
      <c r="DPS143" s="33"/>
      <c r="DPT143" s="33"/>
      <c r="DPU143" s="33"/>
      <c r="DPV143" s="33"/>
      <c r="DPW143" s="33"/>
      <c r="DPX143" s="33"/>
      <c r="DPY143" s="33"/>
      <c r="DPZ143" s="33"/>
      <c r="DQA143" s="33"/>
      <c r="DQB143" s="33"/>
      <c r="DQC143" s="33"/>
      <c r="DQD143" s="33"/>
      <c r="DQE143" s="33"/>
      <c r="DQF143" s="33"/>
      <c r="DQG143" s="33"/>
      <c r="DQH143" s="33"/>
      <c r="DQI143" s="33"/>
      <c r="DQJ143" s="33"/>
      <c r="DQK143" s="33"/>
      <c r="DQL143" s="33"/>
      <c r="DQM143" s="33"/>
      <c r="DQN143" s="33"/>
      <c r="DQO143" s="33"/>
      <c r="DQP143" s="33"/>
      <c r="DQQ143" s="33"/>
      <c r="DQR143" s="33"/>
      <c r="DQS143" s="33"/>
      <c r="DQT143" s="33"/>
      <c r="DQU143" s="33"/>
      <c r="DQV143" s="33"/>
      <c r="DQW143" s="33"/>
      <c r="DQX143" s="33"/>
      <c r="DQY143" s="33"/>
      <c r="DQZ143" s="33"/>
      <c r="DRA143" s="33"/>
      <c r="DRB143" s="33"/>
      <c r="DRC143" s="33"/>
      <c r="DRD143" s="33"/>
      <c r="DRE143" s="33"/>
      <c r="DRF143" s="33"/>
      <c r="DRG143" s="33"/>
      <c r="DRH143" s="33"/>
      <c r="DRI143" s="33"/>
      <c r="DRJ143" s="33"/>
      <c r="DRK143" s="33"/>
      <c r="DRL143" s="33"/>
      <c r="DRM143" s="33"/>
      <c r="DRN143" s="33"/>
      <c r="DRO143" s="33"/>
      <c r="DRP143" s="33"/>
      <c r="DRQ143" s="33"/>
      <c r="DRR143" s="33"/>
      <c r="DRS143" s="33"/>
      <c r="DRT143" s="33"/>
      <c r="DRU143" s="33"/>
      <c r="DRV143" s="33"/>
      <c r="DRW143" s="33"/>
      <c r="DRX143" s="33"/>
      <c r="DRY143" s="33"/>
      <c r="DRZ143" s="33"/>
      <c r="DSA143" s="33"/>
      <c r="DSB143" s="33"/>
      <c r="DSC143" s="33"/>
      <c r="DSD143" s="33"/>
      <c r="DSE143" s="33"/>
      <c r="DSF143" s="33"/>
      <c r="DSG143" s="33"/>
      <c r="DSH143" s="33"/>
      <c r="DSI143" s="33"/>
      <c r="DSJ143" s="33"/>
      <c r="DSK143" s="33"/>
      <c r="DSL143" s="33"/>
      <c r="DSM143" s="33"/>
      <c r="DSN143" s="33"/>
      <c r="DSO143" s="33"/>
      <c r="DSP143" s="33"/>
      <c r="DSQ143" s="33"/>
      <c r="DSR143" s="33"/>
      <c r="DSS143" s="33"/>
      <c r="DST143" s="33"/>
      <c r="DSU143" s="33"/>
      <c r="DSV143" s="33"/>
      <c r="DSW143" s="33"/>
      <c r="DSX143" s="33"/>
      <c r="DSY143" s="33"/>
      <c r="DSZ143" s="33"/>
      <c r="DTA143" s="33"/>
      <c r="DTB143" s="33"/>
      <c r="DTC143" s="33"/>
      <c r="DTD143" s="33"/>
      <c r="DTE143" s="33"/>
      <c r="DTF143" s="33"/>
      <c r="DTG143" s="33"/>
      <c r="DTH143" s="33"/>
      <c r="DTI143" s="33"/>
      <c r="DTJ143" s="33"/>
      <c r="DTK143" s="33"/>
      <c r="DTL143" s="33"/>
      <c r="DTM143" s="33"/>
      <c r="DTN143" s="33"/>
      <c r="DTO143" s="33"/>
      <c r="DTP143" s="33"/>
      <c r="DTQ143" s="33"/>
      <c r="DTR143" s="33"/>
      <c r="DTS143" s="33"/>
      <c r="DTT143" s="33"/>
      <c r="DTU143" s="33"/>
      <c r="DTV143" s="33"/>
      <c r="DTW143" s="33"/>
      <c r="DTX143" s="33"/>
      <c r="DTY143" s="33"/>
      <c r="DTZ143" s="33"/>
      <c r="DUA143" s="33"/>
      <c r="DUB143" s="33"/>
      <c r="DUC143" s="33"/>
      <c r="DUD143" s="33"/>
      <c r="DUE143" s="33"/>
      <c r="DUF143" s="33"/>
      <c r="DUG143" s="33"/>
      <c r="DUH143" s="33"/>
      <c r="DUI143" s="33"/>
      <c r="DUJ143" s="33"/>
      <c r="DUK143" s="33"/>
      <c r="DUL143" s="33"/>
      <c r="DUM143" s="33"/>
      <c r="DUN143" s="33"/>
      <c r="DUO143" s="33"/>
      <c r="DUP143" s="33"/>
      <c r="DUQ143" s="33"/>
      <c r="DUR143" s="33"/>
      <c r="DUS143" s="33"/>
      <c r="DUT143" s="33"/>
      <c r="DUU143" s="33"/>
      <c r="DUV143" s="33"/>
      <c r="DUW143" s="33"/>
      <c r="DUX143" s="33"/>
      <c r="DUY143" s="33"/>
      <c r="DUZ143" s="33"/>
      <c r="DVA143" s="33"/>
      <c r="DVB143" s="33"/>
      <c r="DVC143" s="33"/>
      <c r="DVD143" s="33"/>
      <c r="DVE143" s="33"/>
      <c r="DVF143" s="33"/>
      <c r="DVG143" s="33"/>
      <c r="DVH143" s="33"/>
      <c r="DVI143" s="33"/>
      <c r="DVJ143" s="33"/>
      <c r="DVK143" s="33"/>
      <c r="DVL143" s="33"/>
      <c r="DVM143" s="33"/>
      <c r="DVN143" s="33"/>
      <c r="DVO143" s="33"/>
      <c r="DVP143" s="33"/>
      <c r="DVQ143" s="33"/>
      <c r="DVR143" s="33"/>
      <c r="DVS143" s="33"/>
      <c r="DVT143" s="33"/>
      <c r="DVU143" s="33"/>
      <c r="DVV143" s="33"/>
      <c r="DVW143" s="33"/>
      <c r="DVX143" s="33"/>
      <c r="DVY143" s="33"/>
      <c r="DVZ143" s="33"/>
      <c r="DWA143" s="33"/>
      <c r="DWB143" s="33"/>
      <c r="DWC143" s="33"/>
      <c r="DWD143" s="33"/>
      <c r="DWE143" s="33"/>
      <c r="DWF143" s="33"/>
      <c r="DWG143" s="33"/>
      <c r="DWH143" s="33"/>
      <c r="DWI143" s="33"/>
      <c r="DWJ143" s="33"/>
      <c r="DWK143" s="33"/>
      <c r="DWL143" s="33"/>
      <c r="DWM143" s="33"/>
      <c r="DWN143" s="33"/>
      <c r="DWO143" s="33"/>
      <c r="DWP143" s="33"/>
      <c r="DWQ143" s="33"/>
      <c r="DWR143" s="33"/>
      <c r="DWS143" s="33"/>
      <c r="DWT143" s="33"/>
      <c r="DWU143" s="33"/>
      <c r="DWV143" s="33"/>
      <c r="DWW143" s="33"/>
      <c r="DWX143" s="33"/>
      <c r="DWY143" s="33"/>
      <c r="DWZ143" s="33"/>
      <c r="DXA143" s="33"/>
      <c r="DXB143" s="33"/>
      <c r="DXC143" s="33"/>
      <c r="DXD143" s="33"/>
      <c r="DXE143" s="33"/>
      <c r="DXF143" s="33"/>
      <c r="DXG143" s="33"/>
      <c r="DXH143" s="33"/>
      <c r="DXI143" s="33"/>
      <c r="DXJ143" s="33"/>
      <c r="DXK143" s="33"/>
      <c r="DXL143" s="33"/>
      <c r="DXM143" s="33"/>
      <c r="DXN143" s="33"/>
      <c r="DXO143" s="33"/>
      <c r="DXP143" s="33"/>
      <c r="DXQ143" s="33"/>
      <c r="DXR143" s="33"/>
      <c r="DXS143" s="33"/>
      <c r="DXT143" s="33"/>
      <c r="DXU143" s="33"/>
      <c r="DXV143" s="33"/>
      <c r="DXW143" s="33"/>
      <c r="DXX143" s="33"/>
      <c r="DXY143" s="33"/>
      <c r="DXZ143" s="33"/>
      <c r="DYA143" s="33"/>
      <c r="DYB143" s="33"/>
      <c r="DYC143" s="33"/>
      <c r="DYD143" s="33"/>
      <c r="DYE143" s="33"/>
      <c r="DYF143" s="33"/>
      <c r="DYG143" s="33"/>
      <c r="DYH143" s="33"/>
      <c r="DYI143" s="33"/>
      <c r="DYJ143" s="33"/>
      <c r="DYK143" s="33"/>
      <c r="DYL143" s="33"/>
      <c r="DYM143" s="33"/>
      <c r="DYN143" s="33"/>
      <c r="DYO143" s="33"/>
      <c r="DYP143" s="33"/>
      <c r="DYQ143" s="33"/>
      <c r="DYR143" s="33"/>
      <c r="DYS143" s="33"/>
      <c r="DYT143" s="33"/>
      <c r="DYU143" s="33"/>
      <c r="DYV143" s="33"/>
      <c r="DYW143" s="33"/>
      <c r="DYX143" s="33"/>
      <c r="DYY143" s="33"/>
      <c r="DYZ143" s="33"/>
      <c r="DZA143" s="33"/>
      <c r="DZB143" s="33"/>
      <c r="DZC143" s="33"/>
      <c r="DZD143" s="33"/>
      <c r="DZE143" s="33"/>
      <c r="DZF143" s="33"/>
      <c r="DZG143" s="33"/>
      <c r="DZH143" s="33"/>
      <c r="DZI143" s="33"/>
      <c r="DZJ143" s="33"/>
      <c r="DZK143" s="33"/>
      <c r="DZL143" s="33"/>
      <c r="DZM143" s="33"/>
      <c r="DZN143" s="33"/>
      <c r="DZO143" s="33"/>
      <c r="DZP143" s="33"/>
      <c r="DZQ143" s="33"/>
      <c r="DZR143" s="33"/>
      <c r="DZS143" s="33"/>
      <c r="DZT143" s="33"/>
      <c r="DZU143" s="33"/>
      <c r="DZV143" s="33"/>
      <c r="DZW143" s="33"/>
      <c r="DZX143" s="33"/>
      <c r="DZY143" s="33"/>
      <c r="DZZ143" s="33"/>
      <c r="EAA143" s="33"/>
      <c r="EAB143" s="33"/>
      <c r="EAC143" s="33"/>
      <c r="EAD143" s="33"/>
      <c r="EAE143" s="33"/>
      <c r="EAF143" s="33"/>
      <c r="EAG143" s="33"/>
      <c r="EAH143" s="33"/>
      <c r="EAI143" s="33"/>
      <c r="EAJ143" s="33"/>
      <c r="EAK143" s="33"/>
      <c r="EAL143" s="33"/>
      <c r="EAM143" s="33"/>
      <c r="EAN143" s="33"/>
      <c r="EAO143" s="33"/>
      <c r="EAP143" s="33"/>
      <c r="EAQ143" s="33"/>
      <c r="EAR143" s="33"/>
      <c r="EAS143" s="33"/>
      <c r="EAT143" s="33"/>
      <c r="EAU143" s="33"/>
      <c r="EAV143" s="33"/>
      <c r="EAW143" s="33"/>
      <c r="EAX143" s="33"/>
      <c r="EAY143" s="33"/>
      <c r="EAZ143" s="33"/>
      <c r="EBA143" s="33"/>
      <c r="EBB143" s="33"/>
      <c r="EBC143" s="33"/>
      <c r="EBD143" s="33"/>
      <c r="EBE143" s="33"/>
      <c r="EBF143" s="33"/>
      <c r="EBG143" s="33"/>
      <c r="EBH143" s="33"/>
      <c r="EBI143" s="33"/>
      <c r="EBJ143" s="33"/>
      <c r="EBK143" s="33"/>
      <c r="EBL143" s="33"/>
      <c r="EBM143" s="33"/>
      <c r="EBN143" s="33"/>
      <c r="EBO143" s="33"/>
      <c r="EBP143" s="33"/>
      <c r="EBQ143" s="33"/>
      <c r="EBR143" s="33"/>
      <c r="EBS143" s="33"/>
      <c r="EBT143" s="33"/>
      <c r="EBU143" s="33"/>
      <c r="EBV143" s="33"/>
      <c r="EBW143" s="33"/>
      <c r="EBX143" s="33"/>
      <c r="EBY143" s="33"/>
      <c r="EBZ143" s="33"/>
      <c r="ECA143" s="33"/>
      <c r="ECB143" s="33"/>
      <c r="ECC143" s="33"/>
      <c r="ECD143" s="33"/>
      <c r="ECE143" s="33"/>
      <c r="ECF143" s="33"/>
      <c r="ECG143" s="33"/>
      <c r="ECH143" s="33"/>
      <c r="ECI143" s="33"/>
      <c r="ECJ143" s="33"/>
      <c r="ECK143" s="33"/>
      <c r="ECL143" s="33"/>
      <c r="ECM143" s="33"/>
      <c r="ECN143" s="33"/>
      <c r="ECO143" s="33"/>
      <c r="ECP143" s="33"/>
      <c r="ECQ143" s="33"/>
      <c r="ECR143" s="33"/>
      <c r="ECS143" s="33"/>
      <c r="ECT143" s="33"/>
      <c r="ECU143" s="33"/>
      <c r="ECV143" s="33"/>
      <c r="ECW143" s="33"/>
      <c r="ECX143" s="33"/>
      <c r="ECY143" s="33"/>
      <c r="ECZ143" s="33"/>
      <c r="EDA143" s="33"/>
      <c r="EDB143" s="33"/>
      <c r="EDC143" s="33"/>
      <c r="EDD143" s="33"/>
      <c r="EDE143" s="33"/>
      <c r="EDF143" s="33"/>
      <c r="EDG143" s="33"/>
      <c r="EDH143" s="33"/>
      <c r="EDI143" s="33"/>
      <c r="EDJ143" s="33"/>
      <c r="EDK143" s="33"/>
      <c r="EDL143" s="33"/>
      <c r="EDM143" s="33"/>
      <c r="EDN143" s="33"/>
      <c r="EDO143" s="33"/>
      <c r="EDP143" s="33"/>
      <c r="EDQ143" s="33"/>
      <c r="EDR143" s="33"/>
      <c r="EDS143" s="33"/>
      <c r="EDT143" s="33"/>
      <c r="EDU143" s="33"/>
      <c r="EDV143" s="33"/>
      <c r="EDW143" s="33"/>
      <c r="EDX143" s="33"/>
      <c r="EDY143" s="33"/>
      <c r="EDZ143" s="33"/>
      <c r="EEA143" s="33"/>
      <c r="EEB143" s="33"/>
      <c r="EEC143" s="33"/>
      <c r="EED143" s="33"/>
      <c r="EEE143" s="33"/>
      <c r="EEF143" s="33"/>
      <c r="EEG143" s="33"/>
      <c r="EEH143" s="33"/>
      <c r="EEI143" s="33"/>
      <c r="EEJ143" s="33"/>
      <c r="EEK143" s="33"/>
      <c r="EEL143" s="33"/>
      <c r="EEM143" s="33"/>
      <c r="EEN143" s="33"/>
      <c r="EEO143" s="33"/>
      <c r="EEP143" s="33"/>
      <c r="EEQ143" s="33"/>
      <c r="EER143" s="33"/>
      <c r="EES143" s="33"/>
      <c r="EET143" s="33"/>
      <c r="EEU143" s="33"/>
      <c r="EEV143" s="33"/>
      <c r="EEW143" s="33"/>
      <c r="EEX143" s="33"/>
      <c r="EEY143" s="33"/>
      <c r="EEZ143" s="33"/>
      <c r="EFA143" s="33"/>
      <c r="EFB143" s="33"/>
      <c r="EFC143" s="33"/>
      <c r="EFD143" s="33"/>
      <c r="EFE143" s="33"/>
      <c r="EFF143" s="33"/>
      <c r="EFG143" s="33"/>
      <c r="EFH143" s="33"/>
      <c r="EFI143" s="33"/>
      <c r="EFJ143" s="33"/>
      <c r="EFK143" s="33"/>
      <c r="EFL143" s="33"/>
      <c r="EFM143" s="33"/>
      <c r="EFN143" s="33"/>
      <c r="EFO143" s="33"/>
      <c r="EFP143" s="33"/>
      <c r="EFQ143" s="33"/>
      <c r="EFR143" s="33"/>
      <c r="EFS143" s="33"/>
      <c r="EFT143" s="33"/>
      <c r="EFU143" s="33"/>
      <c r="EFV143" s="33"/>
      <c r="EFW143" s="33"/>
      <c r="EFX143" s="33"/>
      <c r="EFY143" s="33"/>
      <c r="EFZ143" s="33"/>
      <c r="EGA143" s="33"/>
      <c r="EGB143" s="33"/>
      <c r="EGC143" s="33"/>
      <c r="EGD143" s="33"/>
      <c r="EGE143" s="33"/>
      <c r="EGF143" s="33"/>
      <c r="EGG143" s="33"/>
      <c r="EGH143" s="33"/>
      <c r="EGI143" s="33"/>
      <c r="EGJ143" s="33"/>
      <c r="EGK143" s="33"/>
      <c r="EGL143" s="33"/>
      <c r="EGM143" s="33"/>
      <c r="EGN143" s="33"/>
      <c r="EGO143" s="33"/>
      <c r="EGP143" s="33"/>
      <c r="EGQ143" s="33"/>
      <c r="EGR143" s="33"/>
      <c r="EGS143" s="33"/>
      <c r="EGT143" s="33"/>
      <c r="EGU143" s="33"/>
      <c r="EGV143" s="33"/>
      <c r="EGW143" s="33"/>
      <c r="EGX143" s="33"/>
      <c r="EGY143" s="33"/>
      <c r="EGZ143" s="33"/>
      <c r="EHA143" s="33"/>
      <c r="EHB143" s="33"/>
      <c r="EHC143" s="33"/>
      <c r="EHD143" s="33"/>
      <c r="EHE143" s="33"/>
      <c r="EHF143" s="33"/>
      <c r="EHG143" s="33"/>
      <c r="EHH143" s="33"/>
      <c r="EHI143" s="33"/>
      <c r="EHJ143" s="33"/>
      <c r="EHK143" s="33"/>
      <c r="EHL143" s="33"/>
      <c r="EHM143" s="33"/>
      <c r="EHN143" s="33"/>
      <c r="EHO143" s="33"/>
      <c r="EHP143" s="33"/>
      <c r="EHQ143" s="33"/>
      <c r="EHR143" s="33"/>
      <c r="EHS143" s="33"/>
      <c r="EHT143" s="33"/>
      <c r="EHU143" s="33"/>
      <c r="EHV143" s="33"/>
      <c r="EHW143" s="33"/>
      <c r="EHX143" s="33"/>
      <c r="EHY143" s="33"/>
      <c r="EHZ143" s="33"/>
      <c r="EIA143" s="33"/>
      <c r="EIB143" s="33"/>
      <c r="EIC143" s="33"/>
      <c r="EID143" s="33"/>
      <c r="EIE143" s="33"/>
      <c r="EIF143" s="33"/>
      <c r="EIG143" s="33"/>
      <c r="EIH143" s="33"/>
      <c r="EII143" s="33"/>
      <c r="EIJ143" s="33"/>
      <c r="EIK143" s="33"/>
      <c r="EIL143" s="33"/>
      <c r="EIM143" s="33"/>
      <c r="EIN143" s="33"/>
      <c r="EIO143" s="33"/>
      <c r="EIP143" s="33"/>
      <c r="EIQ143" s="33"/>
      <c r="EIR143" s="33"/>
      <c r="EIS143" s="33"/>
      <c r="EIT143" s="33"/>
      <c r="EIU143" s="33"/>
      <c r="EIV143" s="33"/>
      <c r="EIW143" s="33"/>
      <c r="EIX143" s="33"/>
      <c r="EIY143" s="33"/>
      <c r="EIZ143" s="33"/>
      <c r="EJA143" s="33"/>
      <c r="EJB143" s="33"/>
      <c r="EJC143" s="33"/>
      <c r="EJD143" s="33"/>
      <c r="EJE143" s="33"/>
      <c r="EJF143" s="33"/>
      <c r="EJG143" s="33"/>
      <c r="EJH143" s="33"/>
      <c r="EJI143" s="33"/>
      <c r="EJJ143" s="33"/>
      <c r="EJK143" s="33"/>
      <c r="EJL143" s="33"/>
      <c r="EJM143" s="33"/>
      <c r="EJN143" s="33"/>
      <c r="EJO143" s="33"/>
      <c r="EJP143" s="33"/>
      <c r="EJQ143" s="33"/>
      <c r="EJR143" s="33"/>
      <c r="EJS143" s="33"/>
      <c r="EJT143" s="33"/>
      <c r="EJU143" s="33"/>
      <c r="EJV143" s="33"/>
      <c r="EJW143" s="33"/>
      <c r="EJX143" s="33"/>
      <c r="EJY143" s="33"/>
      <c r="EJZ143" s="33"/>
      <c r="EKA143" s="33"/>
      <c r="EKB143" s="33"/>
      <c r="EKC143" s="33"/>
      <c r="EKD143" s="33"/>
      <c r="EKE143" s="33"/>
      <c r="EKF143" s="33"/>
      <c r="EKG143" s="33"/>
      <c r="EKH143" s="33"/>
      <c r="EKI143" s="33"/>
      <c r="EKJ143" s="33"/>
      <c r="EKK143" s="33"/>
      <c r="EKL143" s="33"/>
      <c r="EKM143" s="33"/>
      <c r="EKN143" s="33"/>
      <c r="EKO143" s="33"/>
      <c r="EKP143" s="33"/>
      <c r="EKQ143" s="33"/>
      <c r="EKR143" s="33"/>
      <c r="EKS143" s="33"/>
      <c r="EKT143" s="33"/>
      <c r="EKU143" s="33"/>
      <c r="EKV143" s="33"/>
      <c r="EKW143" s="33"/>
      <c r="EKX143" s="33"/>
      <c r="EKY143" s="33"/>
      <c r="EKZ143" s="33"/>
      <c r="ELA143" s="33"/>
      <c r="ELB143" s="33"/>
      <c r="ELC143" s="33"/>
      <c r="ELD143" s="33"/>
      <c r="ELE143" s="33"/>
      <c r="ELF143" s="33"/>
      <c r="ELG143" s="33"/>
      <c r="ELH143" s="33"/>
      <c r="ELI143" s="33"/>
      <c r="ELJ143" s="33"/>
      <c r="ELK143" s="33"/>
      <c r="ELL143" s="33"/>
      <c r="ELM143" s="33"/>
      <c r="ELN143" s="33"/>
      <c r="ELO143" s="33"/>
      <c r="ELP143" s="33"/>
      <c r="ELQ143" s="33"/>
      <c r="ELR143" s="33"/>
      <c r="ELS143" s="33"/>
      <c r="ELT143" s="33"/>
      <c r="ELU143" s="33"/>
      <c r="ELV143" s="33"/>
      <c r="ELW143" s="33"/>
      <c r="ELX143" s="33"/>
      <c r="ELY143" s="33"/>
      <c r="ELZ143" s="33"/>
      <c r="EMA143" s="33"/>
      <c r="EMB143" s="33"/>
      <c r="EMC143" s="33"/>
      <c r="EMD143" s="33"/>
      <c r="EME143" s="33"/>
      <c r="EMF143" s="33"/>
      <c r="EMG143" s="33"/>
      <c r="EMH143" s="33"/>
      <c r="EMI143" s="33"/>
      <c r="EMJ143" s="33"/>
      <c r="EMK143" s="33"/>
      <c r="EML143" s="33"/>
      <c r="EMM143" s="33"/>
      <c r="EMN143" s="33"/>
      <c r="EMO143" s="33"/>
      <c r="EMP143" s="33"/>
      <c r="EMQ143" s="33"/>
      <c r="EMR143" s="33"/>
      <c r="EMS143" s="33"/>
      <c r="EMT143" s="33"/>
      <c r="EMU143" s="33"/>
      <c r="EMV143" s="33"/>
      <c r="EMW143" s="33"/>
      <c r="EMX143" s="33"/>
      <c r="EMY143" s="33"/>
      <c r="EMZ143" s="33"/>
      <c r="ENA143" s="33"/>
      <c r="ENB143" s="33"/>
      <c r="ENC143" s="33"/>
      <c r="END143" s="33"/>
      <c r="ENE143" s="33"/>
      <c r="ENF143" s="33"/>
      <c r="ENG143" s="33"/>
      <c r="ENH143" s="33"/>
      <c r="ENI143" s="33"/>
      <c r="ENJ143" s="33"/>
      <c r="ENK143" s="33"/>
      <c r="ENL143" s="33"/>
      <c r="ENM143" s="33"/>
      <c r="ENN143" s="33"/>
      <c r="ENO143" s="33"/>
      <c r="ENP143" s="33"/>
      <c r="ENQ143" s="33"/>
      <c r="ENR143" s="33"/>
      <c r="ENS143" s="33"/>
      <c r="ENT143" s="33"/>
      <c r="ENU143" s="33"/>
      <c r="ENV143" s="33"/>
      <c r="ENW143" s="33"/>
      <c r="ENX143" s="33"/>
      <c r="ENY143" s="33"/>
      <c r="ENZ143" s="33"/>
      <c r="EOA143" s="33"/>
      <c r="EOB143" s="33"/>
      <c r="EOC143" s="33"/>
      <c r="EOD143" s="33"/>
      <c r="EOE143" s="33"/>
      <c r="EOF143" s="33"/>
      <c r="EOG143" s="33"/>
      <c r="EOH143" s="33"/>
      <c r="EOI143" s="33"/>
      <c r="EOJ143" s="33"/>
      <c r="EOK143" s="33"/>
      <c r="EOL143" s="33"/>
      <c r="EOM143" s="33"/>
      <c r="EON143" s="33"/>
      <c r="EOO143" s="33"/>
      <c r="EOP143" s="33"/>
      <c r="EOQ143" s="33"/>
      <c r="EOR143" s="33"/>
      <c r="EOS143" s="33"/>
      <c r="EOT143" s="33"/>
      <c r="EOU143" s="33"/>
      <c r="EOV143" s="33"/>
      <c r="EOW143" s="33"/>
      <c r="EOX143" s="33"/>
      <c r="EOY143" s="33"/>
      <c r="EOZ143" s="33"/>
      <c r="EPA143" s="33"/>
      <c r="EPB143" s="33"/>
      <c r="EPC143" s="33"/>
      <c r="EPD143" s="33"/>
      <c r="EPE143" s="33"/>
      <c r="EPF143" s="33"/>
      <c r="EPG143" s="33"/>
      <c r="EPH143" s="33"/>
      <c r="EPI143" s="33"/>
      <c r="EPJ143" s="33"/>
      <c r="EPK143" s="33"/>
      <c r="EPL143" s="33"/>
      <c r="EPM143" s="33"/>
      <c r="EPN143" s="33"/>
      <c r="EPO143" s="33"/>
      <c r="EPP143" s="33"/>
      <c r="EPQ143" s="33"/>
      <c r="EPR143" s="33"/>
      <c r="EPS143" s="33"/>
      <c r="EPT143" s="33"/>
      <c r="EPU143" s="33"/>
      <c r="EPV143" s="33"/>
      <c r="EPW143" s="33"/>
      <c r="EPX143" s="33"/>
      <c r="EPY143" s="33"/>
      <c r="EPZ143" s="33"/>
      <c r="EQA143" s="33"/>
      <c r="EQB143" s="33"/>
      <c r="EQC143" s="33"/>
      <c r="EQD143" s="33"/>
      <c r="EQE143" s="33"/>
      <c r="EQF143" s="33"/>
      <c r="EQG143" s="33"/>
      <c r="EQH143" s="33"/>
      <c r="EQI143" s="33"/>
      <c r="EQJ143" s="33"/>
      <c r="EQK143" s="33"/>
      <c r="EQL143" s="33"/>
      <c r="EQM143" s="33"/>
      <c r="EQN143" s="33"/>
      <c r="EQO143" s="33"/>
      <c r="EQP143" s="33"/>
      <c r="EQQ143" s="33"/>
      <c r="EQR143" s="33"/>
      <c r="EQS143" s="33"/>
      <c r="EQT143" s="33"/>
      <c r="EQU143" s="33"/>
      <c r="EQV143" s="33"/>
      <c r="EQW143" s="33"/>
      <c r="EQX143" s="33"/>
      <c r="EQY143" s="33"/>
      <c r="EQZ143" s="33"/>
      <c r="ERA143" s="33"/>
      <c r="ERB143" s="33"/>
      <c r="ERC143" s="33"/>
      <c r="ERD143" s="33"/>
      <c r="ERE143" s="33"/>
      <c r="ERF143" s="33"/>
      <c r="ERG143" s="33"/>
      <c r="ERH143" s="33"/>
      <c r="ERI143" s="33"/>
      <c r="ERJ143" s="33"/>
      <c r="ERK143" s="33"/>
      <c r="ERL143" s="33"/>
      <c r="ERM143" s="33"/>
      <c r="ERN143" s="33"/>
      <c r="ERO143" s="33"/>
      <c r="ERP143" s="33"/>
      <c r="ERQ143" s="33"/>
      <c r="ERR143" s="33"/>
      <c r="ERS143" s="33"/>
      <c r="ERT143" s="33"/>
      <c r="ERU143" s="33"/>
      <c r="ERV143" s="33"/>
      <c r="ERW143" s="33"/>
      <c r="ERX143" s="33"/>
      <c r="ERY143" s="33"/>
      <c r="ERZ143" s="33"/>
      <c r="ESA143" s="33"/>
      <c r="ESB143" s="33"/>
      <c r="ESC143" s="33"/>
      <c r="ESD143" s="33"/>
      <c r="ESE143" s="33"/>
      <c r="ESF143" s="33"/>
      <c r="ESG143" s="33"/>
      <c r="ESH143" s="33"/>
      <c r="ESI143" s="33"/>
      <c r="ESJ143" s="33"/>
      <c r="ESK143" s="33"/>
      <c r="ESL143" s="33"/>
      <c r="ESM143" s="33"/>
      <c r="ESN143" s="33"/>
      <c r="ESO143" s="33"/>
      <c r="ESP143" s="33"/>
      <c r="ESQ143" s="33"/>
      <c r="ESR143" s="33"/>
      <c r="ESS143" s="33"/>
      <c r="EST143" s="33"/>
      <c r="ESU143" s="33"/>
      <c r="ESV143" s="33"/>
      <c r="ESW143" s="33"/>
      <c r="ESX143" s="33"/>
      <c r="ESY143" s="33"/>
      <c r="ESZ143" s="33"/>
      <c r="ETA143" s="33"/>
      <c r="ETB143" s="33"/>
      <c r="ETC143" s="33"/>
      <c r="ETD143" s="33"/>
      <c r="ETE143" s="33"/>
      <c r="ETF143" s="33"/>
      <c r="ETG143" s="33"/>
      <c r="ETH143" s="33"/>
      <c r="ETI143" s="33"/>
      <c r="ETJ143" s="33"/>
      <c r="ETK143" s="33"/>
      <c r="ETL143" s="33"/>
      <c r="ETM143" s="33"/>
      <c r="ETN143" s="33"/>
      <c r="ETO143" s="33"/>
      <c r="ETP143" s="33"/>
      <c r="ETQ143" s="33"/>
      <c r="ETR143" s="33"/>
      <c r="ETS143" s="33"/>
      <c r="ETT143" s="33"/>
      <c r="ETU143" s="33"/>
      <c r="ETV143" s="33"/>
      <c r="ETW143" s="33"/>
      <c r="ETX143" s="33"/>
      <c r="ETY143" s="33"/>
      <c r="ETZ143" s="33"/>
      <c r="EUA143" s="33"/>
      <c r="EUB143" s="33"/>
      <c r="EUC143" s="33"/>
      <c r="EUD143" s="33"/>
      <c r="EUE143" s="33"/>
      <c r="EUF143" s="33"/>
      <c r="EUG143" s="33"/>
      <c r="EUH143" s="33"/>
      <c r="EUI143" s="33"/>
      <c r="EUJ143" s="33"/>
      <c r="EUK143" s="33"/>
      <c r="EUL143" s="33"/>
      <c r="EUM143" s="33"/>
      <c r="EUN143" s="33"/>
      <c r="EUO143" s="33"/>
      <c r="EUP143" s="33"/>
      <c r="EUQ143" s="33"/>
      <c r="EUR143" s="33"/>
      <c r="EUS143" s="33"/>
      <c r="EUT143" s="33"/>
      <c r="EUU143" s="33"/>
      <c r="EUV143" s="33"/>
      <c r="EUW143" s="33"/>
      <c r="EUX143" s="33"/>
      <c r="EUY143" s="33"/>
      <c r="EUZ143" s="33"/>
      <c r="EVA143" s="33"/>
      <c r="EVB143" s="33"/>
      <c r="EVC143" s="33"/>
      <c r="EVD143" s="33"/>
      <c r="EVE143" s="33"/>
      <c r="EVF143" s="33"/>
      <c r="EVG143" s="33"/>
      <c r="EVH143" s="33"/>
      <c r="EVI143" s="33"/>
      <c r="EVJ143" s="33"/>
      <c r="EVK143" s="33"/>
      <c r="EVL143" s="33"/>
      <c r="EVM143" s="33"/>
      <c r="EVN143" s="33"/>
      <c r="EVO143" s="33"/>
      <c r="EVP143" s="33"/>
      <c r="EVQ143" s="33"/>
      <c r="EVR143" s="33"/>
      <c r="EVS143" s="33"/>
      <c r="EVT143" s="33"/>
      <c r="EVU143" s="33"/>
      <c r="EVV143" s="33"/>
      <c r="EVW143" s="33"/>
      <c r="EVX143" s="33"/>
      <c r="EVY143" s="33"/>
      <c r="EVZ143" s="33"/>
      <c r="EWA143" s="33"/>
      <c r="EWB143" s="33"/>
      <c r="EWC143" s="33"/>
      <c r="EWD143" s="33"/>
      <c r="EWE143" s="33"/>
      <c r="EWF143" s="33"/>
      <c r="EWG143" s="33"/>
      <c r="EWH143" s="33"/>
      <c r="EWI143" s="33"/>
      <c r="EWJ143" s="33"/>
      <c r="EWK143" s="33"/>
      <c r="EWL143" s="33"/>
      <c r="EWM143" s="33"/>
      <c r="EWN143" s="33"/>
      <c r="EWO143" s="33"/>
      <c r="EWP143" s="33"/>
      <c r="EWQ143" s="33"/>
      <c r="EWR143" s="33"/>
      <c r="EWS143" s="33"/>
      <c r="EWT143" s="33"/>
      <c r="EWU143" s="33"/>
      <c r="EWV143" s="33"/>
      <c r="EWW143" s="33"/>
      <c r="EWX143" s="33"/>
      <c r="EWY143" s="33"/>
      <c r="EWZ143" s="33"/>
      <c r="EXA143" s="33"/>
      <c r="EXB143" s="33"/>
      <c r="EXC143" s="33"/>
      <c r="EXD143" s="33"/>
      <c r="EXE143" s="33"/>
      <c r="EXF143" s="33"/>
      <c r="EXG143" s="33"/>
      <c r="EXH143" s="33"/>
      <c r="EXI143" s="33"/>
      <c r="EXJ143" s="33"/>
      <c r="EXK143" s="33"/>
      <c r="EXL143" s="33"/>
      <c r="EXM143" s="33"/>
      <c r="EXN143" s="33"/>
      <c r="EXO143" s="33"/>
      <c r="EXP143" s="33"/>
      <c r="EXQ143" s="33"/>
      <c r="EXR143" s="33"/>
      <c r="EXS143" s="33"/>
      <c r="EXT143" s="33"/>
      <c r="EXU143" s="33"/>
      <c r="EXV143" s="33"/>
      <c r="EXW143" s="33"/>
      <c r="EXX143" s="33"/>
      <c r="EXY143" s="33"/>
      <c r="EXZ143" s="33"/>
      <c r="EYA143" s="33"/>
      <c r="EYB143" s="33"/>
      <c r="EYC143" s="33"/>
      <c r="EYD143" s="33"/>
      <c r="EYE143" s="33"/>
      <c r="EYF143" s="33"/>
      <c r="EYG143" s="33"/>
      <c r="EYH143" s="33"/>
      <c r="EYI143" s="33"/>
      <c r="EYJ143" s="33"/>
      <c r="EYK143" s="33"/>
      <c r="EYL143" s="33"/>
      <c r="EYM143" s="33"/>
      <c r="EYN143" s="33"/>
      <c r="EYO143" s="33"/>
      <c r="EYP143" s="33"/>
      <c r="EYQ143" s="33"/>
      <c r="EYR143" s="33"/>
      <c r="EYS143" s="33"/>
      <c r="EYT143" s="33"/>
      <c r="EYU143" s="33"/>
      <c r="EYV143" s="33"/>
      <c r="EYW143" s="33"/>
      <c r="EYX143" s="33"/>
      <c r="EYY143" s="33"/>
      <c r="EYZ143" s="33"/>
      <c r="EZA143" s="33"/>
      <c r="EZB143" s="33"/>
      <c r="EZC143" s="33"/>
      <c r="EZD143" s="33"/>
      <c r="EZE143" s="33"/>
      <c r="EZF143" s="33"/>
      <c r="EZG143" s="33"/>
      <c r="EZH143" s="33"/>
      <c r="EZI143" s="33"/>
      <c r="EZJ143" s="33"/>
      <c r="EZK143" s="33"/>
      <c r="EZL143" s="33"/>
      <c r="EZM143" s="33"/>
      <c r="EZN143" s="33"/>
      <c r="EZO143" s="33"/>
      <c r="EZP143" s="33"/>
      <c r="EZQ143" s="33"/>
      <c r="EZR143" s="33"/>
      <c r="EZS143" s="33"/>
      <c r="EZT143" s="33"/>
      <c r="EZU143" s="33"/>
      <c r="EZV143" s="33"/>
      <c r="EZW143" s="33"/>
      <c r="EZX143" s="33"/>
      <c r="EZY143" s="33"/>
      <c r="EZZ143" s="33"/>
      <c r="FAA143" s="33"/>
      <c r="FAB143" s="33"/>
      <c r="FAC143" s="33"/>
      <c r="FAD143" s="33"/>
      <c r="FAE143" s="33"/>
      <c r="FAF143" s="33"/>
      <c r="FAG143" s="33"/>
      <c r="FAH143" s="33"/>
      <c r="FAI143" s="33"/>
      <c r="FAJ143" s="33"/>
      <c r="FAK143" s="33"/>
      <c r="FAL143" s="33"/>
      <c r="FAM143" s="33"/>
      <c r="FAN143" s="33"/>
      <c r="FAO143" s="33"/>
      <c r="FAP143" s="33"/>
      <c r="FAQ143" s="33"/>
      <c r="FAR143" s="33"/>
      <c r="FAS143" s="33"/>
      <c r="FAT143" s="33"/>
      <c r="FAU143" s="33"/>
      <c r="FAV143" s="33"/>
      <c r="FAW143" s="33"/>
      <c r="FAX143" s="33"/>
      <c r="FAY143" s="33"/>
      <c r="FAZ143" s="33"/>
      <c r="FBA143" s="33"/>
      <c r="FBB143" s="33"/>
      <c r="FBC143" s="33"/>
      <c r="FBD143" s="33"/>
      <c r="FBE143" s="33"/>
      <c r="FBF143" s="33"/>
      <c r="FBG143" s="33"/>
      <c r="FBH143" s="33"/>
      <c r="FBI143" s="33"/>
      <c r="FBJ143" s="33"/>
      <c r="FBK143" s="33"/>
      <c r="FBL143" s="33"/>
      <c r="FBM143" s="33"/>
      <c r="FBN143" s="33"/>
      <c r="FBO143" s="33"/>
      <c r="FBP143" s="33"/>
      <c r="FBQ143" s="33"/>
      <c r="FBR143" s="33"/>
      <c r="FBS143" s="33"/>
      <c r="FBT143" s="33"/>
      <c r="FBU143" s="33"/>
      <c r="FBV143" s="33"/>
      <c r="FBW143" s="33"/>
      <c r="FBX143" s="33"/>
      <c r="FBY143" s="33"/>
      <c r="FBZ143" s="33"/>
      <c r="FCA143" s="33"/>
      <c r="FCB143" s="33"/>
      <c r="FCC143" s="33"/>
      <c r="FCD143" s="33"/>
      <c r="FCE143" s="33"/>
      <c r="FCF143" s="33"/>
      <c r="FCG143" s="33"/>
      <c r="FCH143" s="33"/>
      <c r="FCI143" s="33"/>
      <c r="FCJ143" s="33"/>
      <c r="FCK143" s="33"/>
      <c r="FCL143" s="33"/>
      <c r="FCM143" s="33"/>
      <c r="FCN143" s="33"/>
      <c r="FCO143" s="33"/>
      <c r="FCP143" s="33"/>
      <c r="FCQ143" s="33"/>
      <c r="FCR143" s="33"/>
      <c r="FCS143" s="33"/>
      <c r="FCT143" s="33"/>
      <c r="FCU143" s="33"/>
      <c r="FCV143" s="33"/>
      <c r="FCW143" s="33"/>
      <c r="FCX143" s="33"/>
      <c r="FCY143" s="33"/>
      <c r="FCZ143" s="33"/>
      <c r="FDA143" s="33"/>
      <c r="FDB143" s="33"/>
      <c r="FDC143" s="33"/>
      <c r="FDD143" s="33"/>
      <c r="FDE143" s="33"/>
      <c r="FDF143" s="33"/>
      <c r="FDG143" s="33"/>
      <c r="FDH143" s="33"/>
      <c r="FDI143" s="33"/>
      <c r="FDJ143" s="33"/>
      <c r="FDK143" s="33"/>
      <c r="FDL143" s="33"/>
      <c r="FDM143" s="33"/>
      <c r="FDN143" s="33"/>
      <c r="FDO143" s="33"/>
      <c r="FDP143" s="33"/>
      <c r="FDQ143" s="33"/>
      <c r="FDR143" s="33"/>
      <c r="FDS143" s="33"/>
      <c r="FDT143" s="33"/>
      <c r="FDU143" s="33"/>
      <c r="FDV143" s="33"/>
      <c r="FDW143" s="33"/>
      <c r="FDX143" s="33"/>
      <c r="FDY143" s="33"/>
      <c r="FDZ143" s="33"/>
      <c r="FEA143" s="33"/>
      <c r="FEB143" s="33"/>
      <c r="FEC143" s="33"/>
      <c r="FED143" s="33"/>
      <c r="FEE143" s="33"/>
      <c r="FEF143" s="33"/>
      <c r="FEG143" s="33"/>
      <c r="FEH143" s="33"/>
      <c r="FEI143" s="33"/>
      <c r="FEJ143" s="33"/>
      <c r="FEK143" s="33"/>
      <c r="FEL143" s="33"/>
      <c r="FEM143" s="33"/>
      <c r="FEN143" s="33"/>
      <c r="FEO143" s="33"/>
      <c r="FEP143" s="33"/>
      <c r="FEQ143" s="33"/>
      <c r="FER143" s="33"/>
      <c r="FES143" s="33"/>
      <c r="FET143" s="33"/>
      <c r="FEU143" s="33"/>
      <c r="FEV143" s="33"/>
      <c r="FEW143" s="33"/>
      <c r="FEX143" s="33"/>
      <c r="FEY143" s="33"/>
      <c r="FEZ143" s="33"/>
      <c r="FFA143" s="33"/>
      <c r="FFB143" s="33"/>
      <c r="FFC143" s="33"/>
      <c r="FFD143" s="33"/>
      <c r="FFE143" s="33"/>
      <c r="FFF143" s="33"/>
      <c r="FFG143" s="33"/>
      <c r="FFH143" s="33"/>
      <c r="FFI143" s="33"/>
      <c r="FFJ143" s="33"/>
      <c r="FFK143" s="33"/>
      <c r="FFL143" s="33"/>
      <c r="FFM143" s="33"/>
      <c r="FFN143" s="33"/>
      <c r="FFO143" s="33"/>
      <c r="FFP143" s="33"/>
      <c r="FFQ143" s="33"/>
      <c r="FFR143" s="33"/>
      <c r="FFS143" s="33"/>
      <c r="FFT143" s="33"/>
      <c r="FFU143" s="33"/>
      <c r="FFV143" s="33"/>
      <c r="FFW143" s="33"/>
      <c r="FFX143" s="33"/>
      <c r="FFY143" s="33"/>
      <c r="FFZ143" s="33"/>
      <c r="FGA143" s="33"/>
      <c r="FGB143" s="33"/>
      <c r="FGC143" s="33"/>
      <c r="FGD143" s="33"/>
      <c r="FGE143" s="33"/>
      <c r="FGF143" s="33"/>
      <c r="FGG143" s="33"/>
      <c r="FGH143" s="33"/>
      <c r="FGI143" s="33"/>
      <c r="FGJ143" s="33"/>
      <c r="FGK143" s="33"/>
      <c r="FGL143" s="33"/>
      <c r="FGM143" s="33"/>
      <c r="FGN143" s="33"/>
      <c r="FGO143" s="33"/>
      <c r="FGP143" s="33"/>
      <c r="FGQ143" s="33"/>
      <c r="FGR143" s="33"/>
      <c r="FGS143" s="33"/>
      <c r="FGT143" s="33"/>
      <c r="FGU143" s="33"/>
      <c r="FGV143" s="33"/>
      <c r="FGW143" s="33"/>
      <c r="FGX143" s="33"/>
      <c r="FGY143" s="33"/>
      <c r="FGZ143" s="33"/>
      <c r="FHA143" s="33"/>
      <c r="FHB143" s="33"/>
      <c r="FHC143" s="33"/>
      <c r="FHD143" s="33"/>
      <c r="FHE143" s="33"/>
      <c r="FHF143" s="33"/>
      <c r="FHG143" s="33"/>
      <c r="FHH143" s="33"/>
      <c r="FHI143" s="33"/>
      <c r="FHJ143" s="33"/>
      <c r="FHK143" s="33"/>
      <c r="FHL143" s="33"/>
      <c r="FHM143" s="33"/>
      <c r="FHN143" s="33"/>
      <c r="FHO143" s="33"/>
      <c r="FHP143" s="33"/>
      <c r="FHQ143" s="33"/>
      <c r="FHR143" s="33"/>
      <c r="FHS143" s="33"/>
      <c r="FHT143" s="33"/>
      <c r="FHU143" s="33"/>
      <c r="FHV143" s="33"/>
      <c r="FHW143" s="33"/>
      <c r="FHX143" s="33"/>
      <c r="FHY143" s="33"/>
      <c r="FHZ143" s="33"/>
      <c r="FIA143" s="33"/>
      <c r="FIB143" s="33"/>
      <c r="FIC143" s="33"/>
      <c r="FID143" s="33"/>
      <c r="FIE143" s="33"/>
      <c r="FIF143" s="33"/>
      <c r="FIG143" s="33"/>
      <c r="FIH143" s="33"/>
      <c r="FII143" s="33"/>
      <c r="FIJ143" s="33"/>
      <c r="FIK143" s="33"/>
      <c r="FIL143" s="33"/>
      <c r="FIM143" s="33"/>
      <c r="FIN143" s="33"/>
      <c r="FIO143" s="33"/>
      <c r="FIP143" s="33"/>
      <c r="FIQ143" s="33"/>
      <c r="FIR143" s="33"/>
      <c r="FIS143" s="33"/>
      <c r="FIT143" s="33"/>
      <c r="FIU143" s="33"/>
      <c r="FIV143" s="33"/>
      <c r="FIW143" s="33"/>
      <c r="FIX143" s="33"/>
      <c r="FIY143" s="33"/>
      <c r="FIZ143" s="33"/>
      <c r="FJA143" s="33"/>
      <c r="FJB143" s="33"/>
      <c r="FJC143" s="33"/>
      <c r="FJD143" s="33"/>
      <c r="FJE143" s="33"/>
      <c r="FJF143" s="33"/>
      <c r="FJG143" s="33"/>
      <c r="FJH143" s="33"/>
      <c r="FJI143" s="33"/>
      <c r="FJJ143" s="33"/>
      <c r="FJK143" s="33"/>
      <c r="FJL143" s="33"/>
      <c r="FJM143" s="33"/>
      <c r="FJN143" s="33"/>
      <c r="FJO143" s="33"/>
      <c r="FJP143" s="33"/>
      <c r="FJQ143" s="33"/>
      <c r="FJR143" s="33"/>
      <c r="FJS143" s="33"/>
      <c r="FJT143" s="33"/>
      <c r="FJU143" s="33"/>
      <c r="FJV143" s="33"/>
      <c r="FJW143" s="33"/>
      <c r="FJX143" s="33"/>
      <c r="FJY143" s="33"/>
      <c r="FJZ143" s="33"/>
      <c r="FKA143" s="33"/>
      <c r="FKB143" s="33"/>
      <c r="FKC143" s="33"/>
      <c r="FKD143" s="33"/>
      <c r="FKE143" s="33"/>
      <c r="FKF143" s="33"/>
      <c r="FKG143" s="33"/>
      <c r="FKH143" s="33"/>
      <c r="FKI143" s="33"/>
      <c r="FKJ143" s="33"/>
      <c r="FKK143" s="33"/>
      <c r="FKL143" s="33"/>
      <c r="FKM143" s="33"/>
      <c r="FKN143" s="33"/>
      <c r="FKO143" s="33"/>
      <c r="FKP143" s="33"/>
      <c r="FKQ143" s="33"/>
      <c r="FKR143" s="33"/>
      <c r="FKS143" s="33"/>
      <c r="FKT143" s="33"/>
      <c r="FKU143" s="33"/>
      <c r="FKV143" s="33"/>
      <c r="FKW143" s="33"/>
      <c r="FKX143" s="33"/>
      <c r="FKY143" s="33"/>
      <c r="FKZ143" s="33"/>
      <c r="FLA143" s="33"/>
      <c r="FLB143" s="33"/>
      <c r="FLC143" s="33"/>
      <c r="FLD143" s="33"/>
      <c r="FLE143" s="33"/>
      <c r="FLF143" s="33"/>
      <c r="FLG143" s="33"/>
      <c r="FLH143" s="33"/>
      <c r="FLI143" s="33"/>
      <c r="FLJ143" s="33"/>
      <c r="FLK143" s="33"/>
      <c r="FLL143" s="33"/>
      <c r="FLM143" s="33"/>
      <c r="FLN143" s="33"/>
      <c r="FLO143" s="33"/>
      <c r="FLP143" s="33"/>
      <c r="FLQ143" s="33"/>
      <c r="FLR143" s="33"/>
      <c r="FLS143" s="33"/>
      <c r="FLT143" s="33"/>
      <c r="FLU143" s="33"/>
      <c r="FLV143" s="33"/>
      <c r="FLW143" s="33"/>
      <c r="FLX143" s="33"/>
      <c r="FLY143" s="33"/>
      <c r="FLZ143" s="33"/>
      <c r="FMA143" s="33"/>
      <c r="FMB143" s="33"/>
      <c r="FMC143" s="33"/>
      <c r="FMD143" s="33"/>
      <c r="FME143" s="33"/>
      <c r="FMF143" s="33"/>
      <c r="FMG143" s="33"/>
      <c r="FMH143" s="33"/>
      <c r="FMI143" s="33"/>
      <c r="FMJ143" s="33"/>
      <c r="FMK143" s="33"/>
      <c r="FML143" s="33"/>
      <c r="FMM143" s="33"/>
      <c r="FMN143" s="33"/>
      <c r="FMO143" s="33"/>
      <c r="FMP143" s="33"/>
      <c r="FMQ143" s="33"/>
      <c r="FMR143" s="33"/>
      <c r="FMS143" s="33"/>
      <c r="FMT143" s="33"/>
      <c r="FMU143" s="33"/>
      <c r="FMV143" s="33"/>
      <c r="FMW143" s="33"/>
      <c r="FMX143" s="33"/>
      <c r="FMY143" s="33"/>
      <c r="FMZ143" s="33"/>
      <c r="FNA143" s="33"/>
      <c r="FNB143" s="33"/>
      <c r="FNC143" s="33"/>
      <c r="FND143" s="33"/>
      <c r="FNE143" s="33"/>
      <c r="FNF143" s="33"/>
      <c r="FNG143" s="33"/>
      <c r="FNH143" s="33"/>
      <c r="FNI143" s="33"/>
      <c r="FNJ143" s="33"/>
      <c r="FNK143" s="33"/>
      <c r="FNL143" s="33"/>
      <c r="FNM143" s="33"/>
      <c r="FNN143" s="33"/>
      <c r="FNO143" s="33"/>
      <c r="FNP143" s="33"/>
      <c r="FNQ143" s="33"/>
      <c r="FNR143" s="33"/>
      <c r="FNS143" s="33"/>
      <c r="FNT143" s="33"/>
      <c r="FNU143" s="33"/>
      <c r="FNV143" s="33"/>
      <c r="FNW143" s="33"/>
      <c r="FNX143" s="33"/>
      <c r="FNY143" s="33"/>
      <c r="FNZ143" s="33"/>
      <c r="FOA143" s="33"/>
      <c r="FOB143" s="33"/>
      <c r="FOC143" s="33"/>
      <c r="FOD143" s="33"/>
      <c r="FOE143" s="33"/>
      <c r="FOF143" s="33"/>
      <c r="FOG143" s="33"/>
      <c r="FOH143" s="33"/>
      <c r="FOI143" s="33"/>
      <c r="FOJ143" s="33"/>
      <c r="FOK143" s="33"/>
      <c r="FOL143" s="33"/>
      <c r="FOM143" s="33"/>
      <c r="FON143" s="33"/>
      <c r="FOO143" s="33"/>
      <c r="FOP143" s="33"/>
      <c r="FOQ143" s="33"/>
      <c r="FOR143" s="33"/>
      <c r="FOS143" s="33"/>
      <c r="FOT143" s="33"/>
      <c r="FOU143" s="33"/>
      <c r="FOV143" s="33"/>
      <c r="FOW143" s="33"/>
      <c r="FOX143" s="33"/>
      <c r="FOY143" s="33"/>
      <c r="FOZ143" s="33"/>
      <c r="FPA143" s="33"/>
      <c r="FPB143" s="33"/>
      <c r="FPC143" s="33"/>
      <c r="FPD143" s="33"/>
      <c r="FPE143" s="33"/>
      <c r="FPF143" s="33"/>
      <c r="FPG143" s="33"/>
      <c r="FPH143" s="33"/>
      <c r="FPI143" s="33"/>
      <c r="FPJ143" s="33"/>
      <c r="FPK143" s="33"/>
      <c r="FPL143" s="33"/>
      <c r="FPM143" s="33"/>
      <c r="FPN143" s="33"/>
      <c r="FPO143" s="33"/>
      <c r="FPP143" s="33"/>
      <c r="FPQ143" s="33"/>
      <c r="FPR143" s="33"/>
      <c r="FPS143" s="33"/>
      <c r="FPT143" s="33"/>
      <c r="FPU143" s="33"/>
      <c r="FPV143" s="33"/>
      <c r="FPW143" s="33"/>
      <c r="FPX143" s="33"/>
      <c r="FPY143" s="33"/>
      <c r="FPZ143" s="33"/>
      <c r="FQA143" s="33"/>
      <c r="FQB143" s="33"/>
      <c r="FQC143" s="33"/>
      <c r="FQD143" s="33"/>
      <c r="FQE143" s="33"/>
      <c r="FQF143" s="33"/>
      <c r="FQG143" s="33"/>
      <c r="FQH143" s="33"/>
      <c r="FQI143" s="33"/>
      <c r="FQJ143" s="33"/>
      <c r="FQK143" s="33"/>
      <c r="FQL143" s="33"/>
      <c r="FQM143" s="33"/>
      <c r="FQN143" s="33"/>
      <c r="FQO143" s="33"/>
      <c r="FQP143" s="33"/>
      <c r="FQQ143" s="33"/>
      <c r="FQR143" s="33"/>
      <c r="FQS143" s="33"/>
      <c r="FQT143" s="33"/>
      <c r="FQU143" s="33"/>
      <c r="FQV143" s="33"/>
      <c r="FQW143" s="33"/>
      <c r="FQX143" s="33"/>
      <c r="FQY143" s="33"/>
      <c r="FQZ143" s="33"/>
      <c r="FRA143" s="33"/>
      <c r="FRB143" s="33"/>
      <c r="FRC143" s="33"/>
      <c r="FRD143" s="33"/>
      <c r="FRE143" s="33"/>
      <c r="FRF143" s="33"/>
      <c r="FRG143" s="33"/>
      <c r="FRH143" s="33"/>
      <c r="FRI143" s="33"/>
      <c r="FRJ143" s="33"/>
      <c r="FRK143" s="33"/>
      <c r="FRL143" s="33"/>
      <c r="FRM143" s="33"/>
      <c r="FRN143" s="33"/>
      <c r="FRO143" s="33"/>
      <c r="FRP143" s="33"/>
      <c r="FRQ143" s="33"/>
      <c r="FRR143" s="33"/>
      <c r="FRS143" s="33"/>
      <c r="FRT143" s="33"/>
      <c r="FRU143" s="33"/>
      <c r="FRV143" s="33"/>
      <c r="FRW143" s="33"/>
      <c r="FRX143" s="33"/>
      <c r="FRY143" s="33"/>
      <c r="FRZ143" s="33"/>
      <c r="FSA143" s="33"/>
      <c r="FSB143" s="33"/>
      <c r="FSC143" s="33"/>
      <c r="FSD143" s="33"/>
      <c r="FSE143" s="33"/>
      <c r="FSF143" s="33"/>
      <c r="FSG143" s="33"/>
      <c r="FSH143" s="33"/>
      <c r="FSI143" s="33"/>
      <c r="FSJ143" s="33"/>
      <c r="FSK143" s="33"/>
      <c r="FSL143" s="33"/>
      <c r="FSM143" s="33"/>
      <c r="FSN143" s="33"/>
      <c r="FSO143" s="33"/>
      <c r="FSP143" s="33"/>
      <c r="FSQ143" s="33"/>
      <c r="FSR143" s="33"/>
      <c r="FSS143" s="33"/>
      <c r="FST143" s="33"/>
      <c r="FSU143" s="33"/>
      <c r="FSV143" s="33"/>
      <c r="FSW143" s="33"/>
      <c r="FSX143" s="33"/>
      <c r="FSY143" s="33"/>
      <c r="FSZ143" s="33"/>
      <c r="FTA143" s="33"/>
      <c r="FTB143" s="33"/>
      <c r="FTC143" s="33"/>
      <c r="FTD143" s="33"/>
      <c r="FTE143" s="33"/>
      <c r="FTF143" s="33"/>
      <c r="FTG143" s="33"/>
      <c r="FTH143" s="33"/>
      <c r="FTI143" s="33"/>
      <c r="FTJ143" s="33"/>
      <c r="FTK143" s="33"/>
      <c r="FTL143" s="33"/>
      <c r="FTM143" s="33"/>
      <c r="FTN143" s="33"/>
      <c r="FTO143" s="33"/>
      <c r="FTP143" s="33"/>
      <c r="FTQ143" s="33"/>
      <c r="FTR143" s="33"/>
      <c r="FTS143" s="33"/>
      <c r="FTT143" s="33"/>
      <c r="FTU143" s="33"/>
      <c r="FTV143" s="33"/>
      <c r="FTW143" s="33"/>
      <c r="FTX143" s="33"/>
      <c r="FTY143" s="33"/>
      <c r="FTZ143" s="33"/>
      <c r="FUA143" s="33"/>
      <c r="FUB143" s="33"/>
      <c r="FUC143" s="33"/>
      <c r="FUD143" s="33"/>
      <c r="FUE143" s="33"/>
      <c r="FUF143" s="33"/>
      <c r="FUG143" s="33"/>
      <c r="FUH143" s="33"/>
      <c r="FUI143" s="33"/>
      <c r="FUJ143" s="33"/>
      <c r="FUK143" s="33"/>
      <c r="FUL143" s="33"/>
      <c r="FUM143" s="33"/>
      <c r="FUN143" s="33"/>
      <c r="FUO143" s="33"/>
      <c r="FUP143" s="33"/>
      <c r="FUQ143" s="33"/>
      <c r="FUR143" s="33"/>
      <c r="FUS143" s="33"/>
      <c r="FUT143" s="33"/>
      <c r="FUU143" s="33"/>
      <c r="FUV143" s="33"/>
      <c r="FUW143" s="33"/>
      <c r="FUX143" s="33"/>
      <c r="FUY143" s="33"/>
      <c r="FUZ143" s="33"/>
      <c r="FVA143" s="33"/>
      <c r="FVB143" s="33"/>
      <c r="FVC143" s="33"/>
      <c r="FVD143" s="33"/>
      <c r="FVE143" s="33"/>
      <c r="FVF143" s="33"/>
      <c r="FVG143" s="33"/>
      <c r="FVH143" s="33"/>
      <c r="FVI143" s="33"/>
      <c r="FVJ143" s="33"/>
      <c r="FVK143" s="33"/>
      <c r="FVL143" s="33"/>
      <c r="FVM143" s="33"/>
      <c r="FVN143" s="33"/>
      <c r="FVO143" s="33"/>
      <c r="FVP143" s="33"/>
      <c r="FVQ143" s="33"/>
      <c r="FVR143" s="33"/>
      <c r="FVS143" s="33"/>
      <c r="FVT143" s="33"/>
      <c r="FVU143" s="33"/>
      <c r="FVV143" s="33"/>
      <c r="FVW143" s="33"/>
      <c r="FVX143" s="33"/>
      <c r="FVY143" s="33"/>
      <c r="FVZ143" s="33"/>
      <c r="FWA143" s="33"/>
      <c r="FWB143" s="33"/>
      <c r="FWC143" s="33"/>
      <c r="FWD143" s="33"/>
      <c r="FWE143" s="33"/>
      <c r="FWF143" s="33"/>
      <c r="FWG143" s="33"/>
      <c r="FWH143" s="33"/>
      <c r="FWI143" s="33"/>
      <c r="FWJ143" s="33"/>
      <c r="FWK143" s="33"/>
      <c r="FWL143" s="33"/>
      <c r="FWM143" s="33"/>
      <c r="FWN143" s="33"/>
      <c r="FWO143" s="33"/>
      <c r="FWP143" s="33"/>
      <c r="FWQ143" s="33"/>
      <c r="FWR143" s="33"/>
      <c r="FWS143" s="33"/>
      <c r="FWT143" s="33"/>
      <c r="FWU143" s="33"/>
      <c r="FWV143" s="33"/>
      <c r="FWW143" s="33"/>
      <c r="FWX143" s="33"/>
      <c r="FWY143" s="33"/>
      <c r="FWZ143" s="33"/>
      <c r="FXA143" s="33"/>
      <c r="FXB143" s="33"/>
      <c r="FXC143" s="33"/>
      <c r="FXD143" s="33"/>
      <c r="FXE143" s="33"/>
      <c r="FXF143" s="33"/>
      <c r="FXG143" s="33"/>
      <c r="FXH143" s="33"/>
      <c r="FXI143" s="33"/>
      <c r="FXJ143" s="33"/>
      <c r="FXK143" s="33"/>
      <c r="FXL143" s="33"/>
      <c r="FXM143" s="33"/>
      <c r="FXN143" s="33"/>
      <c r="FXO143" s="33"/>
      <c r="FXP143" s="33"/>
      <c r="FXQ143" s="33"/>
      <c r="FXR143" s="33"/>
      <c r="FXS143" s="33"/>
      <c r="FXT143" s="33"/>
      <c r="FXU143" s="33"/>
      <c r="FXV143" s="33"/>
      <c r="FXW143" s="33"/>
      <c r="FXX143" s="33"/>
      <c r="FXY143" s="33"/>
      <c r="FXZ143" s="33"/>
      <c r="FYA143" s="33"/>
      <c r="FYB143" s="33"/>
      <c r="FYC143" s="33"/>
      <c r="FYD143" s="33"/>
      <c r="FYE143" s="33"/>
      <c r="FYF143" s="33"/>
      <c r="FYG143" s="33"/>
      <c r="FYH143" s="33"/>
      <c r="FYI143" s="33"/>
      <c r="FYJ143" s="33"/>
      <c r="FYK143" s="33"/>
      <c r="FYL143" s="33"/>
      <c r="FYM143" s="33"/>
      <c r="FYN143" s="33"/>
      <c r="FYO143" s="33"/>
      <c r="FYP143" s="33"/>
      <c r="FYQ143" s="33"/>
      <c r="FYR143" s="33"/>
      <c r="FYS143" s="33"/>
      <c r="FYT143" s="33"/>
      <c r="FYU143" s="33"/>
      <c r="FYV143" s="33"/>
      <c r="FYW143" s="33"/>
      <c r="FYX143" s="33"/>
      <c r="FYY143" s="33"/>
      <c r="FYZ143" s="33"/>
      <c r="FZA143" s="33"/>
      <c r="FZB143" s="33"/>
      <c r="FZC143" s="33"/>
      <c r="FZD143" s="33"/>
      <c r="FZE143" s="33"/>
      <c r="FZF143" s="33"/>
      <c r="FZG143" s="33"/>
      <c r="FZH143" s="33"/>
      <c r="FZI143" s="33"/>
      <c r="FZJ143" s="33"/>
      <c r="FZK143" s="33"/>
      <c r="FZL143" s="33"/>
      <c r="FZM143" s="33"/>
      <c r="FZN143" s="33"/>
      <c r="FZO143" s="33"/>
      <c r="FZP143" s="33"/>
      <c r="FZQ143" s="33"/>
      <c r="FZR143" s="33"/>
      <c r="FZS143" s="33"/>
      <c r="FZT143" s="33"/>
      <c r="FZU143" s="33"/>
      <c r="FZV143" s="33"/>
      <c r="FZW143" s="33"/>
      <c r="FZX143" s="33"/>
      <c r="FZY143" s="33"/>
      <c r="FZZ143" s="33"/>
      <c r="GAA143" s="33"/>
      <c r="GAB143" s="33"/>
      <c r="GAC143" s="33"/>
      <c r="GAD143" s="33"/>
      <c r="GAE143" s="33"/>
      <c r="GAF143" s="33"/>
      <c r="GAG143" s="33"/>
      <c r="GAH143" s="33"/>
      <c r="GAI143" s="33"/>
      <c r="GAJ143" s="33"/>
      <c r="GAK143" s="33"/>
      <c r="GAL143" s="33"/>
      <c r="GAM143" s="33"/>
      <c r="GAN143" s="33"/>
      <c r="GAO143" s="33"/>
      <c r="GAP143" s="33"/>
      <c r="GAQ143" s="33"/>
      <c r="GAR143" s="33"/>
      <c r="GAS143" s="33"/>
      <c r="GAT143" s="33"/>
      <c r="GAU143" s="33"/>
      <c r="GAV143" s="33"/>
      <c r="GAW143" s="33"/>
      <c r="GAX143" s="33"/>
      <c r="GAY143" s="33"/>
      <c r="GAZ143" s="33"/>
      <c r="GBA143" s="33"/>
      <c r="GBB143" s="33"/>
      <c r="GBC143" s="33"/>
      <c r="GBD143" s="33"/>
      <c r="GBE143" s="33"/>
      <c r="GBF143" s="33"/>
      <c r="GBG143" s="33"/>
      <c r="GBH143" s="33"/>
      <c r="GBI143" s="33"/>
      <c r="GBJ143" s="33"/>
      <c r="GBK143" s="33"/>
      <c r="GBL143" s="33"/>
      <c r="GBM143" s="33"/>
      <c r="GBN143" s="33"/>
      <c r="GBO143" s="33"/>
      <c r="GBP143" s="33"/>
      <c r="GBQ143" s="33"/>
      <c r="GBR143" s="33"/>
      <c r="GBS143" s="33"/>
      <c r="GBT143" s="33"/>
      <c r="GBU143" s="33"/>
      <c r="GBV143" s="33"/>
      <c r="GBW143" s="33"/>
      <c r="GBX143" s="33"/>
      <c r="GBY143" s="33"/>
      <c r="GBZ143" s="33"/>
      <c r="GCA143" s="33"/>
      <c r="GCB143" s="33"/>
      <c r="GCC143" s="33"/>
      <c r="GCD143" s="33"/>
      <c r="GCE143" s="33"/>
      <c r="GCF143" s="33"/>
      <c r="GCG143" s="33"/>
      <c r="GCH143" s="33"/>
      <c r="GCI143" s="33"/>
      <c r="GCJ143" s="33"/>
      <c r="GCK143" s="33"/>
      <c r="GCL143" s="33"/>
      <c r="GCM143" s="33"/>
      <c r="GCN143" s="33"/>
      <c r="GCO143" s="33"/>
      <c r="GCP143" s="33"/>
      <c r="GCQ143" s="33"/>
      <c r="GCR143" s="33"/>
      <c r="GCS143" s="33"/>
      <c r="GCT143" s="33"/>
      <c r="GCU143" s="33"/>
      <c r="GCV143" s="33"/>
      <c r="GCW143" s="33"/>
      <c r="GCX143" s="33"/>
      <c r="GCY143" s="33"/>
      <c r="GCZ143" s="33"/>
      <c r="GDA143" s="33"/>
      <c r="GDB143" s="33"/>
      <c r="GDC143" s="33"/>
      <c r="GDD143" s="33"/>
      <c r="GDE143" s="33"/>
      <c r="GDF143" s="33"/>
      <c r="GDG143" s="33"/>
      <c r="GDH143" s="33"/>
      <c r="GDI143" s="33"/>
      <c r="GDJ143" s="33"/>
      <c r="GDK143" s="33"/>
      <c r="GDL143" s="33"/>
      <c r="GDM143" s="33"/>
      <c r="GDN143" s="33"/>
      <c r="GDO143" s="33"/>
      <c r="GDP143" s="33"/>
      <c r="GDQ143" s="33"/>
      <c r="GDR143" s="33"/>
      <c r="GDS143" s="33"/>
      <c r="GDT143" s="33"/>
      <c r="GDU143" s="33"/>
      <c r="GDV143" s="33"/>
      <c r="GDW143" s="33"/>
      <c r="GDX143" s="33"/>
      <c r="GDY143" s="33"/>
      <c r="GDZ143" s="33"/>
      <c r="GEA143" s="33"/>
      <c r="GEB143" s="33"/>
      <c r="GEC143" s="33"/>
      <c r="GED143" s="33"/>
      <c r="GEE143" s="33"/>
      <c r="GEF143" s="33"/>
      <c r="GEG143" s="33"/>
      <c r="GEH143" s="33"/>
      <c r="GEI143" s="33"/>
      <c r="GEJ143" s="33"/>
      <c r="GEK143" s="33"/>
      <c r="GEL143" s="33"/>
      <c r="GEM143" s="33"/>
      <c r="GEN143" s="33"/>
      <c r="GEO143" s="33"/>
      <c r="GEP143" s="33"/>
      <c r="GEQ143" s="33"/>
      <c r="GER143" s="33"/>
      <c r="GES143" s="33"/>
      <c r="GET143" s="33"/>
      <c r="GEU143" s="33"/>
      <c r="GEV143" s="33"/>
      <c r="GEW143" s="33"/>
      <c r="GEX143" s="33"/>
      <c r="GEY143" s="33"/>
      <c r="GEZ143" s="33"/>
      <c r="GFA143" s="33"/>
      <c r="GFB143" s="33"/>
      <c r="GFC143" s="33"/>
      <c r="GFD143" s="33"/>
      <c r="GFE143" s="33"/>
      <c r="GFF143" s="33"/>
      <c r="GFG143" s="33"/>
      <c r="GFH143" s="33"/>
      <c r="GFI143" s="33"/>
      <c r="GFJ143" s="33"/>
      <c r="GFK143" s="33"/>
      <c r="GFL143" s="33"/>
      <c r="GFM143" s="33"/>
      <c r="GFN143" s="33"/>
      <c r="GFO143" s="33"/>
      <c r="GFP143" s="33"/>
      <c r="GFQ143" s="33"/>
      <c r="GFR143" s="33"/>
      <c r="GFS143" s="33"/>
      <c r="GFT143" s="33"/>
      <c r="GFU143" s="33"/>
      <c r="GFV143" s="33"/>
      <c r="GFW143" s="33"/>
      <c r="GFX143" s="33"/>
      <c r="GFY143" s="33"/>
      <c r="GFZ143" s="33"/>
      <c r="GGA143" s="33"/>
      <c r="GGB143" s="33"/>
      <c r="GGC143" s="33"/>
      <c r="GGD143" s="33"/>
      <c r="GGE143" s="33"/>
      <c r="GGF143" s="33"/>
      <c r="GGG143" s="33"/>
      <c r="GGH143" s="33"/>
      <c r="GGI143" s="33"/>
      <c r="GGJ143" s="33"/>
      <c r="GGK143" s="33"/>
      <c r="GGL143" s="33"/>
      <c r="GGM143" s="33"/>
      <c r="GGN143" s="33"/>
      <c r="GGO143" s="33"/>
      <c r="GGP143" s="33"/>
      <c r="GGQ143" s="33"/>
      <c r="GGR143" s="33"/>
      <c r="GGS143" s="33"/>
      <c r="GGT143" s="33"/>
      <c r="GGU143" s="33"/>
      <c r="GGV143" s="33"/>
      <c r="GGW143" s="33"/>
      <c r="GGX143" s="33"/>
      <c r="GGY143" s="33"/>
      <c r="GGZ143" s="33"/>
      <c r="GHA143" s="33"/>
      <c r="GHB143" s="33"/>
      <c r="GHC143" s="33"/>
      <c r="GHD143" s="33"/>
      <c r="GHE143" s="33"/>
      <c r="GHF143" s="33"/>
      <c r="GHG143" s="33"/>
      <c r="GHH143" s="33"/>
      <c r="GHI143" s="33"/>
      <c r="GHJ143" s="33"/>
      <c r="GHK143" s="33"/>
      <c r="GHL143" s="33"/>
      <c r="GHM143" s="33"/>
      <c r="GHN143" s="33"/>
      <c r="GHO143" s="33"/>
      <c r="GHP143" s="33"/>
      <c r="GHQ143" s="33"/>
      <c r="GHR143" s="33"/>
      <c r="GHS143" s="33"/>
      <c r="GHT143" s="33"/>
      <c r="GHU143" s="33"/>
      <c r="GHV143" s="33"/>
      <c r="GHW143" s="33"/>
      <c r="GHX143" s="33"/>
      <c r="GHY143" s="33"/>
      <c r="GHZ143" s="33"/>
      <c r="GIA143" s="33"/>
      <c r="GIB143" s="33"/>
      <c r="GIC143" s="33"/>
      <c r="GID143" s="33"/>
      <c r="GIE143" s="33"/>
      <c r="GIF143" s="33"/>
      <c r="GIG143" s="33"/>
      <c r="GIH143" s="33"/>
      <c r="GII143" s="33"/>
      <c r="GIJ143" s="33"/>
      <c r="GIK143" s="33"/>
      <c r="GIL143" s="33"/>
      <c r="GIM143" s="33"/>
      <c r="GIN143" s="33"/>
      <c r="GIO143" s="33"/>
      <c r="GIP143" s="33"/>
      <c r="GIQ143" s="33"/>
      <c r="GIR143" s="33"/>
      <c r="GIS143" s="33"/>
      <c r="GIT143" s="33"/>
      <c r="GIU143" s="33"/>
      <c r="GIV143" s="33"/>
      <c r="GIW143" s="33"/>
      <c r="GIX143" s="33"/>
      <c r="GIY143" s="33"/>
      <c r="GIZ143" s="33"/>
      <c r="GJA143" s="33"/>
      <c r="GJB143" s="33"/>
      <c r="GJC143" s="33"/>
      <c r="GJD143" s="33"/>
      <c r="GJE143" s="33"/>
      <c r="GJF143" s="33"/>
      <c r="GJG143" s="33"/>
      <c r="GJH143" s="33"/>
      <c r="GJI143" s="33"/>
      <c r="GJJ143" s="33"/>
      <c r="GJK143" s="33"/>
      <c r="GJL143" s="33"/>
      <c r="GJM143" s="33"/>
      <c r="GJN143" s="33"/>
      <c r="GJO143" s="33"/>
      <c r="GJP143" s="33"/>
      <c r="GJQ143" s="33"/>
      <c r="GJR143" s="33"/>
      <c r="GJS143" s="33"/>
      <c r="GJT143" s="33"/>
      <c r="GJU143" s="33"/>
      <c r="GJV143" s="33"/>
      <c r="GJW143" s="33"/>
      <c r="GJX143" s="33"/>
      <c r="GJY143" s="33"/>
      <c r="GJZ143" s="33"/>
      <c r="GKA143" s="33"/>
      <c r="GKB143" s="33"/>
      <c r="GKC143" s="33"/>
      <c r="GKD143" s="33"/>
      <c r="GKE143" s="33"/>
      <c r="GKF143" s="33"/>
      <c r="GKG143" s="33"/>
      <c r="GKH143" s="33"/>
      <c r="GKI143" s="33"/>
      <c r="GKJ143" s="33"/>
      <c r="GKK143" s="33"/>
      <c r="GKL143" s="33"/>
      <c r="GKM143" s="33"/>
      <c r="GKN143" s="33"/>
      <c r="GKO143" s="33"/>
      <c r="GKP143" s="33"/>
      <c r="GKQ143" s="33"/>
      <c r="GKR143" s="33"/>
      <c r="GKS143" s="33"/>
      <c r="GKT143" s="33"/>
      <c r="GKU143" s="33"/>
      <c r="GKV143" s="33"/>
      <c r="GKW143" s="33"/>
      <c r="GKX143" s="33"/>
      <c r="GKY143" s="33"/>
      <c r="GKZ143" s="33"/>
      <c r="GLA143" s="33"/>
      <c r="GLB143" s="33"/>
      <c r="GLC143" s="33"/>
      <c r="GLD143" s="33"/>
      <c r="GLE143" s="33"/>
      <c r="GLF143" s="33"/>
      <c r="GLG143" s="33"/>
      <c r="GLH143" s="33"/>
      <c r="GLI143" s="33"/>
      <c r="GLJ143" s="33"/>
      <c r="GLK143" s="33"/>
      <c r="GLL143" s="33"/>
      <c r="GLM143" s="33"/>
      <c r="GLN143" s="33"/>
      <c r="GLO143" s="33"/>
      <c r="GLP143" s="33"/>
      <c r="GLQ143" s="33"/>
      <c r="GLR143" s="33"/>
      <c r="GLS143" s="33"/>
      <c r="GLT143" s="33"/>
      <c r="GLU143" s="33"/>
      <c r="GLV143" s="33"/>
      <c r="GLW143" s="33"/>
      <c r="GLX143" s="33"/>
      <c r="GLY143" s="33"/>
      <c r="GLZ143" s="33"/>
      <c r="GMA143" s="33"/>
      <c r="GMB143" s="33"/>
      <c r="GMC143" s="33"/>
      <c r="GMD143" s="33"/>
      <c r="GME143" s="33"/>
      <c r="GMF143" s="33"/>
      <c r="GMG143" s="33"/>
      <c r="GMH143" s="33"/>
      <c r="GMI143" s="33"/>
      <c r="GMJ143" s="33"/>
      <c r="GMK143" s="33"/>
      <c r="GML143" s="33"/>
      <c r="GMM143" s="33"/>
      <c r="GMN143" s="33"/>
      <c r="GMO143" s="33"/>
      <c r="GMP143" s="33"/>
      <c r="GMQ143" s="33"/>
      <c r="GMR143" s="33"/>
      <c r="GMS143" s="33"/>
      <c r="GMT143" s="33"/>
      <c r="GMU143" s="33"/>
      <c r="GMV143" s="33"/>
      <c r="GMW143" s="33"/>
      <c r="GMX143" s="33"/>
      <c r="GMY143" s="33"/>
      <c r="GMZ143" s="33"/>
      <c r="GNA143" s="33"/>
      <c r="GNB143" s="33"/>
      <c r="GNC143" s="33"/>
      <c r="GND143" s="33"/>
      <c r="GNE143" s="33"/>
      <c r="GNF143" s="33"/>
      <c r="GNG143" s="33"/>
      <c r="GNH143" s="33"/>
      <c r="GNI143" s="33"/>
      <c r="GNJ143" s="33"/>
      <c r="GNK143" s="33"/>
      <c r="GNL143" s="33"/>
      <c r="GNM143" s="33"/>
      <c r="GNN143" s="33"/>
      <c r="GNO143" s="33"/>
      <c r="GNP143" s="33"/>
      <c r="GNQ143" s="33"/>
      <c r="GNR143" s="33"/>
      <c r="GNS143" s="33"/>
      <c r="GNT143" s="33"/>
      <c r="GNU143" s="33"/>
      <c r="GNV143" s="33"/>
      <c r="GNW143" s="33"/>
      <c r="GNX143" s="33"/>
      <c r="GNY143" s="33"/>
      <c r="GNZ143" s="33"/>
      <c r="GOA143" s="33"/>
      <c r="GOB143" s="33"/>
      <c r="GOC143" s="33"/>
      <c r="GOD143" s="33"/>
      <c r="GOE143" s="33"/>
      <c r="GOF143" s="33"/>
      <c r="GOG143" s="33"/>
      <c r="GOH143" s="33"/>
      <c r="GOI143" s="33"/>
      <c r="GOJ143" s="33"/>
      <c r="GOK143" s="33"/>
      <c r="GOL143" s="33"/>
      <c r="GOM143" s="33"/>
      <c r="GON143" s="33"/>
      <c r="GOO143" s="33"/>
      <c r="GOP143" s="33"/>
      <c r="GOQ143" s="33"/>
      <c r="GOR143" s="33"/>
      <c r="GOS143" s="33"/>
      <c r="GOT143" s="33"/>
      <c r="GOU143" s="33"/>
      <c r="GOV143" s="33"/>
      <c r="GOW143" s="33"/>
      <c r="GOX143" s="33"/>
      <c r="GOY143" s="33"/>
      <c r="GOZ143" s="33"/>
      <c r="GPA143" s="33"/>
      <c r="GPB143" s="33"/>
      <c r="GPC143" s="33"/>
      <c r="GPD143" s="33"/>
      <c r="GPE143" s="33"/>
      <c r="GPF143" s="33"/>
      <c r="GPG143" s="33"/>
      <c r="GPH143" s="33"/>
      <c r="GPI143" s="33"/>
      <c r="GPJ143" s="33"/>
      <c r="GPK143" s="33"/>
      <c r="GPL143" s="33"/>
      <c r="GPM143" s="33"/>
      <c r="GPN143" s="33"/>
      <c r="GPO143" s="33"/>
      <c r="GPP143" s="33"/>
      <c r="GPQ143" s="33"/>
      <c r="GPR143" s="33"/>
      <c r="GPS143" s="33"/>
      <c r="GPT143" s="33"/>
      <c r="GPU143" s="33"/>
      <c r="GPV143" s="33"/>
      <c r="GPW143" s="33"/>
      <c r="GPX143" s="33"/>
      <c r="GPY143" s="33"/>
      <c r="GPZ143" s="33"/>
      <c r="GQA143" s="33"/>
      <c r="GQB143" s="33"/>
      <c r="GQC143" s="33"/>
      <c r="GQD143" s="33"/>
      <c r="GQE143" s="33"/>
      <c r="GQF143" s="33"/>
      <c r="GQG143" s="33"/>
      <c r="GQH143" s="33"/>
      <c r="GQI143" s="33"/>
      <c r="GQJ143" s="33"/>
      <c r="GQK143" s="33"/>
      <c r="GQL143" s="33"/>
      <c r="GQM143" s="33"/>
      <c r="GQN143" s="33"/>
      <c r="GQO143" s="33"/>
      <c r="GQP143" s="33"/>
      <c r="GQQ143" s="33"/>
      <c r="GQR143" s="33"/>
      <c r="GQS143" s="33"/>
      <c r="GQT143" s="33"/>
      <c r="GQU143" s="33"/>
      <c r="GQV143" s="33"/>
      <c r="GQW143" s="33"/>
      <c r="GQX143" s="33"/>
      <c r="GQY143" s="33"/>
      <c r="GQZ143" s="33"/>
      <c r="GRA143" s="33"/>
      <c r="GRB143" s="33"/>
      <c r="GRC143" s="33"/>
      <c r="GRD143" s="33"/>
      <c r="GRE143" s="33"/>
      <c r="GRF143" s="33"/>
      <c r="GRG143" s="33"/>
      <c r="GRH143" s="33"/>
      <c r="GRI143" s="33"/>
      <c r="GRJ143" s="33"/>
      <c r="GRK143" s="33"/>
      <c r="GRL143" s="33"/>
      <c r="GRM143" s="33"/>
      <c r="GRN143" s="33"/>
      <c r="GRO143" s="33"/>
      <c r="GRP143" s="33"/>
      <c r="GRQ143" s="33"/>
      <c r="GRR143" s="33"/>
      <c r="GRS143" s="33"/>
      <c r="GRT143" s="33"/>
      <c r="GRU143" s="33"/>
      <c r="GRV143" s="33"/>
      <c r="GRW143" s="33"/>
      <c r="GRX143" s="33"/>
      <c r="GRY143" s="33"/>
      <c r="GRZ143" s="33"/>
      <c r="GSA143" s="33"/>
      <c r="GSB143" s="33"/>
      <c r="GSC143" s="33"/>
      <c r="GSD143" s="33"/>
      <c r="GSE143" s="33"/>
      <c r="GSF143" s="33"/>
      <c r="GSG143" s="33"/>
      <c r="GSH143" s="33"/>
      <c r="GSI143" s="33"/>
      <c r="GSJ143" s="33"/>
      <c r="GSK143" s="33"/>
      <c r="GSL143" s="33"/>
      <c r="GSM143" s="33"/>
      <c r="GSN143" s="33"/>
      <c r="GSO143" s="33"/>
      <c r="GSP143" s="33"/>
      <c r="GSQ143" s="33"/>
      <c r="GSR143" s="33"/>
      <c r="GSS143" s="33"/>
      <c r="GST143" s="33"/>
      <c r="GSU143" s="33"/>
      <c r="GSV143" s="33"/>
      <c r="GSW143" s="33"/>
      <c r="GSX143" s="33"/>
      <c r="GSY143" s="33"/>
      <c r="GSZ143" s="33"/>
      <c r="GTA143" s="33"/>
      <c r="GTB143" s="33"/>
      <c r="GTC143" s="33"/>
      <c r="GTD143" s="33"/>
      <c r="GTE143" s="33"/>
      <c r="GTF143" s="33"/>
      <c r="GTG143" s="33"/>
      <c r="GTH143" s="33"/>
      <c r="GTI143" s="33"/>
      <c r="GTJ143" s="33"/>
      <c r="GTK143" s="33"/>
      <c r="GTL143" s="33"/>
      <c r="GTM143" s="33"/>
      <c r="GTN143" s="33"/>
      <c r="GTO143" s="33"/>
      <c r="GTP143" s="33"/>
      <c r="GTQ143" s="33"/>
      <c r="GTR143" s="33"/>
      <c r="GTS143" s="33"/>
      <c r="GTT143" s="33"/>
      <c r="GTU143" s="33"/>
      <c r="GTV143" s="33"/>
      <c r="GTW143" s="33"/>
      <c r="GTX143" s="33"/>
      <c r="GTY143" s="33"/>
      <c r="GTZ143" s="33"/>
      <c r="GUA143" s="33"/>
      <c r="GUB143" s="33"/>
      <c r="GUC143" s="33"/>
      <c r="GUD143" s="33"/>
      <c r="GUE143" s="33"/>
      <c r="GUF143" s="33"/>
      <c r="GUG143" s="33"/>
      <c r="GUH143" s="33"/>
      <c r="GUI143" s="33"/>
      <c r="GUJ143" s="33"/>
      <c r="GUK143" s="33"/>
      <c r="GUL143" s="33"/>
      <c r="GUM143" s="33"/>
      <c r="GUN143" s="33"/>
      <c r="GUO143" s="33"/>
      <c r="GUP143" s="33"/>
      <c r="GUQ143" s="33"/>
      <c r="GUR143" s="33"/>
      <c r="GUS143" s="33"/>
      <c r="GUT143" s="33"/>
      <c r="GUU143" s="33"/>
      <c r="GUV143" s="33"/>
      <c r="GUW143" s="33"/>
      <c r="GUX143" s="33"/>
      <c r="GUY143" s="33"/>
      <c r="GUZ143" s="33"/>
      <c r="GVA143" s="33"/>
      <c r="GVB143" s="33"/>
      <c r="GVC143" s="33"/>
      <c r="GVD143" s="33"/>
      <c r="GVE143" s="33"/>
      <c r="GVF143" s="33"/>
      <c r="GVG143" s="33"/>
      <c r="GVH143" s="33"/>
      <c r="GVI143" s="33"/>
      <c r="GVJ143" s="33"/>
      <c r="GVK143" s="33"/>
      <c r="GVL143" s="33"/>
      <c r="GVM143" s="33"/>
      <c r="GVN143" s="33"/>
      <c r="GVO143" s="33"/>
      <c r="GVP143" s="33"/>
      <c r="GVQ143" s="33"/>
      <c r="GVR143" s="33"/>
      <c r="GVS143" s="33"/>
      <c r="GVT143" s="33"/>
      <c r="GVU143" s="33"/>
      <c r="GVV143" s="33"/>
      <c r="GVW143" s="33"/>
      <c r="GVX143" s="33"/>
      <c r="GVY143" s="33"/>
      <c r="GVZ143" s="33"/>
      <c r="GWA143" s="33"/>
      <c r="GWB143" s="33"/>
      <c r="GWC143" s="33"/>
      <c r="GWD143" s="33"/>
      <c r="GWE143" s="33"/>
      <c r="GWF143" s="33"/>
      <c r="GWG143" s="33"/>
      <c r="GWH143" s="33"/>
      <c r="GWI143" s="33"/>
      <c r="GWJ143" s="33"/>
      <c r="GWK143" s="33"/>
      <c r="GWL143" s="33"/>
      <c r="GWM143" s="33"/>
      <c r="GWN143" s="33"/>
      <c r="GWO143" s="33"/>
      <c r="GWP143" s="33"/>
      <c r="GWQ143" s="33"/>
      <c r="GWR143" s="33"/>
      <c r="GWS143" s="33"/>
      <c r="GWT143" s="33"/>
      <c r="GWU143" s="33"/>
      <c r="GWV143" s="33"/>
      <c r="GWW143" s="33"/>
      <c r="GWX143" s="33"/>
      <c r="GWY143" s="33"/>
      <c r="GWZ143" s="33"/>
      <c r="GXA143" s="33"/>
      <c r="GXB143" s="33"/>
      <c r="GXC143" s="33"/>
      <c r="GXD143" s="33"/>
      <c r="GXE143" s="33"/>
      <c r="GXF143" s="33"/>
      <c r="GXG143" s="33"/>
      <c r="GXH143" s="33"/>
      <c r="GXI143" s="33"/>
      <c r="GXJ143" s="33"/>
      <c r="GXK143" s="33"/>
      <c r="GXL143" s="33"/>
      <c r="GXM143" s="33"/>
      <c r="GXN143" s="33"/>
      <c r="GXO143" s="33"/>
      <c r="GXP143" s="33"/>
      <c r="GXQ143" s="33"/>
      <c r="GXR143" s="33"/>
      <c r="GXS143" s="33"/>
      <c r="GXT143" s="33"/>
      <c r="GXU143" s="33"/>
      <c r="GXV143" s="33"/>
      <c r="GXW143" s="33"/>
      <c r="GXX143" s="33"/>
      <c r="GXY143" s="33"/>
      <c r="GXZ143" s="33"/>
      <c r="GYA143" s="33"/>
      <c r="GYB143" s="33"/>
      <c r="GYC143" s="33"/>
      <c r="GYD143" s="33"/>
      <c r="GYE143" s="33"/>
      <c r="GYF143" s="33"/>
      <c r="GYG143" s="33"/>
      <c r="GYH143" s="33"/>
      <c r="GYI143" s="33"/>
      <c r="GYJ143" s="33"/>
      <c r="GYK143" s="33"/>
      <c r="GYL143" s="33"/>
      <c r="GYM143" s="33"/>
      <c r="GYN143" s="33"/>
      <c r="GYO143" s="33"/>
      <c r="GYP143" s="33"/>
      <c r="GYQ143" s="33"/>
      <c r="GYR143" s="33"/>
      <c r="GYS143" s="33"/>
      <c r="GYT143" s="33"/>
      <c r="GYU143" s="33"/>
      <c r="GYV143" s="33"/>
      <c r="GYW143" s="33"/>
      <c r="GYX143" s="33"/>
      <c r="GYY143" s="33"/>
      <c r="GYZ143" s="33"/>
      <c r="GZA143" s="33"/>
      <c r="GZB143" s="33"/>
      <c r="GZC143" s="33"/>
      <c r="GZD143" s="33"/>
      <c r="GZE143" s="33"/>
      <c r="GZF143" s="33"/>
      <c r="GZG143" s="33"/>
      <c r="GZH143" s="33"/>
      <c r="GZI143" s="33"/>
      <c r="GZJ143" s="33"/>
      <c r="GZK143" s="33"/>
      <c r="GZL143" s="33"/>
      <c r="GZM143" s="33"/>
      <c r="GZN143" s="33"/>
      <c r="GZO143" s="33"/>
      <c r="GZP143" s="33"/>
      <c r="GZQ143" s="33"/>
      <c r="GZR143" s="33"/>
      <c r="GZS143" s="33"/>
      <c r="GZT143" s="33"/>
      <c r="GZU143" s="33"/>
      <c r="GZV143" s="33"/>
      <c r="GZW143" s="33"/>
      <c r="GZX143" s="33"/>
      <c r="GZY143" s="33"/>
      <c r="GZZ143" s="33"/>
      <c r="HAA143" s="33"/>
      <c r="HAB143" s="33"/>
      <c r="HAC143" s="33"/>
      <c r="HAD143" s="33"/>
      <c r="HAE143" s="33"/>
      <c r="HAF143" s="33"/>
      <c r="HAG143" s="33"/>
      <c r="HAH143" s="33"/>
      <c r="HAI143" s="33"/>
      <c r="HAJ143" s="33"/>
      <c r="HAK143" s="33"/>
      <c r="HAL143" s="33"/>
      <c r="HAM143" s="33"/>
      <c r="HAN143" s="33"/>
      <c r="HAO143" s="33"/>
      <c r="HAP143" s="33"/>
      <c r="HAQ143" s="33"/>
      <c r="HAR143" s="33"/>
      <c r="HAS143" s="33"/>
      <c r="HAT143" s="33"/>
      <c r="HAU143" s="33"/>
      <c r="HAV143" s="33"/>
      <c r="HAW143" s="33"/>
      <c r="HAX143" s="33"/>
      <c r="HAY143" s="33"/>
      <c r="HAZ143" s="33"/>
      <c r="HBA143" s="33"/>
      <c r="HBB143" s="33"/>
      <c r="HBC143" s="33"/>
      <c r="HBD143" s="33"/>
      <c r="HBE143" s="33"/>
      <c r="HBF143" s="33"/>
      <c r="HBG143" s="33"/>
      <c r="HBH143" s="33"/>
      <c r="HBI143" s="33"/>
      <c r="HBJ143" s="33"/>
      <c r="HBK143" s="33"/>
      <c r="HBL143" s="33"/>
      <c r="HBM143" s="33"/>
      <c r="HBN143" s="33"/>
      <c r="HBO143" s="33"/>
      <c r="HBP143" s="33"/>
      <c r="HBQ143" s="33"/>
      <c r="HBR143" s="33"/>
      <c r="HBS143" s="33"/>
      <c r="HBT143" s="33"/>
      <c r="HBU143" s="33"/>
      <c r="HBV143" s="33"/>
      <c r="HBW143" s="33"/>
      <c r="HBX143" s="33"/>
      <c r="HBY143" s="33"/>
      <c r="HBZ143" s="33"/>
      <c r="HCA143" s="33"/>
      <c r="HCB143" s="33"/>
      <c r="HCC143" s="33"/>
      <c r="HCD143" s="33"/>
      <c r="HCE143" s="33"/>
      <c r="HCF143" s="33"/>
      <c r="HCG143" s="33"/>
      <c r="HCH143" s="33"/>
      <c r="HCI143" s="33"/>
      <c r="HCJ143" s="33"/>
      <c r="HCK143" s="33"/>
      <c r="HCL143" s="33"/>
      <c r="HCM143" s="33"/>
      <c r="HCN143" s="33"/>
      <c r="HCO143" s="33"/>
      <c r="HCP143" s="33"/>
      <c r="HCQ143" s="33"/>
      <c r="HCR143" s="33"/>
      <c r="HCS143" s="33"/>
      <c r="HCT143" s="33"/>
      <c r="HCU143" s="33"/>
      <c r="HCV143" s="33"/>
      <c r="HCW143" s="33"/>
      <c r="HCX143" s="33"/>
      <c r="HCY143" s="33"/>
      <c r="HCZ143" s="33"/>
      <c r="HDA143" s="33"/>
      <c r="HDB143" s="33"/>
      <c r="HDC143" s="33"/>
      <c r="HDD143" s="33"/>
      <c r="HDE143" s="33"/>
      <c r="HDF143" s="33"/>
      <c r="HDG143" s="33"/>
      <c r="HDH143" s="33"/>
      <c r="HDI143" s="33"/>
      <c r="HDJ143" s="33"/>
      <c r="HDK143" s="33"/>
      <c r="HDL143" s="33"/>
      <c r="HDM143" s="33"/>
      <c r="HDN143" s="33"/>
      <c r="HDO143" s="33"/>
      <c r="HDP143" s="33"/>
      <c r="HDQ143" s="33"/>
      <c r="HDR143" s="33"/>
      <c r="HDS143" s="33"/>
      <c r="HDT143" s="33"/>
      <c r="HDU143" s="33"/>
      <c r="HDV143" s="33"/>
      <c r="HDW143" s="33"/>
      <c r="HDX143" s="33"/>
      <c r="HDY143" s="33"/>
      <c r="HDZ143" s="33"/>
      <c r="HEA143" s="33"/>
      <c r="HEB143" s="33"/>
      <c r="HEC143" s="33"/>
      <c r="HED143" s="33"/>
      <c r="HEE143" s="33"/>
      <c r="HEF143" s="33"/>
      <c r="HEG143" s="33"/>
      <c r="HEH143" s="33"/>
      <c r="HEI143" s="33"/>
      <c r="HEJ143" s="33"/>
      <c r="HEK143" s="33"/>
      <c r="HEL143" s="33"/>
      <c r="HEM143" s="33"/>
      <c r="HEN143" s="33"/>
      <c r="HEO143" s="33"/>
      <c r="HEP143" s="33"/>
      <c r="HEQ143" s="33"/>
      <c r="HER143" s="33"/>
      <c r="HES143" s="33"/>
      <c r="HET143" s="33"/>
      <c r="HEU143" s="33"/>
      <c r="HEV143" s="33"/>
      <c r="HEW143" s="33"/>
      <c r="HEX143" s="33"/>
      <c r="HEY143" s="33"/>
      <c r="HEZ143" s="33"/>
      <c r="HFA143" s="33"/>
      <c r="HFB143" s="33"/>
      <c r="HFC143" s="33"/>
      <c r="HFD143" s="33"/>
      <c r="HFE143" s="33"/>
      <c r="HFF143" s="33"/>
      <c r="HFG143" s="33"/>
      <c r="HFH143" s="33"/>
      <c r="HFI143" s="33"/>
      <c r="HFJ143" s="33"/>
      <c r="HFK143" s="33"/>
      <c r="HFL143" s="33"/>
      <c r="HFM143" s="33"/>
      <c r="HFN143" s="33"/>
      <c r="HFO143" s="33"/>
      <c r="HFP143" s="33"/>
      <c r="HFQ143" s="33"/>
      <c r="HFR143" s="33"/>
      <c r="HFS143" s="33"/>
      <c r="HFT143" s="33"/>
      <c r="HFU143" s="33"/>
      <c r="HFV143" s="33"/>
      <c r="HFW143" s="33"/>
      <c r="HFX143" s="33"/>
      <c r="HFY143" s="33"/>
      <c r="HFZ143" s="33"/>
      <c r="HGA143" s="33"/>
      <c r="HGB143" s="33"/>
      <c r="HGC143" s="33"/>
      <c r="HGD143" s="33"/>
      <c r="HGE143" s="33"/>
      <c r="HGF143" s="33"/>
      <c r="HGG143" s="33"/>
      <c r="HGH143" s="33"/>
      <c r="HGI143" s="33"/>
      <c r="HGJ143" s="33"/>
      <c r="HGK143" s="33"/>
      <c r="HGL143" s="33"/>
      <c r="HGM143" s="33"/>
      <c r="HGN143" s="33"/>
      <c r="HGO143" s="33"/>
      <c r="HGP143" s="33"/>
      <c r="HGQ143" s="33"/>
      <c r="HGR143" s="33"/>
      <c r="HGS143" s="33"/>
      <c r="HGT143" s="33"/>
      <c r="HGU143" s="33"/>
      <c r="HGV143" s="33"/>
      <c r="HGW143" s="33"/>
      <c r="HGX143" s="33"/>
      <c r="HGY143" s="33"/>
      <c r="HGZ143" s="33"/>
      <c r="HHA143" s="33"/>
      <c r="HHB143" s="33"/>
      <c r="HHC143" s="33"/>
      <c r="HHD143" s="33"/>
      <c r="HHE143" s="33"/>
      <c r="HHF143" s="33"/>
      <c r="HHG143" s="33"/>
      <c r="HHH143" s="33"/>
      <c r="HHI143" s="33"/>
      <c r="HHJ143" s="33"/>
      <c r="HHK143" s="33"/>
      <c r="HHL143" s="33"/>
      <c r="HHM143" s="33"/>
      <c r="HHN143" s="33"/>
      <c r="HHO143" s="33"/>
      <c r="HHP143" s="33"/>
      <c r="HHQ143" s="33"/>
      <c r="HHR143" s="33"/>
      <c r="HHS143" s="33"/>
      <c r="HHT143" s="33"/>
      <c r="HHU143" s="33"/>
      <c r="HHV143" s="33"/>
      <c r="HHW143" s="33"/>
      <c r="HHX143" s="33"/>
      <c r="HHY143" s="33"/>
      <c r="HHZ143" s="33"/>
      <c r="HIA143" s="33"/>
      <c r="HIB143" s="33"/>
      <c r="HIC143" s="33"/>
      <c r="HID143" s="33"/>
      <c r="HIE143" s="33"/>
      <c r="HIF143" s="33"/>
      <c r="HIG143" s="33"/>
      <c r="HIH143" s="33"/>
      <c r="HII143" s="33"/>
      <c r="HIJ143" s="33"/>
      <c r="HIK143" s="33"/>
      <c r="HIL143" s="33"/>
      <c r="HIM143" s="33"/>
      <c r="HIN143" s="33"/>
      <c r="HIO143" s="33"/>
      <c r="HIP143" s="33"/>
      <c r="HIQ143" s="33"/>
      <c r="HIR143" s="33"/>
      <c r="HIS143" s="33"/>
      <c r="HIT143" s="33"/>
      <c r="HIU143" s="33"/>
      <c r="HIV143" s="33"/>
      <c r="HIW143" s="33"/>
      <c r="HIX143" s="33"/>
      <c r="HIY143" s="33"/>
      <c r="HIZ143" s="33"/>
      <c r="HJA143" s="33"/>
      <c r="HJB143" s="33"/>
      <c r="HJC143" s="33"/>
      <c r="HJD143" s="33"/>
      <c r="HJE143" s="33"/>
      <c r="HJF143" s="33"/>
      <c r="HJG143" s="33"/>
      <c r="HJH143" s="33"/>
      <c r="HJI143" s="33"/>
      <c r="HJJ143" s="33"/>
      <c r="HJK143" s="33"/>
      <c r="HJL143" s="33"/>
      <c r="HJM143" s="33"/>
      <c r="HJN143" s="33"/>
      <c r="HJO143" s="33"/>
      <c r="HJP143" s="33"/>
      <c r="HJQ143" s="33"/>
      <c r="HJR143" s="33"/>
      <c r="HJS143" s="33"/>
      <c r="HJT143" s="33"/>
      <c r="HJU143" s="33"/>
      <c r="HJV143" s="33"/>
      <c r="HJW143" s="33"/>
      <c r="HJX143" s="33"/>
      <c r="HJY143" s="33"/>
      <c r="HJZ143" s="33"/>
      <c r="HKA143" s="33"/>
      <c r="HKB143" s="33"/>
      <c r="HKC143" s="33"/>
      <c r="HKD143" s="33"/>
      <c r="HKE143" s="33"/>
      <c r="HKF143" s="33"/>
      <c r="HKG143" s="33"/>
      <c r="HKH143" s="33"/>
      <c r="HKI143" s="33"/>
      <c r="HKJ143" s="33"/>
      <c r="HKK143" s="33"/>
      <c r="HKL143" s="33"/>
      <c r="HKM143" s="33"/>
      <c r="HKN143" s="33"/>
      <c r="HKO143" s="33"/>
      <c r="HKP143" s="33"/>
      <c r="HKQ143" s="33"/>
      <c r="HKR143" s="33"/>
      <c r="HKS143" s="33"/>
      <c r="HKT143" s="33"/>
      <c r="HKU143" s="33"/>
      <c r="HKV143" s="33"/>
      <c r="HKW143" s="33"/>
      <c r="HKX143" s="33"/>
      <c r="HKY143" s="33"/>
      <c r="HKZ143" s="33"/>
      <c r="HLA143" s="33"/>
      <c r="HLB143" s="33"/>
      <c r="HLC143" s="33"/>
      <c r="HLD143" s="33"/>
      <c r="HLE143" s="33"/>
      <c r="HLF143" s="33"/>
      <c r="HLG143" s="33"/>
      <c r="HLH143" s="33"/>
      <c r="HLI143" s="33"/>
      <c r="HLJ143" s="33"/>
      <c r="HLK143" s="33"/>
      <c r="HLL143" s="33"/>
      <c r="HLM143" s="33"/>
      <c r="HLN143" s="33"/>
      <c r="HLO143" s="33"/>
      <c r="HLP143" s="33"/>
      <c r="HLQ143" s="33"/>
      <c r="HLR143" s="33"/>
      <c r="HLS143" s="33"/>
      <c r="HLT143" s="33"/>
      <c r="HLU143" s="33"/>
      <c r="HLV143" s="33"/>
      <c r="HLW143" s="33"/>
      <c r="HLX143" s="33"/>
      <c r="HLY143" s="33"/>
      <c r="HLZ143" s="33"/>
      <c r="HMA143" s="33"/>
      <c r="HMB143" s="33"/>
      <c r="HMC143" s="33"/>
      <c r="HMD143" s="33"/>
      <c r="HME143" s="33"/>
      <c r="HMF143" s="33"/>
      <c r="HMG143" s="33"/>
      <c r="HMH143" s="33"/>
      <c r="HMI143" s="33"/>
      <c r="HMJ143" s="33"/>
      <c r="HMK143" s="33"/>
      <c r="HML143" s="33"/>
      <c r="HMM143" s="33"/>
      <c r="HMN143" s="33"/>
      <c r="HMO143" s="33"/>
      <c r="HMP143" s="33"/>
      <c r="HMQ143" s="33"/>
      <c r="HMR143" s="33"/>
      <c r="HMS143" s="33"/>
      <c r="HMT143" s="33"/>
      <c r="HMU143" s="33"/>
      <c r="HMV143" s="33"/>
      <c r="HMW143" s="33"/>
      <c r="HMX143" s="33"/>
      <c r="HMY143" s="33"/>
      <c r="HMZ143" s="33"/>
      <c r="HNA143" s="33"/>
      <c r="HNB143" s="33"/>
      <c r="HNC143" s="33"/>
      <c r="HND143" s="33"/>
      <c r="HNE143" s="33"/>
      <c r="HNF143" s="33"/>
      <c r="HNG143" s="33"/>
      <c r="HNH143" s="33"/>
      <c r="HNI143" s="33"/>
      <c r="HNJ143" s="33"/>
      <c r="HNK143" s="33"/>
      <c r="HNL143" s="33"/>
      <c r="HNM143" s="33"/>
      <c r="HNN143" s="33"/>
      <c r="HNO143" s="33"/>
      <c r="HNP143" s="33"/>
      <c r="HNQ143" s="33"/>
      <c r="HNR143" s="33"/>
      <c r="HNS143" s="33"/>
      <c r="HNT143" s="33"/>
      <c r="HNU143" s="33"/>
      <c r="HNV143" s="33"/>
      <c r="HNW143" s="33"/>
      <c r="HNX143" s="33"/>
      <c r="HNY143" s="33"/>
      <c r="HNZ143" s="33"/>
      <c r="HOA143" s="33"/>
      <c r="HOB143" s="33"/>
      <c r="HOC143" s="33"/>
      <c r="HOD143" s="33"/>
      <c r="HOE143" s="33"/>
      <c r="HOF143" s="33"/>
      <c r="HOG143" s="33"/>
      <c r="HOH143" s="33"/>
      <c r="HOI143" s="33"/>
      <c r="HOJ143" s="33"/>
      <c r="HOK143" s="33"/>
      <c r="HOL143" s="33"/>
      <c r="HOM143" s="33"/>
      <c r="HON143" s="33"/>
      <c r="HOO143" s="33"/>
      <c r="HOP143" s="33"/>
      <c r="HOQ143" s="33"/>
      <c r="HOR143" s="33"/>
      <c r="HOS143" s="33"/>
      <c r="HOT143" s="33"/>
      <c r="HOU143" s="33"/>
      <c r="HOV143" s="33"/>
      <c r="HOW143" s="33"/>
      <c r="HOX143" s="33"/>
      <c r="HOY143" s="33"/>
      <c r="HOZ143" s="33"/>
      <c r="HPA143" s="33"/>
      <c r="HPB143" s="33"/>
      <c r="HPC143" s="33"/>
      <c r="HPD143" s="33"/>
      <c r="HPE143" s="33"/>
      <c r="HPF143" s="33"/>
      <c r="HPG143" s="33"/>
      <c r="HPH143" s="33"/>
      <c r="HPI143" s="33"/>
      <c r="HPJ143" s="33"/>
      <c r="HPK143" s="33"/>
      <c r="HPL143" s="33"/>
      <c r="HPM143" s="33"/>
      <c r="HPN143" s="33"/>
      <c r="HPO143" s="33"/>
      <c r="HPP143" s="33"/>
      <c r="HPQ143" s="33"/>
      <c r="HPR143" s="33"/>
      <c r="HPS143" s="33"/>
      <c r="HPT143" s="33"/>
      <c r="HPU143" s="33"/>
      <c r="HPV143" s="33"/>
      <c r="HPW143" s="33"/>
      <c r="HPX143" s="33"/>
      <c r="HPY143" s="33"/>
      <c r="HPZ143" s="33"/>
      <c r="HQA143" s="33"/>
      <c r="HQB143" s="33"/>
      <c r="HQC143" s="33"/>
      <c r="HQD143" s="33"/>
      <c r="HQE143" s="33"/>
      <c r="HQF143" s="33"/>
      <c r="HQG143" s="33"/>
      <c r="HQH143" s="33"/>
      <c r="HQI143" s="33"/>
      <c r="HQJ143" s="33"/>
      <c r="HQK143" s="33"/>
      <c r="HQL143" s="33"/>
      <c r="HQM143" s="33"/>
      <c r="HQN143" s="33"/>
      <c r="HQO143" s="33"/>
      <c r="HQP143" s="33"/>
      <c r="HQQ143" s="33"/>
      <c r="HQR143" s="33"/>
      <c r="HQS143" s="33"/>
      <c r="HQT143" s="33"/>
      <c r="HQU143" s="33"/>
      <c r="HQV143" s="33"/>
      <c r="HQW143" s="33"/>
      <c r="HQX143" s="33"/>
      <c r="HQY143" s="33"/>
      <c r="HQZ143" s="33"/>
      <c r="HRA143" s="33"/>
      <c r="HRB143" s="33"/>
      <c r="HRC143" s="33"/>
      <c r="HRD143" s="33"/>
      <c r="HRE143" s="33"/>
      <c r="HRF143" s="33"/>
      <c r="HRG143" s="33"/>
      <c r="HRH143" s="33"/>
      <c r="HRI143" s="33"/>
      <c r="HRJ143" s="33"/>
      <c r="HRK143" s="33"/>
      <c r="HRL143" s="33"/>
      <c r="HRM143" s="33"/>
      <c r="HRN143" s="33"/>
      <c r="HRO143" s="33"/>
      <c r="HRP143" s="33"/>
      <c r="HRQ143" s="33"/>
      <c r="HRR143" s="33"/>
      <c r="HRS143" s="33"/>
      <c r="HRT143" s="33"/>
      <c r="HRU143" s="33"/>
      <c r="HRV143" s="33"/>
      <c r="HRW143" s="33"/>
      <c r="HRX143" s="33"/>
      <c r="HRY143" s="33"/>
      <c r="HRZ143" s="33"/>
      <c r="HSA143" s="33"/>
      <c r="HSB143" s="33"/>
      <c r="HSC143" s="33"/>
      <c r="HSD143" s="33"/>
      <c r="HSE143" s="33"/>
      <c r="HSF143" s="33"/>
      <c r="HSG143" s="33"/>
      <c r="HSH143" s="33"/>
      <c r="HSI143" s="33"/>
      <c r="HSJ143" s="33"/>
      <c r="HSK143" s="33"/>
      <c r="HSL143" s="33"/>
      <c r="HSM143" s="33"/>
      <c r="HSN143" s="33"/>
      <c r="HSO143" s="33"/>
      <c r="HSP143" s="33"/>
      <c r="HSQ143" s="33"/>
      <c r="HSR143" s="33"/>
      <c r="HSS143" s="33"/>
      <c r="HST143" s="33"/>
      <c r="HSU143" s="33"/>
      <c r="HSV143" s="33"/>
      <c r="HSW143" s="33"/>
      <c r="HSX143" s="33"/>
      <c r="HSY143" s="33"/>
      <c r="HSZ143" s="33"/>
      <c r="HTA143" s="33"/>
      <c r="HTB143" s="33"/>
      <c r="HTC143" s="33"/>
      <c r="HTD143" s="33"/>
      <c r="HTE143" s="33"/>
      <c r="HTF143" s="33"/>
      <c r="HTG143" s="33"/>
      <c r="HTH143" s="33"/>
      <c r="HTI143" s="33"/>
      <c r="HTJ143" s="33"/>
      <c r="HTK143" s="33"/>
      <c r="HTL143" s="33"/>
      <c r="HTM143" s="33"/>
      <c r="HTN143" s="33"/>
      <c r="HTO143" s="33"/>
      <c r="HTP143" s="33"/>
      <c r="HTQ143" s="33"/>
      <c r="HTR143" s="33"/>
      <c r="HTS143" s="33"/>
      <c r="HTT143" s="33"/>
      <c r="HTU143" s="33"/>
      <c r="HTV143" s="33"/>
      <c r="HTW143" s="33"/>
      <c r="HTX143" s="33"/>
      <c r="HTY143" s="33"/>
      <c r="HTZ143" s="33"/>
      <c r="HUA143" s="33"/>
      <c r="HUB143" s="33"/>
      <c r="HUC143" s="33"/>
      <c r="HUD143" s="33"/>
      <c r="HUE143" s="33"/>
      <c r="HUF143" s="33"/>
      <c r="HUG143" s="33"/>
      <c r="HUH143" s="33"/>
      <c r="HUI143" s="33"/>
      <c r="HUJ143" s="33"/>
      <c r="HUK143" s="33"/>
      <c r="HUL143" s="33"/>
      <c r="HUM143" s="33"/>
      <c r="HUN143" s="33"/>
      <c r="HUO143" s="33"/>
      <c r="HUP143" s="33"/>
      <c r="HUQ143" s="33"/>
      <c r="HUR143" s="33"/>
      <c r="HUS143" s="33"/>
      <c r="HUT143" s="33"/>
      <c r="HUU143" s="33"/>
      <c r="HUV143" s="33"/>
      <c r="HUW143" s="33"/>
      <c r="HUX143" s="33"/>
      <c r="HUY143" s="33"/>
      <c r="HUZ143" s="33"/>
      <c r="HVA143" s="33"/>
      <c r="HVB143" s="33"/>
      <c r="HVC143" s="33"/>
      <c r="HVD143" s="33"/>
      <c r="HVE143" s="33"/>
      <c r="HVF143" s="33"/>
      <c r="HVG143" s="33"/>
      <c r="HVH143" s="33"/>
      <c r="HVI143" s="33"/>
      <c r="HVJ143" s="33"/>
      <c r="HVK143" s="33"/>
      <c r="HVL143" s="33"/>
      <c r="HVM143" s="33"/>
      <c r="HVN143" s="33"/>
      <c r="HVO143" s="33"/>
      <c r="HVP143" s="33"/>
      <c r="HVQ143" s="33"/>
      <c r="HVR143" s="33"/>
      <c r="HVS143" s="33"/>
      <c r="HVT143" s="33"/>
      <c r="HVU143" s="33"/>
      <c r="HVV143" s="33"/>
      <c r="HVW143" s="33"/>
      <c r="HVX143" s="33"/>
      <c r="HVY143" s="33"/>
      <c r="HVZ143" s="33"/>
      <c r="HWA143" s="33"/>
      <c r="HWB143" s="33"/>
      <c r="HWC143" s="33"/>
      <c r="HWD143" s="33"/>
      <c r="HWE143" s="33"/>
      <c r="HWF143" s="33"/>
      <c r="HWG143" s="33"/>
      <c r="HWH143" s="33"/>
      <c r="HWI143" s="33"/>
      <c r="HWJ143" s="33"/>
      <c r="HWK143" s="33"/>
      <c r="HWL143" s="33"/>
      <c r="HWM143" s="33"/>
      <c r="HWN143" s="33"/>
      <c r="HWO143" s="33"/>
      <c r="HWP143" s="33"/>
      <c r="HWQ143" s="33"/>
      <c r="HWR143" s="33"/>
      <c r="HWS143" s="33"/>
      <c r="HWT143" s="33"/>
      <c r="HWU143" s="33"/>
      <c r="HWV143" s="33"/>
      <c r="HWW143" s="33"/>
      <c r="HWX143" s="33"/>
      <c r="HWY143" s="33"/>
      <c r="HWZ143" s="33"/>
      <c r="HXA143" s="33"/>
      <c r="HXB143" s="33"/>
      <c r="HXC143" s="33"/>
      <c r="HXD143" s="33"/>
      <c r="HXE143" s="33"/>
      <c r="HXF143" s="33"/>
      <c r="HXG143" s="33"/>
      <c r="HXH143" s="33"/>
      <c r="HXI143" s="33"/>
      <c r="HXJ143" s="33"/>
      <c r="HXK143" s="33"/>
      <c r="HXL143" s="33"/>
      <c r="HXM143" s="33"/>
      <c r="HXN143" s="33"/>
      <c r="HXO143" s="33"/>
      <c r="HXP143" s="33"/>
      <c r="HXQ143" s="33"/>
      <c r="HXR143" s="33"/>
      <c r="HXS143" s="33"/>
      <c r="HXT143" s="33"/>
      <c r="HXU143" s="33"/>
      <c r="HXV143" s="33"/>
      <c r="HXW143" s="33"/>
      <c r="HXX143" s="33"/>
      <c r="HXY143" s="33"/>
      <c r="HXZ143" s="33"/>
      <c r="HYA143" s="33"/>
      <c r="HYB143" s="33"/>
      <c r="HYC143" s="33"/>
      <c r="HYD143" s="33"/>
      <c r="HYE143" s="33"/>
      <c r="HYF143" s="33"/>
      <c r="HYG143" s="33"/>
      <c r="HYH143" s="33"/>
      <c r="HYI143" s="33"/>
      <c r="HYJ143" s="33"/>
      <c r="HYK143" s="33"/>
      <c r="HYL143" s="33"/>
      <c r="HYM143" s="33"/>
      <c r="HYN143" s="33"/>
      <c r="HYO143" s="33"/>
      <c r="HYP143" s="33"/>
      <c r="HYQ143" s="33"/>
      <c r="HYR143" s="33"/>
      <c r="HYS143" s="33"/>
      <c r="HYT143" s="33"/>
      <c r="HYU143" s="33"/>
      <c r="HYV143" s="33"/>
      <c r="HYW143" s="33"/>
      <c r="HYX143" s="33"/>
      <c r="HYY143" s="33"/>
      <c r="HYZ143" s="33"/>
      <c r="HZA143" s="33"/>
      <c r="HZB143" s="33"/>
      <c r="HZC143" s="33"/>
      <c r="HZD143" s="33"/>
      <c r="HZE143" s="33"/>
      <c r="HZF143" s="33"/>
      <c r="HZG143" s="33"/>
      <c r="HZH143" s="33"/>
      <c r="HZI143" s="33"/>
      <c r="HZJ143" s="33"/>
      <c r="HZK143" s="33"/>
      <c r="HZL143" s="33"/>
      <c r="HZM143" s="33"/>
      <c r="HZN143" s="33"/>
      <c r="HZO143" s="33"/>
      <c r="HZP143" s="33"/>
      <c r="HZQ143" s="33"/>
      <c r="HZR143" s="33"/>
      <c r="HZS143" s="33"/>
      <c r="HZT143" s="33"/>
      <c r="HZU143" s="33"/>
      <c r="HZV143" s="33"/>
      <c r="HZW143" s="33"/>
      <c r="HZX143" s="33"/>
      <c r="HZY143" s="33"/>
      <c r="HZZ143" s="33"/>
      <c r="IAA143" s="33"/>
      <c r="IAB143" s="33"/>
      <c r="IAC143" s="33"/>
      <c r="IAD143" s="33"/>
      <c r="IAE143" s="33"/>
      <c r="IAF143" s="33"/>
      <c r="IAG143" s="33"/>
      <c r="IAH143" s="33"/>
      <c r="IAI143" s="33"/>
      <c r="IAJ143" s="33"/>
      <c r="IAK143" s="33"/>
      <c r="IAL143" s="33"/>
      <c r="IAM143" s="33"/>
      <c r="IAN143" s="33"/>
      <c r="IAO143" s="33"/>
      <c r="IAP143" s="33"/>
      <c r="IAQ143" s="33"/>
      <c r="IAR143" s="33"/>
      <c r="IAS143" s="33"/>
      <c r="IAT143" s="33"/>
      <c r="IAU143" s="33"/>
      <c r="IAV143" s="33"/>
      <c r="IAW143" s="33"/>
      <c r="IAX143" s="33"/>
      <c r="IAY143" s="33"/>
      <c r="IAZ143" s="33"/>
      <c r="IBA143" s="33"/>
      <c r="IBB143" s="33"/>
      <c r="IBC143" s="33"/>
      <c r="IBD143" s="33"/>
      <c r="IBE143" s="33"/>
      <c r="IBF143" s="33"/>
      <c r="IBG143" s="33"/>
      <c r="IBH143" s="33"/>
      <c r="IBI143" s="33"/>
      <c r="IBJ143" s="33"/>
      <c r="IBK143" s="33"/>
      <c r="IBL143" s="33"/>
      <c r="IBM143" s="33"/>
      <c r="IBN143" s="33"/>
      <c r="IBO143" s="33"/>
      <c r="IBP143" s="33"/>
      <c r="IBQ143" s="33"/>
      <c r="IBR143" s="33"/>
      <c r="IBS143" s="33"/>
      <c r="IBT143" s="33"/>
      <c r="IBU143" s="33"/>
      <c r="IBV143" s="33"/>
      <c r="IBW143" s="33"/>
      <c r="IBX143" s="33"/>
      <c r="IBY143" s="33"/>
      <c r="IBZ143" s="33"/>
      <c r="ICA143" s="33"/>
      <c r="ICB143" s="33"/>
      <c r="ICC143" s="33"/>
      <c r="ICD143" s="33"/>
      <c r="ICE143" s="33"/>
      <c r="ICF143" s="33"/>
      <c r="ICG143" s="33"/>
      <c r="ICH143" s="33"/>
      <c r="ICI143" s="33"/>
      <c r="ICJ143" s="33"/>
      <c r="ICK143" s="33"/>
      <c r="ICL143" s="33"/>
      <c r="ICM143" s="33"/>
      <c r="ICN143" s="33"/>
      <c r="ICO143" s="33"/>
      <c r="ICP143" s="33"/>
      <c r="ICQ143" s="33"/>
      <c r="ICR143" s="33"/>
      <c r="ICS143" s="33"/>
      <c r="ICT143" s="33"/>
      <c r="ICU143" s="33"/>
      <c r="ICV143" s="33"/>
      <c r="ICW143" s="33"/>
      <c r="ICX143" s="33"/>
      <c r="ICY143" s="33"/>
      <c r="ICZ143" s="33"/>
      <c r="IDA143" s="33"/>
      <c r="IDB143" s="33"/>
      <c r="IDC143" s="33"/>
      <c r="IDD143" s="33"/>
      <c r="IDE143" s="33"/>
      <c r="IDF143" s="33"/>
      <c r="IDG143" s="33"/>
      <c r="IDH143" s="33"/>
      <c r="IDI143" s="33"/>
      <c r="IDJ143" s="33"/>
      <c r="IDK143" s="33"/>
      <c r="IDL143" s="33"/>
      <c r="IDM143" s="33"/>
      <c r="IDN143" s="33"/>
      <c r="IDO143" s="33"/>
      <c r="IDP143" s="33"/>
      <c r="IDQ143" s="33"/>
      <c r="IDR143" s="33"/>
      <c r="IDS143" s="33"/>
      <c r="IDT143" s="33"/>
      <c r="IDU143" s="33"/>
      <c r="IDV143" s="33"/>
      <c r="IDW143" s="33"/>
      <c r="IDX143" s="33"/>
      <c r="IDY143" s="33"/>
      <c r="IDZ143" s="33"/>
      <c r="IEA143" s="33"/>
      <c r="IEB143" s="33"/>
      <c r="IEC143" s="33"/>
      <c r="IED143" s="33"/>
      <c r="IEE143" s="33"/>
      <c r="IEF143" s="33"/>
      <c r="IEG143" s="33"/>
      <c r="IEH143" s="33"/>
      <c r="IEI143" s="33"/>
      <c r="IEJ143" s="33"/>
      <c r="IEK143" s="33"/>
      <c r="IEL143" s="33"/>
      <c r="IEM143" s="33"/>
      <c r="IEN143" s="33"/>
      <c r="IEO143" s="33"/>
      <c r="IEP143" s="33"/>
      <c r="IEQ143" s="33"/>
      <c r="IER143" s="33"/>
      <c r="IES143" s="33"/>
      <c r="IET143" s="33"/>
      <c r="IEU143" s="33"/>
      <c r="IEV143" s="33"/>
      <c r="IEW143" s="33"/>
      <c r="IEX143" s="33"/>
      <c r="IEY143" s="33"/>
      <c r="IEZ143" s="33"/>
      <c r="IFA143" s="33"/>
      <c r="IFB143" s="33"/>
      <c r="IFC143" s="33"/>
      <c r="IFD143" s="33"/>
      <c r="IFE143" s="33"/>
      <c r="IFF143" s="33"/>
      <c r="IFG143" s="33"/>
      <c r="IFH143" s="33"/>
      <c r="IFI143" s="33"/>
      <c r="IFJ143" s="33"/>
      <c r="IFK143" s="33"/>
      <c r="IFL143" s="33"/>
      <c r="IFM143" s="33"/>
      <c r="IFN143" s="33"/>
      <c r="IFO143" s="33"/>
      <c r="IFP143" s="33"/>
      <c r="IFQ143" s="33"/>
      <c r="IFR143" s="33"/>
      <c r="IFS143" s="33"/>
      <c r="IFT143" s="33"/>
      <c r="IFU143" s="33"/>
      <c r="IFV143" s="33"/>
      <c r="IFW143" s="33"/>
      <c r="IFX143" s="33"/>
      <c r="IFY143" s="33"/>
      <c r="IFZ143" s="33"/>
      <c r="IGA143" s="33"/>
      <c r="IGB143" s="33"/>
      <c r="IGC143" s="33"/>
      <c r="IGD143" s="33"/>
      <c r="IGE143" s="33"/>
      <c r="IGF143" s="33"/>
      <c r="IGG143" s="33"/>
      <c r="IGH143" s="33"/>
      <c r="IGI143" s="33"/>
      <c r="IGJ143" s="33"/>
      <c r="IGK143" s="33"/>
      <c r="IGL143" s="33"/>
      <c r="IGM143" s="33"/>
      <c r="IGN143" s="33"/>
      <c r="IGO143" s="33"/>
      <c r="IGP143" s="33"/>
      <c r="IGQ143" s="33"/>
      <c r="IGR143" s="33"/>
      <c r="IGS143" s="33"/>
      <c r="IGT143" s="33"/>
      <c r="IGU143" s="33"/>
      <c r="IGV143" s="33"/>
      <c r="IGW143" s="33"/>
      <c r="IGX143" s="33"/>
      <c r="IGY143" s="33"/>
      <c r="IGZ143" s="33"/>
      <c r="IHA143" s="33"/>
      <c r="IHB143" s="33"/>
      <c r="IHC143" s="33"/>
      <c r="IHD143" s="33"/>
      <c r="IHE143" s="33"/>
      <c r="IHF143" s="33"/>
      <c r="IHG143" s="33"/>
      <c r="IHH143" s="33"/>
      <c r="IHI143" s="33"/>
      <c r="IHJ143" s="33"/>
      <c r="IHK143" s="33"/>
      <c r="IHL143" s="33"/>
      <c r="IHM143" s="33"/>
      <c r="IHN143" s="33"/>
      <c r="IHO143" s="33"/>
      <c r="IHP143" s="33"/>
      <c r="IHQ143" s="33"/>
      <c r="IHR143" s="33"/>
      <c r="IHS143" s="33"/>
      <c r="IHT143" s="33"/>
      <c r="IHU143" s="33"/>
      <c r="IHV143" s="33"/>
      <c r="IHW143" s="33"/>
      <c r="IHX143" s="33"/>
      <c r="IHY143" s="33"/>
      <c r="IHZ143" s="33"/>
      <c r="IIA143" s="33"/>
      <c r="IIB143" s="33"/>
      <c r="IIC143" s="33"/>
      <c r="IID143" s="33"/>
      <c r="IIE143" s="33"/>
      <c r="IIF143" s="33"/>
      <c r="IIG143" s="33"/>
      <c r="IIH143" s="33"/>
      <c r="III143" s="33"/>
      <c r="IIJ143" s="33"/>
      <c r="IIK143" s="33"/>
      <c r="IIL143" s="33"/>
      <c r="IIM143" s="33"/>
      <c r="IIN143" s="33"/>
      <c r="IIO143" s="33"/>
      <c r="IIP143" s="33"/>
      <c r="IIQ143" s="33"/>
      <c r="IIR143" s="33"/>
      <c r="IIS143" s="33"/>
      <c r="IIT143" s="33"/>
      <c r="IIU143" s="33"/>
      <c r="IIV143" s="33"/>
      <c r="IIW143" s="33"/>
      <c r="IIX143" s="33"/>
      <c r="IIY143" s="33"/>
      <c r="IIZ143" s="33"/>
      <c r="IJA143" s="33"/>
      <c r="IJB143" s="33"/>
      <c r="IJC143" s="33"/>
      <c r="IJD143" s="33"/>
      <c r="IJE143" s="33"/>
      <c r="IJF143" s="33"/>
      <c r="IJG143" s="33"/>
      <c r="IJH143" s="33"/>
      <c r="IJI143" s="33"/>
      <c r="IJJ143" s="33"/>
      <c r="IJK143" s="33"/>
      <c r="IJL143" s="33"/>
      <c r="IJM143" s="33"/>
      <c r="IJN143" s="33"/>
      <c r="IJO143" s="33"/>
      <c r="IJP143" s="33"/>
      <c r="IJQ143" s="33"/>
      <c r="IJR143" s="33"/>
      <c r="IJS143" s="33"/>
      <c r="IJT143" s="33"/>
      <c r="IJU143" s="33"/>
      <c r="IJV143" s="33"/>
      <c r="IJW143" s="33"/>
      <c r="IJX143" s="33"/>
      <c r="IJY143" s="33"/>
      <c r="IJZ143" s="33"/>
      <c r="IKA143" s="33"/>
      <c r="IKB143" s="33"/>
      <c r="IKC143" s="33"/>
      <c r="IKD143" s="33"/>
      <c r="IKE143" s="33"/>
      <c r="IKF143" s="33"/>
      <c r="IKG143" s="33"/>
      <c r="IKH143" s="33"/>
      <c r="IKI143" s="33"/>
      <c r="IKJ143" s="33"/>
      <c r="IKK143" s="33"/>
      <c r="IKL143" s="33"/>
      <c r="IKM143" s="33"/>
      <c r="IKN143" s="33"/>
      <c r="IKO143" s="33"/>
      <c r="IKP143" s="33"/>
      <c r="IKQ143" s="33"/>
      <c r="IKR143" s="33"/>
      <c r="IKS143" s="33"/>
      <c r="IKT143" s="33"/>
      <c r="IKU143" s="33"/>
      <c r="IKV143" s="33"/>
      <c r="IKW143" s="33"/>
      <c r="IKX143" s="33"/>
      <c r="IKY143" s="33"/>
      <c r="IKZ143" s="33"/>
      <c r="ILA143" s="33"/>
      <c r="ILB143" s="33"/>
      <c r="ILC143" s="33"/>
      <c r="ILD143" s="33"/>
      <c r="ILE143" s="33"/>
      <c r="ILF143" s="33"/>
      <c r="ILG143" s="33"/>
      <c r="ILH143" s="33"/>
      <c r="ILI143" s="33"/>
      <c r="ILJ143" s="33"/>
      <c r="ILK143" s="33"/>
      <c r="ILL143" s="33"/>
      <c r="ILM143" s="33"/>
      <c r="ILN143" s="33"/>
      <c r="ILO143" s="33"/>
      <c r="ILP143" s="33"/>
      <c r="ILQ143" s="33"/>
      <c r="ILR143" s="33"/>
      <c r="ILS143" s="33"/>
      <c r="ILT143" s="33"/>
      <c r="ILU143" s="33"/>
      <c r="ILV143" s="33"/>
      <c r="ILW143" s="33"/>
      <c r="ILX143" s="33"/>
      <c r="ILY143" s="33"/>
      <c r="ILZ143" s="33"/>
      <c r="IMA143" s="33"/>
      <c r="IMB143" s="33"/>
      <c r="IMC143" s="33"/>
      <c r="IMD143" s="33"/>
      <c r="IME143" s="33"/>
      <c r="IMF143" s="33"/>
      <c r="IMG143" s="33"/>
      <c r="IMH143" s="33"/>
      <c r="IMI143" s="33"/>
      <c r="IMJ143" s="33"/>
      <c r="IMK143" s="33"/>
      <c r="IML143" s="33"/>
      <c r="IMM143" s="33"/>
      <c r="IMN143" s="33"/>
      <c r="IMO143" s="33"/>
      <c r="IMP143" s="33"/>
      <c r="IMQ143" s="33"/>
      <c r="IMR143" s="33"/>
      <c r="IMS143" s="33"/>
      <c r="IMT143" s="33"/>
      <c r="IMU143" s="33"/>
      <c r="IMV143" s="33"/>
      <c r="IMW143" s="33"/>
      <c r="IMX143" s="33"/>
      <c r="IMY143" s="33"/>
      <c r="IMZ143" s="33"/>
      <c r="INA143" s="33"/>
      <c r="INB143" s="33"/>
      <c r="INC143" s="33"/>
      <c r="IND143" s="33"/>
      <c r="INE143" s="33"/>
      <c r="INF143" s="33"/>
      <c r="ING143" s="33"/>
      <c r="INH143" s="33"/>
      <c r="INI143" s="33"/>
      <c r="INJ143" s="33"/>
      <c r="INK143" s="33"/>
      <c r="INL143" s="33"/>
      <c r="INM143" s="33"/>
      <c r="INN143" s="33"/>
      <c r="INO143" s="33"/>
      <c r="INP143" s="33"/>
      <c r="INQ143" s="33"/>
      <c r="INR143" s="33"/>
      <c r="INS143" s="33"/>
      <c r="INT143" s="33"/>
      <c r="INU143" s="33"/>
      <c r="INV143" s="33"/>
      <c r="INW143" s="33"/>
      <c r="INX143" s="33"/>
      <c r="INY143" s="33"/>
      <c r="INZ143" s="33"/>
      <c r="IOA143" s="33"/>
      <c r="IOB143" s="33"/>
      <c r="IOC143" s="33"/>
      <c r="IOD143" s="33"/>
      <c r="IOE143" s="33"/>
      <c r="IOF143" s="33"/>
      <c r="IOG143" s="33"/>
      <c r="IOH143" s="33"/>
      <c r="IOI143" s="33"/>
      <c r="IOJ143" s="33"/>
      <c r="IOK143" s="33"/>
      <c r="IOL143" s="33"/>
      <c r="IOM143" s="33"/>
      <c r="ION143" s="33"/>
      <c r="IOO143" s="33"/>
      <c r="IOP143" s="33"/>
      <c r="IOQ143" s="33"/>
      <c r="IOR143" s="33"/>
      <c r="IOS143" s="33"/>
      <c r="IOT143" s="33"/>
      <c r="IOU143" s="33"/>
      <c r="IOV143" s="33"/>
      <c r="IOW143" s="33"/>
      <c r="IOX143" s="33"/>
      <c r="IOY143" s="33"/>
      <c r="IOZ143" s="33"/>
      <c r="IPA143" s="33"/>
      <c r="IPB143" s="33"/>
      <c r="IPC143" s="33"/>
      <c r="IPD143" s="33"/>
      <c r="IPE143" s="33"/>
      <c r="IPF143" s="33"/>
      <c r="IPG143" s="33"/>
      <c r="IPH143" s="33"/>
      <c r="IPI143" s="33"/>
      <c r="IPJ143" s="33"/>
      <c r="IPK143" s="33"/>
      <c r="IPL143" s="33"/>
      <c r="IPM143" s="33"/>
      <c r="IPN143" s="33"/>
      <c r="IPO143" s="33"/>
      <c r="IPP143" s="33"/>
      <c r="IPQ143" s="33"/>
      <c r="IPR143" s="33"/>
      <c r="IPS143" s="33"/>
      <c r="IPT143" s="33"/>
      <c r="IPU143" s="33"/>
      <c r="IPV143" s="33"/>
      <c r="IPW143" s="33"/>
      <c r="IPX143" s="33"/>
      <c r="IPY143" s="33"/>
      <c r="IPZ143" s="33"/>
      <c r="IQA143" s="33"/>
      <c r="IQB143" s="33"/>
      <c r="IQC143" s="33"/>
      <c r="IQD143" s="33"/>
      <c r="IQE143" s="33"/>
      <c r="IQF143" s="33"/>
      <c r="IQG143" s="33"/>
      <c r="IQH143" s="33"/>
      <c r="IQI143" s="33"/>
      <c r="IQJ143" s="33"/>
      <c r="IQK143" s="33"/>
      <c r="IQL143" s="33"/>
      <c r="IQM143" s="33"/>
      <c r="IQN143" s="33"/>
      <c r="IQO143" s="33"/>
      <c r="IQP143" s="33"/>
      <c r="IQQ143" s="33"/>
      <c r="IQR143" s="33"/>
      <c r="IQS143" s="33"/>
      <c r="IQT143" s="33"/>
      <c r="IQU143" s="33"/>
      <c r="IQV143" s="33"/>
      <c r="IQW143" s="33"/>
      <c r="IQX143" s="33"/>
      <c r="IQY143" s="33"/>
      <c r="IQZ143" s="33"/>
      <c r="IRA143" s="33"/>
      <c r="IRB143" s="33"/>
      <c r="IRC143" s="33"/>
      <c r="IRD143" s="33"/>
      <c r="IRE143" s="33"/>
      <c r="IRF143" s="33"/>
      <c r="IRG143" s="33"/>
      <c r="IRH143" s="33"/>
      <c r="IRI143" s="33"/>
      <c r="IRJ143" s="33"/>
      <c r="IRK143" s="33"/>
      <c r="IRL143" s="33"/>
      <c r="IRM143" s="33"/>
      <c r="IRN143" s="33"/>
      <c r="IRO143" s="33"/>
      <c r="IRP143" s="33"/>
      <c r="IRQ143" s="33"/>
      <c r="IRR143" s="33"/>
      <c r="IRS143" s="33"/>
      <c r="IRT143" s="33"/>
      <c r="IRU143" s="33"/>
      <c r="IRV143" s="33"/>
      <c r="IRW143" s="33"/>
      <c r="IRX143" s="33"/>
      <c r="IRY143" s="33"/>
      <c r="IRZ143" s="33"/>
      <c r="ISA143" s="33"/>
      <c r="ISB143" s="33"/>
      <c r="ISC143" s="33"/>
      <c r="ISD143" s="33"/>
      <c r="ISE143" s="33"/>
      <c r="ISF143" s="33"/>
      <c r="ISG143" s="33"/>
      <c r="ISH143" s="33"/>
      <c r="ISI143" s="33"/>
      <c r="ISJ143" s="33"/>
      <c r="ISK143" s="33"/>
      <c r="ISL143" s="33"/>
      <c r="ISM143" s="33"/>
      <c r="ISN143" s="33"/>
      <c r="ISO143" s="33"/>
      <c r="ISP143" s="33"/>
      <c r="ISQ143" s="33"/>
      <c r="ISR143" s="33"/>
      <c r="ISS143" s="33"/>
      <c r="IST143" s="33"/>
      <c r="ISU143" s="33"/>
      <c r="ISV143" s="33"/>
      <c r="ISW143" s="33"/>
      <c r="ISX143" s="33"/>
      <c r="ISY143" s="33"/>
      <c r="ISZ143" s="33"/>
      <c r="ITA143" s="33"/>
      <c r="ITB143" s="33"/>
      <c r="ITC143" s="33"/>
      <c r="ITD143" s="33"/>
      <c r="ITE143" s="33"/>
      <c r="ITF143" s="33"/>
      <c r="ITG143" s="33"/>
      <c r="ITH143" s="33"/>
      <c r="ITI143" s="33"/>
      <c r="ITJ143" s="33"/>
      <c r="ITK143" s="33"/>
      <c r="ITL143" s="33"/>
      <c r="ITM143" s="33"/>
      <c r="ITN143" s="33"/>
      <c r="ITO143" s="33"/>
      <c r="ITP143" s="33"/>
      <c r="ITQ143" s="33"/>
      <c r="ITR143" s="33"/>
      <c r="ITS143" s="33"/>
      <c r="ITT143" s="33"/>
      <c r="ITU143" s="33"/>
      <c r="ITV143" s="33"/>
      <c r="ITW143" s="33"/>
      <c r="ITX143" s="33"/>
      <c r="ITY143" s="33"/>
      <c r="ITZ143" s="33"/>
      <c r="IUA143" s="33"/>
      <c r="IUB143" s="33"/>
      <c r="IUC143" s="33"/>
      <c r="IUD143" s="33"/>
      <c r="IUE143" s="33"/>
      <c r="IUF143" s="33"/>
      <c r="IUG143" s="33"/>
      <c r="IUH143" s="33"/>
      <c r="IUI143" s="33"/>
      <c r="IUJ143" s="33"/>
      <c r="IUK143" s="33"/>
      <c r="IUL143" s="33"/>
      <c r="IUM143" s="33"/>
      <c r="IUN143" s="33"/>
      <c r="IUO143" s="33"/>
      <c r="IUP143" s="33"/>
      <c r="IUQ143" s="33"/>
      <c r="IUR143" s="33"/>
      <c r="IUS143" s="33"/>
      <c r="IUT143" s="33"/>
      <c r="IUU143" s="33"/>
      <c r="IUV143" s="33"/>
      <c r="IUW143" s="33"/>
      <c r="IUX143" s="33"/>
      <c r="IUY143" s="33"/>
      <c r="IUZ143" s="33"/>
      <c r="IVA143" s="33"/>
      <c r="IVB143" s="33"/>
      <c r="IVC143" s="33"/>
      <c r="IVD143" s="33"/>
      <c r="IVE143" s="33"/>
      <c r="IVF143" s="33"/>
      <c r="IVG143" s="33"/>
      <c r="IVH143" s="33"/>
      <c r="IVI143" s="33"/>
      <c r="IVJ143" s="33"/>
      <c r="IVK143" s="33"/>
      <c r="IVL143" s="33"/>
      <c r="IVM143" s="33"/>
      <c r="IVN143" s="33"/>
      <c r="IVO143" s="33"/>
      <c r="IVP143" s="33"/>
      <c r="IVQ143" s="33"/>
      <c r="IVR143" s="33"/>
      <c r="IVS143" s="33"/>
      <c r="IVT143" s="33"/>
      <c r="IVU143" s="33"/>
      <c r="IVV143" s="33"/>
      <c r="IVW143" s="33"/>
      <c r="IVX143" s="33"/>
      <c r="IVY143" s="33"/>
      <c r="IVZ143" s="33"/>
      <c r="IWA143" s="33"/>
      <c r="IWB143" s="33"/>
      <c r="IWC143" s="33"/>
      <c r="IWD143" s="33"/>
      <c r="IWE143" s="33"/>
      <c r="IWF143" s="33"/>
      <c r="IWG143" s="33"/>
      <c r="IWH143" s="33"/>
      <c r="IWI143" s="33"/>
      <c r="IWJ143" s="33"/>
      <c r="IWK143" s="33"/>
      <c r="IWL143" s="33"/>
      <c r="IWM143" s="33"/>
      <c r="IWN143" s="33"/>
      <c r="IWO143" s="33"/>
      <c r="IWP143" s="33"/>
      <c r="IWQ143" s="33"/>
      <c r="IWR143" s="33"/>
      <c r="IWS143" s="33"/>
      <c r="IWT143" s="33"/>
      <c r="IWU143" s="33"/>
      <c r="IWV143" s="33"/>
      <c r="IWW143" s="33"/>
      <c r="IWX143" s="33"/>
      <c r="IWY143" s="33"/>
      <c r="IWZ143" s="33"/>
      <c r="IXA143" s="33"/>
      <c r="IXB143" s="33"/>
      <c r="IXC143" s="33"/>
      <c r="IXD143" s="33"/>
      <c r="IXE143" s="33"/>
      <c r="IXF143" s="33"/>
      <c r="IXG143" s="33"/>
      <c r="IXH143" s="33"/>
      <c r="IXI143" s="33"/>
      <c r="IXJ143" s="33"/>
      <c r="IXK143" s="33"/>
      <c r="IXL143" s="33"/>
      <c r="IXM143" s="33"/>
      <c r="IXN143" s="33"/>
      <c r="IXO143" s="33"/>
      <c r="IXP143" s="33"/>
      <c r="IXQ143" s="33"/>
      <c r="IXR143" s="33"/>
      <c r="IXS143" s="33"/>
      <c r="IXT143" s="33"/>
      <c r="IXU143" s="33"/>
      <c r="IXV143" s="33"/>
      <c r="IXW143" s="33"/>
      <c r="IXX143" s="33"/>
      <c r="IXY143" s="33"/>
      <c r="IXZ143" s="33"/>
      <c r="IYA143" s="33"/>
      <c r="IYB143" s="33"/>
      <c r="IYC143" s="33"/>
      <c r="IYD143" s="33"/>
      <c r="IYE143" s="33"/>
      <c r="IYF143" s="33"/>
      <c r="IYG143" s="33"/>
      <c r="IYH143" s="33"/>
      <c r="IYI143" s="33"/>
      <c r="IYJ143" s="33"/>
      <c r="IYK143" s="33"/>
      <c r="IYL143" s="33"/>
      <c r="IYM143" s="33"/>
      <c r="IYN143" s="33"/>
      <c r="IYO143" s="33"/>
      <c r="IYP143" s="33"/>
      <c r="IYQ143" s="33"/>
      <c r="IYR143" s="33"/>
      <c r="IYS143" s="33"/>
      <c r="IYT143" s="33"/>
      <c r="IYU143" s="33"/>
      <c r="IYV143" s="33"/>
      <c r="IYW143" s="33"/>
      <c r="IYX143" s="33"/>
      <c r="IYY143" s="33"/>
      <c r="IYZ143" s="33"/>
      <c r="IZA143" s="33"/>
      <c r="IZB143" s="33"/>
      <c r="IZC143" s="33"/>
      <c r="IZD143" s="33"/>
      <c r="IZE143" s="33"/>
      <c r="IZF143" s="33"/>
      <c r="IZG143" s="33"/>
      <c r="IZH143" s="33"/>
      <c r="IZI143" s="33"/>
      <c r="IZJ143" s="33"/>
      <c r="IZK143" s="33"/>
      <c r="IZL143" s="33"/>
      <c r="IZM143" s="33"/>
      <c r="IZN143" s="33"/>
      <c r="IZO143" s="33"/>
      <c r="IZP143" s="33"/>
      <c r="IZQ143" s="33"/>
      <c r="IZR143" s="33"/>
      <c r="IZS143" s="33"/>
      <c r="IZT143" s="33"/>
      <c r="IZU143" s="33"/>
      <c r="IZV143" s="33"/>
      <c r="IZW143" s="33"/>
      <c r="IZX143" s="33"/>
      <c r="IZY143" s="33"/>
      <c r="IZZ143" s="33"/>
      <c r="JAA143" s="33"/>
      <c r="JAB143" s="33"/>
      <c r="JAC143" s="33"/>
      <c r="JAD143" s="33"/>
      <c r="JAE143" s="33"/>
      <c r="JAF143" s="33"/>
      <c r="JAG143" s="33"/>
      <c r="JAH143" s="33"/>
      <c r="JAI143" s="33"/>
      <c r="JAJ143" s="33"/>
      <c r="JAK143" s="33"/>
      <c r="JAL143" s="33"/>
      <c r="JAM143" s="33"/>
      <c r="JAN143" s="33"/>
      <c r="JAO143" s="33"/>
      <c r="JAP143" s="33"/>
      <c r="JAQ143" s="33"/>
      <c r="JAR143" s="33"/>
      <c r="JAS143" s="33"/>
      <c r="JAT143" s="33"/>
      <c r="JAU143" s="33"/>
      <c r="JAV143" s="33"/>
      <c r="JAW143" s="33"/>
      <c r="JAX143" s="33"/>
      <c r="JAY143" s="33"/>
      <c r="JAZ143" s="33"/>
      <c r="JBA143" s="33"/>
      <c r="JBB143" s="33"/>
      <c r="JBC143" s="33"/>
      <c r="JBD143" s="33"/>
      <c r="JBE143" s="33"/>
      <c r="JBF143" s="33"/>
      <c r="JBG143" s="33"/>
      <c r="JBH143" s="33"/>
      <c r="JBI143" s="33"/>
      <c r="JBJ143" s="33"/>
      <c r="JBK143" s="33"/>
      <c r="JBL143" s="33"/>
      <c r="JBM143" s="33"/>
      <c r="JBN143" s="33"/>
      <c r="JBO143" s="33"/>
      <c r="JBP143" s="33"/>
      <c r="JBQ143" s="33"/>
      <c r="JBR143" s="33"/>
      <c r="JBS143" s="33"/>
      <c r="JBT143" s="33"/>
      <c r="JBU143" s="33"/>
      <c r="JBV143" s="33"/>
      <c r="JBW143" s="33"/>
      <c r="JBX143" s="33"/>
      <c r="JBY143" s="33"/>
      <c r="JBZ143" s="33"/>
      <c r="JCA143" s="33"/>
      <c r="JCB143" s="33"/>
      <c r="JCC143" s="33"/>
      <c r="JCD143" s="33"/>
      <c r="JCE143" s="33"/>
      <c r="JCF143" s="33"/>
      <c r="JCG143" s="33"/>
      <c r="JCH143" s="33"/>
      <c r="JCI143" s="33"/>
      <c r="JCJ143" s="33"/>
      <c r="JCK143" s="33"/>
      <c r="JCL143" s="33"/>
      <c r="JCM143" s="33"/>
      <c r="JCN143" s="33"/>
      <c r="JCO143" s="33"/>
      <c r="JCP143" s="33"/>
      <c r="JCQ143" s="33"/>
      <c r="JCR143" s="33"/>
      <c r="JCS143" s="33"/>
      <c r="JCT143" s="33"/>
      <c r="JCU143" s="33"/>
      <c r="JCV143" s="33"/>
      <c r="JCW143" s="33"/>
      <c r="JCX143" s="33"/>
      <c r="JCY143" s="33"/>
      <c r="JCZ143" s="33"/>
      <c r="JDA143" s="33"/>
      <c r="JDB143" s="33"/>
      <c r="JDC143" s="33"/>
      <c r="JDD143" s="33"/>
      <c r="JDE143" s="33"/>
      <c r="JDF143" s="33"/>
      <c r="JDG143" s="33"/>
      <c r="JDH143" s="33"/>
      <c r="JDI143" s="33"/>
      <c r="JDJ143" s="33"/>
      <c r="JDK143" s="33"/>
      <c r="JDL143" s="33"/>
      <c r="JDM143" s="33"/>
      <c r="JDN143" s="33"/>
      <c r="JDO143" s="33"/>
      <c r="JDP143" s="33"/>
      <c r="JDQ143" s="33"/>
      <c r="JDR143" s="33"/>
      <c r="JDS143" s="33"/>
      <c r="JDT143" s="33"/>
      <c r="JDU143" s="33"/>
      <c r="JDV143" s="33"/>
      <c r="JDW143" s="33"/>
      <c r="JDX143" s="33"/>
      <c r="JDY143" s="33"/>
      <c r="JDZ143" s="33"/>
      <c r="JEA143" s="33"/>
      <c r="JEB143" s="33"/>
      <c r="JEC143" s="33"/>
      <c r="JED143" s="33"/>
      <c r="JEE143" s="33"/>
      <c r="JEF143" s="33"/>
      <c r="JEG143" s="33"/>
      <c r="JEH143" s="33"/>
      <c r="JEI143" s="33"/>
      <c r="JEJ143" s="33"/>
      <c r="JEK143" s="33"/>
      <c r="JEL143" s="33"/>
      <c r="JEM143" s="33"/>
      <c r="JEN143" s="33"/>
      <c r="JEO143" s="33"/>
      <c r="JEP143" s="33"/>
      <c r="JEQ143" s="33"/>
      <c r="JER143" s="33"/>
      <c r="JES143" s="33"/>
      <c r="JET143" s="33"/>
      <c r="JEU143" s="33"/>
      <c r="JEV143" s="33"/>
      <c r="JEW143" s="33"/>
      <c r="JEX143" s="33"/>
      <c r="JEY143" s="33"/>
      <c r="JEZ143" s="33"/>
      <c r="JFA143" s="33"/>
      <c r="JFB143" s="33"/>
      <c r="JFC143" s="33"/>
      <c r="JFD143" s="33"/>
      <c r="JFE143" s="33"/>
      <c r="JFF143" s="33"/>
      <c r="JFG143" s="33"/>
      <c r="JFH143" s="33"/>
      <c r="JFI143" s="33"/>
      <c r="JFJ143" s="33"/>
      <c r="JFK143" s="33"/>
      <c r="JFL143" s="33"/>
      <c r="JFM143" s="33"/>
      <c r="JFN143" s="33"/>
      <c r="JFO143" s="33"/>
      <c r="JFP143" s="33"/>
      <c r="JFQ143" s="33"/>
      <c r="JFR143" s="33"/>
      <c r="JFS143" s="33"/>
      <c r="JFT143" s="33"/>
      <c r="JFU143" s="33"/>
      <c r="JFV143" s="33"/>
      <c r="JFW143" s="33"/>
      <c r="JFX143" s="33"/>
      <c r="JFY143" s="33"/>
      <c r="JFZ143" s="33"/>
      <c r="JGA143" s="33"/>
      <c r="JGB143" s="33"/>
      <c r="JGC143" s="33"/>
      <c r="JGD143" s="33"/>
      <c r="JGE143" s="33"/>
      <c r="JGF143" s="33"/>
      <c r="JGG143" s="33"/>
      <c r="JGH143" s="33"/>
      <c r="JGI143" s="33"/>
      <c r="JGJ143" s="33"/>
      <c r="JGK143" s="33"/>
      <c r="JGL143" s="33"/>
      <c r="JGM143" s="33"/>
      <c r="JGN143" s="33"/>
      <c r="JGO143" s="33"/>
      <c r="JGP143" s="33"/>
      <c r="JGQ143" s="33"/>
      <c r="JGR143" s="33"/>
      <c r="JGS143" s="33"/>
      <c r="JGT143" s="33"/>
      <c r="JGU143" s="33"/>
      <c r="JGV143" s="33"/>
      <c r="JGW143" s="33"/>
      <c r="JGX143" s="33"/>
      <c r="JGY143" s="33"/>
      <c r="JGZ143" s="33"/>
      <c r="JHA143" s="33"/>
      <c r="JHB143" s="33"/>
      <c r="JHC143" s="33"/>
      <c r="JHD143" s="33"/>
      <c r="JHE143" s="33"/>
      <c r="JHF143" s="33"/>
      <c r="JHG143" s="33"/>
      <c r="JHH143" s="33"/>
      <c r="JHI143" s="33"/>
      <c r="JHJ143" s="33"/>
      <c r="JHK143" s="33"/>
      <c r="JHL143" s="33"/>
      <c r="JHM143" s="33"/>
      <c r="JHN143" s="33"/>
      <c r="JHO143" s="33"/>
      <c r="JHP143" s="33"/>
      <c r="JHQ143" s="33"/>
      <c r="JHR143" s="33"/>
      <c r="JHS143" s="33"/>
      <c r="JHT143" s="33"/>
      <c r="JHU143" s="33"/>
      <c r="JHV143" s="33"/>
      <c r="JHW143" s="33"/>
      <c r="JHX143" s="33"/>
      <c r="JHY143" s="33"/>
      <c r="JHZ143" s="33"/>
      <c r="JIA143" s="33"/>
      <c r="JIB143" s="33"/>
      <c r="JIC143" s="33"/>
      <c r="JID143" s="33"/>
      <c r="JIE143" s="33"/>
      <c r="JIF143" s="33"/>
      <c r="JIG143" s="33"/>
      <c r="JIH143" s="33"/>
      <c r="JII143" s="33"/>
      <c r="JIJ143" s="33"/>
      <c r="JIK143" s="33"/>
      <c r="JIL143" s="33"/>
      <c r="JIM143" s="33"/>
      <c r="JIN143" s="33"/>
      <c r="JIO143" s="33"/>
      <c r="JIP143" s="33"/>
      <c r="JIQ143" s="33"/>
      <c r="JIR143" s="33"/>
      <c r="JIS143" s="33"/>
      <c r="JIT143" s="33"/>
      <c r="JIU143" s="33"/>
      <c r="JIV143" s="33"/>
      <c r="JIW143" s="33"/>
      <c r="JIX143" s="33"/>
      <c r="JIY143" s="33"/>
      <c r="JIZ143" s="33"/>
      <c r="JJA143" s="33"/>
      <c r="JJB143" s="33"/>
      <c r="JJC143" s="33"/>
      <c r="JJD143" s="33"/>
      <c r="JJE143" s="33"/>
      <c r="JJF143" s="33"/>
      <c r="JJG143" s="33"/>
      <c r="JJH143" s="33"/>
      <c r="JJI143" s="33"/>
      <c r="JJJ143" s="33"/>
      <c r="JJK143" s="33"/>
      <c r="JJL143" s="33"/>
      <c r="JJM143" s="33"/>
      <c r="JJN143" s="33"/>
      <c r="JJO143" s="33"/>
      <c r="JJP143" s="33"/>
      <c r="JJQ143" s="33"/>
      <c r="JJR143" s="33"/>
      <c r="JJS143" s="33"/>
      <c r="JJT143" s="33"/>
      <c r="JJU143" s="33"/>
      <c r="JJV143" s="33"/>
      <c r="JJW143" s="33"/>
      <c r="JJX143" s="33"/>
      <c r="JJY143" s="33"/>
      <c r="JJZ143" s="33"/>
      <c r="JKA143" s="33"/>
      <c r="JKB143" s="33"/>
      <c r="JKC143" s="33"/>
      <c r="JKD143" s="33"/>
      <c r="JKE143" s="33"/>
      <c r="JKF143" s="33"/>
      <c r="JKG143" s="33"/>
      <c r="JKH143" s="33"/>
      <c r="JKI143" s="33"/>
      <c r="JKJ143" s="33"/>
      <c r="JKK143" s="33"/>
      <c r="JKL143" s="33"/>
      <c r="JKM143" s="33"/>
      <c r="JKN143" s="33"/>
      <c r="JKO143" s="33"/>
      <c r="JKP143" s="33"/>
      <c r="JKQ143" s="33"/>
      <c r="JKR143" s="33"/>
      <c r="JKS143" s="33"/>
      <c r="JKT143" s="33"/>
      <c r="JKU143" s="33"/>
      <c r="JKV143" s="33"/>
      <c r="JKW143" s="33"/>
      <c r="JKX143" s="33"/>
      <c r="JKY143" s="33"/>
      <c r="JKZ143" s="33"/>
      <c r="JLA143" s="33"/>
      <c r="JLB143" s="33"/>
      <c r="JLC143" s="33"/>
      <c r="JLD143" s="33"/>
      <c r="JLE143" s="33"/>
      <c r="JLF143" s="33"/>
      <c r="JLG143" s="33"/>
      <c r="JLH143" s="33"/>
      <c r="JLI143" s="33"/>
      <c r="JLJ143" s="33"/>
      <c r="JLK143" s="33"/>
      <c r="JLL143" s="33"/>
      <c r="JLM143" s="33"/>
      <c r="JLN143" s="33"/>
      <c r="JLO143" s="33"/>
      <c r="JLP143" s="33"/>
      <c r="JLQ143" s="33"/>
      <c r="JLR143" s="33"/>
      <c r="JLS143" s="33"/>
      <c r="JLT143" s="33"/>
      <c r="JLU143" s="33"/>
      <c r="JLV143" s="33"/>
      <c r="JLW143" s="33"/>
      <c r="JLX143" s="33"/>
      <c r="JLY143" s="33"/>
      <c r="JLZ143" s="33"/>
      <c r="JMA143" s="33"/>
      <c r="JMB143" s="33"/>
      <c r="JMC143" s="33"/>
      <c r="JMD143" s="33"/>
      <c r="JME143" s="33"/>
      <c r="JMF143" s="33"/>
      <c r="JMG143" s="33"/>
      <c r="JMH143" s="33"/>
      <c r="JMI143" s="33"/>
      <c r="JMJ143" s="33"/>
      <c r="JMK143" s="33"/>
      <c r="JML143" s="33"/>
      <c r="JMM143" s="33"/>
      <c r="JMN143" s="33"/>
      <c r="JMO143" s="33"/>
      <c r="JMP143" s="33"/>
      <c r="JMQ143" s="33"/>
      <c r="JMR143" s="33"/>
      <c r="JMS143" s="33"/>
      <c r="JMT143" s="33"/>
      <c r="JMU143" s="33"/>
      <c r="JMV143" s="33"/>
      <c r="JMW143" s="33"/>
      <c r="JMX143" s="33"/>
      <c r="JMY143" s="33"/>
      <c r="JMZ143" s="33"/>
      <c r="JNA143" s="33"/>
      <c r="JNB143" s="33"/>
      <c r="JNC143" s="33"/>
      <c r="JND143" s="33"/>
      <c r="JNE143" s="33"/>
      <c r="JNF143" s="33"/>
      <c r="JNG143" s="33"/>
      <c r="JNH143" s="33"/>
      <c r="JNI143" s="33"/>
      <c r="JNJ143" s="33"/>
      <c r="JNK143" s="33"/>
      <c r="JNL143" s="33"/>
      <c r="JNM143" s="33"/>
      <c r="JNN143" s="33"/>
      <c r="JNO143" s="33"/>
      <c r="JNP143" s="33"/>
      <c r="JNQ143" s="33"/>
      <c r="JNR143" s="33"/>
      <c r="JNS143" s="33"/>
      <c r="JNT143" s="33"/>
      <c r="JNU143" s="33"/>
      <c r="JNV143" s="33"/>
      <c r="JNW143" s="33"/>
      <c r="JNX143" s="33"/>
      <c r="JNY143" s="33"/>
      <c r="JNZ143" s="33"/>
      <c r="JOA143" s="33"/>
      <c r="JOB143" s="33"/>
      <c r="JOC143" s="33"/>
      <c r="JOD143" s="33"/>
      <c r="JOE143" s="33"/>
      <c r="JOF143" s="33"/>
      <c r="JOG143" s="33"/>
      <c r="JOH143" s="33"/>
      <c r="JOI143" s="33"/>
      <c r="JOJ143" s="33"/>
      <c r="JOK143" s="33"/>
      <c r="JOL143" s="33"/>
      <c r="JOM143" s="33"/>
      <c r="JON143" s="33"/>
      <c r="JOO143" s="33"/>
      <c r="JOP143" s="33"/>
      <c r="JOQ143" s="33"/>
      <c r="JOR143" s="33"/>
      <c r="JOS143" s="33"/>
      <c r="JOT143" s="33"/>
      <c r="JOU143" s="33"/>
      <c r="JOV143" s="33"/>
      <c r="JOW143" s="33"/>
      <c r="JOX143" s="33"/>
      <c r="JOY143" s="33"/>
      <c r="JOZ143" s="33"/>
      <c r="JPA143" s="33"/>
      <c r="JPB143" s="33"/>
      <c r="JPC143" s="33"/>
      <c r="JPD143" s="33"/>
      <c r="JPE143" s="33"/>
      <c r="JPF143" s="33"/>
      <c r="JPG143" s="33"/>
      <c r="JPH143" s="33"/>
      <c r="JPI143" s="33"/>
      <c r="JPJ143" s="33"/>
      <c r="JPK143" s="33"/>
      <c r="JPL143" s="33"/>
      <c r="JPM143" s="33"/>
      <c r="JPN143" s="33"/>
      <c r="JPO143" s="33"/>
      <c r="JPP143" s="33"/>
      <c r="JPQ143" s="33"/>
      <c r="JPR143" s="33"/>
      <c r="JPS143" s="33"/>
      <c r="JPT143" s="33"/>
      <c r="JPU143" s="33"/>
      <c r="JPV143" s="33"/>
      <c r="JPW143" s="33"/>
      <c r="JPX143" s="33"/>
      <c r="JPY143" s="33"/>
      <c r="JPZ143" s="33"/>
      <c r="JQA143" s="33"/>
      <c r="JQB143" s="33"/>
      <c r="JQC143" s="33"/>
      <c r="JQD143" s="33"/>
      <c r="JQE143" s="33"/>
      <c r="JQF143" s="33"/>
      <c r="JQG143" s="33"/>
      <c r="JQH143" s="33"/>
      <c r="JQI143" s="33"/>
      <c r="JQJ143" s="33"/>
      <c r="JQK143" s="33"/>
      <c r="JQL143" s="33"/>
      <c r="JQM143" s="33"/>
      <c r="JQN143" s="33"/>
      <c r="JQO143" s="33"/>
      <c r="JQP143" s="33"/>
      <c r="JQQ143" s="33"/>
      <c r="JQR143" s="33"/>
      <c r="JQS143" s="33"/>
      <c r="JQT143" s="33"/>
      <c r="JQU143" s="33"/>
      <c r="JQV143" s="33"/>
      <c r="JQW143" s="33"/>
      <c r="JQX143" s="33"/>
      <c r="JQY143" s="33"/>
      <c r="JQZ143" s="33"/>
      <c r="JRA143" s="33"/>
      <c r="JRB143" s="33"/>
      <c r="JRC143" s="33"/>
      <c r="JRD143" s="33"/>
      <c r="JRE143" s="33"/>
      <c r="JRF143" s="33"/>
      <c r="JRG143" s="33"/>
      <c r="JRH143" s="33"/>
      <c r="JRI143" s="33"/>
      <c r="JRJ143" s="33"/>
      <c r="JRK143" s="33"/>
      <c r="JRL143" s="33"/>
      <c r="JRM143" s="33"/>
      <c r="JRN143" s="33"/>
      <c r="JRO143" s="33"/>
      <c r="JRP143" s="33"/>
      <c r="JRQ143" s="33"/>
      <c r="JRR143" s="33"/>
      <c r="JRS143" s="33"/>
      <c r="JRT143" s="33"/>
      <c r="JRU143" s="33"/>
      <c r="JRV143" s="33"/>
      <c r="JRW143" s="33"/>
      <c r="JRX143" s="33"/>
      <c r="JRY143" s="33"/>
      <c r="JRZ143" s="33"/>
      <c r="JSA143" s="33"/>
      <c r="JSB143" s="33"/>
      <c r="JSC143" s="33"/>
      <c r="JSD143" s="33"/>
      <c r="JSE143" s="33"/>
      <c r="JSF143" s="33"/>
      <c r="JSG143" s="33"/>
      <c r="JSH143" s="33"/>
      <c r="JSI143" s="33"/>
      <c r="JSJ143" s="33"/>
      <c r="JSK143" s="33"/>
      <c r="JSL143" s="33"/>
      <c r="JSM143" s="33"/>
      <c r="JSN143" s="33"/>
      <c r="JSO143" s="33"/>
      <c r="JSP143" s="33"/>
      <c r="JSQ143" s="33"/>
      <c r="JSR143" s="33"/>
      <c r="JSS143" s="33"/>
      <c r="JST143" s="33"/>
      <c r="JSU143" s="33"/>
      <c r="JSV143" s="33"/>
      <c r="JSW143" s="33"/>
      <c r="JSX143" s="33"/>
      <c r="JSY143" s="33"/>
      <c r="JSZ143" s="33"/>
      <c r="JTA143" s="33"/>
      <c r="JTB143" s="33"/>
      <c r="JTC143" s="33"/>
      <c r="JTD143" s="33"/>
      <c r="JTE143" s="33"/>
      <c r="JTF143" s="33"/>
      <c r="JTG143" s="33"/>
      <c r="JTH143" s="33"/>
      <c r="JTI143" s="33"/>
      <c r="JTJ143" s="33"/>
      <c r="JTK143" s="33"/>
      <c r="JTL143" s="33"/>
      <c r="JTM143" s="33"/>
      <c r="JTN143" s="33"/>
      <c r="JTO143" s="33"/>
      <c r="JTP143" s="33"/>
      <c r="JTQ143" s="33"/>
      <c r="JTR143" s="33"/>
      <c r="JTS143" s="33"/>
      <c r="JTT143" s="33"/>
      <c r="JTU143" s="33"/>
      <c r="JTV143" s="33"/>
      <c r="JTW143" s="33"/>
      <c r="JTX143" s="33"/>
      <c r="JTY143" s="33"/>
      <c r="JTZ143" s="33"/>
      <c r="JUA143" s="33"/>
      <c r="JUB143" s="33"/>
      <c r="JUC143" s="33"/>
      <c r="JUD143" s="33"/>
      <c r="JUE143" s="33"/>
      <c r="JUF143" s="33"/>
      <c r="JUG143" s="33"/>
      <c r="JUH143" s="33"/>
      <c r="JUI143" s="33"/>
      <c r="JUJ143" s="33"/>
      <c r="JUK143" s="33"/>
      <c r="JUL143" s="33"/>
      <c r="JUM143" s="33"/>
      <c r="JUN143" s="33"/>
      <c r="JUO143" s="33"/>
      <c r="JUP143" s="33"/>
      <c r="JUQ143" s="33"/>
      <c r="JUR143" s="33"/>
      <c r="JUS143" s="33"/>
      <c r="JUT143" s="33"/>
      <c r="JUU143" s="33"/>
      <c r="JUV143" s="33"/>
      <c r="JUW143" s="33"/>
      <c r="JUX143" s="33"/>
      <c r="JUY143" s="33"/>
      <c r="JUZ143" s="33"/>
      <c r="JVA143" s="33"/>
      <c r="JVB143" s="33"/>
      <c r="JVC143" s="33"/>
      <c r="JVD143" s="33"/>
      <c r="JVE143" s="33"/>
      <c r="JVF143" s="33"/>
      <c r="JVG143" s="33"/>
      <c r="JVH143" s="33"/>
      <c r="JVI143" s="33"/>
      <c r="JVJ143" s="33"/>
      <c r="JVK143" s="33"/>
      <c r="JVL143" s="33"/>
      <c r="JVM143" s="33"/>
      <c r="JVN143" s="33"/>
      <c r="JVO143" s="33"/>
      <c r="JVP143" s="33"/>
      <c r="JVQ143" s="33"/>
      <c r="JVR143" s="33"/>
      <c r="JVS143" s="33"/>
      <c r="JVT143" s="33"/>
      <c r="JVU143" s="33"/>
      <c r="JVV143" s="33"/>
      <c r="JVW143" s="33"/>
      <c r="JVX143" s="33"/>
      <c r="JVY143" s="33"/>
      <c r="JVZ143" s="33"/>
      <c r="JWA143" s="33"/>
      <c r="JWB143" s="33"/>
      <c r="JWC143" s="33"/>
      <c r="JWD143" s="33"/>
      <c r="JWE143" s="33"/>
      <c r="JWF143" s="33"/>
      <c r="JWG143" s="33"/>
      <c r="JWH143" s="33"/>
      <c r="JWI143" s="33"/>
      <c r="JWJ143" s="33"/>
      <c r="JWK143" s="33"/>
      <c r="JWL143" s="33"/>
      <c r="JWM143" s="33"/>
      <c r="JWN143" s="33"/>
      <c r="JWO143" s="33"/>
      <c r="JWP143" s="33"/>
      <c r="JWQ143" s="33"/>
      <c r="JWR143" s="33"/>
      <c r="JWS143" s="33"/>
      <c r="JWT143" s="33"/>
      <c r="JWU143" s="33"/>
      <c r="JWV143" s="33"/>
      <c r="JWW143" s="33"/>
      <c r="JWX143" s="33"/>
      <c r="JWY143" s="33"/>
      <c r="JWZ143" s="33"/>
      <c r="JXA143" s="33"/>
      <c r="JXB143" s="33"/>
      <c r="JXC143" s="33"/>
      <c r="JXD143" s="33"/>
      <c r="JXE143" s="33"/>
      <c r="JXF143" s="33"/>
      <c r="JXG143" s="33"/>
      <c r="JXH143" s="33"/>
      <c r="JXI143" s="33"/>
      <c r="JXJ143" s="33"/>
      <c r="JXK143" s="33"/>
      <c r="JXL143" s="33"/>
      <c r="JXM143" s="33"/>
      <c r="JXN143" s="33"/>
      <c r="JXO143" s="33"/>
      <c r="JXP143" s="33"/>
      <c r="JXQ143" s="33"/>
      <c r="JXR143" s="33"/>
      <c r="JXS143" s="33"/>
      <c r="JXT143" s="33"/>
      <c r="JXU143" s="33"/>
      <c r="JXV143" s="33"/>
      <c r="JXW143" s="33"/>
      <c r="JXX143" s="33"/>
      <c r="JXY143" s="33"/>
      <c r="JXZ143" s="33"/>
      <c r="JYA143" s="33"/>
      <c r="JYB143" s="33"/>
      <c r="JYC143" s="33"/>
      <c r="JYD143" s="33"/>
      <c r="JYE143" s="33"/>
      <c r="JYF143" s="33"/>
      <c r="JYG143" s="33"/>
      <c r="JYH143" s="33"/>
      <c r="JYI143" s="33"/>
      <c r="JYJ143" s="33"/>
      <c r="JYK143" s="33"/>
      <c r="JYL143" s="33"/>
      <c r="JYM143" s="33"/>
      <c r="JYN143" s="33"/>
      <c r="JYO143" s="33"/>
      <c r="JYP143" s="33"/>
      <c r="JYQ143" s="33"/>
      <c r="JYR143" s="33"/>
      <c r="JYS143" s="33"/>
      <c r="JYT143" s="33"/>
      <c r="JYU143" s="33"/>
      <c r="JYV143" s="33"/>
      <c r="JYW143" s="33"/>
      <c r="JYX143" s="33"/>
      <c r="JYY143" s="33"/>
      <c r="JYZ143" s="33"/>
      <c r="JZA143" s="33"/>
      <c r="JZB143" s="33"/>
      <c r="JZC143" s="33"/>
      <c r="JZD143" s="33"/>
      <c r="JZE143" s="33"/>
      <c r="JZF143" s="33"/>
      <c r="JZG143" s="33"/>
      <c r="JZH143" s="33"/>
      <c r="JZI143" s="33"/>
      <c r="JZJ143" s="33"/>
      <c r="JZK143" s="33"/>
      <c r="JZL143" s="33"/>
      <c r="JZM143" s="33"/>
      <c r="JZN143" s="33"/>
      <c r="JZO143" s="33"/>
      <c r="JZP143" s="33"/>
      <c r="JZQ143" s="33"/>
      <c r="JZR143" s="33"/>
      <c r="JZS143" s="33"/>
      <c r="JZT143" s="33"/>
      <c r="JZU143" s="33"/>
      <c r="JZV143" s="33"/>
      <c r="JZW143" s="33"/>
      <c r="JZX143" s="33"/>
      <c r="JZY143" s="33"/>
      <c r="JZZ143" s="33"/>
      <c r="KAA143" s="33"/>
      <c r="KAB143" s="33"/>
      <c r="KAC143" s="33"/>
      <c r="KAD143" s="33"/>
      <c r="KAE143" s="33"/>
      <c r="KAF143" s="33"/>
      <c r="KAG143" s="33"/>
      <c r="KAH143" s="33"/>
      <c r="KAI143" s="33"/>
      <c r="KAJ143" s="33"/>
      <c r="KAK143" s="33"/>
      <c r="KAL143" s="33"/>
      <c r="KAM143" s="33"/>
      <c r="KAN143" s="33"/>
      <c r="KAO143" s="33"/>
      <c r="KAP143" s="33"/>
      <c r="KAQ143" s="33"/>
      <c r="KAR143" s="33"/>
      <c r="KAS143" s="33"/>
      <c r="KAT143" s="33"/>
      <c r="KAU143" s="33"/>
      <c r="KAV143" s="33"/>
      <c r="KAW143" s="33"/>
      <c r="KAX143" s="33"/>
      <c r="KAY143" s="33"/>
      <c r="KAZ143" s="33"/>
      <c r="KBA143" s="33"/>
      <c r="KBB143" s="33"/>
      <c r="KBC143" s="33"/>
      <c r="KBD143" s="33"/>
      <c r="KBE143" s="33"/>
      <c r="KBF143" s="33"/>
      <c r="KBG143" s="33"/>
      <c r="KBH143" s="33"/>
      <c r="KBI143" s="33"/>
      <c r="KBJ143" s="33"/>
      <c r="KBK143" s="33"/>
      <c r="KBL143" s="33"/>
      <c r="KBM143" s="33"/>
      <c r="KBN143" s="33"/>
      <c r="KBO143" s="33"/>
      <c r="KBP143" s="33"/>
      <c r="KBQ143" s="33"/>
      <c r="KBR143" s="33"/>
      <c r="KBS143" s="33"/>
      <c r="KBT143" s="33"/>
      <c r="KBU143" s="33"/>
      <c r="KBV143" s="33"/>
      <c r="KBW143" s="33"/>
      <c r="KBX143" s="33"/>
      <c r="KBY143" s="33"/>
      <c r="KBZ143" s="33"/>
      <c r="KCA143" s="33"/>
      <c r="KCB143" s="33"/>
      <c r="KCC143" s="33"/>
      <c r="KCD143" s="33"/>
      <c r="KCE143" s="33"/>
      <c r="KCF143" s="33"/>
      <c r="KCG143" s="33"/>
      <c r="KCH143" s="33"/>
      <c r="KCI143" s="33"/>
      <c r="KCJ143" s="33"/>
      <c r="KCK143" s="33"/>
      <c r="KCL143" s="33"/>
      <c r="KCM143" s="33"/>
      <c r="KCN143" s="33"/>
      <c r="KCO143" s="33"/>
      <c r="KCP143" s="33"/>
      <c r="KCQ143" s="33"/>
      <c r="KCR143" s="33"/>
      <c r="KCS143" s="33"/>
      <c r="KCT143" s="33"/>
      <c r="KCU143" s="33"/>
      <c r="KCV143" s="33"/>
      <c r="KCW143" s="33"/>
      <c r="KCX143" s="33"/>
      <c r="KCY143" s="33"/>
      <c r="KCZ143" s="33"/>
      <c r="KDA143" s="33"/>
      <c r="KDB143" s="33"/>
      <c r="KDC143" s="33"/>
      <c r="KDD143" s="33"/>
      <c r="KDE143" s="33"/>
      <c r="KDF143" s="33"/>
      <c r="KDG143" s="33"/>
      <c r="KDH143" s="33"/>
      <c r="KDI143" s="33"/>
      <c r="KDJ143" s="33"/>
      <c r="KDK143" s="33"/>
      <c r="KDL143" s="33"/>
      <c r="KDM143" s="33"/>
      <c r="KDN143" s="33"/>
      <c r="KDO143" s="33"/>
      <c r="KDP143" s="33"/>
      <c r="KDQ143" s="33"/>
      <c r="KDR143" s="33"/>
      <c r="KDS143" s="33"/>
      <c r="KDT143" s="33"/>
      <c r="KDU143" s="33"/>
      <c r="KDV143" s="33"/>
      <c r="KDW143" s="33"/>
      <c r="KDX143" s="33"/>
      <c r="KDY143" s="33"/>
      <c r="KDZ143" s="33"/>
      <c r="KEA143" s="33"/>
      <c r="KEB143" s="33"/>
      <c r="KEC143" s="33"/>
      <c r="KED143" s="33"/>
      <c r="KEE143" s="33"/>
      <c r="KEF143" s="33"/>
      <c r="KEG143" s="33"/>
      <c r="KEH143" s="33"/>
      <c r="KEI143" s="33"/>
      <c r="KEJ143" s="33"/>
      <c r="KEK143" s="33"/>
      <c r="KEL143" s="33"/>
      <c r="KEM143" s="33"/>
      <c r="KEN143" s="33"/>
      <c r="KEO143" s="33"/>
      <c r="KEP143" s="33"/>
      <c r="KEQ143" s="33"/>
      <c r="KER143" s="33"/>
      <c r="KES143" s="33"/>
      <c r="KET143" s="33"/>
      <c r="KEU143" s="33"/>
      <c r="KEV143" s="33"/>
      <c r="KEW143" s="33"/>
      <c r="KEX143" s="33"/>
      <c r="KEY143" s="33"/>
      <c r="KEZ143" s="33"/>
      <c r="KFA143" s="33"/>
      <c r="KFB143" s="33"/>
      <c r="KFC143" s="33"/>
      <c r="KFD143" s="33"/>
      <c r="KFE143" s="33"/>
      <c r="KFF143" s="33"/>
      <c r="KFG143" s="33"/>
      <c r="KFH143" s="33"/>
      <c r="KFI143" s="33"/>
      <c r="KFJ143" s="33"/>
      <c r="KFK143" s="33"/>
      <c r="KFL143" s="33"/>
      <c r="KFM143" s="33"/>
      <c r="KFN143" s="33"/>
      <c r="KFO143" s="33"/>
      <c r="KFP143" s="33"/>
      <c r="KFQ143" s="33"/>
      <c r="KFR143" s="33"/>
      <c r="KFS143" s="33"/>
      <c r="KFT143" s="33"/>
      <c r="KFU143" s="33"/>
      <c r="KFV143" s="33"/>
      <c r="KFW143" s="33"/>
      <c r="KFX143" s="33"/>
      <c r="KFY143" s="33"/>
      <c r="KFZ143" s="33"/>
      <c r="KGA143" s="33"/>
      <c r="KGB143" s="33"/>
      <c r="KGC143" s="33"/>
      <c r="KGD143" s="33"/>
      <c r="KGE143" s="33"/>
      <c r="KGF143" s="33"/>
      <c r="KGG143" s="33"/>
      <c r="KGH143" s="33"/>
      <c r="KGI143" s="33"/>
      <c r="KGJ143" s="33"/>
      <c r="KGK143" s="33"/>
      <c r="KGL143" s="33"/>
      <c r="KGM143" s="33"/>
      <c r="KGN143" s="33"/>
      <c r="KGO143" s="33"/>
      <c r="KGP143" s="33"/>
      <c r="KGQ143" s="33"/>
      <c r="KGR143" s="33"/>
      <c r="KGS143" s="33"/>
      <c r="KGT143" s="33"/>
      <c r="KGU143" s="33"/>
      <c r="KGV143" s="33"/>
      <c r="KGW143" s="33"/>
      <c r="KGX143" s="33"/>
      <c r="KGY143" s="33"/>
      <c r="KGZ143" s="33"/>
      <c r="KHA143" s="33"/>
      <c r="KHB143" s="33"/>
      <c r="KHC143" s="33"/>
      <c r="KHD143" s="33"/>
      <c r="KHE143" s="33"/>
      <c r="KHF143" s="33"/>
      <c r="KHG143" s="33"/>
      <c r="KHH143" s="33"/>
      <c r="KHI143" s="33"/>
      <c r="KHJ143" s="33"/>
      <c r="KHK143" s="33"/>
      <c r="KHL143" s="33"/>
      <c r="KHM143" s="33"/>
      <c r="KHN143" s="33"/>
      <c r="KHO143" s="33"/>
      <c r="KHP143" s="33"/>
      <c r="KHQ143" s="33"/>
      <c r="KHR143" s="33"/>
      <c r="KHS143" s="33"/>
      <c r="KHT143" s="33"/>
      <c r="KHU143" s="33"/>
      <c r="KHV143" s="33"/>
      <c r="KHW143" s="33"/>
      <c r="KHX143" s="33"/>
      <c r="KHY143" s="33"/>
      <c r="KHZ143" s="33"/>
      <c r="KIA143" s="33"/>
      <c r="KIB143" s="33"/>
      <c r="KIC143" s="33"/>
      <c r="KID143" s="33"/>
      <c r="KIE143" s="33"/>
      <c r="KIF143" s="33"/>
      <c r="KIG143" s="33"/>
      <c r="KIH143" s="33"/>
      <c r="KII143" s="33"/>
      <c r="KIJ143" s="33"/>
      <c r="KIK143" s="33"/>
      <c r="KIL143" s="33"/>
      <c r="KIM143" s="33"/>
      <c r="KIN143" s="33"/>
      <c r="KIO143" s="33"/>
      <c r="KIP143" s="33"/>
      <c r="KIQ143" s="33"/>
      <c r="KIR143" s="33"/>
      <c r="KIS143" s="33"/>
      <c r="KIT143" s="33"/>
      <c r="KIU143" s="33"/>
      <c r="KIV143" s="33"/>
      <c r="KIW143" s="33"/>
      <c r="KIX143" s="33"/>
      <c r="KIY143" s="33"/>
      <c r="KIZ143" s="33"/>
      <c r="KJA143" s="33"/>
      <c r="KJB143" s="33"/>
      <c r="KJC143" s="33"/>
      <c r="KJD143" s="33"/>
      <c r="KJE143" s="33"/>
      <c r="KJF143" s="33"/>
      <c r="KJG143" s="33"/>
      <c r="KJH143" s="33"/>
      <c r="KJI143" s="33"/>
      <c r="KJJ143" s="33"/>
      <c r="KJK143" s="33"/>
      <c r="KJL143" s="33"/>
      <c r="KJM143" s="33"/>
      <c r="KJN143" s="33"/>
      <c r="KJO143" s="33"/>
      <c r="KJP143" s="33"/>
      <c r="KJQ143" s="33"/>
      <c r="KJR143" s="33"/>
      <c r="KJS143" s="33"/>
      <c r="KJT143" s="33"/>
      <c r="KJU143" s="33"/>
      <c r="KJV143" s="33"/>
      <c r="KJW143" s="33"/>
      <c r="KJX143" s="33"/>
      <c r="KJY143" s="33"/>
      <c r="KJZ143" s="33"/>
      <c r="KKA143" s="33"/>
      <c r="KKB143" s="33"/>
      <c r="KKC143" s="33"/>
      <c r="KKD143" s="33"/>
      <c r="KKE143" s="33"/>
      <c r="KKF143" s="33"/>
      <c r="KKG143" s="33"/>
      <c r="KKH143" s="33"/>
      <c r="KKI143" s="33"/>
      <c r="KKJ143" s="33"/>
      <c r="KKK143" s="33"/>
      <c r="KKL143" s="33"/>
      <c r="KKM143" s="33"/>
      <c r="KKN143" s="33"/>
      <c r="KKO143" s="33"/>
      <c r="KKP143" s="33"/>
      <c r="KKQ143" s="33"/>
      <c r="KKR143" s="33"/>
      <c r="KKS143" s="33"/>
      <c r="KKT143" s="33"/>
      <c r="KKU143" s="33"/>
      <c r="KKV143" s="33"/>
      <c r="KKW143" s="33"/>
      <c r="KKX143" s="33"/>
      <c r="KKY143" s="33"/>
      <c r="KKZ143" s="33"/>
      <c r="KLA143" s="33"/>
      <c r="KLB143" s="33"/>
      <c r="KLC143" s="33"/>
      <c r="KLD143" s="33"/>
      <c r="KLE143" s="33"/>
      <c r="KLF143" s="33"/>
      <c r="KLG143" s="33"/>
      <c r="KLH143" s="33"/>
      <c r="KLI143" s="33"/>
      <c r="KLJ143" s="33"/>
      <c r="KLK143" s="33"/>
      <c r="KLL143" s="33"/>
      <c r="KLM143" s="33"/>
      <c r="KLN143" s="33"/>
      <c r="KLO143" s="33"/>
      <c r="KLP143" s="33"/>
      <c r="KLQ143" s="33"/>
      <c r="KLR143" s="33"/>
      <c r="KLS143" s="33"/>
      <c r="KLT143" s="33"/>
      <c r="KLU143" s="33"/>
      <c r="KLV143" s="33"/>
      <c r="KLW143" s="33"/>
      <c r="KLX143" s="33"/>
      <c r="KLY143" s="33"/>
      <c r="KLZ143" s="33"/>
      <c r="KMA143" s="33"/>
      <c r="KMB143" s="33"/>
      <c r="KMC143" s="33"/>
      <c r="KMD143" s="33"/>
      <c r="KME143" s="33"/>
      <c r="KMF143" s="33"/>
      <c r="KMG143" s="33"/>
      <c r="KMH143" s="33"/>
      <c r="KMI143" s="33"/>
      <c r="KMJ143" s="33"/>
      <c r="KMK143" s="33"/>
      <c r="KML143" s="33"/>
      <c r="KMM143" s="33"/>
      <c r="KMN143" s="33"/>
      <c r="KMO143" s="33"/>
      <c r="KMP143" s="33"/>
      <c r="KMQ143" s="33"/>
      <c r="KMR143" s="33"/>
      <c r="KMS143" s="33"/>
      <c r="KMT143" s="33"/>
      <c r="KMU143" s="33"/>
      <c r="KMV143" s="33"/>
      <c r="KMW143" s="33"/>
      <c r="KMX143" s="33"/>
      <c r="KMY143" s="33"/>
      <c r="KMZ143" s="33"/>
      <c r="KNA143" s="33"/>
      <c r="KNB143" s="33"/>
      <c r="KNC143" s="33"/>
      <c r="KND143" s="33"/>
      <c r="KNE143" s="33"/>
      <c r="KNF143" s="33"/>
      <c r="KNG143" s="33"/>
      <c r="KNH143" s="33"/>
      <c r="KNI143" s="33"/>
      <c r="KNJ143" s="33"/>
      <c r="KNK143" s="33"/>
      <c r="KNL143" s="33"/>
      <c r="KNM143" s="33"/>
      <c r="KNN143" s="33"/>
      <c r="KNO143" s="33"/>
      <c r="KNP143" s="33"/>
      <c r="KNQ143" s="33"/>
      <c r="KNR143" s="33"/>
      <c r="KNS143" s="33"/>
      <c r="KNT143" s="33"/>
      <c r="KNU143" s="33"/>
      <c r="KNV143" s="33"/>
      <c r="KNW143" s="33"/>
      <c r="KNX143" s="33"/>
      <c r="KNY143" s="33"/>
      <c r="KNZ143" s="33"/>
      <c r="KOA143" s="33"/>
      <c r="KOB143" s="33"/>
      <c r="KOC143" s="33"/>
      <c r="KOD143" s="33"/>
      <c r="KOE143" s="33"/>
      <c r="KOF143" s="33"/>
      <c r="KOG143" s="33"/>
      <c r="KOH143" s="33"/>
      <c r="KOI143" s="33"/>
      <c r="KOJ143" s="33"/>
      <c r="KOK143" s="33"/>
      <c r="KOL143" s="33"/>
      <c r="KOM143" s="33"/>
      <c r="KON143" s="33"/>
      <c r="KOO143" s="33"/>
      <c r="KOP143" s="33"/>
      <c r="KOQ143" s="33"/>
      <c r="KOR143" s="33"/>
      <c r="KOS143" s="33"/>
      <c r="KOT143" s="33"/>
      <c r="KOU143" s="33"/>
      <c r="KOV143" s="33"/>
      <c r="KOW143" s="33"/>
      <c r="KOX143" s="33"/>
      <c r="KOY143" s="33"/>
      <c r="KOZ143" s="33"/>
      <c r="KPA143" s="33"/>
      <c r="KPB143" s="33"/>
      <c r="KPC143" s="33"/>
      <c r="KPD143" s="33"/>
      <c r="KPE143" s="33"/>
      <c r="KPF143" s="33"/>
      <c r="KPG143" s="33"/>
      <c r="KPH143" s="33"/>
      <c r="KPI143" s="33"/>
      <c r="KPJ143" s="33"/>
      <c r="KPK143" s="33"/>
      <c r="KPL143" s="33"/>
      <c r="KPM143" s="33"/>
      <c r="KPN143" s="33"/>
      <c r="KPO143" s="33"/>
      <c r="KPP143" s="33"/>
      <c r="KPQ143" s="33"/>
      <c r="KPR143" s="33"/>
      <c r="KPS143" s="33"/>
      <c r="KPT143" s="33"/>
      <c r="KPU143" s="33"/>
      <c r="KPV143" s="33"/>
      <c r="KPW143" s="33"/>
      <c r="KPX143" s="33"/>
      <c r="KPY143" s="33"/>
      <c r="KPZ143" s="33"/>
      <c r="KQA143" s="33"/>
      <c r="KQB143" s="33"/>
      <c r="KQC143" s="33"/>
      <c r="KQD143" s="33"/>
      <c r="KQE143" s="33"/>
      <c r="KQF143" s="33"/>
      <c r="KQG143" s="33"/>
      <c r="KQH143" s="33"/>
      <c r="KQI143" s="33"/>
      <c r="KQJ143" s="33"/>
      <c r="KQK143" s="33"/>
      <c r="KQL143" s="33"/>
      <c r="KQM143" s="33"/>
      <c r="KQN143" s="33"/>
      <c r="KQO143" s="33"/>
      <c r="KQP143" s="33"/>
      <c r="KQQ143" s="33"/>
      <c r="KQR143" s="33"/>
      <c r="KQS143" s="33"/>
      <c r="KQT143" s="33"/>
      <c r="KQU143" s="33"/>
      <c r="KQV143" s="33"/>
      <c r="KQW143" s="33"/>
      <c r="KQX143" s="33"/>
      <c r="KQY143" s="33"/>
      <c r="KQZ143" s="33"/>
      <c r="KRA143" s="33"/>
      <c r="KRB143" s="33"/>
      <c r="KRC143" s="33"/>
      <c r="KRD143" s="33"/>
      <c r="KRE143" s="33"/>
      <c r="KRF143" s="33"/>
      <c r="KRG143" s="33"/>
      <c r="KRH143" s="33"/>
      <c r="KRI143" s="33"/>
      <c r="KRJ143" s="33"/>
      <c r="KRK143" s="33"/>
      <c r="KRL143" s="33"/>
      <c r="KRM143" s="33"/>
      <c r="KRN143" s="33"/>
      <c r="KRO143" s="33"/>
      <c r="KRP143" s="33"/>
      <c r="KRQ143" s="33"/>
      <c r="KRR143" s="33"/>
      <c r="KRS143" s="33"/>
      <c r="KRT143" s="33"/>
      <c r="KRU143" s="33"/>
      <c r="KRV143" s="33"/>
      <c r="KRW143" s="33"/>
      <c r="KRX143" s="33"/>
      <c r="KRY143" s="33"/>
      <c r="KRZ143" s="33"/>
      <c r="KSA143" s="33"/>
      <c r="KSB143" s="33"/>
      <c r="KSC143" s="33"/>
      <c r="KSD143" s="33"/>
      <c r="KSE143" s="33"/>
      <c r="KSF143" s="33"/>
      <c r="KSG143" s="33"/>
      <c r="KSH143" s="33"/>
      <c r="KSI143" s="33"/>
      <c r="KSJ143" s="33"/>
      <c r="KSK143" s="33"/>
      <c r="KSL143" s="33"/>
      <c r="KSM143" s="33"/>
      <c r="KSN143" s="33"/>
      <c r="KSO143" s="33"/>
      <c r="KSP143" s="33"/>
      <c r="KSQ143" s="33"/>
      <c r="KSR143" s="33"/>
      <c r="KSS143" s="33"/>
      <c r="KST143" s="33"/>
      <c r="KSU143" s="33"/>
      <c r="KSV143" s="33"/>
      <c r="KSW143" s="33"/>
      <c r="KSX143" s="33"/>
      <c r="KSY143" s="33"/>
      <c r="KSZ143" s="33"/>
      <c r="KTA143" s="33"/>
      <c r="KTB143" s="33"/>
      <c r="KTC143" s="33"/>
      <c r="KTD143" s="33"/>
      <c r="KTE143" s="33"/>
      <c r="KTF143" s="33"/>
      <c r="KTG143" s="33"/>
      <c r="KTH143" s="33"/>
      <c r="KTI143" s="33"/>
      <c r="KTJ143" s="33"/>
      <c r="KTK143" s="33"/>
      <c r="KTL143" s="33"/>
      <c r="KTM143" s="33"/>
      <c r="KTN143" s="33"/>
      <c r="KTO143" s="33"/>
      <c r="KTP143" s="33"/>
      <c r="KTQ143" s="33"/>
      <c r="KTR143" s="33"/>
      <c r="KTS143" s="33"/>
      <c r="KTT143" s="33"/>
      <c r="KTU143" s="33"/>
      <c r="KTV143" s="33"/>
      <c r="KTW143" s="33"/>
      <c r="KTX143" s="33"/>
      <c r="KTY143" s="33"/>
      <c r="KTZ143" s="33"/>
      <c r="KUA143" s="33"/>
      <c r="KUB143" s="33"/>
      <c r="KUC143" s="33"/>
      <c r="KUD143" s="33"/>
      <c r="KUE143" s="33"/>
      <c r="KUF143" s="33"/>
      <c r="KUG143" s="33"/>
      <c r="KUH143" s="33"/>
      <c r="KUI143" s="33"/>
      <c r="KUJ143" s="33"/>
      <c r="KUK143" s="33"/>
      <c r="KUL143" s="33"/>
      <c r="KUM143" s="33"/>
      <c r="KUN143" s="33"/>
      <c r="KUO143" s="33"/>
      <c r="KUP143" s="33"/>
      <c r="KUQ143" s="33"/>
      <c r="KUR143" s="33"/>
      <c r="KUS143" s="33"/>
      <c r="KUT143" s="33"/>
      <c r="KUU143" s="33"/>
      <c r="KUV143" s="33"/>
      <c r="KUW143" s="33"/>
      <c r="KUX143" s="33"/>
      <c r="KUY143" s="33"/>
      <c r="KUZ143" s="33"/>
      <c r="KVA143" s="33"/>
      <c r="KVB143" s="33"/>
      <c r="KVC143" s="33"/>
      <c r="KVD143" s="33"/>
      <c r="KVE143" s="33"/>
      <c r="KVF143" s="33"/>
      <c r="KVG143" s="33"/>
      <c r="KVH143" s="33"/>
      <c r="KVI143" s="33"/>
      <c r="KVJ143" s="33"/>
      <c r="KVK143" s="33"/>
      <c r="KVL143" s="33"/>
      <c r="KVM143" s="33"/>
      <c r="KVN143" s="33"/>
      <c r="KVO143" s="33"/>
      <c r="KVP143" s="33"/>
      <c r="KVQ143" s="33"/>
      <c r="KVR143" s="33"/>
      <c r="KVS143" s="33"/>
      <c r="KVT143" s="33"/>
      <c r="KVU143" s="33"/>
      <c r="KVV143" s="33"/>
      <c r="KVW143" s="33"/>
      <c r="KVX143" s="33"/>
      <c r="KVY143" s="33"/>
      <c r="KVZ143" s="33"/>
      <c r="KWA143" s="33"/>
      <c r="KWB143" s="33"/>
      <c r="KWC143" s="33"/>
      <c r="KWD143" s="33"/>
      <c r="KWE143" s="33"/>
      <c r="KWF143" s="33"/>
      <c r="KWG143" s="33"/>
      <c r="KWH143" s="33"/>
      <c r="KWI143" s="33"/>
      <c r="KWJ143" s="33"/>
      <c r="KWK143" s="33"/>
      <c r="KWL143" s="33"/>
      <c r="KWM143" s="33"/>
      <c r="KWN143" s="33"/>
      <c r="KWO143" s="33"/>
      <c r="KWP143" s="33"/>
      <c r="KWQ143" s="33"/>
      <c r="KWR143" s="33"/>
      <c r="KWS143" s="33"/>
      <c r="KWT143" s="33"/>
      <c r="KWU143" s="33"/>
      <c r="KWV143" s="33"/>
      <c r="KWW143" s="33"/>
      <c r="KWX143" s="33"/>
      <c r="KWY143" s="33"/>
      <c r="KWZ143" s="33"/>
      <c r="KXA143" s="33"/>
      <c r="KXB143" s="33"/>
      <c r="KXC143" s="33"/>
      <c r="KXD143" s="33"/>
      <c r="KXE143" s="33"/>
      <c r="KXF143" s="33"/>
      <c r="KXG143" s="33"/>
      <c r="KXH143" s="33"/>
      <c r="KXI143" s="33"/>
      <c r="KXJ143" s="33"/>
      <c r="KXK143" s="33"/>
      <c r="KXL143" s="33"/>
      <c r="KXM143" s="33"/>
      <c r="KXN143" s="33"/>
      <c r="KXO143" s="33"/>
      <c r="KXP143" s="33"/>
      <c r="KXQ143" s="33"/>
      <c r="KXR143" s="33"/>
      <c r="KXS143" s="33"/>
      <c r="KXT143" s="33"/>
      <c r="KXU143" s="33"/>
      <c r="KXV143" s="33"/>
      <c r="KXW143" s="33"/>
      <c r="KXX143" s="33"/>
      <c r="KXY143" s="33"/>
      <c r="KXZ143" s="33"/>
      <c r="KYA143" s="33"/>
      <c r="KYB143" s="33"/>
      <c r="KYC143" s="33"/>
      <c r="KYD143" s="33"/>
      <c r="KYE143" s="33"/>
      <c r="KYF143" s="33"/>
      <c r="KYG143" s="33"/>
      <c r="KYH143" s="33"/>
      <c r="KYI143" s="33"/>
      <c r="KYJ143" s="33"/>
      <c r="KYK143" s="33"/>
      <c r="KYL143" s="33"/>
      <c r="KYM143" s="33"/>
      <c r="KYN143" s="33"/>
      <c r="KYO143" s="33"/>
      <c r="KYP143" s="33"/>
      <c r="KYQ143" s="33"/>
      <c r="KYR143" s="33"/>
      <c r="KYS143" s="33"/>
      <c r="KYT143" s="33"/>
      <c r="KYU143" s="33"/>
      <c r="KYV143" s="33"/>
      <c r="KYW143" s="33"/>
      <c r="KYX143" s="33"/>
      <c r="KYY143" s="33"/>
      <c r="KYZ143" s="33"/>
      <c r="KZA143" s="33"/>
      <c r="KZB143" s="33"/>
      <c r="KZC143" s="33"/>
      <c r="KZD143" s="33"/>
      <c r="KZE143" s="33"/>
      <c r="KZF143" s="33"/>
      <c r="KZG143" s="33"/>
      <c r="KZH143" s="33"/>
      <c r="KZI143" s="33"/>
      <c r="KZJ143" s="33"/>
      <c r="KZK143" s="33"/>
      <c r="KZL143" s="33"/>
      <c r="KZM143" s="33"/>
      <c r="KZN143" s="33"/>
      <c r="KZO143" s="33"/>
      <c r="KZP143" s="33"/>
      <c r="KZQ143" s="33"/>
      <c r="KZR143" s="33"/>
      <c r="KZS143" s="33"/>
      <c r="KZT143" s="33"/>
      <c r="KZU143" s="33"/>
      <c r="KZV143" s="33"/>
      <c r="KZW143" s="33"/>
      <c r="KZX143" s="33"/>
      <c r="KZY143" s="33"/>
      <c r="KZZ143" s="33"/>
      <c r="LAA143" s="33"/>
      <c r="LAB143" s="33"/>
      <c r="LAC143" s="33"/>
      <c r="LAD143" s="33"/>
      <c r="LAE143" s="33"/>
      <c r="LAF143" s="33"/>
      <c r="LAG143" s="33"/>
      <c r="LAH143" s="33"/>
      <c r="LAI143" s="33"/>
      <c r="LAJ143" s="33"/>
      <c r="LAK143" s="33"/>
      <c r="LAL143" s="33"/>
      <c r="LAM143" s="33"/>
      <c r="LAN143" s="33"/>
      <c r="LAO143" s="33"/>
      <c r="LAP143" s="33"/>
      <c r="LAQ143" s="33"/>
      <c r="LAR143" s="33"/>
      <c r="LAS143" s="33"/>
      <c r="LAT143" s="33"/>
      <c r="LAU143" s="33"/>
      <c r="LAV143" s="33"/>
      <c r="LAW143" s="33"/>
      <c r="LAX143" s="33"/>
      <c r="LAY143" s="33"/>
      <c r="LAZ143" s="33"/>
      <c r="LBA143" s="33"/>
      <c r="LBB143" s="33"/>
      <c r="LBC143" s="33"/>
      <c r="LBD143" s="33"/>
      <c r="LBE143" s="33"/>
      <c r="LBF143" s="33"/>
      <c r="LBG143" s="33"/>
      <c r="LBH143" s="33"/>
      <c r="LBI143" s="33"/>
      <c r="LBJ143" s="33"/>
      <c r="LBK143" s="33"/>
      <c r="LBL143" s="33"/>
      <c r="LBM143" s="33"/>
      <c r="LBN143" s="33"/>
      <c r="LBO143" s="33"/>
      <c r="LBP143" s="33"/>
      <c r="LBQ143" s="33"/>
      <c r="LBR143" s="33"/>
      <c r="LBS143" s="33"/>
      <c r="LBT143" s="33"/>
      <c r="LBU143" s="33"/>
      <c r="LBV143" s="33"/>
      <c r="LBW143" s="33"/>
      <c r="LBX143" s="33"/>
      <c r="LBY143" s="33"/>
      <c r="LBZ143" s="33"/>
      <c r="LCA143" s="33"/>
      <c r="LCB143" s="33"/>
      <c r="LCC143" s="33"/>
      <c r="LCD143" s="33"/>
      <c r="LCE143" s="33"/>
      <c r="LCF143" s="33"/>
      <c r="LCG143" s="33"/>
      <c r="LCH143" s="33"/>
      <c r="LCI143" s="33"/>
      <c r="LCJ143" s="33"/>
      <c r="LCK143" s="33"/>
      <c r="LCL143" s="33"/>
      <c r="LCM143" s="33"/>
      <c r="LCN143" s="33"/>
      <c r="LCO143" s="33"/>
      <c r="LCP143" s="33"/>
      <c r="LCQ143" s="33"/>
      <c r="LCR143" s="33"/>
      <c r="LCS143" s="33"/>
      <c r="LCT143" s="33"/>
      <c r="LCU143" s="33"/>
      <c r="LCV143" s="33"/>
      <c r="LCW143" s="33"/>
      <c r="LCX143" s="33"/>
      <c r="LCY143" s="33"/>
      <c r="LCZ143" s="33"/>
      <c r="LDA143" s="33"/>
      <c r="LDB143" s="33"/>
      <c r="LDC143" s="33"/>
      <c r="LDD143" s="33"/>
      <c r="LDE143" s="33"/>
      <c r="LDF143" s="33"/>
      <c r="LDG143" s="33"/>
      <c r="LDH143" s="33"/>
      <c r="LDI143" s="33"/>
      <c r="LDJ143" s="33"/>
      <c r="LDK143" s="33"/>
      <c r="LDL143" s="33"/>
      <c r="LDM143" s="33"/>
      <c r="LDN143" s="33"/>
      <c r="LDO143" s="33"/>
      <c r="LDP143" s="33"/>
      <c r="LDQ143" s="33"/>
      <c r="LDR143" s="33"/>
      <c r="LDS143" s="33"/>
      <c r="LDT143" s="33"/>
      <c r="LDU143" s="33"/>
      <c r="LDV143" s="33"/>
      <c r="LDW143" s="33"/>
      <c r="LDX143" s="33"/>
      <c r="LDY143" s="33"/>
      <c r="LDZ143" s="33"/>
      <c r="LEA143" s="33"/>
      <c r="LEB143" s="33"/>
      <c r="LEC143" s="33"/>
      <c r="LED143" s="33"/>
      <c r="LEE143" s="33"/>
      <c r="LEF143" s="33"/>
      <c r="LEG143" s="33"/>
      <c r="LEH143" s="33"/>
      <c r="LEI143" s="33"/>
      <c r="LEJ143" s="33"/>
      <c r="LEK143" s="33"/>
      <c r="LEL143" s="33"/>
      <c r="LEM143" s="33"/>
      <c r="LEN143" s="33"/>
      <c r="LEO143" s="33"/>
      <c r="LEP143" s="33"/>
      <c r="LEQ143" s="33"/>
      <c r="LER143" s="33"/>
      <c r="LES143" s="33"/>
      <c r="LET143" s="33"/>
      <c r="LEU143" s="33"/>
      <c r="LEV143" s="33"/>
      <c r="LEW143" s="33"/>
      <c r="LEX143" s="33"/>
      <c r="LEY143" s="33"/>
      <c r="LEZ143" s="33"/>
      <c r="LFA143" s="33"/>
      <c r="LFB143" s="33"/>
      <c r="LFC143" s="33"/>
      <c r="LFD143" s="33"/>
      <c r="LFE143" s="33"/>
      <c r="LFF143" s="33"/>
      <c r="LFG143" s="33"/>
      <c r="LFH143" s="33"/>
      <c r="LFI143" s="33"/>
      <c r="LFJ143" s="33"/>
      <c r="LFK143" s="33"/>
      <c r="LFL143" s="33"/>
      <c r="LFM143" s="33"/>
      <c r="LFN143" s="33"/>
      <c r="LFO143" s="33"/>
      <c r="LFP143" s="33"/>
      <c r="LFQ143" s="33"/>
      <c r="LFR143" s="33"/>
      <c r="LFS143" s="33"/>
      <c r="LFT143" s="33"/>
      <c r="LFU143" s="33"/>
      <c r="LFV143" s="33"/>
      <c r="LFW143" s="33"/>
      <c r="LFX143" s="33"/>
      <c r="LFY143" s="33"/>
      <c r="LFZ143" s="33"/>
      <c r="LGA143" s="33"/>
      <c r="LGB143" s="33"/>
      <c r="LGC143" s="33"/>
      <c r="LGD143" s="33"/>
      <c r="LGE143" s="33"/>
      <c r="LGF143" s="33"/>
      <c r="LGG143" s="33"/>
      <c r="LGH143" s="33"/>
      <c r="LGI143" s="33"/>
      <c r="LGJ143" s="33"/>
      <c r="LGK143" s="33"/>
      <c r="LGL143" s="33"/>
      <c r="LGM143" s="33"/>
      <c r="LGN143" s="33"/>
      <c r="LGO143" s="33"/>
      <c r="LGP143" s="33"/>
      <c r="LGQ143" s="33"/>
      <c r="LGR143" s="33"/>
      <c r="LGS143" s="33"/>
      <c r="LGT143" s="33"/>
      <c r="LGU143" s="33"/>
      <c r="LGV143" s="33"/>
      <c r="LGW143" s="33"/>
      <c r="LGX143" s="33"/>
      <c r="LGY143" s="33"/>
      <c r="LGZ143" s="33"/>
      <c r="LHA143" s="33"/>
      <c r="LHB143" s="33"/>
      <c r="LHC143" s="33"/>
      <c r="LHD143" s="33"/>
      <c r="LHE143" s="33"/>
      <c r="LHF143" s="33"/>
      <c r="LHG143" s="33"/>
      <c r="LHH143" s="33"/>
      <c r="LHI143" s="33"/>
      <c r="LHJ143" s="33"/>
      <c r="LHK143" s="33"/>
      <c r="LHL143" s="33"/>
      <c r="LHM143" s="33"/>
      <c r="LHN143" s="33"/>
      <c r="LHO143" s="33"/>
      <c r="LHP143" s="33"/>
      <c r="LHQ143" s="33"/>
      <c r="LHR143" s="33"/>
      <c r="LHS143" s="33"/>
      <c r="LHT143" s="33"/>
      <c r="LHU143" s="33"/>
      <c r="LHV143" s="33"/>
      <c r="LHW143" s="33"/>
      <c r="LHX143" s="33"/>
      <c r="LHY143" s="33"/>
      <c r="LHZ143" s="33"/>
      <c r="LIA143" s="33"/>
      <c r="LIB143" s="33"/>
      <c r="LIC143" s="33"/>
      <c r="LID143" s="33"/>
      <c r="LIE143" s="33"/>
      <c r="LIF143" s="33"/>
      <c r="LIG143" s="33"/>
      <c r="LIH143" s="33"/>
      <c r="LII143" s="33"/>
      <c r="LIJ143" s="33"/>
      <c r="LIK143" s="33"/>
      <c r="LIL143" s="33"/>
      <c r="LIM143" s="33"/>
      <c r="LIN143" s="33"/>
      <c r="LIO143" s="33"/>
      <c r="LIP143" s="33"/>
      <c r="LIQ143" s="33"/>
      <c r="LIR143" s="33"/>
      <c r="LIS143" s="33"/>
      <c r="LIT143" s="33"/>
      <c r="LIU143" s="33"/>
      <c r="LIV143" s="33"/>
      <c r="LIW143" s="33"/>
      <c r="LIX143" s="33"/>
      <c r="LIY143" s="33"/>
      <c r="LIZ143" s="33"/>
      <c r="LJA143" s="33"/>
      <c r="LJB143" s="33"/>
      <c r="LJC143" s="33"/>
      <c r="LJD143" s="33"/>
      <c r="LJE143" s="33"/>
      <c r="LJF143" s="33"/>
      <c r="LJG143" s="33"/>
      <c r="LJH143" s="33"/>
      <c r="LJI143" s="33"/>
      <c r="LJJ143" s="33"/>
      <c r="LJK143" s="33"/>
      <c r="LJL143" s="33"/>
      <c r="LJM143" s="33"/>
      <c r="LJN143" s="33"/>
      <c r="LJO143" s="33"/>
      <c r="LJP143" s="33"/>
      <c r="LJQ143" s="33"/>
      <c r="LJR143" s="33"/>
      <c r="LJS143" s="33"/>
      <c r="LJT143" s="33"/>
      <c r="LJU143" s="33"/>
      <c r="LJV143" s="33"/>
      <c r="LJW143" s="33"/>
      <c r="LJX143" s="33"/>
      <c r="LJY143" s="33"/>
      <c r="LJZ143" s="33"/>
      <c r="LKA143" s="33"/>
      <c r="LKB143" s="33"/>
      <c r="LKC143" s="33"/>
      <c r="LKD143" s="33"/>
      <c r="LKE143" s="33"/>
      <c r="LKF143" s="33"/>
      <c r="LKG143" s="33"/>
      <c r="LKH143" s="33"/>
      <c r="LKI143" s="33"/>
      <c r="LKJ143" s="33"/>
      <c r="LKK143" s="33"/>
      <c r="LKL143" s="33"/>
      <c r="LKM143" s="33"/>
      <c r="LKN143" s="33"/>
      <c r="LKO143" s="33"/>
      <c r="LKP143" s="33"/>
      <c r="LKQ143" s="33"/>
      <c r="LKR143" s="33"/>
      <c r="LKS143" s="33"/>
      <c r="LKT143" s="33"/>
      <c r="LKU143" s="33"/>
      <c r="LKV143" s="33"/>
      <c r="LKW143" s="33"/>
      <c r="LKX143" s="33"/>
      <c r="LKY143" s="33"/>
      <c r="LKZ143" s="33"/>
      <c r="LLA143" s="33"/>
      <c r="LLB143" s="33"/>
      <c r="LLC143" s="33"/>
      <c r="LLD143" s="33"/>
      <c r="LLE143" s="33"/>
      <c r="LLF143" s="33"/>
      <c r="LLG143" s="33"/>
      <c r="LLH143" s="33"/>
      <c r="LLI143" s="33"/>
      <c r="LLJ143" s="33"/>
      <c r="LLK143" s="33"/>
      <c r="LLL143" s="33"/>
      <c r="LLM143" s="33"/>
      <c r="LLN143" s="33"/>
      <c r="LLO143" s="33"/>
      <c r="LLP143" s="33"/>
      <c r="LLQ143" s="33"/>
      <c r="LLR143" s="33"/>
      <c r="LLS143" s="33"/>
      <c r="LLT143" s="33"/>
      <c r="LLU143" s="33"/>
      <c r="LLV143" s="33"/>
      <c r="LLW143" s="33"/>
      <c r="LLX143" s="33"/>
      <c r="LLY143" s="33"/>
      <c r="LLZ143" s="33"/>
      <c r="LMA143" s="33"/>
      <c r="LMB143" s="33"/>
      <c r="LMC143" s="33"/>
      <c r="LMD143" s="33"/>
      <c r="LME143" s="33"/>
      <c r="LMF143" s="33"/>
      <c r="LMG143" s="33"/>
      <c r="LMH143" s="33"/>
      <c r="LMI143" s="33"/>
      <c r="LMJ143" s="33"/>
      <c r="LMK143" s="33"/>
      <c r="LML143" s="33"/>
      <c r="LMM143" s="33"/>
      <c r="LMN143" s="33"/>
      <c r="LMO143" s="33"/>
      <c r="LMP143" s="33"/>
      <c r="LMQ143" s="33"/>
      <c r="LMR143" s="33"/>
      <c r="LMS143" s="33"/>
      <c r="LMT143" s="33"/>
      <c r="LMU143" s="33"/>
      <c r="LMV143" s="33"/>
      <c r="LMW143" s="33"/>
      <c r="LMX143" s="33"/>
      <c r="LMY143" s="33"/>
      <c r="LMZ143" s="33"/>
      <c r="LNA143" s="33"/>
      <c r="LNB143" s="33"/>
      <c r="LNC143" s="33"/>
      <c r="LND143" s="33"/>
      <c r="LNE143" s="33"/>
      <c r="LNF143" s="33"/>
      <c r="LNG143" s="33"/>
      <c r="LNH143" s="33"/>
      <c r="LNI143" s="33"/>
      <c r="LNJ143" s="33"/>
      <c r="LNK143" s="33"/>
      <c r="LNL143" s="33"/>
      <c r="LNM143" s="33"/>
      <c r="LNN143" s="33"/>
      <c r="LNO143" s="33"/>
      <c r="LNP143" s="33"/>
      <c r="LNQ143" s="33"/>
      <c r="LNR143" s="33"/>
      <c r="LNS143" s="33"/>
      <c r="LNT143" s="33"/>
      <c r="LNU143" s="33"/>
      <c r="LNV143" s="33"/>
      <c r="LNW143" s="33"/>
      <c r="LNX143" s="33"/>
      <c r="LNY143" s="33"/>
      <c r="LNZ143" s="33"/>
      <c r="LOA143" s="33"/>
      <c r="LOB143" s="33"/>
      <c r="LOC143" s="33"/>
      <c r="LOD143" s="33"/>
      <c r="LOE143" s="33"/>
      <c r="LOF143" s="33"/>
      <c r="LOG143" s="33"/>
      <c r="LOH143" s="33"/>
      <c r="LOI143" s="33"/>
      <c r="LOJ143" s="33"/>
      <c r="LOK143" s="33"/>
      <c r="LOL143" s="33"/>
      <c r="LOM143" s="33"/>
      <c r="LON143" s="33"/>
      <c r="LOO143" s="33"/>
      <c r="LOP143" s="33"/>
      <c r="LOQ143" s="33"/>
      <c r="LOR143" s="33"/>
      <c r="LOS143" s="33"/>
      <c r="LOT143" s="33"/>
      <c r="LOU143" s="33"/>
      <c r="LOV143" s="33"/>
      <c r="LOW143" s="33"/>
      <c r="LOX143" s="33"/>
      <c r="LOY143" s="33"/>
      <c r="LOZ143" s="33"/>
      <c r="LPA143" s="33"/>
      <c r="LPB143" s="33"/>
      <c r="LPC143" s="33"/>
      <c r="LPD143" s="33"/>
      <c r="LPE143" s="33"/>
      <c r="LPF143" s="33"/>
      <c r="LPG143" s="33"/>
      <c r="LPH143" s="33"/>
      <c r="LPI143" s="33"/>
      <c r="LPJ143" s="33"/>
      <c r="LPK143" s="33"/>
      <c r="LPL143" s="33"/>
      <c r="LPM143" s="33"/>
      <c r="LPN143" s="33"/>
      <c r="LPO143" s="33"/>
      <c r="LPP143" s="33"/>
      <c r="LPQ143" s="33"/>
      <c r="LPR143" s="33"/>
      <c r="LPS143" s="33"/>
      <c r="LPT143" s="33"/>
      <c r="LPU143" s="33"/>
      <c r="LPV143" s="33"/>
      <c r="LPW143" s="33"/>
      <c r="LPX143" s="33"/>
      <c r="LPY143" s="33"/>
      <c r="LPZ143" s="33"/>
      <c r="LQA143" s="33"/>
      <c r="LQB143" s="33"/>
      <c r="LQC143" s="33"/>
      <c r="LQD143" s="33"/>
      <c r="LQE143" s="33"/>
      <c r="LQF143" s="33"/>
      <c r="LQG143" s="33"/>
      <c r="LQH143" s="33"/>
      <c r="LQI143" s="33"/>
      <c r="LQJ143" s="33"/>
      <c r="LQK143" s="33"/>
      <c r="LQL143" s="33"/>
      <c r="LQM143" s="33"/>
      <c r="LQN143" s="33"/>
      <c r="LQO143" s="33"/>
      <c r="LQP143" s="33"/>
      <c r="LQQ143" s="33"/>
      <c r="LQR143" s="33"/>
      <c r="LQS143" s="33"/>
      <c r="LQT143" s="33"/>
      <c r="LQU143" s="33"/>
      <c r="LQV143" s="33"/>
      <c r="LQW143" s="33"/>
      <c r="LQX143" s="33"/>
      <c r="LQY143" s="33"/>
      <c r="LQZ143" s="33"/>
      <c r="LRA143" s="33"/>
      <c r="LRB143" s="33"/>
      <c r="LRC143" s="33"/>
      <c r="LRD143" s="33"/>
      <c r="LRE143" s="33"/>
      <c r="LRF143" s="33"/>
      <c r="LRG143" s="33"/>
      <c r="LRH143" s="33"/>
      <c r="LRI143" s="33"/>
      <c r="LRJ143" s="33"/>
      <c r="LRK143" s="33"/>
      <c r="LRL143" s="33"/>
      <c r="LRM143" s="33"/>
      <c r="LRN143" s="33"/>
      <c r="LRO143" s="33"/>
      <c r="LRP143" s="33"/>
      <c r="LRQ143" s="33"/>
      <c r="LRR143" s="33"/>
      <c r="LRS143" s="33"/>
      <c r="LRT143" s="33"/>
      <c r="LRU143" s="33"/>
      <c r="LRV143" s="33"/>
      <c r="LRW143" s="33"/>
      <c r="LRX143" s="33"/>
      <c r="LRY143" s="33"/>
      <c r="LRZ143" s="33"/>
      <c r="LSA143" s="33"/>
      <c r="LSB143" s="33"/>
      <c r="LSC143" s="33"/>
      <c r="LSD143" s="33"/>
      <c r="LSE143" s="33"/>
      <c r="LSF143" s="33"/>
      <c r="LSG143" s="33"/>
      <c r="LSH143" s="33"/>
      <c r="LSI143" s="33"/>
      <c r="LSJ143" s="33"/>
      <c r="LSK143" s="33"/>
      <c r="LSL143" s="33"/>
      <c r="LSM143" s="33"/>
      <c r="LSN143" s="33"/>
      <c r="LSO143" s="33"/>
      <c r="LSP143" s="33"/>
      <c r="LSQ143" s="33"/>
      <c r="LSR143" s="33"/>
      <c r="LSS143" s="33"/>
      <c r="LST143" s="33"/>
      <c r="LSU143" s="33"/>
      <c r="LSV143" s="33"/>
      <c r="LSW143" s="33"/>
      <c r="LSX143" s="33"/>
      <c r="LSY143" s="33"/>
      <c r="LSZ143" s="33"/>
      <c r="LTA143" s="33"/>
      <c r="LTB143" s="33"/>
      <c r="LTC143" s="33"/>
      <c r="LTD143" s="33"/>
      <c r="LTE143" s="33"/>
      <c r="LTF143" s="33"/>
      <c r="LTG143" s="33"/>
      <c r="LTH143" s="33"/>
      <c r="LTI143" s="33"/>
      <c r="LTJ143" s="33"/>
      <c r="LTK143" s="33"/>
      <c r="LTL143" s="33"/>
      <c r="LTM143" s="33"/>
      <c r="LTN143" s="33"/>
      <c r="LTO143" s="33"/>
      <c r="LTP143" s="33"/>
      <c r="LTQ143" s="33"/>
      <c r="LTR143" s="33"/>
      <c r="LTS143" s="33"/>
      <c r="LTT143" s="33"/>
      <c r="LTU143" s="33"/>
      <c r="LTV143" s="33"/>
      <c r="LTW143" s="33"/>
      <c r="LTX143" s="33"/>
      <c r="LTY143" s="33"/>
      <c r="LTZ143" s="33"/>
      <c r="LUA143" s="33"/>
      <c r="LUB143" s="33"/>
      <c r="LUC143" s="33"/>
      <c r="LUD143" s="33"/>
      <c r="LUE143" s="33"/>
      <c r="LUF143" s="33"/>
      <c r="LUG143" s="33"/>
      <c r="LUH143" s="33"/>
      <c r="LUI143" s="33"/>
      <c r="LUJ143" s="33"/>
      <c r="LUK143" s="33"/>
      <c r="LUL143" s="33"/>
      <c r="LUM143" s="33"/>
      <c r="LUN143" s="33"/>
      <c r="LUO143" s="33"/>
      <c r="LUP143" s="33"/>
      <c r="LUQ143" s="33"/>
      <c r="LUR143" s="33"/>
      <c r="LUS143" s="33"/>
      <c r="LUT143" s="33"/>
      <c r="LUU143" s="33"/>
      <c r="LUV143" s="33"/>
      <c r="LUW143" s="33"/>
      <c r="LUX143" s="33"/>
      <c r="LUY143" s="33"/>
      <c r="LUZ143" s="33"/>
      <c r="LVA143" s="33"/>
      <c r="LVB143" s="33"/>
      <c r="LVC143" s="33"/>
      <c r="LVD143" s="33"/>
      <c r="LVE143" s="33"/>
      <c r="LVF143" s="33"/>
      <c r="LVG143" s="33"/>
      <c r="LVH143" s="33"/>
      <c r="LVI143" s="33"/>
      <c r="LVJ143" s="33"/>
      <c r="LVK143" s="33"/>
      <c r="LVL143" s="33"/>
      <c r="LVM143" s="33"/>
      <c r="LVN143" s="33"/>
      <c r="LVO143" s="33"/>
      <c r="LVP143" s="33"/>
      <c r="LVQ143" s="33"/>
      <c r="LVR143" s="33"/>
      <c r="LVS143" s="33"/>
      <c r="LVT143" s="33"/>
      <c r="LVU143" s="33"/>
      <c r="LVV143" s="33"/>
      <c r="LVW143" s="33"/>
      <c r="LVX143" s="33"/>
      <c r="LVY143" s="33"/>
      <c r="LVZ143" s="33"/>
      <c r="LWA143" s="33"/>
      <c r="LWB143" s="33"/>
      <c r="LWC143" s="33"/>
      <c r="LWD143" s="33"/>
      <c r="LWE143" s="33"/>
      <c r="LWF143" s="33"/>
      <c r="LWG143" s="33"/>
      <c r="LWH143" s="33"/>
      <c r="LWI143" s="33"/>
      <c r="LWJ143" s="33"/>
      <c r="LWK143" s="33"/>
      <c r="LWL143" s="33"/>
      <c r="LWM143" s="33"/>
      <c r="LWN143" s="33"/>
      <c r="LWO143" s="33"/>
      <c r="LWP143" s="33"/>
      <c r="LWQ143" s="33"/>
      <c r="LWR143" s="33"/>
      <c r="LWS143" s="33"/>
      <c r="LWT143" s="33"/>
      <c r="LWU143" s="33"/>
      <c r="LWV143" s="33"/>
      <c r="LWW143" s="33"/>
      <c r="LWX143" s="33"/>
      <c r="LWY143" s="33"/>
      <c r="LWZ143" s="33"/>
      <c r="LXA143" s="33"/>
      <c r="LXB143" s="33"/>
      <c r="LXC143" s="33"/>
      <c r="LXD143" s="33"/>
      <c r="LXE143" s="33"/>
      <c r="LXF143" s="33"/>
      <c r="LXG143" s="33"/>
      <c r="LXH143" s="33"/>
      <c r="LXI143" s="33"/>
      <c r="LXJ143" s="33"/>
      <c r="LXK143" s="33"/>
      <c r="LXL143" s="33"/>
      <c r="LXM143" s="33"/>
      <c r="LXN143" s="33"/>
      <c r="LXO143" s="33"/>
      <c r="LXP143" s="33"/>
      <c r="LXQ143" s="33"/>
      <c r="LXR143" s="33"/>
      <c r="LXS143" s="33"/>
      <c r="LXT143" s="33"/>
      <c r="LXU143" s="33"/>
      <c r="LXV143" s="33"/>
      <c r="LXW143" s="33"/>
      <c r="LXX143" s="33"/>
      <c r="LXY143" s="33"/>
      <c r="LXZ143" s="33"/>
      <c r="LYA143" s="33"/>
      <c r="LYB143" s="33"/>
      <c r="LYC143" s="33"/>
      <c r="LYD143" s="33"/>
      <c r="LYE143" s="33"/>
      <c r="LYF143" s="33"/>
      <c r="LYG143" s="33"/>
      <c r="LYH143" s="33"/>
      <c r="LYI143" s="33"/>
      <c r="LYJ143" s="33"/>
      <c r="LYK143" s="33"/>
      <c r="LYL143" s="33"/>
      <c r="LYM143" s="33"/>
      <c r="LYN143" s="33"/>
      <c r="LYO143" s="33"/>
      <c r="LYP143" s="33"/>
      <c r="LYQ143" s="33"/>
      <c r="LYR143" s="33"/>
      <c r="LYS143" s="33"/>
      <c r="LYT143" s="33"/>
      <c r="LYU143" s="33"/>
      <c r="LYV143" s="33"/>
      <c r="LYW143" s="33"/>
      <c r="LYX143" s="33"/>
      <c r="LYY143" s="33"/>
      <c r="LYZ143" s="33"/>
      <c r="LZA143" s="33"/>
      <c r="LZB143" s="33"/>
      <c r="LZC143" s="33"/>
      <c r="LZD143" s="33"/>
      <c r="LZE143" s="33"/>
      <c r="LZF143" s="33"/>
      <c r="LZG143" s="33"/>
      <c r="LZH143" s="33"/>
      <c r="LZI143" s="33"/>
      <c r="LZJ143" s="33"/>
      <c r="LZK143" s="33"/>
      <c r="LZL143" s="33"/>
      <c r="LZM143" s="33"/>
      <c r="LZN143" s="33"/>
      <c r="LZO143" s="33"/>
      <c r="LZP143" s="33"/>
      <c r="LZQ143" s="33"/>
      <c r="LZR143" s="33"/>
      <c r="LZS143" s="33"/>
      <c r="LZT143" s="33"/>
      <c r="LZU143" s="33"/>
      <c r="LZV143" s="33"/>
      <c r="LZW143" s="33"/>
      <c r="LZX143" s="33"/>
      <c r="LZY143" s="33"/>
      <c r="LZZ143" s="33"/>
      <c r="MAA143" s="33"/>
      <c r="MAB143" s="33"/>
      <c r="MAC143" s="33"/>
      <c r="MAD143" s="33"/>
      <c r="MAE143" s="33"/>
      <c r="MAF143" s="33"/>
      <c r="MAG143" s="33"/>
      <c r="MAH143" s="33"/>
      <c r="MAI143" s="33"/>
      <c r="MAJ143" s="33"/>
      <c r="MAK143" s="33"/>
      <c r="MAL143" s="33"/>
      <c r="MAM143" s="33"/>
      <c r="MAN143" s="33"/>
      <c r="MAO143" s="33"/>
      <c r="MAP143" s="33"/>
      <c r="MAQ143" s="33"/>
      <c r="MAR143" s="33"/>
      <c r="MAS143" s="33"/>
      <c r="MAT143" s="33"/>
      <c r="MAU143" s="33"/>
      <c r="MAV143" s="33"/>
      <c r="MAW143" s="33"/>
      <c r="MAX143" s="33"/>
      <c r="MAY143" s="33"/>
      <c r="MAZ143" s="33"/>
      <c r="MBA143" s="33"/>
      <c r="MBB143" s="33"/>
      <c r="MBC143" s="33"/>
      <c r="MBD143" s="33"/>
      <c r="MBE143" s="33"/>
      <c r="MBF143" s="33"/>
      <c r="MBG143" s="33"/>
      <c r="MBH143" s="33"/>
      <c r="MBI143" s="33"/>
      <c r="MBJ143" s="33"/>
      <c r="MBK143" s="33"/>
      <c r="MBL143" s="33"/>
      <c r="MBM143" s="33"/>
      <c r="MBN143" s="33"/>
      <c r="MBO143" s="33"/>
      <c r="MBP143" s="33"/>
      <c r="MBQ143" s="33"/>
      <c r="MBR143" s="33"/>
      <c r="MBS143" s="33"/>
      <c r="MBT143" s="33"/>
      <c r="MBU143" s="33"/>
      <c r="MBV143" s="33"/>
      <c r="MBW143" s="33"/>
      <c r="MBX143" s="33"/>
      <c r="MBY143" s="33"/>
      <c r="MBZ143" s="33"/>
      <c r="MCA143" s="33"/>
      <c r="MCB143" s="33"/>
      <c r="MCC143" s="33"/>
      <c r="MCD143" s="33"/>
      <c r="MCE143" s="33"/>
      <c r="MCF143" s="33"/>
      <c r="MCG143" s="33"/>
      <c r="MCH143" s="33"/>
      <c r="MCI143" s="33"/>
      <c r="MCJ143" s="33"/>
      <c r="MCK143" s="33"/>
      <c r="MCL143" s="33"/>
      <c r="MCM143" s="33"/>
      <c r="MCN143" s="33"/>
      <c r="MCO143" s="33"/>
      <c r="MCP143" s="33"/>
      <c r="MCQ143" s="33"/>
      <c r="MCR143" s="33"/>
      <c r="MCS143" s="33"/>
      <c r="MCT143" s="33"/>
      <c r="MCU143" s="33"/>
      <c r="MCV143" s="33"/>
      <c r="MCW143" s="33"/>
      <c r="MCX143" s="33"/>
      <c r="MCY143" s="33"/>
      <c r="MCZ143" s="33"/>
      <c r="MDA143" s="33"/>
      <c r="MDB143" s="33"/>
      <c r="MDC143" s="33"/>
      <c r="MDD143" s="33"/>
      <c r="MDE143" s="33"/>
      <c r="MDF143" s="33"/>
      <c r="MDG143" s="33"/>
      <c r="MDH143" s="33"/>
      <c r="MDI143" s="33"/>
      <c r="MDJ143" s="33"/>
      <c r="MDK143" s="33"/>
      <c r="MDL143" s="33"/>
      <c r="MDM143" s="33"/>
      <c r="MDN143" s="33"/>
      <c r="MDO143" s="33"/>
      <c r="MDP143" s="33"/>
      <c r="MDQ143" s="33"/>
      <c r="MDR143" s="33"/>
      <c r="MDS143" s="33"/>
      <c r="MDT143" s="33"/>
      <c r="MDU143" s="33"/>
      <c r="MDV143" s="33"/>
      <c r="MDW143" s="33"/>
      <c r="MDX143" s="33"/>
      <c r="MDY143" s="33"/>
      <c r="MDZ143" s="33"/>
      <c r="MEA143" s="33"/>
      <c r="MEB143" s="33"/>
      <c r="MEC143" s="33"/>
      <c r="MED143" s="33"/>
      <c r="MEE143" s="33"/>
      <c r="MEF143" s="33"/>
      <c r="MEG143" s="33"/>
      <c r="MEH143" s="33"/>
      <c r="MEI143" s="33"/>
      <c r="MEJ143" s="33"/>
      <c r="MEK143" s="33"/>
      <c r="MEL143" s="33"/>
      <c r="MEM143" s="33"/>
      <c r="MEN143" s="33"/>
      <c r="MEO143" s="33"/>
      <c r="MEP143" s="33"/>
      <c r="MEQ143" s="33"/>
      <c r="MER143" s="33"/>
      <c r="MES143" s="33"/>
      <c r="MET143" s="33"/>
      <c r="MEU143" s="33"/>
      <c r="MEV143" s="33"/>
      <c r="MEW143" s="33"/>
      <c r="MEX143" s="33"/>
      <c r="MEY143" s="33"/>
      <c r="MEZ143" s="33"/>
      <c r="MFA143" s="33"/>
      <c r="MFB143" s="33"/>
      <c r="MFC143" s="33"/>
      <c r="MFD143" s="33"/>
      <c r="MFE143" s="33"/>
      <c r="MFF143" s="33"/>
      <c r="MFG143" s="33"/>
      <c r="MFH143" s="33"/>
      <c r="MFI143" s="33"/>
      <c r="MFJ143" s="33"/>
      <c r="MFK143" s="33"/>
      <c r="MFL143" s="33"/>
      <c r="MFM143" s="33"/>
      <c r="MFN143" s="33"/>
      <c r="MFO143" s="33"/>
      <c r="MFP143" s="33"/>
      <c r="MFQ143" s="33"/>
      <c r="MFR143" s="33"/>
      <c r="MFS143" s="33"/>
      <c r="MFT143" s="33"/>
      <c r="MFU143" s="33"/>
      <c r="MFV143" s="33"/>
      <c r="MFW143" s="33"/>
      <c r="MFX143" s="33"/>
      <c r="MFY143" s="33"/>
      <c r="MFZ143" s="33"/>
      <c r="MGA143" s="33"/>
      <c r="MGB143" s="33"/>
      <c r="MGC143" s="33"/>
      <c r="MGD143" s="33"/>
      <c r="MGE143" s="33"/>
      <c r="MGF143" s="33"/>
      <c r="MGG143" s="33"/>
      <c r="MGH143" s="33"/>
      <c r="MGI143" s="33"/>
      <c r="MGJ143" s="33"/>
      <c r="MGK143" s="33"/>
      <c r="MGL143" s="33"/>
      <c r="MGM143" s="33"/>
      <c r="MGN143" s="33"/>
      <c r="MGO143" s="33"/>
      <c r="MGP143" s="33"/>
      <c r="MGQ143" s="33"/>
      <c r="MGR143" s="33"/>
      <c r="MGS143" s="33"/>
      <c r="MGT143" s="33"/>
      <c r="MGU143" s="33"/>
      <c r="MGV143" s="33"/>
      <c r="MGW143" s="33"/>
      <c r="MGX143" s="33"/>
      <c r="MGY143" s="33"/>
      <c r="MGZ143" s="33"/>
      <c r="MHA143" s="33"/>
      <c r="MHB143" s="33"/>
      <c r="MHC143" s="33"/>
      <c r="MHD143" s="33"/>
      <c r="MHE143" s="33"/>
      <c r="MHF143" s="33"/>
      <c r="MHG143" s="33"/>
      <c r="MHH143" s="33"/>
      <c r="MHI143" s="33"/>
      <c r="MHJ143" s="33"/>
      <c r="MHK143" s="33"/>
      <c r="MHL143" s="33"/>
      <c r="MHM143" s="33"/>
      <c r="MHN143" s="33"/>
      <c r="MHO143" s="33"/>
      <c r="MHP143" s="33"/>
      <c r="MHQ143" s="33"/>
      <c r="MHR143" s="33"/>
      <c r="MHS143" s="33"/>
      <c r="MHT143" s="33"/>
      <c r="MHU143" s="33"/>
      <c r="MHV143" s="33"/>
      <c r="MHW143" s="33"/>
      <c r="MHX143" s="33"/>
      <c r="MHY143" s="33"/>
      <c r="MHZ143" s="33"/>
      <c r="MIA143" s="33"/>
      <c r="MIB143" s="33"/>
      <c r="MIC143" s="33"/>
      <c r="MID143" s="33"/>
      <c r="MIE143" s="33"/>
      <c r="MIF143" s="33"/>
      <c r="MIG143" s="33"/>
      <c r="MIH143" s="33"/>
      <c r="MII143" s="33"/>
      <c r="MIJ143" s="33"/>
      <c r="MIK143" s="33"/>
      <c r="MIL143" s="33"/>
      <c r="MIM143" s="33"/>
      <c r="MIN143" s="33"/>
      <c r="MIO143" s="33"/>
      <c r="MIP143" s="33"/>
      <c r="MIQ143" s="33"/>
      <c r="MIR143" s="33"/>
      <c r="MIS143" s="33"/>
      <c r="MIT143" s="33"/>
      <c r="MIU143" s="33"/>
      <c r="MIV143" s="33"/>
      <c r="MIW143" s="33"/>
      <c r="MIX143" s="33"/>
      <c r="MIY143" s="33"/>
      <c r="MIZ143" s="33"/>
      <c r="MJA143" s="33"/>
      <c r="MJB143" s="33"/>
      <c r="MJC143" s="33"/>
      <c r="MJD143" s="33"/>
      <c r="MJE143" s="33"/>
      <c r="MJF143" s="33"/>
      <c r="MJG143" s="33"/>
      <c r="MJH143" s="33"/>
      <c r="MJI143" s="33"/>
      <c r="MJJ143" s="33"/>
      <c r="MJK143" s="33"/>
      <c r="MJL143" s="33"/>
      <c r="MJM143" s="33"/>
      <c r="MJN143" s="33"/>
      <c r="MJO143" s="33"/>
      <c r="MJP143" s="33"/>
      <c r="MJQ143" s="33"/>
      <c r="MJR143" s="33"/>
      <c r="MJS143" s="33"/>
      <c r="MJT143" s="33"/>
      <c r="MJU143" s="33"/>
      <c r="MJV143" s="33"/>
      <c r="MJW143" s="33"/>
      <c r="MJX143" s="33"/>
      <c r="MJY143" s="33"/>
      <c r="MJZ143" s="33"/>
      <c r="MKA143" s="33"/>
      <c r="MKB143" s="33"/>
      <c r="MKC143" s="33"/>
      <c r="MKD143" s="33"/>
      <c r="MKE143" s="33"/>
      <c r="MKF143" s="33"/>
      <c r="MKG143" s="33"/>
      <c r="MKH143" s="33"/>
      <c r="MKI143" s="33"/>
      <c r="MKJ143" s="33"/>
      <c r="MKK143" s="33"/>
      <c r="MKL143" s="33"/>
      <c r="MKM143" s="33"/>
      <c r="MKN143" s="33"/>
      <c r="MKO143" s="33"/>
      <c r="MKP143" s="33"/>
      <c r="MKQ143" s="33"/>
      <c r="MKR143" s="33"/>
      <c r="MKS143" s="33"/>
      <c r="MKT143" s="33"/>
      <c r="MKU143" s="33"/>
      <c r="MKV143" s="33"/>
      <c r="MKW143" s="33"/>
      <c r="MKX143" s="33"/>
      <c r="MKY143" s="33"/>
      <c r="MKZ143" s="33"/>
      <c r="MLA143" s="33"/>
      <c r="MLB143" s="33"/>
      <c r="MLC143" s="33"/>
      <c r="MLD143" s="33"/>
      <c r="MLE143" s="33"/>
      <c r="MLF143" s="33"/>
      <c r="MLG143" s="33"/>
      <c r="MLH143" s="33"/>
      <c r="MLI143" s="33"/>
      <c r="MLJ143" s="33"/>
      <c r="MLK143" s="33"/>
      <c r="MLL143" s="33"/>
      <c r="MLM143" s="33"/>
      <c r="MLN143" s="33"/>
      <c r="MLO143" s="33"/>
      <c r="MLP143" s="33"/>
      <c r="MLQ143" s="33"/>
      <c r="MLR143" s="33"/>
      <c r="MLS143" s="33"/>
      <c r="MLT143" s="33"/>
      <c r="MLU143" s="33"/>
      <c r="MLV143" s="33"/>
      <c r="MLW143" s="33"/>
      <c r="MLX143" s="33"/>
      <c r="MLY143" s="33"/>
      <c r="MLZ143" s="33"/>
      <c r="MMA143" s="33"/>
      <c r="MMB143" s="33"/>
      <c r="MMC143" s="33"/>
      <c r="MMD143" s="33"/>
      <c r="MME143" s="33"/>
      <c r="MMF143" s="33"/>
      <c r="MMG143" s="33"/>
      <c r="MMH143" s="33"/>
      <c r="MMI143" s="33"/>
      <c r="MMJ143" s="33"/>
      <c r="MMK143" s="33"/>
      <c r="MML143" s="33"/>
      <c r="MMM143" s="33"/>
      <c r="MMN143" s="33"/>
      <c r="MMO143" s="33"/>
      <c r="MMP143" s="33"/>
      <c r="MMQ143" s="33"/>
      <c r="MMR143" s="33"/>
      <c r="MMS143" s="33"/>
      <c r="MMT143" s="33"/>
      <c r="MMU143" s="33"/>
      <c r="MMV143" s="33"/>
      <c r="MMW143" s="33"/>
      <c r="MMX143" s="33"/>
      <c r="MMY143" s="33"/>
      <c r="MMZ143" s="33"/>
      <c r="MNA143" s="33"/>
      <c r="MNB143" s="33"/>
      <c r="MNC143" s="33"/>
      <c r="MND143" s="33"/>
      <c r="MNE143" s="33"/>
      <c r="MNF143" s="33"/>
      <c r="MNG143" s="33"/>
      <c r="MNH143" s="33"/>
      <c r="MNI143" s="33"/>
      <c r="MNJ143" s="33"/>
      <c r="MNK143" s="33"/>
      <c r="MNL143" s="33"/>
      <c r="MNM143" s="33"/>
      <c r="MNN143" s="33"/>
      <c r="MNO143" s="33"/>
      <c r="MNP143" s="33"/>
      <c r="MNQ143" s="33"/>
      <c r="MNR143" s="33"/>
      <c r="MNS143" s="33"/>
      <c r="MNT143" s="33"/>
      <c r="MNU143" s="33"/>
      <c r="MNV143" s="33"/>
      <c r="MNW143" s="33"/>
      <c r="MNX143" s="33"/>
      <c r="MNY143" s="33"/>
      <c r="MNZ143" s="33"/>
      <c r="MOA143" s="33"/>
      <c r="MOB143" s="33"/>
      <c r="MOC143" s="33"/>
      <c r="MOD143" s="33"/>
      <c r="MOE143" s="33"/>
      <c r="MOF143" s="33"/>
      <c r="MOG143" s="33"/>
      <c r="MOH143" s="33"/>
      <c r="MOI143" s="33"/>
      <c r="MOJ143" s="33"/>
      <c r="MOK143" s="33"/>
      <c r="MOL143" s="33"/>
      <c r="MOM143" s="33"/>
      <c r="MON143" s="33"/>
      <c r="MOO143" s="33"/>
      <c r="MOP143" s="33"/>
      <c r="MOQ143" s="33"/>
      <c r="MOR143" s="33"/>
      <c r="MOS143" s="33"/>
      <c r="MOT143" s="33"/>
      <c r="MOU143" s="33"/>
      <c r="MOV143" s="33"/>
      <c r="MOW143" s="33"/>
      <c r="MOX143" s="33"/>
      <c r="MOY143" s="33"/>
      <c r="MOZ143" s="33"/>
      <c r="MPA143" s="33"/>
      <c r="MPB143" s="33"/>
      <c r="MPC143" s="33"/>
      <c r="MPD143" s="33"/>
      <c r="MPE143" s="33"/>
      <c r="MPF143" s="33"/>
      <c r="MPG143" s="33"/>
      <c r="MPH143" s="33"/>
      <c r="MPI143" s="33"/>
      <c r="MPJ143" s="33"/>
      <c r="MPK143" s="33"/>
      <c r="MPL143" s="33"/>
      <c r="MPM143" s="33"/>
      <c r="MPN143" s="33"/>
      <c r="MPO143" s="33"/>
      <c r="MPP143" s="33"/>
      <c r="MPQ143" s="33"/>
      <c r="MPR143" s="33"/>
      <c r="MPS143" s="33"/>
      <c r="MPT143" s="33"/>
      <c r="MPU143" s="33"/>
      <c r="MPV143" s="33"/>
      <c r="MPW143" s="33"/>
      <c r="MPX143" s="33"/>
      <c r="MPY143" s="33"/>
      <c r="MPZ143" s="33"/>
      <c r="MQA143" s="33"/>
      <c r="MQB143" s="33"/>
      <c r="MQC143" s="33"/>
      <c r="MQD143" s="33"/>
      <c r="MQE143" s="33"/>
      <c r="MQF143" s="33"/>
      <c r="MQG143" s="33"/>
      <c r="MQH143" s="33"/>
      <c r="MQI143" s="33"/>
      <c r="MQJ143" s="33"/>
      <c r="MQK143" s="33"/>
      <c r="MQL143" s="33"/>
      <c r="MQM143" s="33"/>
      <c r="MQN143" s="33"/>
      <c r="MQO143" s="33"/>
      <c r="MQP143" s="33"/>
      <c r="MQQ143" s="33"/>
      <c r="MQR143" s="33"/>
      <c r="MQS143" s="33"/>
      <c r="MQT143" s="33"/>
      <c r="MQU143" s="33"/>
      <c r="MQV143" s="33"/>
      <c r="MQW143" s="33"/>
      <c r="MQX143" s="33"/>
      <c r="MQY143" s="33"/>
      <c r="MQZ143" s="33"/>
      <c r="MRA143" s="33"/>
      <c r="MRB143" s="33"/>
      <c r="MRC143" s="33"/>
      <c r="MRD143" s="33"/>
      <c r="MRE143" s="33"/>
      <c r="MRF143" s="33"/>
      <c r="MRG143" s="33"/>
      <c r="MRH143" s="33"/>
      <c r="MRI143" s="33"/>
      <c r="MRJ143" s="33"/>
      <c r="MRK143" s="33"/>
      <c r="MRL143" s="33"/>
      <c r="MRM143" s="33"/>
      <c r="MRN143" s="33"/>
      <c r="MRO143" s="33"/>
      <c r="MRP143" s="33"/>
      <c r="MRQ143" s="33"/>
      <c r="MRR143" s="33"/>
      <c r="MRS143" s="33"/>
      <c r="MRT143" s="33"/>
      <c r="MRU143" s="33"/>
      <c r="MRV143" s="33"/>
      <c r="MRW143" s="33"/>
      <c r="MRX143" s="33"/>
      <c r="MRY143" s="33"/>
      <c r="MRZ143" s="33"/>
      <c r="MSA143" s="33"/>
      <c r="MSB143" s="33"/>
      <c r="MSC143" s="33"/>
      <c r="MSD143" s="33"/>
      <c r="MSE143" s="33"/>
      <c r="MSF143" s="33"/>
      <c r="MSG143" s="33"/>
      <c r="MSH143" s="33"/>
      <c r="MSI143" s="33"/>
      <c r="MSJ143" s="33"/>
      <c r="MSK143" s="33"/>
      <c r="MSL143" s="33"/>
      <c r="MSM143" s="33"/>
      <c r="MSN143" s="33"/>
      <c r="MSO143" s="33"/>
      <c r="MSP143" s="33"/>
      <c r="MSQ143" s="33"/>
      <c r="MSR143" s="33"/>
      <c r="MSS143" s="33"/>
      <c r="MST143" s="33"/>
      <c r="MSU143" s="33"/>
      <c r="MSV143" s="33"/>
      <c r="MSW143" s="33"/>
      <c r="MSX143" s="33"/>
      <c r="MSY143" s="33"/>
      <c r="MSZ143" s="33"/>
      <c r="MTA143" s="33"/>
      <c r="MTB143" s="33"/>
      <c r="MTC143" s="33"/>
      <c r="MTD143" s="33"/>
      <c r="MTE143" s="33"/>
      <c r="MTF143" s="33"/>
      <c r="MTG143" s="33"/>
      <c r="MTH143" s="33"/>
      <c r="MTI143" s="33"/>
      <c r="MTJ143" s="33"/>
      <c r="MTK143" s="33"/>
      <c r="MTL143" s="33"/>
      <c r="MTM143" s="33"/>
      <c r="MTN143" s="33"/>
      <c r="MTO143" s="33"/>
      <c r="MTP143" s="33"/>
      <c r="MTQ143" s="33"/>
      <c r="MTR143" s="33"/>
      <c r="MTS143" s="33"/>
      <c r="MTT143" s="33"/>
      <c r="MTU143" s="33"/>
      <c r="MTV143" s="33"/>
      <c r="MTW143" s="33"/>
      <c r="MTX143" s="33"/>
      <c r="MTY143" s="33"/>
      <c r="MTZ143" s="33"/>
      <c r="MUA143" s="33"/>
      <c r="MUB143" s="33"/>
      <c r="MUC143" s="33"/>
      <c r="MUD143" s="33"/>
      <c r="MUE143" s="33"/>
      <c r="MUF143" s="33"/>
      <c r="MUG143" s="33"/>
      <c r="MUH143" s="33"/>
      <c r="MUI143" s="33"/>
      <c r="MUJ143" s="33"/>
      <c r="MUK143" s="33"/>
      <c r="MUL143" s="33"/>
      <c r="MUM143" s="33"/>
      <c r="MUN143" s="33"/>
      <c r="MUO143" s="33"/>
      <c r="MUP143" s="33"/>
      <c r="MUQ143" s="33"/>
      <c r="MUR143" s="33"/>
      <c r="MUS143" s="33"/>
      <c r="MUT143" s="33"/>
      <c r="MUU143" s="33"/>
      <c r="MUV143" s="33"/>
      <c r="MUW143" s="33"/>
      <c r="MUX143" s="33"/>
      <c r="MUY143" s="33"/>
      <c r="MUZ143" s="33"/>
      <c r="MVA143" s="33"/>
      <c r="MVB143" s="33"/>
      <c r="MVC143" s="33"/>
      <c r="MVD143" s="33"/>
      <c r="MVE143" s="33"/>
      <c r="MVF143" s="33"/>
      <c r="MVG143" s="33"/>
      <c r="MVH143" s="33"/>
      <c r="MVI143" s="33"/>
      <c r="MVJ143" s="33"/>
      <c r="MVK143" s="33"/>
      <c r="MVL143" s="33"/>
      <c r="MVM143" s="33"/>
      <c r="MVN143" s="33"/>
      <c r="MVO143" s="33"/>
      <c r="MVP143" s="33"/>
      <c r="MVQ143" s="33"/>
      <c r="MVR143" s="33"/>
      <c r="MVS143" s="33"/>
      <c r="MVT143" s="33"/>
      <c r="MVU143" s="33"/>
      <c r="MVV143" s="33"/>
      <c r="MVW143" s="33"/>
      <c r="MVX143" s="33"/>
      <c r="MVY143" s="33"/>
      <c r="MVZ143" s="33"/>
      <c r="MWA143" s="33"/>
      <c r="MWB143" s="33"/>
      <c r="MWC143" s="33"/>
      <c r="MWD143" s="33"/>
      <c r="MWE143" s="33"/>
      <c r="MWF143" s="33"/>
      <c r="MWG143" s="33"/>
      <c r="MWH143" s="33"/>
      <c r="MWI143" s="33"/>
      <c r="MWJ143" s="33"/>
      <c r="MWK143" s="33"/>
      <c r="MWL143" s="33"/>
      <c r="MWM143" s="33"/>
      <c r="MWN143" s="33"/>
      <c r="MWO143" s="33"/>
      <c r="MWP143" s="33"/>
      <c r="MWQ143" s="33"/>
      <c r="MWR143" s="33"/>
      <c r="MWS143" s="33"/>
      <c r="MWT143" s="33"/>
      <c r="MWU143" s="33"/>
      <c r="MWV143" s="33"/>
      <c r="MWW143" s="33"/>
      <c r="MWX143" s="33"/>
      <c r="MWY143" s="33"/>
      <c r="MWZ143" s="33"/>
      <c r="MXA143" s="33"/>
      <c r="MXB143" s="33"/>
      <c r="MXC143" s="33"/>
      <c r="MXD143" s="33"/>
      <c r="MXE143" s="33"/>
      <c r="MXF143" s="33"/>
      <c r="MXG143" s="33"/>
      <c r="MXH143" s="33"/>
      <c r="MXI143" s="33"/>
      <c r="MXJ143" s="33"/>
      <c r="MXK143" s="33"/>
      <c r="MXL143" s="33"/>
      <c r="MXM143" s="33"/>
      <c r="MXN143" s="33"/>
      <c r="MXO143" s="33"/>
      <c r="MXP143" s="33"/>
      <c r="MXQ143" s="33"/>
      <c r="MXR143" s="33"/>
      <c r="MXS143" s="33"/>
      <c r="MXT143" s="33"/>
      <c r="MXU143" s="33"/>
      <c r="MXV143" s="33"/>
      <c r="MXW143" s="33"/>
      <c r="MXX143" s="33"/>
      <c r="MXY143" s="33"/>
      <c r="MXZ143" s="33"/>
      <c r="MYA143" s="33"/>
      <c r="MYB143" s="33"/>
      <c r="MYC143" s="33"/>
      <c r="MYD143" s="33"/>
      <c r="MYE143" s="33"/>
      <c r="MYF143" s="33"/>
      <c r="MYG143" s="33"/>
      <c r="MYH143" s="33"/>
      <c r="MYI143" s="33"/>
      <c r="MYJ143" s="33"/>
      <c r="MYK143" s="33"/>
      <c r="MYL143" s="33"/>
      <c r="MYM143" s="33"/>
      <c r="MYN143" s="33"/>
      <c r="MYO143" s="33"/>
      <c r="MYP143" s="33"/>
      <c r="MYQ143" s="33"/>
      <c r="MYR143" s="33"/>
      <c r="MYS143" s="33"/>
      <c r="MYT143" s="33"/>
      <c r="MYU143" s="33"/>
      <c r="MYV143" s="33"/>
      <c r="MYW143" s="33"/>
      <c r="MYX143" s="33"/>
      <c r="MYY143" s="33"/>
      <c r="MYZ143" s="33"/>
      <c r="MZA143" s="33"/>
      <c r="MZB143" s="33"/>
      <c r="MZC143" s="33"/>
      <c r="MZD143" s="33"/>
      <c r="MZE143" s="33"/>
      <c r="MZF143" s="33"/>
      <c r="MZG143" s="33"/>
      <c r="MZH143" s="33"/>
      <c r="MZI143" s="33"/>
      <c r="MZJ143" s="33"/>
      <c r="MZK143" s="33"/>
      <c r="MZL143" s="33"/>
      <c r="MZM143" s="33"/>
      <c r="MZN143" s="33"/>
      <c r="MZO143" s="33"/>
      <c r="MZP143" s="33"/>
      <c r="MZQ143" s="33"/>
      <c r="MZR143" s="33"/>
      <c r="MZS143" s="33"/>
      <c r="MZT143" s="33"/>
      <c r="MZU143" s="33"/>
      <c r="MZV143" s="33"/>
      <c r="MZW143" s="33"/>
      <c r="MZX143" s="33"/>
      <c r="MZY143" s="33"/>
      <c r="MZZ143" s="33"/>
      <c r="NAA143" s="33"/>
      <c r="NAB143" s="33"/>
      <c r="NAC143" s="33"/>
      <c r="NAD143" s="33"/>
      <c r="NAE143" s="33"/>
      <c r="NAF143" s="33"/>
      <c r="NAG143" s="33"/>
      <c r="NAH143" s="33"/>
      <c r="NAI143" s="33"/>
      <c r="NAJ143" s="33"/>
      <c r="NAK143" s="33"/>
      <c r="NAL143" s="33"/>
      <c r="NAM143" s="33"/>
      <c r="NAN143" s="33"/>
      <c r="NAO143" s="33"/>
      <c r="NAP143" s="33"/>
      <c r="NAQ143" s="33"/>
      <c r="NAR143" s="33"/>
      <c r="NAS143" s="33"/>
      <c r="NAT143" s="33"/>
      <c r="NAU143" s="33"/>
      <c r="NAV143" s="33"/>
      <c r="NAW143" s="33"/>
      <c r="NAX143" s="33"/>
      <c r="NAY143" s="33"/>
      <c r="NAZ143" s="33"/>
      <c r="NBA143" s="33"/>
      <c r="NBB143" s="33"/>
      <c r="NBC143" s="33"/>
      <c r="NBD143" s="33"/>
      <c r="NBE143" s="33"/>
      <c r="NBF143" s="33"/>
      <c r="NBG143" s="33"/>
      <c r="NBH143" s="33"/>
      <c r="NBI143" s="33"/>
      <c r="NBJ143" s="33"/>
      <c r="NBK143" s="33"/>
      <c r="NBL143" s="33"/>
      <c r="NBM143" s="33"/>
      <c r="NBN143" s="33"/>
      <c r="NBO143" s="33"/>
      <c r="NBP143" s="33"/>
      <c r="NBQ143" s="33"/>
      <c r="NBR143" s="33"/>
      <c r="NBS143" s="33"/>
      <c r="NBT143" s="33"/>
      <c r="NBU143" s="33"/>
      <c r="NBV143" s="33"/>
      <c r="NBW143" s="33"/>
      <c r="NBX143" s="33"/>
      <c r="NBY143" s="33"/>
      <c r="NBZ143" s="33"/>
      <c r="NCA143" s="33"/>
      <c r="NCB143" s="33"/>
      <c r="NCC143" s="33"/>
      <c r="NCD143" s="33"/>
      <c r="NCE143" s="33"/>
      <c r="NCF143" s="33"/>
      <c r="NCG143" s="33"/>
      <c r="NCH143" s="33"/>
      <c r="NCI143" s="33"/>
      <c r="NCJ143" s="33"/>
      <c r="NCK143" s="33"/>
      <c r="NCL143" s="33"/>
      <c r="NCM143" s="33"/>
      <c r="NCN143" s="33"/>
      <c r="NCO143" s="33"/>
      <c r="NCP143" s="33"/>
      <c r="NCQ143" s="33"/>
      <c r="NCR143" s="33"/>
      <c r="NCS143" s="33"/>
      <c r="NCT143" s="33"/>
      <c r="NCU143" s="33"/>
      <c r="NCV143" s="33"/>
      <c r="NCW143" s="33"/>
      <c r="NCX143" s="33"/>
      <c r="NCY143" s="33"/>
      <c r="NCZ143" s="33"/>
      <c r="NDA143" s="33"/>
      <c r="NDB143" s="33"/>
      <c r="NDC143" s="33"/>
      <c r="NDD143" s="33"/>
      <c r="NDE143" s="33"/>
      <c r="NDF143" s="33"/>
      <c r="NDG143" s="33"/>
      <c r="NDH143" s="33"/>
      <c r="NDI143" s="33"/>
      <c r="NDJ143" s="33"/>
      <c r="NDK143" s="33"/>
      <c r="NDL143" s="33"/>
      <c r="NDM143" s="33"/>
      <c r="NDN143" s="33"/>
      <c r="NDO143" s="33"/>
      <c r="NDP143" s="33"/>
      <c r="NDQ143" s="33"/>
      <c r="NDR143" s="33"/>
      <c r="NDS143" s="33"/>
      <c r="NDT143" s="33"/>
      <c r="NDU143" s="33"/>
      <c r="NDV143" s="33"/>
      <c r="NDW143" s="33"/>
      <c r="NDX143" s="33"/>
      <c r="NDY143" s="33"/>
      <c r="NDZ143" s="33"/>
      <c r="NEA143" s="33"/>
      <c r="NEB143" s="33"/>
      <c r="NEC143" s="33"/>
      <c r="NED143" s="33"/>
      <c r="NEE143" s="33"/>
      <c r="NEF143" s="33"/>
      <c r="NEG143" s="33"/>
      <c r="NEH143" s="33"/>
      <c r="NEI143" s="33"/>
      <c r="NEJ143" s="33"/>
      <c r="NEK143" s="33"/>
      <c r="NEL143" s="33"/>
      <c r="NEM143" s="33"/>
      <c r="NEN143" s="33"/>
      <c r="NEO143" s="33"/>
      <c r="NEP143" s="33"/>
      <c r="NEQ143" s="33"/>
      <c r="NER143" s="33"/>
      <c r="NES143" s="33"/>
      <c r="NET143" s="33"/>
      <c r="NEU143" s="33"/>
      <c r="NEV143" s="33"/>
      <c r="NEW143" s="33"/>
      <c r="NEX143" s="33"/>
      <c r="NEY143" s="33"/>
      <c r="NEZ143" s="33"/>
      <c r="NFA143" s="33"/>
      <c r="NFB143" s="33"/>
      <c r="NFC143" s="33"/>
      <c r="NFD143" s="33"/>
      <c r="NFE143" s="33"/>
      <c r="NFF143" s="33"/>
      <c r="NFG143" s="33"/>
      <c r="NFH143" s="33"/>
      <c r="NFI143" s="33"/>
      <c r="NFJ143" s="33"/>
      <c r="NFK143" s="33"/>
      <c r="NFL143" s="33"/>
      <c r="NFM143" s="33"/>
      <c r="NFN143" s="33"/>
      <c r="NFO143" s="33"/>
      <c r="NFP143" s="33"/>
      <c r="NFQ143" s="33"/>
      <c r="NFR143" s="33"/>
      <c r="NFS143" s="33"/>
      <c r="NFT143" s="33"/>
      <c r="NFU143" s="33"/>
      <c r="NFV143" s="33"/>
      <c r="NFW143" s="33"/>
      <c r="NFX143" s="33"/>
      <c r="NFY143" s="33"/>
      <c r="NFZ143" s="33"/>
      <c r="NGA143" s="33"/>
      <c r="NGB143" s="33"/>
      <c r="NGC143" s="33"/>
      <c r="NGD143" s="33"/>
      <c r="NGE143" s="33"/>
      <c r="NGF143" s="33"/>
      <c r="NGG143" s="33"/>
      <c r="NGH143" s="33"/>
      <c r="NGI143" s="33"/>
      <c r="NGJ143" s="33"/>
      <c r="NGK143" s="33"/>
      <c r="NGL143" s="33"/>
      <c r="NGM143" s="33"/>
      <c r="NGN143" s="33"/>
      <c r="NGO143" s="33"/>
      <c r="NGP143" s="33"/>
      <c r="NGQ143" s="33"/>
      <c r="NGR143" s="33"/>
      <c r="NGS143" s="33"/>
      <c r="NGT143" s="33"/>
      <c r="NGU143" s="33"/>
      <c r="NGV143" s="33"/>
      <c r="NGW143" s="33"/>
      <c r="NGX143" s="33"/>
      <c r="NGY143" s="33"/>
      <c r="NGZ143" s="33"/>
      <c r="NHA143" s="33"/>
      <c r="NHB143" s="33"/>
      <c r="NHC143" s="33"/>
      <c r="NHD143" s="33"/>
      <c r="NHE143" s="33"/>
      <c r="NHF143" s="33"/>
      <c r="NHG143" s="33"/>
      <c r="NHH143" s="33"/>
      <c r="NHI143" s="33"/>
      <c r="NHJ143" s="33"/>
      <c r="NHK143" s="33"/>
      <c r="NHL143" s="33"/>
      <c r="NHM143" s="33"/>
      <c r="NHN143" s="33"/>
      <c r="NHO143" s="33"/>
      <c r="NHP143" s="33"/>
      <c r="NHQ143" s="33"/>
      <c r="NHR143" s="33"/>
      <c r="NHS143" s="33"/>
      <c r="NHT143" s="33"/>
      <c r="NHU143" s="33"/>
      <c r="NHV143" s="33"/>
      <c r="NHW143" s="33"/>
      <c r="NHX143" s="33"/>
      <c r="NHY143" s="33"/>
      <c r="NHZ143" s="33"/>
      <c r="NIA143" s="33"/>
      <c r="NIB143" s="33"/>
      <c r="NIC143" s="33"/>
      <c r="NID143" s="33"/>
      <c r="NIE143" s="33"/>
      <c r="NIF143" s="33"/>
      <c r="NIG143" s="33"/>
      <c r="NIH143" s="33"/>
      <c r="NII143" s="33"/>
      <c r="NIJ143" s="33"/>
      <c r="NIK143" s="33"/>
      <c r="NIL143" s="33"/>
      <c r="NIM143" s="33"/>
      <c r="NIN143" s="33"/>
      <c r="NIO143" s="33"/>
      <c r="NIP143" s="33"/>
      <c r="NIQ143" s="33"/>
      <c r="NIR143" s="33"/>
      <c r="NIS143" s="33"/>
      <c r="NIT143" s="33"/>
      <c r="NIU143" s="33"/>
      <c r="NIV143" s="33"/>
      <c r="NIW143" s="33"/>
      <c r="NIX143" s="33"/>
      <c r="NIY143" s="33"/>
      <c r="NIZ143" s="33"/>
      <c r="NJA143" s="33"/>
      <c r="NJB143" s="33"/>
      <c r="NJC143" s="33"/>
      <c r="NJD143" s="33"/>
      <c r="NJE143" s="33"/>
      <c r="NJF143" s="33"/>
      <c r="NJG143" s="33"/>
      <c r="NJH143" s="33"/>
      <c r="NJI143" s="33"/>
      <c r="NJJ143" s="33"/>
      <c r="NJK143" s="33"/>
      <c r="NJL143" s="33"/>
      <c r="NJM143" s="33"/>
      <c r="NJN143" s="33"/>
      <c r="NJO143" s="33"/>
      <c r="NJP143" s="33"/>
      <c r="NJQ143" s="33"/>
      <c r="NJR143" s="33"/>
      <c r="NJS143" s="33"/>
      <c r="NJT143" s="33"/>
      <c r="NJU143" s="33"/>
      <c r="NJV143" s="33"/>
      <c r="NJW143" s="33"/>
      <c r="NJX143" s="33"/>
      <c r="NJY143" s="33"/>
      <c r="NJZ143" s="33"/>
      <c r="NKA143" s="33"/>
      <c r="NKB143" s="33"/>
      <c r="NKC143" s="33"/>
      <c r="NKD143" s="33"/>
      <c r="NKE143" s="33"/>
      <c r="NKF143" s="33"/>
      <c r="NKG143" s="33"/>
      <c r="NKH143" s="33"/>
      <c r="NKI143" s="33"/>
      <c r="NKJ143" s="33"/>
      <c r="NKK143" s="33"/>
      <c r="NKL143" s="33"/>
      <c r="NKM143" s="33"/>
      <c r="NKN143" s="33"/>
      <c r="NKO143" s="33"/>
      <c r="NKP143" s="33"/>
      <c r="NKQ143" s="33"/>
      <c r="NKR143" s="33"/>
      <c r="NKS143" s="33"/>
      <c r="NKT143" s="33"/>
      <c r="NKU143" s="33"/>
      <c r="NKV143" s="33"/>
      <c r="NKW143" s="33"/>
      <c r="NKX143" s="33"/>
      <c r="NKY143" s="33"/>
      <c r="NKZ143" s="33"/>
      <c r="NLA143" s="33"/>
      <c r="NLB143" s="33"/>
      <c r="NLC143" s="33"/>
      <c r="NLD143" s="33"/>
      <c r="NLE143" s="33"/>
      <c r="NLF143" s="33"/>
      <c r="NLG143" s="33"/>
      <c r="NLH143" s="33"/>
      <c r="NLI143" s="33"/>
      <c r="NLJ143" s="33"/>
      <c r="NLK143" s="33"/>
      <c r="NLL143" s="33"/>
      <c r="NLM143" s="33"/>
      <c r="NLN143" s="33"/>
      <c r="NLO143" s="33"/>
      <c r="NLP143" s="33"/>
      <c r="NLQ143" s="33"/>
      <c r="NLR143" s="33"/>
      <c r="NLS143" s="33"/>
      <c r="NLT143" s="33"/>
      <c r="NLU143" s="33"/>
      <c r="NLV143" s="33"/>
      <c r="NLW143" s="33"/>
      <c r="NLX143" s="33"/>
      <c r="NLY143" s="33"/>
      <c r="NLZ143" s="33"/>
      <c r="NMA143" s="33"/>
      <c r="NMB143" s="33"/>
      <c r="NMC143" s="33"/>
      <c r="NMD143" s="33"/>
      <c r="NME143" s="33"/>
      <c r="NMF143" s="33"/>
      <c r="NMG143" s="33"/>
      <c r="NMH143" s="33"/>
      <c r="NMI143" s="33"/>
      <c r="NMJ143" s="33"/>
      <c r="NMK143" s="33"/>
      <c r="NML143" s="33"/>
      <c r="NMM143" s="33"/>
      <c r="NMN143" s="33"/>
      <c r="NMO143" s="33"/>
      <c r="NMP143" s="33"/>
      <c r="NMQ143" s="33"/>
      <c r="NMR143" s="33"/>
      <c r="NMS143" s="33"/>
      <c r="NMT143" s="33"/>
      <c r="NMU143" s="33"/>
      <c r="NMV143" s="33"/>
      <c r="NMW143" s="33"/>
      <c r="NMX143" s="33"/>
      <c r="NMY143" s="33"/>
      <c r="NMZ143" s="33"/>
      <c r="NNA143" s="33"/>
      <c r="NNB143" s="33"/>
      <c r="NNC143" s="33"/>
      <c r="NND143" s="33"/>
      <c r="NNE143" s="33"/>
      <c r="NNF143" s="33"/>
      <c r="NNG143" s="33"/>
      <c r="NNH143" s="33"/>
      <c r="NNI143" s="33"/>
      <c r="NNJ143" s="33"/>
      <c r="NNK143" s="33"/>
      <c r="NNL143" s="33"/>
      <c r="NNM143" s="33"/>
      <c r="NNN143" s="33"/>
      <c r="NNO143" s="33"/>
      <c r="NNP143" s="33"/>
      <c r="NNQ143" s="33"/>
      <c r="NNR143" s="33"/>
      <c r="NNS143" s="33"/>
      <c r="NNT143" s="33"/>
      <c r="NNU143" s="33"/>
      <c r="NNV143" s="33"/>
      <c r="NNW143" s="33"/>
      <c r="NNX143" s="33"/>
      <c r="NNY143" s="33"/>
      <c r="NNZ143" s="33"/>
      <c r="NOA143" s="33"/>
      <c r="NOB143" s="33"/>
      <c r="NOC143" s="33"/>
      <c r="NOD143" s="33"/>
      <c r="NOE143" s="33"/>
      <c r="NOF143" s="33"/>
      <c r="NOG143" s="33"/>
      <c r="NOH143" s="33"/>
      <c r="NOI143" s="33"/>
      <c r="NOJ143" s="33"/>
      <c r="NOK143" s="33"/>
      <c r="NOL143" s="33"/>
      <c r="NOM143" s="33"/>
      <c r="NON143" s="33"/>
      <c r="NOO143" s="33"/>
      <c r="NOP143" s="33"/>
      <c r="NOQ143" s="33"/>
      <c r="NOR143" s="33"/>
      <c r="NOS143" s="33"/>
      <c r="NOT143" s="33"/>
      <c r="NOU143" s="33"/>
      <c r="NOV143" s="33"/>
      <c r="NOW143" s="33"/>
      <c r="NOX143" s="33"/>
      <c r="NOY143" s="33"/>
      <c r="NOZ143" s="33"/>
      <c r="NPA143" s="33"/>
      <c r="NPB143" s="33"/>
      <c r="NPC143" s="33"/>
      <c r="NPD143" s="33"/>
      <c r="NPE143" s="33"/>
      <c r="NPF143" s="33"/>
      <c r="NPG143" s="33"/>
      <c r="NPH143" s="33"/>
      <c r="NPI143" s="33"/>
      <c r="NPJ143" s="33"/>
      <c r="NPK143" s="33"/>
      <c r="NPL143" s="33"/>
      <c r="NPM143" s="33"/>
      <c r="NPN143" s="33"/>
      <c r="NPO143" s="33"/>
      <c r="NPP143" s="33"/>
      <c r="NPQ143" s="33"/>
      <c r="NPR143" s="33"/>
      <c r="NPS143" s="33"/>
      <c r="NPT143" s="33"/>
      <c r="NPU143" s="33"/>
      <c r="NPV143" s="33"/>
      <c r="NPW143" s="33"/>
      <c r="NPX143" s="33"/>
      <c r="NPY143" s="33"/>
      <c r="NPZ143" s="33"/>
      <c r="NQA143" s="33"/>
      <c r="NQB143" s="33"/>
      <c r="NQC143" s="33"/>
      <c r="NQD143" s="33"/>
      <c r="NQE143" s="33"/>
      <c r="NQF143" s="33"/>
      <c r="NQG143" s="33"/>
      <c r="NQH143" s="33"/>
      <c r="NQI143" s="33"/>
      <c r="NQJ143" s="33"/>
      <c r="NQK143" s="33"/>
      <c r="NQL143" s="33"/>
      <c r="NQM143" s="33"/>
      <c r="NQN143" s="33"/>
      <c r="NQO143" s="33"/>
      <c r="NQP143" s="33"/>
      <c r="NQQ143" s="33"/>
      <c r="NQR143" s="33"/>
      <c r="NQS143" s="33"/>
      <c r="NQT143" s="33"/>
      <c r="NQU143" s="33"/>
      <c r="NQV143" s="33"/>
      <c r="NQW143" s="33"/>
      <c r="NQX143" s="33"/>
      <c r="NQY143" s="33"/>
      <c r="NQZ143" s="33"/>
      <c r="NRA143" s="33"/>
      <c r="NRB143" s="33"/>
      <c r="NRC143" s="33"/>
      <c r="NRD143" s="33"/>
      <c r="NRE143" s="33"/>
      <c r="NRF143" s="33"/>
      <c r="NRG143" s="33"/>
      <c r="NRH143" s="33"/>
      <c r="NRI143" s="33"/>
      <c r="NRJ143" s="33"/>
      <c r="NRK143" s="33"/>
      <c r="NRL143" s="33"/>
      <c r="NRM143" s="33"/>
      <c r="NRN143" s="33"/>
      <c r="NRO143" s="33"/>
      <c r="NRP143" s="33"/>
      <c r="NRQ143" s="33"/>
      <c r="NRR143" s="33"/>
      <c r="NRS143" s="33"/>
      <c r="NRT143" s="33"/>
      <c r="NRU143" s="33"/>
      <c r="NRV143" s="33"/>
      <c r="NRW143" s="33"/>
      <c r="NRX143" s="33"/>
      <c r="NRY143" s="33"/>
      <c r="NRZ143" s="33"/>
      <c r="NSA143" s="33"/>
      <c r="NSB143" s="33"/>
      <c r="NSC143" s="33"/>
      <c r="NSD143" s="33"/>
      <c r="NSE143" s="33"/>
      <c r="NSF143" s="33"/>
      <c r="NSG143" s="33"/>
      <c r="NSH143" s="33"/>
      <c r="NSI143" s="33"/>
      <c r="NSJ143" s="33"/>
      <c r="NSK143" s="33"/>
      <c r="NSL143" s="33"/>
      <c r="NSM143" s="33"/>
      <c r="NSN143" s="33"/>
      <c r="NSO143" s="33"/>
      <c r="NSP143" s="33"/>
      <c r="NSQ143" s="33"/>
      <c r="NSR143" s="33"/>
      <c r="NSS143" s="33"/>
      <c r="NST143" s="33"/>
      <c r="NSU143" s="33"/>
      <c r="NSV143" s="33"/>
      <c r="NSW143" s="33"/>
      <c r="NSX143" s="33"/>
      <c r="NSY143" s="33"/>
      <c r="NSZ143" s="33"/>
      <c r="NTA143" s="33"/>
      <c r="NTB143" s="33"/>
      <c r="NTC143" s="33"/>
      <c r="NTD143" s="33"/>
      <c r="NTE143" s="33"/>
      <c r="NTF143" s="33"/>
      <c r="NTG143" s="33"/>
      <c r="NTH143" s="33"/>
      <c r="NTI143" s="33"/>
      <c r="NTJ143" s="33"/>
      <c r="NTK143" s="33"/>
      <c r="NTL143" s="33"/>
      <c r="NTM143" s="33"/>
      <c r="NTN143" s="33"/>
      <c r="NTO143" s="33"/>
      <c r="NTP143" s="33"/>
      <c r="NTQ143" s="33"/>
      <c r="NTR143" s="33"/>
      <c r="NTS143" s="33"/>
      <c r="NTT143" s="33"/>
      <c r="NTU143" s="33"/>
      <c r="NTV143" s="33"/>
      <c r="NTW143" s="33"/>
      <c r="NTX143" s="33"/>
      <c r="NTY143" s="33"/>
      <c r="NTZ143" s="33"/>
      <c r="NUA143" s="33"/>
      <c r="NUB143" s="33"/>
      <c r="NUC143" s="33"/>
      <c r="NUD143" s="33"/>
      <c r="NUE143" s="33"/>
      <c r="NUF143" s="33"/>
      <c r="NUG143" s="33"/>
      <c r="NUH143" s="33"/>
      <c r="NUI143" s="33"/>
      <c r="NUJ143" s="33"/>
      <c r="NUK143" s="33"/>
      <c r="NUL143" s="33"/>
      <c r="NUM143" s="33"/>
      <c r="NUN143" s="33"/>
      <c r="NUO143" s="33"/>
      <c r="NUP143" s="33"/>
      <c r="NUQ143" s="33"/>
      <c r="NUR143" s="33"/>
      <c r="NUS143" s="33"/>
      <c r="NUT143" s="33"/>
      <c r="NUU143" s="33"/>
      <c r="NUV143" s="33"/>
      <c r="NUW143" s="33"/>
      <c r="NUX143" s="33"/>
      <c r="NUY143" s="33"/>
      <c r="NUZ143" s="33"/>
      <c r="NVA143" s="33"/>
      <c r="NVB143" s="33"/>
      <c r="NVC143" s="33"/>
      <c r="NVD143" s="33"/>
      <c r="NVE143" s="33"/>
      <c r="NVF143" s="33"/>
      <c r="NVG143" s="33"/>
      <c r="NVH143" s="33"/>
      <c r="NVI143" s="33"/>
      <c r="NVJ143" s="33"/>
      <c r="NVK143" s="33"/>
      <c r="NVL143" s="33"/>
      <c r="NVM143" s="33"/>
      <c r="NVN143" s="33"/>
      <c r="NVO143" s="33"/>
      <c r="NVP143" s="33"/>
      <c r="NVQ143" s="33"/>
      <c r="NVR143" s="33"/>
      <c r="NVS143" s="33"/>
      <c r="NVT143" s="33"/>
      <c r="NVU143" s="33"/>
      <c r="NVV143" s="33"/>
      <c r="NVW143" s="33"/>
      <c r="NVX143" s="33"/>
      <c r="NVY143" s="33"/>
      <c r="NVZ143" s="33"/>
      <c r="NWA143" s="33"/>
      <c r="NWB143" s="33"/>
      <c r="NWC143" s="33"/>
      <c r="NWD143" s="33"/>
      <c r="NWE143" s="33"/>
      <c r="NWF143" s="33"/>
      <c r="NWG143" s="33"/>
      <c r="NWH143" s="33"/>
      <c r="NWI143" s="33"/>
      <c r="NWJ143" s="33"/>
      <c r="NWK143" s="33"/>
      <c r="NWL143" s="33"/>
      <c r="NWM143" s="33"/>
      <c r="NWN143" s="33"/>
      <c r="NWO143" s="33"/>
      <c r="NWP143" s="33"/>
      <c r="NWQ143" s="33"/>
      <c r="NWR143" s="33"/>
      <c r="NWS143" s="33"/>
      <c r="NWT143" s="33"/>
      <c r="NWU143" s="33"/>
      <c r="NWV143" s="33"/>
      <c r="NWW143" s="33"/>
      <c r="NWX143" s="33"/>
      <c r="NWY143" s="33"/>
      <c r="NWZ143" s="33"/>
      <c r="NXA143" s="33"/>
      <c r="NXB143" s="33"/>
      <c r="NXC143" s="33"/>
      <c r="NXD143" s="33"/>
      <c r="NXE143" s="33"/>
      <c r="NXF143" s="33"/>
      <c r="NXG143" s="33"/>
      <c r="NXH143" s="33"/>
      <c r="NXI143" s="33"/>
      <c r="NXJ143" s="33"/>
      <c r="NXK143" s="33"/>
      <c r="NXL143" s="33"/>
      <c r="NXM143" s="33"/>
      <c r="NXN143" s="33"/>
      <c r="NXO143" s="33"/>
      <c r="NXP143" s="33"/>
      <c r="NXQ143" s="33"/>
      <c r="NXR143" s="33"/>
      <c r="NXS143" s="33"/>
      <c r="NXT143" s="33"/>
      <c r="NXU143" s="33"/>
      <c r="NXV143" s="33"/>
      <c r="NXW143" s="33"/>
      <c r="NXX143" s="33"/>
      <c r="NXY143" s="33"/>
      <c r="NXZ143" s="33"/>
      <c r="NYA143" s="33"/>
      <c r="NYB143" s="33"/>
      <c r="NYC143" s="33"/>
      <c r="NYD143" s="33"/>
      <c r="NYE143" s="33"/>
      <c r="NYF143" s="33"/>
      <c r="NYG143" s="33"/>
      <c r="NYH143" s="33"/>
      <c r="NYI143" s="33"/>
      <c r="NYJ143" s="33"/>
      <c r="NYK143" s="33"/>
      <c r="NYL143" s="33"/>
      <c r="NYM143" s="33"/>
      <c r="NYN143" s="33"/>
      <c r="NYO143" s="33"/>
      <c r="NYP143" s="33"/>
      <c r="NYQ143" s="33"/>
      <c r="NYR143" s="33"/>
      <c r="NYS143" s="33"/>
      <c r="NYT143" s="33"/>
      <c r="NYU143" s="33"/>
      <c r="NYV143" s="33"/>
      <c r="NYW143" s="33"/>
      <c r="NYX143" s="33"/>
      <c r="NYY143" s="33"/>
      <c r="NYZ143" s="33"/>
      <c r="NZA143" s="33"/>
      <c r="NZB143" s="33"/>
      <c r="NZC143" s="33"/>
      <c r="NZD143" s="33"/>
      <c r="NZE143" s="33"/>
      <c r="NZF143" s="33"/>
      <c r="NZG143" s="33"/>
      <c r="NZH143" s="33"/>
      <c r="NZI143" s="33"/>
      <c r="NZJ143" s="33"/>
      <c r="NZK143" s="33"/>
      <c r="NZL143" s="33"/>
      <c r="NZM143" s="33"/>
      <c r="NZN143" s="33"/>
      <c r="NZO143" s="33"/>
      <c r="NZP143" s="33"/>
      <c r="NZQ143" s="33"/>
      <c r="NZR143" s="33"/>
      <c r="NZS143" s="33"/>
      <c r="NZT143" s="33"/>
      <c r="NZU143" s="33"/>
      <c r="NZV143" s="33"/>
      <c r="NZW143" s="33"/>
      <c r="NZX143" s="33"/>
      <c r="NZY143" s="33"/>
      <c r="NZZ143" s="33"/>
      <c r="OAA143" s="33"/>
      <c r="OAB143" s="33"/>
      <c r="OAC143" s="33"/>
      <c r="OAD143" s="33"/>
      <c r="OAE143" s="33"/>
      <c r="OAF143" s="33"/>
      <c r="OAG143" s="33"/>
      <c r="OAH143" s="33"/>
      <c r="OAI143" s="33"/>
      <c r="OAJ143" s="33"/>
      <c r="OAK143" s="33"/>
      <c r="OAL143" s="33"/>
      <c r="OAM143" s="33"/>
      <c r="OAN143" s="33"/>
      <c r="OAO143" s="33"/>
      <c r="OAP143" s="33"/>
      <c r="OAQ143" s="33"/>
      <c r="OAR143" s="33"/>
      <c r="OAS143" s="33"/>
      <c r="OAT143" s="33"/>
      <c r="OAU143" s="33"/>
      <c r="OAV143" s="33"/>
      <c r="OAW143" s="33"/>
      <c r="OAX143" s="33"/>
      <c r="OAY143" s="33"/>
      <c r="OAZ143" s="33"/>
      <c r="OBA143" s="33"/>
      <c r="OBB143" s="33"/>
      <c r="OBC143" s="33"/>
      <c r="OBD143" s="33"/>
      <c r="OBE143" s="33"/>
      <c r="OBF143" s="33"/>
      <c r="OBG143" s="33"/>
      <c r="OBH143" s="33"/>
      <c r="OBI143" s="33"/>
      <c r="OBJ143" s="33"/>
      <c r="OBK143" s="33"/>
      <c r="OBL143" s="33"/>
      <c r="OBM143" s="33"/>
      <c r="OBN143" s="33"/>
      <c r="OBO143" s="33"/>
      <c r="OBP143" s="33"/>
      <c r="OBQ143" s="33"/>
      <c r="OBR143" s="33"/>
      <c r="OBS143" s="33"/>
      <c r="OBT143" s="33"/>
      <c r="OBU143" s="33"/>
      <c r="OBV143" s="33"/>
      <c r="OBW143" s="33"/>
      <c r="OBX143" s="33"/>
      <c r="OBY143" s="33"/>
      <c r="OBZ143" s="33"/>
      <c r="OCA143" s="33"/>
      <c r="OCB143" s="33"/>
      <c r="OCC143" s="33"/>
      <c r="OCD143" s="33"/>
      <c r="OCE143" s="33"/>
      <c r="OCF143" s="33"/>
      <c r="OCG143" s="33"/>
      <c r="OCH143" s="33"/>
      <c r="OCI143" s="33"/>
      <c r="OCJ143" s="33"/>
      <c r="OCK143" s="33"/>
      <c r="OCL143" s="33"/>
      <c r="OCM143" s="33"/>
      <c r="OCN143" s="33"/>
      <c r="OCO143" s="33"/>
      <c r="OCP143" s="33"/>
      <c r="OCQ143" s="33"/>
      <c r="OCR143" s="33"/>
      <c r="OCS143" s="33"/>
      <c r="OCT143" s="33"/>
      <c r="OCU143" s="33"/>
      <c r="OCV143" s="33"/>
      <c r="OCW143" s="33"/>
      <c r="OCX143" s="33"/>
      <c r="OCY143" s="33"/>
      <c r="OCZ143" s="33"/>
      <c r="ODA143" s="33"/>
      <c r="ODB143" s="33"/>
      <c r="ODC143" s="33"/>
      <c r="ODD143" s="33"/>
      <c r="ODE143" s="33"/>
      <c r="ODF143" s="33"/>
      <c r="ODG143" s="33"/>
      <c r="ODH143" s="33"/>
      <c r="ODI143" s="33"/>
      <c r="ODJ143" s="33"/>
      <c r="ODK143" s="33"/>
      <c r="ODL143" s="33"/>
      <c r="ODM143" s="33"/>
      <c r="ODN143" s="33"/>
      <c r="ODO143" s="33"/>
      <c r="ODP143" s="33"/>
      <c r="ODQ143" s="33"/>
      <c r="ODR143" s="33"/>
      <c r="ODS143" s="33"/>
      <c r="ODT143" s="33"/>
      <c r="ODU143" s="33"/>
      <c r="ODV143" s="33"/>
      <c r="ODW143" s="33"/>
      <c r="ODX143" s="33"/>
      <c r="ODY143" s="33"/>
      <c r="ODZ143" s="33"/>
      <c r="OEA143" s="33"/>
      <c r="OEB143" s="33"/>
      <c r="OEC143" s="33"/>
      <c r="OED143" s="33"/>
      <c r="OEE143" s="33"/>
      <c r="OEF143" s="33"/>
      <c r="OEG143" s="33"/>
      <c r="OEH143" s="33"/>
      <c r="OEI143" s="33"/>
      <c r="OEJ143" s="33"/>
      <c r="OEK143" s="33"/>
      <c r="OEL143" s="33"/>
      <c r="OEM143" s="33"/>
      <c r="OEN143" s="33"/>
      <c r="OEO143" s="33"/>
      <c r="OEP143" s="33"/>
      <c r="OEQ143" s="33"/>
      <c r="OER143" s="33"/>
      <c r="OES143" s="33"/>
      <c r="OET143" s="33"/>
      <c r="OEU143" s="33"/>
      <c r="OEV143" s="33"/>
      <c r="OEW143" s="33"/>
      <c r="OEX143" s="33"/>
      <c r="OEY143" s="33"/>
      <c r="OEZ143" s="33"/>
      <c r="OFA143" s="33"/>
      <c r="OFB143" s="33"/>
      <c r="OFC143" s="33"/>
      <c r="OFD143" s="33"/>
      <c r="OFE143" s="33"/>
      <c r="OFF143" s="33"/>
      <c r="OFG143" s="33"/>
      <c r="OFH143" s="33"/>
      <c r="OFI143" s="33"/>
      <c r="OFJ143" s="33"/>
      <c r="OFK143" s="33"/>
      <c r="OFL143" s="33"/>
      <c r="OFM143" s="33"/>
      <c r="OFN143" s="33"/>
      <c r="OFO143" s="33"/>
      <c r="OFP143" s="33"/>
      <c r="OFQ143" s="33"/>
      <c r="OFR143" s="33"/>
      <c r="OFS143" s="33"/>
      <c r="OFT143" s="33"/>
      <c r="OFU143" s="33"/>
      <c r="OFV143" s="33"/>
      <c r="OFW143" s="33"/>
      <c r="OFX143" s="33"/>
      <c r="OFY143" s="33"/>
      <c r="OFZ143" s="33"/>
      <c r="OGA143" s="33"/>
      <c r="OGB143" s="33"/>
      <c r="OGC143" s="33"/>
      <c r="OGD143" s="33"/>
      <c r="OGE143" s="33"/>
      <c r="OGF143" s="33"/>
      <c r="OGG143" s="33"/>
      <c r="OGH143" s="33"/>
      <c r="OGI143" s="33"/>
      <c r="OGJ143" s="33"/>
      <c r="OGK143" s="33"/>
      <c r="OGL143" s="33"/>
      <c r="OGM143" s="33"/>
      <c r="OGN143" s="33"/>
      <c r="OGO143" s="33"/>
      <c r="OGP143" s="33"/>
      <c r="OGQ143" s="33"/>
      <c r="OGR143" s="33"/>
      <c r="OGS143" s="33"/>
      <c r="OGT143" s="33"/>
      <c r="OGU143" s="33"/>
      <c r="OGV143" s="33"/>
      <c r="OGW143" s="33"/>
      <c r="OGX143" s="33"/>
      <c r="OGY143" s="33"/>
      <c r="OGZ143" s="33"/>
      <c r="OHA143" s="33"/>
      <c r="OHB143" s="33"/>
      <c r="OHC143" s="33"/>
      <c r="OHD143" s="33"/>
      <c r="OHE143" s="33"/>
      <c r="OHF143" s="33"/>
      <c r="OHG143" s="33"/>
      <c r="OHH143" s="33"/>
      <c r="OHI143" s="33"/>
      <c r="OHJ143" s="33"/>
      <c r="OHK143" s="33"/>
      <c r="OHL143" s="33"/>
      <c r="OHM143" s="33"/>
      <c r="OHN143" s="33"/>
      <c r="OHO143" s="33"/>
      <c r="OHP143" s="33"/>
      <c r="OHQ143" s="33"/>
      <c r="OHR143" s="33"/>
      <c r="OHS143" s="33"/>
      <c r="OHT143" s="33"/>
      <c r="OHU143" s="33"/>
      <c r="OHV143" s="33"/>
      <c r="OHW143" s="33"/>
      <c r="OHX143" s="33"/>
      <c r="OHY143" s="33"/>
      <c r="OHZ143" s="33"/>
      <c r="OIA143" s="33"/>
      <c r="OIB143" s="33"/>
      <c r="OIC143" s="33"/>
      <c r="OID143" s="33"/>
      <c r="OIE143" s="33"/>
      <c r="OIF143" s="33"/>
      <c r="OIG143" s="33"/>
      <c r="OIH143" s="33"/>
      <c r="OII143" s="33"/>
      <c r="OIJ143" s="33"/>
      <c r="OIK143" s="33"/>
      <c r="OIL143" s="33"/>
      <c r="OIM143" s="33"/>
      <c r="OIN143" s="33"/>
      <c r="OIO143" s="33"/>
      <c r="OIP143" s="33"/>
      <c r="OIQ143" s="33"/>
      <c r="OIR143" s="33"/>
      <c r="OIS143" s="33"/>
      <c r="OIT143" s="33"/>
      <c r="OIU143" s="33"/>
      <c r="OIV143" s="33"/>
      <c r="OIW143" s="33"/>
      <c r="OIX143" s="33"/>
      <c r="OIY143" s="33"/>
      <c r="OIZ143" s="33"/>
      <c r="OJA143" s="33"/>
      <c r="OJB143" s="33"/>
      <c r="OJC143" s="33"/>
      <c r="OJD143" s="33"/>
      <c r="OJE143" s="33"/>
      <c r="OJF143" s="33"/>
      <c r="OJG143" s="33"/>
      <c r="OJH143" s="33"/>
      <c r="OJI143" s="33"/>
      <c r="OJJ143" s="33"/>
      <c r="OJK143" s="33"/>
      <c r="OJL143" s="33"/>
      <c r="OJM143" s="33"/>
      <c r="OJN143" s="33"/>
      <c r="OJO143" s="33"/>
      <c r="OJP143" s="33"/>
      <c r="OJQ143" s="33"/>
      <c r="OJR143" s="33"/>
      <c r="OJS143" s="33"/>
      <c r="OJT143" s="33"/>
      <c r="OJU143" s="33"/>
      <c r="OJV143" s="33"/>
      <c r="OJW143" s="33"/>
      <c r="OJX143" s="33"/>
      <c r="OJY143" s="33"/>
      <c r="OJZ143" s="33"/>
      <c r="OKA143" s="33"/>
      <c r="OKB143" s="33"/>
      <c r="OKC143" s="33"/>
      <c r="OKD143" s="33"/>
      <c r="OKE143" s="33"/>
      <c r="OKF143" s="33"/>
      <c r="OKG143" s="33"/>
      <c r="OKH143" s="33"/>
      <c r="OKI143" s="33"/>
      <c r="OKJ143" s="33"/>
      <c r="OKK143" s="33"/>
      <c r="OKL143" s="33"/>
      <c r="OKM143" s="33"/>
      <c r="OKN143" s="33"/>
      <c r="OKO143" s="33"/>
      <c r="OKP143" s="33"/>
      <c r="OKQ143" s="33"/>
      <c r="OKR143" s="33"/>
      <c r="OKS143" s="33"/>
      <c r="OKT143" s="33"/>
      <c r="OKU143" s="33"/>
      <c r="OKV143" s="33"/>
      <c r="OKW143" s="33"/>
      <c r="OKX143" s="33"/>
      <c r="OKY143" s="33"/>
      <c r="OKZ143" s="33"/>
      <c r="OLA143" s="33"/>
      <c r="OLB143" s="33"/>
      <c r="OLC143" s="33"/>
      <c r="OLD143" s="33"/>
      <c r="OLE143" s="33"/>
      <c r="OLF143" s="33"/>
      <c r="OLG143" s="33"/>
      <c r="OLH143" s="33"/>
      <c r="OLI143" s="33"/>
      <c r="OLJ143" s="33"/>
      <c r="OLK143" s="33"/>
      <c r="OLL143" s="33"/>
      <c r="OLM143" s="33"/>
      <c r="OLN143" s="33"/>
      <c r="OLO143" s="33"/>
      <c r="OLP143" s="33"/>
      <c r="OLQ143" s="33"/>
      <c r="OLR143" s="33"/>
      <c r="OLS143" s="33"/>
      <c r="OLT143" s="33"/>
      <c r="OLU143" s="33"/>
      <c r="OLV143" s="33"/>
      <c r="OLW143" s="33"/>
      <c r="OLX143" s="33"/>
      <c r="OLY143" s="33"/>
      <c r="OLZ143" s="33"/>
      <c r="OMA143" s="33"/>
      <c r="OMB143" s="33"/>
      <c r="OMC143" s="33"/>
      <c r="OMD143" s="33"/>
      <c r="OME143" s="33"/>
      <c r="OMF143" s="33"/>
      <c r="OMG143" s="33"/>
      <c r="OMH143" s="33"/>
      <c r="OMI143" s="33"/>
      <c r="OMJ143" s="33"/>
      <c r="OMK143" s="33"/>
      <c r="OML143" s="33"/>
      <c r="OMM143" s="33"/>
      <c r="OMN143" s="33"/>
      <c r="OMO143" s="33"/>
      <c r="OMP143" s="33"/>
      <c r="OMQ143" s="33"/>
      <c r="OMR143" s="33"/>
      <c r="OMS143" s="33"/>
      <c r="OMT143" s="33"/>
      <c r="OMU143" s="33"/>
      <c r="OMV143" s="33"/>
      <c r="OMW143" s="33"/>
      <c r="OMX143" s="33"/>
      <c r="OMY143" s="33"/>
      <c r="OMZ143" s="33"/>
      <c r="ONA143" s="33"/>
      <c r="ONB143" s="33"/>
      <c r="ONC143" s="33"/>
      <c r="OND143" s="33"/>
      <c r="ONE143" s="33"/>
      <c r="ONF143" s="33"/>
      <c r="ONG143" s="33"/>
      <c r="ONH143" s="33"/>
      <c r="ONI143" s="33"/>
      <c r="ONJ143" s="33"/>
      <c r="ONK143" s="33"/>
      <c r="ONL143" s="33"/>
      <c r="ONM143" s="33"/>
      <c r="ONN143" s="33"/>
      <c r="ONO143" s="33"/>
      <c r="ONP143" s="33"/>
      <c r="ONQ143" s="33"/>
      <c r="ONR143" s="33"/>
      <c r="ONS143" s="33"/>
      <c r="ONT143" s="33"/>
      <c r="ONU143" s="33"/>
      <c r="ONV143" s="33"/>
      <c r="ONW143" s="33"/>
      <c r="ONX143" s="33"/>
      <c r="ONY143" s="33"/>
      <c r="ONZ143" s="33"/>
      <c r="OOA143" s="33"/>
      <c r="OOB143" s="33"/>
      <c r="OOC143" s="33"/>
      <c r="OOD143" s="33"/>
      <c r="OOE143" s="33"/>
      <c r="OOF143" s="33"/>
      <c r="OOG143" s="33"/>
      <c r="OOH143" s="33"/>
      <c r="OOI143" s="33"/>
      <c r="OOJ143" s="33"/>
      <c r="OOK143" s="33"/>
      <c r="OOL143" s="33"/>
      <c r="OOM143" s="33"/>
      <c r="OON143" s="33"/>
      <c r="OOO143" s="33"/>
      <c r="OOP143" s="33"/>
      <c r="OOQ143" s="33"/>
      <c r="OOR143" s="33"/>
      <c r="OOS143" s="33"/>
      <c r="OOT143" s="33"/>
      <c r="OOU143" s="33"/>
      <c r="OOV143" s="33"/>
      <c r="OOW143" s="33"/>
      <c r="OOX143" s="33"/>
      <c r="OOY143" s="33"/>
      <c r="OOZ143" s="33"/>
      <c r="OPA143" s="33"/>
      <c r="OPB143" s="33"/>
      <c r="OPC143" s="33"/>
      <c r="OPD143" s="33"/>
      <c r="OPE143" s="33"/>
      <c r="OPF143" s="33"/>
      <c r="OPG143" s="33"/>
      <c r="OPH143" s="33"/>
      <c r="OPI143" s="33"/>
      <c r="OPJ143" s="33"/>
      <c r="OPK143" s="33"/>
      <c r="OPL143" s="33"/>
      <c r="OPM143" s="33"/>
      <c r="OPN143" s="33"/>
      <c r="OPO143" s="33"/>
      <c r="OPP143" s="33"/>
      <c r="OPQ143" s="33"/>
      <c r="OPR143" s="33"/>
      <c r="OPS143" s="33"/>
      <c r="OPT143" s="33"/>
      <c r="OPU143" s="33"/>
      <c r="OPV143" s="33"/>
      <c r="OPW143" s="33"/>
      <c r="OPX143" s="33"/>
      <c r="OPY143" s="33"/>
      <c r="OPZ143" s="33"/>
      <c r="OQA143" s="33"/>
      <c r="OQB143" s="33"/>
      <c r="OQC143" s="33"/>
      <c r="OQD143" s="33"/>
      <c r="OQE143" s="33"/>
      <c r="OQF143" s="33"/>
      <c r="OQG143" s="33"/>
      <c r="OQH143" s="33"/>
      <c r="OQI143" s="33"/>
      <c r="OQJ143" s="33"/>
      <c r="OQK143" s="33"/>
      <c r="OQL143" s="33"/>
      <c r="OQM143" s="33"/>
      <c r="OQN143" s="33"/>
      <c r="OQO143" s="33"/>
      <c r="OQP143" s="33"/>
      <c r="OQQ143" s="33"/>
      <c r="OQR143" s="33"/>
      <c r="OQS143" s="33"/>
      <c r="OQT143" s="33"/>
      <c r="OQU143" s="33"/>
      <c r="OQV143" s="33"/>
      <c r="OQW143" s="33"/>
      <c r="OQX143" s="33"/>
      <c r="OQY143" s="33"/>
      <c r="OQZ143" s="33"/>
      <c r="ORA143" s="33"/>
      <c r="ORB143" s="33"/>
      <c r="ORC143" s="33"/>
      <c r="ORD143" s="33"/>
      <c r="ORE143" s="33"/>
      <c r="ORF143" s="33"/>
      <c r="ORG143" s="33"/>
      <c r="ORH143" s="33"/>
      <c r="ORI143" s="33"/>
      <c r="ORJ143" s="33"/>
      <c r="ORK143" s="33"/>
      <c r="ORL143" s="33"/>
      <c r="ORM143" s="33"/>
      <c r="ORN143" s="33"/>
      <c r="ORO143" s="33"/>
      <c r="ORP143" s="33"/>
      <c r="ORQ143" s="33"/>
      <c r="ORR143" s="33"/>
      <c r="ORS143" s="33"/>
      <c r="ORT143" s="33"/>
      <c r="ORU143" s="33"/>
      <c r="ORV143" s="33"/>
      <c r="ORW143" s="33"/>
      <c r="ORX143" s="33"/>
      <c r="ORY143" s="33"/>
      <c r="ORZ143" s="33"/>
      <c r="OSA143" s="33"/>
      <c r="OSB143" s="33"/>
      <c r="OSC143" s="33"/>
      <c r="OSD143" s="33"/>
      <c r="OSE143" s="33"/>
      <c r="OSF143" s="33"/>
      <c r="OSG143" s="33"/>
      <c r="OSH143" s="33"/>
      <c r="OSI143" s="33"/>
      <c r="OSJ143" s="33"/>
      <c r="OSK143" s="33"/>
      <c r="OSL143" s="33"/>
      <c r="OSM143" s="33"/>
      <c r="OSN143" s="33"/>
      <c r="OSO143" s="33"/>
      <c r="OSP143" s="33"/>
      <c r="OSQ143" s="33"/>
      <c r="OSR143" s="33"/>
      <c r="OSS143" s="33"/>
      <c r="OST143" s="33"/>
      <c r="OSU143" s="33"/>
      <c r="OSV143" s="33"/>
      <c r="OSW143" s="33"/>
      <c r="OSX143" s="33"/>
      <c r="OSY143" s="33"/>
      <c r="OSZ143" s="33"/>
      <c r="OTA143" s="33"/>
      <c r="OTB143" s="33"/>
      <c r="OTC143" s="33"/>
      <c r="OTD143" s="33"/>
      <c r="OTE143" s="33"/>
      <c r="OTF143" s="33"/>
      <c r="OTG143" s="33"/>
      <c r="OTH143" s="33"/>
      <c r="OTI143" s="33"/>
      <c r="OTJ143" s="33"/>
      <c r="OTK143" s="33"/>
      <c r="OTL143" s="33"/>
      <c r="OTM143" s="33"/>
      <c r="OTN143" s="33"/>
      <c r="OTO143" s="33"/>
      <c r="OTP143" s="33"/>
      <c r="OTQ143" s="33"/>
      <c r="OTR143" s="33"/>
      <c r="OTS143" s="33"/>
      <c r="OTT143" s="33"/>
      <c r="OTU143" s="33"/>
      <c r="OTV143" s="33"/>
      <c r="OTW143" s="33"/>
      <c r="OTX143" s="33"/>
      <c r="OTY143" s="33"/>
      <c r="OTZ143" s="33"/>
      <c r="OUA143" s="33"/>
      <c r="OUB143" s="33"/>
      <c r="OUC143" s="33"/>
      <c r="OUD143" s="33"/>
      <c r="OUE143" s="33"/>
      <c r="OUF143" s="33"/>
      <c r="OUG143" s="33"/>
      <c r="OUH143" s="33"/>
      <c r="OUI143" s="33"/>
      <c r="OUJ143" s="33"/>
      <c r="OUK143" s="33"/>
      <c r="OUL143" s="33"/>
      <c r="OUM143" s="33"/>
      <c r="OUN143" s="33"/>
      <c r="OUO143" s="33"/>
      <c r="OUP143" s="33"/>
      <c r="OUQ143" s="33"/>
      <c r="OUR143" s="33"/>
      <c r="OUS143" s="33"/>
      <c r="OUT143" s="33"/>
      <c r="OUU143" s="33"/>
      <c r="OUV143" s="33"/>
      <c r="OUW143" s="33"/>
      <c r="OUX143" s="33"/>
      <c r="OUY143" s="33"/>
      <c r="OUZ143" s="33"/>
      <c r="OVA143" s="33"/>
      <c r="OVB143" s="33"/>
      <c r="OVC143" s="33"/>
      <c r="OVD143" s="33"/>
      <c r="OVE143" s="33"/>
      <c r="OVF143" s="33"/>
      <c r="OVG143" s="33"/>
      <c r="OVH143" s="33"/>
      <c r="OVI143" s="33"/>
      <c r="OVJ143" s="33"/>
      <c r="OVK143" s="33"/>
      <c r="OVL143" s="33"/>
      <c r="OVM143" s="33"/>
      <c r="OVN143" s="33"/>
      <c r="OVO143" s="33"/>
      <c r="OVP143" s="33"/>
      <c r="OVQ143" s="33"/>
      <c r="OVR143" s="33"/>
      <c r="OVS143" s="33"/>
      <c r="OVT143" s="33"/>
      <c r="OVU143" s="33"/>
      <c r="OVV143" s="33"/>
      <c r="OVW143" s="33"/>
      <c r="OVX143" s="33"/>
      <c r="OVY143" s="33"/>
      <c r="OVZ143" s="33"/>
      <c r="OWA143" s="33"/>
      <c r="OWB143" s="33"/>
      <c r="OWC143" s="33"/>
      <c r="OWD143" s="33"/>
      <c r="OWE143" s="33"/>
      <c r="OWF143" s="33"/>
      <c r="OWG143" s="33"/>
      <c r="OWH143" s="33"/>
      <c r="OWI143" s="33"/>
      <c r="OWJ143" s="33"/>
      <c r="OWK143" s="33"/>
      <c r="OWL143" s="33"/>
      <c r="OWM143" s="33"/>
      <c r="OWN143" s="33"/>
      <c r="OWO143" s="33"/>
      <c r="OWP143" s="33"/>
      <c r="OWQ143" s="33"/>
      <c r="OWR143" s="33"/>
      <c r="OWS143" s="33"/>
      <c r="OWT143" s="33"/>
      <c r="OWU143" s="33"/>
      <c r="OWV143" s="33"/>
      <c r="OWW143" s="33"/>
      <c r="OWX143" s="33"/>
      <c r="OWY143" s="33"/>
      <c r="OWZ143" s="33"/>
      <c r="OXA143" s="33"/>
      <c r="OXB143" s="33"/>
      <c r="OXC143" s="33"/>
      <c r="OXD143" s="33"/>
      <c r="OXE143" s="33"/>
      <c r="OXF143" s="33"/>
      <c r="OXG143" s="33"/>
      <c r="OXH143" s="33"/>
      <c r="OXI143" s="33"/>
      <c r="OXJ143" s="33"/>
      <c r="OXK143" s="33"/>
      <c r="OXL143" s="33"/>
      <c r="OXM143" s="33"/>
      <c r="OXN143" s="33"/>
      <c r="OXO143" s="33"/>
      <c r="OXP143" s="33"/>
      <c r="OXQ143" s="33"/>
      <c r="OXR143" s="33"/>
      <c r="OXS143" s="33"/>
      <c r="OXT143" s="33"/>
      <c r="OXU143" s="33"/>
      <c r="OXV143" s="33"/>
      <c r="OXW143" s="33"/>
      <c r="OXX143" s="33"/>
      <c r="OXY143" s="33"/>
      <c r="OXZ143" s="33"/>
      <c r="OYA143" s="33"/>
      <c r="OYB143" s="33"/>
      <c r="OYC143" s="33"/>
      <c r="OYD143" s="33"/>
      <c r="OYE143" s="33"/>
      <c r="OYF143" s="33"/>
      <c r="OYG143" s="33"/>
      <c r="OYH143" s="33"/>
      <c r="OYI143" s="33"/>
      <c r="OYJ143" s="33"/>
      <c r="OYK143" s="33"/>
      <c r="OYL143" s="33"/>
      <c r="OYM143" s="33"/>
      <c r="OYN143" s="33"/>
      <c r="OYO143" s="33"/>
      <c r="OYP143" s="33"/>
      <c r="OYQ143" s="33"/>
      <c r="OYR143" s="33"/>
      <c r="OYS143" s="33"/>
      <c r="OYT143" s="33"/>
      <c r="OYU143" s="33"/>
      <c r="OYV143" s="33"/>
      <c r="OYW143" s="33"/>
      <c r="OYX143" s="33"/>
      <c r="OYY143" s="33"/>
      <c r="OYZ143" s="33"/>
      <c r="OZA143" s="33"/>
      <c r="OZB143" s="33"/>
      <c r="OZC143" s="33"/>
      <c r="OZD143" s="33"/>
      <c r="OZE143" s="33"/>
      <c r="OZF143" s="33"/>
      <c r="OZG143" s="33"/>
      <c r="OZH143" s="33"/>
      <c r="OZI143" s="33"/>
      <c r="OZJ143" s="33"/>
      <c r="OZK143" s="33"/>
      <c r="OZL143" s="33"/>
      <c r="OZM143" s="33"/>
      <c r="OZN143" s="33"/>
      <c r="OZO143" s="33"/>
      <c r="OZP143" s="33"/>
      <c r="OZQ143" s="33"/>
      <c r="OZR143" s="33"/>
      <c r="OZS143" s="33"/>
      <c r="OZT143" s="33"/>
      <c r="OZU143" s="33"/>
      <c r="OZV143" s="33"/>
      <c r="OZW143" s="33"/>
      <c r="OZX143" s="33"/>
      <c r="OZY143" s="33"/>
      <c r="OZZ143" s="33"/>
      <c r="PAA143" s="33"/>
      <c r="PAB143" s="33"/>
      <c r="PAC143" s="33"/>
      <c r="PAD143" s="33"/>
      <c r="PAE143" s="33"/>
      <c r="PAF143" s="33"/>
      <c r="PAG143" s="33"/>
      <c r="PAH143" s="33"/>
      <c r="PAI143" s="33"/>
      <c r="PAJ143" s="33"/>
      <c r="PAK143" s="33"/>
      <c r="PAL143" s="33"/>
      <c r="PAM143" s="33"/>
      <c r="PAN143" s="33"/>
      <c r="PAO143" s="33"/>
      <c r="PAP143" s="33"/>
      <c r="PAQ143" s="33"/>
      <c r="PAR143" s="33"/>
      <c r="PAS143" s="33"/>
      <c r="PAT143" s="33"/>
      <c r="PAU143" s="33"/>
      <c r="PAV143" s="33"/>
      <c r="PAW143" s="33"/>
      <c r="PAX143" s="33"/>
      <c r="PAY143" s="33"/>
      <c r="PAZ143" s="33"/>
      <c r="PBA143" s="33"/>
      <c r="PBB143" s="33"/>
      <c r="PBC143" s="33"/>
      <c r="PBD143" s="33"/>
      <c r="PBE143" s="33"/>
      <c r="PBF143" s="33"/>
      <c r="PBG143" s="33"/>
      <c r="PBH143" s="33"/>
      <c r="PBI143" s="33"/>
      <c r="PBJ143" s="33"/>
      <c r="PBK143" s="33"/>
      <c r="PBL143" s="33"/>
      <c r="PBM143" s="33"/>
      <c r="PBN143" s="33"/>
      <c r="PBO143" s="33"/>
      <c r="PBP143" s="33"/>
      <c r="PBQ143" s="33"/>
      <c r="PBR143" s="33"/>
      <c r="PBS143" s="33"/>
      <c r="PBT143" s="33"/>
      <c r="PBU143" s="33"/>
      <c r="PBV143" s="33"/>
      <c r="PBW143" s="33"/>
      <c r="PBX143" s="33"/>
      <c r="PBY143" s="33"/>
      <c r="PBZ143" s="33"/>
      <c r="PCA143" s="33"/>
      <c r="PCB143" s="33"/>
      <c r="PCC143" s="33"/>
      <c r="PCD143" s="33"/>
      <c r="PCE143" s="33"/>
      <c r="PCF143" s="33"/>
      <c r="PCG143" s="33"/>
      <c r="PCH143" s="33"/>
      <c r="PCI143" s="33"/>
      <c r="PCJ143" s="33"/>
      <c r="PCK143" s="33"/>
      <c r="PCL143" s="33"/>
      <c r="PCM143" s="33"/>
      <c r="PCN143" s="33"/>
      <c r="PCO143" s="33"/>
      <c r="PCP143" s="33"/>
      <c r="PCQ143" s="33"/>
      <c r="PCR143" s="33"/>
      <c r="PCS143" s="33"/>
      <c r="PCT143" s="33"/>
      <c r="PCU143" s="33"/>
      <c r="PCV143" s="33"/>
      <c r="PCW143" s="33"/>
      <c r="PCX143" s="33"/>
      <c r="PCY143" s="33"/>
      <c r="PCZ143" s="33"/>
      <c r="PDA143" s="33"/>
      <c r="PDB143" s="33"/>
      <c r="PDC143" s="33"/>
      <c r="PDD143" s="33"/>
      <c r="PDE143" s="33"/>
      <c r="PDF143" s="33"/>
      <c r="PDG143" s="33"/>
      <c r="PDH143" s="33"/>
      <c r="PDI143" s="33"/>
      <c r="PDJ143" s="33"/>
      <c r="PDK143" s="33"/>
      <c r="PDL143" s="33"/>
      <c r="PDM143" s="33"/>
      <c r="PDN143" s="33"/>
      <c r="PDO143" s="33"/>
      <c r="PDP143" s="33"/>
      <c r="PDQ143" s="33"/>
      <c r="PDR143" s="33"/>
      <c r="PDS143" s="33"/>
      <c r="PDT143" s="33"/>
      <c r="PDU143" s="33"/>
      <c r="PDV143" s="33"/>
      <c r="PDW143" s="33"/>
      <c r="PDX143" s="33"/>
      <c r="PDY143" s="33"/>
      <c r="PDZ143" s="33"/>
      <c r="PEA143" s="33"/>
      <c r="PEB143" s="33"/>
      <c r="PEC143" s="33"/>
      <c r="PED143" s="33"/>
      <c r="PEE143" s="33"/>
      <c r="PEF143" s="33"/>
      <c r="PEG143" s="33"/>
      <c r="PEH143" s="33"/>
      <c r="PEI143" s="33"/>
      <c r="PEJ143" s="33"/>
      <c r="PEK143" s="33"/>
      <c r="PEL143" s="33"/>
      <c r="PEM143" s="33"/>
      <c r="PEN143" s="33"/>
      <c r="PEO143" s="33"/>
      <c r="PEP143" s="33"/>
      <c r="PEQ143" s="33"/>
      <c r="PER143" s="33"/>
      <c r="PES143" s="33"/>
      <c r="PET143" s="33"/>
      <c r="PEU143" s="33"/>
      <c r="PEV143" s="33"/>
      <c r="PEW143" s="33"/>
      <c r="PEX143" s="33"/>
      <c r="PEY143" s="33"/>
      <c r="PEZ143" s="33"/>
      <c r="PFA143" s="33"/>
      <c r="PFB143" s="33"/>
      <c r="PFC143" s="33"/>
      <c r="PFD143" s="33"/>
      <c r="PFE143" s="33"/>
      <c r="PFF143" s="33"/>
      <c r="PFG143" s="33"/>
      <c r="PFH143" s="33"/>
      <c r="PFI143" s="33"/>
      <c r="PFJ143" s="33"/>
      <c r="PFK143" s="33"/>
      <c r="PFL143" s="33"/>
      <c r="PFM143" s="33"/>
      <c r="PFN143" s="33"/>
      <c r="PFO143" s="33"/>
      <c r="PFP143" s="33"/>
      <c r="PFQ143" s="33"/>
      <c r="PFR143" s="33"/>
      <c r="PFS143" s="33"/>
      <c r="PFT143" s="33"/>
      <c r="PFU143" s="33"/>
      <c r="PFV143" s="33"/>
      <c r="PFW143" s="33"/>
      <c r="PFX143" s="33"/>
      <c r="PFY143" s="33"/>
      <c r="PFZ143" s="33"/>
      <c r="PGA143" s="33"/>
      <c r="PGB143" s="33"/>
      <c r="PGC143" s="33"/>
      <c r="PGD143" s="33"/>
      <c r="PGE143" s="33"/>
      <c r="PGF143" s="33"/>
      <c r="PGG143" s="33"/>
      <c r="PGH143" s="33"/>
      <c r="PGI143" s="33"/>
      <c r="PGJ143" s="33"/>
      <c r="PGK143" s="33"/>
      <c r="PGL143" s="33"/>
      <c r="PGM143" s="33"/>
      <c r="PGN143" s="33"/>
      <c r="PGO143" s="33"/>
      <c r="PGP143" s="33"/>
      <c r="PGQ143" s="33"/>
      <c r="PGR143" s="33"/>
      <c r="PGS143" s="33"/>
      <c r="PGT143" s="33"/>
      <c r="PGU143" s="33"/>
      <c r="PGV143" s="33"/>
      <c r="PGW143" s="33"/>
      <c r="PGX143" s="33"/>
      <c r="PGY143" s="33"/>
      <c r="PGZ143" s="33"/>
      <c r="PHA143" s="33"/>
      <c r="PHB143" s="33"/>
      <c r="PHC143" s="33"/>
      <c r="PHD143" s="33"/>
      <c r="PHE143" s="33"/>
      <c r="PHF143" s="33"/>
      <c r="PHG143" s="33"/>
      <c r="PHH143" s="33"/>
      <c r="PHI143" s="33"/>
      <c r="PHJ143" s="33"/>
      <c r="PHK143" s="33"/>
      <c r="PHL143" s="33"/>
      <c r="PHM143" s="33"/>
      <c r="PHN143" s="33"/>
      <c r="PHO143" s="33"/>
      <c r="PHP143" s="33"/>
      <c r="PHQ143" s="33"/>
      <c r="PHR143" s="33"/>
      <c r="PHS143" s="33"/>
      <c r="PHT143" s="33"/>
      <c r="PHU143" s="33"/>
      <c r="PHV143" s="33"/>
      <c r="PHW143" s="33"/>
      <c r="PHX143" s="33"/>
      <c r="PHY143" s="33"/>
      <c r="PHZ143" s="33"/>
      <c r="PIA143" s="33"/>
      <c r="PIB143" s="33"/>
      <c r="PIC143" s="33"/>
      <c r="PID143" s="33"/>
      <c r="PIE143" s="33"/>
      <c r="PIF143" s="33"/>
      <c r="PIG143" s="33"/>
      <c r="PIH143" s="33"/>
      <c r="PII143" s="33"/>
      <c r="PIJ143" s="33"/>
      <c r="PIK143" s="33"/>
      <c r="PIL143" s="33"/>
      <c r="PIM143" s="33"/>
      <c r="PIN143" s="33"/>
      <c r="PIO143" s="33"/>
      <c r="PIP143" s="33"/>
      <c r="PIQ143" s="33"/>
      <c r="PIR143" s="33"/>
      <c r="PIS143" s="33"/>
      <c r="PIT143" s="33"/>
      <c r="PIU143" s="33"/>
      <c r="PIV143" s="33"/>
      <c r="PIW143" s="33"/>
      <c r="PIX143" s="33"/>
      <c r="PIY143" s="33"/>
      <c r="PIZ143" s="33"/>
      <c r="PJA143" s="33"/>
      <c r="PJB143" s="33"/>
      <c r="PJC143" s="33"/>
      <c r="PJD143" s="33"/>
      <c r="PJE143" s="33"/>
      <c r="PJF143" s="33"/>
      <c r="PJG143" s="33"/>
      <c r="PJH143" s="33"/>
      <c r="PJI143" s="33"/>
      <c r="PJJ143" s="33"/>
      <c r="PJK143" s="33"/>
      <c r="PJL143" s="33"/>
      <c r="PJM143" s="33"/>
      <c r="PJN143" s="33"/>
      <c r="PJO143" s="33"/>
      <c r="PJP143" s="33"/>
      <c r="PJQ143" s="33"/>
      <c r="PJR143" s="33"/>
      <c r="PJS143" s="33"/>
      <c r="PJT143" s="33"/>
      <c r="PJU143" s="33"/>
      <c r="PJV143" s="33"/>
      <c r="PJW143" s="33"/>
      <c r="PJX143" s="33"/>
      <c r="PJY143" s="33"/>
      <c r="PJZ143" s="33"/>
      <c r="PKA143" s="33"/>
      <c r="PKB143" s="33"/>
      <c r="PKC143" s="33"/>
      <c r="PKD143" s="33"/>
      <c r="PKE143" s="33"/>
      <c r="PKF143" s="33"/>
      <c r="PKG143" s="33"/>
      <c r="PKH143" s="33"/>
      <c r="PKI143" s="33"/>
      <c r="PKJ143" s="33"/>
      <c r="PKK143" s="33"/>
      <c r="PKL143" s="33"/>
      <c r="PKM143" s="33"/>
      <c r="PKN143" s="33"/>
      <c r="PKO143" s="33"/>
      <c r="PKP143" s="33"/>
      <c r="PKQ143" s="33"/>
      <c r="PKR143" s="33"/>
      <c r="PKS143" s="33"/>
      <c r="PKT143" s="33"/>
      <c r="PKU143" s="33"/>
      <c r="PKV143" s="33"/>
      <c r="PKW143" s="33"/>
      <c r="PKX143" s="33"/>
      <c r="PKY143" s="33"/>
      <c r="PKZ143" s="33"/>
      <c r="PLA143" s="33"/>
      <c r="PLB143" s="33"/>
      <c r="PLC143" s="33"/>
      <c r="PLD143" s="33"/>
      <c r="PLE143" s="33"/>
      <c r="PLF143" s="33"/>
      <c r="PLG143" s="33"/>
      <c r="PLH143" s="33"/>
      <c r="PLI143" s="33"/>
      <c r="PLJ143" s="33"/>
      <c r="PLK143" s="33"/>
      <c r="PLL143" s="33"/>
      <c r="PLM143" s="33"/>
      <c r="PLN143" s="33"/>
      <c r="PLO143" s="33"/>
      <c r="PLP143" s="33"/>
      <c r="PLQ143" s="33"/>
      <c r="PLR143" s="33"/>
      <c r="PLS143" s="33"/>
      <c r="PLT143" s="33"/>
      <c r="PLU143" s="33"/>
      <c r="PLV143" s="33"/>
      <c r="PLW143" s="33"/>
      <c r="PLX143" s="33"/>
      <c r="PLY143" s="33"/>
      <c r="PLZ143" s="33"/>
      <c r="PMA143" s="33"/>
      <c r="PMB143" s="33"/>
      <c r="PMC143" s="33"/>
      <c r="PMD143" s="33"/>
      <c r="PME143" s="33"/>
      <c r="PMF143" s="33"/>
      <c r="PMG143" s="33"/>
      <c r="PMH143" s="33"/>
      <c r="PMI143" s="33"/>
      <c r="PMJ143" s="33"/>
      <c r="PMK143" s="33"/>
      <c r="PML143" s="33"/>
      <c r="PMM143" s="33"/>
      <c r="PMN143" s="33"/>
      <c r="PMO143" s="33"/>
      <c r="PMP143" s="33"/>
      <c r="PMQ143" s="33"/>
      <c r="PMR143" s="33"/>
      <c r="PMS143" s="33"/>
      <c r="PMT143" s="33"/>
      <c r="PMU143" s="33"/>
      <c r="PMV143" s="33"/>
      <c r="PMW143" s="33"/>
      <c r="PMX143" s="33"/>
      <c r="PMY143" s="33"/>
      <c r="PMZ143" s="33"/>
      <c r="PNA143" s="33"/>
      <c r="PNB143" s="33"/>
      <c r="PNC143" s="33"/>
      <c r="PND143" s="33"/>
      <c r="PNE143" s="33"/>
      <c r="PNF143" s="33"/>
      <c r="PNG143" s="33"/>
      <c r="PNH143" s="33"/>
      <c r="PNI143" s="33"/>
      <c r="PNJ143" s="33"/>
      <c r="PNK143" s="33"/>
      <c r="PNL143" s="33"/>
      <c r="PNM143" s="33"/>
      <c r="PNN143" s="33"/>
      <c r="PNO143" s="33"/>
      <c r="PNP143" s="33"/>
      <c r="PNQ143" s="33"/>
      <c r="PNR143" s="33"/>
      <c r="PNS143" s="33"/>
      <c r="PNT143" s="33"/>
      <c r="PNU143" s="33"/>
      <c r="PNV143" s="33"/>
      <c r="PNW143" s="33"/>
      <c r="PNX143" s="33"/>
      <c r="PNY143" s="33"/>
      <c r="PNZ143" s="33"/>
      <c r="POA143" s="33"/>
      <c r="POB143" s="33"/>
      <c r="POC143" s="33"/>
      <c r="POD143" s="33"/>
      <c r="POE143" s="33"/>
      <c r="POF143" s="33"/>
      <c r="POG143" s="33"/>
      <c r="POH143" s="33"/>
      <c r="POI143" s="33"/>
      <c r="POJ143" s="33"/>
      <c r="POK143" s="33"/>
      <c r="POL143" s="33"/>
      <c r="POM143" s="33"/>
      <c r="PON143" s="33"/>
      <c r="POO143" s="33"/>
      <c r="POP143" s="33"/>
      <c r="POQ143" s="33"/>
      <c r="POR143" s="33"/>
      <c r="POS143" s="33"/>
      <c r="POT143" s="33"/>
      <c r="POU143" s="33"/>
      <c r="POV143" s="33"/>
      <c r="POW143" s="33"/>
      <c r="POX143" s="33"/>
      <c r="POY143" s="33"/>
      <c r="POZ143" s="33"/>
      <c r="PPA143" s="33"/>
      <c r="PPB143" s="33"/>
      <c r="PPC143" s="33"/>
      <c r="PPD143" s="33"/>
      <c r="PPE143" s="33"/>
      <c r="PPF143" s="33"/>
      <c r="PPG143" s="33"/>
      <c r="PPH143" s="33"/>
      <c r="PPI143" s="33"/>
      <c r="PPJ143" s="33"/>
      <c r="PPK143" s="33"/>
      <c r="PPL143" s="33"/>
      <c r="PPM143" s="33"/>
      <c r="PPN143" s="33"/>
      <c r="PPO143" s="33"/>
      <c r="PPP143" s="33"/>
      <c r="PPQ143" s="33"/>
      <c r="PPR143" s="33"/>
      <c r="PPS143" s="33"/>
      <c r="PPT143" s="33"/>
      <c r="PPU143" s="33"/>
      <c r="PPV143" s="33"/>
      <c r="PPW143" s="33"/>
      <c r="PPX143" s="33"/>
      <c r="PPY143" s="33"/>
      <c r="PPZ143" s="33"/>
      <c r="PQA143" s="33"/>
      <c r="PQB143" s="33"/>
      <c r="PQC143" s="33"/>
      <c r="PQD143" s="33"/>
      <c r="PQE143" s="33"/>
      <c r="PQF143" s="33"/>
      <c r="PQG143" s="33"/>
      <c r="PQH143" s="33"/>
      <c r="PQI143" s="33"/>
      <c r="PQJ143" s="33"/>
      <c r="PQK143" s="33"/>
      <c r="PQL143" s="33"/>
      <c r="PQM143" s="33"/>
      <c r="PQN143" s="33"/>
      <c r="PQO143" s="33"/>
      <c r="PQP143" s="33"/>
      <c r="PQQ143" s="33"/>
      <c r="PQR143" s="33"/>
      <c r="PQS143" s="33"/>
      <c r="PQT143" s="33"/>
      <c r="PQU143" s="33"/>
      <c r="PQV143" s="33"/>
      <c r="PQW143" s="33"/>
      <c r="PQX143" s="33"/>
      <c r="PQY143" s="33"/>
      <c r="PQZ143" s="33"/>
      <c r="PRA143" s="33"/>
      <c r="PRB143" s="33"/>
      <c r="PRC143" s="33"/>
      <c r="PRD143" s="33"/>
      <c r="PRE143" s="33"/>
      <c r="PRF143" s="33"/>
      <c r="PRG143" s="33"/>
      <c r="PRH143" s="33"/>
      <c r="PRI143" s="33"/>
      <c r="PRJ143" s="33"/>
      <c r="PRK143" s="33"/>
      <c r="PRL143" s="33"/>
      <c r="PRM143" s="33"/>
      <c r="PRN143" s="33"/>
      <c r="PRO143" s="33"/>
      <c r="PRP143" s="33"/>
      <c r="PRQ143" s="33"/>
      <c r="PRR143" s="33"/>
      <c r="PRS143" s="33"/>
      <c r="PRT143" s="33"/>
      <c r="PRU143" s="33"/>
      <c r="PRV143" s="33"/>
      <c r="PRW143" s="33"/>
      <c r="PRX143" s="33"/>
      <c r="PRY143" s="33"/>
      <c r="PRZ143" s="33"/>
      <c r="PSA143" s="33"/>
      <c r="PSB143" s="33"/>
      <c r="PSC143" s="33"/>
      <c r="PSD143" s="33"/>
      <c r="PSE143" s="33"/>
      <c r="PSF143" s="33"/>
      <c r="PSG143" s="33"/>
      <c r="PSH143" s="33"/>
      <c r="PSI143" s="33"/>
      <c r="PSJ143" s="33"/>
      <c r="PSK143" s="33"/>
      <c r="PSL143" s="33"/>
      <c r="PSM143" s="33"/>
      <c r="PSN143" s="33"/>
      <c r="PSO143" s="33"/>
      <c r="PSP143" s="33"/>
      <c r="PSQ143" s="33"/>
      <c r="PSR143" s="33"/>
      <c r="PSS143" s="33"/>
      <c r="PST143" s="33"/>
      <c r="PSU143" s="33"/>
      <c r="PSV143" s="33"/>
      <c r="PSW143" s="33"/>
      <c r="PSX143" s="33"/>
      <c r="PSY143" s="33"/>
      <c r="PSZ143" s="33"/>
      <c r="PTA143" s="33"/>
      <c r="PTB143" s="33"/>
      <c r="PTC143" s="33"/>
      <c r="PTD143" s="33"/>
      <c r="PTE143" s="33"/>
      <c r="PTF143" s="33"/>
      <c r="PTG143" s="33"/>
      <c r="PTH143" s="33"/>
      <c r="PTI143" s="33"/>
      <c r="PTJ143" s="33"/>
      <c r="PTK143" s="33"/>
      <c r="PTL143" s="33"/>
      <c r="PTM143" s="33"/>
      <c r="PTN143" s="33"/>
      <c r="PTO143" s="33"/>
      <c r="PTP143" s="33"/>
      <c r="PTQ143" s="33"/>
      <c r="PTR143" s="33"/>
      <c r="PTS143" s="33"/>
      <c r="PTT143" s="33"/>
      <c r="PTU143" s="33"/>
      <c r="PTV143" s="33"/>
      <c r="PTW143" s="33"/>
      <c r="PTX143" s="33"/>
      <c r="PTY143" s="33"/>
      <c r="PTZ143" s="33"/>
      <c r="PUA143" s="33"/>
      <c r="PUB143" s="33"/>
      <c r="PUC143" s="33"/>
      <c r="PUD143" s="33"/>
      <c r="PUE143" s="33"/>
      <c r="PUF143" s="33"/>
      <c r="PUG143" s="33"/>
      <c r="PUH143" s="33"/>
      <c r="PUI143" s="33"/>
      <c r="PUJ143" s="33"/>
      <c r="PUK143" s="33"/>
      <c r="PUL143" s="33"/>
      <c r="PUM143" s="33"/>
      <c r="PUN143" s="33"/>
      <c r="PUO143" s="33"/>
      <c r="PUP143" s="33"/>
      <c r="PUQ143" s="33"/>
      <c r="PUR143" s="33"/>
      <c r="PUS143" s="33"/>
      <c r="PUT143" s="33"/>
      <c r="PUU143" s="33"/>
      <c r="PUV143" s="33"/>
      <c r="PUW143" s="33"/>
      <c r="PUX143" s="33"/>
      <c r="PUY143" s="33"/>
      <c r="PUZ143" s="33"/>
      <c r="PVA143" s="33"/>
      <c r="PVB143" s="33"/>
      <c r="PVC143" s="33"/>
      <c r="PVD143" s="33"/>
      <c r="PVE143" s="33"/>
      <c r="PVF143" s="33"/>
      <c r="PVG143" s="33"/>
      <c r="PVH143" s="33"/>
      <c r="PVI143" s="33"/>
      <c r="PVJ143" s="33"/>
      <c r="PVK143" s="33"/>
      <c r="PVL143" s="33"/>
      <c r="PVM143" s="33"/>
      <c r="PVN143" s="33"/>
      <c r="PVO143" s="33"/>
      <c r="PVP143" s="33"/>
      <c r="PVQ143" s="33"/>
      <c r="PVR143" s="33"/>
      <c r="PVS143" s="33"/>
      <c r="PVT143" s="33"/>
      <c r="PVU143" s="33"/>
      <c r="PVV143" s="33"/>
      <c r="PVW143" s="33"/>
      <c r="PVX143" s="33"/>
      <c r="PVY143" s="33"/>
      <c r="PVZ143" s="33"/>
      <c r="PWA143" s="33"/>
      <c r="PWB143" s="33"/>
      <c r="PWC143" s="33"/>
      <c r="PWD143" s="33"/>
      <c r="PWE143" s="33"/>
      <c r="PWF143" s="33"/>
      <c r="PWG143" s="33"/>
      <c r="PWH143" s="33"/>
      <c r="PWI143" s="33"/>
      <c r="PWJ143" s="33"/>
      <c r="PWK143" s="33"/>
      <c r="PWL143" s="33"/>
      <c r="PWM143" s="33"/>
      <c r="PWN143" s="33"/>
      <c r="PWO143" s="33"/>
      <c r="PWP143" s="33"/>
      <c r="PWQ143" s="33"/>
      <c r="PWR143" s="33"/>
      <c r="PWS143" s="33"/>
      <c r="PWT143" s="33"/>
      <c r="PWU143" s="33"/>
      <c r="PWV143" s="33"/>
      <c r="PWW143" s="33"/>
      <c r="PWX143" s="33"/>
      <c r="PWY143" s="33"/>
      <c r="PWZ143" s="33"/>
      <c r="PXA143" s="33"/>
      <c r="PXB143" s="33"/>
      <c r="PXC143" s="33"/>
      <c r="PXD143" s="33"/>
      <c r="PXE143" s="33"/>
      <c r="PXF143" s="33"/>
      <c r="PXG143" s="33"/>
      <c r="PXH143" s="33"/>
      <c r="PXI143" s="33"/>
      <c r="PXJ143" s="33"/>
      <c r="PXK143" s="33"/>
      <c r="PXL143" s="33"/>
      <c r="PXM143" s="33"/>
      <c r="PXN143" s="33"/>
      <c r="PXO143" s="33"/>
      <c r="PXP143" s="33"/>
      <c r="PXQ143" s="33"/>
      <c r="PXR143" s="33"/>
      <c r="PXS143" s="33"/>
      <c r="PXT143" s="33"/>
      <c r="PXU143" s="33"/>
      <c r="PXV143" s="33"/>
      <c r="PXW143" s="33"/>
      <c r="PXX143" s="33"/>
      <c r="PXY143" s="33"/>
      <c r="PXZ143" s="33"/>
      <c r="PYA143" s="33"/>
      <c r="PYB143" s="33"/>
      <c r="PYC143" s="33"/>
      <c r="PYD143" s="33"/>
      <c r="PYE143" s="33"/>
      <c r="PYF143" s="33"/>
      <c r="PYG143" s="33"/>
      <c r="PYH143" s="33"/>
      <c r="PYI143" s="33"/>
      <c r="PYJ143" s="33"/>
      <c r="PYK143" s="33"/>
      <c r="PYL143" s="33"/>
      <c r="PYM143" s="33"/>
      <c r="PYN143" s="33"/>
      <c r="PYO143" s="33"/>
      <c r="PYP143" s="33"/>
      <c r="PYQ143" s="33"/>
      <c r="PYR143" s="33"/>
      <c r="PYS143" s="33"/>
      <c r="PYT143" s="33"/>
      <c r="PYU143" s="33"/>
      <c r="PYV143" s="33"/>
      <c r="PYW143" s="33"/>
      <c r="PYX143" s="33"/>
      <c r="PYY143" s="33"/>
      <c r="PYZ143" s="33"/>
      <c r="PZA143" s="33"/>
      <c r="PZB143" s="33"/>
      <c r="PZC143" s="33"/>
      <c r="PZD143" s="33"/>
      <c r="PZE143" s="33"/>
      <c r="PZF143" s="33"/>
      <c r="PZG143" s="33"/>
      <c r="PZH143" s="33"/>
      <c r="PZI143" s="33"/>
      <c r="PZJ143" s="33"/>
      <c r="PZK143" s="33"/>
      <c r="PZL143" s="33"/>
      <c r="PZM143" s="33"/>
      <c r="PZN143" s="33"/>
      <c r="PZO143" s="33"/>
      <c r="PZP143" s="33"/>
      <c r="PZQ143" s="33"/>
      <c r="PZR143" s="33"/>
      <c r="PZS143" s="33"/>
      <c r="PZT143" s="33"/>
      <c r="PZU143" s="33"/>
      <c r="PZV143" s="33"/>
      <c r="PZW143" s="33"/>
      <c r="PZX143" s="33"/>
      <c r="PZY143" s="33"/>
      <c r="PZZ143" s="33"/>
      <c r="QAA143" s="33"/>
      <c r="QAB143" s="33"/>
      <c r="QAC143" s="33"/>
      <c r="QAD143" s="33"/>
      <c r="QAE143" s="33"/>
      <c r="QAF143" s="33"/>
      <c r="QAG143" s="33"/>
      <c r="QAH143" s="33"/>
      <c r="QAI143" s="33"/>
      <c r="QAJ143" s="33"/>
      <c r="QAK143" s="33"/>
      <c r="QAL143" s="33"/>
      <c r="QAM143" s="33"/>
      <c r="QAN143" s="33"/>
      <c r="QAO143" s="33"/>
      <c r="QAP143" s="33"/>
      <c r="QAQ143" s="33"/>
      <c r="QAR143" s="33"/>
      <c r="QAS143" s="33"/>
      <c r="QAT143" s="33"/>
      <c r="QAU143" s="33"/>
      <c r="QAV143" s="33"/>
      <c r="QAW143" s="33"/>
      <c r="QAX143" s="33"/>
      <c r="QAY143" s="33"/>
      <c r="QAZ143" s="33"/>
      <c r="QBA143" s="33"/>
      <c r="QBB143" s="33"/>
      <c r="QBC143" s="33"/>
      <c r="QBD143" s="33"/>
      <c r="QBE143" s="33"/>
      <c r="QBF143" s="33"/>
      <c r="QBG143" s="33"/>
      <c r="QBH143" s="33"/>
      <c r="QBI143" s="33"/>
      <c r="QBJ143" s="33"/>
      <c r="QBK143" s="33"/>
      <c r="QBL143" s="33"/>
      <c r="QBM143" s="33"/>
      <c r="QBN143" s="33"/>
      <c r="QBO143" s="33"/>
      <c r="QBP143" s="33"/>
      <c r="QBQ143" s="33"/>
      <c r="QBR143" s="33"/>
      <c r="QBS143" s="33"/>
      <c r="QBT143" s="33"/>
      <c r="QBU143" s="33"/>
      <c r="QBV143" s="33"/>
      <c r="QBW143" s="33"/>
      <c r="QBX143" s="33"/>
      <c r="QBY143" s="33"/>
      <c r="QBZ143" s="33"/>
      <c r="QCA143" s="33"/>
      <c r="QCB143" s="33"/>
      <c r="QCC143" s="33"/>
      <c r="QCD143" s="33"/>
      <c r="QCE143" s="33"/>
      <c r="QCF143" s="33"/>
      <c r="QCG143" s="33"/>
      <c r="QCH143" s="33"/>
      <c r="QCI143" s="33"/>
      <c r="QCJ143" s="33"/>
      <c r="QCK143" s="33"/>
      <c r="QCL143" s="33"/>
      <c r="QCM143" s="33"/>
      <c r="QCN143" s="33"/>
      <c r="QCO143" s="33"/>
      <c r="QCP143" s="33"/>
      <c r="QCQ143" s="33"/>
      <c r="QCR143" s="33"/>
      <c r="QCS143" s="33"/>
      <c r="QCT143" s="33"/>
      <c r="QCU143" s="33"/>
      <c r="QCV143" s="33"/>
      <c r="QCW143" s="33"/>
      <c r="QCX143" s="33"/>
      <c r="QCY143" s="33"/>
      <c r="QCZ143" s="33"/>
      <c r="QDA143" s="33"/>
      <c r="QDB143" s="33"/>
      <c r="QDC143" s="33"/>
      <c r="QDD143" s="33"/>
      <c r="QDE143" s="33"/>
      <c r="QDF143" s="33"/>
      <c r="QDG143" s="33"/>
      <c r="QDH143" s="33"/>
      <c r="QDI143" s="33"/>
      <c r="QDJ143" s="33"/>
      <c r="QDK143" s="33"/>
      <c r="QDL143" s="33"/>
      <c r="QDM143" s="33"/>
      <c r="QDN143" s="33"/>
      <c r="QDO143" s="33"/>
      <c r="QDP143" s="33"/>
      <c r="QDQ143" s="33"/>
      <c r="QDR143" s="33"/>
      <c r="QDS143" s="33"/>
      <c r="QDT143" s="33"/>
      <c r="QDU143" s="33"/>
      <c r="QDV143" s="33"/>
      <c r="QDW143" s="33"/>
      <c r="QDX143" s="33"/>
      <c r="QDY143" s="33"/>
      <c r="QDZ143" s="33"/>
      <c r="QEA143" s="33"/>
      <c r="QEB143" s="33"/>
      <c r="QEC143" s="33"/>
      <c r="QED143" s="33"/>
      <c r="QEE143" s="33"/>
      <c r="QEF143" s="33"/>
      <c r="QEG143" s="33"/>
      <c r="QEH143" s="33"/>
      <c r="QEI143" s="33"/>
      <c r="QEJ143" s="33"/>
      <c r="QEK143" s="33"/>
      <c r="QEL143" s="33"/>
      <c r="QEM143" s="33"/>
      <c r="QEN143" s="33"/>
      <c r="QEO143" s="33"/>
      <c r="QEP143" s="33"/>
      <c r="QEQ143" s="33"/>
      <c r="QER143" s="33"/>
      <c r="QES143" s="33"/>
      <c r="QET143" s="33"/>
      <c r="QEU143" s="33"/>
      <c r="QEV143" s="33"/>
      <c r="QEW143" s="33"/>
      <c r="QEX143" s="33"/>
      <c r="QEY143" s="33"/>
      <c r="QEZ143" s="33"/>
      <c r="QFA143" s="33"/>
      <c r="QFB143" s="33"/>
      <c r="QFC143" s="33"/>
      <c r="QFD143" s="33"/>
      <c r="QFE143" s="33"/>
      <c r="QFF143" s="33"/>
      <c r="QFG143" s="33"/>
      <c r="QFH143" s="33"/>
      <c r="QFI143" s="33"/>
      <c r="QFJ143" s="33"/>
      <c r="QFK143" s="33"/>
      <c r="QFL143" s="33"/>
      <c r="QFM143" s="33"/>
      <c r="QFN143" s="33"/>
      <c r="QFO143" s="33"/>
      <c r="QFP143" s="33"/>
      <c r="QFQ143" s="33"/>
      <c r="QFR143" s="33"/>
      <c r="QFS143" s="33"/>
      <c r="QFT143" s="33"/>
      <c r="QFU143" s="33"/>
      <c r="QFV143" s="33"/>
      <c r="QFW143" s="33"/>
      <c r="QFX143" s="33"/>
      <c r="QFY143" s="33"/>
      <c r="QFZ143" s="33"/>
      <c r="QGA143" s="33"/>
      <c r="QGB143" s="33"/>
      <c r="QGC143" s="33"/>
      <c r="QGD143" s="33"/>
      <c r="QGE143" s="33"/>
      <c r="QGF143" s="33"/>
      <c r="QGG143" s="33"/>
      <c r="QGH143" s="33"/>
      <c r="QGI143" s="33"/>
      <c r="QGJ143" s="33"/>
      <c r="QGK143" s="33"/>
      <c r="QGL143" s="33"/>
      <c r="QGM143" s="33"/>
      <c r="QGN143" s="33"/>
      <c r="QGO143" s="33"/>
      <c r="QGP143" s="33"/>
      <c r="QGQ143" s="33"/>
      <c r="QGR143" s="33"/>
      <c r="QGS143" s="33"/>
      <c r="QGT143" s="33"/>
      <c r="QGU143" s="33"/>
      <c r="QGV143" s="33"/>
      <c r="QGW143" s="33"/>
      <c r="QGX143" s="33"/>
      <c r="QGY143" s="33"/>
      <c r="QGZ143" s="33"/>
      <c r="QHA143" s="33"/>
      <c r="QHB143" s="33"/>
      <c r="QHC143" s="33"/>
      <c r="QHD143" s="33"/>
      <c r="QHE143" s="33"/>
      <c r="QHF143" s="33"/>
      <c r="QHG143" s="33"/>
      <c r="QHH143" s="33"/>
      <c r="QHI143" s="33"/>
      <c r="QHJ143" s="33"/>
      <c r="QHK143" s="33"/>
      <c r="QHL143" s="33"/>
      <c r="QHM143" s="33"/>
      <c r="QHN143" s="33"/>
      <c r="QHO143" s="33"/>
      <c r="QHP143" s="33"/>
      <c r="QHQ143" s="33"/>
      <c r="QHR143" s="33"/>
      <c r="QHS143" s="33"/>
      <c r="QHT143" s="33"/>
      <c r="QHU143" s="33"/>
      <c r="QHV143" s="33"/>
      <c r="QHW143" s="33"/>
      <c r="QHX143" s="33"/>
      <c r="QHY143" s="33"/>
      <c r="QHZ143" s="33"/>
      <c r="QIA143" s="33"/>
      <c r="QIB143" s="33"/>
      <c r="QIC143" s="33"/>
      <c r="QID143" s="33"/>
      <c r="QIE143" s="33"/>
      <c r="QIF143" s="33"/>
      <c r="QIG143" s="33"/>
      <c r="QIH143" s="33"/>
      <c r="QII143" s="33"/>
      <c r="QIJ143" s="33"/>
      <c r="QIK143" s="33"/>
      <c r="QIL143" s="33"/>
      <c r="QIM143" s="33"/>
      <c r="QIN143" s="33"/>
      <c r="QIO143" s="33"/>
      <c r="QIP143" s="33"/>
      <c r="QIQ143" s="33"/>
      <c r="QIR143" s="33"/>
      <c r="QIS143" s="33"/>
      <c r="QIT143" s="33"/>
      <c r="QIU143" s="33"/>
      <c r="QIV143" s="33"/>
      <c r="QIW143" s="33"/>
      <c r="QIX143" s="33"/>
      <c r="QIY143" s="33"/>
      <c r="QIZ143" s="33"/>
      <c r="QJA143" s="33"/>
      <c r="QJB143" s="33"/>
      <c r="QJC143" s="33"/>
      <c r="QJD143" s="33"/>
      <c r="QJE143" s="33"/>
      <c r="QJF143" s="33"/>
      <c r="QJG143" s="33"/>
      <c r="QJH143" s="33"/>
      <c r="QJI143" s="33"/>
      <c r="QJJ143" s="33"/>
      <c r="QJK143" s="33"/>
      <c r="QJL143" s="33"/>
      <c r="QJM143" s="33"/>
      <c r="QJN143" s="33"/>
      <c r="QJO143" s="33"/>
      <c r="QJP143" s="33"/>
      <c r="QJQ143" s="33"/>
      <c r="QJR143" s="33"/>
      <c r="QJS143" s="33"/>
      <c r="QJT143" s="33"/>
      <c r="QJU143" s="33"/>
      <c r="QJV143" s="33"/>
      <c r="QJW143" s="33"/>
      <c r="QJX143" s="33"/>
      <c r="QJY143" s="33"/>
      <c r="QJZ143" s="33"/>
      <c r="QKA143" s="33"/>
      <c r="QKB143" s="33"/>
      <c r="QKC143" s="33"/>
      <c r="QKD143" s="33"/>
      <c r="QKE143" s="33"/>
      <c r="QKF143" s="33"/>
      <c r="QKG143" s="33"/>
      <c r="QKH143" s="33"/>
      <c r="QKI143" s="33"/>
      <c r="QKJ143" s="33"/>
      <c r="QKK143" s="33"/>
      <c r="QKL143" s="33"/>
      <c r="QKM143" s="33"/>
      <c r="QKN143" s="33"/>
      <c r="QKO143" s="33"/>
      <c r="QKP143" s="33"/>
      <c r="QKQ143" s="33"/>
      <c r="QKR143" s="33"/>
      <c r="QKS143" s="33"/>
      <c r="QKT143" s="33"/>
      <c r="QKU143" s="33"/>
      <c r="QKV143" s="33"/>
      <c r="QKW143" s="33"/>
      <c r="QKX143" s="33"/>
      <c r="QKY143" s="33"/>
      <c r="QKZ143" s="33"/>
      <c r="QLA143" s="33"/>
      <c r="QLB143" s="33"/>
      <c r="QLC143" s="33"/>
      <c r="QLD143" s="33"/>
      <c r="QLE143" s="33"/>
      <c r="QLF143" s="33"/>
      <c r="QLG143" s="33"/>
      <c r="QLH143" s="33"/>
      <c r="QLI143" s="33"/>
      <c r="QLJ143" s="33"/>
      <c r="QLK143" s="33"/>
      <c r="QLL143" s="33"/>
      <c r="QLM143" s="33"/>
      <c r="QLN143" s="33"/>
      <c r="QLO143" s="33"/>
      <c r="QLP143" s="33"/>
      <c r="QLQ143" s="33"/>
      <c r="QLR143" s="33"/>
      <c r="QLS143" s="33"/>
      <c r="QLT143" s="33"/>
      <c r="QLU143" s="33"/>
      <c r="QLV143" s="33"/>
      <c r="QLW143" s="33"/>
      <c r="QLX143" s="33"/>
      <c r="QLY143" s="33"/>
      <c r="QLZ143" s="33"/>
      <c r="QMA143" s="33"/>
      <c r="QMB143" s="33"/>
      <c r="QMC143" s="33"/>
      <c r="QMD143" s="33"/>
      <c r="QME143" s="33"/>
      <c r="QMF143" s="33"/>
      <c r="QMG143" s="33"/>
      <c r="QMH143" s="33"/>
      <c r="QMI143" s="33"/>
      <c r="QMJ143" s="33"/>
      <c r="QMK143" s="33"/>
      <c r="QML143" s="33"/>
      <c r="QMM143" s="33"/>
      <c r="QMN143" s="33"/>
      <c r="QMO143" s="33"/>
      <c r="QMP143" s="33"/>
      <c r="QMQ143" s="33"/>
      <c r="QMR143" s="33"/>
      <c r="QMS143" s="33"/>
      <c r="QMT143" s="33"/>
      <c r="QMU143" s="33"/>
      <c r="QMV143" s="33"/>
      <c r="QMW143" s="33"/>
      <c r="QMX143" s="33"/>
      <c r="QMY143" s="33"/>
      <c r="QMZ143" s="33"/>
      <c r="QNA143" s="33"/>
      <c r="QNB143" s="33"/>
      <c r="QNC143" s="33"/>
      <c r="QND143" s="33"/>
      <c r="QNE143" s="33"/>
      <c r="QNF143" s="33"/>
      <c r="QNG143" s="33"/>
      <c r="QNH143" s="33"/>
      <c r="QNI143" s="33"/>
      <c r="QNJ143" s="33"/>
      <c r="QNK143" s="33"/>
      <c r="QNL143" s="33"/>
      <c r="QNM143" s="33"/>
      <c r="QNN143" s="33"/>
      <c r="QNO143" s="33"/>
      <c r="QNP143" s="33"/>
      <c r="QNQ143" s="33"/>
      <c r="QNR143" s="33"/>
      <c r="QNS143" s="33"/>
      <c r="QNT143" s="33"/>
      <c r="QNU143" s="33"/>
      <c r="QNV143" s="33"/>
      <c r="QNW143" s="33"/>
      <c r="QNX143" s="33"/>
      <c r="QNY143" s="33"/>
      <c r="QNZ143" s="33"/>
      <c r="QOA143" s="33"/>
      <c r="QOB143" s="33"/>
      <c r="QOC143" s="33"/>
      <c r="QOD143" s="33"/>
      <c r="QOE143" s="33"/>
      <c r="QOF143" s="33"/>
      <c r="QOG143" s="33"/>
      <c r="QOH143" s="33"/>
      <c r="QOI143" s="33"/>
      <c r="QOJ143" s="33"/>
      <c r="QOK143" s="33"/>
      <c r="QOL143" s="33"/>
      <c r="QOM143" s="33"/>
      <c r="QON143" s="33"/>
      <c r="QOO143" s="33"/>
      <c r="QOP143" s="33"/>
      <c r="QOQ143" s="33"/>
      <c r="QOR143" s="33"/>
      <c r="QOS143" s="33"/>
      <c r="QOT143" s="33"/>
      <c r="QOU143" s="33"/>
      <c r="QOV143" s="33"/>
      <c r="QOW143" s="33"/>
      <c r="QOX143" s="33"/>
      <c r="QOY143" s="33"/>
      <c r="QOZ143" s="33"/>
      <c r="QPA143" s="33"/>
      <c r="QPB143" s="33"/>
      <c r="QPC143" s="33"/>
      <c r="QPD143" s="33"/>
      <c r="QPE143" s="33"/>
      <c r="QPF143" s="33"/>
      <c r="QPG143" s="33"/>
      <c r="QPH143" s="33"/>
      <c r="QPI143" s="33"/>
      <c r="QPJ143" s="33"/>
      <c r="QPK143" s="33"/>
      <c r="QPL143" s="33"/>
      <c r="QPM143" s="33"/>
      <c r="QPN143" s="33"/>
      <c r="QPO143" s="33"/>
      <c r="QPP143" s="33"/>
      <c r="QPQ143" s="33"/>
      <c r="QPR143" s="33"/>
      <c r="QPS143" s="33"/>
      <c r="QPT143" s="33"/>
      <c r="QPU143" s="33"/>
      <c r="QPV143" s="33"/>
      <c r="QPW143" s="33"/>
      <c r="QPX143" s="33"/>
      <c r="QPY143" s="33"/>
      <c r="QPZ143" s="33"/>
      <c r="QQA143" s="33"/>
      <c r="QQB143" s="33"/>
      <c r="QQC143" s="33"/>
      <c r="QQD143" s="33"/>
      <c r="QQE143" s="33"/>
      <c r="QQF143" s="33"/>
      <c r="QQG143" s="33"/>
      <c r="QQH143" s="33"/>
      <c r="QQI143" s="33"/>
      <c r="QQJ143" s="33"/>
      <c r="QQK143" s="33"/>
      <c r="QQL143" s="33"/>
      <c r="QQM143" s="33"/>
      <c r="QQN143" s="33"/>
      <c r="QQO143" s="33"/>
      <c r="QQP143" s="33"/>
      <c r="QQQ143" s="33"/>
      <c r="QQR143" s="33"/>
      <c r="QQS143" s="33"/>
      <c r="QQT143" s="33"/>
      <c r="QQU143" s="33"/>
      <c r="QQV143" s="33"/>
      <c r="QQW143" s="33"/>
      <c r="QQX143" s="33"/>
      <c r="QQY143" s="33"/>
      <c r="QQZ143" s="33"/>
      <c r="QRA143" s="33"/>
      <c r="QRB143" s="33"/>
      <c r="QRC143" s="33"/>
      <c r="QRD143" s="33"/>
      <c r="QRE143" s="33"/>
      <c r="QRF143" s="33"/>
      <c r="QRG143" s="33"/>
      <c r="QRH143" s="33"/>
      <c r="QRI143" s="33"/>
      <c r="QRJ143" s="33"/>
      <c r="QRK143" s="33"/>
      <c r="QRL143" s="33"/>
      <c r="QRM143" s="33"/>
      <c r="QRN143" s="33"/>
      <c r="QRO143" s="33"/>
      <c r="QRP143" s="33"/>
      <c r="QRQ143" s="33"/>
      <c r="QRR143" s="33"/>
      <c r="QRS143" s="33"/>
      <c r="QRT143" s="33"/>
      <c r="QRU143" s="33"/>
      <c r="QRV143" s="33"/>
      <c r="QRW143" s="33"/>
      <c r="QRX143" s="33"/>
      <c r="QRY143" s="33"/>
      <c r="QRZ143" s="33"/>
      <c r="QSA143" s="33"/>
      <c r="QSB143" s="33"/>
      <c r="QSC143" s="33"/>
      <c r="QSD143" s="33"/>
      <c r="QSE143" s="33"/>
      <c r="QSF143" s="33"/>
      <c r="QSG143" s="33"/>
      <c r="QSH143" s="33"/>
      <c r="QSI143" s="33"/>
      <c r="QSJ143" s="33"/>
      <c r="QSK143" s="33"/>
      <c r="QSL143" s="33"/>
      <c r="QSM143" s="33"/>
      <c r="QSN143" s="33"/>
      <c r="QSO143" s="33"/>
      <c r="QSP143" s="33"/>
      <c r="QSQ143" s="33"/>
      <c r="QSR143" s="33"/>
      <c r="QSS143" s="33"/>
      <c r="QST143" s="33"/>
      <c r="QSU143" s="33"/>
      <c r="QSV143" s="33"/>
      <c r="QSW143" s="33"/>
      <c r="QSX143" s="33"/>
      <c r="QSY143" s="33"/>
      <c r="QSZ143" s="33"/>
      <c r="QTA143" s="33"/>
      <c r="QTB143" s="33"/>
      <c r="QTC143" s="33"/>
      <c r="QTD143" s="33"/>
      <c r="QTE143" s="33"/>
      <c r="QTF143" s="33"/>
      <c r="QTG143" s="33"/>
      <c r="QTH143" s="33"/>
      <c r="QTI143" s="33"/>
      <c r="QTJ143" s="33"/>
      <c r="QTK143" s="33"/>
      <c r="QTL143" s="33"/>
      <c r="QTM143" s="33"/>
      <c r="QTN143" s="33"/>
      <c r="QTO143" s="33"/>
      <c r="QTP143" s="33"/>
      <c r="QTQ143" s="33"/>
      <c r="QTR143" s="33"/>
      <c r="QTS143" s="33"/>
      <c r="QTT143" s="33"/>
      <c r="QTU143" s="33"/>
      <c r="QTV143" s="33"/>
      <c r="QTW143" s="33"/>
      <c r="QTX143" s="33"/>
      <c r="QTY143" s="33"/>
      <c r="QTZ143" s="33"/>
      <c r="QUA143" s="33"/>
      <c r="QUB143" s="33"/>
      <c r="QUC143" s="33"/>
      <c r="QUD143" s="33"/>
      <c r="QUE143" s="33"/>
      <c r="QUF143" s="33"/>
      <c r="QUG143" s="33"/>
      <c r="QUH143" s="33"/>
      <c r="QUI143" s="33"/>
      <c r="QUJ143" s="33"/>
      <c r="QUK143" s="33"/>
      <c r="QUL143" s="33"/>
      <c r="QUM143" s="33"/>
      <c r="QUN143" s="33"/>
      <c r="QUO143" s="33"/>
      <c r="QUP143" s="33"/>
      <c r="QUQ143" s="33"/>
      <c r="QUR143" s="33"/>
      <c r="QUS143" s="33"/>
      <c r="QUT143" s="33"/>
      <c r="QUU143" s="33"/>
      <c r="QUV143" s="33"/>
      <c r="QUW143" s="33"/>
      <c r="QUX143" s="33"/>
      <c r="QUY143" s="33"/>
      <c r="QUZ143" s="33"/>
      <c r="QVA143" s="33"/>
      <c r="QVB143" s="33"/>
      <c r="QVC143" s="33"/>
      <c r="QVD143" s="33"/>
      <c r="QVE143" s="33"/>
      <c r="QVF143" s="33"/>
      <c r="QVG143" s="33"/>
      <c r="QVH143" s="33"/>
      <c r="QVI143" s="33"/>
      <c r="QVJ143" s="33"/>
      <c r="QVK143" s="33"/>
      <c r="QVL143" s="33"/>
      <c r="QVM143" s="33"/>
      <c r="QVN143" s="33"/>
      <c r="QVO143" s="33"/>
      <c r="QVP143" s="33"/>
      <c r="QVQ143" s="33"/>
      <c r="QVR143" s="33"/>
      <c r="QVS143" s="33"/>
      <c r="QVT143" s="33"/>
      <c r="QVU143" s="33"/>
      <c r="QVV143" s="33"/>
      <c r="QVW143" s="33"/>
      <c r="QVX143" s="33"/>
      <c r="QVY143" s="33"/>
      <c r="QVZ143" s="33"/>
      <c r="QWA143" s="33"/>
      <c r="QWB143" s="33"/>
      <c r="QWC143" s="33"/>
      <c r="QWD143" s="33"/>
      <c r="QWE143" s="33"/>
      <c r="QWF143" s="33"/>
      <c r="QWG143" s="33"/>
      <c r="QWH143" s="33"/>
      <c r="QWI143" s="33"/>
      <c r="QWJ143" s="33"/>
      <c r="QWK143" s="33"/>
      <c r="QWL143" s="33"/>
      <c r="QWM143" s="33"/>
      <c r="QWN143" s="33"/>
      <c r="QWO143" s="33"/>
      <c r="QWP143" s="33"/>
      <c r="QWQ143" s="33"/>
      <c r="QWR143" s="33"/>
      <c r="QWS143" s="33"/>
      <c r="QWT143" s="33"/>
      <c r="QWU143" s="33"/>
      <c r="QWV143" s="33"/>
      <c r="QWW143" s="33"/>
      <c r="QWX143" s="33"/>
      <c r="QWY143" s="33"/>
      <c r="QWZ143" s="33"/>
      <c r="QXA143" s="33"/>
      <c r="QXB143" s="33"/>
      <c r="QXC143" s="33"/>
      <c r="QXD143" s="33"/>
      <c r="QXE143" s="33"/>
      <c r="QXF143" s="33"/>
      <c r="QXG143" s="33"/>
      <c r="QXH143" s="33"/>
      <c r="QXI143" s="33"/>
      <c r="QXJ143" s="33"/>
      <c r="QXK143" s="33"/>
      <c r="QXL143" s="33"/>
      <c r="QXM143" s="33"/>
      <c r="QXN143" s="33"/>
      <c r="QXO143" s="33"/>
      <c r="QXP143" s="33"/>
      <c r="QXQ143" s="33"/>
      <c r="QXR143" s="33"/>
      <c r="QXS143" s="33"/>
      <c r="QXT143" s="33"/>
      <c r="QXU143" s="33"/>
      <c r="QXV143" s="33"/>
      <c r="QXW143" s="33"/>
      <c r="QXX143" s="33"/>
      <c r="QXY143" s="33"/>
      <c r="QXZ143" s="33"/>
      <c r="QYA143" s="33"/>
      <c r="QYB143" s="33"/>
      <c r="QYC143" s="33"/>
      <c r="QYD143" s="33"/>
      <c r="QYE143" s="33"/>
      <c r="QYF143" s="33"/>
      <c r="QYG143" s="33"/>
      <c r="QYH143" s="33"/>
      <c r="QYI143" s="33"/>
      <c r="QYJ143" s="33"/>
      <c r="QYK143" s="33"/>
      <c r="QYL143" s="33"/>
      <c r="QYM143" s="33"/>
      <c r="QYN143" s="33"/>
      <c r="QYO143" s="33"/>
      <c r="QYP143" s="33"/>
      <c r="QYQ143" s="33"/>
      <c r="QYR143" s="33"/>
      <c r="QYS143" s="33"/>
      <c r="QYT143" s="33"/>
      <c r="QYU143" s="33"/>
      <c r="QYV143" s="33"/>
      <c r="QYW143" s="33"/>
      <c r="QYX143" s="33"/>
      <c r="QYY143" s="33"/>
      <c r="QYZ143" s="33"/>
      <c r="QZA143" s="33"/>
      <c r="QZB143" s="33"/>
      <c r="QZC143" s="33"/>
      <c r="QZD143" s="33"/>
      <c r="QZE143" s="33"/>
      <c r="QZF143" s="33"/>
      <c r="QZG143" s="33"/>
      <c r="QZH143" s="33"/>
      <c r="QZI143" s="33"/>
      <c r="QZJ143" s="33"/>
      <c r="QZK143" s="33"/>
      <c r="QZL143" s="33"/>
      <c r="QZM143" s="33"/>
      <c r="QZN143" s="33"/>
      <c r="QZO143" s="33"/>
      <c r="QZP143" s="33"/>
      <c r="QZQ143" s="33"/>
      <c r="QZR143" s="33"/>
      <c r="QZS143" s="33"/>
      <c r="QZT143" s="33"/>
      <c r="QZU143" s="33"/>
      <c r="QZV143" s="33"/>
      <c r="QZW143" s="33"/>
      <c r="QZX143" s="33"/>
      <c r="QZY143" s="33"/>
      <c r="QZZ143" s="33"/>
      <c r="RAA143" s="33"/>
      <c r="RAB143" s="33"/>
      <c r="RAC143" s="33"/>
      <c r="RAD143" s="33"/>
      <c r="RAE143" s="33"/>
      <c r="RAF143" s="33"/>
      <c r="RAG143" s="33"/>
      <c r="RAH143" s="33"/>
      <c r="RAI143" s="33"/>
      <c r="RAJ143" s="33"/>
      <c r="RAK143" s="33"/>
      <c r="RAL143" s="33"/>
      <c r="RAM143" s="33"/>
      <c r="RAN143" s="33"/>
      <c r="RAO143" s="33"/>
      <c r="RAP143" s="33"/>
      <c r="RAQ143" s="33"/>
      <c r="RAR143" s="33"/>
      <c r="RAS143" s="33"/>
      <c r="RAT143" s="33"/>
      <c r="RAU143" s="33"/>
      <c r="RAV143" s="33"/>
      <c r="RAW143" s="33"/>
      <c r="RAX143" s="33"/>
      <c r="RAY143" s="33"/>
      <c r="RAZ143" s="33"/>
      <c r="RBA143" s="33"/>
      <c r="RBB143" s="33"/>
      <c r="RBC143" s="33"/>
      <c r="RBD143" s="33"/>
      <c r="RBE143" s="33"/>
      <c r="RBF143" s="33"/>
      <c r="RBG143" s="33"/>
      <c r="RBH143" s="33"/>
      <c r="RBI143" s="33"/>
      <c r="RBJ143" s="33"/>
      <c r="RBK143" s="33"/>
      <c r="RBL143" s="33"/>
      <c r="RBM143" s="33"/>
      <c r="RBN143" s="33"/>
      <c r="RBO143" s="33"/>
      <c r="RBP143" s="33"/>
      <c r="RBQ143" s="33"/>
      <c r="RBR143" s="33"/>
      <c r="RBS143" s="33"/>
      <c r="RBT143" s="33"/>
      <c r="RBU143" s="33"/>
      <c r="RBV143" s="33"/>
      <c r="RBW143" s="33"/>
      <c r="RBX143" s="33"/>
      <c r="RBY143" s="33"/>
      <c r="RBZ143" s="33"/>
      <c r="RCA143" s="33"/>
      <c r="RCB143" s="33"/>
      <c r="RCC143" s="33"/>
      <c r="RCD143" s="33"/>
      <c r="RCE143" s="33"/>
      <c r="RCF143" s="33"/>
      <c r="RCG143" s="33"/>
      <c r="RCH143" s="33"/>
      <c r="RCI143" s="33"/>
      <c r="RCJ143" s="33"/>
      <c r="RCK143" s="33"/>
      <c r="RCL143" s="33"/>
      <c r="RCM143" s="33"/>
      <c r="RCN143" s="33"/>
      <c r="RCO143" s="33"/>
      <c r="RCP143" s="33"/>
      <c r="RCQ143" s="33"/>
      <c r="RCR143" s="33"/>
      <c r="RCS143" s="33"/>
      <c r="RCT143" s="33"/>
      <c r="RCU143" s="33"/>
      <c r="RCV143" s="33"/>
      <c r="RCW143" s="33"/>
      <c r="RCX143" s="33"/>
      <c r="RCY143" s="33"/>
      <c r="RCZ143" s="33"/>
      <c r="RDA143" s="33"/>
      <c r="RDB143" s="33"/>
      <c r="RDC143" s="33"/>
      <c r="RDD143" s="33"/>
      <c r="RDE143" s="33"/>
      <c r="RDF143" s="33"/>
      <c r="RDG143" s="33"/>
      <c r="RDH143" s="33"/>
      <c r="RDI143" s="33"/>
      <c r="RDJ143" s="33"/>
      <c r="RDK143" s="33"/>
      <c r="RDL143" s="33"/>
      <c r="RDM143" s="33"/>
      <c r="RDN143" s="33"/>
      <c r="RDO143" s="33"/>
      <c r="RDP143" s="33"/>
      <c r="RDQ143" s="33"/>
      <c r="RDR143" s="33"/>
      <c r="RDS143" s="33"/>
      <c r="RDT143" s="33"/>
      <c r="RDU143" s="33"/>
      <c r="RDV143" s="33"/>
      <c r="RDW143" s="33"/>
      <c r="RDX143" s="33"/>
      <c r="RDY143" s="33"/>
      <c r="RDZ143" s="33"/>
      <c r="REA143" s="33"/>
      <c r="REB143" s="33"/>
      <c r="REC143" s="33"/>
      <c r="RED143" s="33"/>
      <c r="REE143" s="33"/>
      <c r="REF143" s="33"/>
      <c r="REG143" s="33"/>
      <c r="REH143" s="33"/>
      <c r="REI143" s="33"/>
      <c r="REJ143" s="33"/>
      <c r="REK143" s="33"/>
      <c r="REL143" s="33"/>
      <c r="REM143" s="33"/>
      <c r="REN143" s="33"/>
      <c r="REO143" s="33"/>
      <c r="REP143" s="33"/>
      <c r="REQ143" s="33"/>
      <c r="RER143" s="33"/>
      <c r="RES143" s="33"/>
      <c r="RET143" s="33"/>
      <c r="REU143" s="33"/>
      <c r="REV143" s="33"/>
      <c r="REW143" s="33"/>
      <c r="REX143" s="33"/>
      <c r="REY143" s="33"/>
      <c r="REZ143" s="33"/>
      <c r="RFA143" s="33"/>
      <c r="RFB143" s="33"/>
      <c r="RFC143" s="33"/>
      <c r="RFD143" s="33"/>
      <c r="RFE143" s="33"/>
      <c r="RFF143" s="33"/>
      <c r="RFG143" s="33"/>
      <c r="RFH143" s="33"/>
      <c r="RFI143" s="33"/>
      <c r="RFJ143" s="33"/>
      <c r="RFK143" s="33"/>
      <c r="RFL143" s="33"/>
      <c r="RFM143" s="33"/>
      <c r="RFN143" s="33"/>
      <c r="RFO143" s="33"/>
      <c r="RFP143" s="33"/>
      <c r="RFQ143" s="33"/>
      <c r="RFR143" s="33"/>
      <c r="RFS143" s="33"/>
      <c r="RFT143" s="33"/>
      <c r="RFU143" s="33"/>
      <c r="RFV143" s="33"/>
      <c r="RFW143" s="33"/>
      <c r="RFX143" s="33"/>
      <c r="RFY143" s="33"/>
      <c r="RFZ143" s="33"/>
      <c r="RGA143" s="33"/>
      <c r="RGB143" s="33"/>
      <c r="RGC143" s="33"/>
      <c r="RGD143" s="33"/>
      <c r="RGE143" s="33"/>
      <c r="RGF143" s="33"/>
      <c r="RGG143" s="33"/>
      <c r="RGH143" s="33"/>
      <c r="RGI143" s="33"/>
      <c r="RGJ143" s="33"/>
      <c r="RGK143" s="33"/>
      <c r="RGL143" s="33"/>
      <c r="RGM143" s="33"/>
      <c r="RGN143" s="33"/>
      <c r="RGO143" s="33"/>
      <c r="RGP143" s="33"/>
      <c r="RGQ143" s="33"/>
      <c r="RGR143" s="33"/>
      <c r="RGS143" s="33"/>
      <c r="RGT143" s="33"/>
      <c r="RGU143" s="33"/>
      <c r="RGV143" s="33"/>
      <c r="RGW143" s="33"/>
      <c r="RGX143" s="33"/>
      <c r="RGY143" s="33"/>
      <c r="RGZ143" s="33"/>
      <c r="RHA143" s="33"/>
      <c r="RHB143" s="33"/>
      <c r="RHC143" s="33"/>
      <c r="RHD143" s="33"/>
      <c r="RHE143" s="33"/>
      <c r="RHF143" s="33"/>
      <c r="RHG143" s="33"/>
      <c r="RHH143" s="33"/>
      <c r="RHI143" s="33"/>
      <c r="RHJ143" s="33"/>
      <c r="RHK143" s="33"/>
      <c r="RHL143" s="33"/>
      <c r="RHM143" s="33"/>
      <c r="RHN143" s="33"/>
      <c r="RHO143" s="33"/>
      <c r="RHP143" s="33"/>
      <c r="RHQ143" s="33"/>
      <c r="RHR143" s="33"/>
      <c r="RHS143" s="33"/>
      <c r="RHT143" s="33"/>
      <c r="RHU143" s="33"/>
      <c r="RHV143" s="33"/>
      <c r="RHW143" s="33"/>
      <c r="RHX143" s="33"/>
      <c r="RHY143" s="33"/>
      <c r="RHZ143" s="33"/>
      <c r="RIA143" s="33"/>
      <c r="RIB143" s="33"/>
      <c r="RIC143" s="33"/>
      <c r="RID143" s="33"/>
      <c r="RIE143" s="33"/>
      <c r="RIF143" s="33"/>
      <c r="RIG143" s="33"/>
      <c r="RIH143" s="33"/>
      <c r="RII143" s="33"/>
      <c r="RIJ143" s="33"/>
      <c r="RIK143" s="33"/>
      <c r="RIL143" s="33"/>
      <c r="RIM143" s="33"/>
      <c r="RIN143" s="33"/>
      <c r="RIO143" s="33"/>
      <c r="RIP143" s="33"/>
      <c r="RIQ143" s="33"/>
      <c r="RIR143" s="33"/>
      <c r="RIS143" s="33"/>
      <c r="RIT143" s="33"/>
      <c r="RIU143" s="33"/>
      <c r="RIV143" s="33"/>
      <c r="RIW143" s="33"/>
      <c r="RIX143" s="33"/>
      <c r="RIY143" s="33"/>
      <c r="RIZ143" s="33"/>
      <c r="RJA143" s="33"/>
      <c r="RJB143" s="33"/>
      <c r="RJC143" s="33"/>
      <c r="RJD143" s="33"/>
      <c r="RJE143" s="33"/>
      <c r="RJF143" s="33"/>
      <c r="RJG143" s="33"/>
      <c r="RJH143" s="33"/>
      <c r="RJI143" s="33"/>
      <c r="RJJ143" s="33"/>
      <c r="RJK143" s="33"/>
      <c r="RJL143" s="33"/>
      <c r="RJM143" s="33"/>
      <c r="RJN143" s="33"/>
      <c r="RJO143" s="33"/>
      <c r="RJP143" s="33"/>
      <c r="RJQ143" s="33"/>
      <c r="RJR143" s="33"/>
      <c r="RJS143" s="33"/>
      <c r="RJT143" s="33"/>
      <c r="RJU143" s="33"/>
      <c r="RJV143" s="33"/>
      <c r="RJW143" s="33"/>
      <c r="RJX143" s="33"/>
      <c r="RJY143" s="33"/>
      <c r="RJZ143" s="33"/>
      <c r="RKA143" s="33"/>
      <c r="RKB143" s="33"/>
      <c r="RKC143" s="33"/>
      <c r="RKD143" s="33"/>
      <c r="RKE143" s="33"/>
      <c r="RKF143" s="33"/>
      <c r="RKG143" s="33"/>
      <c r="RKH143" s="33"/>
      <c r="RKI143" s="33"/>
      <c r="RKJ143" s="33"/>
      <c r="RKK143" s="33"/>
      <c r="RKL143" s="33"/>
      <c r="RKM143" s="33"/>
      <c r="RKN143" s="33"/>
      <c r="RKO143" s="33"/>
      <c r="RKP143" s="33"/>
      <c r="RKQ143" s="33"/>
      <c r="RKR143" s="33"/>
      <c r="RKS143" s="33"/>
      <c r="RKT143" s="33"/>
      <c r="RKU143" s="33"/>
      <c r="RKV143" s="33"/>
      <c r="RKW143" s="33"/>
      <c r="RKX143" s="33"/>
      <c r="RKY143" s="33"/>
      <c r="RKZ143" s="33"/>
      <c r="RLA143" s="33"/>
      <c r="RLB143" s="33"/>
      <c r="RLC143" s="33"/>
      <c r="RLD143" s="33"/>
      <c r="RLE143" s="33"/>
      <c r="RLF143" s="33"/>
      <c r="RLG143" s="33"/>
      <c r="RLH143" s="33"/>
      <c r="RLI143" s="33"/>
      <c r="RLJ143" s="33"/>
      <c r="RLK143" s="33"/>
      <c r="RLL143" s="33"/>
      <c r="RLM143" s="33"/>
      <c r="RLN143" s="33"/>
      <c r="RLO143" s="33"/>
      <c r="RLP143" s="33"/>
      <c r="RLQ143" s="33"/>
      <c r="RLR143" s="33"/>
      <c r="RLS143" s="33"/>
      <c r="RLT143" s="33"/>
      <c r="RLU143" s="33"/>
      <c r="RLV143" s="33"/>
      <c r="RLW143" s="33"/>
      <c r="RLX143" s="33"/>
      <c r="RLY143" s="33"/>
      <c r="RLZ143" s="33"/>
      <c r="RMA143" s="33"/>
      <c r="RMB143" s="33"/>
      <c r="RMC143" s="33"/>
      <c r="RMD143" s="33"/>
      <c r="RME143" s="33"/>
      <c r="RMF143" s="33"/>
      <c r="RMG143" s="33"/>
      <c r="RMH143" s="33"/>
      <c r="RMI143" s="33"/>
      <c r="RMJ143" s="33"/>
      <c r="RMK143" s="33"/>
      <c r="RML143" s="33"/>
      <c r="RMM143" s="33"/>
      <c r="RMN143" s="33"/>
      <c r="RMO143" s="33"/>
      <c r="RMP143" s="33"/>
      <c r="RMQ143" s="33"/>
      <c r="RMR143" s="33"/>
      <c r="RMS143" s="33"/>
      <c r="RMT143" s="33"/>
      <c r="RMU143" s="33"/>
      <c r="RMV143" s="33"/>
      <c r="RMW143" s="33"/>
      <c r="RMX143" s="33"/>
      <c r="RMY143" s="33"/>
      <c r="RMZ143" s="33"/>
      <c r="RNA143" s="33"/>
      <c r="RNB143" s="33"/>
      <c r="RNC143" s="33"/>
      <c r="RND143" s="33"/>
      <c r="RNE143" s="33"/>
      <c r="RNF143" s="33"/>
      <c r="RNG143" s="33"/>
      <c r="RNH143" s="33"/>
      <c r="RNI143" s="33"/>
      <c r="RNJ143" s="33"/>
      <c r="RNK143" s="33"/>
      <c r="RNL143" s="33"/>
      <c r="RNM143" s="33"/>
      <c r="RNN143" s="33"/>
      <c r="RNO143" s="33"/>
      <c r="RNP143" s="33"/>
      <c r="RNQ143" s="33"/>
      <c r="RNR143" s="33"/>
      <c r="RNS143" s="33"/>
      <c r="RNT143" s="33"/>
      <c r="RNU143" s="33"/>
      <c r="RNV143" s="33"/>
      <c r="RNW143" s="33"/>
      <c r="RNX143" s="33"/>
      <c r="RNY143" s="33"/>
      <c r="RNZ143" s="33"/>
      <c r="ROA143" s="33"/>
      <c r="ROB143" s="33"/>
      <c r="ROC143" s="33"/>
      <c r="ROD143" s="33"/>
      <c r="ROE143" s="33"/>
      <c r="ROF143" s="33"/>
      <c r="ROG143" s="33"/>
      <c r="ROH143" s="33"/>
      <c r="ROI143" s="33"/>
      <c r="ROJ143" s="33"/>
      <c r="ROK143" s="33"/>
      <c r="ROL143" s="33"/>
      <c r="ROM143" s="33"/>
      <c r="RON143" s="33"/>
      <c r="ROO143" s="33"/>
      <c r="ROP143" s="33"/>
      <c r="ROQ143" s="33"/>
      <c r="ROR143" s="33"/>
      <c r="ROS143" s="33"/>
      <c r="ROT143" s="33"/>
      <c r="ROU143" s="33"/>
      <c r="ROV143" s="33"/>
      <c r="ROW143" s="33"/>
      <c r="ROX143" s="33"/>
      <c r="ROY143" s="33"/>
      <c r="ROZ143" s="33"/>
      <c r="RPA143" s="33"/>
      <c r="RPB143" s="33"/>
      <c r="RPC143" s="33"/>
      <c r="RPD143" s="33"/>
      <c r="RPE143" s="33"/>
      <c r="RPF143" s="33"/>
      <c r="RPG143" s="33"/>
      <c r="RPH143" s="33"/>
      <c r="RPI143" s="33"/>
      <c r="RPJ143" s="33"/>
      <c r="RPK143" s="33"/>
      <c r="RPL143" s="33"/>
      <c r="RPM143" s="33"/>
      <c r="RPN143" s="33"/>
      <c r="RPO143" s="33"/>
      <c r="RPP143" s="33"/>
      <c r="RPQ143" s="33"/>
      <c r="RPR143" s="33"/>
      <c r="RPS143" s="33"/>
      <c r="RPT143" s="33"/>
      <c r="RPU143" s="33"/>
      <c r="RPV143" s="33"/>
      <c r="RPW143" s="33"/>
      <c r="RPX143" s="33"/>
      <c r="RPY143" s="33"/>
      <c r="RPZ143" s="33"/>
      <c r="RQA143" s="33"/>
      <c r="RQB143" s="33"/>
      <c r="RQC143" s="33"/>
      <c r="RQD143" s="33"/>
      <c r="RQE143" s="33"/>
      <c r="RQF143" s="33"/>
      <c r="RQG143" s="33"/>
      <c r="RQH143" s="33"/>
      <c r="RQI143" s="33"/>
      <c r="RQJ143" s="33"/>
      <c r="RQK143" s="33"/>
      <c r="RQL143" s="33"/>
      <c r="RQM143" s="33"/>
      <c r="RQN143" s="33"/>
      <c r="RQO143" s="33"/>
      <c r="RQP143" s="33"/>
      <c r="RQQ143" s="33"/>
      <c r="RQR143" s="33"/>
      <c r="RQS143" s="33"/>
      <c r="RQT143" s="33"/>
      <c r="RQU143" s="33"/>
      <c r="RQV143" s="33"/>
      <c r="RQW143" s="33"/>
      <c r="RQX143" s="33"/>
      <c r="RQY143" s="33"/>
      <c r="RQZ143" s="33"/>
      <c r="RRA143" s="33"/>
      <c r="RRB143" s="33"/>
      <c r="RRC143" s="33"/>
      <c r="RRD143" s="33"/>
      <c r="RRE143" s="33"/>
      <c r="RRF143" s="33"/>
      <c r="RRG143" s="33"/>
      <c r="RRH143" s="33"/>
      <c r="RRI143" s="33"/>
      <c r="RRJ143" s="33"/>
      <c r="RRK143" s="33"/>
      <c r="RRL143" s="33"/>
      <c r="RRM143" s="33"/>
      <c r="RRN143" s="33"/>
      <c r="RRO143" s="33"/>
      <c r="RRP143" s="33"/>
      <c r="RRQ143" s="33"/>
      <c r="RRR143" s="33"/>
      <c r="RRS143" s="33"/>
      <c r="RRT143" s="33"/>
      <c r="RRU143" s="33"/>
      <c r="RRV143" s="33"/>
      <c r="RRW143" s="33"/>
      <c r="RRX143" s="33"/>
      <c r="RRY143" s="33"/>
      <c r="RRZ143" s="33"/>
      <c r="RSA143" s="33"/>
      <c r="RSB143" s="33"/>
      <c r="RSC143" s="33"/>
      <c r="RSD143" s="33"/>
      <c r="RSE143" s="33"/>
      <c r="RSF143" s="33"/>
      <c r="RSG143" s="33"/>
      <c r="RSH143" s="33"/>
      <c r="RSI143" s="33"/>
      <c r="RSJ143" s="33"/>
      <c r="RSK143" s="33"/>
      <c r="RSL143" s="33"/>
      <c r="RSM143" s="33"/>
      <c r="RSN143" s="33"/>
      <c r="RSO143" s="33"/>
      <c r="RSP143" s="33"/>
      <c r="RSQ143" s="33"/>
      <c r="RSR143" s="33"/>
      <c r="RSS143" s="33"/>
      <c r="RST143" s="33"/>
      <c r="RSU143" s="33"/>
      <c r="RSV143" s="33"/>
      <c r="RSW143" s="33"/>
      <c r="RSX143" s="33"/>
      <c r="RSY143" s="33"/>
      <c r="RSZ143" s="33"/>
      <c r="RTA143" s="33"/>
      <c r="RTB143" s="33"/>
      <c r="RTC143" s="33"/>
      <c r="RTD143" s="33"/>
      <c r="RTE143" s="33"/>
      <c r="RTF143" s="33"/>
      <c r="RTG143" s="33"/>
      <c r="RTH143" s="33"/>
      <c r="RTI143" s="33"/>
      <c r="RTJ143" s="33"/>
      <c r="RTK143" s="33"/>
      <c r="RTL143" s="33"/>
      <c r="RTM143" s="33"/>
      <c r="RTN143" s="33"/>
      <c r="RTO143" s="33"/>
      <c r="RTP143" s="33"/>
      <c r="RTQ143" s="33"/>
      <c r="RTR143" s="33"/>
      <c r="RTS143" s="33"/>
      <c r="RTT143" s="33"/>
      <c r="RTU143" s="33"/>
      <c r="RTV143" s="33"/>
      <c r="RTW143" s="33"/>
      <c r="RTX143" s="33"/>
      <c r="RTY143" s="33"/>
      <c r="RTZ143" s="33"/>
      <c r="RUA143" s="33"/>
      <c r="RUB143" s="33"/>
      <c r="RUC143" s="33"/>
      <c r="RUD143" s="33"/>
      <c r="RUE143" s="33"/>
      <c r="RUF143" s="33"/>
      <c r="RUG143" s="33"/>
      <c r="RUH143" s="33"/>
      <c r="RUI143" s="33"/>
      <c r="RUJ143" s="33"/>
      <c r="RUK143" s="33"/>
      <c r="RUL143" s="33"/>
      <c r="RUM143" s="33"/>
      <c r="RUN143" s="33"/>
      <c r="RUO143" s="33"/>
      <c r="RUP143" s="33"/>
      <c r="RUQ143" s="33"/>
      <c r="RUR143" s="33"/>
      <c r="RUS143" s="33"/>
      <c r="RUT143" s="33"/>
      <c r="RUU143" s="33"/>
      <c r="RUV143" s="33"/>
      <c r="RUW143" s="33"/>
      <c r="RUX143" s="33"/>
      <c r="RUY143" s="33"/>
      <c r="RUZ143" s="33"/>
      <c r="RVA143" s="33"/>
      <c r="RVB143" s="33"/>
      <c r="RVC143" s="33"/>
      <c r="RVD143" s="33"/>
      <c r="RVE143" s="33"/>
      <c r="RVF143" s="33"/>
      <c r="RVG143" s="33"/>
      <c r="RVH143" s="33"/>
      <c r="RVI143" s="33"/>
      <c r="RVJ143" s="33"/>
      <c r="RVK143" s="33"/>
      <c r="RVL143" s="33"/>
      <c r="RVM143" s="33"/>
      <c r="RVN143" s="33"/>
      <c r="RVO143" s="33"/>
      <c r="RVP143" s="33"/>
      <c r="RVQ143" s="33"/>
      <c r="RVR143" s="33"/>
      <c r="RVS143" s="33"/>
      <c r="RVT143" s="33"/>
      <c r="RVU143" s="33"/>
      <c r="RVV143" s="33"/>
      <c r="RVW143" s="33"/>
      <c r="RVX143" s="33"/>
      <c r="RVY143" s="33"/>
      <c r="RVZ143" s="33"/>
      <c r="RWA143" s="33"/>
      <c r="RWB143" s="33"/>
      <c r="RWC143" s="33"/>
      <c r="RWD143" s="33"/>
      <c r="RWE143" s="33"/>
      <c r="RWF143" s="33"/>
      <c r="RWG143" s="33"/>
      <c r="RWH143" s="33"/>
      <c r="RWI143" s="33"/>
      <c r="RWJ143" s="33"/>
      <c r="RWK143" s="33"/>
      <c r="RWL143" s="33"/>
      <c r="RWM143" s="33"/>
      <c r="RWN143" s="33"/>
      <c r="RWO143" s="33"/>
      <c r="RWP143" s="33"/>
      <c r="RWQ143" s="33"/>
      <c r="RWR143" s="33"/>
      <c r="RWS143" s="33"/>
      <c r="RWT143" s="33"/>
      <c r="RWU143" s="33"/>
      <c r="RWV143" s="33"/>
      <c r="RWW143" s="33"/>
      <c r="RWX143" s="33"/>
      <c r="RWY143" s="33"/>
      <c r="RWZ143" s="33"/>
      <c r="RXA143" s="33"/>
      <c r="RXB143" s="33"/>
      <c r="RXC143" s="33"/>
      <c r="RXD143" s="33"/>
      <c r="RXE143" s="33"/>
      <c r="RXF143" s="33"/>
      <c r="RXG143" s="33"/>
      <c r="RXH143" s="33"/>
      <c r="RXI143" s="33"/>
      <c r="RXJ143" s="33"/>
      <c r="RXK143" s="33"/>
      <c r="RXL143" s="33"/>
      <c r="RXM143" s="33"/>
      <c r="RXN143" s="33"/>
      <c r="RXO143" s="33"/>
      <c r="RXP143" s="33"/>
      <c r="RXQ143" s="33"/>
      <c r="RXR143" s="33"/>
      <c r="RXS143" s="33"/>
      <c r="RXT143" s="33"/>
      <c r="RXU143" s="33"/>
      <c r="RXV143" s="33"/>
      <c r="RXW143" s="33"/>
      <c r="RXX143" s="33"/>
      <c r="RXY143" s="33"/>
      <c r="RXZ143" s="33"/>
      <c r="RYA143" s="33"/>
      <c r="RYB143" s="33"/>
      <c r="RYC143" s="33"/>
      <c r="RYD143" s="33"/>
      <c r="RYE143" s="33"/>
      <c r="RYF143" s="33"/>
      <c r="RYG143" s="33"/>
      <c r="RYH143" s="33"/>
      <c r="RYI143" s="33"/>
      <c r="RYJ143" s="33"/>
      <c r="RYK143" s="33"/>
      <c r="RYL143" s="33"/>
      <c r="RYM143" s="33"/>
      <c r="RYN143" s="33"/>
      <c r="RYO143" s="33"/>
      <c r="RYP143" s="33"/>
      <c r="RYQ143" s="33"/>
      <c r="RYR143" s="33"/>
      <c r="RYS143" s="33"/>
      <c r="RYT143" s="33"/>
      <c r="RYU143" s="33"/>
      <c r="RYV143" s="33"/>
      <c r="RYW143" s="33"/>
      <c r="RYX143" s="33"/>
      <c r="RYY143" s="33"/>
      <c r="RYZ143" s="33"/>
      <c r="RZA143" s="33"/>
      <c r="RZB143" s="33"/>
      <c r="RZC143" s="33"/>
      <c r="RZD143" s="33"/>
      <c r="RZE143" s="33"/>
      <c r="RZF143" s="33"/>
      <c r="RZG143" s="33"/>
      <c r="RZH143" s="33"/>
      <c r="RZI143" s="33"/>
      <c r="RZJ143" s="33"/>
      <c r="RZK143" s="33"/>
      <c r="RZL143" s="33"/>
      <c r="RZM143" s="33"/>
      <c r="RZN143" s="33"/>
      <c r="RZO143" s="33"/>
      <c r="RZP143" s="33"/>
      <c r="RZQ143" s="33"/>
      <c r="RZR143" s="33"/>
      <c r="RZS143" s="33"/>
      <c r="RZT143" s="33"/>
      <c r="RZU143" s="33"/>
      <c r="RZV143" s="33"/>
      <c r="RZW143" s="33"/>
      <c r="RZX143" s="33"/>
      <c r="RZY143" s="33"/>
      <c r="RZZ143" s="33"/>
      <c r="SAA143" s="33"/>
      <c r="SAB143" s="33"/>
      <c r="SAC143" s="33"/>
      <c r="SAD143" s="33"/>
      <c r="SAE143" s="33"/>
      <c r="SAF143" s="33"/>
      <c r="SAG143" s="33"/>
      <c r="SAH143" s="33"/>
      <c r="SAI143" s="33"/>
      <c r="SAJ143" s="33"/>
      <c r="SAK143" s="33"/>
      <c r="SAL143" s="33"/>
      <c r="SAM143" s="33"/>
      <c r="SAN143" s="33"/>
      <c r="SAO143" s="33"/>
      <c r="SAP143" s="33"/>
      <c r="SAQ143" s="33"/>
      <c r="SAR143" s="33"/>
      <c r="SAS143" s="33"/>
      <c r="SAT143" s="33"/>
      <c r="SAU143" s="33"/>
      <c r="SAV143" s="33"/>
      <c r="SAW143" s="33"/>
      <c r="SAX143" s="33"/>
      <c r="SAY143" s="33"/>
      <c r="SAZ143" s="33"/>
      <c r="SBA143" s="33"/>
      <c r="SBB143" s="33"/>
      <c r="SBC143" s="33"/>
      <c r="SBD143" s="33"/>
      <c r="SBE143" s="33"/>
      <c r="SBF143" s="33"/>
      <c r="SBG143" s="33"/>
      <c r="SBH143" s="33"/>
      <c r="SBI143" s="33"/>
      <c r="SBJ143" s="33"/>
      <c r="SBK143" s="33"/>
      <c r="SBL143" s="33"/>
      <c r="SBM143" s="33"/>
      <c r="SBN143" s="33"/>
      <c r="SBO143" s="33"/>
      <c r="SBP143" s="33"/>
      <c r="SBQ143" s="33"/>
      <c r="SBR143" s="33"/>
      <c r="SBS143" s="33"/>
      <c r="SBT143" s="33"/>
      <c r="SBU143" s="33"/>
      <c r="SBV143" s="33"/>
      <c r="SBW143" s="33"/>
      <c r="SBX143" s="33"/>
      <c r="SBY143" s="33"/>
      <c r="SBZ143" s="33"/>
      <c r="SCA143" s="33"/>
      <c r="SCB143" s="33"/>
      <c r="SCC143" s="33"/>
      <c r="SCD143" s="33"/>
      <c r="SCE143" s="33"/>
      <c r="SCF143" s="33"/>
      <c r="SCG143" s="33"/>
      <c r="SCH143" s="33"/>
      <c r="SCI143" s="33"/>
      <c r="SCJ143" s="33"/>
      <c r="SCK143" s="33"/>
      <c r="SCL143" s="33"/>
      <c r="SCM143" s="33"/>
      <c r="SCN143" s="33"/>
      <c r="SCO143" s="33"/>
      <c r="SCP143" s="33"/>
      <c r="SCQ143" s="33"/>
      <c r="SCR143" s="33"/>
      <c r="SCS143" s="33"/>
      <c r="SCT143" s="33"/>
      <c r="SCU143" s="33"/>
      <c r="SCV143" s="33"/>
      <c r="SCW143" s="33"/>
      <c r="SCX143" s="33"/>
      <c r="SCY143" s="33"/>
      <c r="SCZ143" s="33"/>
      <c r="SDA143" s="33"/>
      <c r="SDB143" s="33"/>
      <c r="SDC143" s="33"/>
      <c r="SDD143" s="33"/>
      <c r="SDE143" s="33"/>
      <c r="SDF143" s="33"/>
      <c r="SDG143" s="33"/>
      <c r="SDH143" s="33"/>
      <c r="SDI143" s="33"/>
      <c r="SDJ143" s="33"/>
      <c r="SDK143" s="33"/>
      <c r="SDL143" s="33"/>
      <c r="SDM143" s="33"/>
      <c r="SDN143" s="33"/>
      <c r="SDO143" s="33"/>
      <c r="SDP143" s="33"/>
      <c r="SDQ143" s="33"/>
      <c r="SDR143" s="33"/>
      <c r="SDS143" s="33"/>
      <c r="SDT143" s="33"/>
      <c r="SDU143" s="33"/>
      <c r="SDV143" s="33"/>
      <c r="SDW143" s="33"/>
      <c r="SDX143" s="33"/>
      <c r="SDY143" s="33"/>
      <c r="SDZ143" s="33"/>
      <c r="SEA143" s="33"/>
      <c r="SEB143" s="33"/>
      <c r="SEC143" s="33"/>
      <c r="SED143" s="33"/>
      <c r="SEE143" s="33"/>
      <c r="SEF143" s="33"/>
      <c r="SEG143" s="33"/>
      <c r="SEH143" s="33"/>
      <c r="SEI143" s="33"/>
      <c r="SEJ143" s="33"/>
      <c r="SEK143" s="33"/>
      <c r="SEL143" s="33"/>
      <c r="SEM143" s="33"/>
      <c r="SEN143" s="33"/>
      <c r="SEO143" s="33"/>
      <c r="SEP143" s="33"/>
      <c r="SEQ143" s="33"/>
      <c r="SER143" s="33"/>
      <c r="SES143" s="33"/>
      <c r="SET143" s="33"/>
      <c r="SEU143" s="33"/>
      <c r="SEV143" s="33"/>
      <c r="SEW143" s="33"/>
      <c r="SEX143" s="33"/>
      <c r="SEY143" s="33"/>
      <c r="SEZ143" s="33"/>
      <c r="SFA143" s="33"/>
      <c r="SFB143" s="33"/>
      <c r="SFC143" s="33"/>
      <c r="SFD143" s="33"/>
      <c r="SFE143" s="33"/>
      <c r="SFF143" s="33"/>
      <c r="SFG143" s="33"/>
      <c r="SFH143" s="33"/>
      <c r="SFI143" s="33"/>
      <c r="SFJ143" s="33"/>
      <c r="SFK143" s="33"/>
      <c r="SFL143" s="33"/>
      <c r="SFM143" s="33"/>
      <c r="SFN143" s="33"/>
      <c r="SFO143" s="33"/>
      <c r="SFP143" s="33"/>
      <c r="SFQ143" s="33"/>
      <c r="SFR143" s="33"/>
      <c r="SFS143" s="33"/>
      <c r="SFT143" s="33"/>
      <c r="SFU143" s="33"/>
      <c r="SFV143" s="33"/>
      <c r="SFW143" s="33"/>
      <c r="SFX143" s="33"/>
      <c r="SFY143" s="33"/>
      <c r="SFZ143" s="33"/>
      <c r="SGA143" s="33"/>
      <c r="SGB143" s="33"/>
      <c r="SGC143" s="33"/>
      <c r="SGD143" s="33"/>
      <c r="SGE143" s="33"/>
      <c r="SGF143" s="33"/>
      <c r="SGG143" s="33"/>
      <c r="SGH143" s="33"/>
      <c r="SGI143" s="33"/>
      <c r="SGJ143" s="33"/>
      <c r="SGK143" s="33"/>
      <c r="SGL143" s="33"/>
      <c r="SGM143" s="33"/>
      <c r="SGN143" s="33"/>
      <c r="SGO143" s="33"/>
      <c r="SGP143" s="33"/>
      <c r="SGQ143" s="33"/>
      <c r="SGR143" s="33"/>
      <c r="SGS143" s="33"/>
      <c r="SGT143" s="33"/>
      <c r="SGU143" s="33"/>
      <c r="SGV143" s="33"/>
      <c r="SGW143" s="33"/>
      <c r="SGX143" s="33"/>
      <c r="SGY143" s="33"/>
      <c r="SGZ143" s="33"/>
      <c r="SHA143" s="33"/>
      <c r="SHB143" s="33"/>
      <c r="SHC143" s="33"/>
      <c r="SHD143" s="33"/>
      <c r="SHE143" s="33"/>
      <c r="SHF143" s="33"/>
      <c r="SHG143" s="33"/>
      <c r="SHH143" s="33"/>
      <c r="SHI143" s="33"/>
      <c r="SHJ143" s="33"/>
      <c r="SHK143" s="33"/>
      <c r="SHL143" s="33"/>
      <c r="SHM143" s="33"/>
      <c r="SHN143" s="33"/>
      <c r="SHO143" s="33"/>
      <c r="SHP143" s="33"/>
      <c r="SHQ143" s="33"/>
      <c r="SHR143" s="33"/>
      <c r="SHS143" s="33"/>
      <c r="SHT143" s="33"/>
      <c r="SHU143" s="33"/>
      <c r="SHV143" s="33"/>
      <c r="SHW143" s="33"/>
      <c r="SHX143" s="33"/>
      <c r="SHY143" s="33"/>
      <c r="SHZ143" s="33"/>
      <c r="SIA143" s="33"/>
      <c r="SIB143" s="33"/>
      <c r="SIC143" s="33"/>
      <c r="SID143" s="33"/>
      <c r="SIE143" s="33"/>
      <c r="SIF143" s="33"/>
      <c r="SIG143" s="33"/>
      <c r="SIH143" s="33"/>
      <c r="SII143" s="33"/>
      <c r="SIJ143" s="33"/>
      <c r="SIK143" s="33"/>
      <c r="SIL143" s="33"/>
      <c r="SIM143" s="33"/>
      <c r="SIN143" s="33"/>
      <c r="SIO143" s="33"/>
      <c r="SIP143" s="33"/>
      <c r="SIQ143" s="33"/>
      <c r="SIR143" s="33"/>
      <c r="SIS143" s="33"/>
      <c r="SIT143" s="33"/>
      <c r="SIU143" s="33"/>
      <c r="SIV143" s="33"/>
      <c r="SIW143" s="33"/>
      <c r="SIX143" s="33"/>
      <c r="SIY143" s="33"/>
      <c r="SIZ143" s="33"/>
      <c r="SJA143" s="33"/>
      <c r="SJB143" s="33"/>
      <c r="SJC143" s="33"/>
      <c r="SJD143" s="33"/>
      <c r="SJE143" s="33"/>
      <c r="SJF143" s="33"/>
      <c r="SJG143" s="33"/>
      <c r="SJH143" s="33"/>
      <c r="SJI143" s="33"/>
      <c r="SJJ143" s="33"/>
      <c r="SJK143" s="33"/>
      <c r="SJL143" s="33"/>
      <c r="SJM143" s="33"/>
      <c r="SJN143" s="33"/>
      <c r="SJO143" s="33"/>
      <c r="SJP143" s="33"/>
      <c r="SJQ143" s="33"/>
      <c r="SJR143" s="33"/>
      <c r="SJS143" s="33"/>
      <c r="SJT143" s="33"/>
      <c r="SJU143" s="33"/>
      <c r="SJV143" s="33"/>
      <c r="SJW143" s="33"/>
      <c r="SJX143" s="33"/>
      <c r="SJY143" s="33"/>
      <c r="SJZ143" s="33"/>
      <c r="SKA143" s="33"/>
      <c r="SKB143" s="33"/>
      <c r="SKC143" s="33"/>
      <c r="SKD143" s="33"/>
      <c r="SKE143" s="33"/>
      <c r="SKF143" s="33"/>
      <c r="SKG143" s="33"/>
      <c r="SKH143" s="33"/>
      <c r="SKI143" s="33"/>
      <c r="SKJ143" s="33"/>
      <c r="SKK143" s="33"/>
      <c r="SKL143" s="33"/>
      <c r="SKM143" s="33"/>
      <c r="SKN143" s="33"/>
      <c r="SKO143" s="33"/>
      <c r="SKP143" s="33"/>
      <c r="SKQ143" s="33"/>
      <c r="SKR143" s="33"/>
      <c r="SKS143" s="33"/>
      <c r="SKT143" s="33"/>
      <c r="SKU143" s="33"/>
      <c r="SKV143" s="33"/>
      <c r="SKW143" s="33"/>
      <c r="SKX143" s="33"/>
      <c r="SKY143" s="33"/>
      <c r="SKZ143" s="33"/>
      <c r="SLA143" s="33"/>
      <c r="SLB143" s="33"/>
      <c r="SLC143" s="33"/>
      <c r="SLD143" s="33"/>
      <c r="SLE143" s="33"/>
      <c r="SLF143" s="33"/>
      <c r="SLG143" s="33"/>
      <c r="SLH143" s="33"/>
      <c r="SLI143" s="33"/>
      <c r="SLJ143" s="33"/>
      <c r="SLK143" s="33"/>
      <c r="SLL143" s="33"/>
      <c r="SLM143" s="33"/>
      <c r="SLN143" s="33"/>
      <c r="SLO143" s="33"/>
      <c r="SLP143" s="33"/>
      <c r="SLQ143" s="33"/>
      <c r="SLR143" s="33"/>
      <c r="SLS143" s="33"/>
      <c r="SLT143" s="33"/>
      <c r="SLU143" s="33"/>
      <c r="SLV143" s="33"/>
      <c r="SLW143" s="33"/>
      <c r="SLX143" s="33"/>
      <c r="SLY143" s="33"/>
      <c r="SLZ143" s="33"/>
      <c r="SMA143" s="33"/>
      <c r="SMB143" s="33"/>
      <c r="SMC143" s="33"/>
      <c r="SMD143" s="33"/>
      <c r="SME143" s="33"/>
      <c r="SMF143" s="33"/>
      <c r="SMG143" s="33"/>
      <c r="SMH143" s="33"/>
      <c r="SMI143" s="33"/>
      <c r="SMJ143" s="33"/>
      <c r="SMK143" s="33"/>
      <c r="SML143" s="33"/>
      <c r="SMM143" s="33"/>
      <c r="SMN143" s="33"/>
      <c r="SMO143" s="33"/>
      <c r="SMP143" s="33"/>
      <c r="SMQ143" s="33"/>
      <c r="SMR143" s="33"/>
      <c r="SMS143" s="33"/>
      <c r="SMT143" s="33"/>
      <c r="SMU143" s="33"/>
      <c r="SMV143" s="33"/>
      <c r="SMW143" s="33"/>
      <c r="SMX143" s="33"/>
      <c r="SMY143" s="33"/>
      <c r="SMZ143" s="33"/>
      <c r="SNA143" s="33"/>
      <c r="SNB143" s="33"/>
      <c r="SNC143" s="33"/>
      <c r="SND143" s="33"/>
      <c r="SNE143" s="33"/>
      <c r="SNF143" s="33"/>
      <c r="SNG143" s="33"/>
      <c r="SNH143" s="33"/>
      <c r="SNI143" s="33"/>
      <c r="SNJ143" s="33"/>
      <c r="SNK143" s="33"/>
      <c r="SNL143" s="33"/>
      <c r="SNM143" s="33"/>
      <c r="SNN143" s="33"/>
      <c r="SNO143" s="33"/>
      <c r="SNP143" s="33"/>
      <c r="SNQ143" s="33"/>
      <c r="SNR143" s="33"/>
      <c r="SNS143" s="33"/>
      <c r="SNT143" s="33"/>
      <c r="SNU143" s="33"/>
      <c r="SNV143" s="33"/>
      <c r="SNW143" s="33"/>
      <c r="SNX143" s="33"/>
      <c r="SNY143" s="33"/>
      <c r="SNZ143" s="33"/>
      <c r="SOA143" s="33"/>
      <c r="SOB143" s="33"/>
      <c r="SOC143" s="33"/>
      <c r="SOD143" s="33"/>
      <c r="SOE143" s="33"/>
      <c r="SOF143" s="33"/>
      <c r="SOG143" s="33"/>
      <c r="SOH143" s="33"/>
      <c r="SOI143" s="33"/>
      <c r="SOJ143" s="33"/>
      <c r="SOK143" s="33"/>
      <c r="SOL143" s="33"/>
      <c r="SOM143" s="33"/>
      <c r="SON143" s="33"/>
      <c r="SOO143" s="33"/>
      <c r="SOP143" s="33"/>
      <c r="SOQ143" s="33"/>
      <c r="SOR143" s="33"/>
      <c r="SOS143" s="33"/>
      <c r="SOT143" s="33"/>
      <c r="SOU143" s="33"/>
      <c r="SOV143" s="33"/>
      <c r="SOW143" s="33"/>
      <c r="SOX143" s="33"/>
      <c r="SOY143" s="33"/>
      <c r="SOZ143" s="33"/>
      <c r="SPA143" s="33"/>
      <c r="SPB143" s="33"/>
      <c r="SPC143" s="33"/>
      <c r="SPD143" s="33"/>
      <c r="SPE143" s="33"/>
      <c r="SPF143" s="33"/>
      <c r="SPG143" s="33"/>
      <c r="SPH143" s="33"/>
      <c r="SPI143" s="33"/>
      <c r="SPJ143" s="33"/>
      <c r="SPK143" s="33"/>
      <c r="SPL143" s="33"/>
      <c r="SPM143" s="33"/>
      <c r="SPN143" s="33"/>
      <c r="SPO143" s="33"/>
      <c r="SPP143" s="33"/>
      <c r="SPQ143" s="33"/>
      <c r="SPR143" s="33"/>
      <c r="SPS143" s="33"/>
      <c r="SPT143" s="33"/>
      <c r="SPU143" s="33"/>
      <c r="SPV143" s="33"/>
      <c r="SPW143" s="33"/>
      <c r="SPX143" s="33"/>
      <c r="SPY143" s="33"/>
      <c r="SPZ143" s="33"/>
      <c r="SQA143" s="33"/>
      <c r="SQB143" s="33"/>
      <c r="SQC143" s="33"/>
      <c r="SQD143" s="33"/>
      <c r="SQE143" s="33"/>
      <c r="SQF143" s="33"/>
      <c r="SQG143" s="33"/>
      <c r="SQH143" s="33"/>
      <c r="SQI143" s="33"/>
      <c r="SQJ143" s="33"/>
      <c r="SQK143" s="33"/>
      <c r="SQL143" s="33"/>
      <c r="SQM143" s="33"/>
      <c r="SQN143" s="33"/>
      <c r="SQO143" s="33"/>
      <c r="SQP143" s="33"/>
      <c r="SQQ143" s="33"/>
      <c r="SQR143" s="33"/>
      <c r="SQS143" s="33"/>
      <c r="SQT143" s="33"/>
      <c r="SQU143" s="33"/>
      <c r="SQV143" s="33"/>
      <c r="SQW143" s="33"/>
      <c r="SQX143" s="33"/>
      <c r="SQY143" s="33"/>
      <c r="SQZ143" s="33"/>
      <c r="SRA143" s="33"/>
      <c r="SRB143" s="33"/>
      <c r="SRC143" s="33"/>
      <c r="SRD143" s="33"/>
      <c r="SRE143" s="33"/>
      <c r="SRF143" s="33"/>
      <c r="SRG143" s="33"/>
      <c r="SRH143" s="33"/>
      <c r="SRI143" s="33"/>
      <c r="SRJ143" s="33"/>
      <c r="SRK143" s="33"/>
      <c r="SRL143" s="33"/>
      <c r="SRM143" s="33"/>
      <c r="SRN143" s="33"/>
      <c r="SRO143" s="33"/>
      <c r="SRP143" s="33"/>
      <c r="SRQ143" s="33"/>
      <c r="SRR143" s="33"/>
      <c r="SRS143" s="33"/>
      <c r="SRT143" s="33"/>
      <c r="SRU143" s="33"/>
      <c r="SRV143" s="33"/>
      <c r="SRW143" s="33"/>
      <c r="SRX143" s="33"/>
      <c r="SRY143" s="33"/>
      <c r="SRZ143" s="33"/>
      <c r="SSA143" s="33"/>
      <c r="SSB143" s="33"/>
      <c r="SSC143" s="33"/>
      <c r="SSD143" s="33"/>
      <c r="SSE143" s="33"/>
      <c r="SSF143" s="33"/>
      <c r="SSG143" s="33"/>
      <c r="SSH143" s="33"/>
      <c r="SSI143" s="33"/>
      <c r="SSJ143" s="33"/>
      <c r="SSK143" s="33"/>
      <c r="SSL143" s="33"/>
      <c r="SSM143" s="33"/>
      <c r="SSN143" s="33"/>
      <c r="SSO143" s="33"/>
      <c r="SSP143" s="33"/>
      <c r="SSQ143" s="33"/>
      <c r="SSR143" s="33"/>
      <c r="SSS143" s="33"/>
      <c r="SST143" s="33"/>
      <c r="SSU143" s="33"/>
      <c r="SSV143" s="33"/>
      <c r="SSW143" s="33"/>
      <c r="SSX143" s="33"/>
      <c r="SSY143" s="33"/>
      <c r="SSZ143" s="33"/>
      <c r="STA143" s="33"/>
      <c r="STB143" s="33"/>
      <c r="STC143" s="33"/>
      <c r="STD143" s="33"/>
      <c r="STE143" s="33"/>
      <c r="STF143" s="33"/>
      <c r="STG143" s="33"/>
      <c r="STH143" s="33"/>
      <c r="STI143" s="33"/>
      <c r="STJ143" s="33"/>
      <c r="STK143" s="33"/>
      <c r="STL143" s="33"/>
      <c r="STM143" s="33"/>
      <c r="STN143" s="33"/>
      <c r="STO143" s="33"/>
      <c r="STP143" s="33"/>
      <c r="STQ143" s="33"/>
      <c r="STR143" s="33"/>
      <c r="STS143" s="33"/>
      <c r="STT143" s="33"/>
      <c r="STU143" s="33"/>
      <c r="STV143" s="33"/>
      <c r="STW143" s="33"/>
      <c r="STX143" s="33"/>
      <c r="STY143" s="33"/>
      <c r="STZ143" s="33"/>
      <c r="SUA143" s="33"/>
      <c r="SUB143" s="33"/>
      <c r="SUC143" s="33"/>
      <c r="SUD143" s="33"/>
      <c r="SUE143" s="33"/>
      <c r="SUF143" s="33"/>
      <c r="SUG143" s="33"/>
      <c r="SUH143" s="33"/>
      <c r="SUI143" s="33"/>
      <c r="SUJ143" s="33"/>
      <c r="SUK143" s="33"/>
      <c r="SUL143" s="33"/>
      <c r="SUM143" s="33"/>
      <c r="SUN143" s="33"/>
      <c r="SUO143" s="33"/>
      <c r="SUP143" s="33"/>
      <c r="SUQ143" s="33"/>
      <c r="SUR143" s="33"/>
      <c r="SUS143" s="33"/>
      <c r="SUT143" s="33"/>
      <c r="SUU143" s="33"/>
      <c r="SUV143" s="33"/>
      <c r="SUW143" s="33"/>
      <c r="SUX143" s="33"/>
      <c r="SUY143" s="33"/>
      <c r="SUZ143" s="33"/>
      <c r="SVA143" s="33"/>
      <c r="SVB143" s="33"/>
      <c r="SVC143" s="33"/>
      <c r="SVD143" s="33"/>
      <c r="SVE143" s="33"/>
      <c r="SVF143" s="33"/>
      <c r="SVG143" s="33"/>
      <c r="SVH143" s="33"/>
      <c r="SVI143" s="33"/>
      <c r="SVJ143" s="33"/>
      <c r="SVK143" s="33"/>
      <c r="SVL143" s="33"/>
      <c r="SVM143" s="33"/>
      <c r="SVN143" s="33"/>
      <c r="SVO143" s="33"/>
      <c r="SVP143" s="33"/>
      <c r="SVQ143" s="33"/>
      <c r="SVR143" s="33"/>
      <c r="SVS143" s="33"/>
      <c r="SVT143" s="33"/>
      <c r="SVU143" s="33"/>
      <c r="SVV143" s="33"/>
      <c r="SVW143" s="33"/>
      <c r="SVX143" s="33"/>
      <c r="SVY143" s="33"/>
      <c r="SVZ143" s="33"/>
      <c r="SWA143" s="33"/>
      <c r="SWB143" s="33"/>
      <c r="SWC143" s="33"/>
      <c r="SWD143" s="33"/>
      <c r="SWE143" s="33"/>
      <c r="SWF143" s="33"/>
      <c r="SWG143" s="33"/>
      <c r="SWH143" s="33"/>
      <c r="SWI143" s="33"/>
      <c r="SWJ143" s="33"/>
      <c r="SWK143" s="33"/>
      <c r="SWL143" s="33"/>
      <c r="SWM143" s="33"/>
      <c r="SWN143" s="33"/>
      <c r="SWO143" s="33"/>
      <c r="SWP143" s="33"/>
      <c r="SWQ143" s="33"/>
      <c r="SWR143" s="33"/>
      <c r="SWS143" s="33"/>
      <c r="SWT143" s="33"/>
      <c r="SWU143" s="33"/>
      <c r="SWV143" s="33"/>
      <c r="SWW143" s="33"/>
      <c r="SWX143" s="33"/>
      <c r="SWY143" s="33"/>
      <c r="SWZ143" s="33"/>
      <c r="SXA143" s="33"/>
      <c r="SXB143" s="33"/>
      <c r="SXC143" s="33"/>
      <c r="SXD143" s="33"/>
      <c r="SXE143" s="33"/>
      <c r="SXF143" s="33"/>
      <c r="SXG143" s="33"/>
      <c r="SXH143" s="33"/>
      <c r="SXI143" s="33"/>
      <c r="SXJ143" s="33"/>
      <c r="SXK143" s="33"/>
      <c r="SXL143" s="33"/>
      <c r="SXM143" s="33"/>
      <c r="SXN143" s="33"/>
      <c r="SXO143" s="33"/>
      <c r="SXP143" s="33"/>
      <c r="SXQ143" s="33"/>
      <c r="SXR143" s="33"/>
      <c r="SXS143" s="33"/>
      <c r="SXT143" s="33"/>
      <c r="SXU143" s="33"/>
      <c r="SXV143" s="33"/>
      <c r="SXW143" s="33"/>
      <c r="SXX143" s="33"/>
      <c r="SXY143" s="33"/>
      <c r="SXZ143" s="33"/>
      <c r="SYA143" s="33"/>
      <c r="SYB143" s="33"/>
      <c r="SYC143" s="33"/>
      <c r="SYD143" s="33"/>
      <c r="SYE143" s="33"/>
      <c r="SYF143" s="33"/>
      <c r="SYG143" s="33"/>
      <c r="SYH143" s="33"/>
      <c r="SYI143" s="33"/>
      <c r="SYJ143" s="33"/>
      <c r="SYK143" s="33"/>
      <c r="SYL143" s="33"/>
      <c r="SYM143" s="33"/>
      <c r="SYN143" s="33"/>
      <c r="SYO143" s="33"/>
      <c r="SYP143" s="33"/>
      <c r="SYQ143" s="33"/>
      <c r="SYR143" s="33"/>
      <c r="SYS143" s="33"/>
      <c r="SYT143" s="33"/>
      <c r="SYU143" s="33"/>
      <c r="SYV143" s="33"/>
      <c r="SYW143" s="33"/>
      <c r="SYX143" s="33"/>
      <c r="SYY143" s="33"/>
      <c r="SYZ143" s="33"/>
      <c r="SZA143" s="33"/>
      <c r="SZB143" s="33"/>
      <c r="SZC143" s="33"/>
      <c r="SZD143" s="33"/>
      <c r="SZE143" s="33"/>
      <c r="SZF143" s="33"/>
      <c r="SZG143" s="33"/>
      <c r="SZH143" s="33"/>
      <c r="SZI143" s="33"/>
      <c r="SZJ143" s="33"/>
      <c r="SZK143" s="33"/>
      <c r="SZL143" s="33"/>
      <c r="SZM143" s="33"/>
      <c r="SZN143" s="33"/>
      <c r="SZO143" s="33"/>
      <c r="SZP143" s="33"/>
      <c r="SZQ143" s="33"/>
      <c r="SZR143" s="33"/>
      <c r="SZS143" s="33"/>
      <c r="SZT143" s="33"/>
      <c r="SZU143" s="33"/>
      <c r="SZV143" s="33"/>
      <c r="SZW143" s="33"/>
      <c r="SZX143" s="33"/>
      <c r="SZY143" s="33"/>
      <c r="SZZ143" s="33"/>
      <c r="TAA143" s="33"/>
      <c r="TAB143" s="33"/>
      <c r="TAC143" s="33"/>
      <c r="TAD143" s="33"/>
      <c r="TAE143" s="33"/>
      <c r="TAF143" s="33"/>
      <c r="TAG143" s="33"/>
      <c r="TAH143" s="33"/>
      <c r="TAI143" s="33"/>
      <c r="TAJ143" s="33"/>
      <c r="TAK143" s="33"/>
      <c r="TAL143" s="33"/>
      <c r="TAM143" s="33"/>
      <c r="TAN143" s="33"/>
      <c r="TAO143" s="33"/>
      <c r="TAP143" s="33"/>
      <c r="TAQ143" s="33"/>
      <c r="TAR143" s="33"/>
      <c r="TAS143" s="33"/>
      <c r="TAT143" s="33"/>
      <c r="TAU143" s="33"/>
      <c r="TAV143" s="33"/>
      <c r="TAW143" s="33"/>
      <c r="TAX143" s="33"/>
      <c r="TAY143" s="33"/>
      <c r="TAZ143" s="33"/>
      <c r="TBA143" s="33"/>
      <c r="TBB143" s="33"/>
      <c r="TBC143" s="33"/>
      <c r="TBD143" s="33"/>
      <c r="TBE143" s="33"/>
      <c r="TBF143" s="33"/>
      <c r="TBG143" s="33"/>
      <c r="TBH143" s="33"/>
      <c r="TBI143" s="33"/>
      <c r="TBJ143" s="33"/>
      <c r="TBK143" s="33"/>
      <c r="TBL143" s="33"/>
      <c r="TBM143" s="33"/>
      <c r="TBN143" s="33"/>
      <c r="TBO143" s="33"/>
      <c r="TBP143" s="33"/>
      <c r="TBQ143" s="33"/>
      <c r="TBR143" s="33"/>
      <c r="TBS143" s="33"/>
      <c r="TBT143" s="33"/>
      <c r="TBU143" s="33"/>
      <c r="TBV143" s="33"/>
      <c r="TBW143" s="33"/>
      <c r="TBX143" s="33"/>
      <c r="TBY143" s="33"/>
      <c r="TBZ143" s="33"/>
      <c r="TCA143" s="33"/>
      <c r="TCB143" s="33"/>
      <c r="TCC143" s="33"/>
      <c r="TCD143" s="33"/>
      <c r="TCE143" s="33"/>
      <c r="TCF143" s="33"/>
      <c r="TCG143" s="33"/>
      <c r="TCH143" s="33"/>
      <c r="TCI143" s="33"/>
      <c r="TCJ143" s="33"/>
      <c r="TCK143" s="33"/>
      <c r="TCL143" s="33"/>
      <c r="TCM143" s="33"/>
      <c r="TCN143" s="33"/>
      <c r="TCO143" s="33"/>
      <c r="TCP143" s="33"/>
      <c r="TCQ143" s="33"/>
      <c r="TCR143" s="33"/>
      <c r="TCS143" s="33"/>
      <c r="TCT143" s="33"/>
      <c r="TCU143" s="33"/>
      <c r="TCV143" s="33"/>
      <c r="TCW143" s="33"/>
      <c r="TCX143" s="33"/>
      <c r="TCY143" s="33"/>
      <c r="TCZ143" s="33"/>
      <c r="TDA143" s="33"/>
      <c r="TDB143" s="33"/>
      <c r="TDC143" s="33"/>
      <c r="TDD143" s="33"/>
      <c r="TDE143" s="33"/>
      <c r="TDF143" s="33"/>
      <c r="TDG143" s="33"/>
      <c r="TDH143" s="33"/>
      <c r="TDI143" s="33"/>
      <c r="TDJ143" s="33"/>
      <c r="TDK143" s="33"/>
      <c r="TDL143" s="33"/>
      <c r="TDM143" s="33"/>
      <c r="TDN143" s="33"/>
      <c r="TDO143" s="33"/>
      <c r="TDP143" s="33"/>
      <c r="TDQ143" s="33"/>
      <c r="TDR143" s="33"/>
      <c r="TDS143" s="33"/>
      <c r="TDT143" s="33"/>
      <c r="TDU143" s="33"/>
      <c r="TDV143" s="33"/>
      <c r="TDW143" s="33"/>
      <c r="TDX143" s="33"/>
      <c r="TDY143" s="33"/>
      <c r="TDZ143" s="33"/>
      <c r="TEA143" s="33"/>
      <c r="TEB143" s="33"/>
      <c r="TEC143" s="33"/>
      <c r="TED143" s="33"/>
      <c r="TEE143" s="33"/>
      <c r="TEF143" s="33"/>
      <c r="TEG143" s="33"/>
      <c r="TEH143" s="33"/>
      <c r="TEI143" s="33"/>
      <c r="TEJ143" s="33"/>
      <c r="TEK143" s="33"/>
      <c r="TEL143" s="33"/>
      <c r="TEM143" s="33"/>
      <c r="TEN143" s="33"/>
      <c r="TEO143" s="33"/>
      <c r="TEP143" s="33"/>
      <c r="TEQ143" s="33"/>
      <c r="TER143" s="33"/>
      <c r="TES143" s="33"/>
      <c r="TET143" s="33"/>
      <c r="TEU143" s="33"/>
      <c r="TEV143" s="33"/>
      <c r="TEW143" s="33"/>
      <c r="TEX143" s="33"/>
      <c r="TEY143" s="33"/>
      <c r="TEZ143" s="33"/>
      <c r="TFA143" s="33"/>
      <c r="TFB143" s="33"/>
      <c r="TFC143" s="33"/>
      <c r="TFD143" s="33"/>
      <c r="TFE143" s="33"/>
      <c r="TFF143" s="33"/>
      <c r="TFG143" s="33"/>
      <c r="TFH143" s="33"/>
      <c r="TFI143" s="33"/>
      <c r="TFJ143" s="33"/>
      <c r="TFK143" s="33"/>
      <c r="TFL143" s="33"/>
      <c r="TFM143" s="33"/>
      <c r="TFN143" s="33"/>
      <c r="TFO143" s="33"/>
      <c r="TFP143" s="33"/>
      <c r="TFQ143" s="33"/>
      <c r="TFR143" s="33"/>
      <c r="TFS143" s="33"/>
      <c r="TFT143" s="33"/>
      <c r="TFU143" s="33"/>
      <c r="TFV143" s="33"/>
      <c r="TFW143" s="33"/>
      <c r="TFX143" s="33"/>
      <c r="TFY143" s="33"/>
      <c r="TFZ143" s="33"/>
      <c r="TGA143" s="33"/>
      <c r="TGB143" s="33"/>
      <c r="TGC143" s="33"/>
      <c r="TGD143" s="33"/>
      <c r="TGE143" s="33"/>
      <c r="TGF143" s="33"/>
      <c r="TGG143" s="33"/>
      <c r="TGH143" s="33"/>
      <c r="TGI143" s="33"/>
      <c r="TGJ143" s="33"/>
      <c r="TGK143" s="33"/>
      <c r="TGL143" s="33"/>
      <c r="TGM143" s="33"/>
      <c r="TGN143" s="33"/>
      <c r="TGO143" s="33"/>
      <c r="TGP143" s="33"/>
      <c r="TGQ143" s="33"/>
      <c r="TGR143" s="33"/>
      <c r="TGS143" s="33"/>
      <c r="TGT143" s="33"/>
      <c r="TGU143" s="33"/>
      <c r="TGV143" s="33"/>
      <c r="TGW143" s="33"/>
      <c r="TGX143" s="33"/>
      <c r="TGY143" s="33"/>
      <c r="TGZ143" s="33"/>
      <c r="THA143" s="33"/>
      <c r="THB143" s="33"/>
      <c r="THC143" s="33"/>
      <c r="THD143" s="33"/>
      <c r="THE143" s="33"/>
      <c r="THF143" s="33"/>
      <c r="THG143" s="33"/>
      <c r="THH143" s="33"/>
      <c r="THI143" s="33"/>
      <c r="THJ143" s="33"/>
      <c r="THK143" s="33"/>
      <c r="THL143" s="33"/>
      <c r="THM143" s="33"/>
      <c r="THN143" s="33"/>
      <c r="THO143" s="33"/>
      <c r="THP143" s="33"/>
      <c r="THQ143" s="33"/>
      <c r="THR143" s="33"/>
      <c r="THS143" s="33"/>
      <c r="THT143" s="33"/>
      <c r="THU143" s="33"/>
      <c r="THV143" s="33"/>
      <c r="THW143" s="33"/>
      <c r="THX143" s="33"/>
      <c r="THY143" s="33"/>
      <c r="THZ143" s="33"/>
      <c r="TIA143" s="33"/>
      <c r="TIB143" s="33"/>
      <c r="TIC143" s="33"/>
      <c r="TID143" s="33"/>
      <c r="TIE143" s="33"/>
      <c r="TIF143" s="33"/>
      <c r="TIG143" s="33"/>
      <c r="TIH143" s="33"/>
      <c r="TII143" s="33"/>
      <c r="TIJ143" s="33"/>
      <c r="TIK143" s="33"/>
      <c r="TIL143" s="33"/>
      <c r="TIM143" s="33"/>
      <c r="TIN143" s="33"/>
      <c r="TIO143" s="33"/>
      <c r="TIP143" s="33"/>
      <c r="TIQ143" s="33"/>
      <c r="TIR143" s="33"/>
      <c r="TIS143" s="33"/>
      <c r="TIT143" s="33"/>
      <c r="TIU143" s="33"/>
      <c r="TIV143" s="33"/>
      <c r="TIW143" s="33"/>
      <c r="TIX143" s="33"/>
      <c r="TIY143" s="33"/>
      <c r="TIZ143" s="33"/>
      <c r="TJA143" s="33"/>
      <c r="TJB143" s="33"/>
      <c r="TJC143" s="33"/>
      <c r="TJD143" s="33"/>
      <c r="TJE143" s="33"/>
      <c r="TJF143" s="33"/>
      <c r="TJG143" s="33"/>
      <c r="TJH143" s="33"/>
      <c r="TJI143" s="33"/>
      <c r="TJJ143" s="33"/>
      <c r="TJK143" s="33"/>
      <c r="TJL143" s="33"/>
      <c r="TJM143" s="33"/>
      <c r="TJN143" s="33"/>
      <c r="TJO143" s="33"/>
      <c r="TJP143" s="33"/>
      <c r="TJQ143" s="33"/>
      <c r="TJR143" s="33"/>
      <c r="TJS143" s="33"/>
      <c r="TJT143" s="33"/>
      <c r="TJU143" s="33"/>
      <c r="TJV143" s="33"/>
      <c r="TJW143" s="33"/>
      <c r="TJX143" s="33"/>
      <c r="TJY143" s="33"/>
      <c r="TJZ143" s="33"/>
      <c r="TKA143" s="33"/>
      <c r="TKB143" s="33"/>
      <c r="TKC143" s="33"/>
      <c r="TKD143" s="33"/>
      <c r="TKE143" s="33"/>
      <c r="TKF143" s="33"/>
      <c r="TKG143" s="33"/>
      <c r="TKH143" s="33"/>
      <c r="TKI143" s="33"/>
      <c r="TKJ143" s="33"/>
      <c r="TKK143" s="33"/>
      <c r="TKL143" s="33"/>
      <c r="TKM143" s="33"/>
      <c r="TKN143" s="33"/>
      <c r="TKO143" s="33"/>
      <c r="TKP143" s="33"/>
      <c r="TKQ143" s="33"/>
      <c r="TKR143" s="33"/>
      <c r="TKS143" s="33"/>
      <c r="TKT143" s="33"/>
      <c r="TKU143" s="33"/>
      <c r="TKV143" s="33"/>
      <c r="TKW143" s="33"/>
      <c r="TKX143" s="33"/>
      <c r="TKY143" s="33"/>
      <c r="TKZ143" s="33"/>
      <c r="TLA143" s="33"/>
      <c r="TLB143" s="33"/>
      <c r="TLC143" s="33"/>
      <c r="TLD143" s="33"/>
      <c r="TLE143" s="33"/>
      <c r="TLF143" s="33"/>
      <c r="TLG143" s="33"/>
      <c r="TLH143" s="33"/>
      <c r="TLI143" s="33"/>
      <c r="TLJ143" s="33"/>
      <c r="TLK143" s="33"/>
      <c r="TLL143" s="33"/>
      <c r="TLM143" s="33"/>
      <c r="TLN143" s="33"/>
      <c r="TLO143" s="33"/>
      <c r="TLP143" s="33"/>
      <c r="TLQ143" s="33"/>
      <c r="TLR143" s="33"/>
      <c r="TLS143" s="33"/>
      <c r="TLT143" s="33"/>
      <c r="TLU143" s="33"/>
      <c r="TLV143" s="33"/>
      <c r="TLW143" s="33"/>
      <c r="TLX143" s="33"/>
      <c r="TLY143" s="33"/>
      <c r="TLZ143" s="33"/>
      <c r="TMA143" s="33"/>
      <c r="TMB143" s="33"/>
      <c r="TMC143" s="33"/>
      <c r="TMD143" s="33"/>
      <c r="TME143" s="33"/>
      <c r="TMF143" s="33"/>
      <c r="TMG143" s="33"/>
      <c r="TMH143" s="33"/>
      <c r="TMI143" s="33"/>
      <c r="TMJ143" s="33"/>
      <c r="TMK143" s="33"/>
      <c r="TML143" s="33"/>
      <c r="TMM143" s="33"/>
      <c r="TMN143" s="33"/>
      <c r="TMO143" s="33"/>
      <c r="TMP143" s="33"/>
      <c r="TMQ143" s="33"/>
      <c r="TMR143" s="33"/>
      <c r="TMS143" s="33"/>
      <c r="TMT143" s="33"/>
      <c r="TMU143" s="33"/>
      <c r="TMV143" s="33"/>
      <c r="TMW143" s="33"/>
      <c r="TMX143" s="33"/>
      <c r="TMY143" s="33"/>
      <c r="TMZ143" s="33"/>
      <c r="TNA143" s="33"/>
      <c r="TNB143" s="33"/>
      <c r="TNC143" s="33"/>
      <c r="TND143" s="33"/>
      <c r="TNE143" s="33"/>
      <c r="TNF143" s="33"/>
      <c r="TNG143" s="33"/>
      <c r="TNH143" s="33"/>
      <c r="TNI143" s="33"/>
      <c r="TNJ143" s="33"/>
      <c r="TNK143" s="33"/>
      <c r="TNL143" s="33"/>
      <c r="TNM143" s="33"/>
      <c r="TNN143" s="33"/>
      <c r="TNO143" s="33"/>
      <c r="TNP143" s="33"/>
      <c r="TNQ143" s="33"/>
      <c r="TNR143" s="33"/>
      <c r="TNS143" s="33"/>
      <c r="TNT143" s="33"/>
      <c r="TNU143" s="33"/>
      <c r="TNV143" s="33"/>
      <c r="TNW143" s="33"/>
      <c r="TNX143" s="33"/>
      <c r="TNY143" s="33"/>
      <c r="TNZ143" s="33"/>
      <c r="TOA143" s="33"/>
      <c r="TOB143" s="33"/>
      <c r="TOC143" s="33"/>
      <c r="TOD143" s="33"/>
      <c r="TOE143" s="33"/>
      <c r="TOF143" s="33"/>
      <c r="TOG143" s="33"/>
      <c r="TOH143" s="33"/>
      <c r="TOI143" s="33"/>
      <c r="TOJ143" s="33"/>
      <c r="TOK143" s="33"/>
      <c r="TOL143" s="33"/>
      <c r="TOM143" s="33"/>
      <c r="TON143" s="33"/>
      <c r="TOO143" s="33"/>
      <c r="TOP143" s="33"/>
      <c r="TOQ143" s="33"/>
      <c r="TOR143" s="33"/>
      <c r="TOS143" s="33"/>
      <c r="TOT143" s="33"/>
      <c r="TOU143" s="33"/>
      <c r="TOV143" s="33"/>
      <c r="TOW143" s="33"/>
      <c r="TOX143" s="33"/>
      <c r="TOY143" s="33"/>
      <c r="TOZ143" s="33"/>
      <c r="TPA143" s="33"/>
      <c r="TPB143" s="33"/>
      <c r="TPC143" s="33"/>
      <c r="TPD143" s="33"/>
      <c r="TPE143" s="33"/>
      <c r="TPF143" s="33"/>
      <c r="TPG143" s="33"/>
      <c r="TPH143" s="33"/>
      <c r="TPI143" s="33"/>
      <c r="TPJ143" s="33"/>
      <c r="TPK143" s="33"/>
      <c r="TPL143" s="33"/>
      <c r="TPM143" s="33"/>
      <c r="TPN143" s="33"/>
      <c r="TPO143" s="33"/>
      <c r="TPP143" s="33"/>
      <c r="TPQ143" s="33"/>
      <c r="TPR143" s="33"/>
      <c r="TPS143" s="33"/>
      <c r="TPT143" s="33"/>
      <c r="TPU143" s="33"/>
      <c r="TPV143" s="33"/>
      <c r="TPW143" s="33"/>
      <c r="TPX143" s="33"/>
      <c r="TPY143" s="33"/>
      <c r="TPZ143" s="33"/>
      <c r="TQA143" s="33"/>
      <c r="TQB143" s="33"/>
      <c r="TQC143" s="33"/>
      <c r="TQD143" s="33"/>
      <c r="TQE143" s="33"/>
      <c r="TQF143" s="33"/>
      <c r="TQG143" s="33"/>
      <c r="TQH143" s="33"/>
      <c r="TQI143" s="33"/>
      <c r="TQJ143" s="33"/>
      <c r="TQK143" s="33"/>
      <c r="TQL143" s="33"/>
      <c r="TQM143" s="33"/>
      <c r="TQN143" s="33"/>
      <c r="TQO143" s="33"/>
      <c r="TQP143" s="33"/>
      <c r="TQQ143" s="33"/>
      <c r="TQR143" s="33"/>
      <c r="TQS143" s="33"/>
      <c r="TQT143" s="33"/>
      <c r="TQU143" s="33"/>
      <c r="TQV143" s="33"/>
      <c r="TQW143" s="33"/>
      <c r="TQX143" s="33"/>
      <c r="TQY143" s="33"/>
      <c r="TQZ143" s="33"/>
      <c r="TRA143" s="33"/>
      <c r="TRB143" s="33"/>
      <c r="TRC143" s="33"/>
      <c r="TRD143" s="33"/>
      <c r="TRE143" s="33"/>
      <c r="TRF143" s="33"/>
      <c r="TRG143" s="33"/>
      <c r="TRH143" s="33"/>
      <c r="TRI143" s="33"/>
      <c r="TRJ143" s="33"/>
      <c r="TRK143" s="33"/>
      <c r="TRL143" s="33"/>
      <c r="TRM143" s="33"/>
      <c r="TRN143" s="33"/>
      <c r="TRO143" s="33"/>
      <c r="TRP143" s="33"/>
      <c r="TRQ143" s="33"/>
      <c r="TRR143" s="33"/>
      <c r="TRS143" s="33"/>
      <c r="TRT143" s="33"/>
      <c r="TRU143" s="33"/>
      <c r="TRV143" s="33"/>
      <c r="TRW143" s="33"/>
      <c r="TRX143" s="33"/>
      <c r="TRY143" s="33"/>
      <c r="TRZ143" s="33"/>
      <c r="TSA143" s="33"/>
      <c r="TSB143" s="33"/>
      <c r="TSC143" s="33"/>
      <c r="TSD143" s="33"/>
      <c r="TSE143" s="33"/>
      <c r="TSF143" s="33"/>
      <c r="TSG143" s="33"/>
      <c r="TSH143" s="33"/>
      <c r="TSI143" s="33"/>
      <c r="TSJ143" s="33"/>
      <c r="TSK143" s="33"/>
      <c r="TSL143" s="33"/>
      <c r="TSM143" s="33"/>
      <c r="TSN143" s="33"/>
      <c r="TSO143" s="33"/>
      <c r="TSP143" s="33"/>
      <c r="TSQ143" s="33"/>
      <c r="TSR143" s="33"/>
      <c r="TSS143" s="33"/>
      <c r="TST143" s="33"/>
      <c r="TSU143" s="33"/>
      <c r="TSV143" s="33"/>
      <c r="TSW143" s="33"/>
      <c r="TSX143" s="33"/>
      <c r="TSY143" s="33"/>
      <c r="TSZ143" s="33"/>
      <c r="TTA143" s="33"/>
      <c r="TTB143" s="33"/>
      <c r="TTC143" s="33"/>
      <c r="TTD143" s="33"/>
      <c r="TTE143" s="33"/>
      <c r="TTF143" s="33"/>
      <c r="TTG143" s="33"/>
      <c r="TTH143" s="33"/>
      <c r="TTI143" s="33"/>
      <c r="TTJ143" s="33"/>
      <c r="TTK143" s="33"/>
      <c r="TTL143" s="33"/>
      <c r="TTM143" s="33"/>
      <c r="TTN143" s="33"/>
      <c r="TTO143" s="33"/>
      <c r="TTP143" s="33"/>
      <c r="TTQ143" s="33"/>
      <c r="TTR143" s="33"/>
      <c r="TTS143" s="33"/>
      <c r="TTT143" s="33"/>
      <c r="TTU143" s="33"/>
      <c r="TTV143" s="33"/>
      <c r="TTW143" s="33"/>
      <c r="TTX143" s="33"/>
      <c r="TTY143" s="33"/>
      <c r="TTZ143" s="33"/>
      <c r="TUA143" s="33"/>
      <c r="TUB143" s="33"/>
      <c r="TUC143" s="33"/>
      <c r="TUD143" s="33"/>
      <c r="TUE143" s="33"/>
      <c r="TUF143" s="33"/>
      <c r="TUG143" s="33"/>
      <c r="TUH143" s="33"/>
      <c r="TUI143" s="33"/>
      <c r="TUJ143" s="33"/>
      <c r="TUK143" s="33"/>
      <c r="TUL143" s="33"/>
      <c r="TUM143" s="33"/>
      <c r="TUN143" s="33"/>
      <c r="TUO143" s="33"/>
      <c r="TUP143" s="33"/>
      <c r="TUQ143" s="33"/>
      <c r="TUR143" s="33"/>
      <c r="TUS143" s="33"/>
      <c r="TUT143" s="33"/>
      <c r="TUU143" s="33"/>
      <c r="TUV143" s="33"/>
      <c r="TUW143" s="33"/>
      <c r="TUX143" s="33"/>
      <c r="TUY143" s="33"/>
      <c r="TUZ143" s="33"/>
      <c r="TVA143" s="33"/>
      <c r="TVB143" s="33"/>
      <c r="TVC143" s="33"/>
      <c r="TVD143" s="33"/>
      <c r="TVE143" s="33"/>
      <c r="TVF143" s="33"/>
      <c r="TVG143" s="33"/>
      <c r="TVH143" s="33"/>
      <c r="TVI143" s="33"/>
      <c r="TVJ143" s="33"/>
      <c r="TVK143" s="33"/>
      <c r="TVL143" s="33"/>
      <c r="TVM143" s="33"/>
      <c r="TVN143" s="33"/>
      <c r="TVO143" s="33"/>
      <c r="TVP143" s="33"/>
      <c r="TVQ143" s="33"/>
      <c r="TVR143" s="33"/>
      <c r="TVS143" s="33"/>
      <c r="TVT143" s="33"/>
      <c r="TVU143" s="33"/>
      <c r="TVV143" s="33"/>
      <c r="TVW143" s="33"/>
      <c r="TVX143" s="33"/>
      <c r="TVY143" s="33"/>
      <c r="TVZ143" s="33"/>
      <c r="TWA143" s="33"/>
      <c r="TWB143" s="33"/>
      <c r="TWC143" s="33"/>
      <c r="TWD143" s="33"/>
      <c r="TWE143" s="33"/>
      <c r="TWF143" s="33"/>
      <c r="TWG143" s="33"/>
      <c r="TWH143" s="33"/>
      <c r="TWI143" s="33"/>
      <c r="TWJ143" s="33"/>
      <c r="TWK143" s="33"/>
      <c r="TWL143" s="33"/>
      <c r="TWM143" s="33"/>
      <c r="TWN143" s="33"/>
      <c r="TWO143" s="33"/>
      <c r="TWP143" s="33"/>
      <c r="TWQ143" s="33"/>
      <c r="TWR143" s="33"/>
      <c r="TWS143" s="33"/>
      <c r="TWT143" s="33"/>
      <c r="TWU143" s="33"/>
      <c r="TWV143" s="33"/>
      <c r="TWW143" s="33"/>
      <c r="TWX143" s="33"/>
      <c r="TWY143" s="33"/>
      <c r="TWZ143" s="33"/>
      <c r="TXA143" s="33"/>
      <c r="TXB143" s="33"/>
      <c r="TXC143" s="33"/>
      <c r="TXD143" s="33"/>
      <c r="TXE143" s="33"/>
      <c r="TXF143" s="33"/>
      <c r="TXG143" s="33"/>
      <c r="TXH143" s="33"/>
      <c r="TXI143" s="33"/>
      <c r="TXJ143" s="33"/>
      <c r="TXK143" s="33"/>
      <c r="TXL143" s="33"/>
      <c r="TXM143" s="33"/>
      <c r="TXN143" s="33"/>
      <c r="TXO143" s="33"/>
      <c r="TXP143" s="33"/>
      <c r="TXQ143" s="33"/>
      <c r="TXR143" s="33"/>
      <c r="TXS143" s="33"/>
      <c r="TXT143" s="33"/>
      <c r="TXU143" s="33"/>
      <c r="TXV143" s="33"/>
      <c r="TXW143" s="33"/>
      <c r="TXX143" s="33"/>
      <c r="TXY143" s="33"/>
      <c r="TXZ143" s="33"/>
      <c r="TYA143" s="33"/>
      <c r="TYB143" s="33"/>
      <c r="TYC143" s="33"/>
      <c r="TYD143" s="33"/>
      <c r="TYE143" s="33"/>
      <c r="TYF143" s="33"/>
      <c r="TYG143" s="33"/>
      <c r="TYH143" s="33"/>
      <c r="TYI143" s="33"/>
      <c r="TYJ143" s="33"/>
      <c r="TYK143" s="33"/>
      <c r="TYL143" s="33"/>
      <c r="TYM143" s="33"/>
      <c r="TYN143" s="33"/>
      <c r="TYO143" s="33"/>
      <c r="TYP143" s="33"/>
      <c r="TYQ143" s="33"/>
      <c r="TYR143" s="33"/>
      <c r="TYS143" s="33"/>
      <c r="TYT143" s="33"/>
      <c r="TYU143" s="33"/>
      <c r="TYV143" s="33"/>
      <c r="TYW143" s="33"/>
      <c r="TYX143" s="33"/>
      <c r="TYY143" s="33"/>
      <c r="TYZ143" s="33"/>
      <c r="TZA143" s="33"/>
      <c r="TZB143" s="33"/>
      <c r="TZC143" s="33"/>
      <c r="TZD143" s="33"/>
      <c r="TZE143" s="33"/>
      <c r="TZF143" s="33"/>
      <c r="TZG143" s="33"/>
      <c r="TZH143" s="33"/>
      <c r="TZI143" s="33"/>
      <c r="TZJ143" s="33"/>
      <c r="TZK143" s="33"/>
      <c r="TZL143" s="33"/>
      <c r="TZM143" s="33"/>
      <c r="TZN143" s="33"/>
      <c r="TZO143" s="33"/>
      <c r="TZP143" s="33"/>
      <c r="TZQ143" s="33"/>
      <c r="TZR143" s="33"/>
      <c r="TZS143" s="33"/>
      <c r="TZT143" s="33"/>
      <c r="TZU143" s="33"/>
      <c r="TZV143" s="33"/>
      <c r="TZW143" s="33"/>
      <c r="TZX143" s="33"/>
      <c r="TZY143" s="33"/>
      <c r="TZZ143" s="33"/>
      <c r="UAA143" s="33"/>
      <c r="UAB143" s="33"/>
      <c r="UAC143" s="33"/>
      <c r="UAD143" s="33"/>
      <c r="UAE143" s="33"/>
      <c r="UAF143" s="33"/>
      <c r="UAG143" s="33"/>
      <c r="UAH143" s="33"/>
      <c r="UAI143" s="33"/>
      <c r="UAJ143" s="33"/>
      <c r="UAK143" s="33"/>
      <c r="UAL143" s="33"/>
      <c r="UAM143" s="33"/>
      <c r="UAN143" s="33"/>
      <c r="UAO143" s="33"/>
      <c r="UAP143" s="33"/>
      <c r="UAQ143" s="33"/>
      <c r="UAR143" s="33"/>
      <c r="UAS143" s="33"/>
      <c r="UAT143" s="33"/>
      <c r="UAU143" s="33"/>
      <c r="UAV143" s="33"/>
      <c r="UAW143" s="33"/>
      <c r="UAX143" s="33"/>
      <c r="UAY143" s="33"/>
      <c r="UAZ143" s="33"/>
      <c r="UBA143" s="33"/>
      <c r="UBB143" s="33"/>
      <c r="UBC143" s="33"/>
      <c r="UBD143" s="33"/>
      <c r="UBE143" s="33"/>
      <c r="UBF143" s="33"/>
      <c r="UBG143" s="33"/>
      <c r="UBH143" s="33"/>
      <c r="UBI143" s="33"/>
      <c r="UBJ143" s="33"/>
      <c r="UBK143" s="33"/>
      <c r="UBL143" s="33"/>
      <c r="UBM143" s="33"/>
      <c r="UBN143" s="33"/>
      <c r="UBO143" s="33"/>
      <c r="UBP143" s="33"/>
      <c r="UBQ143" s="33"/>
      <c r="UBR143" s="33"/>
      <c r="UBS143" s="33"/>
      <c r="UBT143" s="33"/>
      <c r="UBU143" s="33"/>
      <c r="UBV143" s="33"/>
      <c r="UBW143" s="33"/>
      <c r="UBX143" s="33"/>
      <c r="UBY143" s="33"/>
      <c r="UBZ143" s="33"/>
      <c r="UCA143" s="33"/>
      <c r="UCB143" s="33"/>
      <c r="UCC143" s="33"/>
      <c r="UCD143" s="33"/>
      <c r="UCE143" s="33"/>
      <c r="UCF143" s="33"/>
      <c r="UCG143" s="33"/>
      <c r="UCH143" s="33"/>
      <c r="UCI143" s="33"/>
      <c r="UCJ143" s="33"/>
      <c r="UCK143" s="33"/>
      <c r="UCL143" s="33"/>
      <c r="UCM143" s="33"/>
      <c r="UCN143" s="33"/>
      <c r="UCO143" s="33"/>
      <c r="UCP143" s="33"/>
      <c r="UCQ143" s="33"/>
      <c r="UCR143" s="33"/>
      <c r="UCS143" s="33"/>
      <c r="UCT143" s="33"/>
      <c r="UCU143" s="33"/>
      <c r="UCV143" s="33"/>
      <c r="UCW143" s="33"/>
      <c r="UCX143" s="33"/>
      <c r="UCY143" s="33"/>
      <c r="UCZ143" s="33"/>
      <c r="UDA143" s="33"/>
      <c r="UDB143" s="33"/>
      <c r="UDC143" s="33"/>
      <c r="UDD143" s="33"/>
      <c r="UDE143" s="33"/>
      <c r="UDF143" s="33"/>
      <c r="UDG143" s="33"/>
      <c r="UDH143" s="33"/>
      <c r="UDI143" s="33"/>
      <c r="UDJ143" s="33"/>
      <c r="UDK143" s="33"/>
      <c r="UDL143" s="33"/>
      <c r="UDM143" s="33"/>
      <c r="UDN143" s="33"/>
      <c r="UDO143" s="33"/>
      <c r="UDP143" s="33"/>
      <c r="UDQ143" s="33"/>
      <c r="UDR143" s="33"/>
      <c r="UDS143" s="33"/>
      <c r="UDT143" s="33"/>
      <c r="UDU143" s="33"/>
      <c r="UDV143" s="33"/>
      <c r="UDW143" s="33"/>
      <c r="UDX143" s="33"/>
      <c r="UDY143" s="33"/>
      <c r="UDZ143" s="33"/>
      <c r="UEA143" s="33"/>
      <c r="UEB143" s="33"/>
      <c r="UEC143" s="33"/>
      <c r="UED143" s="33"/>
      <c r="UEE143" s="33"/>
      <c r="UEF143" s="33"/>
      <c r="UEG143" s="33"/>
      <c r="UEH143" s="33"/>
      <c r="UEI143" s="33"/>
      <c r="UEJ143" s="33"/>
      <c r="UEK143" s="33"/>
      <c r="UEL143" s="33"/>
      <c r="UEM143" s="33"/>
      <c r="UEN143" s="33"/>
      <c r="UEO143" s="33"/>
      <c r="UEP143" s="33"/>
      <c r="UEQ143" s="33"/>
      <c r="UER143" s="33"/>
      <c r="UES143" s="33"/>
      <c r="UET143" s="33"/>
      <c r="UEU143" s="33"/>
      <c r="UEV143" s="33"/>
      <c r="UEW143" s="33"/>
      <c r="UEX143" s="33"/>
      <c r="UEY143" s="33"/>
      <c r="UEZ143" s="33"/>
      <c r="UFA143" s="33"/>
      <c r="UFB143" s="33"/>
      <c r="UFC143" s="33"/>
      <c r="UFD143" s="33"/>
      <c r="UFE143" s="33"/>
      <c r="UFF143" s="33"/>
      <c r="UFG143" s="33"/>
      <c r="UFH143" s="33"/>
      <c r="UFI143" s="33"/>
      <c r="UFJ143" s="33"/>
      <c r="UFK143" s="33"/>
      <c r="UFL143" s="33"/>
      <c r="UFM143" s="33"/>
      <c r="UFN143" s="33"/>
      <c r="UFO143" s="33"/>
      <c r="UFP143" s="33"/>
      <c r="UFQ143" s="33"/>
      <c r="UFR143" s="33"/>
      <c r="UFS143" s="33"/>
      <c r="UFT143" s="33"/>
      <c r="UFU143" s="33"/>
      <c r="UFV143" s="33"/>
      <c r="UFW143" s="33"/>
      <c r="UFX143" s="33"/>
      <c r="UFY143" s="33"/>
      <c r="UFZ143" s="33"/>
      <c r="UGA143" s="33"/>
      <c r="UGB143" s="33"/>
      <c r="UGC143" s="33"/>
      <c r="UGD143" s="33"/>
      <c r="UGE143" s="33"/>
      <c r="UGF143" s="33"/>
      <c r="UGG143" s="33"/>
      <c r="UGH143" s="33"/>
      <c r="UGI143" s="33"/>
      <c r="UGJ143" s="33"/>
      <c r="UGK143" s="33"/>
      <c r="UGL143" s="33"/>
      <c r="UGM143" s="33"/>
      <c r="UGN143" s="33"/>
      <c r="UGO143" s="33"/>
      <c r="UGP143" s="33"/>
      <c r="UGQ143" s="33"/>
      <c r="UGR143" s="33"/>
      <c r="UGS143" s="33"/>
      <c r="UGT143" s="33"/>
      <c r="UGU143" s="33"/>
      <c r="UGV143" s="33"/>
      <c r="UGW143" s="33"/>
      <c r="UGX143" s="33"/>
      <c r="UGY143" s="33"/>
      <c r="UGZ143" s="33"/>
      <c r="UHA143" s="33"/>
      <c r="UHB143" s="33"/>
      <c r="UHC143" s="33"/>
      <c r="UHD143" s="33"/>
      <c r="UHE143" s="33"/>
      <c r="UHF143" s="33"/>
      <c r="UHG143" s="33"/>
      <c r="UHH143" s="33"/>
      <c r="UHI143" s="33"/>
      <c r="UHJ143" s="33"/>
      <c r="UHK143" s="33"/>
      <c r="UHL143" s="33"/>
      <c r="UHM143" s="33"/>
      <c r="UHN143" s="33"/>
      <c r="UHO143" s="33"/>
      <c r="UHP143" s="33"/>
      <c r="UHQ143" s="33"/>
      <c r="UHR143" s="33"/>
      <c r="UHS143" s="33"/>
      <c r="UHT143" s="33"/>
      <c r="UHU143" s="33"/>
      <c r="UHV143" s="33"/>
      <c r="UHW143" s="33"/>
      <c r="UHX143" s="33"/>
      <c r="UHY143" s="33"/>
      <c r="UHZ143" s="33"/>
      <c r="UIA143" s="33"/>
      <c r="UIB143" s="33"/>
      <c r="UIC143" s="33"/>
      <c r="UID143" s="33"/>
      <c r="UIE143" s="33"/>
      <c r="UIF143" s="33"/>
      <c r="UIG143" s="33"/>
      <c r="UIH143" s="33"/>
      <c r="UII143" s="33"/>
      <c r="UIJ143" s="33"/>
      <c r="UIK143" s="33"/>
      <c r="UIL143" s="33"/>
      <c r="UIM143" s="33"/>
      <c r="UIN143" s="33"/>
      <c r="UIO143" s="33"/>
      <c r="UIP143" s="33"/>
      <c r="UIQ143" s="33"/>
      <c r="UIR143" s="33"/>
      <c r="UIS143" s="33"/>
      <c r="UIT143" s="33"/>
      <c r="UIU143" s="33"/>
      <c r="UIV143" s="33"/>
      <c r="UIW143" s="33"/>
      <c r="UIX143" s="33"/>
      <c r="UIY143" s="33"/>
      <c r="UIZ143" s="33"/>
      <c r="UJA143" s="33"/>
      <c r="UJB143" s="33"/>
      <c r="UJC143" s="33"/>
      <c r="UJD143" s="33"/>
      <c r="UJE143" s="33"/>
      <c r="UJF143" s="33"/>
      <c r="UJG143" s="33"/>
      <c r="UJH143" s="33"/>
      <c r="UJI143" s="33"/>
      <c r="UJJ143" s="33"/>
      <c r="UJK143" s="33"/>
      <c r="UJL143" s="33"/>
      <c r="UJM143" s="33"/>
      <c r="UJN143" s="33"/>
      <c r="UJO143" s="33"/>
      <c r="UJP143" s="33"/>
      <c r="UJQ143" s="33"/>
      <c r="UJR143" s="33"/>
      <c r="UJS143" s="33"/>
      <c r="UJT143" s="33"/>
      <c r="UJU143" s="33"/>
      <c r="UJV143" s="33"/>
      <c r="UJW143" s="33"/>
      <c r="UJX143" s="33"/>
      <c r="UJY143" s="33"/>
      <c r="UJZ143" s="33"/>
      <c r="UKA143" s="33"/>
      <c r="UKB143" s="33"/>
      <c r="UKC143" s="33"/>
      <c r="UKD143" s="33"/>
      <c r="UKE143" s="33"/>
      <c r="UKF143" s="33"/>
      <c r="UKG143" s="33"/>
      <c r="UKH143" s="33"/>
      <c r="UKI143" s="33"/>
      <c r="UKJ143" s="33"/>
      <c r="UKK143" s="33"/>
      <c r="UKL143" s="33"/>
      <c r="UKM143" s="33"/>
      <c r="UKN143" s="33"/>
      <c r="UKO143" s="33"/>
      <c r="UKP143" s="33"/>
      <c r="UKQ143" s="33"/>
      <c r="UKR143" s="33"/>
      <c r="UKS143" s="33"/>
      <c r="UKT143" s="33"/>
      <c r="UKU143" s="33"/>
      <c r="UKV143" s="33"/>
      <c r="UKW143" s="33"/>
      <c r="UKX143" s="33"/>
      <c r="UKY143" s="33"/>
      <c r="UKZ143" s="33"/>
      <c r="ULA143" s="33"/>
      <c r="ULB143" s="33"/>
      <c r="ULC143" s="33"/>
      <c r="ULD143" s="33"/>
      <c r="ULE143" s="33"/>
      <c r="ULF143" s="33"/>
      <c r="ULG143" s="33"/>
      <c r="ULH143" s="33"/>
      <c r="ULI143" s="33"/>
      <c r="ULJ143" s="33"/>
      <c r="ULK143" s="33"/>
      <c r="ULL143" s="33"/>
      <c r="ULM143" s="33"/>
      <c r="ULN143" s="33"/>
      <c r="ULO143" s="33"/>
      <c r="ULP143" s="33"/>
      <c r="ULQ143" s="33"/>
      <c r="ULR143" s="33"/>
      <c r="ULS143" s="33"/>
      <c r="ULT143" s="33"/>
      <c r="ULU143" s="33"/>
      <c r="ULV143" s="33"/>
      <c r="ULW143" s="33"/>
      <c r="ULX143" s="33"/>
      <c r="ULY143" s="33"/>
      <c r="ULZ143" s="33"/>
      <c r="UMA143" s="33"/>
      <c r="UMB143" s="33"/>
      <c r="UMC143" s="33"/>
      <c r="UMD143" s="33"/>
      <c r="UME143" s="33"/>
      <c r="UMF143" s="33"/>
      <c r="UMG143" s="33"/>
      <c r="UMH143" s="33"/>
      <c r="UMI143" s="33"/>
      <c r="UMJ143" s="33"/>
      <c r="UMK143" s="33"/>
      <c r="UML143" s="33"/>
      <c r="UMM143" s="33"/>
      <c r="UMN143" s="33"/>
      <c r="UMO143" s="33"/>
      <c r="UMP143" s="33"/>
      <c r="UMQ143" s="33"/>
      <c r="UMR143" s="33"/>
      <c r="UMS143" s="33"/>
      <c r="UMT143" s="33"/>
      <c r="UMU143" s="33"/>
      <c r="UMV143" s="33"/>
      <c r="UMW143" s="33"/>
      <c r="UMX143" s="33"/>
      <c r="UMY143" s="33"/>
      <c r="UMZ143" s="33"/>
      <c r="UNA143" s="33"/>
      <c r="UNB143" s="33"/>
      <c r="UNC143" s="33"/>
      <c r="UND143" s="33"/>
      <c r="UNE143" s="33"/>
      <c r="UNF143" s="33"/>
      <c r="UNG143" s="33"/>
      <c r="UNH143" s="33"/>
      <c r="UNI143" s="33"/>
      <c r="UNJ143" s="33"/>
      <c r="UNK143" s="33"/>
      <c r="UNL143" s="33"/>
      <c r="UNM143" s="33"/>
      <c r="UNN143" s="33"/>
      <c r="UNO143" s="33"/>
      <c r="UNP143" s="33"/>
      <c r="UNQ143" s="33"/>
      <c r="UNR143" s="33"/>
      <c r="UNS143" s="33"/>
      <c r="UNT143" s="33"/>
      <c r="UNU143" s="33"/>
      <c r="UNV143" s="33"/>
      <c r="UNW143" s="33"/>
      <c r="UNX143" s="33"/>
      <c r="UNY143" s="33"/>
      <c r="UNZ143" s="33"/>
      <c r="UOA143" s="33"/>
      <c r="UOB143" s="33"/>
      <c r="UOC143" s="33"/>
      <c r="UOD143" s="33"/>
      <c r="UOE143" s="33"/>
      <c r="UOF143" s="33"/>
      <c r="UOG143" s="33"/>
      <c r="UOH143" s="33"/>
      <c r="UOI143" s="33"/>
      <c r="UOJ143" s="33"/>
      <c r="UOK143" s="33"/>
      <c r="UOL143" s="33"/>
      <c r="UOM143" s="33"/>
      <c r="UON143" s="33"/>
      <c r="UOO143" s="33"/>
      <c r="UOP143" s="33"/>
      <c r="UOQ143" s="33"/>
      <c r="UOR143" s="33"/>
      <c r="UOS143" s="33"/>
      <c r="UOT143" s="33"/>
      <c r="UOU143" s="33"/>
      <c r="UOV143" s="33"/>
      <c r="UOW143" s="33"/>
      <c r="UOX143" s="33"/>
      <c r="UOY143" s="33"/>
      <c r="UOZ143" s="33"/>
      <c r="UPA143" s="33"/>
      <c r="UPB143" s="33"/>
      <c r="UPC143" s="33"/>
      <c r="UPD143" s="33"/>
      <c r="UPE143" s="33"/>
      <c r="UPF143" s="33"/>
      <c r="UPG143" s="33"/>
      <c r="UPH143" s="33"/>
      <c r="UPI143" s="33"/>
      <c r="UPJ143" s="33"/>
      <c r="UPK143" s="33"/>
      <c r="UPL143" s="33"/>
      <c r="UPM143" s="33"/>
      <c r="UPN143" s="33"/>
      <c r="UPO143" s="33"/>
      <c r="UPP143" s="33"/>
      <c r="UPQ143" s="33"/>
      <c r="UPR143" s="33"/>
      <c r="UPS143" s="33"/>
      <c r="UPT143" s="33"/>
      <c r="UPU143" s="33"/>
      <c r="UPV143" s="33"/>
      <c r="UPW143" s="33"/>
      <c r="UPX143" s="33"/>
      <c r="UPY143" s="33"/>
      <c r="UPZ143" s="33"/>
      <c r="UQA143" s="33"/>
      <c r="UQB143" s="33"/>
      <c r="UQC143" s="33"/>
      <c r="UQD143" s="33"/>
      <c r="UQE143" s="33"/>
      <c r="UQF143" s="33"/>
      <c r="UQG143" s="33"/>
      <c r="UQH143" s="33"/>
      <c r="UQI143" s="33"/>
      <c r="UQJ143" s="33"/>
      <c r="UQK143" s="33"/>
      <c r="UQL143" s="33"/>
      <c r="UQM143" s="33"/>
      <c r="UQN143" s="33"/>
      <c r="UQO143" s="33"/>
      <c r="UQP143" s="33"/>
      <c r="UQQ143" s="33"/>
      <c r="UQR143" s="33"/>
      <c r="UQS143" s="33"/>
      <c r="UQT143" s="33"/>
      <c r="UQU143" s="33"/>
      <c r="UQV143" s="33"/>
      <c r="UQW143" s="33"/>
      <c r="UQX143" s="33"/>
      <c r="UQY143" s="33"/>
      <c r="UQZ143" s="33"/>
      <c r="URA143" s="33"/>
      <c r="URB143" s="33"/>
      <c r="URC143" s="33"/>
      <c r="URD143" s="33"/>
      <c r="URE143" s="33"/>
      <c r="URF143" s="33"/>
      <c r="URG143" s="33"/>
      <c r="URH143" s="33"/>
      <c r="URI143" s="33"/>
      <c r="URJ143" s="33"/>
      <c r="URK143" s="33"/>
      <c r="URL143" s="33"/>
      <c r="URM143" s="33"/>
      <c r="URN143" s="33"/>
      <c r="URO143" s="33"/>
      <c r="URP143" s="33"/>
      <c r="URQ143" s="33"/>
      <c r="URR143" s="33"/>
      <c r="URS143" s="33"/>
      <c r="URT143" s="33"/>
      <c r="URU143" s="33"/>
      <c r="URV143" s="33"/>
      <c r="URW143" s="33"/>
      <c r="URX143" s="33"/>
      <c r="URY143" s="33"/>
      <c r="URZ143" s="33"/>
      <c r="USA143" s="33"/>
      <c r="USB143" s="33"/>
      <c r="USC143" s="33"/>
      <c r="USD143" s="33"/>
      <c r="USE143" s="33"/>
      <c r="USF143" s="33"/>
      <c r="USG143" s="33"/>
      <c r="USH143" s="33"/>
      <c r="USI143" s="33"/>
      <c r="USJ143" s="33"/>
      <c r="USK143" s="33"/>
      <c r="USL143" s="33"/>
      <c r="USM143" s="33"/>
      <c r="USN143" s="33"/>
      <c r="USO143" s="33"/>
      <c r="USP143" s="33"/>
      <c r="USQ143" s="33"/>
      <c r="USR143" s="33"/>
      <c r="USS143" s="33"/>
      <c r="UST143" s="33"/>
      <c r="USU143" s="33"/>
      <c r="USV143" s="33"/>
      <c r="USW143" s="33"/>
      <c r="USX143" s="33"/>
      <c r="USY143" s="33"/>
      <c r="USZ143" s="33"/>
      <c r="UTA143" s="33"/>
      <c r="UTB143" s="33"/>
      <c r="UTC143" s="33"/>
      <c r="UTD143" s="33"/>
      <c r="UTE143" s="33"/>
      <c r="UTF143" s="33"/>
      <c r="UTG143" s="33"/>
      <c r="UTH143" s="33"/>
      <c r="UTI143" s="33"/>
      <c r="UTJ143" s="33"/>
      <c r="UTK143" s="33"/>
      <c r="UTL143" s="33"/>
      <c r="UTM143" s="33"/>
      <c r="UTN143" s="33"/>
      <c r="UTO143" s="33"/>
      <c r="UTP143" s="33"/>
      <c r="UTQ143" s="33"/>
      <c r="UTR143" s="33"/>
      <c r="UTS143" s="33"/>
      <c r="UTT143" s="33"/>
      <c r="UTU143" s="33"/>
      <c r="UTV143" s="33"/>
      <c r="UTW143" s="33"/>
      <c r="UTX143" s="33"/>
      <c r="UTY143" s="33"/>
      <c r="UTZ143" s="33"/>
      <c r="UUA143" s="33"/>
      <c r="UUB143" s="33"/>
      <c r="UUC143" s="33"/>
      <c r="UUD143" s="33"/>
      <c r="UUE143" s="33"/>
      <c r="UUF143" s="33"/>
      <c r="UUG143" s="33"/>
      <c r="UUH143" s="33"/>
      <c r="UUI143" s="33"/>
      <c r="UUJ143" s="33"/>
      <c r="UUK143" s="33"/>
      <c r="UUL143" s="33"/>
      <c r="UUM143" s="33"/>
      <c r="UUN143" s="33"/>
      <c r="UUO143" s="33"/>
      <c r="UUP143" s="33"/>
      <c r="UUQ143" s="33"/>
      <c r="UUR143" s="33"/>
      <c r="UUS143" s="33"/>
      <c r="UUT143" s="33"/>
      <c r="UUU143" s="33"/>
      <c r="UUV143" s="33"/>
      <c r="UUW143" s="33"/>
      <c r="UUX143" s="33"/>
      <c r="UUY143" s="33"/>
      <c r="UUZ143" s="33"/>
      <c r="UVA143" s="33"/>
      <c r="UVB143" s="33"/>
      <c r="UVC143" s="33"/>
      <c r="UVD143" s="33"/>
      <c r="UVE143" s="33"/>
      <c r="UVF143" s="33"/>
      <c r="UVG143" s="33"/>
      <c r="UVH143" s="33"/>
      <c r="UVI143" s="33"/>
      <c r="UVJ143" s="33"/>
      <c r="UVK143" s="33"/>
      <c r="UVL143" s="33"/>
      <c r="UVM143" s="33"/>
      <c r="UVN143" s="33"/>
      <c r="UVO143" s="33"/>
      <c r="UVP143" s="33"/>
      <c r="UVQ143" s="33"/>
      <c r="UVR143" s="33"/>
      <c r="UVS143" s="33"/>
      <c r="UVT143" s="33"/>
      <c r="UVU143" s="33"/>
      <c r="UVV143" s="33"/>
      <c r="UVW143" s="33"/>
      <c r="UVX143" s="33"/>
      <c r="UVY143" s="33"/>
      <c r="UVZ143" s="33"/>
      <c r="UWA143" s="33"/>
      <c r="UWB143" s="33"/>
      <c r="UWC143" s="33"/>
      <c r="UWD143" s="33"/>
      <c r="UWE143" s="33"/>
      <c r="UWF143" s="33"/>
      <c r="UWG143" s="33"/>
      <c r="UWH143" s="33"/>
      <c r="UWI143" s="33"/>
      <c r="UWJ143" s="33"/>
      <c r="UWK143" s="33"/>
      <c r="UWL143" s="33"/>
      <c r="UWM143" s="33"/>
      <c r="UWN143" s="33"/>
      <c r="UWO143" s="33"/>
      <c r="UWP143" s="33"/>
      <c r="UWQ143" s="33"/>
      <c r="UWR143" s="33"/>
      <c r="UWS143" s="33"/>
      <c r="UWT143" s="33"/>
      <c r="UWU143" s="33"/>
      <c r="UWV143" s="33"/>
      <c r="UWW143" s="33"/>
      <c r="UWX143" s="33"/>
      <c r="UWY143" s="33"/>
      <c r="UWZ143" s="33"/>
      <c r="UXA143" s="33"/>
      <c r="UXB143" s="33"/>
      <c r="UXC143" s="33"/>
      <c r="UXD143" s="33"/>
      <c r="UXE143" s="33"/>
      <c r="UXF143" s="33"/>
      <c r="UXG143" s="33"/>
      <c r="UXH143" s="33"/>
      <c r="UXI143" s="33"/>
      <c r="UXJ143" s="33"/>
      <c r="UXK143" s="33"/>
      <c r="UXL143" s="33"/>
      <c r="UXM143" s="33"/>
      <c r="UXN143" s="33"/>
      <c r="UXO143" s="33"/>
      <c r="UXP143" s="33"/>
      <c r="UXQ143" s="33"/>
      <c r="UXR143" s="33"/>
      <c r="UXS143" s="33"/>
      <c r="UXT143" s="33"/>
      <c r="UXU143" s="33"/>
      <c r="UXV143" s="33"/>
      <c r="UXW143" s="33"/>
      <c r="UXX143" s="33"/>
      <c r="UXY143" s="33"/>
      <c r="UXZ143" s="33"/>
      <c r="UYA143" s="33"/>
      <c r="UYB143" s="33"/>
      <c r="UYC143" s="33"/>
      <c r="UYD143" s="33"/>
      <c r="UYE143" s="33"/>
      <c r="UYF143" s="33"/>
      <c r="UYG143" s="33"/>
      <c r="UYH143" s="33"/>
      <c r="UYI143" s="33"/>
      <c r="UYJ143" s="33"/>
      <c r="UYK143" s="33"/>
      <c r="UYL143" s="33"/>
      <c r="UYM143" s="33"/>
      <c r="UYN143" s="33"/>
      <c r="UYO143" s="33"/>
      <c r="UYP143" s="33"/>
      <c r="UYQ143" s="33"/>
      <c r="UYR143" s="33"/>
      <c r="UYS143" s="33"/>
      <c r="UYT143" s="33"/>
      <c r="UYU143" s="33"/>
      <c r="UYV143" s="33"/>
      <c r="UYW143" s="33"/>
      <c r="UYX143" s="33"/>
      <c r="UYY143" s="33"/>
      <c r="UYZ143" s="33"/>
      <c r="UZA143" s="33"/>
      <c r="UZB143" s="33"/>
      <c r="UZC143" s="33"/>
      <c r="UZD143" s="33"/>
      <c r="UZE143" s="33"/>
      <c r="UZF143" s="33"/>
      <c r="UZG143" s="33"/>
      <c r="UZH143" s="33"/>
      <c r="UZI143" s="33"/>
      <c r="UZJ143" s="33"/>
      <c r="UZK143" s="33"/>
      <c r="UZL143" s="33"/>
      <c r="UZM143" s="33"/>
      <c r="UZN143" s="33"/>
      <c r="UZO143" s="33"/>
      <c r="UZP143" s="33"/>
      <c r="UZQ143" s="33"/>
      <c r="UZR143" s="33"/>
      <c r="UZS143" s="33"/>
      <c r="UZT143" s="33"/>
      <c r="UZU143" s="33"/>
      <c r="UZV143" s="33"/>
      <c r="UZW143" s="33"/>
      <c r="UZX143" s="33"/>
      <c r="UZY143" s="33"/>
      <c r="UZZ143" s="33"/>
      <c r="VAA143" s="33"/>
      <c r="VAB143" s="33"/>
      <c r="VAC143" s="33"/>
      <c r="VAD143" s="33"/>
      <c r="VAE143" s="33"/>
      <c r="VAF143" s="33"/>
      <c r="VAG143" s="33"/>
      <c r="VAH143" s="33"/>
      <c r="VAI143" s="33"/>
      <c r="VAJ143" s="33"/>
      <c r="VAK143" s="33"/>
      <c r="VAL143" s="33"/>
      <c r="VAM143" s="33"/>
      <c r="VAN143" s="33"/>
      <c r="VAO143" s="33"/>
      <c r="VAP143" s="33"/>
      <c r="VAQ143" s="33"/>
      <c r="VAR143" s="33"/>
      <c r="VAS143" s="33"/>
      <c r="VAT143" s="33"/>
      <c r="VAU143" s="33"/>
      <c r="VAV143" s="33"/>
      <c r="VAW143" s="33"/>
      <c r="VAX143" s="33"/>
      <c r="VAY143" s="33"/>
      <c r="VAZ143" s="33"/>
      <c r="VBA143" s="33"/>
      <c r="VBB143" s="33"/>
      <c r="VBC143" s="33"/>
      <c r="VBD143" s="33"/>
      <c r="VBE143" s="33"/>
      <c r="VBF143" s="33"/>
      <c r="VBG143" s="33"/>
      <c r="VBH143" s="33"/>
      <c r="VBI143" s="33"/>
      <c r="VBJ143" s="33"/>
      <c r="VBK143" s="33"/>
      <c r="VBL143" s="33"/>
      <c r="VBM143" s="33"/>
      <c r="VBN143" s="33"/>
      <c r="VBO143" s="33"/>
      <c r="VBP143" s="33"/>
      <c r="VBQ143" s="33"/>
      <c r="VBR143" s="33"/>
      <c r="VBS143" s="33"/>
      <c r="VBT143" s="33"/>
      <c r="VBU143" s="33"/>
      <c r="VBV143" s="33"/>
      <c r="VBW143" s="33"/>
      <c r="VBX143" s="33"/>
      <c r="VBY143" s="33"/>
      <c r="VBZ143" s="33"/>
      <c r="VCA143" s="33"/>
      <c r="VCB143" s="33"/>
      <c r="VCC143" s="33"/>
      <c r="VCD143" s="33"/>
      <c r="VCE143" s="33"/>
      <c r="VCF143" s="33"/>
      <c r="VCG143" s="33"/>
      <c r="VCH143" s="33"/>
      <c r="VCI143" s="33"/>
      <c r="VCJ143" s="33"/>
      <c r="VCK143" s="33"/>
      <c r="VCL143" s="33"/>
      <c r="VCM143" s="33"/>
      <c r="VCN143" s="33"/>
      <c r="VCO143" s="33"/>
      <c r="VCP143" s="33"/>
      <c r="VCQ143" s="33"/>
      <c r="VCR143" s="33"/>
      <c r="VCS143" s="33"/>
      <c r="VCT143" s="33"/>
      <c r="VCU143" s="33"/>
      <c r="VCV143" s="33"/>
      <c r="VCW143" s="33"/>
      <c r="VCX143" s="33"/>
      <c r="VCY143" s="33"/>
      <c r="VCZ143" s="33"/>
      <c r="VDA143" s="33"/>
      <c r="VDB143" s="33"/>
      <c r="VDC143" s="33"/>
      <c r="VDD143" s="33"/>
      <c r="VDE143" s="33"/>
      <c r="VDF143" s="33"/>
      <c r="VDG143" s="33"/>
      <c r="VDH143" s="33"/>
      <c r="VDI143" s="33"/>
      <c r="VDJ143" s="33"/>
      <c r="VDK143" s="33"/>
      <c r="VDL143" s="33"/>
      <c r="VDM143" s="33"/>
      <c r="VDN143" s="33"/>
      <c r="VDO143" s="33"/>
      <c r="VDP143" s="33"/>
      <c r="VDQ143" s="33"/>
      <c r="VDR143" s="33"/>
      <c r="VDS143" s="33"/>
      <c r="VDT143" s="33"/>
      <c r="VDU143" s="33"/>
      <c r="VDV143" s="33"/>
      <c r="VDW143" s="33"/>
      <c r="VDX143" s="33"/>
      <c r="VDY143" s="33"/>
      <c r="VDZ143" s="33"/>
      <c r="VEA143" s="33"/>
      <c r="VEB143" s="33"/>
      <c r="VEC143" s="33"/>
      <c r="VED143" s="33"/>
      <c r="VEE143" s="33"/>
      <c r="VEF143" s="33"/>
      <c r="VEG143" s="33"/>
      <c r="VEH143" s="33"/>
      <c r="VEI143" s="33"/>
      <c r="VEJ143" s="33"/>
      <c r="VEK143" s="33"/>
      <c r="VEL143" s="33"/>
      <c r="VEM143" s="33"/>
      <c r="VEN143" s="33"/>
      <c r="VEO143" s="33"/>
      <c r="VEP143" s="33"/>
      <c r="VEQ143" s="33"/>
      <c r="VER143" s="33"/>
      <c r="VES143" s="33"/>
      <c r="VET143" s="33"/>
      <c r="VEU143" s="33"/>
      <c r="VEV143" s="33"/>
      <c r="VEW143" s="33"/>
      <c r="VEX143" s="33"/>
      <c r="VEY143" s="33"/>
      <c r="VEZ143" s="33"/>
      <c r="VFA143" s="33"/>
      <c r="VFB143" s="33"/>
      <c r="VFC143" s="33"/>
      <c r="VFD143" s="33"/>
      <c r="VFE143" s="33"/>
      <c r="VFF143" s="33"/>
      <c r="VFG143" s="33"/>
      <c r="VFH143" s="33"/>
      <c r="VFI143" s="33"/>
      <c r="VFJ143" s="33"/>
      <c r="VFK143" s="33"/>
      <c r="VFL143" s="33"/>
      <c r="VFM143" s="33"/>
      <c r="VFN143" s="33"/>
      <c r="VFO143" s="33"/>
      <c r="VFP143" s="33"/>
      <c r="VFQ143" s="33"/>
      <c r="VFR143" s="33"/>
      <c r="VFS143" s="33"/>
      <c r="VFT143" s="33"/>
      <c r="VFU143" s="33"/>
      <c r="VFV143" s="33"/>
      <c r="VFW143" s="33"/>
      <c r="VFX143" s="33"/>
      <c r="VFY143" s="33"/>
      <c r="VFZ143" s="33"/>
      <c r="VGA143" s="33"/>
      <c r="VGB143" s="33"/>
      <c r="VGC143" s="33"/>
      <c r="VGD143" s="33"/>
      <c r="VGE143" s="33"/>
      <c r="VGF143" s="33"/>
      <c r="VGG143" s="33"/>
      <c r="VGH143" s="33"/>
      <c r="VGI143" s="33"/>
      <c r="VGJ143" s="33"/>
      <c r="VGK143" s="33"/>
      <c r="VGL143" s="33"/>
      <c r="VGM143" s="33"/>
      <c r="VGN143" s="33"/>
      <c r="VGO143" s="33"/>
      <c r="VGP143" s="33"/>
      <c r="VGQ143" s="33"/>
      <c r="VGR143" s="33"/>
      <c r="VGS143" s="33"/>
      <c r="VGT143" s="33"/>
      <c r="VGU143" s="33"/>
      <c r="VGV143" s="33"/>
      <c r="VGW143" s="33"/>
      <c r="VGX143" s="33"/>
      <c r="VGY143" s="33"/>
      <c r="VGZ143" s="33"/>
      <c r="VHA143" s="33"/>
      <c r="VHB143" s="33"/>
      <c r="VHC143" s="33"/>
      <c r="VHD143" s="33"/>
      <c r="VHE143" s="33"/>
      <c r="VHF143" s="33"/>
      <c r="VHG143" s="33"/>
      <c r="VHH143" s="33"/>
      <c r="VHI143" s="33"/>
      <c r="VHJ143" s="33"/>
      <c r="VHK143" s="33"/>
      <c r="VHL143" s="33"/>
      <c r="VHM143" s="33"/>
      <c r="VHN143" s="33"/>
      <c r="VHO143" s="33"/>
      <c r="VHP143" s="33"/>
      <c r="VHQ143" s="33"/>
      <c r="VHR143" s="33"/>
      <c r="VHS143" s="33"/>
      <c r="VHT143" s="33"/>
      <c r="VHU143" s="33"/>
      <c r="VHV143" s="33"/>
      <c r="VHW143" s="33"/>
      <c r="VHX143" s="33"/>
      <c r="VHY143" s="33"/>
      <c r="VHZ143" s="33"/>
      <c r="VIA143" s="33"/>
      <c r="VIB143" s="33"/>
      <c r="VIC143" s="33"/>
      <c r="VID143" s="33"/>
      <c r="VIE143" s="33"/>
      <c r="VIF143" s="33"/>
      <c r="VIG143" s="33"/>
      <c r="VIH143" s="33"/>
      <c r="VII143" s="33"/>
      <c r="VIJ143" s="33"/>
      <c r="VIK143" s="33"/>
      <c r="VIL143" s="33"/>
      <c r="VIM143" s="33"/>
      <c r="VIN143" s="33"/>
      <c r="VIO143" s="33"/>
      <c r="VIP143" s="33"/>
      <c r="VIQ143" s="33"/>
      <c r="VIR143" s="33"/>
      <c r="VIS143" s="33"/>
      <c r="VIT143" s="33"/>
      <c r="VIU143" s="33"/>
      <c r="VIV143" s="33"/>
      <c r="VIW143" s="33"/>
      <c r="VIX143" s="33"/>
      <c r="VIY143" s="33"/>
      <c r="VIZ143" s="33"/>
      <c r="VJA143" s="33"/>
      <c r="VJB143" s="33"/>
      <c r="VJC143" s="33"/>
      <c r="VJD143" s="33"/>
      <c r="VJE143" s="33"/>
      <c r="VJF143" s="33"/>
      <c r="VJG143" s="33"/>
      <c r="VJH143" s="33"/>
      <c r="VJI143" s="33"/>
      <c r="VJJ143" s="33"/>
      <c r="VJK143" s="33"/>
      <c r="VJL143" s="33"/>
      <c r="VJM143" s="33"/>
      <c r="VJN143" s="33"/>
      <c r="VJO143" s="33"/>
      <c r="VJP143" s="33"/>
      <c r="VJQ143" s="33"/>
      <c r="VJR143" s="33"/>
      <c r="VJS143" s="33"/>
      <c r="VJT143" s="33"/>
      <c r="VJU143" s="33"/>
      <c r="VJV143" s="33"/>
      <c r="VJW143" s="33"/>
      <c r="VJX143" s="33"/>
      <c r="VJY143" s="33"/>
      <c r="VJZ143" s="33"/>
      <c r="VKA143" s="33"/>
      <c r="VKB143" s="33"/>
      <c r="VKC143" s="33"/>
      <c r="VKD143" s="33"/>
      <c r="VKE143" s="33"/>
      <c r="VKF143" s="33"/>
      <c r="VKG143" s="33"/>
      <c r="VKH143" s="33"/>
      <c r="VKI143" s="33"/>
      <c r="VKJ143" s="33"/>
      <c r="VKK143" s="33"/>
      <c r="VKL143" s="33"/>
      <c r="VKM143" s="33"/>
      <c r="VKN143" s="33"/>
      <c r="VKO143" s="33"/>
      <c r="VKP143" s="33"/>
      <c r="VKQ143" s="33"/>
      <c r="VKR143" s="33"/>
      <c r="VKS143" s="33"/>
      <c r="VKT143" s="33"/>
      <c r="VKU143" s="33"/>
      <c r="VKV143" s="33"/>
      <c r="VKW143" s="33"/>
      <c r="VKX143" s="33"/>
      <c r="VKY143" s="33"/>
      <c r="VKZ143" s="33"/>
      <c r="VLA143" s="33"/>
      <c r="VLB143" s="33"/>
      <c r="VLC143" s="33"/>
      <c r="VLD143" s="33"/>
      <c r="VLE143" s="33"/>
      <c r="VLF143" s="33"/>
      <c r="VLG143" s="33"/>
      <c r="VLH143" s="33"/>
      <c r="VLI143" s="33"/>
      <c r="VLJ143" s="33"/>
      <c r="VLK143" s="33"/>
      <c r="VLL143" s="33"/>
      <c r="VLM143" s="33"/>
      <c r="VLN143" s="33"/>
      <c r="VLO143" s="33"/>
      <c r="VLP143" s="33"/>
      <c r="VLQ143" s="33"/>
      <c r="VLR143" s="33"/>
      <c r="VLS143" s="33"/>
      <c r="VLT143" s="33"/>
      <c r="VLU143" s="33"/>
      <c r="VLV143" s="33"/>
      <c r="VLW143" s="33"/>
      <c r="VLX143" s="33"/>
      <c r="VLY143" s="33"/>
      <c r="VLZ143" s="33"/>
      <c r="VMA143" s="33"/>
      <c r="VMB143" s="33"/>
      <c r="VMC143" s="33"/>
      <c r="VMD143" s="33"/>
      <c r="VME143" s="33"/>
      <c r="VMF143" s="33"/>
      <c r="VMG143" s="33"/>
      <c r="VMH143" s="33"/>
      <c r="VMI143" s="33"/>
      <c r="VMJ143" s="33"/>
      <c r="VMK143" s="33"/>
      <c r="VML143" s="33"/>
      <c r="VMM143" s="33"/>
      <c r="VMN143" s="33"/>
      <c r="VMO143" s="33"/>
      <c r="VMP143" s="33"/>
      <c r="VMQ143" s="33"/>
      <c r="VMR143" s="33"/>
      <c r="VMS143" s="33"/>
      <c r="VMT143" s="33"/>
      <c r="VMU143" s="33"/>
      <c r="VMV143" s="33"/>
      <c r="VMW143" s="33"/>
      <c r="VMX143" s="33"/>
      <c r="VMY143" s="33"/>
      <c r="VMZ143" s="33"/>
      <c r="VNA143" s="33"/>
      <c r="VNB143" s="33"/>
      <c r="VNC143" s="33"/>
      <c r="VND143" s="33"/>
      <c r="VNE143" s="33"/>
      <c r="VNF143" s="33"/>
      <c r="VNG143" s="33"/>
      <c r="VNH143" s="33"/>
      <c r="VNI143" s="33"/>
      <c r="VNJ143" s="33"/>
      <c r="VNK143" s="33"/>
      <c r="VNL143" s="33"/>
      <c r="VNM143" s="33"/>
      <c r="VNN143" s="33"/>
      <c r="VNO143" s="33"/>
      <c r="VNP143" s="33"/>
      <c r="VNQ143" s="33"/>
      <c r="VNR143" s="33"/>
      <c r="VNS143" s="33"/>
      <c r="VNT143" s="33"/>
      <c r="VNU143" s="33"/>
      <c r="VNV143" s="33"/>
      <c r="VNW143" s="33"/>
      <c r="VNX143" s="33"/>
      <c r="VNY143" s="33"/>
      <c r="VNZ143" s="33"/>
      <c r="VOA143" s="33"/>
      <c r="VOB143" s="33"/>
      <c r="VOC143" s="33"/>
      <c r="VOD143" s="33"/>
      <c r="VOE143" s="33"/>
      <c r="VOF143" s="33"/>
      <c r="VOG143" s="33"/>
      <c r="VOH143" s="33"/>
      <c r="VOI143" s="33"/>
      <c r="VOJ143" s="33"/>
      <c r="VOK143" s="33"/>
      <c r="VOL143" s="33"/>
      <c r="VOM143" s="33"/>
      <c r="VON143" s="33"/>
      <c r="VOO143" s="33"/>
      <c r="VOP143" s="33"/>
      <c r="VOQ143" s="33"/>
      <c r="VOR143" s="33"/>
      <c r="VOS143" s="33"/>
      <c r="VOT143" s="33"/>
      <c r="VOU143" s="33"/>
      <c r="VOV143" s="33"/>
      <c r="VOW143" s="33"/>
      <c r="VOX143" s="33"/>
      <c r="VOY143" s="33"/>
      <c r="VOZ143" s="33"/>
      <c r="VPA143" s="33"/>
      <c r="VPB143" s="33"/>
      <c r="VPC143" s="33"/>
      <c r="VPD143" s="33"/>
      <c r="VPE143" s="33"/>
      <c r="VPF143" s="33"/>
      <c r="VPG143" s="33"/>
      <c r="VPH143" s="33"/>
      <c r="VPI143" s="33"/>
      <c r="VPJ143" s="33"/>
      <c r="VPK143" s="33"/>
      <c r="VPL143" s="33"/>
      <c r="VPM143" s="33"/>
      <c r="VPN143" s="33"/>
      <c r="VPO143" s="33"/>
      <c r="VPP143" s="33"/>
      <c r="VPQ143" s="33"/>
      <c r="VPR143" s="33"/>
      <c r="VPS143" s="33"/>
      <c r="VPT143" s="33"/>
      <c r="VPU143" s="33"/>
      <c r="VPV143" s="33"/>
      <c r="VPW143" s="33"/>
      <c r="VPX143" s="33"/>
      <c r="VPY143" s="33"/>
      <c r="VPZ143" s="33"/>
      <c r="VQA143" s="33"/>
      <c r="VQB143" s="33"/>
      <c r="VQC143" s="33"/>
      <c r="VQD143" s="33"/>
      <c r="VQE143" s="33"/>
      <c r="VQF143" s="33"/>
      <c r="VQG143" s="33"/>
      <c r="VQH143" s="33"/>
      <c r="VQI143" s="33"/>
      <c r="VQJ143" s="33"/>
      <c r="VQK143" s="33"/>
      <c r="VQL143" s="33"/>
      <c r="VQM143" s="33"/>
      <c r="VQN143" s="33"/>
      <c r="VQO143" s="33"/>
      <c r="VQP143" s="33"/>
      <c r="VQQ143" s="33"/>
      <c r="VQR143" s="33"/>
      <c r="VQS143" s="33"/>
      <c r="VQT143" s="33"/>
      <c r="VQU143" s="33"/>
      <c r="VQV143" s="33"/>
      <c r="VQW143" s="33"/>
      <c r="VQX143" s="33"/>
      <c r="VQY143" s="33"/>
      <c r="VQZ143" s="33"/>
      <c r="VRA143" s="33"/>
      <c r="VRB143" s="33"/>
      <c r="VRC143" s="33"/>
      <c r="VRD143" s="33"/>
      <c r="VRE143" s="33"/>
      <c r="VRF143" s="33"/>
      <c r="VRG143" s="33"/>
      <c r="VRH143" s="33"/>
      <c r="VRI143" s="33"/>
      <c r="VRJ143" s="33"/>
      <c r="VRK143" s="33"/>
      <c r="VRL143" s="33"/>
      <c r="VRM143" s="33"/>
      <c r="VRN143" s="33"/>
      <c r="VRO143" s="33"/>
      <c r="VRP143" s="33"/>
      <c r="VRQ143" s="33"/>
      <c r="VRR143" s="33"/>
      <c r="VRS143" s="33"/>
      <c r="VRT143" s="33"/>
      <c r="VRU143" s="33"/>
      <c r="VRV143" s="33"/>
      <c r="VRW143" s="33"/>
      <c r="VRX143" s="33"/>
      <c r="VRY143" s="33"/>
      <c r="VRZ143" s="33"/>
      <c r="VSA143" s="33"/>
      <c r="VSB143" s="33"/>
      <c r="VSC143" s="33"/>
      <c r="VSD143" s="33"/>
      <c r="VSE143" s="33"/>
      <c r="VSF143" s="33"/>
      <c r="VSG143" s="33"/>
      <c r="VSH143" s="33"/>
      <c r="VSI143" s="33"/>
      <c r="VSJ143" s="33"/>
      <c r="VSK143" s="33"/>
      <c r="VSL143" s="33"/>
      <c r="VSM143" s="33"/>
      <c r="VSN143" s="33"/>
      <c r="VSO143" s="33"/>
      <c r="VSP143" s="33"/>
      <c r="VSQ143" s="33"/>
      <c r="VSR143" s="33"/>
      <c r="VSS143" s="33"/>
      <c r="VST143" s="33"/>
      <c r="VSU143" s="33"/>
      <c r="VSV143" s="33"/>
      <c r="VSW143" s="33"/>
      <c r="VSX143" s="33"/>
      <c r="VSY143" s="33"/>
      <c r="VSZ143" s="33"/>
      <c r="VTA143" s="33"/>
      <c r="VTB143" s="33"/>
      <c r="VTC143" s="33"/>
      <c r="VTD143" s="33"/>
      <c r="VTE143" s="33"/>
      <c r="VTF143" s="33"/>
      <c r="VTG143" s="33"/>
      <c r="VTH143" s="33"/>
      <c r="VTI143" s="33"/>
      <c r="VTJ143" s="33"/>
      <c r="VTK143" s="33"/>
      <c r="VTL143" s="33"/>
      <c r="VTM143" s="33"/>
      <c r="VTN143" s="33"/>
      <c r="VTO143" s="33"/>
      <c r="VTP143" s="33"/>
      <c r="VTQ143" s="33"/>
      <c r="VTR143" s="33"/>
      <c r="VTS143" s="33"/>
      <c r="VTT143" s="33"/>
      <c r="VTU143" s="33"/>
      <c r="VTV143" s="33"/>
      <c r="VTW143" s="33"/>
      <c r="VTX143" s="33"/>
      <c r="VTY143" s="33"/>
      <c r="VTZ143" s="33"/>
      <c r="VUA143" s="33"/>
      <c r="VUB143" s="33"/>
      <c r="VUC143" s="33"/>
      <c r="VUD143" s="33"/>
      <c r="VUE143" s="33"/>
      <c r="VUF143" s="33"/>
      <c r="VUG143" s="33"/>
      <c r="VUH143" s="33"/>
      <c r="VUI143" s="33"/>
      <c r="VUJ143" s="33"/>
      <c r="VUK143" s="33"/>
      <c r="VUL143" s="33"/>
      <c r="VUM143" s="33"/>
      <c r="VUN143" s="33"/>
      <c r="VUO143" s="33"/>
      <c r="VUP143" s="33"/>
      <c r="VUQ143" s="33"/>
      <c r="VUR143" s="33"/>
      <c r="VUS143" s="33"/>
      <c r="VUT143" s="33"/>
      <c r="VUU143" s="33"/>
      <c r="VUV143" s="33"/>
      <c r="VUW143" s="33"/>
      <c r="VUX143" s="33"/>
      <c r="VUY143" s="33"/>
      <c r="VUZ143" s="33"/>
      <c r="VVA143" s="33"/>
      <c r="VVB143" s="33"/>
      <c r="VVC143" s="33"/>
      <c r="VVD143" s="33"/>
      <c r="VVE143" s="33"/>
      <c r="VVF143" s="33"/>
      <c r="VVG143" s="33"/>
      <c r="VVH143" s="33"/>
      <c r="VVI143" s="33"/>
      <c r="VVJ143" s="33"/>
      <c r="VVK143" s="33"/>
      <c r="VVL143" s="33"/>
      <c r="VVM143" s="33"/>
      <c r="VVN143" s="33"/>
      <c r="VVO143" s="33"/>
      <c r="VVP143" s="33"/>
      <c r="VVQ143" s="33"/>
      <c r="VVR143" s="33"/>
      <c r="VVS143" s="33"/>
      <c r="VVT143" s="33"/>
      <c r="VVU143" s="33"/>
      <c r="VVV143" s="33"/>
      <c r="VVW143" s="33"/>
      <c r="VVX143" s="33"/>
      <c r="VVY143" s="33"/>
      <c r="VVZ143" s="33"/>
      <c r="VWA143" s="33"/>
      <c r="VWB143" s="33"/>
      <c r="VWC143" s="33"/>
      <c r="VWD143" s="33"/>
      <c r="VWE143" s="33"/>
      <c r="VWF143" s="33"/>
      <c r="VWG143" s="33"/>
      <c r="VWH143" s="33"/>
      <c r="VWI143" s="33"/>
      <c r="VWJ143" s="33"/>
      <c r="VWK143" s="33"/>
      <c r="VWL143" s="33"/>
      <c r="VWM143" s="33"/>
      <c r="VWN143" s="33"/>
      <c r="VWO143" s="33"/>
      <c r="VWP143" s="33"/>
      <c r="VWQ143" s="33"/>
      <c r="VWR143" s="33"/>
      <c r="VWS143" s="33"/>
      <c r="VWT143" s="33"/>
      <c r="VWU143" s="33"/>
      <c r="VWV143" s="33"/>
      <c r="VWW143" s="33"/>
      <c r="VWX143" s="33"/>
      <c r="VWY143" s="33"/>
      <c r="VWZ143" s="33"/>
      <c r="VXA143" s="33"/>
      <c r="VXB143" s="33"/>
      <c r="VXC143" s="33"/>
      <c r="VXD143" s="33"/>
      <c r="VXE143" s="33"/>
      <c r="VXF143" s="33"/>
      <c r="VXG143" s="33"/>
      <c r="VXH143" s="33"/>
      <c r="VXI143" s="33"/>
      <c r="VXJ143" s="33"/>
      <c r="VXK143" s="33"/>
      <c r="VXL143" s="33"/>
      <c r="VXM143" s="33"/>
      <c r="VXN143" s="33"/>
      <c r="VXO143" s="33"/>
      <c r="VXP143" s="33"/>
      <c r="VXQ143" s="33"/>
      <c r="VXR143" s="33"/>
      <c r="VXS143" s="33"/>
      <c r="VXT143" s="33"/>
      <c r="VXU143" s="33"/>
      <c r="VXV143" s="33"/>
      <c r="VXW143" s="33"/>
      <c r="VXX143" s="33"/>
      <c r="VXY143" s="33"/>
      <c r="VXZ143" s="33"/>
      <c r="VYA143" s="33"/>
      <c r="VYB143" s="33"/>
      <c r="VYC143" s="33"/>
      <c r="VYD143" s="33"/>
      <c r="VYE143" s="33"/>
      <c r="VYF143" s="33"/>
      <c r="VYG143" s="33"/>
      <c r="VYH143" s="33"/>
      <c r="VYI143" s="33"/>
      <c r="VYJ143" s="33"/>
      <c r="VYK143" s="33"/>
      <c r="VYL143" s="33"/>
      <c r="VYM143" s="33"/>
      <c r="VYN143" s="33"/>
      <c r="VYO143" s="33"/>
      <c r="VYP143" s="33"/>
      <c r="VYQ143" s="33"/>
      <c r="VYR143" s="33"/>
      <c r="VYS143" s="33"/>
      <c r="VYT143" s="33"/>
      <c r="VYU143" s="33"/>
      <c r="VYV143" s="33"/>
      <c r="VYW143" s="33"/>
      <c r="VYX143" s="33"/>
      <c r="VYY143" s="33"/>
      <c r="VYZ143" s="33"/>
      <c r="VZA143" s="33"/>
      <c r="VZB143" s="33"/>
      <c r="VZC143" s="33"/>
      <c r="VZD143" s="33"/>
      <c r="VZE143" s="33"/>
      <c r="VZF143" s="33"/>
      <c r="VZG143" s="33"/>
      <c r="VZH143" s="33"/>
      <c r="VZI143" s="33"/>
      <c r="VZJ143" s="33"/>
      <c r="VZK143" s="33"/>
      <c r="VZL143" s="33"/>
      <c r="VZM143" s="33"/>
      <c r="VZN143" s="33"/>
      <c r="VZO143" s="33"/>
      <c r="VZP143" s="33"/>
      <c r="VZQ143" s="33"/>
      <c r="VZR143" s="33"/>
      <c r="VZS143" s="33"/>
      <c r="VZT143" s="33"/>
      <c r="VZU143" s="33"/>
      <c r="VZV143" s="33"/>
      <c r="VZW143" s="33"/>
      <c r="VZX143" s="33"/>
      <c r="VZY143" s="33"/>
      <c r="VZZ143" s="33"/>
      <c r="WAA143" s="33"/>
      <c r="WAB143" s="33"/>
      <c r="WAC143" s="33"/>
      <c r="WAD143" s="33"/>
      <c r="WAE143" s="33"/>
      <c r="WAF143" s="33"/>
      <c r="WAG143" s="33"/>
      <c r="WAH143" s="33"/>
      <c r="WAI143" s="33"/>
      <c r="WAJ143" s="33"/>
      <c r="WAK143" s="33"/>
      <c r="WAL143" s="33"/>
      <c r="WAM143" s="33"/>
      <c r="WAN143" s="33"/>
      <c r="WAO143" s="33"/>
      <c r="WAP143" s="33"/>
      <c r="WAQ143" s="33"/>
      <c r="WAR143" s="33"/>
      <c r="WAS143" s="33"/>
      <c r="WAT143" s="33"/>
      <c r="WAU143" s="33"/>
      <c r="WAV143" s="33"/>
      <c r="WAW143" s="33"/>
      <c r="WAX143" s="33"/>
      <c r="WAY143" s="33"/>
      <c r="WAZ143" s="33"/>
      <c r="WBA143" s="33"/>
      <c r="WBB143" s="33"/>
      <c r="WBC143" s="33"/>
      <c r="WBD143" s="33"/>
      <c r="WBE143" s="33"/>
      <c r="WBF143" s="33"/>
      <c r="WBG143" s="33"/>
      <c r="WBH143" s="33"/>
      <c r="WBI143" s="33"/>
      <c r="WBJ143" s="33"/>
      <c r="WBK143" s="33"/>
      <c r="WBL143" s="33"/>
      <c r="WBM143" s="33"/>
      <c r="WBN143" s="33"/>
      <c r="WBO143" s="33"/>
      <c r="WBP143" s="33"/>
      <c r="WBQ143" s="33"/>
      <c r="WBR143" s="33"/>
      <c r="WBS143" s="33"/>
      <c r="WBT143" s="33"/>
      <c r="WBU143" s="33"/>
      <c r="WBV143" s="33"/>
      <c r="WBW143" s="33"/>
      <c r="WBX143" s="33"/>
      <c r="WBY143" s="33"/>
      <c r="WBZ143" s="33"/>
      <c r="WCA143" s="33"/>
      <c r="WCB143" s="33"/>
      <c r="WCC143" s="33"/>
      <c r="WCD143" s="33"/>
      <c r="WCE143" s="33"/>
      <c r="WCF143" s="33"/>
      <c r="WCG143" s="33"/>
      <c r="WCH143" s="33"/>
      <c r="WCI143" s="33"/>
      <c r="WCJ143" s="33"/>
      <c r="WCK143" s="33"/>
      <c r="WCL143" s="33"/>
      <c r="WCM143" s="33"/>
      <c r="WCN143" s="33"/>
      <c r="WCO143" s="33"/>
      <c r="WCP143" s="33"/>
      <c r="WCQ143" s="33"/>
      <c r="WCR143" s="33"/>
      <c r="WCS143" s="33"/>
      <c r="WCT143" s="33"/>
      <c r="WCU143" s="33"/>
      <c r="WCV143" s="33"/>
      <c r="WCW143" s="33"/>
      <c r="WCX143" s="33"/>
      <c r="WCY143" s="33"/>
      <c r="WCZ143" s="33"/>
      <c r="WDA143" s="33"/>
      <c r="WDB143" s="33"/>
      <c r="WDC143" s="33"/>
      <c r="WDD143" s="33"/>
      <c r="WDE143" s="33"/>
      <c r="WDF143" s="33"/>
      <c r="WDG143" s="33"/>
      <c r="WDH143" s="33"/>
      <c r="WDI143" s="33"/>
      <c r="WDJ143" s="33"/>
      <c r="WDK143" s="33"/>
      <c r="WDL143" s="33"/>
      <c r="WDM143" s="33"/>
      <c r="WDN143" s="33"/>
      <c r="WDO143" s="33"/>
      <c r="WDP143" s="33"/>
      <c r="WDQ143" s="33"/>
      <c r="WDR143" s="33"/>
      <c r="WDS143" s="33"/>
      <c r="WDT143" s="33"/>
      <c r="WDU143" s="33"/>
      <c r="WDV143" s="33"/>
      <c r="WDW143" s="33"/>
      <c r="WDX143" s="33"/>
      <c r="WDY143" s="33"/>
      <c r="WDZ143" s="33"/>
      <c r="WEA143" s="33"/>
      <c r="WEB143" s="33"/>
      <c r="WEC143" s="33"/>
      <c r="WED143" s="33"/>
      <c r="WEE143" s="33"/>
      <c r="WEF143" s="33"/>
      <c r="WEG143" s="33"/>
      <c r="WEH143" s="33"/>
      <c r="WEI143" s="33"/>
      <c r="WEJ143" s="33"/>
      <c r="WEK143" s="33"/>
      <c r="WEL143" s="33"/>
      <c r="WEM143" s="33"/>
      <c r="WEN143" s="33"/>
      <c r="WEO143" s="33"/>
      <c r="WEP143" s="33"/>
      <c r="WEQ143" s="33"/>
      <c r="WER143" s="33"/>
      <c r="WES143" s="33"/>
      <c r="WET143" s="33"/>
      <c r="WEU143" s="33"/>
      <c r="WEV143" s="33"/>
      <c r="WEW143" s="33"/>
      <c r="WEX143" s="33"/>
      <c r="WEY143" s="33"/>
      <c r="WEZ143" s="33"/>
      <c r="WFA143" s="33"/>
      <c r="WFB143" s="33"/>
      <c r="WFC143" s="33"/>
      <c r="WFD143" s="33"/>
      <c r="WFE143" s="33"/>
      <c r="WFF143" s="33"/>
      <c r="WFG143" s="33"/>
      <c r="WFH143" s="33"/>
      <c r="WFI143" s="33"/>
      <c r="WFJ143" s="33"/>
      <c r="WFK143" s="33"/>
      <c r="WFL143" s="33"/>
      <c r="WFM143" s="33"/>
      <c r="WFN143" s="33"/>
      <c r="WFO143" s="33"/>
      <c r="WFP143" s="33"/>
      <c r="WFQ143" s="33"/>
      <c r="WFR143" s="33"/>
      <c r="WFS143" s="33"/>
      <c r="WFT143" s="33"/>
      <c r="WFU143" s="33"/>
      <c r="WFV143" s="33"/>
      <c r="WFW143" s="33"/>
      <c r="WFX143" s="33"/>
      <c r="WFY143" s="33"/>
      <c r="WFZ143" s="33"/>
      <c r="WGA143" s="33"/>
      <c r="WGB143" s="33"/>
      <c r="WGC143" s="33"/>
      <c r="WGD143" s="33"/>
      <c r="WGE143" s="33"/>
      <c r="WGF143" s="33"/>
      <c r="WGG143" s="33"/>
      <c r="WGH143" s="33"/>
      <c r="WGI143" s="33"/>
      <c r="WGJ143" s="33"/>
      <c r="WGK143" s="33"/>
      <c r="WGL143" s="33"/>
      <c r="WGM143" s="33"/>
      <c r="WGN143" s="33"/>
      <c r="WGO143" s="33"/>
      <c r="WGP143" s="33"/>
      <c r="WGQ143" s="33"/>
      <c r="WGR143" s="33"/>
      <c r="WGS143" s="33"/>
      <c r="WGT143" s="33"/>
      <c r="WGU143" s="33"/>
      <c r="WGV143" s="33"/>
      <c r="WGW143" s="33"/>
      <c r="WGX143" s="33"/>
      <c r="WGY143" s="33"/>
      <c r="WGZ143" s="33"/>
      <c r="WHA143" s="33"/>
      <c r="WHB143" s="33"/>
      <c r="WHC143" s="33"/>
      <c r="WHD143" s="33"/>
      <c r="WHE143" s="33"/>
      <c r="WHF143" s="33"/>
      <c r="WHG143" s="33"/>
      <c r="WHH143" s="33"/>
      <c r="WHI143" s="33"/>
      <c r="WHJ143" s="33"/>
      <c r="WHK143" s="33"/>
      <c r="WHL143" s="33"/>
      <c r="WHM143" s="33"/>
      <c r="WHN143" s="33"/>
      <c r="WHO143" s="33"/>
      <c r="WHP143" s="33"/>
      <c r="WHQ143" s="33"/>
      <c r="WHR143" s="33"/>
      <c r="WHS143" s="33"/>
      <c r="WHT143" s="33"/>
      <c r="WHU143" s="33"/>
      <c r="WHV143" s="33"/>
      <c r="WHW143" s="33"/>
      <c r="WHX143" s="33"/>
      <c r="WHY143" s="33"/>
      <c r="WHZ143" s="33"/>
      <c r="WIA143" s="33"/>
      <c r="WIB143" s="33"/>
      <c r="WIC143" s="33"/>
      <c r="WID143" s="33"/>
      <c r="WIE143" s="33"/>
      <c r="WIF143" s="33"/>
      <c r="WIG143" s="33"/>
      <c r="WIH143" s="33"/>
      <c r="WII143" s="33"/>
      <c r="WIJ143" s="33"/>
      <c r="WIK143" s="33"/>
      <c r="WIL143" s="33"/>
      <c r="WIM143" s="33"/>
      <c r="WIN143" s="33"/>
      <c r="WIO143" s="33"/>
      <c r="WIP143" s="33"/>
      <c r="WIQ143" s="33"/>
      <c r="WIR143" s="33"/>
      <c r="WIS143" s="33"/>
      <c r="WIT143" s="33"/>
      <c r="WIU143" s="33"/>
      <c r="WIV143" s="33"/>
      <c r="WIW143" s="33"/>
      <c r="WIX143" s="33"/>
      <c r="WIY143" s="33"/>
      <c r="WIZ143" s="33"/>
      <c r="WJA143" s="33"/>
      <c r="WJB143" s="33"/>
      <c r="WJC143" s="33"/>
      <c r="WJD143" s="33"/>
      <c r="WJE143" s="33"/>
      <c r="WJF143" s="33"/>
      <c r="WJG143" s="33"/>
      <c r="WJH143" s="33"/>
      <c r="WJI143" s="33"/>
      <c r="WJJ143" s="33"/>
      <c r="WJK143" s="33"/>
      <c r="WJL143" s="33"/>
      <c r="WJM143" s="33"/>
      <c r="WJN143" s="33"/>
      <c r="WJO143" s="33"/>
      <c r="WJP143" s="33"/>
      <c r="WJQ143" s="33"/>
      <c r="WJR143" s="33"/>
      <c r="WJS143" s="33"/>
      <c r="WJT143" s="33"/>
      <c r="WJU143" s="33"/>
      <c r="WJV143" s="33"/>
      <c r="WJW143" s="33"/>
      <c r="WJX143" s="33"/>
      <c r="WJY143" s="33"/>
      <c r="WJZ143" s="33"/>
      <c r="WKA143" s="33"/>
      <c r="WKB143" s="33"/>
      <c r="WKC143" s="33"/>
      <c r="WKD143" s="33"/>
      <c r="WKE143" s="33"/>
      <c r="WKF143" s="33"/>
      <c r="WKG143" s="33"/>
      <c r="WKH143" s="33"/>
      <c r="WKI143" s="33"/>
      <c r="WKJ143" s="33"/>
      <c r="WKK143" s="33"/>
      <c r="WKL143" s="33"/>
      <c r="WKM143" s="33"/>
      <c r="WKN143" s="33"/>
      <c r="WKO143" s="33"/>
      <c r="WKP143" s="33"/>
      <c r="WKQ143" s="33"/>
      <c r="WKR143" s="33"/>
      <c r="WKS143" s="33"/>
      <c r="WKT143" s="33"/>
      <c r="WKU143" s="33"/>
      <c r="WKV143" s="33"/>
      <c r="WKW143" s="33"/>
      <c r="WKX143" s="33"/>
      <c r="WKY143" s="33"/>
      <c r="WKZ143" s="33"/>
      <c r="WLA143" s="33"/>
      <c r="WLB143" s="33"/>
      <c r="WLC143" s="33"/>
      <c r="WLD143" s="33"/>
      <c r="WLE143" s="33"/>
      <c r="WLF143" s="33"/>
      <c r="WLG143" s="33"/>
      <c r="WLH143" s="33"/>
      <c r="WLI143" s="33"/>
      <c r="WLJ143" s="33"/>
      <c r="WLK143" s="33"/>
      <c r="WLL143" s="33"/>
      <c r="WLM143" s="33"/>
      <c r="WLN143" s="33"/>
      <c r="WLO143" s="33"/>
      <c r="WLP143" s="33"/>
      <c r="WLQ143" s="33"/>
      <c r="WLR143" s="33"/>
      <c r="WLS143" s="33"/>
      <c r="WLT143" s="33"/>
      <c r="WLU143" s="33"/>
      <c r="WLV143" s="33"/>
      <c r="WLW143" s="33"/>
      <c r="WLX143" s="33"/>
      <c r="WLY143" s="33"/>
      <c r="WLZ143" s="33"/>
      <c r="WMA143" s="33"/>
      <c r="WMB143" s="33"/>
      <c r="WMC143" s="33"/>
      <c r="WMD143" s="33"/>
      <c r="WME143" s="33"/>
      <c r="WMF143" s="33"/>
      <c r="WMG143" s="33"/>
      <c r="WMH143" s="33"/>
      <c r="WMI143" s="33"/>
      <c r="WMJ143" s="33"/>
      <c r="WMK143" s="33"/>
      <c r="WML143" s="33"/>
      <c r="WMM143" s="33"/>
      <c r="WMN143" s="33"/>
      <c r="WMO143" s="33"/>
      <c r="WMP143" s="33"/>
      <c r="WMQ143" s="33"/>
      <c r="WMR143" s="33"/>
      <c r="WMS143" s="33"/>
      <c r="WMT143" s="33"/>
      <c r="WMU143" s="33"/>
      <c r="WMV143" s="33"/>
      <c r="WMW143" s="33"/>
      <c r="WMX143" s="33"/>
      <c r="WMY143" s="33"/>
      <c r="WMZ143" s="33"/>
      <c r="WNA143" s="33"/>
      <c r="WNB143" s="33"/>
      <c r="WNC143" s="33"/>
      <c r="WND143" s="33"/>
      <c r="WNE143" s="33"/>
      <c r="WNF143" s="33"/>
      <c r="WNG143" s="33"/>
      <c r="WNH143" s="33"/>
      <c r="WNI143" s="33"/>
      <c r="WNJ143" s="33"/>
      <c r="WNK143" s="33"/>
      <c r="WNL143" s="33"/>
      <c r="WNM143" s="33"/>
      <c r="WNN143" s="33"/>
      <c r="WNO143" s="33"/>
      <c r="WNP143" s="33"/>
      <c r="WNQ143" s="33"/>
      <c r="WNR143" s="33"/>
      <c r="WNS143" s="33"/>
      <c r="WNT143" s="33"/>
      <c r="WNU143" s="33"/>
      <c r="WNV143" s="33"/>
      <c r="WNW143" s="33"/>
      <c r="WNX143" s="33"/>
      <c r="WNY143" s="33"/>
      <c r="WNZ143" s="33"/>
      <c r="WOA143" s="33"/>
      <c r="WOB143" s="33"/>
      <c r="WOC143" s="33"/>
      <c r="WOD143" s="33"/>
      <c r="WOE143" s="33"/>
      <c r="WOF143" s="33"/>
      <c r="WOG143" s="33"/>
      <c r="WOH143" s="33"/>
      <c r="WOI143" s="33"/>
      <c r="WOJ143" s="33"/>
      <c r="WOK143" s="33"/>
      <c r="WOL143" s="33"/>
      <c r="WOM143" s="33"/>
      <c r="WON143" s="33"/>
      <c r="WOO143" s="33"/>
      <c r="WOP143" s="33"/>
      <c r="WOQ143" s="33"/>
      <c r="WOR143" s="33"/>
      <c r="WOS143" s="33"/>
      <c r="WOT143" s="33"/>
      <c r="WOU143" s="33"/>
      <c r="WOV143" s="33"/>
      <c r="WOW143" s="33"/>
      <c r="WOX143" s="33"/>
      <c r="WOY143" s="33"/>
      <c r="WOZ143" s="33"/>
      <c r="WPA143" s="33"/>
      <c r="WPB143" s="33"/>
      <c r="WPC143" s="33"/>
      <c r="WPD143" s="33"/>
      <c r="WPE143" s="33"/>
      <c r="WPF143" s="33"/>
      <c r="WPG143" s="33"/>
      <c r="WPH143" s="33"/>
      <c r="WPI143" s="33"/>
      <c r="WPJ143" s="33"/>
      <c r="WPK143" s="33"/>
      <c r="WPL143" s="33"/>
      <c r="WPM143" s="33"/>
      <c r="WPN143" s="33"/>
      <c r="WPO143" s="33"/>
      <c r="WPP143" s="33"/>
      <c r="WPQ143" s="33"/>
      <c r="WPR143" s="33"/>
      <c r="WPS143" s="33"/>
      <c r="WPT143" s="33"/>
      <c r="WPU143" s="33"/>
      <c r="WPV143" s="33"/>
      <c r="WPW143" s="33"/>
      <c r="WPX143" s="33"/>
      <c r="WPY143" s="33"/>
      <c r="WPZ143" s="33"/>
      <c r="WQA143" s="33"/>
      <c r="WQB143" s="33"/>
      <c r="WQC143" s="33"/>
      <c r="WQD143" s="33"/>
      <c r="WQE143" s="33"/>
      <c r="WQF143" s="33"/>
      <c r="WQG143" s="33"/>
      <c r="WQH143" s="33"/>
      <c r="WQI143" s="33"/>
      <c r="WQJ143" s="33"/>
      <c r="WQK143" s="33"/>
      <c r="WQL143" s="33"/>
      <c r="WQM143" s="33"/>
      <c r="WQN143" s="33"/>
      <c r="WQO143" s="33"/>
      <c r="WQP143" s="33"/>
      <c r="WQQ143" s="33"/>
      <c r="WQR143" s="33"/>
      <c r="WQS143" s="33"/>
      <c r="WQT143" s="33"/>
      <c r="WQU143" s="33"/>
      <c r="WQV143" s="33"/>
      <c r="WQW143" s="33"/>
      <c r="WQX143" s="33"/>
      <c r="WQY143" s="33"/>
      <c r="WQZ143" s="33"/>
      <c r="WRA143" s="33"/>
      <c r="WRB143" s="33"/>
      <c r="WRC143" s="33"/>
      <c r="WRD143" s="33"/>
      <c r="WRE143" s="33"/>
      <c r="WRF143" s="33"/>
      <c r="WRG143" s="33"/>
      <c r="WRH143" s="33"/>
      <c r="WRI143" s="33"/>
      <c r="WRJ143" s="33"/>
      <c r="WRK143" s="33"/>
      <c r="WRL143" s="33"/>
      <c r="WRM143" s="33"/>
      <c r="WRN143" s="33"/>
      <c r="WRO143" s="33"/>
      <c r="WRP143" s="33"/>
      <c r="WRQ143" s="33"/>
      <c r="WRR143" s="33"/>
      <c r="WRS143" s="33"/>
      <c r="WRT143" s="33"/>
      <c r="WRU143" s="33"/>
      <c r="WRV143" s="33"/>
      <c r="WRW143" s="33"/>
      <c r="WRX143" s="33"/>
      <c r="WRY143" s="33"/>
      <c r="WRZ143" s="33"/>
      <c r="WSA143" s="33"/>
      <c r="WSB143" s="33"/>
      <c r="WSC143" s="33"/>
      <c r="WSD143" s="33"/>
      <c r="WSE143" s="33"/>
      <c r="WSF143" s="33"/>
      <c r="WSG143" s="33"/>
      <c r="WSH143" s="33"/>
      <c r="WSI143" s="33"/>
      <c r="WSJ143" s="33"/>
      <c r="WSK143" s="33"/>
      <c r="WSL143" s="33"/>
      <c r="WSM143" s="33"/>
      <c r="WSN143" s="33"/>
      <c r="WSO143" s="33"/>
      <c r="WSP143" s="33"/>
      <c r="WSQ143" s="33"/>
      <c r="WSR143" s="33"/>
      <c r="WSS143" s="33"/>
      <c r="WST143" s="33"/>
      <c r="WSU143" s="33"/>
      <c r="WSV143" s="33"/>
      <c r="WSW143" s="33"/>
      <c r="WSX143" s="33"/>
      <c r="WSY143" s="33"/>
      <c r="WSZ143" s="33"/>
      <c r="WTA143" s="33"/>
      <c r="WTB143" s="33"/>
      <c r="WTC143" s="33"/>
      <c r="WTD143" s="33"/>
      <c r="WTE143" s="33"/>
      <c r="WTF143" s="33"/>
      <c r="WTG143" s="33"/>
      <c r="WTH143" s="33"/>
      <c r="WTI143" s="33"/>
      <c r="WTJ143" s="33"/>
      <c r="WTK143" s="33"/>
      <c r="WTL143" s="33"/>
      <c r="WTM143" s="33"/>
      <c r="WTN143" s="33"/>
      <c r="WTO143" s="33"/>
      <c r="WTP143" s="33"/>
      <c r="WTQ143" s="33"/>
      <c r="WTR143" s="33"/>
      <c r="WTS143" s="33"/>
      <c r="WTT143" s="33"/>
      <c r="WTU143" s="33"/>
      <c r="WTV143" s="33"/>
      <c r="WTW143" s="33"/>
      <c r="WTX143" s="33"/>
      <c r="WTY143" s="33"/>
      <c r="WTZ143" s="33"/>
      <c r="WUA143" s="33"/>
      <c r="WUB143" s="33"/>
      <c r="WUC143" s="33"/>
      <c r="WUD143" s="33"/>
      <c r="WUE143" s="33"/>
      <c r="WUF143" s="33"/>
      <c r="WUG143" s="33"/>
      <c r="WUH143" s="33"/>
      <c r="WUI143" s="33"/>
      <c r="WUJ143" s="33"/>
      <c r="WUK143" s="33"/>
      <c r="WUL143" s="33"/>
      <c r="WUM143" s="33"/>
      <c r="WUN143" s="33"/>
      <c r="WUO143" s="33"/>
      <c r="WUP143" s="33"/>
      <c r="WUQ143" s="33"/>
      <c r="WUR143" s="33"/>
      <c r="WUS143" s="33"/>
      <c r="WUT143" s="33"/>
      <c r="WUU143" s="33"/>
      <c r="WUV143" s="33"/>
      <c r="WUW143" s="33"/>
      <c r="WUX143" s="33"/>
      <c r="WUY143" s="33"/>
      <c r="WUZ143" s="33"/>
      <c r="WVA143" s="33"/>
      <c r="WVB143" s="33"/>
      <c r="WVC143" s="33"/>
      <c r="WVD143" s="33"/>
      <c r="WVE143" s="33"/>
      <c r="WVF143" s="33"/>
      <c r="WVG143" s="33"/>
      <c r="WVH143" s="33"/>
      <c r="WVI143" s="33"/>
      <c r="WVJ143" s="33"/>
      <c r="WVK143" s="33"/>
      <c r="WVL143" s="33"/>
      <c r="WVM143" s="33"/>
      <c r="WVN143" s="33"/>
      <c r="WVO143" s="33"/>
      <c r="WVP143" s="33"/>
      <c r="WVQ143" s="33"/>
      <c r="WVR143" s="33"/>
      <c r="WVS143" s="33"/>
      <c r="WVT143" s="33"/>
      <c r="WVU143" s="33"/>
      <c r="WVV143" s="33"/>
      <c r="WVW143" s="33"/>
      <c r="WVX143" s="33"/>
      <c r="WVY143" s="33"/>
      <c r="WVZ143" s="33"/>
      <c r="WWA143" s="33"/>
      <c r="WWB143" s="33"/>
      <c r="WWC143" s="33"/>
      <c r="WWD143" s="33"/>
      <c r="WWE143" s="33"/>
      <c r="WWF143" s="33"/>
      <c r="WWG143" s="33"/>
      <c r="WWH143" s="33"/>
      <c r="WWI143" s="33"/>
      <c r="WWJ143" s="33"/>
      <c r="WWK143" s="33"/>
      <c r="WWL143" s="33"/>
      <c r="WWM143" s="33"/>
      <c r="WWN143" s="33"/>
      <c r="WWO143" s="33"/>
      <c r="WWP143" s="33"/>
      <c r="WWQ143" s="33"/>
      <c r="WWR143" s="33"/>
      <c r="WWS143" s="33"/>
      <c r="WWT143" s="33"/>
      <c r="WWU143" s="33"/>
      <c r="WWV143" s="33"/>
      <c r="WWW143" s="33"/>
      <c r="WWX143" s="33"/>
      <c r="WWY143" s="33"/>
      <c r="WWZ143" s="33"/>
      <c r="WXA143" s="33"/>
      <c r="WXB143" s="33"/>
      <c r="WXC143" s="33"/>
      <c r="WXD143" s="33"/>
      <c r="WXE143" s="33"/>
      <c r="WXF143" s="33"/>
      <c r="WXG143" s="33"/>
      <c r="WXH143" s="33"/>
      <c r="WXI143" s="33"/>
      <c r="WXJ143" s="33"/>
      <c r="WXK143" s="33"/>
      <c r="WXL143" s="33"/>
      <c r="WXM143" s="33"/>
      <c r="WXN143" s="33"/>
      <c r="WXO143" s="33"/>
      <c r="WXP143" s="33"/>
      <c r="WXQ143" s="33"/>
      <c r="WXR143" s="33"/>
      <c r="WXS143" s="33"/>
      <c r="WXT143" s="33"/>
      <c r="WXU143" s="33"/>
      <c r="WXV143" s="33"/>
      <c r="WXW143" s="33"/>
      <c r="WXX143" s="33"/>
      <c r="WXY143" s="33"/>
      <c r="WXZ143" s="33"/>
      <c r="WYA143" s="33"/>
      <c r="WYB143" s="33"/>
      <c r="WYC143" s="33"/>
      <c r="WYD143" s="33"/>
      <c r="WYE143" s="33"/>
      <c r="WYF143" s="33"/>
      <c r="WYG143" s="33"/>
      <c r="WYH143" s="33"/>
      <c r="WYI143" s="33"/>
      <c r="WYJ143" s="33"/>
      <c r="WYK143" s="33"/>
      <c r="WYL143" s="33"/>
      <c r="WYM143" s="33"/>
      <c r="WYN143" s="33"/>
      <c r="WYO143" s="33"/>
      <c r="WYP143" s="33"/>
      <c r="WYQ143" s="33"/>
      <c r="WYR143" s="33"/>
      <c r="WYS143" s="33"/>
      <c r="WYT143" s="33"/>
      <c r="WYU143" s="33"/>
      <c r="WYV143" s="33"/>
      <c r="WYW143" s="33"/>
      <c r="WYX143" s="33"/>
      <c r="WYY143" s="33"/>
      <c r="WYZ143" s="33"/>
      <c r="WZA143" s="33"/>
      <c r="WZB143" s="33"/>
      <c r="WZC143" s="33"/>
      <c r="WZD143" s="33"/>
      <c r="WZE143" s="33"/>
      <c r="WZF143" s="33"/>
      <c r="WZG143" s="33"/>
      <c r="WZH143" s="33"/>
      <c r="WZI143" s="33"/>
      <c r="WZJ143" s="33"/>
      <c r="WZK143" s="33"/>
      <c r="WZL143" s="33"/>
      <c r="WZM143" s="33"/>
      <c r="WZN143" s="33"/>
      <c r="WZO143" s="33"/>
      <c r="WZP143" s="33"/>
      <c r="WZQ143" s="33"/>
      <c r="WZR143" s="33"/>
      <c r="WZS143" s="33"/>
      <c r="WZT143" s="33"/>
      <c r="WZU143" s="33"/>
      <c r="WZV143" s="33"/>
      <c r="WZW143" s="33"/>
      <c r="WZX143" s="33"/>
      <c r="WZY143" s="33"/>
      <c r="WZZ143" s="33"/>
      <c r="XAA143" s="33"/>
      <c r="XAB143" s="33"/>
      <c r="XAC143" s="33"/>
      <c r="XAD143" s="33"/>
      <c r="XAE143" s="33"/>
      <c r="XAF143" s="33"/>
      <c r="XAG143" s="33"/>
      <c r="XAH143" s="33"/>
      <c r="XAI143" s="33"/>
      <c r="XAJ143" s="33"/>
      <c r="XAK143" s="33"/>
      <c r="XAL143" s="33"/>
      <c r="XAM143" s="33"/>
      <c r="XAN143" s="33"/>
      <c r="XAO143" s="33"/>
      <c r="XAP143" s="33"/>
      <c r="XAQ143" s="33"/>
      <c r="XAR143" s="33"/>
      <c r="XAS143" s="33"/>
      <c r="XAT143" s="33"/>
      <c r="XAU143" s="33"/>
      <c r="XAV143" s="33"/>
      <c r="XAW143" s="33"/>
      <c r="XAX143" s="33"/>
      <c r="XAY143" s="33"/>
      <c r="XAZ143" s="33"/>
      <c r="XBA143" s="33"/>
      <c r="XBB143" s="33"/>
      <c r="XBC143" s="33"/>
      <c r="XBD143" s="33"/>
      <c r="XBE143" s="33"/>
      <c r="XBF143" s="33"/>
      <c r="XBG143" s="33"/>
      <c r="XBH143" s="33"/>
      <c r="XBI143" s="33"/>
      <c r="XBJ143" s="33"/>
      <c r="XBK143" s="33"/>
      <c r="XBL143" s="33"/>
      <c r="XBM143" s="33"/>
      <c r="XBN143" s="33"/>
      <c r="XBO143" s="33"/>
      <c r="XBP143" s="33"/>
      <c r="XBQ143" s="33"/>
      <c r="XBR143" s="33"/>
      <c r="XBS143" s="33"/>
      <c r="XBT143" s="33"/>
      <c r="XBU143" s="33"/>
      <c r="XBV143" s="33"/>
      <c r="XBW143" s="33"/>
      <c r="XBX143" s="33"/>
      <c r="XBY143" s="33"/>
      <c r="XBZ143" s="33"/>
      <c r="XCA143" s="33"/>
      <c r="XCB143" s="33"/>
      <c r="XCC143" s="33"/>
      <c r="XCD143" s="33"/>
      <c r="XCE143" s="33"/>
      <c r="XCF143" s="33"/>
      <c r="XCG143" s="33"/>
      <c r="XCH143" s="33"/>
      <c r="XCI143" s="33"/>
      <c r="XCJ143" s="33"/>
      <c r="XCK143" s="33"/>
      <c r="XCL143" s="33"/>
      <c r="XCM143" s="33"/>
      <c r="XCN143" s="33"/>
      <c r="XCO143" s="33"/>
      <c r="XCP143" s="33"/>
      <c r="XCQ143" s="33"/>
      <c r="XCR143" s="33"/>
      <c r="XCS143" s="33"/>
      <c r="XCT143" s="33"/>
      <c r="XCU143" s="33"/>
      <c r="XCV143" s="33"/>
      <c r="XCW143" s="33"/>
      <c r="XCX143" s="33"/>
      <c r="XCY143" s="33"/>
      <c r="XCZ143" s="33"/>
      <c r="XDA143" s="33"/>
      <c r="XDB143" s="33"/>
      <c r="XDC143" s="33"/>
      <c r="XDD143" s="33"/>
      <c r="XDE143" s="33"/>
      <c r="XDF143" s="33"/>
      <c r="XDG143" s="33"/>
      <c r="XDH143" s="33"/>
      <c r="XDI143" s="33"/>
      <c r="XDJ143" s="33"/>
      <c r="XDK143" s="33"/>
      <c r="XDL143" s="33"/>
      <c r="XDM143" s="33"/>
      <c r="XDN143" s="33"/>
      <c r="XDO143" s="33"/>
      <c r="XDP143" s="33"/>
      <c r="XDQ143" s="33"/>
      <c r="XDR143" s="33"/>
      <c r="XDS143" s="33"/>
      <c r="XDT143" s="33"/>
      <c r="XDU143" s="33"/>
      <c r="XDV143" s="33"/>
      <c r="XDW143" s="33"/>
      <c r="XDX143" s="33"/>
      <c r="XDY143" s="33"/>
      <c r="XDZ143" s="33"/>
      <c r="XEA143" s="33"/>
      <c r="XEB143" s="33"/>
      <c r="XEC143" s="33"/>
      <c r="XED143" s="33"/>
      <c r="XEE143" s="33"/>
      <c r="XEF143" s="33"/>
      <c r="XEG143" s="33"/>
      <c r="XEH143" s="33"/>
      <c r="XEI143" s="33"/>
      <c r="XEJ143" s="33"/>
      <c r="XEK143" s="33"/>
      <c r="XEL143" s="33"/>
      <c r="XEM143" s="33"/>
      <c r="XEN143" s="33"/>
      <c r="XEO143" s="33"/>
      <c r="XEP143" s="33"/>
      <c r="XEQ143" s="33"/>
      <c r="XER143" s="33"/>
      <c r="XES143" s="33"/>
      <c r="XET143" s="33"/>
      <c r="XEU143" s="33"/>
      <c r="XEV143" s="33"/>
      <c r="XEW143" s="33"/>
      <c r="XEX143" s="33"/>
      <c r="XEY143" s="33"/>
      <c r="XEZ143" s="33"/>
    </row>
    <row r="144" spans="1:16380" ht="33" customHeight="1" x14ac:dyDescent="0.25">
      <c r="A144" s="53" t="s">
        <v>1084</v>
      </c>
      <c r="B144" s="10"/>
      <c r="C144" s="65" t="s">
        <v>83</v>
      </c>
      <c r="D144" s="13"/>
      <c r="E144" s="4"/>
      <c r="F144" s="4"/>
      <c r="G144" s="4"/>
      <c r="H144" s="4"/>
    </row>
    <row r="145" ht="12.75" x14ac:dyDescent="0.2"/>
    <row r="146" ht="12.75" x14ac:dyDescent="0.2"/>
    <row r="147" ht="12.75" x14ac:dyDescent="0.2"/>
    <row r="148" ht="12.75" x14ac:dyDescent="0.2"/>
    <row r="149" ht="12.75" x14ac:dyDescent="0.2"/>
    <row r="150" ht="12.95" customHeight="1" x14ac:dyDescent="0.2"/>
    <row r="151" ht="12.95" customHeight="1" x14ac:dyDescent="0.2"/>
    <row r="152" ht="12.95" customHeight="1" x14ac:dyDescent="0.2"/>
    <row r="153" ht="12.95" customHeight="1" x14ac:dyDescent="0.2"/>
    <row r="154" ht="12.95" customHeight="1" x14ac:dyDescent="0.2"/>
    <row r="155" ht="12.95" customHeight="1" x14ac:dyDescent="0.2"/>
    <row r="156" ht="12.95" customHeight="1" x14ac:dyDescent="0.2"/>
    <row r="157" ht="12.95" customHeight="1" x14ac:dyDescent="0.2"/>
    <row r="158" ht="12.95" customHeight="1" x14ac:dyDescent="0.2"/>
    <row r="159" ht="12.95" customHeight="1" x14ac:dyDescent="0.2"/>
    <row r="160" ht="12.95" customHeight="1" x14ac:dyDescent="0.2"/>
    <row r="161" ht="12.95" customHeight="1" x14ac:dyDescent="0.2"/>
    <row r="162" ht="12.95" customHeight="1" x14ac:dyDescent="0.2"/>
    <row r="163" ht="12.95" customHeight="1" x14ac:dyDescent="0.2"/>
    <row r="164" ht="12.95" customHeight="1" x14ac:dyDescent="0.2"/>
    <row r="165" ht="12.95" customHeight="1" x14ac:dyDescent="0.2"/>
    <row r="166" ht="12.95" customHeight="1" x14ac:dyDescent="0.2"/>
    <row r="167" ht="12.95" hidden="1" customHeight="1" x14ac:dyDescent="0.2"/>
    <row r="168" ht="12.95" hidden="1" customHeight="1" x14ac:dyDescent="0.2"/>
    <row r="169" ht="12.95" hidden="1" customHeight="1" x14ac:dyDescent="0.2"/>
    <row r="170" ht="12.95" hidden="1" customHeight="1" x14ac:dyDescent="0.2"/>
    <row r="171" ht="12.95" hidden="1" customHeight="1" x14ac:dyDescent="0.2"/>
    <row r="172" ht="12.95" hidden="1" customHeight="1" x14ac:dyDescent="0.2"/>
    <row r="173" ht="12.95" hidden="1" customHeight="1" x14ac:dyDescent="0.2"/>
    <row r="174" ht="12.95" hidden="1" customHeight="1" x14ac:dyDescent="0.2"/>
    <row r="175" ht="12.95" hidden="1" customHeight="1" x14ac:dyDescent="0.2"/>
    <row r="176" ht="12.95" hidden="1" customHeight="1" x14ac:dyDescent="0.2"/>
  </sheetData>
  <mergeCells count="8244">
    <mergeCell ref="FQ14:FT14"/>
    <mergeCell ref="FU14:FX14"/>
    <mergeCell ref="FY14:GB14"/>
    <mergeCell ref="GC14:GF14"/>
    <mergeCell ref="A19:D19"/>
    <mergeCell ref="A13:D13"/>
    <mergeCell ref="E14:H14"/>
    <mergeCell ref="I14:L14"/>
    <mergeCell ref="M14:P14"/>
    <mergeCell ref="Q14:T14"/>
    <mergeCell ref="U14:X14"/>
    <mergeCell ref="B1:C1"/>
    <mergeCell ref="A2:B3"/>
    <mergeCell ref="A4:D4"/>
    <mergeCell ref="B8:D8"/>
    <mergeCell ref="B9:D9"/>
    <mergeCell ref="A10:D10"/>
    <mergeCell ref="BU14:BX14"/>
    <mergeCell ref="BY14:CB14"/>
    <mergeCell ref="CC14:CF14"/>
    <mergeCell ref="CG14:CJ14"/>
    <mergeCell ref="Y14:AB14"/>
    <mergeCell ref="AC14:AF14"/>
    <mergeCell ref="AG14:AJ14"/>
    <mergeCell ref="AK14:AN14"/>
    <mergeCell ref="AO14:AR14"/>
    <mergeCell ref="AS14:AV14"/>
    <mergeCell ref="A17:B17"/>
    <mergeCell ref="C17:D17"/>
    <mergeCell ref="A18:B18"/>
    <mergeCell ref="C18:D18"/>
    <mergeCell ref="JA14:JD14"/>
    <mergeCell ref="HU14:HX14"/>
    <mergeCell ref="HY14:IB14"/>
    <mergeCell ref="IC14:IF14"/>
    <mergeCell ref="CK14:CN14"/>
    <mergeCell ref="CS14:CV14"/>
    <mergeCell ref="CW14:CZ14"/>
    <mergeCell ref="DA14:DD14"/>
    <mergeCell ref="DE14:DH14"/>
    <mergeCell ref="DI14:DL14"/>
    <mergeCell ref="DM14:DP14"/>
    <mergeCell ref="HI14:HL14"/>
    <mergeCell ref="HM14:HP14"/>
    <mergeCell ref="HQ14:HT14"/>
    <mergeCell ref="CO14:CR14"/>
    <mergeCell ref="AW14:AZ14"/>
    <mergeCell ref="BA14:BD14"/>
    <mergeCell ref="BE14:BH14"/>
    <mergeCell ref="BI14:BL14"/>
    <mergeCell ref="BM14:BP14"/>
    <mergeCell ref="BQ14:BT14"/>
    <mergeCell ref="EO14:ER14"/>
    <mergeCell ref="ES14:EV14"/>
    <mergeCell ref="EW14:EZ14"/>
    <mergeCell ref="FA14:FD14"/>
    <mergeCell ref="GK14:GN14"/>
    <mergeCell ref="GO14:GR14"/>
    <mergeCell ref="GS14:GV14"/>
    <mergeCell ref="GW14:GZ14"/>
    <mergeCell ref="HA14:HD14"/>
    <mergeCell ref="HE14:HH14"/>
    <mergeCell ref="FM14:FP14"/>
    <mergeCell ref="LA14:LD14"/>
    <mergeCell ref="LE14:LH14"/>
    <mergeCell ref="LI14:LL14"/>
    <mergeCell ref="LM14:LP14"/>
    <mergeCell ref="LQ14:LT14"/>
    <mergeCell ref="LU14:LX14"/>
    <mergeCell ref="GG14:GJ14"/>
    <mergeCell ref="KC14:KF14"/>
    <mergeCell ref="KG14:KJ14"/>
    <mergeCell ref="FE14:FH14"/>
    <mergeCell ref="FI14:FL14"/>
    <mergeCell ref="DQ14:DT14"/>
    <mergeCell ref="DU14:DX14"/>
    <mergeCell ref="DY14:EB14"/>
    <mergeCell ref="EC14:EF14"/>
    <mergeCell ref="EG14:EJ14"/>
    <mergeCell ref="EK14:EN14"/>
    <mergeCell ref="KK14:KN14"/>
    <mergeCell ref="KO14:KR14"/>
    <mergeCell ref="KS14:KV14"/>
    <mergeCell ref="KW14:KZ14"/>
    <mergeCell ref="JE14:JH14"/>
    <mergeCell ref="JI14:JL14"/>
    <mergeCell ref="JM14:JP14"/>
    <mergeCell ref="JQ14:JT14"/>
    <mergeCell ref="JU14:JX14"/>
    <mergeCell ref="JY14:KB14"/>
    <mergeCell ref="IG14:IJ14"/>
    <mergeCell ref="IK14:IN14"/>
    <mergeCell ref="IO14:IR14"/>
    <mergeCell ref="IS14:IV14"/>
    <mergeCell ref="IW14:IZ14"/>
    <mergeCell ref="NU14:NX14"/>
    <mergeCell ref="NY14:OB14"/>
    <mergeCell ref="OC14:OF14"/>
    <mergeCell ref="OG14:OJ14"/>
    <mergeCell ref="OK14:ON14"/>
    <mergeCell ref="OO14:OR14"/>
    <mergeCell ref="NA14:ND14"/>
    <mergeCell ref="NE14:NH14"/>
    <mergeCell ref="NI14:NL14"/>
    <mergeCell ref="NM14:NP14"/>
    <mergeCell ref="NQ14:NT14"/>
    <mergeCell ref="LY14:MB14"/>
    <mergeCell ref="MC14:MF14"/>
    <mergeCell ref="MG14:MJ14"/>
    <mergeCell ref="MK14:MN14"/>
    <mergeCell ref="MO14:MR14"/>
    <mergeCell ref="MS14:MV14"/>
    <mergeCell ref="MW14:MZ14"/>
    <mergeCell ref="QO14:QR14"/>
    <mergeCell ref="QS14:QV14"/>
    <mergeCell ref="QW14:QZ14"/>
    <mergeCell ref="RA14:RD14"/>
    <mergeCell ref="RE14:RH14"/>
    <mergeCell ref="RI14:RL14"/>
    <mergeCell ref="PQ14:PT14"/>
    <mergeCell ref="PU14:PX14"/>
    <mergeCell ref="PY14:QB14"/>
    <mergeCell ref="QC14:QF14"/>
    <mergeCell ref="QG14:QJ14"/>
    <mergeCell ref="QK14:QN14"/>
    <mergeCell ref="OS14:OV14"/>
    <mergeCell ref="OW14:OZ14"/>
    <mergeCell ref="PA14:PD14"/>
    <mergeCell ref="PE14:PH14"/>
    <mergeCell ref="PI14:PL14"/>
    <mergeCell ref="PM14:PP14"/>
    <mergeCell ref="TI14:TL14"/>
    <mergeCell ref="TM14:TP14"/>
    <mergeCell ref="TQ14:TT14"/>
    <mergeCell ref="TU14:TX14"/>
    <mergeCell ref="TY14:UB14"/>
    <mergeCell ref="UC14:UF14"/>
    <mergeCell ref="SK14:SN14"/>
    <mergeCell ref="SO14:SR14"/>
    <mergeCell ref="SS14:SV14"/>
    <mergeCell ref="SW14:SZ14"/>
    <mergeCell ref="TA14:TD14"/>
    <mergeCell ref="TE14:TH14"/>
    <mergeCell ref="RM14:RP14"/>
    <mergeCell ref="RQ14:RT14"/>
    <mergeCell ref="RU14:RX14"/>
    <mergeCell ref="RY14:SB14"/>
    <mergeCell ref="SC14:SF14"/>
    <mergeCell ref="SG14:SJ14"/>
    <mergeCell ref="WC14:WF14"/>
    <mergeCell ref="WG14:WJ14"/>
    <mergeCell ref="WK14:WN14"/>
    <mergeCell ref="WO14:WR14"/>
    <mergeCell ref="WS14:WV14"/>
    <mergeCell ref="WW14:WZ14"/>
    <mergeCell ref="VE14:VH14"/>
    <mergeCell ref="VI14:VL14"/>
    <mergeCell ref="VM14:VP14"/>
    <mergeCell ref="VQ14:VT14"/>
    <mergeCell ref="VU14:VX14"/>
    <mergeCell ref="VY14:WB14"/>
    <mergeCell ref="UG14:UJ14"/>
    <mergeCell ref="UK14:UN14"/>
    <mergeCell ref="UO14:UR14"/>
    <mergeCell ref="US14:UV14"/>
    <mergeCell ref="UW14:UZ14"/>
    <mergeCell ref="VA14:VD14"/>
    <mergeCell ref="YW14:YZ14"/>
    <mergeCell ref="ZA14:ZD14"/>
    <mergeCell ref="ZE14:ZH14"/>
    <mergeCell ref="ZI14:ZL14"/>
    <mergeCell ref="ZM14:ZP14"/>
    <mergeCell ref="ZQ14:ZT14"/>
    <mergeCell ref="XY14:YB14"/>
    <mergeCell ref="YC14:YF14"/>
    <mergeCell ref="YG14:YJ14"/>
    <mergeCell ref="YK14:YN14"/>
    <mergeCell ref="YO14:YR14"/>
    <mergeCell ref="YS14:YV14"/>
    <mergeCell ref="XA14:XD14"/>
    <mergeCell ref="XE14:XH14"/>
    <mergeCell ref="XI14:XL14"/>
    <mergeCell ref="XM14:XP14"/>
    <mergeCell ref="XQ14:XT14"/>
    <mergeCell ref="XU14:XX14"/>
    <mergeCell ref="ABQ14:ABT14"/>
    <mergeCell ref="ABU14:ABX14"/>
    <mergeCell ref="ABY14:ACB14"/>
    <mergeCell ref="ACC14:ACF14"/>
    <mergeCell ref="ACG14:ACJ14"/>
    <mergeCell ref="ACK14:ACN14"/>
    <mergeCell ref="AAS14:AAV14"/>
    <mergeCell ref="AAW14:AAZ14"/>
    <mergeCell ref="ABA14:ABD14"/>
    <mergeCell ref="ABE14:ABH14"/>
    <mergeCell ref="ABI14:ABL14"/>
    <mergeCell ref="ABM14:ABP14"/>
    <mergeCell ref="ZU14:ZX14"/>
    <mergeCell ref="ZY14:AAB14"/>
    <mergeCell ref="AAC14:AAF14"/>
    <mergeCell ref="AAG14:AAJ14"/>
    <mergeCell ref="AAK14:AAN14"/>
    <mergeCell ref="AAO14:AAR14"/>
    <mergeCell ref="AEK14:AEN14"/>
    <mergeCell ref="AEO14:AER14"/>
    <mergeCell ref="AES14:AEV14"/>
    <mergeCell ref="AEW14:AEZ14"/>
    <mergeCell ref="AFA14:AFD14"/>
    <mergeCell ref="AFE14:AFH14"/>
    <mergeCell ref="ADM14:ADP14"/>
    <mergeCell ref="ADQ14:ADT14"/>
    <mergeCell ref="ADU14:ADX14"/>
    <mergeCell ref="ADY14:AEB14"/>
    <mergeCell ref="AEC14:AEF14"/>
    <mergeCell ref="AEG14:AEJ14"/>
    <mergeCell ref="ACO14:ACR14"/>
    <mergeCell ref="ACS14:ACV14"/>
    <mergeCell ref="ACW14:ACZ14"/>
    <mergeCell ref="ADA14:ADD14"/>
    <mergeCell ref="ADE14:ADH14"/>
    <mergeCell ref="ADI14:ADL14"/>
    <mergeCell ref="AHE14:AHH14"/>
    <mergeCell ref="AHI14:AHL14"/>
    <mergeCell ref="AHM14:AHP14"/>
    <mergeCell ref="AHQ14:AHT14"/>
    <mergeCell ref="AHU14:AHX14"/>
    <mergeCell ref="AHY14:AIB14"/>
    <mergeCell ref="AGG14:AGJ14"/>
    <mergeCell ref="AGK14:AGN14"/>
    <mergeCell ref="AGO14:AGR14"/>
    <mergeCell ref="AGS14:AGV14"/>
    <mergeCell ref="AGW14:AGZ14"/>
    <mergeCell ref="AHA14:AHD14"/>
    <mergeCell ref="AFI14:AFL14"/>
    <mergeCell ref="AFM14:AFP14"/>
    <mergeCell ref="AFQ14:AFT14"/>
    <mergeCell ref="AFU14:AFX14"/>
    <mergeCell ref="AFY14:AGB14"/>
    <mergeCell ref="AGC14:AGF14"/>
    <mergeCell ref="AJY14:AKB14"/>
    <mergeCell ref="AKC14:AKF14"/>
    <mergeCell ref="AKG14:AKJ14"/>
    <mergeCell ref="AKK14:AKN14"/>
    <mergeCell ref="AKO14:AKR14"/>
    <mergeCell ref="AKS14:AKV14"/>
    <mergeCell ref="AJA14:AJD14"/>
    <mergeCell ref="AJE14:AJH14"/>
    <mergeCell ref="AJI14:AJL14"/>
    <mergeCell ref="AJM14:AJP14"/>
    <mergeCell ref="AJQ14:AJT14"/>
    <mergeCell ref="AJU14:AJX14"/>
    <mergeCell ref="AIC14:AIF14"/>
    <mergeCell ref="AIG14:AIJ14"/>
    <mergeCell ref="AIK14:AIN14"/>
    <mergeCell ref="AIO14:AIR14"/>
    <mergeCell ref="AIS14:AIV14"/>
    <mergeCell ref="AIW14:AIZ14"/>
    <mergeCell ref="AMS14:AMV14"/>
    <mergeCell ref="AMW14:AMZ14"/>
    <mergeCell ref="ANA14:AND14"/>
    <mergeCell ref="ANE14:ANH14"/>
    <mergeCell ref="ANI14:ANL14"/>
    <mergeCell ref="ANM14:ANP14"/>
    <mergeCell ref="ALU14:ALX14"/>
    <mergeCell ref="ALY14:AMB14"/>
    <mergeCell ref="AMC14:AMF14"/>
    <mergeCell ref="AMG14:AMJ14"/>
    <mergeCell ref="AMK14:AMN14"/>
    <mergeCell ref="AMO14:AMR14"/>
    <mergeCell ref="AKW14:AKZ14"/>
    <mergeCell ref="ALA14:ALD14"/>
    <mergeCell ref="ALE14:ALH14"/>
    <mergeCell ref="ALI14:ALL14"/>
    <mergeCell ref="ALM14:ALP14"/>
    <mergeCell ref="ALQ14:ALT14"/>
    <mergeCell ref="APM14:APP14"/>
    <mergeCell ref="APQ14:APT14"/>
    <mergeCell ref="APU14:APX14"/>
    <mergeCell ref="APY14:AQB14"/>
    <mergeCell ref="AQC14:AQF14"/>
    <mergeCell ref="AQG14:AQJ14"/>
    <mergeCell ref="AOO14:AOR14"/>
    <mergeCell ref="AOS14:AOV14"/>
    <mergeCell ref="AOW14:AOZ14"/>
    <mergeCell ref="APA14:APD14"/>
    <mergeCell ref="APE14:APH14"/>
    <mergeCell ref="API14:APL14"/>
    <mergeCell ref="ANQ14:ANT14"/>
    <mergeCell ref="ANU14:ANX14"/>
    <mergeCell ref="ANY14:AOB14"/>
    <mergeCell ref="AOC14:AOF14"/>
    <mergeCell ref="AOG14:AOJ14"/>
    <mergeCell ref="AOK14:AON14"/>
    <mergeCell ref="ASG14:ASJ14"/>
    <mergeCell ref="ASK14:ASN14"/>
    <mergeCell ref="ASO14:ASR14"/>
    <mergeCell ref="ASS14:ASV14"/>
    <mergeCell ref="ASW14:ASZ14"/>
    <mergeCell ref="ATA14:ATD14"/>
    <mergeCell ref="ARI14:ARL14"/>
    <mergeCell ref="ARM14:ARP14"/>
    <mergeCell ref="ARQ14:ART14"/>
    <mergeCell ref="ARU14:ARX14"/>
    <mergeCell ref="ARY14:ASB14"/>
    <mergeCell ref="ASC14:ASF14"/>
    <mergeCell ref="AQK14:AQN14"/>
    <mergeCell ref="AQO14:AQR14"/>
    <mergeCell ref="AQS14:AQV14"/>
    <mergeCell ref="AQW14:AQZ14"/>
    <mergeCell ref="ARA14:ARD14"/>
    <mergeCell ref="ARE14:ARH14"/>
    <mergeCell ref="AVA14:AVD14"/>
    <mergeCell ref="AVE14:AVH14"/>
    <mergeCell ref="AVI14:AVL14"/>
    <mergeCell ref="AVM14:AVP14"/>
    <mergeCell ref="AVQ14:AVT14"/>
    <mergeCell ref="AVU14:AVX14"/>
    <mergeCell ref="AUC14:AUF14"/>
    <mergeCell ref="AUG14:AUJ14"/>
    <mergeCell ref="AUK14:AUN14"/>
    <mergeCell ref="AUO14:AUR14"/>
    <mergeCell ref="AUS14:AUV14"/>
    <mergeCell ref="AUW14:AUZ14"/>
    <mergeCell ref="ATE14:ATH14"/>
    <mergeCell ref="ATI14:ATL14"/>
    <mergeCell ref="ATM14:ATP14"/>
    <mergeCell ref="ATQ14:ATT14"/>
    <mergeCell ref="ATU14:ATX14"/>
    <mergeCell ref="ATY14:AUB14"/>
    <mergeCell ref="AXU14:AXX14"/>
    <mergeCell ref="AXY14:AYB14"/>
    <mergeCell ref="AYC14:AYF14"/>
    <mergeCell ref="AYG14:AYJ14"/>
    <mergeCell ref="AYK14:AYN14"/>
    <mergeCell ref="AYO14:AYR14"/>
    <mergeCell ref="AWW14:AWZ14"/>
    <mergeCell ref="AXA14:AXD14"/>
    <mergeCell ref="AXE14:AXH14"/>
    <mergeCell ref="AXI14:AXL14"/>
    <mergeCell ref="AXM14:AXP14"/>
    <mergeCell ref="AXQ14:AXT14"/>
    <mergeCell ref="AVY14:AWB14"/>
    <mergeCell ref="AWC14:AWF14"/>
    <mergeCell ref="AWG14:AWJ14"/>
    <mergeCell ref="AWK14:AWN14"/>
    <mergeCell ref="AWO14:AWR14"/>
    <mergeCell ref="AWS14:AWV14"/>
    <mergeCell ref="BAO14:BAR14"/>
    <mergeCell ref="BAS14:BAV14"/>
    <mergeCell ref="BAW14:BAZ14"/>
    <mergeCell ref="BBA14:BBD14"/>
    <mergeCell ref="BBE14:BBH14"/>
    <mergeCell ref="BBI14:BBL14"/>
    <mergeCell ref="AZQ14:AZT14"/>
    <mergeCell ref="AZU14:AZX14"/>
    <mergeCell ref="AZY14:BAB14"/>
    <mergeCell ref="BAC14:BAF14"/>
    <mergeCell ref="BAG14:BAJ14"/>
    <mergeCell ref="BAK14:BAN14"/>
    <mergeCell ref="AYS14:AYV14"/>
    <mergeCell ref="AYW14:AYZ14"/>
    <mergeCell ref="AZA14:AZD14"/>
    <mergeCell ref="AZE14:AZH14"/>
    <mergeCell ref="AZI14:AZL14"/>
    <mergeCell ref="AZM14:AZP14"/>
    <mergeCell ref="BDI14:BDL14"/>
    <mergeCell ref="BDM14:BDP14"/>
    <mergeCell ref="BDQ14:BDT14"/>
    <mergeCell ref="BDU14:BDX14"/>
    <mergeCell ref="BDY14:BEB14"/>
    <mergeCell ref="BEC14:BEF14"/>
    <mergeCell ref="BCK14:BCN14"/>
    <mergeCell ref="BCO14:BCR14"/>
    <mergeCell ref="BCS14:BCV14"/>
    <mergeCell ref="BCW14:BCZ14"/>
    <mergeCell ref="BDA14:BDD14"/>
    <mergeCell ref="BDE14:BDH14"/>
    <mergeCell ref="BBM14:BBP14"/>
    <mergeCell ref="BBQ14:BBT14"/>
    <mergeCell ref="BBU14:BBX14"/>
    <mergeCell ref="BBY14:BCB14"/>
    <mergeCell ref="BCC14:BCF14"/>
    <mergeCell ref="BCG14:BCJ14"/>
    <mergeCell ref="BGC14:BGF14"/>
    <mergeCell ref="BGG14:BGJ14"/>
    <mergeCell ref="BGK14:BGN14"/>
    <mergeCell ref="BGO14:BGR14"/>
    <mergeCell ref="BGS14:BGV14"/>
    <mergeCell ref="BGW14:BGZ14"/>
    <mergeCell ref="BFE14:BFH14"/>
    <mergeCell ref="BFI14:BFL14"/>
    <mergeCell ref="BFM14:BFP14"/>
    <mergeCell ref="BFQ14:BFT14"/>
    <mergeCell ref="BFU14:BFX14"/>
    <mergeCell ref="BFY14:BGB14"/>
    <mergeCell ref="BEG14:BEJ14"/>
    <mergeCell ref="BEK14:BEN14"/>
    <mergeCell ref="BEO14:BER14"/>
    <mergeCell ref="BES14:BEV14"/>
    <mergeCell ref="BEW14:BEZ14"/>
    <mergeCell ref="BFA14:BFD14"/>
    <mergeCell ref="BIW14:BIZ14"/>
    <mergeCell ref="BJA14:BJD14"/>
    <mergeCell ref="BJE14:BJH14"/>
    <mergeCell ref="BJI14:BJL14"/>
    <mergeCell ref="BJM14:BJP14"/>
    <mergeCell ref="BJQ14:BJT14"/>
    <mergeCell ref="BHY14:BIB14"/>
    <mergeCell ref="BIC14:BIF14"/>
    <mergeCell ref="BIG14:BIJ14"/>
    <mergeCell ref="BIK14:BIN14"/>
    <mergeCell ref="BIO14:BIR14"/>
    <mergeCell ref="BIS14:BIV14"/>
    <mergeCell ref="BHA14:BHD14"/>
    <mergeCell ref="BHE14:BHH14"/>
    <mergeCell ref="BHI14:BHL14"/>
    <mergeCell ref="BHM14:BHP14"/>
    <mergeCell ref="BHQ14:BHT14"/>
    <mergeCell ref="BHU14:BHX14"/>
    <mergeCell ref="BLQ14:BLT14"/>
    <mergeCell ref="BLU14:BLX14"/>
    <mergeCell ref="BLY14:BMB14"/>
    <mergeCell ref="BMC14:BMF14"/>
    <mergeCell ref="BMG14:BMJ14"/>
    <mergeCell ref="BMK14:BMN14"/>
    <mergeCell ref="BKS14:BKV14"/>
    <mergeCell ref="BKW14:BKZ14"/>
    <mergeCell ref="BLA14:BLD14"/>
    <mergeCell ref="BLE14:BLH14"/>
    <mergeCell ref="BLI14:BLL14"/>
    <mergeCell ref="BLM14:BLP14"/>
    <mergeCell ref="BJU14:BJX14"/>
    <mergeCell ref="BJY14:BKB14"/>
    <mergeCell ref="BKC14:BKF14"/>
    <mergeCell ref="BKG14:BKJ14"/>
    <mergeCell ref="BKK14:BKN14"/>
    <mergeCell ref="BKO14:BKR14"/>
    <mergeCell ref="BOK14:BON14"/>
    <mergeCell ref="BOO14:BOR14"/>
    <mergeCell ref="BOS14:BOV14"/>
    <mergeCell ref="BOW14:BOZ14"/>
    <mergeCell ref="BPA14:BPD14"/>
    <mergeCell ref="BPE14:BPH14"/>
    <mergeCell ref="BNM14:BNP14"/>
    <mergeCell ref="BNQ14:BNT14"/>
    <mergeCell ref="BNU14:BNX14"/>
    <mergeCell ref="BNY14:BOB14"/>
    <mergeCell ref="BOC14:BOF14"/>
    <mergeCell ref="BOG14:BOJ14"/>
    <mergeCell ref="BMO14:BMR14"/>
    <mergeCell ref="BMS14:BMV14"/>
    <mergeCell ref="BMW14:BMZ14"/>
    <mergeCell ref="BNA14:BND14"/>
    <mergeCell ref="BNE14:BNH14"/>
    <mergeCell ref="BNI14:BNL14"/>
    <mergeCell ref="BRE14:BRH14"/>
    <mergeCell ref="BRI14:BRL14"/>
    <mergeCell ref="BRM14:BRP14"/>
    <mergeCell ref="BRQ14:BRT14"/>
    <mergeCell ref="BRU14:BRX14"/>
    <mergeCell ref="BRY14:BSB14"/>
    <mergeCell ref="BQG14:BQJ14"/>
    <mergeCell ref="BQK14:BQN14"/>
    <mergeCell ref="BQO14:BQR14"/>
    <mergeCell ref="BQS14:BQV14"/>
    <mergeCell ref="BQW14:BQZ14"/>
    <mergeCell ref="BRA14:BRD14"/>
    <mergeCell ref="BPI14:BPL14"/>
    <mergeCell ref="BPM14:BPP14"/>
    <mergeCell ref="BPQ14:BPT14"/>
    <mergeCell ref="BPU14:BPX14"/>
    <mergeCell ref="BPY14:BQB14"/>
    <mergeCell ref="BQC14:BQF14"/>
    <mergeCell ref="BTY14:BUB14"/>
    <mergeCell ref="BUC14:BUF14"/>
    <mergeCell ref="BUG14:BUJ14"/>
    <mergeCell ref="BUK14:BUN14"/>
    <mergeCell ref="BUO14:BUR14"/>
    <mergeCell ref="BUS14:BUV14"/>
    <mergeCell ref="BTA14:BTD14"/>
    <mergeCell ref="BTE14:BTH14"/>
    <mergeCell ref="BTI14:BTL14"/>
    <mergeCell ref="BTM14:BTP14"/>
    <mergeCell ref="BTQ14:BTT14"/>
    <mergeCell ref="BTU14:BTX14"/>
    <mergeCell ref="BSC14:BSF14"/>
    <mergeCell ref="BSG14:BSJ14"/>
    <mergeCell ref="BSK14:BSN14"/>
    <mergeCell ref="BSO14:BSR14"/>
    <mergeCell ref="BSS14:BSV14"/>
    <mergeCell ref="BSW14:BSZ14"/>
    <mergeCell ref="BWS14:BWV14"/>
    <mergeCell ref="BWW14:BWZ14"/>
    <mergeCell ref="BXA14:BXD14"/>
    <mergeCell ref="BXE14:BXH14"/>
    <mergeCell ref="BXI14:BXL14"/>
    <mergeCell ref="BXM14:BXP14"/>
    <mergeCell ref="BVU14:BVX14"/>
    <mergeCell ref="BVY14:BWB14"/>
    <mergeCell ref="BWC14:BWF14"/>
    <mergeCell ref="BWG14:BWJ14"/>
    <mergeCell ref="BWK14:BWN14"/>
    <mergeCell ref="BWO14:BWR14"/>
    <mergeCell ref="BUW14:BUZ14"/>
    <mergeCell ref="BVA14:BVD14"/>
    <mergeCell ref="BVE14:BVH14"/>
    <mergeCell ref="BVI14:BVL14"/>
    <mergeCell ref="BVM14:BVP14"/>
    <mergeCell ref="BVQ14:BVT14"/>
    <mergeCell ref="BZM14:BZP14"/>
    <mergeCell ref="BZQ14:BZT14"/>
    <mergeCell ref="BZU14:BZX14"/>
    <mergeCell ref="BZY14:CAB14"/>
    <mergeCell ref="CAC14:CAF14"/>
    <mergeCell ref="CAG14:CAJ14"/>
    <mergeCell ref="BYO14:BYR14"/>
    <mergeCell ref="BYS14:BYV14"/>
    <mergeCell ref="BYW14:BYZ14"/>
    <mergeCell ref="BZA14:BZD14"/>
    <mergeCell ref="BZE14:BZH14"/>
    <mergeCell ref="BZI14:BZL14"/>
    <mergeCell ref="BXQ14:BXT14"/>
    <mergeCell ref="BXU14:BXX14"/>
    <mergeCell ref="BXY14:BYB14"/>
    <mergeCell ref="BYC14:BYF14"/>
    <mergeCell ref="BYG14:BYJ14"/>
    <mergeCell ref="BYK14:BYN14"/>
    <mergeCell ref="CCG14:CCJ14"/>
    <mergeCell ref="CCK14:CCN14"/>
    <mergeCell ref="CCO14:CCR14"/>
    <mergeCell ref="CCS14:CCV14"/>
    <mergeCell ref="CCW14:CCZ14"/>
    <mergeCell ref="CDA14:CDD14"/>
    <mergeCell ref="CBI14:CBL14"/>
    <mergeCell ref="CBM14:CBP14"/>
    <mergeCell ref="CBQ14:CBT14"/>
    <mergeCell ref="CBU14:CBX14"/>
    <mergeCell ref="CBY14:CCB14"/>
    <mergeCell ref="CCC14:CCF14"/>
    <mergeCell ref="CAK14:CAN14"/>
    <mergeCell ref="CAO14:CAR14"/>
    <mergeCell ref="CAS14:CAV14"/>
    <mergeCell ref="CAW14:CAZ14"/>
    <mergeCell ref="CBA14:CBD14"/>
    <mergeCell ref="CBE14:CBH14"/>
    <mergeCell ref="CFA14:CFD14"/>
    <mergeCell ref="CFE14:CFH14"/>
    <mergeCell ref="CFI14:CFL14"/>
    <mergeCell ref="CFM14:CFP14"/>
    <mergeCell ref="CFQ14:CFT14"/>
    <mergeCell ref="CFU14:CFX14"/>
    <mergeCell ref="CEC14:CEF14"/>
    <mergeCell ref="CEG14:CEJ14"/>
    <mergeCell ref="CEK14:CEN14"/>
    <mergeCell ref="CEO14:CER14"/>
    <mergeCell ref="CES14:CEV14"/>
    <mergeCell ref="CEW14:CEZ14"/>
    <mergeCell ref="CDE14:CDH14"/>
    <mergeCell ref="CDI14:CDL14"/>
    <mergeCell ref="CDM14:CDP14"/>
    <mergeCell ref="CDQ14:CDT14"/>
    <mergeCell ref="CDU14:CDX14"/>
    <mergeCell ref="CDY14:CEB14"/>
    <mergeCell ref="CHU14:CHX14"/>
    <mergeCell ref="CHY14:CIB14"/>
    <mergeCell ref="CIC14:CIF14"/>
    <mergeCell ref="CIG14:CIJ14"/>
    <mergeCell ref="CIK14:CIN14"/>
    <mergeCell ref="CIO14:CIR14"/>
    <mergeCell ref="CGW14:CGZ14"/>
    <mergeCell ref="CHA14:CHD14"/>
    <mergeCell ref="CHE14:CHH14"/>
    <mergeCell ref="CHI14:CHL14"/>
    <mergeCell ref="CHM14:CHP14"/>
    <mergeCell ref="CHQ14:CHT14"/>
    <mergeCell ref="CFY14:CGB14"/>
    <mergeCell ref="CGC14:CGF14"/>
    <mergeCell ref="CGG14:CGJ14"/>
    <mergeCell ref="CGK14:CGN14"/>
    <mergeCell ref="CGO14:CGR14"/>
    <mergeCell ref="CGS14:CGV14"/>
    <mergeCell ref="CKO14:CKR14"/>
    <mergeCell ref="CKS14:CKV14"/>
    <mergeCell ref="CKW14:CKZ14"/>
    <mergeCell ref="CLA14:CLD14"/>
    <mergeCell ref="CLE14:CLH14"/>
    <mergeCell ref="CLI14:CLL14"/>
    <mergeCell ref="CJQ14:CJT14"/>
    <mergeCell ref="CJU14:CJX14"/>
    <mergeCell ref="CJY14:CKB14"/>
    <mergeCell ref="CKC14:CKF14"/>
    <mergeCell ref="CKG14:CKJ14"/>
    <mergeCell ref="CKK14:CKN14"/>
    <mergeCell ref="CIS14:CIV14"/>
    <mergeCell ref="CIW14:CIZ14"/>
    <mergeCell ref="CJA14:CJD14"/>
    <mergeCell ref="CJE14:CJH14"/>
    <mergeCell ref="CJI14:CJL14"/>
    <mergeCell ref="CJM14:CJP14"/>
    <mergeCell ref="CNI14:CNL14"/>
    <mergeCell ref="CNM14:CNP14"/>
    <mergeCell ref="CNQ14:CNT14"/>
    <mergeCell ref="CNU14:CNX14"/>
    <mergeCell ref="CNY14:COB14"/>
    <mergeCell ref="COC14:COF14"/>
    <mergeCell ref="CMK14:CMN14"/>
    <mergeCell ref="CMO14:CMR14"/>
    <mergeCell ref="CMS14:CMV14"/>
    <mergeCell ref="CMW14:CMZ14"/>
    <mergeCell ref="CNA14:CND14"/>
    <mergeCell ref="CNE14:CNH14"/>
    <mergeCell ref="CLM14:CLP14"/>
    <mergeCell ref="CLQ14:CLT14"/>
    <mergeCell ref="CLU14:CLX14"/>
    <mergeCell ref="CLY14:CMB14"/>
    <mergeCell ref="CMC14:CMF14"/>
    <mergeCell ref="CMG14:CMJ14"/>
    <mergeCell ref="CQC14:CQF14"/>
    <mergeCell ref="CQG14:CQJ14"/>
    <mergeCell ref="CQK14:CQN14"/>
    <mergeCell ref="CQO14:CQR14"/>
    <mergeCell ref="CQS14:CQV14"/>
    <mergeCell ref="CQW14:CQZ14"/>
    <mergeCell ref="CPE14:CPH14"/>
    <mergeCell ref="CPI14:CPL14"/>
    <mergeCell ref="CPM14:CPP14"/>
    <mergeCell ref="CPQ14:CPT14"/>
    <mergeCell ref="CPU14:CPX14"/>
    <mergeCell ref="CPY14:CQB14"/>
    <mergeCell ref="COG14:COJ14"/>
    <mergeCell ref="COK14:CON14"/>
    <mergeCell ref="COO14:COR14"/>
    <mergeCell ref="COS14:COV14"/>
    <mergeCell ref="COW14:COZ14"/>
    <mergeCell ref="CPA14:CPD14"/>
    <mergeCell ref="CSW14:CSZ14"/>
    <mergeCell ref="CTA14:CTD14"/>
    <mergeCell ref="CTE14:CTH14"/>
    <mergeCell ref="CTI14:CTL14"/>
    <mergeCell ref="CTM14:CTP14"/>
    <mergeCell ref="CTQ14:CTT14"/>
    <mergeCell ref="CRY14:CSB14"/>
    <mergeCell ref="CSC14:CSF14"/>
    <mergeCell ref="CSG14:CSJ14"/>
    <mergeCell ref="CSK14:CSN14"/>
    <mergeCell ref="CSO14:CSR14"/>
    <mergeCell ref="CSS14:CSV14"/>
    <mergeCell ref="CRA14:CRD14"/>
    <mergeCell ref="CRE14:CRH14"/>
    <mergeCell ref="CRI14:CRL14"/>
    <mergeCell ref="CRM14:CRP14"/>
    <mergeCell ref="CRQ14:CRT14"/>
    <mergeCell ref="CRU14:CRX14"/>
    <mergeCell ref="CVQ14:CVT14"/>
    <mergeCell ref="CVU14:CVX14"/>
    <mergeCell ref="CVY14:CWB14"/>
    <mergeCell ref="CWC14:CWF14"/>
    <mergeCell ref="CWG14:CWJ14"/>
    <mergeCell ref="CWK14:CWN14"/>
    <mergeCell ref="CUS14:CUV14"/>
    <mergeCell ref="CUW14:CUZ14"/>
    <mergeCell ref="CVA14:CVD14"/>
    <mergeCell ref="CVE14:CVH14"/>
    <mergeCell ref="CVI14:CVL14"/>
    <mergeCell ref="CVM14:CVP14"/>
    <mergeCell ref="CTU14:CTX14"/>
    <mergeCell ref="CTY14:CUB14"/>
    <mergeCell ref="CUC14:CUF14"/>
    <mergeCell ref="CUG14:CUJ14"/>
    <mergeCell ref="CUK14:CUN14"/>
    <mergeCell ref="CUO14:CUR14"/>
    <mergeCell ref="CYK14:CYN14"/>
    <mergeCell ref="CYO14:CYR14"/>
    <mergeCell ref="CYS14:CYV14"/>
    <mergeCell ref="CYW14:CYZ14"/>
    <mergeCell ref="CZA14:CZD14"/>
    <mergeCell ref="CZE14:CZH14"/>
    <mergeCell ref="CXM14:CXP14"/>
    <mergeCell ref="CXQ14:CXT14"/>
    <mergeCell ref="CXU14:CXX14"/>
    <mergeCell ref="CXY14:CYB14"/>
    <mergeCell ref="CYC14:CYF14"/>
    <mergeCell ref="CYG14:CYJ14"/>
    <mergeCell ref="CWO14:CWR14"/>
    <mergeCell ref="CWS14:CWV14"/>
    <mergeCell ref="CWW14:CWZ14"/>
    <mergeCell ref="CXA14:CXD14"/>
    <mergeCell ref="CXE14:CXH14"/>
    <mergeCell ref="CXI14:CXL14"/>
    <mergeCell ref="DBE14:DBH14"/>
    <mergeCell ref="DBI14:DBL14"/>
    <mergeCell ref="DBM14:DBP14"/>
    <mergeCell ref="DBQ14:DBT14"/>
    <mergeCell ref="DBU14:DBX14"/>
    <mergeCell ref="DBY14:DCB14"/>
    <mergeCell ref="DAG14:DAJ14"/>
    <mergeCell ref="DAK14:DAN14"/>
    <mergeCell ref="DAO14:DAR14"/>
    <mergeCell ref="DAS14:DAV14"/>
    <mergeCell ref="DAW14:DAZ14"/>
    <mergeCell ref="DBA14:DBD14"/>
    <mergeCell ref="CZI14:CZL14"/>
    <mergeCell ref="CZM14:CZP14"/>
    <mergeCell ref="CZQ14:CZT14"/>
    <mergeCell ref="CZU14:CZX14"/>
    <mergeCell ref="CZY14:DAB14"/>
    <mergeCell ref="DAC14:DAF14"/>
    <mergeCell ref="DDY14:DEB14"/>
    <mergeCell ref="DEC14:DEF14"/>
    <mergeCell ref="DEG14:DEJ14"/>
    <mergeCell ref="DEK14:DEN14"/>
    <mergeCell ref="DEO14:DER14"/>
    <mergeCell ref="DES14:DEV14"/>
    <mergeCell ref="DDA14:DDD14"/>
    <mergeCell ref="DDE14:DDH14"/>
    <mergeCell ref="DDI14:DDL14"/>
    <mergeCell ref="DDM14:DDP14"/>
    <mergeCell ref="DDQ14:DDT14"/>
    <mergeCell ref="DDU14:DDX14"/>
    <mergeCell ref="DCC14:DCF14"/>
    <mergeCell ref="DCG14:DCJ14"/>
    <mergeCell ref="DCK14:DCN14"/>
    <mergeCell ref="DCO14:DCR14"/>
    <mergeCell ref="DCS14:DCV14"/>
    <mergeCell ref="DCW14:DCZ14"/>
    <mergeCell ref="DGS14:DGV14"/>
    <mergeCell ref="DGW14:DGZ14"/>
    <mergeCell ref="DHA14:DHD14"/>
    <mergeCell ref="DHE14:DHH14"/>
    <mergeCell ref="DHI14:DHL14"/>
    <mergeCell ref="DHM14:DHP14"/>
    <mergeCell ref="DFU14:DFX14"/>
    <mergeCell ref="DFY14:DGB14"/>
    <mergeCell ref="DGC14:DGF14"/>
    <mergeCell ref="DGG14:DGJ14"/>
    <mergeCell ref="DGK14:DGN14"/>
    <mergeCell ref="DGO14:DGR14"/>
    <mergeCell ref="DEW14:DEZ14"/>
    <mergeCell ref="DFA14:DFD14"/>
    <mergeCell ref="DFE14:DFH14"/>
    <mergeCell ref="DFI14:DFL14"/>
    <mergeCell ref="DFM14:DFP14"/>
    <mergeCell ref="DFQ14:DFT14"/>
    <mergeCell ref="DJM14:DJP14"/>
    <mergeCell ref="DJQ14:DJT14"/>
    <mergeCell ref="DJU14:DJX14"/>
    <mergeCell ref="DJY14:DKB14"/>
    <mergeCell ref="DKC14:DKF14"/>
    <mergeCell ref="DKG14:DKJ14"/>
    <mergeCell ref="DIO14:DIR14"/>
    <mergeCell ref="DIS14:DIV14"/>
    <mergeCell ref="DIW14:DIZ14"/>
    <mergeCell ref="DJA14:DJD14"/>
    <mergeCell ref="DJE14:DJH14"/>
    <mergeCell ref="DJI14:DJL14"/>
    <mergeCell ref="DHQ14:DHT14"/>
    <mergeCell ref="DHU14:DHX14"/>
    <mergeCell ref="DHY14:DIB14"/>
    <mergeCell ref="DIC14:DIF14"/>
    <mergeCell ref="DIG14:DIJ14"/>
    <mergeCell ref="DIK14:DIN14"/>
    <mergeCell ref="DMG14:DMJ14"/>
    <mergeCell ref="DMK14:DMN14"/>
    <mergeCell ref="DMO14:DMR14"/>
    <mergeCell ref="DMS14:DMV14"/>
    <mergeCell ref="DMW14:DMZ14"/>
    <mergeCell ref="DNA14:DND14"/>
    <mergeCell ref="DLI14:DLL14"/>
    <mergeCell ref="DLM14:DLP14"/>
    <mergeCell ref="DLQ14:DLT14"/>
    <mergeCell ref="DLU14:DLX14"/>
    <mergeCell ref="DLY14:DMB14"/>
    <mergeCell ref="DMC14:DMF14"/>
    <mergeCell ref="DKK14:DKN14"/>
    <mergeCell ref="DKO14:DKR14"/>
    <mergeCell ref="DKS14:DKV14"/>
    <mergeCell ref="DKW14:DKZ14"/>
    <mergeCell ref="DLA14:DLD14"/>
    <mergeCell ref="DLE14:DLH14"/>
    <mergeCell ref="DPA14:DPD14"/>
    <mergeCell ref="DPE14:DPH14"/>
    <mergeCell ref="DPI14:DPL14"/>
    <mergeCell ref="DPM14:DPP14"/>
    <mergeCell ref="DPQ14:DPT14"/>
    <mergeCell ref="DPU14:DPX14"/>
    <mergeCell ref="DOC14:DOF14"/>
    <mergeCell ref="DOG14:DOJ14"/>
    <mergeCell ref="DOK14:DON14"/>
    <mergeCell ref="DOO14:DOR14"/>
    <mergeCell ref="DOS14:DOV14"/>
    <mergeCell ref="DOW14:DOZ14"/>
    <mergeCell ref="DNE14:DNH14"/>
    <mergeCell ref="DNI14:DNL14"/>
    <mergeCell ref="DNM14:DNP14"/>
    <mergeCell ref="DNQ14:DNT14"/>
    <mergeCell ref="DNU14:DNX14"/>
    <mergeCell ref="DNY14:DOB14"/>
    <mergeCell ref="DRU14:DRX14"/>
    <mergeCell ref="DRY14:DSB14"/>
    <mergeCell ref="DSC14:DSF14"/>
    <mergeCell ref="DSG14:DSJ14"/>
    <mergeCell ref="DSK14:DSN14"/>
    <mergeCell ref="DSO14:DSR14"/>
    <mergeCell ref="DQW14:DQZ14"/>
    <mergeCell ref="DRA14:DRD14"/>
    <mergeCell ref="DRE14:DRH14"/>
    <mergeCell ref="DRI14:DRL14"/>
    <mergeCell ref="DRM14:DRP14"/>
    <mergeCell ref="DRQ14:DRT14"/>
    <mergeCell ref="DPY14:DQB14"/>
    <mergeCell ref="DQC14:DQF14"/>
    <mergeCell ref="DQG14:DQJ14"/>
    <mergeCell ref="DQK14:DQN14"/>
    <mergeCell ref="DQO14:DQR14"/>
    <mergeCell ref="DQS14:DQV14"/>
    <mergeCell ref="DUO14:DUR14"/>
    <mergeCell ref="DUS14:DUV14"/>
    <mergeCell ref="DUW14:DUZ14"/>
    <mergeCell ref="DVA14:DVD14"/>
    <mergeCell ref="DVE14:DVH14"/>
    <mergeCell ref="DVI14:DVL14"/>
    <mergeCell ref="DTQ14:DTT14"/>
    <mergeCell ref="DTU14:DTX14"/>
    <mergeCell ref="DTY14:DUB14"/>
    <mergeCell ref="DUC14:DUF14"/>
    <mergeCell ref="DUG14:DUJ14"/>
    <mergeCell ref="DUK14:DUN14"/>
    <mergeCell ref="DSS14:DSV14"/>
    <mergeCell ref="DSW14:DSZ14"/>
    <mergeCell ref="DTA14:DTD14"/>
    <mergeCell ref="DTE14:DTH14"/>
    <mergeCell ref="DTI14:DTL14"/>
    <mergeCell ref="DTM14:DTP14"/>
    <mergeCell ref="DXI14:DXL14"/>
    <mergeCell ref="DXM14:DXP14"/>
    <mergeCell ref="DXQ14:DXT14"/>
    <mergeCell ref="DXU14:DXX14"/>
    <mergeCell ref="DXY14:DYB14"/>
    <mergeCell ref="DYC14:DYF14"/>
    <mergeCell ref="DWK14:DWN14"/>
    <mergeCell ref="DWO14:DWR14"/>
    <mergeCell ref="DWS14:DWV14"/>
    <mergeCell ref="DWW14:DWZ14"/>
    <mergeCell ref="DXA14:DXD14"/>
    <mergeCell ref="DXE14:DXH14"/>
    <mergeCell ref="DVM14:DVP14"/>
    <mergeCell ref="DVQ14:DVT14"/>
    <mergeCell ref="DVU14:DVX14"/>
    <mergeCell ref="DVY14:DWB14"/>
    <mergeCell ref="DWC14:DWF14"/>
    <mergeCell ref="DWG14:DWJ14"/>
    <mergeCell ref="EAC14:EAF14"/>
    <mergeCell ref="EAG14:EAJ14"/>
    <mergeCell ref="EAK14:EAN14"/>
    <mergeCell ref="EAO14:EAR14"/>
    <mergeCell ref="EAS14:EAV14"/>
    <mergeCell ref="EAW14:EAZ14"/>
    <mergeCell ref="DZE14:DZH14"/>
    <mergeCell ref="DZI14:DZL14"/>
    <mergeCell ref="DZM14:DZP14"/>
    <mergeCell ref="DZQ14:DZT14"/>
    <mergeCell ref="DZU14:DZX14"/>
    <mergeCell ref="DZY14:EAB14"/>
    <mergeCell ref="DYG14:DYJ14"/>
    <mergeCell ref="DYK14:DYN14"/>
    <mergeCell ref="DYO14:DYR14"/>
    <mergeCell ref="DYS14:DYV14"/>
    <mergeCell ref="DYW14:DYZ14"/>
    <mergeCell ref="DZA14:DZD14"/>
    <mergeCell ref="ECW14:ECZ14"/>
    <mergeCell ref="EDA14:EDD14"/>
    <mergeCell ref="EDE14:EDH14"/>
    <mergeCell ref="EDI14:EDL14"/>
    <mergeCell ref="EDM14:EDP14"/>
    <mergeCell ref="EDQ14:EDT14"/>
    <mergeCell ref="EBY14:ECB14"/>
    <mergeCell ref="ECC14:ECF14"/>
    <mergeCell ref="ECG14:ECJ14"/>
    <mergeCell ref="ECK14:ECN14"/>
    <mergeCell ref="ECO14:ECR14"/>
    <mergeCell ref="ECS14:ECV14"/>
    <mergeCell ref="EBA14:EBD14"/>
    <mergeCell ref="EBE14:EBH14"/>
    <mergeCell ref="EBI14:EBL14"/>
    <mergeCell ref="EBM14:EBP14"/>
    <mergeCell ref="EBQ14:EBT14"/>
    <mergeCell ref="EBU14:EBX14"/>
    <mergeCell ref="EFQ14:EFT14"/>
    <mergeCell ref="EFU14:EFX14"/>
    <mergeCell ref="EFY14:EGB14"/>
    <mergeCell ref="EGC14:EGF14"/>
    <mergeCell ref="EGG14:EGJ14"/>
    <mergeCell ref="EGK14:EGN14"/>
    <mergeCell ref="EES14:EEV14"/>
    <mergeCell ref="EEW14:EEZ14"/>
    <mergeCell ref="EFA14:EFD14"/>
    <mergeCell ref="EFE14:EFH14"/>
    <mergeCell ref="EFI14:EFL14"/>
    <mergeCell ref="EFM14:EFP14"/>
    <mergeCell ref="EDU14:EDX14"/>
    <mergeCell ref="EDY14:EEB14"/>
    <mergeCell ref="EEC14:EEF14"/>
    <mergeCell ref="EEG14:EEJ14"/>
    <mergeCell ref="EEK14:EEN14"/>
    <mergeCell ref="EEO14:EER14"/>
    <mergeCell ref="EIK14:EIN14"/>
    <mergeCell ref="EIO14:EIR14"/>
    <mergeCell ref="EIS14:EIV14"/>
    <mergeCell ref="EIW14:EIZ14"/>
    <mergeCell ref="EJA14:EJD14"/>
    <mergeCell ref="EJE14:EJH14"/>
    <mergeCell ref="EHM14:EHP14"/>
    <mergeCell ref="EHQ14:EHT14"/>
    <mergeCell ref="EHU14:EHX14"/>
    <mergeCell ref="EHY14:EIB14"/>
    <mergeCell ref="EIC14:EIF14"/>
    <mergeCell ref="EIG14:EIJ14"/>
    <mergeCell ref="EGO14:EGR14"/>
    <mergeCell ref="EGS14:EGV14"/>
    <mergeCell ref="EGW14:EGZ14"/>
    <mergeCell ref="EHA14:EHD14"/>
    <mergeCell ref="EHE14:EHH14"/>
    <mergeCell ref="EHI14:EHL14"/>
    <mergeCell ref="ELE14:ELH14"/>
    <mergeCell ref="ELI14:ELL14"/>
    <mergeCell ref="ELM14:ELP14"/>
    <mergeCell ref="ELQ14:ELT14"/>
    <mergeCell ref="ELU14:ELX14"/>
    <mergeCell ref="ELY14:EMB14"/>
    <mergeCell ref="EKG14:EKJ14"/>
    <mergeCell ref="EKK14:EKN14"/>
    <mergeCell ref="EKO14:EKR14"/>
    <mergeCell ref="EKS14:EKV14"/>
    <mergeCell ref="EKW14:EKZ14"/>
    <mergeCell ref="ELA14:ELD14"/>
    <mergeCell ref="EJI14:EJL14"/>
    <mergeCell ref="EJM14:EJP14"/>
    <mergeCell ref="EJQ14:EJT14"/>
    <mergeCell ref="EJU14:EJX14"/>
    <mergeCell ref="EJY14:EKB14"/>
    <mergeCell ref="EKC14:EKF14"/>
    <mergeCell ref="ENY14:EOB14"/>
    <mergeCell ref="EOC14:EOF14"/>
    <mergeCell ref="EOG14:EOJ14"/>
    <mergeCell ref="EOK14:EON14"/>
    <mergeCell ref="EOO14:EOR14"/>
    <mergeCell ref="EOS14:EOV14"/>
    <mergeCell ref="ENA14:END14"/>
    <mergeCell ref="ENE14:ENH14"/>
    <mergeCell ref="ENI14:ENL14"/>
    <mergeCell ref="ENM14:ENP14"/>
    <mergeCell ref="ENQ14:ENT14"/>
    <mergeCell ref="ENU14:ENX14"/>
    <mergeCell ref="EMC14:EMF14"/>
    <mergeCell ref="EMG14:EMJ14"/>
    <mergeCell ref="EMK14:EMN14"/>
    <mergeCell ref="EMO14:EMR14"/>
    <mergeCell ref="EMS14:EMV14"/>
    <mergeCell ref="EMW14:EMZ14"/>
    <mergeCell ref="EQS14:EQV14"/>
    <mergeCell ref="EQW14:EQZ14"/>
    <mergeCell ref="ERA14:ERD14"/>
    <mergeCell ref="ERE14:ERH14"/>
    <mergeCell ref="ERI14:ERL14"/>
    <mergeCell ref="ERM14:ERP14"/>
    <mergeCell ref="EPU14:EPX14"/>
    <mergeCell ref="EPY14:EQB14"/>
    <mergeCell ref="EQC14:EQF14"/>
    <mergeCell ref="EQG14:EQJ14"/>
    <mergeCell ref="EQK14:EQN14"/>
    <mergeCell ref="EQO14:EQR14"/>
    <mergeCell ref="EOW14:EOZ14"/>
    <mergeCell ref="EPA14:EPD14"/>
    <mergeCell ref="EPE14:EPH14"/>
    <mergeCell ref="EPI14:EPL14"/>
    <mergeCell ref="EPM14:EPP14"/>
    <mergeCell ref="EPQ14:EPT14"/>
    <mergeCell ref="ETM14:ETP14"/>
    <mergeCell ref="ETQ14:ETT14"/>
    <mergeCell ref="ETU14:ETX14"/>
    <mergeCell ref="ETY14:EUB14"/>
    <mergeCell ref="EUC14:EUF14"/>
    <mergeCell ref="EUG14:EUJ14"/>
    <mergeCell ref="ESO14:ESR14"/>
    <mergeCell ref="ESS14:ESV14"/>
    <mergeCell ref="ESW14:ESZ14"/>
    <mergeCell ref="ETA14:ETD14"/>
    <mergeCell ref="ETE14:ETH14"/>
    <mergeCell ref="ETI14:ETL14"/>
    <mergeCell ref="ERQ14:ERT14"/>
    <mergeCell ref="ERU14:ERX14"/>
    <mergeCell ref="ERY14:ESB14"/>
    <mergeCell ref="ESC14:ESF14"/>
    <mergeCell ref="ESG14:ESJ14"/>
    <mergeCell ref="ESK14:ESN14"/>
    <mergeCell ref="EWG14:EWJ14"/>
    <mergeCell ref="EWK14:EWN14"/>
    <mergeCell ref="EWO14:EWR14"/>
    <mergeCell ref="EWS14:EWV14"/>
    <mergeCell ref="EWW14:EWZ14"/>
    <mergeCell ref="EXA14:EXD14"/>
    <mergeCell ref="EVI14:EVL14"/>
    <mergeCell ref="EVM14:EVP14"/>
    <mergeCell ref="EVQ14:EVT14"/>
    <mergeCell ref="EVU14:EVX14"/>
    <mergeCell ref="EVY14:EWB14"/>
    <mergeCell ref="EWC14:EWF14"/>
    <mergeCell ref="EUK14:EUN14"/>
    <mergeCell ref="EUO14:EUR14"/>
    <mergeCell ref="EUS14:EUV14"/>
    <mergeCell ref="EUW14:EUZ14"/>
    <mergeCell ref="EVA14:EVD14"/>
    <mergeCell ref="EVE14:EVH14"/>
    <mergeCell ref="EZA14:EZD14"/>
    <mergeCell ref="EZE14:EZH14"/>
    <mergeCell ref="EZI14:EZL14"/>
    <mergeCell ref="EZM14:EZP14"/>
    <mergeCell ref="EZQ14:EZT14"/>
    <mergeCell ref="EZU14:EZX14"/>
    <mergeCell ref="EYC14:EYF14"/>
    <mergeCell ref="EYG14:EYJ14"/>
    <mergeCell ref="EYK14:EYN14"/>
    <mergeCell ref="EYO14:EYR14"/>
    <mergeCell ref="EYS14:EYV14"/>
    <mergeCell ref="EYW14:EYZ14"/>
    <mergeCell ref="EXE14:EXH14"/>
    <mergeCell ref="EXI14:EXL14"/>
    <mergeCell ref="EXM14:EXP14"/>
    <mergeCell ref="EXQ14:EXT14"/>
    <mergeCell ref="EXU14:EXX14"/>
    <mergeCell ref="EXY14:EYB14"/>
    <mergeCell ref="FBU14:FBX14"/>
    <mergeCell ref="FBY14:FCB14"/>
    <mergeCell ref="FCC14:FCF14"/>
    <mergeCell ref="FCG14:FCJ14"/>
    <mergeCell ref="FCK14:FCN14"/>
    <mergeCell ref="FCO14:FCR14"/>
    <mergeCell ref="FAW14:FAZ14"/>
    <mergeCell ref="FBA14:FBD14"/>
    <mergeCell ref="FBE14:FBH14"/>
    <mergeCell ref="FBI14:FBL14"/>
    <mergeCell ref="FBM14:FBP14"/>
    <mergeCell ref="FBQ14:FBT14"/>
    <mergeCell ref="EZY14:FAB14"/>
    <mergeCell ref="FAC14:FAF14"/>
    <mergeCell ref="FAG14:FAJ14"/>
    <mergeCell ref="FAK14:FAN14"/>
    <mergeCell ref="FAO14:FAR14"/>
    <mergeCell ref="FAS14:FAV14"/>
    <mergeCell ref="FEO14:FER14"/>
    <mergeCell ref="FES14:FEV14"/>
    <mergeCell ref="FEW14:FEZ14"/>
    <mergeCell ref="FFA14:FFD14"/>
    <mergeCell ref="FFE14:FFH14"/>
    <mergeCell ref="FFI14:FFL14"/>
    <mergeCell ref="FDQ14:FDT14"/>
    <mergeCell ref="FDU14:FDX14"/>
    <mergeCell ref="FDY14:FEB14"/>
    <mergeCell ref="FEC14:FEF14"/>
    <mergeCell ref="FEG14:FEJ14"/>
    <mergeCell ref="FEK14:FEN14"/>
    <mergeCell ref="FCS14:FCV14"/>
    <mergeCell ref="FCW14:FCZ14"/>
    <mergeCell ref="FDA14:FDD14"/>
    <mergeCell ref="FDE14:FDH14"/>
    <mergeCell ref="FDI14:FDL14"/>
    <mergeCell ref="FDM14:FDP14"/>
    <mergeCell ref="FHI14:FHL14"/>
    <mergeCell ref="FHM14:FHP14"/>
    <mergeCell ref="FHQ14:FHT14"/>
    <mergeCell ref="FHU14:FHX14"/>
    <mergeCell ref="FHY14:FIB14"/>
    <mergeCell ref="FIC14:FIF14"/>
    <mergeCell ref="FGK14:FGN14"/>
    <mergeCell ref="FGO14:FGR14"/>
    <mergeCell ref="FGS14:FGV14"/>
    <mergeCell ref="FGW14:FGZ14"/>
    <mergeCell ref="FHA14:FHD14"/>
    <mergeCell ref="FHE14:FHH14"/>
    <mergeCell ref="FFM14:FFP14"/>
    <mergeCell ref="FFQ14:FFT14"/>
    <mergeCell ref="FFU14:FFX14"/>
    <mergeCell ref="FFY14:FGB14"/>
    <mergeCell ref="FGC14:FGF14"/>
    <mergeCell ref="FGG14:FGJ14"/>
    <mergeCell ref="FKC14:FKF14"/>
    <mergeCell ref="FKG14:FKJ14"/>
    <mergeCell ref="FKK14:FKN14"/>
    <mergeCell ref="FKO14:FKR14"/>
    <mergeCell ref="FKS14:FKV14"/>
    <mergeCell ref="FKW14:FKZ14"/>
    <mergeCell ref="FJE14:FJH14"/>
    <mergeCell ref="FJI14:FJL14"/>
    <mergeCell ref="FJM14:FJP14"/>
    <mergeCell ref="FJQ14:FJT14"/>
    <mergeCell ref="FJU14:FJX14"/>
    <mergeCell ref="FJY14:FKB14"/>
    <mergeCell ref="FIG14:FIJ14"/>
    <mergeCell ref="FIK14:FIN14"/>
    <mergeCell ref="FIO14:FIR14"/>
    <mergeCell ref="FIS14:FIV14"/>
    <mergeCell ref="FIW14:FIZ14"/>
    <mergeCell ref="FJA14:FJD14"/>
    <mergeCell ref="FMW14:FMZ14"/>
    <mergeCell ref="FNA14:FND14"/>
    <mergeCell ref="FNE14:FNH14"/>
    <mergeCell ref="FNI14:FNL14"/>
    <mergeCell ref="FNM14:FNP14"/>
    <mergeCell ref="FNQ14:FNT14"/>
    <mergeCell ref="FLY14:FMB14"/>
    <mergeCell ref="FMC14:FMF14"/>
    <mergeCell ref="FMG14:FMJ14"/>
    <mergeCell ref="FMK14:FMN14"/>
    <mergeCell ref="FMO14:FMR14"/>
    <mergeCell ref="FMS14:FMV14"/>
    <mergeCell ref="FLA14:FLD14"/>
    <mergeCell ref="FLE14:FLH14"/>
    <mergeCell ref="FLI14:FLL14"/>
    <mergeCell ref="FLM14:FLP14"/>
    <mergeCell ref="FLQ14:FLT14"/>
    <mergeCell ref="FLU14:FLX14"/>
    <mergeCell ref="FPQ14:FPT14"/>
    <mergeCell ref="FPU14:FPX14"/>
    <mergeCell ref="FPY14:FQB14"/>
    <mergeCell ref="FQC14:FQF14"/>
    <mergeCell ref="FQG14:FQJ14"/>
    <mergeCell ref="FQK14:FQN14"/>
    <mergeCell ref="FOS14:FOV14"/>
    <mergeCell ref="FOW14:FOZ14"/>
    <mergeCell ref="FPA14:FPD14"/>
    <mergeCell ref="FPE14:FPH14"/>
    <mergeCell ref="FPI14:FPL14"/>
    <mergeCell ref="FPM14:FPP14"/>
    <mergeCell ref="FNU14:FNX14"/>
    <mergeCell ref="FNY14:FOB14"/>
    <mergeCell ref="FOC14:FOF14"/>
    <mergeCell ref="FOG14:FOJ14"/>
    <mergeCell ref="FOK14:FON14"/>
    <mergeCell ref="FOO14:FOR14"/>
    <mergeCell ref="FSK14:FSN14"/>
    <mergeCell ref="FSO14:FSR14"/>
    <mergeCell ref="FSS14:FSV14"/>
    <mergeCell ref="FSW14:FSZ14"/>
    <mergeCell ref="FTA14:FTD14"/>
    <mergeCell ref="FTE14:FTH14"/>
    <mergeCell ref="FRM14:FRP14"/>
    <mergeCell ref="FRQ14:FRT14"/>
    <mergeCell ref="FRU14:FRX14"/>
    <mergeCell ref="FRY14:FSB14"/>
    <mergeCell ref="FSC14:FSF14"/>
    <mergeCell ref="FSG14:FSJ14"/>
    <mergeCell ref="FQO14:FQR14"/>
    <mergeCell ref="FQS14:FQV14"/>
    <mergeCell ref="FQW14:FQZ14"/>
    <mergeCell ref="FRA14:FRD14"/>
    <mergeCell ref="FRE14:FRH14"/>
    <mergeCell ref="FRI14:FRL14"/>
    <mergeCell ref="FVE14:FVH14"/>
    <mergeCell ref="FVI14:FVL14"/>
    <mergeCell ref="FVM14:FVP14"/>
    <mergeCell ref="FVQ14:FVT14"/>
    <mergeCell ref="FVU14:FVX14"/>
    <mergeCell ref="FVY14:FWB14"/>
    <mergeCell ref="FUG14:FUJ14"/>
    <mergeCell ref="FUK14:FUN14"/>
    <mergeCell ref="FUO14:FUR14"/>
    <mergeCell ref="FUS14:FUV14"/>
    <mergeCell ref="FUW14:FUZ14"/>
    <mergeCell ref="FVA14:FVD14"/>
    <mergeCell ref="FTI14:FTL14"/>
    <mergeCell ref="FTM14:FTP14"/>
    <mergeCell ref="FTQ14:FTT14"/>
    <mergeCell ref="FTU14:FTX14"/>
    <mergeCell ref="FTY14:FUB14"/>
    <mergeCell ref="FUC14:FUF14"/>
    <mergeCell ref="FXY14:FYB14"/>
    <mergeCell ref="FYC14:FYF14"/>
    <mergeCell ref="FYG14:FYJ14"/>
    <mergeCell ref="FYK14:FYN14"/>
    <mergeCell ref="FYO14:FYR14"/>
    <mergeCell ref="FYS14:FYV14"/>
    <mergeCell ref="FXA14:FXD14"/>
    <mergeCell ref="FXE14:FXH14"/>
    <mergeCell ref="FXI14:FXL14"/>
    <mergeCell ref="FXM14:FXP14"/>
    <mergeCell ref="FXQ14:FXT14"/>
    <mergeCell ref="FXU14:FXX14"/>
    <mergeCell ref="FWC14:FWF14"/>
    <mergeCell ref="FWG14:FWJ14"/>
    <mergeCell ref="FWK14:FWN14"/>
    <mergeCell ref="FWO14:FWR14"/>
    <mergeCell ref="FWS14:FWV14"/>
    <mergeCell ref="FWW14:FWZ14"/>
    <mergeCell ref="GAS14:GAV14"/>
    <mergeCell ref="GAW14:GAZ14"/>
    <mergeCell ref="GBA14:GBD14"/>
    <mergeCell ref="GBE14:GBH14"/>
    <mergeCell ref="GBI14:GBL14"/>
    <mergeCell ref="GBM14:GBP14"/>
    <mergeCell ref="FZU14:FZX14"/>
    <mergeCell ref="FZY14:GAB14"/>
    <mergeCell ref="GAC14:GAF14"/>
    <mergeCell ref="GAG14:GAJ14"/>
    <mergeCell ref="GAK14:GAN14"/>
    <mergeCell ref="GAO14:GAR14"/>
    <mergeCell ref="FYW14:FYZ14"/>
    <mergeCell ref="FZA14:FZD14"/>
    <mergeCell ref="FZE14:FZH14"/>
    <mergeCell ref="FZI14:FZL14"/>
    <mergeCell ref="FZM14:FZP14"/>
    <mergeCell ref="FZQ14:FZT14"/>
    <mergeCell ref="GDM14:GDP14"/>
    <mergeCell ref="GDQ14:GDT14"/>
    <mergeCell ref="GDU14:GDX14"/>
    <mergeCell ref="GDY14:GEB14"/>
    <mergeCell ref="GEC14:GEF14"/>
    <mergeCell ref="GEG14:GEJ14"/>
    <mergeCell ref="GCO14:GCR14"/>
    <mergeCell ref="GCS14:GCV14"/>
    <mergeCell ref="GCW14:GCZ14"/>
    <mergeCell ref="GDA14:GDD14"/>
    <mergeCell ref="GDE14:GDH14"/>
    <mergeCell ref="GDI14:GDL14"/>
    <mergeCell ref="GBQ14:GBT14"/>
    <mergeCell ref="GBU14:GBX14"/>
    <mergeCell ref="GBY14:GCB14"/>
    <mergeCell ref="GCC14:GCF14"/>
    <mergeCell ref="GCG14:GCJ14"/>
    <mergeCell ref="GCK14:GCN14"/>
    <mergeCell ref="GGG14:GGJ14"/>
    <mergeCell ref="GGK14:GGN14"/>
    <mergeCell ref="GGO14:GGR14"/>
    <mergeCell ref="GGS14:GGV14"/>
    <mergeCell ref="GGW14:GGZ14"/>
    <mergeCell ref="GHA14:GHD14"/>
    <mergeCell ref="GFI14:GFL14"/>
    <mergeCell ref="GFM14:GFP14"/>
    <mergeCell ref="GFQ14:GFT14"/>
    <mergeCell ref="GFU14:GFX14"/>
    <mergeCell ref="GFY14:GGB14"/>
    <mergeCell ref="GGC14:GGF14"/>
    <mergeCell ref="GEK14:GEN14"/>
    <mergeCell ref="GEO14:GER14"/>
    <mergeCell ref="GES14:GEV14"/>
    <mergeCell ref="GEW14:GEZ14"/>
    <mergeCell ref="GFA14:GFD14"/>
    <mergeCell ref="GFE14:GFH14"/>
    <mergeCell ref="GJA14:GJD14"/>
    <mergeCell ref="GJE14:GJH14"/>
    <mergeCell ref="GJI14:GJL14"/>
    <mergeCell ref="GJM14:GJP14"/>
    <mergeCell ref="GJQ14:GJT14"/>
    <mergeCell ref="GJU14:GJX14"/>
    <mergeCell ref="GIC14:GIF14"/>
    <mergeCell ref="GIG14:GIJ14"/>
    <mergeCell ref="GIK14:GIN14"/>
    <mergeCell ref="GIO14:GIR14"/>
    <mergeCell ref="GIS14:GIV14"/>
    <mergeCell ref="GIW14:GIZ14"/>
    <mergeCell ref="GHE14:GHH14"/>
    <mergeCell ref="GHI14:GHL14"/>
    <mergeCell ref="GHM14:GHP14"/>
    <mergeCell ref="GHQ14:GHT14"/>
    <mergeCell ref="GHU14:GHX14"/>
    <mergeCell ref="GHY14:GIB14"/>
    <mergeCell ref="GLU14:GLX14"/>
    <mergeCell ref="GLY14:GMB14"/>
    <mergeCell ref="GMC14:GMF14"/>
    <mergeCell ref="GMG14:GMJ14"/>
    <mergeCell ref="GMK14:GMN14"/>
    <mergeCell ref="GMO14:GMR14"/>
    <mergeCell ref="GKW14:GKZ14"/>
    <mergeCell ref="GLA14:GLD14"/>
    <mergeCell ref="GLE14:GLH14"/>
    <mergeCell ref="GLI14:GLL14"/>
    <mergeCell ref="GLM14:GLP14"/>
    <mergeCell ref="GLQ14:GLT14"/>
    <mergeCell ref="GJY14:GKB14"/>
    <mergeCell ref="GKC14:GKF14"/>
    <mergeCell ref="GKG14:GKJ14"/>
    <mergeCell ref="GKK14:GKN14"/>
    <mergeCell ref="GKO14:GKR14"/>
    <mergeCell ref="GKS14:GKV14"/>
    <mergeCell ref="GOO14:GOR14"/>
    <mergeCell ref="GOS14:GOV14"/>
    <mergeCell ref="GOW14:GOZ14"/>
    <mergeCell ref="GPA14:GPD14"/>
    <mergeCell ref="GPE14:GPH14"/>
    <mergeCell ref="GPI14:GPL14"/>
    <mergeCell ref="GNQ14:GNT14"/>
    <mergeCell ref="GNU14:GNX14"/>
    <mergeCell ref="GNY14:GOB14"/>
    <mergeCell ref="GOC14:GOF14"/>
    <mergeCell ref="GOG14:GOJ14"/>
    <mergeCell ref="GOK14:GON14"/>
    <mergeCell ref="GMS14:GMV14"/>
    <mergeCell ref="GMW14:GMZ14"/>
    <mergeCell ref="GNA14:GND14"/>
    <mergeCell ref="GNE14:GNH14"/>
    <mergeCell ref="GNI14:GNL14"/>
    <mergeCell ref="GNM14:GNP14"/>
    <mergeCell ref="GRI14:GRL14"/>
    <mergeCell ref="GRM14:GRP14"/>
    <mergeCell ref="GRQ14:GRT14"/>
    <mergeCell ref="GRU14:GRX14"/>
    <mergeCell ref="GRY14:GSB14"/>
    <mergeCell ref="GSC14:GSF14"/>
    <mergeCell ref="GQK14:GQN14"/>
    <mergeCell ref="GQO14:GQR14"/>
    <mergeCell ref="GQS14:GQV14"/>
    <mergeCell ref="GQW14:GQZ14"/>
    <mergeCell ref="GRA14:GRD14"/>
    <mergeCell ref="GRE14:GRH14"/>
    <mergeCell ref="GPM14:GPP14"/>
    <mergeCell ref="GPQ14:GPT14"/>
    <mergeCell ref="GPU14:GPX14"/>
    <mergeCell ref="GPY14:GQB14"/>
    <mergeCell ref="GQC14:GQF14"/>
    <mergeCell ref="GQG14:GQJ14"/>
    <mergeCell ref="GUC14:GUF14"/>
    <mergeCell ref="GUG14:GUJ14"/>
    <mergeCell ref="GUK14:GUN14"/>
    <mergeCell ref="GUO14:GUR14"/>
    <mergeCell ref="GUS14:GUV14"/>
    <mergeCell ref="GUW14:GUZ14"/>
    <mergeCell ref="GTE14:GTH14"/>
    <mergeCell ref="GTI14:GTL14"/>
    <mergeCell ref="GTM14:GTP14"/>
    <mergeCell ref="GTQ14:GTT14"/>
    <mergeCell ref="GTU14:GTX14"/>
    <mergeCell ref="GTY14:GUB14"/>
    <mergeCell ref="GSG14:GSJ14"/>
    <mergeCell ref="GSK14:GSN14"/>
    <mergeCell ref="GSO14:GSR14"/>
    <mergeCell ref="GSS14:GSV14"/>
    <mergeCell ref="GSW14:GSZ14"/>
    <mergeCell ref="GTA14:GTD14"/>
    <mergeCell ref="GWW14:GWZ14"/>
    <mergeCell ref="GXA14:GXD14"/>
    <mergeCell ref="GXE14:GXH14"/>
    <mergeCell ref="GXI14:GXL14"/>
    <mergeCell ref="GXM14:GXP14"/>
    <mergeCell ref="GXQ14:GXT14"/>
    <mergeCell ref="GVY14:GWB14"/>
    <mergeCell ref="GWC14:GWF14"/>
    <mergeCell ref="GWG14:GWJ14"/>
    <mergeCell ref="GWK14:GWN14"/>
    <mergeCell ref="GWO14:GWR14"/>
    <mergeCell ref="GWS14:GWV14"/>
    <mergeCell ref="GVA14:GVD14"/>
    <mergeCell ref="GVE14:GVH14"/>
    <mergeCell ref="GVI14:GVL14"/>
    <mergeCell ref="GVM14:GVP14"/>
    <mergeCell ref="GVQ14:GVT14"/>
    <mergeCell ref="GVU14:GVX14"/>
    <mergeCell ref="GZQ14:GZT14"/>
    <mergeCell ref="GZU14:GZX14"/>
    <mergeCell ref="GZY14:HAB14"/>
    <mergeCell ref="HAC14:HAF14"/>
    <mergeCell ref="HAG14:HAJ14"/>
    <mergeCell ref="HAK14:HAN14"/>
    <mergeCell ref="GYS14:GYV14"/>
    <mergeCell ref="GYW14:GYZ14"/>
    <mergeCell ref="GZA14:GZD14"/>
    <mergeCell ref="GZE14:GZH14"/>
    <mergeCell ref="GZI14:GZL14"/>
    <mergeCell ref="GZM14:GZP14"/>
    <mergeCell ref="GXU14:GXX14"/>
    <mergeCell ref="GXY14:GYB14"/>
    <mergeCell ref="GYC14:GYF14"/>
    <mergeCell ref="GYG14:GYJ14"/>
    <mergeCell ref="GYK14:GYN14"/>
    <mergeCell ref="GYO14:GYR14"/>
    <mergeCell ref="HCK14:HCN14"/>
    <mergeCell ref="HCO14:HCR14"/>
    <mergeCell ref="HCS14:HCV14"/>
    <mergeCell ref="HCW14:HCZ14"/>
    <mergeCell ref="HDA14:HDD14"/>
    <mergeCell ref="HDE14:HDH14"/>
    <mergeCell ref="HBM14:HBP14"/>
    <mergeCell ref="HBQ14:HBT14"/>
    <mergeCell ref="HBU14:HBX14"/>
    <mergeCell ref="HBY14:HCB14"/>
    <mergeCell ref="HCC14:HCF14"/>
    <mergeCell ref="HCG14:HCJ14"/>
    <mergeCell ref="HAO14:HAR14"/>
    <mergeCell ref="HAS14:HAV14"/>
    <mergeCell ref="HAW14:HAZ14"/>
    <mergeCell ref="HBA14:HBD14"/>
    <mergeCell ref="HBE14:HBH14"/>
    <mergeCell ref="HBI14:HBL14"/>
    <mergeCell ref="HFE14:HFH14"/>
    <mergeCell ref="HFI14:HFL14"/>
    <mergeCell ref="HFM14:HFP14"/>
    <mergeCell ref="HFQ14:HFT14"/>
    <mergeCell ref="HFU14:HFX14"/>
    <mergeCell ref="HFY14:HGB14"/>
    <mergeCell ref="HEG14:HEJ14"/>
    <mergeCell ref="HEK14:HEN14"/>
    <mergeCell ref="HEO14:HER14"/>
    <mergeCell ref="HES14:HEV14"/>
    <mergeCell ref="HEW14:HEZ14"/>
    <mergeCell ref="HFA14:HFD14"/>
    <mergeCell ref="HDI14:HDL14"/>
    <mergeCell ref="HDM14:HDP14"/>
    <mergeCell ref="HDQ14:HDT14"/>
    <mergeCell ref="HDU14:HDX14"/>
    <mergeCell ref="HDY14:HEB14"/>
    <mergeCell ref="HEC14:HEF14"/>
    <mergeCell ref="HHY14:HIB14"/>
    <mergeCell ref="HIC14:HIF14"/>
    <mergeCell ref="HIG14:HIJ14"/>
    <mergeCell ref="HIK14:HIN14"/>
    <mergeCell ref="HIO14:HIR14"/>
    <mergeCell ref="HIS14:HIV14"/>
    <mergeCell ref="HHA14:HHD14"/>
    <mergeCell ref="HHE14:HHH14"/>
    <mergeCell ref="HHI14:HHL14"/>
    <mergeCell ref="HHM14:HHP14"/>
    <mergeCell ref="HHQ14:HHT14"/>
    <mergeCell ref="HHU14:HHX14"/>
    <mergeCell ref="HGC14:HGF14"/>
    <mergeCell ref="HGG14:HGJ14"/>
    <mergeCell ref="HGK14:HGN14"/>
    <mergeCell ref="HGO14:HGR14"/>
    <mergeCell ref="HGS14:HGV14"/>
    <mergeCell ref="HGW14:HGZ14"/>
    <mergeCell ref="HKS14:HKV14"/>
    <mergeCell ref="HKW14:HKZ14"/>
    <mergeCell ref="HLA14:HLD14"/>
    <mergeCell ref="HLE14:HLH14"/>
    <mergeCell ref="HLI14:HLL14"/>
    <mergeCell ref="HLM14:HLP14"/>
    <mergeCell ref="HJU14:HJX14"/>
    <mergeCell ref="HJY14:HKB14"/>
    <mergeCell ref="HKC14:HKF14"/>
    <mergeCell ref="HKG14:HKJ14"/>
    <mergeCell ref="HKK14:HKN14"/>
    <mergeCell ref="HKO14:HKR14"/>
    <mergeCell ref="HIW14:HIZ14"/>
    <mergeCell ref="HJA14:HJD14"/>
    <mergeCell ref="HJE14:HJH14"/>
    <mergeCell ref="HJI14:HJL14"/>
    <mergeCell ref="HJM14:HJP14"/>
    <mergeCell ref="HJQ14:HJT14"/>
    <mergeCell ref="HNM14:HNP14"/>
    <mergeCell ref="HNQ14:HNT14"/>
    <mergeCell ref="HNU14:HNX14"/>
    <mergeCell ref="HNY14:HOB14"/>
    <mergeCell ref="HOC14:HOF14"/>
    <mergeCell ref="HOG14:HOJ14"/>
    <mergeCell ref="HMO14:HMR14"/>
    <mergeCell ref="HMS14:HMV14"/>
    <mergeCell ref="HMW14:HMZ14"/>
    <mergeCell ref="HNA14:HND14"/>
    <mergeCell ref="HNE14:HNH14"/>
    <mergeCell ref="HNI14:HNL14"/>
    <mergeCell ref="HLQ14:HLT14"/>
    <mergeCell ref="HLU14:HLX14"/>
    <mergeCell ref="HLY14:HMB14"/>
    <mergeCell ref="HMC14:HMF14"/>
    <mergeCell ref="HMG14:HMJ14"/>
    <mergeCell ref="HMK14:HMN14"/>
    <mergeCell ref="HQG14:HQJ14"/>
    <mergeCell ref="HQK14:HQN14"/>
    <mergeCell ref="HQO14:HQR14"/>
    <mergeCell ref="HQS14:HQV14"/>
    <mergeCell ref="HQW14:HQZ14"/>
    <mergeCell ref="HRA14:HRD14"/>
    <mergeCell ref="HPI14:HPL14"/>
    <mergeCell ref="HPM14:HPP14"/>
    <mergeCell ref="HPQ14:HPT14"/>
    <mergeCell ref="HPU14:HPX14"/>
    <mergeCell ref="HPY14:HQB14"/>
    <mergeCell ref="HQC14:HQF14"/>
    <mergeCell ref="HOK14:HON14"/>
    <mergeCell ref="HOO14:HOR14"/>
    <mergeCell ref="HOS14:HOV14"/>
    <mergeCell ref="HOW14:HOZ14"/>
    <mergeCell ref="HPA14:HPD14"/>
    <mergeCell ref="HPE14:HPH14"/>
    <mergeCell ref="HTA14:HTD14"/>
    <mergeCell ref="HTE14:HTH14"/>
    <mergeCell ref="HTI14:HTL14"/>
    <mergeCell ref="HTM14:HTP14"/>
    <mergeCell ref="HTQ14:HTT14"/>
    <mergeCell ref="HTU14:HTX14"/>
    <mergeCell ref="HSC14:HSF14"/>
    <mergeCell ref="HSG14:HSJ14"/>
    <mergeCell ref="HSK14:HSN14"/>
    <mergeCell ref="HSO14:HSR14"/>
    <mergeCell ref="HSS14:HSV14"/>
    <mergeCell ref="HSW14:HSZ14"/>
    <mergeCell ref="HRE14:HRH14"/>
    <mergeCell ref="HRI14:HRL14"/>
    <mergeCell ref="HRM14:HRP14"/>
    <mergeCell ref="HRQ14:HRT14"/>
    <mergeCell ref="HRU14:HRX14"/>
    <mergeCell ref="HRY14:HSB14"/>
    <mergeCell ref="HVU14:HVX14"/>
    <mergeCell ref="HVY14:HWB14"/>
    <mergeCell ref="HWC14:HWF14"/>
    <mergeCell ref="HWG14:HWJ14"/>
    <mergeCell ref="HWK14:HWN14"/>
    <mergeCell ref="HWO14:HWR14"/>
    <mergeCell ref="HUW14:HUZ14"/>
    <mergeCell ref="HVA14:HVD14"/>
    <mergeCell ref="HVE14:HVH14"/>
    <mergeCell ref="HVI14:HVL14"/>
    <mergeCell ref="HVM14:HVP14"/>
    <mergeCell ref="HVQ14:HVT14"/>
    <mergeCell ref="HTY14:HUB14"/>
    <mergeCell ref="HUC14:HUF14"/>
    <mergeCell ref="HUG14:HUJ14"/>
    <mergeCell ref="HUK14:HUN14"/>
    <mergeCell ref="HUO14:HUR14"/>
    <mergeCell ref="HUS14:HUV14"/>
    <mergeCell ref="HYO14:HYR14"/>
    <mergeCell ref="HYS14:HYV14"/>
    <mergeCell ref="HYW14:HYZ14"/>
    <mergeCell ref="HZA14:HZD14"/>
    <mergeCell ref="HZE14:HZH14"/>
    <mergeCell ref="HZI14:HZL14"/>
    <mergeCell ref="HXQ14:HXT14"/>
    <mergeCell ref="HXU14:HXX14"/>
    <mergeCell ref="HXY14:HYB14"/>
    <mergeCell ref="HYC14:HYF14"/>
    <mergeCell ref="HYG14:HYJ14"/>
    <mergeCell ref="HYK14:HYN14"/>
    <mergeCell ref="HWS14:HWV14"/>
    <mergeCell ref="HWW14:HWZ14"/>
    <mergeCell ref="HXA14:HXD14"/>
    <mergeCell ref="HXE14:HXH14"/>
    <mergeCell ref="HXI14:HXL14"/>
    <mergeCell ref="HXM14:HXP14"/>
    <mergeCell ref="IBI14:IBL14"/>
    <mergeCell ref="IBM14:IBP14"/>
    <mergeCell ref="IBQ14:IBT14"/>
    <mergeCell ref="IBU14:IBX14"/>
    <mergeCell ref="IBY14:ICB14"/>
    <mergeCell ref="ICC14:ICF14"/>
    <mergeCell ref="IAK14:IAN14"/>
    <mergeCell ref="IAO14:IAR14"/>
    <mergeCell ref="IAS14:IAV14"/>
    <mergeCell ref="IAW14:IAZ14"/>
    <mergeCell ref="IBA14:IBD14"/>
    <mergeCell ref="IBE14:IBH14"/>
    <mergeCell ref="HZM14:HZP14"/>
    <mergeCell ref="HZQ14:HZT14"/>
    <mergeCell ref="HZU14:HZX14"/>
    <mergeCell ref="HZY14:IAB14"/>
    <mergeCell ref="IAC14:IAF14"/>
    <mergeCell ref="IAG14:IAJ14"/>
    <mergeCell ref="IEC14:IEF14"/>
    <mergeCell ref="IEG14:IEJ14"/>
    <mergeCell ref="IEK14:IEN14"/>
    <mergeCell ref="IEO14:IER14"/>
    <mergeCell ref="IES14:IEV14"/>
    <mergeCell ref="IEW14:IEZ14"/>
    <mergeCell ref="IDE14:IDH14"/>
    <mergeCell ref="IDI14:IDL14"/>
    <mergeCell ref="IDM14:IDP14"/>
    <mergeCell ref="IDQ14:IDT14"/>
    <mergeCell ref="IDU14:IDX14"/>
    <mergeCell ref="IDY14:IEB14"/>
    <mergeCell ref="ICG14:ICJ14"/>
    <mergeCell ref="ICK14:ICN14"/>
    <mergeCell ref="ICO14:ICR14"/>
    <mergeCell ref="ICS14:ICV14"/>
    <mergeCell ref="ICW14:ICZ14"/>
    <mergeCell ref="IDA14:IDD14"/>
    <mergeCell ref="IGW14:IGZ14"/>
    <mergeCell ref="IHA14:IHD14"/>
    <mergeCell ref="IHE14:IHH14"/>
    <mergeCell ref="IHI14:IHL14"/>
    <mergeCell ref="IHM14:IHP14"/>
    <mergeCell ref="IHQ14:IHT14"/>
    <mergeCell ref="IFY14:IGB14"/>
    <mergeCell ref="IGC14:IGF14"/>
    <mergeCell ref="IGG14:IGJ14"/>
    <mergeCell ref="IGK14:IGN14"/>
    <mergeCell ref="IGO14:IGR14"/>
    <mergeCell ref="IGS14:IGV14"/>
    <mergeCell ref="IFA14:IFD14"/>
    <mergeCell ref="IFE14:IFH14"/>
    <mergeCell ref="IFI14:IFL14"/>
    <mergeCell ref="IFM14:IFP14"/>
    <mergeCell ref="IFQ14:IFT14"/>
    <mergeCell ref="IFU14:IFX14"/>
    <mergeCell ref="IJQ14:IJT14"/>
    <mergeCell ref="IJU14:IJX14"/>
    <mergeCell ref="IJY14:IKB14"/>
    <mergeCell ref="IKC14:IKF14"/>
    <mergeCell ref="IKG14:IKJ14"/>
    <mergeCell ref="IKK14:IKN14"/>
    <mergeCell ref="IIS14:IIV14"/>
    <mergeCell ref="IIW14:IIZ14"/>
    <mergeCell ref="IJA14:IJD14"/>
    <mergeCell ref="IJE14:IJH14"/>
    <mergeCell ref="IJI14:IJL14"/>
    <mergeCell ref="IJM14:IJP14"/>
    <mergeCell ref="IHU14:IHX14"/>
    <mergeCell ref="IHY14:IIB14"/>
    <mergeCell ref="IIC14:IIF14"/>
    <mergeCell ref="IIG14:IIJ14"/>
    <mergeCell ref="IIK14:IIN14"/>
    <mergeCell ref="IIO14:IIR14"/>
    <mergeCell ref="IMK14:IMN14"/>
    <mergeCell ref="IMO14:IMR14"/>
    <mergeCell ref="IMS14:IMV14"/>
    <mergeCell ref="IMW14:IMZ14"/>
    <mergeCell ref="INA14:IND14"/>
    <mergeCell ref="INE14:INH14"/>
    <mergeCell ref="ILM14:ILP14"/>
    <mergeCell ref="ILQ14:ILT14"/>
    <mergeCell ref="ILU14:ILX14"/>
    <mergeCell ref="ILY14:IMB14"/>
    <mergeCell ref="IMC14:IMF14"/>
    <mergeCell ref="IMG14:IMJ14"/>
    <mergeCell ref="IKO14:IKR14"/>
    <mergeCell ref="IKS14:IKV14"/>
    <mergeCell ref="IKW14:IKZ14"/>
    <mergeCell ref="ILA14:ILD14"/>
    <mergeCell ref="ILE14:ILH14"/>
    <mergeCell ref="ILI14:ILL14"/>
    <mergeCell ref="IPE14:IPH14"/>
    <mergeCell ref="IPI14:IPL14"/>
    <mergeCell ref="IPM14:IPP14"/>
    <mergeCell ref="IPQ14:IPT14"/>
    <mergeCell ref="IPU14:IPX14"/>
    <mergeCell ref="IPY14:IQB14"/>
    <mergeCell ref="IOG14:IOJ14"/>
    <mergeCell ref="IOK14:ION14"/>
    <mergeCell ref="IOO14:IOR14"/>
    <mergeCell ref="IOS14:IOV14"/>
    <mergeCell ref="IOW14:IOZ14"/>
    <mergeCell ref="IPA14:IPD14"/>
    <mergeCell ref="INI14:INL14"/>
    <mergeCell ref="INM14:INP14"/>
    <mergeCell ref="INQ14:INT14"/>
    <mergeCell ref="INU14:INX14"/>
    <mergeCell ref="INY14:IOB14"/>
    <mergeCell ref="IOC14:IOF14"/>
    <mergeCell ref="IRY14:ISB14"/>
    <mergeCell ref="ISC14:ISF14"/>
    <mergeCell ref="ISG14:ISJ14"/>
    <mergeCell ref="ISK14:ISN14"/>
    <mergeCell ref="ISO14:ISR14"/>
    <mergeCell ref="ISS14:ISV14"/>
    <mergeCell ref="IRA14:IRD14"/>
    <mergeCell ref="IRE14:IRH14"/>
    <mergeCell ref="IRI14:IRL14"/>
    <mergeCell ref="IRM14:IRP14"/>
    <mergeCell ref="IRQ14:IRT14"/>
    <mergeCell ref="IRU14:IRX14"/>
    <mergeCell ref="IQC14:IQF14"/>
    <mergeCell ref="IQG14:IQJ14"/>
    <mergeCell ref="IQK14:IQN14"/>
    <mergeCell ref="IQO14:IQR14"/>
    <mergeCell ref="IQS14:IQV14"/>
    <mergeCell ref="IQW14:IQZ14"/>
    <mergeCell ref="IUS14:IUV14"/>
    <mergeCell ref="IUW14:IUZ14"/>
    <mergeCell ref="IVA14:IVD14"/>
    <mergeCell ref="IVE14:IVH14"/>
    <mergeCell ref="IVI14:IVL14"/>
    <mergeCell ref="IVM14:IVP14"/>
    <mergeCell ref="ITU14:ITX14"/>
    <mergeCell ref="ITY14:IUB14"/>
    <mergeCell ref="IUC14:IUF14"/>
    <mergeCell ref="IUG14:IUJ14"/>
    <mergeCell ref="IUK14:IUN14"/>
    <mergeCell ref="IUO14:IUR14"/>
    <mergeCell ref="ISW14:ISZ14"/>
    <mergeCell ref="ITA14:ITD14"/>
    <mergeCell ref="ITE14:ITH14"/>
    <mergeCell ref="ITI14:ITL14"/>
    <mergeCell ref="ITM14:ITP14"/>
    <mergeCell ref="ITQ14:ITT14"/>
    <mergeCell ref="IXM14:IXP14"/>
    <mergeCell ref="IXQ14:IXT14"/>
    <mergeCell ref="IXU14:IXX14"/>
    <mergeCell ref="IXY14:IYB14"/>
    <mergeCell ref="IYC14:IYF14"/>
    <mergeCell ref="IYG14:IYJ14"/>
    <mergeCell ref="IWO14:IWR14"/>
    <mergeCell ref="IWS14:IWV14"/>
    <mergeCell ref="IWW14:IWZ14"/>
    <mergeCell ref="IXA14:IXD14"/>
    <mergeCell ref="IXE14:IXH14"/>
    <mergeCell ref="IXI14:IXL14"/>
    <mergeCell ref="IVQ14:IVT14"/>
    <mergeCell ref="IVU14:IVX14"/>
    <mergeCell ref="IVY14:IWB14"/>
    <mergeCell ref="IWC14:IWF14"/>
    <mergeCell ref="IWG14:IWJ14"/>
    <mergeCell ref="IWK14:IWN14"/>
    <mergeCell ref="JAG14:JAJ14"/>
    <mergeCell ref="JAK14:JAN14"/>
    <mergeCell ref="JAO14:JAR14"/>
    <mergeCell ref="JAS14:JAV14"/>
    <mergeCell ref="JAW14:JAZ14"/>
    <mergeCell ref="JBA14:JBD14"/>
    <mergeCell ref="IZI14:IZL14"/>
    <mergeCell ref="IZM14:IZP14"/>
    <mergeCell ref="IZQ14:IZT14"/>
    <mergeCell ref="IZU14:IZX14"/>
    <mergeCell ref="IZY14:JAB14"/>
    <mergeCell ref="JAC14:JAF14"/>
    <mergeCell ref="IYK14:IYN14"/>
    <mergeCell ref="IYO14:IYR14"/>
    <mergeCell ref="IYS14:IYV14"/>
    <mergeCell ref="IYW14:IYZ14"/>
    <mergeCell ref="IZA14:IZD14"/>
    <mergeCell ref="IZE14:IZH14"/>
    <mergeCell ref="JDA14:JDD14"/>
    <mergeCell ref="JDE14:JDH14"/>
    <mergeCell ref="JDI14:JDL14"/>
    <mergeCell ref="JDM14:JDP14"/>
    <mergeCell ref="JDQ14:JDT14"/>
    <mergeCell ref="JDU14:JDX14"/>
    <mergeCell ref="JCC14:JCF14"/>
    <mergeCell ref="JCG14:JCJ14"/>
    <mergeCell ref="JCK14:JCN14"/>
    <mergeCell ref="JCO14:JCR14"/>
    <mergeCell ref="JCS14:JCV14"/>
    <mergeCell ref="JCW14:JCZ14"/>
    <mergeCell ref="JBE14:JBH14"/>
    <mergeCell ref="JBI14:JBL14"/>
    <mergeCell ref="JBM14:JBP14"/>
    <mergeCell ref="JBQ14:JBT14"/>
    <mergeCell ref="JBU14:JBX14"/>
    <mergeCell ref="JBY14:JCB14"/>
    <mergeCell ref="JFU14:JFX14"/>
    <mergeCell ref="JFY14:JGB14"/>
    <mergeCell ref="JGC14:JGF14"/>
    <mergeCell ref="JGG14:JGJ14"/>
    <mergeCell ref="JGK14:JGN14"/>
    <mergeCell ref="JGO14:JGR14"/>
    <mergeCell ref="JEW14:JEZ14"/>
    <mergeCell ref="JFA14:JFD14"/>
    <mergeCell ref="JFE14:JFH14"/>
    <mergeCell ref="JFI14:JFL14"/>
    <mergeCell ref="JFM14:JFP14"/>
    <mergeCell ref="JFQ14:JFT14"/>
    <mergeCell ref="JDY14:JEB14"/>
    <mergeCell ref="JEC14:JEF14"/>
    <mergeCell ref="JEG14:JEJ14"/>
    <mergeCell ref="JEK14:JEN14"/>
    <mergeCell ref="JEO14:JER14"/>
    <mergeCell ref="JES14:JEV14"/>
    <mergeCell ref="JIO14:JIR14"/>
    <mergeCell ref="JIS14:JIV14"/>
    <mergeCell ref="JIW14:JIZ14"/>
    <mergeCell ref="JJA14:JJD14"/>
    <mergeCell ref="JJE14:JJH14"/>
    <mergeCell ref="JJI14:JJL14"/>
    <mergeCell ref="JHQ14:JHT14"/>
    <mergeCell ref="JHU14:JHX14"/>
    <mergeCell ref="JHY14:JIB14"/>
    <mergeCell ref="JIC14:JIF14"/>
    <mergeCell ref="JIG14:JIJ14"/>
    <mergeCell ref="JIK14:JIN14"/>
    <mergeCell ref="JGS14:JGV14"/>
    <mergeCell ref="JGW14:JGZ14"/>
    <mergeCell ref="JHA14:JHD14"/>
    <mergeCell ref="JHE14:JHH14"/>
    <mergeCell ref="JHI14:JHL14"/>
    <mergeCell ref="JHM14:JHP14"/>
    <mergeCell ref="JLI14:JLL14"/>
    <mergeCell ref="JLM14:JLP14"/>
    <mergeCell ref="JLQ14:JLT14"/>
    <mergeCell ref="JLU14:JLX14"/>
    <mergeCell ref="JLY14:JMB14"/>
    <mergeCell ref="JMC14:JMF14"/>
    <mergeCell ref="JKK14:JKN14"/>
    <mergeCell ref="JKO14:JKR14"/>
    <mergeCell ref="JKS14:JKV14"/>
    <mergeCell ref="JKW14:JKZ14"/>
    <mergeCell ref="JLA14:JLD14"/>
    <mergeCell ref="JLE14:JLH14"/>
    <mergeCell ref="JJM14:JJP14"/>
    <mergeCell ref="JJQ14:JJT14"/>
    <mergeCell ref="JJU14:JJX14"/>
    <mergeCell ref="JJY14:JKB14"/>
    <mergeCell ref="JKC14:JKF14"/>
    <mergeCell ref="JKG14:JKJ14"/>
    <mergeCell ref="JOC14:JOF14"/>
    <mergeCell ref="JOG14:JOJ14"/>
    <mergeCell ref="JOK14:JON14"/>
    <mergeCell ref="JOO14:JOR14"/>
    <mergeCell ref="JOS14:JOV14"/>
    <mergeCell ref="JOW14:JOZ14"/>
    <mergeCell ref="JNE14:JNH14"/>
    <mergeCell ref="JNI14:JNL14"/>
    <mergeCell ref="JNM14:JNP14"/>
    <mergeCell ref="JNQ14:JNT14"/>
    <mergeCell ref="JNU14:JNX14"/>
    <mergeCell ref="JNY14:JOB14"/>
    <mergeCell ref="JMG14:JMJ14"/>
    <mergeCell ref="JMK14:JMN14"/>
    <mergeCell ref="JMO14:JMR14"/>
    <mergeCell ref="JMS14:JMV14"/>
    <mergeCell ref="JMW14:JMZ14"/>
    <mergeCell ref="JNA14:JND14"/>
    <mergeCell ref="JQW14:JQZ14"/>
    <mergeCell ref="JRA14:JRD14"/>
    <mergeCell ref="JRE14:JRH14"/>
    <mergeCell ref="JRI14:JRL14"/>
    <mergeCell ref="JRM14:JRP14"/>
    <mergeCell ref="JRQ14:JRT14"/>
    <mergeCell ref="JPY14:JQB14"/>
    <mergeCell ref="JQC14:JQF14"/>
    <mergeCell ref="JQG14:JQJ14"/>
    <mergeCell ref="JQK14:JQN14"/>
    <mergeCell ref="JQO14:JQR14"/>
    <mergeCell ref="JQS14:JQV14"/>
    <mergeCell ref="JPA14:JPD14"/>
    <mergeCell ref="JPE14:JPH14"/>
    <mergeCell ref="JPI14:JPL14"/>
    <mergeCell ref="JPM14:JPP14"/>
    <mergeCell ref="JPQ14:JPT14"/>
    <mergeCell ref="JPU14:JPX14"/>
    <mergeCell ref="JTQ14:JTT14"/>
    <mergeCell ref="JTU14:JTX14"/>
    <mergeCell ref="JTY14:JUB14"/>
    <mergeCell ref="JUC14:JUF14"/>
    <mergeCell ref="JUG14:JUJ14"/>
    <mergeCell ref="JUK14:JUN14"/>
    <mergeCell ref="JSS14:JSV14"/>
    <mergeCell ref="JSW14:JSZ14"/>
    <mergeCell ref="JTA14:JTD14"/>
    <mergeCell ref="JTE14:JTH14"/>
    <mergeCell ref="JTI14:JTL14"/>
    <mergeCell ref="JTM14:JTP14"/>
    <mergeCell ref="JRU14:JRX14"/>
    <mergeCell ref="JRY14:JSB14"/>
    <mergeCell ref="JSC14:JSF14"/>
    <mergeCell ref="JSG14:JSJ14"/>
    <mergeCell ref="JSK14:JSN14"/>
    <mergeCell ref="JSO14:JSR14"/>
    <mergeCell ref="JWK14:JWN14"/>
    <mergeCell ref="JWO14:JWR14"/>
    <mergeCell ref="JWS14:JWV14"/>
    <mergeCell ref="JWW14:JWZ14"/>
    <mergeCell ref="JXA14:JXD14"/>
    <mergeCell ref="JXE14:JXH14"/>
    <mergeCell ref="JVM14:JVP14"/>
    <mergeCell ref="JVQ14:JVT14"/>
    <mergeCell ref="JVU14:JVX14"/>
    <mergeCell ref="JVY14:JWB14"/>
    <mergeCell ref="JWC14:JWF14"/>
    <mergeCell ref="JWG14:JWJ14"/>
    <mergeCell ref="JUO14:JUR14"/>
    <mergeCell ref="JUS14:JUV14"/>
    <mergeCell ref="JUW14:JUZ14"/>
    <mergeCell ref="JVA14:JVD14"/>
    <mergeCell ref="JVE14:JVH14"/>
    <mergeCell ref="JVI14:JVL14"/>
    <mergeCell ref="JZE14:JZH14"/>
    <mergeCell ref="JZI14:JZL14"/>
    <mergeCell ref="JZM14:JZP14"/>
    <mergeCell ref="JZQ14:JZT14"/>
    <mergeCell ref="JZU14:JZX14"/>
    <mergeCell ref="JZY14:KAB14"/>
    <mergeCell ref="JYG14:JYJ14"/>
    <mergeCell ref="JYK14:JYN14"/>
    <mergeCell ref="JYO14:JYR14"/>
    <mergeCell ref="JYS14:JYV14"/>
    <mergeCell ref="JYW14:JYZ14"/>
    <mergeCell ref="JZA14:JZD14"/>
    <mergeCell ref="JXI14:JXL14"/>
    <mergeCell ref="JXM14:JXP14"/>
    <mergeCell ref="JXQ14:JXT14"/>
    <mergeCell ref="JXU14:JXX14"/>
    <mergeCell ref="JXY14:JYB14"/>
    <mergeCell ref="JYC14:JYF14"/>
    <mergeCell ref="KBY14:KCB14"/>
    <mergeCell ref="KCC14:KCF14"/>
    <mergeCell ref="KCG14:KCJ14"/>
    <mergeCell ref="KCK14:KCN14"/>
    <mergeCell ref="KCO14:KCR14"/>
    <mergeCell ref="KCS14:KCV14"/>
    <mergeCell ref="KBA14:KBD14"/>
    <mergeCell ref="KBE14:KBH14"/>
    <mergeCell ref="KBI14:KBL14"/>
    <mergeCell ref="KBM14:KBP14"/>
    <mergeCell ref="KBQ14:KBT14"/>
    <mergeCell ref="KBU14:KBX14"/>
    <mergeCell ref="KAC14:KAF14"/>
    <mergeCell ref="KAG14:KAJ14"/>
    <mergeCell ref="KAK14:KAN14"/>
    <mergeCell ref="KAO14:KAR14"/>
    <mergeCell ref="KAS14:KAV14"/>
    <mergeCell ref="KAW14:KAZ14"/>
    <mergeCell ref="KES14:KEV14"/>
    <mergeCell ref="KEW14:KEZ14"/>
    <mergeCell ref="KFA14:KFD14"/>
    <mergeCell ref="KFE14:KFH14"/>
    <mergeCell ref="KFI14:KFL14"/>
    <mergeCell ref="KFM14:KFP14"/>
    <mergeCell ref="KDU14:KDX14"/>
    <mergeCell ref="KDY14:KEB14"/>
    <mergeCell ref="KEC14:KEF14"/>
    <mergeCell ref="KEG14:KEJ14"/>
    <mergeCell ref="KEK14:KEN14"/>
    <mergeCell ref="KEO14:KER14"/>
    <mergeCell ref="KCW14:KCZ14"/>
    <mergeCell ref="KDA14:KDD14"/>
    <mergeCell ref="KDE14:KDH14"/>
    <mergeCell ref="KDI14:KDL14"/>
    <mergeCell ref="KDM14:KDP14"/>
    <mergeCell ref="KDQ14:KDT14"/>
    <mergeCell ref="KHM14:KHP14"/>
    <mergeCell ref="KHQ14:KHT14"/>
    <mergeCell ref="KHU14:KHX14"/>
    <mergeCell ref="KHY14:KIB14"/>
    <mergeCell ref="KIC14:KIF14"/>
    <mergeCell ref="KIG14:KIJ14"/>
    <mergeCell ref="KGO14:KGR14"/>
    <mergeCell ref="KGS14:KGV14"/>
    <mergeCell ref="KGW14:KGZ14"/>
    <mergeCell ref="KHA14:KHD14"/>
    <mergeCell ref="KHE14:KHH14"/>
    <mergeCell ref="KHI14:KHL14"/>
    <mergeCell ref="KFQ14:KFT14"/>
    <mergeCell ref="KFU14:KFX14"/>
    <mergeCell ref="KFY14:KGB14"/>
    <mergeCell ref="KGC14:KGF14"/>
    <mergeCell ref="KGG14:KGJ14"/>
    <mergeCell ref="KGK14:KGN14"/>
    <mergeCell ref="KKG14:KKJ14"/>
    <mergeCell ref="KKK14:KKN14"/>
    <mergeCell ref="KKO14:KKR14"/>
    <mergeCell ref="KKS14:KKV14"/>
    <mergeCell ref="KKW14:KKZ14"/>
    <mergeCell ref="KLA14:KLD14"/>
    <mergeCell ref="KJI14:KJL14"/>
    <mergeCell ref="KJM14:KJP14"/>
    <mergeCell ref="KJQ14:KJT14"/>
    <mergeCell ref="KJU14:KJX14"/>
    <mergeCell ref="KJY14:KKB14"/>
    <mergeCell ref="KKC14:KKF14"/>
    <mergeCell ref="KIK14:KIN14"/>
    <mergeCell ref="KIO14:KIR14"/>
    <mergeCell ref="KIS14:KIV14"/>
    <mergeCell ref="KIW14:KIZ14"/>
    <mergeCell ref="KJA14:KJD14"/>
    <mergeCell ref="KJE14:KJH14"/>
    <mergeCell ref="KNA14:KND14"/>
    <mergeCell ref="KNE14:KNH14"/>
    <mergeCell ref="KNI14:KNL14"/>
    <mergeCell ref="KNM14:KNP14"/>
    <mergeCell ref="KNQ14:KNT14"/>
    <mergeCell ref="KNU14:KNX14"/>
    <mergeCell ref="KMC14:KMF14"/>
    <mergeCell ref="KMG14:KMJ14"/>
    <mergeCell ref="KMK14:KMN14"/>
    <mergeCell ref="KMO14:KMR14"/>
    <mergeCell ref="KMS14:KMV14"/>
    <mergeCell ref="KMW14:KMZ14"/>
    <mergeCell ref="KLE14:KLH14"/>
    <mergeCell ref="KLI14:KLL14"/>
    <mergeCell ref="KLM14:KLP14"/>
    <mergeCell ref="KLQ14:KLT14"/>
    <mergeCell ref="KLU14:KLX14"/>
    <mergeCell ref="KLY14:KMB14"/>
    <mergeCell ref="KPU14:KPX14"/>
    <mergeCell ref="KPY14:KQB14"/>
    <mergeCell ref="KQC14:KQF14"/>
    <mergeCell ref="KQG14:KQJ14"/>
    <mergeCell ref="KQK14:KQN14"/>
    <mergeCell ref="KQO14:KQR14"/>
    <mergeCell ref="KOW14:KOZ14"/>
    <mergeCell ref="KPA14:KPD14"/>
    <mergeCell ref="KPE14:KPH14"/>
    <mergeCell ref="KPI14:KPL14"/>
    <mergeCell ref="KPM14:KPP14"/>
    <mergeCell ref="KPQ14:KPT14"/>
    <mergeCell ref="KNY14:KOB14"/>
    <mergeCell ref="KOC14:KOF14"/>
    <mergeCell ref="KOG14:KOJ14"/>
    <mergeCell ref="KOK14:KON14"/>
    <mergeCell ref="KOO14:KOR14"/>
    <mergeCell ref="KOS14:KOV14"/>
    <mergeCell ref="KSO14:KSR14"/>
    <mergeCell ref="KSS14:KSV14"/>
    <mergeCell ref="KSW14:KSZ14"/>
    <mergeCell ref="KTA14:KTD14"/>
    <mergeCell ref="KTE14:KTH14"/>
    <mergeCell ref="KTI14:KTL14"/>
    <mergeCell ref="KRQ14:KRT14"/>
    <mergeCell ref="KRU14:KRX14"/>
    <mergeCell ref="KRY14:KSB14"/>
    <mergeCell ref="KSC14:KSF14"/>
    <mergeCell ref="KSG14:KSJ14"/>
    <mergeCell ref="KSK14:KSN14"/>
    <mergeCell ref="KQS14:KQV14"/>
    <mergeCell ref="KQW14:KQZ14"/>
    <mergeCell ref="KRA14:KRD14"/>
    <mergeCell ref="KRE14:KRH14"/>
    <mergeCell ref="KRI14:KRL14"/>
    <mergeCell ref="KRM14:KRP14"/>
    <mergeCell ref="KVI14:KVL14"/>
    <mergeCell ref="KVM14:KVP14"/>
    <mergeCell ref="KVQ14:KVT14"/>
    <mergeCell ref="KVU14:KVX14"/>
    <mergeCell ref="KVY14:KWB14"/>
    <mergeCell ref="KWC14:KWF14"/>
    <mergeCell ref="KUK14:KUN14"/>
    <mergeCell ref="KUO14:KUR14"/>
    <mergeCell ref="KUS14:KUV14"/>
    <mergeCell ref="KUW14:KUZ14"/>
    <mergeCell ref="KVA14:KVD14"/>
    <mergeCell ref="KVE14:KVH14"/>
    <mergeCell ref="KTM14:KTP14"/>
    <mergeCell ref="KTQ14:KTT14"/>
    <mergeCell ref="KTU14:KTX14"/>
    <mergeCell ref="KTY14:KUB14"/>
    <mergeCell ref="KUC14:KUF14"/>
    <mergeCell ref="KUG14:KUJ14"/>
    <mergeCell ref="KYC14:KYF14"/>
    <mergeCell ref="KYG14:KYJ14"/>
    <mergeCell ref="KYK14:KYN14"/>
    <mergeCell ref="KYO14:KYR14"/>
    <mergeCell ref="KYS14:KYV14"/>
    <mergeCell ref="KYW14:KYZ14"/>
    <mergeCell ref="KXE14:KXH14"/>
    <mergeCell ref="KXI14:KXL14"/>
    <mergeCell ref="KXM14:KXP14"/>
    <mergeCell ref="KXQ14:KXT14"/>
    <mergeCell ref="KXU14:KXX14"/>
    <mergeCell ref="KXY14:KYB14"/>
    <mergeCell ref="KWG14:KWJ14"/>
    <mergeCell ref="KWK14:KWN14"/>
    <mergeCell ref="KWO14:KWR14"/>
    <mergeCell ref="KWS14:KWV14"/>
    <mergeCell ref="KWW14:KWZ14"/>
    <mergeCell ref="KXA14:KXD14"/>
    <mergeCell ref="LAW14:LAZ14"/>
    <mergeCell ref="LBA14:LBD14"/>
    <mergeCell ref="LBE14:LBH14"/>
    <mergeCell ref="LBI14:LBL14"/>
    <mergeCell ref="LBM14:LBP14"/>
    <mergeCell ref="LBQ14:LBT14"/>
    <mergeCell ref="KZY14:LAB14"/>
    <mergeCell ref="LAC14:LAF14"/>
    <mergeCell ref="LAG14:LAJ14"/>
    <mergeCell ref="LAK14:LAN14"/>
    <mergeCell ref="LAO14:LAR14"/>
    <mergeCell ref="LAS14:LAV14"/>
    <mergeCell ref="KZA14:KZD14"/>
    <mergeCell ref="KZE14:KZH14"/>
    <mergeCell ref="KZI14:KZL14"/>
    <mergeCell ref="KZM14:KZP14"/>
    <mergeCell ref="KZQ14:KZT14"/>
    <mergeCell ref="KZU14:KZX14"/>
    <mergeCell ref="LDQ14:LDT14"/>
    <mergeCell ref="LDU14:LDX14"/>
    <mergeCell ref="LDY14:LEB14"/>
    <mergeCell ref="LEC14:LEF14"/>
    <mergeCell ref="LEG14:LEJ14"/>
    <mergeCell ref="LEK14:LEN14"/>
    <mergeCell ref="LCS14:LCV14"/>
    <mergeCell ref="LCW14:LCZ14"/>
    <mergeCell ref="LDA14:LDD14"/>
    <mergeCell ref="LDE14:LDH14"/>
    <mergeCell ref="LDI14:LDL14"/>
    <mergeCell ref="LDM14:LDP14"/>
    <mergeCell ref="LBU14:LBX14"/>
    <mergeCell ref="LBY14:LCB14"/>
    <mergeCell ref="LCC14:LCF14"/>
    <mergeCell ref="LCG14:LCJ14"/>
    <mergeCell ref="LCK14:LCN14"/>
    <mergeCell ref="LCO14:LCR14"/>
    <mergeCell ref="LGK14:LGN14"/>
    <mergeCell ref="LGO14:LGR14"/>
    <mergeCell ref="LGS14:LGV14"/>
    <mergeCell ref="LGW14:LGZ14"/>
    <mergeCell ref="LHA14:LHD14"/>
    <mergeCell ref="LHE14:LHH14"/>
    <mergeCell ref="LFM14:LFP14"/>
    <mergeCell ref="LFQ14:LFT14"/>
    <mergeCell ref="LFU14:LFX14"/>
    <mergeCell ref="LFY14:LGB14"/>
    <mergeCell ref="LGC14:LGF14"/>
    <mergeCell ref="LGG14:LGJ14"/>
    <mergeCell ref="LEO14:LER14"/>
    <mergeCell ref="LES14:LEV14"/>
    <mergeCell ref="LEW14:LEZ14"/>
    <mergeCell ref="LFA14:LFD14"/>
    <mergeCell ref="LFE14:LFH14"/>
    <mergeCell ref="LFI14:LFL14"/>
    <mergeCell ref="LJE14:LJH14"/>
    <mergeCell ref="LJI14:LJL14"/>
    <mergeCell ref="LJM14:LJP14"/>
    <mergeCell ref="LJQ14:LJT14"/>
    <mergeCell ref="LJU14:LJX14"/>
    <mergeCell ref="LJY14:LKB14"/>
    <mergeCell ref="LIG14:LIJ14"/>
    <mergeCell ref="LIK14:LIN14"/>
    <mergeCell ref="LIO14:LIR14"/>
    <mergeCell ref="LIS14:LIV14"/>
    <mergeCell ref="LIW14:LIZ14"/>
    <mergeCell ref="LJA14:LJD14"/>
    <mergeCell ref="LHI14:LHL14"/>
    <mergeCell ref="LHM14:LHP14"/>
    <mergeCell ref="LHQ14:LHT14"/>
    <mergeCell ref="LHU14:LHX14"/>
    <mergeCell ref="LHY14:LIB14"/>
    <mergeCell ref="LIC14:LIF14"/>
    <mergeCell ref="LLY14:LMB14"/>
    <mergeCell ref="LMC14:LMF14"/>
    <mergeCell ref="LMG14:LMJ14"/>
    <mergeCell ref="LMK14:LMN14"/>
    <mergeCell ref="LMO14:LMR14"/>
    <mergeCell ref="LMS14:LMV14"/>
    <mergeCell ref="LLA14:LLD14"/>
    <mergeCell ref="LLE14:LLH14"/>
    <mergeCell ref="LLI14:LLL14"/>
    <mergeCell ref="LLM14:LLP14"/>
    <mergeCell ref="LLQ14:LLT14"/>
    <mergeCell ref="LLU14:LLX14"/>
    <mergeCell ref="LKC14:LKF14"/>
    <mergeCell ref="LKG14:LKJ14"/>
    <mergeCell ref="LKK14:LKN14"/>
    <mergeCell ref="LKO14:LKR14"/>
    <mergeCell ref="LKS14:LKV14"/>
    <mergeCell ref="LKW14:LKZ14"/>
    <mergeCell ref="LOS14:LOV14"/>
    <mergeCell ref="LOW14:LOZ14"/>
    <mergeCell ref="LPA14:LPD14"/>
    <mergeCell ref="LPE14:LPH14"/>
    <mergeCell ref="LPI14:LPL14"/>
    <mergeCell ref="LPM14:LPP14"/>
    <mergeCell ref="LNU14:LNX14"/>
    <mergeCell ref="LNY14:LOB14"/>
    <mergeCell ref="LOC14:LOF14"/>
    <mergeCell ref="LOG14:LOJ14"/>
    <mergeCell ref="LOK14:LON14"/>
    <mergeCell ref="LOO14:LOR14"/>
    <mergeCell ref="LMW14:LMZ14"/>
    <mergeCell ref="LNA14:LND14"/>
    <mergeCell ref="LNE14:LNH14"/>
    <mergeCell ref="LNI14:LNL14"/>
    <mergeCell ref="LNM14:LNP14"/>
    <mergeCell ref="LNQ14:LNT14"/>
    <mergeCell ref="LRM14:LRP14"/>
    <mergeCell ref="LRQ14:LRT14"/>
    <mergeCell ref="LRU14:LRX14"/>
    <mergeCell ref="LRY14:LSB14"/>
    <mergeCell ref="LSC14:LSF14"/>
    <mergeCell ref="LSG14:LSJ14"/>
    <mergeCell ref="LQO14:LQR14"/>
    <mergeCell ref="LQS14:LQV14"/>
    <mergeCell ref="LQW14:LQZ14"/>
    <mergeCell ref="LRA14:LRD14"/>
    <mergeCell ref="LRE14:LRH14"/>
    <mergeCell ref="LRI14:LRL14"/>
    <mergeCell ref="LPQ14:LPT14"/>
    <mergeCell ref="LPU14:LPX14"/>
    <mergeCell ref="LPY14:LQB14"/>
    <mergeCell ref="LQC14:LQF14"/>
    <mergeCell ref="LQG14:LQJ14"/>
    <mergeCell ref="LQK14:LQN14"/>
    <mergeCell ref="LUG14:LUJ14"/>
    <mergeCell ref="LUK14:LUN14"/>
    <mergeCell ref="LUO14:LUR14"/>
    <mergeCell ref="LUS14:LUV14"/>
    <mergeCell ref="LUW14:LUZ14"/>
    <mergeCell ref="LVA14:LVD14"/>
    <mergeCell ref="LTI14:LTL14"/>
    <mergeCell ref="LTM14:LTP14"/>
    <mergeCell ref="LTQ14:LTT14"/>
    <mergeCell ref="LTU14:LTX14"/>
    <mergeCell ref="LTY14:LUB14"/>
    <mergeCell ref="LUC14:LUF14"/>
    <mergeCell ref="LSK14:LSN14"/>
    <mergeCell ref="LSO14:LSR14"/>
    <mergeCell ref="LSS14:LSV14"/>
    <mergeCell ref="LSW14:LSZ14"/>
    <mergeCell ref="LTA14:LTD14"/>
    <mergeCell ref="LTE14:LTH14"/>
    <mergeCell ref="LXA14:LXD14"/>
    <mergeCell ref="LXE14:LXH14"/>
    <mergeCell ref="LXI14:LXL14"/>
    <mergeCell ref="LXM14:LXP14"/>
    <mergeCell ref="LXQ14:LXT14"/>
    <mergeCell ref="LXU14:LXX14"/>
    <mergeCell ref="LWC14:LWF14"/>
    <mergeCell ref="LWG14:LWJ14"/>
    <mergeCell ref="LWK14:LWN14"/>
    <mergeCell ref="LWO14:LWR14"/>
    <mergeCell ref="LWS14:LWV14"/>
    <mergeCell ref="LWW14:LWZ14"/>
    <mergeCell ref="LVE14:LVH14"/>
    <mergeCell ref="LVI14:LVL14"/>
    <mergeCell ref="LVM14:LVP14"/>
    <mergeCell ref="LVQ14:LVT14"/>
    <mergeCell ref="LVU14:LVX14"/>
    <mergeCell ref="LVY14:LWB14"/>
    <mergeCell ref="LZU14:LZX14"/>
    <mergeCell ref="LZY14:MAB14"/>
    <mergeCell ref="MAC14:MAF14"/>
    <mergeCell ref="MAG14:MAJ14"/>
    <mergeCell ref="MAK14:MAN14"/>
    <mergeCell ref="MAO14:MAR14"/>
    <mergeCell ref="LYW14:LYZ14"/>
    <mergeCell ref="LZA14:LZD14"/>
    <mergeCell ref="LZE14:LZH14"/>
    <mergeCell ref="LZI14:LZL14"/>
    <mergeCell ref="LZM14:LZP14"/>
    <mergeCell ref="LZQ14:LZT14"/>
    <mergeCell ref="LXY14:LYB14"/>
    <mergeCell ref="LYC14:LYF14"/>
    <mergeCell ref="LYG14:LYJ14"/>
    <mergeCell ref="LYK14:LYN14"/>
    <mergeCell ref="LYO14:LYR14"/>
    <mergeCell ref="LYS14:LYV14"/>
    <mergeCell ref="MCO14:MCR14"/>
    <mergeCell ref="MCS14:MCV14"/>
    <mergeCell ref="MCW14:MCZ14"/>
    <mergeCell ref="MDA14:MDD14"/>
    <mergeCell ref="MDE14:MDH14"/>
    <mergeCell ref="MDI14:MDL14"/>
    <mergeCell ref="MBQ14:MBT14"/>
    <mergeCell ref="MBU14:MBX14"/>
    <mergeCell ref="MBY14:MCB14"/>
    <mergeCell ref="MCC14:MCF14"/>
    <mergeCell ref="MCG14:MCJ14"/>
    <mergeCell ref="MCK14:MCN14"/>
    <mergeCell ref="MAS14:MAV14"/>
    <mergeCell ref="MAW14:MAZ14"/>
    <mergeCell ref="MBA14:MBD14"/>
    <mergeCell ref="MBE14:MBH14"/>
    <mergeCell ref="MBI14:MBL14"/>
    <mergeCell ref="MBM14:MBP14"/>
    <mergeCell ref="MFI14:MFL14"/>
    <mergeCell ref="MFM14:MFP14"/>
    <mergeCell ref="MFQ14:MFT14"/>
    <mergeCell ref="MFU14:MFX14"/>
    <mergeCell ref="MFY14:MGB14"/>
    <mergeCell ref="MGC14:MGF14"/>
    <mergeCell ref="MEK14:MEN14"/>
    <mergeCell ref="MEO14:MER14"/>
    <mergeCell ref="MES14:MEV14"/>
    <mergeCell ref="MEW14:MEZ14"/>
    <mergeCell ref="MFA14:MFD14"/>
    <mergeCell ref="MFE14:MFH14"/>
    <mergeCell ref="MDM14:MDP14"/>
    <mergeCell ref="MDQ14:MDT14"/>
    <mergeCell ref="MDU14:MDX14"/>
    <mergeCell ref="MDY14:MEB14"/>
    <mergeCell ref="MEC14:MEF14"/>
    <mergeCell ref="MEG14:MEJ14"/>
    <mergeCell ref="MIC14:MIF14"/>
    <mergeCell ref="MIG14:MIJ14"/>
    <mergeCell ref="MIK14:MIN14"/>
    <mergeCell ref="MIO14:MIR14"/>
    <mergeCell ref="MIS14:MIV14"/>
    <mergeCell ref="MIW14:MIZ14"/>
    <mergeCell ref="MHE14:MHH14"/>
    <mergeCell ref="MHI14:MHL14"/>
    <mergeCell ref="MHM14:MHP14"/>
    <mergeCell ref="MHQ14:MHT14"/>
    <mergeCell ref="MHU14:MHX14"/>
    <mergeCell ref="MHY14:MIB14"/>
    <mergeCell ref="MGG14:MGJ14"/>
    <mergeCell ref="MGK14:MGN14"/>
    <mergeCell ref="MGO14:MGR14"/>
    <mergeCell ref="MGS14:MGV14"/>
    <mergeCell ref="MGW14:MGZ14"/>
    <mergeCell ref="MHA14:MHD14"/>
    <mergeCell ref="MKW14:MKZ14"/>
    <mergeCell ref="MLA14:MLD14"/>
    <mergeCell ref="MLE14:MLH14"/>
    <mergeCell ref="MLI14:MLL14"/>
    <mergeCell ref="MLM14:MLP14"/>
    <mergeCell ref="MLQ14:MLT14"/>
    <mergeCell ref="MJY14:MKB14"/>
    <mergeCell ref="MKC14:MKF14"/>
    <mergeCell ref="MKG14:MKJ14"/>
    <mergeCell ref="MKK14:MKN14"/>
    <mergeCell ref="MKO14:MKR14"/>
    <mergeCell ref="MKS14:MKV14"/>
    <mergeCell ref="MJA14:MJD14"/>
    <mergeCell ref="MJE14:MJH14"/>
    <mergeCell ref="MJI14:MJL14"/>
    <mergeCell ref="MJM14:MJP14"/>
    <mergeCell ref="MJQ14:MJT14"/>
    <mergeCell ref="MJU14:MJX14"/>
    <mergeCell ref="MNQ14:MNT14"/>
    <mergeCell ref="MNU14:MNX14"/>
    <mergeCell ref="MNY14:MOB14"/>
    <mergeCell ref="MOC14:MOF14"/>
    <mergeCell ref="MOG14:MOJ14"/>
    <mergeCell ref="MOK14:MON14"/>
    <mergeCell ref="MMS14:MMV14"/>
    <mergeCell ref="MMW14:MMZ14"/>
    <mergeCell ref="MNA14:MND14"/>
    <mergeCell ref="MNE14:MNH14"/>
    <mergeCell ref="MNI14:MNL14"/>
    <mergeCell ref="MNM14:MNP14"/>
    <mergeCell ref="MLU14:MLX14"/>
    <mergeCell ref="MLY14:MMB14"/>
    <mergeCell ref="MMC14:MMF14"/>
    <mergeCell ref="MMG14:MMJ14"/>
    <mergeCell ref="MMK14:MMN14"/>
    <mergeCell ref="MMO14:MMR14"/>
    <mergeCell ref="MQK14:MQN14"/>
    <mergeCell ref="MQO14:MQR14"/>
    <mergeCell ref="MQS14:MQV14"/>
    <mergeCell ref="MQW14:MQZ14"/>
    <mergeCell ref="MRA14:MRD14"/>
    <mergeCell ref="MRE14:MRH14"/>
    <mergeCell ref="MPM14:MPP14"/>
    <mergeCell ref="MPQ14:MPT14"/>
    <mergeCell ref="MPU14:MPX14"/>
    <mergeCell ref="MPY14:MQB14"/>
    <mergeCell ref="MQC14:MQF14"/>
    <mergeCell ref="MQG14:MQJ14"/>
    <mergeCell ref="MOO14:MOR14"/>
    <mergeCell ref="MOS14:MOV14"/>
    <mergeCell ref="MOW14:MOZ14"/>
    <mergeCell ref="MPA14:MPD14"/>
    <mergeCell ref="MPE14:MPH14"/>
    <mergeCell ref="MPI14:MPL14"/>
    <mergeCell ref="MTE14:MTH14"/>
    <mergeCell ref="MTI14:MTL14"/>
    <mergeCell ref="MTM14:MTP14"/>
    <mergeCell ref="MTQ14:MTT14"/>
    <mergeCell ref="MTU14:MTX14"/>
    <mergeCell ref="MTY14:MUB14"/>
    <mergeCell ref="MSG14:MSJ14"/>
    <mergeCell ref="MSK14:MSN14"/>
    <mergeCell ref="MSO14:MSR14"/>
    <mergeCell ref="MSS14:MSV14"/>
    <mergeCell ref="MSW14:MSZ14"/>
    <mergeCell ref="MTA14:MTD14"/>
    <mergeCell ref="MRI14:MRL14"/>
    <mergeCell ref="MRM14:MRP14"/>
    <mergeCell ref="MRQ14:MRT14"/>
    <mergeCell ref="MRU14:MRX14"/>
    <mergeCell ref="MRY14:MSB14"/>
    <mergeCell ref="MSC14:MSF14"/>
    <mergeCell ref="MVY14:MWB14"/>
    <mergeCell ref="MWC14:MWF14"/>
    <mergeCell ref="MWG14:MWJ14"/>
    <mergeCell ref="MWK14:MWN14"/>
    <mergeCell ref="MWO14:MWR14"/>
    <mergeCell ref="MWS14:MWV14"/>
    <mergeCell ref="MVA14:MVD14"/>
    <mergeCell ref="MVE14:MVH14"/>
    <mergeCell ref="MVI14:MVL14"/>
    <mergeCell ref="MVM14:MVP14"/>
    <mergeCell ref="MVQ14:MVT14"/>
    <mergeCell ref="MVU14:MVX14"/>
    <mergeCell ref="MUC14:MUF14"/>
    <mergeCell ref="MUG14:MUJ14"/>
    <mergeCell ref="MUK14:MUN14"/>
    <mergeCell ref="MUO14:MUR14"/>
    <mergeCell ref="MUS14:MUV14"/>
    <mergeCell ref="MUW14:MUZ14"/>
    <mergeCell ref="MYS14:MYV14"/>
    <mergeCell ref="MYW14:MYZ14"/>
    <mergeCell ref="MZA14:MZD14"/>
    <mergeCell ref="MZE14:MZH14"/>
    <mergeCell ref="MZI14:MZL14"/>
    <mergeCell ref="MZM14:MZP14"/>
    <mergeCell ref="MXU14:MXX14"/>
    <mergeCell ref="MXY14:MYB14"/>
    <mergeCell ref="MYC14:MYF14"/>
    <mergeCell ref="MYG14:MYJ14"/>
    <mergeCell ref="MYK14:MYN14"/>
    <mergeCell ref="MYO14:MYR14"/>
    <mergeCell ref="MWW14:MWZ14"/>
    <mergeCell ref="MXA14:MXD14"/>
    <mergeCell ref="MXE14:MXH14"/>
    <mergeCell ref="MXI14:MXL14"/>
    <mergeCell ref="MXM14:MXP14"/>
    <mergeCell ref="MXQ14:MXT14"/>
    <mergeCell ref="NBM14:NBP14"/>
    <mergeCell ref="NBQ14:NBT14"/>
    <mergeCell ref="NBU14:NBX14"/>
    <mergeCell ref="NBY14:NCB14"/>
    <mergeCell ref="NCC14:NCF14"/>
    <mergeCell ref="NCG14:NCJ14"/>
    <mergeCell ref="NAO14:NAR14"/>
    <mergeCell ref="NAS14:NAV14"/>
    <mergeCell ref="NAW14:NAZ14"/>
    <mergeCell ref="NBA14:NBD14"/>
    <mergeCell ref="NBE14:NBH14"/>
    <mergeCell ref="NBI14:NBL14"/>
    <mergeCell ref="MZQ14:MZT14"/>
    <mergeCell ref="MZU14:MZX14"/>
    <mergeCell ref="MZY14:NAB14"/>
    <mergeCell ref="NAC14:NAF14"/>
    <mergeCell ref="NAG14:NAJ14"/>
    <mergeCell ref="NAK14:NAN14"/>
    <mergeCell ref="NEG14:NEJ14"/>
    <mergeCell ref="NEK14:NEN14"/>
    <mergeCell ref="NEO14:NER14"/>
    <mergeCell ref="NES14:NEV14"/>
    <mergeCell ref="NEW14:NEZ14"/>
    <mergeCell ref="NFA14:NFD14"/>
    <mergeCell ref="NDI14:NDL14"/>
    <mergeCell ref="NDM14:NDP14"/>
    <mergeCell ref="NDQ14:NDT14"/>
    <mergeCell ref="NDU14:NDX14"/>
    <mergeCell ref="NDY14:NEB14"/>
    <mergeCell ref="NEC14:NEF14"/>
    <mergeCell ref="NCK14:NCN14"/>
    <mergeCell ref="NCO14:NCR14"/>
    <mergeCell ref="NCS14:NCV14"/>
    <mergeCell ref="NCW14:NCZ14"/>
    <mergeCell ref="NDA14:NDD14"/>
    <mergeCell ref="NDE14:NDH14"/>
    <mergeCell ref="NHA14:NHD14"/>
    <mergeCell ref="NHE14:NHH14"/>
    <mergeCell ref="NHI14:NHL14"/>
    <mergeCell ref="NHM14:NHP14"/>
    <mergeCell ref="NHQ14:NHT14"/>
    <mergeCell ref="NHU14:NHX14"/>
    <mergeCell ref="NGC14:NGF14"/>
    <mergeCell ref="NGG14:NGJ14"/>
    <mergeCell ref="NGK14:NGN14"/>
    <mergeCell ref="NGO14:NGR14"/>
    <mergeCell ref="NGS14:NGV14"/>
    <mergeCell ref="NGW14:NGZ14"/>
    <mergeCell ref="NFE14:NFH14"/>
    <mergeCell ref="NFI14:NFL14"/>
    <mergeCell ref="NFM14:NFP14"/>
    <mergeCell ref="NFQ14:NFT14"/>
    <mergeCell ref="NFU14:NFX14"/>
    <mergeCell ref="NFY14:NGB14"/>
    <mergeCell ref="NJU14:NJX14"/>
    <mergeCell ref="NJY14:NKB14"/>
    <mergeCell ref="NKC14:NKF14"/>
    <mergeCell ref="NKG14:NKJ14"/>
    <mergeCell ref="NKK14:NKN14"/>
    <mergeCell ref="NKO14:NKR14"/>
    <mergeCell ref="NIW14:NIZ14"/>
    <mergeCell ref="NJA14:NJD14"/>
    <mergeCell ref="NJE14:NJH14"/>
    <mergeCell ref="NJI14:NJL14"/>
    <mergeCell ref="NJM14:NJP14"/>
    <mergeCell ref="NJQ14:NJT14"/>
    <mergeCell ref="NHY14:NIB14"/>
    <mergeCell ref="NIC14:NIF14"/>
    <mergeCell ref="NIG14:NIJ14"/>
    <mergeCell ref="NIK14:NIN14"/>
    <mergeCell ref="NIO14:NIR14"/>
    <mergeCell ref="NIS14:NIV14"/>
    <mergeCell ref="NMO14:NMR14"/>
    <mergeCell ref="NMS14:NMV14"/>
    <mergeCell ref="NMW14:NMZ14"/>
    <mergeCell ref="NNA14:NND14"/>
    <mergeCell ref="NNE14:NNH14"/>
    <mergeCell ref="NNI14:NNL14"/>
    <mergeCell ref="NLQ14:NLT14"/>
    <mergeCell ref="NLU14:NLX14"/>
    <mergeCell ref="NLY14:NMB14"/>
    <mergeCell ref="NMC14:NMF14"/>
    <mergeCell ref="NMG14:NMJ14"/>
    <mergeCell ref="NMK14:NMN14"/>
    <mergeCell ref="NKS14:NKV14"/>
    <mergeCell ref="NKW14:NKZ14"/>
    <mergeCell ref="NLA14:NLD14"/>
    <mergeCell ref="NLE14:NLH14"/>
    <mergeCell ref="NLI14:NLL14"/>
    <mergeCell ref="NLM14:NLP14"/>
    <mergeCell ref="NPI14:NPL14"/>
    <mergeCell ref="NPM14:NPP14"/>
    <mergeCell ref="NPQ14:NPT14"/>
    <mergeCell ref="NPU14:NPX14"/>
    <mergeCell ref="NPY14:NQB14"/>
    <mergeCell ref="NQC14:NQF14"/>
    <mergeCell ref="NOK14:NON14"/>
    <mergeCell ref="NOO14:NOR14"/>
    <mergeCell ref="NOS14:NOV14"/>
    <mergeCell ref="NOW14:NOZ14"/>
    <mergeCell ref="NPA14:NPD14"/>
    <mergeCell ref="NPE14:NPH14"/>
    <mergeCell ref="NNM14:NNP14"/>
    <mergeCell ref="NNQ14:NNT14"/>
    <mergeCell ref="NNU14:NNX14"/>
    <mergeCell ref="NNY14:NOB14"/>
    <mergeCell ref="NOC14:NOF14"/>
    <mergeCell ref="NOG14:NOJ14"/>
    <mergeCell ref="NSC14:NSF14"/>
    <mergeCell ref="NSG14:NSJ14"/>
    <mergeCell ref="NSK14:NSN14"/>
    <mergeCell ref="NSO14:NSR14"/>
    <mergeCell ref="NSS14:NSV14"/>
    <mergeCell ref="NSW14:NSZ14"/>
    <mergeCell ref="NRE14:NRH14"/>
    <mergeCell ref="NRI14:NRL14"/>
    <mergeCell ref="NRM14:NRP14"/>
    <mergeCell ref="NRQ14:NRT14"/>
    <mergeCell ref="NRU14:NRX14"/>
    <mergeCell ref="NRY14:NSB14"/>
    <mergeCell ref="NQG14:NQJ14"/>
    <mergeCell ref="NQK14:NQN14"/>
    <mergeCell ref="NQO14:NQR14"/>
    <mergeCell ref="NQS14:NQV14"/>
    <mergeCell ref="NQW14:NQZ14"/>
    <mergeCell ref="NRA14:NRD14"/>
    <mergeCell ref="NUW14:NUZ14"/>
    <mergeCell ref="NVA14:NVD14"/>
    <mergeCell ref="NVE14:NVH14"/>
    <mergeCell ref="NVI14:NVL14"/>
    <mergeCell ref="NVM14:NVP14"/>
    <mergeCell ref="NVQ14:NVT14"/>
    <mergeCell ref="NTY14:NUB14"/>
    <mergeCell ref="NUC14:NUF14"/>
    <mergeCell ref="NUG14:NUJ14"/>
    <mergeCell ref="NUK14:NUN14"/>
    <mergeCell ref="NUO14:NUR14"/>
    <mergeCell ref="NUS14:NUV14"/>
    <mergeCell ref="NTA14:NTD14"/>
    <mergeCell ref="NTE14:NTH14"/>
    <mergeCell ref="NTI14:NTL14"/>
    <mergeCell ref="NTM14:NTP14"/>
    <mergeCell ref="NTQ14:NTT14"/>
    <mergeCell ref="NTU14:NTX14"/>
    <mergeCell ref="NXQ14:NXT14"/>
    <mergeCell ref="NXU14:NXX14"/>
    <mergeCell ref="NXY14:NYB14"/>
    <mergeCell ref="NYC14:NYF14"/>
    <mergeCell ref="NYG14:NYJ14"/>
    <mergeCell ref="NYK14:NYN14"/>
    <mergeCell ref="NWS14:NWV14"/>
    <mergeCell ref="NWW14:NWZ14"/>
    <mergeCell ref="NXA14:NXD14"/>
    <mergeCell ref="NXE14:NXH14"/>
    <mergeCell ref="NXI14:NXL14"/>
    <mergeCell ref="NXM14:NXP14"/>
    <mergeCell ref="NVU14:NVX14"/>
    <mergeCell ref="NVY14:NWB14"/>
    <mergeCell ref="NWC14:NWF14"/>
    <mergeCell ref="NWG14:NWJ14"/>
    <mergeCell ref="NWK14:NWN14"/>
    <mergeCell ref="NWO14:NWR14"/>
    <mergeCell ref="OAK14:OAN14"/>
    <mergeCell ref="OAO14:OAR14"/>
    <mergeCell ref="OAS14:OAV14"/>
    <mergeCell ref="OAW14:OAZ14"/>
    <mergeCell ref="OBA14:OBD14"/>
    <mergeCell ref="OBE14:OBH14"/>
    <mergeCell ref="NZM14:NZP14"/>
    <mergeCell ref="NZQ14:NZT14"/>
    <mergeCell ref="NZU14:NZX14"/>
    <mergeCell ref="NZY14:OAB14"/>
    <mergeCell ref="OAC14:OAF14"/>
    <mergeCell ref="OAG14:OAJ14"/>
    <mergeCell ref="NYO14:NYR14"/>
    <mergeCell ref="NYS14:NYV14"/>
    <mergeCell ref="NYW14:NYZ14"/>
    <mergeCell ref="NZA14:NZD14"/>
    <mergeCell ref="NZE14:NZH14"/>
    <mergeCell ref="NZI14:NZL14"/>
    <mergeCell ref="ODE14:ODH14"/>
    <mergeCell ref="ODI14:ODL14"/>
    <mergeCell ref="ODM14:ODP14"/>
    <mergeCell ref="ODQ14:ODT14"/>
    <mergeCell ref="ODU14:ODX14"/>
    <mergeCell ref="ODY14:OEB14"/>
    <mergeCell ref="OCG14:OCJ14"/>
    <mergeCell ref="OCK14:OCN14"/>
    <mergeCell ref="OCO14:OCR14"/>
    <mergeCell ref="OCS14:OCV14"/>
    <mergeCell ref="OCW14:OCZ14"/>
    <mergeCell ref="ODA14:ODD14"/>
    <mergeCell ref="OBI14:OBL14"/>
    <mergeCell ref="OBM14:OBP14"/>
    <mergeCell ref="OBQ14:OBT14"/>
    <mergeCell ref="OBU14:OBX14"/>
    <mergeCell ref="OBY14:OCB14"/>
    <mergeCell ref="OCC14:OCF14"/>
    <mergeCell ref="OFY14:OGB14"/>
    <mergeCell ref="OGC14:OGF14"/>
    <mergeCell ref="OGG14:OGJ14"/>
    <mergeCell ref="OGK14:OGN14"/>
    <mergeCell ref="OGO14:OGR14"/>
    <mergeCell ref="OGS14:OGV14"/>
    <mergeCell ref="OFA14:OFD14"/>
    <mergeCell ref="OFE14:OFH14"/>
    <mergeCell ref="OFI14:OFL14"/>
    <mergeCell ref="OFM14:OFP14"/>
    <mergeCell ref="OFQ14:OFT14"/>
    <mergeCell ref="OFU14:OFX14"/>
    <mergeCell ref="OEC14:OEF14"/>
    <mergeCell ref="OEG14:OEJ14"/>
    <mergeCell ref="OEK14:OEN14"/>
    <mergeCell ref="OEO14:OER14"/>
    <mergeCell ref="OES14:OEV14"/>
    <mergeCell ref="OEW14:OEZ14"/>
    <mergeCell ref="OIS14:OIV14"/>
    <mergeCell ref="OIW14:OIZ14"/>
    <mergeCell ref="OJA14:OJD14"/>
    <mergeCell ref="OJE14:OJH14"/>
    <mergeCell ref="OJI14:OJL14"/>
    <mergeCell ref="OJM14:OJP14"/>
    <mergeCell ref="OHU14:OHX14"/>
    <mergeCell ref="OHY14:OIB14"/>
    <mergeCell ref="OIC14:OIF14"/>
    <mergeCell ref="OIG14:OIJ14"/>
    <mergeCell ref="OIK14:OIN14"/>
    <mergeCell ref="OIO14:OIR14"/>
    <mergeCell ref="OGW14:OGZ14"/>
    <mergeCell ref="OHA14:OHD14"/>
    <mergeCell ref="OHE14:OHH14"/>
    <mergeCell ref="OHI14:OHL14"/>
    <mergeCell ref="OHM14:OHP14"/>
    <mergeCell ref="OHQ14:OHT14"/>
    <mergeCell ref="OLM14:OLP14"/>
    <mergeCell ref="OLQ14:OLT14"/>
    <mergeCell ref="OLU14:OLX14"/>
    <mergeCell ref="OLY14:OMB14"/>
    <mergeCell ref="OMC14:OMF14"/>
    <mergeCell ref="OMG14:OMJ14"/>
    <mergeCell ref="OKO14:OKR14"/>
    <mergeCell ref="OKS14:OKV14"/>
    <mergeCell ref="OKW14:OKZ14"/>
    <mergeCell ref="OLA14:OLD14"/>
    <mergeCell ref="OLE14:OLH14"/>
    <mergeCell ref="OLI14:OLL14"/>
    <mergeCell ref="OJQ14:OJT14"/>
    <mergeCell ref="OJU14:OJX14"/>
    <mergeCell ref="OJY14:OKB14"/>
    <mergeCell ref="OKC14:OKF14"/>
    <mergeCell ref="OKG14:OKJ14"/>
    <mergeCell ref="OKK14:OKN14"/>
    <mergeCell ref="OOG14:OOJ14"/>
    <mergeCell ref="OOK14:OON14"/>
    <mergeCell ref="OOO14:OOR14"/>
    <mergeCell ref="OOS14:OOV14"/>
    <mergeCell ref="OOW14:OOZ14"/>
    <mergeCell ref="OPA14:OPD14"/>
    <mergeCell ref="ONI14:ONL14"/>
    <mergeCell ref="ONM14:ONP14"/>
    <mergeCell ref="ONQ14:ONT14"/>
    <mergeCell ref="ONU14:ONX14"/>
    <mergeCell ref="ONY14:OOB14"/>
    <mergeCell ref="OOC14:OOF14"/>
    <mergeCell ref="OMK14:OMN14"/>
    <mergeCell ref="OMO14:OMR14"/>
    <mergeCell ref="OMS14:OMV14"/>
    <mergeCell ref="OMW14:OMZ14"/>
    <mergeCell ref="ONA14:OND14"/>
    <mergeCell ref="ONE14:ONH14"/>
    <mergeCell ref="ORA14:ORD14"/>
    <mergeCell ref="ORE14:ORH14"/>
    <mergeCell ref="ORI14:ORL14"/>
    <mergeCell ref="ORM14:ORP14"/>
    <mergeCell ref="ORQ14:ORT14"/>
    <mergeCell ref="ORU14:ORX14"/>
    <mergeCell ref="OQC14:OQF14"/>
    <mergeCell ref="OQG14:OQJ14"/>
    <mergeCell ref="OQK14:OQN14"/>
    <mergeCell ref="OQO14:OQR14"/>
    <mergeCell ref="OQS14:OQV14"/>
    <mergeCell ref="OQW14:OQZ14"/>
    <mergeCell ref="OPE14:OPH14"/>
    <mergeCell ref="OPI14:OPL14"/>
    <mergeCell ref="OPM14:OPP14"/>
    <mergeCell ref="OPQ14:OPT14"/>
    <mergeCell ref="OPU14:OPX14"/>
    <mergeCell ref="OPY14:OQB14"/>
    <mergeCell ref="OTU14:OTX14"/>
    <mergeCell ref="OTY14:OUB14"/>
    <mergeCell ref="OUC14:OUF14"/>
    <mergeCell ref="OUG14:OUJ14"/>
    <mergeCell ref="OUK14:OUN14"/>
    <mergeCell ref="OUO14:OUR14"/>
    <mergeCell ref="OSW14:OSZ14"/>
    <mergeCell ref="OTA14:OTD14"/>
    <mergeCell ref="OTE14:OTH14"/>
    <mergeCell ref="OTI14:OTL14"/>
    <mergeCell ref="OTM14:OTP14"/>
    <mergeCell ref="OTQ14:OTT14"/>
    <mergeCell ref="ORY14:OSB14"/>
    <mergeCell ref="OSC14:OSF14"/>
    <mergeCell ref="OSG14:OSJ14"/>
    <mergeCell ref="OSK14:OSN14"/>
    <mergeCell ref="OSO14:OSR14"/>
    <mergeCell ref="OSS14:OSV14"/>
    <mergeCell ref="OWO14:OWR14"/>
    <mergeCell ref="OWS14:OWV14"/>
    <mergeCell ref="OWW14:OWZ14"/>
    <mergeCell ref="OXA14:OXD14"/>
    <mergeCell ref="OXE14:OXH14"/>
    <mergeCell ref="OXI14:OXL14"/>
    <mergeCell ref="OVQ14:OVT14"/>
    <mergeCell ref="OVU14:OVX14"/>
    <mergeCell ref="OVY14:OWB14"/>
    <mergeCell ref="OWC14:OWF14"/>
    <mergeCell ref="OWG14:OWJ14"/>
    <mergeCell ref="OWK14:OWN14"/>
    <mergeCell ref="OUS14:OUV14"/>
    <mergeCell ref="OUW14:OUZ14"/>
    <mergeCell ref="OVA14:OVD14"/>
    <mergeCell ref="OVE14:OVH14"/>
    <mergeCell ref="OVI14:OVL14"/>
    <mergeCell ref="OVM14:OVP14"/>
    <mergeCell ref="OZI14:OZL14"/>
    <mergeCell ref="OZM14:OZP14"/>
    <mergeCell ref="OZQ14:OZT14"/>
    <mergeCell ref="OZU14:OZX14"/>
    <mergeCell ref="OZY14:PAB14"/>
    <mergeCell ref="PAC14:PAF14"/>
    <mergeCell ref="OYK14:OYN14"/>
    <mergeCell ref="OYO14:OYR14"/>
    <mergeCell ref="OYS14:OYV14"/>
    <mergeCell ref="OYW14:OYZ14"/>
    <mergeCell ref="OZA14:OZD14"/>
    <mergeCell ref="OZE14:OZH14"/>
    <mergeCell ref="OXM14:OXP14"/>
    <mergeCell ref="OXQ14:OXT14"/>
    <mergeCell ref="OXU14:OXX14"/>
    <mergeCell ref="OXY14:OYB14"/>
    <mergeCell ref="OYC14:OYF14"/>
    <mergeCell ref="OYG14:OYJ14"/>
    <mergeCell ref="PCC14:PCF14"/>
    <mergeCell ref="PCG14:PCJ14"/>
    <mergeCell ref="PCK14:PCN14"/>
    <mergeCell ref="PCO14:PCR14"/>
    <mergeCell ref="PCS14:PCV14"/>
    <mergeCell ref="PCW14:PCZ14"/>
    <mergeCell ref="PBE14:PBH14"/>
    <mergeCell ref="PBI14:PBL14"/>
    <mergeCell ref="PBM14:PBP14"/>
    <mergeCell ref="PBQ14:PBT14"/>
    <mergeCell ref="PBU14:PBX14"/>
    <mergeCell ref="PBY14:PCB14"/>
    <mergeCell ref="PAG14:PAJ14"/>
    <mergeCell ref="PAK14:PAN14"/>
    <mergeCell ref="PAO14:PAR14"/>
    <mergeCell ref="PAS14:PAV14"/>
    <mergeCell ref="PAW14:PAZ14"/>
    <mergeCell ref="PBA14:PBD14"/>
    <mergeCell ref="PEW14:PEZ14"/>
    <mergeCell ref="PFA14:PFD14"/>
    <mergeCell ref="PFE14:PFH14"/>
    <mergeCell ref="PFI14:PFL14"/>
    <mergeCell ref="PFM14:PFP14"/>
    <mergeCell ref="PFQ14:PFT14"/>
    <mergeCell ref="PDY14:PEB14"/>
    <mergeCell ref="PEC14:PEF14"/>
    <mergeCell ref="PEG14:PEJ14"/>
    <mergeCell ref="PEK14:PEN14"/>
    <mergeCell ref="PEO14:PER14"/>
    <mergeCell ref="PES14:PEV14"/>
    <mergeCell ref="PDA14:PDD14"/>
    <mergeCell ref="PDE14:PDH14"/>
    <mergeCell ref="PDI14:PDL14"/>
    <mergeCell ref="PDM14:PDP14"/>
    <mergeCell ref="PDQ14:PDT14"/>
    <mergeCell ref="PDU14:PDX14"/>
    <mergeCell ref="PHQ14:PHT14"/>
    <mergeCell ref="PHU14:PHX14"/>
    <mergeCell ref="PHY14:PIB14"/>
    <mergeCell ref="PIC14:PIF14"/>
    <mergeCell ref="PIG14:PIJ14"/>
    <mergeCell ref="PIK14:PIN14"/>
    <mergeCell ref="PGS14:PGV14"/>
    <mergeCell ref="PGW14:PGZ14"/>
    <mergeCell ref="PHA14:PHD14"/>
    <mergeCell ref="PHE14:PHH14"/>
    <mergeCell ref="PHI14:PHL14"/>
    <mergeCell ref="PHM14:PHP14"/>
    <mergeCell ref="PFU14:PFX14"/>
    <mergeCell ref="PFY14:PGB14"/>
    <mergeCell ref="PGC14:PGF14"/>
    <mergeCell ref="PGG14:PGJ14"/>
    <mergeCell ref="PGK14:PGN14"/>
    <mergeCell ref="PGO14:PGR14"/>
    <mergeCell ref="PKK14:PKN14"/>
    <mergeCell ref="PKO14:PKR14"/>
    <mergeCell ref="PKS14:PKV14"/>
    <mergeCell ref="PKW14:PKZ14"/>
    <mergeCell ref="PLA14:PLD14"/>
    <mergeCell ref="PLE14:PLH14"/>
    <mergeCell ref="PJM14:PJP14"/>
    <mergeCell ref="PJQ14:PJT14"/>
    <mergeCell ref="PJU14:PJX14"/>
    <mergeCell ref="PJY14:PKB14"/>
    <mergeCell ref="PKC14:PKF14"/>
    <mergeCell ref="PKG14:PKJ14"/>
    <mergeCell ref="PIO14:PIR14"/>
    <mergeCell ref="PIS14:PIV14"/>
    <mergeCell ref="PIW14:PIZ14"/>
    <mergeCell ref="PJA14:PJD14"/>
    <mergeCell ref="PJE14:PJH14"/>
    <mergeCell ref="PJI14:PJL14"/>
    <mergeCell ref="PNE14:PNH14"/>
    <mergeCell ref="PNI14:PNL14"/>
    <mergeCell ref="PNM14:PNP14"/>
    <mergeCell ref="PNQ14:PNT14"/>
    <mergeCell ref="PNU14:PNX14"/>
    <mergeCell ref="PNY14:POB14"/>
    <mergeCell ref="PMG14:PMJ14"/>
    <mergeCell ref="PMK14:PMN14"/>
    <mergeCell ref="PMO14:PMR14"/>
    <mergeCell ref="PMS14:PMV14"/>
    <mergeCell ref="PMW14:PMZ14"/>
    <mergeCell ref="PNA14:PND14"/>
    <mergeCell ref="PLI14:PLL14"/>
    <mergeCell ref="PLM14:PLP14"/>
    <mergeCell ref="PLQ14:PLT14"/>
    <mergeCell ref="PLU14:PLX14"/>
    <mergeCell ref="PLY14:PMB14"/>
    <mergeCell ref="PMC14:PMF14"/>
    <mergeCell ref="PPY14:PQB14"/>
    <mergeCell ref="PQC14:PQF14"/>
    <mergeCell ref="PQG14:PQJ14"/>
    <mergeCell ref="PQK14:PQN14"/>
    <mergeCell ref="PQO14:PQR14"/>
    <mergeCell ref="PQS14:PQV14"/>
    <mergeCell ref="PPA14:PPD14"/>
    <mergeCell ref="PPE14:PPH14"/>
    <mergeCell ref="PPI14:PPL14"/>
    <mergeCell ref="PPM14:PPP14"/>
    <mergeCell ref="PPQ14:PPT14"/>
    <mergeCell ref="PPU14:PPX14"/>
    <mergeCell ref="POC14:POF14"/>
    <mergeCell ref="POG14:POJ14"/>
    <mergeCell ref="POK14:PON14"/>
    <mergeCell ref="POO14:POR14"/>
    <mergeCell ref="POS14:POV14"/>
    <mergeCell ref="POW14:POZ14"/>
    <mergeCell ref="PSS14:PSV14"/>
    <mergeCell ref="PSW14:PSZ14"/>
    <mergeCell ref="PTA14:PTD14"/>
    <mergeCell ref="PTE14:PTH14"/>
    <mergeCell ref="PTI14:PTL14"/>
    <mergeCell ref="PTM14:PTP14"/>
    <mergeCell ref="PRU14:PRX14"/>
    <mergeCell ref="PRY14:PSB14"/>
    <mergeCell ref="PSC14:PSF14"/>
    <mergeCell ref="PSG14:PSJ14"/>
    <mergeCell ref="PSK14:PSN14"/>
    <mergeCell ref="PSO14:PSR14"/>
    <mergeCell ref="PQW14:PQZ14"/>
    <mergeCell ref="PRA14:PRD14"/>
    <mergeCell ref="PRE14:PRH14"/>
    <mergeCell ref="PRI14:PRL14"/>
    <mergeCell ref="PRM14:PRP14"/>
    <mergeCell ref="PRQ14:PRT14"/>
    <mergeCell ref="PVM14:PVP14"/>
    <mergeCell ref="PVQ14:PVT14"/>
    <mergeCell ref="PVU14:PVX14"/>
    <mergeCell ref="PVY14:PWB14"/>
    <mergeCell ref="PWC14:PWF14"/>
    <mergeCell ref="PWG14:PWJ14"/>
    <mergeCell ref="PUO14:PUR14"/>
    <mergeCell ref="PUS14:PUV14"/>
    <mergeCell ref="PUW14:PUZ14"/>
    <mergeCell ref="PVA14:PVD14"/>
    <mergeCell ref="PVE14:PVH14"/>
    <mergeCell ref="PVI14:PVL14"/>
    <mergeCell ref="PTQ14:PTT14"/>
    <mergeCell ref="PTU14:PTX14"/>
    <mergeCell ref="PTY14:PUB14"/>
    <mergeCell ref="PUC14:PUF14"/>
    <mergeCell ref="PUG14:PUJ14"/>
    <mergeCell ref="PUK14:PUN14"/>
    <mergeCell ref="PYG14:PYJ14"/>
    <mergeCell ref="PYK14:PYN14"/>
    <mergeCell ref="PYO14:PYR14"/>
    <mergeCell ref="PYS14:PYV14"/>
    <mergeCell ref="PYW14:PYZ14"/>
    <mergeCell ref="PZA14:PZD14"/>
    <mergeCell ref="PXI14:PXL14"/>
    <mergeCell ref="PXM14:PXP14"/>
    <mergeCell ref="PXQ14:PXT14"/>
    <mergeCell ref="PXU14:PXX14"/>
    <mergeCell ref="PXY14:PYB14"/>
    <mergeCell ref="PYC14:PYF14"/>
    <mergeCell ref="PWK14:PWN14"/>
    <mergeCell ref="PWO14:PWR14"/>
    <mergeCell ref="PWS14:PWV14"/>
    <mergeCell ref="PWW14:PWZ14"/>
    <mergeCell ref="PXA14:PXD14"/>
    <mergeCell ref="PXE14:PXH14"/>
    <mergeCell ref="QBA14:QBD14"/>
    <mergeCell ref="QBE14:QBH14"/>
    <mergeCell ref="QBI14:QBL14"/>
    <mergeCell ref="QBM14:QBP14"/>
    <mergeCell ref="QBQ14:QBT14"/>
    <mergeCell ref="QBU14:QBX14"/>
    <mergeCell ref="QAC14:QAF14"/>
    <mergeCell ref="QAG14:QAJ14"/>
    <mergeCell ref="QAK14:QAN14"/>
    <mergeCell ref="QAO14:QAR14"/>
    <mergeCell ref="QAS14:QAV14"/>
    <mergeCell ref="QAW14:QAZ14"/>
    <mergeCell ref="PZE14:PZH14"/>
    <mergeCell ref="PZI14:PZL14"/>
    <mergeCell ref="PZM14:PZP14"/>
    <mergeCell ref="PZQ14:PZT14"/>
    <mergeCell ref="PZU14:PZX14"/>
    <mergeCell ref="PZY14:QAB14"/>
    <mergeCell ref="QDU14:QDX14"/>
    <mergeCell ref="QDY14:QEB14"/>
    <mergeCell ref="QEC14:QEF14"/>
    <mergeCell ref="QEG14:QEJ14"/>
    <mergeCell ref="QEK14:QEN14"/>
    <mergeCell ref="QEO14:QER14"/>
    <mergeCell ref="QCW14:QCZ14"/>
    <mergeCell ref="QDA14:QDD14"/>
    <mergeCell ref="QDE14:QDH14"/>
    <mergeCell ref="QDI14:QDL14"/>
    <mergeCell ref="QDM14:QDP14"/>
    <mergeCell ref="QDQ14:QDT14"/>
    <mergeCell ref="QBY14:QCB14"/>
    <mergeCell ref="QCC14:QCF14"/>
    <mergeCell ref="QCG14:QCJ14"/>
    <mergeCell ref="QCK14:QCN14"/>
    <mergeCell ref="QCO14:QCR14"/>
    <mergeCell ref="QCS14:QCV14"/>
    <mergeCell ref="QGO14:QGR14"/>
    <mergeCell ref="QGS14:QGV14"/>
    <mergeCell ref="QGW14:QGZ14"/>
    <mergeCell ref="QHA14:QHD14"/>
    <mergeCell ref="QHE14:QHH14"/>
    <mergeCell ref="QHI14:QHL14"/>
    <mergeCell ref="QFQ14:QFT14"/>
    <mergeCell ref="QFU14:QFX14"/>
    <mergeCell ref="QFY14:QGB14"/>
    <mergeCell ref="QGC14:QGF14"/>
    <mergeCell ref="QGG14:QGJ14"/>
    <mergeCell ref="QGK14:QGN14"/>
    <mergeCell ref="QES14:QEV14"/>
    <mergeCell ref="QEW14:QEZ14"/>
    <mergeCell ref="QFA14:QFD14"/>
    <mergeCell ref="QFE14:QFH14"/>
    <mergeCell ref="QFI14:QFL14"/>
    <mergeCell ref="QFM14:QFP14"/>
    <mergeCell ref="QJI14:QJL14"/>
    <mergeCell ref="QJM14:QJP14"/>
    <mergeCell ref="QJQ14:QJT14"/>
    <mergeCell ref="QJU14:QJX14"/>
    <mergeCell ref="QJY14:QKB14"/>
    <mergeCell ref="QKC14:QKF14"/>
    <mergeCell ref="QIK14:QIN14"/>
    <mergeCell ref="QIO14:QIR14"/>
    <mergeCell ref="QIS14:QIV14"/>
    <mergeCell ref="QIW14:QIZ14"/>
    <mergeCell ref="QJA14:QJD14"/>
    <mergeCell ref="QJE14:QJH14"/>
    <mergeCell ref="QHM14:QHP14"/>
    <mergeCell ref="QHQ14:QHT14"/>
    <mergeCell ref="QHU14:QHX14"/>
    <mergeCell ref="QHY14:QIB14"/>
    <mergeCell ref="QIC14:QIF14"/>
    <mergeCell ref="QIG14:QIJ14"/>
    <mergeCell ref="QMC14:QMF14"/>
    <mergeCell ref="QMG14:QMJ14"/>
    <mergeCell ref="QMK14:QMN14"/>
    <mergeCell ref="QMO14:QMR14"/>
    <mergeCell ref="QMS14:QMV14"/>
    <mergeCell ref="QMW14:QMZ14"/>
    <mergeCell ref="QLE14:QLH14"/>
    <mergeCell ref="QLI14:QLL14"/>
    <mergeCell ref="QLM14:QLP14"/>
    <mergeCell ref="QLQ14:QLT14"/>
    <mergeCell ref="QLU14:QLX14"/>
    <mergeCell ref="QLY14:QMB14"/>
    <mergeCell ref="QKG14:QKJ14"/>
    <mergeCell ref="QKK14:QKN14"/>
    <mergeCell ref="QKO14:QKR14"/>
    <mergeCell ref="QKS14:QKV14"/>
    <mergeCell ref="QKW14:QKZ14"/>
    <mergeCell ref="QLA14:QLD14"/>
    <mergeCell ref="QOW14:QOZ14"/>
    <mergeCell ref="QPA14:QPD14"/>
    <mergeCell ref="QPE14:QPH14"/>
    <mergeCell ref="QPI14:QPL14"/>
    <mergeCell ref="QPM14:QPP14"/>
    <mergeCell ref="QPQ14:QPT14"/>
    <mergeCell ref="QNY14:QOB14"/>
    <mergeCell ref="QOC14:QOF14"/>
    <mergeCell ref="QOG14:QOJ14"/>
    <mergeCell ref="QOK14:QON14"/>
    <mergeCell ref="QOO14:QOR14"/>
    <mergeCell ref="QOS14:QOV14"/>
    <mergeCell ref="QNA14:QND14"/>
    <mergeCell ref="QNE14:QNH14"/>
    <mergeCell ref="QNI14:QNL14"/>
    <mergeCell ref="QNM14:QNP14"/>
    <mergeCell ref="QNQ14:QNT14"/>
    <mergeCell ref="QNU14:QNX14"/>
    <mergeCell ref="QRQ14:QRT14"/>
    <mergeCell ref="QRU14:QRX14"/>
    <mergeCell ref="QRY14:QSB14"/>
    <mergeCell ref="QSC14:QSF14"/>
    <mergeCell ref="QSG14:QSJ14"/>
    <mergeCell ref="QSK14:QSN14"/>
    <mergeCell ref="QQS14:QQV14"/>
    <mergeCell ref="QQW14:QQZ14"/>
    <mergeCell ref="QRA14:QRD14"/>
    <mergeCell ref="QRE14:QRH14"/>
    <mergeCell ref="QRI14:QRL14"/>
    <mergeCell ref="QRM14:QRP14"/>
    <mergeCell ref="QPU14:QPX14"/>
    <mergeCell ref="QPY14:QQB14"/>
    <mergeCell ref="QQC14:QQF14"/>
    <mergeCell ref="QQG14:QQJ14"/>
    <mergeCell ref="QQK14:QQN14"/>
    <mergeCell ref="QQO14:QQR14"/>
    <mergeCell ref="QUK14:QUN14"/>
    <mergeCell ref="QUO14:QUR14"/>
    <mergeCell ref="QUS14:QUV14"/>
    <mergeCell ref="QUW14:QUZ14"/>
    <mergeCell ref="QVA14:QVD14"/>
    <mergeCell ref="QVE14:QVH14"/>
    <mergeCell ref="QTM14:QTP14"/>
    <mergeCell ref="QTQ14:QTT14"/>
    <mergeCell ref="QTU14:QTX14"/>
    <mergeCell ref="QTY14:QUB14"/>
    <mergeCell ref="QUC14:QUF14"/>
    <mergeCell ref="QUG14:QUJ14"/>
    <mergeCell ref="QSO14:QSR14"/>
    <mergeCell ref="QSS14:QSV14"/>
    <mergeCell ref="QSW14:QSZ14"/>
    <mergeCell ref="QTA14:QTD14"/>
    <mergeCell ref="QTE14:QTH14"/>
    <mergeCell ref="QTI14:QTL14"/>
    <mergeCell ref="QXE14:QXH14"/>
    <mergeCell ref="QXI14:QXL14"/>
    <mergeCell ref="QXM14:QXP14"/>
    <mergeCell ref="QXQ14:QXT14"/>
    <mergeCell ref="QXU14:QXX14"/>
    <mergeCell ref="QXY14:QYB14"/>
    <mergeCell ref="QWG14:QWJ14"/>
    <mergeCell ref="QWK14:QWN14"/>
    <mergeCell ref="QWO14:QWR14"/>
    <mergeCell ref="QWS14:QWV14"/>
    <mergeCell ref="QWW14:QWZ14"/>
    <mergeCell ref="QXA14:QXD14"/>
    <mergeCell ref="QVI14:QVL14"/>
    <mergeCell ref="QVM14:QVP14"/>
    <mergeCell ref="QVQ14:QVT14"/>
    <mergeCell ref="QVU14:QVX14"/>
    <mergeCell ref="QVY14:QWB14"/>
    <mergeCell ref="QWC14:QWF14"/>
    <mergeCell ref="QZY14:RAB14"/>
    <mergeCell ref="RAC14:RAF14"/>
    <mergeCell ref="RAG14:RAJ14"/>
    <mergeCell ref="RAK14:RAN14"/>
    <mergeCell ref="RAO14:RAR14"/>
    <mergeCell ref="RAS14:RAV14"/>
    <mergeCell ref="QZA14:QZD14"/>
    <mergeCell ref="QZE14:QZH14"/>
    <mergeCell ref="QZI14:QZL14"/>
    <mergeCell ref="QZM14:QZP14"/>
    <mergeCell ref="QZQ14:QZT14"/>
    <mergeCell ref="QZU14:QZX14"/>
    <mergeCell ref="QYC14:QYF14"/>
    <mergeCell ref="QYG14:QYJ14"/>
    <mergeCell ref="QYK14:QYN14"/>
    <mergeCell ref="QYO14:QYR14"/>
    <mergeCell ref="QYS14:QYV14"/>
    <mergeCell ref="QYW14:QYZ14"/>
    <mergeCell ref="RCS14:RCV14"/>
    <mergeCell ref="RCW14:RCZ14"/>
    <mergeCell ref="RDA14:RDD14"/>
    <mergeCell ref="RDE14:RDH14"/>
    <mergeCell ref="RDI14:RDL14"/>
    <mergeCell ref="RDM14:RDP14"/>
    <mergeCell ref="RBU14:RBX14"/>
    <mergeCell ref="RBY14:RCB14"/>
    <mergeCell ref="RCC14:RCF14"/>
    <mergeCell ref="RCG14:RCJ14"/>
    <mergeCell ref="RCK14:RCN14"/>
    <mergeCell ref="RCO14:RCR14"/>
    <mergeCell ref="RAW14:RAZ14"/>
    <mergeCell ref="RBA14:RBD14"/>
    <mergeCell ref="RBE14:RBH14"/>
    <mergeCell ref="RBI14:RBL14"/>
    <mergeCell ref="RBM14:RBP14"/>
    <mergeCell ref="RBQ14:RBT14"/>
    <mergeCell ref="RFM14:RFP14"/>
    <mergeCell ref="RFQ14:RFT14"/>
    <mergeCell ref="RFU14:RFX14"/>
    <mergeCell ref="RFY14:RGB14"/>
    <mergeCell ref="RGC14:RGF14"/>
    <mergeCell ref="RGG14:RGJ14"/>
    <mergeCell ref="REO14:RER14"/>
    <mergeCell ref="RES14:REV14"/>
    <mergeCell ref="REW14:REZ14"/>
    <mergeCell ref="RFA14:RFD14"/>
    <mergeCell ref="RFE14:RFH14"/>
    <mergeCell ref="RFI14:RFL14"/>
    <mergeCell ref="RDQ14:RDT14"/>
    <mergeCell ref="RDU14:RDX14"/>
    <mergeCell ref="RDY14:REB14"/>
    <mergeCell ref="REC14:REF14"/>
    <mergeCell ref="REG14:REJ14"/>
    <mergeCell ref="REK14:REN14"/>
    <mergeCell ref="RIG14:RIJ14"/>
    <mergeCell ref="RIK14:RIN14"/>
    <mergeCell ref="RIO14:RIR14"/>
    <mergeCell ref="RIS14:RIV14"/>
    <mergeCell ref="RIW14:RIZ14"/>
    <mergeCell ref="RJA14:RJD14"/>
    <mergeCell ref="RHI14:RHL14"/>
    <mergeCell ref="RHM14:RHP14"/>
    <mergeCell ref="RHQ14:RHT14"/>
    <mergeCell ref="RHU14:RHX14"/>
    <mergeCell ref="RHY14:RIB14"/>
    <mergeCell ref="RIC14:RIF14"/>
    <mergeCell ref="RGK14:RGN14"/>
    <mergeCell ref="RGO14:RGR14"/>
    <mergeCell ref="RGS14:RGV14"/>
    <mergeCell ref="RGW14:RGZ14"/>
    <mergeCell ref="RHA14:RHD14"/>
    <mergeCell ref="RHE14:RHH14"/>
    <mergeCell ref="RLA14:RLD14"/>
    <mergeCell ref="RLE14:RLH14"/>
    <mergeCell ref="RLI14:RLL14"/>
    <mergeCell ref="RLM14:RLP14"/>
    <mergeCell ref="RLQ14:RLT14"/>
    <mergeCell ref="RLU14:RLX14"/>
    <mergeCell ref="RKC14:RKF14"/>
    <mergeCell ref="RKG14:RKJ14"/>
    <mergeCell ref="RKK14:RKN14"/>
    <mergeCell ref="RKO14:RKR14"/>
    <mergeCell ref="RKS14:RKV14"/>
    <mergeCell ref="RKW14:RKZ14"/>
    <mergeCell ref="RJE14:RJH14"/>
    <mergeCell ref="RJI14:RJL14"/>
    <mergeCell ref="RJM14:RJP14"/>
    <mergeCell ref="RJQ14:RJT14"/>
    <mergeCell ref="RJU14:RJX14"/>
    <mergeCell ref="RJY14:RKB14"/>
    <mergeCell ref="RNU14:RNX14"/>
    <mergeCell ref="RNY14:ROB14"/>
    <mergeCell ref="ROC14:ROF14"/>
    <mergeCell ref="ROG14:ROJ14"/>
    <mergeCell ref="ROK14:RON14"/>
    <mergeCell ref="ROO14:ROR14"/>
    <mergeCell ref="RMW14:RMZ14"/>
    <mergeCell ref="RNA14:RND14"/>
    <mergeCell ref="RNE14:RNH14"/>
    <mergeCell ref="RNI14:RNL14"/>
    <mergeCell ref="RNM14:RNP14"/>
    <mergeCell ref="RNQ14:RNT14"/>
    <mergeCell ref="RLY14:RMB14"/>
    <mergeCell ref="RMC14:RMF14"/>
    <mergeCell ref="RMG14:RMJ14"/>
    <mergeCell ref="RMK14:RMN14"/>
    <mergeCell ref="RMO14:RMR14"/>
    <mergeCell ref="RMS14:RMV14"/>
    <mergeCell ref="RQO14:RQR14"/>
    <mergeCell ref="RQS14:RQV14"/>
    <mergeCell ref="RQW14:RQZ14"/>
    <mergeCell ref="RRA14:RRD14"/>
    <mergeCell ref="RRE14:RRH14"/>
    <mergeCell ref="RRI14:RRL14"/>
    <mergeCell ref="RPQ14:RPT14"/>
    <mergeCell ref="RPU14:RPX14"/>
    <mergeCell ref="RPY14:RQB14"/>
    <mergeCell ref="RQC14:RQF14"/>
    <mergeCell ref="RQG14:RQJ14"/>
    <mergeCell ref="RQK14:RQN14"/>
    <mergeCell ref="ROS14:ROV14"/>
    <mergeCell ref="ROW14:ROZ14"/>
    <mergeCell ref="RPA14:RPD14"/>
    <mergeCell ref="RPE14:RPH14"/>
    <mergeCell ref="RPI14:RPL14"/>
    <mergeCell ref="RPM14:RPP14"/>
    <mergeCell ref="RTI14:RTL14"/>
    <mergeCell ref="RTM14:RTP14"/>
    <mergeCell ref="RTQ14:RTT14"/>
    <mergeCell ref="RTU14:RTX14"/>
    <mergeCell ref="RTY14:RUB14"/>
    <mergeCell ref="RUC14:RUF14"/>
    <mergeCell ref="RSK14:RSN14"/>
    <mergeCell ref="RSO14:RSR14"/>
    <mergeCell ref="RSS14:RSV14"/>
    <mergeCell ref="RSW14:RSZ14"/>
    <mergeCell ref="RTA14:RTD14"/>
    <mergeCell ref="RTE14:RTH14"/>
    <mergeCell ref="RRM14:RRP14"/>
    <mergeCell ref="RRQ14:RRT14"/>
    <mergeCell ref="RRU14:RRX14"/>
    <mergeCell ref="RRY14:RSB14"/>
    <mergeCell ref="RSC14:RSF14"/>
    <mergeCell ref="RSG14:RSJ14"/>
    <mergeCell ref="RWC14:RWF14"/>
    <mergeCell ref="RWG14:RWJ14"/>
    <mergeCell ref="RWK14:RWN14"/>
    <mergeCell ref="RWO14:RWR14"/>
    <mergeCell ref="RWS14:RWV14"/>
    <mergeCell ref="RWW14:RWZ14"/>
    <mergeCell ref="RVE14:RVH14"/>
    <mergeCell ref="RVI14:RVL14"/>
    <mergeCell ref="RVM14:RVP14"/>
    <mergeCell ref="RVQ14:RVT14"/>
    <mergeCell ref="RVU14:RVX14"/>
    <mergeCell ref="RVY14:RWB14"/>
    <mergeCell ref="RUG14:RUJ14"/>
    <mergeCell ref="RUK14:RUN14"/>
    <mergeCell ref="RUO14:RUR14"/>
    <mergeCell ref="RUS14:RUV14"/>
    <mergeCell ref="RUW14:RUZ14"/>
    <mergeCell ref="RVA14:RVD14"/>
    <mergeCell ref="RYW14:RYZ14"/>
    <mergeCell ref="RZA14:RZD14"/>
    <mergeCell ref="RZE14:RZH14"/>
    <mergeCell ref="RZI14:RZL14"/>
    <mergeCell ref="RZM14:RZP14"/>
    <mergeCell ref="RZQ14:RZT14"/>
    <mergeCell ref="RXY14:RYB14"/>
    <mergeCell ref="RYC14:RYF14"/>
    <mergeCell ref="RYG14:RYJ14"/>
    <mergeCell ref="RYK14:RYN14"/>
    <mergeCell ref="RYO14:RYR14"/>
    <mergeCell ref="RYS14:RYV14"/>
    <mergeCell ref="RXA14:RXD14"/>
    <mergeCell ref="RXE14:RXH14"/>
    <mergeCell ref="RXI14:RXL14"/>
    <mergeCell ref="RXM14:RXP14"/>
    <mergeCell ref="RXQ14:RXT14"/>
    <mergeCell ref="RXU14:RXX14"/>
    <mergeCell ref="SBQ14:SBT14"/>
    <mergeCell ref="SBU14:SBX14"/>
    <mergeCell ref="SBY14:SCB14"/>
    <mergeCell ref="SCC14:SCF14"/>
    <mergeCell ref="SCG14:SCJ14"/>
    <mergeCell ref="SCK14:SCN14"/>
    <mergeCell ref="SAS14:SAV14"/>
    <mergeCell ref="SAW14:SAZ14"/>
    <mergeCell ref="SBA14:SBD14"/>
    <mergeCell ref="SBE14:SBH14"/>
    <mergeCell ref="SBI14:SBL14"/>
    <mergeCell ref="SBM14:SBP14"/>
    <mergeCell ref="RZU14:RZX14"/>
    <mergeCell ref="RZY14:SAB14"/>
    <mergeCell ref="SAC14:SAF14"/>
    <mergeCell ref="SAG14:SAJ14"/>
    <mergeCell ref="SAK14:SAN14"/>
    <mergeCell ref="SAO14:SAR14"/>
    <mergeCell ref="SEK14:SEN14"/>
    <mergeCell ref="SEO14:SER14"/>
    <mergeCell ref="SES14:SEV14"/>
    <mergeCell ref="SEW14:SEZ14"/>
    <mergeCell ref="SFA14:SFD14"/>
    <mergeCell ref="SFE14:SFH14"/>
    <mergeCell ref="SDM14:SDP14"/>
    <mergeCell ref="SDQ14:SDT14"/>
    <mergeCell ref="SDU14:SDX14"/>
    <mergeCell ref="SDY14:SEB14"/>
    <mergeCell ref="SEC14:SEF14"/>
    <mergeCell ref="SEG14:SEJ14"/>
    <mergeCell ref="SCO14:SCR14"/>
    <mergeCell ref="SCS14:SCV14"/>
    <mergeCell ref="SCW14:SCZ14"/>
    <mergeCell ref="SDA14:SDD14"/>
    <mergeCell ref="SDE14:SDH14"/>
    <mergeCell ref="SDI14:SDL14"/>
    <mergeCell ref="SHE14:SHH14"/>
    <mergeCell ref="SHI14:SHL14"/>
    <mergeCell ref="SHM14:SHP14"/>
    <mergeCell ref="SHQ14:SHT14"/>
    <mergeCell ref="SHU14:SHX14"/>
    <mergeCell ref="SHY14:SIB14"/>
    <mergeCell ref="SGG14:SGJ14"/>
    <mergeCell ref="SGK14:SGN14"/>
    <mergeCell ref="SGO14:SGR14"/>
    <mergeCell ref="SGS14:SGV14"/>
    <mergeCell ref="SGW14:SGZ14"/>
    <mergeCell ref="SHA14:SHD14"/>
    <mergeCell ref="SFI14:SFL14"/>
    <mergeCell ref="SFM14:SFP14"/>
    <mergeCell ref="SFQ14:SFT14"/>
    <mergeCell ref="SFU14:SFX14"/>
    <mergeCell ref="SFY14:SGB14"/>
    <mergeCell ref="SGC14:SGF14"/>
    <mergeCell ref="SJY14:SKB14"/>
    <mergeCell ref="SKC14:SKF14"/>
    <mergeCell ref="SKG14:SKJ14"/>
    <mergeCell ref="SKK14:SKN14"/>
    <mergeCell ref="SKO14:SKR14"/>
    <mergeCell ref="SKS14:SKV14"/>
    <mergeCell ref="SJA14:SJD14"/>
    <mergeCell ref="SJE14:SJH14"/>
    <mergeCell ref="SJI14:SJL14"/>
    <mergeCell ref="SJM14:SJP14"/>
    <mergeCell ref="SJQ14:SJT14"/>
    <mergeCell ref="SJU14:SJX14"/>
    <mergeCell ref="SIC14:SIF14"/>
    <mergeCell ref="SIG14:SIJ14"/>
    <mergeCell ref="SIK14:SIN14"/>
    <mergeCell ref="SIO14:SIR14"/>
    <mergeCell ref="SIS14:SIV14"/>
    <mergeCell ref="SIW14:SIZ14"/>
    <mergeCell ref="SMS14:SMV14"/>
    <mergeCell ref="SMW14:SMZ14"/>
    <mergeCell ref="SNA14:SND14"/>
    <mergeCell ref="SNE14:SNH14"/>
    <mergeCell ref="SNI14:SNL14"/>
    <mergeCell ref="SNM14:SNP14"/>
    <mergeCell ref="SLU14:SLX14"/>
    <mergeCell ref="SLY14:SMB14"/>
    <mergeCell ref="SMC14:SMF14"/>
    <mergeCell ref="SMG14:SMJ14"/>
    <mergeCell ref="SMK14:SMN14"/>
    <mergeCell ref="SMO14:SMR14"/>
    <mergeCell ref="SKW14:SKZ14"/>
    <mergeCell ref="SLA14:SLD14"/>
    <mergeCell ref="SLE14:SLH14"/>
    <mergeCell ref="SLI14:SLL14"/>
    <mergeCell ref="SLM14:SLP14"/>
    <mergeCell ref="SLQ14:SLT14"/>
    <mergeCell ref="SPM14:SPP14"/>
    <mergeCell ref="SPQ14:SPT14"/>
    <mergeCell ref="SPU14:SPX14"/>
    <mergeCell ref="SPY14:SQB14"/>
    <mergeCell ref="SQC14:SQF14"/>
    <mergeCell ref="SQG14:SQJ14"/>
    <mergeCell ref="SOO14:SOR14"/>
    <mergeCell ref="SOS14:SOV14"/>
    <mergeCell ref="SOW14:SOZ14"/>
    <mergeCell ref="SPA14:SPD14"/>
    <mergeCell ref="SPE14:SPH14"/>
    <mergeCell ref="SPI14:SPL14"/>
    <mergeCell ref="SNQ14:SNT14"/>
    <mergeCell ref="SNU14:SNX14"/>
    <mergeCell ref="SNY14:SOB14"/>
    <mergeCell ref="SOC14:SOF14"/>
    <mergeCell ref="SOG14:SOJ14"/>
    <mergeCell ref="SOK14:SON14"/>
    <mergeCell ref="SSG14:SSJ14"/>
    <mergeCell ref="SSK14:SSN14"/>
    <mergeCell ref="SSO14:SSR14"/>
    <mergeCell ref="SSS14:SSV14"/>
    <mergeCell ref="SSW14:SSZ14"/>
    <mergeCell ref="STA14:STD14"/>
    <mergeCell ref="SRI14:SRL14"/>
    <mergeCell ref="SRM14:SRP14"/>
    <mergeCell ref="SRQ14:SRT14"/>
    <mergeCell ref="SRU14:SRX14"/>
    <mergeCell ref="SRY14:SSB14"/>
    <mergeCell ref="SSC14:SSF14"/>
    <mergeCell ref="SQK14:SQN14"/>
    <mergeCell ref="SQO14:SQR14"/>
    <mergeCell ref="SQS14:SQV14"/>
    <mergeCell ref="SQW14:SQZ14"/>
    <mergeCell ref="SRA14:SRD14"/>
    <mergeCell ref="SRE14:SRH14"/>
    <mergeCell ref="SVA14:SVD14"/>
    <mergeCell ref="SVE14:SVH14"/>
    <mergeCell ref="SVI14:SVL14"/>
    <mergeCell ref="SVM14:SVP14"/>
    <mergeCell ref="SVQ14:SVT14"/>
    <mergeCell ref="SVU14:SVX14"/>
    <mergeCell ref="SUC14:SUF14"/>
    <mergeCell ref="SUG14:SUJ14"/>
    <mergeCell ref="SUK14:SUN14"/>
    <mergeCell ref="SUO14:SUR14"/>
    <mergeCell ref="SUS14:SUV14"/>
    <mergeCell ref="SUW14:SUZ14"/>
    <mergeCell ref="STE14:STH14"/>
    <mergeCell ref="STI14:STL14"/>
    <mergeCell ref="STM14:STP14"/>
    <mergeCell ref="STQ14:STT14"/>
    <mergeCell ref="STU14:STX14"/>
    <mergeCell ref="STY14:SUB14"/>
    <mergeCell ref="SXU14:SXX14"/>
    <mergeCell ref="SXY14:SYB14"/>
    <mergeCell ref="SYC14:SYF14"/>
    <mergeCell ref="SYG14:SYJ14"/>
    <mergeCell ref="SYK14:SYN14"/>
    <mergeCell ref="SYO14:SYR14"/>
    <mergeCell ref="SWW14:SWZ14"/>
    <mergeCell ref="SXA14:SXD14"/>
    <mergeCell ref="SXE14:SXH14"/>
    <mergeCell ref="SXI14:SXL14"/>
    <mergeCell ref="SXM14:SXP14"/>
    <mergeCell ref="SXQ14:SXT14"/>
    <mergeCell ref="SVY14:SWB14"/>
    <mergeCell ref="SWC14:SWF14"/>
    <mergeCell ref="SWG14:SWJ14"/>
    <mergeCell ref="SWK14:SWN14"/>
    <mergeCell ref="SWO14:SWR14"/>
    <mergeCell ref="SWS14:SWV14"/>
    <mergeCell ref="TAO14:TAR14"/>
    <mergeCell ref="TAS14:TAV14"/>
    <mergeCell ref="TAW14:TAZ14"/>
    <mergeCell ref="TBA14:TBD14"/>
    <mergeCell ref="TBE14:TBH14"/>
    <mergeCell ref="TBI14:TBL14"/>
    <mergeCell ref="SZQ14:SZT14"/>
    <mergeCell ref="SZU14:SZX14"/>
    <mergeCell ref="SZY14:TAB14"/>
    <mergeCell ref="TAC14:TAF14"/>
    <mergeCell ref="TAG14:TAJ14"/>
    <mergeCell ref="TAK14:TAN14"/>
    <mergeCell ref="SYS14:SYV14"/>
    <mergeCell ref="SYW14:SYZ14"/>
    <mergeCell ref="SZA14:SZD14"/>
    <mergeCell ref="SZE14:SZH14"/>
    <mergeCell ref="SZI14:SZL14"/>
    <mergeCell ref="SZM14:SZP14"/>
    <mergeCell ref="TDI14:TDL14"/>
    <mergeCell ref="TDM14:TDP14"/>
    <mergeCell ref="TDQ14:TDT14"/>
    <mergeCell ref="TDU14:TDX14"/>
    <mergeCell ref="TDY14:TEB14"/>
    <mergeCell ref="TEC14:TEF14"/>
    <mergeCell ref="TCK14:TCN14"/>
    <mergeCell ref="TCO14:TCR14"/>
    <mergeCell ref="TCS14:TCV14"/>
    <mergeCell ref="TCW14:TCZ14"/>
    <mergeCell ref="TDA14:TDD14"/>
    <mergeCell ref="TDE14:TDH14"/>
    <mergeCell ref="TBM14:TBP14"/>
    <mergeCell ref="TBQ14:TBT14"/>
    <mergeCell ref="TBU14:TBX14"/>
    <mergeCell ref="TBY14:TCB14"/>
    <mergeCell ref="TCC14:TCF14"/>
    <mergeCell ref="TCG14:TCJ14"/>
    <mergeCell ref="TGC14:TGF14"/>
    <mergeCell ref="TGG14:TGJ14"/>
    <mergeCell ref="TGK14:TGN14"/>
    <mergeCell ref="TGO14:TGR14"/>
    <mergeCell ref="TGS14:TGV14"/>
    <mergeCell ref="TGW14:TGZ14"/>
    <mergeCell ref="TFE14:TFH14"/>
    <mergeCell ref="TFI14:TFL14"/>
    <mergeCell ref="TFM14:TFP14"/>
    <mergeCell ref="TFQ14:TFT14"/>
    <mergeCell ref="TFU14:TFX14"/>
    <mergeCell ref="TFY14:TGB14"/>
    <mergeCell ref="TEG14:TEJ14"/>
    <mergeCell ref="TEK14:TEN14"/>
    <mergeCell ref="TEO14:TER14"/>
    <mergeCell ref="TES14:TEV14"/>
    <mergeCell ref="TEW14:TEZ14"/>
    <mergeCell ref="TFA14:TFD14"/>
    <mergeCell ref="TIW14:TIZ14"/>
    <mergeCell ref="TJA14:TJD14"/>
    <mergeCell ref="TJE14:TJH14"/>
    <mergeCell ref="TJI14:TJL14"/>
    <mergeCell ref="TJM14:TJP14"/>
    <mergeCell ref="TJQ14:TJT14"/>
    <mergeCell ref="THY14:TIB14"/>
    <mergeCell ref="TIC14:TIF14"/>
    <mergeCell ref="TIG14:TIJ14"/>
    <mergeCell ref="TIK14:TIN14"/>
    <mergeCell ref="TIO14:TIR14"/>
    <mergeCell ref="TIS14:TIV14"/>
    <mergeCell ref="THA14:THD14"/>
    <mergeCell ref="THE14:THH14"/>
    <mergeCell ref="THI14:THL14"/>
    <mergeCell ref="THM14:THP14"/>
    <mergeCell ref="THQ14:THT14"/>
    <mergeCell ref="THU14:THX14"/>
    <mergeCell ref="TLQ14:TLT14"/>
    <mergeCell ref="TLU14:TLX14"/>
    <mergeCell ref="TLY14:TMB14"/>
    <mergeCell ref="TMC14:TMF14"/>
    <mergeCell ref="TMG14:TMJ14"/>
    <mergeCell ref="TMK14:TMN14"/>
    <mergeCell ref="TKS14:TKV14"/>
    <mergeCell ref="TKW14:TKZ14"/>
    <mergeCell ref="TLA14:TLD14"/>
    <mergeCell ref="TLE14:TLH14"/>
    <mergeCell ref="TLI14:TLL14"/>
    <mergeCell ref="TLM14:TLP14"/>
    <mergeCell ref="TJU14:TJX14"/>
    <mergeCell ref="TJY14:TKB14"/>
    <mergeCell ref="TKC14:TKF14"/>
    <mergeCell ref="TKG14:TKJ14"/>
    <mergeCell ref="TKK14:TKN14"/>
    <mergeCell ref="TKO14:TKR14"/>
    <mergeCell ref="TOK14:TON14"/>
    <mergeCell ref="TOO14:TOR14"/>
    <mergeCell ref="TOS14:TOV14"/>
    <mergeCell ref="TOW14:TOZ14"/>
    <mergeCell ref="TPA14:TPD14"/>
    <mergeCell ref="TPE14:TPH14"/>
    <mergeCell ref="TNM14:TNP14"/>
    <mergeCell ref="TNQ14:TNT14"/>
    <mergeCell ref="TNU14:TNX14"/>
    <mergeCell ref="TNY14:TOB14"/>
    <mergeCell ref="TOC14:TOF14"/>
    <mergeCell ref="TOG14:TOJ14"/>
    <mergeCell ref="TMO14:TMR14"/>
    <mergeCell ref="TMS14:TMV14"/>
    <mergeCell ref="TMW14:TMZ14"/>
    <mergeCell ref="TNA14:TND14"/>
    <mergeCell ref="TNE14:TNH14"/>
    <mergeCell ref="TNI14:TNL14"/>
    <mergeCell ref="TRE14:TRH14"/>
    <mergeCell ref="TRI14:TRL14"/>
    <mergeCell ref="TRM14:TRP14"/>
    <mergeCell ref="TRQ14:TRT14"/>
    <mergeCell ref="TRU14:TRX14"/>
    <mergeCell ref="TRY14:TSB14"/>
    <mergeCell ref="TQG14:TQJ14"/>
    <mergeCell ref="TQK14:TQN14"/>
    <mergeCell ref="TQO14:TQR14"/>
    <mergeCell ref="TQS14:TQV14"/>
    <mergeCell ref="TQW14:TQZ14"/>
    <mergeCell ref="TRA14:TRD14"/>
    <mergeCell ref="TPI14:TPL14"/>
    <mergeCell ref="TPM14:TPP14"/>
    <mergeCell ref="TPQ14:TPT14"/>
    <mergeCell ref="TPU14:TPX14"/>
    <mergeCell ref="TPY14:TQB14"/>
    <mergeCell ref="TQC14:TQF14"/>
    <mergeCell ref="TTY14:TUB14"/>
    <mergeCell ref="TUC14:TUF14"/>
    <mergeCell ref="TUG14:TUJ14"/>
    <mergeCell ref="TUK14:TUN14"/>
    <mergeCell ref="TUO14:TUR14"/>
    <mergeCell ref="TUS14:TUV14"/>
    <mergeCell ref="TTA14:TTD14"/>
    <mergeCell ref="TTE14:TTH14"/>
    <mergeCell ref="TTI14:TTL14"/>
    <mergeCell ref="TTM14:TTP14"/>
    <mergeCell ref="TTQ14:TTT14"/>
    <mergeCell ref="TTU14:TTX14"/>
    <mergeCell ref="TSC14:TSF14"/>
    <mergeCell ref="TSG14:TSJ14"/>
    <mergeCell ref="TSK14:TSN14"/>
    <mergeCell ref="TSO14:TSR14"/>
    <mergeCell ref="TSS14:TSV14"/>
    <mergeCell ref="TSW14:TSZ14"/>
    <mergeCell ref="TWS14:TWV14"/>
    <mergeCell ref="TWW14:TWZ14"/>
    <mergeCell ref="TXA14:TXD14"/>
    <mergeCell ref="TXE14:TXH14"/>
    <mergeCell ref="TXI14:TXL14"/>
    <mergeCell ref="TXM14:TXP14"/>
    <mergeCell ref="TVU14:TVX14"/>
    <mergeCell ref="TVY14:TWB14"/>
    <mergeCell ref="TWC14:TWF14"/>
    <mergeCell ref="TWG14:TWJ14"/>
    <mergeCell ref="TWK14:TWN14"/>
    <mergeCell ref="TWO14:TWR14"/>
    <mergeCell ref="TUW14:TUZ14"/>
    <mergeCell ref="TVA14:TVD14"/>
    <mergeCell ref="TVE14:TVH14"/>
    <mergeCell ref="TVI14:TVL14"/>
    <mergeCell ref="TVM14:TVP14"/>
    <mergeCell ref="TVQ14:TVT14"/>
    <mergeCell ref="TZM14:TZP14"/>
    <mergeCell ref="TZQ14:TZT14"/>
    <mergeCell ref="TZU14:TZX14"/>
    <mergeCell ref="TZY14:UAB14"/>
    <mergeCell ref="UAC14:UAF14"/>
    <mergeCell ref="UAG14:UAJ14"/>
    <mergeCell ref="TYO14:TYR14"/>
    <mergeCell ref="TYS14:TYV14"/>
    <mergeCell ref="TYW14:TYZ14"/>
    <mergeCell ref="TZA14:TZD14"/>
    <mergeCell ref="TZE14:TZH14"/>
    <mergeCell ref="TZI14:TZL14"/>
    <mergeCell ref="TXQ14:TXT14"/>
    <mergeCell ref="TXU14:TXX14"/>
    <mergeCell ref="TXY14:TYB14"/>
    <mergeCell ref="TYC14:TYF14"/>
    <mergeCell ref="TYG14:TYJ14"/>
    <mergeCell ref="TYK14:TYN14"/>
    <mergeCell ref="UCG14:UCJ14"/>
    <mergeCell ref="UCK14:UCN14"/>
    <mergeCell ref="UCO14:UCR14"/>
    <mergeCell ref="UCS14:UCV14"/>
    <mergeCell ref="UCW14:UCZ14"/>
    <mergeCell ref="UDA14:UDD14"/>
    <mergeCell ref="UBI14:UBL14"/>
    <mergeCell ref="UBM14:UBP14"/>
    <mergeCell ref="UBQ14:UBT14"/>
    <mergeCell ref="UBU14:UBX14"/>
    <mergeCell ref="UBY14:UCB14"/>
    <mergeCell ref="UCC14:UCF14"/>
    <mergeCell ref="UAK14:UAN14"/>
    <mergeCell ref="UAO14:UAR14"/>
    <mergeCell ref="UAS14:UAV14"/>
    <mergeCell ref="UAW14:UAZ14"/>
    <mergeCell ref="UBA14:UBD14"/>
    <mergeCell ref="UBE14:UBH14"/>
    <mergeCell ref="UFA14:UFD14"/>
    <mergeCell ref="UFE14:UFH14"/>
    <mergeCell ref="UFI14:UFL14"/>
    <mergeCell ref="UFM14:UFP14"/>
    <mergeCell ref="UFQ14:UFT14"/>
    <mergeCell ref="UFU14:UFX14"/>
    <mergeCell ref="UEC14:UEF14"/>
    <mergeCell ref="UEG14:UEJ14"/>
    <mergeCell ref="UEK14:UEN14"/>
    <mergeCell ref="UEO14:UER14"/>
    <mergeCell ref="UES14:UEV14"/>
    <mergeCell ref="UEW14:UEZ14"/>
    <mergeCell ref="UDE14:UDH14"/>
    <mergeCell ref="UDI14:UDL14"/>
    <mergeCell ref="UDM14:UDP14"/>
    <mergeCell ref="UDQ14:UDT14"/>
    <mergeCell ref="UDU14:UDX14"/>
    <mergeCell ref="UDY14:UEB14"/>
    <mergeCell ref="UHU14:UHX14"/>
    <mergeCell ref="UHY14:UIB14"/>
    <mergeCell ref="UIC14:UIF14"/>
    <mergeCell ref="UIG14:UIJ14"/>
    <mergeCell ref="UIK14:UIN14"/>
    <mergeCell ref="UIO14:UIR14"/>
    <mergeCell ref="UGW14:UGZ14"/>
    <mergeCell ref="UHA14:UHD14"/>
    <mergeCell ref="UHE14:UHH14"/>
    <mergeCell ref="UHI14:UHL14"/>
    <mergeCell ref="UHM14:UHP14"/>
    <mergeCell ref="UHQ14:UHT14"/>
    <mergeCell ref="UFY14:UGB14"/>
    <mergeCell ref="UGC14:UGF14"/>
    <mergeCell ref="UGG14:UGJ14"/>
    <mergeCell ref="UGK14:UGN14"/>
    <mergeCell ref="UGO14:UGR14"/>
    <mergeCell ref="UGS14:UGV14"/>
    <mergeCell ref="UKO14:UKR14"/>
    <mergeCell ref="UKS14:UKV14"/>
    <mergeCell ref="UKW14:UKZ14"/>
    <mergeCell ref="ULA14:ULD14"/>
    <mergeCell ref="ULE14:ULH14"/>
    <mergeCell ref="ULI14:ULL14"/>
    <mergeCell ref="UJQ14:UJT14"/>
    <mergeCell ref="UJU14:UJX14"/>
    <mergeCell ref="UJY14:UKB14"/>
    <mergeCell ref="UKC14:UKF14"/>
    <mergeCell ref="UKG14:UKJ14"/>
    <mergeCell ref="UKK14:UKN14"/>
    <mergeCell ref="UIS14:UIV14"/>
    <mergeCell ref="UIW14:UIZ14"/>
    <mergeCell ref="UJA14:UJD14"/>
    <mergeCell ref="UJE14:UJH14"/>
    <mergeCell ref="UJI14:UJL14"/>
    <mergeCell ref="UJM14:UJP14"/>
    <mergeCell ref="UNI14:UNL14"/>
    <mergeCell ref="UNM14:UNP14"/>
    <mergeCell ref="UNQ14:UNT14"/>
    <mergeCell ref="UNU14:UNX14"/>
    <mergeCell ref="UNY14:UOB14"/>
    <mergeCell ref="UOC14:UOF14"/>
    <mergeCell ref="UMK14:UMN14"/>
    <mergeCell ref="UMO14:UMR14"/>
    <mergeCell ref="UMS14:UMV14"/>
    <mergeCell ref="UMW14:UMZ14"/>
    <mergeCell ref="UNA14:UND14"/>
    <mergeCell ref="UNE14:UNH14"/>
    <mergeCell ref="ULM14:ULP14"/>
    <mergeCell ref="ULQ14:ULT14"/>
    <mergeCell ref="ULU14:ULX14"/>
    <mergeCell ref="ULY14:UMB14"/>
    <mergeCell ref="UMC14:UMF14"/>
    <mergeCell ref="UMG14:UMJ14"/>
    <mergeCell ref="UQC14:UQF14"/>
    <mergeCell ref="UQG14:UQJ14"/>
    <mergeCell ref="UQK14:UQN14"/>
    <mergeCell ref="UQO14:UQR14"/>
    <mergeCell ref="UQS14:UQV14"/>
    <mergeCell ref="UQW14:UQZ14"/>
    <mergeCell ref="UPE14:UPH14"/>
    <mergeCell ref="UPI14:UPL14"/>
    <mergeCell ref="UPM14:UPP14"/>
    <mergeCell ref="UPQ14:UPT14"/>
    <mergeCell ref="UPU14:UPX14"/>
    <mergeCell ref="UPY14:UQB14"/>
    <mergeCell ref="UOG14:UOJ14"/>
    <mergeCell ref="UOK14:UON14"/>
    <mergeCell ref="UOO14:UOR14"/>
    <mergeCell ref="UOS14:UOV14"/>
    <mergeCell ref="UOW14:UOZ14"/>
    <mergeCell ref="UPA14:UPD14"/>
    <mergeCell ref="USW14:USZ14"/>
    <mergeCell ref="UTA14:UTD14"/>
    <mergeCell ref="UTE14:UTH14"/>
    <mergeCell ref="UTI14:UTL14"/>
    <mergeCell ref="UTM14:UTP14"/>
    <mergeCell ref="UTQ14:UTT14"/>
    <mergeCell ref="URY14:USB14"/>
    <mergeCell ref="USC14:USF14"/>
    <mergeCell ref="USG14:USJ14"/>
    <mergeCell ref="USK14:USN14"/>
    <mergeCell ref="USO14:USR14"/>
    <mergeCell ref="USS14:USV14"/>
    <mergeCell ref="URA14:URD14"/>
    <mergeCell ref="URE14:URH14"/>
    <mergeCell ref="URI14:URL14"/>
    <mergeCell ref="URM14:URP14"/>
    <mergeCell ref="URQ14:URT14"/>
    <mergeCell ref="URU14:URX14"/>
    <mergeCell ref="UVQ14:UVT14"/>
    <mergeCell ref="UVU14:UVX14"/>
    <mergeCell ref="UVY14:UWB14"/>
    <mergeCell ref="UWC14:UWF14"/>
    <mergeCell ref="UWG14:UWJ14"/>
    <mergeCell ref="UWK14:UWN14"/>
    <mergeCell ref="UUS14:UUV14"/>
    <mergeCell ref="UUW14:UUZ14"/>
    <mergeCell ref="UVA14:UVD14"/>
    <mergeCell ref="UVE14:UVH14"/>
    <mergeCell ref="UVI14:UVL14"/>
    <mergeCell ref="UVM14:UVP14"/>
    <mergeCell ref="UTU14:UTX14"/>
    <mergeCell ref="UTY14:UUB14"/>
    <mergeCell ref="UUC14:UUF14"/>
    <mergeCell ref="UUG14:UUJ14"/>
    <mergeCell ref="UUK14:UUN14"/>
    <mergeCell ref="UUO14:UUR14"/>
    <mergeCell ref="UYK14:UYN14"/>
    <mergeCell ref="UYO14:UYR14"/>
    <mergeCell ref="UYS14:UYV14"/>
    <mergeCell ref="UYW14:UYZ14"/>
    <mergeCell ref="UZA14:UZD14"/>
    <mergeCell ref="UZE14:UZH14"/>
    <mergeCell ref="UXM14:UXP14"/>
    <mergeCell ref="UXQ14:UXT14"/>
    <mergeCell ref="UXU14:UXX14"/>
    <mergeCell ref="UXY14:UYB14"/>
    <mergeCell ref="UYC14:UYF14"/>
    <mergeCell ref="UYG14:UYJ14"/>
    <mergeCell ref="UWO14:UWR14"/>
    <mergeCell ref="UWS14:UWV14"/>
    <mergeCell ref="UWW14:UWZ14"/>
    <mergeCell ref="UXA14:UXD14"/>
    <mergeCell ref="UXE14:UXH14"/>
    <mergeCell ref="UXI14:UXL14"/>
    <mergeCell ref="VBE14:VBH14"/>
    <mergeCell ref="VBI14:VBL14"/>
    <mergeCell ref="VBM14:VBP14"/>
    <mergeCell ref="VBQ14:VBT14"/>
    <mergeCell ref="VBU14:VBX14"/>
    <mergeCell ref="VBY14:VCB14"/>
    <mergeCell ref="VAG14:VAJ14"/>
    <mergeCell ref="VAK14:VAN14"/>
    <mergeCell ref="VAO14:VAR14"/>
    <mergeCell ref="VAS14:VAV14"/>
    <mergeCell ref="VAW14:VAZ14"/>
    <mergeCell ref="VBA14:VBD14"/>
    <mergeCell ref="UZI14:UZL14"/>
    <mergeCell ref="UZM14:UZP14"/>
    <mergeCell ref="UZQ14:UZT14"/>
    <mergeCell ref="UZU14:UZX14"/>
    <mergeCell ref="UZY14:VAB14"/>
    <mergeCell ref="VAC14:VAF14"/>
    <mergeCell ref="VDY14:VEB14"/>
    <mergeCell ref="VEC14:VEF14"/>
    <mergeCell ref="VEG14:VEJ14"/>
    <mergeCell ref="VEK14:VEN14"/>
    <mergeCell ref="VEO14:VER14"/>
    <mergeCell ref="VES14:VEV14"/>
    <mergeCell ref="VDA14:VDD14"/>
    <mergeCell ref="VDE14:VDH14"/>
    <mergeCell ref="VDI14:VDL14"/>
    <mergeCell ref="VDM14:VDP14"/>
    <mergeCell ref="VDQ14:VDT14"/>
    <mergeCell ref="VDU14:VDX14"/>
    <mergeCell ref="VCC14:VCF14"/>
    <mergeCell ref="VCG14:VCJ14"/>
    <mergeCell ref="VCK14:VCN14"/>
    <mergeCell ref="VCO14:VCR14"/>
    <mergeCell ref="VCS14:VCV14"/>
    <mergeCell ref="VCW14:VCZ14"/>
    <mergeCell ref="VGS14:VGV14"/>
    <mergeCell ref="VGW14:VGZ14"/>
    <mergeCell ref="VHA14:VHD14"/>
    <mergeCell ref="VHE14:VHH14"/>
    <mergeCell ref="VHI14:VHL14"/>
    <mergeCell ref="VHM14:VHP14"/>
    <mergeCell ref="VFU14:VFX14"/>
    <mergeCell ref="VFY14:VGB14"/>
    <mergeCell ref="VGC14:VGF14"/>
    <mergeCell ref="VGG14:VGJ14"/>
    <mergeCell ref="VGK14:VGN14"/>
    <mergeCell ref="VGO14:VGR14"/>
    <mergeCell ref="VEW14:VEZ14"/>
    <mergeCell ref="VFA14:VFD14"/>
    <mergeCell ref="VFE14:VFH14"/>
    <mergeCell ref="VFI14:VFL14"/>
    <mergeCell ref="VFM14:VFP14"/>
    <mergeCell ref="VFQ14:VFT14"/>
    <mergeCell ref="VJM14:VJP14"/>
    <mergeCell ref="VJQ14:VJT14"/>
    <mergeCell ref="VJU14:VJX14"/>
    <mergeCell ref="VJY14:VKB14"/>
    <mergeCell ref="VKC14:VKF14"/>
    <mergeCell ref="VKG14:VKJ14"/>
    <mergeCell ref="VIO14:VIR14"/>
    <mergeCell ref="VIS14:VIV14"/>
    <mergeCell ref="VIW14:VIZ14"/>
    <mergeCell ref="VJA14:VJD14"/>
    <mergeCell ref="VJE14:VJH14"/>
    <mergeCell ref="VJI14:VJL14"/>
    <mergeCell ref="VHQ14:VHT14"/>
    <mergeCell ref="VHU14:VHX14"/>
    <mergeCell ref="VHY14:VIB14"/>
    <mergeCell ref="VIC14:VIF14"/>
    <mergeCell ref="VIG14:VIJ14"/>
    <mergeCell ref="VIK14:VIN14"/>
    <mergeCell ref="VMG14:VMJ14"/>
    <mergeCell ref="VMK14:VMN14"/>
    <mergeCell ref="VMO14:VMR14"/>
    <mergeCell ref="VMS14:VMV14"/>
    <mergeCell ref="VMW14:VMZ14"/>
    <mergeCell ref="VNA14:VND14"/>
    <mergeCell ref="VLI14:VLL14"/>
    <mergeCell ref="VLM14:VLP14"/>
    <mergeCell ref="VLQ14:VLT14"/>
    <mergeCell ref="VLU14:VLX14"/>
    <mergeCell ref="VLY14:VMB14"/>
    <mergeCell ref="VMC14:VMF14"/>
    <mergeCell ref="VKK14:VKN14"/>
    <mergeCell ref="VKO14:VKR14"/>
    <mergeCell ref="VKS14:VKV14"/>
    <mergeCell ref="VKW14:VKZ14"/>
    <mergeCell ref="VLA14:VLD14"/>
    <mergeCell ref="VLE14:VLH14"/>
    <mergeCell ref="VPA14:VPD14"/>
    <mergeCell ref="VPE14:VPH14"/>
    <mergeCell ref="VPI14:VPL14"/>
    <mergeCell ref="VPM14:VPP14"/>
    <mergeCell ref="VPQ14:VPT14"/>
    <mergeCell ref="VPU14:VPX14"/>
    <mergeCell ref="VOC14:VOF14"/>
    <mergeCell ref="VOG14:VOJ14"/>
    <mergeCell ref="VOK14:VON14"/>
    <mergeCell ref="VOO14:VOR14"/>
    <mergeCell ref="VOS14:VOV14"/>
    <mergeCell ref="VOW14:VOZ14"/>
    <mergeCell ref="VNE14:VNH14"/>
    <mergeCell ref="VNI14:VNL14"/>
    <mergeCell ref="VNM14:VNP14"/>
    <mergeCell ref="VNQ14:VNT14"/>
    <mergeCell ref="VNU14:VNX14"/>
    <mergeCell ref="VNY14:VOB14"/>
    <mergeCell ref="VRU14:VRX14"/>
    <mergeCell ref="VRY14:VSB14"/>
    <mergeCell ref="VSC14:VSF14"/>
    <mergeCell ref="VSG14:VSJ14"/>
    <mergeCell ref="VSK14:VSN14"/>
    <mergeCell ref="VSO14:VSR14"/>
    <mergeCell ref="VQW14:VQZ14"/>
    <mergeCell ref="VRA14:VRD14"/>
    <mergeCell ref="VRE14:VRH14"/>
    <mergeCell ref="VRI14:VRL14"/>
    <mergeCell ref="VRM14:VRP14"/>
    <mergeCell ref="VRQ14:VRT14"/>
    <mergeCell ref="VPY14:VQB14"/>
    <mergeCell ref="VQC14:VQF14"/>
    <mergeCell ref="VQG14:VQJ14"/>
    <mergeCell ref="VQK14:VQN14"/>
    <mergeCell ref="VQO14:VQR14"/>
    <mergeCell ref="VQS14:VQV14"/>
    <mergeCell ref="VUO14:VUR14"/>
    <mergeCell ref="VUS14:VUV14"/>
    <mergeCell ref="VUW14:VUZ14"/>
    <mergeCell ref="VVA14:VVD14"/>
    <mergeCell ref="VVE14:VVH14"/>
    <mergeCell ref="VVI14:VVL14"/>
    <mergeCell ref="VTQ14:VTT14"/>
    <mergeCell ref="VTU14:VTX14"/>
    <mergeCell ref="VTY14:VUB14"/>
    <mergeCell ref="VUC14:VUF14"/>
    <mergeCell ref="VUG14:VUJ14"/>
    <mergeCell ref="VUK14:VUN14"/>
    <mergeCell ref="VSS14:VSV14"/>
    <mergeCell ref="VSW14:VSZ14"/>
    <mergeCell ref="VTA14:VTD14"/>
    <mergeCell ref="VTE14:VTH14"/>
    <mergeCell ref="VTI14:VTL14"/>
    <mergeCell ref="VTM14:VTP14"/>
    <mergeCell ref="VXI14:VXL14"/>
    <mergeCell ref="VXM14:VXP14"/>
    <mergeCell ref="VXQ14:VXT14"/>
    <mergeCell ref="VXU14:VXX14"/>
    <mergeCell ref="VXY14:VYB14"/>
    <mergeCell ref="VYC14:VYF14"/>
    <mergeCell ref="VWK14:VWN14"/>
    <mergeCell ref="VWO14:VWR14"/>
    <mergeCell ref="VWS14:VWV14"/>
    <mergeCell ref="VWW14:VWZ14"/>
    <mergeCell ref="VXA14:VXD14"/>
    <mergeCell ref="VXE14:VXH14"/>
    <mergeCell ref="VVM14:VVP14"/>
    <mergeCell ref="VVQ14:VVT14"/>
    <mergeCell ref="VVU14:VVX14"/>
    <mergeCell ref="VVY14:VWB14"/>
    <mergeCell ref="VWC14:VWF14"/>
    <mergeCell ref="VWG14:VWJ14"/>
    <mergeCell ref="WAC14:WAF14"/>
    <mergeCell ref="WAG14:WAJ14"/>
    <mergeCell ref="WAK14:WAN14"/>
    <mergeCell ref="WAO14:WAR14"/>
    <mergeCell ref="WAS14:WAV14"/>
    <mergeCell ref="WAW14:WAZ14"/>
    <mergeCell ref="VZE14:VZH14"/>
    <mergeCell ref="VZI14:VZL14"/>
    <mergeCell ref="VZM14:VZP14"/>
    <mergeCell ref="VZQ14:VZT14"/>
    <mergeCell ref="VZU14:VZX14"/>
    <mergeCell ref="VZY14:WAB14"/>
    <mergeCell ref="VYG14:VYJ14"/>
    <mergeCell ref="VYK14:VYN14"/>
    <mergeCell ref="VYO14:VYR14"/>
    <mergeCell ref="VYS14:VYV14"/>
    <mergeCell ref="VYW14:VYZ14"/>
    <mergeCell ref="VZA14:VZD14"/>
    <mergeCell ref="WCW14:WCZ14"/>
    <mergeCell ref="WDA14:WDD14"/>
    <mergeCell ref="WDE14:WDH14"/>
    <mergeCell ref="WDI14:WDL14"/>
    <mergeCell ref="WDM14:WDP14"/>
    <mergeCell ref="WDQ14:WDT14"/>
    <mergeCell ref="WBY14:WCB14"/>
    <mergeCell ref="WCC14:WCF14"/>
    <mergeCell ref="WCG14:WCJ14"/>
    <mergeCell ref="WCK14:WCN14"/>
    <mergeCell ref="WCO14:WCR14"/>
    <mergeCell ref="WCS14:WCV14"/>
    <mergeCell ref="WBA14:WBD14"/>
    <mergeCell ref="WBE14:WBH14"/>
    <mergeCell ref="WBI14:WBL14"/>
    <mergeCell ref="WBM14:WBP14"/>
    <mergeCell ref="WBQ14:WBT14"/>
    <mergeCell ref="WBU14:WBX14"/>
    <mergeCell ref="WFQ14:WFT14"/>
    <mergeCell ref="WFU14:WFX14"/>
    <mergeCell ref="WFY14:WGB14"/>
    <mergeCell ref="WGC14:WGF14"/>
    <mergeCell ref="WGG14:WGJ14"/>
    <mergeCell ref="WGK14:WGN14"/>
    <mergeCell ref="WES14:WEV14"/>
    <mergeCell ref="WEW14:WEZ14"/>
    <mergeCell ref="WFA14:WFD14"/>
    <mergeCell ref="WFE14:WFH14"/>
    <mergeCell ref="WFI14:WFL14"/>
    <mergeCell ref="WFM14:WFP14"/>
    <mergeCell ref="WDU14:WDX14"/>
    <mergeCell ref="WDY14:WEB14"/>
    <mergeCell ref="WEC14:WEF14"/>
    <mergeCell ref="WEG14:WEJ14"/>
    <mergeCell ref="WEK14:WEN14"/>
    <mergeCell ref="WEO14:WER14"/>
    <mergeCell ref="WIK14:WIN14"/>
    <mergeCell ref="WIO14:WIR14"/>
    <mergeCell ref="WIS14:WIV14"/>
    <mergeCell ref="WIW14:WIZ14"/>
    <mergeCell ref="WJA14:WJD14"/>
    <mergeCell ref="WJE14:WJH14"/>
    <mergeCell ref="WHM14:WHP14"/>
    <mergeCell ref="WHQ14:WHT14"/>
    <mergeCell ref="WHU14:WHX14"/>
    <mergeCell ref="WHY14:WIB14"/>
    <mergeCell ref="WIC14:WIF14"/>
    <mergeCell ref="WIG14:WIJ14"/>
    <mergeCell ref="WGO14:WGR14"/>
    <mergeCell ref="WGS14:WGV14"/>
    <mergeCell ref="WGW14:WGZ14"/>
    <mergeCell ref="WHA14:WHD14"/>
    <mergeCell ref="WHE14:WHH14"/>
    <mergeCell ref="WHI14:WHL14"/>
    <mergeCell ref="WLE14:WLH14"/>
    <mergeCell ref="WLI14:WLL14"/>
    <mergeCell ref="WLM14:WLP14"/>
    <mergeCell ref="WLQ14:WLT14"/>
    <mergeCell ref="WLU14:WLX14"/>
    <mergeCell ref="WLY14:WMB14"/>
    <mergeCell ref="WKG14:WKJ14"/>
    <mergeCell ref="WKK14:WKN14"/>
    <mergeCell ref="WKO14:WKR14"/>
    <mergeCell ref="WKS14:WKV14"/>
    <mergeCell ref="WKW14:WKZ14"/>
    <mergeCell ref="WLA14:WLD14"/>
    <mergeCell ref="WJI14:WJL14"/>
    <mergeCell ref="WJM14:WJP14"/>
    <mergeCell ref="WJQ14:WJT14"/>
    <mergeCell ref="WJU14:WJX14"/>
    <mergeCell ref="WJY14:WKB14"/>
    <mergeCell ref="WKC14:WKF14"/>
    <mergeCell ref="WNY14:WOB14"/>
    <mergeCell ref="WOC14:WOF14"/>
    <mergeCell ref="WOG14:WOJ14"/>
    <mergeCell ref="WOK14:WON14"/>
    <mergeCell ref="WOO14:WOR14"/>
    <mergeCell ref="WOS14:WOV14"/>
    <mergeCell ref="WNA14:WND14"/>
    <mergeCell ref="WNE14:WNH14"/>
    <mergeCell ref="WNI14:WNL14"/>
    <mergeCell ref="WNM14:WNP14"/>
    <mergeCell ref="WNQ14:WNT14"/>
    <mergeCell ref="WNU14:WNX14"/>
    <mergeCell ref="WMC14:WMF14"/>
    <mergeCell ref="WMG14:WMJ14"/>
    <mergeCell ref="WMK14:WMN14"/>
    <mergeCell ref="WMO14:WMR14"/>
    <mergeCell ref="WMS14:WMV14"/>
    <mergeCell ref="WMW14:WMZ14"/>
    <mergeCell ref="WQS14:WQV14"/>
    <mergeCell ref="WQW14:WQZ14"/>
    <mergeCell ref="WRA14:WRD14"/>
    <mergeCell ref="WRE14:WRH14"/>
    <mergeCell ref="WRI14:WRL14"/>
    <mergeCell ref="WRM14:WRP14"/>
    <mergeCell ref="WPU14:WPX14"/>
    <mergeCell ref="WPY14:WQB14"/>
    <mergeCell ref="WQC14:WQF14"/>
    <mergeCell ref="WQG14:WQJ14"/>
    <mergeCell ref="WQK14:WQN14"/>
    <mergeCell ref="WQO14:WQR14"/>
    <mergeCell ref="WOW14:WOZ14"/>
    <mergeCell ref="WPA14:WPD14"/>
    <mergeCell ref="WPE14:WPH14"/>
    <mergeCell ref="WPI14:WPL14"/>
    <mergeCell ref="WPM14:WPP14"/>
    <mergeCell ref="WPQ14:WPT14"/>
    <mergeCell ref="WTM14:WTP14"/>
    <mergeCell ref="WTQ14:WTT14"/>
    <mergeCell ref="WTU14:WTX14"/>
    <mergeCell ref="WTY14:WUB14"/>
    <mergeCell ref="WUC14:WUF14"/>
    <mergeCell ref="WUG14:WUJ14"/>
    <mergeCell ref="WSO14:WSR14"/>
    <mergeCell ref="WSS14:WSV14"/>
    <mergeCell ref="WSW14:WSZ14"/>
    <mergeCell ref="WTA14:WTD14"/>
    <mergeCell ref="WTE14:WTH14"/>
    <mergeCell ref="WTI14:WTL14"/>
    <mergeCell ref="WRQ14:WRT14"/>
    <mergeCell ref="WRU14:WRX14"/>
    <mergeCell ref="WRY14:WSB14"/>
    <mergeCell ref="WSC14:WSF14"/>
    <mergeCell ref="WSG14:WSJ14"/>
    <mergeCell ref="WSK14:WSN14"/>
    <mergeCell ref="WWG14:WWJ14"/>
    <mergeCell ref="WWK14:WWN14"/>
    <mergeCell ref="WWO14:WWR14"/>
    <mergeCell ref="WWS14:WWV14"/>
    <mergeCell ref="WWW14:WWZ14"/>
    <mergeCell ref="WXA14:WXD14"/>
    <mergeCell ref="WVI14:WVL14"/>
    <mergeCell ref="WVM14:WVP14"/>
    <mergeCell ref="WVQ14:WVT14"/>
    <mergeCell ref="WVU14:WVX14"/>
    <mergeCell ref="WVY14:WWB14"/>
    <mergeCell ref="WWC14:WWF14"/>
    <mergeCell ref="WUK14:WUN14"/>
    <mergeCell ref="WUO14:WUR14"/>
    <mergeCell ref="WUS14:WUV14"/>
    <mergeCell ref="WUW14:WUZ14"/>
    <mergeCell ref="WVA14:WVD14"/>
    <mergeCell ref="WVE14:WVH14"/>
    <mergeCell ref="XAG14:XAJ14"/>
    <mergeCell ref="XAK14:XAN14"/>
    <mergeCell ref="XAO14:XAR14"/>
    <mergeCell ref="XAS14:XAV14"/>
    <mergeCell ref="WZA14:WZD14"/>
    <mergeCell ref="WZE14:WZH14"/>
    <mergeCell ref="WZI14:WZL14"/>
    <mergeCell ref="WZM14:WZP14"/>
    <mergeCell ref="WZQ14:WZT14"/>
    <mergeCell ref="WZU14:WZX14"/>
    <mergeCell ref="WYC14:WYF14"/>
    <mergeCell ref="WYG14:WYJ14"/>
    <mergeCell ref="WYK14:WYN14"/>
    <mergeCell ref="WYO14:WYR14"/>
    <mergeCell ref="WYS14:WYV14"/>
    <mergeCell ref="WYW14:WYZ14"/>
    <mergeCell ref="WXE14:WXH14"/>
    <mergeCell ref="WXI14:WXL14"/>
    <mergeCell ref="WXM14:WXP14"/>
    <mergeCell ref="WXQ14:WXT14"/>
    <mergeCell ref="WXU14:WXX14"/>
    <mergeCell ref="WXY14:WYB14"/>
    <mergeCell ref="XEO14:XER14"/>
    <mergeCell ref="XES14:XEV14"/>
    <mergeCell ref="XEW14:XEZ14"/>
    <mergeCell ref="A16:D16"/>
    <mergeCell ref="B20:D20"/>
    <mergeCell ref="A25:D25"/>
    <mergeCell ref="XDQ14:XDT14"/>
    <mergeCell ref="XDU14:XDX14"/>
    <mergeCell ref="XDY14:XEB14"/>
    <mergeCell ref="XEC14:XEF14"/>
    <mergeCell ref="XEG14:XEJ14"/>
    <mergeCell ref="XEK14:XEN14"/>
    <mergeCell ref="XCS14:XCV14"/>
    <mergeCell ref="XCW14:XCZ14"/>
    <mergeCell ref="XDA14:XDD14"/>
    <mergeCell ref="XDE14:XDH14"/>
    <mergeCell ref="XDI14:XDL14"/>
    <mergeCell ref="XDM14:XDP14"/>
    <mergeCell ref="XBU14:XBX14"/>
    <mergeCell ref="XBY14:XCB14"/>
    <mergeCell ref="XCC14:XCF14"/>
    <mergeCell ref="XCG14:XCJ14"/>
    <mergeCell ref="XCK14:XCN14"/>
    <mergeCell ref="XCO14:XCR14"/>
    <mergeCell ref="XAW14:XAZ14"/>
    <mergeCell ref="XBA14:XBD14"/>
    <mergeCell ref="XBE14:XBH14"/>
    <mergeCell ref="XBI14:XBL14"/>
    <mergeCell ref="XBM14:XBP14"/>
    <mergeCell ref="XBQ14:XBT14"/>
    <mergeCell ref="WZY14:XAB14"/>
    <mergeCell ref="XAC14:XAF14"/>
    <mergeCell ref="A121:D121"/>
    <mergeCell ref="B122:D122"/>
    <mergeCell ref="A127:D127"/>
    <mergeCell ref="B128:D128"/>
    <mergeCell ref="A133:D133"/>
    <mergeCell ref="B134:D134"/>
    <mergeCell ref="B44:D44"/>
    <mergeCell ref="A49:D49"/>
    <mergeCell ref="B50:D50"/>
    <mergeCell ref="A55:D55"/>
    <mergeCell ref="B56:D56"/>
    <mergeCell ref="A61:D61"/>
    <mergeCell ref="B26:D26"/>
    <mergeCell ref="A31:D31"/>
    <mergeCell ref="B32:D32"/>
    <mergeCell ref="A37:D37"/>
    <mergeCell ref="B38:D38"/>
    <mergeCell ref="A43:D43"/>
    <mergeCell ref="U142:X142"/>
    <mergeCell ref="Y142:AB142"/>
    <mergeCell ref="AC142:AF142"/>
    <mergeCell ref="AG142:AJ142"/>
    <mergeCell ref="AK142:AN142"/>
    <mergeCell ref="AO142:AR142"/>
    <mergeCell ref="A141:D141"/>
    <mergeCell ref="E142:H142"/>
    <mergeCell ref="I142:L142"/>
    <mergeCell ref="M142:P142"/>
    <mergeCell ref="Q142:T142"/>
    <mergeCell ref="A140:D140"/>
    <mergeCell ref="B62:D62"/>
    <mergeCell ref="A67:D67"/>
    <mergeCell ref="B68:D68"/>
    <mergeCell ref="A73:D73"/>
    <mergeCell ref="B74:D74"/>
    <mergeCell ref="A139:D139"/>
    <mergeCell ref="A79:D79"/>
    <mergeCell ref="B80:D80"/>
    <mergeCell ref="A85:D85"/>
    <mergeCell ref="B86:D86"/>
    <mergeCell ref="A91:D91"/>
    <mergeCell ref="B92:D92"/>
    <mergeCell ref="A97:D97"/>
    <mergeCell ref="B98:D98"/>
    <mergeCell ref="A103:D103"/>
    <mergeCell ref="B104:D104"/>
    <mergeCell ref="A109:D109"/>
    <mergeCell ref="B110:D110"/>
    <mergeCell ref="A115:D115"/>
    <mergeCell ref="B116:D116"/>
    <mergeCell ref="CO142:CR142"/>
    <mergeCell ref="CS142:CV142"/>
    <mergeCell ref="CW142:CZ142"/>
    <mergeCell ref="DA142:DD142"/>
    <mergeCell ref="DE142:DH142"/>
    <mergeCell ref="DI142:DL142"/>
    <mergeCell ref="BQ142:BT142"/>
    <mergeCell ref="BU142:BX142"/>
    <mergeCell ref="BY142:CB142"/>
    <mergeCell ref="CC142:CF142"/>
    <mergeCell ref="CG142:CJ142"/>
    <mergeCell ref="CK142:CN142"/>
    <mergeCell ref="AS142:AV142"/>
    <mergeCell ref="AW142:AZ142"/>
    <mergeCell ref="BA142:BD142"/>
    <mergeCell ref="BE142:BH142"/>
    <mergeCell ref="BI142:BL142"/>
    <mergeCell ref="BM142:BP142"/>
    <mergeCell ref="FI142:FL142"/>
    <mergeCell ref="FM142:FP142"/>
    <mergeCell ref="FQ142:FT142"/>
    <mergeCell ref="FU142:FX142"/>
    <mergeCell ref="FY142:GB142"/>
    <mergeCell ref="GC142:GF142"/>
    <mergeCell ref="EK142:EN142"/>
    <mergeCell ref="EO142:ER142"/>
    <mergeCell ref="ES142:EV142"/>
    <mergeCell ref="EW142:EZ142"/>
    <mergeCell ref="FA142:FD142"/>
    <mergeCell ref="FE142:FH142"/>
    <mergeCell ref="DM142:DP142"/>
    <mergeCell ref="DQ142:DT142"/>
    <mergeCell ref="DU142:DX142"/>
    <mergeCell ref="DY142:EB142"/>
    <mergeCell ref="EC142:EF142"/>
    <mergeCell ref="EG142:EJ142"/>
    <mergeCell ref="IC142:IF142"/>
    <mergeCell ref="IG142:IJ142"/>
    <mergeCell ref="IK142:IN142"/>
    <mergeCell ref="IO142:IR142"/>
    <mergeCell ref="IS142:IV142"/>
    <mergeCell ref="IW142:IZ142"/>
    <mergeCell ref="HE142:HH142"/>
    <mergeCell ref="HI142:HL142"/>
    <mergeCell ref="HM142:HP142"/>
    <mergeCell ref="HQ142:HT142"/>
    <mergeCell ref="HU142:HX142"/>
    <mergeCell ref="HY142:IB142"/>
    <mergeCell ref="GG142:GJ142"/>
    <mergeCell ref="GK142:GN142"/>
    <mergeCell ref="GO142:GR142"/>
    <mergeCell ref="GS142:GV142"/>
    <mergeCell ref="GW142:GZ142"/>
    <mergeCell ref="HA142:HD142"/>
    <mergeCell ref="KW142:KZ142"/>
    <mergeCell ref="LA142:LD142"/>
    <mergeCell ref="LE142:LH142"/>
    <mergeCell ref="LI142:LL142"/>
    <mergeCell ref="LM142:LP142"/>
    <mergeCell ref="LQ142:LT142"/>
    <mergeCell ref="JY142:KB142"/>
    <mergeCell ref="KC142:KF142"/>
    <mergeCell ref="KG142:KJ142"/>
    <mergeCell ref="KK142:KN142"/>
    <mergeCell ref="KO142:KR142"/>
    <mergeCell ref="KS142:KV142"/>
    <mergeCell ref="JA142:JD142"/>
    <mergeCell ref="JE142:JH142"/>
    <mergeCell ref="JI142:JL142"/>
    <mergeCell ref="JM142:JP142"/>
    <mergeCell ref="JQ142:JT142"/>
    <mergeCell ref="JU142:JX142"/>
    <mergeCell ref="NQ142:NT142"/>
    <mergeCell ref="NU142:NX142"/>
    <mergeCell ref="NY142:OB142"/>
    <mergeCell ref="OC142:OF142"/>
    <mergeCell ref="OG142:OJ142"/>
    <mergeCell ref="OK142:ON142"/>
    <mergeCell ref="MS142:MV142"/>
    <mergeCell ref="MW142:MZ142"/>
    <mergeCell ref="NA142:ND142"/>
    <mergeCell ref="NE142:NH142"/>
    <mergeCell ref="NI142:NL142"/>
    <mergeCell ref="NM142:NP142"/>
    <mergeCell ref="LU142:LX142"/>
    <mergeCell ref="LY142:MB142"/>
    <mergeCell ref="MC142:MF142"/>
    <mergeCell ref="MG142:MJ142"/>
    <mergeCell ref="MK142:MN142"/>
    <mergeCell ref="MO142:MR142"/>
    <mergeCell ref="QK142:QN142"/>
    <mergeCell ref="QO142:QR142"/>
    <mergeCell ref="QS142:QV142"/>
    <mergeCell ref="QW142:QZ142"/>
    <mergeCell ref="RA142:RD142"/>
    <mergeCell ref="RE142:RH142"/>
    <mergeCell ref="PM142:PP142"/>
    <mergeCell ref="PQ142:PT142"/>
    <mergeCell ref="PU142:PX142"/>
    <mergeCell ref="PY142:QB142"/>
    <mergeCell ref="QC142:QF142"/>
    <mergeCell ref="QG142:QJ142"/>
    <mergeCell ref="OO142:OR142"/>
    <mergeCell ref="OS142:OV142"/>
    <mergeCell ref="OW142:OZ142"/>
    <mergeCell ref="PA142:PD142"/>
    <mergeCell ref="PE142:PH142"/>
    <mergeCell ref="PI142:PL142"/>
    <mergeCell ref="TE142:TH142"/>
    <mergeCell ref="TI142:TL142"/>
    <mergeCell ref="TM142:TP142"/>
    <mergeCell ref="TQ142:TT142"/>
    <mergeCell ref="TU142:TX142"/>
    <mergeCell ref="TY142:UB142"/>
    <mergeCell ref="SG142:SJ142"/>
    <mergeCell ref="SK142:SN142"/>
    <mergeCell ref="SO142:SR142"/>
    <mergeCell ref="SS142:SV142"/>
    <mergeCell ref="SW142:SZ142"/>
    <mergeCell ref="TA142:TD142"/>
    <mergeCell ref="RI142:RL142"/>
    <mergeCell ref="RM142:RP142"/>
    <mergeCell ref="RQ142:RT142"/>
    <mergeCell ref="RU142:RX142"/>
    <mergeCell ref="RY142:SB142"/>
    <mergeCell ref="SC142:SF142"/>
    <mergeCell ref="VY142:WB142"/>
    <mergeCell ref="WC142:WF142"/>
    <mergeCell ref="WG142:WJ142"/>
    <mergeCell ref="WK142:WN142"/>
    <mergeCell ref="WO142:WR142"/>
    <mergeCell ref="WS142:WV142"/>
    <mergeCell ref="VA142:VD142"/>
    <mergeCell ref="VE142:VH142"/>
    <mergeCell ref="VI142:VL142"/>
    <mergeCell ref="VM142:VP142"/>
    <mergeCell ref="VQ142:VT142"/>
    <mergeCell ref="VU142:VX142"/>
    <mergeCell ref="UC142:UF142"/>
    <mergeCell ref="UG142:UJ142"/>
    <mergeCell ref="UK142:UN142"/>
    <mergeCell ref="UO142:UR142"/>
    <mergeCell ref="US142:UV142"/>
    <mergeCell ref="UW142:UZ142"/>
    <mergeCell ref="YS142:YV142"/>
    <mergeCell ref="YW142:YZ142"/>
    <mergeCell ref="ZA142:ZD142"/>
    <mergeCell ref="ZE142:ZH142"/>
    <mergeCell ref="ZI142:ZL142"/>
    <mergeCell ref="ZM142:ZP142"/>
    <mergeCell ref="XU142:XX142"/>
    <mergeCell ref="XY142:YB142"/>
    <mergeCell ref="YC142:YF142"/>
    <mergeCell ref="YG142:YJ142"/>
    <mergeCell ref="YK142:YN142"/>
    <mergeCell ref="YO142:YR142"/>
    <mergeCell ref="WW142:WZ142"/>
    <mergeCell ref="XA142:XD142"/>
    <mergeCell ref="XE142:XH142"/>
    <mergeCell ref="XI142:XL142"/>
    <mergeCell ref="XM142:XP142"/>
    <mergeCell ref="XQ142:XT142"/>
    <mergeCell ref="ABM142:ABP142"/>
    <mergeCell ref="ABQ142:ABT142"/>
    <mergeCell ref="ABU142:ABX142"/>
    <mergeCell ref="ABY142:ACB142"/>
    <mergeCell ref="ACC142:ACF142"/>
    <mergeCell ref="ACG142:ACJ142"/>
    <mergeCell ref="AAO142:AAR142"/>
    <mergeCell ref="AAS142:AAV142"/>
    <mergeCell ref="AAW142:AAZ142"/>
    <mergeCell ref="ABA142:ABD142"/>
    <mergeCell ref="ABE142:ABH142"/>
    <mergeCell ref="ABI142:ABL142"/>
    <mergeCell ref="ZQ142:ZT142"/>
    <mergeCell ref="ZU142:ZX142"/>
    <mergeCell ref="ZY142:AAB142"/>
    <mergeCell ref="AAC142:AAF142"/>
    <mergeCell ref="AAG142:AAJ142"/>
    <mergeCell ref="AAK142:AAN142"/>
    <mergeCell ref="AEG142:AEJ142"/>
    <mergeCell ref="AEK142:AEN142"/>
    <mergeCell ref="AEO142:AER142"/>
    <mergeCell ref="AES142:AEV142"/>
    <mergeCell ref="AEW142:AEZ142"/>
    <mergeCell ref="AFA142:AFD142"/>
    <mergeCell ref="ADI142:ADL142"/>
    <mergeCell ref="ADM142:ADP142"/>
    <mergeCell ref="ADQ142:ADT142"/>
    <mergeCell ref="ADU142:ADX142"/>
    <mergeCell ref="ADY142:AEB142"/>
    <mergeCell ref="AEC142:AEF142"/>
    <mergeCell ref="ACK142:ACN142"/>
    <mergeCell ref="ACO142:ACR142"/>
    <mergeCell ref="ACS142:ACV142"/>
    <mergeCell ref="ACW142:ACZ142"/>
    <mergeCell ref="ADA142:ADD142"/>
    <mergeCell ref="ADE142:ADH142"/>
    <mergeCell ref="AHA142:AHD142"/>
    <mergeCell ref="AHE142:AHH142"/>
    <mergeCell ref="AHI142:AHL142"/>
    <mergeCell ref="AHM142:AHP142"/>
    <mergeCell ref="AHQ142:AHT142"/>
    <mergeCell ref="AHU142:AHX142"/>
    <mergeCell ref="AGC142:AGF142"/>
    <mergeCell ref="AGG142:AGJ142"/>
    <mergeCell ref="AGK142:AGN142"/>
    <mergeCell ref="AGO142:AGR142"/>
    <mergeCell ref="AGS142:AGV142"/>
    <mergeCell ref="AGW142:AGZ142"/>
    <mergeCell ref="AFE142:AFH142"/>
    <mergeCell ref="AFI142:AFL142"/>
    <mergeCell ref="AFM142:AFP142"/>
    <mergeCell ref="AFQ142:AFT142"/>
    <mergeCell ref="AFU142:AFX142"/>
    <mergeCell ref="AFY142:AGB142"/>
    <mergeCell ref="AJU142:AJX142"/>
    <mergeCell ref="AJY142:AKB142"/>
    <mergeCell ref="AKC142:AKF142"/>
    <mergeCell ref="AKG142:AKJ142"/>
    <mergeCell ref="AKK142:AKN142"/>
    <mergeCell ref="AKO142:AKR142"/>
    <mergeCell ref="AIW142:AIZ142"/>
    <mergeCell ref="AJA142:AJD142"/>
    <mergeCell ref="AJE142:AJH142"/>
    <mergeCell ref="AJI142:AJL142"/>
    <mergeCell ref="AJM142:AJP142"/>
    <mergeCell ref="AJQ142:AJT142"/>
    <mergeCell ref="AHY142:AIB142"/>
    <mergeCell ref="AIC142:AIF142"/>
    <mergeCell ref="AIG142:AIJ142"/>
    <mergeCell ref="AIK142:AIN142"/>
    <mergeCell ref="AIO142:AIR142"/>
    <mergeCell ref="AIS142:AIV142"/>
    <mergeCell ref="AMO142:AMR142"/>
    <mergeCell ref="AMS142:AMV142"/>
    <mergeCell ref="AMW142:AMZ142"/>
    <mergeCell ref="ANA142:AND142"/>
    <mergeCell ref="ANE142:ANH142"/>
    <mergeCell ref="ANI142:ANL142"/>
    <mergeCell ref="ALQ142:ALT142"/>
    <mergeCell ref="ALU142:ALX142"/>
    <mergeCell ref="ALY142:AMB142"/>
    <mergeCell ref="AMC142:AMF142"/>
    <mergeCell ref="AMG142:AMJ142"/>
    <mergeCell ref="AMK142:AMN142"/>
    <mergeCell ref="AKS142:AKV142"/>
    <mergeCell ref="AKW142:AKZ142"/>
    <mergeCell ref="ALA142:ALD142"/>
    <mergeCell ref="ALE142:ALH142"/>
    <mergeCell ref="ALI142:ALL142"/>
    <mergeCell ref="ALM142:ALP142"/>
    <mergeCell ref="API142:APL142"/>
    <mergeCell ref="APM142:APP142"/>
    <mergeCell ref="APQ142:APT142"/>
    <mergeCell ref="APU142:APX142"/>
    <mergeCell ref="APY142:AQB142"/>
    <mergeCell ref="AQC142:AQF142"/>
    <mergeCell ref="AOK142:AON142"/>
    <mergeCell ref="AOO142:AOR142"/>
    <mergeCell ref="AOS142:AOV142"/>
    <mergeCell ref="AOW142:AOZ142"/>
    <mergeCell ref="APA142:APD142"/>
    <mergeCell ref="APE142:APH142"/>
    <mergeCell ref="ANM142:ANP142"/>
    <mergeCell ref="ANQ142:ANT142"/>
    <mergeCell ref="ANU142:ANX142"/>
    <mergeCell ref="ANY142:AOB142"/>
    <mergeCell ref="AOC142:AOF142"/>
    <mergeCell ref="AOG142:AOJ142"/>
    <mergeCell ref="ASC142:ASF142"/>
    <mergeCell ref="ASG142:ASJ142"/>
    <mergeCell ref="ASK142:ASN142"/>
    <mergeCell ref="ASO142:ASR142"/>
    <mergeCell ref="ASS142:ASV142"/>
    <mergeCell ref="ASW142:ASZ142"/>
    <mergeCell ref="ARE142:ARH142"/>
    <mergeCell ref="ARI142:ARL142"/>
    <mergeCell ref="ARM142:ARP142"/>
    <mergeCell ref="ARQ142:ART142"/>
    <mergeCell ref="ARU142:ARX142"/>
    <mergeCell ref="ARY142:ASB142"/>
    <mergeCell ref="AQG142:AQJ142"/>
    <mergeCell ref="AQK142:AQN142"/>
    <mergeCell ref="AQO142:AQR142"/>
    <mergeCell ref="AQS142:AQV142"/>
    <mergeCell ref="AQW142:AQZ142"/>
    <mergeCell ref="ARA142:ARD142"/>
    <mergeCell ref="AUW142:AUZ142"/>
    <mergeCell ref="AVA142:AVD142"/>
    <mergeCell ref="AVE142:AVH142"/>
    <mergeCell ref="AVI142:AVL142"/>
    <mergeCell ref="AVM142:AVP142"/>
    <mergeCell ref="AVQ142:AVT142"/>
    <mergeCell ref="ATY142:AUB142"/>
    <mergeCell ref="AUC142:AUF142"/>
    <mergeCell ref="AUG142:AUJ142"/>
    <mergeCell ref="AUK142:AUN142"/>
    <mergeCell ref="AUO142:AUR142"/>
    <mergeCell ref="AUS142:AUV142"/>
    <mergeCell ref="ATA142:ATD142"/>
    <mergeCell ref="ATE142:ATH142"/>
    <mergeCell ref="ATI142:ATL142"/>
    <mergeCell ref="ATM142:ATP142"/>
    <mergeCell ref="ATQ142:ATT142"/>
    <mergeCell ref="ATU142:ATX142"/>
    <mergeCell ref="AXQ142:AXT142"/>
    <mergeCell ref="AXU142:AXX142"/>
    <mergeCell ref="AXY142:AYB142"/>
    <mergeCell ref="AYC142:AYF142"/>
    <mergeCell ref="AYG142:AYJ142"/>
    <mergeCell ref="AYK142:AYN142"/>
    <mergeCell ref="AWS142:AWV142"/>
    <mergeCell ref="AWW142:AWZ142"/>
    <mergeCell ref="AXA142:AXD142"/>
    <mergeCell ref="AXE142:AXH142"/>
    <mergeCell ref="AXI142:AXL142"/>
    <mergeCell ref="AXM142:AXP142"/>
    <mergeCell ref="AVU142:AVX142"/>
    <mergeCell ref="AVY142:AWB142"/>
    <mergeCell ref="AWC142:AWF142"/>
    <mergeCell ref="AWG142:AWJ142"/>
    <mergeCell ref="AWK142:AWN142"/>
    <mergeCell ref="AWO142:AWR142"/>
    <mergeCell ref="BAK142:BAN142"/>
    <mergeCell ref="BAO142:BAR142"/>
    <mergeCell ref="BAS142:BAV142"/>
    <mergeCell ref="BAW142:BAZ142"/>
    <mergeCell ref="BBA142:BBD142"/>
    <mergeCell ref="BBE142:BBH142"/>
    <mergeCell ref="AZM142:AZP142"/>
    <mergeCell ref="AZQ142:AZT142"/>
    <mergeCell ref="AZU142:AZX142"/>
    <mergeCell ref="AZY142:BAB142"/>
    <mergeCell ref="BAC142:BAF142"/>
    <mergeCell ref="BAG142:BAJ142"/>
    <mergeCell ref="AYO142:AYR142"/>
    <mergeCell ref="AYS142:AYV142"/>
    <mergeCell ref="AYW142:AYZ142"/>
    <mergeCell ref="AZA142:AZD142"/>
    <mergeCell ref="AZE142:AZH142"/>
    <mergeCell ref="AZI142:AZL142"/>
    <mergeCell ref="BDE142:BDH142"/>
    <mergeCell ref="BDI142:BDL142"/>
    <mergeCell ref="BDM142:BDP142"/>
    <mergeCell ref="BDQ142:BDT142"/>
    <mergeCell ref="BDU142:BDX142"/>
    <mergeCell ref="BDY142:BEB142"/>
    <mergeCell ref="BCG142:BCJ142"/>
    <mergeCell ref="BCK142:BCN142"/>
    <mergeCell ref="BCO142:BCR142"/>
    <mergeCell ref="BCS142:BCV142"/>
    <mergeCell ref="BCW142:BCZ142"/>
    <mergeCell ref="BDA142:BDD142"/>
    <mergeCell ref="BBI142:BBL142"/>
    <mergeCell ref="BBM142:BBP142"/>
    <mergeCell ref="BBQ142:BBT142"/>
    <mergeCell ref="BBU142:BBX142"/>
    <mergeCell ref="BBY142:BCB142"/>
    <mergeCell ref="BCC142:BCF142"/>
    <mergeCell ref="BFY142:BGB142"/>
    <mergeCell ref="BGC142:BGF142"/>
    <mergeCell ref="BGG142:BGJ142"/>
    <mergeCell ref="BGK142:BGN142"/>
    <mergeCell ref="BGO142:BGR142"/>
    <mergeCell ref="BGS142:BGV142"/>
    <mergeCell ref="BFA142:BFD142"/>
    <mergeCell ref="BFE142:BFH142"/>
    <mergeCell ref="BFI142:BFL142"/>
    <mergeCell ref="BFM142:BFP142"/>
    <mergeCell ref="BFQ142:BFT142"/>
    <mergeCell ref="BFU142:BFX142"/>
    <mergeCell ref="BEC142:BEF142"/>
    <mergeCell ref="BEG142:BEJ142"/>
    <mergeCell ref="BEK142:BEN142"/>
    <mergeCell ref="BEO142:BER142"/>
    <mergeCell ref="BES142:BEV142"/>
    <mergeCell ref="BEW142:BEZ142"/>
    <mergeCell ref="BIS142:BIV142"/>
    <mergeCell ref="BIW142:BIZ142"/>
    <mergeCell ref="BJA142:BJD142"/>
    <mergeCell ref="BJE142:BJH142"/>
    <mergeCell ref="BJI142:BJL142"/>
    <mergeCell ref="BJM142:BJP142"/>
    <mergeCell ref="BHU142:BHX142"/>
    <mergeCell ref="BHY142:BIB142"/>
    <mergeCell ref="BIC142:BIF142"/>
    <mergeCell ref="BIG142:BIJ142"/>
    <mergeCell ref="BIK142:BIN142"/>
    <mergeCell ref="BIO142:BIR142"/>
    <mergeCell ref="BGW142:BGZ142"/>
    <mergeCell ref="BHA142:BHD142"/>
    <mergeCell ref="BHE142:BHH142"/>
    <mergeCell ref="BHI142:BHL142"/>
    <mergeCell ref="BHM142:BHP142"/>
    <mergeCell ref="BHQ142:BHT142"/>
    <mergeCell ref="BLM142:BLP142"/>
    <mergeCell ref="BLQ142:BLT142"/>
    <mergeCell ref="BLU142:BLX142"/>
    <mergeCell ref="BLY142:BMB142"/>
    <mergeCell ref="BMC142:BMF142"/>
    <mergeCell ref="BMG142:BMJ142"/>
    <mergeCell ref="BKO142:BKR142"/>
    <mergeCell ref="BKS142:BKV142"/>
    <mergeCell ref="BKW142:BKZ142"/>
    <mergeCell ref="BLA142:BLD142"/>
    <mergeCell ref="BLE142:BLH142"/>
    <mergeCell ref="BLI142:BLL142"/>
    <mergeCell ref="BJQ142:BJT142"/>
    <mergeCell ref="BJU142:BJX142"/>
    <mergeCell ref="BJY142:BKB142"/>
    <mergeCell ref="BKC142:BKF142"/>
    <mergeCell ref="BKG142:BKJ142"/>
    <mergeCell ref="BKK142:BKN142"/>
    <mergeCell ref="BOG142:BOJ142"/>
    <mergeCell ref="BOK142:BON142"/>
    <mergeCell ref="BOO142:BOR142"/>
    <mergeCell ref="BOS142:BOV142"/>
    <mergeCell ref="BOW142:BOZ142"/>
    <mergeCell ref="BPA142:BPD142"/>
    <mergeCell ref="BNI142:BNL142"/>
    <mergeCell ref="BNM142:BNP142"/>
    <mergeCell ref="BNQ142:BNT142"/>
    <mergeCell ref="BNU142:BNX142"/>
    <mergeCell ref="BNY142:BOB142"/>
    <mergeCell ref="BOC142:BOF142"/>
    <mergeCell ref="BMK142:BMN142"/>
    <mergeCell ref="BMO142:BMR142"/>
    <mergeCell ref="BMS142:BMV142"/>
    <mergeCell ref="BMW142:BMZ142"/>
    <mergeCell ref="BNA142:BND142"/>
    <mergeCell ref="BNE142:BNH142"/>
    <mergeCell ref="BRA142:BRD142"/>
    <mergeCell ref="BRE142:BRH142"/>
    <mergeCell ref="BRI142:BRL142"/>
    <mergeCell ref="BRM142:BRP142"/>
    <mergeCell ref="BRQ142:BRT142"/>
    <mergeCell ref="BRU142:BRX142"/>
    <mergeCell ref="BQC142:BQF142"/>
    <mergeCell ref="BQG142:BQJ142"/>
    <mergeCell ref="BQK142:BQN142"/>
    <mergeCell ref="BQO142:BQR142"/>
    <mergeCell ref="BQS142:BQV142"/>
    <mergeCell ref="BQW142:BQZ142"/>
    <mergeCell ref="BPE142:BPH142"/>
    <mergeCell ref="BPI142:BPL142"/>
    <mergeCell ref="BPM142:BPP142"/>
    <mergeCell ref="BPQ142:BPT142"/>
    <mergeCell ref="BPU142:BPX142"/>
    <mergeCell ref="BPY142:BQB142"/>
    <mergeCell ref="BTU142:BTX142"/>
    <mergeCell ref="BTY142:BUB142"/>
    <mergeCell ref="BUC142:BUF142"/>
    <mergeCell ref="BUG142:BUJ142"/>
    <mergeCell ref="BUK142:BUN142"/>
    <mergeCell ref="BUO142:BUR142"/>
    <mergeCell ref="BSW142:BSZ142"/>
    <mergeCell ref="BTA142:BTD142"/>
    <mergeCell ref="BTE142:BTH142"/>
    <mergeCell ref="BTI142:BTL142"/>
    <mergeCell ref="BTM142:BTP142"/>
    <mergeCell ref="BTQ142:BTT142"/>
    <mergeCell ref="BRY142:BSB142"/>
    <mergeCell ref="BSC142:BSF142"/>
    <mergeCell ref="BSG142:BSJ142"/>
    <mergeCell ref="BSK142:BSN142"/>
    <mergeCell ref="BSO142:BSR142"/>
    <mergeCell ref="BSS142:BSV142"/>
    <mergeCell ref="BWO142:BWR142"/>
    <mergeCell ref="BWS142:BWV142"/>
    <mergeCell ref="BWW142:BWZ142"/>
    <mergeCell ref="BXA142:BXD142"/>
    <mergeCell ref="BXE142:BXH142"/>
    <mergeCell ref="BXI142:BXL142"/>
    <mergeCell ref="BVQ142:BVT142"/>
    <mergeCell ref="BVU142:BVX142"/>
    <mergeCell ref="BVY142:BWB142"/>
    <mergeCell ref="BWC142:BWF142"/>
    <mergeCell ref="BWG142:BWJ142"/>
    <mergeCell ref="BWK142:BWN142"/>
    <mergeCell ref="BUS142:BUV142"/>
    <mergeCell ref="BUW142:BUZ142"/>
    <mergeCell ref="BVA142:BVD142"/>
    <mergeCell ref="BVE142:BVH142"/>
    <mergeCell ref="BVI142:BVL142"/>
    <mergeCell ref="BVM142:BVP142"/>
    <mergeCell ref="BZI142:BZL142"/>
    <mergeCell ref="BZM142:BZP142"/>
    <mergeCell ref="BZQ142:BZT142"/>
    <mergeCell ref="BZU142:BZX142"/>
    <mergeCell ref="BZY142:CAB142"/>
    <mergeCell ref="CAC142:CAF142"/>
    <mergeCell ref="BYK142:BYN142"/>
    <mergeCell ref="BYO142:BYR142"/>
    <mergeCell ref="BYS142:BYV142"/>
    <mergeCell ref="BYW142:BYZ142"/>
    <mergeCell ref="BZA142:BZD142"/>
    <mergeCell ref="BZE142:BZH142"/>
    <mergeCell ref="BXM142:BXP142"/>
    <mergeCell ref="BXQ142:BXT142"/>
    <mergeCell ref="BXU142:BXX142"/>
    <mergeCell ref="BXY142:BYB142"/>
    <mergeCell ref="BYC142:BYF142"/>
    <mergeCell ref="BYG142:BYJ142"/>
    <mergeCell ref="CCC142:CCF142"/>
    <mergeCell ref="CCG142:CCJ142"/>
    <mergeCell ref="CCK142:CCN142"/>
    <mergeCell ref="CCO142:CCR142"/>
    <mergeCell ref="CCS142:CCV142"/>
    <mergeCell ref="CCW142:CCZ142"/>
    <mergeCell ref="CBE142:CBH142"/>
    <mergeCell ref="CBI142:CBL142"/>
    <mergeCell ref="CBM142:CBP142"/>
    <mergeCell ref="CBQ142:CBT142"/>
    <mergeCell ref="CBU142:CBX142"/>
    <mergeCell ref="CBY142:CCB142"/>
    <mergeCell ref="CAG142:CAJ142"/>
    <mergeCell ref="CAK142:CAN142"/>
    <mergeCell ref="CAO142:CAR142"/>
    <mergeCell ref="CAS142:CAV142"/>
    <mergeCell ref="CAW142:CAZ142"/>
    <mergeCell ref="CBA142:CBD142"/>
    <mergeCell ref="CEW142:CEZ142"/>
    <mergeCell ref="CFA142:CFD142"/>
    <mergeCell ref="CFE142:CFH142"/>
    <mergeCell ref="CFI142:CFL142"/>
    <mergeCell ref="CFM142:CFP142"/>
    <mergeCell ref="CFQ142:CFT142"/>
    <mergeCell ref="CDY142:CEB142"/>
    <mergeCell ref="CEC142:CEF142"/>
    <mergeCell ref="CEG142:CEJ142"/>
    <mergeCell ref="CEK142:CEN142"/>
    <mergeCell ref="CEO142:CER142"/>
    <mergeCell ref="CES142:CEV142"/>
    <mergeCell ref="CDA142:CDD142"/>
    <mergeCell ref="CDE142:CDH142"/>
    <mergeCell ref="CDI142:CDL142"/>
    <mergeCell ref="CDM142:CDP142"/>
    <mergeCell ref="CDQ142:CDT142"/>
    <mergeCell ref="CDU142:CDX142"/>
    <mergeCell ref="CHQ142:CHT142"/>
    <mergeCell ref="CHU142:CHX142"/>
    <mergeCell ref="CHY142:CIB142"/>
    <mergeCell ref="CIC142:CIF142"/>
    <mergeCell ref="CIG142:CIJ142"/>
    <mergeCell ref="CIK142:CIN142"/>
    <mergeCell ref="CGS142:CGV142"/>
    <mergeCell ref="CGW142:CGZ142"/>
    <mergeCell ref="CHA142:CHD142"/>
    <mergeCell ref="CHE142:CHH142"/>
    <mergeCell ref="CHI142:CHL142"/>
    <mergeCell ref="CHM142:CHP142"/>
    <mergeCell ref="CFU142:CFX142"/>
    <mergeCell ref="CFY142:CGB142"/>
    <mergeCell ref="CGC142:CGF142"/>
    <mergeCell ref="CGG142:CGJ142"/>
    <mergeCell ref="CGK142:CGN142"/>
    <mergeCell ref="CGO142:CGR142"/>
    <mergeCell ref="CKK142:CKN142"/>
    <mergeCell ref="CKO142:CKR142"/>
    <mergeCell ref="CKS142:CKV142"/>
    <mergeCell ref="CKW142:CKZ142"/>
    <mergeCell ref="CLA142:CLD142"/>
    <mergeCell ref="CLE142:CLH142"/>
    <mergeCell ref="CJM142:CJP142"/>
    <mergeCell ref="CJQ142:CJT142"/>
    <mergeCell ref="CJU142:CJX142"/>
    <mergeCell ref="CJY142:CKB142"/>
    <mergeCell ref="CKC142:CKF142"/>
    <mergeCell ref="CKG142:CKJ142"/>
    <mergeCell ref="CIO142:CIR142"/>
    <mergeCell ref="CIS142:CIV142"/>
    <mergeCell ref="CIW142:CIZ142"/>
    <mergeCell ref="CJA142:CJD142"/>
    <mergeCell ref="CJE142:CJH142"/>
    <mergeCell ref="CJI142:CJL142"/>
    <mergeCell ref="CNE142:CNH142"/>
    <mergeCell ref="CNI142:CNL142"/>
    <mergeCell ref="CNM142:CNP142"/>
    <mergeCell ref="CNQ142:CNT142"/>
    <mergeCell ref="CNU142:CNX142"/>
    <mergeCell ref="CNY142:COB142"/>
    <mergeCell ref="CMG142:CMJ142"/>
    <mergeCell ref="CMK142:CMN142"/>
    <mergeCell ref="CMO142:CMR142"/>
    <mergeCell ref="CMS142:CMV142"/>
    <mergeCell ref="CMW142:CMZ142"/>
    <mergeCell ref="CNA142:CND142"/>
    <mergeCell ref="CLI142:CLL142"/>
    <mergeCell ref="CLM142:CLP142"/>
    <mergeCell ref="CLQ142:CLT142"/>
    <mergeCell ref="CLU142:CLX142"/>
    <mergeCell ref="CLY142:CMB142"/>
    <mergeCell ref="CMC142:CMF142"/>
    <mergeCell ref="CPY142:CQB142"/>
    <mergeCell ref="CQC142:CQF142"/>
    <mergeCell ref="CQG142:CQJ142"/>
    <mergeCell ref="CQK142:CQN142"/>
    <mergeCell ref="CQO142:CQR142"/>
    <mergeCell ref="CQS142:CQV142"/>
    <mergeCell ref="CPA142:CPD142"/>
    <mergeCell ref="CPE142:CPH142"/>
    <mergeCell ref="CPI142:CPL142"/>
    <mergeCell ref="CPM142:CPP142"/>
    <mergeCell ref="CPQ142:CPT142"/>
    <mergeCell ref="CPU142:CPX142"/>
    <mergeCell ref="COC142:COF142"/>
    <mergeCell ref="COG142:COJ142"/>
    <mergeCell ref="COK142:CON142"/>
    <mergeCell ref="COO142:COR142"/>
    <mergeCell ref="COS142:COV142"/>
    <mergeCell ref="COW142:COZ142"/>
    <mergeCell ref="CSS142:CSV142"/>
    <mergeCell ref="CSW142:CSZ142"/>
    <mergeCell ref="CTA142:CTD142"/>
    <mergeCell ref="CTE142:CTH142"/>
    <mergeCell ref="CTI142:CTL142"/>
    <mergeCell ref="CTM142:CTP142"/>
    <mergeCell ref="CRU142:CRX142"/>
    <mergeCell ref="CRY142:CSB142"/>
    <mergeCell ref="CSC142:CSF142"/>
    <mergeCell ref="CSG142:CSJ142"/>
    <mergeCell ref="CSK142:CSN142"/>
    <mergeCell ref="CSO142:CSR142"/>
    <mergeCell ref="CQW142:CQZ142"/>
    <mergeCell ref="CRA142:CRD142"/>
    <mergeCell ref="CRE142:CRH142"/>
    <mergeCell ref="CRI142:CRL142"/>
    <mergeCell ref="CRM142:CRP142"/>
    <mergeCell ref="CRQ142:CRT142"/>
    <mergeCell ref="CVM142:CVP142"/>
    <mergeCell ref="CVQ142:CVT142"/>
    <mergeCell ref="CVU142:CVX142"/>
    <mergeCell ref="CVY142:CWB142"/>
    <mergeCell ref="CWC142:CWF142"/>
    <mergeCell ref="CWG142:CWJ142"/>
    <mergeCell ref="CUO142:CUR142"/>
    <mergeCell ref="CUS142:CUV142"/>
    <mergeCell ref="CUW142:CUZ142"/>
    <mergeCell ref="CVA142:CVD142"/>
    <mergeCell ref="CVE142:CVH142"/>
    <mergeCell ref="CVI142:CVL142"/>
    <mergeCell ref="CTQ142:CTT142"/>
    <mergeCell ref="CTU142:CTX142"/>
    <mergeCell ref="CTY142:CUB142"/>
    <mergeCell ref="CUC142:CUF142"/>
    <mergeCell ref="CUG142:CUJ142"/>
    <mergeCell ref="CUK142:CUN142"/>
    <mergeCell ref="CYG142:CYJ142"/>
    <mergeCell ref="CYK142:CYN142"/>
    <mergeCell ref="CYO142:CYR142"/>
    <mergeCell ref="CYS142:CYV142"/>
    <mergeCell ref="CYW142:CYZ142"/>
    <mergeCell ref="CZA142:CZD142"/>
    <mergeCell ref="CXI142:CXL142"/>
    <mergeCell ref="CXM142:CXP142"/>
    <mergeCell ref="CXQ142:CXT142"/>
    <mergeCell ref="CXU142:CXX142"/>
    <mergeCell ref="CXY142:CYB142"/>
    <mergeCell ref="CYC142:CYF142"/>
    <mergeCell ref="CWK142:CWN142"/>
    <mergeCell ref="CWO142:CWR142"/>
    <mergeCell ref="CWS142:CWV142"/>
    <mergeCell ref="CWW142:CWZ142"/>
    <mergeCell ref="CXA142:CXD142"/>
    <mergeCell ref="CXE142:CXH142"/>
    <mergeCell ref="DBA142:DBD142"/>
    <mergeCell ref="DBE142:DBH142"/>
    <mergeCell ref="DBI142:DBL142"/>
    <mergeCell ref="DBM142:DBP142"/>
    <mergeCell ref="DBQ142:DBT142"/>
    <mergeCell ref="DBU142:DBX142"/>
    <mergeCell ref="DAC142:DAF142"/>
    <mergeCell ref="DAG142:DAJ142"/>
    <mergeCell ref="DAK142:DAN142"/>
    <mergeCell ref="DAO142:DAR142"/>
    <mergeCell ref="DAS142:DAV142"/>
    <mergeCell ref="DAW142:DAZ142"/>
    <mergeCell ref="CZE142:CZH142"/>
    <mergeCell ref="CZI142:CZL142"/>
    <mergeCell ref="CZM142:CZP142"/>
    <mergeCell ref="CZQ142:CZT142"/>
    <mergeCell ref="CZU142:CZX142"/>
    <mergeCell ref="CZY142:DAB142"/>
    <mergeCell ref="DDU142:DDX142"/>
    <mergeCell ref="DDY142:DEB142"/>
    <mergeCell ref="DEC142:DEF142"/>
    <mergeCell ref="DEG142:DEJ142"/>
    <mergeCell ref="DEK142:DEN142"/>
    <mergeCell ref="DEO142:DER142"/>
    <mergeCell ref="DCW142:DCZ142"/>
    <mergeCell ref="DDA142:DDD142"/>
    <mergeCell ref="DDE142:DDH142"/>
    <mergeCell ref="DDI142:DDL142"/>
    <mergeCell ref="DDM142:DDP142"/>
    <mergeCell ref="DDQ142:DDT142"/>
    <mergeCell ref="DBY142:DCB142"/>
    <mergeCell ref="DCC142:DCF142"/>
    <mergeCell ref="DCG142:DCJ142"/>
    <mergeCell ref="DCK142:DCN142"/>
    <mergeCell ref="DCO142:DCR142"/>
    <mergeCell ref="DCS142:DCV142"/>
    <mergeCell ref="DGO142:DGR142"/>
    <mergeCell ref="DGS142:DGV142"/>
    <mergeCell ref="DGW142:DGZ142"/>
    <mergeCell ref="DHA142:DHD142"/>
    <mergeCell ref="DHE142:DHH142"/>
    <mergeCell ref="DHI142:DHL142"/>
    <mergeCell ref="DFQ142:DFT142"/>
    <mergeCell ref="DFU142:DFX142"/>
    <mergeCell ref="DFY142:DGB142"/>
    <mergeCell ref="DGC142:DGF142"/>
    <mergeCell ref="DGG142:DGJ142"/>
    <mergeCell ref="DGK142:DGN142"/>
    <mergeCell ref="DES142:DEV142"/>
    <mergeCell ref="DEW142:DEZ142"/>
    <mergeCell ref="DFA142:DFD142"/>
    <mergeCell ref="DFE142:DFH142"/>
    <mergeCell ref="DFI142:DFL142"/>
    <mergeCell ref="DFM142:DFP142"/>
    <mergeCell ref="DJI142:DJL142"/>
    <mergeCell ref="DJM142:DJP142"/>
    <mergeCell ref="DJQ142:DJT142"/>
    <mergeCell ref="DJU142:DJX142"/>
    <mergeCell ref="DJY142:DKB142"/>
    <mergeCell ref="DKC142:DKF142"/>
    <mergeCell ref="DIK142:DIN142"/>
    <mergeCell ref="DIO142:DIR142"/>
    <mergeCell ref="DIS142:DIV142"/>
    <mergeCell ref="DIW142:DIZ142"/>
    <mergeCell ref="DJA142:DJD142"/>
    <mergeCell ref="DJE142:DJH142"/>
    <mergeCell ref="DHM142:DHP142"/>
    <mergeCell ref="DHQ142:DHT142"/>
    <mergeCell ref="DHU142:DHX142"/>
    <mergeCell ref="DHY142:DIB142"/>
    <mergeCell ref="DIC142:DIF142"/>
    <mergeCell ref="DIG142:DIJ142"/>
    <mergeCell ref="DMC142:DMF142"/>
    <mergeCell ref="DMG142:DMJ142"/>
    <mergeCell ref="DMK142:DMN142"/>
    <mergeCell ref="DMO142:DMR142"/>
    <mergeCell ref="DMS142:DMV142"/>
    <mergeCell ref="DMW142:DMZ142"/>
    <mergeCell ref="DLE142:DLH142"/>
    <mergeCell ref="DLI142:DLL142"/>
    <mergeCell ref="DLM142:DLP142"/>
    <mergeCell ref="DLQ142:DLT142"/>
    <mergeCell ref="DLU142:DLX142"/>
    <mergeCell ref="DLY142:DMB142"/>
    <mergeCell ref="DKG142:DKJ142"/>
    <mergeCell ref="DKK142:DKN142"/>
    <mergeCell ref="DKO142:DKR142"/>
    <mergeCell ref="DKS142:DKV142"/>
    <mergeCell ref="DKW142:DKZ142"/>
    <mergeCell ref="DLA142:DLD142"/>
    <mergeCell ref="DOW142:DOZ142"/>
    <mergeCell ref="DPA142:DPD142"/>
    <mergeCell ref="DPE142:DPH142"/>
    <mergeCell ref="DPI142:DPL142"/>
    <mergeCell ref="DPM142:DPP142"/>
    <mergeCell ref="DPQ142:DPT142"/>
    <mergeCell ref="DNY142:DOB142"/>
    <mergeCell ref="DOC142:DOF142"/>
    <mergeCell ref="DOG142:DOJ142"/>
    <mergeCell ref="DOK142:DON142"/>
    <mergeCell ref="DOO142:DOR142"/>
    <mergeCell ref="DOS142:DOV142"/>
    <mergeCell ref="DNA142:DND142"/>
    <mergeCell ref="DNE142:DNH142"/>
    <mergeCell ref="DNI142:DNL142"/>
    <mergeCell ref="DNM142:DNP142"/>
    <mergeCell ref="DNQ142:DNT142"/>
    <mergeCell ref="DNU142:DNX142"/>
    <mergeCell ref="DRQ142:DRT142"/>
    <mergeCell ref="DRU142:DRX142"/>
    <mergeCell ref="DRY142:DSB142"/>
    <mergeCell ref="DSC142:DSF142"/>
    <mergeCell ref="DSG142:DSJ142"/>
    <mergeCell ref="DSK142:DSN142"/>
    <mergeCell ref="DQS142:DQV142"/>
    <mergeCell ref="DQW142:DQZ142"/>
    <mergeCell ref="DRA142:DRD142"/>
    <mergeCell ref="DRE142:DRH142"/>
    <mergeCell ref="DRI142:DRL142"/>
    <mergeCell ref="DRM142:DRP142"/>
    <mergeCell ref="DPU142:DPX142"/>
    <mergeCell ref="DPY142:DQB142"/>
    <mergeCell ref="DQC142:DQF142"/>
    <mergeCell ref="DQG142:DQJ142"/>
    <mergeCell ref="DQK142:DQN142"/>
    <mergeCell ref="DQO142:DQR142"/>
    <mergeCell ref="DUK142:DUN142"/>
    <mergeCell ref="DUO142:DUR142"/>
    <mergeCell ref="DUS142:DUV142"/>
    <mergeCell ref="DUW142:DUZ142"/>
    <mergeCell ref="DVA142:DVD142"/>
    <mergeCell ref="DVE142:DVH142"/>
    <mergeCell ref="DTM142:DTP142"/>
    <mergeCell ref="DTQ142:DTT142"/>
    <mergeCell ref="DTU142:DTX142"/>
    <mergeCell ref="DTY142:DUB142"/>
    <mergeCell ref="DUC142:DUF142"/>
    <mergeCell ref="DUG142:DUJ142"/>
    <mergeCell ref="DSO142:DSR142"/>
    <mergeCell ref="DSS142:DSV142"/>
    <mergeCell ref="DSW142:DSZ142"/>
    <mergeCell ref="DTA142:DTD142"/>
    <mergeCell ref="DTE142:DTH142"/>
    <mergeCell ref="DTI142:DTL142"/>
    <mergeCell ref="DXE142:DXH142"/>
    <mergeCell ref="DXI142:DXL142"/>
    <mergeCell ref="DXM142:DXP142"/>
    <mergeCell ref="DXQ142:DXT142"/>
    <mergeCell ref="DXU142:DXX142"/>
    <mergeCell ref="DXY142:DYB142"/>
    <mergeCell ref="DWG142:DWJ142"/>
    <mergeCell ref="DWK142:DWN142"/>
    <mergeCell ref="DWO142:DWR142"/>
    <mergeCell ref="DWS142:DWV142"/>
    <mergeCell ref="DWW142:DWZ142"/>
    <mergeCell ref="DXA142:DXD142"/>
    <mergeCell ref="DVI142:DVL142"/>
    <mergeCell ref="DVM142:DVP142"/>
    <mergeCell ref="DVQ142:DVT142"/>
    <mergeCell ref="DVU142:DVX142"/>
    <mergeCell ref="DVY142:DWB142"/>
    <mergeCell ref="DWC142:DWF142"/>
    <mergeCell ref="DZY142:EAB142"/>
    <mergeCell ref="EAC142:EAF142"/>
    <mergeCell ref="EAG142:EAJ142"/>
    <mergeCell ref="EAK142:EAN142"/>
    <mergeCell ref="EAO142:EAR142"/>
    <mergeCell ref="EAS142:EAV142"/>
    <mergeCell ref="DZA142:DZD142"/>
    <mergeCell ref="DZE142:DZH142"/>
    <mergeCell ref="DZI142:DZL142"/>
    <mergeCell ref="DZM142:DZP142"/>
    <mergeCell ref="DZQ142:DZT142"/>
    <mergeCell ref="DZU142:DZX142"/>
    <mergeCell ref="DYC142:DYF142"/>
    <mergeCell ref="DYG142:DYJ142"/>
    <mergeCell ref="DYK142:DYN142"/>
    <mergeCell ref="DYO142:DYR142"/>
    <mergeCell ref="DYS142:DYV142"/>
    <mergeCell ref="DYW142:DYZ142"/>
    <mergeCell ref="ECS142:ECV142"/>
    <mergeCell ref="ECW142:ECZ142"/>
    <mergeCell ref="EDA142:EDD142"/>
    <mergeCell ref="EDE142:EDH142"/>
    <mergeCell ref="EDI142:EDL142"/>
    <mergeCell ref="EDM142:EDP142"/>
    <mergeCell ref="EBU142:EBX142"/>
    <mergeCell ref="EBY142:ECB142"/>
    <mergeCell ref="ECC142:ECF142"/>
    <mergeCell ref="ECG142:ECJ142"/>
    <mergeCell ref="ECK142:ECN142"/>
    <mergeCell ref="ECO142:ECR142"/>
    <mergeCell ref="EAW142:EAZ142"/>
    <mergeCell ref="EBA142:EBD142"/>
    <mergeCell ref="EBE142:EBH142"/>
    <mergeCell ref="EBI142:EBL142"/>
    <mergeCell ref="EBM142:EBP142"/>
    <mergeCell ref="EBQ142:EBT142"/>
    <mergeCell ref="EFM142:EFP142"/>
    <mergeCell ref="EFQ142:EFT142"/>
    <mergeCell ref="EFU142:EFX142"/>
    <mergeCell ref="EFY142:EGB142"/>
    <mergeCell ref="EGC142:EGF142"/>
    <mergeCell ref="EGG142:EGJ142"/>
    <mergeCell ref="EEO142:EER142"/>
    <mergeCell ref="EES142:EEV142"/>
    <mergeCell ref="EEW142:EEZ142"/>
    <mergeCell ref="EFA142:EFD142"/>
    <mergeCell ref="EFE142:EFH142"/>
    <mergeCell ref="EFI142:EFL142"/>
    <mergeCell ref="EDQ142:EDT142"/>
    <mergeCell ref="EDU142:EDX142"/>
    <mergeCell ref="EDY142:EEB142"/>
    <mergeCell ref="EEC142:EEF142"/>
    <mergeCell ref="EEG142:EEJ142"/>
    <mergeCell ref="EEK142:EEN142"/>
    <mergeCell ref="EIG142:EIJ142"/>
    <mergeCell ref="EIK142:EIN142"/>
    <mergeCell ref="EIO142:EIR142"/>
    <mergeCell ref="EIS142:EIV142"/>
    <mergeCell ref="EIW142:EIZ142"/>
    <mergeCell ref="EJA142:EJD142"/>
    <mergeCell ref="EHI142:EHL142"/>
    <mergeCell ref="EHM142:EHP142"/>
    <mergeCell ref="EHQ142:EHT142"/>
    <mergeCell ref="EHU142:EHX142"/>
    <mergeCell ref="EHY142:EIB142"/>
    <mergeCell ref="EIC142:EIF142"/>
    <mergeCell ref="EGK142:EGN142"/>
    <mergeCell ref="EGO142:EGR142"/>
    <mergeCell ref="EGS142:EGV142"/>
    <mergeCell ref="EGW142:EGZ142"/>
    <mergeCell ref="EHA142:EHD142"/>
    <mergeCell ref="EHE142:EHH142"/>
    <mergeCell ref="ELA142:ELD142"/>
    <mergeCell ref="ELE142:ELH142"/>
    <mergeCell ref="ELI142:ELL142"/>
    <mergeCell ref="ELM142:ELP142"/>
    <mergeCell ref="ELQ142:ELT142"/>
    <mergeCell ref="ELU142:ELX142"/>
    <mergeCell ref="EKC142:EKF142"/>
    <mergeCell ref="EKG142:EKJ142"/>
    <mergeCell ref="EKK142:EKN142"/>
    <mergeCell ref="EKO142:EKR142"/>
    <mergeCell ref="EKS142:EKV142"/>
    <mergeCell ref="EKW142:EKZ142"/>
    <mergeCell ref="EJE142:EJH142"/>
    <mergeCell ref="EJI142:EJL142"/>
    <mergeCell ref="EJM142:EJP142"/>
    <mergeCell ref="EJQ142:EJT142"/>
    <mergeCell ref="EJU142:EJX142"/>
    <mergeCell ref="EJY142:EKB142"/>
    <mergeCell ref="ENU142:ENX142"/>
    <mergeCell ref="ENY142:EOB142"/>
    <mergeCell ref="EOC142:EOF142"/>
    <mergeCell ref="EOG142:EOJ142"/>
    <mergeCell ref="EOK142:EON142"/>
    <mergeCell ref="EOO142:EOR142"/>
    <mergeCell ref="EMW142:EMZ142"/>
    <mergeCell ref="ENA142:END142"/>
    <mergeCell ref="ENE142:ENH142"/>
    <mergeCell ref="ENI142:ENL142"/>
    <mergeCell ref="ENM142:ENP142"/>
    <mergeCell ref="ENQ142:ENT142"/>
    <mergeCell ref="ELY142:EMB142"/>
    <mergeCell ref="EMC142:EMF142"/>
    <mergeCell ref="EMG142:EMJ142"/>
    <mergeCell ref="EMK142:EMN142"/>
    <mergeCell ref="EMO142:EMR142"/>
    <mergeCell ref="EMS142:EMV142"/>
    <mergeCell ref="EQO142:EQR142"/>
    <mergeCell ref="EQS142:EQV142"/>
    <mergeCell ref="EQW142:EQZ142"/>
    <mergeCell ref="ERA142:ERD142"/>
    <mergeCell ref="ERE142:ERH142"/>
    <mergeCell ref="ERI142:ERL142"/>
    <mergeCell ref="EPQ142:EPT142"/>
    <mergeCell ref="EPU142:EPX142"/>
    <mergeCell ref="EPY142:EQB142"/>
    <mergeCell ref="EQC142:EQF142"/>
    <mergeCell ref="EQG142:EQJ142"/>
    <mergeCell ref="EQK142:EQN142"/>
    <mergeCell ref="EOS142:EOV142"/>
    <mergeCell ref="EOW142:EOZ142"/>
    <mergeCell ref="EPA142:EPD142"/>
    <mergeCell ref="EPE142:EPH142"/>
    <mergeCell ref="EPI142:EPL142"/>
    <mergeCell ref="EPM142:EPP142"/>
    <mergeCell ref="ETI142:ETL142"/>
    <mergeCell ref="ETM142:ETP142"/>
    <mergeCell ref="ETQ142:ETT142"/>
    <mergeCell ref="ETU142:ETX142"/>
    <mergeCell ref="ETY142:EUB142"/>
    <mergeCell ref="EUC142:EUF142"/>
    <mergeCell ref="ESK142:ESN142"/>
    <mergeCell ref="ESO142:ESR142"/>
    <mergeCell ref="ESS142:ESV142"/>
    <mergeCell ref="ESW142:ESZ142"/>
    <mergeCell ref="ETA142:ETD142"/>
    <mergeCell ref="ETE142:ETH142"/>
    <mergeCell ref="ERM142:ERP142"/>
    <mergeCell ref="ERQ142:ERT142"/>
    <mergeCell ref="ERU142:ERX142"/>
    <mergeCell ref="ERY142:ESB142"/>
    <mergeCell ref="ESC142:ESF142"/>
    <mergeCell ref="ESG142:ESJ142"/>
    <mergeCell ref="EWC142:EWF142"/>
    <mergeCell ref="EWG142:EWJ142"/>
    <mergeCell ref="EWK142:EWN142"/>
    <mergeCell ref="EWO142:EWR142"/>
    <mergeCell ref="EWS142:EWV142"/>
    <mergeCell ref="EWW142:EWZ142"/>
    <mergeCell ref="EVE142:EVH142"/>
    <mergeCell ref="EVI142:EVL142"/>
    <mergeCell ref="EVM142:EVP142"/>
    <mergeCell ref="EVQ142:EVT142"/>
    <mergeCell ref="EVU142:EVX142"/>
    <mergeCell ref="EVY142:EWB142"/>
    <mergeCell ref="EUG142:EUJ142"/>
    <mergeCell ref="EUK142:EUN142"/>
    <mergeCell ref="EUO142:EUR142"/>
    <mergeCell ref="EUS142:EUV142"/>
    <mergeCell ref="EUW142:EUZ142"/>
    <mergeCell ref="EVA142:EVD142"/>
    <mergeCell ref="EYW142:EYZ142"/>
    <mergeCell ref="EZA142:EZD142"/>
    <mergeCell ref="EZE142:EZH142"/>
    <mergeCell ref="EZI142:EZL142"/>
    <mergeCell ref="EZM142:EZP142"/>
    <mergeCell ref="EZQ142:EZT142"/>
    <mergeCell ref="EXY142:EYB142"/>
    <mergeCell ref="EYC142:EYF142"/>
    <mergeCell ref="EYG142:EYJ142"/>
    <mergeCell ref="EYK142:EYN142"/>
    <mergeCell ref="EYO142:EYR142"/>
    <mergeCell ref="EYS142:EYV142"/>
    <mergeCell ref="EXA142:EXD142"/>
    <mergeCell ref="EXE142:EXH142"/>
    <mergeCell ref="EXI142:EXL142"/>
    <mergeCell ref="EXM142:EXP142"/>
    <mergeCell ref="EXQ142:EXT142"/>
    <mergeCell ref="EXU142:EXX142"/>
    <mergeCell ref="FBQ142:FBT142"/>
    <mergeCell ref="FBU142:FBX142"/>
    <mergeCell ref="FBY142:FCB142"/>
    <mergeCell ref="FCC142:FCF142"/>
    <mergeCell ref="FCG142:FCJ142"/>
    <mergeCell ref="FCK142:FCN142"/>
    <mergeCell ref="FAS142:FAV142"/>
    <mergeCell ref="FAW142:FAZ142"/>
    <mergeCell ref="FBA142:FBD142"/>
    <mergeCell ref="FBE142:FBH142"/>
    <mergeCell ref="FBI142:FBL142"/>
    <mergeCell ref="FBM142:FBP142"/>
    <mergeCell ref="EZU142:EZX142"/>
    <mergeCell ref="EZY142:FAB142"/>
    <mergeCell ref="FAC142:FAF142"/>
    <mergeCell ref="FAG142:FAJ142"/>
    <mergeCell ref="FAK142:FAN142"/>
    <mergeCell ref="FAO142:FAR142"/>
    <mergeCell ref="FEK142:FEN142"/>
    <mergeCell ref="FEO142:FER142"/>
    <mergeCell ref="FES142:FEV142"/>
    <mergeCell ref="FEW142:FEZ142"/>
    <mergeCell ref="FFA142:FFD142"/>
    <mergeCell ref="FFE142:FFH142"/>
    <mergeCell ref="FDM142:FDP142"/>
    <mergeCell ref="FDQ142:FDT142"/>
    <mergeCell ref="FDU142:FDX142"/>
    <mergeCell ref="FDY142:FEB142"/>
    <mergeCell ref="FEC142:FEF142"/>
    <mergeCell ref="FEG142:FEJ142"/>
    <mergeCell ref="FCO142:FCR142"/>
    <mergeCell ref="FCS142:FCV142"/>
    <mergeCell ref="FCW142:FCZ142"/>
    <mergeCell ref="FDA142:FDD142"/>
    <mergeCell ref="FDE142:FDH142"/>
    <mergeCell ref="FDI142:FDL142"/>
    <mergeCell ref="FHE142:FHH142"/>
    <mergeCell ref="FHI142:FHL142"/>
    <mergeCell ref="FHM142:FHP142"/>
    <mergeCell ref="FHQ142:FHT142"/>
    <mergeCell ref="FHU142:FHX142"/>
    <mergeCell ref="FHY142:FIB142"/>
    <mergeCell ref="FGG142:FGJ142"/>
    <mergeCell ref="FGK142:FGN142"/>
    <mergeCell ref="FGO142:FGR142"/>
    <mergeCell ref="FGS142:FGV142"/>
    <mergeCell ref="FGW142:FGZ142"/>
    <mergeCell ref="FHA142:FHD142"/>
    <mergeCell ref="FFI142:FFL142"/>
    <mergeCell ref="FFM142:FFP142"/>
    <mergeCell ref="FFQ142:FFT142"/>
    <mergeCell ref="FFU142:FFX142"/>
    <mergeCell ref="FFY142:FGB142"/>
    <mergeCell ref="FGC142:FGF142"/>
    <mergeCell ref="FJY142:FKB142"/>
    <mergeCell ref="FKC142:FKF142"/>
    <mergeCell ref="FKG142:FKJ142"/>
    <mergeCell ref="FKK142:FKN142"/>
    <mergeCell ref="FKO142:FKR142"/>
    <mergeCell ref="FKS142:FKV142"/>
    <mergeCell ref="FJA142:FJD142"/>
    <mergeCell ref="FJE142:FJH142"/>
    <mergeCell ref="FJI142:FJL142"/>
    <mergeCell ref="FJM142:FJP142"/>
    <mergeCell ref="FJQ142:FJT142"/>
    <mergeCell ref="FJU142:FJX142"/>
    <mergeCell ref="FIC142:FIF142"/>
    <mergeCell ref="FIG142:FIJ142"/>
    <mergeCell ref="FIK142:FIN142"/>
    <mergeCell ref="FIO142:FIR142"/>
    <mergeCell ref="FIS142:FIV142"/>
    <mergeCell ref="FIW142:FIZ142"/>
    <mergeCell ref="FMS142:FMV142"/>
    <mergeCell ref="FMW142:FMZ142"/>
    <mergeCell ref="FNA142:FND142"/>
    <mergeCell ref="FNE142:FNH142"/>
    <mergeCell ref="FNI142:FNL142"/>
    <mergeCell ref="FNM142:FNP142"/>
    <mergeCell ref="FLU142:FLX142"/>
    <mergeCell ref="FLY142:FMB142"/>
    <mergeCell ref="FMC142:FMF142"/>
    <mergeCell ref="FMG142:FMJ142"/>
    <mergeCell ref="FMK142:FMN142"/>
    <mergeCell ref="FMO142:FMR142"/>
    <mergeCell ref="FKW142:FKZ142"/>
    <mergeCell ref="FLA142:FLD142"/>
    <mergeCell ref="FLE142:FLH142"/>
    <mergeCell ref="FLI142:FLL142"/>
    <mergeCell ref="FLM142:FLP142"/>
    <mergeCell ref="FLQ142:FLT142"/>
    <mergeCell ref="FPM142:FPP142"/>
    <mergeCell ref="FPQ142:FPT142"/>
    <mergeCell ref="FPU142:FPX142"/>
    <mergeCell ref="FPY142:FQB142"/>
    <mergeCell ref="FQC142:FQF142"/>
    <mergeCell ref="FQG142:FQJ142"/>
    <mergeCell ref="FOO142:FOR142"/>
    <mergeCell ref="FOS142:FOV142"/>
    <mergeCell ref="FOW142:FOZ142"/>
    <mergeCell ref="FPA142:FPD142"/>
    <mergeCell ref="FPE142:FPH142"/>
    <mergeCell ref="FPI142:FPL142"/>
    <mergeCell ref="FNQ142:FNT142"/>
    <mergeCell ref="FNU142:FNX142"/>
    <mergeCell ref="FNY142:FOB142"/>
    <mergeCell ref="FOC142:FOF142"/>
    <mergeCell ref="FOG142:FOJ142"/>
    <mergeCell ref="FOK142:FON142"/>
    <mergeCell ref="FSG142:FSJ142"/>
    <mergeCell ref="FSK142:FSN142"/>
    <mergeCell ref="FSO142:FSR142"/>
    <mergeCell ref="FSS142:FSV142"/>
    <mergeCell ref="FSW142:FSZ142"/>
    <mergeCell ref="FTA142:FTD142"/>
    <mergeCell ref="FRI142:FRL142"/>
    <mergeCell ref="FRM142:FRP142"/>
    <mergeCell ref="FRQ142:FRT142"/>
    <mergeCell ref="FRU142:FRX142"/>
    <mergeCell ref="FRY142:FSB142"/>
    <mergeCell ref="FSC142:FSF142"/>
    <mergeCell ref="FQK142:FQN142"/>
    <mergeCell ref="FQO142:FQR142"/>
    <mergeCell ref="FQS142:FQV142"/>
    <mergeCell ref="FQW142:FQZ142"/>
    <mergeCell ref="FRA142:FRD142"/>
    <mergeCell ref="FRE142:FRH142"/>
    <mergeCell ref="FVA142:FVD142"/>
    <mergeCell ref="FVE142:FVH142"/>
    <mergeCell ref="FVI142:FVL142"/>
    <mergeCell ref="FVM142:FVP142"/>
    <mergeCell ref="FVQ142:FVT142"/>
    <mergeCell ref="FVU142:FVX142"/>
    <mergeCell ref="FUC142:FUF142"/>
    <mergeCell ref="FUG142:FUJ142"/>
    <mergeCell ref="FUK142:FUN142"/>
    <mergeCell ref="FUO142:FUR142"/>
    <mergeCell ref="FUS142:FUV142"/>
    <mergeCell ref="FUW142:FUZ142"/>
    <mergeCell ref="FTE142:FTH142"/>
    <mergeCell ref="FTI142:FTL142"/>
    <mergeCell ref="FTM142:FTP142"/>
    <mergeCell ref="FTQ142:FTT142"/>
    <mergeCell ref="FTU142:FTX142"/>
    <mergeCell ref="FTY142:FUB142"/>
    <mergeCell ref="FXU142:FXX142"/>
    <mergeCell ref="FXY142:FYB142"/>
    <mergeCell ref="FYC142:FYF142"/>
    <mergeCell ref="FYG142:FYJ142"/>
    <mergeCell ref="FYK142:FYN142"/>
    <mergeCell ref="FYO142:FYR142"/>
    <mergeCell ref="FWW142:FWZ142"/>
    <mergeCell ref="FXA142:FXD142"/>
    <mergeCell ref="FXE142:FXH142"/>
    <mergeCell ref="FXI142:FXL142"/>
    <mergeCell ref="FXM142:FXP142"/>
    <mergeCell ref="FXQ142:FXT142"/>
    <mergeCell ref="FVY142:FWB142"/>
    <mergeCell ref="FWC142:FWF142"/>
    <mergeCell ref="FWG142:FWJ142"/>
    <mergeCell ref="FWK142:FWN142"/>
    <mergeCell ref="FWO142:FWR142"/>
    <mergeCell ref="FWS142:FWV142"/>
    <mergeCell ref="GAO142:GAR142"/>
    <mergeCell ref="GAS142:GAV142"/>
    <mergeCell ref="GAW142:GAZ142"/>
    <mergeCell ref="GBA142:GBD142"/>
    <mergeCell ref="GBE142:GBH142"/>
    <mergeCell ref="GBI142:GBL142"/>
    <mergeCell ref="FZQ142:FZT142"/>
    <mergeCell ref="FZU142:FZX142"/>
    <mergeCell ref="FZY142:GAB142"/>
    <mergeCell ref="GAC142:GAF142"/>
    <mergeCell ref="GAG142:GAJ142"/>
    <mergeCell ref="GAK142:GAN142"/>
    <mergeCell ref="FYS142:FYV142"/>
    <mergeCell ref="FYW142:FYZ142"/>
    <mergeCell ref="FZA142:FZD142"/>
    <mergeCell ref="FZE142:FZH142"/>
    <mergeCell ref="FZI142:FZL142"/>
    <mergeCell ref="FZM142:FZP142"/>
    <mergeCell ref="GDI142:GDL142"/>
    <mergeCell ref="GDM142:GDP142"/>
    <mergeCell ref="GDQ142:GDT142"/>
    <mergeCell ref="GDU142:GDX142"/>
    <mergeCell ref="GDY142:GEB142"/>
    <mergeCell ref="GEC142:GEF142"/>
    <mergeCell ref="GCK142:GCN142"/>
    <mergeCell ref="GCO142:GCR142"/>
    <mergeCell ref="GCS142:GCV142"/>
    <mergeCell ref="GCW142:GCZ142"/>
    <mergeCell ref="GDA142:GDD142"/>
    <mergeCell ref="GDE142:GDH142"/>
    <mergeCell ref="GBM142:GBP142"/>
    <mergeCell ref="GBQ142:GBT142"/>
    <mergeCell ref="GBU142:GBX142"/>
    <mergeCell ref="GBY142:GCB142"/>
    <mergeCell ref="GCC142:GCF142"/>
    <mergeCell ref="GCG142:GCJ142"/>
    <mergeCell ref="GGC142:GGF142"/>
    <mergeCell ref="GGG142:GGJ142"/>
    <mergeCell ref="GGK142:GGN142"/>
    <mergeCell ref="GGO142:GGR142"/>
    <mergeCell ref="GGS142:GGV142"/>
    <mergeCell ref="GGW142:GGZ142"/>
    <mergeCell ref="GFE142:GFH142"/>
    <mergeCell ref="GFI142:GFL142"/>
    <mergeCell ref="GFM142:GFP142"/>
    <mergeCell ref="GFQ142:GFT142"/>
    <mergeCell ref="GFU142:GFX142"/>
    <mergeCell ref="GFY142:GGB142"/>
    <mergeCell ref="GEG142:GEJ142"/>
    <mergeCell ref="GEK142:GEN142"/>
    <mergeCell ref="GEO142:GER142"/>
    <mergeCell ref="GES142:GEV142"/>
    <mergeCell ref="GEW142:GEZ142"/>
    <mergeCell ref="GFA142:GFD142"/>
    <mergeCell ref="GIW142:GIZ142"/>
    <mergeCell ref="GJA142:GJD142"/>
    <mergeCell ref="GJE142:GJH142"/>
    <mergeCell ref="GJI142:GJL142"/>
    <mergeCell ref="GJM142:GJP142"/>
    <mergeCell ref="GJQ142:GJT142"/>
    <mergeCell ref="GHY142:GIB142"/>
    <mergeCell ref="GIC142:GIF142"/>
    <mergeCell ref="GIG142:GIJ142"/>
    <mergeCell ref="GIK142:GIN142"/>
    <mergeCell ref="GIO142:GIR142"/>
    <mergeCell ref="GIS142:GIV142"/>
    <mergeCell ref="GHA142:GHD142"/>
    <mergeCell ref="GHE142:GHH142"/>
    <mergeCell ref="GHI142:GHL142"/>
    <mergeCell ref="GHM142:GHP142"/>
    <mergeCell ref="GHQ142:GHT142"/>
    <mergeCell ref="GHU142:GHX142"/>
    <mergeCell ref="GLQ142:GLT142"/>
    <mergeCell ref="GLU142:GLX142"/>
    <mergeCell ref="GLY142:GMB142"/>
    <mergeCell ref="GMC142:GMF142"/>
    <mergeCell ref="GMG142:GMJ142"/>
    <mergeCell ref="GMK142:GMN142"/>
    <mergeCell ref="GKS142:GKV142"/>
    <mergeCell ref="GKW142:GKZ142"/>
    <mergeCell ref="GLA142:GLD142"/>
    <mergeCell ref="GLE142:GLH142"/>
    <mergeCell ref="GLI142:GLL142"/>
    <mergeCell ref="GLM142:GLP142"/>
    <mergeCell ref="GJU142:GJX142"/>
    <mergeCell ref="GJY142:GKB142"/>
    <mergeCell ref="GKC142:GKF142"/>
    <mergeCell ref="GKG142:GKJ142"/>
    <mergeCell ref="GKK142:GKN142"/>
    <mergeCell ref="GKO142:GKR142"/>
    <mergeCell ref="GOK142:GON142"/>
    <mergeCell ref="GOO142:GOR142"/>
    <mergeCell ref="GOS142:GOV142"/>
    <mergeCell ref="GOW142:GOZ142"/>
    <mergeCell ref="GPA142:GPD142"/>
    <mergeCell ref="GPE142:GPH142"/>
    <mergeCell ref="GNM142:GNP142"/>
    <mergeCell ref="GNQ142:GNT142"/>
    <mergeCell ref="GNU142:GNX142"/>
    <mergeCell ref="GNY142:GOB142"/>
    <mergeCell ref="GOC142:GOF142"/>
    <mergeCell ref="GOG142:GOJ142"/>
    <mergeCell ref="GMO142:GMR142"/>
    <mergeCell ref="GMS142:GMV142"/>
    <mergeCell ref="GMW142:GMZ142"/>
    <mergeCell ref="GNA142:GND142"/>
    <mergeCell ref="GNE142:GNH142"/>
    <mergeCell ref="GNI142:GNL142"/>
    <mergeCell ref="GRE142:GRH142"/>
    <mergeCell ref="GRI142:GRL142"/>
    <mergeCell ref="GRM142:GRP142"/>
    <mergeCell ref="GRQ142:GRT142"/>
    <mergeCell ref="GRU142:GRX142"/>
    <mergeCell ref="GRY142:GSB142"/>
    <mergeCell ref="GQG142:GQJ142"/>
    <mergeCell ref="GQK142:GQN142"/>
    <mergeCell ref="GQO142:GQR142"/>
    <mergeCell ref="GQS142:GQV142"/>
    <mergeCell ref="GQW142:GQZ142"/>
    <mergeCell ref="GRA142:GRD142"/>
    <mergeCell ref="GPI142:GPL142"/>
    <mergeCell ref="GPM142:GPP142"/>
    <mergeCell ref="GPQ142:GPT142"/>
    <mergeCell ref="GPU142:GPX142"/>
    <mergeCell ref="GPY142:GQB142"/>
    <mergeCell ref="GQC142:GQF142"/>
    <mergeCell ref="GTY142:GUB142"/>
    <mergeCell ref="GUC142:GUF142"/>
    <mergeCell ref="GUG142:GUJ142"/>
    <mergeCell ref="GUK142:GUN142"/>
    <mergeCell ref="GUO142:GUR142"/>
    <mergeCell ref="GUS142:GUV142"/>
    <mergeCell ref="GTA142:GTD142"/>
    <mergeCell ref="GTE142:GTH142"/>
    <mergeCell ref="GTI142:GTL142"/>
    <mergeCell ref="GTM142:GTP142"/>
    <mergeCell ref="GTQ142:GTT142"/>
    <mergeCell ref="GTU142:GTX142"/>
    <mergeCell ref="GSC142:GSF142"/>
    <mergeCell ref="GSG142:GSJ142"/>
    <mergeCell ref="GSK142:GSN142"/>
    <mergeCell ref="GSO142:GSR142"/>
    <mergeCell ref="GSS142:GSV142"/>
    <mergeCell ref="GSW142:GSZ142"/>
    <mergeCell ref="GWS142:GWV142"/>
    <mergeCell ref="GWW142:GWZ142"/>
    <mergeCell ref="GXA142:GXD142"/>
    <mergeCell ref="GXE142:GXH142"/>
    <mergeCell ref="GXI142:GXL142"/>
    <mergeCell ref="GXM142:GXP142"/>
    <mergeCell ref="GVU142:GVX142"/>
    <mergeCell ref="GVY142:GWB142"/>
    <mergeCell ref="GWC142:GWF142"/>
    <mergeCell ref="GWG142:GWJ142"/>
    <mergeCell ref="GWK142:GWN142"/>
    <mergeCell ref="GWO142:GWR142"/>
    <mergeCell ref="GUW142:GUZ142"/>
    <mergeCell ref="GVA142:GVD142"/>
    <mergeCell ref="GVE142:GVH142"/>
    <mergeCell ref="GVI142:GVL142"/>
    <mergeCell ref="GVM142:GVP142"/>
    <mergeCell ref="GVQ142:GVT142"/>
    <mergeCell ref="GZM142:GZP142"/>
    <mergeCell ref="GZQ142:GZT142"/>
    <mergeCell ref="GZU142:GZX142"/>
    <mergeCell ref="GZY142:HAB142"/>
    <mergeCell ref="HAC142:HAF142"/>
    <mergeCell ref="HAG142:HAJ142"/>
    <mergeCell ref="GYO142:GYR142"/>
    <mergeCell ref="GYS142:GYV142"/>
    <mergeCell ref="GYW142:GYZ142"/>
    <mergeCell ref="GZA142:GZD142"/>
    <mergeCell ref="GZE142:GZH142"/>
    <mergeCell ref="GZI142:GZL142"/>
    <mergeCell ref="GXQ142:GXT142"/>
    <mergeCell ref="GXU142:GXX142"/>
    <mergeCell ref="GXY142:GYB142"/>
    <mergeCell ref="GYC142:GYF142"/>
    <mergeCell ref="GYG142:GYJ142"/>
    <mergeCell ref="GYK142:GYN142"/>
    <mergeCell ref="HCG142:HCJ142"/>
    <mergeCell ref="HCK142:HCN142"/>
    <mergeCell ref="HCO142:HCR142"/>
    <mergeCell ref="HCS142:HCV142"/>
    <mergeCell ref="HCW142:HCZ142"/>
    <mergeCell ref="HDA142:HDD142"/>
    <mergeCell ref="HBI142:HBL142"/>
    <mergeCell ref="HBM142:HBP142"/>
    <mergeCell ref="HBQ142:HBT142"/>
    <mergeCell ref="HBU142:HBX142"/>
    <mergeCell ref="HBY142:HCB142"/>
    <mergeCell ref="HCC142:HCF142"/>
    <mergeCell ref="HAK142:HAN142"/>
    <mergeCell ref="HAO142:HAR142"/>
    <mergeCell ref="HAS142:HAV142"/>
    <mergeCell ref="HAW142:HAZ142"/>
    <mergeCell ref="HBA142:HBD142"/>
    <mergeCell ref="HBE142:HBH142"/>
    <mergeCell ref="HFA142:HFD142"/>
    <mergeCell ref="HFE142:HFH142"/>
    <mergeCell ref="HFI142:HFL142"/>
    <mergeCell ref="HFM142:HFP142"/>
    <mergeCell ref="HFQ142:HFT142"/>
    <mergeCell ref="HFU142:HFX142"/>
    <mergeCell ref="HEC142:HEF142"/>
    <mergeCell ref="HEG142:HEJ142"/>
    <mergeCell ref="HEK142:HEN142"/>
    <mergeCell ref="HEO142:HER142"/>
    <mergeCell ref="HES142:HEV142"/>
    <mergeCell ref="HEW142:HEZ142"/>
    <mergeCell ref="HDE142:HDH142"/>
    <mergeCell ref="HDI142:HDL142"/>
    <mergeCell ref="HDM142:HDP142"/>
    <mergeCell ref="HDQ142:HDT142"/>
    <mergeCell ref="HDU142:HDX142"/>
    <mergeCell ref="HDY142:HEB142"/>
    <mergeCell ref="HHU142:HHX142"/>
    <mergeCell ref="HHY142:HIB142"/>
    <mergeCell ref="HIC142:HIF142"/>
    <mergeCell ref="HIG142:HIJ142"/>
    <mergeCell ref="HIK142:HIN142"/>
    <mergeCell ref="HIO142:HIR142"/>
    <mergeCell ref="HGW142:HGZ142"/>
    <mergeCell ref="HHA142:HHD142"/>
    <mergeCell ref="HHE142:HHH142"/>
    <mergeCell ref="HHI142:HHL142"/>
    <mergeCell ref="HHM142:HHP142"/>
    <mergeCell ref="HHQ142:HHT142"/>
    <mergeCell ref="HFY142:HGB142"/>
    <mergeCell ref="HGC142:HGF142"/>
    <mergeCell ref="HGG142:HGJ142"/>
    <mergeCell ref="HGK142:HGN142"/>
    <mergeCell ref="HGO142:HGR142"/>
    <mergeCell ref="HGS142:HGV142"/>
    <mergeCell ref="HKO142:HKR142"/>
    <mergeCell ref="HKS142:HKV142"/>
    <mergeCell ref="HKW142:HKZ142"/>
    <mergeCell ref="HLA142:HLD142"/>
    <mergeCell ref="HLE142:HLH142"/>
    <mergeCell ref="HLI142:HLL142"/>
    <mergeCell ref="HJQ142:HJT142"/>
    <mergeCell ref="HJU142:HJX142"/>
    <mergeCell ref="HJY142:HKB142"/>
    <mergeCell ref="HKC142:HKF142"/>
    <mergeCell ref="HKG142:HKJ142"/>
    <mergeCell ref="HKK142:HKN142"/>
    <mergeCell ref="HIS142:HIV142"/>
    <mergeCell ref="HIW142:HIZ142"/>
    <mergeCell ref="HJA142:HJD142"/>
    <mergeCell ref="HJE142:HJH142"/>
    <mergeCell ref="HJI142:HJL142"/>
    <mergeCell ref="HJM142:HJP142"/>
    <mergeCell ref="HNI142:HNL142"/>
    <mergeCell ref="HNM142:HNP142"/>
    <mergeCell ref="HNQ142:HNT142"/>
    <mergeCell ref="HNU142:HNX142"/>
    <mergeCell ref="HNY142:HOB142"/>
    <mergeCell ref="HOC142:HOF142"/>
    <mergeCell ref="HMK142:HMN142"/>
    <mergeCell ref="HMO142:HMR142"/>
    <mergeCell ref="HMS142:HMV142"/>
    <mergeCell ref="HMW142:HMZ142"/>
    <mergeCell ref="HNA142:HND142"/>
    <mergeCell ref="HNE142:HNH142"/>
    <mergeCell ref="HLM142:HLP142"/>
    <mergeCell ref="HLQ142:HLT142"/>
    <mergeCell ref="HLU142:HLX142"/>
    <mergeCell ref="HLY142:HMB142"/>
    <mergeCell ref="HMC142:HMF142"/>
    <mergeCell ref="HMG142:HMJ142"/>
    <mergeCell ref="HQC142:HQF142"/>
    <mergeCell ref="HQG142:HQJ142"/>
    <mergeCell ref="HQK142:HQN142"/>
    <mergeCell ref="HQO142:HQR142"/>
    <mergeCell ref="HQS142:HQV142"/>
    <mergeCell ref="HQW142:HQZ142"/>
    <mergeCell ref="HPE142:HPH142"/>
    <mergeCell ref="HPI142:HPL142"/>
    <mergeCell ref="HPM142:HPP142"/>
    <mergeCell ref="HPQ142:HPT142"/>
    <mergeCell ref="HPU142:HPX142"/>
    <mergeCell ref="HPY142:HQB142"/>
    <mergeCell ref="HOG142:HOJ142"/>
    <mergeCell ref="HOK142:HON142"/>
    <mergeCell ref="HOO142:HOR142"/>
    <mergeCell ref="HOS142:HOV142"/>
    <mergeCell ref="HOW142:HOZ142"/>
    <mergeCell ref="HPA142:HPD142"/>
    <mergeCell ref="HSW142:HSZ142"/>
    <mergeCell ref="HTA142:HTD142"/>
    <mergeCell ref="HTE142:HTH142"/>
    <mergeCell ref="HTI142:HTL142"/>
    <mergeCell ref="HTM142:HTP142"/>
    <mergeCell ref="HTQ142:HTT142"/>
    <mergeCell ref="HRY142:HSB142"/>
    <mergeCell ref="HSC142:HSF142"/>
    <mergeCell ref="HSG142:HSJ142"/>
    <mergeCell ref="HSK142:HSN142"/>
    <mergeCell ref="HSO142:HSR142"/>
    <mergeCell ref="HSS142:HSV142"/>
    <mergeCell ref="HRA142:HRD142"/>
    <mergeCell ref="HRE142:HRH142"/>
    <mergeCell ref="HRI142:HRL142"/>
    <mergeCell ref="HRM142:HRP142"/>
    <mergeCell ref="HRQ142:HRT142"/>
    <mergeCell ref="HRU142:HRX142"/>
    <mergeCell ref="HVQ142:HVT142"/>
    <mergeCell ref="HVU142:HVX142"/>
    <mergeCell ref="HVY142:HWB142"/>
    <mergeCell ref="HWC142:HWF142"/>
    <mergeCell ref="HWG142:HWJ142"/>
    <mergeCell ref="HWK142:HWN142"/>
    <mergeCell ref="HUS142:HUV142"/>
    <mergeCell ref="HUW142:HUZ142"/>
    <mergeCell ref="HVA142:HVD142"/>
    <mergeCell ref="HVE142:HVH142"/>
    <mergeCell ref="HVI142:HVL142"/>
    <mergeCell ref="HVM142:HVP142"/>
    <mergeCell ref="HTU142:HTX142"/>
    <mergeCell ref="HTY142:HUB142"/>
    <mergeCell ref="HUC142:HUF142"/>
    <mergeCell ref="HUG142:HUJ142"/>
    <mergeCell ref="HUK142:HUN142"/>
    <mergeCell ref="HUO142:HUR142"/>
    <mergeCell ref="HYK142:HYN142"/>
    <mergeCell ref="HYO142:HYR142"/>
    <mergeCell ref="HYS142:HYV142"/>
    <mergeCell ref="HYW142:HYZ142"/>
    <mergeCell ref="HZA142:HZD142"/>
    <mergeCell ref="HZE142:HZH142"/>
    <mergeCell ref="HXM142:HXP142"/>
    <mergeCell ref="HXQ142:HXT142"/>
    <mergeCell ref="HXU142:HXX142"/>
    <mergeCell ref="HXY142:HYB142"/>
    <mergeCell ref="HYC142:HYF142"/>
    <mergeCell ref="HYG142:HYJ142"/>
    <mergeCell ref="HWO142:HWR142"/>
    <mergeCell ref="HWS142:HWV142"/>
    <mergeCell ref="HWW142:HWZ142"/>
    <mergeCell ref="HXA142:HXD142"/>
    <mergeCell ref="HXE142:HXH142"/>
    <mergeCell ref="HXI142:HXL142"/>
    <mergeCell ref="IBE142:IBH142"/>
    <mergeCell ref="IBI142:IBL142"/>
    <mergeCell ref="IBM142:IBP142"/>
    <mergeCell ref="IBQ142:IBT142"/>
    <mergeCell ref="IBU142:IBX142"/>
    <mergeCell ref="IBY142:ICB142"/>
    <mergeCell ref="IAG142:IAJ142"/>
    <mergeCell ref="IAK142:IAN142"/>
    <mergeCell ref="IAO142:IAR142"/>
    <mergeCell ref="IAS142:IAV142"/>
    <mergeCell ref="IAW142:IAZ142"/>
    <mergeCell ref="IBA142:IBD142"/>
    <mergeCell ref="HZI142:HZL142"/>
    <mergeCell ref="HZM142:HZP142"/>
    <mergeCell ref="HZQ142:HZT142"/>
    <mergeCell ref="HZU142:HZX142"/>
    <mergeCell ref="HZY142:IAB142"/>
    <mergeCell ref="IAC142:IAF142"/>
    <mergeCell ref="IDY142:IEB142"/>
    <mergeCell ref="IEC142:IEF142"/>
    <mergeCell ref="IEG142:IEJ142"/>
    <mergeCell ref="IEK142:IEN142"/>
    <mergeCell ref="IEO142:IER142"/>
    <mergeCell ref="IES142:IEV142"/>
    <mergeCell ref="IDA142:IDD142"/>
    <mergeCell ref="IDE142:IDH142"/>
    <mergeCell ref="IDI142:IDL142"/>
    <mergeCell ref="IDM142:IDP142"/>
    <mergeCell ref="IDQ142:IDT142"/>
    <mergeCell ref="IDU142:IDX142"/>
    <mergeCell ref="ICC142:ICF142"/>
    <mergeCell ref="ICG142:ICJ142"/>
    <mergeCell ref="ICK142:ICN142"/>
    <mergeCell ref="ICO142:ICR142"/>
    <mergeCell ref="ICS142:ICV142"/>
    <mergeCell ref="ICW142:ICZ142"/>
    <mergeCell ref="IGS142:IGV142"/>
    <mergeCell ref="IGW142:IGZ142"/>
    <mergeCell ref="IHA142:IHD142"/>
    <mergeCell ref="IHE142:IHH142"/>
    <mergeCell ref="IHI142:IHL142"/>
    <mergeCell ref="IHM142:IHP142"/>
    <mergeCell ref="IFU142:IFX142"/>
    <mergeCell ref="IFY142:IGB142"/>
    <mergeCell ref="IGC142:IGF142"/>
    <mergeCell ref="IGG142:IGJ142"/>
    <mergeCell ref="IGK142:IGN142"/>
    <mergeCell ref="IGO142:IGR142"/>
    <mergeCell ref="IEW142:IEZ142"/>
    <mergeCell ref="IFA142:IFD142"/>
    <mergeCell ref="IFE142:IFH142"/>
    <mergeCell ref="IFI142:IFL142"/>
    <mergeCell ref="IFM142:IFP142"/>
    <mergeCell ref="IFQ142:IFT142"/>
    <mergeCell ref="IJM142:IJP142"/>
    <mergeCell ref="IJQ142:IJT142"/>
    <mergeCell ref="IJU142:IJX142"/>
    <mergeCell ref="IJY142:IKB142"/>
    <mergeCell ref="IKC142:IKF142"/>
    <mergeCell ref="IKG142:IKJ142"/>
    <mergeCell ref="IIO142:IIR142"/>
    <mergeCell ref="IIS142:IIV142"/>
    <mergeCell ref="IIW142:IIZ142"/>
    <mergeCell ref="IJA142:IJD142"/>
    <mergeCell ref="IJE142:IJH142"/>
    <mergeCell ref="IJI142:IJL142"/>
    <mergeCell ref="IHQ142:IHT142"/>
    <mergeCell ref="IHU142:IHX142"/>
    <mergeCell ref="IHY142:IIB142"/>
    <mergeCell ref="IIC142:IIF142"/>
    <mergeCell ref="IIG142:IIJ142"/>
    <mergeCell ref="IIK142:IIN142"/>
    <mergeCell ref="IMG142:IMJ142"/>
    <mergeCell ref="IMK142:IMN142"/>
    <mergeCell ref="IMO142:IMR142"/>
    <mergeCell ref="IMS142:IMV142"/>
    <mergeCell ref="IMW142:IMZ142"/>
    <mergeCell ref="INA142:IND142"/>
    <mergeCell ref="ILI142:ILL142"/>
    <mergeCell ref="ILM142:ILP142"/>
    <mergeCell ref="ILQ142:ILT142"/>
    <mergeCell ref="ILU142:ILX142"/>
    <mergeCell ref="ILY142:IMB142"/>
    <mergeCell ref="IMC142:IMF142"/>
    <mergeCell ref="IKK142:IKN142"/>
    <mergeCell ref="IKO142:IKR142"/>
    <mergeCell ref="IKS142:IKV142"/>
    <mergeCell ref="IKW142:IKZ142"/>
    <mergeCell ref="ILA142:ILD142"/>
    <mergeCell ref="ILE142:ILH142"/>
    <mergeCell ref="IPA142:IPD142"/>
    <mergeCell ref="IPE142:IPH142"/>
    <mergeCell ref="IPI142:IPL142"/>
    <mergeCell ref="IPM142:IPP142"/>
    <mergeCell ref="IPQ142:IPT142"/>
    <mergeCell ref="IPU142:IPX142"/>
    <mergeCell ref="IOC142:IOF142"/>
    <mergeCell ref="IOG142:IOJ142"/>
    <mergeCell ref="IOK142:ION142"/>
    <mergeCell ref="IOO142:IOR142"/>
    <mergeCell ref="IOS142:IOV142"/>
    <mergeCell ref="IOW142:IOZ142"/>
    <mergeCell ref="INE142:INH142"/>
    <mergeCell ref="INI142:INL142"/>
    <mergeCell ref="INM142:INP142"/>
    <mergeCell ref="INQ142:INT142"/>
    <mergeCell ref="INU142:INX142"/>
    <mergeCell ref="INY142:IOB142"/>
    <mergeCell ref="IRU142:IRX142"/>
    <mergeCell ref="IRY142:ISB142"/>
    <mergeCell ref="ISC142:ISF142"/>
    <mergeCell ref="ISG142:ISJ142"/>
    <mergeCell ref="ISK142:ISN142"/>
    <mergeCell ref="ISO142:ISR142"/>
    <mergeCell ref="IQW142:IQZ142"/>
    <mergeCell ref="IRA142:IRD142"/>
    <mergeCell ref="IRE142:IRH142"/>
    <mergeCell ref="IRI142:IRL142"/>
    <mergeCell ref="IRM142:IRP142"/>
    <mergeCell ref="IRQ142:IRT142"/>
    <mergeCell ref="IPY142:IQB142"/>
    <mergeCell ref="IQC142:IQF142"/>
    <mergeCell ref="IQG142:IQJ142"/>
    <mergeCell ref="IQK142:IQN142"/>
    <mergeCell ref="IQO142:IQR142"/>
    <mergeCell ref="IQS142:IQV142"/>
    <mergeCell ref="IUO142:IUR142"/>
    <mergeCell ref="IUS142:IUV142"/>
    <mergeCell ref="IUW142:IUZ142"/>
    <mergeCell ref="IVA142:IVD142"/>
    <mergeCell ref="IVE142:IVH142"/>
    <mergeCell ref="IVI142:IVL142"/>
    <mergeCell ref="ITQ142:ITT142"/>
    <mergeCell ref="ITU142:ITX142"/>
    <mergeCell ref="ITY142:IUB142"/>
    <mergeCell ref="IUC142:IUF142"/>
    <mergeCell ref="IUG142:IUJ142"/>
    <mergeCell ref="IUK142:IUN142"/>
    <mergeCell ref="ISS142:ISV142"/>
    <mergeCell ref="ISW142:ISZ142"/>
    <mergeCell ref="ITA142:ITD142"/>
    <mergeCell ref="ITE142:ITH142"/>
    <mergeCell ref="ITI142:ITL142"/>
    <mergeCell ref="ITM142:ITP142"/>
    <mergeCell ref="IXI142:IXL142"/>
    <mergeCell ref="IXM142:IXP142"/>
    <mergeCell ref="IXQ142:IXT142"/>
    <mergeCell ref="IXU142:IXX142"/>
    <mergeCell ref="IXY142:IYB142"/>
    <mergeCell ref="IYC142:IYF142"/>
    <mergeCell ref="IWK142:IWN142"/>
    <mergeCell ref="IWO142:IWR142"/>
    <mergeCell ref="IWS142:IWV142"/>
    <mergeCell ref="IWW142:IWZ142"/>
    <mergeCell ref="IXA142:IXD142"/>
    <mergeCell ref="IXE142:IXH142"/>
    <mergeCell ref="IVM142:IVP142"/>
    <mergeCell ref="IVQ142:IVT142"/>
    <mergeCell ref="IVU142:IVX142"/>
    <mergeCell ref="IVY142:IWB142"/>
    <mergeCell ref="IWC142:IWF142"/>
    <mergeCell ref="IWG142:IWJ142"/>
    <mergeCell ref="JAC142:JAF142"/>
    <mergeCell ref="JAG142:JAJ142"/>
    <mergeCell ref="JAK142:JAN142"/>
    <mergeCell ref="JAO142:JAR142"/>
    <mergeCell ref="JAS142:JAV142"/>
    <mergeCell ref="JAW142:JAZ142"/>
    <mergeCell ref="IZE142:IZH142"/>
    <mergeCell ref="IZI142:IZL142"/>
    <mergeCell ref="IZM142:IZP142"/>
    <mergeCell ref="IZQ142:IZT142"/>
    <mergeCell ref="IZU142:IZX142"/>
    <mergeCell ref="IZY142:JAB142"/>
    <mergeCell ref="IYG142:IYJ142"/>
    <mergeCell ref="IYK142:IYN142"/>
    <mergeCell ref="IYO142:IYR142"/>
    <mergeCell ref="IYS142:IYV142"/>
    <mergeCell ref="IYW142:IYZ142"/>
    <mergeCell ref="IZA142:IZD142"/>
    <mergeCell ref="JCW142:JCZ142"/>
    <mergeCell ref="JDA142:JDD142"/>
    <mergeCell ref="JDE142:JDH142"/>
    <mergeCell ref="JDI142:JDL142"/>
    <mergeCell ref="JDM142:JDP142"/>
    <mergeCell ref="JDQ142:JDT142"/>
    <mergeCell ref="JBY142:JCB142"/>
    <mergeCell ref="JCC142:JCF142"/>
    <mergeCell ref="JCG142:JCJ142"/>
    <mergeCell ref="JCK142:JCN142"/>
    <mergeCell ref="JCO142:JCR142"/>
    <mergeCell ref="JCS142:JCV142"/>
    <mergeCell ref="JBA142:JBD142"/>
    <mergeCell ref="JBE142:JBH142"/>
    <mergeCell ref="JBI142:JBL142"/>
    <mergeCell ref="JBM142:JBP142"/>
    <mergeCell ref="JBQ142:JBT142"/>
    <mergeCell ref="JBU142:JBX142"/>
    <mergeCell ref="JFQ142:JFT142"/>
    <mergeCell ref="JFU142:JFX142"/>
    <mergeCell ref="JFY142:JGB142"/>
    <mergeCell ref="JGC142:JGF142"/>
    <mergeCell ref="JGG142:JGJ142"/>
    <mergeCell ref="JGK142:JGN142"/>
    <mergeCell ref="JES142:JEV142"/>
    <mergeCell ref="JEW142:JEZ142"/>
    <mergeCell ref="JFA142:JFD142"/>
    <mergeCell ref="JFE142:JFH142"/>
    <mergeCell ref="JFI142:JFL142"/>
    <mergeCell ref="JFM142:JFP142"/>
    <mergeCell ref="JDU142:JDX142"/>
    <mergeCell ref="JDY142:JEB142"/>
    <mergeCell ref="JEC142:JEF142"/>
    <mergeCell ref="JEG142:JEJ142"/>
    <mergeCell ref="JEK142:JEN142"/>
    <mergeCell ref="JEO142:JER142"/>
    <mergeCell ref="JIK142:JIN142"/>
    <mergeCell ref="JIO142:JIR142"/>
    <mergeCell ref="JIS142:JIV142"/>
    <mergeCell ref="JIW142:JIZ142"/>
    <mergeCell ref="JJA142:JJD142"/>
    <mergeCell ref="JJE142:JJH142"/>
    <mergeCell ref="JHM142:JHP142"/>
    <mergeCell ref="JHQ142:JHT142"/>
    <mergeCell ref="JHU142:JHX142"/>
    <mergeCell ref="JHY142:JIB142"/>
    <mergeCell ref="JIC142:JIF142"/>
    <mergeCell ref="JIG142:JIJ142"/>
    <mergeCell ref="JGO142:JGR142"/>
    <mergeCell ref="JGS142:JGV142"/>
    <mergeCell ref="JGW142:JGZ142"/>
    <mergeCell ref="JHA142:JHD142"/>
    <mergeCell ref="JHE142:JHH142"/>
    <mergeCell ref="JHI142:JHL142"/>
    <mergeCell ref="JLE142:JLH142"/>
    <mergeCell ref="JLI142:JLL142"/>
    <mergeCell ref="JLM142:JLP142"/>
    <mergeCell ref="JLQ142:JLT142"/>
    <mergeCell ref="JLU142:JLX142"/>
    <mergeCell ref="JLY142:JMB142"/>
    <mergeCell ref="JKG142:JKJ142"/>
    <mergeCell ref="JKK142:JKN142"/>
    <mergeCell ref="JKO142:JKR142"/>
    <mergeCell ref="JKS142:JKV142"/>
    <mergeCell ref="JKW142:JKZ142"/>
    <mergeCell ref="JLA142:JLD142"/>
    <mergeCell ref="JJI142:JJL142"/>
    <mergeCell ref="JJM142:JJP142"/>
    <mergeCell ref="JJQ142:JJT142"/>
    <mergeCell ref="JJU142:JJX142"/>
    <mergeCell ref="JJY142:JKB142"/>
    <mergeCell ref="JKC142:JKF142"/>
    <mergeCell ref="JNY142:JOB142"/>
    <mergeCell ref="JOC142:JOF142"/>
    <mergeCell ref="JOG142:JOJ142"/>
    <mergeCell ref="JOK142:JON142"/>
    <mergeCell ref="JOO142:JOR142"/>
    <mergeCell ref="JOS142:JOV142"/>
    <mergeCell ref="JNA142:JND142"/>
    <mergeCell ref="JNE142:JNH142"/>
    <mergeCell ref="JNI142:JNL142"/>
    <mergeCell ref="JNM142:JNP142"/>
    <mergeCell ref="JNQ142:JNT142"/>
    <mergeCell ref="JNU142:JNX142"/>
    <mergeCell ref="JMC142:JMF142"/>
    <mergeCell ref="JMG142:JMJ142"/>
    <mergeCell ref="JMK142:JMN142"/>
    <mergeCell ref="JMO142:JMR142"/>
    <mergeCell ref="JMS142:JMV142"/>
    <mergeCell ref="JMW142:JMZ142"/>
    <mergeCell ref="JQS142:JQV142"/>
    <mergeCell ref="JQW142:JQZ142"/>
    <mergeCell ref="JRA142:JRD142"/>
    <mergeCell ref="JRE142:JRH142"/>
    <mergeCell ref="JRI142:JRL142"/>
    <mergeCell ref="JRM142:JRP142"/>
    <mergeCell ref="JPU142:JPX142"/>
    <mergeCell ref="JPY142:JQB142"/>
    <mergeCell ref="JQC142:JQF142"/>
    <mergeCell ref="JQG142:JQJ142"/>
    <mergeCell ref="JQK142:JQN142"/>
    <mergeCell ref="JQO142:JQR142"/>
    <mergeCell ref="JOW142:JOZ142"/>
    <mergeCell ref="JPA142:JPD142"/>
    <mergeCell ref="JPE142:JPH142"/>
    <mergeCell ref="JPI142:JPL142"/>
    <mergeCell ref="JPM142:JPP142"/>
    <mergeCell ref="JPQ142:JPT142"/>
    <mergeCell ref="JTM142:JTP142"/>
    <mergeCell ref="JTQ142:JTT142"/>
    <mergeCell ref="JTU142:JTX142"/>
    <mergeCell ref="JTY142:JUB142"/>
    <mergeCell ref="JUC142:JUF142"/>
    <mergeCell ref="JUG142:JUJ142"/>
    <mergeCell ref="JSO142:JSR142"/>
    <mergeCell ref="JSS142:JSV142"/>
    <mergeCell ref="JSW142:JSZ142"/>
    <mergeCell ref="JTA142:JTD142"/>
    <mergeCell ref="JTE142:JTH142"/>
    <mergeCell ref="JTI142:JTL142"/>
    <mergeCell ref="JRQ142:JRT142"/>
    <mergeCell ref="JRU142:JRX142"/>
    <mergeCell ref="JRY142:JSB142"/>
    <mergeCell ref="JSC142:JSF142"/>
    <mergeCell ref="JSG142:JSJ142"/>
    <mergeCell ref="JSK142:JSN142"/>
    <mergeCell ref="JWG142:JWJ142"/>
    <mergeCell ref="JWK142:JWN142"/>
    <mergeCell ref="JWO142:JWR142"/>
    <mergeCell ref="JWS142:JWV142"/>
    <mergeCell ref="JWW142:JWZ142"/>
    <mergeCell ref="JXA142:JXD142"/>
    <mergeCell ref="JVI142:JVL142"/>
    <mergeCell ref="JVM142:JVP142"/>
    <mergeCell ref="JVQ142:JVT142"/>
    <mergeCell ref="JVU142:JVX142"/>
    <mergeCell ref="JVY142:JWB142"/>
    <mergeCell ref="JWC142:JWF142"/>
    <mergeCell ref="JUK142:JUN142"/>
    <mergeCell ref="JUO142:JUR142"/>
    <mergeCell ref="JUS142:JUV142"/>
    <mergeCell ref="JUW142:JUZ142"/>
    <mergeCell ref="JVA142:JVD142"/>
    <mergeCell ref="JVE142:JVH142"/>
    <mergeCell ref="JZA142:JZD142"/>
    <mergeCell ref="JZE142:JZH142"/>
    <mergeCell ref="JZI142:JZL142"/>
    <mergeCell ref="JZM142:JZP142"/>
    <mergeCell ref="JZQ142:JZT142"/>
    <mergeCell ref="JZU142:JZX142"/>
    <mergeCell ref="JYC142:JYF142"/>
    <mergeCell ref="JYG142:JYJ142"/>
    <mergeCell ref="JYK142:JYN142"/>
    <mergeCell ref="JYO142:JYR142"/>
    <mergeCell ref="JYS142:JYV142"/>
    <mergeCell ref="JYW142:JYZ142"/>
    <mergeCell ref="JXE142:JXH142"/>
    <mergeCell ref="JXI142:JXL142"/>
    <mergeCell ref="JXM142:JXP142"/>
    <mergeCell ref="JXQ142:JXT142"/>
    <mergeCell ref="JXU142:JXX142"/>
    <mergeCell ref="JXY142:JYB142"/>
    <mergeCell ref="KBU142:KBX142"/>
    <mergeCell ref="KBY142:KCB142"/>
    <mergeCell ref="KCC142:KCF142"/>
    <mergeCell ref="KCG142:KCJ142"/>
    <mergeCell ref="KCK142:KCN142"/>
    <mergeCell ref="KCO142:KCR142"/>
    <mergeCell ref="KAW142:KAZ142"/>
    <mergeCell ref="KBA142:KBD142"/>
    <mergeCell ref="KBE142:KBH142"/>
    <mergeCell ref="KBI142:KBL142"/>
    <mergeCell ref="KBM142:KBP142"/>
    <mergeCell ref="KBQ142:KBT142"/>
    <mergeCell ref="JZY142:KAB142"/>
    <mergeCell ref="KAC142:KAF142"/>
    <mergeCell ref="KAG142:KAJ142"/>
    <mergeCell ref="KAK142:KAN142"/>
    <mergeCell ref="KAO142:KAR142"/>
    <mergeCell ref="KAS142:KAV142"/>
    <mergeCell ref="KEO142:KER142"/>
    <mergeCell ref="KES142:KEV142"/>
    <mergeCell ref="KEW142:KEZ142"/>
    <mergeCell ref="KFA142:KFD142"/>
    <mergeCell ref="KFE142:KFH142"/>
    <mergeCell ref="KFI142:KFL142"/>
    <mergeCell ref="KDQ142:KDT142"/>
    <mergeCell ref="KDU142:KDX142"/>
    <mergeCell ref="KDY142:KEB142"/>
    <mergeCell ref="KEC142:KEF142"/>
    <mergeCell ref="KEG142:KEJ142"/>
    <mergeCell ref="KEK142:KEN142"/>
    <mergeCell ref="KCS142:KCV142"/>
    <mergeCell ref="KCW142:KCZ142"/>
    <mergeCell ref="KDA142:KDD142"/>
    <mergeCell ref="KDE142:KDH142"/>
    <mergeCell ref="KDI142:KDL142"/>
    <mergeCell ref="KDM142:KDP142"/>
    <mergeCell ref="KHI142:KHL142"/>
    <mergeCell ref="KHM142:KHP142"/>
    <mergeCell ref="KHQ142:KHT142"/>
    <mergeCell ref="KHU142:KHX142"/>
    <mergeCell ref="KHY142:KIB142"/>
    <mergeCell ref="KIC142:KIF142"/>
    <mergeCell ref="KGK142:KGN142"/>
    <mergeCell ref="KGO142:KGR142"/>
    <mergeCell ref="KGS142:KGV142"/>
    <mergeCell ref="KGW142:KGZ142"/>
    <mergeCell ref="KHA142:KHD142"/>
    <mergeCell ref="KHE142:KHH142"/>
    <mergeCell ref="KFM142:KFP142"/>
    <mergeCell ref="KFQ142:KFT142"/>
    <mergeCell ref="KFU142:KFX142"/>
    <mergeCell ref="KFY142:KGB142"/>
    <mergeCell ref="KGC142:KGF142"/>
    <mergeCell ref="KGG142:KGJ142"/>
    <mergeCell ref="KKC142:KKF142"/>
    <mergeCell ref="KKG142:KKJ142"/>
    <mergeCell ref="KKK142:KKN142"/>
    <mergeCell ref="KKO142:KKR142"/>
    <mergeCell ref="KKS142:KKV142"/>
    <mergeCell ref="KKW142:KKZ142"/>
    <mergeCell ref="KJE142:KJH142"/>
    <mergeCell ref="KJI142:KJL142"/>
    <mergeCell ref="KJM142:KJP142"/>
    <mergeCell ref="KJQ142:KJT142"/>
    <mergeCell ref="KJU142:KJX142"/>
    <mergeCell ref="KJY142:KKB142"/>
    <mergeCell ref="KIG142:KIJ142"/>
    <mergeCell ref="KIK142:KIN142"/>
    <mergeCell ref="KIO142:KIR142"/>
    <mergeCell ref="KIS142:KIV142"/>
    <mergeCell ref="KIW142:KIZ142"/>
    <mergeCell ref="KJA142:KJD142"/>
    <mergeCell ref="KMW142:KMZ142"/>
    <mergeCell ref="KNA142:KND142"/>
    <mergeCell ref="KNE142:KNH142"/>
    <mergeCell ref="KNI142:KNL142"/>
    <mergeCell ref="KNM142:KNP142"/>
    <mergeCell ref="KNQ142:KNT142"/>
    <mergeCell ref="KLY142:KMB142"/>
    <mergeCell ref="KMC142:KMF142"/>
    <mergeCell ref="KMG142:KMJ142"/>
    <mergeCell ref="KMK142:KMN142"/>
    <mergeCell ref="KMO142:KMR142"/>
    <mergeCell ref="KMS142:KMV142"/>
    <mergeCell ref="KLA142:KLD142"/>
    <mergeCell ref="KLE142:KLH142"/>
    <mergeCell ref="KLI142:KLL142"/>
    <mergeCell ref="KLM142:KLP142"/>
    <mergeCell ref="KLQ142:KLT142"/>
    <mergeCell ref="KLU142:KLX142"/>
    <mergeCell ref="KPQ142:KPT142"/>
    <mergeCell ref="KPU142:KPX142"/>
    <mergeCell ref="KPY142:KQB142"/>
    <mergeCell ref="KQC142:KQF142"/>
    <mergeCell ref="KQG142:KQJ142"/>
    <mergeCell ref="KQK142:KQN142"/>
    <mergeCell ref="KOS142:KOV142"/>
    <mergeCell ref="KOW142:KOZ142"/>
    <mergeCell ref="KPA142:KPD142"/>
    <mergeCell ref="KPE142:KPH142"/>
    <mergeCell ref="KPI142:KPL142"/>
    <mergeCell ref="KPM142:KPP142"/>
    <mergeCell ref="KNU142:KNX142"/>
    <mergeCell ref="KNY142:KOB142"/>
    <mergeCell ref="KOC142:KOF142"/>
    <mergeCell ref="KOG142:KOJ142"/>
    <mergeCell ref="KOK142:KON142"/>
    <mergeCell ref="KOO142:KOR142"/>
    <mergeCell ref="KSK142:KSN142"/>
    <mergeCell ref="KSO142:KSR142"/>
    <mergeCell ref="KSS142:KSV142"/>
    <mergeCell ref="KSW142:KSZ142"/>
    <mergeCell ref="KTA142:KTD142"/>
    <mergeCell ref="KTE142:KTH142"/>
    <mergeCell ref="KRM142:KRP142"/>
    <mergeCell ref="KRQ142:KRT142"/>
    <mergeCell ref="KRU142:KRX142"/>
    <mergeCell ref="KRY142:KSB142"/>
    <mergeCell ref="KSC142:KSF142"/>
    <mergeCell ref="KSG142:KSJ142"/>
    <mergeCell ref="KQO142:KQR142"/>
    <mergeCell ref="KQS142:KQV142"/>
    <mergeCell ref="KQW142:KQZ142"/>
    <mergeCell ref="KRA142:KRD142"/>
    <mergeCell ref="KRE142:KRH142"/>
    <mergeCell ref="KRI142:KRL142"/>
    <mergeCell ref="KVE142:KVH142"/>
    <mergeCell ref="KVI142:KVL142"/>
    <mergeCell ref="KVM142:KVP142"/>
    <mergeCell ref="KVQ142:KVT142"/>
    <mergeCell ref="KVU142:KVX142"/>
    <mergeCell ref="KVY142:KWB142"/>
    <mergeCell ref="KUG142:KUJ142"/>
    <mergeCell ref="KUK142:KUN142"/>
    <mergeCell ref="KUO142:KUR142"/>
    <mergeCell ref="KUS142:KUV142"/>
    <mergeCell ref="KUW142:KUZ142"/>
    <mergeCell ref="KVA142:KVD142"/>
    <mergeCell ref="KTI142:KTL142"/>
    <mergeCell ref="KTM142:KTP142"/>
    <mergeCell ref="KTQ142:KTT142"/>
    <mergeCell ref="KTU142:KTX142"/>
    <mergeCell ref="KTY142:KUB142"/>
    <mergeCell ref="KUC142:KUF142"/>
    <mergeCell ref="KXY142:KYB142"/>
    <mergeCell ref="KYC142:KYF142"/>
    <mergeCell ref="KYG142:KYJ142"/>
    <mergeCell ref="KYK142:KYN142"/>
    <mergeCell ref="KYO142:KYR142"/>
    <mergeCell ref="KYS142:KYV142"/>
    <mergeCell ref="KXA142:KXD142"/>
    <mergeCell ref="KXE142:KXH142"/>
    <mergeCell ref="KXI142:KXL142"/>
    <mergeCell ref="KXM142:KXP142"/>
    <mergeCell ref="KXQ142:KXT142"/>
    <mergeCell ref="KXU142:KXX142"/>
    <mergeCell ref="KWC142:KWF142"/>
    <mergeCell ref="KWG142:KWJ142"/>
    <mergeCell ref="KWK142:KWN142"/>
    <mergeCell ref="KWO142:KWR142"/>
    <mergeCell ref="KWS142:KWV142"/>
    <mergeCell ref="KWW142:KWZ142"/>
    <mergeCell ref="LAS142:LAV142"/>
    <mergeCell ref="LAW142:LAZ142"/>
    <mergeCell ref="LBA142:LBD142"/>
    <mergeCell ref="LBE142:LBH142"/>
    <mergeCell ref="LBI142:LBL142"/>
    <mergeCell ref="LBM142:LBP142"/>
    <mergeCell ref="KZU142:KZX142"/>
    <mergeCell ref="KZY142:LAB142"/>
    <mergeCell ref="LAC142:LAF142"/>
    <mergeCell ref="LAG142:LAJ142"/>
    <mergeCell ref="LAK142:LAN142"/>
    <mergeCell ref="LAO142:LAR142"/>
    <mergeCell ref="KYW142:KYZ142"/>
    <mergeCell ref="KZA142:KZD142"/>
    <mergeCell ref="KZE142:KZH142"/>
    <mergeCell ref="KZI142:KZL142"/>
    <mergeCell ref="KZM142:KZP142"/>
    <mergeCell ref="KZQ142:KZT142"/>
    <mergeCell ref="LDM142:LDP142"/>
    <mergeCell ref="LDQ142:LDT142"/>
    <mergeCell ref="LDU142:LDX142"/>
    <mergeCell ref="LDY142:LEB142"/>
    <mergeCell ref="LEC142:LEF142"/>
    <mergeCell ref="LEG142:LEJ142"/>
    <mergeCell ref="LCO142:LCR142"/>
    <mergeCell ref="LCS142:LCV142"/>
    <mergeCell ref="LCW142:LCZ142"/>
    <mergeCell ref="LDA142:LDD142"/>
    <mergeCell ref="LDE142:LDH142"/>
    <mergeCell ref="LDI142:LDL142"/>
    <mergeCell ref="LBQ142:LBT142"/>
    <mergeCell ref="LBU142:LBX142"/>
    <mergeCell ref="LBY142:LCB142"/>
    <mergeCell ref="LCC142:LCF142"/>
    <mergeCell ref="LCG142:LCJ142"/>
    <mergeCell ref="LCK142:LCN142"/>
    <mergeCell ref="LGG142:LGJ142"/>
    <mergeCell ref="LGK142:LGN142"/>
    <mergeCell ref="LGO142:LGR142"/>
    <mergeCell ref="LGS142:LGV142"/>
    <mergeCell ref="LGW142:LGZ142"/>
    <mergeCell ref="LHA142:LHD142"/>
    <mergeCell ref="LFI142:LFL142"/>
    <mergeCell ref="LFM142:LFP142"/>
    <mergeCell ref="LFQ142:LFT142"/>
    <mergeCell ref="LFU142:LFX142"/>
    <mergeCell ref="LFY142:LGB142"/>
    <mergeCell ref="LGC142:LGF142"/>
    <mergeCell ref="LEK142:LEN142"/>
    <mergeCell ref="LEO142:LER142"/>
    <mergeCell ref="LES142:LEV142"/>
    <mergeCell ref="LEW142:LEZ142"/>
    <mergeCell ref="LFA142:LFD142"/>
    <mergeCell ref="LFE142:LFH142"/>
    <mergeCell ref="LJA142:LJD142"/>
    <mergeCell ref="LJE142:LJH142"/>
    <mergeCell ref="LJI142:LJL142"/>
    <mergeCell ref="LJM142:LJP142"/>
    <mergeCell ref="LJQ142:LJT142"/>
    <mergeCell ref="LJU142:LJX142"/>
    <mergeCell ref="LIC142:LIF142"/>
    <mergeCell ref="LIG142:LIJ142"/>
    <mergeCell ref="LIK142:LIN142"/>
    <mergeCell ref="LIO142:LIR142"/>
    <mergeCell ref="LIS142:LIV142"/>
    <mergeCell ref="LIW142:LIZ142"/>
    <mergeCell ref="LHE142:LHH142"/>
    <mergeCell ref="LHI142:LHL142"/>
    <mergeCell ref="LHM142:LHP142"/>
    <mergeCell ref="LHQ142:LHT142"/>
    <mergeCell ref="LHU142:LHX142"/>
    <mergeCell ref="LHY142:LIB142"/>
    <mergeCell ref="LLU142:LLX142"/>
    <mergeCell ref="LLY142:LMB142"/>
    <mergeCell ref="LMC142:LMF142"/>
    <mergeCell ref="LMG142:LMJ142"/>
    <mergeCell ref="LMK142:LMN142"/>
    <mergeCell ref="LMO142:LMR142"/>
    <mergeCell ref="LKW142:LKZ142"/>
    <mergeCell ref="LLA142:LLD142"/>
    <mergeCell ref="LLE142:LLH142"/>
    <mergeCell ref="LLI142:LLL142"/>
    <mergeCell ref="LLM142:LLP142"/>
    <mergeCell ref="LLQ142:LLT142"/>
    <mergeCell ref="LJY142:LKB142"/>
    <mergeCell ref="LKC142:LKF142"/>
    <mergeCell ref="LKG142:LKJ142"/>
    <mergeCell ref="LKK142:LKN142"/>
    <mergeCell ref="LKO142:LKR142"/>
    <mergeCell ref="LKS142:LKV142"/>
    <mergeCell ref="LOO142:LOR142"/>
    <mergeCell ref="LOS142:LOV142"/>
    <mergeCell ref="LOW142:LOZ142"/>
    <mergeCell ref="LPA142:LPD142"/>
    <mergeCell ref="LPE142:LPH142"/>
    <mergeCell ref="LPI142:LPL142"/>
    <mergeCell ref="LNQ142:LNT142"/>
    <mergeCell ref="LNU142:LNX142"/>
    <mergeCell ref="LNY142:LOB142"/>
    <mergeCell ref="LOC142:LOF142"/>
    <mergeCell ref="LOG142:LOJ142"/>
    <mergeCell ref="LOK142:LON142"/>
    <mergeCell ref="LMS142:LMV142"/>
    <mergeCell ref="LMW142:LMZ142"/>
    <mergeCell ref="LNA142:LND142"/>
    <mergeCell ref="LNE142:LNH142"/>
    <mergeCell ref="LNI142:LNL142"/>
    <mergeCell ref="LNM142:LNP142"/>
    <mergeCell ref="LRI142:LRL142"/>
    <mergeCell ref="LRM142:LRP142"/>
    <mergeCell ref="LRQ142:LRT142"/>
    <mergeCell ref="LRU142:LRX142"/>
    <mergeCell ref="LRY142:LSB142"/>
    <mergeCell ref="LSC142:LSF142"/>
    <mergeCell ref="LQK142:LQN142"/>
    <mergeCell ref="LQO142:LQR142"/>
    <mergeCell ref="LQS142:LQV142"/>
    <mergeCell ref="LQW142:LQZ142"/>
    <mergeCell ref="LRA142:LRD142"/>
    <mergeCell ref="LRE142:LRH142"/>
    <mergeCell ref="LPM142:LPP142"/>
    <mergeCell ref="LPQ142:LPT142"/>
    <mergeCell ref="LPU142:LPX142"/>
    <mergeCell ref="LPY142:LQB142"/>
    <mergeCell ref="LQC142:LQF142"/>
    <mergeCell ref="LQG142:LQJ142"/>
    <mergeCell ref="LUC142:LUF142"/>
    <mergeCell ref="LUG142:LUJ142"/>
    <mergeCell ref="LUK142:LUN142"/>
    <mergeCell ref="LUO142:LUR142"/>
    <mergeCell ref="LUS142:LUV142"/>
    <mergeCell ref="LUW142:LUZ142"/>
    <mergeCell ref="LTE142:LTH142"/>
    <mergeCell ref="LTI142:LTL142"/>
    <mergeCell ref="LTM142:LTP142"/>
    <mergeCell ref="LTQ142:LTT142"/>
    <mergeCell ref="LTU142:LTX142"/>
    <mergeCell ref="LTY142:LUB142"/>
    <mergeCell ref="LSG142:LSJ142"/>
    <mergeCell ref="LSK142:LSN142"/>
    <mergeCell ref="LSO142:LSR142"/>
    <mergeCell ref="LSS142:LSV142"/>
    <mergeCell ref="LSW142:LSZ142"/>
    <mergeCell ref="LTA142:LTD142"/>
    <mergeCell ref="LWW142:LWZ142"/>
    <mergeCell ref="LXA142:LXD142"/>
    <mergeCell ref="LXE142:LXH142"/>
    <mergeCell ref="LXI142:LXL142"/>
    <mergeCell ref="LXM142:LXP142"/>
    <mergeCell ref="LXQ142:LXT142"/>
    <mergeCell ref="LVY142:LWB142"/>
    <mergeCell ref="LWC142:LWF142"/>
    <mergeCell ref="LWG142:LWJ142"/>
    <mergeCell ref="LWK142:LWN142"/>
    <mergeCell ref="LWO142:LWR142"/>
    <mergeCell ref="LWS142:LWV142"/>
    <mergeCell ref="LVA142:LVD142"/>
    <mergeCell ref="LVE142:LVH142"/>
    <mergeCell ref="LVI142:LVL142"/>
    <mergeCell ref="LVM142:LVP142"/>
    <mergeCell ref="LVQ142:LVT142"/>
    <mergeCell ref="LVU142:LVX142"/>
    <mergeCell ref="LZQ142:LZT142"/>
    <mergeCell ref="LZU142:LZX142"/>
    <mergeCell ref="LZY142:MAB142"/>
    <mergeCell ref="MAC142:MAF142"/>
    <mergeCell ref="MAG142:MAJ142"/>
    <mergeCell ref="MAK142:MAN142"/>
    <mergeCell ref="LYS142:LYV142"/>
    <mergeCell ref="LYW142:LYZ142"/>
    <mergeCell ref="LZA142:LZD142"/>
    <mergeCell ref="LZE142:LZH142"/>
    <mergeCell ref="LZI142:LZL142"/>
    <mergeCell ref="LZM142:LZP142"/>
    <mergeCell ref="LXU142:LXX142"/>
    <mergeCell ref="LXY142:LYB142"/>
    <mergeCell ref="LYC142:LYF142"/>
    <mergeCell ref="LYG142:LYJ142"/>
    <mergeCell ref="LYK142:LYN142"/>
    <mergeCell ref="LYO142:LYR142"/>
    <mergeCell ref="MCK142:MCN142"/>
    <mergeCell ref="MCO142:MCR142"/>
    <mergeCell ref="MCS142:MCV142"/>
    <mergeCell ref="MCW142:MCZ142"/>
    <mergeCell ref="MDA142:MDD142"/>
    <mergeCell ref="MDE142:MDH142"/>
    <mergeCell ref="MBM142:MBP142"/>
    <mergeCell ref="MBQ142:MBT142"/>
    <mergeCell ref="MBU142:MBX142"/>
    <mergeCell ref="MBY142:MCB142"/>
    <mergeCell ref="MCC142:MCF142"/>
    <mergeCell ref="MCG142:MCJ142"/>
    <mergeCell ref="MAO142:MAR142"/>
    <mergeCell ref="MAS142:MAV142"/>
    <mergeCell ref="MAW142:MAZ142"/>
    <mergeCell ref="MBA142:MBD142"/>
    <mergeCell ref="MBE142:MBH142"/>
    <mergeCell ref="MBI142:MBL142"/>
    <mergeCell ref="MFE142:MFH142"/>
    <mergeCell ref="MFI142:MFL142"/>
    <mergeCell ref="MFM142:MFP142"/>
    <mergeCell ref="MFQ142:MFT142"/>
    <mergeCell ref="MFU142:MFX142"/>
    <mergeCell ref="MFY142:MGB142"/>
    <mergeCell ref="MEG142:MEJ142"/>
    <mergeCell ref="MEK142:MEN142"/>
    <mergeCell ref="MEO142:MER142"/>
    <mergeCell ref="MES142:MEV142"/>
    <mergeCell ref="MEW142:MEZ142"/>
    <mergeCell ref="MFA142:MFD142"/>
    <mergeCell ref="MDI142:MDL142"/>
    <mergeCell ref="MDM142:MDP142"/>
    <mergeCell ref="MDQ142:MDT142"/>
    <mergeCell ref="MDU142:MDX142"/>
    <mergeCell ref="MDY142:MEB142"/>
    <mergeCell ref="MEC142:MEF142"/>
    <mergeCell ref="MHY142:MIB142"/>
    <mergeCell ref="MIC142:MIF142"/>
    <mergeCell ref="MIG142:MIJ142"/>
    <mergeCell ref="MIK142:MIN142"/>
    <mergeCell ref="MIO142:MIR142"/>
    <mergeCell ref="MIS142:MIV142"/>
    <mergeCell ref="MHA142:MHD142"/>
    <mergeCell ref="MHE142:MHH142"/>
    <mergeCell ref="MHI142:MHL142"/>
    <mergeCell ref="MHM142:MHP142"/>
    <mergeCell ref="MHQ142:MHT142"/>
    <mergeCell ref="MHU142:MHX142"/>
    <mergeCell ref="MGC142:MGF142"/>
    <mergeCell ref="MGG142:MGJ142"/>
    <mergeCell ref="MGK142:MGN142"/>
    <mergeCell ref="MGO142:MGR142"/>
    <mergeCell ref="MGS142:MGV142"/>
    <mergeCell ref="MGW142:MGZ142"/>
    <mergeCell ref="MKS142:MKV142"/>
    <mergeCell ref="MKW142:MKZ142"/>
    <mergeCell ref="MLA142:MLD142"/>
    <mergeCell ref="MLE142:MLH142"/>
    <mergeCell ref="MLI142:MLL142"/>
    <mergeCell ref="MLM142:MLP142"/>
    <mergeCell ref="MJU142:MJX142"/>
    <mergeCell ref="MJY142:MKB142"/>
    <mergeCell ref="MKC142:MKF142"/>
    <mergeCell ref="MKG142:MKJ142"/>
    <mergeCell ref="MKK142:MKN142"/>
    <mergeCell ref="MKO142:MKR142"/>
    <mergeCell ref="MIW142:MIZ142"/>
    <mergeCell ref="MJA142:MJD142"/>
    <mergeCell ref="MJE142:MJH142"/>
    <mergeCell ref="MJI142:MJL142"/>
    <mergeCell ref="MJM142:MJP142"/>
    <mergeCell ref="MJQ142:MJT142"/>
    <mergeCell ref="MNM142:MNP142"/>
    <mergeCell ref="MNQ142:MNT142"/>
    <mergeCell ref="MNU142:MNX142"/>
    <mergeCell ref="MNY142:MOB142"/>
    <mergeCell ref="MOC142:MOF142"/>
    <mergeCell ref="MOG142:MOJ142"/>
    <mergeCell ref="MMO142:MMR142"/>
    <mergeCell ref="MMS142:MMV142"/>
    <mergeCell ref="MMW142:MMZ142"/>
    <mergeCell ref="MNA142:MND142"/>
    <mergeCell ref="MNE142:MNH142"/>
    <mergeCell ref="MNI142:MNL142"/>
    <mergeCell ref="MLQ142:MLT142"/>
    <mergeCell ref="MLU142:MLX142"/>
    <mergeCell ref="MLY142:MMB142"/>
    <mergeCell ref="MMC142:MMF142"/>
    <mergeCell ref="MMG142:MMJ142"/>
    <mergeCell ref="MMK142:MMN142"/>
    <mergeCell ref="MQG142:MQJ142"/>
    <mergeCell ref="MQK142:MQN142"/>
    <mergeCell ref="MQO142:MQR142"/>
    <mergeCell ref="MQS142:MQV142"/>
    <mergeCell ref="MQW142:MQZ142"/>
    <mergeCell ref="MRA142:MRD142"/>
    <mergeCell ref="MPI142:MPL142"/>
    <mergeCell ref="MPM142:MPP142"/>
    <mergeCell ref="MPQ142:MPT142"/>
    <mergeCell ref="MPU142:MPX142"/>
    <mergeCell ref="MPY142:MQB142"/>
    <mergeCell ref="MQC142:MQF142"/>
    <mergeCell ref="MOK142:MON142"/>
    <mergeCell ref="MOO142:MOR142"/>
    <mergeCell ref="MOS142:MOV142"/>
    <mergeCell ref="MOW142:MOZ142"/>
    <mergeCell ref="MPA142:MPD142"/>
    <mergeCell ref="MPE142:MPH142"/>
    <mergeCell ref="MTA142:MTD142"/>
    <mergeCell ref="MTE142:MTH142"/>
    <mergeCell ref="MTI142:MTL142"/>
    <mergeCell ref="MTM142:MTP142"/>
    <mergeCell ref="MTQ142:MTT142"/>
    <mergeCell ref="MTU142:MTX142"/>
    <mergeCell ref="MSC142:MSF142"/>
    <mergeCell ref="MSG142:MSJ142"/>
    <mergeCell ref="MSK142:MSN142"/>
    <mergeCell ref="MSO142:MSR142"/>
    <mergeCell ref="MSS142:MSV142"/>
    <mergeCell ref="MSW142:MSZ142"/>
    <mergeCell ref="MRE142:MRH142"/>
    <mergeCell ref="MRI142:MRL142"/>
    <mergeCell ref="MRM142:MRP142"/>
    <mergeCell ref="MRQ142:MRT142"/>
    <mergeCell ref="MRU142:MRX142"/>
    <mergeCell ref="MRY142:MSB142"/>
    <mergeCell ref="MVU142:MVX142"/>
    <mergeCell ref="MVY142:MWB142"/>
    <mergeCell ref="MWC142:MWF142"/>
    <mergeCell ref="MWG142:MWJ142"/>
    <mergeCell ref="MWK142:MWN142"/>
    <mergeCell ref="MWO142:MWR142"/>
    <mergeCell ref="MUW142:MUZ142"/>
    <mergeCell ref="MVA142:MVD142"/>
    <mergeCell ref="MVE142:MVH142"/>
    <mergeCell ref="MVI142:MVL142"/>
    <mergeCell ref="MVM142:MVP142"/>
    <mergeCell ref="MVQ142:MVT142"/>
    <mergeCell ref="MTY142:MUB142"/>
    <mergeCell ref="MUC142:MUF142"/>
    <mergeCell ref="MUG142:MUJ142"/>
    <mergeCell ref="MUK142:MUN142"/>
    <mergeCell ref="MUO142:MUR142"/>
    <mergeCell ref="MUS142:MUV142"/>
    <mergeCell ref="MYO142:MYR142"/>
    <mergeCell ref="MYS142:MYV142"/>
    <mergeCell ref="MYW142:MYZ142"/>
    <mergeCell ref="MZA142:MZD142"/>
    <mergeCell ref="MZE142:MZH142"/>
    <mergeCell ref="MZI142:MZL142"/>
    <mergeCell ref="MXQ142:MXT142"/>
    <mergeCell ref="MXU142:MXX142"/>
    <mergeCell ref="MXY142:MYB142"/>
    <mergeCell ref="MYC142:MYF142"/>
    <mergeCell ref="MYG142:MYJ142"/>
    <mergeCell ref="MYK142:MYN142"/>
    <mergeCell ref="MWS142:MWV142"/>
    <mergeCell ref="MWW142:MWZ142"/>
    <mergeCell ref="MXA142:MXD142"/>
    <mergeCell ref="MXE142:MXH142"/>
    <mergeCell ref="MXI142:MXL142"/>
    <mergeCell ref="MXM142:MXP142"/>
    <mergeCell ref="NBI142:NBL142"/>
    <mergeCell ref="NBM142:NBP142"/>
    <mergeCell ref="NBQ142:NBT142"/>
    <mergeCell ref="NBU142:NBX142"/>
    <mergeCell ref="NBY142:NCB142"/>
    <mergeCell ref="NCC142:NCF142"/>
    <mergeCell ref="NAK142:NAN142"/>
    <mergeCell ref="NAO142:NAR142"/>
    <mergeCell ref="NAS142:NAV142"/>
    <mergeCell ref="NAW142:NAZ142"/>
    <mergeCell ref="NBA142:NBD142"/>
    <mergeCell ref="NBE142:NBH142"/>
    <mergeCell ref="MZM142:MZP142"/>
    <mergeCell ref="MZQ142:MZT142"/>
    <mergeCell ref="MZU142:MZX142"/>
    <mergeCell ref="MZY142:NAB142"/>
    <mergeCell ref="NAC142:NAF142"/>
    <mergeCell ref="NAG142:NAJ142"/>
    <mergeCell ref="NEC142:NEF142"/>
    <mergeCell ref="NEG142:NEJ142"/>
    <mergeCell ref="NEK142:NEN142"/>
    <mergeCell ref="NEO142:NER142"/>
    <mergeCell ref="NES142:NEV142"/>
    <mergeCell ref="NEW142:NEZ142"/>
    <mergeCell ref="NDE142:NDH142"/>
    <mergeCell ref="NDI142:NDL142"/>
    <mergeCell ref="NDM142:NDP142"/>
    <mergeCell ref="NDQ142:NDT142"/>
    <mergeCell ref="NDU142:NDX142"/>
    <mergeCell ref="NDY142:NEB142"/>
    <mergeCell ref="NCG142:NCJ142"/>
    <mergeCell ref="NCK142:NCN142"/>
    <mergeCell ref="NCO142:NCR142"/>
    <mergeCell ref="NCS142:NCV142"/>
    <mergeCell ref="NCW142:NCZ142"/>
    <mergeCell ref="NDA142:NDD142"/>
    <mergeCell ref="NGW142:NGZ142"/>
    <mergeCell ref="NHA142:NHD142"/>
    <mergeCell ref="NHE142:NHH142"/>
    <mergeCell ref="NHI142:NHL142"/>
    <mergeCell ref="NHM142:NHP142"/>
    <mergeCell ref="NHQ142:NHT142"/>
    <mergeCell ref="NFY142:NGB142"/>
    <mergeCell ref="NGC142:NGF142"/>
    <mergeCell ref="NGG142:NGJ142"/>
    <mergeCell ref="NGK142:NGN142"/>
    <mergeCell ref="NGO142:NGR142"/>
    <mergeCell ref="NGS142:NGV142"/>
    <mergeCell ref="NFA142:NFD142"/>
    <mergeCell ref="NFE142:NFH142"/>
    <mergeCell ref="NFI142:NFL142"/>
    <mergeCell ref="NFM142:NFP142"/>
    <mergeCell ref="NFQ142:NFT142"/>
    <mergeCell ref="NFU142:NFX142"/>
    <mergeCell ref="NJQ142:NJT142"/>
    <mergeCell ref="NJU142:NJX142"/>
    <mergeCell ref="NJY142:NKB142"/>
    <mergeCell ref="NKC142:NKF142"/>
    <mergeCell ref="NKG142:NKJ142"/>
    <mergeCell ref="NKK142:NKN142"/>
    <mergeCell ref="NIS142:NIV142"/>
    <mergeCell ref="NIW142:NIZ142"/>
    <mergeCell ref="NJA142:NJD142"/>
    <mergeCell ref="NJE142:NJH142"/>
    <mergeCell ref="NJI142:NJL142"/>
    <mergeCell ref="NJM142:NJP142"/>
    <mergeCell ref="NHU142:NHX142"/>
    <mergeCell ref="NHY142:NIB142"/>
    <mergeCell ref="NIC142:NIF142"/>
    <mergeCell ref="NIG142:NIJ142"/>
    <mergeCell ref="NIK142:NIN142"/>
    <mergeCell ref="NIO142:NIR142"/>
    <mergeCell ref="NMK142:NMN142"/>
    <mergeCell ref="NMO142:NMR142"/>
    <mergeCell ref="NMS142:NMV142"/>
    <mergeCell ref="NMW142:NMZ142"/>
    <mergeCell ref="NNA142:NND142"/>
    <mergeCell ref="NNE142:NNH142"/>
    <mergeCell ref="NLM142:NLP142"/>
    <mergeCell ref="NLQ142:NLT142"/>
    <mergeCell ref="NLU142:NLX142"/>
    <mergeCell ref="NLY142:NMB142"/>
    <mergeCell ref="NMC142:NMF142"/>
    <mergeCell ref="NMG142:NMJ142"/>
    <mergeCell ref="NKO142:NKR142"/>
    <mergeCell ref="NKS142:NKV142"/>
    <mergeCell ref="NKW142:NKZ142"/>
    <mergeCell ref="NLA142:NLD142"/>
    <mergeCell ref="NLE142:NLH142"/>
    <mergeCell ref="NLI142:NLL142"/>
    <mergeCell ref="NPE142:NPH142"/>
    <mergeCell ref="NPI142:NPL142"/>
    <mergeCell ref="NPM142:NPP142"/>
    <mergeCell ref="NPQ142:NPT142"/>
    <mergeCell ref="NPU142:NPX142"/>
    <mergeCell ref="NPY142:NQB142"/>
    <mergeCell ref="NOG142:NOJ142"/>
    <mergeCell ref="NOK142:NON142"/>
    <mergeCell ref="NOO142:NOR142"/>
    <mergeCell ref="NOS142:NOV142"/>
    <mergeCell ref="NOW142:NOZ142"/>
    <mergeCell ref="NPA142:NPD142"/>
    <mergeCell ref="NNI142:NNL142"/>
    <mergeCell ref="NNM142:NNP142"/>
    <mergeCell ref="NNQ142:NNT142"/>
    <mergeCell ref="NNU142:NNX142"/>
    <mergeCell ref="NNY142:NOB142"/>
    <mergeCell ref="NOC142:NOF142"/>
    <mergeCell ref="NRY142:NSB142"/>
    <mergeCell ref="NSC142:NSF142"/>
    <mergeCell ref="NSG142:NSJ142"/>
    <mergeCell ref="NSK142:NSN142"/>
    <mergeCell ref="NSO142:NSR142"/>
    <mergeCell ref="NSS142:NSV142"/>
    <mergeCell ref="NRA142:NRD142"/>
    <mergeCell ref="NRE142:NRH142"/>
    <mergeCell ref="NRI142:NRL142"/>
    <mergeCell ref="NRM142:NRP142"/>
    <mergeCell ref="NRQ142:NRT142"/>
    <mergeCell ref="NRU142:NRX142"/>
    <mergeCell ref="NQC142:NQF142"/>
    <mergeCell ref="NQG142:NQJ142"/>
    <mergeCell ref="NQK142:NQN142"/>
    <mergeCell ref="NQO142:NQR142"/>
    <mergeCell ref="NQS142:NQV142"/>
    <mergeCell ref="NQW142:NQZ142"/>
    <mergeCell ref="NUS142:NUV142"/>
    <mergeCell ref="NUW142:NUZ142"/>
    <mergeCell ref="NVA142:NVD142"/>
    <mergeCell ref="NVE142:NVH142"/>
    <mergeCell ref="NVI142:NVL142"/>
    <mergeCell ref="NVM142:NVP142"/>
    <mergeCell ref="NTU142:NTX142"/>
    <mergeCell ref="NTY142:NUB142"/>
    <mergeCell ref="NUC142:NUF142"/>
    <mergeCell ref="NUG142:NUJ142"/>
    <mergeCell ref="NUK142:NUN142"/>
    <mergeCell ref="NUO142:NUR142"/>
    <mergeCell ref="NSW142:NSZ142"/>
    <mergeCell ref="NTA142:NTD142"/>
    <mergeCell ref="NTE142:NTH142"/>
    <mergeCell ref="NTI142:NTL142"/>
    <mergeCell ref="NTM142:NTP142"/>
    <mergeCell ref="NTQ142:NTT142"/>
    <mergeCell ref="NXM142:NXP142"/>
    <mergeCell ref="NXQ142:NXT142"/>
    <mergeCell ref="NXU142:NXX142"/>
    <mergeCell ref="NXY142:NYB142"/>
    <mergeCell ref="NYC142:NYF142"/>
    <mergeCell ref="NYG142:NYJ142"/>
    <mergeCell ref="NWO142:NWR142"/>
    <mergeCell ref="NWS142:NWV142"/>
    <mergeCell ref="NWW142:NWZ142"/>
    <mergeCell ref="NXA142:NXD142"/>
    <mergeCell ref="NXE142:NXH142"/>
    <mergeCell ref="NXI142:NXL142"/>
    <mergeCell ref="NVQ142:NVT142"/>
    <mergeCell ref="NVU142:NVX142"/>
    <mergeCell ref="NVY142:NWB142"/>
    <mergeCell ref="NWC142:NWF142"/>
    <mergeCell ref="NWG142:NWJ142"/>
    <mergeCell ref="NWK142:NWN142"/>
    <mergeCell ref="OAG142:OAJ142"/>
    <mergeCell ref="OAK142:OAN142"/>
    <mergeCell ref="OAO142:OAR142"/>
    <mergeCell ref="OAS142:OAV142"/>
    <mergeCell ref="OAW142:OAZ142"/>
    <mergeCell ref="OBA142:OBD142"/>
    <mergeCell ref="NZI142:NZL142"/>
    <mergeCell ref="NZM142:NZP142"/>
    <mergeCell ref="NZQ142:NZT142"/>
    <mergeCell ref="NZU142:NZX142"/>
    <mergeCell ref="NZY142:OAB142"/>
    <mergeCell ref="OAC142:OAF142"/>
    <mergeCell ref="NYK142:NYN142"/>
    <mergeCell ref="NYO142:NYR142"/>
    <mergeCell ref="NYS142:NYV142"/>
    <mergeCell ref="NYW142:NYZ142"/>
    <mergeCell ref="NZA142:NZD142"/>
    <mergeCell ref="NZE142:NZH142"/>
    <mergeCell ref="ODA142:ODD142"/>
    <mergeCell ref="ODE142:ODH142"/>
    <mergeCell ref="ODI142:ODL142"/>
    <mergeCell ref="ODM142:ODP142"/>
    <mergeCell ref="ODQ142:ODT142"/>
    <mergeCell ref="ODU142:ODX142"/>
    <mergeCell ref="OCC142:OCF142"/>
    <mergeCell ref="OCG142:OCJ142"/>
    <mergeCell ref="OCK142:OCN142"/>
    <mergeCell ref="OCO142:OCR142"/>
    <mergeCell ref="OCS142:OCV142"/>
    <mergeCell ref="OCW142:OCZ142"/>
    <mergeCell ref="OBE142:OBH142"/>
    <mergeCell ref="OBI142:OBL142"/>
    <mergeCell ref="OBM142:OBP142"/>
    <mergeCell ref="OBQ142:OBT142"/>
    <mergeCell ref="OBU142:OBX142"/>
    <mergeCell ref="OBY142:OCB142"/>
    <mergeCell ref="OFU142:OFX142"/>
    <mergeCell ref="OFY142:OGB142"/>
    <mergeCell ref="OGC142:OGF142"/>
    <mergeCell ref="OGG142:OGJ142"/>
    <mergeCell ref="OGK142:OGN142"/>
    <mergeCell ref="OGO142:OGR142"/>
    <mergeCell ref="OEW142:OEZ142"/>
    <mergeCell ref="OFA142:OFD142"/>
    <mergeCell ref="OFE142:OFH142"/>
    <mergeCell ref="OFI142:OFL142"/>
    <mergeCell ref="OFM142:OFP142"/>
    <mergeCell ref="OFQ142:OFT142"/>
    <mergeCell ref="ODY142:OEB142"/>
    <mergeCell ref="OEC142:OEF142"/>
    <mergeCell ref="OEG142:OEJ142"/>
    <mergeCell ref="OEK142:OEN142"/>
    <mergeCell ref="OEO142:OER142"/>
    <mergeCell ref="OES142:OEV142"/>
    <mergeCell ref="OIO142:OIR142"/>
    <mergeCell ref="OIS142:OIV142"/>
    <mergeCell ref="OIW142:OIZ142"/>
    <mergeCell ref="OJA142:OJD142"/>
    <mergeCell ref="OJE142:OJH142"/>
    <mergeCell ref="OJI142:OJL142"/>
    <mergeCell ref="OHQ142:OHT142"/>
    <mergeCell ref="OHU142:OHX142"/>
    <mergeCell ref="OHY142:OIB142"/>
    <mergeCell ref="OIC142:OIF142"/>
    <mergeCell ref="OIG142:OIJ142"/>
    <mergeCell ref="OIK142:OIN142"/>
    <mergeCell ref="OGS142:OGV142"/>
    <mergeCell ref="OGW142:OGZ142"/>
    <mergeCell ref="OHA142:OHD142"/>
    <mergeCell ref="OHE142:OHH142"/>
    <mergeCell ref="OHI142:OHL142"/>
    <mergeCell ref="OHM142:OHP142"/>
    <mergeCell ref="OLI142:OLL142"/>
    <mergeCell ref="OLM142:OLP142"/>
    <mergeCell ref="OLQ142:OLT142"/>
    <mergeCell ref="OLU142:OLX142"/>
    <mergeCell ref="OLY142:OMB142"/>
    <mergeCell ref="OMC142:OMF142"/>
    <mergeCell ref="OKK142:OKN142"/>
    <mergeCell ref="OKO142:OKR142"/>
    <mergeCell ref="OKS142:OKV142"/>
    <mergeCell ref="OKW142:OKZ142"/>
    <mergeCell ref="OLA142:OLD142"/>
    <mergeCell ref="OLE142:OLH142"/>
    <mergeCell ref="OJM142:OJP142"/>
    <mergeCell ref="OJQ142:OJT142"/>
    <mergeCell ref="OJU142:OJX142"/>
    <mergeCell ref="OJY142:OKB142"/>
    <mergeCell ref="OKC142:OKF142"/>
    <mergeCell ref="OKG142:OKJ142"/>
    <mergeCell ref="OOC142:OOF142"/>
    <mergeCell ref="OOG142:OOJ142"/>
    <mergeCell ref="OOK142:OON142"/>
    <mergeCell ref="OOO142:OOR142"/>
    <mergeCell ref="OOS142:OOV142"/>
    <mergeCell ref="OOW142:OOZ142"/>
    <mergeCell ref="ONE142:ONH142"/>
    <mergeCell ref="ONI142:ONL142"/>
    <mergeCell ref="ONM142:ONP142"/>
    <mergeCell ref="ONQ142:ONT142"/>
    <mergeCell ref="ONU142:ONX142"/>
    <mergeCell ref="ONY142:OOB142"/>
    <mergeCell ref="OMG142:OMJ142"/>
    <mergeCell ref="OMK142:OMN142"/>
    <mergeCell ref="OMO142:OMR142"/>
    <mergeCell ref="OMS142:OMV142"/>
    <mergeCell ref="OMW142:OMZ142"/>
    <mergeCell ref="ONA142:OND142"/>
    <mergeCell ref="OQW142:OQZ142"/>
    <mergeCell ref="ORA142:ORD142"/>
    <mergeCell ref="ORE142:ORH142"/>
    <mergeCell ref="ORI142:ORL142"/>
    <mergeCell ref="ORM142:ORP142"/>
    <mergeCell ref="ORQ142:ORT142"/>
    <mergeCell ref="OPY142:OQB142"/>
    <mergeCell ref="OQC142:OQF142"/>
    <mergeCell ref="OQG142:OQJ142"/>
    <mergeCell ref="OQK142:OQN142"/>
    <mergeCell ref="OQO142:OQR142"/>
    <mergeCell ref="OQS142:OQV142"/>
    <mergeCell ref="OPA142:OPD142"/>
    <mergeCell ref="OPE142:OPH142"/>
    <mergeCell ref="OPI142:OPL142"/>
    <mergeCell ref="OPM142:OPP142"/>
    <mergeCell ref="OPQ142:OPT142"/>
    <mergeCell ref="OPU142:OPX142"/>
    <mergeCell ref="OTQ142:OTT142"/>
    <mergeCell ref="OTU142:OTX142"/>
    <mergeCell ref="OTY142:OUB142"/>
    <mergeCell ref="OUC142:OUF142"/>
    <mergeCell ref="OUG142:OUJ142"/>
    <mergeCell ref="OUK142:OUN142"/>
    <mergeCell ref="OSS142:OSV142"/>
    <mergeCell ref="OSW142:OSZ142"/>
    <mergeCell ref="OTA142:OTD142"/>
    <mergeCell ref="OTE142:OTH142"/>
    <mergeCell ref="OTI142:OTL142"/>
    <mergeCell ref="OTM142:OTP142"/>
    <mergeCell ref="ORU142:ORX142"/>
    <mergeCell ref="ORY142:OSB142"/>
    <mergeCell ref="OSC142:OSF142"/>
    <mergeCell ref="OSG142:OSJ142"/>
    <mergeCell ref="OSK142:OSN142"/>
    <mergeCell ref="OSO142:OSR142"/>
    <mergeCell ref="OWK142:OWN142"/>
    <mergeCell ref="OWO142:OWR142"/>
    <mergeCell ref="OWS142:OWV142"/>
    <mergeCell ref="OWW142:OWZ142"/>
    <mergeCell ref="OXA142:OXD142"/>
    <mergeCell ref="OXE142:OXH142"/>
    <mergeCell ref="OVM142:OVP142"/>
    <mergeCell ref="OVQ142:OVT142"/>
    <mergeCell ref="OVU142:OVX142"/>
    <mergeCell ref="OVY142:OWB142"/>
    <mergeCell ref="OWC142:OWF142"/>
    <mergeCell ref="OWG142:OWJ142"/>
    <mergeCell ref="OUO142:OUR142"/>
    <mergeCell ref="OUS142:OUV142"/>
    <mergeCell ref="OUW142:OUZ142"/>
    <mergeCell ref="OVA142:OVD142"/>
    <mergeCell ref="OVE142:OVH142"/>
    <mergeCell ref="OVI142:OVL142"/>
    <mergeCell ref="OZE142:OZH142"/>
    <mergeCell ref="OZI142:OZL142"/>
    <mergeCell ref="OZM142:OZP142"/>
    <mergeCell ref="OZQ142:OZT142"/>
    <mergeCell ref="OZU142:OZX142"/>
    <mergeCell ref="OZY142:PAB142"/>
    <mergeCell ref="OYG142:OYJ142"/>
    <mergeCell ref="OYK142:OYN142"/>
    <mergeCell ref="OYO142:OYR142"/>
    <mergeCell ref="OYS142:OYV142"/>
    <mergeCell ref="OYW142:OYZ142"/>
    <mergeCell ref="OZA142:OZD142"/>
    <mergeCell ref="OXI142:OXL142"/>
    <mergeCell ref="OXM142:OXP142"/>
    <mergeCell ref="OXQ142:OXT142"/>
    <mergeCell ref="OXU142:OXX142"/>
    <mergeCell ref="OXY142:OYB142"/>
    <mergeCell ref="OYC142:OYF142"/>
    <mergeCell ref="PBY142:PCB142"/>
    <mergeCell ref="PCC142:PCF142"/>
    <mergeCell ref="PCG142:PCJ142"/>
    <mergeCell ref="PCK142:PCN142"/>
    <mergeCell ref="PCO142:PCR142"/>
    <mergeCell ref="PCS142:PCV142"/>
    <mergeCell ref="PBA142:PBD142"/>
    <mergeCell ref="PBE142:PBH142"/>
    <mergeCell ref="PBI142:PBL142"/>
    <mergeCell ref="PBM142:PBP142"/>
    <mergeCell ref="PBQ142:PBT142"/>
    <mergeCell ref="PBU142:PBX142"/>
    <mergeCell ref="PAC142:PAF142"/>
    <mergeCell ref="PAG142:PAJ142"/>
    <mergeCell ref="PAK142:PAN142"/>
    <mergeCell ref="PAO142:PAR142"/>
    <mergeCell ref="PAS142:PAV142"/>
    <mergeCell ref="PAW142:PAZ142"/>
    <mergeCell ref="PES142:PEV142"/>
    <mergeCell ref="PEW142:PEZ142"/>
    <mergeCell ref="PFA142:PFD142"/>
    <mergeCell ref="PFE142:PFH142"/>
    <mergeCell ref="PFI142:PFL142"/>
    <mergeCell ref="PFM142:PFP142"/>
    <mergeCell ref="PDU142:PDX142"/>
    <mergeCell ref="PDY142:PEB142"/>
    <mergeCell ref="PEC142:PEF142"/>
    <mergeCell ref="PEG142:PEJ142"/>
    <mergeCell ref="PEK142:PEN142"/>
    <mergeCell ref="PEO142:PER142"/>
    <mergeCell ref="PCW142:PCZ142"/>
    <mergeCell ref="PDA142:PDD142"/>
    <mergeCell ref="PDE142:PDH142"/>
    <mergeCell ref="PDI142:PDL142"/>
    <mergeCell ref="PDM142:PDP142"/>
    <mergeCell ref="PDQ142:PDT142"/>
    <mergeCell ref="PHM142:PHP142"/>
    <mergeCell ref="PHQ142:PHT142"/>
    <mergeCell ref="PHU142:PHX142"/>
    <mergeCell ref="PHY142:PIB142"/>
    <mergeCell ref="PIC142:PIF142"/>
    <mergeCell ref="PIG142:PIJ142"/>
    <mergeCell ref="PGO142:PGR142"/>
    <mergeCell ref="PGS142:PGV142"/>
    <mergeCell ref="PGW142:PGZ142"/>
    <mergeCell ref="PHA142:PHD142"/>
    <mergeCell ref="PHE142:PHH142"/>
    <mergeCell ref="PHI142:PHL142"/>
    <mergeCell ref="PFQ142:PFT142"/>
    <mergeCell ref="PFU142:PFX142"/>
    <mergeCell ref="PFY142:PGB142"/>
    <mergeCell ref="PGC142:PGF142"/>
    <mergeCell ref="PGG142:PGJ142"/>
    <mergeCell ref="PGK142:PGN142"/>
    <mergeCell ref="PKG142:PKJ142"/>
    <mergeCell ref="PKK142:PKN142"/>
    <mergeCell ref="PKO142:PKR142"/>
    <mergeCell ref="PKS142:PKV142"/>
    <mergeCell ref="PKW142:PKZ142"/>
    <mergeCell ref="PLA142:PLD142"/>
    <mergeCell ref="PJI142:PJL142"/>
    <mergeCell ref="PJM142:PJP142"/>
    <mergeCell ref="PJQ142:PJT142"/>
    <mergeCell ref="PJU142:PJX142"/>
    <mergeCell ref="PJY142:PKB142"/>
    <mergeCell ref="PKC142:PKF142"/>
    <mergeCell ref="PIK142:PIN142"/>
    <mergeCell ref="PIO142:PIR142"/>
    <mergeCell ref="PIS142:PIV142"/>
    <mergeCell ref="PIW142:PIZ142"/>
    <mergeCell ref="PJA142:PJD142"/>
    <mergeCell ref="PJE142:PJH142"/>
    <mergeCell ref="PNA142:PND142"/>
    <mergeCell ref="PNE142:PNH142"/>
    <mergeCell ref="PNI142:PNL142"/>
    <mergeCell ref="PNM142:PNP142"/>
    <mergeCell ref="PNQ142:PNT142"/>
    <mergeCell ref="PNU142:PNX142"/>
    <mergeCell ref="PMC142:PMF142"/>
    <mergeCell ref="PMG142:PMJ142"/>
    <mergeCell ref="PMK142:PMN142"/>
    <mergeCell ref="PMO142:PMR142"/>
    <mergeCell ref="PMS142:PMV142"/>
    <mergeCell ref="PMW142:PMZ142"/>
    <mergeCell ref="PLE142:PLH142"/>
    <mergeCell ref="PLI142:PLL142"/>
    <mergeCell ref="PLM142:PLP142"/>
    <mergeCell ref="PLQ142:PLT142"/>
    <mergeCell ref="PLU142:PLX142"/>
    <mergeCell ref="PLY142:PMB142"/>
    <mergeCell ref="PPU142:PPX142"/>
    <mergeCell ref="PPY142:PQB142"/>
    <mergeCell ref="PQC142:PQF142"/>
    <mergeCell ref="PQG142:PQJ142"/>
    <mergeCell ref="PQK142:PQN142"/>
    <mergeCell ref="PQO142:PQR142"/>
    <mergeCell ref="POW142:POZ142"/>
    <mergeCell ref="PPA142:PPD142"/>
    <mergeCell ref="PPE142:PPH142"/>
    <mergeCell ref="PPI142:PPL142"/>
    <mergeCell ref="PPM142:PPP142"/>
    <mergeCell ref="PPQ142:PPT142"/>
    <mergeCell ref="PNY142:POB142"/>
    <mergeCell ref="POC142:POF142"/>
    <mergeCell ref="POG142:POJ142"/>
    <mergeCell ref="POK142:PON142"/>
    <mergeCell ref="POO142:POR142"/>
    <mergeCell ref="POS142:POV142"/>
    <mergeCell ref="PSO142:PSR142"/>
    <mergeCell ref="PSS142:PSV142"/>
    <mergeCell ref="PSW142:PSZ142"/>
    <mergeCell ref="PTA142:PTD142"/>
    <mergeCell ref="PTE142:PTH142"/>
    <mergeCell ref="PTI142:PTL142"/>
    <mergeCell ref="PRQ142:PRT142"/>
    <mergeCell ref="PRU142:PRX142"/>
    <mergeCell ref="PRY142:PSB142"/>
    <mergeCell ref="PSC142:PSF142"/>
    <mergeCell ref="PSG142:PSJ142"/>
    <mergeCell ref="PSK142:PSN142"/>
    <mergeCell ref="PQS142:PQV142"/>
    <mergeCell ref="PQW142:PQZ142"/>
    <mergeCell ref="PRA142:PRD142"/>
    <mergeCell ref="PRE142:PRH142"/>
    <mergeCell ref="PRI142:PRL142"/>
    <mergeCell ref="PRM142:PRP142"/>
    <mergeCell ref="PVI142:PVL142"/>
    <mergeCell ref="PVM142:PVP142"/>
    <mergeCell ref="PVQ142:PVT142"/>
    <mergeCell ref="PVU142:PVX142"/>
    <mergeCell ref="PVY142:PWB142"/>
    <mergeCell ref="PWC142:PWF142"/>
    <mergeCell ref="PUK142:PUN142"/>
    <mergeCell ref="PUO142:PUR142"/>
    <mergeCell ref="PUS142:PUV142"/>
    <mergeCell ref="PUW142:PUZ142"/>
    <mergeCell ref="PVA142:PVD142"/>
    <mergeCell ref="PVE142:PVH142"/>
    <mergeCell ref="PTM142:PTP142"/>
    <mergeCell ref="PTQ142:PTT142"/>
    <mergeCell ref="PTU142:PTX142"/>
    <mergeCell ref="PTY142:PUB142"/>
    <mergeCell ref="PUC142:PUF142"/>
    <mergeCell ref="PUG142:PUJ142"/>
    <mergeCell ref="PYC142:PYF142"/>
    <mergeCell ref="PYG142:PYJ142"/>
    <mergeCell ref="PYK142:PYN142"/>
    <mergeCell ref="PYO142:PYR142"/>
    <mergeCell ref="PYS142:PYV142"/>
    <mergeCell ref="PYW142:PYZ142"/>
    <mergeCell ref="PXE142:PXH142"/>
    <mergeCell ref="PXI142:PXL142"/>
    <mergeCell ref="PXM142:PXP142"/>
    <mergeCell ref="PXQ142:PXT142"/>
    <mergeCell ref="PXU142:PXX142"/>
    <mergeCell ref="PXY142:PYB142"/>
    <mergeCell ref="PWG142:PWJ142"/>
    <mergeCell ref="PWK142:PWN142"/>
    <mergeCell ref="PWO142:PWR142"/>
    <mergeCell ref="PWS142:PWV142"/>
    <mergeCell ref="PWW142:PWZ142"/>
    <mergeCell ref="PXA142:PXD142"/>
    <mergeCell ref="QAW142:QAZ142"/>
    <mergeCell ref="QBA142:QBD142"/>
    <mergeCell ref="QBE142:QBH142"/>
    <mergeCell ref="QBI142:QBL142"/>
    <mergeCell ref="QBM142:QBP142"/>
    <mergeCell ref="QBQ142:QBT142"/>
    <mergeCell ref="PZY142:QAB142"/>
    <mergeCell ref="QAC142:QAF142"/>
    <mergeCell ref="QAG142:QAJ142"/>
    <mergeCell ref="QAK142:QAN142"/>
    <mergeCell ref="QAO142:QAR142"/>
    <mergeCell ref="QAS142:QAV142"/>
    <mergeCell ref="PZA142:PZD142"/>
    <mergeCell ref="PZE142:PZH142"/>
    <mergeCell ref="PZI142:PZL142"/>
    <mergeCell ref="PZM142:PZP142"/>
    <mergeCell ref="PZQ142:PZT142"/>
    <mergeCell ref="PZU142:PZX142"/>
    <mergeCell ref="QDQ142:QDT142"/>
    <mergeCell ref="QDU142:QDX142"/>
    <mergeCell ref="QDY142:QEB142"/>
    <mergeCell ref="QEC142:QEF142"/>
    <mergeCell ref="QEG142:QEJ142"/>
    <mergeCell ref="QEK142:QEN142"/>
    <mergeCell ref="QCS142:QCV142"/>
    <mergeCell ref="QCW142:QCZ142"/>
    <mergeCell ref="QDA142:QDD142"/>
    <mergeCell ref="QDE142:QDH142"/>
    <mergeCell ref="QDI142:QDL142"/>
    <mergeCell ref="QDM142:QDP142"/>
    <mergeCell ref="QBU142:QBX142"/>
    <mergeCell ref="QBY142:QCB142"/>
    <mergeCell ref="QCC142:QCF142"/>
    <mergeCell ref="QCG142:QCJ142"/>
    <mergeCell ref="QCK142:QCN142"/>
    <mergeCell ref="QCO142:QCR142"/>
    <mergeCell ref="QGK142:QGN142"/>
    <mergeCell ref="QGO142:QGR142"/>
    <mergeCell ref="QGS142:QGV142"/>
    <mergeCell ref="QGW142:QGZ142"/>
    <mergeCell ref="QHA142:QHD142"/>
    <mergeCell ref="QHE142:QHH142"/>
    <mergeCell ref="QFM142:QFP142"/>
    <mergeCell ref="QFQ142:QFT142"/>
    <mergeCell ref="QFU142:QFX142"/>
    <mergeCell ref="QFY142:QGB142"/>
    <mergeCell ref="QGC142:QGF142"/>
    <mergeCell ref="QGG142:QGJ142"/>
    <mergeCell ref="QEO142:QER142"/>
    <mergeCell ref="QES142:QEV142"/>
    <mergeCell ref="QEW142:QEZ142"/>
    <mergeCell ref="QFA142:QFD142"/>
    <mergeCell ref="QFE142:QFH142"/>
    <mergeCell ref="QFI142:QFL142"/>
    <mergeCell ref="QJE142:QJH142"/>
    <mergeCell ref="QJI142:QJL142"/>
    <mergeCell ref="QJM142:QJP142"/>
    <mergeCell ref="QJQ142:QJT142"/>
    <mergeCell ref="QJU142:QJX142"/>
    <mergeCell ref="QJY142:QKB142"/>
    <mergeCell ref="QIG142:QIJ142"/>
    <mergeCell ref="QIK142:QIN142"/>
    <mergeCell ref="QIO142:QIR142"/>
    <mergeCell ref="QIS142:QIV142"/>
    <mergeCell ref="QIW142:QIZ142"/>
    <mergeCell ref="QJA142:QJD142"/>
    <mergeCell ref="QHI142:QHL142"/>
    <mergeCell ref="QHM142:QHP142"/>
    <mergeCell ref="QHQ142:QHT142"/>
    <mergeCell ref="QHU142:QHX142"/>
    <mergeCell ref="QHY142:QIB142"/>
    <mergeCell ref="QIC142:QIF142"/>
    <mergeCell ref="QLY142:QMB142"/>
    <mergeCell ref="QMC142:QMF142"/>
    <mergeCell ref="QMG142:QMJ142"/>
    <mergeCell ref="QMK142:QMN142"/>
    <mergeCell ref="QMO142:QMR142"/>
    <mergeCell ref="QMS142:QMV142"/>
    <mergeCell ref="QLA142:QLD142"/>
    <mergeCell ref="QLE142:QLH142"/>
    <mergeCell ref="QLI142:QLL142"/>
    <mergeCell ref="QLM142:QLP142"/>
    <mergeCell ref="QLQ142:QLT142"/>
    <mergeCell ref="QLU142:QLX142"/>
    <mergeCell ref="QKC142:QKF142"/>
    <mergeCell ref="QKG142:QKJ142"/>
    <mergeCell ref="QKK142:QKN142"/>
    <mergeCell ref="QKO142:QKR142"/>
    <mergeCell ref="QKS142:QKV142"/>
    <mergeCell ref="QKW142:QKZ142"/>
    <mergeCell ref="QOS142:QOV142"/>
    <mergeCell ref="QOW142:QOZ142"/>
    <mergeCell ref="QPA142:QPD142"/>
    <mergeCell ref="QPE142:QPH142"/>
    <mergeCell ref="QPI142:QPL142"/>
    <mergeCell ref="QPM142:QPP142"/>
    <mergeCell ref="QNU142:QNX142"/>
    <mergeCell ref="QNY142:QOB142"/>
    <mergeCell ref="QOC142:QOF142"/>
    <mergeCell ref="QOG142:QOJ142"/>
    <mergeCell ref="QOK142:QON142"/>
    <mergeCell ref="QOO142:QOR142"/>
    <mergeCell ref="QMW142:QMZ142"/>
    <mergeCell ref="QNA142:QND142"/>
    <mergeCell ref="QNE142:QNH142"/>
    <mergeCell ref="QNI142:QNL142"/>
    <mergeCell ref="QNM142:QNP142"/>
    <mergeCell ref="QNQ142:QNT142"/>
    <mergeCell ref="QRM142:QRP142"/>
    <mergeCell ref="QRQ142:QRT142"/>
    <mergeCell ref="QRU142:QRX142"/>
    <mergeCell ref="QRY142:QSB142"/>
    <mergeCell ref="QSC142:QSF142"/>
    <mergeCell ref="QSG142:QSJ142"/>
    <mergeCell ref="QQO142:QQR142"/>
    <mergeCell ref="QQS142:QQV142"/>
    <mergeCell ref="QQW142:QQZ142"/>
    <mergeCell ref="QRA142:QRD142"/>
    <mergeCell ref="QRE142:QRH142"/>
    <mergeCell ref="QRI142:QRL142"/>
    <mergeCell ref="QPQ142:QPT142"/>
    <mergeCell ref="QPU142:QPX142"/>
    <mergeCell ref="QPY142:QQB142"/>
    <mergeCell ref="QQC142:QQF142"/>
    <mergeCell ref="QQG142:QQJ142"/>
    <mergeCell ref="QQK142:QQN142"/>
    <mergeCell ref="QUG142:QUJ142"/>
    <mergeCell ref="QUK142:QUN142"/>
    <mergeCell ref="QUO142:QUR142"/>
    <mergeCell ref="QUS142:QUV142"/>
    <mergeCell ref="QUW142:QUZ142"/>
    <mergeCell ref="QVA142:QVD142"/>
    <mergeCell ref="QTI142:QTL142"/>
    <mergeCell ref="QTM142:QTP142"/>
    <mergeCell ref="QTQ142:QTT142"/>
    <mergeCell ref="QTU142:QTX142"/>
    <mergeCell ref="QTY142:QUB142"/>
    <mergeCell ref="QUC142:QUF142"/>
    <mergeCell ref="QSK142:QSN142"/>
    <mergeCell ref="QSO142:QSR142"/>
    <mergeCell ref="QSS142:QSV142"/>
    <mergeCell ref="QSW142:QSZ142"/>
    <mergeCell ref="QTA142:QTD142"/>
    <mergeCell ref="QTE142:QTH142"/>
    <mergeCell ref="QXA142:QXD142"/>
    <mergeCell ref="QXE142:QXH142"/>
    <mergeCell ref="QXI142:QXL142"/>
    <mergeCell ref="QXM142:QXP142"/>
    <mergeCell ref="QXQ142:QXT142"/>
    <mergeCell ref="QXU142:QXX142"/>
    <mergeCell ref="QWC142:QWF142"/>
    <mergeCell ref="QWG142:QWJ142"/>
    <mergeCell ref="QWK142:QWN142"/>
    <mergeCell ref="QWO142:QWR142"/>
    <mergeCell ref="QWS142:QWV142"/>
    <mergeCell ref="QWW142:QWZ142"/>
    <mergeCell ref="QVE142:QVH142"/>
    <mergeCell ref="QVI142:QVL142"/>
    <mergeCell ref="QVM142:QVP142"/>
    <mergeCell ref="QVQ142:QVT142"/>
    <mergeCell ref="QVU142:QVX142"/>
    <mergeCell ref="QVY142:QWB142"/>
    <mergeCell ref="QZU142:QZX142"/>
    <mergeCell ref="QZY142:RAB142"/>
    <mergeCell ref="RAC142:RAF142"/>
    <mergeCell ref="RAG142:RAJ142"/>
    <mergeCell ref="RAK142:RAN142"/>
    <mergeCell ref="RAO142:RAR142"/>
    <mergeCell ref="QYW142:QYZ142"/>
    <mergeCell ref="QZA142:QZD142"/>
    <mergeCell ref="QZE142:QZH142"/>
    <mergeCell ref="QZI142:QZL142"/>
    <mergeCell ref="QZM142:QZP142"/>
    <mergeCell ref="QZQ142:QZT142"/>
    <mergeCell ref="QXY142:QYB142"/>
    <mergeCell ref="QYC142:QYF142"/>
    <mergeCell ref="QYG142:QYJ142"/>
    <mergeCell ref="QYK142:QYN142"/>
    <mergeCell ref="QYO142:QYR142"/>
    <mergeCell ref="QYS142:QYV142"/>
    <mergeCell ref="RCO142:RCR142"/>
    <mergeCell ref="RCS142:RCV142"/>
    <mergeCell ref="RCW142:RCZ142"/>
    <mergeCell ref="RDA142:RDD142"/>
    <mergeCell ref="RDE142:RDH142"/>
    <mergeCell ref="RDI142:RDL142"/>
    <mergeCell ref="RBQ142:RBT142"/>
    <mergeCell ref="RBU142:RBX142"/>
    <mergeCell ref="RBY142:RCB142"/>
    <mergeCell ref="RCC142:RCF142"/>
    <mergeCell ref="RCG142:RCJ142"/>
    <mergeCell ref="RCK142:RCN142"/>
    <mergeCell ref="RAS142:RAV142"/>
    <mergeCell ref="RAW142:RAZ142"/>
    <mergeCell ref="RBA142:RBD142"/>
    <mergeCell ref="RBE142:RBH142"/>
    <mergeCell ref="RBI142:RBL142"/>
    <mergeCell ref="RBM142:RBP142"/>
    <mergeCell ref="RFI142:RFL142"/>
    <mergeCell ref="RFM142:RFP142"/>
    <mergeCell ref="RFQ142:RFT142"/>
    <mergeCell ref="RFU142:RFX142"/>
    <mergeCell ref="RFY142:RGB142"/>
    <mergeCell ref="RGC142:RGF142"/>
    <mergeCell ref="REK142:REN142"/>
    <mergeCell ref="REO142:RER142"/>
    <mergeCell ref="RES142:REV142"/>
    <mergeCell ref="REW142:REZ142"/>
    <mergeCell ref="RFA142:RFD142"/>
    <mergeCell ref="RFE142:RFH142"/>
    <mergeCell ref="RDM142:RDP142"/>
    <mergeCell ref="RDQ142:RDT142"/>
    <mergeCell ref="RDU142:RDX142"/>
    <mergeCell ref="RDY142:REB142"/>
    <mergeCell ref="REC142:REF142"/>
    <mergeCell ref="REG142:REJ142"/>
    <mergeCell ref="RIC142:RIF142"/>
    <mergeCell ref="RIG142:RIJ142"/>
    <mergeCell ref="RIK142:RIN142"/>
    <mergeCell ref="RIO142:RIR142"/>
    <mergeCell ref="RIS142:RIV142"/>
    <mergeCell ref="RIW142:RIZ142"/>
    <mergeCell ref="RHE142:RHH142"/>
    <mergeCell ref="RHI142:RHL142"/>
    <mergeCell ref="RHM142:RHP142"/>
    <mergeCell ref="RHQ142:RHT142"/>
    <mergeCell ref="RHU142:RHX142"/>
    <mergeCell ref="RHY142:RIB142"/>
    <mergeCell ref="RGG142:RGJ142"/>
    <mergeCell ref="RGK142:RGN142"/>
    <mergeCell ref="RGO142:RGR142"/>
    <mergeCell ref="RGS142:RGV142"/>
    <mergeCell ref="RGW142:RGZ142"/>
    <mergeCell ref="RHA142:RHD142"/>
    <mergeCell ref="RKW142:RKZ142"/>
    <mergeCell ref="RLA142:RLD142"/>
    <mergeCell ref="RLE142:RLH142"/>
    <mergeCell ref="RLI142:RLL142"/>
    <mergeCell ref="RLM142:RLP142"/>
    <mergeCell ref="RLQ142:RLT142"/>
    <mergeCell ref="RJY142:RKB142"/>
    <mergeCell ref="RKC142:RKF142"/>
    <mergeCell ref="RKG142:RKJ142"/>
    <mergeCell ref="RKK142:RKN142"/>
    <mergeCell ref="RKO142:RKR142"/>
    <mergeCell ref="RKS142:RKV142"/>
    <mergeCell ref="RJA142:RJD142"/>
    <mergeCell ref="RJE142:RJH142"/>
    <mergeCell ref="RJI142:RJL142"/>
    <mergeCell ref="RJM142:RJP142"/>
    <mergeCell ref="RJQ142:RJT142"/>
    <mergeCell ref="RJU142:RJX142"/>
    <mergeCell ref="RNQ142:RNT142"/>
    <mergeCell ref="RNU142:RNX142"/>
    <mergeCell ref="RNY142:ROB142"/>
    <mergeCell ref="ROC142:ROF142"/>
    <mergeCell ref="ROG142:ROJ142"/>
    <mergeCell ref="ROK142:RON142"/>
    <mergeCell ref="RMS142:RMV142"/>
    <mergeCell ref="RMW142:RMZ142"/>
    <mergeCell ref="RNA142:RND142"/>
    <mergeCell ref="RNE142:RNH142"/>
    <mergeCell ref="RNI142:RNL142"/>
    <mergeCell ref="RNM142:RNP142"/>
    <mergeCell ref="RLU142:RLX142"/>
    <mergeCell ref="RLY142:RMB142"/>
    <mergeCell ref="RMC142:RMF142"/>
    <mergeCell ref="RMG142:RMJ142"/>
    <mergeCell ref="RMK142:RMN142"/>
    <mergeCell ref="RMO142:RMR142"/>
    <mergeCell ref="RQK142:RQN142"/>
    <mergeCell ref="RQO142:RQR142"/>
    <mergeCell ref="RQS142:RQV142"/>
    <mergeCell ref="RQW142:RQZ142"/>
    <mergeCell ref="RRA142:RRD142"/>
    <mergeCell ref="RRE142:RRH142"/>
    <mergeCell ref="RPM142:RPP142"/>
    <mergeCell ref="RPQ142:RPT142"/>
    <mergeCell ref="RPU142:RPX142"/>
    <mergeCell ref="RPY142:RQB142"/>
    <mergeCell ref="RQC142:RQF142"/>
    <mergeCell ref="RQG142:RQJ142"/>
    <mergeCell ref="ROO142:ROR142"/>
    <mergeCell ref="ROS142:ROV142"/>
    <mergeCell ref="ROW142:ROZ142"/>
    <mergeCell ref="RPA142:RPD142"/>
    <mergeCell ref="RPE142:RPH142"/>
    <mergeCell ref="RPI142:RPL142"/>
    <mergeCell ref="RTE142:RTH142"/>
    <mergeCell ref="RTI142:RTL142"/>
    <mergeCell ref="RTM142:RTP142"/>
    <mergeCell ref="RTQ142:RTT142"/>
    <mergeCell ref="RTU142:RTX142"/>
    <mergeCell ref="RTY142:RUB142"/>
    <mergeCell ref="RSG142:RSJ142"/>
    <mergeCell ref="RSK142:RSN142"/>
    <mergeCell ref="RSO142:RSR142"/>
    <mergeCell ref="RSS142:RSV142"/>
    <mergeCell ref="RSW142:RSZ142"/>
    <mergeCell ref="RTA142:RTD142"/>
    <mergeCell ref="RRI142:RRL142"/>
    <mergeCell ref="RRM142:RRP142"/>
    <mergeCell ref="RRQ142:RRT142"/>
    <mergeCell ref="RRU142:RRX142"/>
    <mergeCell ref="RRY142:RSB142"/>
    <mergeCell ref="RSC142:RSF142"/>
    <mergeCell ref="RVY142:RWB142"/>
    <mergeCell ref="RWC142:RWF142"/>
    <mergeCell ref="RWG142:RWJ142"/>
    <mergeCell ref="RWK142:RWN142"/>
    <mergeCell ref="RWO142:RWR142"/>
    <mergeCell ref="RWS142:RWV142"/>
    <mergeCell ref="RVA142:RVD142"/>
    <mergeCell ref="RVE142:RVH142"/>
    <mergeCell ref="RVI142:RVL142"/>
    <mergeCell ref="RVM142:RVP142"/>
    <mergeCell ref="RVQ142:RVT142"/>
    <mergeCell ref="RVU142:RVX142"/>
    <mergeCell ref="RUC142:RUF142"/>
    <mergeCell ref="RUG142:RUJ142"/>
    <mergeCell ref="RUK142:RUN142"/>
    <mergeCell ref="RUO142:RUR142"/>
    <mergeCell ref="RUS142:RUV142"/>
    <mergeCell ref="RUW142:RUZ142"/>
    <mergeCell ref="RYS142:RYV142"/>
    <mergeCell ref="RYW142:RYZ142"/>
    <mergeCell ref="RZA142:RZD142"/>
    <mergeCell ref="RZE142:RZH142"/>
    <mergeCell ref="RZI142:RZL142"/>
    <mergeCell ref="RZM142:RZP142"/>
    <mergeCell ref="RXU142:RXX142"/>
    <mergeCell ref="RXY142:RYB142"/>
    <mergeCell ref="RYC142:RYF142"/>
    <mergeCell ref="RYG142:RYJ142"/>
    <mergeCell ref="RYK142:RYN142"/>
    <mergeCell ref="RYO142:RYR142"/>
    <mergeCell ref="RWW142:RWZ142"/>
    <mergeCell ref="RXA142:RXD142"/>
    <mergeCell ref="RXE142:RXH142"/>
    <mergeCell ref="RXI142:RXL142"/>
    <mergeCell ref="RXM142:RXP142"/>
    <mergeCell ref="RXQ142:RXT142"/>
    <mergeCell ref="SBM142:SBP142"/>
    <mergeCell ref="SBQ142:SBT142"/>
    <mergeCell ref="SBU142:SBX142"/>
    <mergeCell ref="SBY142:SCB142"/>
    <mergeCell ref="SCC142:SCF142"/>
    <mergeCell ref="SCG142:SCJ142"/>
    <mergeCell ref="SAO142:SAR142"/>
    <mergeCell ref="SAS142:SAV142"/>
    <mergeCell ref="SAW142:SAZ142"/>
    <mergeCell ref="SBA142:SBD142"/>
    <mergeCell ref="SBE142:SBH142"/>
    <mergeCell ref="SBI142:SBL142"/>
    <mergeCell ref="RZQ142:RZT142"/>
    <mergeCell ref="RZU142:RZX142"/>
    <mergeCell ref="RZY142:SAB142"/>
    <mergeCell ref="SAC142:SAF142"/>
    <mergeCell ref="SAG142:SAJ142"/>
    <mergeCell ref="SAK142:SAN142"/>
    <mergeCell ref="SEG142:SEJ142"/>
    <mergeCell ref="SEK142:SEN142"/>
    <mergeCell ref="SEO142:SER142"/>
    <mergeCell ref="SES142:SEV142"/>
    <mergeCell ref="SEW142:SEZ142"/>
    <mergeCell ref="SFA142:SFD142"/>
    <mergeCell ref="SDI142:SDL142"/>
    <mergeCell ref="SDM142:SDP142"/>
    <mergeCell ref="SDQ142:SDT142"/>
    <mergeCell ref="SDU142:SDX142"/>
    <mergeCell ref="SDY142:SEB142"/>
    <mergeCell ref="SEC142:SEF142"/>
    <mergeCell ref="SCK142:SCN142"/>
    <mergeCell ref="SCO142:SCR142"/>
    <mergeCell ref="SCS142:SCV142"/>
    <mergeCell ref="SCW142:SCZ142"/>
    <mergeCell ref="SDA142:SDD142"/>
    <mergeCell ref="SDE142:SDH142"/>
    <mergeCell ref="SHA142:SHD142"/>
    <mergeCell ref="SHE142:SHH142"/>
    <mergeCell ref="SHI142:SHL142"/>
    <mergeCell ref="SHM142:SHP142"/>
    <mergeCell ref="SHQ142:SHT142"/>
    <mergeCell ref="SHU142:SHX142"/>
    <mergeCell ref="SGC142:SGF142"/>
    <mergeCell ref="SGG142:SGJ142"/>
    <mergeCell ref="SGK142:SGN142"/>
    <mergeCell ref="SGO142:SGR142"/>
    <mergeCell ref="SGS142:SGV142"/>
    <mergeCell ref="SGW142:SGZ142"/>
    <mergeCell ref="SFE142:SFH142"/>
    <mergeCell ref="SFI142:SFL142"/>
    <mergeCell ref="SFM142:SFP142"/>
    <mergeCell ref="SFQ142:SFT142"/>
    <mergeCell ref="SFU142:SFX142"/>
    <mergeCell ref="SFY142:SGB142"/>
    <mergeCell ref="SJU142:SJX142"/>
    <mergeCell ref="SJY142:SKB142"/>
    <mergeCell ref="SKC142:SKF142"/>
    <mergeCell ref="SKG142:SKJ142"/>
    <mergeCell ref="SKK142:SKN142"/>
    <mergeCell ref="SKO142:SKR142"/>
    <mergeCell ref="SIW142:SIZ142"/>
    <mergeCell ref="SJA142:SJD142"/>
    <mergeCell ref="SJE142:SJH142"/>
    <mergeCell ref="SJI142:SJL142"/>
    <mergeCell ref="SJM142:SJP142"/>
    <mergeCell ref="SJQ142:SJT142"/>
    <mergeCell ref="SHY142:SIB142"/>
    <mergeCell ref="SIC142:SIF142"/>
    <mergeCell ref="SIG142:SIJ142"/>
    <mergeCell ref="SIK142:SIN142"/>
    <mergeCell ref="SIO142:SIR142"/>
    <mergeCell ref="SIS142:SIV142"/>
    <mergeCell ref="SMO142:SMR142"/>
    <mergeCell ref="SMS142:SMV142"/>
    <mergeCell ref="SMW142:SMZ142"/>
    <mergeCell ref="SNA142:SND142"/>
    <mergeCell ref="SNE142:SNH142"/>
    <mergeCell ref="SNI142:SNL142"/>
    <mergeCell ref="SLQ142:SLT142"/>
    <mergeCell ref="SLU142:SLX142"/>
    <mergeCell ref="SLY142:SMB142"/>
    <mergeCell ref="SMC142:SMF142"/>
    <mergeCell ref="SMG142:SMJ142"/>
    <mergeCell ref="SMK142:SMN142"/>
    <mergeCell ref="SKS142:SKV142"/>
    <mergeCell ref="SKW142:SKZ142"/>
    <mergeCell ref="SLA142:SLD142"/>
    <mergeCell ref="SLE142:SLH142"/>
    <mergeCell ref="SLI142:SLL142"/>
    <mergeCell ref="SLM142:SLP142"/>
    <mergeCell ref="SPI142:SPL142"/>
    <mergeCell ref="SPM142:SPP142"/>
    <mergeCell ref="SPQ142:SPT142"/>
    <mergeCell ref="SPU142:SPX142"/>
    <mergeCell ref="SPY142:SQB142"/>
    <mergeCell ref="SQC142:SQF142"/>
    <mergeCell ref="SOK142:SON142"/>
    <mergeCell ref="SOO142:SOR142"/>
    <mergeCell ref="SOS142:SOV142"/>
    <mergeCell ref="SOW142:SOZ142"/>
    <mergeCell ref="SPA142:SPD142"/>
    <mergeCell ref="SPE142:SPH142"/>
    <mergeCell ref="SNM142:SNP142"/>
    <mergeCell ref="SNQ142:SNT142"/>
    <mergeCell ref="SNU142:SNX142"/>
    <mergeCell ref="SNY142:SOB142"/>
    <mergeCell ref="SOC142:SOF142"/>
    <mergeCell ref="SOG142:SOJ142"/>
    <mergeCell ref="SSC142:SSF142"/>
    <mergeCell ref="SSG142:SSJ142"/>
    <mergeCell ref="SSK142:SSN142"/>
    <mergeCell ref="SSO142:SSR142"/>
    <mergeCell ref="SSS142:SSV142"/>
    <mergeCell ref="SSW142:SSZ142"/>
    <mergeCell ref="SRE142:SRH142"/>
    <mergeCell ref="SRI142:SRL142"/>
    <mergeCell ref="SRM142:SRP142"/>
    <mergeCell ref="SRQ142:SRT142"/>
    <mergeCell ref="SRU142:SRX142"/>
    <mergeCell ref="SRY142:SSB142"/>
    <mergeCell ref="SQG142:SQJ142"/>
    <mergeCell ref="SQK142:SQN142"/>
    <mergeCell ref="SQO142:SQR142"/>
    <mergeCell ref="SQS142:SQV142"/>
    <mergeCell ref="SQW142:SQZ142"/>
    <mergeCell ref="SRA142:SRD142"/>
    <mergeCell ref="SUW142:SUZ142"/>
    <mergeCell ref="SVA142:SVD142"/>
    <mergeCell ref="SVE142:SVH142"/>
    <mergeCell ref="SVI142:SVL142"/>
    <mergeCell ref="SVM142:SVP142"/>
    <mergeCell ref="SVQ142:SVT142"/>
    <mergeCell ref="STY142:SUB142"/>
    <mergeCell ref="SUC142:SUF142"/>
    <mergeCell ref="SUG142:SUJ142"/>
    <mergeCell ref="SUK142:SUN142"/>
    <mergeCell ref="SUO142:SUR142"/>
    <mergeCell ref="SUS142:SUV142"/>
    <mergeCell ref="STA142:STD142"/>
    <mergeCell ref="STE142:STH142"/>
    <mergeCell ref="STI142:STL142"/>
    <mergeCell ref="STM142:STP142"/>
    <mergeCell ref="STQ142:STT142"/>
    <mergeCell ref="STU142:STX142"/>
    <mergeCell ref="SXQ142:SXT142"/>
    <mergeCell ref="SXU142:SXX142"/>
    <mergeCell ref="SXY142:SYB142"/>
    <mergeCell ref="SYC142:SYF142"/>
    <mergeCell ref="SYG142:SYJ142"/>
    <mergeCell ref="SYK142:SYN142"/>
    <mergeCell ref="SWS142:SWV142"/>
    <mergeCell ref="SWW142:SWZ142"/>
    <mergeCell ref="SXA142:SXD142"/>
    <mergeCell ref="SXE142:SXH142"/>
    <mergeCell ref="SXI142:SXL142"/>
    <mergeCell ref="SXM142:SXP142"/>
    <mergeCell ref="SVU142:SVX142"/>
    <mergeCell ref="SVY142:SWB142"/>
    <mergeCell ref="SWC142:SWF142"/>
    <mergeCell ref="SWG142:SWJ142"/>
    <mergeCell ref="SWK142:SWN142"/>
    <mergeCell ref="SWO142:SWR142"/>
    <mergeCell ref="TAK142:TAN142"/>
    <mergeCell ref="TAO142:TAR142"/>
    <mergeCell ref="TAS142:TAV142"/>
    <mergeCell ref="TAW142:TAZ142"/>
    <mergeCell ref="TBA142:TBD142"/>
    <mergeCell ref="TBE142:TBH142"/>
    <mergeCell ref="SZM142:SZP142"/>
    <mergeCell ref="SZQ142:SZT142"/>
    <mergeCell ref="SZU142:SZX142"/>
    <mergeCell ref="SZY142:TAB142"/>
    <mergeCell ref="TAC142:TAF142"/>
    <mergeCell ref="TAG142:TAJ142"/>
    <mergeCell ref="SYO142:SYR142"/>
    <mergeCell ref="SYS142:SYV142"/>
    <mergeCell ref="SYW142:SYZ142"/>
    <mergeCell ref="SZA142:SZD142"/>
    <mergeCell ref="SZE142:SZH142"/>
    <mergeCell ref="SZI142:SZL142"/>
    <mergeCell ref="TDE142:TDH142"/>
    <mergeCell ref="TDI142:TDL142"/>
    <mergeCell ref="TDM142:TDP142"/>
    <mergeCell ref="TDQ142:TDT142"/>
    <mergeCell ref="TDU142:TDX142"/>
    <mergeCell ref="TDY142:TEB142"/>
    <mergeCell ref="TCG142:TCJ142"/>
    <mergeCell ref="TCK142:TCN142"/>
    <mergeCell ref="TCO142:TCR142"/>
    <mergeCell ref="TCS142:TCV142"/>
    <mergeCell ref="TCW142:TCZ142"/>
    <mergeCell ref="TDA142:TDD142"/>
    <mergeCell ref="TBI142:TBL142"/>
    <mergeCell ref="TBM142:TBP142"/>
    <mergeCell ref="TBQ142:TBT142"/>
    <mergeCell ref="TBU142:TBX142"/>
    <mergeCell ref="TBY142:TCB142"/>
    <mergeCell ref="TCC142:TCF142"/>
    <mergeCell ref="TFY142:TGB142"/>
    <mergeCell ref="TGC142:TGF142"/>
    <mergeCell ref="TGG142:TGJ142"/>
    <mergeCell ref="TGK142:TGN142"/>
    <mergeCell ref="TGO142:TGR142"/>
    <mergeCell ref="TGS142:TGV142"/>
    <mergeCell ref="TFA142:TFD142"/>
    <mergeCell ref="TFE142:TFH142"/>
    <mergeCell ref="TFI142:TFL142"/>
    <mergeCell ref="TFM142:TFP142"/>
    <mergeCell ref="TFQ142:TFT142"/>
    <mergeCell ref="TFU142:TFX142"/>
    <mergeCell ref="TEC142:TEF142"/>
    <mergeCell ref="TEG142:TEJ142"/>
    <mergeCell ref="TEK142:TEN142"/>
    <mergeCell ref="TEO142:TER142"/>
    <mergeCell ref="TES142:TEV142"/>
    <mergeCell ref="TEW142:TEZ142"/>
    <mergeCell ref="TIS142:TIV142"/>
    <mergeCell ref="TIW142:TIZ142"/>
    <mergeCell ref="TJA142:TJD142"/>
    <mergeCell ref="TJE142:TJH142"/>
    <mergeCell ref="TJI142:TJL142"/>
    <mergeCell ref="TJM142:TJP142"/>
    <mergeCell ref="THU142:THX142"/>
    <mergeCell ref="THY142:TIB142"/>
    <mergeCell ref="TIC142:TIF142"/>
    <mergeCell ref="TIG142:TIJ142"/>
    <mergeCell ref="TIK142:TIN142"/>
    <mergeCell ref="TIO142:TIR142"/>
    <mergeCell ref="TGW142:TGZ142"/>
    <mergeCell ref="THA142:THD142"/>
    <mergeCell ref="THE142:THH142"/>
    <mergeCell ref="THI142:THL142"/>
    <mergeCell ref="THM142:THP142"/>
    <mergeCell ref="THQ142:THT142"/>
    <mergeCell ref="TLM142:TLP142"/>
    <mergeCell ref="TLQ142:TLT142"/>
    <mergeCell ref="TLU142:TLX142"/>
    <mergeCell ref="TLY142:TMB142"/>
    <mergeCell ref="TMC142:TMF142"/>
    <mergeCell ref="TMG142:TMJ142"/>
    <mergeCell ref="TKO142:TKR142"/>
    <mergeCell ref="TKS142:TKV142"/>
    <mergeCell ref="TKW142:TKZ142"/>
    <mergeCell ref="TLA142:TLD142"/>
    <mergeCell ref="TLE142:TLH142"/>
    <mergeCell ref="TLI142:TLL142"/>
    <mergeCell ref="TJQ142:TJT142"/>
    <mergeCell ref="TJU142:TJX142"/>
    <mergeCell ref="TJY142:TKB142"/>
    <mergeCell ref="TKC142:TKF142"/>
    <mergeCell ref="TKG142:TKJ142"/>
    <mergeCell ref="TKK142:TKN142"/>
    <mergeCell ref="TOG142:TOJ142"/>
    <mergeCell ref="TOK142:TON142"/>
    <mergeCell ref="TOO142:TOR142"/>
    <mergeCell ref="TOS142:TOV142"/>
    <mergeCell ref="TOW142:TOZ142"/>
    <mergeCell ref="TPA142:TPD142"/>
    <mergeCell ref="TNI142:TNL142"/>
    <mergeCell ref="TNM142:TNP142"/>
    <mergeCell ref="TNQ142:TNT142"/>
    <mergeCell ref="TNU142:TNX142"/>
    <mergeCell ref="TNY142:TOB142"/>
    <mergeCell ref="TOC142:TOF142"/>
    <mergeCell ref="TMK142:TMN142"/>
    <mergeCell ref="TMO142:TMR142"/>
    <mergeCell ref="TMS142:TMV142"/>
    <mergeCell ref="TMW142:TMZ142"/>
    <mergeCell ref="TNA142:TND142"/>
    <mergeCell ref="TNE142:TNH142"/>
    <mergeCell ref="TRA142:TRD142"/>
    <mergeCell ref="TRE142:TRH142"/>
    <mergeCell ref="TRI142:TRL142"/>
    <mergeCell ref="TRM142:TRP142"/>
    <mergeCell ref="TRQ142:TRT142"/>
    <mergeCell ref="TRU142:TRX142"/>
    <mergeCell ref="TQC142:TQF142"/>
    <mergeCell ref="TQG142:TQJ142"/>
    <mergeCell ref="TQK142:TQN142"/>
    <mergeCell ref="TQO142:TQR142"/>
    <mergeCell ref="TQS142:TQV142"/>
    <mergeCell ref="TQW142:TQZ142"/>
    <mergeCell ref="TPE142:TPH142"/>
    <mergeCell ref="TPI142:TPL142"/>
    <mergeCell ref="TPM142:TPP142"/>
    <mergeCell ref="TPQ142:TPT142"/>
    <mergeCell ref="TPU142:TPX142"/>
    <mergeCell ref="TPY142:TQB142"/>
    <mergeCell ref="TTU142:TTX142"/>
    <mergeCell ref="TTY142:TUB142"/>
    <mergeCell ref="TUC142:TUF142"/>
    <mergeCell ref="TUG142:TUJ142"/>
    <mergeCell ref="TUK142:TUN142"/>
    <mergeCell ref="TUO142:TUR142"/>
    <mergeCell ref="TSW142:TSZ142"/>
    <mergeCell ref="TTA142:TTD142"/>
    <mergeCell ref="TTE142:TTH142"/>
    <mergeCell ref="TTI142:TTL142"/>
    <mergeCell ref="TTM142:TTP142"/>
    <mergeCell ref="TTQ142:TTT142"/>
    <mergeCell ref="TRY142:TSB142"/>
    <mergeCell ref="TSC142:TSF142"/>
    <mergeCell ref="TSG142:TSJ142"/>
    <mergeCell ref="TSK142:TSN142"/>
    <mergeCell ref="TSO142:TSR142"/>
    <mergeCell ref="TSS142:TSV142"/>
    <mergeCell ref="TWO142:TWR142"/>
    <mergeCell ref="TWS142:TWV142"/>
    <mergeCell ref="TWW142:TWZ142"/>
    <mergeCell ref="TXA142:TXD142"/>
    <mergeCell ref="TXE142:TXH142"/>
    <mergeCell ref="TXI142:TXL142"/>
    <mergeCell ref="TVQ142:TVT142"/>
    <mergeCell ref="TVU142:TVX142"/>
    <mergeCell ref="TVY142:TWB142"/>
    <mergeCell ref="TWC142:TWF142"/>
    <mergeCell ref="TWG142:TWJ142"/>
    <mergeCell ref="TWK142:TWN142"/>
    <mergeCell ref="TUS142:TUV142"/>
    <mergeCell ref="TUW142:TUZ142"/>
    <mergeCell ref="TVA142:TVD142"/>
    <mergeCell ref="TVE142:TVH142"/>
    <mergeCell ref="TVI142:TVL142"/>
    <mergeCell ref="TVM142:TVP142"/>
    <mergeCell ref="TZI142:TZL142"/>
    <mergeCell ref="TZM142:TZP142"/>
    <mergeCell ref="TZQ142:TZT142"/>
    <mergeCell ref="TZU142:TZX142"/>
    <mergeCell ref="TZY142:UAB142"/>
    <mergeCell ref="UAC142:UAF142"/>
    <mergeCell ref="TYK142:TYN142"/>
    <mergeCell ref="TYO142:TYR142"/>
    <mergeCell ref="TYS142:TYV142"/>
    <mergeCell ref="TYW142:TYZ142"/>
    <mergeCell ref="TZA142:TZD142"/>
    <mergeCell ref="TZE142:TZH142"/>
    <mergeCell ref="TXM142:TXP142"/>
    <mergeCell ref="TXQ142:TXT142"/>
    <mergeCell ref="TXU142:TXX142"/>
    <mergeCell ref="TXY142:TYB142"/>
    <mergeCell ref="TYC142:TYF142"/>
    <mergeCell ref="TYG142:TYJ142"/>
    <mergeCell ref="UCC142:UCF142"/>
    <mergeCell ref="UCG142:UCJ142"/>
    <mergeCell ref="UCK142:UCN142"/>
    <mergeCell ref="UCO142:UCR142"/>
    <mergeCell ref="UCS142:UCV142"/>
    <mergeCell ref="UCW142:UCZ142"/>
    <mergeCell ref="UBE142:UBH142"/>
    <mergeCell ref="UBI142:UBL142"/>
    <mergeCell ref="UBM142:UBP142"/>
    <mergeCell ref="UBQ142:UBT142"/>
    <mergeCell ref="UBU142:UBX142"/>
    <mergeCell ref="UBY142:UCB142"/>
    <mergeCell ref="UAG142:UAJ142"/>
    <mergeCell ref="UAK142:UAN142"/>
    <mergeCell ref="UAO142:UAR142"/>
    <mergeCell ref="UAS142:UAV142"/>
    <mergeCell ref="UAW142:UAZ142"/>
    <mergeCell ref="UBA142:UBD142"/>
    <mergeCell ref="UEW142:UEZ142"/>
    <mergeCell ref="UFA142:UFD142"/>
    <mergeCell ref="UFE142:UFH142"/>
    <mergeCell ref="UFI142:UFL142"/>
    <mergeCell ref="UFM142:UFP142"/>
    <mergeCell ref="UFQ142:UFT142"/>
    <mergeCell ref="UDY142:UEB142"/>
    <mergeCell ref="UEC142:UEF142"/>
    <mergeCell ref="UEG142:UEJ142"/>
    <mergeCell ref="UEK142:UEN142"/>
    <mergeCell ref="UEO142:UER142"/>
    <mergeCell ref="UES142:UEV142"/>
    <mergeCell ref="UDA142:UDD142"/>
    <mergeCell ref="UDE142:UDH142"/>
    <mergeCell ref="UDI142:UDL142"/>
    <mergeCell ref="UDM142:UDP142"/>
    <mergeCell ref="UDQ142:UDT142"/>
    <mergeCell ref="UDU142:UDX142"/>
    <mergeCell ref="UHQ142:UHT142"/>
    <mergeCell ref="UHU142:UHX142"/>
    <mergeCell ref="UHY142:UIB142"/>
    <mergeCell ref="UIC142:UIF142"/>
    <mergeCell ref="UIG142:UIJ142"/>
    <mergeCell ref="UIK142:UIN142"/>
    <mergeCell ref="UGS142:UGV142"/>
    <mergeCell ref="UGW142:UGZ142"/>
    <mergeCell ref="UHA142:UHD142"/>
    <mergeCell ref="UHE142:UHH142"/>
    <mergeCell ref="UHI142:UHL142"/>
    <mergeCell ref="UHM142:UHP142"/>
    <mergeCell ref="UFU142:UFX142"/>
    <mergeCell ref="UFY142:UGB142"/>
    <mergeCell ref="UGC142:UGF142"/>
    <mergeCell ref="UGG142:UGJ142"/>
    <mergeCell ref="UGK142:UGN142"/>
    <mergeCell ref="UGO142:UGR142"/>
    <mergeCell ref="UKK142:UKN142"/>
    <mergeCell ref="UKO142:UKR142"/>
    <mergeCell ref="UKS142:UKV142"/>
    <mergeCell ref="UKW142:UKZ142"/>
    <mergeCell ref="ULA142:ULD142"/>
    <mergeCell ref="ULE142:ULH142"/>
    <mergeCell ref="UJM142:UJP142"/>
    <mergeCell ref="UJQ142:UJT142"/>
    <mergeCell ref="UJU142:UJX142"/>
    <mergeCell ref="UJY142:UKB142"/>
    <mergeCell ref="UKC142:UKF142"/>
    <mergeCell ref="UKG142:UKJ142"/>
    <mergeCell ref="UIO142:UIR142"/>
    <mergeCell ref="UIS142:UIV142"/>
    <mergeCell ref="UIW142:UIZ142"/>
    <mergeCell ref="UJA142:UJD142"/>
    <mergeCell ref="UJE142:UJH142"/>
    <mergeCell ref="UJI142:UJL142"/>
    <mergeCell ref="UNE142:UNH142"/>
    <mergeCell ref="UNI142:UNL142"/>
    <mergeCell ref="UNM142:UNP142"/>
    <mergeCell ref="UNQ142:UNT142"/>
    <mergeCell ref="UNU142:UNX142"/>
    <mergeCell ref="UNY142:UOB142"/>
    <mergeCell ref="UMG142:UMJ142"/>
    <mergeCell ref="UMK142:UMN142"/>
    <mergeCell ref="UMO142:UMR142"/>
    <mergeCell ref="UMS142:UMV142"/>
    <mergeCell ref="UMW142:UMZ142"/>
    <mergeCell ref="UNA142:UND142"/>
    <mergeCell ref="ULI142:ULL142"/>
    <mergeCell ref="ULM142:ULP142"/>
    <mergeCell ref="ULQ142:ULT142"/>
    <mergeCell ref="ULU142:ULX142"/>
    <mergeCell ref="ULY142:UMB142"/>
    <mergeCell ref="UMC142:UMF142"/>
    <mergeCell ref="UPY142:UQB142"/>
    <mergeCell ref="UQC142:UQF142"/>
    <mergeCell ref="UQG142:UQJ142"/>
    <mergeCell ref="UQK142:UQN142"/>
    <mergeCell ref="UQO142:UQR142"/>
    <mergeCell ref="UQS142:UQV142"/>
    <mergeCell ref="UPA142:UPD142"/>
    <mergeCell ref="UPE142:UPH142"/>
    <mergeCell ref="UPI142:UPL142"/>
    <mergeCell ref="UPM142:UPP142"/>
    <mergeCell ref="UPQ142:UPT142"/>
    <mergeCell ref="UPU142:UPX142"/>
    <mergeCell ref="UOC142:UOF142"/>
    <mergeCell ref="UOG142:UOJ142"/>
    <mergeCell ref="UOK142:UON142"/>
    <mergeCell ref="UOO142:UOR142"/>
    <mergeCell ref="UOS142:UOV142"/>
    <mergeCell ref="UOW142:UOZ142"/>
    <mergeCell ref="USS142:USV142"/>
    <mergeCell ref="USW142:USZ142"/>
    <mergeCell ref="UTA142:UTD142"/>
    <mergeCell ref="UTE142:UTH142"/>
    <mergeCell ref="UTI142:UTL142"/>
    <mergeCell ref="UTM142:UTP142"/>
    <mergeCell ref="URU142:URX142"/>
    <mergeCell ref="URY142:USB142"/>
    <mergeCell ref="USC142:USF142"/>
    <mergeCell ref="USG142:USJ142"/>
    <mergeCell ref="USK142:USN142"/>
    <mergeCell ref="USO142:USR142"/>
    <mergeCell ref="UQW142:UQZ142"/>
    <mergeCell ref="URA142:URD142"/>
    <mergeCell ref="URE142:URH142"/>
    <mergeCell ref="URI142:URL142"/>
    <mergeCell ref="URM142:URP142"/>
    <mergeCell ref="URQ142:URT142"/>
    <mergeCell ref="UVM142:UVP142"/>
    <mergeCell ref="UVQ142:UVT142"/>
    <mergeCell ref="UVU142:UVX142"/>
    <mergeCell ref="UVY142:UWB142"/>
    <mergeCell ref="UWC142:UWF142"/>
    <mergeCell ref="UWG142:UWJ142"/>
    <mergeCell ref="UUO142:UUR142"/>
    <mergeCell ref="UUS142:UUV142"/>
    <mergeCell ref="UUW142:UUZ142"/>
    <mergeCell ref="UVA142:UVD142"/>
    <mergeCell ref="UVE142:UVH142"/>
    <mergeCell ref="UVI142:UVL142"/>
    <mergeCell ref="UTQ142:UTT142"/>
    <mergeCell ref="UTU142:UTX142"/>
    <mergeCell ref="UTY142:UUB142"/>
    <mergeCell ref="UUC142:UUF142"/>
    <mergeCell ref="UUG142:UUJ142"/>
    <mergeCell ref="UUK142:UUN142"/>
    <mergeCell ref="UYG142:UYJ142"/>
    <mergeCell ref="UYK142:UYN142"/>
    <mergeCell ref="UYO142:UYR142"/>
    <mergeCell ref="UYS142:UYV142"/>
    <mergeCell ref="UYW142:UYZ142"/>
    <mergeCell ref="UZA142:UZD142"/>
    <mergeCell ref="UXI142:UXL142"/>
    <mergeCell ref="UXM142:UXP142"/>
    <mergeCell ref="UXQ142:UXT142"/>
    <mergeCell ref="UXU142:UXX142"/>
    <mergeCell ref="UXY142:UYB142"/>
    <mergeCell ref="UYC142:UYF142"/>
    <mergeCell ref="UWK142:UWN142"/>
    <mergeCell ref="UWO142:UWR142"/>
    <mergeCell ref="UWS142:UWV142"/>
    <mergeCell ref="UWW142:UWZ142"/>
    <mergeCell ref="UXA142:UXD142"/>
    <mergeCell ref="UXE142:UXH142"/>
    <mergeCell ref="VBA142:VBD142"/>
    <mergeCell ref="VBE142:VBH142"/>
    <mergeCell ref="VBI142:VBL142"/>
    <mergeCell ref="VBM142:VBP142"/>
    <mergeCell ref="VBQ142:VBT142"/>
    <mergeCell ref="VBU142:VBX142"/>
    <mergeCell ref="VAC142:VAF142"/>
    <mergeCell ref="VAG142:VAJ142"/>
    <mergeCell ref="VAK142:VAN142"/>
    <mergeCell ref="VAO142:VAR142"/>
    <mergeCell ref="VAS142:VAV142"/>
    <mergeCell ref="VAW142:VAZ142"/>
    <mergeCell ref="UZE142:UZH142"/>
    <mergeCell ref="UZI142:UZL142"/>
    <mergeCell ref="UZM142:UZP142"/>
    <mergeCell ref="UZQ142:UZT142"/>
    <mergeCell ref="UZU142:UZX142"/>
    <mergeCell ref="UZY142:VAB142"/>
    <mergeCell ref="VDU142:VDX142"/>
    <mergeCell ref="VDY142:VEB142"/>
    <mergeCell ref="VEC142:VEF142"/>
    <mergeCell ref="VEG142:VEJ142"/>
    <mergeCell ref="VEK142:VEN142"/>
    <mergeCell ref="VEO142:VER142"/>
    <mergeCell ref="VCW142:VCZ142"/>
    <mergeCell ref="VDA142:VDD142"/>
    <mergeCell ref="VDE142:VDH142"/>
    <mergeCell ref="VDI142:VDL142"/>
    <mergeCell ref="VDM142:VDP142"/>
    <mergeCell ref="VDQ142:VDT142"/>
    <mergeCell ref="VBY142:VCB142"/>
    <mergeCell ref="VCC142:VCF142"/>
    <mergeCell ref="VCG142:VCJ142"/>
    <mergeCell ref="VCK142:VCN142"/>
    <mergeCell ref="VCO142:VCR142"/>
    <mergeCell ref="VCS142:VCV142"/>
    <mergeCell ref="VGO142:VGR142"/>
    <mergeCell ref="VGS142:VGV142"/>
    <mergeCell ref="VGW142:VGZ142"/>
    <mergeCell ref="VHA142:VHD142"/>
    <mergeCell ref="VHE142:VHH142"/>
    <mergeCell ref="VHI142:VHL142"/>
    <mergeCell ref="VFQ142:VFT142"/>
    <mergeCell ref="VFU142:VFX142"/>
    <mergeCell ref="VFY142:VGB142"/>
    <mergeCell ref="VGC142:VGF142"/>
    <mergeCell ref="VGG142:VGJ142"/>
    <mergeCell ref="VGK142:VGN142"/>
    <mergeCell ref="VES142:VEV142"/>
    <mergeCell ref="VEW142:VEZ142"/>
    <mergeCell ref="VFA142:VFD142"/>
    <mergeCell ref="VFE142:VFH142"/>
    <mergeCell ref="VFI142:VFL142"/>
    <mergeCell ref="VFM142:VFP142"/>
    <mergeCell ref="VJI142:VJL142"/>
    <mergeCell ref="VJM142:VJP142"/>
    <mergeCell ref="VJQ142:VJT142"/>
    <mergeCell ref="VJU142:VJX142"/>
    <mergeCell ref="VJY142:VKB142"/>
    <mergeCell ref="VKC142:VKF142"/>
    <mergeCell ref="VIK142:VIN142"/>
    <mergeCell ref="VIO142:VIR142"/>
    <mergeCell ref="VIS142:VIV142"/>
    <mergeCell ref="VIW142:VIZ142"/>
    <mergeCell ref="VJA142:VJD142"/>
    <mergeCell ref="VJE142:VJH142"/>
    <mergeCell ref="VHM142:VHP142"/>
    <mergeCell ref="VHQ142:VHT142"/>
    <mergeCell ref="VHU142:VHX142"/>
    <mergeCell ref="VHY142:VIB142"/>
    <mergeCell ref="VIC142:VIF142"/>
    <mergeCell ref="VIG142:VIJ142"/>
    <mergeCell ref="VMC142:VMF142"/>
    <mergeCell ref="VMG142:VMJ142"/>
    <mergeCell ref="VMK142:VMN142"/>
    <mergeCell ref="VMO142:VMR142"/>
    <mergeCell ref="VMS142:VMV142"/>
    <mergeCell ref="VMW142:VMZ142"/>
    <mergeCell ref="VLE142:VLH142"/>
    <mergeCell ref="VLI142:VLL142"/>
    <mergeCell ref="VLM142:VLP142"/>
    <mergeCell ref="VLQ142:VLT142"/>
    <mergeCell ref="VLU142:VLX142"/>
    <mergeCell ref="VLY142:VMB142"/>
    <mergeCell ref="VKG142:VKJ142"/>
    <mergeCell ref="VKK142:VKN142"/>
    <mergeCell ref="VKO142:VKR142"/>
    <mergeCell ref="VKS142:VKV142"/>
    <mergeCell ref="VKW142:VKZ142"/>
    <mergeCell ref="VLA142:VLD142"/>
    <mergeCell ref="VOW142:VOZ142"/>
    <mergeCell ref="VPA142:VPD142"/>
    <mergeCell ref="VPE142:VPH142"/>
    <mergeCell ref="VPI142:VPL142"/>
    <mergeCell ref="VPM142:VPP142"/>
    <mergeCell ref="VPQ142:VPT142"/>
    <mergeCell ref="VNY142:VOB142"/>
    <mergeCell ref="VOC142:VOF142"/>
    <mergeCell ref="VOG142:VOJ142"/>
    <mergeCell ref="VOK142:VON142"/>
    <mergeCell ref="VOO142:VOR142"/>
    <mergeCell ref="VOS142:VOV142"/>
    <mergeCell ref="VNA142:VND142"/>
    <mergeCell ref="VNE142:VNH142"/>
    <mergeCell ref="VNI142:VNL142"/>
    <mergeCell ref="VNM142:VNP142"/>
    <mergeCell ref="VNQ142:VNT142"/>
    <mergeCell ref="VNU142:VNX142"/>
    <mergeCell ref="VRQ142:VRT142"/>
    <mergeCell ref="VRU142:VRX142"/>
    <mergeCell ref="VRY142:VSB142"/>
    <mergeCell ref="VSC142:VSF142"/>
    <mergeCell ref="VSG142:VSJ142"/>
    <mergeCell ref="VSK142:VSN142"/>
    <mergeCell ref="VQS142:VQV142"/>
    <mergeCell ref="VQW142:VQZ142"/>
    <mergeCell ref="VRA142:VRD142"/>
    <mergeCell ref="VRE142:VRH142"/>
    <mergeCell ref="VRI142:VRL142"/>
    <mergeCell ref="VRM142:VRP142"/>
    <mergeCell ref="VPU142:VPX142"/>
    <mergeCell ref="VPY142:VQB142"/>
    <mergeCell ref="VQC142:VQF142"/>
    <mergeCell ref="VQG142:VQJ142"/>
    <mergeCell ref="VQK142:VQN142"/>
    <mergeCell ref="VQO142:VQR142"/>
    <mergeCell ref="VUK142:VUN142"/>
    <mergeCell ref="VUO142:VUR142"/>
    <mergeCell ref="VUS142:VUV142"/>
    <mergeCell ref="VUW142:VUZ142"/>
    <mergeCell ref="VVA142:VVD142"/>
    <mergeCell ref="VVE142:VVH142"/>
    <mergeCell ref="VTM142:VTP142"/>
    <mergeCell ref="VTQ142:VTT142"/>
    <mergeCell ref="VTU142:VTX142"/>
    <mergeCell ref="VTY142:VUB142"/>
    <mergeCell ref="VUC142:VUF142"/>
    <mergeCell ref="VUG142:VUJ142"/>
    <mergeCell ref="VSO142:VSR142"/>
    <mergeCell ref="VSS142:VSV142"/>
    <mergeCell ref="VSW142:VSZ142"/>
    <mergeCell ref="VTA142:VTD142"/>
    <mergeCell ref="VTE142:VTH142"/>
    <mergeCell ref="VTI142:VTL142"/>
    <mergeCell ref="VXE142:VXH142"/>
    <mergeCell ref="VXI142:VXL142"/>
    <mergeCell ref="VXM142:VXP142"/>
    <mergeCell ref="VXQ142:VXT142"/>
    <mergeCell ref="VXU142:VXX142"/>
    <mergeCell ref="VXY142:VYB142"/>
    <mergeCell ref="VWG142:VWJ142"/>
    <mergeCell ref="VWK142:VWN142"/>
    <mergeCell ref="VWO142:VWR142"/>
    <mergeCell ref="VWS142:VWV142"/>
    <mergeCell ref="VWW142:VWZ142"/>
    <mergeCell ref="VXA142:VXD142"/>
    <mergeCell ref="VVI142:VVL142"/>
    <mergeCell ref="VVM142:VVP142"/>
    <mergeCell ref="VVQ142:VVT142"/>
    <mergeCell ref="VVU142:VVX142"/>
    <mergeCell ref="VVY142:VWB142"/>
    <mergeCell ref="VWC142:VWF142"/>
    <mergeCell ref="VZY142:WAB142"/>
    <mergeCell ref="WAC142:WAF142"/>
    <mergeCell ref="WAG142:WAJ142"/>
    <mergeCell ref="WAK142:WAN142"/>
    <mergeCell ref="WAO142:WAR142"/>
    <mergeCell ref="WAS142:WAV142"/>
    <mergeCell ref="VZA142:VZD142"/>
    <mergeCell ref="VZE142:VZH142"/>
    <mergeCell ref="VZI142:VZL142"/>
    <mergeCell ref="VZM142:VZP142"/>
    <mergeCell ref="VZQ142:VZT142"/>
    <mergeCell ref="VZU142:VZX142"/>
    <mergeCell ref="VYC142:VYF142"/>
    <mergeCell ref="VYG142:VYJ142"/>
    <mergeCell ref="VYK142:VYN142"/>
    <mergeCell ref="VYO142:VYR142"/>
    <mergeCell ref="VYS142:VYV142"/>
    <mergeCell ref="VYW142:VYZ142"/>
    <mergeCell ref="WCS142:WCV142"/>
    <mergeCell ref="WCW142:WCZ142"/>
    <mergeCell ref="WDA142:WDD142"/>
    <mergeCell ref="WDE142:WDH142"/>
    <mergeCell ref="WDI142:WDL142"/>
    <mergeCell ref="WDM142:WDP142"/>
    <mergeCell ref="WBU142:WBX142"/>
    <mergeCell ref="WBY142:WCB142"/>
    <mergeCell ref="WCC142:WCF142"/>
    <mergeCell ref="WCG142:WCJ142"/>
    <mergeCell ref="WCK142:WCN142"/>
    <mergeCell ref="WCO142:WCR142"/>
    <mergeCell ref="WAW142:WAZ142"/>
    <mergeCell ref="WBA142:WBD142"/>
    <mergeCell ref="WBE142:WBH142"/>
    <mergeCell ref="WBI142:WBL142"/>
    <mergeCell ref="WBM142:WBP142"/>
    <mergeCell ref="WBQ142:WBT142"/>
    <mergeCell ref="WFM142:WFP142"/>
    <mergeCell ref="WFQ142:WFT142"/>
    <mergeCell ref="WFU142:WFX142"/>
    <mergeCell ref="WFY142:WGB142"/>
    <mergeCell ref="WGC142:WGF142"/>
    <mergeCell ref="WGG142:WGJ142"/>
    <mergeCell ref="WEO142:WER142"/>
    <mergeCell ref="WES142:WEV142"/>
    <mergeCell ref="WEW142:WEZ142"/>
    <mergeCell ref="WFA142:WFD142"/>
    <mergeCell ref="WFE142:WFH142"/>
    <mergeCell ref="WFI142:WFL142"/>
    <mergeCell ref="WDQ142:WDT142"/>
    <mergeCell ref="WDU142:WDX142"/>
    <mergeCell ref="WDY142:WEB142"/>
    <mergeCell ref="WEC142:WEF142"/>
    <mergeCell ref="WEG142:WEJ142"/>
    <mergeCell ref="WEK142:WEN142"/>
    <mergeCell ref="WIG142:WIJ142"/>
    <mergeCell ref="WIK142:WIN142"/>
    <mergeCell ref="WIO142:WIR142"/>
    <mergeCell ref="WIS142:WIV142"/>
    <mergeCell ref="WIW142:WIZ142"/>
    <mergeCell ref="WJA142:WJD142"/>
    <mergeCell ref="WHI142:WHL142"/>
    <mergeCell ref="WHM142:WHP142"/>
    <mergeCell ref="WHQ142:WHT142"/>
    <mergeCell ref="WHU142:WHX142"/>
    <mergeCell ref="WHY142:WIB142"/>
    <mergeCell ref="WIC142:WIF142"/>
    <mergeCell ref="WGK142:WGN142"/>
    <mergeCell ref="WGO142:WGR142"/>
    <mergeCell ref="WGS142:WGV142"/>
    <mergeCell ref="WGW142:WGZ142"/>
    <mergeCell ref="WHA142:WHD142"/>
    <mergeCell ref="WHE142:WHH142"/>
    <mergeCell ref="WLA142:WLD142"/>
    <mergeCell ref="WLE142:WLH142"/>
    <mergeCell ref="WLI142:WLL142"/>
    <mergeCell ref="WLM142:WLP142"/>
    <mergeCell ref="WLQ142:WLT142"/>
    <mergeCell ref="WLU142:WLX142"/>
    <mergeCell ref="WKC142:WKF142"/>
    <mergeCell ref="WKG142:WKJ142"/>
    <mergeCell ref="WKK142:WKN142"/>
    <mergeCell ref="WKO142:WKR142"/>
    <mergeCell ref="WKS142:WKV142"/>
    <mergeCell ref="WKW142:WKZ142"/>
    <mergeCell ref="WJE142:WJH142"/>
    <mergeCell ref="WJI142:WJL142"/>
    <mergeCell ref="WJM142:WJP142"/>
    <mergeCell ref="WJQ142:WJT142"/>
    <mergeCell ref="WJU142:WJX142"/>
    <mergeCell ref="WJY142:WKB142"/>
    <mergeCell ref="WNU142:WNX142"/>
    <mergeCell ref="WNY142:WOB142"/>
    <mergeCell ref="WOC142:WOF142"/>
    <mergeCell ref="WOG142:WOJ142"/>
    <mergeCell ref="WOK142:WON142"/>
    <mergeCell ref="WOO142:WOR142"/>
    <mergeCell ref="WMW142:WMZ142"/>
    <mergeCell ref="WNA142:WND142"/>
    <mergeCell ref="WNE142:WNH142"/>
    <mergeCell ref="WNI142:WNL142"/>
    <mergeCell ref="WNM142:WNP142"/>
    <mergeCell ref="WNQ142:WNT142"/>
    <mergeCell ref="WLY142:WMB142"/>
    <mergeCell ref="WMC142:WMF142"/>
    <mergeCell ref="WMG142:WMJ142"/>
    <mergeCell ref="WMK142:WMN142"/>
    <mergeCell ref="WMO142:WMR142"/>
    <mergeCell ref="WMS142:WMV142"/>
    <mergeCell ref="WQO142:WQR142"/>
    <mergeCell ref="WQS142:WQV142"/>
    <mergeCell ref="WQW142:WQZ142"/>
    <mergeCell ref="WRA142:WRD142"/>
    <mergeCell ref="WRE142:WRH142"/>
    <mergeCell ref="WRI142:WRL142"/>
    <mergeCell ref="WPQ142:WPT142"/>
    <mergeCell ref="WPU142:WPX142"/>
    <mergeCell ref="WPY142:WQB142"/>
    <mergeCell ref="WQC142:WQF142"/>
    <mergeCell ref="WQG142:WQJ142"/>
    <mergeCell ref="WQK142:WQN142"/>
    <mergeCell ref="WOS142:WOV142"/>
    <mergeCell ref="WOW142:WOZ142"/>
    <mergeCell ref="WPA142:WPD142"/>
    <mergeCell ref="WPE142:WPH142"/>
    <mergeCell ref="WPI142:WPL142"/>
    <mergeCell ref="WPM142:WPP142"/>
    <mergeCell ref="WTI142:WTL142"/>
    <mergeCell ref="WTM142:WTP142"/>
    <mergeCell ref="WTQ142:WTT142"/>
    <mergeCell ref="WTU142:WTX142"/>
    <mergeCell ref="WTY142:WUB142"/>
    <mergeCell ref="WUC142:WUF142"/>
    <mergeCell ref="WSK142:WSN142"/>
    <mergeCell ref="WSO142:WSR142"/>
    <mergeCell ref="WSS142:WSV142"/>
    <mergeCell ref="WSW142:WSZ142"/>
    <mergeCell ref="WTA142:WTD142"/>
    <mergeCell ref="WTE142:WTH142"/>
    <mergeCell ref="WRM142:WRP142"/>
    <mergeCell ref="WRQ142:WRT142"/>
    <mergeCell ref="WRU142:WRX142"/>
    <mergeCell ref="WRY142:WSB142"/>
    <mergeCell ref="WSC142:WSF142"/>
    <mergeCell ref="WSG142:WSJ142"/>
    <mergeCell ref="WWC142:WWF142"/>
    <mergeCell ref="WWG142:WWJ142"/>
    <mergeCell ref="WWK142:WWN142"/>
    <mergeCell ref="WWO142:WWR142"/>
    <mergeCell ref="WWS142:WWV142"/>
    <mergeCell ref="WWW142:WWZ142"/>
    <mergeCell ref="WVE142:WVH142"/>
    <mergeCell ref="WVI142:WVL142"/>
    <mergeCell ref="WVM142:WVP142"/>
    <mergeCell ref="WVQ142:WVT142"/>
    <mergeCell ref="WVU142:WVX142"/>
    <mergeCell ref="WVY142:WWB142"/>
    <mergeCell ref="WUG142:WUJ142"/>
    <mergeCell ref="WUK142:WUN142"/>
    <mergeCell ref="WUO142:WUR142"/>
    <mergeCell ref="WUS142:WUV142"/>
    <mergeCell ref="WUW142:WUZ142"/>
    <mergeCell ref="WVA142:WVD142"/>
    <mergeCell ref="XAG142:XAJ142"/>
    <mergeCell ref="XAK142:XAN142"/>
    <mergeCell ref="XAO142:XAR142"/>
    <mergeCell ref="WYW142:WYZ142"/>
    <mergeCell ref="WZA142:WZD142"/>
    <mergeCell ref="WZE142:WZH142"/>
    <mergeCell ref="WZI142:WZL142"/>
    <mergeCell ref="WZM142:WZP142"/>
    <mergeCell ref="WZQ142:WZT142"/>
    <mergeCell ref="WXY142:WYB142"/>
    <mergeCell ref="WYC142:WYF142"/>
    <mergeCell ref="WYG142:WYJ142"/>
    <mergeCell ref="WYK142:WYN142"/>
    <mergeCell ref="WYO142:WYR142"/>
    <mergeCell ref="WYS142:WYV142"/>
    <mergeCell ref="WXA142:WXD142"/>
    <mergeCell ref="WXE142:WXH142"/>
    <mergeCell ref="WXI142:WXL142"/>
    <mergeCell ref="WXM142:WXP142"/>
    <mergeCell ref="WXQ142:WXT142"/>
    <mergeCell ref="WXU142:WXX142"/>
    <mergeCell ref="XEK142:XEN142"/>
    <mergeCell ref="XEO142:XER142"/>
    <mergeCell ref="XES142:XEV142"/>
    <mergeCell ref="XEW142:XEZ142"/>
    <mergeCell ref="A143:D143"/>
    <mergeCell ref="XDM142:XDP142"/>
    <mergeCell ref="XDQ142:XDT142"/>
    <mergeCell ref="XDU142:XDX142"/>
    <mergeCell ref="XDY142:XEB142"/>
    <mergeCell ref="XEC142:XEF142"/>
    <mergeCell ref="XEG142:XEJ142"/>
    <mergeCell ref="XCO142:XCR142"/>
    <mergeCell ref="XCS142:XCV142"/>
    <mergeCell ref="XCW142:XCZ142"/>
    <mergeCell ref="XDA142:XDD142"/>
    <mergeCell ref="XDE142:XDH142"/>
    <mergeCell ref="XDI142:XDL142"/>
    <mergeCell ref="XBQ142:XBT142"/>
    <mergeCell ref="XBU142:XBX142"/>
    <mergeCell ref="XBY142:XCB142"/>
    <mergeCell ref="XCC142:XCF142"/>
    <mergeCell ref="XCG142:XCJ142"/>
    <mergeCell ref="XCK142:XCN142"/>
    <mergeCell ref="XAS142:XAV142"/>
    <mergeCell ref="XAW142:XAZ142"/>
    <mergeCell ref="XBA142:XBD142"/>
    <mergeCell ref="XBE142:XBH142"/>
    <mergeCell ref="XBI142:XBL142"/>
    <mergeCell ref="XBM142:XBP142"/>
    <mergeCell ref="WZU142:WZX142"/>
    <mergeCell ref="WZY142:XAB142"/>
    <mergeCell ref="XAC142:XAF142"/>
  </mergeCells>
  <conditionalFormatting sqref="D3">
    <cfRule type="expression" dxfId="5" priority="5">
      <formula>D3="Yes"</formula>
    </cfRule>
  </conditionalFormatting>
  <conditionalFormatting sqref="A14:A15">
    <cfRule type="expression" dxfId="4" priority="4">
      <formula>$D$3="Yes"</formula>
    </cfRule>
  </conditionalFormatting>
  <dataValidations count="1">
    <dataValidation type="list" allowBlank="1" showInputMessage="1" showErrorMessage="1" sqref="B29:B30 B60 B54 B66 B42 B36" xr:uid="{00000000-0002-0000-0200-000000000000}">
      <formula1>$AC$1:$AC$15</formula1>
    </dataValidation>
  </dataValidations>
  <pageMargins left="0.25" right="0.25" top="0.75" bottom="0.75" header="0.3" footer="0.3"/>
  <pageSetup scale="62" fitToHeight="0" orientation="portrait" r:id="rId1"/>
  <headerFooter>
    <oddFooter>Page &amp;P of &amp;N</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1000000}">
          <x14:formula1>
            <xm:f>'Hidden Data Sheet'!$AD$2:$AD$15</xm:f>
          </x14:formula1>
          <xm:sqref>B35 B23:B24 B41 B137:B138 B47:B48 B53 B65 B71:B72 B77:B78 B83:B84 B89:B90 B101:B102 B95:B96 B107:B108 B113:B114 B119:B120 B59 B125:B126 B131:B132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K739"/>
  <sheetViews>
    <sheetView topLeftCell="A64" zoomScale="85" zoomScaleNormal="85" workbookViewId="0">
      <selection activeCell="A82" sqref="A82:XFD84"/>
    </sheetView>
  </sheetViews>
  <sheetFormatPr defaultRowHeight="15" x14ac:dyDescent="0.25"/>
  <cols>
    <col min="1" max="2" width="16.140625" customWidth="1"/>
    <col min="3" max="3" width="14.7109375" customWidth="1"/>
    <col min="4" max="4" width="39.140625" customWidth="1"/>
    <col min="5" max="5" width="49" customWidth="1"/>
    <col min="6" max="6" width="9.7109375" customWidth="1"/>
    <col min="7" max="7" width="36.28515625" customWidth="1"/>
    <col min="8" max="8" width="15.85546875" style="77" customWidth="1"/>
    <col min="9" max="9" width="12.28515625" bestFit="1" customWidth="1"/>
    <col min="10" max="10" width="17.28515625" bestFit="1" customWidth="1"/>
    <col min="12" max="12" width="15.42578125" customWidth="1"/>
    <col min="13" max="13" width="52.140625" bestFit="1" customWidth="1"/>
    <col min="19" max="20" width="27.5703125" customWidth="1"/>
    <col min="25" max="25" width="24.5703125" customWidth="1"/>
    <col min="26" max="27" width="24.42578125" customWidth="1"/>
    <col min="28" max="28" width="23.42578125" customWidth="1"/>
    <col min="29" max="29" width="28.140625" customWidth="1"/>
    <col min="31" max="31" width="15.42578125" customWidth="1"/>
    <col min="32" max="33" width="15.28515625" customWidth="1"/>
    <col min="34" max="34" width="19.5703125" customWidth="1"/>
    <col min="35" max="35" width="14.7109375" customWidth="1"/>
    <col min="36" max="36" width="7.7109375" customWidth="1"/>
    <col min="37" max="37" width="17.85546875" customWidth="1"/>
  </cols>
  <sheetData>
    <row r="1" spans="1:37" x14ac:dyDescent="0.25">
      <c r="A1" t="s">
        <v>5</v>
      </c>
      <c r="B1" t="s">
        <v>4</v>
      </c>
      <c r="C1" t="s">
        <v>3</v>
      </c>
      <c r="D1" t="s">
        <v>6</v>
      </c>
      <c r="E1" t="s">
        <v>154</v>
      </c>
      <c r="F1" t="s">
        <v>7</v>
      </c>
      <c r="G1" t="s">
        <v>8</v>
      </c>
      <c r="H1" s="77" t="s">
        <v>10</v>
      </c>
      <c r="I1" t="s">
        <v>98</v>
      </c>
      <c r="J1" t="s">
        <v>143</v>
      </c>
      <c r="K1" t="s">
        <v>99</v>
      </c>
      <c r="L1" t="s">
        <v>144</v>
      </c>
      <c r="M1" t="s">
        <v>145</v>
      </c>
      <c r="O1" t="s">
        <v>204</v>
      </c>
      <c r="P1" t="s">
        <v>205</v>
      </c>
      <c r="R1" t="s">
        <v>142</v>
      </c>
      <c r="S1" t="s">
        <v>1088</v>
      </c>
      <c r="T1" t="s">
        <v>1093</v>
      </c>
      <c r="U1" s="8" t="s">
        <v>148</v>
      </c>
      <c r="V1" s="8" t="s">
        <v>149</v>
      </c>
      <c r="W1" s="8" t="s">
        <v>150</v>
      </c>
      <c r="Y1" t="s">
        <v>155</v>
      </c>
      <c r="Z1" t="s">
        <v>1139</v>
      </c>
      <c r="AA1" t="s">
        <v>1116</v>
      </c>
      <c r="AB1" t="s">
        <v>156</v>
      </c>
      <c r="AD1" s="29" t="s">
        <v>142</v>
      </c>
      <c r="AF1" t="s">
        <v>1096</v>
      </c>
      <c r="AG1" t="s">
        <v>1097</v>
      </c>
      <c r="AH1" t="s">
        <v>1140</v>
      </c>
      <c r="AI1" t="s">
        <v>894</v>
      </c>
      <c r="AK1" s="29" t="s">
        <v>142</v>
      </c>
    </row>
    <row r="2" spans="1:37" x14ac:dyDescent="0.25">
      <c r="K2" s="11" t="s">
        <v>142</v>
      </c>
      <c r="L2" t="s">
        <v>142</v>
      </c>
      <c r="M2" t="s">
        <v>142</v>
      </c>
      <c r="O2" t="s">
        <v>1138</v>
      </c>
      <c r="P2" t="s">
        <v>74</v>
      </c>
      <c r="Q2" t="str">
        <f t="array" ref="Q2">IF(AROW!$B$7="Type 1: MSEDS",IFERROR(INDEX(Type_1,SMALL(IF(AROW!$B$7="Type 1: MSEDS",ROW(Type_1)-1),ROW(3:3)),1),""),IF(AROW!$B$7="Type 2: RSEDS",IFERROR(INDEX(Type_2,SMALL(IF(AROW!$B$7="Type 2: RSEDS",ROW(Type_2)-1),ROW(3:3)),1),""),""))</f>
        <v/>
      </c>
      <c r="R2" t="str">
        <f>IF(Q2&lt;&gt;0,Q2,"")</f>
        <v/>
      </c>
      <c r="S2" t="s">
        <v>142</v>
      </c>
      <c r="T2" t="s">
        <v>142</v>
      </c>
      <c r="U2" s="1">
        <v>1</v>
      </c>
      <c r="V2" s="16" t="e">
        <f>IF(#REF!="", "", AF4)</f>
        <v>#REF!</v>
      </c>
      <c r="W2" s="1" t="str">
        <f>IFERROR(_xlfn.DAYS(V2,$D$5)&gt;AH2, "")</f>
        <v/>
      </c>
      <c r="Y2" s="27" t="s">
        <v>956</v>
      </c>
      <c r="Z2" s="27" t="s">
        <v>1057</v>
      </c>
      <c r="AA2" s="27" t="s">
        <v>1115</v>
      </c>
      <c r="AB2" s="27" t="s">
        <v>1069</v>
      </c>
      <c r="AC2" t="str">
        <f t="array" ref="AC2">IF(AROW!$D$7="Smiths",IFERROR(INDEX(Delivery_Orders0[],SMALL(IF(AROW!$D$7="Smiths",ROW(Delivery_Orders0[Smiths Delivery Orders])-1),ROW(1:1)),1),""),IF(AROW!$D$7="Leidos",IFERROR(INDEX(Delivery_Orders0[],SMALL(IF(AROW!$D$7="Leidos",ROW(Delivery_Orders0[Leidos Delivery Orders])-1),ROW(1:1)),2),""),IF(AROW!$D$7="Smiths Type 2",IFERROR(INDEX(Delivery_Orders0[],SMALL(IF(AROW!$D$7="Smiths Type 2",ROW(Delivery_Orders0[Smiths Type 2 Delivery Orders])-1),ROW(1:1)),3),""),IF(AROW!$D$7="Reveal",IFERROR(INDEX(Delivery_Orders0[],SMALL(IF(AROW!$D$7="Reveal",ROW(Delivery_Orders0[Reveal Delivery Orders])-1),ROW(1:1)),4),""),""))))</f>
        <v/>
      </c>
      <c r="AD2" s="28" t="str">
        <f>IF(AC2&lt;&gt;0,AC2,"")</f>
        <v/>
      </c>
      <c r="AF2" t="s">
        <v>886</v>
      </c>
      <c r="AG2" t="s">
        <v>885</v>
      </c>
      <c r="AH2" t="s">
        <v>882</v>
      </c>
      <c r="AI2" t="s">
        <v>887</v>
      </c>
      <c r="AJ2" t="str">
        <f>IF(AND(AROW!$D$7="Smiths",AROW!$B$7="Type 1: MSEDS"),IFERROR(INDEX(Models[],SMALL(IF(AROW!$D$7="Smiths",ROW(Models[Smiths Type 1])-1),ROW(1:1)),1),""), IF(AND(AROW!$D$7="Smiths Type 2",AROW!$B$7="Type 2: RSEDS"),IFERROR(INDEX(Models[],SMALL(IF(AROW!$D$7="Smiths",ROW(Models[Smiths Type 2])-1),ROW(1:1)),2),""),IF(AROW!$D$7="Leidos",IFERROR(INDEX(Models[],SMALL(IF(AROW!$D$7="Leidos",ROW(Models[Leidos Model])-1),ROW(1:1)),3),""),IF(AROW!$D$7="Reveal",IFERROR(INDEX(Models[],SMALL(IF(AROW!$D$7="Reveal",ROW(Models[Reveal Model])-1),ROW(1:1)),4),""),""))))</f>
        <v/>
      </c>
      <c r="AK2" s="28" t="str">
        <f>IF(AJ2&lt;&gt;0,AJ2,"")</f>
        <v/>
      </c>
    </row>
    <row r="3" spans="1:37" x14ac:dyDescent="0.25">
      <c r="B3" t="s">
        <v>142</v>
      </c>
      <c r="K3" s="38" t="s">
        <v>206</v>
      </c>
      <c r="L3" t="s">
        <v>146</v>
      </c>
      <c r="M3" s="86" t="s">
        <v>1155</v>
      </c>
      <c r="O3" t="s">
        <v>73</v>
      </c>
      <c r="P3" t="s">
        <v>1097</v>
      </c>
      <c r="Q3" t="str">
        <f t="array" ref="Q3">IF(AROW!$B$7="Type 1: MSEDS",IFERROR(INDEX(Type_1,SMALL(IF(AROW!$B$7="Type 1: MSEDS",ROW(Type_1)-1),ROW(4:4)),1),""),IF(AROW!$B$7="Type 2: RSEDS",IFERROR(INDEX(Type_2,SMALL(IF(AROW!$B$7="Type 2: RSEDS",ROW(Type_2)-1),ROW(4:4)),1),""),""))</f>
        <v/>
      </c>
      <c r="R3" t="str">
        <f t="shared" ref="R3:R5" si="0">IF(Q3&lt;&gt;0,Q3,"")</f>
        <v/>
      </c>
      <c r="S3" t="s">
        <v>1089</v>
      </c>
      <c r="T3" t="s">
        <v>1094</v>
      </c>
      <c r="U3" s="1">
        <v>2</v>
      </c>
      <c r="V3" s="16" t="e">
        <f>IF(#REF!="", "", AF3)</f>
        <v>#REF!</v>
      </c>
      <c r="W3" s="1" t="str">
        <f>IFERROR(_xlfn.DAYS(V3,$D$5)&gt;AI4,"")</f>
        <v/>
      </c>
      <c r="Y3" s="27" t="s">
        <v>957</v>
      </c>
      <c r="Z3" s="27" t="s">
        <v>1098</v>
      </c>
      <c r="AA3" s="27"/>
      <c r="AB3" s="27" t="s">
        <v>1070</v>
      </c>
      <c r="AC3" t="str">
        <f t="array" ref="AC3">IF(AROW!$D$7="Smiths",IFERROR(INDEX(Delivery_Orders0[],SMALL(IF(AROW!$D$7="Smiths",ROW(Delivery_Orders0[Smiths Delivery Orders])-1),ROW(2:2)),1),""),IF(AROW!$D$7="Leidos",IFERROR(INDEX(Delivery_Orders0[],SMALL(IF(AROW!$D$7="Leidos",ROW(Delivery_Orders0[Leidos Delivery Orders])-1),ROW(2:2)),2),""),IF(AROW!$D$7="Smiths Type 2",IFERROR(INDEX(Delivery_Orders0[],SMALL(IF(AROW!$D$7="Smiths Type 2",ROW(Delivery_Orders0[Smiths Type 2 Delivery Orders])-1),ROW(2:2)),3),""),IF(AROW!$D$7="Reveal",IFERROR(INDEX(Delivery_Orders0[],SMALL(IF(AROW!$D$7="Reveal",ROW(Delivery_Orders0[Reveal Delivery Orders])-1),ROW(2:2)),4),""),""))))</f>
        <v/>
      </c>
      <c r="AD3" s="28" t="str">
        <f t="shared" ref="AD3:AD28" si="1">IF(AC3&lt;&gt;0,AC3,"")</f>
        <v/>
      </c>
      <c r="AH3" t="s">
        <v>883</v>
      </c>
      <c r="AI3" t="s">
        <v>888</v>
      </c>
      <c r="AJ3" t="str">
        <f>IF(AND(AROW!$D$7="Smiths",AROW!$B$7="Type 1: MSEDS"),IFERROR(INDEX(Models[],SMALL(IF(AROW!$D$7="Smiths",ROW(Models[Smiths Type 1])-1),ROW(2:2)),1),""), IF(AND(AROW!$D$7="Smiths",AROW!$B$7="Type 2: RSEDS"),IFERROR(INDEX(Models[],SMALL(IF(AROW!$D$7="Smiths",ROW(Models[Smiths Type 2])-1),ROW(2:2)),2),""),IF(AROW!$D$7="Leidos",IFERROR(INDEX(Models[],SMALL(IF(AROW!$D$7="Leidos",ROW(Models[Leidos Model])-1),ROW(2:2)),3),""),IF(AROW!$D$7="Reveal",IFERROR(INDEX(Models[],SMALL(IF(AROW!$D$7="Reveal",ROW(Models[Reveal Model])-1),ROW(2:2)),4),""),""))))</f>
        <v/>
      </c>
      <c r="AK3" s="28" t="str">
        <f>IF(AJ3&lt;&gt;0,AJ3,"")</f>
        <v/>
      </c>
    </row>
    <row r="4" spans="1:37" ht="16.5" thickBot="1" x14ac:dyDescent="0.3">
      <c r="B4" t="s">
        <v>73</v>
      </c>
      <c r="K4" s="38" t="s">
        <v>207</v>
      </c>
      <c r="L4" t="s">
        <v>147</v>
      </c>
      <c r="M4" s="14" t="s">
        <v>921</v>
      </c>
      <c r="Q4" t="str">
        <f t="array" ref="Q4">IF(AROW!$B$7="Type 1: MSEDS",IFERROR(INDEX(Type_1,SMALL(IF(AROW!$B$7="Type 1: MSEDS",ROW(Type_1)-1),ROW(5:5)),1),""),IF(AROW!$B$7="Type 2: RSEDS",IFERROR(INDEX(Type_2,SMALL(IF(AROW!$B$7="Type 2: RSEDS",ROW(Type_2)-1),ROW(5:5)),1),""),""))</f>
        <v/>
      </c>
      <c r="R4" t="str">
        <f t="shared" si="0"/>
        <v/>
      </c>
      <c r="S4" t="s">
        <v>1169</v>
      </c>
      <c r="T4" t="s">
        <v>1095</v>
      </c>
      <c r="U4" s="2">
        <v>3</v>
      </c>
      <c r="V4" s="16">
        <f>IF($D$24="", "", S11)</f>
        <v>0</v>
      </c>
      <c r="W4" s="1" t="b">
        <f>IFERROR(_xlfn.DAYS(V4,$D$5)&gt;S12, "")</f>
        <v>0</v>
      </c>
      <c r="Y4" s="27" t="s">
        <v>958</v>
      </c>
      <c r="Z4" t="s">
        <v>1134</v>
      </c>
      <c r="AA4" s="27"/>
      <c r="AB4" s="27" t="s">
        <v>1071</v>
      </c>
      <c r="AC4" t="str">
        <f t="array" ref="AC4">IF(AROW!$D$7="Smiths",IFERROR(INDEX(Delivery_Orders0[],SMALL(IF(AROW!$D$7="Smiths",ROW(Delivery_Orders0[Smiths Delivery Orders])-1),ROW(3:3)),1),""),IF(AROW!$D$7="Leidos",IFERROR(INDEX(Delivery_Orders0[],SMALL(IF(AROW!$D$7="Leidos",ROW(Delivery_Orders0[Leidos Delivery Orders])-1),ROW(3:3)),2),""),IF(AROW!$D$7="Smiths Type 2",IFERROR(INDEX(Delivery_Orders0[],SMALL(IF(AROW!$D$7="Smiths Type 2",ROW(Delivery_Orders0[Smiths Type 2 Delivery Orders])-1),ROW(3:3)),3),""),IF(AROW!$D$7="Reveal",IFERROR(INDEX(Delivery_Orders0[],SMALL(IF(AROW!$D$7="Reveal",ROW(Delivery_Orders0[Reveal Delivery Orders])-1),ROW(3:3)),4),""),""))))</f>
        <v/>
      </c>
      <c r="AD4" s="28" t="str">
        <f t="shared" si="1"/>
        <v/>
      </c>
      <c r="AH4" t="s">
        <v>884</v>
      </c>
      <c r="AJ4" t="str">
        <f>IF(AND(AROW!$D$7="Smiths",AROW!$B$7="Type 1: MSEDS"),IFERROR(INDEX(Models[],SMALL(IF(AROW!$D$7="Smiths",ROW(Models[Smiths Type 1])-1),ROW(3:3)),1),""), IF(AND(AROW!$D$7="Smiths",AROW!$B$7="Type 2: RSEDS"),IFERROR(INDEX(Models[],SMALL(IF(AROW!$D$7="Smiths",ROW(Models[Smiths Type 2])-1),ROW(3:3)),2),""),IF(AROW!$D$7="Leidos",IFERROR(INDEX(Models[],SMALL(IF(AROW!$D$7="Leidos",ROW(Models[Leidos Model])-1),ROW(3:3)),3),""),IF(AROW!$D$7="Reveal",IFERROR(INDEX(Models[],SMALL(IF(AROW!$D$7="Reveal",ROW(Models[Reveal Model])-1),ROW(3:3)),4),""),""))))</f>
        <v/>
      </c>
      <c r="AK4" s="28" t="str">
        <f>IF(AJ4&lt;&gt;0,AJ4,"")</f>
        <v/>
      </c>
    </row>
    <row r="5" spans="1:37" x14ac:dyDescent="0.25">
      <c r="B5" t="s">
        <v>74</v>
      </c>
      <c r="K5" s="38" t="s">
        <v>208</v>
      </c>
      <c r="Q5" t="str">
        <f t="array" ref="Q5">IF(AROW!$B$7="Type 1: MSEDS",IFERROR(INDEX(Type_1,SMALL(IF(AROW!$B$7="Type 1: MSEDS",ROW(Type_1)-1),ROW(6:6)),1),""),IF(AROW!$B$7="Type 2: RSEDS",IFERROR(INDEX(Type_2,SMALL(IF(AROW!$B$7="Type 2: RSEDS",ROW(Type_2)-1),ROW(6:6)),1),""),""))</f>
        <v/>
      </c>
      <c r="R5" t="str">
        <f t="shared" si="0"/>
        <v/>
      </c>
      <c r="S5" t="s">
        <v>1090</v>
      </c>
      <c r="U5" s="7">
        <v>4</v>
      </c>
      <c r="V5" s="16" t="e">
        <f>IF(#REF!="", "", S16)</f>
        <v>#REF!</v>
      </c>
      <c r="W5" s="1" t="str">
        <f>IFERROR(_xlfn.DAYS(V5,$D$5)&gt;S17,"")</f>
        <v/>
      </c>
      <c r="Y5" t="s">
        <v>1099</v>
      </c>
      <c r="Z5" s="96" t="s">
        <v>1136</v>
      </c>
      <c r="AA5" s="27"/>
      <c r="AB5" s="80" t="s">
        <v>1072</v>
      </c>
      <c r="AC5" t="str">
        <f t="array" ref="AC5">IF(AROW!$D$7="Smiths",IFERROR(INDEX(Delivery_Orders0[],SMALL(IF(AROW!$D$7="Smiths",ROW(Delivery_Orders0[Smiths Delivery Orders])-1),ROW(4:4)),1),""),IF(AROW!$D$7="Leidos",IFERROR(INDEX(Delivery_Orders0[],SMALL(IF(AROW!$D$7="Leidos",ROW(Delivery_Orders0[Leidos Delivery Orders])-1),ROW(4:4)),2),""),IF(AROW!$D$7="Smiths Type 2",IFERROR(INDEX(Delivery_Orders0[],SMALL(IF(AROW!$D$7="Smiths Type 2",ROW(Delivery_Orders0[Smiths Type 2 Delivery Orders])-1),ROW(4:4)),3),""),IF(AROW!$D$7="Reveal",IFERROR(INDEX(Delivery_Orders0[],SMALL(IF(AROW!$D$7="Reveal",ROW(Delivery_Orders0[Reveal Delivery Orders])-1),ROW(4:4)),4),""),""))))</f>
        <v/>
      </c>
      <c r="AD5" s="28" t="str">
        <f t="shared" si="1"/>
        <v/>
      </c>
      <c r="AJ5" t="str">
        <f>IF(AND(AROW!$D$7="Smiths",AROW!$B$7="Type 1: MSEDS"),IFERROR(INDEX(Models[],SMALL(IF(AROW!$D$7="Smiths",ROW(Models[Smiths Type 1])-1),ROW(4:4)),1),""), IF(AND(AROW!$D$7="Smiths",AROW!$B$7="Type 2: RSEDS"),IFERROR(INDEX(Models[],SMALL(IF(AROW!$D$7="Smiths",ROW(Models[Smiths Type 2])-1),ROW(4:4)),2),""),IF(AROW!$D$7="Leidos",IFERROR(INDEX(Models[],SMALL(IF(AROW!$D$7="Leidos",ROW(Models[Leidos Model])-1),ROW(4:4)),3),""),IF(AROW!$D$7="Reveal",IFERROR(INDEX(Models[],SMALL(IF(AROW!$D$7="Reveal",ROW(Models[Reveal Model])-1),ROW(4:4)),4),""),""))))</f>
        <v/>
      </c>
      <c r="AK5" s="28" t="str">
        <f t="shared" ref="AK5:AK6" si="2">IF(AJ5&lt;&gt;0,AJ5,"")</f>
        <v/>
      </c>
    </row>
    <row r="6" spans="1:37" x14ac:dyDescent="0.25">
      <c r="B6" t="s">
        <v>1138</v>
      </c>
      <c r="D6" t="s">
        <v>142</v>
      </c>
      <c r="E6" t="s">
        <v>142</v>
      </c>
      <c r="K6" s="38" t="s">
        <v>209</v>
      </c>
      <c r="S6" t="s">
        <v>1091</v>
      </c>
      <c r="U6" s="7">
        <v>5</v>
      </c>
      <c r="V6" s="16">
        <f>IF($D$33="", "", S21)</f>
        <v>0</v>
      </c>
      <c r="W6" s="1" t="b">
        <f>IFERROR(_xlfn.DAYS(V6,$D$5)&gt;S22,"")</f>
        <v>0</v>
      </c>
      <c r="Y6" t="s">
        <v>1133</v>
      </c>
      <c r="Z6" s="27" t="s">
        <v>1167</v>
      </c>
      <c r="AA6" s="27"/>
      <c r="AB6" s="81" t="s">
        <v>1073</v>
      </c>
      <c r="AC6" t="str">
        <f t="array" ref="AC6">IF(AROW!$D$7="Smiths",IFERROR(INDEX(Delivery_Orders0[],SMALL(IF(AROW!$D$7="Smiths",ROW(Delivery_Orders0[Smiths Delivery Orders])-1),ROW(5:5)),1),""),IF(AROW!$D$7="Leidos",IFERROR(INDEX(Delivery_Orders0[],SMALL(IF(AROW!$D$7="Leidos",ROW(Delivery_Orders0[Leidos Delivery Orders])-1),ROW(5:5)),2),""),IF(AROW!$D$7="Smiths Type 2",IFERROR(INDEX(Delivery_Orders0[],SMALL(IF(AROW!$D$7="Smiths Type 2",ROW(Delivery_Orders0[Smiths Type 2 Delivery Orders])-1),ROW(5:5)),3),""),IF(AROW!$D$7="Reveal",IFERROR(INDEX(Delivery_Orders0[],SMALL(IF(AROW!$D$7="Reveal",ROW(Delivery_Orders0[Reveal Delivery Orders])-1),ROW(5:5)),4),""),""))))</f>
        <v/>
      </c>
      <c r="AD6" s="28" t="str">
        <f t="shared" si="1"/>
        <v/>
      </c>
      <c r="AJ6" t="str">
        <f>IF(AND(AROW!$D$7="Smiths",AROW!$B$7="Type 1: MSEDS"),IFERROR(INDEX(Models[],SMALL(IF(AROW!$D$7="Smiths",ROW(Models[Smiths Type 1])-1),ROW(5:5)),1),""), IF(AND(AROW!$D$7="Smiths",AROW!$B$7="Type 2: RSEDS"),IFERROR(INDEX(Models[],SMALL(IF(AROW!$D$7="Smiths",ROW(Models[Smiths Type 2])-1),ROW(5:5)),2),""),IF(AROW!$D$7="Leidos",IFERROR(INDEX(Models[],SMALL(IF(AROW!$D$7="Leidos",ROW(Models[Leidos Model])-1),ROW(5:5)),3),""),IF(AROW!$D$7="Reveal",IFERROR(INDEX(Models[],SMALL(IF(AROW!$D$7="Reveal",ROW(Models[Reveal Model])-1),ROW(5:5)),4),""),""))))</f>
        <v/>
      </c>
      <c r="AK6" s="28" t="str">
        <f t="shared" si="2"/>
        <v/>
      </c>
    </row>
    <row r="7" spans="1:37" x14ac:dyDescent="0.25">
      <c r="A7" t="s">
        <v>11</v>
      </c>
      <c r="B7" t="s">
        <v>73</v>
      </c>
      <c r="C7" s="6" t="s">
        <v>12</v>
      </c>
      <c r="D7" t="s">
        <v>891</v>
      </c>
      <c r="E7" t="str">
        <f>CONCATENATE(Data_Sheet[[#This Row],[Name]], " (",Data_Sheet[[#This Row],[CLIN]],")")</f>
        <v>Other Direct Costs: Specify in Section IV below (CLIN 0001)</v>
      </c>
      <c r="F7" t="s">
        <v>13</v>
      </c>
      <c r="G7" t="s">
        <v>14</v>
      </c>
      <c r="H7" s="77" t="s">
        <v>76</v>
      </c>
      <c r="I7" t="s">
        <v>1085</v>
      </c>
      <c r="J7" t="str">
        <f>Data_Sheet[[#This Row],[Lead Time]]</f>
        <v>Per Airport</v>
      </c>
      <c r="K7" s="38" t="s">
        <v>210</v>
      </c>
      <c r="U7" s="7">
        <v>6</v>
      </c>
      <c r="V7" s="16">
        <f>IF($D$37="", "", S26)</f>
        <v>0</v>
      </c>
      <c r="W7" s="1" t="b">
        <f>IFERROR(_xlfn.DAYS(V7,$D$5)&gt;S27,"")</f>
        <v>0</v>
      </c>
      <c r="Y7" t="s">
        <v>1137</v>
      </c>
      <c r="Z7" s="27" t="s">
        <v>1172</v>
      </c>
      <c r="AA7" s="27"/>
      <c r="AB7" s="27"/>
      <c r="AC7" t="str">
        <f t="array" ref="AC7">IF(AROW!$D$7="Smiths",IFERROR(INDEX(Delivery_Orders0[],SMALL(IF(AROW!$D$7="Smiths",ROW(Delivery_Orders0[Smiths Delivery Orders])-1),ROW(6:6)),1),""),IF(AROW!$D$7="Leidos",IFERROR(INDEX(Delivery_Orders0[],SMALL(IF(AROW!$D$7="Leidos",ROW(Delivery_Orders0[Leidos Delivery Orders])-1),ROW(6:6)),2),""),IF(AROW!$D$7="Smiths Type 2",IFERROR(INDEX(Delivery_Orders0[],SMALL(IF(AROW!$D$7="Smiths Type 2",ROW(Delivery_Orders0[Smiths Type 2 Delivery Orders])-1),ROW(6:6)),3),""),IF(AROW!$D$7="Reveal",IFERROR(INDEX(Delivery_Orders0[],SMALL(IF(AROW!$D$7="Reveal",ROW(Delivery_Orders0[Reveal Delivery Orders])-1),ROW(6:6)),4),""),""))))</f>
        <v/>
      </c>
      <c r="AD7" s="28" t="str">
        <f t="shared" si="1"/>
        <v/>
      </c>
      <c r="AJ7" t="str">
        <f>IF(AND(AROW!$D$7="Smiths",AROW!$B$7="Type 1: MSEDS"),IFERROR(INDEX(Models[],SMALL(IF(AROW!$D$7="Smiths",ROW(Models[Smiths Type 1])-1),ROW(6:6)),1),""), IF(AND(AROW!$D$7="Smiths",AROW!$B$7="Type 2: RSEDS"),IFERROR(INDEX(Models[],SMALL(IF(AROW!$D$7="Smiths",ROW(Models[Smiths Type 2])-1),ROW(6:6)),2),""),IF(AROW!$D$7="Leidos",IFERROR(INDEX(Models[],SMALL(IF(AROW!$D$7="Leidos",ROW(Models[Leidos Model])-1),ROW(6:6)),3),""),IF(AROW!$D$7="Reveal",IFERROR(INDEX(Models[],SMALL(IF(AROW!$D$7="Reveal",ROW(Models[Reveal Model])-1),ROW(6:6)),4),""),""))))</f>
        <v/>
      </c>
    </row>
    <row r="8" spans="1:37" x14ac:dyDescent="0.25">
      <c r="A8" t="s">
        <v>11</v>
      </c>
      <c r="B8" t="s">
        <v>73</v>
      </c>
      <c r="C8" t="s">
        <v>15</v>
      </c>
      <c r="D8" t="s">
        <v>16</v>
      </c>
      <c r="E8" t="str">
        <f>CONCATENATE(Data_Sheet[[#This Row],[Name]], " (",Data_Sheet[[#This Row],[CLIN]],")")</f>
        <v>Project Coordination (CLIN 0002)</v>
      </c>
      <c r="F8" t="s">
        <v>17</v>
      </c>
      <c r="G8" t="s">
        <v>14</v>
      </c>
      <c r="H8" s="77">
        <v>7159.2</v>
      </c>
      <c r="I8" t="s">
        <v>1085</v>
      </c>
      <c r="J8" t="str">
        <f>Data_Sheet[[#This Row],[Lead Time]]</f>
        <v>Per Airport</v>
      </c>
      <c r="K8" s="38" t="s">
        <v>211</v>
      </c>
      <c r="U8" s="8">
        <v>7</v>
      </c>
      <c r="V8" s="16">
        <f>IF($D$42="", "", S31)</f>
        <v>0</v>
      </c>
      <c r="W8" s="1" t="b">
        <f>IFERROR(_xlfn.DAYS(V8,$D$5)&gt;S32,"")</f>
        <v>0</v>
      </c>
      <c r="Y8" s="27" t="s">
        <v>1166</v>
      </c>
      <c r="Z8" s="27" t="s">
        <v>937</v>
      </c>
      <c r="AA8" s="27"/>
      <c r="AB8" s="27"/>
      <c r="AC8" t="str">
        <f t="array" ref="AC8">IF(AROW!$D$7="Smiths",IFERROR(INDEX(Delivery_Orders0[],SMALL(IF(AROW!$D$7="Smiths",ROW(Delivery_Orders0[Smiths Delivery Orders])-1),ROW(7:7)),1),""),IF(AROW!$D$7="Leidos",IFERROR(INDEX(Delivery_Orders0[],SMALL(IF(AROW!$D$7="Leidos",ROW(Delivery_Orders0[Leidos Delivery Orders])-1),ROW(7:7)),2),""),IF(AROW!$D$7="Smiths Type 2",IFERROR(INDEX(Delivery_Orders0[],SMALL(IF(AROW!$D$7="Smiths Type 2",ROW(Delivery_Orders0[Smiths Type 2 Delivery Orders])-1),ROW(7:7)),3),""),IF(AROW!$D$7="Reveal",IFERROR(INDEX(Delivery_Orders0[],SMALL(IF(AROW!$D$7="Reveal",ROW(Delivery_Orders0[Reveal Delivery Orders])-1),ROW(7:7)),4),""),""))))</f>
        <v/>
      </c>
      <c r="AD8" s="28" t="str">
        <f t="shared" si="1"/>
        <v/>
      </c>
      <c r="AJ8" t="str">
        <f>IF(AND(AROW!$D$7="Smiths",AROW!$B$7="Type 1: MSEDS"),IFERROR(INDEX(Models[],SMALL(IF(AROW!$D$7="Smiths",ROW(Models[Smiths Type 1])-1),ROW(7:7)),1),""), IF(AND(AROW!$D$7="Smiths",AROW!$B$7="Type 2: RSEDS"),IFERROR(INDEX(Models[],SMALL(IF(AROW!$D$7="Smiths",ROW(Models[Smiths Type 2])-1),ROW(7:7)),2),""),IF(AROW!$D$7="Leidos",IFERROR(INDEX(Models[],SMALL(IF(AROW!$D$7="Leidos",ROW(Models[Leidos Model])-1),ROW(7:7)),3),""),IF(AROW!$D$7="Reveal",IFERROR(INDEX(Models[],SMALL(IF(AROW!$D$7="Reveal",ROW(Models[Reveal Model])-1),ROW(7:7)),4),""),""))))</f>
        <v/>
      </c>
    </row>
    <row r="9" spans="1:37" x14ac:dyDescent="0.25">
      <c r="A9" t="s">
        <v>11</v>
      </c>
      <c r="B9" t="s">
        <v>73</v>
      </c>
      <c r="C9" t="s">
        <v>18</v>
      </c>
      <c r="D9" t="s">
        <v>19</v>
      </c>
      <c r="E9" t="str">
        <f>CONCATENATE(Data_Sheet[[#This Row],[Name]], " (",Data_Sheet[[#This Row],[CLIN]],")")</f>
        <v>Design and Pre-Planning Technical Consultation/ Support (CLIN 0003)</v>
      </c>
      <c r="F9" t="s">
        <v>17</v>
      </c>
      <c r="G9" t="s">
        <v>14</v>
      </c>
      <c r="H9" s="77">
        <v>7159.2</v>
      </c>
      <c r="I9" t="s">
        <v>1085</v>
      </c>
      <c r="J9" t="str">
        <f>Data_Sheet[[#This Row],[Lead Time]]</f>
        <v>Per Airport</v>
      </c>
      <c r="K9" s="38" t="s">
        <v>212</v>
      </c>
      <c r="U9" s="1">
        <v>8</v>
      </c>
      <c r="V9" s="16">
        <f>IF($D$47="", "", S36)</f>
        <v>0</v>
      </c>
      <c r="W9" s="1" t="b">
        <f>IFERROR(_xlfn.DAYS(V9,$D$5)&gt;S37,"")</f>
        <v>0</v>
      </c>
      <c r="Y9" s="27" t="s">
        <v>1186</v>
      </c>
      <c r="Z9" s="27" t="s">
        <v>938</v>
      </c>
      <c r="AA9" s="27"/>
      <c r="AB9" s="27"/>
      <c r="AC9" t="str">
        <f t="array" ref="AC9">IF(AROW!$D$7="Smiths",IFERROR(INDEX(Delivery_Orders0[],SMALL(IF(AROW!$D$7="Smiths",ROW(Delivery_Orders0[Smiths Delivery Orders])-1),ROW(8:8)),1),""),IF(AROW!$D$7="Leidos",IFERROR(INDEX(Delivery_Orders0[],SMALL(IF(AROW!$D$7="Leidos",ROW(Delivery_Orders0[Leidos Delivery Orders])-1),ROW(8:8)),2),""),IF(AROW!$D$7="Smiths Type 2",IFERROR(INDEX(Delivery_Orders0[],SMALL(IF(AROW!$D$7="Smiths Type 2",ROW(Delivery_Orders0[Smiths Type 2 Delivery Orders])-1),ROW(8:8)),3),""),IF(AROW!$D$7="Reveal",IFERROR(INDEX(Delivery_Orders0[],SMALL(IF(AROW!$D$7="Reveal",ROW(Delivery_Orders0[Reveal Delivery Orders])-1),ROW(8:8)),4),""),""))))</f>
        <v/>
      </c>
      <c r="AD9" s="28" t="str">
        <f t="shared" si="1"/>
        <v/>
      </c>
      <c r="AJ9" t="str">
        <f>IF(AND(AROW!$D$7="Smiths",AROW!$B$7="Type 1: MSEDS"),IFERROR(INDEX(Models[],SMALL(IF(AROW!$D$7="Smiths",ROW(Models[Smiths Type 1])-1),ROW(8:8)),1),""), IF(AND(AROW!$D$7="Smiths",AROW!$B$7="Type 2: RSEDS"),IFERROR(INDEX(Models[],SMALL(IF(AROW!$D$7="Smiths",ROW(Models[Smiths Type 2])-1),ROW(8:8)),2),""),IF(AROW!$D$7="Leidos",IFERROR(INDEX(Models[],SMALL(IF(AROW!$D$7="Leidos",ROW(Models[Leidos Model])-1),ROW(8:8)),3),""),IF(AROW!$D$7="Reveal",IFERROR(INDEX(Models[],SMALL(IF(AROW!$D$7="Reveal",ROW(Models[Reveal Model])-1),ROW(8:8)),4),""),""))))</f>
        <v/>
      </c>
    </row>
    <row r="10" spans="1:37" x14ac:dyDescent="0.25">
      <c r="A10" t="s">
        <v>11</v>
      </c>
      <c r="B10" t="s">
        <v>73</v>
      </c>
      <c r="C10" t="s">
        <v>20</v>
      </c>
      <c r="D10" t="s">
        <v>21</v>
      </c>
      <c r="E10" t="str">
        <f>CONCATENATE(Data_Sheet[[#This Row],[Name]], " (",Data_Sheet[[#This Row],[CLIN]],")")</f>
        <v>MSEDS Installation &amp; Site Acceptance Testing (SAT) (CLIN 0004)</v>
      </c>
      <c r="F10" t="s">
        <v>17</v>
      </c>
      <c r="G10" t="s">
        <v>14</v>
      </c>
      <c r="H10" s="77">
        <v>22990</v>
      </c>
      <c r="I10" t="s">
        <v>1085</v>
      </c>
      <c r="J10" t="str">
        <f>Data_Sheet[[#This Row],[Lead Time]]</f>
        <v>Per Airport</v>
      </c>
      <c r="K10" s="38" t="s">
        <v>213</v>
      </c>
      <c r="U10" s="1">
        <v>9</v>
      </c>
      <c r="V10" s="16">
        <f>IF($D$52="", "", S41)</f>
        <v>0</v>
      </c>
      <c r="W10" s="1" t="b">
        <f>IFERROR(_xlfn.DAYS(V10,$D$5)&gt;S42,"")</f>
        <v>0</v>
      </c>
      <c r="Y10" s="27" t="s">
        <v>1170</v>
      </c>
      <c r="Z10" s="27" t="s">
        <v>939</v>
      </c>
      <c r="AA10" s="27"/>
      <c r="AB10" s="27"/>
      <c r="AC10" t="str">
        <f t="array" ref="AC10">IF(AROW!$D$7="Smiths",IFERROR(INDEX(Delivery_Orders0[],SMALL(IF(AROW!$D$7="Smiths",ROW(Delivery_Orders0[Smiths Delivery Orders])-1),ROW(9:9)),1),""),IF(AROW!$D$7="Leidos",IFERROR(INDEX(Delivery_Orders0[],SMALL(IF(AROW!$D$7="Leidos",ROW(Delivery_Orders0[Leidos Delivery Orders])-1),ROW(9:9)),2),""),IF(AROW!$D$7="Smiths Type 2",IFERROR(INDEX(Delivery_Orders0[],SMALL(IF(AROW!$D$7="Smiths Type 2",ROW(Delivery_Orders0[Smiths Type 2 Delivery Orders])-1),ROW(9:9)),3),""),IF(AROW!$D$7="Reveal",IFERROR(INDEX(Delivery_Orders0[],SMALL(IF(AROW!$D$7="Reveal",ROW(Delivery_Orders0[Reveal Delivery Orders])-1),ROW(9:9)),4),""),""))))</f>
        <v/>
      </c>
      <c r="AD10" s="28" t="str">
        <f t="shared" si="1"/>
        <v/>
      </c>
    </row>
    <row r="11" spans="1:37" ht="15.75" thickBot="1" x14ac:dyDescent="0.3">
      <c r="A11" t="s">
        <v>11</v>
      </c>
      <c r="B11" t="s">
        <v>73</v>
      </c>
      <c r="C11" t="s">
        <v>22</v>
      </c>
      <c r="D11" t="s">
        <v>23</v>
      </c>
      <c r="E11" t="str">
        <f>CONCATENATE(Data_Sheet[[#This Row],[Name]], " (",Data_Sheet[[#This Row],[CLIN]],")")</f>
        <v>Integration Support (CLIN 0005)</v>
      </c>
      <c r="F11" t="s">
        <v>17</v>
      </c>
      <c r="G11" t="s">
        <v>14</v>
      </c>
      <c r="H11" s="77">
        <v>66500</v>
      </c>
      <c r="I11" t="s">
        <v>1085</v>
      </c>
      <c r="J11" t="str">
        <f>Data_Sheet[[#This Row],[Lead Time]]</f>
        <v>Per Airport</v>
      </c>
      <c r="K11" s="38" t="s">
        <v>214</v>
      </c>
      <c r="U11" s="2">
        <v>10</v>
      </c>
      <c r="V11" s="16">
        <f>IF($D$56="", "", S46)</f>
        <v>0</v>
      </c>
      <c r="W11" s="1" t="b">
        <f>IFERROR(_xlfn.DAYS(V11,$D$5)&gt;S47,"")</f>
        <v>0</v>
      </c>
      <c r="Y11" s="27" t="s">
        <v>1171</v>
      </c>
      <c r="Z11" s="27" t="s">
        <v>940</v>
      </c>
      <c r="AA11" s="27"/>
      <c r="AB11" s="27"/>
      <c r="AC11" t="str">
        <f t="array" ref="AC11">IF(AROW!$D$7="Smiths",IFERROR(INDEX(Delivery_Orders0[],SMALL(IF(AROW!$D$7="Smiths",ROW(Delivery_Orders0[Smiths Delivery Orders])-1),ROW(10:10)),1),""),IF(AROW!$D$7="Leidos",IFERROR(INDEX(Delivery_Orders0[],SMALL(IF(AROW!$D$7="Leidos",ROW(Delivery_Orders0[Leidos Delivery Orders])-1),ROW(10:10)),2),""),IF(AROW!$D$7="Smiths Type 2",IFERROR(INDEX(Delivery_Orders0[],SMALL(IF(AROW!$D$7="Smiths Type 2",ROW(Delivery_Orders0[Smiths Type 2 Delivery Orders])-1),ROW(10:10)),3),""),IF(AROW!$D$7="Reveal",IFERROR(INDEX(Delivery_Orders0[],SMALL(IF(AROW!$D$7="Reveal",ROW(Delivery_Orders0[Reveal Delivery Orders])-1),ROW(10:10)),4),""),""))))</f>
        <v/>
      </c>
      <c r="AD11" s="28" t="str">
        <f t="shared" si="1"/>
        <v/>
      </c>
    </row>
    <row r="12" spans="1:37" x14ac:dyDescent="0.25">
      <c r="A12" t="s">
        <v>11</v>
      </c>
      <c r="B12" t="s">
        <v>73</v>
      </c>
      <c r="C12" t="s">
        <v>24</v>
      </c>
      <c r="D12" t="s">
        <v>25</v>
      </c>
      <c r="E12" t="str">
        <f>CONCATENATE(Data_Sheet[[#This Row],[Name]], " (",Data_Sheet[[#This Row],[CLIN]],")")</f>
        <v>Network Installation Support (CLIN 0006)</v>
      </c>
      <c r="F12" t="s">
        <v>17</v>
      </c>
      <c r="G12" t="s">
        <v>14</v>
      </c>
      <c r="H12" s="77">
        <v>20398.599999999999</v>
      </c>
      <c r="I12" t="s">
        <v>1085</v>
      </c>
      <c r="J12" t="str">
        <f>Data_Sheet[[#This Row],[Lead Time]]</f>
        <v>Per Airport</v>
      </c>
      <c r="K12" s="38" t="s">
        <v>215</v>
      </c>
      <c r="U12" s="7"/>
      <c r="V12" s="7"/>
      <c r="W12" s="7">
        <f>COUNTIF(W2:W11, "False")</f>
        <v>7</v>
      </c>
      <c r="Y12" s="27" t="s">
        <v>936</v>
      </c>
      <c r="Z12" s="27" t="s">
        <v>941</v>
      </c>
      <c r="AA12" s="27"/>
      <c r="AB12" s="27"/>
      <c r="AC12" t="str">
        <f t="array" ref="AC12">IF(AROW!$D$7="Smiths",IFERROR(INDEX(Delivery_Orders0[],SMALL(IF(AROW!$D$7="Smiths",ROW(Delivery_Orders0[Smiths Delivery Orders])-1),ROW(11:11)),1),""),IF(AROW!$D$7="Leidos",IFERROR(INDEX(Delivery_Orders0[],SMALL(IF(AROW!$D$7="Leidos",ROW(Delivery_Orders0[Leidos Delivery Orders])-1),ROW(11:11)),2),""),IF(AROW!$D$7="Smiths Type 2",IFERROR(INDEX(Delivery_Orders0[],SMALL(IF(AROW!$D$7="Smiths Type 2",ROW(Delivery_Orders0[Smiths Type 2 Delivery Orders])-1),ROW(11:11)),3),""),IF(AROW!$D$7="Reveal",IFERROR(INDEX(Delivery_Orders0[],SMALL(IF(AROW!$D$7="Reveal",ROW(Delivery_Orders0[Reveal Delivery Orders])-1),ROW(11:11)),4),""),""))))</f>
        <v/>
      </c>
      <c r="AD12" s="28" t="str">
        <f t="shared" si="1"/>
        <v/>
      </c>
    </row>
    <row r="13" spans="1:37" x14ac:dyDescent="0.25">
      <c r="A13" t="s">
        <v>11</v>
      </c>
      <c r="B13" t="s">
        <v>73</v>
      </c>
      <c r="C13" t="s">
        <v>26</v>
      </c>
      <c r="D13" t="s">
        <v>27</v>
      </c>
      <c r="E13" t="str">
        <f>CONCATENATE(Data_Sheet[[#This Row],[Name]], " (",Data_Sheet[[#This Row],[CLIN]],")")</f>
        <v>Integration Site Acceptance Testing (iSAT) Support (CLIN 0007)</v>
      </c>
      <c r="F13" t="s">
        <v>17</v>
      </c>
      <c r="G13" t="s">
        <v>14</v>
      </c>
      <c r="H13" s="77">
        <v>22812</v>
      </c>
      <c r="I13" t="s">
        <v>1085</v>
      </c>
      <c r="J13" t="str">
        <f>Data_Sheet[[#This Row],[Lead Time]]</f>
        <v>Per Airport</v>
      </c>
      <c r="K13" s="38" t="s">
        <v>216</v>
      </c>
      <c r="U13" s="3"/>
      <c r="V13" s="3"/>
      <c r="W13" s="1">
        <f>IF(ISNUMBER(W12), W12, "")</f>
        <v>7</v>
      </c>
      <c r="Y13" s="27"/>
      <c r="Z13" s="27" t="s">
        <v>942</v>
      </c>
      <c r="AA13" s="27"/>
      <c r="AB13" s="27"/>
      <c r="AC13" t="str">
        <f t="array" ref="AC13">IF(AROW!$D$7="Smiths",IFERROR(INDEX(Delivery_Orders0[],SMALL(IF(AROW!$D$7="Smiths",ROW(Delivery_Orders0[Smiths Delivery Orders])-1),ROW(12:12)),1),""),IF(AROW!$D$7="Leidos",IFERROR(INDEX(Delivery_Orders0[],SMALL(IF(AROW!$D$7="Leidos",ROW(Delivery_Orders0[Leidos Delivery Orders])-1),ROW(12:12)),2),""),IF(AROW!$D$7="Smiths Type 2",IFERROR(INDEX(Delivery_Orders0[],SMALL(IF(AROW!$D$7="Smiths Type 2",ROW(Delivery_Orders0[Smiths Type 2 Delivery Orders])-1),ROW(12:12)),3),""),IF(AROW!$D$7="Reveal",IFERROR(INDEX(Delivery_Orders0[],SMALL(IF(AROW!$D$7="Reveal",ROW(Delivery_Orders0[Reveal Delivery Orders])-1),ROW(12:12)),4),""),""))))</f>
        <v/>
      </c>
      <c r="AD13" s="28" t="str">
        <f t="shared" si="1"/>
        <v/>
      </c>
    </row>
    <row r="14" spans="1:37" x14ac:dyDescent="0.25">
      <c r="A14" t="s">
        <v>11</v>
      </c>
      <c r="B14" t="s">
        <v>73</v>
      </c>
      <c r="C14" t="s">
        <v>28</v>
      </c>
      <c r="D14" t="s">
        <v>29</v>
      </c>
      <c r="E14" t="str">
        <f>CONCATENATE(Data_Sheet[[#This Row],[Name]], " (",Data_Sheet[[#This Row],[CLIN]],")")</f>
        <v>Training (CLIN 0008)</v>
      </c>
      <c r="F14" t="s">
        <v>17</v>
      </c>
      <c r="G14" t="s">
        <v>14</v>
      </c>
      <c r="H14" s="77">
        <v>10347.4</v>
      </c>
      <c r="I14" t="s">
        <v>1085</v>
      </c>
      <c r="J14" t="str">
        <f>Data_Sheet[[#This Row],[Lead Time]]</f>
        <v>Per Airport</v>
      </c>
      <c r="K14" s="11" t="s">
        <v>142</v>
      </c>
      <c r="Y14" s="27"/>
      <c r="Z14" s="27" t="s">
        <v>1173</v>
      </c>
      <c r="AA14" s="27"/>
      <c r="AB14" s="27"/>
      <c r="AC14" t="str">
        <f t="array" ref="AC14">IF(AROW!$D$7="Smiths",IFERROR(INDEX(Delivery_Orders0[],SMALL(IF(AROW!$D$7="Smiths",ROW(Delivery_Orders0[Smiths Delivery Orders])-1),ROW(13:13)),1),""),IF(AROW!$D$7="Leidos",IFERROR(INDEX(Delivery_Orders0[],SMALL(IF(AROW!$D$7="Leidos",ROW(Delivery_Orders0[Leidos Delivery Orders])-1),ROW(13:13)),2),""),IF(AROW!$D$7="Smiths Type 2",IFERROR(INDEX(Delivery_Orders0[],SMALL(IF(AROW!$D$7="Smiths Type 2",ROW(Delivery_Orders0[Smiths Type 2 Delivery Orders])-1),ROW(13:13)),3),""),IF(AROW!$D$7="Reveal",IFERROR(INDEX(Delivery_Orders0[],SMALL(IF(AROW!$D$7="Reveal",ROW(Delivery_Orders0[Reveal Delivery Orders])-1),ROW(13:13)),4),""),""))))</f>
        <v/>
      </c>
      <c r="AD14" s="28" t="str">
        <f t="shared" si="1"/>
        <v/>
      </c>
    </row>
    <row r="15" spans="1:37" x14ac:dyDescent="0.25">
      <c r="A15" s="5" t="s">
        <v>11</v>
      </c>
      <c r="B15" t="s">
        <v>73</v>
      </c>
      <c r="C15" t="s">
        <v>30</v>
      </c>
      <c r="D15" t="s">
        <v>31</v>
      </c>
      <c r="E15" t="str">
        <f>CONCATENATE(Data_Sheet[[#This Row],[Name]], " (",Data_Sheet[[#This Row],[CLIN]],")")</f>
        <v>30 Day Run-In Support (CLIN 0009)</v>
      </c>
      <c r="F15" t="s">
        <v>17</v>
      </c>
      <c r="G15" t="s">
        <v>14</v>
      </c>
      <c r="H15" s="77">
        <v>14032</v>
      </c>
      <c r="I15" t="s">
        <v>1085</v>
      </c>
      <c r="J15" t="str">
        <f>Data_Sheet[[#This Row],[Lead Time]]</f>
        <v>Per Airport</v>
      </c>
      <c r="K15" s="11" t="s">
        <v>100</v>
      </c>
      <c r="Y15" s="27"/>
      <c r="Z15" s="27" t="s">
        <v>943</v>
      </c>
      <c r="AA15" s="27"/>
      <c r="AB15" s="27"/>
      <c r="AC15" t="str">
        <f t="array" ref="AC15">IF(AROW!$D$7="Smiths",IFERROR(INDEX(Delivery_Orders0[],SMALL(IF(AROW!$D$7="Smiths",ROW(Delivery_Orders0[Smiths Delivery Orders])-1),ROW(14:14)),1),""),IF(AROW!$D$7="Leidos",IFERROR(INDEX(Delivery_Orders0[],SMALL(IF(AROW!$D$7="Leidos",ROW(Delivery_Orders0[Leidos Delivery Orders])-1),ROW(14:14)),2),""),IF(AROW!$D$7="Smiths Type 2",IFERROR(INDEX(Delivery_Orders0[],SMALL(IF(AROW!$D$7="Smiths Type 2",ROW(Delivery_Orders0[Smiths Type 2 Delivery Orders])-1),ROW(14:14)),3),""),IF(AROW!$D$7="Reveal",IFERROR(INDEX(Delivery_Orders0[],SMALL(IF(AROW!$D$7="Reveal",ROW(Delivery_Orders0[Reveal Delivery Orders])-1),ROW(14:14)),4),""),""))))</f>
        <v/>
      </c>
      <c r="AD15" s="28" t="str">
        <f t="shared" si="1"/>
        <v/>
      </c>
    </row>
    <row r="16" spans="1:37" x14ac:dyDescent="0.25">
      <c r="A16" t="s">
        <v>11</v>
      </c>
      <c r="B16" t="s">
        <v>73</v>
      </c>
      <c r="C16" t="s">
        <v>34</v>
      </c>
      <c r="D16" t="s">
        <v>923</v>
      </c>
      <c r="E16" t="str">
        <f>CONCATENATE(Data_Sheet[[#This Row],[Name]], " (",Data_Sheet[[#This Row],[CLIN]],")")</f>
        <v>MSEDS (1-20 unit network) (CLIN 0010A)</v>
      </c>
      <c r="F16" t="s">
        <v>33</v>
      </c>
      <c r="G16" t="s">
        <v>14</v>
      </c>
      <c r="H16" s="77">
        <v>990292</v>
      </c>
      <c r="I16">
        <v>168</v>
      </c>
      <c r="J16">
        <f>Data_Sheet[[#This Row],[Lead Time]]+10</f>
        <v>178</v>
      </c>
      <c r="K16" s="11" t="s">
        <v>101</v>
      </c>
      <c r="Y16" s="27"/>
      <c r="Z16" s="27" t="s">
        <v>944</v>
      </c>
      <c r="AA16" s="27"/>
      <c r="AB16" s="27"/>
      <c r="AC16" t="str">
        <f t="array" ref="AC16">IF(AROW!$D$7="Smiths",IFERROR(INDEX(Delivery_Orders0[],SMALL(IF(AROW!$D$7="Smiths",ROW(Delivery_Orders0[Smiths Delivery Orders])-1),ROW(15:15)),1),""),IF(AROW!$D$7="Leidos",IFERROR(INDEX(Delivery_Orders0[],SMALL(IF(AROW!$D$7="Leidos",ROW(Delivery_Orders0[Leidos Delivery Orders])-1),ROW(15:15)),2),""),IF(AROW!$D$7="Smiths Type 2",IFERROR(INDEX(Delivery_Orders0[],SMALL(IF(AROW!$D$7="Smiths Type 2",ROW(Delivery_Orders0[Smiths Type 2 Delivery Orders])-1),ROW(15:15)),3),""),IF(AROW!$D$7="Reveal",IFERROR(INDEX(Delivery_Orders0[],SMALL(IF(AROW!$D$7="Reveal",ROW(Delivery_Orders0[Reveal Delivery Orders])-1),ROW(15:15)),4),""),""))))</f>
        <v/>
      </c>
      <c r="AD16" s="28" t="str">
        <f t="shared" si="1"/>
        <v/>
      </c>
    </row>
    <row r="17" spans="1:30" x14ac:dyDescent="0.25">
      <c r="A17" t="s">
        <v>11</v>
      </c>
      <c r="B17" t="s">
        <v>73</v>
      </c>
      <c r="C17" t="s">
        <v>35</v>
      </c>
      <c r="D17" t="s">
        <v>925</v>
      </c>
      <c r="E17" t="str">
        <f>CONCATENATE(Data_Sheet[[#This Row],[Name]], " (",Data_Sheet[[#This Row],[CLIN]],")")</f>
        <v>MSEDS (21-30 unit network) (CLIN 0010B)</v>
      </c>
      <c r="F17" t="s">
        <v>33</v>
      </c>
      <c r="G17" t="s">
        <v>14</v>
      </c>
      <c r="H17" s="77">
        <v>980638</v>
      </c>
      <c r="I17">
        <v>168</v>
      </c>
      <c r="J17">
        <f>Data_Sheet[[#This Row],[Lead Time]]+10</f>
        <v>178</v>
      </c>
      <c r="K17" s="11" t="s">
        <v>102</v>
      </c>
      <c r="Y17" s="27"/>
      <c r="Z17" s="27"/>
      <c r="AA17" s="27"/>
      <c r="AB17" s="27"/>
      <c r="AC17" t="str">
        <f t="array" ref="AC17">IF(AROW!$D$7="Smiths",IFERROR(INDEX(Delivery_Orders0[],SMALL(IF(AROW!$D$7="Smiths",ROW(Delivery_Orders0[Smiths Delivery Orders])-1),ROW(16:16)),1),""),IF(AROW!$D$7="Leidos",IFERROR(INDEX(Delivery_Orders0[],SMALL(IF(AROW!$D$7="Leidos",ROW(Delivery_Orders0[Leidos Delivery Orders])-1),ROW(16:16)),2),""),IF(AROW!$D$7="Smiths Type 2",IFERROR(INDEX(Delivery_Orders0[],SMALL(IF(AROW!$D$7="Smiths Type 2",ROW(Delivery_Orders0[Smiths Type 2 Delivery Orders])-1),ROW(16:16)),3),""),IF(AROW!$D$7="Reveal",IFERROR(INDEX(Delivery_Orders0[],SMALL(IF(AROW!$D$7="Reveal",ROW(Delivery_Orders0[Reveal Delivery Orders])-1),ROW(16:16)),4),""),""))))</f>
        <v/>
      </c>
      <c r="AD17" s="28" t="str">
        <f t="shared" si="1"/>
        <v/>
      </c>
    </row>
    <row r="18" spans="1:30" x14ac:dyDescent="0.25">
      <c r="A18" t="s">
        <v>11</v>
      </c>
      <c r="B18" t="s">
        <v>73</v>
      </c>
      <c r="C18" t="s">
        <v>36</v>
      </c>
      <c r="D18" t="s">
        <v>927</v>
      </c>
      <c r="E18" t="str">
        <f>CONCATENATE(Data_Sheet[[#This Row],[Name]], " (",Data_Sheet[[#This Row],[CLIN]],")")</f>
        <v>MSEDS (31-40 unit network) (CLIN 0010C)</v>
      </c>
      <c r="F18" t="s">
        <v>33</v>
      </c>
      <c r="G18" t="s">
        <v>14</v>
      </c>
      <c r="H18" s="77">
        <v>971372</v>
      </c>
      <c r="I18">
        <v>168</v>
      </c>
      <c r="J18">
        <f>Data_Sheet[[#This Row],[Lead Time]]+10</f>
        <v>178</v>
      </c>
      <c r="K18" s="11" t="s">
        <v>103</v>
      </c>
      <c r="Y18" s="27"/>
      <c r="Z18" s="27"/>
      <c r="AA18" s="27"/>
      <c r="AB18" s="27"/>
      <c r="AC18" t="str">
        <f t="array" ref="AC18">IF(AROW!$D$7="Smiths",IFERROR(INDEX(Delivery_Orders0[],SMALL(IF(AROW!$D$7="Smiths",ROW(Delivery_Orders0[Smiths Delivery Orders])-1),ROW(17:17)),1),""),IF(AROW!$D$7="Leidos",IFERROR(INDEX(Delivery_Orders0[],SMALL(IF(AROW!$D$7="Leidos",ROW(Delivery_Orders0[Leidos Delivery Orders])-1),ROW(17:17)),2),""),IF(AROW!$D$7="Smiths Type 2",IFERROR(INDEX(Delivery_Orders0[],SMALL(IF(AROW!$D$7="Smiths Type 2",ROW(Delivery_Orders0[Smiths Type 2 Delivery Orders])-1),ROW(17:17)),3),""),IF(AROW!$D$7="Reveal",IFERROR(INDEX(Delivery_Orders0[],SMALL(IF(AROW!$D$7="Reveal",ROW(Delivery_Orders0[Reveal Delivery Orders])-1),ROW(17:17)),4),""),""))))</f>
        <v/>
      </c>
      <c r="AD18" s="28" t="str">
        <f t="shared" si="1"/>
        <v/>
      </c>
    </row>
    <row r="19" spans="1:30" x14ac:dyDescent="0.25">
      <c r="A19" t="s">
        <v>11</v>
      </c>
      <c r="B19" t="s">
        <v>73</v>
      </c>
      <c r="C19" t="s">
        <v>75</v>
      </c>
      <c r="D19" t="s">
        <v>929</v>
      </c>
      <c r="E19" t="str">
        <f>CONCATENATE(Data_Sheet[[#This Row],[Name]], " (",Data_Sheet[[#This Row],[CLIN]],")")</f>
        <v>MSEDS (41+ unit network) (CLIN 0010D)</v>
      </c>
      <c r="F19" t="s">
        <v>33</v>
      </c>
      <c r="G19" t="s">
        <v>14</v>
      </c>
      <c r="H19" s="77">
        <v>961912</v>
      </c>
      <c r="I19">
        <v>168</v>
      </c>
      <c r="J19">
        <f>Data_Sheet[[#This Row],[Lead Time]]+10</f>
        <v>178</v>
      </c>
      <c r="K19" s="11" t="s">
        <v>104</v>
      </c>
      <c r="Y19" s="27"/>
      <c r="Z19" s="27"/>
      <c r="AA19" s="27"/>
      <c r="AB19" s="27"/>
      <c r="AC19" t="str">
        <f t="array" ref="AC19">IF(AROW!$D$7="Smiths",IFERROR(INDEX(Delivery_Orders0[],SMALL(IF(AROW!$D$7="Smiths",ROW(Delivery_Orders0[Smiths Delivery Orders])-1),ROW(18:18)),1),""),IF(AROW!$D$7="Leidos",IFERROR(INDEX(Delivery_Orders0[],SMALL(IF(AROW!$D$7="Leidos",ROW(Delivery_Orders0[Leidos Delivery Orders])-1),ROW(18:18)),2),""),IF(AROW!$D$7="Smiths Type 2",IFERROR(INDEX(Delivery_Orders0[],SMALL(IF(AROW!$D$7="Smiths Type 2",ROW(Delivery_Orders0[Smiths Type 2 Delivery Orders])-1),ROW(18:18)),3),""),IF(AROW!$D$7="Reveal",IFERROR(INDEX(Delivery_Orders0[],SMALL(IF(AROW!$D$7="Reveal",ROW(Delivery_Orders0[Reveal Delivery Orders])-1),ROW(18:18)),4),""),""))))</f>
        <v/>
      </c>
      <c r="AD19" s="28" t="str">
        <f t="shared" si="1"/>
        <v/>
      </c>
    </row>
    <row r="20" spans="1:30" x14ac:dyDescent="0.25">
      <c r="A20" t="s">
        <v>11</v>
      </c>
      <c r="B20" t="s">
        <v>73</v>
      </c>
      <c r="C20" t="s">
        <v>37</v>
      </c>
      <c r="D20" s="34" t="s">
        <v>931</v>
      </c>
      <c r="E20" t="str">
        <f>CONCATENATE(Data_Sheet[[#This Row],[Name]], " (",Data_Sheet[[#This Row],[CLIN]],")")</f>
        <v>State of Washington - MSEDS tax (1-20 unit network) (CLIN 0010AA)</v>
      </c>
      <c r="F20" t="s">
        <v>33</v>
      </c>
      <c r="G20" t="s">
        <v>14</v>
      </c>
      <c r="H20" s="77">
        <v>1087012</v>
      </c>
      <c r="I20">
        <v>168</v>
      </c>
      <c r="J20">
        <f>Data_Sheet[[#This Row],[Lead Time]]+10</f>
        <v>178</v>
      </c>
      <c r="K20" s="11" t="s">
        <v>217</v>
      </c>
      <c r="Y20" s="27"/>
      <c r="Z20" s="27"/>
      <c r="AA20" s="27"/>
      <c r="AB20" s="27"/>
      <c r="AC20" t="str">
        <f t="array" ref="AC20">IF(AROW!$D$7="Smiths",IFERROR(INDEX(Delivery_Orders0[],SMALL(IF(AROW!$D$7="Smiths",ROW(Delivery_Orders0[Smiths Delivery Orders])-1),ROW(19:19)),1),""),IF(AROW!$D$7="Leidos",IFERROR(INDEX(Delivery_Orders0[],SMALL(IF(AROW!$D$7="Leidos",ROW(Delivery_Orders0[Leidos Delivery Orders])-1),ROW(19:19)),2),""),IF(AROW!$D$7="Smiths Type 2",IFERROR(INDEX(Delivery_Orders0[],SMALL(IF(AROW!$D$7="Smiths Type 2",ROW(Delivery_Orders0[Smiths Type 2 Delivery Orders])-1),ROW(19:19)),3),""),IF(AROW!$D$7="Reveal",IFERROR(INDEX(Delivery_Orders0[],SMALL(IF(AROW!$D$7="Reveal",ROW(Delivery_Orders0[Reveal Delivery Orders])-1),ROW(19:19)),4),""),""))))</f>
        <v/>
      </c>
      <c r="AD20" s="28" t="str">
        <f t="shared" si="1"/>
        <v/>
      </c>
    </row>
    <row r="21" spans="1:30" x14ac:dyDescent="0.25">
      <c r="A21" t="s">
        <v>11</v>
      </c>
      <c r="B21" t="s">
        <v>73</v>
      </c>
      <c r="C21" t="s">
        <v>38</v>
      </c>
      <c r="D21" s="34" t="s">
        <v>932</v>
      </c>
      <c r="E21" t="str">
        <f>CONCATENATE(Data_Sheet[[#This Row],[Name]], " (",Data_Sheet[[#This Row],[CLIN]],")")</f>
        <v>State of Washington - MSEDS tax (21-30 unit network) (CLIN 0010BB)</v>
      </c>
      <c r="F21" t="s">
        <v>33</v>
      </c>
      <c r="G21" t="s">
        <v>14</v>
      </c>
      <c r="H21" s="77">
        <v>1076498</v>
      </c>
      <c r="I21">
        <v>168</v>
      </c>
      <c r="J21">
        <f>Data_Sheet[[#This Row],[Lead Time]]+10</f>
        <v>178</v>
      </c>
      <c r="K21" s="11" t="s">
        <v>105</v>
      </c>
      <c r="Y21" s="27"/>
      <c r="Z21" s="27"/>
      <c r="AA21" s="27"/>
      <c r="AB21" s="27"/>
      <c r="AC21" t="str">
        <f t="array" ref="AC21">IF(AROW!$D$7="Smiths",IFERROR(INDEX(Delivery_Orders0[],SMALL(IF(AROW!$D$7="Smiths",ROW(Delivery_Orders0[Smiths Delivery Orders])-1),ROW(20:20)),1),""),IF(AROW!$D$7="Leidos",IFERROR(INDEX(Delivery_Orders0[],SMALL(IF(AROW!$D$7="Leidos",ROW(Delivery_Orders0[Leidos Delivery Orders])-1),ROW(20:20)),2),""),IF(AROW!$D$7="Smiths Type 2",IFERROR(INDEX(Delivery_Orders0[],SMALL(IF(AROW!$D$7="Smiths Type 2",ROW(Delivery_Orders0[Smiths Type 2 Delivery Orders])-1),ROW(20:20)),3),""),IF(AROW!$D$7="Reveal",IFERROR(INDEX(Delivery_Orders0[],SMALL(IF(AROW!$D$7="Reveal",ROW(Delivery_Orders0[Reveal Delivery Orders])-1),ROW(20:20)),4),""),""))))</f>
        <v/>
      </c>
      <c r="AD21" s="28" t="str">
        <f t="shared" si="1"/>
        <v/>
      </c>
    </row>
    <row r="22" spans="1:30" x14ac:dyDescent="0.25">
      <c r="A22" t="s">
        <v>11</v>
      </c>
      <c r="B22" t="s">
        <v>73</v>
      </c>
      <c r="C22" t="s">
        <v>39</v>
      </c>
      <c r="D22" s="34" t="s">
        <v>933</v>
      </c>
      <c r="E22" t="str">
        <f>CONCATENATE(Data_Sheet[[#This Row],[Name]], " (",Data_Sheet[[#This Row],[CLIN]],")")</f>
        <v>State of Washington - MSEDS tax (31-40 unit network) (CLIN 0010CC)</v>
      </c>
      <c r="F22" t="s">
        <v>33</v>
      </c>
      <c r="G22" t="s">
        <v>14</v>
      </c>
      <c r="H22" s="77">
        <v>1065980</v>
      </c>
      <c r="I22">
        <v>168</v>
      </c>
      <c r="J22">
        <f>Data_Sheet[[#This Row],[Lead Time]]+10</f>
        <v>178</v>
      </c>
      <c r="K22" s="11" t="s">
        <v>106</v>
      </c>
      <c r="Y22" s="27"/>
      <c r="Z22" s="27"/>
      <c r="AA22" s="27"/>
      <c r="AB22" s="27"/>
      <c r="AC22" t="str">
        <f t="array" ref="AC22">IF(AROW!$D$7="Smiths",IFERROR(INDEX(Delivery_Orders0[],SMALL(IF(AROW!$D$7="Smiths",ROW(Delivery_Orders0[Smiths Delivery Orders])-1),ROW(21:21)),1),""),IF(AROW!$D$7="Leidos",IFERROR(INDEX(Delivery_Orders0[],SMALL(IF(AROW!$D$7="Leidos",ROW(Delivery_Orders0[Leidos Delivery Orders])-1),ROW(21:21)),2),""),IF(AROW!$D$7="Smiths Type 2",IFERROR(INDEX(Delivery_Orders0[],SMALL(IF(AROW!$D$7="Smiths Type 2",ROW(Delivery_Orders0[Smiths Type 2 Delivery Orders])-1),ROW(21:21)),3),""),IF(AROW!$D$7="Reveal",IFERROR(INDEX(Delivery_Orders0[],SMALL(IF(AROW!$D$7="Reveal",ROW(Delivery_Orders0[Reveal Delivery Orders])-1),ROW(21:21)),4),""),""))))</f>
        <v/>
      </c>
      <c r="AD22" s="28" t="str">
        <f t="shared" si="1"/>
        <v/>
      </c>
    </row>
    <row r="23" spans="1:30" x14ac:dyDescent="0.25">
      <c r="A23" t="s">
        <v>11</v>
      </c>
      <c r="B23" t="s">
        <v>73</v>
      </c>
      <c r="C23" t="s">
        <v>40</v>
      </c>
      <c r="D23" s="34" t="s">
        <v>934</v>
      </c>
      <c r="E23" s="39" t="str">
        <f>CONCATENATE(Data_Sheet[[#This Row],[Name]], " (",Data_Sheet[[#This Row],[CLIN]],")")</f>
        <v>State of Washington - MSEDS tax (41+ unit network) (CLIN 0010DD)</v>
      </c>
      <c r="F23" t="s">
        <v>33</v>
      </c>
      <c r="G23" t="s">
        <v>14</v>
      </c>
      <c r="H23" s="77">
        <v>1055472</v>
      </c>
      <c r="I23">
        <v>168</v>
      </c>
      <c r="J23">
        <f>Data_Sheet[[#This Row],[Lead Time]]+10</f>
        <v>178</v>
      </c>
      <c r="K23" s="11" t="s">
        <v>107</v>
      </c>
      <c r="Y23" s="27"/>
      <c r="Z23" s="27"/>
      <c r="AA23" s="27"/>
      <c r="AB23" s="27"/>
      <c r="AC23" t="str">
        <f t="array" ref="AC23">IF(AROW!$D$7="Smiths",IFERROR(INDEX(Delivery_Orders0[],SMALL(IF(AROW!$D$7="Smiths",ROW(Delivery_Orders0[Smiths Delivery Orders])-1),ROW(22:22)),1),""),IF(AROW!$D$7="Leidos",IFERROR(INDEX(Delivery_Orders0[],SMALL(IF(AROW!$D$7="Leidos",ROW(Delivery_Orders0[Leidos Delivery Orders])-1),ROW(22:22)),2),""),IF(AROW!$D$7="Smiths Type 2",IFERROR(INDEX(Delivery_Orders0[],SMALL(IF(AROW!$D$7="Smiths Type 2",ROW(Delivery_Orders0[Smiths Type 2 Delivery Orders])-1),ROW(22:22)),3),""),IF(AROW!$D$7="Reveal",IFERROR(INDEX(Delivery_Orders0[],SMALL(IF(AROW!$D$7="Reveal",ROW(Delivery_Orders0[Reveal Delivery Orders])-1),ROW(22:22)),4),""),""))))</f>
        <v/>
      </c>
      <c r="AD23" s="28" t="str">
        <f t="shared" si="1"/>
        <v/>
      </c>
    </row>
    <row r="24" spans="1:30" x14ac:dyDescent="0.25">
      <c r="A24" t="s">
        <v>11</v>
      </c>
      <c r="B24" t="s">
        <v>73</v>
      </c>
      <c r="C24" t="s">
        <v>41</v>
      </c>
      <c r="D24" t="s">
        <v>42</v>
      </c>
      <c r="E24" s="39" t="str">
        <f>CONCATENATE(Data_Sheet[[#This Row],[Name]], " (",Data_Sheet[[#This Row],[CLIN]],")")</f>
        <v>Primary Viewing Station (PVS) (CLIN 0011)</v>
      </c>
      <c r="F24" t="s">
        <v>43</v>
      </c>
      <c r="G24" t="s">
        <v>14</v>
      </c>
      <c r="H24" s="77">
        <v>5300</v>
      </c>
      <c r="I24">
        <v>21</v>
      </c>
      <c r="J24">
        <f>Data_Sheet[[#This Row],[Lead Time]]+10</f>
        <v>31</v>
      </c>
      <c r="K24" s="11" t="s">
        <v>108</v>
      </c>
      <c r="Y24" s="27"/>
      <c r="Z24" s="27"/>
      <c r="AA24" s="27"/>
      <c r="AB24" s="27"/>
      <c r="AC24" t="str">
        <f t="array" ref="AC24">IF(AROW!$D$7="Smiths",IFERROR(INDEX(Delivery_Orders0[],SMALL(IF(AROW!$D$7="Smiths",ROW(Delivery_Orders0[Smiths Delivery Orders])-1),ROW(23:23)),1),""),IF(AROW!$D$7="Leidos",IFERROR(INDEX(Delivery_Orders0[],SMALL(IF(AROW!$D$7="Leidos",ROW(Delivery_Orders0[Leidos Delivery Orders])-1),ROW(23:23)),2),""),IF(AROW!$D$7="Smiths Type 2",IFERROR(INDEX(Delivery_Orders0[],SMALL(IF(AROW!$D$7="Smiths Type 2",ROW(Delivery_Orders0[Smiths Type 2 Delivery Orders])-1),ROW(23:23)),3),""),IF(AROW!$D$7="Reveal",IFERROR(INDEX(Delivery_Orders0[],SMALL(IF(AROW!$D$7="Reveal",ROW(Delivery_Orders0[Reveal Delivery Orders])-1),ROW(23:23)),4),""),""))))</f>
        <v/>
      </c>
      <c r="AD24" s="28" t="str">
        <f t="shared" si="1"/>
        <v/>
      </c>
    </row>
    <row r="25" spans="1:30" x14ac:dyDescent="0.25">
      <c r="A25" t="s">
        <v>11</v>
      </c>
      <c r="B25" t="s">
        <v>73</v>
      </c>
      <c r="C25" t="s">
        <v>44</v>
      </c>
      <c r="D25" t="s">
        <v>141</v>
      </c>
      <c r="E25" s="39" t="str">
        <f>CONCATENATE(Data_Sheet[[#This Row],[Name]], " (",Data_Sheet[[#This Row],[CLIN]],")")</f>
        <v>Secondary Viewing Station (SVS) (CLIN 0012)</v>
      </c>
      <c r="F25" t="s">
        <v>43</v>
      </c>
      <c r="G25" t="s">
        <v>14</v>
      </c>
      <c r="H25" s="77">
        <v>5500</v>
      </c>
      <c r="I25">
        <v>21</v>
      </c>
      <c r="J25">
        <f>Data_Sheet[[#This Row],[Lead Time]]+10</f>
        <v>31</v>
      </c>
      <c r="K25" s="11" t="s">
        <v>109</v>
      </c>
      <c r="Y25" s="27"/>
      <c r="Z25" s="27"/>
      <c r="AA25" s="27"/>
      <c r="AB25" s="27"/>
      <c r="AC25" t="str">
        <f t="array" ref="AC25">IF(AROW!$D$7="Smiths",IFERROR(INDEX(Delivery_Orders0[],SMALL(IF(AROW!$D$7="Smiths",ROW(Delivery_Orders0[Smiths Delivery Orders])-1),ROW(24:24)),1),""),IF(AROW!$D$7="Leidos",IFERROR(INDEX(Delivery_Orders0[],SMALL(IF(AROW!$D$7="Leidos",ROW(Delivery_Orders0[Leidos Delivery Orders])-1),ROW(24:24)),2),""),IF(AROW!$D$7="Smiths Type 2",IFERROR(INDEX(Delivery_Orders0[],SMALL(IF(AROW!$D$7="Smiths Type 2",ROW(Delivery_Orders0[Smiths Type 2 Delivery Orders])-1),ROW(24:24)),3),""),IF(AROW!$D$7="Reveal",IFERROR(INDEX(Delivery_Orders0[],SMALL(IF(AROW!$D$7="Reveal",ROW(Delivery_Orders0[Reveal Delivery Orders])-1),ROW(24:24)),4),""),""))))</f>
        <v/>
      </c>
      <c r="AD25" s="28" t="str">
        <f t="shared" si="1"/>
        <v/>
      </c>
    </row>
    <row r="26" spans="1:30" x14ac:dyDescent="0.25">
      <c r="A26" t="s">
        <v>11</v>
      </c>
      <c r="B26" t="s">
        <v>73</v>
      </c>
      <c r="C26" t="s">
        <v>45</v>
      </c>
      <c r="D26" t="s">
        <v>46</v>
      </c>
      <c r="E26" s="39" t="str">
        <f>CONCATENATE(Data_Sheet[[#This Row],[Name]], " (",Data_Sheet[[#This Row],[CLIN]],")")</f>
        <v>SVS Mounting Kits (CLIN 0013)</v>
      </c>
      <c r="F26" t="s">
        <v>43</v>
      </c>
      <c r="G26" t="s">
        <v>14</v>
      </c>
      <c r="H26" s="77">
        <v>698</v>
      </c>
      <c r="I26">
        <v>21</v>
      </c>
      <c r="J26">
        <f>Data_Sheet[[#This Row],[Lead Time]]+10</f>
        <v>31</v>
      </c>
      <c r="K26" s="11" t="s">
        <v>110</v>
      </c>
      <c r="Y26" s="27"/>
      <c r="Z26" s="27"/>
      <c r="AA26" s="27"/>
      <c r="AB26" s="27"/>
      <c r="AC26" t="str">
        <f t="array" ref="AC26">IF(AROW!$D$7="Smiths",IFERROR(INDEX(Delivery_Orders0[],SMALL(IF(AROW!$D$7="Smiths",ROW(Delivery_Orders0[Smiths Delivery Orders])-1),ROW(25:25)),1),""),IF(AROW!$D$7="Leidos",IFERROR(INDEX(Delivery_Orders0[],SMALL(IF(AROW!$D$7="Leidos",ROW(Delivery_Orders0[Leidos Delivery Orders])-1),ROW(25:25)),2),""),IF(AROW!$D$7="Smiths Type 2",IFERROR(INDEX(Delivery_Orders0[],SMALL(IF(AROW!$D$7="Smiths Type 2",ROW(Delivery_Orders0[Smiths Type 2 Delivery Orders])-1),ROW(25:25)),3),""),IF(AROW!$D$7="Reveal",IFERROR(INDEX(Delivery_Orders0[],SMALL(IF(AROW!$D$7="Reveal",ROW(Delivery_Orders0[Reveal Delivery Orders])-1),ROW(25:25)),4),""),""))))</f>
        <v/>
      </c>
      <c r="AD26" s="28" t="str">
        <f t="shared" si="1"/>
        <v/>
      </c>
    </row>
    <row r="27" spans="1:30" x14ac:dyDescent="0.25">
      <c r="A27" t="s">
        <v>11</v>
      </c>
      <c r="B27" t="s">
        <v>73</v>
      </c>
      <c r="C27" t="s">
        <v>47</v>
      </c>
      <c r="D27" t="s">
        <v>48</v>
      </c>
      <c r="E27" s="39" t="str">
        <f>CONCATENATE(Data_Sheet[[#This Row],[Name]], " (",Data_Sheet[[#This Row],[CLIN]],")")</f>
        <v>Bar Code Readers (CLIN 0014)</v>
      </c>
      <c r="F27" t="s">
        <v>43</v>
      </c>
      <c r="G27" t="s">
        <v>14</v>
      </c>
      <c r="H27" s="77">
        <v>704</v>
      </c>
      <c r="I27">
        <v>21</v>
      </c>
      <c r="J27">
        <f>Data_Sheet[[#This Row],[Lead Time]]+10</f>
        <v>31</v>
      </c>
      <c r="K27" s="11" t="s">
        <v>218</v>
      </c>
      <c r="Y27" s="27"/>
      <c r="Z27" s="27"/>
      <c r="AA27" s="27"/>
      <c r="AB27" s="27"/>
      <c r="AC27" t="str">
        <f t="array" ref="AC27">IF(AROW!$D$7="Smiths",IFERROR(INDEX(Delivery_Orders0[],SMALL(IF(AROW!$D$7="Smiths",ROW(Delivery_Orders0[Smiths Delivery Orders])-1),ROW(26:26)),1),""),IF(AROW!$D$7="Leidos",IFERROR(INDEX(Delivery_Orders0[],SMALL(IF(AROW!$D$7="Leidos",ROW(Delivery_Orders0[Leidos Delivery Orders])-1),ROW(26:26)),2),""),IF(AROW!$D$7="Smiths Type 2",IFERROR(INDEX(Delivery_Orders0[],SMALL(IF(AROW!$D$7="Smiths Type 2",ROW(Delivery_Orders0[Smiths Type 2 Delivery Orders])-1),ROW(26:26)),3),""),IF(AROW!$D$7="Reveal",IFERROR(INDEX(Delivery_Orders0[],SMALL(IF(AROW!$D$7="Reveal",ROW(Delivery_Orders0[Reveal Delivery Orders])-1),ROW(26:26)),4),""),""))))</f>
        <v/>
      </c>
      <c r="AD27" s="28" t="str">
        <f t="shared" si="1"/>
        <v/>
      </c>
    </row>
    <row r="28" spans="1:30" x14ac:dyDescent="0.25">
      <c r="A28" t="s">
        <v>11</v>
      </c>
      <c r="B28" t="s">
        <v>73</v>
      </c>
      <c r="C28" t="s">
        <v>49</v>
      </c>
      <c r="D28" t="s">
        <v>50</v>
      </c>
      <c r="E28" s="39" t="str">
        <f>CONCATENATE(Data_Sheet[[#This Row],[Name]], " (",Data_Sheet[[#This Row],[CLIN]],")")</f>
        <v>Printers (CLIN 0015)</v>
      </c>
      <c r="F28" t="s">
        <v>43</v>
      </c>
      <c r="G28" t="s">
        <v>14</v>
      </c>
      <c r="H28" s="77">
        <v>602</v>
      </c>
      <c r="I28">
        <v>28</v>
      </c>
      <c r="J28">
        <f>Data_Sheet[[#This Row],[Lead Time]]+10</f>
        <v>38</v>
      </c>
      <c r="K28" s="11" t="s">
        <v>219</v>
      </c>
      <c r="Y28" s="27"/>
      <c r="Z28" s="27"/>
      <c r="AA28" s="27"/>
      <c r="AB28" s="27"/>
      <c r="AC28" t="str">
        <f t="array" ref="AC28">IF(AROW!$D$7="Smiths",IFERROR(INDEX(Delivery_Orders0[],SMALL(IF(AROW!$D$7="Smiths",ROW(Delivery_Orders0[Smiths Delivery Orders])-1),ROW(27:27)),1),""),IF(AROW!$D$7="Leidos",IFERROR(INDEX(Delivery_Orders0[],SMALL(IF(AROW!$D$7="Leidos",ROW(Delivery_Orders0[Leidos Delivery Orders])-1),ROW(27:27)),2),""),IF(AROW!$D$7="Smiths Type 2",IFERROR(INDEX(Delivery_Orders0[],SMALL(IF(AROW!$D$7="Smiths Type 2",ROW(Delivery_Orders0[Smiths Type 2 Delivery Orders])-1),ROW(27:27)),3),""),IF(AROW!$D$7="Reveal",IFERROR(INDEX(Delivery_Orders0[],SMALL(IF(AROW!$D$7="Reveal",ROW(Delivery_Orders0[Reveal Delivery Orders])-1),ROW(27:27)),4),""),""))))</f>
        <v/>
      </c>
      <c r="AD28" s="28" t="str">
        <f t="shared" si="1"/>
        <v/>
      </c>
    </row>
    <row r="29" spans="1:30" x14ac:dyDescent="0.25">
      <c r="A29" t="s">
        <v>11</v>
      </c>
      <c r="B29" t="s">
        <v>73</v>
      </c>
      <c r="C29" t="s">
        <v>52</v>
      </c>
      <c r="D29" t="s">
        <v>184</v>
      </c>
      <c r="E29" s="39" t="str">
        <f>CONCATENATE(Data_Sheet[[#This Row],[Name]], " (",Data_Sheet[[#This Row],[CLIN]],")")</f>
        <v>Network Equipment Package (1-3 unit network) (CLIN 0016A)</v>
      </c>
      <c r="F29" t="s">
        <v>43</v>
      </c>
      <c r="G29" t="s">
        <v>14</v>
      </c>
      <c r="H29" s="77">
        <v>127540</v>
      </c>
      <c r="I29">
        <v>98</v>
      </c>
      <c r="J29">
        <f>Data_Sheet[[#This Row],[Lead Time]]+10</f>
        <v>108</v>
      </c>
      <c r="K29" s="11" t="s">
        <v>220</v>
      </c>
      <c r="AC29" t="str">
        <f t="array" ref="AC29">IF(AROW!$D$7="Smiths",IFERROR(INDEX(Delivery_Orders0[],SMALL(IF(AROW!$D$7="Smiths",ROW(Delivery_Orders0[Smiths Delivery Orders])-1),ROW(28:28)),1),""),IF(AROW!$D$7="Leidos",IFERROR(INDEX(Delivery_Orders0[],SMALL(IF(AROW!$D$7="Leidos",ROW(Delivery_Orders0[Leidos Delivery Orders])-1),ROW(28:28)),2),""),IF(AROW!$D$7="Smiths Type 2",IFERROR(INDEX(Delivery_Orders0[],SMALL(IF(AROW!$D$7="Smiths Type 2",ROW(Delivery_Orders0[Smiths Type 2 Delivery Orders])-1),ROW(28:28)),3),""),IF(AROW!$D$7="Reveal",IFERROR(INDEX(Delivery_Orders0[],SMALL(IF(AROW!$D$7="Reveal",ROW(Delivery_Orders0[Reveal Delivery Orders])-1),ROW(28:28)),4),""),""))))</f>
        <v/>
      </c>
    </row>
    <row r="30" spans="1:30" x14ac:dyDescent="0.25">
      <c r="A30" t="s">
        <v>11</v>
      </c>
      <c r="B30" t="s">
        <v>73</v>
      </c>
      <c r="C30" t="s">
        <v>53</v>
      </c>
      <c r="D30" t="s">
        <v>185</v>
      </c>
      <c r="E30" s="39" t="str">
        <f>CONCATENATE(Data_Sheet[[#This Row],[Name]], " (",Data_Sheet[[#This Row],[CLIN]],")")</f>
        <v>Network Equipment Package (4-6 unit network) (CLIN 0016B)</v>
      </c>
      <c r="F30" t="s">
        <v>43</v>
      </c>
      <c r="G30" t="s">
        <v>14</v>
      </c>
      <c r="H30" s="77">
        <v>179870</v>
      </c>
      <c r="I30">
        <v>98</v>
      </c>
      <c r="J30">
        <f>Data_Sheet[[#This Row],[Lead Time]]+10</f>
        <v>108</v>
      </c>
      <c r="K30" s="11" t="s">
        <v>111</v>
      </c>
      <c r="AC30" t="str">
        <f t="array" ref="AC30">IF(AROW!$D$7="Smiths",IFERROR(INDEX(Delivery_Orders0[],SMALL(IF(AROW!$D$7="Smiths",ROW(Delivery_Orders0[Smiths Delivery Orders])-1),ROW(29:29)),1),""),IF(AROW!$D$7="Leidos",IFERROR(INDEX(Delivery_Orders0[],SMALL(IF(AROW!$D$7="Leidos",ROW(Delivery_Orders0[Leidos Delivery Orders])-1),ROW(29:29)),2),""),IF(AROW!$D$7="Smiths Type 2",IFERROR(INDEX(Delivery_Orders0[],SMALL(IF(AROW!$D$7="Smiths Type 2",ROW(Delivery_Orders0[Smiths Type 2 Delivery Orders])-1),ROW(29:29)),3),""),IF(AROW!$D$7="Reveal",IFERROR(INDEX(Delivery_Orders0[],SMALL(IF(AROW!$D$7="Reveal",ROW(Delivery_Orders0[Reveal Delivery Orders])-1),ROW(29:29)),4),""),""))))</f>
        <v/>
      </c>
    </row>
    <row r="31" spans="1:30" x14ac:dyDescent="0.25">
      <c r="A31" t="s">
        <v>11</v>
      </c>
      <c r="B31" t="s">
        <v>73</v>
      </c>
      <c r="C31" t="s">
        <v>54</v>
      </c>
      <c r="D31" t="s">
        <v>187</v>
      </c>
      <c r="E31" s="39" t="str">
        <f>CONCATENATE(Data_Sheet[[#This Row],[Name]], " (",Data_Sheet[[#This Row],[CLIN]],")")</f>
        <v>Network Equipment Package  (7+ unit network) (CLIN 0016C)</v>
      </c>
      <c r="F31" t="s">
        <v>43</v>
      </c>
      <c r="G31" t="s">
        <v>14</v>
      </c>
      <c r="H31" s="77">
        <v>313280</v>
      </c>
      <c r="I31">
        <v>98</v>
      </c>
      <c r="J31">
        <f>Data_Sheet[[#This Row],[Lead Time]]+10</f>
        <v>108</v>
      </c>
      <c r="K31" s="11" t="s">
        <v>112</v>
      </c>
      <c r="AC31" t="str">
        <f t="array" ref="AC31">IF(AROW!$D$7="Smiths",IFERROR(INDEX(Delivery_Orders0[],SMALL(IF(AROW!$D$7="Smiths",ROW(Delivery_Orders0[Smiths Delivery Orders])-1),ROW(30:30)),1),""),IF(AROW!$D$7="Leidos",IFERROR(INDEX(Delivery_Orders0[],SMALL(IF(AROW!$D$7="Leidos",ROW(Delivery_Orders0[Leidos Delivery Orders])-1),ROW(30:30)),2),""),IF(AROW!$D$7="Smiths Type 2",IFERROR(INDEX(Delivery_Orders0[],SMALL(IF(AROW!$D$7="Smiths Type 2",ROW(Delivery_Orders0[Smiths Type 2 Delivery Orders])-1),ROW(30:30)),3),""),IF(AROW!$D$7="Reveal",IFERROR(INDEX(Delivery_Orders0[],SMALL(IF(AROW!$D$7="Reveal",ROW(Delivery_Orders0[Reveal Delivery Orders])-1),ROW(30:30)),4),""),""))))</f>
        <v/>
      </c>
    </row>
    <row r="32" spans="1:30" x14ac:dyDescent="0.25">
      <c r="A32" t="s">
        <v>11</v>
      </c>
      <c r="B32" t="s">
        <v>73</v>
      </c>
      <c r="C32" t="s">
        <v>55</v>
      </c>
      <c r="D32" t="s">
        <v>186</v>
      </c>
      <c r="E32" s="39" t="str">
        <f>CONCATENATE(Data_Sheet[[#This Row],[Name]], " (",Data_Sheet[[#This Row],[CLIN]],")")</f>
        <v>State of Washington - Network Equipment Package w/ sales/use tax (1-3 unit network) (CLIN 0016AA)</v>
      </c>
      <c r="F32" t="s">
        <v>43</v>
      </c>
      <c r="G32" t="s">
        <v>14</v>
      </c>
      <c r="H32" s="77">
        <v>140134</v>
      </c>
      <c r="I32">
        <v>98</v>
      </c>
      <c r="J32">
        <f>Data_Sheet[[#This Row],[Lead Time]]+10</f>
        <v>108</v>
      </c>
      <c r="K32" s="11" t="s">
        <v>221</v>
      </c>
      <c r="AC32" t="str">
        <f t="array" ref="AC32">IF(AROW!$D$7="Smiths",IFERROR(INDEX(Delivery_Orders0[],SMALL(IF(AROW!$D$7="Smiths",ROW(Delivery_Orders0[Smiths Delivery Orders])-1),ROW(31:31)),1),""),IF(AROW!$D$7="Leidos",IFERROR(INDEX(Delivery_Orders0[],SMALL(IF(AROW!$D$7="Leidos",ROW(Delivery_Orders0[Leidos Delivery Orders])-1),ROW(31:31)),2),""),IF(AROW!$D$7="Smiths Type 2",IFERROR(INDEX(Delivery_Orders0[],SMALL(IF(AROW!$D$7="Smiths Type 2",ROW(Delivery_Orders0[Smiths Type 2 Delivery Orders])-1),ROW(31:31)),3),""),IF(AROW!$D$7="Reveal",IFERROR(INDEX(Delivery_Orders0[],SMALL(IF(AROW!$D$7="Reveal",ROW(Delivery_Orders0[Reveal Delivery Orders])-1),ROW(31:31)),4),""),""))))</f>
        <v/>
      </c>
    </row>
    <row r="33" spans="1:11" x14ac:dyDescent="0.25">
      <c r="A33" t="s">
        <v>11</v>
      </c>
      <c r="B33" t="s">
        <v>73</v>
      </c>
      <c r="C33" t="s">
        <v>56</v>
      </c>
      <c r="D33" t="s">
        <v>188</v>
      </c>
      <c r="E33" s="39" t="str">
        <f>CONCATENATE(Data_Sheet[[#This Row],[Name]], " (",Data_Sheet[[#This Row],[CLIN]],")")</f>
        <v>State of Washington - Network Equipment Package w/ sales/use tax (4-6 unit network) (CLIN 0016BB)</v>
      </c>
      <c r="F33" t="s">
        <v>43</v>
      </c>
      <c r="G33" t="s">
        <v>14</v>
      </c>
      <c r="H33" s="77">
        <v>197540</v>
      </c>
      <c r="I33">
        <v>98</v>
      </c>
      <c r="J33">
        <f>Data_Sheet[[#This Row],[Lead Time]]+10</f>
        <v>108</v>
      </c>
      <c r="K33" s="11" t="s">
        <v>222</v>
      </c>
    </row>
    <row r="34" spans="1:11" x14ac:dyDescent="0.25">
      <c r="A34" t="s">
        <v>11</v>
      </c>
      <c r="B34" t="s">
        <v>73</v>
      </c>
      <c r="C34" t="s">
        <v>57</v>
      </c>
      <c r="D34" t="s">
        <v>189</v>
      </c>
      <c r="E34" s="39" t="str">
        <f>CONCATENATE(Data_Sheet[[#This Row],[Name]], " (",Data_Sheet[[#This Row],[CLIN]],")")</f>
        <v>State of Washington Network Equipment Package w/ sales/use tax (7+ unit network) (CLIN 0016CC)</v>
      </c>
      <c r="F34" t="s">
        <v>43</v>
      </c>
      <c r="G34" t="s">
        <v>14</v>
      </c>
      <c r="H34" s="77">
        <v>343570</v>
      </c>
      <c r="I34">
        <v>98</v>
      </c>
      <c r="J34">
        <f>Data_Sheet[[#This Row],[Lead Time]]+10</f>
        <v>108</v>
      </c>
      <c r="K34" s="11" t="s">
        <v>223</v>
      </c>
    </row>
    <row r="35" spans="1:11" x14ac:dyDescent="0.25">
      <c r="A35" t="s">
        <v>11</v>
      </c>
      <c r="B35" t="s">
        <v>73</v>
      </c>
      <c r="C35" t="s">
        <v>58</v>
      </c>
      <c r="D35" t="s">
        <v>59</v>
      </c>
      <c r="E35" s="39" t="str">
        <f>CONCATENATE(Data_Sheet[[#This Row],[Name]], " (",Data_Sheet[[#This Row],[CLIN]],")")</f>
        <v>Master Control Station  (CLIN 0017)</v>
      </c>
      <c r="F35" t="s">
        <v>43</v>
      </c>
      <c r="G35" t="s">
        <v>14</v>
      </c>
      <c r="H35" s="77">
        <v>4504</v>
      </c>
      <c r="I35">
        <v>98</v>
      </c>
      <c r="J35">
        <f>Data_Sheet[[#This Row],[Lead Time]]+10</f>
        <v>108</v>
      </c>
      <c r="K35" s="11" t="s">
        <v>113</v>
      </c>
    </row>
    <row r="36" spans="1:11" x14ac:dyDescent="0.25">
      <c r="A36" t="s">
        <v>11</v>
      </c>
      <c r="B36" t="s">
        <v>73</v>
      </c>
      <c r="C36" t="s">
        <v>61</v>
      </c>
      <c r="D36" t="s">
        <v>1174</v>
      </c>
      <c r="E36" s="39" t="str">
        <f>CONCATENATE(Data_Sheet[[#This Row],[Name]], " (",Data_Sheet[[#This Row],[CLIN]],")")</f>
        <v>Uninterruptable Power Supply (UPS) (Q-LS120 kVA) (CLIN 0018A)</v>
      </c>
      <c r="F36" t="s">
        <v>43</v>
      </c>
      <c r="G36" t="s">
        <v>14</v>
      </c>
      <c r="H36" s="77">
        <v>139822</v>
      </c>
      <c r="I36">
        <v>98</v>
      </c>
      <c r="J36">
        <f>Data_Sheet[[#This Row],[Lead Time]]+10</f>
        <v>108</v>
      </c>
      <c r="K36" s="11" t="s">
        <v>224</v>
      </c>
    </row>
    <row r="37" spans="1:11" x14ac:dyDescent="0.25">
      <c r="A37" t="s">
        <v>11</v>
      </c>
      <c r="B37" t="s">
        <v>73</v>
      </c>
      <c r="C37" t="s">
        <v>62</v>
      </c>
      <c r="D37" t="s">
        <v>1175</v>
      </c>
      <c r="E37" s="39" t="str">
        <f>CONCATENATE(Data_Sheet[[#This Row],[Name]], " (",Data_Sheet[[#This Row],[CLIN]],")")</f>
        <v>Uninterruptable Power Supply (UPS) (Q-LS240 kVA) (CLIN 0018B)</v>
      </c>
      <c r="F37" t="s">
        <v>43</v>
      </c>
      <c r="G37" t="s">
        <v>14</v>
      </c>
      <c r="H37" s="77">
        <v>331150</v>
      </c>
      <c r="I37">
        <v>98</v>
      </c>
      <c r="J37">
        <f>Data_Sheet[[#This Row],[Lead Time]]+10</f>
        <v>108</v>
      </c>
      <c r="K37" s="11" t="s">
        <v>225</v>
      </c>
    </row>
    <row r="38" spans="1:11" x14ac:dyDescent="0.25">
      <c r="A38" t="s">
        <v>11</v>
      </c>
      <c r="B38" t="s">
        <v>73</v>
      </c>
      <c r="C38" t="s">
        <v>63</v>
      </c>
      <c r="D38" t="s">
        <v>1176</v>
      </c>
      <c r="E38" s="39" t="str">
        <f>CONCATENATE(Data_Sheet[[#This Row],[Name]], " (",Data_Sheet[[#This Row],[CLIN]],")")</f>
        <v>Uninterruptable Power Supply (UPS) (Q-LS400 kVA) (CLIN 0018C)</v>
      </c>
      <c r="F38" t="s">
        <v>43</v>
      </c>
      <c r="G38" t="s">
        <v>14</v>
      </c>
      <c r="H38" s="77">
        <v>583456</v>
      </c>
      <c r="I38">
        <v>98</v>
      </c>
      <c r="J38">
        <f>Data_Sheet[[#This Row],[Lead Time]]+10</f>
        <v>108</v>
      </c>
      <c r="K38" s="11" t="s">
        <v>114</v>
      </c>
    </row>
    <row r="39" spans="1:11" x14ac:dyDescent="0.25">
      <c r="A39" t="s">
        <v>11</v>
      </c>
      <c r="B39" t="s">
        <v>73</v>
      </c>
      <c r="C39" t="s">
        <v>64</v>
      </c>
      <c r="D39" t="s">
        <v>1177</v>
      </c>
      <c r="E39" s="39" t="str">
        <f>CONCATENATE(Data_Sheet[[#This Row],[Name]], " (",Data_Sheet[[#This Row],[CLIN]],")")</f>
        <v>Uninterruptable Power Supply (UPS) (Mix of multiple UPS) (CLIN 0018D)</v>
      </c>
      <c r="F39" t="s">
        <v>43</v>
      </c>
      <c r="G39" t="s">
        <v>14</v>
      </c>
      <c r="H39" s="77">
        <v>1066954</v>
      </c>
      <c r="I39">
        <v>98</v>
      </c>
      <c r="J39">
        <f>Data_Sheet[[#This Row],[Lead Time]]+10</f>
        <v>108</v>
      </c>
      <c r="K39" s="11" t="s">
        <v>226</v>
      </c>
    </row>
    <row r="40" spans="1:11" x14ac:dyDescent="0.25">
      <c r="A40" t="s">
        <v>11</v>
      </c>
      <c r="B40" t="s">
        <v>73</v>
      </c>
      <c r="C40" t="s">
        <v>65</v>
      </c>
      <c r="D40" t="s">
        <v>66</v>
      </c>
      <c r="E40" s="39" t="str">
        <f>CONCATENATE(Data_Sheet[[#This Row],[Name]], " (",Data_Sheet[[#This Row],[CLIN]],")")</f>
        <v>Corrective Maintenance/Preventative Maintenance (CM/PM) Warranty (CLIN 0019)</v>
      </c>
      <c r="F40" t="s">
        <v>33</v>
      </c>
      <c r="G40" t="s">
        <v>14</v>
      </c>
      <c r="H40" s="77">
        <v>219314</v>
      </c>
      <c r="I40">
        <v>98</v>
      </c>
      <c r="J40">
        <f>Data_Sheet[[#This Row],[Lead Time]]+10</f>
        <v>108</v>
      </c>
      <c r="K40" s="11" t="s">
        <v>115</v>
      </c>
    </row>
    <row r="41" spans="1:11" x14ac:dyDescent="0.25">
      <c r="A41" t="s">
        <v>11</v>
      </c>
      <c r="B41" t="s">
        <v>73</v>
      </c>
      <c r="C41" t="s">
        <v>67</v>
      </c>
      <c r="D41" t="s">
        <v>68</v>
      </c>
      <c r="E41" s="39" t="str">
        <f>CONCATENATE(Data_Sheet[[#This Row],[Name]], " (",Data_Sheet[[#This Row],[CLIN]],")")</f>
        <v>Installation, Integration, Networking and Testing Services - Surge Support (CLIN 0020)</v>
      </c>
      <c r="F41" t="s">
        <v>17</v>
      </c>
      <c r="G41" t="s">
        <v>14</v>
      </c>
      <c r="H41" s="77" t="s">
        <v>77</v>
      </c>
      <c r="I41">
        <v>98</v>
      </c>
      <c r="J41">
        <f>Data_Sheet[[#This Row],[Lead Time]]+10</f>
        <v>108</v>
      </c>
      <c r="K41" s="11" t="s">
        <v>116</v>
      </c>
    </row>
    <row r="42" spans="1:11" x14ac:dyDescent="0.25">
      <c r="A42" t="s">
        <v>11</v>
      </c>
      <c r="B42" t="s">
        <v>73</v>
      </c>
      <c r="C42" t="s">
        <v>69</v>
      </c>
      <c r="D42" t="s">
        <v>70</v>
      </c>
      <c r="E42" s="39" t="str">
        <f>CONCATENATE(Data_Sheet[[#This Row],[Name]], " (",Data_Sheet[[#This Row],[CLIN]],")")</f>
        <v>Seismic Anchors (CLIN 0021)</v>
      </c>
      <c r="F42" t="s">
        <v>43</v>
      </c>
      <c r="G42" t="s">
        <v>14</v>
      </c>
      <c r="H42" s="77">
        <v>2530</v>
      </c>
      <c r="I42">
        <v>35</v>
      </c>
      <c r="J42">
        <f>Data_Sheet[[#This Row],[Lead Time]]+10</f>
        <v>45</v>
      </c>
      <c r="K42" s="11" t="s">
        <v>117</v>
      </c>
    </row>
    <row r="43" spans="1:11" x14ac:dyDescent="0.25">
      <c r="A43" t="s">
        <v>11</v>
      </c>
      <c r="B43" t="s">
        <v>73</v>
      </c>
      <c r="C43" t="s">
        <v>71</v>
      </c>
      <c r="D43" t="s">
        <v>72</v>
      </c>
      <c r="E43" s="39" t="str">
        <f>CONCATENATE(Data_Sheet[[#This Row],[Name]], " (",Data_Sheet[[#This Row],[CLIN]],")")</f>
        <v>Training Simulator (CLIN 0022)</v>
      </c>
      <c r="F43" t="s">
        <v>43</v>
      </c>
      <c r="G43" t="s">
        <v>14</v>
      </c>
      <c r="H43" s="77">
        <v>22238</v>
      </c>
      <c r="I43">
        <v>98</v>
      </c>
      <c r="J43">
        <f>Data_Sheet[[#This Row],[Lead Time]]+10</f>
        <v>108</v>
      </c>
      <c r="K43" s="11" t="s">
        <v>118</v>
      </c>
    </row>
    <row r="44" spans="1:11" x14ac:dyDescent="0.25">
      <c r="A44" t="s">
        <v>11</v>
      </c>
      <c r="B44" t="s">
        <v>1138</v>
      </c>
      <c r="C44" t="s">
        <v>12</v>
      </c>
      <c r="D44" s="34" t="s">
        <v>922</v>
      </c>
      <c r="E44" s="84" t="s">
        <v>892</v>
      </c>
      <c r="F44" t="s">
        <v>13</v>
      </c>
      <c r="G44" t="s">
        <v>935</v>
      </c>
      <c r="H44" s="77" t="s">
        <v>76</v>
      </c>
      <c r="I44">
        <v>90</v>
      </c>
      <c r="J44">
        <f>Data_Sheet[[#This Row],[Lead Time]]+10</f>
        <v>100</v>
      </c>
      <c r="K44" s="11" t="s">
        <v>227</v>
      </c>
    </row>
    <row r="45" spans="1:11" x14ac:dyDescent="0.25">
      <c r="A45" t="s">
        <v>11</v>
      </c>
      <c r="B45" t="s">
        <v>1138</v>
      </c>
      <c r="C45" s="6" t="s">
        <v>15</v>
      </c>
      <c r="D45" t="s">
        <v>16</v>
      </c>
      <c r="E45" s="39" t="s">
        <v>157</v>
      </c>
      <c r="F45" t="s">
        <v>17</v>
      </c>
      <c r="G45" t="s">
        <v>935</v>
      </c>
      <c r="H45" s="77">
        <v>16872</v>
      </c>
      <c r="I45">
        <v>90</v>
      </c>
      <c r="J45">
        <f>Data_Sheet[[#This Row],[Lead Time]]+10</f>
        <v>100</v>
      </c>
      <c r="K45" s="11" t="s">
        <v>119</v>
      </c>
    </row>
    <row r="46" spans="1:11" x14ac:dyDescent="0.25">
      <c r="A46" t="s">
        <v>11</v>
      </c>
      <c r="B46" t="s">
        <v>1138</v>
      </c>
      <c r="C46" t="s">
        <v>18</v>
      </c>
      <c r="D46" t="s">
        <v>19</v>
      </c>
      <c r="E46" s="39" t="s">
        <v>158</v>
      </c>
      <c r="F46" t="s">
        <v>17</v>
      </c>
      <c r="G46" t="s">
        <v>935</v>
      </c>
      <c r="H46" s="77">
        <v>16032</v>
      </c>
      <c r="I46">
        <v>90</v>
      </c>
      <c r="J46">
        <f>Data_Sheet[[#This Row],[Lead Time]]+10</f>
        <v>100</v>
      </c>
      <c r="K46" s="11" t="s">
        <v>228</v>
      </c>
    </row>
    <row r="47" spans="1:11" x14ac:dyDescent="0.25">
      <c r="A47" t="s">
        <v>11</v>
      </c>
      <c r="B47" t="s">
        <v>1138</v>
      </c>
      <c r="C47" t="s">
        <v>20</v>
      </c>
      <c r="D47" t="s">
        <v>21</v>
      </c>
      <c r="E47" s="39" t="s">
        <v>159</v>
      </c>
      <c r="F47" t="s">
        <v>17</v>
      </c>
      <c r="G47" t="s">
        <v>935</v>
      </c>
      <c r="H47" s="77">
        <v>9400</v>
      </c>
      <c r="I47">
        <v>90</v>
      </c>
      <c r="J47">
        <f>Data_Sheet[[#This Row],[Lead Time]]+10</f>
        <v>100</v>
      </c>
      <c r="K47" s="11" t="s">
        <v>120</v>
      </c>
    </row>
    <row r="48" spans="1:11" x14ac:dyDescent="0.25">
      <c r="A48" t="s">
        <v>11</v>
      </c>
      <c r="B48" t="s">
        <v>1138</v>
      </c>
      <c r="C48" t="s">
        <v>22</v>
      </c>
      <c r="D48" t="s">
        <v>23</v>
      </c>
      <c r="E48" s="39" t="s">
        <v>160</v>
      </c>
      <c r="F48" t="s">
        <v>17</v>
      </c>
      <c r="G48" t="s">
        <v>935</v>
      </c>
      <c r="H48" s="77">
        <v>57283.63</v>
      </c>
      <c r="I48">
        <v>90</v>
      </c>
      <c r="J48">
        <f>Data_Sheet[[#This Row],[Lead Time]]+10</f>
        <v>100</v>
      </c>
      <c r="K48" s="11" t="s">
        <v>229</v>
      </c>
    </row>
    <row r="49" spans="1:11" x14ac:dyDescent="0.25">
      <c r="A49" t="s">
        <v>11</v>
      </c>
      <c r="B49" t="s">
        <v>1138</v>
      </c>
      <c r="C49" t="s">
        <v>24</v>
      </c>
      <c r="D49" t="s">
        <v>25</v>
      </c>
      <c r="E49" s="39" t="s">
        <v>161</v>
      </c>
      <c r="F49" t="s">
        <v>17</v>
      </c>
      <c r="G49" t="s">
        <v>935</v>
      </c>
      <c r="H49" s="77">
        <v>24641.75</v>
      </c>
      <c r="I49">
        <v>90</v>
      </c>
      <c r="J49">
        <f>Data_Sheet[[#This Row],[Lead Time]]+10</f>
        <v>100</v>
      </c>
      <c r="K49" s="11" t="s">
        <v>121</v>
      </c>
    </row>
    <row r="50" spans="1:11" x14ac:dyDescent="0.25">
      <c r="A50" t="s">
        <v>11</v>
      </c>
      <c r="B50" t="s">
        <v>1138</v>
      </c>
      <c r="C50" t="s">
        <v>26</v>
      </c>
      <c r="D50" t="s">
        <v>27</v>
      </c>
      <c r="E50" s="39" t="s">
        <v>162</v>
      </c>
      <c r="F50" t="s">
        <v>17</v>
      </c>
      <c r="G50" t="s">
        <v>935</v>
      </c>
      <c r="H50" s="77">
        <v>14500</v>
      </c>
      <c r="I50">
        <v>90</v>
      </c>
      <c r="J50">
        <f>Data_Sheet[[#This Row],[Lead Time]]+10</f>
        <v>100</v>
      </c>
      <c r="K50" s="11" t="s">
        <v>230</v>
      </c>
    </row>
    <row r="51" spans="1:11" x14ac:dyDescent="0.25">
      <c r="A51" t="s">
        <v>11</v>
      </c>
      <c r="B51" t="s">
        <v>1138</v>
      </c>
      <c r="C51" t="s">
        <v>28</v>
      </c>
      <c r="D51" t="s">
        <v>29</v>
      </c>
      <c r="E51" s="39" t="s">
        <v>163</v>
      </c>
      <c r="F51" t="s">
        <v>17</v>
      </c>
      <c r="G51" t="s">
        <v>935</v>
      </c>
      <c r="H51" s="77">
        <v>4212.51</v>
      </c>
      <c r="I51">
        <v>90</v>
      </c>
      <c r="J51">
        <f>Data_Sheet[[#This Row],[Lead Time]]+10</f>
        <v>100</v>
      </c>
      <c r="K51" s="11" t="s">
        <v>231</v>
      </c>
    </row>
    <row r="52" spans="1:11" x14ac:dyDescent="0.25">
      <c r="A52" t="s">
        <v>11</v>
      </c>
      <c r="B52" t="s">
        <v>1138</v>
      </c>
      <c r="C52" t="s">
        <v>30</v>
      </c>
      <c r="D52" t="s">
        <v>31</v>
      </c>
      <c r="E52" s="39" t="s">
        <v>164</v>
      </c>
      <c r="F52" t="s">
        <v>17</v>
      </c>
      <c r="G52" t="s">
        <v>935</v>
      </c>
      <c r="H52" s="77">
        <v>7166</v>
      </c>
      <c r="I52">
        <v>90</v>
      </c>
      <c r="J52">
        <f>Data_Sheet[[#This Row],[Lead Time]]+10</f>
        <v>100</v>
      </c>
      <c r="K52" s="11" t="s">
        <v>122</v>
      </c>
    </row>
    <row r="53" spans="1:11" x14ac:dyDescent="0.25">
      <c r="A53" t="s">
        <v>11</v>
      </c>
      <c r="B53" t="s">
        <v>1138</v>
      </c>
      <c r="C53" t="s">
        <v>34</v>
      </c>
      <c r="D53" t="s">
        <v>923</v>
      </c>
      <c r="E53" s="39" t="s">
        <v>924</v>
      </c>
      <c r="F53" t="s">
        <v>33</v>
      </c>
      <c r="G53" t="s">
        <v>935</v>
      </c>
      <c r="H53" s="77">
        <v>859384</v>
      </c>
      <c r="I53">
        <v>168</v>
      </c>
      <c r="J53">
        <f>Data_Sheet[[#This Row],[Lead Time]]+10</f>
        <v>178</v>
      </c>
      <c r="K53" s="11" t="s">
        <v>123</v>
      </c>
    </row>
    <row r="54" spans="1:11" x14ac:dyDescent="0.25">
      <c r="A54" t="s">
        <v>11</v>
      </c>
      <c r="B54" t="s">
        <v>1138</v>
      </c>
      <c r="C54" t="s">
        <v>35</v>
      </c>
      <c r="D54" t="s">
        <v>925</v>
      </c>
      <c r="E54" s="39" t="s">
        <v>926</v>
      </c>
      <c r="F54" t="s">
        <v>33</v>
      </c>
      <c r="G54" t="s">
        <v>935</v>
      </c>
      <c r="H54" s="77">
        <v>839384</v>
      </c>
      <c r="I54">
        <v>168</v>
      </c>
      <c r="J54">
        <f>Data_Sheet[[#This Row],[Lead Time]]+10</f>
        <v>178</v>
      </c>
      <c r="K54" s="11" t="s">
        <v>232</v>
      </c>
    </row>
    <row r="55" spans="1:11" x14ac:dyDescent="0.25">
      <c r="A55" t="s">
        <v>11</v>
      </c>
      <c r="B55" t="s">
        <v>1138</v>
      </c>
      <c r="C55" t="s">
        <v>36</v>
      </c>
      <c r="D55" t="s">
        <v>927</v>
      </c>
      <c r="E55" s="39" t="s">
        <v>928</v>
      </c>
      <c r="F55" t="s">
        <v>33</v>
      </c>
      <c r="G55" t="s">
        <v>935</v>
      </c>
      <c r="H55" s="77">
        <v>824384</v>
      </c>
      <c r="I55">
        <v>168</v>
      </c>
      <c r="J55">
        <f>Data_Sheet[[#This Row],[Lead Time]]+10</f>
        <v>178</v>
      </c>
      <c r="K55" s="11" t="s">
        <v>233</v>
      </c>
    </row>
    <row r="56" spans="1:11" x14ac:dyDescent="0.25">
      <c r="A56" t="s">
        <v>11</v>
      </c>
      <c r="B56" t="s">
        <v>1138</v>
      </c>
      <c r="C56" t="s">
        <v>75</v>
      </c>
      <c r="D56" t="s">
        <v>929</v>
      </c>
      <c r="E56" s="39" t="s">
        <v>930</v>
      </c>
      <c r="F56" t="s">
        <v>33</v>
      </c>
      <c r="G56" t="s">
        <v>935</v>
      </c>
      <c r="H56" s="77">
        <v>805384</v>
      </c>
      <c r="I56">
        <v>168</v>
      </c>
      <c r="J56">
        <f>Data_Sheet[[#This Row],[Lead Time]]+10</f>
        <v>178</v>
      </c>
      <c r="K56" s="11" t="s">
        <v>234</v>
      </c>
    </row>
    <row r="57" spans="1:11" x14ac:dyDescent="0.25">
      <c r="A57" t="s">
        <v>11</v>
      </c>
      <c r="B57" t="s">
        <v>1138</v>
      </c>
      <c r="C57" t="s">
        <v>37</v>
      </c>
      <c r="D57" t="s">
        <v>1062</v>
      </c>
      <c r="E57" s="39" t="s">
        <v>1058</v>
      </c>
      <c r="F57" t="s">
        <v>33</v>
      </c>
      <c r="G57" t="s">
        <v>935</v>
      </c>
      <c r="H57" s="77">
        <v>927384</v>
      </c>
      <c r="I57">
        <v>168</v>
      </c>
      <c r="J57">
        <f>Data_Sheet[[#This Row],[Lead Time]]+10</f>
        <v>178</v>
      </c>
      <c r="K57" s="11" t="s">
        <v>124</v>
      </c>
    </row>
    <row r="58" spans="1:11" x14ac:dyDescent="0.25">
      <c r="A58" t="s">
        <v>11</v>
      </c>
      <c r="B58" t="s">
        <v>1138</v>
      </c>
      <c r="C58" t="s">
        <v>38</v>
      </c>
      <c r="D58" t="s">
        <v>1063</v>
      </c>
      <c r="E58" s="39" t="s">
        <v>1059</v>
      </c>
      <c r="F58" t="s">
        <v>33</v>
      </c>
      <c r="G58" t="s">
        <v>935</v>
      </c>
      <c r="H58" s="77">
        <v>905384</v>
      </c>
      <c r="I58">
        <v>168</v>
      </c>
      <c r="J58">
        <f>Data_Sheet[[#This Row],[Lead Time]]+10</f>
        <v>178</v>
      </c>
      <c r="K58" s="11" t="s">
        <v>125</v>
      </c>
    </row>
    <row r="59" spans="1:11" x14ac:dyDescent="0.25">
      <c r="A59" t="s">
        <v>11</v>
      </c>
      <c r="B59" t="s">
        <v>1138</v>
      </c>
      <c r="C59" t="s">
        <v>39</v>
      </c>
      <c r="D59" t="s">
        <v>1064</v>
      </c>
      <c r="E59" s="39" t="s">
        <v>1060</v>
      </c>
      <c r="F59" t="s">
        <v>33</v>
      </c>
      <c r="G59" t="s">
        <v>935</v>
      </c>
      <c r="H59" s="77">
        <v>887384</v>
      </c>
      <c r="I59">
        <v>168</v>
      </c>
      <c r="J59">
        <f>Data_Sheet[[#This Row],[Lead Time]]+10</f>
        <v>178</v>
      </c>
      <c r="K59" s="11" t="s">
        <v>126</v>
      </c>
    </row>
    <row r="60" spans="1:11" x14ac:dyDescent="0.25">
      <c r="A60" t="s">
        <v>11</v>
      </c>
      <c r="B60" t="s">
        <v>1138</v>
      </c>
      <c r="C60" t="s">
        <v>40</v>
      </c>
      <c r="D60" t="s">
        <v>1065</v>
      </c>
      <c r="E60" s="39" t="s">
        <v>1061</v>
      </c>
      <c r="F60" t="s">
        <v>33</v>
      </c>
      <c r="G60" t="s">
        <v>935</v>
      </c>
      <c r="H60" s="77">
        <v>869384</v>
      </c>
      <c r="I60">
        <v>168</v>
      </c>
      <c r="J60">
        <f>Data_Sheet[[#This Row],[Lead Time]]+10</f>
        <v>178</v>
      </c>
      <c r="K60" s="11" t="s">
        <v>127</v>
      </c>
    </row>
    <row r="61" spans="1:11" x14ac:dyDescent="0.25">
      <c r="A61" t="s">
        <v>11</v>
      </c>
      <c r="B61" t="s">
        <v>1138</v>
      </c>
      <c r="C61" t="s">
        <v>41</v>
      </c>
      <c r="D61" t="s">
        <v>42</v>
      </c>
      <c r="E61" s="39" t="s">
        <v>165</v>
      </c>
      <c r="F61" t="s">
        <v>43</v>
      </c>
      <c r="G61" t="s">
        <v>935</v>
      </c>
      <c r="H61" s="77">
        <v>8049.07</v>
      </c>
      <c r="I61">
        <v>98</v>
      </c>
      <c r="J61">
        <f>Data_Sheet[[#This Row],[Lead Time]]+10</f>
        <v>108</v>
      </c>
      <c r="K61" s="11" t="s">
        <v>235</v>
      </c>
    </row>
    <row r="62" spans="1:11" x14ac:dyDescent="0.25">
      <c r="A62" t="s">
        <v>11</v>
      </c>
      <c r="B62" t="s">
        <v>1138</v>
      </c>
      <c r="C62" t="s">
        <v>44</v>
      </c>
      <c r="D62" t="s">
        <v>141</v>
      </c>
      <c r="E62" s="39" t="s">
        <v>166</v>
      </c>
      <c r="F62" t="s">
        <v>43</v>
      </c>
      <c r="G62" t="s">
        <v>935</v>
      </c>
      <c r="H62" s="77">
        <v>7852</v>
      </c>
      <c r="I62">
        <v>98</v>
      </c>
      <c r="J62">
        <f>Data_Sheet[[#This Row],[Lead Time]]+10</f>
        <v>108</v>
      </c>
      <c r="K62" s="11" t="s">
        <v>128</v>
      </c>
    </row>
    <row r="63" spans="1:11" x14ac:dyDescent="0.25">
      <c r="A63" t="s">
        <v>11</v>
      </c>
      <c r="B63" t="s">
        <v>1138</v>
      </c>
      <c r="C63" t="s">
        <v>45</v>
      </c>
      <c r="D63" t="s">
        <v>46</v>
      </c>
      <c r="E63" s="39" t="s">
        <v>167</v>
      </c>
      <c r="F63" t="s">
        <v>43</v>
      </c>
      <c r="G63" t="s">
        <v>935</v>
      </c>
      <c r="H63" s="77">
        <v>1845.48</v>
      </c>
      <c r="I63">
        <v>98</v>
      </c>
      <c r="J63">
        <f>Data_Sheet[[#This Row],[Lead Time]]+10</f>
        <v>108</v>
      </c>
      <c r="K63" s="11" t="s">
        <v>129</v>
      </c>
    </row>
    <row r="64" spans="1:11" x14ac:dyDescent="0.25">
      <c r="A64" t="s">
        <v>11</v>
      </c>
      <c r="B64" t="s">
        <v>1138</v>
      </c>
      <c r="C64" t="s">
        <v>47</v>
      </c>
      <c r="D64" t="s">
        <v>48</v>
      </c>
      <c r="E64" s="39" t="s">
        <v>168</v>
      </c>
      <c r="F64" t="s">
        <v>43</v>
      </c>
      <c r="G64" t="s">
        <v>935</v>
      </c>
      <c r="H64" s="77">
        <v>1082.44</v>
      </c>
      <c r="I64">
        <v>98</v>
      </c>
      <c r="J64">
        <f>Data_Sheet[[#This Row],[Lead Time]]+10</f>
        <v>108</v>
      </c>
      <c r="K64" s="11" t="s">
        <v>236</v>
      </c>
    </row>
    <row r="65" spans="1:11" x14ac:dyDescent="0.25">
      <c r="A65" t="s">
        <v>11</v>
      </c>
      <c r="B65" t="s">
        <v>1138</v>
      </c>
      <c r="C65" t="s">
        <v>49</v>
      </c>
      <c r="D65" t="s">
        <v>50</v>
      </c>
      <c r="E65" s="39" t="s">
        <v>169</v>
      </c>
      <c r="F65" t="s">
        <v>43</v>
      </c>
      <c r="G65" t="s">
        <v>935</v>
      </c>
      <c r="H65" s="77">
        <v>1370.22</v>
      </c>
      <c r="I65">
        <v>28</v>
      </c>
      <c r="J65">
        <f>Data_Sheet[[#This Row],[Lead Time]]+10</f>
        <v>38</v>
      </c>
      <c r="K65" s="11" t="s">
        <v>237</v>
      </c>
    </row>
    <row r="66" spans="1:11" x14ac:dyDescent="0.25">
      <c r="A66" t="s">
        <v>11</v>
      </c>
      <c r="B66" t="s">
        <v>1138</v>
      </c>
      <c r="C66" t="s">
        <v>52</v>
      </c>
      <c r="D66" t="s">
        <v>184</v>
      </c>
      <c r="E66" s="39" t="s">
        <v>201</v>
      </c>
      <c r="F66" t="s">
        <v>43</v>
      </c>
      <c r="G66" t="s">
        <v>935</v>
      </c>
      <c r="H66" s="77">
        <v>42077.64</v>
      </c>
      <c r="I66">
        <v>98</v>
      </c>
      <c r="J66">
        <f>Data_Sheet[[#This Row],[Lead Time]]+10</f>
        <v>108</v>
      </c>
      <c r="K66" s="11" t="s">
        <v>130</v>
      </c>
    </row>
    <row r="67" spans="1:11" x14ac:dyDescent="0.25">
      <c r="A67" t="s">
        <v>11</v>
      </c>
      <c r="B67" t="s">
        <v>1138</v>
      </c>
      <c r="C67" t="s">
        <v>53</v>
      </c>
      <c r="D67" t="s">
        <v>185</v>
      </c>
      <c r="E67" s="39" t="s">
        <v>202</v>
      </c>
      <c r="F67" t="s">
        <v>43</v>
      </c>
      <c r="G67" t="s">
        <v>935</v>
      </c>
      <c r="H67" s="77">
        <v>51360.86</v>
      </c>
      <c r="I67">
        <v>98</v>
      </c>
      <c r="J67">
        <f>Data_Sheet[[#This Row],[Lead Time]]+10</f>
        <v>108</v>
      </c>
      <c r="K67" s="11" t="s">
        <v>238</v>
      </c>
    </row>
    <row r="68" spans="1:11" x14ac:dyDescent="0.25">
      <c r="A68" t="s">
        <v>11</v>
      </c>
      <c r="B68" t="s">
        <v>1138</v>
      </c>
      <c r="C68" t="s">
        <v>54</v>
      </c>
      <c r="D68" t="s">
        <v>187</v>
      </c>
      <c r="E68" s="39" t="s">
        <v>203</v>
      </c>
      <c r="F68" t="s">
        <v>43</v>
      </c>
      <c r="G68" t="s">
        <v>935</v>
      </c>
      <c r="H68" s="77">
        <v>71039.47</v>
      </c>
      <c r="I68">
        <v>98</v>
      </c>
      <c r="J68">
        <f>Data_Sheet[[#This Row],[Lead Time]]+10</f>
        <v>108</v>
      </c>
      <c r="K68" s="11" t="s">
        <v>239</v>
      </c>
    </row>
    <row r="69" spans="1:11" x14ac:dyDescent="0.25">
      <c r="A69" t="s">
        <v>11</v>
      </c>
      <c r="B69" t="s">
        <v>1138</v>
      </c>
      <c r="C69" t="s">
        <v>58</v>
      </c>
      <c r="D69" t="s">
        <v>59</v>
      </c>
      <c r="E69" s="39" t="s">
        <v>170</v>
      </c>
      <c r="F69" t="s">
        <v>43</v>
      </c>
      <c r="G69" t="s">
        <v>935</v>
      </c>
      <c r="H69" s="77">
        <v>7764.41</v>
      </c>
      <c r="I69">
        <v>98</v>
      </c>
      <c r="J69">
        <f>Data_Sheet[[#This Row],[Lead Time]]+10</f>
        <v>108</v>
      </c>
      <c r="K69" s="11" t="s">
        <v>240</v>
      </c>
    </row>
    <row r="70" spans="1:11" x14ac:dyDescent="0.25">
      <c r="A70" t="s">
        <v>11</v>
      </c>
      <c r="B70" t="s">
        <v>1138</v>
      </c>
      <c r="C70" t="s">
        <v>61</v>
      </c>
      <c r="D70" t="s">
        <v>1178</v>
      </c>
      <c r="E70" s="39" t="str">
        <f>CONCATENATE(Data_Sheet[[#This Row],[Name]],"( ",Data_Sheet[[#This Row],[CLIN]],")")</f>
        <v>Uninterruptable Power Supply (UPS) (40kVA)( CLIN 0018A)</v>
      </c>
      <c r="F70" t="s">
        <v>43</v>
      </c>
      <c r="G70" t="s">
        <v>935</v>
      </c>
      <c r="H70" s="77">
        <v>72866.09</v>
      </c>
      <c r="I70">
        <v>98</v>
      </c>
      <c r="J70">
        <f>Data_Sheet[[#This Row],[Lead Time]]+10</f>
        <v>108</v>
      </c>
      <c r="K70" s="11" t="s">
        <v>131</v>
      </c>
    </row>
    <row r="71" spans="1:11" x14ac:dyDescent="0.25">
      <c r="A71" t="s">
        <v>11</v>
      </c>
      <c r="B71" t="s">
        <v>1138</v>
      </c>
      <c r="C71" t="s">
        <v>62</v>
      </c>
      <c r="D71" t="s">
        <v>1179</v>
      </c>
      <c r="E71" s="39" t="str">
        <f>CONCATENATE(Data_Sheet[[#This Row],[Name]],"( ",Data_Sheet[[#This Row],[CLIN]],")")</f>
        <v>Uninterruptable Power Supply (UPS) (80kVA)( CLIN 0018B)</v>
      </c>
      <c r="F71" t="s">
        <v>43</v>
      </c>
      <c r="G71" t="s">
        <v>935</v>
      </c>
      <c r="H71" s="77">
        <v>118946.73</v>
      </c>
      <c r="I71">
        <v>98</v>
      </c>
      <c r="J71">
        <f>Data_Sheet[[#This Row],[Lead Time]]+10</f>
        <v>108</v>
      </c>
      <c r="K71" s="11" t="s">
        <v>241</v>
      </c>
    </row>
    <row r="72" spans="1:11" x14ac:dyDescent="0.25">
      <c r="A72" t="s">
        <v>11</v>
      </c>
      <c r="B72" t="s">
        <v>1138</v>
      </c>
      <c r="C72" t="s">
        <v>63</v>
      </c>
      <c r="D72" t="s">
        <v>1180</v>
      </c>
      <c r="E72" s="39" t="str">
        <f>CONCATENATE(Data_Sheet[[#This Row],[Name]],"( ",Data_Sheet[[#This Row],[CLIN]],")")</f>
        <v>Uninterruptable Power Supply (UPS) (160kVA)( CLIN 0018C)</v>
      </c>
      <c r="F72" t="s">
        <v>43</v>
      </c>
      <c r="G72" t="s">
        <v>935</v>
      </c>
      <c r="H72" s="77">
        <v>191372.91</v>
      </c>
      <c r="I72">
        <v>98</v>
      </c>
      <c r="J72">
        <f>Data_Sheet[[#This Row],[Lead Time]]+10</f>
        <v>108</v>
      </c>
      <c r="K72" s="11" t="s">
        <v>242</v>
      </c>
    </row>
    <row r="73" spans="1:11" x14ac:dyDescent="0.25">
      <c r="A73" t="s">
        <v>11</v>
      </c>
      <c r="B73" t="s">
        <v>1138</v>
      </c>
      <c r="C73" t="s">
        <v>64</v>
      </c>
      <c r="D73" t="s">
        <v>1181</v>
      </c>
      <c r="E73" s="39" t="str">
        <f>CONCATENATE(Data_Sheet[[#This Row],[Name]],"( ",Data_Sheet[[#This Row],[CLIN]],")")</f>
        <v>Uninterruptable Power Supply (UPS) (20kVA)( CLIN 0018D)</v>
      </c>
      <c r="F73" t="s">
        <v>43</v>
      </c>
      <c r="G73" t="s">
        <v>935</v>
      </c>
      <c r="H73" s="77">
        <v>69771</v>
      </c>
      <c r="I73">
        <v>98</v>
      </c>
      <c r="J73">
        <v>108</v>
      </c>
      <c r="K73" s="11" t="s">
        <v>243</v>
      </c>
    </row>
    <row r="74" spans="1:11" x14ac:dyDescent="0.25">
      <c r="A74" t="s">
        <v>11</v>
      </c>
      <c r="B74" t="s">
        <v>1138</v>
      </c>
      <c r="C74" t="s">
        <v>1156</v>
      </c>
      <c r="D74" t="s">
        <v>1182</v>
      </c>
      <c r="E74" s="39" t="str">
        <f>CONCATENATE(Data_Sheet[[#This Row],[Name]],"( ",Data_Sheet[[#This Row],[CLIN]],")")</f>
        <v>Uninterruptable Power Supply (UPS) (50kVA( CLIN 0018E)</v>
      </c>
      <c r="F74" t="s">
        <v>43</v>
      </c>
      <c r="G74" t="s">
        <v>935</v>
      </c>
      <c r="H74" s="77">
        <v>114524</v>
      </c>
      <c r="I74">
        <v>98</v>
      </c>
      <c r="J74">
        <v>108</v>
      </c>
      <c r="K74" s="11" t="s">
        <v>132</v>
      </c>
    </row>
    <row r="75" spans="1:11" x14ac:dyDescent="0.25">
      <c r="A75" t="s">
        <v>11</v>
      </c>
      <c r="B75" t="s">
        <v>1138</v>
      </c>
      <c r="C75" t="s">
        <v>65</v>
      </c>
      <c r="D75" t="s">
        <v>66</v>
      </c>
      <c r="E75" s="39" t="s">
        <v>171</v>
      </c>
      <c r="F75" t="s">
        <v>33</v>
      </c>
      <c r="G75" t="s">
        <v>935</v>
      </c>
      <c r="H75" s="77">
        <v>111433.39</v>
      </c>
      <c r="I75">
        <v>90</v>
      </c>
      <c r="J75">
        <f>Data_Sheet[[#This Row],[Lead Time]]+10</f>
        <v>100</v>
      </c>
      <c r="K75" s="11" t="s">
        <v>133</v>
      </c>
    </row>
    <row r="76" spans="1:11" x14ac:dyDescent="0.25">
      <c r="A76" t="s">
        <v>11</v>
      </c>
      <c r="B76" t="s">
        <v>1138</v>
      </c>
      <c r="C76" t="s">
        <v>67</v>
      </c>
      <c r="D76" t="s">
        <v>68</v>
      </c>
      <c r="E76" s="39" t="s">
        <v>172</v>
      </c>
      <c r="F76" t="s">
        <v>17</v>
      </c>
      <c r="G76" t="s">
        <v>935</v>
      </c>
      <c r="H76" s="77" t="s">
        <v>77</v>
      </c>
      <c r="I76">
        <v>90</v>
      </c>
      <c r="J76">
        <f>Data_Sheet[[#This Row],[Lead Time]]+10</f>
        <v>100</v>
      </c>
      <c r="K76" s="11" t="s">
        <v>134</v>
      </c>
    </row>
    <row r="77" spans="1:11" x14ac:dyDescent="0.25">
      <c r="A77" t="s">
        <v>11</v>
      </c>
      <c r="B77" t="s">
        <v>1138</v>
      </c>
      <c r="C77" t="s">
        <v>69</v>
      </c>
      <c r="D77" t="s">
        <v>70</v>
      </c>
      <c r="E77" s="39" t="s">
        <v>173</v>
      </c>
      <c r="F77" t="s">
        <v>43</v>
      </c>
      <c r="G77" t="s">
        <v>935</v>
      </c>
      <c r="H77" s="77">
        <v>2530</v>
      </c>
      <c r="I77">
        <v>35</v>
      </c>
      <c r="J77">
        <f>Data_Sheet[[#This Row],[Lead Time]]+10</f>
        <v>45</v>
      </c>
      <c r="K77" s="11" t="s">
        <v>135</v>
      </c>
    </row>
    <row r="78" spans="1:11" x14ac:dyDescent="0.25">
      <c r="A78" t="s">
        <v>11</v>
      </c>
      <c r="B78" t="s">
        <v>1138</v>
      </c>
      <c r="C78" t="s">
        <v>71</v>
      </c>
      <c r="D78" t="s">
        <v>72</v>
      </c>
      <c r="E78" s="39" t="s">
        <v>174</v>
      </c>
      <c r="F78" t="s">
        <v>43</v>
      </c>
      <c r="G78" t="s">
        <v>935</v>
      </c>
      <c r="H78" s="77">
        <v>22238</v>
      </c>
      <c r="I78">
        <v>14</v>
      </c>
      <c r="J78">
        <f>Data_Sheet[[#This Row],[Lead Time]]+10</f>
        <v>24</v>
      </c>
      <c r="K78" s="11" t="s">
        <v>136</v>
      </c>
    </row>
    <row r="79" spans="1:11" x14ac:dyDescent="0.25">
      <c r="A79" t="s">
        <v>11</v>
      </c>
      <c r="B79" t="s">
        <v>1138</v>
      </c>
      <c r="C79" t="s">
        <v>1141</v>
      </c>
      <c r="D79" t="s">
        <v>1147</v>
      </c>
      <c r="E79" t="str">
        <f>CONCATENATE(Data_Sheet[[#This Row],[Name]], " (",Data_Sheet[[#This Row],[CLIN]],")")</f>
        <v>Network Equipment Package (1-3 EDS) (X016A1)</v>
      </c>
      <c r="F79" t="s">
        <v>43</v>
      </c>
      <c r="G79" t="s">
        <v>935</v>
      </c>
      <c r="H79" s="77">
        <v>42077.64</v>
      </c>
      <c r="I79">
        <v>98</v>
      </c>
      <c r="J79">
        <f>Data_Sheet[[#This Row],[Lead Time]]+10</f>
        <v>108</v>
      </c>
      <c r="K79" s="11" t="s">
        <v>137</v>
      </c>
    </row>
    <row r="80" spans="1:11" x14ac:dyDescent="0.25">
      <c r="A80" t="s">
        <v>11</v>
      </c>
      <c r="B80" t="s">
        <v>1138</v>
      </c>
      <c r="C80" t="s">
        <v>1142</v>
      </c>
      <c r="D80" t="s">
        <v>1148</v>
      </c>
      <c r="E80" t="str">
        <f>CONCATENATE(Data_Sheet[[#This Row],[Name]], " (",Data_Sheet[[#This Row],[CLIN]],")")</f>
        <v>Network Equipment Package (4-6 EDS) (X016B1)</v>
      </c>
      <c r="F80" t="s">
        <v>43</v>
      </c>
      <c r="G80" t="s">
        <v>935</v>
      </c>
      <c r="H80" s="77">
        <v>51360.86</v>
      </c>
      <c r="I80">
        <v>98</v>
      </c>
      <c r="J80">
        <f>Data_Sheet[[#This Row],[Lead Time]]+10</f>
        <v>108</v>
      </c>
      <c r="K80" s="11" t="s">
        <v>138</v>
      </c>
    </row>
    <row r="81" spans="1:11" x14ac:dyDescent="0.25">
      <c r="A81" t="s">
        <v>11</v>
      </c>
      <c r="B81" t="s">
        <v>1138</v>
      </c>
      <c r="C81" t="s">
        <v>1143</v>
      </c>
      <c r="D81" t="s">
        <v>1149</v>
      </c>
      <c r="E81" t="str">
        <f>CONCATENATE(Data_Sheet[[#This Row],[Name]], " (",Data_Sheet[[#This Row],[CLIN]],")")</f>
        <v>Network Equipment Package (7-10 EDS) (X016BC1)</v>
      </c>
      <c r="F81" t="s">
        <v>43</v>
      </c>
      <c r="G81" t="s">
        <v>935</v>
      </c>
      <c r="H81" s="77">
        <v>71039.47</v>
      </c>
      <c r="I81">
        <v>98</v>
      </c>
      <c r="J81">
        <f>Data_Sheet[[#This Row],[Lead Time]]+10</f>
        <v>108</v>
      </c>
      <c r="K81" s="11" t="s">
        <v>244</v>
      </c>
    </row>
    <row r="82" spans="1:11" x14ac:dyDescent="0.25">
      <c r="A82" t="s">
        <v>11</v>
      </c>
      <c r="B82" t="s">
        <v>1138</v>
      </c>
      <c r="C82" t="s">
        <v>1144</v>
      </c>
      <c r="D82" t="s">
        <v>1150</v>
      </c>
      <c r="E82" t="str">
        <f>CONCATENATE(Data_Sheet[[#This Row],[Name]], " (",Data_Sheet[[#This Row],[CLIN]],")")</f>
        <v>Enhanced Speed Upgrade Kit (ES-Kit) (X033)</v>
      </c>
      <c r="F82" t="s">
        <v>43</v>
      </c>
      <c r="G82" t="s">
        <v>935</v>
      </c>
      <c r="H82" s="77">
        <v>59968</v>
      </c>
      <c r="I82">
        <v>98</v>
      </c>
      <c r="J82">
        <f>Data_Sheet[[#This Row],[Lead Time]]+10</f>
        <v>108</v>
      </c>
      <c r="K82" s="11" t="s">
        <v>245</v>
      </c>
    </row>
    <row r="83" spans="1:11" x14ac:dyDescent="0.25">
      <c r="A83" t="s">
        <v>11</v>
      </c>
      <c r="B83" t="s">
        <v>1138</v>
      </c>
      <c r="C83" t="s">
        <v>1145</v>
      </c>
      <c r="D83" t="s">
        <v>1151</v>
      </c>
      <c r="E83" t="str">
        <f>CONCATENATE(Data_Sheet[[#This Row],[Name]], " (",Data_Sheet[[#This Row],[CLIN]],")")</f>
        <v>Enhanced Speed Upgrade Kit (ES-Kit) Installation -Single (X034A)</v>
      </c>
      <c r="F83" t="s">
        <v>43</v>
      </c>
      <c r="G83" t="s">
        <v>935</v>
      </c>
      <c r="H83" s="77">
        <v>12354</v>
      </c>
      <c r="I83">
        <v>98</v>
      </c>
      <c r="J83">
        <f>Data_Sheet[[#This Row],[Lead Time]]+10</f>
        <v>108</v>
      </c>
      <c r="K83" s="11" t="s">
        <v>139</v>
      </c>
    </row>
    <row r="84" spans="1:11" x14ac:dyDescent="0.25">
      <c r="A84" t="s">
        <v>11</v>
      </c>
      <c r="B84" t="s">
        <v>1138</v>
      </c>
      <c r="C84" t="s">
        <v>1146</v>
      </c>
      <c r="D84" t="s">
        <v>1152</v>
      </c>
      <c r="E84" t="str">
        <f>CONCATENATE(Data_Sheet[[#This Row],[Name]], " (",Data_Sheet[[#This Row],[CLIN]],")")</f>
        <v>Enhanced Speed Upgrade Kit (ES-Kit) Installation -Multiple (X034B)</v>
      </c>
      <c r="F84" t="s">
        <v>43</v>
      </c>
      <c r="G84" t="s">
        <v>935</v>
      </c>
      <c r="H84" s="77">
        <v>9292</v>
      </c>
      <c r="I84">
        <v>98</v>
      </c>
      <c r="J84">
        <f>Data_Sheet[[#This Row],[Lead Time]]+10</f>
        <v>108</v>
      </c>
      <c r="K84" s="11" t="s">
        <v>140</v>
      </c>
    </row>
    <row r="85" spans="1:11" x14ac:dyDescent="0.25">
      <c r="A85" t="s">
        <v>11</v>
      </c>
      <c r="B85" t="s">
        <v>74</v>
      </c>
      <c r="C85" t="s">
        <v>12</v>
      </c>
      <c r="D85" t="s">
        <v>922</v>
      </c>
      <c r="E85" s="78" t="s">
        <v>892</v>
      </c>
      <c r="F85" t="s">
        <v>13</v>
      </c>
      <c r="G85" t="s">
        <v>1068</v>
      </c>
      <c r="I85" s="5">
        <v>90</v>
      </c>
      <c r="J85">
        <f>Data_Sheet[[#This Row],[Lead Time]]+10</f>
        <v>100</v>
      </c>
      <c r="K85" s="11" t="s">
        <v>246</v>
      </c>
    </row>
    <row r="86" spans="1:11" x14ac:dyDescent="0.25">
      <c r="A86" t="s">
        <v>11</v>
      </c>
      <c r="B86" t="s">
        <v>74</v>
      </c>
      <c r="C86" t="s">
        <v>15</v>
      </c>
      <c r="D86" t="s">
        <v>16</v>
      </c>
      <c r="E86" s="83" t="s">
        <v>157</v>
      </c>
      <c r="F86" t="s">
        <v>17</v>
      </c>
      <c r="G86" t="s">
        <v>1068</v>
      </c>
      <c r="I86" s="5">
        <v>90</v>
      </c>
      <c r="J86">
        <f>Data_Sheet[[#This Row],[Lead Time]]+10</f>
        <v>100</v>
      </c>
      <c r="K86" s="11" t="s">
        <v>247</v>
      </c>
    </row>
    <row r="87" spans="1:11" x14ac:dyDescent="0.25">
      <c r="A87" t="s">
        <v>11</v>
      </c>
      <c r="B87" t="s">
        <v>74</v>
      </c>
      <c r="C87" t="s">
        <v>18</v>
      </c>
      <c r="D87" t="s">
        <v>19</v>
      </c>
      <c r="E87" s="78" t="s">
        <v>158</v>
      </c>
      <c r="F87" t="s">
        <v>17</v>
      </c>
      <c r="G87" t="s">
        <v>1068</v>
      </c>
      <c r="I87" s="5">
        <v>90</v>
      </c>
      <c r="J87">
        <f>Data_Sheet[[#This Row],[Lead Time]]+10</f>
        <v>100</v>
      </c>
      <c r="K87" s="11" t="s">
        <v>248</v>
      </c>
    </row>
    <row r="88" spans="1:11" x14ac:dyDescent="0.25">
      <c r="A88" t="s">
        <v>11</v>
      </c>
      <c r="B88" t="s">
        <v>74</v>
      </c>
      <c r="C88" t="s">
        <v>1041</v>
      </c>
      <c r="D88" t="s">
        <v>1012</v>
      </c>
      <c r="E88" s="83" t="s">
        <v>988</v>
      </c>
      <c r="F88" t="s">
        <v>17</v>
      </c>
      <c r="G88" t="s">
        <v>1068</v>
      </c>
      <c r="H88" s="77">
        <v>8721</v>
      </c>
      <c r="I88" s="5">
        <v>90</v>
      </c>
      <c r="J88">
        <f>Data_Sheet[[#This Row],[Lead Time]]+10</f>
        <v>100</v>
      </c>
      <c r="K88" s="11" t="s">
        <v>249</v>
      </c>
    </row>
    <row r="89" spans="1:11" x14ac:dyDescent="0.25">
      <c r="A89" t="s">
        <v>11</v>
      </c>
      <c r="B89" t="s">
        <v>74</v>
      </c>
      <c r="C89" t="s">
        <v>1042</v>
      </c>
      <c r="D89" s="34" t="s">
        <v>1014</v>
      </c>
      <c r="E89" s="78" t="s">
        <v>1013</v>
      </c>
      <c r="F89" t="s">
        <v>17</v>
      </c>
      <c r="G89" t="s">
        <v>1068</v>
      </c>
      <c r="H89" s="77">
        <v>8721</v>
      </c>
      <c r="I89" s="5">
        <v>90</v>
      </c>
      <c r="J89">
        <f>Data_Sheet[[#This Row],[Lead Time]]+10</f>
        <v>100</v>
      </c>
      <c r="K89" s="11" t="s">
        <v>250</v>
      </c>
    </row>
    <row r="90" spans="1:11" x14ac:dyDescent="0.25">
      <c r="A90" t="s">
        <v>11</v>
      </c>
      <c r="B90" t="s">
        <v>74</v>
      </c>
      <c r="C90" s="6" t="s">
        <v>20</v>
      </c>
      <c r="D90" t="s">
        <v>1015</v>
      </c>
      <c r="E90" s="39" t="s">
        <v>962</v>
      </c>
      <c r="F90" t="s">
        <v>17</v>
      </c>
      <c r="G90" t="s">
        <v>1068</v>
      </c>
      <c r="I90" s="5">
        <v>90</v>
      </c>
      <c r="J90">
        <f>Data_Sheet[[#This Row],[Lead Time]]+10</f>
        <v>100</v>
      </c>
      <c r="K90" s="11" t="s">
        <v>251</v>
      </c>
    </row>
    <row r="91" spans="1:11" x14ac:dyDescent="0.25">
      <c r="A91" t="s">
        <v>11</v>
      </c>
      <c r="B91" t="s">
        <v>74</v>
      </c>
      <c r="C91" t="s">
        <v>22</v>
      </c>
      <c r="D91" t="s">
        <v>1016</v>
      </c>
      <c r="E91" s="78" t="s">
        <v>989</v>
      </c>
      <c r="F91" t="s">
        <v>17</v>
      </c>
      <c r="G91" t="s">
        <v>1068</v>
      </c>
      <c r="H91" s="77">
        <v>25910</v>
      </c>
      <c r="I91" s="5">
        <v>90</v>
      </c>
      <c r="J91">
        <f>Data_Sheet[[#This Row],[Lead Time]]+10</f>
        <v>100</v>
      </c>
      <c r="K91" s="11" t="s">
        <v>252</v>
      </c>
    </row>
    <row r="92" spans="1:11" x14ac:dyDescent="0.25">
      <c r="A92" t="s">
        <v>11</v>
      </c>
      <c r="B92" t="s">
        <v>74</v>
      </c>
      <c r="C92" t="s">
        <v>1043</v>
      </c>
      <c r="D92" t="s">
        <v>1017</v>
      </c>
      <c r="E92" s="83" t="s">
        <v>990</v>
      </c>
      <c r="F92" t="s">
        <v>17</v>
      </c>
      <c r="G92" t="s">
        <v>1068</v>
      </c>
      <c r="H92" s="77">
        <v>8982</v>
      </c>
      <c r="I92" s="5">
        <v>90</v>
      </c>
      <c r="J92">
        <f>Data_Sheet[[#This Row],[Lead Time]]+10</f>
        <v>100</v>
      </c>
      <c r="K92" s="11" t="s">
        <v>253</v>
      </c>
    </row>
    <row r="93" spans="1:11" x14ac:dyDescent="0.25">
      <c r="A93" t="s">
        <v>11</v>
      </c>
      <c r="B93" t="s">
        <v>74</v>
      </c>
      <c r="C93" t="s">
        <v>1044</v>
      </c>
      <c r="D93" t="s">
        <v>1018</v>
      </c>
      <c r="E93" s="78" t="s">
        <v>991</v>
      </c>
      <c r="F93" t="s">
        <v>17</v>
      </c>
      <c r="G93" t="s">
        <v>1068</v>
      </c>
      <c r="H93" s="77">
        <v>17964</v>
      </c>
      <c r="I93" s="5">
        <v>90</v>
      </c>
      <c r="J93">
        <f>Data_Sheet[[#This Row],[Lead Time]]+10</f>
        <v>100</v>
      </c>
      <c r="K93" s="11" t="s">
        <v>254</v>
      </c>
    </row>
    <row r="94" spans="1:11" x14ac:dyDescent="0.25">
      <c r="A94" t="s">
        <v>11</v>
      </c>
      <c r="B94" t="s">
        <v>74</v>
      </c>
      <c r="C94" t="s">
        <v>1045</v>
      </c>
      <c r="D94" t="s">
        <v>1067</v>
      </c>
      <c r="E94" s="83" t="s">
        <v>992</v>
      </c>
      <c r="F94" t="s">
        <v>17</v>
      </c>
      <c r="G94" t="s">
        <v>1068</v>
      </c>
      <c r="H94" s="77">
        <v>26946</v>
      </c>
      <c r="I94" s="5">
        <v>90</v>
      </c>
      <c r="J94">
        <f>Data_Sheet[[#This Row],[Lead Time]]+10</f>
        <v>100</v>
      </c>
      <c r="K94" s="11" t="s">
        <v>255</v>
      </c>
    </row>
    <row r="95" spans="1:11" x14ac:dyDescent="0.25">
      <c r="A95" t="s">
        <v>11</v>
      </c>
      <c r="B95" t="s">
        <v>74</v>
      </c>
      <c r="C95" t="s">
        <v>26</v>
      </c>
      <c r="D95" t="s">
        <v>1019</v>
      </c>
      <c r="E95" s="78" t="s">
        <v>993</v>
      </c>
      <c r="F95" t="s">
        <v>17</v>
      </c>
      <c r="G95" t="s">
        <v>1068</v>
      </c>
      <c r="H95" s="77">
        <v>8982</v>
      </c>
      <c r="I95" s="5">
        <v>168</v>
      </c>
      <c r="J95">
        <f>Data_Sheet[[#This Row],[Lead Time]]+10</f>
        <v>178</v>
      </c>
      <c r="K95" s="11" t="s">
        <v>256</v>
      </c>
    </row>
    <row r="96" spans="1:11" x14ac:dyDescent="0.25">
      <c r="A96" t="s">
        <v>11</v>
      </c>
      <c r="B96" t="s">
        <v>74</v>
      </c>
      <c r="C96" t="s">
        <v>28</v>
      </c>
      <c r="D96" t="s">
        <v>29</v>
      </c>
      <c r="E96" s="83" t="s">
        <v>163</v>
      </c>
      <c r="F96" t="s">
        <v>17</v>
      </c>
      <c r="G96" t="s">
        <v>1068</v>
      </c>
      <c r="H96" s="77">
        <v>9527</v>
      </c>
      <c r="I96" s="5">
        <v>168</v>
      </c>
      <c r="J96">
        <f>Data_Sheet[[#This Row],[Lead Time]]+10</f>
        <v>178</v>
      </c>
      <c r="K96" s="11" t="s">
        <v>257</v>
      </c>
    </row>
    <row r="97" spans="1:11" x14ac:dyDescent="0.25">
      <c r="A97" t="s">
        <v>11</v>
      </c>
      <c r="B97" t="s">
        <v>74</v>
      </c>
      <c r="C97" t="s">
        <v>30</v>
      </c>
      <c r="D97" t="s">
        <v>1020</v>
      </c>
      <c r="E97" s="78" t="s">
        <v>994</v>
      </c>
      <c r="F97" t="s">
        <v>17</v>
      </c>
      <c r="G97" t="s">
        <v>1068</v>
      </c>
      <c r="H97" s="77">
        <v>5666</v>
      </c>
      <c r="I97" s="5">
        <v>168</v>
      </c>
      <c r="J97">
        <f>Data_Sheet[[#This Row],[Lead Time]]+10</f>
        <v>178</v>
      </c>
      <c r="K97" s="11" t="s">
        <v>258</v>
      </c>
    </row>
    <row r="98" spans="1:11" x14ac:dyDescent="0.25">
      <c r="A98" t="s">
        <v>11</v>
      </c>
      <c r="B98" t="s">
        <v>74</v>
      </c>
      <c r="C98" t="s">
        <v>32</v>
      </c>
      <c r="D98" t="s">
        <v>1021</v>
      </c>
      <c r="E98" s="39" t="s">
        <v>961</v>
      </c>
      <c r="F98" t="s">
        <v>33</v>
      </c>
      <c r="G98" t="s">
        <v>1068</v>
      </c>
      <c r="I98" s="5">
        <v>168</v>
      </c>
      <c r="J98">
        <f>Data_Sheet[[#This Row],[Lead Time]]+10</f>
        <v>178</v>
      </c>
      <c r="K98" s="11" t="s">
        <v>259</v>
      </c>
    </row>
    <row r="99" spans="1:11" x14ac:dyDescent="0.25">
      <c r="A99" t="s">
        <v>11</v>
      </c>
      <c r="B99" t="s">
        <v>74</v>
      </c>
      <c r="C99" t="s">
        <v>41</v>
      </c>
      <c r="D99" t="s">
        <v>1022</v>
      </c>
      <c r="E99" s="78" t="s">
        <v>1183</v>
      </c>
      <c r="F99" t="s">
        <v>43</v>
      </c>
      <c r="G99" t="s">
        <v>1068</v>
      </c>
      <c r="H99" s="77">
        <v>6356</v>
      </c>
      <c r="I99">
        <v>98</v>
      </c>
      <c r="J99">
        <f>Data_Sheet[[#This Row],[Lead Time]]+10</f>
        <v>108</v>
      </c>
      <c r="K99" s="11" t="s">
        <v>260</v>
      </c>
    </row>
    <row r="100" spans="1:11" x14ac:dyDescent="0.25">
      <c r="A100" t="s">
        <v>11</v>
      </c>
      <c r="B100" t="s">
        <v>74</v>
      </c>
      <c r="C100" t="s">
        <v>44</v>
      </c>
      <c r="D100" t="s">
        <v>1023</v>
      </c>
      <c r="E100" s="83" t="s">
        <v>995</v>
      </c>
      <c r="F100" t="s">
        <v>43</v>
      </c>
      <c r="G100" t="s">
        <v>1068</v>
      </c>
      <c r="H100" s="77">
        <v>5734</v>
      </c>
      <c r="I100">
        <v>98</v>
      </c>
      <c r="J100">
        <f>Data_Sheet[[#This Row],[Lead Time]]+10</f>
        <v>108</v>
      </c>
      <c r="K100" s="11" t="s">
        <v>261</v>
      </c>
    </row>
    <row r="101" spans="1:11" x14ac:dyDescent="0.25">
      <c r="A101" t="s">
        <v>11</v>
      </c>
      <c r="B101" t="s">
        <v>74</v>
      </c>
      <c r="C101" t="s">
        <v>45</v>
      </c>
      <c r="D101" t="s">
        <v>46</v>
      </c>
      <c r="E101" s="78" t="s">
        <v>167</v>
      </c>
      <c r="F101" t="s">
        <v>43</v>
      </c>
      <c r="G101" t="s">
        <v>1068</v>
      </c>
      <c r="H101" s="77">
        <v>435</v>
      </c>
      <c r="I101">
        <v>98</v>
      </c>
      <c r="J101">
        <f>Data_Sheet[[#This Row],[Lead Time]]+10</f>
        <v>108</v>
      </c>
      <c r="K101" s="11" t="s">
        <v>262</v>
      </c>
    </row>
    <row r="102" spans="1:11" x14ac:dyDescent="0.25">
      <c r="A102" t="s">
        <v>11</v>
      </c>
      <c r="B102" t="s">
        <v>74</v>
      </c>
      <c r="C102" t="s">
        <v>47</v>
      </c>
      <c r="D102" t="s">
        <v>1024</v>
      </c>
      <c r="E102" s="83" t="s">
        <v>996</v>
      </c>
      <c r="F102" t="s">
        <v>43</v>
      </c>
      <c r="G102" t="s">
        <v>1068</v>
      </c>
      <c r="H102" s="77">
        <v>806</v>
      </c>
      <c r="I102">
        <v>98</v>
      </c>
      <c r="J102">
        <f>Data_Sheet[[#This Row],[Lead Time]]+10</f>
        <v>108</v>
      </c>
      <c r="K102" s="11" t="s">
        <v>263</v>
      </c>
    </row>
    <row r="103" spans="1:11" x14ac:dyDescent="0.25">
      <c r="A103" t="s">
        <v>11</v>
      </c>
      <c r="B103" t="s">
        <v>74</v>
      </c>
      <c r="C103" t="s">
        <v>49</v>
      </c>
      <c r="D103" t="s">
        <v>1025</v>
      </c>
      <c r="E103" s="78" t="s">
        <v>997</v>
      </c>
      <c r="F103" t="s">
        <v>43</v>
      </c>
      <c r="G103" t="s">
        <v>1068</v>
      </c>
      <c r="H103" s="77">
        <v>40</v>
      </c>
      <c r="I103">
        <v>98</v>
      </c>
      <c r="J103">
        <f>Data_Sheet[[#This Row],[Lead Time]]+10</f>
        <v>108</v>
      </c>
      <c r="K103" s="11" t="s">
        <v>264</v>
      </c>
    </row>
    <row r="104" spans="1:11" x14ac:dyDescent="0.25">
      <c r="A104" t="s">
        <v>11</v>
      </c>
      <c r="B104" t="s">
        <v>74</v>
      </c>
      <c r="C104" t="s">
        <v>51</v>
      </c>
      <c r="D104" t="s">
        <v>1026</v>
      </c>
      <c r="E104" s="83" t="s">
        <v>998</v>
      </c>
      <c r="F104" t="s">
        <v>43</v>
      </c>
      <c r="G104" t="s">
        <v>1068</v>
      </c>
      <c r="H104" s="77">
        <v>19414</v>
      </c>
      <c r="I104">
        <v>98</v>
      </c>
      <c r="J104">
        <f>Data_Sheet[[#This Row],[Lead Time]]+10</f>
        <v>108</v>
      </c>
      <c r="K104" s="11" t="s">
        <v>265</v>
      </c>
    </row>
    <row r="105" spans="1:11" x14ac:dyDescent="0.25">
      <c r="A105" t="s">
        <v>11</v>
      </c>
      <c r="B105" t="s">
        <v>74</v>
      </c>
      <c r="C105" t="s">
        <v>58</v>
      </c>
      <c r="D105" t="s">
        <v>59</v>
      </c>
      <c r="E105" s="78" t="s">
        <v>999</v>
      </c>
      <c r="F105" t="s">
        <v>43</v>
      </c>
      <c r="G105" t="s">
        <v>1068</v>
      </c>
      <c r="H105" s="77">
        <v>11716</v>
      </c>
      <c r="I105">
        <v>98</v>
      </c>
      <c r="J105">
        <f>Data_Sheet[[#This Row],[Lead Time]]+10</f>
        <v>108</v>
      </c>
      <c r="K105" s="11" t="s">
        <v>266</v>
      </c>
    </row>
    <row r="106" spans="1:11" x14ac:dyDescent="0.25">
      <c r="A106" t="s">
        <v>11</v>
      </c>
      <c r="B106" t="s">
        <v>74</v>
      </c>
      <c r="C106" t="s">
        <v>60</v>
      </c>
      <c r="D106" t="s">
        <v>1184</v>
      </c>
      <c r="E106" s="83" t="s">
        <v>1000</v>
      </c>
      <c r="F106" t="s">
        <v>43</v>
      </c>
      <c r="G106" t="s">
        <v>1068</v>
      </c>
      <c r="H106" s="77">
        <v>4423</v>
      </c>
      <c r="I106">
        <v>98</v>
      </c>
      <c r="J106">
        <f>Data_Sheet[[#This Row],[Lead Time]]+10</f>
        <v>108</v>
      </c>
      <c r="K106" s="11" t="s">
        <v>267</v>
      </c>
    </row>
    <row r="107" spans="1:11" x14ac:dyDescent="0.25">
      <c r="A107" t="s">
        <v>11</v>
      </c>
      <c r="B107" t="s">
        <v>74</v>
      </c>
      <c r="C107" t="s">
        <v>65</v>
      </c>
      <c r="D107" t="s">
        <v>66</v>
      </c>
      <c r="E107" s="39" t="s">
        <v>171</v>
      </c>
      <c r="F107" t="s">
        <v>33</v>
      </c>
      <c r="G107" t="s">
        <v>1068</v>
      </c>
      <c r="I107" s="5">
        <v>98</v>
      </c>
      <c r="J107">
        <f>Data_Sheet[[#This Row],[Lead Time]]+10</f>
        <v>108</v>
      </c>
      <c r="K107" s="11" t="s">
        <v>268</v>
      </c>
    </row>
    <row r="108" spans="1:11" x14ac:dyDescent="0.25">
      <c r="A108" t="s">
        <v>11</v>
      </c>
      <c r="B108" t="s">
        <v>74</v>
      </c>
      <c r="C108" t="s">
        <v>67</v>
      </c>
      <c r="D108" t="s">
        <v>68</v>
      </c>
      <c r="E108" s="39" t="s">
        <v>172</v>
      </c>
      <c r="F108" t="s">
        <v>43</v>
      </c>
      <c r="G108" t="s">
        <v>1068</v>
      </c>
      <c r="I108" s="5">
        <v>28</v>
      </c>
      <c r="J108">
        <f>Data_Sheet[[#This Row],[Lead Time]]+10</f>
        <v>38</v>
      </c>
      <c r="K108" s="11" t="s">
        <v>269</v>
      </c>
    </row>
    <row r="109" spans="1:11" x14ac:dyDescent="0.25">
      <c r="A109" t="s">
        <v>11</v>
      </c>
      <c r="B109" t="s">
        <v>74</v>
      </c>
      <c r="C109" t="s">
        <v>1046</v>
      </c>
      <c r="D109" t="s">
        <v>1027</v>
      </c>
      <c r="E109" s="83" t="s">
        <v>1001</v>
      </c>
      <c r="F109" t="s">
        <v>43</v>
      </c>
      <c r="G109" t="s">
        <v>1068</v>
      </c>
      <c r="H109" s="77">
        <v>1218</v>
      </c>
      <c r="I109">
        <v>98</v>
      </c>
      <c r="J109">
        <f>Data_Sheet[[#This Row],[Lead Time]]+10</f>
        <v>108</v>
      </c>
      <c r="K109" s="11" t="s">
        <v>270</v>
      </c>
    </row>
    <row r="110" spans="1:11" x14ac:dyDescent="0.25">
      <c r="A110" t="s">
        <v>11</v>
      </c>
      <c r="B110" t="s">
        <v>74</v>
      </c>
      <c r="C110" t="s">
        <v>1047</v>
      </c>
      <c r="D110" t="s">
        <v>1028</v>
      </c>
      <c r="E110" s="78" t="s">
        <v>1002</v>
      </c>
      <c r="F110" t="s">
        <v>43</v>
      </c>
      <c r="G110" t="s">
        <v>1068</v>
      </c>
      <c r="H110" s="77">
        <v>808</v>
      </c>
      <c r="I110">
        <v>98</v>
      </c>
      <c r="J110">
        <f>Data_Sheet[[#This Row],[Lead Time]]+10</f>
        <v>108</v>
      </c>
      <c r="K110" s="11" t="s">
        <v>271</v>
      </c>
    </row>
    <row r="111" spans="1:11" x14ac:dyDescent="0.25">
      <c r="A111" t="s">
        <v>11</v>
      </c>
      <c r="B111" t="s">
        <v>74</v>
      </c>
      <c r="C111" t="s">
        <v>71</v>
      </c>
      <c r="D111" t="s">
        <v>72</v>
      </c>
      <c r="E111" s="39" t="s">
        <v>174</v>
      </c>
      <c r="F111" t="s">
        <v>43</v>
      </c>
      <c r="G111" t="s">
        <v>1068</v>
      </c>
      <c r="I111" s="5">
        <v>98</v>
      </c>
      <c r="J111">
        <f>Data_Sheet[[#This Row],[Lead Time]]+10</f>
        <v>108</v>
      </c>
      <c r="K111" s="11" t="s">
        <v>272</v>
      </c>
    </row>
    <row r="112" spans="1:11" x14ac:dyDescent="0.25">
      <c r="A112" t="s">
        <v>11</v>
      </c>
      <c r="B112" t="s">
        <v>74</v>
      </c>
      <c r="C112" t="s">
        <v>1048</v>
      </c>
      <c r="D112" t="s">
        <v>1029</v>
      </c>
      <c r="E112" s="78" t="s">
        <v>1003</v>
      </c>
      <c r="F112" t="s">
        <v>43</v>
      </c>
      <c r="G112" t="s">
        <v>1068</v>
      </c>
      <c r="H112" s="77">
        <v>14140</v>
      </c>
      <c r="I112">
        <v>98</v>
      </c>
      <c r="J112">
        <f>Data_Sheet[[#This Row],[Lead Time]]+10</f>
        <v>108</v>
      </c>
      <c r="K112" s="11" t="s">
        <v>273</v>
      </c>
    </row>
    <row r="113" spans="1:11" x14ac:dyDescent="0.25">
      <c r="A113" t="s">
        <v>11</v>
      </c>
      <c r="B113" t="s">
        <v>74</v>
      </c>
      <c r="C113" t="s">
        <v>1049</v>
      </c>
      <c r="D113" t="s">
        <v>1030</v>
      </c>
      <c r="E113" s="83" t="s">
        <v>1004</v>
      </c>
      <c r="F113" t="s">
        <v>43</v>
      </c>
      <c r="G113" t="s">
        <v>1068</v>
      </c>
      <c r="I113">
        <v>98</v>
      </c>
      <c r="J113">
        <f>Data_Sheet[[#This Row],[Lead Time]]+10</f>
        <v>108</v>
      </c>
      <c r="K113" s="11" t="s">
        <v>274</v>
      </c>
    </row>
    <row r="114" spans="1:11" x14ac:dyDescent="0.25">
      <c r="A114" t="s">
        <v>11</v>
      </c>
      <c r="B114" t="s">
        <v>74</v>
      </c>
      <c r="C114" t="s">
        <v>1050</v>
      </c>
      <c r="D114" t="s">
        <v>1031</v>
      </c>
      <c r="E114" s="78" t="s">
        <v>1005</v>
      </c>
      <c r="F114" t="s">
        <v>43</v>
      </c>
      <c r="G114" t="s">
        <v>1068</v>
      </c>
      <c r="H114" s="77">
        <v>1421</v>
      </c>
      <c r="I114">
        <v>98</v>
      </c>
      <c r="J114">
        <f>Data_Sheet[[#This Row],[Lead Time]]+10</f>
        <v>108</v>
      </c>
      <c r="K114" s="11" t="s">
        <v>275</v>
      </c>
    </row>
    <row r="115" spans="1:11" x14ac:dyDescent="0.25">
      <c r="A115" t="s">
        <v>11</v>
      </c>
      <c r="B115" t="s">
        <v>74</v>
      </c>
      <c r="C115" t="s">
        <v>1051</v>
      </c>
      <c r="D115" t="s">
        <v>1032</v>
      </c>
      <c r="E115" s="83" t="s">
        <v>1006</v>
      </c>
      <c r="F115" t="s">
        <v>43</v>
      </c>
      <c r="G115" t="s">
        <v>1068</v>
      </c>
      <c r="H115" s="77">
        <v>986</v>
      </c>
      <c r="I115">
        <v>98</v>
      </c>
      <c r="J115">
        <f>Data_Sheet[[#This Row],[Lead Time]]+10</f>
        <v>108</v>
      </c>
      <c r="K115" s="11" t="s">
        <v>1154</v>
      </c>
    </row>
    <row r="116" spans="1:11" x14ac:dyDescent="0.25">
      <c r="A116" t="s">
        <v>11</v>
      </c>
      <c r="B116" t="s">
        <v>74</v>
      </c>
      <c r="C116" t="s">
        <v>1052</v>
      </c>
      <c r="D116" t="s">
        <v>1033</v>
      </c>
      <c r="E116" s="83" t="s">
        <v>1007</v>
      </c>
      <c r="F116" t="s">
        <v>43</v>
      </c>
      <c r="G116" t="s">
        <v>1068</v>
      </c>
      <c r="H116" s="77">
        <v>1779</v>
      </c>
      <c r="I116">
        <v>98</v>
      </c>
      <c r="J116">
        <f>Data_Sheet[[#This Row],[Lead Time]]+10</f>
        <v>108</v>
      </c>
      <c r="K116" s="11" t="s">
        <v>276</v>
      </c>
    </row>
    <row r="117" spans="1:11" x14ac:dyDescent="0.25">
      <c r="A117" t="s">
        <v>11</v>
      </c>
      <c r="B117" t="s">
        <v>74</v>
      </c>
      <c r="C117" t="s">
        <v>1053</v>
      </c>
      <c r="D117" t="s">
        <v>1034</v>
      </c>
      <c r="E117" s="78" t="s">
        <v>1008</v>
      </c>
      <c r="F117" t="s">
        <v>43</v>
      </c>
      <c r="G117" t="s">
        <v>1068</v>
      </c>
      <c r="H117" s="77">
        <v>947</v>
      </c>
      <c r="I117">
        <v>98</v>
      </c>
      <c r="J117">
        <f>Data_Sheet[[#This Row],[Lead Time]]+10</f>
        <v>108</v>
      </c>
      <c r="K117" s="11" t="s">
        <v>277</v>
      </c>
    </row>
    <row r="118" spans="1:11" x14ac:dyDescent="0.25">
      <c r="A118" t="s">
        <v>11</v>
      </c>
      <c r="B118" t="s">
        <v>74</v>
      </c>
      <c r="C118" t="s">
        <v>1054</v>
      </c>
      <c r="D118" t="s">
        <v>1035</v>
      </c>
      <c r="E118" s="83" t="s">
        <v>1009</v>
      </c>
      <c r="F118" t="s">
        <v>43</v>
      </c>
      <c r="G118" t="s">
        <v>1068</v>
      </c>
      <c r="H118" s="77">
        <v>579</v>
      </c>
      <c r="I118">
        <v>98</v>
      </c>
      <c r="J118">
        <f>Data_Sheet[[#This Row],[Lead Time]]+10</f>
        <v>108</v>
      </c>
      <c r="K118" s="11" t="s">
        <v>278</v>
      </c>
    </row>
    <row r="119" spans="1:11" x14ac:dyDescent="0.25">
      <c r="A119" t="s">
        <v>11</v>
      </c>
      <c r="B119" t="s">
        <v>74</v>
      </c>
      <c r="C119" t="s">
        <v>1055</v>
      </c>
      <c r="D119" t="s">
        <v>1037</v>
      </c>
      <c r="E119" s="78" t="s">
        <v>1036</v>
      </c>
      <c r="F119" t="s">
        <v>43</v>
      </c>
      <c r="G119" t="s">
        <v>1068</v>
      </c>
      <c r="H119" s="77">
        <v>10024</v>
      </c>
      <c r="I119">
        <v>98</v>
      </c>
      <c r="J119">
        <f>Data_Sheet[[#This Row],[Lead Time]]+10</f>
        <v>108</v>
      </c>
      <c r="K119" s="11" t="s">
        <v>279</v>
      </c>
    </row>
    <row r="120" spans="1:11" x14ac:dyDescent="0.25">
      <c r="A120" t="s">
        <v>11</v>
      </c>
      <c r="B120" t="s">
        <v>74</v>
      </c>
      <c r="C120" t="s">
        <v>1056</v>
      </c>
      <c r="D120" t="s">
        <v>1038</v>
      </c>
      <c r="E120" s="83" t="s">
        <v>1010</v>
      </c>
      <c r="F120" t="s">
        <v>43</v>
      </c>
      <c r="G120" t="s">
        <v>1068</v>
      </c>
      <c r="H120" s="77">
        <v>6567</v>
      </c>
      <c r="I120">
        <v>98</v>
      </c>
      <c r="J120">
        <f>Data_Sheet[[#This Row],[Lead Time]]+10</f>
        <v>108</v>
      </c>
      <c r="K120" s="11" t="s">
        <v>280</v>
      </c>
    </row>
    <row r="121" spans="1:11" x14ac:dyDescent="0.25">
      <c r="A121" t="s">
        <v>11</v>
      </c>
      <c r="B121" t="s">
        <v>74</v>
      </c>
      <c r="C121" t="s">
        <v>1040</v>
      </c>
      <c r="D121" t="s">
        <v>1039</v>
      </c>
      <c r="E121" s="78" t="s">
        <v>1011</v>
      </c>
      <c r="F121" t="s">
        <v>43</v>
      </c>
      <c r="G121" t="s">
        <v>1068</v>
      </c>
      <c r="H121" s="77">
        <v>438</v>
      </c>
      <c r="I121">
        <v>98</v>
      </c>
      <c r="J121">
        <f>Data_Sheet[[#This Row],[Lead Time]]+10</f>
        <v>108</v>
      </c>
      <c r="K121" s="11" t="s">
        <v>281</v>
      </c>
    </row>
    <row r="122" spans="1:11" x14ac:dyDescent="0.25">
      <c r="A122" s="91" t="s">
        <v>11</v>
      </c>
      <c r="B122" t="s">
        <v>73</v>
      </c>
      <c r="C122" t="s">
        <v>12</v>
      </c>
      <c r="D122" t="s">
        <v>1100</v>
      </c>
      <c r="E122" s="39" t="str">
        <f>CONCATENATE(Data_Sheet[[#This Row],[Name]], " (",Data_Sheet[[#This Row],[CLIN]],")")</f>
        <v>Reduced Size Explosive Detection System Scanner (CLIN 0001)</v>
      </c>
      <c r="F122" t="s">
        <v>33</v>
      </c>
      <c r="G122" t="s">
        <v>1101</v>
      </c>
      <c r="H122" s="77">
        <v>382000</v>
      </c>
      <c r="I122">
        <v>112</v>
      </c>
      <c r="J122">
        <f>Data_Sheet[[#This Row],[Lead Time]]+10</f>
        <v>122</v>
      </c>
      <c r="K122" s="11" t="s">
        <v>282</v>
      </c>
    </row>
    <row r="123" spans="1:11" x14ac:dyDescent="0.25">
      <c r="A123" s="91" t="s">
        <v>11</v>
      </c>
      <c r="B123" t="s">
        <v>73</v>
      </c>
      <c r="C123" t="s">
        <v>1119</v>
      </c>
      <c r="D123" t="s">
        <v>1120</v>
      </c>
      <c r="E123" s="39" t="str">
        <f>CONCATENATE(Data_Sheet[[#This Row],[Name]],"( ",Data_Sheet[[#This Row],[CLIN]],")")</f>
        <v>Conveyor Entrance - Flat( CLIN 0001A)</v>
      </c>
      <c r="F123" t="s">
        <v>33</v>
      </c>
      <c r="G123" t="s">
        <v>1101</v>
      </c>
      <c r="I123">
        <v>112</v>
      </c>
      <c r="J123">
        <f>Data_Sheet[[#This Row],[Lead Time]]+10</f>
        <v>122</v>
      </c>
      <c r="K123" s="11" t="s">
        <v>283</v>
      </c>
    </row>
    <row r="124" spans="1:11" x14ac:dyDescent="0.25">
      <c r="A124" s="91" t="s">
        <v>11</v>
      </c>
      <c r="B124" t="s">
        <v>73</v>
      </c>
      <c r="C124" t="s">
        <v>1119</v>
      </c>
      <c r="D124" t="s">
        <v>1121</v>
      </c>
      <c r="E124" s="39" t="str">
        <f>CONCATENATE(Data_Sheet[[#This Row],[Name]],"( ",Data_Sheet[[#This Row],[CLIN]],")")</f>
        <v>Conveyor Entrance - Slope( CLIN 0001A)</v>
      </c>
      <c r="F124" t="s">
        <v>33</v>
      </c>
      <c r="G124" t="s">
        <v>1101</v>
      </c>
      <c r="I124">
        <v>112</v>
      </c>
      <c r="J124">
        <f>Data_Sheet[[#This Row],[Lead Time]]+10</f>
        <v>122</v>
      </c>
      <c r="K124" s="11" t="s">
        <v>284</v>
      </c>
    </row>
    <row r="125" spans="1:11" x14ac:dyDescent="0.25">
      <c r="A125" s="91" t="s">
        <v>11</v>
      </c>
      <c r="B125" t="s">
        <v>73</v>
      </c>
      <c r="C125" t="s">
        <v>1119</v>
      </c>
      <c r="D125" t="s">
        <v>1122</v>
      </c>
      <c r="E125" s="39" t="str">
        <f>CONCATENATE(Data_Sheet[[#This Row],[Name]],"( ",Data_Sheet[[#This Row],[CLIN]],")")</f>
        <v>Conveyor Exit - Flat( CLIN 0001A)</v>
      </c>
      <c r="F125" t="s">
        <v>33</v>
      </c>
      <c r="G125" t="s">
        <v>1101</v>
      </c>
      <c r="I125">
        <v>112</v>
      </c>
      <c r="J125">
        <f>Data_Sheet[[#This Row],[Lead Time]]+10</f>
        <v>122</v>
      </c>
      <c r="K125" s="11" t="s">
        <v>285</v>
      </c>
    </row>
    <row r="126" spans="1:11" x14ac:dyDescent="0.25">
      <c r="A126" s="91" t="s">
        <v>1102</v>
      </c>
      <c r="B126" t="s">
        <v>73</v>
      </c>
      <c r="C126" t="s">
        <v>1118</v>
      </c>
      <c r="D126" t="s">
        <v>1103</v>
      </c>
      <c r="E126" s="39" t="str">
        <f>CONCATENATE(Data_Sheet[[#This Row],[Name]], " (",Data_Sheet[[#This Row],[CLIN]],")")</f>
        <v>Reduced Size Explosive Detection Systems Scanner (CLIN 0001B)</v>
      </c>
      <c r="F126" t="s">
        <v>33</v>
      </c>
      <c r="G126" t="s">
        <v>1101</v>
      </c>
      <c r="H126" s="77">
        <v>382000</v>
      </c>
      <c r="I126">
        <v>112</v>
      </c>
      <c r="J126">
        <f>Data_Sheet[[#This Row],[Lead Time]]+10</f>
        <v>122</v>
      </c>
      <c r="K126" s="11" t="s">
        <v>286</v>
      </c>
    </row>
    <row r="127" spans="1:11" x14ac:dyDescent="0.25">
      <c r="A127" t="s">
        <v>11</v>
      </c>
      <c r="B127" t="s">
        <v>73</v>
      </c>
      <c r="C127" t="s">
        <v>15</v>
      </c>
      <c r="D127" t="s">
        <v>1104</v>
      </c>
      <c r="E127" s="39" t="str">
        <f>CONCATENATE(Data_Sheet[[#This Row],[Name]], " (",Data_Sheet[[#This Row],[CLIN]],")")</f>
        <v>Primary Viewing Station (PVS) Base (CLIN 0002)</v>
      </c>
      <c r="F127" t="s">
        <v>43</v>
      </c>
      <c r="G127" t="s">
        <v>1101</v>
      </c>
      <c r="H127" s="77">
        <v>9100</v>
      </c>
      <c r="I127">
        <v>98</v>
      </c>
      <c r="J127">
        <f>Data_Sheet[[#This Row],[Lead Time]]+10</f>
        <v>108</v>
      </c>
      <c r="K127" s="11" t="s">
        <v>287</v>
      </c>
    </row>
    <row r="128" spans="1:11" x14ac:dyDescent="0.25">
      <c r="A128" t="s">
        <v>1102</v>
      </c>
      <c r="B128" t="s">
        <v>73</v>
      </c>
      <c r="C128" t="s">
        <v>1123</v>
      </c>
      <c r="D128" t="s">
        <v>42</v>
      </c>
      <c r="E128" s="39" t="str">
        <f>CONCATENATE(Data_Sheet[[#This Row],[Name]], " (",Data_Sheet[[#This Row],[CLIN]],")")</f>
        <v>Primary Viewing Station (PVS) (CLIN 0002B)</v>
      </c>
      <c r="F128" t="s">
        <v>43</v>
      </c>
      <c r="G128" t="s">
        <v>1101</v>
      </c>
      <c r="H128" s="77">
        <v>9100</v>
      </c>
      <c r="I128">
        <v>98</v>
      </c>
      <c r="J128">
        <f>Data_Sheet[[#This Row],[Lead Time]]+10</f>
        <v>108</v>
      </c>
      <c r="K128" s="11" t="s">
        <v>288</v>
      </c>
    </row>
    <row r="129" spans="1:11" x14ac:dyDescent="0.25">
      <c r="A129" t="s">
        <v>1105</v>
      </c>
      <c r="B129" t="s">
        <v>73</v>
      </c>
      <c r="C129" t="s">
        <v>18</v>
      </c>
      <c r="D129" t="s">
        <v>141</v>
      </c>
      <c r="E129" s="39" t="str">
        <f>CONCATENATE(Data_Sheet[[#This Row],[Name]], " (",Data_Sheet[[#This Row],[CLIN]],")")</f>
        <v>Secondary Viewing Station (SVS) (CLIN 0003)</v>
      </c>
      <c r="F129" t="s">
        <v>43</v>
      </c>
      <c r="G129" t="s">
        <v>1101</v>
      </c>
      <c r="H129" s="77">
        <v>9100</v>
      </c>
      <c r="I129">
        <v>98</v>
      </c>
      <c r="J129">
        <f>Data_Sheet[[#This Row],[Lead Time]]+10</f>
        <v>108</v>
      </c>
      <c r="K129" s="11" t="s">
        <v>289</v>
      </c>
    </row>
    <row r="130" spans="1:11" x14ac:dyDescent="0.25">
      <c r="A130" t="s">
        <v>1102</v>
      </c>
      <c r="B130" t="s">
        <v>73</v>
      </c>
      <c r="C130" t="s">
        <v>1124</v>
      </c>
      <c r="D130" t="s">
        <v>141</v>
      </c>
      <c r="E130" s="39" t="str">
        <f>CONCATENATE(Data_Sheet[[#This Row],[Name]], " (",Data_Sheet[[#This Row],[CLIN]],")")</f>
        <v>Secondary Viewing Station (SVS) (CLIN 003B)</v>
      </c>
      <c r="F130" t="s">
        <v>43</v>
      </c>
      <c r="G130" t="s">
        <v>1101</v>
      </c>
      <c r="H130" s="77">
        <v>91000</v>
      </c>
      <c r="I130">
        <v>98</v>
      </c>
      <c r="J130">
        <f>Data_Sheet[[#This Row],[Lead Time]]+10</f>
        <v>108</v>
      </c>
      <c r="K130" s="11" t="s">
        <v>290</v>
      </c>
    </row>
    <row r="131" spans="1:11" x14ac:dyDescent="0.25">
      <c r="A131" t="s">
        <v>11</v>
      </c>
      <c r="B131" t="s">
        <v>73</v>
      </c>
      <c r="C131" t="s">
        <v>20</v>
      </c>
      <c r="D131" t="s">
        <v>1106</v>
      </c>
      <c r="E131" s="39" t="str">
        <f>CONCATENATE(Data_Sheet[[#This Row],[Name]], " (",Data_Sheet[[#This Row],[CLIN]],")")</f>
        <v>SVS Mounting Kit(SVS) (CLIN 0004)</v>
      </c>
      <c r="F131" t="s">
        <v>43</v>
      </c>
      <c r="G131" t="s">
        <v>1101</v>
      </c>
      <c r="H131" s="77">
        <v>1500</v>
      </c>
      <c r="I131">
        <v>98</v>
      </c>
      <c r="J131">
        <f>Data_Sheet[[#This Row],[Lead Time]]+10</f>
        <v>108</v>
      </c>
      <c r="K131" s="11" t="s">
        <v>291</v>
      </c>
    </row>
    <row r="132" spans="1:11" x14ac:dyDescent="0.25">
      <c r="A132" t="s">
        <v>1102</v>
      </c>
      <c r="B132" t="s">
        <v>73</v>
      </c>
      <c r="C132" t="s">
        <v>1125</v>
      </c>
      <c r="D132" t="s">
        <v>1106</v>
      </c>
      <c r="E132" s="39" t="str">
        <f>CONCATENATE(Data_Sheet[[#This Row],[Name]], " (",Data_Sheet[[#This Row],[CLIN]],")")</f>
        <v>SVS Mounting Kit(SVS) (CLIN 0004B)</v>
      </c>
      <c r="F132" t="s">
        <v>43</v>
      </c>
      <c r="G132" t="s">
        <v>1101</v>
      </c>
      <c r="H132" s="77">
        <v>1500</v>
      </c>
      <c r="I132">
        <v>98</v>
      </c>
      <c r="J132">
        <f>Data_Sheet[[#This Row],[Lead Time]]+10</f>
        <v>108</v>
      </c>
      <c r="K132" s="11" t="s">
        <v>292</v>
      </c>
    </row>
    <row r="133" spans="1:11" x14ac:dyDescent="0.25">
      <c r="A133" t="s">
        <v>11</v>
      </c>
      <c r="B133" t="s">
        <v>73</v>
      </c>
      <c r="C133" t="s">
        <v>22</v>
      </c>
      <c r="D133" t="s">
        <v>1024</v>
      </c>
      <c r="E133" s="39" t="str">
        <f>CONCATENATE(Data_Sheet[[#This Row],[Name]], " (",Data_Sheet[[#This Row],[CLIN]],")")</f>
        <v>Bar Code Reader (CLIN 0005)</v>
      </c>
      <c r="F133" t="s">
        <v>43</v>
      </c>
      <c r="G133" t="s">
        <v>1101</v>
      </c>
      <c r="H133" s="77">
        <v>2400</v>
      </c>
      <c r="I133">
        <v>98</v>
      </c>
      <c r="J133">
        <f>Data_Sheet[[#This Row],[Lead Time]]+10</f>
        <v>108</v>
      </c>
      <c r="K133" s="11" t="s">
        <v>293</v>
      </c>
    </row>
    <row r="134" spans="1:11" x14ac:dyDescent="0.25">
      <c r="A134" t="s">
        <v>1102</v>
      </c>
      <c r="B134" t="s">
        <v>73</v>
      </c>
      <c r="C134" t="s">
        <v>1126</v>
      </c>
      <c r="D134" t="s">
        <v>1024</v>
      </c>
      <c r="E134" s="39" t="str">
        <f>CONCATENATE(Data_Sheet[[#This Row],[Name]], " (",Data_Sheet[[#This Row],[CLIN]],")")</f>
        <v>Bar Code Reader (CLIN 0005B)</v>
      </c>
      <c r="F134" t="s">
        <v>43</v>
      </c>
      <c r="G134" t="s">
        <v>1101</v>
      </c>
      <c r="H134" s="77">
        <v>2400</v>
      </c>
      <c r="I134">
        <v>98</v>
      </c>
      <c r="J134">
        <f>Data_Sheet[[#This Row],[Lead Time]]+10</f>
        <v>108</v>
      </c>
      <c r="K134" s="11" t="s">
        <v>294</v>
      </c>
    </row>
    <row r="135" spans="1:11" x14ac:dyDescent="0.25">
      <c r="A135" t="s">
        <v>11</v>
      </c>
      <c r="B135" t="s">
        <v>73</v>
      </c>
      <c r="C135" t="s">
        <v>24</v>
      </c>
      <c r="D135" t="s">
        <v>1025</v>
      </c>
      <c r="E135" s="39" t="str">
        <f>CONCATENATE(Data_Sheet[[#This Row],[Name]], " (",Data_Sheet[[#This Row],[CLIN]],")")</f>
        <v>Printer (CLIN 0006)</v>
      </c>
      <c r="F135" t="s">
        <v>43</v>
      </c>
      <c r="G135" t="s">
        <v>1101</v>
      </c>
      <c r="H135" s="77">
        <v>600</v>
      </c>
      <c r="I135">
        <v>98</v>
      </c>
      <c r="J135">
        <f>Data_Sheet[[#This Row],[Lead Time]]+10</f>
        <v>108</v>
      </c>
      <c r="K135" s="11" t="s">
        <v>295</v>
      </c>
    </row>
    <row r="136" spans="1:11" x14ac:dyDescent="0.25">
      <c r="A136" t="s">
        <v>1102</v>
      </c>
      <c r="B136" t="s">
        <v>73</v>
      </c>
      <c r="C136" t="s">
        <v>1044</v>
      </c>
      <c r="D136" t="s">
        <v>1025</v>
      </c>
      <c r="E136" s="39" t="str">
        <f>CONCATENATE(Data_Sheet[[#This Row],[Name]], " (",Data_Sheet[[#This Row],[CLIN]],")")</f>
        <v>Printer (CLIN 0006B)</v>
      </c>
      <c r="F136" t="s">
        <v>43</v>
      </c>
      <c r="G136" t="s">
        <v>1101</v>
      </c>
      <c r="H136" s="77">
        <v>600</v>
      </c>
      <c r="I136">
        <v>98</v>
      </c>
      <c r="J136">
        <f>Data_Sheet[[#This Row],[Lead Time]]+10</f>
        <v>108</v>
      </c>
      <c r="K136" s="11" t="s">
        <v>296</v>
      </c>
    </row>
    <row r="137" spans="1:11" x14ac:dyDescent="0.25">
      <c r="A137" t="s">
        <v>11</v>
      </c>
      <c r="B137" t="s">
        <v>73</v>
      </c>
      <c r="C137" t="s">
        <v>26</v>
      </c>
      <c r="D137" t="s">
        <v>1107</v>
      </c>
      <c r="E137" s="39" t="str">
        <f>CONCATENATE(Data_Sheet[[#This Row],[Name]], " (",Data_Sheet[[#This Row],[CLIN]],")")</f>
        <v>Reserved (CLIN 0007)</v>
      </c>
      <c r="G137" t="s">
        <v>1101</v>
      </c>
      <c r="H137" s="77">
        <v>0</v>
      </c>
      <c r="I137">
        <v>98</v>
      </c>
      <c r="J137">
        <f>Data_Sheet[[#This Row],[Lead Time]]+10</f>
        <v>108</v>
      </c>
      <c r="K137" s="11" t="s">
        <v>297</v>
      </c>
    </row>
    <row r="138" spans="1:11" x14ac:dyDescent="0.25">
      <c r="A138" t="s">
        <v>11</v>
      </c>
      <c r="B138" t="s">
        <v>73</v>
      </c>
      <c r="C138" t="s">
        <v>28</v>
      </c>
      <c r="D138" t="s">
        <v>1108</v>
      </c>
      <c r="E138" s="39" t="str">
        <f>CONCATENATE(Data_Sheet[[#This Row],[Name]], " (",Data_Sheet[[#This Row],[CLIN]],")")</f>
        <v>Seismic Anchor (CLIN 0008)</v>
      </c>
      <c r="F138" t="s">
        <v>43</v>
      </c>
      <c r="G138" t="s">
        <v>1101</v>
      </c>
      <c r="H138" s="77">
        <v>2300</v>
      </c>
      <c r="I138">
        <v>98</v>
      </c>
      <c r="J138">
        <f>Data_Sheet[[#This Row],[Lead Time]]+10</f>
        <v>108</v>
      </c>
      <c r="K138" s="11" t="s">
        <v>298</v>
      </c>
    </row>
    <row r="139" spans="1:11" x14ac:dyDescent="0.25">
      <c r="A139" t="s">
        <v>1102</v>
      </c>
      <c r="B139" t="s">
        <v>73</v>
      </c>
      <c r="C139" t="s">
        <v>1127</v>
      </c>
      <c r="D139" t="s">
        <v>1108</v>
      </c>
      <c r="E139" s="39" t="str">
        <f>CONCATENATE(Data_Sheet[[#This Row],[Name]], " (",Data_Sheet[[#This Row],[CLIN]],")")</f>
        <v>Seismic Anchor (CLIN 0008B)</v>
      </c>
      <c r="F139" t="s">
        <v>43</v>
      </c>
      <c r="G139" t="s">
        <v>1101</v>
      </c>
      <c r="H139" s="77">
        <v>2300</v>
      </c>
      <c r="I139">
        <v>98</v>
      </c>
      <c r="J139">
        <f>Data_Sheet[[#This Row],[Lead Time]]+10</f>
        <v>108</v>
      </c>
      <c r="K139" s="11" t="s">
        <v>299</v>
      </c>
    </row>
    <row r="140" spans="1:11" x14ac:dyDescent="0.25">
      <c r="A140" t="s">
        <v>11</v>
      </c>
      <c r="B140" t="s">
        <v>73</v>
      </c>
      <c r="C140" t="s">
        <v>30</v>
      </c>
      <c r="D140" t="s">
        <v>1109</v>
      </c>
      <c r="E140" s="39" t="str">
        <f>CONCATENATE(Data_Sheet[[#This Row],[Name]], " (",Data_Sheet[[#This Row],[CLIN]],")")</f>
        <v>Pre Installation Support, Site Surveys (CLIN 0009)</v>
      </c>
      <c r="F140" t="s">
        <v>17</v>
      </c>
      <c r="G140" t="s">
        <v>1101</v>
      </c>
      <c r="H140" s="77">
        <v>8600</v>
      </c>
      <c r="K140" s="11" t="s">
        <v>300</v>
      </c>
    </row>
    <row r="141" spans="1:11" x14ac:dyDescent="0.25">
      <c r="A141" t="s">
        <v>1102</v>
      </c>
      <c r="B141" t="s">
        <v>73</v>
      </c>
      <c r="C141" t="s">
        <v>1128</v>
      </c>
      <c r="D141" t="s">
        <v>1109</v>
      </c>
      <c r="E141" s="39" t="str">
        <f>CONCATENATE(Data_Sheet[[#This Row],[Name]], " (",Data_Sheet[[#This Row],[CLIN]],")")</f>
        <v>Pre Installation Support, Site Surveys (CLIN 0009B)</v>
      </c>
      <c r="F141" t="s">
        <v>17</v>
      </c>
      <c r="G141" t="s">
        <v>1101</v>
      </c>
      <c r="H141" s="77">
        <v>8600</v>
      </c>
      <c r="K141" s="11" t="s">
        <v>301</v>
      </c>
    </row>
    <row r="142" spans="1:11" x14ac:dyDescent="0.25">
      <c r="A142" t="s">
        <v>11</v>
      </c>
      <c r="B142" t="s">
        <v>73</v>
      </c>
      <c r="C142" t="s">
        <v>32</v>
      </c>
      <c r="D142" t="s">
        <v>1110</v>
      </c>
      <c r="E142" s="39" t="str">
        <f>CONCATENATE(Data_Sheet[[#This Row],[Name]], " (",Data_Sheet[[#This Row],[CLIN]],")")</f>
        <v>RSEDS Equipment Installation (CLIN 0010)</v>
      </c>
      <c r="F142" t="s">
        <v>17</v>
      </c>
      <c r="G142" t="s">
        <v>1101</v>
      </c>
      <c r="H142" s="77">
        <v>13000</v>
      </c>
      <c r="K142" s="11" t="s">
        <v>302</v>
      </c>
    </row>
    <row r="143" spans="1:11" x14ac:dyDescent="0.25">
      <c r="A143" t="s">
        <v>1102</v>
      </c>
      <c r="B143" t="s">
        <v>73</v>
      </c>
      <c r="C143" t="s">
        <v>35</v>
      </c>
      <c r="D143" t="s">
        <v>1110</v>
      </c>
      <c r="E143" t="str">
        <f>CONCATENATE(Data_Sheet[[#This Row],[Name]], " (",Data_Sheet[[#This Row],[CLIN]],")")</f>
        <v>RSEDS Equipment Installation (CLIN 0010B)</v>
      </c>
      <c r="F143" t="s">
        <v>17</v>
      </c>
      <c r="G143" t="s">
        <v>1101</v>
      </c>
      <c r="H143" s="77">
        <v>13000</v>
      </c>
      <c r="K143" s="11" t="s">
        <v>303</v>
      </c>
    </row>
    <row r="144" spans="1:11" x14ac:dyDescent="0.25">
      <c r="A144" t="s">
        <v>11</v>
      </c>
      <c r="B144" t="s">
        <v>73</v>
      </c>
      <c r="C144" t="s">
        <v>41</v>
      </c>
      <c r="D144" t="s">
        <v>1111</v>
      </c>
      <c r="E144" t="str">
        <f>CONCATENATE(Data_Sheet[[#This Row],[Name]], " (",Data_Sheet[[#This Row],[CLIN]],")")</f>
        <v>Operational Run-In Support (CLIN 0011)</v>
      </c>
      <c r="F144" t="s">
        <v>17</v>
      </c>
      <c r="G144" t="s">
        <v>1101</v>
      </c>
      <c r="H144" s="77">
        <v>8500</v>
      </c>
      <c r="K144" s="11" t="s">
        <v>304</v>
      </c>
    </row>
    <row r="145" spans="1:11" x14ac:dyDescent="0.25">
      <c r="A145" t="s">
        <v>1102</v>
      </c>
      <c r="B145" t="s">
        <v>73</v>
      </c>
      <c r="C145" t="s">
        <v>1185</v>
      </c>
      <c r="D145" t="s">
        <v>1111</v>
      </c>
      <c r="E145" t="str">
        <f>CONCATENATE(Data_Sheet[[#This Row],[Name]], " (",Data_Sheet[[#This Row],[CLIN]],")")</f>
        <v>Operational Run-In Support (CLIN 0011B)</v>
      </c>
      <c r="F145" t="s">
        <v>17</v>
      </c>
      <c r="G145" t="s">
        <v>1101</v>
      </c>
      <c r="H145" s="77">
        <v>8500</v>
      </c>
      <c r="K145" s="11" t="s">
        <v>305</v>
      </c>
    </row>
    <row r="146" spans="1:11" x14ac:dyDescent="0.25">
      <c r="A146" t="s">
        <v>11</v>
      </c>
      <c r="B146" t="s">
        <v>73</v>
      </c>
      <c r="C146" t="s">
        <v>44</v>
      </c>
      <c r="D146" t="s">
        <v>1112</v>
      </c>
      <c r="E146" t="str">
        <f>CONCATENATE(Data_Sheet[[#This Row],[Name]], " (",Data_Sheet[[#This Row],[CLIN]],")")</f>
        <v>Training Classes (CLIN 0012)</v>
      </c>
      <c r="F146" t="s">
        <v>17</v>
      </c>
      <c r="G146" t="s">
        <v>1101</v>
      </c>
      <c r="H146" s="77">
        <v>8400</v>
      </c>
      <c r="K146" s="11" t="s">
        <v>306</v>
      </c>
    </row>
    <row r="147" spans="1:11" x14ac:dyDescent="0.25">
      <c r="A147" t="s">
        <v>1102</v>
      </c>
      <c r="B147" t="s">
        <v>73</v>
      </c>
      <c r="C147" t="s">
        <v>1129</v>
      </c>
      <c r="D147" t="s">
        <v>1112</v>
      </c>
      <c r="E147" t="str">
        <f>CONCATENATE(Data_Sheet[[#This Row],[Name]], " (",Data_Sheet[[#This Row],[CLIN]],")")</f>
        <v>Training Classes (CLIN 0012B)</v>
      </c>
      <c r="F147" t="s">
        <v>17</v>
      </c>
      <c r="G147" t="s">
        <v>1101</v>
      </c>
      <c r="H147" s="77">
        <v>8400</v>
      </c>
      <c r="K147" s="11" t="s">
        <v>307</v>
      </c>
    </row>
    <row r="148" spans="1:11" x14ac:dyDescent="0.25">
      <c r="A148" t="s">
        <v>11</v>
      </c>
      <c r="B148" t="s">
        <v>73</v>
      </c>
      <c r="C148" t="s">
        <v>45</v>
      </c>
      <c r="D148" s="34" t="s">
        <v>1113</v>
      </c>
      <c r="E148" t="str">
        <f>CONCATENATE(Data_Sheet[[#This Row],[Name]], " (",Data_Sheet[[#This Row],[CLIN]],")")</f>
        <v>Equipment Warranty (CLIN 0013)</v>
      </c>
      <c r="F148" t="s">
        <v>33</v>
      </c>
      <c r="G148" t="s">
        <v>1101</v>
      </c>
      <c r="H148" s="77">
        <v>120000</v>
      </c>
      <c r="K148" s="11" t="s">
        <v>308</v>
      </c>
    </row>
    <row r="149" spans="1:11" x14ac:dyDescent="0.25">
      <c r="A149" t="s">
        <v>1102</v>
      </c>
      <c r="B149" t="s">
        <v>73</v>
      </c>
      <c r="C149" s="6" t="s">
        <v>1130</v>
      </c>
      <c r="D149" t="s">
        <v>1113</v>
      </c>
      <c r="E149" t="str">
        <f>CONCATENATE(Data_Sheet[[#This Row],[Name]], " (",Data_Sheet[[#This Row],[CLIN]],")")</f>
        <v>Equipment Warranty (CLIN 0013B)</v>
      </c>
      <c r="F149" t="s">
        <v>33</v>
      </c>
      <c r="G149" t="s">
        <v>1101</v>
      </c>
      <c r="H149" s="77">
        <v>120000</v>
      </c>
      <c r="K149" s="11" t="s">
        <v>309</v>
      </c>
    </row>
    <row r="150" spans="1:11" x14ac:dyDescent="0.25">
      <c r="A150" t="s">
        <v>1102</v>
      </c>
      <c r="B150" t="s">
        <v>73</v>
      </c>
      <c r="C150" t="s">
        <v>47</v>
      </c>
      <c r="D150" t="s">
        <v>1114</v>
      </c>
      <c r="E150" t="str">
        <f>CONCATENATE(Data_Sheet[[#This Row],[Name]], " (",Data_Sheet[[#This Row],[CLIN]],")")</f>
        <v>2-Year Extended Equipment Warranty SOW (CLIN 0014)</v>
      </c>
      <c r="F150" t="s">
        <v>33</v>
      </c>
      <c r="G150" t="s">
        <v>1101</v>
      </c>
      <c r="H150" s="77">
        <v>120000</v>
      </c>
      <c r="K150" s="11" t="s">
        <v>310</v>
      </c>
    </row>
    <row r="151" spans="1:11" x14ac:dyDescent="0.25">
      <c r="K151" s="11" t="s">
        <v>311</v>
      </c>
    </row>
    <row r="152" spans="1:11" x14ac:dyDescent="0.25">
      <c r="K152" s="11" t="s">
        <v>312</v>
      </c>
    </row>
    <row r="153" spans="1:11" x14ac:dyDescent="0.25">
      <c r="K153" s="11" t="s">
        <v>313</v>
      </c>
    </row>
    <row r="154" spans="1:11" x14ac:dyDescent="0.25">
      <c r="K154" s="11" t="s">
        <v>314</v>
      </c>
    </row>
    <row r="155" spans="1:11" x14ac:dyDescent="0.25">
      <c r="K155" s="11" t="s">
        <v>315</v>
      </c>
    </row>
    <row r="156" spans="1:11" x14ac:dyDescent="0.25">
      <c r="K156" s="11" t="s">
        <v>316</v>
      </c>
    </row>
    <row r="157" spans="1:11" x14ac:dyDescent="0.25">
      <c r="K157" s="11" t="s">
        <v>317</v>
      </c>
    </row>
    <row r="158" spans="1:11" x14ac:dyDescent="0.25">
      <c r="K158" s="11" t="s">
        <v>318</v>
      </c>
    </row>
    <row r="159" spans="1:11" x14ac:dyDescent="0.25">
      <c r="K159" s="11" t="s">
        <v>319</v>
      </c>
    </row>
    <row r="160" spans="1:11" x14ac:dyDescent="0.25">
      <c r="K160" s="11" t="s">
        <v>320</v>
      </c>
    </row>
    <row r="161" spans="11:11" x14ac:dyDescent="0.25">
      <c r="K161" s="11" t="s">
        <v>321</v>
      </c>
    </row>
    <row r="162" spans="11:11" x14ac:dyDescent="0.25">
      <c r="K162" s="11" t="s">
        <v>322</v>
      </c>
    </row>
    <row r="163" spans="11:11" x14ac:dyDescent="0.25">
      <c r="K163" s="11" t="s">
        <v>323</v>
      </c>
    </row>
    <row r="164" spans="11:11" x14ac:dyDescent="0.25">
      <c r="K164" s="11" t="s">
        <v>324</v>
      </c>
    </row>
    <row r="165" spans="11:11" x14ac:dyDescent="0.25">
      <c r="K165" s="11" t="s">
        <v>325</v>
      </c>
    </row>
    <row r="166" spans="11:11" x14ac:dyDescent="0.25">
      <c r="K166" s="11" t="s">
        <v>326</v>
      </c>
    </row>
    <row r="167" spans="11:11" x14ac:dyDescent="0.25">
      <c r="K167" s="11" t="s">
        <v>327</v>
      </c>
    </row>
    <row r="168" spans="11:11" x14ac:dyDescent="0.25">
      <c r="K168" s="11" t="s">
        <v>328</v>
      </c>
    </row>
    <row r="169" spans="11:11" x14ac:dyDescent="0.25">
      <c r="K169" s="11" t="s">
        <v>329</v>
      </c>
    </row>
    <row r="170" spans="11:11" x14ac:dyDescent="0.25">
      <c r="K170" s="11" t="s">
        <v>330</v>
      </c>
    </row>
    <row r="171" spans="11:11" x14ac:dyDescent="0.25">
      <c r="K171" s="11" t="s">
        <v>331</v>
      </c>
    </row>
    <row r="172" spans="11:11" x14ac:dyDescent="0.25">
      <c r="K172" s="11" t="s">
        <v>332</v>
      </c>
    </row>
    <row r="173" spans="11:11" x14ac:dyDescent="0.25">
      <c r="K173" s="11" t="s">
        <v>333</v>
      </c>
    </row>
    <row r="174" spans="11:11" x14ac:dyDescent="0.25">
      <c r="K174" s="11" t="s">
        <v>334</v>
      </c>
    </row>
    <row r="175" spans="11:11" x14ac:dyDescent="0.25">
      <c r="K175" s="11" t="s">
        <v>335</v>
      </c>
    </row>
    <row r="176" spans="11:11" x14ac:dyDescent="0.25">
      <c r="K176" s="11" t="s">
        <v>336</v>
      </c>
    </row>
    <row r="177" spans="3:11" x14ac:dyDescent="0.25">
      <c r="K177" s="11" t="s">
        <v>337</v>
      </c>
    </row>
    <row r="178" spans="3:11" x14ac:dyDescent="0.25">
      <c r="K178" s="11" t="s">
        <v>338</v>
      </c>
    </row>
    <row r="179" spans="3:11" x14ac:dyDescent="0.25">
      <c r="K179" s="11" t="s">
        <v>339</v>
      </c>
    </row>
    <row r="180" spans="3:11" x14ac:dyDescent="0.25">
      <c r="K180" s="11" t="s">
        <v>340</v>
      </c>
    </row>
    <row r="181" spans="3:11" x14ac:dyDescent="0.25">
      <c r="D181" s="5"/>
      <c r="E181" s="5"/>
      <c r="K181" s="11" t="s">
        <v>341</v>
      </c>
    </row>
    <row r="182" spans="3:11" x14ac:dyDescent="0.25">
      <c r="C182" s="6"/>
      <c r="K182" s="11" t="s">
        <v>342</v>
      </c>
    </row>
    <row r="183" spans="3:11" x14ac:dyDescent="0.25">
      <c r="K183" s="11" t="s">
        <v>343</v>
      </c>
    </row>
    <row r="184" spans="3:11" x14ac:dyDescent="0.25">
      <c r="K184" s="11" t="s">
        <v>344</v>
      </c>
    </row>
    <row r="185" spans="3:11" x14ac:dyDescent="0.25">
      <c r="K185" s="11" t="s">
        <v>345</v>
      </c>
    </row>
    <row r="186" spans="3:11" x14ac:dyDescent="0.25">
      <c r="K186" s="11" t="s">
        <v>346</v>
      </c>
    </row>
    <row r="187" spans="3:11" x14ac:dyDescent="0.25">
      <c r="K187" s="11" t="s">
        <v>347</v>
      </c>
    </row>
    <row r="188" spans="3:11" x14ac:dyDescent="0.25">
      <c r="K188" s="11" t="s">
        <v>348</v>
      </c>
    </row>
    <row r="189" spans="3:11" x14ac:dyDescent="0.25">
      <c r="K189" s="11" t="s">
        <v>349</v>
      </c>
    </row>
    <row r="190" spans="3:11" x14ac:dyDescent="0.25">
      <c r="K190" s="11" t="s">
        <v>350</v>
      </c>
    </row>
    <row r="191" spans="3:11" x14ac:dyDescent="0.25">
      <c r="K191" s="11" t="s">
        <v>351</v>
      </c>
    </row>
    <row r="192" spans="3:11" x14ac:dyDescent="0.25">
      <c r="K192" s="11" t="s">
        <v>352</v>
      </c>
    </row>
    <row r="193" spans="11:11" x14ac:dyDescent="0.25">
      <c r="K193" s="11" t="s">
        <v>353</v>
      </c>
    </row>
    <row r="194" spans="11:11" x14ac:dyDescent="0.25">
      <c r="K194" s="11" t="s">
        <v>354</v>
      </c>
    </row>
    <row r="195" spans="11:11" x14ac:dyDescent="0.25">
      <c r="K195" s="11" t="s">
        <v>355</v>
      </c>
    </row>
    <row r="196" spans="11:11" x14ac:dyDescent="0.25">
      <c r="K196" s="11" t="s">
        <v>356</v>
      </c>
    </row>
    <row r="197" spans="11:11" x14ac:dyDescent="0.25">
      <c r="K197" s="11" t="s">
        <v>357</v>
      </c>
    </row>
    <row r="198" spans="11:11" x14ac:dyDescent="0.25">
      <c r="K198" s="11" t="s">
        <v>358</v>
      </c>
    </row>
    <row r="199" spans="11:11" x14ac:dyDescent="0.25">
      <c r="K199" s="11" t="s">
        <v>359</v>
      </c>
    </row>
    <row r="200" spans="11:11" x14ac:dyDescent="0.25">
      <c r="K200" s="11" t="s">
        <v>360</v>
      </c>
    </row>
    <row r="201" spans="11:11" x14ac:dyDescent="0.25">
      <c r="K201" s="11" t="s">
        <v>361</v>
      </c>
    </row>
    <row r="202" spans="11:11" x14ac:dyDescent="0.25">
      <c r="K202" s="11" t="s">
        <v>362</v>
      </c>
    </row>
    <row r="203" spans="11:11" x14ac:dyDescent="0.25">
      <c r="K203" s="11" t="s">
        <v>363</v>
      </c>
    </row>
    <row r="204" spans="11:11" x14ac:dyDescent="0.25">
      <c r="K204" s="11" t="s">
        <v>364</v>
      </c>
    </row>
    <row r="205" spans="11:11" x14ac:dyDescent="0.25">
      <c r="K205" s="11" t="s">
        <v>365</v>
      </c>
    </row>
    <row r="206" spans="11:11" x14ac:dyDescent="0.25">
      <c r="K206" s="11" t="s">
        <v>366</v>
      </c>
    </row>
    <row r="207" spans="11:11" x14ac:dyDescent="0.25">
      <c r="K207" s="11" t="s">
        <v>367</v>
      </c>
    </row>
    <row r="208" spans="11:11" x14ac:dyDescent="0.25">
      <c r="K208" s="11" t="s">
        <v>368</v>
      </c>
    </row>
    <row r="209" spans="11:11" x14ac:dyDescent="0.25">
      <c r="K209" s="11" t="s">
        <v>369</v>
      </c>
    </row>
    <row r="210" spans="11:11" x14ac:dyDescent="0.25">
      <c r="K210" s="11" t="s">
        <v>370</v>
      </c>
    </row>
    <row r="211" spans="11:11" x14ac:dyDescent="0.25">
      <c r="K211" s="11" t="s">
        <v>371</v>
      </c>
    </row>
    <row r="212" spans="11:11" x14ac:dyDescent="0.25">
      <c r="K212" s="11" t="s">
        <v>372</v>
      </c>
    </row>
    <row r="213" spans="11:11" x14ac:dyDescent="0.25">
      <c r="K213" s="11" t="s">
        <v>373</v>
      </c>
    </row>
    <row r="214" spans="11:11" x14ac:dyDescent="0.25">
      <c r="K214" s="11" t="s">
        <v>374</v>
      </c>
    </row>
    <row r="215" spans="11:11" x14ac:dyDescent="0.25">
      <c r="K215" s="11" t="s">
        <v>375</v>
      </c>
    </row>
    <row r="216" spans="11:11" x14ac:dyDescent="0.25">
      <c r="K216" s="11" t="s">
        <v>376</v>
      </c>
    </row>
    <row r="217" spans="11:11" x14ac:dyDescent="0.25">
      <c r="K217" s="11" t="s">
        <v>377</v>
      </c>
    </row>
    <row r="218" spans="11:11" x14ac:dyDescent="0.25">
      <c r="K218" s="11" t="s">
        <v>378</v>
      </c>
    </row>
    <row r="219" spans="11:11" x14ac:dyDescent="0.25">
      <c r="K219" s="11" t="s">
        <v>379</v>
      </c>
    </row>
    <row r="220" spans="11:11" x14ac:dyDescent="0.25">
      <c r="K220" s="11" t="s">
        <v>380</v>
      </c>
    </row>
    <row r="221" spans="11:11" x14ac:dyDescent="0.25">
      <c r="K221" s="11" t="s">
        <v>381</v>
      </c>
    </row>
    <row r="222" spans="11:11" x14ac:dyDescent="0.25">
      <c r="K222" s="11" t="s">
        <v>382</v>
      </c>
    </row>
    <row r="223" spans="11:11" x14ac:dyDescent="0.25">
      <c r="K223" s="11" t="s">
        <v>383</v>
      </c>
    </row>
    <row r="224" spans="11:11" x14ac:dyDescent="0.25">
      <c r="K224" s="11" t="s">
        <v>384</v>
      </c>
    </row>
    <row r="225" spans="11:11" x14ac:dyDescent="0.25">
      <c r="K225" s="11" t="s">
        <v>385</v>
      </c>
    </row>
    <row r="226" spans="11:11" x14ac:dyDescent="0.25">
      <c r="K226" s="11" t="s">
        <v>386</v>
      </c>
    </row>
    <row r="227" spans="11:11" x14ac:dyDescent="0.25">
      <c r="K227" s="11" t="s">
        <v>387</v>
      </c>
    </row>
    <row r="228" spans="11:11" x14ac:dyDescent="0.25">
      <c r="K228" s="11" t="s">
        <v>388</v>
      </c>
    </row>
    <row r="229" spans="11:11" x14ac:dyDescent="0.25">
      <c r="K229" s="11" t="s">
        <v>389</v>
      </c>
    </row>
    <row r="230" spans="11:11" x14ac:dyDescent="0.25">
      <c r="K230" s="11" t="s">
        <v>390</v>
      </c>
    </row>
    <row r="231" spans="11:11" x14ac:dyDescent="0.25">
      <c r="K231" s="11" t="s">
        <v>391</v>
      </c>
    </row>
    <row r="232" spans="11:11" x14ac:dyDescent="0.25">
      <c r="K232" s="11" t="s">
        <v>392</v>
      </c>
    </row>
    <row r="233" spans="11:11" x14ac:dyDescent="0.25">
      <c r="K233" s="11" t="s">
        <v>393</v>
      </c>
    </row>
    <row r="234" spans="11:11" x14ac:dyDescent="0.25">
      <c r="K234" s="11" t="s">
        <v>394</v>
      </c>
    </row>
    <row r="235" spans="11:11" x14ac:dyDescent="0.25">
      <c r="K235" s="11" t="s">
        <v>395</v>
      </c>
    </row>
    <row r="236" spans="11:11" x14ac:dyDescent="0.25">
      <c r="K236" s="11" t="s">
        <v>396</v>
      </c>
    </row>
    <row r="237" spans="11:11" x14ac:dyDescent="0.25">
      <c r="K237" s="11" t="s">
        <v>397</v>
      </c>
    </row>
    <row r="238" spans="11:11" x14ac:dyDescent="0.25">
      <c r="K238" s="11" t="s">
        <v>398</v>
      </c>
    </row>
    <row r="239" spans="11:11" x14ac:dyDescent="0.25">
      <c r="K239" s="11" t="s">
        <v>399</v>
      </c>
    </row>
    <row r="240" spans="11:11" x14ac:dyDescent="0.25">
      <c r="K240" s="11" t="s">
        <v>400</v>
      </c>
    </row>
    <row r="241" spans="11:11" x14ac:dyDescent="0.25">
      <c r="K241" s="11" t="s">
        <v>401</v>
      </c>
    </row>
    <row r="242" spans="11:11" x14ac:dyDescent="0.25">
      <c r="K242" s="11" t="s">
        <v>402</v>
      </c>
    </row>
    <row r="243" spans="11:11" x14ac:dyDescent="0.25">
      <c r="K243" s="11" t="s">
        <v>403</v>
      </c>
    </row>
    <row r="244" spans="11:11" x14ac:dyDescent="0.25">
      <c r="K244" s="11" t="s">
        <v>404</v>
      </c>
    </row>
    <row r="245" spans="11:11" x14ac:dyDescent="0.25">
      <c r="K245" s="11" t="s">
        <v>405</v>
      </c>
    </row>
    <row r="246" spans="11:11" x14ac:dyDescent="0.25">
      <c r="K246" s="11" t="s">
        <v>406</v>
      </c>
    </row>
    <row r="247" spans="11:11" x14ac:dyDescent="0.25">
      <c r="K247" s="11" t="s">
        <v>407</v>
      </c>
    </row>
    <row r="248" spans="11:11" x14ac:dyDescent="0.25">
      <c r="K248" s="11" t="s">
        <v>408</v>
      </c>
    </row>
    <row r="249" spans="11:11" x14ac:dyDescent="0.25">
      <c r="K249" s="11" t="s">
        <v>409</v>
      </c>
    </row>
    <row r="250" spans="11:11" x14ac:dyDescent="0.25">
      <c r="K250" s="11" t="s">
        <v>410</v>
      </c>
    </row>
    <row r="251" spans="11:11" x14ac:dyDescent="0.25">
      <c r="K251" s="11" t="s">
        <v>411</v>
      </c>
    </row>
    <row r="252" spans="11:11" x14ac:dyDescent="0.25">
      <c r="K252" s="11" t="s">
        <v>412</v>
      </c>
    </row>
    <row r="253" spans="11:11" x14ac:dyDescent="0.25">
      <c r="K253" s="11" t="s">
        <v>413</v>
      </c>
    </row>
    <row r="254" spans="11:11" x14ac:dyDescent="0.25">
      <c r="K254" s="11" t="s">
        <v>414</v>
      </c>
    </row>
    <row r="255" spans="11:11" x14ac:dyDescent="0.25">
      <c r="K255" s="11" t="s">
        <v>415</v>
      </c>
    </row>
    <row r="256" spans="11:11" x14ac:dyDescent="0.25">
      <c r="K256" s="11" t="s">
        <v>416</v>
      </c>
    </row>
    <row r="257" spans="11:11" x14ac:dyDescent="0.25">
      <c r="K257" s="11" t="s">
        <v>417</v>
      </c>
    </row>
    <row r="258" spans="11:11" x14ac:dyDescent="0.25">
      <c r="K258" s="11" t="s">
        <v>418</v>
      </c>
    </row>
    <row r="259" spans="11:11" x14ac:dyDescent="0.25">
      <c r="K259" s="11" t="s">
        <v>419</v>
      </c>
    </row>
    <row r="260" spans="11:11" x14ac:dyDescent="0.25">
      <c r="K260" s="11" t="s">
        <v>420</v>
      </c>
    </row>
    <row r="261" spans="11:11" x14ac:dyDescent="0.25">
      <c r="K261" s="11" t="s">
        <v>421</v>
      </c>
    </row>
    <row r="262" spans="11:11" x14ac:dyDescent="0.25">
      <c r="K262" s="11" t="s">
        <v>422</v>
      </c>
    </row>
    <row r="263" spans="11:11" x14ac:dyDescent="0.25">
      <c r="K263" s="11" t="s">
        <v>423</v>
      </c>
    </row>
    <row r="264" spans="11:11" x14ac:dyDescent="0.25">
      <c r="K264" s="11" t="s">
        <v>424</v>
      </c>
    </row>
    <row r="265" spans="11:11" x14ac:dyDescent="0.25">
      <c r="K265" s="11" t="s">
        <v>425</v>
      </c>
    </row>
    <row r="266" spans="11:11" x14ac:dyDescent="0.25">
      <c r="K266" s="11" t="s">
        <v>426</v>
      </c>
    </row>
    <row r="267" spans="11:11" x14ac:dyDescent="0.25">
      <c r="K267" s="11" t="s">
        <v>427</v>
      </c>
    </row>
    <row r="268" spans="11:11" x14ac:dyDescent="0.25">
      <c r="K268" s="11" t="s">
        <v>428</v>
      </c>
    </row>
    <row r="269" spans="11:11" x14ac:dyDescent="0.25">
      <c r="K269" s="11" t="s">
        <v>429</v>
      </c>
    </row>
    <row r="270" spans="11:11" x14ac:dyDescent="0.25">
      <c r="K270" s="11" t="s">
        <v>430</v>
      </c>
    </row>
    <row r="271" spans="11:11" x14ac:dyDescent="0.25">
      <c r="K271" s="11" t="s">
        <v>431</v>
      </c>
    </row>
    <row r="272" spans="11:11" x14ac:dyDescent="0.25">
      <c r="K272" s="11" t="s">
        <v>432</v>
      </c>
    </row>
    <row r="273" spans="11:11" x14ac:dyDescent="0.25">
      <c r="K273" s="11" t="s">
        <v>433</v>
      </c>
    </row>
    <row r="274" spans="11:11" x14ac:dyDescent="0.25">
      <c r="K274" s="11" t="s">
        <v>434</v>
      </c>
    </row>
    <row r="275" spans="11:11" x14ac:dyDescent="0.25">
      <c r="K275" s="11" t="s">
        <v>435</v>
      </c>
    </row>
    <row r="276" spans="11:11" x14ac:dyDescent="0.25">
      <c r="K276" s="11" t="s">
        <v>436</v>
      </c>
    </row>
    <row r="277" spans="11:11" x14ac:dyDescent="0.25">
      <c r="K277" s="11" t="s">
        <v>437</v>
      </c>
    </row>
    <row r="278" spans="11:11" x14ac:dyDescent="0.25">
      <c r="K278" s="11" t="s">
        <v>438</v>
      </c>
    </row>
    <row r="279" spans="11:11" x14ac:dyDescent="0.25">
      <c r="K279" s="11" t="s">
        <v>439</v>
      </c>
    </row>
    <row r="280" spans="11:11" x14ac:dyDescent="0.25">
      <c r="K280" s="11" t="s">
        <v>440</v>
      </c>
    </row>
    <row r="281" spans="11:11" x14ac:dyDescent="0.25">
      <c r="K281" s="11" t="s">
        <v>441</v>
      </c>
    </row>
    <row r="282" spans="11:11" x14ac:dyDescent="0.25">
      <c r="K282" s="11" t="s">
        <v>442</v>
      </c>
    </row>
    <row r="283" spans="11:11" x14ac:dyDescent="0.25">
      <c r="K283" s="11" t="s">
        <v>443</v>
      </c>
    </row>
    <row r="284" spans="11:11" x14ac:dyDescent="0.25">
      <c r="K284" s="11" t="s">
        <v>444</v>
      </c>
    </row>
    <row r="285" spans="11:11" x14ac:dyDescent="0.25">
      <c r="K285" s="11" t="s">
        <v>445</v>
      </c>
    </row>
    <row r="286" spans="11:11" x14ac:dyDescent="0.25">
      <c r="K286" s="11" t="s">
        <v>446</v>
      </c>
    </row>
    <row r="287" spans="11:11" x14ac:dyDescent="0.25">
      <c r="K287" s="11" t="s">
        <v>447</v>
      </c>
    </row>
    <row r="288" spans="11:11" x14ac:dyDescent="0.25">
      <c r="K288" s="11" t="s">
        <v>448</v>
      </c>
    </row>
    <row r="289" spans="11:11" x14ac:dyDescent="0.25">
      <c r="K289" s="11" t="s">
        <v>449</v>
      </c>
    </row>
    <row r="290" spans="11:11" x14ac:dyDescent="0.25">
      <c r="K290" s="11" t="s">
        <v>450</v>
      </c>
    </row>
    <row r="291" spans="11:11" x14ac:dyDescent="0.25">
      <c r="K291" s="11" t="s">
        <v>451</v>
      </c>
    </row>
    <row r="292" spans="11:11" x14ac:dyDescent="0.25">
      <c r="K292" s="11" t="s">
        <v>452</v>
      </c>
    </row>
    <row r="293" spans="11:11" x14ac:dyDescent="0.25">
      <c r="K293" s="11" t="s">
        <v>453</v>
      </c>
    </row>
    <row r="294" spans="11:11" x14ac:dyDescent="0.25">
      <c r="K294" s="11" t="s">
        <v>454</v>
      </c>
    </row>
    <row r="295" spans="11:11" x14ac:dyDescent="0.25">
      <c r="K295" s="11" t="s">
        <v>455</v>
      </c>
    </row>
    <row r="296" spans="11:11" x14ac:dyDescent="0.25">
      <c r="K296" s="11" t="s">
        <v>456</v>
      </c>
    </row>
    <row r="297" spans="11:11" x14ac:dyDescent="0.25">
      <c r="K297" s="11" t="s">
        <v>457</v>
      </c>
    </row>
    <row r="298" spans="11:11" x14ac:dyDescent="0.25">
      <c r="K298" s="11" t="s">
        <v>458</v>
      </c>
    </row>
    <row r="299" spans="11:11" x14ac:dyDescent="0.25">
      <c r="K299" s="11" t="s">
        <v>459</v>
      </c>
    </row>
    <row r="300" spans="11:11" x14ac:dyDescent="0.25">
      <c r="K300" s="11" t="s">
        <v>460</v>
      </c>
    </row>
    <row r="301" spans="11:11" x14ac:dyDescent="0.25">
      <c r="K301" s="11" t="s">
        <v>461</v>
      </c>
    </row>
    <row r="302" spans="11:11" x14ac:dyDescent="0.25">
      <c r="K302" s="11" t="s">
        <v>462</v>
      </c>
    </row>
    <row r="303" spans="11:11" x14ac:dyDescent="0.25">
      <c r="K303" s="11" t="s">
        <v>463</v>
      </c>
    </row>
    <row r="304" spans="11:11" x14ac:dyDescent="0.25">
      <c r="K304" s="11" t="s">
        <v>464</v>
      </c>
    </row>
    <row r="305" spans="11:11" x14ac:dyDescent="0.25">
      <c r="K305" s="11" t="s">
        <v>465</v>
      </c>
    </row>
    <row r="306" spans="11:11" x14ac:dyDescent="0.25">
      <c r="K306" s="11" t="s">
        <v>466</v>
      </c>
    </row>
    <row r="307" spans="11:11" x14ac:dyDescent="0.25">
      <c r="K307" s="11" t="s">
        <v>467</v>
      </c>
    </row>
    <row r="308" spans="11:11" x14ac:dyDescent="0.25">
      <c r="K308" s="11" t="s">
        <v>468</v>
      </c>
    </row>
    <row r="309" spans="11:11" x14ac:dyDescent="0.25">
      <c r="K309" s="11" t="s">
        <v>469</v>
      </c>
    </row>
    <row r="310" spans="11:11" x14ac:dyDescent="0.25">
      <c r="K310" s="11" t="s">
        <v>470</v>
      </c>
    </row>
    <row r="311" spans="11:11" x14ac:dyDescent="0.25">
      <c r="K311" s="11" t="s">
        <v>471</v>
      </c>
    </row>
    <row r="312" spans="11:11" x14ac:dyDescent="0.25">
      <c r="K312" s="11" t="s">
        <v>472</v>
      </c>
    </row>
    <row r="313" spans="11:11" x14ac:dyDescent="0.25">
      <c r="K313" s="11" t="s">
        <v>473</v>
      </c>
    </row>
    <row r="314" spans="11:11" x14ac:dyDescent="0.25">
      <c r="K314" s="11" t="s">
        <v>474</v>
      </c>
    </row>
    <row r="315" spans="11:11" x14ac:dyDescent="0.25">
      <c r="K315" s="11" t="s">
        <v>475</v>
      </c>
    </row>
    <row r="316" spans="11:11" x14ac:dyDescent="0.25">
      <c r="K316" s="11" t="s">
        <v>476</v>
      </c>
    </row>
    <row r="317" spans="11:11" x14ac:dyDescent="0.25">
      <c r="K317" s="11" t="s">
        <v>477</v>
      </c>
    </row>
    <row r="318" spans="11:11" x14ac:dyDescent="0.25">
      <c r="K318" s="11" t="s">
        <v>478</v>
      </c>
    </row>
    <row r="319" spans="11:11" x14ac:dyDescent="0.25">
      <c r="K319" s="11" t="s">
        <v>479</v>
      </c>
    </row>
    <row r="320" spans="11:11" x14ac:dyDescent="0.25">
      <c r="K320" s="11" t="s">
        <v>480</v>
      </c>
    </row>
    <row r="321" spans="11:11" x14ac:dyDescent="0.25">
      <c r="K321" s="11" t="s">
        <v>481</v>
      </c>
    </row>
    <row r="322" spans="11:11" x14ac:dyDescent="0.25">
      <c r="K322" s="11" t="s">
        <v>482</v>
      </c>
    </row>
    <row r="323" spans="11:11" x14ac:dyDescent="0.25">
      <c r="K323" s="11" t="s">
        <v>483</v>
      </c>
    </row>
    <row r="324" spans="11:11" x14ac:dyDescent="0.25">
      <c r="K324" s="11" t="s">
        <v>484</v>
      </c>
    </row>
    <row r="325" spans="11:11" x14ac:dyDescent="0.25">
      <c r="K325" s="11" t="s">
        <v>485</v>
      </c>
    </row>
    <row r="326" spans="11:11" x14ac:dyDescent="0.25">
      <c r="K326" s="11" t="s">
        <v>486</v>
      </c>
    </row>
    <row r="327" spans="11:11" x14ac:dyDescent="0.25">
      <c r="K327" s="11" t="s">
        <v>487</v>
      </c>
    </row>
    <row r="328" spans="11:11" x14ac:dyDescent="0.25">
      <c r="K328" s="11" t="s">
        <v>488</v>
      </c>
    </row>
    <row r="329" spans="11:11" x14ac:dyDescent="0.25">
      <c r="K329" s="11" t="s">
        <v>489</v>
      </c>
    </row>
    <row r="330" spans="11:11" x14ac:dyDescent="0.25">
      <c r="K330" s="11" t="s">
        <v>490</v>
      </c>
    </row>
    <row r="331" spans="11:11" x14ac:dyDescent="0.25">
      <c r="K331" s="11" t="s">
        <v>491</v>
      </c>
    </row>
    <row r="332" spans="11:11" x14ac:dyDescent="0.25">
      <c r="K332" s="11" t="s">
        <v>492</v>
      </c>
    </row>
    <row r="333" spans="11:11" x14ac:dyDescent="0.25">
      <c r="K333" s="11" t="s">
        <v>493</v>
      </c>
    </row>
    <row r="334" spans="11:11" x14ac:dyDescent="0.25">
      <c r="K334" s="11" t="s">
        <v>494</v>
      </c>
    </row>
    <row r="335" spans="11:11" x14ac:dyDescent="0.25">
      <c r="K335" s="11" t="s">
        <v>495</v>
      </c>
    </row>
    <row r="336" spans="11:11" x14ac:dyDescent="0.25">
      <c r="K336" s="11" t="s">
        <v>496</v>
      </c>
    </row>
    <row r="337" spans="11:11" x14ac:dyDescent="0.25">
      <c r="K337" s="11" t="s">
        <v>497</v>
      </c>
    </row>
    <row r="338" spans="11:11" x14ac:dyDescent="0.25">
      <c r="K338" s="11" t="s">
        <v>498</v>
      </c>
    </row>
    <row r="339" spans="11:11" x14ac:dyDescent="0.25">
      <c r="K339" s="11" t="s">
        <v>499</v>
      </c>
    </row>
    <row r="340" spans="11:11" x14ac:dyDescent="0.25">
      <c r="K340" s="11" t="s">
        <v>500</v>
      </c>
    </row>
    <row r="341" spans="11:11" x14ac:dyDescent="0.25">
      <c r="K341" s="11" t="s">
        <v>501</v>
      </c>
    </row>
    <row r="342" spans="11:11" x14ac:dyDescent="0.25">
      <c r="K342" s="11" t="s">
        <v>502</v>
      </c>
    </row>
    <row r="343" spans="11:11" x14ac:dyDescent="0.25">
      <c r="K343" s="11" t="s">
        <v>503</v>
      </c>
    </row>
    <row r="344" spans="11:11" x14ac:dyDescent="0.25">
      <c r="K344" s="11" t="s">
        <v>504</v>
      </c>
    </row>
    <row r="345" spans="11:11" x14ac:dyDescent="0.25">
      <c r="K345" s="11" t="s">
        <v>505</v>
      </c>
    </row>
    <row r="346" spans="11:11" x14ac:dyDescent="0.25">
      <c r="K346" s="11" t="s">
        <v>506</v>
      </c>
    </row>
    <row r="347" spans="11:11" x14ac:dyDescent="0.25">
      <c r="K347" s="11" t="s">
        <v>507</v>
      </c>
    </row>
    <row r="348" spans="11:11" x14ac:dyDescent="0.25">
      <c r="K348" s="11" t="s">
        <v>508</v>
      </c>
    </row>
    <row r="349" spans="11:11" x14ac:dyDescent="0.25">
      <c r="K349" s="11" t="s">
        <v>509</v>
      </c>
    </row>
    <row r="350" spans="11:11" x14ac:dyDescent="0.25">
      <c r="K350" s="11" t="s">
        <v>510</v>
      </c>
    </row>
    <row r="351" spans="11:11" x14ac:dyDescent="0.25">
      <c r="K351" s="11" t="s">
        <v>511</v>
      </c>
    </row>
    <row r="352" spans="11:11" x14ac:dyDescent="0.25">
      <c r="K352" s="11" t="s">
        <v>512</v>
      </c>
    </row>
    <row r="353" spans="11:11" x14ac:dyDescent="0.25">
      <c r="K353" s="11" t="s">
        <v>513</v>
      </c>
    </row>
    <row r="354" spans="11:11" x14ac:dyDescent="0.25">
      <c r="K354" s="11" t="s">
        <v>514</v>
      </c>
    </row>
    <row r="355" spans="11:11" x14ac:dyDescent="0.25">
      <c r="K355" s="11" t="s">
        <v>515</v>
      </c>
    </row>
    <row r="356" spans="11:11" x14ac:dyDescent="0.25">
      <c r="K356" s="11" t="s">
        <v>516</v>
      </c>
    </row>
    <row r="357" spans="11:11" x14ac:dyDescent="0.25">
      <c r="K357" s="11" t="s">
        <v>517</v>
      </c>
    </row>
    <row r="358" spans="11:11" x14ac:dyDescent="0.25">
      <c r="K358" s="11" t="s">
        <v>518</v>
      </c>
    </row>
    <row r="359" spans="11:11" x14ac:dyDescent="0.25">
      <c r="K359" s="11" t="s">
        <v>519</v>
      </c>
    </row>
    <row r="360" spans="11:11" x14ac:dyDescent="0.25">
      <c r="K360" s="11" t="s">
        <v>520</v>
      </c>
    </row>
    <row r="361" spans="11:11" x14ac:dyDescent="0.25">
      <c r="K361" s="11" t="s">
        <v>521</v>
      </c>
    </row>
    <row r="362" spans="11:11" x14ac:dyDescent="0.25">
      <c r="K362" s="11" t="s">
        <v>522</v>
      </c>
    </row>
    <row r="363" spans="11:11" x14ac:dyDescent="0.25">
      <c r="K363" s="11" t="s">
        <v>523</v>
      </c>
    </row>
    <row r="364" spans="11:11" x14ac:dyDescent="0.25">
      <c r="K364" s="11" t="s">
        <v>524</v>
      </c>
    </row>
    <row r="365" spans="11:11" x14ac:dyDescent="0.25">
      <c r="K365" s="11" t="s">
        <v>525</v>
      </c>
    </row>
    <row r="366" spans="11:11" x14ac:dyDescent="0.25">
      <c r="K366" s="11" t="s">
        <v>526</v>
      </c>
    </row>
    <row r="367" spans="11:11" x14ac:dyDescent="0.25">
      <c r="K367" s="11" t="s">
        <v>527</v>
      </c>
    </row>
    <row r="368" spans="11:11" x14ac:dyDescent="0.25">
      <c r="K368" s="11" t="s">
        <v>528</v>
      </c>
    </row>
    <row r="369" spans="11:11" x14ac:dyDescent="0.25">
      <c r="K369" s="11" t="s">
        <v>529</v>
      </c>
    </row>
    <row r="370" spans="11:11" x14ac:dyDescent="0.25">
      <c r="K370" s="11" t="s">
        <v>530</v>
      </c>
    </row>
    <row r="371" spans="11:11" x14ac:dyDescent="0.25">
      <c r="K371" s="11" t="s">
        <v>531</v>
      </c>
    </row>
    <row r="372" spans="11:11" x14ac:dyDescent="0.25">
      <c r="K372" s="11" t="s">
        <v>532</v>
      </c>
    </row>
    <row r="373" spans="11:11" x14ac:dyDescent="0.25">
      <c r="K373" s="11" t="s">
        <v>533</v>
      </c>
    </row>
    <row r="374" spans="11:11" x14ac:dyDescent="0.25">
      <c r="K374" s="11" t="s">
        <v>534</v>
      </c>
    </row>
    <row r="375" spans="11:11" x14ac:dyDescent="0.25">
      <c r="K375" s="11" t="s">
        <v>535</v>
      </c>
    </row>
    <row r="376" spans="11:11" x14ac:dyDescent="0.25">
      <c r="K376" s="11" t="s">
        <v>536</v>
      </c>
    </row>
    <row r="377" spans="11:11" x14ac:dyDescent="0.25">
      <c r="K377" s="11" t="s">
        <v>537</v>
      </c>
    </row>
    <row r="378" spans="11:11" x14ac:dyDescent="0.25">
      <c r="K378" s="11" t="s">
        <v>538</v>
      </c>
    </row>
    <row r="379" spans="11:11" x14ac:dyDescent="0.25">
      <c r="K379" s="11" t="s">
        <v>539</v>
      </c>
    </row>
    <row r="380" spans="11:11" x14ac:dyDescent="0.25">
      <c r="K380" s="11" t="s">
        <v>540</v>
      </c>
    </row>
    <row r="381" spans="11:11" x14ac:dyDescent="0.25">
      <c r="K381" s="11" t="s">
        <v>541</v>
      </c>
    </row>
    <row r="382" spans="11:11" x14ac:dyDescent="0.25">
      <c r="K382" s="11" t="s">
        <v>542</v>
      </c>
    </row>
    <row r="383" spans="11:11" x14ac:dyDescent="0.25">
      <c r="K383" s="11" t="s">
        <v>543</v>
      </c>
    </row>
    <row r="384" spans="11:11" x14ac:dyDescent="0.25">
      <c r="K384" s="11" t="s">
        <v>544</v>
      </c>
    </row>
    <row r="385" spans="11:11" x14ac:dyDescent="0.25">
      <c r="K385" s="11" t="s">
        <v>545</v>
      </c>
    </row>
    <row r="386" spans="11:11" x14ac:dyDescent="0.25">
      <c r="K386" s="11" t="s">
        <v>546</v>
      </c>
    </row>
    <row r="387" spans="11:11" x14ac:dyDescent="0.25">
      <c r="K387" s="11" t="s">
        <v>547</v>
      </c>
    </row>
    <row r="388" spans="11:11" x14ac:dyDescent="0.25">
      <c r="K388" s="11" t="s">
        <v>548</v>
      </c>
    </row>
    <row r="389" spans="11:11" x14ac:dyDescent="0.25">
      <c r="K389" s="11" t="s">
        <v>549</v>
      </c>
    </row>
    <row r="390" spans="11:11" x14ac:dyDescent="0.25">
      <c r="K390" s="11" t="s">
        <v>550</v>
      </c>
    </row>
    <row r="391" spans="11:11" x14ac:dyDescent="0.25">
      <c r="K391" s="11" t="s">
        <v>551</v>
      </c>
    </row>
    <row r="392" spans="11:11" x14ac:dyDescent="0.25">
      <c r="K392" s="11" t="s">
        <v>552</v>
      </c>
    </row>
    <row r="393" spans="11:11" x14ac:dyDescent="0.25">
      <c r="K393" s="11" t="s">
        <v>553</v>
      </c>
    </row>
    <row r="394" spans="11:11" x14ac:dyDescent="0.25">
      <c r="K394" s="11" t="s">
        <v>554</v>
      </c>
    </row>
    <row r="395" spans="11:11" x14ac:dyDescent="0.25">
      <c r="K395" s="11" t="s">
        <v>555</v>
      </c>
    </row>
    <row r="396" spans="11:11" x14ac:dyDescent="0.25">
      <c r="K396" s="11" t="s">
        <v>556</v>
      </c>
    </row>
    <row r="397" spans="11:11" x14ac:dyDescent="0.25">
      <c r="K397" s="11" t="s">
        <v>557</v>
      </c>
    </row>
    <row r="398" spans="11:11" x14ac:dyDescent="0.25">
      <c r="K398" s="11" t="s">
        <v>558</v>
      </c>
    </row>
    <row r="399" spans="11:11" x14ac:dyDescent="0.25">
      <c r="K399" s="11" t="s">
        <v>559</v>
      </c>
    </row>
    <row r="400" spans="11:11" x14ac:dyDescent="0.25">
      <c r="K400" s="11" t="s">
        <v>560</v>
      </c>
    </row>
    <row r="401" spans="11:11" x14ac:dyDescent="0.25">
      <c r="K401" s="11" t="s">
        <v>561</v>
      </c>
    </row>
    <row r="402" spans="11:11" x14ac:dyDescent="0.25">
      <c r="K402" s="11" t="s">
        <v>562</v>
      </c>
    </row>
    <row r="403" spans="11:11" x14ac:dyDescent="0.25">
      <c r="K403" s="11" t="s">
        <v>563</v>
      </c>
    </row>
    <row r="404" spans="11:11" x14ac:dyDescent="0.25">
      <c r="K404" s="11" t="s">
        <v>564</v>
      </c>
    </row>
    <row r="405" spans="11:11" x14ac:dyDescent="0.25">
      <c r="K405" s="11" t="s">
        <v>565</v>
      </c>
    </row>
    <row r="406" spans="11:11" x14ac:dyDescent="0.25">
      <c r="K406" s="11" t="s">
        <v>566</v>
      </c>
    </row>
    <row r="407" spans="11:11" x14ac:dyDescent="0.25">
      <c r="K407" s="11" t="s">
        <v>567</v>
      </c>
    </row>
    <row r="408" spans="11:11" x14ac:dyDescent="0.25">
      <c r="K408" s="11" t="s">
        <v>568</v>
      </c>
    </row>
    <row r="409" spans="11:11" x14ac:dyDescent="0.25">
      <c r="K409" s="11" t="s">
        <v>569</v>
      </c>
    </row>
    <row r="410" spans="11:11" x14ac:dyDescent="0.25">
      <c r="K410" s="11" t="s">
        <v>570</v>
      </c>
    </row>
    <row r="411" spans="11:11" x14ac:dyDescent="0.25">
      <c r="K411" s="11" t="s">
        <v>571</v>
      </c>
    </row>
    <row r="412" spans="11:11" x14ac:dyDescent="0.25">
      <c r="K412" s="11" t="s">
        <v>572</v>
      </c>
    </row>
    <row r="413" spans="11:11" x14ac:dyDescent="0.25">
      <c r="K413" s="11" t="s">
        <v>573</v>
      </c>
    </row>
    <row r="414" spans="11:11" x14ac:dyDescent="0.25">
      <c r="K414" s="11" t="s">
        <v>574</v>
      </c>
    </row>
    <row r="415" spans="11:11" x14ac:dyDescent="0.25">
      <c r="K415" s="11" t="s">
        <v>575</v>
      </c>
    </row>
    <row r="416" spans="11:11" x14ac:dyDescent="0.25">
      <c r="K416" s="11" t="s">
        <v>576</v>
      </c>
    </row>
    <row r="417" spans="11:11" x14ac:dyDescent="0.25">
      <c r="K417" s="11" t="s">
        <v>577</v>
      </c>
    </row>
    <row r="418" spans="11:11" x14ac:dyDescent="0.25">
      <c r="K418" s="11" t="s">
        <v>578</v>
      </c>
    </row>
    <row r="419" spans="11:11" x14ac:dyDescent="0.25">
      <c r="K419" s="11" t="s">
        <v>579</v>
      </c>
    </row>
    <row r="420" spans="11:11" x14ac:dyDescent="0.25">
      <c r="K420" s="11" t="s">
        <v>580</v>
      </c>
    </row>
    <row r="421" spans="11:11" x14ac:dyDescent="0.25">
      <c r="K421" s="11" t="s">
        <v>581</v>
      </c>
    </row>
    <row r="422" spans="11:11" x14ac:dyDescent="0.25">
      <c r="K422" s="11" t="s">
        <v>582</v>
      </c>
    </row>
    <row r="423" spans="11:11" x14ac:dyDescent="0.25">
      <c r="K423" s="11" t="s">
        <v>583</v>
      </c>
    </row>
    <row r="424" spans="11:11" x14ac:dyDescent="0.25">
      <c r="K424" s="11" t="s">
        <v>584</v>
      </c>
    </row>
    <row r="425" spans="11:11" x14ac:dyDescent="0.25">
      <c r="K425" s="11" t="s">
        <v>585</v>
      </c>
    </row>
    <row r="426" spans="11:11" x14ac:dyDescent="0.25">
      <c r="K426" s="11" t="s">
        <v>586</v>
      </c>
    </row>
    <row r="427" spans="11:11" x14ac:dyDescent="0.25">
      <c r="K427" s="11" t="s">
        <v>587</v>
      </c>
    </row>
    <row r="428" spans="11:11" x14ac:dyDescent="0.25">
      <c r="K428" s="11" t="s">
        <v>588</v>
      </c>
    </row>
    <row r="429" spans="11:11" x14ac:dyDescent="0.25">
      <c r="K429" s="11" t="s">
        <v>589</v>
      </c>
    </row>
    <row r="430" spans="11:11" x14ac:dyDescent="0.25">
      <c r="K430" s="11" t="s">
        <v>590</v>
      </c>
    </row>
    <row r="431" spans="11:11" x14ac:dyDescent="0.25">
      <c r="K431" s="11" t="s">
        <v>591</v>
      </c>
    </row>
    <row r="432" spans="11:11" x14ac:dyDescent="0.25">
      <c r="K432" s="11" t="s">
        <v>592</v>
      </c>
    </row>
    <row r="433" spans="11:11" x14ac:dyDescent="0.25">
      <c r="K433" s="11" t="s">
        <v>593</v>
      </c>
    </row>
    <row r="434" spans="11:11" x14ac:dyDescent="0.25">
      <c r="K434" s="11" t="s">
        <v>594</v>
      </c>
    </row>
    <row r="435" spans="11:11" x14ac:dyDescent="0.25">
      <c r="K435" s="11" t="s">
        <v>595</v>
      </c>
    </row>
    <row r="436" spans="11:11" x14ac:dyDescent="0.25">
      <c r="K436" s="11" t="s">
        <v>596</v>
      </c>
    </row>
    <row r="437" spans="11:11" x14ac:dyDescent="0.25">
      <c r="K437" s="11" t="s">
        <v>597</v>
      </c>
    </row>
    <row r="438" spans="11:11" x14ac:dyDescent="0.25">
      <c r="K438" s="11" t="s">
        <v>598</v>
      </c>
    </row>
    <row r="439" spans="11:11" x14ac:dyDescent="0.25">
      <c r="K439" s="11" t="s">
        <v>599</v>
      </c>
    </row>
    <row r="440" spans="11:11" x14ac:dyDescent="0.25">
      <c r="K440" s="11" t="s">
        <v>600</v>
      </c>
    </row>
    <row r="441" spans="11:11" x14ac:dyDescent="0.25">
      <c r="K441" s="11" t="s">
        <v>601</v>
      </c>
    </row>
    <row r="442" spans="11:11" x14ac:dyDescent="0.25">
      <c r="K442" s="11" t="s">
        <v>602</v>
      </c>
    </row>
    <row r="443" spans="11:11" x14ac:dyDescent="0.25">
      <c r="K443" s="11" t="s">
        <v>603</v>
      </c>
    </row>
    <row r="444" spans="11:11" x14ac:dyDescent="0.25">
      <c r="K444" s="11" t="s">
        <v>604</v>
      </c>
    </row>
    <row r="445" spans="11:11" x14ac:dyDescent="0.25">
      <c r="K445" s="11" t="s">
        <v>605</v>
      </c>
    </row>
    <row r="446" spans="11:11" x14ac:dyDescent="0.25">
      <c r="K446" s="11" t="s">
        <v>606</v>
      </c>
    </row>
    <row r="447" spans="11:11" x14ac:dyDescent="0.25">
      <c r="K447" s="11" t="s">
        <v>607</v>
      </c>
    </row>
    <row r="448" spans="11:11" x14ac:dyDescent="0.25">
      <c r="K448" s="11" t="s">
        <v>608</v>
      </c>
    </row>
    <row r="449" spans="5:11" x14ac:dyDescent="0.25">
      <c r="K449" s="11" t="s">
        <v>609</v>
      </c>
    </row>
    <row r="450" spans="5:11" x14ac:dyDescent="0.25">
      <c r="K450" s="11" t="s">
        <v>610</v>
      </c>
    </row>
    <row r="451" spans="5:11" x14ac:dyDescent="0.25">
      <c r="K451" s="11" t="s">
        <v>611</v>
      </c>
    </row>
    <row r="452" spans="5:11" x14ac:dyDescent="0.25">
      <c r="E452" s="39" t="str">
        <f>CONCATENATE(Data_Sheet[[#This Row],[Name]],"( ",Data_Sheet[[#This Row],[CLIN]],")")</f>
        <v>( )</v>
      </c>
      <c r="K452" s="11" t="s">
        <v>612</v>
      </c>
    </row>
    <row r="453" spans="5:11" x14ac:dyDescent="0.25">
      <c r="E453" s="39" t="str">
        <f>CONCATENATE(Data_Sheet[[#This Row],[Name]],"( ",Data_Sheet[[#This Row],[CLIN]],")")</f>
        <v>( )</v>
      </c>
      <c r="K453" s="11" t="s">
        <v>613</v>
      </c>
    </row>
    <row r="454" spans="5:11" x14ac:dyDescent="0.25">
      <c r="E454" s="39" t="str">
        <f>CONCATENATE(Data_Sheet[[#This Row],[Name]],"( ",Data_Sheet[[#This Row],[CLIN]],")")</f>
        <v>( )</v>
      </c>
      <c r="K454" s="11" t="s">
        <v>614</v>
      </c>
    </row>
    <row r="455" spans="5:11" x14ac:dyDescent="0.25">
      <c r="E455" s="39" t="str">
        <f>CONCATENATE(Data_Sheet[[#This Row],[Name]],"( ",Data_Sheet[[#This Row],[CLIN]],")")</f>
        <v>( )</v>
      </c>
      <c r="K455" s="11" t="s">
        <v>615</v>
      </c>
    </row>
    <row r="456" spans="5:11" x14ac:dyDescent="0.25">
      <c r="E456" s="39" t="str">
        <f>CONCATENATE(Data_Sheet[[#This Row],[Name]],"( ",Data_Sheet[[#This Row],[CLIN]],")")</f>
        <v>( )</v>
      </c>
      <c r="K456" s="11" t="s">
        <v>616</v>
      </c>
    </row>
    <row r="457" spans="5:11" x14ac:dyDescent="0.25">
      <c r="E457" s="39" t="str">
        <f>CONCATENATE(Data_Sheet[[#This Row],[Name]],"( ",Data_Sheet[[#This Row],[CLIN]],")")</f>
        <v>( )</v>
      </c>
      <c r="K457" s="11" t="s">
        <v>617</v>
      </c>
    </row>
    <row r="458" spans="5:11" x14ac:dyDescent="0.25">
      <c r="E458" s="39" t="str">
        <f>CONCATENATE(Data_Sheet[[#This Row],[Name]],"( ",Data_Sheet[[#This Row],[CLIN]],")")</f>
        <v>( )</v>
      </c>
      <c r="K458" s="11" t="s">
        <v>618</v>
      </c>
    </row>
    <row r="459" spans="5:11" x14ac:dyDescent="0.25">
      <c r="E459" s="39" t="str">
        <f>CONCATENATE(Data_Sheet[[#This Row],[Name]],"( ",Data_Sheet[[#This Row],[CLIN]],")")</f>
        <v>( )</v>
      </c>
      <c r="K459" s="11" t="s">
        <v>619</v>
      </c>
    </row>
    <row r="460" spans="5:11" x14ac:dyDescent="0.25">
      <c r="E460" s="39" t="str">
        <f>CONCATENATE(Data_Sheet[[#This Row],[Name]],"( ",Data_Sheet[[#This Row],[CLIN]],")")</f>
        <v>( )</v>
      </c>
      <c r="K460" s="11" t="s">
        <v>620</v>
      </c>
    </row>
    <row r="461" spans="5:11" x14ac:dyDescent="0.25">
      <c r="E461" s="39" t="str">
        <f>CONCATENATE(Data_Sheet[[#This Row],[Name]],"( ",Data_Sheet[[#This Row],[CLIN]],")")</f>
        <v>( )</v>
      </c>
      <c r="K461" s="11" t="s">
        <v>621</v>
      </c>
    </row>
    <row r="462" spans="5:11" x14ac:dyDescent="0.25">
      <c r="E462" s="39" t="str">
        <f>CONCATENATE(Data_Sheet[[#This Row],[Name]],"( ",Data_Sheet[[#This Row],[CLIN]],")")</f>
        <v>( )</v>
      </c>
      <c r="K462" s="11" t="s">
        <v>622</v>
      </c>
    </row>
    <row r="463" spans="5:11" x14ac:dyDescent="0.25">
      <c r="E463" s="39" t="str">
        <f>CONCATENATE(Data_Sheet[[#This Row],[Name]],"( ",Data_Sheet[[#This Row],[CLIN]],")")</f>
        <v>( )</v>
      </c>
      <c r="K463" s="11" t="s">
        <v>623</v>
      </c>
    </row>
    <row r="464" spans="5:11" x14ac:dyDescent="0.25">
      <c r="E464" s="39" t="str">
        <f>CONCATENATE(Data_Sheet[[#This Row],[Name]],"( ",Data_Sheet[[#This Row],[CLIN]],")")</f>
        <v>( )</v>
      </c>
      <c r="K464" s="11" t="s">
        <v>624</v>
      </c>
    </row>
    <row r="465" spans="5:11" x14ac:dyDescent="0.25">
      <c r="E465" s="39" t="str">
        <f>CONCATENATE(Data_Sheet[[#This Row],[Name]],"( ",Data_Sheet[[#This Row],[CLIN]],")")</f>
        <v>( )</v>
      </c>
      <c r="K465" s="11" t="s">
        <v>625</v>
      </c>
    </row>
    <row r="466" spans="5:11" x14ac:dyDescent="0.25">
      <c r="E466" s="39" t="str">
        <f>CONCATENATE(Data_Sheet[[#This Row],[Name]],"( ",Data_Sheet[[#This Row],[CLIN]],")")</f>
        <v>( )</v>
      </c>
      <c r="K466" s="11" t="s">
        <v>626</v>
      </c>
    </row>
    <row r="467" spans="5:11" x14ac:dyDescent="0.25">
      <c r="E467" s="39" t="str">
        <f>CONCATENATE(Data_Sheet[[#This Row],[Name]],"( ",Data_Sheet[[#This Row],[CLIN]],")")</f>
        <v>( )</v>
      </c>
      <c r="K467" s="11" t="s">
        <v>627</v>
      </c>
    </row>
    <row r="468" spans="5:11" x14ac:dyDescent="0.25">
      <c r="E468" s="39" t="str">
        <f>CONCATENATE(Data_Sheet[[#This Row],[Name]],"( ",Data_Sheet[[#This Row],[CLIN]],")")</f>
        <v>( )</v>
      </c>
      <c r="K468" s="11" t="s">
        <v>628</v>
      </c>
    </row>
    <row r="469" spans="5:11" x14ac:dyDescent="0.25">
      <c r="E469" s="39" t="str">
        <f>CONCATENATE(Data_Sheet[[#This Row],[Name]],"( ",Data_Sheet[[#This Row],[CLIN]],")")</f>
        <v>( )</v>
      </c>
      <c r="K469" s="11" t="s">
        <v>629</v>
      </c>
    </row>
    <row r="470" spans="5:11" x14ac:dyDescent="0.25">
      <c r="E470" s="39" t="str">
        <f>CONCATENATE(Data_Sheet[[#This Row],[Name]],"( ",Data_Sheet[[#This Row],[CLIN]],")")</f>
        <v>( )</v>
      </c>
      <c r="K470" s="11" t="s">
        <v>630</v>
      </c>
    </row>
    <row r="471" spans="5:11" x14ac:dyDescent="0.25">
      <c r="E471" s="39" t="str">
        <f>CONCATENATE(Data_Sheet[[#This Row],[Name]],"( ",Data_Sheet[[#This Row],[CLIN]],")")</f>
        <v>( )</v>
      </c>
      <c r="K471" s="11" t="s">
        <v>631</v>
      </c>
    </row>
    <row r="472" spans="5:11" x14ac:dyDescent="0.25">
      <c r="E472" s="39" t="str">
        <f>CONCATENATE(Data_Sheet[[#This Row],[Name]],"( ",Data_Sheet[[#This Row],[CLIN]],")")</f>
        <v>( )</v>
      </c>
      <c r="K472" s="11" t="s">
        <v>632</v>
      </c>
    </row>
    <row r="473" spans="5:11" x14ac:dyDescent="0.25">
      <c r="E473" s="39" t="str">
        <f>CONCATENATE(Data_Sheet[[#This Row],[Name]],"( ",Data_Sheet[[#This Row],[CLIN]],")")</f>
        <v>( )</v>
      </c>
      <c r="K473" s="11" t="s">
        <v>633</v>
      </c>
    </row>
    <row r="474" spans="5:11" x14ac:dyDescent="0.25">
      <c r="E474" s="39" t="str">
        <f>CONCATENATE(Data_Sheet[[#This Row],[Name]],"( ",Data_Sheet[[#This Row],[CLIN]],")")</f>
        <v>( )</v>
      </c>
      <c r="K474" s="11" t="s">
        <v>634</v>
      </c>
    </row>
    <row r="475" spans="5:11" x14ac:dyDescent="0.25">
      <c r="E475" s="39" t="str">
        <f>CONCATENATE(Data_Sheet[[#This Row],[Name]],"( ",Data_Sheet[[#This Row],[CLIN]],")")</f>
        <v>( )</v>
      </c>
      <c r="K475" s="11" t="s">
        <v>635</v>
      </c>
    </row>
    <row r="476" spans="5:11" x14ac:dyDescent="0.25">
      <c r="E476" s="39" t="str">
        <f>CONCATENATE(Data_Sheet[[#This Row],[Name]],"( ",Data_Sheet[[#This Row],[CLIN]],")")</f>
        <v>( )</v>
      </c>
      <c r="K476" s="11" t="s">
        <v>636</v>
      </c>
    </row>
    <row r="477" spans="5:11" x14ac:dyDescent="0.25">
      <c r="E477" s="39" t="str">
        <f>CONCATENATE(Data_Sheet[[#This Row],[Name]],"( ",Data_Sheet[[#This Row],[CLIN]],")")</f>
        <v>( )</v>
      </c>
      <c r="K477" s="11" t="s">
        <v>637</v>
      </c>
    </row>
    <row r="478" spans="5:11" x14ac:dyDescent="0.25">
      <c r="E478" s="39" t="str">
        <f>CONCATENATE(Data_Sheet[[#This Row],[Name]],"( ",Data_Sheet[[#This Row],[CLIN]],")")</f>
        <v>( )</v>
      </c>
      <c r="K478" s="11" t="s">
        <v>638</v>
      </c>
    </row>
    <row r="479" spans="5:11" x14ac:dyDescent="0.25">
      <c r="E479" s="39" t="str">
        <f>CONCATENATE(Data_Sheet[[#This Row],[Name]],"( ",Data_Sheet[[#This Row],[CLIN]],")")</f>
        <v>( )</v>
      </c>
      <c r="K479" s="11" t="s">
        <v>639</v>
      </c>
    </row>
    <row r="480" spans="5:11" x14ac:dyDescent="0.25">
      <c r="E480" s="39" t="str">
        <f>CONCATENATE(Data_Sheet[[#This Row],[Name]],"( ",Data_Sheet[[#This Row],[CLIN]],")")</f>
        <v>( )</v>
      </c>
      <c r="K480" s="11" t="s">
        <v>640</v>
      </c>
    </row>
    <row r="481" spans="5:11" x14ac:dyDescent="0.25">
      <c r="E481" s="39" t="str">
        <f>CONCATENATE(Data_Sheet[[#This Row],[Name]],"( ",Data_Sheet[[#This Row],[CLIN]],")")</f>
        <v>( )</v>
      </c>
      <c r="K481" s="11" t="s">
        <v>641</v>
      </c>
    </row>
    <row r="482" spans="5:11" x14ac:dyDescent="0.25">
      <c r="E482" s="39" t="str">
        <f>CONCATENATE(Data_Sheet[[#This Row],[Name]],"( ",Data_Sheet[[#This Row],[CLIN]],")")</f>
        <v>( )</v>
      </c>
      <c r="K482" s="11" t="s">
        <v>642</v>
      </c>
    </row>
    <row r="483" spans="5:11" x14ac:dyDescent="0.25">
      <c r="E483" s="39" t="str">
        <f>CONCATENATE(Data_Sheet[[#This Row],[Name]],"( ",Data_Sheet[[#This Row],[CLIN]],")")</f>
        <v>( )</v>
      </c>
      <c r="K483" s="11" t="s">
        <v>643</v>
      </c>
    </row>
    <row r="484" spans="5:11" x14ac:dyDescent="0.25">
      <c r="E484" s="39" t="str">
        <f>CONCATENATE(Data_Sheet[[#This Row],[Name]],"( ",Data_Sheet[[#This Row],[CLIN]],")")</f>
        <v>( )</v>
      </c>
      <c r="K484" s="11" t="s">
        <v>644</v>
      </c>
    </row>
    <row r="485" spans="5:11" x14ac:dyDescent="0.25">
      <c r="E485" s="39" t="str">
        <f>CONCATENATE(Data_Sheet[[#This Row],[Name]],"( ",Data_Sheet[[#This Row],[CLIN]],")")</f>
        <v>( )</v>
      </c>
      <c r="K485" s="11" t="s">
        <v>645</v>
      </c>
    </row>
    <row r="486" spans="5:11" x14ac:dyDescent="0.25">
      <c r="E486" s="39" t="str">
        <f>CONCATENATE(Data_Sheet[[#This Row],[Name]],"( ",Data_Sheet[[#This Row],[CLIN]],")")</f>
        <v>( )</v>
      </c>
      <c r="K486" s="11" t="s">
        <v>646</v>
      </c>
    </row>
    <row r="487" spans="5:11" x14ac:dyDescent="0.25">
      <c r="E487" s="39" t="str">
        <f>CONCATENATE(Data_Sheet[[#This Row],[Name]],"( ",Data_Sheet[[#This Row],[CLIN]],")")</f>
        <v>( )</v>
      </c>
      <c r="K487" s="11" t="s">
        <v>647</v>
      </c>
    </row>
    <row r="488" spans="5:11" x14ac:dyDescent="0.25">
      <c r="E488" s="39" t="str">
        <f>CONCATENATE(Data_Sheet[[#This Row],[Name]],"( ",Data_Sheet[[#This Row],[CLIN]],")")</f>
        <v>( )</v>
      </c>
      <c r="K488" s="11" t="s">
        <v>648</v>
      </c>
    </row>
    <row r="489" spans="5:11" x14ac:dyDescent="0.25">
      <c r="E489" s="39" t="str">
        <f>CONCATENATE(Data_Sheet[[#This Row],[Name]],"( ",Data_Sheet[[#This Row],[CLIN]],")")</f>
        <v>( )</v>
      </c>
      <c r="K489" s="11" t="s">
        <v>649</v>
      </c>
    </row>
    <row r="490" spans="5:11" x14ac:dyDescent="0.25">
      <c r="E490" s="39" t="str">
        <f>CONCATENATE(Data_Sheet[[#This Row],[Name]],"( ",Data_Sheet[[#This Row],[CLIN]],")")</f>
        <v>( )</v>
      </c>
      <c r="K490" s="11" t="s">
        <v>650</v>
      </c>
    </row>
    <row r="491" spans="5:11" x14ac:dyDescent="0.25">
      <c r="E491" s="39" t="str">
        <f>CONCATENATE(Data_Sheet[[#This Row],[Name]],"( ",Data_Sheet[[#This Row],[CLIN]],")")</f>
        <v>( )</v>
      </c>
      <c r="K491" s="11" t="s">
        <v>651</v>
      </c>
    </row>
    <row r="492" spans="5:11" x14ac:dyDescent="0.25">
      <c r="E492" s="39" t="str">
        <f>CONCATENATE(Data_Sheet[[#This Row],[Name]],"( ",Data_Sheet[[#This Row],[CLIN]],")")</f>
        <v>( )</v>
      </c>
      <c r="K492" s="11" t="s">
        <v>652</v>
      </c>
    </row>
    <row r="493" spans="5:11" x14ac:dyDescent="0.25">
      <c r="E493" s="39" t="str">
        <f>CONCATENATE(Data_Sheet[[#This Row],[Name]],"( ",Data_Sheet[[#This Row],[CLIN]],")")</f>
        <v>( )</v>
      </c>
      <c r="K493" s="11" t="s">
        <v>653</v>
      </c>
    </row>
    <row r="494" spans="5:11" x14ac:dyDescent="0.25">
      <c r="E494" s="39" t="str">
        <f>CONCATENATE(Data_Sheet[[#This Row],[Name]],"( ",Data_Sheet[[#This Row],[CLIN]],")")</f>
        <v>( )</v>
      </c>
      <c r="K494" s="11" t="s">
        <v>654</v>
      </c>
    </row>
    <row r="495" spans="5:11" x14ac:dyDescent="0.25">
      <c r="E495" s="39" t="str">
        <f>CONCATENATE(Data_Sheet[[#This Row],[Name]],"( ",Data_Sheet[[#This Row],[CLIN]],")")</f>
        <v>( )</v>
      </c>
      <c r="K495" s="11" t="s">
        <v>655</v>
      </c>
    </row>
    <row r="496" spans="5:11" x14ac:dyDescent="0.25">
      <c r="E496" s="39" t="str">
        <f>CONCATENATE(Data_Sheet[[#This Row],[Name]],"( ",Data_Sheet[[#This Row],[CLIN]],")")</f>
        <v>( )</v>
      </c>
      <c r="K496" s="11" t="s">
        <v>656</v>
      </c>
    </row>
    <row r="497" spans="5:11" x14ac:dyDescent="0.25">
      <c r="E497" s="39" t="str">
        <f>CONCATENATE(Data_Sheet[[#This Row],[Name]],"( ",Data_Sheet[[#This Row],[CLIN]],")")</f>
        <v>( )</v>
      </c>
      <c r="K497" s="11" t="s">
        <v>657</v>
      </c>
    </row>
    <row r="498" spans="5:11" x14ac:dyDescent="0.25">
      <c r="E498" s="39" t="str">
        <f>CONCATENATE(Data_Sheet[[#This Row],[Name]],"( ",Data_Sheet[[#This Row],[CLIN]],")")</f>
        <v>( )</v>
      </c>
      <c r="K498" s="11" t="s">
        <v>658</v>
      </c>
    </row>
    <row r="499" spans="5:11" x14ac:dyDescent="0.25">
      <c r="E499" s="39" t="str">
        <f>CONCATENATE(Data_Sheet[[#This Row],[Name]],"( ",Data_Sheet[[#This Row],[CLIN]],")")</f>
        <v>( )</v>
      </c>
      <c r="K499" s="11" t="s">
        <v>659</v>
      </c>
    </row>
    <row r="500" spans="5:11" x14ac:dyDescent="0.25">
      <c r="E500" s="39" t="str">
        <f>CONCATENATE(Data_Sheet[[#This Row],[Name]],"( ",Data_Sheet[[#This Row],[CLIN]],")")</f>
        <v>( )</v>
      </c>
      <c r="K500" s="11" t="s">
        <v>660</v>
      </c>
    </row>
    <row r="501" spans="5:11" x14ac:dyDescent="0.25">
      <c r="E501" s="39" t="str">
        <f>CONCATENATE(Data_Sheet[[#This Row],[Name]],"( ",Data_Sheet[[#This Row],[CLIN]],")")</f>
        <v>( )</v>
      </c>
      <c r="K501" s="11" t="s">
        <v>661</v>
      </c>
    </row>
    <row r="502" spans="5:11" x14ac:dyDescent="0.25">
      <c r="E502" s="39" t="str">
        <f>CONCATENATE(Data_Sheet[[#This Row],[Name]],"( ",Data_Sheet[[#This Row],[CLIN]],")")</f>
        <v>( )</v>
      </c>
      <c r="K502" s="11" t="s">
        <v>662</v>
      </c>
    </row>
    <row r="503" spans="5:11" x14ac:dyDescent="0.25">
      <c r="E503" s="39" t="str">
        <f>CONCATENATE(Data_Sheet[[#This Row],[Name]],"( ",Data_Sheet[[#This Row],[CLIN]],")")</f>
        <v>( )</v>
      </c>
      <c r="K503" s="11" t="s">
        <v>663</v>
      </c>
    </row>
    <row r="504" spans="5:11" x14ac:dyDescent="0.25">
      <c r="E504" s="39" t="str">
        <f>CONCATENATE(Data_Sheet[[#This Row],[Name]],"( ",Data_Sheet[[#This Row],[CLIN]],")")</f>
        <v>( )</v>
      </c>
      <c r="K504" s="11" t="s">
        <v>664</v>
      </c>
    </row>
    <row r="505" spans="5:11" x14ac:dyDescent="0.25">
      <c r="E505" s="39" t="str">
        <f>CONCATENATE(Data_Sheet[[#This Row],[Name]],"( ",Data_Sheet[[#This Row],[CLIN]],")")</f>
        <v>( )</v>
      </c>
      <c r="K505" s="11" t="s">
        <v>665</v>
      </c>
    </row>
    <row r="506" spans="5:11" x14ac:dyDescent="0.25">
      <c r="E506" s="39" t="str">
        <f>CONCATENATE(Data_Sheet[[#This Row],[Name]],"( ",Data_Sheet[[#This Row],[CLIN]],")")</f>
        <v>( )</v>
      </c>
      <c r="K506" s="11" t="s">
        <v>666</v>
      </c>
    </row>
    <row r="507" spans="5:11" x14ac:dyDescent="0.25">
      <c r="E507" s="39" t="str">
        <f>CONCATENATE(Data_Sheet[[#This Row],[Name]],"( ",Data_Sheet[[#This Row],[CLIN]],")")</f>
        <v>( )</v>
      </c>
      <c r="K507" s="11" t="s">
        <v>667</v>
      </c>
    </row>
    <row r="508" spans="5:11" x14ac:dyDescent="0.25">
      <c r="E508" s="39" t="str">
        <f>CONCATENATE(Data_Sheet[[#This Row],[Name]],"( ",Data_Sheet[[#This Row],[CLIN]],")")</f>
        <v>( )</v>
      </c>
      <c r="K508" s="11" t="s">
        <v>668</v>
      </c>
    </row>
    <row r="509" spans="5:11" x14ac:dyDescent="0.25">
      <c r="E509" s="39" t="str">
        <f>CONCATENATE(Data_Sheet[[#This Row],[Name]],"( ",Data_Sheet[[#This Row],[CLIN]],")")</f>
        <v>( )</v>
      </c>
      <c r="K509" s="11" t="s">
        <v>669</v>
      </c>
    </row>
    <row r="510" spans="5:11" x14ac:dyDescent="0.25">
      <c r="E510" s="39" t="str">
        <f>CONCATENATE(Data_Sheet[[#This Row],[Name]],"( ",Data_Sheet[[#This Row],[CLIN]],")")</f>
        <v>( )</v>
      </c>
      <c r="K510" s="11" t="s">
        <v>670</v>
      </c>
    </row>
    <row r="511" spans="5:11" x14ac:dyDescent="0.25">
      <c r="E511" s="39" t="str">
        <f>CONCATENATE(Data_Sheet[[#This Row],[Name]],"( ",Data_Sheet[[#This Row],[CLIN]],")")</f>
        <v>( )</v>
      </c>
      <c r="K511" s="11" t="s">
        <v>671</v>
      </c>
    </row>
    <row r="512" spans="5:11" x14ac:dyDescent="0.25">
      <c r="E512" s="39" t="str">
        <f>CONCATENATE(Data_Sheet[[#This Row],[Name]],"( ",Data_Sheet[[#This Row],[CLIN]],")")</f>
        <v>( )</v>
      </c>
      <c r="K512" s="11" t="s">
        <v>672</v>
      </c>
    </row>
    <row r="513" spans="5:11" x14ac:dyDescent="0.25">
      <c r="E513" s="39" t="str">
        <f>CONCATENATE(Data_Sheet[[#This Row],[Name]],"( ",Data_Sheet[[#This Row],[CLIN]],")")</f>
        <v>( )</v>
      </c>
      <c r="K513" s="11" t="s">
        <v>673</v>
      </c>
    </row>
    <row r="514" spans="5:11" x14ac:dyDescent="0.25">
      <c r="E514" s="39" t="str">
        <f>CONCATENATE(Data_Sheet[[#This Row],[Name]],"( ",Data_Sheet[[#This Row],[CLIN]],")")</f>
        <v>( )</v>
      </c>
      <c r="K514" s="11" t="s">
        <v>674</v>
      </c>
    </row>
    <row r="515" spans="5:11" x14ac:dyDescent="0.25">
      <c r="E515" s="39" t="str">
        <f>CONCATENATE(Data_Sheet[[#This Row],[Name]],"( ",Data_Sheet[[#This Row],[CLIN]],")")</f>
        <v>( )</v>
      </c>
      <c r="K515" s="11" t="s">
        <v>675</v>
      </c>
    </row>
    <row r="516" spans="5:11" x14ac:dyDescent="0.25">
      <c r="E516" s="39" t="str">
        <f>CONCATENATE(Data_Sheet[[#This Row],[Name]],"( ",Data_Sheet[[#This Row],[CLIN]],")")</f>
        <v>( )</v>
      </c>
      <c r="K516" s="11" t="s">
        <v>676</v>
      </c>
    </row>
    <row r="517" spans="5:11" x14ac:dyDescent="0.25">
      <c r="E517" s="39" t="str">
        <f>CONCATENATE(Data_Sheet[[#This Row],[Name]],"( ",Data_Sheet[[#This Row],[CLIN]],")")</f>
        <v>( )</v>
      </c>
      <c r="K517" s="11" t="s">
        <v>677</v>
      </c>
    </row>
    <row r="518" spans="5:11" x14ac:dyDescent="0.25">
      <c r="E518" s="39" t="str">
        <f>CONCATENATE(Data_Sheet[[#This Row],[Name]],"( ",Data_Sheet[[#This Row],[CLIN]],")")</f>
        <v>( )</v>
      </c>
      <c r="K518" s="11" t="s">
        <v>678</v>
      </c>
    </row>
    <row r="519" spans="5:11" x14ac:dyDescent="0.25">
      <c r="E519" s="39" t="str">
        <f>CONCATENATE(Data_Sheet[[#This Row],[Name]],"( ",Data_Sheet[[#This Row],[CLIN]],")")</f>
        <v>( )</v>
      </c>
      <c r="K519" s="11" t="s">
        <v>679</v>
      </c>
    </row>
    <row r="520" spans="5:11" x14ac:dyDescent="0.25">
      <c r="E520" s="39" t="str">
        <f>CONCATENATE(Data_Sheet[[#This Row],[Name]],"( ",Data_Sheet[[#This Row],[CLIN]],")")</f>
        <v>( )</v>
      </c>
      <c r="K520" s="11" t="s">
        <v>680</v>
      </c>
    </row>
    <row r="521" spans="5:11" x14ac:dyDescent="0.25">
      <c r="E521" s="39" t="str">
        <f>CONCATENATE(Data_Sheet[[#This Row],[Name]],"( ",Data_Sheet[[#This Row],[CLIN]],")")</f>
        <v>( )</v>
      </c>
      <c r="K521" s="11" t="s">
        <v>681</v>
      </c>
    </row>
    <row r="522" spans="5:11" x14ac:dyDescent="0.25">
      <c r="E522" s="39" t="str">
        <f>CONCATENATE(Data_Sheet[[#This Row],[Name]],"( ",Data_Sheet[[#This Row],[CLIN]],")")</f>
        <v>( )</v>
      </c>
      <c r="K522" s="11" t="s">
        <v>682</v>
      </c>
    </row>
    <row r="523" spans="5:11" x14ac:dyDescent="0.25">
      <c r="E523" s="39" t="str">
        <f>CONCATENATE(Data_Sheet[[#This Row],[Name]],"( ",Data_Sheet[[#This Row],[CLIN]],")")</f>
        <v>( )</v>
      </c>
      <c r="K523" s="11" t="s">
        <v>683</v>
      </c>
    </row>
    <row r="524" spans="5:11" x14ac:dyDescent="0.25">
      <c r="E524" s="39" t="str">
        <f>CONCATENATE(Data_Sheet[[#This Row],[Name]],"( ",Data_Sheet[[#This Row],[CLIN]],")")</f>
        <v>( )</v>
      </c>
      <c r="K524" s="11" t="s">
        <v>684</v>
      </c>
    </row>
    <row r="525" spans="5:11" x14ac:dyDescent="0.25">
      <c r="E525" s="39" t="str">
        <f>CONCATENATE(Data_Sheet[[#This Row],[Name]],"( ",Data_Sheet[[#This Row],[CLIN]],")")</f>
        <v>( )</v>
      </c>
      <c r="K525" s="11" t="s">
        <v>685</v>
      </c>
    </row>
    <row r="526" spans="5:11" x14ac:dyDescent="0.25">
      <c r="E526" s="39" t="str">
        <f>CONCATENATE(Data_Sheet[[#This Row],[Name]],"( ",Data_Sheet[[#This Row],[CLIN]],")")</f>
        <v>( )</v>
      </c>
      <c r="K526" s="11" t="s">
        <v>686</v>
      </c>
    </row>
    <row r="527" spans="5:11" x14ac:dyDescent="0.25">
      <c r="E527" s="39" t="str">
        <f>CONCATENATE(Data_Sheet[[#This Row],[Name]],"( ",Data_Sheet[[#This Row],[CLIN]],")")</f>
        <v>( )</v>
      </c>
      <c r="K527" s="11" t="s">
        <v>687</v>
      </c>
    </row>
    <row r="528" spans="5:11" x14ac:dyDescent="0.25">
      <c r="E528" s="39" t="str">
        <f>CONCATENATE(Data_Sheet[[#This Row],[Name]],"( ",Data_Sheet[[#This Row],[CLIN]],")")</f>
        <v>( )</v>
      </c>
      <c r="K528" s="11" t="s">
        <v>688</v>
      </c>
    </row>
    <row r="529" spans="5:11" x14ac:dyDescent="0.25">
      <c r="E529" s="39" t="str">
        <f>CONCATENATE(Data_Sheet[[#This Row],[Name]],"( ",Data_Sheet[[#This Row],[CLIN]],")")</f>
        <v>( )</v>
      </c>
      <c r="K529" s="11" t="s">
        <v>689</v>
      </c>
    </row>
    <row r="530" spans="5:11" x14ac:dyDescent="0.25">
      <c r="E530" s="39" t="str">
        <f>CONCATENATE(Data_Sheet[[#This Row],[Name]],"( ",Data_Sheet[[#This Row],[CLIN]],")")</f>
        <v>( )</v>
      </c>
      <c r="K530" s="11" t="s">
        <v>690</v>
      </c>
    </row>
    <row r="531" spans="5:11" x14ac:dyDescent="0.25">
      <c r="E531" s="39" t="str">
        <f>CONCATENATE(Data_Sheet[[#This Row],[Name]],"( ",Data_Sheet[[#This Row],[CLIN]],")")</f>
        <v>( )</v>
      </c>
      <c r="K531" s="11" t="s">
        <v>691</v>
      </c>
    </row>
    <row r="532" spans="5:11" x14ac:dyDescent="0.25">
      <c r="E532" s="39" t="str">
        <f>CONCATENATE(Data_Sheet[[#This Row],[Name]],"( ",Data_Sheet[[#This Row],[CLIN]],")")</f>
        <v>( )</v>
      </c>
      <c r="K532" s="11" t="s">
        <v>692</v>
      </c>
    </row>
    <row r="533" spans="5:11" x14ac:dyDescent="0.25">
      <c r="E533" s="39" t="str">
        <f>CONCATENATE(Data_Sheet[[#This Row],[Name]],"( ",Data_Sheet[[#This Row],[CLIN]],")")</f>
        <v>( )</v>
      </c>
      <c r="K533" s="11" t="s">
        <v>693</v>
      </c>
    </row>
    <row r="534" spans="5:11" x14ac:dyDescent="0.25">
      <c r="E534" s="39" t="str">
        <f>CONCATENATE(Data_Sheet[[#This Row],[Name]],"( ",Data_Sheet[[#This Row],[CLIN]],")")</f>
        <v>( )</v>
      </c>
      <c r="K534" s="11" t="s">
        <v>694</v>
      </c>
    </row>
    <row r="535" spans="5:11" x14ac:dyDescent="0.25">
      <c r="E535" s="39" t="str">
        <f>CONCATENATE(Data_Sheet[[#This Row],[Name]],"( ",Data_Sheet[[#This Row],[CLIN]],")")</f>
        <v>( )</v>
      </c>
      <c r="K535" s="11" t="s">
        <v>695</v>
      </c>
    </row>
    <row r="536" spans="5:11" x14ac:dyDescent="0.25">
      <c r="E536" s="39" t="str">
        <f>CONCATENATE(Data_Sheet[[#This Row],[Name]],"( ",Data_Sheet[[#This Row],[CLIN]],")")</f>
        <v>( )</v>
      </c>
      <c r="K536" s="11" t="s">
        <v>696</v>
      </c>
    </row>
    <row r="537" spans="5:11" x14ac:dyDescent="0.25">
      <c r="E537" s="39" t="str">
        <f>CONCATENATE(Data_Sheet[[#This Row],[Name]],"( ",Data_Sheet[[#This Row],[CLIN]],")")</f>
        <v>( )</v>
      </c>
      <c r="K537" s="11" t="s">
        <v>697</v>
      </c>
    </row>
    <row r="538" spans="5:11" x14ac:dyDescent="0.25">
      <c r="E538" s="39" t="str">
        <f>CONCATENATE(Data_Sheet[[#This Row],[Name]],"( ",Data_Sheet[[#This Row],[CLIN]],")")</f>
        <v>( )</v>
      </c>
      <c r="K538" s="11" t="s">
        <v>698</v>
      </c>
    </row>
    <row r="539" spans="5:11" x14ac:dyDescent="0.25">
      <c r="E539" s="39" t="str">
        <f>CONCATENATE(Data_Sheet[[#This Row],[Name]],"( ",Data_Sheet[[#This Row],[CLIN]],")")</f>
        <v>( )</v>
      </c>
      <c r="K539" s="11" t="s">
        <v>699</v>
      </c>
    </row>
    <row r="540" spans="5:11" x14ac:dyDescent="0.25">
      <c r="E540" s="39" t="str">
        <f>CONCATENATE(Data_Sheet[[#This Row],[Name]],"( ",Data_Sheet[[#This Row],[CLIN]],")")</f>
        <v>( )</v>
      </c>
      <c r="K540" s="11" t="s">
        <v>700</v>
      </c>
    </row>
    <row r="541" spans="5:11" x14ac:dyDescent="0.25">
      <c r="E541" s="39" t="str">
        <f>CONCATENATE(Data_Sheet[[#This Row],[Name]],"( ",Data_Sheet[[#This Row],[CLIN]],")")</f>
        <v>( )</v>
      </c>
      <c r="K541" s="11" t="s">
        <v>701</v>
      </c>
    </row>
    <row r="542" spans="5:11" x14ac:dyDescent="0.25">
      <c r="E542" s="39" t="str">
        <f>CONCATENATE(Data_Sheet[[#This Row],[Name]],"( ",Data_Sheet[[#This Row],[CLIN]],")")</f>
        <v>( )</v>
      </c>
      <c r="K542" s="11" t="s">
        <v>702</v>
      </c>
    </row>
    <row r="543" spans="5:11" x14ac:dyDescent="0.25">
      <c r="E543" s="39" t="str">
        <f>CONCATENATE(Data_Sheet[[#This Row],[Name]],"( ",Data_Sheet[[#This Row],[CLIN]],")")</f>
        <v>( )</v>
      </c>
      <c r="K543" s="11" t="s">
        <v>703</v>
      </c>
    </row>
    <row r="544" spans="5:11" x14ac:dyDescent="0.25">
      <c r="E544" s="39" t="str">
        <f>CONCATENATE(Data_Sheet[[#This Row],[Name]],"( ",Data_Sheet[[#This Row],[CLIN]],")")</f>
        <v>( )</v>
      </c>
      <c r="K544" s="11" t="s">
        <v>704</v>
      </c>
    </row>
    <row r="545" spans="5:11" x14ac:dyDescent="0.25">
      <c r="E545" s="39" t="str">
        <f>CONCATENATE(Data_Sheet[[#This Row],[Name]],"( ",Data_Sheet[[#This Row],[CLIN]],")")</f>
        <v>( )</v>
      </c>
      <c r="K545" s="11" t="s">
        <v>705</v>
      </c>
    </row>
    <row r="546" spans="5:11" x14ac:dyDescent="0.25">
      <c r="E546" s="39" t="str">
        <f>CONCATENATE(Data_Sheet[[#This Row],[Name]],"( ",Data_Sheet[[#This Row],[CLIN]],")")</f>
        <v>( )</v>
      </c>
      <c r="K546" s="11" t="s">
        <v>706</v>
      </c>
    </row>
    <row r="547" spans="5:11" x14ac:dyDescent="0.25">
      <c r="E547" s="39" t="str">
        <f>CONCATENATE(Data_Sheet[[#This Row],[Name]],"( ",Data_Sheet[[#This Row],[CLIN]],")")</f>
        <v>( )</v>
      </c>
      <c r="K547" s="11" t="s">
        <v>707</v>
      </c>
    </row>
    <row r="548" spans="5:11" x14ac:dyDescent="0.25">
      <c r="E548" s="39" t="str">
        <f>CONCATENATE(Data_Sheet[[#This Row],[Name]],"( ",Data_Sheet[[#This Row],[CLIN]],")")</f>
        <v>( )</v>
      </c>
      <c r="K548" s="11" t="s">
        <v>708</v>
      </c>
    </row>
    <row r="549" spans="5:11" x14ac:dyDescent="0.25">
      <c r="E549" s="39" t="str">
        <f>CONCATENATE(Data_Sheet[[#This Row],[Name]],"( ",Data_Sheet[[#This Row],[CLIN]],")")</f>
        <v>( )</v>
      </c>
      <c r="K549" s="11" t="s">
        <v>709</v>
      </c>
    </row>
    <row r="550" spans="5:11" x14ac:dyDescent="0.25">
      <c r="E550" s="39" t="str">
        <f>CONCATENATE(Data_Sheet[[#This Row],[Name]],"( ",Data_Sheet[[#This Row],[CLIN]],")")</f>
        <v>( )</v>
      </c>
      <c r="K550" s="11" t="s">
        <v>710</v>
      </c>
    </row>
    <row r="551" spans="5:11" x14ac:dyDescent="0.25">
      <c r="E551" s="39" t="str">
        <f>CONCATENATE(Data_Sheet[[#This Row],[Name]],"( ",Data_Sheet[[#This Row],[CLIN]],")")</f>
        <v>( )</v>
      </c>
      <c r="K551" s="11" t="s">
        <v>711</v>
      </c>
    </row>
    <row r="552" spans="5:11" x14ac:dyDescent="0.25">
      <c r="E552" s="39" t="str">
        <f>CONCATENATE(Data_Sheet[[#This Row],[Name]],"( ",Data_Sheet[[#This Row],[CLIN]],")")</f>
        <v>( )</v>
      </c>
      <c r="K552" s="11" t="s">
        <v>712</v>
      </c>
    </row>
    <row r="553" spans="5:11" x14ac:dyDescent="0.25">
      <c r="E553" s="39" t="str">
        <f>CONCATENATE(Data_Sheet[[#This Row],[Name]],"( ",Data_Sheet[[#This Row],[CLIN]],")")</f>
        <v>( )</v>
      </c>
      <c r="K553" s="11" t="s">
        <v>713</v>
      </c>
    </row>
    <row r="554" spans="5:11" x14ac:dyDescent="0.25">
      <c r="E554" s="39" t="str">
        <f>CONCATENATE(Data_Sheet[[#This Row],[Name]],"( ",Data_Sheet[[#This Row],[CLIN]],")")</f>
        <v>( )</v>
      </c>
      <c r="K554" s="11" t="s">
        <v>714</v>
      </c>
    </row>
    <row r="555" spans="5:11" x14ac:dyDescent="0.25">
      <c r="E555" s="39" t="str">
        <f>CONCATENATE(Data_Sheet[[#This Row],[Name]],"( ",Data_Sheet[[#This Row],[CLIN]],")")</f>
        <v>( )</v>
      </c>
      <c r="K555" s="11" t="s">
        <v>715</v>
      </c>
    </row>
    <row r="556" spans="5:11" x14ac:dyDescent="0.25">
      <c r="E556" s="39" t="str">
        <f>CONCATENATE(Data_Sheet[[#This Row],[Name]],"( ",Data_Sheet[[#This Row],[CLIN]],")")</f>
        <v>( )</v>
      </c>
      <c r="K556" s="11" t="s">
        <v>716</v>
      </c>
    </row>
    <row r="557" spans="5:11" x14ac:dyDescent="0.25">
      <c r="E557" s="39" t="str">
        <f>CONCATENATE(Data_Sheet[[#This Row],[Name]],"( ",Data_Sheet[[#This Row],[CLIN]],")")</f>
        <v>( )</v>
      </c>
      <c r="K557" s="11" t="s">
        <v>717</v>
      </c>
    </row>
    <row r="558" spans="5:11" x14ac:dyDescent="0.25">
      <c r="E558" s="39" t="str">
        <f>CONCATENATE(Data_Sheet[[#This Row],[Name]],"( ",Data_Sheet[[#This Row],[CLIN]],")")</f>
        <v>( )</v>
      </c>
      <c r="K558" s="11" t="s">
        <v>718</v>
      </c>
    </row>
    <row r="559" spans="5:11" x14ac:dyDescent="0.25">
      <c r="E559" s="39" t="str">
        <f>CONCATENATE(Data_Sheet[[#This Row],[Name]],"( ",Data_Sheet[[#This Row],[CLIN]],")")</f>
        <v>( )</v>
      </c>
      <c r="K559" s="11" t="s">
        <v>719</v>
      </c>
    </row>
    <row r="560" spans="5:11" x14ac:dyDescent="0.25">
      <c r="E560" s="39" t="str">
        <f>CONCATENATE(Data_Sheet[[#This Row],[Name]],"( ",Data_Sheet[[#This Row],[CLIN]],")")</f>
        <v>( )</v>
      </c>
      <c r="K560" s="11" t="s">
        <v>720</v>
      </c>
    </row>
    <row r="561" spans="5:11" x14ac:dyDescent="0.25">
      <c r="E561" s="39" t="str">
        <f>CONCATENATE(Data_Sheet[[#This Row],[Name]],"( ",Data_Sheet[[#This Row],[CLIN]],")")</f>
        <v>( )</v>
      </c>
      <c r="K561" s="11" t="s">
        <v>721</v>
      </c>
    </row>
    <row r="562" spans="5:11" x14ac:dyDescent="0.25">
      <c r="E562" s="39" t="str">
        <f>CONCATENATE(Data_Sheet[[#This Row],[Name]],"( ",Data_Sheet[[#This Row],[CLIN]],")")</f>
        <v>( )</v>
      </c>
      <c r="K562" s="11" t="s">
        <v>722</v>
      </c>
    </row>
    <row r="563" spans="5:11" x14ac:dyDescent="0.25">
      <c r="E563" s="39" t="str">
        <f>CONCATENATE(Data_Sheet[[#This Row],[Name]],"( ",Data_Sheet[[#This Row],[CLIN]],")")</f>
        <v>( )</v>
      </c>
      <c r="K563" s="11" t="s">
        <v>723</v>
      </c>
    </row>
    <row r="564" spans="5:11" x14ac:dyDescent="0.25">
      <c r="E564" s="39" t="str">
        <f>CONCATENATE(Data_Sheet[[#This Row],[Name]],"( ",Data_Sheet[[#This Row],[CLIN]],")")</f>
        <v>( )</v>
      </c>
      <c r="K564" s="11" t="s">
        <v>724</v>
      </c>
    </row>
    <row r="565" spans="5:11" x14ac:dyDescent="0.25">
      <c r="E565" s="39" t="str">
        <f>CONCATENATE(Data_Sheet[[#This Row],[Name]],"( ",Data_Sheet[[#This Row],[CLIN]],")")</f>
        <v>( )</v>
      </c>
      <c r="K565" s="11" t="s">
        <v>725</v>
      </c>
    </row>
    <row r="566" spans="5:11" x14ac:dyDescent="0.25">
      <c r="E566" s="39" t="str">
        <f>CONCATENATE(Data_Sheet[[#This Row],[Name]],"( ",Data_Sheet[[#This Row],[CLIN]],")")</f>
        <v>( )</v>
      </c>
      <c r="K566" s="11" t="s">
        <v>726</v>
      </c>
    </row>
    <row r="567" spans="5:11" x14ac:dyDescent="0.25">
      <c r="E567" s="39" t="str">
        <f>CONCATENATE(Data_Sheet[[#This Row],[Name]],"( ",Data_Sheet[[#This Row],[CLIN]],")")</f>
        <v>( )</v>
      </c>
      <c r="K567" s="11" t="s">
        <v>727</v>
      </c>
    </row>
    <row r="568" spans="5:11" x14ac:dyDescent="0.25">
      <c r="E568" s="39" t="str">
        <f>CONCATENATE(Data_Sheet[[#This Row],[Name]],"( ",Data_Sheet[[#This Row],[CLIN]],")")</f>
        <v>( )</v>
      </c>
      <c r="K568" s="11" t="s">
        <v>728</v>
      </c>
    </row>
    <row r="569" spans="5:11" x14ac:dyDescent="0.25">
      <c r="E569" s="39" t="str">
        <f>CONCATENATE(Data_Sheet[[#This Row],[Name]],"( ",Data_Sheet[[#This Row],[CLIN]],")")</f>
        <v>( )</v>
      </c>
      <c r="K569" s="11" t="s">
        <v>729</v>
      </c>
    </row>
    <row r="570" spans="5:11" x14ac:dyDescent="0.25">
      <c r="E570" s="39" t="str">
        <f>CONCATENATE(Data_Sheet[[#This Row],[Name]],"( ",Data_Sheet[[#This Row],[CLIN]],")")</f>
        <v>( )</v>
      </c>
      <c r="K570" s="11" t="s">
        <v>730</v>
      </c>
    </row>
    <row r="571" spans="5:11" x14ac:dyDescent="0.25">
      <c r="E571" s="39" t="str">
        <f>CONCATENATE(Data_Sheet[[#This Row],[Name]],"( ",Data_Sheet[[#This Row],[CLIN]],")")</f>
        <v>( )</v>
      </c>
      <c r="K571" s="11" t="s">
        <v>731</v>
      </c>
    </row>
    <row r="572" spans="5:11" x14ac:dyDescent="0.25">
      <c r="E572" s="39" t="str">
        <f>CONCATENATE(Data_Sheet[[#This Row],[Name]],"( ",Data_Sheet[[#This Row],[CLIN]],")")</f>
        <v>( )</v>
      </c>
      <c r="K572" s="11" t="s">
        <v>732</v>
      </c>
    </row>
    <row r="573" spans="5:11" x14ac:dyDescent="0.25">
      <c r="E573" s="39" t="str">
        <f>CONCATENATE(Data_Sheet[[#This Row],[Name]],"( ",Data_Sheet[[#This Row],[CLIN]],")")</f>
        <v>( )</v>
      </c>
      <c r="K573" s="11" t="s">
        <v>733</v>
      </c>
    </row>
    <row r="574" spans="5:11" x14ac:dyDescent="0.25">
      <c r="E574" s="39" t="str">
        <f>CONCATENATE(Data_Sheet[[#This Row],[Name]],"( ",Data_Sheet[[#This Row],[CLIN]],")")</f>
        <v>( )</v>
      </c>
      <c r="K574" s="11" t="s">
        <v>734</v>
      </c>
    </row>
    <row r="575" spans="5:11" x14ac:dyDescent="0.25">
      <c r="E575" s="39" t="str">
        <f>CONCATENATE(Data_Sheet[[#This Row],[Name]],"( ",Data_Sheet[[#This Row],[CLIN]],")")</f>
        <v>( )</v>
      </c>
      <c r="K575" s="11" t="s">
        <v>735</v>
      </c>
    </row>
    <row r="576" spans="5:11" x14ac:dyDescent="0.25">
      <c r="E576" s="39" t="str">
        <f>CONCATENATE(Data_Sheet[[#This Row],[Name]],"( ",Data_Sheet[[#This Row],[CLIN]],")")</f>
        <v>( )</v>
      </c>
      <c r="K576" s="11" t="s">
        <v>736</v>
      </c>
    </row>
    <row r="577" spans="5:11" x14ac:dyDescent="0.25">
      <c r="E577" s="39" t="str">
        <f>CONCATENATE(Data_Sheet[[#This Row],[Name]],"( ",Data_Sheet[[#This Row],[CLIN]],")")</f>
        <v>( )</v>
      </c>
      <c r="K577" s="11" t="s">
        <v>737</v>
      </c>
    </row>
    <row r="578" spans="5:11" x14ac:dyDescent="0.25">
      <c r="E578" s="39" t="str">
        <f>CONCATENATE(Data_Sheet[[#This Row],[Name]],"( ",Data_Sheet[[#This Row],[CLIN]],")")</f>
        <v>( )</v>
      </c>
      <c r="K578" s="11" t="s">
        <v>738</v>
      </c>
    </row>
    <row r="579" spans="5:11" x14ac:dyDescent="0.25">
      <c r="E579" s="39" t="str">
        <f>CONCATENATE(Data_Sheet[[#This Row],[Name]],"( ",Data_Sheet[[#This Row],[CLIN]],")")</f>
        <v>( )</v>
      </c>
      <c r="K579" s="11" t="s">
        <v>739</v>
      </c>
    </row>
    <row r="580" spans="5:11" x14ac:dyDescent="0.25">
      <c r="E580" s="39" t="str">
        <f>CONCATENATE(Data_Sheet[[#This Row],[Name]],"( ",Data_Sheet[[#This Row],[CLIN]],")")</f>
        <v>( )</v>
      </c>
      <c r="K580" s="11" t="s">
        <v>740</v>
      </c>
    </row>
    <row r="581" spans="5:11" x14ac:dyDescent="0.25">
      <c r="E581" s="39" t="str">
        <f>CONCATENATE(Data_Sheet[[#This Row],[Name]],"( ",Data_Sheet[[#This Row],[CLIN]],")")</f>
        <v>( )</v>
      </c>
      <c r="K581" s="11" t="s">
        <v>741</v>
      </c>
    </row>
    <row r="582" spans="5:11" x14ac:dyDescent="0.25">
      <c r="E582" s="39" t="str">
        <f>CONCATENATE(Data_Sheet[[#This Row],[Name]],"( ",Data_Sheet[[#This Row],[CLIN]],")")</f>
        <v>( )</v>
      </c>
      <c r="K582" s="11" t="s">
        <v>742</v>
      </c>
    </row>
    <row r="583" spans="5:11" x14ac:dyDescent="0.25">
      <c r="E583" s="39" t="str">
        <f>CONCATENATE(Data_Sheet[[#This Row],[Name]],"( ",Data_Sheet[[#This Row],[CLIN]],")")</f>
        <v>( )</v>
      </c>
      <c r="K583" s="11" t="s">
        <v>743</v>
      </c>
    </row>
    <row r="584" spans="5:11" x14ac:dyDescent="0.25">
      <c r="E584" s="39" t="str">
        <f>CONCATENATE(Data_Sheet[[#This Row],[Name]],"( ",Data_Sheet[[#This Row],[CLIN]],")")</f>
        <v>( )</v>
      </c>
      <c r="K584" s="11" t="s">
        <v>744</v>
      </c>
    </row>
    <row r="585" spans="5:11" x14ac:dyDescent="0.25">
      <c r="E585" s="39" t="str">
        <f>CONCATENATE(Data_Sheet[[#This Row],[Name]],"( ",Data_Sheet[[#This Row],[CLIN]],")")</f>
        <v>( )</v>
      </c>
      <c r="K585" s="11" t="s">
        <v>745</v>
      </c>
    </row>
    <row r="586" spans="5:11" x14ac:dyDescent="0.25">
      <c r="E586" s="39" t="str">
        <f>CONCATENATE(Data_Sheet[[#This Row],[Name]],"( ",Data_Sheet[[#This Row],[CLIN]],")")</f>
        <v>( )</v>
      </c>
      <c r="K586" s="11" t="s">
        <v>746</v>
      </c>
    </row>
    <row r="587" spans="5:11" x14ac:dyDescent="0.25">
      <c r="E587" s="39" t="str">
        <f>CONCATENATE(Data_Sheet[[#This Row],[Name]],"( ",Data_Sheet[[#This Row],[CLIN]],")")</f>
        <v>( )</v>
      </c>
      <c r="K587" s="11" t="s">
        <v>747</v>
      </c>
    </row>
    <row r="588" spans="5:11" x14ac:dyDescent="0.25">
      <c r="E588" s="39" t="str">
        <f>CONCATENATE(Data_Sheet[[#This Row],[Name]],"( ",Data_Sheet[[#This Row],[CLIN]],")")</f>
        <v>( )</v>
      </c>
      <c r="K588" s="11" t="s">
        <v>748</v>
      </c>
    </row>
    <row r="589" spans="5:11" x14ac:dyDescent="0.25">
      <c r="E589" s="39" t="str">
        <f>CONCATENATE(Data_Sheet[[#This Row],[Name]],"( ",Data_Sheet[[#This Row],[CLIN]],")")</f>
        <v>( )</v>
      </c>
      <c r="K589" s="11" t="s">
        <v>749</v>
      </c>
    </row>
    <row r="590" spans="5:11" x14ac:dyDescent="0.25">
      <c r="E590" s="39" t="str">
        <f>CONCATENATE(Data_Sheet[[#This Row],[Name]],"( ",Data_Sheet[[#This Row],[CLIN]],")")</f>
        <v>( )</v>
      </c>
      <c r="K590" s="11" t="s">
        <v>750</v>
      </c>
    </row>
    <row r="591" spans="5:11" x14ac:dyDescent="0.25">
      <c r="E591" s="39" t="str">
        <f>CONCATENATE(Data_Sheet[[#This Row],[Name]],"( ",Data_Sheet[[#This Row],[CLIN]],")")</f>
        <v>( )</v>
      </c>
      <c r="K591" s="11" t="s">
        <v>751</v>
      </c>
    </row>
    <row r="592" spans="5:11" x14ac:dyDescent="0.25">
      <c r="E592" s="39" t="str">
        <f>CONCATENATE(Data_Sheet[[#This Row],[Name]],"( ",Data_Sheet[[#This Row],[CLIN]],")")</f>
        <v>( )</v>
      </c>
      <c r="K592" s="11" t="s">
        <v>752</v>
      </c>
    </row>
    <row r="593" spans="5:11" x14ac:dyDescent="0.25">
      <c r="E593" s="39" t="str">
        <f>CONCATENATE(Data_Sheet[[#This Row],[Name]],"( ",Data_Sheet[[#This Row],[CLIN]],")")</f>
        <v>( )</v>
      </c>
      <c r="K593" s="11" t="s">
        <v>753</v>
      </c>
    </row>
    <row r="594" spans="5:11" x14ac:dyDescent="0.25">
      <c r="E594" s="39" t="str">
        <f>CONCATENATE(Data_Sheet[[#This Row],[Name]],"( ",Data_Sheet[[#This Row],[CLIN]],")")</f>
        <v>( )</v>
      </c>
      <c r="K594" s="11" t="s">
        <v>754</v>
      </c>
    </row>
    <row r="595" spans="5:11" x14ac:dyDescent="0.25">
      <c r="E595" s="39" t="str">
        <f>CONCATENATE(Data_Sheet[[#This Row],[Name]],"( ",Data_Sheet[[#This Row],[CLIN]],")")</f>
        <v>( )</v>
      </c>
      <c r="K595" s="11" t="s">
        <v>755</v>
      </c>
    </row>
    <row r="596" spans="5:11" x14ac:dyDescent="0.25">
      <c r="E596" s="39" t="str">
        <f>CONCATENATE(Data_Sheet[[#This Row],[Name]],"( ",Data_Sheet[[#This Row],[CLIN]],")")</f>
        <v>( )</v>
      </c>
      <c r="K596" s="11" t="s">
        <v>756</v>
      </c>
    </row>
    <row r="597" spans="5:11" x14ac:dyDescent="0.25">
      <c r="E597" s="39" t="str">
        <f>CONCATENATE(Data_Sheet[[#This Row],[Name]],"( ",Data_Sheet[[#This Row],[CLIN]],")")</f>
        <v>( )</v>
      </c>
      <c r="K597" s="11" t="s">
        <v>757</v>
      </c>
    </row>
    <row r="598" spans="5:11" x14ac:dyDescent="0.25">
      <c r="E598" s="39" t="str">
        <f>CONCATENATE(Data_Sheet[[#This Row],[Name]],"( ",Data_Sheet[[#This Row],[CLIN]],")")</f>
        <v>( )</v>
      </c>
      <c r="K598" s="11" t="s">
        <v>758</v>
      </c>
    </row>
    <row r="599" spans="5:11" x14ac:dyDescent="0.25">
      <c r="E599" s="39" t="str">
        <f>CONCATENATE(Data_Sheet[[#This Row],[Name]],"( ",Data_Sheet[[#This Row],[CLIN]],")")</f>
        <v>( )</v>
      </c>
      <c r="K599" s="11" t="s">
        <v>759</v>
      </c>
    </row>
    <row r="600" spans="5:11" x14ac:dyDescent="0.25">
      <c r="E600" s="39" t="str">
        <f>CONCATENATE(Data_Sheet[[#This Row],[Name]],"( ",Data_Sheet[[#This Row],[CLIN]],")")</f>
        <v>( )</v>
      </c>
      <c r="K600" s="11" t="s">
        <v>760</v>
      </c>
    </row>
    <row r="601" spans="5:11" x14ac:dyDescent="0.25">
      <c r="E601" s="39" t="str">
        <f>CONCATENATE(Data_Sheet[[#This Row],[Name]],"( ",Data_Sheet[[#This Row],[CLIN]],")")</f>
        <v>( )</v>
      </c>
      <c r="K601" s="11" t="s">
        <v>761</v>
      </c>
    </row>
    <row r="602" spans="5:11" x14ac:dyDescent="0.25">
      <c r="E602" s="39" t="str">
        <f>CONCATENATE(Data_Sheet[[#This Row],[Name]],"( ",Data_Sheet[[#This Row],[CLIN]],")")</f>
        <v>( )</v>
      </c>
      <c r="K602" s="11" t="s">
        <v>762</v>
      </c>
    </row>
    <row r="603" spans="5:11" x14ac:dyDescent="0.25">
      <c r="E603" s="39" t="str">
        <f>CONCATENATE(Data_Sheet[[#This Row],[Name]],"( ",Data_Sheet[[#This Row],[CLIN]],")")</f>
        <v>( )</v>
      </c>
      <c r="K603" s="11" t="s">
        <v>763</v>
      </c>
    </row>
    <row r="604" spans="5:11" x14ac:dyDescent="0.25">
      <c r="E604" s="39" t="str">
        <f>CONCATENATE(Data_Sheet[[#This Row],[Name]],"( ",Data_Sheet[[#This Row],[CLIN]],")")</f>
        <v>( )</v>
      </c>
      <c r="K604" s="11" t="s">
        <v>764</v>
      </c>
    </row>
    <row r="605" spans="5:11" x14ac:dyDescent="0.25">
      <c r="E605" s="39" t="str">
        <f>CONCATENATE(Data_Sheet[[#This Row],[Name]],"( ",Data_Sheet[[#This Row],[CLIN]],")")</f>
        <v>( )</v>
      </c>
      <c r="K605" s="11" t="s">
        <v>765</v>
      </c>
    </row>
    <row r="606" spans="5:11" x14ac:dyDescent="0.25">
      <c r="E606" s="39" t="str">
        <f>CONCATENATE(Data_Sheet[[#This Row],[Name]],"( ",Data_Sheet[[#This Row],[CLIN]],")")</f>
        <v>( )</v>
      </c>
      <c r="K606" s="11" t="s">
        <v>766</v>
      </c>
    </row>
    <row r="607" spans="5:11" x14ac:dyDescent="0.25">
      <c r="E607" s="39" t="str">
        <f>CONCATENATE(Data_Sheet[[#This Row],[Name]],"( ",Data_Sheet[[#This Row],[CLIN]],")")</f>
        <v>( )</v>
      </c>
      <c r="K607" s="11" t="s">
        <v>767</v>
      </c>
    </row>
    <row r="608" spans="5:11" x14ac:dyDescent="0.25">
      <c r="E608" s="39" t="str">
        <f>CONCATENATE(Data_Sheet[[#This Row],[Name]],"( ",Data_Sheet[[#This Row],[CLIN]],")")</f>
        <v>( )</v>
      </c>
      <c r="K608" s="11" t="s">
        <v>768</v>
      </c>
    </row>
    <row r="609" spans="5:11" x14ac:dyDescent="0.25">
      <c r="E609" s="39" t="str">
        <f>CONCATENATE(Data_Sheet[[#This Row],[Name]],"( ",Data_Sheet[[#This Row],[CLIN]],")")</f>
        <v>( )</v>
      </c>
      <c r="K609" s="11" t="s">
        <v>769</v>
      </c>
    </row>
    <row r="610" spans="5:11" x14ac:dyDescent="0.25">
      <c r="E610" s="39" t="str">
        <f>CONCATENATE(Data_Sheet[[#This Row],[Name]],"( ",Data_Sheet[[#This Row],[CLIN]],")")</f>
        <v>( )</v>
      </c>
      <c r="K610" s="11" t="s">
        <v>770</v>
      </c>
    </row>
    <row r="611" spans="5:11" x14ac:dyDescent="0.25">
      <c r="E611" s="39" t="str">
        <f>CONCATENATE(Data_Sheet[[#This Row],[Name]],"( ",Data_Sheet[[#This Row],[CLIN]],")")</f>
        <v>( )</v>
      </c>
      <c r="K611" s="11" t="s">
        <v>771</v>
      </c>
    </row>
    <row r="612" spans="5:11" x14ac:dyDescent="0.25">
      <c r="E612" s="39" t="str">
        <f>CONCATENATE(Data_Sheet[[#This Row],[Name]],"( ",Data_Sheet[[#This Row],[CLIN]],")")</f>
        <v>( )</v>
      </c>
      <c r="K612" s="11" t="s">
        <v>772</v>
      </c>
    </row>
    <row r="613" spans="5:11" x14ac:dyDescent="0.25">
      <c r="E613" s="39" t="str">
        <f>CONCATENATE(Data_Sheet[[#This Row],[Name]],"( ",Data_Sheet[[#This Row],[CLIN]],")")</f>
        <v>( )</v>
      </c>
      <c r="K613" s="11" t="s">
        <v>773</v>
      </c>
    </row>
    <row r="614" spans="5:11" x14ac:dyDescent="0.25">
      <c r="E614" s="39" t="str">
        <f>CONCATENATE(Data_Sheet[[#This Row],[Name]],"( ",Data_Sheet[[#This Row],[CLIN]],")")</f>
        <v>( )</v>
      </c>
      <c r="K614" s="11" t="s">
        <v>774</v>
      </c>
    </row>
    <row r="615" spans="5:11" x14ac:dyDescent="0.25">
      <c r="E615" s="39" t="str">
        <f>CONCATENATE(Data_Sheet[[#This Row],[Name]],"( ",Data_Sheet[[#This Row],[CLIN]],")")</f>
        <v>( )</v>
      </c>
      <c r="K615" s="11" t="s">
        <v>775</v>
      </c>
    </row>
    <row r="616" spans="5:11" x14ac:dyDescent="0.25">
      <c r="E616" s="39" t="str">
        <f>CONCATENATE(Data_Sheet[[#This Row],[Name]],"( ",Data_Sheet[[#This Row],[CLIN]],")")</f>
        <v>( )</v>
      </c>
      <c r="K616" s="11" t="s">
        <v>776</v>
      </c>
    </row>
    <row r="617" spans="5:11" x14ac:dyDescent="0.25">
      <c r="E617" s="39" t="str">
        <f>CONCATENATE(Data_Sheet[[#This Row],[Name]],"( ",Data_Sheet[[#This Row],[CLIN]],")")</f>
        <v>( )</v>
      </c>
      <c r="K617" s="11" t="s">
        <v>777</v>
      </c>
    </row>
    <row r="618" spans="5:11" x14ac:dyDescent="0.25">
      <c r="E618" s="39" t="str">
        <f>CONCATENATE(Data_Sheet[[#This Row],[Name]],"( ",Data_Sheet[[#This Row],[CLIN]],")")</f>
        <v>( )</v>
      </c>
      <c r="K618" s="11" t="s">
        <v>778</v>
      </c>
    </row>
    <row r="619" spans="5:11" x14ac:dyDescent="0.25">
      <c r="E619" s="39" t="str">
        <f>CONCATENATE(Data_Sheet[[#This Row],[Name]],"( ",Data_Sheet[[#This Row],[CLIN]],")")</f>
        <v>( )</v>
      </c>
      <c r="K619" s="11" t="s">
        <v>779</v>
      </c>
    </row>
    <row r="620" spans="5:11" x14ac:dyDescent="0.25">
      <c r="E620" s="39" t="str">
        <f>CONCATENATE(Data_Sheet[[#This Row],[Name]],"( ",Data_Sheet[[#This Row],[CLIN]],")")</f>
        <v>( )</v>
      </c>
      <c r="K620" s="11" t="s">
        <v>780</v>
      </c>
    </row>
    <row r="621" spans="5:11" x14ac:dyDescent="0.25">
      <c r="E621" s="39" t="str">
        <f>CONCATENATE(Data_Sheet[[#This Row],[Name]],"( ",Data_Sheet[[#This Row],[CLIN]],")")</f>
        <v>( )</v>
      </c>
      <c r="K621" s="11" t="s">
        <v>781</v>
      </c>
    </row>
    <row r="622" spans="5:11" x14ac:dyDescent="0.25">
      <c r="E622" s="39" t="str">
        <f>CONCATENATE(Data_Sheet[[#This Row],[Name]],"( ",Data_Sheet[[#This Row],[CLIN]],")")</f>
        <v>( )</v>
      </c>
      <c r="K622" s="11" t="s">
        <v>782</v>
      </c>
    </row>
    <row r="623" spans="5:11" x14ac:dyDescent="0.25">
      <c r="E623" s="39" t="str">
        <f>CONCATENATE(Data_Sheet[[#This Row],[Name]],"( ",Data_Sheet[[#This Row],[CLIN]],")")</f>
        <v>( )</v>
      </c>
      <c r="K623" s="11" t="s">
        <v>783</v>
      </c>
    </row>
    <row r="624" spans="5:11" x14ac:dyDescent="0.25">
      <c r="E624" s="39" t="str">
        <f>CONCATENATE(Data_Sheet[[#This Row],[Name]],"( ",Data_Sheet[[#This Row],[CLIN]],")")</f>
        <v>( )</v>
      </c>
      <c r="K624" s="11" t="s">
        <v>784</v>
      </c>
    </row>
    <row r="625" spans="5:11" x14ac:dyDescent="0.25">
      <c r="E625" s="39" t="str">
        <f>CONCATENATE(Data_Sheet[[#This Row],[Name]],"( ",Data_Sheet[[#This Row],[CLIN]],")")</f>
        <v>( )</v>
      </c>
      <c r="K625" s="11" t="s">
        <v>785</v>
      </c>
    </row>
    <row r="626" spans="5:11" x14ac:dyDescent="0.25">
      <c r="E626" s="39" t="str">
        <f>CONCATENATE(Data_Sheet[[#This Row],[Name]],"( ",Data_Sheet[[#This Row],[CLIN]],")")</f>
        <v>( )</v>
      </c>
      <c r="K626" s="11" t="s">
        <v>786</v>
      </c>
    </row>
    <row r="627" spans="5:11" x14ac:dyDescent="0.25">
      <c r="E627" s="39" t="str">
        <f>CONCATENATE(Data_Sheet[[#This Row],[Name]],"( ",Data_Sheet[[#This Row],[CLIN]],")")</f>
        <v>( )</v>
      </c>
      <c r="K627" s="11" t="s">
        <v>787</v>
      </c>
    </row>
    <row r="628" spans="5:11" x14ac:dyDescent="0.25">
      <c r="E628" s="39" t="str">
        <f>CONCATENATE(Data_Sheet[[#This Row],[Name]],"( ",Data_Sheet[[#This Row],[CLIN]],")")</f>
        <v>( )</v>
      </c>
      <c r="K628" s="11" t="s">
        <v>788</v>
      </c>
    </row>
    <row r="629" spans="5:11" x14ac:dyDescent="0.25">
      <c r="E629" s="39" t="str">
        <f>CONCATENATE(Data_Sheet[[#This Row],[Name]],"( ",Data_Sheet[[#This Row],[CLIN]],")")</f>
        <v>( )</v>
      </c>
      <c r="K629" s="11" t="s">
        <v>789</v>
      </c>
    </row>
    <row r="630" spans="5:11" x14ac:dyDescent="0.25">
      <c r="E630" s="39" t="str">
        <f>CONCATENATE(Data_Sheet[[#This Row],[Name]],"( ",Data_Sheet[[#This Row],[CLIN]],")")</f>
        <v>( )</v>
      </c>
      <c r="K630" s="11" t="s">
        <v>790</v>
      </c>
    </row>
    <row r="631" spans="5:11" x14ac:dyDescent="0.25">
      <c r="E631" s="39" t="str">
        <f>CONCATENATE(Data_Sheet[[#This Row],[Name]],"( ",Data_Sheet[[#This Row],[CLIN]],")")</f>
        <v>( )</v>
      </c>
      <c r="K631" s="11" t="s">
        <v>791</v>
      </c>
    </row>
    <row r="632" spans="5:11" x14ac:dyDescent="0.25">
      <c r="E632" s="39" t="str">
        <f>CONCATENATE(Data_Sheet[[#This Row],[Name]],"( ",Data_Sheet[[#This Row],[CLIN]],")")</f>
        <v>( )</v>
      </c>
      <c r="K632" s="11" t="s">
        <v>792</v>
      </c>
    </row>
    <row r="633" spans="5:11" x14ac:dyDescent="0.25">
      <c r="E633" s="39" t="str">
        <f>CONCATENATE(Data_Sheet[[#This Row],[Name]],"( ",Data_Sheet[[#This Row],[CLIN]],")")</f>
        <v>( )</v>
      </c>
      <c r="K633" s="11" t="s">
        <v>793</v>
      </c>
    </row>
    <row r="634" spans="5:11" x14ac:dyDescent="0.25">
      <c r="E634" s="39" t="str">
        <f>CONCATENATE(Data_Sheet[[#This Row],[Name]],"( ",Data_Sheet[[#This Row],[CLIN]],")")</f>
        <v>( )</v>
      </c>
      <c r="K634" s="11" t="s">
        <v>794</v>
      </c>
    </row>
    <row r="635" spans="5:11" x14ac:dyDescent="0.25">
      <c r="E635" s="39" t="str">
        <f>CONCATENATE(Data_Sheet[[#This Row],[Name]],"( ",Data_Sheet[[#This Row],[CLIN]],")")</f>
        <v>( )</v>
      </c>
      <c r="K635" s="11" t="s">
        <v>795</v>
      </c>
    </row>
    <row r="636" spans="5:11" x14ac:dyDescent="0.25">
      <c r="E636" s="39" t="str">
        <f>CONCATENATE(Data_Sheet[[#This Row],[Name]],"( ",Data_Sheet[[#This Row],[CLIN]],")")</f>
        <v>( )</v>
      </c>
      <c r="K636" s="11" t="s">
        <v>796</v>
      </c>
    </row>
    <row r="637" spans="5:11" x14ac:dyDescent="0.25">
      <c r="E637" s="39" t="str">
        <f>CONCATENATE(Data_Sheet[[#This Row],[Name]],"( ",Data_Sheet[[#This Row],[CLIN]],")")</f>
        <v>( )</v>
      </c>
      <c r="K637" s="11" t="s">
        <v>797</v>
      </c>
    </row>
    <row r="638" spans="5:11" x14ac:dyDescent="0.25">
      <c r="E638" s="39" t="str">
        <f>CONCATENATE(Data_Sheet[[#This Row],[Name]],"( ",Data_Sheet[[#This Row],[CLIN]],")")</f>
        <v>( )</v>
      </c>
      <c r="K638" s="11" t="s">
        <v>798</v>
      </c>
    </row>
    <row r="639" spans="5:11" x14ac:dyDescent="0.25">
      <c r="E639" s="39" t="str">
        <f>CONCATENATE(Data_Sheet[[#This Row],[Name]],"( ",Data_Sheet[[#This Row],[CLIN]],")")</f>
        <v>( )</v>
      </c>
      <c r="K639" s="11" t="s">
        <v>799</v>
      </c>
    </row>
    <row r="640" spans="5:11" x14ac:dyDescent="0.25">
      <c r="E640" s="39" t="str">
        <f>CONCATENATE(Data_Sheet[[#This Row],[Name]],"( ",Data_Sheet[[#This Row],[CLIN]],")")</f>
        <v>( )</v>
      </c>
      <c r="K640" s="11" t="s">
        <v>800</v>
      </c>
    </row>
    <row r="641" spans="5:11" x14ac:dyDescent="0.25">
      <c r="E641" s="39" t="str">
        <f>CONCATENATE(Data_Sheet[[#This Row],[Name]],"( ",Data_Sheet[[#This Row],[CLIN]],")")</f>
        <v>( )</v>
      </c>
      <c r="K641" s="11" t="s">
        <v>801</v>
      </c>
    </row>
    <row r="642" spans="5:11" x14ac:dyDescent="0.25">
      <c r="E642" s="39" t="str">
        <f>CONCATENATE(Data_Sheet[[#This Row],[Name]],"( ",Data_Sheet[[#This Row],[CLIN]],")")</f>
        <v>( )</v>
      </c>
      <c r="K642" s="11" t="s">
        <v>802</v>
      </c>
    </row>
    <row r="643" spans="5:11" x14ac:dyDescent="0.25">
      <c r="E643" s="39" t="str">
        <f>CONCATENATE(Data_Sheet[[#This Row],[Name]],"( ",Data_Sheet[[#This Row],[CLIN]],")")</f>
        <v>( )</v>
      </c>
      <c r="K643" s="11" t="s">
        <v>803</v>
      </c>
    </row>
    <row r="644" spans="5:11" x14ac:dyDescent="0.25">
      <c r="E644" s="39" t="str">
        <f>CONCATENATE(Data_Sheet[[#This Row],[Name]],"( ",Data_Sheet[[#This Row],[CLIN]],")")</f>
        <v>( )</v>
      </c>
      <c r="K644" s="11" t="s">
        <v>804</v>
      </c>
    </row>
    <row r="645" spans="5:11" x14ac:dyDescent="0.25">
      <c r="E645" s="39" t="str">
        <f>CONCATENATE(Data_Sheet[[#This Row],[Name]],"( ",Data_Sheet[[#This Row],[CLIN]],")")</f>
        <v>( )</v>
      </c>
      <c r="K645" s="11" t="s">
        <v>805</v>
      </c>
    </row>
    <row r="646" spans="5:11" x14ac:dyDescent="0.25">
      <c r="E646" s="39" t="str">
        <f>CONCATENATE(Data_Sheet[[#This Row],[Name]],"( ",Data_Sheet[[#This Row],[CLIN]],")")</f>
        <v>( )</v>
      </c>
      <c r="K646" s="11" t="s">
        <v>806</v>
      </c>
    </row>
    <row r="647" spans="5:11" x14ac:dyDescent="0.25">
      <c r="E647" s="39" t="str">
        <f>CONCATENATE(Data_Sheet[[#This Row],[Name]],"( ",Data_Sheet[[#This Row],[CLIN]],")")</f>
        <v>( )</v>
      </c>
      <c r="K647" s="11" t="s">
        <v>807</v>
      </c>
    </row>
    <row r="648" spans="5:11" x14ac:dyDescent="0.25">
      <c r="E648" s="39" t="str">
        <f>CONCATENATE(Data_Sheet[[#This Row],[Name]],"( ",Data_Sheet[[#This Row],[CLIN]],")")</f>
        <v>( )</v>
      </c>
      <c r="K648" s="11" t="s">
        <v>808</v>
      </c>
    </row>
    <row r="649" spans="5:11" x14ac:dyDescent="0.25">
      <c r="E649" s="39" t="str">
        <f>CONCATENATE(Data_Sheet[[#This Row],[Name]],"( ",Data_Sheet[[#This Row],[CLIN]],")")</f>
        <v>( )</v>
      </c>
      <c r="K649" s="11" t="s">
        <v>809</v>
      </c>
    </row>
    <row r="650" spans="5:11" x14ac:dyDescent="0.25">
      <c r="E650" s="39" t="str">
        <f>CONCATENATE(Data_Sheet[[#This Row],[Name]],"( ",Data_Sheet[[#This Row],[CLIN]],")")</f>
        <v>( )</v>
      </c>
      <c r="K650" s="11" t="s">
        <v>810</v>
      </c>
    </row>
    <row r="651" spans="5:11" x14ac:dyDescent="0.25">
      <c r="E651" s="39" t="str">
        <f>CONCATENATE(Data_Sheet[[#This Row],[Name]],"( ",Data_Sheet[[#This Row],[CLIN]],")")</f>
        <v>( )</v>
      </c>
      <c r="K651" s="11" t="s">
        <v>811</v>
      </c>
    </row>
    <row r="652" spans="5:11" x14ac:dyDescent="0.25">
      <c r="E652" s="39" t="str">
        <f>CONCATENATE(Data_Sheet[[#This Row],[Name]],"( ",Data_Sheet[[#This Row],[CLIN]],")")</f>
        <v>( )</v>
      </c>
      <c r="K652" s="11" t="s">
        <v>812</v>
      </c>
    </row>
    <row r="653" spans="5:11" x14ac:dyDescent="0.25">
      <c r="E653" s="39" t="str">
        <f>CONCATENATE(Data_Sheet[[#This Row],[Name]],"( ",Data_Sheet[[#This Row],[CLIN]],")")</f>
        <v>( )</v>
      </c>
      <c r="K653" s="11" t="s">
        <v>813</v>
      </c>
    </row>
    <row r="654" spans="5:11" x14ac:dyDescent="0.25">
      <c r="E654" s="39" t="str">
        <f>CONCATENATE(Data_Sheet[[#This Row],[Name]],"( ",Data_Sheet[[#This Row],[CLIN]],")")</f>
        <v>( )</v>
      </c>
      <c r="K654" s="11" t="s">
        <v>814</v>
      </c>
    </row>
    <row r="655" spans="5:11" x14ac:dyDescent="0.25">
      <c r="E655" s="39" t="str">
        <f>CONCATENATE(Data_Sheet[[#This Row],[Name]],"( ",Data_Sheet[[#This Row],[CLIN]],")")</f>
        <v>( )</v>
      </c>
      <c r="K655" s="11" t="s">
        <v>815</v>
      </c>
    </row>
    <row r="656" spans="5:11" x14ac:dyDescent="0.25">
      <c r="E656" s="39" t="str">
        <f>CONCATENATE(Data_Sheet[[#This Row],[Name]],"( ",Data_Sheet[[#This Row],[CLIN]],")")</f>
        <v>( )</v>
      </c>
      <c r="K656" s="11" t="s">
        <v>816</v>
      </c>
    </row>
    <row r="657" spans="5:11" x14ac:dyDescent="0.25">
      <c r="E657" s="39" t="str">
        <f>CONCATENATE(Data_Sheet[[#This Row],[Name]],"( ",Data_Sheet[[#This Row],[CLIN]],")")</f>
        <v>( )</v>
      </c>
      <c r="K657" s="11" t="s">
        <v>817</v>
      </c>
    </row>
    <row r="658" spans="5:11" x14ac:dyDescent="0.25">
      <c r="E658" s="39" t="str">
        <f>CONCATENATE(Data_Sheet[[#This Row],[Name]],"( ",Data_Sheet[[#This Row],[CLIN]],")")</f>
        <v>( )</v>
      </c>
      <c r="K658" s="11" t="s">
        <v>818</v>
      </c>
    </row>
    <row r="659" spans="5:11" x14ac:dyDescent="0.25">
      <c r="E659" s="39" t="str">
        <f>CONCATENATE(Data_Sheet[[#This Row],[Name]],"( ",Data_Sheet[[#This Row],[CLIN]],")")</f>
        <v>( )</v>
      </c>
      <c r="K659" s="11" t="s">
        <v>819</v>
      </c>
    </row>
    <row r="660" spans="5:11" x14ac:dyDescent="0.25">
      <c r="E660" s="39" t="str">
        <f>CONCATENATE(Data_Sheet[[#This Row],[Name]],"( ",Data_Sheet[[#This Row],[CLIN]],")")</f>
        <v>( )</v>
      </c>
      <c r="K660" s="11" t="s">
        <v>820</v>
      </c>
    </row>
    <row r="661" spans="5:11" x14ac:dyDescent="0.25">
      <c r="E661" s="39" t="str">
        <f>CONCATENATE(Data_Sheet[[#This Row],[Name]],"( ",Data_Sheet[[#This Row],[CLIN]],")")</f>
        <v>( )</v>
      </c>
      <c r="K661" s="11" t="s">
        <v>821</v>
      </c>
    </row>
    <row r="662" spans="5:11" x14ac:dyDescent="0.25">
      <c r="E662" s="39" t="str">
        <f>CONCATENATE(Data_Sheet[[#This Row],[Name]],"( ",Data_Sheet[[#This Row],[CLIN]],")")</f>
        <v>( )</v>
      </c>
      <c r="K662" s="11" t="s">
        <v>822</v>
      </c>
    </row>
    <row r="663" spans="5:11" x14ac:dyDescent="0.25">
      <c r="E663" s="39" t="str">
        <f>CONCATENATE(Data_Sheet[[#This Row],[Name]],"( ",Data_Sheet[[#This Row],[CLIN]],")")</f>
        <v>( )</v>
      </c>
      <c r="K663" s="11" t="s">
        <v>823</v>
      </c>
    </row>
    <row r="664" spans="5:11" x14ac:dyDescent="0.25">
      <c r="E664" s="39" t="str">
        <f>CONCATENATE(Data_Sheet[[#This Row],[Name]],"( ",Data_Sheet[[#This Row],[CLIN]],")")</f>
        <v>( )</v>
      </c>
      <c r="K664" s="11" t="s">
        <v>824</v>
      </c>
    </row>
    <row r="665" spans="5:11" x14ac:dyDescent="0.25">
      <c r="E665" s="39" t="str">
        <f>CONCATENATE(Data_Sheet[[#This Row],[Name]],"( ",Data_Sheet[[#This Row],[CLIN]],")")</f>
        <v>( )</v>
      </c>
      <c r="K665" s="11" t="s">
        <v>825</v>
      </c>
    </row>
    <row r="666" spans="5:11" x14ac:dyDescent="0.25">
      <c r="E666" s="39" t="str">
        <f>CONCATENATE(Data_Sheet[[#This Row],[Name]],"( ",Data_Sheet[[#This Row],[CLIN]],")")</f>
        <v>( )</v>
      </c>
      <c r="K666" s="11" t="s">
        <v>826</v>
      </c>
    </row>
    <row r="667" spans="5:11" x14ac:dyDescent="0.25">
      <c r="E667" s="39" t="str">
        <f>CONCATENATE(Data_Sheet[[#This Row],[Name]],"( ",Data_Sheet[[#This Row],[CLIN]],")")</f>
        <v>( )</v>
      </c>
      <c r="K667" s="11" t="s">
        <v>827</v>
      </c>
    </row>
    <row r="668" spans="5:11" x14ac:dyDescent="0.25">
      <c r="E668" s="39" t="str">
        <f>CONCATENATE(Data_Sheet[[#This Row],[Name]],"( ",Data_Sheet[[#This Row],[CLIN]],")")</f>
        <v>( )</v>
      </c>
      <c r="K668" s="11" t="s">
        <v>828</v>
      </c>
    </row>
    <row r="669" spans="5:11" x14ac:dyDescent="0.25">
      <c r="E669" s="39" t="str">
        <f>CONCATENATE(Data_Sheet[[#This Row],[Name]],"( ",Data_Sheet[[#This Row],[CLIN]],")")</f>
        <v>( )</v>
      </c>
      <c r="K669" s="11" t="s">
        <v>829</v>
      </c>
    </row>
    <row r="670" spans="5:11" x14ac:dyDescent="0.25">
      <c r="E670" s="39" t="str">
        <f>CONCATENATE(Data_Sheet[[#This Row],[Name]],"( ",Data_Sheet[[#This Row],[CLIN]],")")</f>
        <v>( )</v>
      </c>
      <c r="K670" s="11" t="s">
        <v>830</v>
      </c>
    </row>
    <row r="671" spans="5:11" x14ac:dyDescent="0.25">
      <c r="E671" s="39" t="str">
        <f>CONCATENATE(Data_Sheet[[#This Row],[Name]],"( ",Data_Sheet[[#This Row],[CLIN]],")")</f>
        <v>( )</v>
      </c>
      <c r="K671" s="11" t="s">
        <v>831</v>
      </c>
    </row>
    <row r="672" spans="5:11" x14ac:dyDescent="0.25">
      <c r="E672" s="39" t="str">
        <f>CONCATENATE(Data_Sheet[[#This Row],[Name]],"( ",Data_Sheet[[#This Row],[CLIN]],")")</f>
        <v>( )</v>
      </c>
      <c r="K672" s="11" t="s">
        <v>832</v>
      </c>
    </row>
    <row r="673" spans="5:11" x14ac:dyDescent="0.25">
      <c r="E673" s="39" t="str">
        <f>CONCATENATE(Data_Sheet[[#This Row],[Name]],"( ",Data_Sheet[[#This Row],[CLIN]],")")</f>
        <v>( )</v>
      </c>
      <c r="K673" s="11" t="s">
        <v>833</v>
      </c>
    </row>
    <row r="674" spans="5:11" x14ac:dyDescent="0.25">
      <c r="E674" s="39" t="str">
        <f>CONCATENATE(Data_Sheet[[#This Row],[Name]],"( ",Data_Sheet[[#This Row],[CLIN]],")")</f>
        <v>( )</v>
      </c>
      <c r="K674" s="11" t="s">
        <v>834</v>
      </c>
    </row>
    <row r="675" spans="5:11" x14ac:dyDescent="0.25">
      <c r="E675" s="39" t="str">
        <f>CONCATENATE(Data_Sheet[[#This Row],[Name]],"( ",Data_Sheet[[#This Row],[CLIN]],")")</f>
        <v>( )</v>
      </c>
      <c r="K675" s="11" t="s">
        <v>835</v>
      </c>
    </row>
    <row r="676" spans="5:11" x14ac:dyDescent="0.25">
      <c r="E676" s="39" t="str">
        <f>CONCATENATE(Data_Sheet[[#This Row],[Name]],"( ",Data_Sheet[[#This Row],[CLIN]],")")</f>
        <v>( )</v>
      </c>
      <c r="K676" s="11" t="s">
        <v>836</v>
      </c>
    </row>
    <row r="677" spans="5:11" x14ac:dyDescent="0.25">
      <c r="E677" s="39" t="str">
        <f>CONCATENATE(Data_Sheet[[#This Row],[Name]],"( ",Data_Sheet[[#This Row],[CLIN]],")")</f>
        <v>( )</v>
      </c>
      <c r="K677" s="11" t="s">
        <v>837</v>
      </c>
    </row>
    <row r="678" spans="5:11" x14ac:dyDescent="0.25">
      <c r="E678" s="39" t="str">
        <f>CONCATENATE(Data_Sheet[[#This Row],[Name]],"( ",Data_Sheet[[#This Row],[CLIN]],")")</f>
        <v>( )</v>
      </c>
      <c r="K678" s="11" t="s">
        <v>838</v>
      </c>
    </row>
    <row r="679" spans="5:11" x14ac:dyDescent="0.25">
      <c r="E679" s="39" t="str">
        <f>CONCATENATE(Data_Sheet[[#This Row],[Name]],"( ",Data_Sheet[[#This Row],[CLIN]],")")</f>
        <v>( )</v>
      </c>
      <c r="K679" s="11" t="s">
        <v>839</v>
      </c>
    </row>
    <row r="680" spans="5:11" x14ac:dyDescent="0.25">
      <c r="E680" s="39" t="str">
        <f>CONCATENATE(Data_Sheet[[#This Row],[Name]],"( ",Data_Sheet[[#This Row],[CLIN]],")")</f>
        <v>( )</v>
      </c>
      <c r="K680" s="11" t="s">
        <v>840</v>
      </c>
    </row>
    <row r="681" spans="5:11" x14ac:dyDescent="0.25">
      <c r="E681" s="39" t="str">
        <f>CONCATENATE(Data_Sheet[[#This Row],[Name]],"( ",Data_Sheet[[#This Row],[CLIN]],")")</f>
        <v>( )</v>
      </c>
      <c r="K681" s="11" t="s">
        <v>841</v>
      </c>
    </row>
    <row r="682" spans="5:11" x14ac:dyDescent="0.25">
      <c r="E682" s="39" t="str">
        <f>CONCATENATE(Data_Sheet[[#This Row],[Name]],"( ",Data_Sheet[[#This Row],[CLIN]],")")</f>
        <v>( )</v>
      </c>
      <c r="K682" s="11" t="s">
        <v>842</v>
      </c>
    </row>
    <row r="683" spans="5:11" x14ac:dyDescent="0.25">
      <c r="E683" s="39" t="str">
        <f>CONCATENATE(Data_Sheet[[#This Row],[Name]],"( ",Data_Sheet[[#This Row],[CLIN]],")")</f>
        <v>( )</v>
      </c>
      <c r="K683" s="11" t="s">
        <v>843</v>
      </c>
    </row>
    <row r="684" spans="5:11" x14ac:dyDescent="0.25">
      <c r="E684" s="39" t="str">
        <f>CONCATENATE(Data_Sheet[[#This Row],[Name]],"( ",Data_Sheet[[#This Row],[CLIN]],")")</f>
        <v>( )</v>
      </c>
      <c r="K684" s="11" t="s">
        <v>844</v>
      </c>
    </row>
    <row r="685" spans="5:11" x14ac:dyDescent="0.25">
      <c r="E685" s="39" t="str">
        <f>CONCATENATE(Data_Sheet[[#This Row],[Name]],"( ",Data_Sheet[[#This Row],[CLIN]],")")</f>
        <v>( )</v>
      </c>
      <c r="K685" s="11" t="s">
        <v>845</v>
      </c>
    </row>
    <row r="686" spans="5:11" x14ac:dyDescent="0.25">
      <c r="E686" s="39" t="str">
        <f>CONCATENATE(Data_Sheet[[#This Row],[Name]],"( ",Data_Sheet[[#This Row],[CLIN]],")")</f>
        <v>( )</v>
      </c>
      <c r="K686" s="11" t="s">
        <v>846</v>
      </c>
    </row>
    <row r="687" spans="5:11" x14ac:dyDescent="0.25">
      <c r="E687" s="39" t="str">
        <f>CONCATENATE(Data_Sheet[[#This Row],[Name]],"( ",Data_Sheet[[#This Row],[CLIN]],")")</f>
        <v>( )</v>
      </c>
      <c r="K687" s="11" t="s">
        <v>847</v>
      </c>
    </row>
    <row r="688" spans="5:11" x14ac:dyDescent="0.25">
      <c r="E688" s="39" t="str">
        <f>CONCATENATE(Data_Sheet[[#This Row],[Name]],"( ",Data_Sheet[[#This Row],[CLIN]],")")</f>
        <v>( )</v>
      </c>
      <c r="K688" s="11" t="s">
        <v>848</v>
      </c>
    </row>
    <row r="689" spans="5:11" x14ac:dyDescent="0.25">
      <c r="E689" s="39" t="str">
        <f>CONCATENATE(Data_Sheet[[#This Row],[Name]],"( ",Data_Sheet[[#This Row],[CLIN]],")")</f>
        <v>( )</v>
      </c>
      <c r="K689" s="11" t="s">
        <v>849</v>
      </c>
    </row>
    <row r="690" spans="5:11" x14ac:dyDescent="0.25">
      <c r="E690" s="39" t="str">
        <f>CONCATENATE(Data_Sheet[[#This Row],[Name]],"( ",Data_Sheet[[#This Row],[CLIN]],")")</f>
        <v>( )</v>
      </c>
      <c r="K690" s="11" t="s">
        <v>850</v>
      </c>
    </row>
    <row r="691" spans="5:11" x14ac:dyDescent="0.25">
      <c r="E691" s="39" t="str">
        <f>CONCATENATE(Data_Sheet[[#This Row],[Name]],"( ",Data_Sheet[[#This Row],[CLIN]],")")</f>
        <v>( )</v>
      </c>
      <c r="K691" s="11" t="s">
        <v>851</v>
      </c>
    </row>
    <row r="692" spans="5:11" x14ac:dyDescent="0.25">
      <c r="E692" s="39" t="str">
        <f>CONCATENATE(Data_Sheet[[#This Row],[Name]],"( ",Data_Sheet[[#This Row],[CLIN]],")")</f>
        <v>( )</v>
      </c>
      <c r="K692" s="11" t="s">
        <v>852</v>
      </c>
    </row>
    <row r="693" spans="5:11" x14ac:dyDescent="0.25">
      <c r="E693" s="39" t="str">
        <f>CONCATENATE(Data_Sheet[[#This Row],[Name]],"( ",Data_Sheet[[#This Row],[CLIN]],")")</f>
        <v>( )</v>
      </c>
      <c r="K693" s="11" t="s">
        <v>853</v>
      </c>
    </row>
    <row r="694" spans="5:11" x14ac:dyDescent="0.25">
      <c r="E694" s="39" t="str">
        <f>CONCATENATE(Data_Sheet[[#This Row],[Name]],"( ",Data_Sheet[[#This Row],[CLIN]],")")</f>
        <v>( )</v>
      </c>
      <c r="K694" s="11" t="s">
        <v>854</v>
      </c>
    </row>
    <row r="695" spans="5:11" x14ac:dyDescent="0.25">
      <c r="E695" s="39" t="str">
        <f>CONCATENATE(Data_Sheet[[#This Row],[Name]],"( ",Data_Sheet[[#This Row],[CLIN]],")")</f>
        <v>( )</v>
      </c>
      <c r="K695" s="11" t="s">
        <v>855</v>
      </c>
    </row>
    <row r="696" spans="5:11" x14ac:dyDescent="0.25">
      <c r="E696" s="39" t="str">
        <f>CONCATENATE(Data_Sheet[[#This Row],[Name]],"( ",Data_Sheet[[#This Row],[CLIN]],")")</f>
        <v>( )</v>
      </c>
      <c r="K696" s="11" t="s">
        <v>856</v>
      </c>
    </row>
    <row r="697" spans="5:11" x14ac:dyDescent="0.25">
      <c r="E697" s="39" t="str">
        <f>CONCATENATE(Data_Sheet[[#This Row],[Name]],"( ",Data_Sheet[[#This Row],[CLIN]],")")</f>
        <v>( )</v>
      </c>
      <c r="K697" s="11" t="s">
        <v>857</v>
      </c>
    </row>
    <row r="698" spans="5:11" x14ac:dyDescent="0.25">
      <c r="E698" s="39" t="str">
        <f>CONCATENATE(Data_Sheet[[#This Row],[Name]],"( ",Data_Sheet[[#This Row],[CLIN]],")")</f>
        <v>( )</v>
      </c>
      <c r="K698" s="11" t="s">
        <v>858</v>
      </c>
    </row>
    <row r="699" spans="5:11" x14ac:dyDescent="0.25">
      <c r="E699" s="39" t="str">
        <f>CONCATENATE(Data_Sheet[[#This Row],[Name]],"( ",Data_Sheet[[#This Row],[CLIN]],")")</f>
        <v>( )</v>
      </c>
      <c r="K699" s="11" t="s">
        <v>859</v>
      </c>
    </row>
    <row r="700" spans="5:11" x14ac:dyDescent="0.25">
      <c r="E700" s="39" t="str">
        <f>CONCATENATE(Data_Sheet[[#This Row],[Name]],"( ",Data_Sheet[[#This Row],[CLIN]],")")</f>
        <v>( )</v>
      </c>
      <c r="K700" s="11" t="s">
        <v>860</v>
      </c>
    </row>
    <row r="701" spans="5:11" x14ac:dyDescent="0.25">
      <c r="E701" s="39" t="str">
        <f>CONCATENATE(Data_Sheet[[#This Row],[Name]],"( ",Data_Sheet[[#This Row],[CLIN]],")")</f>
        <v>( )</v>
      </c>
      <c r="K701" s="11" t="s">
        <v>861</v>
      </c>
    </row>
    <row r="702" spans="5:11" x14ac:dyDescent="0.25">
      <c r="E702" s="39" t="str">
        <f>CONCATENATE(Data_Sheet[[#This Row],[Name]],"( ",Data_Sheet[[#This Row],[CLIN]],")")</f>
        <v>( )</v>
      </c>
      <c r="K702" s="11" t="s">
        <v>862</v>
      </c>
    </row>
    <row r="703" spans="5:11" x14ac:dyDescent="0.25">
      <c r="E703" s="39" t="str">
        <f>CONCATENATE(Data_Sheet[[#This Row],[Name]],"( ",Data_Sheet[[#This Row],[CLIN]],")")</f>
        <v>( )</v>
      </c>
      <c r="K703" s="11" t="s">
        <v>863</v>
      </c>
    </row>
    <row r="704" spans="5:11" x14ac:dyDescent="0.25">
      <c r="E704" s="39" t="str">
        <f>CONCATENATE(Data_Sheet[[#This Row],[Name]],"( ",Data_Sheet[[#This Row],[CLIN]],")")</f>
        <v>( )</v>
      </c>
      <c r="K704" s="11" t="s">
        <v>864</v>
      </c>
    </row>
    <row r="705" spans="5:11" x14ac:dyDescent="0.25">
      <c r="E705" s="39" t="str">
        <f>CONCATENATE(Data_Sheet[[#This Row],[Name]],"( ",Data_Sheet[[#This Row],[CLIN]],")")</f>
        <v>( )</v>
      </c>
      <c r="K705" s="11" t="s">
        <v>865</v>
      </c>
    </row>
    <row r="706" spans="5:11" x14ac:dyDescent="0.25">
      <c r="E706" s="39" t="str">
        <f>CONCATENATE(Data_Sheet[[#This Row],[Name]],"( ",Data_Sheet[[#This Row],[CLIN]],")")</f>
        <v>( )</v>
      </c>
      <c r="K706" s="11" t="s">
        <v>866</v>
      </c>
    </row>
    <row r="707" spans="5:11" x14ac:dyDescent="0.25">
      <c r="E707" s="39" t="str">
        <f>CONCATENATE(Data_Sheet[[#This Row],[Name]],"( ",Data_Sheet[[#This Row],[CLIN]],")")</f>
        <v>( )</v>
      </c>
      <c r="K707" s="11" t="s">
        <v>867</v>
      </c>
    </row>
    <row r="708" spans="5:11" x14ac:dyDescent="0.25">
      <c r="E708" s="39" t="str">
        <f>CONCATENATE(Data_Sheet[[#This Row],[Name]],"( ",Data_Sheet[[#This Row],[CLIN]],")")</f>
        <v>( )</v>
      </c>
      <c r="K708" s="11" t="s">
        <v>868</v>
      </c>
    </row>
    <row r="709" spans="5:11" x14ac:dyDescent="0.25">
      <c r="E709" s="39" t="str">
        <f>CONCATENATE(Data_Sheet[[#This Row],[Name]],"( ",Data_Sheet[[#This Row],[CLIN]],")")</f>
        <v>( )</v>
      </c>
      <c r="K709" s="11" t="s">
        <v>869</v>
      </c>
    </row>
    <row r="710" spans="5:11" x14ac:dyDescent="0.25">
      <c r="E710" s="39" t="str">
        <f>CONCATENATE(Data_Sheet[[#This Row],[Name]],"( ",Data_Sheet[[#This Row],[CLIN]],")")</f>
        <v>( )</v>
      </c>
      <c r="K710" s="11" t="s">
        <v>870</v>
      </c>
    </row>
    <row r="711" spans="5:11" x14ac:dyDescent="0.25">
      <c r="E711" s="39" t="str">
        <f>CONCATENATE(Data_Sheet[[#This Row],[Name]],"( ",Data_Sheet[[#This Row],[CLIN]],")")</f>
        <v>( )</v>
      </c>
      <c r="K711" s="11" t="s">
        <v>871</v>
      </c>
    </row>
    <row r="712" spans="5:11" x14ac:dyDescent="0.25">
      <c r="E712" s="39" t="str">
        <f>CONCATENATE(Data_Sheet[[#This Row],[Name]],"( ",Data_Sheet[[#This Row],[CLIN]],")")</f>
        <v>( )</v>
      </c>
      <c r="K712" s="11" t="s">
        <v>872</v>
      </c>
    </row>
    <row r="713" spans="5:11" x14ac:dyDescent="0.25">
      <c r="E713" s="39" t="str">
        <f>CONCATENATE(Data_Sheet[[#This Row],[Name]],"( ",Data_Sheet[[#This Row],[CLIN]],")")</f>
        <v>( )</v>
      </c>
      <c r="K713" s="11" t="s">
        <v>873</v>
      </c>
    </row>
    <row r="714" spans="5:11" x14ac:dyDescent="0.25">
      <c r="E714" s="39" t="str">
        <f>CONCATENATE(Data_Sheet[[#This Row],[Name]],"( ",Data_Sheet[[#This Row],[CLIN]],")")</f>
        <v>( )</v>
      </c>
      <c r="K714" s="11" t="s">
        <v>874</v>
      </c>
    </row>
    <row r="715" spans="5:11" x14ac:dyDescent="0.25">
      <c r="E715" s="39" t="str">
        <f>CONCATENATE(Data_Sheet[[#This Row],[Name]],"( ",Data_Sheet[[#This Row],[CLIN]],")")</f>
        <v>( )</v>
      </c>
      <c r="K715" s="11" t="s">
        <v>875</v>
      </c>
    </row>
    <row r="716" spans="5:11" x14ac:dyDescent="0.25">
      <c r="E716" s="39" t="str">
        <f>CONCATENATE(Data_Sheet[[#This Row],[Name]],"( ",Data_Sheet[[#This Row],[CLIN]],")")</f>
        <v>( )</v>
      </c>
      <c r="K716" s="11" t="s">
        <v>876</v>
      </c>
    </row>
    <row r="717" spans="5:11" x14ac:dyDescent="0.25">
      <c r="E717" s="39" t="str">
        <f>CONCATENATE(Data_Sheet[[#This Row],[Name]],"( ",Data_Sheet[[#This Row],[CLIN]],")")</f>
        <v>( )</v>
      </c>
      <c r="K717" s="11" t="s">
        <v>877</v>
      </c>
    </row>
    <row r="718" spans="5:11" x14ac:dyDescent="0.25">
      <c r="E718" s="39" t="str">
        <f>CONCATENATE(Data_Sheet[[#This Row],[Name]],"( ",Data_Sheet[[#This Row],[CLIN]],")")</f>
        <v>( )</v>
      </c>
      <c r="K718" s="11" t="s">
        <v>878</v>
      </c>
    </row>
    <row r="719" spans="5:11" x14ac:dyDescent="0.25">
      <c r="E719" s="39" t="str">
        <f>CONCATENATE(Data_Sheet[[#This Row],[Name]],"( ",Data_Sheet[[#This Row],[CLIN]],")")</f>
        <v>( )</v>
      </c>
      <c r="K719" s="11" t="s">
        <v>879</v>
      </c>
    </row>
    <row r="720" spans="5:11" x14ac:dyDescent="0.25">
      <c r="E720" s="39" t="str">
        <f>CONCATENATE(Data_Sheet[[#This Row],[Name]],"( ",Data_Sheet[[#This Row],[CLIN]],")")</f>
        <v>( )</v>
      </c>
      <c r="K720" s="11" t="s">
        <v>960</v>
      </c>
    </row>
    <row r="721" spans="5:11" x14ac:dyDescent="0.25">
      <c r="E721" s="39" t="str">
        <f>CONCATENATE(Data_Sheet[[#This Row],[Name]],"( ",Data_Sheet[[#This Row],[CLIN]],")")</f>
        <v>( )</v>
      </c>
      <c r="K721" s="11" t="s">
        <v>880</v>
      </c>
    </row>
    <row r="722" spans="5:11" x14ac:dyDescent="0.25">
      <c r="E722" s="39" t="str">
        <f>CONCATENATE(Data_Sheet[[#This Row],[Name]],"( ",Data_Sheet[[#This Row],[CLIN]],")")</f>
        <v>( )</v>
      </c>
      <c r="K722" s="11"/>
    </row>
    <row r="723" spans="5:11" x14ac:dyDescent="0.25">
      <c r="E723" s="39" t="str">
        <f>CONCATENATE(Data_Sheet[[#This Row],[Name]],"( ",Data_Sheet[[#This Row],[CLIN]],")")</f>
        <v>( )</v>
      </c>
      <c r="K723" s="11"/>
    </row>
    <row r="724" spans="5:11" x14ac:dyDescent="0.25">
      <c r="E724" s="39" t="str">
        <f>CONCATENATE(Data_Sheet[[#This Row],[Name]],"( ",Data_Sheet[[#This Row],[CLIN]],")")</f>
        <v>( )</v>
      </c>
      <c r="K724" s="11"/>
    </row>
    <row r="725" spans="5:11" x14ac:dyDescent="0.25">
      <c r="E725" s="39" t="str">
        <f>CONCATENATE(Data_Sheet[[#This Row],[Name]],"( ",Data_Sheet[[#This Row],[CLIN]],")")</f>
        <v>( )</v>
      </c>
      <c r="K725" s="11"/>
    </row>
    <row r="726" spans="5:11" x14ac:dyDescent="0.25">
      <c r="E726" s="39" t="str">
        <f>CONCATENATE(Data_Sheet[[#This Row],[Name]],"( ",Data_Sheet[[#This Row],[CLIN]],")")</f>
        <v>( )</v>
      </c>
      <c r="K726" s="11"/>
    </row>
    <row r="727" spans="5:11" x14ac:dyDescent="0.25">
      <c r="E727" s="39" t="str">
        <f>CONCATENATE(Data_Sheet[[#This Row],[Name]],"( ",Data_Sheet[[#This Row],[CLIN]],")")</f>
        <v>( )</v>
      </c>
      <c r="K727" s="11"/>
    </row>
    <row r="728" spans="5:11" x14ac:dyDescent="0.25">
      <c r="E728" s="39" t="str">
        <f>CONCATENATE(Data_Sheet[[#This Row],[Name]],"( ",Data_Sheet[[#This Row],[CLIN]],")")</f>
        <v>( )</v>
      </c>
      <c r="K728" s="11"/>
    </row>
    <row r="729" spans="5:11" x14ac:dyDescent="0.25">
      <c r="E729" s="39" t="str">
        <f>CONCATENATE(Data_Sheet[[#This Row],[Name]],"( ",Data_Sheet[[#This Row],[CLIN]],")")</f>
        <v>( )</v>
      </c>
      <c r="K729" s="11"/>
    </row>
    <row r="730" spans="5:11" x14ac:dyDescent="0.25">
      <c r="E730" s="39" t="str">
        <f>CONCATENATE(Data_Sheet[[#This Row],[Name]],"( ",Data_Sheet[[#This Row],[CLIN]],")")</f>
        <v>( )</v>
      </c>
      <c r="K730" s="11"/>
    </row>
    <row r="731" spans="5:11" x14ac:dyDescent="0.25">
      <c r="E731" s="39" t="str">
        <f>CONCATENATE(Data_Sheet[[#This Row],[Name]],"( ",Data_Sheet[[#This Row],[CLIN]],")")</f>
        <v>( )</v>
      </c>
      <c r="K731" s="11"/>
    </row>
    <row r="732" spans="5:11" x14ac:dyDescent="0.25">
      <c r="E732" s="39" t="str">
        <f>CONCATENATE(Data_Sheet[[#This Row],[Name]],"( ",Data_Sheet[[#This Row],[CLIN]],")")</f>
        <v>( )</v>
      </c>
      <c r="K732" s="11"/>
    </row>
    <row r="733" spans="5:11" x14ac:dyDescent="0.25">
      <c r="E733" s="39" t="str">
        <f>CONCATENATE(Data_Sheet[[#This Row],[Name]],"( ",Data_Sheet[[#This Row],[CLIN]],")")</f>
        <v>( )</v>
      </c>
      <c r="K733" s="11"/>
    </row>
    <row r="734" spans="5:11" x14ac:dyDescent="0.25">
      <c r="E734" s="39" t="str">
        <f>CONCATENATE(Data_Sheet[[#This Row],[Name]],"( ",Data_Sheet[[#This Row],[CLIN]],")")</f>
        <v>( )</v>
      </c>
      <c r="K734" s="11"/>
    </row>
    <row r="735" spans="5:11" x14ac:dyDescent="0.25">
      <c r="E735" s="39" t="str">
        <f>CONCATENATE(Data_Sheet[[#This Row],[Name]],"( ",Data_Sheet[[#This Row],[CLIN]],")")</f>
        <v>( )</v>
      </c>
      <c r="K735" s="11"/>
    </row>
    <row r="736" spans="5:11" x14ac:dyDescent="0.25">
      <c r="E736" s="39" t="str">
        <f>CONCATENATE(Data_Sheet[[#This Row],[Name]],"( ",Data_Sheet[[#This Row],[CLIN]],")")</f>
        <v>( )</v>
      </c>
      <c r="K736" s="11"/>
    </row>
    <row r="737" spans="5:11" x14ac:dyDescent="0.25">
      <c r="E737" s="39" t="str">
        <f>CONCATENATE(Data_Sheet[[#This Row],[Name]],"( ",Data_Sheet[[#This Row],[CLIN]],")")</f>
        <v>( )</v>
      </c>
      <c r="K737" s="11"/>
    </row>
    <row r="738" spans="5:11" x14ac:dyDescent="0.25">
      <c r="E738" s="39" t="str">
        <f>CONCATENATE(Data_Sheet[[#This Row],[Name]],"( ",Data_Sheet[[#This Row],[CLIN]],")")</f>
        <v>( )</v>
      </c>
      <c r="K738" s="11"/>
    </row>
    <row r="739" spans="5:11" x14ac:dyDescent="0.25">
      <c r="E739" s="39" t="str">
        <f>CONCATENATE(Data_Sheet[[#This Row],[Name]],"( ",Data_Sheet[[#This Row],[CLIN]],")")</f>
        <v>( )</v>
      </c>
      <c r="K739" s="79"/>
    </row>
  </sheetData>
  <pageMargins left="0.7" right="0.7" top="0.75" bottom="0.75" header="0.3" footer="0.3"/>
  <pageSetup orientation="portrait" horizontalDpi="90" verticalDpi="90" r:id="rId1"/>
  <cellWatches>
    <cellWatch r="AK2"/>
    <cellWatch r="AK3"/>
    <cellWatch r="AK4"/>
    <cellWatch r="AK5"/>
    <cellWatch r="R2"/>
    <cellWatch r="R3"/>
  </cellWatches>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E101"/>
  <sheetViews>
    <sheetView topLeftCell="A7" workbookViewId="0">
      <selection activeCell="B36" sqref="B36"/>
    </sheetView>
  </sheetViews>
  <sheetFormatPr defaultRowHeight="15" x14ac:dyDescent="0.25"/>
  <cols>
    <col min="1" max="1" width="92.85546875" bestFit="1" customWidth="1"/>
    <col min="2" max="3" width="78.140625" bestFit="1" customWidth="1"/>
    <col min="4" max="4" width="59" bestFit="1" customWidth="1"/>
    <col min="5" max="5" width="78.140625" bestFit="1" customWidth="1"/>
  </cols>
  <sheetData>
    <row r="1" spans="1:5" x14ac:dyDescent="0.25">
      <c r="A1" t="s">
        <v>175</v>
      </c>
      <c r="B1" t="s">
        <v>1153</v>
      </c>
      <c r="C1" t="s">
        <v>176</v>
      </c>
      <c r="D1" t="s">
        <v>1117</v>
      </c>
      <c r="E1" t="s">
        <v>142</v>
      </c>
    </row>
    <row r="2" spans="1:5" x14ac:dyDescent="0.25">
      <c r="A2" t="str">
        <f>'Hidden Data Sheet'!E7</f>
        <v>Other Direct Costs: Specify in Section IV below (CLIN 0001)</v>
      </c>
      <c r="B2" s="30" t="str">
        <f>'Hidden Data Sheet'!E44</f>
        <v>Other Direct Costs: Specify in Section IV below (CLIN 0001)</v>
      </c>
      <c r="C2" s="30" t="str">
        <f>'Hidden Data Sheet'!E85</f>
        <v>Other Direct Costs: Specify in Section IV below (CLIN 0001)</v>
      </c>
      <c r="D2" t="str">
        <f>'Hidden Data Sheet'!E122</f>
        <v>Reduced Size Explosive Detection System Scanner (CLIN 0001)</v>
      </c>
      <c r="E2" t="str">
        <f t="array" ref="E2">IF(AROW!$D$7="Smiths",IFERROR(INDEX(CLINs[],SMALL(IF(AROW!$D$7="Smiths",ROW(CLINs[Smiths CLIN])-1),ROW(1:1)),1),""),IF(AROW!$D$7="Leidos",IFERROR(INDEX(CLINs[],SMALL(IF(AROW!$D$7="Leidos",ROW(CLINs[Leidos CLIN])-1),ROW(1:1)),2),""),IF(AROW!$D$7="Reveal",IFERROR(INDEX(CLINs[],SMALL(IF(AROW!$D$7="Reveal",ROW(CLINs[Reveal CLIN])-1),ROW(1:1)),3),""),IF(AROW!$D$7="Smiths Type 2",IFERROR(INDEX(CLINs[],SMALL(IF(AROW!$D$7="Smiths Type 2",ROW(CLINs[Smiths Type 2 CLIN])-1),ROW(1:1)),4),""),""))))</f>
        <v/>
      </c>
    </row>
    <row r="3" spans="1:5" x14ac:dyDescent="0.25">
      <c r="A3" t="str">
        <f>'Hidden Data Sheet'!E8</f>
        <v>Project Coordination (CLIN 0002)</v>
      </c>
      <c r="B3" s="30" t="str">
        <f>'Hidden Data Sheet'!E45</f>
        <v>Project Coordination (CLIN 0002)</v>
      </c>
      <c r="C3" s="30" t="str">
        <f>'Hidden Data Sheet'!E86</f>
        <v>Project Coordination (CLIN 0002)</v>
      </c>
      <c r="D3" t="str">
        <f>'Hidden Data Sheet'!E123</f>
        <v>Conveyor Entrance - Flat( CLIN 0001A)</v>
      </c>
      <c r="E3" t="str">
        <f t="array" ref="E3">IF(AROW!$D$7="Smiths",IFERROR(INDEX(CLINs[],SMALL(IF(AROW!$D$7="Smiths",ROW(CLINs[Smiths CLIN])-1),ROW(2:2)),1),""),IF(AROW!$D$7="Leidos",IFERROR(INDEX(CLINs[],SMALL(IF(AROW!$D$7="Leidos",ROW(CLINs[Leidos CLIN])-1),ROW(2:2)),2),""),IF(AROW!$D$7="Reveal",IFERROR(INDEX(CLINs[],SMALL(IF(AROW!$D$7="Reveal",ROW(CLINs[Reveal CLIN])-1),ROW(2:2)),3),""),IF(AROW!$D$7="Smiths Type 2",IFERROR(INDEX(CLINs[],SMALL(IF(AROW!$D$7="Smiths Type 2",ROW(CLINs[Smiths Type 2 CLIN])-1),ROW(2:2)),4),""),""))))</f>
        <v/>
      </c>
    </row>
    <row r="4" spans="1:5" x14ac:dyDescent="0.25">
      <c r="A4" t="str">
        <f>'Hidden Data Sheet'!E9</f>
        <v>Design and Pre-Planning Technical Consultation/ Support (CLIN 0003)</v>
      </c>
      <c r="B4" s="30" t="str">
        <f>'Hidden Data Sheet'!E46</f>
        <v>Design and Pre-Planning Technical Consultation/ Support (CLIN 0003)</v>
      </c>
      <c r="C4" s="30" t="str">
        <f>'Hidden Data Sheet'!E87</f>
        <v>Design and Pre-Planning Technical Consultation/ Support (CLIN 0003)</v>
      </c>
      <c r="D4" t="str">
        <f>'Hidden Data Sheet'!E124</f>
        <v>Conveyor Entrance - Slope( CLIN 0001A)</v>
      </c>
      <c r="E4" t="str">
        <f t="array" ref="E4">IF(AROW!$D$7="Smiths",IFERROR(INDEX(CLINs[],SMALL(IF(AROW!$D$7="Smiths",ROW(CLINs[Smiths CLIN])-1),ROW(3:3)),1),""),IF(AROW!$D$7="Leidos",IFERROR(INDEX(CLINs[],SMALL(IF(AROW!$D$7="Leidos",ROW(CLINs[Leidos CLIN])-1),ROW(3:3)),2),""),IF(AROW!$D$7="Reveal",IFERROR(INDEX(CLINs[],SMALL(IF(AROW!$D$7="Reveal",ROW(CLINs[Reveal CLIN])-1),ROW(3:3)),3),""),IF(AROW!$D$7="Smiths Type 2",IFERROR(INDEX(CLINs[],SMALL(IF(AROW!$D$7="Smiths Type 2",ROW(CLINs[Smiths Type 2 CLIN])-1),ROW(3:3)),4),""),""))))</f>
        <v/>
      </c>
    </row>
    <row r="5" spans="1:5" x14ac:dyDescent="0.25">
      <c r="A5" t="str">
        <f>'Hidden Data Sheet'!E10</f>
        <v>MSEDS Installation &amp; Site Acceptance Testing (SAT) (CLIN 0004)</v>
      </c>
      <c r="B5" s="30" t="str">
        <f>'Hidden Data Sheet'!E47</f>
        <v>MSEDS Installation &amp; Site Acceptance Testing (SAT) (CLIN 0004)</v>
      </c>
      <c r="C5" s="30" t="str">
        <f>'Hidden Data Sheet'!E88</f>
        <v>Inline Pre-Planning (up to 4 EDS) (CLIN 0003A)</v>
      </c>
      <c r="D5" t="str">
        <f>'Hidden Data Sheet'!E125</f>
        <v>Conveyor Exit - Flat( CLIN 0001A)</v>
      </c>
      <c r="E5" t="str">
        <f t="array" ref="E5">IF(AROW!$D$7="Smiths",IFERROR(INDEX(CLINs[],SMALL(IF(AROW!$D$7="Smiths",ROW(CLINs[Smiths CLIN])-1),ROW(4:4)),1),""),IF(AROW!$D$7="Leidos",IFERROR(INDEX(CLINs[],SMALL(IF(AROW!$D$7="Leidos",ROW(CLINs[Leidos CLIN])-1),ROW(4:4)),2),""),IF(AROW!$D$7="Reveal",IFERROR(INDEX(CLINs[],SMALL(IF(AROW!$D$7="Reveal",ROW(CLINs[Reveal CLIN])-1),ROW(4:4)),3),""),IF(AROW!$D$7="Smiths Type 2",IFERROR(INDEX(CLINs[],SMALL(IF(AROW!$D$7="Smiths Type 2",ROW(CLINs[Smiths Type 2 CLIN])-1),ROW(4:4)),4),""),""))))</f>
        <v/>
      </c>
    </row>
    <row r="6" spans="1:5" x14ac:dyDescent="0.25">
      <c r="A6" t="str">
        <f>'Hidden Data Sheet'!E11</f>
        <v>Integration Support (CLIN 0005)</v>
      </c>
      <c r="B6" s="30" t="str">
        <f>'Hidden Data Sheet'!E48</f>
        <v>Integration Support (CLIN 0005)</v>
      </c>
      <c r="C6" s="30" t="str">
        <f>'Hidden Data Sheet'!E89</f>
        <v>Stand Alone Site Visits (up to 4 EDS) (CLIN 0003B)</v>
      </c>
      <c r="D6" t="str">
        <f>'Hidden Data Sheet'!E126</f>
        <v>Reduced Size Explosive Detection Systems Scanner (CLIN 0001B)</v>
      </c>
      <c r="E6" t="str">
        <f t="array" ref="E6">IF(AROW!$D$7="Smiths",IFERROR(INDEX(CLINs[],SMALL(IF(AROW!$D$7="Smiths",ROW(CLINs[Smiths CLIN])-1),ROW(5:5)),1),""),IF(AROW!$D$7="Leidos",IFERROR(INDEX(CLINs[],SMALL(IF(AROW!$D$7="Leidos",ROW(CLINs[Leidos CLIN])-1),ROW(5:5)),2),""),IF(AROW!$D$7="Reveal",IFERROR(INDEX(CLINs[],SMALL(IF(AROW!$D$7="Reveal",ROW(CLINs[Reveal CLIN])-1),ROW(5:5)),3),""),IF(AROW!$D$7="Smiths Type 2",IFERROR(INDEX(CLINs[],SMALL(IF(AROW!$D$7="Smiths Type 2",ROW(CLINs[Smiths Type 2 CLIN])-1),ROW(5:5)),4),""),""))))</f>
        <v/>
      </c>
    </row>
    <row r="7" spans="1:5" x14ac:dyDescent="0.25">
      <c r="A7" t="str">
        <f>'Hidden Data Sheet'!E12</f>
        <v>Network Installation Support (CLIN 0006)</v>
      </c>
      <c r="B7" s="30" t="str">
        <f>'Hidden Data Sheet'!E49</f>
        <v>Network Installation Support (CLIN 0006)</v>
      </c>
      <c r="C7" s="30" t="str">
        <f>'Hidden Data Sheet'!E90</f>
        <v>RSEDS Installation &amp; Site Acceptance Testing (SAT) (CLIN 0004)</v>
      </c>
      <c r="D7" t="str">
        <f>'Hidden Data Sheet'!E127</f>
        <v>Primary Viewing Station (PVS) Base (CLIN 0002)</v>
      </c>
      <c r="E7" t="str">
        <f t="array" ref="E7">IF(AROW!$D$7="Smiths",IFERROR(INDEX(CLINs[],SMALL(IF(AROW!$D$7="Smiths",ROW(CLINs[Smiths CLIN])-1),ROW(6:6)),1),""),IF(AROW!$D$7="Leidos",IFERROR(INDEX(CLINs[],SMALL(IF(AROW!$D$7="Leidos",ROW(CLINs[Leidos CLIN])-1),ROW(6:6)),2),""),IF(AROW!$D$7="Reveal",IFERROR(INDEX(CLINs[],SMALL(IF(AROW!$D$7="Reveal",ROW(CLINs[Reveal CLIN])-1),ROW(6:6)),3),""),IF(AROW!$D$7="Smiths Type 2",IFERROR(INDEX(CLINs[],SMALL(IF(AROW!$D$7="Smiths Type 2",ROW(CLINs[Smiths Type 2 CLIN])-1),ROW(6:6)),4),""),""))))</f>
        <v/>
      </c>
    </row>
    <row r="8" spans="1:5" x14ac:dyDescent="0.25">
      <c r="A8" t="str">
        <f>'Hidden Data Sheet'!E13</f>
        <v>Integration Site Acceptance Testing (iSAT) Support (CLIN 0007)</v>
      </c>
      <c r="B8" s="30" t="str">
        <f>'Hidden Data Sheet'!E50</f>
        <v>Integration Site Acceptance Testing (iSAT) Support (CLIN 0007)</v>
      </c>
      <c r="C8" s="30" t="str">
        <f>'Hidden Data Sheet'!E91</f>
        <v>BHS Integration (CLIN 0005)</v>
      </c>
      <c r="D8" t="str">
        <f>'Hidden Data Sheet'!E128</f>
        <v>Primary Viewing Station (PVS) (CLIN 0002B)</v>
      </c>
      <c r="E8" t="str">
        <f t="array" ref="E8">IF(AROW!$D$7="Smiths",IFERROR(INDEX(CLINs[],SMALL(IF(AROW!$D$7="Smiths",ROW(CLINs[Smiths CLIN])-1),ROW(7:7)),1),""),IF(AROW!$D$7="Leidos",IFERROR(INDEX(CLINs[],SMALL(IF(AROW!$D$7="Leidos",ROW(CLINs[Leidos CLIN])-1),ROW(7:7)),2),""),IF(AROW!$D$7="Reveal",IFERROR(INDEX(CLINs[],SMALL(IF(AROW!$D$7="Reveal",ROW(CLINs[Reveal CLIN])-1),ROW(7:7)),3),""),IF(AROW!$D$7="Smiths Type 2",IFERROR(INDEX(CLINs[],SMALL(IF(AROW!$D$7="Smiths Type 2",ROW(CLINs[Smiths Type 2 CLIN])-1),ROW(7:7)),4),""),""))))</f>
        <v/>
      </c>
    </row>
    <row r="9" spans="1:5" x14ac:dyDescent="0.25">
      <c r="A9" t="str">
        <f>'Hidden Data Sheet'!E14</f>
        <v>Training (CLIN 0008)</v>
      </c>
      <c r="B9" s="30" t="str">
        <f>'Hidden Data Sheet'!E51</f>
        <v>Training (CLIN 0008)</v>
      </c>
      <c r="C9" s="30" t="str">
        <f>'Hidden Data Sheet'!E92</f>
        <v>Networking (1-3 Units) (CLIN 0006A)</v>
      </c>
      <c r="D9" t="str">
        <f>'Hidden Data Sheet'!E129</f>
        <v>Secondary Viewing Station (SVS) (CLIN 0003)</v>
      </c>
      <c r="E9" t="str">
        <f t="array" ref="E9">IF(AROW!$D$7="Smiths",IFERROR(INDEX(CLINs[],SMALL(IF(AROW!$D$7="Smiths",ROW(CLINs[Smiths CLIN])-1),ROW(8:8)),1),""),IF(AROW!$D$7="Leidos",IFERROR(INDEX(CLINs[],SMALL(IF(AROW!$D$7="Leidos",ROW(CLINs[Leidos CLIN])-1),ROW(8:8)),2),""),IF(AROW!$D$7="Reveal",IFERROR(INDEX(CLINs[],SMALL(IF(AROW!$D$7="Reveal",ROW(CLINs[Reveal CLIN])-1),ROW(8:8)),3),""),IF(AROW!$D$7="Smiths Type 2",IFERROR(INDEX(CLINs[],SMALL(IF(AROW!$D$7="Smiths Type 2",ROW(CLINs[Smiths Type 2 CLIN])-1),ROW(8:8)),4),""),""))))</f>
        <v/>
      </c>
    </row>
    <row r="10" spans="1:5" x14ac:dyDescent="0.25">
      <c r="A10" t="str">
        <f>'Hidden Data Sheet'!E15</f>
        <v>30 Day Run-In Support (CLIN 0009)</v>
      </c>
      <c r="B10" s="30" t="str">
        <f>'Hidden Data Sheet'!E52</f>
        <v>30 Day Run-In Support (CLIN 0009)</v>
      </c>
      <c r="C10" s="30" t="str">
        <f>'Hidden Data Sheet'!E93</f>
        <v>Networking (4-8 Units) (CLIN 0006B)</v>
      </c>
      <c r="D10" t="str">
        <f>'Hidden Data Sheet'!E130</f>
        <v>Secondary Viewing Station (SVS) (CLIN 003B)</v>
      </c>
      <c r="E10" t="str">
        <f t="array" ref="E10">IF(AROW!$D$7="Smiths",IFERROR(INDEX(CLINs[],SMALL(IF(AROW!$D$7="Smiths",ROW(CLINs[Smiths CLIN])-1),ROW(9:9)),1),""),IF(AROW!$D$7="Leidos",IFERROR(INDEX(CLINs[],SMALL(IF(AROW!$D$7="Leidos",ROW(CLINs[Leidos CLIN])-1),ROW(9:9)),2),""),IF(AROW!$D$7="Reveal",IFERROR(INDEX(CLINs[],SMALL(IF(AROW!$D$7="Reveal",ROW(CLINs[Reveal CLIN])-1),ROW(9:9)),3),""),IF(AROW!$D$7="Smiths Type 2",IFERROR(INDEX(CLINs[],SMALL(IF(AROW!$D$7="Smiths Type 2",ROW(CLINs[Smiths Type 2 CLIN])-1),ROW(9:9)),4),""),""))))</f>
        <v/>
      </c>
    </row>
    <row r="11" spans="1:5" x14ac:dyDescent="0.25">
      <c r="A11" t="str">
        <f>'Hidden Data Sheet'!E16</f>
        <v>MSEDS (1-20 unit network) (CLIN 0010A)</v>
      </c>
      <c r="B11" s="30" t="str">
        <f>'Hidden Data Sheet'!E53</f>
        <v>MSEDS (1-20 unit network) (CLIN 0010A)</v>
      </c>
      <c r="C11" s="30" t="str">
        <f>'Hidden Data Sheet'!E94</f>
        <v>Networking (9+ Units) (CLIN 0006C)</v>
      </c>
      <c r="D11" t="str">
        <f>'Hidden Data Sheet'!E131</f>
        <v>SVS Mounting Kit(SVS) (CLIN 0004)</v>
      </c>
      <c r="E11" t="str">
        <f t="array" ref="E11">IF(AROW!$D$7="Smiths",IFERROR(INDEX(CLINs[],SMALL(IF(AROW!$D$7="Smiths",ROW(CLINs[Smiths CLIN])-1),ROW(10:10)),1),""),IF(AROW!$D$7="Leidos",IFERROR(INDEX(CLINs[],SMALL(IF(AROW!$D$7="Leidos",ROW(CLINs[Leidos CLIN])-1),ROW(10:10)),2),""),IF(AROW!$D$7="Reveal",IFERROR(INDEX(CLINs[],SMALL(IF(AROW!$D$7="Reveal",ROW(CLINs[Reveal CLIN])-1),ROW(10:10)),3),""),IF(AROW!$D$7="Smiths Type 2",IFERROR(INDEX(CLINs[],SMALL(IF(AROW!$D$7="Smiths Type 2",ROW(CLINs[Smiths Type 2 CLIN])-1),ROW(10:10)),4),""),""))))</f>
        <v/>
      </c>
    </row>
    <row r="12" spans="1:5" x14ac:dyDescent="0.25">
      <c r="A12" t="str">
        <f>'Hidden Data Sheet'!E17</f>
        <v>MSEDS (21-30 unit network) (CLIN 0010B)</v>
      </c>
      <c r="B12" s="30" t="str">
        <f>'Hidden Data Sheet'!E54</f>
        <v>MSEDS (21-30 unit network) (CLIN 0010B)</v>
      </c>
      <c r="C12" s="30" t="str">
        <f>'Hidden Data Sheet'!E95</f>
        <v>ISAT Support (CLIN 0007)</v>
      </c>
      <c r="D12" t="str">
        <f>'Hidden Data Sheet'!E132</f>
        <v>SVS Mounting Kit(SVS) (CLIN 0004B)</v>
      </c>
      <c r="E12" t="str">
        <f t="array" ref="E12">IF(AROW!$D$7="Smiths",IFERROR(INDEX(CLINs[],SMALL(IF(AROW!$D$7="Smiths",ROW(CLINs[Smiths CLIN])-1),ROW(11:11)),1),""),IF(AROW!$D$7="Leidos",IFERROR(INDEX(CLINs[],SMALL(IF(AROW!$D$7="Leidos",ROW(CLINs[Leidos CLIN])-1),ROW(11:11)),2),""),IF(AROW!$D$7="Reveal",IFERROR(INDEX(CLINs[],SMALL(IF(AROW!$D$7="Reveal",ROW(CLINs[Reveal CLIN])-1),ROW(11:11)),3),""),IF(AROW!$D$7="Smiths Type 2",IFERROR(INDEX(CLINs[],SMALL(IF(AROW!$D$7="Smiths Type 2",ROW(CLINs[Smiths Type 2 CLIN])-1),ROW(11:11)),4),""),""))))</f>
        <v/>
      </c>
    </row>
    <row r="13" spans="1:5" x14ac:dyDescent="0.25">
      <c r="A13" t="str">
        <f>'Hidden Data Sheet'!E18</f>
        <v>MSEDS (31-40 unit network) (CLIN 0010C)</v>
      </c>
      <c r="B13" s="30" t="str">
        <f>'Hidden Data Sheet'!E55</f>
        <v>MSEDS (31-40 unit network) (CLIN 0010C)</v>
      </c>
      <c r="C13" s="30" t="str">
        <f>'Hidden Data Sheet'!E96</f>
        <v>Training (CLIN 0008)</v>
      </c>
      <c r="D13" t="str">
        <f>'Hidden Data Sheet'!E133</f>
        <v>Bar Code Reader (CLIN 0005)</v>
      </c>
      <c r="E13" t="str">
        <f t="array" ref="E13">IF(AROW!$D$7="Smiths",IFERROR(INDEX(CLINs[],SMALL(IF(AROW!$D$7="Smiths",ROW(CLINs[Smiths CLIN])-1),ROW(12:12)),1),""),IF(AROW!$D$7="Leidos",IFERROR(INDEX(CLINs[],SMALL(IF(AROW!$D$7="Leidos",ROW(CLINs[Leidos CLIN])-1),ROW(12:12)),2),""),IF(AROW!$D$7="Reveal",IFERROR(INDEX(CLINs[],SMALL(IF(AROW!$D$7="Reveal",ROW(CLINs[Reveal CLIN])-1),ROW(12:12)),3),""),IF(AROW!$D$7="Smiths Type 2",IFERROR(INDEX(CLINs[],SMALL(IF(AROW!$D$7="Smiths Type 2",ROW(CLINs[Smiths Type 2 CLIN])-1),ROW(12:12)),4),""),""))))</f>
        <v/>
      </c>
    </row>
    <row r="14" spans="1:5" x14ac:dyDescent="0.25">
      <c r="A14" t="str">
        <f>'Hidden Data Sheet'!E19</f>
        <v>MSEDS (41+ unit network) (CLIN 0010D)</v>
      </c>
      <c r="B14" s="30" t="str">
        <f>'Hidden Data Sheet'!E56</f>
        <v>MSEDS (41+ unit network) (CLIN 0010D)</v>
      </c>
      <c r="C14" s="30" t="str">
        <f>'Hidden Data Sheet'!E97</f>
        <v>30-Day Run-In (CLIN 0009)</v>
      </c>
      <c r="D14" t="str">
        <f>'Hidden Data Sheet'!E134</f>
        <v>Bar Code Reader (CLIN 0005B)</v>
      </c>
      <c r="E14" t="str">
        <f t="array" ref="E14">IF(AROW!$D$7="Smiths",IFERROR(INDEX(CLINs[],SMALL(IF(AROW!$D$7="Smiths",ROW(CLINs[Smiths CLIN])-1),ROW(13:13)),1),""),IF(AROW!$D$7="Leidos",IFERROR(INDEX(CLINs[],SMALL(IF(AROW!$D$7="Leidos",ROW(CLINs[Leidos CLIN])-1),ROW(13:13)),2),""),IF(AROW!$D$7="Reveal",IFERROR(INDEX(CLINs[],SMALL(IF(AROW!$D$7="Reveal",ROW(CLINs[Reveal CLIN])-1),ROW(13:13)),3),""),IF(AROW!$D$7="Smiths Type 2",IFERROR(INDEX(CLINs[],SMALL(IF(AROW!$D$7="Smiths Type 2",ROW(CLINs[Smiths Type 2 CLIN])-1),ROW(13:13)),4),""),""))))</f>
        <v/>
      </c>
    </row>
    <row r="15" spans="1:5" x14ac:dyDescent="0.25">
      <c r="A15" t="str">
        <f>'Hidden Data Sheet'!E20</f>
        <v>State of Washington - MSEDS tax (1-20 unit network) (CLIN 0010AA)</v>
      </c>
      <c r="B15" s="30" t="str">
        <f>'Hidden Data Sheet'!E57</f>
        <v>3DX-ES MSEDS (1-20 Units) (CLIN 0010AA)</v>
      </c>
      <c r="C15" s="30" t="str">
        <f>'Hidden Data Sheet'!E98</f>
        <v>Reduced Speed Explosive Detection System (CLIN 0010)</v>
      </c>
      <c r="D15" t="str">
        <f>'Hidden Data Sheet'!E135</f>
        <v>Printer (CLIN 0006)</v>
      </c>
      <c r="E15" t="str">
        <f t="array" ref="E15">IF(AROW!$D$7="Smiths",IFERROR(INDEX(CLINs[],SMALL(IF(AROW!$D$7="Smiths",ROW(CLINs[Smiths CLIN])-1),ROW(14:14)),1),""),IF(AROW!$D$7="Leidos",IFERROR(INDEX(CLINs[],SMALL(IF(AROW!$D$7="Leidos",ROW(CLINs[Leidos CLIN])-1),ROW(14:14)),2),""),IF(AROW!$D$7="Reveal",IFERROR(INDEX(CLINs[],SMALL(IF(AROW!$D$7="Reveal",ROW(CLINs[Reveal CLIN])-1),ROW(14:14)),3),""),IF(AROW!$D$7="Smiths Type 2",IFERROR(INDEX(CLINs[],SMALL(IF(AROW!$D$7="Smiths Type 2",ROW(CLINs[Smiths Type 2 CLIN])-1),ROW(14:14)),4),""),""))))</f>
        <v/>
      </c>
    </row>
    <row r="16" spans="1:5" x14ac:dyDescent="0.25">
      <c r="A16" t="str">
        <f>'Hidden Data Sheet'!E21</f>
        <v>State of Washington - MSEDS tax (21-30 unit network) (CLIN 0010BB)</v>
      </c>
      <c r="B16" s="30" t="str">
        <f>'Hidden Data Sheet'!E58</f>
        <v>3DX-ES MSEDS (21-30 Units) (CLIN 0010BB)</v>
      </c>
      <c r="C16" s="30" t="str">
        <f>'Hidden Data Sheet'!E99</f>
        <v>Primary Viewing Station (CLIN 0011)</v>
      </c>
      <c r="D16" t="str">
        <f>'Hidden Data Sheet'!E136</f>
        <v>Printer (CLIN 0006B)</v>
      </c>
      <c r="E16" t="str">
        <f t="array" ref="E16">IF(AROW!$D$7="Smiths",IFERROR(INDEX(CLINs[],SMALL(IF(AROW!$D$7="Smiths",ROW(CLINs[Smiths CLIN])-1),ROW(15:15)),1),""),IF(AROW!$D$7="Leidos",IFERROR(INDEX(CLINs[],SMALL(IF(AROW!$D$7="Leidos",ROW(CLINs[Leidos CLIN])-1),ROW(15:15)),2),""),IF(AROW!$D$7="Reveal",IFERROR(INDEX(CLINs[],SMALL(IF(AROW!$D$7="Reveal",ROW(CLINs[Reveal CLIN])-1),ROW(15:15)),3),""),IF(AROW!$D$7="Smiths Type 2",IFERROR(INDEX(CLINs[],SMALL(IF(AROW!$D$7="Smiths Type 2",ROW(CLINs[Smiths Type 2 CLIN])-1),ROW(15:15)),4),""),""))))</f>
        <v/>
      </c>
    </row>
    <row r="17" spans="1:5" x14ac:dyDescent="0.25">
      <c r="A17" t="str">
        <f>'Hidden Data Sheet'!E22</f>
        <v>State of Washington - MSEDS tax (31-40 unit network) (CLIN 0010CC)</v>
      </c>
      <c r="B17" s="30" t="str">
        <f>'Hidden Data Sheet'!E59</f>
        <v>3DX-ES MSEDS (31-40 Units (CLIN 0010CC)</v>
      </c>
      <c r="C17" s="30" t="str">
        <f>'Hidden Data Sheet'!E100</f>
        <v>Secondary Viewing Station (CLIN 0012)</v>
      </c>
      <c r="D17" t="str">
        <f>'Hidden Data Sheet'!E137</f>
        <v>Reserved (CLIN 0007)</v>
      </c>
      <c r="E17" t="str">
        <f t="array" ref="E17">IF(AROW!$D$7="Smiths",IFERROR(INDEX(CLINs[],SMALL(IF(AROW!$D$7="Smiths",ROW(CLINs[Smiths CLIN])-1),ROW(16:16)),1),""),IF(AROW!$D$7="Leidos",IFERROR(INDEX(CLINs[],SMALL(IF(AROW!$D$7="Leidos",ROW(CLINs[Leidos CLIN])-1),ROW(16:16)),2),""),IF(AROW!$D$7="Reveal",IFERROR(INDEX(CLINs[],SMALL(IF(AROW!$D$7="Reveal",ROW(CLINs[Reveal CLIN])-1),ROW(16:16)),3),""),IF(AROW!$D$7="Smiths Type 2",IFERROR(INDEX(CLINs[],SMALL(IF(AROW!$D$7="Smiths Type 2",ROW(CLINs[Smiths Type 2 CLIN])-1),ROW(16:16)),4),""),""))))</f>
        <v/>
      </c>
    </row>
    <row r="18" spans="1:5" x14ac:dyDescent="0.25">
      <c r="A18" t="str">
        <f>'Hidden Data Sheet'!E23</f>
        <v>State of Washington - MSEDS tax (41+ unit network) (CLIN 0010DD)</v>
      </c>
      <c r="B18" s="30" t="str">
        <f>'Hidden Data Sheet'!E60</f>
        <v>3DX-ES MSEDS (41+ Units) (CLIN 0010DD)</v>
      </c>
      <c r="C18" s="30" t="str">
        <f>'Hidden Data Sheet'!E101</f>
        <v>SVS Mounting Kits (CLIN 0013)</v>
      </c>
      <c r="D18" t="str">
        <f>'Hidden Data Sheet'!E138</f>
        <v>Seismic Anchor (CLIN 0008)</v>
      </c>
      <c r="E18" t="str">
        <f t="array" ref="E18">IF(AROW!$D$7="Smiths",IFERROR(INDEX(CLINs[],SMALL(IF(AROW!$D$7="Smiths",ROW(CLINs[Smiths CLIN])-1),ROW(17:17)),1),""),IF(AROW!$D$7="Leidos",IFERROR(INDEX(CLINs[],SMALL(IF(AROW!$D$7="Leidos",ROW(CLINs[Leidos CLIN])-1),ROW(17:17)),2),""),IF(AROW!$D$7="Reveal",IFERROR(INDEX(CLINs[],SMALL(IF(AROW!$D$7="Reveal",ROW(CLINs[Reveal CLIN])-1),ROW(17:17)),3),""),IF(AROW!$D$7="Smiths Type 2",IFERROR(INDEX(CLINs[],SMALL(IF(AROW!$D$7="Smiths Type 2",ROW(CLINs[Smiths Type 2 CLIN])-1),ROW(17:17)),4),""),""))))</f>
        <v/>
      </c>
    </row>
    <row r="19" spans="1:5" x14ac:dyDescent="0.25">
      <c r="A19" t="str">
        <f>'Hidden Data Sheet'!E24</f>
        <v>Primary Viewing Station (PVS) (CLIN 0011)</v>
      </c>
      <c r="B19" s="30" t="str">
        <f>'Hidden Data Sheet'!E61</f>
        <v>Primary Viewing Station (PVS) (CLIN 0011)</v>
      </c>
      <c r="C19" s="30" t="str">
        <f>'Hidden Data Sheet'!E102</f>
        <v>Bar Code Reader (CLIN 0014)</v>
      </c>
      <c r="D19" t="str">
        <f>'Hidden Data Sheet'!E139</f>
        <v>Seismic Anchor (CLIN 0008B)</v>
      </c>
      <c r="E19" t="str">
        <f t="array" ref="E19">IF(AROW!$D$7="Smiths",IFERROR(INDEX(CLINs[],SMALL(IF(AROW!$D$7="Smiths",ROW(CLINs[Smiths CLIN])-1),ROW(18:18)),1),""),IF(AROW!$D$7="Leidos",IFERROR(INDEX(CLINs[],SMALL(IF(AROW!$D$7="Leidos",ROW(CLINs[Leidos CLIN])-1),ROW(18:18)),2),""),IF(AROW!$D$7="Reveal",IFERROR(INDEX(CLINs[],SMALL(IF(AROW!$D$7="Reveal",ROW(CLINs[Reveal CLIN])-1),ROW(18:18)),3),""),IF(AROW!$D$7="Smiths Type 2",IFERROR(INDEX(CLINs[],SMALL(IF(AROW!$D$7="Smiths Type 2",ROW(CLINs[Smiths Type 2 CLIN])-1),ROW(18:18)),4),""),""))))</f>
        <v/>
      </c>
    </row>
    <row r="20" spans="1:5" x14ac:dyDescent="0.25">
      <c r="A20" t="str">
        <f>'Hidden Data Sheet'!E25</f>
        <v>Secondary Viewing Station (SVS) (CLIN 0012)</v>
      </c>
      <c r="B20" s="30" t="str">
        <f>'Hidden Data Sheet'!E62</f>
        <v>Secondary Viewing Station (SVS) (CLIN 0012)</v>
      </c>
      <c r="C20" s="30" t="str">
        <f>'Hidden Data Sheet'!E103</f>
        <v>Printer (CLIN 0015)</v>
      </c>
      <c r="D20" t="str">
        <f>'Hidden Data Sheet'!E140</f>
        <v>Pre Installation Support, Site Surveys (CLIN 0009)</v>
      </c>
      <c r="E20" t="str">
        <f t="array" ref="E20">IF(AROW!$D$7="Smiths",IFERROR(INDEX(CLINs[],SMALL(IF(AROW!$D$7="Smiths",ROW(CLINs[Smiths CLIN])-1),ROW(19:19)),1),""),IF(AROW!$D$7="Leidos",IFERROR(INDEX(CLINs[],SMALL(IF(AROW!$D$7="Leidos",ROW(CLINs[Leidos CLIN])-1),ROW(19:19)),2),""),IF(AROW!$D$7="Reveal",IFERROR(INDEX(CLINs[],SMALL(IF(AROW!$D$7="Reveal",ROW(CLINs[Reveal CLIN])-1),ROW(19:19)),3),""),IF(AROW!$D$7="Smiths Type 2",IFERROR(INDEX(CLINs[],SMALL(IF(AROW!$D$7="Smiths Type 2",ROW(CLINs[Smiths Type 2 CLIN])-1),ROW(19:19)),4),""),""))))</f>
        <v/>
      </c>
    </row>
    <row r="21" spans="1:5" x14ac:dyDescent="0.25">
      <c r="A21" t="str">
        <f>'Hidden Data Sheet'!E26</f>
        <v>SVS Mounting Kits (CLIN 0013)</v>
      </c>
      <c r="B21" s="30" t="str">
        <f>'Hidden Data Sheet'!E63</f>
        <v>SVS Mounting Kits (CLIN 0013)</v>
      </c>
      <c r="C21" s="30" t="str">
        <f>'Hidden Data Sheet'!E104</f>
        <v>Multiplex Network Solution - Up to 8 RSEDS (CLIN 0016)</v>
      </c>
      <c r="D21" t="str">
        <f>'Hidden Data Sheet'!E141</f>
        <v>Pre Installation Support, Site Surveys (CLIN 0009B)</v>
      </c>
      <c r="E21" t="str">
        <f t="array" ref="E21">IF(AROW!$D$7="Smiths",IFERROR(INDEX(CLINs[],SMALL(IF(AROW!$D$7="Smiths",ROW(CLINs[Smiths CLIN])-1),ROW(20:20)),1),""),IF(AROW!$D$7="Leidos",IFERROR(INDEX(CLINs[],SMALL(IF(AROW!$D$7="Leidos",ROW(CLINs[Leidos CLIN])-1),ROW(20:20)),2),""),IF(AROW!$D$7="Reveal",IFERROR(INDEX(CLINs[],SMALL(IF(AROW!$D$7="Reveal",ROW(CLINs[Reveal CLIN])-1),ROW(20:20)),3),""),IF(AROW!$D$7="Smiths Type 2",IFERROR(INDEX(CLINs[],SMALL(IF(AROW!$D$7="Smiths Type 2",ROW(CLINs[Smiths Type 2 CLIN])-1),ROW(20:20)),4),""),""))))</f>
        <v/>
      </c>
    </row>
    <row r="22" spans="1:5" x14ac:dyDescent="0.25">
      <c r="A22" t="str">
        <f>'Hidden Data Sheet'!E27</f>
        <v>Bar Code Readers (CLIN 0014)</v>
      </c>
      <c r="B22" s="30" t="str">
        <f>'Hidden Data Sheet'!E64</f>
        <v>Bar Code Readers (CLIN 0014)</v>
      </c>
      <c r="C22" s="30" t="str">
        <f>'Hidden Data Sheet'!E105</f>
        <v>Master Control Station (CLIN 0017)</v>
      </c>
      <c r="D22" t="str">
        <f>'Hidden Data Sheet'!E142</f>
        <v>RSEDS Equipment Installation (CLIN 0010)</v>
      </c>
      <c r="E22" t="str">
        <f t="array" ref="E22">IF(AROW!$D$7="Smiths",IFERROR(INDEX(CLINs[],SMALL(IF(AROW!$D$7="Smiths",ROW(CLINs[Smiths CLIN])-1),ROW(21:21)),1),""),IF(AROW!$D$7="Leidos",IFERROR(INDEX(CLINs[],SMALL(IF(AROW!$D$7="Leidos",ROW(CLINs[Leidos CLIN])-1),ROW(21:21)),2),""),IF(AROW!$D$7="Reveal",IFERROR(INDEX(CLINs[],SMALL(IF(AROW!$D$7="Reveal",ROW(CLINs[Reveal CLIN])-1),ROW(21:21)),3),""),IF(AROW!$D$7="Smiths Type 2",IFERROR(INDEX(CLINs[],SMALL(IF(AROW!$D$7="Smiths Type 2",ROW(CLINs[Smiths Type 2 CLIN])-1),ROW(21:21)),4),""),""))))</f>
        <v/>
      </c>
    </row>
    <row r="23" spans="1:5" x14ac:dyDescent="0.25">
      <c r="A23" t="str">
        <f>'Hidden Data Sheet'!E28</f>
        <v>Printers (CLIN 0015)</v>
      </c>
      <c r="B23" s="30" t="str">
        <f>'Hidden Data Sheet'!E66</f>
        <v>Network Equipment Package (1-3 unit network) (CLIN 0016A)</v>
      </c>
      <c r="C23" s="30" t="str">
        <f>'Hidden Data Sheet'!E106</f>
        <v>Uninterruptible Power Supply (CLIN 0018)</v>
      </c>
      <c r="D23" t="str">
        <f>'Hidden Data Sheet'!E143</f>
        <v>RSEDS Equipment Installation (CLIN 0010B)</v>
      </c>
      <c r="E23" t="str">
        <f t="array" ref="E23">IF(AROW!$D$7="Smiths",IFERROR(INDEX(CLINs[],SMALL(IF(AROW!$D$7="Smiths",ROW(CLINs[Smiths CLIN])-1),ROW(22:22)),1),""),IF(AROW!$D$7="Leidos",IFERROR(INDEX(CLINs[],SMALL(IF(AROW!$D$7="Leidos",ROW(CLINs[Leidos CLIN])-1),ROW(22:22)),2),""),IF(AROW!$D$7="Reveal",IFERROR(INDEX(CLINs[],SMALL(IF(AROW!$D$7="Reveal",ROW(CLINs[Reveal CLIN])-1),ROW(22:22)),3),""),IF(AROW!$D$7="Smiths Type 2",IFERROR(INDEX(CLINs[],SMALL(IF(AROW!$D$7="Smiths Type 2",ROW(CLINs[Smiths Type 2 CLIN])-1),ROW(22:22)),4),""),""))))</f>
        <v/>
      </c>
    </row>
    <row r="24" spans="1:5" x14ac:dyDescent="0.25">
      <c r="A24" t="str">
        <f>'Hidden Data Sheet'!E29</f>
        <v>Network Equipment Package (1-3 unit network) (CLIN 0016A)</v>
      </c>
      <c r="B24" s="30" t="str">
        <f>'Hidden Data Sheet'!E67</f>
        <v>Network Equipment Package (4-6 unit network) (CLIN 0016B)</v>
      </c>
      <c r="C24" s="30" t="str">
        <f>'Hidden Data Sheet'!E107</f>
        <v>Corrective Maintenance/Preventative Maintenance (CM/PM) Warranty (CLIN 0019)</v>
      </c>
      <c r="D24" t="str">
        <f>'Hidden Data Sheet'!E144</f>
        <v>Operational Run-In Support (CLIN 0011)</v>
      </c>
      <c r="E24" t="str">
        <f t="array" ref="E24">IF(AROW!$D$7="Smiths",IFERROR(INDEX(CLINs[],SMALL(IF(AROW!$D$7="Smiths",ROW(CLINs[Smiths CLIN])-1),ROW(23:23)),1),""),IF(AROW!$D$7="Leidos",IFERROR(INDEX(CLINs[],SMALL(IF(AROW!$D$7="Leidos",ROW(CLINs[Leidos CLIN])-1),ROW(23:23)),2),""),IF(AROW!$D$7="Reveal",IFERROR(INDEX(CLINs[],SMALL(IF(AROW!$D$7="Reveal",ROW(CLINs[Reveal CLIN])-1),ROW(23:23)),3),""),IF(AROW!$D$7="Smiths Type 2",IFERROR(INDEX(CLINs[],SMALL(IF(AROW!$D$7="Smiths Type 2",ROW(CLINs[Smiths Type 2 CLIN])-1),ROW(23:23)),4),""),""))))</f>
        <v/>
      </c>
    </row>
    <row r="25" spans="1:5" x14ac:dyDescent="0.25">
      <c r="A25" t="str">
        <f>'Hidden Data Sheet'!E30</f>
        <v>Network Equipment Package (4-6 unit network) (CLIN 0016B)</v>
      </c>
      <c r="B25" s="30" t="str">
        <f>'Hidden Data Sheet'!E68</f>
        <v>Network Equipment Package  (7+ unit network) (CLIN 0016C)</v>
      </c>
      <c r="C25" s="30" t="str">
        <f>'Hidden Data Sheet'!E108</f>
        <v>Installation, Integration, Networking and Testing Services - Surge Support (CLIN 0020)</v>
      </c>
      <c r="D25" t="str">
        <f>'Hidden Data Sheet'!E145</f>
        <v>Operational Run-In Support (CLIN 0011B)</v>
      </c>
      <c r="E25" t="str">
        <f t="array" ref="E25">IF(AROW!$D$7="Smiths",IFERROR(INDEX(CLINs[],SMALL(IF(AROW!$D$7="Smiths",ROW(CLINs[Smiths CLIN])-1),ROW(24:24)),1),""),IF(AROW!$D$7="Leidos",IFERROR(INDEX(CLINs[],SMALL(IF(AROW!$D$7="Leidos",ROW(CLINs[Leidos CLIN])-1),ROW(24:24)),2),""),IF(AROW!$D$7="Reveal",IFERROR(INDEX(CLINs[],SMALL(IF(AROW!$D$7="Reveal",ROW(CLINs[Reveal CLIN])-1),ROW(24:24)),3),""),IF(AROW!$D$7="Smiths Type 2",IFERROR(INDEX(CLINs[],SMALL(IF(AROW!$D$7="Smiths Type 2",ROW(CLINs[Smiths Type 2 CLIN])-1),ROW(24:24)),4),""),""))))</f>
        <v/>
      </c>
    </row>
    <row r="26" spans="1:5" x14ac:dyDescent="0.25">
      <c r="A26" t="str">
        <f>'Hidden Data Sheet'!E31</f>
        <v>Network Equipment Package  (7+ unit network) (CLIN 0016C)</v>
      </c>
      <c r="B26" s="30" t="str">
        <f>'Hidden Data Sheet'!E69</f>
        <v>Master Control Station  (CLIN 0017)</v>
      </c>
      <c r="C26" s="30" t="str">
        <f>'Hidden Data Sheet'!E109</f>
        <v>Seismic Anchors - Standard (CLIN 0021A)</v>
      </c>
      <c r="D26" t="str">
        <f>'Hidden Data Sheet'!E146</f>
        <v>Training Classes (CLIN 0012)</v>
      </c>
      <c r="E26" t="str">
        <f t="array" ref="E26">IF(AROW!$D$7="Smiths",IFERROR(INDEX(CLINs[],SMALL(IF(AROW!$D$7="Smiths",ROW(CLINs[Smiths CLIN])-1),ROW(25:25)),1),""),IF(AROW!$D$7="Leidos",IFERROR(INDEX(CLINs[],SMALL(IF(AROW!$D$7="Leidos",ROW(CLINs[Leidos CLIN])-1),ROW(25:25)),2),""),IF(AROW!$D$7="Reveal",IFERROR(INDEX(CLINs[],SMALL(IF(AROW!$D$7="Reveal",ROW(CLINs[Reveal CLIN])-1),ROW(25:25)),3),""),IF(AROW!$D$7="Smiths Type 2",IFERROR(INDEX(CLINs[],SMALL(IF(AROW!$D$7="Smiths Type 2",ROW(CLINs[Smiths Type 2 CLIN])-1),ROW(25:25)),4),""),""))))</f>
        <v/>
      </c>
    </row>
    <row r="27" spans="1:5" x14ac:dyDescent="0.25">
      <c r="A27" t="str">
        <f>'Hidden Data Sheet'!E32</f>
        <v>State of Washington - Network Equipment Package w/ sales/use tax (1-3 unit network) (CLIN 0016AA)</v>
      </c>
      <c r="B27" s="30" t="str">
        <f>'Hidden Data Sheet'!E70</f>
        <v>Uninterruptable Power Supply (UPS) (40kVA)( CLIN 0018A)</v>
      </c>
      <c r="C27" s="30" t="str">
        <f>'Hidden Data Sheet'!E110</f>
        <v>Seismic Anchors - with Pedestals (CLIN 0021B)</v>
      </c>
      <c r="D27" t="str">
        <f>'Hidden Data Sheet'!E147</f>
        <v>Training Classes (CLIN 0012B)</v>
      </c>
      <c r="E27" t="str">
        <f t="array" ref="E27">IF(AROW!$D$7="Smiths",IFERROR(INDEX(CLINs[],SMALL(IF(AROW!$D$7="Smiths",ROW(CLINs[Smiths CLIN])-1),ROW(26:26)),1),""),IF(AROW!$D$7="Leidos",IFERROR(INDEX(CLINs[],SMALL(IF(AROW!$D$7="Leidos",ROW(CLINs[Leidos CLIN])-1),ROW(26:26)),2),""),IF(AROW!$D$7="Reveal",IFERROR(INDEX(CLINs[],SMALL(IF(AROW!$D$7="Reveal",ROW(CLINs[Reveal CLIN])-1),ROW(26:26)),3),""),IF(AROW!$D$7="Smiths Type 2",IFERROR(INDEX(CLINs[],SMALL(IF(AROW!$D$7="Smiths Type 2",ROW(CLINs[Smiths Type 2 CLIN])-1),ROW(26:26)),4),""),""))))</f>
        <v/>
      </c>
    </row>
    <row r="28" spans="1:5" x14ac:dyDescent="0.25">
      <c r="A28" t="str">
        <f>'Hidden Data Sheet'!E33</f>
        <v>State of Washington - Network Equipment Package w/ sales/use tax (4-6 unit network) (CLIN 0016BB)</v>
      </c>
      <c r="B28" s="30" t="str">
        <f>'Hidden Data Sheet'!E71</f>
        <v>Uninterruptable Power Supply (UPS) (80kVA)( CLIN 0018B)</v>
      </c>
      <c r="C28" s="30" t="str">
        <f>'Hidden Data Sheet'!E111</f>
        <v>Training Simulator (CLIN 0022)</v>
      </c>
      <c r="D28" t="str">
        <f>'Hidden Data Sheet'!E148</f>
        <v>Equipment Warranty (CLIN 0013)</v>
      </c>
      <c r="E28" t="str">
        <f t="array" ref="E28">IF(AROW!$D$7="Smiths",IFERROR(INDEX(CLINs[],SMALL(IF(AROW!$D$7="Smiths",ROW(CLINs[Smiths CLIN])-1),ROW(27:27)),1),""),IF(AROW!$D$7="Leidos",IFERROR(INDEX(CLINs[],SMALL(IF(AROW!$D$7="Leidos",ROW(CLINs[Leidos CLIN])-1),ROW(27:27)),2),""),IF(AROW!$D$7="Reveal",IFERROR(INDEX(CLINs[],SMALL(IF(AROW!$D$7="Reveal",ROW(CLINs[Reveal CLIN])-1),ROW(27:27)),3),""),IF(AROW!$D$7="Smiths Type 2",IFERROR(INDEX(CLINs[],SMALL(IF(AROW!$D$7="Smiths Type 2",ROW(CLINs[Smiths Type 2 CLIN])-1),ROW(27:27)),4),""),""))))</f>
        <v/>
      </c>
    </row>
    <row r="29" spans="1:5" x14ac:dyDescent="0.25">
      <c r="A29" t="str">
        <f>'Hidden Data Sheet'!E34</f>
        <v>State of Washington Network Equipment Package w/ sales/use tax (7+ unit network) (CLIN 0016CC)</v>
      </c>
      <c r="B29" s="30" t="str">
        <f>'Hidden Data Sheet'!E72</f>
        <v>Uninterruptable Power Supply (UPS) (160kVA)( CLIN 0018C)</v>
      </c>
      <c r="C29" s="30" t="str">
        <f>'Hidden Data Sheet'!E112</f>
        <v>Extended Length (XL) Conveyor Kit (CLIN 0023)</v>
      </c>
      <c r="D29" t="str">
        <f>'Hidden Data Sheet'!E149</f>
        <v>Equipment Warranty (CLIN 0013B)</v>
      </c>
      <c r="E29" t="str">
        <f t="array" ref="E29">IF(AROW!$D$7="Smiths",IFERROR(INDEX(CLINs[],SMALL(IF(AROW!$D$7="Smiths",ROW(CLINs[Smiths CLIN])-1),ROW(28:28)),1),""),IF(AROW!$D$7="Leidos",IFERROR(INDEX(CLINs[],SMALL(IF(AROW!$D$7="Leidos",ROW(CLINs[Leidos CLIN])-1),ROW(28:28)),2),""),IF(AROW!$D$7="Reveal",IFERROR(INDEX(CLINs[],SMALL(IF(AROW!$D$7="Reveal",ROW(CLINs[Reveal CLIN])-1),ROW(28:28)),3),""),IF(AROW!$D$7="Smiths Type 2",IFERROR(INDEX(CLINs[],SMALL(IF(AROW!$D$7="Smiths Type 2",ROW(CLINs[Smiths Type 2 CLIN])-1),ROW(28:28)),4),""),""))))</f>
        <v/>
      </c>
    </row>
    <row r="30" spans="1:5" x14ac:dyDescent="0.25">
      <c r="A30" t="str">
        <f>'Hidden Data Sheet'!E35</f>
        <v>Master Control Station  (CLIN 0017)</v>
      </c>
      <c r="B30" s="30" t="str">
        <f>'Hidden Data Sheet'!E72</f>
        <v>Uninterruptable Power Supply (UPS) (160kVA)( CLIN 0018C)</v>
      </c>
      <c r="C30" s="30" t="str">
        <f>'Hidden Data Sheet'!E113</f>
        <v>Air Conditioner (CLIN 0024)</v>
      </c>
      <c r="D30" t="str">
        <f>'Hidden Data Sheet'!E150</f>
        <v>2-Year Extended Equipment Warranty SOW (CLIN 0014)</v>
      </c>
      <c r="E30" t="str">
        <f t="array" ref="E30">IF(AROW!$D$7="Smiths",IFERROR(INDEX(CLINs[],SMALL(IF(AROW!$D$7="Smiths",ROW(CLINs[Smiths CLIN])-1),ROW(29:29)),1),""),IF(AROW!$D$7="Leidos",IFERROR(INDEX(CLINs[],SMALL(IF(AROW!$D$7="Leidos",ROW(CLINs[Leidos CLIN])-1),ROW(29:29)),2),""),IF(AROW!$D$7="Reveal",IFERROR(INDEX(CLINs[],SMALL(IF(AROW!$D$7="Reveal",ROW(CLINs[Reveal CLIN])-1),ROW(29:29)),3),""),IF(AROW!$D$7="Smiths Type 2",IFERROR(INDEX(CLINs[],SMALL(IF(AROW!$D$7="Smiths Type 2",ROW(CLINs[Smiths Type 2 CLIN])-1),ROW(29:29)),4),""),""))))</f>
        <v/>
      </c>
    </row>
    <row r="31" spans="1:5" x14ac:dyDescent="0.25">
      <c r="A31" t="str">
        <f>'Hidden Data Sheet'!E36</f>
        <v>Uninterruptable Power Supply (UPS) (Q-LS120 kVA) (CLIN 0018A)</v>
      </c>
      <c r="B31" s="30" t="str">
        <f>'Hidden Data Sheet'!E75</f>
        <v>Corrective Maintenance/Preventative Maintenance (CM/PM) Warranty (CLIN 0019)</v>
      </c>
      <c r="C31" s="30" t="str">
        <f>'Hidden Data Sheet'!E114</f>
        <v>Scanner Pedestal (CLIN 0025)</v>
      </c>
      <c r="E31" t="str">
        <f t="array" ref="E31">IF(AROW!$D$7="Smiths",IFERROR(INDEX(CLINs[],SMALL(IF(AROW!$D$7="Smiths",ROW(CLINs[Smiths CLIN])-1),ROW(30:30)),1),""),IF(AROW!$D$7="Leidos",IFERROR(INDEX(CLINs[],SMALL(IF(AROW!$D$7="Leidos",ROW(CLINs[Leidos CLIN])-1),ROW(30:30)),2),""),IF(AROW!$D$7="Reveal",IFERROR(INDEX(CLINs[],SMALL(IF(AROW!$D$7="Reveal",ROW(CLINs[Reveal CLIN])-1),ROW(30:30)),3),""),IF(AROW!$D$7="Smiths Type 2",IFERROR(INDEX(CLINs[],SMALL(IF(AROW!$D$7="Smiths Type 2",ROW(CLINs[Smiths Type 2 CLIN])-1),ROW(30:30)),4),""),""))))</f>
        <v/>
      </c>
    </row>
    <row r="32" spans="1:5" x14ac:dyDescent="0.25">
      <c r="A32" t="str">
        <f>'Hidden Data Sheet'!E37</f>
        <v>Uninterruptable Power Supply (UPS) (Q-LS240 kVA) (CLIN 0018B)</v>
      </c>
      <c r="B32" s="30" t="str">
        <f>'Hidden Data Sheet'!E76</f>
        <v>Installation, Integration, Networking and Testing Services - Surge Support (CLIN 0020)</v>
      </c>
      <c r="C32" s="30" t="str">
        <f>'Hidden Data Sheet'!E115</f>
        <v>Conveyor Pedestal (CLIN 0026)</v>
      </c>
      <c r="E32" t="str">
        <f t="array" ref="E32">IF(AROW!$D$7="Smiths",IFERROR(INDEX(CLINs[],SMALL(IF(AROW!$D$7="Smiths",ROW(CLINs[Smiths CLIN])-1),ROW(31:31)),1),""),IF(AROW!$D$7="Leidos",IFERROR(INDEX(CLINs[],SMALL(IF(AROW!$D$7="Leidos",ROW(CLINs[Leidos CLIN])-1),ROW(31:31)),2),""),IF(AROW!$D$7="Reveal",IFERROR(INDEX(CLINs[],SMALL(IF(AROW!$D$7="Reveal",ROW(CLINs[Reveal CLIN])-1),ROW(31:31)),3),""),IF(AROW!$D$7="Smiths Type 2",IFERROR(INDEX(CLINs[],SMALL(IF(AROW!$D$7="Smiths Type 2",ROW(CLINs[Smiths Type 2 CLIN])-1),ROW(31:31)),4),""),""))))</f>
        <v/>
      </c>
    </row>
    <row r="33" spans="1:5" x14ac:dyDescent="0.25">
      <c r="A33" t="str">
        <f>'Hidden Data Sheet'!E38</f>
        <v>Uninterruptable Power Supply (UPS) (Q-LS400 kVA) (CLIN 0018C)</v>
      </c>
      <c r="B33" s="30" t="str">
        <f>'Hidden Data Sheet'!E77</f>
        <v>Seismic Anchors (CLIN 0021)</v>
      </c>
      <c r="C33" s="30" t="str">
        <f>'Hidden Data Sheet'!E116</f>
        <v>XL Conveyor Pedestal (CLIN 0027)</v>
      </c>
      <c r="E33" t="str">
        <f t="array" ref="E33">IF(AROW!$D$7="Smiths",IFERROR(INDEX(CLINs[],SMALL(IF(AROW!$D$7="Smiths",ROW(CLINs[Smiths CLIN])-1),ROW(32:32)),1),""),IF(AROW!$D$7="Leidos",IFERROR(INDEX(CLINs[],SMALL(IF(AROW!$D$7="Leidos",ROW(CLINs[Leidos CLIN])-1),ROW(32:32)),2),""),IF(AROW!$D$7="Reveal",IFERROR(INDEX(CLINs[],SMALL(IF(AROW!$D$7="Reveal",ROW(CLINs[Reveal CLIN])-1),ROW(32:32)),3),""),IF(AROW!$D$7="Smiths Type 2",IFERROR(INDEX(CLINs[],SMALL(IF(AROW!$D$7="Smiths Type 2",ROW(CLINs[Smiths Type 2 CLIN])-1),ROW(32:32)),4),""),""))))</f>
        <v/>
      </c>
    </row>
    <row r="34" spans="1:5" x14ac:dyDescent="0.25">
      <c r="A34" t="str">
        <f>'Hidden Data Sheet'!E39</f>
        <v>Uninterruptable Power Supply (UPS) (Mix of multiple UPS) (CLIN 0018D)</v>
      </c>
      <c r="B34" s="30" t="str">
        <f>'Hidden Data Sheet'!E78</f>
        <v>Training Simulator (CLIN 0022)</v>
      </c>
      <c r="C34" s="30" t="str">
        <f>'Hidden Data Sheet'!E117</f>
        <v>DR+ Extension Pedestal (CLIN 0028)</v>
      </c>
      <c r="E34" t="str">
        <f t="array" ref="E34">IF(AROW!$D$7="Smiths",IFERROR(INDEX(CLINs[],SMALL(IF(AROW!$D$7="Smiths",ROW(CLINs[Smiths CLIN])-1),ROW(33:33)),1),""),IF(AROW!$D$7="Leidos",IFERROR(INDEX(CLINs[],SMALL(IF(AROW!$D$7="Leidos",ROW(CLINs[Leidos CLIN])-1),ROW(33:33)),2),""),IF(AROW!$D$7="Reveal",IFERROR(INDEX(CLINs[],SMALL(IF(AROW!$D$7="Reveal",ROW(CLINs[Reveal CLIN])-1),ROW(33:33)),3),""),IF(AROW!$D$7="Smiths Type 2",IFERROR(INDEX(CLINs[],SMALL(IF(AROW!$D$7="Smiths Type 2",ROW(CLINs[Smiths Type 2 CLIN])-1),ROW(33:33)),4),""),""))))</f>
        <v/>
      </c>
    </row>
    <row r="35" spans="1:5" x14ac:dyDescent="0.25">
      <c r="A35" t="str">
        <f>'Hidden Data Sheet'!E40</f>
        <v>Corrective Maintenance/Preventative Maintenance (CM/PM) Warranty (CLIN 0019)</v>
      </c>
      <c r="B35" s="30" t="str">
        <f>'Hidden Data Sheet'!E82</f>
        <v>Enhanced Speed Upgrade Kit (ES-Kit) (X033)</v>
      </c>
      <c r="C35" s="30" t="str">
        <f>'Hidden Data Sheet'!E118</f>
        <v>Air Conditioner Pedestal (CLIN 0029)</v>
      </c>
      <c r="E35" t="str">
        <f t="array" ref="E35">IF(AROW!$D$7="Smiths",IFERROR(INDEX(CLINs[],SMALL(IF(AROW!$D$7="Smiths",ROW(CLINs[Smiths CLIN])-1),ROW(34:34)),1),""),IF(AROW!$D$7="Leidos",IFERROR(INDEX(CLINs[],SMALL(IF(AROW!$D$7="Leidos",ROW(CLINs[Leidos CLIN])-1),ROW(34:34)),2),""),IF(AROW!$D$7="Reveal",IFERROR(INDEX(CLINs[],SMALL(IF(AROW!$D$7="Reveal",ROW(CLINs[Reveal CLIN])-1),ROW(34:34)),3),""),IF(AROW!$D$7="Smiths Type 2",IFERROR(INDEX(CLINs[],SMALL(IF(AROW!$D$7="Smiths Type 2",ROW(CLINs[Smiths Type 2 CLIN])-1),ROW(34:34)),4),""),""))))</f>
        <v/>
      </c>
    </row>
    <row r="36" spans="1:5" x14ac:dyDescent="0.25">
      <c r="A36" t="str">
        <f>'Hidden Data Sheet'!E41</f>
        <v>Installation, Integration, Networking and Testing Services - Surge Support (CLIN 0020)</v>
      </c>
      <c r="B36" s="30" t="str">
        <f>'Hidden Data Sheet'!E83</f>
        <v>Enhanced Speed Upgrade Kit (ES-Kit) Installation -Single (X034A)</v>
      </c>
      <c r="C36" s="30" t="str">
        <f>'Hidden Data Sheet'!E119</f>
        <v>Flat Conveyor (Infeed/Outfeed) (CLIN 0030)</v>
      </c>
      <c r="E36" t="str">
        <f t="array" ref="E36">IF(AROW!$D$7="Smiths",IFERROR(INDEX(CLINs[],SMALL(IF(AROW!$D$7="Smiths",ROW(CLINs[Smiths CLIN])-1),ROW(35:35)),1),""),IF(AROW!$D$7="Leidos",IFERROR(INDEX(CLINs[],SMALL(IF(AROW!$D$7="Leidos",ROW(CLINs[Leidos CLIN])-1),ROW(35:35)),2),""),IF(AROW!$D$7="Reveal",IFERROR(INDEX(CLINs[],SMALL(IF(AROW!$D$7="Reveal",ROW(CLINs[Reveal CLIN])-1),ROW(35:35)),3),""),IF(AROW!$D$7="Smiths Type 2",IFERROR(INDEX(CLINs[],SMALL(IF(AROW!$D$7="Smiths Type 2",ROW(CLINs[Smiths Type 2 CLIN])-1),ROW(35:35)),4),""),""))))</f>
        <v/>
      </c>
    </row>
    <row r="37" spans="1:5" x14ac:dyDescent="0.25">
      <c r="A37" t="str">
        <f>'Hidden Data Sheet'!E42</f>
        <v>Seismic Anchors (CLIN 0021)</v>
      </c>
      <c r="B37" s="30" t="str">
        <f>'Hidden Data Sheet'!E84</f>
        <v>Enhanced Speed Upgrade Kit (ES-Kit) Installation -Multiple (X034B)</v>
      </c>
      <c r="C37" s="30" t="str">
        <f>'Hidden Data Sheet'!E120</f>
        <v>Slope Conveyor (Infeed/Outfeed) (CLIN 0031)</v>
      </c>
      <c r="E37" t="str">
        <f t="array" ref="E37">IF(AROW!$D$7="Smiths",IFERROR(INDEX(CLINs[],SMALL(IF(AROW!$D$7="Smiths",ROW(CLINs[Smiths CLIN])-1),ROW(36:36)),1),""),IF(AROW!$D$7="Leidos",IFERROR(INDEX(CLINs[],SMALL(IF(AROW!$D$7="Leidos",ROW(CLINs[Leidos CLIN])-1),ROW(36:36)),2),""),IF(AROW!$D$7="Reveal",IFERROR(INDEX(CLINs[],SMALL(IF(AROW!$D$7="Reveal",ROW(CLINs[Reveal CLIN])-1),ROW(36:36)),3),""),IF(AROW!$D$7="Smiths Type 2",IFERROR(INDEX(CLINs[],SMALL(IF(AROW!$D$7="Smiths Type 2",ROW(CLINs[Smiths Type 2 CLIN])-1),ROW(36:36)),4),""),""))))</f>
        <v/>
      </c>
    </row>
    <row r="38" spans="1:5" x14ac:dyDescent="0.25">
      <c r="A38" t="str">
        <f>'Hidden Data Sheet'!E43</f>
        <v>Training Simulator (CLIN 0022)</v>
      </c>
      <c r="B38" s="30"/>
      <c r="C38" s="30" t="str">
        <f>'Hidden Data Sheet'!E121</f>
        <v>Emergency Stop Key Switch (Estop) (CLIN 0032)</v>
      </c>
      <c r="E38" t="str">
        <f t="array" ref="E38">IF(AROW!$D$7="Smiths",IFERROR(INDEX(CLINs[],SMALL(IF(AROW!$D$7="Smiths",ROW(CLINs[Smiths CLIN])-1),ROW(37:37)),1),""),IF(AROW!$D$7="Leidos",IFERROR(INDEX(CLINs[],SMALL(IF(AROW!$D$7="Leidos",ROW(CLINs[Leidos CLIN])-1),ROW(37:37)),2),""),IF(AROW!$D$7="Reveal",IFERROR(INDEX(CLINs[],SMALL(IF(AROW!$D$7="Reveal",ROW(CLINs[Reveal CLIN])-1),ROW(37:37)),3),""),IF(AROW!$D$7="Smiths Type 2",IFERROR(INDEX(CLINs[],SMALL(IF(AROW!$D$7="Smiths Type 2",ROW(CLINs[Smiths Type 2 CLIN])-1),ROW(37:37)),4),""),""))))</f>
        <v/>
      </c>
    </row>
    <row r="39" spans="1:5" x14ac:dyDescent="0.25">
      <c r="B39" s="30"/>
    </row>
    <row r="40" spans="1:5" x14ac:dyDescent="0.25">
      <c r="B40" s="30"/>
    </row>
    <row r="41" spans="1:5" x14ac:dyDescent="0.25">
      <c r="B41" s="30"/>
    </row>
    <row r="42" spans="1:5" x14ac:dyDescent="0.25">
      <c r="B42" s="30"/>
    </row>
    <row r="43" spans="1:5" x14ac:dyDescent="0.25">
      <c r="B43" s="30"/>
    </row>
    <row r="44" spans="1:5" x14ac:dyDescent="0.25">
      <c r="B44" s="30"/>
    </row>
    <row r="45" spans="1:5" x14ac:dyDescent="0.25">
      <c r="B45" s="30"/>
      <c r="C45" s="30"/>
    </row>
    <row r="46" spans="1:5" x14ac:dyDescent="0.25">
      <c r="B46" s="30"/>
    </row>
    <row r="53" spans="4:4" x14ac:dyDescent="0.25">
      <c r="D53">
        <f>'Hidden Data Sheet'!E165</f>
        <v>0</v>
      </c>
    </row>
    <row r="54" spans="4:4" x14ac:dyDescent="0.25">
      <c r="D54">
        <f>'Hidden Data Sheet'!E166</f>
        <v>0</v>
      </c>
    </row>
    <row r="55" spans="4:4" x14ac:dyDescent="0.25">
      <c r="D55">
        <f>'Hidden Data Sheet'!E167</f>
        <v>0</v>
      </c>
    </row>
    <row r="56" spans="4:4" x14ac:dyDescent="0.25">
      <c r="D56">
        <f>'Hidden Data Sheet'!E168</f>
        <v>0</v>
      </c>
    </row>
    <row r="57" spans="4:4" x14ac:dyDescent="0.25">
      <c r="D57">
        <f>'Hidden Data Sheet'!E169</f>
        <v>0</v>
      </c>
    </row>
    <row r="58" spans="4:4" x14ac:dyDescent="0.25">
      <c r="D58">
        <f>'Hidden Data Sheet'!E170</f>
        <v>0</v>
      </c>
    </row>
    <row r="59" spans="4:4" x14ac:dyDescent="0.25">
      <c r="D59">
        <f>'Hidden Data Sheet'!E171</f>
        <v>0</v>
      </c>
    </row>
    <row r="60" spans="4:4" x14ac:dyDescent="0.25">
      <c r="D60">
        <f>'Hidden Data Sheet'!E172</f>
        <v>0</v>
      </c>
    </row>
    <row r="61" spans="4:4" x14ac:dyDescent="0.25">
      <c r="D61">
        <f>'Hidden Data Sheet'!E173</f>
        <v>0</v>
      </c>
    </row>
    <row r="62" spans="4:4" x14ac:dyDescent="0.25">
      <c r="D62">
        <f>'Hidden Data Sheet'!E174</f>
        <v>0</v>
      </c>
    </row>
    <row r="63" spans="4:4" x14ac:dyDescent="0.25">
      <c r="D63">
        <f>'Hidden Data Sheet'!E175</f>
        <v>0</v>
      </c>
    </row>
    <row r="64" spans="4:4" x14ac:dyDescent="0.25">
      <c r="D64">
        <f>'Hidden Data Sheet'!E176</f>
        <v>0</v>
      </c>
    </row>
    <row r="65" spans="4:5" x14ac:dyDescent="0.25">
      <c r="D65">
        <f>'Hidden Data Sheet'!E177</f>
        <v>0</v>
      </c>
    </row>
    <row r="66" spans="4:5" x14ac:dyDescent="0.25">
      <c r="D66">
        <f>'Hidden Data Sheet'!E178</f>
        <v>0</v>
      </c>
    </row>
    <row r="67" spans="4:5" x14ac:dyDescent="0.25">
      <c r="D67">
        <f>'Hidden Data Sheet'!E179</f>
        <v>0</v>
      </c>
    </row>
    <row r="68" spans="4:5" x14ac:dyDescent="0.25">
      <c r="D68">
        <f>'Hidden Data Sheet'!E180</f>
        <v>0</v>
      </c>
    </row>
    <row r="69" spans="4:5" x14ac:dyDescent="0.25">
      <c r="D69">
        <f>'Hidden Data Sheet'!E181</f>
        <v>0</v>
      </c>
      <c r="E69" t="str">
        <f t="array" ref="E69">IF(AROW!$D$7="Smiths",IFERROR(INDEX(CLINs[],SMALL(IF(AROW!$D$7="Smiths",ROW(CLINs[Smiths CLIN])-1),ROW(68:68)),1),""),IF(AROW!$D$7="Leidos",IFERROR(INDEX(CLINs[],SMALL(IF(AROW!$D$7="Leidos",ROW(CLINs[Leidos CLIN])-1),ROW(68:68)),2),""),IF(AROW!$D$7="Reveal",IFERROR(INDEX(CLINs[],SMALL(IF(AROW!$D$7="Reveal",ROW(CLINs[Reveal CLIN])-1),ROW(68:68)),3),""),IF(AROW!$D$7="Smiths Type 2",IFERROR(INDEX(CLINs[],SMALL(IF(AROW!$D$7="Smiths Type 2",ROW(CLINs[Smiths Type 2 CLIN])-1),ROW(68:68)),4),""),""))))</f>
        <v/>
      </c>
    </row>
    <row r="70" spans="4:5" x14ac:dyDescent="0.25">
      <c r="D70">
        <f>'Hidden Data Sheet'!E182</f>
        <v>0</v>
      </c>
      <c r="E70" t="str">
        <f t="array" ref="E70">IF(AROW!$D$7="Smiths",IFERROR(INDEX(CLINs[],SMALL(IF(AROW!$D$7="Smiths",ROW(CLINs[Smiths CLIN])-1),ROW(69:69)),1),""),IF(AROW!$D$7="Leidos",IFERROR(INDEX(CLINs[],SMALL(IF(AROW!$D$7="Leidos",ROW(CLINs[Leidos CLIN])-1),ROW(69:69)),2),""),IF(AROW!$D$7="Reveal",IFERROR(INDEX(CLINs[],SMALL(IF(AROW!$D$7="Reveal",ROW(CLINs[Reveal CLIN])-1),ROW(69:69)),3),""),IF(AROW!$D$7="Smiths Type 2",IFERROR(INDEX(CLINs[],SMALL(IF(AROW!$D$7="Smiths Type 2",ROW(CLINs[Smiths Type 2 CLIN])-1),ROW(69:69)),4),""),""))))</f>
        <v/>
      </c>
    </row>
    <row r="71" spans="4:5" x14ac:dyDescent="0.25">
      <c r="D71">
        <f>'Hidden Data Sheet'!E183</f>
        <v>0</v>
      </c>
      <c r="E71" t="str">
        <f t="array" ref="E71">IF(AROW!$D$7="Smiths",IFERROR(INDEX(CLINs[],SMALL(IF(AROW!$D$7="Smiths",ROW(CLINs[Smiths CLIN])-1),ROW(70:70)),1),""),IF(AROW!$D$7="Leidos",IFERROR(INDEX(CLINs[],SMALL(IF(AROW!$D$7="Leidos",ROW(CLINs[Leidos CLIN])-1),ROW(70:70)),2),""),IF(AROW!$D$7="Reveal",IFERROR(INDEX(CLINs[],SMALL(IF(AROW!$D$7="Reveal",ROW(CLINs[Reveal CLIN])-1),ROW(70:70)),3),""),IF(AROW!$D$7="Smiths Type 2",IFERROR(INDEX(CLINs[],SMALL(IF(AROW!$D$7="Smiths Type 2",ROW(CLINs[Smiths Type 2 CLIN])-1),ROW(70:70)),4),""),""))))</f>
        <v/>
      </c>
    </row>
    <row r="72" spans="4:5" x14ac:dyDescent="0.25">
      <c r="D72">
        <f>'Hidden Data Sheet'!E184</f>
        <v>0</v>
      </c>
      <c r="E72" t="str">
        <f t="array" ref="E72">IF(AROW!$D$7="Smiths",IFERROR(INDEX(CLINs[],SMALL(IF(AROW!$D$7="Smiths",ROW(CLINs[Smiths CLIN])-1),ROW(71:71)),1),""),IF(AROW!$D$7="Leidos",IFERROR(INDEX(CLINs[],SMALL(IF(AROW!$D$7="Leidos",ROW(CLINs[Leidos CLIN])-1),ROW(71:71)),2),""),IF(AROW!$D$7="Reveal",IFERROR(INDEX(CLINs[],SMALL(IF(AROW!$D$7="Reveal",ROW(CLINs[Reveal CLIN])-1),ROW(71:71)),3),""),IF(AROW!$D$7="Smiths Type 2",IFERROR(INDEX(CLINs[],SMALL(IF(AROW!$D$7="Smiths Type 2",ROW(CLINs[Smiths Type 2 CLIN])-1),ROW(71:71)),4),""),""))))</f>
        <v/>
      </c>
    </row>
    <row r="73" spans="4:5" x14ac:dyDescent="0.25">
      <c r="D73">
        <f>'Hidden Data Sheet'!E185</f>
        <v>0</v>
      </c>
      <c r="E73" t="str">
        <f t="array" ref="E73">IF(AROW!$D$7="Smiths",IFERROR(INDEX(CLINs[],SMALL(IF(AROW!$D$7="Smiths",ROW(CLINs[Smiths CLIN])-1),ROW(72:72)),1),""),IF(AROW!$D$7="Leidos",IFERROR(INDEX(CLINs[],SMALL(IF(AROW!$D$7="Leidos",ROW(CLINs[Leidos CLIN])-1),ROW(72:72)),2),""),IF(AROW!$D$7="Reveal",IFERROR(INDEX(CLINs[],SMALL(IF(AROW!$D$7="Reveal",ROW(CLINs[Reveal CLIN])-1),ROW(72:72)),3),""),IF(AROW!$D$7="Smiths Type 2",IFERROR(INDEX(CLINs[],SMALL(IF(AROW!$D$7="Smiths Type 2",ROW(CLINs[Smiths Type 2 CLIN])-1),ROW(72:72)),4),""),""))))</f>
        <v/>
      </c>
    </row>
    <row r="74" spans="4:5" x14ac:dyDescent="0.25">
      <c r="D74">
        <f>'Hidden Data Sheet'!E186</f>
        <v>0</v>
      </c>
      <c r="E74" t="str">
        <f t="array" ref="E74">IF(AROW!$D$7="Smiths",IFERROR(INDEX(CLINs[],SMALL(IF(AROW!$D$7="Smiths",ROW(CLINs[Smiths CLIN])-1),ROW(73:73)),1),""),IF(AROW!$D$7="Leidos",IFERROR(INDEX(CLINs[],SMALL(IF(AROW!$D$7="Leidos",ROW(CLINs[Leidos CLIN])-1),ROW(73:73)),2),""),IF(AROW!$D$7="Reveal",IFERROR(INDEX(CLINs[],SMALL(IF(AROW!$D$7="Reveal",ROW(CLINs[Reveal CLIN])-1),ROW(73:73)),3),""),IF(AROW!$D$7="Smiths Type 2",IFERROR(INDEX(CLINs[],SMALL(IF(AROW!$D$7="Smiths Type 2",ROW(CLINs[Smiths Type 2 CLIN])-1),ROW(73:73)),4),""),""))))</f>
        <v/>
      </c>
    </row>
    <row r="75" spans="4:5" x14ac:dyDescent="0.25">
      <c r="D75">
        <f>'Hidden Data Sheet'!E187</f>
        <v>0</v>
      </c>
      <c r="E75" t="str">
        <f t="array" ref="E75">IF(AROW!$D$7="Smiths",IFERROR(INDEX(CLINs[],SMALL(IF(AROW!$D$7="Smiths",ROW(CLINs[Smiths CLIN])-1),ROW(74:74)),1),""),IF(AROW!$D$7="Leidos",IFERROR(INDEX(CLINs[],SMALL(IF(AROW!$D$7="Leidos",ROW(CLINs[Leidos CLIN])-1),ROW(74:74)),2),""),IF(AROW!$D$7="Reveal",IFERROR(INDEX(CLINs[],SMALL(IF(AROW!$D$7="Reveal",ROW(CLINs[Reveal CLIN])-1),ROW(74:74)),3),""),IF(AROW!$D$7="Smiths Type 2",IFERROR(INDEX(CLINs[],SMALL(IF(AROW!$D$7="Smiths Type 2",ROW(CLINs[Smiths Type 2 CLIN])-1),ROW(74:74)),4),""),""))))</f>
        <v/>
      </c>
    </row>
    <row r="76" spans="4:5" x14ac:dyDescent="0.25">
      <c r="D76">
        <f>'Hidden Data Sheet'!E188</f>
        <v>0</v>
      </c>
      <c r="E76" t="str">
        <f t="array" ref="E76">IF(AROW!$D$7="Smiths",IFERROR(INDEX(CLINs[],SMALL(IF(AROW!$D$7="Smiths",ROW(CLINs[Smiths CLIN])-1),ROW(75:75)),1),""),IF(AROW!$D$7="Leidos",IFERROR(INDEX(CLINs[],SMALL(IF(AROW!$D$7="Leidos",ROW(CLINs[Leidos CLIN])-1),ROW(75:75)),2),""),IF(AROW!$D$7="Reveal",IFERROR(INDEX(CLINs[],SMALL(IF(AROW!$D$7="Reveal",ROW(CLINs[Reveal CLIN])-1),ROW(75:75)),3),""),IF(AROW!$D$7="Smiths Type 2",IFERROR(INDEX(CLINs[],SMALL(IF(AROW!$D$7="Smiths Type 2",ROW(CLINs[Smiths Type 2 CLIN])-1),ROW(75:75)),4),""),""))))</f>
        <v/>
      </c>
    </row>
    <row r="77" spans="4:5" x14ac:dyDescent="0.25">
      <c r="D77">
        <f>'Hidden Data Sheet'!E189</f>
        <v>0</v>
      </c>
      <c r="E77" t="str">
        <f t="array" ref="E77">IF(AROW!$D$7="Smiths",IFERROR(INDEX(CLINs[],SMALL(IF(AROW!$D$7="Smiths",ROW(CLINs[Smiths CLIN])-1),ROW(76:76)),1),""),IF(AROW!$D$7="Leidos",IFERROR(INDEX(CLINs[],SMALL(IF(AROW!$D$7="Leidos",ROW(CLINs[Leidos CLIN])-1),ROW(76:76)),2),""),IF(AROW!$D$7="Reveal",IFERROR(INDEX(CLINs[],SMALL(IF(AROW!$D$7="Reveal",ROW(CLINs[Reveal CLIN])-1),ROW(76:76)),3),""),IF(AROW!$D$7="Smiths Type 2",IFERROR(INDEX(CLINs[],SMALL(IF(AROW!$D$7="Smiths Type 2",ROW(CLINs[Smiths Type 2 CLIN])-1),ROW(76:76)),4),""),""))))</f>
        <v/>
      </c>
    </row>
    <row r="78" spans="4:5" x14ac:dyDescent="0.25">
      <c r="D78">
        <f>'Hidden Data Sheet'!E190</f>
        <v>0</v>
      </c>
      <c r="E78" t="str">
        <f t="array" ref="E78">IF(AROW!$D$7="Smiths",IFERROR(INDEX(CLINs[],SMALL(IF(AROW!$D$7="Smiths",ROW(CLINs[Smiths CLIN])-1),ROW(77:77)),1),""),IF(AROW!$D$7="Leidos",IFERROR(INDEX(CLINs[],SMALL(IF(AROW!$D$7="Leidos",ROW(CLINs[Leidos CLIN])-1),ROW(77:77)),2),""),IF(AROW!$D$7="Reveal",IFERROR(INDEX(CLINs[],SMALL(IF(AROW!$D$7="Reveal",ROW(CLINs[Reveal CLIN])-1),ROW(77:77)),3),""),IF(AROW!$D$7="Smiths Type 2",IFERROR(INDEX(CLINs[],SMALL(IF(AROW!$D$7="Smiths Type 2",ROW(CLINs[Smiths Type 2 CLIN])-1),ROW(77:77)),4),""),""))))</f>
        <v/>
      </c>
    </row>
    <row r="79" spans="4:5" x14ac:dyDescent="0.25">
      <c r="D79">
        <f>'Hidden Data Sheet'!E191</f>
        <v>0</v>
      </c>
      <c r="E79" t="str">
        <f t="array" ref="E79">IF(AROW!$D$7="Smiths",IFERROR(INDEX(CLINs[],SMALL(IF(AROW!$D$7="Smiths",ROW(CLINs[Smiths CLIN])-1),ROW(78:78)),1),""),IF(AROW!$D$7="Leidos",IFERROR(INDEX(CLINs[],SMALL(IF(AROW!$D$7="Leidos",ROW(CLINs[Leidos CLIN])-1),ROW(78:78)),2),""),IF(AROW!$D$7="Reveal",IFERROR(INDEX(CLINs[],SMALL(IF(AROW!$D$7="Reveal",ROW(CLINs[Reveal CLIN])-1),ROW(78:78)),3),""),IF(AROW!$D$7="Smiths Type 2",IFERROR(INDEX(CLINs[],SMALL(IF(AROW!$D$7="Smiths Type 2",ROW(CLINs[Smiths Type 2 CLIN])-1),ROW(78:78)),4),""),""))))</f>
        <v/>
      </c>
    </row>
    <row r="80" spans="4:5" x14ac:dyDescent="0.25">
      <c r="D80">
        <f>'Hidden Data Sheet'!E192</f>
        <v>0</v>
      </c>
      <c r="E80" t="str">
        <f t="array" ref="E80">IF(AROW!$D$7="Smiths",IFERROR(INDEX(CLINs[],SMALL(IF(AROW!$D$7="Smiths",ROW(CLINs[Smiths CLIN])-1),ROW(79:79)),1),""),IF(AROW!$D$7="Leidos",IFERROR(INDEX(CLINs[],SMALL(IF(AROW!$D$7="Leidos",ROW(CLINs[Leidos CLIN])-1),ROW(79:79)),2),""),IF(AROW!$D$7="Reveal",IFERROR(INDEX(CLINs[],SMALL(IF(AROW!$D$7="Reveal",ROW(CLINs[Reveal CLIN])-1),ROW(79:79)),3),""),IF(AROW!$D$7="Smiths Type 2",IFERROR(INDEX(CLINs[],SMALL(IF(AROW!$D$7="Smiths Type 2",ROW(CLINs[Smiths Type 2 CLIN])-1),ROW(79:79)),4),""),""))))</f>
        <v/>
      </c>
    </row>
    <row r="81" spans="4:5" x14ac:dyDescent="0.25">
      <c r="D81">
        <f>'Hidden Data Sheet'!E193</f>
        <v>0</v>
      </c>
      <c r="E81" t="str">
        <f t="array" ref="E81">IF(AROW!$D$7="Smiths",IFERROR(INDEX(CLINs[],SMALL(IF(AROW!$D$7="Smiths",ROW(CLINs[Smiths CLIN])-1),ROW(80:80)),1),""),IF(AROW!$D$7="Leidos",IFERROR(INDEX(CLINs[],SMALL(IF(AROW!$D$7="Leidos",ROW(CLINs[Leidos CLIN])-1),ROW(80:80)),2),""),IF(AROW!$D$7="Reveal",IFERROR(INDEX(CLINs[],SMALL(IF(AROW!$D$7="Reveal",ROW(CLINs[Reveal CLIN])-1),ROW(80:80)),3),""),IF(AROW!$D$7="Smiths Type 2",IFERROR(INDEX(CLINs[],SMALL(IF(AROW!$D$7="Smiths Type 2",ROW(CLINs[Smiths Type 2 CLIN])-1),ROW(80:80)),4),""),""))))</f>
        <v/>
      </c>
    </row>
    <row r="82" spans="4:5" x14ac:dyDescent="0.25">
      <c r="D82">
        <f>'Hidden Data Sheet'!E194</f>
        <v>0</v>
      </c>
      <c r="E82" t="str">
        <f t="array" ref="E82">IF(AROW!$D$7="Smiths",IFERROR(INDEX(CLINs[],SMALL(IF(AROW!$D$7="Smiths",ROW(CLINs[Smiths CLIN])-1),ROW(81:81)),1),""),IF(AROW!$D$7="Leidos",IFERROR(INDEX(CLINs[],SMALL(IF(AROW!$D$7="Leidos",ROW(CLINs[Leidos CLIN])-1),ROW(81:81)),2),""),IF(AROW!$D$7="Reveal",IFERROR(INDEX(CLINs[],SMALL(IF(AROW!$D$7="Reveal",ROW(CLINs[Reveal CLIN])-1),ROW(81:81)),3),""),IF(AROW!$D$7="Smiths Type 2",IFERROR(INDEX(CLINs[],SMALL(IF(AROW!$D$7="Smiths Type 2",ROW(CLINs[Smiths Type 2 CLIN])-1),ROW(81:81)),4),""),""))))</f>
        <v/>
      </c>
    </row>
    <row r="83" spans="4:5" x14ac:dyDescent="0.25">
      <c r="D83">
        <f>'Hidden Data Sheet'!E195</f>
        <v>0</v>
      </c>
      <c r="E83" t="str">
        <f t="array" ref="E83">IF(AROW!$D$7="Smiths",IFERROR(INDEX(CLINs[],SMALL(IF(AROW!$D$7="Smiths",ROW(CLINs[Smiths CLIN])-1),ROW(82:82)),1),""),IF(AROW!$D$7="Leidos",IFERROR(INDEX(CLINs[],SMALL(IF(AROW!$D$7="Leidos",ROW(CLINs[Leidos CLIN])-1),ROW(82:82)),2),""),IF(AROW!$D$7="Reveal",IFERROR(INDEX(CLINs[],SMALL(IF(AROW!$D$7="Reveal",ROW(CLINs[Reveal CLIN])-1),ROW(82:82)),3),""),IF(AROW!$D$7="Smiths Type 2",IFERROR(INDEX(CLINs[],SMALL(IF(AROW!$D$7="Smiths Type 2",ROW(CLINs[Smiths Type 2 CLIN])-1),ROW(82:82)),4),""),""))))</f>
        <v/>
      </c>
    </row>
    <row r="84" spans="4:5" x14ac:dyDescent="0.25">
      <c r="D84">
        <f>'Hidden Data Sheet'!E196</f>
        <v>0</v>
      </c>
      <c r="E84" t="str">
        <f t="array" ref="E84">IF(AROW!$D$7="Smiths",IFERROR(INDEX(CLINs[],SMALL(IF(AROW!$D$7="Smiths",ROW(CLINs[Smiths CLIN])-1),ROW(83:83)),1),""),IF(AROW!$D$7="Leidos",IFERROR(INDEX(CLINs[],SMALL(IF(AROW!$D$7="Leidos",ROW(CLINs[Leidos CLIN])-1),ROW(83:83)),2),""),IF(AROW!$D$7="Reveal",IFERROR(INDEX(CLINs[],SMALL(IF(AROW!$D$7="Reveal",ROW(CLINs[Reveal CLIN])-1),ROW(83:83)),3),""),IF(AROW!$D$7="Smiths Type 2",IFERROR(INDEX(CLINs[],SMALL(IF(AROW!$D$7="Smiths Type 2",ROW(CLINs[Smiths Type 2 CLIN])-1),ROW(83:83)),4),""),""))))</f>
        <v/>
      </c>
    </row>
    <row r="85" spans="4:5" x14ac:dyDescent="0.25">
      <c r="D85">
        <f>'Hidden Data Sheet'!E197</f>
        <v>0</v>
      </c>
      <c r="E85" t="str">
        <f t="array" ref="E85">IF(AROW!$D$7="Smiths",IFERROR(INDEX(CLINs[],SMALL(IF(AROW!$D$7="Smiths",ROW(CLINs[Smiths CLIN])-1),ROW(84:84)),1),""),IF(AROW!$D$7="Leidos",IFERROR(INDEX(CLINs[],SMALL(IF(AROW!$D$7="Leidos",ROW(CLINs[Leidos CLIN])-1),ROW(84:84)),2),""),IF(AROW!$D$7="Reveal",IFERROR(INDEX(CLINs[],SMALL(IF(AROW!$D$7="Reveal",ROW(CLINs[Reveal CLIN])-1),ROW(84:84)),3),""),IF(AROW!$D$7="Smiths Type 2",IFERROR(INDEX(CLINs[],SMALL(IF(AROW!$D$7="Smiths Type 2",ROW(CLINs[Smiths Type 2 CLIN])-1),ROW(84:84)),4),""),""))))</f>
        <v/>
      </c>
    </row>
    <row r="86" spans="4:5" x14ac:dyDescent="0.25">
      <c r="D86">
        <f>'Hidden Data Sheet'!E198</f>
        <v>0</v>
      </c>
      <c r="E86" t="str">
        <f t="array" ref="E86">IF(AROW!$D$7="Smiths",IFERROR(INDEX(CLINs[],SMALL(IF(AROW!$D$7="Smiths",ROW(CLINs[Smiths CLIN])-1),ROW(85:85)),1),""),IF(AROW!$D$7="Leidos",IFERROR(INDEX(CLINs[],SMALL(IF(AROW!$D$7="Leidos",ROW(CLINs[Leidos CLIN])-1),ROW(85:85)),2),""),IF(AROW!$D$7="Reveal",IFERROR(INDEX(CLINs[],SMALL(IF(AROW!$D$7="Reveal",ROW(CLINs[Reveal CLIN])-1),ROW(85:85)),3),""),IF(AROW!$D$7="Smiths Type 2",IFERROR(INDEX(CLINs[],SMALL(IF(AROW!$D$7="Smiths Type 2",ROW(CLINs[Smiths Type 2 CLIN])-1),ROW(85:85)),4),""),""))))</f>
        <v/>
      </c>
    </row>
    <row r="87" spans="4:5" x14ac:dyDescent="0.25">
      <c r="D87">
        <f>'Hidden Data Sheet'!E199</f>
        <v>0</v>
      </c>
      <c r="E87" t="str">
        <f t="array" ref="E87">IF(AROW!$D$7="Smiths",IFERROR(INDEX(CLINs[],SMALL(IF(AROW!$D$7="Smiths",ROW(CLINs[Smiths CLIN])-1),ROW(86:86)),1),""),IF(AROW!$D$7="Leidos",IFERROR(INDEX(CLINs[],SMALL(IF(AROW!$D$7="Leidos",ROW(CLINs[Leidos CLIN])-1),ROW(86:86)),2),""),IF(AROW!$D$7="Reveal",IFERROR(INDEX(CLINs[],SMALL(IF(AROW!$D$7="Reveal",ROW(CLINs[Reveal CLIN])-1),ROW(86:86)),3),""),IF(AROW!$D$7="Smiths Type 2",IFERROR(INDEX(CLINs[],SMALL(IF(AROW!$D$7="Smiths Type 2",ROW(CLINs[Smiths Type 2 CLIN])-1),ROW(86:86)),4),""),""))))</f>
        <v/>
      </c>
    </row>
    <row r="88" spans="4:5" x14ac:dyDescent="0.25">
      <c r="D88">
        <f>'Hidden Data Sheet'!E200</f>
        <v>0</v>
      </c>
      <c r="E88" t="str">
        <f t="array" ref="E88">IF(AROW!$D$7="Smiths",IFERROR(INDEX(CLINs[],SMALL(IF(AROW!$D$7="Smiths",ROW(CLINs[Smiths CLIN])-1),ROW(87:87)),1),""),IF(AROW!$D$7="Leidos",IFERROR(INDEX(CLINs[],SMALL(IF(AROW!$D$7="Leidos",ROW(CLINs[Leidos CLIN])-1),ROW(87:87)),2),""),IF(AROW!$D$7="Reveal",IFERROR(INDEX(CLINs[],SMALL(IF(AROW!$D$7="Reveal",ROW(CLINs[Reveal CLIN])-1),ROW(87:87)),3),""),IF(AROW!$D$7="Smiths Type 2",IFERROR(INDEX(CLINs[],SMALL(IF(AROW!$D$7="Smiths Type 2",ROW(CLINs[Smiths Type 2 CLIN])-1),ROW(87:87)),4),""),""))))</f>
        <v/>
      </c>
    </row>
    <row r="89" spans="4:5" x14ac:dyDescent="0.25">
      <c r="D89">
        <f>'Hidden Data Sheet'!E201</f>
        <v>0</v>
      </c>
      <c r="E89" t="str">
        <f t="array" ref="E89">IF(AROW!$D$7="Smiths",IFERROR(INDEX(CLINs[],SMALL(IF(AROW!$D$7="Smiths",ROW(CLINs[Smiths CLIN])-1),ROW(88:88)),1),""),IF(AROW!$D$7="Leidos",IFERROR(INDEX(CLINs[],SMALL(IF(AROW!$D$7="Leidos",ROW(CLINs[Leidos CLIN])-1),ROW(88:88)),2),""),IF(AROW!$D$7="Reveal",IFERROR(INDEX(CLINs[],SMALL(IF(AROW!$D$7="Reveal",ROW(CLINs[Reveal CLIN])-1),ROW(88:88)),3),""),IF(AROW!$D$7="Smiths Type 2",IFERROR(INDEX(CLINs[],SMALL(IF(AROW!$D$7="Smiths Type 2",ROW(CLINs[Smiths Type 2 CLIN])-1),ROW(88:88)),4),""),""))))</f>
        <v/>
      </c>
    </row>
    <row r="90" spans="4:5" x14ac:dyDescent="0.25">
      <c r="D90">
        <f>'Hidden Data Sheet'!E202</f>
        <v>0</v>
      </c>
      <c r="E90" t="str">
        <f t="array" ref="E90">IF(AROW!$D$7="Smiths",IFERROR(INDEX(CLINs[],SMALL(IF(AROW!$D$7="Smiths",ROW(CLINs[Smiths CLIN])-1),ROW(89:89)),1),""),IF(AROW!$D$7="Leidos",IFERROR(INDEX(CLINs[],SMALL(IF(AROW!$D$7="Leidos",ROW(CLINs[Leidos CLIN])-1),ROW(89:89)),2),""),IF(AROW!$D$7="Reveal",IFERROR(INDEX(CLINs[],SMALL(IF(AROW!$D$7="Reveal",ROW(CLINs[Reveal CLIN])-1),ROW(89:89)),3),""),IF(AROW!$D$7="Smiths Type 2",IFERROR(INDEX(CLINs[],SMALL(IF(AROW!$D$7="Smiths Type 2",ROW(CLINs[Smiths Type 2 CLIN])-1),ROW(89:89)),4),""),""))))</f>
        <v/>
      </c>
    </row>
    <row r="91" spans="4:5" x14ac:dyDescent="0.25">
      <c r="D91">
        <f>'Hidden Data Sheet'!E203</f>
        <v>0</v>
      </c>
      <c r="E91" t="str">
        <f t="array" ref="E91">IF(AROW!$D$7="Smiths",IFERROR(INDEX(CLINs[],SMALL(IF(AROW!$D$7="Smiths",ROW(CLINs[Smiths CLIN])-1),ROW(90:90)),1),""),IF(AROW!$D$7="Leidos",IFERROR(INDEX(CLINs[],SMALL(IF(AROW!$D$7="Leidos",ROW(CLINs[Leidos CLIN])-1),ROW(90:90)),2),""),IF(AROW!$D$7="Reveal",IFERROR(INDEX(CLINs[],SMALL(IF(AROW!$D$7="Reveal",ROW(CLINs[Reveal CLIN])-1),ROW(90:90)),3),""),IF(AROW!$D$7="Smiths Type 2",IFERROR(INDEX(CLINs[],SMALL(IF(AROW!$D$7="Smiths Type 2",ROW(CLINs[Smiths Type 2 CLIN])-1),ROW(90:90)),4),""),""))))</f>
        <v/>
      </c>
    </row>
    <row r="92" spans="4:5" x14ac:dyDescent="0.25">
      <c r="D92">
        <f>'Hidden Data Sheet'!E204</f>
        <v>0</v>
      </c>
      <c r="E92" t="str">
        <f t="array" ref="E92">IF(AROW!$D$7="Smiths",IFERROR(INDEX(CLINs[],SMALL(IF(AROW!$D$7="Smiths",ROW(CLINs[Smiths CLIN])-1),ROW(91:91)),1),""),IF(AROW!$D$7="Leidos",IFERROR(INDEX(CLINs[],SMALL(IF(AROW!$D$7="Leidos",ROW(CLINs[Leidos CLIN])-1),ROW(91:91)),2),""),IF(AROW!$D$7="Reveal",IFERROR(INDEX(CLINs[],SMALL(IF(AROW!$D$7="Reveal",ROW(CLINs[Reveal CLIN])-1),ROW(91:91)),3),""),IF(AROW!$D$7="Smiths Type 2",IFERROR(INDEX(CLINs[],SMALL(IF(AROW!$D$7="Smiths Type 2",ROW(CLINs[Smiths Type 2 CLIN])-1),ROW(91:91)),4),""),""))))</f>
        <v/>
      </c>
    </row>
    <row r="93" spans="4:5" x14ac:dyDescent="0.25">
      <c r="D93">
        <f>'Hidden Data Sheet'!E205</f>
        <v>0</v>
      </c>
      <c r="E93" t="str">
        <f t="array" ref="E93">IF(AROW!$D$7="Smiths",IFERROR(INDEX(CLINs[],SMALL(IF(AROW!$D$7="Smiths",ROW(CLINs[Smiths CLIN])-1),ROW(92:92)),1),""),IF(AROW!$D$7="Leidos",IFERROR(INDEX(CLINs[],SMALL(IF(AROW!$D$7="Leidos",ROW(CLINs[Leidos CLIN])-1),ROW(92:92)),2),""),IF(AROW!$D$7="Reveal",IFERROR(INDEX(CLINs[],SMALL(IF(AROW!$D$7="Reveal",ROW(CLINs[Reveal CLIN])-1),ROW(92:92)),3),""),IF(AROW!$D$7="Smiths Type 2",IFERROR(INDEX(CLINs[],SMALL(IF(AROW!$D$7="Smiths Type 2",ROW(CLINs[Smiths Type 2 CLIN])-1),ROW(92:92)),4),""),""))))</f>
        <v/>
      </c>
    </row>
    <row r="94" spans="4:5" x14ac:dyDescent="0.25">
      <c r="D94">
        <f>'Hidden Data Sheet'!E206</f>
        <v>0</v>
      </c>
      <c r="E94" t="str">
        <f t="array" ref="E94">IF(AROW!$D$7="Smiths",IFERROR(INDEX(CLINs[],SMALL(IF(AROW!$D$7="Smiths",ROW(CLINs[Smiths CLIN])-1),ROW(93:93)),1),""),IF(AROW!$D$7="Leidos",IFERROR(INDEX(CLINs[],SMALL(IF(AROW!$D$7="Leidos",ROW(CLINs[Leidos CLIN])-1),ROW(93:93)),2),""),IF(AROW!$D$7="Reveal",IFERROR(INDEX(CLINs[],SMALL(IF(AROW!$D$7="Reveal",ROW(CLINs[Reveal CLIN])-1),ROW(93:93)),3),""),IF(AROW!$D$7="Smiths Type 2",IFERROR(INDEX(CLINs[],SMALL(IF(AROW!$D$7="Smiths Type 2",ROW(CLINs[Smiths Type 2 CLIN])-1),ROW(93:93)),4),""),""))))</f>
        <v/>
      </c>
    </row>
    <row r="95" spans="4:5" x14ac:dyDescent="0.25">
      <c r="D95">
        <f>'Hidden Data Sheet'!E207</f>
        <v>0</v>
      </c>
      <c r="E95" t="str">
        <f t="array" ref="E95">IF(AROW!$D$7="Smiths",IFERROR(INDEX(CLINs[],SMALL(IF(AROW!$D$7="Smiths",ROW(CLINs[Smiths CLIN])-1),ROW(94:94)),1),""),IF(AROW!$D$7="Leidos",IFERROR(INDEX(CLINs[],SMALL(IF(AROW!$D$7="Leidos",ROW(CLINs[Leidos CLIN])-1),ROW(94:94)),2),""),IF(AROW!$D$7="Reveal",IFERROR(INDEX(CLINs[],SMALL(IF(AROW!$D$7="Reveal",ROW(CLINs[Reveal CLIN])-1),ROW(94:94)),3),""),IF(AROW!$D$7="Smiths Type 2",IFERROR(INDEX(CLINs[],SMALL(IF(AROW!$D$7="Smiths Type 2",ROW(CLINs[Smiths Type 2 CLIN])-1),ROW(94:94)),4),""),""))))</f>
        <v/>
      </c>
    </row>
    <row r="96" spans="4:5" x14ac:dyDescent="0.25">
      <c r="D96">
        <f>'Hidden Data Sheet'!E208</f>
        <v>0</v>
      </c>
      <c r="E96" t="str">
        <f t="array" ref="E96">IF(AROW!$D$7="Smiths",IFERROR(INDEX(CLINs[],SMALL(IF(AROW!$D$7="Smiths",ROW(CLINs[Smiths CLIN])-1),ROW(95:95)),1),""),IF(AROW!$D$7="Leidos",IFERROR(INDEX(CLINs[],SMALL(IF(AROW!$D$7="Leidos",ROW(CLINs[Leidos CLIN])-1),ROW(95:95)),2),""),IF(AROW!$D$7="Reveal",IFERROR(INDEX(CLINs[],SMALL(IF(AROW!$D$7="Reveal",ROW(CLINs[Reveal CLIN])-1),ROW(95:95)),3),""),IF(AROW!$D$7="Smiths Type 2",IFERROR(INDEX(CLINs[],SMALL(IF(AROW!$D$7="Smiths Type 2",ROW(CLINs[Smiths Type 2 CLIN])-1),ROW(95:95)),4),""),""))))</f>
        <v/>
      </c>
    </row>
    <row r="97" spans="4:5" x14ac:dyDescent="0.25">
      <c r="D97">
        <f>'Hidden Data Sheet'!E209</f>
        <v>0</v>
      </c>
      <c r="E97" t="str">
        <f t="array" ref="E97">IF(AROW!$D$7="Smiths",IFERROR(INDEX(CLINs[],SMALL(IF(AROW!$D$7="Smiths",ROW(CLINs[Smiths CLIN])-1),ROW(96:96)),1),""),IF(AROW!$D$7="Leidos",IFERROR(INDEX(CLINs[],SMALL(IF(AROW!$D$7="Leidos",ROW(CLINs[Leidos CLIN])-1),ROW(96:96)),2),""),IF(AROW!$D$7="Reveal",IFERROR(INDEX(CLINs[],SMALL(IF(AROW!$D$7="Reveal",ROW(CLINs[Reveal CLIN])-1),ROW(96:96)),3),""),IF(AROW!$D$7="Smiths Type 2",IFERROR(INDEX(CLINs[],SMALL(IF(AROW!$D$7="Smiths Type 2",ROW(CLINs[Smiths Type 2 CLIN])-1),ROW(96:96)),4),""),""))))</f>
        <v/>
      </c>
    </row>
    <row r="98" spans="4:5" x14ac:dyDescent="0.25">
      <c r="D98">
        <f>'Hidden Data Sheet'!E210</f>
        <v>0</v>
      </c>
      <c r="E98" t="str">
        <f t="array" ref="E98">IF(AROW!$D$7="Smiths",IFERROR(INDEX(CLINs[],SMALL(IF(AROW!$D$7="Smiths",ROW(CLINs[Smiths CLIN])-1),ROW(97:97)),1),""),IF(AROW!$D$7="Leidos",IFERROR(INDEX(CLINs[],SMALL(IF(AROW!$D$7="Leidos",ROW(CLINs[Leidos CLIN])-1),ROW(97:97)),2),""),IF(AROW!$D$7="Reveal",IFERROR(INDEX(CLINs[],SMALL(IF(AROW!$D$7="Reveal",ROW(CLINs[Reveal CLIN])-1),ROW(97:97)),3),""),IF(AROW!$D$7="Smiths Type 2",IFERROR(INDEX(CLINs[],SMALL(IF(AROW!$D$7="Smiths Type 2",ROW(CLINs[Smiths Type 2 CLIN])-1),ROW(97:97)),4),""),""))))</f>
        <v/>
      </c>
    </row>
    <row r="99" spans="4:5" x14ac:dyDescent="0.25">
      <c r="D99">
        <f>'Hidden Data Sheet'!E211</f>
        <v>0</v>
      </c>
      <c r="E99" t="str">
        <f t="array" ref="E99">IF(AROW!$D$7="Smiths",IFERROR(INDEX(CLINs[],SMALL(IF(AROW!$D$7="Smiths",ROW(CLINs[Smiths CLIN])-1),ROW(98:98)),1),""),IF(AROW!$D$7="Leidos",IFERROR(INDEX(CLINs[],SMALL(IF(AROW!$D$7="Leidos",ROW(CLINs[Leidos CLIN])-1),ROW(98:98)),2),""),IF(AROW!$D$7="Reveal",IFERROR(INDEX(CLINs[],SMALL(IF(AROW!$D$7="Reveal",ROW(CLINs[Reveal CLIN])-1),ROW(98:98)),3),""),IF(AROW!$D$7="Smiths Type 2",IFERROR(INDEX(CLINs[],SMALL(IF(AROW!$D$7="Smiths Type 2",ROW(CLINs[Smiths Type 2 CLIN])-1),ROW(98:98)),4),""),""))))</f>
        <v/>
      </c>
    </row>
    <row r="100" spans="4:5" x14ac:dyDescent="0.25">
      <c r="D100">
        <f>'Hidden Data Sheet'!E212</f>
        <v>0</v>
      </c>
      <c r="E100" t="str">
        <f t="array" ref="E100">IF(AROW!$D$7="Smiths",IFERROR(INDEX(CLINs[],SMALL(IF(AROW!$D$7="Smiths",ROW(CLINs[Smiths CLIN])-1),ROW(99:99)),1),""),IF(AROW!$D$7="Leidos",IFERROR(INDEX(CLINs[],SMALL(IF(AROW!$D$7="Leidos",ROW(CLINs[Leidos CLIN])-1),ROW(99:99)),2),""),IF(AROW!$D$7="Reveal",IFERROR(INDEX(CLINs[],SMALL(IF(AROW!$D$7="Reveal",ROW(CLINs[Reveal CLIN])-1),ROW(99:99)),3),""),IF(AROW!$D$7="Smiths Type 2",IFERROR(INDEX(CLINs[],SMALL(IF(AROW!$D$7="Smiths Type 2",ROW(CLINs[Smiths Type 2 CLIN])-1),ROW(99:99)),4),""),""))))</f>
        <v/>
      </c>
    </row>
    <row r="101" spans="4:5" x14ac:dyDescent="0.25">
      <c r="D101">
        <f>'Hidden Data Sheet'!E213</f>
        <v>0</v>
      </c>
      <c r="E101" t="str">
        <f t="array" ref="E101">IF(AROW!$D$7="Smiths",IFERROR(INDEX(CLINs[],SMALL(IF(AROW!$D$7="Smiths",ROW(CLINs[Smiths CLIN])-1),ROW(100:100)),1),""),IF(AROW!$D$7="Leidos",IFERROR(INDEX(CLINs[],SMALL(IF(AROW!$D$7="Leidos",ROW(CLINs[Leidos CLIN])-1),ROW(100:100)),2),""),IF(AROW!$D$7="Reveal",IFERROR(INDEX(CLINs[],SMALL(IF(AROW!$D$7="Reveal",ROW(CLINs[Reveal CLIN])-1),ROW(100:100)),3),""),IF(AROW!$D$7="Smiths Type 2",IFERROR(INDEX(CLINs[],SMALL(IF(AROW!$D$7="Smiths Type 2",ROW(CLINs[Smiths Type 2 CLIN])-1),ROW(100:100)),4),""),""))))</f>
        <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C5"/>
  <sheetViews>
    <sheetView workbookViewId="0">
      <selection activeCell="C23" sqref="C23"/>
    </sheetView>
  </sheetViews>
  <sheetFormatPr defaultRowHeight="15" x14ac:dyDescent="0.25"/>
  <cols>
    <col min="1" max="3" width="37.5703125" style="36" customWidth="1"/>
  </cols>
  <sheetData>
    <row r="1" spans="1:2" x14ac:dyDescent="0.25">
      <c r="A1" s="35" t="s">
        <v>191</v>
      </c>
      <c r="B1" s="35" t="s">
        <v>196</v>
      </c>
    </row>
    <row r="2" spans="1:2" ht="30" x14ac:dyDescent="0.25">
      <c r="A2" s="36" t="s">
        <v>192</v>
      </c>
      <c r="B2" s="36" t="s">
        <v>197</v>
      </c>
    </row>
    <row r="3" spans="1:2" ht="30" x14ac:dyDescent="0.25">
      <c r="A3" s="36" t="s">
        <v>193</v>
      </c>
      <c r="B3" s="36" t="s">
        <v>190</v>
      </c>
    </row>
    <row r="4" spans="1:2" ht="60" x14ac:dyDescent="0.25">
      <c r="A4" s="36" t="s">
        <v>194</v>
      </c>
      <c r="B4" s="36" t="s">
        <v>198</v>
      </c>
    </row>
    <row r="5" spans="1:2" ht="45" x14ac:dyDescent="0.25">
      <c r="A5" s="36" t="s">
        <v>195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9448453993B32429A26A5FF37A1BFA4" ma:contentTypeVersion="4" ma:contentTypeDescription="Create a new document." ma:contentTypeScope="" ma:versionID="07f1d72be4c32c13e7de408943cca8ca">
  <xsd:schema xmlns:xsd="http://www.w3.org/2001/XMLSchema" xmlns:xs="http://www.w3.org/2001/XMLSchema" xmlns:p="http://schemas.microsoft.com/office/2006/metadata/properties" xmlns:ns2="d80a775c-a2fe-4bdc-940e-84568d43ce6d" targetNamespace="http://schemas.microsoft.com/office/2006/metadata/properties" ma:root="true" ma:fieldsID="01faf7fd0c3afda67457b7a657d8d687" ns2:_="">
    <xsd:import namespace="d80a775c-a2fe-4bdc-940e-84568d43ce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0a775c-a2fe-4bdc-940e-84568d43ce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5B4FF46-AFF6-4643-8D46-E28B45F70B3F}">
  <ds:schemaRefs>
    <ds:schemaRef ds:uri="http://schemas.microsoft.com/sharepoint/v3/contenttype/forms"/>
  </ds:schemaRefs>
</ds:datastoreItem>
</file>

<file path=customXml/itemProps2.xml><?xml version="1.0" encoding="utf-8"?>
<ds:datastoreItem xmlns:ds="http://schemas.openxmlformats.org/officeDocument/2006/customXml" ds:itemID="{7105ED13-D230-4C18-9E81-EF69D2D4E2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0a775c-a2fe-4bdc-940e-84568d43ce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7D771D-52FA-44C7-82D0-7EA907B9D93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AROW - Instructions</vt:lpstr>
      <vt:lpstr>AROW</vt:lpstr>
      <vt:lpstr>AROW - COR</vt:lpstr>
      <vt:lpstr>AROW!Print_Area</vt:lpstr>
      <vt:lpstr>'AROW - COR'!Print_Area</vt:lpstr>
      <vt:lpstr>'AROW - Instructions'!Print_Area</vt:lpstr>
      <vt:lpstr>Type_1</vt:lpstr>
      <vt:lpstr>Type_2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Schild, Mike</dc:creator>
  <cp:lastModifiedBy>Alexander, Lindsay</cp:lastModifiedBy>
  <cp:lastPrinted>2019-04-29T21:11:14Z</cp:lastPrinted>
  <dcterms:created xsi:type="dcterms:W3CDTF">2018-10-16T13:11:37Z</dcterms:created>
  <dcterms:modified xsi:type="dcterms:W3CDTF">2026-03-31T17:19:59Z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0x01010059448453993B32429A26A5FF37A1BFA4</vt:lpwstr>
  </property>
</Properties>
</file>