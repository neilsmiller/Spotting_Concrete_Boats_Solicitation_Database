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oimspp-my.sharepoint.com/personal/akircher_ios_doi_gov/Documents/Projects/FY 2026 Projects/_Working/Ste. Genevieve National Historical Park - Well Decommission/"/>
    </mc:Choice>
  </mc:AlternateContent>
  <xr:revisionPtr revIDLastSave="2" documentId="8_{FAA829F3-55C9-4A78-A81C-82E1FE97915C}" xr6:coauthVersionLast="47" xr6:coauthVersionMax="47" xr10:uidLastSave="{AC6C6180-965C-4710-BE5C-3BD7D06EC487}"/>
  <bookViews>
    <workbookView xWindow="-110" yWindow="-110" windowWidth="19420" windowHeight="10300" xr2:uid="{00000000-000D-0000-FFFF-FFFF00000000}"/>
  </bookViews>
  <sheets>
    <sheet name="Template for Contracts and Indi" sheetId="1" r:id="rId1"/>
    <sheet name="Sheet2" sheetId="2" state="hidden" r:id="rId2"/>
    <sheet name="Template for IDVs" sheetId="3" r:id="rId3"/>
  </sheets>
  <definedNames>
    <definedName name="ProduceServiceType">Sheet2!$A$1:$A$3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55" i="3" l="1"/>
  <c r="C49" i="3"/>
  <c r="C40" i="3"/>
  <c r="C34" i="3"/>
  <c r="C25" i="3"/>
  <c r="C19" i="3"/>
  <c r="F15" i="3"/>
  <c r="A15" i="3"/>
  <c r="F14" i="3"/>
  <c r="F13" i="3"/>
  <c r="F17" i="3" s="1"/>
  <c r="C24" i="1"/>
  <c r="C26" i="1" s="1"/>
  <c r="C18" i="1"/>
</calcChain>
</file>

<file path=xl/sharedStrings.xml><?xml version="1.0" encoding="utf-8"?>
<sst xmlns="http://schemas.openxmlformats.org/spreadsheetml/2006/main" count="84" uniqueCount="35">
  <si>
    <t>Report on Limitations on Subcontracting
[Template - v1 - December 15, 2016]</t>
  </si>
  <si>
    <t>Contract Number (PIID)</t>
  </si>
  <si>
    <t>[Insert PIID]</t>
  </si>
  <si>
    <t>Type of Set Aside</t>
  </si>
  <si>
    <t>[Insert Type of Set-Aside]</t>
  </si>
  <si>
    <t>Total Contract Value</t>
  </si>
  <si>
    <t>[Insert Total Contract Value]</t>
  </si>
  <si>
    <t>Performance Period for This Report</t>
  </si>
  <si>
    <t>[Insert Date] to [Insert Date]</t>
  </si>
  <si>
    <t>Type of Service</t>
  </si>
  <si>
    <t>Total Amount Paid by the Government to the Prime during the Performance Period</t>
  </si>
  <si>
    <t>Similarly Situated Subcontractors (SSS)</t>
  </si>
  <si>
    <t>Total Amount Paid to [Insert First SSS Name]</t>
  </si>
  <si>
    <t>Total Amount Paid to [Insert Second SSS Name]</t>
  </si>
  <si>
    <t>Total Amount Paid to [Insert Third SSS Name]</t>
  </si>
  <si>
    <t>Total Amount Paid to [Insert Fourth SSS Name]</t>
  </si>
  <si>
    <t>Total Amount Paid to SSS</t>
  </si>
  <si>
    <t>Non-Similarly Situated Subcontractors (NSS)</t>
  </si>
  <si>
    <t>Total Amount Paid to [Insert First NSS Name]</t>
  </si>
  <si>
    <t>Total Amount Paid to [Insert Second NSS Name]</t>
  </si>
  <si>
    <t>Total Amount Paid to [Insert Third NSS Name]</t>
  </si>
  <si>
    <t>Total Amount Paid to [Insert Fourth NSS Name]</t>
  </si>
  <si>
    <t>Total Amount Paid to NSS</t>
  </si>
  <si>
    <r>
      <rPr>
        <b/>
        <sz val="14"/>
        <rFont val="Arial"/>
      </rPr>
      <t>Limitation on Subcontracting Percentage</t>
    </r>
    <r>
      <rPr>
        <b/>
        <sz val="18"/>
        <rFont val="Arial"/>
      </rPr>
      <t xml:space="preserve">
</t>
    </r>
    <r>
      <rPr>
        <sz val="10"/>
        <color rgb="FF000000"/>
        <rFont val="Arial"/>
      </rPr>
      <t>(Total Amount Paid to the Prime - Total Amount Total Amount Paid to NSS / Total Amount Paid to the Prime)</t>
    </r>
  </si>
  <si>
    <t>Services (except construction)</t>
  </si>
  <si>
    <t>General construction</t>
  </si>
  <si>
    <t>Construction by special trade contractors</t>
  </si>
  <si>
    <t>Total Contract Ceiling</t>
  </si>
  <si>
    <t>Task Order 1</t>
  </si>
  <si>
    <t>Total of All Task Orders</t>
  </si>
  <si>
    <t>Total Amount Paid to the Prime</t>
  </si>
  <si>
    <r>
      <rPr>
        <b/>
        <sz val="14"/>
        <rFont val="Arial"/>
      </rPr>
      <t>Limitation on Subcontracting Percentage</t>
    </r>
    <r>
      <rPr>
        <b/>
        <sz val="18"/>
        <rFont val="Arial"/>
      </rPr>
      <t xml:space="preserve">
</t>
    </r>
    <r>
      <rPr>
        <sz val="10"/>
        <color rgb="FF000000"/>
        <rFont val="Arial"/>
      </rPr>
      <t>(Total Amount Paid Prime - Total Amount Total Amount Paid to NSS / Total Amount Paid to the Prime)</t>
    </r>
  </si>
  <si>
    <t>Task Order 2</t>
  </si>
  <si>
    <t>Task Order 3</t>
  </si>
  <si>
    <t>Repeat for Additional Task Orders (formulas will need to be adjusted if additional orders are added.)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</si>
</sst>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7" x14ac:knownFonts="1">
    <font>
      <sz val="10"/>
      <color rgb="FF000000"/>
      <name val="Arial"/>
    </font>
    <font>
      <sz val="10"/>
      <name val="Arial"/>
    </font>
    <font>
      <b/>
      <sz val="14"/>
      <name val="Arial"/>
    </font>
    <font>
      <sz val="12"/>
      <name val="Arial"/>
    </font>
    <font>
      <b/>
      <sz val="14"/>
      <color rgb="FF000000"/>
      <name val="Arial"/>
    </font>
    <font>
      <b/>
      <u/>
      <sz val="14"/>
      <color rgb="FF0000FF"/>
      <name val="Arial"/>
    </font>
    <font>
      <b/>
      <sz val="18"/>
      <name val="Arial"/>
    </font>
  </fonts>
  <fills count="9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6B8AF"/>
        <bgColor rgb="FFE6B8AF"/>
      </patternFill>
    </fill>
    <fill>
      <patternFill patternType="solid">
        <fgColor rgb="FFCFE2F3"/>
        <bgColor rgb="FFCF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center" vertical="top" wrapText="1"/>
    </xf>
    <xf numFmtId="0" fontId="2" fillId="3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4" fillId="5" borderId="0" xfId="0" applyFont="1" applyFill="1" applyAlignment="1">
      <alignment horizontal="left" wrapText="1"/>
    </xf>
    <xf numFmtId="164" fontId="3" fillId="0" borderId="1" xfId="0" applyNumberFormat="1" applyFont="1" applyBorder="1" applyAlignment="1">
      <alignment vertical="top" wrapText="1"/>
    </xf>
    <xf numFmtId="164" fontId="2" fillId="6" borderId="1" xfId="0" applyNumberFormat="1" applyFont="1" applyFill="1" applyBorder="1" applyAlignment="1">
      <alignment vertical="top" wrapText="1"/>
    </xf>
    <xf numFmtId="0" fontId="5" fillId="0" borderId="0" xfId="0" applyFont="1" applyAlignment="1">
      <alignment vertical="top" wrapText="1"/>
    </xf>
    <xf numFmtId="10" fontId="2" fillId="6" borderId="1" xfId="0" applyNumberFormat="1" applyFont="1" applyFill="1" applyBorder="1" applyAlignment="1">
      <alignment vertical="top" wrapText="1"/>
    </xf>
    <xf numFmtId="0" fontId="2" fillId="7" borderId="0" xfId="0" applyFont="1" applyFill="1" applyAlignment="1">
      <alignment vertical="top" wrapText="1"/>
    </xf>
    <xf numFmtId="0" fontId="2" fillId="8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vertical="top"/>
    </xf>
    <xf numFmtId="0" fontId="1" fillId="3" borderId="0" xfId="0" applyFont="1" applyFill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164" fontId="1" fillId="6" borderId="1" xfId="0" applyNumberFormat="1" applyFont="1" applyFill="1" applyBorder="1"/>
    <xf numFmtId="164" fontId="1" fillId="6" borderId="1" xfId="0" applyNumberFormat="1" applyFont="1" applyFill="1" applyBorder="1" applyAlignment="1">
      <alignment vertical="top" wrapText="1"/>
    </xf>
    <xf numFmtId="0" fontId="1" fillId="7" borderId="0" xfId="0" applyFont="1" applyFill="1"/>
    <xf numFmtId="0" fontId="1" fillId="8" borderId="0" xfId="0" applyFont="1" applyFill="1"/>
    <xf numFmtId="0" fontId="2" fillId="2" borderId="0" xfId="0" applyFont="1" applyFill="1" applyAlignment="1">
      <alignment horizontal="center" vertical="top" wrapText="1"/>
    </xf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12"/>
  <sheetViews>
    <sheetView tabSelected="1" workbookViewId="0">
      <selection sqref="A1:C1"/>
    </sheetView>
  </sheetViews>
  <sheetFormatPr defaultColWidth="14.453125" defaultRowHeight="15.75" customHeight="1" x14ac:dyDescent="0.25"/>
  <cols>
    <col min="1" max="1" width="31.81640625" customWidth="1"/>
    <col min="2" max="2" width="70.1796875" customWidth="1"/>
    <col min="3" max="3" width="21.7265625" customWidth="1"/>
    <col min="4" max="4" width="17.81640625" customWidth="1"/>
  </cols>
  <sheetData>
    <row r="1" spans="1:27" ht="15.75" customHeight="1" x14ac:dyDescent="0.25">
      <c r="A1" s="26" t="s">
        <v>0</v>
      </c>
      <c r="B1" s="27"/>
      <c r="C1" s="27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5.75" customHeight="1" x14ac:dyDescent="0.25">
      <c r="A2" s="2"/>
      <c r="B2" s="4"/>
      <c r="C2" s="4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5.75" customHeight="1" x14ac:dyDescent="0.25">
      <c r="A3" s="2" t="s">
        <v>1</v>
      </c>
      <c r="B3" s="3" t="s">
        <v>2</v>
      </c>
      <c r="C3" s="4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5.75" customHeight="1" x14ac:dyDescent="0.25">
      <c r="A4" s="2" t="s">
        <v>3</v>
      </c>
      <c r="B4" s="4" t="s">
        <v>4</v>
      </c>
      <c r="C4" s="5"/>
      <c r="D4" s="17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5.75" customHeight="1" x14ac:dyDescent="0.25">
      <c r="A5" s="2" t="s">
        <v>5</v>
      </c>
      <c r="B5" s="4" t="s">
        <v>6</v>
      </c>
      <c r="C5" s="5"/>
      <c r="D5" s="17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5.75" customHeight="1" x14ac:dyDescent="0.25">
      <c r="A6" s="2"/>
      <c r="B6" s="4"/>
      <c r="C6" s="5"/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5.75" customHeight="1" x14ac:dyDescent="0.25">
      <c r="A7" s="2" t="s">
        <v>7</v>
      </c>
      <c r="B7" s="4" t="s">
        <v>8</v>
      </c>
      <c r="C7" s="16"/>
      <c r="D7" s="1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15.75" customHeight="1" x14ac:dyDescent="0.25">
      <c r="A8" s="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15.75" customHeight="1" x14ac:dyDescent="0.25">
      <c r="A9" s="2" t="s">
        <v>9</v>
      </c>
      <c r="B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5.75" customHeight="1" x14ac:dyDescent="0.25">
      <c r="A10" s="2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15.75" customHeight="1" x14ac:dyDescent="0.25">
      <c r="A11" s="6"/>
      <c r="B11" s="19"/>
      <c r="C11" s="19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5.75" customHeight="1" x14ac:dyDescent="0.25">
      <c r="A12" s="2"/>
      <c r="B12" s="2" t="s">
        <v>10</v>
      </c>
      <c r="C12" s="8"/>
      <c r="D12" s="16"/>
      <c r="E12" s="4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15.75" customHeight="1" x14ac:dyDescent="0.25">
      <c r="A13" s="2"/>
      <c r="B13" s="16"/>
      <c r="C13" s="20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5.75" customHeight="1" x14ac:dyDescent="0.25">
      <c r="A14" s="2" t="s">
        <v>11</v>
      </c>
      <c r="B14" s="4" t="s">
        <v>12</v>
      </c>
      <c r="C14" s="10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5.75" customHeight="1" x14ac:dyDescent="0.25">
      <c r="A15" s="2"/>
      <c r="B15" s="4" t="s">
        <v>13</v>
      </c>
      <c r="C15" s="10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.75" customHeight="1" x14ac:dyDescent="0.25">
      <c r="A16" s="2"/>
      <c r="B16" s="4" t="s">
        <v>14</v>
      </c>
      <c r="C16" s="10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.75" customHeight="1" x14ac:dyDescent="0.25">
      <c r="A17" s="2"/>
      <c r="B17" s="4" t="s">
        <v>15</v>
      </c>
      <c r="C17" s="10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5.75" customHeight="1" x14ac:dyDescent="0.25">
      <c r="A18" s="2"/>
      <c r="B18" s="2" t="s">
        <v>16</v>
      </c>
      <c r="C18" s="11">
        <f>SUM(C14:C17)</f>
        <v>0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5.75" customHeight="1" x14ac:dyDescent="0.25">
      <c r="A19" s="2"/>
      <c r="B19" s="16"/>
      <c r="C19" s="20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36" x14ac:dyDescent="0.25">
      <c r="A20" s="2" t="s">
        <v>17</v>
      </c>
      <c r="B20" s="4" t="s">
        <v>18</v>
      </c>
      <c r="C20" s="1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15.5" x14ac:dyDescent="0.25">
      <c r="A21" s="4"/>
      <c r="B21" s="4" t="s">
        <v>19</v>
      </c>
      <c r="C21" s="10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.5" x14ac:dyDescent="0.25">
      <c r="A22" s="4"/>
      <c r="B22" s="4" t="s">
        <v>20</v>
      </c>
      <c r="C22" s="1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.5" x14ac:dyDescent="0.25">
      <c r="A23" s="4"/>
      <c r="B23" s="4" t="s">
        <v>21</v>
      </c>
      <c r="C23" s="10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8" x14ac:dyDescent="0.25">
      <c r="A24" s="16"/>
      <c r="B24" s="2" t="s">
        <v>22</v>
      </c>
      <c r="C24" s="11">
        <f>SUM(C20:C23)</f>
        <v>0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2.5" x14ac:dyDescent="0.25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48" x14ac:dyDescent="0.25">
      <c r="A26" s="16"/>
      <c r="B26" s="16" t="s">
        <v>23</v>
      </c>
      <c r="C26" s="13" t="e">
        <f>(C12-C24)/C12</f>
        <v>#DIV/0!</v>
      </c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2.5" x14ac:dyDescent="0.25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12.5" x14ac:dyDescent="0.25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2.5" x14ac:dyDescent="0.25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12.5" x14ac:dyDescent="0.25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2.5" x14ac:dyDescent="0.25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2.5" x14ac:dyDescent="0.25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2.5" x14ac:dyDescent="0.25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2.5" x14ac:dyDescent="0.25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2.5" x14ac:dyDescent="0.25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12.5" x14ac:dyDescent="0.2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2.5" x14ac:dyDescent="0.2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2.5" x14ac:dyDescent="0.25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2.5" x14ac:dyDescent="0.2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2.5" x14ac:dyDescent="0.2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2.5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2.5" x14ac:dyDescent="0.25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12.5" x14ac:dyDescent="0.2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2.5" x14ac:dyDescent="0.25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12.5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2.5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2.5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2.5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2.5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2.5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12.5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2.5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2.5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2.5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2.5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2.5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2.5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2.5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2.5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2.5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2.5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2.5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2.5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2.5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2.5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2.5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2.5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2.5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2.5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2.5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2.5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2.5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2.5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2.5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2.5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2.5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2.5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2.5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2.5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2.5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2.5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2.5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2.5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2.5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2.5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2.5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2.5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2.5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2.5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2.5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2.5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2.5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2.5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2.5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2.5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2.5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2.5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2.5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2.5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2.5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2.5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2.5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2.5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2.5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2.5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2.5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2.5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2.5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2.5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2.5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2.5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2.5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2.5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2.5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2.5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2.5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2.5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2.5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2.5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2.5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2.5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2.5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2.5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2.5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2.5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2.5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2.5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2.5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2.5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2.5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2.5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2.5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2.5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2.5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2.5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2.5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2.5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2.5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2.5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2.5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2.5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2.5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2.5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2.5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2.5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2.5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2.5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2.5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2.5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2.5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2.5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2.5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2.5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2.5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2.5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2.5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2.5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2.5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2.5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2.5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2.5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2.5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2.5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2.5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2.5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2.5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2.5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2.5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2.5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2.5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2.5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2.5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2.5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2.5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2.5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2.5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2.5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2.5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2.5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2.5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2.5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2.5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2.5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2.5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2.5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2.5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2.5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2.5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2.5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2.5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2.5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2.5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2.5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2.5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2.5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2.5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2.5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2.5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2.5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2.5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2.5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2.5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2.5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2.5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2.5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2.5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2.5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2.5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2.5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2.5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2.5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2.5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2.5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2.5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2.5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2.5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2.5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2.5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2.5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2.5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2.5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2.5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2.5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2.5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2.5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2.5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2.5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2.5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2.5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2.5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2.5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2.5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2.5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2.5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2.5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2.5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2.5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2.5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2.5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2.5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2.5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2.5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2.5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2.5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2.5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2.5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2.5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2.5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2.5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2.5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2.5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2.5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2.5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2.5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2.5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2.5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2.5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2.5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2.5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2.5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2.5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2.5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2.5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2.5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2.5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2.5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2.5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2.5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2.5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2.5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2.5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2.5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2.5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2.5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2.5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2.5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2.5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2.5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2.5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2.5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2.5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2.5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2.5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2.5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2.5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2.5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2.5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2.5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2.5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2.5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2.5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2.5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2.5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2.5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2.5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2.5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2.5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2.5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2.5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2.5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2.5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2.5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2.5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2.5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2.5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2.5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2.5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2.5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2.5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2.5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2.5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2.5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2.5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2.5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2.5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2.5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2.5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2.5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2.5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2.5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2.5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2.5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2.5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2.5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2.5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2.5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2.5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2.5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2.5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2.5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2.5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2.5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2.5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2.5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2.5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2.5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2.5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2.5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2.5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2.5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2.5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2.5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2.5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2.5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2.5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2.5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2.5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2.5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2.5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2.5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2.5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2.5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2.5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2.5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2.5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2.5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2.5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2.5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2.5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2.5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2.5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2.5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2.5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2.5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2.5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2.5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2.5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2.5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2.5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2.5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2.5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2.5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2.5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2.5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2.5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2.5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2.5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2.5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2.5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2.5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2.5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2.5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2.5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2.5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2.5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2.5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2.5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2.5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2.5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2.5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2.5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2.5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2.5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2.5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2.5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2.5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2.5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2.5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2.5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2.5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2.5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2.5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2.5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2.5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2.5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2.5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2.5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2.5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2.5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2.5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2.5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2.5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2.5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2.5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2.5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2.5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2.5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2.5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2.5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2.5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2.5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2.5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2.5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2.5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2.5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2.5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2.5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2.5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2.5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2.5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2.5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2.5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2.5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2.5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2.5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2.5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2.5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2.5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2.5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2.5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2.5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2.5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2.5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2.5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2.5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2.5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2.5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2.5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2.5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2.5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2.5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2.5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2.5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2.5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2.5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2.5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2.5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2.5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2.5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2.5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2.5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2.5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2.5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2.5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2.5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2.5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2.5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2.5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2.5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2.5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2.5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2.5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2.5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2.5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2.5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2.5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2.5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2.5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2.5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2.5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2.5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2.5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2.5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2.5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2.5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2.5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2.5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2.5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2.5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2.5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2.5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2.5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2.5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2.5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2.5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2.5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2.5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2.5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2.5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2.5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2.5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2.5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2.5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2.5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2.5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2.5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2.5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2.5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2.5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2.5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2.5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2.5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2.5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2.5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2.5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2.5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2.5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2.5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2.5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2.5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2.5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2.5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2.5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2.5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2.5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2.5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2.5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2.5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2.5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2.5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2.5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2.5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2.5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2.5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2.5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2.5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2.5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2.5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2.5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2.5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2.5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2.5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2.5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2.5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2.5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2.5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2.5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2.5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2.5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2.5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2.5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2.5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2.5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2.5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2.5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2.5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2.5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2.5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2.5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2.5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2.5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2.5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2.5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2.5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2.5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2.5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2.5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2.5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2.5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2.5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2.5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2.5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2.5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2.5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2.5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2.5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2.5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2.5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2.5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2.5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2.5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2.5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2.5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2.5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2.5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2.5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2.5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2.5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2.5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2.5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2.5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2.5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2.5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2.5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2.5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2.5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2.5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2.5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2.5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2.5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2.5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2.5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2.5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2.5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2.5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2.5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2.5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2.5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2.5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2.5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2.5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2.5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2.5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2.5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2.5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2.5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2.5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2.5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2.5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2.5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2.5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2.5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2.5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2.5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2.5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2.5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2.5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2.5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2.5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2.5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2.5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2.5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2.5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2.5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2.5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2.5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2.5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2.5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2.5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2.5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2.5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2.5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2.5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2.5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2.5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2.5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2.5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2.5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2.5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2.5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2.5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2.5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2.5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2.5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2.5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2.5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2.5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2.5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2.5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2.5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2.5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2.5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2.5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2.5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2.5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2.5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2.5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2.5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2.5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2.5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2.5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2.5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2.5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2.5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2.5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2.5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2.5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2.5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2.5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2.5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2.5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2.5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2.5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2.5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2.5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2.5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2.5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2.5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2.5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2.5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2.5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2.5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2.5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2.5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2.5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2.5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2.5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2.5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2.5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2.5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2.5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2.5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2.5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2.5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2.5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2.5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2.5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2.5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2.5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2.5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2.5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2.5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2.5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2.5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2.5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2.5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2.5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2.5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2.5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2.5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2.5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2.5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2.5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2.5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2.5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2.5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2.5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2.5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2.5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2.5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2.5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2.5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2.5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2.5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2.5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2.5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2.5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2.5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2.5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2.5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2.5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2.5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2.5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2.5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2.5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2.5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2.5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2.5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2.5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2.5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2.5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2.5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2.5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2.5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2.5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2.5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2.5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2.5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2.5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2.5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2.5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2.5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2.5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2.5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2.5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2.5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2.5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2.5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2.5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2.5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2.5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2.5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2.5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2.5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2.5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2.5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2.5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2.5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2.5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2.5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2.5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2.5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2.5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2.5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2.5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2.5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2.5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2.5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2.5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2.5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2.5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2.5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2.5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2.5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2.5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2.5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2.5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2.5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2.5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2.5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2.5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2.5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2.5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2.5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2.5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2.5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2.5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2.5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2.5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2.5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2.5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2.5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2.5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2.5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2.5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2.5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2.5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2.5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2.5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2.5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2.5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2.5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2.5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2.5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2.5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2.5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2.5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2.5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2.5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2.5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2.5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2.5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2.5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2.5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2.5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2.5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2.5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2.5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2.5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2.5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2.5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2.5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2.5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2.5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2.5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2.5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2.5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2.5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2.5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2.5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2.5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2.5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2.5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2.5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2.5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2.5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2.5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2.5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2.5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2.5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2.5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2.5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2.5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2.5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2.5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2.5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2.5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2.5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2.5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2.5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2.5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2.5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2.5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2.5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2.5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2.5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2.5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2.5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2.5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2.5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2.5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2.5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2.5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2.5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2.5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2.5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2.5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2.5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2.5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2.5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2.5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2.5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2.5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2.5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2.5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2.5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2.5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2.5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2.5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2.5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2.5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2.5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2.5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2.5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2.5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2.5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2.5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2.5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2.5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2.5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2.5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2.5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2.5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2.5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2.5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2.5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2.5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2.5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2.5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2.5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2.5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2.5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2.5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2.5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2.5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2.5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2.5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2.5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2.5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2.5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2.5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2.5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2.5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2.5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2.5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2.5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2.5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2.5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2.5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2.5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2.5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2.5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2.5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2.5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2.5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2.5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2.5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2.5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2.5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2.5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2.5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2.5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2.5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2.5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2.5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2.5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2.5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2.5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2.5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2.5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2.5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2.5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2.5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2.5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2.5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2.5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2.5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2.5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2.5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2.5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2.5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2.5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2.5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2.5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2.5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2.5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2.5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2.5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2.5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2.5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2.5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2.5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2.5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2.5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2.5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2.5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2.5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2.5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2.5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2.5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2.5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2.5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2.5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2.5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2.5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2.5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2.5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2.5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2.5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2.5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 spans="1:27" ht="12.5" x14ac:dyDescent="0.2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 spans="1:27" ht="12.5" x14ac:dyDescent="0.2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 spans="1:27" ht="12.5" x14ac:dyDescent="0.2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 spans="1:27" ht="12.5" x14ac:dyDescent="0.2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1:27" ht="12.5" x14ac:dyDescent="0.2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1:27" ht="12.5" x14ac:dyDescent="0.25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 spans="1:27" ht="12.5" x14ac:dyDescent="0.25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 spans="1:27" ht="12.5" x14ac:dyDescent="0.25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 spans="1:27" ht="12.5" x14ac:dyDescent="0.25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 spans="1:27" ht="12.5" x14ac:dyDescent="0.25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r="1011" spans="1:27" ht="12.5" x14ac:dyDescent="0.25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r="1012" spans="1:27" ht="12.5" x14ac:dyDescent="0.25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</sheetData>
  <mergeCells count="1">
    <mergeCell ref="A1:C1"/>
  </mergeCell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Sheet2!$A$1:$A$3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3"/>
  <sheetViews>
    <sheetView workbookViewId="0"/>
  </sheetViews>
  <sheetFormatPr defaultColWidth="14.453125" defaultRowHeight="15.75" customHeight="1" x14ac:dyDescent="0.25"/>
  <cols>
    <col min="1" max="1" width="73.7265625" customWidth="1"/>
  </cols>
  <sheetData>
    <row r="1" spans="1:1" ht="15.75" customHeight="1" x14ac:dyDescent="0.25">
      <c r="A1" s="1" t="s">
        <v>24</v>
      </c>
    </row>
    <row r="2" spans="1:1" ht="15.75" customHeight="1" x14ac:dyDescent="0.25">
      <c r="A2" t="s">
        <v>25</v>
      </c>
    </row>
    <row r="3" spans="1:1" ht="15.75" customHeight="1" x14ac:dyDescent="0.25">
      <c r="A3" t="s">
        <v>26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10"/>
  <sheetViews>
    <sheetView workbookViewId="0"/>
  </sheetViews>
  <sheetFormatPr defaultColWidth="14.453125" defaultRowHeight="15.75" customHeight="1" x14ac:dyDescent="0.25"/>
  <cols>
    <col min="1" max="1" width="31.81640625" customWidth="1"/>
    <col min="2" max="2" width="70.1796875" customWidth="1"/>
    <col min="3" max="3" width="21.7265625" customWidth="1"/>
    <col min="4" max="4" width="8.453125" customWidth="1"/>
    <col min="5" max="5" width="63" customWidth="1"/>
    <col min="6" max="6" width="16.453125" customWidth="1"/>
  </cols>
  <sheetData>
    <row r="1" spans="1:27" ht="15.75" customHeight="1" x14ac:dyDescent="0.25">
      <c r="A1" s="26" t="s">
        <v>0</v>
      </c>
      <c r="B1" s="27"/>
      <c r="C1" s="27"/>
      <c r="D1" s="27"/>
      <c r="E1" s="27"/>
      <c r="F1" s="27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ht="15.75" customHeight="1" x14ac:dyDescent="0.25">
      <c r="A2" s="2"/>
      <c r="B2" s="4"/>
      <c r="C2" s="4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</row>
    <row r="3" spans="1:27" ht="15.75" customHeight="1" x14ac:dyDescent="0.25">
      <c r="A3" s="2" t="s">
        <v>1</v>
      </c>
      <c r="B3" s="3" t="s">
        <v>2</v>
      </c>
      <c r="C3" s="4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</row>
    <row r="4" spans="1:27" ht="15.75" customHeight="1" x14ac:dyDescent="0.25">
      <c r="A4" s="2" t="s">
        <v>3</v>
      </c>
      <c r="B4" s="4" t="s">
        <v>4</v>
      </c>
      <c r="C4" s="5"/>
      <c r="D4" s="17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</row>
    <row r="5" spans="1:27" ht="15.75" customHeight="1" x14ac:dyDescent="0.25">
      <c r="A5" s="2" t="s">
        <v>27</v>
      </c>
      <c r="B5" s="4" t="s">
        <v>6</v>
      </c>
      <c r="C5" s="5"/>
      <c r="D5" s="17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5.75" customHeight="1" x14ac:dyDescent="0.25">
      <c r="A6" s="2"/>
      <c r="B6" s="4"/>
      <c r="C6" s="5"/>
      <c r="D6" s="17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</row>
    <row r="7" spans="1:27" ht="15.75" customHeight="1" x14ac:dyDescent="0.25">
      <c r="A7" s="2" t="s">
        <v>7</v>
      </c>
      <c r="B7" s="4" t="s">
        <v>8</v>
      </c>
      <c r="C7" s="16"/>
      <c r="D7" s="1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</row>
    <row r="8" spans="1:27" ht="15.75" customHeight="1" x14ac:dyDescent="0.25">
      <c r="A8" s="2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</row>
    <row r="9" spans="1:27" ht="15.75" customHeight="1" x14ac:dyDescent="0.25">
      <c r="A9" s="2" t="s">
        <v>9</v>
      </c>
      <c r="B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</row>
    <row r="10" spans="1:27" ht="15.75" customHeight="1" x14ac:dyDescent="0.25">
      <c r="A10" s="2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</row>
    <row r="11" spans="1:27" ht="15.75" customHeight="1" x14ac:dyDescent="0.25">
      <c r="A11" s="2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</row>
    <row r="12" spans="1:27" ht="15.75" customHeight="1" x14ac:dyDescent="0.25">
      <c r="A12" s="6" t="s">
        <v>28</v>
      </c>
      <c r="B12" s="19"/>
      <c r="C12" s="19"/>
      <c r="D12" s="16"/>
      <c r="E12" s="7" t="s">
        <v>29</v>
      </c>
      <c r="F12" s="21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</row>
    <row r="13" spans="1:27" ht="15.75" customHeight="1" x14ac:dyDescent="0.4">
      <c r="A13" s="2"/>
      <c r="B13" s="2" t="s">
        <v>10</v>
      </c>
      <c r="C13" s="8"/>
      <c r="D13" s="16"/>
      <c r="E13" s="9" t="s">
        <v>30</v>
      </c>
      <c r="F13" s="22">
        <f>C13+C28+C43</f>
        <v>0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</row>
    <row r="14" spans="1:27" ht="15.75" customHeight="1" x14ac:dyDescent="0.25">
      <c r="A14" s="2"/>
      <c r="B14" s="16"/>
      <c r="C14" s="20"/>
      <c r="D14" s="16"/>
      <c r="E14" s="2" t="s">
        <v>16</v>
      </c>
      <c r="F14" s="23">
        <f>C19+C34+C49</f>
        <v>0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ht="15.75" customHeight="1" x14ac:dyDescent="0.25">
      <c r="A15" s="12" t="str">
        <f>HYPERLINK("https://docs.google.com/document/d/1e5CFLyUO-Lc-JRDH93WhjaSnzliJLRQyO_spuHuUcMA/edit#","Similarly Situated Subcontractors (SSS)")</f>
        <v>Similarly Situated Subcontractors (SSS)</v>
      </c>
      <c r="B15" s="4" t="s">
        <v>12</v>
      </c>
      <c r="C15" s="10"/>
      <c r="D15" s="16"/>
      <c r="E15" s="2" t="s">
        <v>22</v>
      </c>
      <c r="F15" s="23">
        <f>C25+C40+C55</f>
        <v>0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ht="15.75" customHeight="1" x14ac:dyDescent="0.25">
      <c r="A16" s="2"/>
      <c r="B16" s="4" t="s">
        <v>13</v>
      </c>
      <c r="C16" s="10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ht="15.75" customHeight="1" x14ac:dyDescent="0.25">
      <c r="A17" s="2"/>
      <c r="B17" s="4" t="s">
        <v>14</v>
      </c>
      <c r="C17" s="10"/>
      <c r="D17" s="16"/>
      <c r="E17" s="16" t="s">
        <v>31</v>
      </c>
      <c r="F17" s="13" t="e">
        <f>(F13-F15)/F13</f>
        <v>#DIV/0!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</row>
    <row r="18" spans="1:27" ht="15.75" customHeight="1" x14ac:dyDescent="0.25">
      <c r="A18" s="2"/>
      <c r="B18" s="4" t="s">
        <v>15</v>
      </c>
      <c r="C18" s="10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</row>
    <row r="19" spans="1:27" ht="15.75" customHeight="1" x14ac:dyDescent="0.25">
      <c r="A19" s="2"/>
      <c r="B19" s="2" t="s">
        <v>16</v>
      </c>
      <c r="C19" s="11">
        <f>SUM(C15:C18)</f>
        <v>0</v>
      </c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</row>
    <row r="20" spans="1:27" ht="18" x14ac:dyDescent="0.25">
      <c r="A20" s="2"/>
      <c r="B20" s="16"/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</row>
    <row r="21" spans="1:27" ht="36" x14ac:dyDescent="0.25">
      <c r="A21" s="2" t="s">
        <v>17</v>
      </c>
      <c r="B21" s="4" t="s">
        <v>18</v>
      </c>
      <c r="C21" s="10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</row>
    <row r="22" spans="1:27" ht="15.5" x14ac:dyDescent="0.25">
      <c r="A22" s="4"/>
      <c r="B22" s="4" t="s">
        <v>19</v>
      </c>
      <c r="C22" s="1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3" spans="1:27" ht="15.5" x14ac:dyDescent="0.25">
      <c r="A23" s="4"/>
      <c r="B23" s="4" t="s">
        <v>20</v>
      </c>
      <c r="C23" s="10"/>
      <c r="D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4" spans="1:27" ht="15.5" x14ac:dyDescent="0.25">
      <c r="A24" s="4"/>
      <c r="B24" s="4" t="s">
        <v>21</v>
      </c>
      <c r="C24" s="10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  <row r="25" spans="1:27" ht="18" x14ac:dyDescent="0.25">
      <c r="A25" s="16"/>
      <c r="B25" s="2" t="s">
        <v>22</v>
      </c>
      <c r="C25" s="11">
        <f>SUM(C21:C24)</f>
        <v>0</v>
      </c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6" spans="1:27" ht="12.5" x14ac:dyDescent="0.25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</row>
    <row r="27" spans="1:27" ht="18" x14ac:dyDescent="0.25">
      <c r="A27" s="14" t="s">
        <v>32</v>
      </c>
      <c r="B27" s="24"/>
      <c r="C27" s="24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</row>
    <row r="28" spans="1:27" ht="36" x14ac:dyDescent="0.25">
      <c r="A28" s="2"/>
      <c r="B28" s="2" t="s">
        <v>10</v>
      </c>
      <c r="C28" s="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</row>
    <row r="29" spans="1:27" ht="18" x14ac:dyDescent="0.25">
      <c r="A29" s="2"/>
      <c r="B29" s="16"/>
      <c r="C29" s="20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</row>
    <row r="30" spans="1:27" ht="36" x14ac:dyDescent="0.25">
      <c r="A30" s="2" t="s">
        <v>11</v>
      </c>
      <c r="B30" s="4" t="s">
        <v>18</v>
      </c>
      <c r="C30" s="10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</row>
    <row r="31" spans="1:27" ht="18" x14ac:dyDescent="0.25">
      <c r="A31" s="2"/>
      <c r="B31" s="4" t="s">
        <v>19</v>
      </c>
      <c r="C31" s="10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8" x14ac:dyDescent="0.25">
      <c r="A32" s="2"/>
      <c r="B32" s="4" t="s">
        <v>20</v>
      </c>
      <c r="C32" s="10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</row>
    <row r="33" spans="1:27" ht="18" x14ac:dyDescent="0.25">
      <c r="A33" s="2"/>
      <c r="B33" s="4" t="s">
        <v>21</v>
      </c>
      <c r="C33" s="10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</row>
    <row r="34" spans="1:27" ht="18" x14ac:dyDescent="0.25">
      <c r="A34" s="2"/>
      <c r="B34" s="2" t="s">
        <v>16</v>
      </c>
      <c r="C34" s="11">
        <f>SUM(C30:C33)</f>
        <v>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</row>
    <row r="35" spans="1:27" ht="18" x14ac:dyDescent="0.25">
      <c r="A35" s="2"/>
      <c r="B35" s="16"/>
      <c r="C35" s="20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</row>
    <row r="36" spans="1:27" ht="36" x14ac:dyDescent="0.25">
      <c r="A36" s="2" t="s">
        <v>17</v>
      </c>
      <c r="B36" s="4" t="s">
        <v>18</v>
      </c>
      <c r="C36" s="10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</row>
    <row r="37" spans="1:27" ht="15.5" x14ac:dyDescent="0.25">
      <c r="A37" s="4"/>
      <c r="B37" s="4" t="s">
        <v>19</v>
      </c>
      <c r="C37" s="10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</row>
    <row r="38" spans="1:27" ht="15.5" x14ac:dyDescent="0.25">
      <c r="A38" s="4"/>
      <c r="B38" s="4" t="s">
        <v>20</v>
      </c>
      <c r="C38" s="10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</row>
    <row r="39" spans="1:27" ht="15.5" x14ac:dyDescent="0.25">
      <c r="A39" s="4"/>
      <c r="B39" s="4" t="s">
        <v>21</v>
      </c>
      <c r="C39" s="10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</row>
    <row r="40" spans="1:27" ht="18" x14ac:dyDescent="0.25">
      <c r="A40" s="16"/>
      <c r="B40" s="2" t="s">
        <v>22</v>
      </c>
      <c r="C40" s="11">
        <f>SUM(C36:C39)</f>
        <v>0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</row>
    <row r="41" spans="1:27" ht="12.5" x14ac:dyDescent="0.2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</row>
    <row r="42" spans="1:27" ht="18" x14ac:dyDescent="0.25">
      <c r="A42" s="15" t="s">
        <v>33</v>
      </c>
      <c r="B42" s="25"/>
      <c r="C42" s="25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</row>
    <row r="43" spans="1:27" ht="36" x14ac:dyDescent="0.25">
      <c r="A43" s="2"/>
      <c r="B43" s="2" t="s">
        <v>10</v>
      </c>
      <c r="C43" s="8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</row>
    <row r="44" spans="1:27" ht="18" x14ac:dyDescent="0.25">
      <c r="A44" s="2"/>
      <c r="B44" s="16"/>
      <c r="C44" s="20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</row>
    <row r="45" spans="1:27" ht="36" x14ac:dyDescent="0.25">
      <c r="A45" s="2" t="s">
        <v>11</v>
      </c>
      <c r="B45" s="4" t="s">
        <v>18</v>
      </c>
      <c r="C45" s="10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</row>
    <row r="46" spans="1:27" ht="18" x14ac:dyDescent="0.25">
      <c r="A46" s="2"/>
      <c r="B46" s="4" t="s">
        <v>19</v>
      </c>
      <c r="C46" s="10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</row>
    <row r="47" spans="1:27" ht="18" x14ac:dyDescent="0.25">
      <c r="A47" s="2"/>
      <c r="B47" s="4" t="s">
        <v>20</v>
      </c>
      <c r="C47" s="10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</row>
    <row r="48" spans="1:27" ht="18" x14ac:dyDescent="0.25">
      <c r="A48" s="2"/>
      <c r="B48" s="4" t="s">
        <v>21</v>
      </c>
      <c r="C48" s="10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</row>
    <row r="49" spans="1:27" ht="18" x14ac:dyDescent="0.25">
      <c r="A49" s="2"/>
      <c r="B49" s="2" t="s">
        <v>16</v>
      </c>
      <c r="C49" s="11">
        <f>SUM(C45:C48)</f>
        <v>0</v>
      </c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</row>
    <row r="50" spans="1:27" ht="18" x14ac:dyDescent="0.25">
      <c r="A50" s="2"/>
      <c r="B50" s="16"/>
      <c r="C50" s="20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</row>
    <row r="51" spans="1:27" ht="36" x14ac:dyDescent="0.25">
      <c r="A51" s="2" t="s">
        <v>17</v>
      </c>
      <c r="B51" s="4" t="s">
        <v>18</v>
      </c>
      <c r="C51" s="10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</row>
    <row r="52" spans="1:27" ht="15.5" x14ac:dyDescent="0.25">
      <c r="A52" s="4"/>
      <c r="B52" s="4" t="s">
        <v>19</v>
      </c>
      <c r="C52" s="10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</row>
    <row r="53" spans="1:27" ht="15.5" x14ac:dyDescent="0.25">
      <c r="A53" s="4"/>
      <c r="B53" s="4" t="s">
        <v>20</v>
      </c>
      <c r="C53" s="10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</row>
    <row r="54" spans="1:27" ht="15.5" x14ac:dyDescent="0.25">
      <c r="A54" s="4"/>
      <c r="B54" s="4" t="s">
        <v>21</v>
      </c>
      <c r="C54" s="10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</row>
    <row r="55" spans="1:27" ht="18" x14ac:dyDescent="0.25">
      <c r="A55" s="16"/>
      <c r="B55" s="2" t="s">
        <v>22</v>
      </c>
      <c r="C55" s="11">
        <f>SUM(C51:C54)</f>
        <v>0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</row>
    <row r="56" spans="1:27" ht="12.5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</row>
    <row r="57" spans="1:27" ht="12.5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</row>
    <row r="58" spans="1:27" ht="12.5" x14ac:dyDescent="0.25">
      <c r="A58" s="28" t="s">
        <v>34</v>
      </c>
      <c r="B58" s="27"/>
      <c r="C58" s="27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</row>
    <row r="59" spans="1:27" ht="12.5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</row>
    <row r="60" spans="1:27" ht="12.5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</row>
    <row r="61" spans="1:27" ht="12.5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</row>
    <row r="62" spans="1:27" ht="12.5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</row>
    <row r="63" spans="1:27" ht="12.5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</row>
    <row r="64" spans="1:27" ht="12.5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</row>
    <row r="65" spans="1:27" ht="12.5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</row>
    <row r="66" spans="1:27" ht="12.5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</row>
    <row r="67" spans="1:27" ht="12.5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</row>
    <row r="68" spans="1:27" ht="12.5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</row>
    <row r="69" spans="1:27" ht="12.5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</row>
    <row r="70" spans="1:27" ht="12.5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</row>
    <row r="71" spans="1:27" ht="12.5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</row>
    <row r="72" spans="1:27" ht="12.5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</row>
    <row r="73" spans="1:27" ht="12.5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</row>
    <row r="74" spans="1:27" ht="12.5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</row>
    <row r="75" spans="1:27" ht="12.5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</row>
    <row r="76" spans="1:27" ht="12.5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</row>
    <row r="77" spans="1:27" ht="12.5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</row>
    <row r="78" spans="1:27" ht="12.5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</row>
    <row r="79" spans="1:27" ht="12.5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</row>
    <row r="80" spans="1:27" ht="12.5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</row>
    <row r="81" spans="1:27" ht="12.5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</row>
    <row r="82" spans="1:27" ht="12.5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</row>
    <row r="83" spans="1:27" ht="12.5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</row>
    <row r="84" spans="1:27" ht="12.5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</row>
    <row r="85" spans="1:27" ht="12.5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</row>
    <row r="86" spans="1:27" ht="12.5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</row>
    <row r="87" spans="1:27" ht="12.5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</row>
    <row r="88" spans="1:27" ht="12.5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</row>
    <row r="89" spans="1:27" ht="12.5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</row>
    <row r="90" spans="1:27" ht="12.5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</row>
    <row r="91" spans="1:27" ht="12.5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</row>
    <row r="92" spans="1:27" ht="12.5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</row>
    <row r="93" spans="1:27" ht="12.5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</row>
    <row r="94" spans="1:27" ht="12.5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</row>
    <row r="95" spans="1:27" ht="12.5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</row>
    <row r="96" spans="1:27" ht="12.5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</row>
    <row r="97" spans="1:27" ht="12.5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</row>
    <row r="98" spans="1:27" ht="12.5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</row>
    <row r="99" spans="1:27" ht="12.5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</row>
    <row r="100" spans="1:27" ht="12.5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</row>
    <row r="101" spans="1:27" ht="12.5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</row>
    <row r="102" spans="1:27" ht="12.5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</row>
    <row r="103" spans="1:27" ht="12.5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</row>
    <row r="104" spans="1:27" ht="12.5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</row>
    <row r="105" spans="1:27" ht="12.5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</row>
    <row r="106" spans="1:27" ht="12.5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</row>
    <row r="107" spans="1:27" ht="12.5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</row>
    <row r="108" spans="1:27" ht="12.5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</row>
    <row r="109" spans="1:27" ht="12.5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</row>
    <row r="110" spans="1:27" ht="12.5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</row>
    <row r="111" spans="1:27" ht="12.5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</row>
    <row r="112" spans="1:27" ht="12.5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</row>
    <row r="113" spans="1:27" ht="12.5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</row>
    <row r="114" spans="1:27" ht="12.5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</row>
    <row r="115" spans="1:27" ht="12.5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</row>
    <row r="116" spans="1:27" ht="12.5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</row>
    <row r="117" spans="1:27" ht="12.5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</row>
    <row r="118" spans="1:27" ht="12.5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</row>
    <row r="119" spans="1:27" ht="12.5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</row>
    <row r="120" spans="1:27" ht="12.5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</row>
    <row r="121" spans="1:27" ht="12.5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</row>
    <row r="122" spans="1:27" ht="12.5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</row>
    <row r="123" spans="1:27" ht="12.5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</row>
    <row r="124" spans="1:27" ht="12.5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</row>
    <row r="125" spans="1:27" ht="12.5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</row>
    <row r="126" spans="1:27" ht="12.5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</row>
    <row r="127" spans="1:27" ht="12.5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</row>
    <row r="128" spans="1:27" ht="12.5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</row>
    <row r="129" spans="1:27" ht="12.5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</row>
    <row r="130" spans="1:27" ht="12.5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</row>
    <row r="131" spans="1:27" ht="12.5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</row>
    <row r="132" spans="1:27" ht="12.5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</row>
    <row r="133" spans="1:27" ht="12.5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</row>
    <row r="134" spans="1:27" ht="12.5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</row>
    <row r="135" spans="1:27" ht="12.5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</row>
    <row r="136" spans="1:27" ht="12.5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</row>
    <row r="137" spans="1:27" ht="12.5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</row>
    <row r="138" spans="1:27" ht="12.5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</row>
    <row r="139" spans="1:27" ht="12.5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</row>
    <row r="140" spans="1:27" ht="12.5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</row>
    <row r="141" spans="1:27" ht="12.5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</row>
    <row r="142" spans="1:27" ht="12.5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</row>
    <row r="143" spans="1:27" ht="12.5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</row>
    <row r="144" spans="1:27" ht="12.5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</row>
    <row r="145" spans="1:27" ht="12.5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</row>
    <row r="146" spans="1:27" ht="12.5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</row>
    <row r="147" spans="1:27" ht="12.5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</row>
    <row r="148" spans="1:27" ht="12.5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</row>
    <row r="149" spans="1:27" ht="12.5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</row>
    <row r="150" spans="1:27" ht="12.5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</row>
    <row r="151" spans="1:27" ht="12.5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</row>
    <row r="152" spans="1:27" ht="12.5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</row>
    <row r="153" spans="1:27" ht="12.5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</row>
    <row r="154" spans="1:27" ht="12.5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</row>
    <row r="155" spans="1:27" ht="12.5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</row>
    <row r="156" spans="1:27" ht="12.5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</row>
    <row r="157" spans="1:27" ht="12.5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</row>
    <row r="158" spans="1:27" ht="12.5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</row>
    <row r="159" spans="1:27" ht="12.5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</row>
    <row r="160" spans="1:27" ht="12.5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</row>
    <row r="161" spans="1:27" ht="12.5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</row>
    <row r="162" spans="1:27" ht="12.5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</row>
    <row r="163" spans="1:27" ht="12.5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</row>
    <row r="164" spans="1:27" ht="12.5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</row>
    <row r="165" spans="1:27" ht="12.5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</row>
    <row r="166" spans="1:27" ht="12.5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</row>
    <row r="167" spans="1:27" ht="12.5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</row>
    <row r="168" spans="1:27" ht="12.5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</row>
    <row r="169" spans="1:27" ht="12.5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</row>
    <row r="170" spans="1:27" ht="12.5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</row>
    <row r="171" spans="1:27" ht="12.5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</row>
    <row r="172" spans="1:27" ht="12.5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</row>
    <row r="173" spans="1:27" ht="12.5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</row>
    <row r="174" spans="1:27" ht="12.5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</row>
    <row r="175" spans="1:27" ht="12.5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</row>
    <row r="176" spans="1:27" ht="12.5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</row>
    <row r="177" spans="1:27" ht="12.5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</row>
    <row r="178" spans="1:27" ht="12.5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</row>
    <row r="179" spans="1:27" ht="12.5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</row>
    <row r="180" spans="1:27" ht="12.5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</row>
    <row r="181" spans="1:27" ht="12.5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</row>
    <row r="182" spans="1:27" ht="12.5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</row>
    <row r="183" spans="1:27" ht="12.5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</row>
    <row r="184" spans="1:27" ht="12.5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</row>
    <row r="185" spans="1:27" ht="12.5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</row>
    <row r="186" spans="1:27" ht="12.5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</row>
    <row r="187" spans="1:27" ht="12.5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</row>
    <row r="188" spans="1:27" ht="12.5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</row>
    <row r="189" spans="1:27" ht="12.5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</row>
    <row r="190" spans="1:27" ht="12.5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</row>
    <row r="191" spans="1:27" ht="12.5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</row>
    <row r="192" spans="1:27" ht="12.5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</row>
    <row r="193" spans="1:27" ht="12.5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</row>
    <row r="194" spans="1:27" ht="12.5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</row>
    <row r="195" spans="1:27" ht="12.5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</row>
    <row r="196" spans="1:27" ht="12.5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</row>
    <row r="197" spans="1:27" ht="12.5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</row>
    <row r="198" spans="1:27" ht="12.5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</row>
    <row r="199" spans="1:27" ht="12.5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</row>
    <row r="200" spans="1:27" ht="12.5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</row>
    <row r="201" spans="1:27" ht="12.5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</row>
    <row r="202" spans="1:27" ht="12.5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</row>
    <row r="203" spans="1:27" ht="12.5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</row>
    <row r="204" spans="1:27" ht="12.5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</row>
    <row r="205" spans="1:27" ht="12.5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</row>
    <row r="206" spans="1:27" ht="12.5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</row>
    <row r="207" spans="1:27" ht="12.5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</row>
    <row r="208" spans="1:27" ht="12.5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</row>
    <row r="209" spans="1:27" ht="12.5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</row>
    <row r="210" spans="1:27" ht="12.5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</row>
    <row r="211" spans="1:27" ht="12.5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</row>
    <row r="212" spans="1:27" ht="12.5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</row>
    <row r="213" spans="1:27" ht="12.5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</row>
    <row r="214" spans="1:27" ht="12.5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</row>
    <row r="215" spans="1:27" ht="12.5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</row>
    <row r="216" spans="1:27" ht="12.5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</row>
    <row r="217" spans="1:27" ht="12.5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</row>
    <row r="218" spans="1:27" ht="12.5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</row>
    <row r="219" spans="1:27" ht="12.5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</row>
    <row r="220" spans="1:27" ht="12.5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</row>
    <row r="221" spans="1:27" ht="12.5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</row>
    <row r="222" spans="1:27" ht="12.5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</row>
    <row r="223" spans="1:27" ht="12.5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</row>
    <row r="224" spans="1:27" ht="12.5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</row>
    <row r="225" spans="1:27" ht="12.5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</row>
    <row r="226" spans="1:27" ht="12.5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</row>
    <row r="227" spans="1:27" ht="12.5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</row>
    <row r="228" spans="1:27" ht="12.5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</row>
    <row r="229" spans="1:27" ht="12.5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</row>
    <row r="230" spans="1:27" ht="12.5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</row>
    <row r="231" spans="1:27" ht="12.5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</row>
    <row r="232" spans="1:27" ht="12.5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</row>
    <row r="233" spans="1:27" ht="12.5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</row>
    <row r="234" spans="1:27" ht="12.5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</row>
    <row r="235" spans="1:27" ht="12.5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</row>
    <row r="236" spans="1:27" ht="12.5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</row>
    <row r="237" spans="1:27" ht="12.5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</row>
    <row r="238" spans="1:27" ht="12.5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</row>
    <row r="239" spans="1:27" ht="12.5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</row>
    <row r="240" spans="1:27" ht="12.5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</row>
    <row r="241" spans="1:27" ht="12.5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</row>
    <row r="242" spans="1:27" ht="12.5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</row>
    <row r="243" spans="1:27" ht="12.5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</row>
    <row r="244" spans="1:27" ht="12.5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</row>
    <row r="245" spans="1:27" ht="12.5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</row>
    <row r="246" spans="1:27" ht="12.5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</row>
    <row r="247" spans="1:27" ht="12.5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</row>
    <row r="248" spans="1:27" ht="12.5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</row>
    <row r="249" spans="1:27" ht="12.5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</row>
    <row r="250" spans="1:27" ht="12.5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</row>
    <row r="251" spans="1:27" ht="12.5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</row>
    <row r="252" spans="1:27" ht="12.5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6"/>
    </row>
    <row r="253" spans="1:27" ht="12.5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6"/>
    </row>
    <row r="254" spans="1:27" ht="12.5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6"/>
    </row>
    <row r="255" spans="1:27" ht="12.5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6"/>
    </row>
    <row r="256" spans="1:27" ht="12.5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6"/>
    </row>
    <row r="257" spans="1:27" ht="12.5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6"/>
    </row>
    <row r="258" spans="1:27" ht="12.5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6"/>
    </row>
    <row r="259" spans="1:27" ht="12.5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6"/>
    </row>
    <row r="260" spans="1:27" ht="12.5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6"/>
    </row>
    <row r="261" spans="1:27" ht="12.5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6"/>
    </row>
    <row r="262" spans="1:27" ht="12.5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6"/>
    </row>
    <row r="263" spans="1:27" ht="12.5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6"/>
    </row>
    <row r="264" spans="1:27" ht="12.5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6"/>
    </row>
    <row r="265" spans="1:27" ht="12.5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6"/>
    </row>
    <row r="266" spans="1:27" ht="12.5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6"/>
    </row>
    <row r="267" spans="1:27" ht="12.5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6"/>
    </row>
    <row r="268" spans="1:27" ht="12.5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6"/>
    </row>
    <row r="269" spans="1:27" ht="12.5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6"/>
    </row>
    <row r="270" spans="1:27" ht="12.5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6"/>
    </row>
    <row r="271" spans="1:27" ht="12.5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6"/>
    </row>
    <row r="272" spans="1:27" ht="12.5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6"/>
    </row>
    <row r="273" spans="1:27" ht="12.5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6"/>
    </row>
    <row r="274" spans="1:27" ht="12.5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6"/>
    </row>
    <row r="275" spans="1:27" ht="12.5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6"/>
    </row>
    <row r="276" spans="1:27" ht="12.5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6"/>
    </row>
    <row r="277" spans="1:27" ht="12.5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6"/>
    </row>
    <row r="278" spans="1:27" ht="12.5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6"/>
    </row>
    <row r="279" spans="1:27" ht="12.5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6"/>
    </row>
    <row r="280" spans="1:27" ht="12.5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6"/>
    </row>
    <row r="281" spans="1:27" ht="12.5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6"/>
    </row>
    <row r="282" spans="1:27" ht="12.5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6"/>
    </row>
    <row r="283" spans="1:27" ht="12.5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6"/>
    </row>
    <row r="284" spans="1:27" ht="12.5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6"/>
    </row>
    <row r="285" spans="1:27" ht="12.5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6"/>
    </row>
    <row r="286" spans="1:27" ht="12.5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6"/>
    </row>
    <row r="287" spans="1:27" ht="12.5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6"/>
    </row>
    <row r="288" spans="1:27" ht="12.5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6"/>
    </row>
    <row r="289" spans="1:27" ht="12.5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6"/>
    </row>
    <row r="290" spans="1:27" ht="12.5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6"/>
    </row>
    <row r="291" spans="1:27" ht="12.5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6"/>
    </row>
    <row r="292" spans="1:27" ht="12.5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6"/>
    </row>
    <row r="293" spans="1:27" ht="12.5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6"/>
    </row>
    <row r="294" spans="1:27" ht="12.5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6"/>
    </row>
    <row r="295" spans="1:27" ht="12.5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6"/>
    </row>
    <row r="296" spans="1:27" ht="12.5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6"/>
    </row>
    <row r="297" spans="1:27" ht="12.5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6"/>
    </row>
    <row r="298" spans="1:27" ht="12.5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6"/>
    </row>
    <row r="299" spans="1:27" ht="12.5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6"/>
    </row>
    <row r="300" spans="1:27" ht="12.5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6"/>
    </row>
    <row r="301" spans="1:27" ht="12.5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6"/>
    </row>
    <row r="302" spans="1:27" ht="12.5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6"/>
    </row>
    <row r="303" spans="1:27" ht="12.5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6"/>
    </row>
    <row r="304" spans="1:27" ht="12.5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6"/>
    </row>
    <row r="305" spans="1:27" ht="12.5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6"/>
    </row>
    <row r="306" spans="1:27" ht="12.5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6"/>
    </row>
    <row r="307" spans="1:27" ht="12.5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6"/>
    </row>
    <row r="308" spans="1:27" ht="12.5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6"/>
    </row>
    <row r="309" spans="1:27" ht="12.5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6"/>
    </row>
    <row r="310" spans="1:27" ht="12.5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6"/>
    </row>
    <row r="311" spans="1:27" ht="12.5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6"/>
    </row>
    <row r="312" spans="1:27" ht="12.5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6"/>
    </row>
    <row r="313" spans="1:27" ht="12.5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6"/>
    </row>
    <row r="314" spans="1:27" ht="12.5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6"/>
    </row>
    <row r="315" spans="1:27" ht="12.5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6"/>
    </row>
    <row r="316" spans="1:27" ht="12.5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6"/>
    </row>
    <row r="317" spans="1:27" ht="12.5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6"/>
    </row>
    <row r="318" spans="1:27" ht="12.5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6"/>
    </row>
    <row r="319" spans="1:27" ht="12.5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6"/>
    </row>
    <row r="320" spans="1:27" ht="12.5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6"/>
    </row>
    <row r="321" spans="1:27" ht="12.5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6"/>
    </row>
    <row r="322" spans="1:27" ht="12.5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6"/>
    </row>
    <row r="323" spans="1:27" ht="12.5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6"/>
    </row>
    <row r="324" spans="1:27" ht="12.5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6"/>
    </row>
    <row r="325" spans="1:27" ht="12.5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6"/>
    </row>
    <row r="326" spans="1:27" ht="12.5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6"/>
    </row>
    <row r="327" spans="1:27" ht="12.5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6"/>
    </row>
    <row r="328" spans="1:27" ht="12.5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6"/>
    </row>
    <row r="329" spans="1:27" ht="12.5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6"/>
    </row>
    <row r="330" spans="1:27" ht="12.5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6"/>
    </row>
    <row r="331" spans="1:27" ht="12.5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6"/>
    </row>
    <row r="332" spans="1:27" ht="12.5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6"/>
    </row>
    <row r="333" spans="1:27" ht="12.5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6"/>
    </row>
    <row r="334" spans="1:27" ht="12.5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6"/>
    </row>
    <row r="335" spans="1:27" ht="12.5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6"/>
    </row>
    <row r="336" spans="1:27" ht="12.5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6"/>
    </row>
    <row r="337" spans="1:27" ht="12.5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6"/>
    </row>
    <row r="338" spans="1:27" ht="12.5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6"/>
    </row>
    <row r="339" spans="1:27" ht="12.5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6"/>
    </row>
    <row r="340" spans="1:27" ht="12.5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6"/>
    </row>
    <row r="341" spans="1:27" ht="12.5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6"/>
    </row>
    <row r="342" spans="1:27" ht="12.5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6"/>
    </row>
    <row r="343" spans="1:27" ht="12.5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6"/>
    </row>
    <row r="344" spans="1:27" ht="12.5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6"/>
    </row>
    <row r="345" spans="1:27" ht="12.5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6"/>
    </row>
    <row r="346" spans="1:27" ht="12.5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6"/>
    </row>
    <row r="347" spans="1:27" ht="12.5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6"/>
    </row>
    <row r="348" spans="1:27" ht="12.5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6"/>
    </row>
    <row r="349" spans="1:27" ht="12.5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6"/>
    </row>
    <row r="350" spans="1:27" ht="12.5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6"/>
    </row>
    <row r="351" spans="1:27" ht="12.5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</row>
    <row r="352" spans="1:27" ht="12.5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6"/>
    </row>
    <row r="353" spans="1:27" ht="12.5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</row>
    <row r="354" spans="1:27" ht="12.5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6"/>
    </row>
    <row r="355" spans="1:27" ht="12.5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6"/>
    </row>
    <row r="356" spans="1:27" ht="12.5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6"/>
    </row>
    <row r="357" spans="1:27" ht="12.5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6"/>
    </row>
    <row r="358" spans="1:27" ht="12.5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6"/>
    </row>
    <row r="359" spans="1:27" ht="12.5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6"/>
    </row>
    <row r="360" spans="1:27" ht="12.5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6"/>
    </row>
    <row r="361" spans="1:27" ht="12.5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6"/>
    </row>
    <row r="362" spans="1:27" ht="12.5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6"/>
    </row>
    <row r="363" spans="1:27" ht="12.5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6"/>
    </row>
    <row r="364" spans="1:27" ht="12.5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6"/>
    </row>
    <row r="365" spans="1:27" ht="12.5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6"/>
    </row>
    <row r="366" spans="1:27" ht="12.5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6"/>
    </row>
    <row r="367" spans="1:27" ht="12.5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6"/>
    </row>
    <row r="368" spans="1:27" ht="12.5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6"/>
    </row>
    <row r="369" spans="1:27" ht="12.5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6"/>
    </row>
    <row r="370" spans="1:27" ht="12.5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6"/>
    </row>
    <row r="371" spans="1:27" ht="12.5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6"/>
    </row>
    <row r="372" spans="1:27" ht="12.5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6"/>
    </row>
    <row r="373" spans="1:27" ht="12.5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6"/>
    </row>
    <row r="374" spans="1:27" ht="12.5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6"/>
    </row>
    <row r="375" spans="1:27" ht="12.5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6"/>
    </row>
    <row r="376" spans="1:27" ht="12.5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6"/>
    </row>
    <row r="377" spans="1:27" ht="12.5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6"/>
    </row>
    <row r="378" spans="1:27" ht="12.5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6"/>
    </row>
    <row r="379" spans="1:27" ht="12.5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6"/>
    </row>
    <row r="380" spans="1:27" ht="12.5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6"/>
    </row>
    <row r="381" spans="1:27" ht="12.5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6"/>
    </row>
    <row r="382" spans="1:27" ht="12.5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6"/>
    </row>
    <row r="383" spans="1:27" ht="12.5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6"/>
    </row>
    <row r="384" spans="1:27" ht="12.5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6"/>
    </row>
    <row r="385" spans="1:27" ht="12.5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6"/>
    </row>
    <row r="386" spans="1:27" ht="12.5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6"/>
    </row>
    <row r="387" spans="1:27" ht="12.5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6"/>
    </row>
    <row r="388" spans="1:27" ht="12.5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6"/>
    </row>
    <row r="389" spans="1:27" ht="12.5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6"/>
    </row>
    <row r="390" spans="1:27" ht="12.5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6"/>
    </row>
    <row r="391" spans="1:27" ht="12.5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6"/>
    </row>
    <row r="392" spans="1:27" ht="12.5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6"/>
    </row>
    <row r="393" spans="1:27" ht="12.5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</row>
    <row r="394" spans="1:27" ht="12.5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</row>
    <row r="395" spans="1:27" ht="12.5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</row>
    <row r="396" spans="1:27" ht="12.5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</row>
    <row r="397" spans="1:27" ht="12.5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</row>
    <row r="398" spans="1:27" ht="12.5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</row>
    <row r="399" spans="1:27" ht="12.5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</row>
    <row r="400" spans="1:27" ht="12.5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</row>
    <row r="401" spans="1:27" ht="12.5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</row>
    <row r="402" spans="1:27" ht="12.5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</row>
    <row r="403" spans="1:27" ht="12.5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</row>
    <row r="404" spans="1:27" ht="12.5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</row>
    <row r="405" spans="1:27" ht="12.5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</row>
    <row r="406" spans="1:27" ht="12.5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</row>
    <row r="407" spans="1:27" ht="12.5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</row>
    <row r="408" spans="1:27" ht="12.5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</row>
    <row r="409" spans="1:27" ht="12.5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</row>
    <row r="410" spans="1:27" ht="12.5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</row>
    <row r="411" spans="1:27" ht="12.5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</row>
    <row r="412" spans="1:27" ht="12.5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</row>
    <row r="413" spans="1:27" ht="12.5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</row>
    <row r="414" spans="1:27" ht="12.5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</row>
    <row r="415" spans="1:27" ht="12.5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</row>
    <row r="416" spans="1:27" ht="12.5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</row>
    <row r="417" spans="1:27" ht="12.5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</row>
    <row r="418" spans="1:27" ht="12.5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</row>
    <row r="419" spans="1:27" ht="12.5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</row>
    <row r="420" spans="1:27" ht="12.5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</row>
    <row r="421" spans="1:27" ht="12.5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</row>
    <row r="422" spans="1:27" ht="12.5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</row>
    <row r="423" spans="1:27" ht="12.5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</row>
    <row r="424" spans="1:27" ht="12.5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</row>
    <row r="425" spans="1:27" ht="12.5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</row>
    <row r="426" spans="1:27" ht="12.5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</row>
    <row r="427" spans="1:27" ht="12.5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</row>
    <row r="428" spans="1:27" ht="12.5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</row>
    <row r="429" spans="1:27" ht="12.5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</row>
    <row r="430" spans="1:27" ht="12.5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</row>
    <row r="431" spans="1:27" ht="12.5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</row>
    <row r="432" spans="1:27" ht="12.5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</row>
    <row r="433" spans="1:27" ht="12.5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</row>
    <row r="434" spans="1:27" ht="12.5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</row>
    <row r="435" spans="1:27" ht="12.5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</row>
    <row r="436" spans="1:27" ht="12.5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</row>
    <row r="437" spans="1:27" ht="12.5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</row>
    <row r="438" spans="1:27" ht="12.5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</row>
    <row r="439" spans="1:27" ht="12.5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</row>
    <row r="440" spans="1:27" ht="12.5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</row>
    <row r="441" spans="1:27" ht="12.5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</row>
    <row r="442" spans="1:27" ht="12.5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</row>
    <row r="443" spans="1:27" ht="12.5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</row>
    <row r="444" spans="1:27" ht="12.5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</row>
    <row r="445" spans="1:27" ht="12.5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</row>
    <row r="446" spans="1:27" ht="12.5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</row>
    <row r="447" spans="1:27" ht="12.5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</row>
    <row r="448" spans="1:27" ht="12.5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</row>
    <row r="449" spans="1:27" ht="12.5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</row>
    <row r="450" spans="1:27" ht="12.5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</row>
    <row r="451" spans="1:27" ht="12.5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</row>
    <row r="452" spans="1:27" ht="12.5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</row>
    <row r="453" spans="1:27" ht="12.5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</row>
    <row r="454" spans="1:27" ht="12.5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</row>
    <row r="455" spans="1:27" ht="12.5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</row>
    <row r="456" spans="1:27" ht="12.5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</row>
    <row r="457" spans="1:27" ht="12.5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</row>
    <row r="458" spans="1:27" ht="12.5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</row>
    <row r="459" spans="1:27" ht="12.5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</row>
    <row r="460" spans="1:27" ht="12.5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</row>
    <row r="461" spans="1:27" ht="12.5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</row>
    <row r="462" spans="1:27" ht="12.5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</row>
    <row r="463" spans="1:27" ht="12.5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</row>
    <row r="464" spans="1:27" ht="12.5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</row>
    <row r="465" spans="1:27" ht="12.5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</row>
    <row r="466" spans="1:27" ht="12.5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</row>
    <row r="467" spans="1:27" ht="12.5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</row>
    <row r="468" spans="1:27" ht="12.5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</row>
    <row r="469" spans="1:27" ht="12.5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</row>
    <row r="470" spans="1:27" ht="12.5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</row>
    <row r="471" spans="1:27" ht="12.5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</row>
    <row r="472" spans="1:27" ht="12.5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</row>
    <row r="473" spans="1:27" ht="12.5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</row>
    <row r="474" spans="1:27" ht="12.5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</row>
    <row r="475" spans="1:27" ht="12.5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</row>
    <row r="476" spans="1:27" ht="12.5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</row>
    <row r="477" spans="1:27" ht="12.5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</row>
    <row r="478" spans="1:27" ht="12.5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</row>
    <row r="479" spans="1:27" ht="12.5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</row>
    <row r="480" spans="1:27" ht="12.5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</row>
    <row r="481" spans="1:27" ht="12.5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</row>
    <row r="482" spans="1:27" ht="12.5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</row>
    <row r="483" spans="1:27" ht="12.5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</row>
    <row r="484" spans="1:27" ht="12.5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</row>
    <row r="485" spans="1:27" ht="12.5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</row>
    <row r="486" spans="1:27" ht="12.5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</row>
    <row r="487" spans="1:27" ht="12.5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</row>
    <row r="488" spans="1:27" ht="12.5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</row>
    <row r="489" spans="1:27" ht="12.5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</row>
    <row r="490" spans="1:27" ht="12.5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</row>
    <row r="491" spans="1:27" ht="12.5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</row>
    <row r="492" spans="1:27" ht="12.5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</row>
    <row r="493" spans="1:27" ht="12.5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</row>
    <row r="494" spans="1:27" ht="12.5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</row>
    <row r="495" spans="1:27" ht="12.5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</row>
    <row r="496" spans="1:27" ht="12.5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</row>
    <row r="497" spans="1:27" ht="12.5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</row>
    <row r="498" spans="1:27" ht="12.5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</row>
    <row r="499" spans="1:27" ht="12.5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</row>
    <row r="500" spans="1:27" ht="12.5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</row>
    <row r="501" spans="1:27" ht="12.5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</row>
    <row r="502" spans="1:27" ht="12.5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</row>
    <row r="503" spans="1:27" ht="12.5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</row>
    <row r="504" spans="1:27" ht="12.5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</row>
    <row r="505" spans="1:27" ht="12.5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</row>
    <row r="506" spans="1:27" ht="12.5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</row>
    <row r="507" spans="1:27" ht="12.5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</row>
    <row r="508" spans="1:27" ht="12.5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</row>
    <row r="509" spans="1:27" ht="12.5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</row>
    <row r="510" spans="1:27" ht="12.5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</row>
    <row r="511" spans="1:27" ht="12.5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</row>
    <row r="512" spans="1:27" ht="12.5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</row>
    <row r="513" spans="1:27" ht="12.5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</row>
    <row r="514" spans="1:27" ht="12.5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</row>
    <row r="515" spans="1:27" ht="12.5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</row>
    <row r="516" spans="1:27" ht="12.5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</row>
    <row r="517" spans="1:27" ht="12.5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</row>
    <row r="518" spans="1:27" ht="12.5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</row>
    <row r="519" spans="1:27" ht="12.5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</row>
    <row r="520" spans="1:27" ht="12.5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</row>
    <row r="521" spans="1:27" ht="12.5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</row>
    <row r="522" spans="1:27" ht="12.5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</row>
    <row r="523" spans="1:27" ht="12.5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</row>
    <row r="524" spans="1:27" ht="12.5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</row>
    <row r="525" spans="1:27" ht="12.5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</row>
    <row r="526" spans="1:27" ht="12.5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</row>
    <row r="527" spans="1:27" ht="12.5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</row>
    <row r="528" spans="1:27" ht="12.5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</row>
    <row r="529" spans="1:27" ht="12.5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</row>
    <row r="530" spans="1:27" ht="12.5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</row>
    <row r="531" spans="1:27" ht="12.5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</row>
    <row r="532" spans="1:27" ht="12.5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</row>
    <row r="533" spans="1:27" ht="12.5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</row>
    <row r="534" spans="1:27" ht="12.5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</row>
    <row r="535" spans="1:27" ht="12.5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r="536" spans="1:27" ht="12.5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r="537" spans="1:27" ht="12.5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r="538" spans="1:27" ht="12.5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r="539" spans="1:27" ht="12.5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r="540" spans="1:27" ht="12.5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r="541" spans="1:27" ht="12.5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r="542" spans="1:27" ht="12.5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r="543" spans="1:27" ht="12.5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r="544" spans="1:27" ht="12.5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r="545" spans="1:27" ht="12.5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r="546" spans="1:27" ht="12.5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r="547" spans="1:27" ht="12.5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r="548" spans="1:27" ht="12.5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r="549" spans="1:27" ht="12.5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r="550" spans="1:27" ht="12.5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r="551" spans="1:27" ht="12.5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r="552" spans="1:27" ht="12.5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r="553" spans="1:27" ht="12.5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r="554" spans="1:27" ht="12.5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r="555" spans="1:27" ht="12.5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r="556" spans="1:27" ht="12.5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r="557" spans="1:27" ht="12.5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r="558" spans="1:27" ht="12.5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r="559" spans="1:27" ht="12.5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r="560" spans="1:27" ht="12.5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r="561" spans="1:27" ht="12.5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r="562" spans="1:27" ht="12.5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r="563" spans="1:27" ht="12.5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r="564" spans="1:27" ht="12.5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r="565" spans="1:27" ht="12.5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r="566" spans="1:27" ht="12.5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r="567" spans="1:27" ht="12.5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r="568" spans="1:27" ht="12.5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r="569" spans="1:27" ht="12.5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r="570" spans="1:27" ht="12.5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r="571" spans="1:27" ht="12.5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r="572" spans="1:27" ht="12.5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r="573" spans="1:27" ht="12.5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r="574" spans="1:27" ht="12.5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r="575" spans="1:27" ht="12.5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r="576" spans="1:27" ht="12.5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r="577" spans="1:27" ht="12.5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r="578" spans="1:27" ht="12.5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r="579" spans="1:27" ht="12.5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r="580" spans="1:27" ht="12.5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r="581" spans="1:27" ht="12.5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r="582" spans="1:27" ht="12.5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r="583" spans="1:27" ht="12.5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r="584" spans="1:27" ht="12.5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r="585" spans="1:27" ht="12.5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r="586" spans="1:27" ht="12.5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r="587" spans="1:27" ht="12.5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r="588" spans="1:27" ht="12.5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r="589" spans="1:27" ht="12.5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r="590" spans="1:27" ht="12.5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r="591" spans="1:27" ht="12.5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r="592" spans="1:27" ht="12.5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r="593" spans="1:27" ht="12.5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r="594" spans="1:27" ht="12.5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r="595" spans="1:27" ht="12.5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r="596" spans="1:27" ht="12.5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r="597" spans="1:27" ht="12.5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r="598" spans="1:27" ht="12.5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r="599" spans="1:27" ht="12.5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r="600" spans="1:27" ht="12.5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r="601" spans="1:27" ht="12.5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r="602" spans="1:27" ht="12.5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r="603" spans="1:27" ht="12.5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r="604" spans="1:27" ht="12.5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r="605" spans="1:27" ht="12.5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r="606" spans="1:27" ht="12.5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r="607" spans="1:27" ht="12.5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r="608" spans="1:27" ht="12.5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r="609" spans="1:27" ht="12.5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r="610" spans="1:27" ht="12.5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r="611" spans="1:27" ht="12.5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r="612" spans="1:27" ht="12.5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r="613" spans="1:27" ht="12.5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r="614" spans="1:27" ht="12.5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r="615" spans="1:27" ht="12.5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r="616" spans="1:27" ht="12.5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r="617" spans="1:27" ht="12.5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r="618" spans="1:27" ht="12.5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r="619" spans="1:27" ht="12.5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r="620" spans="1:27" ht="12.5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r="621" spans="1:27" ht="12.5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r="622" spans="1:27" ht="12.5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r="623" spans="1:27" ht="12.5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r="624" spans="1:27" ht="12.5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r="625" spans="1:27" ht="12.5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r="626" spans="1:27" ht="12.5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r="627" spans="1:27" ht="12.5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r="628" spans="1:27" ht="12.5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r="629" spans="1:27" ht="12.5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r="630" spans="1:27" ht="12.5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r="631" spans="1:27" ht="12.5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r="632" spans="1:27" ht="12.5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r="633" spans="1:27" ht="12.5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r="634" spans="1:27" ht="12.5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r="635" spans="1:27" ht="12.5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r="636" spans="1:27" ht="12.5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r="637" spans="1:27" ht="12.5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r="638" spans="1:27" ht="12.5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r="639" spans="1:27" ht="12.5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r="640" spans="1:27" ht="12.5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r="641" spans="1:27" ht="12.5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r="642" spans="1:27" ht="12.5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r="643" spans="1:27" ht="12.5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r="644" spans="1:27" ht="12.5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r="645" spans="1:27" ht="12.5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r="646" spans="1:27" ht="12.5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r="647" spans="1:27" ht="12.5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r="648" spans="1:27" ht="12.5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r="649" spans="1:27" ht="12.5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r="650" spans="1:27" ht="12.5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r="651" spans="1:27" ht="12.5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r="652" spans="1:27" ht="12.5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r="653" spans="1:27" ht="12.5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r="654" spans="1:27" ht="12.5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r="655" spans="1:27" ht="12.5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r="656" spans="1:27" ht="12.5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r="657" spans="1:27" ht="12.5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r="658" spans="1:27" ht="12.5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r="659" spans="1:27" ht="12.5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r="660" spans="1:27" ht="12.5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r="661" spans="1:27" ht="12.5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r="662" spans="1:27" ht="12.5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r="663" spans="1:27" ht="12.5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r="664" spans="1:27" ht="12.5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r="665" spans="1:27" ht="12.5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r="666" spans="1:27" ht="12.5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r="667" spans="1:27" ht="12.5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r="668" spans="1:27" ht="12.5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r="669" spans="1:27" ht="12.5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r="670" spans="1:27" ht="12.5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r="671" spans="1:27" ht="12.5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r="672" spans="1:27" ht="12.5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r="673" spans="1:27" ht="12.5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r="674" spans="1:27" ht="12.5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r="675" spans="1:27" ht="12.5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r="676" spans="1:27" ht="12.5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r="677" spans="1:27" ht="12.5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r="678" spans="1:27" ht="12.5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r="679" spans="1:27" ht="12.5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r="680" spans="1:27" ht="12.5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r="681" spans="1:27" ht="12.5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r="682" spans="1:27" ht="12.5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r="683" spans="1:27" ht="12.5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r="684" spans="1:27" ht="12.5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r="685" spans="1:27" ht="12.5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r="686" spans="1:27" ht="12.5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r="687" spans="1:27" ht="12.5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r="688" spans="1:27" ht="12.5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r="689" spans="1:27" ht="12.5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r="690" spans="1:27" ht="12.5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r="691" spans="1:27" ht="12.5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r="692" spans="1:27" ht="12.5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r="693" spans="1:27" ht="12.5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r="694" spans="1:27" ht="12.5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r="695" spans="1:27" ht="12.5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r="696" spans="1:27" ht="12.5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r="697" spans="1:27" ht="12.5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r="698" spans="1:27" ht="12.5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r="699" spans="1:27" ht="12.5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r="700" spans="1:27" ht="12.5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r="701" spans="1:27" ht="12.5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r="702" spans="1:27" ht="12.5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r="703" spans="1:27" ht="12.5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r="704" spans="1:27" ht="12.5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r="705" spans="1:27" ht="12.5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r="706" spans="1:27" ht="12.5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r="707" spans="1:27" ht="12.5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r="708" spans="1:27" ht="12.5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r="709" spans="1:27" ht="12.5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r="710" spans="1:27" ht="12.5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r="711" spans="1:27" ht="12.5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r="712" spans="1:27" ht="12.5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r="713" spans="1:27" ht="12.5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r="714" spans="1:27" ht="12.5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r="715" spans="1:27" ht="12.5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r="716" spans="1:27" ht="12.5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r="717" spans="1:27" ht="12.5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r="718" spans="1:27" ht="12.5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r="719" spans="1:27" ht="12.5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r="720" spans="1:27" ht="12.5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r="721" spans="1:27" ht="12.5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r="722" spans="1:27" ht="12.5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r="723" spans="1:27" ht="12.5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r="724" spans="1:27" ht="12.5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r="725" spans="1:27" ht="12.5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r="726" spans="1:27" ht="12.5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r="727" spans="1:27" ht="12.5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r="728" spans="1:27" ht="12.5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r="729" spans="1:27" ht="12.5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r="730" spans="1:27" ht="12.5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r="731" spans="1:27" ht="12.5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r="732" spans="1:27" ht="12.5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r="733" spans="1:27" ht="12.5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r="734" spans="1:27" ht="12.5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r="735" spans="1:27" ht="12.5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r="736" spans="1:27" ht="12.5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r="737" spans="1:27" ht="12.5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r="738" spans="1:27" ht="12.5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r="739" spans="1:27" ht="12.5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r="740" spans="1:27" ht="12.5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r="741" spans="1:27" ht="12.5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r="742" spans="1:27" ht="12.5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r="743" spans="1:27" ht="12.5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r="744" spans="1:27" ht="12.5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r="745" spans="1:27" ht="12.5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r="746" spans="1:27" ht="12.5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r="747" spans="1:27" ht="12.5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r="748" spans="1:27" ht="12.5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r="749" spans="1:27" ht="12.5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r="750" spans="1:27" ht="12.5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r="751" spans="1:27" ht="12.5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r="752" spans="1:27" ht="12.5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r="753" spans="1:27" ht="12.5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r="754" spans="1:27" ht="12.5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r="755" spans="1:27" ht="12.5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r="756" spans="1:27" ht="12.5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r="757" spans="1:27" ht="12.5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r="758" spans="1:27" ht="12.5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r="759" spans="1:27" ht="12.5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r="760" spans="1:27" ht="12.5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r="761" spans="1:27" ht="12.5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r="762" spans="1:27" ht="12.5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r="763" spans="1:27" ht="12.5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r="764" spans="1:27" ht="12.5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r="765" spans="1:27" ht="12.5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r="766" spans="1:27" ht="12.5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r="767" spans="1:27" ht="12.5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r="768" spans="1:27" ht="12.5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r="769" spans="1:27" ht="12.5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r="770" spans="1:27" ht="12.5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r="771" spans="1:27" ht="12.5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r="772" spans="1:27" ht="12.5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r="773" spans="1:27" ht="12.5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r="774" spans="1:27" ht="12.5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r="775" spans="1:27" ht="12.5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r="776" spans="1:27" ht="12.5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r="777" spans="1:27" ht="12.5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r="778" spans="1:27" ht="12.5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r="779" spans="1:27" ht="12.5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r="780" spans="1:27" ht="12.5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r="781" spans="1:27" ht="12.5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r="782" spans="1:27" ht="12.5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r="783" spans="1:27" ht="12.5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r="784" spans="1:27" ht="12.5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r="785" spans="1:27" ht="12.5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r="786" spans="1:27" ht="12.5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r="787" spans="1:27" ht="12.5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r="788" spans="1:27" ht="12.5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r="789" spans="1:27" ht="12.5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r="790" spans="1:27" ht="12.5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r="791" spans="1:27" ht="12.5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r="792" spans="1:27" ht="12.5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r="793" spans="1:27" ht="12.5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r="794" spans="1:27" ht="12.5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r="795" spans="1:27" ht="12.5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r="796" spans="1:27" ht="12.5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r="797" spans="1:27" ht="12.5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r="798" spans="1:27" ht="12.5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r="799" spans="1:27" ht="12.5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r="800" spans="1:27" ht="12.5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r="801" spans="1:27" ht="12.5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r="802" spans="1:27" ht="12.5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r="803" spans="1:27" ht="12.5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r="804" spans="1:27" ht="12.5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r="805" spans="1:27" ht="12.5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r="806" spans="1:27" ht="12.5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r="807" spans="1:27" ht="12.5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r="808" spans="1:27" ht="12.5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r="809" spans="1:27" ht="12.5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r="810" spans="1:27" ht="12.5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r="811" spans="1:27" ht="12.5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r="812" spans="1:27" ht="12.5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r="813" spans="1:27" ht="12.5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r="814" spans="1:27" ht="12.5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r="815" spans="1:27" ht="12.5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r="816" spans="1:27" ht="12.5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r="817" spans="1:27" ht="12.5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r="818" spans="1:27" ht="12.5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r="819" spans="1:27" ht="12.5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r="820" spans="1:27" ht="12.5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r="821" spans="1:27" ht="12.5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r="822" spans="1:27" ht="12.5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r="823" spans="1:27" ht="12.5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r="824" spans="1:27" ht="12.5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r="825" spans="1:27" ht="12.5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r="826" spans="1:27" ht="12.5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r="827" spans="1:27" ht="12.5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r="828" spans="1:27" ht="12.5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r="829" spans="1:27" ht="12.5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r="830" spans="1:27" ht="12.5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r="831" spans="1:27" ht="12.5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r="832" spans="1:27" ht="12.5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r="833" spans="1:27" ht="12.5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r="834" spans="1:27" ht="12.5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r="835" spans="1:27" ht="12.5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r="836" spans="1:27" ht="12.5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r="837" spans="1:27" ht="12.5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r="838" spans="1:27" ht="12.5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r="839" spans="1:27" ht="12.5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r="840" spans="1:27" ht="12.5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r="841" spans="1:27" ht="12.5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r="842" spans="1:27" ht="12.5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r="843" spans="1:27" ht="12.5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r="844" spans="1:27" ht="12.5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r="845" spans="1:27" ht="12.5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r="846" spans="1:27" ht="12.5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r="847" spans="1:27" ht="12.5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r="848" spans="1:27" ht="12.5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r="849" spans="1:27" ht="12.5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r="850" spans="1:27" ht="12.5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r="851" spans="1:27" ht="12.5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r="852" spans="1:27" ht="12.5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r="853" spans="1:27" ht="12.5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r="854" spans="1:27" ht="12.5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r="855" spans="1:27" ht="12.5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r="856" spans="1:27" ht="12.5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r="857" spans="1:27" ht="12.5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r="858" spans="1:27" ht="12.5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r="859" spans="1:27" ht="12.5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r="860" spans="1:27" ht="12.5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r="861" spans="1:27" ht="12.5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r="862" spans="1:27" ht="12.5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r="863" spans="1:27" ht="12.5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r="864" spans="1:27" ht="12.5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r="865" spans="1:27" ht="12.5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r="866" spans="1:27" ht="12.5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r="867" spans="1:27" ht="12.5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r="868" spans="1:27" ht="12.5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r="869" spans="1:27" ht="12.5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r="870" spans="1:27" ht="12.5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r="871" spans="1:27" ht="12.5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r="872" spans="1:27" ht="12.5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r="873" spans="1:27" ht="12.5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r="874" spans="1:27" ht="12.5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r="875" spans="1:27" ht="12.5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r="876" spans="1:27" ht="12.5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r="877" spans="1:27" ht="12.5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r="878" spans="1:27" ht="12.5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r="879" spans="1:27" ht="12.5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r="880" spans="1:27" ht="12.5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r="881" spans="1:27" ht="12.5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r="882" spans="1:27" ht="12.5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r="883" spans="1:27" ht="12.5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r="884" spans="1:27" ht="12.5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r="885" spans="1:27" ht="12.5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r="886" spans="1:27" ht="12.5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r="887" spans="1:27" ht="12.5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r="888" spans="1:27" ht="12.5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r="889" spans="1:27" ht="12.5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r="890" spans="1:27" ht="12.5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r="891" spans="1:27" ht="12.5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r="892" spans="1:27" ht="12.5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r="893" spans="1:27" ht="12.5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r="894" spans="1:27" ht="12.5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r="895" spans="1:27" ht="12.5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r="896" spans="1:27" ht="12.5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r="897" spans="1:27" ht="12.5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r="898" spans="1:27" ht="12.5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r="899" spans="1:27" ht="12.5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r="900" spans="1:27" ht="12.5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r="901" spans="1:27" ht="12.5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r="902" spans="1:27" ht="12.5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r="903" spans="1:27" ht="12.5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r="904" spans="1:27" ht="12.5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r="905" spans="1:27" ht="12.5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r="906" spans="1:27" ht="12.5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r="907" spans="1:27" ht="12.5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r="908" spans="1:27" ht="12.5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r="909" spans="1:27" ht="12.5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r="910" spans="1:27" ht="12.5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r="911" spans="1:27" ht="12.5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r="912" spans="1:27" ht="12.5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r="913" spans="1:27" ht="12.5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r="914" spans="1:27" ht="12.5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r="915" spans="1:27" ht="12.5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r="916" spans="1:27" ht="12.5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r="917" spans="1:27" ht="12.5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r="918" spans="1:27" ht="12.5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r="919" spans="1:27" ht="12.5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r="920" spans="1:27" ht="12.5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r="921" spans="1:27" ht="12.5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r="922" spans="1:27" ht="12.5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r="923" spans="1:27" ht="12.5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r="924" spans="1:27" ht="12.5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r="925" spans="1:27" ht="12.5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r="926" spans="1:27" ht="12.5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r="927" spans="1:27" ht="12.5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r="928" spans="1:27" ht="12.5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r="929" spans="1:27" ht="12.5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r="930" spans="1:27" ht="12.5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r="931" spans="1:27" ht="12.5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r="932" spans="1:27" ht="12.5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r="933" spans="1:27" ht="12.5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r="934" spans="1:27" ht="12.5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r="935" spans="1:27" ht="12.5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r="936" spans="1:27" ht="12.5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r="937" spans="1:27" ht="12.5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r="938" spans="1:27" ht="12.5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r="939" spans="1:27" ht="12.5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r="940" spans="1:27" ht="12.5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r="941" spans="1:27" ht="12.5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r="942" spans="1:27" ht="12.5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r="943" spans="1:27" ht="12.5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r="944" spans="1:27" ht="12.5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r="945" spans="1:27" ht="12.5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r="946" spans="1:27" ht="12.5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r="947" spans="1:27" ht="12.5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r="948" spans="1:27" ht="12.5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r="949" spans="1:27" ht="12.5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r="950" spans="1:27" ht="12.5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r="951" spans="1:27" ht="12.5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r="952" spans="1:27" ht="12.5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r="953" spans="1:27" ht="12.5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r="954" spans="1:27" ht="12.5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r="955" spans="1:27" ht="12.5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r="956" spans="1:27" ht="12.5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r="957" spans="1:27" ht="12.5" x14ac:dyDescent="0.2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r="958" spans="1:27" ht="12.5" x14ac:dyDescent="0.2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r="959" spans="1:27" ht="12.5" x14ac:dyDescent="0.2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r="960" spans="1:27" ht="12.5" x14ac:dyDescent="0.2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r="961" spans="1:27" ht="12.5" x14ac:dyDescent="0.2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r="962" spans="1:27" ht="12.5" x14ac:dyDescent="0.2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r="963" spans="1:27" ht="12.5" x14ac:dyDescent="0.2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r="964" spans="1:27" ht="12.5" x14ac:dyDescent="0.2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r="965" spans="1:27" ht="12.5" x14ac:dyDescent="0.2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r="966" spans="1:27" ht="12.5" x14ac:dyDescent="0.2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r="967" spans="1:27" ht="12.5" x14ac:dyDescent="0.2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r="968" spans="1:27" ht="12.5" x14ac:dyDescent="0.2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r="969" spans="1:27" ht="12.5" x14ac:dyDescent="0.2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r="970" spans="1:27" ht="12.5" x14ac:dyDescent="0.2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r="971" spans="1:27" ht="12.5" x14ac:dyDescent="0.2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r="972" spans="1:27" ht="12.5" x14ac:dyDescent="0.2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r="973" spans="1:27" ht="12.5" x14ac:dyDescent="0.2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r="974" spans="1:27" ht="12.5" x14ac:dyDescent="0.2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r="975" spans="1:27" ht="12.5" x14ac:dyDescent="0.2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r="976" spans="1:27" ht="12.5" x14ac:dyDescent="0.2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r="977" spans="1:27" ht="12.5" x14ac:dyDescent="0.2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r="978" spans="1:27" ht="12.5" x14ac:dyDescent="0.2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r="979" spans="1:27" ht="12.5" x14ac:dyDescent="0.2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r="980" spans="1:27" ht="12.5" x14ac:dyDescent="0.2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r="981" spans="1:27" ht="12.5" x14ac:dyDescent="0.2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r="982" spans="1:27" ht="12.5" x14ac:dyDescent="0.2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r="983" spans="1:27" ht="12.5" x14ac:dyDescent="0.2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r="984" spans="1:27" ht="12.5" x14ac:dyDescent="0.2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r="985" spans="1:27" ht="12.5" x14ac:dyDescent="0.2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r="986" spans="1:27" ht="12.5" x14ac:dyDescent="0.2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r="987" spans="1:27" ht="12.5" x14ac:dyDescent="0.25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r="988" spans="1:27" ht="12.5" x14ac:dyDescent="0.25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r="989" spans="1:27" ht="12.5" x14ac:dyDescent="0.25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r="990" spans="1:27" ht="12.5" x14ac:dyDescent="0.25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r="991" spans="1:27" ht="12.5" x14ac:dyDescent="0.25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r="992" spans="1:27" ht="12.5" x14ac:dyDescent="0.25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r="993" spans="1:27" ht="12.5" x14ac:dyDescent="0.25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r="994" spans="1:27" ht="12.5" x14ac:dyDescent="0.25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r="995" spans="1:27" ht="12.5" x14ac:dyDescent="0.2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r="996" spans="1:27" ht="12.5" x14ac:dyDescent="0.25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r="997" spans="1:27" ht="12.5" x14ac:dyDescent="0.25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r="998" spans="1:27" ht="12.5" x14ac:dyDescent="0.25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r="999" spans="1:27" ht="12.5" x14ac:dyDescent="0.25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r="1000" spans="1:27" ht="12.5" x14ac:dyDescent="0.25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r="1001" spans="1:27" ht="12.5" x14ac:dyDescent="0.25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r="1002" spans="1:27" ht="12.5" x14ac:dyDescent="0.25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r="1003" spans="1:27" ht="12.5" x14ac:dyDescent="0.25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r="1004" spans="1:27" ht="12.5" x14ac:dyDescent="0.25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r="1005" spans="1:27" ht="12.5" x14ac:dyDescent="0.2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r="1006" spans="1:27" ht="12.5" x14ac:dyDescent="0.25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r="1007" spans="1:27" ht="12.5" x14ac:dyDescent="0.25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r="1008" spans="1:27" ht="12.5" x14ac:dyDescent="0.25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r="1009" spans="1:27" ht="12.5" x14ac:dyDescent="0.25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r="1010" spans="1:27" ht="12.5" x14ac:dyDescent="0.25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</sheetData>
  <mergeCells count="2">
    <mergeCell ref="A1:F1"/>
    <mergeCell ref="A58:C58"/>
  </mergeCells>
  <pageMargins left="0" right="0" top="0" bottom="0" header="0" footer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200-000000000000}">
          <x14:formula1>
            <xm:f>Sheet2!$A$1:$A$3</xm:f>
          </x14:formula1>
          <xm:sqref>B9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olicy_x0020_Phase xmlns="1c40081d-0693-401d-999f-81046668f3d4">Effective</Policy_x0020_Phase>
    <Function xmlns="776703c0-f160-4e19-a163-f7e5c99cd31e">
      <Value>Acquisition</Value>
      <Value>Small Business</Value>
    </Function>
    <_Version xmlns="http://schemas.microsoft.com/sharepoint/v3/fields">2</_Version>
    <PolicyDoc xmlns="1c40081d-0693-401d-999f-81046668f3d4">No</PolicyDoc>
    <Archived_x0020_Date xmlns="776703c0-f160-4e19-a163-f7e5c99cd31e" xsi:nil="true"/>
    <Point_x0020_of_x0020_Contact xmlns="1c40081d-0693-401d-999f-81046668f3d4">
      <UserInfo>
        <DisplayName>Bell, Christopher N</DisplayName>
        <AccountId>708</AccountId>
        <AccountType/>
      </UserInfo>
    </Point_x0020_of_x0020_Contact>
    <Regulatory_x0020_Reference xmlns="1c40081d-0693-401d-999f-81046668f3d4">Federal Acquisition Regulation (FAR) Part 19, Small Business Programs; 13 Code of Federal Regulations 125.6; and Office of Inspector General (OIG) Recovery Oversight Advisory #R00-ROA-MOA-1021-2010</Regulatory_x0020_Reference>
    <Source_x0020_of_x0020_this_x0020_Requirement xmlns="1c40081d-0693-401d-999f-81046668f3d4" xsi:nil="true"/>
    <ExternalReviewDeadline xmlns="1c40081d-0693-401d-999f-81046668f3d4" xsi:nil="true"/>
    <Effective_x0020_Date xmlns="776703c0-f160-4e19-a163-f7e5c99cd31e">2019-07-09T07:00:00+00:00</Effective_x0020_Date>
    <SharedWithUsers xmlns="776703c0-f160-4e19-a163-f7e5c99cd31e">
      <UserInfo>
        <DisplayName/>
        <AccountId xsi:nil="true"/>
        <AccountType/>
      </UserInfo>
    </SharedWithUsers>
    <RefferenceNumber xmlns="1c40081d-0693-401d-999f-81046668f3d4">0067</RefferenceNumber>
    <Alternate_x0020_POC xmlns="1c40081d-0693-401d-999f-81046668f3d4">
      <UserInfo>
        <DisplayName/>
        <AccountId xsi:nil="true"/>
        <AccountType/>
      </UserInfo>
    </Alternate_x0020_POC>
    <FAR_x0020_references xmlns="1c40081d-0693-401d-999f-81046668f3d4">19</FAR_x0020_references>
    <Purpose xmlns="1c40081d-0693-401d-999f-81046668f3d4" xsi:nil="true"/>
    <IconOverlay xmlns="http://schemas.microsoft.com/sharepoint/v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35BAEB2399EF4E9176381FE6EF9BF0" ma:contentTypeVersion="160" ma:contentTypeDescription="Create a new document." ma:contentTypeScope="" ma:versionID="0dafdcf50dda3dba704c33d12b0cabef">
  <xsd:schema xmlns:xsd="http://www.w3.org/2001/XMLSchema" xmlns:xs="http://www.w3.org/2001/XMLSchema" xmlns:p="http://schemas.microsoft.com/office/2006/metadata/properties" xmlns:ns2="1c40081d-0693-401d-999f-81046668f3d4" xmlns:ns3="http://schemas.microsoft.com/sharepoint/v3/fields" xmlns:ns4="776703c0-f160-4e19-a163-f7e5c99cd31e" xmlns:ns5="http://schemas.microsoft.com/sharepoint/v4" targetNamespace="http://schemas.microsoft.com/office/2006/metadata/properties" ma:root="true" ma:fieldsID="63de4f09873fac56861c8f14c4ce5953" ns2:_="" ns3:_="" ns4:_="" ns5:_="">
    <xsd:import namespace="1c40081d-0693-401d-999f-81046668f3d4"/>
    <xsd:import namespace="http://schemas.microsoft.com/sharepoint/v3/fields"/>
    <xsd:import namespace="776703c0-f160-4e19-a163-f7e5c99cd31e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Policy_x0020_Phase" minOccurs="0"/>
                <xsd:element ref="ns2:PolicyDoc" minOccurs="0"/>
                <xsd:element ref="ns2:RefferenceNumber" minOccurs="0"/>
                <xsd:element ref="ns3:_Version" minOccurs="0"/>
                <xsd:element ref="ns4:Function" minOccurs="0"/>
                <xsd:element ref="ns2:Point_x0020_of_x0020_Contact"/>
                <xsd:element ref="ns2:Alternate_x0020_POC" minOccurs="0"/>
                <xsd:element ref="ns2:Source_x0020_of_x0020_this_x0020_Requirement" minOccurs="0"/>
                <xsd:element ref="ns2:Regulatory_x0020_Reference" minOccurs="0"/>
                <xsd:element ref="ns2:Purpose" minOccurs="0"/>
                <xsd:element ref="ns2:ExternalReviewDeadline" minOccurs="0"/>
                <xsd:element ref="ns4:Archived_x0020_Date" minOccurs="0"/>
                <xsd:element ref="ns4:Effective_x0020_Date" minOccurs="0"/>
                <xsd:element ref="ns2:MediaServiceFastMetadata" minOccurs="0"/>
                <xsd:element ref="ns2:MediaServiceMetadata" minOccurs="0"/>
                <xsd:element ref="ns4:SharedWithUsers" minOccurs="0"/>
                <xsd:element ref="ns4:SharedWithDetails" minOccurs="0"/>
                <xsd:element ref="ns2:FAR_x0020_references" minOccurs="0"/>
                <xsd:element ref="ns5:IconOverla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40081d-0693-401d-999f-81046668f3d4" elementFormDefault="qualified">
    <xsd:import namespace="http://schemas.microsoft.com/office/2006/documentManagement/types"/>
    <xsd:import namespace="http://schemas.microsoft.com/office/infopath/2007/PartnerControls"/>
    <xsd:element name="Policy_x0020_Phase" ma:index="1" nillable="true" ma:displayName="Policy Phase" ma:default="Drafting" ma:format="Dropdown" ma:internalName="Policy_x0020_Phase" ma:readOnly="false">
      <xsd:simpleType>
        <xsd:restriction base="dms:Choice">
          <xsd:enumeration value="Drafting"/>
          <xsd:enumeration value="Internal Review"/>
          <xsd:enumeration value="External Review"/>
          <xsd:enumeration value="Final Review"/>
          <xsd:enumeration value="Surname"/>
          <xsd:enumeration value="Sign"/>
          <xsd:enumeration value="Effective"/>
          <xsd:enumeration value="Updating"/>
          <xsd:enumeration value="Archive"/>
        </xsd:restriction>
      </xsd:simpleType>
    </xsd:element>
    <xsd:element name="PolicyDoc" ma:index="2" nillable="true" ma:displayName="Visitors" ma:description="Select (Yes) if this is Effective Policy Doc for Visitors, (No) if this is a supporting document, (Archive) If this Archive Policy Doc." ma:format="Dropdown" ma:internalName="PolicyDoc" ma:readOnly="false">
      <xsd:simpleType>
        <xsd:restriction base="dms:Choice">
          <xsd:enumeration value="Yes"/>
          <xsd:enumeration value="No"/>
          <xsd:enumeration value="Archive"/>
        </xsd:restriction>
      </xsd:simpleType>
    </xsd:element>
    <xsd:element name="RefferenceNumber" ma:index="3" nillable="true" ma:displayName="ReferenceNumber" ma:description="To be filled out by policy managers." ma:indexed="true" ma:internalName="RefferenceNumber" ma:readOnly="false">
      <xsd:simpleType>
        <xsd:restriction base="dms:Text">
          <xsd:maxLength value="4"/>
        </xsd:restriction>
      </xsd:simpleType>
    </xsd:element>
    <xsd:element name="Point_x0020_of_x0020_Contact" ma:index="6" ma:displayName="Point of Contact" ma:list="UserInfo" ma:SharePointGroup="0" ma:internalName="Point_x0020_of_x0020_Contact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lternate_x0020_POC" ma:index="7" nillable="true" ma:displayName="Alternate POC" ma:list="UserInfo" ma:SharePointGroup="0" ma:internalName="Alternate_x0020_POC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ource_x0020_of_x0020_this_x0020_Requirement" ma:index="8" nillable="true" ma:displayName="Source of this Requirement" ma:description="insert source of this policy requirement; for example: IG finding titled “ABC” or Executive Order “XYZ”" ma:internalName="Source_x0020_of_x0020_this_x0020_Requirement" ma:readOnly="false">
      <xsd:simpleType>
        <xsd:restriction base="dms:Note"/>
      </xsd:simpleType>
    </xsd:element>
    <xsd:element name="Regulatory_x0020_Reference" ma:index="9" nillable="true" ma:displayName="Regulatory Reference" ma:default="01??" ma:description="insert regulatory references (FAR, etc.)" ma:internalName="Regulatory_x0020_Reference" ma:readOnly="false">
      <xsd:simpleType>
        <xsd:restriction base="dms:Text">
          <xsd:maxLength value="255"/>
        </xsd:restriction>
      </xsd:simpleType>
    </xsd:element>
    <xsd:element name="Purpose" ma:index="10" nillable="true" ma:displayName="Purpose" ma:description="Purpose of the policy. Must Be filled out at Policy Set if in a Policy Set or will be overwritten by Policy Set." ma:internalName="Purpose" ma:readOnly="false">
      <xsd:simpleType>
        <xsd:restriction base="dms:Note"/>
      </xsd:simpleType>
    </xsd:element>
    <xsd:element name="ExternalReviewDeadline" ma:index="12" nillable="true" ma:displayName="ReviewDeadline" ma:format="DateOnly" ma:internalName="ExternalReviewDeadline" ma:readOnly="false">
      <xsd:simpleType>
        <xsd:restriction base="dms:DateTim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FAR_x0020_references" ma:index="25" nillable="true" ma:displayName="FAR references" ma:description="Please provide comma separated values like 15.4, 5.3, etc, etc" ma:hidden="true" ma:internalName="FAR_x0020_references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Version" ma:index="4" nillable="true" ma:displayName="Policy Version" ma:description="Manual Policy Version" ma:internalName="_Version" ma:readOnly="false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6703c0-f160-4e19-a163-f7e5c99cd31e" elementFormDefault="qualified">
    <xsd:import namespace="http://schemas.microsoft.com/office/2006/documentManagement/types"/>
    <xsd:import namespace="http://schemas.microsoft.com/office/infopath/2007/PartnerControls"/>
    <xsd:element name="Function" ma:index="5" nillable="true" ma:displayName="Function" ma:internalName="Function" ma:readOnly="false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Acquisition"/>
                        <xsd:enumeration value="Charge Card"/>
                        <xsd:enumeration value="Energy Management"/>
                        <xsd:enumeration value="Financial Assistance"/>
                        <xsd:enumeration value="Fleet"/>
                        <xsd:enumeration value="Housing Management"/>
                        <xsd:enumeration value="Museum Property"/>
                        <xsd:enumeration value="Personal Property"/>
                        <xsd:enumeration value="Real Property"/>
                        <xsd:enumeration value="Small Business"/>
                        <xsd:enumeration value="Space Management"/>
                        <xsd:enumeration value="Systems and Reporting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  <xsd:element name="Archived_x0020_Date" ma:index="13" nillable="true" ma:displayName="Archived Date" ma:format="DateOnly" ma:internalName="Archived_x0020_Date" ma:readOnly="false">
      <xsd:simpleType>
        <xsd:restriction base="dms:DateTime"/>
      </xsd:simpleType>
    </xsd:element>
    <xsd:element name="Effective_x0020_Date" ma:index="14" nillable="true" ma:displayName="Effective Date" ma:format="DateOnly" ma:internalName="Effective_x0020_Date" ma:readOnly="false">
      <xsd:simpleType>
        <xsd:restriction base="dms:DateTime"/>
      </xsd:simpleType>
    </xsd:element>
    <xsd:element name="SharedWithUsers" ma:index="23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4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27" nillable="true" ma:displayName="IconOverlay" ma:hidden="true" ma:internalName="IconOverlay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0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657318-4189-4FE4-8ABE-7694217C45A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3362FD-2C56-4BDA-B629-366115D6B5A3}">
  <ds:schemaRefs>
    <ds:schemaRef ds:uri="http://schemas.microsoft.com/office/2006/metadata/properties"/>
    <ds:schemaRef ds:uri="http://schemas.microsoft.com/office/infopath/2007/PartnerControls"/>
    <ds:schemaRef ds:uri="1c40081d-0693-401d-999f-81046668f3d4"/>
    <ds:schemaRef ds:uri="776703c0-f160-4e19-a163-f7e5c99cd31e"/>
    <ds:schemaRef ds:uri="http://schemas.microsoft.com/sharepoint/v3/fields"/>
    <ds:schemaRef ds:uri="http://schemas.microsoft.com/sharepoint/v4"/>
  </ds:schemaRefs>
</ds:datastoreItem>
</file>

<file path=customXml/itemProps3.xml><?xml version="1.0" encoding="utf-8"?>
<ds:datastoreItem xmlns:ds="http://schemas.openxmlformats.org/officeDocument/2006/customXml" ds:itemID="{C6F44905-D792-46F7-B31D-2A6E06D0CD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40081d-0693-401d-999f-81046668f3d4"/>
    <ds:schemaRef ds:uri="http://schemas.microsoft.com/sharepoint/v3/fields"/>
    <ds:schemaRef ds:uri="776703c0-f160-4e19-a163-f7e5c99cd31e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Template for Contracts and Indi</vt:lpstr>
      <vt:lpstr>Sheet2</vt:lpstr>
      <vt:lpstr>Template for IDVs</vt:lpstr>
      <vt:lpstr>ProduceServiceType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Limitation on Subcontracting Report Template</dc:title>
  <dc:subject/>
  <dc:creator/>
  <cp:keywords/>
  <dc:description/>
  <cp:lastModifiedBy>Kircher, Adam J</cp:lastModifiedBy>
  <cp:revision/>
  <dcterms:created xsi:type="dcterms:W3CDTF">2022-09-08T19:06:11Z</dcterms:created>
  <dcterms:modified xsi:type="dcterms:W3CDTF">2026-05-04T15:42:21Z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0x0101000835BAEB2399EF4E9176381FE6EF9BF0</vt:lpwstr>
  </property>
  <property fmtid="{D5CDD505-2E9C-101B-9397-08002B2CF9AE}" pid="3" name="Order">
    <vt:r8>45800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docset_NoMedatataSyncRequired">
    <vt:lpwstr>False</vt:lpwstr>
  </property>
  <property fmtid="{D5CDD505-2E9C-101B-9397-08002B2CF9AE}" pid="9" name="Internal Stakeholders">
    <vt:lpwstr/>
  </property>
  <property fmtid="{D5CDD505-2E9C-101B-9397-08002B2CF9AE}" pid="10" name="Stake Holders">
    <vt:lpwstr/>
  </property>
</Properties>
</file>