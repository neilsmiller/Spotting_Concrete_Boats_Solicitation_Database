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vagov-my.sharepoint.com/personal/ralph_crum_va_gov/Documents/01 NCA/03 Cemeteries/i MWD/e_1 935 Omaha/FY25 ONC GMC Base + 4_F366512-25-2000003/03 Solicitation/Insert Embeds/"/>
    </mc:Choice>
  </mc:AlternateContent>
  <xr:revisionPtr revIDLastSave="148" documentId="11_DB3A30105D29456D4AF492BE69EAB145C218EF27" xr6:coauthVersionLast="47" xr6:coauthVersionMax="47" xr10:uidLastSave="{9DE299C5-A667-43E0-ABC0-A5F79984A489}"/>
  <bookViews>
    <workbookView xWindow="-120" yWindow="-120" windowWidth="29040" windowHeight="1572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6" i="1" l="1"/>
  <c r="I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304" i="1" s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121" i="1" s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243" i="1" l="1"/>
  <c r="M60" i="1"/>
  <c r="M182" i="1"/>
  <c r="M306" i="1" l="1"/>
</calcChain>
</file>

<file path=xl/sharedStrings.xml><?xml version="1.0" encoding="utf-8"?>
<sst xmlns="http://schemas.openxmlformats.org/spreadsheetml/2006/main" count="8447" uniqueCount="426">
  <si>
    <t>Line Type</t>
  </si>
  <si>
    <t>Line #</t>
  </si>
  <si>
    <t>Subline #</t>
  </si>
  <si>
    <t>Description</t>
  </si>
  <si>
    <t>Quantity</t>
  </si>
  <si>
    <t>Unit</t>
  </si>
  <si>
    <t>Unit Price</t>
  </si>
  <si>
    <t>Currency</t>
  </si>
  <si>
    <t>Net Total</t>
  </si>
  <si>
    <t>Currency 2</t>
  </si>
  <si>
    <t>Currency 3</t>
  </si>
  <si>
    <t>Currency 4</t>
  </si>
  <si>
    <t>Sub Line Funding Total Amount</t>
  </si>
  <si>
    <t>Currency 5</t>
  </si>
  <si>
    <t>PoP Start Date</t>
  </si>
  <si>
    <t>PoP End Date</t>
  </si>
  <si>
    <t>Base/Option Ind</t>
  </si>
  <si>
    <t>Base Line #</t>
  </si>
  <si>
    <t>Option Period</t>
  </si>
  <si>
    <t>Commodity Code</t>
  </si>
  <si>
    <t>Commodity Name</t>
  </si>
  <si>
    <t>Price Basis</t>
  </si>
  <si>
    <t>Delivery Date</t>
  </si>
  <si>
    <t>Delivery Office</t>
  </si>
  <si>
    <t>Delivery Address Code</t>
  </si>
  <si>
    <t>Ref Doc Type</t>
  </si>
  <si>
    <t>Ref Doc #</t>
  </si>
  <si>
    <t>Ref Line #</t>
  </si>
  <si>
    <t>Ref Final</t>
  </si>
  <si>
    <t>Ref Misc</t>
  </si>
  <si>
    <t>Local Stock Number</t>
  </si>
  <si>
    <t>Currency 6</t>
  </si>
  <si>
    <t>Currency 7</t>
  </si>
  <si>
    <t>Currency 8</t>
  </si>
  <si>
    <t>Separately Identified Line</t>
  </si>
  <si>
    <t>1</t>
  </si>
  <si>
    <t/>
  </si>
  <si>
    <t>ONC-Transport Casket and Floral Arrangements from Committal Shelter, and Place Casket onto lowering device over gravesite for all Casket interments including weekend and Holiday burials</t>
  </si>
  <si>
    <t>315</t>
  </si>
  <si>
    <t>EA</t>
  </si>
  <si>
    <t>USD</t>
  </si>
  <si>
    <t>Base</t>
  </si>
  <si>
    <t>SVC-LIQ</t>
  </si>
  <si>
    <t>Service - Liquidating</t>
  </si>
  <si>
    <t>APR</t>
  </si>
  <si>
    <t>F366512-25-2000003</t>
  </si>
  <si>
    <t>False</t>
  </si>
  <si>
    <t>2</t>
  </si>
  <si>
    <t>ONC-Headstones – receiving shipments, storage, initial setting, and replacing (setting R2’s)(Davis Bacon Act wages apply).</t>
  </si>
  <si>
    <t>775</t>
  </si>
  <si>
    <t>3</t>
  </si>
  <si>
    <t>ONC-Headstone Destruction</t>
  </si>
  <si>
    <t>250</t>
  </si>
  <si>
    <t>4</t>
  </si>
  <si>
    <t>ONC-Sod Removal and placement on casketed sites for all Casket interments including weekend and Holiday burials</t>
  </si>
  <si>
    <t>5</t>
  </si>
  <si>
    <t>ONC-Sod Removal and placement on cremation sites</t>
  </si>
  <si>
    <t>450</t>
  </si>
  <si>
    <t>6</t>
  </si>
  <si>
    <t>ONC-Committal Shelter – Set-up and Cleaning for all committal services including weekend and Holiday burials</t>
  </si>
  <si>
    <t>1000</t>
  </si>
  <si>
    <t>7</t>
  </si>
  <si>
    <t>ONC-Committal Shelter Glass Wind Wall Cleaning (Both shelters)</t>
  </si>
  <si>
    <t>260</t>
  </si>
  <si>
    <t>DA</t>
  </si>
  <si>
    <t>8</t>
  </si>
  <si>
    <t>ONC-Mow and Trim ALL turf grass areas including headstones; edge all sidewalks, roads, tree rings and beds.</t>
  </si>
  <si>
    <t>34</t>
  </si>
  <si>
    <t>9</t>
  </si>
  <si>
    <t>ONC-Mow Native (Prairie) Grass Area</t>
  </si>
  <si>
    <t>100</t>
  </si>
  <si>
    <t>AC</t>
  </si>
  <si>
    <t>10</t>
  </si>
  <si>
    <t>ONC-Fertilizer: Provide and Apply ALL turf grass areas (OCT, JUNE, SEP.)</t>
  </si>
  <si>
    <t>11</t>
  </si>
  <si>
    <t>ONC-Pre/Post-emergence Herbicide: Provide and Apply All turf grass areas (APR, MAY, JUN, OCT)</t>
  </si>
  <si>
    <t>12</t>
  </si>
  <si>
    <t>ONC-Prairies Grass Thistle Herbicide: Provide and apply.</t>
  </si>
  <si>
    <t>175</t>
  </si>
  <si>
    <t>13</t>
  </si>
  <si>
    <t>ONC-Core Aeration of All Turf grass areas  APR and SEP</t>
  </si>
  <si>
    <t>14</t>
  </si>
  <si>
    <t>ONC-Over seed all Turf grass areas every SEP</t>
  </si>
  <si>
    <t>SVC-NONLIQ</t>
  </si>
  <si>
    <t>Service Non-Liquidating</t>
  </si>
  <si>
    <t>15</t>
  </si>
  <si>
    <t>ONC-Planting Beds and Tree Rings - 100% weed-free all planting beds and tree rings</t>
  </si>
  <si>
    <t>WK</t>
  </si>
  <si>
    <t>16</t>
  </si>
  <si>
    <t>ONC-Shrub and tree Maintenance - trim, prune/shape</t>
  </si>
  <si>
    <t>17</t>
  </si>
  <si>
    <t>ONC-Japanese Beetle Control on Trees and Shrubs</t>
  </si>
  <si>
    <t>18</t>
  </si>
  <si>
    <t>ONC-Grub Insecticide: Provide and Apply</t>
  </si>
  <si>
    <t>19</t>
  </si>
  <si>
    <t>ONC-Turf grass Renovation</t>
  </si>
  <si>
    <t>SF</t>
  </si>
  <si>
    <t>20</t>
  </si>
  <si>
    <t>ONC-Cleaning All Paved Areas (road, sidewalks, parking lots, staging areas, etc.), including weekends and Holidays</t>
  </si>
  <si>
    <t>180</t>
  </si>
  <si>
    <t>21</t>
  </si>
  <si>
    <t>ONC-Trash and Debris Removal</t>
  </si>
  <si>
    <t>22</t>
  </si>
  <si>
    <t>ONC-Fall Leaf Removal</t>
  </si>
  <si>
    <t>23</t>
  </si>
  <si>
    <t>ONC-Pressure Wash Committal Shelter, Columbaria, hardscapes, Administrative building</t>
  </si>
  <si>
    <t>24</t>
  </si>
  <si>
    <t>ONC-Snow Removal</t>
  </si>
  <si>
    <t>25</t>
  </si>
  <si>
    <t>ONC-Salt (Magnesium Chloride) application for Ice removal and prevention</t>
  </si>
  <si>
    <t>120</t>
  </si>
  <si>
    <t>26</t>
  </si>
  <si>
    <t>ONC-Headstone Cleaning (2,700 headstones, two times)</t>
  </si>
  <si>
    <t>5400</t>
  </si>
  <si>
    <t>27</t>
  </si>
  <si>
    <t>ONC-Headstone Fine Tune Alignment (2,700 headstones)</t>
  </si>
  <si>
    <t>2700</t>
  </si>
  <si>
    <t>28</t>
  </si>
  <si>
    <t>ONC-Headstone Raise &amp; Realignment (Davis Bacon Act wages apply).</t>
  </si>
  <si>
    <t>1250</t>
  </si>
  <si>
    <t>29</t>
  </si>
  <si>
    <t>FMNC-Transport Urn and Floral Arrangements, tagging of floral arrangement, completion of "chain of custody documents, Place Urn into Columbarium, gather and submit GIS/GPS data and replace niche cover and temporary tag, Complete chain of custody documents</t>
  </si>
  <si>
    <t>60</t>
  </si>
  <si>
    <t>30</t>
  </si>
  <si>
    <t>FMNC-Remove Sod, excavate assigned casket gravesite, place and lower casket, gather and submit GIS/GPS data, backfill grave, tamp grave, place Temporary Marker on gravesite,</t>
  </si>
  <si>
    <t>31</t>
  </si>
  <si>
    <t>FMCN-Remove Sod, excavate assigned casket gravesite, place and lower casket, gather and submit GIS/GPS data, backfill grave, tamp grave, place Temporary Marker on gravesite</t>
  </si>
  <si>
    <t>160</t>
  </si>
  <si>
    <t>32</t>
  </si>
  <si>
    <t>FMNC-Headstones – receiving shipments, storage, initial setting, replacing (setting R2’s) headstones. (Davis Bacon Act wages apply).</t>
  </si>
  <si>
    <t>285</t>
  </si>
  <si>
    <t>33</t>
  </si>
  <si>
    <t>FMNC-Headstone Destruction</t>
  </si>
  <si>
    <t>50</t>
  </si>
  <si>
    <t>FMNC-Committal Shelter – Set-up and Cleaning for all committal services including weekend and Holiday burials. Raise and Lower US Flag.</t>
  </si>
  <si>
    <t>330</t>
  </si>
  <si>
    <t>35</t>
  </si>
  <si>
    <t>FMNC-Committal Shelter Glass Wind wall Cleaning</t>
  </si>
  <si>
    <t>36</t>
  </si>
  <si>
    <t>FMNC-Mow and Trim ALL turf grass areas including headstones; edge all sidewalks, curbs and other flats surfaces, including flat gravesite markers; edge all tree rings and beds.</t>
  </si>
  <si>
    <t>37</t>
  </si>
  <si>
    <t>FMNC-Mow and Trim all unimproved native turf and weeds around perimeter of Cemetery and Prairie Grass Area</t>
  </si>
  <si>
    <t>75</t>
  </si>
  <si>
    <t>38</t>
  </si>
  <si>
    <t>FMNC-Fertilizer: Provide and Apply ALL turf grass areas (OCT, JUNE, SEP.)</t>
  </si>
  <si>
    <t>39</t>
  </si>
  <si>
    <t>FMNC-Pre/Post-emergence Herbicide: Provide and Apply All turf grass areas (APR, MAY, JUN, OCT)</t>
  </si>
  <si>
    <t>40</t>
  </si>
  <si>
    <t>FMNC-Prairie Grass Thistle Herbicide: Provide and apply.</t>
  </si>
  <si>
    <t>41</t>
  </si>
  <si>
    <t>FMNC-Core Aeration of all Turf grass areas APR and SEP</t>
  </si>
  <si>
    <t>42</t>
  </si>
  <si>
    <t>FMNC-Over seed All Turf grass areas every SEP</t>
  </si>
  <si>
    <t>43</t>
  </si>
  <si>
    <t>FMNC-Planting Beds and Tree Rings - 100% weed-free all planting beds and tree rings</t>
  </si>
  <si>
    <t>44</t>
  </si>
  <si>
    <t>FMNC-Shrub and tree Maintenance - trim, prune/shape</t>
  </si>
  <si>
    <t>45</t>
  </si>
  <si>
    <t>FMNC-Japanese Beetle Control on Trees and Shrubs</t>
  </si>
  <si>
    <t>46</t>
  </si>
  <si>
    <t>FMNC-Grub Insecticide: Provide and Apply All turf grass areas</t>
  </si>
  <si>
    <t>47</t>
  </si>
  <si>
    <t>FMNC-Turf grass Renovation</t>
  </si>
  <si>
    <t>3000</t>
  </si>
  <si>
    <t>48</t>
  </si>
  <si>
    <t>FMNC-Cleaning All Paved Areas (road, sidewalks, parking lots, staging areas, etc.), including weekends and Holidays</t>
  </si>
  <si>
    <t>49</t>
  </si>
  <si>
    <t>FMNC-Trash and Debris Removal</t>
  </si>
  <si>
    <t>FMNC-Fall Leaf Removal</t>
  </si>
  <si>
    <t>51</t>
  </si>
  <si>
    <t>FMNC-Pressure Wash Committal Shelter, Columbaria, Other Hardscapes</t>
  </si>
  <si>
    <t>52</t>
  </si>
  <si>
    <t>FMNC-Snow Removal</t>
  </si>
  <si>
    <t>53</t>
  </si>
  <si>
    <t>FMNC-Salt (Magnesium Chloride) application for Ice removal and prevention</t>
  </si>
  <si>
    <t>54</t>
  </si>
  <si>
    <t>FMNC-Headstone Cleaning</t>
  </si>
  <si>
    <t>9000</t>
  </si>
  <si>
    <t>55</t>
  </si>
  <si>
    <t>FMNC-Headstone Fine Tune Alignment</t>
  </si>
  <si>
    <t>56</t>
  </si>
  <si>
    <t>FMNC-Headstone Raise &amp; Realignment (Davis Bacon Act wages apply)</t>
  </si>
  <si>
    <t>600</t>
  </si>
  <si>
    <t>57</t>
  </si>
  <si>
    <t>FMNC-Sunken Grave Repair</t>
  </si>
  <si>
    <t>58</t>
  </si>
  <si>
    <t>FMNC-Irrigation System – Full operation and maintenance, including repairs to maintain operation and adjustments as necessary, Fall Shut-Down, Spring Start-Up, Backflow Testing</t>
  </si>
  <si>
    <t>10001</t>
  </si>
  <si>
    <t>Option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</si>
  <si>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</si>
  <si>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</si>
  <si>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</si>
  <si>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</si>
  <si>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</si>
  <si>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</si>
  <si>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</si>
  <si>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</si>
  <si>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</si>
  <si>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</si>
  <si>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</si>
  <si>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</si>
  <si>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</si>
  <si>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</si>
  <si>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</si>
  <si>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</si>
  <si>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</si>
  <si>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</si>
  <si>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</si>
  <si>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</si>
  <si>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</si>
  <si>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</si>
  <si>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ONC-Pressure Wash Committal Shelter, Columbaria, hardscapes, Administrative building and window cleaning for all buildings.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</si>
  <si>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</si>
  <si>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</si>
  <si>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</si>
  <si>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</si>
  <si>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</si>
  <si>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</si>
  <si>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</si>
  <si>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</si>
  <si>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</si>
  <si>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</si>
  <si>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</si>
  <si>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</si>
  <si>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FMNC-Committal Shelter Glass Wind wall Cleaning and flag raise and lower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</si>
  <si>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</si>
  <si>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</si>
  <si>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</si>
  <si>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</si>
  <si>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</si>
  <si>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</si>
  <si>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</si>
  <si>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</si>
  <si>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</si>
  <si>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</si>
  <si>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</si>
  <si>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</si>
  <si>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</si>
  <si>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</si>
  <si>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</si>
  <si>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</si>
  <si>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</si>
  <si>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</si>
  <si>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</si>
  <si>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</si>
  <si>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</si>
  <si>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FMNC-Headstone Raise &amp; Realignment (Davis Bacon Act wages apply).</t>
  </si>
  <si>
    <t>10057</t>
  </si>
  <si>
    <t>10058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</si>
  <si>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</si>
  <si>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</si>
  <si>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</si>
  <si>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</si>
  <si>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</si>
  <si>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</si>
  <si>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</si>
  <si>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</si>
  <si>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</si>
  <si>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</si>
  <si>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</si>
  <si>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</si>
  <si>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</si>
  <si>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</si>
  <si>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</si>
  <si>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</si>
  <si>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</si>
  <si>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</si>
  <si>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</si>
  <si>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</si>
  <si>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</si>
  <si>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</si>
  <si>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</si>
  <si>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</si>
  <si>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</si>
  <si>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</si>
  <si>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</si>
  <si>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</si>
  <si>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</si>
  <si>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</si>
  <si>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</si>
  <si>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</si>
  <si>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</si>
  <si>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</si>
  <si>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</si>
  <si>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</si>
  <si>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</si>
  <si>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</si>
  <si>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</si>
  <si>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</si>
  <si>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</si>
  <si>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</si>
  <si>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</si>
  <si>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</si>
  <si>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</si>
  <si>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</si>
  <si>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</si>
  <si>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</si>
  <si>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</si>
  <si>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</si>
  <si>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</si>
  <si>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</si>
  <si>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</si>
  <si>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</si>
  <si>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</si>
  <si>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</si>
  <si>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</si>
  <si>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</si>
  <si>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</si>
  <si>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</si>
  <si>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</si>
  <si>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</si>
  <si>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</si>
  <si>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</si>
  <si>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</si>
  <si>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</si>
  <si>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</si>
  <si>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</si>
  <si>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</si>
  <si>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</si>
  <si>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</si>
  <si>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</si>
  <si>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</si>
  <si>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</si>
  <si>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</si>
  <si>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</si>
  <si>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</si>
  <si>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</si>
  <si>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</si>
  <si>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</si>
  <si>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</si>
  <si>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</si>
  <si>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</si>
  <si>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</si>
  <si>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</si>
  <si>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</si>
  <si>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</si>
  <si>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</si>
  <si>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</si>
  <si>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</si>
  <si>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</si>
  <si>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</si>
  <si>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</si>
  <si>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</si>
  <si>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</si>
  <si>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</si>
  <si>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</si>
  <si>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</si>
  <si>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</si>
  <si>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</si>
  <si>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</si>
  <si>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</si>
  <si>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</si>
  <si>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</si>
  <si>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</si>
  <si>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</si>
  <si>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</si>
  <si>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</si>
  <si>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</si>
  <si>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</si>
  <si>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</si>
  <si>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</si>
  <si>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</si>
  <si>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</si>
  <si>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</si>
  <si>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</si>
  <si>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</si>
  <si>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</si>
  <si>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</si>
  <si>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</si>
  <si>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</si>
  <si>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</si>
  <si>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</si>
  <si>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</si>
  <si>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</si>
  <si>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</si>
  <si>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</si>
  <si>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</si>
  <si>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</si>
  <si>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</si>
  <si>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</si>
  <si>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</si>
  <si>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</si>
  <si>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</si>
  <si>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</si>
  <si>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</si>
  <si>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</si>
  <si>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</si>
  <si>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</si>
  <si>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</si>
  <si>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</si>
  <si>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</si>
  <si>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</si>
  <si>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</si>
  <si>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</si>
  <si>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</si>
  <si>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</si>
  <si>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</si>
  <si>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</si>
  <si>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</si>
  <si>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</si>
  <si>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</si>
  <si>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</si>
  <si>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</si>
  <si>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</si>
  <si>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</si>
  <si>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</si>
  <si>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</si>
  <si>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</si>
  <si>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</si>
  <si>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</si>
  <si>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</si>
  <si>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</si>
  <si>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</si>
  <si>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</si>
  <si>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</si>
  <si>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</si>
  <si>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</si>
  <si>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</si>
  <si>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</si>
  <si>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</si>
  <si>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</si>
  <si>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</si>
  <si>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</si>
  <si>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Extended Proposed Price</t>
  </si>
  <si>
    <t>Proposed Unit Price</t>
  </si>
  <si>
    <t>Grand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</si>
</sst>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#,##0.000000"/>
  </numFmts>
  <fonts count="3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 applyAlignment="1">
      <alignment horizontal="right"/>
    </xf>
    <xf numFmtId="44" fontId="0" fillId="0" borderId="0" xfId="1" applyFont="1" applyAlignment="1">
      <alignment horizontal="right"/>
    </xf>
    <xf numFmtId="44" fontId="0" fillId="0" borderId="0" xfId="1" applyFont="1"/>
    <xf numFmtId="164" fontId="0" fillId="0" borderId="0" xfId="0" applyNumberFormat="1"/>
    <xf numFmtId="44" fontId="2" fillId="2" borderId="0" xfId="1" applyFont="1" applyFill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 vertical="top"/>
    </xf>
    <xf numFmtId="44" fontId="0" fillId="0" borderId="0" xfId="0" applyNumberFormat="1"/>
  </cellXfs>
  <cellStyles count="2">
    <cellStyle name="Currency" xfId="1" builtinId="4"/>
    <cellStyle name="Normal" xfId="0" builtinId="0"/>
  </cellStyles>
  <dxfs count="3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4" formatCode="#,##0.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J304" totalsRowCount="1">
  <tableColumns count="36">
    <tableColumn id="1" xr3:uid="{00000000-0010-0000-0000-000001000000}" name="Line Type"/>
    <tableColumn id="2" xr3:uid="{00000000-0010-0000-0000-000002000000}" name="Line #"/>
    <tableColumn id="3" xr3:uid="{00000000-0010-0000-0000-000003000000}" name="Subline #"/>
    <tableColumn id="4" xr3:uid="{00000000-0010-0000-0000-000004000000}" name="Description"/>
    <tableColumn id="5" xr3:uid="{00000000-0010-0000-0000-000005000000}" name="Quantity"/>
    <tableColumn id="6" xr3:uid="{00000000-0010-0000-0000-000006000000}" name="Unit"/>
    <tableColumn id="7" xr3:uid="{00000000-0010-0000-0000-000007000000}" name="Unit Price"/>
    <tableColumn id="8" xr3:uid="{00000000-0010-0000-0000-000008000000}" name="Currency"/>
    <tableColumn id="9" xr3:uid="{00000000-0010-0000-0000-000009000000}" name="Net Total" totalsRowFunction="custom" totalsRowDxfId="2">
      <totalsRowFormula>SUM(I246:I303)</totalsRowFormula>
    </tableColumn>
    <tableColumn id="10" xr3:uid="{00000000-0010-0000-0000-00000A000000}" name="Currency 2"/>
    <tableColumn id="11" xr3:uid="{00000000-0010-0000-0000-00000B000000}" name="Proposed Unit Price" totalsRowDxfId="1" dataCellStyle="Currency"/>
    <tableColumn id="12" xr3:uid="{00000000-0010-0000-0000-00000C000000}" name="Currency 3"/>
    <tableColumn id="13" xr3:uid="{00000000-0010-0000-0000-00000D000000}" name="Extended Proposed Price" totalsRowFunction="custom" totalsRowDxfId="0" dataCellStyle="Currency">
      <totalsRowFormula>SUM(M246:M303)</totalsRowFormula>
    </tableColumn>
    <tableColumn id="14" xr3:uid="{00000000-0010-0000-0000-00000E000000}" name="Currency 4"/>
    <tableColumn id="15" xr3:uid="{00000000-0010-0000-0000-00000F000000}" name="Sub Line Funding Total Amount"/>
    <tableColumn id="16" xr3:uid="{00000000-0010-0000-0000-000010000000}" name="Currency 5"/>
    <tableColumn id="17" xr3:uid="{00000000-0010-0000-0000-000011000000}" name="PoP Start Date"/>
    <tableColumn id="18" xr3:uid="{00000000-0010-0000-0000-000012000000}" name="PoP End Date"/>
    <tableColumn id="19" xr3:uid="{00000000-0010-0000-0000-000013000000}" name="Base/Option Ind"/>
    <tableColumn id="20" xr3:uid="{00000000-0010-0000-0000-000014000000}" name="Base Line #"/>
    <tableColumn id="21" xr3:uid="{00000000-0010-0000-0000-000015000000}" name="Option Period"/>
    <tableColumn id="22" xr3:uid="{00000000-0010-0000-0000-000016000000}" name="Commodity Code"/>
    <tableColumn id="23" xr3:uid="{00000000-0010-0000-0000-000017000000}" name="Commodity Name"/>
    <tableColumn id="24" xr3:uid="{00000000-0010-0000-0000-000018000000}" name="Price Basis"/>
    <tableColumn id="25" xr3:uid="{00000000-0010-0000-0000-000019000000}" name="Delivery Date"/>
    <tableColumn id="26" xr3:uid="{00000000-0010-0000-0000-00001A000000}" name="Delivery Office"/>
    <tableColumn id="27" xr3:uid="{00000000-0010-0000-0000-00001B000000}" name="Delivery Address Code"/>
    <tableColumn id="28" xr3:uid="{00000000-0010-0000-0000-00001C000000}" name="Ref Doc Type"/>
    <tableColumn id="29" xr3:uid="{00000000-0010-0000-0000-00001D000000}" name="Ref Doc #"/>
    <tableColumn id="30" xr3:uid="{00000000-0010-0000-0000-00001E000000}" name="Ref Line #"/>
    <tableColumn id="31" xr3:uid="{00000000-0010-0000-0000-00001F000000}" name="Ref Final"/>
    <tableColumn id="32" xr3:uid="{00000000-0010-0000-0000-000020000000}" name="Ref Misc"/>
    <tableColumn id="33" xr3:uid="{00000000-0010-0000-0000-000021000000}" name="Local Stock Number"/>
    <tableColumn id="34" xr3:uid="{00000000-0010-0000-0000-000022000000}" name="Currency 6"/>
    <tableColumn id="35" xr3:uid="{00000000-0010-0000-0000-000023000000}" name="Currency 7"/>
    <tableColumn id="36" xr3:uid="{00000000-0010-0000-0000-000024000000}" name="Currency 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06"/>
  <sheetViews>
    <sheetView tabSelected="1" topLeftCell="D272" zoomScaleNormal="100" workbookViewId="0">
      <selection activeCell="M311" sqref="M311"/>
    </sheetView>
  </sheetViews>
  <sheetFormatPr defaultRowHeight="15" x14ac:dyDescent="0.25"/>
  <cols>
    <col min="1" max="1" width="0" hidden="1" customWidth="1"/>
    <col min="3" max="3" width="0" hidden="1" customWidth="1"/>
    <col min="4" max="4" width="175.140625" customWidth="1"/>
    <col min="7" max="7" width="10.7109375" customWidth="1"/>
    <col min="9" max="9" width="10.140625" customWidth="1"/>
    <col min="11" max="11" width="23.42578125" style="3" customWidth="1"/>
    <col min="13" max="13" width="36.42578125" style="3" customWidth="1"/>
    <col min="14" max="16" width="0" hidden="1" customWidth="1"/>
    <col min="17" max="17" width="20.85546875" customWidth="1"/>
    <col min="18" max="18" width="13.85546875" customWidth="1"/>
    <col min="22" max="47" width="0" hidden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5" t="s">
        <v>424</v>
      </c>
      <c r="L1" t="s">
        <v>10</v>
      </c>
      <c r="M1" s="5" t="s">
        <v>423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</row>
    <row r="2" spans="1:36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s="1"/>
      <c r="H2" t="s">
        <v>40</v>
      </c>
      <c r="I2" s="1"/>
      <c r="J2" t="s">
        <v>40</v>
      </c>
      <c r="K2" s="2">
        <v>0</v>
      </c>
      <c r="L2" t="s">
        <v>40</v>
      </c>
      <c r="M2" s="2">
        <f>Table1[[#This Row],[Quantity]]*Table1[[#This Row],[Proposed Unit Price]]</f>
        <v>0</v>
      </c>
      <c r="N2" t="s">
        <v>40</v>
      </c>
      <c r="O2" s="1">
        <v>0</v>
      </c>
      <c r="P2" t="s">
        <v>40</v>
      </c>
      <c r="Q2" s="6">
        <v>45901</v>
      </c>
      <c r="R2" s="7">
        <v>46265</v>
      </c>
      <c r="S2" t="s">
        <v>41</v>
      </c>
      <c r="T2" t="s">
        <v>36</v>
      </c>
      <c r="U2" t="s">
        <v>36</v>
      </c>
      <c r="V2" t="s">
        <v>42</v>
      </c>
      <c r="W2" t="s">
        <v>43</v>
      </c>
      <c r="X2" t="s">
        <v>36</v>
      </c>
      <c r="Y2" t="s">
        <v>36</v>
      </c>
      <c r="Z2" t="s">
        <v>36</v>
      </c>
      <c r="AA2" t="s">
        <v>36</v>
      </c>
      <c r="AB2" t="s">
        <v>44</v>
      </c>
      <c r="AC2" t="s">
        <v>45</v>
      </c>
      <c r="AD2" t="s">
        <v>35</v>
      </c>
      <c r="AE2" t="s">
        <v>46</v>
      </c>
      <c r="AF2" t="s">
        <v>46</v>
      </c>
      <c r="AG2" t="s">
        <v>36</v>
      </c>
      <c r="AH2" t="s">
        <v>40</v>
      </c>
      <c r="AI2" t="s">
        <v>40</v>
      </c>
      <c r="AJ2" t="s">
        <v>40</v>
      </c>
    </row>
    <row r="3" spans="1:36" x14ac:dyDescent="0.25">
      <c r="A3" t="s">
        <v>34</v>
      </c>
      <c r="B3" t="s">
        <v>47</v>
      </c>
      <c r="C3" t="s">
        <v>36</v>
      </c>
      <c r="D3" t="s">
        <v>48</v>
      </c>
      <c r="E3" t="s">
        <v>49</v>
      </c>
      <c r="F3" t="s">
        <v>39</v>
      </c>
      <c r="G3" s="1"/>
      <c r="H3" t="s">
        <v>40</v>
      </c>
      <c r="I3" s="1"/>
      <c r="J3" t="s">
        <v>40</v>
      </c>
      <c r="K3" s="2">
        <v>0</v>
      </c>
      <c r="L3" t="s">
        <v>40</v>
      </c>
      <c r="M3" s="2">
        <f>Table1[[#This Row],[Quantity]]*Table1[[#This Row],[Proposed Unit Price]]</f>
        <v>0</v>
      </c>
      <c r="N3" t="s">
        <v>40</v>
      </c>
      <c r="O3" s="1">
        <v>0</v>
      </c>
      <c r="P3" t="s">
        <v>40</v>
      </c>
      <c r="Q3" s="6">
        <v>45901</v>
      </c>
      <c r="R3" s="7">
        <v>46265</v>
      </c>
      <c r="S3" t="s">
        <v>41</v>
      </c>
      <c r="T3" t="s">
        <v>36</v>
      </c>
      <c r="U3" t="s">
        <v>36</v>
      </c>
      <c r="V3" t="s">
        <v>42</v>
      </c>
      <c r="W3" t="s">
        <v>43</v>
      </c>
      <c r="X3" t="s">
        <v>36</v>
      </c>
      <c r="Y3" t="s">
        <v>36</v>
      </c>
      <c r="Z3" t="s">
        <v>36</v>
      </c>
      <c r="AA3" t="s">
        <v>36</v>
      </c>
      <c r="AB3" t="s">
        <v>44</v>
      </c>
      <c r="AC3" t="s">
        <v>45</v>
      </c>
      <c r="AD3" t="s">
        <v>47</v>
      </c>
      <c r="AE3" t="s">
        <v>46</v>
      </c>
      <c r="AF3" t="s">
        <v>46</v>
      </c>
      <c r="AG3" t="s">
        <v>36</v>
      </c>
      <c r="AH3" t="s">
        <v>40</v>
      </c>
      <c r="AI3" t="s">
        <v>40</v>
      </c>
      <c r="AJ3" t="s">
        <v>40</v>
      </c>
    </row>
    <row r="4" spans="1:36" x14ac:dyDescent="0.25">
      <c r="A4" t="s">
        <v>34</v>
      </c>
      <c r="B4" t="s">
        <v>50</v>
      </c>
      <c r="C4" t="s">
        <v>36</v>
      </c>
      <c r="D4" t="s">
        <v>51</v>
      </c>
      <c r="E4" t="s">
        <v>52</v>
      </c>
      <c r="F4" t="s">
        <v>39</v>
      </c>
      <c r="G4" s="1"/>
      <c r="H4" t="s">
        <v>40</v>
      </c>
      <c r="I4" s="1"/>
      <c r="J4" t="s">
        <v>40</v>
      </c>
      <c r="K4" s="2">
        <v>0</v>
      </c>
      <c r="L4" t="s">
        <v>40</v>
      </c>
      <c r="M4" s="2">
        <f>Table1[[#This Row],[Quantity]]*Table1[[#This Row],[Proposed Unit Price]]</f>
        <v>0</v>
      </c>
      <c r="N4" t="s">
        <v>40</v>
      </c>
      <c r="O4" s="1">
        <v>0</v>
      </c>
      <c r="P4" t="s">
        <v>40</v>
      </c>
      <c r="Q4" s="6">
        <v>45901</v>
      </c>
      <c r="R4" s="7">
        <v>46265</v>
      </c>
      <c r="S4" t="s">
        <v>41</v>
      </c>
      <c r="T4" t="s">
        <v>36</v>
      </c>
      <c r="U4" t="s">
        <v>36</v>
      </c>
      <c r="V4" t="s">
        <v>42</v>
      </c>
      <c r="W4" t="s">
        <v>43</v>
      </c>
      <c r="X4" t="s">
        <v>36</v>
      </c>
      <c r="Y4" t="s">
        <v>36</v>
      </c>
      <c r="Z4" t="s">
        <v>36</v>
      </c>
      <c r="AA4" t="s">
        <v>36</v>
      </c>
      <c r="AB4" t="s">
        <v>44</v>
      </c>
      <c r="AC4" t="s">
        <v>45</v>
      </c>
      <c r="AD4" t="s">
        <v>50</v>
      </c>
      <c r="AE4" t="s">
        <v>46</v>
      </c>
      <c r="AF4" t="s">
        <v>46</v>
      </c>
      <c r="AG4" t="s">
        <v>36</v>
      </c>
      <c r="AH4" t="s">
        <v>40</v>
      </c>
      <c r="AI4" t="s">
        <v>40</v>
      </c>
      <c r="AJ4" t="s">
        <v>40</v>
      </c>
    </row>
    <row r="5" spans="1:36" x14ac:dyDescent="0.25">
      <c r="A5" t="s">
        <v>34</v>
      </c>
      <c r="B5" t="s">
        <v>53</v>
      </c>
      <c r="C5" t="s">
        <v>36</v>
      </c>
      <c r="D5" t="s">
        <v>54</v>
      </c>
      <c r="E5" t="s">
        <v>38</v>
      </c>
      <c r="F5" t="s">
        <v>39</v>
      </c>
      <c r="G5" s="1"/>
      <c r="H5" t="s">
        <v>40</v>
      </c>
      <c r="I5" s="1"/>
      <c r="J5" t="s">
        <v>40</v>
      </c>
      <c r="K5" s="2">
        <v>0</v>
      </c>
      <c r="L5" t="s">
        <v>40</v>
      </c>
      <c r="M5" s="2">
        <f>Table1[[#This Row],[Quantity]]*Table1[[#This Row],[Proposed Unit Price]]</f>
        <v>0</v>
      </c>
      <c r="N5" t="s">
        <v>40</v>
      </c>
      <c r="O5" s="1">
        <v>0</v>
      </c>
      <c r="P5" t="s">
        <v>40</v>
      </c>
      <c r="Q5" s="6">
        <v>45901</v>
      </c>
      <c r="R5" s="7">
        <v>46265</v>
      </c>
      <c r="S5" t="s">
        <v>41</v>
      </c>
      <c r="T5" t="s">
        <v>36</v>
      </c>
      <c r="U5" t="s">
        <v>36</v>
      </c>
      <c r="V5" t="s">
        <v>42</v>
      </c>
      <c r="W5" t="s">
        <v>43</v>
      </c>
      <c r="X5" t="s">
        <v>36</v>
      </c>
      <c r="Y5" t="s">
        <v>36</v>
      </c>
      <c r="Z5" t="s">
        <v>36</v>
      </c>
      <c r="AA5" t="s">
        <v>36</v>
      </c>
      <c r="AB5" t="s">
        <v>44</v>
      </c>
      <c r="AC5" t="s">
        <v>45</v>
      </c>
      <c r="AD5" t="s">
        <v>53</v>
      </c>
      <c r="AE5" t="s">
        <v>46</v>
      </c>
      <c r="AF5" t="s">
        <v>46</v>
      </c>
      <c r="AG5" t="s">
        <v>36</v>
      </c>
      <c r="AH5" t="s">
        <v>40</v>
      </c>
      <c r="AI5" t="s">
        <v>40</v>
      </c>
      <c r="AJ5" t="s">
        <v>40</v>
      </c>
    </row>
    <row r="6" spans="1:36" x14ac:dyDescent="0.25">
      <c r="A6" t="s">
        <v>34</v>
      </c>
      <c r="B6" t="s">
        <v>55</v>
      </c>
      <c r="C6" t="s">
        <v>36</v>
      </c>
      <c r="D6" t="s">
        <v>56</v>
      </c>
      <c r="E6" t="s">
        <v>57</v>
      </c>
      <c r="F6" t="s">
        <v>39</v>
      </c>
      <c r="G6" s="1"/>
      <c r="H6" t="s">
        <v>40</v>
      </c>
      <c r="I6" s="1"/>
      <c r="J6" t="s">
        <v>40</v>
      </c>
      <c r="K6" s="2">
        <v>0</v>
      </c>
      <c r="L6" t="s">
        <v>40</v>
      </c>
      <c r="M6" s="2">
        <f>Table1[[#This Row],[Quantity]]*Table1[[#This Row],[Proposed Unit Price]]</f>
        <v>0</v>
      </c>
      <c r="N6" t="s">
        <v>40</v>
      </c>
      <c r="O6" s="1">
        <v>0</v>
      </c>
      <c r="P6" t="s">
        <v>40</v>
      </c>
      <c r="Q6" s="6">
        <v>45901</v>
      </c>
      <c r="R6" s="7">
        <v>46265</v>
      </c>
      <c r="S6" t="s">
        <v>41</v>
      </c>
      <c r="T6" t="s">
        <v>36</v>
      </c>
      <c r="U6" t="s">
        <v>36</v>
      </c>
      <c r="V6" t="s">
        <v>42</v>
      </c>
      <c r="W6" t="s">
        <v>43</v>
      </c>
      <c r="X6" t="s">
        <v>36</v>
      </c>
      <c r="Y6" t="s">
        <v>36</v>
      </c>
      <c r="Z6" t="s">
        <v>36</v>
      </c>
      <c r="AA6" t="s">
        <v>36</v>
      </c>
      <c r="AB6" t="s">
        <v>44</v>
      </c>
      <c r="AC6" t="s">
        <v>45</v>
      </c>
      <c r="AD6" t="s">
        <v>55</v>
      </c>
      <c r="AE6" t="s">
        <v>46</v>
      </c>
      <c r="AF6" t="s">
        <v>46</v>
      </c>
      <c r="AG6" t="s">
        <v>36</v>
      </c>
      <c r="AH6" t="s">
        <v>40</v>
      </c>
      <c r="AI6" t="s">
        <v>40</v>
      </c>
      <c r="AJ6" t="s">
        <v>40</v>
      </c>
    </row>
    <row r="7" spans="1:36" x14ac:dyDescent="0.25">
      <c r="A7" t="s">
        <v>34</v>
      </c>
      <c r="B7" t="s">
        <v>58</v>
      </c>
      <c r="C7" t="s">
        <v>36</v>
      </c>
      <c r="D7" t="s">
        <v>59</v>
      </c>
      <c r="E7" t="s">
        <v>60</v>
      </c>
      <c r="F7" t="s">
        <v>39</v>
      </c>
      <c r="G7" s="1"/>
      <c r="H7" t="s">
        <v>40</v>
      </c>
      <c r="I7" s="1"/>
      <c r="J7" t="s">
        <v>40</v>
      </c>
      <c r="K7" s="2">
        <v>0</v>
      </c>
      <c r="L7" t="s">
        <v>40</v>
      </c>
      <c r="M7" s="2">
        <f>Table1[[#This Row],[Quantity]]*Table1[[#This Row],[Proposed Unit Price]]</f>
        <v>0</v>
      </c>
      <c r="N7" t="s">
        <v>40</v>
      </c>
      <c r="O7" s="1">
        <v>0</v>
      </c>
      <c r="P7" t="s">
        <v>40</v>
      </c>
      <c r="Q7" s="6">
        <v>45901</v>
      </c>
      <c r="R7" s="7">
        <v>46265</v>
      </c>
      <c r="S7" t="s">
        <v>41</v>
      </c>
      <c r="T7" t="s">
        <v>36</v>
      </c>
      <c r="U7" t="s">
        <v>36</v>
      </c>
      <c r="V7" t="s">
        <v>42</v>
      </c>
      <c r="W7" t="s">
        <v>43</v>
      </c>
      <c r="X7" t="s">
        <v>36</v>
      </c>
      <c r="Y7" t="s">
        <v>36</v>
      </c>
      <c r="Z7" t="s">
        <v>36</v>
      </c>
      <c r="AA7" t="s">
        <v>36</v>
      </c>
      <c r="AB7" t="s">
        <v>44</v>
      </c>
      <c r="AC7" t="s">
        <v>45</v>
      </c>
      <c r="AD7" t="s">
        <v>58</v>
      </c>
      <c r="AE7" t="s">
        <v>46</v>
      </c>
      <c r="AF7" t="s">
        <v>46</v>
      </c>
      <c r="AG7" t="s">
        <v>36</v>
      </c>
      <c r="AH7" t="s">
        <v>40</v>
      </c>
      <c r="AI7" t="s">
        <v>40</v>
      </c>
      <c r="AJ7" t="s">
        <v>40</v>
      </c>
    </row>
    <row r="8" spans="1:36" x14ac:dyDescent="0.25">
      <c r="A8" t="s">
        <v>34</v>
      </c>
      <c r="B8" t="s">
        <v>61</v>
      </c>
      <c r="C8" t="s">
        <v>36</v>
      </c>
      <c r="D8" t="s">
        <v>62</v>
      </c>
      <c r="E8" t="s">
        <v>63</v>
      </c>
      <c r="F8" t="s">
        <v>64</v>
      </c>
      <c r="G8" s="1"/>
      <c r="H8" t="s">
        <v>40</v>
      </c>
      <c r="I8" s="1"/>
      <c r="J8" t="s">
        <v>40</v>
      </c>
      <c r="K8" s="2">
        <v>0</v>
      </c>
      <c r="L8" t="s">
        <v>40</v>
      </c>
      <c r="M8" s="2">
        <f>Table1[[#This Row],[Quantity]]*Table1[[#This Row],[Proposed Unit Price]]</f>
        <v>0</v>
      </c>
      <c r="N8" t="s">
        <v>40</v>
      </c>
      <c r="O8" s="1">
        <v>0</v>
      </c>
      <c r="P8" t="s">
        <v>40</v>
      </c>
      <c r="Q8" s="6">
        <v>45901</v>
      </c>
      <c r="R8" s="7">
        <v>46265</v>
      </c>
      <c r="S8" t="s">
        <v>41</v>
      </c>
      <c r="T8" t="s">
        <v>36</v>
      </c>
      <c r="U8" t="s">
        <v>36</v>
      </c>
      <c r="V8" t="s">
        <v>42</v>
      </c>
      <c r="W8" t="s">
        <v>43</v>
      </c>
      <c r="X8" t="s">
        <v>36</v>
      </c>
      <c r="Y8" t="s">
        <v>36</v>
      </c>
      <c r="Z8" t="s">
        <v>36</v>
      </c>
      <c r="AA8" t="s">
        <v>36</v>
      </c>
      <c r="AB8" t="s">
        <v>44</v>
      </c>
      <c r="AC8" t="s">
        <v>45</v>
      </c>
      <c r="AD8" t="s">
        <v>61</v>
      </c>
      <c r="AE8" t="s">
        <v>46</v>
      </c>
      <c r="AF8" t="s">
        <v>46</v>
      </c>
      <c r="AG8" t="s">
        <v>36</v>
      </c>
      <c r="AH8" t="s">
        <v>40</v>
      </c>
      <c r="AI8" t="s">
        <v>40</v>
      </c>
      <c r="AJ8" t="s">
        <v>40</v>
      </c>
    </row>
    <row r="9" spans="1:36" x14ac:dyDescent="0.25">
      <c r="A9" t="s">
        <v>34</v>
      </c>
      <c r="B9" t="s">
        <v>65</v>
      </c>
      <c r="C9" t="s">
        <v>36</v>
      </c>
      <c r="D9" t="s">
        <v>66</v>
      </c>
      <c r="E9" t="s">
        <v>67</v>
      </c>
      <c r="F9" t="s">
        <v>39</v>
      </c>
      <c r="G9" s="1"/>
      <c r="H9" t="s">
        <v>40</v>
      </c>
      <c r="I9" s="1"/>
      <c r="J9" t="s">
        <v>40</v>
      </c>
      <c r="K9" s="2">
        <v>0</v>
      </c>
      <c r="L9" t="s">
        <v>40</v>
      </c>
      <c r="M9" s="2">
        <f>Table1[[#This Row],[Quantity]]*Table1[[#This Row],[Proposed Unit Price]]</f>
        <v>0</v>
      </c>
      <c r="N9" t="s">
        <v>40</v>
      </c>
      <c r="O9" s="1">
        <v>0</v>
      </c>
      <c r="P9" t="s">
        <v>40</v>
      </c>
      <c r="Q9" s="6">
        <v>45901</v>
      </c>
      <c r="R9" s="7">
        <v>46265</v>
      </c>
      <c r="S9" t="s">
        <v>41</v>
      </c>
      <c r="T9" t="s">
        <v>36</v>
      </c>
      <c r="U9" t="s">
        <v>36</v>
      </c>
      <c r="V9" t="s">
        <v>42</v>
      </c>
      <c r="W9" t="s">
        <v>43</v>
      </c>
      <c r="X9" t="s">
        <v>36</v>
      </c>
      <c r="Y9" t="s">
        <v>36</v>
      </c>
      <c r="Z9" t="s">
        <v>36</v>
      </c>
      <c r="AA9" t="s">
        <v>36</v>
      </c>
      <c r="AB9" t="s">
        <v>44</v>
      </c>
      <c r="AC9" t="s">
        <v>45</v>
      </c>
      <c r="AD9" t="s">
        <v>65</v>
      </c>
      <c r="AE9" t="s">
        <v>46</v>
      </c>
      <c r="AF9" t="s">
        <v>46</v>
      </c>
      <c r="AG9" t="s">
        <v>36</v>
      </c>
      <c r="AH9" t="s">
        <v>40</v>
      </c>
      <c r="AI9" t="s">
        <v>40</v>
      </c>
      <c r="AJ9" t="s">
        <v>40</v>
      </c>
    </row>
    <row r="10" spans="1:36" x14ac:dyDescent="0.25">
      <c r="A10" t="s">
        <v>34</v>
      </c>
      <c r="B10" t="s">
        <v>68</v>
      </c>
      <c r="C10" t="s">
        <v>36</v>
      </c>
      <c r="D10" t="s">
        <v>69</v>
      </c>
      <c r="E10" t="s">
        <v>70</v>
      </c>
      <c r="F10" t="s">
        <v>71</v>
      </c>
      <c r="G10" s="1"/>
      <c r="H10" t="s">
        <v>40</v>
      </c>
      <c r="I10" s="1"/>
      <c r="J10" t="s">
        <v>40</v>
      </c>
      <c r="K10" s="2">
        <v>0</v>
      </c>
      <c r="L10" t="s">
        <v>40</v>
      </c>
      <c r="M10" s="2">
        <f>Table1[[#This Row],[Quantity]]*Table1[[#This Row],[Proposed Unit Price]]</f>
        <v>0</v>
      </c>
      <c r="N10" t="s">
        <v>40</v>
      </c>
      <c r="O10" s="1">
        <v>0</v>
      </c>
      <c r="P10" t="s">
        <v>40</v>
      </c>
      <c r="Q10" s="6">
        <v>45901</v>
      </c>
      <c r="R10" s="7">
        <v>46265</v>
      </c>
      <c r="S10" t="s">
        <v>41</v>
      </c>
      <c r="T10" t="s">
        <v>36</v>
      </c>
      <c r="U10" t="s">
        <v>36</v>
      </c>
      <c r="V10" t="s">
        <v>42</v>
      </c>
      <c r="W10" t="s">
        <v>43</v>
      </c>
      <c r="X10" t="s">
        <v>36</v>
      </c>
      <c r="Y10" t="s">
        <v>36</v>
      </c>
      <c r="Z10" t="s">
        <v>36</v>
      </c>
      <c r="AA10" t="s">
        <v>36</v>
      </c>
      <c r="AB10" t="s">
        <v>44</v>
      </c>
      <c r="AC10" t="s">
        <v>45</v>
      </c>
      <c r="AD10" t="s">
        <v>68</v>
      </c>
      <c r="AE10" t="s">
        <v>46</v>
      </c>
      <c r="AF10" t="s">
        <v>46</v>
      </c>
      <c r="AG10" t="s">
        <v>36</v>
      </c>
      <c r="AH10" t="s">
        <v>40</v>
      </c>
      <c r="AI10" t="s">
        <v>40</v>
      </c>
      <c r="AJ10" t="s">
        <v>40</v>
      </c>
    </row>
    <row r="11" spans="1:36" x14ac:dyDescent="0.25">
      <c r="A11" t="s">
        <v>34</v>
      </c>
      <c r="B11" t="s">
        <v>72</v>
      </c>
      <c r="C11" t="s">
        <v>36</v>
      </c>
      <c r="D11" t="s">
        <v>73</v>
      </c>
      <c r="E11" t="s">
        <v>50</v>
      </c>
      <c r="F11" t="s">
        <v>39</v>
      </c>
      <c r="G11" s="1"/>
      <c r="H11" t="s">
        <v>40</v>
      </c>
      <c r="I11" s="1"/>
      <c r="J11" t="s">
        <v>40</v>
      </c>
      <c r="K11" s="2">
        <v>0</v>
      </c>
      <c r="L11" t="s">
        <v>40</v>
      </c>
      <c r="M11" s="2">
        <f>Table1[[#This Row],[Quantity]]*Table1[[#This Row],[Proposed Unit Price]]</f>
        <v>0</v>
      </c>
      <c r="N11" t="s">
        <v>40</v>
      </c>
      <c r="O11" s="1">
        <v>0</v>
      </c>
      <c r="P11" t="s">
        <v>40</v>
      </c>
      <c r="Q11" s="6">
        <v>45901</v>
      </c>
      <c r="R11" s="7">
        <v>46265</v>
      </c>
      <c r="S11" t="s">
        <v>41</v>
      </c>
      <c r="T11" t="s">
        <v>36</v>
      </c>
      <c r="U11" t="s">
        <v>36</v>
      </c>
      <c r="V11" t="s">
        <v>42</v>
      </c>
      <c r="W11" t="s">
        <v>43</v>
      </c>
      <c r="X11" t="s">
        <v>36</v>
      </c>
      <c r="Y11" t="s">
        <v>36</v>
      </c>
      <c r="Z11" t="s">
        <v>36</v>
      </c>
      <c r="AA11" t="s">
        <v>36</v>
      </c>
      <c r="AB11" t="s">
        <v>44</v>
      </c>
      <c r="AC11" t="s">
        <v>45</v>
      </c>
      <c r="AD11" t="s">
        <v>72</v>
      </c>
      <c r="AE11" t="s">
        <v>46</v>
      </c>
      <c r="AF11" t="s">
        <v>46</v>
      </c>
      <c r="AG11" t="s">
        <v>36</v>
      </c>
      <c r="AH11" t="s">
        <v>40</v>
      </c>
      <c r="AI11" t="s">
        <v>40</v>
      </c>
      <c r="AJ11" t="s">
        <v>40</v>
      </c>
    </row>
    <row r="12" spans="1:36" x14ac:dyDescent="0.25">
      <c r="A12" t="s">
        <v>34</v>
      </c>
      <c r="B12" t="s">
        <v>74</v>
      </c>
      <c r="C12" t="s">
        <v>36</v>
      </c>
      <c r="D12" t="s">
        <v>75</v>
      </c>
      <c r="E12" t="s">
        <v>53</v>
      </c>
      <c r="F12" t="s">
        <v>39</v>
      </c>
      <c r="G12" s="1"/>
      <c r="H12" t="s">
        <v>40</v>
      </c>
      <c r="I12" s="1"/>
      <c r="J12" t="s">
        <v>40</v>
      </c>
      <c r="K12" s="2">
        <v>0</v>
      </c>
      <c r="L12" t="s">
        <v>40</v>
      </c>
      <c r="M12" s="2">
        <f>Table1[[#This Row],[Quantity]]*Table1[[#This Row],[Proposed Unit Price]]</f>
        <v>0</v>
      </c>
      <c r="N12" t="s">
        <v>40</v>
      </c>
      <c r="O12" s="1">
        <v>0</v>
      </c>
      <c r="P12" t="s">
        <v>40</v>
      </c>
      <c r="Q12" s="6">
        <v>45901</v>
      </c>
      <c r="R12" s="7">
        <v>46265</v>
      </c>
      <c r="S12" t="s">
        <v>41</v>
      </c>
      <c r="T12" t="s">
        <v>36</v>
      </c>
      <c r="U12" t="s">
        <v>36</v>
      </c>
      <c r="V12" t="s">
        <v>42</v>
      </c>
      <c r="W12" t="s">
        <v>43</v>
      </c>
      <c r="X12" t="s">
        <v>36</v>
      </c>
      <c r="Y12" t="s">
        <v>36</v>
      </c>
      <c r="Z12" t="s">
        <v>36</v>
      </c>
      <c r="AA12" t="s">
        <v>36</v>
      </c>
      <c r="AB12" t="s">
        <v>44</v>
      </c>
      <c r="AC12" t="s">
        <v>45</v>
      </c>
      <c r="AD12" t="s">
        <v>74</v>
      </c>
      <c r="AE12" t="s">
        <v>46</v>
      </c>
      <c r="AF12" t="s">
        <v>46</v>
      </c>
      <c r="AG12" t="s">
        <v>36</v>
      </c>
      <c r="AH12" t="s">
        <v>40</v>
      </c>
      <c r="AI12" t="s">
        <v>40</v>
      </c>
      <c r="AJ12" t="s">
        <v>40</v>
      </c>
    </row>
    <row r="13" spans="1:36" x14ac:dyDescent="0.25">
      <c r="A13" t="s">
        <v>34</v>
      </c>
      <c r="B13" t="s">
        <v>76</v>
      </c>
      <c r="C13" t="s">
        <v>36</v>
      </c>
      <c r="D13" t="s">
        <v>77</v>
      </c>
      <c r="E13" t="s">
        <v>78</v>
      </c>
      <c r="F13" t="s">
        <v>71</v>
      </c>
      <c r="G13" s="1"/>
      <c r="H13" t="s">
        <v>40</v>
      </c>
      <c r="I13" s="1"/>
      <c r="J13" t="s">
        <v>40</v>
      </c>
      <c r="K13" s="2">
        <v>0</v>
      </c>
      <c r="L13" t="s">
        <v>40</v>
      </c>
      <c r="M13" s="2">
        <f>Table1[[#This Row],[Quantity]]*Table1[[#This Row],[Proposed Unit Price]]</f>
        <v>0</v>
      </c>
      <c r="N13" t="s">
        <v>40</v>
      </c>
      <c r="O13" s="1">
        <v>0</v>
      </c>
      <c r="P13" t="s">
        <v>40</v>
      </c>
      <c r="Q13" s="6">
        <v>45901</v>
      </c>
      <c r="R13" s="7">
        <v>46265</v>
      </c>
      <c r="S13" t="s">
        <v>41</v>
      </c>
      <c r="T13" t="s">
        <v>36</v>
      </c>
      <c r="U13" t="s">
        <v>36</v>
      </c>
      <c r="V13" t="s">
        <v>42</v>
      </c>
      <c r="W13" t="s">
        <v>43</v>
      </c>
      <c r="X13" t="s">
        <v>36</v>
      </c>
      <c r="Y13" t="s">
        <v>36</v>
      </c>
      <c r="Z13" t="s">
        <v>36</v>
      </c>
      <c r="AA13" t="s">
        <v>36</v>
      </c>
      <c r="AB13" t="s">
        <v>44</v>
      </c>
      <c r="AC13" t="s">
        <v>45</v>
      </c>
      <c r="AD13" t="s">
        <v>76</v>
      </c>
      <c r="AE13" t="s">
        <v>46</v>
      </c>
      <c r="AF13" t="s">
        <v>46</v>
      </c>
      <c r="AG13" t="s">
        <v>36</v>
      </c>
      <c r="AH13" t="s">
        <v>40</v>
      </c>
      <c r="AI13" t="s">
        <v>40</v>
      </c>
      <c r="AJ13" t="s">
        <v>40</v>
      </c>
    </row>
    <row r="14" spans="1:36" x14ac:dyDescent="0.25">
      <c r="A14" t="s">
        <v>34</v>
      </c>
      <c r="B14" t="s">
        <v>79</v>
      </c>
      <c r="C14" t="s">
        <v>36</v>
      </c>
      <c r="D14" t="s">
        <v>80</v>
      </c>
      <c r="E14" t="s">
        <v>47</v>
      </c>
      <c r="F14" t="s">
        <v>39</v>
      </c>
      <c r="G14" s="1"/>
      <c r="H14" t="s">
        <v>40</v>
      </c>
      <c r="I14" s="1"/>
      <c r="J14" t="s">
        <v>40</v>
      </c>
      <c r="K14" s="2">
        <v>0</v>
      </c>
      <c r="L14" t="s">
        <v>40</v>
      </c>
      <c r="M14" s="2">
        <f>Table1[[#This Row],[Quantity]]*Table1[[#This Row],[Proposed Unit Price]]</f>
        <v>0</v>
      </c>
      <c r="N14" t="s">
        <v>40</v>
      </c>
      <c r="O14" s="1">
        <v>0</v>
      </c>
      <c r="P14" t="s">
        <v>40</v>
      </c>
      <c r="Q14" s="6">
        <v>45901</v>
      </c>
      <c r="R14" s="7">
        <v>46265</v>
      </c>
      <c r="S14" t="s">
        <v>41</v>
      </c>
      <c r="T14" t="s">
        <v>36</v>
      </c>
      <c r="U14" t="s">
        <v>36</v>
      </c>
      <c r="V14" t="s">
        <v>42</v>
      </c>
      <c r="W14" t="s">
        <v>43</v>
      </c>
      <c r="X14" t="s">
        <v>36</v>
      </c>
      <c r="Y14" t="s">
        <v>36</v>
      </c>
      <c r="Z14" t="s">
        <v>36</v>
      </c>
      <c r="AA14" t="s">
        <v>36</v>
      </c>
      <c r="AB14" t="s">
        <v>44</v>
      </c>
      <c r="AC14" t="s">
        <v>45</v>
      </c>
      <c r="AD14" t="s">
        <v>79</v>
      </c>
      <c r="AE14" t="s">
        <v>46</v>
      </c>
      <c r="AF14" t="s">
        <v>46</v>
      </c>
      <c r="AG14" t="s">
        <v>36</v>
      </c>
      <c r="AH14" t="s">
        <v>40</v>
      </c>
      <c r="AI14" t="s">
        <v>40</v>
      </c>
      <c r="AJ14" t="s">
        <v>40</v>
      </c>
    </row>
    <row r="15" spans="1:36" x14ac:dyDescent="0.25">
      <c r="A15" t="s">
        <v>34</v>
      </c>
      <c r="B15" t="s">
        <v>81</v>
      </c>
      <c r="C15" t="s">
        <v>36</v>
      </c>
      <c r="D15" t="s">
        <v>82</v>
      </c>
      <c r="E15" t="s">
        <v>35</v>
      </c>
      <c r="F15" t="s">
        <v>39</v>
      </c>
      <c r="G15" s="1"/>
      <c r="H15" t="s">
        <v>40</v>
      </c>
      <c r="I15" s="1"/>
      <c r="J15" t="s">
        <v>40</v>
      </c>
      <c r="K15" s="2">
        <v>0</v>
      </c>
      <c r="L15" t="s">
        <v>40</v>
      </c>
      <c r="M15" s="2">
        <f>Table1[[#This Row],[Quantity]]*Table1[[#This Row],[Proposed Unit Price]]</f>
        <v>0</v>
      </c>
      <c r="N15" t="s">
        <v>40</v>
      </c>
      <c r="O15" s="1">
        <v>0</v>
      </c>
      <c r="P15" t="s">
        <v>40</v>
      </c>
      <c r="Q15" s="6">
        <v>45901</v>
      </c>
      <c r="R15" s="7">
        <v>46265</v>
      </c>
      <c r="S15" t="s">
        <v>41</v>
      </c>
      <c r="T15" t="s">
        <v>36</v>
      </c>
      <c r="U15" t="s">
        <v>36</v>
      </c>
      <c r="V15" t="s">
        <v>83</v>
      </c>
      <c r="W15" t="s">
        <v>84</v>
      </c>
      <c r="X15" t="s">
        <v>36</v>
      </c>
      <c r="Y15" t="s">
        <v>36</v>
      </c>
      <c r="Z15" t="s">
        <v>36</v>
      </c>
      <c r="AA15" t="s">
        <v>36</v>
      </c>
      <c r="AB15" t="s">
        <v>44</v>
      </c>
      <c r="AC15" t="s">
        <v>45</v>
      </c>
      <c r="AD15" t="s">
        <v>81</v>
      </c>
      <c r="AE15" t="s">
        <v>46</v>
      </c>
      <c r="AF15" t="s">
        <v>46</v>
      </c>
      <c r="AG15" t="s">
        <v>36</v>
      </c>
      <c r="AH15" t="s">
        <v>40</v>
      </c>
      <c r="AI15" t="s">
        <v>40</v>
      </c>
      <c r="AJ15" t="s">
        <v>40</v>
      </c>
    </row>
    <row r="16" spans="1:36" x14ac:dyDescent="0.25">
      <c r="A16" t="s">
        <v>34</v>
      </c>
      <c r="B16" t="s">
        <v>85</v>
      </c>
      <c r="C16" t="s">
        <v>36</v>
      </c>
      <c r="D16" t="s">
        <v>86</v>
      </c>
      <c r="E16" t="s">
        <v>67</v>
      </c>
      <c r="F16" t="s">
        <v>87</v>
      </c>
      <c r="G16" s="1"/>
      <c r="H16" t="s">
        <v>40</v>
      </c>
      <c r="I16" s="1"/>
      <c r="J16" t="s">
        <v>40</v>
      </c>
      <c r="K16" s="2">
        <v>0</v>
      </c>
      <c r="L16" t="s">
        <v>40</v>
      </c>
      <c r="M16" s="2">
        <f>Table1[[#This Row],[Quantity]]*Table1[[#This Row],[Proposed Unit Price]]</f>
        <v>0</v>
      </c>
      <c r="N16" t="s">
        <v>40</v>
      </c>
      <c r="O16" s="1">
        <v>0</v>
      </c>
      <c r="P16" t="s">
        <v>40</v>
      </c>
      <c r="Q16" s="6">
        <v>45901</v>
      </c>
      <c r="R16" s="7">
        <v>46265</v>
      </c>
      <c r="S16" t="s">
        <v>41</v>
      </c>
      <c r="T16" t="s">
        <v>36</v>
      </c>
      <c r="U16" t="s">
        <v>36</v>
      </c>
      <c r="V16" t="s">
        <v>42</v>
      </c>
      <c r="W16" t="s">
        <v>43</v>
      </c>
      <c r="X16" t="s">
        <v>36</v>
      </c>
      <c r="Y16" t="s">
        <v>36</v>
      </c>
      <c r="Z16" t="s">
        <v>36</v>
      </c>
      <c r="AA16" t="s">
        <v>36</v>
      </c>
      <c r="AB16" t="s">
        <v>44</v>
      </c>
      <c r="AC16" t="s">
        <v>45</v>
      </c>
      <c r="AD16" t="s">
        <v>85</v>
      </c>
      <c r="AE16" t="s">
        <v>46</v>
      </c>
      <c r="AF16" t="s">
        <v>46</v>
      </c>
      <c r="AG16" t="s">
        <v>36</v>
      </c>
      <c r="AH16" t="s">
        <v>40</v>
      </c>
      <c r="AI16" t="s">
        <v>40</v>
      </c>
      <c r="AJ16" t="s">
        <v>40</v>
      </c>
    </row>
    <row r="17" spans="1:36" x14ac:dyDescent="0.25">
      <c r="A17" t="s">
        <v>34</v>
      </c>
      <c r="B17" t="s">
        <v>88</v>
      </c>
      <c r="C17" t="s">
        <v>36</v>
      </c>
      <c r="D17" t="s">
        <v>89</v>
      </c>
      <c r="E17" t="s">
        <v>53</v>
      </c>
      <c r="F17" t="s">
        <v>39</v>
      </c>
      <c r="G17" s="1"/>
      <c r="H17" t="s">
        <v>40</v>
      </c>
      <c r="I17" s="1"/>
      <c r="J17" t="s">
        <v>40</v>
      </c>
      <c r="K17" s="2">
        <v>0</v>
      </c>
      <c r="L17" t="s">
        <v>40</v>
      </c>
      <c r="M17" s="2">
        <f>Table1[[#This Row],[Quantity]]*Table1[[#This Row],[Proposed Unit Price]]</f>
        <v>0</v>
      </c>
      <c r="N17" t="s">
        <v>40</v>
      </c>
      <c r="O17" s="1">
        <v>0</v>
      </c>
      <c r="P17" t="s">
        <v>40</v>
      </c>
      <c r="Q17" s="6">
        <v>45901</v>
      </c>
      <c r="R17" s="7">
        <v>46265</v>
      </c>
      <c r="S17" t="s">
        <v>41</v>
      </c>
      <c r="T17" t="s">
        <v>36</v>
      </c>
      <c r="U17" t="s">
        <v>36</v>
      </c>
      <c r="V17" t="s">
        <v>42</v>
      </c>
      <c r="W17" t="s">
        <v>43</v>
      </c>
      <c r="X17" t="s">
        <v>36</v>
      </c>
      <c r="Y17" t="s">
        <v>36</v>
      </c>
      <c r="Z17" t="s">
        <v>36</v>
      </c>
      <c r="AA17" t="s">
        <v>36</v>
      </c>
      <c r="AB17" t="s">
        <v>44</v>
      </c>
      <c r="AC17" t="s">
        <v>45</v>
      </c>
      <c r="AD17" t="s">
        <v>88</v>
      </c>
      <c r="AE17" t="s">
        <v>46</v>
      </c>
      <c r="AF17" t="s">
        <v>46</v>
      </c>
      <c r="AG17" t="s">
        <v>36</v>
      </c>
      <c r="AH17" t="s">
        <v>40</v>
      </c>
      <c r="AI17" t="s">
        <v>40</v>
      </c>
      <c r="AJ17" t="s">
        <v>40</v>
      </c>
    </row>
    <row r="18" spans="1:36" x14ac:dyDescent="0.25">
      <c r="A18" t="s">
        <v>34</v>
      </c>
      <c r="B18" t="s">
        <v>90</v>
      </c>
      <c r="C18" t="s">
        <v>36</v>
      </c>
      <c r="D18" t="s">
        <v>91</v>
      </c>
      <c r="E18" t="s">
        <v>35</v>
      </c>
      <c r="F18" t="s">
        <v>39</v>
      </c>
      <c r="G18" s="1"/>
      <c r="H18" t="s">
        <v>40</v>
      </c>
      <c r="I18" s="1"/>
      <c r="J18" t="s">
        <v>40</v>
      </c>
      <c r="K18" s="2">
        <v>0</v>
      </c>
      <c r="L18" t="s">
        <v>40</v>
      </c>
      <c r="M18" s="2">
        <f>Table1[[#This Row],[Quantity]]*Table1[[#This Row],[Proposed Unit Price]]</f>
        <v>0</v>
      </c>
      <c r="N18" t="s">
        <v>40</v>
      </c>
      <c r="O18" s="1">
        <v>0</v>
      </c>
      <c r="P18" t="s">
        <v>40</v>
      </c>
      <c r="Q18" s="6">
        <v>45901</v>
      </c>
      <c r="R18" s="7">
        <v>46265</v>
      </c>
      <c r="S18" t="s">
        <v>41</v>
      </c>
      <c r="T18" t="s">
        <v>36</v>
      </c>
      <c r="U18" t="s">
        <v>36</v>
      </c>
      <c r="V18" t="s">
        <v>83</v>
      </c>
      <c r="W18" t="s">
        <v>84</v>
      </c>
      <c r="X18" t="s">
        <v>36</v>
      </c>
      <c r="Y18" t="s">
        <v>36</v>
      </c>
      <c r="Z18" t="s">
        <v>36</v>
      </c>
      <c r="AA18" t="s">
        <v>36</v>
      </c>
      <c r="AB18" t="s">
        <v>44</v>
      </c>
      <c r="AC18" t="s">
        <v>45</v>
      </c>
      <c r="AD18" t="s">
        <v>90</v>
      </c>
      <c r="AE18" t="s">
        <v>46</v>
      </c>
      <c r="AF18" t="s">
        <v>46</v>
      </c>
      <c r="AG18" t="s">
        <v>36</v>
      </c>
      <c r="AH18" t="s">
        <v>40</v>
      </c>
      <c r="AI18" t="s">
        <v>40</v>
      </c>
      <c r="AJ18" t="s">
        <v>40</v>
      </c>
    </row>
    <row r="19" spans="1:36" x14ac:dyDescent="0.25">
      <c r="A19" t="s">
        <v>34</v>
      </c>
      <c r="B19" t="s">
        <v>92</v>
      </c>
      <c r="C19" t="s">
        <v>36</v>
      </c>
      <c r="D19" t="s">
        <v>93</v>
      </c>
      <c r="E19" t="s">
        <v>35</v>
      </c>
      <c r="F19" t="s">
        <v>39</v>
      </c>
      <c r="G19" s="1"/>
      <c r="H19" t="s">
        <v>40</v>
      </c>
      <c r="I19" s="1"/>
      <c r="J19" t="s">
        <v>40</v>
      </c>
      <c r="K19" s="2">
        <v>0</v>
      </c>
      <c r="L19" t="s">
        <v>40</v>
      </c>
      <c r="M19" s="2">
        <f>Table1[[#This Row],[Quantity]]*Table1[[#This Row],[Proposed Unit Price]]</f>
        <v>0</v>
      </c>
      <c r="N19" t="s">
        <v>40</v>
      </c>
      <c r="O19" s="1">
        <v>0</v>
      </c>
      <c r="P19" t="s">
        <v>40</v>
      </c>
      <c r="Q19" s="6">
        <v>45901</v>
      </c>
      <c r="R19" s="7">
        <v>46265</v>
      </c>
      <c r="S19" t="s">
        <v>41</v>
      </c>
      <c r="T19" t="s">
        <v>36</v>
      </c>
      <c r="U19" t="s">
        <v>36</v>
      </c>
      <c r="V19" t="s">
        <v>83</v>
      </c>
      <c r="W19" t="s">
        <v>84</v>
      </c>
      <c r="X19" t="s">
        <v>36</v>
      </c>
      <c r="Y19" t="s">
        <v>36</v>
      </c>
      <c r="Z19" t="s">
        <v>36</v>
      </c>
      <c r="AA19" t="s">
        <v>36</v>
      </c>
      <c r="AB19" t="s">
        <v>44</v>
      </c>
      <c r="AC19" t="s">
        <v>45</v>
      </c>
      <c r="AD19" t="s">
        <v>92</v>
      </c>
      <c r="AE19" t="s">
        <v>46</v>
      </c>
      <c r="AF19" t="s">
        <v>46</v>
      </c>
      <c r="AG19" t="s">
        <v>36</v>
      </c>
      <c r="AH19" t="s">
        <v>40</v>
      </c>
      <c r="AI19" t="s">
        <v>40</v>
      </c>
      <c r="AJ19" t="s">
        <v>40</v>
      </c>
    </row>
    <row r="20" spans="1:36" x14ac:dyDescent="0.25">
      <c r="A20" t="s">
        <v>34</v>
      </c>
      <c r="B20" t="s">
        <v>94</v>
      </c>
      <c r="C20" t="s">
        <v>36</v>
      </c>
      <c r="D20" t="s">
        <v>95</v>
      </c>
      <c r="E20" t="s">
        <v>60</v>
      </c>
      <c r="F20" t="s">
        <v>96</v>
      </c>
      <c r="G20" s="1"/>
      <c r="H20" t="s">
        <v>40</v>
      </c>
      <c r="I20" s="1"/>
      <c r="J20" t="s">
        <v>40</v>
      </c>
      <c r="K20" s="2">
        <v>0</v>
      </c>
      <c r="L20" t="s">
        <v>40</v>
      </c>
      <c r="M20" s="2">
        <f>Table1[[#This Row],[Quantity]]*Table1[[#This Row],[Proposed Unit Price]]</f>
        <v>0</v>
      </c>
      <c r="N20" t="s">
        <v>40</v>
      </c>
      <c r="O20" s="1">
        <v>0</v>
      </c>
      <c r="P20" t="s">
        <v>40</v>
      </c>
      <c r="Q20" s="6">
        <v>45901</v>
      </c>
      <c r="R20" s="7">
        <v>46265</v>
      </c>
      <c r="S20" t="s">
        <v>41</v>
      </c>
      <c r="T20" t="s">
        <v>36</v>
      </c>
      <c r="U20" t="s">
        <v>36</v>
      </c>
      <c r="V20" t="s">
        <v>42</v>
      </c>
      <c r="W20" t="s">
        <v>43</v>
      </c>
      <c r="X20" t="s">
        <v>36</v>
      </c>
      <c r="Y20" t="s">
        <v>36</v>
      </c>
      <c r="Z20" t="s">
        <v>36</v>
      </c>
      <c r="AA20" t="s">
        <v>36</v>
      </c>
      <c r="AB20" t="s">
        <v>44</v>
      </c>
      <c r="AC20" t="s">
        <v>45</v>
      </c>
      <c r="AD20" t="s">
        <v>94</v>
      </c>
      <c r="AE20" t="s">
        <v>46</v>
      </c>
      <c r="AF20" t="s">
        <v>46</v>
      </c>
      <c r="AG20" t="s">
        <v>36</v>
      </c>
      <c r="AH20" t="s">
        <v>40</v>
      </c>
      <c r="AI20" t="s">
        <v>40</v>
      </c>
      <c r="AJ20" t="s">
        <v>40</v>
      </c>
    </row>
    <row r="21" spans="1:36" x14ac:dyDescent="0.25">
      <c r="A21" t="s">
        <v>34</v>
      </c>
      <c r="B21" t="s">
        <v>97</v>
      </c>
      <c r="C21" t="s">
        <v>36</v>
      </c>
      <c r="D21" t="s">
        <v>98</v>
      </c>
      <c r="E21" t="s">
        <v>99</v>
      </c>
      <c r="F21" t="s">
        <v>39</v>
      </c>
      <c r="G21" s="1"/>
      <c r="H21" t="s">
        <v>40</v>
      </c>
      <c r="I21" s="1"/>
      <c r="J21" t="s">
        <v>40</v>
      </c>
      <c r="K21" s="2">
        <v>0</v>
      </c>
      <c r="L21" t="s">
        <v>40</v>
      </c>
      <c r="M21" s="2">
        <f>Table1[[#This Row],[Quantity]]*Table1[[#This Row],[Proposed Unit Price]]</f>
        <v>0</v>
      </c>
      <c r="N21" t="s">
        <v>40</v>
      </c>
      <c r="O21" s="1">
        <v>0</v>
      </c>
      <c r="P21" t="s">
        <v>40</v>
      </c>
      <c r="Q21" s="6">
        <v>45901</v>
      </c>
      <c r="R21" s="7">
        <v>46265</v>
      </c>
      <c r="S21" t="s">
        <v>41</v>
      </c>
      <c r="T21" t="s">
        <v>36</v>
      </c>
      <c r="U21" t="s">
        <v>36</v>
      </c>
      <c r="V21" t="s">
        <v>42</v>
      </c>
      <c r="W21" t="s">
        <v>43</v>
      </c>
      <c r="X21" t="s">
        <v>36</v>
      </c>
      <c r="Y21" t="s">
        <v>36</v>
      </c>
      <c r="Z21" t="s">
        <v>36</v>
      </c>
      <c r="AA21" t="s">
        <v>36</v>
      </c>
      <c r="AB21" t="s">
        <v>44</v>
      </c>
      <c r="AC21" t="s">
        <v>45</v>
      </c>
      <c r="AD21" t="s">
        <v>97</v>
      </c>
      <c r="AE21" t="s">
        <v>46</v>
      </c>
      <c r="AF21" t="s">
        <v>46</v>
      </c>
      <c r="AG21" t="s">
        <v>36</v>
      </c>
      <c r="AH21" t="s">
        <v>40</v>
      </c>
      <c r="AI21" t="s">
        <v>40</v>
      </c>
      <c r="AJ21" t="s">
        <v>40</v>
      </c>
    </row>
    <row r="22" spans="1:36" x14ac:dyDescent="0.25">
      <c r="A22" t="s">
        <v>34</v>
      </c>
      <c r="B22" t="s">
        <v>100</v>
      </c>
      <c r="C22" t="s">
        <v>36</v>
      </c>
      <c r="D22" t="s">
        <v>101</v>
      </c>
      <c r="E22" t="s">
        <v>63</v>
      </c>
      <c r="F22" t="s">
        <v>39</v>
      </c>
      <c r="G22" s="1"/>
      <c r="H22" t="s">
        <v>40</v>
      </c>
      <c r="I22" s="1"/>
      <c r="J22" t="s">
        <v>40</v>
      </c>
      <c r="K22" s="2">
        <v>0</v>
      </c>
      <c r="L22" t="s">
        <v>40</v>
      </c>
      <c r="M22" s="2">
        <f>Table1[[#This Row],[Quantity]]*Table1[[#This Row],[Proposed Unit Price]]</f>
        <v>0</v>
      </c>
      <c r="N22" t="s">
        <v>40</v>
      </c>
      <c r="O22" s="1">
        <v>0</v>
      </c>
      <c r="P22" t="s">
        <v>40</v>
      </c>
      <c r="Q22" s="6">
        <v>45901</v>
      </c>
      <c r="R22" s="7">
        <v>46265</v>
      </c>
      <c r="S22" t="s">
        <v>41</v>
      </c>
      <c r="T22" t="s">
        <v>36</v>
      </c>
      <c r="U22" t="s">
        <v>36</v>
      </c>
      <c r="V22" t="s">
        <v>42</v>
      </c>
      <c r="W22" t="s">
        <v>43</v>
      </c>
      <c r="X22" t="s">
        <v>36</v>
      </c>
      <c r="Y22" t="s">
        <v>36</v>
      </c>
      <c r="Z22" t="s">
        <v>36</v>
      </c>
      <c r="AA22" t="s">
        <v>36</v>
      </c>
      <c r="AB22" t="s">
        <v>44</v>
      </c>
      <c r="AC22" t="s">
        <v>45</v>
      </c>
      <c r="AD22" t="s">
        <v>100</v>
      </c>
      <c r="AE22" t="s">
        <v>46</v>
      </c>
      <c r="AF22" t="s">
        <v>46</v>
      </c>
      <c r="AG22" t="s">
        <v>36</v>
      </c>
      <c r="AH22" t="s">
        <v>40</v>
      </c>
      <c r="AI22" t="s">
        <v>40</v>
      </c>
      <c r="AJ22" t="s">
        <v>40</v>
      </c>
    </row>
    <row r="23" spans="1:36" x14ac:dyDescent="0.25">
      <c r="A23" t="s">
        <v>34</v>
      </c>
      <c r="B23" t="s">
        <v>102</v>
      </c>
      <c r="C23" t="s">
        <v>36</v>
      </c>
      <c r="D23" t="s">
        <v>103</v>
      </c>
      <c r="E23" t="s">
        <v>58</v>
      </c>
      <c r="F23" t="s">
        <v>87</v>
      </c>
      <c r="G23" s="1"/>
      <c r="H23" t="s">
        <v>40</v>
      </c>
      <c r="I23" s="1"/>
      <c r="J23" t="s">
        <v>40</v>
      </c>
      <c r="K23" s="2">
        <v>0</v>
      </c>
      <c r="L23" t="s">
        <v>40</v>
      </c>
      <c r="M23" s="2">
        <f>Table1[[#This Row],[Quantity]]*Table1[[#This Row],[Proposed Unit Price]]</f>
        <v>0</v>
      </c>
      <c r="N23" t="s">
        <v>40</v>
      </c>
      <c r="O23" s="1">
        <v>0</v>
      </c>
      <c r="P23" t="s">
        <v>40</v>
      </c>
      <c r="Q23" s="6">
        <v>45901</v>
      </c>
      <c r="R23" s="7">
        <v>46265</v>
      </c>
      <c r="S23" t="s">
        <v>41</v>
      </c>
      <c r="T23" t="s">
        <v>36</v>
      </c>
      <c r="U23" t="s">
        <v>36</v>
      </c>
      <c r="V23" t="s">
        <v>42</v>
      </c>
      <c r="W23" t="s">
        <v>43</v>
      </c>
      <c r="X23" t="s">
        <v>36</v>
      </c>
      <c r="Y23" t="s">
        <v>36</v>
      </c>
      <c r="Z23" t="s">
        <v>36</v>
      </c>
      <c r="AA23" t="s">
        <v>36</v>
      </c>
      <c r="AB23" t="s">
        <v>44</v>
      </c>
      <c r="AC23" t="s">
        <v>45</v>
      </c>
      <c r="AD23" t="s">
        <v>102</v>
      </c>
      <c r="AE23" t="s">
        <v>46</v>
      </c>
      <c r="AF23" t="s">
        <v>46</v>
      </c>
      <c r="AG23" t="s">
        <v>36</v>
      </c>
      <c r="AH23" t="s">
        <v>40</v>
      </c>
      <c r="AI23" t="s">
        <v>40</v>
      </c>
      <c r="AJ23" t="s">
        <v>40</v>
      </c>
    </row>
    <row r="24" spans="1:36" x14ac:dyDescent="0.25">
      <c r="A24" t="s">
        <v>34</v>
      </c>
      <c r="B24" t="s">
        <v>104</v>
      </c>
      <c r="C24" t="s">
        <v>36</v>
      </c>
      <c r="D24" t="s">
        <v>105</v>
      </c>
      <c r="E24" t="s">
        <v>47</v>
      </c>
      <c r="F24" t="s">
        <v>39</v>
      </c>
      <c r="G24" s="1"/>
      <c r="H24" t="s">
        <v>40</v>
      </c>
      <c r="I24" s="1"/>
      <c r="J24" t="s">
        <v>40</v>
      </c>
      <c r="K24" s="2">
        <v>0</v>
      </c>
      <c r="L24" t="s">
        <v>40</v>
      </c>
      <c r="M24" s="2">
        <f>Table1[[#This Row],[Quantity]]*Table1[[#This Row],[Proposed Unit Price]]</f>
        <v>0</v>
      </c>
      <c r="N24" t="s">
        <v>40</v>
      </c>
      <c r="O24" s="1">
        <v>0</v>
      </c>
      <c r="P24" t="s">
        <v>40</v>
      </c>
      <c r="Q24" s="6">
        <v>45901</v>
      </c>
      <c r="R24" s="7">
        <v>46265</v>
      </c>
      <c r="S24" t="s">
        <v>41</v>
      </c>
      <c r="T24" t="s">
        <v>36</v>
      </c>
      <c r="U24" t="s">
        <v>36</v>
      </c>
      <c r="V24" t="s">
        <v>42</v>
      </c>
      <c r="W24" t="s">
        <v>43</v>
      </c>
      <c r="X24" t="s">
        <v>36</v>
      </c>
      <c r="Y24" t="s">
        <v>36</v>
      </c>
      <c r="Z24" t="s">
        <v>36</v>
      </c>
      <c r="AA24" t="s">
        <v>36</v>
      </c>
      <c r="AB24" t="s">
        <v>44</v>
      </c>
      <c r="AC24" t="s">
        <v>45</v>
      </c>
      <c r="AD24" t="s">
        <v>104</v>
      </c>
      <c r="AE24" t="s">
        <v>46</v>
      </c>
      <c r="AF24" t="s">
        <v>46</v>
      </c>
      <c r="AG24" t="s">
        <v>36</v>
      </c>
      <c r="AH24" t="s">
        <v>40</v>
      </c>
      <c r="AI24" t="s">
        <v>40</v>
      </c>
      <c r="AJ24" t="s">
        <v>40</v>
      </c>
    </row>
    <row r="25" spans="1:36" x14ac:dyDescent="0.25">
      <c r="A25" t="s">
        <v>34</v>
      </c>
      <c r="B25" t="s">
        <v>106</v>
      </c>
      <c r="C25" t="s">
        <v>36</v>
      </c>
      <c r="D25" t="s">
        <v>107</v>
      </c>
      <c r="E25" t="s">
        <v>106</v>
      </c>
      <c r="F25" t="s">
        <v>87</v>
      </c>
      <c r="G25" s="1"/>
      <c r="H25" t="s">
        <v>40</v>
      </c>
      <c r="I25" s="1"/>
      <c r="J25" t="s">
        <v>40</v>
      </c>
      <c r="K25" s="2">
        <v>0</v>
      </c>
      <c r="L25" t="s">
        <v>40</v>
      </c>
      <c r="M25" s="2">
        <f>Table1[[#This Row],[Quantity]]*Table1[[#This Row],[Proposed Unit Price]]</f>
        <v>0</v>
      </c>
      <c r="N25" t="s">
        <v>40</v>
      </c>
      <c r="O25" s="1">
        <v>0</v>
      </c>
      <c r="P25" t="s">
        <v>40</v>
      </c>
      <c r="Q25" s="6">
        <v>45901</v>
      </c>
      <c r="R25" s="7">
        <v>46265</v>
      </c>
      <c r="S25" t="s">
        <v>41</v>
      </c>
      <c r="T25" t="s">
        <v>36</v>
      </c>
      <c r="U25" t="s">
        <v>36</v>
      </c>
      <c r="V25" t="s">
        <v>42</v>
      </c>
      <c r="W25" t="s">
        <v>43</v>
      </c>
      <c r="X25" t="s">
        <v>36</v>
      </c>
      <c r="Y25" t="s">
        <v>36</v>
      </c>
      <c r="Z25" t="s">
        <v>36</v>
      </c>
      <c r="AA25" t="s">
        <v>36</v>
      </c>
      <c r="AB25" t="s">
        <v>44</v>
      </c>
      <c r="AC25" t="s">
        <v>45</v>
      </c>
      <c r="AD25" t="s">
        <v>106</v>
      </c>
      <c r="AE25" t="s">
        <v>46</v>
      </c>
      <c r="AF25" t="s">
        <v>46</v>
      </c>
      <c r="AG25" t="s">
        <v>36</v>
      </c>
      <c r="AH25" t="s">
        <v>40</v>
      </c>
      <c r="AI25" t="s">
        <v>40</v>
      </c>
      <c r="AJ25" t="s">
        <v>40</v>
      </c>
    </row>
    <row r="26" spans="1:36" x14ac:dyDescent="0.25">
      <c r="A26" t="s">
        <v>34</v>
      </c>
      <c r="B26" t="s">
        <v>108</v>
      </c>
      <c r="C26" t="s">
        <v>36</v>
      </c>
      <c r="D26" t="s">
        <v>109</v>
      </c>
      <c r="E26" t="s">
        <v>110</v>
      </c>
      <c r="F26" t="s">
        <v>64</v>
      </c>
      <c r="G26" s="1"/>
      <c r="H26" t="s">
        <v>40</v>
      </c>
      <c r="I26" s="1"/>
      <c r="J26" t="s">
        <v>40</v>
      </c>
      <c r="K26" s="2">
        <v>0</v>
      </c>
      <c r="L26" t="s">
        <v>40</v>
      </c>
      <c r="M26" s="2">
        <f>Table1[[#This Row],[Quantity]]*Table1[[#This Row],[Proposed Unit Price]]</f>
        <v>0</v>
      </c>
      <c r="N26" t="s">
        <v>40</v>
      </c>
      <c r="O26" s="1">
        <v>0</v>
      </c>
      <c r="P26" t="s">
        <v>40</v>
      </c>
      <c r="Q26" s="6">
        <v>45901</v>
      </c>
      <c r="R26" s="7">
        <v>46265</v>
      </c>
      <c r="S26" t="s">
        <v>41</v>
      </c>
      <c r="T26" t="s">
        <v>36</v>
      </c>
      <c r="U26" t="s">
        <v>36</v>
      </c>
      <c r="V26" t="s">
        <v>42</v>
      </c>
      <c r="W26" t="s">
        <v>43</v>
      </c>
      <c r="X26" t="s">
        <v>36</v>
      </c>
      <c r="Y26" t="s">
        <v>36</v>
      </c>
      <c r="Z26" t="s">
        <v>36</v>
      </c>
      <c r="AA26" t="s">
        <v>36</v>
      </c>
      <c r="AB26" t="s">
        <v>44</v>
      </c>
      <c r="AC26" t="s">
        <v>45</v>
      </c>
      <c r="AD26" t="s">
        <v>108</v>
      </c>
      <c r="AE26" t="s">
        <v>46</v>
      </c>
      <c r="AF26" t="s">
        <v>46</v>
      </c>
      <c r="AG26" t="s">
        <v>36</v>
      </c>
      <c r="AH26" t="s">
        <v>40</v>
      </c>
      <c r="AI26" t="s">
        <v>40</v>
      </c>
      <c r="AJ26" t="s">
        <v>40</v>
      </c>
    </row>
    <row r="27" spans="1:36" x14ac:dyDescent="0.25">
      <c r="A27" t="s">
        <v>34</v>
      </c>
      <c r="B27" t="s">
        <v>111</v>
      </c>
      <c r="C27" t="s">
        <v>36</v>
      </c>
      <c r="D27" t="s">
        <v>112</v>
      </c>
      <c r="E27" t="s">
        <v>113</v>
      </c>
      <c r="F27" t="s">
        <v>39</v>
      </c>
      <c r="G27" s="1"/>
      <c r="H27" t="s">
        <v>40</v>
      </c>
      <c r="I27" s="1"/>
      <c r="J27" t="s">
        <v>40</v>
      </c>
      <c r="K27" s="2">
        <v>0</v>
      </c>
      <c r="L27" t="s">
        <v>40</v>
      </c>
      <c r="M27" s="2">
        <f>Table1[[#This Row],[Quantity]]*Table1[[#This Row],[Proposed Unit Price]]</f>
        <v>0</v>
      </c>
      <c r="N27" t="s">
        <v>40</v>
      </c>
      <c r="O27" s="1">
        <v>0</v>
      </c>
      <c r="P27" t="s">
        <v>40</v>
      </c>
      <c r="Q27" s="6">
        <v>45901</v>
      </c>
      <c r="R27" s="7">
        <v>46265</v>
      </c>
      <c r="S27" t="s">
        <v>41</v>
      </c>
      <c r="T27" t="s">
        <v>36</v>
      </c>
      <c r="U27" t="s">
        <v>36</v>
      </c>
      <c r="V27" t="s">
        <v>42</v>
      </c>
      <c r="W27" t="s">
        <v>43</v>
      </c>
      <c r="X27" t="s">
        <v>36</v>
      </c>
      <c r="Y27" t="s">
        <v>36</v>
      </c>
      <c r="Z27" t="s">
        <v>36</v>
      </c>
      <c r="AA27" t="s">
        <v>36</v>
      </c>
      <c r="AB27" t="s">
        <v>44</v>
      </c>
      <c r="AC27" t="s">
        <v>45</v>
      </c>
      <c r="AD27" t="s">
        <v>111</v>
      </c>
      <c r="AE27" t="s">
        <v>46</v>
      </c>
      <c r="AF27" t="s">
        <v>46</v>
      </c>
      <c r="AG27" t="s">
        <v>36</v>
      </c>
      <c r="AH27" t="s">
        <v>40</v>
      </c>
      <c r="AI27" t="s">
        <v>40</v>
      </c>
      <c r="AJ27" t="s">
        <v>40</v>
      </c>
    </row>
    <row r="28" spans="1:36" x14ac:dyDescent="0.25">
      <c r="A28" t="s">
        <v>34</v>
      </c>
      <c r="B28" t="s">
        <v>114</v>
      </c>
      <c r="C28" t="s">
        <v>36</v>
      </c>
      <c r="D28" t="s">
        <v>115</v>
      </c>
      <c r="E28" t="s">
        <v>116</v>
      </c>
      <c r="F28" t="s">
        <v>39</v>
      </c>
      <c r="G28" s="1"/>
      <c r="H28" t="s">
        <v>40</v>
      </c>
      <c r="I28" s="1"/>
      <c r="J28" t="s">
        <v>40</v>
      </c>
      <c r="K28" s="2">
        <v>0</v>
      </c>
      <c r="L28" t="s">
        <v>40</v>
      </c>
      <c r="M28" s="2">
        <f>Table1[[#This Row],[Quantity]]*Table1[[#This Row],[Proposed Unit Price]]</f>
        <v>0</v>
      </c>
      <c r="N28" t="s">
        <v>40</v>
      </c>
      <c r="O28" s="1">
        <v>0</v>
      </c>
      <c r="P28" t="s">
        <v>40</v>
      </c>
      <c r="Q28" s="6">
        <v>45901</v>
      </c>
      <c r="R28" s="7">
        <v>46265</v>
      </c>
      <c r="S28" t="s">
        <v>41</v>
      </c>
      <c r="T28" t="s">
        <v>36</v>
      </c>
      <c r="U28" t="s">
        <v>36</v>
      </c>
      <c r="V28" t="s">
        <v>42</v>
      </c>
      <c r="W28" t="s">
        <v>43</v>
      </c>
      <c r="X28" t="s">
        <v>36</v>
      </c>
      <c r="Y28" t="s">
        <v>36</v>
      </c>
      <c r="Z28" t="s">
        <v>36</v>
      </c>
      <c r="AA28" t="s">
        <v>36</v>
      </c>
      <c r="AB28" t="s">
        <v>44</v>
      </c>
      <c r="AC28" t="s">
        <v>45</v>
      </c>
      <c r="AD28" t="s">
        <v>114</v>
      </c>
      <c r="AE28" t="s">
        <v>46</v>
      </c>
      <c r="AF28" t="s">
        <v>46</v>
      </c>
      <c r="AG28" t="s">
        <v>36</v>
      </c>
      <c r="AH28" t="s">
        <v>40</v>
      </c>
      <c r="AI28" t="s">
        <v>40</v>
      </c>
      <c r="AJ28" t="s">
        <v>40</v>
      </c>
    </row>
    <row r="29" spans="1:36" x14ac:dyDescent="0.25">
      <c r="A29" t="s">
        <v>34</v>
      </c>
      <c r="B29" t="s">
        <v>117</v>
      </c>
      <c r="C29" t="s">
        <v>36</v>
      </c>
      <c r="D29" t="s">
        <v>118</v>
      </c>
      <c r="E29" t="s">
        <v>119</v>
      </c>
      <c r="F29" t="s">
        <v>39</v>
      </c>
      <c r="G29" s="1"/>
      <c r="H29" t="s">
        <v>40</v>
      </c>
      <c r="I29" s="1"/>
      <c r="J29" t="s">
        <v>40</v>
      </c>
      <c r="K29" s="2">
        <v>0</v>
      </c>
      <c r="L29" t="s">
        <v>40</v>
      </c>
      <c r="M29" s="2">
        <f>Table1[[#This Row],[Quantity]]*Table1[[#This Row],[Proposed Unit Price]]</f>
        <v>0</v>
      </c>
      <c r="N29" t="s">
        <v>40</v>
      </c>
      <c r="O29" s="1">
        <v>0</v>
      </c>
      <c r="P29" t="s">
        <v>40</v>
      </c>
      <c r="Q29" s="6">
        <v>45901</v>
      </c>
      <c r="R29" s="7">
        <v>46265</v>
      </c>
      <c r="S29" t="s">
        <v>41</v>
      </c>
      <c r="T29" t="s">
        <v>36</v>
      </c>
      <c r="U29" t="s">
        <v>36</v>
      </c>
      <c r="V29" t="s">
        <v>42</v>
      </c>
      <c r="W29" t="s">
        <v>43</v>
      </c>
      <c r="X29" t="s">
        <v>36</v>
      </c>
      <c r="Y29" t="s">
        <v>36</v>
      </c>
      <c r="Z29" t="s">
        <v>36</v>
      </c>
      <c r="AA29" t="s">
        <v>36</v>
      </c>
      <c r="AB29" t="s">
        <v>44</v>
      </c>
      <c r="AC29" t="s">
        <v>45</v>
      </c>
      <c r="AD29" t="s">
        <v>117</v>
      </c>
      <c r="AE29" t="s">
        <v>46</v>
      </c>
      <c r="AF29" t="s">
        <v>46</v>
      </c>
      <c r="AG29" t="s">
        <v>36</v>
      </c>
      <c r="AH29" t="s">
        <v>40</v>
      </c>
      <c r="AI29" t="s">
        <v>40</v>
      </c>
      <c r="AJ29" t="s">
        <v>40</v>
      </c>
    </row>
    <row r="30" spans="1:36" x14ac:dyDescent="0.25">
      <c r="A30" t="s">
        <v>34</v>
      </c>
      <c r="B30" t="s">
        <v>120</v>
      </c>
      <c r="C30" t="s">
        <v>36</v>
      </c>
      <c r="D30" t="s">
        <v>121</v>
      </c>
      <c r="E30" t="s">
        <v>122</v>
      </c>
      <c r="F30" t="s">
        <v>39</v>
      </c>
      <c r="G30" s="1"/>
      <c r="H30" t="s">
        <v>40</v>
      </c>
      <c r="I30" s="1"/>
      <c r="J30" t="s">
        <v>40</v>
      </c>
      <c r="K30" s="2">
        <v>0</v>
      </c>
      <c r="L30" t="s">
        <v>40</v>
      </c>
      <c r="M30" s="2">
        <f>Table1[[#This Row],[Quantity]]*Table1[[#This Row],[Proposed Unit Price]]</f>
        <v>0</v>
      </c>
      <c r="N30" t="s">
        <v>40</v>
      </c>
      <c r="O30" s="1">
        <v>0</v>
      </c>
      <c r="P30" t="s">
        <v>40</v>
      </c>
      <c r="Q30" s="6">
        <v>45901</v>
      </c>
      <c r="R30" s="7">
        <v>46265</v>
      </c>
      <c r="S30" t="s">
        <v>41</v>
      </c>
      <c r="T30" t="s">
        <v>36</v>
      </c>
      <c r="U30" t="s">
        <v>36</v>
      </c>
      <c r="V30" t="s">
        <v>42</v>
      </c>
      <c r="W30" t="s">
        <v>43</v>
      </c>
      <c r="X30" t="s">
        <v>36</v>
      </c>
      <c r="Y30" t="s">
        <v>36</v>
      </c>
      <c r="Z30" t="s">
        <v>36</v>
      </c>
      <c r="AA30" t="s">
        <v>36</v>
      </c>
      <c r="AB30" t="s">
        <v>44</v>
      </c>
      <c r="AC30" t="s">
        <v>45</v>
      </c>
      <c r="AD30" t="s">
        <v>120</v>
      </c>
      <c r="AE30" t="s">
        <v>46</v>
      </c>
      <c r="AF30" t="s">
        <v>46</v>
      </c>
      <c r="AG30" t="s">
        <v>36</v>
      </c>
      <c r="AH30" t="s">
        <v>40</v>
      </c>
      <c r="AI30" t="s">
        <v>40</v>
      </c>
      <c r="AJ30" t="s">
        <v>40</v>
      </c>
    </row>
    <row r="31" spans="1:36" x14ac:dyDescent="0.25">
      <c r="A31" t="s">
        <v>34</v>
      </c>
      <c r="B31" t="s">
        <v>123</v>
      </c>
      <c r="C31" t="s">
        <v>36</v>
      </c>
      <c r="D31" t="s">
        <v>124</v>
      </c>
      <c r="E31" t="s">
        <v>110</v>
      </c>
      <c r="F31" t="s">
        <v>39</v>
      </c>
      <c r="G31" s="1"/>
      <c r="H31" t="s">
        <v>40</v>
      </c>
      <c r="I31" s="1"/>
      <c r="J31" t="s">
        <v>40</v>
      </c>
      <c r="K31" s="2">
        <v>0</v>
      </c>
      <c r="L31" t="s">
        <v>40</v>
      </c>
      <c r="M31" s="2">
        <f>Table1[[#This Row],[Quantity]]*Table1[[#This Row],[Proposed Unit Price]]</f>
        <v>0</v>
      </c>
      <c r="N31" t="s">
        <v>40</v>
      </c>
      <c r="O31" s="1">
        <v>0</v>
      </c>
      <c r="P31" t="s">
        <v>40</v>
      </c>
      <c r="Q31" s="6">
        <v>45901</v>
      </c>
      <c r="R31" s="7">
        <v>46265</v>
      </c>
      <c r="S31" t="s">
        <v>41</v>
      </c>
      <c r="T31" t="s">
        <v>36</v>
      </c>
      <c r="U31" t="s">
        <v>36</v>
      </c>
      <c r="V31" t="s">
        <v>42</v>
      </c>
      <c r="W31" t="s">
        <v>43</v>
      </c>
      <c r="X31" t="s">
        <v>36</v>
      </c>
      <c r="Y31" t="s">
        <v>36</v>
      </c>
      <c r="Z31" t="s">
        <v>36</v>
      </c>
      <c r="AA31" t="s">
        <v>36</v>
      </c>
      <c r="AB31" t="s">
        <v>44</v>
      </c>
      <c r="AC31" t="s">
        <v>45</v>
      </c>
      <c r="AD31" t="s">
        <v>123</v>
      </c>
      <c r="AE31" t="s">
        <v>46</v>
      </c>
      <c r="AF31" t="s">
        <v>46</v>
      </c>
      <c r="AG31" t="s">
        <v>36</v>
      </c>
      <c r="AH31" t="s">
        <v>40</v>
      </c>
      <c r="AI31" t="s">
        <v>40</v>
      </c>
      <c r="AJ31" t="s">
        <v>40</v>
      </c>
    </row>
    <row r="32" spans="1:36" x14ac:dyDescent="0.25">
      <c r="A32" t="s">
        <v>34</v>
      </c>
      <c r="B32" t="s">
        <v>125</v>
      </c>
      <c r="C32" t="s">
        <v>36</v>
      </c>
      <c r="D32" t="s">
        <v>126</v>
      </c>
      <c r="E32" t="s">
        <v>127</v>
      </c>
      <c r="F32" t="s">
        <v>39</v>
      </c>
      <c r="G32" s="1"/>
      <c r="H32" t="s">
        <v>40</v>
      </c>
      <c r="I32" s="1"/>
      <c r="J32" t="s">
        <v>40</v>
      </c>
      <c r="K32" s="2">
        <v>0</v>
      </c>
      <c r="L32" t="s">
        <v>40</v>
      </c>
      <c r="M32" s="2">
        <f>Table1[[#This Row],[Quantity]]*Table1[[#This Row],[Proposed Unit Price]]</f>
        <v>0</v>
      </c>
      <c r="N32" t="s">
        <v>40</v>
      </c>
      <c r="O32" s="1">
        <v>0</v>
      </c>
      <c r="P32" t="s">
        <v>40</v>
      </c>
      <c r="Q32" s="6">
        <v>45901</v>
      </c>
      <c r="R32" s="7">
        <v>46265</v>
      </c>
      <c r="S32" t="s">
        <v>41</v>
      </c>
      <c r="T32" t="s">
        <v>36</v>
      </c>
      <c r="U32" t="s">
        <v>36</v>
      </c>
      <c r="V32" t="s">
        <v>42</v>
      </c>
      <c r="W32" t="s">
        <v>43</v>
      </c>
      <c r="X32" t="s">
        <v>36</v>
      </c>
      <c r="Y32" t="s">
        <v>36</v>
      </c>
      <c r="Z32" t="s">
        <v>36</v>
      </c>
      <c r="AA32" t="s">
        <v>36</v>
      </c>
      <c r="AB32" t="s">
        <v>44</v>
      </c>
      <c r="AC32" t="s">
        <v>45</v>
      </c>
      <c r="AD32" t="s">
        <v>125</v>
      </c>
      <c r="AE32" t="s">
        <v>46</v>
      </c>
      <c r="AF32" t="s">
        <v>46</v>
      </c>
      <c r="AG32" t="s">
        <v>36</v>
      </c>
      <c r="AH32" t="s">
        <v>40</v>
      </c>
      <c r="AI32" t="s">
        <v>40</v>
      </c>
      <c r="AJ32" t="s">
        <v>40</v>
      </c>
    </row>
    <row r="33" spans="1:36" x14ac:dyDescent="0.25">
      <c r="A33" t="s">
        <v>34</v>
      </c>
      <c r="B33" t="s">
        <v>128</v>
      </c>
      <c r="C33" t="s">
        <v>36</v>
      </c>
      <c r="D33" t="s">
        <v>129</v>
      </c>
      <c r="E33" t="s">
        <v>130</v>
      </c>
      <c r="F33" t="s">
        <v>39</v>
      </c>
      <c r="G33" s="1"/>
      <c r="H33" t="s">
        <v>40</v>
      </c>
      <c r="I33" s="1"/>
      <c r="J33" t="s">
        <v>40</v>
      </c>
      <c r="K33" s="2">
        <v>0</v>
      </c>
      <c r="L33" t="s">
        <v>40</v>
      </c>
      <c r="M33" s="2">
        <f>Table1[[#This Row],[Quantity]]*Table1[[#This Row],[Proposed Unit Price]]</f>
        <v>0</v>
      </c>
      <c r="N33" t="s">
        <v>40</v>
      </c>
      <c r="O33" s="1">
        <v>0</v>
      </c>
      <c r="P33" t="s">
        <v>40</v>
      </c>
      <c r="Q33" s="6">
        <v>45901</v>
      </c>
      <c r="R33" s="7">
        <v>46265</v>
      </c>
      <c r="S33" t="s">
        <v>41</v>
      </c>
      <c r="T33" t="s">
        <v>36</v>
      </c>
      <c r="U33" t="s">
        <v>36</v>
      </c>
      <c r="V33" t="s">
        <v>42</v>
      </c>
      <c r="W33" t="s">
        <v>43</v>
      </c>
      <c r="X33" t="s">
        <v>36</v>
      </c>
      <c r="Y33" t="s">
        <v>36</v>
      </c>
      <c r="Z33" t="s">
        <v>36</v>
      </c>
      <c r="AA33" t="s">
        <v>36</v>
      </c>
      <c r="AB33" t="s">
        <v>44</v>
      </c>
      <c r="AC33" t="s">
        <v>45</v>
      </c>
      <c r="AD33" t="s">
        <v>128</v>
      </c>
      <c r="AE33" t="s">
        <v>46</v>
      </c>
      <c r="AF33" t="s">
        <v>46</v>
      </c>
      <c r="AG33" t="s">
        <v>36</v>
      </c>
      <c r="AH33" t="s">
        <v>40</v>
      </c>
      <c r="AI33" t="s">
        <v>40</v>
      </c>
      <c r="AJ33" t="s">
        <v>40</v>
      </c>
    </row>
    <row r="34" spans="1:36" x14ac:dyDescent="0.25">
      <c r="A34" t="s">
        <v>34</v>
      </c>
      <c r="B34" t="s">
        <v>131</v>
      </c>
      <c r="C34" t="s">
        <v>36</v>
      </c>
      <c r="D34" t="s">
        <v>132</v>
      </c>
      <c r="E34" t="s">
        <v>133</v>
      </c>
      <c r="F34" t="s">
        <v>39</v>
      </c>
      <c r="G34" s="1"/>
      <c r="H34" t="s">
        <v>40</v>
      </c>
      <c r="I34" s="1"/>
      <c r="J34" t="s">
        <v>40</v>
      </c>
      <c r="K34" s="2">
        <v>0</v>
      </c>
      <c r="L34" t="s">
        <v>40</v>
      </c>
      <c r="M34" s="2">
        <f>Table1[[#This Row],[Quantity]]*Table1[[#This Row],[Proposed Unit Price]]</f>
        <v>0</v>
      </c>
      <c r="N34" t="s">
        <v>40</v>
      </c>
      <c r="O34" s="1">
        <v>0</v>
      </c>
      <c r="P34" t="s">
        <v>40</v>
      </c>
      <c r="Q34" s="6">
        <v>45901</v>
      </c>
      <c r="R34" s="7">
        <v>46265</v>
      </c>
      <c r="S34" t="s">
        <v>41</v>
      </c>
      <c r="T34" t="s">
        <v>36</v>
      </c>
      <c r="U34" t="s">
        <v>36</v>
      </c>
      <c r="V34" t="s">
        <v>42</v>
      </c>
      <c r="W34" t="s">
        <v>43</v>
      </c>
      <c r="X34" t="s">
        <v>36</v>
      </c>
      <c r="Y34" t="s">
        <v>36</v>
      </c>
      <c r="Z34" t="s">
        <v>36</v>
      </c>
      <c r="AA34" t="s">
        <v>36</v>
      </c>
      <c r="AB34" t="s">
        <v>44</v>
      </c>
      <c r="AC34" t="s">
        <v>45</v>
      </c>
      <c r="AD34" t="s">
        <v>131</v>
      </c>
      <c r="AE34" t="s">
        <v>46</v>
      </c>
      <c r="AF34" t="s">
        <v>46</v>
      </c>
      <c r="AG34" t="s">
        <v>36</v>
      </c>
      <c r="AH34" t="s">
        <v>40</v>
      </c>
      <c r="AI34" t="s">
        <v>40</v>
      </c>
      <c r="AJ34" t="s">
        <v>40</v>
      </c>
    </row>
    <row r="35" spans="1:36" x14ac:dyDescent="0.25">
      <c r="A35" t="s">
        <v>34</v>
      </c>
      <c r="B35" t="s">
        <v>67</v>
      </c>
      <c r="C35" t="s">
        <v>36</v>
      </c>
      <c r="D35" t="s">
        <v>134</v>
      </c>
      <c r="E35" t="s">
        <v>135</v>
      </c>
      <c r="F35" t="s">
        <v>39</v>
      </c>
      <c r="G35" s="1"/>
      <c r="H35" t="s">
        <v>40</v>
      </c>
      <c r="I35" s="1"/>
      <c r="J35" t="s">
        <v>40</v>
      </c>
      <c r="K35" s="2">
        <v>0</v>
      </c>
      <c r="L35" t="s">
        <v>40</v>
      </c>
      <c r="M35" s="2">
        <f>Table1[[#This Row],[Quantity]]*Table1[[#This Row],[Proposed Unit Price]]</f>
        <v>0</v>
      </c>
      <c r="N35" t="s">
        <v>40</v>
      </c>
      <c r="O35" s="1">
        <v>0</v>
      </c>
      <c r="P35" t="s">
        <v>40</v>
      </c>
      <c r="Q35" s="6">
        <v>45901</v>
      </c>
      <c r="R35" s="7">
        <v>46265</v>
      </c>
      <c r="S35" t="s">
        <v>41</v>
      </c>
      <c r="T35" t="s">
        <v>36</v>
      </c>
      <c r="U35" t="s">
        <v>36</v>
      </c>
      <c r="V35" t="s">
        <v>42</v>
      </c>
      <c r="W35" t="s">
        <v>43</v>
      </c>
      <c r="X35" t="s">
        <v>36</v>
      </c>
      <c r="Y35" t="s">
        <v>36</v>
      </c>
      <c r="Z35" t="s">
        <v>36</v>
      </c>
      <c r="AA35" t="s">
        <v>36</v>
      </c>
      <c r="AB35" t="s">
        <v>44</v>
      </c>
      <c r="AC35" t="s">
        <v>45</v>
      </c>
      <c r="AD35" t="s">
        <v>67</v>
      </c>
      <c r="AE35" t="s">
        <v>46</v>
      </c>
      <c r="AF35" t="s">
        <v>46</v>
      </c>
      <c r="AG35" t="s">
        <v>36</v>
      </c>
      <c r="AH35" t="s">
        <v>40</v>
      </c>
      <c r="AI35" t="s">
        <v>40</v>
      </c>
      <c r="AJ35" t="s">
        <v>40</v>
      </c>
    </row>
    <row r="36" spans="1:36" x14ac:dyDescent="0.25">
      <c r="A36" t="s">
        <v>34</v>
      </c>
      <c r="B36" t="s">
        <v>136</v>
      </c>
      <c r="C36" t="s">
        <v>36</v>
      </c>
      <c r="D36" t="s">
        <v>137</v>
      </c>
      <c r="E36" t="s">
        <v>63</v>
      </c>
      <c r="F36" t="s">
        <v>64</v>
      </c>
      <c r="G36" s="1"/>
      <c r="H36" t="s">
        <v>40</v>
      </c>
      <c r="I36" s="1"/>
      <c r="J36" t="s">
        <v>40</v>
      </c>
      <c r="K36" s="2">
        <v>0</v>
      </c>
      <c r="L36" t="s">
        <v>40</v>
      </c>
      <c r="M36" s="2">
        <f>Table1[[#This Row],[Quantity]]*Table1[[#This Row],[Proposed Unit Price]]</f>
        <v>0</v>
      </c>
      <c r="N36" t="s">
        <v>40</v>
      </c>
      <c r="O36" s="1">
        <v>0</v>
      </c>
      <c r="P36" t="s">
        <v>40</v>
      </c>
      <c r="Q36" s="6">
        <v>45901</v>
      </c>
      <c r="R36" s="7">
        <v>46265</v>
      </c>
      <c r="S36" t="s">
        <v>41</v>
      </c>
      <c r="T36" t="s">
        <v>36</v>
      </c>
      <c r="U36" t="s">
        <v>36</v>
      </c>
      <c r="V36" t="s">
        <v>42</v>
      </c>
      <c r="W36" t="s">
        <v>43</v>
      </c>
      <c r="X36" t="s">
        <v>36</v>
      </c>
      <c r="Y36" t="s">
        <v>36</v>
      </c>
      <c r="Z36" t="s">
        <v>36</v>
      </c>
      <c r="AA36" t="s">
        <v>36</v>
      </c>
      <c r="AB36" t="s">
        <v>44</v>
      </c>
      <c r="AC36" t="s">
        <v>45</v>
      </c>
      <c r="AD36" t="s">
        <v>136</v>
      </c>
      <c r="AE36" t="s">
        <v>46</v>
      </c>
      <c r="AF36" t="s">
        <v>46</v>
      </c>
      <c r="AG36" t="s">
        <v>36</v>
      </c>
      <c r="AH36" t="s">
        <v>40</v>
      </c>
      <c r="AI36" t="s">
        <v>40</v>
      </c>
      <c r="AJ36" t="s">
        <v>40</v>
      </c>
    </row>
    <row r="37" spans="1:36" x14ac:dyDescent="0.25">
      <c r="A37" t="s">
        <v>34</v>
      </c>
      <c r="B37" t="s">
        <v>138</v>
      </c>
      <c r="C37" t="s">
        <v>36</v>
      </c>
      <c r="D37" t="s">
        <v>139</v>
      </c>
      <c r="E37" t="s">
        <v>67</v>
      </c>
      <c r="F37" t="s">
        <v>39</v>
      </c>
      <c r="G37" s="1"/>
      <c r="H37" t="s">
        <v>40</v>
      </c>
      <c r="I37" s="1"/>
      <c r="J37" t="s">
        <v>40</v>
      </c>
      <c r="K37" s="2">
        <v>0</v>
      </c>
      <c r="L37" t="s">
        <v>40</v>
      </c>
      <c r="M37" s="2">
        <f>Table1[[#This Row],[Quantity]]*Table1[[#This Row],[Proposed Unit Price]]</f>
        <v>0</v>
      </c>
      <c r="N37" t="s">
        <v>40</v>
      </c>
      <c r="O37" s="1">
        <v>0</v>
      </c>
      <c r="P37" t="s">
        <v>40</v>
      </c>
      <c r="Q37" s="6">
        <v>45901</v>
      </c>
      <c r="R37" s="7">
        <v>46265</v>
      </c>
      <c r="S37" t="s">
        <v>41</v>
      </c>
      <c r="T37" t="s">
        <v>36</v>
      </c>
      <c r="U37" t="s">
        <v>36</v>
      </c>
      <c r="V37" t="s">
        <v>42</v>
      </c>
      <c r="W37" t="s">
        <v>43</v>
      </c>
      <c r="X37" t="s">
        <v>36</v>
      </c>
      <c r="Y37" t="s">
        <v>36</v>
      </c>
      <c r="Z37" t="s">
        <v>36</v>
      </c>
      <c r="AA37" t="s">
        <v>36</v>
      </c>
      <c r="AB37" t="s">
        <v>44</v>
      </c>
      <c r="AC37" t="s">
        <v>45</v>
      </c>
      <c r="AD37" t="s">
        <v>138</v>
      </c>
      <c r="AE37" t="s">
        <v>46</v>
      </c>
      <c r="AF37" t="s">
        <v>46</v>
      </c>
      <c r="AG37" t="s">
        <v>36</v>
      </c>
      <c r="AH37" t="s">
        <v>40</v>
      </c>
      <c r="AI37" t="s">
        <v>40</v>
      </c>
      <c r="AJ37" t="s">
        <v>40</v>
      </c>
    </row>
    <row r="38" spans="1:36" x14ac:dyDescent="0.25">
      <c r="A38" t="s">
        <v>34</v>
      </c>
      <c r="B38" t="s">
        <v>140</v>
      </c>
      <c r="C38" t="s">
        <v>36</v>
      </c>
      <c r="D38" t="s">
        <v>141</v>
      </c>
      <c r="E38" t="s">
        <v>142</v>
      </c>
      <c r="F38" t="s">
        <v>71</v>
      </c>
      <c r="G38" s="1"/>
      <c r="H38" t="s">
        <v>40</v>
      </c>
      <c r="I38" s="1"/>
      <c r="J38" t="s">
        <v>40</v>
      </c>
      <c r="K38" s="2">
        <v>0</v>
      </c>
      <c r="L38" t="s">
        <v>40</v>
      </c>
      <c r="M38" s="2">
        <f>Table1[[#This Row],[Quantity]]*Table1[[#This Row],[Proposed Unit Price]]</f>
        <v>0</v>
      </c>
      <c r="N38" t="s">
        <v>40</v>
      </c>
      <c r="O38" s="1">
        <v>0</v>
      </c>
      <c r="P38" t="s">
        <v>40</v>
      </c>
      <c r="Q38" s="6">
        <v>45901</v>
      </c>
      <c r="R38" s="7">
        <v>46265</v>
      </c>
      <c r="S38" t="s">
        <v>41</v>
      </c>
      <c r="T38" t="s">
        <v>36</v>
      </c>
      <c r="U38" t="s">
        <v>36</v>
      </c>
      <c r="V38" t="s">
        <v>42</v>
      </c>
      <c r="W38" t="s">
        <v>43</v>
      </c>
      <c r="X38" t="s">
        <v>36</v>
      </c>
      <c r="Y38" t="s">
        <v>36</v>
      </c>
      <c r="Z38" t="s">
        <v>36</v>
      </c>
      <c r="AA38" t="s">
        <v>36</v>
      </c>
      <c r="AB38" t="s">
        <v>44</v>
      </c>
      <c r="AC38" t="s">
        <v>45</v>
      </c>
      <c r="AD38" t="s">
        <v>140</v>
      </c>
      <c r="AE38" t="s">
        <v>46</v>
      </c>
      <c r="AF38" t="s">
        <v>46</v>
      </c>
      <c r="AG38" t="s">
        <v>36</v>
      </c>
      <c r="AH38" t="s">
        <v>40</v>
      </c>
      <c r="AI38" t="s">
        <v>40</v>
      </c>
      <c r="AJ38" t="s">
        <v>40</v>
      </c>
    </row>
    <row r="39" spans="1:36" x14ac:dyDescent="0.25">
      <c r="A39" t="s">
        <v>34</v>
      </c>
      <c r="B39" t="s">
        <v>143</v>
      </c>
      <c r="C39" t="s">
        <v>36</v>
      </c>
      <c r="D39" t="s">
        <v>144</v>
      </c>
      <c r="E39" t="s">
        <v>50</v>
      </c>
      <c r="F39" t="s">
        <v>39</v>
      </c>
      <c r="G39" s="1"/>
      <c r="H39" t="s">
        <v>40</v>
      </c>
      <c r="I39" s="1"/>
      <c r="J39" t="s">
        <v>40</v>
      </c>
      <c r="K39" s="2">
        <v>0</v>
      </c>
      <c r="L39" t="s">
        <v>40</v>
      </c>
      <c r="M39" s="2">
        <f>Table1[[#This Row],[Quantity]]*Table1[[#This Row],[Proposed Unit Price]]</f>
        <v>0</v>
      </c>
      <c r="N39" t="s">
        <v>40</v>
      </c>
      <c r="O39" s="1">
        <v>0</v>
      </c>
      <c r="P39" t="s">
        <v>40</v>
      </c>
      <c r="Q39" s="6">
        <v>45901</v>
      </c>
      <c r="R39" s="7">
        <v>46265</v>
      </c>
      <c r="S39" t="s">
        <v>41</v>
      </c>
      <c r="T39" t="s">
        <v>36</v>
      </c>
      <c r="U39" t="s">
        <v>36</v>
      </c>
      <c r="V39" t="s">
        <v>42</v>
      </c>
      <c r="W39" t="s">
        <v>43</v>
      </c>
      <c r="X39" t="s">
        <v>36</v>
      </c>
      <c r="Y39" t="s">
        <v>36</v>
      </c>
      <c r="Z39" t="s">
        <v>36</v>
      </c>
      <c r="AA39" t="s">
        <v>36</v>
      </c>
      <c r="AB39" t="s">
        <v>44</v>
      </c>
      <c r="AC39" t="s">
        <v>45</v>
      </c>
      <c r="AD39" t="s">
        <v>143</v>
      </c>
      <c r="AE39" t="s">
        <v>46</v>
      </c>
      <c r="AF39" t="s">
        <v>46</v>
      </c>
      <c r="AG39" t="s">
        <v>36</v>
      </c>
      <c r="AH39" t="s">
        <v>40</v>
      </c>
      <c r="AI39" t="s">
        <v>40</v>
      </c>
      <c r="AJ39" t="s">
        <v>40</v>
      </c>
    </row>
    <row r="40" spans="1:36" x14ac:dyDescent="0.25">
      <c r="A40" t="s">
        <v>34</v>
      </c>
      <c r="B40" t="s">
        <v>145</v>
      </c>
      <c r="C40" t="s">
        <v>36</v>
      </c>
      <c r="D40" t="s">
        <v>146</v>
      </c>
      <c r="E40" t="s">
        <v>53</v>
      </c>
      <c r="F40" t="s">
        <v>39</v>
      </c>
      <c r="G40" s="1"/>
      <c r="H40" t="s">
        <v>40</v>
      </c>
      <c r="I40" s="1"/>
      <c r="J40" t="s">
        <v>40</v>
      </c>
      <c r="K40" s="2">
        <v>0</v>
      </c>
      <c r="L40" t="s">
        <v>40</v>
      </c>
      <c r="M40" s="2">
        <f>Table1[[#This Row],[Quantity]]*Table1[[#This Row],[Proposed Unit Price]]</f>
        <v>0</v>
      </c>
      <c r="N40" t="s">
        <v>40</v>
      </c>
      <c r="O40" s="1">
        <v>0</v>
      </c>
      <c r="P40" t="s">
        <v>40</v>
      </c>
      <c r="Q40" s="6">
        <v>45901</v>
      </c>
      <c r="R40" s="7">
        <v>46265</v>
      </c>
      <c r="S40" t="s">
        <v>41</v>
      </c>
      <c r="T40" t="s">
        <v>36</v>
      </c>
      <c r="U40" t="s">
        <v>36</v>
      </c>
      <c r="V40" t="s">
        <v>42</v>
      </c>
      <c r="W40" t="s">
        <v>43</v>
      </c>
      <c r="X40" t="s">
        <v>36</v>
      </c>
      <c r="Y40" t="s">
        <v>36</v>
      </c>
      <c r="Z40" t="s">
        <v>36</v>
      </c>
      <c r="AA40" t="s">
        <v>36</v>
      </c>
      <c r="AB40" t="s">
        <v>44</v>
      </c>
      <c r="AC40" t="s">
        <v>45</v>
      </c>
      <c r="AD40" t="s">
        <v>145</v>
      </c>
      <c r="AE40" t="s">
        <v>46</v>
      </c>
      <c r="AF40" t="s">
        <v>46</v>
      </c>
      <c r="AG40" t="s">
        <v>36</v>
      </c>
      <c r="AH40" t="s">
        <v>40</v>
      </c>
      <c r="AI40" t="s">
        <v>40</v>
      </c>
      <c r="AJ40" t="s">
        <v>40</v>
      </c>
    </row>
    <row r="41" spans="1:36" x14ac:dyDescent="0.25">
      <c r="A41" t="s">
        <v>34</v>
      </c>
      <c r="B41" t="s">
        <v>147</v>
      </c>
      <c r="C41" t="s">
        <v>36</v>
      </c>
      <c r="D41" t="s">
        <v>148</v>
      </c>
      <c r="E41" t="s">
        <v>123</v>
      </c>
      <c r="F41" t="s">
        <v>71</v>
      </c>
      <c r="G41" s="1"/>
      <c r="H41" t="s">
        <v>40</v>
      </c>
      <c r="I41" s="1"/>
      <c r="J41" t="s">
        <v>40</v>
      </c>
      <c r="K41" s="2">
        <v>0</v>
      </c>
      <c r="L41" t="s">
        <v>40</v>
      </c>
      <c r="M41" s="2">
        <f>Table1[[#This Row],[Quantity]]*Table1[[#This Row],[Proposed Unit Price]]</f>
        <v>0</v>
      </c>
      <c r="N41" t="s">
        <v>40</v>
      </c>
      <c r="O41" s="1">
        <v>0</v>
      </c>
      <c r="P41" t="s">
        <v>40</v>
      </c>
      <c r="Q41" s="6">
        <v>45901</v>
      </c>
      <c r="R41" s="7">
        <v>46265</v>
      </c>
      <c r="S41" t="s">
        <v>41</v>
      </c>
      <c r="T41" t="s">
        <v>36</v>
      </c>
      <c r="U41" t="s">
        <v>36</v>
      </c>
      <c r="V41" t="s">
        <v>42</v>
      </c>
      <c r="W41" t="s">
        <v>43</v>
      </c>
      <c r="X41" t="s">
        <v>36</v>
      </c>
      <c r="Y41" t="s">
        <v>36</v>
      </c>
      <c r="Z41" t="s">
        <v>36</v>
      </c>
      <c r="AA41" t="s">
        <v>36</v>
      </c>
      <c r="AB41" t="s">
        <v>44</v>
      </c>
      <c r="AC41" t="s">
        <v>45</v>
      </c>
      <c r="AD41" t="s">
        <v>147</v>
      </c>
      <c r="AE41" t="s">
        <v>46</v>
      </c>
      <c r="AF41" t="s">
        <v>46</v>
      </c>
      <c r="AG41" t="s">
        <v>36</v>
      </c>
      <c r="AH41" t="s">
        <v>40</v>
      </c>
      <c r="AI41" t="s">
        <v>40</v>
      </c>
      <c r="AJ41" t="s">
        <v>40</v>
      </c>
    </row>
    <row r="42" spans="1:36" x14ac:dyDescent="0.25">
      <c r="A42" t="s">
        <v>34</v>
      </c>
      <c r="B42" t="s">
        <v>149</v>
      </c>
      <c r="C42" t="s">
        <v>36</v>
      </c>
      <c r="D42" t="s">
        <v>150</v>
      </c>
      <c r="E42" t="s">
        <v>47</v>
      </c>
      <c r="F42" t="s">
        <v>39</v>
      </c>
      <c r="G42" s="1"/>
      <c r="H42" t="s">
        <v>40</v>
      </c>
      <c r="I42" s="1"/>
      <c r="J42" t="s">
        <v>40</v>
      </c>
      <c r="K42" s="2">
        <v>0</v>
      </c>
      <c r="L42" t="s">
        <v>40</v>
      </c>
      <c r="M42" s="2">
        <f>Table1[[#This Row],[Quantity]]*Table1[[#This Row],[Proposed Unit Price]]</f>
        <v>0</v>
      </c>
      <c r="N42" t="s">
        <v>40</v>
      </c>
      <c r="O42" s="1">
        <v>0</v>
      </c>
      <c r="P42" t="s">
        <v>40</v>
      </c>
      <c r="Q42" s="6">
        <v>45901</v>
      </c>
      <c r="R42" s="7">
        <v>46265</v>
      </c>
      <c r="S42" t="s">
        <v>41</v>
      </c>
      <c r="T42" t="s">
        <v>36</v>
      </c>
      <c r="U42" t="s">
        <v>36</v>
      </c>
      <c r="V42" t="s">
        <v>42</v>
      </c>
      <c r="W42" t="s">
        <v>43</v>
      </c>
      <c r="X42" t="s">
        <v>36</v>
      </c>
      <c r="Y42" t="s">
        <v>36</v>
      </c>
      <c r="Z42" t="s">
        <v>36</v>
      </c>
      <c r="AA42" t="s">
        <v>36</v>
      </c>
      <c r="AB42" t="s">
        <v>44</v>
      </c>
      <c r="AC42" t="s">
        <v>45</v>
      </c>
      <c r="AD42" t="s">
        <v>149</v>
      </c>
      <c r="AE42" t="s">
        <v>46</v>
      </c>
      <c r="AF42" t="s">
        <v>46</v>
      </c>
      <c r="AG42" t="s">
        <v>36</v>
      </c>
      <c r="AH42" t="s">
        <v>40</v>
      </c>
      <c r="AI42" t="s">
        <v>40</v>
      </c>
      <c r="AJ42" t="s">
        <v>40</v>
      </c>
    </row>
    <row r="43" spans="1:36" x14ac:dyDescent="0.25">
      <c r="A43" t="s">
        <v>34</v>
      </c>
      <c r="B43" t="s">
        <v>151</v>
      </c>
      <c r="C43" t="s">
        <v>36</v>
      </c>
      <c r="D43" t="s">
        <v>152</v>
      </c>
      <c r="E43" t="s">
        <v>35</v>
      </c>
      <c r="F43" t="s">
        <v>39</v>
      </c>
      <c r="G43" s="1"/>
      <c r="H43" t="s">
        <v>40</v>
      </c>
      <c r="I43" s="1"/>
      <c r="J43" t="s">
        <v>40</v>
      </c>
      <c r="K43" s="2">
        <v>0</v>
      </c>
      <c r="L43" t="s">
        <v>40</v>
      </c>
      <c r="M43" s="2">
        <f>Table1[[#This Row],[Quantity]]*Table1[[#This Row],[Proposed Unit Price]]</f>
        <v>0</v>
      </c>
      <c r="N43" t="s">
        <v>40</v>
      </c>
      <c r="O43" s="1">
        <v>0</v>
      </c>
      <c r="P43" t="s">
        <v>40</v>
      </c>
      <c r="Q43" s="6">
        <v>45901</v>
      </c>
      <c r="R43" s="7">
        <v>46265</v>
      </c>
      <c r="S43" t="s">
        <v>41</v>
      </c>
      <c r="T43" t="s">
        <v>36</v>
      </c>
      <c r="U43" t="s">
        <v>36</v>
      </c>
      <c r="V43" t="s">
        <v>83</v>
      </c>
      <c r="W43" t="s">
        <v>84</v>
      </c>
      <c r="X43" t="s">
        <v>36</v>
      </c>
      <c r="Y43" t="s">
        <v>36</v>
      </c>
      <c r="Z43" t="s">
        <v>36</v>
      </c>
      <c r="AA43" t="s">
        <v>36</v>
      </c>
      <c r="AB43" t="s">
        <v>44</v>
      </c>
      <c r="AC43" t="s">
        <v>45</v>
      </c>
      <c r="AD43" t="s">
        <v>151</v>
      </c>
      <c r="AE43" t="s">
        <v>46</v>
      </c>
      <c r="AF43" t="s">
        <v>46</v>
      </c>
      <c r="AG43" t="s">
        <v>36</v>
      </c>
      <c r="AH43" t="s">
        <v>40</v>
      </c>
      <c r="AI43" t="s">
        <v>40</v>
      </c>
      <c r="AJ43" t="s">
        <v>40</v>
      </c>
    </row>
    <row r="44" spans="1:36" x14ac:dyDescent="0.25">
      <c r="A44" t="s">
        <v>34</v>
      </c>
      <c r="B44" t="s">
        <v>153</v>
      </c>
      <c r="C44" t="s">
        <v>36</v>
      </c>
      <c r="D44" t="s">
        <v>154</v>
      </c>
      <c r="E44" t="s">
        <v>67</v>
      </c>
      <c r="F44" t="s">
        <v>87</v>
      </c>
      <c r="G44" s="1"/>
      <c r="H44" t="s">
        <v>40</v>
      </c>
      <c r="I44" s="1"/>
      <c r="J44" t="s">
        <v>40</v>
      </c>
      <c r="K44" s="2">
        <v>0</v>
      </c>
      <c r="L44" t="s">
        <v>40</v>
      </c>
      <c r="M44" s="2">
        <f>Table1[[#This Row],[Quantity]]*Table1[[#This Row],[Proposed Unit Price]]</f>
        <v>0</v>
      </c>
      <c r="N44" t="s">
        <v>40</v>
      </c>
      <c r="O44" s="1">
        <v>0</v>
      </c>
      <c r="P44" t="s">
        <v>40</v>
      </c>
      <c r="Q44" s="6">
        <v>45901</v>
      </c>
      <c r="R44" s="7">
        <v>46265</v>
      </c>
      <c r="S44" t="s">
        <v>41</v>
      </c>
      <c r="T44" t="s">
        <v>36</v>
      </c>
      <c r="U44" t="s">
        <v>36</v>
      </c>
      <c r="V44" t="s">
        <v>42</v>
      </c>
      <c r="W44" t="s">
        <v>43</v>
      </c>
      <c r="X44" t="s">
        <v>36</v>
      </c>
      <c r="Y44" t="s">
        <v>36</v>
      </c>
      <c r="Z44" t="s">
        <v>36</v>
      </c>
      <c r="AA44" t="s">
        <v>36</v>
      </c>
      <c r="AB44" t="s">
        <v>44</v>
      </c>
      <c r="AC44" t="s">
        <v>45</v>
      </c>
      <c r="AD44" t="s">
        <v>153</v>
      </c>
      <c r="AE44" t="s">
        <v>46</v>
      </c>
      <c r="AF44" t="s">
        <v>46</v>
      </c>
      <c r="AG44" t="s">
        <v>36</v>
      </c>
      <c r="AH44" t="s">
        <v>40</v>
      </c>
      <c r="AI44" t="s">
        <v>40</v>
      </c>
      <c r="AJ44" t="s">
        <v>40</v>
      </c>
    </row>
    <row r="45" spans="1:36" x14ac:dyDescent="0.25">
      <c r="A45" t="s">
        <v>34</v>
      </c>
      <c r="B45" t="s">
        <v>155</v>
      </c>
      <c r="C45" t="s">
        <v>36</v>
      </c>
      <c r="D45" t="s">
        <v>156</v>
      </c>
      <c r="E45" t="s">
        <v>53</v>
      </c>
      <c r="F45" t="s">
        <v>39</v>
      </c>
      <c r="G45" s="1"/>
      <c r="H45" t="s">
        <v>40</v>
      </c>
      <c r="I45" s="1"/>
      <c r="J45" t="s">
        <v>40</v>
      </c>
      <c r="K45" s="2">
        <v>0</v>
      </c>
      <c r="L45" t="s">
        <v>40</v>
      </c>
      <c r="M45" s="2">
        <f>Table1[[#This Row],[Quantity]]*Table1[[#This Row],[Proposed Unit Price]]</f>
        <v>0</v>
      </c>
      <c r="N45" t="s">
        <v>40</v>
      </c>
      <c r="O45" s="1">
        <v>0</v>
      </c>
      <c r="P45" t="s">
        <v>40</v>
      </c>
      <c r="Q45" s="6">
        <v>45901</v>
      </c>
      <c r="R45" s="7">
        <v>46265</v>
      </c>
      <c r="S45" t="s">
        <v>41</v>
      </c>
      <c r="T45" t="s">
        <v>36</v>
      </c>
      <c r="U45" t="s">
        <v>36</v>
      </c>
      <c r="V45" t="s">
        <v>42</v>
      </c>
      <c r="W45" t="s">
        <v>43</v>
      </c>
      <c r="X45" t="s">
        <v>36</v>
      </c>
      <c r="Y45" t="s">
        <v>36</v>
      </c>
      <c r="Z45" t="s">
        <v>36</v>
      </c>
      <c r="AA45" t="s">
        <v>36</v>
      </c>
      <c r="AB45" t="s">
        <v>44</v>
      </c>
      <c r="AC45" t="s">
        <v>45</v>
      </c>
      <c r="AD45" t="s">
        <v>155</v>
      </c>
      <c r="AE45" t="s">
        <v>46</v>
      </c>
      <c r="AF45" t="s">
        <v>46</v>
      </c>
      <c r="AG45" t="s">
        <v>36</v>
      </c>
      <c r="AH45" t="s">
        <v>40</v>
      </c>
      <c r="AI45" t="s">
        <v>40</v>
      </c>
      <c r="AJ45" t="s">
        <v>40</v>
      </c>
    </row>
    <row r="46" spans="1:36" x14ac:dyDescent="0.25">
      <c r="A46" t="s">
        <v>34</v>
      </c>
      <c r="B46" t="s">
        <v>157</v>
      </c>
      <c r="C46" t="s">
        <v>36</v>
      </c>
      <c r="D46" t="s">
        <v>158</v>
      </c>
      <c r="E46" t="s">
        <v>35</v>
      </c>
      <c r="F46" t="s">
        <v>39</v>
      </c>
      <c r="G46" s="1"/>
      <c r="H46" t="s">
        <v>40</v>
      </c>
      <c r="I46" s="1"/>
      <c r="J46" t="s">
        <v>40</v>
      </c>
      <c r="K46" s="2">
        <v>0</v>
      </c>
      <c r="L46" t="s">
        <v>40</v>
      </c>
      <c r="M46" s="2">
        <f>Table1[[#This Row],[Quantity]]*Table1[[#This Row],[Proposed Unit Price]]</f>
        <v>0</v>
      </c>
      <c r="N46" t="s">
        <v>40</v>
      </c>
      <c r="O46" s="1">
        <v>0</v>
      </c>
      <c r="P46" t="s">
        <v>40</v>
      </c>
      <c r="Q46" s="6">
        <v>45901</v>
      </c>
      <c r="R46" s="7">
        <v>46265</v>
      </c>
      <c r="S46" t="s">
        <v>41</v>
      </c>
      <c r="T46" t="s">
        <v>36</v>
      </c>
      <c r="U46" t="s">
        <v>36</v>
      </c>
      <c r="V46" t="s">
        <v>83</v>
      </c>
      <c r="W46" t="s">
        <v>84</v>
      </c>
      <c r="X46" t="s">
        <v>36</v>
      </c>
      <c r="Y46" t="s">
        <v>36</v>
      </c>
      <c r="Z46" t="s">
        <v>36</v>
      </c>
      <c r="AA46" t="s">
        <v>36</v>
      </c>
      <c r="AB46" t="s">
        <v>44</v>
      </c>
      <c r="AC46" t="s">
        <v>45</v>
      </c>
      <c r="AD46" t="s">
        <v>157</v>
      </c>
      <c r="AE46" t="s">
        <v>46</v>
      </c>
      <c r="AF46" t="s">
        <v>46</v>
      </c>
      <c r="AG46" t="s">
        <v>36</v>
      </c>
      <c r="AH46" t="s">
        <v>40</v>
      </c>
      <c r="AI46" t="s">
        <v>40</v>
      </c>
      <c r="AJ46" t="s">
        <v>40</v>
      </c>
    </row>
    <row r="47" spans="1:36" x14ac:dyDescent="0.25">
      <c r="A47" t="s">
        <v>34</v>
      </c>
      <c r="B47" t="s">
        <v>159</v>
      </c>
      <c r="C47" t="s">
        <v>36</v>
      </c>
      <c r="D47" t="s">
        <v>160</v>
      </c>
      <c r="E47" t="s">
        <v>35</v>
      </c>
      <c r="F47" t="s">
        <v>39</v>
      </c>
      <c r="G47" s="1"/>
      <c r="H47" t="s">
        <v>40</v>
      </c>
      <c r="I47" s="1"/>
      <c r="J47" t="s">
        <v>40</v>
      </c>
      <c r="K47" s="2">
        <v>0</v>
      </c>
      <c r="L47" t="s">
        <v>40</v>
      </c>
      <c r="M47" s="2">
        <f>Table1[[#This Row],[Quantity]]*Table1[[#This Row],[Proposed Unit Price]]</f>
        <v>0</v>
      </c>
      <c r="N47" t="s">
        <v>40</v>
      </c>
      <c r="O47" s="1">
        <v>0</v>
      </c>
      <c r="P47" t="s">
        <v>40</v>
      </c>
      <c r="Q47" s="6">
        <v>45901</v>
      </c>
      <c r="R47" s="7">
        <v>46265</v>
      </c>
      <c r="S47" t="s">
        <v>41</v>
      </c>
      <c r="T47" t="s">
        <v>36</v>
      </c>
      <c r="U47" t="s">
        <v>36</v>
      </c>
      <c r="V47" t="s">
        <v>83</v>
      </c>
      <c r="W47" t="s">
        <v>84</v>
      </c>
      <c r="X47" t="s">
        <v>36</v>
      </c>
      <c r="Y47" t="s">
        <v>36</v>
      </c>
      <c r="Z47" t="s">
        <v>36</v>
      </c>
      <c r="AA47" t="s">
        <v>36</v>
      </c>
      <c r="AB47" t="s">
        <v>44</v>
      </c>
      <c r="AC47" t="s">
        <v>45</v>
      </c>
      <c r="AD47" t="s">
        <v>159</v>
      </c>
      <c r="AE47" t="s">
        <v>46</v>
      </c>
      <c r="AF47" t="s">
        <v>46</v>
      </c>
      <c r="AG47" t="s">
        <v>36</v>
      </c>
      <c r="AH47" t="s">
        <v>40</v>
      </c>
      <c r="AI47" t="s">
        <v>40</v>
      </c>
      <c r="AJ47" t="s">
        <v>40</v>
      </c>
    </row>
    <row r="48" spans="1:36" x14ac:dyDescent="0.25">
      <c r="A48" t="s">
        <v>34</v>
      </c>
      <c r="B48" t="s">
        <v>161</v>
      </c>
      <c r="C48" t="s">
        <v>36</v>
      </c>
      <c r="D48" t="s">
        <v>162</v>
      </c>
      <c r="E48" t="s">
        <v>163</v>
      </c>
      <c r="F48" t="s">
        <v>96</v>
      </c>
      <c r="G48" s="1"/>
      <c r="H48" t="s">
        <v>40</v>
      </c>
      <c r="I48" s="1"/>
      <c r="J48" t="s">
        <v>40</v>
      </c>
      <c r="K48" s="2">
        <v>0</v>
      </c>
      <c r="L48" t="s">
        <v>40</v>
      </c>
      <c r="M48" s="2">
        <f>Table1[[#This Row],[Quantity]]*Table1[[#This Row],[Proposed Unit Price]]</f>
        <v>0</v>
      </c>
      <c r="N48" t="s">
        <v>40</v>
      </c>
      <c r="O48" s="1">
        <v>0</v>
      </c>
      <c r="P48" t="s">
        <v>40</v>
      </c>
      <c r="Q48" s="6">
        <v>45901</v>
      </c>
      <c r="R48" s="7">
        <v>46265</v>
      </c>
      <c r="S48" t="s">
        <v>41</v>
      </c>
      <c r="T48" t="s">
        <v>36</v>
      </c>
      <c r="U48" t="s">
        <v>36</v>
      </c>
      <c r="V48" t="s">
        <v>42</v>
      </c>
      <c r="W48" t="s">
        <v>43</v>
      </c>
      <c r="X48" t="s">
        <v>36</v>
      </c>
      <c r="Y48" t="s">
        <v>36</v>
      </c>
      <c r="Z48" t="s">
        <v>36</v>
      </c>
      <c r="AA48" t="s">
        <v>36</v>
      </c>
      <c r="AB48" t="s">
        <v>44</v>
      </c>
      <c r="AC48" t="s">
        <v>45</v>
      </c>
      <c r="AD48" t="s">
        <v>161</v>
      </c>
      <c r="AE48" t="s">
        <v>46</v>
      </c>
      <c r="AF48" t="s">
        <v>46</v>
      </c>
      <c r="AG48" t="s">
        <v>36</v>
      </c>
      <c r="AH48" t="s">
        <v>40</v>
      </c>
      <c r="AI48" t="s">
        <v>40</v>
      </c>
      <c r="AJ48" t="s">
        <v>40</v>
      </c>
    </row>
    <row r="49" spans="1:36" x14ac:dyDescent="0.25">
      <c r="A49" t="s">
        <v>34</v>
      </c>
      <c r="B49" t="s">
        <v>164</v>
      </c>
      <c r="C49" t="s">
        <v>36</v>
      </c>
      <c r="D49" t="s">
        <v>165</v>
      </c>
      <c r="E49" t="s">
        <v>99</v>
      </c>
      <c r="F49" t="s">
        <v>64</v>
      </c>
      <c r="G49" s="1"/>
      <c r="H49" t="s">
        <v>40</v>
      </c>
      <c r="I49" s="1"/>
      <c r="J49" t="s">
        <v>40</v>
      </c>
      <c r="K49" s="2">
        <v>0</v>
      </c>
      <c r="L49" t="s">
        <v>40</v>
      </c>
      <c r="M49" s="2">
        <f>Table1[[#This Row],[Quantity]]*Table1[[#This Row],[Proposed Unit Price]]</f>
        <v>0</v>
      </c>
      <c r="N49" t="s">
        <v>40</v>
      </c>
      <c r="O49" s="1">
        <v>0</v>
      </c>
      <c r="P49" t="s">
        <v>40</v>
      </c>
      <c r="Q49" s="6">
        <v>45901</v>
      </c>
      <c r="R49" s="7">
        <v>46265</v>
      </c>
      <c r="S49" t="s">
        <v>41</v>
      </c>
      <c r="T49" t="s">
        <v>36</v>
      </c>
      <c r="U49" t="s">
        <v>36</v>
      </c>
      <c r="V49" t="s">
        <v>42</v>
      </c>
      <c r="W49" t="s">
        <v>43</v>
      </c>
      <c r="X49" t="s">
        <v>36</v>
      </c>
      <c r="Y49" t="s">
        <v>36</v>
      </c>
      <c r="Z49" t="s">
        <v>36</v>
      </c>
      <c r="AA49" t="s">
        <v>36</v>
      </c>
      <c r="AB49" t="s">
        <v>44</v>
      </c>
      <c r="AC49" t="s">
        <v>45</v>
      </c>
      <c r="AD49" t="s">
        <v>164</v>
      </c>
      <c r="AE49" t="s">
        <v>46</v>
      </c>
      <c r="AF49" t="s">
        <v>46</v>
      </c>
      <c r="AG49" t="s">
        <v>36</v>
      </c>
      <c r="AH49" t="s">
        <v>40</v>
      </c>
      <c r="AI49" t="s">
        <v>40</v>
      </c>
      <c r="AJ49" t="s">
        <v>40</v>
      </c>
    </row>
    <row r="50" spans="1:36" x14ac:dyDescent="0.25">
      <c r="A50" t="s">
        <v>34</v>
      </c>
      <c r="B50" t="s">
        <v>166</v>
      </c>
      <c r="C50" t="s">
        <v>36</v>
      </c>
      <c r="D50" t="s">
        <v>167</v>
      </c>
      <c r="E50" t="s">
        <v>63</v>
      </c>
      <c r="F50" t="s">
        <v>64</v>
      </c>
      <c r="G50" s="1"/>
      <c r="H50" t="s">
        <v>40</v>
      </c>
      <c r="I50" s="1"/>
      <c r="J50" t="s">
        <v>40</v>
      </c>
      <c r="K50" s="2">
        <v>0</v>
      </c>
      <c r="L50" t="s">
        <v>40</v>
      </c>
      <c r="M50" s="2">
        <f>Table1[[#This Row],[Quantity]]*Table1[[#This Row],[Proposed Unit Price]]</f>
        <v>0</v>
      </c>
      <c r="N50" t="s">
        <v>40</v>
      </c>
      <c r="O50" s="1">
        <v>0</v>
      </c>
      <c r="P50" t="s">
        <v>40</v>
      </c>
      <c r="Q50" s="6">
        <v>45901</v>
      </c>
      <c r="R50" s="7">
        <v>46265</v>
      </c>
      <c r="S50" t="s">
        <v>41</v>
      </c>
      <c r="T50" t="s">
        <v>36</v>
      </c>
      <c r="U50" t="s">
        <v>36</v>
      </c>
      <c r="V50" t="s">
        <v>42</v>
      </c>
      <c r="W50" t="s">
        <v>43</v>
      </c>
      <c r="X50" t="s">
        <v>36</v>
      </c>
      <c r="Y50" t="s">
        <v>36</v>
      </c>
      <c r="Z50" t="s">
        <v>36</v>
      </c>
      <c r="AA50" t="s">
        <v>36</v>
      </c>
      <c r="AB50" t="s">
        <v>44</v>
      </c>
      <c r="AC50" t="s">
        <v>45</v>
      </c>
      <c r="AD50" t="s">
        <v>166</v>
      </c>
      <c r="AE50" t="s">
        <v>46</v>
      </c>
      <c r="AF50" t="s">
        <v>46</v>
      </c>
      <c r="AG50" t="s">
        <v>36</v>
      </c>
      <c r="AH50" t="s">
        <v>40</v>
      </c>
      <c r="AI50" t="s">
        <v>40</v>
      </c>
      <c r="AJ50" t="s">
        <v>40</v>
      </c>
    </row>
    <row r="51" spans="1:36" x14ac:dyDescent="0.25">
      <c r="A51" t="s">
        <v>34</v>
      </c>
      <c r="B51" t="s">
        <v>133</v>
      </c>
      <c r="C51" t="s">
        <v>36</v>
      </c>
      <c r="D51" t="s">
        <v>168</v>
      </c>
      <c r="E51" t="s">
        <v>58</v>
      </c>
      <c r="F51" t="s">
        <v>87</v>
      </c>
      <c r="G51" s="1"/>
      <c r="H51" t="s">
        <v>40</v>
      </c>
      <c r="I51" s="1"/>
      <c r="J51" t="s">
        <v>40</v>
      </c>
      <c r="K51" s="2">
        <v>0</v>
      </c>
      <c r="L51" t="s">
        <v>40</v>
      </c>
      <c r="M51" s="2">
        <f>Table1[[#This Row],[Quantity]]*Table1[[#This Row],[Proposed Unit Price]]</f>
        <v>0</v>
      </c>
      <c r="N51" t="s">
        <v>40</v>
      </c>
      <c r="O51" s="1">
        <v>0</v>
      </c>
      <c r="P51" t="s">
        <v>40</v>
      </c>
      <c r="Q51" s="6">
        <v>45901</v>
      </c>
      <c r="R51" s="7">
        <v>46265</v>
      </c>
      <c r="S51" t="s">
        <v>41</v>
      </c>
      <c r="T51" t="s">
        <v>36</v>
      </c>
      <c r="U51" t="s">
        <v>36</v>
      </c>
      <c r="V51" t="s">
        <v>42</v>
      </c>
      <c r="W51" t="s">
        <v>43</v>
      </c>
      <c r="X51" t="s">
        <v>36</v>
      </c>
      <c r="Y51" t="s">
        <v>36</v>
      </c>
      <c r="Z51" t="s">
        <v>36</v>
      </c>
      <c r="AA51" t="s">
        <v>36</v>
      </c>
      <c r="AB51" t="s">
        <v>44</v>
      </c>
      <c r="AC51" t="s">
        <v>45</v>
      </c>
      <c r="AD51" t="s">
        <v>133</v>
      </c>
      <c r="AE51" t="s">
        <v>46</v>
      </c>
      <c r="AF51" t="s">
        <v>46</v>
      </c>
      <c r="AG51" t="s">
        <v>36</v>
      </c>
      <c r="AH51" t="s">
        <v>40</v>
      </c>
      <c r="AI51" t="s">
        <v>40</v>
      </c>
      <c r="AJ51" t="s">
        <v>40</v>
      </c>
    </row>
    <row r="52" spans="1:36" x14ac:dyDescent="0.25">
      <c r="A52" t="s">
        <v>34</v>
      </c>
      <c r="B52" t="s">
        <v>169</v>
      </c>
      <c r="C52" t="s">
        <v>36</v>
      </c>
      <c r="D52" t="s">
        <v>170</v>
      </c>
      <c r="E52" t="s">
        <v>47</v>
      </c>
      <c r="F52" t="s">
        <v>39</v>
      </c>
      <c r="G52" s="1"/>
      <c r="H52" t="s">
        <v>40</v>
      </c>
      <c r="I52" s="1"/>
      <c r="J52" t="s">
        <v>40</v>
      </c>
      <c r="K52" s="2">
        <v>0</v>
      </c>
      <c r="L52" t="s">
        <v>40</v>
      </c>
      <c r="M52" s="2">
        <f>Table1[[#This Row],[Quantity]]*Table1[[#This Row],[Proposed Unit Price]]</f>
        <v>0</v>
      </c>
      <c r="N52" t="s">
        <v>40</v>
      </c>
      <c r="O52" s="1">
        <v>0</v>
      </c>
      <c r="P52" t="s">
        <v>40</v>
      </c>
      <c r="Q52" s="6">
        <v>45901</v>
      </c>
      <c r="R52" s="7">
        <v>46265</v>
      </c>
      <c r="S52" t="s">
        <v>41</v>
      </c>
      <c r="T52" t="s">
        <v>36</v>
      </c>
      <c r="U52" t="s">
        <v>36</v>
      </c>
      <c r="V52" t="s">
        <v>42</v>
      </c>
      <c r="W52" t="s">
        <v>43</v>
      </c>
      <c r="X52" t="s">
        <v>36</v>
      </c>
      <c r="Y52" t="s">
        <v>36</v>
      </c>
      <c r="Z52" t="s">
        <v>36</v>
      </c>
      <c r="AA52" t="s">
        <v>36</v>
      </c>
      <c r="AB52" t="s">
        <v>44</v>
      </c>
      <c r="AC52" t="s">
        <v>45</v>
      </c>
      <c r="AD52" t="s">
        <v>169</v>
      </c>
      <c r="AE52" t="s">
        <v>46</v>
      </c>
      <c r="AF52" t="s">
        <v>46</v>
      </c>
      <c r="AG52" t="s">
        <v>36</v>
      </c>
      <c r="AH52" t="s">
        <v>40</v>
      </c>
      <c r="AI52" t="s">
        <v>40</v>
      </c>
      <c r="AJ52" t="s">
        <v>40</v>
      </c>
    </row>
    <row r="53" spans="1:36" x14ac:dyDescent="0.25">
      <c r="A53" t="s">
        <v>34</v>
      </c>
      <c r="B53" t="s">
        <v>171</v>
      </c>
      <c r="C53" t="s">
        <v>36</v>
      </c>
      <c r="D53" t="s">
        <v>172</v>
      </c>
      <c r="E53" t="s">
        <v>106</v>
      </c>
      <c r="F53" t="s">
        <v>87</v>
      </c>
      <c r="G53" s="1"/>
      <c r="H53" t="s">
        <v>40</v>
      </c>
      <c r="I53" s="1"/>
      <c r="J53" t="s">
        <v>40</v>
      </c>
      <c r="K53" s="2">
        <v>0</v>
      </c>
      <c r="L53" t="s">
        <v>40</v>
      </c>
      <c r="M53" s="2">
        <f>Table1[[#This Row],[Quantity]]*Table1[[#This Row],[Proposed Unit Price]]</f>
        <v>0</v>
      </c>
      <c r="N53" t="s">
        <v>40</v>
      </c>
      <c r="O53" s="1">
        <v>0</v>
      </c>
      <c r="P53" t="s">
        <v>40</v>
      </c>
      <c r="Q53" s="6">
        <v>45901</v>
      </c>
      <c r="R53" s="7">
        <v>46265</v>
      </c>
      <c r="S53" t="s">
        <v>41</v>
      </c>
      <c r="T53" t="s">
        <v>36</v>
      </c>
      <c r="U53" t="s">
        <v>36</v>
      </c>
      <c r="V53" t="s">
        <v>42</v>
      </c>
      <c r="W53" t="s">
        <v>43</v>
      </c>
      <c r="X53" t="s">
        <v>36</v>
      </c>
      <c r="Y53" t="s">
        <v>36</v>
      </c>
      <c r="Z53" t="s">
        <v>36</v>
      </c>
      <c r="AA53" t="s">
        <v>36</v>
      </c>
      <c r="AB53" t="s">
        <v>44</v>
      </c>
      <c r="AC53" t="s">
        <v>45</v>
      </c>
      <c r="AD53" t="s">
        <v>171</v>
      </c>
      <c r="AE53" t="s">
        <v>46</v>
      </c>
      <c r="AF53" t="s">
        <v>46</v>
      </c>
      <c r="AG53" t="s">
        <v>36</v>
      </c>
      <c r="AH53" t="s">
        <v>40</v>
      </c>
      <c r="AI53" t="s">
        <v>40</v>
      </c>
      <c r="AJ53" t="s">
        <v>40</v>
      </c>
    </row>
    <row r="54" spans="1:36" x14ac:dyDescent="0.25">
      <c r="A54" t="s">
        <v>34</v>
      </c>
      <c r="B54" t="s">
        <v>173</v>
      </c>
      <c r="C54" t="s">
        <v>36</v>
      </c>
      <c r="D54" t="s">
        <v>174</v>
      </c>
      <c r="E54" t="s">
        <v>110</v>
      </c>
      <c r="F54" t="s">
        <v>64</v>
      </c>
      <c r="G54" s="1"/>
      <c r="H54" t="s">
        <v>40</v>
      </c>
      <c r="I54" s="1"/>
      <c r="J54" t="s">
        <v>40</v>
      </c>
      <c r="K54" s="2">
        <v>0</v>
      </c>
      <c r="L54" t="s">
        <v>40</v>
      </c>
      <c r="M54" s="2">
        <f>Table1[[#This Row],[Quantity]]*Table1[[#This Row],[Proposed Unit Price]]</f>
        <v>0</v>
      </c>
      <c r="N54" t="s">
        <v>40</v>
      </c>
      <c r="O54" s="1">
        <v>0</v>
      </c>
      <c r="P54" t="s">
        <v>40</v>
      </c>
      <c r="Q54" s="6">
        <v>45901</v>
      </c>
      <c r="R54" s="7">
        <v>46265</v>
      </c>
      <c r="S54" t="s">
        <v>41</v>
      </c>
      <c r="T54" t="s">
        <v>36</v>
      </c>
      <c r="U54" t="s">
        <v>36</v>
      </c>
      <c r="V54" t="s">
        <v>42</v>
      </c>
      <c r="W54" t="s">
        <v>43</v>
      </c>
      <c r="X54" t="s">
        <v>36</v>
      </c>
      <c r="Y54" t="s">
        <v>36</v>
      </c>
      <c r="Z54" t="s">
        <v>36</v>
      </c>
      <c r="AA54" t="s">
        <v>36</v>
      </c>
      <c r="AB54" t="s">
        <v>44</v>
      </c>
      <c r="AC54" t="s">
        <v>45</v>
      </c>
      <c r="AD54" t="s">
        <v>173</v>
      </c>
      <c r="AE54" t="s">
        <v>46</v>
      </c>
      <c r="AF54" t="s">
        <v>46</v>
      </c>
      <c r="AG54" t="s">
        <v>36</v>
      </c>
      <c r="AH54" t="s">
        <v>40</v>
      </c>
      <c r="AI54" t="s">
        <v>40</v>
      </c>
      <c r="AJ54" t="s">
        <v>40</v>
      </c>
    </row>
    <row r="55" spans="1:36" x14ac:dyDescent="0.25">
      <c r="A55" t="s">
        <v>34</v>
      </c>
      <c r="B55" t="s">
        <v>175</v>
      </c>
      <c r="C55" t="s">
        <v>36</v>
      </c>
      <c r="D55" t="s">
        <v>176</v>
      </c>
      <c r="E55" t="s">
        <v>177</v>
      </c>
      <c r="F55" t="s">
        <v>39</v>
      </c>
      <c r="G55" s="1"/>
      <c r="H55" t="s">
        <v>40</v>
      </c>
      <c r="I55" s="1"/>
      <c r="J55" t="s">
        <v>40</v>
      </c>
      <c r="K55" s="2">
        <v>0</v>
      </c>
      <c r="L55" t="s">
        <v>40</v>
      </c>
      <c r="M55" s="2">
        <f>Table1[[#This Row],[Quantity]]*Table1[[#This Row],[Proposed Unit Price]]</f>
        <v>0</v>
      </c>
      <c r="N55" t="s">
        <v>40</v>
      </c>
      <c r="O55" s="1">
        <v>0</v>
      </c>
      <c r="P55" t="s">
        <v>40</v>
      </c>
      <c r="Q55" s="6">
        <v>45901</v>
      </c>
      <c r="R55" s="7">
        <v>46265</v>
      </c>
      <c r="S55" t="s">
        <v>41</v>
      </c>
      <c r="T55" t="s">
        <v>36</v>
      </c>
      <c r="U55" t="s">
        <v>36</v>
      </c>
      <c r="V55" t="s">
        <v>42</v>
      </c>
      <c r="W55" t="s">
        <v>43</v>
      </c>
      <c r="X55" t="s">
        <v>36</v>
      </c>
      <c r="Y55" t="s">
        <v>36</v>
      </c>
      <c r="Z55" t="s">
        <v>36</v>
      </c>
      <c r="AA55" t="s">
        <v>36</v>
      </c>
      <c r="AB55" t="s">
        <v>44</v>
      </c>
      <c r="AC55" t="s">
        <v>45</v>
      </c>
      <c r="AD55" t="s">
        <v>175</v>
      </c>
      <c r="AE55" t="s">
        <v>46</v>
      </c>
      <c r="AF55" t="s">
        <v>46</v>
      </c>
      <c r="AG55" t="s">
        <v>36</v>
      </c>
      <c r="AH55" t="s">
        <v>40</v>
      </c>
      <c r="AI55" t="s">
        <v>40</v>
      </c>
      <c r="AJ55" t="s">
        <v>40</v>
      </c>
    </row>
    <row r="56" spans="1:36" x14ac:dyDescent="0.25">
      <c r="A56" t="s">
        <v>34</v>
      </c>
      <c r="B56" t="s">
        <v>178</v>
      </c>
      <c r="C56" t="s">
        <v>36</v>
      </c>
      <c r="D56" t="s">
        <v>179</v>
      </c>
      <c r="E56" t="s">
        <v>177</v>
      </c>
      <c r="F56" t="s">
        <v>39</v>
      </c>
      <c r="G56" s="1"/>
      <c r="H56" t="s">
        <v>40</v>
      </c>
      <c r="I56" s="1"/>
      <c r="J56" t="s">
        <v>40</v>
      </c>
      <c r="K56" s="2">
        <v>0</v>
      </c>
      <c r="L56" t="s">
        <v>40</v>
      </c>
      <c r="M56" s="2">
        <f>Table1[[#This Row],[Quantity]]*Table1[[#This Row],[Proposed Unit Price]]</f>
        <v>0</v>
      </c>
      <c r="N56" t="s">
        <v>40</v>
      </c>
      <c r="O56" s="1">
        <v>0</v>
      </c>
      <c r="P56" t="s">
        <v>40</v>
      </c>
      <c r="Q56" s="6">
        <v>45901</v>
      </c>
      <c r="R56" s="7">
        <v>46265</v>
      </c>
      <c r="S56" t="s">
        <v>41</v>
      </c>
      <c r="T56" t="s">
        <v>36</v>
      </c>
      <c r="U56" t="s">
        <v>36</v>
      </c>
      <c r="V56" t="s">
        <v>42</v>
      </c>
      <c r="W56" t="s">
        <v>43</v>
      </c>
      <c r="X56" t="s">
        <v>36</v>
      </c>
      <c r="Y56" t="s">
        <v>36</v>
      </c>
      <c r="Z56" t="s">
        <v>36</v>
      </c>
      <c r="AA56" t="s">
        <v>36</v>
      </c>
      <c r="AB56" t="s">
        <v>44</v>
      </c>
      <c r="AC56" t="s">
        <v>45</v>
      </c>
      <c r="AD56" t="s">
        <v>178</v>
      </c>
      <c r="AE56" t="s">
        <v>46</v>
      </c>
      <c r="AF56" t="s">
        <v>46</v>
      </c>
      <c r="AG56" t="s">
        <v>36</v>
      </c>
      <c r="AH56" t="s">
        <v>40</v>
      </c>
      <c r="AI56" t="s">
        <v>40</v>
      </c>
      <c r="AJ56" t="s">
        <v>40</v>
      </c>
    </row>
    <row r="57" spans="1:36" x14ac:dyDescent="0.25">
      <c r="A57" t="s">
        <v>34</v>
      </c>
      <c r="B57" t="s">
        <v>180</v>
      </c>
      <c r="C57" t="s">
        <v>36</v>
      </c>
      <c r="D57" t="s">
        <v>181</v>
      </c>
      <c r="E57" t="s">
        <v>182</v>
      </c>
      <c r="F57" t="s">
        <v>39</v>
      </c>
      <c r="G57" s="1"/>
      <c r="H57" t="s">
        <v>40</v>
      </c>
      <c r="I57" s="1"/>
      <c r="J57" t="s">
        <v>40</v>
      </c>
      <c r="K57" s="2">
        <v>0</v>
      </c>
      <c r="L57" t="s">
        <v>40</v>
      </c>
      <c r="M57" s="2">
        <f>Table1[[#This Row],[Quantity]]*Table1[[#This Row],[Proposed Unit Price]]</f>
        <v>0</v>
      </c>
      <c r="N57" t="s">
        <v>40</v>
      </c>
      <c r="O57" s="1">
        <v>0</v>
      </c>
      <c r="P57" t="s">
        <v>40</v>
      </c>
      <c r="Q57" s="6">
        <v>45901</v>
      </c>
      <c r="R57" s="7">
        <v>46265</v>
      </c>
      <c r="S57" t="s">
        <v>41</v>
      </c>
      <c r="T57" t="s">
        <v>36</v>
      </c>
      <c r="U57" t="s">
        <v>36</v>
      </c>
      <c r="V57" t="s">
        <v>42</v>
      </c>
      <c r="W57" t="s">
        <v>43</v>
      </c>
      <c r="X57" t="s">
        <v>36</v>
      </c>
      <c r="Y57" t="s">
        <v>36</v>
      </c>
      <c r="Z57" t="s">
        <v>36</v>
      </c>
      <c r="AA57" t="s">
        <v>36</v>
      </c>
      <c r="AB57" t="s">
        <v>44</v>
      </c>
      <c r="AC57" t="s">
        <v>45</v>
      </c>
      <c r="AD57" t="s">
        <v>180</v>
      </c>
      <c r="AE57" t="s">
        <v>46</v>
      </c>
      <c r="AF57" t="s">
        <v>46</v>
      </c>
      <c r="AG57" t="s">
        <v>36</v>
      </c>
      <c r="AH57" t="s">
        <v>40</v>
      </c>
      <c r="AI57" t="s">
        <v>40</v>
      </c>
      <c r="AJ57" t="s">
        <v>40</v>
      </c>
    </row>
    <row r="58" spans="1:36" x14ac:dyDescent="0.25">
      <c r="A58" t="s">
        <v>34</v>
      </c>
      <c r="B58" t="s">
        <v>183</v>
      </c>
      <c r="C58" t="s">
        <v>36</v>
      </c>
      <c r="D58" t="s">
        <v>184</v>
      </c>
      <c r="E58" t="s">
        <v>65</v>
      </c>
      <c r="F58" t="s">
        <v>39</v>
      </c>
      <c r="G58" s="1"/>
      <c r="H58" t="s">
        <v>40</v>
      </c>
      <c r="I58" s="1"/>
      <c r="J58" t="s">
        <v>40</v>
      </c>
      <c r="K58" s="2">
        <v>0</v>
      </c>
      <c r="L58" t="s">
        <v>40</v>
      </c>
      <c r="M58" s="2">
        <f>Table1[[#This Row],[Quantity]]*Table1[[#This Row],[Proposed Unit Price]]</f>
        <v>0</v>
      </c>
      <c r="N58" t="s">
        <v>40</v>
      </c>
      <c r="O58" s="1">
        <v>0</v>
      </c>
      <c r="P58" t="s">
        <v>40</v>
      </c>
      <c r="Q58" s="6">
        <v>45901</v>
      </c>
      <c r="R58" s="7">
        <v>46265</v>
      </c>
      <c r="S58" t="s">
        <v>41</v>
      </c>
      <c r="T58" t="s">
        <v>36</v>
      </c>
      <c r="U58" t="s">
        <v>36</v>
      </c>
      <c r="V58" t="s">
        <v>42</v>
      </c>
      <c r="W58" t="s">
        <v>43</v>
      </c>
      <c r="X58" t="s">
        <v>36</v>
      </c>
      <c r="Y58" t="s">
        <v>36</v>
      </c>
      <c r="Z58" t="s">
        <v>36</v>
      </c>
      <c r="AA58" t="s">
        <v>36</v>
      </c>
      <c r="AB58" t="s">
        <v>44</v>
      </c>
      <c r="AC58" t="s">
        <v>45</v>
      </c>
      <c r="AD58" t="s">
        <v>183</v>
      </c>
      <c r="AE58" t="s">
        <v>46</v>
      </c>
      <c r="AF58" t="s">
        <v>46</v>
      </c>
      <c r="AG58" t="s">
        <v>36</v>
      </c>
      <c r="AH58" t="s">
        <v>40</v>
      </c>
      <c r="AI58" t="s">
        <v>40</v>
      </c>
      <c r="AJ58" t="s">
        <v>40</v>
      </c>
    </row>
    <row r="59" spans="1:36" x14ac:dyDescent="0.25">
      <c r="A59" t="s">
        <v>34</v>
      </c>
      <c r="B59" t="s">
        <v>185</v>
      </c>
      <c r="C59" t="s">
        <v>36</v>
      </c>
      <c r="D59" t="s">
        <v>186</v>
      </c>
      <c r="E59" t="s">
        <v>67</v>
      </c>
      <c r="F59" t="s">
        <v>87</v>
      </c>
      <c r="G59" s="1"/>
      <c r="H59" t="s">
        <v>40</v>
      </c>
      <c r="I59" s="1"/>
      <c r="J59" t="s">
        <v>40</v>
      </c>
      <c r="K59" s="2">
        <v>0</v>
      </c>
      <c r="L59" t="s">
        <v>40</v>
      </c>
      <c r="M59" s="2">
        <f>Table1[[#This Row],[Quantity]]*Table1[[#This Row],[Proposed Unit Price]]</f>
        <v>0</v>
      </c>
      <c r="N59" t="s">
        <v>40</v>
      </c>
      <c r="O59" s="1">
        <v>0</v>
      </c>
      <c r="P59" t="s">
        <v>40</v>
      </c>
      <c r="Q59" s="6">
        <v>45901</v>
      </c>
      <c r="R59" s="7">
        <v>46265</v>
      </c>
      <c r="S59" t="s">
        <v>41</v>
      </c>
      <c r="T59" t="s">
        <v>36</v>
      </c>
      <c r="U59" t="s">
        <v>36</v>
      </c>
      <c r="V59" t="s">
        <v>42</v>
      </c>
      <c r="W59" t="s">
        <v>43</v>
      </c>
      <c r="X59" t="s">
        <v>36</v>
      </c>
      <c r="Y59" t="s">
        <v>36</v>
      </c>
      <c r="Z59" t="s">
        <v>36</v>
      </c>
      <c r="AA59" t="s">
        <v>36</v>
      </c>
      <c r="AB59" t="s">
        <v>44</v>
      </c>
      <c r="AC59" t="s">
        <v>45</v>
      </c>
      <c r="AD59" t="s">
        <v>185</v>
      </c>
      <c r="AE59" t="s">
        <v>46</v>
      </c>
      <c r="AF59" t="s">
        <v>46</v>
      </c>
      <c r="AG59" t="s">
        <v>36</v>
      </c>
      <c r="AH59" t="s">
        <v>40</v>
      </c>
      <c r="AI59" t="s">
        <v>40</v>
      </c>
      <c r="AJ59" t="s">
        <v>40</v>
      </c>
    </row>
    <row r="60" spans="1:36" x14ac:dyDescent="0.25">
      <c r="G60" s="1"/>
      <c r="I60" s="1"/>
      <c r="K60" s="2"/>
      <c r="M60" s="2">
        <f>SUM(M2:M59)</f>
        <v>0</v>
      </c>
      <c r="O60" s="1"/>
    </row>
    <row r="61" spans="1:36" x14ac:dyDescent="0.25">
      <c r="G61" s="1"/>
      <c r="I61" s="1"/>
      <c r="K61" s="2"/>
      <c r="M61" s="2"/>
      <c r="O61" s="1"/>
    </row>
    <row r="62" spans="1:36" x14ac:dyDescent="0.25">
      <c r="G62" s="1"/>
      <c r="I62" s="1"/>
      <c r="K62" s="2"/>
      <c r="M62" s="2"/>
      <c r="O62" s="1"/>
    </row>
    <row r="63" spans="1:36" x14ac:dyDescent="0.25">
      <c r="A63" t="s">
        <v>34</v>
      </c>
      <c r="B63" t="s">
        <v>187</v>
      </c>
      <c r="C63" t="s">
        <v>36</v>
      </c>
      <c r="D63" t="s">
        <v>37</v>
      </c>
      <c r="E63" t="s">
        <v>38</v>
      </c>
      <c r="F63" t="s">
        <v>39</v>
      </c>
      <c r="G63" s="1"/>
      <c r="H63" t="s">
        <v>40</v>
      </c>
      <c r="I63" s="1"/>
      <c r="J63" t="s">
        <v>40</v>
      </c>
      <c r="K63" s="2">
        <v>0</v>
      </c>
      <c r="L63" t="s">
        <v>40</v>
      </c>
      <c r="M63" s="2">
        <f>Table1[[#This Row],[Quantity]]*Table1[[#This Row],[Proposed Unit Price]]</f>
        <v>0</v>
      </c>
      <c r="N63" t="s">
        <v>40</v>
      </c>
      <c r="O63" s="1">
        <v>0</v>
      </c>
      <c r="P63" t="s">
        <v>40</v>
      </c>
      <c r="Q63" s="6">
        <v>46266</v>
      </c>
      <c r="R63" s="6">
        <v>46630</v>
      </c>
      <c r="S63" t="s">
        <v>188</v>
      </c>
      <c r="T63" t="s">
        <v>35</v>
      </c>
      <c r="U63" t="s">
        <v>35</v>
      </c>
      <c r="V63" t="s">
        <v>42</v>
      </c>
      <c r="W63" t="s">
        <v>43</v>
      </c>
      <c r="X63" t="s">
        <v>36</v>
      </c>
      <c r="Y63" t="s">
        <v>36</v>
      </c>
      <c r="Z63" t="s">
        <v>36</v>
      </c>
      <c r="AA63" t="s">
        <v>36</v>
      </c>
      <c r="AB63" t="s">
        <v>44</v>
      </c>
      <c r="AC63" t="s">
        <v>45</v>
      </c>
      <c r="AD63" t="s">
        <v>187</v>
      </c>
      <c r="AE63" t="s">
        <v>46</v>
      </c>
      <c r="AF63" t="s">
        <v>46</v>
      </c>
      <c r="AG63" t="s">
        <v>36</v>
      </c>
      <c r="AH63" t="s">
        <v>40</v>
      </c>
      <c r="AI63" t="s">
        <v>40</v>
      </c>
      <c r="AJ63" t="s">
        <v>40</v>
      </c>
    </row>
    <row r="64" spans="1:36" x14ac:dyDescent="0.25">
      <c r="A64" t="s">
        <v>34</v>
      </c>
      <c r="B64" t="s">
        <v>189</v>
      </c>
      <c r="C64" t="s">
        <v>36</v>
      </c>
      <c r="D64" t="s">
        <v>48</v>
      </c>
      <c r="E64" t="s">
        <v>49</v>
      </c>
      <c r="F64" t="s">
        <v>39</v>
      </c>
      <c r="G64" s="1"/>
      <c r="H64" t="s">
        <v>40</v>
      </c>
      <c r="I64" s="1"/>
      <c r="J64" t="s">
        <v>40</v>
      </c>
      <c r="K64" s="2">
        <v>0</v>
      </c>
      <c r="L64" t="s">
        <v>40</v>
      </c>
      <c r="M64" s="2">
        <f>Table1[[#This Row],[Quantity]]*Table1[[#This Row],[Proposed Unit Price]]</f>
        <v>0</v>
      </c>
      <c r="N64" t="s">
        <v>40</v>
      </c>
      <c r="O64" s="1">
        <v>0</v>
      </c>
      <c r="P64" t="s">
        <v>40</v>
      </c>
      <c r="Q64" s="6">
        <v>46266</v>
      </c>
      <c r="R64" s="6">
        <v>46630</v>
      </c>
      <c r="S64" t="s">
        <v>188</v>
      </c>
      <c r="T64" t="s">
        <v>47</v>
      </c>
      <c r="U64" t="s">
        <v>35</v>
      </c>
      <c r="V64" t="s">
        <v>42</v>
      </c>
      <c r="W64" t="s">
        <v>43</v>
      </c>
      <c r="X64" t="s">
        <v>36</v>
      </c>
      <c r="Y64" t="s">
        <v>36</v>
      </c>
      <c r="Z64" t="s">
        <v>36</v>
      </c>
      <c r="AA64" t="s">
        <v>36</v>
      </c>
      <c r="AB64" t="s">
        <v>44</v>
      </c>
      <c r="AC64" t="s">
        <v>45</v>
      </c>
      <c r="AD64" t="s">
        <v>189</v>
      </c>
      <c r="AE64" t="s">
        <v>46</v>
      </c>
      <c r="AF64" t="s">
        <v>46</v>
      </c>
      <c r="AG64" t="s">
        <v>36</v>
      </c>
      <c r="AH64" t="s">
        <v>40</v>
      </c>
      <c r="AI64" t="s">
        <v>40</v>
      </c>
      <c r="AJ64" t="s">
        <v>40</v>
      </c>
    </row>
    <row r="65" spans="1:36" x14ac:dyDescent="0.25">
      <c r="A65" t="s">
        <v>34</v>
      </c>
      <c r="B65" t="s">
        <v>190</v>
      </c>
      <c r="C65" t="s">
        <v>36</v>
      </c>
      <c r="D65" t="s">
        <v>51</v>
      </c>
      <c r="E65" t="s">
        <v>52</v>
      </c>
      <c r="F65" t="s">
        <v>39</v>
      </c>
      <c r="G65" s="1"/>
      <c r="H65" t="s">
        <v>40</v>
      </c>
      <c r="I65" s="1"/>
      <c r="J65" t="s">
        <v>40</v>
      </c>
      <c r="K65" s="2">
        <v>0</v>
      </c>
      <c r="L65" t="s">
        <v>40</v>
      </c>
      <c r="M65" s="2">
        <f>Table1[[#This Row],[Quantity]]*Table1[[#This Row],[Proposed Unit Price]]</f>
        <v>0</v>
      </c>
      <c r="N65" t="s">
        <v>40</v>
      </c>
      <c r="O65" s="1">
        <v>0</v>
      </c>
      <c r="P65" t="s">
        <v>40</v>
      </c>
      <c r="Q65" s="6">
        <v>46266</v>
      </c>
      <c r="R65" s="6">
        <v>46630</v>
      </c>
      <c r="S65" t="s">
        <v>188</v>
      </c>
      <c r="T65" t="s">
        <v>50</v>
      </c>
      <c r="U65" t="s">
        <v>35</v>
      </c>
      <c r="V65" t="s">
        <v>42</v>
      </c>
      <c r="W65" t="s">
        <v>43</v>
      </c>
      <c r="X65" t="s">
        <v>36</v>
      </c>
      <c r="Y65" t="s">
        <v>36</v>
      </c>
      <c r="Z65" t="s">
        <v>36</v>
      </c>
      <c r="AA65" t="s">
        <v>36</v>
      </c>
      <c r="AB65" t="s">
        <v>44</v>
      </c>
      <c r="AC65" t="s">
        <v>45</v>
      </c>
      <c r="AD65" t="s">
        <v>190</v>
      </c>
      <c r="AE65" t="s">
        <v>46</v>
      </c>
      <c r="AF65" t="s">
        <v>46</v>
      </c>
      <c r="AG65" t="s">
        <v>36</v>
      </c>
      <c r="AH65" t="s">
        <v>40</v>
      </c>
      <c r="AI65" t="s">
        <v>40</v>
      </c>
      <c r="AJ65" t="s">
        <v>40</v>
      </c>
    </row>
    <row r="66" spans="1:36" x14ac:dyDescent="0.25">
      <c r="A66" t="s">
        <v>34</v>
      </c>
      <c r="B66" t="s">
        <v>191</v>
      </c>
      <c r="C66" t="s">
        <v>36</v>
      </c>
      <c r="D66" t="s">
        <v>54</v>
      </c>
      <c r="E66" t="s">
        <v>38</v>
      </c>
      <c r="F66" t="s">
        <v>39</v>
      </c>
      <c r="G66" s="1"/>
      <c r="H66" t="s">
        <v>40</v>
      </c>
      <c r="I66" s="1"/>
      <c r="J66" t="s">
        <v>40</v>
      </c>
      <c r="K66" s="2">
        <v>0</v>
      </c>
      <c r="L66" t="s">
        <v>40</v>
      </c>
      <c r="M66" s="2">
        <f>Table1[[#This Row],[Quantity]]*Table1[[#This Row],[Proposed Unit Price]]</f>
        <v>0</v>
      </c>
      <c r="N66" t="s">
        <v>40</v>
      </c>
      <c r="O66" s="1">
        <v>0</v>
      </c>
      <c r="P66" t="s">
        <v>40</v>
      </c>
      <c r="Q66" s="6">
        <v>46266</v>
      </c>
      <c r="R66" s="6">
        <v>46630</v>
      </c>
      <c r="S66" t="s">
        <v>188</v>
      </c>
      <c r="T66" t="s">
        <v>53</v>
      </c>
      <c r="U66" t="s">
        <v>35</v>
      </c>
      <c r="V66" t="s">
        <v>42</v>
      </c>
      <c r="W66" t="s">
        <v>43</v>
      </c>
      <c r="X66" t="s">
        <v>36</v>
      </c>
      <c r="Y66" t="s">
        <v>36</v>
      </c>
      <c r="Z66" t="s">
        <v>36</v>
      </c>
      <c r="AA66" t="s">
        <v>36</v>
      </c>
      <c r="AB66" t="s">
        <v>44</v>
      </c>
      <c r="AC66" t="s">
        <v>45</v>
      </c>
      <c r="AD66" t="s">
        <v>191</v>
      </c>
      <c r="AE66" t="s">
        <v>46</v>
      </c>
      <c r="AF66" t="s">
        <v>46</v>
      </c>
      <c r="AG66" t="s">
        <v>36</v>
      </c>
      <c r="AH66" t="s">
        <v>40</v>
      </c>
      <c r="AI66" t="s">
        <v>40</v>
      </c>
      <c r="AJ66" t="s">
        <v>40</v>
      </c>
    </row>
    <row r="67" spans="1:36" x14ac:dyDescent="0.25">
      <c r="A67" t="s">
        <v>34</v>
      </c>
      <c r="B67" t="s">
        <v>192</v>
      </c>
      <c r="C67" t="s">
        <v>36</v>
      </c>
      <c r="D67" t="s">
        <v>56</v>
      </c>
      <c r="E67" t="s">
        <v>57</v>
      </c>
      <c r="F67" t="s">
        <v>39</v>
      </c>
      <c r="G67" s="1"/>
      <c r="H67" t="s">
        <v>40</v>
      </c>
      <c r="I67" s="1"/>
      <c r="J67" t="s">
        <v>40</v>
      </c>
      <c r="K67" s="2">
        <v>0</v>
      </c>
      <c r="L67" t="s">
        <v>40</v>
      </c>
      <c r="M67" s="2">
        <f>Table1[[#This Row],[Quantity]]*Table1[[#This Row],[Proposed Unit Price]]</f>
        <v>0</v>
      </c>
      <c r="N67" t="s">
        <v>40</v>
      </c>
      <c r="O67" s="1">
        <v>0</v>
      </c>
      <c r="P67" t="s">
        <v>40</v>
      </c>
      <c r="Q67" s="6">
        <v>46266</v>
      </c>
      <c r="R67" s="6">
        <v>46630</v>
      </c>
      <c r="S67" t="s">
        <v>188</v>
      </c>
      <c r="T67" t="s">
        <v>55</v>
      </c>
      <c r="U67" t="s">
        <v>35</v>
      </c>
      <c r="V67" t="s">
        <v>42</v>
      </c>
      <c r="W67" t="s">
        <v>43</v>
      </c>
      <c r="X67" t="s">
        <v>36</v>
      </c>
      <c r="Y67" t="s">
        <v>36</v>
      </c>
      <c r="Z67" t="s">
        <v>36</v>
      </c>
      <c r="AA67" t="s">
        <v>36</v>
      </c>
      <c r="AB67" t="s">
        <v>44</v>
      </c>
      <c r="AC67" t="s">
        <v>45</v>
      </c>
      <c r="AD67" t="s">
        <v>192</v>
      </c>
      <c r="AE67" t="s">
        <v>46</v>
      </c>
      <c r="AF67" t="s">
        <v>46</v>
      </c>
      <c r="AG67" t="s">
        <v>36</v>
      </c>
      <c r="AH67" t="s">
        <v>40</v>
      </c>
      <c r="AI67" t="s">
        <v>40</v>
      </c>
      <c r="AJ67" t="s">
        <v>40</v>
      </c>
    </row>
    <row r="68" spans="1:36" x14ac:dyDescent="0.25">
      <c r="A68" t="s">
        <v>34</v>
      </c>
      <c r="B68" t="s">
        <v>193</v>
      </c>
      <c r="C68" t="s">
        <v>36</v>
      </c>
      <c r="D68" t="s">
        <v>59</v>
      </c>
      <c r="E68" t="s">
        <v>60</v>
      </c>
      <c r="F68" t="s">
        <v>39</v>
      </c>
      <c r="G68" s="1"/>
      <c r="H68" t="s">
        <v>40</v>
      </c>
      <c r="I68" s="1"/>
      <c r="J68" t="s">
        <v>40</v>
      </c>
      <c r="K68" s="2">
        <v>0</v>
      </c>
      <c r="L68" t="s">
        <v>40</v>
      </c>
      <c r="M68" s="2">
        <f>Table1[[#This Row],[Quantity]]*Table1[[#This Row],[Proposed Unit Price]]</f>
        <v>0</v>
      </c>
      <c r="N68" t="s">
        <v>40</v>
      </c>
      <c r="O68" s="1">
        <v>0</v>
      </c>
      <c r="P68" t="s">
        <v>40</v>
      </c>
      <c r="Q68" s="6">
        <v>46266</v>
      </c>
      <c r="R68" s="6">
        <v>46630</v>
      </c>
      <c r="S68" t="s">
        <v>188</v>
      </c>
      <c r="T68" t="s">
        <v>58</v>
      </c>
      <c r="U68" t="s">
        <v>35</v>
      </c>
      <c r="V68" t="s">
        <v>42</v>
      </c>
      <c r="W68" t="s">
        <v>43</v>
      </c>
      <c r="X68" t="s">
        <v>36</v>
      </c>
      <c r="Y68" t="s">
        <v>36</v>
      </c>
      <c r="Z68" t="s">
        <v>36</v>
      </c>
      <c r="AA68" t="s">
        <v>36</v>
      </c>
      <c r="AB68" t="s">
        <v>44</v>
      </c>
      <c r="AC68" t="s">
        <v>45</v>
      </c>
      <c r="AD68" t="s">
        <v>193</v>
      </c>
      <c r="AE68" t="s">
        <v>46</v>
      </c>
      <c r="AF68" t="s">
        <v>46</v>
      </c>
      <c r="AG68" t="s">
        <v>36</v>
      </c>
      <c r="AH68" t="s">
        <v>40</v>
      </c>
      <c r="AI68" t="s">
        <v>40</v>
      </c>
      <c r="AJ68" t="s">
        <v>40</v>
      </c>
    </row>
    <row r="69" spans="1:36" x14ac:dyDescent="0.25">
      <c r="A69" t="s">
        <v>34</v>
      </c>
      <c r="B69" t="s">
        <v>194</v>
      </c>
      <c r="C69" t="s">
        <v>36</v>
      </c>
      <c r="D69" t="s">
        <v>62</v>
      </c>
      <c r="E69" t="s">
        <v>63</v>
      </c>
      <c r="F69" t="s">
        <v>64</v>
      </c>
      <c r="G69" s="1"/>
      <c r="H69" t="s">
        <v>40</v>
      </c>
      <c r="I69" s="1"/>
      <c r="J69" t="s">
        <v>40</v>
      </c>
      <c r="K69" s="2">
        <v>0</v>
      </c>
      <c r="L69" t="s">
        <v>40</v>
      </c>
      <c r="M69" s="2">
        <f>Table1[[#This Row],[Quantity]]*Table1[[#This Row],[Proposed Unit Price]]</f>
        <v>0</v>
      </c>
      <c r="N69" t="s">
        <v>40</v>
      </c>
      <c r="O69" s="1">
        <v>0</v>
      </c>
      <c r="P69" t="s">
        <v>40</v>
      </c>
      <c r="Q69" s="6">
        <v>46266</v>
      </c>
      <c r="R69" s="6">
        <v>46630</v>
      </c>
      <c r="S69" t="s">
        <v>188</v>
      </c>
      <c r="T69" t="s">
        <v>61</v>
      </c>
      <c r="U69" t="s">
        <v>35</v>
      </c>
      <c r="V69" t="s">
        <v>42</v>
      </c>
      <c r="W69" t="s">
        <v>43</v>
      </c>
      <c r="X69" t="s">
        <v>36</v>
      </c>
      <c r="Y69" t="s">
        <v>36</v>
      </c>
      <c r="Z69" t="s">
        <v>36</v>
      </c>
      <c r="AA69" t="s">
        <v>36</v>
      </c>
      <c r="AB69" t="s">
        <v>44</v>
      </c>
      <c r="AC69" t="s">
        <v>45</v>
      </c>
      <c r="AD69" t="s">
        <v>194</v>
      </c>
      <c r="AE69" t="s">
        <v>46</v>
      </c>
      <c r="AF69" t="s">
        <v>46</v>
      </c>
      <c r="AG69" t="s">
        <v>36</v>
      </c>
      <c r="AH69" t="s">
        <v>40</v>
      </c>
      <c r="AI69" t="s">
        <v>40</v>
      </c>
      <c r="AJ69" t="s">
        <v>40</v>
      </c>
    </row>
    <row r="70" spans="1:36" x14ac:dyDescent="0.25">
      <c r="A70" t="s">
        <v>34</v>
      </c>
      <c r="B70" t="s">
        <v>195</v>
      </c>
      <c r="C70" t="s">
        <v>36</v>
      </c>
      <c r="D70" t="s">
        <v>66</v>
      </c>
      <c r="E70" t="s">
        <v>67</v>
      </c>
      <c r="F70" t="s">
        <v>39</v>
      </c>
      <c r="G70" s="1"/>
      <c r="H70" t="s">
        <v>40</v>
      </c>
      <c r="I70" s="1"/>
      <c r="J70" t="s">
        <v>40</v>
      </c>
      <c r="K70" s="2">
        <v>0</v>
      </c>
      <c r="L70" t="s">
        <v>40</v>
      </c>
      <c r="M70" s="2">
        <f>Table1[[#This Row],[Quantity]]*Table1[[#This Row],[Proposed Unit Price]]</f>
        <v>0</v>
      </c>
      <c r="N70" t="s">
        <v>40</v>
      </c>
      <c r="O70" s="1">
        <v>0</v>
      </c>
      <c r="P70" t="s">
        <v>40</v>
      </c>
      <c r="Q70" s="6">
        <v>46266</v>
      </c>
      <c r="R70" s="6">
        <v>46630</v>
      </c>
      <c r="S70" t="s">
        <v>188</v>
      </c>
      <c r="T70" t="s">
        <v>65</v>
      </c>
      <c r="U70" t="s">
        <v>35</v>
      </c>
      <c r="V70" t="s">
        <v>42</v>
      </c>
      <c r="W70" t="s">
        <v>43</v>
      </c>
      <c r="X70" t="s">
        <v>36</v>
      </c>
      <c r="Y70" t="s">
        <v>36</v>
      </c>
      <c r="Z70" t="s">
        <v>36</v>
      </c>
      <c r="AA70" t="s">
        <v>36</v>
      </c>
      <c r="AB70" t="s">
        <v>44</v>
      </c>
      <c r="AC70" t="s">
        <v>45</v>
      </c>
      <c r="AD70" t="s">
        <v>195</v>
      </c>
      <c r="AE70" t="s">
        <v>46</v>
      </c>
      <c r="AF70" t="s">
        <v>46</v>
      </c>
      <c r="AG70" t="s">
        <v>36</v>
      </c>
      <c r="AH70" t="s">
        <v>40</v>
      </c>
      <c r="AI70" t="s">
        <v>40</v>
      </c>
      <c r="AJ70" t="s">
        <v>40</v>
      </c>
    </row>
    <row r="71" spans="1:36" x14ac:dyDescent="0.25">
      <c r="A71" t="s">
        <v>34</v>
      </c>
      <c r="B71" t="s">
        <v>196</v>
      </c>
      <c r="C71" t="s">
        <v>36</v>
      </c>
      <c r="D71" t="s">
        <v>69</v>
      </c>
      <c r="E71" t="s">
        <v>70</v>
      </c>
      <c r="F71" t="s">
        <v>71</v>
      </c>
      <c r="G71" s="1"/>
      <c r="H71" t="s">
        <v>40</v>
      </c>
      <c r="I71" s="1"/>
      <c r="J71" t="s">
        <v>40</v>
      </c>
      <c r="K71" s="2">
        <v>0</v>
      </c>
      <c r="L71" t="s">
        <v>40</v>
      </c>
      <c r="M71" s="2">
        <f>Table1[[#This Row],[Quantity]]*Table1[[#This Row],[Proposed Unit Price]]</f>
        <v>0</v>
      </c>
      <c r="N71" t="s">
        <v>40</v>
      </c>
      <c r="O71" s="1">
        <v>0</v>
      </c>
      <c r="P71" t="s">
        <v>40</v>
      </c>
      <c r="Q71" s="6">
        <v>46266</v>
      </c>
      <c r="R71" s="6">
        <v>46630</v>
      </c>
      <c r="S71" t="s">
        <v>188</v>
      </c>
      <c r="T71" t="s">
        <v>68</v>
      </c>
      <c r="U71" t="s">
        <v>35</v>
      </c>
      <c r="V71" t="s">
        <v>42</v>
      </c>
      <c r="W71" t="s">
        <v>43</v>
      </c>
      <c r="X71" t="s">
        <v>36</v>
      </c>
      <c r="Y71" t="s">
        <v>36</v>
      </c>
      <c r="Z71" t="s">
        <v>36</v>
      </c>
      <c r="AA71" t="s">
        <v>36</v>
      </c>
      <c r="AB71" t="s">
        <v>44</v>
      </c>
      <c r="AC71" t="s">
        <v>45</v>
      </c>
      <c r="AD71" t="s">
        <v>196</v>
      </c>
      <c r="AE71" t="s">
        <v>46</v>
      </c>
      <c r="AF71" t="s">
        <v>46</v>
      </c>
      <c r="AG71" t="s">
        <v>36</v>
      </c>
      <c r="AH71" t="s">
        <v>40</v>
      </c>
      <c r="AI71" t="s">
        <v>40</v>
      </c>
      <c r="AJ71" t="s">
        <v>40</v>
      </c>
    </row>
    <row r="72" spans="1:36" x14ac:dyDescent="0.25">
      <c r="A72" t="s">
        <v>34</v>
      </c>
      <c r="B72" t="s">
        <v>197</v>
      </c>
      <c r="C72" t="s">
        <v>36</v>
      </c>
      <c r="D72" t="s">
        <v>73</v>
      </c>
      <c r="E72" t="s">
        <v>50</v>
      </c>
      <c r="F72" t="s">
        <v>39</v>
      </c>
      <c r="G72" s="1"/>
      <c r="H72" t="s">
        <v>40</v>
      </c>
      <c r="I72" s="1"/>
      <c r="J72" t="s">
        <v>40</v>
      </c>
      <c r="K72" s="2">
        <v>0</v>
      </c>
      <c r="L72" t="s">
        <v>40</v>
      </c>
      <c r="M72" s="2">
        <f>Table1[[#This Row],[Quantity]]*Table1[[#This Row],[Proposed Unit Price]]</f>
        <v>0</v>
      </c>
      <c r="N72" t="s">
        <v>40</v>
      </c>
      <c r="O72" s="1">
        <v>0</v>
      </c>
      <c r="P72" t="s">
        <v>40</v>
      </c>
      <c r="Q72" s="6">
        <v>46266</v>
      </c>
      <c r="R72" s="6">
        <v>46630</v>
      </c>
      <c r="S72" t="s">
        <v>188</v>
      </c>
      <c r="T72" t="s">
        <v>72</v>
      </c>
      <c r="U72" t="s">
        <v>35</v>
      </c>
      <c r="V72" t="s">
        <v>42</v>
      </c>
      <c r="W72" t="s">
        <v>43</v>
      </c>
      <c r="X72" t="s">
        <v>36</v>
      </c>
      <c r="Y72" t="s">
        <v>36</v>
      </c>
      <c r="Z72" t="s">
        <v>36</v>
      </c>
      <c r="AA72" t="s">
        <v>36</v>
      </c>
      <c r="AB72" t="s">
        <v>44</v>
      </c>
      <c r="AC72" t="s">
        <v>45</v>
      </c>
      <c r="AD72" t="s">
        <v>197</v>
      </c>
      <c r="AE72" t="s">
        <v>46</v>
      </c>
      <c r="AF72" t="s">
        <v>46</v>
      </c>
      <c r="AG72" t="s">
        <v>36</v>
      </c>
      <c r="AH72" t="s">
        <v>40</v>
      </c>
      <c r="AI72" t="s">
        <v>40</v>
      </c>
      <c r="AJ72" t="s">
        <v>40</v>
      </c>
    </row>
    <row r="73" spans="1:36" x14ac:dyDescent="0.25">
      <c r="A73" t="s">
        <v>34</v>
      </c>
      <c r="B73" t="s">
        <v>198</v>
      </c>
      <c r="C73" t="s">
        <v>36</v>
      </c>
      <c r="D73" t="s">
        <v>75</v>
      </c>
      <c r="E73" t="s">
        <v>53</v>
      </c>
      <c r="F73" t="s">
        <v>39</v>
      </c>
      <c r="G73" s="1"/>
      <c r="H73" t="s">
        <v>40</v>
      </c>
      <c r="I73" s="1"/>
      <c r="J73" t="s">
        <v>40</v>
      </c>
      <c r="K73" s="2">
        <v>0</v>
      </c>
      <c r="L73" t="s">
        <v>40</v>
      </c>
      <c r="M73" s="2">
        <f>Table1[[#This Row],[Quantity]]*Table1[[#This Row],[Proposed Unit Price]]</f>
        <v>0</v>
      </c>
      <c r="N73" t="s">
        <v>40</v>
      </c>
      <c r="O73" s="1">
        <v>0</v>
      </c>
      <c r="P73" t="s">
        <v>40</v>
      </c>
      <c r="Q73" s="6">
        <v>46266</v>
      </c>
      <c r="R73" s="6">
        <v>46630</v>
      </c>
      <c r="S73" t="s">
        <v>188</v>
      </c>
      <c r="T73" t="s">
        <v>74</v>
      </c>
      <c r="U73" t="s">
        <v>35</v>
      </c>
      <c r="V73" t="s">
        <v>42</v>
      </c>
      <c r="W73" t="s">
        <v>43</v>
      </c>
      <c r="X73" t="s">
        <v>36</v>
      </c>
      <c r="Y73" t="s">
        <v>36</v>
      </c>
      <c r="Z73" t="s">
        <v>36</v>
      </c>
      <c r="AA73" t="s">
        <v>36</v>
      </c>
      <c r="AB73" t="s">
        <v>44</v>
      </c>
      <c r="AC73" t="s">
        <v>45</v>
      </c>
      <c r="AD73" t="s">
        <v>198</v>
      </c>
      <c r="AE73" t="s">
        <v>46</v>
      </c>
      <c r="AF73" t="s">
        <v>46</v>
      </c>
      <c r="AG73" t="s">
        <v>36</v>
      </c>
      <c r="AH73" t="s">
        <v>40</v>
      </c>
      <c r="AI73" t="s">
        <v>40</v>
      </c>
      <c r="AJ73" t="s">
        <v>40</v>
      </c>
    </row>
    <row r="74" spans="1:36" x14ac:dyDescent="0.25">
      <c r="A74" t="s">
        <v>34</v>
      </c>
      <c r="B74" t="s">
        <v>199</v>
      </c>
      <c r="C74" t="s">
        <v>36</v>
      </c>
      <c r="D74" t="s">
        <v>77</v>
      </c>
      <c r="E74" t="s">
        <v>78</v>
      </c>
      <c r="F74" t="s">
        <v>71</v>
      </c>
      <c r="G74" s="1"/>
      <c r="H74" t="s">
        <v>40</v>
      </c>
      <c r="I74" s="1"/>
      <c r="J74" t="s">
        <v>40</v>
      </c>
      <c r="K74" s="2">
        <v>0</v>
      </c>
      <c r="L74" t="s">
        <v>40</v>
      </c>
      <c r="M74" s="2">
        <f>Table1[[#This Row],[Quantity]]*Table1[[#This Row],[Proposed Unit Price]]</f>
        <v>0</v>
      </c>
      <c r="N74" t="s">
        <v>40</v>
      </c>
      <c r="O74" s="1">
        <v>0</v>
      </c>
      <c r="P74" t="s">
        <v>40</v>
      </c>
      <c r="Q74" s="6">
        <v>46266</v>
      </c>
      <c r="R74" s="6">
        <v>46630</v>
      </c>
      <c r="S74" t="s">
        <v>188</v>
      </c>
      <c r="T74" t="s">
        <v>76</v>
      </c>
      <c r="U74" t="s">
        <v>35</v>
      </c>
      <c r="V74" t="s">
        <v>42</v>
      </c>
      <c r="W74" t="s">
        <v>43</v>
      </c>
      <c r="X74" t="s">
        <v>36</v>
      </c>
      <c r="Y74" t="s">
        <v>36</v>
      </c>
      <c r="Z74" t="s">
        <v>36</v>
      </c>
      <c r="AA74" t="s">
        <v>36</v>
      </c>
      <c r="AB74" t="s">
        <v>44</v>
      </c>
      <c r="AC74" t="s">
        <v>45</v>
      </c>
      <c r="AD74" t="s">
        <v>199</v>
      </c>
      <c r="AE74" t="s">
        <v>46</v>
      </c>
      <c r="AF74" t="s">
        <v>46</v>
      </c>
      <c r="AG74" t="s">
        <v>36</v>
      </c>
      <c r="AH74" t="s">
        <v>40</v>
      </c>
      <c r="AI74" t="s">
        <v>40</v>
      </c>
      <c r="AJ74" t="s">
        <v>40</v>
      </c>
    </row>
    <row r="75" spans="1:36" x14ac:dyDescent="0.25">
      <c r="A75" t="s">
        <v>34</v>
      </c>
      <c r="B75" t="s">
        <v>200</v>
      </c>
      <c r="C75" t="s">
        <v>36</v>
      </c>
      <c r="D75" t="s">
        <v>80</v>
      </c>
      <c r="E75" t="s">
        <v>47</v>
      </c>
      <c r="F75" t="s">
        <v>39</v>
      </c>
      <c r="G75" s="1"/>
      <c r="H75" t="s">
        <v>40</v>
      </c>
      <c r="I75" s="1"/>
      <c r="J75" t="s">
        <v>40</v>
      </c>
      <c r="K75" s="2">
        <v>0</v>
      </c>
      <c r="L75" t="s">
        <v>40</v>
      </c>
      <c r="M75" s="2">
        <f>Table1[[#This Row],[Quantity]]*Table1[[#This Row],[Proposed Unit Price]]</f>
        <v>0</v>
      </c>
      <c r="N75" t="s">
        <v>40</v>
      </c>
      <c r="O75" s="1">
        <v>0</v>
      </c>
      <c r="P75" t="s">
        <v>40</v>
      </c>
      <c r="Q75" s="6">
        <v>46266</v>
      </c>
      <c r="R75" s="6">
        <v>46630</v>
      </c>
      <c r="S75" t="s">
        <v>188</v>
      </c>
      <c r="T75" t="s">
        <v>79</v>
      </c>
      <c r="U75" t="s">
        <v>35</v>
      </c>
      <c r="V75" t="s">
        <v>42</v>
      </c>
      <c r="W75" t="s">
        <v>43</v>
      </c>
      <c r="X75" t="s">
        <v>36</v>
      </c>
      <c r="Y75" t="s">
        <v>36</v>
      </c>
      <c r="Z75" t="s">
        <v>36</v>
      </c>
      <c r="AA75" t="s">
        <v>36</v>
      </c>
      <c r="AB75" t="s">
        <v>44</v>
      </c>
      <c r="AC75" t="s">
        <v>45</v>
      </c>
      <c r="AD75" t="s">
        <v>200</v>
      </c>
      <c r="AE75" t="s">
        <v>46</v>
      </c>
      <c r="AF75" t="s">
        <v>46</v>
      </c>
      <c r="AG75" t="s">
        <v>36</v>
      </c>
      <c r="AH75" t="s">
        <v>40</v>
      </c>
      <c r="AI75" t="s">
        <v>40</v>
      </c>
      <c r="AJ75" t="s">
        <v>40</v>
      </c>
    </row>
    <row r="76" spans="1:36" x14ac:dyDescent="0.25">
      <c r="A76" t="s">
        <v>34</v>
      </c>
      <c r="B76" t="s">
        <v>201</v>
      </c>
      <c r="C76" t="s">
        <v>36</v>
      </c>
      <c r="D76" t="s">
        <v>82</v>
      </c>
      <c r="E76" t="s">
        <v>35</v>
      </c>
      <c r="F76" t="s">
        <v>39</v>
      </c>
      <c r="G76" s="1"/>
      <c r="H76" t="s">
        <v>40</v>
      </c>
      <c r="I76" s="1"/>
      <c r="J76" t="s">
        <v>40</v>
      </c>
      <c r="K76" s="2">
        <v>0</v>
      </c>
      <c r="L76" t="s">
        <v>40</v>
      </c>
      <c r="M76" s="2">
        <f>Table1[[#This Row],[Quantity]]*Table1[[#This Row],[Proposed Unit Price]]</f>
        <v>0</v>
      </c>
      <c r="N76" t="s">
        <v>40</v>
      </c>
      <c r="O76" s="1">
        <v>0</v>
      </c>
      <c r="P76" t="s">
        <v>40</v>
      </c>
      <c r="Q76" s="6">
        <v>46266</v>
      </c>
      <c r="R76" s="6">
        <v>46630</v>
      </c>
      <c r="S76" t="s">
        <v>188</v>
      </c>
      <c r="T76" t="s">
        <v>81</v>
      </c>
      <c r="U76" t="s">
        <v>35</v>
      </c>
      <c r="V76" t="s">
        <v>83</v>
      </c>
      <c r="W76" t="s">
        <v>84</v>
      </c>
      <c r="X76" t="s">
        <v>36</v>
      </c>
      <c r="Y76" t="s">
        <v>36</v>
      </c>
      <c r="Z76" t="s">
        <v>36</v>
      </c>
      <c r="AA76" t="s">
        <v>36</v>
      </c>
      <c r="AB76" t="s">
        <v>44</v>
      </c>
      <c r="AC76" t="s">
        <v>45</v>
      </c>
      <c r="AD76" t="s">
        <v>201</v>
      </c>
      <c r="AE76" t="s">
        <v>46</v>
      </c>
      <c r="AF76" t="s">
        <v>46</v>
      </c>
      <c r="AG76" t="s">
        <v>36</v>
      </c>
      <c r="AH76" t="s">
        <v>40</v>
      </c>
      <c r="AI76" t="s">
        <v>40</v>
      </c>
      <c r="AJ76" t="s">
        <v>40</v>
      </c>
    </row>
    <row r="77" spans="1:36" x14ac:dyDescent="0.25">
      <c r="A77" t="s">
        <v>34</v>
      </c>
      <c r="B77" t="s">
        <v>202</v>
      </c>
      <c r="C77" t="s">
        <v>36</v>
      </c>
      <c r="D77" t="s">
        <v>86</v>
      </c>
      <c r="E77" t="s">
        <v>67</v>
      </c>
      <c r="F77" t="s">
        <v>87</v>
      </c>
      <c r="G77" s="1"/>
      <c r="H77" t="s">
        <v>40</v>
      </c>
      <c r="I77" s="1"/>
      <c r="J77" t="s">
        <v>40</v>
      </c>
      <c r="K77" s="2">
        <v>0</v>
      </c>
      <c r="L77" t="s">
        <v>40</v>
      </c>
      <c r="M77" s="2">
        <f>Table1[[#This Row],[Quantity]]*Table1[[#This Row],[Proposed Unit Price]]</f>
        <v>0</v>
      </c>
      <c r="N77" t="s">
        <v>40</v>
      </c>
      <c r="O77" s="1">
        <v>0</v>
      </c>
      <c r="P77" t="s">
        <v>40</v>
      </c>
      <c r="Q77" s="6">
        <v>46266</v>
      </c>
      <c r="R77" s="6">
        <v>46630</v>
      </c>
      <c r="S77" t="s">
        <v>188</v>
      </c>
      <c r="T77" t="s">
        <v>85</v>
      </c>
      <c r="U77" t="s">
        <v>35</v>
      </c>
      <c r="V77" t="s">
        <v>42</v>
      </c>
      <c r="W77" t="s">
        <v>43</v>
      </c>
      <c r="X77" t="s">
        <v>36</v>
      </c>
      <c r="Y77" t="s">
        <v>36</v>
      </c>
      <c r="Z77" t="s">
        <v>36</v>
      </c>
      <c r="AA77" t="s">
        <v>36</v>
      </c>
      <c r="AB77" t="s">
        <v>44</v>
      </c>
      <c r="AC77" t="s">
        <v>45</v>
      </c>
      <c r="AD77" t="s">
        <v>202</v>
      </c>
      <c r="AE77" t="s">
        <v>46</v>
      </c>
      <c r="AF77" t="s">
        <v>46</v>
      </c>
      <c r="AG77" t="s">
        <v>36</v>
      </c>
      <c r="AH77" t="s">
        <v>40</v>
      </c>
      <c r="AI77" t="s">
        <v>40</v>
      </c>
      <c r="AJ77" t="s">
        <v>40</v>
      </c>
    </row>
    <row r="78" spans="1:36" x14ac:dyDescent="0.25">
      <c r="A78" t="s">
        <v>34</v>
      </c>
      <c r="B78" t="s">
        <v>203</v>
      </c>
      <c r="C78" t="s">
        <v>36</v>
      </c>
      <c r="D78" t="s">
        <v>89</v>
      </c>
      <c r="E78" t="s">
        <v>53</v>
      </c>
      <c r="F78" t="s">
        <v>39</v>
      </c>
      <c r="G78" s="1"/>
      <c r="H78" t="s">
        <v>40</v>
      </c>
      <c r="I78" s="1"/>
      <c r="J78" t="s">
        <v>40</v>
      </c>
      <c r="K78" s="2">
        <v>0</v>
      </c>
      <c r="L78" t="s">
        <v>40</v>
      </c>
      <c r="M78" s="2">
        <f>Table1[[#This Row],[Quantity]]*Table1[[#This Row],[Proposed Unit Price]]</f>
        <v>0</v>
      </c>
      <c r="N78" t="s">
        <v>40</v>
      </c>
      <c r="O78" s="1">
        <v>0</v>
      </c>
      <c r="P78" t="s">
        <v>40</v>
      </c>
      <c r="Q78" s="6">
        <v>46266</v>
      </c>
      <c r="R78" s="6">
        <v>46630</v>
      </c>
      <c r="S78" t="s">
        <v>188</v>
      </c>
      <c r="T78" t="s">
        <v>88</v>
      </c>
      <c r="U78" t="s">
        <v>35</v>
      </c>
      <c r="V78" t="s">
        <v>42</v>
      </c>
      <c r="W78" t="s">
        <v>43</v>
      </c>
      <c r="X78" t="s">
        <v>36</v>
      </c>
      <c r="Y78" t="s">
        <v>36</v>
      </c>
      <c r="Z78" t="s">
        <v>36</v>
      </c>
      <c r="AA78" t="s">
        <v>36</v>
      </c>
      <c r="AB78" t="s">
        <v>44</v>
      </c>
      <c r="AC78" t="s">
        <v>45</v>
      </c>
      <c r="AD78" t="s">
        <v>203</v>
      </c>
      <c r="AE78" t="s">
        <v>46</v>
      </c>
      <c r="AF78" t="s">
        <v>46</v>
      </c>
      <c r="AG78" t="s">
        <v>36</v>
      </c>
      <c r="AH78" t="s">
        <v>40</v>
      </c>
      <c r="AI78" t="s">
        <v>40</v>
      </c>
      <c r="AJ78" t="s">
        <v>40</v>
      </c>
    </row>
    <row r="79" spans="1:36" x14ac:dyDescent="0.25">
      <c r="A79" t="s">
        <v>34</v>
      </c>
      <c r="B79" t="s">
        <v>204</v>
      </c>
      <c r="C79" t="s">
        <v>36</v>
      </c>
      <c r="D79" t="s">
        <v>91</v>
      </c>
      <c r="E79" t="s">
        <v>35</v>
      </c>
      <c r="F79" t="s">
        <v>39</v>
      </c>
      <c r="G79" s="1"/>
      <c r="H79" t="s">
        <v>40</v>
      </c>
      <c r="I79" s="1"/>
      <c r="J79" t="s">
        <v>40</v>
      </c>
      <c r="K79" s="2">
        <v>0</v>
      </c>
      <c r="L79" t="s">
        <v>40</v>
      </c>
      <c r="M79" s="2">
        <f>Table1[[#This Row],[Quantity]]*Table1[[#This Row],[Proposed Unit Price]]</f>
        <v>0</v>
      </c>
      <c r="N79" t="s">
        <v>40</v>
      </c>
      <c r="O79" s="1">
        <v>0</v>
      </c>
      <c r="P79" t="s">
        <v>40</v>
      </c>
      <c r="Q79" s="6">
        <v>46266</v>
      </c>
      <c r="R79" s="6">
        <v>46630</v>
      </c>
      <c r="S79" t="s">
        <v>188</v>
      </c>
      <c r="T79" t="s">
        <v>90</v>
      </c>
      <c r="U79" t="s">
        <v>35</v>
      </c>
      <c r="V79" t="s">
        <v>83</v>
      </c>
      <c r="W79" t="s">
        <v>84</v>
      </c>
      <c r="X79" t="s">
        <v>36</v>
      </c>
      <c r="Y79" t="s">
        <v>36</v>
      </c>
      <c r="Z79" t="s">
        <v>36</v>
      </c>
      <c r="AA79" t="s">
        <v>36</v>
      </c>
      <c r="AB79" t="s">
        <v>44</v>
      </c>
      <c r="AC79" t="s">
        <v>45</v>
      </c>
      <c r="AD79" t="s">
        <v>204</v>
      </c>
      <c r="AE79" t="s">
        <v>46</v>
      </c>
      <c r="AF79" t="s">
        <v>46</v>
      </c>
      <c r="AG79" t="s">
        <v>36</v>
      </c>
      <c r="AH79" t="s">
        <v>40</v>
      </c>
      <c r="AI79" t="s">
        <v>40</v>
      </c>
      <c r="AJ79" t="s">
        <v>40</v>
      </c>
    </row>
    <row r="80" spans="1:36" x14ac:dyDescent="0.25">
      <c r="A80" t="s">
        <v>34</v>
      </c>
      <c r="B80" t="s">
        <v>205</v>
      </c>
      <c r="C80" t="s">
        <v>36</v>
      </c>
      <c r="D80" t="s">
        <v>93</v>
      </c>
      <c r="E80" t="s">
        <v>35</v>
      </c>
      <c r="F80" t="s">
        <v>39</v>
      </c>
      <c r="G80" s="1"/>
      <c r="H80" t="s">
        <v>40</v>
      </c>
      <c r="I80" s="1"/>
      <c r="J80" t="s">
        <v>40</v>
      </c>
      <c r="K80" s="2">
        <v>0</v>
      </c>
      <c r="L80" t="s">
        <v>40</v>
      </c>
      <c r="M80" s="2">
        <f>Table1[[#This Row],[Quantity]]*Table1[[#This Row],[Proposed Unit Price]]</f>
        <v>0</v>
      </c>
      <c r="N80" t="s">
        <v>40</v>
      </c>
      <c r="O80" s="1">
        <v>0</v>
      </c>
      <c r="P80" t="s">
        <v>40</v>
      </c>
      <c r="Q80" s="6">
        <v>46266</v>
      </c>
      <c r="R80" s="6">
        <v>46630</v>
      </c>
      <c r="S80" t="s">
        <v>188</v>
      </c>
      <c r="T80" t="s">
        <v>92</v>
      </c>
      <c r="U80" t="s">
        <v>35</v>
      </c>
      <c r="V80" t="s">
        <v>83</v>
      </c>
      <c r="W80" t="s">
        <v>84</v>
      </c>
      <c r="X80" t="s">
        <v>36</v>
      </c>
      <c r="Y80" t="s">
        <v>36</v>
      </c>
      <c r="Z80" t="s">
        <v>36</v>
      </c>
      <c r="AA80" t="s">
        <v>36</v>
      </c>
      <c r="AB80" t="s">
        <v>44</v>
      </c>
      <c r="AC80" t="s">
        <v>45</v>
      </c>
      <c r="AD80" t="s">
        <v>205</v>
      </c>
      <c r="AE80" t="s">
        <v>46</v>
      </c>
      <c r="AF80" t="s">
        <v>46</v>
      </c>
      <c r="AG80" t="s">
        <v>36</v>
      </c>
      <c r="AH80" t="s">
        <v>40</v>
      </c>
      <c r="AI80" t="s">
        <v>40</v>
      </c>
      <c r="AJ80" t="s">
        <v>40</v>
      </c>
    </row>
    <row r="81" spans="1:36" x14ac:dyDescent="0.25">
      <c r="A81" t="s">
        <v>34</v>
      </c>
      <c r="B81" t="s">
        <v>206</v>
      </c>
      <c r="C81" t="s">
        <v>36</v>
      </c>
      <c r="D81" t="s">
        <v>95</v>
      </c>
      <c r="E81" t="s">
        <v>60</v>
      </c>
      <c r="F81" t="s">
        <v>96</v>
      </c>
      <c r="G81" s="1"/>
      <c r="H81" t="s">
        <v>40</v>
      </c>
      <c r="I81" s="1"/>
      <c r="J81" t="s">
        <v>40</v>
      </c>
      <c r="K81" s="2">
        <v>0</v>
      </c>
      <c r="L81" t="s">
        <v>40</v>
      </c>
      <c r="M81" s="2">
        <f>Table1[[#This Row],[Quantity]]*Table1[[#This Row],[Proposed Unit Price]]</f>
        <v>0</v>
      </c>
      <c r="N81" t="s">
        <v>40</v>
      </c>
      <c r="O81" s="1">
        <v>0</v>
      </c>
      <c r="P81" t="s">
        <v>40</v>
      </c>
      <c r="Q81" s="6">
        <v>46266</v>
      </c>
      <c r="R81" s="6">
        <v>46630</v>
      </c>
      <c r="S81" t="s">
        <v>188</v>
      </c>
      <c r="T81" t="s">
        <v>94</v>
      </c>
      <c r="U81" t="s">
        <v>35</v>
      </c>
      <c r="V81" t="s">
        <v>42</v>
      </c>
      <c r="W81" t="s">
        <v>43</v>
      </c>
      <c r="X81" t="s">
        <v>36</v>
      </c>
      <c r="Y81" t="s">
        <v>36</v>
      </c>
      <c r="Z81" t="s">
        <v>36</v>
      </c>
      <c r="AA81" t="s">
        <v>36</v>
      </c>
      <c r="AB81" t="s">
        <v>44</v>
      </c>
      <c r="AC81" t="s">
        <v>45</v>
      </c>
      <c r="AD81" t="s">
        <v>206</v>
      </c>
      <c r="AE81" t="s">
        <v>46</v>
      </c>
      <c r="AF81" t="s">
        <v>46</v>
      </c>
      <c r="AG81" t="s">
        <v>36</v>
      </c>
      <c r="AH81" t="s">
        <v>40</v>
      </c>
      <c r="AI81" t="s">
        <v>40</v>
      </c>
      <c r="AJ81" t="s">
        <v>40</v>
      </c>
    </row>
    <row r="82" spans="1:36" x14ac:dyDescent="0.25">
      <c r="A82" t="s">
        <v>34</v>
      </c>
      <c r="B82" t="s">
        <v>207</v>
      </c>
      <c r="C82" t="s">
        <v>36</v>
      </c>
      <c r="D82" t="s">
        <v>98</v>
      </c>
      <c r="E82" t="s">
        <v>99</v>
      </c>
      <c r="F82" t="s">
        <v>39</v>
      </c>
      <c r="G82" s="1"/>
      <c r="H82" t="s">
        <v>40</v>
      </c>
      <c r="I82" s="1"/>
      <c r="J82" t="s">
        <v>40</v>
      </c>
      <c r="K82" s="2">
        <v>0</v>
      </c>
      <c r="L82" t="s">
        <v>40</v>
      </c>
      <c r="M82" s="2">
        <f>Table1[[#This Row],[Quantity]]*Table1[[#This Row],[Proposed Unit Price]]</f>
        <v>0</v>
      </c>
      <c r="N82" t="s">
        <v>40</v>
      </c>
      <c r="O82" s="1">
        <v>0</v>
      </c>
      <c r="P82" t="s">
        <v>40</v>
      </c>
      <c r="Q82" s="6">
        <v>46266</v>
      </c>
      <c r="R82" s="6">
        <v>46630</v>
      </c>
      <c r="S82" t="s">
        <v>188</v>
      </c>
      <c r="T82" t="s">
        <v>97</v>
      </c>
      <c r="U82" t="s">
        <v>35</v>
      </c>
      <c r="V82" t="s">
        <v>42</v>
      </c>
      <c r="W82" t="s">
        <v>43</v>
      </c>
      <c r="X82" t="s">
        <v>36</v>
      </c>
      <c r="Y82" t="s">
        <v>36</v>
      </c>
      <c r="Z82" t="s">
        <v>36</v>
      </c>
      <c r="AA82" t="s">
        <v>36</v>
      </c>
      <c r="AB82" t="s">
        <v>44</v>
      </c>
      <c r="AC82" t="s">
        <v>45</v>
      </c>
      <c r="AD82" t="s">
        <v>207</v>
      </c>
      <c r="AE82" t="s">
        <v>46</v>
      </c>
      <c r="AF82" t="s">
        <v>46</v>
      </c>
      <c r="AG82" t="s">
        <v>36</v>
      </c>
      <c r="AH82" t="s">
        <v>40</v>
      </c>
      <c r="AI82" t="s">
        <v>40</v>
      </c>
      <c r="AJ82" t="s">
        <v>40</v>
      </c>
    </row>
    <row r="83" spans="1:36" x14ac:dyDescent="0.25">
      <c r="A83" t="s">
        <v>34</v>
      </c>
      <c r="B83" t="s">
        <v>208</v>
      </c>
      <c r="C83" t="s">
        <v>36</v>
      </c>
      <c r="D83" t="s">
        <v>101</v>
      </c>
      <c r="E83" t="s">
        <v>63</v>
      </c>
      <c r="F83" t="s">
        <v>39</v>
      </c>
      <c r="G83" s="1"/>
      <c r="H83" t="s">
        <v>40</v>
      </c>
      <c r="I83" s="1"/>
      <c r="J83" t="s">
        <v>40</v>
      </c>
      <c r="K83" s="2">
        <v>0</v>
      </c>
      <c r="L83" t="s">
        <v>40</v>
      </c>
      <c r="M83" s="2">
        <f>Table1[[#This Row],[Quantity]]*Table1[[#This Row],[Proposed Unit Price]]</f>
        <v>0</v>
      </c>
      <c r="N83" t="s">
        <v>40</v>
      </c>
      <c r="O83" s="1">
        <v>0</v>
      </c>
      <c r="P83" t="s">
        <v>40</v>
      </c>
      <c r="Q83" s="6">
        <v>46266</v>
      </c>
      <c r="R83" s="6">
        <v>46630</v>
      </c>
      <c r="S83" t="s">
        <v>188</v>
      </c>
      <c r="T83" t="s">
        <v>100</v>
      </c>
      <c r="U83" t="s">
        <v>35</v>
      </c>
      <c r="V83" t="s">
        <v>42</v>
      </c>
      <c r="W83" t="s">
        <v>43</v>
      </c>
      <c r="X83" t="s">
        <v>36</v>
      </c>
      <c r="Y83" t="s">
        <v>36</v>
      </c>
      <c r="Z83" t="s">
        <v>36</v>
      </c>
      <c r="AA83" t="s">
        <v>36</v>
      </c>
      <c r="AB83" t="s">
        <v>44</v>
      </c>
      <c r="AC83" t="s">
        <v>45</v>
      </c>
      <c r="AD83" t="s">
        <v>208</v>
      </c>
      <c r="AE83" t="s">
        <v>46</v>
      </c>
      <c r="AF83" t="s">
        <v>46</v>
      </c>
      <c r="AG83" t="s">
        <v>36</v>
      </c>
      <c r="AH83" t="s">
        <v>40</v>
      </c>
      <c r="AI83" t="s">
        <v>40</v>
      </c>
      <c r="AJ83" t="s">
        <v>40</v>
      </c>
    </row>
    <row r="84" spans="1:36" x14ac:dyDescent="0.25">
      <c r="A84" t="s">
        <v>34</v>
      </c>
      <c r="B84" t="s">
        <v>209</v>
      </c>
      <c r="C84" t="s">
        <v>36</v>
      </c>
      <c r="D84" t="s">
        <v>103</v>
      </c>
      <c r="E84" t="s">
        <v>58</v>
      </c>
      <c r="F84" t="s">
        <v>87</v>
      </c>
      <c r="G84" s="1"/>
      <c r="H84" t="s">
        <v>40</v>
      </c>
      <c r="I84" s="1"/>
      <c r="J84" t="s">
        <v>40</v>
      </c>
      <c r="K84" s="2">
        <v>0</v>
      </c>
      <c r="L84" t="s">
        <v>40</v>
      </c>
      <c r="M84" s="2">
        <f>Table1[[#This Row],[Quantity]]*Table1[[#This Row],[Proposed Unit Price]]</f>
        <v>0</v>
      </c>
      <c r="N84" t="s">
        <v>40</v>
      </c>
      <c r="O84" s="1">
        <v>0</v>
      </c>
      <c r="P84" t="s">
        <v>40</v>
      </c>
      <c r="Q84" s="6">
        <v>46266</v>
      </c>
      <c r="R84" s="6">
        <v>46630</v>
      </c>
      <c r="S84" t="s">
        <v>188</v>
      </c>
      <c r="T84" t="s">
        <v>102</v>
      </c>
      <c r="U84" t="s">
        <v>35</v>
      </c>
      <c r="V84" t="s">
        <v>42</v>
      </c>
      <c r="W84" t="s">
        <v>43</v>
      </c>
      <c r="X84" t="s">
        <v>36</v>
      </c>
      <c r="Y84" t="s">
        <v>36</v>
      </c>
      <c r="Z84" t="s">
        <v>36</v>
      </c>
      <c r="AA84" t="s">
        <v>36</v>
      </c>
      <c r="AB84" t="s">
        <v>44</v>
      </c>
      <c r="AC84" t="s">
        <v>45</v>
      </c>
      <c r="AD84" t="s">
        <v>209</v>
      </c>
      <c r="AE84" t="s">
        <v>46</v>
      </c>
      <c r="AF84" t="s">
        <v>46</v>
      </c>
      <c r="AG84" t="s">
        <v>36</v>
      </c>
      <c r="AH84" t="s">
        <v>40</v>
      </c>
      <c r="AI84" t="s">
        <v>40</v>
      </c>
      <c r="AJ84" t="s">
        <v>40</v>
      </c>
    </row>
    <row r="85" spans="1:36" x14ac:dyDescent="0.25">
      <c r="A85" t="s">
        <v>34</v>
      </c>
      <c r="B85" t="s">
        <v>210</v>
      </c>
      <c r="C85" t="s">
        <v>36</v>
      </c>
      <c r="D85" t="s">
        <v>211</v>
      </c>
      <c r="E85" t="s">
        <v>47</v>
      </c>
      <c r="F85" t="s">
        <v>39</v>
      </c>
      <c r="G85" s="1"/>
      <c r="H85" t="s">
        <v>40</v>
      </c>
      <c r="I85" s="1"/>
      <c r="J85" t="s">
        <v>40</v>
      </c>
      <c r="K85" s="2">
        <v>0</v>
      </c>
      <c r="L85" t="s">
        <v>40</v>
      </c>
      <c r="M85" s="2">
        <f>Table1[[#This Row],[Quantity]]*Table1[[#This Row],[Proposed Unit Price]]</f>
        <v>0</v>
      </c>
      <c r="N85" t="s">
        <v>40</v>
      </c>
      <c r="O85" s="1">
        <v>0</v>
      </c>
      <c r="P85" t="s">
        <v>40</v>
      </c>
      <c r="Q85" s="6">
        <v>46266</v>
      </c>
      <c r="R85" s="6">
        <v>46630</v>
      </c>
      <c r="S85" t="s">
        <v>188</v>
      </c>
      <c r="T85" t="s">
        <v>104</v>
      </c>
      <c r="U85" t="s">
        <v>35</v>
      </c>
      <c r="V85" t="s">
        <v>42</v>
      </c>
      <c r="W85" t="s">
        <v>43</v>
      </c>
      <c r="X85" t="s">
        <v>36</v>
      </c>
      <c r="Y85" t="s">
        <v>36</v>
      </c>
      <c r="Z85" t="s">
        <v>36</v>
      </c>
      <c r="AA85" t="s">
        <v>36</v>
      </c>
      <c r="AB85" t="s">
        <v>44</v>
      </c>
      <c r="AC85" t="s">
        <v>45</v>
      </c>
      <c r="AD85" t="s">
        <v>210</v>
      </c>
      <c r="AE85" t="s">
        <v>46</v>
      </c>
      <c r="AF85" t="s">
        <v>46</v>
      </c>
      <c r="AG85" t="s">
        <v>36</v>
      </c>
      <c r="AH85" t="s">
        <v>40</v>
      </c>
      <c r="AI85" t="s">
        <v>40</v>
      </c>
      <c r="AJ85" t="s">
        <v>40</v>
      </c>
    </row>
    <row r="86" spans="1:36" x14ac:dyDescent="0.25">
      <c r="A86" t="s">
        <v>34</v>
      </c>
      <c r="B86" t="s">
        <v>212</v>
      </c>
      <c r="C86" t="s">
        <v>36</v>
      </c>
      <c r="D86" t="s">
        <v>107</v>
      </c>
      <c r="E86" t="s">
        <v>106</v>
      </c>
      <c r="F86" t="s">
        <v>87</v>
      </c>
      <c r="G86" s="1"/>
      <c r="H86" t="s">
        <v>40</v>
      </c>
      <c r="I86" s="1"/>
      <c r="J86" t="s">
        <v>40</v>
      </c>
      <c r="K86" s="2">
        <v>0</v>
      </c>
      <c r="L86" t="s">
        <v>40</v>
      </c>
      <c r="M86" s="2">
        <f>Table1[[#This Row],[Quantity]]*Table1[[#This Row],[Proposed Unit Price]]</f>
        <v>0</v>
      </c>
      <c r="N86" t="s">
        <v>40</v>
      </c>
      <c r="O86" s="1">
        <v>0</v>
      </c>
      <c r="P86" t="s">
        <v>40</v>
      </c>
      <c r="Q86" s="6">
        <v>46266</v>
      </c>
      <c r="R86" s="6">
        <v>46630</v>
      </c>
      <c r="S86" t="s">
        <v>188</v>
      </c>
      <c r="T86" t="s">
        <v>106</v>
      </c>
      <c r="U86" t="s">
        <v>35</v>
      </c>
      <c r="V86" t="s">
        <v>42</v>
      </c>
      <c r="W86" t="s">
        <v>43</v>
      </c>
      <c r="X86" t="s">
        <v>36</v>
      </c>
      <c r="Y86" t="s">
        <v>36</v>
      </c>
      <c r="Z86" t="s">
        <v>36</v>
      </c>
      <c r="AA86" t="s">
        <v>36</v>
      </c>
      <c r="AB86" t="s">
        <v>44</v>
      </c>
      <c r="AC86" t="s">
        <v>45</v>
      </c>
      <c r="AD86" t="s">
        <v>212</v>
      </c>
      <c r="AE86" t="s">
        <v>46</v>
      </c>
      <c r="AF86" t="s">
        <v>46</v>
      </c>
      <c r="AG86" t="s">
        <v>36</v>
      </c>
      <c r="AH86" t="s">
        <v>40</v>
      </c>
      <c r="AI86" t="s">
        <v>40</v>
      </c>
      <c r="AJ86" t="s">
        <v>40</v>
      </c>
    </row>
    <row r="87" spans="1:36" x14ac:dyDescent="0.25">
      <c r="A87" t="s">
        <v>34</v>
      </c>
      <c r="B87" t="s">
        <v>213</v>
      </c>
      <c r="C87" t="s">
        <v>36</v>
      </c>
      <c r="D87" t="s">
        <v>109</v>
      </c>
      <c r="E87" t="s">
        <v>110</v>
      </c>
      <c r="F87" t="s">
        <v>64</v>
      </c>
      <c r="G87" s="1"/>
      <c r="H87" t="s">
        <v>40</v>
      </c>
      <c r="I87" s="1"/>
      <c r="J87" t="s">
        <v>40</v>
      </c>
      <c r="K87" s="2">
        <v>0</v>
      </c>
      <c r="L87" t="s">
        <v>40</v>
      </c>
      <c r="M87" s="2">
        <f>Table1[[#This Row],[Quantity]]*Table1[[#This Row],[Proposed Unit Price]]</f>
        <v>0</v>
      </c>
      <c r="N87" t="s">
        <v>40</v>
      </c>
      <c r="O87" s="1">
        <v>0</v>
      </c>
      <c r="P87" t="s">
        <v>40</v>
      </c>
      <c r="Q87" s="6">
        <v>46266</v>
      </c>
      <c r="R87" s="6">
        <v>46630</v>
      </c>
      <c r="S87" t="s">
        <v>188</v>
      </c>
      <c r="T87" t="s">
        <v>108</v>
      </c>
      <c r="U87" t="s">
        <v>35</v>
      </c>
      <c r="V87" t="s">
        <v>42</v>
      </c>
      <c r="W87" t="s">
        <v>43</v>
      </c>
      <c r="X87" t="s">
        <v>36</v>
      </c>
      <c r="Y87" t="s">
        <v>36</v>
      </c>
      <c r="Z87" t="s">
        <v>36</v>
      </c>
      <c r="AA87" t="s">
        <v>36</v>
      </c>
      <c r="AB87" t="s">
        <v>44</v>
      </c>
      <c r="AC87" t="s">
        <v>45</v>
      </c>
      <c r="AD87" t="s">
        <v>213</v>
      </c>
      <c r="AE87" t="s">
        <v>46</v>
      </c>
      <c r="AF87" t="s">
        <v>46</v>
      </c>
      <c r="AG87" t="s">
        <v>36</v>
      </c>
      <c r="AH87" t="s">
        <v>40</v>
      </c>
      <c r="AI87" t="s">
        <v>40</v>
      </c>
      <c r="AJ87" t="s">
        <v>40</v>
      </c>
    </row>
    <row r="88" spans="1:36" x14ac:dyDescent="0.25">
      <c r="A88" t="s">
        <v>34</v>
      </c>
      <c r="B88" t="s">
        <v>214</v>
      </c>
      <c r="C88" t="s">
        <v>36</v>
      </c>
      <c r="D88" t="s">
        <v>112</v>
      </c>
      <c r="E88" t="s">
        <v>113</v>
      </c>
      <c r="F88" t="s">
        <v>39</v>
      </c>
      <c r="G88" s="1"/>
      <c r="H88" t="s">
        <v>40</v>
      </c>
      <c r="I88" s="1"/>
      <c r="J88" t="s">
        <v>40</v>
      </c>
      <c r="K88" s="2">
        <v>0</v>
      </c>
      <c r="L88" t="s">
        <v>40</v>
      </c>
      <c r="M88" s="2">
        <f>Table1[[#This Row],[Quantity]]*Table1[[#This Row],[Proposed Unit Price]]</f>
        <v>0</v>
      </c>
      <c r="N88" t="s">
        <v>40</v>
      </c>
      <c r="O88" s="1">
        <v>0</v>
      </c>
      <c r="P88" t="s">
        <v>40</v>
      </c>
      <c r="Q88" s="6">
        <v>46266</v>
      </c>
      <c r="R88" s="6">
        <v>46630</v>
      </c>
      <c r="S88" t="s">
        <v>188</v>
      </c>
      <c r="T88" t="s">
        <v>111</v>
      </c>
      <c r="U88" t="s">
        <v>35</v>
      </c>
      <c r="V88" t="s">
        <v>42</v>
      </c>
      <c r="W88" t="s">
        <v>43</v>
      </c>
      <c r="X88" t="s">
        <v>36</v>
      </c>
      <c r="Y88" t="s">
        <v>36</v>
      </c>
      <c r="Z88" t="s">
        <v>36</v>
      </c>
      <c r="AA88" t="s">
        <v>36</v>
      </c>
      <c r="AB88" t="s">
        <v>44</v>
      </c>
      <c r="AC88" t="s">
        <v>45</v>
      </c>
      <c r="AD88" t="s">
        <v>214</v>
      </c>
      <c r="AE88" t="s">
        <v>46</v>
      </c>
      <c r="AF88" t="s">
        <v>46</v>
      </c>
      <c r="AG88" t="s">
        <v>36</v>
      </c>
      <c r="AH88" t="s">
        <v>40</v>
      </c>
      <c r="AI88" t="s">
        <v>40</v>
      </c>
      <c r="AJ88" t="s">
        <v>40</v>
      </c>
    </row>
    <row r="89" spans="1:36" x14ac:dyDescent="0.25">
      <c r="A89" t="s">
        <v>34</v>
      </c>
      <c r="B89" t="s">
        <v>215</v>
      </c>
      <c r="C89" t="s">
        <v>36</v>
      </c>
      <c r="D89" t="s">
        <v>115</v>
      </c>
      <c r="E89" t="s">
        <v>116</v>
      </c>
      <c r="F89" t="s">
        <v>39</v>
      </c>
      <c r="G89" s="1"/>
      <c r="H89" t="s">
        <v>40</v>
      </c>
      <c r="I89" s="1"/>
      <c r="J89" t="s">
        <v>40</v>
      </c>
      <c r="K89" s="2">
        <v>0</v>
      </c>
      <c r="L89" t="s">
        <v>40</v>
      </c>
      <c r="M89" s="2">
        <f>Table1[[#This Row],[Quantity]]*Table1[[#This Row],[Proposed Unit Price]]</f>
        <v>0</v>
      </c>
      <c r="N89" t="s">
        <v>40</v>
      </c>
      <c r="O89" s="1">
        <v>0</v>
      </c>
      <c r="P89" t="s">
        <v>40</v>
      </c>
      <c r="Q89" s="6">
        <v>46266</v>
      </c>
      <c r="R89" s="6">
        <v>46630</v>
      </c>
      <c r="S89" t="s">
        <v>188</v>
      </c>
      <c r="T89" t="s">
        <v>114</v>
      </c>
      <c r="U89" t="s">
        <v>35</v>
      </c>
      <c r="V89" t="s">
        <v>42</v>
      </c>
      <c r="W89" t="s">
        <v>43</v>
      </c>
      <c r="X89" t="s">
        <v>36</v>
      </c>
      <c r="Y89" t="s">
        <v>36</v>
      </c>
      <c r="Z89" t="s">
        <v>36</v>
      </c>
      <c r="AA89" t="s">
        <v>36</v>
      </c>
      <c r="AB89" t="s">
        <v>44</v>
      </c>
      <c r="AC89" t="s">
        <v>45</v>
      </c>
      <c r="AD89" t="s">
        <v>215</v>
      </c>
      <c r="AE89" t="s">
        <v>46</v>
      </c>
      <c r="AF89" t="s">
        <v>46</v>
      </c>
      <c r="AG89" t="s">
        <v>36</v>
      </c>
      <c r="AH89" t="s">
        <v>40</v>
      </c>
      <c r="AI89" t="s">
        <v>40</v>
      </c>
      <c r="AJ89" t="s">
        <v>40</v>
      </c>
    </row>
    <row r="90" spans="1:36" x14ac:dyDescent="0.25">
      <c r="A90" t="s">
        <v>34</v>
      </c>
      <c r="B90" t="s">
        <v>216</v>
      </c>
      <c r="C90" t="s">
        <v>36</v>
      </c>
      <c r="D90" t="s">
        <v>118</v>
      </c>
      <c r="E90" t="s">
        <v>119</v>
      </c>
      <c r="F90" t="s">
        <v>39</v>
      </c>
      <c r="G90" s="1"/>
      <c r="H90" t="s">
        <v>40</v>
      </c>
      <c r="I90" s="1"/>
      <c r="J90" t="s">
        <v>40</v>
      </c>
      <c r="K90" s="2">
        <v>0</v>
      </c>
      <c r="L90" t="s">
        <v>40</v>
      </c>
      <c r="M90" s="2">
        <f>Table1[[#This Row],[Quantity]]*Table1[[#This Row],[Proposed Unit Price]]</f>
        <v>0</v>
      </c>
      <c r="N90" t="s">
        <v>40</v>
      </c>
      <c r="O90" s="1">
        <v>0</v>
      </c>
      <c r="P90" t="s">
        <v>40</v>
      </c>
      <c r="Q90" s="6">
        <v>46266</v>
      </c>
      <c r="R90" s="6">
        <v>46630</v>
      </c>
      <c r="S90" t="s">
        <v>188</v>
      </c>
      <c r="T90" t="s">
        <v>117</v>
      </c>
      <c r="U90" t="s">
        <v>35</v>
      </c>
      <c r="V90" t="s">
        <v>42</v>
      </c>
      <c r="W90" t="s">
        <v>43</v>
      </c>
      <c r="X90" t="s">
        <v>36</v>
      </c>
      <c r="Y90" t="s">
        <v>36</v>
      </c>
      <c r="Z90" t="s">
        <v>36</v>
      </c>
      <c r="AA90" t="s">
        <v>36</v>
      </c>
      <c r="AB90" t="s">
        <v>44</v>
      </c>
      <c r="AC90" t="s">
        <v>45</v>
      </c>
      <c r="AD90" t="s">
        <v>216</v>
      </c>
      <c r="AE90" t="s">
        <v>46</v>
      </c>
      <c r="AF90" t="s">
        <v>46</v>
      </c>
      <c r="AG90" t="s">
        <v>36</v>
      </c>
      <c r="AH90" t="s">
        <v>40</v>
      </c>
      <c r="AI90" t="s">
        <v>40</v>
      </c>
      <c r="AJ90" t="s">
        <v>40</v>
      </c>
    </row>
    <row r="91" spans="1:36" x14ac:dyDescent="0.25">
      <c r="A91" t="s">
        <v>34</v>
      </c>
      <c r="B91" t="s">
        <v>217</v>
      </c>
      <c r="C91" t="s">
        <v>36</v>
      </c>
      <c r="D91" t="s">
        <v>121</v>
      </c>
      <c r="E91" t="s">
        <v>122</v>
      </c>
      <c r="F91" t="s">
        <v>39</v>
      </c>
      <c r="G91" s="1"/>
      <c r="H91" t="s">
        <v>40</v>
      </c>
      <c r="I91" s="1"/>
      <c r="J91" t="s">
        <v>40</v>
      </c>
      <c r="K91" s="2">
        <v>0</v>
      </c>
      <c r="L91" t="s">
        <v>40</v>
      </c>
      <c r="M91" s="2">
        <f>Table1[[#This Row],[Quantity]]*Table1[[#This Row],[Proposed Unit Price]]</f>
        <v>0</v>
      </c>
      <c r="N91" t="s">
        <v>40</v>
      </c>
      <c r="O91" s="1">
        <v>0</v>
      </c>
      <c r="P91" t="s">
        <v>40</v>
      </c>
      <c r="Q91" s="6">
        <v>46266</v>
      </c>
      <c r="R91" s="6">
        <v>46630</v>
      </c>
      <c r="S91" t="s">
        <v>188</v>
      </c>
      <c r="T91" t="s">
        <v>120</v>
      </c>
      <c r="U91" t="s">
        <v>35</v>
      </c>
      <c r="V91" t="s">
        <v>42</v>
      </c>
      <c r="W91" t="s">
        <v>43</v>
      </c>
      <c r="X91" t="s">
        <v>36</v>
      </c>
      <c r="Y91" t="s">
        <v>36</v>
      </c>
      <c r="Z91" t="s">
        <v>36</v>
      </c>
      <c r="AA91" t="s">
        <v>36</v>
      </c>
      <c r="AB91" t="s">
        <v>44</v>
      </c>
      <c r="AC91" t="s">
        <v>45</v>
      </c>
      <c r="AD91" t="s">
        <v>217</v>
      </c>
      <c r="AE91" t="s">
        <v>46</v>
      </c>
      <c r="AF91" t="s">
        <v>46</v>
      </c>
      <c r="AG91" t="s">
        <v>36</v>
      </c>
      <c r="AH91" t="s">
        <v>40</v>
      </c>
      <c r="AI91" t="s">
        <v>40</v>
      </c>
      <c r="AJ91" t="s">
        <v>40</v>
      </c>
    </row>
    <row r="92" spans="1:36" x14ac:dyDescent="0.25">
      <c r="A92" t="s">
        <v>34</v>
      </c>
      <c r="B92" t="s">
        <v>218</v>
      </c>
      <c r="C92" t="s">
        <v>36</v>
      </c>
      <c r="D92" t="s">
        <v>124</v>
      </c>
      <c r="E92" t="s">
        <v>110</v>
      </c>
      <c r="F92" t="s">
        <v>39</v>
      </c>
      <c r="G92" s="1"/>
      <c r="H92" t="s">
        <v>40</v>
      </c>
      <c r="I92" s="1"/>
      <c r="J92" t="s">
        <v>40</v>
      </c>
      <c r="K92" s="2">
        <v>0</v>
      </c>
      <c r="L92" t="s">
        <v>40</v>
      </c>
      <c r="M92" s="2">
        <f>Table1[[#This Row],[Quantity]]*Table1[[#This Row],[Proposed Unit Price]]</f>
        <v>0</v>
      </c>
      <c r="N92" t="s">
        <v>40</v>
      </c>
      <c r="O92" s="1">
        <v>0</v>
      </c>
      <c r="P92" t="s">
        <v>40</v>
      </c>
      <c r="Q92" s="6">
        <v>46266</v>
      </c>
      <c r="R92" s="6">
        <v>46630</v>
      </c>
      <c r="S92" t="s">
        <v>188</v>
      </c>
      <c r="T92" t="s">
        <v>123</v>
      </c>
      <c r="U92" t="s">
        <v>35</v>
      </c>
      <c r="V92" t="s">
        <v>42</v>
      </c>
      <c r="W92" t="s">
        <v>43</v>
      </c>
      <c r="X92" t="s">
        <v>36</v>
      </c>
      <c r="Y92" t="s">
        <v>36</v>
      </c>
      <c r="Z92" t="s">
        <v>36</v>
      </c>
      <c r="AA92" t="s">
        <v>36</v>
      </c>
      <c r="AB92" t="s">
        <v>44</v>
      </c>
      <c r="AC92" t="s">
        <v>45</v>
      </c>
      <c r="AD92" t="s">
        <v>218</v>
      </c>
      <c r="AE92" t="s">
        <v>46</v>
      </c>
      <c r="AF92" t="s">
        <v>46</v>
      </c>
      <c r="AG92" t="s">
        <v>36</v>
      </c>
      <c r="AH92" t="s">
        <v>40</v>
      </c>
      <c r="AI92" t="s">
        <v>40</v>
      </c>
      <c r="AJ92" t="s">
        <v>40</v>
      </c>
    </row>
    <row r="93" spans="1:36" x14ac:dyDescent="0.25">
      <c r="A93" t="s">
        <v>34</v>
      </c>
      <c r="B93" t="s">
        <v>219</v>
      </c>
      <c r="C93" t="s">
        <v>36</v>
      </c>
      <c r="D93" t="s">
        <v>126</v>
      </c>
      <c r="E93" t="s">
        <v>127</v>
      </c>
      <c r="F93" t="s">
        <v>39</v>
      </c>
      <c r="G93" s="1"/>
      <c r="H93" t="s">
        <v>40</v>
      </c>
      <c r="I93" s="1"/>
      <c r="J93" t="s">
        <v>40</v>
      </c>
      <c r="K93" s="2">
        <v>0</v>
      </c>
      <c r="L93" t="s">
        <v>40</v>
      </c>
      <c r="M93" s="2">
        <f>Table1[[#This Row],[Quantity]]*Table1[[#This Row],[Proposed Unit Price]]</f>
        <v>0</v>
      </c>
      <c r="N93" t="s">
        <v>40</v>
      </c>
      <c r="O93" s="1">
        <v>0</v>
      </c>
      <c r="P93" t="s">
        <v>40</v>
      </c>
      <c r="Q93" s="6">
        <v>46266</v>
      </c>
      <c r="R93" s="6">
        <v>46630</v>
      </c>
      <c r="S93" t="s">
        <v>188</v>
      </c>
      <c r="T93" t="s">
        <v>125</v>
      </c>
      <c r="U93" t="s">
        <v>35</v>
      </c>
      <c r="V93" t="s">
        <v>42</v>
      </c>
      <c r="W93" t="s">
        <v>43</v>
      </c>
      <c r="X93" t="s">
        <v>36</v>
      </c>
      <c r="Y93" t="s">
        <v>36</v>
      </c>
      <c r="Z93" t="s">
        <v>36</v>
      </c>
      <c r="AA93" t="s">
        <v>36</v>
      </c>
      <c r="AB93" t="s">
        <v>44</v>
      </c>
      <c r="AC93" t="s">
        <v>45</v>
      </c>
      <c r="AD93" t="s">
        <v>219</v>
      </c>
      <c r="AE93" t="s">
        <v>46</v>
      </c>
      <c r="AF93" t="s">
        <v>46</v>
      </c>
      <c r="AG93" t="s">
        <v>36</v>
      </c>
      <c r="AH93" t="s">
        <v>40</v>
      </c>
      <c r="AI93" t="s">
        <v>40</v>
      </c>
      <c r="AJ93" t="s">
        <v>40</v>
      </c>
    </row>
    <row r="94" spans="1:36" x14ac:dyDescent="0.25">
      <c r="A94" t="s">
        <v>34</v>
      </c>
      <c r="B94" t="s">
        <v>220</v>
      </c>
      <c r="C94" t="s">
        <v>36</v>
      </c>
      <c r="D94" t="s">
        <v>129</v>
      </c>
      <c r="E94" t="s">
        <v>130</v>
      </c>
      <c r="F94" t="s">
        <v>39</v>
      </c>
      <c r="G94" s="1"/>
      <c r="H94" t="s">
        <v>40</v>
      </c>
      <c r="I94" s="1"/>
      <c r="J94" t="s">
        <v>40</v>
      </c>
      <c r="K94" s="2">
        <v>0</v>
      </c>
      <c r="L94" t="s">
        <v>40</v>
      </c>
      <c r="M94" s="2">
        <f>Table1[[#This Row],[Quantity]]*Table1[[#This Row],[Proposed Unit Price]]</f>
        <v>0</v>
      </c>
      <c r="N94" t="s">
        <v>40</v>
      </c>
      <c r="O94" s="1">
        <v>0</v>
      </c>
      <c r="P94" t="s">
        <v>40</v>
      </c>
      <c r="Q94" s="6">
        <v>46266</v>
      </c>
      <c r="R94" s="6">
        <v>46630</v>
      </c>
      <c r="S94" t="s">
        <v>188</v>
      </c>
      <c r="T94" t="s">
        <v>128</v>
      </c>
      <c r="U94" t="s">
        <v>35</v>
      </c>
      <c r="V94" t="s">
        <v>42</v>
      </c>
      <c r="W94" t="s">
        <v>43</v>
      </c>
      <c r="X94" t="s">
        <v>36</v>
      </c>
      <c r="Y94" t="s">
        <v>36</v>
      </c>
      <c r="Z94" t="s">
        <v>36</v>
      </c>
      <c r="AA94" t="s">
        <v>36</v>
      </c>
      <c r="AB94" t="s">
        <v>44</v>
      </c>
      <c r="AC94" t="s">
        <v>45</v>
      </c>
      <c r="AD94" t="s">
        <v>220</v>
      </c>
      <c r="AE94" t="s">
        <v>46</v>
      </c>
      <c r="AF94" t="s">
        <v>46</v>
      </c>
      <c r="AG94" t="s">
        <v>36</v>
      </c>
      <c r="AH94" t="s">
        <v>40</v>
      </c>
      <c r="AI94" t="s">
        <v>40</v>
      </c>
      <c r="AJ94" t="s">
        <v>40</v>
      </c>
    </row>
    <row r="95" spans="1:36" x14ac:dyDescent="0.25">
      <c r="A95" t="s">
        <v>34</v>
      </c>
      <c r="B95" t="s">
        <v>221</v>
      </c>
      <c r="C95" t="s">
        <v>36</v>
      </c>
      <c r="D95" t="s">
        <v>132</v>
      </c>
      <c r="E95" t="s">
        <v>133</v>
      </c>
      <c r="F95" t="s">
        <v>39</v>
      </c>
      <c r="G95" s="1"/>
      <c r="H95" t="s">
        <v>40</v>
      </c>
      <c r="I95" s="1"/>
      <c r="J95" t="s">
        <v>40</v>
      </c>
      <c r="K95" s="2">
        <v>0</v>
      </c>
      <c r="L95" t="s">
        <v>40</v>
      </c>
      <c r="M95" s="2">
        <f>Table1[[#This Row],[Quantity]]*Table1[[#This Row],[Proposed Unit Price]]</f>
        <v>0</v>
      </c>
      <c r="N95" t="s">
        <v>40</v>
      </c>
      <c r="O95" s="1">
        <v>0</v>
      </c>
      <c r="P95" t="s">
        <v>40</v>
      </c>
      <c r="Q95" s="6">
        <v>46266</v>
      </c>
      <c r="R95" s="6">
        <v>46630</v>
      </c>
      <c r="S95" t="s">
        <v>188</v>
      </c>
      <c r="T95" t="s">
        <v>131</v>
      </c>
      <c r="U95" t="s">
        <v>35</v>
      </c>
      <c r="V95" t="s">
        <v>42</v>
      </c>
      <c r="W95" t="s">
        <v>43</v>
      </c>
      <c r="X95" t="s">
        <v>36</v>
      </c>
      <c r="Y95" t="s">
        <v>36</v>
      </c>
      <c r="Z95" t="s">
        <v>36</v>
      </c>
      <c r="AA95" t="s">
        <v>36</v>
      </c>
      <c r="AB95" t="s">
        <v>44</v>
      </c>
      <c r="AC95" t="s">
        <v>45</v>
      </c>
      <c r="AD95" t="s">
        <v>221</v>
      </c>
      <c r="AE95" t="s">
        <v>46</v>
      </c>
      <c r="AF95" t="s">
        <v>46</v>
      </c>
      <c r="AG95" t="s">
        <v>36</v>
      </c>
      <c r="AH95" t="s">
        <v>40</v>
      </c>
      <c r="AI95" t="s">
        <v>40</v>
      </c>
      <c r="AJ95" t="s">
        <v>40</v>
      </c>
    </row>
    <row r="96" spans="1:36" x14ac:dyDescent="0.25">
      <c r="A96" t="s">
        <v>34</v>
      </c>
      <c r="B96" t="s">
        <v>222</v>
      </c>
      <c r="C96" t="s">
        <v>36</v>
      </c>
      <c r="D96" t="s">
        <v>134</v>
      </c>
      <c r="E96" t="s">
        <v>135</v>
      </c>
      <c r="F96" t="s">
        <v>39</v>
      </c>
      <c r="G96" s="1"/>
      <c r="H96" t="s">
        <v>40</v>
      </c>
      <c r="I96" s="1"/>
      <c r="J96" t="s">
        <v>40</v>
      </c>
      <c r="K96" s="2">
        <v>0</v>
      </c>
      <c r="L96" t="s">
        <v>40</v>
      </c>
      <c r="M96" s="2">
        <f>Table1[[#This Row],[Quantity]]*Table1[[#This Row],[Proposed Unit Price]]</f>
        <v>0</v>
      </c>
      <c r="N96" t="s">
        <v>40</v>
      </c>
      <c r="O96" s="1">
        <v>0</v>
      </c>
      <c r="P96" t="s">
        <v>40</v>
      </c>
      <c r="Q96" s="6">
        <v>46266</v>
      </c>
      <c r="R96" s="6">
        <v>46630</v>
      </c>
      <c r="S96" t="s">
        <v>188</v>
      </c>
      <c r="T96" t="s">
        <v>67</v>
      </c>
      <c r="U96" t="s">
        <v>35</v>
      </c>
      <c r="V96" t="s">
        <v>42</v>
      </c>
      <c r="W96" t="s">
        <v>43</v>
      </c>
      <c r="X96" t="s">
        <v>36</v>
      </c>
      <c r="Y96" t="s">
        <v>36</v>
      </c>
      <c r="Z96" t="s">
        <v>36</v>
      </c>
      <c r="AA96" t="s">
        <v>36</v>
      </c>
      <c r="AB96" t="s">
        <v>44</v>
      </c>
      <c r="AC96" t="s">
        <v>45</v>
      </c>
      <c r="AD96" t="s">
        <v>222</v>
      </c>
      <c r="AE96" t="s">
        <v>46</v>
      </c>
      <c r="AF96" t="s">
        <v>46</v>
      </c>
      <c r="AG96" t="s">
        <v>36</v>
      </c>
      <c r="AH96" t="s">
        <v>40</v>
      </c>
      <c r="AI96" t="s">
        <v>40</v>
      </c>
      <c r="AJ96" t="s">
        <v>40</v>
      </c>
    </row>
    <row r="97" spans="1:36" x14ac:dyDescent="0.25">
      <c r="A97" t="s">
        <v>34</v>
      </c>
      <c r="B97" t="s">
        <v>223</v>
      </c>
      <c r="C97" t="s">
        <v>36</v>
      </c>
      <c r="D97" t="s">
        <v>224</v>
      </c>
      <c r="E97" t="s">
        <v>63</v>
      </c>
      <c r="F97" t="s">
        <v>64</v>
      </c>
      <c r="G97" s="1"/>
      <c r="H97" t="s">
        <v>40</v>
      </c>
      <c r="I97" s="1"/>
      <c r="J97" t="s">
        <v>40</v>
      </c>
      <c r="K97" s="2">
        <v>0</v>
      </c>
      <c r="L97" t="s">
        <v>40</v>
      </c>
      <c r="M97" s="2">
        <f>Table1[[#This Row],[Quantity]]*Table1[[#This Row],[Proposed Unit Price]]</f>
        <v>0</v>
      </c>
      <c r="N97" t="s">
        <v>40</v>
      </c>
      <c r="O97" s="1">
        <v>0</v>
      </c>
      <c r="P97" t="s">
        <v>40</v>
      </c>
      <c r="Q97" s="6">
        <v>46266</v>
      </c>
      <c r="R97" s="6">
        <v>46630</v>
      </c>
      <c r="S97" t="s">
        <v>188</v>
      </c>
      <c r="T97" t="s">
        <v>136</v>
      </c>
      <c r="U97" t="s">
        <v>35</v>
      </c>
      <c r="V97" t="s">
        <v>42</v>
      </c>
      <c r="W97" t="s">
        <v>43</v>
      </c>
      <c r="X97" t="s">
        <v>36</v>
      </c>
      <c r="Y97" t="s">
        <v>36</v>
      </c>
      <c r="Z97" t="s">
        <v>36</v>
      </c>
      <c r="AA97" t="s">
        <v>36</v>
      </c>
      <c r="AB97" t="s">
        <v>44</v>
      </c>
      <c r="AC97" t="s">
        <v>45</v>
      </c>
      <c r="AD97" t="s">
        <v>223</v>
      </c>
      <c r="AE97" t="s">
        <v>46</v>
      </c>
      <c r="AF97" t="s">
        <v>46</v>
      </c>
      <c r="AG97" t="s">
        <v>36</v>
      </c>
      <c r="AH97" t="s">
        <v>40</v>
      </c>
      <c r="AI97" t="s">
        <v>40</v>
      </c>
      <c r="AJ97" t="s">
        <v>40</v>
      </c>
    </row>
    <row r="98" spans="1:36" x14ac:dyDescent="0.25">
      <c r="A98" t="s">
        <v>34</v>
      </c>
      <c r="B98" t="s">
        <v>225</v>
      </c>
      <c r="C98" t="s">
        <v>36</v>
      </c>
      <c r="D98" t="s">
        <v>139</v>
      </c>
      <c r="E98" t="s">
        <v>67</v>
      </c>
      <c r="F98" t="s">
        <v>39</v>
      </c>
      <c r="G98" s="1"/>
      <c r="H98" t="s">
        <v>40</v>
      </c>
      <c r="I98" s="1"/>
      <c r="J98" t="s">
        <v>40</v>
      </c>
      <c r="K98" s="2">
        <v>0</v>
      </c>
      <c r="L98" t="s">
        <v>40</v>
      </c>
      <c r="M98" s="2">
        <f>Table1[[#This Row],[Quantity]]*Table1[[#This Row],[Proposed Unit Price]]</f>
        <v>0</v>
      </c>
      <c r="N98" t="s">
        <v>40</v>
      </c>
      <c r="O98" s="1">
        <v>0</v>
      </c>
      <c r="P98" t="s">
        <v>40</v>
      </c>
      <c r="Q98" s="6">
        <v>46266</v>
      </c>
      <c r="R98" s="6">
        <v>46630</v>
      </c>
      <c r="S98" t="s">
        <v>188</v>
      </c>
      <c r="T98" t="s">
        <v>138</v>
      </c>
      <c r="U98" t="s">
        <v>35</v>
      </c>
      <c r="V98" t="s">
        <v>42</v>
      </c>
      <c r="W98" t="s">
        <v>43</v>
      </c>
      <c r="X98" t="s">
        <v>36</v>
      </c>
      <c r="Y98" t="s">
        <v>36</v>
      </c>
      <c r="Z98" t="s">
        <v>36</v>
      </c>
      <c r="AA98" t="s">
        <v>36</v>
      </c>
      <c r="AB98" t="s">
        <v>44</v>
      </c>
      <c r="AC98" t="s">
        <v>45</v>
      </c>
      <c r="AD98" t="s">
        <v>225</v>
      </c>
      <c r="AE98" t="s">
        <v>46</v>
      </c>
      <c r="AF98" t="s">
        <v>46</v>
      </c>
      <c r="AG98" t="s">
        <v>36</v>
      </c>
      <c r="AH98" t="s">
        <v>40</v>
      </c>
      <c r="AI98" t="s">
        <v>40</v>
      </c>
      <c r="AJ98" t="s">
        <v>40</v>
      </c>
    </row>
    <row r="99" spans="1:36" x14ac:dyDescent="0.25">
      <c r="A99" t="s">
        <v>34</v>
      </c>
      <c r="B99" t="s">
        <v>226</v>
      </c>
      <c r="C99" t="s">
        <v>36</v>
      </c>
      <c r="D99" t="s">
        <v>141</v>
      </c>
      <c r="E99" t="s">
        <v>142</v>
      </c>
      <c r="F99" t="s">
        <v>71</v>
      </c>
      <c r="G99" s="1"/>
      <c r="H99" t="s">
        <v>40</v>
      </c>
      <c r="I99" s="1"/>
      <c r="J99" t="s">
        <v>40</v>
      </c>
      <c r="K99" s="2">
        <v>0</v>
      </c>
      <c r="L99" t="s">
        <v>40</v>
      </c>
      <c r="M99" s="2">
        <f>Table1[[#This Row],[Quantity]]*Table1[[#This Row],[Proposed Unit Price]]</f>
        <v>0</v>
      </c>
      <c r="N99" t="s">
        <v>40</v>
      </c>
      <c r="O99" s="1">
        <v>0</v>
      </c>
      <c r="P99" t="s">
        <v>40</v>
      </c>
      <c r="Q99" s="6">
        <v>46266</v>
      </c>
      <c r="R99" s="6">
        <v>46630</v>
      </c>
      <c r="S99" t="s">
        <v>188</v>
      </c>
      <c r="T99" t="s">
        <v>140</v>
      </c>
      <c r="U99" t="s">
        <v>35</v>
      </c>
      <c r="V99" t="s">
        <v>42</v>
      </c>
      <c r="W99" t="s">
        <v>43</v>
      </c>
      <c r="X99" t="s">
        <v>36</v>
      </c>
      <c r="Y99" t="s">
        <v>36</v>
      </c>
      <c r="Z99" t="s">
        <v>36</v>
      </c>
      <c r="AA99" t="s">
        <v>36</v>
      </c>
      <c r="AB99" t="s">
        <v>44</v>
      </c>
      <c r="AC99" t="s">
        <v>45</v>
      </c>
      <c r="AD99" t="s">
        <v>226</v>
      </c>
      <c r="AE99" t="s">
        <v>46</v>
      </c>
      <c r="AF99" t="s">
        <v>46</v>
      </c>
      <c r="AG99" t="s">
        <v>36</v>
      </c>
      <c r="AH99" t="s">
        <v>40</v>
      </c>
      <c r="AI99" t="s">
        <v>40</v>
      </c>
      <c r="AJ99" t="s">
        <v>40</v>
      </c>
    </row>
    <row r="100" spans="1:36" x14ac:dyDescent="0.25">
      <c r="A100" t="s">
        <v>34</v>
      </c>
      <c r="B100" t="s">
        <v>227</v>
      </c>
      <c r="C100" t="s">
        <v>36</v>
      </c>
      <c r="D100" t="s">
        <v>144</v>
      </c>
      <c r="E100" t="s">
        <v>50</v>
      </c>
      <c r="F100" t="s">
        <v>39</v>
      </c>
      <c r="G100" s="1"/>
      <c r="H100" t="s">
        <v>40</v>
      </c>
      <c r="I100" s="1"/>
      <c r="J100" t="s">
        <v>40</v>
      </c>
      <c r="K100" s="2">
        <v>0</v>
      </c>
      <c r="L100" t="s">
        <v>40</v>
      </c>
      <c r="M100" s="2">
        <f>Table1[[#This Row],[Quantity]]*Table1[[#This Row],[Proposed Unit Price]]</f>
        <v>0</v>
      </c>
      <c r="N100" t="s">
        <v>40</v>
      </c>
      <c r="O100" s="1">
        <v>0</v>
      </c>
      <c r="P100" t="s">
        <v>40</v>
      </c>
      <c r="Q100" s="6">
        <v>46266</v>
      </c>
      <c r="R100" s="6">
        <v>46630</v>
      </c>
      <c r="S100" t="s">
        <v>188</v>
      </c>
      <c r="T100" t="s">
        <v>143</v>
      </c>
      <c r="U100" t="s">
        <v>35</v>
      </c>
      <c r="V100" t="s">
        <v>42</v>
      </c>
      <c r="W100" t="s">
        <v>43</v>
      </c>
      <c r="X100" t="s">
        <v>36</v>
      </c>
      <c r="Y100" t="s">
        <v>36</v>
      </c>
      <c r="Z100" t="s">
        <v>36</v>
      </c>
      <c r="AA100" t="s">
        <v>36</v>
      </c>
      <c r="AB100" t="s">
        <v>44</v>
      </c>
      <c r="AC100" t="s">
        <v>45</v>
      </c>
      <c r="AD100" t="s">
        <v>227</v>
      </c>
      <c r="AE100" t="s">
        <v>46</v>
      </c>
      <c r="AF100" t="s">
        <v>46</v>
      </c>
      <c r="AG100" t="s">
        <v>36</v>
      </c>
      <c r="AH100" t="s">
        <v>40</v>
      </c>
      <c r="AI100" t="s">
        <v>40</v>
      </c>
      <c r="AJ100" t="s">
        <v>40</v>
      </c>
    </row>
    <row r="101" spans="1:36" x14ac:dyDescent="0.25">
      <c r="A101" t="s">
        <v>34</v>
      </c>
      <c r="B101" t="s">
        <v>228</v>
      </c>
      <c r="C101" t="s">
        <v>36</v>
      </c>
      <c r="D101" t="s">
        <v>146</v>
      </c>
      <c r="E101" t="s">
        <v>53</v>
      </c>
      <c r="F101" t="s">
        <v>39</v>
      </c>
      <c r="G101" s="1"/>
      <c r="H101" t="s">
        <v>40</v>
      </c>
      <c r="I101" s="1"/>
      <c r="J101" t="s">
        <v>40</v>
      </c>
      <c r="K101" s="2">
        <v>0</v>
      </c>
      <c r="L101" t="s">
        <v>40</v>
      </c>
      <c r="M101" s="2">
        <f>Table1[[#This Row],[Quantity]]*Table1[[#This Row],[Proposed Unit Price]]</f>
        <v>0</v>
      </c>
      <c r="N101" t="s">
        <v>40</v>
      </c>
      <c r="O101" s="1">
        <v>0</v>
      </c>
      <c r="P101" t="s">
        <v>40</v>
      </c>
      <c r="Q101" s="6">
        <v>46266</v>
      </c>
      <c r="R101" s="6">
        <v>46630</v>
      </c>
      <c r="S101" t="s">
        <v>188</v>
      </c>
      <c r="T101" t="s">
        <v>145</v>
      </c>
      <c r="U101" t="s">
        <v>35</v>
      </c>
      <c r="V101" t="s">
        <v>42</v>
      </c>
      <c r="W101" t="s">
        <v>43</v>
      </c>
      <c r="X101" t="s">
        <v>36</v>
      </c>
      <c r="Y101" t="s">
        <v>36</v>
      </c>
      <c r="Z101" t="s">
        <v>36</v>
      </c>
      <c r="AA101" t="s">
        <v>36</v>
      </c>
      <c r="AB101" t="s">
        <v>44</v>
      </c>
      <c r="AC101" t="s">
        <v>45</v>
      </c>
      <c r="AD101" t="s">
        <v>228</v>
      </c>
      <c r="AE101" t="s">
        <v>46</v>
      </c>
      <c r="AF101" t="s">
        <v>46</v>
      </c>
      <c r="AG101" t="s">
        <v>36</v>
      </c>
      <c r="AH101" t="s">
        <v>40</v>
      </c>
      <c r="AI101" t="s">
        <v>40</v>
      </c>
      <c r="AJ101" t="s">
        <v>40</v>
      </c>
    </row>
    <row r="102" spans="1:36" x14ac:dyDescent="0.25">
      <c r="A102" t="s">
        <v>34</v>
      </c>
      <c r="B102" t="s">
        <v>229</v>
      </c>
      <c r="C102" t="s">
        <v>36</v>
      </c>
      <c r="D102" t="s">
        <v>148</v>
      </c>
      <c r="E102" t="s">
        <v>123</v>
      </c>
      <c r="F102" t="s">
        <v>71</v>
      </c>
      <c r="G102" s="1"/>
      <c r="H102" t="s">
        <v>40</v>
      </c>
      <c r="I102" s="1"/>
      <c r="J102" t="s">
        <v>40</v>
      </c>
      <c r="K102" s="2">
        <v>0</v>
      </c>
      <c r="L102" t="s">
        <v>40</v>
      </c>
      <c r="M102" s="2">
        <f>Table1[[#This Row],[Quantity]]*Table1[[#This Row],[Proposed Unit Price]]</f>
        <v>0</v>
      </c>
      <c r="N102" t="s">
        <v>40</v>
      </c>
      <c r="O102" s="1">
        <v>0</v>
      </c>
      <c r="P102" t="s">
        <v>40</v>
      </c>
      <c r="Q102" s="6">
        <v>46266</v>
      </c>
      <c r="R102" s="6">
        <v>46630</v>
      </c>
      <c r="S102" t="s">
        <v>188</v>
      </c>
      <c r="T102" t="s">
        <v>147</v>
      </c>
      <c r="U102" t="s">
        <v>35</v>
      </c>
      <c r="V102" t="s">
        <v>42</v>
      </c>
      <c r="W102" t="s">
        <v>43</v>
      </c>
      <c r="X102" t="s">
        <v>36</v>
      </c>
      <c r="Y102" t="s">
        <v>36</v>
      </c>
      <c r="Z102" t="s">
        <v>36</v>
      </c>
      <c r="AA102" t="s">
        <v>36</v>
      </c>
      <c r="AB102" t="s">
        <v>44</v>
      </c>
      <c r="AC102" t="s">
        <v>45</v>
      </c>
      <c r="AD102" t="s">
        <v>229</v>
      </c>
      <c r="AE102" t="s">
        <v>46</v>
      </c>
      <c r="AF102" t="s">
        <v>46</v>
      </c>
      <c r="AG102" t="s">
        <v>36</v>
      </c>
      <c r="AH102" t="s">
        <v>40</v>
      </c>
      <c r="AI102" t="s">
        <v>40</v>
      </c>
      <c r="AJ102" t="s">
        <v>40</v>
      </c>
    </row>
    <row r="103" spans="1:36" x14ac:dyDescent="0.25">
      <c r="A103" t="s">
        <v>34</v>
      </c>
      <c r="B103" t="s">
        <v>230</v>
      </c>
      <c r="C103" t="s">
        <v>36</v>
      </c>
      <c r="D103" t="s">
        <v>150</v>
      </c>
      <c r="E103" t="s">
        <v>47</v>
      </c>
      <c r="F103" t="s">
        <v>39</v>
      </c>
      <c r="G103" s="1"/>
      <c r="H103" t="s">
        <v>40</v>
      </c>
      <c r="I103" s="1"/>
      <c r="J103" t="s">
        <v>40</v>
      </c>
      <c r="K103" s="2">
        <v>0</v>
      </c>
      <c r="L103" t="s">
        <v>40</v>
      </c>
      <c r="M103" s="2">
        <f>Table1[[#This Row],[Quantity]]*Table1[[#This Row],[Proposed Unit Price]]</f>
        <v>0</v>
      </c>
      <c r="N103" t="s">
        <v>40</v>
      </c>
      <c r="O103" s="1">
        <v>0</v>
      </c>
      <c r="P103" t="s">
        <v>40</v>
      </c>
      <c r="Q103" s="6">
        <v>46266</v>
      </c>
      <c r="R103" s="6">
        <v>46630</v>
      </c>
      <c r="S103" t="s">
        <v>188</v>
      </c>
      <c r="T103" t="s">
        <v>149</v>
      </c>
      <c r="U103" t="s">
        <v>35</v>
      </c>
      <c r="V103" t="s">
        <v>42</v>
      </c>
      <c r="W103" t="s">
        <v>43</v>
      </c>
      <c r="X103" t="s">
        <v>36</v>
      </c>
      <c r="Y103" t="s">
        <v>36</v>
      </c>
      <c r="Z103" t="s">
        <v>36</v>
      </c>
      <c r="AA103" t="s">
        <v>36</v>
      </c>
      <c r="AB103" t="s">
        <v>44</v>
      </c>
      <c r="AC103" t="s">
        <v>45</v>
      </c>
      <c r="AD103" t="s">
        <v>230</v>
      </c>
      <c r="AE103" t="s">
        <v>46</v>
      </c>
      <c r="AF103" t="s">
        <v>46</v>
      </c>
      <c r="AG103" t="s">
        <v>36</v>
      </c>
      <c r="AH103" t="s">
        <v>40</v>
      </c>
      <c r="AI103" t="s">
        <v>40</v>
      </c>
      <c r="AJ103" t="s">
        <v>40</v>
      </c>
    </row>
    <row r="104" spans="1:36" x14ac:dyDescent="0.25">
      <c r="A104" t="s">
        <v>34</v>
      </c>
      <c r="B104" t="s">
        <v>231</v>
      </c>
      <c r="C104" t="s">
        <v>36</v>
      </c>
      <c r="D104" t="s">
        <v>152</v>
      </c>
      <c r="E104" t="s">
        <v>35</v>
      </c>
      <c r="F104" t="s">
        <v>39</v>
      </c>
      <c r="G104" s="1"/>
      <c r="H104" t="s">
        <v>40</v>
      </c>
      <c r="I104" s="1"/>
      <c r="J104" t="s">
        <v>40</v>
      </c>
      <c r="K104" s="2">
        <v>0</v>
      </c>
      <c r="L104" t="s">
        <v>40</v>
      </c>
      <c r="M104" s="2">
        <f>Table1[[#This Row],[Quantity]]*Table1[[#This Row],[Proposed Unit Price]]</f>
        <v>0</v>
      </c>
      <c r="N104" t="s">
        <v>40</v>
      </c>
      <c r="O104" s="1">
        <v>0</v>
      </c>
      <c r="P104" t="s">
        <v>40</v>
      </c>
      <c r="Q104" s="6">
        <v>46266</v>
      </c>
      <c r="R104" s="6">
        <v>46630</v>
      </c>
      <c r="S104" t="s">
        <v>188</v>
      </c>
      <c r="T104" t="s">
        <v>151</v>
      </c>
      <c r="U104" t="s">
        <v>35</v>
      </c>
      <c r="V104" t="s">
        <v>83</v>
      </c>
      <c r="W104" t="s">
        <v>84</v>
      </c>
      <c r="X104" t="s">
        <v>36</v>
      </c>
      <c r="Y104" t="s">
        <v>36</v>
      </c>
      <c r="Z104" t="s">
        <v>36</v>
      </c>
      <c r="AA104" t="s">
        <v>36</v>
      </c>
      <c r="AB104" t="s">
        <v>44</v>
      </c>
      <c r="AC104" t="s">
        <v>45</v>
      </c>
      <c r="AD104" t="s">
        <v>231</v>
      </c>
      <c r="AE104" t="s">
        <v>46</v>
      </c>
      <c r="AF104" t="s">
        <v>46</v>
      </c>
      <c r="AG104" t="s">
        <v>36</v>
      </c>
      <c r="AH104" t="s">
        <v>40</v>
      </c>
      <c r="AI104" t="s">
        <v>40</v>
      </c>
      <c r="AJ104" t="s">
        <v>40</v>
      </c>
    </row>
    <row r="105" spans="1:36" x14ac:dyDescent="0.25">
      <c r="A105" t="s">
        <v>34</v>
      </c>
      <c r="B105" t="s">
        <v>232</v>
      </c>
      <c r="C105" t="s">
        <v>36</v>
      </c>
      <c r="D105" t="s">
        <v>154</v>
      </c>
      <c r="E105" t="s">
        <v>67</v>
      </c>
      <c r="F105" t="s">
        <v>87</v>
      </c>
      <c r="G105" s="1"/>
      <c r="H105" t="s">
        <v>40</v>
      </c>
      <c r="I105" s="1"/>
      <c r="J105" t="s">
        <v>40</v>
      </c>
      <c r="K105" s="2">
        <v>0</v>
      </c>
      <c r="L105" t="s">
        <v>40</v>
      </c>
      <c r="M105" s="2">
        <f>Table1[[#This Row],[Quantity]]*Table1[[#This Row],[Proposed Unit Price]]</f>
        <v>0</v>
      </c>
      <c r="N105" t="s">
        <v>40</v>
      </c>
      <c r="O105" s="1">
        <v>0</v>
      </c>
      <c r="P105" t="s">
        <v>40</v>
      </c>
      <c r="Q105" s="6">
        <v>46266</v>
      </c>
      <c r="R105" s="6">
        <v>46630</v>
      </c>
      <c r="S105" t="s">
        <v>188</v>
      </c>
      <c r="T105" t="s">
        <v>153</v>
      </c>
      <c r="U105" t="s">
        <v>35</v>
      </c>
      <c r="V105" t="s">
        <v>42</v>
      </c>
      <c r="W105" t="s">
        <v>43</v>
      </c>
      <c r="X105" t="s">
        <v>36</v>
      </c>
      <c r="Y105" t="s">
        <v>36</v>
      </c>
      <c r="Z105" t="s">
        <v>36</v>
      </c>
      <c r="AA105" t="s">
        <v>36</v>
      </c>
      <c r="AB105" t="s">
        <v>44</v>
      </c>
      <c r="AC105" t="s">
        <v>45</v>
      </c>
      <c r="AD105" t="s">
        <v>232</v>
      </c>
      <c r="AE105" t="s">
        <v>46</v>
      </c>
      <c r="AF105" t="s">
        <v>46</v>
      </c>
      <c r="AG105" t="s">
        <v>36</v>
      </c>
      <c r="AH105" t="s">
        <v>40</v>
      </c>
      <c r="AI105" t="s">
        <v>40</v>
      </c>
      <c r="AJ105" t="s">
        <v>40</v>
      </c>
    </row>
    <row r="106" spans="1:36" x14ac:dyDescent="0.25">
      <c r="A106" t="s">
        <v>34</v>
      </c>
      <c r="B106" t="s">
        <v>233</v>
      </c>
      <c r="C106" t="s">
        <v>36</v>
      </c>
      <c r="D106" t="s">
        <v>156</v>
      </c>
      <c r="E106" t="s">
        <v>53</v>
      </c>
      <c r="F106" t="s">
        <v>39</v>
      </c>
      <c r="G106" s="1"/>
      <c r="H106" t="s">
        <v>40</v>
      </c>
      <c r="I106" s="1"/>
      <c r="J106" t="s">
        <v>40</v>
      </c>
      <c r="K106" s="2">
        <v>0</v>
      </c>
      <c r="L106" t="s">
        <v>40</v>
      </c>
      <c r="M106" s="2">
        <f>Table1[[#This Row],[Quantity]]*Table1[[#This Row],[Proposed Unit Price]]</f>
        <v>0</v>
      </c>
      <c r="N106" t="s">
        <v>40</v>
      </c>
      <c r="O106" s="1">
        <v>0</v>
      </c>
      <c r="P106" t="s">
        <v>40</v>
      </c>
      <c r="Q106" s="6">
        <v>46266</v>
      </c>
      <c r="R106" s="6">
        <v>46630</v>
      </c>
      <c r="S106" t="s">
        <v>188</v>
      </c>
      <c r="T106" t="s">
        <v>155</v>
      </c>
      <c r="U106" t="s">
        <v>35</v>
      </c>
      <c r="V106" t="s">
        <v>42</v>
      </c>
      <c r="W106" t="s">
        <v>43</v>
      </c>
      <c r="X106" t="s">
        <v>36</v>
      </c>
      <c r="Y106" t="s">
        <v>36</v>
      </c>
      <c r="Z106" t="s">
        <v>36</v>
      </c>
      <c r="AA106" t="s">
        <v>36</v>
      </c>
      <c r="AB106" t="s">
        <v>44</v>
      </c>
      <c r="AC106" t="s">
        <v>45</v>
      </c>
      <c r="AD106" t="s">
        <v>233</v>
      </c>
      <c r="AE106" t="s">
        <v>46</v>
      </c>
      <c r="AF106" t="s">
        <v>46</v>
      </c>
      <c r="AG106" t="s">
        <v>36</v>
      </c>
      <c r="AH106" t="s">
        <v>40</v>
      </c>
      <c r="AI106" t="s">
        <v>40</v>
      </c>
      <c r="AJ106" t="s">
        <v>40</v>
      </c>
    </row>
    <row r="107" spans="1:36" x14ac:dyDescent="0.25">
      <c r="A107" t="s">
        <v>34</v>
      </c>
      <c r="B107" t="s">
        <v>234</v>
      </c>
      <c r="C107" t="s">
        <v>36</v>
      </c>
      <c r="D107" t="s">
        <v>158</v>
      </c>
      <c r="E107" t="s">
        <v>35</v>
      </c>
      <c r="F107" t="s">
        <v>39</v>
      </c>
      <c r="G107" s="1"/>
      <c r="H107" t="s">
        <v>40</v>
      </c>
      <c r="I107" s="1"/>
      <c r="J107" t="s">
        <v>40</v>
      </c>
      <c r="K107" s="2">
        <v>0</v>
      </c>
      <c r="L107" t="s">
        <v>40</v>
      </c>
      <c r="M107" s="2">
        <f>Table1[[#This Row],[Quantity]]*Table1[[#This Row],[Proposed Unit Price]]</f>
        <v>0</v>
      </c>
      <c r="N107" t="s">
        <v>40</v>
      </c>
      <c r="O107" s="1">
        <v>0</v>
      </c>
      <c r="P107" t="s">
        <v>40</v>
      </c>
      <c r="Q107" s="6">
        <v>46266</v>
      </c>
      <c r="R107" s="6">
        <v>46630</v>
      </c>
      <c r="S107" t="s">
        <v>188</v>
      </c>
      <c r="T107" t="s">
        <v>157</v>
      </c>
      <c r="U107" t="s">
        <v>35</v>
      </c>
      <c r="V107" t="s">
        <v>83</v>
      </c>
      <c r="W107" t="s">
        <v>84</v>
      </c>
      <c r="X107" t="s">
        <v>36</v>
      </c>
      <c r="Y107" t="s">
        <v>36</v>
      </c>
      <c r="Z107" t="s">
        <v>36</v>
      </c>
      <c r="AA107" t="s">
        <v>36</v>
      </c>
      <c r="AB107" t="s">
        <v>44</v>
      </c>
      <c r="AC107" t="s">
        <v>45</v>
      </c>
      <c r="AD107" t="s">
        <v>234</v>
      </c>
      <c r="AE107" t="s">
        <v>46</v>
      </c>
      <c r="AF107" t="s">
        <v>46</v>
      </c>
      <c r="AG107" t="s">
        <v>36</v>
      </c>
      <c r="AH107" t="s">
        <v>40</v>
      </c>
      <c r="AI107" t="s">
        <v>40</v>
      </c>
      <c r="AJ107" t="s">
        <v>40</v>
      </c>
    </row>
    <row r="108" spans="1:36" x14ac:dyDescent="0.25">
      <c r="A108" t="s">
        <v>34</v>
      </c>
      <c r="B108" t="s">
        <v>235</v>
      </c>
      <c r="C108" t="s">
        <v>36</v>
      </c>
      <c r="D108" t="s">
        <v>160</v>
      </c>
      <c r="E108" t="s">
        <v>35</v>
      </c>
      <c r="F108" t="s">
        <v>39</v>
      </c>
      <c r="G108" s="1"/>
      <c r="H108" t="s">
        <v>40</v>
      </c>
      <c r="I108" s="1"/>
      <c r="J108" t="s">
        <v>40</v>
      </c>
      <c r="K108" s="2">
        <v>0</v>
      </c>
      <c r="L108" t="s">
        <v>40</v>
      </c>
      <c r="M108" s="2">
        <f>Table1[[#This Row],[Quantity]]*Table1[[#This Row],[Proposed Unit Price]]</f>
        <v>0</v>
      </c>
      <c r="N108" t="s">
        <v>40</v>
      </c>
      <c r="O108" s="1">
        <v>0</v>
      </c>
      <c r="P108" t="s">
        <v>40</v>
      </c>
      <c r="Q108" s="6">
        <v>46266</v>
      </c>
      <c r="R108" s="6">
        <v>46630</v>
      </c>
      <c r="S108" t="s">
        <v>188</v>
      </c>
      <c r="T108" t="s">
        <v>159</v>
      </c>
      <c r="U108" t="s">
        <v>35</v>
      </c>
      <c r="V108" t="s">
        <v>83</v>
      </c>
      <c r="W108" t="s">
        <v>84</v>
      </c>
      <c r="X108" t="s">
        <v>36</v>
      </c>
      <c r="Y108" t="s">
        <v>36</v>
      </c>
      <c r="Z108" t="s">
        <v>36</v>
      </c>
      <c r="AA108" t="s">
        <v>36</v>
      </c>
      <c r="AB108" t="s">
        <v>44</v>
      </c>
      <c r="AC108" t="s">
        <v>45</v>
      </c>
      <c r="AD108" t="s">
        <v>235</v>
      </c>
      <c r="AE108" t="s">
        <v>46</v>
      </c>
      <c r="AF108" t="s">
        <v>46</v>
      </c>
      <c r="AG108" t="s">
        <v>36</v>
      </c>
      <c r="AH108" t="s">
        <v>40</v>
      </c>
      <c r="AI108" t="s">
        <v>40</v>
      </c>
      <c r="AJ108" t="s">
        <v>40</v>
      </c>
    </row>
    <row r="109" spans="1:36" x14ac:dyDescent="0.25">
      <c r="A109" t="s">
        <v>34</v>
      </c>
      <c r="B109" t="s">
        <v>236</v>
      </c>
      <c r="C109" t="s">
        <v>36</v>
      </c>
      <c r="D109" t="s">
        <v>162</v>
      </c>
      <c r="E109" t="s">
        <v>163</v>
      </c>
      <c r="F109" t="s">
        <v>96</v>
      </c>
      <c r="G109" s="1"/>
      <c r="H109" t="s">
        <v>40</v>
      </c>
      <c r="I109" s="1"/>
      <c r="J109" t="s">
        <v>40</v>
      </c>
      <c r="K109" s="2">
        <v>0</v>
      </c>
      <c r="L109" t="s">
        <v>40</v>
      </c>
      <c r="M109" s="2">
        <f>Table1[[#This Row],[Quantity]]*Table1[[#This Row],[Proposed Unit Price]]</f>
        <v>0</v>
      </c>
      <c r="N109" t="s">
        <v>40</v>
      </c>
      <c r="O109" s="1">
        <v>0</v>
      </c>
      <c r="P109" t="s">
        <v>40</v>
      </c>
      <c r="Q109" s="6">
        <v>46266</v>
      </c>
      <c r="R109" s="6">
        <v>46630</v>
      </c>
      <c r="S109" t="s">
        <v>188</v>
      </c>
      <c r="T109" t="s">
        <v>161</v>
      </c>
      <c r="U109" t="s">
        <v>35</v>
      </c>
      <c r="V109" t="s">
        <v>42</v>
      </c>
      <c r="W109" t="s">
        <v>43</v>
      </c>
      <c r="X109" t="s">
        <v>36</v>
      </c>
      <c r="Y109" t="s">
        <v>36</v>
      </c>
      <c r="Z109" t="s">
        <v>36</v>
      </c>
      <c r="AA109" t="s">
        <v>36</v>
      </c>
      <c r="AB109" t="s">
        <v>44</v>
      </c>
      <c r="AC109" t="s">
        <v>45</v>
      </c>
      <c r="AD109" t="s">
        <v>236</v>
      </c>
      <c r="AE109" t="s">
        <v>46</v>
      </c>
      <c r="AF109" t="s">
        <v>46</v>
      </c>
      <c r="AG109" t="s">
        <v>36</v>
      </c>
      <c r="AH109" t="s">
        <v>40</v>
      </c>
      <c r="AI109" t="s">
        <v>40</v>
      </c>
      <c r="AJ109" t="s">
        <v>40</v>
      </c>
    </row>
    <row r="110" spans="1:36" x14ac:dyDescent="0.25">
      <c r="A110" t="s">
        <v>34</v>
      </c>
      <c r="B110" t="s">
        <v>237</v>
      </c>
      <c r="C110" t="s">
        <v>36</v>
      </c>
      <c r="D110" t="s">
        <v>165</v>
      </c>
      <c r="E110" t="s">
        <v>99</v>
      </c>
      <c r="F110" t="s">
        <v>64</v>
      </c>
      <c r="G110" s="1"/>
      <c r="H110" t="s">
        <v>40</v>
      </c>
      <c r="I110" s="1"/>
      <c r="J110" t="s">
        <v>40</v>
      </c>
      <c r="K110" s="2">
        <v>0</v>
      </c>
      <c r="L110" t="s">
        <v>40</v>
      </c>
      <c r="M110" s="2">
        <f>Table1[[#This Row],[Quantity]]*Table1[[#This Row],[Proposed Unit Price]]</f>
        <v>0</v>
      </c>
      <c r="N110" t="s">
        <v>40</v>
      </c>
      <c r="O110" s="1">
        <v>0</v>
      </c>
      <c r="P110" t="s">
        <v>40</v>
      </c>
      <c r="Q110" s="6">
        <v>46266</v>
      </c>
      <c r="R110" s="6">
        <v>46630</v>
      </c>
      <c r="S110" t="s">
        <v>188</v>
      </c>
      <c r="T110" t="s">
        <v>164</v>
      </c>
      <c r="U110" t="s">
        <v>35</v>
      </c>
      <c r="V110" t="s">
        <v>42</v>
      </c>
      <c r="W110" t="s">
        <v>43</v>
      </c>
      <c r="X110" t="s">
        <v>36</v>
      </c>
      <c r="Y110" t="s">
        <v>36</v>
      </c>
      <c r="Z110" t="s">
        <v>36</v>
      </c>
      <c r="AA110" t="s">
        <v>36</v>
      </c>
      <c r="AB110" t="s">
        <v>44</v>
      </c>
      <c r="AC110" t="s">
        <v>45</v>
      </c>
      <c r="AD110" t="s">
        <v>237</v>
      </c>
      <c r="AE110" t="s">
        <v>46</v>
      </c>
      <c r="AF110" t="s">
        <v>46</v>
      </c>
      <c r="AG110" t="s">
        <v>36</v>
      </c>
      <c r="AH110" t="s">
        <v>40</v>
      </c>
      <c r="AI110" t="s">
        <v>40</v>
      </c>
      <c r="AJ110" t="s">
        <v>40</v>
      </c>
    </row>
    <row r="111" spans="1:36" x14ac:dyDescent="0.25">
      <c r="A111" t="s">
        <v>34</v>
      </c>
      <c r="B111" t="s">
        <v>238</v>
      </c>
      <c r="C111" t="s">
        <v>36</v>
      </c>
      <c r="D111" t="s">
        <v>167</v>
      </c>
      <c r="E111" t="s">
        <v>63</v>
      </c>
      <c r="F111" t="s">
        <v>64</v>
      </c>
      <c r="G111" s="1"/>
      <c r="H111" t="s">
        <v>40</v>
      </c>
      <c r="I111" s="1"/>
      <c r="J111" t="s">
        <v>40</v>
      </c>
      <c r="K111" s="2">
        <v>0</v>
      </c>
      <c r="L111" t="s">
        <v>40</v>
      </c>
      <c r="M111" s="2">
        <f>Table1[[#This Row],[Quantity]]*Table1[[#This Row],[Proposed Unit Price]]</f>
        <v>0</v>
      </c>
      <c r="N111" t="s">
        <v>40</v>
      </c>
      <c r="O111" s="1">
        <v>0</v>
      </c>
      <c r="P111" t="s">
        <v>40</v>
      </c>
      <c r="Q111" s="6">
        <v>46266</v>
      </c>
      <c r="R111" s="6">
        <v>46630</v>
      </c>
      <c r="S111" t="s">
        <v>188</v>
      </c>
      <c r="T111" t="s">
        <v>166</v>
      </c>
      <c r="U111" t="s">
        <v>35</v>
      </c>
      <c r="V111" t="s">
        <v>42</v>
      </c>
      <c r="W111" t="s">
        <v>43</v>
      </c>
      <c r="X111" t="s">
        <v>36</v>
      </c>
      <c r="Y111" t="s">
        <v>36</v>
      </c>
      <c r="Z111" t="s">
        <v>36</v>
      </c>
      <c r="AA111" t="s">
        <v>36</v>
      </c>
      <c r="AB111" t="s">
        <v>44</v>
      </c>
      <c r="AC111" t="s">
        <v>45</v>
      </c>
      <c r="AD111" t="s">
        <v>238</v>
      </c>
      <c r="AE111" t="s">
        <v>46</v>
      </c>
      <c r="AF111" t="s">
        <v>46</v>
      </c>
      <c r="AG111" t="s">
        <v>36</v>
      </c>
      <c r="AH111" t="s">
        <v>40</v>
      </c>
      <c r="AI111" t="s">
        <v>40</v>
      </c>
      <c r="AJ111" t="s">
        <v>40</v>
      </c>
    </row>
    <row r="112" spans="1:36" x14ac:dyDescent="0.25">
      <c r="A112" t="s">
        <v>34</v>
      </c>
      <c r="B112" t="s">
        <v>239</v>
      </c>
      <c r="C112" t="s">
        <v>36</v>
      </c>
      <c r="D112" t="s">
        <v>168</v>
      </c>
      <c r="E112" t="s">
        <v>58</v>
      </c>
      <c r="F112" t="s">
        <v>87</v>
      </c>
      <c r="G112" s="1"/>
      <c r="H112" t="s">
        <v>40</v>
      </c>
      <c r="I112" s="1"/>
      <c r="J112" t="s">
        <v>40</v>
      </c>
      <c r="K112" s="2">
        <v>0</v>
      </c>
      <c r="L112" t="s">
        <v>40</v>
      </c>
      <c r="M112" s="2">
        <f>Table1[[#This Row],[Quantity]]*Table1[[#This Row],[Proposed Unit Price]]</f>
        <v>0</v>
      </c>
      <c r="N112" t="s">
        <v>40</v>
      </c>
      <c r="O112" s="1">
        <v>0</v>
      </c>
      <c r="P112" t="s">
        <v>40</v>
      </c>
      <c r="Q112" s="6">
        <v>46266</v>
      </c>
      <c r="R112" s="6">
        <v>46630</v>
      </c>
      <c r="S112" t="s">
        <v>188</v>
      </c>
      <c r="T112" t="s">
        <v>133</v>
      </c>
      <c r="U112" t="s">
        <v>35</v>
      </c>
      <c r="V112" t="s">
        <v>42</v>
      </c>
      <c r="W112" t="s">
        <v>43</v>
      </c>
      <c r="X112" t="s">
        <v>36</v>
      </c>
      <c r="Y112" t="s">
        <v>36</v>
      </c>
      <c r="Z112" t="s">
        <v>36</v>
      </c>
      <c r="AA112" t="s">
        <v>36</v>
      </c>
      <c r="AB112" t="s">
        <v>44</v>
      </c>
      <c r="AC112" t="s">
        <v>45</v>
      </c>
      <c r="AD112" t="s">
        <v>239</v>
      </c>
      <c r="AE112" t="s">
        <v>46</v>
      </c>
      <c r="AF112" t="s">
        <v>46</v>
      </c>
      <c r="AG112" t="s">
        <v>36</v>
      </c>
      <c r="AH112" t="s">
        <v>40</v>
      </c>
      <c r="AI112" t="s">
        <v>40</v>
      </c>
      <c r="AJ112" t="s">
        <v>40</v>
      </c>
    </row>
    <row r="113" spans="1:36" x14ac:dyDescent="0.25">
      <c r="A113" t="s">
        <v>34</v>
      </c>
      <c r="B113" t="s">
        <v>240</v>
      </c>
      <c r="C113" t="s">
        <v>36</v>
      </c>
      <c r="D113" t="s">
        <v>170</v>
      </c>
      <c r="E113" t="s">
        <v>47</v>
      </c>
      <c r="F113" t="s">
        <v>39</v>
      </c>
      <c r="G113" s="1"/>
      <c r="H113" t="s">
        <v>40</v>
      </c>
      <c r="I113" s="1"/>
      <c r="J113" t="s">
        <v>40</v>
      </c>
      <c r="K113" s="2">
        <v>0</v>
      </c>
      <c r="L113" t="s">
        <v>40</v>
      </c>
      <c r="M113" s="2">
        <f>Table1[[#This Row],[Quantity]]*Table1[[#This Row],[Proposed Unit Price]]</f>
        <v>0</v>
      </c>
      <c r="N113" t="s">
        <v>40</v>
      </c>
      <c r="O113" s="1">
        <v>0</v>
      </c>
      <c r="P113" t="s">
        <v>40</v>
      </c>
      <c r="Q113" s="6">
        <v>46266</v>
      </c>
      <c r="R113" s="6">
        <v>46630</v>
      </c>
      <c r="S113" t="s">
        <v>188</v>
      </c>
      <c r="T113" t="s">
        <v>169</v>
      </c>
      <c r="U113" t="s">
        <v>35</v>
      </c>
      <c r="V113" t="s">
        <v>42</v>
      </c>
      <c r="W113" t="s">
        <v>43</v>
      </c>
      <c r="X113" t="s">
        <v>36</v>
      </c>
      <c r="Y113" t="s">
        <v>36</v>
      </c>
      <c r="Z113" t="s">
        <v>36</v>
      </c>
      <c r="AA113" t="s">
        <v>36</v>
      </c>
      <c r="AB113" t="s">
        <v>44</v>
      </c>
      <c r="AC113" t="s">
        <v>45</v>
      </c>
      <c r="AD113" t="s">
        <v>240</v>
      </c>
      <c r="AE113" t="s">
        <v>46</v>
      </c>
      <c r="AF113" t="s">
        <v>46</v>
      </c>
      <c r="AG113" t="s">
        <v>36</v>
      </c>
      <c r="AH113" t="s">
        <v>40</v>
      </c>
      <c r="AI113" t="s">
        <v>40</v>
      </c>
      <c r="AJ113" t="s">
        <v>40</v>
      </c>
    </row>
    <row r="114" spans="1:36" x14ac:dyDescent="0.25">
      <c r="A114" t="s">
        <v>34</v>
      </c>
      <c r="B114" t="s">
        <v>241</v>
      </c>
      <c r="C114" t="s">
        <v>36</v>
      </c>
      <c r="D114" t="s">
        <v>172</v>
      </c>
      <c r="E114" t="s">
        <v>106</v>
      </c>
      <c r="F114" t="s">
        <v>87</v>
      </c>
      <c r="G114" s="1"/>
      <c r="H114" t="s">
        <v>40</v>
      </c>
      <c r="I114" s="1"/>
      <c r="J114" t="s">
        <v>40</v>
      </c>
      <c r="K114" s="2">
        <v>0</v>
      </c>
      <c r="L114" t="s">
        <v>40</v>
      </c>
      <c r="M114" s="2">
        <f>Table1[[#This Row],[Quantity]]*Table1[[#This Row],[Proposed Unit Price]]</f>
        <v>0</v>
      </c>
      <c r="N114" t="s">
        <v>40</v>
      </c>
      <c r="O114" s="1">
        <v>0</v>
      </c>
      <c r="P114" t="s">
        <v>40</v>
      </c>
      <c r="Q114" s="6">
        <v>46266</v>
      </c>
      <c r="R114" s="6">
        <v>46630</v>
      </c>
      <c r="S114" t="s">
        <v>188</v>
      </c>
      <c r="T114" t="s">
        <v>171</v>
      </c>
      <c r="U114" t="s">
        <v>35</v>
      </c>
      <c r="V114" t="s">
        <v>42</v>
      </c>
      <c r="W114" t="s">
        <v>43</v>
      </c>
      <c r="X114" t="s">
        <v>36</v>
      </c>
      <c r="Y114" t="s">
        <v>36</v>
      </c>
      <c r="Z114" t="s">
        <v>36</v>
      </c>
      <c r="AA114" t="s">
        <v>36</v>
      </c>
      <c r="AB114" t="s">
        <v>44</v>
      </c>
      <c r="AC114" t="s">
        <v>45</v>
      </c>
      <c r="AD114" t="s">
        <v>241</v>
      </c>
      <c r="AE114" t="s">
        <v>46</v>
      </c>
      <c r="AF114" t="s">
        <v>46</v>
      </c>
      <c r="AG114" t="s">
        <v>36</v>
      </c>
      <c r="AH114" t="s">
        <v>40</v>
      </c>
      <c r="AI114" t="s">
        <v>40</v>
      </c>
      <c r="AJ114" t="s">
        <v>40</v>
      </c>
    </row>
    <row r="115" spans="1:36" x14ac:dyDescent="0.25">
      <c r="A115" t="s">
        <v>34</v>
      </c>
      <c r="B115" t="s">
        <v>242</v>
      </c>
      <c r="C115" t="s">
        <v>36</v>
      </c>
      <c r="D115" t="s">
        <v>174</v>
      </c>
      <c r="E115" t="s">
        <v>110</v>
      </c>
      <c r="F115" t="s">
        <v>64</v>
      </c>
      <c r="G115" s="1"/>
      <c r="H115" t="s">
        <v>40</v>
      </c>
      <c r="I115" s="1"/>
      <c r="J115" t="s">
        <v>40</v>
      </c>
      <c r="K115" s="2">
        <v>0</v>
      </c>
      <c r="L115" t="s">
        <v>40</v>
      </c>
      <c r="M115" s="2">
        <f>Table1[[#This Row],[Quantity]]*Table1[[#This Row],[Proposed Unit Price]]</f>
        <v>0</v>
      </c>
      <c r="N115" t="s">
        <v>40</v>
      </c>
      <c r="O115" s="1">
        <v>0</v>
      </c>
      <c r="P115" t="s">
        <v>40</v>
      </c>
      <c r="Q115" s="6">
        <v>46266</v>
      </c>
      <c r="R115" s="6">
        <v>46630</v>
      </c>
      <c r="S115" t="s">
        <v>188</v>
      </c>
      <c r="T115" t="s">
        <v>173</v>
      </c>
      <c r="U115" t="s">
        <v>35</v>
      </c>
      <c r="V115" t="s">
        <v>42</v>
      </c>
      <c r="W115" t="s">
        <v>43</v>
      </c>
      <c r="X115" t="s">
        <v>36</v>
      </c>
      <c r="Y115" t="s">
        <v>36</v>
      </c>
      <c r="Z115" t="s">
        <v>36</v>
      </c>
      <c r="AA115" t="s">
        <v>36</v>
      </c>
      <c r="AB115" t="s">
        <v>44</v>
      </c>
      <c r="AC115" t="s">
        <v>45</v>
      </c>
      <c r="AD115" t="s">
        <v>242</v>
      </c>
      <c r="AE115" t="s">
        <v>46</v>
      </c>
      <c r="AF115" t="s">
        <v>46</v>
      </c>
      <c r="AG115" t="s">
        <v>36</v>
      </c>
      <c r="AH115" t="s">
        <v>40</v>
      </c>
      <c r="AI115" t="s">
        <v>40</v>
      </c>
      <c r="AJ115" t="s">
        <v>40</v>
      </c>
    </row>
    <row r="116" spans="1:36" x14ac:dyDescent="0.25">
      <c r="A116" t="s">
        <v>34</v>
      </c>
      <c r="B116" t="s">
        <v>243</v>
      </c>
      <c r="C116" t="s">
        <v>36</v>
      </c>
      <c r="D116" t="s">
        <v>176</v>
      </c>
      <c r="E116" t="s">
        <v>177</v>
      </c>
      <c r="F116" t="s">
        <v>39</v>
      </c>
      <c r="G116" s="1"/>
      <c r="H116" t="s">
        <v>40</v>
      </c>
      <c r="I116" s="1"/>
      <c r="J116" t="s">
        <v>40</v>
      </c>
      <c r="K116" s="2">
        <v>0</v>
      </c>
      <c r="L116" t="s">
        <v>40</v>
      </c>
      <c r="M116" s="2">
        <f>Table1[[#This Row],[Quantity]]*Table1[[#This Row],[Proposed Unit Price]]</f>
        <v>0</v>
      </c>
      <c r="N116" t="s">
        <v>40</v>
      </c>
      <c r="O116" s="1">
        <v>0</v>
      </c>
      <c r="P116" t="s">
        <v>40</v>
      </c>
      <c r="Q116" s="6">
        <v>46266</v>
      </c>
      <c r="R116" s="6">
        <v>46630</v>
      </c>
      <c r="S116" t="s">
        <v>188</v>
      </c>
      <c r="T116" t="s">
        <v>175</v>
      </c>
      <c r="U116" t="s">
        <v>35</v>
      </c>
      <c r="V116" t="s">
        <v>42</v>
      </c>
      <c r="W116" t="s">
        <v>43</v>
      </c>
      <c r="X116" t="s">
        <v>36</v>
      </c>
      <c r="Y116" t="s">
        <v>36</v>
      </c>
      <c r="Z116" t="s">
        <v>36</v>
      </c>
      <c r="AA116" t="s">
        <v>36</v>
      </c>
      <c r="AB116" t="s">
        <v>44</v>
      </c>
      <c r="AC116" t="s">
        <v>45</v>
      </c>
      <c r="AD116" t="s">
        <v>243</v>
      </c>
      <c r="AE116" t="s">
        <v>46</v>
      </c>
      <c r="AF116" t="s">
        <v>46</v>
      </c>
      <c r="AG116" t="s">
        <v>36</v>
      </c>
      <c r="AH116" t="s">
        <v>40</v>
      </c>
      <c r="AI116" t="s">
        <v>40</v>
      </c>
      <c r="AJ116" t="s">
        <v>40</v>
      </c>
    </row>
    <row r="117" spans="1:36" x14ac:dyDescent="0.25">
      <c r="A117" t="s">
        <v>34</v>
      </c>
      <c r="B117" t="s">
        <v>244</v>
      </c>
      <c r="C117" t="s">
        <v>36</v>
      </c>
      <c r="D117" t="s">
        <v>179</v>
      </c>
      <c r="E117" t="s">
        <v>177</v>
      </c>
      <c r="F117" t="s">
        <v>39</v>
      </c>
      <c r="G117" s="1"/>
      <c r="H117" t="s">
        <v>40</v>
      </c>
      <c r="I117" s="1"/>
      <c r="J117" t="s">
        <v>40</v>
      </c>
      <c r="K117" s="2">
        <v>0</v>
      </c>
      <c r="L117" t="s">
        <v>40</v>
      </c>
      <c r="M117" s="2">
        <f>Table1[[#This Row],[Quantity]]*Table1[[#This Row],[Proposed Unit Price]]</f>
        <v>0</v>
      </c>
      <c r="N117" t="s">
        <v>40</v>
      </c>
      <c r="O117" s="1">
        <v>0</v>
      </c>
      <c r="P117" t="s">
        <v>40</v>
      </c>
      <c r="Q117" s="6">
        <v>46266</v>
      </c>
      <c r="R117" s="6">
        <v>46630</v>
      </c>
      <c r="S117" t="s">
        <v>188</v>
      </c>
      <c r="T117" t="s">
        <v>178</v>
      </c>
      <c r="U117" t="s">
        <v>35</v>
      </c>
      <c r="V117" t="s">
        <v>42</v>
      </c>
      <c r="W117" t="s">
        <v>43</v>
      </c>
      <c r="X117" t="s">
        <v>36</v>
      </c>
      <c r="Y117" t="s">
        <v>36</v>
      </c>
      <c r="Z117" t="s">
        <v>36</v>
      </c>
      <c r="AA117" t="s">
        <v>36</v>
      </c>
      <c r="AB117" t="s">
        <v>44</v>
      </c>
      <c r="AC117" t="s">
        <v>45</v>
      </c>
      <c r="AD117" t="s">
        <v>244</v>
      </c>
      <c r="AE117" t="s">
        <v>46</v>
      </c>
      <c r="AF117" t="s">
        <v>46</v>
      </c>
      <c r="AG117" t="s">
        <v>36</v>
      </c>
      <c r="AH117" t="s">
        <v>40</v>
      </c>
      <c r="AI117" t="s">
        <v>40</v>
      </c>
      <c r="AJ117" t="s">
        <v>40</v>
      </c>
    </row>
    <row r="118" spans="1:36" x14ac:dyDescent="0.25">
      <c r="A118" t="s">
        <v>34</v>
      </c>
      <c r="B118" t="s">
        <v>245</v>
      </c>
      <c r="C118" t="s">
        <v>36</v>
      </c>
      <c r="D118" t="s">
        <v>246</v>
      </c>
      <c r="E118" t="s">
        <v>182</v>
      </c>
      <c r="F118" t="s">
        <v>39</v>
      </c>
      <c r="G118" s="1"/>
      <c r="H118" t="s">
        <v>40</v>
      </c>
      <c r="I118" s="1"/>
      <c r="J118" t="s">
        <v>40</v>
      </c>
      <c r="K118" s="2">
        <v>0</v>
      </c>
      <c r="L118" t="s">
        <v>40</v>
      </c>
      <c r="M118" s="2">
        <f>Table1[[#This Row],[Quantity]]*Table1[[#This Row],[Proposed Unit Price]]</f>
        <v>0</v>
      </c>
      <c r="N118" t="s">
        <v>40</v>
      </c>
      <c r="O118" s="1">
        <v>0</v>
      </c>
      <c r="P118" t="s">
        <v>40</v>
      </c>
      <c r="Q118" s="6">
        <v>46266</v>
      </c>
      <c r="R118" s="6">
        <v>46630</v>
      </c>
      <c r="S118" t="s">
        <v>188</v>
      </c>
      <c r="T118" t="s">
        <v>180</v>
      </c>
      <c r="U118" t="s">
        <v>35</v>
      </c>
      <c r="V118" t="s">
        <v>42</v>
      </c>
      <c r="W118" t="s">
        <v>43</v>
      </c>
      <c r="X118" t="s">
        <v>36</v>
      </c>
      <c r="Y118" t="s">
        <v>36</v>
      </c>
      <c r="Z118" t="s">
        <v>36</v>
      </c>
      <c r="AA118" t="s">
        <v>36</v>
      </c>
      <c r="AB118" t="s">
        <v>44</v>
      </c>
      <c r="AC118" t="s">
        <v>45</v>
      </c>
      <c r="AD118" t="s">
        <v>245</v>
      </c>
      <c r="AE118" t="s">
        <v>46</v>
      </c>
      <c r="AF118" t="s">
        <v>46</v>
      </c>
      <c r="AG118" t="s">
        <v>36</v>
      </c>
      <c r="AH118" t="s">
        <v>40</v>
      </c>
      <c r="AI118" t="s">
        <v>40</v>
      </c>
      <c r="AJ118" t="s">
        <v>40</v>
      </c>
    </row>
    <row r="119" spans="1:36" x14ac:dyDescent="0.25">
      <c r="A119" t="s">
        <v>34</v>
      </c>
      <c r="B119" t="s">
        <v>247</v>
      </c>
      <c r="C119" t="s">
        <v>36</v>
      </c>
      <c r="D119" t="s">
        <v>184</v>
      </c>
      <c r="E119" t="s">
        <v>65</v>
      </c>
      <c r="F119" t="s">
        <v>39</v>
      </c>
      <c r="G119" s="1"/>
      <c r="H119" t="s">
        <v>40</v>
      </c>
      <c r="I119" s="1"/>
      <c r="J119" t="s">
        <v>40</v>
      </c>
      <c r="K119" s="2">
        <v>0</v>
      </c>
      <c r="L119" t="s">
        <v>40</v>
      </c>
      <c r="M119" s="2">
        <f>Table1[[#This Row],[Quantity]]*Table1[[#This Row],[Proposed Unit Price]]</f>
        <v>0</v>
      </c>
      <c r="N119" t="s">
        <v>40</v>
      </c>
      <c r="O119" s="1">
        <v>0</v>
      </c>
      <c r="P119" t="s">
        <v>40</v>
      </c>
      <c r="Q119" s="6">
        <v>46266</v>
      </c>
      <c r="R119" s="6">
        <v>46630</v>
      </c>
      <c r="S119" t="s">
        <v>188</v>
      </c>
      <c r="T119" t="s">
        <v>183</v>
      </c>
      <c r="U119" t="s">
        <v>35</v>
      </c>
      <c r="V119" t="s">
        <v>42</v>
      </c>
      <c r="W119" t="s">
        <v>43</v>
      </c>
      <c r="X119" t="s">
        <v>36</v>
      </c>
      <c r="Y119" t="s">
        <v>36</v>
      </c>
      <c r="Z119" t="s">
        <v>36</v>
      </c>
      <c r="AA119" t="s">
        <v>36</v>
      </c>
      <c r="AB119" t="s">
        <v>44</v>
      </c>
      <c r="AC119" t="s">
        <v>45</v>
      </c>
      <c r="AD119" t="s">
        <v>247</v>
      </c>
      <c r="AE119" t="s">
        <v>46</v>
      </c>
      <c r="AF119" t="s">
        <v>46</v>
      </c>
      <c r="AG119" t="s">
        <v>36</v>
      </c>
      <c r="AH119" t="s">
        <v>40</v>
      </c>
      <c r="AI119" t="s">
        <v>40</v>
      </c>
      <c r="AJ119" t="s">
        <v>40</v>
      </c>
    </row>
    <row r="120" spans="1:36" x14ac:dyDescent="0.25">
      <c r="A120" t="s">
        <v>34</v>
      </c>
      <c r="B120" t="s">
        <v>248</v>
      </c>
      <c r="C120" t="s">
        <v>36</v>
      </c>
      <c r="D120" t="s">
        <v>186</v>
      </c>
      <c r="E120" t="s">
        <v>67</v>
      </c>
      <c r="F120" t="s">
        <v>87</v>
      </c>
      <c r="G120" s="1"/>
      <c r="H120" t="s">
        <v>40</v>
      </c>
      <c r="I120" s="1"/>
      <c r="J120" t="s">
        <v>40</v>
      </c>
      <c r="K120" s="2">
        <v>0</v>
      </c>
      <c r="L120" t="s">
        <v>40</v>
      </c>
      <c r="M120" s="2">
        <f>Table1[[#This Row],[Quantity]]*Table1[[#This Row],[Proposed Unit Price]]</f>
        <v>0</v>
      </c>
      <c r="N120" t="s">
        <v>40</v>
      </c>
      <c r="O120" s="1">
        <v>0</v>
      </c>
      <c r="P120" t="s">
        <v>40</v>
      </c>
      <c r="Q120" s="6">
        <v>46266</v>
      </c>
      <c r="R120" s="6">
        <v>46630</v>
      </c>
      <c r="S120" t="s">
        <v>188</v>
      </c>
      <c r="T120" t="s">
        <v>185</v>
      </c>
      <c r="U120" t="s">
        <v>35</v>
      </c>
      <c r="V120" t="s">
        <v>42</v>
      </c>
      <c r="W120" t="s">
        <v>43</v>
      </c>
      <c r="X120" t="s">
        <v>36</v>
      </c>
      <c r="Y120" t="s">
        <v>36</v>
      </c>
      <c r="Z120" t="s">
        <v>36</v>
      </c>
      <c r="AA120" t="s">
        <v>36</v>
      </c>
      <c r="AB120" t="s">
        <v>44</v>
      </c>
      <c r="AC120" t="s">
        <v>45</v>
      </c>
      <c r="AD120" t="s">
        <v>248</v>
      </c>
      <c r="AE120" t="s">
        <v>46</v>
      </c>
      <c r="AF120" t="s">
        <v>46</v>
      </c>
      <c r="AG120" t="s">
        <v>36</v>
      </c>
      <c r="AH120" t="s">
        <v>40</v>
      </c>
      <c r="AI120" t="s">
        <v>40</v>
      </c>
      <c r="AJ120" t="s">
        <v>40</v>
      </c>
    </row>
    <row r="121" spans="1:36" x14ac:dyDescent="0.25">
      <c r="G121" s="1"/>
      <c r="I121" s="1"/>
      <c r="K121" s="2"/>
      <c r="M121" s="2">
        <f>SUM(M63:M120)</f>
        <v>0</v>
      </c>
      <c r="O121" s="1"/>
    </row>
    <row r="122" spans="1:36" x14ac:dyDescent="0.25">
      <c r="G122" s="1"/>
      <c r="I122" s="1"/>
      <c r="K122" s="2"/>
      <c r="M122" s="2"/>
      <c r="O122" s="1"/>
    </row>
    <row r="123" spans="1:36" x14ac:dyDescent="0.25">
      <c r="G123" s="1"/>
      <c r="I123" s="1"/>
      <c r="K123" s="2"/>
      <c r="M123" s="2"/>
      <c r="O123" s="1"/>
    </row>
    <row r="124" spans="1:36" x14ac:dyDescent="0.25">
      <c r="A124" t="s">
        <v>34</v>
      </c>
      <c r="B124" t="s">
        <v>249</v>
      </c>
      <c r="C124" t="s">
        <v>36</v>
      </c>
      <c r="D124" t="s">
        <v>37</v>
      </c>
      <c r="E124" t="s">
        <v>38</v>
      </c>
      <c r="F124" t="s">
        <v>39</v>
      </c>
      <c r="G124" s="1"/>
      <c r="H124" t="s">
        <v>40</v>
      </c>
      <c r="I124" s="1"/>
      <c r="J124" t="s">
        <v>40</v>
      </c>
      <c r="K124" s="2">
        <v>0</v>
      </c>
      <c r="L124" t="s">
        <v>40</v>
      </c>
      <c r="M124" s="2">
        <f>Table1[[#This Row],[Quantity]]*Table1[[#This Row],[Proposed Unit Price]]</f>
        <v>0</v>
      </c>
      <c r="N124" t="s">
        <v>40</v>
      </c>
      <c r="O124" s="1">
        <v>0</v>
      </c>
      <c r="P124" t="s">
        <v>40</v>
      </c>
      <c r="Q124" s="6">
        <v>46631</v>
      </c>
      <c r="R124" s="6">
        <v>46996</v>
      </c>
      <c r="S124" t="s">
        <v>188</v>
      </c>
      <c r="T124" t="s">
        <v>35</v>
      </c>
      <c r="U124" t="s">
        <v>47</v>
      </c>
      <c r="V124" t="s">
        <v>42</v>
      </c>
      <c r="W124" t="s">
        <v>43</v>
      </c>
      <c r="X124" t="s">
        <v>36</v>
      </c>
      <c r="Y124" t="s">
        <v>36</v>
      </c>
      <c r="Z124" t="s">
        <v>36</v>
      </c>
      <c r="AA124" t="s">
        <v>36</v>
      </c>
      <c r="AB124" t="s">
        <v>44</v>
      </c>
      <c r="AC124" t="s">
        <v>45</v>
      </c>
      <c r="AD124" t="s">
        <v>249</v>
      </c>
      <c r="AE124" t="s">
        <v>46</v>
      </c>
      <c r="AF124" t="s">
        <v>46</v>
      </c>
      <c r="AG124" t="s">
        <v>36</v>
      </c>
      <c r="AH124" t="s">
        <v>40</v>
      </c>
      <c r="AI124" t="s">
        <v>40</v>
      </c>
      <c r="AJ124" t="s">
        <v>40</v>
      </c>
    </row>
    <row r="125" spans="1:36" x14ac:dyDescent="0.25">
      <c r="A125" t="s">
        <v>34</v>
      </c>
      <c r="B125" t="s">
        <v>250</v>
      </c>
      <c r="C125" t="s">
        <v>36</v>
      </c>
      <c r="D125" t="s">
        <v>48</v>
      </c>
      <c r="E125" t="s">
        <v>49</v>
      </c>
      <c r="F125" t="s">
        <v>39</v>
      </c>
      <c r="G125" s="1"/>
      <c r="H125" t="s">
        <v>40</v>
      </c>
      <c r="I125" s="1"/>
      <c r="J125" t="s">
        <v>40</v>
      </c>
      <c r="K125" s="2">
        <v>0</v>
      </c>
      <c r="L125" t="s">
        <v>40</v>
      </c>
      <c r="M125" s="2">
        <f>Table1[[#This Row],[Quantity]]*Table1[[#This Row],[Proposed Unit Price]]</f>
        <v>0</v>
      </c>
      <c r="N125" t="s">
        <v>40</v>
      </c>
      <c r="O125" s="1">
        <v>0</v>
      </c>
      <c r="P125" t="s">
        <v>40</v>
      </c>
      <c r="Q125" s="6">
        <v>46631</v>
      </c>
      <c r="R125" s="6">
        <v>46996</v>
      </c>
      <c r="S125" t="s">
        <v>188</v>
      </c>
      <c r="T125" t="s">
        <v>47</v>
      </c>
      <c r="U125" t="s">
        <v>47</v>
      </c>
      <c r="V125" t="s">
        <v>42</v>
      </c>
      <c r="W125" t="s">
        <v>43</v>
      </c>
      <c r="X125" t="s">
        <v>36</v>
      </c>
      <c r="Y125" t="s">
        <v>36</v>
      </c>
      <c r="Z125" t="s">
        <v>36</v>
      </c>
      <c r="AA125" t="s">
        <v>36</v>
      </c>
      <c r="AB125" t="s">
        <v>44</v>
      </c>
      <c r="AC125" t="s">
        <v>45</v>
      </c>
      <c r="AD125" t="s">
        <v>250</v>
      </c>
      <c r="AE125" t="s">
        <v>46</v>
      </c>
      <c r="AF125" t="s">
        <v>46</v>
      </c>
      <c r="AG125" t="s">
        <v>36</v>
      </c>
      <c r="AH125" t="s">
        <v>40</v>
      </c>
      <c r="AI125" t="s">
        <v>40</v>
      </c>
      <c r="AJ125" t="s">
        <v>40</v>
      </c>
    </row>
    <row r="126" spans="1:36" x14ac:dyDescent="0.25">
      <c r="A126" t="s">
        <v>34</v>
      </c>
      <c r="B126" t="s">
        <v>251</v>
      </c>
      <c r="C126" t="s">
        <v>36</v>
      </c>
      <c r="D126" t="s">
        <v>51</v>
      </c>
      <c r="E126" t="s">
        <v>52</v>
      </c>
      <c r="F126" t="s">
        <v>39</v>
      </c>
      <c r="G126" s="1"/>
      <c r="H126" t="s">
        <v>40</v>
      </c>
      <c r="I126" s="1"/>
      <c r="J126" t="s">
        <v>40</v>
      </c>
      <c r="K126" s="2">
        <v>0</v>
      </c>
      <c r="L126" t="s">
        <v>40</v>
      </c>
      <c r="M126" s="2">
        <f>Table1[[#This Row],[Quantity]]*Table1[[#This Row],[Proposed Unit Price]]</f>
        <v>0</v>
      </c>
      <c r="N126" t="s">
        <v>40</v>
      </c>
      <c r="O126" s="1">
        <v>0</v>
      </c>
      <c r="P126" t="s">
        <v>40</v>
      </c>
      <c r="Q126" s="6">
        <v>46631</v>
      </c>
      <c r="R126" s="6">
        <v>46996</v>
      </c>
      <c r="S126" t="s">
        <v>188</v>
      </c>
      <c r="T126" t="s">
        <v>50</v>
      </c>
      <c r="U126" t="s">
        <v>47</v>
      </c>
      <c r="V126" t="s">
        <v>42</v>
      </c>
      <c r="W126" t="s">
        <v>43</v>
      </c>
      <c r="X126" t="s">
        <v>36</v>
      </c>
      <c r="Y126" t="s">
        <v>36</v>
      </c>
      <c r="Z126" t="s">
        <v>36</v>
      </c>
      <c r="AA126" t="s">
        <v>36</v>
      </c>
      <c r="AB126" t="s">
        <v>44</v>
      </c>
      <c r="AC126" t="s">
        <v>45</v>
      </c>
      <c r="AD126" t="s">
        <v>251</v>
      </c>
      <c r="AE126" t="s">
        <v>46</v>
      </c>
      <c r="AF126" t="s">
        <v>46</v>
      </c>
      <c r="AG126" t="s">
        <v>36</v>
      </c>
      <c r="AH126" t="s">
        <v>40</v>
      </c>
      <c r="AI126" t="s">
        <v>40</v>
      </c>
      <c r="AJ126" t="s">
        <v>40</v>
      </c>
    </row>
    <row r="127" spans="1:36" x14ac:dyDescent="0.25">
      <c r="A127" t="s">
        <v>34</v>
      </c>
      <c r="B127" t="s">
        <v>252</v>
      </c>
      <c r="C127" t="s">
        <v>36</v>
      </c>
      <c r="D127" t="s">
        <v>54</v>
      </c>
      <c r="E127" t="s">
        <v>38</v>
      </c>
      <c r="F127" t="s">
        <v>39</v>
      </c>
      <c r="G127" s="1"/>
      <c r="H127" t="s">
        <v>40</v>
      </c>
      <c r="I127" s="1"/>
      <c r="J127" t="s">
        <v>40</v>
      </c>
      <c r="K127" s="2">
        <v>0</v>
      </c>
      <c r="L127" t="s">
        <v>40</v>
      </c>
      <c r="M127" s="2">
        <f>Table1[[#This Row],[Quantity]]*Table1[[#This Row],[Proposed Unit Price]]</f>
        <v>0</v>
      </c>
      <c r="N127" t="s">
        <v>40</v>
      </c>
      <c r="O127" s="1">
        <v>0</v>
      </c>
      <c r="P127" t="s">
        <v>40</v>
      </c>
      <c r="Q127" s="6">
        <v>46631</v>
      </c>
      <c r="R127" s="6">
        <v>46996</v>
      </c>
      <c r="S127" t="s">
        <v>188</v>
      </c>
      <c r="T127" t="s">
        <v>53</v>
      </c>
      <c r="U127" t="s">
        <v>47</v>
      </c>
      <c r="V127" t="s">
        <v>42</v>
      </c>
      <c r="W127" t="s">
        <v>43</v>
      </c>
      <c r="X127" t="s">
        <v>36</v>
      </c>
      <c r="Y127" t="s">
        <v>36</v>
      </c>
      <c r="Z127" t="s">
        <v>36</v>
      </c>
      <c r="AA127" t="s">
        <v>36</v>
      </c>
      <c r="AB127" t="s">
        <v>44</v>
      </c>
      <c r="AC127" t="s">
        <v>45</v>
      </c>
      <c r="AD127" t="s">
        <v>252</v>
      </c>
      <c r="AE127" t="s">
        <v>46</v>
      </c>
      <c r="AF127" t="s">
        <v>46</v>
      </c>
      <c r="AG127" t="s">
        <v>36</v>
      </c>
      <c r="AH127" t="s">
        <v>40</v>
      </c>
      <c r="AI127" t="s">
        <v>40</v>
      </c>
      <c r="AJ127" t="s">
        <v>40</v>
      </c>
    </row>
    <row r="128" spans="1:36" x14ac:dyDescent="0.25">
      <c r="A128" t="s">
        <v>34</v>
      </c>
      <c r="B128" t="s">
        <v>253</v>
      </c>
      <c r="C128" t="s">
        <v>36</v>
      </c>
      <c r="D128" t="s">
        <v>56</v>
      </c>
      <c r="E128" t="s">
        <v>57</v>
      </c>
      <c r="F128" t="s">
        <v>39</v>
      </c>
      <c r="G128" s="1"/>
      <c r="H128" t="s">
        <v>40</v>
      </c>
      <c r="I128" s="1"/>
      <c r="J128" t="s">
        <v>40</v>
      </c>
      <c r="K128" s="2">
        <v>0</v>
      </c>
      <c r="L128" t="s">
        <v>40</v>
      </c>
      <c r="M128" s="2">
        <f>Table1[[#This Row],[Quantity]]*Table1[[#This Row],[Proposed Unit Price]]</f>
        <v>0</v>
      </c>
      <c r="N128" t="s">
        <v>40</v>
      </c>
      <c r="O128" s="1">
        <v>0</v>
      </c>
      <c r="P128" t="s">
        <v>40</v>
      </c>
      <c r="Q128" s="6">
        <v>46631</v>
      </c>
      <c r="R128" s="6">
        <v>46996</v>
      </c>
      <c r="S128" t="s">
        <v>188</v>
      </c>
      <c r="T128" t="s">
        <v>55</v>
      </c>
      <c r="U128" t="s">
        <v>47</v>
      </c>
      <c r="V128" t="s">
        <v>42</v>
      </c>
      <c r="W128" t="s">
        <v>43</v>
      </c>
      <c r="X128" t="s">
        <v>36</v>
      </c>
      <c r="Y128" t="s">
        <v>36</v>
      </c>
      <c r="Z128" t="s">
        <v>36</v>
      </c>
      <c r="AA128" t="s">
        <v>36</v>
      </c>
      <c r="AB128" t="s">
        <v>44</v>
      </c>
      <c r="AC128" t="s">
        <v>45</v>
      </c>
      <c r="AD128" t="s">
        <v>253</v>
      </c>
      <c r="AE128" t="s">
        <v>46</v>
      </c>
      <c r="AF128" t="s">
        <v>46</v>
      </c>
      <c r="AG128" t="s">
        <v>36</v>
      </c>
      <c r="AH128" t="s">
        <v>40</v>
      </c>
      <c r="AI128" t="s">
        <v>40</v>
      </c>
      <c r="AJ128" t="s">
        <v>40</v>
      </c>
    </row>
    <row r="129" spans="1:36" x14ac:dyDescent="0.25">
      <c r="A129" t="s">
        <v>34</v>
      </c>
      <c r="B129" t="s">
        <v>254</v>
      </c>
      <c r="C129" t="s">
        <v>36</v>
      </c>
      <c r="D129" t="s">
        <v>59</v>
      </c>
      <c r="E129" t="s">
        <v>60</v>
      </c>
      <c r="F129" t="s">
        <v>39</v>
      </c>
      <c r="G129" s="1"/>
      <c r="H129" t="s">
        <v>40</v>
      </c>
      <c r="I129" s="1"/>
      <c r="J129" t="s">
        <v>40</v>
      </c>
      <c r="K129" s="2">
        <v>0</v>
      </c>
      <c r="L129" t="s">
        <v>40</v>
      </c>
      <c r="M129" s="2">
        <f>Table1[[#This Row],[Quantity]]*Table1[[#This Row],[Proposed Unit Price]]</f>
        <v>0</v>
      </c>
      <c r="N129" t="s">
        <v>40</v>
      </c>
      <c r="O129" s="1">
        <v>0</v>
      </c>
      <c r="P129" t="s">
        <v>40</v>
      </c>
      <c r="Q129" s="6">
        <v>46631</v>
      </c>
      <c r="R129" s="6">
        <v>46996</v>
      </c>
      <c r="S129" t="s">
        <v>188</v>
      </c>
      <c r="T129" t="s">
        <v>58</v>
      </c>
      <c r="U129" t="s">
        <v>47</v>
      </c>
      <c r="V129" t="s">
        <v>42</v>
      </c>
      <c r="W129" t="s">
        <v>43</v>
      </c>
      <c r="X129" t="s">
        <v>36</v>
      </c>
      <c r="Y129" t="s">
        <v>36</v>
      </c>
      <c r="Z129" t="s">
        <v>36</v>
      </c>
      <c r="AA129" t="s">
        <v>36</v>
      </c>
      <c r="AB129" t="s">
        <v>44</v>
      </c>
      <c r="AC129" t="s">
        <v>45</v>
      </c>
      <c r="AD129" t="s">
        <v>254</v>
      </c>
      <c r="AE129" t="s">
        <v>46</v>
      </c>
      <c r="AF129" t="s">
        <v>46</v>
      </c>
      <c r="AG129" t="s">
        <v>36</v>
      </c>
      <c r="AH129" t="s">
        <v>40</v>
      </c>
      <c r="AI129" t="s">
        <v>40</v>
      </c>
      <c r="AJ129" t="s">
        <v>40</v>
      </c>
    </row>
    <row r="130" spans="1:36" x14ac:dyDescent="0.25">
      <c r="A130" t="s">
        <v>34</v>
      </c>
      <c r="B130" t="s">
        <v>255</v>
      </c>
      <c r="C130" t="s">
        <v>36</v>
      </c>
      <c r="D130" t="s">
        <v>62</v>
      </c>
      <c r="E130" t="s">
        <v>63</v>
      </c>
      <c r="F130" t="s">
        <v>64</v>
      </c>
      <c r="G130" s="1"/>
      <c r="H130" t="s">
        <v>40</v>
      </c>
      <c r="I130" s="1"/>
      <c r="J130" t="s">
        <v>40</v>
      </c>
      <c r="K130" s="2">
        <v>0</v>
      </c>
      <c r="L130" t="s">
        <v>40</v>
      </c>
      <c r="M130" s="2">
        <f>Table1[[#This Row],[Quantity]]*Table1[[#This Row],[Proposed Unit Price]]</f>
        <v>0</v>
      </c>
      <c r="N130" t="s">
        <v>40</v>
      </c>
      <c r="O130" s="1">
        <v>0</v>
      </c>
      <c r="P130" t="s">
        <v>40</v>
      </c>
      <c r="Q130" s="6">
        <v>46631</v>
      </c>
      <c r="R130" s="6">
        <v>46996</v>
      </c>
      <c r="S130" t="s">
        <v>188</v>
      </c>
      <c r="T130" t="s">
        <v>61</v>
      </c>
      <c r="U130" t="s">
        <v>47</v>
      </c>
      <c r="V130" t="s">
        <v>42</v>
      </c>
      <c r="W130" t="s">
        <v>43</v>
      </c>
      <c r="X130" t="s">
        <v>36</v>
      </c>
      <c r="Y130" t="s">
        <v>36</v>
      </c>
      <c r="Z130" t="s">
        <v>36</v>
      </c>
      <c r="AA130" t="s">
        <v>36</v>
      </c>
      <c r="AB130" t="s">
        <v>44</v>
      </c>
      <c r="AC130" t="s">
        <v>45</v>
      </c>
      <c r="AD130" t="s">
        <v>255</v>
      </c>
      <c r="AE130" t="s">
        <v>46</v>
      </c>
      <c r="AF130" t="s">
        <v>46</v>
      </c>
      <c r="AG130" t="s">
        <v>36</v>
      </c>
      <c r="AH130" t="s">
        <v>40</v>
      </c>
      <c r="AI130" t="s">
        <v>40</v>
      </c>
      <c r="AJ130" t="s">
        <v>40</v>
      </c>
    </row>
    <row r="131" spans="1:36" x14ac:dyDescent="0.25">
      <c r="A131" t="s">
        <v>34</v>
      </c>
      <c r="B131" t="s">
        <v>256</v>
      </c>
      <c r="C131" t="s">
        <v>36</v>
      </c>
      <c r="D131" t="s">
        <v>66</v>
      </c>
      <c r="E131" t="s">
        <v>67</v>
      </c>
      <c r="F131" t="s">
        <v>39</v>
      </c>
      <c r="G131" s="1"/>
      <c r="H131" t="s">
        <v>40</v>
      </c>
      <c r="I131" s="1"/>
      <c r="J131" t="s">
        <v>40</v>
      </c>
      <c r="K131" s="2">
        <v>0</v>
      </c>
      <c r="L131" t="s">
        <v>40</v>
      </c>
      <c r="M131" s="2">
        <f>Table1[[#This Row],[Quantity]]*Table1[[#This Row],[Proposed Unit Price]]</f>
        <v>0</v>
      </c>
      <c r="N131" t="s">
        <v>40</v>
      </c>
      <c r="O131" s="1">
        <v>0</v>
      </c>
      <c r="P131" t="s">
        <v>40</v>
      </c>
      <c r="Q131" s="6">
        <v>46631</v>
      </c>
      <c r="R131" s="6">
        <v>46996</v>
      </c>
      <c r="S131" t="s">
        <v>188</v>
      </c>
      <c r="T131" t="s">
        <v>65</v>
      </c>
      <c r="U131" t="s">
        <v>47</v>
      </c>
      <c r="V131" t="s">
        <v>42</v>
      </c>
      <c r="W131" t="s">
        <v>43</v>
      </c>
      <c r="X131" t="s">
        <v>36</v>
      </c>
      <c r="Y131" t="s">
        <v>36</v>
      </c>
      <c r="Z131" t="s">
        <v>36</v>
      </c>
      <c r="AA131" t="s">
        <v>36</v>
      </c>
      <c r="AB131" t="s">
        <v>44</v>
      </c>
      <c r="AC131" t="s">
        <v>45</v>
      </c>
      <c r="AD131" t="s">
        <v>256</v>
      </c>
      <c r="AE131" t="s">
        <v>46</v>
      </c>
      <c r="AF131" t="s">
        <v>46</v>
      </c>
      <c r="AG131" t="s">
        <v>36</v>
      </c>
      <c r="AH131" t="s">
        <v>40</v>
      </c>
      <c r="AI131" t="s">
        <v>40</v>
      </c>
      <c r="AJ131" t="s">
        <v>40</v>
      </c>
    </row>
    <row r="132" spans="1:36" x14ac:dyDescent="0.25">
      <c r="A132" t="s">
        <v>34</v>
      </c>
      <c r="B132" t="s">
        <v>257</v>
      </c>
      <c r="C132" t="s">
        <v>36</v>
      </c>
      <c r="D132" t="s">
        <v>69</v>
      </c>
      <c r="E132" t="s">
        <v>70</v>
      </c>
      <c r="F132" t="s">
        <v>71</v>
      </c>
      <c r="G132" s="1"/>
      <c r="H132" t="s">
        <v>40</v>
      </c>
      <c r="I132" s="1"/>
      <c r="J132" t="s">
        <v>40</v>
      </c>
      <c r="K132" s="2">
        <v>0</v>
      </c>
      <c r="L132" t="s">
        <v>40</v>
      </c>
      <c r="M132" s="2">
        <f>Table1[[#This Row],[Quantity]]*Table1[[#This Row],[Proposed Unit Price]]</f>
        <v>0</v>
      </c>
      <c r="N132" t="s">
        <v>40</v>
      </c>
      <c r="O132" s="1">
        <v>0</v>
      </c>
      <c r="P132" t="s">
        <v>40</v>
      </c>
      <c r="Q132" s="6">
        <v>46631</v>
      </c>
      <c r="R132" s="6">
        <v>46996</v>
      </c>
      <c r="S132" t="s">
        <v>188</v>
      </c>
      <c r="T132" t="s">
        <v>68</v>
      </c>
      <c r="U132" t="s">
        <v>47</v>
      </c>
      <c r="V132" t="s">
        <v>42</v>
      </c>
      <c r="W132" t="s">
        <v>43</v>
      </c>
      <c r="X132" t="s">
        <v>36</v>
      </c>
      <c r="Y132" t="s">
        <v>36</v>
      </c>
      <c r="Z132" t="s">
        <v>36</v>
      </c>
      <c r="AA132" t="s">
        <v>36</v>
      </c>
      <c r="AB132" t="s">
        <v>44</v>
      </c>
      <c r="AC132" t="s">
        <v>45</v>
      </c>
      <c r="AD132" t="s">
        <v>257</v>
      </c>
      <c r="AE132" t="s">
        <v>46</v>
      </c>
      <c r="AF132" t="s">
        <v>46</v>
      </c>
      <c r="AG132" t="s">
        <v>36</v>
      </c>
      <c r="AH132" t="s">
        <v>40</v>
      </c>
      <c r="AI132" t="s">
        <v>40</v>
      </c>
      <c r="AJ132" t="s">
        <v>40</v>
      </c>
    </row>
    <row r="133" spans="1:36" x14ac:dyDescent="0.25">
      <c r="A133" t="s">
        <v>34</v>
      </c>
      <c r="B133" t="s">
        <v>258</v>
      </c>
      <c r="C133" t="s">
        <v>36</v>
      </c>
      <c r="D133" t="s">
        <v>73</v>
      </c>
      <c r="E133" t="s">
        <v>50</v>
      </c>
      <c r="F133" t="s">
        <v>39</v>
      </c>
      <c r="G133" s="1"/>
      <c r="H133" t="s">
        <v>40</v>
      </c>
      <c r="I133" s="1"/>
      <c r="J133" t="s">
        <v>40</v>
      </c>
      <c r="K133" s="2">
        <v>0</v>
      </c>
      <c r="L133" t="s">
        <v>40</v>
      </c>
      <c r="M133" s="2">
        <f>Table1[[#This Row],[Quantity]]*Table1[[#This Row],[Proposed Unit Price]]</f>
        <v>0</v>
      </c>
      <c r="N133" t="s">
        <v>40</v>
      </c>
      <c r="O133" s="1">
        <v>0</v>
      </c>
      <c r="P133" t="s">
        <v>40</v>
      </c>
      <c r="Q133" s="6">
        <v>46631</v>
      </c>
      <c r="R133" s="6">
        <v>46996</v>
      </c>
      <c r="S133" t="s">
        <v>188</v>
      </c>
      <c r="T133" t="s">
        <v>72</v>
      </c>
      <c r="U133" t="s">
        <v>47</v>
      </c>
      <c r="V133" t="s">
        <v>42</v>
      </c>
      <c r="W133" t="s">
        <v>43</v>
      </c>
      <c r="X133" t="s">
        <v>36</v>
      </c>
      <c r="Y133" t="s">
        <v>36</v>
      </c>
      <c r="Z133" t="s">
        <v>36</v>
      </c>
      <c r="AA133" t="s">
        <v>36</v>
      </c>
      <c r="AB133" t="s">
        <v>44</v>
      </c>
      <c r="AC133" t="s">
        <v>45</v>
      </c>
      <c r="AD133" t="s">
        <v>258</v>
      </c>
      <c r="AE133" t="s">
        <v>46</v>
      </c>
      <c r="AF133" t="s">
        <v>46</v>
      </c>
      <c r="AG133" t="s">
        <v>36</v>
      </c>
      <c r="AH133" t="s">
        <v>40</v>
      </c>
      <c r="AI133" t="s">
        <v>40</v>
      </c>
      <c r="AJ133" t="s">
        <v>40</v>
      </c>
    </row>
    <row r="134" spans="1:36" x14ac:dyDescent="0.25">
      <c r="A134" t="s">
        <v>34</v>
      </c>
      <c r="B134" t="s">
        <v>259</v>
      </c>
      <c r="C134" t="s">
        <v>36</v>
      </c>
      <c r="D134" t="s">
        <v>75</v>
      </c>
      <c r="E134" t="s">
        <v>53</v>
      </c>
      <c r="F134" t="s">
        <v>39</v>
      </c>
      <c r="G134" s="1"/>
      <c r="H134" t="s">
        <v>40</v>
      </c>
      <c r="I134" s="1"/>
      <c r="J134" t="s">
        <v>40</v>
      </c>
      <c r="K134" s="2">
        <v>0</v>
      </c>
      <c r="L134" t="s">
        <v>40</v>
      </c>
      <c r="M134" s="2">
        <f>Table1[[#This Row],[Quantity]]*Table1[[#This Row],[Proposed Unit Price]]</f>
        <v>0</v>
      </c>
      <c r="N134" t="s">
        <v>40</v>
      </c>
      <c r="O134" s="1">
        <v>0</v>
      </c>
      <c r="P134" t="s">
        <v>40</v>
      </c>
      <c r="Q134" s="6">
        <v>46631</v>
      </c>
      <c r="R134" s="6">
        <v>46996</v>
      </c>
      <c r="S134" t="s">
        <v>188</v>
      </c>
      <c r="T134" t="s">
        <v>74</v>
      </c>
      <c r="U134" t="s">
        <v>47</v>
      </c>
      <c r="V134" t="s">
        <v>42</v>
      </c>
      <c r="W134" t="s">
        <v>43</v>
      </c>
      <c r="X134" t="s">
        <v>36</v>
      </c>
      <c r="Y134" t="s">
        <v>36</v>
      </c>
      <c r="Z134" t="s">
        <v>36</v>
      </c>
      <c r="AA134" t="s">
        <v>36</v>
      </c>
      <c r="AB134" t="s">
        <v>44</v>
      </c>
      <c r="AC134" t="s">
        <v>45</v>
      </c>
      <c r="AD134" t="s">
        <v>259</v>
      </c>
      <c r="AE134" t="s">
        <v>46</v>
      </c>
      <c r="AF134" t="s">
        <v>46</v>
      </c>
      <c r="AG134" t="s">
        <v>36</v>
      </c>
      <c r="AH134" t="s">
        <v>40</v>
      </c>
      <c r="AI134" t="s">
        <v>40</v>
      </c>
      <c r="AJ134" t="s">
        <v>40</v>
      </c>
    </row>
    <row r="135" spans="1:36" x14ac:dyDescent="0.25">
      <c r="A135" t="s">
        <v>34</v>
      </c>
      <c r="B135" t="s">
        <v>260</v>
      </c>
      <c r="C135" t="s">
        <v>36</v>
      </c>
      <c r="D135" t="s">
        <v>77</v>
      </c>
      <c r="E135" t="s">
        <v>78</v>
      </c>
      <c r="F135" t="s">
        <v>71</v>
      </c>
      <c r="G135" s="1"/>
      <c r="H135" t="s">
        <v>40</v>
      </c>
      <c r="I135" s="1"/>
      <c r="J135" t="s">
        <v>40</v>
      </c>
      <c r="K135" s="2">
        <v>0</v>
      </c>
      <c r="L135" t="s">
        <v>40</v>
      </c>
      <c r="M135" s="2">
        <f>Table1[[#This Row],[Quantity]]*Table1[[#This Row],[Proposed Unit Price]]</f>
        <v>0</v>
      </c>
      <c r="N135" t="s">
        <v>40</v>
      </c>
      <c r="O135" s="1">
        <v>0</v>
      </c>
      <c r="P135" t="s">
        <v>40</v>
      </c>
      <c r="Q135" s="6">
        <v>46631</v>
      </c>
      <c r="R135" s="6">
        <v>46996</v>
      </c>
      <c r="S135" t="s">
        <v>188</v>
      </c>
      <c r="T135" t="s">
        <v>76</v>
      </c>
      <c r="U135" t="s">
        <v>47</v>
      </c>
      <c r="V135" t="s">
        <v>42</v>
      </c>
      <c r="W135" t="s">
        <v>43</v>
      </c>
      <c r="X135" t="s">
        <v>36</v>
      </c>
      <c r="Y135" t="s">
        <v>36</v>
      </c>
      <c r="Z135" t="s">
        <v>36</v>
      </c>
      <c r="AA135" t="s">
        <v>36</v>
      </c>
      <c r="AB135" t="s">
        <v>44</v>
      </c>
      <c r="AC135" t="s">
        <v>45</v>
      </c>
      <c r="AD135" t="s">
        <v>260</v>
      </c>
      <c r="AE135" t="s">
        <v>46</v>
      </c>
      <c r="AF135" t="s">
        <v>46</v>
      </c>
      <c r="AG135" t="s">
        <v>36</v>
      </c>
      <c r="AH135" t="s">
        <v>40</v>
      </c>
      <c r="AI135" t="s">
        <v>40</v>
      </c>
      <c r="AJ135" t="s">
        <v>40</v>
      </c>
    </row>
    <row r="136" spans="1:36" x14ac:dyDescent="0.25">
      <c r="A136" t="s">
        <v>34</v>
      </c>
      <c r="B136" t="s">
        <v>261</v>
      </c>
      <c r="C136" t="s">
        <v>36</v>
      </c>
      <c r="D136" t="s">
        <v>80</v>
      </c>
      <c r="E136" t="s">
        <v>47</v>
      </c>
      <c r="F136" t="s">
        <v>39</v>
      </c>
      <c r="G136" s="1"/>
      <c r="H136" t="s">
        <v>40</v>
      </c>
      <c r="I136" s="1"/>
      <c r="J136" t="s">
        <v>40</v>
      </c>
      <c r="K136" s="2">
        <v>0</v>
      </c>
      <c r="L136" t="s">
        <v>40</v>
      </c>
      <c r="M136" s="2">
        <f>Table1[[#This Row],[Quantity]]*Table1[[#This Row],[Proposed Unit Price]]</f>
        <v>0</v>
      </c>
      <c r="N136" t="s">
        <v>40</v>
      </c>
      <c r="O136" s="1">
        <v>0</v>
      </c>
      <c r="P136" t="s">
        <v>40</v>
      </c>
      <c r="Q136" s="6">
        <v>46631</v>
      </c>
      <c r="R136" s="6">
        <v>46996</v>
      </c>
      <c r="S136" t="s">
        <v>188</v>
      </c>
      <c r="T136" t="s">
        <v>79</v>
      </c>
      <c r="U136" t="s">
        <v>47</v>
      </c>
      <c r="V136" t="s">
        <v>42</v>
      </c>
      <c r="W136" t="s">
        <v>43</v>
      </c>
      <c r="X136" t="s">
        <v>36</v>
      </c>
      <c r="Y136" t="s">
        <v>36</v>
      </c>
      <c r="Z136" t="s">
        <v>36</v>
      </c>
      <c r="AA136" t="s">
        <v>36</v>
      </c>
      <c r="AB136" t="s">
        <v>44</v>
      </c>
      <c r="AC136" t="s">
        <v>45</v>
      </c>
      <c r="AD136" t="s">
        <v>261</v>
      </c>
      <c r="AE136" t="s">
        <v>46</v>
      </c>
      <c r="AF136" t="s">
        <v>46</v>
      </c>
      <c r="AG136" t="s">
        <v>36</v>
      </c>
      <c r="AH136" t="s">
        <v>40</v>
      </c>
      <c r="AI136" t="s">
        <v>40</v>
      </c>
      <c r="AJ136" t="s">
        <v>40</v>
      </c>
    </row>
    <row r="137" spans="1:36" x14ac:dyDescent="0.25">
      <c r="A137" t="s">
        <v>34</v>
      </c>
      <c r="B137" t="s">
        <v>262</v>
      </c>
      <c r="C137" t="s">
        <v>36</v>
      </c>
      <c r="D137" t="s">
        <v>82</v>
      </c>
      <c r="E137" t="s">
        <v>35</v>
      </c>
      <c r="F137" t="s">
        <v>39</v>
      </c>
      <c r="G137" s="1"/>
      <c r="H137" t="s">
        <v>40</v>
      </c>
      <c r="I137" s="1"/>
      <c r="J137" t="s">
        <v>40</v>
      </c>
      <c r="K137" s="2">
        <v>0</v>
      </c>
      <c r="L137" t="s">
        <v>40</v>
      </c>
      <c r="M137" s="2">
        <f>Table1[[#This Row],[Quantity]]*Table1[[#This Row],[Proposed Unit Price]]</f>
        <v>0</v>
      </c>
      <c r="N137" t="s">
        <v>40</v>
      </c>
      <c r="O137" s="1">
        <v>0</v>
      </c>
      <c r="P137" t="s">
        <v>40</v>
      </c>
      <c r="Q137" s="6">
        <v>46631</v>
      </c>
      <c r="R137" s="6">
        <v>46996</v>
      </c>
      <c r="S137" t="s">
        <v>188</v>
      </c>
      <c r="T137" t="s">
        <v>81</v>
      </c>
      <c r="U137" t="s">
        <v>47</v>
      </c>
      <c r="V137" t="s">
        <v>83</v>
      </c>
      <c r="W137" t="s">
        <v>84</v>
      </c>
      <c r="X137" t="s">
        <v>36</v>
      </c>
      <c r="Y137" t="s">
        <v>36</v>
      </c>
      <c r="Z137" t="s">
        <v>36</v>
      </c>
      <c r="AA137" t="s">
        <v>36</v>
      </c>
      <c r="AB137" t="s">
        <v>44</v>
      </c>
      <c r="AC137" t="s">
        <v>45</v>
      </c>
      <c r="AD137" t="s">
        <v>262</v>
      </c>
      <c r="AE137" t="s">
        <v>46</v>
      </c>
      <c r="AF137" t="s">
        <v>46</v>
      </c>
      <c r="AG137" t="s">
        <v>36</v>
      </c>
      <c r="AH137" t="s">
        <v>40</v>
      </c>
      <c r="AI137" t="s">
        <v>40</v>
      </c>
      <c r="AJ137" t="s">
        <v>40</v>
      </c>
    </row>
    <row r="138" spans="1:36" x14ac:dyDescent="0.25">
      <c r="A138" t="s">
        <v>34</v>
      </c>
      <c r="B138" t="s">
        <v>263</v>
      </c>
      <c r="C138" t="s">
        <v>36</v>
      </c>
      <c r="D138" t="s">
        <v>86</v>
      </c>
      <c r="E138" t="s">
        <v>67</v>
      </c>
      <c r="F138" t="s">
        <v>87</v>
      </c>
      <c r="G138" s="1"/>
      <c r="H138" t="s">
        <v>40</v>
      </c>
      <c r="I138" s="1"/>
      <c r="J138" t="s">
        <v>40</v>
      </c>
      <c r="K138" s="2">
        <v>0</v>
      </c>
      <c r="L138" t="s">
        <v>40</v>
      </c>
      <c r="M138" s="2">
        <f>Table1[[#This Row],[Quantity]]*Table1[[#This Row],[Proposed Unit Price]]</f>
        <v>0</v>
      </c>
      <c r="N138" t="s">
        <v>40</v>
      </c>
      <c r="O138" s="1">
        <v>0</v>
      </c>
      <c r="P138" t="s">
        <v>40</v>
      </c>
      <c r="Q138" s="6">
        <v>46631</v>
      </c>
      <c r="R138" s="6">
        <v>46996</v>
      </c>
      <c r="S138" t="s">
        <v>188</v>
      </c>
      <c r="T138" t="s">
        <v>85</v>
      </c>
      <c r="U138" t="s">
        <v>47</v>
      </c>
      <c r="V138" t="s">
        <v>42</v>
      </c>
      <c r="W138" t="s">
        <v>43</v>
      </c>
      <c r="X138" t="s">
        <v>36</v>
      </c>
      <c r="Y138" t="s">
        <v>36</v>
      </c>
      <c r="Z138" t="s">
        <v>36</v>
      </c>
      <c r="AA138" t="s">
        <v>36</v>
      </c>
      <c r="AB138" t="s">
        <v>44</v>
      </c>
      <c r="AC138" t="s">
        <v>45</v>
      </c>
      <c r="AD138" t="s">
        <v>263</v>
      </c>
      <c r="AE138" t="s">
        <v>46</v>
      </c>
      <c r="AF138" t="s">
        <v>46</v>
      </c>
      <c r="AG138" t="s">
        <v>36</v>
      </c>
      <c r="AH138" t="s">
        <v>40</v>
      </c>
      <c r="AI138" t="s">
        <v>40</v>
      </c>
      <c r="AJ138" t="s">
        <v>40</v>
      </c>
    </row>
    <row r="139" spans="1:36" x14ac:dyDescent="0.25">
      <c r="A139" t="s">
        <v>34</v>
      </c>
      <c r="B139" t="s">
        <v>264</v>
      </c>
      <c r="C139" t="s">
        <v>36</v>
      </c>
      <c r="D139" t="s">
        <v>89</v>
      </c>
      <c r="E139" t="s">
        <v>53</v>
      </c>
      <c r="F139" t="s">
        <v>39</v>
      </c>
      <c r="G139" s="1"/>
      <c r="H139" t="s">
        <v>40</v>
      </c>
      <c r="I139" s="1"/>
      <c r="J139" t="s">
        <v>40</v>
      </c>
      <c r="K139" s="2">
        <v>0</v>
      </c>
      <c r="L139" t="s">
        <v>40</v>
      </c>
      <c r="M139" s="2">
        <f>Table1[[#This Row],[Quantity]]*Table1[[#This Row],[Proposed Unit Price]]</f>
        <v>0</v>
      </c>
      <c r="N139" t="s">
        <v>40</v>
      </c>
      <c r="O139" s="1">
        <v>0</v>
      </c>
      <c r="P139" t="s">
        <v>40</v>
      </c>
      <c r="Q139" s="6">
        <v>46631</v>
      </c>
      <c r="R139" s="6">
        <v>46996</v>
      </c>
      <c r="S139" t="s">
        <v>188</v>
      </c>
      <c r="T139" t="s">
        <v>88</v>
      </c>
      <c r="U139" t="s">
        <v>47</v>
      </c>
      <c r="V139" t="s">
        <v>42</v>
      </c>
      <c r="W139" t="s">
        <v>43</v>
      </c>
      <c r="X139" t="s">
        <v>36</v>
      </c>
      <c r="Y139" t="s">
        <v>36</v>
      </c>
      <c r="Z139" t="s">
        <v>36</v>
      </c>
      <c r="AA139" t="s">
        <v>36</v>
      </c>
      <c r="AB139" t="s">
        <v>44</v>
      </c>
      <c r="AC139" t="s">
        <v>45</v>
      </c>
      <c r="AD139" t="s">
        <v>264</v>
      </c>
      <c r="AE139" t="s">
        <v>46</v>
      </c>
      <c r="AF139" t="s">
        <v>46</v>
      </c>
      <c r="AG139" t="s">
        <v>36</v>
      </c>
      <c r="AH139" t="s">
        <v>40</v>
      </c>
      <c r="AI139" t="s">
        <v>40</v>
      </c>
      <c r="AJ139" t="s">
        <v>40</v>
      </c>
    </row>
    <row r="140" spans="1:36" x14ac:dyDescent="0.25">
      <c r="A140" t="s">
        <v>34</v>
      </c>
      <c r="B140" t="s">
        <v>265</v>
      </c>
      <c r="C140" t="s">
        <v>36</v>
      </c>
      <c r="D140" t="s">
        <v>91</v>
      </c>
      <c r="E140" t="s">
        <v>35</v>
      </c>
      <c r="F140" t="s">
        <v>39</v>
      </c>
      <c r="G140" s="1"/>
      <c r="H140" t="s">
        <v>40</v>
      </c>
      <c r="I140" s="1"/>
      <c r="J140" t="s">
        <v>40</v>
      </c>
      <c r="K140" s="2">
        <v>0</v>
      </c>
      <c r="L140" t="s">
        <v>40</v>
      </c>
      <c r="M140" s="2">
        <f>Table1[[#This Row],[Quantity]]*Table1[[#This Row],[Proposed Unit Price]]</f>
        <v>0</v>
      </c>
      <c r="N140" t="s">
        <v>40</v>
      </c>
      <c r="O140" s="1">
        <v>0</v>
      </c>
      <c r="P140" t="s">
        <v>40</v>
      </c>
      <c r="Q140" s="6">
        <v>46631</v>
      </c>
      <c r="R140" s="6">
        <v>46996</v>
      </c>
      <c r="S140" t="s">
        <v>188</v>
      </c>
      <c r="T140" t="s">
        <v>90</v>
      </c>
      <c r="U140" t="s">
        <v>47</v>
      </c>
      <c r="V140" t="s">
        <v>83</v>
      </c>
      <c r="W140" t="s">
        <v>84</v>
      </c>
      <c r="X140" t="s">
        <v>36</v>
      </c>
      <c r="Y140" t="s">
        <v>36</v>
      </c>
      <c r="Z140" t="s">
        <v>36</v>
      </c>
      <c r="AA140" t="s">
        <v>36</v>
      </c>
      <c r="AB140" t="s">
        <v>44</v>
      </c>
      <c r="AC140" t="s">
        <v>45</v>
      </c>
      <c r="AD140" t="s">
        <v>265</v>
      </c>
      <c r="AE140" t="s">
        <v>46</v>
      </c>
      <c r="AF140" t="s">
        <v>46</v>
      </c>
      <c r="AG140" t="s">
        <v>36</v>
      </c>
      <c r="AH140" t="s">
        <v>40</v>
      </c>
      <c r="AI140" t="s">
        <v>40</v>
      </c>
      <c r="AJ140" t="s">
        <v>40</v>
      </c>
    </row>
    <row r="141" spans="1:36" x14ac:dyDescent="0.25">
      <c r="A141" t="s">
        <v>34</v>
      </c>
      <c r="B141" t="s">
        <v>266</v>
      </c>
      <c r="C141" t="s">
        <v>36</v>
      </c>
      <c r="D141" t="s">
        <v>93</v>
      </c>
      <c r="E141" t="s">
        <v>35</v>
      </c>
      <c r="F141" t="s">
        <v>39</v>
      </c>
      <c r="G141" s="1"/>
      <c r="H141" t="s">
        <v>40</v>
      </c>
      <c r="I141" s="1"/>
      <c r="J141" t="s">
        <v>40</v>
      </c>
      <c r="K141" s="2">
        <v>0</v>
      </c>
      <c r="L141" t="s">
        <v>40</v>
      </c>
      <c r="M141" s="2">
        <f>Table1[[#This Row],[Quantity]]*Table1[[#This Row],[Proposed Unit Price]]</f>
        <v>0</v>
      </c>
      <c r="N141" t="s">
        <v>40</v>
      </c>
      <c r="O141" s="1">
        <v>0</v>
      </c>
      <c r="P141" t="s">
        <v>40</v>
      </c>
      <c r="Q141" s="6">
        <v>46631</v>
      </c>
      <c r="R141" s="6">
        <v>46996</v>
      </c>
      <c r="S141" t="s">
        <v>188</v>
      </c>
      <c r="T141" t="s">
        <v>92</v>
      </c>
      <c r="U141" t="s">
        <v>47</v>
      </c>
      <c r="V141" t="s">
        <v>83</v>
      </c>
      <c r="W141" t="s">
        <v>84</v>
      </c>
      <c r="X141" t="s">
        <v>36</v>
      </c>
      <c r="Y141" t="s">
        <v>36</v>
      </c>
      <c r="Z141" t="s">
        <v>36</v>
      </c>
      <c r="AA141" t="s">
        <v>36</v>
      </c>
      <c r="AB141" t="s">
        <v>44</v>
      </c>
      <c r="AC141" t="s">
        <v>45</v>
      </c>
      <c r="AD141" t="s">
        <v>266</v>
      </c>
      <c r="AE141" t="s">
        <v>46</v>
      </c>
      <c r="AF141" t="s">
        <v>46</v>
      </c>
      <c r="AG141" t="s">
        <v>36</v>
      </c>
      <c r="AH141" t="s">
        <v>40</v>
      </c>
      <c r="AI141" t="s">
        <v>40</v>
      </c>
      <c r="AJ141" t="s">
        <v>40</v>
      </c>
    </row>
    <row r="142" spans="1:36" x14ac:dyDescent="0.25">
      <c r="A142" t="s">
        <v>34</v>
      </c>
      <c r="B142" t="s">
        <v>267</v>
      </c>
      <c r="C142" t="s">
        <v>36</v>
      </c>
      <c r="D142" t="s">
        <v>95</v>
      </c>
      <c r="E142" t="s">
        <v>60</v>
      </c>
      <c r="F142" t="s">
        <v>96</v>
      </c>
      <c r="G142" s="1"/>
      <c r="H142" t="s">
        <v>40</v>
      </c>
      <c r="I142" s="1"/>
      <c r="J142" t="s">
        <v>40</v>
      </c>
      <c r="K142" s="2">
        <v>0</v>
      </c>
      <c r="L142" t="s">
        <v>40</v>
      </c>
      <c r="M142" s="2">
        <f>Table1[[#This Row],[Quantity]]*Table1[[#This Row],[Proposed Unit Price]]</f>
        <v>0</v>
      </c>
      <c r="N142" t="s">
        <v>40</v>
      </c>
      <c r="O142" s="1">
        <v>0</v>
      </c>
      <c r="P142" t="s">
        <v>40</v>
      </c>
      <c r="Q142" s="6">
        <v>46631</v>
      </c>
      <c r="R142" s="6">
        <v>46996</v>
      </c>
      <c r="S142" t="s">
        <v>188</v>
      </c>
      <c r="T142" t="s">
        <v>94</v>
      </c>
      <c r="U142" t="s">
        <v>47</v>
      </c>
      <c r="V142" t="s">
        <v>42</v>
      </c>
      <c r="W142" t="s">
        <v>43</v>
      </c>
      <c r="X142" t="s">
        <v>36</v>
      </c>
      <c r="Y142" t="s">
        <v>36</v>
      </c>
      <c r="Z142" t="s">
        <v>36</v>
      </c>
      <c r="AA142" t="s">
        <v>36</v>
      </c>
      <c r="AB142" t="s">
        <v>44</v>
      </c>
      <c r="AC142" t="s">
        <v>45</v>
      </c>
      <c r="AD142" t="s">
        <v>267</v>
      </c>
      <c r="AE142" t="s">
        <v>46</v>
      </c>
      <c r="AF142" t="s">
        <v>46</v>
      </c>
      <c r="AG142" t="s">
        <v>36</v>
      </c>
      <c r="AH142" t="s">
        <v>40</v>
      </c>
      <c r="AI142" t="s">
        <v>40</v>
      </c>
      <c r="AJ142" t="s">
        <v>40</v>
      </c>
    </row>
    <row r="143" spans="1:36" x14ac:dyDescent="0.25">
      <c r="A143" t="s">
        <v>34</v>
      </c>
      <c r="B143" t="s">
        <v>268</v>
      </c>
      <c r="C143" t="s">
        <v>36</v>
      </c>
      <c r="D143" t="s">
        <v>98</v>
      </c>
      <c r="E143" t="s">
        <v>99</v>
      </c>
      <c r="F143" t="s">
        <v>39</v>
      </c>
      <c r="G143" s="1"/>
      <c r="H143" t="s">
        <v>40</v>
      </c>
      <c r="I143" s="1"/>
      <c r="J143" t="s">
        <v>40</v>
      </c>
      <c r="K143" s="2">
        <v>0</v>
      </c>
      <c r="L143" t="s">
        <v>40</v>
      </c>
      <c r="M143" s="2">
        <f>Table1[[#This Row],[Quantity]]*Table1[[#This Row],[Proposed Unit Price]]</f>
        <v>0</v>
      </c>
      <c r="N143" t="s">
        <v>40</v>
      </c>
      <c r="O143" s="1">
        <v>0</v>
      </c>
      <c r="P143" t="s">
        <v>40</v>
      </c>
      <c r="Q143" s="6">
        <v>46631</v>
      </c>
      <c r="R143" s="6">
        <v>46996</v>
      </c>
      <c r="S143" t="s">
        <v>188</v>
      </c>
      <c r="T143" t="s">
        <v>97</v>
      </c>
      <c r="U143" t="s">
        <v>47</v>
      </c>
      <c r="V143" t="s">
        <v>42</v>
      </c>
      <c r="W143" t="s">
        <v>43</v>
      </c>
      <c r="X143" t="s">
        <v>36</v>
      </c>
      <c r="Y143" t="s">
        <v>36</v>
      </c>
      <c r="Z143" t="s">
        <v>36</v>
      </c>
      <c r="AA143" t="s">
        <v>36</v>
      </c>
      <c r="AB143" t="s">
        <v>44</v>
      </c>
      <c r="AC143" t="s">
        <v>45</v>
      </c>
      <c r="AD143" t="s">
        <v>268</v>
      </c>
      <c r="AE143" t="s">
        <v>46</v>
      </c>
      <c r="AF143" t="s">
        <v>46</v>
      </c>
      <c r="AG143" t="s">
        <v>36</v>
      </c>
      <c r="AH143" t="s">
        <v>40</v>
      </c>
      <c r="AI143" t="s">
        <v>40</v>
      </c>
      <c r="AJ143" t="s">
        <v>40</v>
      </c>
    </row>
    <row r="144" spans="1:36" x14ac:dyDescent="0.25">
      <c r="A144" t="s">
        <v>34</v>
      </c>
      <c r="B144" t="s">
        <v>269</v>
      </c>
      <c r="C144" t="s">
        <v>36</v>
      </c>
      <c r="D144" t="s">
        <v>101</v>
      </c>
      <c r="E144" t="s">
        <v>63</v>
      </c>
      <c r="F144" t="s">
        <v>39</v>
      </c>
      <c r="G144" s="1"/>
      <c r="H144" t="s">
        <v>40</v>
      </c>
      <c r="I144" s="1"/>
      <c r="J144" t="s">
        <v>40</v>
      </c>
      <c r="K144" s="2">
        <v>0</v>
      </c>
      <c r="L144" t="s">
        <v>40</v>
      </c>
      <c r="M144" s="2">
        <f>Table1[[#This Row],[Quantity]]*Table1[[#This Row],[Proposed Unit Price]]</f>
        <v>0</v>
      </c>
      <c r="N144" t="s">
        <v>40</v>
      </c>
      <c r="O144" s="1">
        <v>0</v>
      </c>
      <c r="P144" t="s">
        <v>40</v>
      </c>
      <c r="Q144" s="6">
        <v>46631</v>
      </c>
      <c r="R144" s="6">
        <v>46996</v>
      </c>
      <c r="S144" t="s">
        <v>188</v>
      </c>
      <c r="T144" t="s">
        <v>100</v>
      </c>
      <c r="U144" t="s">
        <v>47</v>
      </c>
      <c r="V144" t="s">
        <v>42</v>
      </c>
      <c r="W144" t="s">
        <v>43</v>
      </c>
      <c r="X144" t="s">
        <v>36</v>
      </c>
      <c r="Y144" t="s">
        <v>36</v>
      </c>
      <c r="Z144" t="s">
        <v>36</v>
      </c>
      <c r="AA144" t="s">
        <v>36</v>
      </c>
      <c r="AB144" t="s">
        <v>44</v>
      </c>
      <c r="AC144" t="s">
        <v>45</v>
      </c>
      <c r="AD144" t="s">
        <v>269</v>
      </c>
      <c r="AE144" t="s">
        <v>46</v>
      </c>
      <c r="AF144" t="s">
        <v>46</v>
      </c>
      <c r="AG144" t="s">
        <v>36</v>
      </c>
      <c r="AH144" t="s">
        <v>40</v>
      </c>
      <c r="AI144" t="s">
        <v>40</v>
      </c>
      <c r="AJ144" t="s">
        <v>40</v>
      </c>
    </row>
    <row r="145" spans="1:36" x14ac:dyDescent="0.25">
      <c r="A145" t="s">
        <v>34</v>
      </c>
      <c r="B145" t="s">
        <v>270</v>
      </c>
      <c r="C145" t="s">
        <v>36</v>
      </c>
      <c r="D145" t="s">
        <v>103</v>
      </c>
      <c r="E145" t="s">
        <v>58</v>
      </c>
      <c r="F145" t="s">
        <v>87</v>
      </c>
      <c r="G145" s="1"/>
      <c r="H145" t="s">
        <v>40</v>
      </c>
      <c r="I145" s="1"/>
      <c r="J145" t="s">
        <v>40</v>
      </c>
      <c r="K145" s="2">
        <v>0</v>
      </c>
      <c r="L145" t="s">
        <v>40</v>
      </c>
      <c r="M145" s="2">
        <f>Table1[[#This Row],[Quantity]]*Table1[[#This Row],[Proposed Unit Price]]</f>
        <v>0</v>
      </c>
      <c r="N145" t="s">
        <v>40</v>
      </c>
      <c r="O145" s="1">
        <v>0</v>
      </c>
      <c r="P145" t="s">
        <v>40</v>
      </c>
      <c r="Q145" s="6">
        <v>46631</v>
      </c>
      <c r="R145" s="6">
        <v>46996</v>
      </c>
      <c r="S145" t="s">
        <v>188</v>
      </c>
      <c r="T145" t="s">
        <v>102</v>
      </c>
      <c r="U145" t="s">
        <v>47</v>
      </c>
      <c r="V145" t="s">
        <v>42</v>
      </c>
      <c r="W145" t="s">
        <v>43</v>
      </c>
      <c r="X145" t="s">
        <v>36</v>
      </c>
      <c r="Y145" t="s">
        <v>36</v>
      </c>
      <c r="Z145" t="s">
        <v>36</v>
      </c>
      <c r="AA145" t="s">
        <v>36</v>
      </c>
      <c r="AB145" t="s">
        <v>44</v>
      </c>
      <c r="AC145" t="s">
        <v>45</v>
      </c>
      <c r="AD145" t="s">
        <v>270</v>
      </c>
      <c r="AE145" t="s">
        <v>46</v>
      </c>
      <c r="AF145" t="s">
        <v>46</v>
      </c>
      <c r="AG145" t="s">
        <v>36</v>
      </c>
      <c r="AH145" t="s">
        <v>40</v>
      </c>
      <c r="AI145" t="s">
        <v>40</v>
      </c>
      <c r="AJ145" t="s">
        <v>40</v>
      </c>
    </row>
    <row r="146" spans="1:36" x14ac:dyDescent="0.25">
      <c r="A146" t="s">
        <v>34</v>
      </c>
      <c r="B146" t="s">
        <v>271</v>
      </c>
      <c r="C146" t="s">
        <v>36</v>
      </c>
      <c r="D146" t="s">
        <v>211</v>
      </c>
      <c r="E146" t="s">
        <v>47</v>
      </c>
      <c r="F146" t="s">
        <v>39</v>
      </c>
      <c r="G146" s="1"/>
      <c r="H146" t="s">
        <v>40</v>
      </c>
      <c r="I146" s="1"/>
      <c r="J146" t="s">
        <v>40</v>
      </c>
      <c r="K146" s="2">
        <v>0</v>
      </c>
      <c r="L146" t="s">
        <v>40</v>
      </c>
      <c r="M146" s="2">
        <f>Table1[[#This Row],[Quantity]]*Table1[[#This Row],[Proposed Unit Price]]</f>
        <v>0</v>
      </c>
      <c r="N146" t="s">
        <v>40</v>
      </c>
      <c r="O146" s="1">
        <v>0</v>
      </c>
      <c r="P146" t="s">
        <v>40</v>
      </c>
      <c r="Q146" s="6">
        <v>46631</v>
      </c>
      <c r="R146" s="6">
        <v>46996</v>
      </c>
      <c r="S146" t="s">
        <v>188</v>
      </c>
      <c r="T146" t="s">
        <v>104</v>
      </c>
      <c r="U146" t="s">
        <v>47</v>
      </c>
      <c r="V146" t="s">
        <v>42</v>
      </c>
      <c r="W146" t="s">
        <v>43</v>
      </c>
      <c r="X146" t="s">
        <v>36</v>
      </c>
      <c r="Y146" t="s">
        <v>36</v>
      </c>
      <c r="Z146" t="s">
        <v>36</v>
      </c>
      <c r="AA146" t="s">
        <v>36</v>
      </c>
      <c r="AB146" t="s">
        <v>44</v>
      </c>
      <c r="AC146" t="s">
        <v>45</v>
      </c>
      <c r="AD146" t="s">
        <v>271</v>
      </c>
      <c r="AE146" t="s">
        <v>46</v>
      </c>
      <c r="AF146" t="s">
        <v>46</v>
      </c>
      <c r="AG146" t="s">
        <v>36</v>
      </c>
      <c r="AH146" t="s">
        <v>40</v>
      </c>
      <c r="AI146" t="s">
        <v>40</v>
      </c>
      <c r="AJ146" t="s">
        <v>40</v>
      </c>
    </row>
    <row r="147" spans="1:36" x14ac:dyDescent="0.25">
      <c r="A147" t="s">
        <v>34</v>
      </c>
      <c r="B147" t="s">
        <v>272</v>
      </c>
      <c r="C147" t="s">
        <v>36</v>
      </c>
      <c r="D147" t="s">
        <v>107</v>
      </c>
      <c r="E147" t="s">
        <v>106</v>
      </c>
      <c r="F147" t="s">
        <v>87</v>
      </c>
      <c r="G147" s="1"/>
      <c r="H147" t="s">
        <v>40</v>
      </c>
      <c r="I147" s="1"/>
      <c r="J147" t="s">
        <v>40</v>
      </c>
      <c r="K147" s="2">
        <v>0</v>
      </c>
      <c r="L147" t="s">
        <v>40</v>
      </c>
      <c r="M147" s="2">
        <f>Table1[[#This Row],[Quantity]]*Table1[[#This Row],[Proposed Unit Price]]</f>
        <v>0</v>
      </c>
      <c r="N147" t="s">
        <v>40</v>
      </c>
      <c r="O147" s="1">
        <v>0</v>
      </c>
      <c r="P147" t="s">
        <v>40</v>
      </c>
      <c r="Q147" s="6">
        <v>46631</v>
      </c>
      <c r="R147" s="6">
        <v>46996</v>
      </c>
      <c r="S147" t="s">
        <v>188</v>
      </c>
      <c r="T147" t="s">
        <v>106</v>
      </c>
      <c r="U147" t="s">
        <v>47</v>
      </c>
      <c r="V147" t="s">
        <v>42</v>
      </c>
      <c r="W147" t="s">
        <v>43</v>
      </c>
      <c r="X147" t="s">
        <v>36</v>
      </c>
      <c r="Y147" t="s">
        <v>36</v>
      </c>
      <c r="Z147" t="s">
        <v>36</v>
      </c>
      <c r="AA147" t="s">
        <v>36</v>
      </c>
      <c r="AB147" t="s">
        <v>44</v>
      </c>
      <c r="AC147" t="s">
        <v>45</v>
      </c>
      <c r="AD147" t="s">
        <v>272</v>
      </c>
      <c r="AE147" t="s">
        <v>46</v>
      </c>
      <c r="AF147" t="s">
        <v>46</v>
      </c>
      <c r="AG147" t="s">
        <v>36</v>
      </c>
      <c r="AH147" t="s">
        <v>40</v>
      </c>
      <c r="AI147" t="s">
        <v>40</v>
      </c>
      <c r="AJ147" t="s">
        <v>40</v>
      </c>
    </row>
    <row r="148" spans="1:36" x14ac:dyDescent="0.25">
      <c r="A148" t="s">
        <v>34</v>
      </c>
      <c r="B148" t="s">
        <v>273</v>
      </c>
      <c r="C148" t="s">
        <v>36</v>
      </c>
      <c r="D148" t="s">
        <v>109</v>
      </c>
      <c r="E148" t="s">
        <v>110</v>
      </c>
      <c r="F148" t="s">
        <v>64</v>
      </c>
      <c r="G148" s="1"/>
      <c r="H148" t="s">
        <v>40</v>
      </c>
      <c r="I148" s="1"/>
      <c r="J148" t="s">
        <v>40</v>
      </c>
      <c r="K148" s="2">
        <v>0</v>
      </c>
      <c r="L148" t="s">
        <v>40</v>
      </c>
      <c r="M148" s="2">
        <f>Table1[[#This Row],[Quantity]]*Table1[[#This Row],[Proposed Unit Price]]</f>
        <v>0</v>
      </c>
      <c r="N148" t="s">
        <v>40</v>
      </c>
      <c r="O148" s="1">
        <v>0</v>
      </c>
      <c r="P148" t="s">
        <v>40</v>
      </c>
      <c r="Q148" s="6">
        <v>46631</v>
      </c>
      <c r="R148" s="6">
        <v>46996</v>
      </c>
      <c r="S148" t="s">
        <v>188</v>
      </c>
      <c r="T148" t="s">
        <v>108</v>
      </c>
      <c r="U148" t="s">
        <v>47</v>
      </c>
      <c r="V148" t="s">
        <v>42</v>
      </c>
      <c r="W148" t="s">
        <v>43</v>
      </c>
      <c r="X148" t="s">
        <v>36</v>
      </c>
      <c r="Y148" t="s">
        <v>36</v>
      </c>
      <c r="Z148" t="s">
        <v>36</v>
      </c>
      <c r="AA148" t="s">
        <v>36</v>
      </c>
      <c r="AB148" t="s">
        <v>44</v>
      </c>
      <c r="AC148" t="s">
        <v>45</v>
      </c>
      <c r="AD148" t="s">
        <v>273</v>
      </c>
      <c r="AE148" t="s">
        <v>46</v>
      </c>
      <c r="AF148" t="s">
        <v>46</v>
      </c>
      <c r="AG148" t="s">
        <v>36</v>
      </c>
      <c r="AH148" t="s">
        <v>40</v>
      </c>
      <c r="AI148" t="s">
        <v>40</v>
      </c>
      <c r="AJ148" t="s">
        <v>40</v>
      </c>
    </row>
    <row r="149" spans="1:36" x14ac:dyDescent="0.25">
      <c r="A149" t="s">
        <v>34</v>
      </c>
      <c r="B149" t="s">
        <v>274</v>
      </c>
      <c r="C149" t="s">
        <v>36</v>
      </c>
      <c r="D149" t="s">
        <v>112</v>
      </c>
      <c r="E149" t="s">
        <v>113</v>
      </c>
      <c r="F149" t="s">
        <v>39</v>
      </c>
      <c r="G149" s="1"/>
      <c r="H149" t="s">
        <v>40</v>
      </c>
      <c r="I149" s="1"/>
      <c r="J149" t="s">
        <v>40</v>
      </c>
      <c r="K149" s="2">
        <v>0</v>
      </c>
      <c r="L149" t="s">
        <v>40</v>
      </c>
      <c r="M149" s="2">
        <f>Table1[[#This Row],[Quantity]]*Table1[[#This Row],[Proposed Unit Price]]</f>
        <v>0</v>
      </c>
      <c r="N149" t="s">
        <v>40</v>
      </c>
      <c r="O149" s="1">
        <v>0</v>
      </c>
      <c r="P149" t="s">
        <v>40</v>
      </c>
      <c r="Q149" s="6">
        <v>46631</v>
      </c>
      <c r="R149" s="6">
        <v>46996</v>
      </c>
      <c r="S149" t="s">
        <v>188</v>
      </c>
      <c r="T149" t="s">
        <v>111</v>
      </c>
      <c r="U149" t="s">
        <v>47</v>
      </c>
      <c r="V149" t="s">
        <v>42</v>
      </c>
      <c r="W149" t="s">
        <v>43</v>
      </c>
      <c r="X149" t="s">
        <v>36</v>
      </c>
      <c r="Y149" t="s">
        <v>36</v>
      </c>
      <c r="Z149" t="s">
        <v>36</v>
      </c>
      <c r="AA149" t="s">
        <v>36</v>
      </c>
      <c r="AB149" t="s">
        <v>44</v>
      </c>
      <c r="AC149" t="s">
        <v>45</v>
      </c>
      <c r="AD149" t="s">
        <v>274</v>
      </c>
      <c r="AE149" t="s">
        <v>46</v>
      </c>
      <c r="AF149" t="s">
        <v>46</v>
      </c>
      <c r="AG149" t="s">
        <v>36</v>
      </c>
      <c r="AH149" t="s">
        <v>40</v>
      </c>
      <c r="AI149" t="s">
        <v>40</v>
      </c>
      <c r="AJ149" t="s">
        <v>40</v>
      </c>
    </row>
    <row r="150" spans="1:36" x14ac:dyDescent="0.25">
      <c r="A150" t="s">
        <v>34</v>
      </c>
      <c r="B150" t="s">
        <v>275</v>
      </c>
      <c r="C150" t="s">
        <v>36</v>
      </c>
      <c r="D150" t="s">
        <v>115</v>
      </c>
      <c r="E150" t="s">
        <v>116</v>
      </c>
      <c r="F150" t="s">
        <v>39</v>
      </c>
      <c r="G150" s="1"/>
      <c r="H150" t="s">
        <v>40</v>
      </c>
      <c r="I150" s="1"/>
      <c r="J150" t="s">
        <v>40</v>
      </c>
      <c r="K150" s="2">
        <v>0</v>
      </c>
      <c r="L150" t="s">
        <v>40</v>
      </c>
      <c r="M150" s="2">
        <f>Table1[[#This Row],[Quantity]]*Table1[[#This Row],[Proposed Unit Price]]</f>
        <v>0</v>
      </c>
      <c r="N150" t="s">
        <v>40</v>
      </c>
      <c r="O150" s="1">
        <v>0</v>
      </c>
      <c r="P150" t="s">
        <v>40</v>
      </c>
      <c r="Q150" s="6">
        <v>46631</v>
      </c>
      <c r="R150" s="6">
        <v>46996</v>
      </c>
      <c r="S150" t="s">
        <v>188</v>
      </c>
      <c r="T150" t="s">
        <v>114</v>
      </c>
      <c r="U150" t="s">
        <v>47</v>
      </c>
      <c r="V150" t="s">
        <v>42</v>
      </c>
      <c r="W150" t="s">
        <v>43</v>
      </c>
      <c r="X150" t="s">
        <v>36</v>
      </c>
      <c r="Y150" t="s">
        <v>36</v>
      </c>
      <c r="Z150" t="s">
        <v>36</v>
      </c>
      <c r="AA150" t="s">
        <v>36</v>
      </c>
      <c r="AB150" t="s">
        <v>44</v>
      </c>
      <c r="AC150" t="s">
        <v>45</v>
      </c>
      <c r="AD150" t="s">
        <v>275</v>
      </c>
      <c r="AE150" t="s">
        <v>46</v>
      </c>
      <c r="AF150" t="s">
        <v>46</v>
      </c>
      <c r="AG150" t="s">
        <v>36</v>
      </c>
      <c r="AH150" t="s">
        <v>40</v>
      </c>
      <c r="AI150" t="s">
        <v>40</v>
      </c>
      <c r="AJ150" t="s">
        <v>40</v>
      </c>
    </row>
    <row r="151" spans="1:36" x14ac:dyDescent="0.25">
      <c r="A151" t="s">
        <v>34</v>
      </c>
      <c r="B151" t="s">
        <v>276</v>
      </c>
      <c r="C151" t="s">
        <v>36</v>
      </c>
      <c r="D151" t="s">
        <v>118</v>
      </c>
      <c r="E151" t="s">
        <v>119</v>
      </c>
      <c r="F151" t="s">
        <v>39</v>
      </c>
      <c r="G151" s="1"/>
      <c r="H151" t="s">
        <v>40</v>
      </c>
      <c r="I151" s="1"/>
      <c r="J151" t="s">
        <v>40</v>
      </c>
      <c r="K151" s="2">
        <v>0</v>
      </c>
      <c r="L151" t="s">
        <v>40</v>
      </c>
      <c r="M151" s="2">
        <f>Table1[[#This Row],[Quantity]]*Table1[[#This Row],[Proposed Unit Price]]</f>
        <v>0</v>
      </c>
      <c r="N151" t="s">
        <v>40</v>
      </c>
      <c r="O151" s="1">
        <v>0</v>
      </c>
      <c r="P151" t="s">
        <v>40</v>
      </c>
      <c r="Q151" s="6">
        <v>46631</v>
      </c>
      <c r="R151" s="6">
        <v>46996</v>
      </c>
      <c r="S151" t="s">
        <v>188</v>
      </c>
      <c r="T151" t="s">
        <v>117</v>
      </c>
      <c r="U151" t="s">
        <v>47</v>
      </c>
      <c r="V151" t="s">
        <v>42</v>
      </c>
      <c r="W151" t="s">
        <v>43</v>
      </c>
      <c r="X151" t="s">
        <v>36</v>
      </c>
      <c r="Y151" t="s">
        <v>36</v>
      </c>
      <c r="Z151" t="s">
        <v>36</v>
      </c>
      <c r="AA151" t="s">
        <v>36</v>
      </c>
      <c r="AB151" t="s">
        <v>44</v>
      </c>
      <c r="AC151" t="s">
        <v>45</v>
      </c>
      <c r="AD151" t="s">
        <v>276</v>
      </c>
      <c r="AE151" t="s">
        <v>46</v>
      </c>
      <c r="AF151" t="s">
        <v>46</v>
      </c>
      <c r="AG151" t="s">
        <v>36</v>
      </c>
      <c r="AH151" t="s">
        <v>40</v>
      </c>
      <c r="AI151" t="s">
        <v>40</v>
      </c>
      <c r="AJ151" t="s">
        <v>40</v>
      </c>
    </row>
    <row r="152" spans="1:36" x14ac:dyDescent="0.25">
      <c r="A152" t="s">
        <v>34</v>
      </c>
      <c r="B152" t="s">
        <v>277</v>
      </c>
      <c r="C152" t="s">
        <v>36</v>
      </c>
      <c r="D152" t="s">
        <v>121</v>
      </c>
      <c r="E152" t="s">
        <v>122</v>
      </c>
      <c r="F152" t="s">
        <v>39</v>
      </c>
      <c r="G152" s="1"/>
      <c r="H152" t="s">
        <v>40</v>
      </c>
      <c r="I152" s="1"/>
      <c r="J152" t="s">
        <v>40</v>
      </c>
      <c r="K152" s="2">
        <v>0</v>
      </c>
      <c r="L152" t="s">
        <v>40</v>
      </c>
      <c r="M152" s="2">
        <f>Table1[[#This Row],[Quantity]]*Table1[[#This Row],[Proposed Unit Price]]</f>
        <v>0</v>
      </c>
      <c r="N152" t="s">
        <v>40</v>
      </c>
      <c r="O152" s="1">
        <v>0</v>
      </c>
      <c r="P152" t="s">
        <v>40</v>
      </c>
      <c r="Q152" s="6">
        <v>46631</v>
      </c>
      <c r="R152" s="6">
        <v>46996</v>
      </c>
      <c r="S152" t="s">
        <v>188</v>
      </c>
      <c r="T152" t="s">
        <v>120</v>
      </c>
      <c r="U152" t="s">
        <v>47</v>
      </c>
      <c r="V152" t="s">
        <v>42</v>
      </c>
      <c r="W152" t="s">
        <v>43</v>
      </c>
      <c r="X152" t="s">
        <v>36</v>
      </c>
      <c r="Y152" t="s">
        <v>36</v>
      </c>
      <c r="Z152" t="s">
        <v>36</v>
      </c>
      <c r="AA152" t="s">
        <v>36</v>
      </c>
      <c r="AB152" t="s">
        <v>44</v>
      </c>
      <c r="AC152" t="s">
        <v>45</v>
      </c>
      <c r="AD152" t="s">
        <v>277</v>
      </c>
      <c r="AE152" t="s">
        <v>46</v>
      </c>
      <c r="AF152" t="s">
        <v>46</v>
      </c>
      <c r="AG152" t="s">
        <v>36</v>
      </c>
      <c r="AH152" t="s">
        <v>40</v>
      </c>
      <c r="AI152" t="s">
        <v>40</v>
      </c>
      <c r="AJ152" t="s">
        <v>40</v>
      </c>
    </row>
    <row r="153" spans="1:36" x14ac:dyDescent="0.25">
      <c r="A153" t="s">
        <v>34</v>
      </c>
      <c r="B153" t="s">
        <v>278</v>
      </c>
      <c r="C153" t="s">
        <v>36</v>
      </c>
      <c r="D153" t="s">
        <v>124</v>
      </c>
      <c r="E153" t="s">
        <v>110</v>
      </c>
      <c r="F153" t="s">
        <v>39</v>
      </c>
      <c r="G153" s="1"/>
      <c r="H153" t="s">
        <v>40</v>
      </c>
      <c r="I153" s="1"/>
      <c r="J153" t="s">
        <v>40</v>
      </c>
      <c r="K153" s="2">
        <v>0</v>
      </c>
      <c r="L153" t="s">
        <v>40</v>
      </c>
      <c r="M153" s="2">
        <f>Table1[[#This Row],[Quantity]]*Table1[[#This Row],[Proposed Unit Price]]</f>
        <v>0</v>
      </c>
      <c r="N153" t="s">
        <v>40</v>
      </c>
      <c r="O153" s="1">
        <v>0</v>
      </c>
      <c r="P153" t="s">
        <v>40</v>
      </c>
      <c r="Q153" s="6">
        <v>46631</v>
      </c>
      <c r="R153" s="6">
        <v>46996</v>
      </c>
      <c r="S153" t="s">
        <v>188</v>
      </c>
      <c r="T153" t="s">
        <v>123</v>
      </c>
      <c r="U153" t="s">
        <v>47</v>
      </c>
      <c r="V153" t="s">
        <v>42</v>
      </c>
      <c r="W153" t="s">
        <v>43</v>
      </c>
      <c r="X153" t="s">
        <v>36</v>
      </c>
      <c r="Y153" t="s">
        <v>36</v>
      </c>
      <c r="Z153" t="s">
        <v>36</v>
      </c>
      <c r="AA153" t="s">
        <v>36</v>
      </c>
      <c r="AB153" t="s">
        <v>44</v>
      </c>
      <c r="AC153" t="s">
        <v>45</v>
      </c>
      <c r="AD153" t="s">
        <v>278</v>
      </c>
      <c r="AE153" t="s">
        <v>46</v>
      </c>
      <c r="AF153" t="s">
        <v>46</v>
      </c>
      <c r="AG153" t="s">
        <v>36</v>
      </c>
      <c r="AH153" t="s">
        <v>40</v>
      </c>
      <c r="AI153" t="s">
        <v>40</v>
      </c>
      <c r="AJ153" t="s">
        <v>40</v>
      </c>
    </row>
    <row r="154" spans="1:36" x14ac:dyDescent="0.25">
      <c r="A154" t="s">
        <v>34</v>
      </c>
      <c r="B154" t="s">
        <v>279</v>
      </c>
      <c r="C154" t="s">
        <v>36</v>
      </c>
      <c r="D154" t="s">
        <v>126</v>
      </c>
      <c r="E154" t="s">
        <v>127</v>
      </c>
      <c r="F154" t="s">
        <v>39</v>
      </c>
      <c r="G154" s="1"/>
      <c r="H154" t="s">
        <v>40</v>
      </c>
      <c r="I154" s="1"/>
      <c r="J154" t="s">
        <v>40</v>
      </c>
      <c r="K154" s="2">
        <v>0</v>
      </c>
      <c r="L154" t="s">
        <v>40</v>
      </c>
      <c r="M154" s="2">
        <f>Table1[[#This Row],[Quantity]]*Table1[[#This Row],[Proposed Unit Price]]</f>
        <v>0</v>
      </c>
      <c r="N154" t="s">
        <v>40</v>
      </c>
      <c r="O154" s="1">
        <v>0</v>
      </c>
      <c r="P154" t="s">
        <v>40</v>
      </c>
      <c r="Q154" s="6">
        <v>46631</v>
      </c>
      <c r="R154" s="6">
        <v>46996</v>
      </c>
      <c r="S154" t="s">
        <v>188</v>
      </c>
      <c r="T154" t="s">
        <v>125</v>
      </c>
      <c r="U154" t="s">
        <v>47</v>
      </c>
      <c r="V154" t="s">
        <v>42</v>
      </c>
      <c r="W154" t="s">
        <v>43</v>
      </c>
      <c r="X154" t="s">
        <v>36</v>
      </c>
      <c r="Y154" t="s">
        <v>36</v>
      </c>
      <c r="Z154" t="s">
        <v>36</v>
      </c>
      <c r="AA154" t="s">
        <v>36</v>
      </c>
      <c r="AB154" t="s">
        <v>44</v>
      </c>
      <c r="AC154" t="s">
        <v>45</v>
      </c>
      <c r="AD154" t="s">
        <v>279</v>
      </c>
      <c r="AE154" t="s">
        <v>46</v>
      </c>
      <c r="AF154" t="s">
        <v>46</v>
      </c>
      <c r="AG154" t="s">
        <v>36</v>
      </c>
      <c r="AH154" t="s">
        <v>40</v>
      </c>
      <c r="AI154" t="s">
        <v>40</v>
      </c>
      <c r="AJ154" t="s">
        <v>40</v>
      </c>
    </row>
    <row r="155" spans="1:36" x14ac:dyDescent="0.25">
      <c r="A155" t="s">
        <v>34</v>
      </c>
      <c r="B155" t="s">
        <v>280</v>
      </c>
      <c r="C155" t="s">
        <v>36</v>
      </c>
      <c r="D155" t="s">
        <v>129</v>
      </c>
      <c r="E155" t="s">
        <v>130</v>
      </c>
      <c r="F155" t="s">
        <v>39</v>
      </c>
      <c r="G155" s="1"/>
      <c r="H155" t="s">
        <v>40</v>
      </c>
      <c r="I155" s="1"/>
      <c r="J155" t="s">
        <v>40</v>
      </c>
      <c r="K155" s="2"/>
      <c r="L155" t="s">
        <v>40</v>
      </c>
      <c r="M155" s="2">
        <f>Table1[[#This Row],[Quantity]]*Table1[[#This Row],[Proposed Unit Price]]</f>
        <v>0</v>
      </c>
      <c r="N155" t="s">
        <v>40</v>
      </c>
      <c r="O155" s="1">
        <v>0</v>
      </c>
      <c r="P155" t="s">
        <v>40</v>
      </c>
      <c r="Q155" s="6">
        <v>46631</v>
      </c>
      <c r="R155" s="6">
        <v>46996</v>
      </c>
      <c r="S155" t="s">
        <v>188</v>
      </c>
      <c r="T155" t="s">
        <v>128</v>
      </c>
      <c r="U155" t="s">
        <v>47</v>
      </c>
      <c r="V155" t="s">
        <v>42</v>
      </c>
      <c r="W155" t="s">
        <v>43</v>
      </c>
      <c r="X155" t="s">
        <v>36</v>
      </c>
      <c r="Y155" t="s">
        <v>36</v>
      </c>
      <c r="Z155" t="s">
        <v>36</v>
      </c>
      <c r="AA155" t="s">
        <v>36</v>
      </c>
      <c r="AB155" t="s">
        <v>44</v>
      </c>
      <c r="AC155" t="s">
        <v>45</v>
      </c>
      <c r="AD155" t="s">
        <v>280</v>
      </c>
      <c r="AE155" t="s">
        <v>46</v>
      </c>
      <c r="AF155" t="s">
        <v>46</v>
      </c>
      <c r="AG155" t="s">
        <v>36</v>
      </c>
      <c r="AH155" t="s">
        <v>40</v>
      </c>
      <c r="AI155" t="s">
        <v>40</v>
      </c>
      <c r="AJ155" t="s">
        <v>40</v>
      </c>
    </row>
    <row r="156" spans="1:36" x14ac:dyDescent="0.25">
      <c r="A156" t="s">
        <v>34</v>
      </c>
      <c r="B156" t="s">
        <v>281</v>
      </c>
      <c r="C156" t="s">
        <v>36</v>
      </c>
      <c r="D156" t="s">
        <v>132</v>
      </c>
      <c r="E156" t="s">
        <v>133</v>
      </c>
      <c r="F156" t="s">
        <v>39</v>
      </c>
      <c r="G156" s="1"/>
      <c r="H156" t="s">
        <v>40</v>
      </c>
      <c r="I156" s="1"/>
      <c r="J156" t="s">
        <v>40</v>
      </c>
      <c r="K156" s="2">
        <v>0</v>
      </c>
      <c r="L156" t="s">
        <v>40</v>
      </c>
      <c r="M156" s="2">
        <f>Table1[[#This Row],[Quantity]]*Table1[[#This Row],[Proposed Unit Price]]</f>
        <v>0</v>
      </c>
      <c r="N156" t="s">
        <v>40</v>
      </c>
      <c r="O156" s="1">
        <v>0</v>
      </c>
      <c r="P156" t="s">
        <v>40</v>
      </c>
      <c r="Q156" s="6">
        <v>46631</v>
      </c>
      <c r="R156" s="6">
        <v>46996</v>
      </c>
      <c r="S156" t="s">
        <v>188</v>
      </c>
      <c r="T156" t="s">
        <v>131</v>
      </c>
      <c r="U156" t="s">
        <v>47</v>
      </c>
      <c r="V156" t="s">
        <v>42</v>
      </c>
      <c r="W156" t="s">
        <v>43</v>
      </c>
      <c r="X156" t="s">
        <v>36</v>
      </c>
      <c r="Y156" t="s">
        <v>36</v>
      </c>
      <c r="Z156" t="s">
        <v>36</v>
      </c>
      <c r="AA156" t="s">
        <v>36</v>
      </c>
      <c r="AB156" t="s">
        <v>44</v>
      </c>
      <c r="AC156" t="s">
        <v>45</v>
      </c>
      <c r="AD156" t="s">
        <v>281</v>
      </c>
      <c r="AE156" t="s">
        <v>46</v>
      </c>
      <c r="AF156" t="s">
        <v>46</v>
      </c>
      <c r="AG156" t="s">
        <v>36</v>
      </c>
      <c r="AH156" t="s">
        <v>40</v>
      </c>
      <c r="AI156" t="s">
        <v>40</v>
      </c>
      <c r="AJ156" t="s">
        <v>40</v>
      </c>
    </row>
    <row r="157" spans="1:36" x14ac:dyDescent="0.25">
      <c r="A157" t="s">
        <v>34</v>
      </c>
      <c r="B157" t="s">
        <v>282</v>
      </c>
      <c r="C157" t="s">
        <v>36</v>
      </c>
      <c r="D157" t="s">
        <v>134</v>
      </c>
      <c r="E157" t="s">
        <v>135</v>
      </c>
      <c r="F157" t="s">
        <v>39</v>
      </c>
      <c r="G157" s="1"/>
      <c r="H157" t="s">
        <v>40</v>
      </c>
      <c r="I157" s="1"/>
      <c r="J157" t="s">
        <v>40</v>
      </c>
      <c r="K157" s="2">
        <v>0</v>
      </c>
      <c r="L157" t="s">
        <v>40</v>
      </c>
      <c r="M157" s="2">
        <f>Table1[[#This Row],[Quantity]]*Table1[[#This Row],[Proposed Unit Price]]</f>
        <v>0</v>
      </c>
      <c r="N157" t="s">
        <v>40</v>
      </c>
      <c r="O157" s="1">
        <v>0</v>
      </c>
      <c r="P157" t="s">
        <v>40</v>
      </c>
      <c r="Q157" s="6">
        <v>46631</v>
      </c>
      <c r="R157" s="6">
        <v>46996</v>
      </c>
      <c r="S157" t="s">
        <v>188</v>
      </c>
      <c r="T157" t="s">
        <v>67</v>
      </c>
      <c r="U157" t="s">
        <v>47</v>
      </c>
      <c r="V157" t="s">
        <v>42</v>
      </c>
      <c r="W157" t="s">
        <v>43</v>
      </c>
      <c r="X157" t="s">
        <v>36</v>
      </c>
      <c r="Y157" t="s">
        <v>36</v>
      </c>
      <c r="Z157" t="s">
        <v>36</v>
      </c>
      <c r="AA157" t="s">
        <v>36</v>
      </c>
      <c r="AB157" t="s">
        <v>44</v>
      </c>
      <c r="AC157" t="s">
        <v>45</v>
      </c>
      <c r="AD157" t="s">
        <v>282</v>
      </c>
      <c r="AE157" t="s">
        <v>46</v>
      </c>
      <c r="AF157" t="s">
        <v>46</v>
      </c>
      <c r="AG157" t="s">
        <v>36</v>
      </c>
      <c r="AH157" t="s">
        <v>40</v>
      </c>
      <c r="AI157" t="s">
        <v>40</v>
      </c>
      <c r="AJ157" t="s">
        <v>40</v>
      </c>
    </row>
    <row r="158" spans="1:36" x14ac:dyDescent="0.25">
      <c r="A158" t="s">
        <v>34</v>
      </c>
      <c r="B158" t="s">
        <v>283</v>
      </c>
      <c r="C158" t="s">
        <v>36</v>
      </c>
      <c r="D158" t="s">
        <v>224</v>
      </c>
      <c r="E158" t="s">
        <v>63</v>
      </c>
      <c r="F158" t="s">
        <v>64</v>
      </c>
      <c r="G158" s="1"/>
      <c r="H158" t="s">
        <v>40</v>
      </c>
      <c r="I158" s="1"/>
      <c r="J158" t="s">
        <v>40</v>
      </c>
      <c r="K158" s="2">
        <v>0</v>
      </c>
      <c r="L158" t="s">
        <v>40</v>
      </c>
      <c r="M158" s="2">
        <f>Table1[[#This Row],[Quantity]]*Table1[[#This Row],[Proposed Unit Price]]</f>
        <v>0</v>
      </c>
      <c r="N158" t="s">
        <v>40</v>
      </c>
      <c r="O158" s="1">
        <v>0</v>
      </c>
      <c r="P158" t="s">
        <v>40</v>
      </c>
      <c r="Q158" s="6">
        <v>46631</v>
      </c>
      <c r="R158" s="6">
        <v>46996</v>
      </c>
      <c r="S158" t="s">
        <v>188</v>
      </c>
      <c r="T158" t="s">
        <v>136</v>
      </c>
      <c r="U158" t="s">
        <v>47</v>
      </c>
      <c r="V158" t="s">
        <v>42</v>
      </c>
      <c r="W158" t="s">
        <v>43</v>
      </c>
      <c r="X158" t="s">
        <v>36</v>
      </c>
      <c r="Y158" t="s">
        <v>36</v>
      </c>
      <c r="Z158" t="s">
        <v>36</v>
      </c>
      <c r="AA158" t="s">
        <v>36</v>
      </c>
      <c r="AB158" t="s">
        <v>44</v>
      </c>
      <c r="AC158" t="s">
        <v>45</v>
      </c>
      <c r="AD158" t="s">
        <v>283</v>
      </c>
      <c r="AE158" t="s">
        <v>46</v>
      </c>
      <c r="AF158" t="s">
        <v>46</v>
      </c>
      <c r="AG158" t="s">
        <v>36</v>
      </c>
      <c r="AH158" t="s">
        <v>40</v>
      </c>
      <c r="AI158" t="s">
        <v>40</v>
      </c>
      <c r="AJ158" t="s">
        <v>40</v>
      </c>
    </row>
    <row r="159" spans="1:36" x14ac:dyDescent="0.25">
      <c r="A159" t="s">
        <v>34</v>
      </c>
      <c r="B159" t="s">
        <v>284</v>
      </c>
      <c r="C159" t="s">
        <v>36</v>
      </c>
      <c r="D159" t="s">
        <v>139</v>
      </c>
      <c r="E159" t="s">
        <v>67</v>
      </c>
      <c r="F159" t="s">
        <v>39</v>
      </c>
      <c r="G159" s="1"/>
      <c r="H159" t="s">
        <v>40</v>
      </c>
      <c r="I159" s="1"/>
      <c r="J159" t="s">
        <v>40</v>
      </c>
      <c r="K159" s="2">
        <v>0</v>
      </c>
      <c r="L159" t="s">
        <v>40</v>
      </c>
      <c r="M159" s="2">
        <f>Table1[[#This Row],[Quantity]]*Table1[[#This Row],[Proposed Unit Price]]</f>
        <v>0</v>
      </c>
      <c r="N159" t="s">
        <v>40</v>
      </c>
      <c r="O159" s="1">
        <v>0</v>
      </c>
      <c r="P159" t="s">
        <v>40</v>
      </c>
      <c r="Q159" s="6">
        <v>46631</v>
      </c>
      <c r="R159" s="6">
        <v>46996</v>
      </c>
      <c r="S159" t="s">
        <v>188</v>
      </c>
      <c r="T159" t="s">
        <v>138</v>
      </c>
      <c r="U159" t="s">
        <v>47</v>
      </c>
      <c r="V159" t="s">
        <v>42</v>
      </c>
      <c r="W159" t="s">
        <v>43</v>
      </c>
      <c r="X159" t="s">
        <v>36</v>
      </c>
      <c r="Y159" t="s">
        <v>36</v>
      </c>
      <c r="Z159" t="s">
        <v>36</v>
      </c>
      <c r="AA159" t="s">
        <v>36</v>
      </c>
      <c r="AB159" t="s">
        <v>44</v>
      </c>
      <c r="AC159" t="s">
        <v>45</v>
      </c>
      <c r="AD159" t="s">
        <v>284</v>
      </c>
      <c r="AE159" t="s">
        <v>46</v>
      </c>
      <c r="AF159" t="s">
        <v>46</v>
      </c>
      <c r="AG159" t="s">
        <v>36</v>
      </c>
      <c r="AH159" t="s">
        <v>40</v>
      </c>
      <c r="AI159" t="s">
        <v>40</v>
      </c>
      <c r="AJ159" t="s">
        <v>40</v>
      </c>
    </row>
    <row r="160" spans="1:36" x14ac:dyDescent="0.25">
      <c r="A160" t="s">
        <v>34</v>
      </c>
      <c r="B160" t="s">
        <v>285</v>
      </c>
      <c r="C160" t="s">
        <v>36</v>
      </c>
      <c r="D160" t="s">
        <v>141</v>
      </c>
      <c r="E160" t="s">
        <v>142</v>
      </c>
      <c r="F160" t="s">
        <v>71</v>
      </c>
      <c r="G160" s="1"/>
      <c r="H160" t="s">
        <v>40</v>
      </c>
      <c r="I160" s="1"/>
      <c r="J160" t="s">
        <v>40</v>
      </c>
      <c r="K160" s="2">
        <v>0</v>
      </c>
      <c r="L160" t="s">
        <v>40</v>
      </c>
      <c r="M160" s="2">
        <f>Table1[[#This Row],[Quantity]]*Table1[[#This Row],[Proposed Unit Price]]</f>
        <v>0</v>
      </c>
      <c r="N160" t="s">
        <v>40</v>
      </c>
      <c r="O160" s="1">
        <v>0</v>
      </c>
      <c r="P160" t="s">
        <v>40</v>
      </c>
      <c r="Q160" s="6">
        <v>46631</v>
      </c>
      <c r="R160" s="6">
        <v>46996</v>
      </c>
      <c r="S160" t="s">
        <v>188</v>
      </c>
      <c r="T160" t="s">
        <v>140</v>
      </c>
      <c r="U160" t="s">
        <v>47</v>
      </c>
      <c r="V160" t="s">
        <v>42</v>
      </c>
      <c r="W160" t="s">
        <v>43</v>
      </c>
      <c r="X160" t="s">
        <v>36</v>
      </c>
      <c r="Y160" t="s">
        <v>36</v>
      </c>
      <c r="Z160" t="s">
        <v>36</v>
      </c>
      <c r="AA160" t="s">
        <v>36</v>
      </c>
      <c r="AB160" t="s">
        <v>44</v>
      </c>
      <c r="AC160" t="s">
        <v>45</v>
      </c>
      <c r="AD160" t="s">
        <v>285</v>
      </c>
      <c r="AE160" t="s">
        <v>46</v>
      </c>
      <c r="AF160" t="s">
        <v>46</v>
      </c>
      <c r="AG160" t="s">
        <v>36</v>
      </c>
      <c r="AH160" t="s">
        <v>40</v>
      </c>
      <c r="AI160" t="s">
        <v>40</v>
      </c>
      <c r="AJ160" t="s">
        <v>40</v>
      </c>
    </row>
    <row r="161" spans="1:36" x14ac:dyDescent="0.25">
      <c r="A161" t="s">
        <v>34</v>
      </c>
      <c r="B161" t="s">
        <v>286</v>
      </c>
      <c r="C161" t="s">
        <v>36</v>
      </c>
      <c r="D161" t="s">
        <v>144</v>
      </c>
      <c r="E161" t="s">
        <v>50</v>
      </c>
      <c r="F161" t="s">
        <v>39</v>
      </c>
      <c r="G161" s="1"/>
      <c r="H161" t="s">
        <v>40</v>
      </c>
      <c r="I161" s="1"/>
      <c r="J161" t="s">
        <v>40</v>
      </c>
      <c r="K161" s="2">
        <v>0</v>
      </c>
      <c r="L161" t="s">
        <v>40</v>
      </c>
      <c r="M161" s="2">
        <f>Table1[[#This Row],[Quantity]]*Table1[[#This Row],[Proposed Unit Price]]</f>
        <v>0</v>
      </c>
      <c r="N161" t="s">
        <v>40</v>
      </c>
      <c r="O161" s="1">
        <v>0</v>
      </c>
      <c r="P161" t="s">
        <v>40</v>
      </c>
      <c r="Q161" s="6">
        <v>46631</v>
      </c>
      <c r="R161" s="6">
        <v>46996</v>
      </c>
      <c r="S161" t="s">
        <v>188</v>
      </c>
      <c r="T161" t="s">
        <v>143</v>
      </c>
      <c r="U161" t="s">
        <v>47</v>
      </c>
      <c r="V161" t="s">
        <v>42</v>
      </c>
      <c r="W161" t="s">
        <v>43</v>
      </c>
      <c r="X161" t="s">
        <v>36</v>
      </c>
      <c r="Y161" t="s">
        <v>36</v>
      </c>
      <c r="Z161" t="s">
        <v>36</v>
      </c>
      <c r="AA161" t="s">
        <v>36</v>
      </c>
      <c r="AB161" t="s">
        <v>44</v>
      </c>
      <c r="AC161" t="s">
        <v>45</v>
      </c>
      <c r="AD161" t="s">
        <v>286</v>
      </c>
      <c r="AE161" t="s">
        <v>46</v>
      </c>
      <c r="AF161" t="s">
        <v>46</v>
      </c>
      <c r="AG161" t="s">
        <v>36</v>
      </c>
      <c r="AH161" t="s">
        <v>40</v>
      </c>
      <c r="AI161" t="s">
        <v>40</v>
      </c>
      <c r="AJ161" t="s">
        <v>40</v>
      </c>
    </row>
    <row r="162" spans="1:36" x14ac:dyDescent="0.25">
      <c r="A162" t="s">
        <v>34</v>
      </c>
      <c r="B162" t="s">
        <v>287</v>
      </c>
      <c r="C162" t="s">
        <v>36</v>
      </c>
      <c r="D162" t="s">
        <v>146</v>
      </c>
      <c r="E162" t="s">
        <v>53</v>
      </c>
      <c r="F162" t="s">
        <v>39</v>
      </c>
      <c r="G162" s="1"/>
      <c r="H162" t="s">
        <v>40</v>
      </c>
      <c r="I162" s="1"/>
      <c r="J162" t="s">
        <v>40</v>
      </c>
      <c r="K162" s="2">
        <v>0</v>
      </c>
      <c r="L162" t="s">
        <v>40</v>
      </c>
      <c r="M162" s="2">
        <f>Table1[[#This Row],[Quantity]]*Table1[[#This Row],[Proposed Unit Price]]</f>
        <v>0</v>
      </c>
      <c r="N162" t="s">
        <v>40</v>
      </c>
      <c r="O162" s="1">
        <v>0</v>
      </c>
      <c r="P162" t="s">
        <v>40</v>
      </c>
      <c r="Q162" s="6">
        <v>46631</v>
      </c>
      <c r="R162" s="6">
        <v>46996</v>
      </c>
      <c r="S162" t="s">
        <v>188</v>
      </c>
      <c r="T162" t="s">
        <v>145</v>
      </c>
      <c r="U162" t="s">
        <v>47</v>
      </c>
      <c r="V162" t="s">
        <v>42</v>
      </c>
      <c r="W162" t="s">
        <v>43</v>
      </c>
      <c r="X162" t="s">
        <v>36</v>
      </c>
      <c r="Y162" t="s">
        <v>36</v>
      </c>
      <c r="Z162" t="s">
        <v>36</v>
      </c>
      <c r="AA162" t="s">
        <v>36</v>
      </c>
      <c r="AB162" t="s">
        <v>44</v>
      </c>
      <c r="AC162" t="s">
        <v>45</v>
      </c>
      <c r="AD162" t="s">
        <v>287</v>
      </c>
      <c r="AE162" t="s">
        <v>46</v>
      </c>
      <c r="AF162" t="s">
        <v>46</v>
      </c>
      <c r="AG162" t="s">
        <v>36</v>
      </c>
      <c r="AH162" t="s">
        <v>40</v>
      </c>
      <c r="AI162" t="s">
        <v>40</v>
      </c>
      <c r="AJ162" t="s">
        <v>40</v>
      </c>
    </row>
    <row r="163" spans="1:36" x14ac:dyDescent="0.25">
      <c r="A163" t="s">
        <v>34</v>
      </c>
      <c r="B163" t="s">
        <v>288</v>
      </c>
      <c r="C163" t="s">
        <v>36</v>
      </c>
      <c r="D163" t="s">
        <v>148</v>
      </c>
      <c r="E163" t="s">
        <v>123</v>
      </c>
      <c r="F163" t="s">
        <v>71</v>
      </c>
      <c r="G163" s="1"/>
      <c r="H163" t="s">
        <v>40</v>
      </c>
      <c r="I163" s="1"/>
      <c r="J163" t="s">
        <v>40</v>
      </c>
      <c r="K163" s="2">
        <v>0</v>
      </c>
      <c r="L163" t="s">
        <v>40</v>
      </c>
      <c r="M163" s="2">
        <f>Table1[[#This Row],[Quantity]]*Table1[[#This Row],[Proposed Unit Price]]</f>
        <v>0</v>
      </c>
      <c r="N163" t="s">
        <v>40</v>
      </c>
      <c r="O163" s="1">
        <v>0</v>
      </c>
      <c r="P163" t="s">
        <v>40</v>
      </c>
      <c r="Q163" s="6">
        <v>46631</v>
      </c>
      <c r="R163" s="6">
        <v>46996</v>
      </c>
      <c r="S163" t="s">
        <v>188</v>
      </c>
      <c r="T163" t="s">
        <v>147</v>
      </c>
      <c r="U163" t="s">
        <v>47</v>
      </c>
      <c r="V163" t="s">
        <v>42</v>
      </c>
      <c r="W163" t="s">
        <v>43</v>
      </c>
      <c r="X163" t="s">
        <v>36</v>
      </c>
      <c r="Y163" t="s">
        <v>36</v>
      </c>
      <c r="Z163" t="s">
        <v>36</v>
      </c>
      <c r="AA163" t="s">
        <v>36</v>
      </c>
      <c r="AB163" t="s">
        <v>44</v>
      </c>
      <c r="AC163" t="s">
        <v>45</v>
      </c>
      <c r="AD163" t="s">
        <v>288</v>
      </c>
      <c r="AE163" t="s">
        <v>46</v>
      </c>
      <c r="AF163" t="s">
        <v>46</v>
      </c>
      <c r="AG163" t="s">
        <v>36</v>
      </c>
      <c r="AH163" t="s">
        <v>40</v>
      </c>
      <c r="AI163" t="s">
        <v>40</v>
      </c>
      <c r="AJ163" t="s">
        <v>40</v>
      </c>
    </row>
    <row r="164" spans="1:36" x14ac:dyDescent="0.25">
      <c r="A164" t="s">
        <v>34</v>
      </c>
      <c r="B164" t="s">
        <v>289</v>
      </c>
      <c r="C164" t="s">
        <v>36</v>
      </c>
      <c r="D164" t="s">
        <v>150</v>
      </c>
      <c r="E164" t="s">
        <v>47</v>
      </c>
      <c r="F164" t="s">
        <v>39</v>
      </c>
      <c r="G164" s="1"/>
      <c r="H164" t="s">
        <v>40</v>
      </c>
      <c r="I164" s="1"/>
      <c r="J164" t="s">
        <v>40</v>
      </c>
      <c r="K164" s="2">
        <v>0</v>
      </c>
      <c r="L164" t="s">
        <v>40</v>
      </c>
      <c r="M164" s="2">
        <f>Table1[[#This Row],[Quantity]]*Table1[[#This Row],[Proposed Unit Price]]</f>
        <v>0</v>
      </c>
      <c r="N164" t="s">
        <v>40</v>
      </c>
      <c r="O164" s="1">
        <v>0</v>
      </c>
      <c r="P164" t="s">
        <v>40</v>
      </c>
      <c r="Q164" s="6">
        <v>46631</v>
      </c>
      <c r="R164" s="6">
        <v>46996</v>
      </c>
      <c r="S164" t="s">
        <v>188</v>
      </c>
      <c r="T164" t="s">
        <v>149</v>
      </c>
      <c r="U164" t="s">
        <v>47</v>
      </c>
      <c r="V164" t="s">
        <v>42</v>
      </c>
      <c r="W164" t="s">
        <v>43</v>
      </c>
      <c r="X164" t="s">
        <v>36</v>
      </c>
      <c r="Y164" t="s">
        <v>36</v>
      </c>
      <c r="Z164" t="s">
        <v>36</v>
      </c>
      <c r="AA164" t="s">
        <v>36</v>
      </c>
      <c r="AB164" t="s">
        <v>44</v>
      </c>
      <c r="AC164" t="s">
        <v>45</v>
      </c>
      <c r="AD164" t="s">
        <v>289</v>
      </c>
      <c r="AE164" t="s">
        <v>46</v>
      </c>
      <c r="AF164" t="s">
        <v>46</v>
      </c>
      <c r="AG164" t="s">
        <v>36</v>
      </c>
      <c r="AH164" t="s">
        <v>40</v>
      </c>
      <c r="AI164" t="s">
        <v>40</v>
      </c>
      <c r="AJ164" t="s">
        <v>40</v>
      </c>
    </row>
    <row r="165" spans="1:36" x14ac:dyDescent="0.25">
      <c r="A165" t="s">
        <v>34</v>
      </c>
      <c r="B165" t="s">
        <v>290</v>
      </c>
      <c r="C165" t="s">
        <v>36</v>
      </c>
      <c r="D165" t="s">
        <v>152</v>
      </c>
      <c r="E165" t="s">
        <v>35</v>
      </c>
      <c r="F165" t="s">
        <v>39</v>
      </c>
      <c r="G165" s="1"/>
      <c r="H165" t="s">
        <v>40</v>
      </c>
      <c r="I165" s="1"/>
      <c r="J165" t="s">
        <v>40</v>
      </c>
      <c r="K165" s="2">
        <v>0</v>
      </c>
      <c r="L165" t="s">
        <v>40</v>
      </c>
      <c r="M165" s="2">
        <f>Table1[[#This Row],[Quantity]]*Table1[[#This Row],[Proposed Unit Price]]</f>
        <v>0</v>
      </c>
      <c r="N165" t="s">
        <v>40</v>
      </c>
      <c r="O165" s="1">
        <v>0</v>
      </c>
      <c r="P165" t="s">
        <v>40</v>
      </c>
      <c r="Q165" s="6">
        <v>46631</v>
      </c>
      <c r="R165" s="6">
        <v>46996</v>
      </c>
      <c r="S165" t="s">
        <v>188</v>
      </c>
      <c r="T165" t="s">
        <v>151</v>
      </c>
      <c r="U165" t="s">
        <v>47</v>
      </c>
      <c r="V165" t="s">
        <v>83</v>
      </c>
      <c r="W165" t="s">
        <v>84</v>
      </c>
      <c r="X165" t="s">
        <v>36</v>
      </c>
      <c r="Y165" t="s">
        <v>36</v>
      </c>
      <c r="Z165" t="s">
        <v>36</v>
      </c>
      <c r="AA165" t="s">
        <v>36</v>
      </c>
      <c r="AB165" t="s">
        <v>44</v>
      </c>
      <c r="AC165" t="s">
        <v>45</v>
      </c>
      <c r="AD165" t="s">
        <v>290</v>
      </c>
      <c r="AE165" t="s">
        <v>46</v>
      </c>
      <c r="AF165" t="s">
        <v>46</v>
      </c>
      <c r="AG165" t="s">
        <v>36</v>
      </c>
      <c r="AH165" t="s">
        <v>40</v>
      </c>
      <c r="AI165" t="s">
        <v>40</v>
      </c>
      <c r="AJ165" t="s">
        <v>40</v>
      </c>
    </row>
    <row r="166" spans="1:36" x14ac:dyDescent="0.25">
      <c r="A166" t="s">
        <v>34</v>
      </c>
      <c r="B166" t="s">
        <v>291</v>
      </c>
      <c r="C166" t="s">
        <v>36</v>
      </c>
      <c r="D166" t="s">
        <v>154</v>
      </c>
      <c r="E166" t="s">
        <v>67</v>
      </c>
      <c r="F166" t="s">
        <v>87</v>
      </c>
      <c r="G166" s="1"/>
      <c r="H166" t="s">
        <v>40</v>
      </c>
      <c r="I166" s="1"/>
      <c r="J166" t="s">
        <v>40</v>
      </c>
      <c r="K166" s="2">
        <v>0</v>
      </c>
      <c r="L166" t="s">
        <v>40</v>
      </c>
      <c r="M166" s="2">
        <f>Table1[[#This Row],[Quantity]]*Table1[[#This Row],[Proposed Unit Price]]</f>
        <v>0</v>
      </c>
      <c r="N166" t="s">
        <v>40</v>
      </c>
      <c r="O166" s="1">
        <v>0</v>
      </c>
      <c r="P166" t="s">
        <v>40</v>
      </c>
      <c r="Q166" s="6">
        <v>46631</v>
      </c>
      <c r="R166" s="6">
        <v>46996</v>
      </c>
      <c r="S166" t="s">
        <v>188</v>
      </c>
      <c r="T166" t="s">
        <v>153</v>
      </c>
      <c r="U166" t="s">
        <v>47</v>
      </c>
      <c r="V166" t="s">
        <v>42</v>
      </c>
      <c r="W166" t="s">
        <v>43</v>
      </c>
      <c r="X166" t="s">
        <v>36</v>
      </c>
      <c r="Y166" t="s">
        <v>36</v>
      </c>
      <c r="Z166" t="s">
        <v>36</v>
      </c>
      <c r="AA166" t="s">
        <v>36</v>
      </c>
      <c r="AB166" t="s">
        <v>44</v>
      </c>
      <c r="AC166" t="s">
        <v>45</v>
      </c>
      <c r="AD166" t="s">
        <v>291</v>
      </c>
      <c r="AE166" t="s">
        <v>46</v>
      </c>
      <c r="AF166" t="s">
        <v>46</v>
      </c>
      <c r="AG166" t="s">
        <v>36</v>
      </c>
      <c r="AH166" t="s">
        <v>40</v>
      </c>
      <c r="AI166" t="s">
        <v>40</v>
      </c>
      <c r="AJ166" t="s">
        <v>40</v>
      </c>
    </row>
    <row r="167" spans="1:36" x14ac:dyDescent="0.25">
      <c r="A167" t="s">
        <v>34</v>
      </c>
      <c r="B167" t="s">
        <v>292</v>
      </c>
      <c r="C167" t="s">
        <v>36</v>
      </c>
      <c r="D167" t="s">
        <v>156</v>
      </c>
      <c r="E167" t="s">
        <v>53</v>
      </c>
      <c r="F167" t="s">
        <v>39</v>
      </c>
      <c r="G167" s="1"/>
      <c r="H167" t="s">
        <v>40</v>
      </c>
      <c r="I167" s="1"/>
      <c r="J167" t="s">
        <v>40</v>
      </c>
      <c r="K167" s="2">
        <v>0</v>
      </c>
      <c r="L167" t="s">
        <v>40</v>
      </c>
      <c r="M167" s="2">
        <f>Table1[[#This Row],[Quantity]]*Table1[[#This Row],[Proposed Unit Price]]</f>
        <v>0</v>
      </c>
      <c r="N167" t="s">
        <v>40</v>
      </c>
      <c r="O167" s="1">
        <v>0</v>
      </c>
      <c r="P167" t="s">
        <v>40</v>
      </c>
      <c r="Q167" s="6">
        <v>46631</v>
      </c>
      <c r="R167" s="6">
        <v>46996</v>
      </c>
      <c r="S167" t="s">
        <v>188</v>
      </c>
      <c r="T167" t="s">
        <v>155</v>
      </c>
      <c r="U167" t="s">
        <v>47</v>
      </c>
      <c r="V167" t="s">
        <v>42</v>
      </c>
      <c r="W167" t="s">
        <v>43</v>
      </c>
      <c r="X167" t="s">
        <v>36</v>
      </c>
      <c r="Y167" t="s">
        <v>36</v>
      </c>
      <c r="Z167" t="s">
        <v>36</v>
      </c>
      <c r="AA167" t="s">
        <v>36</v>
      </c>
      <c r="AB167" t="s">
        <v>44</v>
      </c>
      <c r="AC167" t="s">
        <v>45</v>
      </c>
      <c r="AD167" t="s">
        <v>292</v>
      </c>
      <c r="AE167" t="s">
        <v>46</v>
      </c>
      <c r="AF167" t="s">
        <v>46</v>
      </c>
      <c r="AG167" t="s">
        <v>36</v>
      </c>
      <c r="AH167" t="s">
        <v>40</v>
      </c>
      <c r="AI167" t="s">
        <v>40</v>
      </c>
      <c r="AJ167" t="s">
        <v>40</v>
      </c>
    </row>
    <row r="168" spans="1:36" x14ac:dyDescent="0.25">
      <c r="A168" t="s">
        <v>34</v>
      </c>
      <c r="B168" t="s">
        <v>293</v>
      </c>
      <c r="C168" t="s">
        <v>36</v>
      </c>
      <c r="D168" t="s">
        <v>158</v>
      </c>
      <c r="E168" t="s">
        <v>35</v>
      </c>
      <c r="F168" t="s">
        <v>39</v>
      </c>
      <c r="G168" s="1"/>
      <c r="H168" t="s">
        <v>40</v>
      </c>
      <c r="I168" s="1"/>
      <c r="J168" t="s">
        <v>40</v>
      </c>
      <c r="K168" s="2">
        <v>0</v>
      </c>
      <c r="L168" t="s">
        <v>40</v>
      </c>
      <c r="M168" s="2">
        <f>Table1[[#This Row],[Quantity]]*Table1[[#This Row],[Proposed Unit Price]]</f>
        <v>0</v>
      </c>
      <c r="N168" t="s">
        <v>40</v>
      </c>
      <c r="O168" s="1">
        <v>0</v>
      </c>
      <c r="P168" t="s">
        <v>40</v>
      </c>
      <c r="Q168" s="6">
        <v>46631</v>
      </c>
      <c r="R168" s="6">
        <v>46996</v>
      </c>
      <c r="S168" t="s">
        <v>188</v>
      </c>
      <c r="T168" t="s">
        <v>157</v>
      </c>
      <c r="U168" t="s">
        <v>47</v>
      </c>
      <c r="V168" t="s">
        <v>83</v>
      </c>
      <c r="W168" t="s">
        <v>84</v>
      </c>
      <c r="X168" t="s">
        <v>36</v>
      </c>
      <c r="Y168" t="s">
        <v>36</v>
      </c>
      <c r="Z168" t="s">
        <v>36</v>
      </c>
      <c r="AA168" t="s">
        <v>36</v>
      </c>
      <c r="AB168" t="s">
        <v>44</v>
      </c>
      <c r="AC168" t="s">
        <v>45</v>
      </c>
      <c r="AD168" t="s">
        <v>293</v>
      </c>
      <c r="AE168" t="s">
        <v>46</v>
      </c>
      <c r="AF168" t="s">
        <v>46</v>
      </c>
      <c r="AG168" t="s">
        <v>36</v>
      </c>
      <c r="AH168" t="s">
        <v>40</v>
      </c>
      <c r="AI168" t="s">
        <v>40</v>
      </c>
      <c r="AJ168" t="s">
        <v>40</v>
      </c>
    </row>
    <row r="169" spans="1:36" x14ac:dyDescent="0.25">
      <c r="A169" t="s">
        <v>34</v>
      </c>
      <c r="B169" t="s">
        <v>294</v>
      </c>
      <c r="C169" t="s">
        <v>36</v>
      </c>
      <c r="D169" t="s">
        <v>160</v>
      </c>
      <c r="E169" t="s">
        <v>35</v>
      </c>
      <c r="F169" t="s">
        <v>39</v>
      </c>
      <c r="G169" s="1"/>
      <c r="H169" t="s">
        <v>40</v>
      </c>
      <c r="I169" s="1"/>
      <c r="J169" t="s">
        <v>40</v>
      </c>
      <c r="K169" s="2">
        <v>0</v>
      </c>
      <c r="L169" t="s">
        <v>40</v>
      </c>
      <c r="M169" s="2">
        <f>Table1[[#This Row],[Quantity]]*Table1[[#This Row],[Proposed Unit Price]]</f>
        <v>0</v>
      </c>
      <c r="N169" t="s">
        <v>40</v>
      </c>
      <c r="O169" s="1">
        <v>0</v>
      </c>
      <c r="P169" t="s">
        <v>40</v>
      </c>
      <c r="Q169" s="6">
        <v>46631</v>
      </c>
      <c r="R169" s="6">
        <v>46996</v>
      </c>
      <c r="S169" t="s">
        <v>188</v>
      </c>
      <c r="T169" t="s">
        <v>159</v>
      </c>
      <c r="U169" t="s">
        <v>47</v>
      </c>
      <c r="V169" t="s">
        <v>83</v>
      </c>
      <c r="W169" t="s">
        <v>84</v>
      </c>
      <c r="X169" t="s">
        <v>36</v>
      </c>
      <c r="Y169" t="s">
        <v>36</v>
      </c>
      <c r="Z169" t="s">
        <v>36</v>
      </c>
      <c r="AA169" t="s">
        <v>36</v>
      </c>
      <c r="AB169" t="s">
        <v>44</v>
      </c>
      <c r="AC169" t="s">
        <v>45</v>
      </c>
      <c r="AD169" t="s">
        <v>294</v>
      </c>
      <c r="AE169" t="s">
        <v>46</v>
      </c>
      <c r="AF169" t="s">
        <v>46</v>
      </c>
      <c r="AG169" t="s">
        <v>36</v>
      </c>
      <c r="AH169" t="s">
        <v>40</v>
      </c>
      <c r="AI169" t="s">
        <v>40</v>
      </c>
      <c r="AJ169" t="s">
        <v>40</v>
      </c>
    </row>
    <row r="170" spans="1:36" x14ac:dyDescent="0.25">
      <c r="A170" t="s">
        <v>34</v>
      </c>
      <c r="B170" t="s">
        <v>295</v>
      </c>
      <c r="C170" t="s">
        <v>36</v>
      </c>
      <c r="D170" t="s">
        <v>162</v>
      </c>
      <c r="E170" t="s">
        <v>163</v>
      </c>
      <c r="F170" t="s">
        <v>96</v>
      </c>
      <c r="G170" s="1"/>
      <c r="H170" t="s">
        <v>40</v>
      </c>
      <c r="I170" s="1"/>
      <c r="J170" t="s">
        <v>40</v>
      </c>
      <c r="K170" s="2">
        <v>0</v>
      </c>
      <c r="L170" t="s">
        <v>40</v>
      </c>
      <c r="M170" s="2">
        <f>Table1[[#This Row],[Quantity]]*Table1[[#This Row],[Proposed Unit Price]]</f>
        <v>0</v>
      </c>
      <c r="N170" t="s">
        <v>40</v>
      </c>
      <c r="O170" s="1">
        <v>0</v>
      </c>
      <c r="P170" t="s">
        <v>40</v>
      </c>
      <c r="Q170" s="6">
        <v>46631</v>
      </c>
      <c r="R170" s="6">
        <v>46996</v>
      </c>
      <c r="S170" t="s">
        <v>188</v>
      </c>
      <c r="T170" t="s">
        <v>161</v>
      </c>
      <c r="U170" t="s">
        <v>47</v>
      </c>
      <c r="V170" t="s">
        <v>42</v>
      </c>
      <c r="W170" t="s">
        <v>43</v>
      </c>
      <c r="X170" t="s">
        <v>36</v>
      </c>
      <c r="Y170" t="s">
        <v>36</v>
      </c>
      <c r="Z170" t="s">
        <v>36</v>
      </c>
      <c r="AA170" t="s">
        <v>36</v>
      </c>
      <c r="AB170" t="s">
        <v>44</v>
      </c>
      <c r="AC170" t="s">
        <v>45</v>
      </c>
      <c r="AD170" t="s">
        <v>295</v>
      </c>
      <c r="AE170" t="s">
        <v>46</v>
      </c>
      <c r="AF170" t="s">
        <v>46</v>
      </c>
      <c r="AG170" t="s">
        <v>36</v>
      </c>
      <c r="AH170" t="s">
        <v>40</v>
      </c>
      <c r="AI170" t="s">
        <v>40</v>
      </c>
      <c r="AJ170" t="s">
        <v>40</v>
      </c>
    </row>
    <row r="171" spans="1:36" x14ac:dyDescent="0.25">
      <c r="A171" t="s">
        <v>34</v>
      </c>
      <c r="B171" t="s">
        <v>296</v>
      </c>
      <c r="C171" t="s">
        <v>36</v>
      </c>
      <c r="D171" t="s">
        <v>165</v>
      </c>
      <c r="E171" t="s">
        <v>99</v>
      </c>
      <c r="F171" t="s">
        <v>64</v>
      </c>
      <c r="G171" s="1"/>
      <c r="H171" t="s">
        <v>40</v>
      </c>
      <c r="I171" s="1"/>
      <c r="J171" t="s">
        <v>40</v>
      </c>
      <c r="K171" s="2">
        <v>0</v>
      </c>
      <c r="L171" t="s">
        <v>40</v>
      </c>
      <c r="M171" s="2">
        <f>Table1[[#This Row],[Quantity]]*Table1[[#This Row],[Proposed Unit Price]]</f>
        <v>0</v>
      </c>
      <c r="N171" t="s">
        <v>40</v>
      </c>
      <c r="O171" s="1">
        <v>0</v>
      </c>
      <c r="P171" t="s">
        <v>40</v>
      </c>
      <c r="Q171" s="6">
        <v>46631</v>
      </c>
      <c r="R171" s="6">
        <v>46996</v>
      </c>
      <c r="S171" t="s">
        <v>188</v>
      </c>
      <c r="T171" t="s">
        <v>164</v>
      </c>
      <c r="U171" t="s">
        <v>47</v>
      </c>
      <c r="V171" t="s">
        <v>42</v>
      </c>
      <c r="W171" t="s">
        <v>43</v>
      </c>
      <c r="X171" t="s">
        <v>36</v>
      </c>
      <c r="Y171" t="s">
        <v>36</v>
      </c>
      <c r="Z171" t="s">
        <v>36</v>
      </c>
      <c r="AA171" t="s">
        <v>36</v>
      </c>
      <c r="AB171" t="s">
        <v>44</v>
      </c>
      <c r="AC171" t="s">
        <v>45</v>
      </c>
      <c r="AD171" t="s">
        <v>296</v>
      </c>
      <c r="AE171" t="s">
        <v>46</v>
      </c>
      <c r="AF171" t="s">
        <v>46</v>
      </c>
      <c r="AG171" t="s">
        <v>36</v>
      </c>
      <c r="AH171" t="s">
        <v>40</v>
      </c>
      <c r="AI171" t="s">
        <v>40</v>
      </c>
      <c r="AJ171" t="s">
        <v>40</v>
      </c>
    </row>
    <row r="172" spans="1:36" x14ac:dyDescent="0.25">
      <c r="A172" t="s">
        <v>34</v>
      </c>
      <c r="B172" t="s">
        <v>297</v>
      </c>
      <c r="C172" t="s">
        <v>36</v>
      </c>
      <c r="D172" t="s">
        <v>167</v>
      </c>
      <c r="E172" t="s">
        <v>63</v>
      </c>
      <c r="F172" t="s">
        <v>64</v>
      </c>
      <c r="G172" s="1"/>
      <c r="H172" t="s">
        <v>40</v>
      </c>
      <c r="I172" s="1"/>
      <c r="J172" t="s">
        <v>40</v>
      </c>
      <c r="K172" s="2">
        <v>0</v>
      </c>
      <c r="L172" t="s">
        <v>40</v>
      </c>
      <c r="M172" s="2">
        <f>Table1[[#This Row],[Quantity]]*Table1[[#This Row],[Proposed Unit Price]]</f>
        <v>0</v>
      </c>
      <c r="N172" t="s">
        <v>40</v>
      </c>
      <c r="O172" s="1">
        <v>0</v>
      </c>
      <c r="P172" t="s">
        <v>40</v>
      </c>
      <c r="Q172" s="6">
        <v>46631</v>
      </c>
      <c r="R172" s="6">
        <v>46996</v>
      </c>
      <c r="S172" t="s">
        <v>188</v>
      </c>
      <c r="T172" t="s">
        <v>166</v>
      </c>
      <c r="U172" t="s">
        <v>47</v>
      </c>
      <c r="V172" t="s">
        <v>42</v>
      </c>
      <c r="W172" t="s">
        <v>43</v>
      </c>
      <c r="X172" t="s">
        <v>36</v>
      </c>
      <c r="Y172" t="s">
        <v>36</v>
      </c>
      <c r="Z172" t="s">
        <v>36</v>
      </c>
      <c r="AA172" t="s">
        <v>36</v>
      </c>
      <c r="AB172" t="s">
        <v>44</v>
      </c>
      <c r="AC172" t="s">
        <v>45</v>
      </c>
      <c r="AD172" t="s">
        <v>297</v>
      </c>
      <c r="AE172" t="s">
        <v>46</v>
      </c>
      <c r="AF172" t="s">
        <v>46</v>
      </c>
      <c r="AG172" t="s">
        <v>36</v>
      </c>
      <c r="AH172" t="s">
        <v>40</v>
      </c>
      <c r="AI172" t="s">
        <v>40</v>
      </c>
      <c r="AJ172" t="s">
        <v>40</v>
      </c>
    </row>
    <row r="173" spans="1:36" x14ac:dyDescent="0.25">
      <c r="A173" t="s">
        <v>34</v>
      </c>
      <c r="B173" t="s">
        <v>298</v>
      </c>
      <c r="C173" t="s">
        <v>36</v>
      </c>
      <c r="D173" t="s">
        <v>168</v>
      </c>
      <c r="E173" t="s">
        <v>58</v>
      </c>
      <c r="F173" t="s">
        <v>87</v>
      </c>
      <c r="G173" s="1"/>
      <c r="H173" t="s">
        <v>40</v>
      </c>
      <c r="I173" s="1"/>
      <c r="J173" t="s">
        <v>40</v>
      </c>
      <c r="K173" s="2">
        <v>0</v>
      </c>
      <c r="L173" t="s">
        <v>40</v>
      </c>
      <c r="M173" s="2">
        <f>Table1[[#This Row],[Quantity]]*Table1[[#This Row],[Proposed Unit Price]]</f>
        <v>0</v>
      </c>
      <c r="N173" t="s">
        <v>40</v>
      </c>
      <c r="O173" s="1">
        <v>0</v>
      </c>
      <c r="P173" t="s">
        <v>40</v>
      </c>
      <c r="Q173" s="6">
        <v>46631</v>
      </c>
      <c r="R173" s="6">
        <v>46996</v>
      </c>
      <c r="S173" t="s">
        <v>188</v>
      </c>
      <c r="T173" t="s">
        <v>133</v>
      </c>
      <c r="U173" t="s">
        <v>47</v>
      </c>
      <c r="V173" t="s">
        <v>42</v>
      </c>
      <c r="W173" t="s">
        <v>43</v>
      </c>
      <c r="X173" t="s">
        <v>36</v>
      </c>
      <c r="Y173" t="s">
        <v>36</v>
      </c>
      <c r="Z173" t="s">
        <v>36</v>
      </c>
      <c r="AA173" t="s">
        <v>36</v>
      </c>
      <c r="AB173" t="s">
        <v>44</v>
      </c>
      <c r="AC173" t="s">
        <v>45</v>
      </c>
      <c r="AD173" t="s">
        <v>298</v>
      </c>
      <c r="AE173" t="s">
        <v>46</v>
      </c>
      <c r="AF173" t="s">
        <v>46</v>
      </c>
      <c r="AG173" t="s">
        <v>36</v>
      </c>
      <c r="AH173" t="s">
        <v>40</v>
      </c>
      <c r="AI173" t="s">
        <v>40</v>
      </c>
      <c r="AJ173" t="s">
        <v>40</v>
      </c>
    </row>
    <row r="174" spans="1:36" x14ac:dyDescent="0.25">
      <c r="A174" t="s">
        <v>34</v>
      </c>
      <c r="B174" t="s">
        <v>299</v>
      </c>
      <c r="C174" t="s">
        <v>36</v>
      </c>
      <c r="D174" t="s">
        <v>170</v>
      </c>
      <c r="E174" t="s">
        <v>47</v>
      </c>
      <c r="F174" t="s">
        <v>39</v>
      </c>
      <c r="G174" s="1"/>
      <c r="H174" t="s">
        <v>40</v>
      </c>
      <c r="I174" s="1"/>
      <c r="J174" t="s">
        <v>40</v>
      </c>
      <c r="K174" s="2">
        <v>0</v>
      </c>
      <c r="L174" t="s">
        <v>40</v>
      </c>
      <c r="M174" s="2">
        <f>Table1[[#This Row],[Quantity]]*Table1[[#This Row],[Proposed Unit Price]]</f>
        <v>0</v>
      </c>
      <c r="N174" t="s">
        <v>40</v>
      </c>
      <c r="O174" s="1">
        <v>0</v>
      </c>
      <c r="P174" t="s">
        <v>40</v>
      </c>
      <c r="Q174" s="6">
        <v>46631</v>
      </c>
      <c r="R174" s="6">
        <v>46996</v>
      </c>
      <c r="S174" t="s">
        <v>188</v>
      </c>
      <c r="T174" t="s">
        <v>169</v>
      </c>
      <c r="U174" t="s">
        <v>47</v>
      </c>
      <c r="V174" t="s">
        <v>42</v>
      </c>
      <c r="W174" t="s">
        <v>43</v>
      </c>
      <c r="X174" t="s">
        <v>36</v>
      </c>
      <c r="Y174" t="s">
        <v>36</v>
      </c>
      <c r="Z174" t="s">
        <v>36</v>
      </c>
      <c r="AA174" t="s">
        <v>36</v>
      </c>
      <c r="AB174" t="s">
        <v>44</v>
      </c>
      <c r="AC174" t="s">
        <v>45</v>
      </c>
      <c r="AD174" t="s">
        <v>299</v>
      </c>
      <c r="AE174" t="s">
        <v>46</v>
      </c>
      <c r="AF174" t="s">
        <v>46</v>
      </c>
      <c r="AG174" t="s">
        <v>36</v>
      </c>
      <c r="AH174" t="s">
        <v>40</v>
      </c>
      <c r="AI174" t="s">
        <v>40</v>
      </c>
      <c r="AJ174" t="s">
        <v>40</v>
      </c>
    </row>
    <row r="175" spans="1:36" x14ac:dyDescent="0.25">
      <c r="A175" t="s">
        <v>34</v>
      </c>
      <c r="B175" t="s">
        <v>300</v>
      </c>
      <c r="C175" t="s">
        <v>36</v>
      </c>
      <c r="D175" t="s">
        <v>172</v>
      </c>
      <c r="E175" t="s">
        <v>106</v>
      </c>
      <c r="F175" t="s">
        <v>87</v>
      </c>
      <c r="G175" s="1"/>
      <c r="H175" t="s">
        <v>40</v>
      </c>
      <c r="I175" s="1"/>
      <c r="J175" t="s">
        <v>40</v>
      </c>
      <c r="K175" s="2">
        <v>0</v>
      </c>
      <c r="L175" t="s">
        <v>40</v>
      </c>
      <c r="M175" s="2">
        <f>Table1[[#This Row],[Quantity]]*Table1[[#This Row],[Proposed Unit Price]]</f>
        <v>0</v>
      </c>
      <c r="N175" t="s">
        <v>40</v>
      </c>
      <c r="O175" s="1">
        <v>0</v>
      </c>
      <c r="P175" t="s">
        <v>40</v>
      </c>
      <c r="Q175" s="6">
        <v>46631</v>
      </c>
      <c r="R175" s="6">
        <v>46996</v>
      </c>
      <c r="S175" t="s">
        <v>188</v>
      </c>
      <c r="T175" t="s">
        <v>171</v>
      </c>
      <c r="U175" t="s">
        <v>47</v>
      </c>
      <c r="V175" t="s">
        <v>42</v>
      </c>
      <c r="W175" t="s">
        <v>43</v>
      </c>
      <c r="X175" t="s">
        <v>36</v>
      </c>
      <c r="Y175" t="s">
        <v>36</v>
      </c>
      <c r="Z175" t="s">
        <v>36</v>
      </c>
      <c r="AA175" t="s">
        <v>36</v>
      </c>
      <c r="AB175" t="s">
        <v>44</v>
      </c>
      <c r="AC175" t="s">
        <v>45</v>
      </c>
      <c r="AD175" t="s">
        <v>300</v>
      </c>
      <c r="AE175" t="s">
        <v>46</v>
      </c>
      <c r="AF175" t="s">
        <v>46</v>
      </c>
      <c r="AG175" t="s">
        <v>36</v>
      </c>
      <c r="AH175" t="s">
        <v>40</v>
      </c>
      <c r="AI175" t="s">
        <v>40</v>
      </c>
      <c r="AJ175" t="s">
        <v>40</v>
      </c>
    </row>
    <row r="176" spans="1:36" x14ac:dyDescent="0.25">
      <c r="A176" t="s">
        <v>34</v>
      </c>
      <c r="B176" t="s">
        <v>301</v>
      </c>
      <c r="C176" t="s">
        <v>36</v>
      </c>
      <c r="D176" t="s">
        <v>174</v>
      </c>
      <c r="E176" t="s">
        <v>110</v>
      </c>
      <c r="F176" t="s">
        <v>64</v>
      </c>
      <c r="G176" s="1"/>
      <c r="H176" t="s">
        <v>40</v>
      </c>
      <c r="I176" s="1"/>
      <c r="J176" t="s">
        <v>40</v>
      </c>
      <c r="K176" s="2">
        <v>0</v>
      </c>
      <c r="L176" t="s">
        <v>40</v>
      </c>
      <c r="M176" s="2">
        <f>Table1[[#This Row],[Quantity]]*Table1[[#This Row],[Proposed Unit Price]]</f>
        <v>0</v>
      </c>
      <c r="N176" t="s">
        <v>40</v>
      </c>
      <c r="O176" s="1">
        <v>0</v>
      </c>
      <c r="P176" t="s">
        <v>40</v>
      </c>
      <c r="Q176" s="6">
        <v>46631</v>
      </c>
      <c r="R176" s="6">
        <v>46996</v>
      </c>
      <c r="S176" t="s">
        <v>188</v>
      </c>
      <c r="T176" t="s">
        <v>173</v>
      </c>
      <c r="U176" t="s">
        <v>47</v>
      </c>
      <c r="V176" t="s">
        <v>42</v>
      </c>
      <c r="W176" t="s">
        <v>43</v>
      </c>
      <c r="X176" t="s">
        <v>36</v>
      </c>
      <c r="Y176" t="s">
        <v>36</v>
      </c>
      <c r="Z176" t="s">
        <v>36</v>
      </c>
      <c r="AA176" t="s">
        <v>36</v>
      </c>
      <c r="AB176" t="s">
        <v>44</v>
      </c>
      <c r="AC176" t="s">
        <v>45</v>
      </c>
      <c r="AD176" t="s">
        <v>301</v>
      </c>
      <c r="AE176" t="s">
        <v>46</v>
      </c>
      <c r="AF176" t="s">
        <v>46</v>
      </c>
      <c r="AG176" t="s">
        <v>36</v>
      </c>
      <c r="AH176" t="s">
        <v>40</v>
      </c>
      <c r="AI176" t="s">
        <v>40</v>
      </c>
      <c r="AJ176" t="s">
        <v>40</v>
      </c>
    </row>
    <row r="177" spans="1:36" x14ac:dyDescent="0.25">
      <c r="A177" t="s">
        <v>34</v>
      </c>
      <c r="B177" t="s">
        <v>302</v>
      </c>
      <c r="C177" t="s">
        <v>36</v>
      </c>
      <c r="D177" t="s">
        <v>176</v>
      </c>
      <c r="E177" t="s">
        <v>177</v>
      </c>
      <c r="F177" t="s">
        <v>39</v>
      </c>
      <c r="G177" s="1"/>
      <c r="H177" t="s">
        <v>40</v>
      </c>
      <c r="I177" s="1"/>
      <c r="J177" t="s">
        <v>40</v>
      </c>
      <c r="K177" s="2">
        <v>0</v>
      </c>
      <c r="L177" t="s">
        <v>40</v>
      </c>
      <c r="M177" s="2">
        <f>Table1[[#This Row],[Quantity]]*Table1[[#This Row],[Proposed Unit Price]]</f>
        <v>0</v>
      </c>
      <c r="N177" t="s">
        <v>40</v>
      </c>
      <c r="O177" s="1">
        <v>0</v>
      </c>
      <c r="P177" t="s">
        <v>40</v>
      </c>
      <c r="Q177" s="6">
        <v>46631</v>
      </c>
      <c r="R177" s="6">
        <v>46996</v>
      </c>
      <c r="S177" t="s">
        <v>188</v>
      </c>
      <c r="T177" t="s">
        <v>175</v>
      </c>
      <c r="U177" t="s">
        <v>47</v>
      </c>
      <c r="V177" t="s">
        <v>42</v>
      </c>
      <c r="W177" t="s">
        <v>43</v>
      </c>
      <c r="X177" t="s">
        <v>36</v>
      </c>
      <c r="Y177" t="s">
        <v>36</v>
      </c>
      <c r="Z177" t="s">
        <v>36</v>
      </c>
      <c r="AA177" t="s">
        <v>36</v>
      </c>
      <c r="AB177" t="s">
        <v>44</v>
      </c>
      <c r="AC177" t="s">
        <v>45</v>
      </c>
      <c r="AD177" t="s">
        <v>302</v>
      </c>
      <c r="AE177" t="s">
        <v>46</v>
      </c>
      <c r="AF177" t="s">
        <v>46</v>
      </c>
      <c r="AG177" t="s">
        <v>36</v>
      </c>
      <c r="AH177" t="s">
        <v>40</v>
      </c>
      <c r="AI177" t="s">
        <v>40</v>
      </c>
      <c r="AJ177" t="s">
        <v>40</v>
      </c>
    </row>
    <row r="178" spans="1:36" x14ac:dyDescent="0.25">
      <c r="A178" t="s">
        <v>34</v>
      </c>
      <c r="B178" t="s">
        <v>303</v>
      </c>
      <c r="C178" t="s">
        <v>36</v>
      </c>
      <c r="D178" t="s">
        <v>179</v>
      </c>
      <c r="E178" t="s">
        <v>177</v>
      </c>
      <c r="F178" t="s">
        <v>39</v>
      </c>
      <c r="G178" s="1"/>
      <c r="H178" t="s">
        <v>40</v>
      </c>
      <c r="I178" s="1"/>
      <c r="J178" t="s">
        <v>40</v>
      </c>
      <c r="K178" s="2">
        <v>0</v>
      </c>
      <c r="L178" t="s">
        <v>40</v>
      </c>
      <c r="M178" s="2">
        <f>Table1[[#This Row],[Quantity]]*Table1[[#This Row],[Proposed Unit Price]]</f>
        <v>0</v>
      </c>
      <c r="N178" t="s">
        <v>40</v>
      </c>
      <c r="O178" s="1">
        <v>0</v>
      </c>
      <c r="P178" t="s">
        <v>40</v>
      </c>
      <c r="Q178" s="6">
        <v>46631</v>
      </c>
      <c r="R178" s="6">
        <v>46996</v>
      </c>
      <c r="S178" t="s">
        <v>188</v>
      </c>
      <c r="T178" t="s">
        <v>178</v>
      </c>
      <c r="U178" t="s">
        <v>47</v>
      </c>
      <c r="V178" t="s">
        <v>42</v>
      </c>
      <c r="W178" t="s">
        <v>43</v>
      </c>
      <c r="X178" t="s">
        <v>36</v>
      </c>
      <c r="Y178" t="s">
        <v>36</v>
      </c>
      <c r="Z178" t="s">
        <v>36</v>
      </c>
      <c r="AA178" t="s">
        <v>36</v>
      </c>
      <c r="AB178" t="s">
        <v>44</v>
      </c>
      <c r="AC178" t="s">
        <v>45</v>
      </c>
      <c r="AD178" t="s">
        <v>303</v>
      </c>
      <c r="AE178" t="s">
        <v>46</v>
      </c>
      <c r="AF178" t="s">
        <v>46</v>
      </c>
      <c r="AG178" t="s">
        <v>36</v>
      </c>
      <c r="AH178" t="s">
        <v>40</v>
      </c>
      <c r="AI178" t="s">
        <v>40</v>
      </c>
      <c r="AJ178" t="s">
        <v>40</v>
      </c>
    </row>
    <row r="179" spans="1:36" x14ac:dyDescent="0.25">
      <c r="A179" t="s">
        <v>34</v>
      </c>
      <c r="B179" t="s">
        <v>304</v>
      </c>
      <c r="C179" t="s">
        <v>36</v>
      </c>
      <c r="D179" t="s">
        <v>246</v>
      </c>
      <c r="E179" t="s">
        <v>182</v>
      </c>
      <c r="F179" t="s">
        <v>39</v>
      </c>
      <c r="G179" s="1"/>
      <c r="H179" t="s">
        <v>40</v>
      </c>
      <c r="I179" s="1"/>
      <c r="J179" t="s">
        <v>40</v>
      </c>
      <c r="K179" s="2">
        <v>0</v>
      </c>
      <c r="L179" t="s">
        <v>40</v>
      </c>
      <c r="M179" s="2">
        <f>Table1[[#This Row],[Quantity]]*Table1[[#This Row],[Proposed Unit Price]]</f>
        <v>0</v>
      </c>
      <c r="N179" t="s">
        <v>40</v>
      </c>
      <c r="O179" s="1">
        <v>0</v>
      </c>
      <c r="P179" t="s">
        <v>40</v>
      </c>
      <c r="Q179" s="6">
        <v>46631</v>
      </c>
      <c r="R179" s="6">
        <v>46996</v>
      </c>
      <c r="S179" t="s">
        <v>188</v>
      </c>
      <c r="T179" t="s">
        <v>180</v>
      </c>
      <c r="U179" t="s">
        <v>47</v>
      </c>
      <c r="V179" t="s">
        <v>42</v>
      </c>
      <c r="W179" t="s">
        <v>43</v>
      </c>
      <c r="X179" t="s">
        <v>36</v>
      </c>
      <c r="Y179" t="s">
        <v>36</v>
      </c>
      <c r="Z179" t="s">
        <v>36</v>
      </c>
      <c r="AA179" t="s">
        <v>36</v>
      </c>
      <c r="AB179" t="s">
        <v>44</v>
      </c>
      <c r="AC179" t="s">
        <v>45</v>
      </c>
      <c r="AD179" t="s">
        <v>304</v>
      </c>
      <c r="AE179" t="s">
        <v>46</v>
      </c>
      <c r="AF179" t="s">
        <v>46</v>
      </c>
      <c r="AG179" t="s">
        <v>36</v>
      </c>
      <c r="AH179" t="s">
        <v>40</v>
      </c>
      <c r="AI179" t="s">
        <v>40</v>
      </c>
      <c r="AJ179" t="s">
        <v>40</v>
      </c>
    </row>
    <row r="180" spans="1:36" x14ac:dyDescent="0.25">
      <c r="A180" t="s">
        <v>34</v>
      </c>
      <c r="B180" t="s">
        <v>305</v>
      </c>
      <c r="C180" t="s">
        <v>36</v>
      </c>
      <c r="D180" t="s">
        <v>184</v>
      </c>
      <c r="E180" t="s">
        <v>65</v>
      </c>
      <c r="F180" t="s">
        <v>39</v>
      </c>
      <c r="G180" s="1"/>
      <c r="H180" t="s">
        <v>40</v>
      </c>
      <c r="I180" s="1"/>
      <c r="J180" t="s">
        <v>40</v>
      </c>
      <c r="K180" s="2">
        <v>0</v>
      </c>
      <c r="L180" t="s">
        <v>40</v>
      </c>
      <c r="M180" s="2">
        <f>Table1[[#This Row],[Quantity]]*Table1[[#This Row],[Proposed Unit Price]]</f>
        <v>0</v>
      </c>
      <c r="N180" t="s">
        <v>40</v>
      </c>
      <c r="O180" s="1">
        <v>0</v>
      </c>
      <c r="P180" t="s">
        <v>40</v>
      </c>
      <c r="Q180" s="6">
        <v>46631</v>
      </c>
      <c r="R180" s="6">
        <v>46996</v>
      </c>
      <c r="S180" t="s">
        <v>188</v>
      </c>
      <c r="T180" t="s">
        <v>183</v>
      </c>
      <c r="U180" t="s">
        <v>47</v>
      </c>
      <c r="V180" t="s">
        <v>42</v>
      </c>
      <c r="W180" t="s">
        <v>43</v>
      </c>
      <c r="X180" t="s">
        <v>36</v>
      </c>
      <c r="Y180" t="s">
        <v>36</v>
      </c>
      <c r="Z180" t="s">
        <v>36</v>
      </c>
      <c r="AA180" t="s">
        <v>36</v>
      </c>
      <c r="AB180" t="s">
        <v>44</v>
      </c>
      <c r="AC180" t="s">
        <v>45</v>
      </c>
      <c r="AD180" t="s">
        <v>305</v>
      </c>
      <c r="AE180" t="s">
        <v>46</v>
      </c>
      <c r="AF180" t="s">
        <v>46</v>
      </c>
      <c r="AG180" t="s">
        <v>36</v>
      </c>
      <c r="AH180" t="s">
        <v>40</v>
      </c>
      <c r="AI180" t="s">
        <v>40</v>
      </c>
      <c r="AJ180" t="s">
        <v>40</v>
      </c>
    </row>
    <row r="181" spans="1:36" x14ac:dyDescent="0.25">
      <c r="A181" t="s">
        <v>34</v>
      </c>
      <c r="B181" t="s">
        <v>306</v>
      </c>
      <c r="C181" t="s">
        <v>36</v>
      </c>
      <c r="D181" t="s">
        <v>186</v>
      </c>
      <c r="E181" t="s">
        <v>67</v>
      </c>
      <c r="F181" t="s">
        <v>87</v>
      </c>
      <c r="G181" s="1"/>
      <c r="H181" t="s">
        <v>40</v>
      </c>
      <c r="I181" s="1"/>
      <c r="J181" t="s">
        <v>40</v>
      </c>
      <c r="K181" s="2">
        <v>0</v>
      </c>
      <c r="L181" t="s">
        <v>40</v>
      </c>
      <c r="M181" s="2">
        <f>Table1[[#This Row],[Quantity]]*Table1[[#This Row],[Proposed Unit Price]]</f>
        <v>0</v>
      </c>
      <c r="N181" t="s">
        <v>40</v>
      </c>
      <c r="O181" s="1">
        <v>0</v>
      </c>
      <c r="P181" t="s">
        <v>40</v>
      </c>
      <c r="Q181" s="6">
        <v>46631</v>
      </c>
      <c r="R181" s="6">
        <v>46996</v>
      </c>
      <c r="S181" t="s">
        <v>188</v>
      </c>
      <c r="T181" t="s">
        <v>185</v>
      </c>
      <c r="U181" t="s">
        <v>47</v>
      </c>
      <c r="V181" t="s">
        <v>42</v>
      </c>
      <c r="W181" t="s">
        <v>43</v>
      </c>
      <c r="X181" t="s">
        <v>36</v>
      </c>
      <c r="Y181" t="s">
        <v>36</v>
      </c>
      <c r="Z181" t="s">
        <v>36</v>
      </c>
      <c r="AA181" t="s">
        <v>36</v>
      </c>
      <c r="AB181" t="s">
        <v>44</v>
      </c>
      <c r="AC181" t="s">
        <v>45</v>
      </c>
      <c r="AD181" t="s">
        <v>306</v>
      </c>
      <c r="AE181" t="s">
        <v>46</v>
      </c>
      <c r="AF181" t="s">
        <v>46</v>
      </c>
      <c r="AG181" t="s">
        <v>36</v>
      </c>
      <c r="AH181" t="s">
        <v>40</v>
      </c>
      <c r="AI181" t="s">
        <v>40</v>
      </c>
      <c r="AJ181" t="s">
        <v>40</v>
      </c>
    </row>
    <row r="182" spans="1:36" x14ac:dyDescent="0.25">
      <c r="G182" s="1"/>
      <c r="I182" s="1"/>
      <c r="K182" s="2"/>
      <c r="M182" s="2">
        <f>SUM(M124:M181)</f>
        <v>0</v>
      </c>
      <c r="O182" s="1"/>
    </row>
    <row r="183" spans="1:36" x14ac:dyDescent="0.25">
      <c r="G183" s="1"/>
      <c r="I183" s="1"/>
      <c r="K183" s="2"/>
      <c r="M183" s="2"/>
      <c r="O183" s="1"/>
    </row>
    <row r="184" spans="1:36" x14ac:dyDescent="0.25">
      <c r="G184" s="1"/>
      <c r="I184" s="1"/>
      <c r="K184" s="2"/>
      <c r="M184" s="2"/>
      <c r="O184" s="1"/>
    </row>
    <row r="185" spans="1:36" x14ac:dyDescent="0.25">
      <c r="A185" t="s">
        <v>34</v>
      </c>
      <c r="B185" t="s">
        <v>307</v>
      </c>
      <c r="C185" t="s">
        <v>36</v>
      </c>
      <c r="D185" t="s">
        <v>37</v>
      </c>
      <c r="E185" t="s">
        <v>38</v>
      </c>
      <c r="F185" t="s">
        <v>39</v>
      </c>
      <c r="G185" s="1"/>
      <c r="H185" t="s">
        <v>40</v>
      </c>
      <c r="I185" s="1"/>
      <c r="J185" t="s">
        <v>40</v>
      </c>
      <c r="K185" s="2">
        <v>0</v>
      </c>
      <c r="L185" t="s">
        <v>40</v>
      </c>
      <c r="M185" s="2">
        <f>Table1[[#This Row],[Quantity]]*Table1[[#This Row],[Proposed Unit Price]]</f>
        <v>0</v>
      </c>
      <c r="N185" t="s">
        <v>40</v>
      </c>
      <c r="O185" s="1">
        <v>0</v>
      </c>
      <c r="P185" t="s">
        <v>40</v>
      </c>
      <c r="Q185" s="6">
        <v>46997</v>
      </c>
      <c r="R185" s="6">
        <v>47361</v>
      </c>
      <c r="S185" t="s">
        <v>188</v>
      </c>
      <c r="T185" t="s">
        <v>35</v>
      </c>
      <c r="U185" t="s">
        <v>50</v>
      </c>
      <c r="V185" t="s">
        <v>42</v>
      </c>
      <c r="W185" t="s">
        <v>43</v>
      </c>
      <c r="X185" t="s">
        <v>36</v>
      </c>
      <c r="Y185" t="s">
        <v>36</v>
      </c>
      <c r="Z185" t="s">
        <v>36</v>
      </c>
      <c r="AA185" t="s">
        <v>36</v>
      </c>
      <c r="AB185" t="s">
        <v>44</v>
      </c>
      <c r="AC185" t="s">
        <v>45</v>
      </c>
      <c r="AD185" t="s">
        <v>307</v>
      </c>
      <c r="AE185" t="s">
        <v>46</v>
      </c>
      <c r="AF185" t="s">
        <v>46</v>
      </c>
      <c r="AG185" t="s">
        <v>36</v>
      </c>
      <c r="AH185" t="s">
        <v>40</v>
      </c>
      <c r="AI185" t="s">
        <v>40</v>
      </c>
      <c r="AJ185" t="s">
        <v>40</v>
      </c>
    </row>
    <row r="186" spans="1:36" x14ac:dyDescent="0.25">
      <c r="A186" t="s">
        <v>34</v>
      </c>
      <c r="B186" t="s">
        <v>308</v>
      </c>
      <c r="C186" t="s">
        <v>36</v>
      </c>
      <c r="D186" t="s">
        <v>48</v>
      </c>
      <c r="E186" t="s">
        <v>49</v>
      </c>
      <c r="F186" t="s">
        <v>39</v>
      </c>
      <c r="G186" s="1"/>
      <c r="H186" t="s">
        <v>40</v>
      </c>
      <c r="I186" s="1"/>
      <c r="J186" t="s">
        <v>40</v>
      </c>
      <c r="K186" s="2">
        <v>0</v>
      </c>
      <c r="L186" t="s">
        <v>40</v>
      </c>
      <c r="M186" s="2">
        <f>Table1[[#This Row],[Quantity]]*Table1[[#This Row],[Proposed Unit Price]]</f>
        <v>0</v>
      </c>
      <c r="N186" t="s">
        <v>40</v>
      </c>
      <c r="O186" s="1">
        <v>0</v>
      </c>
      <c r="P186" t="s">
        <v>40</v>
      </c>
      <c r="Q186" s="6">
        <v>46997</v>
      </c>
      <c r="R186" s="6">
        <v>47361</v>
      </c>
      <c r="S186" t="s">
        <v>188</v>
      </c>
      <c r="T186" t="s">
        <v>47</v>
      </c>
      <c r="U186" t="s">
        <v>50</v>
      </c>
      <c r="V186" t="s">
        <v>42</v>
      </c>
      <c r="W186" t="s">
        <v>43</v>
      </c>
      <c r="X186" t="s">
        <v>36</v>
      </c>
      <c r="Y186" t="s">
        <v>36</v>
      </c>
      <c r="Z186" t="s">
        <v>36</v>
      </c>
      <c r="AA186" t="s">
        <v>36</v>
      </c>
      <c r="AB186" t="s">
        <v>44</v>
      </c>
      <c r="AC186" t="s">
        <v>45</v>
      </c>
      <c r="AD186" t="s">
        <v>308</v>
      </c>
      <c r="AE186" t="s">
        <v>46</v>
      </c>
      <c r="AF186" t="s">
        <v>46</v>
      </c>
      <c r="AG186" t="s">
        <v>36</v>
      </c>
      <c r="AH186" t="s">
        <v>40</v>
      </c>
      <c r="AI186" t="s">
        <v>40</v>
      </c>
      <c r="AJ186" t="s">
        <v>40</v>
      </c>
    </row>
    <row r="187" spans="1:36" x14ac:dyDescent="0.25">
      <c r="A187" t="s">
        <v>34</v>
      </c>
      <c r="B187" t="s">
        <v>309</v>
      </c>
      <c r="C187" t="s">
        <v>36</v>
      </c>
      <c r="D187" t="s">
        <v>51</v>
      </c>
      <c r="E187" t="s">
        <v>52</v>
      </c>
      <c r="F187" t="s">
        <v>39</v>
      </c>
      <c r="G187" s="1"/>
      <c r="H187" t="s">
        <v>40</v>
      </c>
      <c r="I187" s="1"/>
      <c r="J187" t="s">
        <v>40</v>
      </c>
      <c r="K187" s="2">
        <v>0</v>
      </c>
      <c r="L187" t="s">
        <v>40</v>
      </c>
      <c r="M187" s="2">
        <f>Table1[[#This Row],[Quantity]]*Table1[[#This Row],[Proposed Unit Price]]</f>
        <v>0</v>
      </c>
      <c r="N187" t="s">
        <v>40</v>
      </c>
      <c r="O187" s="1">
        <v>0</v>
      </c>
      <c r="P187" t="s">
        <v>40</v>
      </c>
      <c r="Q187" s="6">
        <v>46997</v>
      </c>
      <c r="R187" s="6">
        <v>47361</v>
      </c>
      <c r="S187" t="s">
        <v>188</v>
      </c>
      <c r="T187" t="s">
        <v>50</v>
      </c>
      <c r="U187" t="s">
        <v>50</v>
      </c>
      <c r="V187" t="s">
        <v>42</v>
      </c>
      <c r="W187" t="s">
        <v>43</v>
      </c>
      <c r="X187" t="s">
        <v>36</v>
      </c>
      <c r="Y187" t="s">
        <v>36</v>
      </c>
      <c r="Z187" t="s">
        <v>36</v>
      </c>
      <c r="AA187" t="s">
        <v>36</v>
      </c>
      <c r="AB187" t="s">
        <v>44</v>
      </c>
      <c r="AC187" t="s">
        <v>45</v>
      </c>
      <c r="AD187" t="s">
        <v>309</v>
      </c>
      <c r="AE187" t="s">
        <v>46</v>
      </c>
      <c r="AF187" t="s">
        <v>46</v>
      </c>
      <c r="AG187" t="s">
        <v>36</v>
      </c>
      <c r="AH187" t="s">
        <v>40</v>
      </c>
      <c r="AI187" t="s">
        <v>40</v>
      </c>
      <c r="AJ187" t="s">
        <v>40</v>
      </c>
    </row>
    <row r="188" spans="1:36" x14ac:dyDescent="0.25">
      <c r="A188" t="s">
        <v>34</v>
      </c>
      <c r="B188" t="s">
        <v>310</v>
      </c>
      <c r="C188" t="s">
        <v>36</v>
      </c>
      <c r="D188" t="s">
        <v>54</v>
      </c>
      <c r="E188" t="s">
        <v>38</v>
      </c>
      <c r="F188" t="s">
        <v>39</v>
      </c>
      <c r="G188" s="1"/>
      <c r="H188" t="s">
        <v>40</v>
      </c>
      <c r="I188" s="1"/>
      <c r="J188" t="s">
        <v>40</v>
      </c>
      <c r="K188" s="2">
        <v>0</v>
      </c>
      <c r="L188" t="s">
        <v>40</v>
      </c>
      <c r="M188" s="2">
        <f>Table1[[#This Row],[Quantity]]*Table1[[#This Row],[Proposed Unit Price]]</f>
        <v>0</v>
      </c>
      <c r="N188" t="s">
        <v>40</v>
      </c>
      <c r="O188" s="1">
        <v>0</v>
      </c>
      <c r="P188" t="s">
        <v>40</v>
      </c>
      <c r="Q188" s="6">
        <v>46997</v>
      </c>
      <c r="R188" s="6">
        <v>47361</v>
      </c>
      <c r="S188" t="s">
        <v>188</v>
      </c>
      <c r="T188" t="s">
        <v>53</v>
      </c>
      <c r="U188" t="s">
        <v>50</v>
      </c>
      <c r="V188" t="s">
        <v>42</v>
      </c>
      <c r="W188" t="s">
        <v>43</v>
      </c>
      <c r="X188" t="s">
        <v>36</v>
      </c>
      <c r="Y188" t="s">
        <v>36</v>
      </c>
      <c r="Z188" t="s">
        <v>36</v>
      </c>
      <c r="AA188" t="s">
        <v>36</v>
      </c>
      <c r="AB188" t="s">
        <v>44</v>
      </c>
      <c r="AC188" t="s">
        <v>45</v>
      </c>
      <c r="AD188" t="s">
        <v>310</v>
      </c>
      <c r="AE188" t="s">
        <v>46</v>
      </c>
      <c r="AF188" t="s">
        <v>46</v>
      </c>
      <c r="AG188" t="s">
        <v>36</v>
      </c>
      <c r="AH188" t="s">
        <v>40</v>
      </c>
      <c r="AI188" t="s">
        <v>40</v>
      </c>
      <c r="AJ188" t="s">
        <v>40</v>
      </c>
    </row>
    <row r="189" spans="1:36" x14ac:dyDescent="0.25">
      <c r="A189" t="s">
        <v>34</v>
      </c>
      <c r="B189" t="s">
        <v>311</v>
      </c>
      <c r="C189" t="s">
        <v>36</v>
      </c>
      <c r="D189" t="s">
        <v>56</v>
      </c>
      <c r="E189" t="s">
        <v>57</v>
      </c>
      <c r="F189" t="s">
        <v>39</v>
      </c>
      <c r="G189" s="1"/>
      <c r="H189" t="s">
        <v>40</v>
      </c>
      <c r="I189" s="1"/>
      <c r="J189" t="s">
        <v>40</v>
      </c>
      <c r="K189" s="2">
        <v>0</v>
      </c>
      <c r="L189" t="s">
        <v>40</v>
      </c>
      <c r="M189" s="2">
        <f>Table1[[#This Row],[Quantity]]*Table1[[#This Row],[Proposed Unit Price]]</f>
        <v>0</v>
      </c>
      <c r="N189" t="s">
        <v>40</v>
      </c>
      <c r="O189" s="1">
        <v>0</v>
      </c>
      <c r="P189" t="s">
        <v>40</v>
      </c>
      <c r="Q189" s="6">
        <v>46997</v>
      </c>
      <c r="R189" s="6">
        <v>47361</v>
      </c>
      <c r="S189" t="s">
        <v>188</v>
      </c>
      <c r="T189" t="s">
        <v>55</v>
      </c>
      <c r="U189" t="s">
        <v>50</v>
      </c>
      <c r="V189" t="s">
        <v>42</v>
      </c>
      <c r="W189" t="s">
        <v>43</v>
      </c>
      <c r="X189" t="s">
        <v>36</v>
      </c>
      <c r="Y189" t="s">
        <v>36</v>
      </c>
      <c r="Z189" t="s">
        <v>36</v>
      </c>
      <c r="AA189" t="s">
        <v>36</v>
      </c>
      <c r="AB189" t="s">
        <v>44</v>
      </c>
      <c r="AC189" t="s">
        <v>45</v>
      </c>
      <c r="AD189" t="s">
        <v>311</v>
      </c>
      <c r="AE189" t="s">
        <v>46</v>
      </c>
      <c r="AF189" t="s">
        <v>46</v>
      </c>
      <c r="AG189" t="s">
        <v>36</v>
      </c>
      <c r="AH189" t="s">
        <v>40</v>
      </c>
      <c r="AI189" t="s">
        <v>40</v>
      </c>
      <c r="AJ189" t="s">
        <v>40</v>
      </c>
    </row>
    <row r="190" spans="1:36" x14ac:dyDescent="0.25">
      <c r="A190" t="s">
        <v>34</v>
      </c>
      <c r="B190" t="s">
        <v>312</v>
      </c>
      <c r="C190" t="s">
        <v>36</v>
      </c>
      <c r="D190" t="s">
        <v>59</v>
      </c>
      <c r="E190" t="s">
        <v>60</v>
      </c>
      <c r="F190" t="s">
        <v>39</v>
      </c>
      <c r="G190" s="1"/>
      <c r="H190" t="s">
        <v>40</v>
      </c>
      <c r="I190" s="1"/>
      <c r="J190" t="s">
        <v>40</v>
      </c>
      <c r="K190" s="2">
        <v>0</v>
      </c>
      <c r="L190" t="s">
        <v>40</v>
      </c>
      <c r="M190" s="2">
        <f>Table1[[#This Row],[Quantity]]*Table1[[#This Row],[Proposed Unit Price]]</f>
        <v>0</v>
      </c>
      <c r="N190" t="s">
        <v>40</v>
      </c>
      <c r="O190" s="1">
        <v>0</v>
      </c>
      <c r="P190" t="s">
        <v>40</v>
      </c>
      <c r="Q190" s="6">
        <v>46997</v>
      </c>
      <c r="R190" s="6">
        <v>47361</v>
      </c>
      <c r="S190" t="s">
        <v>188</v>
      </c>
      <c r="T190" t="s">
        <v>58</v>
      </c>
      <c r="U190" t="s">
        <v>50</v>
      </c>
      <c r="V190" t="s">
        <v>42</v>
      </c>
      <c r="W190" t="s">
        <v>43</v>
      </c>
      <c r="X190" t="s">
        <v>36</v>
      </c>
      <c r="Y190" t="s">
        <v>36</v>
      </c>
      <c r="Z190" t="s">
        <v>36</v>
      </c>
      <c r="AA190" t="s">
        <v>36</v>
      </c>
      <c r="AB190" t="s">
        <v>44</v>
      </c>
      <c r="AC190" t="s">
        <v>45</v>
      </c>
      <c r="AD190" t="s">
        <v>312</v>
      </c>
      <c r="AE190" t="s">
        <v>46</v>
      </c>
      <c r="AF190" t="s">
        <v>46</v>
      </c>
      <c r="AG190" t="s">
        <v>36</v>
      </c>
      <c r="AH190" t="s">
        <v>40</v>
      </c>
      <c r="AI190" t="s">
        <v>40</v>
      </c>
      <c r="AJ190" t="s">
        <v>40</v>
      </c>
    </row>
    <row r="191" spans="1:36" x14ac:dyDescent="0.25">
      <c r="A191" t="s">
        <v>34</v>
      </c>
      <c r="B191" t="s">
        <v>313</v>
      </c>
      <c r="C191" t="s">
        <v>36</v>
      </c>
      <c r="D191" t="s">
        <v>62</v>
      </c>
      <c r="E191" t="s">
        <v>63</v>
      </c>
      <c r="F191" t="s">
        <v>64</v>
      </c>
      <c r="G191" s="1"/>
      <c r="H191" t="s">
        <v>40</v>
      </c>
      <c r="I191" s="1"/>
      <c r="J191" t="s">
        <v>40</v>
      </c>
      <c r="K191" s="2">
        <v>0</v>
      </c>
      <c r="L191" t="s">
        <v>40</v>
      </c>
      <c r="M191" s="2">
        <f>Table1[[#This Row],[Quantity]]*Table1[[#This Row],[Proposed Unit Price]]</f>
        <v>0</v>
      </c>
      <c r="N191" t="s">
        <v>40</v>
      </c>
      <c r="O191" s="1">
        <v>0</v>
      </c>
      <c r="P191" t="s">
        <v>40</v>
      </c>
      <c r="Q191" s="6">
        <v>46997</v>
      </c>
      <c r="R191" s="6">
        <v>47361</v>
      </c>
      <c r="S191" t="s">
        <v>188</v>
      </c>
      <c r="T191" t="s">
        <v>61</v>
      </c>
      <c r="U191" t="s">
        <v>50</v>
      </c>
      <c r="V191" t="s">
        <v>42</v>
      </c>
      <c r="W191" t="s">
        <v>43</v>
      </c>
      <c r="X191" t="s">
        <v>36</v>
      </c>
      <c r="Y191" t="s">
        <v>36</v>
      </c>
      <c r="Z191" t="s">
        <v>36</v>
      </c>
      <c r="AA191" t="s">
        <v>36</v>
      </c>
      <c r="AB191" t="s">
        <v>44</v>
      </c>
      <c r="AC191" t="s">
        <v>45</v>
      </c>
      <c r="AD191" t="s">
        <v>313</v>
      </c>
      <c r="AE191" t="s">
        <v>46</v>
      </c>
      <c r="AF191" t="s">
        <v>46</v>
      </c>
      <c r="AG191" t="s">
        <v>36</v>
      </c>
      <c r="AH191" t="s">
        <v>40</v>
      </c>
      <c r="AI191" t="s">
        <v>40</v>
      </c>
      <c r="AJ191" t="s">
        <v>40</v>
      </c>
    </row>
    <row r="192" spans="1:36" x14ac:dyDescent="0.25">
      <c r="A192" t="s">
        <v>34</v>
      </c>
      <c r="B192" t="s">
        <v>314</v>
      </c>
      <c r="C192" t="s">
        <v>36</v>
      </c>
      <c r="D192" t="s">
        <v>66</v>
      </c>
      <c r="E192" t="s">
        <v>67</v>
      </c>
      <c r="F192" t="s">
        <v>39</v>
      </c>
      <c r="G192" s="1"/>
      <c r="H192" t="s">
        <v>40</v>
      </c>
      <c r="I192" s="1"/>
      <c r="J192" t="s">
        <v>40</v>
      </c>
      <c r="K192" s="2">
        <v>0</v>
      </c>
      <c r="L192" t="s">
        <v>40</v>
      </c>
      <c r="M192" s="2">
        <f>Table1[[#This Row],[Quantity]]*Table1[[#This Row],[Proposed Unit Price]]</f>
        <v>0</v>
      </c>
      <c r="N192" t="s">
        <v>40</v>
      </c>
      <c r="O192" s="1">
        <v>0</v>
      </c>
      <c r="P192" t="s">
        <v>40</v>
      </c>
      <c r="Q192" s="6">
        <v>46997</v>
      </c>
      <c r="R192" s="6">
        <v>47361</v>
      </c>
      <c r="S192" t="s">
        <v>188</v>
      </c>
      <c r="T192" t="s">
        <v>65</v>
      </c>
      <c r="U192" t="s">
        <v>50</v>
      </c>
      <c r="V192" t="s">
        <v>42</v>
      </c>
      <c r="W192" t="s">
        <v>43</v>
      </c>
      <c r="X192" t="s">
        <v>36</v>
      </c>
      <c r="Y192" t="s">
        <v>36</v>
      </c>
      <c r="Z192" t="s">
        <v>36</v>
      </c>
      <c r="AA192" t="s">
        <v>36</v>
      </c>
      <c r="AB192" t="s">
        <v>44</v>
      </c>
      <c r="AC192" t="s">
        <v>45</v>
      </c>
      <c r="AD192" t="s">
        <v>314</v>
      </c>
      <c r="AE192" t="s">
        <v>46</v>
      </c>
      <c r="AF192" t="s">
        <v>46</v>
      </c>
      <c r="AG192" t="s">
        <v>36</v>
      </c>
      <c r="AH192" t="s">
        <v>40</v>
      </c>
      <c r="AI192" t="s">
        <v>40</v>
      </c>
      <c r="AJ192" t="s">
        <v>40</v>
      </c>
    </row>
    <row r="193" spans="1:36" x14ac:dyDescent="0.25">
      <c r="A193" t="s">
        <v>34</v>
      </c>
      <c r="B193" t="s">
        <v>315</v>
      </c>
      <c r="C193" t="s">
        <v>36</v>
      </c>
      <c r="D193" t="s">
        <v>69</v>
      </c>
      <c r="E193" t="s">
        <v>70</v>
      </c>
      <c r="F193" t="s">
        <v>71</v>
      </c>
      <c r="G193" s="1"/>
      <c r="H193" t="s">
        <v>40</v>
      </c>
      <c r="I193" s="1"/>
      <c r="J193" t="s">
        <v>40</v>
      </c>
      <c r="K193" s="2">
        <v>0</v>
      </c>
      <c r="L193" t="s">
        <v>40</v>
      </c>
      <c r="M193" s="2">
        <f>Table1[[#This Row],[Quantity]]*Table1[[#This Row],[Proposed Unit Price]]</f>
        <v>0</v>
      </c>
      <c r="N193" t="s">
        <v>40</v>
      </c>
      <c r="O193" s="1">
        <v>0</v>
      </c>
      <c r="P193" t="s">
        <v>40</v>
      </c>
      <c r="Q193" s="6">
        <v>46997</v>
      </c>
      <c r="R193" s="6">
        <v>47361</v>
      </c>
      <c r="S193" t="s">
        <v>188</v>
      </c>
      <c r="T193" t="s">
        <v>68</v>
      </c>
      <c r="U193" t="s">
        <v>50</v>
      </c>
      <c r="V193" t="s">
        <v>42</v>
      </c>
      <c r="W193" t="s">
        <v>43</v>
      </c>
      <c r="X193" t="s">
        <v>36</v>
      </c>
      <c r="Y193" t="s">
        <v>36</v>
      </c>
      <c r="Z193" t="s">
        <v>36</v>
      </c>
      <c r="AA193" t="s">
        <v>36</v>
      </c>
      <c r="AB193" t="s">
        <v>44</v>
      </c>
      <c r="AC193" t="s">
        <v>45</v>
      </c>
      <c r="AD193" t="s">
        <v>315</v>
      </c>
      <c r="AE193" t="s">
        <v>46</v>
      </c>
      <c r="AF193" t="s">
        <v>46</v>
      </c>
      <c r="AG193" t="s">
        <v>36</v>
      </c>
      <c r="AH193" t="s">
        <v>40</v>
      </c>
      <c r="AI193" t="s">
        <v>40</v>
      </c>
      <c r="AJ193" t="s">
        <v>40</v>
      </c>
    </row>
    <row r="194" spans="1:36" x14ac:dyDescent="0.25">
      <c r="A194" t="s">
        <v>34</v>
      </c>
      <c r="B194" t="s">
        <v>316</v>
      </c>
      <c r="C194" t="s">
        <v>36</v>
      </c>
      <c r="D194" t="s">
        <v>73</v>
      </c>
      <c r="E194" t="s">
        <v>50</v>
      </c>
      <c r="F194" t="s">
        <v>39</v>
      </c>
      <c r="G194" s="1"/>
      <c r="H194" t="s">
        <v>40</v>
      </c>
      <c r="I194" s="1"/>
      <c r="J194" t="s">
        <v>40</v>
      </c>
      <c r="K194" s="2">
        <v>0</v>
      </c>
      <c r="L194" t="s">
        <v>40</v>
      </c>
      <c r="M194" s="2">
        <f>Table1[[#This Row],[Quantity]]*Table1[[#This Row],[Proposed Unit Price]]</f>
        <v>0</v>
      </c>
      <c r="N194" t="s">
        <v>40</v>
      </c>
      <c r="O194" s="1">
        <v>0</v>
      </c>
      <c r="P194" t="s">
        <v>40</v>
      </c>
      <c r="Q194" s="6">
        <v>46997</v>
      </c>
      <c r="R194" s="6">
        <v>47361</v>
      </c>
      <c r="S194" t="s">
        <v>188</v>
      </c>
      <c r="T194" t="s">
        <v>72</v>
      </c>
      <c r="U194" t="s">
        <v>50</v>
      </c>
      <c r="V194" t="s">
        <v>42</v>
      </c>
      <c r="W194" t="s">
        <v>43</v>
      </c>
      <c r="X194" t="s">
        <v>36</v>
      </c>
      <c r="Y194" t="s">
        <v>36</v>
      </c>
      <c r="Z194" t="s">
        <v>36</v>
      </c>
      <c r="AA194" t="s">
        <v>36</v>
      </c>
      <c r="AB194" t="s">
        <v>44</v>
      </c>
      <c r="AC194" t="s">
        <v>45</v>
      </c>
      <c r="AD194" t="s">
        <v>316</v>
      </c>
      <c r="AE194" t="s">
        <v>46</v>
      </c>
      <c r="AF194" t="s">
        <v>46</v>
      </c>
      <c r="AG194" t="s">
        <v>36</v>
      </c>
      <c r="AH194" t="s">
        <v>40</v>
      </c>
      <c r="AI194" t="s">
        <v>40</v>
      </c>
      <c r="AJ194" t="s">
        <v>40</v>
      </c>
    </row>
    <row r="195" spans="1:36" x14ac:dyDescent="0.25">
      <c r="A195" t="s">
        <v>34</v>
      </c>
      <c r="B195" t="s">
        <v>317</v>
      </c>
      <c r="C195" t="s">
        <v>36</v>
      </c>
      <c r="D195" t="s">
        <v>75</v>
      </c>
      <c r="E195" t="s">
        <v>53</v>
      </c>
      <c r="F195" t="s">
        <v>39</v>
      </c>
      <c r="G195" s="1"/>
      <c r="H195" t="s">
        <v>40</v>
      </c>
      <c r="I195" s="1"/>
      <c r="J195" t="s">
        <v>40</v>
      </c>
      <c r="K195" s="2">
        <v>0</v>
      </c>
      <c r="L195" t="s">
        <v>40</v>
      </c>
      <c r="M195" s="2">
        <f>Table1[[#This Row],[Quantity]]*Table1[[#This Row],[Proposed Unit Price]]</f>
        <v>0</v>
      </c>
      <c r="N195" t="s">
        <v>40</v>
      </c>
      <c r="O195" s="1">
        <v>0</v>
      </c>
      <c r="P195" t="s">
        <v>40</v>
      </c>
      <c r="Q195" s="6">
        <v>46997</v>
      </c>
      <c r="R195" s="6">
        <v>47361</v>
      </c>
      <c r="S195" t="s">
        <v>188</v>
      </c>
      <c r="T195" t="s">
        <v>74</v>
      </c>
      <c r="U195" t="s">
        <v>50</v>
      </c>
      <c r="V195" t="s">
        <v>42</v>
      </c>
      <c r="W195" t="s">
        <v>43</v>
      </c>
      <c r="X195" t="s">
        <v>36</v>
      </c>
      <c r="Y195" t="s">
        <v>36</v>
      </c>
      <c r="Z195" t="s">
        <v>36</v>
      </c>
      <c r="AA195" t="s">
        <v>36</v>
      </c>
      <c r="AB195" t="s">
        <v>44</v>
      </c>
      <c r="AC195" t="s">
        <v>45</v>
      </c>
      <c r="AD195" t="s">
        <v>317</v>
      </c>
      <c r="AE195" t="s">
        <v>46</v>
      </c>
      <c r="AF195" t="s">
        <v>46</v>
      </c>
      <c r="AG195" t="s">
        <v>36</v>
      </c>
      <c r="AH195" t="s">
        <v>40</v>
      </c>
      <c r="AI195" t="s">
        <v>40</v>
      </c>
      <c r="AJ195" t="s">
        <v>40</v>
      </c>
    </row>
    <row r="196" spans="1:36" x14ac:dyDescent="0.25">
      <c r="A196" t="s">
        <v>34</v>
      </c>
      <c r="B196" t="s">
        <v>318</v>
      </c>
      <c r="C196" t="s">
        <v>36</v>
      </c>
      <c r="D196" t="s">
        <v>77</v>
      </c>
      <c r="E196" t="s">
        <v>78</v>
      </c>
      <c r="F196" t="s">
        <v>71</v>
      </c>
      <c r="G196" s="1"/>
      <c r="H196" t="s">
        <v>40</v>
      </c>
      <c r="I196" s="1"/>
      <c r="J196" t="s">
        <v>40</v>
      </c>
      <c r="K196" s="2">
        <v>0</v>
      </c>
      <c r="L196" t="s">
        <v>40</v>
      </c>
      <c r="M196" s="2">
        <f>Table1[[#This Row],[Quantity]]*Table1[[#This Row],[Proposed Unit Price]]</f>
        <v>0</v>
      </c>
      <c r="N196" t="s">
        <v>40</v>
      </c>
      <c r="O196" s="1">
        <v>0</v>
      </c>
      <c r="P196" t="s">
        <v>40</v>
      </c>
      <c r="Q196" s="6">
        <v>46997</v>
      </c>
      <c r="R196" s="6">
        <v>47361</v>
      </c>
      <c r="S196" t="s">
        <v>188</v>
      </c>
      <c r="T196" t="s">
        <v>76</v>
      </c>
      <c r="U196" t="s">
        <v>50</v>
      </c>
      <c r="V196" t="s">
        <v>42</v>
      </c>
      <c r="W196" t="s">
        <v>43</v>
      </c>
      <c r="X196" t="s">
        <v>36</v>
      </c>
      <c r="Y196" t="s">
        <v>36</v>
      </c>
      <c r="Z196" t="s">
        <v>36</v>
      </c>
      <c r="AA196" t="s">
        <v>36</v>
      </c>
      <c r="AB196" t="s">
        <v>44</v>
      </c>
      <c r="AC196" t="s">
        <v>45</v>
      </c>
      <c r="AD196" t="s">
        <v>318</v>
      </c>
      <c r="AE196" t="s">
        <v>46</v>
      </c>
      <c r="AF196" t="s">
        <v>46</v>
      </c>
      <c r="AG196" t="s">
        <v>36</v>
      </c>
      <c r="AH196" t="s">
        <v>40</v>
      </c>
      <c r="AI196" t="s">
        <v>40</v>
      </c>
      <c r="AJ196" t="s">
        <v>40</v>
      </c>
    </row>
    <row r="197" spans="1:36" x14ac:dyDescent="0.25">
      <c r="A197" t="s">
        <v>34</v>
      </c>
      <c r="B197" t="s">
        <v>319</v>
      </c>
      <c r="C197" t="s">
        <v>36</v>
      </c>
      <c r="D197" t="s">
        <v>80</v>
      </c>
      <c r="E197" t="s">
        <v>47</v>
      </c>
      <c r="F197" t="s">
        <v>39</v>
      </c>
      <c r="G197" s="1"/>
      <c r="H197" t="s">
        <v>40</v>
      </c>
      <c r="I197" s="1"/>
      <c r="J197" t="s">
        <v>40</v>
      </c>
      <c r="K197" s="2">
        <v>0</v>
      </c>
      <c r="L197" t="s">
        <v>40</v>
      </c>
      <c r="M197" s="2">
        <f>Table1[[#This Row],[Quantity]]*Table1[[#This Row],[Proposed Unit Price]]</f>
        <v>0</v>
      </c>
      <c r="N197" t="s">
        <v>40</v>
      </c>
      <c r="O197" s="1">
        <v>0</v>
      </c>
      <c r="P197" t="s">
        <v>40</v>
      </c>
      <c r="Q197" s="6">
        <v>46997</v>
      </c>
      <c r="R197" s="6">
        <v>47361</v>
      </c>
      <c r="S197" t="s">
        <v>188</v>
      </c>
      <c r="T197" t="s">
        <v>79</v>
      </c>
      <c r="U197" t="s">
        <v>50</v>
      </c>
      <c r="V197" t="s">
        <v>42</v>
      </c>
      <c r="W197" t="s">
        <v>43</v>
      </c>
      <c r="X197" t="s">
        <v>36</v>
      </c>
      <c r="Y197" t="s">
        <v>36</v>
      </c>
      <c r="Z197" t="s">
        <v>36</v>
      </c>
      <c r="AA197" t="s">
        <v>36</v>
      </c>
      <c r="AB197" t="s">
        <v>44</v>
      </c>
      <c r="AC197" t="s">
        <v>45</v>
      </c>
      <c r="AD197" t="s">
        <v>319</v>
      </c>
      <c r="AE197" t="s">
        <v>46</v>
      </c>
      <c r="AF197" t="s">
        <v>46</v>
      </c>
      <c r="AG197" t="s">
        <v>36</v>
      </c>
      <c r="AH197" t="s">
        <v>40</v>
      </c>
      <c r="AI197" t="s">
        <v>40</v>
      </c>
      <c r="AJ197" t="s">
        <v>40</v>
      </c>
    </row>
    <row r="198" spans="1:36" x14ac:dyDescent="0.25">
      <c r="A198" t="s">
        <v>34</v>
      </c>
      <c r="B198" t="s">
        <v>320</v>
      </c>
      <c r="C198" t="s">
        <v>36</v>
      </c>
      <c r="D198" t="s">
        <v>82</v>
      </c>
      <c r="E198" t="s">
        <v>35</v>
      </c>
      <c r="F198" t="s">
        <v>39</v>
      </c>
      <c r="G198" s="1"/>
      <c r="H198" t="s">
        <v>40</v>
      </c>
      <c r="I198" s="1"/>
      <c r="J198" t="s">
        <v>40</v>
      </c>
      <c r="K198" s="2">
        <v>0</v>
      </c>
      <c r="L198" t="s">
        <v>40</v>
      </c>
      <c r="M198" s="2">
        <f>Table1[[#This Row],[Quantity]]*Table1[[#This Row],[Proposed Unit Price]]</f>
        <v>0</v>
      </c>
      <c r="N198" t="s">
        <v>40</v>
      </c>
      <c r="O198" s="1">
        <v>0</v>
      </c>
      <c r="P198" t="s">
        <v>40</v>
      </c>
      <c r="Q198" s="6">
        <v>46997</v>
      </c>
      <c r="R198" s="6">
        <v>47361</v>
      </c>
      <c r="S198" t="s">
        <v>188</v>
      </c>
      <c r="T198" t="s">
        <v>81</v>
      </c>
      <c r="U198" t="s">
        <v>50</v>
      </c>
      <c r="V198" t="s">
        <v>83</v>
      </c>
      <c r="W198" t="s">
        <v>84</v>
      </c>
      <c r="X198" t="s">
        <v>36</v>
      </c>
      <c r="Y198" t="s">
        <v>36</v>
      </c>
      <c r="Z198" t="s">
        <v>36</v>
      </c>
      <c r="AA198" t="s">
        <v>36</v>
      </c>
      <c r="AB198" t="s">
        <v>44</v>
      </c>
      <c r="AC198" t="s">
        <v>45</v>
      </c>
      <c r="AD198" t="s">
        <v>320</v>
      </c>
      <c r="AE198" t="s">
        <v>46</v>
      </c>
      <c r="AF198" t="s">
        <v>46</v>
      </c>
      <c r="AG198" t="s">
        <v>36</v>
      </c>
      <c r="AH198" t="s">
        <v>40</v>
      </c>
      <c r="AI198" t="s">
        <v>40</v>
      </c>
      <c r="AJ198" t="s">
        <v>40</v>
      </c>
    </row>
    <row r="199" spans="1:36" x14ac:dyDescent="0.25">
      <c r="A199" t="s">
        <v>34</v>
      </c>
      <c r="B199" t="s">
        <v>321</v>
      </c>
      <c r="C199" t="s">
        <v>36</v>
      </c>
      <c r="D199" t="s">
        <v>86</v>
      </c>
      <c r="E199" t="s">
        <v>67</v>
      </c>
      <c r="F199" t="s">
        <v>87</v>
      </c>
      <c r="G199" s="1"/>
      <c r="H199" t="s">
        <v>40</v>
      </c>
      <c r="I199" s="1"/>
      <c r="J199" t="s">
        <v>40</v>
      </c>
      <c r="K199" s="2">
        <v>0</v>
      </c>
      <c r="L199" t="s">
        <v>40</v>
      </c>
      <c r="M199" s="2">
        <f>Table1[[#This Row],[Quantity]]*Table1[[#This Row],[Proposed Unit Price]]</f>
        <v>0</v>
      </c>
      <c r="N199" t="s">
        <v>40</v>
      </c>
      <c r="O199" s="1">
        <v>0</v>
      </c>
      <c r="P199" t="s">
        <v>40</v>
      </c>
      <c r="Q199" s="6">
        <v>46997</v>
      </c>
      <c r="R199" s="6">
        <v>47361</v>
      </c>
      <c r="S199" t="s">
        <v>188</v>
      </c>
      <c r="T199" t="s">
        <v>85</v>
      </c>
      <c r="U199" t="s">
        <v>50</v>
      </c>
      <c r="V199" t="s">
        <v>42</v>
      </c>
      <c r="W199" t="s">
        <v>43</v>
      </c>
      <c r="X199" t="s">
        <v>36</v>
      </c>
      <c r="Y199" t="s">
        <v>36</v>
      </c>
      <c r="Z199" t="s">
        <v>36</v>
      </c>
      <c r="AA199" t="s">
        <v>36</v>
      </c>
      <c r="AB199" t="s">
        <v>44</v>
      </c>
      <c r="AC199" t="s">
        <v>45</v>
      </c>
      <c r="AD199" t="s">
        <v>321</v>
      </c>
      <c r="AE199" t="s">
        <v>46</v>
      </c>
      <c r="AF199" t="s">
        <v>46</v>
      </c>
      <c r="AG199" t="s">
        <v>36</v>
      </c>
      <c r="AH199" t="s">
        <v>40</v>
      </c>
      <c r="AI199" t="s">
        <v>40</v>
      </c>
      <c r="AJ199" t="s">
        <v>40</v>
      </c>
    </row>
    <row r="200" spans="1:36" x14ac:dyDescent="0.25">
      <c r="A200" t="s">
        <v>34</v>
      </c>
      <c r="B200" t="s">
        <v>322</v>
      </c>
      <c r="C200" t="s">
        <v>36</v>
      </c>
      <c r="D200" t="s">
        <v>89</v>
      </c>
      <c r="E200" t="s">
        <v>53</v>
      </c>
      <c r="F200" t="s">
        <v>39</v>
      </c>
      <c r="G200" s="1"/>
      <c r="H200" t="s">
        <v>40</v>
      </c>
      <c r="I200" s="1"/>
      <c r="J200" t="s">
        <v>40</v>
      </c>
      <c r="K200" s="2">
        <v>0</v>
      </c>
      <c r="L200" t="s">
        <v>40</v>
      </c>
      <c r="M200" s="2">
        <f>Table1[[#This Row],[Quantity]]*Table1[[#This Row],[Proposed Unit Price]]</f>
        <v>0</v>
      </c>
      <c r="N200" t="s">
        <v>40</v>
      </c>
      <c r="O200" s="1">
        <v>0</v>
      </c>
      <c r="P200" t="s">
        <v>40</v>
      </c>
      <c r="Q200" s="6">
        <v>46997</v>
      </c>
      <c r="R200" s="6">
        <v>47361</v>
      </c>
      <c r="S200" t="s">
        <v>188</v>
      </c>
      <c r="T200" t="s">
        <v>88</v>
      </c>
      <c r="U200" t="s">
        <v>50</v>
      </c>
      <c r="V200" t="s">
        <v>42</v>
      </c>
      <c r="W200" t="s">
        <v>43</v>
      </c>
      <c r="X200" t="s">
        <v>36</v>
      </c>
      <c r="Y200" t="s">
        <v>36</v>
      </c>
      <c r="Z200" t="s">
        <v>36</v>
      </c>
      <c r="AA200" t="s">
        <v>36</v>
      </c>
      <c r="AB200" t="s">
        <v>44</v>
      </c>
      <c r="AC200" t="s">
        <v>45</v>
      </c>
      <c r="AD200" t="s">
        <v>322</v>
      </c>
      <c r="AE200" t="s">
        <v>46</v>
      </c>
      <c r="AF200" t="s">
        <v>46</v>
      </c>
      <c r="AG200" t="s">
        <v>36</v>
      </c>
      <c r="AH200" t="s">
        <v>40</v>
      </c>
      <c r="AI200" t="s">
        <v>40</v>
      </c>
      <c r="AJ200" t="s">
        <v>40</v>
      </c>
    </row>
    <row r="201" spans="1:36" x14ac:dyDescent="0.25">
      <c r="A201" t="s">
        <v>34</v>
      </c>
      <c r="B201" t="s">
        <v>323</v>
      </c>
      <c r="C201" t="s">
        <v>36</v>
      </c>
      <c r="D201" t="s">
        <v>91</v>
      </c>
      <c r="E201" t="s">
        <v>35</v>
      </c>
      <c r="F201" t="s">
        <v>39</v>
      </c>
      <c r="G201" s="1"/>
      <c r="H201" t="s">
        <v>40</v>
      </c>
      <c r="I201" s="1"/>
      <c r="J201" t="s">
        <v>40</v>
      </c>
      <c r="K201" s="2">
        <v>0</v>
      </c>
      <c r="L201" t="s">
        <v>40</v>
      </c>
      <c r="M201" s="2">
        <f>Table1[[#This Row],[Quantity]]*Table1[[#This Row],[Proposed Unit Price]]</f>
        <v>0</v>
      </c>
      <c r="N201" t="s">
        <v>40</v>
      </c>
      <c r="O201" s="1">
        <v>0</v>
      </c>
      <c r="P201" t="s">
        <v>40</v>
      </c>
      <c r="Q201" s="6">
        <v>46997</v>
      </c>
      <c r="R201" s="6">
        <v>47361</v>
      </c>
      <c r="S201" t="s">
        <v>188</v>
      </c>
      <c r="T201" t="s">
        <v>90</v>
      </c>
      <c r="U201" t="s">
        <v>50</v>
      </c>
      <c r="V201" t="s">
        <v>83</v>
      </c>
      <c r="W201" t="s">
        <v>84</v>
      </c>
      <c r="X201" t="s">
        <v>36</v>
      </c>
      <c r="Y201" t="s">
        <v>36</v>
      </c>
      <c r="Z201" t="s">
        <v>36</v>
      </c>
      <c r="AA201" t="s">
        <v>36</v>
      </c>
      <c r="AB201" t="s">
        <v>44</v>
      </c>
      <c r="AC201" t="s">
        <v>45</v>
      </c>
      <c r="AD201" t="s">
        <v>323</v>
      </c>
      <c r="AE201" t="s">
        <v>46</v>
      </c>
      <c r="AF201" t="s">
        <v>46</v>
      </c>
      <c r="AG201" t="s">
        <v>36</v>
      </c>
      <c r="AH201" t="s">
        <v>40</v>
      </c>
      <c r="AI201" t="s">
        <v>40</v>
      </c>
      <c r="AJ201" t="s">
        <v>40</v>
      </c>
    </row>
    <row r="202" spans="1:36" x14ac:dyDescent="0.25">
      <c r="A202" t="s">
        <v>34</v>
      </c>
      <c r="B202" t="s">
        <v>324</v>
      </c>
      <c r="C202" t="s">
        <v>36</v>
      </c>
      <c r="D202" t="s">
        <v>93</v>
      </c>
      <c r="E202" t="s">
        <v>35</v>
      </c>
      <c r="F202" t="s">
        <v>39</v>
      </c>
      <c r="G202" s="1"/>
      <c r="H202" t="s">
        <v>40</v>
      </c>
      <c r="I202" s="1"/>
      <c r="J202" t="s">
        <v>40</v>
      </c>
      <c r="K202" s="2">
        <v>0</v>
      </c>
      <c r="L202" t="s">
        <v>40</v>
      </c>
      <c r="M202" s="2">
        <f>Table1[[#This Row],[Quantity]]*Table1[[#This Row],[Proposed Unit Price]]</f>
        <v>0</v>
      </c>
      <c r="N202" t="s">
        <v>40</v>
      </c>
      <c r="O202" s="1">
        <v>0</v>
      </c>
      <c r="P202" t="s">
        <v>40</v>
      </c>
      <c r="Q202" s="6">
        <v>46997</v>
      </c>
      <c r="R202" s="6">
        <v>47361</v>
      </c>
      <c r="S202" t="s">
        <v>188</v>
      </c>
      <c r="T202" t="s">
        <v>92</v>
      </c>
      <c r="U202" t="s">
        <v>50</v>
      </c>
      <c r="V202" t="s">
        <v>83</v>
      </c>
      <c r="W202" t="s">
        <v>84</v>
      </c>
      <c r="X202" t="s">
        <v>36</v>
      </c>
      <c r="Y202" t="s">
        <v>36</v>
      </c>
      <c r="Z202" t="s">
        <v>36</v>
      </c>
      <c r="AA202" t="s">
        <v>36</v>
      </c>
      <c r="AB202" t="s">
        <v>44</v>
      </c>
      <c r="AC202" t="s">
        <v>45</v>
      </c>
      <c r="AD202" t="s">
        <v>324</v>
      </c>
      <c r="AE202" t="s">
        <v>46</v>
      </c>
      <c r="AF202" t="s">
        <v>46</v>
      </c>
      <c r="AG202" t="s">
        <v>36</v>
      </c>
      <c r="AH202" t="s">
        <v>40</v>
      </c>
      <c r="AI202" t="s">
        <v>40</v>
      </c>
      <c r="AJ202" t="s">
        <v>40</v>
      </c>
    </row>
    <row r="203" spans="1:36" x14ac:dyDescent="0.25">
      <c r="A203" t="s">
        <v>34</v>
      </c>
      <c r="B203" t="s">
        <v>325</v>
      </c>
      <c r="C203" t="s">
        <v>36</v>
      </c>
      <c r="D203" t="s">
        <v>95</v>
      </c>
      <c r="E203" t="s">
        <v>60</v>
      </c>
      <c r="F203" t="s">
        <v>96</v>
      </c>
      <c r="G203" s="1"/>
      <c r="H203" t="s">
        <v>40</v>
      </c>
      <c r="I203" s="1"/>
      <c r="J203" t="s">
        <v>40</v>
      </c>
      <c r="K203" s="2">
        <v>0</v>
      </c>
      <c r="L203" t="s">
        <v>40</v>
      </c>
      <c r="M203" s="2">
        <f>Table1[[#This Row],[Quantity]]*Table1[[#This Row],[Proposed Unit Price]]</f>
        <v>0</v>
      </c>
      <c r="N203" t="s">
        <v>40</v>
      </c>
      <c r="O203" s="1">
        <v>0</v>
      </c>
      <c r="P203" t="s">
        <v>40</v>
      </c>
      <c r="Q203" s="6">
        <v>46997</v>
      </c>
      <c r="R203" s="6">
        <v>47361</v>
      </c>
      <c r="S203" t="s">
        <v>188</v>
      </c>
      <c r="T203" t="s">
        <v>94</v>
      </c>
      <c r="U203" t="s">
        <v>50</v>
      </c>
      <c r="V203" t="s">
        <v>42</v>
      </c>
      <c r="W203" t="s">
        <v>43</v>
      </c>
      <c r="X203" t="s">
        <v>36</v>
      </c>
      <c r="Y203" t="s">
        <v>36</v>
      </c>
      <c r="Z203" t="s">
        <v>36</v>
      </c>
      <c r="AA203" t="s">
        <v>36</v>
      </c>
      <c r="AB203" t="s">
        <v>44</v>
      </c>
      <c r="AC203" t="s">
        <v>45</v>
      </c>
      <c r="AD203" t="s">
        <v>325</v>
      </c>
      <c r="AE203" t="s">
        <v>46</v>
      </c>
      <c r="AF203" t="s">
        <v>46</v>
      </c>
      <c r="AG203" t="s">
        <v>36</v>
      </c>
      <c r="AH203" t="s">
        <v>40</v>
      </c>
      <c r="AI203" t="s">
        <v>40</v>
      </c>
      <c r="AJ203" t="s">
        <v>40</v>
      </c>
    </row>
    <row r="204" spans="1:36" x14ac:dyDescent="0.25">
      <c r="A204" t="s">
        <v>34</v>
      </c>
      <c r="B204" t="s">
        <v>326</v>
      </c>
      <c r="C204" t="s">
        <v>36</v>
      </c>
      <c r="D204" t="s">
        <v>98</v>
      </c>
      <c r="E204" t="s">
        <v>99</v>
      </c>
      <c r="F204" t="s">
        <v>39</v>
      </c>
      <c r="G204" s="1"/>
      <c r="H204" t="s">
        <v>40</v>
      </c>
      <c r="I204" s="1"/>
      <c r="J204" t="s">
        <v>40</v>
      </c>
      <c r="K204" s="2">
        <v>0</v>
      </c>
      <c r="L204" t="s">
        <v>40</v>
      </c>
      <c r="M204" s="2">
        <f>Table1[[#This Row],[Quantity]]*Table1[[#This Row],[Proposed Unit Price]]</f>
        <v>0</v>
      </c>
      <c r="N204" t="s">
        <v>40</v>
      </c>
      <c r="O204" s="1">
        <v>0</v>
      </c>
      <c r="P204" t="s">
        <v>40</v>
      </c>
      <c r="Q204" s="6">
        <v>46997</v>
      </c>
      <c r="R204" s="6">
        <v>47361</v>
      </c>
      <c r="S204" t="s">
        <v>188</v>
      </c>
      <c r="T204" t="s">
        <v>97</v>
      </c>
      <c r="U204" t="s">
        <v>50</v>
      </c>
      <c r="V204" t="s">
        <v>42</v>
      </c>
      <c r="W204" t="s">
        <v>43</v>
      </c>
      <c r="X204" t="s">
        <v>36</v>
      </c>
      <c r="Y204" t="s">
        <v>36</v>
      </c>
      <c r="Z204" t="s">
        <v>36</v>
      </c>
      <c r="AA204" t="s">
        <v>36</v>
      </c>
      <c r="AB204" t="s">
        <v>44</v>
      </c>
      <c r="AC204" t="s">
        <v>45</v>
      </c>
      <c r="AD204" t="s">
        <v>326</v>
      </c>
      <c r="AE204" t="s">
        <v>46</v>
      </c>
      <c r="AF204" t="s">
        <v>46</v>
      </c>
      <c r="AG204" t="s">
        <v>36</v>
      </c>
      <c r="AH204" t="s">
        <v>40</v>
      </c>
      <c r="AI204" t="s">
        <v>40</v>
      </c>
      <c r="AJ204" t="s">
        <v>40</v>
      </c>
    </row>
    <row r="205" spans="1:36" x14ac:dyDescent="0.25">
      <c r="A205" t="s">
        <v>34</v>
      </c>
      <c r="B205" t="s">
        <v>327</v>
      </c>
      <c r="C205" t="s">
        <v>36</v>
      </c>
      <c r="D205" t="s">
        <v>101</v>
      </c>
      <c r="E205" t="s">
        <v>63</v>
      </c>
      <c r="F205" t="s">
        <v>39</v>
      </c>
      <c r="G205" s="1"/>
      <c r="H205" t="s">
        <v>40</v>
      </c>
      <c r="I205" s="1"/>
      <c r="J205" t="s">
        <v>40</v>
      </c>
      <c r="K205" s="2">
        <v>0</v>
      </c>
      <c r="L205" t="s">
        <v>40</v>
      </c>
      <c r="M205" s="2">
        <f>Table1[[#This Row],[Quantity]]*Table1[[#This Row],[Proposed Unit Price]]</f>
        <v>0</v>
      </c>
      <c r="N205" t="s">
        <v>40</v>
      </c>
      <c r="O205" s="1">
        <v>0</v>
      </c>
      <c r="P205" t="s">
        <v>40</v>
      </c>
      <c r="Q205" s="6">
        <v>46997</v>
      </c>
      <c r="R205" s="6">
        <v>47361</v>
      </c>
      <c r="S205" t="s">
        <v>188</v>
      </c>
      <c r="T205" t="s">
        <v>100</v>
      </c>
      <c r="U205" t="s">
        <v>50</v>
      </c>
      <c r="V205" t="s">
        <v>42</v>
      </c>
      <c r="W205" t="s">
        <v>43</v>
      </c>
      <c r="X205" t="s">
        <v>36</v>
      </c>
      <c r="Y205" t="s">
        <v>36</v>
      </c>
      <c r="Z205" t="s">
        <v>36</v>
      </c>
      <c r="AA205" t="s">
        <v>36</v>
      </c>
      <c r="AB205" t="s">
        <v>44</v>
      </c>
      <c r="AC205" t="s">
        <v>45</v>
      </c>
      <c r="AD205" t="s">
        <v>327</v>
      </c>
      <c r="AE205" t="s">
        <v>46</v>
      </c>
      <c r="AF205" t="s">
        <v>46</v>
      </c>
      <c r="AG205" t="s">
        <v>36</v>
      </c>
      <c r="AH205" t="s">
        <v>40</v>
      </c>
      <c r="AI205" t="s">
        <v>40</v>
      </c>
      <c r="AJ205" t="s">
        <v>40</v>
      </c>
    </row>
    <row r="206" spans="1:36" x14ac:dyDescent="0.25">
      <c r="A206" t="s">
        <v>34</v>
      </c>
      <c r="B206" t="s">
        <v>328</v>
      </c>
      <c r="C206" t="s">
        <v>36</v>
      </c>
      <c r="D206" t="s">
        <v>103</v>
      </c>
      <c r="E206" t="s">
        <v>58</v>
      </c>
      <c r="F206" t="s">
        <v>87</v>
      </c>
      <c r="G206" s="1"/>
      <c r="H206" t="s">
        <v>40</v>
      </c>
      <c r="I206" s="1"/>
      <c r="J206" t="s">
        <v>40</v>
      </c>
      <c r="K206" s="2">
        <v>0</v>
      </c>
      <c r="L206" t="s">
        <v>40</v>
      </c>
      <c r="M206" s="2">
        <f>Table1[[#This Row],[Quantity]]*Table1[[#This Row],[Proposed Unit Price]]</f>
        <v>0</v>
      </c>
      <c r="N206" t="s">
        <v>40</v>
      </c>
      <c r="O206" s="1">
        <v>0</v>
      </c>
      <c r="P206" t="s">
        <v>40</v>
      </c>
      <c r="Q206" s="6">
        <v>46997</v>
      </c>
      <c r="R206" s="6">
        <v>47361</v>
      </c>
      <c r="S206" t="s">
        <v>188</v>
      </c>
      <c r="T206" t="s">
        <v>102</v>
      </c>
      <c r="U206" t="s">
        <v>50</v>
      </c>
      <c r="V206" t="s">
        <v>42</v>
      </c>
      <c r="W206" t="s">
        <v>43</v>
      </c>
      <c r="X206" t="s">
        <v>36</v>
      </c>
      <c r="Y206" t="s">
        <v>36</v>
      </c>
      <c r="Z206" t="s">
        <v>36</v>
      </c>
      <c r="AA206" t="s">
        <v>36</v>
      </c>
      <c r="AB206" t="s">
        <v>44</v>
      </c>
      <c r="AC206" t="s">
        <v>45</v>
      </c>
      <c r="AD206" t="s">
        <v>328</v>
      </c>
      <c r="AE206" t="s">
        <v>46</v>
      </c>
      <c r="AF206" t="s">
        <v>46</v>
      </c>
      <c r="AG206" t="s">
        <v>36</v>
      </c>
      <c r="AH206" t="s">
        <v>40</v>
      </c>
      <c r="AI206" t="s">
        <v>40</v>
      </c>
      <c r="AJ206" t="s">
        <v>40</v>
      </c>
    </row>
    <row r="207" spans="1:36" x14ac:dyDescent="0.25">
      <c r="A207" t="s">
        <v>34</v>
      </c>
      <c r="B207" t="s">
        <v>329</v>
      </c>
      <c r="C207" t="s">
        <v>36</v>
      </c>
      <c r="D207" t="s">
        <v>211</v>
      </c>
      <c r="E207" t="s">
        <v>47</v>
      </c>
      <c r="F207" t="s">
        <v>39</v>
      </c>
      <c r="G207" s="1"/>
      <c r="H207" t="s">
        <v>40</v>
      </c>
      <c r="I207" s="1"/>
      <c r="J207" t="s">
        <v>40</v>
      </c>
      <c r="K207" s="2">
        <v>0</v>
      </c>
      <c r="L207" t="s">
        <v>40</v>
      </c>
      <c r="M207" s="2">
        <f>Table1[[#This Row],[Quantity]]*Table1[[#This Row],[Proposed Unit Price]]</f>
        <v>0</v>
      </c>
      <c r="N207" t="s">
        <v>40</v>
      </c>
      <c r="O207" s="1">
        <v>0</v>
      </c>
      <c r="P207" t="s">
        <v>40</v>
      </c>
      <c r="Q207" s="6">
        <v>46997</v>
      </c>
      <c r="R207" s="6">
        <v>47361</v>
      </c>
      <c r="S207" t="s">
        <v>188</v>
      </c>
      <c r="T207" t="s">
        <v>104</v>
      </c>
      <c r="U207" t="s">
        <v>50</v>
      </c>
      <c r="V207" t="s">
        <v>42</v>
      </c>
      <c r="W207" t="s">
        <v>43</v>
      </c>
      <c r="X207" t="s">
        <v>36</v>
      </c>
      <c r="Y207" t="s">
        <v>36</v>
      </c>
      <c r="Z207" t="s">
        <v>36</v>
      </c>
      <c r="AA207" t="s">
        <v>36</v>
      </c>
      <c r="AB207" t="s">
        <v>44</v>
      </c>
      <c r="AC207" t="s">
        <v>45</v>
      </c>
      <c r="AD207" t="s">
        <v>329</v>
      </c>
      <c r="AE207" t="s">
        <v>46</v>
      </c>
      <c r="AF207" t="s">
        <v>46</v>
      </c>
      <c r="AG207" t="s">
        <v>36</v>
      </c>
      <c r="AH207" t="s">
        <v>40</v>
      </c>
      <c r="AI207" t="s">
        <v>40</v>
      </c>
      <c r="AJ207" t="s">
        <v>40</v>
      </c>
    </row>
    <row r="208" spans="1:36" x14ac:dyDescent="0.25">
      <c r="A208" t="s">
        <v>34</v>
      </c>
      <c r="B208" t="s">
        <v>330</v>
      </c>
      <c r="C208" t="s">
        <v>36</v>
      </c>
      <c r="D208" t="s">
        <v>107</v>
      </c>
      <c r="E208" t="s">
        <v>106</v>
      </c>
      <c r="F208" t="s">
        <v>87</v>
      </c>
      <c r="G208" s="1"/>
      <c r="H208" t="s">
        <v>40</v>
      </c>
      <c r="I208" s="1"/>
      <c r="J208" t="s">
        <v>40</v>
      </c>
      <c r="K208" s="2">
        <v>0</v>
      </c>
      <c r="L208" t="s">
        <v>40</v>
      </c>
      <c r="M208" s="2">
        <f>Table1[[#This Row],[Quantity]]*Table1[[#This Row],[Proposed Unit Price]]</f>
        <v>0</v>
      </c>
      <c r="N208" t="s">
        <v>40</v>
      </c>
      <c r="O208" s="1">
        <v>0</v>
      </c>
      <c r="P208" t="s">
        <v>40</v>
      </c>
      <c r="Q208" s="6">
        <v>46997</v>
      </c>
      <c r="R208" s="6">
        <v>47361</v>
      </c>
      <c r="S208" t="s">
        <v>188</v>
      </c>
      <c r="T208" t="s">
        <v>106</v>
      </c>
      <c r="U208" t="s">
        <v>50</v>
      </c>
      <c r="V208" t="s">
        <v>42</v>
      </c>
      <c r="W208" t="s">
        <v>43</v>
      </c>
      <c r="X208" t="s">
        <v>36</v>
      </c>
      <c r="Y208" t="s">
        <v>36</v>
      </c>
      <c r="Z208" t="s">
        <v>36</v>
      </c>
      <c r="AA208" t="s">
        <v>36</v>
      </c>
      <c r="AB208" t="s">
        <v>44</v>
      </c>
      <c r="AC208" t="s">
        <v>45</v>
      </c>
      <c r="AD208" t="s">
        <v>330</v>
      </c>
      <c r="AE208" t="s">
        <v>46</v>
      </c>
      <c r="AF208" t="s">
        <v>46</v>
      </c>
      <c r="AG208" t="s">
        <v>36</v>
      </c>
      <c r="AH208" t="s">
        <v>40</v>
      </c>
      <c r="AI208" t="s">
        <v>40</v>
      </c>
      <c r="AJ208" t="s">
        <v>40</v>
      </c>
    </row>
    <row r="209" spans="1:36" x14ac:dyDescent="0.25">
      <c r="A209" t="s">
        <v>34</v>
      </c>
      <c r="B209" t="s">
        <v>331</v>
      </c>
      <c r="C209" t="s">
        <v>36</v>
      </c>
      <c r="D209" t="s">
        <v>109</v>
      </c>
      <c r="E209" t="s">
        <v>110</v>
      </c>
      <c r="F209" t="s">
        <v>64</v>
      </c>
      <c r="G209" s="1"/>
      <c r="H209" t="s">
        <v>40</v>
      </c>
      <c r="I209" s="1"/>
      <c r="J209" t="s">
        <v>40</v>
      </c>
      <c r="K209" s="2">
        <v>0</v>
      </c>
      <c r="L209" t="s">
        <v>40</v>
      </c>
      <c r="M209" s="2">
        <f>Table1[[#This Row],[Quantity]]*Table1[[#This Row],[Proposed Unit Price]]</f>
        <v>0</v>
      </c>
      <c r="N209" t="s">
        <v>40</v>
      </c>
      <c r="O209" s="1">
        <v>0</v>
      </c>
      <c r="P209" t="s">
        <v>40</v>
      </c>
      <c r="Q209" s="6">
        <v>46997</v>
      </c>
      <c r="R209" s="6">
        <v>47361</v>
      </c>
      <c r="S209" t="s">
        <v>188</v>
      </c>
      <c r="T209" t="s">
        <v>108</v>
      </c>
      <c r="U209" t="s">
        <v>50</v>
      </c>
      <c r="V209" t="s">
        <v>42</v>
      </c>
      <c r="W209" t="s">
        <v>43</v>
      </c>
      <c r="X209" t="s">
        <v>36</v>
      </c>
      <c r="Y209" t="s">
        <v>36</v>
      </c>
      <c r="Z209" t="s">
        <v>36</v>
      </c>
      <c r="AA209" t="s">
        <v>36</v>
      </c>
      <c r="AB209" t="s">
        <v>44</v>
      </c>
      <c r="AC209" t="s">
        <v>45</v>
      </c>
      <c r="AD209" t="s">
        <v>331</v>
      </c>
      <c r="AE209" t="s">
        <v>46</v>
      </c>
      <c r="AF209" t="s">
        <v>46</v>
      </c>
      <c r="AG209" t="s">
        <v>36</v>
      </c>
      <c r="AH209" t="s">
        <v>40</v>
      </c>
      <c r="AI209" t="s">
        <v>40</v>
      </c>
      <c r="AJ209" t="s">
        <v>40</v>
      </c>
    </row>
    <row r="210" spans="1:36" x14ac:dyDescent="0.25">
      <c r="A210" t="s">
        <v>34</v>
      </c>
      <c r="B210" t="s">
        <v>332</v>
      </c>
      <c r="C210" t="s">
        <v>36</v>
      </c>
      <c r="D210" t="s">
        <v>112</v>
      </c>
      <c r="E210" t="s">
        <v>113</v>
      </c>
      <c r="F210" t="s">
        <v>39</v>
      </c>
      <c r="G210" s="1"/>
      <c r="H210" t="s">
        <v>40</v>
      </c>
      <c r="I210" s="1"/>
      <c r="J210" t="s">
        <v>40</v>
      </c>
      <c r="K210" s="2">
        <v>0</v>
      </c>
      <c r="L210" t="s">
        <v>40</v>
      </c>
      <c r="M210" s="2">
        <f>Table1[[#This Row],[Quantity]]*Table1[[#This Row],[Proposed Unit Price]]</f>
        <v>0</v>
      </c>
      <c r="N210" t="s">
        <v>40</v>
      </c>
      <c r="O210" s="1">
        <v>0</v>
      </c>
      <c r="P210" t="s">
        <v>40</v>
      </c>
      <c r="Q210" s="6">
        <v>46997</v>
      </c>
      <c r="R210" s="6">
        <v>47361</v>
      </c>
      <c r="S210" t="s">
        <v>188</v>
      </c>
      <c r="T210" t="s">
        <v>111</v>
      </c>
      <c r="U210" t="s">
        <v>50</v>
      </c>
      <c r="V210" t="s">
        <v>42</v>
      </c>
      <c r="W210" t="s">
        <v>43</v>
      </c>
      <c r="X210" t="s">
        <v>36</v>
      </c>
      <c r="Y210" t="s">
        <v>36</v>
      </c>
      <c r="Z210" t="s">
        <v>36</v>
      </c>
      <c r="AA210" t="s">
        <v>36</v>
      </c>
      <c r="AB210" t="s">
        <v>44</v>
      </c>
      <c r="AC210" t="s">
        <v>45</v>
      </c>
      <c r="AD210" t="s">
        <v>332</v>
      </c>
      <c r="AE210" t="s">
        <v>46</v>
      </c>
      <c r="AF210" t="s">
        <v>46</v>
      </c>
      <c r="AG210" t="s">
        <v>36</v>
      </c>
      <c r="AH210" t="s">
        <v>40</v>
      </c>
      <c r="AI210" t="s">
        <v>40</v>
      </c>
      <c r="AJ210" t="s">
        <v>40</v>
      </c>
    </row>
    <row r="211" spans="1:36" x14ac:dyDescent="0.25">
      <c r="A211" t="s">
        <v>34</v>
      </c>
      <c r="B211" t="s">
        <v>333</v>
      </c>
      <c r="C211" t="s">
        <v>36</v>
      </c>
      <c r="D211" t="s">
        <v>115</v>
      </c>
      <c r="E211" t="s">
        <v>116</v>
      </c>
      <c r="F211" t="s">
        <v>39</v>
      </c>
      <c r="G211" s="1"/>
      <c r="H211" t="s">
        <v>40</v>
      </c>
      <c r="I211" s="1"/>
      <c r="J211" t="s">
        <v>40</v>
      </c>
      <c r="K211" s="2">
        <v>0</v>
      </c>
      <c r="L211" t="s">
        <v>40</v>
      </c>
      <c r="M211" s="2">
        <f>Table1[[#This Row],[Quantity]]*Table1[[#This Row],[Proposed Unit Price]]</f>
        <v>0</v>
      </c>
      <c r="N211" t="s">
        <v>40</v>
      </c>
      <c r="O211" s="1">
        <v>0</v>
      </c>
      <c r="P211" t="s">
        <v>40</v>
      </c>
      <c r="Q211" s="6">
        <v>46997</v>
      </c>
      <c r="R211" s="6">
        <v>47361</v>
      </c>
      <c r="S211" t="s">
        <v>188</v>
      </c>
      <c r="T211" t="s">
        <v>114</v>
      </c>
      <c r="U211" t="s">
        <v>50</v>
      </c>
      <c r="V211" t="s">
        <v>42</v>
      </c>
      <c r="W211" t="s">
        <v>43</v>
      </c>
      <c r="X211" t="s">
        <v>36</v>
      </c>
      <c r="Y211" t="s">
        <v>36</v>
      </c>
      <c r="Z211" t="s">
        <v>36</v>
      </c>
      <c r="AA211" t="s">
        <v>36</v>
      </c>
      <c r="AB211" t="s">
        <v>44</v>
      </c>
      <c r="AC211" t="s">
        <v>45</v>
      </c>
      <c r="AD211" t="s">
        <v>333</v>
      </c>
      <c r="AE211" t="s">
        <v>46</v>
      </c>
      <c r="AF211" t="s">
        <v>46</v>
      </c>
      <c r="AG211" t="s">
        <v>36</v>
      </c>
      <c r="AH211" t="s">
        <v>40</v>
      </c>
      <c r="AI211" t="s">
        <v>40</v>
      </c>
      <c r="AJ211" t="s">
        <v>40</v>
      </c>
    </row>
    <row r="212" spans="1:36" x14ac:dyDescent="0.25">
      <c r="A212" t="s">
        <v>34</v>
      </c>
      <c r="B212" t="s">
        <v>334</v>
      </c>
      <c r="C212" t="s">
        <v>36</v>
      </c>
      <c r="D212" t="s">
        <v>118</v>
      </c>
      <c r="E212" t="s">
        <v>119</v>
      </c>
      <c r="F212" t="s">
        <v>39</v>
      </c>
      <c r="G212" s="1"/>
      <c r="H212" t="s">
        <v>40</v>
      </c>
      <c r="I212" s="1"/>
      <c r="J212" t="s">
        <v>40</v>
      </c>
      <c r="K212" s="2">
        <v>0</v>
      </c>
      <c r="L212" t="s">
        <v>40</v>
      </c>
      <c r="M212" s="2">
        <f>Table1[[#This Row],[Quantity]]*Table1[[#This Row],[Proposed Unit Price]]</f>
        <v>0</v>
      </c>
      <c r="N212" t="s">
        <v>40</v>
      </c>
      <c r="O212" s="1">
        <v>0</v>
      </c>
      <c r="P212" t="s">
        <v>40</v>
      </c>
      <c r="Q212" s="6">
        <v>46997</v>
      </c>
      <c r="R212" s="6">
        <v>47361</v>
      </c>
      <c r="S212" t="s">
        <v>188</v>
      </c>
      <c r="T212" t="s">
        <v>117</v>
      </c>
      <c r="U212" t="s">
        <v>50</v>
      </c>
      <c r="V212" t="s">
        <v>42</v>
      </c>
      <c r="W212" t="s">
        <v>43</v>
      </c>
      <c r="X212" t="s">
        <v>36</v>
      </c>
      <c r="Y212" t="s">
        <v>36</v>
      </c>
      <c r="Z212" t="s">
        <v>36</v>
      </c>
      <c r="AA212" t="s">
        <v>36</v>
      </c>
      <c r="AB212" t="s">
        <v>44</v>
      </c>
      <c r="AC212" t="s">
        <v>45</v>
      </c>
      <c r="AD212" t="s">
        <v>334</v>
      </c>
      <c r="AE212" t="s">
        <v>46</v>
      </c>
      <c r="AF212" t="s">
        <v>46</v>
      </c>
      <c r="AG212" t="s">
        <v>36</v>
      </c>
      <c r="AH212" t="s">
        <v>40</v>
      </c>
      <c r="AI212" t="s">
        <v>40</v>
      </c>
      <c r="AJ212" t="s">
        <v>40</v>
      </c>
    </row>
    <row r="213" spans="1:36" x14ac:dyDescent="0.25">
      <c r="A213" t="s">
        <v>34</v>
      </c>
      <c r="B213" t="s">
        <v>335</v>
      </c>
      <c r="C213" t="s">
        <v>36</v>
      </c>
      <c r="D213" t="s">
        <v>121</v>
      </c>
      <c r="E213" t="s">
        <v>122</v>
      </c>
      <c r="F213" t="s">
        <v>39</v>
      </c>
      <c r="G213" s="1"/>
      <c r="H213" t="s">
        <v>40</v>
      </c>
      <c r="I213" s="1"/>
      <c r="J213" t="s">
        <v>40</v>
      </c>
      <c r="K213" s="2">
        <v>0</v>
      </c>
      <c r="L213" t="s">
        <v>40</v>
      </c>
      <c r="M213" s="2">
        <f>Table1[[#This Row],[Quantity]]*Table1[[#This Row],[Proposed Unit Price]]</f>
        <v>0</v>
      </c>
      <c r="N213" t="s">
        <v>40</v>
      </c>
      <c r="O213" s="1">
        <v>0</v>
      </c>
      <c r="P213" t="s">
        <v>40</v>
      </c>
      <c r="Q213" s="6">
        <v>46997</v>
      </c>
      <c r="R213" s="6">
        <v>47361</v>
      </c>
      <c r="S213" t="s">
        <v>188</v>
      </c>
      <c r="T213" t="s">
        <v>120</v>
      </c>
      <c r="U213" t="s">
        <v>50</v>
      </c>
      <c r="V213" t="s">
        <v>42</v>
      </c>
      <c r="W213" t="s">
        <v>43</v>
      </c>
      <c r="X213" t="s">
        <v>36</v>
      </c>
      <c r="Y213" t="s">
        <v>36</v>
      </c>
      <c r="Z213" t="s">
        <v>36</v>
      </c>
      <c r="AA213" t="s">
        <v>36</v>
      </c>
      <c r="AB213" t="s">
        <v>44</v>
      </c>
      <c r="AC213" t="s">
        <v>45</v>
      </c>
      <c r="AD213" t="s">
        <v>335</v>
      </c>
      <c r="AE213" t="s">
        <v>46</v>
      </c>
      <c r="AF213" t="s">
        <v>46</v>
      </c>
      <c r="AG213" t="s">
        <v>36</v>
      </c>
      <c r="AH213" t="s">
        <v>40</v>
      </c>
      <c r="AI213" t="s">
        <v>40</v>
      </c>
      <c r="AJ213" t="s">
        <v>40</v>
      </c>
    </row>
    <row r="214" spans="1:36" x14ac:dyDescent="0.25">
      <c r="A214" t="s">
        <v>34</v>
      </c>
      <c r="B214" t="s">
        <v>336</v>
      </c>
      <c r="C214" t="s">
        <v>36</v>
      </c>
      <c r="D214" t="s">
        <v>124</v>
      </c>
      <c r="E214" t="s">
        <v>110</v>
      </c>
      <c r="F214" t="s">
        <v>39</v>
      </c>
      <c r="G214" s="1"/>
      <c r="H214" t="s">
        <v>40</v>
      </c>
      <c r="I214" s="1"/>
      <c r="J214" t="s">
        <v>40</v>
      </c>
      <c r="K214" s="2">
        <v>0</v>
      </c>
      <c r="L214" t="s">
        <v>40</v>
      </c>
      <c r="M214" s="2">
        <f>Table1[[#This Row],[Quantity]]*Table1[[#This Row],[Proposed Unit Price]]</f>
        <v>0</v>
      </c>
      <c r="N214" t="s">
        <v>40</v>
      </c>
      <c r="O214" s="1">
        <v>0</v>
      </c>
      <c r="P214" t="s">
        <v>40</v>
      </c>
      <c r="Q214" s="6">
        <v>46997</v>
      </c>
      <c r="R214" s="6">
        <v>47361</v>
      </c>
      <c r="S214" t="s">
        <v>188</v>
      </c>
      <c r="T214" t="s">
        <v>123</v>
      </c>
      <c r="U214" t="s">
        <v>50</v>
      </c>
      <c r="V214" t="s">
        <v>42</v>
      </c>
      <c r="W214" t="s">
        <v>43</v>
      </c>
      <c r="X214" t="s">
        <v>36</v>
      </c>
      <c r="Y214" t="s">
        <v>36</v>
      </c>
      <c r="Z214" t="s">
        <v>36</v>
      </c>
      <c r="AA214" t="s">
        <v>36</v>
      </c>
      <c r="AB214" t="s">
        <v>44</v>
      </c>
      <c r="AC214" t="s">
        <v>45</v>
      </c>
      <c r="AD214" t="s">
        <v>336</v>
      </c>
      <c r="AE214" t="s">
        <v>46</v>
      </c>
      <c r="AF214" t="s">
        <v>46</v>
      </c>
      <c r="AG214" t="s">
        <v>36</v>
      </c>
      <c r="AH214" t="s">
        <v>40</v>
      </c>
      <c r="AI214" t="s">
        <v>40</v>
      </c>
      <c r="AJ214" t="s">
        <v>40</v>
      </c>
    </row>
    <row r="215" spans="1:36" x14ac:dyDescent="0.25">
      <c r="A215" t="s">
        <v>34</v>
      </c>
      <c r="B215" t="s">
        <v>337</v>
      </c>
      <c r="C215" t="s">
        <v>36</v>
      </c>
      <c r="D215" t="s">
        <v>126</v>
      </c>
      <c r="E215" t="s">
        <v>127</v>
      </c>
      <c r="F215" t="s">
        <v>39</v>
      </c>
      <c r="G215" s="1"/>
      <c r="H215" t="s">
        <v>40</v>
      </c>
      <c r="I215" s="1"/>
      <c r="J215" t="s">
        <v>40</v>
      </c>
      <c r="K215" s="2">
        <v>0</v>
      </c>
      <c r="L215" t="s">
        <v>40</v>
      </c>
      <c r="M215" s="2">
        <f>Table1[[#This Row],[Quantity]]*Table1[[#This Row],[Proposed Unit Price]]</f>
        <v>0</v>
      </c>
      <c r="N215" t="s">
        <v>40</v>
      </c>
      <c r="O215" s="1">
        <v>0</v>
      </c>
      <c r="P215" t="s">
        <v>40</v>
      </c>
      <c r="Q215" s="6">
        <v>46997</v>
      </c>
      <c r="R215" s="6">
        <v>47361</v>
      </c>
      <c r="S215" t="s">
        <v>188</v>
      </c>
      <c r="T215" t="s">
        <v>125</v>
      </c>
      <c r="U215" t="s">
        <v>50</v>
      </c>
      <c r="V215" t="s">
        <v>42</v>
      </c>
      <c r="W215" t="s">
        <v>43</v>
      </c>
      <c r="X215" t="s">
        <v>36</v>
      </c>
      <c r="Y215" t="s">
        <v>36</v>
      </c>
      <c r="Z215" t="s">
        <v>36</v>
      </c>
      <c r="AA215" t="s">
        <v>36</v>
      </c>
      <c r="AB215" t="s">
        <v>44</v>
      </c>
      <c r="AC215" t="s">
        <v>45</v>
      </c>
      <c r="AD215" t="s">
        <v>337</v>
      </c>
      <c r="AE215" t="s">
        <v>46</v>
      </c>
      <c r="AF215" t="s">
        <v>46</v>
      </c>
      <c r="AG215" t="s">
        <v>36</v>
      </c>
      <c r="AH215" t="s">
        <v>40</v>
      </c>
      <c r="AI215" t="s">
        <v>40</v>
      </c>
      <c r="AJ215" t="s">
        <v>40</v>
      </c>
    </row>
    <row r="216" spans="1:36" x14ac:dyDescent="0.25">
      <c r="A216" t="s">
        <v>34</v>
      </c>
      <c r="B216" t="s">
        <v>338</v>
      </c>
      <c r="C216" t="s">
        <v>36</v>
      </c>
      <c r="D216" t="s">
        <v>129</v>
      </c>
      <c r="E216" t="s">
        <v>130</v>
      </c>
      <c r="F216" t="s">
        <v>39</v>
      </c>
      <c r="G216" s="1"/>
      <c r="H216" t="s">
        <v>40</v>
      </c>
      <c r="I216" s="1"/>
      <c r="J216" t="s">
        <v>40</v>
      </c>
      <c r="K216" s="2">
        <v>0</v>
      </c>
      <c r="L216" t="s">
        <v>40</v>
      </c>
      <c r="M216" s="2">
        <f>Table1[[#This Row],[Quantity]]*Table1[[#This Row],[Proposed Unit Price]]</f>
        <v>0</v>
      </c>
      <c r="N216" t="s">
        <v>40</v>
      </c>
      <c r="O216" s="1">
        <v>0</v>
      </c>
      <c r="P216" t="s">
        <v>40</v>
      </c>
      <c r="Q216" s="6">
        <v>46997</v>
      </c>
      <c r="R216" s="6">
        <v>47361</v>
      </c>
      <c r="S216" t="s">
        <v>188</v>
      </c>
      <c r="T216" t="s">
        <v>128</v>
      </c>
      <c r="U216" t="s">
        <v>50</v>
      </c>
      <c r="V216" t="s">
        <v>42</v>
      </c>
      <c r="W216" t="s">
        <v>43</v>
      </c>
      <c r="X216" t="s">
        <v>36</v>
      </c>
      <c r="Y216" t="s">
        <v>36</v>
      </c>
      <c r="Z216" t="s">
        <v>36</v>
      </c>
      <c r="AA216" t="s">
        <v>36</v>
      </c>
      <c r="AB216" t="s">
        <v>44</v>
      </c>
      <c r="AC216" t="s">
        <v>45</v>
      </c>
      <c r="AD216" t="s">
        <v>338</v>
      </c>
      <c r="AE216" t="s">
        <v>46</v>
      </c>
      <c r="AF216" t="s">
        <v>46</v>
      </c>
      <c r="AG216" t="s">
        <v>36</v>
      </c>
      <c r="AH216" t="s">
        <v>40</v>
      </c>
      <c r="AI216" t="s">
        <v>40</v>
      </c>
      <c r="AJ216" t="s">
        <v>40</v>
      </c>
    </row>
    <row r="217" spans="1:36" x14ac:dyDescent="0.25">
      <c r="A217" t="s">
        <v>34</v>
      </c>
      <c r="B217" t="s">
        <v>339</v>
      </c>
      <c r="C217" t="s">
        <v>36</v>
      </c>
      <c r="D217" t="s">
        <v>132</v>
      </c>
      <c r="E217" t="s">
        <v>133</v>
      </c>
      <c r="F217" t="s">
        <v>39</v>
      </c>
      <c r="G217" s="1"/>
      <c r="H217" t="s">
        <v>40</v>
      </c>
      <c r="I217" s="1"/>
      <c r="J217" t="s">
        <v>40</v>
      </c>
      <c r="K217" s="2">
        <v>0</v>
      </c>
      <c r="L217" t="s">
        <v>40</v>
      </c>
      <c r="M217" s="2">
        <f>Table1[[#This Row],[Quantity]]*Table1[[#This Row],[Proposed Unit Price]]</f>
        <v>0</v>
      </c>
      <c r="N217" t="s">
        <v>40</v>
      </c>
      <c r="O217" s="1">
        <v>0</v>
      </c>
      <c r="P217" t="s">
        <v>40</v>
      </c>
      <c r="Q217" s="6">
        <v>46997</v>
      </c>
      <c r="R217" s="6">
        <v>47361</v>
      </c>
      <c r="S217" t="s">
        <v>188</v>
      </c>
      <c r="T217" t="s">
        <v>131</v>
      </c>
      <c r="U217" t="s">
        <v>50</v>
      </c>
      <c r="V217" t="s">
        <v>42</v>
      </c>
      <c r="W217" t="s">
        <v>43</v>
      </c>
      <c r="X217" t="s">
        <v>36</v>
      </c>
      <c r="Y217" t="s">
        <v>36</v>
      </c>
      <c r="Z217" t="s">
        <v>36</v>
      </c>
      <c r="AA217" t="s">
        <v>36</v>
      </c>
      <c r="AB217" t="s">
        <v>44</v>
      </c>
      <c r="AC217" t="s">
        <v>45</v>
      </c>
      <c r="AD217" t="s">
        <v>339</v>
      </c>
      <c r="AE217" t="s">
        <v>46</v>
      </c>
      <c r="AF217" t="s">
        <v>46</v>
      </c>
      <c r="AG217" t="s">
        <v>36</v>
      </c>
      <c r="AH217" t="s">
        <v>40</v>
      </c>
      <c r="AI217" t="s">
        <v>40</v>
      </c>
      <c r="AJ217" t="s">
        <v>40</v>
      </c>
    </row>
    <row r="218" spans="1:36" x14ac:dyDescent="0.25">
      <c r="A218" t="s">
        <v>34</v>
      </c>
      <c r="B218" t="s">
        <v>340</v>
      </c>
      <c r="C218" t="s">
        <v>36</v>
      </c>
      <c r="D218" t="s">
        <v>134</v>
      </c>
      <c r="E218" t="s">
        <v>135</v>
      </c>
      <c r="F218" t="s">
        <v>39</v>
      </c>
      <c r="G218" s="1"/>
      <c r="H218" t="s">
        <v>40</v>
      </c>
      <c r="I218" s="1"/>
      <c r="J218" t="s">
        <v>40</v>
      </c>
      <c r="K218" s="2">
        <v>0</v>
      </c>
      <c r="L218" t="s">
        <v>40</v>
      </c>
      <c r="M218" s="2">
        <f>Table1[[#This Row],[Quantity]]*Table1[[#This Row],[Proposed Unit Price]]</f>
        <v>0</v>
      </c>
      <c r="N218" t="s">
        <v>40</v>
      </c>
      <c r="O218" s="1">
        <v>0</v>
      </c>
      <c r="P218" t="s">
        <v>40</v>
      </c>
      <c r="Q218" s="6">
        <v>46997</v>
      </c>
      <c r="R218" s="6">
        <v>47361</v>
      </c>
      <c r="S218" t="s">
        <v>188</v>
      </c>
      <c r="T218" t="s">
        <v>67</v>
      </c>
      <c r="U218" t="s">
        <v>50</v>
      </c>
      <c r="V218" t="s">
        <v>42</v>
      </c>
      <c r="W218" t="s">
        <v>43</v>
      </c>
      <c r="X218" t="s">
        <v>36</v>
      </c>
      <c r="Y218" t="s">
        <v>36</v>
      </c>
      <c r="Z218" t="s">
        <v>36</v>
      </c>
      <c r="AA218" t="s">
        <v>36</v>
      </c>
      <c r="AB218" t="s">
        <v>44</v>
      </c>
      <c r="AC218" t="s">
        <v>45</v>
      </c>
      <c r="AD218" t="s">
        <v>340</v>
      </c>
      <c r="AE218" t="s">
        <v>46</v>
      </c>
      <c r="AF218" t="s">
        <v>46</v>
      </c>
      <c r="AG218" t="s">
        <v>36</v>
      </c>
      <c r="AH218" t="s">
        <v>40</v>
      </c>
      <c r="AI218" t="s">
        <v>40</v>
      </c>
      <c r="AJ218" t="s">
        <v>40</v>
      </c>
    </row>
    <row r="219" spans="1:36" x14ac:dyDescent="0.25">
      <c r="A219" t="s">
        <v>34</v>
      </c>
      <c r="B219" t="s">
        <v>341</v>
      </c>
      <c r="C219" t="s">
        <v>36</v>
      </c>
      <c r="D219" t="s">
        <v>224</v>
      </c>
      <c r="E219" t="s">
        <v>63</v>
      </c>
      <c r="F219" t="s">
        <v>64</v>
      </c>
      <c r="G219" s="1"/>
      <c r="H219" t="s">
        <v>40</v>
      </c>
      <c r="I219" s="1"/>
      <c r="J219" t="s">
        <v>40</v>
      </c>
      <c r="K219" s="2">
        <v>0</v>
      </c>
      <c r="L219" t="s">
        <v>40</v>
      </c>
      <c r="M219" s="2">
        <f>Table1[[#This Row],[Quantity]]*Table1[[#This Row],[Proposed Unit Price]]</f>
        <v>0</v>
      </c>
      <c r="N219" t="s">
        <v>40</v>
      </c>
      <c r="O219" s="1">
        <v>0</v>
      </c>
      <c r="P219" t="s">
        <v>40</v>
      </c>
      <c r="Q219" s="6">
        <v>46997</v>
      </c>
      <c r="R219" s="6">
        <v>47361</v>
      </c>
      <c r="S219" t="s">
        <v>188</v>
      </c>
      <c r="T219" t="s">
        <v>136</v>
      </c>
      <c r="U219" t="s">
        <v>50</v>
      </c>
      <c r="V219" t="s">
        <v>42</v>
      </c>
      <c r="W219" t="s">
        <v>43</v>
      </c>
      <c r="X219" t="s">
        <v>36</v>
      </c>
      <c r="Y219" t="s">
        <v>36</v>
      </c>
      <c r="Z219" t="s">
        <v>36</v>
      </c>
      <c r="AA219" t="s">
        <v>36</v>
      </c>
      <c r="AB219" t="s">
        <v>44</v>
      </c>
      <c r="AC219" t="s">
        <v>45</v>
      </c>
      <c r="AD219" t="s">
        <v>341</v>
      </c>
      <c r="AE219" t="s">
        <v>46</v>
      </c>
      <c r="AF219" t="s">
        <v>46</v>
      </c>
      <c r="AG219" t="s">
        <v>36</v>
      </c>
      <c r="AH219" t="s">
        <v>40</v>
      </c>
      <c r="AI219" t="s">
        <v>40</v>
      </c>
      <c r="AJ219" t="s">
        <v>40</v>
      </c>
    </row>
    <row r="220" spans="1:36" x14ac:dyDescent="0.25">
      <c r="A220" t="s">
        <v>34</v>
      </c>
      <c r="B220" t="s">
        <v>342</v>
      </c>
      <c r="C220" t="s">
        <v>36</v>
      </c>
      <c r="D220" t="s">
        <v>139</v>
      </c>
      <c r="E220" t="s">
        <v>67</v>
      </c>
      <c r="F220" t="s">
        <v>39</v>
      </c>
      <c r="G220" s="1"/>
      <c r="H220" t="s">
        <v>40</v>
      </c>
      <c r="I220" s="1"/>
      <c r="J220" t="s">
        <v>40</v>
      </c>
      <c r="K220" s="2">
        <v>0</v>
      </c>
      <c r="L220" t="s">
        <v>40</v>
      </c>
      <c r="M220" s="2">
        <f>Table1[[#This Row],[Quantity]]*Table1[[#This Row],[Proposed Unit Price]]</f>
        <v>0</v>
      </c>
      <c r="N220" t="s">
        <v>40</v>
      </c>
      <c r="O220" s="1">
        <v>0</v>
      </c>
      <c r="P220" t="s">
        <v>40</v>
      </c>
      <c r="Q220" s="6">
        <v>46997</v>
      </c>
      <c r="R220" s="6">
        <v>47361</v>
      </c>
      <c r="S220" t="s">
        <v>188</v>
      </c>
      <c r="T220" t="s">
        <v>138</v>
      </c>
      <c r="U220" t="s">
        <v>50</v>
      </c>
      <c r="V220" t="s">
        <v>42</v>
      </c>
      <c r="W220" t="s">
        <v>43</v>
      </c>
      <c r="X220" t="s">
        <v>36</v>
      </c>
      <c r="Y220" t="s">
        <v>36</v>
      </c>
      <c r="Z220" t="s">
        <v>36</v>
      </c>
      <c r="AA220" t="s">
        <v>36</v>
      </c>
      <c r="AB220" t="s">
        <v>44</v>
      </c>
      <c r="AC220" t="s">
        <v>45</v>
      </c>
      <c r="AD220" t="s">
        <v>342</v>
      </c>
      <c r="AE220" t="s">
        <v>46</v>
      </c>
      <c r="AF220" t="s">
        <v>46</v>
      </c>
      <c r="AG220" t="s">
        <v>36</v>
      </c>
      <c r="AH220" t="s">
        <v>40</v>
      </c>
      <c r="AI220" t="s">
        <v>40</v>
      </c>
      <c r="AJ220" t="s">
        <v>40</v>
      </c>
    </row>
    <row r="221" spans="1:36" x14ac:dyDescent="0.25">
      <c r="A221" t="s">
        <v>34</v>
      </c>
      <c r="B221" t="s">
        <v>343</v>
      </c>
      <c r="C221" t="s">
        <v>36</v>
      </c>
      <c r="D221" t="s">
        <v>141</v>
      </c>
      <c r="E221" t="s">
        <v>142</v>
      </c>
      <c r="F221" t="s">
        <v>71</v>
      </c>
      <c r="G221" s="1"/>
      <c r="H221" t="s">
        <v>40</v>
      </c>
      <c r="I221" s="1"/>
      <c r="J221" t="s">
        <v>40</v>
      </c>
      <c r="K221" s="2">
        <v>0</v>
      </c>
      <c r="L221" t="s">
        <v>40</v>
      </c>
      <c r="M221" s="2">
        <f>Table1[[#This Row],[Quantity]]*Table1[[#This Row],[Proposed Unit Price]]</f>
        <v>0</v>
      </c>
      <c r="N221" t="s">
        <v>40</v>
      </c>
      <c r="O221" s="1">
        <v>0</v>
      </c>
      <c r="P221" t="s">
        <v>40</v>
      </c>
      <c r="Q221" s="6">
        <v>46997</v>
      </c>
      <c r="R221" s="6">
        <v>47361</v>
      </c>
      <c r="S221" t="s">
        <v>188</v>
      </c>
      <c r="T221" t="s">
        <v>140</v>
      </c>
      <c r="U221" t="s">
        <v>50</v>
      </c>
      <c r="V221" t="s">
        <v>42</v>
      </c>
      <c r="W221" t="s">
        <v>43</v>
      </c>
      <c r="X221" t="s">
        <v>36</v>
      </c>
      <c r="Y221" t="s">
        <v>36</v>
      </c>
      <c r="Z221" t="s">
        <v>36</v>
      </c>
      <c r="AA221" t="s">
        <v>36</v>
      </c>
      <c r="AB221" t="s">
        <v>44</v>
      </c>
      <c r="AC221" t="s">
        <v>45</v>
      </c>
      <c r="AD221" t="s">
        <v>343</v>
      </c>
      <c r="AE221" t="s">
        <v>46</v>
      </c>
      <c r="AF221" t="s">
        <v>46</v>
      </c>
      <c r="AG221" t="s">
        <v>36</v>
      </c>
      <c r="AH221" t="s">
        <v>40</v>
      </c>
      <c r="AI221" t="s">
        <v>40</v>
      </c>
      <c r="AJ221" t="s">
        <v>40</v>
      </c>
    </row>
    <row r="222" spans="1:36" x14ac:dyDescent="0.25">
      <c r="A222" t="s">
        <v>34</v>
      </c>
      <c r="B222" t="s">
        <v>344</v>
      </c>
      <c r="C222" t="s">
        <v>36</v>
      </c>
      <c r="D222" t="s">
        <v>144</v>
      </c>
      <c r="E222" t="s">
        <v>50</v>
      </c>
      <c r="F222" t="s">
        <v>39</v>
      </c>
      <c r="G222" s="1"/>
      <c r="H222" t="s">
        <v>40</v>
      </c>
      <c r="I222" s="1"/>
      <c r="J222" t="s">
        <v>40</v>
      </c>
      <c r="K222" s="2">
        <v>0</v>
      </c>
      <c r="L222" t="s">
        <v>40</v>
      </c>
      <c r="M222" s="2">
        <f>Table1[[#This Row],[Quantity]]*Table1[[#This Row],[Proposed Unit Price]]</f>
        <v>0</v>
      </c>
      <c r="N222" t="s">
        <v>40</v>
      </c>
      <c r="O222" s="1">
        <v>0</v>
      </c>
      <c r="P222" t="s">
        <v>40</v>
      </c>
      <c r="Q222" s="6">
        <v>46997</v>
      </c>
      <c r="R222" s="6">
        <v>47361</v>
      </c>
      <c r="S222" t="s">
        <v>188</v>
      </c>
      <c r="T222" t="s">
        <v>143</v>
      </c>
      <c r="U222" t="s">
        <v>50</v>
      </c>
      <c r="V222" t="s">
        <v>42</v>
      </c>
      <c r="W222" t="s">
        <v>43</v>
      </c>
      <c r="X222" t="s">
        <v>36</v>
      </c>
      <c r="Y222" t="s">
        <v>36</v>
      </c>
      <c r="Z222" t="s">
        <v>36</v>
      </c>
      <c r="AA222" t="s">
        <v>36</v>
      </c>
      <c r="AB222" t="s">
        <v>44</v>
      </c>
      <c r="AC222" t="s">
        <v>45</v>
      </c>
      <c r="AD222" t="s">
        <v>344</v>
      </c>
      <c r="AE222" t="s">
        <v>46</v>
      </c>
      <c r="AF222" t="s">
        <v>46</v>
      </c>
      <c r="AG222" t="s">
        <v>36</v>
      </c>
      <c r="AH222" t="s">
        <v>40</v>
      </c>
      <c r="AI222" t="s">
        <v>40</v>
      </c>
      <c r="AJ222" t="s">
        <v>40</v>
      </c>
    </row>
    <row r="223" spans="1:36" x14ac:dyDescent="0.25">
      <c r="A223" t="s">
        <v>34</v>
      </c>
      <c r="B223" t="s">
        <v>345</v>
      </c>
      <c r="C223" t="s">
        <v>36</v>
      </c>
      <c r="D223" t="s">
        <v>146</v>
      </c>
      <c r="E223" t="s">
        <v>53</v>
      </c>
      <c r="F223" t="s">
        <v>39</v>
      </c>
      <c r="G223" s="1"/>
      <c r="H223" t="s">
        <v>40</v>
      </c>
      <c r="I223" s="1"/>
      <c r="J223" t="s">
        <v>40</v>
      </c>
      <c r="K223" s="2">
        <v>0</v>
      </c>
      <c r="L223" t="s">
        <v>40</v>
      </c>
      <c r="M223" s="2">
        <f>Table1[[#This Row],[Quantity]]*Table1[[#This Row],[Proposed Unit Price]]</f>
        <v>0</v>
      </c>
      <c r="N223" t="s">
        <v>40</v>
      </c>
      <c r="O223" s="1">
        <v>0</v>
      </c>
      <c r="P223" t="s">
        <v>40</v>
      </c>
      <c r="Q223" s="6">
        <v>46997</v>
      </c>
      <c r="R223" s="6">
        <v>47361</v>
      </c>
      <c r="S223" t="s">
        <v>188</v>
      </c>
      <c r="T223" t="s">
        <v>145</v>
      </c>
      <c r="U223" t="s">
        <v>50</v>
      </c>
      <c r="V223" t="s">
        <v>42</v>
      </c>
      <c r="W223" t="s">
        <v>43</v>
      </c>
      <c r="X223" t="s">
        <v>36</v>
      </c>
      <c r="Y223" t="s">
        <v>36</v>
      </c>
      <c r="Z223" t="s">
        <v>36</v>
      </c>
      <c r="AA223" t="s">
        <v>36</v>
      </c>
      <c r="AB223" t="s">
        <v>44</v>
      </c>
      <c r="AC223" t="s">
        <v>45</v>
      </c>
      <c r="AD223" t="s">
        <v>345</v>
      </c>
      <c r="AE223" t="s">
        <v>46</v>
      </c>
      <c r="AF223" t="s">
        <v>46</v>
      </c>
      <c r="AG223" t="s">
        <v>36</v>
      </c>
      <c r="AH223" t="s">
        <v>40</v>
      </c>
      <c r="AI223" t="s">
        <v>40</v>
      </c>
      <c r="AJ223" t="s">
        <v>40</v>
      </c>
    </row>
    <row r="224" spans="1:36" x14ac:dyDescent="0.25">
      <c r="A224" t="s">
        <v>34</v>
      </c>
      <c r="B224" t="s">
        <v>346</v>
      </c>
      <c r="C224" t="s">
        <v>36</v>
      </c>
      <c r="D224" t="s">
        <v>148</v>
      </c>
      <c r="E224" t="s">
        <v>123</v>
      </c>
      <c r="F224" t="s">
        <v>71</v>
      </c>
      <c r="G224" s="1"/>
      <c r="H224" t="s">
        <v>40</v>
      </c>
      <c r="I224" s="1"/>
      <c r="J224" t="s">
        <v>40</v>
      </c>
      <c r="K224" s="2">
        <v>0</v>
      </c>
      <c r="L224" t="s">
        <v>40</v>
      </c>
      <c r="M224" s="2">
        <f>Table1[[#This Row],[Quantity]]*Table1[[#This Row],[Proposed Unit Price]]</f>
        <v>0</v>
      </c>
      <c r="N224" t="s">
        <v>40</v>
      </c>
      <c r="O224" s="1">
        <v>0</v>
      </c>
      <c r="P224" t="s">
        <v>40</v>
      </c>
      <c r="Q224" s="6">
        <v>46997</v>
      </c>
      <c r="R224" s="6">
        <v>47361</v>
      </c>
      <c r="S224" t="s">
        <v>188</v>
      </c>
      <c r="T224" t="s">
        <v>147</v>
      </c>
      <c r="U224" t="s">
        <v>50</v>
      </c>
      <c r="V224" t="s">
        <v>42</v>
      </c>
      <c r="W224" t="s">
        <v>43</v>
      </c>
      <c r="X224" t="s">
        <v>36</v>
      </c>
      <c r="Y224" t="s">
        <v>36</v>
      </c>
      <c r="Z224" t="s">
        <v>36</v>
      </c>
      <c r="AA224" t="s">
        <v>36</v>
      </c>
      <c r="AB224" t="s">
        <v>44</v>
      </c>
      <c r="AC224" t="s">
        <v>45</v>
      </c>
      <c r="AD224" t="s">
        <v>346</v>
      </c>
      <c r="AE224" t="s">
        <v>46</v>
      </c>
      <c r="AF224" t="s">
        <v>46</v>
      </c>
      <c r="AG224" t="s">
        <v>36</v>
      </c>
      <c r="AH224" t="s">
        <v>40</v>
      </c>
      <c r="AI224" t="s">
        <v>40</v>
      </c>
      <c r="AJ224" t="s">
        <v>40</v>
      </c>
    </row>
    <row r="225" spans="1:36" x14ac:dyDescent="0.25">
      <c r="A225" t="s">
        <v>34</v>
      </c>
      <c r="B225" t="s">
        <v>347</v>
      </c>
      <c r="C225" t="s">
        <v>36</v>
      </c>
      <c r="D225" t="s">
        <v>150</v>
      </c>
      <c r="E225" t="s">
        <v>47</v>
      </c>
      <c r="F225" t="s">
        <v>39</v>
      </c>
      <c r="G225" s="1"/>
      <c r="H225" t="s">
        <v>40</v>
      </c>
      <c r="I225" s="1"/>
      <c r="J225" t="s">
        <v>40</v>
      </c>
      <c r="K225" s="2">
        <v>0</v>
      </c>
      <c r="L225" t="s">
        <v>40</v>
      </c>
      <c r="M225" s="2">
        <f>Table1[[#This Row],[Quantity]]*Table1[[#This Row],[Proposed Unit Price]]</f>
        <v>0</v>
      </c>
      <c r="N225" t="s">
        <v>40</v>
      </c>
      <c r="O225" s="1">
        <v>0</v>
      </c>
      <c r="P225" t="s">
        <v>40</v>
      </c>
      <c r="Q225" s="6">
        <v>46997</v>
      </c>
      <c r="R225" s="6">
        <v>47361</v>
      </c>
      <c r="S225" t="s">
        <v>188</v>
      </c>
      <c r="T225" t="s">
        <v>149</v>
      </c>
      <c r="U225" t="s">
        <v>50</v>
      </c>
      <c r="V225" t="s">
        <v>42</v>
      </c>
      <c r="W225" t="s">
        <v>43</v>
      </c>
      <c r="X225" t="s">
        <v>36</v>
      </c>
      <c r="Y225" t="s">
        <v>36</v>
      </c>
      <c r="Z225" t="s">
        <v>36</v>
      </c>
      <c r="AA225" t="s">
        <v>36</v>
      </c>
      <c r="AB225" t="s">
        <v>44</v>
      </c>
      <c r="AC225" t="s">
        <v>45</v>
      </c>
      <c r="AD225" t="s">
        <v>347</v>
      </c>
      <c r="AE225" t="s">
        <v>46</v>
      </c>
      <c r="AF225" t="s">
        <v>46</v>
      </c>
      <c r="AG225" t="s">
        <v>36</v>
      </c>
      <c r="AH225" t="s">
        <v>40</v>
      </c>
      <c r="AI225" t="s">
        <v>40</v>
      </c>
      <c r="AJ225" t="s">
        <v>40</v>
      </c>
    </row>
    <row r="226" spans="1:36" x14ac:dyDescent="0.25">
      <c r="A226" t="s">
        <v>34</v>
      </c>
      <c r="B226" t="s">
        <v>348</v>
      </c>
      <c r="C226" t="s">
        <v>36</v>
      </c>
      <c r="D226" t="s">
        <v>152</v>
      </c>
      <c r="E226" t="s">
        <v>35</v>
      </c>
      <c r="F226" t="s">
        <v>39</v>
      </c>
      <c r="G226" s="1"/>
      <c r="H226" t="s">
        <v>40</v>
      </c>
      <c r="I226" s="1"/>
      <c r="J226" t="s">
        <v>40</v>
      </c>
      <c r="K226" s="2">
        <v>0</v>
      </c>
      <c r="L226" t="s">
        <v>40</v>
      </c>
      <c r="M226" s="2">
        <f>Table1[[#This Row],[Quantity]]*Table1[[#This Row],[Proposed Unit Price]]</f>
        <v>0</v>
      </c>
      <c r="N226" t="s">
        <v>40</v>
      </c>
      <c r="O226" s="1">
        <v>0</v>
      </c>
      <c r="P226" t="s">
        <v>40</v>
      </c>
      <c r="Q226" s="6">
        <v>46997</v>
      </c>
      <c r="R226" s="6">
        <v>47361</v>
      </c>
      <c r="S226" t="s">
        <v>188</v>
      </c>
      <c r="T226" t="s">
        <v>151</v>
      </c>
      <c r="U226" t="s">
        <v>50</v>
      </c>
      <c r="V226" t="s">
        <v>83</v>
      </c>
      <c r="W226" t="s">
        <v>84</v>
      </c>
      <c r="X226" t="s">
        <v>36</v>
      </c>
      <c r="Y226" t="s">
        <v>36</v>
      </c>
      <c r="Z226" t="s">
        <v>36</v>
      </c>
      <c r="AA226" t="s">
        <v>36</v>
      </c>
      <c r="AB226" t="s">
        <v>44</v>
      </c>
      <c r="AC226" t="s">
        <v>45</v>
      </c>
      <c r="AD226" t="s">
        <v>348</v>
      </c>
      <c r="AE226" t="s">
        <v>46</v>
      </c>
      <c r="AF226" t="s">
        <v>46</v>
      </c>
      <c r="AG226" t="s">
        <v>36</v>
      </c>
      <c r="AH226" t="s">
        <v>40</v>
      </c>
      <c r="AI226" t="s">
        <v>40</v>
      </c>
      <c r="AJ226" t="s">
        <v>40</v>
      </c>
    </row>
    <row r="227" spans="1:36" x14ac:dyDescent="0.25">
      <c r="A227" t="s">
        <v>34</v>
      </c>
      <c r="B227" t="s">
        <v>349</v>
      </c>
      <c r="C227" t="s">
        <v>36</v>
      </c>
      <c r="D227" t="s">
        <v>154</v>
      </c>
      <c r="E227" t="s">
        <v>67</v>
      </c>
      <c r="F227" t="s">
        <v>87</v>
      </c>
      <c r="G227" s="1"/>
      <c r="H227" t="s">
        <v>40</v>
      </c>
      <c r="I227" s="1"/>
      <c r="J227" t="s">
        <v>40</v>
      </c>
      <c r="K227" s="2">
        <v>0</v>
      </c>
      <c r="L227" t="s">
        <v>40</v>
      </c>
      <c r="M227" s="2">
        <f>Table1[[#This Row],[Quantity]]*Table1[[#This Row],[Proposed Unit Price]]</f>
        <v>0</v>
      </c>
      <c r="N227" t="s">
        <v>40</v>
      </c>
      <c r="O227" s="1">
        <v>0</v>
      </c>
      <c r="P227" t="s">
        <v>40</v>
      </c>
      <c r="Q227" s="6">
        <v>46997</v>
      </c>
      <c r="R227" s="6">
        <v>47361</v>
      </c>
      <c r="S227" t="s">
        <v>188</v>
      </c>
      <c r="T227" t="s">
        <v>153</v>
      </c>
      <c r="U227" t="s">
        <v>50</v>
      </c>
      <c r="V227" t="s">
        <v>42</v>
      </c>
      <c r="W227" t="s">
        <v>43</v>
      </c>
      <c r="X227" t="s">
        <v>36</v>
      </c>
      <c r="Y227" t="s">
        <v>36</v>
      </c>
      <c r="Z227" t="s">
        <v>36</v>
      </c>
      <c r="AA227" t="s">
        <v>36</v>
      </c>
      <c r="AB227" t="s">
        <v>44</v>
      </c>
      <c r="AC227" t="s">
        <v>45</v>
      </c>
      <c r="AD227" t="s">
        <v>349</v>
      </c>
      <c r="AE227" t="s">
        <v>46</v>
      </c>
      <c r="AF227" t="s">
        <v>46</v>
      </c>
      <c r="AG227" t="s">
        <v>36</v>
      </c>
      <c r="AH227" t="s">
        <v>40</v>
      </c>
      <c r="AI227" t="s">
        <v>40</v>
      </c>
      <c r="AJ227" t="s">
        <v>40</v>
      </c>
    </row>
    <row r="228" spans="1:36" x14ac:dyDescent="0.25">
      <c r="A228" t="s">
        <v>34</v>
      </c>
      <c r="B228" t="s">
        <v>350</v>
      </c>
      <c r="C228" t="s">
        <v>36</v>
      </c>
      <c r="D228" t="s">
        <v>156</v>
      </c>
      <c r="E228" t="s">
        <v>53</v>
      </c>
      <c r="F228" t="s">
        <v>39</v>
      </c>
      <c r="G228" s="1"/>
      <c r="H228" t="s">
        <v>40</v>
      </c>
      <c r="I228" s="1"/>
      <c r="J228" t="s">
        <v>40</v>
      </c>
      <c r="K228" s="2">
        <v>0</v>
      </c>
      <c r="L228" t="s">
        <v>40</v>
      </c>
      <c r="M228" s="2">
        <f>Table1[[#This Row],[Quantity]]*Table1[[#This Row],[Proposed Unit Price]]</f>
        <v>0</v>
      </c>
      <c r="N228" t="s">
        <v>40</v>
      </c>
      <c r="O228" s="1">
        <v>0</v>
      </c>
      <c r="P228" t="s">
        <v>40</v>
      </c>
      <c r="Q228" s="6">
        <v>46997</v>
      </c>
      <c r="R228" s="6">
        <v>47361</v>
      </c>
      <c r="S228" t="s">
        <v>188</v>
      </c>
      <c r="T228" t="s">
        <v>155</v>
      </c>
      <c r="U228" t="s">
        <v>50</v>
      </c>
      <c r="V228" t="s">
        <v>42</v>
      </c>
      <c r="W228" t="s">
        <v>43</v>
      </c>
      <c r="X228" t="s">
        <v>36</v>
      </c>
      <c r="Y228" t="s">
        <v>36</v>
      </c>
      <c r="Z228" t="s">
        <v>36</v>
      </c>
      <c r="AA228" t="s">
        <v>36</v>
      </c>
      <c r="AB228" t="s">
        <v>44</v>
      </c>
      <c r="AC228" t="s">
        <v>45</v>
      </c>
      <c r="AD228" t="s">
        <v>350</v>
      </c>
      <c r="AE228" t="s">
        <v>46</v>
      </c>
      <c r="AF228" t="s">
        <v>46</v>
      </c>
      <c r="AG228" t="s">
        <v>36</v>
      </c>
      <c r="AH228" t="s">
        <v>40</v>
      </c>
      <c r="AI228" t="s">
        <v>40</v>
      </c>
      <c r="AJ228" t="s">
        <v>40</v>
      </c>
    </row>
    <row r="229" spans="1:36" x14ac:dyDescent="0.25">
      <c r="A229" t="s">
        <v>34</v>
      </c>
      <c r="B229" t="s">
        <v>351</v>
      </c>
      <c r="C229" t="s">
        <v>36</v>
      </c>
      <c r="D229" t="s">
        <v>158</v>
      </c>
      <c r="E229" t="s">
        <v>35</v>
      </c>
      <c r="F229" t="s">
        <v>39</v>
      </c>
      <c r="G229" s="1"/>
      <c r="H229" t="s">
        <v>40</v>
      </c>
      <c r="I229" s="1"/>
      <c r="J229" t="s">
        <v>40</v>
      </c>
      <c r="K229" s="2">
        <v>0</v>
      </c>
      <c r="L229" t="s">
        <v>40</v>
      </c>
      <c r="M229" s="2">
        <f>Table1[[#This Row],[Quantity]]*Table1[[#This Row],[Proposed Unit Price]]</f>
        <v>0</v>
      </c>
      <c r="N229" t="s">
        <v>40</v>
      </c>
      <c r="O229" s="1">
        <v>0</v>
      </c>
      <c r="P229" t="s">
        <v>40</v>
      </c>
      <c r="Q229" s="6">
        <v>46997</v>
      </c>
      <c r="R229" s="6">
        <v>47361</v>
      </c>
      <c r="S229" t="s">
        <v>188</v>
      </c>
      <c r="T229" t="s">
        <v>157</v>
      </c>
      <c r="U229" t="s">
        <v>50</v>
      </c>
      <c r="V229" t="s">
        <v>83</v>
      </c>
      <c r="W229" t="s">
        <v>84</v>
      </c>
      <c r="X229" t="s">
        <v>36</v>
      </c>
      <c r="Y229" t="s">
        <v>36</v>
      </c>
      <c r="Z229" t="s">
        <v>36</v>
      </c>
      <c r="AA229" t="s">
        <v>36</v>
      </c>
      <c r="AB229" t="s">
        <v>44</v>
      </c>
      <c r="AC229" t="s">
        <v>45</v>
      </c>
      <c r="AD229" t="s">
        <v>351</v>
      </c>
      <c r="AE229" t="s">
        <v>46</v>
      </c>
      <c r="AF229" t="s">
        <v>46</v>
      </c>
      <c r="AG229" t="s">
        <v>36</v>
      </c>
      <c r="AH229" t="s">
        <v>40</v>
      </c>
      <c r="AI229" t="s">
        <v>40</v>
      </c>
      <c r="AJ229" t="s">
        <v>40</v>
      </c>
    </row>
    <row r="230" spans="1:36" x14ac:dyDescent="0.25">
      <c r="A230" t="s">
        <v>34</v>
      </c>
      <c r="B230" t="s">
        <v>352</v>
      </c>
      <c r="C230" t="s">
        <v>36</v>
      </c>
      <c r="D230" t="s">
        <v>160</v>
      </c>
      <c r="E230" t="s">
        <v>35</v>
      </c>
      <c r="F230" t="s">
        <v>39</v>
      </c>
      <c r="G230" s="1"/>
      <c r="H230" t="s">
        <v>40</v>
      </c>
      <c r="I230" s="1"/>
      <c r="J230" t="s">
        <v>40</v>
      </c>
      <c r="K230" s="2">
        <v>0</v>
      </c>
      <c r="L230" t="s">
        <v>40</v>
      </c>
      <c r="M230" s="2">
        <f>Table1[[#This Row],[Quantity]]*Table1[[#This Row],[Proposed Unit Price]]</f>
        <v>0</v>
      </c>
      <c r="N230" t="s">
        <v>40</v>
      </c>
      <c r="O230" s="1">
        <v>0</v>
      </c>
      <c r="P230" t="s">
        <v>40</v>
      </c>
      <c r="Q230" s="6">
        <v>46997</v>
      </c>
      <c r="R230" s="6">
        <v>47361</v>
      </c>
      <c r="S230" t="s">
        <v>188</v>
      </c>
      <c r="T230" t="s">
        <v>159</v>
      </c>
      <c r="U230" t="s">
        <v>50</v>
      </c>
      <c r="V230" t="s">
        <v>83</v>
      </c>
      <c r="W230" t="s">
        <v>84</v>
      </c>
      <c r="X230" t="s">
        <v>36</v>
      </c>
      <c r="Y230" t="s">
        <v>36</v>
      </c>
      <c r="Z230" t="s">
        <v>36</v>
      </c>
      <c r="AA230" t="s">
        <v>36</v>
      </c>
      <c r="AB230" t="s">
        <v>44</v>
      </c>
      <c r="AC230" t="s">
        <v>45</v>
      </c>
      <c r="AD230" t="s">
        <v>352</v>
      </c>
      <c r="AE230" t="s">
        <v>46</v>
      </c>
      <c r="AF230" t="s">
        <v>46</v>
      </c>
      <c r="AG230" t="s">
        <v>36</v>
      </c>
      <c r="AH230" t="s">
        <v>40</v>
      </c>
      <c r="AI230" t="s">
        <v>40</v>
      </c>
      <c r="AJ230" t="s">
        <v>40</v>
      </c>
    </row>
    <row r="231" spans="1:36" x14ac:dyDescent="0.25">
      <c r="A231" t="s">
        <v>34</v>
      </c>
      <c r="B231" t="s">
        <v>353</v>
      </c>
      <c r="C231" t="s">
        <v>36</v>
      </c>
      <c r="D231" t="s">
        <v>162</v>
      </c>
      <c r="E231" t="s">
        <v>163</v>
      </c>
      <c r="F231" t="s">
        <v>96</v>
      </c>
      <c r="G231" s="1"/>
      <c r="H231" t="s">
        <v>40</v>
      </c>
      <c r="I231" s="1"/>
      <c r="J231" t="s">
        <v>40</v>
      </c>
      <c r="K231" s="2">
        <v>0</v>
      </c>
      <c r="L231" t="s">
        <v>40</v>
      </c>
      <c r="M231" s="2">
        <f>Table1[[#This Row],[Quantity]]*Table1[[#This Row],[Proposed Unit Price]]</f>
        <v>0</v>
      </c>
      <c r="N231" t="s">
        <v>40</v>
      </c>
      <c r="O231" s="1">
        <v>0</v>
      </c>
      <c r="P231" t="s">
        <v>40</v>
      </c>
      <c r="Q231" s="6">
        <v>46997</v>
      </c>
      <c r="R231" s="6">
        <v>47361</v>
      </c>
      <c r="S231" t="s">
        <v>188</v>
      </c>
      <c r="T231" t="s">
        <v>161</v>
      </c>
      <c r="U231" t="s">
        <v>50</v>
      </c>
      <c r="V231" t="s">
        <v>42</v>
      </c>
      <c r="W231" t="s">
        <v>43</v>
      </c>
      <c r="X231" t="s">
        <v>36</v>
      </c>
      <c r="Y231" t="s">
        <v>36</v>
      </c>
      <c r="Z231" t="s">
        <v>36</v>
      </c>
      <c r="AA231" t="s">
        <v>36</v>
      </c>
      <c r="AB231" t="s">
        <v>44</v>
      </c>
      <c r="AC231" t="s">
        <v>45</v>
      </c>
      <c r="AD231" t="s">
        <v>353</v>
      </c>
      <c r="AE231" t="s">
        <v>46</v>
      </c>
      <c r="AF231" t="s">
        <v>46</v>
      </c>
      <c r="AG231" t="s">
        <v>36</v>
      </c>
      <c r="AH231" t="s">
        <v>40</v>
      </c>
      <c r="AI231" t="s">
        <v>40</v>
      </c>
      <c r="AJ231" t="s">
        <v>40</v>
      </c>
    </row>
    <row r="232" spans="1:36" x14ac:dyDescent="0.25">
      <c r="A232" t="s">
        <v>34</v>
      </c>
      <c r="B232" t="s">
        <v>354</v>
      </c>
      <c r="C232" t="s">
        <v>36</v>
      </c>
      <c r="D232" t="s">
        <v>165</v>
      </c>
      <c r="E232" t="s">
        <v>99</v>
      </c>
      <c r="F232" t="s">
        <v>64</v>
      </c>
      <c r="G232" s="1"/>
      <c r="H232" t="s">
        <v>40</v>
      </c>
      <c r="I232" s="1"/>
      <c r="J232" t="s">
        <v>40</v>
      </c>
      <c r="K232" s="2">
        <v>0</v>
      </c>
      <c r="L232" t="s">
        <v>40</v>
      </c>
      <c r="M232" s="2">
        <f>Table1[[#This Row],[Quantity]]*Table1[[#This Row],[Proposed Unit Price]]</f>
        <v>0</v>
      </c>
      <c r="N232" t="s">
        <v>40</v>
      </c>
      <c r="O232" s="1">
        <v>0</v>
      </c>
      <c r="P232" t="s">
        <v>40</v>
      </c>
      <c r="Q232" s="6">
        <v>46997</v>
      </c>
      <c r="R232" s="6">
        <v>47361</v>
      </c>
      <c r="S232" t="s">
        <v>188</v>
      </c>
      <c r="T232" t="s">
        <v>164</v>
      </c>
      <c r="U232" t="s">
        <v>50</v>
      </c>
      <c r="V232" t="s">
        <v>42</v>
      </c>
      <c r="W232" t="s">
        <v>43</v>
      </c>
      <c r="X232" t="s">
        <v>36</v>
      </c>
      <c r="Y232" t="s">
        <v>36</v>
      </c>
      <c r="Z232" t="s">
        <v>36</v>
      </c>
      <c r="AA232" t="s">
        <v>36</v>
      </c>
      <c r="AB232" t="s">
        <v>44</v>
      </c>
      <c r="AC232" t="s">
        <v>45</v>
      </c>
      <c r="AD232" t="s">
        <v>354</v>
      </c>
      <c r="AE232" t="s">
        <v>46</v>
      </c>
      <c r="AF232" t="s">
        <v>46</v>
      </c>
      <c r="AG232" t="s">
        <v>36</v>
      </c>
      <c r="AH232" t="s">
        <v>40</v>
      </c>
      <c r="AI232" t="s">
        <v>40</v>
      </c>
      <c r="AJ232" t="s">
        <v>40</v>
      </c>
    </row>
    <row r="233" spans="1:36" x14ac:dyDescent="0.25">
      <c r="A233" t="s">
        <v>34</v>
      </c>
      <c r="B233" t="s">
        <v>355</v>
      </c>
      <c r="C233" t="s">
        <v>36</v>
      </c>
      <c r="D233" t="s">
        <v>167</v>
      </c>
      <c r="E233" t="s">
        <v>63</v>
      </c>
      <c r="F233" t="s">
        <v>64</v>
      </c>
      <c r="G233" s="1"/>
      <c r="H233" t="s">
        <v>40</v>
      </c>
      <c r="I233" s="1"/>
      <c r="J233" t="s">
        <v>40</v>
      </c>
      <c r="K233" s="2">
        <v>0</v>
      </c>
      <c r="L233" t="s">
        <v>40</v>
      </c>
      <c r="M233" s="2">
        <f>Table1[[#This Row],[Quantity]]*Table1[[#This Row],[Proposed Unit Price]]</f>
        <v>0</v>
      </c>
      <c r="N233" t="s">
        <v>40</v>
      </c>
      <c r="O233" s="1">
        <v>0</v>
      </c>
      <c r="P233" t="s">
        <v>40</v>
      </c>
      <c r="Q233" s="6">
        <v>46997</v>
      </c>
      <c r="R233" s="6">
        <v>47361</v>
      </c>
      <c r="S233" t="s">
        <v>188</v>
      </c>
      <c r="T233" t="s">
        <v>166</v>
      </c>
      <c r="U233" t="s">
        <v>50</v>
      </c>
      <c r="V233" t="s">
        <v>42</v>
      </c>
      <c r="W233" t="s">
        <v>43</v>
      </c>
      <c r="X233" t="s">
        <v>36</v>
      </c>
      <c r="Y233" t="s">
        <v>36</v>
      </c>
      <c r="Z233" t="s">
        <v>36</v>
      </c>
      <c r="AA233" t="s">
        <v>36</v>
      </c>
      <c r="AB233" t="s">
        <v>44</v>
      </c>
      <c r="AC233" t="s">
        <v>45</v>
      </c>
      <c r="AD233" t="s">
        <v>355</v>
      </c>
      <c r="AE233" t="s">
        <v>46</v>
      </c>
      <c r="AF233" t="s">
        <v>46</v>
      </c>
      <c r="AG233" t="s">
        <v>36</v>
      </c>
      <c r="AH233" t="s">
        <v>40</v>
      </c>
      <c r="AI233" t="s">
        <v>40</v>
      </c>
      <c r="AJ233" t="s">
        <v>40</v>
      </c>
    </row>
    <row r="234" spans="1:36" x14ac:dyDescent="0.25">
      <c r="A234" t="s">
        <v>34</v>
      </c>
      <c r="B234" t="s">
        <v>356</v>
      </c>
      <c r="C234" t="s">
        <v>36</v>
      </c>
      <c r="D234" t="s">
        <v>168</v>
      </c>
      <c r="E234" t="s">
        <v>58</v>
      </c>
      <c r="F234" t="s">
        <v>87</v>
      </c>
      <c r="G234" s="1"/>
      <c r="H234" t="s">
        <v>40</v>
      </c>
      <c r="I234" s="1"/>
      <c r="J234" t="s">
        <v>40</v>
      </c>
      <c r="K234" s="2">
        <v>0</v>
      </c>
      <c r="L234" t="s">
        <v>40</v>
      </c>
      <c r="M234" s="2">
        <f>Table1[[#This Row],[Quantity]]*Table1[[#This Row],[Proposed Unit Price]]</f>
        <v>0</v>
      </c>
      <c r="N234" t="s">
        <v>40</v>
      </c>
      <c r="O234" s="1">
        <v>0</v>
      </c>
      <c r="P234" t="s">
        <v>40</v>
      </c>
      <c r="Q234" s="6">
        <v>46997</v>
      </c>
      <c r="R234" s="6">
        <v>47361</v>
      </c>
      <c r="S234" t="s">
        <v>188</v>
      </c>
      <c r="T234" t="s">
        <v>133</v>
      </c>
      <c r="U234" t="s">
        <v>50</v>
      </c>
      <c r="V234" t="s">
        <v>42</v>
      </c>
      <c r="W234" t="s">
        <v>43</v>
      </c>
      <c r="X234" t="s">
        <v>36</v>
      </c>
      <c r="Y234" t="s">
        <v>36</v>
      </c>
      <c r="Z234" t="s">
        <v>36</v>
      </c>
      <c r="AA234" t="s">
        <v>36</v>
      </c>
      <c r="AB234" t="s">
        <v>44</v>
      </c>
      <c r="AC234" t="s">
        <v>45</v>
      </c>
      <c r="AD234" t="s">
        <v>356</v>
      </c>
      <c r="AE234" t="s">
        <v>46</v>
      </c>
      <c r="AF234" t="s">
        <v>46</v>
      </c>
      <c r="AG234" t="s">
        <v>36</v>
      </c>
      <c r="AH234" t="s">
        <v>40</v>
      </c>
      <c r="AI234" t="s">
        <v>40</v>
      </c>
      <c r="AJ234" t="s">
        <v>40</v>
      </c>
    </row>
    <row r="235" spans="1:36" x14ac:dyDescent="0.25">
      <c r="A235" t="s">
        <v>34</v>
      </c>
      <c r="B235" t="s">
        <v>357</v>
      </c>
      <c r="C235" t="s">
        <v>36</v>
      </c>
      <c r="D235" t="s">
        <v>170</v>
      </c>
      <c r="E235" t="s">
        <v>47</v>
      </c>
      <c r="F235" t="s">
        <v>39</v>
      </c>
      <c r="G235" s="1"/>
      <c r="H235" t="s">
        <v>40</v>
      </c>
      <c r="I235" s="1"/>
      <c r="J235" t="s">
        <v>40</v>
      </c>
      <c r="K235" s="2">
        <v>0</v>
      </c>
      <c r="L235" t="s">
        <v>40</v>
      </c>
      <c r="M235" s="2">
        <f>Table1[[#This Row],[Quantity]]*Table1[[#This Row],[Proposed Unit Price]]</f>
        <v>0</v>
      </c>
      <c r="N235" t="s">
        <v>40</v>
      </c>
      <c r="O235" s="1">
        <v>0</v>
      </c>
      <c r="P235" t="s">
        <v>40</v>
      </c>
      <c r="Q235" s="6">
        <v>46997</v>
      </c>
      <c r="R235" s="6">
        <v>47361</v>
      </c>
      <c r="S235" t="s">
        <v>188</v>
      </c>
      <c r="T235" t="s">
        <v>169</v>
      </c>
      <c r="U235" t="s">
        <v>50</v>
      </c>
      <c r="V235" t="s">
        <v>42</v>
      </c>
      <c r="W235" t="s">
        <v>43</v>
      </c>
      <c r="X235" t="s">
        <v>36</v>
      </c>
      <c r="Y235" t="s">
        <v>36</v>
      </c>
      <c r="Z235" t="s">
        <v>36</v>
      </c>
      <c r="AA235" t="s">
        <v>36</v>
      </c>
      <c r="AB235" t="s">
        <v>44</v>
      </c>
      <c r="AC235" t="s">
        <v>45</v>
      </c>
      <c r="AD235" t="s">
        <v>357</v>
      </c>
      <c r="AE235" t="s">
        <v>46</v>
      </c>
      <c r="AF235" t="s">
        <v>46</v>
      </c>
      <c r="AG235" t="s">
        <v>36</v>
      </c>
      <c r="AH235" t="s">
        <v>40</v>
      </c>
      <c r="AI235" t="s">
        <v>40</v>
      </c>
      <c r="AJ235" t="s">
        <v>40</v>
      </c>
    </row>
    <row r="236" spans="1:36" x14ac:dyDescent="0.25">
      <c r="A236" t="s">
        <v>34</v>
      </c>
      <c r="B236" t="s">
        <v>358</v>
      </c>
      <c r="C236" t="s">
        <v>36</v>
      </c>
      <c r="D236" t="s">
        <v>172</v>
      </c>
      <c r="E236" t="s">
        <v>106</v>
      </c>
      <c r="F236" t="s">
        <v>87</v>
      </c>
      <c r="G236" s="1"/>
      <c r="H236" t="s">
        <v>40</v>
      </c>
      <c r="I236" s="1"/>
      <c r="J236" t="s">
        <v>40</v>
      </c>
      <c r="K236" s="2">
        <v>0</v>
      </c>
      <c r="L236" t="s">
        <v>40</v>
      </c>
      <c r="M236" s="2">
        <f>Table1[[#This Row],[Quantity]]*Table1[[#This Row],[Proposed Unit Price]]</f>
        <v>0</v>
      </c>
      <c r="N236" t="s">
        <v>40</v>
      </c>
      <c r="O236" s="1">
        <v>0</v>
      </c>
      <c r="P236" t="s">
        <v>40</v>
      </c>
      <c r="Q236" s="6">
        <v>46997</v>
      </c>
      <c r="R236" s="6">
        <v>47361</v>
      </c>
      <c r="S236" t="s">
        <v>188</v>
      </c>
      <c r="T236" t="s">
        <v>171</v>
      </c>
      <c r="U236" t="s">
        <v>50</v>
      </c>
      <c r="V236" t="s">
        <v>42</v>
      </c>
      <c r="W236" t="s">
        <v>43</v>
      </c>
      <c r="X236" t="s">
        <v>36</v>
      </c>
      <c r="Y236" t="s">
        <v>36</v>
      </c>
      <c r="Z236" t="s">
        <v>36</v>
      </c>
      <c r="AA236" t="s">
        <v>36</v>
      </c>
      <c r="AB236" t="s">
        <v>44</v>
      </c>
      <c r="AC236" t="s">
        <v>45</v>
      </c>
      <c r="AD236" t="s">
        <v>358</v>
      </c>
      <c r="AE236" t="s">
        <v>46</v>
      </c>
      <c r="AF236" t="s">
        <v>46</v>
      </c>
      <c r="AG236" t="s">
        <v>36</v>
      </c>
      <c r="AH236" t="s">
        <v>40</v>
      </c>
      <c r="AI236" t="s">
        <v>40</v>
      </c>
      <c r="AJ236" t="s">
        <v>40</v>
      </c>
    </row>
    <row r="237" spans="1:36" x14ac:dyDescent="0.25">
      <c r="A237" t="s">
        <v>34</v>
      </c>
      <c r="B237" t="s">
        <v>359</v>
      </c>
      <c r="C237" t="s">
        <v>36</v>
      </c>
      <c r="D237" t="s">
        <v>174</v>
      </c>
      <c r="E237" t="s">
        <v>110</v>
      </c>
      <c r="F237" t="s">
        <v>64</v>
      </c>
      <c r="G237" s="1"/>
      <c r="H237" t="s">
        <v>40</v>
      </c>
      <c r="I237" s="1"/>
      <c r="J237" t="s">
        <v>40</v>
      </c>
      <c r="K237" s="2">
        <v>0</v>
      </c>
      <c r="L237" t="s">
        <v>40</v>
      </c>
      <c r="M237" s="2">
        <f>Table1[[#This Row],[Quantity]]*Table1[[#This Row],[Proposed Unit Price]]</f>
        <v>0</v>
      </c>
      <c r="N237" t="s">
        <v>40</v>
      </c>
      <c r="O237" s="1">
        <v>0</v>
      </c>
      <c r="P237" t="s">
        <v>40</v>
      </c>
      <c r="Q237" s="6">
        <v>46997</v>
      </c>
      <c r="R237" s="6">
        <v>47361</v>
      </c>
      <c r="S237" t="s">
        <v>188</v>
      </c>
      <c r="T237" t="s">
        <v>173</v>
      </c>
      <c r="U237" t="s">
        <v>50</v>
      </c>
      <c r="V237" t="s">
        <v>42</v>
      </c>
      <c r="W237" t="s">
        <v>43</v>
      </c>
      <c r="X237" t="s">
        <v>36</v>
      </c>
      <c r="Y237" t="s">
        <v>36</v>
      </c>
      <c r="Z237" t="s">
        <v>36</v>
      </c>
      <c r="AA237" t="s">
        <v>36</v>
      </c>
      <c r="AB237" t="s">
        <v>44</v>
      </c>
      <c r="AC237" t="s">
        <v>45</v>
      </c>
      <c r="AD237" t="s">
        <v>359</v>
      </c>
      <c r="AE237" t="s">
        <v>46</v>
      </c>
      <c r="AF237" t="s">
        <v>46</v>
      </c>
      <c r="AG237" t="s">
        <v>36</v>
      </c>
      <c r="AH237" t="s">
        <v>40</v>
      </c>
      <c r="AI237" t="s">
        <v>40</v>
      </c>
      <c r="AJ237" t="s">
        <v>40</v>
      </c>
    </row>
    <row r="238" spans="1:36" x14ac:dyDescent="0.25">
      <c r="A238" t="s">
        <v>34</v>
      </c>
      <c r="B238" t="s">
        <v>360</v>
      </c>
      <c r="C238" t="s">
        <v>36</v>
      </c>
      <c r="D238" t="s">
        <v>176</v>
      </c>
      <c r="E238" t="s">
        <v>177</v>
      </c>
      <c r="F238" t="s">
        <v>39</v>
      </c>
      <c r="G238" s="1"/>
      <c r="H238" t="s">
        <v>40</v>
      </c>
      <c r="I238" s="1"/>
      <c r="J238" t="s">
        <v>40</v>
      </c>
      <c r="K238" s="2">
        <v>0</v>
      </c>
      <c r="L238" t="s">
        <v>40</v>
      </c>
      <c r="M238" s="2">
        <f>Table1[[#This Row],[Quantity]]*Table1[[#This Row],[Proposed Unit Price]]</f>
        <v>0</v>
      </c>
      <c r="N238" t="s">
        <v>40</v>
      </c>
      <c r="O238" s="1">
        <v>0</v>
      </c>
      <c r="P238" t="s">
        <v>40</v>
      </c>
      <c r="Q238" s="6">
        <v>46997</v>
      </c>
      <c r="R238" s="6">
        <v>47361</v>
      </c>
      <c r="S238" t="s">
        <v>188</v>
      </c>
      <c r="T238" t="s">
        <v>175</v>
      </c>
      <c r="U238" t="s">
        <v>50</v>
      </c>
      <c r="V238" t="s">
        <v>42</v>
      </c>
      <c r="W238" t="s">
        <v>43</v>
      </c>
      <c r="X238" t="s">
        <v>36</v>
      </c>
      <c r="Y238" t="s">
        <v>36</v>
      </c>
      <c r="Z238" t="s">
        <v>36</v>
      </c>
      <c r="AA238" t="s">
        <v>36</v>
      </c>
      <c r="AB238" t="s">
        <v>44</v>
      </c>
      <c r="AC238" t="s">
        <v>45</v>
      </c>
      <c r="AD238" t="s">
        <v>360</v>
      </c>
      <c r="AE238" t="s">
        <v>46</v>
      </c>
      <c r="AF238" t="s">
        <v>46</v>
      </c>
      <c r="AG238" t="s">
        <v>36</v>
      </c>
      <c r="AH238" t="s">
        <v>40</v>
      </c>
      <c r="AI238" t="s">
        <v>40</v>
      </c>
      <c r="AJ238" t="s">
        <v>40</v>
      </c>
    </row>
    <row r="239" spans="1:36" x14ac:dyDescent="0.25">
      <c r="A239" t="s">
        <v>34</v>
      </c>
      <c r="B239" t="s">
        <v>361</v>
      </c>
      <c r="C239" t="s">
        <v>36</v>
      </c>
      <c r="D239" t="s">
        <v>179</v>
      </c>
      <c r="E239" t="s">
        <v>177</v>
      </c>
      <c r="F239" t="s">
        <v>39</v>
      </c>
      <c r="G239" s="1"/>
      <c r="H239" t="s">
        <v>40</v>
      </c>
      <c r="I239" s="1"/>
      <c r="J239" t="s">
        <v>40</v>
      </c>
      <c r="K239" s="2">
        <v>0</v>
      </c>
      <c r="L239" t="s">
        <v>40</v>
      </c>
      <c r="M239" s="2">
        <f>Table1[[#This Row],[Quantity]]*Table1[[#This Row],[Proposed Unit Price]]</f>
        <v>0</v>
      </c>
      <c r="N239" t="s">
        <v>40</v>
      </c>
      <c r="O239" s="1">
        <v>0</v>
      </c>
      <c r="P239" t="s">
        <v>40</v>
      </c>
      <c r="Q239" s="6">
        <v>46997</v>
      </c>
      <c r="R239" s="6">
        <v>47361</v>
      </c>
      <c r="S239" t="s">
        <v>188</v>
      </c>
      <c r="T239" t="s">
        <v>178</v>
      </c>
      <c r="U239" t="s">
        <v>50</v>
      </c>
      <c r="V239" t="s">
        <v>42</v>
      </c>
      <c r="W239" t="s">
        <v>43</v>
      </c>
      <c r="X239" t="s">
        <v>36</v>
      </c>
      <c r="Y239" t="s">
        <v>36</v>
      </c>
      <c r="Z239" t="s">
        <v>36</v>
      </c>
      <c r="AA239" t="s">
        <v>36</v>
      </c>
      <c r="AB239" t="s">
        <v>44</v>
      </c>
      <c r="AC239" t="s">
        <v>45</v>
      </c>
      <c r="AD239" t="s">
        <v>361</v>
      </c>
      <c r="AE239" t="s">
        <v>46</v>
      </c>
      <c r="AF239" t="s">
        <v>46</v>
      </c>
      <c r="AG239" t="s">
        <v>36</v>
      </c>
      <c r="AH239" t="s">
        <v>40</v>
      </c>
      <c r="AI239" t="s">
        <v>40</v>
      </c>
      <c r="AJ239" t="s">
        <v>40</v>
      </c>
    </row>
    <row r="240" spans="1:36" x14ac:dyDescent="0.25">
      <c r="A240" t="s">
        <v>34</v>
      </c>
      <c r="B240" t="s">
        <v>362</v>
      </c>
      <c r="C240" t="s">
        <v>36</v>
      </c>
      <c r="D240" t="s">
        <v>246</v>
      </c>
      <c r="E240" t="s">
        <v>182</v>
      </c>
      <c r="F240" t="s">
        <v>39</v>
      </c>
      <c r="G240" s="1"/>
      <c r="H240" t="s">
        <v>40</v>
      </c>
      <c r="I240" s="1"/>
      <c r="J240" t="s">
        <v>40</v>
      </c>
      <c r="K240" s="2">
        <v>0</v>
      </c>
      <c r="L240" t="s">
        <v>40</v>
      </c>
      <c r="M240" s="2">
        <f>Table1[[#This Row],[Quantity]]*Table1[[#This Row],[Proposed Unit Price]]</f>
        <v>0</v>
      </c>
      <c r="N240" t="s">
        <v>40</v>
      </c>
      <c r="O240" s="1">
        <v>0</v>
      </c>
      <c r="P240" t="s">
        <v>40</v>
      </c>
      <c r="Q240" s="6">
        <v>46997</v>
      </c>
      <c r="R240" s="6">
        <v>47361</v>
      </c>
      <c r="S240" t="s">
        <v>188</v>
      </c>
      <c r="T240" t="s">
        <v>180</v>
      </c>
      <c r="U240" t="s">
        <v>50</v>
      </c>
      <c r="V240" t="s">
        <v>42</v>
      </c>
      <c r="W240" t="s">
        <v>43</v>
      </c>
      <c r="X240" t="s">
        <v>36</v>
      </c>
      <c r="Y240" t="s">
        <v>36</v>
      </c>
      <c r="Z240" t="s">
        <v>36</v>
      </c>
      <c r="AA240" t="s">
        <v>36</v>
      </c>
      <c r="AB240" t="s">
        <v>44</v>
      </c>
      <c r="AC240" t="s">
        <v>45</v>
      </c>
      <c r="AD240" t="s">
        <v>362</v>
      </c>
      <c r="AE240" t="s">
        <v>46</v>
      </c>
      <c r="AF240" t="s">
        <v>46</v>
      </c>
      <c r="AG240" t="s">
        <v>36</v>
      </c>
      <c r="AH240" t="s">
        <v>40</v>
      </c>
      <c r="AI240" t="s">
        <v>40</v>
      </c>
      <c r="AJ240" t="s">
        <v>40</v>
      </c>
    </row>
    <row r="241" spans="1:36" x14ac:dyDescent="0.25">
      <c r="A241" t="s">
        <v>34</v>
      </c>
      <c r="B241" t="s">
        <v>363</v>
      </c>
      <c r="C241" t="s">
        <v>36</v>
      </c>
      <c r="D241" t="s">
        <v>184</v>
      </c>
      <c r="E241" t="s">
        <v>65</v>
      </c>
      <c r="F241" t="s">
        <v>39</v>
      </c>
      <c r="G241" s="1"/>
      <c r="H241" t="s">
        <v>40</v>
      </c>
      <c r="I241" s="1"/>
      <c r="J241" t="s">
        <v>40</v>
      </c>
      <c r="K241" s="2">
        <v>0</v>
      </c>
      <c r="L241" t="s">
        <v>40</v>
      </c>
      <c r="M241" s="2">
        <f>Table1[[#This Row],[Quantity]]*Table1[[#This Row],[Proposed Unit Price]]</f>
        <v>0</v>
      </c>
      <c r="N241" t="s">
        <v>40</v>
      </c>
      <c r="O241" s="1">
        <v>0</v>
      </c>
      <c r="P241" t="s">
        <v>40</v>
      </c>
      <c r="Q241" s="6">
        <v>46997</v>
      </c>
      <c r="R241" s="6">
        <v>47361</v>
      </c>
      <c r="S241" t="s">
        <v>188</v>
      </c>
      <c r="T241" t="s">
        <v>183</v>
      </c>
      <c r="U241" t="s">
        <v>50</v>
      </c>
      <c r="V241" t="s">
        <v>42</v>
      </c>
      <c r="W241" t="s">
        <v>43</v>
      </c>
      <c r="X241" t="s">
        <v>36</v>
      </c>
      <c r="Y241" t="s">
        <v>36</v>
      </c>
      <c r="Z241" t="s">
        <v>36</v>
      </c>
      <c r="AA241" t="s">
        <v>36</v>
      </c>
      <c r="AB241" t="s">
        <v>44</v>
      </c>
      <c r="AC241" t="s">
        <v>45</v>
      </c>
      <c r="AD241" t="s">
        <v>363</v>
      </c>
      <c r="AE241" t="s">
        <v>46</v>
      </c>
      <c r="AF241" t="s">
        <v>46</v>
      </c>
      <c r="AG241" t="s">
        <v>36</v>
      </c>
      <c r="AH241" t="s">
        <v>40</v>
      </c>
      <c r="AI241" t="s">
        <v>40</v>
      </c>
      <c r="AJ241" t="s">
        <v>40</v>
      </c>
    </row>
    <row r="242" spans="1:36" x14ac:dyDescent="0.25">
      <c r="A242" t="s">
        <v>34</v>
      </c>
      <c r="B242" t="s">
        <v>364</v>
      </c>
      <c r="C242" t="s">
        <v>36</v>
      </c>
      <c r="D242" t="s">
        <v>186</v>
      </c>
      <c r="E242" t="s">
        <v>67</v>
      </c>
      <c r="F242" t="s">
        <v>87</v>
      </c>
      <c r="G242" s="1"/>
      <c r="H242" t="s">
        <v>40</v>
      </c>
      <c r="I242" s="1"/>
      <c r="J242" t="s">
        <v>40</v>
      </c>
      <c r="K242" s="2">
        <v>0</v>
      </c>
      <c r="L242" t="s">
        <v>40</v>
      </c>
      <c r="M242" s="2">
        <f>Table1[[#This Row],[Quantity]]*Table1[[#This Row],[Proposed Unit Price]]</f>
        <v>0</v>
      </c>
      <c r="N242" t="s">
        <v>40</v>
      </c>
      <c r="O242" s="1">
        <v>0</v>
      </c>
      <c r="P242" t="s">
        <v>40</v>
      </c>
      <c r="Q242" s="6">
        <v>46997</v>
      </c>
      <c r="R242" s="6">
        <v>47361</v>
      </c>
      <c r="S242" t="s">
        <v>188</v>
      </c>
      <c r="T242" t="s">
        <v>185</v>
      </c>
      <c r="U242" t="s">
        <v>50</v>
      </c>
      <c r="V242" t="s">
        <v>42</v>
      </c>
      <c r="W242" t="s">
        <v>43</v>
      </c>
      <c r="X242" t="s">
        <v>36</v>
      </c>
      <c r="Y242" t="s">
        <v>36</v>
      </c>
      <c r="Z242" t="s">
        <v>36</v>
      </c>
      <c r="AA242" t="s">
        <v>36</v>
      </c>
      <c r="AB242" t="s">
        <v>44</v>
      </c>
      <c r="AC242" t="s">
        <v>45</v>
      </c>
      <c r="AD242" t="s">
        <v>364</v>
      </c>
      <c r="AE242" t="s">
        <v>46</v>
      </c>
      <c r="AF242" t="s">
        <v>46</v>
      </c>
      <c r="AG242" t="s">
        <v>36</v>
      </c>
      <c r="AH242" t="s">
        <v>40</v>
      </c>
      <c r="AI242" t="s">
        <v>40</v>
      </c>
      <c r="AJ242" t="s">
        <v>40</v>
      </c>
    </row>
    <row r="243" spans="1:36" x14ac:dyDescent="0.25">
      <c r="G243" s="1"/>
      <c r="I243" s="1"/>
      <c r="K243" s="2"/>
      <c r="M243" s="2">
        <f>SUM(M185:M242)</f>
        <v>0</v>
      </c>
      <c r="O243" s="1"/>
    </row>
    <row r="244" spans="1:36" x14ac:dyDescent="0.25">
      <c r="G244" s="1"/>
      <c r="I244" s="1"/>
      <c r="K244" s="2"/>
      <c r="M244" s="2"/>
      <c r="O244" s="1"/>
    </row>
    <row r="245" spans="1:36" x14ac:dyDescent="0.25">
      <c r="G245" s="1"/>
      <c r="I245" s="1"/>
      <c r="K245" s="2"/>
      <c r="M245" s="2"/>
      <c r="O245" s="1"/>
    </row>
    <row r="246" spans="1:36" x14ac:dyDescent="0.25">
      <c r="A246" t="s">
        <v>34</v>
      </c>
      <c r="B246" t="s">
        <v>365</v>
      </c>
      <c r="C246" t="s">
        <v>36</v>
      </c>
      <c r="D246" t="s">
        <v>37</v>
      </c>
      <c r="E246" t="s">
        <v>38</v>
      </c>
      <c r="F246" t="s">
        <v>39</v>
      </c>
      <c r="G246" s="1"/>
      <c r="H246" t="s">
        <v>40</v>
      </c>
      <c r="I246" s="1"/>
      <c r="J246" t="s">
        <v>40</v>
      </c>
      <c r="K246" s="2">
        <v>0</v>
      </c>
      <c r="L246" t="s">
        <v>40</v>
      </c>
      <c r="M246" s="2">
        <f>Table1[[#This Row],[Quantity]]*Table1[[#This Row],[Proposed Unit Price]]</f>
        <v>0</v>
      </c>
      <c r="N246" t="s">
        <v>40</v>
      </c>
      <c r="O246" s="1">
        <v>0</v>
      </c>
      <c r="P246" t="s">
        <v>40</v>
      </c>
      <c r="Q246" s="6">
        <v>47362</v>
      </c>
      <c r="R246" s="6">
        <v>47726</v>
      </c>
      <c r="S246" t="s">
        <v>188</v>
      </c>
      <c r="T246" t="s">
        <v>35</v>
      </c>
      <c r="U246" t="s">
        <v>53</v>
      </c>
      <c r="V246" t="s">
        <v>42</v>
      </c>
      <c r="W246" t="s">
        <v>43</v>
      </c>
      <c r="X246" t="s">
        <v>36</v>
      </c>
      <c r="Y246" t="s">
        <v>36</v>
      </c>
      <c r="Z246" t="s">
        <v>36</v>
      </c>
      <c r="AA246" t="s">
        <v>36</v>
      </c>
      <c r="AB246" t="s">
        <v>44</v>
      </c>
      <c r="AC246" t="s">
        <v>45</v>
      </c>
      <c r="AD246" t="s">
        <v>365</v>
      </c>
      <c r="AE246" t="s">
        <v>46</v>
      </c>
      <c r="AF246" t="s">
        <v>46</v>
      </c>
      <c r="AG246" t="s">
        <v>36</v>
      </c>
      <c r="AH246" t="s">
        <v>40</v>
      </c>
      <c r="AI246" t="s">
        <v>40</v>
      </c>
      <c r="AJ246" t="s">
        <v>40</v>
      </c>
    </row>
    <row r="247" spans="1:36" x14ac:dyDescent="0.25">
      <c r="A247" t="s">
        <v>34</v>
      </c>
      <c r="B247" t="s">
        <v>366</v>
      </c>
      <c r="C247" t="s">
        <v>36</v>
      </c>
      <c r="D247" t="s">
        <v>48</v>
      </c>
      <c r="E247" t="s">
        <v>49</v>
      </c>
      <c r="F247" t="s">
        <v>39</v>
      </c>
      <c r="G247" s="1"/>
      <c r="H247" t="s">
        <v>40</v>
      </c>
      <c r="I247" s="1"/>
      <c r="J247" t="s">
        <v>40</v>
      </c>
      <c r="K247" s="2">
        <v>0</v>
      </c>
      <c r="L247" t="s">
        <v>40</v>
      </c>
      <c r="M247" s="2">
        <f>Table1[[#This Row],[Quantity]]*Table1[[#This Row],[Proposed Unit Price]]</f>
        <v>0</v>
      </c>
      <c r="N247" t="s">
        <v>40</v>
      </c>
      <c r="O247" s="1">
        <v>0</v>
      </c>
      <c r="P247" t="s">
        <v>40</v>
      </c>
      <c r="Q247" s="6">
        <v>47362</v>
      </c>
      <c r="R247" s="6">
        <v>47726</v>
      </c>
      <c r="S247" t="s">
        <v>188</v>
      </c>
      <c r="T247" t="s">
        <v>47</v>
      </c>
      <c r="U247" t="s">
        <v>53</v>
      </c>
      <c r="V247" t="s">
        <v>42</v>
      </c>
      <c r="W247" t="s">
        <v>43</v>
      </c>
      <c r="X247" t="s">
        <v>36</v>
      </c>
      <c r="Y247" t="s">
        <v>36</v>
      </c>
      <c r="Z247" t="s">
        <v>36</v>
      </c>
      <c r="AA247" t="s">
        <v>36</v>
      </c>
      <c r="AB247" t="s">
        <v>44</v>
      </c>
      <c r="AC247" t="s">
        <v>45</v>
      </c>
      <c r="AD247" t="s">
        <v>366</v>
      </c>
      <c r="AE247" t="s">
        <v>46</v>
      </c>
      <c r="AF247" t="s">
        <v>46</v>
      </c>
      <c r="AG247" t="s">
        <v>36</v>
      </c>
      <c r="AH247" t="s">
        <v>40</v>
      </c>
      <c r="AI247" t="s">
        <v>40</v>
      </c>
      <c r="AJ247" t="s">
        <v>40</v>
      </c>
    </row>
    <row r="248" spans="1:36" x14ac:dyDescent="0.25">
      <c r="A248" t="s">
        <v>34</v>
      </c>
      <c r="B248" t="s">
        <v>367</v>
      </c>
      <c r="C248" t="s">
        <v>36</v>
      </c>
      <c r="D248" t="s">
        <v>51</v>
      </c>
      <c r="E248" t="s">
        <v>52</v>
      </c>
      <c r="F248" t="s">
        <v>39</v>
      </c>
      <c r="G248" s="1"/>
      <c r="H248" t="s">
        <v>40</v>
      </c>
      <c r="I248" s="1"/>
      <c r="J248" t="s">
        <v>40</v>
      </c>
      <c r="K248" s="2">
        <v>0</v>
      </c>
      <c r="L248" t="s">
        <v>40</v>
      </c>
      <c r="M248" s="2">
        <f>Table1[[#This Row],[Quantity]]*Table1[[#This Row],[Proposed Unit Price]]</f>
        <v>0</v>
      </c>
      <c r="N248" t="s">
        <v>40</v>
      </c>
      <c r="O248" s="1">
        <v>0</v>
      </c>
      <c r="P248" t="s">
        <v>40</v>
      </c>
      <c r="Q248" s="6">
        <v>47362</v>
      </c>
      <c r="R248" s="6">
        <v>47726</v>
      </c>
      <c r="S248" t="s">
        <v>188</v>
      </c>
      <c r="T248" t="s">
        <v>50</v>
      </c>
      <c r="U248" t="s">
        <v>53</v>
      </c>
      <c r="V248" t="s">
        <v>42</v>
      </c>
      <c r="W248" t="s">
        <v>43</v>
      </c>
      <c r="X248" t="s">
        <v>36</v>
      </c>
      <c r="Y248" t="s">
        <v>36</v>
      </c>
      <c r="Z248" t="s">
        <v>36</v>
      </c>
      <c r="AA248" t="s">
        <v>36</v>
      </c>
      <c r="AB248" t="s">
        <v>44</v>
      </c>
      <c r="AC248" t="s">
        <v>45</v>
      </c>
      <c r="AD248" t="s">
        <v>367</v>
      </c>
      <c r="AE248" t="s">
        <v>46</v>
      </c>
      <c r="AF248" t="s">
        <v>46</v>
      </c>
      <c r="AG248" t="s">
        <v>36</v>
      </c>
      <c r="AH248" t="s">
        <v>40</v>
      </c>
      <c r="AI248" t="s">
        <v>40</v>
      </c>
      <c r="AJ248" t="s">
        <v>40</v>
      </c>
    </row>
    <row r="249" spans="1:36" x14ac:dyDescent="0.25">
      <c r="A249" t="s">
        <v>34</v>
      </c>
      <c r="B249" t="s">
        <v>368</v>
      </c>
      <c r="C249" t="s">
        <v>36</v>
      </c>
      <c r="D249" t="s">
        <v>54</v>
      </c>
      <c r="E249" t="s">
        <v>38</v>
      </c>
      <c r="F249" t="s">
        <v>39</v>
      </c>
      <c r="G249" s="1"/>
      <c r="H249" t="s">
        <v>40</v>
      </c>
      <c r="I249" s="1"/>
      <c r="J249" t="s">
        <v>40</v>
      </c>
      <c r="K249" s="2">
        <v>0</v>
      </c>
      <c r="L249" t="s">
        <v>40</v>
      </c>
      <c r="M249" s="2">
        <f>Table1[[#This Row],[Quantity]]*Table1[[#This Row],[Proposed Unit Price]]</f>
        <v>0</v>
      </c>
      <c r="N249" t="s">
        <v>40</v>
      </c>
      <c r="O249" s="1">
        <v>0</v>
      </c>
      <c r="P249" t="s">
        <v>40</v>
      </c>
      <c r="Q249" s="6">
        <v>47362</v>
      </c>
      <c r="R249" s="6">
        <v>47726</v>
      </c>
      <c r="S249" t="s">
        <v>188</v>
      </c>
      <c r="T249" t="s">
        <v>53</v>
      </c>
      <c r="U249" t="s">
        <v>53</v>
      </c>
      <c r="V249" t="s">
        <v>42</v>
      </c>
      <c r="W249" t="s">
        <v>43</v>
      </c>
      <c r="X249" t="s">
        <v>36</v>
      </c>
      <c r="Y249" t="s">
        <v>36</v>
      </c>
      <c r="Z249" t="s">
        <v>36</v>
      </c>
      <c r="AA249" t="s">
        <v>36</v>
      </c>
      <c r="AB249" t="s">
        <v>44</v>
      </c>
      <c r="AC249" t="s">
        <v>45</v>
      </c>
      <c r="AD249" t="s">
        <v>368</v>
      </c>
      <c r="AE249" t="s">
        <v>46</v>
      </c>
      <c r="AF249" t="s">
        <v>46</v>
      </c>
      <c r="AG249" t="s">
        <v>36</v>
      </c>
      <c r="AH249" t="s">
        <v>40</v>
      </c>
      <c r="AI249" t="s">
        <v>40</v>
      </c>
      <c r="AJ249" t="s">
        <v>40</v>
      </c>
    </row>
    <row r="250" spans="1:36" x14ac:dyDescent="0.25">
      <c r="A250" t="s">
        <v>34</v>
      </c>
      <c r="B250" t="s">
        <v>369</v>
      </c>
      <c r="C250" t="s">
        <v>36</v>
      </c>
      <c r="D250" t="s">
        <v>56</v>
      </c>
      <c r="E250" t="s">
        <v>57</v>
      </c>
      <c r="F250" t="s">
        <v>39</v>
      </c>
      <c r="G250" s="1"/>
      <c r="H250" t="s">
        <v>40</v>
      </c>
      <c r="I250" s="1"/>
      <c r="J250" t="s">
        <v>40</v>
      </c>
      <c r="K250" s="2">
        <v>0</v>
      </c>
      <c r="L250" t="s">
        <v>40</v>
      </c>
      <c r="M250" s="2">
        <f>Table1[[#This Row],[Quantity]]*Table1[[#This Row],[Proposed Unit Price]]</f>
        <v>0</v>
      </c>
      <c r="N250" t="s">
        <v>40</v>
      </c>
      <c r="O250" s="1">
        <v>0</v>
      </c>
      <c r="P250" t="s">
        <v>40</v>
      </c>
      <c r="Q250" s="6">
        <v>47362</v>
      </c>
      <c r="R250" s="6">
        <v>47726</v>
      </c>
      <c r="S250" t="s">
        <v>188</v>
      </c>
      <c r="T250" t="s">
        <v>55</v>
      </c>
      <c r="U250" t="s">
        <v>53</v>
      </c>
      <c r="V250" t="s">
        <v>42</v>
      </c>
      <c r="W250" t="s">
        <v>43</v>
      </c>
      <c r="X250" t="s">
        <v>36</v>
      </c>
      <c r="Y250" t="s">
        <v>36</v>
      </c>
      <c r="Z250" t="s">
        <v>36</v>
      </c>
      <c r="AA250" t="s">
        <v>36</v>
      </c>
      <c r="AB250" t="s">
        <v>44</v>
      </c>
      <c r="AC250" t="s">
        <v>45</v>
      </c>
      <c r="AD250" t="s">
        <v>369</v>
      </c>
      <c r="AE250" t="s">
        <v>46</v>
      </c>
      <c r="AF250" t="s">
        <v>46</v>
      </c>
      <c r="AG250" t="s">
        <v>36</v>
      </c>
      <c r="AH250" t="s">
        <v>40</v>
      </c>
      <c r="AI250" t="s">
        <v>40</v>
      </c>
      <c r="AJ250" t="s">
        <v>40</v>
      </c>
    </row>
    <row r="251" spans="1:36" x14ac:dyDescent="0.25">
      <c r="A251" t="s">
        <v>34</v>
      </c>
      <c r="B251" t="s">
        <v>370</v>
      </c>
      <c r="C251" t="s">
        <v>36</v>
      </c>
      <c r="D251" t="s">
        <v>59</v>
      </c>
      <c r="E251" t="s">
        <v>60</v>
      </c>
      <c r="F251" t="s">
        <v>39</v>
      </c>
      <c r="G251" s="1"/>
      <c r="H251" t="s">
        <v>40</v>
      </c>
      <c r="I251" s="1"/>
      <c r="J251" t="s">
        <v>40</v>
      </c>
      <c r="K251" s="2">
        <v>0</v>
      </c>
      <c r="L251" t="s">
        <v>40</v>
      </c>
      <c r="M251" s="2">
        <f>Table1[[#This Row],[Quantity]]*Table1[[#This Row],[Proposed Unit Price]]</f>
        <v>0</v>
      </c>
      <c r="N251" t="s">
        <v>40</v>
      </c>
      <c r="O251" s="1">
        <v>0</v>
      </c>
      <c r="P251" t="s">
        <v>40</v>
      </c>
      <c r="Q251" s="6">
        <v>47362</v>
      </c>
      <c r="R251" s="6">
        <v>47726</v>
      </c>
      <c r="S251" t="s">
        <v>188</v>
      </c>
      <c r="T251" t="s">
        <v>58</v>
      </c>
      <c r="U251" t="s">
        <v>53</v>
      </c>
      <c r="V251" t="s">
        <v>42</v>
      </c>
      <c r="W251" t="s">
        <v>43</v>
      </c>
      <c r="X251" t="s">
        <v>36</v>
      </c>
      <c r="Y251" t="s">
        <v>36</v>
      </c>
      <c r="Z251" t="s">
        <v>36</v>
      </c>
      <c r="AA251" t="s">
        <v>36</v>
      </c>
      <c r="AB251" t="s">
        <v>44</v>
      </c>
      <c r="AC251" t="s">
        <v>45</v>
      </c>
      <c r="AD251" t="s">
        <v>370</v>
      </c>
      <c r="AE251" t="s">
        <v>46</v>
      </c>
      <c r="AF251" t="s">
        <v>46</v>
      </c>
      <c r="AG251" t="s">
        <v>36</v>
      </c>
      <c r="AH251" t="s">
        <v>40</v>
      </c>
      <c r="AI251" t="s">
        <v>40</v>
      </c>
      <c r="AJ251" t="s">
        <v>40</v>
      </c>
    </row>
    <row r="252" spans="1:36" x14ac:dyDescent="0.25">
      <c r="A252" t="s">
        <v>34</v>
      </c>
      <c r="B252" t="s">
        <v>371</v>
      </c>
      <c r="C252" t="s">
        <v>36</v>
      </c>
      <c r="D252" t="s">
        <v>62</v>
      </c>
      <c r="E252" t="s">
        <v>63</v>
      </c>
      <c r="F252" t="s">
        <v>64</v>
      </c>
      <c r="G252" s="1"/>
      <c r="H252" t="s">
        <v>40</v>
      </c>
      <c r="I252" s="1"/>
      <c r="J252" t="s">
        <v>40</v>
      </c>
      <c r="K252" s="2">
        <v>0</v>
      </c>
      <c r="L252" t="s">
        <v>40</v>
      </c>
      <c r="M252" s="2">
        <f>Table1[[#This Row],[Quantity]]*Table1[[#This Row],[Proposed Unit Price]]</f>
        <v>0</v>
      </c>
      <c r="N252" t="s">
        <v>40</v>
      </c>
      <c r="O252" s="1">
        <v>0</v>
      </c>
      <c r="P252" t="s">
        <v>40</v>
      </c>
      <c r="Q252" s="6">
        <v>47362</v>
      </c>
      <c r="R252" s="6">
        <v>47726</v>
      </c>
      <c r="S252" t="s">
        <v>188</v>
      </c>
      <c r="T252" t="s">
        <v>61</v>
      </c>
      <c r="U252" t="s">
        <v>53</v>
      </c>
      <c r="V252" t="s">
        <v>42</v>
      </c>
      <c r="W252" t="s">
        <v>43</v>
      </c>
      <c r="X252" t="s">
        <v>36</v>
      </c>
      <c r="Y252" t="s">
        <v>36</v>
      </c>
      <c r="Z252" t="s">
        <v>36</v>
      </c>
      <c r="AA252" t="s">
        <v>36</v>
      </c>
      <c r="AB252" t="s">
        <v>44</v>
      </c>
      <c r="AC252" t="s">
        <v>45</v>
      </c>
      <c r="AD252" t="s">
        <v>371</v>
      </c>
      <c r="AE252" t="s">
        <v>46</v>
      </c>
      <c r="AF252" t="s">
        <v>46</v>
      </c>
      <c r="AG252" t="s">
        <v>36</v>
      </c>
      <c r="AH252" t="s">
        <v>40</v>
      </c>
      <c r="AI252" t="s">
        <v>40</v>
      </c>
      <c r="AJ252" t="s">
        <v>40</v>
      </c>
    </row>
    <row r="253" spans="1:36" x14ac:dyDescent="0.25">
      <c r="A253" t="s">
        <v>34</v>
      </c>
      <c r="B253" t="s">
        <v>372</v>
      </c>
      <c r="C253" t="s">
        <v>36</v>
      </c>
      <c r="D253" t="s">
        <v>66</v>
      </c>
      <c r="E253" t="s">
        <v>67</v>
      </c>
      <c r="F253" t="s">
        <v>39</v>
      </c>
      <c r="G253" s="1"/>
      <c r="H253" t="s">
        <v>40</v>
      </c>
      <c r="I253" s="1"/>
      <c r="J253" t="s">
        <v>40</v>
      </c>
      <c r="K253" s="2">
        <v>0</v>
      </c>
      <c r="L253" t="s">
        <v>40</v>
      </c>
      <c r="M253" s="2">
        <f>Table1[[#This Row],[Quantity]]*Table1[[#This Row],[Proposed Unit Price]]</f>
        <v>0</v>
      </c>
      <c r="N253" t="s">
        <v>40</v>
      </c>
      <c r="O253" s="1">
        <v>0</v>
      </c>
      <c r="P253" t="s">
        <v>40</v>
      </c>
      <c r="Q253" s="6">
        <v>47362</v>
      </c>
      <c r="R253" s="6">
        <v>47726</v>
      </c>
      <c r="S253" t="s">
        <v>188</v>
      </c>
      <c r="T253" t="s">
        <v>65</v>
      </c>
      <c r="U253" t="s">
        <v>53</v>
      </c>
      <c r="V253" t="s">
        <v>42</v>
      </c>
      <c r="W253" t="s">
        <v>43</v>
      </c>
      <c r="X253" t="s">
        <v>36</v>
      </c>
      <c r="Y253" t="s">
        <v>36</v>
      </c>
      <c r="Z253" t="s">
        <v>36</v>
      </c>
      <c r="AA253" t="s">
        <v>36</v>
      </c>
      <c r="AB253" t="s">
        <v>44</v>
      </c>
      <c r="AC253" t="s">
        <v>45</v>
      </c>
      <c r="AD253" t="s">
        <v>372</v>
      </c>
      <c r="AE253" t="s">
        <v>46</v>
      </c>
      <c r="AF253" t="s">
        <v>46</v>
      </c>
      <c r="AG253" t="s">
        <v>36</v>
      </c>
      <c r="AH253" t="s">
        <v>40</v>
      </c>
      <c r="AI253" t="s">
        <v>40</v>
      </c>
      <c r="AJ253" t="s">
        <v>40</v>
      </c>
    </row>
    <row r="254" spans="1:36" x14ac:dyDescent="0.25">
      <c r="A254" t="s">
        <v>34</v>
      </c>
      <c r="B254" t="s">
        <v>373</v>
      </c>
      <c r="C254" t="s">
        <v>36</v>
      </c>
      <c r="D254" t="s">
        <v>69</v>
      </c>
      <c r="E254" t="s">
        <v>70</v>
      </c>
      <c r="F254" t="s">
        <v>71</v>
      </c>
      <c r="G254" s="1"/>
      <c r="H254" t="s">
        <v>40</v>
      </c>
      <c r="I254" s="1"/>
      <c r="J254" t="s">
        <v>40</v>
      </c>
      <c r="K254" s="2">
        <v>0</v>
      </c>
      <c r="L254" t="s">
        <v>40</v>
      </c>
      <c r="M254" s="2">
        <f>Table1[[#This Row],[Quantity]]*Table1[[#This Row],[Proposed Unit Price]]</f>
        <v>0</v>
      </c>
      <c r="N254" t="s">
        <v>40</v>
      </c>
      <c r="O254" s="1">
        <v>0</v>
      </c>
      <c r="P254" t="s">
        <v>40</v>
      </c>
      <c r="Q254" s="6">
        <v>47362</v>
      </c>
      <c r="R254" s="6">
        <v>47726</v>
      </c>
      <c r="S254" t="s">
        <v>188</v>
      </c>
      <c r="T254" t="s">
        <v>68</v>
      </c>
      <c r="U254" t="s">
        <v>53</v>
      </c>
      <c r="V254" t="s">
        <v>42</v>
      </c>
      <c r="W254" t="s">
        <v>43</v>
      </c>
      <c r="X254" t="s">
        <v>36</v>
      </c>
      <c r="Y254" t="s">
        <v>36</v>
      </c>
      <c r="Z254" t="s">
        <v>36</v>
      </c>
      <c r="AA254" t="s">
        <v>36</v>
      </c>
      <c r="AB254" t="s">
        <v>44</v>
      </c>
      <c r="AC254" t="s">
        <v>45</v>
      </c>
      <c r="AD254" t="s">
        <v>373</v>
      </c>
      <c r="AE254" t="s">
        <v>46</v>
      </c>
      <c r="AF254" t="s">
        <v>46</v>
      </c>
      <c r="AG254" t="s">
        <v>36</v>
      </c>
      <c r="AH254" t="s">
        <v>40</v>
      </c>
      <c r="AI254" t="s">
        <v>40</v>
      </c>
      <c r="AJ254" t="s">
        <v>40</v>
      </c>
    </row>
    <row r="255" spans="1:36" x14ac:dyDescent="0.25">
      <c r="A255" t="s">
        <v>34</v>
      </c>
      <c r="B255" t="s">
        <v>374</v>
      </c>
      <c r="C255" t="s">
        <v>36</v>
      </c>
      <c r="D255" t="s">
        <v>73</v>
      </c>
      <c r="E255" t="s">
        <v>50</v>
      </c>
      <c r="F255" t="s">
        <v>39</v>
      </c>
      <c r="G255" s="1"/>
      <c r="H255" t="s">
        <v>40</v>
      </c>
      <c r="I255" s="1"/>
      <c r="J255" t="s">
        <v>40</v>
      </c>
      <c r="K255" s="2">
        <v>0</v>
      </c>
      <c r="L255" t="s">
        <v>40</v>
      </c>
      <c r="M255" s="2">
        <f>Table1[[#This Row],[Quantity]]*Table1[[#This Row],[Proposed Unit Price]]</f>
        <v>0</v>
      </c>
      <c r="N255" t="s">
        <v>40</v>
      </c>
      <c r="O255" s="1">
        <v>0</v>
      </c>
      <c r="P255" t="s">
        <v>40</v>
      </c>
      <c r="Q255" s="6">
        <v>47362</v>
      </c>
      <c r="R255" s="6">
        <v>47726</v>
      </c>
      <c r="S255" t="s">
        <v>188</v>
      </c>
      <c r="T255" t="s">
        <v>72</v>
      </c>
      <c r="U255" t="s">
        <v>53</v>
      </c>
      <c r="V255" t="s">
        <v>42</v>
      </c>
      <c r="W255" t="s">
        <v>43</v>
      </c>
      <c r="X255" t="s">
        <v>36</v>
      </c>
      <c r="Y255" t="s">
        <v>36</v>
      </c>
      <c r="Z255" t="s">
        <v>36</v>
      </c>
      <c r="AA255" t="s">
        <v>36</v>
      </c>
      <c r="AB255" t="s">
        <v>44</v>
      </c>
      <c r="AC255" t="s">
        <v>45</v>
      </c>
      <c r="AD255" t="s">
        <v>374</v>
      </c>
      <c r="AE255" t="s">
        <v>46</v>
      </c>
      <c r="AF255" t="s">
        <v>46</v>
      </c>
      <c r="AG255" t="s">
        <v>36</v>
      </c>
      <c r="AH255" t="s">
        <v>40</v>
      </c>
      <c r="AI255" t="s">
        <v>40</v>
      </c>
      <c r="AJ255" t="s">
        <v>40</v>
      </c>
    </row>
    <row r="256" spans="1:36" x14ac:dyDescent="0.25">
      <c r="A256" t="s">
        <v>34</v>
      </c>
      <c r="B256" t="s">
        <v>375</v>
      </c>
      <c r="C256" t="s">
        <v>36</v>
      </c>
      <c r="D256" t="s">
        <v>75</v>
      </c>
      <c r="E256" t="s">
        <v>53</v>
      </c>
      <c r="F256" t="s">
        <v>39</v>
      </c>
      <c r="G256" s="1"/>
      <c r="H256" t="s">
        <v>40</v>
      </c>
      <c r="I256" s="1"/>
      <c r="J256" t="s">
        <v>40</v>
      </c>
      <c r="K256" s="2">
        <v>0</v>
      </c>
      <c r="L256" t="s">
        <v>40</v>
      </c>
      <c r="M256" s="2">
        <f>Table1[[#This Row],[Quantity]]*Table1[[#This Row],[Proposed Unit Price]]</f>
        <v>0</v>
      </c>
      <c r="N256" t="s">
        <v>40</v>
      </c>
      <c r="O256" s="1">
        <v>0</v>
      </c>
      <c r="P256" t="s">
        <v>40</v>
      </c>
      <c r="Q256" s="6">
        <v>47362</v>
      </c>
      <c r="R256" s="6">
        <v>47726</v>
      </c>
      <c r="S256" t="s">
        <v>188</v>
      </c>
      <c r="T256" t="s">
        <v>74</v>
      </c>
      <c r="U256" t="s">
        <v>53</v>
      </c>
      <c r="V256" t="s">
        <v>42</v>
      </c>
      <c r="W256" t="s">
        <v>43</v>
      </c>
      <c r="X256" t="s">
        <v>36</v>
      </c>
      <c r="Y256" t="s">
        <v>36</v>
      </c>
      <c r="Z256" t="s">
        <v>36</v>
      </c>
      <c r="AA256" t="s">
        <v>36</v>
      </c>
      <c r="AB256" t="s">
        <v>44</v>
      </c>
      <c r="AC256" t="s">
        <v>45</v>
      </c>
      <c r="AD256" t="s">
        <v>375</v>
      </c>
      <c r="AE256" t="s">
        <v>46</v>
      </c>
      <c r="AF256" t="s">
        <v>46</v>
      </c>
      <c r="AG256" t="s">
        <v>36</v>
      </c>
      <c r="AH256" t="s">
        <v>40</v>
      </c>
      <c r="AI256" t="s">
        <v>40</v>
      </c>
      <c r="AJ256" t="s">
        <v>40</v>
      </c>
    </row>
    <row r="257" spans="1:36" x14ac:dyDescent="0.25">
      <c r="A257" t="s">
        <v>34</v>
      </c>
      <c r="B257" t="s">
        <v>376</v>
      </c>
      <c r="C257" t="s">
        <v>36</v>
      </c>
      <c r="D257" t="s">
        <v>77</v>
      </c>
      <c r="E257" t="s">
        <v>78</v>
      </c>
      <c r="F257" t="s">
        <v>71</v>
      </c>
      <c r="G257" s="1"/>
      <c r="H257" t="s">
        <v>40</v>
      </c>
      <c r="I257" s="1"/>
      <c r="J257" t="s">
        <v>40</v>
      </c>
      <c r="K257" s="2">
        <v>0</v>
      </c>
      <c r="L257" t="s">
        <v>40</v>
      </c>
      <c r="M257" s="2">
        <f>Table1[[#This Row],[Quantity]]*Table1[[#This Row],[Proposed Unit Price]]</f>
        <v>0</v>
      </c>
      <c r="N257" t="s">
        <v>40</v>
      </c>
      <c r="O257" s="1">
        <v>0</v>
      </c>
      <c r="P257" t="s">
        <v>40</v>
      </c>
      <c r="Q257" s="6">
        <v>47362</v>
      </c>
      <c r="R257" s="6">
        <v>47726</v>
      </c>
      <c r="S257" t="s">
        <v>188</v>
      </c>
      <c r="T257" t="s">
        <v>76</v>
      </c>
      <c r="U257" t="s">
        <v>53</v>
      </c>
      <c r="V257" t="s">
        <v>42</v>
      </c>
      <c r="W257" t="s">
        <v>43</v>
      </c>
      <c r="X257" t="s">
        <v>36</v>
      </c>
      <c r="Y257" t="s">
        <v>36</v>
      </c>
      <c r="Z257" t="s">
        <v>36</v>
      </c>
      <c r="AA257" t="s">
        <v>36</v>
      </c>
      <c r="AB257" t="s">
        <v>44</v>
      </c>
      <c r="AC257" t="s">
        <v>45</v>
      </c>
      <c r="AD257" t="s">
        <v>376</v>
      </c>
      <c r="AE257" t="s">
        <v>46</v>
      </c>
      <c r="AF257" t="s">
        <v>46</v>
      </c>
      <c r="AG257" t="s">
        <v>36</v>
      </c>
      <c r="AH257" t="s">
        <v>40</v>
      </c>
      <c r="AI257" t="s">
        <v>40</v>
      </c>
      <c r="AJ257" t="s">
        <v>40</v>
      </c>
    </row>
    <row r="258" spans="1:36" x14ac:dyDescent="0.25">
      <c r="A258" t="s">
        <v>34</v>
      </c>
      <c r="B258" t="s">
        <v>377</v>
      </c>
      <c r="C258" t="s">
        <v>36</v>
      </c>
      <c r="D258" t="s">
        <v>80</v>
      </c>
      <c r="E258" t="s">
        <v>47</v>
      </c>
      <c r="F258" t="s">
        <v>39</v>
      </c>
      <c r="G258" s="1"/>
      <c r="H258" t="s">
        <v>40</v>
      </c>
      <c r="I258" s="1"/>
      <c r="J258" t="s">
        <v>40</v>
      </c>
      <c r="K258" s="2">
        <v>0</v>
      </c>
      <c r="L258" t="s">
        <v>40</v>
      </c>
      <c r="M258" s="2">
        <f>Table1[[#This Row],[Quantity]]*Table1[[#This Row],[Proposed Unit Price]]</f>
        <v>0</v>
      </c>
      <c r="N258" t="s">
        <v>40</v>
      </c>
      <c r="O258" s="1">
        <v>0</v>
      </c>
      <c r="P258" t="s">
        <v>40</v>
      </c>
      <c r="Q258" s="6">
        <v>47362</v>
      </c>
      <c r="R258" s="6">
        <v>47726</v>
      </c>
      <c r="S258" t="s">
        <v>188</v>
      </c>
      <c r="T258" t="s">
        <v>79</v>
      </c>
      <c r="U258" t="s">
        <v>53</v>
      </c>
      <c r="V258" t="s">
        <v>42</v>
      </c>
      <c r="W258" t="s">
        <v>43</v>
      </c>
      <c r="X258" t="s">
        <v>36</v>
      </c>
      <c r="Y258" t="s">
        <v>36</v>
      </c>
      <c r="Z258" t="s">
        <v>36</v>
      </c>
      <c r="AA258" t="s">
        <v>36</v>
      </c>
      <c r="AB258" t="s">
        <v>44</v>
      </c>
      <c r="AC258" t="s">
        <v>45</v>
      </c>
      <c r="AD258" t="s">
        <v>377</v>
      </c>
      <c r="AE258" t="s">
        <v>46</v>
      </c>
      <c r="AF258" t="s">
        <v>46</v>
      </c>
      <c r="AG258" t="s">
        <v>36</v>
      </c>
      <c r="AH258" t="s">
        <v>40</v>
      </c>
      <c r="AI258" t="s">
        <v>40</v>
      </c>
      <c r="AJ258" t="s">
        <v>40</v>
      </c>
    </row>
    <row r="259" spans="1:36" x14ac:dyDescent="0.25">
      <c r="A259" t="s">
        <v>34</v>
      </c>
      <c r="B259" t="s">
        <v>378</v>
      </c>
      <c r="C259" t="s">
        <v>36</v>
      </c>
      <c r="D259" t="s">
        <v>82</v>
      </c>
      <c r="E259" t="s">
        <v>35</v>
      </c>
      <c r="F259" t="s">
        <v>39</v>
      </c>
      <c r="G259" s="1"/>
      <c r="H259" t="s">
        <v>40</v>
      </c>
      <c r="I259" s="1"/>
      <c r="J259" t="s">
        <v>40</v>
      </c>
      <c r="K259" s="2">
        <v>0</v>
      </c>
      <c r="L259" t="s">
        <v>40</v>
      </c>
      <c r="M259" s="2">
        <f>Table1[[#This Row],[Quantity]]*Table1[[#This Row],[Proposed Unit Price]]</f>
        <v>0</v>
      </c>
      <c r="N259" t="s">
        <v>40</v>
      </c>
      <c r="O259" s="1">
        <v>0</v>
      </c>
      <c r="P259" t="s">
        <v>40</v>
      </c>
      <c r="Q259" s="6">
        <v>47362</v>
      </c>
      <c r="R259" s="6">
        <v>47726</v>
      </c>
      <c r="S259" t="s">
        <v>188</v>
      </c>
      <c r="T259" t="s">
        <v>81</v>
      </c>
      <c r="U259" t="s">
        <v>53</v>
      </c>
      <c r="V259" t="s">
        <v>83</v>
      </c>
      <c r="W259" t="s">
        <v>84</v>
      </c>
      <c r="X259" t="s">
        <v>36</v>
      </c>
      <c r="Y259" t="s">
        <v>36</v>
      </c>
      <c r="Z259" t="s">
        <v>36</v>
      </c>
      <c r="AA259" t="s">
        <v>36</v>
      </c>
      <c r="AB259" t="s">
        <v>44</v>
      </c>
      <c r="AC259" t="s">
        <v>45</v>
      </c>
      <c r="AD259" t="s">
        <v>378</v>
      </c>
      <c r="AE259" t="s">
        <v>46</v>
      </c>
      <c r="AF259" t="s">
        <v>46</v>
      </c>
      <c r="AG259" t="s">
        <v>36</v>
      </c>
      <c r="AH259" t="s">
        <v>40</v>
      </c>
      <c r="AI259" t="s">
        <v>40</v>
      </c>
      <c r="AJ259" t="s">
        <v>40</v>
      </c>
    </row>
    <row r="260" spans="1:36" x14ac:dyDescent="0.25">
      <c r="A260" t="s">
        <v>34</v>
      </c>
      <c r="B260" t="s">
        <v>379</v>
      </c>
      <c r="C260" t="s">
        <v>36</v>
      </c>
      <c r="D260" t="s">
        <v>86</v>
      </c>
      <c r="E260" t="s">
        <v>67</v>
      </c>
      <c r="F260" t="s">
        <v>87</v>
      </c>
      <c r="G260" s="1"/>
      <c r="H260" t="s">
        <v>40</v>
      </c>
      <c r="I260" s="1"/>
      <c r="J260" t="s">
        <v>40</v>
      </c>
      <c r="K260" s="2">
        <v>0</v>
      </c>
      <c r="L260" t="s">
        <v>40</v>
      </c>
      <c r="M260" s="2">
        <f>Table1[[#This Row],[Quantity]]*Table1[[#This Row],[Proposed Unit Price]]</f>
        <v>0</v>
      </c>
      <c r="N260" t="s">
        <v>40</v>
      </c>
      <c r="O260" s="1">
        <v>0</v>
      </c>
      <c r="P260" t="s">
        <v>40</v>
      </c>
      <c r="Q260" s="6">
        <v>47362</v>
      </c>
      <c r="R260" s="6">
        <v>47726</v>
      </c>
      <c r="S260" t="s">
        <v>188</v>
      </c>
      <c r="T260" t="s">
        <v>85</v>
      </c>
      <c r="U260" t="s">
        <v>53</v>
      </c>
      <c r="V260" t="s">
        <v>42</v>
      </c>
      <c r="W260" t="s">
        <v>43</v>
      </c>
      <c r="X260" t="s">
        <v>36</v>
      </c>
      <c r="Y260" t="s">
        <v>36</v>
      </c>
      <c r="Z260" t="s">
        <v>36</v>
      </c>
      <c r="AA260" t="s">
        <v>36</v>
      </c>
      <c r="AB260" t="s">
        <v>44</v>
      </c>
      <c r="AC260" t="s">
        <v>45</v>
      </c>
      <c r="AD260" t="s">
        <v>379</v>
      </c>
      <c r="AE260" t="s">
        <v>46</v>
      </c>
      <c r="AF260" t="s">
        <v>46</v>
      </c>
      <c r="AG260" t="s">
        <v>36</v>
      </c>
      <c r="AH260" t="s">
        <v>40</v>
      </c>
      <c r="AI260" t="s">
        <v>40</v>
      </c>
      <c r="AJ260" t="s">
        <v>40</v>
      </c>
    </row>
    <row r="261" spans="1:36" x14ac:dyDescent="0.25">
      <c r="A261" t="s">
        <v>34</v>
      </c>
      <c r="B261" t="s">
        <v>380</v>
      </c>
      <c r="C261" t="s">
        <v>36</v>
      </c>
      <c r="D261" t="s">
        <v>89</v>
      </c>
      <c r="E261" t="s">
        <v>53</v>
      </c>
      <c r="F261" t="s">
        <v>39</v>
      </c>
      <c r="G261" s="1"/>
      <c r="H261" t="s">
        <v>40</v>
      </c>
      <c r="I261" s="1"/>
      <c r="J261" t="s">
        <v>40</v>
      </c>
      <c r="K261" s="2">
        <v>0</v>
      </c>
      <c r="L261" t="s">
        <v>40</v>
      </c>
      <c r="M261" s="2">
        <f>Table1[[#This Row],[Quantity]]*Table1[[#This Row],[Proposed Unit Price]]</f>
        <v>0</v>
      </c>
      <c r="N261" t="s">
        <v>40</v>
      </c>
      <c r="O261" s="1">
        <v>0</v>
      </c>
      <c r="P261" t="s">
        <v>40</v>
      </c>
      <c r="Q261" s="6">
        <v>47362</v>
      </c>
      <c r="R261" s="6">
        <v>47726</v>
      </c>
      <c r="S261" t="s">
        <v>188</v>
      </c>
      <c r="T261" t="s">
        <v>88</v>
      </c>
      <c r="U261" t="s">
        <v>53</v>
      </c>
      <c r="V261" t="s">
        <v>42</v>
      </c>
      <c r="W261" t="s">
        <v>43</v>
      </c>
      <c r="X261" t="s">
        <v>36</v>
      </c>
      <c r="Y261" t="s">
        <v>36</v>
      </c>
      <c r="Z261" t="s">
        <v>36</v>
      </c>
      <c r="AA261" t="s">
        <v>36</v>
      </c>
      <c r="AB261" t="s">
        <v>44</v>
      </c>
      <c r="AC261" t="s">
        <v>45</v>
      </c>
      <c r="AD261" t="s">
        <v>380</v>
      </c>
      <c r="AE261" t="s">
        <v>46</v>
      </c>
      <c r="AF261" t="s">
        <v>46</v>
      </c>
      <c r="AG261" t="s">
        <v>36</v>
      </c>
      <c r="AH261" t="s">
        <v>40</v>
      </c>
      <c r="AI261" t="s">
        <v>40</v>
      </c>
      <c r="AJ261" t="s">
        <v>40</v>
      </c>
    </row>
    <row r="262" spans="1:36" x14ac:dyDescent="0.25">
      <c r="A262" t="s">
        <v>34</v>
      </c>
      <c r="B262" t="s">
        <v>381</v>
      </c>
      <c r="C262" t="s">
        <v>36</v>
      </c>
      <c r="D262" t="s">
        <v>91</v>
      </c>
      <c r="E262" t="s">
        <v>35</v>
      </c>
      <c r="F262" t="s">
        <v>39</v>
      </c>
      <c r="G262" s="1"/>
      <c r="H262" t="s">
        <v>40</v>
      </c>
      <c r="I262" s="1"/>
      <c r="J262" t="s">
        <v>40</v>
      </c>
      <c r="K262" s="2">
        <v>0</v>
      </c>
      <c r="L262" t="s">
        <v>40</v>
      </c>
      <c r="M262" s="2">
        <f>Table1[[#This Row],[Quantity]]*Table1[[#This Row],[Proposed Unit Price]]</f>
        <v>0</v>
      </c>
      <c r="N262" t="s">
        <v>40</v>
      </c>
      <c r="O262" s="1">
        <v>0</v>
      </c>
      <c r="P262" t="s">
        <v>40</v>
      </c>
      <c r="Q262" s="6">
        <v>47362</v>
      </c>
      <c r="R262" s="6">
        <v>47726</v>
      </c>
      <c r="S262" t="s">
        <v>188</v>
      </c>
      <c r="T262" t="s">
        <v>90</v>
      </c>
      <c r="U262" t="s">
        <v>53</v>
      </c>
      <c r="V262" t="s">
        <v>83</v>
      </c>
      <c r="W262" t="s">
        <v>84</v>
      </c>
      <c r="X262" t="s">
        <v>36</v>
      </c>
      <c r="Y262" t="s">
        <v>36</v>
      </c>
      <c r="Z262" t="s">
        <v>36</v>
      </c>
      <c r="AA262" t="s">
        <v>36</v>
      </c>
      <c r="AB262" t="s">
        <v>44</v>
      </c>
      <c r="AC262" t="s">
        <v>45</v>
      </c>
      <c r="AD262" t="s">
        <v>381</v>
      </c>
      <c r="AE262" t="s">
        <v>46</v>
      </c>
      <c r="AF262" t="s">
        <v>46</v>
      </c>
      <c r="AG262" t="s">
        <v>36</v>
      </c>
      <c r="AH262" t="s">
        <v>40</v>
      </c>
      <c r="AI262" t="s">
        <v>40</v>
      </c>
      <c r="AJ262" t="s">
        <v>40</v>
      </c>
    </row>
    <row r="263" spans="1:36" x14ac:dyDescent="0.25">
      <c r="A263" t="s">
        <v>34</v>
      </c>
      <c r="B263" t="s">
        <v>382</v>
      </c>
      <c r="C263" t="s">
        <v>36</v>
      </c>
      <c r="D263" t="s">
        <v>93</v>
      </c>
      <c r="E263" t="s">
        <v>35</v>
      </c>
      <c r="F263" t="s">
        <v>39</v>
      </c>
      <c r="G263" s="1"/>
      <c r="H263" t="s">
        <v>40</v>
      </c>
      <c r="I263" s="1"/>
      <c r="J263" t="s">
        <v>40</v>
      </c>
      <c r="K263" s="2">
        <v>0</v>
      </c>
      <c r="L263" t="s">
        <v>40</v>
      </c>
      <c r="M263" s="2">
        <f>Table1[[#This Row],[Quantity]]*Table1[[#This Row],[Proposed Unit Price]]</f>
        <v>0</v>
      </c>
      <c r="N263" t="s">
        <v>40</v>
      </c>
      <c r="O263" s="1">
        <v>0</v>
      </c>
      <c r="P263" t="s">
        <v>40</v>
      </c>
      <c r="Q263" s="6">
        <v>47362</v>
      </c>
      <c r="R263" s="6">
        <v>47726</v>
      </c>
      <c r="S263" t="s">
        <v>188</v>
      </c>
      <c r="T263" t="s">
        <v>92</v>
      </c>
      <c r="U263" t="s">
        <v>53</v>
      </c>
      <c r="V263" t="s">
        <v>83</v>
      </c>
      <c r="W263" t="s">
        <v>84</v>
      </c>
      <c r="X263" t="s">
        <v>36</v>
      </c>
      <c r="Y263" t="s">
        <v>36</v>
      </c>
      <c r="Z263" t="s">
        <v>36</v>
      </c>
      <c r="AA263" t="s">
        <v>36</v>
      </c>
      <c r="AB263" t="s">
        <v>44</v>
      </c>
      <c r="AC263" t="s">
        <v>45</v>
      </c>
      <c r="AD263" t="s">
        <v>382</v>
      </c>
      <c r="AE263" t="s">
        <v>46</v>
      </c>
      <c r="AF263" t="s">
        <v>46</v>
      </c>
      <c r="AG263" t="s">
        <v>36</v>
      </c>
      <c r="AH263" t="s">
        <v>40</v>
      </c>
      <c r="AI263" t="s">
        <v>40</v>
      </c>
      <c r="AJ263" t="s">
        <v>40</v>
      </c>
    </row>
    <row r="264" spans="1:36" x14ac:dyDescent="0.25">
      <c r="A264" t="s">
        <v>34</v>
      </c>
      <c r="B264" t="s">
        <v>383</v>
      </c>
      <c r="C264" t="s">
        <v>36</v>
      </c>
      <c r="D264" t="s">
        <v>95</v>
      </c>
      <c r="E264" t="s">
        <v>60</v>
      </c>
      <c r="F264" t="s">
        <v>96</v>
      </c>
      <c r="G264" s="1"/>
      <c r="H264" t="s">
        <v>40</v>
      </c>
      <c r="I264" s="1"/>
      <c r="J264" t="s">
        <v>40</v>
      </c>
      <c r="K264" s="2">
        <v>0</v>
      </c>
      <c r="L264" t="s">
        <v>40</v>
      </c>
      <c r="M264" s="2">
        <f>Table1[[#This Row],[Quantity]]*Table1[[#This Row],[Proposed Unit Price]]</f>
        <v>0</v>
      </c>
      <c r="N264" t="s">
        <v>40</v>
      </c>
      <c r="O264" s="1">
        <v>0</v>
      </c>
      <c r="P264" t="s">
        <v>40</v>
      </c>
      <c r="Q264" s="6">
        <v>47362</v>
      </c>
      <c r="R264" s="6">
        <v>47726</v>
      </c>
      <c r="S264" t="s">
        <v>188</v>
      </c>
      <c r="T264" t="s">
        <v>94</v>
      </c>
      <c r="U264" t="s">
        <v>53</v>
      </c>
      <c r="V264" t="s">
        <v>42</v>
      </c>
      <c r="W264" t="s">
        <v>43</v>
      </c>
      <c r="X264" t="s">
        <v>36</v>
      </c>
      <c r="Y264" t="s">
        <v>36</v>
      </c>
      <c r="Z264" t="s">
        <v>36</v>
      </c>
      <c r="AA264" t="s">
        <v>36</v>
      </c>
      <c r="AB264" t="s">
        <v>44</v>
      </c>
      <c r="AC264" t="s">
        <v>45</v>
      </c>
      <c r="AD264" t="s">
        <v>383</v>
      </c>
      <c r="AE264" t="s">
        <v>46</v>
      </c>
      <c r="AF264" t="s">
        <v>46</v>
      </c>
      <c r="AG264" t="s">
        <v>36</v>
      </c>
      <c r="AH264" t="s">
        <v>40</v>
      </c>
      <c r="AI264" t="s">
        <v>40</v>
      </c>
      <c r="AJ264" t="s">
        <v>40</v>
      </c>
    </row>
    <row r="265" spans="1:36" x14ac:dyDescent="0.25">
      <c r="A265" t="s">
        <v>34</v>
      </c>
      <c r="B265" t="s">
        <v>384</v>
      </c>
      <c r="C265" t="s">
        <v>36</v>
      </c>
      <c r="D265" t="s">
        <v>98</v>
      </c>
      <c r="E265" t="s">
        <v>99</v>
      </c>
      <c r="F265" t="s">
        <v>39</v>
      </c>
      <c r="G265" s="1"/>
      <c r="H265" t="s">
        <v>40</v>
      </c>
      <c r="I265" s="1"/>
      <c r="J265" t="s">
        <v>40</v>
      </c>
      <c r="K265" s="2">
        <v>0</v>
      </c>
      <c r="L265" t="s">
        <v>40</v>
      </c>
      <c r="M265" s="2">
        <f>Table1[[#This Row],[Quantity]]*Table1[[#This Row],[Proposed Unit Price]]</f>
        <v>0</v>
      </c>
      <c r="N265" t="s">
        <v>40</v>
      </c>
      <c r="O265" s="1">
        <v>0</v>
      </c>
      <c r="P265" t="s">
        <v>40</v>
      </c>
      <c r="Q265" s="6">
        <v>47362</v>
      </c>
      <c r="R265" s="6">
        <v>47726</v>
      </c>
      <c r="S265" t="s">
        <v>188</v>
      </c>
      <c r="T265" t="s">
        <v>97</v>
      </c>
      <c r="U265" t="s">
        <v>53</v>
      </c>
      <c r="V265" t="s">
        <v>42</v>
      </c>
      <c r="W265" t="s">
        <v>43</v>
      </c>
      <c r="X265" t="s">
        <v>36</v>
      </c>
      <c r="Y265" t="s">
        <v>36</v>
      </c>
      <c r="Z265" t="s">
        <v>36</v>
      </c>
      <c r="AA265" t="s">
        <v>36</v>
      </c>
      <c r="AB265" t="s">
        <v>44</v>
      </c>
      <c r="AC265" t="s">
        <v>45</v>
      </c>
      <c r="AD265" t="s">
        <v>384</v>
      </c>
      <c r="AE265" t="s">
        <v>46</v>
      </c>
      <c r="AF265" t="s">
        <v>46</v>
      </c>
      <c r="AG265" t="s">
        <v>36</v>
      </c>
      <c r="AH265" t="s">
        <v>40</v>
      </c>
      <c r="AI265" t="s">
        <v>40</v>
      </c>
      <c r="AJ265" t="s">
        <v>40</v>
      </c>
    </row>
    <row r="266" spans="1:36" x14ac:dyDescent="0.25">
      <c r="A266" t="s">
        <v>34</v>
      </c>
      <c r="B266" t="s">
        <v>385</v>
      </c>
      <c r="C266" t="s">
        <v>36</v>
      </c>
      <c r="D266" t="s">
        <v>101</v>
      </c>
      <c r="E266" t="s">
        <v>63</v>
      </c>
      <c r="F266" t="s">
        <v>39</v>
      </c>
      <c r="G266" s="1"/>
      <c r="H266" t="s">
        <v>40</v>
      </c>
      <c r="I266" s="1"/>
      <c r="J266" t="s">
        <v>40</v>
      </c>
      <c r="K266" s="2">
        <v>0</v>
      </c>
      <c r="L266" t="s">
        <v>40</v>
      </c>
      <c r="M266" s="2">
        <f>Table1[[#This Row],[Quantity]]*Table1[[#This Row],[Proposed Unit Price]]</f>
        <v>0</v>
      </c>
      <c r="N266" t="s">
        <v>40</v>
      </c>
      <c r="O266" s="1">
        <v>0</v>
      </c>
      <c r="P266" t="s">
        <v>40</v>
      </c>
      <c r="Q266" s="6">
        <v>47362</v>
      </c>
      <c r="R266" s="6">
        <v>47726</v>
      </c>
      <c r="S266" t="s">
        <v>188</v>
      </c>
      <c r="T266" t="s">
        <v>100</v>
      </c>
      <c r="U266" t="s">
        <v>53</v>
      </c>
      <c r="V266" t="s">
        <v>42</v>
      </c>
      <c r="W266" t="s">
        <v>43</v>
      </c>
      <c r="X266" t="s">
        <v>36</v>
      </c>
      <c r="Y266" t="s">
        <v>36</v>
      </c>
      <c r="Z266" t="s">
        <v>36</v>
      </c>
      <c r="AA266" t="s">
        <v>36</v>
      </c>
      <c r="AB266" t="s">
        <v>44</v>
      </c>
      <c r="AC266" t="s">
        <v>45</v>
      </c>
      <c r="AD266" t="s">
        <v>385</v>
      </c>
      <c r="AE266" t="s">
        <v>46</v>
      </c>
      <c r="AF266" t="s">
        <v>46</v>
      </c>
      <c r="AG266" t="s">
        <v>36</v>
      </c>
      <c r="AH266" t="s">
        <v>40</v>
      </c>
      <c r="AI266" t="s">
        <v>40</v>
      </c>
      <c r="AJ266" t="s">
        <v>40</v>
      </c>
    </row>
    <row r="267" spans="1:36" x14ac:dyDescent="0.25">
      <c r="A267" t="s">
        <v>34</v>
      </c>
      <c r="B267" t="s">
        <v>386</v>
      </c>
      <c r="C267" t="s">
        <v>36</v>
      </c>
      <c r="D267" t="s">
        <v>103</v>
      </c>
      <c r="E267" t="s">
        <v>58</v>
      </c>
      <c r="F267" t="s">
        <v>87</v>
      </c>
      <c r="G267" s="1"/>
      <c r="H267" t="s">
        <v>40</v>
      </c>
      <c r="I267" s="1"/>
      <c r="J267" t="s">
        <v>40</v>
      </c>
      <c r="K267" s="2">
        <v>0</v>
      </c>
      <c r="L267" t="s">
        <v>40</v>
      </c>
      <c r="M267" s="2">
        <f>Table1[[#This Row],[Quantity]]*Table1[[#This Row],[Proposed Unit Price]]</f>
        <v>0</v>
      </c>
      <c r="N267" t="s">
        <v>40</v>
      </c>
      <c r="O267" s="1">
        <v>0</v>
      </c>
      <c r="P267" t="s">
        <v>40</v>
      </c>
      <c r="Q267" s="6">
        <v>47362</v>
      </c>
      <c r="R267" s="6">
        <v>47726</v>
      </c>
      <c r="S267" t="s">
        <v>188</v>
      </c>
      <c r="T267" t="s">
        <v>102</v>
      </c>
      <c r="U267" t="s">
        <v>53</v>
      </c>
      <c r="V267" t="s">
        <v>42</v>
      </c>
      <c r="W267" t="s">
        <v>43</v>
      </c>
      <c r="X267" t="s">
        <v>36</v>
      </c>
      <c r="Y267" t="s">
        <v>36</v>
      </c>
      <c r="Z267" t="s">
        <v>36</v>
      </c>
      <c r="AA267" t="s">
        <v>36</v>
      </c>
      <c r="AB267" t="s">
        <v>44</v>
      </c>
      <c r="AC267" t="s">
        <v>45</v>
      </c>
      <c r="AD267" t="s">
        <v>386</v>
      </c>
      <c r="AE267" t="s">
        <v>46</v>
      </c>
      <c r="AF267" t="s">
        <v>46</v>
      </c>
      <c r="AG267" t="s">
        <v>36</v>
      </c>
      <c r="AH267" t="s">
        <v>40</v>
      </c>
      <c r="AI267" t="s">
        <v>40</v>
      </c>
      <c r="AJ267" t="s">
        <v>40</v>
      </c>
    </row>
    <row r="268" spans="1:36" x14ac:dyDescent="0.25">
      <c r="A268" t="s">
        <v>34</v>
      </c>
      <c r="B268" t="s">
        <v>387</v>
      </c>
      <c r="C268" t="s">
        <v>36</v>
      </c>
      <c r="D268" t="s">
        <v>211</v>
      </c>
      <c r="E268" t="s">
        <v>47</v>
      </c>
      <c r="F268" t="s">
        <v>39</v>
      </c>
      <c r="G268" s="1"/>
      <c r="H268" t="s">
        <v>40</v>
      </c>
      <c r="I268" s="1"/>
      <c r="J268" t="s">
        <v>40</v>
      </c>
      <c r="K268" s="2">
        <v>0</v>
      </c>
      <c r="L268" t="s">
        <v>40</v>
      </c>
      <c r="M268" s="2">
        <f>Table1[[#This Row],[Quantity]]*Table1[[#This Row],[Proposed Unit Price]]</f>
        <v>0</v>
      </c>
      <c r="N268" t="s">
        <v>40</v>
      </c>
      <c r="O268" s="1">
        <v>0</v>
      </c>
      <c r="P268" t="s">
        <v>40</v>
      </c>
      <c r="Q268" s="6">
        <v>47362</v>
      </c>
      <c r="R268" s="6">
        <v>47726</v>
      </c>
      <c r="S268" t="s">
        <v>188</v>
      </c>
      <c r="T268" t="s">
        <v>104</v>
      </c>
      <c r="U268" t="s">
        <v>53</v>
      </c>
      <c r="V268" t="s">
        <v>42</v>
      </c>
      <c r="W268" t="s">
        <v>43</v>
      </c>
      <c r="X268" t="s">
        <v>36</v>
      </c>
      <c r="Y268" t="s">
        <v>36</v>
      </c>
      <c r="Z268" t="s">
        <v>36</v>
      </c>
      <c r="AA268" t="s">
        <v>36</v>
      </c>
      <c r="AB268" t="s">
        <v>44</v>
      </c>
      <c r="AC268" t="s">
        <v>45</v>
      </c>
      <c r="AD268" t="s">
        <v>387</v>
      </c>
      <c r="AE268" t="s">
        <v>46</v>
      </c>
      <c r="AF268" t="s">
        <v>46</v>
      </c>
      <c r="AG268" t="s">
        <v>36</v>
      </c>
      <c r="AH268" t="s">
        <v>40</v>
      </c>
      <c r="AI268" t="s">
        <v>40</v>
      </c>
      <c r="AJ268" t="s">
        <v>40</v>
      </c>
    </row>
    <row r="269" spans="1:36" x14ac:dyDescent="0.25">
      <c r="A269" t="s">
        <v>34</v>
      </c>
      <c r="B269" t="s">
        <v>388</v>
      </c>
      <c r="C269" t="s">
        <v>36</v>
      </c>
      <c r="D269" t="s">
        <v>107</v>
      </c>
      <c r="E269" t="s">
        <v>106</v>
      </c>
      <c r="F269" t="s">
        <v>87</v>
      </c>
      <c r="G269" s="1"/>
      <c r="H269" t="s">
        <v>40</v>
      </c>
      <c r="I269" s="1"/>
      <c r="J269" t="s">
        <v>40</v>
      </c>
      <c r="K269" s="2">
        <v>0</v>
      </c>
      <c r="L269" t="s">
        <v>40</v>
      </c>
      <c r="M269" s="2">
        <f>Table1[[#This Row],[Quantity]]*Table1[[#This Row],[Proposed Unit Price]]</f>
        <v>0</v>
      </c>
      <c r="N269" t="s">
        <v>40</v>
      </c>
      <c r="O269" s="1">
        <v>0</v>
      </c>
      <c r="P269" t="s">
        <v>40</v>
      </c>
      <c r="Q269" s="6">
        <v>47362</v>
      </c>
      <c r="R269" s="6">
        <v>47726</v>
      </c>
      <c r="S269" t="s">
        <v>188</v>
      </c>
      <c r="T269" t="s">
        <v>106</v>
      </c>
      <c r="U269" t="s">
        <v>53</v>
      </c>
      <c r="V269" t="s">
        <v>42</v>
      </c>
      <c r="W269" t="s">
        <v>43</v>
      </c>
      <c r="X269" t="s">
        <v>36</v>
      </c>
      <c r="Y269" t="s">
        <v>36</v>
      </c>
      <c r="Z269" t="s">
        <v>36</v>
      </c>
      <c r="AA269" t="s">
        <v>36</v>
      </c>
      <c r="AB269" t="s">
        <v>44</v>
      </c>
      <c r="AC269" t="s">
        <v>45</v>
      </c>
      <c r="AD269" t="s">
        <v>388</v>
      </c>
      <c r="AE269" t="s">
        <v>46</v>
      </c>
      <c r="AF269" t="s">
        <v>46</v>
      </c>
      <c r="AG269" t="s">
        <v>36</v>
      </c>
      <c r="AH269" t="s">
        <v>40</v>
      </c>
      <c r="AI269" t="s">
        <v>40</v>
      </c>
      <c r="AJ269" t="s">
        <v>40</v>
      </c>
    </row>
    <row r="270" spans="1:36" x14ac:dyDescent="0.25">
      <c r="A270" t="s">
        <v>34</v>
      </c>
      <c r="B270" t="s">
        <v>389</v>
      </c>
      <c r="C270" t="s">
        <v>36</v>
      </c>
      <c r="D270" t="s">
        <v>109</v>
      </c>
      <c r="E270" t="s">
        <v>110</v>
      </c>
      <c r="F270" t="s">
        <v>64</v>
      </c>
      <c r="G270" s="1"/>
      <c r="H270" t="s">
        <v>40</v>
      </c>
      <c r="I270" s="1"/>
      <c r="J270" t="s">
        <v>40</v>
      </c>
      <c r="K270" s="2">
        <v>0</v>
      </c>
      <c r="L270" t="s">
        <v>40</v>
      </c>
      <c r="M270" s="2">
        <f>Table1[[#This Row],[Quantity]]*Table1[[#This Row],[Proposed Unit Price]]</f>
        <v>0</v>
      </c>
      <c r="N270" t="s">
        <v>40</v>
      </c>
      <c r="O270" s="1">
        <v>0</v>
      </c>
      <c r="P270" t="s">
        <v>40</v>
      </c>
      <c r="Q270" s="6">
        <v>47362</v>
      </c>
      <c r="R270" s="6">
        <v>47726</v>
      </c>
      <c r="S270" t="s">
        <v>188</v>
      </c>
      <c r="T270" t="s">
        <v>108</v>
      </c>
      <c r="U270" t="s">
        <v>53</v>
      </c>
      <c r="V270" t="s">
        <v>42</v>
      </c>
      <c r="W270" t="s">
        <v>43</v>
      </c>
      <c r="X270" t="s">
        <v>36</v>
      </c>
      <c r="Y270" t="s">
        <v>36</v>
      </c>
      <c r="Z270" t="s">
        <v>36</v>
      </c>
      <c r="AA270" t="s">
        <v>36</v>
      </c>
      <c r="AB270" t="s">
        <v>44</v>
      </c>
      <c r="AC270" t="s">
        <v>45</v>
      </c>
      <c r="AD270" t="s">
        <v>389</v>
      </c>
      <c r="AE270" t="s">
        <v>46</v>
      </c>
      <c r="AF270" t="s">
        <v>46</v>
      </c>
      <c r="AG270" t="s">
        <v>36</v>
      </c>
      <c r="AH270" t="s">
        <v>40</v>
      </c>
      <c r="AI270" t="s">
        <v>40</v>
      </c>
      <c r="AJ270" t="s">
        <v>40</v>
      </c>
    </row>
    <row r="271" spans="1:36" x14ac:dyDescent="0.25">
      <c r="A271" t="s">
        <v>34</v>
      </c>
      <c r="B271" t="s">
        <v>390</v>
      </c>
      <c r="C271" t="s">
        <v>36</v>
      </c>
      <c r="D271" t="s">
        <v>112</v>
      </c>
      <c r="E271" t="s">
        <v>113</v>
      </c>
      <c r="F271" t="s">
        <v>39</v>
      </c>
      <c r="G271" s="1"/>
      <c r="H271" t="s">
        <v>40</v>
      </c>
      <c r="I271" s="1"/>
      <c r="J271" t="s">
        <v>40</v>
      </c>
      <c r="K271" s="2">
        <v>0</v>
      </c>
      <c r="L271" t="s">
        <v>40</v>
      </c>
      <c r="M271" s="2">
        <f>Table1[[#This Row],[Quantity]]*Table1[[#This Row],[Proposed Unit Price]]</f>
        <v>0</v>
      </c>
      <c r="N271" t="s">
        <v>40</v>
      </c>
      <c r="O271" s="1">
        <v>0</v>
      </c>
      <c r="P271" t="s">
        <v>40</v>
      </c>
      <c r="Q271" s="6">
        <v>47362</v>
      </c>
      <c r="R271" s="6">
        <v>47726</v>
      </c>
      <c r="S271" t="s">
        <v>188</v>
      </c>
      <c r="T271" t="s">
        <v>111</v>
      </c>
      <c r="U271" t="s">
        <v>53</v>
      </c>
      <c r="V271" t="s">
        <v>42</v>
      </c>
      <c r="W271" t="s">
        <v>43</v>
      </c>
      <c r="X271" t="s">
        <v>36</v>
      </c>
      <c r="Y271" t="s">
        <v>36</v>
      </c>
      <c r="Z271" t="s">
        <v>36</v>
      </c>
      <c r="AA271" t="s">
        <v>36</v>
      </c>
      <c r="AB271" t="s">
        <v>44</v>
      </c>
      <c r="AC271" t="s">
        <v>45</v>
      </c>
      <c r="AD271" t="s">
        <v>390</v>
      </c>
      <c r="AE271" t="s">
        <v>46</v>
      </c>
      <c r="AF271" t="s">
        <v>46</v>
      </c>
      <c r="AG271" t="s">
        <v>36</v>
      </c>
      <c r="AH271" t="s">
        <v>40</v>
      </c>
      <c r="AI271" t="s">
        <v>40</v>
      </c>
      <c r="AJ271" t="s">
        <v>40</v>
      </c>
    </row>
    <row r="272" spans="1:36" x14ac:dyDescent="0.25">
      <c r="A272" t="s">
        <v>34</v>
      </c>
      <c r="B272" t="s">
        <v>391</v>
      </c>
      <c r="C272" t="s">
        <v>36</v>
      </c>
      <c r="D272" t="s">
        <v>115</v>
      </c>
      <c r="E272" t="s">
        <v>116</v>
      </c>
      <c r="F272" t="s">
        <v>39</v>
      </c>
      <c r="G272" s="1"/>
      <c r="H272" t="s">
        <v>40</v>
      </c>
      <c r="I272" s="1"/>
      <c r="J272" t="s">
        <v>40</v>
      </c>
      <c r="K272" s="2">
        <v>0</v>
      </c>
      <c r="L272" t="s">
        <v>40</v>
      </c>
      <c r="M272" s="2">
        <f>Table1[[#This Row],[Quantity]]*Table1[[#This Row],[Proposed Unit Price]]</f>
        <v>0</v>
      </c>
      <c r="N272" t="s">
        <v>40</v>
      </c>
      <c r="O272" s="1">
        <v>0</v>
      </c>
      <c r="P272" t="s">
        <v>40</v>
      </c>
      <c r="Q272" s="6">
        <v>47362</v>
      </c>
      <c r="R272" s="6">
        <v>47726</v>
      </c>
      <c r="S272" t="s">
        <v>188</v>
      </c>
      <c r="T272" t="s">
        <v>114</v>
      </c>
      <c r="U272" t="s">
        <v>53</v>
      </c>
      <c r="V272" t="s">
        <v>42</v>
      </c>
      <c r="W272" t="s">
        <v>43</v>
      </c>
      <c r="X272" t="s">
        <v>36</v>
      </c>
      <c r="Y272" t="s">
        <v>36</v>
      </c>
      <c r="Z272" t="s">
        <v>36</v>
      </c>
      <c r="AA272" t="s">
        <v>36</v>
      </c>
      <c r="AB272" t="s">
        <v>44</v>
      </c>
      <c r="AC272" t="s">
        <v>45</v>
      </c>
      <c r="AD272" t="s">
        <v>391</v>
      </c>
      <c r="AE272" t="s">
        <v>46</v>
      </c>
      <c r="AF272" t="s">
        <v>46</v>
      </c>
      <c r="AG272" t="s">
        <v>36</v>
      </c>
      <c r="AH272" t="s">
        <v>40</v>
      </c>
      <c r="AI272" t="s">
        <v>40</v>
      </c>
      <c r="AJ272" t="s">
        <v>40</v>
      </c>
    </row>
    <row r="273" spans="1:36" x14ac:dyDescent="0.25">
      <c r="A273" t="s">
        <v>34</v>
      </c>
      <c r="B273" t="s">
        <v>392</v>
      </c>
      <c r="C273" t="s">
        <v>36</v>
      </c>
      <c r="D273" t="s">
        <v>118</v>
      </c>
      <c r="E273" t="s">
        <v>119</v>
      </c>
      <c r="F273" t="s">
        <v>39</v>
      </c>
      <c r="G273" s="1"/>
      <c r="H273" t="s">
        <v>40</v>
      </c>
      <c r="I273" s="1"/>
      <c r="J273" t="s">
        <v>40</v>
      </c>
      <c r="K273" s="2">
        <v>0</v>
      </c>
      <c r="L273" t="s">
        <v>40</v>
      </c>
      <c r="M273" s="2">
        <f>Table1[[#This Row],[Quantity]]*Table1[[#This Row],[Proposed Unit Price]]</f>
        <v>0</v>
      </c>
      <c r="N273" t="s">
        <v>40</v>
      </c>
      <c r="O273" s="1">
        <v>0</v>
      </c>
      <c r="P273" t="s">
        <v>40</v>
      </c>
      <c r="Q273" s="6">
        <v>47362</v>
      </c>
      <c r="R273" s="6">
        <v>47726</v>
      </c>
      <c r="S273" t="s">
        <v>188</v>
      </c>
      <c r="T273" t="s">
        <v>117</v>
      </c>
      <c r="U273" t="s">
        <v>53</v>
      </c>
      <c r="V273" t="s">
        <v>42</v>
      </c>
      <c r="W273" t="s">
        <v>43</v>
      </c>
      <c r="X273" t="s">
        <v>36</v>
      </c>
      <c r="Y273" t="s">
        <v>36</v>
      </c>
      <c r="Z273" t="s">
        <v>36</v>
      </c>
      <c r="AA273" t="s">
        <v>36</v>
      </c>
      <c r="AB273" t="s">
        <v>44</v>
      </c>
      <c r="AC273" t="s">
        <v>45</v>
      </c>
      <c r="AD273" t="s">
        <v>392</v>
      </c>
      <c r="AE273" t="s">
        <v>46</v>
      </c>
      <c r="AF273" t="s">
        <v>46</v>
      </c>
      <c r="AG273" t="s">
        <v>36</v>
      </c>
      <c r="AH273" t="s">
        <v>40</v>
      </c>
      <c r="AI273" t="s">
        <v>40</v>
      </c>
      <c r="AJ273" t="s">
        <v>40</v>
      </c>
    </row>
    <row r="274" spans="1:36" x14ac:dyDescent="0.25">
      <c r="A274" t="s">
        <v>34</v>
      </c>
      <c r="B274" t="s">
        <v>393</v>
      </c>
      <c r="C274" t="s">
        <v>36</v>
      </c>
      <c r="D274" t="s">
        <v>121</v>
      </c>
      <c r="E274" t="s">
        <v>122</v>
      </c>
      <c r="F274" t="s">
        <v>39</v>
      </c>
      <c r="G274" s="1"/>
      <c r="H274" t="s">
        <v>40</v>
      </c>
      <c r="I274" s="1"/>
      <c r="J274" t="s">
        <v>40</v>
      </c>
      <c r="K274" s="2">
        <v>0</v>
      </c>
      <c r="L274" t="s">
        <v>40</v>
      </c>
      <c r="M274" s="2">
        <f>Table1[[#This Row],[Quantity]]*Table1[[#This Row],[Proposed Unit Price]]</f>
        <v>0</v>
      </c>
      <c r="N274" t="s">
        <v>40</v>
      </c>
      <c r="O274" s="1">
        <v>0</v>
      </c>
      <c r="P274" t="s">
        <v>40</v>
      </c>
      <c r="Q274" s="6">
        <v>47362</v>
      </c>
      <c r="R274" s="6">
        <v>47726</v>
      </c>
      <c r="S274" t="s">
        <v>188</v>
      </c>
      <c r="T274" t="s">
        <v>120</v>
      </c>
      <c r="U274" t="s">
        <v>53</v>
      </c>
      <c r="V274" t="s">
        <v>42</v>
      </c>
      <c r="W274" t="s">
        <v>43</v>
      </c>
      <c r="X274" t="s">
        <v>36</v>
      </c>
      <c r="Y274" t="s">
        <v>36</v>
      </c>
      <c r="Z274" t="s">
        <v>36</v>
      </c>
      <c r="AA274" t="s">
        <v>36</v>
      </c>
      <c r="AB274" t="s">
        <v>44</v>
      </c>
      <c r="AC274" t="s">
        <v>45</v>
      </c>
      <c r="AD274" t="s">
        <v>393</v>
      </c>
      <c r="AE274" t="s">
        <v>46</v>
      </c>
      <c r="AF274" t="s">
        <v>46</v>
      </c>
      <c r="AG274" t="s">
        <v>36</v>
      </c>
      <c r="AH274" t="s">
        <v>40</v>
      </c>
      <c r="AI274" t="s">
        <v>40</v>
      </c>
      <c r="AJ274" t="s">
        <v>40</v>
      </c>
    </row>
    <row r="275" spans="1:36" x14ac:dyDescent="0.25">
      <c r="A275" t="s">
        <v>34</v>
      </c>
      <c r="B275" t="s">
        <v>394</v>
      </c>
      <c r="C275" t="s">
        <v>36</v>
      </c>
      <c r="D275" t="s">
        <v>124</v>
      </c>
      <c r="E275" t="s">
        <v>110</v>
      </c>
      <c r="F275" t="s">
        <v>39</v>
      </c>
      <c r="G275" s="1"/>
      <c r="H275" t="s">
        <v>40</v>
      </c>
      <c r="I275" s="1"/>
      <c r="J275" t="s">
        <v>40</v>
      </c>
      <c r="K275" s="2">
        <v>0</v>
      </c>
      <c r="L275" t="s">
        <v>40</v>
      </c>
      <c r="M275" s="2">
        <f>Table1[[#This Row],[Quantity]]*Table1[[#This Row],[Proposed Unit Price]]</f>
        <v>0</v>
      </c>
      <c r="N275" t="s">
        <v>40</v>
      </c>
      <c r="O275" s="1">
        <v>0</v>
      </c>
      <c r="P275" t="s">
        <v>40</v>
      </c>
      <c r="Q275" s="6">
        <v>47362</v>
      </c>
      <c r="R275" s="6">
        <v>47726</v>
      </c>
      <c r="S275" t="s">
        <v>188</v>
      </c>
      <c r="T275" t="s">
        <v>123</v>
      </c>
      <c r="U275" t="s">
        <v>53</v>
      </c>
      <c r="V275" t="s">
        <v>42</v>
      </c>
      <c r="W275" t="s">
        <v>43</v>
      </c>
      <c r="X275" t="s">
        <v>36</v>
      </c>
      <c r="Y275" t="s">
        <v>36</v>
      </c>
      <c r="Z275" t="s">
        <v>36</v>
      </c>
      <c r="AA275" t="s">
        <v>36</v>
      </c>
      <c r="AB275" t="s">
        <v>44</v>
      </c>
      <c r="AC275" t="s">
        <v>45</v>
      </c>
      <c r="AD275" t="s">
        <v>394</v>
      </c>
      <c r="AE275" t="s">
        <v>46</v>
      </c>
      <c r="AF275" t="s">
        <v>46</v>
      </c>
      <c r="AG275" t="s">
        <v>36</v>
      </c>
      <c r="AH275" t="s">
        <v>40</v>
      </c>
      <c r="AI275" t="s">
        <v>40</v>
      </c>
      <c r="AJ275" t="s">
        <v>40</v>
      </c>
    </row>
    <row r="276" spans="1:36" x14ac:dyDescent="0.25">
      <c r="A276" t="s">
        <v>34</v>
      </c>
      <c r="B276" t="s">
        <v>395</v>
      </c>
      <c r="C276" t="s">
        <v>36</v>
      </c>
      <c r="D276" t="s">
        <v>126</v>
      </c>
      <c r="E276" t="s">
        <v>127</v>
      </c>
      <c r="F276" t="s">
        <v>39</v>
      </c>
      <c r="G276" s="1"/>
      <c r="H276" t="s">
        <v>40</v>
      </c>
      <c r="I276" s="1"/>
      <c r="J276" t="s">
        <v>40</v>
      </c>
      <c r="K276" s="2">
        <v>0</v>
      </c>
      <c r="L276" t="s">
        <v>40</v>
      </c>
      <c r="M276" s="2">
        <f>Table1[[#This Row],[Quantity]]*Table1[[#This Row],[Proposed Unit Price]]</f>
        <v>0</v>
      </c>
      <c r="N276" t="s">
        <v>40</v>
      </c>
      <c r="O276" s="1">
        <v>0</v>
      </c>
      <c r="P276" t="s">
        <v>40</v>
      </c>
      <c r="Q276" s="6">
        <v>47362</v>
      </c>
      <c r="R276" s="6">
        <v>47726</v>
      </c>
      <c r="S276" t="s">
        <v>188</v>
      </c>
      <c r="T276" t="s">
        <v>125</v>
      </c>
      <c r="U276" t="s">
        <v>53</v>
      </c>
      <c r="V276" t="s">
        <v>42</v>
      </c>
      <c r="W276" t="s">
        <v>43</v>
      </c>
      <c r="X276" t="s">
        <v>36</v>
      </c>
      <c r="Y276" t="s">
        <v>36</v>
      </c>
      <c r="Z276" t="s">
        <v>36</v>
      </c>
      <c r="AA276" t="s">
        <v>36</v>
      </c>
      <c r="AB276" t="s">
        <v>44</v>
      </c>
      <c r="AC276" t="s">
        <v>45</v>
      </c>
      <c r="AD276" t="s">
        <v>395</v>
      </c>
      <c r="AE276" t="s">
        <v>46</v>
      </c>
      <c r="AF276" t="s">
        <v>46</v>
      </c>
      <c r="AG276" t="s">
        <v>36</v>
      </c>
      <c r="AH276" t="s">
        <v>40</v>
      </c>
      <c r="AI276" t="s">
        <v>40</v>
      </c>
      <c r="AJ276" t="s">
        <v>40</v>
      </c>
    </row>
    <row r="277" spans="1:36" x14ac:dyDescent="0.25">
      <c r="A277" t="s">
        <v>34</v>
      </c>
      <c r="B277" t="s">
        <v>396</v>
      </c>
      <c r="C277" t="s">
        <v>36</v>
      </c>
      <c r="D277" t="s">
        <v>129</v>
      </c>
      <c r="E277" t="s">
        <v>130</v>
      </c>
      <c r="F277" t="s">
        <v>39</v>
      </c>
      <c r="G277" s="1"/>
      <c r="H277" t="s">
        <v>40</v>
      </c>
      <c r="I277" s="1"/>
      <c r="J277" t="s">
        <v>40</v>
      </c>
      <c r="K277" s="2">
        <v>0</v>
      </c>
      <c r="L277" t="s">
        <v>40</v>
      </c>
      <c r="M277" s="2">
        <f>Table1[[#This Row],[Quantity]]*Table1[[#This Row],[Proposed Unit Price]]</f>
        <v>0</v>
      </c>
      <c r="N277" t="s">
        <v>40</v>
      </c>
      <c r="O277" s="1">
        <v>0</v>
      </c>
      <c r="P277" t="s">
        <v>40</v>
      </c>
      <c r="Q277" s="6">
        <v>47362</v>
      </c>
      <c r="R277" s="6">
        <v>47726</v>
      </c>
      <c r="S277" t="s">
        <v>188</v>
      </c>
      <c r="T277" t="s">
        <v>128</v>
      </c>
      <c r="U277" t="s">
        <v>53</v>
      </c>
      <c r="V277" t="s">
        <v>42</v>
      </c>
      <c r="W277" t="s">
        <v>43</v>
      </c>
      <c r="X277" t="s">
        <v>36</v>
      </c>
      <c r="Y277" t="s">
        <v>36</v>
      </c>
      <c r="Z277" t="s">
        <v>36</v>
      </c>
      <c r="AA277" t="s">
        <v>36</v>
      </c>
      <c r="AB277" t="s">
        <v>44</v>
      </c>
      <c r="AC277" t="s">
        <v>45</v>
      </c>
      <c r="AD277" t="s">
        <v>396</v>
      </c>
      <c r="AE277" t="s">
        <v>46</v>
      </c>
      <c r="AF277" t="s">
        <v>46</v>
      </c>
      <c r="AG277" t="s">
        <v>36</v>
      </c>
      <c r="AH277" t="s">
        <v>40</v>
      </c>
      <c r="AI277" t="s">
        <v>40</v>
      </c>
      <c r="AJ277" t="s">
        <v>40</v>
      </c>
    </row>
    <row r="278" spans="1:36" x14ac:dyDescent="0.25">
      <c r="A278" t="s">
        <v>34</v>
      </c>
      <c r="B278" t="s">
        <v>397</v>
      </c>
      <c r="C278" t="s">
        <v>36</v>
      </c>
      <c r="D278" t="s">
        <v>132</v>
      </c>
      <c r="E278" t="s">
        <v>133</v>
      </c>
      <c r="F278" t="s">
        <v>39</v>
      </c>
      <c r="G278" s="1"/>
      <c r="H278" t="s">
        <v>40</v>
      </c>
      <c r="I278" s="1"/>
      <c r="J278" t="s">
        <v>40</v>
      </c>
      <c r="K278" s="2">
        <v>0</v>
      </c>
      <c r="L278" t="s">
        <v>40</v>
      </c>
      <c r="M278" s="2">
        <f>Table1[[#This Row],[Quantity]]*Table1[[#This Row],[Proposed Unit Price]]</f>
        <v>0</v>
      </c>
      <c r="N278" t="s">
        <v>40</v>
      </c>
      <c r="O278" s="1">
        <v>0</v>
      </c>
      <c r="P278" t="s">
        <v>40</v>
      </c>
      <c r="Q278" s="6">
        <v>47362</v>
      </c>
      <c r="R278" s="6">
        <v>47726</v>
      </c>
      <c r="S278" t="s">
        <v>188</v>
      </c>
      <c r="T278" t="s">
        <v>131</v>
      </c>
      <c r="U278" t="s">
        <v>53</v>
      </c>
      <c r="V278" t="s">
        <v>42</v>
      </c>
      <c r="W278" t="s">
        <v>43</v>
      </c>
      <c r="X278" t="s">
        <v>36</v>
      </c>
      <c r="Y278" t="s">
        <v>36</v>
      </c>
      <c r="Z278" t="s">
        <v>36</v>
      </c>
      <c r="AA278" t="s">
        <v>36</v>
      </c>
      <c r="AB278" t="s">
        <v>44</v>
      </c>
      <c r="AC278" t="s">
        <v>45</v>
      </c>
      <c r="AD278" t="s">
        <v>397</v>
      </c>
      <c r="AE278" t="s">
        <v>46</v>
      </c>
      <c r="AF278" t="s">
        <v>46</v>
      </c>
      <c r="AG278" t="s">
        <v>36</v>
      </c>
      <c r="AH278" t="s">
        <v>40</v>
      </c>
      <c r="AI278" t="s">
        <v>40</v>
      </c>
      <c r="AJ278" t="s">
        <v>40</v>
      </c>
    </row>
    <row r="279" spans="1:36" x14ac:dyDescent="0.25">
      <c r="A279" t="s">
        <v>34</v>
      </c>
      <c r="B279" t="s">
        <v>398</v>
      </c>
      <c r="C279" t="s">
        <v>36</v>
      </c>
      <c r="D279" t="s">
        <v>134</v>
      </c>
      <c r="E279" t="s">
        <v>135</v>
      </c>
      <c r="F279" t="s">
        <v>39</v>
      </c>
      <c r="G279" s="1"/>
      <c r="H279" t="s">
        <v>40</v>
      </c>
      <c r="I279" s="1"/>
      <c r="J279" t="s">
        <v>40</v>
      </c>
      <c r="K279" s="2">
        <v>0</v>
      </c>
      <c r="L279" t="s">
        <v>40</v>
      </c>
      <c r="M279" s="2">
        <f>Table1[[#This Row],[Quantity]]*Table1[[#This Row],[Proposed Unit Price]]</f>
        <v>0</v>
      </c>
      <c r="N279" t="s">
        <v>40</v>
      </c>
      <c r="O279" s="1">
        <v>0</v>
      </c>
      <c r="P279" t="s">
        <v>40</v>
      </c>
      <c r="Q279" s="6">
        <v>47362</v>
      </c>
      <c r="R279" s="6">
        <v>47726</v>
      </c>
      <c r="S279" t="s">
        <v>188</v>
      </c>
      <c r="T279" t="s">
        <v>67</v>
      </c>
      <c r="U279" t="s">
        <v>53</v>
      </c>
      <c r="V279" t="s">
        <v>42</v>
      </c>
      <c r="W279" t="s">
        <v>43</v>
      </c>
      <c r="X279" t="s">
        <v>36</v>
      </c>
      <c r="Y279" t="s">
        <v>36</v>
      </c>
      <c r="Z279" t="s">
        <v>36</v>
      </c>
      <c r="AA279" t="s">
        <v>36</v>
      </c>
      <c r="AB279" t="s">
        <v>44</v>
      </c>
      <c r="AC279" t="s">
        <v>45</v>
      </c>
      <c r="AD279" t="s">
        <v>398</v>
      </c>
      <c r="AE279" t="s">
        <v>46</v>
      </c>
      <c r="AF279" t="s">
        <v>46</v>
      </c>
      <c r="AG279" t="s">
        <v>36</v>
      </c>
      <c r="AH279" t="s">
        <v>40</v>
      </c>
      <c r="AI279" t="s">
        <v>40</v>
      </c>
      <c r="AJ279" t="s">
        <v>40</v>
      </c>
    </row>
    <row r="280" spans="1:36" x14ac:dyDescent="0.25">
      <c r="A280" t="s">
        <v>34</v>
      </c>
      <c r="B280" t="s">
        <v>399</v>
      </c>
      <c r="C280" t="s">
        <v>36</v>
      </c>
      <c r="D280" t="s">
        <v>224</v>
      </c>
      <c r="E280" t="s">
        <v>63</v>
      </c>
      <c r="F280" t="s">
        <v>64</v>
      </c>
      <c r="G280" s="1"/>
      <c r="H280" t="s">
        <v>40</v>
      </c>
      <c r="I280" s="1"/>
      <c r="J280" t="s">
        <v>40</v>
      </c>
      <c r="K280" s="2">
        <v>0</v>
      </c>
      <c r="L280" t="s">
        <v>40</v>
      </c>
      <c r="M280" s="2">
        <f>Table1[[#This Row],[Quantity]]*Table1[[#This Row],[Proposed Unit Price]]</f>
        <v>0</v>
      </c>
      <c r="N280" t="s">
        <v>40</v>
      </c>
      <c r="O280" s="1">
        <v>0</v>
      </c>
      <c r="P280" t="s">
        <v>40</v>
      </c>
      <c r="Q280" s="6">
        <v>47362</v>
      </c>
      <c r="R280" s="6">
        <v>47726</v>
      </c>
      <c r="S280" t="s">
        <v>188</v>
      </c>
      <c r="T280" t="s">
        <v>136</v>
      </c>
      <c r="U280" t="s">
        <v>53</v>
      </c>
      <c r="V280" t="s">
        <v>42</v>
      </c>
      <c r="W280" t="s">
        <v>43</v>
      </c>
      <c r="X280" t="s">
        <v>36</v>
      </c>
      <c r="Y280" t="s">
        <v>36</v>
      </c>
      <c r="Z280" t="s">
        <v>36</v>
      </c>
      <c r="AA280" t="s">
        <v>36</v>
      </c>
      <c r="AB280" t="s">
        <v>44</v>
      </c>
      <c r="AC280" t="s">
        <v>45</v>
      </c>
      <c r="AD280" t="s">
        <v>399</v>
      </c>
      <c r="AE280" t="s">
        <v>46</v>
      </c>
      <c r="AF280" t="s">
        <v>46</v>
      </c>
      <c r="AG280" t="s">
        <v>36</v>
      </c>
      <c r="AH280" t="s">
        <v>40</v>
      </c>
      <c r="AI280" t="s">
        <v>40</v>
      </c>
      <c r="AJ280" t="s">
        <v>40</v>
      </c>
    </row>
    <row r="281" spans="1:36" x14ac:dyDescent="0.25">
      <c r="A281" t="s">
        <v>34</v>
      </c>
      <c r="B281" t="s">
        <v>400</v>
      </c>
      <c r="C281" t="s">
        <v>36</v>
      </c>
      <c r="D281" t="s">
        <v>139</v>
      </c>
      <c r="E281" t="s">
        <v>67</v>
      </c>
      <c r="F281" t="s">
        <v>39</v>
      </c>
      <c r="G281" s="1"/>
      <c r="H281" t="s">
        <v>40</v>
      </c>
      <c r="I281" s="1"/>
      <c r="J281" t="s">
        <v>40</v>
      </c>
      <c r="K281" s="2">
        <v>0</v>
      </c>
      <c r="L281" t="s">
        <v>40</v>
      </c>
      <c r="M281" s="2">
        <f>Table1[[#This Row],[Quantity]]*Table1[[#This Row],[Proposed Unit Price]]</f>
        <v>0</v>
      </c>
      <c r="N281" t="s">
        <v>40</v>
      </c>
      <c r="O281" s="1">
        <v>0</v>
      </c>
      <c r="P281" t="s">
        <v>40</v>
      </c>
      <c r="Q281" s="6">
        <v>47362</v>
      </c>
      <c r="R281" s="6">
        <v>47726</v>
      </c>
      <c r="S281" t="s">
        <v>188</v>
      </c>
      <c r="T281" t="s">
        <v>138</v>
      </c>
      <c r="U281" t="s">
        <v>53</v>
      </c>
      <c r="V281" t="s">
        <v>42</v>
      </c>
      <c r="W281" t="s">
        <v>43</v>
      </c>
      <c r="X281" t="s">
        <v>36</v>
      </c>
      <c r="Y281" t="s">
        <v>36</v>
      </c>
      <c r="Z281" t="s">
        <v>36</v>
      </c>
      <c r="AA281" t="s">
        <v>36</v>
      </c>
      <c r="AB281" t="s">
        <v>44</v>
      </c>
      <c r="AC281" t="s">
        <v>45</v>
      </c>
      <c r="AD281" t="s">
        <v>400</v>
      </c>
      <c r="AE281" t="s">
        <v>46</v>
      </c>
      <c r="AF281" t="s">
        <v>46</v>
      </c>
      <c r="AG281" t="s">
        <v>36</v>
      </c>
      <c r="AH281" t="s">
        <v>40</v>
      </c>
      <c r="AI281" t="s">
        <v>40</v>
      </c>
      <c r="AJ281" t="s">
        <v>40</v>
      </c>
    </row>
    <row r="282" spans="1:36" x14ac:dyDescent="0.25">
      <c r="A282" t="s">
        <v>34</v>
      </c>
      <c r="B282" t="s">
        <v>401</v>
      </c>
      <c r="C282" t="s">
        <v>36</v>
      </c>
      <c r="D282" t="s">
        <v>141</v>
      </c>
      <c r="E282" t="s">
        <v>142</v>
      </c>
      <c r="F282" t="s">
        <v>71</v>
      </c>
      <c r="G282" s="1"/>
      <c r="H282" t="s">
        <v>40</v>
      </c>
      <c r="I282" s="1"/>
      <c r="J282" t="s">
        <v>40</v>
      </c>
      <c r="K282" s="2">
        <v>0</v>
      </c>
      <c r="L282" t="s">
        <v>40</v>
      </c>
      <c r="M282" s="2">
        <f>Table1[[#This Row],[Quantity]]*Table1[[#This Row],[Proposed Unit Price]]</f>
        <v>0</v>
      </c>
      <c r="N282" t="s">
        <v>40</v>
      </c>
      <c r="O282" s="1">
        <v>0</v>
      </c>
      <c r="P282" t="s">
        <v>40</v>
      </c>
      <c r="Q282" s="6">
        <v>47362</v>
      </c>
      <c r="R282" s="6">
        <v>47726</v>
      </c>
      <c r="S282" t="s">
        <v>188</v>
      </c>
      <c r="T282" t="s">
        <v>140</v>
      </c>
      <c r="U282" t="s">
        <v>53</v>
      </c>
      <c r="V282" t="s">
        <v>42</v>
      </c>
      <c r="W282" t="s">
        <v>43</v>
      </c>
      <c r="X282" t="s">
        <v>36</v>
      </c>
      <c r="Y282" t="s">
        <v>36</v>
      </c>
      <c r="Z282" t="s">
        <v>36</v>
      </c>
      <c r="AA282" t="s">
        <v>36</v>
      </c>
      <c r="AB282" t="s">
        <v>44</v>
      </c>
      <c r="AC282" t="s">
        <v>45</v>
      </c>
      <c r="AD282" t="s">
        <v>401</v>
      </c>
      <c r="AE282" t="s">
        <v>46</v>
      </c>
      <c r="AF282" t="s">
        <v>46</v>
      </c>
      <c r="AG282" t="s">
        <v>36</v>
      </c>
      <c r="AH282" t="s">
        <v>40</v>
      </c>
      <c r="AI282" t="s">
        <v>40</v>
      </c>
      <c r="AJ282" t="s">
        <v>40</v>
      </c>
    </row>
    <row r="283" spans="1:36" x14ac:dyDescent="0.25">
      <c r="A283" t="s">
        <v>34</v>
      </c>
      <c r="B283" t="s">
        <v>402</v>
      </c>
      <c r="C283" t="s">
        <v>36</v>
      </c>
      <c r="D283" t="s">
        <v>144</v>
      </c>
      <c r="E283" t="s">
        <v>50</v>
      </c>
      <c r="F283" t="s">
        <v>39</v>
      </c>
      <c r="G283" s="1"/>
      <c r="H283" t="s">
        <v>40</v>
      </c>
      <c r="I283" s="1"/>
      <c r="J283" t="s">
        <v>40</v>
      </c>
      <c r="K283" s="2">
        <v>0</v>
      </c>
      <c r="L283" t="s">
        <v>40</v>
      </c>
      <c r="M283" s="2">
        <f>Table1[[#This Row],[Quantity]]*Table1[[#This Row],[Proposed Unit Price]]</f>
        <v>0</v>
      </c>
      <c r="N283" t="s">
        <v>40</v>
      </c>
      <c r="O283" s="1">
        <v>0</v>
      </c>
      <c r="P283" t="s">
        <v>40</v>
      </c>
      <c r="Q283" s="6">
        <v>47362</v>
      </c>
      <c r="R283" s="6">
        <v>47726</v>
      </c>
      <c r="S283" t="s">
        <v>188</v>
      </c>
      <c r="T283" t="s">
        <v>143</v>
      </c>
      <c r="U283" t="s">
        <v>53</v>
      </c>
      <c r="V283" t="s">
        <v>42</v>
      </c>
      <c r="W283" t="s">
        <v>43</v>
      </c>
      <c r="X283" t="s">
        <v>36</v>
      </c>
      <c r="Y283" t="s">
        <v>36</v>
      </c>
      <c r="Z283" t="s">
        <v>36</v>
      </c>
      <c r="AA283" t="s">
        <v>36</v>
      </c>
      <c r="AB283" t="s">
        <v>44</v>
      </c>
      <c r="AC283" t="s">
        <v>45</v>
      </c>
      <c r="AD283" t="s">
        <v>402</v>
      </c>
      <c r="AE283" t="s">
        <v>46</v>
      </c>
      <c r="AF283" t="s">
        <v>46</v>
      </c>
      <c r="AG283" t="s">
        <v>36</v>
      </c>
      <c r="AH283" t="s">
        <v>40</v>
      </c>
      <c r="AI283" t="s">
        <v>40</v>
      </c>
      <c r="AJ283" t="s">
        <v>40</v>
      </c>
    </row>
    <row r="284" spans="1:36" x14ac:dyDescent="0.25">
      <c r="A284" t="s">
        <v>34</v>
      </c>
      <c r="B284" t="s">
        <v>403</v>
      </c>
      <c r="C284" t="s">
        <v>36</v>
      </c>
      <c r="D284" t="s">
        <v>146</v>
      </c>
      <c r="E284" t="s">
        <v>53</v>
      </c>
      <c r="F284" t="s">
        <v>39</v>
      </c>
      <c r="G284" s="1"/>
      <c r="H284" t="s">
        <v>40</v>
      </c>
      <c r="I284" s="1"/>
      <c r="J284" t="s">
        <v>40</v>
      </c>
      <c r="K284" s="2">
        <v>0</v>
      </c>
      <c r="L284" t="s">
        <v>40</v>
      </c>
      <c r="M284" s="2">
        <f>Table1[[#This Row],[Quantity]]*Table1[[#This Row],[Proposed Unit Price]]</f>
        <v>0</v>
      </c>
      <c r="N284" t="s">
        <v>40</v>
      </c>
      <c r="O284" s="1">
        <v>0</v>
      </c>
      <c r="P284" t="s">
        <v>40</v>
      </c>
      <c r="Q284" s="6">
        <v>47362</v>
      </c>
      <c r="R284" s="6">
        <v>47726</v>
      </c>
      <c r="S284" t="s">
        <v>188</v>
      </c>
      <c r="T284" t="s">
        <v>145</v>
      </c>
      <c r="U284" t="s">
        <v>53</v>
      </c>
      <c r="V284" t="s">
        <v>42</v>
      </c>
      <c r="W284" t="s">
        <v>43</v>
      </c>
      <c r="X284" t="s">
        <v>36</v>
      </c>
      <c r="Y284" t="s">
        <v>36</v>
      </c>
      <c r="Z284" t="s">
        <v>36</v>
      </c>
      <c r="AA284" t="s">
        <v>36</v>
      </c>
      <c r="AB284" t="s">
        <v>44</v>
      </c>
      <c r="AC284" t="s">
        <v>45</v>
      </c>
      <c r="AD284" t="s">
        <v>403</v>
      </c>
      <c r="AE284" t="s">
        <v>46</v>
      </c>
      <c r="AF284" t="s">
        <v>46</v>
      </c>
      <c r="AG284" t="s">
        <v>36</v>
      </c>
      <c r="AH284" t="s">
        <v>40</v>
      </c>
      <c r="AI284" t="s">
        <v>40</v>
      </c>
      <c r="AJ284" t="s">
        <v>40</v>
      </c>
    </row>
    <row r="285" spans="1:36" x14ac:dyDescent="0.25">
      <c r="A285" t="s">
        <v>34</v>
      </c>
      <c r="B285" t="s">
        <v>404</v>
      </c>
      <c r="C285" t="s">
        <v>36</v>
      </c>
      <c r="D285" t="s">
        <v>148</v>
      </c>
      <c r="E285" t="s">
        <v>123</v>
      </c>
      <c r="F285" t="s">
        <v>71</v>
      </c>
      <c r="G285" s="1"/>
      <c r="H285" t="s">
        <v>40</v>
      </c>
      <c r="I285" s="1"/>
      <c r="J285" t="s">
        <v>40</v>
      </c>
      <c r="K285" s="2">
        <v>0</v>
      </c>
      <c r="L285" t="s">
        <v>40</v>
      </c>
      <c r="M285" s="2">
        <f>Table1[[#This Row],[Quantity]]*Table1[[#This Row],[Proposed Unit Price]]</f>
        <v>0</v>
      </c>
      <c r="N285" t="s">
        <v>40</v>
      </c>
      <c r="O285" s="1">
        <v>0</v>
      </c>
      <c r="P285" t="s">
        <v>40</v>
      </c>
      <c r="Q285" s="6">
        <v>47362</v>
      </c>
      <c r="R285" s="6">
        <v>47726</v>
      </c>
      <c r="S285" t="s">
        <v>188</v>
      </c>
      <c r="T285" t="s">
        <v>147</v>
      </c>
      <c r="U285" t="s">
        <v>53</v>
      </c>
      <c r="V285" t="s">
        <v>42</v>
      </c>
      <c r="W285" t="s">
        <v>43</v>
      </c>
      <c r="X285" t="s">
        <v>36</v>
      </c>
      <c r="Y285" t="s">
        <v>36</v>
      </c>
      <c r="Z285" t="s">
        <v>36</v>
      </c>
      <c r="AA285" t="s">
        <v>36</v>
      </c>
      <c r="AB285" t="s">
        <v>44</v>
      </c>
      <c r="AC285" t="s">
        <v>45</v>
      </c>
      <c r="AD285" t="s">
        <v>404</v>
      </c>
      <c r="AE285" t="s">
        <v>46</v>
      </c>
      <c r="AF285" t="s">
        <v>46</v>
      </c>
      <c r="AG285" t="s">
        <v>36</v>
      </c>
      <c r="AH285" t="s">
        <v>40</v>
      </c>
      <c r="AI285" t="s">
        <v>40</v>
      </c>
      <c r="AJ285" t="s">
        <v>40</v>
      </c>
    </row>
    <row r="286" spans="1:36" x14ac:dyDescent="0.25">
      <c r="A286" t="s">
        <v>34</v>
      </c>
      <c r="B286" t="s">
        <v>405</v>
      </c>
      <c r="C286" t="s">
        <v>36</v>
      </c>
      <c r="D286" t="s">
        <v>150</v>
      </c>
      <c r="E286" t="s">
        <v>47</v>
      </c>
      <c r="F286" t="s">
        <v>39</v>
      </c>
      <c r="G286" s="1"/>
      <c r="H286" t="s">
        <v>40</v>
      </c>
      <c r="I286" s="1"/>
      <c r="J286" t="s">
        <v>40</v>
      </c>
      <c r="K286" s="2">
        <v>0</v>
      </c>
      <c r="L286" t="s">
        <v>40</v>
      </c>
      <c r="M286" s="2">
        <f>Table1[[#This Row],[Quantity]]*Table1[[#This Row],[Proposed Unit Price]]</f>
        <v>0</v>
      </c>
      <c r="N286" t="s">
        <v>40</v>
      </c>
      <c r="O286" s="1">
        <v>0</v>
      </c>
      <c r="P286" t="s">
        <v>40</v>
      </c>
      <c r="Q286" s="6">
        <v>47362</v>
      </c>
      <c r="R286" s="6">
        <v>47726</v>
      </c>
      <c r="S286" t="s">
        <v>188</v>
      </c>
      <c r="T286" t="s">
        <v>149</v>
      </c>
      <c r="U286" t="s">
        <v>53</v>
      </c>
      <c r="V286" t="s">
        <v>42</v>
      </c>
      <c r="W286" t="s">
        <v>43</v>
      </c>
      <c r="X286" t="s">
        <v>36</v>
      </c>
      <c r="Y286" t="s">
        <v>36</v>
      </c>
      <c r="Z286" t="s">
        <v>36</v>
      </c>
      <c r="AA286" t="s">
        <v>36</v>
      </c>
      <c r="AB286" t="s">
        <v>44</v>
      </c>
      <c r="AC286" t="s">
        <v>45</v>
      </c>
      <c r="AD286" t="s">
        <v>405</v>
      </c>
      <c r="AE286" t="s">
        <v>46</v>
      </c>
      <c r="AF286" t="s">
        <v>46</v>
      </c>
      <c r="AG286" t="s">
        <v>36</v>
      </c>
      <c r="AH286" t="s">
        <v>40</v>
      </c>
      <c r="AI286" t="s">
        <v>40</v>
      </c>
      <c r="AJ286" t="s">
        <v>40</v>
      </c>
    </row>
    <row r="287" spans="1:36" x14ac:dyDescent="0.25">
      <c r="A287" t="s">
        <v>34</v>
      </c>
      <c r="B287" t="s">
        <v>406</v>
      </c>
      <c r="C287" t="s">
        <v>36</v>
      </c>
      <c r="D287" t="s">
        <v>152</v>
      </c>
      <c r="E287" t="s">
        <v>35</v>
      </c>
      <c r="F287" t="s">
        <v>39</v>
      </c>
      <c r="G287" s="1"/>
      <c r="H287" t="s">
        <v>40</v>
      </c>
      <c r="I287" s="1"/>
      <c r="J287" t="s">
        <v>40</v>
      </c>
      <c r="K287" s="2">
        <v>0</v>
      </c>
      <c r="L287" t="s">
        <v>40</v>
      </c>
      <c r="M287" s="2">
        <f>Table1[[#This Row],[Quantity]]*Table1[[#This Row],[Proposed Unit Price]]</f>
        <v>0</v>
      </c>
      <c r="N287" t="s">
        <v>40</v>
      </c>
      <c r="O287" s="1">
        <v>0</v>
      </c>
      <c r="P287" t="s">
        <v>40</v>
      </c>
      <c r="Q287" s="6">
        <v>47362</v>
      </c>
      <c r="R287" s="6">
        <v>47726</v>
      </c>
      <c r="S287" t="s">
        <v>188</v>
      </c>
      <c r="T287" t="s">
        <v>151</v>
      </c>
      <c r="U287" t="s">
        <v>53</v>
      </c>
      <c r="V287" t="s">
        <v>83</v>
      </c>
      <c r="W287" t="s">
        <v>84</v>
      </c>
      <c r="X287" t="s">
        <v>36</v>
      </c>
      <c r="Y287" t="s">
        <v>36</v>
      </c>
      <c r="Z287" t="s">
        <v>36</v>
      </c>
      <c r="AA287" t="s">
        <v>36</v>
      </c>
      <c r="AB287" t="s">
        <v>44</v>
      </c>
      <c r="AC287" t="s">
        <v>45</v>
      </c>
      <c r="AD287" t="s">
        <v>406</v>
      </c>
      <c r="AE287" t="s">
        <v>46</v>
      </c>
      <c r="AF287" t="s">
        <v>46</v>
      </c>
      <c r="AG287" t="s">
        <v>36</v>
      </c>
      <c r="AH287" t="s">
        <v>40</v>
      </c>
      <c r="AI287" t="s">
        <v>40</v>
      </c>
      <c r="AJ287" t="s">
        <v>40</v>
      </c>
    </row>
    <row r="288" spans="1:36" x14ac:dyDescent="0.25">
      <c r="A288" t="s">
        <v>34</v>
      </c>
      <c r="B288" t="s">
        <v>407</v>
      </c>
      <c r="C288" t="s">
        <v>36</v>
      </c>
      <c r="D288" t="s">
        <v>154</v>
      </c>
      <c r="E288" t="s">
        <v>67</v>
      </c>
      <c r="F288" t="s">
        <v>87</v>
      </c>
      <c r="G288" s="1"/>
      <c r="H288" t="s">
        <v>40</v>
      </c>
      <c r="I288" s="1"/>
      <c r="J288" t="s">
        <v>40</v>
      </c>
      <c r="K288" s="2">
        <v>0</v>
      </c>
      <c r="L288" t="s">
        <v>40</v>
      </c>
      <c r="M288" s="2">
        <f>Table1[[#This Row],[Quantity]]*Table1[[#This Row],[Proposed Unit Price]]</f>
        <v>0</v>
      </c>
      <c r="N288" t="s">
        <v>40</v>
      </c>
      <c r="O288" s="1">
        <v>0</v>
      </c>
      <c r="P288" t="s">
        <v>40</v>
      </c>
      <c r="Q288" s="6">
        <v>47362</v>
      </c>
      <c r="R288" s="6">
        <v>47726</v>
      </c>
      <c r="S288" t="s">
        <v>188</v>
      </c>
      <c r="T288" t="s">
        <v>153</v>
      </c>
      <c r="U288" t="s">
        <v>53</v>
      </c>
      <c r="V288" t="s">
        <v>42</v>
      </c>
      <c r="W288" t="s">
        <v>43</v>
      </c>
      <c r="X288" t="s">
        <v>36</v>
      </c>
      <c r="Y288" t="s">
        <v>36</v>
      </c>
      <c r="Z288" t="s">
        <v>36</v>
      </c>
      <c r="AA288" t="s">
        <v>36</v>
      </c>
      <c r="AB288" t="s">
        <v>44</v>
      </c>
      <c r="AC288" t="s">
        <v>45</v>
      </c>
      <c r="AD288" t="s">
        <v>407</v>
      </c>
      <c r="AE288" t="s">
        <v>46</v>
      </c>
      <c r="AF288" t="s">
        <v>46</v>
      </c>
      <c r="AG288" t="s">
        <v>36</v>
      </c>
      <c r="AH288" t="s">
        <v>40</v>
      </c>
      <c r="AI288" t="s">
        <v>40</v>
      </c>
      <c r="AJ288" t="s">
        <v>40</v>
      </c>
    </row>
    <row r="289" spans="1:36" x14ac:dyDescent="0.25">
      <c r="A289" t="s">
        <v>34</v>
      </c>
      <c r="B289" t="s">
        <v>408</v>
      </c>
      <c r="C289" t="s">
        <v>36</v>
      </c>
      <c r="D289" t="s">
        <v>156</v>
      </c>
      <c r="E289" t="s">
        <v>53</v>
      </c>
      <c r="F289" t="s">
        <v>39</v>
      </c>
      <c r="G289" s="1"/>
      <c r="H289" t="s">
        <v>40</v>
      </c>
      <c r="I289" s="1"/>
      <c r="J289" t="s">
        <v>40</v>
      </c>
      <c r="K289" s="2">
        <v>0</v>
      </c>
      <c r="L289" t="s">
        <v>40</v>
      </c>
      <c r="M289" s="2">
        <f>Table1[[#This Row],[Quantity]]*Table1[[#This Row],[Proposed Unit Price]]</f>
        <v>0</v>
      </c>
      <c r="N289" t="s">
        <v>40</v>
      </c>
      <c r="O289" s="1">
        <v>0</v>
      </c>
      <c r="P289" t="s">
        <v>40</v>
      </c>
      <c r="Q289" s="6">
        <v>47362</v>
      </c>
      <c r="R289" s="6">
        <v>47726</v>
      </c>
      <c r="S289" t="s">
        <v>188</v>
      </c>
      <c r="T289" t="s">
        <v>155</v>
      </c>
      <c r="U289" t="s">
        <v>53</v>
      </c>
      <c r="V289" t="s">
        <v>42</v>
      </c>
      <c r="W289" t="s">
        <v>43</v>
      </c>
      <c r="X289" t="s">
        <v>36</v>
      </c>
      <c r="Y289" t="s">
        <v>36</v>
      </c>
      <c r="Z289" t="s">
        <v>36</v>
      </c>
      <c r="AA289" t="s">
        <v>36</v>
      </c>
      <c r="AB289" t="s">
        <v>44</v>
      </c>
      <c r="AC289" t="s">
        <v>45</v>
      </c>
      <c r="AD289" t="s">
        <v>408</v>
      </c>
      <c r="AE289" t="s">
        <v>46</v>
      </c>
      <c r="AF289" t="s">
        <v>46</v>
      </c>
      <c r="AG289" t="s">
        <v>36</v>
      </c>
      <c r="AH289" t="s">
        <v>40</v>
      </c>
      <c r="AI289" t="s">
        <v>40</v>
      </c>
      <c r="AJ289" t="s">
        <v>40</v>
      </c>
    </row>
    <row r="290" spans="1:36" x14ac:dyDescent="0.25">
      <c r="A290" t="s">
        <v>34</v>
      </c>
      <c r="B290" t="s">
        <v>409</v>
      </c>
      <c r="C290" t="s">
        <v>36</v>
      </c>
      <c r="D290" t="s">
        <v>158</v>
      </c>
      <c r="E290" t="s">
        <v>35</v>
      </c>
      <c r="F290" t="s">
        <v>39</v>
      </c>
      <c r="G290" s="1"/>
      <c r="H290" t="s">
        <v>40</v>
      </c>
      <c r="I290" s="1"/>
      <c r="J290" t="s">
        <v>40</v>
      </c>
      <c r="K290" s="2">
        <v>0</v>
      </c>
      <c r="L290" t="s">
        <v>40</v>
      </c>
      <c r="M290" s="2">
        <f>Table1[[#This Row],[Quantity]]*Table1[[#This Row],[Proposed Unit Price]]</f>
        <v>0</v>
      </c>
      <c r="N290" t="s">
        <v>40</v>
      </c>
      <c r="O290" s="1">
        <v>0</v>
      </c>
      <c r="P290" t="s">
        <v>40</v>
      </c>
      <c r="Q290" s="6">
        <v>47362</v>
      </c>
      <c r="R290" s="6">
        <v>47726</v>
      </c>
      <c r="S290" t="s">
        <v>188</v>
      </c>
      <c r="T290" t="s">
        <v>157</v>
      </c>
      <c r="U290" t="s">
        <v>53</v>
      </c>
      <c r="V290" t="s">
        <v>83</v>
      </c>
      <c r="W290" t="s">
        <v>84</v>
      </c>
      <c r="X290" t="s">
        <v>36</v>
      </c>
      <c r="Y290" t="s">
        <v>36</v>
      </c>
      <c r="Z290" t="s">
        <v>36</v>
      </c>
      <c r="AA290" t="s">
        <v>36</v>
      </c>
      <c r="AB290" t="s">
        <v>44</v>
      </c>
      <c r="AC290" t="s">
        <v>45</v>
      </c>
      <c r="AD290" t="s">
        <v>409</v>
      </c>
      <c r="AE290" t="s">
        <v>46</v>
      </c>
      <c r="AF290" t="s">
        <v>46</v>
      </c>
      <c r="AG290" t="s">
        <v>36</v>
      </c>
      <c r="AH290" t="s">
        <v>40</v>
      </c>
      <c r="AI290" t="s">
        <v>40</v>
      </c>
      <c r="AJ290" t="s">
        <v>40</v>
      </c>
    </row>
    <row r="291" spans="1:36" x14ac:dyDescent="0.25">
      <c r="A291" t="s">
        <v>34</v>
      </c>
      <c r="B291" t="s">
        <v>410</v>
      </c>
      <c r="C291" t="s">
        <v>36</v>
      </c>
      <c r="D291" t="s">
        <v>160</v>
      </c>
      <c r="E291" t="s">
        <v>35</v>
      </c>
      <c r="F291" t="s">
        <v>39</v>
      </c>
      <c r="G291" s="1"/>
      <c r="H291" t="s">
        <v>40</v>
      </c>
      <c r="I291" s="1"/>
      <c r="J291" t="s">
        <v>40</v>
      </c>
      <c r="K291" s="2">
        <v>0</v>
      </c>
      <c r="L291" t="s">
        <v>40</v>
      </c>
      <c r="M291" s="2">
        <f>Table1[[#This Row],[Quantity]]*Table1[[#This Row],[Proposed Unit Price]]</f>
        <v>0</v>
      </c>
      <c r="N291" t="s">
        <v>40</v>
      </c>
      <c r="O291" s="1">
        <v>0</v>
      </c>
      <c r="P291" t="s">
        <v>40</v>
      </c>
      <c r="Q291" s="6">
        <v>47362</v>
      </c>
      <c r="R291" s="6">
        <v>47726</v>
      </c>
      <c r="S291" t="s">
        <v>188</v>
      </c>
      <c r="T291" t="s">
        <v>159</v>
      </c>
      <c r="U291" t="s">
        <v>53</v>
      </c>
      <c r="V291" t="s">
        <v>83</v>
      </c>
      <c r="W291" t="s">
        <v>84</v>
      </c>
      <c r="X291" t="s">
        <v>36</v>
      </c>
      <c r="Y291" t="s">
        <v>36</v>
      </c>
      <c r="Z291" t="s">
        <v>36</v>
      </c>
      <c r="AA291" t="s">
        <v>36</v>
      </c>
      <c r="AB291" t="s">
        <v>44</v>
      </c>
      <c r="AC291" t="s">
        <v>45</v>
      </c>
      <c r="AD291" t="s">
        <v>410</v>
      </c>
      <c r="AE291" t="s">
        <v>46</v>
      </c>
      <c r="AF291" t="s">
        <v>46</v>
      </c>
      <c r="AG291" t="s">
        <v>36</v>
      </c>
      <c r="AH291" t="s">
        <v>40</v>
      </c>
      <c r="AI291" t="s">
        <v>40</v>
      </c>
      <c r="AJ291" t="s">
        <v>40</v>
      </c>
    </row>
    <row r="292" spans="1:36" x14ac:dyDescent="0.25">
      <c r="A292" t="s">
        <v>34</v>
      </c>
      <c r="B292" t="s">
        <v>411</v>
      </c>
      <c r="C292" t="s">
        <v>36</v>
      </c>
      <c r="D292" t="s">
        <v>162</v>
      </c>
      <c r="E292" t="s">
        <v>163</v>
      </c>
      <c r="F292" t="s">
        <v>96</v>
      </c>
      <c r="G292" s="1"/>
      <c r="H292" t="s">
        <v>40</v>
      </c>
      <c r="I292" s="1"/>
      <c r="J292" t="s">
        <v>40</v>
      </c>
      <c r="K292" s="2">
        <v>0</v>
      </c>
      <c r="L292" t="s">
        <v>40</v>
      </c>
      <c r="M292" s="2">
        <f>Table1[[#This Row],[Quantity]]*Table1[[#This Row],[Proposed Unit Price]]</f>
        <v>0</v>
      </c>
      <c r="N292" t="s">
        <v>40</v>
      </c>
      <c r="O292" s="1">
        <v>0</v>
      </c>
      <c r="P292" t="s">
        <v>40</v>
      </c>
      <c r="Q292" s="6">
        <v>47362</v>
      </c>
      <c r="R292" s="6">
        <v>47726</v>
      </c>
      <c r="S292" t="s">
        <v>188</v>
      </c>
      <c r="T292" t="s">
        <v>161</v>
      </c>
      <c r="U292" t="s">
        <v>53</v>
      </c>
      <c r="V292" t="s">
        <v>42</v>
      </c>
      <c r="W292" t="s">
        <v>43</v>
      </c>
      <c r="X292" t="s">
        <v>36</v>
      </c>
      <c r="Y292" t="s">
        <v>36</v>
      </c>
      <c r="Z292" t="s">
        <v>36</v>
      </c>
      <c r="AA292" t="s">
        <v>36</v>
      </c>
      <c r="AB292" t="s">
        <v>44</v>
      </c>
      <c r="AC292" t="s">
        <v>45</v>
      </c>
      <c r="AD292" t="s">
        <v>411</v>
      </c>
      <c r="AE292" t="s">
        <v>46</v>
      </c>
      <c r="AF292" t="s">
        <v>46</v>
      </c>
      <c r="AG292" t="s">
        <v>36</v>
      </c>
      <c r="AH292" t="s">
        <v>40</v>
      </c>
      <c r="AI292" t="s">
        <v>40</v>
      </c>
      <c r="AJ292" t="s">
        <v>40</v>
      </c>
    </row>
    <row r="293" spans="1:36" x14ac:dyDescent="0.25">
      <c r="A293" t="s">
        <v>34</v>
      </c>
      <c r="B293" t="s">
        <v>412</v>
      </c>
      <c r="C293" t="s">
        <v>36</v>
      </c>
      <c r="D293" t="s">
        <v>165</v>
      </c>
      <c r="E293" t="s">
        <v>99</v>
      </c>
      <c r="F293" t="s">
        <v>64</v>
      </c>
      <c r="G293" s="1"/>
      <c r="H293" t="s">
        <v>40</v>
      </c>
      <c r="I293" s="1"/>
      <c r="J293" t="s">
        <v>40</v>
      </c>
      <c r="K293" s="2">
        <v>0</v>
      </c>
      <c r="L293" t="s">
        <v>40</v>
      </c>
      <c r="M293" s="2">
        <f>Table1[[#This Row],[Quantity]]*Table1[[#This Row],[Proposed Unit Price]]</f>
        <v>0</v>
      </c>
      <c r="N293" t="s">
        <v>40</v>
      </c>
      <c r="O293" s="1">
        <v>0</v>
      </c>
      <c r="P293" t="s">
        <v>40</v>
      </c>
      <c r="Q293" s="6">
        <v>47362</v>
      </c>
      <c r="R293" s="6">
        <v>47726</v>
      </c>
      <c r="S293" t="s">
        <v>188</v>
      </c>
      <c r="T293" t="s">
        <v>164</v>
      </c>
      <c r="U293" t="s">
        <v>53</v>
      </c>
      <c r="V293" t="s">
        <v>42</v>
      </c>
      <c r="W293" t="s">
        <v>43</v>
      </c>
      <c r="X293" t="s">
        <v>36</v>
      </c>
      <c r="Y293" t="s">
        <v>36</v>
      </c>
      <c r="Z293" t="s">
        <v>36</v>
      </c>
      <c r="AA293" t="s">
        <v>36</v>
      </c>
      <c r="AB293" t="s">
        <v>44</v>
      </c>
      <c r="AC293" t="s">
        <v>45</v>
      </c>
      <c r="AD293" t="s">
        <v>412</v>
      </c>
      <c r="AE293" t="s">
        <v>46</v>
      </c>
      <c r="AF293" t="s">
        <v>46</v>
      </c>
      <c r="AG293" t="s">
        <v>36</v>
      </c>
      <c r="AH293" t="s">
        <v>40</v>
      </c>
      <c r="AI293" t="s">
        <v>40</v>
      </c>
      <c r="AJ293" t="s">
        <v>40</v>
      </c>
    </row>
    <row r="294" spans="1:36" x14ac:dyDescent="0.25">
      <c r="A294" t="s">
        <v>34</v>
      </c>
      <c r="B294" t="s">
        <v>413</v>
      </c>
      <c r="C294" t="s">
        <v>36</v>
      </c>
      <c r="D294" t="s">
        <v>167</v>
      </c>
      <c r="E294" t="s">
        <v>63</v>
      </c>
      <c r="F294" t="s">
        <v>64</v>
      </c>
      <c r="G294" s="1"/>
      <c r="H294" t="s">
        <v>40</v>
      </c>
      <c r="I294" s="1"/>
      <c r="J294" t="s">
        <v>40</v>
      </c>
      <c r="K294" s="2">
        <v>0</v>
      </c>
      <c r="L294" t="s">
        <v>40</v>
      </c>
      <c r="M294" s="2">
        <f>Table1[[#This Row],[Quantity]]*Table1[[#This Row],[Proposed Unit Price]]</f>
        <v>0</v>
      </c>
      <c r="N294" t="s">
        <v>40</v>
      </c>
      <c r="O294" s="1">
        <v>0</v>
      </c>
      <c r="P294" t="s">
        <v>40</v>
      </c>
      <c r="Q294" s="6">
        <v>47362</v>
      </c>
      <c r="R294" s="6">
        <v>47726</v>
      </c>
      <c r="S294" t="s">
        <v>188</v>
      </c>
      <c r="T294" t="s">
        <v>166</v>
      </c>
      <c r="U294" t="s">
        <v>53</v>
      </c>
      <c r="V294" t="s">
        <v>42</v>
      </c>
      <c r="W294" t="s">
        <v>43</v>
      </c>
      <c r="X294" t="s">
        <v>36</v>
      </c>
      <c r="Y294" t="s">
        <v>36</v>
      </c>
      <c r="Z294" t="s">
        <v>36</v>
      </c>
      <c r="AA294" t="s">
        <v>36</v>
      </c>
      <c r="AB294" t="s">
        <v>44</v>
      </c>
      <c r="AC294" t="s">
        <v>45</v>
      </c>
      <c r="AD294" t="s">
        <v>413</v>
      </c>
      <c r="AE294" t="s">
        <v>46</v>
      </c>
      <c r="AF294" t="s">
        <v>46</v>
      </c>
      <c r="AG294" t="s">
        <v>36</v>
      </c>
      <c r="AH294" t="s">
        <v>40</v>
      </c>
      <c r="AI294" t="s">
        <v>40</v>
      </c>
      <c r="AJ294" t="s">
        <v>40</v>
      </c>
    </row>
    <row r="295" spans="1:36" x14ac:dyDescent="0.25">
      <c r="A295" t="s">
        <v>34</v>
      </c>
      <c r="B295" t="s">
        <v>414</v>
      </c>
      <c r="C295" t="s">
        <v>36</v>
      </c>
      <c r="D295" t="s">
        <v>168</v>
      </c>
      <c r="E295" t="s">
        <v>58</v>
      </c>
      <c r="F295" t="s">
        <v>87</v>
      </c>
      <c r="G295" s="1"/>
      <c r="H295" t="s">
        <v>40</v>
      </c>
      <c r="I295" s="1"/>
      <c r="J295" t="s">
        <v>40</v>
      </c>
      <c r="K295" s="2">
        <v>0</v>
      </c>
      <c r="L295" t="s">
        <v>40</v>
      </c>
      <c r="M295" s="2">
        <f>Table1[[#This Row],[Quantity]]*Table1[[#This Row],[Proposed Unit Price]]</f>
        <v>0</v>
      </c>
      <c r="N295" t="s">
        <v>40</v>
      </c>
      <c r="O295" s="1">
        <v>0</v>
      </c>
      <c r="P295" t="s">
        <v>40</v>
      </c>
      <c r="Q295" s="6">
        <v>47362</v>
      </c>
      <c r="R295" s="6">
        <v>47726</v>
      </c>
      <c r="S295" t="s">
        <v>188</v>
      </c>
      <c r="T295" t="s">
        <v>133</v>
      </c>
      <c r="U295" t="s">
        <v>53</v>
      </c>
      <c r="V295" t="s">
        <v>42</v>
      </c>
      <c r="W295" t="s">
        <v>43</v>
      </c>
      <c r="X295" t="s">
        <v>36</v>
      </c>
      <c r="Y295" t="s">
        <v>36</v>
      </c>
      <c r="Z295" t="s">
        <v>36</v>
      </c>
      <c r="AA295" t="s">
        <v>36</v>
      </c>
      <c r="AB295" t="s">
        <v>44</v>
      </c>
      <c r="AC295" t="s">
        <v>45</v>
      </c>
      <c r="AD295" t="s">
        <v>414</v>
      </c>
      <c r="AE295" t="s">
        <v>46</v>
      </c>
      <c r="AF295" t="s">
        <v>46</v>
      </c>
      <c r="AG295" t="s">
        <v>36</v>
      </c>
      <c r="AH295" t="s">
        <v>40</v>
      </c>
      <c r="AI295" t="s">
        <v>40</v>
      </c>
      <c r="AJ295" t="s">
        <v>40</v>
      </c>
    </row>
    <row r="296" spans="1:36" x14ac:dyDescent="0.25">
      <c r="A296" t="s">
        <v>34</v>
      </c>
      <c r="B296" t="s">
        <v>415</v>
      </c>
      <c r="C296" t="s">
        <v>36</v>
      </c>
      <c r="D296" t="s">
        <v>170</v>
      </c>
      <c r="E296" t="s">
        <v>47</v>
      </c>
      <c r="F296" t="s">
        <v>39</v>
      </c>
      <c r="G296" s="1"/>
      <c r="H296" t="s">
        <v>40</v>
      </c>
      <c r="I296" s="1"/>
      <c r="J296" t="s">
        <v>40</v>
      </c>
      <c r="K296" s="2">
        <v>0</v>
      </c>
      <c r="L296" t="s">
        <v>40</v>
      </c>
      <c r="M296" s="2">
        <f>Table1[[#This Row],[Quantity]]*Table1[[#This Row],[Proposed Unit Price]]</f>
        <v>0</v>
      </c>
      <c r="N296" t="s">
        <v>40</v>
      </c>
      <c r="O296" s="1">
        <v>0</v>
      </c>
      <c r="P296" t="s">
        <v>40</v>
      </c>
      <c r="Q296" s="6">
        <v>47362</v>
      </c>
      <c r="R296" s="6">
        <v>47726</v>
      </c>
      <c r="S296" t="s">
        <v>188</v>
      </c>
      <c r="T296" t="s">
        <v>169</v>
      </c>
      <c r="U296" t="s">
        <v>53</v>
      </c>
      <c r="V296" t="s">
        <v>42</v>
      </c>
      <c r="W296" t="s">
        <v>43</v>
      </c>
      <c r="X296" t="s">
        <v>36</v>
      </c>
      <c r="Y296" t="s">
        <v>36</v>
      </c>
      <c r="Z296" t="s">
        <v>36</v>
      </c>
      <c r="AA296" t="s">
        <v>36</v>
      </c>
      <c r="AB296" t="s">
        <v>44</v>
      </c>
      <c r="AC296" t="s">
        <v>45</v>
      </c>
      <c r="AD296" t="s">
        <v>415</v>
      </c>
      <c r="AE296" t="s">
        <v>46</v>
      </c>
      <c r="AF296" t="s">
        <v>46</v>
      </c>
      <c r="AG296" t="s">
        <v>36</v>
      </c>
      <c r="AH296" t="s">
        <v>40</v>
      </c>
      <c r="AI296" t="s">
        <v>40</v>
      </c>
      <c r="AJ296" t="s">
        <v>40</v>
      </c>
    </row>
    <row r="297" spans="1:36" x14ac:dyDescent="0.25">
      <c r="A297" t="s">
        <v>34</v>
      </c>
      <c r="B297" t="s">
        <v>416</v>
      </c>
      <c r="C297" t="s">
        <v>36</v>
      </c>
      <c r="D297" t="s">
        <v>172</v>
      </c>
      <c r="E297" t="s">
        <v>106</v>
      </c>
      <c r="F297" t="s">
        <v>87</v>
      </c>
      <c r="G297" s="1"/>
      <c r="H297" t="s">
        <v>40</v>
      </c>
      <c r="I297" s="1"/>
      <c r="J297" t="s">
        <v>40</v>
      </c>
      <c r="K297" s="2">
        <v>0</v>
      </c>
      <c r="L297" t="s">
        <v>40</v>
      </c>
      <c r="M297" s="2">
        <f>Table1[[#This Row],[Quantity]]*Table1[[#This Row],[Proposed Unit Price]]</f>
        <v>0</v>
      </c>
      <c r="N297" t="s">
        <v>40</v>
      </c>
      <c r="O297" s="1">
        <v>0</v>
      </c>
      <c r="P297" t="s">
        <v>40</v>
      </c>
      <c r="Q297" s="6">
        <v>47362</v>
      </c>
      <c r="R297" s="6">
        <v>47726</v>
      </c>
      <c r="S297" t="s">
        <v>188</v>
      </c>
      <c r="T297" t="s">
        <v>171</v>
      </c>
      <c r="U297" t="s">
        <v>53</v>
      </c>
      <c r="V297" t="s">
        <v>42</v>
      </c>
      <c r="W297" t="s">
        <v>43</v>
      </c>
      <c r="X297" t="s">
        <v>36</v>
      </c>
      <c r="Y297" t="s">
        <v>36</v>
      </c>
      <c r="Z297" t="s">
        <v>36</v>
      </c>
      <c r="AA297" t="s">
        <v>36</v>
      </c>
      <c r="AB297" t="s">
        <v>44</v>
      </c>
      <c r="AC297" t="s">
        <v>45</v>
      </c>
      <c r="AD297" t="s">
        <v>416</v>
      </c>
      <c r="AE297" t="s">
        <v>46</v>
      </c>
      <c r="AF297" t="s">
        <v>46</v>
      </c>
      <c r="AG297" t="s">
        <v>36</v>
      </c>
      <c r="AH297" t="s">
        <v>40</v>
      </c>
      <c r="AI297" t="s">
        <v>40</v>
      </c>
      <c r="AJ297" t="s">
        <v>40</v>
      </c>
    </row>
    <row r="298" spans="1:36" x14ac:dyDescent="0.25">
      <c r="A298" t="s">
        <v>34</v>
      </c>
      <c r="B298" t="s">
        <v>417</v>
      </c>
      <c r="C298" t="s">
        <v>36</v>
      </c>
      <c r="D298" t="s">
        <v>174</v>
      </c>
      <c r="E298" t="s">
        <v>110</v>
      </c>
      <c r="F298" t="s">
        <v>64</v>
      </c>
      <c r="G298" s="1"/>
      <c r="H298" t="s">
        <v>40</v>
      </c>
      <c r="I298" s="1"/>
      <c r="J298" t="s">
        <v>40</v>
      </c>
      <c r="K298" s="2">
        <v>0</v>
      </c>
      <c r="L298" t="s">
        <v>40</v>
      </c>
      <c r="M298" s="2">
        <f>Table1[[#This Row],[Quantity]]*Table1[[#This Row],[Proposed Unit Price]]</f>
        <v>0</v>
      </c>
      <c r="N298" t="s">
        <v>40</v>
      </c>
      <c r="O298" s="1">
        <v>0</v>
      </c>
      <c r="P298" t="s">
        <v>40</v>
      </c>
      <c r="Q298" s="6">
        <v>47362</v>
      </c>
      <c r="R298" s="6">
        <v>47726</v>
      </c>
      <c r="S298" t="s">
        <v>188</v>
      </c>
      <c r="T298" t="s">
        <v>173</v>
      </c>
      <c r="U298" t="s">
        <v>53</v>
      </c>
      <c r="V298" t="s">
        <v>42</v>
      </c>
      <c r="W298" t="s">
        <v>43</v>
      </c>
      <c r="X298" t="s">
        <v>36</v>
      </c>
      <c r="Y298" t="s">
        <v>36</v>
      </c>
      <c r="Z298" t="s">
        <v>36</v>
      </c>
      <c r="AA298" t="s">
        <v>36</v>
      </c>
      <c r="AB298" t="s">
        <v>44</v>
      </c>
      <c r="AC298" t="s">
        <v>45</v>
      </c>
      <c r="AD298" t="s">
        <v>417</v>
      </c>
      <c r="AE298" t="s">
        <v>46</v>
      </c>
      <c r="AF298" t="s">
        <v>46</v>
      </c>
      <c r="AG298" t="s">
        <v>36</v>
      </c>
      <c r="AH298" t="s">
        <v>40</v>
      </c>
      <c r="AI298" t="s">
        <v>40</v>
      </c>
      <c r="AJ298" t="s">
        <v>40</v>
      </c>
    </row>
    <row r="299" spans="1:36" x14ac:dyDescent="0.25">
      <c r="A299" t="s">
        <v>34</v>
      </c>
      <c r="B299" t="s">
        <v>418</v>
      </c>
      <c r="C299" t="s">
        <v>36</v>
      </c>
      <c r="D299" t="s">
        <v>176</v>
      </c>
      <c r="E299" t="s">
        <v>177</v>
      </c>
      <c r="F299" t="s">
        <v>39</v>
      </c>
      <c r="G299" s="1"/>
      <c r="H299" t="s">
        <v>40</v>
      </c>
      <c r="I299" s="1"/>
      <c r="J299" t="s">
        <v>40</v>
      </c>
      <c r="K299" s="2">
        <v>0</v>
      </c>
      <c r="L299" t="s">
        <v>40</v>
      </c>
      <c r="M299" s="2">
        <f>Table1[[#This Row],[Quantity]]*Table1[[#This Row],[Proposed Unit Price]]</f>
        <v>0</v>
      </c>
      <c r="N299" t="s">
        <v>40</v>
      </c>
      <c r="O299" s="1">
        <v>0</v>
      </c>
      <c r="P299" t="s">
        <v>40</v>
      </c>
      <c r="Q299" s="6">
        <v>47362</v>
      </c>
      <c r="R299" s="6">
        <v>47726</v>
      </c>
      <c r="S299" t="s">
        <v>188</v>
      </c>
      <c r="T299" t="s">
        <v>175</v>
      </c>
      <c r="U299" t="s">
        <v>53</v>
      </c>
      <c r="V299" t="s">
        <v>42</v>
      </c>
      <c r="W299" t="s">
        <v>43</v>
      </c>
      <c r="X299" t="s">
        <v>36</v>
      </c>
      <c r="Y299" t="s">
        <v>36</v>
      </c>
      <c r="Z299" t="s">
        <v>36</v>
      </c>
      <c r="AA299" t="s">
        <v>36</v>
      </c>
      <c r="AB299" t="s">
        <v>44</v>
      </c>
      <c r="AC299" t="s">
        <v>45</v>
      </c>
      <c r="AD299" t="s">
        <v>418</v>
      </c>
      <c r="AE299" t="s">
        <v>46</v>
      </c>
      <c r="AF299" t="s">
        <v>46</v>
      </c>
      <c r="AG299" t="s">
        <v>36</v>
      </c>
      <c r="AH299" t="s">
        <v>40</v>
      </c>
      <c r="AI299" t="s">
        <v>40</v>
      </c>
      <c r="AJ299" t="s">
        <v>40</v>
      </c>
    </row>
    <row r="300" spans="1:36" x14ac:dyDescent="0.25">
      <c r="A300" t="s">
        <v>34</v>
      </c>
      <c r="B300" t="s">
        <v>419</v>
      </c>
      <c r="C300" t="s">
        <v>36</v>
      </c>
      <c r="D300" t="s">
        <v>179</v>
      </c>
      <c r="E300" t="s">
        <v>177</v>
      </c>
      <c r="F300" t="s">
        <v>39</v>
      </c>
      <c r="G300" s="1"/>
      <c r="H300" t="s">
        <v>40</v>
      </c>
      <c r="I300" s="1"/>
      <c r="J300" t="s">
        <v>40</v>
      </c>
      <c r="K300" s="2">
        <v>0</v>
      </c>
      <c r="L300" t="s">
        <v>40</v>
      </c>
      <c r="M300" s="2">
        <f>Table1[[#This Row],[Quantity]]*Table1[[#This Row],[Proposed Unit Price]]</f>
        <v>0</v>
      </c>
      <c r="N300" t="s">
        <v>40</v>
      </c>
      <c r="O300" s="1">
        <v>0</v>
      </c>
      <c r="P300" t="s">
        <v>40</v>
      </c>
      <c r="Q300" s="6">
        <v>47362</v>
      </c>
      <c r="R300" s="6">
        <v>47726</v>
      </c>
      <c r="S300" t="s">
        <v>188</v>
      </c>
      <c r="T300" t="s">
        <v>178</v>
      </c>
      <c r="U300" t="s">
        <v>53</v>
      </c>
      <c r="V300" t="s">
        <v>42</v>
      </c>
      <c r="W300" t="s">
        <v>43</v>
      </c>
      <c r="X300" t="s">
        <v>36</v>
      </c>
      <c r="Y300" t="s">
        <v>36</v>
      </c>
      <c r="Z300" t="s">
        <v>36</v>
      </c>
      <c r="AA300" t="s">
        <v>36</v>
      </c>
      <c r="AB300" t="s">
        <v>44</v>
      </c>
      <c r="AC300" t="s">
        <v>45</v>
      </c>
      <c r="AD300" t="s">
        <v>419</v>
      </c>
      <c r="AE300" t="s">
        <v>46</v>
      </c>
      <c r="AF300" t="s">
        <v>46</v>
      </c>
      <c r="AG300" t="s">
        <v>36</v>
      </c>
      <c r="AH300" t="s">
        <v>40</v>
      </c>
      <c r="AI300" t="s">
        <v>40</v>
      </c>
      <c r="AJ300" t="s">
        <v>40</v>
      </c>
    </row>
    <row r="301" spans="1:36" x14ac:dyDescent="0.25">
      <c r="A301" t="s">
        <v>34</v>
      </c>
      <c r="B301" t="s">
        <v>420</v>
      </c>
      <c r="C301" t="s">
        <v>36</v>
      </c>
      <c r="D301" t="s">
        <v>246</v>
      </c>
      <c r="E301" t="s">
        <v>182</v>
      </c>
      <c r="F301" t="s">
        <v>39</v>
      </c>
      <c r="G301" s="1"/>
      <c r="H301" t="s">
        <v>40</v>
      </c>
      <c r="I301" s="1"/>
      <c r="J301" t="s">
        <v>40</v>
      </c>
      <c r="K301" s="2">
        <v>0</v>
      </c>
      <c r="L301" t="s">
        <v>40</v>
      </c>
      <c r="M301" s="2">
        <f>Table1[[#This Row],[Quantity]]*Table1[[#This Row],[Proposed Unit Price]]</f>
        <v>0</v>
      </c>
      <c r="N301" t="s">
        <v>40</v>
      </c>
      <c r="O301" s="1">
        <v>0</v>
      </c>
      <c r="P301" t="s">
        <v>40</v>
      </c>
      <c r="Q301" s="6">
        <v>47362</v>
      </c>
      <c r="R301" s="6">
        <v>47726</v>
      </c>
      <c r="S301" t="s">
        <v>188</v>
      </c>
      <c r="T301" t="s">
        <v>180</v>
      </c>
      <c r="U301" t="s">
        <v>53</v>
      </c>
      <c r="V301" t="s">
        <v>42</v>
      </c>
      <c r="W301" t="s">
        <v>43</v>
      </c>
      <c r="X301" t="s">
        <v>36</v>
      </c>
      <c r="Y301" t="s">
        <v>36</v>
      </c>
      <c r="Z301" t="s">
        <v>36</v>
      </c>
      <c r="AA301" t="s">
        <v>36</v>
      </c>
      <c r="AB301" t="s">
        <v>44</v>
      </c>
      <c r="AC301" t="s">
        <v>45</v>
      </c>
      <c r="AD301" t="s">
        <v>420</v>
      </c>
      <c r="AE301" t="s">
        <v>46</v>
      </c>
      <c r="AF301" t="s">
        <v>46</v>
      </c>
      <c r="AG301" t="s">
        <v>36</v>
      </c>
      <c r="AH301" t="s">
        <v>40</v>
      </c>
      <c r="AI301" t="s">
        <v>40</v>
      </c>
      <c r="AJ301" t="s">
        <v>40</v>
      </c>
    </row>
    <row r="302" spans="1:36" x14ac:dyDescent="0.25">
      <c r="A302" t="s">
        <v>34</v>
      </c>
      <c r="B302" t="s">
        <v>421</v>
      </c>
      <c r="C302" t="s">
        <v>36</v>
      </c>
      <c r="D302" t="s">
        <v>184</v>
      </c>
      <c r="E302" t="s">
        <v>65</v>
      </c>
      <c r="F302" t="s">
        <v>39</v>
      </c>
      <c r="G302" s="1"/>
      <c r="H302" t="s">
        <v>40</v>
      </c>
      <c r="I302" s="1"/>
      <c r="J302" t="s">
        <v>40</v>
      </c>
      <c r="K302" s="2">
        <v>0</v>
      </c>
      <c r="L302" t="s">
        <v>40</v>
      </c>
      <c r="M302" s="2">
        <f>Table1[[#This Row],[Quantity]]*Table1[[#This Row],[Proposed Unit Price]]</f>
        <v>0</v>
      </c>
      <c r="N302" t="s">
        <v>40</v>
      </c>
      <c r="O302" s="1">
        <v>0</v>
      </c>
      <c r="P302" t="s">
        <v>40</v>
      </c>
      <c r="Q302" s="6">
        <v>47362</v>
      </c>
      <c r="R302" s="6">
        <v>47726</v>
      </c>
      <c r="S302" t="s">
        <v>188</v>
      </c>
      <c r="T302" t="s">
        <v>183</v>
      </c>
      <c r="U302" t="s">
        <v>53</v>
      </c>
      <c r="V302" t="s">
        <v>42</v>
      </c>
      <c r="W302" t="s">
        <v>43</v>
      </c>
      <c r="X302" t="s">
        <v>36</v>
      </c>
      <c r="Y302" t="s">
        <v>36</v>
      </c>
      <c r="Z302" t="s">
        <v>36</v>
      </c>
      <c r="AA302" t="s">
        <v>36</v>
      </c>
      <c r="AB302" t="s">
        <v>44</v>
      </c>
      <c r="AC302" t="s">
        <v>45</v>
      </c>
      <c r="AD302" t="s">
        <v>421</v>
      </c>
      <c r="AE302" t="s">
        <v>46</v>
      </c>
      <c r="AF302" t="s">
        <v>46</v>
      </c>
      <c r="AG302" t="s">
        <v>36</v>
      </c>
      <c r="AH302" t="s">
        <v>40</v>
      </c>
      <c r="AI302" t="s">
        <v>40</v>
      </c>
      <c r="AJ302" t="s">
        <v>40</v>
      </c>
    </row>
    <row r="303" spans="1:36" x14ac:dyDescent="0.25">
      <c r="A303" t="s">
        <v>34</v>
      </c>
      <c r="B303" t="s">
        <v>422</v>
      </c>
      <c r="C303" t="s">
        <v>36</v>
      </c>
      <c r="D303" t="s">
        <v>186</v>
      </c>
      <c r="E303" t="s">
        <v>67</v>
      </c>
      <c r="F303" t="s">
        <v>87</v>
      </c>
      <c r="G303" s="1"/>
      <c r="H303" t="s">
        <v>40</v>
      </c>
      <c r="I303" s="1"/>
      <c r="J303" t="s">
        <v>40</v>
      </c>
      <c r="K303" s="2">
        <v>0</v>
      </c>
      <c r="L303" t="s">
        <v>40</v>
      </c>
      <c r="M303" s="2">
        <f>Table1[[#This Row],[Quantity]]*Table1[[#This Row],[Proposed Unit Price]]</f>
        <v>0</v>
      </c>
      <c r="N303" t="s">
        <v>40</v>
      </c>
      <c r="O303" s="1">
        <v>0</v>
      </c>
      <c r="P303" t="s">
        <v>40</v>
      </c>
      <c r="Q303" s="6">
        <v>47362</v>
      </c>
      <c r="R303" s="6">
        <v>47726</v>
      </c>
      <c r="S303" t="s">
        <v>188</v>
      </c>
      <c r="T303" t="s">
        <v>185</v>
      </c>
      <c r="U303" t="s">
        <v>53</v>
      </c>
      <c r="V303" t="s">
        <v>42</v>
      </c>
      <c r="W303" t="s">
        <v>43</v>
      </c>
      <c r="X303" t="s">
        <v>36</v>
      </c>
      <c r="Y303" t="s">
        <v>36</v>
      </c>
      <c r="Z303" t="s">
        <v>36</v>
      </c>
      <c r="AA303" t="s">
        <v>36</v>
      </c>
      <c r="AB303" t="s">
        <v>44</v>
      </c>
      <c r="AC303" t="s">
        <v>45</v>
      </c>
      <c r="AD303" t="s">
        <v>422</v>
      </c>
      <c r="AE303" t="s">
        <v>46</v>
      </c>
      <c r="AF303" t="s">
        <v>46</v>
      </c>
      <c r="AG303" t="s">
        <v>36</v>
      </c>
      <c r="AH303" t="s">
        <v>40</v>
      </c>
      <c r="AI303" t="s">
        <v>40</v>
      </c>
      <c r="AJ303" t="s">
        <v>40</v>
      </c>
    </row>
    <row r="304" spans="1:36" x14ac:dyDescent="0.25">
      <c r="I304" s="4">
        <f>SUM(I246:I303)</f>
        <v>0</v>
      </c>
      <c r="K304" s="8"/>
      <c r="M304" s="8">
        <f>SUM(M246:M303)</f>
        <v>0</v>
      </c>
    </row>
    <row r="306" spans="7:13" x14ac:dyDescent="0.25">
      <c r="G306" t="s">
        <v>425</v>
      </c>
      <c r="I306" s="4">
        <f>Table1[[#Totals],[Net Total]]+I243+I182+I121+I60</f>
        <v>0</v>
      </c>
      <c r="M306" s="3">
        <f>Table1[[#Totals],[Extended Proposed Price]]+M243+M182+M121+M60</f>
        <v>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Crum, Ralph R.</cp:lastModifiedBy>
  <dcterms:created xsi:type="dcterms:W3CDTF">2025-01-27T00:14:56Z</dcterms:created>
  <dcterms:modified xsi:type="dcterms:W3CDTF">2025-07-07T20:19:42Z</dcterms:modified>
</cp:coreProperties>
</file>