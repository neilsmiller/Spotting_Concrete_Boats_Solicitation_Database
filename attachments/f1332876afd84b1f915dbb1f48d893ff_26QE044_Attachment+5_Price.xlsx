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odea.sharepoint.com/sites/ProcurementDivision/Shared Documents/General/Contract Files/Transportation Branch/FY 26/FY26 D/26QE044 Okinawa SAA/A__PREAWARD/A4__SYN_SOL_SSP/26QE044_SOL/"/>
    </mc:Choice>
  </mc:AlternateContent>
  <xr:revisionPtr revIDLastSave="1207" documentId="8_{0A26CAAF-5575-4B65-B2C1-4CADA6268086}" xr6:coauthVersionLast="47" xr6:coauthVersionMax="47" xr10:uidLastSave="{C7656B3B-4B51-4B3E-918C-8E6C233D8067}"/>
  <bookViews>
    <workbookView xWindow="-110" yWindow="-110" windowWidth="19420" windowHeight="10300" xr2:uid="{00000000-000D-0000-FFFF-FFFF00000000}"/>
  </bookViews>
  <sheets>
    <sheet name="Summary" sheetId="4" r:id="rId1"/>
    <sheet name="Pricing Input" sheetId="1" r:id="rId2"/>
    <sheet name="Route Data 05 Nov 2025" sheetId="7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" i="1" l="1"/>
  <c r="F48" i="1"/>
  <c r="U14" i="1"/>
  <c r="H57" i="7" l="1"/>
  <c r="H59" i="7" s="1"/>
  <c r="E57" i="7" l="1"/>
  <c r="E59" i="7" s="1"/>
  <c r="B55" i="7"/>
  <c r="B57" i="7" s="1"/>
  <c r="B59" i="7" s="1"/>
  <c r="P27" i="7"/>
  <c r="I9" i="1" l="1"/>
  <c r="I8" i="1"/>
  <c r="I40" i="1" l="1"/>
  <c r="I32" i="1"/>
  <c r="I48" i="1"/>
  <c r="I49" i="1"/>
  <c r="I17" i="1"/>
  <c r="I41" i="1"/>
  <c r="I24" i="1"/>
  <c r="I25" i="1"/>
  <c r="I16" i="1"/>
  <c r="I33" i="1"/>
  <c r="H17" i="1" l="1"/>
  <c r="J17" i="1" s="1"/>
  <c r="H8" i="1"/>
  <c r="J8" i="1" s="1"/>
  <c r="H9" i="1" l="1"/>
  <c r="J9" i="1" s="1"/>
  <c r="H10" i="1" l="1"/>
  <c r="J10" i="1" s="1"/>
  <c r="H25" i="1" l="1"/>
  <c r="J25" i="1" s="1"/>
  <c r="H33" i="1" l="1"/>
  <c r="J33" i="1" s="1"/>
  <c r="H24" i="1"/>
  <c r="H26" i="1" l="1"/>
  <c r="J26" i="1" s="1"/>
  <c r="J24" i="1"/>
  <c r="H41" i="1"/>
  <c r="J41" i="1" s="1"/>
  <c r="H32" i="1"/>
  <c r="H34" i="1" l="1"/>
  <c r="J34" i="1" s="1"/>
  <c r="J32" i="1"/>
  <c r="H49" i="1"/>
  <c r="J49" i="1" s="1"/>
  <c r="H40" i="1"/>
  <c r="H42" i="1" l="1"/>
  <c r="J42" i="1" s="1"/>
  <c r="J40" i="1"/>
  <c r="C11" i="4"/>
  <c r="H48" i="1"/>
  <c r="J48" i="1" s="1"/>
  <c r="H50" i="1" l="1"/>
  <c r="J50" i="1" s="1"/>
  <c r="C13" i="4"/>
  <c r="C12" i="4"/>
  <c r="C15" i="4" l="1"/>
  <c r="C9" i="4" l="1"/>
  <c r="H16" i="1"/>
  <c r="H18" i="1" l="1"/>
  <c r="J18" i="1" s="1"/>
  <c r="J16" i="1"/>
  <c r="C10" i="4" l="1"/>
  <c r="C14" i="4" l="1"/>
  <c r="C16" i="4" s="1"/>
</calcChain>
</file>

<file path=xl/sharedStrings.xml><?xml version="1.0" encoding="utf-8"?>
<sst xmlns="http://schemas.openxmlformats.org/spreadsheetml/2006/main" count="249" uniqueCount="125">
  <si>
    <t>CONTROLLED UNCLASSIFIED INFORMATION</t>
  </si>
  <si>
    <t>Source Selection Information – see FAR 2.101 and 3.104</t>
  </si>
  <si>
    <t>IGE</t>
  </si>
  <si>
    <t>Summary of Base plus Option Periods</t>
  </si>
  <si>
    <t xml:space="preserve">Base Year </t>
  </si>
  <si>
    <t>Option Period Year 1</t>
  </si>
  <si>
    <t>Option Period Year 2</t>
  </si>
  <si>
    <t>Option Period Year 3</t>
  </si>
  <si>
    <t>Option Period Year 4</t>
  </si>
  <si>
    <t>Total Estimated Price</t>
  </si>
  <si>
    <t>FAR 52.217-8</t>
  </si>
  <si>
    <t xml:space="preserve">Ordering Vehicle QTY </t>
  </si>
  <si>
    <t>Base Year  SY 2026-2027</t>
  </si>
  <si>
    <t>CLIN</t>
  </si>
  <si>
    <t>PR Line Item</t>
  </si>
  <si>
    <t>Accounting Classification</t>
  </si>
  <si>
    <t>Description</t>
  </si>
  <si>
    <t>Unit of Issue</t>
  </si>
  <si>
    <t>Estimated
Unit Price</t>
  </si>
  <si>
    <t>Estimated Max
Total Cost</t>
  </si>
  <si>
    <t>Unit Cost in $</t>
  </si>
  <si>
    <t>Total Cost in $</t>
  </si>
  <si>
    <t>0001</t>
  </si>
  <si>
    <t>0001A</t>
  </si>
  <si>
    <t>0001B</t>
  </si>
  <si>
    <t>LOG_DAILYCOMMUTE_FY22^3300 AS REG STUD^210.51 Student</t>
  </si>
  <si>
    <t xml:space="preserve">Base Year  </t>
  </si>
  <si>
    <t>Fort Campbell</t>
  </si>
  <si>
    <t>TOTAL:</t>
  </si>
  <si>
    <t xml:space="preserve"> </t>
  </si>
  <si>
    <t>Option Year 1 SY 2027-2028</t>
  </si>
  <si>
    <t>1001</t>
  </si>
  <si>
    <t>1001A</t>
  </si>
  <si>
    <t>1001B</t>
  </si>
  <si>
    <t>Option Year 1</t>
  </si>
  <si>
    <t>Option Year 2 SY 2028-2029</t>
  </si>
  <si>
    <t>2001</t>
  </si>
  <si>
    <t>2001A</t>
  </si>
  <si>
    <t>2001B</t>
  </si>
  <si>
    <t>Option Year 2</t>
  </si>
  <si>
    <t>Option Year 3 SY 2029-2030</t>
  </si>
  <si>
    <t>3001</t>
  </si>
  <si>
    <t>3001A</t>
  </si>
  <si>
    <t>3001B</t>
  </si>
  <si>
    <t>Option Year 3</t>
  </si>
  <si>
    <t>Option Year 4 SY 2030-2031</t>
  </si>
  <si>
    <t>Yokota Bus Driver Services - Option Year Four 08/01/2030-07/31/2031                                          3% Industry Inflation</t>
  </si>
  <si>
    <t>4001A</t>
  </si>
  <si>
    <t>4001B</t>
  </si>
  <si>
    <t>Option Year 4</t>
  </si>
  <si>
    <t>Yokota Bus Driver Services - 52.217-8 Extension 08/01/2031-02/08/2032                                        3% Industry Inflation</t>
  </si>
  <si>
    <t>5001</t>
  </si>
  <si>
    <t>5001A</t>
  </si>
  <si>
    <t>5001B</t>
  </si>
  <si>
    <t>PAC South Safety Attendant/Aide</t>
  </si>
  <si>
    <t>PAC South Safety Attendant</t>
  </si>
  <si>
    <t>PAC South SA/A - Option Year One 08/01/2027-07/31/2028                                            3% Industry Inflation</t>
  </si>
  <si>
    <t>PAC South SA/A - Option Year Two 08/01/2028-07/31/2029                                            3% Industry Inflation</t>
  </si>
  <si>
    <t>PAC South SA/A - Option Year Three 08/01/2029-07/31/2030                                          3% Industry Inflation</t>
  </si>
  <si>
    <t>FY26 Exchange Rate</t>
  </si>
  <si>
    <t>Okinawa Safety Attendant/Aide Services - Base Year 8/1/2026 - 7/31/2027</t>
  </si>
  <si>
    <t>SY26-27 Daily Average hours per run</t>
  </si>
  <si>
    <t>Estimated FX Price (YEN)</t>
  </si>
  <si>
    <t>Safety Attendants</t>
  </si>
  <si>
    <t>SPED Safety Aides</t>
  </si>
  <si>
    <t>Estimated Maximum
Quantity</t>
  </si>
  <si>
    <t>DoDDS-Pacific / DDESS-Guam</t>
  </si>
  <si>
    <t>Okinawa Student Transportation Office</t>
  </si>
  <si>
    <t>SCHOOL BUS ROUTE DATA</t>
  </si>
  <si>
    <t>SY25-26</t>
  </si>
  <si>
    <t>SINGLE / DOUBLE ROUTES</t>
  </si>
  <si>
    <r>
      <rPr>
        <b/>
        <sz val="11"/>
        <rFont val="ＭＳ Ｐゴシック"/>
      </rPr>
      <t>AEIS</t>
    </r>
    <r>
      <rPr>
        <b/>
        <sz val="11"/>
        <rFont val="ＭＳ Ｐゴシック"/>
        <charset val="128"/>
      </rPr>
      <t>/</t>
    </r>
    <r>
      <rPr>
        <b/>
        <u/>
        <sz val="11"/>
        <rFont val="ＭＳ Ｐゴシック"/>
      </rPr>
      <t>RSPS</t>
    </r>
    <r>
      <rPr>
        <b/>
        <sz val="11"/>
        <rFont val="ＭＳ Ｐゴシック"/>
        <charset val="128"/>
      </rPr>
      <t xml:space="preserve"> Amelia Earhart Intermediate School / </t>
    </r>
    <r>
      <rPr>
        <b/>
        <u/>
        <sz val="11"/>
        <rFont val="ＭＳ Ｐゴシック"/>
      </rPr>
      <t>Ralph F. Stearley Primary School</t>
    </r>
  </si>
  <si>
    <r>
      <t>KDHS/</t>
    </r>
    <r>
      <rPr>
        <b/>
        <u/>
        <sz val="11"/>
        <rFont val="ＭＳ Ｐゴシック"/>
      </rPr>
      <t>KDMS</t>
    </r>
    <r>
      <rPr>
        <b/>
        <sz val="11"/>
        <rFont val="ＭＳ Ｐゴシック"/>
        <charset val="128"/>
      </rPr>
      <t xml:space="preserve">
Kadena High School / </t>
    </r>
    <r>
      <rPr>
        <b/>
        <u/>
        <sz val="11"/>
        <rFont val="ＭＳ Ｐゴシック"/>
      </rPr>
      <t>Kadena Middle School</t>
    </r>
  </si>
  <si>
    <t>Double Run</t>
  </si>
  <si>
    <t>Single Run</t>
  </si>
  <si>
    <t>Total Number of Buses</t>
  </si>
  <si>
    <t>11 New</t>
  </si>
  <si>
    <t>1 Tour</t>
  </si>
  <si>
    <t>3 micro buses</t>
  </si>
  <si>
    <t>Total 71 buses</t>
  </si>
  <si>
    <t>Total Buses AM Used</t>
  </si>
  <si>
    <t>AM double</t>
  </si>
  <si>
    <t>PM single</t>
  </si>
  <si>
    <t>Total Buses PM Used</t>
  </si>
  <si>
    <t>Total AM Single Routes</t>
  </si>
  <si>
    <t>Total PM Single Routes</t>
  </si>
  <si>
    <t>Total AM Double Routes</t>
  </si>
  <si>
    <t>Total PM Double Routes</t>
  </si>
  <si>
    <t>BTES Bechtel Elementary School</t>
  </si>
  <si>
    <t>Total AM Routes</t>
  </si>
  <si>
    <t>Total PM Routes</t>
  </si>
  <si>
    <t xml:space="preserve">AM single </t>
  </si>
  <si>
    <t>PM double</t>
  </si>
  <si>
    <t>Total Stops Used</t>
  </si>
  <si>
    <t>ON BAESE</t>
  </si>
  <si>
    <t>OFF BASE</t>
  </si>
  <si>
    <t>LSMS
Lester Middle School</t>
  </si>
  <si>
    <t>51 (PM)</t>
  </si>
  <si>
    <t>Total AM Standby Buses</t>
  </si>
  <si>
    <t>Total PM Standby Buses</t>
  </si>
  <si>
    <t>KLES 
E.C. Killin Elementary School</t>
  </si>
  <si>
    <t>28 (AM)</t>
  </si>
  <si>
    <t>RYMS
Ryukyu Middle School</t>
  </si>
  <si>
    <t>KDES
Kadena Elementary School</t>
  </si>
  <si>
    <t>KBHS
Kubasaki High School</t>
  </si>
  <si>
    <t xml:space="preserve"> 51 (AM)</t>
  </si>
  <si>
    <t xml:space="preserve"> 22 (AM)</t>
  </si>
  <si>
    <t>BHES
Bob Hope Elementary School</t>
  </si>
  <si>
    <t>ZKES
Zukeran Elementary School</t>
  </si>
  <si>
    <t>Total routes for Pre-K trough 2nd grade</t>
  </si>
  <si>
    <t>times 2 runs per route</t>
  </si>
  <si>
    <t>times 180 school days</t>
  </si>
  <si>
    <t>Total SPED routes</t>
  </si>
  <si>
    <t>KSES
Kinser Elementary School</t>
  </si>
  <si>
    <t>Total ESY SPED routes</t>
  </si>
  <si>
    <r>
      <rPr>
        <b/>
        <sz val="11"/>
        <color theme="1"/>
        <rFont val="Calibri"/>
        <family val="2"/>
        <scheme val="minor"/>
      </rPr>
      <t>Regular SY</t>
    </r>
    <r>
      <rPr>
        <sz val="11"/>
        <color theme="1"/>
        <rFont val="Calibri"/>
        <family val="2"/>
        <scheme val="minor"/>
      </rPr>
      <t xml:space="preserve">: 175 instructional days + 5 makeup days = </t>
    </r>
    <r>
      <rPr>
        <b/>
        <sz val="11"/>
        <color theme="1"/>
        <rFont val="Calibri"/>
        <family val="2"/>
        <scheme val="minor"/>
      </rPr>
      <t>180 days</t>
    </r>
    <r>
      <rPr>
        <sz val="11"/>
        <color theme="1"/>
        <rFont val="Calibri"/>
        <family val="2"/>
        <scheme val="minor"/>
      </rPr>
      <t xml:space="preserve">, multiplied by </t>
    </r>
    <r>
      <rPr>
        <b/>
        <sz val="11"/>
        <color theme="1"/>
        <rFont val="Calibri"/>
        <family val="2"/>
        <scheme val="minor"/>
      </rPr>
      <t>42 daily routes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1"/>
        <color theme="1"/>
        <rFont val="Calibri"/>
        <family val="2"/>
        <scheme val="minor"/>
      </rPr>
      <t xml:space="preserve"> total 7560 </t>
    </r>
    <r>
      <rPr>
        <sz val="11"/>
        <color theme="1"/>
        <rFont val="Calibri"/>
        <family val="2"/>
        <scheme val="minor"/>
      </rPr>
      <t>Safety Attendant R</t>
    </r>
    <r>
      <rPr>
        <b/>
        <sz val="11"/>
        <color theme="1"/>
        <rFont val="Calibri"/>
        <family val="2"/>
        <scheme val="minor"/>
      </rPr>
      <t xml:space="preserve">outes </t>
    </r>
    <r>
      <rPr>
        <sz val="11"/>
        <color theme="1"/>
        <rFont val="Calibri"/>
        <family val="2"/>
        <scheme val="minor"/>
      </rPr>
      <t>for the regular SY</t>
    </r>
  </si>
  <si>
    <r>
      <rPr>
        <b/>
        <sz val="11"/>
        <color theme="1"/>
        <rFont val="Calibri"/>
        <family val="2"/>
        <scheme val="minor"/>
      </rPr>
      <t>Regular SY plus ESY</t>
    </r>
    <r>
      <rPr>
        <sz val="11"/>
        <color theme="1"/>
        <rFont val="Calibri"/>
        <family val="2"/>
        <scheme val="minor"/>
      </rPr>
      <t xml:space="preserve">: 180 days x </t>
    </r>
    <r>
      <rPr>
        <b/>
        <sz val="11"/>
        <color theme="1"/>
        <rFont val="Calibri"/>
        <family val="2"/>
        <scheme val="minor"/>
      </rPr>
      <t>11 daily SPED</t>
    </r>
    <r>
      <rPr>
        <sz val="11"/>
        <color theme="1"/>
        <rFont val="Calibri"/>
        <family val="2"/>
        <scheme val="minor"/>
      </rPr>
      <t xml:space="preserve"> routes = </t>
    </r>
    <r>
      <rPr>
        <b/>
        <sz val="11"/>
        <color theme="1"/>
        <rFont val="Calibri"/>
        <family val="2"/>
        <scheme val="minor"/>
      </rPr>
      <t xml:space="preserve">1980 </t>
    </r>
    <r>
      <rPr>
        <sz val="11"/>
        <color theme="1"/>
        <rFont val="Calibri"/>
        <family val="2"/>
        <scheme val="minor"/>
      </rPr>
      <t>regular SY Safety Aide Routes,</t>
    </r>
    <r>
      <rPr>
        <b/>
        <sz val="11"/>
        <color theme="1"/>
        <rFont val="Calibri"/>
        <family val="2"/>
        <scheme val="minor"/>
      </rPr>
      <t xml:space="preserve"> plus ESY</t>
    </r>
    <r>
      <rPr>
        <sz val="11"/>
        <color theme="1"/>
        <rFont val="Calibri"/>
        <family val="2"/>
        <scheme val="minor"/>
      </rPr>
      <t xml:space="preserve"> (15 days x 5 routes =</t>
    </r>
    <r>
      <rPr>
        <b/>
        <sz val="11"/>
        <color theme="1"/>
        <rFont val="Calibri"/>
        <family val="2"/>
        <scheme val="minor"/>
      </rPr>
      <t xml:space="preserve"> 75 ESY routes</t>
    </r>
    <r>
      <rPr>
        <sz val="11"/>
        <color theme="1"/>
        <rFont val="Calibri"/>
        <family val="2"/>
        <scheme val="minor"/>
      </rPr>
      <t xml:space="preserve">) =1980+75 = </t>
    </r>
    <r>
      <rPr>
        <b/>
        <sz val="11"/>
        <color theme="1"/>
        <rFont val="Calibri"/>
        <family val="2"/>
        <scheme val="minor"/>
      </rPr>
      <t>2055 total</t>
    </r>
    <r>
      <rPr>
        <sz val="11"/>
        <color theme="1"/>
        <rFont val="Calibri"/>
        <family val="2"/>
        <scheme val="minor"/>
      </rPr>
      <t xml:space="preserve"> annual SPED/Safety Aide Routes</t>
    </r>
  </si>
  <si>
    <t>Period of Performance</t>
  </si>
  <si>
    <t>Base + 4 Option Years Estimate</t>
  </si>
  <si>
    <t>FAR 52.217-8 Option for up to 6mths</t>
  </si>
  <si>
    <t>4001</t>
  </si>
  <si>
    <t>Methodology for Estimated Maximum Quantities:</t>
  </si>
  <si>
    <t>Okinawa Safety Aides and Attendants Services</t>
  </si>
  <si>
    <t>Runs</t>
  </si>
  <si>
    <t>DoDEA Pacific South HE125426QE044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</si>
</sst>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[$¥-411]* #,##0.00_-;\-[$¥-411]* #,##0.00_-;_-[$¥-411]* &quot;-&quot;??_-;_-@_-"/>
    <numFmt numFmtId="165" formatCode="_ [$¥-804]* #,##0.00_ ;_ [$¥-804]* \-#,##0.00_ ;_ [$¥-804]* &quot;-&quot;??_ ;_ @_ "/>
    <numFmt numFmtId="166" formatCode="&quot;$&quot;#,##0.00"/>
    <numFmt numFmtId="167" formatCode="_ [$¥-804]* #,##0.0000_ ;_ [$¥-804]* \-#,##0.0000_ ;_ [$¥-804]* &quot;-&quot;??_ ;_ @_ "/>
    <numFmt numFmtId="169" formatCode="[$¥-411]\ \ #,##0.0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b/>
      <sz val="11"/>
      <name val="ＭＳ Ｐゴシック"/>
    </font>
    <font>
      <b/>
      <sz val="11"/>
      <name val="ＭＳ Ｐゴシック"/>
      <charset val="128"/>
    </font>
    <font>
      <b/>
      <u/>
      <sz val="11"/>
      <name val="ＭＳ Ｐゴシック"/>
    </font>
    <font>
      <sz val="9"/>
      <name val="ＭＳ Ｐゴシック"/>
      <charset val="128"/>
    </font>
    <font>
      <sz val="11"/>
      <name val="ＭＳ Ｐゴシック"/>
      <charset val="128"/>
    </font>
    <font>
      <b/>
      <sz val="11"/>
      <name val="Arial"/>
      <family val="2"/>
    </font>
    <font>
      <sz val="9"/>
      <name val="ＭＳ Ｐゴシック"/>
    </font>
    <font>
      <b/>
      <sz val="11"/>
      <name val="MS PGothic"/>
      <family val="2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11"/>
      <name val="MS PGothic"/>
      <family val="2"/>
    </font>
    <font>
      <sz val="9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MS PGothic"/>
      <family val="2"/>
    </font>
    <font>
      <b/>
      <sz val="9"/>
      <color rgb="FFFF0000"/>
      <name val="ＭＳ Ｐゴシック"/>
    </font>
    <font>
      <b/>
      <sz val="9"/>
      <color rgb="FF00B050"/>
      <name val="Calibri"/>
      <family val="2"/>
      <scheme val="minor"/>
    </font>
    <font>
      <b/>
      <sz val="11"/>
      <color rgb="FF0000FF"/>
      <name val="Arial"/>
      <family val="2"/>
    </font>
    <font>
      <b/>
      <sz val="11"/>
      <color rgb="FF0000FF"/>
      <name val="MS PGothic"/>
      <family val="2"/>
    </font>
    <font>
      <b/>
      <sz val="9"/>
      <color rgb="FF0000FF"/>
      <name val="ＭＳ Ｐゴシック"/>
    </font>
    <font>
      <sz val="11"/>
      <color rgb="FF0000FF"/>
      <name val="Calibri"/>
      <family val="2"/>
      <scheme val="minor"/>
    </font>
    <font>
      <b/>
      <sz val="11"/>
      <color rgb="FF00B050"/>
      <name val="MS PGothic"/>
      <family val="2"/>
    </font>
    <font>
      <b/>
      <sz val="11"/>
      <color rgb="FFFF0000"/>
      <name val="Calibri"/>
      <family val="2"/>
      <scheme val="minor"/>
    </font>
    <font>
      <b/>
      <sz val="11"/>
      <color rgb="FF0000FF"/>
      <name val="ＭＳ Ｐゴシック"/>
    </font>
    <font>
      <sz val="9"/>
      <name val="Arial"/>
      <family val="2"/>
    </font>
    <font>
      <b/>
      <sz val="9"/>
      <name val="Arial"/>
      <family val="2"/>
    </font>
    <font>
      <b/>
      <sz val="11"/>
      <name val="ＭＳ Ｐゴシック"/>
      <family val="3"/>
      <charset val="128"/>
    </font>
    <font>
      <b/>
      <sz val="11"/>
      <color theme="1"/>
      <name val="MS UI Gothic"/>
      <family val="2"/>
    </font>
    <font>
      <b/>
      <sz val="9"/>
      <name val="ＭＳ Ｐゴシック"/>
      <charset val="128"/>
    </font>
    <font>
      <b/>
      <sz val="9"/>
      <name val="ＭＳ Ｐゴシック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rgb="FFFDE9D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6FCE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5" fillId="0" borderId="0"/>
    <xf numFmtId="0" fontId="1" fillId="0" borderId="0"/>
    <xf numFmtId="0" fontId="15" fillId="0" borderId="0"/>
  </cellStyleXfs>
  <cellXfs count="208">
    <xf numFmtId="0" fontId="0" fillId="0" borderId="0" xfId="0"/>
    <xf numFmtId="0" fontId="5" fillId="0" borderId="0" xfId="0" applyFont="1"/>
    <xf numFmtId="49" fontId="11" fillId="0" borderId="7" xfId="0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164" fontId="0" fillId="4" borderId="7" xfId="0" applyNumberFormat="1" applyFill="1" applyBorder="1"/>
    <xf numFmtId="165" fontId="10" fillId="9" borderId="0" xfId="1" applyNumberFormat="1" applyFont="1" applyFill="1" applyBorder="1"/>
    <xf numFmtId="49" fontId="10" fillId="8" borderId="7" xfId="0" applyNumberFormat="1" applyFont="1" applyFill="1" applyBorder="1"/>
    <xf numFmtId="0" fontId="12" fillId="0" borderId="0" xfId="0" applyFont="1" applyAlignment="1">
      <alignment horizontal="center" vertical="center"/>
    </xf>
    <xf numFmtId="0" fontId="11" fillId="0" borderId="7" xfId="0" applyFont="1" applyBorder="1"/>
    <xf numFmtId="0" fontId="10" fillId="0" borderId="7" xfId="0" applyFont="1" applyBorder="1" applyAlignment="1">
      <alignment horizontal="center" vertical="center" wrapText="1"/>
    </xf>
    <xf numFmtId="0" fontId="10" fillId="8" borderId="7" xfId="0" applyFont="1" applyFill="1" applyBorder="1"/>
    <xf numFmtId="0" fontId="10" fillId="0" borderId="4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49" fontId="10" fillId="8" borderId="4" xfId="0" applyNumberFormat="1" applyFont="1" applyFill="1" applyBorder="1"/>
    <xf numFmtId="49" fontId="11" fillId="0" borderId="4" xfId="0" applyNumberFormat="1" applyFont="1" applyBorder="1"/>
    <xf numFmtId="164" fontId="11" fillId="0" borderId="17" xfId="1" applyNumberFormat="1" applyFont="1" applyFill="1" applyBorder="1"/>
    <xf numFmtId="0" fontId="9" fillId="6" borderId="10" xfId="0" applyFont="1" applyFill="1" applyBorder="1"/>
    <xf numFmtId="0" fontId="9" fillId="6" borderId="18" xfId="0" applyFont="1" applyFill="1" applyBorder="1"/>
    <xf numFmtId="0" fontId="10" fillId="6" borderId="18" xfId="0" applyFont="1" applyFill="1" applyBorder="1" applyAlignment="1">
      <alignment horizontal="right"/>
    </xf>
    <xf numFmtId="0" fontId="9" fillId="9" borderId="12" xfId="0" applyFont="1" applyFill="1" applyBorder="1"/>
    <xf numFmtId="0" fontId="9" fillId="9" borderId="0" xfId="0" applyFont="1" applyFill="1"/>
    <xf numFmtId="0" fontId="10" fillId="9" borderId="0" xfId="0" applyFont="1" applyFill="1" applyAlignment="1">
      <alignment horizontal="right"/>
    </xf>
    <xf numFmtId="0" fontId="11" fillId="9" borderId="0" xfId="0" applyFont="1" applyFill="1" applyAlignment="1">
      <alignment horizontal="center"/>
    </xf>
    <xf numFmtId="49" fontId="11" fillId="0" borderId="7" xfId="0" applyNumberFormat="1" applyFont="1" applyBorder="1"/>
    <xf numFmtId="164" fontId="11" fillId="4" borderId="7" xfId="1" applyNumberFormat="1" applyFont="1" applyFill="1" applyBorder="1" applyAlignment="1">
      <alignment horizontal="right"/>
    </xf>
    <xf numFmtId="164" fontId="11" fillId="0" borderId="17" xfId="0" applyNumberFormat="1" applyFont="1" applyBorder="1" applyAlignment="1">
      <alignment horizontal="center"/>
    </xf>
    <xf numFmtId="164" fontId="13" fillId="8" borderId="17" xfId="0" applyNumberFormat="1" applyFont="1" applyFill="1" applyBorder="1"/>
    <xf numFmtId="0" fontId="10" fillId="8" borderId="5" xfId="0" applyFont="1" applyFill="1" applyBorder="1"/>
    <xf numFmtId="165" fontId="13" fillId="6" borderId="19" xfId="1" applyNumberFormat="1" applyFont="1" applyFill="1" applyBorder="1"/>
    <xf numFmtId="0" fontId="10" fillId="8" borderId="3" xfId="0" applyFont="1" applyFill="1" applyBorder="1"/>
    <xf numFmtId="164" fontId="13" fillId="8" borderId="7" xfId="0" applyNumberFormat="1" applyFont="1" applyFill="1" applyBorder="1"/>
    <xf numFmtId="0" fontId="8" fillId="0" borderId="0" xfId="0" applyFont="1"/>
    <xf numFmtId="0" fontId="0" fillId="0" borderId="0" xfId="0" applyAlignment="1">
      <alignment horizontal="center" vertical="center"/>
    </xf>
    <xf numFmtId="2" fontId="8" fillId="0" borderId="0" xfId="0" applyNumberFormat="1" applyFont="1"/>
    <xf numFmtId="0" fontId="7" fillId="0" borderId="0" xfId="0" applyFont="1"/>
    <xf numFmtId="0" fontId="11" fillId="7" borderId="7" xfId="0" applyFont="1" applyFill="1" applyBorder="1" applyAlignment="1">
      <alignment horizontal="center"/>
    </xf>
    <xf numFmtId="167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166" fontId="0" fillId="0" borderId="20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8" fillId="0" borderId="7" xfId="0" applyFont="1" applyBorder="1" applyAlignment="1">
      <alignment horizontal="right" vertical="center"/>
    </xf>
    <xf numFmtId="0" fontId="0" fillId="0" borderId="22" xfId="0" applyBorder="1" applyAlignment="1">
      <alignment horizontal="right" vertical="center"/>
    </xf>
    <xf numFmtId="166" fontId="0" fillId="0" borderId="24" xfId="0" applyNumberFormat="1" applyBorder="1" applyAlignment="1">
      <alignment horizontal="right" vertical="center"/>
    </xf>
    <xf numFmtId="166" fontId="0" fillId="0" borderId="5" xfId="0" applyNumberFormat="1" applyBorder="1" applyAlignment="1">
      <alignment horizontal="right" vertical="center"/>
    </xf>
    <xf numFmtId="166" fontId="8" fillId="0" borderId="23" xfId="0" applyNumberFormat="1" applyFont="1" applyBorder="1" applyAlignment="1">
      <alignment horizontal="right" vertical="center"/>
    </xf>
    <xf numFmtId="0" fontId="7" fillId="0" borderId="22" xfId="0" applyFont="1" applyBorder="1" applyAlignment="1">
      <alignment horizontal="right" vertical="center"/>
    </xf>
    <xf numFmtId="0" fontId="15" fillId="0" borderId="0" xfId="2" applyAlignment="1">
      <alignment wrapText="1"/>
    </xf>
    <xf numFmtId="0" fontId="16" fillId="0" borderId="0" xfId="2" applyFont="1"/>
    <xf numFmtId="0" fontId="15" fillId="0" borderId="0" xfId="2" applyAlignment="1">
      <alignment horizontal="center"/>
    </xf>
    <xf numFmtId="0" fontId="15" fillId="0" borderId="0" xfId="2"/>
    <xf numFmtId="0" fontId="9" fillId="0" borderId="0" xfId="2" applyFont="1"/>
    <xf numFmtId="0" fontId="1" fillId="0" borderId="0" xfId="3"/>
    <xf numFmtId="0" fontId="17" fillId="0" borderId="0" xfId="2" applyFont="1" applyAlignment="1">
      <alignment wrapText="1"/>
    </xf>
    <xf numFmtId="0" fontId="9" fillId="0" borderId="0" xfId="2" applyFont="1" applyAlignment="1">
      <alignment horizontal="center"/>
    </xf>
    <xf numFmtId="0" fontId="18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18" fillId="0" borderId="26" xfId="2" applyFont="1" applyBorder="1" applyAlignment="1">
      <alignment vertical="center"/>
    </xf>
    <xf numFmtId="0" fontId="9" fillId="0" borderId="3" xfId="2" applyFont="1" applyBorder="1" applyAlignment="1">
      <alignment horizontal="center" vertical="center"/>
    </xf>
    <xf numFmtId="0" fontId="9" fillId="0" borderId="26" xfId="2" applyFont="1" applyBorder="1" applyAlignment="1">
      <alignment vertical="center"/>
    </xf>
    <xf numFmtId="0" fontId="23" fillId="0" borderId="0" xfId="3" applyFont="1"/>
    <xf numFmtId="0" fontId="9" fillId="8" borderId="7" xfId="3" applyFont="1" applyFill="1" applyBorder="1" applyAlignment="1">
      <alignment horizontal="center"/>
    </xf>
    <xf numFmtId="0" fontId="23" fillId="0" borderId="0" xfId="3" applyFont="1" applyAlignment="1">
      <alignment horizontal="center"/>
    </xf>
    <xf numFmtId="0" fontId="25" fillId="0" borderId="0" xfId="2" applyFont="1" applyAlignment="1">
      <alignment horizontal="left"/>
    </xf>
    <xf numFmtId="1" fontId="9" fillId="0" borderId="0" xfId="2" applyNumberFormat="1" applyFont="1" applyAlignment="1">
      <alignment horizontal="center"/>
    </xf>
    <xf numFmtId="0" fontId="8" fillId="0" borderId="0" xfId="3" quotePrefix="1" applyFont="1" applyAlignment="1">
      <alignment horizontal="center"/>
    </xf>
    <xf numFmtId="1" fontId="8" fillId="0" borderId="0" xfId="3" applyNumberFormat="1" applyFont="1" applyAlignment="1">
      <alignment horizontal="center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9" fillId="0" borderId="7" xfId="3" applyFont="1" applyBorder="1" applyAlignment="1">
      <alignment horizontal="center"/>
    </xf>
    <xf numFmtId="0" fontId="26" fillId="0" borderId="28" xfId="3" applyFont="1" applyBorder="1" applyAlignment="1">
      <alignment horizontal="right"/>
    </xf>
    <xf numFmtId="0" fontId="8" fillId="0" borderId="7" xfId="3" applyFont="1" applyBorder="1" applyAlignment="1">
      <alignment horizontal="center"/>
    </xf>
    <xf numFmtId="1" fontId="27" fillId="0" borderId="0" xfId="2" applyNumberFormat="1" applyFont="1" applyAlignment="1">
      <alignment horizontal="center"/>
    </xf>
    <xf numFmtId="0" fontId="28" fillId="0" borderId="0" xfId="3" applyFont="1" applyAlignment="1">
      <alignment horizontal="center"/>
    </xf>
    <xf numFmtId="0" fontId="25" fillId="0" borderId="0" xfId="4" applyFont="1"/>
    <xf numFmtId="0" fontId="1" fillId="0" borderId="0" xfId="3" applyAlignment="1">
      <alignment horizontal="center"/>
    </xf>
    <xf numFmtId="1" fontId="27" fillId="0" borderId="0" xfId="4" applyNumberFormat="1" applyFont="1" applyAlignment="1">
      <alignment horizontal="center"/>
    </xf>
    <xf numFmtId="0" fontId="8" fillId="14" borderId="7" xfId="3" applyFont="1" applyFill="1" applyBorder="1" applyAlignment="1">
      <alignment horizontal="center"/>
    </xf>
    <xf numFmtId="0" fontId="28" fillId="14" borderId="7" xfId="3" applyFont="1" applyFill="1" applyBorder="1" applyAlignment="1">
      <alignment horizontal="center"/>
    </xf>
    <xf numFmtId="0" fontId="29" fillId="0" borderId="0" xfId="4" applyFont="1"/>
    <xf numFmtId="0" fontId="30" fillId="0" borderId="0" xfId="4" applyFont="1"/>
    <xf numFmtId="0" fontId="9" fillId="0" borderId="28" xfId="3" applyFont="1" applyBorder="1" applyAlignment="1">
      <alignment horizontal="center"/>
    </xf>
    <xf numFmtId="0" fontId="27" fillId="0" borderId="0" xfId="4" applyFont="1" applyAlignment="1">
      <alignment horizontal="center"/>
    </xf>
    <xf numFmtId="0" fontId="9" fillId="0" borderId="7" xfId="3" applyFont="1" applyBorder="1" applyAlignment="1">
      <alignment horizontal="center" vertical="center"/>
    </xf>
    <xf numFmtId="0" fontId="24" fillId="0" borderId="0" xfId="3" applyFont="1"/>
    <xf numFmtId="0" fontId="30" fillId="0" borderId="0" xfId="3" applyFont="1"/>
    <xf numFmtId="0" fontId="9" fillId="16" borderId="7" xfId="3" applyFont="1" applyFill="1" applyBorder="1" applyAlignment="1">
      <alignment horizontal="center"/>
    </xf>
    <xf numFmtId="0" fontId="28" fillId="0" borderId="22" xfId="3" applyFont="1" applyBorder="1" applyAlignment="1">
      <alignment vertical="center" wrapText="1"/>
    </xf>
    <xf numFmtId="0" fontId="28" fillId="0" borderId="0" xfId="3" applyFont="1" applyAlignment="1">
      <alignment vertical="center" wrapText="1"/>
    </xf>
    <xf numFmtId="0" fontId="9" fillId="17" borderId="5" xfId="3" applyFont="1" applyFill="1" applyBorder="1" applyAlignment="1">
      <alignment horizontal="center"/>
    </xf>
    <xf numFmtId="0" fontId="31" fillId="17" borderId="7" xfId="2" applyFont="1" applyFill="1" applyBorder="1" applyAlignment="1">
      <alignment horizontal="center" vertical="center" wrapText="1"/>
    </xf>
    <xf numFmtId="0" fontId="32" fillId="0" borderId="0" xfId="2" applyFont="1" applyAlignment="1">
      <alignment horizontal="center"/>
    </xf>
    <xf numFmtId="0" fontId="9" fillId="17" borderId="7" xfId="3" applyFont="1" applyFill="1" applyBorder="1" applyAlignment="1">
      <alignment horizontal="center" vertical="center"/>
    </xf>
    <xf numFmtId="0" fontId="33" fillId="0" borderId="7" xfId="3" applyFont="1" applyBorder="1" applyAlignment="1">
      <alignment horizontal="center" vertical="center" wrapText="1"/>
    </xf>
    <xf numFmtId="0" fontId="9" fillId="14" borderId="7" xfId="3" applyFont="1" applyFill="1" applyBorder="1" applyAlignment="1">
      <alignment horizontal="center"/>
    </xf>
    <xf numFmtId="0" fontId="34" fillId="0" borderId="0" xfId="2" applyFont="1" applyAlignment="1">
      <alignment horizontal="left"/>
    </xf>
    <xf numFmtId="1" fontId="35" fillId="0" borderId="0" xfId="2" applyNumberFormat="1" applyFont="1" applyAlignment="1">
      <alignment horizontal="center"/>
    </xf>
    <xf numFmtId="0" fontId="36" fillId="0" borderId="0" xfId="3" applyFont="1"/>
    <xf numFmtId="0" fontId="14" fillId="0" borderId="0" xfId="3" applyFont="1"/>
    <xf numFmtId="0" fontId="38" fillId="0" borderId="0" xfId="2" applyFont="1" applyAlignment="1">
      <alignment horizontal="left"/>
    </xf>
    <xf numFmtId="1" fontId="39" fillId="0" borderId="0" xfId="4" applyNumberFormat="1" applyFont="1" applyAlignment="1">
      <alignment horizontal="center"/>
    </xf>
    <xf numFmtId="0" fontId="40" fillId="0" borderId="0" xfId="3" applyFont="1"/>
    <xf numFmtId="0" fontId="41" fillId="0" borderId="0" xfId="3" applyFont="1"/>
    <xf numFmtId="0" fontId="42" fillId="0" borderId="0" xfId="2" applyFont="1" applyAlignment="1">
      <alignment horizontal="center"/>
    </xf>
    <xf numFmtId="0" fontId="37" fillId="0" borderId="0" xfId="3" applyFont="1"/>
    <xf numFmtId="0" fontId="27" fillId="0" borderId="0" xfId="2" applyFont="1" applyAlignment="1">
      <alignment horizontal="left"/>
    </xf>
    <xf numFmtId="0" fontId="26" fillId="0" borderId="22" xfId="3" applyFont="1" applyBorder="1" applyAlignment="1">
      <alignment horizontal="right"/>
    </xf>
    <xf numFmtId="0" fontId="43" fillId="0" borderId="0" xfId="3" applyFont="1"/>
    <xf numFmtId="0" fontId="44" fillId="0" borderId="0" xfId="3" applyFont="1"/>
    <xf numFmtId="0" fontId="45" fillId="0" borderId="0" xfId="4" applyFont="1"/>
    <xf numFmtId="0" fontId="46" fillId="0" borderId="0" xfId="4" applyFont="1" applyAlignment="1">
      <alignment horizontal="center"/>
    </xf>
    <xf numFmtId="0" fontId="46" fillId="0" borderId="0" xfId="4" applyFont="1"/>
    <xf numFmtId="0" fontId="8" fillId="8" borderId="7" xfId="3" applyFont="1" applyFill="1" applyBorder="1" applyAlignment="1">
      <alignment horizontal="center"/>
    </xf>
    <xf numFmtId="0" fontId="33" fillId="14" borderId="7" xfId="3" applyFont="1" applyFill="1" applyBorder="1" applyAlignment="1">
      <alignment horizontal="center"/>
    </xf>
    <xf numFmtId="0" fontId="8" fillId="0" borderId="0" xfId="3" applyFont="1"/>
    <xf numFmtId="0" fontId="46" fillId="0" borderId="0" xfId="2" applyFont="1" applyAlignment="1">
      <alignment horizontal="center"/>
    </xf>
    <xf numFmtId="0" fontId="27" fillId="0" borderId="0" xfId="2" applyFont="1" applyAlignment="1">
      <alignment horizontal="center"/>
    </xf>
    <xf numFmtId="0" fontId="9" fillId="0" borderId="0" xfId="3" applyFont="1" applyAlignment="1">
      <alignment horizontal="center"/>
    </xf>
    <xf numFmtId="0" fontId="9" fillId="0" borderId="7" xfId="3" applyFont="1" applyBorder="1" applyAlignment="1">
      <alignment horizontal="center" vertical="center" wrapText="1"/>
    </xf>
    <xf numFmtId="0" fontId="9" fillId="14" borderId="7" xfId="3" applyFont="1" applyFill="1" applyBorder="1" applyAlignment="1">
      <alignment horizontal="center" vertical="center" wrapText="1"/>
    </xf>
    <xf numFmtId="0" fontId="9" fillId="4" borderId="7" xfId="3" applyFont="1" applyFill="1" applyBorder="1" applyAlignment="1">
      <alignment horizontal="center"/>
    </xf>
    <xf numFmtId="0" fontId="26" fillId="0" borderId="0" xfId="3" applyFont="1" applyAlignment="1">
      <alignment horizontal="right"/>
    </xf>
    <xf numFmtId="0" fontId="9" fillId="4" borderId="30" xfId="3" applyFont="1" applyFill="1" applyBorder="1" applyAlignment="1">
      <alignment horizontal="center"/>
    </xf>
    <xf numFmtId="0" fontId="9" fillId="16" borderId="30" xfId="3" applyFont="1" applyFill="1" applyBorder="1" applyAlignment="1">
      <alignment horizontal="center"/>
    </xf>
    <xf numFmtId="0" fontId="33" fillId="0" borderId="0" xfId="3" applyFont="1" applyAlignment="1">
      <alignment horizontal="center"/>
    </xf>
    <xf numFmtId="0" fontId="50" fillId="0" borderId="0" xfId="3" applyFont="1" applyAlignment="1">
      <alignment vertical="center" wrapText="1"/>
    </xf>
    <xf numFmtId="0" fontId="16" fillId="0" borderId="0" xfId="3" applyFont="1"/>
    <xf numFmtId="0" fontId="9" fillId="0" borderId="0" xfId="3" applyFont="1"/>
    <xf numFmtId="0" fontId="8" fillId="22" borderId="0" xfId="3" applyFont="1" applyFill="1" applyAlignment="1">
      <alignment horizontal="center" vertical="center" wrapText="1"/>
    </xf>
    <xf numFmtId="0" fontId="8" fillId="22" borderId="0" xfId="3" applyFont="1" applyFill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4" borderId="0" xfId="3" applyFont="1" applyFill="1" applyAlignment="1">
      <alignment horizontal="center" vertical="center" wrapText="1"/>
    </xf>
    <xf numFmtId="0" fontId="8" fillId="4" borderId="0" xfId="3" applyFont="1" applyFill="1" applyAlignment="1">
      <alignment horizontal="center" vertical="center"/>
    </xf>
    <xf numFmtId="0" fontId="1" fillId="0" borderId="0" xfId="3" applyAlignment="1">
      <alignment wrapText="1"/>
    </xf>
    <xf numFmtId="0" fontId="9" fillId="23" borderId="7" xfId="3" applyFont="1" applyFill="1" applyBorder="1" applyAlignment="1">
      <alignment horizontal="center"/>
    </xf>
    <xf numFmtId="0" fontId="8" fillId="23" borderId="7" xfId="3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169" fontId="2" fillId="0" borderId="5" xfId="1" applyNumberFormat="1" applyFont="1" applyFill="1" applyBorder="1" applyAlignment="1">
      <alignment horizontal="left"/>
    </xf>
    <xf numFmtId="0" fontId="4" fillId="24" borderId="9" xfId="0" applyFont="1" applyFill="1" applyBorder="1" applyAlignment="1">
      <alignment horizontal="left" vertical="center"/>
    </xf>
    <xf numFmtId="0" fontId="4" fillId="24" borderId="13" xfId="0" applyFont="1" applyFill="1" applyBorder="1" applyAlignment="1">
      <alignment horizontal="left" vertical="center"/>
    </xf>
    <xf numFmtId="0" fontId="4" fillId="24" borderId="10" xfId="0" applyFont="1" applyFill="1" applyBorder="1" applyAlignment="1">
      <alignment horizontal="left" vertical="center"/>
    </xf>
    <xf numFmtId="0" fontId="4" fillId="25" borderId="10" xfId="0" applyFont="1" applyFill="1" applyBorder="1" applyAlignment="1">
      <alignment horizontal="left"/>
    </xf>
    <xf numFmtId="169" fontId="4" fillId="25" borderId="14" xfId="0" applyNumberFormat="1" applyFont="1" applyFill="1" applyBorder="1" applyAlignment="1">
      <alignment horizontal="left"/>
    </xf>
    <xf numFmtId="169" fontId="2" fillId="0" borderId="5" xfId="0" applyNumberFormat="1" applyFont="1" applyBorder="1" applyAlignment="1">
      <alignment horizontal="left"/>
    </xf>
    <xf numFmtId="169" fontId="4" fillId="24" borderId="14" xfId="1" applyNumberFormat="1" applyFont="1" applyFill="1" applyBorder="1" applyAlignment="1">
      <alignment horizontal="left" vertical="center"/>
    </xf>
    <xf numFmtId="167" fontId="8" fillId="0" borderId="3" xfId="0" applyNumberFormat="1" applyFont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10" fontId="10" fillId="0" borderId="0" xfId="0" applyNumberFormat="1" applyFont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/>
    <xf numFmtId="0" fontId="10" fillId="8" borderId="5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0" fontId="11" fillId="6" borderId="18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left"/>
    </xf>
    <xf numFmtId="0" fontId="10" fillId="3" borderId="17" xfId="0" applyFont="1" applyFill="1" applyBorder="1" applyAlignment="1">
      <alignment horizontal="left"/>
    </xf>
    <xf numFmtId="0" fontId="10" fillId="2" borderId="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10" fillId="8" borderId="6" xfId="0" applyFont="1" applyFill="1" applyBorder="1" applyAlignment="1">
      <alignment horizontal="center" wrapText="1"/>
    </xf>
    <xf numFmtId="0" fontId="20" fillId="13" borderId="25" xfId="3" applyFont="1" applyFill="1" applyBorder="1" applyAlignment="1">
      <alignment horizontal="center" vertical="center" wrapText="1"/>
    </xf>
    <xf numFmtId="0" fontId="21" fillId="13" borderId="27" xfId="3" applyFont="1" applyFill="1" applyBorder="1" applyAlignment="1">
      <alignment horizontal="center" vertical="center" wrapText="1"/>
    </xf>
    <xf numFmtId="0" fontId="21" fillId="13" borderId="29" xfId="3" applyFont="1" applyFill="1" applyBorder="1" applyAlignment="1">
      <alignment horizontal="center" vertical="center" wrapText="1"/>
    </xf>
    <xf numFmtId="0" fontId="21" fillId="10" borderId="7" xfId="3" applyFont="1" applyFill="1" applyBorder="1" applyAlignment="1">
      <alignment horizontal="center" vertical="center" wrapText="1"/>
    </xf>
    <xf numFmtId="0" fontId="24" fillId="12" borderId="7" xfId="3" applyFont="1" applyFill="1" applyBorder="1" applyAlignment="1">
      <alignment horizontal="center"/>
    </xf>
    <xf numFmtId="0" fontId="21" fillId="15" borderId="25" xfId="3" applyFont="1" applyFill="1" applyBorder="1" applyAlignment="1">
      <alignment horizontal="center" vertical="center" wrapText="1"/>
    </xf>
    <xf numFmtId="0" fontId="21" fillId="15" borderId="27" xfId="3" applyFont="1" applyFill="1" applyBorder="1" applyAlignment="1">
      <alignment horizontal="center" vertical="center" wrapText="1"/>
    </xf>
    <xf numFmtId="0" fontId="21" fillId="15" borderId="29" xfId="3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 wrapText="1"/>
    </xf>
    <xf numFmtId="0" fontId="17" fillId="0" borderId="0" xfId="2" applyFont="1" applyAlignment="1">
      <alignment horizontal="center"/>
    </xf>
    <xf numFmtId="0" fontId="17" fillId="11" borderId="23" xfId="2" applyFont="1" applyFill="1" applyBorder="1" applyAlignment="1">
      <alignment horizontal="center" vertical="center"/>
    </xf>
    <xf numFmtId="0" fontId="17" fillId="11" borderId="25" xfId="2" applyFont="1" applyFill="1" applyBorder="1" applyAlignment="1">
      <alignment horizontal="center" vertical="center"/>
    </xf>
    <xf numFmtId="49" fontId="19" fillId="12" borderId="7" xfId="2" applyNumberFormat="1" applyFont="1" applyFill="1" applyBorder="1" applyAlignment="1">
      <alignment horizontal="center" vertical="center"/>
    </xf>
    <xf numFmtId="49" fontId="19" fillId="12" borderId="1" xfId="2" applyNumberFormat="1" applyFont="1" applyFill="1" applyBorder="1" applyAlignment="1">
      <alignment horizontal="center" vertical="center"/>
    </xf>
    <xf numFmtId="0" fontId="49" fillId="21" borderId="30" xfId="3" applyFont="1" applyFill="1" applyBorder="1" applyAlignment="1">
      <alignment horizontal="center" vertical="center" wrapText="1"/>
    </xf>
    <xf numFmtId="0" fontId="49" fillId="21" borderId="1" xfId="3" applyFont="1" applyFill="1" applyBorder="1" applyAlignment="1">
      <alignment horizontal="center" vertical="center"/>
    </xf>
    <xf numFmtId="0" fontId="21" fillId="10" borderId="30" xfId="3" applyFont="1" applyFill="1" applyBorder="1" applyAlignment="1">
      <alignment horizontal="center" vertical="center" wrapText="1"/>
    </xf>
    <xf numFmtId="0" fontId="21" fillId="10" borderId="28" xfId="3" applyFont="1" applyFill="1" applyBorder="1" applyAlignment="1">
      <alignment horizontal="center" vertical="center"/>
    </xf>
    <xf numFmtId="0" fontId="21" fillId="10" borderId="1" xfId="3" applyFont="1" applyFill="1" applyBorder="1" applyAlignment="1">
      <alignment horizontal="center" vertical="center"/>
    </xf>
    <xf numFmtId="0" fontId="37" fillId="0" borderId="0" xfId="3" applyFont="1" applyAlignment="1">
      <alignment horizontal="center" vertical="center"/>
    </xf>
    <xf numFmtId="0" fontId="21" fillId="18" borderId="25" xfId="3" applyFont="1" applyFill="1" applyBorder="1" applyAlignment="1">
      <alignment horizontal="center" vertical="center" wrapText="1"/>
    </xf>
    <xf numFmtId="0" fontId="21" fillId="18" borderId="27" xfId="3" applyFont="1" applyFill="1" applyBorder="1" applyAlignment="1">
      <alignment horizontal="center" vertical="center" wrapText="1"/>
    </xf>
    <xf numFmtId="0" fontId="21" fillId="18" borderId="29" xfId="3" applyFont="1" applyFill="1" applyBorder="1" applyAlignment="1">
      <alignment horizontal="center" vertical="center" wrapText="1"/>
    </xf>
    <xf numFmtId="0" fontId="21" fillId="11" borderId="25" xfId="3" applyFont="1" applyFill="1" applyBorder="1" applyAlignment="1">
      <alignment horizontal="center" vertical="center" wrapText="1"/>
    </xf>
    <xf numFmtId="0" fontId="21" fillId="11" borderId="27" xfId="3" applyFont="1" applyFill="1" applyBorder="1" applyAlignment="1">
      <alignment horizontal="center" vertical="center" wrapText="1"/>
    </xf>
    <xf numFmtId="0" fontId="21" fillId="11" borderId="29" xfId="3" applyFont="1" applyFill="1" applyBorder="1" applyAlignment="1">
      <alignment horizontal="center" vertical="center" wrapText="1"/>
    </xf>
    <xf numFmtId="0" fontId="47" fillId="19" borderId="25" xfId="3" applyFont="1" applyFill="1" applyBorder="1" applyAlignment="1">
      <alignment horizontal="center" vertical="center" wrapText="1"/>
    </xf>
    <xf numFmtId="0" fontId="47" fillId="19" borderId="29" xfId="3" applyFont="1" applyFill="1" applyBorder="1" applyAlignment="1">
      <alignment horizontal="center" vertical="center" wrapText="1"/>
    </xf>
    <xf numFmtId="0" fontId="48" fillId="20" borderId="25" xfId="3" applyFont="1" applyFill="1" applyBorder="1" applyAlignment="1">
      <alignment horizontal="center" vertical="center" wrapText="1"/>
    </xf>
    <xf numFmtId="0" fontId="48" fillId="20" borderId="27" xfId="3" applyFont="1" applyFill="1" applyBorder="1" applyAlignment="1">
      <alignment horizontal="center" vertical="center" wrapText="1"/>
    </xf>
    <xf numFmtId="0" fontId="48" fillId="20" borderId="29" xfId="3" applyFont="1" applyFill="1" applyBorder="1" applyAlignment="1">
      <alignment horizontal="center" vertical="center" wrapText="1"/>
    </xf>
  </cellXfs>
  <cellStyles count="5">
    <cellStyle name="Currency" xfId="1" builtinId="4"/>
    <cellStyle name="Normal" xfId="0" builtinId="0"/>
    <cellStyle name="Normal 4" xfId="3" xr:uid="{5DB2DFF3-0480-462C-A752-5FB6CD02FE3A}"/>
    <cellStyle name="Normal_Book1 2" xfId="4" xr:uid="{324FFC19-CE53-41C5-9BE8-C3DF9B975F33}"/>
    <cellStyle name="Normal_Sheet1_Book1" xfId="2" xr:uid="{04E2C176-A005-43EE-96FF-B1F413831216}"/>
  </cellStyles>
  <dxfs count="0"/>
  <tableStyles count="0" defaultTableStyle="TableStyleMedium2" defaultPivotStyle="PivotStyleLight16"/>
  <colors>
    <mruColors>
      <color rgb="FF99FF33"/>
      <color rgb="FFA6FCEC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'Route Summary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152400</xdr:rowOff>
    </xdr:from>
    <xdr:to>
      <xdr:col>2</xdr:col>
      <xdr:colOff>114300</xdr:colOff>
      <xdr:row>5</xdr:row>
      <xdr:rowOff>133350</xdr:rowOff>
    </xdr:to>
    <xdr:pic>
      <xdr:nvPicPr>
        <xdr:cNvPr id="2" name="Picture 1" descr="Log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0574C2-7E84-452A-B44F-16E7787CC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100" y="152400"/>
          <a:ext cx="1647825" cy="1247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B1:C16"/>
  <sheetViews>
    <sheetView tabSelected="1" topLeftCell="A6" zoomScale="115" zoomScaleNormal="115" workbookViewId="0">
      <selection activeCell="G11" sqref="G11"/>
    </sheetView>
  </sheetViews>
  <sheetFormatPr defaultRowHeight="14.5"/>
  <cols>
    <col min="2" max="2" width="36.54296875" bestFit="1" customWidth="1"/>
    <col min="3" max="3" width="37.26953125" customWidth="1"/>
  </cols>
  <sheetData>
    <row r="1" spans="2:3" ht="26.25" customHeight="1">
      <c r="B1" s="156" t="s">
        <v>0</v>
      </c>
      <c r="C1" s="156"/>
    </row>
    <row r="2" spans="2:3" ht="26.25" customHeight="1">
      <c r="B2" s="156" t="s">
        <v>1</v>
      </c>
      <c r="C2" s="156"/>
    </row>
    <row r="3" spans="2:3" ht="17.5">
      <c r="B3" s="157" t="s">
        <v>2</v>
      </c>
      <c r="C3" s="157"/>
    </row>
    <row r="4" spans="2:3" ht="17.5">
      <c r="B4" s="157" t="s">
        <v>124</v>
      </c>
      <c r="C4" s="157"/>
    </row>
    <row r="5" spans="2:3" ht="17.5">
      <c r="B5" s="157" t="s">
        <v>122</v>
      </c>
      <c r="C5" s="157"/>
    </row>
    <row r="6" spans="2:3" ht="17.5">
      <c r="B6" s="157" t="s">
        <v>3</v>
      </c>
      <c r="C6" s="157"/>
    </row>
    <row r="7" spans="2:3" ht="15" thickBot="1"/>
    <row r="8" spans="2:3" s="1" customFormat="1" ht="15">
      <c r="B8" s="145" t="s">
        <v>117</v>
      </c>
      <c r="C8" s="146" t="s">
        <v>62</v>
      </c>
    </row>
    <row r="9" spans="2:3" s="1" customFormat="1" ht="15.5">
      <c r="B9" s="142" t="s">
        <v>4</v>
      </c>
      <c r="C9" s="144">
        <f>'Pricing Input'!H10</f>
        <v>0</v>
      </c>
    </row>
    <row r="10" spans="2:3" s="1" customFormat="1" ht="15.5">
      <c r="B10" s="142" t="s">
        <v>5</v>
      </c>
      <c r="C10" s="144">
        <f>'Pricing Input'!H18</f>
        <v>0</v>
      </c>
    </row>
    <row r="11" spans="2:3" s="1" customFormat="1" ht="15.5">
      <c r="B11" s="142" t="s">
        <v>6</v>
      </c>
      <c r="C11" s="144">
        <f>'Pricing Input'!H26</f>
        <v>0</v>
      </c>
    </row>
    <row r="12" spans="2:3" s="1" customFormat="1" ht="15.5">
      <c r="B12" s="142" t="s">
        <v>7</v>
      </c>
      <c r="C12" s="144">
        <f>'Pricing Input'!H34</f>
        <v>0</v>
      </c>
    </row>
    <row r="13" spans="2:3" s="1" customFormat="1" ht="15.5">
      <c r="B13" s="142" t="s">
        <v>8</v>
      </c>
      <c r="C13" s="144">
        <f>'Pricing Input'!H42</f>
        <v>0</v>
      </c>
    </row>
    <row r="14" spans="2:3" s="1" customFormat="1" ht="15.5" thickBot="1">
      <c r="B14" s="147" t="s">
        <v>118</v>
      </c>
      <c r="C14" s="151">
        <f>SUM(C9:C13)</f>
        <v>0</v>
      </c>
    </row>
    <row r="15" spans="2:3" ht="15.5">
      <c r="B15" s="143" t="s">
        <v>119</v>
      </c>
      <c r="C15" s="150">
        <f>'Pricing Input'!H50</f>
        <v>0</v>
      </c>
    </row>
    <row r="16" spans="2:3" ht="16" thickBot="1">
      <c r="B16" s="148" t="s">
        <v>9</v>
      </c>
      <c r="C16" s="149">
        <f>SUM(C14:C15)</f>
        <v>0</v>
      </c>
    </row>
  </sheetData>
  <mergeCells count="6">
    <mergeCell ref="B1:C1"/>
    <mergeCell ref="B2:C2"/>
    <mergeCell ref="B3:C3"/>
    <mergeCell ref="B4:C4"/>
    <mergeCell ref="B5:C5"/>
    <mergeCell ref="B6:C6"/>
  </mergeCells>
  <pageMargins left="0.2" right="0" top="0.25" bottom="0.2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showGridLines="0" zoomScale="85" zoomScaleNormal="85" workbookViewId="0">
      <selection activeCell="M43" sqref="M43"/>
    </sheetView>
  </sheetViews>
  <sheetFormatPr defaultColWidth="9" defaultRowHeight="14.5"/>
  <cols>
    <col min="1" max="1" width="14.54296875" customWidth="1"/>
    <col min="2" max="2" width="12.81640625" hidden="1" customWidth="1"/>
    <col min="3" max="3" width="53.54296875" hidden="1" customWidth="1"/>
    <col min="4" max="4" width="50.453125" customWidth="1"/>
    <col min="5" max="5" width="11.7265625" customWidth="1"/>
    <col min="6" max="6" width="13.1796875" customWidth="1"/>
    <col min="7" max="7" width="17.26953125" bestFit="1" customWidth="1"/>
    <col min="8" max="8" width="20.26953125" customWidth="1"/>
    <col min="9" max="9" width="12.7265625" style="33" hidden="1" customWidth="1"/>
    <col min="10" max="10" width="13.81640625" style="44" hidden="1" customWidth="1"/>
    <col min="11" max="11" width="11.26953125" customWidth="1"/>
  </cols>
  <sheetData>
    <row r="1" spans="1:21" ht="26.25" customHeight="1">
      <c r="B1" s="8" t="s">
        <v>0</v>
      </c>
      <c r="C1" s="8"/>
      <c r="D1" s="156" t="s">
        <v>0</v>
      </c>
      <c r="E1" s="158"/>
      <c r="F1" s="158"/>
      <c r="G1" s="158"/>
      <c r="H1" s="158"/>
    </row>
    <row r="2" spans="1:21" ht="26.25" customHeight="1" thickBot="1">
      <c r="B2" s="8" t="s">
        <v>1</v>
      </c>
      <c r="C2" s="8"/>
      <c r="D2" s="156" t="s">
        <v>1</v>
      </c>
      <c r="E2" s="158"/>
      <c r="F2" s="158"/>
      <c r="G2" s="158"/>
      <c r="H2" s="158"/>
    </row>
    <row r="3" spans="1:21" ht="15" thickBot="1">
      <c r="E3" s="170" t="s">
        <v>11</v>
      </c>
      <c r="F3" s="170"/>
      <c r="G3" s="170"/>
      <c r="H3" s="171"/>
    </row>
    <row r="4" spans="1:21" ht="43.5">
      <c r="A4" s="166" t="s">
        <v>54</v>
      </c>
      <c r="B4" s="167"/>
      <c r="C4" s="167"/>
      <c r="D4" s="167"/>
      <c r="E4" s="172" t="s">
        <v>12</v>
      </c>
      <c r="F4" s="172"/>
      <c r="G4" s="172"/>
      <c r="H4" s="173"/>
      <c r="I4" s="40" t="s">
        <v>59</v>
      </c>
      <c r="J4" s="152">
        <v>150.44149999999999</v>
      </c>
      <c r="K4" s="153"/>
      <c r="L4" s="154"/>
    </row>
    <row r="5" spans="1:21" ht="43.5">
      <c r="A5" s="12" t="s">
        <v>13</v>
      </c>
      <c r="B5" s="10" t="s">
        <v>14</v>
      </c>
      <c r="C5" s="10" t="s">
        <v>15</v>
      </c>
      <c r="D5" s="10" t="s">
        <v>16</v>
      </c>
      <c r="E5" s="10" t="s">
        <v>17</v>
      </c>
      <c r="F5" s="10" t="s">
        <v>65</v>
      </c>
      <c r="G5" s="10" t="s">
        <v>18</v>
      </c>
      <c r="H5" s="13" t="s">
        <v>19</v>
      </c>
      <c r="I5" s="39" t="s">
        <v>20</v>
      </c>
      <c r="J5" s="45" t="s">
        <v>21</v>
      </c>
      <c r="K5" s="37"/>
    </row>
    <row r="6" spans="1:21">
      <c r="A6" s="163" t="s">
        <v>60</v>
      </c>
      <c r="B6" s="164"/>
      <c r="C6" s="164"/>
      <c r="D6" s="164"/>
      <c r="E6" s="164"/>
      <c r="F6" s="164"/>
      <c r="G6" s="164"/>
      <c r="H6" s="165"/>
      <c r="J6" s="46"/>
    </row>
    <row r="7" spans="1:21" ht="15.5">
      <c r="A7" s="14" t="s">
        <v>22</v>
      </c>
      <c r="B7" s="7"/>
      <c r="C7" s="7"/>
      <c r="D7" s="11" t="s">
        <v>55</v>
      </c>
      <c r="E7" s="174"/>
      <c r="F7" s="175"/>
      <c r="G7" s="176"/>
      <c r="H7" s="27"/>
      <c r="J7" s="46"/>
      <c r="K7" t="s">
        <v>121</v>
      </c>
    </row>
    <row r="8" spans="1:21">
      <c r="A8" s="15" t="s">
        <v>23</v>
      </c>
      <c r="B8" s="24"/>
      <c r="C8" s="24"/>
      <c r="D8" s="9" t="s">
        <v>63</v>
      </c>
      <c r="E8" s="4" t="s">
        <v>123</v>
      </c>
      <c r="F8" s="155">
        <v>15120</v>
      </c>
      <c r="G8" s="5"/>
      <c r="H8" s="26">
        <f>F8*G8</f>
        <v>0</v>
      </c>
      <c r="I8" s="41">
        <f>G8/$J$4</f>
        <v>0</v>
      </c>
      <c r="J8" s="47">
        <f>H8/$J$4</f>
        <v>0</v>
      </c>
      <c r="K8" t="s">
        <v>115</v>
      </c>
    </row>
    <row r="9" spans="1:21">
      <c r="A9" s="15" t="s">
        <v>24</v>
      </c>
      <c r="B9" s="24"/>
      <c r="C9" s="24"/>
      <c r="D9" s="9" t="s">
        <v>64</v>
      </c>
      <c r="E9" s="4" t="s">
        <v>123</v>
      </c>
      <c r="F9" s="155">
        <v>4110</v>
      </c>
      <c r="G9" s="25"/>
      <c r="H9" s="26">
        <f t="shared" ref="H9" si="0">F9*G9</f>
        <v>0</v>
      </c>
      <c r="I9" s="42">
        <f>G9/$J$4</f>
        <v>0</v>
      </c>
      <c r="J9" s="48">
        <f>H9/$J$4</f>
        <v>0</v>
      </c>
      <c r="K9" t="s">
        <v>116</v>
      </c>
    </row>
    <row r="10" spans="1:21" ht="16" thickBot="1">
      <c r="A10" s="17" t="s">
        <v>26</v>
      </c>
      <c r="B10" s="18"/>
      <c r="C10" s="18" t="s">
        <v>27</v>
      </c>
      <c r="D10" s="19" t="s">
        <v>28</v>
      </c>
      <c r="E10" s="162" t="s">
        <v>29</v>
      </c>
      <c r="F10" s="162"/>
      <c r="G10" s="162"/>
      <c r="H10" s="29">
        <f>SUM(H8:H9)</f>
        <v>0</v>
      </c>
      <c r="I10" s="43"/>
      <c r="J10" s="49">
        <f>H10/$J$4</f>
        <v>0</v>
      </c>
    </row>
    <row r="11" spans="1:21" ht="15" thickBot="1">
      <c r="J11" s="46"/>
    </row>
    <row r="12" spans="1:21">
      <c r="A12" s="166" t="s">
        <v>54</v>
      </c>
      <c r="B12" s="167"/>
      <c r="C12" s="167"/>
      <c r="D12" s="167"/>
      <c r="E12" s="168" t="s">
        <v>30</v>
      </c>
      <c r="F12" s="168"/>
      <c r="G12" s="168"/>
      <c r="H12" s="169"/>
      <c r="J12" s="46"/>
    </row>
    <row r="13" spans="1:21" ht="43.5">
      <c r="A13" s="12" t="s">
        <v>13</v>
      </c>
      <c r="B13" s="10" t="s">
        <v>14</v>
      </c>
      <c r="C13" s="10" t="s">
        <v>15</v>
      </c>
      <c r="D13" s="10" t="s">
        <v>16</v>
      </c>
      <c r="E13" s="10" t="s">
        <v>17</v>
      </c>
      <c r="F13" s="10" t="s">
        <v>65</v>
      </c>
      <c r="G13" s="10" t="s">
        <v>18</v>
      </c>
      <c r="H13" s="13" t="s">
        <v>19</v>
      </c>
      <c r="I13" s="39" t="s">
        <v>20</v>
      </c>
      <c r="J13" s="45" t="s">
        <v>21</v>
      </c>
    </row>
    <row r="14" spans="1:21">
      <c r="A14" s="163" t="s">
        <v>56</v>
      </c>
      <c r="B14" s="164"/>
      <c r="C14" s="164"/>
      <c r="D14" s="164"/>
      <c r="E14" s="164"/>
      <c r="F14" s="164"/>
      <c r="G14" s="164"/>
      <c r="H14" s="165"/>
      <c r="J14" s="50"/>
      <c r="K14" s="35"/>
      <c r="U14">
        <f>180*11+75</f>
        <v>2055</v>
      </c>
    </row>
    <row r="15" spans="1:21" ht="15.5">
      <c r="A15" s="14" t="s">
        <v>31</v>
      </c>
      <c r="B15" s="7"/>
      <c r="C15" s="7"/>
      <c r="D15" s="11" t="s">
        <v>55</v>
      </c>
      <c r="E15" s="28"/>
      <c r="F15" s="30"/>
      <c r="G15" s="30"/>
      <c r="H15" s="31"/>
      <c r="J15" s="46"/>
    </row>
    <row r="16" spans="1:21">
      <c r="A16" s="15" t="s">
        <v>32</v>
      </c>
      <c r="B16" s="2" t="s">
        <v>22</v>
      </c>
      <c r="C16" s="3" t="s">
        <v>25</v>
      </c>
      <c r="D16" s="9" t="s">
        <v>63</v>
      </c>
      <c r="E16" s="4" t="s">
        <v>123</v>
      </c>
      <c r="F16" s="155">
        <v>15120</v>
      </c>
      <c r="G16" s="5"/>
      <c r="H16" s="16">
        <f>SUM(G16*F16)</f>
        <v>0</v>
      </c>
      <c r="I16" s="41">
        <f>G16/$J$4</f>
        <v>0</v>
      </c>
      <c r="J16" s="47">
        <f>H16/$J$4</f>
        <v>0</v>
      </c>
    </row>
    <row r="17" spans="1:11">
      <c r="A17" s="15" t="s">
        <v>33</v>
      </c>
      <c r="B17" s="2"/>
      <c r="C17" s="3"/>
      <c r="D17" s="9" t="s">
        <v>64</v>
      </c>
      <c r="E17" s="4" t="s">
        <v>123</v>
      </c>
      <c r="F17" s="155">
        <v>4110</v>
      </c>
      <c r="G17" s="5"/>
      <c r="H17" s="16">
        <f t="shared" ref="H17" si="1">SUM(G17*F17)</f>
        <v>0</v>
      </c>
      <c r="I17" s="42">
        <f>G17/$J$4</f>
        <v>0</v>
      </c>
      <c r="J17" s="48">
        <f>H17/$J$4</f>
        <v>0</v>
      </c>
    </row>
    <row r="18" spans="1:11" ht="16" thickBot="1">
      <c r="A18" s="17" t="s">
        <v>34</v>
      </c>
      <c r="B18" s="18"/>
      <c r="C18" s="18" t="s">
        <v>27</v>
      </c>
      <c r="D18" s="19" t="s">
        <v>28</v>
      </c>
      <c r="E18" s="162" t="s">
        <v>29</v>
      </c>
      <c r="F18" s="162"/>
      <c r="G18" s="162"/>
      <c r="H18" s="29">
        <f>SUM(H16:H17)</f>
        <v>0</v>
      </c>
      <c r="I18" s="43"/>
      <c r="J18" s="49">
        <f>H18/$J$4</f>
        <v>0</v>
      </c>
    </row>
    <row r="19" spans="1:11" ht="15" thickBot="1">
      <c r="A19" s="20"/>
      <c r="B19" s="21"/>
      <c r="C19" s="21"/>
      <c r="D19" s="22"/>
      <c r="E19" s="23"/>
      <c r="F19" s="23"/>
      <c r="G19" s="23"/>
      <c r="H19" s="6"/>
      <c r="J19" s="46"/>
    </row>
    <row r="20" spans="1:11">
      <c r="A20" s="166" t="s">
        <v>54</v>
      </c>
      <c r="B20" s="167"/>
      <c r="C20" s="167"/>
      <c r="D20" s="167"/>
      <c r="E20" s="168" t="s">
        <v>35</v>
      </c>
      <c r="F20" s="168"/>
      <c r="G20" s="168"/>
      <c r="H20" s="169"/>
      <c r="J20" s="46"/>
    </row>
    <row r="21" spans="1:11" ht="43.5">
      <c r="A21" s="12" t="s">
        <v>13</v>
      </c>
      <c r="B21" s="10" t="s">
        <v>14</v>
      </c>
      <c r="C21" s="10" t="s">
        <v>15</v>
      </c>
      <c r="D21" s="10" t="s">
        <v>16</v>
      </c>
      <c r="E21" s="10" t="s">
        <v>17</v>
      </c>
      <c r="F21" s="10" t="s">
        <v>65</v>
      </c>
      <c r="G21" s="10" t="s">
        <v>18</v>
      </c>
      <c r="H21" s="13" t="s">
        <v>19</v>
      </c>
      <c r="I21" s="39" t="s">
        <v>20</v>
      </c>
      <c r="J21" s="45" t="s">
        <v>21</v>
      </c>
    </row>
    <row r="22" spans="1:11">
      <c r="A22" s="163" t="s">
        <v>57</v>
      </c>
      <c r="B22" s="164"/>
      <c r="C22" s="164"/>
      <c r="D22" s="164"/>
      <c r="E22" s="164"/>
      <c r="F22" s="164"/>
      <c r="G22" s="164"/>
      <c r="H22" s="165"/>
      <c r="I22" s="38"/>
      <c r="J22" s="50"/>
      <c r="K22" s="35"/>
    </row>
    <row r="23" spans="1:11" ht="15.5">
      <c r="A23" s="14" t="s">
        <v>36</v>
      </c>
      <c r="B23" s="7"/>
      <c r="C23" s="7"/>
      <c r="D23" s="11" t="s">
        <v>55</v>
      </c>
      <c r="E23" s="159"/>
      <c r="F23" s="160"/>
      <c r="G23" s="161"/>
      <c r="H23" s="27"/>
      <c r="J23" s="46"/>
    </row>
    <row r="24" spans="1:11">
      <c r="A24" s="15" t="s">
        <v>37</v>
      </c>
      <c r="B24" s="2" t="s">
        <v>22</v>
      </c>
      <c r="C24" s="3" t="s">
        <v>25</v>
      </c>
      <c r="D24" s="9" t="s">
        <v>63</v>
      </c>
      <c r="E24" s="4" t="s">
        <v>123</v>
      </c>
      <c r="F24" s="155">
        <v>15120</v>
      </c>
      <c r="G24" s="5"/>
      <c r="H24" s="16">
        <f>SUM(G24*F24)</f>
        <v>0</v>
      </c>
      <c r="I24" s="41">
        <f>G24/$J$4</f>
        <v>0</v>
      </c>
      <c r="J24" s="47">
        <f>H24/$J$4</f>
        <v>0</v>
      </c>
    </row>
    <row r="25" spans="1:11">
      <c r="A25" s="15" t="s">
        <v>38</v>
      </c>
      <c r="B25" s="2"/>
      <c r="C25" s="3"/>
      <c r="D25" s="9" t="s">
        <v>64</v>
      </c>
      <c r="E25" s="4" t="s">
        <v>123</v>
      </c>
      <c r="F25" s="155">
        <v>4110</v>
      </c>
      <c r="G25" s="5"/>
      <c r="H25" s="16">
        <f t="shared" ref="H25" si="2">SUM(G25*F25)</f>
        <v>0</v>
      </c>
      <c r="I25" s="42">
        <f>G25/$J$4</f>
        <v>0</v>
      </c>
      <c r="J25" s="48">
        <f>H25/$J$4</f>
        <v>0</v>
      </c>
    </row>
    <row r="26" spans="1:11" ht="16" thickBot="1">
      <c r="A26" s="17" t="s">
        <v>39</v>
      </c>
      <c r="B26" s="18"/>
      <c r="C26" s="18" t="s">
        <v>27</v>
      </c>
      <c r="D26" s="19" t="s">
        <v>28</v>
      </c>
      <c r="E26" s="162" t="s">
        <v>29</v>
      </c>
      <c r="F26" s="162"/>
      <c r="G26" s="162"/>
      <c r="H26" s="29">
        <f>SUM(H24:H25)</f>
        <v>0</v>
      </c>
      <c r="I26" s="43"/>
      <c r="J26" s="49">
        <f>H26/$J$4</f>
        <v>0</v>
      </c>
    </row>
    <row r="27" spans="1:11" ht="15" thickBot="1">
      <c r="A27" s="20"/>
      <c r="B27" s="21"/>
      <c r="C27" s="21"/>
      <c r="D27" s="22"/>
      <c r="E27" s="23"/>
      <c r="F27" s="23"/>
      <c r="G27" s="23"/>
      <c r="H27" s="6"/>
      <c r="J27" s="46"/>
    </row>
    <row r="28" spans="1:11">
      <c r="A28" s="166" t="s">
        <v>54</v>
      </c>
      <c r="B28" s="167"/>
      <c r="C28" s="167"/>
      <c r="D28" s="167"/>
      <c r="E28" s="168" t="s">
        <v>40</v>
      </c>
      <c r="F28" s="168"/>
      <c r="G28" s="168"/>
      <c r="H28" s="169"/>
      <c r="J28" s="46"/>
    </row>
    <row r="29" spans="1:11" ht="43.5">
      <c r="A29" s="12" t="s">
        <v>13</v>
      </c>
      <c r="B29" s="10" t="s">
        <v>14</v>
      </c>
      <c r="C29" s="10" t="s">
        <v>15</v>
      </c>
      <c r="D29" s="10" t="s">
        <v>16</v>
      </c>
      <c r="E29" s="10" t="s">
        <v>17</v>
      </c>
      <c r="F29" s="10" t="s">
        <v>65</v>
      </c>
      <c r="G29" s="10" t="s">
        <v>18</v>
      </c>
      <c r="H29" s="13" t="s">
        <v>19</v>
      </c>
      <c r="I29" s="39" t="s">
        <v>20</v>
      </c>
      <c r="J29" s="45" t="s">
        <v>21</v>
      </c>
    </row>
    <row r="30" spans="1:11">
      <c r="A30" s="163" t="s">
        <v>58</v>
      </c>
      <c r="B30" s="164"/>
      <c r="C30" s="164"/>
      <c r="D30" s="164"/>
      <c r="E30" s="164"/>
      <c r="F30" s="164"/>
      <c r="G30" s="164"/>
      <c r="H30" s="165"/>
      <c r="I30" s="38"/>
      <c r="J30" s="50"/>
      <c r="K30" s="35"/>
    </row>
    <row r="31" spans="1:11" ht="15.5">
      <c r="A31" s="14" t="s">
        <v>41</v>
      </c>
      <c r="B31" s="7"/>
      <c r="C31" s="7"/>
      <c r="D31" s="11" t="s">
        <v>55</v>
      </c>
      <c r="E31" s="159"/>
      <c r="F31" s="160"/>
      <c r="G31" s="161"/>
      <c r="H31" s="27"/>
      <c r="J31" s="46"/>
    </row>
    <row r="32" spans="1:11">
      <c r="A32" s="15" t="s">
        <v>42</v>
      </c>
      <c r="B32" s="2" t="s">
        <v>22</v>
      </c>
      <c r="C32" s="3" t="s">
        <v>25</v>
      </c>
      <c r="D32" s="9" t="s">
        <v>63</v>
      </c>
      <c r="E32" s="4" t="s">
        <v>123</v>
      </c>
      <c r="F32" s="155">
        <v>15120</v>
      </c>
      <c r="G32" s="5"/>
      <c r="H32" s="16">
        <f>SUM(G32*F32)</f>
        <v>0</v>
      </c>
      <c r="I32" s="41">
        <f>G32/$J$4</f>
        <v>0</v>
      </c>
      <c r="J32" s="47">
        <f>H32/$J$4</f>
        <v>0</v>
      </c>
    </row>
    <row r="33" spans="1:11">
      <c r="A33" s="15" t="s">
        <v>43</v>
      </c>
      <c r="B33" s="2"/>
      <c r="C33" s="3"/>
      <c r="D33" s="9" t="s">
        <v>64</v>
      </c>
      <c r="E33" s="4" t="s">
        <v>123</v>
      </c>
      <c r="F33" s="155">
        <v>4110</v>
      </c>
      <c r="G33" s="5"/>
      <c r="H33" s="16">
        <f t="shared" ref="H33" si="3">SUM(G33*F33)</f>
        <v>0</v>
      </c>
      <c r="I33" s="42">
        <f>G33/$J$4</f>
        <v>0</v>
      </c>
      <c r="J33" s="48">
        <f>H33/$J$4</f>
        <v>0</v>
      </c>
    </row>
    <row r="34" spans="1:11" ht="16" thickBot="1">
      <c r="A34" s="17" t="s">
        <v>44</v>
      </c>
      <c r="B34" s="18"/>
      <c r="C34" s="18" t="s">
        <v>27</v>
      </c>
      <c r="D34" s="19" t="s">
        <v>28</v>
      </c>
      <c r="E34" s="162" t="s">
        <v>29</v>
      </c>
      <c r="F34" s="162"/>
      <c r="G34" s="162"/>
      <c r="H34" s="29">
        <f>SUM(H32:H33)</f>
        <v>0</v>
      </c>
      <c r="I34" s="43"/>
      <c r="J34" s="49">
        <f>H34/$J$4</f>
        <v>0</v>
      </c>
    </row>
    <row r="35" spans="1:11" ht="15" thickBot="1">
      <c r="J35" s="46"/>
    </row>
    <row r="36" spans="1:11">
      <c r="A36" s="166" t="s">
        <v>54</v>
      </c>
      <c r="B36" s="167"/>
      <c r="C36" s="167"/>
      <c r="D36" s="167"/>
      <c r="E36" s="168" t="s">
        <v>45</v>
      </c>
      <c r="F36" s="168"/>
      <c r="G36" s="168"/>
      <c r="H36" s="169"/>
      <c r="J36" s="46"/>
    </row>
    <row r="37" spans="1:11" ht="43.5">
      <c r="A37" s="12" t="s">
        <v>13</v>
      </c>
      <c r="B37" s="10" t="s">
        <v>14</v>
      </c>
      <c r="C37" s="10" t="s">
        <v>15</v>
      </c>
      <c r="D37" s="10" t="s">
        <v>16</v>
      </c>
      <c r="E37" s="10" t="s">
        <v>17</v>
      </c>
      <c r="F37" s="10" t="s">
        <v>65</v>
      </c>
      <c r="G37" s="10" t="s">
        <v>18</v>
      </c>
      <c r="H37" s="13" t="s">
        <v>19</v>
      </c>
      <c r="I37" s="39" t="s">
        <v>20</v>
      </c>
      <c r="J37" s="45" t="s">
        <v>21</v>
      </c>
    </row>
    <row r="38" spans="1:11">
      <c r="A38" s="163" t="s">
        <v>46</v>
      </c>
      <c r="B38" s="164"/>
      <c r="C38" s="164"/>
      <c r="D38" s="164"/>
      <c r="E38" s="164"/>
      <c r="F38" s="164"/>
      <c r="G38" s="164"/>
      <c r="H38" s="165"/>
      <c r="I38" s="38"/>
      <c r="J38" s="50"/>
      <c r="K38" s="35"/>
    </row>
    <row r="39" spans="1:11" ht="15.5">
      <c r="A39" s="14" t="s">
        <v>120</v>
      </c>
      <c r="B39" s="7"/>
      <c r="C39" s="7"/>
      <c r="D39" s="11" t="s">
        <v>55</v>
      </c>
      <c r="E39" s="159"/>
      <c r="F39" s="160"/>
      <c r="G39" s="161"/>
      <c r="H39" s="27"/>
      <c r="J39" s="46"/>
    </row>
    <row r="40" spans="1:11">
      <c r="A40" s="15" t="s">
        <v>47</v>
      </c>
      <c r="B40" s="2" t="s">
        <v>22</v>
      </c>
      <c r="C40" s="3" t="s">
        <v>25</v>
      </c>
      <c r="D40" s="9" t="s">
        <v>63</v>
      </c>
      <c r="E40" s="4" t="s">
        <v>123</v>
      </c>
      <c r="F40" s="155">
        <v>15120</v>
      </c>
      <c r="G40" s="5"/>
      <c r="H40" s="16">
        <f>SUM(G40*F40)</f>
        <v>0</v>
      </c>
      <c r="I40" s="41">
        <f>G40/$J$4</f>
        <v>0</v>
      </c>
      <c r="J40" s="47">
        <f>H40/$J$4</f>
        <v>0</v>
      </c>
    </row>
    <row r="41" spans="1:11">
      <c r="A41" s="15" t="s">
        <v>48</v>
      </c>
      <c r="B41" s="2"/>
      <c r="C41" s="3"/>
      <c r="D41" s="9" t="s">
        <v>64</v>
      </c>
      <c r="E41" s="4" t="s">
        <v>123</v>
      </c>
      <c r="F41" s="155">
        <v>4110</v>
      </c>
      <c r="G41" s="5"/>
      <c r="H41" s="16">
        <f t="shared" ref="H41" si="4">SUM(G41*F41)</f>
        <v>0</v>
      </c>
      <c r="I41" s="42">
        <f>G41/$J$4</f>
        <v>0</v>
      </c>
      <c r="J41" s="48">
        <f>H41/$J$4</f>
        <v>0</v>
      </c>
    </row>
    <row r="42" spans="1:11" ht="16" thickBot="1">
      <c r="A42" s="17" t="s">
        <v>49</v>
      </c>
      <c r="B42" s="18"/>
      <c r="C42" s="18" t="s">
        <v>27</v>
      </c>
      <c r="D42" s="19" t="s">
        <v>28</v>
      </c>
      <c r="E42" s="162" t="s">
        <v>29</v>
      </c>
      <c r="F42" s="162"/>
      <c r="G42" s="162"/>
      <c r="H42" s="29">
        <f>SUM(H40:H41)</f>
        <v>0</v>
      </c>
      <c r="I42" s="43"/>
      <c r="J42" s="49">
        <f>H42/$J$4</f>
        <v>0</v>
      </c>
    </row>
    <row r="43" spans="1:11" ht="15" thickBot="1">
      <c r="J43" s="46"/>
    </row>
    <row r="44" spans="1:11">
      <c r="A44" s="166" t="s">
        <v>54</v>
      </c>
      <c r="B44" s="167"/>
      <c r="C44" s="167"/>
      <c r="D44" s="167"/>
      <c r="E44" s="168" t="s">
        <v>10</v>
      </c>
      <c r="F44" s="168"/>
      <c r="G44" s="168"/>
      <c r="H44" s="169"/>
      <c r="J44" s="46"/>
    </row>
    <row r="45" spans="1:11" ht="43.5">
      <c r="A45" s="12" t="s">
        <v>13</v>
      </c>
      <c r="B45" s="10" t="s">
        <v>14</v>
      </c>
      <c r="C45" s="10" t="s">
        <v>15</v>
      </c>
      <c r="D45" s="10" t="s">
        <v>16</v>
      </c>
      <c r="E45" s="10" t="s">
        <v>17</v>
      </c>
      <c r="F45" s="10" t="s">
        <v>65</v>
      </c>
      <c r="G45" s="10" t="s">
        <v>18</v>
      </c>
      <c r="H45" s="13" t="s">
        <v>19</v>
      </c>
      <c r="I45" s="39" t="s">
        <v>20</v>
      </c>
      <c r="J45" s="45" t="s">
        <v>21</v>
      </c>
    </row>
    <row r="46" spans="1:11" ht="16.5" customHeight="1">
      <c r="A46" s="163" t="s">
        <v>50</v>
      </c>
      <c r="B46" s="164"/>
      <c r="C46" s="164"/>
      <c r="D46" s="164"/>
      <c r="E46" s="164"/>
      <c r="F46" s="164"/>
      <c r="G46" s="164"/>
      <c r="H46" s="165"/>
      <c r="I46" s="38"/>
      <c r="J46" s="50"/>
      <c r="K46" s="35"/>
    </row>
    <row r="47" spans="1:11" ht="15.5">
      <c r="A47" s="14" t="s">
        <v>51</v>
      </c>
      <c r="B47" s="7"/>
      <c r="C47" s="7"/>
      <c r="D47" s="11" t="s">
        <v>55</v>
      </c>
      <c r="E47" s="159"/>
      <c r="F47" s="160"/>
      <c r="G47" s="161"/>
      <c r="H47" s="27"/>
      <c r="J47" s="46"/>
    </row>
    <row r="48" spans="1:11">
      <c r="A48" s="15" t="s">
        <v>52</v>
      </c>
      <c r="B48" s="2" t="s">
        <v>22</v>
      </c>
      <c r="C48" s="3" t="s">
        <v>25</v>
      </c>
      <c r="D48" s="9" t="s">
        <v>63</v>
      </c>
      <c r="E48" s="4" t="s">
        <v>123</v>
      </c>
      <c r="F48" s="36">
        <f>F40/2</f>
        <v>7560</v>
      </c>
      <c r="G48" s="5"/>
      <c r="H48" s="16">
        <f>SUM(G48*F48)</f>
        <v>0</v>
      </c>
      <c r="I48" s="41">
        <f>G48/$J$4</f>
        <v>0</v>
      </c>
      <c r="J48" s="47">
        <f>H48/$J$4</f>
        <v>0</v>
      </c>
    </row>
    <row r="49" spans="1:10">
      <c r="A49" s="15" t="s">
        <v>53</v>
      </c>
      <c r="B49" s="2"/>
      <c r="C49" s="3"/>
      <c r="D49" s="9" t="s">
        <v>64</v>
      </c>
      <c r="E49" s="4" t="s">
        <v>123</v>
      </c>
      <c r="F49" s="36">
        <f>F41/2</f>
        <v>2055</v>
      </c>
      <c r="G49" s="5"/>
      <c r="H49" s="16">
        <f t="shared" ref="H49" si="5">SUM(G49*F49)</f>
        <v>0</v>
      </c>
      <c r="I49" s="42">
        <f>G49/$J$4</f>
        <v>0</v>
      </c>
      <c r="J49" s="48">
        <f>H49/$J$4</f>
        <v>0</v>
      </c>
    </row>
    <row r="50" spans="1:10" ht="16" thickBot="1">
      <c r="A50" s="17" t="s">
        <v>26</v>
      </c>
      <c r="B50" s="18"/>
      <c r="C50" s="18" t="s">
        <v>27</v>
      </c>
      <c r="D50" s="19" t="s">
        <v>28</v>
      </c>
      <c r="E50" s="162" t="s">
        <v>29</v>
      </c>
      <c r="F50" s="162"/>
      <c r="G50" s="162"/>
      <c r="H50" s="29">
        <f>SUM(G48:H49)</f>
        <v>0</v>
      </c>
      <c r="I50" s="43"/>
      <c r="J50" s="49">
        <f>H50/$J$4</f>
        <v>0</v>
      </c>
    </row>
    <row r="52" spans="1:10" ht="26.25" customHeight="1">
      <c r="B52" s="8" t="s">
        <v>0</v>
      </c>
      <c r="C52" s="8"/>
      <c r="D52" s="156" t="s">
        <v>0</v>
      </c>
      <c r="E52" s="158"/>
      <c r="F52" s="158"/>
      <c r="G52" s="158"/>
      <c r="H52" s="158"/>
    </row>
    <row r="53" spans="1:10" ht="26.25" customHeight="1">
      <c r="B53" s="8" t="s">
        <v>1</v>
      </c>
      <c r="C53" s="8"/>
      <c r="D53" s="156" t="s">
        <v>1</v>
      </c>
      <c r="E53" s="158"/>
      <c r="F53" s="158"/>
      <c r="G53" s="158"/>
      <c r="H53" s="158"/>
    </row>
  </sheetData>
  <mergeCells count="34">
    <mergeCell ref="E34:G34"/>
    <mergeCell ref="A36:D36"/>
    <mergeCell ref="E36:H36"/>
    <mergeCell ref="A20:D20"/>
    <mergeCell ref="E20:H20"/>
    <mergeCell ref="A22:H22"/>
    <mergeCell ref="A30:H30"/>
    <mergeCell ref="A28:D28"/>
    <mergeCell ref="E18:G18"/>
    <mergeCell ref="E26:G26"/>
    <mergeCell ref="E12:H12"/>
    <mergeCell ref="A14:H14"/>
    <mergeCell ref="A12:D12"/>
    <mergeCell ref="E10:G10"/>
    <mergeCell ref="A4:D4"/>
    <mergeCell ref="E4:H4"/>
    <mergeCell ref="A6:H6"/>
    <mergeCell ref="E7:G7"/>
    <mergeCell ref="D53:H53"/>
    <mergeCell ref="E31:G31"/>
    <mergeCell ref="E39:G39"/>
    <mergeCell ref="D1:H1"/>
    <mergeCell ref="D2:H2"/>
    <mergeCell ref="D52:H52"/>
    <mergeCell ref="E50:G50"/>
    <mergeCell ref="A46:H46"/>
    <mergeCell ref="A38:H38"/>
    <mergeCell ref="E42:G42"/>
    <mergeCell ref="A44:D44"/>
    <mergeCell ref="E44:H44"/>
    <mergeCell ref="E47:G47"/>
    <mergeCell ref="E28:H28"/>
    <mergeCell ref="E23:G23"/>
    <mergeCell ref="E3:H3"/>
  </mergeCells>
  <phoneticPr fontId="6" type="noConversion"/>
  <pageMargins left="0.7" right="0.7" top="0.75" bottom="0.75" header="0.3" footer="0.3"/>
  <pageSetup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94EA-E44D-4AD6-86CB-60F97E15B08D}">
  <dimension ref="A1:T61"/>
  <sheetViews>
    <sheetView topLeftCell="A53" zoomScale="115" zoomScaleNormal="115" workbookViewId="0">
      <selection activeCell="H59" sqref="H59"/>
    </sheetView>
  </sheetViews>
  <sheetFormatPr defaultColWidth="10.453125" defaultRowHeight="14.5"/>
  <cols>
    <col min="1" max="1" width="13.1796875" style="139" bestFit="1" customWidth="1"/>
    <col min="2" max="2" width="10.453125" style="56"/>
    <col min="3" max="3" width="12.26953125" style="56" customWidth="1"/>
    <col min="4" max="4" width="14.453125" style="56" customWidth="1"/>
    <col min="5" max="9" width="10.453125" style="56"/>
    <col min="10" max="10" width="10.453125" style="118"/>
    <col min="11" max="14" width="10.453125" style="56"/>
    <col min="15" max="15" width="17.26953125" style="56" customWidth="1"/>
    <col min="16" max="18" width="10.453125" style="56"/>
    <col min="19" max="19" width="15.26953125" style="56" customWidth="1"/>
    <col min="20" max="20" width="16" style="56" customWidth="1"/>
    <col min="21" max="16384" width="10.453125" style="56"/>
  </cols>
  <sheetData>
    <row r="1" spans="1:20">
      <c r="A1" s="51"/>
      <c r="B1" s="52"/>
      <c r="C1" s="53"/>
      <c r="D1" s="53"/>
      <c r="E1" s="52"/>
      <c r="F1" s="54"/>
      <c r="G1" s="52"/>
      <c r="H1" s="52"/>
      <c r="I1" s="54"/>
      <c r="J1" s="55"/>
      <c r="K1" s="54"/>
      <c r="L1" s="54"/>
      <c r="M1" s="54"/>
      <c r="N1" s="54"/>
    </row>
    <row r="2" spans="1:20" ht="23">
      <c r="A2" s="51"/>
      <c r="B2" s="185" t="s">
        <v>66</v>
      </c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</row>
    <row r="3" spans="1:20" ht="23">
      <c r="A3" s="51"/>
      <c r="B3" s="185" t="s">
        <v>67</v>
      </c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</row>
    <row r="4" spans="1:20">
      <c r="A4" s="51"/>
      <c r="B4" s="52"/>
      <c r="C4" s="53"/>
      <c r="D4" s="53"/>
      <c r="E4" s="52"/>
      <c r="F4" s="54"/>
      <c r="G4" s="52"/>
      <c r="H4" s="52"/>
      <c r="I4" s="54"/>
      <c r="J4" s="55"/>
      <c r="K4" s="54"/>
      <c r="L4" s="54"/>
      <c r="M4" s="54"/>
      <c r="N4" s="54"/>
    </row>
    <row r="5" spans="1:20" ht="23">
      <c r="A5" s="57"/>
      <c r="B5" s="186" t="s">
        <v>68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</row>
    <row r="6" spans="1:20" ht="25">
      <c r="A6" s="51"/>
      <c r="B6" s="52"/>
      <c r="C6" s="53"/>
      <c r="D6" s="54"/>
      <c r="E6" s="58"/>
      <c r="F6" s="59"/>
      <c r="G6" s="60"/>
      <c r="H6" s="60"/>
      <c r="I6" s="59"/>
      <c r="J6" s="60"/>
      <c r="K6" s="54"/>
      <c r="L6" s="54"/>
      <c r="M6" s="54"/>
      <c r="N6" s="54"/>
    </row>
    <row r="7" spans="1:20" ht="25">
      <c r="A7" s="51"/>
      <c r="B7" s="52"/>
      <c r="C7" s="53"/>
      <c r="D7" s="53"/>
      <c r="E7" s="58"/>
      <c r="F7" s="59"/>
      <c r="G7" s="187" t="s">
        <v>69</v>
      </c>
      <c r="H7" s="188"/>
      <c r="I7" s="59"/>
      <c r="J7" s="60"/>
      <c r="K7" s="54"/>
      <c r="L7" s="54"/>
      <c r="M7" s="54"/>
      <c r="N7" s="54"/>
    </row>
    <row r="8" spans="1:20" ht="25">
      <c r="A8" s="51"/>
      <c r="B8" s="52"/>
      <c r="C8" s="53"/>
      <c r="D8" s="53"/>
      <c r="E8" s="58"/>
      <c r="F8" s="61"/>
      <c r="G8" s="62"/>
      <c r="H8" s="62"/>
      <c r="I8" s="61"/>
      <c r="J8" s="63"/>
      <c r="K8" s="54"/>
      <c r="L8" s="54"/>
      <c r="M8" s="54"/>
      <c r="N8" s="54"/>
    </row>
    <row r="9" spans="1:20">
      <c r="A9" s="189" t="s">
        <v>70</v>
      </c>
      <c r="B9" s="189"/>
      <c r="C9" s="189"/>
      <c r="D9" s="189"/>
      <c r="E9" s="189"/>
      <c r="F9" s="190"/>
      <c r="G9" s="190"/>
      <c r="H9" s="190"/>
      <c r="I9" s="190"/>
      <c r="J9" s="190"/>
      <c r="K9" s="189"/>
      <c r="L9" s="189"/>
      <c r="M9" s="189"/>
      <c r="N9" s="189"/>
    </row>
    <row r="10" spans="1:20">
      <c r="A10" s="189"/>
      <c r="B10" s="189"/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</row>
    <row r="12" spans="1:20" ht="15" customHeight="1">
      <c r="A12" s="177" t="s">
        <v>71</v>
      </c>
      <c r="B12" s="140">
        <v>1</v>
      </c>
      <c r="C12" s="64"/>
      <c r="D12" s="180" t="s">
        <v>72</v>
      </c>
      <c r="E12" s="65">
        <v>69</v>
      </c>
      <c r="F12" s="64"/>
      <c r="G12" s="181" t="s">
        <v>73</v>
      </c>
      <c r="H12" s="181"/>
      <c r="I12" s="64"/>
      <c r="J12" s="181" t="s">
        <v>74</v>
      </c>
      <c r="K12" s="181"/>
      <c r="L12" s="66"/>
      <c r="M12" s="66"/>
      <c r="N12" s="67" t="s">
        <v>75</v>
      </c>
      <c r="O12" s="67"/>
      <c r="P12" s="68">
        <v>56</v>
      </c>
      <c r="Q12" s="69" t="s">
        <v>76</v>
      </c>
      <c r="R12" s="70" t="s">
        <v>77</v>
      </c>
      <c r="S12" s="71" t="s">
        <v>78</v>
      </c>
      <c r="T12" s="72" t="s">
        <v>79</v>
      </c>
    </row>
    <row r="13" spans="1:20" ht="15" customHeight="1">
      <c r="A13" s="178"/>
      <c r="B13" s="141">
        <v>2</v>
      </c>
      <c r="C13" s="64"/>
      <c r="D13" s="180"/>
      <c r="E13" s="65">
        <v>70</v>
      </c>
      <c r="G13" s="73">
        <v>69</v>
      </c>
      <c r="H13" s="73">
        <v>42</v>
      </c>
      <c r="I13" s="74"/>
      <c r="J13" s="75">
        <v>20</v>
      </c>
      <c r="M13" s="64"/>
      <c r="N13" s="67"/>
      <c r="O13" s="67"/>
      <c r="P13" s="76"/>
    </row>
    <row r="14" spans="1:20" ht="15" customHeight="1">
      <c r="A14" s="178"/>
      <c r="B14" s="140">
        <v>3</v>
      </c>
      <c r="C14" s="64"/>
      <c r="D14" s="180"/>
      <c r="E14" s="65">
        <v>71</v>
      </c>
      <c r="F14" s="64"/>
      <c r="G14" s="73">
        <v>70</v>
      </c>
      <c r="H14" s="73">
        <v>3</v>
      </c>
      <c r="I14" s="74"/>
      <c r="J14" s="73">
        <v>21</v>
      </c>
      <c r="K14" s="77"/>
      <c r="L14" s="77"/>
      <c r="M14" s="64"/>
      <c r="N14" s="78" t="s">
        <v>80</v>
      </c>
      <c r="O14" s="78"/>
      <c r="P14" s="79">
        <v>48</v>
      </c>
      <c r="Q14" s="80"/>
    </row>
    <row r="15" spans="1:20" ht="15" customHeight="1">
      <c r="A15" s="178"/>
      <c r="B15" s="140">
        <v>4</v>
      </c>
      <c r="C15" s="64"/>
      <c r="D15" s="180"/>
      <c r="E15" s="65">
        <v>72</v>
      </c>
      <c r="G15" s="73">
        <v>71</v>
      </c>
      <c r="H15" s="73">
        <v>6</v>
      </c>
      <c r="I15" s="74"/>
      <c r="J15" s="81">
        <v>22</v>
      </c>
      <c r="K15" s="82" t="s">
        <v>81</v>
      </c>
      <c r="L15" s="82" t="s">
        <v>82</v>
      </c>
      <c r="M15" s="64"/>
      <c r="N15" s="78" t="s">
        <v>83</v>
      </c>
      <c r="O15" s="78"/>
      <c r="P15" s="79">
        <v>51</v>
      </c>
      <c r="Q15" s="80"/>
    </row>
    <row r="16" spans="1:20" ht="15" customHeight="1">
      <c r="A16" s="178"/>
      <c r="B16" s="140">
        <v>5</v>
      </c>
      <c r="C16" s="64"/>
      <c r="D16" s="180"/>
      <c r="E16" s="65">
        <v>73</v>
      </c>
      <c r="F16" s="64"/>
      <c r="G16" s="73">
        <v>72</v>
      </c>
      <c r="H16" s="73">
        <v>44</v>
      </c>
      <c r="I16" s="74"/>
      <c r="J16" s="75">
        <v>23</v>
      </c>
      <c r="M16" s="64"/>
      <c r="N16" s="83"/>
      <c r="O16" s="83"/>
      <c r="P16" s="79"/>
      <c r="Q16" s="84"/>
    </row>
    <row r="17" spans="1:20">
      <c r="A17" s="178"/>
      <c r="B17" s="140">
        <v>6</v>
      </c>
      <c r="C17" s="64"/>
      <c r="D17" s="180"/>
      <c r="E17" s="65">
        <v>74</v>
      </c>
      <c r="G17" s="85">
        <v>74</v>
      </c>
      <c r="H17" s="85">
        <v>40</v>
      </c>
      <c r="I17" s="74"/>
      <c r="J17" s="75">
        <v>24</v>
      </c>
      <c r="M17" s="64"/>
      <c r="N17" s="67" t="s">
        <v>84</v>
      </c>
      <c r="O17" s="67"/>
      <c r="P17" s="79">
        <v>15</v>
      </c>
      <c r="Q17" s="76"/>
    </row>
    <row r="18" spans="1:20" ht="14.5" customHeight="1">
      <c r="A18" s="178"/>
      <c r="B18" s="140">
        <v>7</v>
      </c>
      <c r="C18" s="64"/>
      <c r="D18" s="180"/>
      <c r="E18" s="65">
        <v>75</v>
      </c>
      <c r="F18" s="64"/>
      <c r="G18" s="73">
        <v>75</v>
      </c>
      <c r="H18" s="73">
        <v>2</v>
      </c>
      <c r="I18" s="74"/>
      <c r="J18" s="81">
        <v>28</v>
      </c>
      <c r="K18" s="82" t="s">
        <v>81</v>
      </c>
      <c r="L18" s="82" t="s">
        <v>82</v>
      </c>
      <c r="M18" s="64"/>
      <c r="N18" s="67" t="s">
        <v>85</v>
      </c>
      <c r="O18" s="83"/>
      <c r="P18" s="79">
        <v>20</v>
      </c>
      <c r="Q18" s="86"/>
    </row>
    <row r="19" spans="1:20" ht="14.5" customHeight="1">
      <c r="A19" s="178"/>
      <c r="B19" s="140">
        <v>8</v>
      </c>
      <c r="C19" s="64"/>
      <c r="D19" s="180"/>
      <c r="E19" s="65">
        <v>76</v>
      </c>
      <c r="G19" s="73">
        <v>76</v>
      </c>
      <c r="H19" s="73">
        <v>45</v>
      </c>
      <c r="I19" s="74"/>
      <c r="J19" s="87">
        <v>61</v>
      </c>
      <c r="M19" s="64"/>
      <c r="N19" s="88"/>
      <c r="O19" s="88"/>
      <c r="P19" s="79"/>
      <c r="Q19" s="89"/>
    </row>
    <row r="20" spans="1:20">
      <c r="A20" s="178"/>
      <c r="B20" s="140">
        <v>9</v>
      </c>
      <c r="C20" s="64"/>
      <c r="D20" s="180"/>
      <c r="E20" s="65">
        <v>77</v>
      </c>
      <c r="F20" s="64"/>
      <c r="G20" s="73">
        <v>78</v>
      </c>
      <c r="H20" s="73">
        <v>8</v>
      </c>
      <c r="I20" s="74"/>
      <c r="J20" s="87">
        <v>62</v>
      </c>
      <c r="M20" s="64"/>
      <c r="N20" s="67" t="s">
        <v>86</v>
      </c>
      <c r="O20" s="67"/>
      <c r="P20" s="79">
        <v>33</v>
      </c>
      <c r="Q20" s="86"/>
    </row>
    <row r="21" spans="1:20">
      <c r="A21" s="178"/>
      <c r="B21" s="140">
        <v>10</v>
      </c>
      <c r="C21" s="64"/>
      <c r="D21" s="180"/>
      <c r="E21" s="65">
        <v>78</v>
      </c>
      <c r="G21" s="73">
        <v>79</v>
      </c>
      <c r="H21" s="75">
        <v>11</v>
      </c>
      <c r="I21" s="74"/>
      <c r="J21" s="75">
        <v>64</v>
      </c>
      <c r="M21" s="64"/>
      <c r="N21" s="78" t="s">
        <v>87</v>
      </c>
      <c r="O21" s="78"/>
      <c r="P21" s="79">
        <v>31</v>
      </c>
      <c r="Q21" s="86"/>
    </row>
    <row r="22" spans="1:20" ht="15.75" customHeight="1">
      <c r="A22" s="179"/>
      <c r="B22" s="140">
        <v>11</v>
      </c>
      <c r="C22" s="64"/>
      <c r="D22" s="180"/>
      <c r="E22" s="65">
        <v>79</v>
      </c>
      <c r="F22" s="64"/>
      <c r="G22" s="73">
        <v>82</v>
      </c>
      <c r="H22" s="73">
        <v>25</v>
      </c>
      <c r="I22" s="74"/>
      <c r="J22" s="75">
        <v>73</v>
      </c>
      <c r="M22" s="64"/>
      <c r="N22" s="83"/>
      <c r="O22" s="83"/>
      <c r="Q22" s="84"/>
    </row>
    <row r="23" spans="1:20" ht="15.75" customHeight="1">
      <c r="A23" s="182" t="s">
        <v>88</v>
      </c>
      <c r="B23" s="90">
        <v>20</v>
      </c>
      <c r="C23" s="64"/>
      <c r="D23" s="180"/>
      <c r="E23" s="65">
        <v>80</v>
      </c>
      <c r="G23" s="73">
        <v>83</v>
      </c>
      <c r="H23" s="75">
        <v>43</v>
      </c>
      <c r="I23" s="74"/>
      <c r="J23" s="73">
        <v>77</v>
      </c>
      <c r="K23" s="77"/>
      <c r="L23" s="77"/>
      <c r="M23" s="64"/>
      <c r="N23" s="83"/>
      <c r="O23" s="83"/>
      <c r="Q23" s="84"/>
    </row>
    <row r="24" spans="1:20" ht="15" customHeight="1">
      <c r="A24" s="183"/>
      <c r="B24" s="90">
        <v>21</v>
      </c>
      <c r="C24" s="64"/>
      <c r="D24" s="180"/>
      <c r="E24" s="65">
        <v>81</v>
      </c>
      <c r="F24" s="64"/>
      <c r="G24" s="73">
        <v>90</v>
      </c>
      <c r="H24" s="73">
        <v>32</v>
      </c>
      <c r="I24" s="74"/>
      <c r="J24" s="73">
        <v>80</v>
      </c>
      <c r="M24" s="64"/>
      <c r="N24" s="67" t="s">
        <v>89</v>
      </c>
      <c r="O24" s="67"/>
      <c r="P24" s="79">
        <v>82</v>
      </c>
      <c r="Q24" s="76"/>
    </row>
    <row r="25" spans="1:20" ht="15" customHeight="1">
      <c r="A25" s="183"/>
      <c r="B25" s="90">
        <v>22</v>
      </c>
      <c r="C25" s="64"/>
      <c r="D25" s="180"/>
      <c r="E25" s="65">
        <v>82</v>
      </c>
      <c r="G25" s="73">
        <v>91</v>
      </c>
      <c r="H25" s="73">
        <v>30</v>
      </c>
      <c r="I25" s="74"/>
      <c r="J25" s="73">
        <v>81</v>
      </c>
      <c r="M25" s="64"/>
      <c r="N25" s="78" t="s">
        <v>90</v>
      </c>
      <c r="O25" s="83"/>
      <c r="P25" s="79">
        <v>82</v>
      </c>
      <c r="Q25" s="86"/>
    </row>
    <row r="26" spans="1:20" ht="15" customHeight="1">
      <c r="A26" s="183"/>
      <c r="B26" s="90">
        <v>23</v>
      </c>
      <c r="C26" s="64"/>
      <c r="D26" s="180"/>
      <c r="E26" s="65">
        <v>83</v>
      </c>
      <c r="F26" s="64"/>
      <c r="G26" s="73">
        <v>92</v>
      </c>
      <c r="H26" s="73">
        <v>1</v>
      </c>
      <c r="I26" s="74"/>
      <c r="J26" s="73">
        <v>84</v>
      </c>
      <c r="K26" s="91"/>
      <c r="L26" s="92"/>
      <c r="M26" s="64"/>
      <c r="N26" s="83"/>
      <c r="O26" s="83"/>
      <c r="P26" s="84"/>
    </row>
    <row r="27" spans="1:20" ht="15" customHeight="1">
      <c r="A27" s="183"/>
      <c r="B27" s="90">
        <v>24</v>
      </c>
      <c r="C27" s="64"/>
      <c r="D27" s="180"/>
      <c r="E27" s="65">
        <v>84</v>
      </c>
      <c r="G27" s="85">
        <v>93</v>
      </c>
      <c r="H27" s="73">
        <v>34</v>
      </c>
      <c r="I27" s="74"/>
      <c r="J27" s="93">
        <v>95</v>
      </c>
      <c r="K27" s="94" t="s">
        <v>91</v>
      </c>
      <c r="L27" s="94" t="s">
        <v>92</v>
      </c>
      <c r="M27" s="64"/>
      <c r="N27" s="67" t="s">
        <v>93</v>
      </c>
      <c r="O27" s="67"/>
      <c r="P27" s="95">
        <f>R27+T27</f>
        <v>240</v>
      </c>
      <c r="Q27" s="72" t="s">
        <v>94</v>
      </c>
      <c r="R27" s="72">
        <v>33</v>
      </c>
      <c r="S27" s="72" t="s">
        <v>95</v>
      </c>
      <c r="T27" s="72">
        <v>207</v>
      </c>
    </row>
    <row r="28" spans="1:20" ht="15" customHeight="1">
      <c r="A28" s="183"/>
      <c r="B28" s="90">
        <v>25</v>
      </c>
      <c r="C28" s="64"/>
      <c r="D28" s="193" t="s">
        <v>96</v>
      </c>
      <c r="E28" s="65">
        <v>90</v>
      </c>
      <c r="F28" s="64"/>
      <c r="G28" s="73">
        <v>94</v>
      </c>
      <c r="H28" s="73">
        <v>35</v>
      </c>
      <c r="I28" s="74"/>
      <c r="J28" s="73">
        <v>102</v>
      </c>
      <c r="K28" s="92"/>
      <c r="L28" s="92"/>
      <c r="M28" s="64"/>
      <c r="N28" s="78"/>
      <c r="O28" s="78"/>
      <c r="P28" s="86"/>
    </row>
    <row r="29" spans="1:20" ht="15" customHeight="1">
      <c r="A29" s="183"/>
      <c r="B29" s="90">
        <v>26</v>
      </c>
      <c r="C29" s="64"/>
      <c r="D29" s="194"/>
      <c r="E29" s="65">
        <v>91</v>
      </c>
      <c r="F29" s="64"/>
      <c r="G29" s="96">
        <v>95</v>
      </c>
      <c r="H29" s="97" t="s">
        <v>97</v>
      </c>
      <c r="I29" s="74"/>
      <c r="J29" s="98">
        <v>103</v>
      </c>
      <c r="K29" s="82" t="s">
        <v>81</v>
      </c>
      <c r="L29" s="82" t="s">
        <v>82</v>
      </c>
      <c r="M29" s="64"/>
      <c r="N29" s="78"/>
      <c r="O29" s="78"/>
      <c r="P29" s="86"/>
    </row>
    <row r="30" spans="1:20" ht="15" customHeight="1">
      <c r="A30" s="183"/>
      <c r="B30" s="90">
        <v>27</v>
      </c>
      <c r="C30" s="64"/>
      <c r="D30" s="194"/>
      <c r="E30" s="65">
        <v>92</v>
      </c>
      <c r="F30" s="64"/>
      <c r="G30" s="73">
        <v>96</v>
      </c>
      <c r="H30" s="73">
        <v>50</v>
      </c>
      <c r="I30" s="74"/>
      <c r="J30" s="73">
        <v>116</v>
      </c>
      <c r="M30" s="64"/>
      <c r="N30" s="99" t="s">
        <v>98</v>
      </c>
      <c r="O30" s="99"/>
      <c r="P30" s="100">
        <v>19</v>
      </c>
      <c r="Q30" s="101"/>
      <c r="R30" s="102"/>
      <c r="S30" s="196"/>
    </row>
    <row r="31" spans="1:20" ht="15" customHeight="1">
      <c r="A31" s="184"/>
      <c r="B31" s="90">
        <v>28</v>
      </c>
      <c r="C31" s="64"/>
      <c r="D31" s="194"/>
      <c r="E31" s="65">
        <v>93</v>
      </c>
      <c r="F31" s="64"/>
      <c r="G31" s="73">
        <v>130</v>
      </c>
      <c r="H31" s="75">
        <v>60</v>
      </c>
      <c r="I31" s="74"/>
      <c r="J31" s="98">
        <v>117</v>
      </c>
      <c r="K31" s="82" t="s">
        <v>81</v>
      </c>
      <c r="L31" s="82" t="s">
        <v>82</v>
      </c>
      <c r="M31" s="64"/>
      <c r="N31" s="103" t="s">
        <v>99</v>
      </c>
      <c r="O31" s="103"/>
      <c r="P31" s="104">
        <v>20</v>
      </c>
      <c r="Q31" s="105"/>
      <c r="R31" s="106"/>
      <c r="S31" s="196"/>
    </row>
    <row r="32" spans="1:20" ht="15" customHeight="1">
      <c r="A32" s="197" t="s">
        <v>100</v>
      </c>
      <c r="B32" s="90">
        <v>30</v>
      </c>
      <c r="C32" s="64"/>
      <c r="D32" s="194"/>
      <c r="E32" s="65">
        <v>94</v>
      </c>
      <c r="F32" s="64"/>
      <c r="G32" s="73">
        <v>131</v>
      </c>
      <c r="H32" s="75">
        <v>63</v>
      </c>
      <c r="I32" s="74"/>
      <c r="J32" s="73">
        <v>118</v>
      </c>
      <c r="M32" s="64"/>
      <c r="N32" s="67"/>
      <c r="O32" s="67"/>
      <c r="P32" s="107"/>
      <c r="Q32" s="108"/>
    </row>
    <row r="33" spans="1:19" ht="15" customHeight="1">
      <c r="A33" s="198"/>
      <c r="B33" s="90">
        <v>31</v>
      </c>
      <c r="C33" s="64"/>
      <c r="D33" s="194"/>
      <c r="E33" s="65">
        <v>95</v>
      </c>
      <c r="F33" s="64"/>
      <c r="G33" s="73">
        <v>100</v>
      </c>
      <c r="H33" s="73">
        <v>27</v>
      </c>
      <c r="I33" s="74"/>
      <c r="J33" s="98">
        <v>119</v>
      </c>
      <c r="K33" s="82" t="s">
        <v>81</v>
      </c>
      <c r="L33" s="82" t="s">
        <v>82</v>
      </c>
      <c r="M33" s="64"/>
      <c r="N33" s="67"/>
      <c r="O33" s="67"/>
      <c r="P33" s="109"/>
    </row>
    <row r="34" spans="1:19">
      <c r="A34" s="198"/>
      <c r="B34" s="90">
        <v>32</v>
      </c>
      <c r="C34" s="64"/>
      <c r="D34" s="194"/>
      <c r="E34" s="65">
        <v>96</v>
      </c>
      <c r="G34" s="73">
        <v>101</v>
      </c>
      <c r="H34" s="73">
        <v>4</v>
      </c>
      <c r="I34" s="110"/>
      <c r="J34" s="111"/>
      <c r="K34" s="112"/>
      <c r="M34" s="64"/>
      <c r="N34" s="113"/>
      <c r="O34" s="114"/>
      <c r="P34" s="86"/>
      <c r="Q34" s="115"/>
      <c r="S34" s="113"/>
    </row>
    <row r="35" spans="1:19">
      <c r="A35" s="198"/>
      <c r="B35" s="90">
        <v>33</v>
      </c>
      <c r="C35" s="64"/>
      <c r="D35" s="194"/>
      <c r="E35" s="116">
        <v>130</v>
      </c>
      <c r="F35" s="64"/>
      <c r="G35" s="98">
        <v>103</v>
      </c>
      <c r="H35" s="117" t="s">
        <v>101</v>
      </c>
      <c r="I35" s="110"/>
      <c r="J35" s="111"/>
      <c r="K35" s="77"/>
      <c r="L35" s="77"/>
      <c r="M35" s="64"/>
      <c r="O35" s="114"/>
      <c r="P35" s="86"/>
      <c r="Q35" s="115"/>
      <c r="S35" s="113"/>
    </row>
    <row r="36" spans="1:19" ht="15.75" customHeight="1">
      <c r="A36" s="198"/>
      <c r="B36" s="90">
        <v>34</v>
      </c>
      <c r="C36" s="64"/>
      <c r="D36" s="195"/>
      <c r="E36" s="116">
        <v>131</v>
      </c>
      <c r="F36" s="64"/>
      <c r="G36" s="73">
        <v>105</v>
      </c>
      <c r="H36" s="73">
        <v>9</v>
      </c>
      <c r="I36" s="110"/>
      <c r="M36" s="64"/>
      <c r="O36" s="119"/>
      <c r="P36" s="86"/>
      <c r="Q36" s="115"/>
      <c r="S36" s="113"/>
    </row>
    <row r="37" spans="1:19" ht="15" customHeight="1">
      <c r="A37" s="198"/>
      <c r="B37" s="90">
        <v>35</v>
      </c>
      <c r="C37" s="64"/>
      <c r="D37" s="193" t="s">
        <v>102</v>
      </c>
      <c r="E37" s="65">
        <v>100</v>
      </c>
      <c r="F37" s="64"/>
      <c r="G37" s="73">
        <v>110</v>
      </c>
      <c r="H37" s="73">
        <v>7</v>
      </c>
      <c r="I37" s="110"/>
      <c r="M37" s="64"/>
      <c r="O37" s="119"/>
      <c r="P37" s="120"/>
      <c r="Q37" s="115"/>
      <c r="S37" s="113"/>
    </row>
    <row r="38" spans="1:19" ht="14.5" customHeight="1">
      <c r="A38" s="199"/>
      <c r="B38" s="90">
        <v>36</v>
      </c>
      <c r="C38" s="64"/>
      <c r="D38" s="194"/>
      <c r="E38" s="65">
        <v>101</v>
      </c>
      <c r="F38" s="64"/>
      <c r="G38" s="73">
        <v>111</v>
      </c>
      <c r="H38" s="73">
        <v>10</v>
      </c>
      <c r="I38" s="110"/>
      <c r="M38" s="64"/>
      <c r="O38" s="119"/>
      <c r="P38" s="120"/>
      <c r="Q38" s="115"/>
      <c r="S38" s="113"/>
    </row>
    <row r="39" spans="1:19" ht="15" customHeight="1">
      <c r="A39" s="200" t="s">
        <v>103</v>
      </c>
      <c r="B39" s="90">
        <v>40</v>
      </c>
      <c r="C39" s="64"/>
      <c r="D39" s="194"/>
      <c r="E39" s="65">
        <v>102</v>
      </c>
      <c r="F39" s="64"/>
      <c r="G39" s="73">
        <v>112</v>
      </c>
      <c r="H39" s="73">
        <v>33</v>
      </c>
      <c r="I39" s="110"/>
      <c r="J39" s="121"/>
      <c r="M39" s="64"/>
    </row>
    <row r="40" spans="1:19" ht="15" customHeight="1">
      <c r="A40" s="201"/>
      <c r="B40" s="90">
        <v>41</v>
      </c>
      <c r="C40" s="64"/>
      <c r="D40" s="194"/>
      <c r="E40" s="65">
        <v>103</v>
      </c>
      <c r="F40" s="64"/>
      <c r="G40" s="73">
        <v>113</v>
      </c>
      <c r="H40" s="73">
        <v>41</v>
      </c>
      <c r="I40" s="110"/>
      <c r="J40" s="121"/>
      <c r="M40" s="64"/>
      <c r="N40" s="64"/>
      <c r="O40" s="101"/>
      <c r="P40" s="64"/>
    </row>
    <row r="41" spans="1:19">
      <c r="A41" s="201"/>
      <c r="B41" s="90">
        <v>42</v>
      </c>
      <c r="C41" s="64"/>
      <c r="D41" s="195"/>
      <c r="E41" s="65">
        <v>105</v>
      </c>
      <c r="F41" s="64"/>
      <c r="G41" s="73">
        <v>114</v>
      </c>
      <c r="H41" s="73">
        <v>5</v>
      </c>
      <c r="I41" s="110"/>
      <c r="M41" s="64"/>
      <c r="N41" s="64"/>
      <c r="O41" s="64"/>
      <c r="P41" s="64"/>
    </row>
    <row r="42" spans="1:19" ht="15" customHeight="1">
      <c r="A42" s="201"/>
      <c r="B42" s="90">
        <v>43</v>
      </c>
      <c r="C42" s="64"/>
      <c r="D42" s="193" t="s">
        <v>104</v>
      </c>
      <c r="E42" s="65">
        <v>110</v>
      </c>
      <c r="F42" s="64"/>
      <c r="G42" s="122">
        <v>115</v>
      </c>
      <c r="H42" s="73">
        <v>31</v>
      </c>
      <c r="I42" s="110"/>
      <c r="M42" s="64"/>
      <c r="N42" s="64"/>
      <c r="O42" s="64"/>
      <c r="P42" s="64"/>
    </row>
    <row r="43" spans="1:19" ht="15" customHeight="1">
      <c r="A43" s="201"/>
      <c r="B43" s="90">
        <v>44</v>
      </c>
      <c r="C43" s="64"/>
      <c r="D43" s="194"/>
      <c r="E43" s="65">
        <v>111</v>
      </c>
      <c r="F43" s="64"/>
      <c r="G43" s="123">
        <v>117</v>
      </c>
      <c r="H43" s="117" t="s">
        <v>105</v>
      </c>
      <c r="I43" s="110"/>
      <c r="N43" s="64"/>
      <c r="O43" s="64"/>
      <c r="P43" s="64"/>
    </row>
    <row r="44" spans="1:19">
      <c r="A44" s="202"/>
      <c r="B44" s="90">
        <v>45</v>
      </c>
      <c r="C44" s="64"/>
      <c r="D44" s="194"/>
      <c r="E44" s="65">
        <v>112</v>
      </c>
      <c r="F44" s="64"/>
      <c r="G44" s="123">
        <v>119</v>
      </c>
      <c r="H44" s="117" t="s">
        <v>106</v>
      </c>
      <c r="I44" s="110"/>
      <c r="M44" s="64"/>
      <c r="N44" s="64"/>
      <c r="O44" s="64"/>
      <c r="P44" s="64"/>
    </row>
    <row r="45" spans="1:19">
      <c r="A45" s="203" t="s">
        <v>113</v>
      </c>
      <c r="B45" s="124">
        <v>50</v>
      </c>
      <c r="C45" s="64"/>
      <c r="D45" s="194"/>
      <c r="E45" s="65">
        <v>113</v>
      </c>
      <c r="F45" s="64"/>
      <c r="G45" s="75">
        <v>140</v>
      </c>
      <c r="H45" s="75">
        <v>26</v>
      </c>
      <c r="I45" s="125"/>
      <c r="N45" s="64"/>
      <c r="O45" s="64"/>
      <c r="P45" s="64"/>
    </row>
    <row r="46" spans="1:19" ht="66" customHeight="1">
      <c r="A46" s="204"/>
      <c r="B46" s="126">
        <v>51</v>
      </c>
      <c r="C46" s="64"/>
      <c r="D46" s="194"/>
      <c r="E46" s="65">
        <v>114</v>
      </c>
      <c r="F46" s="64"/>
      <c r="G46" s="75">
        <v>141</v>
      </c>
      <c r="H46" s="75">
        <v>36</v>
      </c>
      <c r="I46" s="125"/>
      <c r="M46" s="64"/>
      <c r="N46" s="64"/>
      <c r="O46" s="64"/>
      <c r="P46" s="64"/>
    </row>
    <row r="47" spans="1:19" ht="15" customHeight="1">
      <c r="A47" s="205" t="s">
        <v>107</v>
      </c>
      <c r="B47" s="127">
        <v>60</v>
      </c>
      <c r="C47" s="64"/>
      <c r="D47" s="194"/>
      <c r="E47" s="65">
        <v>115</v>
      </c>
      <c r="F47" s="64"/>
      <c r="I47" s="125"/>
      <c r="M47" s="64"/>
      <c r="N47" s="64"/>
      <c r="O47" s="64"/>
      <c r="P47" s="64"/>
    </row>
    <row r="48" spans="1:19" ht="15" customHeight="1">
      <c r="A48" s="206"/>
      <c r="B48" s="127">
        <v>61</v>
      </c>
      <c r="C48" s="64"/>
      <c r="D48" s="194"/>
      <c r="E48" s="65">
        <v>116</v>
      </c>
      <c r="F48" s="64"/>
      <c r="I48" s="125"/>
      <c r="M48" s="64"/>
      <c r="N48" s="64"/>
      <c r="O48" s="64"/>
      <c r="P48" s="64"/>
    </row>
    <row r="49" spans="1:16">
      <c r="A49" s="206"/>
      <c r="B49" s="127">
        <v>62</v>
      </c>
      <c r="C49" s="64"/>
      <c r="D49" s="194"/>
      <c r="E49" s="65">
        <v>117</v>
      </c>
      <c r="F49" s="64"/>
      <c r="G49" s="121"/>
      <c r="H49" s="128"/>
      <c r="I49" s="125"/>
      <c r="M49" s="64"/>
      <c r="N49" s="64"/>
      <c r="O49" s="64"/>
      <c r="P49" s="64"/>
    </row>
    <row r="50" spans="1:16" ht="14.5" customHeight="1">
      <c r="A50" s="206"/>
      <c r="B50" s="90">
        <v>63</v>
      </c>
      <c r="C50" s="64"/>
      <c r="D50" s="194"/>
      <c r="E50" s="65">
        <v>118</v>
      </c>
      <c r="F50" s="64"/>
      <c r="I50" s="125"/>
      <c r="N50" s="64"/>
      <c r="O50" s="64"/>
      <c r="P50" s="64"/>
    </row>
    <row r="51" spans="1:16">
      <c r="A51" s="207"/>
      <c r="B51" s="90">
        <v>64</v>
      </c>
      <c r="C51" s="64"/>
      <c r="D51" s="195"/>
      <c r="E51" s="65">
        <v>119</v>
      </c>
      <c r="F51" s="64"/>
      <c r="I51" s="125"/>
      <c r="M51" s="64"/>
      <c r="N51" s="64"/>
      <c r="O51" s="64"/>
      <c r="P51" s="64"/>
    </row>
    <row r="52" spans="1:16">
      <c r="A52" s="191" t="s">
        <v>108</v>
      </c>
      <c r="B52" s="90">
        <v>140</v>
      </c>
      <c r="C52" s="64"/>
      <c r="F52" s="64"/>
      <c r="I52" s="125"/>
      <c r="J52" s="121"/>
      <c r="K52" s="112"/>
      <c r="N52" s="64"/>
      <c r="O52" s="64"/>
      <c r="P52" s="64"/>
    </row>
    <row r="53" spans="1:16" ht="27.75" customHeight="1">
      <c r="A53" s="192"/>
      <c r="B53" s="90">
        <v>141</v>
      </c>
      <c r="C53" s="64"/>
      <c r="F53" s="64"/>
      <c r="I53" s="125"/>
      <c r="N53" s="64"/>
      <c r="O53" s="64"/>
      <c r="P53" s="64"/>
    </row>
    <row r="54" spans="1:16">
      <c r="A54" s="129"/>
      <c r="B54" s="121"/>
      <c r="C54" s="64"/>
      <c r="F54" s="64"/>
      <c r="G54" s="130"/>
      <c r="H54" s="130"/>
      <c r="I54" s="64"/>
      <c r="J54" s="131"/>
      <c r="K54" s="64"/>
      <c r="L54" s="64"/>
      <c r="M54" s="64"/>
      <c r="N54" s="64"/>
      <c r="O54" s="64"/>
      <c r="P54" s="64"/>
    </row>
    <row r="55" spans="1:16" s="135" customFormat="1" ht="58">
      <c r="A55" s="132" t="s">
        <v>109</v>
      </c>
      <c r="B55" s="71">
        <f>42</f>
        <v>42</v>
      </c>
      <c r="D55" s="132" t="s">
        <v>112</v>
      </c>
      <c r="E55" s="71">
        <v>10</v>
      </c>
      <c r="F55" s="134"/>
      <c r="G55" s="132" t="s">
        <v>114</v>
      </c>
      <c r="H55" s="71">
        <v>5</v>
      </c>
      <c r="I55" s="134"/>
      <c r="J55" s="136"/>
      <c r="K55" s="134"/>
      <c r="L55" s="134"/>
      <c r="M55" s="134"/>
      <c r="N55" s="134"/>
      <c r="O55" s="134"/>
      <c r="P55" s="134"/>
    </row>
    <row r="56" spans="1:16" ht="15" customHeight="1">
      <c r="A56" s="132"/>
      <c r="B56" s="71"/>
    </row>
    <row r="57" spans="1:16" ht="43.5">
      <c r="A57" s="132" t="s">
        <v>110</v>
      </c>
      <c r="B57" s="71">
        <f>B55*2</f>
        <v>84</v>
      </c>
      <c r="D57" s="132" t="s">
        <v>110</v>
      </c>
      <c r="E57" s="133">
        <f t="shared" ref="E57" si="0">E55*2</f>
        <v>20</v>
      </c>
      <c r="G57" s="132" t="s">
        <v>110</v>
      </c>
      <c r="H57" s="133">
        <f t="shared" ref="H57" si="1">H55*2</f>
        <v>10</v>
      </c>
    </row>
    <row r="58" spans="1:16">
      <c r="A58" s="132"/>
      <c r="B58" s="71"/>
      <c r="D58" s="133"/>
      <c r="E58" s="133"/>
      <c r="G58" s="133"/>
      <c r="H58" s="133"/>
    </row>
    <row r="59" spans="1:16" ht="29">
      <c r="A59" s="137" t="s">
        <v>111</v>
      </c>
      <c r="B59" s="138">
        <f>B57*180</f>
        <v>15120</v>
      </c>
      <c r="D59" s="138"/>
      <c r="E59" s="138">
        <f>E57*180</f>
        <v>3600</v>
      </c>
      <c r="G59" s="138"/>
      <c r="H59" s="138">
        <f>H57*15</f>
        <v>150</v>
      </c>
    </row>
    <row r="61" spans="1:16">
      <c r="A61" s="32" t="s">
        <v>61</v>
      </c>
      <c r="B61"/>
      <c r="C61"/>
      <c r="D61"/>
      <c r="E61" s="34">
        <v>1.65</v>
      </c>
    </row>
  </sheetData>
  <mergeCells count="19">
    <mergeCell ref="A52:A53"/>
    <mergeCell ref="D28:D36"/>
    <mergeCell ref="S30:S31"/>
    <mergeCell ref="A32:A38"/>
    <mergeCell ref="D37:D41"/>
    <mergeCell ref="A39:A44"/>
    <mergeCell ref="D42:D51"/>
    <mergeCell ref="A45:A46"/>
    <mergeCell ref="A47:A51"/>
    <mergeCell ref="B2:N2"/>
    <mergeCell ref="B3:N3"/>
    <mergeCell ref="B5:N5"/>
    <mergeCell ref="G7:H7"/>
    <mergeCell ref="A9:N10"/>
    <mergeCell ref="A12:A22"/>
    <mergeCell ref="D12:D27"/>
    <mergeCell ref="G12:H12"/>
    <mergeCell ref="J12:K12"/>
    <mergeCell ref="A23:A31"/>
  </mergeCells>
  <pageMargins left="0.7" right="0.7" top="0.75" bottom="0.75" header="0.3" footer="0.3"/>
  <pageSetup orientation="portrait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8FA2F4DBC7947AD140E0E7B457240" ma:contentTypeVersion="18" ma:contentTypeDescription="Create a new document." ma:contentTypeScope="" ma:versionID="2cc6a41d7beb279ab0a8e08015d55f3f">
  <xsd:schema xmlns:xsd="http://www.w3.org/2001/XMLSchema" xmlns:xs="http://www.w3.org/2001/XMLSchema" xmlns:p="http://schemas.microsoft.com/office/2006/metadata/properties" xmlns:ns1="http://schemas.microsoft.com/sharepoint/v3" xmlns:ns2="ea060dc6-3480-4c8e-809c-224405e03b9e" xmlns:ns3="ff559184-0d06-4629-a649-4481ff06bf8b" targetNamespace="http://schemas.microsoft.com/office/2006/metadata/properties" ma:root="true" ma:fieldsID="aa0bd3490cba307ee0489331013c453c" ns1:_="" ns2:_="" ns3:_="">
    <xsd:import namespace="http://schemas.microsoft.com/sharepoint/v3"/>
    <xsd:import namespace="ea060dc6-3480-4c8e-809c-224405e03b9e"/>
    <xsd:import namespace="ff559184-0d06-4629-a649-4481ff06bf8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60dc6-3480-4c8e-809c-224405e03b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df072a5-769d-472a-8166-36f66dcee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59184-0d06-4629-a649-4481ff06bf8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81dc9e0-ff9d-4700-82ee-45ef04a8a585}" ma:internalName="TaxCatchAll" ma:showField="CatchAllData" ma:web="ff559184-0d06-4629-a649-4481ff06bf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a060dc6-3480-4c8e-809c-224405e03b9e">
      <Terms xmlns="http://schemas.microsoft.com/office/infopath/2007/PartnerControls"/>
    </lcf76f155ced4ddcb4097134ff3c332f>
    <TaxCatchAll xmlns="ff559184-0d06-4629-a649-4481ff06bf8b" xsi:nil="true"/>
  </documentManagement>
</p:properties>
</file>

<file path=customXml/itemProps1.xml><?xml version="1.0" encoding="utf-8"?>
<ds:datastoreItem xmlns:ds="http://schemas.openxmlformats.org/officeDocument/2006/customXml" ds:itemID="{5487A55C-7200-4C49-9F1C-6DEDCB89E6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3772D8-5D07-4C6A-ADC2-B2E6C0293D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060dc6-3480-4c8e-809c-224405e03b9e"/>
    <ds:schemaRef ds:uri="ff559184-0d06-4629-a649-4481ff06bf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288306-0EF6-4856-9214-465D3027490B}">
  <ds:schemaRefs>
    <ds:schemaRef ds:uri="http://schemas.microsoft.com/sharepoint/v3"/>
    <ds:schemaRef ds:uri="http://purl.org/dc/terms/"/>
    <ds:schemaRef ds:uri="ea060dc6-3480-4c8e-809c-224405e03b9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www.w3.org/XML/1998/namespace"/>
    <ds:schemaRef ds:uri="ff559184-0d06-4629-a649-4481ff06bf8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Pricing Input</vt:lpstr>
      <vt:lpstr>Route Data 05 Nov 2025</vt:lpstr>
    </vt:vector>
  </TitlesOfParts>
  <Manager/>
  <Company>DoD Education Activity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Pritchard, Colleen C. Ms CIV OSD/DoDEA</dc:creator>
  <cp:keywords/>
  <dc:description/>
  <cp:lastModifiedBy>Infante, David A. Mr. CIV OSW/DoWEA-HQ</cp:lastModifiedBy>
  <cp:revision/>
  <dcterms:created xsi:type="dcterms:W3CDTF">2020-07-29T23:23:13Z</dcterms:created>
  <dcterms:modified xsi:type="dcterms:W3CDTF">2026-04-08T19:12:17Z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0x0101004798FA2F4DBC7947AD140E0E7B457240</vt:lpwstr>
  </property>
  <property fmtid="{D5CDD505-2E9C-101B-9397-08002B2CF9AE}" pid="3" name="MediaServiceImageTags">
    <vt:lpwstr/>
  </property>
</Properties>
</file>