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86" documentId="13_ncr:1_{9F57D6A4-6225-4685-ADAE-B4ED1F761FF6}" xr6:coauthVersionLast="47" xr6:coauthVersionMax="47" xr10:uidLastSave="{7F0BE1F7-F499-4DCA-A934-14C5A917BD2A}"/>
  <bookViews>
    <workbookView xWindow="2295" yWindow="615" windowWidth="21390" windowHeight="14100" firstSheet="1" activeTab="1" xr2:uid="{00000000-000D-0000-FFFF-FFFF00000000}"/>
  </bookViews>
  <sheets>
    <sheet name="Recovered_Sheet1" sheetId="1" state="veryHidden" r:id="rId1"/>
    <sheet name="Quotation" sheetId="4" r:id="rId2"/>
  </sheets>
  <definedNames>
    <definedName name="_xlnm.Print_Area" localSheetId="1">Quotation!$A$1:$M$59</definedName>
    <definedName name="_xlnm.Print_Titles" localSheetId="1">Quotation!$A:$F,Quotation!$1:$2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4" l="1"/>
  <c r="K58" i="4"/>
  <c r="M58" i="4" s="1"/>
  <c r="K54" i="4"/>
  <c r="M54" i="4" s="1"/>
  <c r="K50" i="4"/>
  <c r="M50" i="4" s="1"/>
  <c r="A11" i="4"/>
  <c r="B11" i="4"/>
  <c r="A18" i="4"/>
  <c r="A22" i="4" s="1"/>
  <c r="A25" i="4" s="1"/>
  <c r="B18" i="4"/>
  <c r="B22" i="4" s="1"/>
  <c r="B25" i="4" s="1"/>
  <c r="H20" i="4"/>
  <c r="I20" i="4" s="1"/>
  <c r="H27" i="4"/>
  <c r="I27" i="4" s="1"/>
  <c r="H33" i="4"/>
  <c r="I33" i="4" s="1"/>
  <c r="K33" i="4"/>
  <c r="L33" i="4" s="1"/>
  <c r="H40" i="4"/>
  <c r="I40" i="4" s="1"/>
  <c r="K40" i="4"/>
  <c r="L40" i="4" s="1"/>
  <c r="K46" i="4"/>
  <c r="M46" i="4" s="1"/>
  <c r="J20" i="4" l="1"/>
  <c r="J40" i="4"/>
  <c r="K70" i="4"/>
  <c r="K72" i="4" s="1"/>
  <c r="K65" i="4"/>
  <c r="K67" i="4" s="1"/>
  <c r="K75" i="4" l="1"/>
  <c r="J33" i="4"/>
  <c r="J27" i="4"/>
</calcChain>
</file>

<file path=xl/sharedStrings.xml><?xml version="1.0" encoding="utf-8"?>
<sst xmlns="http://schemas.openxmlformats.org/spreadsheetml/2006/main" count="119" uniqueCount="46">
  <si>
    <t>NSP</t>
  </si>
  <si>
    <t>SLIN</t>
  </si>
  <si>
    <t xml:space="preserve"> </t>
  </si>
  <si>
    <t>0002</t>
  </si>
  <si>
    <t>DESCRIPTION</t>
  </si>
  <si>
    <t>Unit of</t>
  </si>
  <si>
    <t>Issue</t>
  </si>
  <si>
    <t>A</t>
  </si>
  <si>
    <t>LO</t>
  </si>
  <si>
    <t>B</t>
  </si>
  <si>
    <t xml:space="preserve"> Unit $</t>
  </si>
  <si>
    <t xml:space="preserve"> Qty</t>
  </si>
  <si>
    <t>City Trunk Traffic Study</t>
  </si>
  <si>
    <t>EA</t>
  </si>
  <si>
    <t xml:space="preserve"> Ext $</t>
  </si>
  <si>
    <t>Traffic Analysis Report, DS1 and Higher)</t>
  </si>
  <si>
    <t>Higher Bandwidth Transport Study</t>
  </si>
  <si>
    <t>C</t>
  </si>
  <si>
    <t>D</t>
  </si>
  <si>
    <t>x 12</t>
  </si>
  <si>
    <t>Customer Service Record</t>
  </si>
  <si>
    <t>City Trunk Traffic Analysis Report</t>
  </si>
  <si>
    <t xml:space="preserve">Higher Bandwidth Transport Circuit </t>
  </si>
  <si>
    <t>Communication Service Record</t>
  </si>
  <si>
    <t>Taxes, Fees, and Surcharges</t>
  </si>
  <si>
    <t>USOC</t>
  </si>
  <si>
    <t>DID Directory Number</t>
  </si>
  <si>
    <t>E</t>
  </si>
  <si>
    <t xml:space="preserve">      -------------------------------- N/A ----------------------------------</t>
  </si>
  <si>
    <t>Direct In Dial Directory Number (DID) (Appendix 10, Table 10.1)</t>
  </si>
  <si>
    <t xml:space="preserve">Data Item IAW DD Form 1423-1 SOW </t>
  </si>
  <si>
    <t>CSLs</t>
  </si>
  <si>
    <t>Base Year</t>
  </si>
  <si>
    <t>Non-Recurring Charges</t>
  </si>
  <si>
    <t>0001</t>
  </si>
  <si>
    <t>Total Non-Recurring Charges</t>
  </si>
  <si>
    <t>Total Monthly Recurring Charges (MRC)</t>
  </si>
  <si>
    <t>Total Taxes (TFS)</t>
  </si>
  <si>
    <t>MRC + TFS per month</t>
  </si>
  <si>
    <t>Please ensure the values above compute to no more than 2 decimal places (i.e. dollars and cents).</t>
  </si>
  <si>
    <t>Commercial Subscriber Lines (Appendix 10, Table 10.2)</t>
  </si>
  <si>
    <t>Trunking Traffic Study / Analysis Report (SOW 3.2.4)</t>
  </si>
  <si>
    <t>Reserved</t>
  </si>
  <si>
    <t>Monthly Recurring Charges</t>
  </si>
  <si>
    <t>NOT APPLICABLE</t>
  </si>
  <si>
    <t>26QA005 ALTESS,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</si>
</sst>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[Red]&quot;$&quot;#,##0.00"/>
    <numFmt numFmtId="165" formatCode="&quot;$&quot;#,##0"/>
    <numFmt numFmtId="166" formatCode="&quot;$&quot;#,##0.00"/>
    <numFmt numFmtId="167" formatCode=";;;"/>
    <numFmt numFmtId="168" formatCode="#,##0.000"/>
    <numFmt numFmtId="169" formatCode="0.00_)"/>
    <numFmt numFmtId="170" formatCode="&quot;$&quot;#,##0.0000"/>
  </numFmts>
  <fonts count="51" x14ac:knownFonts="1">
    <font>
      <sz val="8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37"/>
      <name val="Arial"/>
      <family val="2"/>
    </font>
    <font>
      <b/>
      <i/>
      <sz val="10"/>
      <color indexed="10"/>
      <name val="Arial"/>
      <family val="2"/>
    </font>
    <font>
      <u/>
      <sz val="7"/>
      <color indexed="39"/>
      <name val="Arial"/>
      <family val="2"/>
    </font>
    <font>
      <b/>
      <u/>
      <sz val="8"/>
      <color indexed="37"/>
      <name val="Arial"/>
      <family val="2"/>
    </font>
    <font>
      <b/>
      <sz val="8"/>
      <color indexed="37"/>
      <name val="Arial"/>
      <family val="2"/>
    </font>
    <font>
      <b/>
      <i/>
      <u/>
      <sz val="10"/>
      <color indexed="10"/>
      <name val="Arial"/>
      <family val="2"/>
    </font>
    <font>
      <b/>
      <sz val="8"/>
      <color indexed="38"/>
      <name val="Arial"/>
      <family val="2"/>
    </font>
    <font>
      <sz val="8"/>
      <color indexed="38"/>
      <name val="Arial"/>
      <family val="2"/>
    </font>
    <font>
      <b/>
      <sz val="8"/>
      <name val="Arial"/>
      <family val="2"/>
    </font>
    <font>
      <sz val="8"/>
      <color indexed="19"/>
      <name val="Arial"/>
      <family val="2"/>
    </font>
    <font>
      <sz val="8"/>
      <color indexed="10"/>
      <name val="Arial"/>
      <family val="2"/>
    </font>
    <font>
      <b/>
      <u/>
      <sz val="8"/>
      <color indexed="10"/>
      <name val="Arial"/>
      <family val="2"/>
    </font>
    <font>
      <i/>
      <sz val="8"/>
      <color indexed="38"/>
      <name val="Arial"/>
      <family val="2"/>
    </font>
    <font>
      <sz val="7"/>
      <color indexed="38"/>
      <name val="Arial"/>
      <family val="2"/>
    </font>
    <font>
      <sz val="8"/>
      <color indexed="12"/>
      <name val="Arial"/>
      <family val="2"/>
    </font>
    <font>
      <sz val="8"/>
      <color indexed="22"/>
      <name val="Arial"/>
      <family val="2"/>
    </font>
    <font>
      <b/>
      <sz val="8"/>
      <color indexed="10"/>
      <name val="Arial"/>
      <family val="2"/>
    </font>
    <font>
      <b/>
      <sz val="8"/>
      <color indexed="19"/>
      <name val="Arial"/>
      <family val="2"/>
    </font>
    <font>
      <b/>
      <sz val="8"/>
      <color indexed="5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b/>
      <u/>
      <sz val="8"/>
      <color indexed="61"/>
      <name val="Arial"/>
      <family val="2"/>
    </font>
    <font>
      <b/>
      <u/>
      <sz val="8"/>
      <color indexed="50"/>
      <name val="Arial"/>
      <family val="2"/>
    </font>
    <font>
      <b/>
      <sz val="7"/>
      <color indexed="12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b/>
      <sz val="8"/>
      <color rgb="FF008000"/>
      <name val="Arial"/>
      <family val="2"/>
    </font>
    <font>
      <b/>
      <sz val="8"/>
      <color rgb="FF00808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indexed="21"/>
      </left>
      <right/>
      <top/>
      <bottom/>
      <diagonal/>
    </border>
    <border>
      <left/>
      <right/>
      <top/>
      <bottom style="hair">
        <color indexed="37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12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21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12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12"/>
      </left>
      <right style="hair">
        <color indexed="64"/>
      </right>
      <top/>
      <bottom style="thin">
        <color indexed="64"/>
      </bottom>
      <diagonal/>
    </border>
  </borders>
  <cellStyleXfs count="6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46" fillId="6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8" borderId="0" applyNumberFormat="0" applyBorder="0" applyAlignment="0" applyProtection="0"/>
    <xf numFmtId="0" fontId="46" fillId="6" borderId="0" applyNumberFormat="0" applyBorder="0" applyAlignment="0" applyProtection="0"/>
    <xf numFmtId="0" fontId="46" fillId="3" borderId="0" applyNumberFormat="0" applyBorder="0" applyAlignment="0" applyProtection="0"/>
    <xf numFmtId="0" fontId="46" fillId="11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36" fillId="15" borderId="0" applyNumberFormat="0" applyBorder="0" applyAlignment="0" applyProtection="0"/>
    <xf numFmtId="0" fontId="40" fillId="16" borderId="1" applyNumberFormat="0" applyAlignment="0" applyProtection="0"/>
    <xf numFmtId="0" fontId="42" fillId="17" borderId="2" applyNumberFormat="0" applyAlignment="0" applyProtection="0"/>
    <xf numFmtId="0" fontId="44" fillId="0" borderId="0" applyNumberFormat="0" applyFill="0" applyBorder="0" applyAlignment="0" applyProtection="0"/>
    <xf numFmtId="0" fontId="35" fillId="6" borderId="0" applyNumberFormat="0" applyBorder="0" applyAlignment="0" applyProtection="0"/>
    <xf numFmtId="38" fontId="5" fillId="18" borderId="0" applyNumberFormat="0" applyBorder="0" applyAlignment="0" applyProtection="0"/>
    <xf numFmtId="0" fontId="26" fillId="0" borderId="3" applyNumberFormat="0" applyAlignment="0" applyProtection="0">
      <alignment horizontal="left" vertical="center"/>
    </xf>
    <xf numFmtId="0" fontId="26" fillId="0" borderId="4">
      <alignment horizontal="left" vertical="center"/>
    </xf>
    <xf numFmtId="0" fontId="32" fillId="0" borderId="5" applyNumberFormat="0" applyFill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4" fillId="0" borderId="0" applyNumberFormat="0" applyFill="0" applyBorder="0" applyAlignment="0" applyProtection="0"/>
    <xf numFmtId="0" fontId="38" fillId="7" borderId="1" applyNumberFormat="0" applyAlignment="0" applyProtection="0"/>
    <xf numFmtId="10" fontId="5" fillId="19" borderId="8" applyNumberFormat="0" applyBorder="0" applyAlignment="0" applyProtection="0"/>
    <xf numFmtId="0" fontId="41" fillId="0" borderId="9" applyNumberFormat="0" applyFill="0" applyAlignment="0" applyProtection="0"/>
    <xf numFmtId="0" fontId="37" fillId="7" borderId="0" applyNumberFormat="0" applyBorder="0" applyAlignment="0" applyProtection="0"/>
    <xf numFmtId="169" fontId="2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4" borderId="10" applyNumberFormat="0" applyFont="0" applyAlignment="0" applyProtection="0"/>
    <xf numFmtId="0" fontId="39" fillId="16" borderId="11" applyNumberFormat="0" applyAlignment="0" applyProtection="0"/>
    <xf numFmtId="9" fontId="3" fillId="0" borderId="0" applyFont="0" applyFill="0" applyBorder="0" applyAlignment="0" applyProtection="0"/>
    <xf numFmtId="10" fontId="2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45" fillId="0" borderId="12" applyNumberFormat="0" applyFill="0" applyAlignment="0" applyProtection="0"/>
    <xf numFmtId="0" fontId="43" fillId="0" borderId="0" applyNumberFormat="0" applyFill="0" applyBorder="0" applyAlignment="0" applyProtection="0"/>
  </cellStyleXfs>
  <cellXfs count="230">
    <xf numFmtId="0" fontId="0" fillId="0" borderId="0" xfId="0"/>
    <xf numFmtId="0" fontId="0" fillId="0" borderId="0" xfId="0" applyAlignment="1"/>
    <xf numFmtId="0" fontId="4" fillId="0" borderId="0" xfId="0" applyFont="1" applyAlignment="1">
      <alignment vertical="top"/>
    </xf>
    <xf numFmtId="0" fontId="13" fillId="21" borderId="13" xfId="0" applyFont="1" applyFill="1" applyBorder="1" applyAlignment="1">
      <alignment horizontal="center" vertical="center"/>
    </xf>
    <xf numFmtId="3" fontId="16" fillId="21" borderId="0" xfId="0" applyNumberFormat="1" applyFont="1" applyFill="1" applyBorder="1" applyAlignment="1">
      <alignment horizontal="right" vertical="center"/>
    </xf>
    <xf numFmtId="0" fontId="0" fillId="21" borderId="0" xfId="0" applyFill="1"/>
    <xf numFmtId="0" fontId="13" fillId="20" borderId="13" xfId="0" applyFont="1" applyFill="1" applyBorder="1" applyAlignment="1">
      <alignment horizontal="center" vertical="center"/>
    </xf>
    <xf numFmtId="3" fontId="16" fillId="20" borderId="0" xfId="0" applyNumberFormat="1" applyFont="1" applyFill="1" applyBorder="1" applyAlignment="1">
      <alignment horizontal="right" vertical="center"/>
    </xf>
    <xf numFmtId="3" fontId="17" fillId="20" borderId="0" xfId="0" applyNumberFormat="1" applyFont="1" applyFill="1" applyBorder="1" applyAlignment="1">
      <alignment horizontal="right" vertical="center" wrapText="1"/>
    </xf>
    <xf numFmtId="3" fontId="15" fillId="20" borderId="0" xfId="0" applyNumberFormat="1" applyFont="1" applyFill="1" applyBorder="1" applyAlignment="1">
      <alignment horizontal="left" vertical="center"/>
    </xf>
    <xf numFmtId="3" fontId="15" fillId="20" borderId="0" xfId="0" applyNumberFormat="1" applyFont="1" applyFill="1" applyBorder="1" applyAlignment="1">
      <alignment horizontal="right" vertical="center"/>
    </xf>
    <xf numFmtId="165" fontId="15" fillId="20" borderId="0" xfId="0" applyNumberFormat="1" applyFont="1" applyFill="1" applyBorder="1" applyAlignment="1">
      <alignment horizontal="center" vertical="center"/>
    </xf>
    <xf numFmtId="0" fontId="9" fillId="20" borderId="0" xfId="0" applyFont="1" applyFill="1" applyBorder="1" applyAlignment="1">
      <alignment horizontal="left" vertical="center"/>
    </xf>
    <xf numFmtId="0" fontId="19" fillId="20" borderId="13" xfId="0" applyFont="1" applyFill="1" applyBorder="1" applyAlignment="1">
      <alignment horizontal="left"/>
    </xf>
    <xf numFmtId="0" fontId="13" fillId="20" borderId="13" xfId="0" applyFont="1" applyFill="1" applyBorder="1" applyAlignment="1">
      <alignment horizontal="center"/>
    </xf>
    <xf numFmtId="165" fontId="15" fillId="20" borderId="0" xfId="0" applyNumberFormat="1" applyFont="1" applyFill="1" applyBorder="1" applyAlignment="1" applyProtection="1">
      <alignment horizontal="right" vertical="center"/>
      <protection locked="0"/>
    </xf>
    <xf numFmtId="3" fontId="15" fillId="20" borderId="0" xfId="0" applyNumberFormat="1" applyFont="1" applyFill="1" applyBorder="1" applyAlignment="1" applyProtection="1">
      <alignment horizontal="right" vertical="center"/>
      <protection locked="0"/>
    </xf>
    <xf numFmtId="3" fontId="16" fillId="20" borderId="0" xfId="0" applyNumberFormat="1" applyFont="1" applyFill="1" applyBorder="1" applyAlignment="1">
      <alignment horizontal="right"/>
    </xf>
    <xf numFmtId="0" fontId="0" fillId="0" borderId="0" xfId="0" applyFill="1"/>
    <xf numFmtId="0" fontId="13" fillId="20" borderId="0" xfId="0" applyFont="1" applyFill="1" applyBorder="1" applyAlignment="1">
      <alignment horizontal="center" vertical="center"/>
    </xf>
    <xf numFmtId="0" fontId="13" fillId="20" borderId="0" xfId="0" applyFont="1" applyFill="1" applyBorder="1" applyAlignment="1">
      <alignment vertical="center"/>
    </xf>
    <xf numFmtId="0" fontId="13" fillId="19" borderId="0" xfId="0" applyFont="1" applyFill="1" applyBorder="1" applyAlignment="1">
      <alignment vertical="center"/>
    </xf>
    <xf numFmtId="0" fontId="9" fillId="21" borderId="0" xfId="0" applyFont="1" applyFill="1" applyBorder="1" applyAlignment="1">
      <alignment horizontal="left" vertical="center"/>
    </xf>
    <xf numFmtId="0" fontId="15" fillId="20" borderId="0" xfId="0" applyFont="1" applyFill="1" applyBorder="1" applyAlignment="1" applyProtection="1">
      <alignment horizontal="left" vertical="center"/>
    </xf>
    <xf numFmtId="0" fontId="0" fillId="0" borderId="0" xfId="0" applyBorder="1"/>
    <xf numFmtId="0" fontId="15" fillId="0" borderId="0" xfId="0" applyFont="1" applyFill="1" applyBorder="1" applyAlignment="1" applyProtection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167" fontId="15" fillId="0" borderId="0" xfId="0" applyNumberFormat="1" applyFont="1" applyFill="1" applyBorder="1" applyAlignment="1">
      <alignment horizontal="right" vertical="center"/>
    </xf>
    <xf numFmtId="167" fontId="15" fillId="0" borderId="0" xfId="0" applyNumberFormat="1" applyFont="1" applyFill="1" applyBorder="1" applyAlignment="1">
      <alignment horizontal="center" vertical="center"/>
    </xf>
    <xf numFmtId="0" fontId="14" fillId="0" borderId="0" xfId="0" applyFont="1"/>
    <xf numFmtId="3" fontId="15" fillId="20" borderId="0" xfId="0" applyNumberFormat="1" applyFont="1" applyFill="1" applyBorder="1" applyAlignment="1" applyProtection="1">
      <alignment horizontal="right" vertical="center"/>
    </xf>
    <xf numFmtId="165" fontId="15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5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6" fillId="22" borderId="14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Fill="1" applyBorder="1" applyAlignment="1">
      <alignment horizontal="left" vertical="center"/>
    </xf>
    <xf numFmtId="3" fontId="16" fillId="0" borderId="0" xfId="0" applyNumberFormat="1" applyFont="1" applyFill="1" applyBorder="1" applyAlignment="1">
      <alignment horizontal="right"/>
    </xf>
    <xf numFmtId="167" fontId="21" fillId="0" borderId="0" xfId="0" applyNumberFormat="1" applyFont="1" applyFill="1" applyBorder="1" applyAlignment="1" applyProtection="1">
      <alignment horizontal="center"/>
      <protection locked="0"/>
    </xf>
    <xf numFmtId="167" fontId="15" fillId="0" borderId="0" xfId="0" applyNumberFormat="1" applyFont="1" applyFill="1" applyBorder="1" applyAlignment="1" applyProtection="1">
      <alignment horizontal="center"/>
    </xf>
    <xf numFmtId="167" fontId="15" fillId="0" borderId="0" xfId="0" applyNumberFormat="1" applyFont="1" applyFill="1" applyBorder="1" applyAlignment="1" applyProtection="1">
      <alignment horizontal="right" vertical="center"/>
    </xf>
    <xf numFmtId="167" fontId="15" fillId="0" borderId="0" xfId="0" applyNumberFormat="1" applyFont="1" applyFill="1" applyBorder="1" applyAlignment="1">
      <alignment horizontal="center"/>
    </xf>
    <xf numFmtId="3" fontId="12" fillId="0" borderId="0" xfId="0" applyNumberFormat="1" applyFont="1" applyFill="1" applyBorder="1" applyAlignment="1">
      <alignment horizontal="right" vertical="center"/>
    </xf>
    <xf numFmtId="3" fontId="13" fillId="0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/>
    <xf numFmtId="3" fontId="22" fillId="0" borderId="0" xfId="55" quotePrefix="1" applyNumberFormat="1" applyFont="1" applyFill="1" applyBorder="1" applyAlignment="1">
      <alignment horizontal="right" vertical="top"/>
    </xf>
    <xf numFmtId="0" fontId="28" fillId="0" borderId="0" xfId="0" applyFont="1" applyFill="1" applyBorder="1" applyAlignment="1">
      <alignment vertical="center"/>
    </xf>
    <xf numFmtId="168" fontId="24" fillId="0" borderId="0" xfId="0" applyNumberFormat="1" applyFont="1" applyFill="1" applyBorder="1" applyAlignment="1">
      <alignment horizontal="centerContinuous" vertical="center"/>
    </xf>
    <xf numFmtId="167" fontId="0" fillId="0" borderId="0" xfId="0" applyNumberFormat="1" applyFill="1" applyBorder="1"/>
    <xf numFmtId="0" fontId="20" fillId="0" borderId="0" xfId="0" applyFont="1" applyFill="1" applyBorder="1" applyAlignment="1">
      <alignment horizontal="centerContinuous" vertical="center"/>
    </xf>
    <xf numFmtId="0" fontId="29" fillId="0" borderId="0" xfId="0" applyFont="1" applyFill="1" applyBorder="1" applyAlignment="1">
      <alignment vertical="center"/>
    </xf>
    <xf numFmtId="167" fontId="23" fillId="0" borderId="0" xfId="0" applyNumberFormat="1" applyFont="1" applyFill="1" applyBorder="1" applyAlignment="1">
      <alignment horizontal="right" vertical="center"/>
    </xf>
    <xf numFmtId="167" fontId="0" fillId="0" borderId="0" xfId="0" applyNumberFormat="1" applyFill="1" applyBorder="1" applyAlignment="1">
      <alignment horizontal="centerContinuous"/>
    </xf>
    <xf numFmtId="166" fontId="16" fillId="22" borderId="0" xfId="0" applyNumberFormat="1" applyFont="1" applyFill="1" applyBorder="1" applyAlignment="1" applyProtection="1">
      <alignment horizontal="right" vertical="center"/>
      <protection locked="0"/>
    </xf>
    <xf numFmtId="3" fontId="16" fillId="21" borderId="15" xfId="0" applyNumberFormat="1" applyFont="1" applyFill="1" applyBorder="1" applyAlignment="1">
      <alignment horizontal="right" vertical="center"/>
    </xf>
    <xf numFmtId="3" fontId="16" fillId="20" borderId="15" xfId="0" applyNumberFormat="1" applyFont="1" applyFill="1" applyBorder="1" applyAlignment="1">
      <alignment horizontal="right" vertical="center"/>
    </xf>
    <xf numFmtId="3" fontId="17" fillId="20" borderId="15" xfId="0" applyNumberFormat="1" applyFont="1" applyFill="1" applyBorder="1" applyAlignment="1">
      <alignment horizontal="right" vertical="center" wrapText="1"/>
    </xf>
    <xf numFmtId="3" fontId="15" fillId="20" borderId="15" xfId="0" applyNumberFormat="1" applyFont="1" applyFill="1" applyBorder="1" applyAlignment="1">
      <alignment horizontal="right" vertical="center"/>
    </xf>
    <xf numFmtId="3" fontId="15" fillId="20" borderId="15" xfId="0" applyNumberFormat="1" applyFont="1" applyFill="1" applyBorder="1" applyAlignment="1" applyProtection="1">
      <alignment horizontal="right" vertical="center"/>
      <protection locked="0"/>
    </xf>
    <xf numFmtId="3" fontId="16" fillId="20" borderId="15" xfId="0" applyNumberFormat="1" applyFont="1" applyFill="1" applyBorder="1" applyAlignment="1">
      <alignment horizontal="right"/>
    </xf>
    <xf numFmtId="166" fontId="16" fillId="22" borderId="15" xfId="0" applyNumberFormat="1" applyFont="1" applyFill="1" applyBorder="1" applyAlignment="1" applyProtection="1">
      <alignment horizontal="right" vertical="center"/>
      <protection locked="0"/>
    </xf>
    <xf numFmtId="3" fontId="15" fillId="20" borderId="15" xfId="0" applyNumberFormat="1" applyFont="1" applyFill="1" applyBorder="1" applyAlignment="1" applyProtection="1">
      <alignment horizontal="right" vertical="center"/>
    </xf>
    <xf numFmtId="166" fontId="15" fillId="20" borderId="15" xfId="0" quotePrefix="1" applyNumberFormat="1" applyFont="1" applyFill="1" applyBorder="1" applyAlignment="1" applyProtection="1">
      <alignment horizontal="right" vertical="center"/>
      <protection locked="0"/>
    </xf>
    <xf numFmtId="165" fontId="15" fillId="20" borderId="15" xfId="0" applyNumberFormat="1" applyFont="1" applyFill="1" applyBorder="1" applyAlignment="1" applyProtection="1">
      <alignment horizontal="right" vertical="center"/>
      <protection locked="0"/>
    </xf>
    <xf numFmtId="0" fontId="9" fillId="0" borderId="0" xfId="0" quotePrefix="1" applyFont="1" applyFill="1" applyBorder="1" applyAlignment="1">
      <alignment horizontal="left" vertical="center"/>
    </xf>
    <xf numFmtId="167" fontId="21" fillId="20" borderId="0" xfId="0" applyNumberFormat="1" applyFont="1" applyFill="1" applyBorder="1" applyAlignment="1" applyProtection="1">
      <alignment horizontal="center"/>
      <protection locked="0"/>
    </xf>
    <xf numFmtId="167" fontId="15" fillId="20" borderId="0" xfId="0" applyNumberFormat="1" applyFont="1" applyFill="1" applyBorder="1" applyAlignment="1">
      <alignment horizontal="center"/>
    </xf>
    <xf numFmtId="167" fontId="15" fillId="20" borderId="0" xfId="0" applyNumberFormat="1" applyFont="1" applyFill="1" applyBorder="1" applyAlignment="1" applyProtection="1">
      <alignment horizontal="center"/>
    </xf>
    <xf numFmtId="167" fontId="15" fillId="20" borderId="0" xfId="0" applyNumberFormat="1" applyFont="1" applyFill="1" applyBorder="1" applyAlignment="1" applyProtection="1">
      <alignment horizontal="right" vertical="center"/>
    </xf>
    <xf numFmtId="0" fontId="15" fillId="20" borderId="0" xfId="0" applyFont="1" applyFill="1" applyBorder="1" applyAlignment="1">
      <alignment horizontal="center" vertical="center"/>
    </xf>
    <xf numFmtId="3" fontId="16" fillId="20" borderId="0" xfId="0" applyNumberFormat="1" applyFont="1" applyFill="1" applyBorder="1" applyAlignment="1" applyProtection="1">
      <alignment horizontal="right" vertical="center"/>
    </xf>
    <xf numFmtId="3" fontId="16" fillId="20" borderId="15" xfId="0" applyNumberFormat="1" applyFont="1" applyFill="1" applyBorder="1" applyAlignment="1" applyProtection="1">
      <alignment horizontal="right" vertical="center"/>
    </xf>
    <xf numFmtId="0" fontId="6" fillId="19" borderId="0" xfId="0" applyFont="1" applyFill="1" applyBorder="1" applyAlignment="1">
      <alignment horizontal="centerContinuous"/>
    </xf>
    <xf numFmtId="167" fontId="6" fillId="19" borderId="0" xfId="0" applyNumberFormat="1" applyFont="1" applyFill="1" applyBorder="1" applyAlignment="1">
      <alignment horizontal="centerContinuous"/>
    </xf>
    <xf numFmtId="15" fontId="30" fillId="19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19" borderId="16" xfId="0" applyFont="1" applyFill="1" applyBorder="1" applyAlignment="1">
      <alignment horizontal="center"/>
    </xf>
    <xf numFmtId="0" fontId="10" fillId="19" borderId="16" xfId="0" applyFont="1" applyFill="1" applyBorder="1" applyAlignment="1">
      <alignment horizontal="centerContinuous"/>
    </xf>
    <xf numFmtId="0" fontId="10" fillId="19" borderId="16" xfId="0" quotePrefix="1" applyFont="1" applyFill="1" applyBorder="1" applyAlignment="1">
      <alignment horizontal="center"/>
    </xf>
    <xf numFmtId="0" fontId="10" fillId="19" borderId="15" xfId="0" quotePrefix="1" applyFont="1" applyFill="1" applyBorder="1" applyAlignment="1">
      <alignment horizontal="center"/>
    </xf>
    <xf numFmtId="0" fontId="10" fillId="19" borderId="0" xfId="0" quotePrefix="1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9" borderId="0" xfId="0" applyFont="1" applyFill="1" applyBorder="1" applyAlignment="1">
      <alignment horizontal="center"/>
    </xf>
    <xf numFmtId="0" fontId="6" fillId="19" borderId="15" xfId="0" applyFont="1" applyFill="1" applyBorder="1" applyAlignment="1">
      <alignment horizontal="center"/>
    </xf>
    <xf numFmtId="0" fontId="11" fillId="19" borderId="0" xfId="0" applyFont="1" applyFill="1" applyBorder="1" applyAlignment="1" applyProtection="1">
      <alignment horizontal="left" vertical="center" wrapText="1"/>
      <protection locked="0"/>
    </xf>
    <xf numFmtId="0" fontId="9" fillId="19" borderId="0" xfId="0" applyFont="1" applyFill="1" applyBorder="1" applyAlignment="1">
      <alignment horizontal="left"/>
    </xf>
    <xf numFmtId="167" fontId="6" fillId="19" borderId="0" xfId="0" applyNumberFormat="1" applyFont="1" applyFill="1" applyBorder="1" applyAlignment="1">
      <alignment horizontal="center"/>
    </xf>
    <xf numFmtId="0" fontId="10" fillId="19" borderId="0" xfId="0" applyFont="1" applyFill="1" applyBorder="1" applyAlignment="1">
      <alignment horizontal="left" vertical="top"/>
    </xf>
    <xf numFmtId="0" fontId="6" fillId="19" borderId="13" xfId="0" applyFont="1" applyFill="1" applyBorder="1" applyAlignment="1">
      <alignment horizontal="center" vertical="top"/>
    </xf>
    <xf numFmtId="167" fontId="6" fillId="19" borderId="0" xfId="0" applyNumberFormat="1" applyFont="1" applyFill="1" applyBorder="1" applyAlignment="1">
      <alignment horizontal="center" vertical="top"/>
    </xf>
    <xf numFmtId="0" fontId="18" fillId="19" borderId="0" xfId="0" applyFont="1" applyFill="1" applyBorder="1" applyAlignment="1">
      <alignment vertical="center"/>
    </xf>
    <xf numFmtId="0" fontId="6" fillId="19" borderId="0" xfId="0" applyFont="1" applyFill="1" applyBorder="1" applyAlignment="1">
      <alignment horizontal="center" vertical="top"/>
    </xf>
    <xf numFmtId="0" fontId="15" fillId="21" borderId="0" xfId="0" applyFont="1" applyFill="1" applyBorder="1" applyAlignment="1">
      <alignment horizontal="center" vertical="center"/>
    </xf>
    <xf numFmtId="0" fontId="15" fillId="20" borderId="0" xfId="0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 vertical="top"/>
    </xf>
    <xf numFmtId="0" fontId="13" fillId="21" borderId="17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 vertical="top"/>
    </xf>
    <xf numFmtId="0" fontId="7" fillId="19" borderId="18" xfId="0" applyFont="1" applyFill="1" applyBorder="1" applyAlignment="1" applyProtection="1">
      <alignment horizontal="center" vertical="center"/>
      <protection locked="0"/>
    </xf>
    <xf numFmtId="0" fontId="8" fillId="19" borderId="18" xfId="0" applyFont="1" applyFill="1" applyBorder="1" applyAlignment="1" applyProtection="1">
      <alignment horizontal="center" vertical="center"/>
      <protection locked="0"/>
    </xf>
    <xf numFmtId="0" fontId="8" fillId="19" borderId="18" xfId="0" applyFont="1" applyFill="1" applyBorder="1" applyAlignment="1" applyProtection="1">
      <alignment horizontal="right" vertical="center"/>
      <protection locked="0"/>
    </xf>
    <xf numFmtId="0" fontId="6" fillId="19" borderId="18" xfId="0" applyFont="1" applyFill="1" applyBorder="1" applyAlignment="1">
      <alignment horizontal="centerContinuous"/>
    </xf>
    <xf numFmtId="164" fontId="9" fillId="19" borderId="18" xfId="0" applyNumberFormat="1" applyFont="1" applyFill="1" applyBorder="1" applyAlignment="1">
      <alignment horizontal="centerContinuous" vertical="top"/>
    </xf>
    <xf numFmtId="167" fontId="6" fillId="19" borderId="18" xfId="0" applyNumberFormat="1" applyFont="1" applyFill="1" applyBorder="1" applyAlignment="1">
      <alignment horizontal="centerContinuous"/>
    </xf>
    <xf numFmtId="164" fontId="9" fillId="19" borderId="19" xfId="0" applyNumberFormat="1" applyFont="1" applyFill="1" applyBorder="1" applyAlignment="1">
      <alignment horizontal="centerContinuous" vertical="top"/>
    </xf>
    <xf numFmtId="167" fontId="6" fillId="20" borderId="18" xfId="0" applyNumberFormat="1" applyFont="1" applyFill="1" applyBorder="1" applyAlignment="1">
      <alignment horizontal="centerContinuous"/>
    </xf>
    <xf numFmtId="167" fontId="6" fillId="20" borderId="0" xfId="0" applyNumberFormat="1" applyFont="1" applyFill="1" applyBorder="1" applyAlignment="1">
      <alignment horizontal="centerContinuous"/>
    </xf>
    <xf numFmtId="167" fontId="15" fillId="20" borderId="0" xfId="0" applyNumberFormat="1" applyFont="1" applyFill="1" applyBorder="1" applyAlignment="1">
      <alignment horizontal="center" vertical="center"/>
    </xf>
    <xf numFmtId="167" fontId="15" fillId="20" borderId="0" xfId="0" applyNumberFormat="1" applyFont="1" applyFill="1" applyBorder="1" applyAlignment="1">
      <alignment horizontal="right" vertical="center"/>
    </xf>
    <xf numFmtId="0" fontId="15" fillId="20" borderId="0" xfId="0" applyFont="1" applyFill="1" applyBorder="1"/>
    <xf numFmtId="3" fontId="22" fillId="20" borderId="0" xfId="55" quotePrefix="1" applyNumberFormat="1" applyFont="1" applyFill="1" applyBorder="1" applyAlignment="1">
      <alignment horizontal="right" vertical="top"/>
    </xf>
    <xf numFmtId="3" fontId="13" fillId="20" borderId="0" xfId="0" applyNumberFormat="1" applyFont="1" applyFill="1" applyBorder="1" applyAlignment="1">
      <alignment horizontal="right" vertical="center"/>
    </xf>
    <xf numFmtId="0" fontId="28" fillId="20" borderId="0" xfId="0" applyFont="1" applyFill="1" applyBorder="1" applyAlignment="1">
      <alignment vertical="center"/>
    </xf>
    <xf numFmtId="167" fontId="0" fillId="20" borderId="0" xfId="0" applyNumberFormat="1" applyFill="1" applyBorder="1"/>
    <xf numFmtId="3" fontId="12" fillId="20" borderId="0" xfId="0" applyNumberFormat="1" applyFont="1" applyFill="1" applyBorder="1" applyAlignment="1">
      <alignment horizontal="right" vertical="center"/>
    </xf>
    <xf numFmtId="168" fontId="24" fillId="20" borderId="0" xfId="0" applyNumberFormat="1" applyFont="1" applyFill="1" applyBorder="1" applyAlignment="1">
      <alignment horizontal="centerContinuous" vertical="center"/>
    </xf>
    <xf numFmtId="167" fontId="23" fillId="20" borderId="0" xfId="0" applyNumberFormat="1" applyFont="1" applyFill="1" applyBorder="1" applyAlignment="1">
      <alignment horizontal="right" vertical="center"/>
    </xf>
    <xf numFmtId="0" fontId="20" fillId="20" borderId="0" xfId="0" applyFont="1" applyFill="1" applyBorder="1" applyAlignment="1">
      <alignment horizontal="centerContinuous" vertical="center"/>
    </xf>
    <xf numFmtId="0" fontId="29" fillId="20" borderId="0" xfId="0" applyFont="1" applyFill="1" applyBorder="1" applyAlignment="1">
      <alignment vertical="center"/>
    </xf>
    <xf numFmtId="167" fontId="0" fillId="20" borderId="0" xfId="0" applyNumberFormat="1" applyFill="1" applyBorder="1" applyAlignment="1">
      <alignment horizontal="centerContinuous"/>
    </xf>
    <xf numFmtId="0" fontId="0" fillId="23" borderId="0" xfId="0" applyFill="1" applyBorder="1"/>
    <xf numFmtId="0" fontId="49" fillId="19" borderId="20" xfId="0" applyFont="1" applyFill="1" applyBorder="1" applyAlignment="1">
      <alignment horizontal="center" vertical="center"/>
    </xf>
    <xf numFmtId="0" fontId="49" fillId="19" borderId="18" xfId="0" applyFont="1" applyFill="1" applyBorder="1" applyAlignment="1">
      <alignment horizontal="center" vertical="center"/>
    </xf>
    <xf numFmtId="0" fontId="49" fillId="19" borderId="21" xfId="0" applyFont="1" applyFill="1" applyBorder="1" applyAlignment="1">
      <alignment horizontal="center" vertical="center"/>
    </xf>
    <xf numFmtId="0" fontId="49" fillId="19" borderId="16" xfId="0" applyFont="1" applyFill="1" applyBorder="1" applyAlignment="1">
      <alignment horizontal="center" vertical="center"/>
    </xf>
    <xf numFmtId="0" fontId="49" fillId="19" borderId="22" xfId="0" applyFont="1" applyFill="1" applyBorder="1" applyAlignment="1">
      <alignment horizontal="center" vertical="center"/>
    </xf>
    <xf numFmtId="0" fontId="49" fillId="19" borderId="23" xfId="0" applyFont="1" applyFill="1" applyBorder="1" applyAlignment="1">
      <alignment horizontal="center" vertical="center"/>
    </xf>
    <xf numFmtId="0" fontId="49" fillId="19" borderId="22" xfId="0" applyFont="1" applyFill="1" applyBorder="1" applyAlignment="1">
      <alignment horizontal="center"/>
    </xf>
    <xf numFmtId="0" fontId="49" fillId="19" borderId="23" xfId="0" applyFont="1" applyFill="1" applyBorder="1" applyAlignment="1">
      <alignment horizontal="center"/>
    </xf>
    <xf numFmtId="0" fontId="49" fillId="19" borderId="22" xfId="0" applyFont="1" applyFill="1" applyBorder="1" applyAlignment="1">
      <alignment horizontal="center" vertical="top"/>
    </xf>
    <xf numFmtId="0" fontId="49" fillId="19" borderId="23" xfId="0" applyFont="1" applyFill="1" applyBorder="1" applyAlignment="1">
      <alignment horizontal="center" vertical="top"/>
    </xf>
    <xf numFmtId="0" fontId="49" fillId="21" borderId="22" xfId="0" applyFont="1" applyFill="1" applyBorder="1" applyAlignment="1">
      <alignment horizontal="center" vertical="center"/>
    </xf>
    <xf numFmtId="0" fontId="49" fillId="21" borderId="23" xfId="0" applyFont="1" applyFill="1" applyBorder="1" applyAlignment="1">
      <alignment horizontal="center" vertical="center"/>
    </xf>
    <xf numFmtId="0" fontId="49" fillId="20" borderId="22" xfId="0" applyFont="1" applyFill="1" applyBorder="1" applyAlignment="1">
      <alignment horizontal="center" vertical="center"/>
    </xf>
    <xf numFmtId="0" fontId="49" fillId="20" borderId="24" xfId="0" applyFont="1" applyFill="1" applyBorder="1" applyAlignment="1">
      <alignment horizontal="center" vertical="center"/>
    </xf>
    <xf numFmtId="0" fontId="49" fillId="19" borderId="24" xfId="0" applyFont="1" applyFill="1" applyBorder="1" applyAlignment="1">
      <alignment horizontal="center" vertical="center"/>
    </xf>
    <xf numFmtId="0" fontId="49" fillId="19" borderId="22" xfId="0" applyFont="1" applyFill="1" applyBorder="1" applyAlignment="1" applyProtection="1">
      <alignment horizontal="center" vertical="top"/>
    </xf>
    <xf numFmtId="0" fontId="49" fillId="19" borderId="24" xfId="0" applyFont="1" applyFill="1" applyBorder="1" applyAlignment="1" applyProtection="1">
      <alignment horizontal="center" vertical="top"/>
    </xf>
    <xf numFmtId="0" fontId="49" fillId="20" borderId="22" xfId="0" applyFont="1" applyFill="1" applyBorder="1" applyAlignment="1">
      <alignment horizontal="center"/>
    </xf>
    <xf numFmtId="0" fontId="49" fillId="20" borderId="24" xfId="0" applyFont="1" applyFill="1" applyBorder="1" applyAlignment="1">
      <alignment horizontal="center"/>
    </xf>
    <xf numFmtId="0" fontId="49" fillId="20" borderId="22" xfId="0" applyFont="1" applyFill="1" applyBorder="1" applyAlignment="1">
      <alignment horizontal="center" vertical="top"/>
    </xf>
    <xf numFmtId="0" fontId="49" fillId="20" borderId="22" xfId="0" applyFont="1" applyFill="1" applyBorder="1" applyAlignment="1" applyProtection="1">
      <alignment horizontal="center" vertical="top"/>
    </xf>
    <xf numFmtId="0" fontId="49" fillId="20" borderId="24" xfId="0" applyFont="1" applyFill="1" applyBorder="1" applyAlignment="1" applyProtection="1">
      <alignment horizontal="center" vertical="top"/>
    </xf>
    <xf numFmtId="0" fontId="49" fillId="0" borderId="0" xfId="0" applyFont="1" applyAlignment="1">
      <alignment horizontal="center"/>
    </xf>
    <xf numFmtId="167" fontId="21" fillId="23" borderId="27" xfId="0" applyNumberFormat="1" applyFont="1" applyFill="1" applyBorder="1" applyAlignment="1" applyProtection="1">
      <alignment horizontal="center"/>
      <protection locked="0"/>
    </xf>
    <xf numFmtId="0" fontId="49" fillId="23" borderId="0" xfId="0" applyFont="1" applyFill="1" applyBorder="1" applyAlignment="1">
      <alignment horizontal="center"/>
    </xf>
    <xf numFmtId="167" fontId="15" fillId="23" borderId="0" xfId="0" applyNumberFormat="1" applyFont="1" applyFill="1" applyBorder="1" applyAlignment="1">
      <alignment horizontal="right" vertical="center"/>
    </xf>
    <xf numFmtId="0" fontId="49" fillId="23" borderId="25" xfId="0" applyFont="1" applyFill="1" applyBorder="1" applyAlignment="1">
      <alignment horizontal="center" vertical="center"/>
    </xf>
    <xf numFmtId="0" fontId="49" fillId="23" borderId="28" xfId="0" applyFont="1" applyFill="1" applyBorder="1" applyAlignment="1">
      <alignment horizontal="center" vertical="center"/>
    </xf>
    <xf numFmtId="0" fontId="13" fillId="23" borderId="26" xfId="0" applyFont="1" applyFill="1" applyBorder="1" applyAlignment="1">
      <alignment vertical="center" wrapText="1"/>
    </xf>
    <xf numFmtId="0" fontId="19" fillId="23" borderId="29" xfId="0" applyFont="1" applyFill="1" applyBorder="1" applyAlignment="1">
      <alignment horizontal="left"/>
    </xf>
    <xf numFmtId="0" fontId="13" fillId="23" borderId="30" xfId="0" applyFont="1" applyFill="1" applyBorder="1" applyAlignment="1">
      <alignment horizontal="center"/>
    </xf>
    <xf numFmtId="0" fontId="15" fillId="23" borderId="26" xfId="0" applyFont="1" applyFill="1" applyBorder="1" applyAlignment="1">
      <alignment horizontal="center"/>
    </xf>
    <xf numFmtId="3" fontId="16" fillId="23" borderId="26" xfId="0" applyNumberFormat="1" applyFont="1" applyFill="1" applyBorder="1" applyAlignment="1">
      <alignment horizontal="right"/>
    </xf>
    <xf numFmtId="167" fontId="15" fillId="23" borderId="26" xfId="0" applyNumberFormat="1" applyFont="1" applyFill="1" applyBorder="1" applyAlignment="1" applyProtection="1">
      <alignment horizontal="right" vertical="center"/>
    </xf>
    <xf numFmtId="3" fontId="16" fillId="23" borderId="31" xfId="0" applyNumberFormat="1" applyFont="1" applyFill="1" applyBorder="1" applyAlignment="1">
      <alignment horizontal="right"/>
    </xf>
    <xf numFmtId="0" fontId="0" fillId="23" borderId="22" xfId="0" applyFill="1" applyBorder="1"/>
    <xf numFmtId="0" fontId="49" fillId="23" borderId="22" xfId="0" applyFont="1" applyFill="1" applyBorder="1" applyAlignment="1">
      <alignment horizontal="center" vertical="center"/>
    </xf>
    <xf numFmtId="0" fontId="15" fillId="23" borderId="0" xfId="0" applyFont="1" applyFill="1" applyBorder="1" applyAlignment="1" applyProtection="1">
      <alignment horizontal="center" vertical="top"/>
    </xf>
    <xf numFmtId="0" fontId="15" fillId="23" borderId="0" xfId="0" applyFont="1" applyFill="1" applyBorder="1" applyAlignment="1" applyProtection="1">
      <alignment horizontal="left" vertical="top"/>
    </xf>
    <xf numFmtId="167" fontId="21" fillId="23" borderId="0" xfId="0" applyNumberFormat="1" applyFont="1" applyFill="1" applyBorder="1" applyAlignment="1" applyProtection="1">
      <alignment horizontal="center"/>
      <protection locked="0"/>
    </xf>
    <xf numFmtId="0" fontId="13" fillId="23" borderId="0" xfId="0" applyFont="1" applyFill="1" applyBorder="1" applyAlignment="1">
      <alignment horizontal="center"/>
    </xf>
    <xf numFmtId="167" fontId="15" fillId="23" borderId="26" xfId="0" applyNumberFormat="1" applyFont="1" applyFill="1" applyBorder="1" applyAlignment="1">
      <alignment horizontal="center"/>
    </xf>
    <xf numFmtId="167" fontId="15" fillId="23" borderId="0" xfId="0" applyNumberFormat="1" applyFont="1" applyFill="1" applyBorder="1" applyAlignment="1">
      <alignment horizontal="center"/>
    </xf>
    <xf numFmtId="0" fontId="49" fillId="23" borderId="22" xfId="0" applyFont="1" applyFill="1" applyBorder="1" applyAlignment="1">
      <alignment horizontal="center"/>
    </xf>
    <xf numFmtId="167" fontId="15" fillId="23" borderId="0" xfId="0" applyNumberFormat="1" applyFont="1" applyFill="1" applyBorder="1" applyAlignment="1" applyProtection="1">
      <alignment horizontal="center"/>
    </xf>
    <xf numFmtId="0" fontId="13" fillId="23" borderId="0" xfId="0" applyFont="1" applyFill="1" applyBorder="1" applyAlignment="1">
      <alignment horizontal="center" vertical="center"/>
    </xf>
    <xf numFmtId="0" fontId="49" fillId="23" borderId="22" xfId="0" applyFont="1" applyFill="1" applyBorder="1" applyAlignment="1" applyProtection="1">
      <alignment horizontal="center" vertical="top"/>
    </xf>
    <xf numFmtId="0" fontId="49" fillId="23" borderId="0" xfId="0" applyFont="1" applyFill="1" applyBorder="1" applyAlignment="1" applyProtection="1">
      <alignment horizontal="center" vertical="top"/>
    </xf>
    <xf numFmtId="0" fontId="16" fillId="23" borderId="0" xfId="0" applyFont="1" applyFill="1" applyBorder="1" applyAlignment="1" applyProtection="1">
      <alignment horizontal="left" vertical="center"/>
    </xf>
    <xf numFmtId="165" fontId="15" fillId="23" borderId="0" xfId="0" applyNumberFormat="1" applyFont="1" applyFill="1" applyBorder="1" applyAlignment="1">
      <alignment horizontal="center" vertical="center"/>
    </xf>
    <xf numFmtId="0" fontId="14" fillId="23" borderId="0" xfId="0" applyFont="1" applyFill="1" applyBorder="1" applyAlignment="1">
      <alignment horizontal="center" vertical="center" wrapText="1"/>
    </xf>
    <xf numFmtId="167" fontId="15" fillId="23" borderId="0" xfId="0" applyNumberFormat="1" applyFont="1" applyFill="1" applyBorder="1" applyAlignment="1" applyProtection="1">
      <alignment horizontal="right" vertical="center"/>
    </xf>
    <xf numFmtId="0" fontId="49" fillId="23" borderId="25" xfId="0" applyFont="1" applyFill="1" applyBorder="1" applyAlignment="1">
      <alignment horizontal="center"/>
    </xf>
    <xf numFmtId="0" fontId="49" fillId="23" borderId="26" xfId="0" applyFont="1" applyFill="1" applyBorder="1" applyAlignment="1">
      <alignment horizontal="center"/>
    </xf>
    <xf numFmtId="0" fontId="0" fillId="23" borderId="26" xfId="0" applyFill="1" applyBorder="1"/>
    <xf numFmtId="0" fontId="14" fillId="23" borderId="26" xfId="0" applyFont="1" applyFill="1" applyBorder="1" applyAlignment="1">
      <alignment horizontal="center" vertical="center" wrapText="1"/>
    </xf>
    <xf numFmtId="0" fontId="0" fillId="23" borderId="0" xfId="0" applyFill="1"/>
    <xf numFmtId="0" fontId="14" fillId="23" borderId="22" xfId="0" applyFont="1" applyFill="1" applyBorder="1"/>
    <xf numFmtId="0" fontId="14" fillId="23" borderId="0" xfId="0" applyFont="1" applyFill="1"/>
    <xf numFmtId="0" fontId="0" fillId="23" borderId="22" xfId="0" applyFill="1" applyBorder="1" applyAlignment="1"/>
    <xf numFmtId="167" fontId="6" fillId="23" borderId="0" xfId="0" applyNumberFormat="1" applyFont="1" applyFill="1" applyBorder="1" applyAlignment="1">
      <alignment horizontal="center"/>
    </xf>
    <xf numFmtId="0" fontId="0" fillId="23" borderId="0" xfId="0" applyFill="1" applyAlignment="1"/>
    <xf numFmtId="0" fontId="4" fillId="23" borderId="22" xfId="0" applyFont="1" applyFill="1" applyBorder="1" applyAlignment="1">
      <alignment vertical="top"/>
    </xf>
    <xf numFmtId="167" fontId="6" fillId="23" borderId="0" xfId="0" applyNumberFormat="1" applyFont="1" applyFill="1" applyBorder="1" applyAlignment="1">
      <alignment horizontal="center" vertical="top"/>
    </xf>
    <xf numFmtId="0" fontId="4" fillId="23" borderId="0" xfId="0" applyFont="1" applyFill="1" applyAlignment="1">
      <alignment vertical="top"/>
    </xf>
    <xf numFmtId="0" fontId="49" fillId="23" borderId="0" xfId="0" applyFont="1" applyFill="1" applyAlignment="1">
      <alignment horizontal="center"/>
    </xf>
    <xf numFmtId="3" fontId="16" fillId="23" borderId="0" xfId="0" applyNumberFormat="1" applyFont="1" applyFill="1" applyBorder="1" applyAlignment="1">
      <alignment horizontal="right"/>
    </xf>
    <xf numFmtId="0" fontId="15" fillId="23" borderId="0" xfId="0" applyFont="1" applyFill="1" applyBorder="1" applyAlignment="1" applyProtection="1">
      <alignment horizontal="left" vertical="center"/>
    </xf>
    <xf numFmtId="3" fontId="12" fillId="23" borderId="0" xfId="0" applyNumberFormat="1" applyFont="1" applyFill="1" applyBorder="1" applyAlignment="1">
      <alignment horizontal="right" vertical="center"/>
    </xf>
    <xf numFmtId="3" fontId="13" fillId="23" borderId="0" xfId="0" applyNumberFormat="1" applyFont="1" applyFill="1" applyBorder="1" applyAlignment="1">
      <alignment horizontal="right" vertical="center"/>
    </xf>
    <xf numFmtId="0" fontId="15" fillId="23" borderId="0" xfId="0" applyFont="1" applyFill="1" applyBorder="1"/>
    <xf numFmtId="3" fontId="22" fillId="23" borderId="0" xfId="55" quotePrefix="1" applyNumberFormat="1" applyFont="1" applyFill="1" applyBorder="1" applyAlignment="1">
      <alignment horizontal="right" vertical="top"/>
    </xf>
    <xf numFmtId="0" fontId="28" fillId="23" borderId="0" xfId="0" applyFont="1" applyFill="1" applyBorder="1" applyAlignment="1">
      <alignment vertical="center"/>
    </xf>
    <xf numFmtId="168" fontId="24" fillId="23" borderId="0" xfId="0" applyNumberFormat="1" applyFont="1" applyFill="1" applyBorder="1" applyAlignment="1">
      <alignment horizontal="centerContinuous" vertical="center"/>
    </xf>
    <xf numFmtId="167" fontId="23" fillId="23" borderId="0" xfId="0" applyNumberFormat="1" applyFont="1" applyFill="1" applyBorder="1" applyAlignment="1">
      <alignment horizontal="right" vertical="center"/>
    </xf>
    <xf numFmtId="167" fontId="0" fillId="23" borderId="0" xfId="0" applyNumberFormat="1" applyFill="1" applyBorder="1"/>
    <xf numFmtId="0" fontId="20" fillId="23" borderId="0" xfId="0" applyFont="1" applyFill="1" applyBorder="1" applyAlignment="1">
      <alignment horizontal="centerContinuous" vertical="center"/>
    </xf>
    <xf numFmtId="0" fontId="29" fillId="23" borderId="0" xfId="0" applyFont="1" applyFill="1" applyBorder="1" applyAlignment="1">
      <alignment vertical="center"/>
    </xf>
    <xf numFmtId="0" fontId="49" fillId="23" borderId="0" xfId="0" applyFont="1" applyFill="1" applyBorder="1" applyAlignment="1">
      <alignment horizontal="center" vertical="center"/>
    </xf>
    <xf numFmtId="0" fontId="13" fillId="23" borderId="0" xfId="0" applyFont="1" applyFill="1" applyBorder="1" applyAlignment="1">
      <alignment vertical="center" wrapText="1"/>
    </xf>
    <xf numFmtId="0" fontId="15" fillId="23" borderId="0" xfId="0" applyFont="1" applyFill="1" applyBorder="1" applyAlignment="1">
      <alignment horizontal="center"/>
    </xf>
    <xf numFmtId="0" fontId="2" fillId="23" borderId="0" xfId="0" applyFont="1" applyFill="1" applyBorder="1" applyAlignment="1">
      <alignment horizontal="left"/>
    </xf>
    <xf numFmtId="0" fontId="3" fillId="23" borderId="0" xfId="0" applyFont="1" applyFill="1" applyBorder="1"/>
    <xf numFmtId="167" fontId="3" fillId="23" borderId="0" xfId="0" applyNumberFormat="1" applyFont="1" applyFill="1" applyBorder="1" applyAlignment="1" applyProtection="1">
      <alignment horizontal="center"/>
      <protection locked="0"/>
    </xf>
    <xf numFmtId="166" fontId="3" fillId="23" borderId="15" xfId="0" applyNumberFormat="1" applyFont="1" applyFill="1" applyBorder="1" applyAlignment="1" applyProtection="1">
      <alignment horizontal="right" vertical="center"/>
      <protection locked="0"/>
    </xf>
    <xf numFmtId="166" fontId="3" fillId="23" borderId="0" xfId="0" applyNumberFormat="1" applyFont="1" applyFill="1" applyBorder="1" applyAlignment="1" applyProtection="1">
      <alignment horizontal="right" vertical="center"/>
      <protection locked="0"/>
    </xf>
    <xf numFmtId="165" fontId="3" fillId="23" borderId="26" xfId="0" applyNumberFormat="1" applyFont="1" applyFill="1" applyBorder="1" applyAlignment="1" applyProtection="1">
      <alignment horizontal="right" vertical="center"/>
      <protection locked="0"/>
    </xf>
    <xf numFmtId="167" fontId="3" fillId="23" borderId="26" xfId="0" applyNumberFormat="1" applyFont="1" applyFill="1" applyBorder="1" applyAlignment="1">
      <alignment horizontal="center"/>
    </xf>
    <xf numFmtId="167" fontId="3" fillId="23" borderId="0" xfId="0" applyNumberFormat="1" applyFont="1" applyFill="1" applyBorder="1" applyAlignment="1">
      <alignment horizontal="center"/>
    </xf>
    <xf numFmtId="165" fontId="3" fillId="23" borderId="31" xfId="0" applyNumberFormat="1" applyFont="1" applyFill="1" applyBorder="1" applyAlignment="1" applyProtection="1">
      <alignment horizontal="right" vertical="center"/>
      <protection locked="0"/>
    </xf>
    <xf numFmtId="0" fontId="3" fillId="23" borderId="15" xfId="0" applyFont="1" applyFill="1" applyBorder="1"/>
    <xf numFmtId="3" fontId="3" fillId="23" borderId="0" xfId="0" applyNumberFormat="1" applyFont="1" applyFill="1" applyBorder="1" applyAlignment="1">
      <alignment horizontal="right" vertical="center"/>
    </xf>
    <xf numFmtId="3" fontId="2" fillId="23" borderId="15" xfId="0" applyNumberFormat="1" applyFont="1" applyFill="1" applyBorder="1" applyAlignment="1">
      <alignment horizontal="left" vertical="center"/>
    </xf>
    <xf numFmtId="3" fontId="2" fillId="23" borderId="0" xfId="0" applyNumberFormat="1" applyFont="1" applyFill="1" applyBorder="1" applyAlignment="1">
      <alignment horizontal="left" vertical="center"/>
    </xf>
    <xf numFmtId="0" fontId="2" fillId="23" borderId="0" xfId="0" applyFont="1" applyFill="1" applyBorder="1" applyAlignment="1">
      <alignment horizontal="center" vertical="center" wrapText="1"/>
    </xf>
    <xf numFmtId="167" fontId="3" fillId="23" borderId="27" xfId="0" applyNumberFormat="1" applyFont="1" applyFill="1" applyBorder="1" applyAlignment="1" applyProtection="1">
      <alignment horizontal="center"/>
      <protection locked="0"/>
    </xf>
    <xf numFmtId="167" fontId="3" fillId="23" borderId="0" xfId="0" applyNumberFormat="1" applyFont="1" applyFill="1" applyBorder="1" applyAlignment="1" applyProtection="1">
      <alignment horizontal="right" vertical="center"/>
    </xf>
    <xf numFmtId="167" fontId="15" fillId="23" borderId="32" xfId="0" applyNumberFormat="1" applyFont="1" applyFill="1" applyBorder="1" applyAlignment="1" applyProtection="1">
      <alignment horizontal="right" vertical="center"/>
    </xf>
    <xf numFmtId="0" fontId="2" fillId="23" borderId="15" xfId="0" applyFont="1" applyFill="1" applyBorder="1"/>
    <xf numFmtId="170" fontId="3" fillId="23" borderId="0" xfId="0" applyNumberFormat="1" applyFont="1" applyFill="1" applyBorder="1" applyAlignment="1" applyProtection="1">
      <alignment horizontal="right" vertical="center"/>
      <protection locked="0"/>
    </xf>
    <xf numFmtId="0" fontId="13" fillId="23" borderId="33" xfId="0" applyFont="1" applyFill="1" applyBorder="1" applyAlignment="1">
      <alignment horizontal="center"/>
    </xf>
    <xf numFmtId="0" fontId="13" fillId="23" borderId="24" xfId="0" applyFont="1" applyFill="1" applyBorder="1" applyAlignment="1">
      <alignment horizontal="center"/>
    </xf>
    <xf numFmtId="0" fontId="0" fillId="23" borderId="24" xfId="0" applyFill="1" applyBorder="1"/>
    <xf numFmtId="0" fontId="13" fillId="23" borderId="24" xfId="0" applyFont="1" applyFill="1" applyBorder="1" applyAlignment="1">
      <alignment horizontal="center" vertical="center"/>
    </xf>
    <xf numFmtId="0" fontId="14" fillId="23" borderId="24" xfId="0" applyFont="1" applyFill="1" applyBorder="1" applyAlignment="1">
      <alignment horizontal="center" vertical="center" wrapText="1"/>
    </xf>
    <xf numFmtId="0" fontId="0" fillId="23" borderId="28" xfId="0" applyFill="1" applyBorder="1"/>
    <xf numFmtId="0" fontId="47" fillId="23" borderId="31" xfId="0" applyFont="1" applyFill="1" applyBorder="1"/>
    <xf numFmtId="3" fontId="15" fillId="20" borderId="15" xfId="0" applyNumberFormat="1" applyFont="1" applyFill="1" applyBorder="1" applyAlignment="1">
      <alignment horizontal="center" vertical="center"/>
    </xf>
    <xf numFmtId="0" fontId="50" fillId="19" borderId="0" xfId="0" applyFont="1" applyFill="1" applyBorder="1" applyAlignment="1">
      <alignment vertical="center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Grey" xfId="30" xr:uid="{00000000-0005-0000-0000-00001E000000}"/>
    <cellStyle name="Header1" xfId="31" xr:uid="{00000000-0005-0000-0000-00001F000000}"/>
    <cellStyle name="Header2" xfId="32" xr:uid="{00000000-0005-0000-0000-000020000000}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Input [yellow]" xfId="38" xr:uid="{00000000-0005-0000-0000-000026000000}"/>
    <cellStyle name="Linked Cell" xfId="39" builtinId="24" customBuiltin="1"/>
    <cellStyle name="Neutral" xfId="40" builtinId="28" customBuiltin="1"/>
    <cellStyle name="Normal" xfId="0" builtinId="0"/>
    <cellStyle name="Normal - Style1" xfId="41" xr:uid="{00000000-0005-0000-0000-00002A000000}"/>
    <cellStyle name="Normal 10" xfId="42" xr:uid="{00000000-0005-0000-0000-00002B000000}"/>
    <cellStyle name="Normal 11" xfId="43" xr:uid="{00000000-0005-0000-0000-00002C000000}"/>
    <cellStyle name="Normal 12" xfId="44" xr:uid="{00000000-0005-0000-0000-00002D000000}"/>
    <cellStyle name="Normal 2" xfId="45" xr:uid="{00000000-0005-0000-0000-00002E000000}"/>
    <cellStyle name="Normal 3" xfId="46" xr:uid="{00000000-0005-0000-0000-00002F000000}"/>
    <cellStyle name="Normal 4" xfId="47" xr:uid="{00000000-0005-0000-0000-000030000000}"/>
    <cellStyle name="Normal 5" xfId="48" xr:uid="{00000000-0005-0000-0000-000031000000}"/>
    <cellStyle name="Normal 6" xfId="49" xr:uid="{00000000-0005-0000-0000-000032000000}"/>
    <cellStyle name="Normal 7" xfId="50" xr:uid="{00000000-0005-0000-0000-000033000000}"/>
    <cellStyle name="Normal 8" xfId="51" xr:uid="{00000000-0005-0000-0000-000034000000}"/>
    <cellStyle name="Normal 9" xfId="52" xr:uid="{00000000-0005-0000-0000-000035000000}"/>
    <cellStyle name="Note" xfId="53" builtinId="10" customBuiltin="1"/>
    <cellStyle name="Output" xfId="54" builtinId="21" customBuiltin="1"/>
    <cellStyle name="Percent" xfId="55" builtinId="5"/>
    <cellStyle name="Percent [2]" xfId="56" xr:uid="{00000000-0005-0000-0000-00003A000000}"/>
    <cellStyle name="Title" xfId="57" builtinId="15" customBuiltin="1"/>
    <cellStyle name="Total" xfId="58" builtinId="25" customBuiltin="1"/>
    <cellStyle name="Warning Text" xfId="5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1.25" x14ac:dyDescent="0.2"/>
  <sheetData/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80"/>
  <sheetViews>
    <sheetView tabSelected="1" zoomScale="120" zoomScaleNormal="120" zoomScaleSheetLayoutView="100" workbookViewId="0">
      <selection activeCell="C33" sqref="C33"/>
    </sheetView>
  </sheetViews>
  <sheetFormatPr defaultRowHeight="11.25" x14ac:dyDescent="0.2"/>
  <cols>
    <col min="1" max="1" width="5.1640625" style="143" bestFit="1" customWidth="1"/>
    <col min="2" max="2" width="2.83203125" style="143" bestFit="1" customWidth="1"/>
    <col min="3" max="3" width="65.6640625" style="24" bestFit="1" customWidth="1"/>
    <col min="4" max="4" width="7" customWidth="1"/>
    <col min="5" max="5" width="5.6640625" customWidth="1"/>
    <col min="6" max="6" width="6" customWidth="1"/>
    <col min="7" max="7" width="0.6640625" hidden="1" customWidth="1"/>
    <col min="8" max="8" width="43.6640625" customWidth="1"/>
    <col min="9" max="9" width="0.6640625" style="46" customWidth="1"/>
    <col min="10" max="10" width="0.33203125" style="113" customWidth="1"/>
    <col min="11" max="11" width="36.83203125" style="24" customWidth="1"/>
    <col min="12" max="12" width="0.1640625" style="24" customWidth="1"/>
    <col min="13" max="13" width="0.83203125" style="24" customWidth="1"/>
    <col min="14" max="15" width="0.33203125" style="18" customWidth="1"/>
    <col min="16" max="16" width="9.33203125" style="18"/>
    <col min="17" max="17" width="15" style="18" customWidth="1"/>
    <col min="18" max="18" width="9.33203125" style="18"/>
    <col min="19" max="19" width="11.83203125" style="18" customWidth="1"/>
    <col min="20" max="20" width="9.33203125" style="18"/>
    <col min="21" max="21" width="12" style="18" customWidth="1"/>
    <col min="22" max="22" width="9.33203125" style="18"/>
  </cols>
  <sheetData>
    <row r="1" spans="1:24" ht="12.75" x14ac:dyDescent="0.2">
      <c r="A1" s="121" t="s">
        <v>2</v>
      </c>
      <c r="B1" s="122"/>
      <c r="C1" s="98" t="s">
        <v>45</v>
      </c>
      <c r="D1" s="99"/>
      <c r="E1" s="99"/>
      <c r="F1" s="100"/>
      <c r="G1" s="101" t="s">
        <v>2</v>
      </c>
      <c r="H1" s="102" t="s">
        <v>33</v>
      </c>
      <c r="I1" s="103"/>
      <c r="J1" s="105"/>
      <c r="K1" s="104" t="s">
        <v>43</v>
      </c>
      <c r="L1" s="102"/>
      <c r="M1" s="102"/>
      <c r="N1" s="156"/>
      <c r="O1" s="177"/>
      <c r="P1" s="177"/>
      <c r="Q1" s="177"/>
      <c r="R1" s="177"/>
      <c r="S1" s="177"/>
      <c r="T1" s="177"/>
      <c r="U1" s="177"/>
      <c r="V1" s="177"/>
      <c r="W1" s="177"/>
      <c r="X1" s="177"/>
    </row>
    <row r="2" spans="1:24" s="29" customFormat="1" x14ac:dyDescent="0.2">
      <c r="A2" s="123"/>
      <c r="B2" s="124"/>
      <c r="C2" s="72">
        <v>46029</v>
      </c>
      <c r="D2" s="73"/>
      <c r="E2" s="73"/>
      <c r="F2" s="73"/>
      <c r="G2" s="74"/>
      <c r="H2" s="75" t="s">
        <v>34</v>
      </c>
      <c r="I2" s="71"/>
      <c r="J2" s="106"/>
      <c r="K2" s="76" t="s">
        <v>3</v>
      </c>
      <c r="L2" s="77"/>
      <c r="M2" s="77"/>
      <c r="N2" s="178"/>
      <c r="O2" s="179"/>
      <c r="P2" s="179"/>
      <c r="Q2" s="179"/>
      <c r="R2" s="179"/>
      <c r="S2" s="179"/>
      <c r="T2" s="179"/>
      <c r="U2" s="179"/>
      <c r="V2" s="179"/>
      <c r="W2" s="179"/>
      <c r="X2" s="179"/>
    </row>
    <row r="3" spans="1:24" ht="12.75" x14ac:dyDescent="0.2">
      <c r="A3" s="125"/>
      <c r="B3" s="126"/>
      <c r="C3" s="81"/>
      <c r="D3" s="78"/>
      <c r="E3" s="78"/>
      <c r="F3" s="91"/>
      <c r="G3" s="70"/>
      <c r="H3" s="79"/>
      <c r="I3" s="71"/>
      <c r="J3" s="106"/>
      <c r="K3" s="80"/>
      <c r="L3" s="79"/>
      <c r="M3" s="79"/>
      <c r="N3" s="156"/>
      <c r="O3" s="177"/>
      <c r="P3" s="177"/>
      <c r="Q3" s="177"/>
      <c r="R3" s="177"/>
      <c r="S3" s="177"/>
      <c r="T3" s="177"/>
      <c r="U3" s="177"/>
      <c r="V3" s="177"/>
      <c r="W3" s="177"/>
      <c r="X3" s="177"/>
    </row>
    <row r="4" spans="1:24" s="1" customFormat="1" x14ac:dyDescent="0.2">
      <c r="A4" s="127" t="s">
        <v>1</v>
      </c>
      <c r="B4" s="128"/>
      <c r="C4" s="82" t="s">
        <v>4</v>
      </c>
      <c r="D4" s="78" t="s">
        <v>25</v>
      </c>
      <c r="E4" s="78"/>
      <c r="F4" s="91" t="s">
        <v>5</v>
      </c>
      <c r="G4" s="70"/>
      <c r="H4" s="79" t="s">
        <v>2</v>
      </c>
      <c r="I4" s="83"/>
      <c r="J4" s="96"/>
      <c r="K4" s="80" t="s">
        <v>32</v>
      </c>
      <c r="L4" s="79"/>
      <c r="M4" s="79"/>
      <c r="N4" s="180"/>
      <c r="O4" s="181"/>
      <c r="P4" s="182"/>
      <c r="Q4" s="182"/>
      <c r="R4" s="182"/>
      <c r="S4" s="182"/>
      <c r="T4" s="182"/>
      <c r="U4" s="182"/>
      <c r="V4" s="182"/>
      <c r="W4" s="182"/>
      <c r="X4" s="182"/>
    </row>
    <row r="5" spans="1:24" s="2" customFormat="1" ht="12.75" x14ac:dyDescent="0.2">
      <c r="A5" s="129"/>
      <c r="B5" s="130"/>
      <c r="C5" s="84"/>
      <c r="D5" s="85"/>
      <c r="E5" s="85"/>
      <c r="F5" s="92" t="s">
        <v>6</v>
      </c>
      <c r="G5" s="88"/>
      <c r="H5" s="79" t="s">
        <v>2</v>
      </c>
      <c r="I5" s="86"/>
      <c r="J5" s="97"/>
      <c r="K5" s="80" t="s">
        <v>2</v>
      </c>
      <c r="L5" s="79"/>
      <c r="M5" s="79"/>
      <c r="N5" s="183"/>
      <c r="O5" s="184"/>
      <c r="P5" s="185"/>
      <c r="Q5" s="185"/>
      <c r="R5" s="185"/>
      <c r="S5" s="185"/>
      <c r="T5" s="185"/>
      <c r="U5" s="185"/>
      <c r="V5" s="185"/>
      <c r="W5" s="185"/>
      <c r="X5" s="185"/>
    </row>
    <row r="6" spans="1:24" s="5" customFormat="1" ht="3" customHeight="1" x14ac:dyDescent="0.2">
      <c r="A6" s="131"/>
      <c r="B6" s="132"/>
      <c r="C6" s="22"/>
      <c r="D6" s="3"/>
      <c r="E6" s="3"/>
      <c r="F6" s="93"/>
      <c r="G6" s="89"/>
      <c r="H6" s="4"/>
      <c r="I6" s="28"/>
      <c r="J6" s="107"/>
      <c r="K6" s="52"/>
      <c r="L6" s="4"/>
      <c r="M6" s="4"/>
      <c r="N6" s="156"/>
      <c r="O6" s="177"/>
      <c r="P6" s="177"/>
      <c r="Q6" s="177"/>
      <c r="R6" s="177"/>
      <c r="S6" s="177"/>
      <c r="T6" s="177"/>
      <c r="U6" s="177"/>
      <c r="V6" s="177"/>
      <c r="W6" s="177"/>
      <c r="X6" s="177"/>
    </row>
    <row r="7" spans="1:24" x14ac:dyDescent="0.2">
      <c r="A7" s="133"/>
      <c r="B7" s="134"/>
      <c r="C7" s="12"/>
      <c r="D7" s="6"/>
      <c r="E7" s="6"/>
      <c r="F7" s="94"/>
      <c r="G7" s="67"/>
      <c r="H7" s="7"/>
      <c r="I7" s="28"/>
      <c r="J7" s="107"/>
      <c r="K7" s="53"/>
      <c r="L7" s="7"/>
      <c r="M7" s="7"/>
      <c r="N7" s="156"/>
      <c r="O7" s="177"/>
      <c r="P7" s="177"/>
      <c r="Q7" s="177"/>
      <c r="R7" s="177"/>
      <c r="S7" s="177"/>
      <c r="T7" s="177"/>
      <c r="U7" s="177"/>
      <c r="V7" s="177"/>
      <c r="W7" s="177"/>
      <c r="X7" s="177"/>
    </row>
    <row r="8" spans="1:24" x14ac:dyDescent="0.2">
      <c r="A8" s="133"/>
      <c r="B8" s="134"/>
      <c r="C8" s="62" t="s">
        <v>30</v>
      </c>
      <c r="D8" s="6"/>
      <c r="E8" s="6"/>
      <c r="F8" s="94"/>
      <c r="G8" s="11"/>
      <c r="H8" s="8"/>
      <c r="I8" s="28"/>
      <c r="J8" s="107"/>
      <c r="K8" s="54"/>
      <c r="L8" s="8"/>
      <c r="M8" s="8"/>
      <c r="N8" s="156"/>
      <c r="O8" s="177"/>
      <c r="P8" s="177"/>
      <c r="Q8" s="177"/>
      <c r="R8" s="177"/>
      <c r="S8" s="177"/>
      <c r="T8" s="177"/>
      <c r="U8" s="177"/>
      <c r="V8" s="177"/>
      <c r="W8" s="177"/>
      <c r="X8" s="177"/>
    </row>
    <row r="9" spans="1:24" x14ac:dyDescent="0.2">
      <c r="A9" s="125" t="s">
        <v>7</v>
      </c>
      <c r="B9" s="135" t="s">
        <v>7</v>
      </c>
      <c r="C9" s="87" t="s">
        <v>20</v>
      </c>
      <c r="D9" s="6"/>
      <c r="E9" s="6"/>
      <c r="F9" s="94" t="s">
        <v>8</v>
      </c>
      <c r="G9" s="11"/>
      <c r="H9" s="228" t="s">
        <v>42</v>
      </c>
      <c r="I9" s="27"/>
      <c r="J9" s="108"/>
      <c r="K9" s="53" t="s">
        <v>0</v>
      </c>
      <c r="L9" s="7"/>
      <c r="M9" s="7"/>
      <c r="N9" s="156"/>
      <c r="O9" s="177"/>
      <c r="P9" s="177"/>
      <c r="Q9" s="177"/>
      <c r="R9" s="177"/>
      <c r="S9" s="177"/>
      <c r="T9" s="177"/>
      <c r="U9" s="177"/>
      <c r="V9" s="177"/>
      <c r="W9" s="177"/>
      <c r="X9" s="177"/>
    </row>
    <row r="10" spans="1:24" x14ac:dyDescent="0.2">
      <c r="A10" s="133"/>
      <c r="B10" s="134"/>
      <c r="C10" s="20"/>
      <c r="D10" s="6"/>
      <c r="E10" s="6"/>
      <c r="F10" s="94"/>
      <c r="G10" s="11"/>
      <c r="H10" s="10"/>
      <c r="I10" s="27"/>
      <c r="J10" s="108"/>
      <c r="K10" s="55"/>
      <c r="L10" s="10"/>
      <c r="M10" s="10"/>
      <c r="N10" s="156"/>
      <c r="O10" s="177"/>
      <c r="P10" s="177"/>
      <c r="Q10" s="177"/>
      <c r="R10" s="177"/>
      <c r="S10" s="177"/>
      <c r="T10" s="177"/>
      <c r="U10" s="177"/>
      <c r="V10" s="177"/>
      <c r="W10" s="177"/>
      <c r="X10" s="177"/>
    </row>
    <row r="11" spans="1:24" x14ac:dyDescent="0.2">
      <c r="A11" s="136" t="str">
        <f>+A9</f>
        <v>A</v>
      </c>
      <c r="B11" s="137" t="str">
        <f>IF(OR(CODE(B9)=72,CODE(B9)=78),CHAR(CODE(B9)+2),CHAR(CODE(B9)+1))</f>
        <v>B</v>
      </c>
      <c r="C11" s="87" t="s">
        <v>23</v>
      </c>
      <c r="D11" s="6"/>
      <c r="E11" s="6"/>
      <c r="F11" s="94" t="s">
        <v>8</v>
      </c>
      <c r="G11" s="11"/>
      <c r="H11" s="228" t="s">
        <v>42</v>
      </c>
      <c r="I11" s="27"/>
      <c r="J11" s="108"/>
      <c r="K11" s="53" t="s">
        <v>0</v>
      </c>
      <c r="L11" s="7"/>
      <c r="M11" s="7"/>
      <c r="N11" s="156"/>
      <c r="O11" s="177"/>
      <c r="P11" s="177"/>
      <c r="Q11" s="177"/>
      <c r="R11" s="177"/>
      <c r="S11" s="177"/>
      <c r="T11" s="177"/>
      <c r="U11" s="177"/>
      <c r="V11" s="177"/>
      <c r="W11" s="177"/>
      <c r="X11" s="177"/>
    </row>
    <row r="12" spans="1:24" x14ac:dyDescent="0.2">
      <c r="A12" s="133"/>
      <c r="B12" s="134"/>
      <c r="C12" s="12"/>
      <c r="D12" s="6"/>
      <c r="E12" s="6"/>
      <c r="F12" s="94"/>
      <c r="G12" s="67"/>
      <c r="H12" s="228"/>
      <c r="I12" s="28"/>
      <c r="J12" s="107"/>
      <c r="K12" s="53"/>
      <c r="L12" s="7"/>
      <c r="M12" s="7"/>
      <c r="N12" s="156"/>
      <c r="O12" s="177"/>
      <c r="P12" s="177"/>
      <c r="Q12" s="177"/>
      <c r="R12" s="177"/>
      <c r="S12" s="177"/>
      <c r="T12" s="177"/>
      <c r="U12" s="177"/>
      <c r="V12" s="177"/>
      <c r="W12" s="177"/>
      <c r="X12" s="177"/>
    </row>
    <row r="13" spans="1:24" x14ac:dyDescent="0.2">
      <c r="A13" s="133"/>
      <c r="B13" s="134"/>
      <c r="C13" s="12"/>
      <c r="D13" s="6"/>
      <c r="E13" s="6"/>
      <c r="F13" s="94"/>
      <c r="G13" s="67"/>
      <c r="H13" s="7"/>
      <c r="I13" s="28"/>
      <c r="J13" s="107"/>
      <c r="K13" s="53"/>
      <c r="L13" s="7"/>
      <c r="M13" s="7"/>
      <c r="N13" s="156"/>
      <c r="O13" s="177"/>
      <c r="P13" s="177"/>
      <c r="Q13" s="177"/>
      <c r="R13" s="177"/>
      <c r="S13" s="177"/>
      <c r="T13" s="177"/>
      <c r="U13" s="177"/>
      <c r="V13" s="177"/>
      <c r="W13" s="177"/>
      <c r="X13" s="177"/>
    </row>
    <row r="14" spans="1:24" x14ac:dyDescent="0.2">
      <c r="A14" s="133"/>
      <c r="B14" s="134"/>
      <c r="C14" s="34" t="s">
        <v>41</v>
      </c>
      <c r="D14" s="6"/>
      <c r="E14" s="6"/>
      <c r="F14" s="94"/>
      <c r="G14" s="11"/>
      <c r="H14" s="8"/>
      <c r="I14" s="28"/>
      <c r="J14" s="107"/>
      <c r="K14" s="54"/>
      <c r="L14" s="8"/>
      <c r="M14" s="8"/>
      <c r="N14" s="156"/>
      <c r="O14" s="177"/>
      <c r="P14" s="177"/>
      <c r="Q14" s="177"/>
      <c r="R14" s="177"/>
      <c r="S14" s="177"/>
      <c r="T14" s="177"/>
      <c r="U14" s="177"/>
      <c r="V14" s="177"/>
      <c r="W14" s="177"/>
      <c r="X14" s="177"/>
    </row>
    <row r="15" spans="1:24" x14ac:dyDescent="0.2">
      <c r="A15" s="125" t="s">
        <v>9</v>
      </c>
      <c r="B15" s="135" t="s">
        <v>7</v>
      </c>
      <c r="C15" s="87" t="s">
        <v>21</v>
      </c>
      <c r="D15" s="13"/>
      <c r="E15" s="13" t="s">
        <v>10</v>
      </c>
      <c r="F15" s="94"/>
      <c r="G15" s="11"/>
      <c r="H15" s="10" t="s">
        <v>0</v>
      </c>
      <c r="I15" s="27"/>
      <c r="J15" s="108"/>
      <c r="K15" s="228" t="s">
        <v>42</v>
      </c>
      <c r="L15" s="9"/>
      <c r="M15" s="9"/>
      <c r="N15" s="156"/>
      <c r="O15" s="177"/>
      <c r="P15" s="177"/>
      <c r="Q15" s="177"/>
      <c r="R15" s="177"/>
      <c r="S15" s="177"/>
      <c r="T15" s="177"/>
      <c r="U15" s="177"/>
      <c r="V15" s="177"/>
      <c r="W15" s="177"/>
      <c r="X15" s="177"/>
    </row>
    <row r="16" spans="1:24" x14ac:dyDescent="0.2">
      <c r="A16" s="133"/>
      <c r="B16" s="134"/>
      <c r="C16" s="21"/>
      <c r="D16" s="13"/>
      <c r="E16" s="13" t="s">
        <v>11</v>
      </c>
      <c r="F16" s="94" t="s">
        <v>8</v>
      </c>
      <c r="G16" s="11"/>
      <c r="H16" s="10">
        <v>1</v>
      </c>
      <c r="I16" s="27"/>
      <c r="J16" s="108"/>
      <c r="K16" s="55"/>
      <c r="L16" s="10"/>
      <c r="M16" s="10"/>
      <c r="N16" s="156"/>
      <c r="O16" s="177"/>
      <c r="P16" s="177"/>
      <c r="Q16" s="177"/>
      <c r="R16" s="177"/>
      <c r="S16" s="177"/>
      <c r="T16" s="177"/>
      <c r="U16" s="177"/>
      <c r="V16" s="177"/>
      <c r="W16" s="177"/>
      <c r="X16" s="177"/>
    </row>
    <row r="17" spans="1:24" x14ac:dyDescent="0.2">
      <c r="A17" s="133"/>
      <c r="B17" s="134"/>
      <c r="C17" s="20"/>
      <c r="D17" s="6"/>
      <c r="E17" s="6"/>
      <c r="F17" s="94"/>
      <c r="G17" s="11"/>
      <c r="H17" s="10"/>
      <c r="I17" s="27"/>
      <c r="J17" s="108"/>
      <c r="K17" s="55"/>
      <c r="L17" s="10"/>
      <c r="M17" s="10"/>
      <c r="N17" s="156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 spans="1:24" x14ac:dyDescent="0.2">
      <c r="A18" s="136" t="str">
        <f>+A15</f>
        <v>B</v>
      </c>
      <c r="B18" s="137" t="str">
        <f>IF(OR(CODE(B15)=72,CODE(B15)=78),CHAR(CODE(B15)+2),CHAR(CODE(B15)+1))</f>
        <v>B</v>
      </c>
      <c r="C18" s="21" t="s">
        <v>12</v>
      </c>
      <c r="D18" s="13"/>
      <c r="E18" s="13" t="s">
        <v>10</v>
      </c>
      <c r="F18" s="95"/>
      <c r="G18" s="67"/>
      <c r="H18" s="33" t="s">
        <v>0</v>
      </c>
      <c r="I18" s="37"/>
      <c r="J18" s="65"/>
      <c r="K18" s="228" t="s">
        <v>42</v>
      </c>
      <c r="L18" s="9"/>
      <c r="M18" s="9"/>
      <c r="N18" s="156"/>
      <c r="O18" s="177"/>
      <c r="P18" s="177"/>
      <c r="Q18" s="177"/>
      <c r="R18" s="177"/>
      <c r="S18" s="177"/>
      <c r="T18" s="177"/>
      <c r="U18" s="177"/>
      <c r="V18" s="177"/>
      <c r="W18" s="177"/>
      <c r="X18" s="177"/>
    </row>
    <row r="19" spans="1:24" x14ac:dyDescent="0.2">
      <c r="A19" s="133"/>
      <c r="B19" s="134"/>
      <c r="C19" s="21"/>
      <c r="D19" s="13"/>
      <c r="E19" s="13" t="s">
        <v>11</v>
      </c>
      <c r="F19" s="95" t="s">
        <v>13</v>
      </c>
      <c r="G19" s="67"/>
      <c r="H19" s="30">
        <v>1</v>
      </c>
      <c r="I19" s="38"/>
      <c r="J19" s="66"/>
      <c r="K19" s="54"/>
      <c r="L19" s="8"/>
      <c r="M19" s="8"/>
      <c r="N19" s="156"/>
      <c r="O19" s="177"/>
      <c r="P19" s="177"/>
      <c r="Q19" s="177"/>
      <c r="R19" s="177"/>
      <c r="S19" s="177"/>
      <c r="T19" s="177"/>
      <c r="U19" s="177"/>
      <c r="V19" s="177"/>
      <c r="W19" s="177"/>
      <c r="X19" s="177"/>
    </row>
    <row r="20" spans="1:24" x14ac:dyDescent="0.2">
      <c r="A20" s="138"/>
      <c r="B20" s="139"/>
      <c r="C20" s="21"/>
      <c r="D20" s="13"/>
      <c r="E20" s="13" t="s">
        <v>14</v>
      </c>
      <c r="F20" s="95"/>
      <c r="G20" s="67"/>
      <c r="H20" s="32" t="str">
        <f>IF(H18="NSP","NSP",SUM(H18*H19))</f>
        <v>NSP</v>
      </c>
      <c r="I20" s="36" t="str">
        <f>+H20</f>
        <v>NSP</v>
      </c>
      <c r="J20" s="63" t="e">
        <f>+#REF!</f>
        <v>#REF!</v>
      </c>
      <c r="K20" s="56"/>
      <c r="L20" s="16"/>
      <c r="M20" s="16"/>
      <c r="N20" s="156"/>
      <c r="O20" s="177"/>
      <c r="P20" s="177"/>
      <c r="Q20" s="177"/>
      <c r="R20" s="177"/>
      <c r="S20" s="177"/>
      <c r="T20" s="177"/>
      <c r="U20" s="177"/>
      <c r="V20" s="177"/>
      <c r="W20" s="177"/>
      <c r="X20" s="177"/>
    </row>
    <row r="21" spans="1:24" x14ac:dyDescent="0.2">
      <c r="A21" s="140"/>
      <c r="B21" s="134"/>
      <c r="C21" s="20"/>
      <c r="D21" s="6"/>
      <c r="E21" s="6"/>
      <c r="F21" s="94"/>
      <c r="G21" s="11"/>
      <c r="H21" s="17"/>
      <c r="I21" s="39"/>
      <c r="J21" s="64"/>
      <c r="K21" s="55"/>
      <c r="L21" s="10"/>
      <c r="M21" s="10"/>
      <c r="N21" s="156"/>
      <c r="O21" s="177"/>
      <c r="P21" s="177"/>
      <c r="Q21" s="177"/>
      <c r="R21" s="177"/>
      <c r="S21" s="177"/>
      <c r="T21" s="177"/>
      <c r="U21" s="177"/>
      <c r="V21" s="177"/>
      <c r="W21" s="177"/>
      <c r="X21" s="177"/>
    </row>
    <row r="22" spans="1:24" x14ac:dyDescent="0.2">
      <c r="A22" s="136" t="str">
        <f>+A18</f>
        <v>B</v>
      </c>
      <c r="B22" s="137" t="str">
        <f>IF(OR(CODE(B18)=72,CODE(B18)=78),CHAR(CODE(B18)+2),CHAR(CODE(B18)+1))</f>
        <v>C</v>
      </c>
      <c r="C22" s="87" t="s">
        <v>22</v>
      </c>
      <c r="D22" s="13"/>
      <c r="E22" s="13" t="s">
        <v>10</v>
      </c>
      <c r="F22" s="94"/>
      <c r="G22" s="11"/>
      <c r="H22" s="10" t="s">
        <v>0</v>
      </c>
      <c r="I22" s="27"/>
      <c r="J22" s="108"/>
      <c r="K22" s="228" t="s">
        <v>42</v>
      </c>
      <c r="L22" s="9"/>
      <c r="M22" s="9"/>
      <c r="N22" s="156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spans="1:24" x14ac:dyDescent="0.2">
      <c r="A23" s="133"/>
      <c r="B23" s="134"/>
      <c r="C23" s="87" t="s">
        <v>15</v>
      </c>
      <c r="D23" s="13"/>
      <c r="E23" s="13" t="s">
        <v>11</v>
      </c>
      <c r="F23" s="94" t="s">
        <v>8</v>
      </c>
      <c r="G23" s="11"/>
      <c r="H23" s="10">
        <v>0</v>
      </c>
      <c r="I23" s="27"/>
      <c r="J23" s="108"/>
      <c r="K23" s="55"/>
      <c r="L23" s="10"/>
      <c r="M23" s="10"/>
      <c r="N23" s="156"/>
      <c r="O23" s="177"/>
      <c r="P23" s="177"/>
      <c r="Q23" s="177"/>
      <c r="R23" s="177"/>
      <c r="S23" s="177"/>
      <c r="T23" s="177"/>
      <c r="U23" s="177"/>
      <c r="V23" s="177"/>
      <c r="W23" s="177"/>
      <c r="X23" s="177"/>
    </row>
    <row r="24" spans="1:24" x14ac:dyDescent="0.2">
      <c r="A24" s="133"/>
      <c r="B24" s="134"/>
      <c r="C24" s="20"/>
      <c r="D24" s="6"/>
      <c r="E24" s="6"/>
      <c r="F24" s="94"/>
      <c r="G24" s="11"/>
      <c r="H24" s="10"/>
      <c r="I24" s="27"/>
      <c r="J24" s="108"/>
      <c r="K24" s="55"/>
      <c r="L24" s="10"/>
      <c r="M24" s="10"/>
      <c r="N24" s="156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4" x14ac:dyDescent="0.2">
      <c r="A25" s="136" t="str">
        <f>+A22</f>
        <v>B</v>
      </c>
      <c r="B25" s="137" t="str">
        <f>IF(OR(CODE(B22)=72,CODE(B22)=78),CHAR(CODE(B22)+2),CHAR(CODE(B22)+1))</f>
        <v>D</v>
      </c>
      <c r="C25" s="21" t="s">
        <v>16</v>
      </c>
      <c r="D25" s="13"/>
      <c r="E25" s="13" t="s">
        <v>10</v>
      </c>
      <c r="F25" s="95"/>
      <c r="G25" s="67"/>
      <c r="H25" s="33" t="s">
        <v>0</v>
      </c>
      <c r="I25" s="37"/>
      <c r="J25" s="65"/>
      <c r="K25" s="228" t="s">
        <v>42</v>
      </c>
      <c r="L25" s="9"/>
      <c r="M25" s="9"/>
      <c r="N25" s="156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4" x14ac:dyDescent="0.2">
      <c r="A26" s="133"/>
      <c r="B26" s="134"/>
      <c r="C26" s="21"/>
      <c r="D26" s="13"/>
      <c r="E26" s="13" t="s">
        <v>11</v>
      </c>
      <c r="F26" s="95" t="s">
        <v>13</v>
      </c>
      <c r="G26" s="67"/>
      <c r="H26" s="30">
        <v>1</v>
      </c>
      <c r="I26" s="38"/>
      <c r="J26" s="66"/>
      <c r="K26" s="54"/>
      <c r="L26" s="8"/>
      <c r="M26" s="8"/>
      <c r="N26" s="156"/>
      <c r="O26" s="177"/>
      <c r="P26" s="177"/>
      <c r="Q26" s="177"/>
      <c r="R26" s="177"/>
      <c r="S26" s="177"/>
      <c r="T26" s="177"/>
      <c r="U26" s="177"/>
      <c r="V26" s="177"/>
      <c r="W26" s="177"/>
      <c r="X26" s="177"/>
    </row>
    <row r="27" spans="1:24" x14ac:dyDescent="0.2">
      <c r="A27" s="138"/>
      <c r="B27" s="139"/>
      <c r="C27" s="21"/>
      <c r="D27" s="13"/>
      <c r="E27" s="13" t="s">
        <v>14</v>
      </c>
      <c r="F27" s="95"/>
      <c r="G27" s="67"/>
      <c r="H27" s="32" t="str">
        <f>IF(H25="NSP","NSP",SUM(H25*H26))</f>
        <v>NSP</v>
      </c>
      <c r="I27" s="36" t="str">
        <f>+H27</f>
        <v>NSP</v>
      </c>
      <c r="J27" s="63" t="e">
        <f>+#REF!</f>
        <v>#REF!</v>
      </c>
      <c r="K27" s="56"/>
      <c r="L27" s="16"/>
      <c r="M27" s="16"/>
      <c r="N27" s="156"/>
      <c r="O27" s="177"/>
      <c r="P27" s="177"/>
      <c r="Q27" s="177"/>
      <c r="R27" s="177"/>
      <c r="S27" s="177"/>
      <c r="T27" s="177"/>
      <c r="U27" s="177"/>
      <c r="V27" s="177"/>
      <c r="W27" s="177"/>
      <c r="X27" s="177"/>
    </row>
    <row r="28" spans="1:24" x14ac:dyDescent="0.2">
      <c r="A28" s="141"/>
      <c r="B28" s="142"/>
      <c r="C28" s="23"/>
      <c r="D28" s="6"/>
      <c r="E28" s="6"/>
      <c r="F28" s="94"/>
      <c r="G28" s="11"/>
      <c r="H28" s="10"/>
      <c r="I28" s="27"/>
      <c r="J28" s="108"/>
      <c r="K28" s="55"/>
      <c r="L28" s="10"/>
      <c r="M28" s="10"/>
      <c r="N28" s="156"/>
      <c r="O28" s="177"/>
      <c r="P28" s="177"/>
      <c r="Q28" s="177"/>
      <c r="R28" s="177"/>
      <c r="S28" s="177"/>
      <c r="T28" s="177"/>
      <c r="U28" s="177"/>
      <c r="V28" s="177"/>
      <c r="W28" s="177"/>
      <c r="X28" s="177"/>
    </row>
    <row r="29" spans="1:24" x14ac:dyDescent="0.2">
      <c r="A29" s="141"/>
      <c r="B29" s="142"/>
      <c r="C29" s="23"/>
      <c r="D29" s="6"/>
      <c r="E29" s="6"/>
      <c r="F29" s="94"/>
      <c r="G29" s="11"/>
      <c r="H29" s="10"/>
      <c r="I29" s="27"/>
      <c r="J29" s="108"/>
      <c r="K29" s="55"/>
      <c r="L29" s="10"/>
      <c r="M29" s="10"/>
      <c r="N29" s="156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4" x14ac:dyDescent="0.2">
      <c r="A30" s="133"/>
      <c r="B30" s="134"/>
      <c r="C30" s="34" t="s">
        <v>29</v>
      </c>
      <c r="D30" s="14"/>
      <c r="E30" s="14"/>
      <c r="F30" s="95"/>
      <c r="G30" s="90"/>
      <c r="H30" s="17"/>
      <c r="I30" s="38"/>
      <c r="J30" s="66"/>
      <c r="K30" s="57"/>
      <c r="L30" s="17"/>
      <c r="M30" s="17"/>
      <c r="N30" s="156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spans="1:24" x14ac:dyDescent="0.2">
      <c r="A31" s="125" t="s">
        <v>17</v>
      </c>
      <c r="B31" s="135" t="s">
        <v>7</v>
      </c>
      <c r="C31" s="21" t="s">
        <v>26</v>
      </c>
      <c r="D31" s="13"/>
      <c r="E31" s="13" t="s">
        <v>10</v>
      </c>
      <c r="F31" s="95"/>
      <c r="G31" s="67"/>
      <c r="H31" s="33">
        <v>0</v>
      </c>
      <c r="I31" s="36"/>
      <c r="J31" s="63"/>
      <c r="K31" s="58">
        <v>0</v>
      </c>
      <c r="L31" s="51"/>
      <c r="M31" s="51"/>
      <c r="N31" s="156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spans="1:24" x14ac:dyDescent="0.2">
      <c r="A32" s="133"/>
      <c r="B32" s="134"/>
      <c r="C32" s="229" t="s">
        <v>44</v>
      </c>
      <c r="D32" s="13"/>
      <c r="E32" s="13" t="s">
        <v>11</v>
      </c>
      <c r="F32" s="95" t="s">
        <v>13</v>
      </c>
      <c r="G32" s="67"/>
      <c r="H32" s="30">
        <v>0</v>
      </c>
      <c r="I32" s="39"/>
      <c r="J32" s="64"/>
      <c r="K32" s="69">
        <v>0</v>
      </c>
      <c r="L32" s="30"/>
      <c r="M32" s="30"/>
      <c r="N32" s="156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spans="1:24" x14ac:dyDescent="0.2">
      <c r="A33" s="133"/>
      <c r="B33" s="134"/>
      <c r="C33" s="21"/>
      <c r="D33" s="13"/>
      <c r="E33" s="13" t="s">
        <v>14</v>
      </c>
      <c r="F33" s="95"/>
      <c r="G33" s="67"/>
      <c r="H33" s="32">
        <f>IF(H31="NSP","NSP",SUM(H31*H32))</f>
        <v>0</v>
      </c>
      <c r="I33" s="36">
        <f>+H33</f>
        <v>0</v>
      </c>
      <c r="J33" s="63" t="e">
        <f>+#REF!</f>
        <v>#REF!</v>
      </c>
      <c r="K33" s="60">
        <f>IF(K31="NSP","NSP",SUM(K31*K32))</f>
        <v>0</v>
      </c>
      <c r="L33" s="32">
        <f>K33</f>
        <v>0</v>
      </c>
      <c r="M33" s="32"/>
      <c r="N33" s="156"/>
      <c r="O33" s="177"/>
      <c r="P33" s="177"/>
      <c r="Q33" s="177"/>
      <c r="R33" s="177"/>
      <c r="S33" s="177"/>
      <c r="T33" s="177"/>
      <c r="U33" s="177"/>
      <c r="V33" s="177"/>
      <c r="W33" s="177"/>
      <c r="X33" s="177"/>
    </row>
    <row r="34" spans="1:24" x14ac:dyDescent="0.2">
      <c r="A34" s="141"/>
      <c r="B34" s="142"/>
      <c r="C34" s="23"/>
      <c r="D34" s="6"/>
      <c r="E34" s="6"/>
      <c r="F34" s="94"/>
      <c r="G34" s="11"/>
      <c r="H34" s="10"/>
      <c r="I34" s="37"/>
      <c r="J34" s="65"/>
      <c r="K34" s="55"/>
      <c r="L34" s="10"/>
      <c r="M34" s="10"/>
      <c r="N34" s="156"/>
      <c r="O34" s="177"/>
      <c r="P34" s="177"/>
      <c r="Q34" s="177"/>
      <c r="R34" s="177"/>
      <c r="S34" s="177"/>
      <c r="T34" s="177"/>
      <c r="U34" s="177"/>
      <c r="V34" s="177"/>
      <c r="W34" s="177"/>
      <c r="X34" s="177"/>
    </row>
    <row r="35" spans="1:24" x14ac:dyDescent="0.2">
      <c r="A35" s="141"/>
      <c r="B35" s="142"/>
      <c r="C35" s="23"/>
      <c r="D35" s="6"/>
      <c r="E35" s="6"/>
      <c r="F35" s="94"/>
      <c r="G35" s="11"/>
      <c r="H35" s="10"/>
      <c r="I35" s="37"/>
      <c r="J35" s="65"/>
      <c r="K35" s="55"/>
      <c r="L35" s="10"/>
      <c r="M35" s="10"/>
      <c r="N35" s="156"/>
      <c r="O35" s="177"/>
      <c r="P35" s="177"/>
      <c r="Q35" s="177"/>
      <c r="R35" s="177"/>
      <c r="S35" s="177"/>
      <c r="T35" s="177"/>
      <c r="U35" s="177"/>
      <c r="V35" s="177"/>
      <c r="W35" s="177"/>
      <c r="X35" s="177"/>
    </row>
    <row r="36" spans="1:24" x14ac:dyDescent="0.2">
      <c r="A36" s="141"/>
      <c r="B36" s="142"/>
      <c r="C36" s="23"/>
      <c r="D36" s="6"/>
      <c r="E36" s="6"/>
      <c r="F36" s="94"/>
      <c r="G36" s="11"/>
      <c r="H36" s="10"/>
      <c r="I36" s="38"/>
      <c r="J36" s="66"/>
      <c r="K36" s="55"/>
      <c r="L36" s="10"/>
      <c r="M36" s="10"/>
      <c r="N36" s="156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1:24" x14ac:dyDescent="0.2">
      <c r="A37" s="133"/>
      <c r="B37" s="134"/>
      <c r="C37" s="34" t="s">
        <v>40</v>
      </c>
      <c r="D37" s="14"/>
      <c r="E37" s="14"/>
      <c r="F37" s="95"/>
      <c r="G37" s="90"/>
      <c r="H37" s="17"/>
      <c r="I37" s="43"/>
      <c r="J37" s="110"/>
      <c r="K37" s="57"/>
      <c r="L37" s="17"/>
      <c r="M37" s="17"/>
      <c r="N37" s="156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spans="1:24" x14ac:dyDescent="0.2">
      <c r="A38" s="125" t="s">
        <v>18</v>
      </c>
      <c r="B38" s="135" t="s">
        <v>7</v>
      </c>
      <c r="C38" s="21" t="s">
        <v>31</v>
      </c>
      <c r="D38" s="13"/>
      <c r="E38" s="13" t="s">
        <v>10</v>
      </c>
      <c r="F38" s="95"/>
      <c r="G38" s="67"/>
      <c r="H38" s="33">
        <v>0</v>
      </c>
      <c r="I38" s="43"/>
      <c r="J38" s="110"/>
      <c r="K38" s="58">
        <v>0</v>
      </c>
      <c r="L38" s="51"/>
      <c r="M38" s="51"/>
      <c r="N38" s="156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1:24" x14ac:dyDescent="0.2">
      <c r="A39" s="141"/>
      <c r="B39" s="134"/>
      <c r="C39" s="21"/>
      <c r="D39" s="13"/>
      <c r="E39" s="13" t="s">
        <v>11</v>
      </c>
      <c r="F39" s="95" t="s">
        <v>13</v>
      </c>
      <c r="G39" s="67"/>
      <c r="H39" s="30">
        <v>0</v>
      </c>
      <c r="I39" s="43"/>
      <c r="J39" s="110"/>
      <c r="K39" s="69">
        <v>22</v>
      </c>
      <c r="L39" s="68"/>
      <c r="M39" s="68"/>
      <c r="N39" s="156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1:24" x14ac:dyDescent="0.2">
      <c r="A40" s="141"/>
      <c r="B40" s="134"/>
      <c r="C40" s="21"/>
      <c r="D40" s="13"/>
      <c r="E40" s="13" t="s">
        <v>14</v>
      </c>
      <c r="F40" s="95"/>
      <c r="G40" s="67"/>
      <c r="H40" s="32">
        <f>IF(H38="NSP","NSP",SUM(H38*H39))</f>
        <v>0</v>
      </c>
      <c r="I40" s="36">
        <f>+H40</f>
        <v>0</v>
      </c>
      <c r="J40" s="63" t="e">
        <f>+#REF!</f>
        <v>#REF!</v>
      </c>
      <c r="K40" s="60">
        <f>IF(K38="NSP","NSP",SUM(K38*K39))</f>
        <v>0</v>
      </c>
      <c r="L40" s="32">
        <f>K40</f>
        <v>0</v>
      </c>
      <c r="M40" s="32"/>
      <c r="N40" s="156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1:24" x14ac:dyDescent="0.2">
      <c r="A41" s="133"/>
      <c r="B41" s="134"/>
      <c r="C41" s="20"/>
      <c r="D41" s="13"/>
      <c r="E41" s="13"/>
      <c r="F41" s="95"/>
      <c r="G41" s="67"/>
      <c r="H41" s="32"/>
      <c r="I41" s="36"/>
      <c r="J41" s="63"/>
      <c r="K41" s="60"/>
      <c r="L41" s="32"/>
      <c r="M41" s="32"/>
      <c r="N41" s="156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1:24" x14ac:dyDescent="0.2">
      <c r="A42" s="133"/>
      <c r="B42" s="134"/>
      <c r="C42" s="20"/>
      <c r="D42" s="13"/>
      <c r="E42" s="13"/>
      <c r="F42" s="95"/>
      <c r="G42" s="67"/>
      <c r="H42" s="32"/>
      <c r="I42" s="36"/>
      <c r="J42" s="63"/>
      <c r="K42" s="60"/>
      <c r="L42" s="32"/>
      <c r="M42" s="32"/>
      <c r="N42" s="156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spans="1:24" x14ac:dyDescent="0.2">
      <c r="A43" s="133"/>
      <c r="B43" s="134"/>
      <c r="C43" s="34" t="s">
        <v>24</v>
      </c>
      <c r="D43" s="13"/>
      <c r="E43" s="13"/>
      <c r="F43" s="95"/>
      <c r="G43" s="67"/>
      <c r="H43" s="31"/>
      <c r="I43" s="39"/>
      <c r="J43" s="64"/>
      <c r="K43" s="61"/>
      <c r="L43" s="15"/>
      <c r="M43" s="15"/>
      <c r="N43" s="156"/>
      <c r="O43" s="177"/>
      <c r="P43" s="177"/>
      <c r="Q43" s="177"/>
      <c r="R43" s="177"/>
      <c r="S43" s="177"/>
      <c r="T43" s="177"/>
      <c r="U43" s="177"/>
      <c r="V43" s="177"/>
      <c r="W43" s="177"/>
      <c r="X43" s="177"/>
    </row>
    <row r="44" spans="1:24" ht="12" customHeight="1" x14ac:dyDescent="0.2">
      <c r="A44" s="136" t="s">
        <v>18</v>
      </c>
      <c r="B44" s="137" t="s">
        <v>9</v>
      </c>
      <c r="C44" s="21" t="s">
        <v>2</v>
      </c>
      <c r="D44" s="13"/>
      <c r="E44" s="13" t="s">
        <v>10</v>
      </c>
      <c r="F44" s="95"/>
      <c r="G44" s="67"/>
      <c r="H44" s="9" t="s">
        <v>28</v>
      </c>
      <c r="I44" s="39"/>
      <c r="J44" s="64"/>
      <c r="K44" s="58">
        <v>0</v>
      </c>
      <c r="L44" s="51"/>
      <c r="M44" s="51"/>
      <c r="N44" s="156"/>
      <c r="O44" s="177"/>
      <c r="P44" s="177"/>
      <c r="Q44" s="177"/>
      <c r="R44" s="177"/>
      <c r="S44" s="177"/>
      <c r="T44" s="177"/>
      <c r="U44" s="177"/>
      <c r="V44" s="177"/>
      <c r="W44" s="177"/>
      <c r="X44" s="177"/>
    </row>
    <row r="45" spans="1:24" x14ac:dyDescent="0.2">
      <c r="A45" s="133"/>
      <c r="B45" s="134"/>
      <c r="C45" s="21"/>
      <c r="D45" s="13"/>
      <c r="E45" s="13" t="s">
        <v>11</v>
      </c>
      <c r="F45" s="95" t="s">
        <v>13</v>
      </c>
      <c r="G45" s="67"/>
      <c r="H45" s="8"/>
      <c r="I45" s="37"/>
      <c r="J45" s="65"/>
      <c r="K45" s="59">
        <v>0</v>
      </c>
      <c r="L45" s="30"/>
      <c r="M45" s="30"/>
      <c r="N45" s="156"/>
      <c r="O45" s="177"/>
      <c r="P45" s="177"/>
      <c r="Q45" s="177"/>
      <c r="R45" s="177"/>
      <c r="S45" s="177"/>
      <c r="T45" s="177"/>
      <c r="U45" s="177"/>
      <c r="V45" s="177"/>
      <c r="W45" s="177"/>
      <c r="X45" s="177"/>
    </row>
    <row r="46" spans="1:24" x14ac:dyDescent="0.2">
      <c r="A46" s="133"/>
      <c r="B46" s="134"/>
      <c r="C46" s="21"/>
      <c r="D46" s="13"/>
      <c r="E46" s="13" t="s">
        <v>14</v>
      </c>
      <c r="F46" s="95"/>
      <c r="G46" s="67"/>
      <c r="H46" s="16"/>
      <c r="I46" s="38"/>
      <c r="J46" s="66"/>
      <c r="K46" s="60">
        <f>IF(K44="NSP","NSP",SUM(K44*K45))</f>
        <v>0</v>
      </c>
      <c r="L46" s="32"/>
      <c r="M46" s="32">
        <f>K46</f>
        <v>0</v>
      </c>
      <c r="N46" s="156"/>
      <c r="O46" s="177"/>
      <c r="P46" s="177"/>
      <c r="Q46" s="177"/>
      <c r="R46" s="177"/>
      <c r="S46" s="177"/>
      <c r="T46" s="177"/>
      <c r="U46" s="177"/>
      <c r="V46" s="177"/>
      <c r="W46" s="177"/>
      <c r="X46" s="177"/>
    </row>
    <row r="47" spans="1:24" x14ac:dyDescent="0.2">
      <c r="A47" s="133"/>
      <c r="B47" s="134"/>
      <c r="C47" s="20"/>
      <c r="D47" s="13"/>
      <c r="E47" s="13"/>
      <c r="F47" s="95"/>
      <c r="G47" s="67"/>
      <c r="H47" s="10"/>
      <c r="I47" s="36"/>
      <c r="J47" s="63"/>
      <c r="K47" s="61"/>
      <c r="L47" s="15"/>
      <c r="M47" s="15"/>
      <c r="N47" s="156"/>
      <c r="O47" s="177"/>
      <c r="P47" s="177"/>
      <c r="Q47" s="177"/>
      <c r="R47" s="177"/>
      <c r="S47" s="177"/>
      <c r="T47" s="177"/>
      <c r="U47" s="177"/>
      <c r="V47" s="177"/>
      <c r="W47" s="177"/>
      <c r="X47" s="177"/>
    </row>
    <row r="48" spans="1:24" ht="12" customHeight="1" x14ac:dyDescent="0.2">
      <c r="A48" s="136" t="s">
        <v>18</v>
      </c>
      <c r="B48" s="137" t="s">
        <v>17</v>
      </c>
      <c r="C48" s="21" t="s">
        <v>2</v>
      </c>
      <c r="D48" s="13"/>
      <c r="E48" s="13" t="s">
        <v>10</v>
      </c>
      <c r="F48" s="95"/>
      <c r="G48" s="67"/>
      <c r="H48" s="9" t="s">
        <v>28</v>
      </c>
      <c r="I48" s="39"/>
      <c r="J48" s="64"/>
      <c r="K48" s="58">
        <v>0</v>
      </c>
      <c r="L48" s="51"/>
      <c r="M48" s="51"/>
      <c r="N48" s="156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spans="1:24" x14ac:dyDescent="0.2">
      <c r="A49" s="133"/>
      <c r="B49" s="134"/>
      <c r="C49" s="21"/>
      <c r="D49" s="13"/>
      <c r="E49" s="13" t="s">
        <v>11</v>
      </c>
      <c r="F49" s="95" t="s">
        <v>13</v>
      </c>
      <c r="G49" s="67"/>
      <c r="H49" s="8"/>
      <c r="I49" s="37"/>
      <c r="J49" s="65"/>
      <c r="K49" s="59">
        <v>0</v>
      </c>
      <c r="L49" s="30"/>
      <c r="M49" s="30"/>
      <c r="N49" s="156"/>
      <c r="O49" s="177"/>
      <c r="P49" s="177"/>
      <c r="Q49" s="177"/>
      <c r="R49" s="177"/>
      <c r="S49" s="177"/>
      <c r="T49" s="177"/>
      <c r="U49" s="177"/>
      <c r="V49" s="177"/>
      <c r="W49" s="177"/>
      <c r="X49" s="177"/>
    </row>
    <row r="50" spans="1:24" x14ac:dyDescent="0.2">
      <c r="A50" s="133"/>
      <c r="B50" s="134"/>
      <c r="C50" s="21"/>
      <c r="D50" s="13"/>
      <c r="E50" s="13" t="s">
        <v>14</v>
      </c>
      <c r="F50" s="95"/>
      <c r="G50" s="67"/>
      <c r="H50" s="16"/>
      <c r="I50" s="38"/>
      <c r="J50" s="66"/>
      <c r="K50" s="60">
        <f>IF(K48="NSP","NSP",SUM(K48*K49))</f>
        <v>0</v>
      </c>
      <c r="L50" s="32"/>
      <c r="M50" s="32">
        <f>K50</f>
        <v>0</v>
      </c>
      <c r="N50" s="156"/>
      <c r="O50" s="177"/>
      <c r="P50" s="177"/>
      <c r="Q50" s="177"/>
      <c r="R50" s="177"/>
      <c r="S50" s="177"/>
      <c r="T50" s="177"/>
      <c r="U50" s="177"/>
      <c r="V50" s="177"/>
      <c r="W50" s="177"/>
      <c r="X50" s="177"/>
    </row>
    <row r="51" spans="1:24" x14ac:dyDescent="0.2">
      <c r="A51" s="133"/>
      <c r="B51" s="134"/>
      <c r="C51" s="20"/>
      <c r="D51" s="13"/>
      <c r="E51" s="13"/>
      <c r="F51" s="95"/>
      <c r="G51" s="67"/>
      <c r="H51" s="10"/>
      <c r="I51" s="36"/>
      <c r="J51" s="63"/>
      <c r="K51" s="61"/>
      <c r="L51" s="15"/>
      <c r="M51" s="15"/>
      <c r="N51" s="156"/>
      <c r="O51" s="177"/>
      <c r="P51" s="177"/>
      <c r="Q51" s="177"/>
      <c r="R51" s="177"/>
      <c r="S51" s="177"/>
      <c r="T51" s="177"/>
      <c r="U51" s="177"/>
      <c r="V51" s="177"/>
      <c r="W51" s="177"/>
      <c r="X51" s="177"/>
    </row>
    <row r="52" spans="1:24" ht="12" customHeight="1" x14ac:dyDescent="0.2">
      <c r="A52" s="136" t="s">
        <v>18</v>
      </c>
      <c r="B52" s="137" t="s">
        <v>18</v>
      </c>
      <c r="C52" s="21" t="s">
        <v>2</v>
      </c>
      <c r="D52" s="13"/>
      <c r="E52" s="13" t="s">
        <v>10</v>
      </c>
      <c r="F52" s="95"/>
      <c r="G52" s="67"/>
      <c r="H52" s="9" t="s">
        <v>28</v>
      </c>
      <c r="I52" s="39"/>
      <c r="J52" s="64"/>
      <c r="K52" s="58">
        <v>0</v>
      </c>
      <c r="L52" s="51"/>
      <c r="M52" s="51"/>
      <c r="N52" s="156"/>
      <c r="O52" s="177"/>
      <c r="P52" s="177"/>
      <c r="Q52" s="177"/>
      <c r="R52" s="177"/>
      <c r="S52" s="177"/>
      <c r="T52" s="177"/>
      <c r="U52" s="177"/>
      <c r="V52" s="177"/>
      <c r="W52" s="177"/>
      <c r="X52" s="177"/>
    </row>
    <row r="53" spans="1:24" x14ac:dyDescent="0.2">
      <c r="A53" s="133"/>
      <c r="B53" s="134"/>
      <c r="C53" s="21"/>
      <c r="D53" s="13"/>
      <c r="E53" s="13" t="s">
        <v>11</v>
      </c>
      <c r="F53" s="95" t="s">
        <v>13</v>
      </c>
      <c r="G53" s="67"/>
      <c r="H53" s="8"/>
      <c r="I53" s="37"/>
      <c r="J53" s="65"/>
      <c r="K53" s="59">
        <v>0</v>
      </c>
      <c r="L53" s="30"/>
      <c r="M53" s="30"/>
      <c r="N53" s="156"/>
      <c r="O53" s="177"/>
      <c r="P53" s="177"/>
      <c r="Q53" s="177"/>
      <c r="R53" s="177"/>
      <c r="S53" s="177"/>
      <c r="T53" s="177"/>
      <c r="U53" s="177"/>
      <c r="V53" s="177"/>
      <c r="W53" s="177"/>
      <c r="X53" s="177"/>
    </row>
    <row r="54" spans="1:24" x14ac:dyDescent="0.2">
      <c r="A54" s="133"/>
      <c r="B54" s="134"/>
      <c r="C54" s="21"/>
      <c r="D54" s="13"/>
      <c r="E54" s="13" t="s">
        <v>14</v>
      </c>
      <c r="F54" s="95"/>
      <c r="G54" s="67"/>
      <c r="H54" s="16"/>
      <c r="I54" s="38"/>
      <c r="J54" s="66"/>
      <c r="K54" s="60">
        <f>IF(K52="NSP","NSP",SUM(K52*K53))</f>
        <v>0</v>
      </c>
      <c r="L54" s="32"/>
      <c r="M54" s="32">
        <f>K54</f>
        <v>0</v>
      </c>
      <c r="N54" s="156"/>
      <c r="O54" s="177"/>
      <c r="P54" s="177"/>
      <c r="Q54" s="177"/>
      <c r="R54" s="177"/>
      <c r="S54" s="177"/>
      <c r="T54" s="177"/>
      <c r="U54" s="177"/>
      <c r="V54" s="177"/>
      <c r="W54" s="177"/>
      <c r="X54" s="177"/>
    </row>
    <row r="55" spans="1:24" x14ac:dyDescent="0.2">
      <c r="A55" s="133"/>
      <c r="B55" s="134"/>
      <c r="C55" s="20"/>
      <c r="D55" s="13"/>
      <c r="E55" s="13"/>
      <c r="F55" s="95"/>
      <c r="G55" s="67"/>
      <c r="H55" s="10"/>
      <c r="I55" s="36"/>
      <c r="J55" s="63"/>
      <c r="K55" s="61"/>
      <c r="L55" s="15"/>
      <c r="M55" s="15"/>
      <c r="N55" s="156"/>
      <c r="O55" s="177"/>
      <c r="P55" s="177"/>
      <c r="Q55" s="177"/>
      <c r="R55" s="177"/>
      <c r="S55" s="177"/>
      <c r="T55" s="177"/>
      <c r="U55" s="177"/>
      <c r="V55" s="177"/>
      <c r="W55" s="177"/>
      <c r="X55" s="177"/>
    </row>
    <row r="56" spans="1:24" ht="12" customHeight="1" x14ac:dyDescent="0.2">
      <c r="A56" s="136" t="s">
        <v>18</v>
      </c>
      <c r="B56" s="137" t="s">
        <v>27</v>
      </c>
      <c r="C56" s="21" t="s">
        <v>2</v>
      </c>
      <c r="D56" s="13"/>
      <c r="E56" s="13" t="s">
        <v>10</v>
      </c>
      <c r="F56" s="95"/>
      <c r="G56" s="67"/>
      <c r="H56" s="9" t="s">
        <v>28</v>
      </c>
      <c r="I56" s="39"/>
      <c r="J56" s="64"/>
      <c r="K56" s="58">
        <v>0</v>
      </c>
      <c r="L56" s="51"/>
      <c r="M56" s="51"/>
      <c r="N56" s="156"/>
      <c r="O56" s="177"/>
      <c r="P56" s="177"/>
      <c r="Q56" s="177"/>
      <c r="R56" s="177"/>
      <c r="S56" s="177"/>
      <c r="T56" s="177"/>
      <c r="U56" s="177"/>
      <c r="V56" s="177"/>
      <c r="W56" s="177"/>
      <c r="X56" s="177"/>
    </row>
    <row r="57" spans="1:24" x14ac:dyDescent="0.2">
      <c r="A57" s="133"/>
      <c r="B57" s="134"/>
      <c r="C57" s="21"/>
      <c r="D57" s="13"/>
      <c r="E57" s="13" t="s">
        <v>11</v>
      </c>
      <c r="F57" s="95" t="s">
        <v>13</v>
      </c>
      <c r="G57" s="67"/>
      <c r="H57" s="8"/>
      <c r="I57" s="37"/>
      <c r="J57" s="65"/>
      <c r="K57" s="59">
        <v>0</v>
      </c>
      <c r="L57" s="30"/>
      <c r="M57" s="30"/>
      <c r="N57" s="156"/>
      <c r="O57" s="177"/>
      <c r="P57" s="177"/>
      <c r="Q57" s="177"/>
      <c r="R57" s="177"/>
      <c r="S57" s="177"/>
      <c r="T57" s="177"/>
      <c r="U57" s="177"/>
      <c r="V57" s="177"/>
      <c r="W57" s="177"/>
      <c r="X57" s="177"/>
    </row>
    <row r="58" spans="1:24" x14ac:dyDescent="0.2">
      <c r="A58" s="133"/>
      <c r="B58" s="134"/>
      <c r="C58" s="21"/>
      <c r="D58" s="13"/>
      <c r="E58" s="13" t="s">
        <v>14</v>
      </c>
      <c r="F58" s="95"/>
      <c r="G58" s="67"/>
      <c r="H58" s="16"/>
      <c r="I58" s="38"/>
      <c r="J58" s="66"/>
      <c r="K58" s="60">
        <f>IF(K56="NSP","NSP",SUM(K56*K57))</f>
        <v>0</v>
      </c>
      <c r="L58" s="32"/>
      <c r="M58" s="32">
        <f>K58</f>
        <v>0</v>
      </c>
      <c r="N58" s="156"/>
      <c r="O58" s="177"/>
      <c r="P58" s="177"/>
      <c r="Q58" s="177"/>
      <c r="R58" s="177"/>
      <c r="S58" s="177"/>
      <c r="T58" s="177"/>
      <c r="U58" s="177"/>
      <c r="V58" s="177"/>
      <c r="W58" s="177"/>
      <c r="X58" s="177"/>
    </row>
    <row r="59" spans="1:24" x14ac:dyDescent="0.2">
      <c r="A59" s="141"/>
      <c r="B59" s="142"/>
      <c r="C59" s="23"/>
      <c r="D59" s="6"/>
      <c r="E59" s="6"/>
      <c r="F59" s="94"/>
      <c r="G59" s="11"/>
      <c r="H59" s="10"/>
      <c r="I59" s="27"/>
      <c r="J59" s="108"/>
      <c r="K59" s="55"/>
      <c r="L59" s="10"/>
      <c r="M59" s="10"/>
      <c r="N59" s="156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spans="1:24" x14ac:dyDescent="0.2">
      <c r="A60" s="133"/>
      <c r="B60" s="134"/>
      <c r="C60" s="20"/>
      <c r="D60" s="13"/>
      <c r="E60" s="13"/>
      <c r="F60" s="95"/>
      <c r="G60" s="67"/>
      <c r="H60" s="10"/>
      <c r="I60" s="36"/>
      <c r="J60" s="63"/>
      <c r="K60" s="61"/>
      <c r="L60" s="15"/>
      <c r="M60" s="15"/>
      <c r="N60" s="156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spans="1:24" x14ac:dyDescent="0.2">
      <c r="A61" s="141"/>
      <c r="B61" s="142"/>
      <c r="C61" s="23"/>
      <c r="D61" s="6"/>
      <c r="E61" s="6"/>
      <c r="F61" s="94"/>
      <c r="G61" s="11"/>
      <c r="H61" s="10"/>
      <c r="I61" s="27"/>
      <c r="J61" s="108"/>
      <c r="K61" s="55"/>
      <c r="L61" s="10"/>
      <c r="M61" s="10"/>
      <c r="N61" s="156"/>
      <c r="O61" s="177"/>
      <c r="P61" s="177"/>
      <c r="Q61" s="177"/>
      <c r="R61" s="177"/>
      <c r="S61" s="177"/>
      <c r="T61" s="177"/>
      <c r="U61" s="177"/>
      <c r="V61" s="177"/>
      <c r="W61" s="177"/>
      <c r="X61" s="177"/>
    </row>
    <row r="63" spans="1:24" x14ac:dyDescent="0.2">
      <c r="A63" s="147"/>
      <c r="B63" s="148"/>
      <c r="C63" s="149"/>
      <c r="D63" s="150"/>
      <c r="E63" s="151"/>
      <c r="F63" s="221"/>
      <c r="G63" s="152"/>
      <c r="H63" s="153"/>
      <c r="I63" s="154"/>
      <c r="J63" s="154"/>
      <c r="K63" s="155"/>
      <c r="L63" s="153"/>
      <c r="M63" s="153"/>
      <c r="N63" s="156"/>
      <c r="O63" s="177"/>
      <c r="P63" s="177"/>
      <c r="Q63" s="177"/>
      <c r="R63" s="177"/>
      <c r="S63" s="177"/>
      <c r="T63" s="177"/>
      <c r="U63" s="177"/>
      <c r="V63" s="177"/>
      <c r="W63" s="177"/>
      <c r="X63" s="177"/>
    </row>
    <row r="64" spans="1:24" x14ac:dyDescent="0.2">
      <c r="A64" s="157"/>
      <c r="B64" s="199"/>
      <c r="C64" s="200"/>
      <c r="D64" s="202"/>
      <c r="E64" s="161"/>
      <c r="F64" s="222"/>
      <c r="G64" s="201"/>
      <c r="H64" s="202" t="s">
        <v>35</v>
      </c>
      <c r="I64" s="172"/>
      <c r="J64" s="218"/>
      <c r="K64" s="202" t="s">
        <v>36</v>
      </c>
      <c r="L64" s="187"/>
      <c r="M64" s="187"/>
      <c r="N64" s="156"/>
      <c r="O64" s="177"/>
      <c r="P64" s="177"/>
      <c r="Q64" s="177"/>
      <c r="R64" s="177"/>
      <c r="S64" s="177"/>
      <c r="T64" s="177"/>
      <c r="U64" s="177"/>
      <c r="V64" s="177"/>
      <c r="W64" s="177"/>
      <c r="X64" s="177"/>
    </row>
    <row r="65" spans="1:24" x14ac:dyDescent="0.2">
      <c r="A65" s="157"/>
      <c r="B65" s="145"/>
      <c r="C65" s="158"/>
      <c r="D65" s="202"/>
      <c r="E65" s="159"/>
      <c r="F65" s="223"/>
      <c r="G65" s="120"/>
      <c r="H65" s="203"/>
      <c r="I65" s="204"/>
      <c r="J65" s="204"/>
      <c r="K65" s="205">
        <f>SUM(L31:L62)</f>
        <v>0</v>
      </c>
      <c r="L65" s="206"/>
      <c r="M65" s="206"/>
      <c r="N65" s="156"/>
      <c r="O65" s="177"/>
      <c r="P65" s="177"/>
      <c r="Q65" s="177"/>
      <c r="R65" s="177"/>
      <c r="S65" s="177"/>
      <c r="T65" s="177"/>
      <c r="U65" s="177"/>
      <c r="V65" s="177"/>
      <c r="W65" s="177"/>
      <c r="X65" s="177"/>
    </row>
    <row r="66" spans="1:24" x14ac:dyDescent="0.2">
      <c r="A66" s="157"/>
      <c r="B66" s="145"/>
      <c r="C66" s="159"/>
      <c r="D66" s="161"/>
      <c r="E66" s="159"/>
      <c r="F66" s="223"/>
      <c r="G66" s="120"/>
      <c r="H66" s="207"/>
      <c r="I66" s="208"/>
      <c r="J66" s="209"/>
      <c r="K66" s="210" t="s">
        <v>19</v>
      </c>
      <c r="L66" s="207"/>
      <c r="M66" s="207"/>
      <c r="N66" s="156"/>
      <c r="O66" s="177"/>
      <c r="P66" s="177"/>
      <c r="Q66" s="177"/>
      <c r="R66" s="177"/>
      <c r="S66" s="177"/>
      <c r="T66" s="177"/>
      <c r="U66" s="177"/>
      <c r="V66" s="177"/>
      <c r="W66" s="177"/>
      <c r="X66" s="177"/>
    </row>
    <row r="67" spans="1:24" x14ac:dyDescent="0.2">
      <c r="A67" s="164"/>
      <c r="B67" s="145"/>
      <c r="C67" s="158"/>
      <c r="D67" s="159"/>
      <c r="E67" s="159" t="s">
        <v>2</v>
      </c>
      <c r="F67" s="223"/>
      <c r="G67" s="120"/>
      <c r="H67" s="206">
        <f>SUM(H33,H40)</f>
        <v>0</v>
      </c>
      <c r="I67" s="209"/>
      <c r="J67" s="209"/>
      <c r="K67" s="205">
        <f>+K65*12</f>
        <v>0</v>
      </c>
      <c r="L67" s="206"/>
      <c r="M67" s="206"/>
      <c r="N67" s="156"/>
      <c r="O67" s="177"/>
      <c r="P67" s="177"/>
      <c r="Q67" s="177"/>
      <c r="R67" s="177"/>
      <c r="S67" s="177"/>
      <c r="T67" s="177"/>
      <c r="U67" s="177"/>
      <c r="V67" s="177"/>
      <c r="W67" s="177"/>
      <c r="X67" s="177"/>
    </row>
    <row r="68" spans="1:24" x14ac:dyDescent="0.2">
      <c r="A68" s="164"/>
      <c r="B68" s="145"/>
      <c r="C68" s="158"/>
      <c r="D68" s="159"/>
      <c r="E68" s="166"/>
      <c r="F68" s="224"/>
      <c r="G68" s="120"/>
      <c r="H68" s="203"/>
      <c r="I68" s="209"/>
      <c r="J68" s="209"/>
      <c r="K68" s="211"/>
      <c r="L68" s="203"/>
      <c r="M68" s="203"/>
      <c r="N68" s="156"/>
      <c r="O68" s="177"/>
      <c r="P68" s="177"/>
      <c r="Q68" s="177"/>
      <c r="R68" s="177"/>
      <c r="S68" s="177"/>
      <c r="T68" s="177"/>
      <c r="U68" s="177"/>
      <c r="V68" s="177"/>
      <c r="W68" s="177"/>
      <c r="X68" s="177"/>
    </row>
    <row r="69" spans="1:24" x14ac:dyDescent="0.2">
      <c r="A69" s="167"/>
      <c r="B69" s="168"/>
      <c r="C69" s="169"/>
      <c r="D69" s="159"/>
      <c r="E69" s="161"/>
      <c r="F69" s="222"/>
      <c r="G69" s="170"/>
      <c r="H69" s="212"/>
      <c r="I69" s="209"/>
      <c r="J69" s="209"/>
      <c r="K69" s="213" t="s">
        <v>37</v>
      </c>
      <c r="L69" s="214"/>
      <c r="M69" s="214"/>
      <c r="N69" s="156"/>
      <c r="O69" s="177"/>
      <c r="P69" s="177"/>
      <c r="Q69" s="177"/>
      <c r="R69" s="177"/>
      <c r="S69" s="177"/>
      <c r="T69" s="177"/>
      <c r="U69" s="177"/>
      <c r="V69" s="177"/>
      <c r="W69" s="177"/>
      <c r="X69" s="177"/>
    </row>
    <row r="70" spans="1:24" x14ac:dyDescent="0.2">
      <c r="A70" s="157"/>
      <c r="B70" s="171"/>
      <c r="C70" s="171"/>
      <c r="D70" s="166"/>
      <c r="E70" s="171"/>
      <c r="F70" s="225"/>
      <c r="G70" s="171"/>
      <c r="H70" s="215"/>
      <c r="I70" s="215"/>
      <c r="J70" s="216"/>
      <c r="K70" s="206">
        <f>SUM(M31:M62)</f>
        <v>0</v>
      </c>
      <c r="L70" s="206" t="s">
        <v>2</v>
      </c>
      <c r="M70" s="206" t="s">
        <v>2</v>
      </c>
      <c r="N70" s="156"/>
      <c r="O70" s="177"/>
      <c r="P70" s="177"/>
      <c r="Q70" s="177"/>
      <c r="R70" s="177"/>
      <c r="S70" s="177"/>
      <c r="T70" s="177"/>
      <c r="U70" s="177"/>
      <c r="V70" s="177"/>
      <c r="W70" s="177"/>
      <c r="X70" s="177"/>
    </row>
    <row r="71" spans="1:24" x14ac:dyDescent="0.2">
      <c r="A71" s="157"/>
      <c r="B71" s="171"/>
      <c r="C71" s="171"/>
      <c r="D71" s="171"/>
      <c r="E71" s="171"/>
      <c r="F71" s="225"/>
      <c r="G71" s="171"/>
      <c r="H71" s="215"/>
      <c r="I71" s="215"/>
      <c r="J71" s="209"/>
      <c r="K71" s="210" t="s">
        <v>19</v>
      </c>
      <c r="L71" s="207"/>
      <c r="M71" s="207"/>
      <c r="N71" s="156"/>
      <c r="O71" s="177"/>
      <c r="P71" s="177"/>
      <c r="Q71" s="177"/>
      <c r="R71" s="177"/>
      <c r="S71" s="177"/>
      <c r="T71" s="177"/>
      <c r="U71" s="177"/>
      <c r="V71" s="177"/>
      <c r="W71" s="177"/>
      <c r="X71" s="177"/>
    </row>
    <row r="72" spans="1:24" x14ac:dyDescent="0.2">
      <c r="A72" s="164"/>
      <c r="B72" s="171"/>
      <c r="C72" s="171"/>
      <c r="D72" s="171"/>
      <c r="E72" s="171"/>
      <c r="F72" s="225"/>
      <c r="G72" s="171"/>
      <c r="H72" s="215"/>
      <c r="I72" s="215"/>
      <c r="J72" s="209"/>
      <c r="K72" s="205">
        <f>+K70*12</f>
        <v>0</v>
      </c>
      <c r="L72" s="206"/>
      <c r="M72" s="206"/>
      <c r="N72" s="156"/>
      <c r="O72" s="177"/>
      <c r="P72" s="177"/>
      <c r="Q72" s="177"/>
      <c r="R72" s="177"/>
      <c r="S72" s="177"/>
      <c r="T72" s="177"/>
      <c r="U72" s="177"/>
      <c r="V72" s="177"/>
      <c r="W72" s="177"/>
      <c r="X72" s="177"/>
    </row>
    <row r="73" spans="1:24" x14ac:dyDescent="0.2">
      <c r="A73" s="164"/>
      <c r="B73" s="171"/>
      <c r="C73" s="171"/>
      <c r="D73" s="171"/>
      <c r="E73" s="171"/>
      <c r="F73" s="225"/>
      <c r="G73" s="171"/>
      <c r="H73" s="215"/>
      <c r="I73" s="215"/>
      <c r="J73" s="217"/>
      <c r="K73" s="211"/>
      <c r="L73" s="203"/>
      <c r="M73" s="203"/>
      <c r="N73" s="156"/>
      <c r="O73" s="177"/>
      <c r="P73" s="177"/>
      <c r="Q73" s="177"/>
      <c r="R73" s="177"/>
      <c r="S73" s="177"/>
      <c r="T73" s="177"/>
      <c r="U73" s="177"/>
      <c r="V73" s="177"/>
      <c r="W73" s="177"/>
      <c r="X73" s="177"/>
    </row>
    <row r="74" spans="1:24" x14ac:dyDescent="0.2">
      <c r="A74" s="164"/>
      <c r="B74" s="171"/>
      <c r="C74" s="171"/>
      <c r="D74" s="171"/>
      <c r="E74" s="171"/>
      <c r="F74" s="225"/>
      <c r="G74" s="171"/>
      <c r="H74" s="171"/>
      <c r="I74" s="171"/>
      <c r="J74" s="160"/>
      <c r="K74" s="219" t="s">
        <v>38</v>
      </c>
      <c r="L74" s="120"/>
      <c r="M74" s="120"/>
      <c r="N74" s="156"/>
      <c r="O74" s="177"/>
      <c r="P74" s="177"/>
      <c r="Q74" s="177"/>
      <c r="R74" s="177"/>
      <c r="S74" s="177"/>
      <c r="T74" s="177"/>
      <c r="U74" s="177"/>
      <c r="V74" s="177"/>
      <c r="W74" s="177"/>
      <c r="X74" s="177"/>
    </row>
    <row r="75" spans="1:24" x14ac:dyDescent="0.2">
      <c r="A75" s="164"/>
      <c r="B75" s="171"/>
      <c r="C75" s="171"/>
      <c r="D75" s="171"/>
      <c r="E75" s="171"/>
      <c r="F75" s="225"/>
      <c r="G75" s="171"/>
      <c r="H75" s="171"/>
      <c r="I75" s="171"/>
      <c r="J75" s="144"/>
      <c r="K75" s="220">
        <f>K65+K70</f>
        <v>0</v>
      </c>
      <c r="L75" s="220" t="s">
        <v>2</v>
      </c>
      <c r="M75" s="220" t="s">
        <v>2</v>
      </c>
      <c r="N75" s="156"/>
      <c r="O75" s="177"/>
      <c r="P75" s="177"/>
      <c r="Q75" s="177"/>
      <c r="R75" s="177"/>
      <c r="S75" s="177"/>
      <c r="T75" s="177"/>
      <c r="U75" s="177"/>
      <c r="V75" s="177"/>
      <c r="W75" s="177"/>
      <c r="X75" s="177"/>
    </row>
    <row r="76" spans="1:24" ht="13.5" x14ac:dyDescent="0.25">
      <c r="A76" s="173"/>
      <c r="B76" s="174"/>
      <c r="C76" s="175"/>
      <c r="D76" s="176"/>
      <c r="E76" s="175"/>
      <c r="F76" s="226"/>
      <c r="G76" s="175"/>
      <c r="H76" s="175"/>
      <c r="I76" s="162"/>
      <c r="J76" s="162"/>
      <c r="K76" s="227"/>
      <c r="L76" s="175"/>
      <c r="M76" s="175"/>
      <c r="N76" s="156"/>
      <c r="O76" s="177"/>
      <c r="P76" s="177"/>
      <c r="Q76" s="177"/>
      <c r="R76" s="177"/>
      <c r="S76" s="177"/>
      <c r="T76" s="177"/>
      <c r="U76" s="177"/>
      <c r="V76" s="177"/>
      <c r="W76" s="177"/>
      <c r="X76" s="177"/>
    </row>
    <row r="77" spans="1:24" ht="13.5" x14ac:dyDescent="0.25">
      <c r="A77" s="145"/>
      <c r="B77" s="145"/>
      <c r="C77" s="120"/>
      <c r="D77" s="120"/>
      <c r="E77" s="120"/>
      <c r="F77" s="120"/>
      <c r="G77" s="120"/>
      <c r="H77" s="227" t="s">
        <v>39</v>
      </c>
      <c r="I77" s="165"/>
      <c r="J77" s="165"/>
      <c r="K77" s="120"/>
      <c r="L77" s="120"/>
      <c r="M77" s="120"/>
      <c r="N77" s="120"/>
      <c r="O77" s="177"/>
      <c r="P77" s="177"/>
      <c r="Q77" s="177"/>
      <c r="R77" s="177"/>
      <c r="S77" s="177"/>
      <c r="T77" s="177"/>
      <c r="U77" s="177"/>
      <c r="V77" s="177"/>
      <c r="W77" s="177"/>
      <c r="X77" s="177"/>
    </row>
    <row r="78" spans="1:24" x14ac:dyDescent="0.2">
      <c r="A78" s="145"/>
      <c r="B78" s="145"/>
      <c r="C78" s="120"/>
      <c r="D78" s="120"/>
      <c r="E78" s="120"/>
      <c r="F78" s="120"/>
      <c r="G78" s="120"/>
      <c r="H78" s="120"/>
      <c r="I78" s="165"/>
      <c r="J78" s="165"/>
      <c r="K78" s="120"/>
      <c r="L78" s="120"/>
      <c r="M78" s="120"/>
      <c r="N78" s="120"/>
      <c r="O78" s="177"/>
      <c r="P78" s="177"/>
      <c r="Q78" s="177"/>
      <c r="R78" s="177"/>
      <c r="S78" s="177"/>
      <c r="T78" s="177"/>
      <c r="U78" s="177"/>
      <c r="V78" s="177"/>
      <c r="W78" s="177"/>
      <c r="X78" s="177"/>
    </row>
    <row r="79" spans="1:24" x14ac:dyDescent="0.2">
      <c r="A79" s="145"/>
      <c r="B79" s="145"/>
      <c r="C79" s="120"/>
      <c r="D79" s="120"/>
      <c r="E79" s="120"/>
      <c r="F79" s="120"/>
      <c r="G79" s="120"/>
      <c r="H79" s="120"/>
      <c r="I79" s="172"/>
      <c r="J79" s="172"/>
      <c r="K79" s="120"/>
      <c r="L79" s="120"/>
      <c r="M79" s="120"/>
      <c r="N79" s="120"/>
      <c r="O79" s="177"/>
      <c r="P79" s="177"/>
      <c r="Q79" s="177"/>
      <c r="R79" s="177"/>
      <c r="S79" s="177"/>
      <c r="T79" s="177"/>
      <c r="U79" s="177"/>
      <c r="V79" s="177"/>
      <c r="W79" s="177"/>
      <c r="X79" s="177"/>
    </row>
    <row r="80" spans="1:24" x14ac:dyDescent="0.2">
      <c r="A80" s="145"/>
      <c r="B80" s="145"/>
      <c r="C80" s="120"/>
      <c r="D80" s="120"/>
      <c r="E80" s="120"/>
      <c r="F80" s="120"/>
      <c r="G80" s="120"/>
      <c r="H80" s="120"/>
      <c r="I80" s="160"/>
      <c r="J80" s="160"/>
      <c r="K80" s="120"/>
      <c r="L80" s="120"/>
      <c r="M80" s="120"/>
      <c r="N80" s="120"/>
      <c r="O80" s="177"/>
      <c r="P80" s="177"/>
      <c r="Q80" s="177"/>
      <c r="R80" s="177"/>
      <c r="S80" s="177"/>
      <c r="T80" s="177"/>
      <c r="U80" s="177"/>
      <c r="V80" s="177"/>
      <c r="W80" s="177"/>
      <c r="X80" s="177"/>
    </row>
    <row r="81" spans="1:24" x14ac:dyDescent="0.2">
      <c r="A81" s="145"/>
      <c r="B81" s="145"/>
      <c r="C81" s="120"/>
      <c r="D81" s="120"/>
      <c r="E81" s="120"/>
      <c r="F81" s="120"/>
      <c r="G81" s="120"/>
      <c r="H81" s="120"/>
      <c r="I81" s="163"/>
      <c r="J81" s="163"/>
      <c r="K81" s="120"/>
      <c r="L81" s="120"/>
      <c r="M81" s="120"/>
      <c r="N81" s="120"/>
      <c r="O81" s="177"/>
      <c r="P81" s="177"/>
      <c r="Q81" s="177"/>
      <c r="R81" s="177"/>
      <c r="S81" s="177"/>
      <c r="T81" s="177"/>
      <c r="U81" s="177"/>
      <c r="V81" s="177"/>
      <c r="W81" s="177"/>
      <c r="X81" s="177"/>
    </row>
    <row r="82" spans="1:24" x14ac:dyDescent="0.2">
      <c r="A82" s="186"/>
      <c r="B82" s="186"/>
      <c r="C82" s="120"/>
      <c r="D82" s="177"/>
      <c r="E82" s="177"/>
      <c r="F82" s="177"/>
      <c r="G82" s="177"/>
      <c r="H82" s="177"/>
      <c r="I82" s="163"/>
      <c r="J82" s="163"/>
      <c r="K82" s="120"/>
      <c r="L82" s="120"/>
      <c r="M82" s="120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</row>
    <row r="83" spans="1:24" x14ac:dyDescent="0.2">
      <c r="A83" s="186"/>
      <c r="B83" s="186"/>
      <c r="C83" s="120"/>
      <c r="D83" s="177"/>
      <c r="E83" s="177"/>
      <c r="F83" s="177"/>
      <c r="G83" s="177"/>
      <c r="H83" s="177"/>
      <c r="I83" s="165"/>
      <c r="J83" s="165"/>
      <c r="K83" s="120"/>
      <c r="L83" s="120"/>
      <c r="M83" s="120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</row>
    <row r="84" spans="1:24" x14ac:dyDescent="0.2">
      <c r="A84" s="186"/>
      <c r="B84" s="186"/>
      <c r="C84" s="120"/>
      <c r="D84" s="177"/>
      <c r="E84" s="177"/>
      <c r="F84" s="177"/>
      <c r="G84" s="177"/>
      <c r="H84" s="177"/>
      <c r="I84" s="172"/>
      <c r="J84" s="172"/>
      <c r="K84" s="120"/>
      <c r="L84" s="120"/>
      <c r="M84" s="120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</row>
    <row r="85" spans="1:24" x14ac:dyDescent="0.2">
      <c r="A85" s="186"/>
      <c r="B85" s="186"/>
      <c r="C85" s="120"/>
      <c r="D85" s="177"/>
      <c r="E85" s="177"/>
      <c r="F85" s="177"/>
      <c r="G85" s="177"/>
      <c r="H85" s="177"/>
      <c r="I85" s="160"/>
      <c r="J85" s="160"/>
      <c r="K85" s="120"/>
      <c r="L85" s="120"/>
      <c r="M85" s="120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</row>
    <row r="86" spans="1:24" x14ac:dyDescent="0.2">
      <c r="A86" s="186"/>
      <c r="B86" s="186"/>
      <c r="C86" s="120"/>
      <c r="D86" s="177"/>
      <c r="E86" s="177"/>
      <c r="F86" s="177"/>
      <c r="G86" s="177"/>
      <c r="H86" s="177"/>
      <c r="I86" s="163"/>
      <c r="J86" s="163"/>
      <c r="K86" s="120"/>
      <c r="L86" s="120"/>
      <c r="M86" s="120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</row>
    <row r="87" spans="1:24" x14ac:dyDescent="0.2">
      <c r="A87" s="186"/>
      <c r="B87" s="186"/>
      <c r="C87" s="120"/>
      <c r="D87" s="177"/>
      <c r="E87" s="177"/>
      <c r="F87" s="177"/>
      <c r="G87" s="177"/>
      <c r="H87" s="177"/>
      <c r="I87" s="163"/>
      <c r="J87" s="163"/>
      <c r="K87" s="120"/>
      <c r="L87" s="120"/>
      <c r="M87" s="120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</row>
    <row r="88" spans="1:24" x14ac:dyDescent="0.2">
      <c r="A88" s="186"/>
      <c r="B88" s="186"/>
      <c r="C88" s="120"/>
      <c r="D88" s="177"/>
      <c r="E88" s="177"/>
      <c r="F88" s="177"/>
      <c r="G88" s="177"/>
      <c r="H88" s="177"/>
      <c r="I88" s="165"/>
      <c r="J88" s="165"/>
      <c r="K88" s="120"/>
      <c r="L88" s="120"/>
      <c r="M88" s="120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</row>
    <row r="89" spans="1:24" x14ac:dyDescent="0.2">
      <c r="A89" s="186"/>
      <c r="B89" s="186"/>
      <c r="C89" s="120"/>
      <c r="D89" s="177"/>
      <c r="E89" s="177"/>
      <c r="F89" s="177"/>
      <c r="G89" s="177"/>
      <c r="H89" s="177"/>
      <c r="I89" s="172"/>
      <c r="J89" s="172"/>
      <c r="K89" s="120"/>
      <c r="L89" s="120"/>
      <c r="M89" s="120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</row>
    <row r="90" spans="1:24" x14ac:dyDescent="0.2">
      <c r="A90" s="186"/>
      <c r="B90" s="186"/>
      <c r="C90" s="120"/>
      <c r="D90" s="177"/>
      <c r="E90" s="177"/>
      <c r="F90" s="177"/>
      <c r="G90" s="177"/>
      <c r="H90" s="177"/>
      <c r="I90" s="160"/>
      <c r="J90" s="160"/>
      <c r="K90" s="120"/>
      <c r="L90" s="120"/>
      <c r="M90" s="120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</row>
    <row r="91" spans="1:24" x14ac:dyDescent="0.2">
      <c r="A91" s="186"/>
      <c r="B91" s="186"/>
      <c r="C91" s="120"/>
      <c r="D91" s="177"/>
      <c r="E91" s="177"/>
      <c r="F91" s="177"/>
      <c r="G91" s="177"/>
      <c r="H91" s="177"/>
      <c r="I91" s="160"/>
      <c r="J91" s="160"/>
      <c r="K91" s="120"/>
      <c r="L91" s="120"/>
      <c r="M91" s="120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</row>
    <row r="92" spans="1:24" x14ac:dyDescent="0.2">
      <c r="A92" s="186"/>
      <c r="B92" s="186"/>
      <c r="C92" s="120"/>
      <c r="D92" s="177"/>
      <c r="E92" s="177"/>
      <c r="F92" s="177"/>
      <c r="G92" s="177"/>
      <c r="H92" s="177"/>
      <c r="I92" s="160"/>
      <c r="J92" s="160"/>
      <c r="K92" s="120"/>
      <c r="L92" s="120"/>
      <c r="M92" s="120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</row>
    <row r="93" spans="1:24" x14ac:dyDescent="0.2">
      <c r="A93" s="186"/>
      <c r="B93" s="186"/>
      <c r="C93" s="120"/>
      <c r="D93" s="177"/>
      <c r="E93" s="177"/>
      <c r="F93" s="177"/>
      <c r="G93" s="177"/>
      <c r="H93" s="177"/>
      <c r="I93" s="146"/>
      <c r="J93" s="146"/>
      <c r="K93" s="120"/>
      <c r="L93" s="120"/>
      <c r="M93" s="120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</row>
    <row r="94" spans="1:24" x14ac:dyDescent="0.2">
      <c r="A94" s="186"/>
      <c r="B94" s="186"/>
      <c r="C94" s="120"/>
      <c r="D94" s="177"/>
      <c r="E94" s="177"/>
      <c r="F94" s="177"/>
      <c r="G94" s="177"/>
      <c r="H94" s="177"/>
      <c r="I94" s="146"/>
      <c r="J94" s="146"/>
      <c r="K94" s="120"/>
      <c r="L94" s="120"/>
      <c r="M94" s="120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</row>
    <row r="95" spans="1:24" x14ac:dyDescent="0.2">
      <c r="A95" s="186"/>
      <c r="B95" s="186"/>
      <c r="C95" s="120"/>
      <c r="D95" s="177"/>
      <c r="E95" s="177"/>
      <c r="F95" s="177"/>
      <c r="G95" s="177"/>
      <c r="H95" s="177"/>
      <c r="I95" s="146"/>
      <c r="J95" s="146"/>
      <c r="K95" s="120"/>
      <c r="L95" s="120"/>
      <c r="M95" s="120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</row>
    <row r="96" spans="1:24" x14ac:dyDescent="0.2">
      <c r="A96" s="186"/>
      <c r="B96" s="186"/>
      <c r="C96" s="120"/>
      <c r="D96" s="177"/>
      <c r="E96" s="177"/>
      <c r="F96" s="177"/>
      <c r="G96" s="177"/>
      <c r="H96" s="177"/>
      <c r="I96" s="187"/>
      <c r="J96" s="187"/>
      <c r="K96" s="120"/>
      <c r="L96" s="120"/>
      <c r="M96" s="120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</row>
    <row r="97" spans="1:24" x14ac:dyDescent="0.2">
      <c r="A97" s="186"/>
      <c r="B97" s="186"/>
      <c r="C97" s="120"/>
      <c r="D97" s="177"/>
      <c r="E97" s="177"/>
      <c r="F97" s="177"/>
      <c r="G97" s="177"/>
      <c r="H97" s="177"/>
      <c r="I97" s="187"/>
      <c r="J97" s="187"/>
      <c r="K97" s="120"/>
      <c r="L97" s="120"/>
      <c r="M97" s="120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</row>
    <row r="98" spans="1:24" x14ac:dyDescent="0.2">
      <c r="A98" s="186"/>
      <c r="B98" s="186"/>
      <c r="C98" s="120"/>
      <c r="D98" s="177"/>
      <c r="E98" s="177"/>
      <c r="F98" s="177"/>
      <c r="G98" s="177"/>
      <c r="H98" s="177"/>
      <c r="I98" s="187"/>
      <c r="J98" s="187"/>
      <c r="K98" s="120"/>
      <c r="L98" s="120"/>
      <c r="M98" s="120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</row>
    <row r="99" spans="1:24" x14ac:dyDescent="0.2">
      <c r="A99" s="186"/>
      <c r="B99" s="186"/>
      <c r="C99" s="120"/>
      <c r="D99" s="177"/>
      <c r="E99" s="177"/>
      <c r="F99" s="177"/>
      <c r="G99" s="177"/>
      <c r="H99" s="177"/>
      <c r="I99" s="187"/>
      <c r="J99" s="187"/>
      <c r="K99" s="120"/>
      <c r="L99" s="120"/>
      <c r="M99" s="120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</row>
    <row r="100" spans="1:24" x14ac:dyDescent="0.2">
      <c r="A100" s="186"/>
      <c r="B100" s="186"/>
      <c r="C100" s="120"/>
      <c r="D100" s="177"/>
      <c r="E100" s="177"/>
      <c r="F100" s="177"/>
      <c r="G100" s="177"/>
      <c r="H100" s="177"/>
      <c r="I100" s="187"/>
      <c r="J100" s="187"/>
      <c r="K100" s="120"/>
      <c r="L100" s="120"/>
      <c r="M100" s="120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</row>
    <row r="101" spans="1:24" x14ac:dyDescent="0.2">
      <c r="A101" s="186"/>
      <c r="B101" s="186"/>
      <c r="C101" s="120"/>
      <c r="D101" s="177"/>
      <c r="E101" s="177"/>
      <c r="F101" s="177"/>
      <c r="G101" s="177"/>
      <c r="H101" s="177"/>
      <c r="I101" s="187"/>
      <c r="J101" s="187"/>
      <c r="K101" s="120"/>
      <c r="L101" s="120"/>
      <c r="M101" s="120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</row>
    <row r="102" spans="1:24" x14ac:dyDescent="0.2">
      <c r="A102" s="186"/>
      <c r="B102" s="186"/>
      <c r="C102" s="120"/>
      <c r="D102" s="177"/>
      <c r="E102" s="177"/>
      <c r="F102" s="177"/>
      <c r="G102" s="177"/>
      <c r="H102" s="177"/>
      <c r="I102" s="146"/>
      <c r="J102" s="146"/>
      <c r="K102" s="120"/>
      <c r="L102" s="120"/>
      <c r="M102" s="120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</row>
    <row r="103" spans="1:24" x14ac:dyDescent="0.2">
      <c r="A103" s="186"/>
      <c r="B103" s="186"/>
      <c r="C103" s="120"/>
      <c r="D103" s="177"/>
      <c r="E103" s="177"/>
      <c r="F103" s="177"/>
      <c r="G103" s="177"/>
      <c r="H103" s="177"/>
      <c r="I103" s="188"/>
      <c r="J103" s="188"/>
      <c r="K103" s="120"/>
      <c r="L103" s="120"/>
      <c r="M103" s="120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</row>
    <row r="104" spans="1:24" x14ac:dyDescent="0.2">
      <c r="A104" s="186"/>
      <c r="B104" s="186"/>
      <c r="C104" s="120"/>
      <c r="D104" s="177"/>
      <c r="E104" s="177"/>
      <c r="F104" s="177"/>
      <c r="G104" s="177"/>
      <c r="H104" s="177"/>
      <c r="I104" s="166"/>
      <c r="J104" s="166"/>
      <c r="K104" s="120"/>
      <c r="L104" s="120"/>
      <c r="M104" s="120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</row>
    <row r="105" spans="1:24" x14ac:dyDescent="0.2">
      <c r="A105" s="186"/>
      <c r="B105" s="186"/>
      <c r="C105" s="120"/>
      <c r="D105" s="177"/>
      <c r="E105" s="177"/>
      <c r="F105" s="177"/>
      <c r="G105" s="177"/>
      <c r="H105" s="177"/>
      <c r="I105" s="166"/>
      <c r="J105" s="166"/>
      <c r="K105" s="120"/>
      <c r="L105" s="120"/>
      <c r="M105" s="120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</row>
    <row r="106" spans="1:24" x14ac:dyDescent="0.2">
      <c r="A106" s="186"/>
      <c r="B106" s="186"/>
      <c r="C106" s="120"/>
      <c r="D106" s="177"/>
      <c r="E106" s="177"/>
      <c r="F106" s="177"/>
      <c r="G106" s="177"/>
      <c r="H106" s="177"/>
      <c r="I106" s="166"/>
      <c r="J106" s="166"/>
      <c r="K106" s="120"/>
      <c r="L106" s="120"/>
      <c r="M106" s="120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</row>
    <row r="107" spans="1:24" x14ac:dyDescent="0.2">
      <c r="A107" s="186"/>
      <c r="B107" s="186"/>
      <c r="C107" s="120"/>
      <c r="D107" s="177"/>
      <c r="E107" s="177"/>
      <c r="F107" s="177"/>
      <c r="G107" s="177"/>
      <c r="H107" s="177"/>
      <c r="I107" s="166"/>
      <c r="J107" s="166"/>
      <c r="K107" s="120"/>
      <c r="L107" s="120"/>
      <c r="M107" s="120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</row>
    <row r="108" spans="1:24" x14ac:dyDescent="0.2">
      <c r="A108" s="186"/>
      <c r="B108" s="186"/>
      <c r="C108" s="120"/>
      <c r="D108" s="177"/>
      <c r="E108" s="177"/>
      <c r="F108" s="177"/>
      <c r="G108" s="177"/>
      <c r="H108" s="177"/>
      <c r="I108" s="189"/>
      <c r="J108" s="189"/>
      <c r="K108" s="120"/>
      <c r="L108" s="120"/>
      <c r="M108" s="120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</row>
    <row r="109" spans="1:24" x14ac:dyDescent="0.2">
      <c r="A109" s="186"/>
      <c r="B109" s="186"/>
      <c r="C109" s="120"/>
      <c r="D109" s="177"/>
      <c r="E109" s="177"/>
      <c r="F109" s="177"/>
      <c r="G109" s="177"/>
      <c r="H109" s="177"/>
      <c r="I109" s="189"/>
      <c r="J109" s="189"/>
      <c r="K109" s="120"/>
      <c r="L109" s="120"/>
      <c r="M109" s="120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</row>
    <row r="110" spans="1:24" x14ac:dyDescent="0.2">
      <c r="A110" s="186"/>
      <c r="B110" s="186"/>
      <c r="C110" s="120"/>
      <c r="D110" s="177"/>
      <c r="E110" s="177"/>
      <c r="F110" s="177"/>
      <c r="G110" s="177"/>
      <c r="H110" s="177"/>
      <c r="I110" s="189"/>
      <c r="J110" s="189"/>
      <c r="K110" s="120"/>
      <c r="L110" s="120"/>
      <c r="M110" s="120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</row>
    <row r="111" spans="1:24" x14ac:dyDescent="0.2">
      <c r="A111" s="186"/>
      <c r="B111" s="186"/>
      <c r="C111" s="120"/>
      <c r="D111" s="177"/>
      <c r="E111" s="177"/>
      <c r="F111" s="177"/>
      <c r="G111" s="177"/>
      <c r="H111" s="177"/>
      <c r="I111" s="189"/>
      <c r="J111" s="189"/>
      <c r="K111" s="120"/>
      <c r="L111" s="120"/>
      <c r="M111" s="120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</row>
    <row r="112" spans="1:24" x14ac:dyDescent="0.2">
      <c r="A112" s="186"/>
      <c r="B112" s="186"/>
      <c r="C112" s="120"/>
      <c r="D112" s="177"/>
      <c r="E112" s="177"/>
      <c r="F112" s="177"/>
      <c r="G112" s="177"/>
      <c r="H112" s="177"/>
      <c r="I112" s="189"/>
      <c r="J112" s="189"/>
      <c r="K112" s="120"/>
      <c r="L112" s="120"/>
      <c r="M112" s="120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</row>
    <row r="113" spans="1:24" x14ac:dyDescent="0.2">
      <c r="A113" s="186"/>
      <c r="B113" s="186"/>
      <c r="C113" s="120"/>
      <c r="D113" s="177"/>
      <c r="E113" s="177"/>
      <c r="F113" s="177"/>
      <c r="G113" s="177"/>
      <c r="H113" s="177"/>
      <c r="I113" s="189"/>
      <c r="J113" s="189"/>
      <c r="K113" s="120"/>
      <c r="L113" s="120"/>
      <c r="M113" s="120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</row>
    <row r="114" spans="1:24" x14ac:dyDescent="0.2">
      <c r="A114" s="186"/>
      <c r="B114" s="186"/>
      <c r="C114" s="120"/>
      <c r="D114" s="177"/>
      <c r="E114" s="177"/>
      <c r="F114" s="177"/>
      <c r="G114" s="177"/>
      <c r="H114" s="177"/>
      <c r="I114" s="166"/>
      <c r="J114" s="166"/>
      <c r="K114" s="120"/>
      <c r="L114" s="120"/>
      <c r="M114" s="120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</row>
    <row r="115" spans="1:24" x14ac:dyDescent="0.2">
      <c r="A115" s="186"/>
      <c r="B115" s="186"/>
      <c r="C115" s="120"/>
      <c r="D115" s="177"/>
      <c r="E115" s="177"/>
      <c r="F115" s="177"/>
      <c r="G115" s="177"/>
      <c r="H115" s="177"/>
      <c r="I115" s="189"/>
      <c r="J115" s="189"/>
      <c r="K115" s="120"/>
      <c r="L115" s="120"/>
      <c r="M115" s="120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</row>
    <row r="116" spans="1:24" x14ac:dyDescent="0.2">
      <c r="A116" s="186"/>
      <c r="B116" s="186"/>
      <c r="C116" s="120"/>
      <c r="D116" s="177"/>
      <c r="E116" s="177"/>
      <c r="F116" s="177"/>
      <c r="G116" s="177"/>
      <c r="H116" s="177"/>
      <c r="I116" s="166"/>
      <c r="J116" s="166"/>
      <c r="K116" s="120"/>
      <c r="L116" s="120"/>
      <c r="M116" s="120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</row>
    <row r="117" spans="1:24" x14ac:dyDescent="0.2">
      <c r="A117" s="186"/>
      <c r="B117" s="186"/>
      <c r="C117" s="120"/>
      <c r="D117" s="177"/>
      <c r="E117" s="177"/>
      <c r="F117" s="177"/>
      <c r="G117" s="177"/>
      <c r="H117" s="177"/>
      <c r="I117" s="166"/>
      <c r="J117" s="166"/>
      <c r="K117" s="120"/>
      <c r="L117" s="120"/>
      <c r="M117" s="120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</row>
    <row r="118" spans="1:24" x14ac:dyDescent="0.2">
      <c r="A118" s="186"/>
      <c r="B118" s="186"/>
      <c r="C118" s="120"/>
      <c r="D118" s="177"/>
      <c r="E118" s="177"/>
      <c r="F118" s="177"/>
      <c r="G118" s="177"/>
      <c r="H118" s="177"/>
      <c r="I118" s="166"/>
      <c r="J118" s="166"/>
      <c r="K118" s="120"/>
      <c r="L118" s="120"/>
      <c r="M118" s="120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</row>
    <row r="119" spans="1:24" x14ac:dyDescent="0.2">
      <c r="A119" s="186"/>
      <c r="B119" s="186"/>
      <c r="C119" s="120"/>
      <c r="D119" s="177"/>
      <c r="E119" s="177"/>
      <c r="F119" s="177"/>
      <c r="G119" s="177"/>
      <c r="H119" s="177"/>
      <c r="I119" s="166"/>
      <c r="J119" s="166"/>
      <c r="K119" s="120"/>
      <c r="L119" s="120"/>
      <c r="M119" s="120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</row>
    <row r="120" spans="1:24" x14ac:dyDescent="0.2">
      <c r="A120" s="186"/>
      <c r="B120" s="186"/>
      <c r="C120" s="120"/>
      <c r="D120" s="177"/>
      <c r="E120" s="177"/>
      <c r="F120" s="177"/>
      <c r="G120" s="177"/>
      <c r="H120" s="177"/>
      <c r="I120" s="190"/>
      <c r="J120" s="190"/>
      <c r="K120" s="120"/>
      <c r="L120" s="120"/>
      <c r="M120" s="120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</row>
    <row r="121" spans="1:24" x14ac:dyDescent="0.2">
      <c r="A121" s="186"/>
      <c r="B121" s="186"/>
      <c r="C121" s="120"/>
      <c r="D121" s="177"/>
      <c r="E121" s="177"/>
      <c r="F121" s="177"/>
      <c r="G121" s="177"/>
      <c r="H121" s="177"/>
      <c r="I121" s="190"/>
      <c r="J121" s="190"/>
      <c r="K121" s="120"/>
      <c r="L121" s="120"/>
      <c r="M121" s="120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</row>
    <row r="122" spans="1:24" x14ac:dyDescent="0.2">
      <c r="A122" s="186"/>
      <c r="B122" s="186"/>
      <c r="C122" s="120"/>
      <c r="D122" s="177"/>
      <c r="E122" s="177"/>
      <c r="F122" s="177"/>
      <c r="G122" s="177"/>
      <c r="H122" s="177"/>
      <c r="I122" s="188"/>
      <c r="J122" s="188"/>
      <c r="K122" s="120"/>
      <c r="L122" s="120"/>
      <c r="M122" s="120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</row>
    <row r="123" spans="1:24" x14ac:dyDescent="0.2">
      <c r="A123" s="186"/>
      <c r="B123" s="186"/>
      <c r="C123" s="120"/>
      <c r="D123" s="177"/>
      <c r="E123" s="177"/>
      <c r="F123" s="177"/>
      <c r="G123" s="177"/>
      <c r="H123" s="177"/>
      <c r="I123" s="166"/>
      <c r="J123" s="166"/>
      <c r="K123" s="120"/>
      <c r="L123" s="120"/>
      <c r="M123" s="120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</row>
    <row r="124" spans="1:24" x14ac:dyDescent="0.2">
      <c r="A124" s="186"/>
      <c r="B124" s="186"/>
      <c r="C124" s="120"/>
      <c r="D124" s="177"/>
      <c r="E124" s="177"/>
      <c r="F124" s="177"/>
      <c r="G124" s="177"/>
      <c r="H124" s="177"/>
      <c r="I124" s="191"/>
      <c r="J124" s="191"/>
      <c r="K124" s="120"/>
      <c r="L124" s="120"/>
      <c r="M124" s="120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</row>
    <row r="125" spans="1:24" x14ac:dyDescent="0.2">
      <c r="A125" s="186"/>
      <c r="B125" s="186"/>
      <c r="C125" s="120"/>
      <c r="D125" s="177"/>
      <c r="E125" s="177"/>
      <c r="F125" s="177"/>
      <c r="G125" s="177"/>
      <c r="H125" s="177"/>
      <c r="I125" s="192"/>
      <c r="J125" s="192"/>
      <c r="K125" s="120"/>
      <c r="L125" s="120"/>
      <c r="M125" s="120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</row>
    <row r="126" spans="1:24" x14ac:dyDescent="0.2">
      <c r="A126" s="186"/>
      <c r="B126" s="186"/>
      <c r="C126" s="120"/>
      <c r="D126" s="177"/>
      <c r="E126" s="177"/>
      <c r="F126" s="177"/>
      <c r="G126" s="177"/>
      <c r="H126" s="177"/>
      <c r="I126" s="192"/>
      <c r="J126" s="192"/>
      <c r="K126" s="120"/>
      <c r="L126" s="120"/>
      <c r="M126" s="120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</row>
    <row r="127" spans="1:24" x14ac:dyDescent="0.2">
      <c r="A127" s="186"/>
      <c r="B127" s="186"/>
      <c r="C127" s="120"/>
      <c r="D127" s="177"/>
      <c r="E127" s="177"/>
      <c r="F127" s="177"/>
      <c r="G127" s="177"/>
      <c r="H127" s="177"/>
      <c r="I127" s="192"/>
      <c r="J127" s="192"/>
      <c r="K127" s="120"/>
      <c r="L127" s="120"/>
      <c r="M127" s="120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</row>
    <row r="128" spans="1:24" x14ac:dyDescent="0.2">
      <c r="A128" s="186"/>
      <c r="B128" s="186"/>
      <c r="C128" s="120"/>
      <c r="D128" s="177"/>
      <c r="E128" s="177"/>
      <c r="F128" s="177"/>
      <c r="G128" s="177"/>
      <c r="H128" s="177"/>
      <c r="I128" s="192"/>
      <c r="J128" s="192"/>
      <c r="K128" s="120"/>
      <c r="L128" s="120"/>
      <c r="M128" s="120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</row>
    <row r="129" spans="1:24" x14ac:dyDescent="0.2">
      <c r="A129" s="186"/>
      <c r="B129" s="186"/>
      <c r="C129" s="120"/>
      <c r="D129" s="177"/>
      <c r="E129" s="177"/>
      <c r="F129" s="177"/>
      <c r="G129" s="177"/>
      <c r="H129" s="177"/>
      <c r="I129" s="192"/>
      <c r="J129" s="192"/>
      <c r="K129" s="120"/>
      <c r="L129" s="120"/>
      <c r="M129" s="120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</row>
    <row r="130" spans="1:24" x14ac:dyDescent="0.2">
      <c r="A130" s="186"/>
      <c r="B130" s="186"/>
      <c r="C130" s="120"/>
      <c r="D130" s="177"/>
      <c r="E130" s="177"/>
      <c r="F130" s="177"/>
      <c r="G130" s="177"/>
      <c r="H130" s="177"/>
      <c r="I130" s="192"/>
      <c r="J130" s="192"/>
      <c r="K130" s="120"/>
      <c r="L130" s="120"/>
      <c r="M130" s="120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</row>
    <row r="131" spans="1:24" x14ac:dyDescent="0.2">
      <c r="A131" s="186"/>
      <c r="B131" s="186"/>
      <c r="C131" s="120"/>
      <c r="D131" s="177"/>
      <c r="E131" s="177"/>
      <c r="F131" s="177"/>
      <c r="G131" s="177"/>
      <c r="H131" s="177"/>
      <c r="I131" s="192"/>
      <c r="J131" s="192"/>
      <c r="K131" s="120"/>
      <c r="L131" s="120"/>
      <c r="M131" s="120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</row>
    <row r="132" spans="1:24" x14ac:dyDescent="0.2">
      <c r="A132" s="186"/>
      <c r="B132" s="186"/>
      <c r="C132" s="120"/>
      <c r="D132" s="177"/>
      <c r="E132" s="177"/>
      <c r="F132" s="177"/>
      <c r="G132" s="177"/>
      <c r="H132" s="177"/>
      <c r="I132" s="190"/>
      <c r="J132" s="190"/>
      <c r="K132" s="120"/>
      <c r="L132" s="120"/>
      <c r="M132" s="120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</row>
    <row r="133" spans="1:24" x14ac:dyDescent="0.2">
      <c r="A133" s="186"/>
      <c r="B133" s="186"/>
      <c r="C133" s="120"/>
      <c r="D133" s="177"/>
      <c r="E133" s="177"/>
      <c r="F133" s="177"/>
      <c r="G133" s="177"/>
      <c r="H133" s="177"/>
      <c r="I133" s="190"/>
      <c r="J133" s="190"/>
      <c r="K133" s="120"/>
      <c r="L133" s="120"/>
      <c r="M133" s="120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</row>
    <row r="134" spans="1:24" x14ac:dyDescent="0.2">
      <c r="A134" s="186"/>
      <c r="B134" s="186"/>
      <c r="C134" s="120"/>
      <c r="D134" s="177"/>
      <c r="E134" s="177"/>
      <c r="F134" s="177"/>
      <c r="G134" s="177"/>
      <c r="H134" s="177"/>
      <c r="I134" s="188"/>
      <c r="J134" s="188"/>
      <c r="K134" s="120"/>
      <c r="L134" s="120"/>
      <c r="M134" s="120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</row>
    <row r="135" spans="1:24" x14ac:dyDescent="0.2">
      <c r="A135" s="186"/>
      <c r="B135" s="186"/>
      <c r="C135" s="120"/>
      <c r="D135" s="177"/>
      <c r="E135" s="177"/>
      <c r="F135" s="177"/>
      <c r="G135" s="177"/>
      <c r="H135" s="177"/>
      <c r="I135" s="166"/>
      <c r="J135" s="166"/>
      <c r="K135" s="120"/>
      <c r="L135" s="120"/>
      <c r="M135" s="120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</row>
    <row r="136" spans="1:24" x14ac:dyDescent="0.2">
      <c r="A136" s="186"/>
      <c r="B136" s="186"/>
      <c r="C136" s="120"/>
      <c r="D136" s="177"/>
      <c r="E136" s="177"/>
      <c r="F136" s="177"/>
      <c r="G136" s="177"/>
      <c r="H136" s="177"/>
      <c r="I136" s="191"/>
      <c r="J136" s="191"/>
      <c r="K136" s="120"/>
      <c r="L136" s="120"/>
      <c r="M136" s="120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</row>
    <row r="137" spans="1:24" x14ac:dyDescent="0.2">
      <c r="A137" s="186"/>
      <c r="B137" s="186"/>
      <c r="C137" s="120"/>
      <c r="D137" s="177"/>
      <c r="E137" s="177"/>
      <c r="F137" s="177"/>
      <c r="G137" s="177"/>
      <c r="H137" s="177"/>
      <c r="I137" s="192"/>
      <c r="J137" s="192"/>
      <c r="K137" s="120"/>
      <c r="L137" s="120"/>
      <c r="M137" s="120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</row>
    <row r="138" spans="1:24" x14ac:dyDescent="0.2">
      <c r="A138" s="186"/>
      <c r="B138" s="186"/>
      <c r="C138" s="120"/>
      <c r="D138" s="177"/>
      <c r="E138" s="177"/>
      <c r="F138" s="177"/>
      <c r="G138" s="177"/>
      <c r="H138" s="177"/>
      <c r="I138" s="192"/>
      <c r="J138" s="192"/>
      <c r="K138" s="120"/>
      <c r="L138" s="120"/>
      <c r="M138" s="120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</row>
    <row r="139" spans="1:24" x14ac:dyDescent="0.2">
      <c r="A139" s="186"/>
      <c r="B139" s="186"/>
      <c r="C139" s="120"/>
      <c r="D139" s="177"/>
      <c r="E139" s="177"/>
      <c r="F139" s="177"/>
      <c r="G139" s="177"/>
      <c r="H139" s="177"/>
      <c r="I139" s="192"/>
      <c r="J139" s="192"/>
      <c r="K139" s="120"/>
      <c r="L139" s="120"/>
      <c r="M139" s="120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</row>
    <row r="140" spans="1:24" x14ac:dyDescent="0.2">
      <c r="A140" s="186"/>
      <c r="B140" s="186"/>
      <c r="C140" s="120"/>
      <c r="D140" s="177"/>
      <c r="E140" s="177"/>
      <c r="F140" s="177"/>
      <c r="G140" s="177"/>
      <c r="H140" s="177"/>
      <c r="I140" s="192"/>
      <c r="J140" s="192"/>
      <c r="K140" s="120"/>
      <c r="L140" s="120"/>
      <c r="M140" s="120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</row>
    <row r="141" spans="1:24" x14ac:dyDescent="0.2">
      <c r="A141" s="186"/>
      <c r="B141" s="186"/>
      <c r="C141" s="120"/>
      <c r="D141" s="177"/>
      <c r="E141" s="177"/>
      <c r="F141" s="177"/>
      <c r="G141" s="177"/>
      <c r="H141" s="177"/>
      <c r="I141" s="192"/>
      <c r="J141" s="192"/>
      <c r="K141" s="120"/>
      <c r="L141" s="120"/>
      <c r="M141" s="120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</row>
    <row r="142" spans="1:24" x14ac:dyDescent="0.2">
      <c r="A142" s="186"/>
      <c r="B142" s="186"/>
      <c r="C142" s="120"/>
      <c r="D142" s="177"/>
      <c r="E142" s="177"/>
      <c r="F142" s="177"/>
      <c r="G142" s="177"/>
      <c r="H142" s="177"/>
      <c r="I142" s="192"/>
      <c r="J142" s="192"/>
      <c r="K142" s="120"/>
      <c r="L142" s="120"/>
      <c r="M142" s="120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</row>
    <row r="143" spans="1:24" x14ac:dyDescent="0.2">
      <c r="A143" s="186"/>
      <c r="B143" s="186"/>
      <c r="C143" s="120"/>
      <c r="D143" s="177"/>
      <c r="E143" s="177"/>
      <c r="F143" s="177"/>
      <c r="G143" s="177"/>
      <c r="H143" s="177"/>
      <c r="I143" s="190"/>
      <c r="J143" s="190"/>
      <c r="K143" s="120"/>
      <c r="L143" s="120"/>
      <c r="M143" s="120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</row>
    <row r="144" spans="1:24" x14ac:dyDescent="0.2">
      <c r="A144" s="186"/>
      <c r="B144" s="186"/>
      <c r="C144" s="120"/>
      <c r="D144" s="177"/>
      <c r="E144" s="177"/>
      <c r="F144" s="177"/>
      <c r="G144" s="177"/>
      <c r="H144" s="177"/>
      <c r="I144" s="190"/>
      <c r="J144" s="190"/>
      <c r="K144" s="120"/>
      <c r="L144" s="120"/>
      <c r="M144" s="120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</row>
    <row r="145" spans="1:24" x14ac:dyDescent="0.2">
      <c r="A145" s="186"/>
      <c r="B145" s="186"/>
      <c r="C145" s="120"/>
      <c r="D145" s="177"/>
      <c r="E145" s="177"/>
      <c r="F145" s="177"/>
      <c r="G145" s="177"/>
      <c r="H145" s="177"/>
      <c r="I145" s="146"/>
      <c r="J145" s="146"/>
      <c r="K145" s="120"/>
      <c r="L145" s="120"/>
      <c r="M145" s="120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</row>
    <row r="146" spans="1:24" x14ac:dyDescent="0.2">
      <c r="A146" s="186"/>
      <c r="B146" s="186"/>
      <c r="C146" s="120"/>
      <c r="D146" s="177"/>
      <c r="E146" s="177"/>
      <c r="F146" s="177"/>
      <c r="G146" s="177"/>
      <c r="H146" s="177"/>
      <c r="I146" s="193"/>
      <c r="J146" s="193"/>
      <c r="K146" s="120"/>
      <c r="L146" s="120"/>
      <c r="M146" s="120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</row>
    <row r="147" spans="1:24" x14ac:dyDescent="0.2">
      <c r="A147" s="186"/>
      <c r="B147" s="186"/>
      <c r="C147" s="120"/>
      <c r="D147" s="177"/>
      <c r="E147" s="177"/>
      <c r="F147" s="177"/>
      <c r="G147" s="177"/>
      <c r="H147" s="177"/>
      <c r="I147" s="193"/>
      <c r="J147" s="193"/>
      <c r="K147" s="120"/>
      <c r="L147" s="120"/>
      <c r="M147" s="120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</row>
    <row r="148" spans="1:24" x14ac:dyDescent="0.2">
      <c r="A148" s="186"/>
      <c r="B148" s="186"/>
      <c r="C148" s="120"/>
      <c r="D148" s="177"/>
      <c r="E148" s="177"/>
      <c r="F148" s="177"/>
      <c r="G148" s="177"/>
      <c r="H148" s="177"/>
      <c r="I148" s="194"/>
      <c r="J148" s="194"/>
      <c r="K148" s="120"/>
      <c r="L148" s="120"/>
      <c r="M148" s="120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</row>
    <row r="149" spans="1:24" x14ac:dyDescent="0.2">
      <c r="A149" s="186"/>
      <c r="B149" s="186"/>
      <c r="C149" s="120"/>
      <c r="D149" s="177"/>
      <c r="E149" s="177"/>
      <c r="F149" s="177"/>
      <c r="G149" s="177"/>
      <c r="H149" s="177"/>
      <c r="I149" s="146"/>
      <c r="J149" s="146"/>
      <c r="K149" s="120"/>
      <c r="L149" s="120"/>
      <c r="M149" s="120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</row>
    <row r="150" spans="1:24" x14ac:dyDescent="0.2">
      <c r="A150" s="186"/>
      <c r="B150" s="186"/>
      <c r="C150" s="120"/>
      <c r="D150" s="177"/>
      <c r="E150" s="177"/>
      <c r="F150" s="177"/>
      <c r="G150" s="177"/>
      <c r="H150" s="177"/>
      <c r="I150" s="146"/>
      <c r="J150" s="146"/>
      <c r="K150" s="120"/>
      <c r="L150" s="120"/>
      <c r="M150" s="120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</row>
    <row r="151" spans="1:24" x14ac:dyDescent="0.2">
      <c r="A151" s="186"/>
      <c r="B151" s="186"/>
      <c r="C151" s="120"/>
      <c r="D151" s="177"/>
      <c r="E151" s="177"/>
      <c r="F151" s="177"/>
      <c r="G151" s="177"/>
      <c r="H151" s="177"/>
      <c r="I151" s="146"/>
      <c r="J151" s="146"/>
      <c r="K151" s="120"/>
      <c r="L151" s="120"/>
      <c r="M151" s="120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</row>
    <row r="152" spans="1:24" x14ac:dyDescent="0.2">
      <c r="A152" s="186"/>
      <c r="B152" s="186"/>
      <c r="C152" s="120"/>
      <c r="D152" s="177"/>
      <c r="E152" s="177"/>
      <c r="F152" s="177"/>
      <c r="G152" s="177"/>
      <c r="H152" s="177"/>
      <c r="I152" s="146"/>
      <c r="J152" s="146"/>
      <c r="K152" s="120"/>
      <c r="L152" s="120"/>
      <c r="M152" s="120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</row>
    <row r="153" spans="1:24" x14ac:dyDescent="0.2">
      <c r="A153" s="186"/>
      <c r="B153" s="186"/>
      <c r="C153" s="120"/>
      <c r="D153" s="177"/>
      <c r="E153" s="177"/>
      <c r="F153" s="177"/>
      <c r="G153" s="177"/>
      <c r="H153" s="177"/>
      <c r="I153" s="146"/>
      <c r="J153" s="146"/>
      <c r="K153" s="120"/>
      <c r="L153" s="120"/>
      <c r="M153" s="120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</row>
    <row r="154" spans="1:24" x14ac:dyDescent="0.2">
      <c r="A154" s="186"/>
      <c r="B154" s="186"/>
      <c r="C154" s="120"/>
      <c r="D154" s="177"/>
      <c r="E154" s="177"/>
      <c r="F154" s="177"/>
      <c r="G154" s="177"/>
      <c r="H154" s="177"/>
      <c r="I154" s="146"/>
      <c r="J154" s="146"/>
      <c r="K154" s="120"/>
      <c r="L154" s="120"/>
      <c r="M154" s="120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</row>
    <row r="155" spans="1:24" x14ac:dyDescent="0.2">
      <c r="A155" s="186"/>
      <c r="B155" s="186"/>
      <c r="C155" s="120"/>
      <c r="D155" s="177"/>
      <c r="E155" s="177"/>
      <c r="F155" s="177"/>
      <c r="G155" s="177"/>
      <c r="H155" s="177"/>
      <c r="I155" s="146"/>
      <c r="J155" s="146"/>
      <c r="K155" s="120"/>
      <c r="L155" s="120"/>
      <c r="M155" s="120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</row>
    <row r="156" spans="1:24" x14ac:dyDescent="0.2">
      <c r="A156" s="186"/>
      <c r="B156" s="186"/>
      <c r="C156" s="120"/>
      <c r="D156" s="177"/>
      <c r="E156" s="177"/>
      <c r="F156" s="177"/>
      <c r="G156" s="177"/>
      <c r="H156" s="177"/>
      <c r="I156" s="146"/>
      <c r="J156" s="146"/>
      <c r="K156" s="120"/>
      <c r="L156" s="120"/>
      <c r="M156" s="120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</row>
    <row r="157" spans="1:24" x14ac:dyDescent="0.2">
      <c r="A157" s="186"/>
      <c r="B157" s="186"/>
      <c r="C157" s="120"/>
      <c r="D157" s="177"/>
      <c r="E157" s="177"/>
      <c r="F157" s="177"/>
      <c r="G157" s="177"/>
      <c r="H157" s="177"/>
      <c r="I157" s="146"/>
      <c r="J157" s="146"/>
      <c r="K157" s="120"/>
      <c r="L157" s="120"/>
      <c r="M157" s="120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</row>
    <row r="158" spans="1:24" x14ac:dyDescent="0.2">
      <c r="A158" s="186"/>
      <c r="B158" s="186"/>
      <c r="C158" s="120"/>
      <c r="D158" s="177"/>
      <c r="E158" s="177"/>
      <c r="F158" s="177"/>
      <c r="G158" s="177"/>
      <c r="H158" s="177"/>
      <c r="I158" s="146"/>
      <c r="J158" s="146"/>
      <c r="K158" s="120"/>
      <c r="L158" s="120"/>
      <c r="M158" s="120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</row>
    <row r="159" spans="1:24" x14ac:dyDescent="0.2">
      <c r="A159" s="186"/>
      <c r="B159" s="186"/>
      <c r="C159" s="120"/>
      <c r="D159" s="177"/>
      <c r="E159" s="177"/>
      <c r="F159" s="177"/>
      <c r="G159" s="177"/>
      <c r="H159" s="177"/>
      <c r="I159" s="146"/>
      <c r="J159" s="146"/>
      <c r="K159" s="120"/>
      <c r="L159" s="120"/>
      <c r="M159" s="120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</row>
    <row r="160" spans="1:24" x14ac:dyDescent="0.2">
      <c r="A160" s="186"/>
      <c r="B160" s="186"/>
      <c r="C160" s="120"/>
      <c r="D160" s="177"/>
      <c r="E160" s="177"/>
      <c r="F160" s="177"/>
      <c r="G160" s="177"/>
      <c r="H160" s="177"/>
      <c r="I160" s="146"/>
      <c r="J160" s="146"/>
      <c r="K160" s="120"/>
      <c r="L160" s="120"/>
      <c r="M160" s="120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</row>
    <row r="161" spans="1:24" x14ac:dyDescent="0.2">
      <c r="A161" s="186"/>
      <c r="B161" s="186"/>
      <c r="C161" s="120"/>
      <c r="D161" s="177"/>
      <c r="E161" s="177"/>
      <c r="F161" s="177"/>
      <c r="G161" s="177"/>
      <c r="H161" s="177"/>
      <c r="I161" s="146"/>
      <c r="J161" s="146"/>
      <c r="K161" s="120"/>
      <c r="L161" s="120"/>
      <c r="M161" s="120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</row>
    <row r="162" spans="1:24" x14ac:dyDescent="0.2">
      <c r="A162" s="186"/>
      <c r="B162" s="186"/>
      <c r="C162" s="120"/>
      <c r="D162" s="177"/>
      <c r="E162" s="177"/>
      <c r="F162" s="177"/>
      <c r="G162" s="177"/>
      <c r="H162" s="177"/>
      <c r="I162" s="146"/>
      <c r="J162" s="146"/>
      <c r="K162" s="120"/>
      <c r="L162" s="120"/>
      <c r="M162" s="120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</row>
    <row r="163" spans="1:24" x14ac:dyDescent="0.2">
      <c r="A163" s="186"/>
      <c r="B163" s="186"/>
      <c r="C163" s="120"/>
      <c r="D163" s="177"/>
      <c r="E163" s="177"/>
      <c r="F163" s="177"/>
      <c r="G163" s="177"/>
      <c r="H163" s="177"/>
      <c r="I163" s="146"/>
      <c r="J163" s="146"/>
      <c r="K163" s="120"/>
      <c r="L163" s="120"/>
      <c r="M163" s="120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</row>
    <row r="164" spans="1:24" x14ac:dyDescent="0.2">
      <c r="A164" s="186"/>
      <c r="B164" s="186"/>
      <c r="C164" s="120"/>
      <c r="D164" s="177"/>
      <c r="E164" s="177"/>
      <c r="F164" s="177"/>
      <c r="G164" s="177"/>
      <c r="H164" s="177"/>
      <c r="I164" s="146"/>
      <c r="J164" s="146"/>
      <c r="K164" s="120"/>
      <c r="L164" s="120"/>
      <c r="M164" s="120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</row>
    <row r="165" spans="1:24" x14ac:dyDescent="0.2">
      <c r="A165" s="186"/>
      <c r="B165" s="186"/>
      <c r="C165" s="120"/>
      <c r="D165" s="177"/>
      <c r="E165" s="177"/>
      <c r="F165" s="177"/>
      <c r="G165" s="177"/>
      <c r="H165" s="177"/>
      <c r="I165" s="146"/>
      <c r="J165" s="146"/>
      <c r="K165" s="120"/>
      <c r="L165" s="120"/>
      <c r="M165" s="120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</row>
    <row r="166" spans="1:24" x14ac:dyDescent="0.2">
      <c r="A166" s="186"/>
      <c r="B166" s="186"/>
      <c r="C166" s="120"/>
      <c r="D166" s="177"/>
      <c r="E166" s="177"/>
      <c r="F166" s="177"/>
      <c r="G166" s="177"/>
      <c r="H166" s="177"/>
      <c r="I166" s="146"/>
      <c r="J166" s="146"/>
      <c r="K166" s="120"/>
      <c r="L166" s="120"/>
      <c r="M166" s="120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</row>
    <row r="167" spans="1:24" x14ac:dyDescent="0.2">
      <c r="A167" s="186"/>
      <c r="B167" s="186"/>
      <c r="C167" s="120"/>
      <c r="D167" s="177"/>
      <c r="E167" s="177"/>
      <c r="F167" s="177"/>
      <c r="G167" s="177"/>
      <c r="H167" s="177"/>
      <c r="I167" s="146"/>
      <c r="J167" s="146"/>
      <c r="K167" s="120"/>
      <c r="L167" s="120"/>
      <c r="M167" s="120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</row>
    <row r="168" spans="1:24" x14ac:dyDescent="0.2">
      <c r="A168" s="186"/>
      <c r="B168" s="186"/>
      <c r="C168" s="120"/>
      <c r="D168" s="177"/>
      <c r="E168" s="177"/>
      <c r="F168" s="177"/>
      <c r="G168" s="177"/>
      <c r="H168" s="177"/>
      <c r="I168" s="146"/>
      <c r="J168" s="146"/>
      <c r="K168" s="120"/>
      <c r="L168" s="120"/>
      <c r="M168" s="120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</row>
    <row r="169" spans="1:24" x14ac:dyDescent="0.2">
      <c r="A169" s="186"/>
      <c r="B169" s="186"/>
      <c r="C169" s="120"/>
      <c r="D169" s="177"/>
      <c r="E169" s="177"/>
      <c r="F169" s="177"/>
      <c r="G169" s="177"/>
      <c r="H169" s="177"/>
      <c r="I169" s="146"/>
      <c r="J169" s="146"/>
      <c r="K169" s="120"/>
      <c r="L169" s="120"/>
      <c r="M169" s="120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</row>
    <row r="170" spans="1:24" x14ac:dyDescent="0.2">
      <c r="A170" s="186"/>
      <c r="B170" s="186"/>
      <c r="C170" s="120"/>
      <c r="D170" s="177"/>
      <c r="E170" s="177"/>
      <c r="F170" s="177"/>
      <c r="G170" s="177"/>
      <c r="H170" s="177"/>
      <c r="I170" s="146"/>
      <c r="J170" s="146"/>
      <c r="K170" s="120"/>
      <c r="L170" s="120"/>
      <c r="M170" s="120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</row>
    <row r="171" spans="1:24" x14ac:dyDescent="0.2">
      <c r="A171" s="186"/>
      <c r="B171" s="186"/>
      <c r="C171" s="120"/>
      <c r="D171" s="177"/>
      <c r="E171" s="177"/>
      <c r="F171" s="177"/>
      <c r="G171" s="177"/>
      <c r="H171" s="177"/>
      <c r="I171" s="146"/>
      <c r="J171" s="146"/>
      <c r="K171" s="120"/>
      <c r="L171" s="120"/>
      <c r="M171" s="120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</row>
    <row r="172" spans="1:24" x14ac:dyDescent="0.2">
      <c r="A172" s="186"/>
      <c r="B172" s="186"/>
      <c r="C172" s="120"/>
      <c r="D172" s="177"/>
      <c r="E172" s="177"/>
      <c r="F172" s="177"/>
      <c r="G172" s="177"/>
      <c r="H172" s="177"/>
      <c r="I172" s="146"/>
      <c r="J172" s="146"/>
      <c r="K172" s="120"/>
      <c r="L172" s="120"/>
      <c r="M172" s="120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</row>
    <row r="173" spans="1:24" x14ac:dyDescent="0.2">
      <c r="A173" s="186"/>
      <c r="B173" s="186"/>
      <c r="C173" s="120"/>
      <c r="D173" s="177"/>
      <c r="E173" s="177"/>
      <c r="F173" s="177"/>
      <c r="G173" s="177"/>
      <c r="H173" s="177"/>
      <c r="I173" s="146"/>
      <c r="J173" s="146"/>
      <c r="K173" s="120"/>
      <c r="L173" s="120"/>
      <c r="M173" s="120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</row>
    <row r="174" spans="1:24" x14ac:dyDescent="0.2">
      <c r="A174" s="186"/>
      <c r="B174" s="186"/>
      <c r="C174" s="120"/>
      <c r="D174" s="177"/>
      <c r="E174" s="177"/>
      <c r="F174" s="177"/>
      <c r="G174" s="177"/>
      <c r="H174" s="177"/>
      <c r="I174" s="146"/>
      <c r="J174" s="146"/>
      <c r="K174" s="120"/>
      <c r="L174" s="120"/>
      <c r="M174" s="120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</row>
    <row r="175" spans="1:24" x14ac:dyDescent="0.2">
      <c r="A175" s="186"/>
      <c r="B175" s="186"/>
      <c r="C175" s="120"/>
      <c r="D175" s="177"/>
      <c r="E175" s="177"/>
      <c r="F175" s="177"/>
      <c r="G175" s="177"/>
      <c r="H175" s="177"/>
      <c r="I175" s="195"/>
      <c r="J175" s="195"/>
      <c r="K175" s="120"/>
      <c r="L175" s="120"/>
      <c r="M175" s="120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</row>
    <row r="176" spans="1:24" x14ac:dyDescent="0.2">
      <c r="A176" s="186"/>
      <c r="B176" s="186"/>
      <c r="C176" s="120"/>
      <c r="D176" s="177"/>
      <c r="E176" s="177"/>
      <c r="F176" s="177"/>
      <c r="G176" s="177"/>
      <c r="H176" s="177"/>
      <c r="I176" s="196"/>
      <c r="J176" s="196"/>
      <c r="K176" s="120"/>
      <c r="L176" s="120"/>
      <c r="M176" s="120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</row>
    <row r="177" spans="1:24" x14ac:dyDescent="0.2">
      <c r="A177" s="186"/>
      <c r="B177" s="186"/>
      <c r="C177" s="120"/>
      <c r="D177" s="177"/>
      <c r="E177" s="177"/>
      <c r="F177" s="177"/>
      <c r="G177" s="177"/>
      <c r="H177" s="177"/>
      <c r="I177" s="196"/>
      <c r="J177" s="196"/>
      <c r="K177" s="120"/>
      <c r="L177" s="120"/>
      <c r="M177" s="120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</row>
    <row r="178" spans="1:24" x14ac:dyDescent="0.2">
      <c r="A178" s="186"/>
      <c r="B178" s="186"/>
      <c r="C178" s="120"/>
      <c r="D178" s="177"/>
      <c r="E178" s="177"/>
      <c r="F178" s="177"/>
      <c r="G178" s="177"/>
      <c r="H178" s="177"/>
      <c r="I178" s="196"/>
      <c r="J178" s="196"/>
      <c r="K178" s="120"/>
      <c r="L178" s="120"/>
      <c r="M178" s="120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</row>
    <row r="179" spans="1:24" x14ac:dyDescent="0.2">
      <c r="A179" s="186"/>
      <c r="B179" s="186"/>
      <c r="C179" s="120"/>
      <c r="D179" s="177"/>
      <c r="E179" s="177"/>
      <c r="F179" s="177"/>
      <c r="G179" s="177"/>
      <c r="H179" s="177"/>
      <c r="I179" s="160"/>
      <c r="J179" s="160"/>
      <c r="K179" s="120"/>
      <c r="L179" s="120"/>
      <c r="M179" s="120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</row>
    <row r="180" spans="1:24" x14ac:dyDescent="0.2">
      <c r="A180" s="186"/>
      <c r="B180" s="186"/>
      <c r="C180" s="120"/>
      <c r="D180" s="177"/>
      <c r="E180" s="177"/>
      <c r="F180" s="177"/>
      <c r="G180" s="177"/>
      <c r="H180" s="177"/>
      <c r="I180" s="196"/>
      <c r="J180" s="196"/>
      <c r="K180" s="120"/>
      <c r="L180" s="120"/>
      <c r="M180" s="120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</row>
    <row r="181" spans="1:24" x14ac:dyDescent="0.2">
      <c r="A181" s="186"/>
      <c r="B181" s="186"/>
      <c r="C181" s="120"/>
      <c r="D181" s="177"/>
      <c r="E181" s="177"/>
      <c r="F181" s="177"/>
      <c r="G181" s="177"/>
      <c r="H181" s="177"/>
      <c r="I181" s="193"/>
      <c r="J181" s="193"/>
      <c r="K181" s="120"/>
      <c r="L181" s="120"/>
      <c r="M181" s="120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</row>
    <row r="182" spans="1:24" x14ac:dyDescent="0.2">
      <c r="A182" s="186"/>
      <c r="B182" s="186"/>
      <c r="C182" s="120"/>
      <c r="D182" s="177"/>
      <c r="E182" s="177"/>
      <c r="F182" s="177"/>
      <c r="G182" s="177"/>
      <c r="H182" s="177"/>
      <c r="I182" s="193"/>
      <c r="J182" s="193"/>
      <c r="K182" s="120"/>
      <c r="L182" s="120"/>
      <c r="M182" s="120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</row>
    <row r="183" spans="1:24" x14ac:dyDescent="0.2">
      <c r="A183" s="186"/>
      <c r="B183" s="186"/>
      <c r="C183" s="120"/>
      <c r="D183" s="177"/>
      <c r="E183" s="177"/>
      <c r="F183" s="177"/>
      <c r="G183" s="177"/>
      <c r="H183" s="177"/>
      <c r="I183" s="197"/>
      <c r="J183" s="197"/>
      <c r="K183" s="120"/>
      <c r="L183" s="120"/>
      <c r="M183" s="120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</row>
    <row r="184" spans="1:24" x14ac:dyDescent="0.2">
      <c r="A184" s="186"/>
      <c r="B184" s="186"/>
      <c r="C184" s="120"/>
      <c r="D184" s="177"/>
      <c r="E184" s="177"/>
      <c r="F184" s="177"/>
      <c r="G184" s="177"/>
      <c r="H184" s="177"/>
      <c r="I184" s="193"/>
      <c r="J184" s="193"/>
      <c r="K184" s="120"/>
      <c r="L184" s="120"/>
      <c r="M184" s="120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</row>
    <row r="185" spans="1:24" x14ac:dyDescent="0.2">
      <c r="A185" s="186"/>
      <c r="B185" s="186"/>
      <c r="C185" s="120"/>
      <c r="D185" s="177"/>
      <c r="E185" s="177"/>
      <c r="F185" s="177"/>
      <c r="G185" s="177"/>
      <c r="H185" s="177"/>
      <c r="I185" s="194"/>
      <c r="J185" s="194"/>
      <c r="K185" s="120"/>
      <c r="L185" s="120"/>
      <c r="M185" s="120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</row>
    <row r="186" spans="1:24" x14ac:dyDescent="0.2">
      <c r="A186" s="186"/>
      <c r="B186" s="186"/>
      <c r="C186" s="120"/>
      <c r="D186" s="177"/>
      <c r="E186" s="177"/>
      <c r="F186" s="177"/>
      <c r="G186" s="177"/>
      <c r="H186" s="177"/>
      <c r="I186" s="198"/>
      <c r="J186" s="198"/>
      <c r="K186" s="120"/>
      <c r="L186" s="120"/>
      <c r="M186" s="120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</row>
    <row r="187" spans="1:24" x14ac:dyDescent="0.2">
      <c r="A187" s="186"/>
      <c r="B187" s="186"/>
      <c r="C187" s="120"/>
      <c r="D187" s="177"/>
      <c r="E187" s="177"/>
      <c r="F187" s="177"/>
      <c r="G187" s="177"/>
      <c r="H187" s="177"/>
      <c r="I187" s="198"/>
      <c r="J187" s="198"/>
      <c r="K187" s="120"/>
      <c r="L187" s="120"/>
      <c r="M187" s="120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</row>
    <row r="188" spans="1:24" x14ac:dyDescent="0.2">
      <c r="A188" s="186"/>
      <c r="B188" s="186"/>
      <c r="C188" s="120"/>
      <c r="D188" s="177"/>
      <c r="E188" s="177"/>
      <c r="F188" s="177"/>
      <c r="G188" s="177"/>
      <c r="H188" s="177"/>
      <c r="I188" s="198"/>
      <c r="J188" s="198"/>
      <c r="K188" s="120"/>
      <c r="L188" s="120"/>
      <c r="M188" s="120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</row>
    <row r="189" spans="1:24" x14ac:dyDescent="0.2">
      <c r="A189" s="186"/>
      <c r="B189" s="186"/>
      <c r="C189" s="120"/>
      <c r="D189" s="177"/>
      <c r="E189" s="177"/>
      <c r="F189" s="177"/>
      <c r="G189" s="177"/>
      <c r="H189" s="177"/>
      <c r="I189" s="198"/>
      <c r="J189" s="198"/>
      <c r="K189" s="120"/>
      <c r="L189" s="120"/>
      <c r="M189" s="120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</row>
    <row r="190" spans="1:24" x14ac:dyDescent="0.2">
      <c r="A190" s="186"/>
      <c r="B190" s="186"/>
      <c r="C190" s="120"/>
      <c r="D190" s="177"/>
      <c r="E190" s="177"/>
      <c r="F190" s="177"/>
      <c r="G190" s="177"/>
      <c r="H190" s="177"/>
      <c r="I190" s="146"/>
      <c r="J190" s="146"/>
      <c r="K190" s="120"/>
      <c r="L190" s="120"/>
      <c r="M190" s="120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</row>
    <row r="191" spans="1:24" x14ac:dyDescent="0.2">
      <c r="A191" s="186"/>
      <c r="B191" s="186"/>
      <c r="C191" s="120"/>
      <c r="D191" s="177"/>
      <c r="E191" s="177"/>
      <c r="F191" s="177"/>
      <c r="G191" s="177"/>
      <c r="H191" s="177"/>
      <c r="I191" s="146"/>
      <c r="J191" s="146"/>
      <c r="K191" s="120"/>
      <c r="L191" s="120"/>
      <c r="M191" s="120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</row>
    <row r="192" spans="1:24" x14ac:dyDescent="0.2">
      <c r="A192" s="186"/>
      <c r="B192" s="186"/>
      <c r="C192" s="120"/>
      <c r="D192" s="177"/>
      <c r="E192" s="177"/>
      <c r="F192" s="177"/>
      <c r="G192" s="177"/>
      <c r="H192" s="177"/>
      <c r="I192" s="146"/>
      <c r="J192" s="146"/>
      <c r="K192" s="120"/>
      <c r="L192" s="120"/>
      <c r="M192" s="120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</row>
    <row r="193" spans="1:24" x14ac:dyDescent="0.2">
      <c r="A193" s="186"/>
      <c r="B193" s="186"/>
      <c r="C193" s="120"/>
      <c r="D193" s="177"/>
      <c r="E193" s="177"/>
      <c r="F193" s="177"/>
      <c r="G193" s="177"/>
      <c r="H193" s="177"/>
      <c r="I193" s="146"/>
      <c r="J193" s="146"/>
      <c r="K193" s="120"/>
      <c r="L193" s="120"/>
      <c r="M193" s="120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</row>
    <row r="194" spans="1:24" x14ac:dyDescent="0.2">
      <c r="A194" s="186"/>
      <c r="B194" s="186"/>
      <c r="C194" s="120"/>
      <c r="D194" s="177"/>
      <c r="E194" s="177"/>
      <c r="F194" s="177"/>
      <c r="G194" s="177"/>
      <c r="H194" s="177"/>
      <c r="I194" s="146"/>
      <c r="J194" s="146"/>
      <c r="K194" s="120"/>
      <c r="L194" s="120"/>
      <c r="M194" s="120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</row>
    <row r="195" spans="1:24" x14ac:dyDescent="0.2">
      <c r="A195" s="186"/>
      <c r="B195" s="186"/>
      <c r="C195" s="120"/>
      <c r="D195" s="177"/>
      <c r="E195" s="177"/>
      <c r="F195" s="177"/>
      <c r="G195" s="177"/>
      <c r="H195" s="177"/>
      <c r="I195" s="146"/>
      <c r="J195" s="146"/>
      <c r="K195" s="120"/>
      <c r="L195" s="120"/>
      <c r="M195" s="120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</row>
    <row r="196" spans="1:24" x14ac:dyDescent="0.2">
      <c r="A196" s="186"/>
      <c r="B196" s="186"/>
      <c r="C196" s="120"/>
      <c r="D196" s="177"/>
      <c r="E196" s="177"/>
      <c r="F196" s="177"/>
      <c r="G196" s="177"/>
      <c r="H196" s="177"/>
      <c r="I196" s="146"/>
      <c r="J196" s="146"/>
      <c r="K196" s="120"/>
      <c r="L196" s="120"/>
      <c r="M196" s="120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</row>
    <row r="197" spans="1:24" x14ac:dyDescent="0.2">
      <c r="A197" s="186"/>
      <c r="B197" s="186"/>
      <c r="C197" s="120"/>
      <c r="D197" s="177"/>
      <c r="E197" s="177"/>
      <c r="F197" s="177"/>
      <c r="G197" s="177"/>
      <c r="H197" s="177"/>
      <c r="I197" s="146"/>
      <c r="J197" s="146"/>
      <c r="K197" s="120"/>
      <c r="L197" s="120"/>
      <c r="M197" s="120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</row>
    <row r="198" spans="1:24" x14ac:dyDescent="0.2">
      <c r="A198" s="186"/>
      <c r="B198" s="186"/>
      <c r="C198" s="120"/>
      <c r="D198" s="177"/>
      <c r="E198" s="177"/>
      <c r="F198" s="177"/>
      <c r="G198" s="177"/>
      <c r="H198" s="177"/>
      <c r="I198" s="146"/>
      <c r="J198" s="146"/>
      <c r="K198" s="120"/>
      <c r="L198" s="120"/>
      <c r="M198" s="120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</row>
    <row r="199" spans="1:24" x14ac:dyDescent="0.2">
      <c r="A199" s="186"/>
      <c r="B199" s="186"/>
      <c r="C199" s="120"/>
      <c r="D199" s="177"/>
      <c r="E199" s="177"/>
      <c r="F199" s="177"/>
      <c r="G199" s="177"/>
      <c r="H199" s="177"/>
      <c r="I199" s="146"/>
      <c r="J199" s="146"/>
      <c r="K199" s="120"/>
      <c r="L199" s="120"/>
      <c r="M199" s="120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</row>
    <row r="200" spans="1:24" x14ac:dyDescent="0.2">
      <c r="A200" s="186"/>
      <c r="B200" s="186"/>
      <c r="C200" s="120"/>
      <c r="D200" s="177"/>
      <c r="E200" s="177"/>
      <c r="F200" s="177"/>
      <c r="G200" s="177"/>
      <c r="H200" s="177"/>
      <c r="I200" s="146"/>
      <c r="J200" s="146"/>
      <c r="K200" s="120"/>
      <c r="L200" s="120"/>
      <c r="M200" s="120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</row>
    <row r="201" spans="1:24" x14ac:dyDescent="0.2">
      <c r="A201" s="186"/>
      <c r="B201" s="186"/>
      <c r="C201" s="120"/>
      <c r="D201" s="177"/>
      <c r="E201" s="177"/>
      <c r="F201" s="177"/>
      <c r="G201" s="177"/>
      <c r="H201" s="177"/>
      <c r="I201" s="146"/>
      <c r="J201" s="146"/>
      <c r="K201" s="120"/>
      <c r="L201" s="120"/>
      <c r="M201" s="120"/>
      <c r="N201" s="177"/>
      <c r="O201" s="177"/>
    </row>
    <row r="202" spans="1:24" x14ac:dyDescent="0.2">
      <c r="A202" s="186"/>
      <c r="B202" s="186"/>
      <c r="C202" s="120"/>
      <c r="D202" s="177"/>
      <c r="E202" s="177"/>
      <c r="F202" s="177"/>
      <c r="G202" s="177"/>
      <c r="H202" s="177"/>
      <c r="I202" s="146"/>
      <c r="J202" s="146"/>
      <c r="K202" s="120"/>
      <c r="L202" s="120"/>
      <c r="M202" s="120"/>
      <c r="N202" s="177"/>
      <c r="O202" s="177"/>
    </row>
    <row r="203" spans="1:24" x14ac:dyDescent="0.2">
      <c r="A203" s="186"/>
      <c r="B203" s="186"/>
      <c r="C203" s="120"/>
      <c r="D203" s="177"/>
      <c r="E203" s="177"/>
      <c r="F203" s="177"/>
      <c r="G203" s="177"/>
      <c r="H203" s="177"/>
      <c r="I203" s="146"/>
      <c r="J203" s="146"/>
      <c r="K203" s="120"/>
      <c r="L203" s="120"/>
      <c r="M203" s="120"/>
      <c r="N203" s="177"/>
      <c r="O203" s="177"/>
    </row>
    <row r="204" spans="1:24" x14ac:dyDescent="0.2">
      <c r="A204" s="186"/>
      <c r="B204" s="186"/>
      <c r="C204" s="120"/>
      <c r="D204" s="177"/>
      <c r="E204" s="177"/>
      <c r="F204" s="177"/>
      <c r="G204" s="177"/>
      <c r="H204" s="177"/>
      <c r="I204" s="146"/>
      <c r="J204" s="146"/>
      <c r="K204" s="120"/>
      <c r="L204" s="120"/>
      <c r="M204" s="120"/>
      <c r="N204" s="177"/>
      <c r="O204" s="177"/>
    </row>
    <row r="205" spans="1:24" x14ac:dyDescent="0.2">
      <c r="A205" s="186"/>
      <c r="B205" s="186"/>
      <c r="C205" s="120"/>
      <c r="D205" s="177"/>
      <c r="E205" s="177"/>
      <c r="F205" s="177"/>
      <c r="G205" s="177"/>
      <c r="H205" s="177"/>
      <c r="I205" s="146"/>
      <c r="J205" s="146"/>
      <c r="K205" s="120"/>
      <c r="L205" s="120"/>
      <c r="M205" s="120"/>
      <c r="N205" s="177"/>
      <c r="O205" s="177"/>
    </row>
    <row r="206" spans="1:24" x14ac:dyDescent="0.2">
      <c r="A206" s="186"/>
      <c r="B206" s="186"/>
      <c r="C206" s="120"/>
      <c r="D206" s="177"/>
      <c r="E206" s="177"/>
      <c r="F206" s="177"/>
      <c r="G206" s="177"/>
      <c r="H206" s="177"/>
      <c r="I206" s="146"/>
      <c r="J206" s="146"/>
      <c r="K206" s="120"/>
      <c r="L206" s="120"/>
      <c r="M206" s="120"/>
      <c r="N206" s="177"/>
      <c r="O206" s="177"/>
    </row>
    <row r="207" spans="1:24" x14ac:dyDescent="0.2">
      <c r="A207" s="186"/>
      <c r="B207" s="186"/>
      <c r="C207" s="120"/>
      <c r="D207" s="177"/>
      <c r="E207" s="177"/>
      <c r="F207" s="177"/>
      <c r="G207" s="177"/>
      <c r="H207" s="177"/>
      <c r="I207" s="146"/>
      <c r="J207" s="146"/>
      <c r="K207" s="120"/>
      <c r="L207" s="120"/>
      <c r="M207" s="120"/>
      <c r="N207" s="177"/>
      <c r="O207" s="177"/>
    </row>
    <row r="208" spans="1:24" x14ac:dyDescent="0.2">
      <c r="A208" s="186"/>
      <c r="B208" s="186"/>
      <c r="C208" s="120"/>
      <c r="D208" s="177"/>
      <c r="E208" s="177"/>
      <c r="F208" s="177"/>
      <c r="G208" s="177"/>
      <c r="H208" s="177"/>
      <c r="I208" s="146"/>
      <c r="J208" s="146"/>
      <c r="K208" s="120"/>
      <c r="L208" s="120"/>
      <c r="M208" s="120"/>
      <c r="N208" s="177"/>
      <c r="O208" s="177"/>
    </row>
    <row r="209" spans="1:15" x14ac:dyDescent="0.2">
      <c r="A209" s="186"/>
      <c r="B209" s="186"/>
      <c r="C209" s="120"/>
      <c r="D209" s="177"/>
      <c r="E209" s="177"/>
      <c r="F209" s="177"/>
      <c r="G209" s="177"/>
      <c r="H209" s="177"/>
      <c r="I209" s="146"/>
      <c r="J209" s="146"/>
      <c r="K209" s="120"/>
      <c r="L209" s="120"/>
      <c r="M209" s="120"/>
      <c r="N209" s="177"/>
      <c r="O209" s="177"/>
    </row>
    <row r="210" spans="1:15" x14ac:dyDescent="0.2">
      <c r="A210" s="186"/>
      <c r="B210" s="186"/>
      <c r="C210" s="120"/>
      <c r="D210" s="177"/>
      <c r="E210" s="177"/>
      <c r="F210" s="177"/>
      <c r="G210" s="177"/>
      <c r="H210" s="177"/>
      <c r="I210" s="146"/>
      <c r="J210" s="146"/>
      <c r="K210" s="120"/>
      <c r="L210" s="120"/>
      <c r="M210" s="120"/>
      <c r="N210" s="177"/>
      <c r="O210" s="177"/>
    </row>
    <row r="211" spans="1:15" x14ac:dyDescent="0.2">
      <c r="A211" s="186"/>
      <c r="B211" s="186"/>
      <c r="C211" s="120"/>
      <c r="D211" s="177"/>
      <c r="E211" s="177"/>
      <c r="F211" s="177"/>
      <c r="G211" s="177"/>
      <c r="H211" s="177"/>
      <c r="I211" s="146"/>
      <c r="J211" s="146"/>
      <c r="K211" s="120"/>
      <c r="L211" s="120"/>
      <c r="M211" s="120"/>
      <c r="N211" s="177"/>
      <c r="O211" s="177"/>
    </row>
    <row r="212" spans="1:15" x14ac:dyDescent="0.2">
      <c r="A212" s="186"/>
      <c r="B212" s="186"/>
      <c r="C212" s="120"/>
      <c r="D212" s="177"/>
      <c r="E212" s="177"/>
      <c r="F212" s="177"/>
      <c r="G212" s="177"/>
      <c r="H212" s="177"/>
      <c r="I212" s="146"/>
      <c r="J212" s="146"/>
      <c r="K212" s="120"/>
      <c r="L212" s="120"/>
      <c r="M212" s="120"/>
      <c r="N212" s="177"/>
      <c r="O212" s="177"/>
    </row>
    <row r="213" spans="1:15" x14ac:dyDescent="0.2">
      <c r="A213" s="186"/>
      <c r="B213" s="186"/>
      <c r="C213" s="120"/>
      <c r="D213" s="177"/>
      <c r="E213" s="177"/>
      <c r="F213" s="177"/>
      <c r="G213" s="177"/>
      <c r="H213" s="177"/>
      <c r="I213" s="196"/>
      <c r="J213" s="196"/>
      <c r="K213" s="120"/>
      <c r="L213" s="120"/>
      <c r="M213" s="120"/>
      <c r="N213" s="177"/>
      <c r="O213" s="177"/>
    </row>
    <row r="214" spans="1:15" x14ac:dyDescent="0.2">
      <c r="A214" s="186"/>
      <c r="B214" s="186"/>
      <c r="C214" s="120"/>
      <c r="D214" s="177"/>
      <c r="E214" s="177"/>
      <c r="F214" s="177"/>
      <c r="G214" s="177"/>
      <c r="H214" s="177"/>
      <c r="I214" s="196"/>
      <c r="J214" s="196"/>
      <c r="K214" s="120"/>
      <c r="L214" s="120"/>
      <c r="M214" s="120"/>
      <c r="N214" s="177"/>
      <c r="O214" s="177"/>
    </row>
    <row r="215" spans="1:15" x14ac:dyDescent="0.2">
      <c r="A215" s="186"/>
      <c r="B215" s="186"/>
      <c r="C215" s="120"/>
      <c r="D215" s="177"/>
      <c r="E215" s="177"/>
      <c r="F215" s="177"/>
      <c r="G215" s="177"/>
      <c r="H215" s="177"/>
      <c r="I215" s="193"/>
      <c r="J215" s="193"/>
      <c r="K215" s="120"/>
      <c r="L215" s="120"/>
      <c r="M215" s="120"/>
      <c r="N215" s="177"/>
      <c r="O215" s="177"/>
    </row>
    <row r="216" spans="1:15" x14ac:dyDescent="0.2">
      <c r="A216" s="186"/>
      <c r="B216" s="186"/>
      <c r="C216" s="120"/>
      <c r="D216" s="177"/>
      <c r="E216" s="177"/>
      <c r="F216" s="177"/>
      <c r="G216" s="177"/>
      <c r="H216" s="177"/>
      <c r="I216" s="193"/>
      <c r="J216" s="193"/>
      <c r="K216" s="120"/>
      <c r="L216" s="120"/>
      <c r="M216" s="120"/>
      <c r="N216" s="177"/>
      <c r="O216" s="177"/>
    </row>
    <row r="217" spans="1:15" x14ac:dyDescent="0.2">
      <c r="A217" s="186"/>
      <c r="B217" s="186"/>
      <c r="C217" s="120"/>
      <c r="D217" s="177"/>
      <c r="E217" s="177"/>
      <c r="F217" s="177"/>
      <c r="G217" s="177"/>
      <c r="H217" s="177"/>
      <c r="I217" s="197"/>
      <c r="J217" s="197"/>
      <c r="K217" s="120"/>
      <c r="L217" s="120"/>
      <c r="M217" s="120"/>
      <c r="N217" s="177"/>
      <c r="O217" s="177"/>
    </row>
    <row r="218" spans="1:15" x14ac:dyDescent="0.2">
      <c r="A218" s="186"/>
      <c r="B218" s="186"/>
      <c r="C218" s="120"/>
      <c r="D218" s="177"/>
      <c r="E218" s="177"/>
      <c r="F218" s="177"/>
      <c r="G218" s="177"/>
      <c r="H218" s="177"/>
      <c r="I218" s="193"/>
      <c r="J218" s="193"/>
      <c r="K218" s="120"/>
      <c r="L218" s="120"/>
      <c r="M218" s="120"/>
      <c r="N218" s="177"/>
      <c r="O218" s="177"/>
    </row>
    <row r="219" spans="1:15" x14ac:dyDescent="0.2">
      <c r="A219" s="186"/>
      <c r="B219" s="186"/>
      <c r="C219" s="120"/>
      <c r="D219" s="177"/>
      <c r="E219" s="177"/>
      <c r="F219" s="177"/>
      <c r="G219" s="177"/>
      <c r="H219" s="177"/>
      <c r="I219" s="194"/>
      <c r="J219" s="194"/>
      <c r="K219" s="120"/>
      <c r="L219" s="120"/>
      <c r="M219" s="120"/>
      <c r="N219" s="177"/>
      <c r="O219" s="177"/>
    </row>
    <row r="220" spans="1:15" x14ac:dyDescent="0.2">
      <c r="A220" s="186"/>
      <c r="B220" s="186"/>
      <c r="C220" s="120"/>
      <c r="D220" s="177"/>
      <c r="E220" s="177"/>
      <c r="F220" s="177"/>
      <c r="G220" s="177"/>
      <c r="H220" s="177"/>
      <c r="I220" s="198"/>
      <c r="J220" s="198"/>
      <c r="K220" s="120"/>
      <c r="L220" s="120"/>
      <c r="M220" s="120"/>
      <c r="N220" s="177"/>
      <c r="O220" s="177"/>
    </row>
    <row r="221" spans="1:15" x14ac:dyDescent="0.2">
      <c r="A221" s="186"/>
      <c r="B221" s="186"/>
      <c r="C221" s="120"/>
      <c r="D221" s="177"/>
      <c r="E221" s="177"/>
      <c r="F221" s="177"/>
      <c r="G221" s="177"/>
      <c r="H221" s="177"/>
      <c r="I221" s="198"/>
      <c r="J221" s="198"/>
      <c r="K221" s="120"/>
      <c r="L221" s="120"/>
      <c r="M221" s="120"/>
      <c r="N221" s="177"/>
      <c r="O221" s="177"/>
    </row>
    <row r="222" spans="1:15" x14ac:dyDescent="0.2">
      <c r="I222" s="48"/>
      <c r="J222" s="118"/>
    </row>
    <row r="223" spans="1:15" x14ac:dyDescent="0.2">
      <c r="I223" s="48"/>
      <c r="J223" s="118"/>
    </row>
    <row r="224" spans="1:15" x14ac:dyDescent="0.2">
      <c r="I224" s="27"/>
      <c r="J224" s="108"/>
    </row>
    <row r="225" spans="9:10" x14ac:dyDescent="0.2">
      <c r="I225" s="27"/>
      <c r="J225" s="108"/>
    </row>
    <row r="226" spans="9:10" x14ac:dyDescent="0.2">
      <c r="I226" s="27"/>
      <c r="J226" s="108"/>
    </row>
    <row r="227" spans="9:10" x14ac:dyDescent="0.2">
      <c r="I227" s="27"/>
      <c r="J227" s="108"/>
    </row>
    <row r="228" spans="9:10" x14ac:dyDescent="0.2">
      <c r="I228" s="27"/>
      <c r="J228" s="108"/>
    </row>
    <row r="229" spans="9:10" x14ac:dyDescent="0.2">
      <c r="I229" s="27"/>
      <c r="J229" s="108"/>
    </row>
    <row r="230" spans="9:10" x14ac:dyDescent="0.2">
      <c r="I230" s="27"/>
      <c r="J230" s="108"/>
    </row>
    <row r="231" spans="9:10" x14ac:dyDescent="0.2">
      <c r="I231" s="27"/>
      <c r="J231" s="108"/>
    </row>
    <row r="232" spans="9:10" x14ac:dyDescent="0.2">
      <c r="I232" s="27"/>
      <c r="J232" s="108"/>
    </row>
    <row r="233" spans="9:10" x14ac:dyDescent="0.2">
      <c r="I233" s="27"/>
      <c r="J233" s="108"/>
    </row>
    <row r="234" spans="9:10" x14ac:dyDescent="0.2">
      <c r="I234" s="27"/>
      <c r="J234" s="108"/>
    </row>
    <row r="235" spans="9:10" x14ac:dyDescent="0.2">
      <c r="I235" s="27"/>
      <c r="J235" s="108"/>
    </row>
    <row r="236" spans="9:10" x14ac:dyDescent="0.2">
      <c r="I236" s="27"/>
      <c r="J236" s="108"/>
    </row>
    <row r="237" spans="9:10" x14ac:dyDescent="0.2">
      <c r="I237" s="27"/>
      <c r="J237" s="108"/>
    </row>
    <row r="238" spans="9:10" x14ac:dyDescent="0.2">
      <c r="I238" s="27"/>
      <c r="J238" s="108"/>
    </row>
    <row r="239" spans="9:10" x14ac:dyDescent="0.2">
      <c r="I239" s="27"/>
      <c r="J239" s="108"/>
    </row>
    <row r="240" spans="9:10" x14ac:dyDescent="0.2">
      <c r="I240" s="27"/>
      <c r="J240" s="108"/>
    </row>
    <row r="241" spans="9:10" x14ac:dyDescent="0.2">
      <c r="I241" s="27"/>
      <c r="J241" s="108"/>
    </row>
    <row r="242" spans="9:10" x14ac:dyDescent="0.2">
      <c r="I242" s="27"/>
      <c r="J242" s="108"/>
    </row>
    <row r="243" spans="9:10" x14ac:dyDescent="0.2">
      <c r="I243" s="27"/>
      <c r="J243" s="108"/>
    </row>
    <row r="244" spans="9:10" x14ac:dyDescent="0.2">
      <c r="I244" s="27"/>
      <c r="J244" s="108"/>
    </row>
    <row r="245" spans="9:10" x14ac:dyDescent="0.2">
      <c r="I245" s="27"/>
      <c r="J245" s="108"/>
    </row>
    <row r="246" spans="9:10" x14ac:dyDescent="0.2">
      <c r="I246" s="27"/>
      <c r="J246" s="108"/>
    </row>
    <row r="248" spans="9:10" x14ac:dyDescent="0.2">
      <c r="I248" s="44"/>
      <c r="J248" s="112"/>
    </row>
    <row r="249" spans="9:10" x14ac:dyDescent="0.2">
      <c r="I249" s="44"/>
      <c r="J249" s="112"/>
    </row>
    <row r="250" spans="9:10" x14ac:dyDescent="0.2">
      <c r="I250" s="47"/>
      <c r="J250" s="117"/>
    </row>
    <row r="251" spans="9:10" x14ac:dyDescent="0.2">
      <c r="I251" s="44"/>
      <c r="J251" s="112"/>
    </row>
    <row r="252" spans="9:10" x14ac:dyDescent="0.2">
      <c r="I252" s="45"/>
      <c r="J252" s="115"/>
    </row>
    <row r="253" spans="9:10" x14ac:dyDescent="0.2">
      <c r="I253" s="48"/>
      <c r="J253" s="118"/>
    </row>
    <row r="254" spans="9:10" x14ac:dyDescent="0.2">
      <c r="I254" s="48"/>
      <c r="J254" s="118"/>
    </row>
    <row r="255" spans="9:10" x14ac:dyDescent="0.2">
      <c r="I255" s="48"/>
      <c r="J255" s="118"/>
    </row>
    <row r="256" spans="9:10" x14ac:dyDescent="0.2">
      <c r="I256" s="48"/>
      <c r="J256" s="118"/>
    </row>
    <row r="257" spans="9:10" x14ac:dyDescent="0.2">
      <c r="I257" s="27"/>
      <c r="J257" s="108"/>
    </row>
    <row r="258" spans="9:10" x14ac:dyDescent="0.2">
      <c r="I258" s="27"/>
      <c r="J258" s="108"/>
    </row>
    <row r="259" spans="9:10" x14ac:dyDescent="0.2">
      <c r="I259" s="27"/>
      <c r="J259" s="108"/>
    </row>
    <row r="260" spans="9:10" x14ac:dyDescent="0.2">
      <c r="I260" s="27"/>
      <c r="J260" s="108"/>
    </row>
    <row r="261" spans="9:10" x14ac:dyDescent="0.2">
      <c r="I261" s="27"/>
      <c r="J261" s="108"/>
    </row>
    <row r="262" spans="9:10" x14ac:dyDescent="0.2">
      <c r="I262" s="27"/>
      <c r="J262" s="108"/>
    </row>
    <row r="263" spans="9:10" x14ac:dyDescent="0.2">
      <c r="I263" s="27"/>
      <c r="J263" s="108"/>
    </row>
    <row r="264" spans="9:10" x14ac:dyDescent="0.2">
      <c r="I264" s="27"/>
      <c r="J264" s="108"/>
    </row>
    <row r="265" spans="9:10" x14ac:dyDescent="0.2">
      <c r="I265" s="27"/>
      <c r="J265" s="108"/>
    </row>
    <row r="266" spans="9:10" x14ac:dyDescent="0.2">
      <c r="I266" s="27"/>
      <c r="J266" s="108"/>
    </row>
    <row r="267" spans="9:10" x14ac:dyDescent="0.2">
      <c r="I267" s="27"/>
      <c r="J267" s="108"/>
    </row>
    <row r="268" spans="9:10" x14ac:dyDescent="0.2">
      <c r="I268" s="27"/>
      <c r="J268" s="108"/>
    </row>
    <row r="269" spans="9:10" x14ac:dyDescent="0.2">
      <c r="I269" s="27"/>
      <c r="J269" s="108"/>
    </row>
    <row r="270" spans="9:10" x14ac:dyDescent="0.2">
      <c r="I270" s="27"/>
      <c r="J270" s="108"/>
    </row>
    <row r="271" spans="9:10" x14ac:dyDescent="0.2">
      <c r="I271" s="27"/>
      <c r="J271" s="108"/>
    </row>
    <row r="272" spans="9:10" x14ac:dyDescent="0.2">
      <c r="I272" s="27"/>
      <c r="J272" s="108"/>
    </row>
    <row r="273" spans="9:10" x14ac:dyDescent="0.2">
      <c r="I273" s="27"/>
      <c r="J273" s="108"/>
    </row>
    <row r="274" spans="9:10" x14ac:dyDescent="0.2">
      <c r="I274" s="27"/>
      <c r="J274" s="108"/>
    </row>
    <row r="275" spans="9:10" x14ac:dyDescent="0.2">
      <c r="I275" s="27"/>
      <c r="J275" s="108"/>
    </row>
    <row r="276" spans="9:10" x14ac:dyDescent="0.2">
      <c r="I276" s="27"/>
      <c r="J276" s="108"/>
    </row>
    <row r="277" spans="9:10" x14ac:dyDescent="0.2">
      <c r="I277" s="27"/>
      <c r="J277" s="108"/>
    </row>
    <row r="278" spans="9:10" x14ac:dyDescent="0.2">
      <c r="I278" s="27"/>
      <c r="J278" s="108"/>
    </row>
    <row r="279" spans="9:10" x14ac:dyDescent="0.2">
      <c r="I279" s="27"/>
      <c r="J279" s="108"/>
    </row>
    <row r="281" spans="9:10" x14ac:dyDescent="0.2">
      <c r="I281" s="27"/>
      <c r="J281" s="108"/>
    </row>
    <row r="282" spans="9:10" x14ac:dyDescent="0.2">
      <c r="I282" s="27"/>
      <c r="J282" s="108"/>
    </row>
    <row r="283" spans="9:10" x14ac:dyDescent="0.2">
      <c r="I283" s="35"/>
      <c r="J283" s="17"/>
    </row>
    <row r="284" spans="9:10" x14ac:dyDescent="0.2">
      <c r="I284" s="35"/>
      <c r="J284" s="17"/>
    </row>
    <row r="285" spans="9:10" x14ac:dyDescent="0.2">
      <c r="I285" s="35"/>
      <c r="J285" s="17"/>
    </row>
    <row r="286" spans="9:10" x14ac:dyDescent="0.2">
      <c r="I286" s="35"/>
      <c r="J286" s="17"/>
    </row>
    <row r="287" spans="9:10" x14ac:dyDescent="0.2">
      <c r="I287" s="35"/>
      <c r="J287" s="17"/>
    </row>
    <row r="288" spans="9:10" x14ac:dyDescent="0.2">
      <c r="I288" s="35"/>
      <c r="J288" s="17"/>
    </row>
    <row r="289" spans="9:10" x14ac:dyDescent="0.2">
      <c r="I289" s="27"/>
      <c r="J289" s="108"/>
    </row>
    <row r="290" spans="9:10" x14ac:dyDescent="0.2">
      <c r="I290" s="25"/>
      <c r="J290" s="23"/>
    </row>
    <row r="291" spans="9:10" x14ac:dyDescent="0.2">
      <c r="I291" s="26"/>
      <c r="J291" s="19"/>
    </row>
    <row r="292" spans="9:10" x14ac:dyDescent="0.2">
      <c r="I292" s="26"/>
      <c r="J292" s="19"/>
    </row>
    <row r="293" spans="9:10" x14ac:dyDescent="0.2">
      <c r="I293" s="26"/>
      <c r="J293" s="19"/>
    </row>
    <row r="294" spans="9:10" x14ac:dyDescent="0.2">
      <c r="I294" s="26"/>
      <c r="J294" s="19"/>
    </row>
    <row r="295" spans="9:10" x14ac:dyDescent="0.2">
      <c r="I295" s="40"/>
      <c r="J295" s="114"/>
    </row>
    <row r="296" spans="9:10" x14ac:dyDescent="0.2">
      <c r="I296" s="40"/>
      <c r="J296" s="114"/>
    </row>
    <row r="297" spans="9:10" x14ac:dyDescent="0.2">
      <c r="I297" s="40"/>
      <c r="J297" s="114"/>
    </row>
    <row r="298" spans="9:10" x14ac:dyDescent="0.2">
      <c r="I298" s="40"/>
      <c r="J298" s="114"/>
    </row>
    <row r="299" spans="9:10" x14ac:dyDescent="0.2">
      <c r="I299" s="40"/>
      <c r="J299" s="114"/>
    </row>
    <row r="300" spans="9:10" x14ac:dyDescent="0.2">
      <c r="I300" s="40"/>
      <c r="J300" s="114"/>
    </row>
    <row r="301" spans="9:10" x14ac:dyDescent="0.2">
      <c r="I301" s="26"/>
      <c r="J301" s="19"/>
    </row>
    <row r="302" spans="9:10" x14ac:dyDescent="0.2">
      <c r="I302" s="40"/>
      <c r="J302" s="114"/>
    </row>
    <row r="303" spans="9:10" x14ac:dyDescent="0.2">
      <c r="I303" s="26"/>
      <c r="J303" s="19"/>
    </row>
    <row r="304" spans="9:10" x14ac:dyDescent="0.2">
      <c r="I304" s="26"/>
      <c r="J304" s="19"/>
    </row>
    <row r="305" spans="9:10" x14ac:dyDescent="0.2">
      <c r="I305" s="26"/>
      <c r="J305" s="19"/>
    </row>
    <row r="306" spans="9:10" x14ac:dyDescent="0.2">
      <c r="I306" s="26"/>
      <c r="J306" s="19"/>
    </row>
    <row r="307" spans="9:10" x14ac:dyDescent="0.2">
      <c r="I307" s="41"/>
      <c r="J307" s="111"/>
    </row>
    <row r="308" spans="9:10" x14ac:dyDescent="0.2">
      <c r="I308" s="41"/>
      <c r="J308" s="111"/>
    </row>
    <row r="309" spans="9:10" x14ac:dyDescent="0.2">
      <c r="I309" s="25"/>
      <c r="J309" s="23"/>
    </row>
    <row r="310" spans="9:10" x14ac:dyDescent="0.2">
      <c r="I310" s="26"/>
      <c r="J310" s="19"/>
    </row>
    <row r="311" spans="9:10" x14ac:dyDescent="0.2">
      <c r="I311" s="42"/>
      <c r="J311" s="109"/>
    </row>
    <row r="312" spans="9:10" x14ac:dyDescent="0.2">
      <c r="I312" s="43"/>
      <c r="J312" s="110"/>
    </row>
    <row r="313" spans="9:10" x14ac:dyDescent="0.2">
      <c r="I313" s="43"/>
      <c r="J313" s="110"/>
    </row>
    <row r="314" spans="9:10" x14ac:dyDescent="0.2">
      <c r="I314" s="43"/>
      <c r="J314" s="110"/>
    </row>
    <row r="315" spans="9:10" x14ac:dyDescent="0.2">
      <c r="I315" s="43"/>
      <c r="J315" s="110"/>
    </row>
    <row r="316" spans="9:10" x14ac:dyDescent="0.2">
      <c r="I316" s="43"/>
      <c r="J316" s="110"/>
    </row>
    <row r="317" spans="9:10" x14ac:dyDescent="0.2">
      <c r="I317" s="43"/>
      <c r="J317" s="110"/>
    </row>
    <row r="318" spans="9:10" x14ac:dyDescent="0.2">
      <c r="I318" s="43"/>
      <c r="J318" s="110"/>
    </row>
    <row r="319" spans="9:10" x14ac:dyDescent="0.2">
      <c r="I319" s="41"/>
      <c r="J319" s="111"/>
    </row>
    <row r="320" spans="9:10" x14ac:dyDescent="0.2">
      <c r="I320" s="41"/>
      <c r="J320" s="111"/>
    </row>
    <row r="321" spans="9:10" x14ac:dyDescent="0.2">
      <c r="I321" s="25"/>
      <c r="J321" s="23"/>
    </row>
    <row r="322" spans="9:10" x14ac:dyDescent="0.2">
      <c r="I322" s="26"/>
      <c r="J322" s="19"/>
    </row>
    <row r="323" spans="9:10" x14ac:dyDescent="0.2">
      <c r="I323" s="42"/>
      <c r="J323" s="109"/>
    </row>
    <row r="324" spans="9:10" x14ac:dyDescent="0.2">
      <c r="I324" s="43"/>
      <c r="J324" s="110"/>
    </row>
    <row r="325" spans="9:10" x14ac:dyDescent="0.2">
      <c r="I325" s="43"/>
      <c r="J325" s="110"/>
    </row>
    <row r="326" spans="9:10" x14ac:dyDescent="0.2">
      <c r="I326" s="43"/>
      <c r="J326" s="110"/>
    </row>
    <row r="327" spans="9:10" x14ac:dyDescent="0.2">
      <c r="I327" s="43"/>
      <c r="J327" s="110"/>
    </row>
    <row r="328" spans="9:10" x14ac:dyDescent="0.2">
      <c r="I328" s="43"/>
      <c r="J328" s="110"/>
    </row>
    <row r="329" spans="9:10" x14ac:dyDescent="0.2">
      <c r="I329" s="43"/>
      <c r="J329" s="110"/>
    </row>
    <row r="330" spans="9:10" x14ac:dyDescent="0.2">
      <c r="I330" s="41"/>
      <c r="J330" s="111"/>
    </row>
    <row r="331" spans="9:10" x14ac:dyDescent="0.2">
      <c r="I331" s="41"/>
      <c r="J331" s="111"/>
    </row>
    <row r="332" spans="9:10" x14ac:dyDescent="0.2">
      <c r="I332" s="27"/>
      <c r="J332" s="108"/>
    </row>
    <row r="333" spans="9:10" x14ac:dyDescent="0.2">
      <c r="I333" s="44"/>
      <c r="J333" s="112"/>
    </row>
    <row r="334" spans="9:10" x14ac:dyDescent="0.2">
      <c r="I334" s="44"/>
      <c r="J334" s="112"/>
    </row>
    <row r="335" spans="9:10" x14ac:dyDescent="0.2">
      <c r="I335" s="45"/>
      <c r="J335" s="115"/>
    </row>
    <row r="336" spans="9:10" x14ac:dyDescent="0.2">
      <c r="I336" s="27"/>
      <c r="J336" s="108"/>
    </row>
    <row r="337" spans="9:10" x14ac:dyDescent="0.2">
      <c r="I337" s="27"/>
      <c r="J337" s="108"/>
    </row>
    <row r="338" spans="9:10" x14ac:dyDescent="0.2">
      <c r="I338" s="27"/>
      <c r="J338" s="108"/>
    </row>
    <row r="339" spans="9:10" x14ac:dyDescent="0.2">
      <c r="I339" s="27"/>
      <c r="J339" s="108"/>
    </row>
    <row r="340" spans="9:10" x14ac:dyDescent="0.2">
      <c r="I340" s="27"/>
      <c r="J340" s="108"/>
    </row>
    <row r="341" spans="9:10" x14ac:dyDescent="0.2">
      <c r="I341" s="27"/>
      <c r="J341" s="108"/>
    </row>
    <row r="342" spans="9:10" x14ac:dyDescent="0.2">
      <c r="I342" s="27"/>
      <c r="J342" s="108"/>
    </row>
    <row r="343" spans="9:10" x14ac:dyDescent="0.2">
      <c r="I343" s="27"/>
      <c r="J343" s="108"/>
    </row>
    <row r="344" spans="9:10" x14ac:dyDescent="0.2">
      <c r="I344" s="27"/>
      <c r="J344" s="108"/>
    </row>
    <row r="345" spans="9:10" x14ac:dyDescent="0.2">
      <c r="I345" s="27"/>
      <c r="J345" s="108"/>
    </row>
    <row r="346" spans="9:10" x14ac:dyDescent="0.2">
      <c r="I346" s="27"/>
      <c r="J346" s="108"/>
    </row>
    <row r="347" spans="9:10" x14ac:dyDescent="0.2">
      <c r="I347" s="27"/>
      <c r="J347" s="108"/>
    </row>
    <row r="348" spans="9:10" x14ac:dyDescent="0.2">
      <c r="I348" s="27"/>
      <c r="J348" s="108"/>
    </row>
    <row r="349" spans="9:10" x14ac:dyDescent="0.2">
      <c r="I349" s="27"/>
      <c r="J349" s="108"/>
    </row>
    <row r="350" spans="9:10" x14ac:dyDescent="0.2">
      <c r="I350" s="27"/>
      <c r="J350" s="108"/>
    </row>
    <row r="351" spans="9:10" x14ac:dyDescent="0.2">
      <c r="I351" s="27"/>
      <c r="J351" s="108"/>
    </row>
    <row r="352" spans="9:10" x14ac:dyDescent="0.2">
      <c r="I352" s="27"/>
      <c r="J352" s="108"/>
    </row>
    <row r="353" spans="9:10" x14ac:dyDescent="0.2">
      <c r="I353" s="27"/>
      <c r="J353" s="108"/>
    </row>
    <row r="354" spans="9:10" x14ac:dyDescent="0.2">
      <c r="I354" s="27"/>
      <c r="J354" s="108"/>
    </row>
    <row r="355" spans="9:10" x14ac:dyDescent="0.2">
      <c r="I355" s="27"/>
      <c r="J355" s="108"/>
    </row>
    <row r="356" spans="9:10" x14ac:dyDescent="0.2">
      <c r="I356" s="27"/>
      <c r="J356" s="108"/>
    </row>
    <row r="357" spans="9:10" x14ac:dyDescent="0.2">
      <c r="I357" s="27"/>
      <c r="J357" s="108"/>
    </row>
    <row r="358" spans="9:10" x14ac:dyDescent="0.2">
      <c r="I358" s="27"/>
      <c r="J358" s="108"/>
    </row>
    <row r="359" spans="9:10" x14ac:dyDescent="0.2">
      <c r="I359" s="27"/>
      <c r="J359" s="108"/>
    </row>
    <row r="360" spans="9:10" x14ac:dyDescent="0.2">
      <c r="I360" s="27"/>
      <c r="J360" s="108"/>
    </row>
    <row r="361" spans="9:10" x14ac:dyDescent="0.2">
      <c r="I361" s="27"/>
      <c r="J361" s="108"/>
    </row>
    <row r="362" spans="9:10" x14ac:dyDescent="0.2">
      <c r="I362" s="49"/>
      <c r="J362" s="116"/>
    </row>
    <row r="366" spans="9:10" x14ac:dyDescent="0.2">
      <c r="I366" s="36"/>
      <c r="J366" s="63"/>
    </row>
    <row r="368" spans="9:10" x14ac:dyDescent="0.2">
      <c r="I368" s="44"/>
      <c r="J368" s="112"/>
    </row>
    <row r="369" spans="9:10" x14ac:dyDescent="0.2">
      <c r="I369" s="44"/>
      <c r="J369" s="112"/>
    </row>
    <row r="370" spans="9:10" x14ac:dyDescent="0.2">
      <c r="I370" s="47"/>
      <c r="J370" s="117"/>
    </row>
    <row r="371" spans="9:10" x14ac:dyDescent="0.2">
      <c r="I371" s="44"/>
      <c r="J371" s="112"/>
    </row>
    <row r="372" spans="9:10" x14ac:dyDescent="0.2">
      <c r="I372" s="45"/>
      <c r="J372" s="115"/>
    </row>
    <row r="373" spans="9:10" x14ac:dyDescent="0.2">
      <c r="I373" s="48"/>
      <c r="J373" s="118"/>
    </row>
    <row r="374" spans="9:10" x14ac:dyDescent="0.2">
      <c r="I374" s="48"/>
      <c r="J374" s="118"/>
    </row>
    <row r="375" spans="9:10" x14ac:dyDescent="0.2">
      <c r="I375" s="48"/>
      <c r="J375" s="118"/>
    </row>
    <row r="376" spans="9:10" x14ac:dyDescent="0.2">
      <c r="I376" s="48"/>
      <c r="J376" s="118"/>
    </row>
    <row r="377" spans="9:10" x14ac:dyDescent="0.2">
      <c r="I377" s="27"/>
      <c r="J377" s="108"/>
    </row>
    <row r="378" spans="9:10" x14ac:dyDescent="0.2">
      <c r="I378" s="27"/>
      <c r="J378" s="108"/>
    </row>
    <row r="379" spans="9:10" x14ac:dyDescent="0.2">
      <c r="I379" s="27"/>
      <c r="J379" s="108"/>
    </row>
    <row r="380" spans="9:10" x14ac:dyDescent="0.2">
      <c r="I380" s="27"/>
      <c r="J380" s="108"/>
    </row>
    <row r="381" spans="9:10" x14ac:dyDescent="0.2">
      <c r="I381" s="27"/>
      <c r="J381" s="108"/>
    </row>
    <row r="382" spans="9:10" x14ac:dyDescent="0.2">
      <c r="I382" s="27"/>
      <c r="J382" s="108"/>
    </row>
    <row r="383" spans="9:10" x14ac:dyDescent="0.2">
      <c r="I383" s="27"/>
      <c r="J383" s="108"/>
    </row>
    <row r="384" spans="9:10" x14ac:dyDescent="0.2">
      <c r="I384" s="27"/>
      <c r="J384" s="108"/>
    </row>
    <row r="385" spans="9:10" x14ac:dyDescent="0.2">
      <c r="I385" s="27"/>
      <c r="J385" s="108"/>
    </row>
    <row r="386" spans="9:10" x14ac:dyDescent="0.2">
      <c r="I386" s="27"/>
      <c r="J386" s="108"/>
    </row>
    <row r="387" spans="9:10" x14ac:dyDescent="0.2">
      <c r="I387" s="27"/>
      <c r="J387" s="108"/>
    </row>
    <row r="388" spans="9:10" x14ac:dyDescent="0.2">
      <c r="I388" s="27"/>
      <c r="J388" s="108"/>
    </row>
    <row r="389" spans="9:10" x14ac:dyDescent="0.2">
      <c r="I389" s="27"/>
      <c r="J389" s="108"/>
    </row>
    <row r="390" spans="9:10" x14ac:dyDescent="0.2">
      <c r="I390" s="27"/>
      <c r="J390" s="108"/>
    </row>
    <row r="391" spans="9:10" x14ac:dyDescent="0.2">
      <c r="I391" s="27"/>
      <c r="J391" s="108"/>
    </row>
    <row r="392" spans="9:10" x14ac:dyDescent="0.2">
      <c r="I392" s="27"/>
      <c r="J392" s="108"/>
    </row>
    <row r="393" spans="9:10" x14ac:dyDescent="0.2">
      <c r="I393" s="27"/>
      <c r="J393" s="108"/>
    </row>
    <row r="394" spans="9:10" x14ac:dyDescent="0.2">
      <c r="I394" s="27"/>
      <c r="J394" s="108"/>
    </row>
    <row r="395" spans="9:10" x14ac:dyDescent="0.2">
      <c r="I395" s="27"/>
      <c r="J395" s="108"/>
    </row>
    <row r="396" spans="9:10" x14ac:dyDescent="0.2">
      <c r="I396" s="27"/>
      <c r="J396" s="108"/>
    </row>
    <row r="397" spans="9:10" x14ac:dyDescent="0.2">
      <c r="I397" s="27"/>
      <c r="J397" s="108"/>
    </row>
    <row r="398" spans="9:10" x14ac:dyDescent="0.2">
      <c r="I398" s="27"/>
      <c r="J398" s="108"/>
    </row>
    <row r="399" spans="9:10" x14ac:dyDescent="0.2">
      <c r="I399" s="27"/>
      <c r="J399" s="108"/>
    </row>
    <row r="402" spans="9:10" x14ac:dyDescent="0.2">
      <c r="I402" s="44"/>
      <c r="J402" s="112"/>
    </row>
    <row r="403" spans="9:10" x14ac:dyDescent="0.2">
      <c r="I403" s="44"/>
      <c r="J403" s="112"/>
    </row>
    <row r="404" spans="9:10" x14ac:dyDescent="0.2">
      <c r="I404" s="47"/>
      <c r="J404" s="117"/>
    </row>
    <row r="405" spans="9:10" x14ac:dyDescent="0.2">
      <c r="I405" s="44"/>
      <c r="J405" s="112"/>
    </row>
    <row r="406" spans="9:10" x14ac:dyDescent="0.2">
      <c r="I406" s="45"/>
      <c r="J406" s="115"/>
    </row>
    <row r="407" spans="9:10" x14ac:dyDescent="0.2">
      <c r="I407" s="48"/>
      <c r="J407" s="118"/>
    </row>
    <row r="408" spans="9:10" x14ac:dyDescent="0.2">
      <c r="I408" s="48"/>
      <c r="J408" s="118"/>
    </row>
    <row r="409" spans="9:10" x14ac:dyDescent="0.2">
      <c r="I409" s="48"/>
      <c r="J409" s="118"/>
    </row>
    <row r="410" spans="9:10" x14ac:dyDescent="0.2">
      <c r="I410" s="48"/>
      <c r="J410" s="118"/>
    </row>
    <row r="411" spans="9:10" x14ac:dyDescent="0.2">
      <c r="I411" s="27"/>
      <c r="J411" s="108"/>
    </row>
    <row r="412" spans="9:10" x14ac:dyDescent="0.2">
      <c r="I412" s="27"/>
      <c r="J412" s="108"/>
    </row>
    <row r="413" spans="9:10" x14ac:dyDescent="0.2">
      <c r="I413" s="27"/>
      <c r="J413" s="108"/>
    </row>
    <row r="414" spans="9:10" x14ac:dyDescent="0.2">
      <c r="I414" s="27"/>
      <c r="J414" s="108"/>
    </row>
    <row r="415" spans="9:10" x14ac:dyDescent="0.2">
      <c r="I415" s="27"/>
      <c r="J415" s="108"/>
    </row>
    <row r="416" spans="9:10" x14ac:dyDescent="0.2">
      <c r="I416" s="27"/>
      <c r="J416" s="108"/>
    </row>
    <row r="417" spans="9:10" x14ac:dyDescent="0.2">
      <c r="I417" s="27"/>
      <c r="J417" s="108"/>
    </row>
    <row r="418" spans="9:10" x14ac:dyDescent="0.2">
      <c r="I418" s="27"/>
      <c r="J418" s="108"/>
    </row>
    <row r="419" spans="9:10" x14ac:dyDescent="0.2">
      <c r="I419" s="27"/>
      <c r="J419" s="108"/>
    </row>
    <row r="420" spans="9:10" x14ac:dyDescent="0.2">
      <c r="I420" s="27"/>
      <c r="J420" s="108"/>
    </row>
    <row r="421" spans="9:10" x14ac:dyDescent="0.2">
      <c r="I421" s="27"/>
      <c r="J421" s="108"/>
    </row>
    <row r="422" spans="9:10" x14ac:dyDescent="0.2">
      <c r="I422" s="27"/>
      <c r="J422" s="108"/>
    </row>
    <row r="423" spans="9:10" x14ac:dyDescent="0.2">
      <c r="I423" s="27"/>
      <c r="J423" s="108"/>
    </row>
    <row r="424" spans="9:10" x14ac:dyDescent="0.2">
      <c r="I424" s="27"/>
      <c r="J424" s="108"/>
    </row>
    <row r="425" spans="9:10" x14ac:dyDescent="0.2">
      <c r="I425" s="27"/>
      <c r="J425" s="108"/>
    </row>
    <row r="426" spans="9:10" x14ac:dyDescent="0.2">
      <c r="I426" s="27"/>
      <c r="J426" s="108"/>
    </row>
    <row r="427" spans="9:10" x14ac:dyDescent="0.2">
      <c r="I427" s="27"/>
      <c r="J427" s="108"/>
    </row>
    <row r="428" spans="9:10" x14ac:dyDescent="0.2">
      <c r="I428" s="27"/>
      <c r="J428" s="108"/>
    </row>
    <row r="429" spans="9:10" x14ac:dyDescent="0.2">
      <c r="I429" s="27"/>
      <c r="J429" s="108"/>
    </row>
    <row r="430" spans="9:10" x14ac:dyDescent="0.2">
      <c r="I430" s="27"/>
      <c r="J430" s="108"/>
    </row>
    <row r="431" spans="9:10" x14ac:dyDescent="0.2">
      <c r="I431" s="27"/>
      <c r="J431" s="108"/>
    </row>
    <row r="432" spans="9:10" x14ac:dyDescent="0.2">
      <c r="I432" s="27"/>
      <c r="J432" s="108"/>
    </row>
    <row r="433" spans="9:10" x14ac:dyDescent="0.2">
      <c r="I433" s="27"/>
      <c r="J433" s="108"/>
    </row>
    <row r="435" spans="9:10" x14ac:dyDescent="0.2">
      <c r="I435" s="44"/>
      <c r="J435" s="112"/>
    </row>
    <row r="436" spans="9:10" x14ac:dyDescent="0.2">
      <c r="I436" s="44"/>
      <c r="J436" s="112"/>
    </row>
    <row r="437" spans="9:10" x14ac:dyDescent="0.2">
      <c r="I437" s="47"/>
      <c r="J437" s="117"/>
    </row>
    <row r="438" spans="9:10" x14ac:dyDescent="0.2">
      <c r="I438" s="44"/>
      <c r="J438" s="112"/>
    </row>
    <row r="439" spans="9:10" x14ac:dyDescent="0.2">
      <c r="I439" s="45"/>
      <c r="J439" s="115"/>
    </row>
    <row r="440" spans="9:10" x14ac:dyDescent="0.2">
      <c r="I440" s="48"/>
      <c r="J440" s="118"/>
    </row>
    <row r="441" spans="9:10" x14ac:dyDescent="0.2">
      <c r="I441" s="48"/>
      <c r="J441" s="118"/>
    </row>
    <row r="442" spans="9:10" x14ac:dyDescent="0.2">
      <c r="I442" s="48"/>
      <c r="J442" s="118"/>
    </row>
    <row r="443" spans="9:10" x14ac:dyDescent="0.2">
      <c r="I443" s="48"/>
      <c r="J443" s="118"/>
    </row>
    <row r="444" spans="9:10" x14ac:dyDescent="0.2">
      <c r="I444" s="27"/>
      <c r="J444" s="108"/>
    </row>
    <row r="445" spans="9:10" x14ac:dyDescent="0.2">
      <c r="I445" s="27"/>
      <c r="J445" s="108"/>
    </row>
    <row r="446" spans="9:10" x14ac:dyDescent="0.2">
      <c r="I446" s="27"/>
      <c r="J446" s="108"/>
    </row>
    <row r="447" spans="9:10" x14ac:dyDescent="0.2">
      <c r="I447" s="27"/>
      <c r="J447" s="108"/>
    </row>
    <row r="448" spans="9:10" x14ac:dyDescent="0.2">
      <c r="I448" s="27"/>
      <c r="J448" s="108"/>
    </row>
    <row r="449" spans="9:10" x14ac:dyDescent="0.2">
      <c r="I449" s="27"/>
      <c r="J449" s="108"/>
    </row>
    <row r="450" spans="9:10" x14ac:dyDescent="0.2">
      <c r="I450" s="27"/>
      <c r="J450" s="108"/>
    </row>
    <row r="451" spans="9:10" x14ac:dyDescent="0.2">
      <c r="I451" s="27"/>
      <c r="J451" s="108"/>
    </row>
    <row r="452" spans="9:10" x14ac:dyDescent="0.2">
      <c r="I452" s="27"/>
      <c r="J452" s="108"/>
    </row>
    <row r="453" spans="9:10" x14ac:dyDescent="0.2">
      <c r="I453" s="27"/>
      <c r="J453" s="108"/>
    </row>
    <row r="454" spans="9:10" x14ac:dyDescent="0.2">
      <c r="I454" s="27"/>
      <c r="J454" s="108"/>
    </row>
    <row r="455" spans="9:10" x14ac:dyDescent="0.2">
      <c r="I455" s="27"/>
      <c r="J455" s="108"/>
    </row>
    <row r="456" spans="9:10" x14ac:dyDescent="0.2">
      <c r="I456" s="27"/>
      <c r="J456" s="108"/>
    </row>
    <row r="457" spans="9:10" x14ac:dyDescent="0.2">
      <c r="I457" s="27"/>
      <c r="J457" s="108"/>
    </row>
    <row r="458" spans="9:10" x14ac:dyDescent="0.2">
      <c r="I458" s="27"/>
      <c r="J458" s="108"/>
    </row>
    <row r="459" spans="9:10" x14ac:dyDescent="0.2">
      <c r="I459" s="27"/>
      <c r="J459" s="108"/>
    </row>
    <row r="460" spans="9:10" x14ac:dyDescent="0.2">
      <c r="I460" s="27"/>
      <c r="J460" s="108"/>
    </row>
    <row r="461" spans="9:10" x14ac:dyDescent="0.2">
      <c r="I461" s="27"/>
      <c r="J461" s="108"/>
    </row>
    <row r="462" spans="9:10" x14ac:dyDescent="0.2">
      <c r="I462" s="27"/>
      <c r="J462" s="108"/>
    </row>
    <row r="463" spans="9:10" x14ac:dyDescent="0.2">
      <c r="I463" s="27"/>
      <c r="J463" s="108"/>
    </row>
    <row r="464" spans="9:10" x14ac:dyDescent="0.2">
      <c r="I464" s="27"/>
      <c r="J464" s="108"/>
    </row>
    <row r="465" spans="9:10" x14ac:dyDescent="0.2">
      <c r="I465" s="27"/>
      <c r="J465" s="108"/>
    </row>
    <row r="466" spans="9:10" x14ac:dyDescent="0.2">
      <c r="I466" s="27"/>
      <c r="J466" s="108"/>
    </row>
    <row r="468" spans="9:10" x14ac:dyDescent="0.2">
      <c r="I468" s="26"/>
      <c r="J468" s="19"/>
    </row>
    <row r="469" spans="9:10" x14ac:dyDescent="0.2">
      <c r="I469" s="27"/>
      <c r="J469" s="108"/>
    </row>
    <row r="470" spans="9:10" x14ac:dyDescent="0.2">
      <c r="I470" s="26"/>
      <c r="J470" s="19"/>
    </row>
    <row r="471" spans="9:10" x14ac:dyDescent="0.2">
      <c r="I471" s="26"/>
      <c r="J471" s="19"/>
    </row>
    <row r="472" spans="9:10" x14ac:dyDescent="0.2">
      <c r="I472" s="27"/>
      <c r="J472" s="108"/>
    </row>
    <row r="473" spans="9:10" x14ac:dyDescent="0.2">
      <c r="I473" s="28"/>
      <c r="J473" s="107"/>
    </row>
    <row r="474" spans="9:10" x14ac:dyDescent="0.2">
      <c r="I474" s="39"/>
      <c r="J474" s="64"/>
    </row>
    <row r="478" spans="9:10" x14ac:dyDescent="0.2">
      <c r="I478" s="50"/>
      <c r="J478" s="119"/>
    </row>
    <row r="480" spans="9:10" x14ac:dyDescent="0.2">
      <c r="I480" s="50"/>
      <c r="J480" s="119"/>
    </row>
  </sheetData>
  <phoneticPr fontId="0" type="noConversion"/>
  <printOptions horizontalCentered="1"/>
  <pageMargins left="0" right="0" top="0.38" bottom="0.35" header="0" footer="0"/>
  <pageSetup scale="80" firstPageNumber="2" fitToHeight="17" orientation="landscape" useFirstPageNumber="1" r:id="rId1"/>
  <headerFooter alignWithMargins="0">
    <oddHeader xml:space="preserve">&amp;CPricq Quotation
</oddHeader>
  </headerFooter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2017-05-11T16:16:59Z</dcterms:created>
  <dcterms:modified xsi:type="dcterms:W3CDTF">2026-01-07T16:56:32Z</dcterms:modified>
</cp:coreProperties>
</file>