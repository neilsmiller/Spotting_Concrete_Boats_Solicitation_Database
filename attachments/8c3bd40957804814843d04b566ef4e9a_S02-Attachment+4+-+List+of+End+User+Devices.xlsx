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S:\PCAC\CASS Pre-Award (Dohm)\FY26\HAMILTON - V12 - 537-26-702 - EHRM DDPO Installation - Chicago, IL\eCMS Docs\"/>
    </mc:Choice>
  </mc:AlternateContent>
  <xr:revisionPtr revIDLastSave="0" documentId="8_{4A6DEE82-94B5-4468-BD4D-0826EF68B050}" xr6:coauthVersionLast="47" xr6:coauthVersionMax="47" xr10:uidLastSave="{00000000-0000-0000-0000-000000000000}"/>
  <bookViews>
    <workbookView xWindow="-120" yWindow="-120" windowWidth="29040" windowHeight="15720" firstSheet="1" activeTab="2" xr2:uid="{2C2133BD-DD66-489D-BB99-1E98B8522092}"/>
  </bookViews>
  <sheets>
    <sheet name="Sheet1" sheetId="9" state="hidden" r:id="rId1"/>
    <sheet name="Overview" sheetId="8" r:id="rId2"/>
    <sheet name="DDPO" sheetId="6" r:id="rId3"/>
    <sheet name="Mounting" sheetId="5" r:id="rId4"/>
  </sheets>
  <definedNames>
    <definedName name="_xlcn.WorksheetConnection_FMSCSRReport.xlsxDDPOTbl1" hidden="1">DDPOTbl[]</definedName>
    <definedName name="_xlcn.WorksheetConnection_TomahVAMCDDPODraftReport1.xlsxTable_ExternalData_11" hidden="1">Table_ExternalData_1[]</definedName>
    <definedName name="ActionStatus" localSheetId="2">#REF!</definedName>
    <definedName name="ActionStatus">#REF!</definedName>
    <definedName name="BCScannerType" localSheetId="2">#REF!</definedName>
    <definedName name="BCScannerType">#REF!</definedName>
    <definedName name="BCScannerUse" localSheetId="2">#REF!</definedName>
    <definedName name="BCScannerUse">#REF!</definedName>
    <definedName name="ChangeList" localSheetId="2">#REF!</definedName>
    <definedName name="ChangeList">#REF!</definedName>
    <definedName name="DDPOStatus" localSheetId="2">#REF!</definedName>
    <definedName name="DDPOStatus">#REF!</definedName>
    <definedName name="DeploymentStatus" localSheetId="2">#REF!</definedName>
    <definedName name="DeploymentStatus">#REF!</definedName>
    <definedName name="DeviceStatus" localSheetId="2">#REF!</definedName>
    <definedName name="DeviceStatus">#REF!</definedName>
    <definedName name="DeviceType" localSheetId="2">#REF!</definedName>
    <definedName name="DeviceType">#REF!</definedName>
    <definedName name="DeviceUse" localSheetId="2">#REF!</definedName>
    <definedName name="DeviceUse">#REF!</definedName>
    <definedName name="DowntimeType" localSheetId="2">#REF!</definedName>
    <definedName name="DowntimeType">#REF!</definedName>
    <definedName name="ExternalData_1" localSheetId="0" hidden="1">Sheet1!$A$3:$O$40</definedName>
    <definedName name="PrinterType" localSheetId="2">#REF!</definedName>
    <definedName name="PrinterType">#REF!</definedName>
    <definedName name="PrinterUse" localSheetId="2">#REF!</definedName>
    <definedName name="PrinterUse">#REF!</definedName>
    <definedName name="PumpServer" localSheetId="2">#REF!</definedName>
    <definedName name="PumpServer">#REF!</definedName>
    <definedName name="Roadblocks" localSheetId="2">#REF!</definedName>
    <definedName name="Roadblocks">#REF!</definedName>
    <definedName name="SiteType" localSheetId="2">#REF!</definedName>
    <definedName name="SiteType">#REF!</definedName>
    <definedName name="TestingStatus" localSheetId="2">#REF!</definedName>
    <definedName name="TestingStatus">#REF!</definedName>
    <definedName name="TrackingBoardType" localSheetId="2">#REF!</definedName>
    <definedName name="TrackingBoardType">#REF!</definedName>
    <definedName name="TrackingBoardUse" localSheetId="2">#REF!</definedName>
    <definedName name="TrackingBoardUse">#REF!</definedName>
    <definedName name="Unit" localSheetId="2">#REF!</definedName>
    <definedName name="Unit">#REF!</definedName>
    <definedName name="VISN" localSheetId="2">#REF!</definedName>
    <definedName name="VISN">#REF!</definedName>
    <definedName name="WallmountType" localSheetId="2">#REF!</definedName>
    <definedName name="WallmountType">#REF!</definedName>
    <definedName name="Wave" localSheetId="2">#REF!</definedName>
    <definedName name="Wave">#REF!</definedName>
    <definedName name="WorkstationType" localSheetId="2">#REF!</definedName>
    <definedName name="WorkstationType">#REF!</definedName>
    <definedName name="WoWType" localSheetId="2">#REF!</definedName>
    <definedName name="WoWType">#REF!</definedName>
    <definedName name="WoWUse" localSheetId="2">#REF!</definedName>
    <definedName name="WoWUse">#REF!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_ExternalData_1" name="Table_ExternalData_1" connection="WorksheetConnection_Tomah VAMC DDPO Draft Report1.xlsx!Table_ExternalData_1"/>
          <x15:modelTable id="DDPOTbl" name="DDPOTbl" connection="WorksheetConnection_FMS CSR Report.xlsx!DDPOTbl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8" l="1" a="1"/>
  <c r="D6" i="8" s="1"/>
  <c r="D9" i="8" a="1"/>
  <c r="D9" i="8" s="1"/>
  <c r="D12" i="8" a="1"/>
  <c r="D12" i="8" s="1"/>
  <c r="D20" i="8"/>
  <c r="D19" i="8"/>
  <c r="D18" i="8"/>
  <c r="D17" i="8"/>
  <c r="D15" i="8"/>
  <c r="D13" i="8"/>
  <c r="D10" i="8"/>
  <c r="D7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981FF3-B4A9-43F1-A7EE-FE9122511F1B}" keepAlive="1" name="ModelConnection_ExternalData_1" description="Data Model" type="5" refreshedVersion="8" minRefreshableVersion="5" saveData="1">
    <dbPr connection="Data Model Connection" command="DRILLTHROUGH MAXROWS 1000 SELECT FROM [Model] WHERE (([Measures].[Sum of Required Data Drops],[DDPOTbl].[New Data ID].&amp;[35-2-1-D])) RETURN [$DDPOTbl].[Building],[$DDPOTbl].[Floor],[$DDPOTbl].[Unit],[$DDPOTbl].[Room],[$DDPOTbl].[Location Details],[$DDPOTbl].[Device],[$DDPOTbl].[New Data ID],[$DDPOTbl].[New Power ID],[$DDPOTbl].[Drop Location],[$DDPOTbl].[Required Data Drops],[$DDPOTbl].[Required Regular Power],[$DDPOTbl].[Required Emergency Power],[$DDPOTbl].[FMS to Add Power Strip],[$DDPOTbl].[Local FMS Name],[$DDPOTbl].[Notes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69E1B4B9-1EA0-497E-8FC9-370CD811E67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A014CB6D-1618-4BF3-A899-9EA880D25B4C}" name="WorksheetConnection_FMS CSR Report.xlsx!DDPOTbl" type="102" refreshedVersion="8" minRefreshableVersion="5">
    <extLst>
      <ext xmlns:x15="http://schemas.microsoft.com/office/spreadsheetml/2010/11/main" uri="{DE250136-89BD-433C-8126-D09CA5730AF9}">
        <x15:connection id="DDPOTbl" autoDelete="1">
          <x15:rangePr sourceName="_xlcn.WorksheetConnection_FMSCSRReport.xlsxDDPOTbl1"/>
        </x15:connection>
      </ext>
    </extLst>
  </connection>
  <connection id="4" xr16:uid="{B0648DB7-A27A-4767-871F-9F5DB2CE79F0}" name="WorksheetConnection_Tomah VAMC DDPO Draft Report1.xlsx!Table_ExternalData_1" type="102" refreshedVersion="8" minRefreshableVersion="5">
    <extLst>
      <ext xmlns:x15="http://schemas.microsoft.com/office/spreadsheetml/2010/11/main" uri="{DE250136-89BD-433C-8126-D09CA5730AF9}">
        <x15:connection id="Table_ExternalData_1">
          <x15:rangePr sourceName="_xlcn.WorksheetConnection_TomahVAMCDDPODraftReport1.xlsxTable_ExternalData_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<sst xmlns="http://schemas.openxmlformats.org/spreadsheetml/2006/main" count="2082" uniqueCount="528">
  <si>
    <t>Location Details</t>
  </si>
  <si>
    <t>Device Details</t>
  </si>
  <si>
    <t>Building</t>
  </si>
  <si>
    <t>Floor</t>
  </si>
  <si>
    <t>Unit</t>
  </si>
  <si>
    <t>Room #</t>
  </si>
  <si>
    <t>Device Type</t>
  </si>
  <si>
    <t>Mount Type</t>
  </si>
  <si>
    <t>Mounting Details</t>
  </si>
  <si>
    <t>Notes</t>
  </si>
  <si>
    <t>Regular Power</t>
  </si>
  <si>
    <t>Emergency Power</t>
  </si>
  <si>
    <t>Room</t>
  </si>
  <si>
    <t>Drop Location</t>
  </si>
  <si>
    <t>Device</t>
  </si>
  <si>
    <t>New Data ID</t>
  </si>
  <si>
    <t>New Power ID</t>
  </si>
  <si>
    <t>FMS to Add Power Strip</t>
  </si>
  <si>
    <t>Data Drop</t>
  </si>
  <si>
    <t>Total</t>
  </si>
  <si>
    <t>Data</t>
  </si>
  <si>
    <t>Plates</t>
  </si>
  <si>
    <t>Power ID</t>
  </si>
  <si>
    <t>Data ID</t>
  </si>
  <si>
    <t>This is a static copy of the DDPO tab from the Integration Workbook (IW)</t>
  </si>
  <si>
    <t>This is a static copy of the Mounting tab from the Integration Workbook</t>
  </si>
  <si>
    <t>Required Regular Power</t>
  </si>
  <si>
    <t>Required Emergency Power</t>
  </si>
  <si>
    <t>Data ID:</t>
  </si>
  <si>
    <t>Power ID:</t>
  </si>
  <si>
    <t>Required Regular Power:</t>
  </si>
  <si>
    <t>Required Emergency Power:</t>
  </si>
  <si>
    <t>Required Data Drops</t>
  </si>
  <si>
    <t>Required Data Drops:</t>
  </si>
  <si>
    <t>Power Strips</t>
  </si>
  <si>
    <t>Outlets</t>
  </si>
  <si>
    <t>Data Drop Summary</t>
  </si>
  <si>
    <t>Power Outlet Summary</t>
  </si>
  <si>
    <t>Summary Legend</t>
  </si>
  <si>
    <t>Data Drops</t>
  </si>
  <si>
    <t>Required</t>
  </si>
  <si>
    <t>Data Plates</t>
  </si>
  <si>
    <t>Description</t>
  </si>
  <si>
    <t xml:space="preserve"> Outlets</t>
  </si>
  <si>
    <t>total number of regular power outlets that are required</t>
  </si>
  <si>
    <t>total number of emergency power outlets that are required</t>
  </si>
  <si>
    <t>total number of data drops that are required</t>
  </si>
  <si>
    <t>total number of data face plates designated to be added</t>
  </si>
  <si>
    <t>total number of regular power face plates designated to be added</t>
  </si>
  <si>
    <t>total number of emergency power face plates designated to be added</t>
  </si>
  <si>
    <t>number of power strips identified by local FMS/Engineering Services that could be used instead of adding new power outlets</t>
  </si>
  <si>
    <t>Local FMS Name</t>
  </si>
  <si>
    <t>Low Wall</t>
  </si>
  <si>
    <t>Yes</t>
  </si>
  <si>
    <t>Tracking Board</t>
  </si>
  <si>
    <t>High Wall</t>
  </si>
  <si>
    <t>Tracking Board PC</t>
  </si>
  <si>
    <t>Armband Printer</t>
  </si>
  <si>
    <t xml:space="preserve">This draft report contains relevant detail from the DDPO assessment and is intended to give the local FMS/Engineeering Services teams access to this data to start project work before the official deliverable is received and approved by the VA. 
Since this is a draft, the data herein is subject to change. </t>
  </si>
  <si>
    <t>Mounts</t>
  </si>
  <si>
    <t>OCEs</t>
  </si>
  <si>
    <t>Tracking boards</t>
  </si>
  <si>
    <t>Tracking board PCs</t>
  </si>
  <si>
    <t>number of Oracle Connectivity Engines that need to be mounted</t>
  </si>
  <si>
    <t>number of tracking boards that need to be mounted</t>
  </si>
  <si>
    <t>number of PCs that need to be mounted for the tracking boards</t>
  </si>
  <si>
    <t>number of wall-mounts that need to be mounted</t>
  </si>
  <si>
    <t>Wallmounts</t>
  </si>
  <si>
    <t xml:space="preserve">Label - Low Volume </t>
  </si>
  <si>
    <t>Document Scanner</t>
  </si>
  <si>
    <t>PC</t>
  </si>
  <si>
    <t>Check-In</t>
  </si>
  <si>
    <t>724 DTV Laptop</t>
  </si>
  <si>
    <t>Downtime Printer</t>
  </si>
  <si>
    <t>Med Room</t>
  </si>
  <si>
    <t>Processing Area</t>
  </si>
  <si>
    <t>Laser - Low Volume</t>
  </si>
  <si>
    <t>Above Counter/Desk</t>
  </si>
  <si>
    <t>Below Counter/Desk</t>
  </si>
  <si>
    <t>DDPOTbl[Building]</t>
  </si>
  <si>
    <t>DDPOTbl[Floor]</t>
  </si>
  <si>
    <t>DDPOTbl[Unit]</t>
  </si>
  <si>
    <t>DDPOTbl[Room]</t>
  </si>
  <si>
    <t>DDPOTbl[Location Details]</t>
  </si>
  <si>
    <t>DDPOTbl[Device]</t>
  </si>
  <si>
    <t>DDPOTbl[New Data ID]</t>
  </si>
  <si>
    <t>DDPOTbl[New Power ID]</t>
  </si>
  <si>
    <t>DDPOTbl[Drop Location]</t>
  </si>
  <si>
    <t>DDPOTbl[Required Data Drops]</t>
  </si>
  <si>
    <t>DDPOTbl[Required Regular Power]</t>
  </si>
  <si>
    <t>DDPOTbl[Required Emergency Power]</t>
  </si>
  <si>
    <t>DDPOTbl[FMS to Add Power Strip]</t>
  </si>
  <si>
    <t>DDPOTbl[Local FMS Name]</t>
  </si>
  <si>
    <t>DDPOTbl[Notes]</t>
  </si>
  <si>
    <t>Data returned for Required Data Drops, 35-2-1-D (First 1000 rows).</t>
  </si>
  <si>
    <t>-</t>
  </si>
  <si>
    <t>Bed Pavilion : 7 West - Inpatient Psychiatry</t>
  </si>
  <si>
    <t>7681</t>
  </si>
  <si>
    <t>Tracking Board - Above Right Window</t>
  </si>
  <si>
    <t>Bed Pavilion : 7 East - Inpatient Psychiatry</t>
  </si>
  <si>
    <t>7633</t>
  </si>
  <si>
    <t>Tracking Board - Above Window</t>
  </si>
  <si>
    <t>Bed Pavilion : 4 West - ICU</t>
  </si>
  <si>
    <t>Patient Room - North Side</t>
  </si>
  <si>
    <t>OCE</t>
  </si>
  <si>
    <t>Bed Pavilion : Anesthesia Admin</t>
  </si>
  <si>
    <t>2675</t>
  </si>
  <si>
    <t>Anesthesia Hallway (Between 2675 and 2674)</t>
  </si>
  <si>
    <t>Bed Pavilion : Surgery</t>
  </si>
  <si>
    <t>2640</t>
  </si>
  <si>
    <t>Staff Lounge</t>
  </si>
  <si>
    <t>2609</t>
  </si>
  <si>
    <t>RMD Storage Room</t>
  </si>
  <si>
    <t>2610</t>
  </si>
  <si>
    <t>Sterile Core</t>
  </si>
  <si>
    <t>2620</t>
  </si>
  <si>
    <t>OR 1</t>
  </si>
  <si>
    <t>Anesthesia AIO</t>
  </si>
  <si>
    <t>Bed Pavilion : Surgery - PACU</t>
  </si>
  <si>
    <t>Nurse Station - Near Quad 5</t>
  </si>
  <si>
    <t>2645</t>
  </si>
  <si>
    <t>Nurse Station - Near Quad 1</t>
  </si>
  <si>
    <t>Bed Pavilion : Sterile Processing - Prep</t>
  </si>
  <si>
    <t>1639</t>
  </si>
  <si>
    <t>Sterile Processing</t>
  </si>
  <si>
    <t>Bed Pavilion : Sterile Processing - Decon</t>
  </si>
  <si>
    <t>1635</t>
  </si>
  <si>
    <t>Bed Pavilion : Surgery - Same Day Surgery</t>
  </si>
  <si>
    <t>1680</t>
  </si>
  <si>
    <t>Nurse Station - Back</t>
  </si>
  <si>
    <t>Bed Pavilion : Surgery - Urology - GU</t>
  </si>
  <si>
    <t>1693</t>
  </si>
  <si>
    <t>Procedure Room</t>
  </si>
  <si>
    <t>1687A</t>
  </si>
  <si>
    <t>Nurse Station - Front desk</t>
  </si>
  <si>
    <t xml:space="preserve">Med Room  </t>
  </si>
  <si>
    <t>Atrium : ED - Fast Track</t>
  </si>
  <si>
    <t>1192</t>
  </si>
  <si>
    <t>Fast Rack - Procedure Room</t>
  </si>
  <si>
    <t>Damen Pavilion : Addiction Treatment Program</t>
  </si>
  <si>
    <t>8455</t>
  </si>
  <si>
    <t>Exam</t>
  </si>
  <si>
    <t>Damen Pavilion : Specialty Clinic</t>
  </si>
  <si>
    <t>6519</t>
  </si>
  <si>
    <t>Check-in</t>
  </si>
  <si>
    <t>Damen Pavilion : Endoscopy / GI (Under Construction - Expected Move In March 2026)</t>
  </si>
  <si>
    <t>Bay 5 - Current Space Under Construction unsure exact Room Number</t>
  </si>
  <si>
    <t>Bay 4 - Current Space Under Construction unsure exact Room Number</t>
  </si>
  <si>
    <t>Bay 3 - Current Space Under Construction unsure exact Room Number</t>
  </si>
  <si>
    <t>Bay 2 - Current Space Under Construction unsure exact Room Number</t>
  </si>
  <si>
    <t>Bay 1 - Current Space Under Construction unsure exact Room Number</t>
  </si>
  <si>
    <t>Damen Pavilion : Vascular Lab / Cardiology (Under Construction - Open June 2026)</t>
  </si>
  <si>
    <t>5406</t>
  </si>
  <si>
    <t>Check-In / Nurse Station</t>
  </si>
  <si>
    <t>5474</t>
  </si>
  <si>
    <t>Nurse Station</t>
  </si>
  <si>
    <t>Damen Pavilion : Cardiology - Echo / EKG</t>
  </si>
  <si>
    <t>Work Room</t>
  </si>
  <si>
    <t>5486</t>
  </si>
  <si>
    <t>Procedure Room 5</t>
  </si>
  <si>
    <t>5487</t>
  </si>
  <si>
    <t>Procedure Room 1</t>
  </si>
  <si>
    <t>Bay 7 - Current Space Under Construction unsure exact Room Number</t>
  </si>
  <si>
    <t>Bay 6 - Current Space Under Construction unsure exact Room Number</t>
  </si>
  <si>
    <t>Damen Pavilion : Lab</t>
  </si>
  <si>
    <t>4559</t>
  </si>
  <si>
    <t xml:space="preserve">Chemistry </t>
  </si>
  <si>
    <t>4549</t>
  </si>
  <si>
    <t>4549B</t>
  </si>
  <si>
    <t>Micro</t>
  </si>
  <si>
    <t>Urinalyses</t>
  </si>
  <si>
    <t>Damen Pavilion : Dental Services</t>
  </si>
  <si>
    <t>4411</t>
  </si>
  <si>
    <t>Surgery Resident Room</t>
  </si>
  <si>
    <t>4422</t>
  </si>
  <si>
    <t>Oral Surgery 1</t>
  </si>
  <si>
    <t>4419</t>
  </si>
  <si>
    <t>Office</t>
  </si>
  <si>
    <t>Damen Pavilion : Outpatient Hemo Dialysis</t>
  </si>
  <si>
    <t>Behind Chair 7</t>
  </si>
  <si>
    <t>Damen Pavilion : Director's Suite</t>
  </si>
  <si>
    <t>2426</t>
  </si>
  <si>
    <t>Suit Desk</t>
  </si>
  <si>
    <t>Ogden Pavilion : Eye Clinic</t>
  </si>
  <si>
    <t>5348</t>
  </si>
  <si>
    <t>Ogden Pavilion : Specialty Clinic - Purple/Orange</t>
  </si>
  <si>
    <t>2333</t>
  </si>
  <si>
    <t>Nurse Room</t>
  </si>
  <si>
    <t>Ogden Pavilion : Lab - Blood Draw (Moving Early 2026 to 1355)</t>
  </si>
  <si>
    <t>Ogden Pavilion : Radiology - MRI (Under Construction - Apr 2026)</t>
  </si>
  <si>
    <t>MRI Tech Room Control Room Area</t>
  </si>
  <si>
    <t>1304C</t>
  </si>
  <si>
    <t>MRI Tech Room (Under Construction - Mar 2026)</t>
  </si>
  <si>
    <t>Taylor Pavilion : Pharmacy - Outpatient</t>
  </si>
  <si>
    <t>Narcotic Vault - Desk 2</t>
  </si>
  <si>
    <t>Damen Pavilion : ED</t>
  </si>
  <si>
    <t>1400</t>
  </si>
  <si>
    <t>Triage Check-In</t>
  </si>
  <si>
    <t>Damen Pavilion : Radiology</t>
  </si>
  <si>
    <t>1533</t>
  </si>
  <si>
    <t>Flouro Control</t>
  </si>
  <si>
    <t>Damen Pavilion : Radiology (Intervention Radiology)</t>
  </si>
  <si>
    <t>1538C</t>
  </si>
  <si>
    <t>CCE Will mount to Anes Cart brought down from anesthesia, data drop would need to be within 10 feet of available gas hookups for this room</t>
  </si>
  <si>
    <t>1530A</t>
  </si>
  <si>
    <t>CT Control Room</t>
  </si>
  <si>
    <t>1519</t>
  </si>
  <si>
    <t>X-Ray Tech Area</t>
  </si>
  <si>
    <t>2630</t>
  </si>
  <si>
    <t>Bed Pavilion : 6 East - Stepdown/Telemetry</t>
  </si>
  <si>
    <t>Near head of Bed</t>
  </si>
  <si>
    <t>Damen Pavilion : Pharmacy - Inpatient</t>
  </si>
  <si>
    <t>3520</t>
  </si>
  <si>
    <t>Unit Dose / Fill Area</t>
  </si>
  <si>
    <t>Nurse Station - Back Counter</t>
  </si>
  <si>
    <t>3522</t>
  </si>
  <si>
    <t>Narcotic Vault - Wks. 1</t>
  </si>
  <si>
    <t>Ogden Pavilion : Prosthetics</t>
  </si>
  <si>
    <t>3312</t>
  </si>
  <si>
    <t>Social Work - Caregiver Support</t>
  </si>
  <si>
    <t>Back Office</t>
  </si>
  <si>
    <t>40-7-2-D</t>
  </si>
  <si>
    <t>40-7-1-D</t>
  </si>
  <si>
    <t>40-4-1-D</t>
  </si>
  <si>
    <t>Head of Bed</t>
  </si>
  <si>
    <t>40-2-8-D</t>
  </si>
  <si>
    <t>40-2-6-P</t>
  </si>
  <si>
    <t>40-2-7-D</t>
  </si>
  <si>
    <t>40-2-10-P</t>
  </si>
  <si>
    <t>40-2-6-D</t>
  </si>
  <si>
    <t>40-2-5-P</t>
  </si>
  <si>
    <t>40-2-5-D</t>
  </si>
  <si>
    <t>40-2-4-P</t>
  </si>
  <si>
    <t>40-2-4-D</t>
  </si>
  <si>
    <t>On Boom</t>
  </si>
  <si>
    <t>40-2-3-D</t>
  </si>
  <si>
    <t>40-2-2-D</t>
  </si>
  <si>
    <t>40-2-2-P</t>
  </si>
  <si>
    <t>40-2-1-D</t>
  </si>
  <si>
    <t>40-2-1-P</t>
  </si>
  <si>
    <t>40-1-7-D</t>
  </si>
  <si>
    <t>40-1-2-P</t>
  </si>
  <si>
    <t>40-1-6-D</t>
  </si>
  <si>
    <t>40-1-1-P</t>
  </si>
  <si>
    <t>40-1-5-D</t>
  </si>
  <si>
    <t>40-1-4-D</t>
  </si>
  <si>
    <t>40-1-3-D</t>
  </si>
  <si>
    <t>40-1-2-D</t>
  </si>
  <si>
    <t>40-1-1-D</t>
  </si>
  <si>
    <t>30-1-1-D</t>
  </si>
  <si>
    <t>1-8-1-D</t>
  </si>
  <si>
    <t>1-6-1-D</t>
  </si>
  <si>
    <t>1-5-9-D</t>
  </si>
  <si>
    <t>1-5-8-D</t>
  </si>
  <si>
    <t>1-5-7-D</t>
  </si>
  <si>
    <t>1-5-6-D</t>
  </si>
  <si>
    <t>1-5-5-D</t>
  </si>
  <si>
    <t>1-5-4-D</t>
  </si>
  <si>
    <t>1-5-3-D</t>
  </si>
  <si>
    <t>1-5-2-D</t>
  </si>
  <si>
    <t>1-5-1-D</t>
  </si>
  <si>
    <t>1-5-14-D</t>
  </si>
  <si>
    <t>1-5-13-D</t>
  </si>
  <si>
    <t>Mid Wall</t>
  </si>
  <si>
    <t>1-5-12-D</t>
  </si>
  <si>
    <t>1-5-11-D</t>
  </si>
  <si>
    <t>1-5-10-D</t>
  </si>
  <si>
    <t>1-4-8-D</t>
  </si>
  <si>
    <t>1-4-4-P</t>
  </si>
  <si>
    <t>1-4-7-D</t>
  </si>
  <si>
    <t>1-4-3-P</t>
  </si>
  <si>
    <t>1-4-6-D</t>
  </si>
  <si>
    <t>1-4-2-P</t>
  </si>
  <si>
    <t>1-4-5-D</t>
  </si>
  <si>
    <t>1-4-4-D</t>
  </si>
  <si>
    <t>1-4-1-P</t>
  </si>
  <si>
    <t>1-4-3-D</t>
  </si>
  <si>
    <t>1-4-2-D</t>
  </si>
  <si>
    <t>1-4-1-D</t>
  </si>
  <si>
    <t>1-3-1-D</t>
  </si>
  <si>
    <t>1-2-1-D</t>
  </si>
  <si>
    <t>11B-5-1-D</t>
  </si>
  <si>
    <t>11B-2-1-D</t>
  </si>
  <si>
    <t>11B-1-4-D</t>
  </si>
  <si>
    <t>11B-1-3-D</t>
  </si>
  <si>
    <t>11B-1-2-D</t>
  </si>
  <si>
    <t>11B-1-1-D</t>
  </si>
  <si>
    <t>11B-1-1-P</t>
  </si>
  <si>
    <t>11A-1-1-D</t>
  </si>
  <si>
    <t>11A-1-1-P</t>
  </si>
  <si>
    <t>1-1-5-D</t>
  </si>
  <si>
    <t>1-1-4-D</t>
  </si>
  <si>
    <t>1-1-3-P</t>
  </si>
  <si>
    <t>1-1-3-D</t>
  </si>
  <si>
    <t>1-1-2-D</t>
  </si>
  <si>
    <t>1-1-2-P</t>
  </si>
  <si>
    <t>1-1-1-D</t>
  </si>
  <si>
    <t>1-1-1-P</t>
  </si>
  <si>
    <t>40-7-2-P</t>
  </si>
  <si>
    <t>40-7-1-P</t>
  </si>
  <si>
    <t>40-2-3-P</t>
  </si>
  <si>
    <t>1-3-3-P</t>
  </si>
  <si>
    <t>1-3-2-P</t>
  </si>
  <si>
    <t>11B-3-1-P</t>
  </si>
  <si>
    <t>11B-1-2-P</t>
  </si>
  <si>
    <t>Data needed - High / Pwr available - TV mount installed - Above windows</t>
  </si>
  <si>
    <t>Data Needed - High / Power available - TV mount Installed</t>
  </si>
  <si>
    <t>Need Data / Power available on head wall</t>
  </si>
  <si>
    <t>Data / Pwr needed High Wall - Above long counter</t>
  </si>
  <si>
    <t xml:space="preserve">Add Data/power for PC close to door opening,. </t>
  </si>
  <si>
    <t>Add Data/Emergency Power - High wall - Above counter with Specimen/Armband/Laser</t>
  </si>
  <si>
    <t>Add data in  teletom Boom Anesthesia boom (OCE Boom Mounted)</t>
  </si>
  <si>
    <t>Data/Power Needed - High wall - above Evacuation sign</t>
  </si>
  <si>
    <t>Data/Power Needed - High wall - above current white board right of AlertUs speaker</t>
  </si>
  <si>
    <t>Data Needed / Power available under workstation desk</t>
  </si>
  <si>
    <t>Add Data / Need Pwr Strip for Emergency Power</t>
  </si>
  <si>
    <t>Add Data below desk or  near desk low wall / Power strip available.</t>
  </si>
  <si>
    <t>Data Needed / pwr Available under Desk</t>
  </si>
  <si>
    <t>Data needed / pwr available under desk</t>
  </si>
  <si>
    <t>Data Needed / Pwr available by column</t>
  </si>
  <si>
    <t>Data Needed / Emergency Power Available</t>
  </si>
  <si>
    <t>Data Needed / Pwr need Power Strip</t>
  </si>
  <si>
    <t>Data Needed - Emergency Power Available</t>
  </si>
  <si>
    <t>Emergency Power Available / Data needed on Blue Wall</t>
  </si>
  <si>
    <t>Need Data/Power high on wall in between outside windows</t>
  </si>
  <si>
    <t>Add Data / Pwr high on wall above sink area</t>
  </si>
  <si>
    <t>Data / Pwr needed high on wall by BSC hood</t>
  </si>
  <si>
    <t>Add Data on printer side of room / need pwr strip</t>
  </si>
  <si>
    <t>Need Data and Pwr high on small tan wall along glass</t>
  </si>
  <si>
    <t>Add Data / Pwr Available by laser printer</t>
  </si>
  <si>
    <t>Need Data left of desk / need power strip</t>
  </si>
  <si>
    <t>there is extra data in room and cam be moved to needed location</t>
  </si>
  <si>
    <t>Add data behind desk</t>
  </si>
  <si>
    <t>Add Data under desk - Power strip available window side</t>
  </si>
  <si>
    <t>Add Data/Power available - Under desk</t>
  </si>
  <si>
    <t>Data available - Under desk - Power strip needed</t>
  </si>
  <si>
    <t>Add Data - High Wall / Power Available - Corner High by Alertus Speaker</t>
  </si>
  <si>
    <t>Data/Power Needed - High - Between Bathroom Doors</t>
  </si>
  <si>
    <t>Data/Power needed -  On right side under cabinet</t>
  </si>
  <si>
    <t>Add Data on wall next to edge of desk / Pwr strips available</t>
  </si>
  <si>
    <t>Add Data / Add Pwr under control desk - Maybe shelf mount PC due to space</t>
  </si>
  <si>
    <t>Need Data Low-Mid wall Right of Gas - Emergency Power available Low</t>
  </si>
  <si>
    <t xml:space="preserve">Add Data/ Pwr high wall on Entry wall between door and Desk </t>
  </si>
  <si>
    <t>Add Data/Pwr High Wall above short desk</t>
  </si>
  <si>
    <t>Data Available / Emergency Power Needed</t>
  </si>
  <si>
    <t>Data under desk by back wall / emergency power needed</t>
  </si>
  <si>
    <t>Power needed / Currently Narcotic room has power glitches.</t>
  </si>
  <si>
    <t>Data available -Under Desk - Power needed</t>
  </si>
  <si>
    <t>Data available under desk - Emergency Power Needed</t>
  </si>
  <si>
    <t>Data available - Under desk - Emergency Power Needed</t>
  </si>
  <si>
    <t>Atrium</t>
  </si>
  <si>
    <t>Bed Pavilion</t>
  </si>
  <si>
    <t>Damen Pavilion</t>
  </si>
  <si>
    <t>Ogden Pavilion</t>
  </si>
  <si>
    <t>Taylor Pavilion</t>
  </si>
  <si>
    <t>14709L</t>
  </si>
  <si>
    <t>Rm 10</t>
  </si>
  <si>
    <t>1470A</t>
  </si>
  <si>
    <t>Rm 1</t>
  </si>
  <si>
    <t>1470C</t>
  </si>
  <si>
    <t>Rm 3</t>
  </si>
  <si>
    <t>1470D</t>
  </si>
  <si>
    <t>Rm 4</t>
  </si>
  <si>
    <t>1470E</t>
  </si>
  <si>
    <t>Rm 5</t>
  </si>
  <si>
    <t>1470F</t>
  </si>
  <si>
    <t>Rm 6</t>
  </si>
  <si>
    <t>1470G</t>
  </si>
  <si>
    <t>Rm 7</t>
  </si>
  <si>
    <t>1470K</t>
  </si>
  <si>
    <t>Rm 9</t>
  </si>
  <si>
    <t>1470M</t>
  </si>
  <si>
    <t>Rm 11</t>
  </si>
  <si>
    <t>1470N</t>
  </si>
  <si>
    <t>Rm 12</t>
  </si>
  <si>
    <t>1470P</t>
  </si>
  <si>
    <t>Rm 13</t>
  </si>
  <si>
    <t>1470Q</t>
  </si>
  <si>
    <t>Rm 14</t>
  </si>
  <si>
    <t>1470R</t>
  </si>
  <si>
    <t>Rm 15</t>
  </si>
  <si>
    <t>1480A</t>
  </si>
  <si>
    <t>Rm 18</t>
  </si>
  <si>
    <t>1480B</t>
  </si>
  <si>
    <t>Rm 19</t>
  </si>
  <si>
    <t>1480C</t>
  </si>
  <si>
    <t>Rm 20</t>
  </si>
  <si>
    <t>1480D</t>
  </si>
  <si>
    <t>Rm 21</t>
  </si>
  <si>
    <t>Behind Chair 1</t>
  </si>
  <si>
    <t>Behind Chair 2</t>
  </si>
  <si>
    <t>Behind Chair 3</t>
  </si>
  <si>
    <t>Behind Chair 4</t>
  </si>
  <si>
    <t>Behind Chair 5</t>
  </si>
  <si>
    <t>Behind Chair 6</t>
  </si>
  <si>
    <t>Damen Pavilion : Cardiology - Cath Lab</t>
  </si>
  <si>
    <t xml:space="preserve">Cath Lab  </t>
  </si>
  <si>
    <t>EP Lab</t>
  </si>
  <si>
    <t>Ogden Pavilion : Radiology (MRI)</t>
  </si>
  <si>
    <t>Near Control Room Expression Monitor</t>
  </si>
  <si>
    <t>Atrium : Urology - GU Clinic</t>
  </si>
  <si>
    <t>1109 - Procedure Room</t>
  </si>
  <si>
    <t>2602</t>
  </si>
  <si>
    <t>OR 8 (CYSTO)</t>
  </si>
  <si>
    <t>2604</t>
  </si>
  <si>
    <t>OR 7</t>
  </si>
  <si>
    <t>2606</t>
  </si>
  <si>
    <t>OR 6</t>
  </si>
  <si>
    <t>2608</t>
  </si>
  <si>
    <t>OR 5</t>
  </si>
  <si>
    <t>2614</t>
  </si>
  <si>
    <t>OR 4</t>
  </si>
  <si>
    <t>2616</t>
  </si>
  <si>
    <t>OR 3</t>
  </si>
  <si>
    <t>2618</t>
  </si>
  <si>
    <t>OR 2</t>
  </si>
  <si>
    <t>Bay 14</t>
  </si>
  <si>
    <t>Bay 13</t>
  </si>
  <si>
    <t>Bay 12</t>
  </si>
  <si>
    <t>Bay 8</t>
  </si>
  <si>
    <t>Bay 7</t>
  </si>
  <si>
    <t>Bay 6</t>
  </si>
  <si>
    <t>Bay 5</t>
  </si>
  <si>
    <t>Bay 4</t>
  </si>
  <si>
    <t>Bay 1</t>
  </si>
  <si>
    <t>Bay 2</t>
  </si>
  <si>
    <t>Bay 3</t>
  </si>
  <si>
    <t>Bay 11</t>
  </si>
  <si>
    <t>Bay 10</t>
  </si>
  <si>
    <t>Bay 9</t>
  </si>
  <si>
    <t>Patient Room - West Side</t>
  </si>
  <si>
    <t>Patient Room - South Side</t>
  </si>
  <si>
    <t>Bed Pavilion : Dialysis - Inpatient</t>
  </si>
  <si>
    <t>Within 10 Feet of Dialysis Machine</t>
  </si>
  <si>
    <t>4648 Chair 1</t>
  </si>
  <si>
    <t>Behind Chair</t>
  </si>
  <si>
    <t>4648 Chair 2</t>
  </si>
  <si>
    <t>4648 Chair 3</t>
  </si>
  <si>
    <t>4648 Chair 4</t>
  </si>
  <si>
    <t>6630-1</t>
  </si>
  <si>
    <t>6630-2</t>
  </si>
  <si>
    <t>6632-1</t>
  </si>
  <si>
    <t>6632-2</t>
  </si>
  <si>
    <t>6634-1</t>
  </si>
  <si>
    <t>6634-2</t>
  </si>
  <si>
    <t>6636-1</t>
  </si>
  <si>
    <t>6636-2</t>
  </si>
  <si>
    <t>6638-1</t>
  </si>
  <si>
    <t>6638-2</t>
  </si>
  <si>
    <t>6642-1</t>
  </si>
  <si>
    <t>6642-2</t>
  </si>
  <si>
    <t>6644-1</t>
  </si>
  <si>
    <t>6644-2</t>
  </si>
  <si>
    <t>CCE Between the two Recovery Bays</t>
  </si>
  <si>
    <t>5488</t>
  </si>
  <si>
    <t>Procedure Room 4</t>
  </si>
  <si>
    <t>5494</t>
  </si>
  <si>
    <t>Procedure Room 3</t>
  </si>
  <si>
    <t>5495</t>
  </si>
  <si>
    <t>Procedure Room 2</t>
  </si>
  <si>
    <t>Taylor Pavilion : Outpatient Dialysis</t>
  </si>
  <si>
    <t>Between Chair 1 &amp; 2</t>
  </si>
  <si>
    <t>Between Chair 10 &amp; 11</t>
  </si>
  <si>
    <t>Between Chair 3 &amp; 4</t>
  </si>
  <si>
    <t>Chair 5</t>
  </si>
  <si>
    <t>Between Chair 7 &amp; 8</t>
  </si>
  <si>
    <t>Chair 9</t>
  </si>
  <si>
    <t>1470H</t>
  </si>
  <si>
    <t>Rm 8</t>
  </si>
  <si>
    <t>Rm 16</t>
  </si>
  <si>
    <t>Rm 17</t>
  </si>
  <si>
    <t>4553</t>
  </si>
  <si>
    <t>Coag/Hemo</t>
  </si>
  <si>
    <t>6601</t>
  </si>
  <si>
    <t>Charting Area</t>
  </si>
  <si>
    <t>1687</t>
  </si>
  <si>
    <t>Nurse Station - Side Wall</t>
  </si>
  <si>
    <t xml:space="preserve">Atrium </t>
  </si>
  <si>
    <t>1183</t>
  </si>
  <si>
    <t>Nurse / Provider Room</t>
  </si>
  <si>
    <t>4699</t>
  </si>
  <si>
    <t>Nurse Station - North Side</t>
  </si>
  <si>
    <t>Bed Pavilion : 5 East - Med/Surg</t>
  </si>
  <si>
    <t>5601</t>
  </si>
  <si>
    <t>Damen Pavilion : Radiology - Nuclear Medicine</t>
  </si>
  <si>
    <t>2484</t>
  </si>
  <si>
    <t>Injection Room</t>
  </si>
  <si>
    <t>Wallmount PC</t>
  </si>
  <si>
    <t xml:space="preserve">Currently PC on Desk using data and power under desk. Mount PC behind tracking board. Longer connection needed as data power is under desk. </t>
  </si>
  <si>
    <t>Mount on Wall (Mid Level near data/power) Between Chair 1 &amp; 2</t>
  </si>
  <si>
    <t>Mount on Wall (Mid Level near data/power) Between Chair 10 &amp; 11</t>
  </si>
  <si>
    <t>Mount on Wall (Mid Level near data/power) Between Chair 3 &amp; 4</t>
  </si>
  <si>
    <t>Mount on Wall (Mid Level near data/power) Behind Chair 5</t>
  </si>
  <si>
    <t>Mount on Wall (Mid Level near data/power) Between Chair 7 &amp; 8</t>
  </si>
  <si>
    <t>Mount on Wall (Mid Level near data/power) Behind Chair 9</t>
  </si>
  <si>
    <t>Mount on Wall Near Expression Monitor on Control Room counter/desk</t>
  </si>
  <si>
    <t>Mount on Head Wall (Mid Level near Data/Power) between recovery bay beds</t>
  </si>
  <si>
    <t>Mount on Wall (Mid Level Near Data/Pwr) Behind chair 7</t>
  </si>
  <si>
    <t>Mount on Head Wall (Mid Level near Data/Power)</t>
  </si>
  <si>
    <t>Mount on Wall (Mid Level Near Data/Pwr) Behind chair 1</t>
  </si>
  <si>
    <t>Mount on Wall (Mid Level Near Data/Pwr) Behind chair 2</t>
  </si>
  <si>
    <t>Mount on Wall (Mid Level Near Data/Pwr) Behind chair 3</t>
  </si>
  <si>
    <t>Mount on Wall (Mid Level Near Data/Pwr) Behind chair 4</t>
  </si>
  <si>
    <t>Mount on Wall (Mid Level Near Data/Pwr) Behind chair 5</t>
  </si>
  <si>
    <t>Mount on Wall (Mid Level Near Data/Pwr) Behind chair 6</t>
  </si>
  <si>
    <t>Mount on Head Wall (Mid Level Near Data/Pwr)</t>
  </si>
  <si>
    <t>Mount on Boom near Anesthesia Dragger Machine</t>
  </si>
  <si>
    <t>Currently PC sitting on Desk under tracking board. Mount PC behind Tracking Board.</t>
  </si>
  <si>
    <t>Replace existing tracking board PC</t>
  </si>
  <si>
    <t>Currently PC sitting on counter next to tracking board. Mount PC behind tracking board.</t>
  </si>
  <si>
    <t>Mount on wall (Mid Level Near Anesthesia Machine)</t>
  </si>
  <si>
    <t>Mount on Wall (Mid Level Near Data/Pwr) Behind chair</t>
  </si>
  <si>
    <t>Mount OCE on Cart</t>
  </si>
  <si>
    <t>OCE Mount</t>
  </si>
  <si>
    <t>Tracking Board Mount</t>
  </si>
  <si>
    <t>PC Wallmount</t>
  </si>
  <si>
    <t>Mount on wall (Mid Level Near Anesthesia Machine/Patient Charting Workstation)</t>
  </si>
  <si>
    <t>Add Data/Power High in Hallway</t>
  </si>
  <si>
    <t>Data/Power Needed TBD - Under Construction until March 2027</t>
  </si>
  <si>
    <t>Data Needed / Pwr Strip Needed</t>
  </si>
  <si>
    <t>Network available on column, Emergency Power needed</t>
  </si>
  <si>
    <t>VA VISN 12 - Chicago Jesse Brown VAMC - Data Drop Power Outlet (DDPO) Draft Report</t>
  </si>
  <si>
    <t xml:space="preserve">The ID defined during the DDPO assessment of the specific data drop. This typically is built based on building-floor-#-D. 
So 1-1-1-D would represent building 1, floor 1, the first drop identified, and D for data. This should be the same Data ID used by the FMS/Engineering Services technician on their blueprints and acts as the primary key between the blueprint markings and the DDPO report. </t>
  </si>
  <si>
    <t>The number of data drops needed to support the device. The local FMS/Engineering Services team can choose to add more (2 instead of 1) for future capacity or site standards.</t>
  </si>
  <si>
    <t xml:space="preserve">The ID defined during the DDPO assessment of the specific power outlet. This typically is built based on building-floor-#-P. So 1-1-1-D would represent building 1, floor 1, the first drop identified, and D for data. This should be the same Power ID used by the FMS/Engineering Services technician on their blueprints and acts as the primary key between the blueprint markings and the DDPO report. </t>
  </si>
  <si>
    <t>The number of regular power outlets needed to support the device. The local FMS/Engineering Services team can choose to add more (duplex instead of single) for future capacity or site standards.</t>
  </si>
  <si>
    <t>The number of emergency power outlets needed to support the device. The local FMS/Engineering Services team can choose to add more (duplex instead of single) for future capacity or site standards.</t>
  </si>
  <si>
    <t>Chris Cain /Jeremy Hsu/ Eloy Cerda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</si>
</sst>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Oracle Sans Tab"/>
      <family val="2"/>
      <scheme val="minor"/>
    </font>
    <font>
      <b/>
      <sz val="11"/>
      <color theme="0"/>
      <name val="Oracle Sans Tab"/>
      <family val="2"/>
      <scheme val="minor"/>
    </font>
    <font>
      <sz val="11"/>
      <color theme="0"/>
      <name val="Oracle Sans Tab"/>
      <family val="2"/>
      <scheme val="minor"/>
    </font>
    <font>
      <b/>
      <sz val="12"/>
      <color theme="0"/>
      <name val="Oracle Sans Tab"/>
      <family val="2"/>
      <scheme val="minor"/>
    </font>
    <font>
      <b/>
      <sz val="12"/>
      <color theme="1"/>
      <name val="Oracle Sans Tab"/>
      <family val="2"/>
      <scheme val="minor"/>
    </font>
    <font>
      <sz val="10"/>
      <name val="Arial"/>
      <family val="2"/>
    </font>
    <font>
      <b/>
      <sz val="10"/>
      <color theme="0"/>
      <name val="Oracle Sans Tab"/>
      <family val="2"/>
      <scheme val="minor"/>
    </font>
    <font>
      <b/>
      <sz val="9"/>
      <color theme="0"/>
      <name val="Oracle Sans Tab"/>
      <family val="2"/>
      <scheme val="minor"/>
    </font>
    <font>
      <sz val="10"/>
      <name val="Oracle Sans Tab"/>
      <family val="2"/>
      <scheme val="minor"/>
    </font>
    <font>
      <sz val="9"/>
      <color theme="0"/>
      <name val="Oracle Sans Tab"/>
      <family val="2"/>
      <scheme val="minor"/>
    </font>
    <font>
      <b/>
      <sz val="9"/>
      <name val="Oracle Sans Tab"/>
      <family val="2"/>
      <scheme val="minor"/>
    </font>
    <font>
      <sz val="8"/>
      <name val="Oracle Sans Tab"/>
      <family val="2"/>
      <scheme val="minor"/>
    </font>
    <font>
      <b/>
      <sz val="11"/>
      <color theme="1"/>
      <name val="Oracle Sans Tab"/>
      <family val="2"/>
      <scheme val="minor"/>
    </font>
    <font>
      <sz val="14"/>
      <name val="Oracle Sans Tab"/>
      <family val="2"/>
      <scheme val="minor"/>
    </font>
    <font>
      <sz val="14"/>
      <color theme="1"/>
      <name val="Oracle Sans Tab"/>
      <family val="2"/>
      <scheme val="minor"/>
    </font>
    <font>
      <b/>
      <sz val="14"/>
      <color theme="1"/>
      <name val="Oracle Sans Tab"/>
      <family val="2"/>
      <scheme val="minor"/>
    </font>
    <font>
      <sz val="10"/>
      <color theme="1"/>
      <name val="Oracle Sans Tab"/>
      <family val="2"/>
      <scheme val="minor"/>
    </font>
    <font>
      <b/>
      <sz val="18"/>
      <color theme="0"/>
      <name val="Oracle Sans Tab"/>
      <family val="2"/>
      <scheme val="minor"/>
    </font>
    <font>
      <i/>
      <sz val="11"/>
      <color theme="1"/>
      <name val="Oracle Sans Tab"/>
      <family val="2"/>
      <scheme val="minor"/>
    </font>
    <font>
      <sz val="9"/>
      <name val="Oracle Sans Tab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2C596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41817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74999237037263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110">
    <xf numFmtId="0" fontId="0" fillId="0" borderId="0" xfId="0"/>
    <xf numFmtId="0" fontId="4" fillId="0" borderId="0" xfId="0" applyFont="1" applyAlignment="1">
      <alignment vertical="center"/>
    </xf>
    <xf numFmtId="0" fontId="1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8" fillId="0" borderId="0" xfId="1" applyFont="1"/>
    <xf numFmtId="0" fontId="9" fillId="2" borderId="0" xfId="1" applyFont="1" applyFill="1"/>
    <xf numFmtId="0" fontId="9" fillId="2" borderId="0" xfId="1" applyFont="1" applyFill="1" applyAlignment="1">
      <alignment horizontal="left"/>
    </xf>
    <xf numFmtId="0" fontId="9" fillId="3" borderId="7" xfId="1" applyFont="1" applyFill="1" applyBorder="1"/>
    <xf numFmtId="0" fontId="7" fillId="5" borderId="8" xfId="1" applyFont="1" applyFill="1" applyBorder="1" applyAlignment="1">
      <alignment horizontal="left" wrapText="1"/>
    </xf>
    <xf numFmtId="0" fontId="7" fillId="6" borderId="8" xfId="1" applyFont="1" applyFill="1" applyBorder="1" applyAlignment="1">
      <alignment horizontal="left" wrapText="1"/>
    </xf>
    <xf numFmtId="0" fontId="10" fillId="7" borderId="8" xfId="1" applyFont="1" applyFill="1" applyBorder="1" applyAlignment="1">
      <alignment horizontal="left" wrapText="1"/>
    </xf>
    <xf numFmtId="0" fontId="0" fillId="0" borderId="0" xfId="0" pivotButton="1"/>
    <xf numFmtId="0" fontId="13" fillId="0" borderId="0" xfId="1" applyFont="1"/>
    <xf numFmtId="0" fontId="12" fillId="0" borderId="0" xfId="0" applyFont="1"/>
    <xf numFmtId="0" fontId="0" fillId="0" borderId="0" xfId="0" applyAlignment="1">
      <alignment horizontal="right" vertical="center"/>
    </xf>
    <xf numFmtId="0" fontId="14" fillId="0" borderId="0" xfId="0" applyFont="1"/>
    <xf numFmtId="0" fontId="12" fillId="0" borderId="0" xfId="0" applyFont="1" applyAlignment="1">
      <alignment horizontal="right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wrapText="1"/>
    </xf>
    <xf numFmtId="0" fontId="12" fillId="0" borderId="0" xfId="0" applyFont="1" applyAlignment="1">
      <alignment horizontal="center"/>
    </xf>
    <xf numFmtId="0" fontId="0" fillId="9" borderId="0" xfId="0" applyFill="1" applyAlignment="1">
      <alignment horizontal="center"/>
    </xf>
    <xf numFmtId="0" fontId="12" fillId="9" borderId="0" xfId="0" applyFont="1" applyFill="1" applyAlignment="1">
      <alignment horizontal="right"/>
    </xf>
    <xf numFmtId="0" fontId="0" fillId="9" borderId="0" xfId="0" applyFill="1" applyAlignment="1">
      <alignment horizontal="left"/>
    </xf>
    <xf numFmtId="0" fontId="0" fillId="9" borderId="0" xfId="0" applyFill="1"/>
    <xf numFmtId="0" fontId="12" fillId="10" borderId="0" xfId="0" applyFont="1" applyFill="1" applyAlignment="1">
      <alignment horizontal="right"/>
    </xf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horizontal="left"/>
    </xf>
    <xf numFmtId="0" fontId="0" fillId="10" borderId="0" xfId="0" applyFill="1"/>
    <xf numFmtId="0" fontId="0" fillId="10" borderId="0" xfId="0" applyFill="1" applyAlignment="1">
      <alignment horizontal="center"/>
    </xf>
    <xf numFmtId="0" fontId="1" fillId="11" borderId="13" xfId="0" applyFont="1" applyFill="1" applyBorder="1"/>
    <xf numFmtId="0" fontId="2" fillId="11" borderId="13" xfId="0" applyFont="1" applyFill="1" applyBorder="1"/>
    <xf numFmtId="0" fontId="1" fillId="12" borderId="13" xfId="0" applyFont="1" applyFill="1" applyBorder="1" applyAlignment="1">
      <alignment horizontal="left"/>
    </xf>
    <xf numFmtId="0" fontId="2" fillId="12" borderId="13" xfId="0" applyFont="1" applyFill="1" applyBorder="1"/>
    <xf numFmtId="0" fontId="0" fillId="13" borderId="14" xfId="0" applyFill="1" applyBorder="1" applyAlignment="1">
      <alignment horizontal="center"/>
    </xf>
    <xf numFmtId="0" fontId="1" fillId="14" borderId="13" xfId="0" applyFont="1" applyFill="1" applyBorder="1" applyAlignment="1">
      <alignment horizontal="left"/>
    </xf>
    <xf numFmtId="0" fontId="0" fillId="13" borderId="0" xfId="0" applyFill="1"/>
    <xf numFmtId="0" fontId="0" fillId="13" borderId="14" xfId="0" applyFill="1" applyBorder="1"/>
    <xf numFmtId="0" fontId="0" fillId="15" borderId="0" xfId="0" applyFill="1"/>
    <xf numFmtId="0" fontId="19" fillId="4" borderId="11" xfId="1" applyFont="1" applyFill="1" applyBorder="1" applyAlignment="1">
      <alignment wrapText="1"/>
    </xf>
    <xf numFmtId="0" fontId="6" fillId="3" borderId="16" xfId="1" applyFont="1" applyFill="1" applyBorder="1" applyAlignment="1">
      <alignment horizontal="center"/>
    </xf>
    <xf numFmtId="0" fontId="6" fillId="5" borderId="16" xfId="1" applyFont="1" applyFill="1" applyBorder="1" applyAlignment="1">
      <alignment horizontal="center" wrapText="1"/>
    </xf>
    <xf numFmtId="0" fontId="6" fillId="6" borderId="16" xfId="1" applyFont="1" applyFill="1" applyBorder="1" applyAlignment="1">
      <alignment horizontal="center"/>
    </xf>
    <xf numFmtId="0" fontId="6" fillId="5" borderId="16" xfId="1" applyFont="1" applyFill="1" applyBorder="1" applyAlignment="1">
      <alignment horizontal="center"/>
    </xf>
    <xf numFmtId="0" fontId="6" fillId="6" borderId="3" xfId="1" applyFont="1" applyFill="1" applyBorder="1" applyAlignment="1">
      <alignment horizontal="center"/>
    </xf>
    <xf numFmtId="0" fontId="7" fillId="7" borderId="16" xfId="1" applyFont="1" applyFill="1" applyBorder="1" applyAlignment="1">
      <alignment horizontal="left" wrapText="1"/>
    </xf>
    <xf numFmtId="0" fontId="15" fillId="0" borderId="0" xfId="0" applyFont="1"/>
    <xf numFmtId="0" fontId="12" fillId="4" borderId="13" xfId="0" applyFont="1" applyFill="1" applyBorder="1" applyAlignment="1">
      <alignment horizontal="left"/>
    </xf>
    <xf numFmtId="0" fontId="0" fillId="4" borderId="13" xfId="0" applyFill="1" applyBorder="1" applyAlignment="1">
      <alignment horizontal="right" vertical="center"/>
    </xf>
    <xf numFmtId="0" fontId="0" fillId="4" borderId="13" xfId="0" applyFill="1" applyBorder="1"/>
    <xf numFmtId="0" fontId="12" fillId="16" borderId="0" xfId="0" applyFont="1" applyFill="1" applyAlignment="1">
      <alignment horizontal="right"/>
    </xf>
    <xf numFmtId="0" fontId="0" fillId="16" borderId="0" xfId="0" applyFill="1"/>
    <xf numFmtId="0" fontId="0" fillId="16" borderId="0" xfId="0" applyFill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8" fillId="0" borderId="9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10" xfId="0" applyFont="1" applyBorder="1"/>
    <xf numFmtId="0" fontId="8" fillId="0" borderId="18" xfId="0" applyFont="1" applyBorder="1" applyAlignment="1">
      <alignment horizontal="left"/>
    </xf>
    <xf numFmtId="0" fontId="8" fillId="0" borderId="19" xfId="0" applyFont="1" applyBorder="1" applyAlignment="1">
      <alignment horizontal="left"/>
    </xf>
    <xf numFmtId="0" fontId="8" fillId="0" borderId="19" xfId="0" applyFont="1" applyBorder="1"/>
    <xf numFmtId="0" fontId="0" fillId="0" borderId="10" xfId="0" applyBorder="1"/>
    <xf numFmtId="0" fontId="8" fillId="0" borderId="10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12" xfId="0" applyFont="1" applyBorder="1"/>
    <xf numFmtId="0" fontId="8" fillId="0" borderId="10" xfId="1" applyFont="1" applyBorder="1"/>
    <xf numFmtId="0" fontId="8" fillId="0" borderId="10" xfId="1" applyFont="1" applyBorder="1" applyAlignment="1">
      <alignment horizontal="left"/>
    </xf>
    <xf numFmtId="0" fontId="8" fillId="0" borderId="10" xfId="1" applyFont="1" applyBorder="1" applyAlignment="1">
      <alignment horizontal="center"/>
    </xf>
    <xf numFmtId="1" fontId="8" fillId="0" borderId="10" xfId="1" applyNumberFormat="1" applyFont="1" applyBorder="1" applyAlignment="1">
      <alignment horizontal="center"/>
    </xf>
    <xf numFmtId="0" fontId="8" fillId="0" borderId="0" xfId="1" applyFont="1" applyAlignment="1">
      <alignment horizontal="left"/>
    </xf>
    <xf numFmtId="0" fontId="8" fillId="0" borderId="19" xfId="1" applyFont="1" applyBorder="1" applyAlignment="1">
      <alignment horizontal="left"/>
    </xf>
    <xf numFmtId="0" fontId="8" fillId="0" borderId="19" xfId="1" applyFont="1" applyBorder="1"/>
    <xf numFmtId="0" fontId="8" fillId="0" borderId="19" xfId="1" applyFont="1" applyBorder="1" applyAlignment="1">
      <alignment horizontal="center"/>
    </xf>
    <xf numFmtId="1" fontId="8" fillId="0" borderId="19" xfId="1" applyNumberFormat="1" applyFont="1" applyBorder="1" applyAlignment="1">
      <alignment horizontal="center"/>
    </xf>
    <xf numFmtId="0" fontId="8" fillId="0" borderId="12" xfId="1" applyFont="1" applyBorder="1"/>
    <xf numFmtId="0" fontId="19" fillId="4" borderId="7" xfId="1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16" fillId="0" borderId="0" xfId="0" applyFont="1"/>
    <xf numFmtId="0" fontId="16" fillId="0" borderId="0" xfId="0" applyFont="1" applyAlignment="1">
      <alignment horizontal="left"/>
    </xf>
    <xf numFmtId="0" fontId="6" fillId="6" borderId="2" xfId="1" applyFont="1" applyFill="1" applyBorder="1"/>
    <xf numFmtId="0" fontId="7" fillId="6" borderId="8" xfId="1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8" fillId="0" borderId="17" xfId="1" applyFont="1" applyBorder="1"/>
    <xf numFmtId="0" fontId="0" fillId="0" borderId="0" xfId="0" applyAlignment="1">
      <alignment vertical="center"/>
    </xf>
    <xf numFmtId="0" fontId="12" fillId="9" borderId="10" xfId="0" applyFont="1" applyFill="1" applyBorder="1" applyAlignment="1">
      <alignment vertical="center"/>
    </xf>
    <xf numFmtId="0" fontId="16" fillId="0" borderId="10" xfId="0" applyFont="1" applyBorder="1" applyAlignment="1">
      <alignment horizontal="left" vertical="center" wrapText="1"/>
    </xf>
    <xf numFmtId="0" fontId="12" fillId="10" borderId="10" xfId="0" applyFont="1" applyFill="1" applyBorder="1" applyAlignment="1">
      <alignment vertical="center"/>
    </xf>
    <xf numFmtId="0" fontId="15" fillId="0" borderId="0" xfId="0" applyFont="1" applyAlignment="1">
      <alignment horizontal="center"/>
    </xf>
    <xf numFmtId="0" fontId="18" fillId="0" borderId="0" xfId="0" applyFont="1" applyAlignment="1">
      <alignment horizontal="center" wrapText="1"/>
    </xf>
    <xf numFmtId="0" fontId="17" fillId="15" borderId="0" xfId="0" applyFont="1" applyFill="1" applyAlignment="1">
      <alignment horizontal="center"/>
    </xf>
    <xf numFmtId="0" fontId="15" fillId="0" borderId="0" xfId="0" applyFont="1"/>
    <xf numFmtId="0" fontId="15" fillId="8" borderId="12" xfId="0" applyFont="1" applyFill="1" applyBorder="1" applyAlignment="1">
      <alignment horizontal="center" vertical="center"/>
    </xf>
    <xf numFmtId="0" fontId="15" fillId="8" borderId="15" xfId="0" applyFont="1" applyFill="1" applyBorder="1" applyAlignment="1">
      <alignment horizontal="center" vertical="center"/>
    </xf>
    <xf numFmtId="0" fontId="15" fillId="8" borderId="9" xfId="0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7" fillId="4" borderId="3" xfId="1" applyFont="1" applyFill="1" applyBorder="1" applyAlignment="1">
      <alignment horizontal="center" wrapText="1"/>
    </xf>
    <xf numFmtId="0" fontId="7" fillId="4" borderId="1" xfId="1" applyFont="1" applyFill="1" applyBorder="1" applyAlignment="1">
      <alignment horizontal="center" wrapText="1"/>
    </xf>
    <xf numFmtId="0" fontId="7" fillId="4" borderId="2" xfId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6976B2F4-383B-4815-A6C3-0AE27C3104E9}"/>
  </cellStyles>
  <dxfs count="51">
    <dxf>
      <font>
        <strike val="0"/>
        <outline val="0"/>
        <shadow val="0"/>
        <u val="none"/>
        <vertAlign val="baseline"/>
        <sz val="10"/>
        <color theme="1"/>
        <name val="Oracle Sans Tab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Oracle Sans Tab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Oracle Sans Tab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Oracle Sans Tab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Oracle Sans Tab"/>
        <family val="2"/>
        <scheme val="minor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Oracle Sans Tab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Oracle Sans Tab"/>
        <family val="2"/>
        <scheme val="minor"/>
      </font>
      <numFmt numFmtId="0" formatCode="General"/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Oracle Sans Tab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Oracle Sans Tab"/>
        <family val="2"/>
        <scheme val="minor"/>
      </font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Oracle Sans Tab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Oracle Sans Tab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Oracle Sans Tab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Oracle Sans Tab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Oracle Sans Tab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Oracle Sans Tab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Oracle Sans Tab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Oracle Sans Tab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Oracle Sans Tab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Oracle Sans Tab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Oracle Sans Tab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Oracle Sans Tab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Oracle Sans Tab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Oracle Sans Tab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Oracle Sans Tab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Oracle Sans Tab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Oracle Sans Tab"/>
        <family val="2"/>
        <scheme val="minor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0"/>
        <name val="Oracle Sans Tab"/>
        <family val="2"/>
        <scheme val="minor"/>
      </font>
    </dxf>
    <dxf>
      <alignment horizontal="general"/>
    </dxf>
    <dxf>
      <font>
        <b val="0"/>
      </font>
    </dxf>
    <dxf>
      <fill>
        <patternFill>
          <bgColor theme="7" tint="0.79998168889431442"/>
        </patternFill>
      </fill>
    </dxf>
    <dxf>
      <fill>
        <patternFill patternType="solid">
          <bgColor theme="1"/>
        </patternFill>
      </fill>
    </dxf>
    <dxf>
      <alignment horizontal="center"/>
    </dxf>
    <dxf>
      <alignment wrapText="1"/>
    </dxf>
    <dxf>
      <alignment wrapText="1"/>
    </dxf>
    <dxf>
      <alignment wrapText="1"/>
    </dxf>
    <dxf>
      <fill>
        <patternFill>
          <bgColor theme="8" tint="0.79998168889431442"/>
        </patternFill>
      </fill>
    </dxf>
    <dxf>
      <fill>
        <patternFill patternType="solid">
          <bgColor theme="1"/>
        </patternFill>
      </fill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Oracle Sans Tab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Oracle Sans Tab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Oracle Sans Tab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Oracle Sans Tab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Oracle Sans Tab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Oracle Sans Tab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Oracle Sans Tab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Oracle Sans Tab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Oracle Sans Tab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2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ynn" refreshedDate="46055.721270486109" backgroundQuery="1" createdVersion="8" refreshedVersion="8" minRefreshableVersion="3" recordCount="0" supportSubquery="1" supportAdvancedDrill="1" xr:uid="{5316DA15-1BE1-423E-97A7-78817241776E}">
  <cacheSource type="external" connectionId="2"/>
  <cacheFields count="4">
    <cacheField name="[DDPOTbl].[New Power ID].[New Power ID]" caption="New Power ID" numFmtId="0" hierarchy="7" level="1">
      <sharedItems count="25">
        <s v="1-1-1-P"/>
        <s v="1-1-2-P"/>
        <s v="1-1-3-P"/>
        <s v="11A-1-1-P"/>
        <s v="11B-1-1-P"/>
        <s v="11B-1-2-P"/>
        <s v="11B-3-1-P"/>
        <s v="1-3-2-P"/>
        <s v="1-3-3-P"/>
        <s v="1-4-1-P"/>
        <s v="1-4-2-P"/>
        <s v="1-4-3-P"/>
        <s v="1-4-4-P"/>
        <s v="40-1-1-P"/>
        <s v="40-1-2-P"/>
        <s v="40-2-10-P"/>
        <s v="40-2-1-P"/>
        <s v="40-2-2-P"/>
        <s v="40-2-3-P"/>
        <s v="40-2-4-P"/>
        <s v="40-2-5-P"/>
        <s v="40-2-6-P"/>
        <s v="40-7-1-P"/>
        <s v="40-7-2-P"/>
        <s v="-" u="1"/>
      </sharedItems>
    </cacheField>
    <cacheField name="[DDPOTbl].[Device].[Device]" caption="Device" numFmtId="0" hierarchy="5" level="1">
      <sharedItems containsNonDate="0" count="2">
        <s v="Tracking Board"/>
        <s v="Tracking Board PC"/>
      </sharedItems>
    </cacheField>
    <cacheField name="[Measures].[Sum of Required Regular Power]" caption="Sum of Required Regular Power" numFmtId="0" hierarchy="42" level="32767"/>
    <cacheField name="[Measures].[Sum of Required Emergency Power]" caption="Sum of Required Emergency Power" numFmtId="0" hierarchy="43" level="32767"/>
  </cacheFields>
  <cacheHierarchies count="44">
    <cacheHierarchy uniqueName="[DDPOTbl].[Building]" caption="Building" attribute="1" defaultMemberUniqueName="[DDPOTbl].[Building].[All]" allUniqueName="[DDPOTbl].[Building].[All]" dimensionUniqueName="[DDPOTbl]" displayFolder="" count="0" memberValueDatatype="130" unbalanced="0"/>
    <cacheHierarchy uniqueName="[DDPOTbl].[Floor]" caption="Floor" attribute="1" defaultMemberUniqueName="[DDPOTbl].[Floor].[All]" allUniqueName="[DDPOTbl].[Floor].[All]" dimensionUniqueName="[DDPOTbl]" displayFolder="" count="0" memberValueDatatype="20" unbalanced="0"/>
    <cacheHierarchy uniqueName="[DDPOTbl].[Unit]" caption="Unit" attribute="1" defaultMemberUniqueName="[DDPOTbl].[Unit].[All]" allUniqueName="[DDPOTbl].[Unit].[All]" dimensionUniqueName="[DDPOTbl]" displayFolder="" count="0" memberValueDatatype="130" unbalanced="0"/>
    <cacheHierarchy uniqueName="[DDPOTbl].[Room]" caption="Room" attribute="1" defaultMemberUniqueName="[DDPOTbl].[Room].[All]" allUniqueName="[DDPOTbl].[Room].[All]" dimensionUniqueName="[DDPOTbl]" displayFolder="" count="0" memberValueDatatype="130" unbalanced="0"/>
    <cacheHierarchy uniqueName="[DDPOTbl].[Location Details]" caption="Location Details" attribute="1" defaultMemberUniqueName="[DDPOTbl].[Location Details].[All]" allUniqueName="[DDPOTbl].[Location Details].[All]" dimensionUniqueName="[DDPOTbl]" displayFolder="" count="0" memberValueDatatype="130" unbalanced="0"/>
    <cacheHierarchy uniqueName="[DDPOTbl].[Device]" caption="Device" attribute="1" defaultMemberUniqueName="[DDPOTbl].[Device].[All]" allUniqueName="[DDPOTbl].[Device].[All]" dimensionUniqueName="[DDPOTbl]" displayFolder="" count="2" memberValueDatatype="130" unbalanced="0">
      <fieldsUsage count="2">
        <fieldUsage x="-1"/>
        <fieldUsage x="1"/>
      </fieldsUsage>
    </cacheHierarchy>
    <cacheHierarchy uniqueName="[DDPOTbl].[New Data ID]" caption="New Data ID" attribute="1" defaultMemberUniqueName="[DDPOTbl].[New Data ID].[All]" allUniqueName="[DDPOTbl].[New Data ID].[All]" dimensionUniqueName="[DDPOTbl]" displayFolder="" count="0" memberValueDatatype="130" unbalanced="0"/>
    <cacheHierarchy uniqueName="[DDPOTbl].[New Power ID]" caption="New Power ID" attribute="1" defaultMemberUniqueName="[DDPOTbl].[New Power ID].[All]" allUniqueName="[DDPOTbl].[New Power ID].[All]" dimensionUniqueName="[DDPOTbl]" displayFolder="" count="2" memberValueDatatype="130" unbalanced="0">
      <fieldsUsage count="2">
        <fieldUsage x="-1"/>
        <fieldUsage x="0"/>
      </fieldsUsage>
    </cacheHierarchy>
    <cacheHierarchy uniqueName="[DDPOTbl].[Drop Location]" caption="Drop Location" attribute="1" defaultMemberUniqueName="[DDPOTbl].[Drop Location].[All]" allUniqueName="[DDPOTbl].[Drop Location].[All]" dimensionUniqueName="[DDPOTbl]" displayFolder="" count="0" memberValueDatatype="130" unbalanced="0"/>
    <cacheHierarchy uniqueName="[DDPOTbl].[Required Data Drops]" caption="Required Data Drops" attribute="1" defaultMemberUniqueName="[DDPOTbl].[Required Data Drops].[All]" allUniqueName="[DDPOTbl].[Required Data Drops].[All]" dimensionUniqueName="[DDPOTbl]" displayFolder="" count="0" memberValueDatatype="20" unbalanced="0"/>
    <cacheHierarchy uniqueName="[DDPOTbl].[Required Regular Power]" caption="Required Regular Power" attribute="1" defaultMemberUniqueName="[DDPOTbl].[Required Regular Power].[All]" allUniqueName="[DDPOTbl].[Required Regular Power].[All]" dimensionUniqueName="[DDPOTbl]" displayFolder="" count="0" memberValueDatatype="20" unbalanced="0"/>
    <cacheHierarchy uniqueName="[DDPOTbl].[Required Emergency Power]" caption="Required Emergency Power" attribute="1" defaultMemberUniqueName="[DDPOTbl].[Required Emergency Power].[All]" allUniqueName="[DDPOTbl].[Required Emergency Power].[All]" dimensionUniqueName="[DDPOTbl]" displayFolder="" count="0" memberValueDatatype="20" unbalanced="0"/>
    <cacheHierarchy uniqueName="[DDPOTbl].[FMS to Add Power Strip]" caption="FMS to Add Power Strip" attribute="1" defaultMemberUniqueName="[DDPOTbl].[FMS to Add Power Strip].[All]" allUniqueName="[DDPOTbl].[FMS to Add Power Strip].[All]" dimensionUniqueName="[DDPOTbl]" displayFolder="" count="0" memberValueDatatype="130" unbalanced="0"/>
    <cacheHierarchy uniqueName="[DDPOTbl].[Local FMS Name]" caption="Local FMS Name" attribute="1" defaultMemberUniqueName="[DDPOTbl].[Local FMS Name].[All]" allUniqueName="[DDPOTbl].[Local FMS Name].[All]" dimensionUniqueName="[DDPOTbl]" displayFolder="" count="0" memberValueDatatype="130" unbalanced="0"/>
    <cacheHierarchy uniqueName="[DDPOTbl].[Notes]" caption="Notes" attribute="1" defaultMemberUniqueName="[DDPOTbl].[Notes].[All]" allUniqueName="[DDPOTbl].[Notes].[All]" dimensionUniqueName="[DDPOTbl]" displayFolder="" count="0" memberValueDatatype="130" unbalanced="0"/>
    <cacheHierarchy uniqueName="[Table_ExternalData_1].[DDPOTbl[Building]]]" caption="DDPOTbl[Building]" attribute="1" defaultMemberUniqueName="[Table_ExternalData_1].[DDPOTbl[Building]]].[All]" allUniqueName="[Table_ExternalData_1].[DDPOTbl[Building]]].[All]" dimensionUniqueName="[Table_ExternalData_1]" displayFolder="" count="0" memberValueDatatype="130" unbalanced="0"/>
    <cacheHierarchy uniqueName="[Table_ExternalData_1].[DDPOTbl[Floor]]]" caption="DDPOTbl[Floor]" attribute="1" defaultMemberUniqueName="[Table_ExternalData_1].[DDPOTbl[Floor]]].[All]" allUniqueName="[Table_ExternalData_1].[DDPOTbl[Floor]]].[All]" dimensionUniqueName="[Table_ExternalData_1]" displayFolder="" count="0" memberValueDatatype="130" unbalanced="0"/>
    <cacheHierarchy uniqueName="[Table_ExternalData_1].[DDPOTbl[Unit]]]" caption="DDPOTbl[Unit]" attribute="1" defaultMemberUniqueName="[Table_ExternalData_1].[DDPOTbl[Unit]]].[All]" allUniqueName="[Table_ExternalData_1].[DDPOTbl[Unit]]].[All]" dimensionUniqueName="[Table_ExternalData_1]" displayFolder="" count="0" memberValueDatatype="130" unbalanced="0"/>
    <cacheHierarchy uniqueName="[Table_ExternalData_1].[DDPOTbl[Room]]]" caption="DDPOTbl[Room]" attribute="1" defaultMemberUniqueName="[Table_ExternalData_1].[DDPOTbl[Room]]].[All]" allUniqueName="[Table_ExternalData_1].[DDPOTbl[Room]]].[All]" dimensionUniqueName="[Table_ExternalData_1]" displayFolder="" count="0" memberValueDatatype="130" unbalanced="0"/>
    <cacheHierarchy uniqueName="[Table_ExternalData_1].[DDPOTbl[Location Details]]]" caption="DDPOTbl[Location Details]" attribute="1" defaultMemberUniqueName="[Table_ExternalData_1].[DDPOTbl[Location Details]]].[All]" allUniqueName="[Table_ExternalData_1].[DDPOTbl[Location Details]]].[All]" dimensionUniqueName="[Table_ExternalData_1]" displayFolder="" count="0" memberValueDatatype="130" unbalanced="0"/>
    <cacheHierarchy uniqueName="[Table_ExternalData_1].[DDPOTbl[Device]]]" caption="DDPOTbl[Device]" attribute="1" defaultMemberUniqueName="[Table_ExternalData_1].[DDPOTbl[Device]]].[All]" allUniqueName="[Table_ExternalData_1].[DDPOTbl[Device]]].[All]" dimensionUniqueName="[Table_ExternalData_1]" displayFolder="" count="0" memberValueDatatype="130" unbalanced="0"/>
    <cacheHierarchy uniqueName="[Table_ExternalData_1].[DDPOTbl[New Data ID]]]" caption="DDPOTbl[New Data ID]" attribute="1" defaultMemberUniqueName="[Table_ExternalData_1].[DDPOTbl[New Data ID]]].[All]" allUniqueName="[Table_ExternalData_1].[DDPOTbl[New Data ID]]].[All]" dimensionUniqueName="[Table_ExternalData_1]" displayFolder="" count="0" memberValueDatatype="130" unbalanced="0"/>
    <cacheHierarchy uniqueName="[Table_ExternalData_1].[DDPOTbl[New Power ID]]]" caption="DDPOTbl[New Power ID]" attribute="1" defaultMemberUniqueName="[Table_ExternalData_1].[DDPOTbl[New Power ID]]].[All]" allUniqueName="[Table_ExternalData_1].[DDPOTbl[New Power ID]]].[All]" dimensionUniqueName="[Table_ExternalData_1]" displayFolder="" count="0" memberValueDatatype="130" unbalanced="0"/>
    <cacheHierarchy uniqueName="[Table_ExternalData_1].[DDPOTbl[Drop Location]]]" caption="DDPOTbl[Drop Location]" attribute="1" defaultMemberUniqueName="[Table_ExternalData_1].[DDPOTbl[Drop Location]]].[All]" allUniqueName="[Table_ExternalData_1].[DDPOTbl[Drop Location]]].[All]" dimensionUniqueName="[Table_ExternalData_1]" displayFolder="" count="0" memberValueDatatype="130" unbalanced="0"/>
    <cacheHierarchy uniqueName="[Table_ExternalData_1].[DDPOTbl[Required Data Drops]]]" caption="DDPOTbl[Required Data Drops]" attribute="1" defaultMemberUniqueName="[Table_ExternalData_1].[DDPOTbl[Required Data Drops]]].[All]" allUniqueName="[Table_ExternalData_1].[DDPOTbl[Required Data Drops]]].[All]" dimensionUniqueName="[Table_ExternalData_1]" displayFolder="" count="0" memberValueDatatype="130" unbalanced="0"/>
    <cacheHierarchy uniqueName="[Table_ExternalData_1].[DDPOTbl[Required Regular Power]]]" caption="DDPOTbl[Required Regular Power]" attribute="1" defaultMemberUniqueName="[Table_ExternalData_1].[DDPOTbl[Required Regular Power]]].[All]" allUniqueName="[Table_ExternalData_1].[DDPOTbl[Required Regular Power]]].[All]" dimensionUniqueName="[Table_ExternalData_1]" displayFolder="" count="0" memberValueDatatype="130" unbalanced="0"/>
    <cacheHierarchy uniqueName="[Table_ExternalData_1].[DDPOTbl[Required Emergency Power]]]" caption="DDPOTbl[Required Emergency Power]" attribute="1" defaultMemberUniqueName="[Table_ExternalData_1].[DDPOTbl[Required Emergency Power]]].[All]" allUniqueName="[Table_ExternalData_1].[DDPOTbl[Required Emergency Power]]].[All]" dimensionUniqueName="[Table_ExternalData_1]" displayFolder="" count="0" memberValueDatatype="130" unbalanced="0"/>
    <cacheHierarchy uniqueName="[Table_ExternalData_1].[DDPOTbl[FMS to Add Power Strip]]]" caption="DDPOTbl[FMS to Add Power Strip]" attribute="1" defaultMemberUniqueName="[Table_ExternalData_1].[DDPOTbl[FMS to Add Power Strip]]].[All]" allUniqueName="[Table_ExternalData_1].[DDPOTbl[FMS to Add Power Strip]]].[All]" dimensionUniqueName="[Table_ExternalData_1]" displayFolder="" count="0" memberValueDatatype="130" unbalanced="0"/>
    <cacheHierarchy uniqueName="[Table_ExternalData_1].[DDPOTbl[Local FMS Name]]]" caption="DDPOTbl[Local FMS Name]" attribute="1" defaultMemberUniqueName="[Table_ExternalData_1].[DDPOTbl[Local FMS Name]]].[All]" allUniqueName="[Table_ExternalData_1].[DDPOTbl[Local FMS Name]]].[All]" dimensionUniqueName="[Table_ExternalData_1]" displayFolder="" count="0" memberValueDatatype="130" unbalanced="0"/>
    <cacheHierarchy uniqueName="[Table_ExternalData_1].[DDPOTbl[Notes]]]" caption="DDPOTbl[Notes]" attribute="1" defaultMemberUniqueName="[Table_ExternalData_1].[DDPOTbl[Notes]]].[All]" allUniqueName="[Table_ExternalData_1].[DDPOTbl[Notes]]].[All]" dimensionUniqueName="[Table_ExternalData_1]" displayFolder="" count="0" memberValueDatatype="130" unbalanced="0"/>
    <cacheHierarchy uniqueName="[Measures].[__XL_Count DDPOTbl]" caption="__XL_Count DDPOTbl" measure="1" displayFolder="" measureGroup="DDPOTbl" count="0" hidden="1"/>
    <cacheHierarchy uniqueName="[Measures].[__XL_Count Table_ExternalData_1]" caption="__XL_Count Table_ExternalData_1" measure="1" displayFolder="" measureGroup="Table_ExternalData_1" count="0" hidden="1"/>
    <cacheHierarchy uniqueName="[Measures].[__No measures defined]" caption="__No measures defined" measure="1" displayFolder="" count="0" hidden="1"/>
    <cacheHierarchy uniqueName="[Measures].[Count of New Data ID]" caption="Count of New Data ID" measure="1" displayFolder="" measureGroup="DDPOTbl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evice]" caption="Count of Device" measure="1" displayFolder="" measureGroup="DDPOTbl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Device]" caption="Distinct Count of Device" measure="1" displayFolder="" measureGroup="DDPOTbl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New Data ID]" caption="Distinct Count of New Data ID" measure="1" displayFolder="" measureGroup="DDPOTbl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New Power ID]" caption="Count of New Power ID" measure="1" displayFolder="" measureGroup="DDPOTbl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New Power ID]" caption="Distinct Count of New Power ID" measure="1" displayFolder="" measureGroup="DDPOTbl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Required Regular Power]" caption="Count of Required Regular Power" measure="1" displayFolder="" measureGroup="DDPOTbl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Required Emergency Power]" caption="Count of Required Emergency Power" measure="1" displayFolder="" measureGroup="DDPOTbl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quired Data Drops]" caption="Sum of Required Data Drops" measure="1" displayFolder="" measureGroup="DDPOTbl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Required Regular Power]" caption="Sum of Required Regular Power" measure="1" displayFolder="" measureGroup="DDPOTbl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equired Emergency Power]" caption="Sum of Required Emergency Power" measure="1" displayFolder="" measureGroup="DDPOTbl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name="DDPOTbl" uniqueName="[DDPOTbl]" caption="DDPOTbl"/>
    <dimension measure="1" name="Measures" uniqueName="[Measures]" caption="Measures"/>
    <dimension name="Table_ExternalData_1" uniqueName="[Table_ExternalData_1]" caption="Table_ExternalData_1"/>
  </dimensions>
  <measureGroups count="2">
    <measureGroup name="DDPOTbl" caption="DDPOTbl"/>
    <measureGroup name="Table_ExternalData_1" caption="Table_ExternalData_1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ynn" refreshedDate="46055.721283101855" backgroundQuery="1" createdVersion="8" refreshedVersion="8" minRefreshableVersion="3" recordCount="0" supportSubquery="1" supportAdvancedDrill="1" xr:uid="{772D48E3-67E1-49B2-83AC-DBC9BFE0EE3C}">
  <cacheSource type="external" connectionId="2"/>
  <cacheFields count="3">
    <cacheField name="[DDPOTbl].[Device].[Device]" caption="Device" numFmtId="0" hierarchy="5" level="1">
      <sharedItems containsNonDate="0" count="1">
        <s v="Tracking Board PC"/>
      </sharedItems>
    </cacheField>
    <cacheField name="[DDPOTbl].[New Data ID].[New Data ID]" caption="New Data ID" numFmtId="0" hierarchy="6" level="1">
      <sharedItems count="58">
        <s v="1-1-1-D"/>
        <s v="1-1-2-D"/>
        <s v="1-1-3-D"/>
        <s v="1-1-4-D"/>
        <s v="1-1-5-D"/>
        <s v="11A-1-1-D"/>
        <s v="11B-1-1-D"/>
        <s v="11B-1-2-D"/>
        <s v="11B-1-3-D"/>
        <s v="11B-1-4-D"/>
        <s v="11B-2-1-D"/>
        <s v="11B-5-1-D"/>
        <s v="1-2-1-D"/>
        <s v="1-3-1-D"/>
        <s v="1-4-1-D"/>
        <s v="1-4-2-D"/>
        <s v="1-4-3-D"/>
        <s v="1-4-4-D"/>
        <s v="1-4-5-D"/>
        <s v="1-4-6-D"/>
        <s v="1-4-7-D"/>
        <s v="1-4-8-D"/>
        <s v="1-5-10-D"/>
        <s v="1-5-11-D"/>
        <s v="1-5-12-D"/>
        <s v="1-5-13-D"/>
        <s v="1-5-14-D"/>
        <s v="1-5-1-D"/>
        <s v="1-5-2-D"/>
        <s v="1-5-3-D"/>
        <s v="1-5-4-D"/>
        <s v="1-5-5-D"/>
        <s v="1-5-6-D"/>
        <s v="1-5-7-D"/>
        <s v="1-5-8-D"/>
        <s v="1-5-9-D"/>
        <s v="1-6-1-D"/>
        <s v="1-8-1-D"/>
        <s v="30-1-1-D"/>
        <s v="40-1-1-D"/>
        <s v="40-1-2-D"/>
        <s v="40-1-3-D"/>
        <s v="40-1-4-D"/>
        <s v="40-1-5-D"/>
        <s v="40-1-6-D"/>
        <s v="40-1-7-D"/>
        <s v="40-2-1-D"/>
        <s v="40-2-2-D"/>
        <s v="40-2-3-D"/>
        <s v="40-2-4-D"/>
        <s v="40-2-5-D"/>
        <s v="40-2-6-D"/>
        <s v="40-2-7-D"/>
        <s v="40-2-8-D"/>
        <s v="40-4-1-D"/>
        <s v="40-7-1-D"/>
        <s v="40-7-2-D"/>
        <s v="-" u="1"/>
      </sharedItems>
    </cacheField>
    <cacheField name="[Measures].[Sum of Required Data Drops]" caption="Sum of Required Data Drops" numFmtId="0" hierarchy="41" level="32767"/>
  </cacheFields>
  <cacheHierarchies count="44">
    <cacheHierarchy uniqueName="[DDPOTbl].[Building]" caption="Building" attribute="1" defaultMemberUniqueName="[DDPOTbl].[Building].[All]" allUniqueName="[DDPOTbl].[Building].[All]" dimensionUniqueName="[DDPOTbl]" displayFolder="" count="0" memberValueDatatype="130" unbalanced="0"/>
    <cacheHierarchy uniqueName="[DDPOTbl].[Floor]" caption="Floor" attribute="1" defaultMemberUniqueName="[DDPOTbl].[Floor].[All]" allUniqueName="[DDPOTbl].[Floor].[All]" dimensionUniqueName="[DDPOTbl]" displayFolder="" count="0" memberValueDatatype="20" unbalanced="0"/>
    <cacheHierarchy uniqueName="[DDPOTbl].[Unit]" caption="Unit" attribute="1" defaultMemberUniqueName="[DDPOTbl].[Unit].[All]" allUniqueName="[DDPOTbl].[Unit].[All]" dimensionUniqueName="[DDPOTbl]" displayFolder="" count="0" memberValueDatatype="130" unbalanced="0"/>
    <cacheHierarchy uniqueName="[DDPOTbl].[Room]" caption="Room" attribute="1" defaultMemberUniqueName="[DDPOTbl].[Room].[All]" allUniqueName="[DDPOTbl].[Room].[All]" dimensionUniqueName="[DDPOTbl]" displayFolder="" count="0" memberValueDatatype="130" unbalanced="0"/>
    <cacheHierarchy uniqueName="[DDPOTbl].[Location Details]" caption="Location Details" attribute="1" defaultMemberUniqueName="[DDPOTbl].[Location Details].[All]" allUniqueName="[DDPOTbl].[Location Details].[All]" dimensionUniqueName="[DDPOTbl]" displayFolder="" count="0" memberValueDatatype="130" unbalanced="0"/>
    <cacheHierarchy uniqueName="[DDPOTbl].[Device]" caption="Device" attribute="1" defaultMemberUniqueName="[DDPOTbl].[Device].[All]" allUniqueName="[DDPOTbl].[Device].[All]" dimensionUniqueName="[DDPOTbl]" displayFolder="" count="2" memberValueDatatype="130" unbalanced="0">
      <fieldsUsage count="2">
        <fieldUsage x="-1"/>
        <fieldUsage x="0"/>
      </fieldsUsage>
    </cacheHierarchy>
    <cacheHierarchy uniqueName="[DDPOTbl].[New Data ID]" caption="New Data ID" attribute="1" defaultMemberUniqueName="[DDPOTbl].[New Data ID].[All]" allUniqueName="[DDPOTbl].[New Data ID].[All]" dimensionUniqueName="[DDPOTbl]" displayFolder="" count="2" memberValueDatatype="130" unbalanced="0">
      <fieldsUsage count="2">
        <fieldUsage x="-1"/>
        <fieldUsage x="1"/>
      </fieldsUsage>
    </cacheHierarchy>
    <cacheHierarchy uniqueName="[DDPOTbl].[New Power ID]" caption="New Power ID" attribute="1" defaultMemberUniqueName="[DDPOTbl].[New Power ID].[All]" allUniqueName="[DDPOTbl].[New Power ID].[All]" dimensionUniqueName="[DDPOTbl]" displayFolder="" count="0" memberValueDatatype="130" unbalanced="0"/>
    <cacheHierarchy uniqueName="[DDPOTbl].[Drop Location]" caption="Drop Location" attribute="1" defaultMemberUniqueName="[DDPOTbl].[Drop Location].[All]" allUniqueName="[DDPOTbl].[Drop Location].[All]" dimensionUniqueName="[DDPOTbl]" displayFolder="" count="0" memberValueDatatype="130" unbalanced="0"/>
    <cacheHierarchy uniqueName="[DDPOTbl].[Required Data Drops]" caption="Required Data Drops" attribute="1" defaultMemberUniqueName="[DDPOTbl].[Required Data Drops].[All]" allUniqueName="[DDPOTbl].[Required Data Drops].[All]" dimensionUniqueName="[DDPOTbl]" displayFolder="" count="0" memberValueDatatype="20" unbalanced="0"/>
    <cacheHierarchy uniqueName="[DDPOTbl].[Required Regular Power]" caption="Required Regular Power" attribute="1" defaultMemberUniqueName="[DDPOTbl].[Required Regular Power].[All]" allUniqueName="[DDPOTbl].[Required Regular Power].[All]" dimensionUniqueName="[DDPOTbl]" displayFolder="" count="0" memberValueDatatype="20" unbalanced="0"/>
    <cacheHierarchy uniqueName="[DDPOTbl].[Required Emergency Power]" caption="Required Emergency Power" attribute="1" defaultMemberUniqueName="[DDPOTbl].[Required Emergency Power].[All]" allUniqueName="[DDPOTbl].[Required Emergency Power].[All]" dimensionUniqueName="[DDPOTbl]" displayFolder="" count="0" memberValueDatatype="20" unbalanced="0"/>
    <cacheHierarchy uniqueName="[DDPOTbl].[FMS to Add Power Strip]" caption="FMS to Add Power Strip" attribute="1" defaultMemberUniqueName="[DDPOTbl].[FMS to Add Power Strip].[All]" allUniqueName="[DDPOTbl].[FMS to Add Power Strip].[All]" dimensionUniqueName="[DDPOTbl]" displayFolder="" count="0" memberValueDatatype="130" unbalanced="0"/>
    <cacheHierarchy uniqueName="[DDPOTbl].[Local FMS Name]" caption="Local FMS Name" attribute="1" defaultMemberUniqueName="[DDPOTbl].[Local FMS Name].[All]" allUniqueName="[DDPOTbl].[Local FMS Name].[All]" dimensionUniqueName="[DDPOTbl]" displayFolder="" count="0" memberValueDatatype="130" unbalanced="0"/>
    <cacheHierarchy uniqueName="[DDPOTbl].[Notes]" caption="Notes" attribute="1" defaultMemberUniqueName="[DDPOTbl].[Notes].[All]" allUniqueName="[DDPOTbl].[Notes].[All]" dimensionUniqueName="[DDPOTbl]" displayFolder="" count="0" memberValueDatatype="130" unbalanced="0"/>
    <cacheHierarchy uniqueName="[Table_ExternalData_1].[DDPOTbl[Building]]]" caption="DDPOTbl[Building]" attribute="1" defaultMemberUniqueName="[Table_ExternalData_1].[DDPOTbl[Building]]].[All]" allUniqueName="[Table_ExternalData_1].[DDPOTbl[Building]]].[All]" dimensionUniqueName="[Table_ExternalData_1]" displayFolder="" count="0" memberValueDatatype="130" unbalanced="0"/>
    <cacheHierarchy uniqueName="[Table_ExternalData_1].[DDPOTbl[Floor]]]" caption="DDPOTbl[Floor]" attribute="1" defaultMemberUniqueName="[Table_ExternalData_1].[DDPOTbl[Floor]]].[All]" allUniqueName="[Table_ExternalData_1].[DDPOTbl[Floor]]].[All]" dimensionUniqueName="[Table_ExternalData_1]" displayFolder="" count="0" memberValueDatatype="130" unbalanced="0"/>
    <cacheHierarchy uniqueName="[Table_ExternalData_1].[DDPOTbl[Unit]]]" caption="DDPOTbl[Unit]" attribute="1" defaultMemberUniqueName="[Table_ExternalData_1].[DDPOTbl[Unit]]].[All]" allUniqueName="[Table_ExternalData_1].[DDPOTbl[Unit]]].[All]" dimensionUniqueName="[Table_ExternalData_1]" displayFolder="" count="0" memberValueDatatype="130" unbalanced="0"/>
    <cacheHierarchy uniqueName="[Table_ExternalData_1].[DDPOTbl[Room]]]" caption="DDPOTbl[Room]" attribute="1" defaultMemberUniqueName="[Table_ExternalData_1].[DDPOTbl[Room]]].[All]" allUniqueName="[Table_ExternalData_1].[DDPOTbl[Room]]].[All]" dimensionUniqueName="[Table_ExternalData_1]" displayFolder="" count="0" memberValueDatatype="130" unbalanced="0"/>
    <cacheHierarchy uniqueName="[Table_ExternalData_1].[DDPOTbl[Location Details]]]" caption="DDPOTbl[Location Details]" attribute="1" defaultMemberUniqueName="[Table_ExternalData_1].[DDPOTbl[Location Details]]].[All]" allUniqueName="[Table_ExternalData_1].[DDPOTbl[Location Details]]].[All]" dimensionUniqueName="[Table_ExternalData_1]" displayFolder="" count="0" memberValueDatatype="130" unbalanced="0"/>
    <cacheHierarchy uniqueName="[Table_ExternalData_1].[DDPOTbl[Device]]]" caption="DDPOTbl[Device]" attribute="1" defaultMemberUniqueName="[Table_ExternalData_1].[DDPOTbl[Device]]].[All]" allUniqueName="[Table_ExternalData_1].[DDPOTbl[Device]]].[All]" dimensionUniqueName="[Table_ExternalData_1]" displayFolder="" count="0" memberValueDatatype="130" unbalanced="0"/>
    <cacheHierarchy uniqueName="[Table_ExternalData_1].[DDPOTbl[New Data ID]]]" caption="DDPOTbl[New Data ID]" attribute="1" defaultMemberUniqueName="[Table_ExternalData_1].[DDPOTbl[New Data ID]]].[All]" allUniqueName="[Table_ExternalData_1].[DDPOTbl[New Data ID]]].[All]" dimensionUniqueName="[Table_ExternalData_1]" displayFolder="" count="0" memberValueDatatype="130" unbalanced="0"/>
    <cacheHierarchy uniqueName="[Table_ExternalData_1].[DDPOTbl[New Power ID]]]" caption="DDPOTbl[New Power ID]" attribute="1" defaultMemberUniqueName="[Table_ExternalData_1].[DDPOTbl[New Power ID]]].[All]" allUniqueName="[Table_ExternalData_1].[DDPOTbl[New Power ID]]].[All]" dimensionUniqueName="[Table_ExternalData_1]" displayFolder="" count="0" memberValueDatatype="130" unbalanced="0"/>
    <cacheHierarchy uniqueName="[Table_ExternalData_1].[DDPOTbl[Drop Location]]]" caption="DDPOTbl[Drop Location]" attribute="1" defaultMemberUniqueName="[Table_ExternalData_1].[DDPOTbl[Drop Location]]].[All]" allUniqueName="[Table_ExternalData_1].[DDPOTbl[Drop Location]]].[All]" dimensionUniqueName="[Table_ExternalData_1]" displayFolder="" count="0" memberValueDatatype="130" unbalanced="0"/>
    <cacheHierarchy uniqueName="[Table_ExternalData_1].[DDPOTbl[Required Data Drops]]]" caption="DDPOTbl[Required Data Drops]" attribute="1" defaultMemberUniqueName="[Table_ExternalData_1].[DDPOTbl[Required Data Drops]]].[All]" allUniqueName="[Table_ExternalData_1].[DDPOTbl[Required Data Drops]]].[All]" dimensionUniqueName="[Table_ExternalData_1]" displayFolder="" count="0" memberValueDatatype="130" unbalanced="0"/>
    <cacheHierarchy uniqueName="[Table_ExternalData_1].[DDPOTbl[Required Regular Power]]]" caption="DDPOTbl[Required Regular Power]" attribute="1" defaultMemberUniqueName="[Table_ExternalData_1].[DDPOTbl[Required Regular Power]]].[All]" allUniqueName="[Table_ExternalData_1].[DDPOTbl[Required Regular Power]]].[All]" dimensionUniqueName="[Table_ExternalData_1]" displayFolder="" count="0" memberValueDatatype="130" unbalanced="0"/>
    <cacheHierarchy uniqueName="[Table_ExternalData_1].[DDPOTbl[Required Emergency Power]]]" caption="DDPOTbl[Required Emergency Power]" attribute="1" defaultMemberUniqueName="[Table_ExternalData_1].[DDPOTbl[Required Emergency Power]]].[All]" allUniqueName="[Table_ExternalData_1].[DDPOTbl[Required Emergency Power]]].[All]" dimensionUniqueName="[Table_ExternalData_1]" displayFolder="" count="0" memberValueDatatype="130" unbalanced="0"/>
    <cacheHierarchy uniqueName="[Table_ExternalData_1].[DDPOTbl[FMS to Add Power Strip]]]" caption="DDPOTbl[FMS to Add Power Strip]" attribute="1" defaultMemberUniqueName="[Table_ExternalData_1].[DDPOTbl[FMS to Add Power Strip]]].[All]" allUniqueName="[Table_ExternalData_1].[DDPOTbl[FMS to Add Power Strip]]].[All]" dimensionUniqueName="[Table_ExternalData_1]" displayFolder="" count="0" memberValueDatatype="130" unbalanced="0"/>
    <cacheHierarchy uniqueName="[Table_ExternalData_1].[DDPOTbl[Local FMS Name]]]" caption="DDPOTbl[Local FMS Name]" attribute="1" defaultMemberUniqueName="[Table_ExternalData_1].[DDPOTbl[Local FMS Name]]].[All]" allUniqueName="[Table_ExternalData_1].[DDPOTbl[Local FMS Name]]].[All]" dimensionUniqueName="[Table_ExternalData_1]" displayFolder="" count="0" memberValueDatatype="130" unbalanced="0"/>
    <cacheHierarchy uniqueName="[Table_ExternalData_1].[DDPOTbl[Notes]]]" caption="DDPOTbl[Notes]" attribute="1" defaultMemberUniqueName="[Table_ExternalData_1].[DDPOTbl[Notes]]].[All]" allUniqueName="[Table_ExternalData_1].[DDPOTbl[Notes]]].[All]" dimensionUniqueName="[Table_ExternalData_1]" displayFolder="" count="0" memberValueDatatype="130" unbalanced="0"/>
    <cacheHierarchy uniqueName="[Measures].[__XL_Count DDPOTbl]" caption="__XL_Count DDPOTbl" measure="1" displayFolder="" measureGroup="DDPOTbl" count="0" hidden="1"/>
    <cacheHierarchy uniqueName="[Measures].[__XL_Count Table_ExternalData_1]" caption="__XL_Count Table_ExternalData_1" measure="1" displayFolder="" measureGroup="Table_ExternalData_1" count="0" hidden="1"/>
    <cacheHierarchy uniqueName="[Measures].[__No measures defined]" caption="__No measures defined" measure="1" displayFolder="" count="0" hidden="1"/>
    <cacheHierarchy uniqueName="[Measures].[Count of New Data ID]" caption="Count of New Data ID" measure="1" displayFolder="" measureGroup="DDPOTbl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Device]" caption="Count of Device" measure="1" displayFolder="" measureGroup="DDPOTbl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Device]" caption="Distinct Count of Device" measure="1" displayFolder="" measureGroup="DDPOTbl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New Data ID]" caption="Distinct Count of New Data ID" measure="1" displayFolder="" measureGroup="DDPOTbl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New Power ID]" caption="Count of New Power ID" measure="1" displayFolder="" measureGroup="DDPOTbl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New Power ID]" caption="Distinct Count of New Power ID" measure="1" displayFolder="" measureGroup="DDPOTbl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Required Regular Power]" caption="Count of Required Regular Power" measure="1" displayFolder="" measureGroup="DDPOTbl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Required Emergency Power]" caption="Count of Required Emergency Power" measure="1" displayFolder="" measureGroup="DDPOTbl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quired Data Drops]" caption="Sum of Required Data Drops" measure="1" displayFolder="" measureGroup="DDPOTbl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Required Regular Power]" caption="Sum of Required Regular Power" measure="1" displayFolder="" measureGroup="DDPOTbl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equired Emergency Power]" caption="Sum of Required Emergency Power" measure="1" displayFolder="" measureGroup="DDPOTbl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3">
    <dimension name="DDPOTbl" uniqueName="[DDPOTbl]" caption="DDPOTbl"/>
    <dimension measure="1" name="Measures" uniqueName="[Measures]" caption="Measures"/>
    <dimension name="Table_ExternalData_1" uniqueName="[Table_ExternalData_1]" caption="Table_ExternalData_1"/>
  </dimensions>
  <measureGroups count="2">
    <measureGroup name="DDPOTbl" caption="DDPOTbl"/>
    <measureGroup name="Table_ExternalData_1" caption="Table_ExternalData_1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0570BC-F416-49F2-8C99-775A6C868E6F}" name="PivotTable4" cacheId="1" applyNumberFormats="0" applyBorderFormats="0" applyFontFormats="0" applyPatternFormats="0" applyAlignmentFormats="0" applyWidthHeightFormats="1" dataCaption="Values" grandTotalCaption="Total" updatedVersion="8" minRefreshableVersion="3" useAutoFormatting="1" subtotalHiddenItems="1" itemPrintTitles="1" createdVersion="8" indent="0" multipleFieldFilters="0" rowHeaderCaption="Data ID">
  <location ref="B24:C82" firstHeaderRow="1" firstDataRow="1" firstDataCol="1"/>
  <pivotFields count="3">
    <pivotField axis="axisRow" allDrilled="1" showAll="0" dataSourceSort="1" defaultAttributeDrillState="1">
      <items count="2">
        <item x="0"/>
        <item t="default"/>
      </items>
    </pivotField>
    <pivotField axis="axisRow" allDrilled="1" showAll="0">
      <items count="59">
        <item s="1" x="0" e="0"/>
        <item s="1" x="1" e="0"/>
        <item s="1" x="2" e="0"/>
        <item s="1" x="3" e="0"/>
        <item s="1" x="4" e="0"/>
        <item s="1" x="5" e="0"/>
        <item s="1" x="6" e="0"/>
        <item s="1" x="7" e="0"/>
        <item s="1" x="8" e="0"/>
        <item s="1" x="9" e="0"/>
        <item s="1" x="10" e="0"/>
        <item s="1" x="11" e="0"/>
        <item s="1" x="12" e="0"/>
        <item s="1" x="13" e="0"/>
        <item s="1" x="14" e="0"/>
        <item s="1" x="15" e="0"/>
        <item s="1" x="16" e="0"/>
        <item s="1" x="17" e="0"/>
        <item s="1" x="18" e="0"/>
        <item s="1" x="19" e="0"/>
        <item s="1" x="20" e="0"/>
        <item s="1" x="21" e="0"/>
        <item s="1" x="22" e="0"/>
        <item s="1" x="23" e="0"/>
        <item s="1" x="24" e="0"/>
        <item s="1" x="25" e="0"/>
        <item s="1" x="26" e="0"/>
        <item s="1" x="27" e="0"/>
        <item s="1" x="28" e="0"/>
        <item s="1" x="29" e="0"/>
        <item s="1" x="30" e="0"/>
        <item s="1" x="31" e="0"/>
        <item s="1" x="32" e="0"/>
        <item s="1" x="33" e="0"/>
        <item s="1" x="34" e="0"/>
        <item s="1" x="35" e="0"/>
        <item s="1" x="36" e="0"/>
        <item s="1" x="37" e="0"/>
        <item s="1" x="38" e="0"/>
        <item s="1" x="39" e="0"/>
        <item s="1" x="40" e="0"/>
        <item s="1" x="41" e="0"/>
        <item s="1" x="42" e="0"/>
        <item s="1" x="43" e="0"/>
        <item s="1" x="44" e="0"/>
        <item s="1" x="45" e="0"/>
        <item s="1" x="46" e="0"/>
        <item s="1" x="47" e="0"/>
        <item s="1" x="48" e="0"/>
        <item s="1" x="49" e="0"/>
        <item s="1" x="50" e="0"/>
        <item s="1" x="51" e="0"/>
        <item s="1" x="52" e="0"/>
        <item s="1" x="53" e="0"/>
        <item s="1" x="54" e="0"/>
        <item s="1" x="55" e="0"/>
        <item s="1" x="56" e="0"/>
        <item x="57" e="0"/>
        <item t="default"/>
      </items>
    </pivotField>
    <pivotField dataField="1" showAll="0"/>
  </pivotFields>
  <rowFields count="2">
    <field x="1"/>
    <field x="0"/>
  </rowFields>
  <rowItems count="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rowItems>
  <colItems count="1">
    <i/>
  </colItems>
  <dataFields count="1">
    <dataField name="Required Data Drops" fld="2" baseField="1" baseItem="0"/>
  </dataFields>
  <formats count="6">
    <format dxfId="36">
      <pivotArea dataOnly="0" labelOnly="1" outline="0" axis="axisValues" fieldPosition="0"/>
    </format>
    <format dxfId="35">
      <pivotArea outline="0" collapsedLevelsAreSubtotals="1" fieldPosition="0"/>
    </format>
    <format dxfId="34">
      <pivotArea dataOnly="0" labelOnly="1" fieldPosition="0">
        <references count="1">
          <reference field="1" count="1">
            <x v="57"/>
          </reference>
        </references>
      </pivotArea>
    </format>
    <format dxfId="33">
      <pivotArea dataOnly="0" labelOnly="1" fieldPosition="0">
        <references count="1">
          <reference field="1" count="1">
            <x v="57"/>
          </reference>
        </references>
      </pivotArea>
    </format>
    <format dxfId="32">
      <pivotArea dataOnly="0" labelOnly="1" fieldPosition="0">
        <references count="2">
          <reference field="0" count="0"/>
          <reference field="1" count="1" selected="0">
            <x v="0"/>
          </reference>
        </references>
      </pivotArea>
    </format>
    <format dxfId="31">
      <pivotArea dataOnly="0" labelOnly="1" outline="0" axis="axisValues" fieldPosition="0"/>
    </format>
  </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Required Data Drops"/>
    <pivotHierarchy dragToData="1" caption="Distinct Count of Device"/>
    <pivotHierarchy dragToData="1" caption="Number of Plates To Be Installed"/>
    <pivotHierarchy dragToData="1"/>
    <pivotHierarchy dragToData="1"/>
    <pivotHierarchy dragToData="1"/>
    <pivotHierarchy dragToData="1"/>
    <pivotHierarchy dragToData="1" caption="Required Data Drops"/>
    <pivotHierarchy dragToData="1"/>
    <pivotHierarchy dragToData="1"/>
  </pivotHierarchies>
  <pivotTableStyleInfo name="PivotStyleMedium12" showRowHeaders="1" showColHeaders="1" showRowStripes="0" showColStripes="0" showLastColumn="1"/>
  <rowHierarchiesUsage count="2">
    <rowHierarchyUsage hierarchyUsage="6"/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DPOTbl]"/>
        <x15:activeTabTopLevelEntity name="[Table_ExternalData_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A56134-301A-4577-9A74-09963B224F64}" name="PivotTable5" cacheId="0" applyNumberFormats="0" applyBorderFormats="0" applyFontFormats="0" applyPatternFormats="0" applyAlignmentFormats="0" applyWidthHeightFormats="1" dataCaption="Values" grandTotalCaption="Total" updatedVersion="8" minRefreshableVersion="3" useAutoFormatting="1" subtotalHiddenItems="1" itemPrintTitles="1" createdVersion="8" indent="0" multipleFieldFilters="0" rowHeaderCaption="Power ID">
  <location ref="E24:G49" firstHeaderRow="0" firstDataRow="1" firstDataCol="1"/>
  <pivotFields count="4">
    <pivotField axis="axisRow" allDrilled="1" showAll="0">
      <items count="26">
        <item s="1" x="0" e="0"/>
        <item s="1" x="1" e="0"/>
        <item s="1" x="2" e="0"/>
        <item s="1" x="3" e="0"/>
        <item s="1" x="4" e="0"/>
        <item s="1" x="5" e="0"/>
        <item s="1" x="6" e="0"/>
        <item s="1" x="7" e="0"/>
        <item s="1" x="8" e="0"/>
        <item s="1" x="9" e="0"/>
        <item s="1" x="10" e="0"/>
        <item s="1" x="11" e="0"/>
        <item s="1" x="12" e="0"/>
        <item s="1" x="13" e="0"/>
        <item s="1" x="14" e="0"/>
        <item s="1" x="15" e="0"/>
        <item s="1" x="16" e="0"/>
        <item s="1" x="17" e="0"/>
        <item s="1" x="18" e="0"/>
        <item s="1" x="19" e="0"/>
        <item s="1" x="20" e="0"/>
        <item s="1" x="21" e="0"/>
        <item s="1" x="22" e="0"/>
        <item s="1" x="23" e="0"/>
        <item x="24" e="0"/>
        <item t="default"/>
      </items>
    </pivotField>
    <pivotField axis="axisRow" allDrilled="1" showAll="0" dataSourceSort="1" defaultAttributeDrillState="1">
      <items count="3">
        <item x="0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Required Regular Power" fld="2" baseField="0" baseItem="0"/>
    <dataField name="Required Emergency Power" fld="3" baseField="0" baseItem="0"/>
  </dataFields>
  <formats count="5">
    <format dxfId="41">
      <pivotArea outline="0" collapsedLevelsAreSubtotals="1" fieldPosition="0"/>
    </format>
    <format dxfId="40">
      <pivotArea dataOnly="0" labelOnly="1" fieldPosition="0">
        <references count="1">
          <reference field="0" count="1">
            <x v="24"/>
          </reference>
        </references>
      </pivotArea>
    </format>
    <format dxfId="39">
      <pivotArea dataOnly="0" labelOnly="1" fieldPosition="0">
        <references count="1">
          <reference field="0" count="1">
            <x v="24"/>
          </reference>
        </references>
      </pivotArea>
    </format>
    <format dxfId="3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7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Number of Plates To Be Installed"/>
    <pivotHierarchy dragToData="1" caption="# Regular Power"/>
    <pivotHierarchy dragToData="1" caption="# Emergency Power"/>
    <pivotHierarchy dragToData="1"/>
    <pivotHierarchy dragToData="1" caption="Required Regular Power"/>
    <pivotHierarchy dragToData="1" caption="Required Emergency Power"/>
  </pivotHierarchies>
  <pivotTableStyleInfo name="PivotStyleMedium13" showRowHeaders="1" showColHeaders="1" showRowStripes="0" showColStripes="0" showLastColumn="1"/>
  <rowHierarchiesUsage count="2">
    <rowHierarchyUsage hierarchyUsage="7"/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MS CSR Report.xlsx!DDPOTbl">
        <x15:activeTabTopLevelEntity name="[DDPOTbl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3FB7F34C-D4CF-4946-A8A4-F2F1B3ACDC2F}" autoFormatId="16" applyNumberFormats="0" applyBorderFormats="0" applyFontFormats="0" applyPatternFormats="0" applyAlignmentFormats="0" applyWidthHeightFormats="0">
  <queryTableRefresh nextId="16">
    <queryTableFields count="15">
      <queryTableField id="1" name="DDPOTbl[Building]" tableColumnId="1"/>
      <queryTableField id="2" name="DDPOTbl[Floor]" tableColumnId="2"/>
      <queryTableField id="3" name="DDPOTbl[Unit]" tableColumnId="3"/>
      <queryTableField id="4" name="DDPOTbl[Room]" tableColumnId="4"/>
      <queryTableField id="5" name="DDPOTbl[Location Details]" tableColumnId="5"/>
      <queryTableField id="6" name="DDPOTbl[Device]" tableColumnId="6"/>
      <queryTableField id="7" name="DDPOTbl[New Data ID]" tableColumnId="7"/>
      <queryTableField id="8" name="DDPOTbl[New Power ID]" tableColumnId="8"/>
      <queryTableField id="9" name="DDPOTbl[Drop Location]" tableColumnId="9"/>
      <queryTableField id="10" name="DDPOTbl[Required Data Drops]" tableColumnId="10"/>
      <queryTableField id="11" name="DDPOTbl[Required Regular Power]" tableColumnId="11"/>
      <queryTableField id="12" name="DDPOTbl[Required Emergency Power]" tableColumnId="12"/>
      <queryTableField id="13" name="DDPOTbl[FMS to Add Power Strip]" tableColumnId="13"/>
      <queryTableField id="14" name="DDPOTbl[Local FMS Name]" tableColumnId="14"/>
      <queryTableField id="15" name="DDPOTbl[Notes]" tableColumnId="15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2A7D33-E04A-4DDC-9971-5A309BAC60DA}" name="Table_ExternalData_1" displayName="Table_ExternalData_1" ref="A3:O40" tableType="queryTable" totalsRowShown="0">
  <autoFilter ref="A3:O40" xr:uid="{282A7D33-E04A-4DDC-9971-5A309BAC60DA}"/>
  <tableColumns count="15">
    <tableColumn id="1" xr3:uid="{620D3152-0EB0-4C24-9618-35297F4171E9}" uniqueName="1" name="DDPOTbl[Building]" queryTableFieldId="1" dataDxfId="50"/>
    <tableColumn id="2" xr3:uid="{786C3771-8B91-44A3-8282-6DC5D36FE17D}" uniqueName="2" name="DDPOTbl[Floor]" queryTableFieldId="2" dataDxfId="49"/>
    <tableColumn id="3" xr3:uid="{D3BAA67D-AF12-44F6-A851-45FAC1A28171}" uniqueName="3" name="DDPOTbl[Unit]" queryTableFieldId="3" dataDxfId="48"/>
    <tableColumn id="4" xr3:uid="{E2B03385-CA09-4302-8C92-328BFCE3A773}" uniqueName="4" name="DDPOTbl[Room]" queryTableFieldId="4" dataDxfId="47"/>
    <tableColumn id="5" xr3:uid="{426A81BA-1F4C-465F-A5B8-698C13E98429}" uniqueName="5" name="DDPOTbl[Location Details]" queryTableFieldId="5" dataDxfId="46"/>
    <tableColumn id="6" xr3:uid="{24D182FF-3441-4AD7-9CF2-48B975B27A69}" uniqueName="6" name="DDPOTbl[Device]" queryTableFieldId="6" dataDxfId="45"/>
    <tableColumn id="7" xr3:uid="{39FDB97C-23E5-406F-9CDE-69C56C5184A1}" uniqueName="7" name="DDPOTbl[New Data ID]" queryTableFieldId="7" dataDxfId="44"/>
    <tableColumn id="8" xr3:uid="{59C5EB05-AAFF-43A6-9085-702B6284FA7E}" uniqueName="8" name="DDPOTbl[New Power ID]" queryTableFieldId="8" dataDxfId="43"/>
    <tableColumn id="9" xr3:uid="{D84A0B64-9E7D-4E47-9FB7-E8BD981EB9DE}" uniqueName="9" name="DDPOTbl[Drop Location]" queryTableFieldId="9" dataDxfId="42"/>
    <tableColumn id="10" xr3:uid="{293388F3-A9C7-49AA-AE23-77E0F0255C18}" uniqueName="10" name="DDPOTbl[Required Data Drops]" queryTableFieldId="10"/>
    <tableColumn id="11" xr3:uid="{90C9AC92-B770-4B52-B599-18C0AC122642}" uniqueName="11" name="DDPOTbl[Required Regular Power]" queryTableFieldId="11"/>
    <tableColumn id="12" xr3:uid="{055E967C-DA93-488A-BCA8-EF52DF41F122}" uniqueName="12" name="DDPOTbl[Required Emergency Power]" queryTableFieldId="12"/>
    <tableColumn id="13" xr3:uid="{AC2A7FB2-D359-4F80-AE51-D4C9F5435403}" uniqueName="13" name="DDPOTbl[FMS to Add Power Strip]" queryTableFieldId="13"/>
    <tableColumn id="14" xr3:uid="{D3673EDB-9E18-474C-A4B7-81DD6C484C7A}" uniqueName="14" name="DDPOTbl[Local FMS Name]" queryTableFieldId="14"/>
    <tableColumn id="15" xr3:uid="{291515F4-91DB-4792-98F1-7C9EFE64EFDC}" uniqueName="15" name="DDPOTbl[Notes]" queryTableField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56F6DB-419B-4EB5-9A8C-81E76AE4D226}" name="DDPOTbl" displayName="DDPOTbl" ref="A3:O84" totalsRowShown="0" headerRowDxfId="30" dataDxfId="28" headerRowBorderDxfId="29" tableBorderDxfId="27" totalsRowBorderDxfId="26">
  <autoFilter ref="A3:O84" xr:uid="{1FCDD070-6259-410E-B8AA-317D90DE9EED}">
    <filterColumn colId="0">
      <filters>
        <filter val="Damen Pavilion"/>
      </filters>
    </filterColumn>
  </autoFilter>
  <sortState xmlns:xlrd2="http://schemas.microsoft.com/office/spreadsheetml/2017/richdata2" ref="A4:O84">
    <sortCondition ref="B3:B84"/>
  </sortState>
  <tableColumns count="15">
    <tableColumn id="3" xr3:uid="{DAF84F8D-E32F-4BC9-A8FC-C54B89430565}" name="Building" dataDxfId="25"/>
    <tableColumn id="4" xr3:uid="{DE1EDABA-93B2-4BF9-8D0C-F438FDB85868}" name="Floor" dataDxfId="24"/>
    <tableColumn id="5" xr3:uid="{82B7F4D1-BC46-4026-9043-E8B0826838CE}" name="Unit" dataDxfId="23"/>
    <tableColumn id="6" xr3:uid="{F459EBC9-8D76-4C2A-8ADF-E4ED9946313E}" name="Room" dataDxfId="22"/>
    <tableColumn id="7" xr3:uid="{E7B78005-1DC2-468F-A9BC-72D9D73ADE7E}" name="Location Details" dataDxfId="21"/>
    <tableColumn id="1" xr3:uid="{01AEF71B-C215-4C4B-9C48-60D3743C9A4E}" name="Device" dataDxfId="20" dataCellStyle="Normal 2"/>
    <tableColumn id="8" xr3:uid="{1D844F87-676A-42EC-974C-D560FA0FCE7D}" name="New Data ID" dataDxfId="19" dataCellStyle="Normal 2"/>
    <tableColumn id="16" xr3:uid="{F2A70B58-2B00-4832-86FB-4C273CD20284}" name="New Power ID" dataDxfId="18"/>
    <tableColumn id="9" xr3:uid="{45D37651-2A72-4ACD-8BA5-0F4B9C336B73}" name="Drop Location" dataDxfId="17" dataCellStyle="Normal 2"/>
    <tableColumn id="11" xr3:uid="{D2D878F4-9EBC-4B0B-BB2A-864150C873F3}" name="Required Data Drops" dataDxfId="16"/>
    <tableColumn id="13" xr3:uid="{FB5EA5D6-C598-48DB-AC09-C80E61AC11DC}" name="Required Regular Power" dataDxfId="15"/>
    <tableColumn id="15" xr3:uid="{20C3CA92-2525-40B3-99BC-EF76543FCCCC}" name="Required Emergency Power" dataDxfId="14"/>
    <tableColumn id="10" xr3:uid="{26F2A2FC-3470-4317-810C-99D0A157EE67}" name="FMS to Add Power Strip" dataDxfId="13" dataCellStyle="Normal 2"/>
    <tableColumn id="2" xr3:uid="{20D70C64-8588-4767-ACB7-36989651E758}" name="Local FMS Name" dataDxfId="12" dataCellStyle="Normal 2"/>
    <tableColumn id="18" xr3:uid="{C68CFAFB-6D58-473F-943B-A20AC015E26B}" name="Notes" dataDxfId="11" dataCellStyle="Normal 2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7D959A-0B52-48C5-AF6B-1E80ED7A2C6D}" name="MountingTbl" displayName="MountingTbl" ref="A3:H179" totalsRowShown="0" headerRowDxfId="10" dataDxfId="8" headerRowBorderDxfId="9">
  <autoFilter ref="A3:H179" xr:uid="{76499761-044A-489B-948A-16D4E506B1A9}"/>
  <sortState xmlns:xlrd2="http://schemas.microsoft.com/office/spreadsheetml/2017/richdata2" ref="A4:H179">
    <sortCondition ref="C3:C179"/>
  </sortState>
  <tableColumns count="8">
    <tableColumn id="10" xr3:uid="{50416A32-2D37-49C0-B62A-3A71EDCB7031}" name="Building" dataDxfId="7"/>
    <tableColumn id="11" xr3:uid="{D2E62E88-00C1-4009-9762-986356C0EA59}" name="Floor" dataDxfId="6"/>
    <tableColumn id="1" xr3:uid="{195A834F-11E2-497D-B5E2-05F23CE1964C}" name="Unit" dataDxfId="5"/>
    <tableColumn id="19" xr3:uid="{E09FDF8D-4C24-4722-A6F7-E2C0F8F9F851}" name="Room #" dataDxfId="4"/>
    <tableColumn id="3" xr3:uid="{9FB6A54C-2B37-46C1-B810-610E8259D507}" name="Location Details" dataDxfId="3"/>
    <tableColumn id="4" xr3:uid="{C053C25A-9FE4-48F7-BEDA-61B16780EA21}" name="Device Type" dataDxfId="2"/>
    <tableColumn id="21" xr3:uid="{7EE6FE97-C574-4026-96B7-C5CA4C4E1B3A}" name="Mount Type" dataDxfId="1"/>
    <tableColumn id="5" xr3:uid="{FC4FBD22-B250-41B4-BF5A-B6F8E158C64B}" name="Mounting Details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Oracle Redwood 09112020">
      <a:dk1>
        <a:srgbClr val="312D2A"/>
      </a:dk1>
      <a:lt1>
        <a:srgbClr val="FCFBFA"/>
      </a:lt1>
      <a:dk2>
        <a:srgbClr val="312D2A"/>
      </a:dk2>
      <a:lt2>
        <a:srgbClr val="FCFBFA"/>
      </a:lt2>
      <a:accent1>
        <a:srgbClr val="C74634"/>
      </a:accent1>
      <a:accent2>
        <a:srgbClr val="FACD62"/>
      </a:accent2>
      <a:accent3>
        <a:srgbClr val="94AFAF"/>
      </a:accent3>
      <a:accent4>
        <a:srgbClr val="2B6242"/>
      </a:accent4>
      <a:accent5>
        <a:srgbClr val="AE562C"/>
      </a:accent5>
      <a:accent6>
        <a:srgbClr val="759C6C"/>
      </a:accent6>
      <a:hlink>
        <a:srgbClr val="00688C"/>
      </a:hlink>
      <a:folHlink>
        <a:srgbClr val="00688C"/>
      </a:folHlink>
    </a:clrScheme>
    <a:fontScheme name="Oracle TAB">
      <a:majorFont>
        <a:latin typeface="Georgia"/>
        <a:ea typeface=""/>
        <a:cs typeface=""/>
      </a:majorFont>
      <a:minorFont>
        <a:latin typeface="Oracle Sans Tab"/>
        <a:ea typeface=""/>
        <a:cs typeface=""/>
      </a:minorFont>
    </a:fontScheme>
    <a:fmtScheme name="Flat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65000"/>
          </a:schemeClr>
        </a:solidFill>
      </a:fillStyleLst>
      <a:lnStyleLst>
        <a:ln w="3175" cap="flat" cmpd="sng" algn="ctr">
          <a:solidFill>
            <a:schemeClr val="phClr">
              <a:shade val="65000"/>
            </a:schemeClr>
          </a:solidFill>
          <a:prstDash val="solid"/>
        </a:ln>
        <a:ln w="3175" cap="flat" cmpd="sng" algn="ctr">
          <a:solidFill>
            <a:schemeClr val="phClr"/>
          </a:solidFill>
          <a:prstDash val="solid"/>
        </a:ln>
        <a:ln w="0" cap="flat" cmpd="sng" algn="ctr">
          <a:noFill/>
        </a:ln>
      </a:lnStyleLst>
      <a:effectStyleLst>
        <a:effectStyle>
          <a:effectLst>
            <a:blur/>
          </a:effectLst>
        </a:effectStyle>
        <a:effectStyle>
          <a:effectLst>
            <a:blur/>
          </a:effectLst>
        </a:effectStyle>
        <a:effectStyle>
          <a:effectLst>
            <a:fillOverlay blend="darken">
              <a:solidFill>
                <a:schemeClr val="phClr">
                  <a:shade val="30000"/>
                </a:schemeClr>
              </a:solidFill>
            </a:fillOverlay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custClrLst>
    <a:custClr name="Ocean">
      <a:srgbClr val="2C5967"/>
    </a:custClr>
    <a:custClr name="Surf">
      <a:srgbClr val="41817E"/>
    </a:custClr>
    <a:custClr name="Sand">
      <a:srgbClr val="E5DBBE"/>
    </a:custClr>
    <a:custClr name="Pebble">
      <a:srgbClr val="8B8580"/>
    </a:custClr>
    <a:custClr name="Granite">
      <a:srgbClr val="67605B"/>
    </a:custClr>
    <a:custClr name="Position 6">
      <a:srgbClr val="FFFFFF"/>
    </a:custClr>
    <a:custClr name="Highlight/hyperlink dark theme">
      <a:srgbClr val="F0CC71"/>
    </a:custClr>
    <a:custClr name="Highlight/numbered list light theme">
      <a:srgbClr val="AE562C"/>
    </a:custClr>
    <a:custClr name="Hyperlink light theme (default)">
      <a:srgbClr val="2C5967"/>
    </a:custClr>
    <a:custClr name="Numbered list dark theme">
      <a:srgbClr val="759C6C"/>
    </a:custClr>
    <a:custClr name="Brand: Neutral 30">
      <a:srgbClr val="F1EFED"/>
    </a:custClr>
    <a:custClr name="Developer: Pebble 30">
      <a:srgbClr val="E7F0FD"/>
    </a:custClr>
    <a:custClr name="Database: Slate 30">
      <a:srgbClr val="E7F2F2"/>
    </a:custClr>
    <a:custClr name="Cloud Platform: Pine 30">
      <a:srgbClr val="E0F5E7"/>
    </a:custClr>
    <a:custClr name="Finance / Operations: Teal 30">
      <a:srgbClr val="E8F1F0"/>
    </a:custClr>
    <a:custClr name="NetSuite: Ocean 30">
      <a:srgbClr val="E7F2F5"/>
    </a:custClr>
    <a:custClr name="GBU: Lilac 30">
      <a:srgbClr val="EBEFFE"/>
    </a:custClr>
    <a:custClr name="CX/Marketing: Plum 30">
      <a:srgbClr val="F5ECFB"/>
    </a:custClr>
    <a:custClr name="HCM/HR: Rose 30">
      <a:srgbClr val="FBECEF"/>
    </a:custClr>
    <a:custClr name="SCM: Sienna 30">
      <a:srgbClr val="FCEDD9"/>
    </a:custClr>
    <a:custClr name="Brand: Neutral 70">
      <a:srgbClr val="AEA8A2"/>
    </a:custClr>
    <a:custClr name="Developer: Pebble 70">
      <a:srgbClr val="A2AAB6"/>
    </a:custClr>
    <a:custClr name="Database: Slate 70">
      <a:srgbClr val="99ADAE"/>
    </a:custClr>
    <a:custClr name="Cloud Platform: Pine 70">
      <a:srgbClr val="86B596"/>
    </a:custClr>
    <a:custClr name="Finance / Operations: Teal 70">
      <a:srgbClr val="89B2B0"/>
    </a:custClr>
    <a:custClr name="NetSuite: Ocean 70">
      <a:srgbClr val="81B2C3"/>
    </a:custClr>
    <a:custClr name="GBU: Lilac 70">
      <a:srgbClr val="A0A9C5"/>
    </a:custClr>
    <a:custClr name="CX/Marketing: Plum 70">
      <a:srgbClr val="B7A1C4"/>
    </a:custClr>
    <a:custClr name="HCM/HR: Rose 70">
      <a:srgbClr val="CE9BA7"/>
    </a:custClr>
    <a:custClr name="SCM: Sienna 70">
      <a:srgbClr val="D39F5D"/>
    </a:custClr>
    <a:custClr name="Brand: Neutral 140">
      <a:srgbClr val="514C47"/>
    </a:custClr>
    <a:custClr name="Developer: Pebble 140">
      <a:srgbClr val="494D53"/>
    </a:custClr>
    <a:custClr name="Database: Slate 140">
      <a:srgbClr val="464F4F"/>
    </a:custClr>
    <a:custClr name="Cloud Platform: Pine 140">
      <a:srgbClr val="33553C"/>
    </a:custClr>
    <a:custClr name="Finance / Operations: Teal 140">
      <a:srgbClr val="315357"/>
    </a:custClr>
    <a:custClr name="NetSuite: Ocean 140">
      <a:srgbClr val="2C5266"/>
    </a:custClr>
    <a:custClr name="GBU: Lilac 140">
      <a:srgbClr val="464C68"/>
    </a:custClr>
    <a:custClr name="CX/Marketing: Plum 140">
      <a:srgbClr val="594564"/>
    </a:custClr>
    <a:custClr name="HCM/HR: Rose 140">
      <a:srgbClr val="6C3F49"/>
    </a:custClr>
    <a:custClr name="SCM: Sienna 140">
      <a:srgbClr val="713F25"/>
    </a:custClr>
    <a:custClr name="Brand: Neutral 170">
      <a:srgbClr val="312D2A"/>
    </a:custClr>
    <a:custClr name="Developer: Pebble 170">
      <a:srgbClr val="2B2E32"/>
    </a:custClr>
    <a:custClr name="Database: Slate 170">
      <a:srgbClr val="2A2F2F"/>
    </a:custClr>
    <a:custClr name="Cloud Platform: Pine 170">
      <a:srgbClr val="1E3224"/>
    </a:custClr>
    <a:custClr name="Finance / Operations: Teal 170">
      <a:srgbClr val="1E3133"/>
    </a:custClr>
    <a:custClr name="NetSuite: Ocean 170">
      <a:srgbClr val="1A2F3F"/>
    </a:custClr>
    <a:custClr name="GBU: Lilac 170">
      <a:srgbClr val="2A2D3F"/>
    </a:custClr>
    <a:custClr name="CX/Marketing: Plum 170">
      <a:srgbClr val="36293C"/>
    </a:custClr>
    <a:custClr name="HCM/HR: Rose 170">
      <a:srgbClr val="41242B"/>
    </a:custClr>
    <a:custClr name="SCM: Sienna 170">
      <a:srgbClr val="442616"/>
    </a:custClr>
  </a:custClrLst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4D477-B5CE-4962-A895-DE7EE4D4CD13}">
  <sheetPr published="0"/>
  <dimension ref="A1:O40"/>
  <sheetViews>
    <sheetView workbookViewId="0">
      <selection activeCell="C1" sqref="C1"/>
    </sheetView>
  </sheetViews>
  <sheetFormatPr defaultRowHeight="14.25"/>
  <cols>
    <col min="1" max="1" width="18.375" bestFit="1" customWidth="1"/>
    <col min="2" max="2" width="15.75" bestFit="1" customWidth="1"/>
    <col min="3" max="3" width="25.625" bestFit="1" customWidth="1"/>
    <col min="4" max="4" width="16.375" bestFit="1" customWidth="1"/>
    <col min="5" max="5" width="24.625" bestFit="1" customWidth="1"/>
    <col min="6" max="6" width="16.875" bestFit="1" customWidth="1"/>
    <col min="7" max="7" width="21.5" bestFit="1" customWidth="1"/>
    <col min="8" max="8" width="22.75" bestFit="1" customWidth="1"/>
    <col min="9" max="9" width="23.125" bestFit="1" customWidth="1"/>
    <col min="10" max="10" width="28.625" bestFit="1" customWidth="1"/>
    <col min="11" max="11" width="31.375" bestFit="1" customWidth="1"/>
    <col min="12" max="12" width="34" bestFit="1" customWidth="1"/>
    <col min="13" max="13" width="30.875" bestFit="1" customWidth="1"/>
    <col min="14" max="14" width="25" bestFit="1" customWidth="1"/>
    <col min="15" max="15" width="16.375" bestFit="1" customWidth="1"/>
  </cols>
  <sheetData>
    <row r="1" spans="1:15" ht="15">
      <c r="A1" s="18" t="s">
        <v>94</v>
      </c>
    </row>
    <row r="3" spans="1:15">
      <c r="A3" t="s">
        <v>79</v>
      </c>
      <c r="B3" t="s">
        <v>80</v>
      </c>
      <c r="C3" t="s">
        <v>81</v>
      </c>
      <c r="D3" t="s">
        <v>82</v>
      </c>
      <c r="E3" t="s">
        <v>83</v>
      </c>
      <c r="F3" t="s">
        <v>84</v>
      </c>
      <c r="G3" t="s">
        <v>85</v>
      </c>
      <c r="H3" t="s">
        <v>86</v>
      </c>
      <c r="I3" t="s">
        <v>87</v>
      </c>
      <c r="J3" t="s">
        <v>88</v>
      </c>
      <c r="K3" t="s">
        <v>89</v>
      </c>
      <c r="L3" t="s">
        <v>90</v>
      </c>
      <c r="M3" t="s">
        <v>91</v>
      </c>
      <c r="N3" t="s">
        <v>92</v>
      </c>
      <c r="O3" t="s">
        <v>93</v>
      </c>
    </row>
    <row r="4" spans="1:15" ht="17.45" customHeight="1">
      <c r="A4" s="57"/>
      <c r="B4" s="57"/>
      <c r="C4" s="58"/>
      <c r="D4" s="57"/>
      <c r="E4" s="58"/>
      <c r="F4" s="58"/>
      <c r="G4" s="61"/>
      <c r="H4" s="61"/>
      <c r="I4" s="61"/>
    </row>
    <row r="5" spans="1:15">
      <c r="A5" s="59"/>
      <c r="B5" s="60"/>
      <c r="C5" s="61"/>
      <c r="D5" s="60"/>
      <c r="E5" s="61"/>
      <c r="F5" s="61"/>
      <c r="G5" s="61"/>
      <c r="H5" s="61"/>
      <c r="I5" s="61"/>
    </row>
    <row r="6" spans="1:15">
      <c r="A6" s="59"/>
      <c r="B6" s="60"/>
      <c r="C6" s="61"/>
      <c r="D6" s="60"/>
      <c r="E6" s="61"/>
      <c r="F6" s="61"/>
      <c r="G6" s="61"/>
      <c r="H6" s="61"/>
      <c r="I6" s="61"/>
    </row>
    <row r="7" spans="1:15">
      <c r="A7" s="59"/>
      <c r="B7" s="60"/>
      <c r="C7" s="61"/>
      <c r="D7" s="60"/>
      <c r="E7" s="61"/>
      <c r="F7" s="61"/>
      <c r="G7" s="61"/>
      <c r="H7" s="61"/>
      <c r="I7" s="61"/>
    </row>
    <row r="8" spans="1:15">
      <c r="A8" s="59"/>
      <c r="B8" s="60"/>
      <c r="C8" s="61"/>
      <c r="D8" s="60"/>
      <c r="E8" s="61"/>
      <c r="F8" s="61"/>
      <c r="G8" s="61"/>
      <c r="H8" s="61"/>
      <c r="I8" s="61"/>
    </row>
    <row r="9" spans="1:15">
      <c r="A9" s="59"/>
      <c r="B9" s="60"/>
      <c r="C9" s="61"/>
      <c r="D9" s="60"/>
      <c r="E9" s="61"/>
      <c r="F9" s="61"/>
      <c r="G9" s="61"/>
      <c r="H9" s="61"/>
      <c r="I9" s="61"/>
    </row>
    <row r="10" spans="1:15">
      <c r="A10" s="62"/>
      <c r="B10" s="63"/>
      <c r="C10" s="64"/>
      <c r="D10" s="63"/>
      <c r="E10" s="64"/>
      <c r="F10" s="64"/>
      <c r="G10" s="64"/>
      <c r="H10" s="64"/>
      <c r="I10" s="64"/>
    </row>
    <row r="11" spans="1:15">
      <c r="A11" s="62"/>
      <c r="B11" s="63"/>
      <c r="C11" s="64"/>
      <c r="D11" s="63"/>
      <c r="E11" s="64"/>
      <c r="F11" s="64"/>
      <c r="G11" s="64"/>
      <c r="H11" s="64"/>
      <c r="I11" s="64"/>
    </row>
    <row r="12" spans="1:15">
      <c r="A12" s="59"/>
      <c r="B12" s="60"/>
      <c r="C12" s="61"/>
      <c r="D12" s="60"/>
      <c r="E12" s="61"/>
      <c r="F12" s="61"/>
      <c r="G12" s="61"/>
      <c r="H12" s="61"/>
      <c r="I12" s="61"/>
    </row>
    <row r="13" spans="1:15">
      <c r="A13" s="62"/>
      <c r="B13" s="63"/>
      <c r="C13" s="64"/>
      <c r="D13" s="63"/>
      <c r="E13" s="64"/>
      <c r="F13" s="64"/>
      <c r="G13" s="64"/>
      <c r="H13" s="64"/>
      <c r="I13" s="64"/>
    </row>
    <row r="14" spans="1:15">
      <c r="A14" s="62"/>
      <c r="B14" s="63"/>
      <c r="C14" s="64"/>
      <c r="D14" s="63"/>
      <c r="E14" s="64"/>
      <c r="F14" s="64"/>
      <c r="G14" s="64"/>
      <c r="H14" s="64"/>
      <c r="I14" s="64"/>
    </row>
    <row r="15" spans="1:15">
      <c r="A15" s="59"/>
      <c r="B15" s="60"/>
      <c r="C15" s="61"/>
      <c r="D15" s="60"/>
      <c r="E15" s="61"/>
      <c r="F15" s="61"/>
      <c r="G15" s="61"/>
      <c r="H15" s="61"/>
      <c r="I15" s="61"/>
    </row>
    <row r="16" spans="1:15">
      <c r="A16" s="62"/>
      <c r="B16" s="63"/>
      <c r="C16" s="64"/>
      <c r="D16" s="63"/>
      <c r="E16" s="64"/>
      <c r="F16" s="64"/>
      <c r="G16" s="61"/>
      <c r="H16" s="61"/>
      <c r="I16" s="61"/>
    </row>
    <row r="17" spans="1:9">
      <c r="A17" s="59"/>
      <c r="B17" s="60"/>
      <c r="C17" s="61"/>
      <c r="D17" s="60"/>
      <c r="E17" s="61"/>
      <c r="F17" s="61"/>
      <c r="G17" s="61"/>
      <c r="H17" s="61"/>
      <c r="I17" s="61"/>
    </row>
    <row r="18" spans="1:9">
      <c r="A18" s="59"/>
      <c r="B18" s="60"/>
      <c r="C18" s="61"/>
      <c r="D18" s="60"/>
      <c r="E18" s="61"/>
      <c r="F18" s="61"/>
      <c r="G18" s="61"/>
      <c r="H18" s="61"/>
      <c r="I18" s="61"/>
    </row>
    <row r="19" spans="1:9">
      <c r="A19" s="62"/>
      <c r="B19" s="63"/>
      <c r="C19" s="64"/>
      <c r="D19" s="63"/>
      <c r="E19" s="64"/>
      <c r="F19" s="64"/>
      <c r="G19" s="64"/>
      <c r="H19" s="64"/>
      <c r="I19" s="64"/>
    </row>
    <row r="20" spans="1:9">
      <c r="A20" s="59"/>
      <c r="B20" s="60"/>
      <c r="C20" s="61"/>
      <c r="D20" s="60"/>
      <c r="E20" s="61"/>
      <c r="F20" s="61"/>
      <c r="G20" s="61"/>
      <c r="H20" s="61"/>
      <c r="I20" s="61"/>
    </row>
    <row r="21" spans="1:9">
      <c r="A21" s="59"/>
      <c r="B21" s="60"/>
      <c r="C21" s="61"/>
      <c r="D21" s="60"/>
      <c r="E21" s="61"/>
      <c r="F21" s="61"/>
      <c r="G21" s="61"/>
      <c r="H21" s="61"/>
      <c r="I21" s="61"/>
    </row>
    <row r="22" spans="1:9">
      <c r="A22" s="59"/>
      <c r="B22" s="60"/>
      <c r="C22" s="61"/>
      <c r="D22" s="60"/>
      <c r="E22" s="61"/>
      <c r="F22" s="61"/>
      <c r="G22" s="61"/>
      <c r="H22" s="61"/>
      <c r="I22" s="61"/>
    </row>
    <row r="23" spans="1:9">
      <c r="A23" s="59"/>
      <c r="B23" s="60"/>
      <c r="C23" s="61"/>
      <c r="D23" s="60"/>
      <c r="E23" s="61"/>
      <c r="F23" s="61"/>
      <c r="G23" s="61"/>
      <c r="H23" s="61"/>
      <c r="I23" s="61"/>
    </row>
    <row r="24" spans="1:9">
      <c r="A24" s="62"/>
      <c r="B24" s="63"/>
      <c r="C24" s="64"/>
      <c r="D24" s="63"/>
      <c r="E24" s="64"/>
      <c r="F24" s="64"/>
      <c r="G24" s="64"/>
      <c r="H24" s="64"/>
      <c r="I24" s="64"/>
    </row>
    <row r="25" spans="1:9">
      <c r="A25" s="62"/>
      <c r="B25" s="63"/>
      <c r="C25" s="64"/>
      <c r="D25" s="63"/>
      <c r="E25" s="64"/>
      <c r="F25" s="64"/>
      <c r="G25" s="64"/>
      <c r="H25" s="64"/>
      <c r="I25" s="64"/>
    </row>
    <row r="26" spans="1:9">
      <c r="A26" s="59"/>
      <c r="B26" s="60"/>
      <c r="C26" s="61"/>
      <c r="D26" s="60"/>
      <c r="E26" s="61"/>
      <c r="F26" s="61"/>
      <c r="G26" s="61"/>
      <c r="H26" s="61"/>
      <c r="I26" s="61"/>
    </row>
    <row r="27" spans="1:9">
      <c r="A27" s="62"/>
      <c r="B27" s="63"/>
      <c r="C27" s="64"/>
      <c r="D27" s="63"/>
      <c r="E27" s="64"/>
      <c r="F27" s="64"/>
      <c r="G27" s="64"/>
      <c r="H27" s="64"/>
      <c r="I27" s="64"/>
    </row>
    <row r="28" spans="1:9">
      <c r="A28" s="59"/>
      <c r="B28" s="60"/>
      <c r="C28" s="61"/>
      <c r="D28" s="60"/>
      <c r="E28" s="61"/>
      <c r="F28" s="61"/>
      <c r="G28" s="61"/>
      <c r="H28" s="61"/>
      <c r="I28" s="61"/>
    </row>
    <row r="29" spans="1:9">
      <c r="A29" s="62"/>
      <c r="B29" s="63"/>
      <c r="C29" s="64"/>
      <c r="D29" s="63"/>
      <c r="E29" s="64"/>
      <c r="F29" s="64"/>
      <c r="G29" s="64"/>
      <c r="H29" s="64"/>
      <c r="I29" s="64"/>
    </row>
    <row r="30" spans="1:9">
      <c r="A30" s="62"/>
      <c r="B30" s="63"/>
      <c r="C30" s="64"/>
      <c r="D30" s="63"/>
      <c r="E30" s="64"/>
      <c r="F30" s="64"/>
      <c r="G30" s="64"/>
      <c r="H30" s="64"/>
      <c r="I30" s="64"/>
    </row>
    <row r="31" spans="1:9">
      <c r="A31" s="62"/>
      <c r="B31" s="63"/>
      <c r="C31" s="64"/>
      <c r="D31" s="63"/>
      <c r="E31" s="64"/>
      <c r="F31" s="64"/>
      <c r="G31" s="64"/>
      <c r="H31" s="64"/>
      <c r="I31" s="64"/>
    </row>
    <row r="32" spans="1:9">
      <c r="A32" s="62"/>
      <c r="B32" s="63"/>
      <c r="C32" s="64"/>
      <c r="D32" s="63"/>
      <c r="E32" s="64"/>
      <c r="F32" s="64"/>
      <c r="G32" s="64"/>
      <c r="H32" s="64"/>
      <c r="I32" s="64"/>
    </row>
    <row r="33" spans="1:9">
      <c r="A33" s="62"/>
      <c r="B33" s="63"/>
      <c r="C33" s="64"/>
      <c r="D33" s="63"/>
      <c r="E33" s="64"/>
      <c r="F33" s="64"/>
      <c r="G33" s="64"/>
      <c r="H33" s="64"/>
      <c r="I33" s="64"/>
    </row>
    <row r="34" spans="1:9">
      <c r="A34" s="62"/>
      <c r="B34" s="63"/>
      <c r="C34" s="64"/>
      <c r="D34" s="63"/>
      <c r="E34" s="64"/>
      <c r="F34" s="64"/>
      <c r="G34" s="64"/>
      <c r="H34" s="64"/>
      <c r="I34" s="64"/>
    </row>
    <row r="35" spans="1:9">
      <c r="A35" s="62"/>
      <c r="B35" s="63"/>
      <c r="C35" s="64"/>
      <c r="D35" s="63"/>
      <c r="E35" s="64"/>
      <c r="F35" s="64"/>
      <c r="G35" s="64"/>
      <c r="H35" s="64"/>
      <c r="I35" s="64"/>
    </row>
    <row r="36" spans="1:9">
      <c r="A36" s="62"/>
      <c r="B36" s="63"/>
      <c r="C36" s="64"/>
      <c r="D36" s="63"/>
      <c r="E36" s="64"/>
      <c r="F36" s="64"/>
      <c r="G36" s="64"/>
      <c r="H36" s="64"/>
      <c r="I36" s="64"/>
    </row>
    <row r="37" spans="1:9">
      <c r="A37" s="59"/>
      <c r="B37" s="60"/>
      <c r="C37" s="61"/>
      <c r="D37" s="60"/>
      <c r="E37" s="61"/>
      <c r="F37" s="61"/>
      <c r="G37" s="61"/>
      <c r="H37" s="61"/>
      <c r="I37" s="61"/>
    </row>
    <row r="38" spans="1:9">
      <c r="A38" s="59"/>
      <c r="B38" s="60"/>
      <c r="C38" s="61"/>
      <c r="D38" s="60"/>
      <c r="E38" s="61"/>
      <c r="F38" s="61"/>
      <c r="G38" s="61"/>
      <c r="H38" s="61"/>
      <c r="I38" s="61"/>
    </row>
    <row r="39" spans="1:9">
      <c r="A39" s="62"/>
      <c r="B39" s="63"/>
      <c r="C39" s="64"/>
      <c r="D39" s="63"/>
      <c r="E39" s="64"/>
      <c r="F39" s="64"/>
      <c r="G39" s="64"/>
      <c r="H39" s="64"/>
      <c r="I39" s="64"/>
    </row>
    <row r="40" spans="1:9">
      <c r="A40" s="62"/>
      <c r="B40" s="63"/>
      <c r="C40" s="64"/>
      <c r="D40" s="63"/>
      <c r="E40" s="64"/>
      <c r="F40" s="64"/>
      <c r="G40" s="64"/>
      <c r="H40" s="64"/>
      <c r="I40" s="64"/>
    </row>
  </sheetData>
  <dataValidations count="1">
    <dataValidation type="list" allowBlank="1" showInputMessage="1" showErrorMessage="1" sqref="I4:I40" xr:uid="{047019C7-1E15-4723-8473-91F78CFFC5C9}">
      <formula1>"Low Wall, High Wall, Mid Wall, Below Counter/Desk, Above Counter/Desk, On Boom, Head of Bed, See Notes"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9D205-15D6-44C7-89EB-3DCF02443188}">
  <sheetPr published="0"/>
  <dimension ref="A1:M82"/>
  <sheetViews>
    <sheetView showGridLines="0" zoomScale="240" zoomScaleNormal="240" workbookViewId="0">
      <pane ySplit="2" topLeftCell="A3" activePane="bottomLeft" state="frozen"/>
      <selection pane="bottomLeft" activeCell="B25" sqref="B25"/>
    </sheetView>
  </sheetViews>
  <sheetFormatPr defaultRowHeight="14.25"/>
  <cols>
    <col min="1" max="1" width="2.375" customWidth="1"/>
    <col min="2" max="2" width="12.875" bestFit="1" customWidth="1"/>
    <col min="3" max="3" width="18.75" bestFit="1" customWidth="1"/>
    <col min="4" max="4" width="6.75" customWidth="1"/>
    <col min="5" max="5" width="12.875" bestFit="1" customWidth="1"/>
    <col min="6" max="6" width="21.875" bestFit="1" customWidth="1"/>
    <col min="7" max="7" width="24.875" bestFit="1" customWidth="1"/>
    <col min="8" max="8" width="7" customWidth="1"/>
    <col min="9" max="9" width="25.875" customWidth="1"/>
    <col min="10" max="10" width="30.375" customWidth="1"/>
    <col min="11" max="11" width="32.875" customWidth="1"/>
    <col min="12" max="12" width="29.5" customWidth="1"/>
  </cols>
  <sheetData>
    <row r="1" spans="1:12" ht="20.45" customHeight="1">
      <c r="A1" s="42"/>
      <c r="B1" s="95" t="s">
        <v>521</v>
      </c>
      <c r="C1" s="95"/>
      <c r="D1" s="95"/>
      <c r="E1" s="95"/>
      <c r="F1" s="95"/>
      <c r="G1" s="95"/>
      <c r="H1" s="95"/>
      <c r="I1" s="95"/>
      <c r="J1" s="95"/>
      <c r="K1" s="95"/>
      <c r="L1" s="95"/>
    </row>
    <row r="2" spans="1:12" ht="39" customHeight="1">
      <c r="A2" s="94" t="s">
        <v>58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</row>
    <row r="3" spans="1:12" ht="6.6" customHeight="1">
      <c r="B3" s="22"/>
      <c r="C3" s="22"/>
      <c r="D3" s="22"/>
      <c r="E3" s="22"/>
      <c r="F3" s="22"/>
      <c r="G3" s="22"/>
      <c r="J3" s="18"/>
    </row>
    <row r="4" spans="1:12" ht="15">
      <c r="B4" s="23"/>
      <c r="C4" s="24" t="s">
        <v>40</v>
      </c>
      <c r="E4" s="18" t="s">
        <v>42</v>
      </c>
      <c r="J4" s="18"/>
    </row>
    <row r="5" spans="1:12" ht="15.75" thickBot="1">
      <c r="B5" s="23"/>
      <c r="C5" s="36" t="s">
        <v>20</v>
      </c>
      <c r="D5" s="37"/>
      <c r="E5" s="37"/>
      <c r="F5" s="37"/>
      <c r="G5" s="37"/>
      <c r="H5" s="37"/>
      <c r="I5" s="37"/>
      <c r="J5" s="37"/>
    </row>
    <row r="6" spans="1:12" ht="15">
      <c r="B6" s="23"/>
      <c r="C6" s="26" t="s">
        <v>41</v>
      </c>
      <c r="D6" s="25" cm="1">
        <f t="array" ref="D6">IF(COUNTIF(DDPOTbl[Required Data Drops],"&gt;0")=0,0,COUNTA(_xlfn.UNIQUE(_xlfn._xlws.FILTER(DDPOTbl[New Data ID],DDPOTbl[Required Data Drops]&gt;0))))</f>
        <v>57</v>
      </c>
      <c r="E6" s="27" t="s">
        <v>47</v>
      </c>
      <c r="F6" s="28"/>
      <c r="G6" s="28"/>
      <c r="H6" s="28"/>
      <c r="I6" s="28"/>
      <c r="J6" s="28"/>
    </row>
    <row r="7" spans="1:12" ht="15">
      <c r="B7" s="23"/>
      <c r="C7" s="26" t="s">
        <v>39</v>
      </c>
      <c r="D7" s="25">
        <f>SUM(DDPOTbl[Required Data Drops])</f>
        <v>57</v>
      </c>
      <c r="E7" s="28" t="s">
        <v>46</v>
      </c>
      <c r="F7" s="28"/>
      <c r="G7" s="28"/>
      <c r="H7" s="28"/>
      <c r="I7" s="28"/>
      <c r="J7" s="28"/>
    </row>
    <row r="8" spans="1:12" ht="15.75" thickBot="1">
      <c r="B8" s="23"/>
      <c r="C8" s="34" t="s">
        <v>10</v>
      </c>
      <c r="D8" s="35"/>
      <c r="E8" s="35"/>
      <c r="F8" s="35"/>
      <c r="G8" s="35"/>
      <c r="H8" s="35"/>
      <c r="I8" s="35"/>
      <c r="J8" s="35"/>
    </row>
    <row r="9" spans="1:12" ht="15">
      <c r="B9" s="23"/>
      <c r="C9" s="29" t="s">
        <v>21</v>
      </c>
      <c r="D9" s="30" cm="1">
        <f t="array" ref="D9">IF(COUNTIF(DDPOTbl[Required Regular Power],"&gt;0")=0,0,COUNTA(_xlfn.UNIQUE(_xlfn._xlws.FILTER(DDPOTbl[New Power ID],DDPOTbl[Required Regular Power]&gt;0))))</f>
        <v>19</v>
      </c>
      <c r="E9" s="31" t="s">
        <v>48</v>
      </c>
      <c r="F9" s="32"/>
      <c r="G9" s="32"/>
      <c r="H9" s="32"/>
      <c r="I9" s="32"/>
      <c r="J9" s="32"/>
    </row>
    <row r="10" spans="1:12" ht="15">
      <c r="B10" s="23"/>
      <c r="C10" s="29" t="s">
        <v>43</v>
      </c>
      <c r="D10" s="33">
        <f>SUM(DDPOTbl[Required Regular Power])</f>
        <v>34</v>
      </c>
      <c r="E10" s="32" t="s">
        <v>44</v>
      </c>
      <c r="F10" s="32"/>
      <c r="G10" s="32"/>
      <c r="H10" s="32"/>
      <c r="I10" s="32"/>
      <c r="J10" s="32"/>
    </row>
    <row r="11" spans="1:12" ht="15.75" thickBot="1">
      <c r="B11" s="23"/>
      <c r="C11" s="34" t="s">
        <v>11</v>
      </c>
      <c r="D11" s="35"/>
      <c r="E11" s="35"/>
      <c r="F11" s="35"/>
      <c r="G11" s="35"/>
      <c r="H11" s="35"/>
      <c r="I11" s="35"/>
      <c r="J11" s="35"/>
    </row>
    <row r="12" spans="1:12" ht="15">
      <c r="B12" s="23"/>
      <c r="C12" s="29" t="s">
        <v>21</v>
      </c>
      <c r="D12" s="30" cm="1">
        <f t="array" ref="D12">IF(COUNTIF(DDPOTbl[Required Emergency Power],"&gt;0")=0,0,COUNTA(_xlfn.UNIQUE(_xlfn._xlws.FILTER(DDPOTbl[New Power ID],DDPOTbl[Required Emergency Power]&gt;0))))</f>
        <v>5</v>
      </c>
      <c r="E12" s="31" t="s">
        <v>49</v>
      </c>
      <c r="F12" s="32"/>
      <c r="G12" s="32"/>
      <c r="H12" s="32"/>
      <c r="I12" s="32"/>
      <c r="J12" s="32"/>
    </row>
    <row r="13" spans="1:12" ht="15">
      <c r="B13" s="23"/>
      <c r="C13" s="29" t="s">
        <v>35</v>
      </c>
      <c r="D13" s="33">
        <f>SUM(DDPOTbl[Required Emergency Power])</f>
        <v>7</v>
      </c>
      <c r="E13" s="32" t="s">
        <v>45</v>
      </c>
      <c r="F13" s="32"/>
      <c r="G13" s="32"/>
      <c r="H13" s="32"/>
      <c r="I13" s="32"/>
      <c r="J13" s="32"/>
    </row>
    <row r="14" spans="1:12" ht="15.75" thickBot="1">
      <c r="C14" s="39" t="s">
        <v>34</v>
      </c>
      <c r="D14" s="39"/>
      <c r="E14" s="39"/>
      <c r="F14" s="39"/>
      <c r="G14" s="39"/>
      <c r="H14" s="39"/>
      <c r="I14" s="39"/>
      <c r="J14" s="39"/>
    </row>
    <row r="15" spans="1:12">
      <c r="C15" s="40"/>
      <c r="D15" s="38">
        <f>COUNTIF(DDPOTbl[FMS to Add Power Strip],"Yes")</f>
        <v>10</v>
      </c>
      <c r="E15" s="41" t="s">
        <v>50</v>
      </c>
      <c r="F15" s="40"/>
      <c r="G15" s="40"/>
      <c r="H15" s="40"/>
      <c r="I15" s="40"/>
      <c r="J15" s="40"/>
    </row>
    <row r="16" spans="1:12" ht="15.75" thickBot="1">
      <c r="C16" s="51" t="s">
        <v>59</v>
      </c>
      <c r="D16" s="52"/>
      <c r="E16" s="53"/>
      <c r="F16" s="53"/>
      <c r="G16" s="53"/>
      <c r="H16" s="53"/>
      <c r="I16" s="53"/>
      <c r="J16" s="53"/>
    </row>
    <row r="17" spans="2:13" ht="15">
      <c r="C17" s="54" t="s">
        <v>60</v>
      </c>
      <c r="D17" s="56">
        <f>COUNTIFS(MountingTbl[Device Type],"OCE")</f>
        <v>129</v>
      </c>
      <c r="E17" s="55" t="s">
        <v>63</v>
      </c>
      <c r="F17" s="55"/>
      <c r="G17" s="55"/>
      <c r="H17" s="55"/>
      <c r="I17" s="55"/>
      <c r="J17" s="55"/>
    </row>
    <row r="18" spans="2:13" ht="15" customHeight="1">
      <c r="C18" s="54" t="s">
        <v>61</v>
      </c>
      <c r="D18" s="56">
        <f>COUNTIFS(MountingTbl[Device Type],"Tracking Board")</f>
        <v>21</v>
      </c>
      <c r="E18" s="55" t="s">
        <v>64</v>
      </c>
      <c r="F18" s="55"/>
      <c r="G18" s="55"/>
      <c r="H18" s="55"/>
      <c r="I18" s="55"/>
      <c r="J18" s="55"/>
    </row>
    <row r="19" spans="2:13" ht="15">
      <c r="C19" s="54" t="s">
        <v>62</v>
      </c>
      <c r="D19" s="56">
        <f>COUNTIFS(MountingTbl[Device Type],"Tracking Board PC")</f>
        <v>25</v>
      </c>
      <c r="E19" s="55" t="s">
        <v>65</v>
      </c>
      <c r="F19" s="55"/>
      <c r="G19" s="55"/>
      <c r="H19" s="55"/>
      <c r="I19" s="55"/>
      <c r="J19" s="55"/>
    </row>
    <row r="20" spans="2:13" ht="15">
      <c r="C20" s="54" t="s">
        <v>67</v>
      </c>
      <c r="D20" s="56">
        <f>COUNTIFS(MountingTbl[Device Type],"*Wallmount*")</f>
        <v>1</v>
      </c>
      <c r="E20" s="55" t="s">
        <v>66</v>
      </c>
      <c r="F20" s="55"/>
      <c r="G20" s="55"/>
      <c r="H20" s="55"/>
      <c r="I20" s="55"/>
      <c r="J20" s="55"/>
    </row>
    <row r="21" spans="2:13" ht="15">
      <c r="C21" s="21"/>
      <c r="D21" s="19"/>
    </row>
    <row r="22" spans="2:13" ht="15">
      <c r="C22" s="21"/>
      <c r="D22" s="19"/>
    </row>
    <row r="23" spans="2:13" ht="18">
      <c r="B23" s="96" t="s">
        <v>36</v>
      </c>
      <c r="C23" s="96"/>
      <c r="E23" s="96" t="s">
        <v>37</v>
      </c>
      <c r="F23" s="96"/>
      <c r="G23" s="96"/>
    </row>
    <row r="24" spans="2:13" ht="30">
      <c r="B24" s="16" t="s">
        <v>23</v>
      </c>
      <c r="C24" s="86" t="s">
        <v>32</v>
      </c>
      <c r="E24" s="16" t="s">
        <v>22</v>
      </c>
      <c r="F24" s="86" t="s">
        <v>26</v>
      </c>
      <c r="G24" s="86" t="s">
        <v>27</v>
      </c>
      <c r="I24" s="97" t="s">
        <v>38</v>
      </c>
      <c r="J24" s="98"/>
      <c r="K24" s="98"/>
      <c r="L24" s="99"/>
    </row>
    <row r="25" spans="2:13" ht="15" customHeight="1">
      <c r="B25" s="8" t="s">
        <v>296</v>
      </c>
      <c r="C25" s="87">
        <v>1</v>
      </c>
      <c r="E25" s="8" t="s">
        <v>297</v>
      </c>
      <c r="F25" s="87">
        <v>2</v>
      </c>
      <c r="G25" s="87"/>
      <c r="I25" s="90" t="s">
        <v>28</v>
      </c>
      <c r="J25" s="91" t="s">
        <v>522</v>
      </c>
      <c r="K25" s="91"/>
      <c r="L25" s="91"/>
    </row>
    <row r="26" spans="2:13">
      <c r="B26" s="8" t="s">
        <v>294</v>
      </c>
      <c r="C26" s="87">
        <v>1</v>
      </c>
      <c r="E26" s="8" t="s">
        <v>295</v>
      </c>
      <c r="F26" s="87">
        <v>2</v>
      </c>
      <c r="G26" s="87"/>
      <c r="I26" s="90"/>
      <c r="J26" s="91"/>
      <c r="K26" s="91"/>
      <c r="L26" s="91"/>
    </row>
    <row r="27" spans="2:13">
      <c r="B27" s="8" t="s">
        <v>293</v>
      </c>
      <c r="C27" s="87">
        <v>1</v>
      </c>
      <c r="E27" s="8" t="s">
        <v>292</v>
      </c>
      <c r="F27" s="87">
        <v>1</v>
      </c>
      <c r="G27" s="87"/>
      <c r="I27" s="90"/>
      <c r="J27" s="91"/>
      <c r="K27" s="91"/>
      <c r="L27" s="91"/>
      <c r="M27" s="89"/>
    </row>
    <row r="28" spans="2:13" ht="15" customHeight="1">
      <c r="B28" s="8" t="s">
        <v>291</v>
      </c>
      <c r="C28" s="87">
        <v>1</v>
      </c>
      <c r="E28" s="8" t="s">
        <v>289</v>
      </c>
      <c r="F28" s="87">
        <v>1</v>
      </c>
      <c r="G28" s="87"/>
      <c r="I28" s="90"/>
      <c r="J28" s="91"/>
      <c r="K28" s="91"/>
      <c r="L28" s="91"/>
      <c r="M28" s="89"/>
    </row>
    <row r="29" spans="2:13" ht="15" customHeight="1">
      <c r="B29" s="8" t="s">
        <v>290</v>
      </c>
      <c r="C29" s="87">
        <v>1</v>
      </c>
      <c r="E29" s="8" t="s">
        <v>287</v>
      </c>
      <c r="F29" s="87">
        <v>2</v>
      </c>
      <c r="G29" s="87"/>
      <c r="I29" s="90" t="s">
        <v>33</v>
      </c>
      <c r="J29" s="91" t="s">
        <v>523</v>
      </c>
      <c r="K29" s="91"/>
      <c r="L29" s="91"/>
    </row>
    <row r="30" spans="2:13">
      <c r="B30" s="8" t="s">
        <v>288</v>
      </c>
      <c r="C30" s="87">
        <v>1</v>
      </c>
      <c r="E30" s="8" t="s">
        <v>304</v>
      </c>
      <c r="F30" s="87"/>
      <c r="G30" s="87">
        <v>2</v>
      </c>
      <c r="I30" s="90"/>
      <c r="J30" s="91"/>
      <c r="K30" s="91"/>
      <c r="L30" s="91"/>
    </row>
    <row r="31" spans="2:13" ht="15" customHeight="1">
      <c r="B31" s="8" t="s">
        <v>286</v>
      </c>
      <c r="C31" s="87">
        <v>1</v>
      </c>
      <c r="E31" s="8" t="s">
        <v>303</v>
      </c>
      <c r="F31" s="87">
        <v>2</v>
      </c>
      <c r="G31" s="87"/>
      <c r="I31" s="92" t="s">
        <v>29</v>
      </c>
      <c r="J31" s="91" t="s">
        <v>524</v>
      </c>
      <c r="K31" s="91"/>
      <c r="L31" s="91"/>
    </row>
    <row r="32" spans="2:13" ht="15" customHeight="1">
      <c r="B32" s="8" t="s">
        <v>285</v>
      </c>
      <c r="C32" s="87">
        <v>1</v>
      </c>
      <c r="E32" s="8" t="s">
        <v>302</v>
      </c>
      <c r="F32" s="87">
        <v>1</v>
      </c>
      <c r="G32" s="87"/>
      <c r="I32" s="92"/>
      <c r="J32" s="91"/>
      <c r="K32" s="91"/>
      <c r="L32" s="91"/>
    </row>
    <row r="33" spans="2:12">
      <c r="B33" s="8" t="s">
        <v>284</v>
      </c>
      <c r="C33" s="87">
        <v>1</v>
      </c>
      <c r="E33" s="8" t="s">
        <v>301</v>
      </c>
      <c r="F33" s="87"/>
      <c r="G33" s="87">
        <v>1</v>
      </c>
      <c r="I33" s="92"/>
      <c r="J33" s="91"/>
      <c r="K33" s="91"/>
      <c r="L33" s="91"/>
    </row>
    <row r="34" spans="2:12">
      <c r="B34" s="8" t="s">
        <v>283</v>
      </c>
      <c r="C34" s="87">
        <v>1</v>
      </c>
      <c r="E34" s="8" t="s">
        <v>275</v>
      </c>
      <c r="F34" s="87">
        <v>2</v>
      </c>
      <c r="G34" s="87"/>
      <c r="I34" s="92"/>
      <c r="J34" s="91"/>
      <c r="K34" s="91"/>
      <c r="L34" s="91"/>
    </row>
    <row r="35" spans="2:12" ht="15" customHeight="1">
      <c r="B35" s="8" t="s">
        <v>282</v>
      </c>
      <c r="C35" s="87">
        <v>1</v>
      </c>
      <c r="E35" s="8" t="s">
        <v>272</v>
      </c>
      <c r="F35" s="87">
        <v>2</v>
      </c>
      <c r="G35" s="87"/>
      <c r="I35" s="92" t="s">
        <v>30</v>
      </c>
      <c r="J35" s="91" t="s">
        <v>525</v>
      </c>
      <c r="K35" s="91"/>
      <c r="L35" s="91"/>
    </row>
    <row r="36" spans="2:12">
      <c r="B36" s="8" t="s">
        <v>281</v>
      </c>
      <c r="C36" s="87">
        <v>1</v>
      </c>
      <c r="E36" s="8" t="s">
        <v>270</v>
      </c>
      <c r="F36" s="87">
        <v>2</v>
      </c>
      <c r="G36" s="87"/>
      <c r="I36" s="92"/>
      <c r="J36" s="91"/>
      <c r="K36" s="91"/>
      <c r="L36" s="91"/>
    </row>
    <row r="37" spans="2:12" ht="15" customHeight="1">
      <c r="B37" s="8" t="s">
        <v>280</v>
      </c>
      <c r="C37" s="87">
        <v>1</v>
      </c>
      <c r="E37" s="8" t="s">
        <v>268</v>
      </c>
      <c r="F37" s="87">
        <v>2</v>
      </c>
      <c r="G37" s="87"/>
      <c r="I37" s="92" t="s">
        <v>31</v>
      </c>
      <c r="J37" s="91" t="s">
        <v>526</v>
      </c>
      <c r="K37" s="91"/>
      <c r="L37" s="91"/>
    </row>
    <row r="38" spans="2:12" ht="15" customHeight="1">
      <c r="B38" s="8" t="s">
        <v>279</v>
      </c>
      <c r="C38" s="87">
        <v>1</v>
      </c>
      <c r="E38" s="8" t="s">
        <v>243</v>
      </c>
      <c r="F38" s="87">
        <v>2</v>
      </c>
      <c r="G38" s="87"/>
      <c r="I38" s="92"/>
      <c r="J38" s="91"/>
      <c r="K38" s="91"/>
      <c r="L38" s="91"/>
    </row>
    <row r="39" spans="2:12">
      <c r="B39" s="8" t="s">
        <v>278</v>
      </c>
      <c r="C39" s="87">
        <v>1</v>
      </c>
      <c r="E39" s="8" t="s">
        <v>241</v>
      </c>
      <c r="F39" s="87">
        <v>2</v>
      </c>
      <c r="G39" s="87"/>
    </row>
    <row r="40" spans="2:12">
      <c r="B40" s="8" t="s">
        <v>277</v>
      </c>
      <c r="C40" s="87">
        <v>1</v>
      </c>
      <c r="E40" s="8" t="s">
        <v>228</v>
      </c>
      <c r="F40" s="87">
        <v>2</v>
      </c>
      <c r="G40" s="87"/>
    </row>
    <row r="41" spans="2:12" ht="14.1" customHeight="1">
      <c r="B41" s="8" t="s">
        <v>276</v>
      </c>
      <c r="C41" s="87">
        <v>1</v>
      </c>
      <c r="E41" s="8" t="s">
        <v>239</v>
      </c>
      <c r="F41" s="87">
        <v>2</v>
      </c>
      <c r="G41" s="87"/>
      <c r="I41" s="93"/>
      <c r="J41" s="93"/>
      <c r="K41" s="50"/>
    </row>
    <row r="42" spans="2:12">
      <c r="B42" s="8" t="s">
        <v>274</v>
      </c>
      <c r="C42" s="87">
        <v>1</v>
      </c>
      <c r="E42" s="8" t="s">
        <v>237</v>
      </c>
      <c r="F42" s="87">
        <v>2</v>
      </c>
      <c r="G42" s="87"/>
    </row>
    <row r="43" spans="2:12">
      <c r="B43" s="8" t="s">
        <v>273</v>
      </c>
      <c r="C43" s="87">
        <v>1</v>
      </c>
      <c r="E43" s="8" t="s">
        <v>300</v>
      </c>
      <c r="F43" s="87"/>
      <c r="G43" s="87">
        <v>2</v>
      </c>
    </row>
    <row r="44" spans="2:12">
      <c r="B44" s="8" t="s">
        <v>271</v>
      </c>
      <c r="C44" s="87">
        <v>1</v>
      </c>
      <c r="E44" s="8" t="s">
        <v>232</v>
      </c>
      <c r="F44" s="87">
        <v>2</v>
      </c>
      <c r="G44" s="87"/>
    </row>
    <row r="45" spans="2:12">
      <c r="B45" s="8" t="s">
        <v>269</v>
      </c>
      <c r="C45" s="87">
        <v>1</v>
      </c>
      <c r="E45" s="8" t="s">
        <v>230</v>
      </c>
      <c r="F45" s="87">
        <v>1</v>
      </c>
      <c r="G45" s="87"/>
    </row>
    <row r="46" spans="2:12">
      <c r="B46" s="8" t="s">
        <v>267</v>
      </c>
      <c r="C46" s="87">
        <v>1</v>
      </c>
      <c r="E46" s="8" t="s">
        <v>226</v>
      </c>
      <c r="F46" s="87">
        <v>2</v>
      </c>
      <c r="G46" s="87"/>
    </row>
    <row r="47" spans="2:12">
      <c r="B47" s="8" t="s">
        <v>266</v>
      </c>
      <c r="C47" s="87">
        <v>1</v>
      </c>
      <c r="E47" s="8" t="s">
        <v>299</v>
      </c>
      <c r="F47" s="87"/>
      <c r="G47" s="87">
        <v>1</v>
      </c>
    </row>
    <row r="48" spans="2:12">
      <c r="B48" s="8" t="s">
        <v>265</v>
      </c>
      <c r="C48" s="87">
        <v>1</v>
      </c>
      <c r="E48" s="8" t="s">
        <v>298</v>
      </c>
      <c r="F48" s="87"/>
      <c r="G48" s="87">
        <v>1</v>
      </c>
    </row>
    <row r="49" spans="2:7">
      <c r="B49" s="8" t="s">
        <v>264</v>
      </c>
      <c r="C49" s="87">
        <v>1</v>
      </c>
      <c r="E49" s="8" t="s">
        <v>19</v>
      </c>
      <c r="F49" s="87">
        <v>34</v>
      </c>
      <c r="G49" s="87">
        <v>7</v>
      </c>
    </row>
    <row r="50" spans="2:7">
      <c r="B50" s="8" t="s">
        <v>262</v>
      </c>
      <c r="C50" s="87">
        <v>1</v>
      </c>
    </row>
    <row r="51" spans="2:7">
      <c r="B51" s="8" t="s">
        <v>261</v>
      </c>
      <c r="C51" s="87">
        <v>1</v>
      </c>
    </row>
    <row r="52" spans="2:7">
      <c r="B52" s="8" t="s">
        <v>260</v>
      </c>
      <c r="C52" s="87">
        <v>1</v>
      </c>
    </row>
    <row r="53" spans="2:7">
      <c r="B53" s="8" t="s">
        <v>259</v>
      </c>
      <c r="C53" s="87">
        <v>1</v>
      </c>
    </row>
    <row r="54" spans="2:7">
      <c r="B54" s="8" t="s">
        <v>258</v>
      </c>
      <c r="C54" s="87">
        <v>1</v>
      </c>
    </row>
    <row r="55" spans="2:7">
      <c r="B55" s="8" t="s">
        <v>257</v>
      </c>
      <c r="C55" s="87">
        <v>1</v>
      </c>
    </row>
    <row r="56" spans="2:7" ht="14.1" customHeight="1">
      <c r="B56" s="8" t="s">
        <v>256</v>
      </c>
      <c r="C56" s="87">
        <v>1</v>
      </c>
    </row>
    <row r="57" spans="2:7">
      <c r="B57" s="8" t="s">
        <v>255</v>
      </c>
      <c r="C57" s="87">
        <v>1</v>
      </c>
    </row>
    <row r="58" spans="2:7">
      <c r="B58" s="8" t="s">
        <v>254</v>
      </c>
      <c r="C58" s="87">
        <v>1</v>
      </c>
    </row>
    <row r="59" spans="2:7">
      <c r="B59" s="8" t="s">
        <v>253</v>
      </c>
      <c r="C59" s="87">
        <v>1</v>
      </c>
    </row>
    <row r="60" spans="2:7" ht="15.95" customHeight="1">
      <c r="B60" s="8" t="s">
        <v>252</v>
      </c>
      <c r="C60" s="87">
        <v>1</v>
      </c>
    </row>
    <row r="61" spans="2:7">
      <c r="B61" s="8" t="s">
        <v>251</v>
      </c>
      <c r="C61" s="87">
        <v>1</v>
      </c>
    </row>
    <row r="62" spans="2:7">
      <c r="B62" s="8" t="s">
        <v>250</v>
      </c>
      <c r="C62" s="87">
        <v>1</v>
      </c>
    </row>
    <row r="63" spans="2:7">
      <c r="B63" s="8" t="s">
        <v>249</v>
      </c>
      <c r="C63" s="87">
        <v>1</v>
      </c>
    </row>
    <row r="64" spans="2:7" ht="14.1" customHeight="1">
      <c r="B64" s="8" t="s">
        <v>248</v>
      </c>
      <c r="C64" s="87">
        <v>1</v>
      </c>
    </row>
    <row r="65" spans="2:3">
      <c r="B65" s="8" t="s">
        <v>247</v>
      </c>
      <c r="C65" s="87">
        <v>1</v>
      </c>
    </row>
    <row r="66" spans="2:3">
      <c r="B66" s="8" t="s">
        <v>246</v>
      </c>
      <c r="C66" s="87">
        <v>1</v>
      </c>
    </row>
    <row r="67" spans="2:3">
      <c r="B67" s="8" t="s">
        <v>245</v>
      </c>
      <c r="C67" s="87">
        <v>1</v>
      </c>
    </row>
    <row r="68" spans="2:3">
      <c r="B68" s="8" t="s">
        <v>244</v>
      </c>
      <c r="C68" s="87">
        <v>1</v>
      </c>
    </row>
    <row r="69" spans="2:3">
      <c r="B69" s="8" t="s">
        <v>242</v>
      </c>
      <c r="C69" s="87">
        <v>1</v>
      </c>
    </row>
    <row r="70" spans="2:3">
      <c r="B70" s="8" t="s">
        <v>240</v>
      </c>
      <c r="C70" s="87">
        <v>1</v>
      </c>
    </row>
    <row r="71" spans="2:3">
      <c r="B71" s="8" t="s">
        <v>238</v>
      </c>
      <c r="C71" s="87">
        <v>1</v>
      </c>
    </row>
    <row r="72" spans="2:3">
      <c r="B72" s="8" t="s">
        <v>236</v>
      </c>
      <c r="C72" s="87">
        <v>1</v>
      </c>
    </row>
    <row r="73" spans="2:3">
      <c r="B73" s="8" t="s">
        <v>235</v>
      </c>
      <c r="C73" s="87">
        <v>1</v>
      </c>
    </row>
    <row r="74" spans="2:3">
      <c r="B74" s="8" t="s">
        <v>233</v>
      </c>
      <c r="C74" s="87">
        <v>1</v>
      </c>
    </row>
    <row r="75" spans="2:3">
      <c r="B75" s="8" t="s">
        <v>231</v>
      </c>
      <c r="C75" s="87">
        <v>1</v>
      </c>
    </row>
    <row r="76" spans="2:3">
      <c r="B76" s="8" t="s">
        <v>229</v>
      </c>
      <c r="C76" s="87">
        <v>1</v>
      </c>
    </row>
    <row r="77" spans="2:3">
      <c r="B77" s="8" t="s">
        <v>227</v>
      </c>
      <c r="C77" s="87">
        <v>1</v>
      </c>
    </row>
    <row r="78" spans="2:3">
      <c r="B78" s="8" t="s">
        <v>225</v>
      </c>
      <c r="C78" s="87">
        <v>1</v>
      </c>
    </row>
    <row r="79" spans="2:3">
      <c r="B79" s="8" t="s">
        <v>223</v>
      </c>
      <c r="C79" s="87">
        <v>1</v>
      </c>
    </row>
    <row r="80" spans="2:3">
      <c r="B80" s="8" t="s">
        <v>222</v>
      </c>
      <c r="C80" s="87">
        <v>1</v>
      </c>
    </row>
    <row r="81" spans="2:3">
      <c r="B81" s="8" t="s">
        <v>221</v>
      </c>
      <c r="C81" s="87">
        <v>1</v>
      </c>
    </row>
    <row r="82" spans="2:3">
      <c r="B82" s="8" t="s">
        <v>19</v>
      </c>
      <c r="C82" s="87">
        <v>57</v>
      </c>
    </row>
  </sheetData>
  <mergeCells count="17">
    <mergeCell ref="I41:J41"/>
    <mergeCell ref="A2:L2"/>
    <mergeCell ref="B1:L1"/>
    <mergeCell ref="E23:G23"/>
    <mergeCell ref="B23:C23"/>
    <mergeCell ref="I24:L24"/>
    <mergeCell ref="J25:L28"/>
    <mergeCell ref="J31:L34"/>
    <mergeCell ref="J35:L36"/>
    <mergeCell ref="M27:M28"/>
    <mergeCell ref="I25:I28"/>
    <mergeCell ref="J37:L38"/>
    <mergeCell ref="J29:L30"/>
    <mergeCell ref="I31:I34"/>
    <mergeCell ref="I37:I38"/>
    <mergeCell ref="I35:I36"/>
    <mergeCell ref="I29:I30"/>
  </mergeCell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B0328-0A1C-4989-97D4-31272B295D40}">
  <sheetPr published="0">
    <pageSetUpPr fitToPage="1"/>
  </sheetPr>
  <dimension ref="A1:O84"/>
  <sheetViews>
    <sheetView showGridLines="0" tabSelected="1" zoomScale="85" zoomScaleNormal="85" workbookViewId="0">
      <pane ySplit="3" topLeftCell="A17" activePane="bottomLeft" state="frozen"/>
      <selection pane="bottomLeft" activeCell="C70" sqref="C70"/>
    </sheetView>
  </sheetViews>
  <sheetFormatPr defaultColWidth="6.875" defaultRowHeight="12.75"/>
  <cols>
    <col min="1" max="1" width="12.125" style="9" customWidth="1"/>
    <col min="2" max="2" width="5.625" style="73" bestFit="1" customWidth="1"/>
    <col min="3" max="3" width="44.375" style="9" customWidth="1"/>
    <col min="4" max="4" width="13.125" style="9" customWidth="1"/>
    <col min="5" max="5" width="21.5" style="9" bestFit="1" customWidth="1"/>
    <col min="6" max="6" width="19.25" style="9" customWidth="1"/>
    <col min="7" max="7" width="12.625" style="73" bestFit="1" customWidth="1"/>
    <col min="8" max="8" width="13.75" style="73" bestFit="1" customWidth="1"/>
    <col min="9" max="9" width="15.625" style="9" bestFit="1" customWidth="1"/>
    <col min="10" max="10" width="12.375" style="9" bestFit="1" customWidth="1"/>
    <col min="11" max="11" width="13.125" style="9" customWidth="1"/>
    <col min="12" max="12" width="14.375" style="9" customWidth="1"/>
    <col min="13" max="13" width="11.5" style="9" customWidth="1"/>
    <col min="14" max="14" width="27.125" style="9" customWidth="1"/>
    <col min="15" max="15" width="123.875" style="9" bestFit="1" customWidth="1"/>
    <col min="16" max="16" width="8.375" style="9" bestFit="1" customWidth="1"/>
    <col min="17" max="17" width="6.5" style="9" bestFit="1" customWidth="1"/>
    <col min="18" max="16384" width="6.875" style="9"/>
  </cols>
  <sheetData>
    <row r="1" spans="1:15" ht="18.75" thickBot="1">
      <c r="A1" s="17" t="s">
        <v>24</v>
      </c>
    </row>
    <row r="2" spans="1:15" ht="13.5" thickBot="1">
      <c r="A2" s="100" t="s">
        <v>0</v>
      </c>
      <c r="B2" s="101"/>
      <c r="C2" s="101"/>
      <c r="D2" s="101"/>
      <c r="E2" s="102"/>
      <c r="F2" s="44" t="s">
        <v>1</v>
      </c>
      <c r="G2" s="103"/>
      <c r="H2" s="104"/>
      <c r="I2" s="105"/>
      <c r="J2" s="45" t="s">
        <v>18</v>
      </c>
      <c r="K2" s="46" t="s">
        <v>10</v>
      </c>
      <c r="L2" s="47" t="s">
        <v>11</v>
      </c>
      <c r="M2" s="48"/>
      <c r="N2" s="84"/>
      <c r="O2" s="49"/>
    </row>
    <row r="3" spans="1:15" ht="24.75" thickBot="1">
      <c r="A3" s="10" t="s">
        <v>2</v>
      </c>
      <c r="B3" s="11" t="s">
        <v>3</v>
      </c>
      <c r="C3" s="10" t="s">
        <v>4</v>
      </c>
      <c r="D3" s="10" t="s">
        <v>12</v>
      </c>
      <c r="E3" s="10" t="s">
        <v>0</v>
      </c>
      <c r="F3" s="12" t="s">
        <v>14</v>
      </c>
      <c r="G3" s="79" t="s">
        <v>15</v>
      </c>
      <c r="H3" s="79" t="s">
        <v>16</v>
      </c>
      <c r="I3" s="43" t="s">
        <v>13</v>
      </c>
      <c r="J3" s="13" t="s">
        <v>32</v>
      </c>
      <c r="K3" s="14" t="s">
        <v>26</v>
      </c>
      <c r="L3" s="13" t="s">
        <v>27</v>
      </c>
      <c r="M3" s="14" t="s">
        <v>17</v>
      </c>
      <c r="N3" s="85" t="s">
        <v>51</v>
      </c>
      <c r="O3" s="15" t="s">
        <v>9</v>
      </c>
    </row>
    <row r="4" spans="1:15" hidden="1">
      <c r="A4" s="57" t="s">
        <v>350</v>
      </c>
      <c r="B4" s="57">
        <v>1</v>
      </c>
      <c r="C4" s="58" t="s">
        <v>136</v>
      </c>
      <c r="D4" s="57" t="s">
        <v>137</v>
      </c>
      <c r="E4" s="58" t="s">
        <v>138</v>
      </c>
      <c r="F4" s="58" t="s">
        <v>68</v>
      </c>
      <c r="G4" s="60" t="s">
        <v>249</v>
      </c>
      <c r="H4" s="60" t="s">
        <v>95</v>
      </c>
      <c r="I4" s="61" t="s">
        <v>52</v>
      </c>
      <c r="J4" s="66">
        <v>1</v>
      </c>
      <c r="K4" s="66"/>
      <c r="L4" s="66"/>
      <c r="M4" s="66"/>
      <c r="N4" s="61" t="s">
        <v>527</v>
      </c>
      <c r="O4" s="68" t="s">
        <v>316</v>
      </c>
    </row>
    <row r="5" spans="1:15" hidden="1">
      <c r="A5" s="59" t="s">
        <v>351</v>
      </c>
      <c r="B5" s="60">
        <v>1</v>
      </c>
      <c r="C5" s="61" t="s">
        <v>125</v>
      </c>
      <c r="D5" s="60" t="s">
        <v>126</v>
      </c>
      <c r="E5" s="61" t="s">
        <v>124</v>
      </c>
      <c r="F5" s="61" t="s">
        <v>56</v>
      </c>
      <c r="G5" s="60" t="s">
        <v>242</v>
      </c>
      <c r="H5" s="60" t="s">
        <v>243</v>
      </c>
      <c r="I5" s="61" t="s">
        <v>55</v>
      </c>
      <c r="J5" s="66">
        <v>1</v>
      </c>
      <c r="K5" s="66">
        <v>1</v>
      </c>
      <c r="L5" s="66"/>
      <c r="M5" s="66"/>
      <c r="N5" s="61" t="s">
        <v>527</v>
      </c>
      <c r="O5" s="68" t="s">
        <v>518</v>
      </c>
    </row>
    <row r="6" spans="1:15" hidden="1">
      <c r="A6" s="59" t="s">
        <v>351</v>
      </c>
      <c r="B6" s="70">
        <v>1</v>
      </c>
      <c r="C6" s="69" t="s">
        <v>125</v>
      </c>
      <c r="D6" s="70" t="s">
        <v>126</v>
      </c>
      <c r="E6" s="69" t="s">
        <v>124</v>
      </c>
      <c r="F6" s="69" t="s">
        <v>54</v>
      </c>
      <c r="G6" s="70" t="s">
        <v>95</v>
      </c>
      <c r="H6" s="70" t="s">
        <v>243</v>
      </c>
      <c r="I6" s="69" t="s">
        <v>55</v>
      </c>
      <c r="J6" s="72"/>
      <c r="K6" s="71">
        <v>1</v>
      </c>
      <c r="L6" s="71"/>
      <c r="M6" s="71"/>
      <c r="N6" s="61" t="s">
        <v>527</v>
      </c>
      <c r="O6" s="78" t="s">
        <v>518</v>
      </c>
    </row>
    <row r="7" spans="1:15" hidden="1">
      <c r="A7" s="59" t="s">
        <v>351</v>
      </c>
      <c r="B7" s="60">
        <v>1</v>
      </c>
      <c r="C7" s="61" t="s">
        <v>122</v>
      </c>
      <c r="D7" s="60" t="s">
        <v>123</v>
      </c>
      <c r="E7" s="61" t="s">
        <v>124</v>
      </c>
      <c r="F7" s="61" t="s">
        <v>56</v>
      </c>
      <c r="G7" s="60" t="s">
        <v>240</v>
      </c>
      <c r="H7" s="60" t="s">
        <v>241</v>
      </c>
      <c r="I7" s="61" t="s">
        <v>55</v>
      </c>
      <c r="J7" s="66">
        <v>1</v>
      </c>
      <c r="K7" s="66">
        <v>1</v>
      </c>
      <c r="L7" s="66"/>
      <c r="M7" s="66"/>
      <c r="N7" s="61" t="s">
        <v>527</v>
      </c>
      <c r="O7" s="68" t="s">
        <v>518</v>
      </c>
    </row>
    <row r="8" spans="1:15" hidden="1">
      <c r="A8" s="59" t="s">
        <v>351</v>
      </c>
      <c r="B8" s="70">
        <v>1</v>
      </c>
      <c r="C8" s="69" t="s">
        <v>122</v>
      </c>
      <c r="D8" s="70" t="s">
        <v>123</v>
      </c>
      <c r="E8" s="69" t="s">
        <v>124</v>
      </c>
      <c r="F8" s="69" t="s">
        <v>54</v>
      </c>
      <c r="G8" s="70" t="s">
        <v>95</v>
      </c>
      <c r="H8" s="70" t="s">
        <v>241</v>
      </c>
      <c r="I8" s="69" t="s">
        <v>55</v>
      </c>
      <c r="J8" s="72"/>
      <c r="K8" s="71">
        <v>1</v>
      </c>
      <c r="L8" s="71"/>
      <c r="M8" s="71"/>
      <c r="N8" s="61" t="s">
        <v>527</v>
      </c>
      <c r="O8" s="78" t="s">
        <v>518</v>
      </c>
    </row>
    <row r="9" spans="1:15" hidden="1">
      <c r="A9" s="59" t="s">
        <v>351</v>
      </c>
      <c r="B9" s="60">
        <v>1</v>
      </c>
      <c r="C9" s="61" t="s">
        <v>127</v>
      </c>
      <c r="D9" s="60" t="s">
        <v>128</v>
      </c>
      <c r="E9" s="61" t="s">
        <v>129</v>
      </c>
      <c r="F9" s="61" t="s">
        <v>68</v>
      </c>
      <c r="G9" s="60" t="s">
        <v>244</v>
      </c>
      <c r="H9" s="60" t="s">
        <v>95</v>
      </c>
      <c r="I9" s="61" t="s">
        <v>78</v>
      </c>
      <c r="J9" s="66">
        <v>1</v>
      </c>
      <c r="K9" s="66"/>
      <c r="L9" s="66"/>
      <c r="M9" s="66" t="s">
        <v>53</v>
      </c>
      <c r="N9" s="61" t="s">
        <v>527</v>
      </c>
      <c r="O9" s="68" t="s">
        <v>519</v>
      </c>
    </row>
    <row r="10" spans="1:15" hidden="1">
      <c r="A10" s="59" t="s">
        <v>351</v>
      </c>
      <c r="B10" s="60">
        <v>1</v>
      </c>
      <c r="C10" s="61" t="s">
        <v>127</v>
      </c>
      <c r="D10" s="60" t="s">
        <v>133</v>
      </c>
      <c r="E10" s="61" t="s">
        <v>74</v>
      </c>
      <c r="F10" s="61" t="s">
        <v>73</v>
      </c>
      <c r="G10" s="60" t="s">
        <v>246</v>
      </c>
      <c r="H10" s="60" t="s">
        <v>95</v>
      </c>
      <c r="I10" s="61" t="s">
        <v>78</v>
      </c>
      <c r="J10" s="66">
        <v>1</v>
      </c>
      <c r="K10" s="66"/>
      <c r="L10" s="66"/>
      <c r="M10" s="66" t="s">
        <v>53</v>
      </c>
      <c r="N10" s="61" t="s">
        <v>527</v>
      </c>
      <c r="O10" s="68" t="s">
        <v>315</v>
      </c>
    </row>
    <row r="11" spans="1:15" hidden="1">
      <c r="A11" s="59" t="s">
        <v>351</v>
      </c>
      <c r="B11" s="63">
        <v>1</v>
      </c>
      <c r="C11" s="64" t="s">
        <v>127</v>
      </c>
      <c r="D11" s="63" t="s">
        <v>133</v>
      </c>
      <c r="E11" s="64" t="s">
        <v>134</v>
      </c>
      <c r="F11" s="64" t="s">
        <v>57</v>
      </c>
      <c r="G11" s="60" t="s">
        <v>247</v>
      </c>
      <c r="H11" s="63" t="s">
        <v>95</v>
      </c>
      <c r="I11" s="64" t="s">
        <v>78</v>
      </c>
      <c r="J11" s="67">
        <v>1</v>
      </c>
      <c r="K11" s="67"/>
      <c r="L11" s="67"/>
      <c r="M11" s="67" t="s">
        <v>53</v>
      </c>
      <c r="N11" s="61" t="s">
        <v>527</v>
      </c>
      <c r="O11" s="68" t="s">
        <v>315</v>
      </c>
    </row>
    <row r="12" spans="1:15" hidden="1">
      <c r="A12" s="59" t="s">
        <v>351</v>
      </c>
      <c r="B12" s="60">
        <v>1</v>
      </c>
      <c r="C12" s="61" t="s">
        <v>127</v>
      </c>
      <c r="D12" s="60" t="s">
        <v>133</v>
      </c>
      <c r="E12" s="61" t="s">
        <v>135</v>
      </c>
      <c r="F12" s="61" t="s">
        <v>72</v>
      </c>
      <c r="G12" s="60" t="s">
        <v>248</v>
      </c>
      <c r="H12" s="63" t="s">
        <v>95</v>
      </c>
      <c r="I12" s="64" t="s">
        <v>78</v>
      </c>
      <c r="J12" s="66">
        <v>1</v>
      </c>
      <c r="K12" s="66"/>
      <c r="L12" s="66"/>
      <c r="M12" s="66" t="s">
        <v>53</v>
      </c>
      <c r="N12" s="61" t="s">
        <v>527</v>
      </c>
      <c r="O12" s="68" t="s">
        <v>315</v>
      </c>
    </row>
    <row r="13" spans="1:15" hidden="1">
      <c r="A13" s="59" t="s">
        <v>351</v>
      </c>
      <c r="B13" s="60">
        <v>1</v>
      </c>
      <c r="C13" s="61" t="s">
        <v>130</v>
      </c>
      <c r="D13" s="60" t="s">
        <v>131</v>
      </c>
      <c r="E13" s="61" t="s">
        <v>132</v>
      </c>
      <c r="F13" s="61" t="s">
        <v>68</v>
      </c>
      <c r="G13" s="60" t="s">
        <v>245</v>
      </c>
      <c r="H13" s="63" t="s">
        <v>95</v>
      </c>
      <c r="I13" s="64" t="s">
        <v>78</v>
      </c>
      <c r="J13" s="66">
        <v>1</v>
      </c>
      <c r="K13" s="66"/>
      <c r="L13" s="66"/>
      <c r="M13" s="66"/>
      <c r="N13" s="61" t="s">
        <v>527</v>
      </c>
      <c r="O13" s="68" t="s">
        <v>314</v>
      </c>
    </row>
    <row r="14" spans="1:15">
      <c r="A14" s="59" t="s">
        <v>352</v>
      </c>
      <c r="B14" s="60">
        <v>1</v>
      </c>
      <c r="C14" s="61" t="s">
        <v>195</v>
      </c>
      <c r="D14" s="60" t="s">
        <v>196</v>
      </c>
      <c r="E14" s="61" t="s">
        <v>197</v>
      </c>
      <c r="F14" s="61" t="s">
        <v>68</v>
      </c>
      <c r="G14" s="60" t="s">
        <v>290</v>
      </c>
      <c r="H14" s="60" t="s">
        <v>95</v>
      </c>
      <c r="I14" s="61" t="s">
        <v>52</v>
      </c>
      <c r="J14" s="66">
        <v>1</v>
      </c>
      <c r="K14" s="66"/>
      <c r="L14" s="66"/>
      <c r="M14" s="66"/>
      <c r="N14" s="61" t="s">
        <v>527</v>
      </c>
      <c r="O14" s="68" t="s">
        <v>339</v>
      </c>
    </row>
    <row r="15" spans="1:15">
      <c r="A15" s="59" t="s">
        <v>352</v>
      </c>
      <c r="B15" s="60">
        <v>1</v>
      </c>
      <c r="C15" s="61" t="s">
        <v>198</v>
      </c>
      <c r="D15" s="60" t="s">
        <v>206</v>
      </c>
      <c r="E15" s="61" t="s">
        <v>207</v>
      </c>
      <c r="F15" s="61" t="s">
        <v>56</v>
      </c>
      <c r="G15" s="60" t="s">
        <v>296</v>
      </c>
      <c r="H15" s="60" t="s">
        <v>297</v>
      </c>
      <c r="I15" s="61" t="s">
        <v>55</v>
      </c>
      <c r="J15" s="66">
        <v>1</v>
      </c>
      <c r="K15" s="66">
        <v>1</v>
      </c>
      <c r="L15" s="66"/>
      <c r="M15" s="66"/>
      <c r="N15" s="61" t="s">
        <v>527</v>
      </c>
      <c r="O15" s="68" t="s">
        <v>343</v>
      </c>
    </row>
    <row r="16" spans="1:15">
      <c r="A16" s="59" t="s">
        <v>352</v>
      </c>
      <c r="B16" s="70">
        <v>1</v>
      </c>
      <c r="C16" s="69" t="s">
        <v>198</v>
      </c>
      <c r="D16" s="70" t="s">
        <v>206</v>
      </c>
      <c r="E16" s="69" t="s">
        <v>207</v>
      </c>
      <c r="F16" s="69" t="s">
        <v>54</v>
      </c>
      <c r="G16" s="70" t="s">
        <v>95</v>
      </c>
      <c r="H16" s="70" t="s">
        <v>297</v>
      </c>
      <c r="I16" s="69" t="s">
        <v>55</v>
      </c>
      <c r="J16" s="72"/>
      <c r="K16" s="71">
        <v>1</v>
      </c>
      <c r="L16" s="71"/>
      <c r="M16" s="71"/>
      <c r="N16" s="61" t="s">
        <v>527</v>
      </c>
      <c r="O16" s="78" t="s">
        <v>343</v>
      </c>
    </row>
    <row r="17" spans="1:15">
      <c r="A17" s="59" t="s">
        <v>352</v>
      </c>
      <c r="B17" s="60">
        <v>1</v>
      </c>
      <c r="C17" s="61" t="s">
        <v>198</v>
      </c>
      <c r="D17" s="60" t="s">
        <v>204</v>
      </c>
      <c r="E17" s="61" t="s">
        <v>205</v>
      </c>
      <c r="F17" s="61" t="s">
        <v>56</v>
      </c>
      <c r="G17" s="60" t="s">
        <v>294</v>
      </c>
      <c r="H17" s="60" t="s">
        <v>295</v>
      </c>
      <c r="I17" s="61" t="s">
        <v>55</v>
      </c>
      <c r="J17" s="66">
        <v>1</v>
      </c>
      <c r="K17" s="66">
        <v>1</v>
      </c>
      <c r="L17" s="66"/>
      <c r="M17" s="66"/>
      <c r="N17" s="61" t="s">
        <v>527</v>
      </c>
      <c r="O17" s="68" t="s">
        <v>342</v>
      </c>
    </row>
    <row r="18" spans="1:15">
      <c r="A18" s="59" t="s">
        <v>352</v>
      </c>
      <c r="B18" s="70">
        <v>1</v>
      </c>
      <c r="C18" s="69" t="s">
        <v>198</v>
      </c>
      <c r="D18" s="70" t="s">
        <v>204</v>
      </c>
      <c r="E18" s="69" t="s">
        <v>205</v>
      </c>
      <c r="F18" s="69" t="s">
        <v>54</v>
      </c>
      <c r="G18" s="70" t="s">
        <v>95</v>
      </c>
      <c r="H18" s="70" t="s">
        <v>295</v>
      </c>
      <c r="I18" s="69" t="s">
        <v>55</v>
      </c>
      <c r="J18" s="72"/>
      <c r="K18" s="71">
        <v>1</v>
      </c>
      <c r="L18" s="71"/>
      <c r="M18" s="71"/>
      <c r="N18" s="61" t="s">
        <v>527</v>
      </c>
      <c r="O18" s="78" t="s">
        <v>342</v>
      </c>
    </row>
    <row r="19" spans="1:15">
      <c r="A19" s="59" t="s">
        <v>352</v>
      </c>
      <c r="B19" s="60">
        <v>1</v>
      </c>
      <c r="C19" s="61" t="s">
        <v>198</v>
      </c>
      <c r="D19" s="60" t="s">
        <v>199</v>
      </c>
      <c r="E19" s="61" t="s">
        <v>200</v>
      </c>
      <c r="F19" s="61" t="s">
        <v>70</v>
      </c>
      <c r="G19" s="60" t="s">
        <v>291</v>
      </c>
      <c r="H19" s="60" t="s">
        <v>292</v>
      </c>
      <c r="I19" s="61" t="s">
        <v>78</v>
      </c>
      <c r="J19" s="66">
        <v>1</v>
      </c>
      <c r="K19" s="66">
        <v>1</v>
      </c>
      <c r="L19" s="66"/>
      <c r="M19" s="66"/>
      <c r="N19" s="61" t="s">
        <v>527</v>
      </c>
      <c r="O19" s="68" t="s">
        <v>340</v>
      </c>
    </row>
    <row r="20" spans="1:15">
      <c r="A20" s="59" t="s">
        <v>352</v>
      </c>
      <c r="B20" s="60">
        <v>1</v>
      </c>
      <c r="C20" s="61" t="s">
        <v>201</v>
      </c>
      <c r="D20" s="60" t="s">
        <v>202</v>
      </c>
      <c r="E20" s="61" t="s">
        <v>203</v>
      </c>
      <c r="F20" s="61" t="s">
        <v>104</v>
      </c>
      <c r="G20" s="60" t="s">
        <v>293</v>
      </c>
      <c r="H20" s="60" t="s">
        <v>95</v>
      </c>
      <c r="I20" s="61" t="s">
        <v>52</v>
      </c>
      <c r="J20" s="66">
        <v>1</v>
      </c>
      <c r="K20" s="66"/>
      <c r="L20" s="66"/>
      <c r="M20" s="66"/>
      <c r="N20" s="61" t="s">
        <v>527</v>
      </c>
      <c r="O20" s="78" t="s">
        <v>341</v>
      </c>
    </row>
    <row r="21" spans="1:15" hidden="1">
      <c r="A21" s="59" t="s">
        <v>353</v>
      </c>
      <c r="B21" s="60">
        <v>1</v>
      </c>
      <c r="C21" s="61" t="s">
        <v>188</v>
      </c>
      <c r="D21" s="60">
        <v>1350</v>
      </c>
      <c r="E21" s="61" t="s">
        <v>71</v>
      </c>
      <c r="F21" s="61" t="s">
        <v>76</v>
      </c>
      <c r="G21" s="60" t="s">
        <v>283</v>
      </c>
      <c r="H21" s="60" t="s">
        <v>95</v>
      </c>
      <c r="I21" s="61" t="s">
        <v>78</v>
      </c>
      <c r="J21" s="66">
        <v>1</v>
      </c>
      <c r="K21" s="66"/>
      <c r="L21" s="66"/>
      <c r="M21" s="66" t="s">
        <v>53</v>
      </c>
      <c r="N21" s="61" t="s">
        <v>527</v>
      </c>
      <c r="O21" s="68" t="s">
        <v>335</v>
      </c>
    </row>
    <row r="22" spans="1:15" hidden="1">
      <c r="A22" s="59" t="s">
        <v>353</v>
      </c>
      <c r="B22" s="60">
        <v>1</v>
      </c>
      <c r="C22" s="61" t="s">
        <v>188</v>
      </c>
      <c r="D22" s="60">
        <v>1350</v>
      </c>
      <c r="E22" s="61" t="s">
        <v>71</v>
      </c>
      <c r="F22" s="61" t="s">
        <v>57</v>
      </c>
      <c r="G22" s="60" t="s">
        <v>284</v>
      </c>
      <c r="H22" s="60" t="s">
        <v>95</v>
      </c>
      <c r="I22" s="61" t="s">
        <v>78</v>
      </c>
      <c r="J22" s="66">
        <v>1</v>
      </c>
      <c r="K22" s="66"/>
      <c r="L22" s="66"/>
      <c r="M22" s="66" t="s">
        <v>53</v>
      </c>
      <c r="N22" s="61" t="s">
        <v>527</v>
      </c>
      <c r="O22" s="68" t="s">
        <v>335</v>
      </c>
    </row>
    <row r="23" spans="1:15" hidden="1">
      <c r="A23" s="59" t="s">
        <v>353</v>
      </c>
      <c r="B23" s="70">
        <v>1</v>
      </c>
      <c r="C23" s="69" t="s">
        <v>188</v>
      </c>
      <c r="D23" s="70">
        <v>1356</v>
      </c>
      <c r="E23" s="69" t="s">
        <v>220</v>
      </c>
      <c r="F23" s="69" t="s">
        <v>72</v>
      </c>
      <c r="G23" s="70" t="s">
        <v>95</v>
      </c>
      <c r="H23" s="70" t="s">
        <v>304</v>
      </c>
      <c r="I23" s="69" t="s">
        <v>78</v>
      </c>
      <c r="J23" s="72"/>
      <c r="K23" s="71"/>
      <c r="L23" s="71">
        <v>1</v>
      </c>
      <c r="M23" s="71"/>
      <c r="N23" s="61" t="s">
        <v>527</v>
      </c>
      <c r="O23" s="78" t="s">
        <v>348</v>
      </c>
    </row>
    <row r="24" spans="1:15" hidden="1">
      <c r="A24" s="59" t="s">
        <v>353</v>
      </c>
      <c r="B24" s="70">
        <v>1</v>
      </c>
      <c r="C24" s="69" t="s">
        <v>188</v>
      </c>
      <c r="D24" s="70">
        <v>1356</v>
      </c>
      <c r="E24" s="69" t="s">
        <v>220</v>
      </c>
      <c r="F24" s="69" t="s">
        <v>73</v>
      </c>
      <c r="G24" s="70" t="s">
        <v>95</v>
      </c>
      <c r="H24" s="70" t="s">
        <v>304</v>
      </c>
      <c r="I24" s="69" t="s">
        <v>78</v>
      </c>
      <c r="J24" s="72"/>
      <c r="K24" s="71"/>
      <c r="L24" s="71">
        <v>1</v>
      </c>
      <c r="M24" s="71"/>
      <c r="N24" s="61" t="s">
        <v>527</v>
      </c>
      <c r="O24" s="78" t="s">
        <v>349</v>
      </c>
    </row>
    <row r="25" spans="1:15" hidden="1">
      <c r="A25" s="59" t="s">
        <v>353</v>
      </c>
      <c r="B25" s="60">
        <v>1</v>
      </c>
      <c r="C25" s="61" t="s">
        <v>189</v>
      </c>
      <c r="D25" s="60">
        <v>1390</v>
      </c>
      <c r="E25" s="61" t="s">
        <v>190</v>
      </c>
      <c r="F25" s="61" t="s">
        <v>56</v>
      </c>
      <c r="G25" s="60" t="s">
        <v>285</v>
      </c>
      <c r="H25" s="60" t="s">
        <v>95</v>
      </c>
      <c r="I25" s="61" t="s">
        <v>55</v>
      </c>
      <c r="J25" s="66">
        <v>1</v>
      </c>
      <c r="K25" s="66"/>
      <c r="L25" s="66"/>
      <c r="M25" s="66"/>
      <c r="N25" s="61" t="s">
        <v>527</v>
      </c>
      <c r="O25" s="68" t="s">
        <v>336</v>
      </c>
    </row>
    <row r="26" spans="1:15" hidden="1">
      <c r="A26" s="59" t="s">
        <v>353</v>
      </c>
      <c r="B26" s="60">
        <v>1</v>
      </c>
      <c r="C26" s="61" t="s">
        <v>189</v>
      </c>
      <c r="D26" s="60" t="s">
        <v>191</v>
      </c>
      <c r="E26" s="61" t="s">
        <v>192</v>
      </c>
      <c r="F26" s="61" t="s">
        <v>56</v>
      </c>
      <c r="G26" s="60" t="s">
        <v>286</v>
      </c>
      <c r="H26" s="60" t="s">
        <v>287</v>
      </c>
      <c r="I26" s="61" t="s">
        <v>55</v>
      </c>
      <c r="J26" s="66">
        <v>1</v>
      </c>
      <c r="K26" s="66">
        <v>1</v>
      </c>
      <c r="L26" s="66"/>
      <c r="M26" s="66"/>
      <c r="N26" s="61" t="s">
        <v>527</v>
      </c>
      <c r="O26" s="68" t="s">
        <v>337</v>
      </c>
    </row>
    <row r="27" spans="1:15" hidden="1">
      <c r="A27" s="59" t="s">
        <v>353</v>
      </c>
      <c r="B27" s="70">
        <v>1</v>
      </c>
      <c r="C27" s="69" t="s">
        <v>189</v>
      </c>
      <c r="D27" s="70" t="s">
        <v>191</v>
      </c>
      <c r="E27" s="69" t="s">
        <v>192</v>
      </c>
      <c r="F27" s="69" t="s">
        <v>54</v>
      </c>
      <c r="G27" s="70" t="s">
        <v>95</v>
      </c>
      <c r="H27" s="70" t="s">
        <v>287</v>
      </c>
      <c r="I27" s="69" t="s">
        <v>55</v>
      </c>
      <c r="J27" s="72"/>
      <c r="K27" s="71">
        <v>1</v>
      </c>
      <c r="L27" s="71"/>
      <c r="M27" s="71"/>
      <c r="N27" s="61" t="s">
        <v>527</v>
      </c>
      <c r="O27" s="78" t="s">
        <v>337</v>
      </c>
    </row>
    <row r="28" spans="1:15" hidden="1">
      <c r="A28" s="59" t="s">
        <v>354</v>
      </c>
      <c r="B28" s="60">
        <v>1</v>
      </c>
      <c r="C28" s="61" t="s">
        <v>193</v>
      </c>
      <c r="D28" s="60">
        <v>1211</v>
      </c>
      <c r="E28" s="61" t="s">
        <v>194</v>
      </c>
      <c r="F28" s="61" t="s">
        <v>70</v>
      </c>
      <c r="G28" s="60" t="s">
        <v>288</v>
      </c>
      <c r="H28" s="60" t="s">
        <v>289</v>
      </c>
      <c r="I28" s="61" t="s">
        <v>78</v>
      </c>
      <c r="J28" s="66">
        <v>1</v>
      </c>
      <c r="K28" s="66">
        <v>1</v>
      </c>
      <c r="L28" s="66"/>
      <c r="M28" s="66"/>
      <c r="N28" s="61" t="s">
        <v>527</v>
      </c>
      <c r="O28" s="68" t="s">
        <v>338</v>
      </c>
    </row>
    <row r="29" spans="1:15" hidden="1">
      <c r="A29" s="59" t="s">
        <v>351</v>
      </c>
      <c r="B29" s="60">
        <v>2</v>
      </c>
      <c r="C29" s="61" t="s">
        <v>105</v>
      </c>
      <c r="D29" s="60" t="s">
        <v>106</v>
      </c>
      <c r="E29" s="61" t="s">
        <v>107</v>
      </c>
      <c r="F29" s="61" t="s">
        <v>56</v>
      </c>
      <c r="G29" s="60" t="s">
        <v>225</v>
      </c>
      <c r="H29" s="60" t="s">
        <v>226</v>
      </c>
      <c r="I29" s="61" t="s">
        <v>55</v>
      </c>
      <c r="J29" s="66">
        <v>1</v>
      </c>
      <c r="K29" s="66">
        <v>1</v>
      </c>
      <c r="L29" s="66"/>
      <c r="M29" s="66"/>
      <c r="N29" s="61" t="s">
        <v>527</v>
      </c>
      <c r="O29" s="68" t="s">
        <v>517</v>
      </c>
    </row>
    <row r="30" spans="1:15" hidden="1">
      <c r="A30" s="59" t="s">
        <v>351</v>
      </c>
      <c r="B30" s="70">
        <v>2</v>
      </c>
      <c r="C30" s="69" t="s">
        <v>105</v>
      </c>
      <c r="D30" s="70" t="s">
        <v>106</v>
      </c>
      <c r="E30" s="69" t="s">
        <v>107</v>
      </c>
      <c r="F30" s="69" t="s">
        <v>54</v>
      </c>
      <c r="G30" s="70" t="s">
        <v>95</v>
      </c>
      <c r="H30" s="70" t="s">
        <v>226</v>
      </c>
      <c r="I30" s="69" t="s">
        <v>55</v>
      </c>
      <c r="J30" s="72"/>
      <c r="K30" s="71">
        <v>1</v>
      </c>
      <c r="L30" s="71"/>
      <c r="M30" s="71"/>
      <c r="N30" s="61" t="s">
        <v>527</v>
      </c>
      <c r="O30" s="78" t="s">
        <v>517</v>
      </c>
    </row>
    <row r="31" spans="1:15" hidden="1">
      <c r="A31" s="59" t="s">
        <v>351</v>
      </c>
      <c r="B31" s="60">
        <v>2</v>
      </c>
      <c r="C31" s="61" t="s">
        <v>108</v>
      </c>
      <c r="D31" s="60" t="s">
        <v>111</v>
      </c>
      <c r="E31" s="61" t="s">
        <v>112</v>
      </c>
      <c r="F31" s="61" t="s">
        <v>70</v>
      </c>
      <c r="G31" s="60" t="s">
        <v>229</v>
      </c>
      <c r="H31" s="60" t="s">
        <v>230</v>
      </c>
      <c r="I31" s="61" t="s">
        <v>52</v>
      </c>
      <c r="J31" s="66">
        <v>1</v>
      </c>
      <c r="K31" s="66">
        <v>1</v>
      </c>
      <c r="L31" s="66"/>
      <c r="M31" s="66"/>
      <c r="N31" s="61" t="s">
        <v>527</v>
      </c>
      <c r="O31" s="68" t="s">
        <v>309</v>
      </c>
    </row>
    <row r="32" spans="1:15" ht="14.1" hidden="1" customHeight="1">
      <c r="A32" s="59" t="s">
        <v>351</v>
      </c>
      <c r="B32" s="60">
        <v>2</v>
      </c>
      <c r="C32" s="61" t="s">
        <v>108</v>
      </c>
      <c r="D32" s="60" t="s">
        <v>113</v>
      </c>
      <c r="E32" s="61" t="s">
        <v>114</v>
      </c>
      <c r="F32" s="61" t="s">
        <v>56</v>
      </c>
      <c r="G32" s="60" t="s">
        <v>231</v>
      </c>
      <c r="H32" s="60" t="s">
        <v>232</v>
      </c>
      <c r="I32" s="61" t="s">
        <v>55</v>
      </c>
      <c r="J32" s="66">
        <v>1</v>
      </c>
      <c r="K32" s="66">
        <v>1</v>
      </c>
      <c r="L32" s="66"/>
      <c r="M32" s="66"/>
      <c r="N32" s="61" t="s">
        <v>527</v>
      </c>
      <c r="O32" s="68" t="s">
        <v>310</v>
      </c>
    </row>
    <row r="33" spans="1:15" hidden="1">
      <c r="A33" s="59" t="s">
        <v>351</v>
      </c>
      <c r="B33" s="74">
        <v>2</v>
      </c>
      <c r="C33" s="75" t="s">
        <v>108</v>
      </c>
      <c r="D33" s="74" t="s">
        <v>113</v>
      </c>
      <c r="E33" s="75" t="s">
        <v>114</v>
      </c>
      <c r="F33" s="75" t="s">
        <v>54</v>
      </c>
      <c r="G33" s="74" t="s">
        <v>95</v>
      </c>
      <c r="H33" s="70" t="s">
        <v>232</v>
      </c>
      <c r="I33" s="75" t="s">
        <v>55</v>
      </c>
      <c r="J33" s="77"/>
      <c r="K33" s="76">
        <v>1</v>
      </c>
      <c r="L33" s="76"/>
      <c r="M33" s="76"/>
      <c r="N33" s="61" t="s">
        <v>527</v>
      </c>
      <c r="O33" s="88" t="s">
        <v>310</v>
      </c>
    </row>
    <row r="34" spans="1:15" hidden="1">
      <c r="A34" s="59" t="s">
        <v>351</v>
      </c>
      <c r="B34" s="60">
        <v>2</v>
      </c>
      <c r="C34" s="61" t="s">
        <v>108</v>
      </c>
      <c r="D34" s="60" t="s">
        <v>115</v>
      </c>
      <c r="E34" s="61" t="s">
        <v>116</v>
      </c>
      <c r="F34" s="61" t="s">
        <v>104</v>
      </c>
      <c r="G34" s="60" t="s">
        <v>233</v>
      </c>
      <c r="H34" s="60" t="s">
        <v>95</v>
      </c>
      <c r="I34" s="61" t="s">
        <v>234</v>
      </c>
      <c r="J34" s="66">
        <v>1</v>
      </c>
      <c r="K34" s="66"/>
      <c r="L34" s="66"/>
      <c r="M34" s="66"/>
      <c r="N34" s="61" t="s">
        <v>527</v>
      </c>
      <c r="O34" s="68" t="s">
        <v>311</v>
      </c>
    </row>
    <row r="35" spans="1:15" hidden="1">
      <c r="A35" s="59" t="s">
        <v>351</v>
      </c>
      <c r="B35" s="60">
        <v>2</v>
      </c>
      <c r="C35" s="61" t="s">
        <v>108</v>
      </c>
      <c r="D35" s="60" t="s">
        <v>115</v>
      </c>
      <c r="E35" s="61" t="s">
        <v>116</v>
      </c>
      <c r="F35" s="61" t="s">
        <v>117</v>
      </c>
      <c r="G35" s="60" t="s">
        <v>235</v>
      </c>
      <c r="H35" s="60" t="s">
        <v>95</v>
      </c>
      <c r="I35" s="61" t="s">
        <v>234</v>
      </c>
      <c r="J35" s="66">
        <v>1</v>
      </c>
      <c r="K35" s="66"/>
      <c r="L35" s="66"/>
      <c r="M35" s="66"/>
      <c r="N35" s="61" t="s">
        <v>527</v>
      </c>
      <c r="O35" s="68" t="s">
        <v>311</v>
      </c>
    </row>
    <row r="36" spans="1:15" ht="12.6" hidden="1" customHeight="1">
      <c r="A36" s="59" t="s">
        <v>351</v>
      </c>
      <c r="B36" s="70">
        <v>2</v>
      </c>
      <c r="C36" s="69" t="s">
        <v>108</v>
      </c>
      <c r="D36" s="70" t="s">
        <v>208</v>
      </c>
      <c r="E36" s="69" t="s">
        <v>155</v>
      </c>
      <c r="F36" s="69" t="s">
        <v>72</v>
      </c>
      <c r="G36" s="70" t="s">
        <v>95</v>
      </c>
      <c r="H36" s="70" t="s">
        <v>300</v>
      </c>
      <c r="I36" s="69" t="s">
        <v>78</v>
      </c>
      <c r="J36" s="72"/>
      <c r="K36" s="71"/>
      <c r="L36" s="71">
        <v>1</v>
      </c>
      <c r="M36" s="71"/>
      <c r="N36" s="61" t="s">
        <v>527</v>
      </c>
      <c r="O36" s="78" t="s">
        <v>345</v>
      </c>
    </row>
    <row r="37" spans="1:15" hidden="1">
      <c r="A37" s="59" t="s">
        <v>351</v>
      </c>
      <c r="B37" s="70">
        <v>2</v>
      </c>
      <c r="C37" s="69" t="s">
        <v>108</v>
      </c>
      <c r="D37" s="70" t="s">
        <v>208</v>
      </c>
      <c r="E37" s="69" t="s">
        <v>155</v>
      </c>
      <c r="F37" s="69" t="s">
        <v>73</v>
      </c>
      <c r="G37" s="70" t="s">
        <v>95</v>
      </c>
      <c r="H37" s="70" t="s">
        <v>300</v>
      </c>
      <c r="I37" s="69" t="s">
        <v>52</v>
      </c>
      <c r="J37" s="72"/>
      <c r="K37" s="71"/>
      <c r="L37" s="71">
        <v>1</v>
      </c>
      <c r="M37" s="71"/>
      <c r="N37" s="61" t="s">
        <v>527</v>
      </c>
      <c r="O37" s="78" t="s">
        <v>345</v>
      </c>
    </row>
    <row r="38" spans="1:15" hidden="1">
      <c r="A38" s="59" t="s">
        <v>351</v>
      </c>
      <c r="B38" s="60">
        <v>2</v>
      </c>
      <c r="C38" s="61" t="s">
        <v>108</v>
      </c>
      <c r="D38" s="60" t="s">
        <v>109</v>
      </c>
      <c r="E38" s="61" t="s">
        <v>110</v>
      </c>
      <c r="F38" s="61" t="s">
        <v>56</v>
      </c>
      <c r="G38" s="60" t="s">
        <v>227</v>
      </c>
      <c r="H38" s="60" t="s">
        <v>228</v>
      </c>
      <c r="I38" s="61" t="s">
        <v>55</v>
      </c>
      <c r="J38" s="66">
        <v>1</v>
      </c>
      <c r="K38" s="66">
        <v>1</v>
      </c>
      <c r="L38" s="66"/>
      <c r="M38" s="66"/>
      <c r="N38" s="61" t="s">
        <v>527</v>
      </c>
      <c r="O38" s="68" t="s">
        <v>308</v>
      </c>
    </row>
    <row r="39" spans="1:15" hidden="1">
      <c r="A39" s="59" t="s">
        <v>351</v>
      </c>
      <c r="B39" s="70">
        <v>2</v>
      </c>
      <c r="C39" s="69" t="s">
        <v>108</v>
      </c>
      <c r="D39" s="70" t="s">
        <v>109</v>
      </c>
      <c r="E39" s="69" t="s">
        <v>110</v>
      </c>
      <c r="F39" s="69" t="s">
        <v>54</v>
      </c>
      <c r="G39" s="70" t="s">
        <v>95</v>
      </c>
      <c r="H39" s="70" t="s">
        <v>228</v>
      </c>
      <c r="I39" s="69" t="s">
        <v>55</v>
      </c>
      <c r="J39" s="72"/>
      <c r="K39" s="71">
        <v>1</v>
      </c>
      <c r="L39" s="71"/>
      <c r="M39" s="71"/>
      <c r="N39" s="61" t="s">
        <v>527</v>
      </c>
      <c r="O39" s="78" t="s">
        <v>308</v>
      </c>
    </row>
    <row r="40" spans="1:15" hidden="1">
      <c r="A40" s="59" t="s">
        <v>351</v>
      </c>
      <c r="B40" s="60">
        <v>2</v>
      </c>
      <c r="C40" s="61" t="s">
        <v>118</v>
      </c>
      <c r="D40" s="60">
        <v>2645</v>
      </c>
      <c r="E40" s="61" t="s">
        <v>119</v>
      </c>
      <c r="F40" s="61" t="s">
        <v>56</v>
      </c>
      <c r="G40" s="60" t="s">
        <v>236</v>
      </c>
      <c r="H40" s="60" t="s">
        <v>237</v>
      </c>
      <c r="I40" s="61" t="s">
        <v>55</v>
      </c>
      <c r="J40" s="66">
        <v>1</v>
      </c>
      <c r="K40" s="66">
        <v>1</v>
      </c>
      <c r="L40" s="66"/>
      <c r="M40" s="66"/>
      <c r="N40" s="61" t="s">
        <v>527</v>
      </c>
      <c r="O40" s="68" t="s">
        <v>312</v>
      </c>
    </row>
    <row r="41" spans="1:15" hidden="1">
      <c r="A41" s="59" t="s">
        <v>351</v>
      </c>
      <c r="B41" s="60">
        <v>2</v>
      </c>
      <c r="C41" s="61" t="s">
        <v>118</v>
      </c>
      <c r="D41" s="60" t="s">
        <v>120</v>
      </c>
      <c r="E41" s="61" t="s">
        <v>121</v>
      </c>
      <c r="F41" s="61" t="s">
        <v>56</v>
      </c>
      <c r="G41" s="60" t="s">
        <v>238</v>
      </c>
      <c r="H41" s="60" t="s">
        <v>239</v>
      </c>
      <c r="I41" s="61" t="s">
        <v>55</v>
      </c>
      <c r="J41" s="66">
        <v>1</v>
      </c>
      <c r="K41" s="66">
        <v>1</v>
      </c>
      <c r="L41" s="66"/>
      <c r="M41" s="66"/>
      <c r="N41" s="61" t="s">
        <v>527</v>
      </c>
      <c r="O41" s="68" t="s">
        <v>313</v>
      </c>
    </row>
    <row r="42" spans="1:15" hidden="1">
      <c r="A42" s="59" t="s">
        <v>351</v>
      </c>
      <c r="B42" s="70">
        <v>2</v>
      </c>
      <c r="C42" s="69" t="s">
        <v>118</v>
      </c>
      <c r="D42" s="70" t="s">
        <v>120</v>
      </c>
      <c r="E42" s="69" t="s">
        <v>119</v>
      </c>
      <c r="F42" s="69" t="s">
        <v>54</v>
      </c>
      <c r="G42" s="70" t="s">
        <v>95</v>
      </c>
      <c r="H42" s="70" t="s">
        <v>237</v>
      </c>
      <c r="I42" s="69" t="s">
        <v>55</v>
      </c>
      <c r="J42" s="72"/>
      <c r="K42" s="71">
        <v>1</v>
      </c>
      <c r="L42" s="71"/>
      <c r="M42" s="71"/>
      <c r="N42" s="61" t="s">
        <v>527</v>
      </c>
      <c r="O42" s="78" t="s">
        <v>312</v>
      </c>
    </row>
    <row r="43" spans="1:15" hidden="1">
      <c r="A43" s="59" t="s">
        <v>351</v>
      </c>
      <c r="B43" s="70">
        <v>2</v>
      </c>
      <c r="C43" s="69" t="s">
        <v>118</v>
      </c>
      <c r="D43" s="70" t="s">
        <v>120</v>
      </c>
      <c r="E43" s="69" t="s">
        <v>121</v>
      </c>
      <c r="F43" s="69" t="s">
        <v>54</v>
      </c>
      <c r="G43" s="70" t="s">
        <v>95</v>
      </c>
      <c r="H43" s="70" t="s">
        <v>239</v>
      </c>
      <c r="I43" s="69" t="s">
        <v>55</v>
      </c>
      <c r="J43" s="72"/>
      <c r="K43" s="71">
        <v>1</v>
      </c>
      <c r="L43" s="71"/>
      <c r="M43" s="71"/>
      <c r="N43" s="61" t="s">
        <v>527</v>
      </c>
      <c r="O43" s="78" t="s">
        <v>313</v>
      </c>
    </row>
    <row r="44" spans="1:15" ht="14.1" customHeight="1">
      <c r="A44" s="59" t="s">
        <v>352</v>
      </c>
      <c r="B44" s="60">
        <v>2</v>
      </c>
      <c r="C44" s="61" t="s">
        <v>180</v>
      </c>
      <c r="D44" s="60" t="s">
        <v>181</v>
      </c>
      <c r="E44" s="61" t="s">
        <v>182</v>
      </c>
      <c r="F44" s="61" t="s">
        <v>76</v>
      </c>
      <c r="G44" s="60" t="s">
        <v>280</v>
      </c>
      <c r="H44" s="60" t="s">
        <v>95</v>
      </c>
      <c r="I44" s="61" t="s">
        <v>78</v>
      </c>
      <c r="J44" s="66">
        <v>1</v>
      </c>
      <c r="K44" s="66"/>
      <c r="L44" s="66"/>
      <c r="M44" s="66"/>
      <c r="N44" s="61" t="s">
        <v>527</v>
      </c>
      <c r="O44" s="68" t="s">
        <v>332</v>
      </c>
    </row>
    <row r="45" spans="1:15" hidden="1">
      <c r="A45" s="59" t="s">
        <v>353</v>
      </c>
      <c r="B45" s="60">
        <v>2</v>
      </c>
      <c r="C45" s="61" t="s">
        <v>185</v>
      </c>
      <c r="D45" s="60" t="s">
        <v>186</v>
      </c>
      <c r="E45" s="61" t="s">
        <v>187</v>
      </c>
      <c r="F45" s="61" t="s">
        <v>68</v>
      </c>
      <c r="G45" s="60" t="s">
        <v>282</v>
      </c>
      <c r="H45" s="60" t="s">
        <v>95</v>
      </c>
      <c r="I45" s="61" t="s">
        <v>78</v>
      </c>
      <c r="J45" s="66">
        <v>1</v>
      </c>
      <c r="K45" s="66"/>
      <c r="L45" s="66"/>
      <c r="M45" s="66"/>
      <c r="N45" s="61" t="s">
        <v>527</v>
      </c>
      <c r="O45" s="68" t="s">
        <v>334</v>
      </c>
    </row>
    <row r="46" spans="1:15">
      <c r="A46" s="59" t="s">
        <v>352</v>
      </c>
      <c r="B46" s="60">
        <v>3</v>
      </c>
      <c r="C46" s="61" t="s">
        <v>178</v>
      </c>
      <c r="D46" s="60">
        <v>3444</v>
      </c>
      <c r="E46" s="61" t="s">
        <v>179</v>
      </c>
      <c r="F46" s="61" t="s">
        <v>104</v>
      </c>
      <c r="G46" s="60" t="s">
        <v>279</v>
      </c>
      <c r="H46" s="60" t="s">
        <v>95</v>
      </c>
      <c r="I46" s="61" t="s">
        <v>263</v>
      </c>
      <c r="J46" s="66">
        <v>1</v>
      </c>
      <c r="K46" s="66"/>
      <c r="L46" s="66"/>
      <c r="M46" s="66"/>
      <c r="N46" s="61" t="s">
        <v>527</v>
      </c>
      <c r="O46" s="61" t="s">
        <v>331</v>
      </c>
    </row>
    <row r="47" spans="1:15">
      <c r="A47" s="59" t="s">
        <v>352</v>
      </c>
      <c r="B47" s="70">
        <v>3</v>
      </c>
      <c r="C47" s="69" t="s">
        <v>211</v>
      </c>
      <c r="D47" s="70" t="s">
        <v>212</v>
      </c>
      <c r="E47" s="69" t="s">
        <v>213</v>
      </c>
      <c r="F47" s="69" t="s">
        <v>73</v>
      </c>
      <c r="G47" s="70" t="s">
        <v>95</v>
      </c>
      <c r="H47" s="70" t="s">
        <v>301</v>
      </c>
      <c r="I47" s="69" t="s">
        <v>263</v>
      </c>
      <c r="J47" s="72"/>
      <c r="K47" s="71"/>
      <c r="L47" s="71">
        <v>1</v>
      </c>
      <c r="M47" s="71"/>
      <c r="N47" s="61" t="s">
        <v>527</v>
      </c>
      <c r="O47" s="78" t="s">
        <v>520</v>
      </c>
    </row>
    <row r="48" spans="1:15">
      <c r="A48" s="59" t="s">
        <v>352</v>
      </c>
      <c r="B48" s="70">
        <v>3</v>
      </c>
      <c r="C48" s="69" t="s">
        <v>211</v>
      </c>
      <c r="D48" s="70" t="s">
        <v>215</v>
      </c>
      <c r="E48" s="69" t="s">
        <v>216</v>
      </c>
      <c r="F48" s="69" t="s">
        <v>69</v>
      </c>
      <c r="G48" s="70" t="s">
        <v>95</v>
      </c>
      <c r="H48" s="70" t="s">
        <v>302</v>
      </c>
      <c r="I48" s="69" t="s">
        <v>78</v>
      </c>
      <c r="J48" s="72"/>
      <c r="K48" s="71">
        <v>1</v>
      </c>
      <c r="L48" s="71"/>
      <c r="M48" s="71"/>
      <c r="N48" s="61" t="s">
        <v>527</v>
      </c>
      <c r="O48" s="78" t="s">
        <v>346</v>
      </c>
    </row>
    <row r="49" spans="1:15" hidden="1">
      <c r="A49" s="59" t="s">
        <v>353</v>
      </c>
      <c r="B49" s="70">
        <v>3</v>
      </c>
      <c r="C49" s="69" t="s">
        <v>217</v>
      </c>
      <c r="D49" s="70" t="s">
        <v>218</v>
      </c>
      <c r="E49" s="69" t="s">
        <v>219</v>
      </c>
      <c r="F49" s="69" t="s">
        <v>76</v>
      </c>
      <c r="G49" s="70" t="s">
        <v>95</v>
      </c>
      <c r="H49" s="70" t="s">
        <v>303</v>
      </c>
      <c r="I49" s="69" t="s">
        <v>78</v>
      </c>
      <c r="J49" s="72"/>
      <c r="K49" s="71">
        <v>1</v>
      </c>
      <c r="L49" s="71"/>
      <c r="M49" s="71"/>
      <c r="N49" s="61" t="s">
        <v>527</v>
      </c>
      <c r="O49" s="78" t="s">
        <v>347</v>
      </c>
    </row>
    <row r="50" spans="1:15" hidden="1">
      <c r="A50" s="59" t="s">
        <v>353</v>
      </c>
      <c r="B50" s="70">
        <v>3</v>
      </c>
      <c r="C50" s="69" t="s">
        <v>217</v>
      </c>
      <c r="D50" s="70" t="s">
        <v>218</v>
      </c>
      <c r="E50" s="69" t="s">
        <v>219</v>
      </c>
      <c r="F50" s="69" t="s">
        <v>70</v>
      </c>
      <c r="G50" s="70" t="s">
        <v>95</v>
      </c>
      <c r="H50" s="70" t="s">
        <v>303</v>
      </c>
      <c r="I50" s="69" t="s">
        <v>78</v>
      </c>
      <c r="J50" s="72"/>
      <c r="K50" s="71">
        <v>1</v>
      </c>
      <c r="L50" s="71"/>
      <c r="M50" s="71"/>
      <c r="N50" s="61" t="s">
        <v>527</v>
      </c>
      <c r="O50" s="78" t="s">
        <v>347</v>
      </c>
    </row>
    <row r="51" spans="1:15" hidden="1">
      <c r="A51" s="59" t="s">
        <v>351</v>
      </c>
      <c r="B51" s="60">
        <v>4</v>
      </c>
      <c r="C51" s="61" t="s">
        <v>102</v>
      </c>
      <c r="D51" s="60">
        <v>4657</v>
      </c>
      <c r="E51" s="61" t="s">
        <v>103</v>
      </c>
      <c r="F51" s="61" t="s">
        <v>104</v>
      </c>
      <c r="G51" s="60" t="s">
        <v>223</v>
      </c>
      <c r="H51" s="60" t="s">
        <v>95</v>
      </c>
      <c r="I51" s="61" t="s">
        <v>224</v>
      </c>
      <c r="J51" s="66">
        <v>1</v>
      </c>
      <c r="K51" s="66"/>
      <c r="L51" s="66"/>
      <c r="M51" s="66"/>
      <c r="N51" s="61" t="s">
        <v>527</v>
      </c>
      <c r="O51" s="68" t="s">
        <v>307</v>
      </c>
    </row>
    <row r="52" spans="1:15" ht="14.25">
      <c r="A52" s="59" t="s">
        <v>352</v>
      </c>
      <c r="B52" s="60">
        <v>4</v>
      </c>
      <c r="C52" s="61" t="s">
        <v>171</v>
      </c>
      <c r="D52" s="60" t="s">
        <v>172</v>
      </c>
      <c r="E52" s="65" t="s">
        <v>173</v>
      </c>
      <c r="F52" s="65" t="s">
        <v>68</v>
      </c>
      <c r="G52" s="60" t="s">
        <v>276</v>
      </c>
      <c r="H52" s="60" t="s">
        <v>95</v>
      </c>
      <c r="I52" s="61" t="s">
        <v>52</v>
      </c>
      <c r="J52" s="66">
        <v>1</v>
      </c>
      <c r="K52" s="66"/>
      <c r="L52" s="66"/>
      <c r="M52" s="66"/>
      <c r="N52" s="61" t="s">
        <v>527</v>
      </c>
      <c r="O52" s="68" t="s">
        <v>329</v>
      </c>
    </row>
    <row r="53" spans="1:15">
      <c r="A53" s="59" t="s">
        <v>352</v>
      </c>
      <c r="B53" s="60">
        <v>4</v>
      </c>
      <c r="C53" s="61" t="s">
        <v>171</v>
      </c>
      <c r="D53" s="60" t="s">
        <v>176</v>
      </c>
      <c r="E53" s="61" t="s">
        <v>177</v>
      </c>
      <c r="F53" s="61" t="s">
        <v>76</v>
      </c>
      <c r="G53" s="60" t="s">
        <v>278</v>
      </c>
      <c r="H53" s="60" t="s">
        <v>95</v>
      </c>
      <c r="I53" s="61" t="s">
        <v>52</v>
      </c>
      <c r="J53" s="66">
        <v>1</v>
      </c>
      <c r="K53" s="66"/>
      <c r="L53" s="66"/>
      <c r="M53" s="66" t="s">
        <v>53</v>
      </c>
      <c r="N53" s="61" t="s">
        <v>527</v>
      </c>
      <c r="O53" s="68" t="s">
        <v>330</v>
      </c>
    </row>
    <row r="54" spans="1:15">
      <c r="A54" s="59" t="s">
        <v>352</v>
      </c>
      <c r="B54" s="60">
        <v>4</v>
      </c>
      <c r="C54" s="61" t="s">
        <v>171</v>
      </c>
      <c r="D54" s="60" t="s">
        <v>174</v>
      </c>
      <c r="E54" s="61" t="s">
        <v>175</v>
      </c>
      <c r="F54" s="61" t="s">
        <v>68</v>
      </c>
      <c r="G54" s="60" t="s">
        <v>277</v>
      </c>
      <c r="H54" s="60" t="s">
        <v>95</v>
      </c>
      <c r="I54" s="61" t="s">
        <v>77</v>
      </c>
      <c r="J54" s="66">
        <v>1</v>
      </c>
      <c r="K54" s="66"/>
      <c r="L54" s="66"/>
      <c r="M54" s="66"/>
      <c r="N54" s="61" t="s">
        <v>527</v>
      </c>
      <c r="O54" s="68"/>
    </row>
    <row r="55" spans="1:15">
      <c r="A55" s="59" t="s">
        <v>352</v>
      </c>
      <c r="B55" s="60">
        <v>4</v>
      </c>
      <c r="C55" s="61" t="s">
        <v>164</v>
      </c>
      <c r="D55" s="60" t="s">
        <v>167</v>
      </c>
      <c r="E55" s="61" t="s">
        <v>75</v>
      </c>
      <c r="F55" s="61" t="s">
        <v>56</v>
      </c>
      <c r="G55" s="60" t="s">
        <v>269</v>
      </c>
      <c r="H55" s="60" t="s">
        <v>270</v>
      </c>
      <c r="I55" s="61" t="s">
        <v>55</v>
      </c>
      <c r="J55" s="66">
        <v>1</v>
      </c>
      <c r="K55" s="66">
        <v>1</v>
      </c>
      <c r="L55" s="66"/>
      <c r="M55" s="66"/>
      <c r="N55" s="61" t="s">
        <v>527</v>
      </c>
      <c r="O55" s="68" t="s">
        <v>325</v>
      </c>
    </row>
    <row r="56" spans="1:15">
      <c r="A56" s="59" t="s">
        <v>352</v>
      </c>
      <c r="B56" s="60">
        <v>4</v>
      </c>
      <c r="C56" s="61" t="s">
        <v>164</v>
      </c>
      <c r="D56" s="60" t="s">
        <v>167</v>
      </c>
      <c r="E56" s="61" t="s">
        <v>170</v>
      </c>
      <c r="F56" s="61" t="s">
        <v>56</v>
      </c>
      <c r="G56" s="60" t="s">
        <v>274</v>
      </c>
      <c r="H56" s="60" t="s">
        <v>275</v>
      </c>
      <c r="I56" s="61" t="s">
        <v>55</v>
      </c>
      <c r="J56" s="66">
        <v>1</v>
      </c>
      <c r="K56" s="66">
        <v>1</v>
      </c>
      <c r="L56" s="66"/>
      <c r="M56" s="66"/>
      <c r="N56" s="61" t="s">
        <v>527</v>
      </c>
      <c r="O56" s="68" t="s">
        <v>328</v>
      </c>
    </row>
    <row r="57" spans="1:15">
      <c r="A57" s="59" t="s">
        <v>352</v>
      </c>
      <c r="B57" s="74">
        <v>4</v>
      </c>
      <c r="C57" s="69" t="s">
        <v>164</v>
      </c>
      <c r="D57" s="74" t="s">
        <v>167</v>
      </c>
      <c r="E57" s="75" t="s">
        <v>75</v>
      </c>
      <c r="F57" s="75" t="s">
        <v>54</v>
      </c>
      <c r="G57" s="74" t="s">
        <v>95</v>
      </c>
      <c r="H57" s="74" t="s">
        <v>270</v>
      </c>
      <c r="I57" s="75" t="s">
        <v>55</v>
      </c>
      <c r="J57" s="77"/>
      <c r="K57" s="76">
        <v>1</v>
      </c>
      <c r="L57" s="76"/>
      <c r="M57" s="76"/>
      <c r="N57" s="61" t="s">
        <v>527</v>
      </c>
      <c r="O57" s="88" t="s">
        <v>325</v>
      </c>
    </row>
    <row r="58" spans="1:15">
      <c r="A58" s="59" t="s">
        <v>352</v>
      </c>
      <c r="B58" s="70">
        <v>4</v>
      </c>
      <c r="C58" s="69" t="s">
        <v>164</v>
      </c>
      <c r="D58" s="70" t="s">
        <v>167</v>
      </c>
      <c r="E58" s="69" t="s">
        <v>170</v>
      </c>
      <c r="F58" s="69" t="s">
        <v>54</v>
      </c>
      <c r="G58" s="70" t="s">
        <v>95</v>
      </c>
      <c r="H58" s="70" t="s">
        <v>275</v>
      </c>
      <c r="I58" s="69" t="s">
        <v>55</v>
      </c>
      <c r="J58" s="72"/>
      <c r="K58" s="71">
        <v>1</v>
      </c>
      <c r="L58" s="71"/>
      <c r="M58" s="71"/>
      <c r="N58" s="61" t="s">
        <v>527</v>
      </c>
      <c r="O58" s="69"/>
    </row>
    <row r="59" spans="1:15">
      <c r="A59" s="59" t="s">
        <v>352</v>
      </c>
      <c r="B59" s="60">
        <v>4</v>
      </c>
      <c r="C59" s="61" t="s">
        <v>164</v>
      </c>
      <c r="D59" s="60" t="s">
        <v>168</v>
      </c>
      <c r="E59" s="61" t="s">
        <v>169</v>
      </c>
      <c r="F59" s="61" t="s">
        <v>56</v>
      </c>
      <c r="G59" s="60" t="s">
        <v>271</v>
      </c>
      <c r="H59" s="60" t="s">
        <v>272</v>
      </c>
      <c r="I59" s="61" t="s">
        <v>55</v>
      </c>
      <c r="J59" s="66">
        <v>1</v>
      </c>
      <c r="K59" s="66">
        <v>1</v>
      </c>
      <c r="L59" s="66"/>
      <c r="M59" s="66"/>
      <c r="N59" s="61" t="s">
        <v>527</v>
      </c>
      <c r="O59" s="61" t="s">
        <v>326</v>
      </c>
    </row>
    <row r="60" spans="1:15" ht="12.6" customHeight="1">
      <c r="A60" s="59" t="s">
        <v>352</v>
      </c>
      <c r="B60" s="60">
        <v>4</v>
      </c>
      <c r="C60" s="61" t="s">
        <v>164</v>
      </c>
      <c r="D60" s="60" t="s">
        <v>168</v>
      </c>
      <c r="E60" s="61" t="s">
        <v>169</v>
      </c>
      <c r="F60" s="61" t="s">
        <v>68</v>
      </c>
      <c r="G60" s="60" t="s">
        <v>273</v>
      </c>
      <c r="H60" s="60" t="s">
        <v>95</v>
      </c>
      <c r="I60" s="61" t="s">
        <v>52</v>
      </c>
      <c r="J60" s="66">
        <v>1</v>
      </c>
      <c r="K60" s="66"/>
      <c r="L60" s="66"/>
      <c r="M60" s="66" t="s">
        <v>53</v>
      </c>
      <c r="N60" s="61" t="s">
        <v>527</v>
      </c>
      <c r="O60" s="61" t="s">
        <v>327</v>
      </c>
    </row>
    <row r="61" spans="1:15">
      <c r="A61" s="59" t="s">
        <v>352</v>
      </c>
      <c r="B61" s="70">
        <v>4</v>
      </c>
      <c r="C61" s="69" t="s">
        <v>164</v>
      </c>
      <c r="D61" s="70" t="s">
        <v>168</v>
      </c>
      <c r="E61" s="69" t="s">
        <v>169</v>
      </c>
      <c r="F61" s="69" t="s">
        <v>54</v>
      </c>
      <c r="G61" s="70" t="s">
        <v>95</v>
      </c>
      <c r="H61" s="70" t="s">
        <v>272</v>
      </c>
      <c r="I61" s="69" t="s">
        <v>55</v>
      </c>
      <c r="J61" s="72"/>
      <c r="K61" s="71">
        <v>1</v>
      </c>
      <c r="L61" s="71"/>
      <c r="M61" s="71"/>
      <c r="N61" s="61" t="s">
        <v>527</v>
      </c>
      <c r="O61" s="69" t="s">
        <v>326</v>
      </c>
    </row>
    <row r="62" spans="1:15">
      <c r="A62" s="59" t="s">
        <v>352</v>
      </c>
      <c r="B62" s="60">
        <v>4</v>
      </c>
      <c r="C62" s="61" t="s">
        <v>164</v>
      </c>
      <c r="D62" s="60" t="s">
        <v>165</v>
      </c>
      <c r="E62" s="61" t="s">
        <v>166</v>
      </c>
      <c r="F62" s="61" t="s">
        <v>56</v>
      </c>
      <c r="G62" s="60" t="s">
        <v>267</v>
      </c>
      <c r="H62" s="60" t="s">
        <v>268</v>
      </c>
      <c r="I62" s="61" t="s">
        <v>55</v>
      </c>
      <c r="J62" s="66">
        <v>1</v>
      </c>
      <c r="K62" s="66">
        <v>1</v>
      </c>
      <c r="L62" s="66"/>
      <c r="M62" s="66"/>
      <c r="N62" s="61" t="s">
        <v>527</v>
      </c>
      <c r="O62" s="61" t="s">
        <v>324</v>
      </c>
    </row>
    <row r="63" spans="1:15">
      <c r="A63" s="59" t="s">
        <v>352</v>
      </c>
      <c r="B63" s="70">
        <v>4</v>
      </c>
      <c r="C63" s="69" t="s">
        <v>164</v>
      </c>
      <c r="D63" s="70" t="s">
        <v>165</v>
      </c>
      <c r="E63" s="69" t="s">
        <v>166</v>
      </c>
      <c r="F63" s="69" t="s">
        <v>54</v>
      </c>
      <c r="G63" s="70" t="s">
        <v>95</v>
      </c>
      <c r="H63" s="70" t="s">
        <v>268</v>
      </c>
      <c r="I63" s="69" t="s">
        <v>55</v>
      </c>
      <c r="J63" s="72"/>
      <c r="K63" s="71">
        <v>1</v>
      </c>
      <c r="L63" s="71"/>
      <c r="M63" s="71"/>
      <c r="N63" s="61" t="s">
        <v>527</v>
      </c>
      <c r="O63" s="69" t="s">
        <v>324</v>
      </c>
    </row>
    <row r="64" spans="1:15">
      <c r="A64" s="59" t="s">
        <v>352</v>
      </c>
      <c r="B64" s="60">
        <v>5</v>
      </c>
      <c r="C64" s="61" t="s">
        <v>156</v>
      </c>
      <c r="D64" s="60">
        <v>5524</v>
      </c>
      <c r="E64" s="61" t="s">
        <v>157</v>
      </c>
      <c r="F64" s="61" t="s">
        <v>72</v>
      </c>
      <c r="G64" s="60" t="s">
        <v>261</v>
      </c>
      <c r="H64" s="60" t="s">
        <v>95</v>
      </c>
      <c r="I64" s="61" t="s">
        <v>78</v>
      </c>
      <c r="J64" s="66">
        <v>1</v>
      </c>
      <c r="K64" s="66"/>
      <c r="L64" s="66"/>
      <c r="M64" s="66"/>
      <c r="N64" s="61" t="s">
        <v>527</v>
      </c>
      <c r="O64" s="61" t="s">
        <v>322</v>
      </c>
    </row>
    <row r="65" spans="1:15">
      <c r="A65" s="59" t="s">
        <v>352</v>
      </c>
      <c r="B65" s="60">
        <v>5</v>
      </c>
      <c r="C65" s="61" t="s">
        <v>145</v>
      </c>
      <c r="D65" s="60">
        <v>5467</v>
      </c>
      <c r="E65" s="61" t="s">
        <v>162</v>
      </c>
      <c r="F65" s="61" t="s">
        <v>104</v>
      </c>
      <c r="G65" s="60" t="s">
        <v>265</v>
      </c>
      <c r="H65" s="60" t="s">
        <v>95</v>
      </c>
      <c r="I65" s="61" t="s">
        <v>224</v>
      </c>
      <c r="J65" s="66">
        <v>1</v>
      </c>
      <c r="K65" s="66"/>
      <c r="L65" s="66"/>
      <c r="M65" s="66"/>
      <c r="N65" s="61" t="s">
        <v>527</v>
      </c>
      <c r="O65" s="61"/>
    </row>
    <row r="66" spans="1:15">
      <c r="A66" s="59" t="s">
        <v>352</v>
      </c>
      <c r="B66" s="60">
        <v>5</v>
      </c>
      <c r="C66" s="61" t="s">
        <v>145</v>
      </c>
      <c r="D66" s="60">
        <v>5475</v>
      </c>
      <c r="E66" s="61" t="s">
        <v>146</v>
      </c>
      <c r="F66" s="61" t="s">
        <v>104</v>
      </c>
      <c r="G66" s="60" t="s">
        <v>252</v>
      </c>
      <c r="H66" s="60" t="s">
        <v>95</v>
      </c>
      <c r="I66" s="61" t="s">
        <v>224</v>
      </c>
      <c r="J66" s="66">
        <v>1</v>
      </c>
      <c r="K66" s="66"/>
      <c r="L66" s="66"/>
      <c r="M66" s="66"/>
      <c r="N66" s="61" t="s">
        <v>527</v>
      </c>
      <c r="O66" s="61"/>
    </row>
    <row r="67" spans="1:15">
      <c r="A67" s="59" t="s">
        <v>352</v>
      </c>
      <c r="B67" s="60">
        <v>5</v>
      </c>
      <c r="C67" s="61" t="s">
        <v>145</v>
      </c>
      <c r="D67" s="60">
        <v>5475</v>
      </c>
      <c r="E67" s="61" t="s">
        <v>147</v>
      </c>
      <c r="F67" s="61" t="s">
        <v>104</v>
      </c>
      <c r="G67" s="60" t="s">
        <v>253</v>
      </c>
      <c r="H67" s="60" t="s">
        <v>95</v>
      </c>
      <c r="I67" s="61" t="s">
        <v>224</v>
      </c>
      <c r="J67" s="66">
        <v>1</v>
      </c>
      <c r="K67" s="66"/>
      <c r="L67" s="66"/>
      <c r="M67" s="66"/>
      <c r="N67" s="61" t="s">
        <v>527</v>
      </c>
      <c r="O67" s="61"/>
    </row>
    <row r="68" spans="1:15">
      <c r="A68" s="59" t="s">
        <v>352</v>
      </c>
      <c r="B68" s="60">
        <v>5</v>
      </c>
      <c r="C68" s="61" t="s">
        <v>145</v>
      </c>
      <c r="D68" s="60">
        <v>5475</v>
      </c>
      <c r="E68" s="61" t="s">
        <v>148</v>
      </c>
      <c r="F68" s="61" t="s">
        <v>104</v>
      </c>
      <c r="G68" s="60" t="s">
        <v>254</v>
      </c>
      <c r="H68" s="60" t="s">
        <v>95</v>
      </c>
      <c r="I68" s="61" t="s">
        <v>224</v>
      </c>
      <c r="J68" s="66">
        <v>1</v>
      </c>
      <c r="K68" s="66"/>
      <c r="L68" s="66"/>
      <c r="M68" s="66"/>
      <c r="N68" s="61" t="s">
        <v>527</v>
      </c>
      <c r="O68" s="61"/>
    </row>
    <row r="69" spans="1:15">
      <c r="A69" s="59" t="s">
        <v>352</v>
      </c>
      <c r="B69" s="60">
        <v>5</v>
      </c>
      <c r="C69" s="61" t="s">
        <v>145</v>
      </c>
      <c r="D69" s="60">
        <v>5475</v>
      </c>
      <c r="E69" s="61" t="s">
        <v>149</v>
      </c>
      <c r="F69" s="61" t="s">
        <v>104</v>
      </c>
      <c r="G69" s="60" t="s">
        <v>255</v>
      </c>
      <c r="H69" s="60" t="s">
        <v>95</v>
      </c>
      <c r="I69" s="61" t="s">
        <v>224</v>
      </c>
      <c r="J69" s="66">
        <v>1</v>
      </c>
      <c r="K69" s="66"/>
      <c r="L69" s="66"/>
      <c r="M69" s="66"/>
      <c r="N69" s="61" t="s">
        <v>527</v>
      </c>
      <c r="O69" s="61"/>
    </row>
    <row r="70" spans="1:15" ht="12.6" customHeight="1">
      <c r="A70" s="59" t="s">
        <v>352</v>
      </c>
      <c r="B70" s="60">
        <v>5</v>
      </c>
      <c r="C70" s="61" t="s">
        <v>145</v>
      </c>
      <c r="D70" s="60">
        <v>5475</v>
      </c>
      <c r="E70" s="61" t="s">
        <v>150</v>
      </c>
      <c r="F70" s="61" t="s">
        <v>104</v>
      </c>
      <c r="G70" s="60" t="s">
        <v>256</v>
      </c>
      <c r="H70" s="60" t="s">
        <v>95</v>
      </c>
      <c r="I70" s="61" t="s">
        <v>224</v>
      </c>
      <c r="J70" s="66">
        <v>1</v>
      </c>
      <c r="K70" s="66"/>
      <c r="L70" s="66"/>
      <c r="M70" s="66"/>
      <c r="N70" s="61" t="s">
        <v>527</v>
      </c>
      <c r="O70" s="61"/>
    </row>
    <row r="71" spans="1:15">
      <c r="A71" s="59" t="s">
        <v>352</v>
      </c>
      <c r="B71" s="60">
        <v>5</v>
      </c>
      <c r="C71" s="61" t="s">
        <v>145</v>
      </c>
      <c r="D71" s="60">
        <v>5475</v>
      </c>
      <c r="E71" s="61" t="s">
        <v>163</v>
      </c>
      <c r="F71" s="61" t="s">
        <v>104</v>
      </c>
      <c r="G71" s="60" t="s">
        <v>266</v>
      </c>
      <c r="H71" s="60" t="s">
        <v>95</v>
      </c>
      <c r="I71" s="61" t="s">
        <v>224</v>
      </c>
      <c r="J71" s="66">
        <v>1</v>
      </c>
      <c r="K71" s="66"/>
      <c r="L71" s="66"/>
      <c r="M71" s="66"/>
      <c r="N71" s="61" t="s">
        <v>527</v>
      </c>
      <c r="O71" s="61"/>
    </row>
    <row r="72" spans="1:15">
      <c r="A72" s="59" t="s">
        <v>352</v>
      </c>
      <c r="B72" s="60">
        <v>5</v>
      </c>
      <c r="C72" s="61" t="s">
        <v>145</v>
      </c>
      <c r="D72" s="60" t="s">
        <v>154</v>
      </c>
      <c r="E72" s="61" t="s">
        <v>155</v>
      </c>
      <c r="F72" s="61" t="s">
        <v>72</v>
      </c>
      <c r="G72" s="60" t="s">
        <v>258</v>
      </c>
      <c r="H72" s="60" t="s">
        <v>95</v>
      </c>
      <c r="I72" s="61" t="s">
        <v>78</v>
      </c>
      <c r="J72" s="66">
        <v>1</v>
      </c>
      <c r="K72" s="66"/>
      <c r="L72" s="66"/>
      <c r="M72" s="66"/>
      <c r="N72" s="61" t="s">
        <v>527</v>
      </c>
      <c r="O72" s="61" t="s">
        <v>320</v>
      </c>
    </row>
    <row r="73" spans="1:15">
      <c r="A73" s="59" t="s">
        <v>352</v>
      </c>
      <c r="B73" s="60">
        <v>5</v>
      </c>
      <c r="C73" s="61" t="s">
        <v>145</v>
      </c>
      <c r="D73" s="60" t="s">
        <v>154</v>
      </c>
      <c r="E73" s="61" t="s">
        <v>155</v>
      </c>
      <c r="F73" s="61" t="s">
        <v>68</v>
      </c>
      <c r="G73" s="60" t="s">
        <v>259</v>
      </c>
      <c r="H73" s="60" t="s">
        <v>95</v>
      </c>
      <c r="I73" s="61" t="s">
        <v>78</v>
      </c>
      <c r="J73" s="66">
        <v>1</v>
      </c>
      <c r="K73" s="66"/>
      <c r="L73" s="66"/>
      <c r="M73" s="66" t="s">
        <v>53</v>
      </c>
      <c r="N73" s="61" t="s">
        <v>527</v>
      </c>
      <c r="O73" s="61" t="s">
        <v>321</v>
      </c>
    </row>
    <row r="74" spans="1:15">
      <c r="A74" s="59" t="s">
        <v>352</v>
      </c>
      <c r="B74" s="60">
        <v>5</v>
      </c>
      <c r="C74" s="61" t="s">
        <v>145</v>
      </c>
      <c r="D74" s="60" t="s">
        <v>154</v>
      </c>
      <c r="E74" s="61" t="s">
        <v>155</v>
      </c>
      <c r="F74" s="61" t="s">
        <v>57</v>
      </c>
      <c r="G74" s="60" t="s">
        <v>260</v>
      </c>
      <c r="H74" s="60" t="s">
        <v>95</v>
      </c>
      <c r="I74" s="61" t="s">
        <v>78</v>
      </c>
      <c r="J74" s="66">
        <v>1</v>
      </c>
      <c r="K74" s="66"/>
      <c r="L74" s="66"/>
      <c r="M74" s="66" t="s">
        <v>53</v>
      </c>
      <c r="N74" s="61" t="s">
        <v>527</v>
      </c>
      <c r="O74" s="61" t="s">
        <v>321</v>
      </c>
    </row>
    <row r="75" spans="1:15">
      <c r="A75" s="59" t="s">
        <v>352</v>
      </c>
      <c r="B75" s="60">
        <v>5</v>
      </c>
      <c r="C75" s="61" t="s">
        <v>145</v>
      </c>
      <c r="D75" s="60" t="s">
        <v>158</v>
      </c>
      <c r="E75" s="61" t="s">
        <v>159</v>
      </c>
      <c r="F75" s="61" t="s">
        <v>104</v>
      </c>
      <c r="G75" s="60" t="s">
        <v>262</v>
      </c>
      <c r="H75" s="60" t="s">
        <v>95</v>
      </c>
      <c r="I75" s="61" t="s">
        <v>263</v>
      </c>
      <c r="J75" s="66">
        <v>1</v>
      </c>
      <c r="K75" s="66"/>
      <c r="L75" s="66"/>
      <c r="M75" s="66"/>
      <c r="N75" s="61" t="s">
        <v>527</v>
      </c>
      <c r="O75" s="61" t="s">
        <v>323</v>
      </c>
    </row>
    <row r="76" spans="1:15">
      <c r="A76" s="59" t="s">
        <v>352</v>
      </c>
      <c r="B76" s="60">
        <v>5</v>
      </c>
      <c r="C76" s="61" t="s">
        <v>145</v>
      </c>
      <c r="D76" s="60" t="s">
        <v>160</v>
      </c>
      <c r="E76" s="61" t="s">
        <v>161</v>
      </c>
      <c r="F76" s="61" t="s">
        <v>104</v>
      </c>
      <c r="G76" s="60" t="s">
        <v>264</v>
      </c>
      <c r="H76" s="60" t="s">
        <v>95</v>
      </c>
      <c r="I76" s="61" t="s">
        <v>263</v>
      </c>
      <c r="J76" s="66">
        <v>1</v>
      </c>
      <c r="K76" s="66"/>
      <c r="L76" s="66"/>
      <c r="M76" s="66"/>
      <c r="N76" s="61" t="s">
        <v>527</v>
      </c>
      <c r="O76" s="61" t="s">
        <v>323</v>
      </c>
    </row>
    <row r="77" spans="1:15">
      <c r="A77" s="59" t="s">
        <v>352</v>
      </c>
      <c r="B77" s="60">
        <v>5</v>
      </c>
      <c r="C77" s="61" t="s">
        <v>151</v>
      </c>
      <c r="D77" s="60" t="s">
        <v>152</v>
      </c>
      <c r="E77" s="61" t="s">
        <v>153</v>
      </c>
      <c r="F77" s="61" t="s">
        <v>72</v>
      </c>
      <c r="G77" s="60" t="s">
        <v>257</v>
      </c>
      <c r="H77" s="60" t="s">
        <v>95</v>
      </c>
      <c r="I77" s="61" t="s">
        <v>52</v>
      </c>
      <c r="J77" s="66">
        <v>1</v>
      </c>
      <c r="K77" s="66"/>
      <c r="L77" s="66"/>
      <c r="M77" s="66"/>
      <c r="N77" s="61" t="s">
        <v>527</v>
      </c>
      <c r="O77" s="61" t="s">
        <v>319</v>
      </c>
    </row>
    <row r="78" spans="1:15" hidden="1">
      <c r="A78" s="59" t="s">
        <v>353</v>
      </c>
      <c r="B78" s="60">
        <v>5</v>
      </c>
      <c r="C78" s="61" t="s">
        <v>183</v>
      </c>
      <c r="D78" s="60" t="s">
        <v>184</v>
      </c>
      <c r="E78" s="61" t="s">
        <v>71</v>
      </c>
      <c r="F78" s="61" t="s">
        <v>68</v>
      </c>
      <c r="G78" s="60" t="s">
        <v>281</v>
      </c>
      <c r="H78" s="60" t="s">
        <v>95</v>
      </c>
      <c r="I78" s="61" t="s">
        <v>78</v>
      </c>
      <c r="J78" s="66">
        <v>1</v>
      </c>
      <c r="K78" s="66"/>
      <c r="L78" s="66"/>
      <c r="M78" s="66"/>
      <c r="N78" s="61" t="s">
        <v>527</v>
      </c>
      <c r="O78" s="61" t="s">
        <v>333</v>
      </c>
    </row>
    <row r="79" spans="1:15">
      <c r="A79" s="59" t="s">
        <v>352</v>
      </c>
      <c r="B79" s="60">
        <v>6</v>
      </c>
      <c r="C79" s="61" t="s">
        <v>142</v>
      </c>
      <c r="D79" s="60" t="s">
        <v>143</v>
      </c>
      <c r="E79" s="61" t="s">
        <v>144</v>
      </c>
      <c r="F79" s="61" t="s">
        <v>68</v>
      </c>
      <c r="G79" s="60" t="s">
        <v>251</v>
      </c>
      <c r="H79" s="60" t="s">
        <v>95</v>
      </c>
      <c r="I79" s="61" t="s">
        <v>78</v>
      </c>
      <c r="J79" s="66">
        <v>1</v>
      </c>
      <c r="K79" s="66"/>
      <c r="L79" s="66"/>
      <c r="M79" s="66"/>
      <c r="N79" s="61" t="s">
        <v>527</v>
      </c>
      <c r="O79" s="61" t="s">
        <v>318</v>
      </c>
    </row>
    <row r="80" spans="1:15" hidden="1">
      <c r="A80" s="59" t="s">
        <v>351</v>
      </c>
      <c r="B80" s="60">
        <v>7</v>
      </c>
      <c r="C80" s="61" t="s">
        <v>99</v>
      </c>
      <c r="D80" s="60" t="s">
        <v>100</v>
      </c>
      <c r="E80" s="61" t="s">
        <v>101</v>
      </c>
      <c r="F80" s="61" t="s">
        <v>56</v>
      </c>
      <c r="G80" s="60" t="s">
        <v>222</v>
      </c>
      <c r="H80" s="60" t="s">
        <v>95</v>
      </c>
      <c r="I80" s="61" t="s">
        <v>55</v>
      </c>
      <c r="J80" s="66">
        <v>1</v>
      </c>
      <c r="K80" s="66"/>
      <c r="L80" s="66"/>
      <c r="M80" s="66"/>
      <c r="N80" s="61" t="s">
        <v>527</v>
      </c>
      <c r="O80" s="61" t="s">
        <v>306</v>
      </c>
    </row>
    <row r="81" spans="1:15" hidden="1">
      <c r="A81" s="59" t="s">
        <v>351</v>
      </c>
      <c r="B81" s="70">
        <v>7</v>
      </c>
      <c r="C81" s="69" t="s">
        <v>99</v>
      </c>
      <c r="D81" s="70" t="s">
        <v>100</v>
      </c>
      <c r="E81" s="69" t="s">
        <v>214</v>
      </c>
      <c r="F81" s="69" t="s">
        <v>72</v>
      </c>
      <c r="G81" s="70" t="s">
        <v>95</v>
      </c>
      <c r="H81" s="70" t="s">
        <v>299</v>
      </c>
      <c r="I81" s="69" t="s">
        <v>78</v>
      </c>
      <c r="J81" s="72"/>
      <c r="K81" s="71"/>
      <c r="L81" s="71">
        <v>1</v>
      </c>
      <c r="M81" s="71"/>
      <c r="N81" s="61" t="s">
        <v>527</v>
      </c>
      <c r="O81" s="69" t="s">
        <v>344</v>
      </c>
    </row>
    <row r="82" spans="1:15" hidden="1">
      <c r="A82" s="59" t="s">
        <v>351</v>
      </c>
      <c r="B82" s="60">
        <v>7</v>
      </c>
      <c r="C82" s="61" t="s">
        <v>96</v>
      </c>
      <c r="D82" s="60" t="s">
        <v>97</v>
      </c>
      <c r="E82" s="61" t="s">
        <v>98</v>
      </c>
      <c r="F82" s="61" t="s">
        <v>56</v>
      </c>
      <c r="G82" s="60" t="s">
        <v>221</v>
      </c>
      <c r="H82" s="60" t="s">
        <v>95</v>
      </c>
      <c r="I82" s="61" t="s">
        <v>55</v>
      </c>
      <c r="J82" s="66">
        <v>1</v>
      </c>
      <c r="K82" s="66"/>
      <c r="L82" s="66"/>
      <c r="M82" s="66"/>
      <c r="N82" s="61" t="s">
        <v>527</v>
      </c>
      <c r="O82" s="61" t="s">
        <v>305</v>
      </c>
    </row>
    <row r="83" spans="1:15" hidden="1">
      <c r="A83" s="59" t="s">
        <v>351</v>
      </c>
      <c r="B83" s="70">
        <v>7</v>
      </c>
      <c r="C83" s="69" t="s">
        <v>96</v>
      </c>
      <c r="D83" s="70" t="s">
        <v>97</v>
      </c>
      <c r="E83" s="69" t="s">
        <v>155</v>
      </c>
      <c r="F83" s="69" t="s">
        <v>73</v>
      </c>
      <c r="G83" s="70" t="s">
        <v>95</v>
      </c>
      <c r="H83" s="70" t="s">
        <v>298</v>
      </c>
      <c r="I83" s="69" t="s">
        <v>52</v>
      </c>
      <c r="J83" s="72"/>
      <c r="K83" s="71"/>
      <c r="L83" s="71">
        <v>1</v>
      </c>
      <c r="M83" s="71"/>
      <c r="N83" s="61" t="s">
        <v>527</v>
      </c>
      <c r="O83" s="69" t="s">
        <v>344</v>
      </c>
    </row>
    <row r="84" spans="1:15">
      <c r="A84" s="59" t="s">
        <v>352</v>
      </c>
      <c r="B84" s="60">
        <v>8</v>
      </c>
      <c r="C84" s="61" t="s">
        <v>139</v>
      </c>
      <c r="D84" s="60" t="s">
        <v>140</v>
      </c>
      <c r="E84" s="61" t="s">
        <v>141</v>
      </c>
      <c r="F84" s="61" t="s">
        <v>68</v>
      </c>
      <c r="G84" s="60" t="s">
        <v>250</v>
      </c>
      <c r="H84" s="60" t="s">
        <v>95</v>
      </c>
      <c r="I84" s="61" t="s">
        <v>78</v>
      </c>
      <c r="J84" s="66">
        <v>1</v>
      </c>
      <c r="K84" s="66"/>
      <c r="L84" s="66"/>
      <c r="M84" s="66"/>
      <c r="N84" s="61" t="s">
        <v>527</v>
      </c>
      <c r="O84" s="61" t="s">
        <v>317</v>
      </c>
    </row>
  </sheetData>
  <mergeCells count="2">
    <mergeCell ref="A2:E2"/>
    <mergeCell ref="G2:I2"/>
  </mergeCells>
  <phoneticPr fontId="11" type="noConversion"/>
  <dataValidations count="2">
    <dataValidation type="list" allowBlank="1" showInputMessage="1" showErrorMessage="1" sqref="M4:M14 M16:M57" xr:uid="{5DE9EA62-3C8D-4A59-AAAC-21A2CF55B864}">
      <formula1>"Yes, No"</formula1>
    </dataValidation>
    <dataValidation type="list" allowBlank="1" showInputMessage="1" showErrorMessage="1" sqref="I4:I84" xr:uid="{64258902-94D4-4815-AE79-70990866C324}">
      <formula1>"Low Wall, High Wall, Mid Wall, Below Counter/Desk, Above Counter/Desk, On Boom, Head of Bed, See Notes"</formula1>
    </dataValidation>
  </dataValidations>
  <pageMargins left="0.25" right="0.25" top="0.75" bottom="0.75" header="0.3" footer="0.3"/>
  <pageSetup paperSize="3" scale="65" fitToWidth="0" orientation="landscape" r:id="rId1"/>
  <headerFooter>
    <oddHeader>&amp;L&amp;"Calibri"&amp;10&amp;K000000 Confidential - Oracle Restricted&amp;1#_x000D_</oddHeader>
    <oddFooter>&amp;L_x000D_&amp;1#&amp;"Calibri"&amp;10&amp;K000000 Confidential - Oracle Restricted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D0BFA-5000-49B5-9B61-0A5CD8CAC024}">
  <dimension ref="A1:H180"/>
  <sheetViews>
    <sheetView topLeftCell="C1" zoomScale="84" zoomScaleNormal="250" workbookViewId="0">
      <pane ySplit="3" topLeftCell="A4" activePane="bottomLeft" state="frozen"/>
      <selection pane="bottomLeft" activeCell="A175" sqref="A175"/>
    </sheetView>
  </sheetViews>
  <sheetFormatPr defaultRowHeight="14.25"/>
  <cols>
    <col min="1" max="1" width="17" customWidth="1"/>
    <col min="2" max="2" width="7.375" style="8" customWidth="1"/>
    <col min="3" max="3" width="43.875" customWidth="1"/>
    <col min="4" max="4" width="11.125" style="8" customWidth="1"/>
    <col min="5" max="5" width="48.375" customWidth="1"/>
    <col min="6" max="6" width="19.5" customWidth="1"/>
    <col min="7" max="7" width="20.375" bestFit="1" customWidth="1"/>
    <col min="8" max="8" width="67.625" customWidth="1"/>
  </cols>
  <sheetData>
    <row r="1" spans="1:8" ht="18.75" thickBot="1">
      <c r="A1" s="20" t="s">
        <v>25</v>
      </c>
    </row>
    <row r="2" spans="1:8" s="1" customFormat="1" ht="16.5" thickBot="1">
      <c r="A2" s="106" t="s">
        <v>0</v>
      </c>
      <c r="B2" s="106"/>
      <c r="C2" s="106"/>
      <c r="D2" s="106"/>
      <c r="E2" s="107"/>
      <c r="F2" s="108" t="s">
        <v>1</v>
      </c>
      <c r="G2" s="109"/>
      <c r="H2" s="109"/>
    </row>
    <row r="3" spans="1:8" s="7" customFormat="1" ht="15.75" thickBot="1">
      <c r="A3" s="2" t="s">
        <v>2</v>
      </c>
      <c r="B3" s="80" t="s">
        <v>3</v>
      </c>
      <c r="C3" s="3" t="s">
        <v>4</v>
      </c>
      <c r="D3" s="81" t="s">
        <v>5</v>
      </c>
      <c r="E3" s="4" t="s">
        <v>0</v>
      </c>
      <c r="F3" s="5" t="s">
        <v>6</v>
      </c>
      <c r="G3" s="6" t="s">
        <v>7</v>
      </c>
      <c r="H3" s="6" t="s">
        <v>8</v>
      </c>
    </row>
    <row r="4" spans="1:8" s="82" customFormat="1" ht="12.75">
      <c r="A4" s="82" t="s">
        <v>350</v>
      </c>
      <c r="B4" s="83">
        <v>1</v>
      </c>
      <c r="C4" s="82" t="s">
        <v>400</v>
      </c>
      <c r="D4" s="83" t="s">
        <v>401</v>
      </c>
      <c r="E4" s="82" t="s">
        <v>132</v>
      </c>
      <c r="F4" s="82" t="s">
        <v>104</v>
      </c>
      <c r="G4" s="82" t="s">
        <v>513</v>
      </c>
      <c r="H4" s="82" t="s">
        <v>516</v>
      </c>
    </row>
    <row r="5" spans="1:8" s="82" customFormat="1" ht="12.75">
      <c r="A5" s="82" t="s">
        <v>351</v>
      </c>
      <c r="B5" s="83">
        <v>4</v>
      </c>
      <c r="C5" s="82" t="s">
        <v>102</v>
      </c>
      <c r="D5" s="83">
        <v>4657</v>
      </c>
      <c r="E5" s="82" t="s">
        <v>103</v>
      </c>
      <c r="F5" s="82" t="s">
        <v>104</v>
      </c>
      <c r="G5" s="82" t="s">
        <v>513</v>
      </c>
      <c r="H5" s="82" t="s">
        <v>505</v>
      </c>
    </row>
    <row r="6" spans="1:8" s="82" customFormat="1" ht="12.75">
      <c r="A6" s="82" t="s">
        <v>351</v>
      </c>
      <c r="B6" s="83">
        <v>4</v>
      </c>
      <c r="C6" s="82" t="s">
        <v>102</v>
      </c>
      <c r="D6" s="83">
        <v>4658</v>
      </c>
      <c r="E6" s="82" t="s">
        <v>103</v>
      </c>
      <c r="F6" s="82" t="s">
        <v>104</v>
      </c>
      <c r="G6" s="82" t="s">
        <v>513</v>
      </c>
      <c r="H6" s="82" t="s">
        <v>505</v>
      </c>
    </row>
    <row r="7" spans="1:8" s="82" customFormat="1" ht="12.75">
      <c r="A7" s="82" t="s">
        <v>351</v>
      </c>
      <c r="B7" s="83">
        <v>4</v>
      </c>
      <c r="C7" s="82" t="s">
        <v>102</v>
      </c>
      <c r="D7" s="83">
        <v>4660</v>
      </c>
      <c r="E7" s="82" t="s">
        <v>103</v>
      </c>
      <c r="F7" s="82" t="s">
        <v>104</v>
      </c>
      <c r="G7" s="82" t="s">
        <v>513</v>
      </c>
      <c r="H7" s="82" t="s">
        <v>505</v>
      </c>
    </row>
    <row r="8" spans="1:8" s="82" customFormat="1" ht="12.75">
      <c r="A8" s="82" t="s">
        <v>351</v>
      </c>
      <c r="B8" s="83">
        <v>4</v>
      </c>
      <c r="C8" s="82" t="s">
        <v>102</v>
      </c>
      <c r="D8" s="83">
        <v>4662</v>
      </c>
      <c r="E8" s="82" t="s">
        <v>103</v>
      </c>
      <c r="F8" s="82" t="s">
        <v>104</v>
      </c>
      <c r="G8" s="82" t="s">
        <v>513</v>
      </c>
      <c r="H8" s="82" t="s">
        <v>505</v>
      </c>
    </row>
    <row r="9" spans="1:8" s="82" customFormat="1" ht="12.75">
      <c r="A9" s="82" t="s">
        <v>351</v>
      </c>
      <c r="B9" s="83">
        <v>4</v>
      </c>
      <c r="C9" s="82" t="s">
        <v>102</v>
      </c>
      <c r="D9" s="83">
        <v>4664</v>
      </c>
      <c r="E9" s="82" t="s">
        <v>103</v>
      </c>
      <c r="F9" s="82" t="s">
        <v>104</v>
      </c>
      <c r="G9" s="82" t="s">
        <v>513</v>
      </c>
      <c r="H9" s="82" t="s">
        <v>505</v>
      </c>
    </row>
    <row r="10" spans="1:8" s="82" customFormat="1" ht="12.75">
      <c r="A10" s="82" t="s">
        <v>351</v>
      </c>
      <c r="B10" s="83">
        <v>4</v>
      </c>
      <c r="C10" s="82" t="s">
        <v>102</v>
      </c>
      <c r="D10" s="83">
        <v>4666</v>
      </c>
      <c r="E10" s="82" t="s">
        <v>103</v>
      </c>
      <c r="F10" s="82" t="s">
        <v>104</v>
      </c>
      <c r="G10" s="82" t="s">
        <v>513</v>
      </c>
      <c r="H10" s="82" t="s">
        <v>505</v>
      </c>
    </row>
    <row r="11" spans="1:8" s="82" customFormat="1" ht="12.75">
      <c r="A11" s="82" t="s">
        <v>351</v>
      </c>
      <c r="B11" s="83">
        <v>2</v>
      </c>
      <c r="C11" s="82" t="s">
        <v>105</v>
      </c>
      <c r="D11" s="83" t="s">
        <v>106</v>
      </c>
      <c r="E11" s="82" t="s">
        <v>107</v>
      </c>
      <c r="F11" s="82" t="s">
        <v>54</v>
      </c>
      <c r="G11" s="82" t="s">
        <v>514</v>
      </c>
    </row>
    <row r="12" spans="1:8" s="82" customFormat="1" ht="12.75">
      <c r="A12" s="82" t="s">
        <v>351</v>
      </c>
      <c r="B12" s="83">
        <v>2</v>
      </c>
      <c r="C12" s="82" t="s">
        <v>105</v>
      </c>
      <c r="D12" s="83" t="s">
        <v>106</v>
      </c>
      <c r="E12" s="82" t="s">
        <v>107</v>
      </c>
      <c r="F12" s="82" t="s">
        <v>56</v>
      </c>
      <c r="G12" s="82" t="s">
        <v>514</v>
      </c>
    </row>
    <row r="13" spans="1:8" s="82" customFormat="1" ht="12.75">
      <c r="A13" s="82" t="s">
        <v>351</v>
      </c>
      <c r="B13" s="83">
        <v>4</v>
      </c>
      <c r="C13" s="82" t="s">
        <v>102</v>
      </c>
      <c r="D13" s="83">
        <v>4668</v>
      </c>
      <c r="E13" s="82" t="s">
        <v>103</v>
      </c>
      <c r="F13" s="82" t="s">
        <v>104</v>
      </c>
      <c r="G13" s="82" t="s">
        <v>513</v>
      </c>
      <c r="H13" s="82" t="s">
        <v>505</v>
      </c>
    </row>
    <row r="14" spans="1:8" s="82" customFormat="1" ht="12.75">
      <c r="A14" s="82" t="s">
        <v>351</v>
      </c>
      <c r="B14" s="83">
        <v>4</v>
      </c>
      <c r="C14" s="82" t="s">
        <v>102</v>
      </c>
      <c r="D14" s="83">
        <v>4670</v>
      </c>
      <c r="E14" s="82" t="s">
        <v>103</v>
      </c>
      <c r="F14" s="82" t="s">
        <v>104</v>
      </c>
      <c r="G14" s="82" t="s">
        <v>513</v>
      </c>
      <c r="H14" s="82" t="s">
        <v>505</v>
      </c>
    </row>
    <row r="15" spans="1:8" s="82" customFormat="1" ht="12.75">
      <c r="A15" s="82" t="s">
        <v>351</v>
      </c>
      <c r="B15" s="83">
        <v>4</v>
      </c>
      <c r="C15" s="82" t="s">
        <v>102</v>
      </c>
      <c r="D15" s="83">
        <v>4672</v>
      </c>
      <c r="E15" s="82" t="s">
        <v>103</v>
      </c>
      <c r="F15" s="82" t="s">
        <v>104</v>
      </c>
      <c r="G15" s="82" t="s">
        <v>513</v>
      </c>
      <c r="H15" s="82" t="s">
        <v>505</v>
      </c>
    </row>
    <row r="16" spans="1:8" s="82" customFormat="1" ht="12.75">
      <c r="A16" s="82" t="s">
        <v>351</v>
      </c>
      <c r="B16" s="83">
        <v>4</v>
      </c>
      <c r="C16" s="82" t="s">
        <v>102</v>
      </c>
      <c r="D16" s="83">
        <v>4674</v>
      </c>
      <c r="E16" s="82" t="s">
        <v>430</v>
      </c>
      <c r="F16" s="82" t="s">
        <v>104</v>
      </c>
      <c r="G16" s="82" t="s">
        <v>513</v>
      </c>
      <c r="H16" s="82" t="s">
        <v>505</v>
      </c>
    </row>
    <row r="17" spans="1:8" s="82" customFormat="1" ht="12.75">
      <c r="A17" s="82" t="s">
        <v>351</v>
      </c>
      <c r="B17" s="83">
        <v>4</v>
      </c>
      <c r="C17" s="82" t="s">
        <v>102</v>
      </c>
      <c r="D17" s="83">
        <v>4676</v>
      </c>
      <c r="E17" s="82" t="s">
        <v>430</v>
      </c>
      <c r="F17" s="82" t="s">
        <v>104</v>
      </c>
      <c r="G17" s="82" t="s">
        <v>513</v>
      </c>
      <c r="H17" s="82" t="s">
        <v>505</v>
      </c>
    </row>
    <row r="18" spans="1:8" s="82" customFormat="1" ht="12.75">
      <c r="A18" s="82" t="s">
        <v>351</v>
      </c>
      <c r="B18" s="83">
        <v>4</v>
      </c>
      <c r="C18" s="82" t="s">
        <v>102</v>
      </c>
      <c r="D18" s="83">
        <v>4678</v>
      </c>
      <c r="E18" s="82" t="s">
        <v>431</v>
      </c>
      <c r="F18" s="82" t="s">
        <v>104</v>
      </c>
      <c r="G18" s="82" t="s">
        <v>513</v>
      </c>
      <c r="H18" s="82" t="s">
        <v>505</v>
      </c>
    </row>
    <row r="19" spans="1:8" s="82" customFormat="1" ht="12.75">
      <c r="A19" s="82" t="s">
        <v>351</v>
      </c>
      <c r="B19" s="83">
        <v>4</v>
      </c>
      <c r="C19" s="82" t="s">
        <v>102</v>
      </c>
      <c r="D19" s="83">
        <v>4682</v>
      </c>
      <c r="E19" s="82" t="s">
        <v>431</v>
      </c>
      <c r="F19" s="82" t="s">
        <v>104</v>
      </c>
      <c r="G19" s="82" t="s">
        <v>513</v>
      </c>
      <c r="H19" s="82" t="s">
        <v>505</v>
      </c>
    </row>
    <row r="20" spans="1:8" s="82" customFormat="1" ht="12.75">
      <c r="A20" s="82" t="s">
        <v>351</v>
      </c>
      <c r="B20" s="83">
        <v>4</v>
      </c>
      <c r="C20" s="82" t="s">
        <v>102</v>
      </c>
      <c r="D20" s="83">
        <v>4684</v>
      </c>
      <c r="E20" s="82" t="s">
        <v>431</v>
      </c>
      <c r="F20" s="82" t="s">
        <v>104</v>
      </c>
      <c r="G20" s="82" t="s">
        <v>513</v>
      </c>
      <c r="H20" s="82" t="s">
        <v>505</v>
      </c>
    </row>
    <row r="21" spans="1:8" s="82" customFormat="1" ht="12.75">
      <c r="A21" s="82" t="s">
        <v>351</v>
      </c>
      <c r="B21" s="83">
        <v>4</v>
      </c>
      <c r="C21" s="82" t="s">
        <v>102</v>
      </c>
      <c r="D21" s="83">
        <v>4686</v>
      </c>
      <c r="E21" s="82" t="s">
        <v>431</v>
      </c>
      <c r="F21" s="82" t="s">
        <v>104</v>
      </c>
      <c r="G21" s="82" t="s">
        <v>513</v>
      </c>
      <c r="H21" s="82" t="s">
        <v>505</v>
      </c>
    </row>
    <row r="22" spans="1:8" s="82" customFormat="1" ht="12.75">
      <c r="A22" s="82" t="s">
        <v>351</v>
      </c>
      <c r="B22" s="83">
        <v>4</v>
      </c>
      <c r="C22" s="82" t="s">
        <v>102</v>
      </c>
      <c r="D22" s="83">
        <v>4688</v>
      </c>
      <c r="E22" s="82" t="s">
        <v>431</v>
      </c>
      <c r="F22" s="82" t="s">
        <v>104</v>
      </c>
      <c r="G22" s="82" t="s">
        <v>513</v>
      </c>
      <c r="H22" s="82" t="s">
        <v>505</v>
      </c>
    </row>
    <row r="23" spans="1:8" s="82" customFormat="1" ht="12.75">
      <c r="A23" s="82" t="s">
        <v>351</v>
      </c>
      <c r="B23" s="83">
        <v>4</v>
      </c>
      <c r="C23" s="82" t="s">
        <v>102</v>
      </c>
      <c r="D23" s="83">
        <v>4692</v>
      </c>
      <c r="E23" s="82" t="s">
        <v>431</v>
      </c>
      <c r="F23" s="82" t="s">
        <v>104</v>
      </c>
      <c r="G23" s="82" t="s">
        <v>513</v>
      </c>
      <c r="H23" s="82" t="s">
        <v>505</v>
      </c>
    </row>
    <row r="24" spans="1:8" s="82" customFormat="1" ht="12.75">
      <c r="A24" s="82" t="s">
        <v>351</v>
      </c>
      <c r="B24" s="83">
        <v>4</v>
      </c>
      <c r="C24" s="82" t="s">
        <v>102</v>
      </c>
      <c r="D24" s="83">
        <v>4694</v>
      </c>
      <c r="E24" s="82" t="s">
        <v>431</v>
      </c>
      <c r="F24" s="82" t="s">
        <v>104</v>
      </c>
      <c r="G24" s="82" t="s">
        <v>513</v>
      </c>
      <c r="H24" s="82" t="s">
        <v>505</v>
      </c>
    </row>
    <row r="25" spans="1:8" s="82" customFormat="1" ht="12.75">
      <c r="A25" s="82" t="s">
        <v>351</v>
      </c>
      <c r="B25" s="83">
        <v>4</v>
      </c>
      <c r="C25" s="82" t="s">
        <v>102</v>
      </c>
      <c r="D25" s="83">
        <v>4696</v>
      </c>
      <c r="E25" s="82" t="s">
        <v>431</v>
      </c>
      <c r="F25" s="82" t="s">
        <v>104</v>
      </c>
      <c r="G25" s="82" t="s">
        <v>513</v>
      </c>
      <c r="H25" s="82" t="s">
        <v>505</v>
      </c>
    </row>
    <row r="26" spans="1:8" s="82" customFormat="1" ht="12.75">
      <c r="A26" s="82" t="s">
        <v>351</v>
      </c>
      <c r="B26" s="83">
        <v>4</v>
      </c>
      <c r="C26" s="82" t="s">
        <v>102</v>
      </c>
      <c r="D26" s="83">
        <v>4698</v>
      </c>
      <c r="E26" s="82" t="s">
        <v>431</v>
      </c>
      <c r="F26" s="82" t="s">
        <v>104</v>
      </c>
      <c r="G26" s="82" t="s">
        <v>513</v>
      </c>
      <c r="H26" s="82" t="s">
        <v>505</v>
      </c>
    </row>
    <row r="27" spans="1:8" s="82" customFormat="1" ht="12.75">
      <c r="A27" s="82" t="s">
        <v>351</v>
      </c>
      <c r="B27" s="83">
        <v>6</v>
      </c>
      <c r="C27" s="82" t="s">
        <v>209</v>
      </c>
      <c r="D27" s="83">
        <v>6602</v>
      </c>
      <c r="E27" s="82" t="s">
        <v>210</v>
      </c>
      <c r="F27" s="82" t="s">
        <v>104</v>
      </c>
      <c r="G27" s="82" t="s">
        <v>513</v>
      </c>
      <c r="H27" s="82" t="s">
        <v>505</v>
      </c>
    </row>
    <row r="28" spans="1:8" s="82" customFormat="1" ht="12.75">
      <c r="A28" s="82" t="s">
        <v>351</v>
      </c>
      <c r="B28" s="83">
        <v>6</v>
      </c>
      <c r="C28" s="82" t="s">
        <v>209</v>
      </c>
      <c r="D28" s="83">
        <v>6618</v>
      </c>
      <c r="E28" s="82" t="s">
        <v>210</v>
      </c>
      <c r="F28" s="82" t="s">
        <v>104</v>
      </c>
      <c r="G28" s="82" t="s">
        <v>513</v>
      </c>
      <c r="H28" s="82" t="s">
        <v>505</v>
      </c>
    </row>
    <row r="29" spans="1:8" s="82" customFormat="1" ht="12.75">
      <c r="A29" s="82" t="s">
        <v>351</v>
      </c>
      <c r="B29" s="83">
        <v>6</v>
      </c>
      <c r="C29" s="82" t="s">
        <v>209</v>
      </c>
      <c r="D29" s="83">
        <v>6620</v>
      </c>
      <c r="E29" s="82" t="s">
        <v>210</v>
      </c>
      <c r="F29" s="82" t="s">
        <v>104</v>
      </c>
      <c r="G29" s="82" t="s">
        <v>513</v>
      </c>
      <c r="H29" s="82" t="s">
        <v>505</v>
      </c>
    </row>
    <row r="30" spans="1:8" s="82" customFormat="1" ht="12.75">
      <c r="A30" s="82" t="s">
        <v>351</v>
      </c>
      <c r="B30" s="83">
        <v>6</v>
      </c>
      <c r="C30" s="82" t="s">
        <v>209</v>
      </c>
      <c r="D30" s="83">
        <v>6604</v>
      </c>
      <c r="E30" s="82" t="s">
        <v>210</v>
      </c>
      <c r="F30" s="82" t="s">
        <v>104</v>
      </c>
      <c r="G30" s="82" t="s">
        <v>513</v>
      </c>
      <c r="H30" s="82" t="s">
        <v>505</v>
      </c>
    </row>
    <row r="31" spans="1:8" s="82" customFormat="1" ht="12.75">
      <c r="A31" s="82" t="s">
        <v>351</v>
      </c>
      <c r="B31" s="83">
        <v>6</v>
      </c>
      <c r="C31" s="82" t="s">
        <v>209</v>
      </c>
      <c r="D31" s="83">
        <v>6608</v>
      </c>
      <c r="E31" s="82" t="s">
        <v>210</v>
      </c>
      <c r="F31" s="82" t="s">
        <v>104</v>
      </c>
      <c r="G31" s="82" t="s">
        <v>513</v>
      </c>
      <c r="H31" s="82" t="s">
        <v>505</v>
      </c>
    </row>
    <row r="32" spans="1:8" s="82" customFormat="1" ht="12.75">
      <c r="A32" s="82" t="s">
        <v>351</v>
      </c>
      <c r="B32" s="83">
        <v>5</v>
      </c>
      <c r="C32" s="82" t="s">
        <v>482</v>
      </c>
      <c r="D32" s="83" t="s">
        <v>483</v>
      </c>
      <c r="E32" s="82" t="s">
        <v>474</v>
      </c>
      <c r="F32" s="82" t="s">
        <v>56</v>
      </c>
      <c r="G32" s="82" t="s">
        <v>514</v>
      </c>
      <c r="H32" s="82" t="s">
        <v>488</v>
      </c>
    </row>
    <row r="33" spans="1:8" s="82" customFormat="1" ht="12.75">
      <c r="A33" s="82" t="s">
        <v>351</v>
      </c>
      <c r="B33" s="83">
        <v>6</v>
      </c>
      <c r="C33" s="82" t="s">
        <v>209</v>
      </c>
      <c r="D33" s="83">
        <v>6610</v>
      </c>
      <c r="E33" s="82" t="s">
        <v>210</v>
      </c>
      <c r="F33" s="82" t="s">
        <v>104</v>
      </c>
      <c r="G33" s="82" t="s">
        <v>513</v>
      </c>
      <c r="H33" s="82" t="s">
        <v>505</v>
      </c>
    </row>
    <row r="34" spans="1:8" s="82" customFormat="1" ht="12.75">
      <c r="A34" s="82" t="s">
        <v>351</v>
      </c>
      <c r="B34" s="83">
        <v>6</v>
      </c>
      <c r="C34" s="82" t="s">
        <v>209</v>
      </c>
      <c r="D34" s="83">
        <v>6612</v>
      </c>
      <c r="E34" s="82" t="s">
        <v>210</v>
      </c>
      <c r="F34" s="82" t="s">
        <v>104</v>
      </c>
      <c r="G34" s="82" t="s">
        <v>513</v>
      </c>
      <c r="H34" s="82" t="s">
        <v>505</v>
      </c>
    </row>
    <row r="35" spans="1:8" s="82" customFormat="1" ht="12.75">
      <c r="A35" s="82" t="s">
        <v>351</v>
      </c>
      <c r="B35" s="83">
        <v>6</v>
      </c>
      <c r="C35" s="82" t="s">
        <v>209</v>
      </c>
      <c r="D35" s="83">
        <v>6622</v>
      </c>
      <c r="E35" s="82" t="s">
        <v>210</v>
      </c>
      <c r="F35" s="82" t="s">
        <v>104</v>
      </c>
      <c r="G35" s="82" t="s">
        <v>513</v>
      </c>
      <c r="H35" s="82" t="s">
        <v>505</v>
      </c>
    </row>
    <row r="36" spans="1:8" s="82" customFormat="1" ht="12.75">
      <c r="A36" s="82" t="s">
        <v>351</v>
      </c>
      <c r="B36" s="83">
        <v>6</v>
      </c>
      <c r="C36" s="82" t="s">
        <v>209</v>
      </c>
      <c r="D36" s="83">
        <v>6624</v>
      </c>
      <c r="E36" s="82" t="s">
        <v>210</v>
      </c>
      <c r="F36" s="82" t="s">
        <v>104</v>
      </c>
      <c r="G36" s="82" t="s">
        <v>513</v>
      </c>
      <c r="H36" s="82" t="s">
        <v>505</v>
      </c>
    </row>
    <row r="37" spans="1:8" s="82" customFormat="1" ht="12.75">
      <c r="A37" s="82" t="s">
        <v>351</v>
      </c>
      <c r="B37" s="83">
        <v>6</v>
      </c>
      <c r="C37" s="82" t="s">
        <v>209</v>
      </c>
      <c r="D37" s="83">
        <v>6626</v>
      </c>
      <c r="E37" s="82" t="s">
        <v>210</v>
      </c>
      <c r="F37" s="82" t="s">
        <v>104</v>
      </c>
      <c r="G37" s="82" t="s">
        <v>513</v>
      </c>
      <c r="H37" s="82" t="s">
        <v>505</v>
      </c>
    </row>
    <row r="38" spans="1:8" s="82" customFormat="1" ht="12.75">
      <c r="A38" s="82" t="s">
        <v>351</v>
      </c>
      <c r="B38" s="83">
        <v>6</v>
      </c>
      <c r="C38" s="82" t="s">
        <v>209</v>
      </c>
      <c r="D38" s="83">
        <v>6627</v>
      </c>
      <c r="E38" s="82" t="s">
        <v>210</v>
      </c>
      <c r="F38" s="82" t="s">
        <v>104</v>
      </c>
      <c r="G38" s="82" t="s">
        <v>513</v>
      </c>
      <c r="H38" s="82" t="s">
        <v>505</v>
      </c>
    </row>
    <row r="39" spans="1:8" s="82" customFormat="1" ht="12.75">
      <c r="A39" s="82" t="s">
        <v>351</v>
      </c>
      <c r="B39" s="83">
        <v>6</v>
      </c>
      <c r="C39" s="82" t="s">
        <v>209</v>
      </c>
      <c r="D39" s="83">
        <v>6628</v>
      </c>
      <c r="E39" s="82" t="s">
        <v>210</v>
      </c>
      <c r="F39" s="82" t="s">
        <v>104</v>
      </c>
      <c r="G39" s="82" t="s">
        <v>513</v>
      </c>
      <c r="H39" s="82" t="s">
        <v>505</v>
      </c>
    </row>
    <row r="40" spans="1:8" s="82" customFormat="1" ht="12.75">
      <c r="A40" s="82" t="s">
        <v>351</v>
      </c>
      <c r="B40" s="83">
        <v>6</v>
      </c>
      <c r="C40" s="82" t="s">
        <v>209</v>
      </c>
      <c r="D40" s="83">
        <v>6629</v>
      </c>
      <c r="E40" s="82" t="s">
        <v>210</v>
      </c>
      <c r="F40" s="82" t="s">
        <v>104</v>
      </c>
      <c r="G40" s="82" t="s">
        <v>513</v>
      </c>
      <c r="H40" s="82" t="s">
        <v>505</v>
      </c>
    </row>
    <row r="41" spans="1:8" s="82" customFormat="1" ht="12.75">
      <c r="A41" s="82" t="s">
        <v>351</v>
      </c>
      <c r="B41" s="83">
        <v>6</v>
      </c>
      <c r="C41" s="82" t="s">
        <v>209</v>
      </c>
      <c r="D41" s="83">
        <v>6646</v>
      </c>
      <c r="E41" s="82" t="s">
        <v>210</v>
      </c>
      <c r="F41" s="82" t="s">
        <v>104</v>
      </c>
      <c r="G41" s="82" t="s">
        <v>513</v>
      </c>
      <c r="H41" s="82" t="s">
        <v>505</v>
      </c>
    </row>
    <row r="42" spans="1:8" s="82" customFormat="1" ht="12.75">
      <c r="A42" s="82" t="s">
        <v>351</v>
      </c>
      <c r="B42" s="83">
        <v>6</v>
      </c>
      <c r="C42" s="82" t="s">
        <v>209</v>
      </c>
      <c r="D42" s="83">
        <v>6648</v>
      </c>
      <c r="E42" s="82" t="s">
        <v>210</v>
      </c>
      <c r="F42" s="82" t="s">
        <v>104</v>
      </c>
      <c r="G42" s="82" t="s">
        <v>513</v>
      </c>
      <c r="H42" s="82" t="s">
        <v>505</v>
      </c>
    </row>
    <row r="43" spans="1:8" s="82" customFormat="1" ht="12.75">
      <c r="A43" s="82" t="s">
        <v>351</v>
      </c>
      <c r="B43" s="83">
        <v>6</v>
      </c>
      <c r="C43" s="82" t="s">
        <v>209</v>
      </c>
      <c r="D43" s="83">
        <v>6650</v>
      </c>
      <c r="E43" s="82" t="s">
        <v>210</v>
      </c>
      <c r="F43" s="82" t="s">
        <v>104</v>
      </c>
      <c r="G43" s="82" t="s">
        <v>513</v>
      </c>
      <c r="H43" s="82" t="s">
        <v>505</v>
      </c>
    </row>
    <row r="44" spans="1:8" s="82" customFormat="1" ht="12.75">
      <c r="A44" s="82" t="s">
        <v>351</v>
      </c>
      <c r="B44" s="83">
        <v>6</v>
      </c>
      <c r="C44" s="82" t="s">
        <v>209</v>
      </c>
      <c r="D44" s="83" t="s">
        <v>439</v>
      </c>
      <c r="E44" s="82" t="s">
        <v>210</v>
      </c>
      <c r="F44" s="82" t="s">
        <v>104</v>
      </c>
      <c r="G44" s="82" t="s">
        <v>513</v>
      </c>
      <c r="H44" s="82" t="s">
        <v>505</v>
      </c>
    </row>
    <row r="45" spans="1:8" s="82" customFormat="1" ht="12.75">
      <c r="A45" s="82" t="s">
        <v>351</v>
      </c>
      <c r="B45" s="83">
        <v>6</v>
      </c>
      <c r="C45" s="82" t="s">
        <v>209</v>
      </c>
      <c r="D45" s="83" t="s">
        <v>440</v>
      </c>
      <c r="E45" s="82" t="s">
        <v>210</v>
      </c>
      <c r="F45" s="82" t="s">
        <v>104</v>
      </c>
      <c r="G45" s="82" t="s">
        <v>513</v>
      </c>
      <c r="H45" s="82" t="s">
        <v>505</v>
      </c>
    </row>
    <row r="46" spans="1:8" s="82" customFormat="1" ht="12.75">
      <c r="A46" s="82" t="s">
        <v>351</v>
      </c>
      <c r="B46" s="83">
        <v>6</v>
      </c>
      <c r="C46" s="82" t="s">
        <v>209</v>
      </c>
      <c r="D46" s="83" t="s">
        <v>441</v>
      </c>
      <c r="E46" s="82" t="s">
        <v>210</v>
      </c>
      <c r="F46" s="82" t="s">
        <v>104</v>
      </c>
      <c r="G46" s="82" t="s">
        <v>513</v>
      </c>
      <c r="H46" s="82" t="s">
        <v>505</v>
      </c>
    </row>
    <row r="47" spans="1:8" s="82" customFormat="1" ht="12.75">
      <c r="A47" s="82" t="s">
        <v>351</v>
      </c>
      <c r="B47" s="83">
        <v>6</v>
      </c>
      <c r="C47" s="82" t="s">
        <v>209</v>
      </c>
      <c r="D47" s="83" t="s">
        <v>442</v>
      </c>
      <c r="E47" s="82" t="s">
        <v>210</v>
      </c>
      <c r="F47" s="82" t="s">
        <v>104</v>
      </c>
      <c r="G47" s="82" t="s">
        <v>513</v>
      </c>
      <c r="H47" s="82" t="s">
        <v>505</v>
      </c>
    </row>
    <row r="48" spans="1:8" s="82" customFormat="1" ht="12.75">
      <c r="A48" s="82" t="s">
        <v>351</v>
      </c>
      <c r="B48" s="83">
        <v>6</v>
      </c>
      <c r="C48" s="82" t="s">
        <v>209</v>
      </c>
      <c r="D48" s="83" t="s">
        <v>443</v>
      </c>
      <c r="E48" s="82" t="s">
        <v>210</v>
      </c>
      <c r="F48" s="82" t="s">
        <v>104</v>
      </c>
      <c r="G48" s="82" t="s">
        <v>513</v>
      </c>
      <c r="H48" s="82" t="s">
        <v>505</v>
      </c>
    </row>
    <row r="49" spans="1:8" s="82" customFormat="1" ht="12.75">
      <c r="A49" s="82" t="s">
        <v>351</v>
      </c>
      <c r="B49" s="83">
        <v>6</v>
      </c>
      <c r="C49" s="82" t="s">
        <v>209</v>
      </c>
      <c r="D49" s="83" t="s">
        <v>444</v>
      </c>
      <c r="E49" s="82" t="s">
        <v>210</v>
      </c>
      <c r="F49" s="82" t="s">
        <v>104</v>
      </c>
      <c r="G49" s="82" t="s">
        <v>513</v>
      </c>
      <c r="H49" s="82" t="s">
        <v>505</v>
      </c>
    </row>
    <row r="50" spans="1:8" s="82" customFormat="1" ht="12.75">
      <c r="A50" s="82" t="s">
        <v>351</v>
      </c>
      <c r="B50" s="83">
        <v>6</v>
      </c>
      <c r="C50" s="82" t="s">
        <v>209</v>
      </c>
      <c r="D50" s="83" t="s">
        <v>445</v>
      </c>
      <c r="E50" s="82" t="s">
        <v>210</v>
      </c>
      <c r="F50" s="82" t="s">
        <v>104</v>
      </c>
      <c r="G50" s="82" t="s">
        <v>513</v>
      </c>
      <c r="H50" s="82" t="s">
        <v>505</v>
      </c>
    </row>
    <row r="51" spans="1:8" s="82" customFormat="1" ht="12.75">
      <c r="A51" s="82" t="s">
        <v>351</v>
      </c>
      <c r="B51" s="83">
        <v>6</v>
      </c>
      <c r="C51" s="82" t="s">
        <v>209</v>
      </c>
      <c r="D51" s="83" t="s">
        <v>446</v>
      </c>
      <c r="E51" s="82" t="s">
        <v>210</v>
      </c>
      <c r="F51" s="82" t="s">
        <v>104</v>
      </c>
      <c r="G51" s="82" t="s">
        <v>513</v>
      </c>
      <c r="H51" s="82" t="s">
        <v>505</v>
      </c>
    </row>
    <row r="52" spans="1:8" s="82" customFormat="1" ht="12.75">
      <c r="A52" s="82" t="s">
        <v>351</v>
      </c>
      <c r="B52" s="83">
        <v>6</v>
      </c>
      <c r="C52" s="82" t="s">
        <v>209</v>
      </c>
      <c r="D52" s="83" t="s">
        <v>447</v>
      </c>
      <c r="E52" s="82" t="s">
        <v>210</v>
      </c>
      <c r="F52" s="82" t="s">
        <v>104</v>
      </c>
      <c r="G52" s="82" t="s">
        <v>513</v>
      </c>
      <c r="H52" s="82" t="s">
        <v>505</v>
      </c>
    </row>
    <row r="53" spans="1:8" s="82" customFormat="1" ht="12.75">
      <c r="A53" s="82" t="s">
        <v>351</v>
      </c>
      <c r="B53" s="83">
        <v>6</v>
      </c>
      <c r="C53" s="82" t="s">
        <v>209</v>
      </c>
      <c r="D53" s="83" t="s">
        <v>448</v>
      </c>
      <c r="E53" s="82" t="s">
        <v>210</v>
      </c>
      <c r="F53" s="82" t="s">
        <v>104</v>
      </c>
      <c r="G53" s="82" t="s">
        <v>513</v>
      </c>
      <c r="H53" s="82" t="s">
        <v>505</v>
      </c>
    </row>
    <row r="54" spans="1:8" s="82" customFormat="1" ht="12.75">
      <c r="A54" s="82" t="s">
        <v>351</v>
      </c>
      <c r="B54" s="83">
        <v>6</v>
      </c>
      <c r="C54" s="82" t="s">
        <v>209</v>
      </c>
      <c r="D54" s="83" t="s">
        <v>449</v>
      </c>
      <c r="E54" s="82" t="s">
        <v>210</v>
      </c>
      <c r="F54" s="82" t="s">
        <v>104</v>
      </c>
      <c r="G54" s="82" t="s">
        <v>513</v>
      </c>
      <c r="H54" s="82" t="s">
        <v>505</v>
      </c>
    </row>
    <row r="55" spans="1:8" s="82" customFormat="1" ht="12.75">
      <c r="A55" s="82" t="s">
        <v>351</v>
      </c>
      <c r="B55" s="83">
        <v>6</v>
      </c>
      <c r="C55" s="82" t="s">
        <v>209</v>
      </c>
      <c r="D55" s="83" t="s">
        <v>450</v>
      </c>
      <c r="E55" s="82" t="s">
        <v>210</v>
      </c>
      <c r="F55" s="82" t="s">
        <v>104</v>
      </c>
      <c r="G55" s="82" t="s">
        <v>513</v>
      </c>
      <c r="H55" s="82" t="s">
        <v>505</v>
      </c>
    </row>
    <row r="56" spans="1:8" s="82" customFormat="1" ht="12.75">
      <c r="A56" s="82" t="s">
        <v>351</v>
      </c>
      <c r="B56" s="83">
        <v>6</v>
      </c>
      <c r="C56" s="82" t="s">
        <v>209</v>
      </c>
      <c r="D56" s="83" t="s">
        <v>451</v>
      </c>
      <c r="E56" s="82" t="s">
        <v>210</v>
      </c>
      <c r="F56" s="82" t="s">
        <v>104</v>
      </c>
      <c r="G56" s="82" t="s">
        <v>513</v>
      </c>
      <c r="H56" s="82" t="s">
        <v>505</v>
      </c>
    </row>
    <row r="57" spans="1:8" s="82" customFormat="1" ht="12.75">
      <c r="A57" s="82" t="s">
        <v>351</v>
      </c>
      <c r="B57" s="83">
        <v>6</v>
      </c>
      <c r="C57" s="82" t="s">
        <v>209</v>
      </c>
      <c r="D57" s="83" t="s">
        <v>452</v>
      </c>
      <c r="E57" s="82" t="s">
        <v>210</v>
      </c>
      <c r="F57" s="82" t="s">
        <v>104</v>
      </c>
      <c r="G57" s="82" t="s">
        <v>513</v>
      </c>
      <c r="H57" s="82" t="s">
        <v>505</v>
      </c>
    </row>
    <row r="58" spans="1:8" s="82" customFormat="1" ht="12.75">
      <c r="A58" s="82" t="s">
        <v>351</v>
      </c>
      <c r="B58" s="83">
        <v>4</v>
      </c>
      <c r="C58" s="82" t="s">
        <v>432</v>
      </c>
      <c r="D58" s="83">
        <v>4640</v>
      </c>
      <c r="E58" s="82" t="s">
        <v>433</v>
      </c>
      <c r="F58" s="82" t="s">
        <v>104</v>
      </c>
      <c r="G58" s="82" t="s">
        <v>513</v>
      </c>
      <c r="H58" s="82" t="s">
        <v>511</v>
      </c>
    </row>
    <row r="59" spans="1:8" s="82" customFormat="1" ht="12.75">
      <c r="A59" s="82" t="s">
        <v>351</v>
      </c>
      <c r="B59" s="83">
        <v>4</v>
      </c>
      <c r="C59" s="82" t="s">
        <v>432</v>
      </c>
      <c r="D59" s="83">
        <v>4642</v>
      </c>
      <c r="E59" s="82" t="s">
        <v>433</v>
      </c>
      <c r="F59" s="82" t="s">
        <v>104</v>
      </c>
      <c r="G59" s="82" t="s">
        <v>513</v>
      </c>
      <c r="H59" s="82" t="s">
        <v>511</v>
      </c>
    </row>
    <row r="60" spans="1:8" s="82" customFormat="1" ht="12.75">
      <c r="A60" s="82" t="s">
        <v>351</v>
      </c>
      <c r="B60" s="83">
        <v>4</v>
      </c>
      <c r="C60" s="82" t="s">
        <v>432</v>
      </c>
      <c r="D60" s="83" t="s">
        <v>434</v>
      </c>
      <c r="E60" s="82" t="s">
        <v>435</v>
      </c>
      <c r="F60" s="82" t="s">
        <v>104</v>
      </c>
      <c r="G60" s="82" t="s">
        <v>513</v>
      </c>
      <c r="H60" s="82" t="s">
        <v>499</v>
      </c>
    </row>
    <row r="61" spans="1:8" s="82" customFormat="1" ht="12.75">
      <c r="A61" s="82" t="s">
        <v>351</v>
      </c>
      <c r="B61" s="83">
        <v>4</v>
      </c>
      <c r="C61" s="82" t="s">
        <v>432</v>
      </c>
      <c r="D61" s="83" t="s">
        <v>436</v>
      </c>
      <c r="E61" s="82" t="s">
        <v>435</v>
      </c>
      <c r="F61" s="82" t="s">
        <v>104</v>
      </c>
      <c r="G61" s="82" t="s">
        <v>513</v>
      </c>
      <c r="H61" s="82" t="s">
        <v>500</v>
      </c>
    </row>
    <row r="62" spans="1:8" s="82" customFormat="1" ht="12.75">
      <c r="A62" s="82" t="s">
        <v>351</v>
      </c>
      <c r="B62" s="83">
        <v>4</v>
      </c>
      <c r="C62" s="82" t="s">
        <v>432</v>
      </c>
      <c r="D62" s="83" t="s">
        <v>437</v>
      </c>
      <c r="E62" s="82" t="s">
        <v>435</v>
      </c>
      <c r="F62" s="82" t="s">
        <v>104</v>
      </c>
      <c r="G62" s="82" t="s">
        <v>513</v>
      </c>
      <c r="H62" s="82" t="s">
        <v>501</v>
      </c>
    </row>
    <row r="63" spans="1:8" s="82" customFormat="1" ht="12.75">
      <c r="A63" s="82" t="s">
        <v>351</v>
      </c>
      <c r="B63" s="83">
        <v>4</v>
      </c>
      <c r="C63" s="82" t="s">
        <v>432</v>
      </c>
      <c r="D63" s="83" t="s">
        <v>438</v>
      </c>
      <c r="E63" s="82" t="s">
        <v>435</v>
      </c>
      <c r="F63" s="82" t="s">
        <v>104</v>
      </c>
      <c r="G63" s="82" t="s">
        <v>513</v>
      </c>
      <c r="H63" s="82" t="s">
        <v>502</v>
      </c>
    </row>
    <row r="64" spans="1:8" s="82" customFormat="1" ht="12.75">
      <c r="A64" s="82" t="s">
        <v>351</v>
      </c>
      <c r="B64" s="83">
        <v>2</v>
      </c>
      <c r="C64" s="82" t="s">
        <v>108</v>
      </c>
      <c r="D64" s="83" t="s">
        <v>402</v>
      </c>
      <c r="E64" s="82" t="s">
        <v>403</v>
      </c>
      <c r="F64" s="82" t="s">
        <v>104</v>
      </c>
      <c r="G64" s="82" t="s">
        <v>513</v>
      </c>
      <c r="H64" s="82" t="s">
        <v>506</v>
      </c>
    </row>
    <row r="65" spans="1:8" s="82" customFormat="1" ht="12.75">
      <c r="A65" s="82" t="s">
        <v>351</v>
      </c>
      <c r="B65" s="83">
        <v>2</v>
      </c>
      <c r="C65" s="82" t="s">
        <v>108</v>
      </c>
      <c r="D65" s="83" t="s">
        <v>404</v>
      </c>
      <c r="E65" s="82" t="s">
        <v>405</v>
      </c>
      <c r="F65" s="82" t="s">
        <v>104</v>
      </c>
      <c r="G65" s="82" t="s">
        <v>513</v>
      </c>
      <c r="H65" s="82" t="s">
        <v>506</v>
      </c>
    </row>
    <row r="66" spans="1:8" s="82" customFormat="1" ht="12.75">
      <c r="A66" s="82" t="s">
        <v>351</v>
      </c>
      <c r="B66" s="83">
        <v>2</v>
      </c>
      <c r="C66" s="82" t="s">
        <v>108</v>
      </c>
      <c r="D66" s="83" t="s">
        <v>406</v>
      </c>
      <c r="E66" s="82" t="s">
        <v>407</v>
      </c>
      <c r="F66" s="82" t="s">
        <v>104</v>
      </c>
      <c r="G66" s="82" t="s">
        <v>513</v>
      </c>
      <c r="H66" s="82" t="s">
        <v>506</v>
      </c>
    </row>
    <row r="67" spans="1:8" s="82" customFormat="1" ht="12.75">
      <c r="A67" s="82" t="s">
        <v>351</v>
      </c>
      <c r="B67" s="83">
        <v>2</v>
      </c>
      <c r="C67" s="82" t="s">
        <v>108</v>
      </c>
      <c r="D67" s="83" t="s">
        <v>408</v>
      </c>
      <c r="E67" s="82" t="s">
        <v>409</v>
      </c>
      <c r="F67" s="82" t="s">
        <v>104</v>
      </c>
      <c r="G67" s="82" t="s">
        <v>513</v>
      </c>
      <c r="H67" s="82" t="s">
        <v>506</v>
      </c>
    </row>
    <row r="68" spans="1:8" s="82" customFormat="1" ht="12.75">
      <c r="A68" s="82" t="s">
        <v>351</v>
      </c>
      <c r="B68" s="83">
        <v>2</v>
      </c>
      <c r="C68" s="82" t="s">
        <v>108</v>
      </c>
      <c r="D68" s="83" t="s">
        <v>410</v>
      </c>
      <c r="E68" s="82" t="s">
        <v>411</v>
      </c>
      <c r="F68" s="82" t="s">
        <v>104</v>
      </c>
      <c r="G68" s="82" t="s">
        <v>513</v>
      </c>
      <c r="H68" s="82" t="s">
        <v>506</v>
      </c>
    </row>
    <row r="69" spans="1:8" s="82" customFormat="1" ht="12.75">
      <c r="A69" s="82" t="s">
        <v>351</v>
      </c>
      <c r="B69" s="83">
        <v>2</v>
      </c>
      <c r="C69" s="82" t="s">
        <v>108</v>
      </c>
      <c r="D69" s="83" t="s">
        <v>412</v>
      </c>
      <c r="E69" s="82" t="s">
        <v>413</v>
      </c>
      <c r="F69" s="82" t="s">
        <v>104</v>
      </c>
      <c r="G69" s="82" t="s">
        <v>513</v>
      </c>
      <c r="H69" s="82" t="s">
        <v>506</v>
      </c>
    </row>
    <row r="70" spans="1:8" s="82" customFormat="1" ht="12.75">
      <c r="A70" s="82" t="s">
        <v>351</v>
      </c>
      <c r="B70" s="83">
        <v>2</v>
      </c>
      <c r="C70" s="82" t="s">
        <v>108</v>
      </c>
      <c r="D70" s="83" t="s">
        <v>414</v>
      </c>
      <c r="E70" s="82" t="s">
        <v>415</v>
      </c>
      <c r="F70" s="82" t="s">
        <v>104</v>
      </c>
      <c r="G70" s="82" t="s">
        <v>513</v>
      </c>
      <c r="H70" s="82" t="s">
        <v>506</v>
      </c>
    </row>
    <row r="71" spans="1:8" s="82" customFormat="1" ht="12.75">
      <c r="A71" s="82" t="s">
        <v>351</v>
      </c>
      <c r="B71" s="83">
        <v>2</v>
      </c>
      <c r="C71" s="82" t="s">
        <v>108</v>
      </c>
      <c r="D71" s="83" t="s">
        <v>115</v>
      </c>
      <c r="E71" s="82" t="s">
        <v>116</v>
      </c>
      <c r="F71" s="82" t="s">
        <v>104</v>
      </c>
      <c r="G71" s="82" t="s">
        <v>513</v>
      </c>
      <c r="H71" s="82" t="s">
        <v>506</v>
      </c>
    </row>
    <row r="72" spans="1:8" s="82" customFormat="1" ht="12.75">
      <c r="A72" s="82" t="s">
        <v>351</v>
      </c>
      <c r="B72" s="83">
        <v>2</v>
      </c>
      <c r="C72" s="82" t="s">
        <v>118</v>
      </c>
      <c r="D72" s="83">
        <v>2642</v>
      </c>
      <c r="E72" s="82" t="s">
        <v>416</v>
      </c>
      <c r="F72" s="82" t="s">
        <v>104</v>
      </c>
      <c r="G72" s="82" t="s">
        <v>513</v>
      </c>
      <c r="H72" s="82" t="s">
        <v>498</v>
      </c>
    </row>
    <row r="73" spans="1:8" s="82" customFormat="1" ht="12.75">
      <c r="A73" s="82" t="s">
        <v>351</v>
      </c>
      <c r="B73" s="83">
        <v>2</v>
      </c>
      <c r="C73" s="82" t="s">
        <v>118</v>
      </c>
      <c r="D73" s="83">
        <v>2643</v>
      </c>
      <c r="E73" s="82" t="s">
        <v>417</v>
      </c>
      <c r="F73" s="82" t="s">
        <v>104</v>
      </c>
      <c r="G73" s="82" t="s">
        <v>513</v>
      </c>
      <c r="H73" s="82" t="s">
        <v>498</v>
      </c>
    </row>
    <row r="74" spans="1:8" s="82" customFormat="1" ht="12.75">
      <c r="A74" s="82" t="s">
        <v>351</v>
      </c>
      <c r="B74" s="83">
        <v>2</v>
      </c>
      <c r="C74" s="82" t="s">
        <v>118</v>
      </c>
      <c r="D74" s="83">
        <v>2644</v>
      </c>
      <c r="E74" s="82" t="s">
        <v>418</v>
      </c>
      <c r="F74" s="82" t="s">
        <v>104</v>
      </c>
      <c r="G74" s="82" t="s">
        <v>513</v>
      </c>
      <c r="H74" s="82" t="s">
        <v>498</v>
      </c>
    </row>
    <row r="75" spans="1:8" s="82" customFormat="1" ht="12.75">
      <c r="A75" s="82" t="s">
        <v>351</v>
      </c>
      <c r="B75" s="83">
        <v>2</v>
      </c>
      <c r="C75" s="82" t="s">
        <v>118</v>
      </c>
      <c r="D75" s="83">
        <v>2645</v>
      </c>
      <c r="E75" s="82" t="s">
        <v>419</v>
      </c>
      <c r="F75" s="82" t="s">
        <v>104</v>
      </c>
      <c r="G75" s="82" t="s">
        <v>513</v>
      </c>
      <c r="H75" s="82" t="s">
        <v>498</v>
      </c>
    </row>
    <row r="76" spans="1:8" s="82" customFormat="1" ht="12.75">
      <c r="A76" s="82" t="s">
        <v>351</v>
      </c>
      <c r="B76" s="83">
        <v>2</v>
      </c>
      <c r="C76" s="82" t="s">
        <v>118</v>
      </c>
      <c r="D76" s="83">
        <v>2645</v>
      </c>
      <c r="E76" s="82" t="s">
        <v>420</v>
      </c>
      <c r="F76" s="82" t="s">
        <v>104</v>
      </c>
      <c r="G76" s="82" t="s">
        <v>513</v>
      </c>
      <c r="H76" s="82" t="s">
        <v>498</v>
      </c>
    </row>
    <row r="77" spans="1:8" s="82" customFormat="1" ht="12.75">
      <c r="A77" s="82" t="s">
        <v>351</v>
      </c>
      <c r="B77" s="83">
        <v>2</v>
      </c>
      <c r="C77" s="82" t="s">
        <v>118</v>
      </c>
      <c r="D77" s="83">
        <v>2645</v>
      </c>
      <c r="E77" s="82" t="s">
        <v>421</v>
      </c>
      <c r="F77" s="82" t="s">
        <v>104</v>
      </c>
      <c r="G77" s="82" t="s">
        <v>513</v>
      </c>
      <c r="H77" s="82" t="s">
        <v>498</v>
      </c>
    </row>
    <row r="78" spans="1:8" s="82" customFormat="1" ht="12.75">
      <c r="A78" s="82" t="s">
        <v>351</v>
      </c>
      <c r="B78" s="83">
        <v>2</v>
      </c>
      <c r="C78" s="82" t="s">
        <v>118</v>
      </c>
      <c r="D78" s="83">
        <v>2645</v>
      </c>
      <c r="E78" s="82" t="s">
        <v>422</v>
      </c>
      <c r="F78" s="82" t="s">
        <v>104</v>
      </c>
      <c r="G78" s="82" t="s">
        <v>513</v>
      </c>
      <c r="H78" s="82" t="s">
        <v>498</v>
      </c>
    </row>
    <row r="79" spans="1:8" s="82" customFormat="1" ht="12.75">
      <c r="A79" s="82" t="s">
        <v>351</v>
      </c>
      <c r="B79" s="83">
        <v>2</v>
      </c>
      <c r="C79" s="82" t="s">
        <v>118</v>
      </c>
      <c r="D79" s="83">
        <v>2645</v>
      </c>
      <c r="E79" s="82" t="s">
        <v>423</v>
      </c>
      <c r="F79" s="82" t="s">
        <v>104</v>
      </c>
      <c r="G79" s="82" t="s">
        <v>513</v>
      </c>
      <c r="H79" s="82" t="s">
        <v>498</v>
      </c>
    </row>
    <row r="80" spans="1:8" s="82" customFormat="1" ht="12.75">
      <c r="A80" s="82" t="s">
        <v>351</v>
      </c>
      <c r="B80" s="83">
        <v>2</v>
      </c>
      <c r="C80" s="82" t="s">
        <v>118</v>
      </c>
      <c r="D80" s="83">
        <v>2645</v>
      </c>
      <c r="E80" s="82" t="s">
        <v>424</v>
      </c>
      <c r="F80" s="82" t="s">
        <v>104</v>
      </c>
      <c r="G80" s="82" t="s">
        <v>513</v>
      </c>
      <c r="H80" s="82" t="s">
        <v>498</v>
      </c>
    </row>
    <row r="81" spans="1:8" s="82" customFormat="1" ht="12.75">
      <c r="A81" s="82" t="s">
        <v>351</v>
      </c>
      <c r="B81" s="83">
        <v>2</v>
      </c>
      <c r="C81" s="82" t="s">
        <v>118</v>
      </c>
      <c r="D81" s="83">
        <v>2645</v>
      </c>
      <c r="E81" s="82" t="s">
        <v>425</v>
      </c>
      <c r="F81" s="82" t="s">
        <v>104</v>
      </c>
      <c r="G81" s="82" t="s">
        <v>513</v>
      </c>
      <c r="H81" s="82" t="s">
        <v>498</v>
      </c>
    </row>
    <row r="82" spans="1:8" s="82" customFormat="1" ht="12.75">
      <c r="A82" s="82" t="s">
        <v>351</v>
      </c>
      <c r="B82" s="83">
        <v>2</v>
      </c>
      <c r="C82" s="82" t="s">
        <v>118</v>
      </c>
      <c r="D82" s="83">
        <v>2645</v>
      </c>
      <c r="E82" s="82" t="s">
        <v>426</v>
      </c>
      <c r="F82" s="82" t="s">
        <v>104</v>
      </c>
      <c r="G82" s="82" t="s">
        <v>513</v>
      </c>
      <c r="H82" s="82" t="s">
        <v>498</v>
      </c>
    </row>
    <row r="83" spans="1:8" s="82" customFormat="1" ht="12.75">
      <c r="A83" s="82" t="s">
        <v>351</v>
      </c>
      <c r="B83" s="83">
        <v>2</v>
      </c>
      <c r="C83" s="82" t="s">
        <v>118</v>
      </c>
      <c r="D83" s="83">
        <v>2645</v>
      </c>
      <c r="E83" s="82" t="s">
        <v>427</v>
      </c>
      <c r="F83" s="82" t="s">
        <v>104</v>
      </c>
      <c r="G83" s="82" t="s">
        <v>513</v>
      </c>
      <c r="H83" s="82" t="s">
        <v>498</v>
      </c>
    </row>
    <row r="84" spans="1:8" s="82" customFormat="1" ht="12.75">
      <c r="A84" s="82" t="s">
        <v>351</v>
      </c>
      <c r="B84" s="83">
        <v>6</v>
      </c>
      <c r="C84" s="82" t="s">
        <v>209</v>
      </c>
      <c r="D84" s="83" t="s">
        <v>473</v>
      </c>
      <c r="E84" s="82" t="s">
        <v>474</v>
      </c>
      <c r="F84" s="82" t="s">
        <v>54</v>
      </c>
      <c r="G84" s="82" t="s">
        <v>514</v>
      </c>
    </row>
    <row r="85" spans="1:8" s="82" customFormat="1" ht="12.75">
      <c r="A85" s="82" t="s">
        <v>351</v>
      </c>
      <c r="B85" s="83">
        <v>2</v>
      </c>
      <c r="C85" s="82" t="s">
        <v>118</v>
      </c>
      <c r="D85" s="83">
        <v>2646</v>
      </c>
      <c r="E85" s="82" t="s">
        <v>428</v>
      </c>
      <c r="F85" s="82" t="s">
        <v>104</v>
      </c>
      <c r="G85" s="82" t="s">
        <v>513</v>
      </c>
      <c r="H85" s="82" t="s">
        <v>498</v>
      </c>
    </row>
    <row r="86" spans="1:8" s="82" customFormat="1" ht="12.75">
      <c r="A86" s="82" t="s">
        <v>351</v>
      </c>
      <c r="B86" s="83">
        <v>6</v>
      </c>
      <c r="C86" s="82" t="s">
        <v>209</v>
      </c>
      <c r="D86" s="83" t="s">
        <v>473</v>
      </c>
      <c r="E86" s="82" t="s">
        <v>474</v>
      </c>
      <c r="F86" s="82" t="s">
        <v>56</v>
      </c>
      <c r="G86" s="82" t="s">
        <v>514</v>
      </c>
    </row>
    <row r="87" spans="1:8" s="82" customFormat="1" ht="12.75">
      <c r="A87" s="82" t="s">
        <v>352</v>
      </c>
      <c r="B87" s="83">
        <v>4</v>
      </c>
      <c r="C87" s="82" t="s">
        <v>164</v>
      </c>
      <c r="D87" s="83" t="s">
        <v>165</v>
      </c>
      <c r="E87" s="82" t="s">
        <v>166</v>
      </c>
      <c r="F87" s="82" t="s">
        <v>54</v>
      </c>
      <c r="G87" s="82" t="s">
        <v>514</v>
      </c>
    </row>
    <row r="88" spans="1:8" s="82" customFormat="1" ht="12.75">
      <c r="A88" s="82" t="s">
        <v>352</v>
      </c>
      <c r="B88" s="83">
        <v>4</v>
      </c>
      <c r="C88" s="82" t="s">
        <v>164</v>
      </c>
      <c r="D88" s="83" t="s">
        <v>165</v>
      </c>
      <c r="E88" s="82" t="s">
        <v>166</v>
      </c>
      <c r="F88" s="82" t="s">
        <v>56</v>
      </c>
      <c r="G88" s="82" t="s">
        <v>514</v>
      </c>
    </row>
    <row r="89" spans="1:8" s="82" customFormat="1" ht="12.75">
      <c r="A89" s="82" t="s">
        <v>351</v>
      </c>
      <c r="B89" s="83">
        <v>2</v>
      </c>
      <c r="C89" s="82" t="s">
        <v>118</v>
      </c>
      <c r="D89" s="83">
        <v>2647</v>
      </c>
      <c r="E89" s="82" t="s">
        <v>429</v>
      </c>
      <c r="F89" s="82" t="s">
        <v>104</v>
      </c>
      <c r="G89" s="82" t="s">
        <v>513</v>
      </c>
      <c r="H89" s="82" t="s">
        <v>498</v>
      </c>
    </row>
    <row r="90" spans="1:8" s="82" customFormat="1" ht="12.75">
      <c r="A90" s="82" t="s">
        <v>352</v>
      </c>
      <c r="B90" s="83">
        <v>5</v>
      </c>
      <c r="C90" s="82" t="s">
        <v>395</v>
      </c>
      <c r="D90" s="83">
        <v>5551</v>
      </c>
      <c r="E90" s="82" t="s">
        <v>396</v>
      </c>
      <c r="F90" s="82" t="s">
        <v>104</v>
      </c>
      <c r="G90" s="82" t="s">
        <v>513</v>
      </c>
      <c r="H90" s="82" t="s">
        <v>516</v>
      </c>
    </row>
    <row r="91" spans="1:8" s="82" customFormat="1" ht="12.75">
      <c r="A91" s="82" t="s">
        <v>352</v>
      </c>
      <c r="B91" s="83">
        <v>5</v>
      </c>
      <c r="C91" s="82" t="s">
        <v>395</v>
      </c>
      <c r="D91" s="83">
        <v>5555</v>
      </c>
      <c r="E91" s="82" t="s">
        <v>397</v>
      </c>
      <c r="F91" s="82" t="s">
        <v>104</v>
      </c>
      <c r="G91" s="82" t="s">
        <v>513</v>
      </c>
      <c r="H91" s="82" t="s">
        <v>516</v>
      </c>
    </row>
    <row r="92" spans="1:8" s="82" customFormat="1" ht="12.75">
      <c r="A92" s="82" t="s">
        <v>352</v>
      </c>
      <c r="B92" s="83">
        <v>1</v>
      </c>
      <c r="C92" s="82" t="s">
        <v>195</v>
      </c>
      <c r="D92" s="83" t="s">
        <v>355</v>
      </c>
      <c r="E92" s="82" t="s">
        <v>356</v>
      </c>
      <c r="F92" s="82" t="s">
        <v>104</v>
      </c>
      <c r="G92" s="82" t="s">
        <v>513</v>
      </c>
      <c r="H92" s="82" t="s">
        <v>505</v>
      </c>
    </row>
    <row r="93" spans="1:8" s="82" customFormat="1" ht="12.75">
      <c r="A93" s="82" t="s">
        <v>352</v>
      </c>
      <c r="B93" s="83">
        <v>1</v>
      </c>
      <c r="C93" s="82" t="s">
        <v>195</v>
      </c>
      <c r="D93" s="83" t="s">
        <v>357</v>
      </c>
      <c r="E93" s="82" t="s">
        <v>358</v>
      </c>
      <c r="F93" s="82" t="s">
        <v>104</v>
      </c>
      <c r="G93" s="82" t="s">
        <v>513</v>
      </c>
      <c r="H93" s="82" t="s">
        <v>505</v>
      </c>
    </row>
    <row r="94" spans="1:8" s="82" customFormat="1" ht="12.75">
      <c r="A94" s="82" t="s">
        <v>352</v>
      </c>
      <c r="B94" s="83">
        <v>1</v>
      </c>
      <c r="C94" s="82" t="s">
        <v>195</v>
      </c>
      <c r="D94" s="83" t="s">
        <v>359</v>
      </c>
      <c r="E94" s="82" t="s">
        <v>360</v>
      </c>
      <c r="F94" s="82" t="s">
        <v>104</v>
      </c>
      <c r="G94" s="82" t="s">
        <v>513</v>
      </c>
      <c r="H94" s="82" t="s">
        <v>505</v>
      </c>
    </row>
    <row r="95" spans="1:8" s="82" customFormat="1" ht="12.75">
      <c r="A95" s="82" t="s">
        <v>352</v>
      </c>
      <c r="B95" s="83">
        <v>1</v>
      </c>
      <c r="C95" s="82" t="s">
        <v>195</v>
      </c>
      <c r="D95" s="83" t="s">
        <v>361</v>
      </c>
      <c r="E95" s="82" t="s">
        <v>362</v>
      </c>
      <c r="F95" s="82" t="s">
        <v>104</v>
      </c>
      <c r="G95" s="82" t="s">
        <v>513</v>
      </c>
      <c r="H95" s="82" t="s">
        <v>505</v>
      </c>
    </row>
    <row r="96" spans="1:8" s="82" customFormat="1" ht="12.75">
      <c r="A96" s="82" t="s">
        <v>352</v>
      </c>
      <c r="B96" s="83">
        <v>1</v>
      </c>
      <c r="C96" s="82" t="s">
        <v>195</v>
      </c>
      <c r="D96" s="83" t="s">
        <v>363</v>
      </c>
      <c r="E96" s="82" t="s">
        <v>364</v>
      </c>
      <c r="F96" s="82" t="s">
        <v>104</v>
      </c>
      <c r="G96" s="82" t="s">
        <v>513</v>
      </c>
      <c r="H96" s="82" t="s">
        <v>505</v>
      </c>
    </row>
    <row r="97" spans="1:8" s="82" customFormat="1" ht="12.75">
      <c r="A97" s="82" t="s">
        <v>352</v>
      </c>
      <c r="B97" s="83">
        <v>1</v>
      </c>
      <c r="C97" s="82" t="s">
        <v>195</v>
      </c>
      <c r="D97" s="83" t="s">
        <v>365</v>
      </c>
      <c r="E97" s="82" t="s">
        <v>366</v>
      </c>
      <c r="F97" s="82" t="s">
        <v>104</v>
      </c>
      <c r="G97" s="82" t="s">
        <v>513</v>
      </c>
      <c r="H97" s="82" t="s">
        <v>505</v>
      </c>
    </row>
    <row r="98" spans="1:8" s="82" customFormat="1" ht="12.75">
      <c r="A98" s="82" t="s">
        <v>352</v>
      </c>
      <c r="B98" s="83">
        <v>1</v>
      </c>
      <c r="C98" s="82" t="s">
        <v>195</v>
      </c>
      <c r="D98" s="83" t="s">
        <v>367</v>
      </c>
      <c r="E98" s="82" t="s">
        <v>368</v>
      </c>
      <c r="F98" s="82" t="s">
        <v>104</v>
      </c>
      <c r="G98" s="82" t="s">
        <v>513</v>
      </c>
      <c r="H98" s="82" t="s">
        <v>505</v>
      </c>
    </row>
    <row r="99" spans="1:8" s="82" customFormat="1" ht="12.75">
      <c r="A99" s="82" t="s">
        <v>352</v>
      </c>
      <c r="B99" s="83">
        <v>1</v>
      </c>
      <c r="C99" s="82" t="s">
        <v>195</v>
      </c>
      <c r="D99" s="83" t="s">
        <v>467</v>
      </c>
      <c r="E99" s="82" t="s">
        <v>468</v>
      </c>
      <c r="F99" s="82" t="s">
        <v>104</v>
      </c>
      <c r="G99" s="82" t="s">
        <v>513</v>
      </c>
      <c r="H99" s="82" t="s">
        <v>505</v>
      </c>
    </row>
    <row r="100" spans="1:8" s="82" customFormat="1" ht="12.75">
      <c r="A100" s="82" t="s">
        <v>352</v>
      </c>
      <c r="B100" s="83">
        <v>1</v>
      </c>
      <c r="C100" s="82" t="s">
        <v>195</v>
      </c>
      <c r="D100" s="83" t="s">
        <v>369</v>
      </c>
      <c r="E100" s="82" t="s">
        <v>370</v>
      </c>
      <c r="F100" s="82" t="s">
        <v>104</v>
      </c>
      <c r="G100" s="82" t="s">
        <v>513</v>
      </c>
      <c r="H100" s="82" t="s">
        <v>505</v>
      </c>
    </row>
    <row r="101" spans="1:8" s="82" customFormat="1" ht="12.75">
      <c r="A101" s="82" t="s">
        <v>352</v>
      </c>
      <c r="B101" s="83">
        <v>1</v>
      </c>
      <c r="C101" s="82" t="s">
        <v>195</v>
      </c>
      <c r="D101" s="83" t="s">
        <v>371</v>
      </c>
      <c r="E101" s="82" t="s">
        <v>372</v>
      </c>
      <c r="F101" s="82" t="s">
        <v>104</v>
      </c>
      <c r="G101" s="82" t="s">
        <v>513</v>
      </c>
      <c r="H101" s="82" t="s">
        <v>505</v>
      </c>
    </row>
    <row r="102" spans="1:8" s="82" customFormat="1" ht="12.75">
      <c r="A102" s="82" t="s">
        <v>352</v>
      </c>
      <c r="B102" s="83">
        <v>1</v>
      </c>
      <c r="C102" s="82" t="s">
        <v>195</v>
      </c>
      <c r="D102" s="83" t="s">
        <v>373</v>
      </c>
      <c r="E102" s="82" t="s">
        <v>374</v>
      </c>
      <c r="F102" s="82" t="s">
        <v>104</v>
      </c>
      <c r="G102" s="82" t="s">
        <v>513</v>
      </c>
      <c r="H102" s="82" t="s">
        <v>505</v>
      </c>
    </row>
    <row r="103" spans="1:8" s="82" customFormat="1" ht="12.75">
      <c r="A103" s="82" t="s">
        <v>352</v>
      </c>
      <c r="B103" s="83">
        <v>1</v>
      </c>
      <c r="C103" s="82" t="s">
        <v>195</v>
      </c>
      <c r="D103" s="83" t="s">
        <v>375</v>
      </c>
      <c r="E103" s="82" t="s">
        <v>376</v>
      </c>
      <c r="F103" s="82" t="s">
        <v>104</v>
      </c>
      <c r="G103" s="82" t="s">
        <v>513</v>
      </c>
      <c r="H103" s="82" t="s">
        <v>505</v>
      </c>
    </row>
    <row r="104" spans="1:8" s="82" customFormat="1" ht="12.75">
      <c r="A104" s="82" t="s">
        <v>352</v>
      </c>
      <c r="B104" s="83">
        <v>1</v>
      </c>
      <c r="C104" s="82" t="s">
        <v>195</v>
      </c>
      <c r="D104" s="83" t="s">
        <v>377</v>
      </c>
      <c r="E104" s="82" t="s">
        <v>378</v>
      </c>
      <c r="F104" s="82" t="s">
        <v>104</v>
      </c>
      <c r="G104" s="82" t="s">
        <v>513</v>
      </c>
      <c r="H104" s="82" t="s">
        <v>505</v>
      </c>
    </row>
    <row r="105" spans="1:8" s="82" customFormat="1" ht="12.75">
      <c r="A105" s="82" t="s">
        <v>352</v>
      </c>
      <c r="B105" s="83">
        <v>1</v>
      </c>
      <c r="C105" s="82" t="s">
        <v>195</v>
      </c>
      <c r="D105" s="83" t="s">
        <v>379</v>
      </c>
      <c r="E105" s="82" t="s">
        <v>380</v>
      </c>
      <c r="F105" s="82" t="s">
        <v>104</v>
      </c>
      <c r="G105" s="82" t="s">
        <v>513</v>
      </c>
      <c r="H105" s="82" t="s">
        <v>505</v>
      </c>
    </row>
    <row r="106" spans="1:8" s="82" customFormat="1" ht="12.75">
      <c r="A106" s="82" t="s">
        <v>352</v>
      </c>
      <c r="B106" s="83">
        <v>1</v>
      </c>
      <c r="C106" s="82" t="s">
        <v>195</v>
      </c>
      <c r="D106" s="83" t="s">
        <v>381</v>
      </c>
      <c r="E106" s="82" t="s">
        <v>382</v>
      </c>
      <c r="F106" s="82" t="s">
        <v>104</v>
      </c>
      <c r="G106" s="82" t="s">
        <v>513</v>
      </c>
      <c r="H106" s="82" t="s">
        <v>505</v>
      </c>
    </row>
    <row r="107" spans="1:8" s="82" customFormat="1" ht="12.75">
      <c r="A107" s="82" t="s">
        <v>352</v>
      </c>
      <c r="B107" s="83">
        <v>4</v>
      </c>
      <c r="C107" s="82" t="s">
        <v>164</v>
      </c>
      <c r="D107" s="83" t="s">
        <v>471</v>
      </c>
      <c r="E107" s="82" t="s">
        <v>472</v>
      </c>
      <c r="F107" s="82" t="s">
        <v>54</v>
      </c>
      <c r="G107" s="82" t="s">
        <v>514</v>
      </c>
    </row>
    <row r="108" spans="1:8" s="82" customFormat="1" ht="12.75">
      <c r="A108" s="82" t="s">
        <v>352</v>
      </c>
      <c r="B108" s="83">
        <v>4</v>
      </c>
      <c r="C108" s="82" t="s">
        <v>164</v>
      </c>
      <c r="D108" s="83" t="s">
        <v>471</v>
      </c>
      <c r="E108" s="82" t="s">
        <v>472</v>
      </c>
      <c r="F108" s="82" t="s">
        <v>56</v>
      </c>
      <c r="G108" s="82" t="s">
        <v>514</v>
      </c>
    </row>
    <row r="109" spans="1:8" s="82" customFormat="1" ht="12.75">
      <c r="A109" s="82" t="s">
        <v>352</v>
      </c>
      <c r="B109" s="83">
        <v>1</v>
      </c>
      <c r="C109" s="82" t="s">
        <v>198</v>
      </c>
      <c r="D109" s="83" t="s">
        <v>204</v>
      </c>
      <c r="E109" s="82" t="s">
        <v>205</v>
      </c>
      <c r="F109" s="82" t="s">
        <v>54</v>
      </c>
      <c r="G109" s="82" t="s">
        <v>514</v>
      </c>
    </row>
    <row r="110" spans="1:8" s="82" customFormat="1" ht="12.75">
      <c r="A110" s="82" t="s">
        <v>352</v>
      </c>
      <c r="B110" s="83">
        <v>1</v>
      </c>
      <c r="C110" s="82" t="s">
        <v>198</v>
      </c>
      <c r="D110" s="83" t="s">
        <v>204</v>
      </c>
      <c r="E110" s="82" t="s">
        <v>205</v>
      </c>
      <c r="F110" s="82" t="s">
        <v>56</v>
      </c>
      <c r="G110" s="82" t="s">
        <v>514</v>
      </c>
    </row>
    <row r="111" spans="1:8" s="82" customFormat="1" ht="12.75">
      <c r="A111" s="82" t="s">
        <v>352</v>
      </c>
      <c r="B111" s="83">
        <v>4</v>
      </c>
      <c r="C111" s="82" t="s">
        <v>164</v>
      </c>
      <c r="D111" s="83" t="s">
        <v>168</v>
      </c>
      <c r="E111" s="82" t="s">
        <v>169</v>
      </c>
      <c r="F111" s="82" t="s">
        <v>54</v>
      </c>
      <c r="G111" s="82" t="s">
        <v>514</v>
      </c>
    </row>
    <row r="112" spans="1:8" s="82" customFormat="1" ht="12.75">
      <c r="A112" s="82" t="s">
        <v>352</v>
      </c>
      <c r="B112" s="83">
        <v>4</v>
      </c>
      <c r="C112" s="82" t="s">
        <v>164</v>
      </c>
      <c r="D112" s="83" t="s">
        <v>168</v>
      </c>
      <c r="E112" s="82" t="s">
        <v>169</v>
      </c>
      <c r="F112" s="82" t="s">
        <v>56</v>
      </c>
      <c r="G112" s="82" t="s">
        <v>514</v>
      </c>
    </row>
    <row r="113" spans="1:8" s="82" customFormat="1" ht="12.75">
      <c r="A113" s="82" t="s">
        <v>353</v>
      </c>
      <c r="B113" s="83">
        <v>1</v>
      </c>
      <c r="C113" s="82" t="s">
        <v>189</v>
      </c>
      <c r="D113" s="83" t="s">
        <v>191</v>
      </c>
      <c r="E113" s="82" t="s">
        <v>192</v>
      </c>
      <c r="F113" s="82" t="s">
        <v>54</v>
      </c>
      <c r="G113" s="82" t="s">
        <v>514</v>
      </c>
    </row>
    <row r="114" spans="1:8" s="82" customFormat="1" ht="12.75">
      <c r="A114" s="82" t="s">
        <v>353</v>
      </c>
      <c r="B114" s="83">
        <v>1</v>
      </c>
      <c r="C114" s="82" t="s">
        <v>189</v>
      </c>
      <c r="D114" s="83" t="s">
        <v>191</v>
      </c>
      <c r="E114" s="82" t="s">
        <v>192</v>
      </c>
      <c r="F114" s="82" t="s">
        <v>56</v>
      </c>
      <c r="G114" s="82" t="s">
        <v>514</v>
      </c>
    </row>
    <row r="115" spans="1:8" s="82" customFormat="1" ht="12.75">
      <c r="A115" s="82" t="s">
        <v>353</v>
      </c>
      <c r="B115" s="83">
        <v>1</v>
      </c>
      <c r="C115" s="82" t="s">
        <v>189</v>
      </c>
      <c r="D115" s="83">
        <v>1390</v>
      </c>
      <c r="E115" s="82" t="s">
        <v>190</v>
      </c>
      <c r="F115" s="82" t="s">
        <v>54</v>
      </c>
      <c r="G115" s="82" t="s">
        <v>514</v>
      </c>
    </row>
    <row r="116" spans="1:8" s="82" customFormat="1" ht="12.75">
      <c r="A116" s="82" t="s">
        <v>352</v>
      </c>
      <c r="B116" s="83">
        <v>2</v>
      </c>
      <c r="C116" s="82" t="s">
        <v>484</v>
      </c>
      <c r="D116" s="83" t="s">
        <v>485</v>
      </c>
      <c r="E116" s="82" t="s">
        <v>486</v>
      </c>
      <c r="F116" s="82" t="s">
        <v>487</v>
      </c>
      <c r="G116" s="82" t="s">
        <v>515</v>
      </c>
    </row>
    <row r="117" spans="1:8" s="82" customFormat="1" ht="12.75">
      <c r="A117" s="82" t="s">
        <v>352</v>
      </c>
      <c r="B117" s="83">
        <v>1</v>
      </c>
      <c r="C117" s="82" t="s">
        <v>195</v>
      </c>
      <c r="D117" s="83" t="s">
        <v>383</v>
      </c>
      <c r="E117" s="82" t="s">
        <v>384</v>
      </c>
      <c r="F117" s="82" t="s">
        <v>104</v>
      </c>
      <c r="G117" s="82" t="s">
        <v>513</v>
      </c>
      <c r="H117" s="82" t="s">
        <v>505</v>
      </c>
    </row>
    <row r="118" spans="1:8" s="82" customFormat="1" ht="12.75">
      <c r="A118" s="82" t="s">
        <v>352</v>
      </c>
      <c r="B118" s="83">
        <v>1</v>
      </c>
      <c r="C118" s="82" t="s">
        <v>195</v>
      </c>
      <c r="D118" s="83" t="s">
        <v>385</v>
      </c>
      <c r="E118" s="82" t="s">
        <v>386</v>
      </c>
      <c r="F118" s="82" t="s">
        <v>104</v>
      </c>
      <c r="G118" s="82" t="s">
        <v>513</v>
      </c>
      <c r="H118" s="82" t="s">
        <v>505</v>
      </c>
    </row>
    <row r="119" spans="1:8" s="82" customFormat="1" ht="12.75">
      <c r="A119" s="82" t="s">
        <v>352</v>
      </c>
      <c r="B119" s="83">
        <v>1</v>
      </c>
      <c r="C119" s="82" t="s">
        <v>195</v>
      </c>
      <c r="D119" s="83" t="s">
        <v>387</v>
      </c>
      <c r="E119" s="82" t="s">
        <v>388</v>
      </c>
      <c r="F119" s="82" t="s">
        <v>104</v>
      </c>
      <c r="G119" s="82" t="s">
        <v>513</v>
      </c>
      <c r="H119" s="82" t="s">
        <v>505</v>
      </c>
    </row>
    <row r="120" spans="1:8" s="82" customFormat="1" ht="12.75">
      <c r="A120" s="82" t="s">
        <v>352</v>
      </c>
      <c r="B120" s="83">
        <v>1</v>
      </c>
      <c r="C120" s="82" t="s">
        <v>195</v>
      </c>
      <c r="D120" s="83" t="s">
        <v>469</v>
      </c>
      <c r="E120" s="82" t="s">
        <v>469</v>
      </c>
      <c r="F120" s="82" t="s">
        <v>104</v>
      </c>
      <c r="G120" s="82" t="s">
        <v>513</v>
      </c>
      <c r="H120" s="82" t="s">
        <v>505</v>
      </c>
    </row>
    <row r="121" spans="1:8" s="82" customFormat="1" ht="12.75">
      <c r="A121" s="82" t="s">
        <v>353</v>
      </c>
      <c r="B121" s="83">
        <v>1</v>
      </c>
      <c r="C121" s="82" t="s">
        <v>189</v>
      </c>
      <c r="D121" s="83">
        <v>1390</v>
      </c>
      <c r="E121" s="82" t="s">
        <v>190</v>
      </c>
      <c r="F121" s="82" t="s">
        <v>56</v>
      </c>
      <c r="G121" s="82" t="s">
        <v>514</v>
      </c>
    </row>
    <row r="122" spans="1:8" s="82" customFormat="1" ht="12.75">
      <c r="A122" s="82" t="s">
        <v>477</v>
      </c>
      <c r="B122" s="83">
        <v>1</v>
      </c>
      <c r="C122" s="82" t="s">
        <v>136</v>
      </c>
      <c r="D122" s="83" t="s">
        <v>478</v>
      </c>
      <c r="E122" s="82" t="s">
        <v>479</v>
      </c>
      <c r="F122" s="82" t="s">
        <v>56</v>
      </c>
      <c r="G122" s="82" t="s">
        <v>514</v>
      </c>
      <c r="H122" s="82" t="s">
        <v>507</v>
      </c>
    </row>
    <row r="123" spans="1:8" s="82" customFormat="1" ht="12.75">
      <c r="A123" s="82" t="s">
        <v>352</v>
      </c>
      <c r="B123" s="83">
        <v>1</v>
      </c>
      <c r="C123" s="82" t="s">
        <v>195</v>
      </c>
      <c r="D123" s="83" t="s">
        <v>470</v>
      </c>
      <c r="E123" s="82" t="s">
        <v>470</v>
      </c>
      <c r="F123" s="82" t="s">
        <v>104</v>
      </c>
      <c r="G123" s="82" t="s">
        <v>513</v>
      </c>
      <c r="H123" s="82" t="s">
        <v>505</v>
      </c>
    </row>
    <row r="124" spans="1:8" s="82" customFormat="1" ht="12.75">
      <c r="A124" s="82" t="s">
        <v>352</v>
      </c>
      <c r="B124" s="83">
        <v>5</v>
      </c>
      <c r="C124" s="82" t="s">
        <v>145</v>
      </c>
      <c r="D124" s="83">
        <v>5475</v>
      </c>
      <c r="E124" s="82" t="s">
        <v>163</v>
      </c>
      <c r="F124" s="82" t="s">
        <v>104</v>
      </c>
      <c r="G124" s="82" t="s">
        <v>513</v>
      </c>
      <c r="H124" s="82" t="s">
        <v>505</v>
      </c>
    </row>
    <row r="125" spans="1:8" s="82" customFormat="1" ht="12.75">
      <c r="A125" s="82" t="s">
        <v>352</v>
      </c>
      <c r="B125" s="83">
        <v>5</v>
      </c>
      <c r="C125" s="82" t="s">
        <v>145</v>
      </c>
      <c r="D125" s="83">
        <v>5467</v>
      </c>
      <c r="E125" s="82" t="s">
        <v>162</v>
      </c>
      <c r="F125" s="82" t="s">
        <v>104</v>
      </c>
      <c r="G125" s="82" t="s">
        <v>513</v>
      </c>
      <c r="H125" s="82" t="s">
        <v>505</v>
      </c>
    </row>
    <row r="126" spans="1:8" s="82" customFormat="1" ht="12.75">
      <c r="A126" s="82" t="s">
        <v>352</v>
      </c>
      <c r="B126" s="83">
        <v>5</v>
      </c>
      <c r="C126" s="82" t="s">
        <v>145</v>
      </c>
      <c r="D126" s="83">
        <v>5475</v>
      </c>
      <c r="E126" s="82" t="s">
        <v>146</v>
      </c>
      <c r="F126" s="82" t="s">
        <v>104</v>
      </c>
      <c r="G126" s="82" t="s">
        <v>513</v>
      </c>
      <c r="H126" s="82" t="s">
        <v>505</v>
      </c>
    </row>
    <row r="127" spans="1:8" s="82" customFormat="1" ht="12.75">
      <c r="A127" s="82" t="s">
        <v>351</v>
      </c>
      <c r="B127" s="83">
        <v>2</v>
      </c>
      <c r="C127" s="82" t="s">
        <v>108</v>
      </c>
      <c r="D127" s="83" t="s">
        <v>208</v>
      </c>
      <c r="E127" s="82" t="s">
        <v>155</v>
      </c>
      <c r="F127" s="82" t="s">
        <v>54</v>
      </c>
      <c r="G127" s="82" t="s">
        <v>514</v>
      </c>
    </row>
    <row r="128" spans="1:8" s="82" customFormat="1" ht="12.75">
      <c r="A128" s="82" t="s">
        <v>351</v>
      </c>
      <c r="B128" s="83">
        <v>2</v>
      </c>
      <c r="C128" s="82" t="s">
        <v>108</v>
      </c>
      <c r="D128" s="83" t="s">
        <v>208</v>
      </c>
      <c r="E128" s="82" t="s">
        <v>155</v>
      </c>
      <c r="F128" s="82" t="s">
        <v>56</v>
      </c>
      <c r="G128" s="82" t="s">
        <v>514</v>
      </c>
    </row>
    <row r="129" spans="1:8" s="82" customFormat="1" ht="12.75">
      <c r="A129" s="82" t="s">
        <v>352</v>
      </c>
      <c r="B129" s="83">
        <v>5</v>
      </c>
      <c r="C129" s="82" t="s">
        <v>145</v>
      </c>
      <c r="D129" s="83" t="s">
        <v>154</v>
      </c>
      <c r="E129" s="82" t="s">
        <v>155</v>
      </c>
      <c r="F129" s="82" t="s">
        <v>54</v>
      </c>
      <c r="G129" s="82" t="s">
        <v>514</v>
      </c>
    </row>
    <row r="130" spans="1:8" s="82" customFormat="1" ht="12.75">
      <c r="A130" s="82" t="s">
        <v>352</v>
      </c>
      <c r="B130" s="83">
        <v>5</v>
      </c>
      <c r="C130" s="82" t="s">
        <v>145</v>
      </c>
      <c r="D130" s="83" t="s">
        <v>154</v>
      </c>
      <c r="E130" s="82" t="s">
        <v>155</v>
      </c>
      <c r="F130" s="82" t="s">
        <v>56</v>
      </c>
      <c r="G130" s="82" t="s">
        <v>514</v>
      </c>
    </row>
    <row r="131" spans="1:8" s="82" customFormat="1" ht="12.75">
      <c r="A131" s="82" t="s">
        <v>351</v>
      </c>
      <c r="B131" s="83">
        <v>2</v>
      </c>
      <c r="C131" s="82" t="s">
        <v>118</v>
      </c>
      <c r="D131" s="83" t="s">
        <v>120</v>
      </c>
      <c r="E131" s="82" t="s">
        <v>121</v>
      </c>
      <c r="F131" s="82" t="s">
        <v>54</v>
      </c>
      <c r="G131" s="82" t="s">
        <v>514</v>
      </c>
    </row>
    <row r="132" spans="1:8" s="82" customFormat="1" ht="12.75">
      <c r="A132" s="82" t="s">
        <v>351</v>
      </c>
      <c r="B132" s="83">
        <v>2</v>
      </c>
      <c r="C132" s="82" t="s">
        <v>118</v>
      </c>
      <c r="D132" s="83" t="s">
        <v>120</v>
      </c>
      <c r="E132" s="82" t="s">
        <v>121</v>
      </c>
      <c r="F132" s="82" t="s">
        <v>56</v>
      </c>
      <c r="G132" s="82" t="s">
        <v>514</v>
      </c>
    </row>
    <row r="133" spans="1:8" s="82" customFormat="1" ht="12.75">
      <c r="A133" s="82" t="s">
        <v>351</v>
      </c>
      <c r="B133" s="83">
        <v>2</v>
      </c>
      <c r="C133" s="82" t="s">
        <v>118</v>
      </c>
      <c r="D133" s="83">
        <v>2645</v>
      </c>
      <c r="E133" s="82" t="s">
        <v>119</v>
      </c>
      <c r="F133" s="82" t="s">
        <v>56</v>
      </c>
      <c r="G133" s="82" t="s">
        <v>514</v>
      </c>
    </row>
    <row r="134" spans="1:8" s="82" customFormat="1" ht="12.75">
      <c r="A134" s="82" t="s">
        <v>351</v>
      </c>
      <c r="B134" s="83">
        <v>2</v>
      </c>
      <c r="C134" s="82" t="s">
        <v>118</v>
      </c>
      <c r="D134" s="83" t="s">
        <v>120</v>
      </c>
      <c r="E134" s="82" t="s">
        <v>119</v>
      </c>
      <c r="F134" s="82" t="s">
        <v>54</v>
      </c>
      <c r="G134" s="82" t="s">
        <v>514</v>
      </c>
    </row>
    <row r="135" spans="1:8" s="82" customFormat="1" ht="12.75">
      <c r="A135" s="82" t="s">
        <v>351</v>
      </c>
      <c r="B135" s="83">
        <v>4</v>
      </c>
      <c r="C135" s="82" t="s">
        <v>102</v>
      </c>
      <c r="D135" s="83" t="s">
        <v>480</v>
      </c>
      <c r="E135" s="82" t="s">
        <v>481</v>
      </c>
      <c r="F135" s="82" t="s">
        <v>56</v>
      </c>
      <c r="G135" s="82" t="s">
        <v>514</v>
      </c>
      <c r="H135" s="82" t="s">
        <v>508</v>
      </c>
    </row>
    <row r="136" spans="1:8" s="82" customFormat="1" ht="12.75">
      <c r="A136" s="82" t="s">
        <v>351</v>
      </c>
      <c r="B136" s="83">
        <v>1</v>
      </c>
      <c r="C136" s="82" t="s">
        <v>127</v>
      </c>
      <c r="D136" s="83" t="s">
        <v>475</v>
      </c>
      <c r="E136" s="82" t="s">
        <v>476</v>
      </c>
      <c r="F136" s="82" t="s">
        <v>56</v>
      </c>
      <c r="G136" s="82" t="s">
        <v>514</v>
      </c>
      <c r="H136" s="82" t="s">
        <v>509</v>
      </c>
    </row>
    <row r="137" spans="1:8" s="82" customFormat="1" ht="12.75">
      <c r="A137" s="82" t="s">
        <v>352</v>
      </c>
      <c r="B137" s="83">
        <v>4</v>
      </c>
      <c r="C137" s="82" t="s">
        <v>164</v>
      </c>
      <c r="D137" s="83" t="s">
        <v>167</v>
      </c>
      <c r="E137" s="82" t="s">
        <v>75</v>
      </c>
      <c r="F137" s="82" t="s">
        <v>54</v>
      </c>
      <c r="G137" s="82" t="s">
        <v>514</v>
      </c>
    </row>
    <row r="138" spans="1:8" s="82" customFormat="1" ht="12.75">
      <c r="A138" s="82" t="s">
        <v>352</v>
      </c>
      <c r="B138" s="83">
        <v>4</v>
      </c>
      <c r="C138" s="82" t="s">
        <v>164</v>
      </c>
      <c r="D138" s="83" t="s">
        <v>167</v>
      </c>
      <c r="E138" s="82" t="s">
        <v>75</v>
      </c>
      <c r="F138" s="82" t="s">
        <v>56</v>
      </c>
      <c r="G138" s="82" t="s">
        <v>514</v>
      </c>
    </row>
    <row r="139" spans="1:8" s="82" customFormat="1" ht="12.75">
      <c r="A139" s="82" t="s">
        <v>351</v>
      </c>
      <c r="B139" s="83">
        <v>2</v>
      </c>
      <c r="C139" s="82" t="s">
        <v>108</v>
      </c>
      <c r="D139" s="83" t="s">
        <v>109</v>
      </c>
      <c r="E139" s="82" t="s">
        <v>110</v>
      </c>
      <c r="F139" s="82" t="s">
        <v>54</v>
      </c>
      <c r="G139" s="82" t="s">
        <v>514</v>
      </c>
    </row>
    <row r="140" spans="1:8" s="82" customFormat="1" ht="12.75">
      <c r="A140" s="82" t="s">
        <v>351</v>
      </c>
      <c r="B140" s="83">
        <v>2</v>
      </c>
      <c r="C140" s="82" t="s">
        <v>108</v>
      </c>
      <c r="D140" s="83" t="s">
        <v>109</v>
      </c>
      <c r="E140" s="82" t="s">
        <v>110</v>
      </c>
      <c r="F140" s="82" t="s">
        <v>56</v>
      </c>
      <c r="G140" s="82" t="s">
        <v>514</v>
      </c>
    </row>
    <row r="141" spans="1:8" s="82" customFormat="1" ht="12.75">
      <c r="A141" s="82" t="s">
        <v>351</v>
      </c>
      <c r="B141" s="83">
        <v>2</v>
      </c>
      <c r="C141" s="82" t="s">
        <v>108</v>
      </c>
      <c r="D141" s="83" t="s">
        <v>113</v>
      </c>
      <c r="E141" s="82" t="s">
        <v>114</v>
      </c>
      <c r="F141" s="82" t="s">
        <v>54</v>
      </c>
      <c r="G141" s="82" t="s">
        <v>514</v>
      </c>
    </row>
    <row r="142" spans="1:8" s="82" customFormat="1" ht="12.75">
      <c r="A142" s="82" t="s">
        <v>351</v>
      </c>
      <c r="B142" s="83">
        <v>2</v>
      </c>
      <c r="C142" s="82" t="s">
        <v>108</v>
      </c>
      <c r="D142" s="83" t="s">
        <v>113</v>
      </c>
      <c r="E142" s="82" t="s">
        <v>114</v>
      </c>
      <c r="F142" s="82" t="s">
        <v>56</v>
      </c>
      <c r="G142" s="82" t="s">
        <v>514</v>
      </c>
    </row>
    <row r="143" spans="1:8" s="82" customFormat="1" ht="12.75">
      <c r="A143" s="82" t="s">
        <v>351</v>
      </c>
      <c r="B143" s="83">
        <v>1</v>
      </c>
      <c r="C143" s="82" t="s">
        <v>125</v>
      </c>
      <c r="D143" s="83" t="s">
        <v>126</v>
      </c>
      <c r="E143" s="82" t="s">
        <v>124</v>
      </c>
      <c r="F143" s="82" t="s">
        <v>54</v>
      </c>
      <c r="G143" s="82" t="s">
        <v>514</v>
      </c>
    </row>
    <row r="144" spans="1:8" s="82" customFormat="1" ht="12.75">
      <c r="A144" s="82" t="s">
        <v>351</v>
      </c>
      <c r="B144" s="83">
        <v>1</v>
      </c>
      <c r="C144" s="82" t="s">
        <v>125</v>
      </c>
      <c r="D144" s="83" t="s">
        <v>126</v>
      </c>
      <c r="E144" s="82" t="s">
        <v>124</v>
      </c>
      <c r="F144" s="82" t="s">
        <v>56</v>
      </c>
      <c r="G144" s="82" t="s">
        <v>514</v>
      </c>
    </row>
    <row r="145" spans="1:8" s="82" customFormat="1" ht="12.75">
      <c r="A145" s="82" t="s">
        <v>351</v>
      </c>
      <c r="B145" s="83">
        <v>1</v>
      </c>
      <c r="C145" s="82" t="s">
        <v>122</v>
      </c>
      <c r="D145" s="83" t="s">
        <v>123</v>
      </c>
      <c r="E145" s="82" t="s">
        <v>124</v>
      </c>
      <c r="F145" s="82" t="s">
        <v>54</v>
      </c>
      <c r="G145" s="82" t="s">
        <v>514</v>
      </c>
    </row>
    <row r="146" spans="1:8" s="82" customFormat="1" ht="12.75">
      <c r="A146" s="82" t="s">
        <v>352</v>
      </c>
      <c r="B146" s="83">
        <v>5</v>
      </c>
      <c r="C146" s="82" t="s">
        <v>145</v>
      </c>
      <c r="D146" s="83">
        <v>5475</v>
      </c>
      <c r="E146" s="82" t="s">
        <v>147</v>
      </c>
      <c r="F146" s="82" t="s">
        <v>104</v>
      </c>
      <c r="G146" s="82" t="s">
        <v>513</v>
      </c>
      <c r="H146" s="82" t="s">
        <v>505</v>
      </c>
    </row>
    <row r="147" spans="1:8" s="82" customFormat="1" ht="12.75">
      <c r="A147" s="82" t="s">
        <v>352</v>
      </c>
      <c r="B147" s="83">
        <v>5</v>
      </c>
      <c r="C147" s="82" t="s">
        <v>145</v>
      </c>
      <c r="D147" s="83">
        <v>5475</v>
      </c>
      <c r="E147" s="82" t="s">
        <v>148</v>
      </c>
      <c r="F147" s="82" t="s">
        <v>104</v>
      </c>
      <c r="G147" s="82" t="s">
        <v>513</v>
      </c>
      <c r="H147" s="82" t="s">
        <v>505</v>
      </c>
    </row>
    <row r="148" spans="1:8" s="82" customFormat="1" ht="12.75">
      <c r="A148" s="82" t="s">
        <v>352</v>
      </c>
      <c r="B148" s="83">
        <v>5</v>
      </c>
      <c r="C148" s="82" t="s">
        <v>145</v>
      </c>
      <c r="D148" s="83">
        <v>5475</v>
      </c>
      <c r="E148" s="82" t="s">
        <v>149</v>
      </c>
      <c r="F148" s="82" t="s">
        <v>104</v>
      </c>
      <c r="G148" s="82" t="s">
        <v>513</v>
      </c>
      <c r="H148" s="82" t="s">
        <v>505</v>
      </c>
    </row>
    <row r="149" spans="1:8" s="82" customFormat="1" ht="12.75">
      <c r="A149" s="82" t="s">
        <v>352</v>
      </c>
      <c r="B149" s="83">
        <v>5</v>
      </c>
      <c r="C149" s="82" t="s">
        <v>145</v>
      </c>
      <c r="D149" s="83">
        <v>5475</v>
      </c>
      <c r="E149" s="82" t="s">
        <v>150</v>
      </c>
      <c r="F149" s="82" t="s">
        <v>104</v>
      </c>
      <c r="G149" s="82" t="s">
        <v>513</v>
      </c>
      <c r="H149" s="82" t="s">
        <v>505</v>
      </c>
    </row>
    <row r="150" spans="1:8" s="82" customFormat="1" ht="12.75">
      <c r="A150" s="82" t="s">
        <v>351</v>
      </c>
      <c r="B150" s="83">
        <v>1</v>
      </c>
      <c r="C150" s="82" t="s">
        <v>122</v>
      </c>
      <c r="D150" s="83" t="s">
        <v>123</v>
      </c>
      <c r="E150" s="82" t="s">
        <v>124</v>
      </c>
      <c r="F150" s="82" t="s">
        <v>56</v>
      </c>
      <c r="G150" s="82" t="s">
        <v>514</v>
      </c>
    </row>
    <row r="151" spans="1:8" s="82" customFormat="1" ht="12.75">
      <c r="A151" s="82" t="s">
        <v>351</v>
      </c>
      <c r="B151" s="83">
        <v>7</v>
      </c>
      <c r="C151" s="82" t="s">
        <v>96</v>
      </c>
      <c r="D151" s="83" t="s">
        <v>97</v>
      </c>
      <c r="E151" s="82" t="s">
        <v>98</v>
      </c>
      <c r="F151" s="82" t="s">
        <v>56</v>
      </c>
      <c r="G151" s="82" t="s">
        <v>514</v>
      </c>
    </row>
    <row r="152" spans="1:8" s="82" customFormat="1" ht="12.75">
      <c r="A152" s="82" t="s">
        <v>351</v>
      </c>
      <c r="B152" s="83">
        <v>7</v>
      </c>
      <c r="C152" s="82" t="s">
        <v>96</v>
      </c>
      <c r="D152" s="83">
        <v>7681</v>
      </c>
      <c r="E152" s="82" t="s">
        <v>98</v>
      </c>
      <c r="F152" s="82" t="s">
        <v>54</v>
      </c>
      <c r="G152" s="82" t="s">
        <v>514</v>
      </c>
    </row>
    <row r="153" spans="1:8" s="82" customFormat="1" ht="12.75">
      <c r="A153" s="82" t="s">
        <v>352</v>
      </c>
      <c r="B153" s="83">
        <v>5</v>
      </c>
      <c r="C153" s="82" t="s">
        <v>145</v>
      </c>
      <c r="D153" s="83" t="s">
        <v>158</v>
      </c>
      <c r="E153" s="82" t="s">
        <v>159</v>
      </c>
      <c r="F153" s="82" t="s">
        <v>104</v>
      </c>
      <c r="G153" s="82" t="s">
        <v>513</v>
      </c>
      <c r="H153" s="82" t="s">
        <v>510</v>
      </c>
    </row>
    <row r="154" spans="1:8" s="82" customFormat="1" ht="12.75">
      <c r="A154" s="82" t="s">
        <v>352</v>
      </c>
      <c r="B154" s="83">
        <v>5</v>
      </c>
      <c r="C154" s="82" t="s">
        <v>145</v>
      </c>
      <c r="D154" s="83" t="s">
        <v>160</v>
      </c>
      <c r="E154" s="82" t="s">
        <v>161</v>
      </c>
      <c r="F154" s="82" t="s">
        <v>104</v>
      </c>
      <c r="G154" s="82" t="s">
        <v>513</v>
      </c>
      <c r="H154" s="82" t="s">
        <v>510</v>
      </c>
    </row>
    <row r="155" spans="1:8" s="82" customFormat="1" ht="12.75">
      <c r="A155" s="82" t="s">
        <v>352</v>
      </c>
      <c r="B155" s="83">
        <v>5</v>
      </c>
      <c r="C155" s="82" t="s">
        <v>145</v>
      </c>
      <c r="D155" s="83" t="s">
        <v>454</v>
      </c>
      <c r="E155" s="82" t="s">
        <v>455</v>
      </c>
      <c r="F155" s="82" t="s">
        <v>104</v>
      </c>
      <c r="G155" s="82" t="s">
        <v>513</v>
      </c>
      <c r="H155" s="82" t="s">
        <v>510</v>
      </c>
    </row>
    <row r="156" spans="1:8" s="82" customFormat="1" ht="12.75">
      <c r="A156" s="82" t="s">
        <v>352</v>
      </c>
      <c r="B156" s="83">
        <v>5</v>
      </c>
      <c r="C156" s="82" t="s">
        <v>145</v>
      </c>
      <c r="D156" s="83" t="s">
        <v>456</v>
      </c>
      <c r="E156" s="82" t="s">
        <v>457</v>
      </c>
      <c r="F156" s="82" t="s">
        <v>104</v>
      </c>
      <c r="G156" s="82" t="s">
        <v>513</v>
      </c>
      <c r="H156" s="82" t="s">
        <v>510</v>
      </c>
    </row>
    <row r="157" spans="1:8" s="82" customFormat="1" ht="12.75">
      <c r="A157" s="82" t="s">
        <v>352</v>
      </c>
      <c r="B157" s="83">
        <v>5</v>
      </c>
      <c r="C157" s="82" t="s">
        <v>145</v>
      </c>
      <c r="D157" s="83" t="s">
        <v>458</v>
      </c>
      <c r="E157" s="82" t="s">
        <v>459</v>
      </c>
      <c r="F157" s="82" t="s">
        <v>104</v>
      </c>
      <c r="G157" s="82" t="s">
        <v>513</v>
      </c>
      <c r="H157" s="82" t="s">
        <v>510</v>
      </c>
    </row>
    <row r="158" spans="1:8" s="82" customFormat="1" ht="12.75">
      <c r="A158" s="82" t="s">
        <v>351</v>
      </c>
      <c r="B158" s="83">
        <v>7</v>
      </c>
      <c r="C158" s="82" t="s">
        <v>99</v>
      </c>
      <c r="D158" s="83" t="s">
        <v>100</v>
      </c>
      <c r="E158" s="82" t="s">
        <v>101</v>
      </c>
      <c r="F158" s="82" t="s">
        <v>54</v>
      </c>
      <c r="G158" s="82" t="s">
        <v>514</v>
      </c>
    </row>
    <row r="159" spans="1:8" s="82" customFormat="1" ht="12.75">
      <c r="A159" s="82" t="s">
        <v>351</v>
      </c>
      <c r="B159" s="83">
        <v>7</v>
      </c>
      <c r="C159" s="82" t="s">
        <v>99</v>
      </c>
      <c r="D159" s="83" t="s">
        <v>100</v>
      </c>
      <c r="E159" s="82" t="s">
        <v>101</v>
      </c>
      <c r="F159" s="82" t="s">
        <v>56</v>
      </c>
      <c r="G159" s="82" t="s">
        <v>514</v>
      </c>
    </row>
    <row r="160" spans="1:8" s="82" customFormat="1" ht="12.75">
      <c r="A160" s="82" t="s">
        <v>352</v>
      </c>
      <c r="B160" s="83">
        <v>4</v>
      </c>
      <c r="C160" s="82" t="s">
        <v>164</v>
      </c>
      <c r="D160" s="83" t="s">
        <v>167</v>
      </c>
      <c r="E160" s="82" t="s">
        <v>170</v>
      </c>
      <c r="F160" s="82" t="s">
        <v>54</v>
      </c>
      <c r="G160" s="82" t="s">
        <v>514</v>
      </c>
    </row>
    <row r="161" spans="1:8" s="82" customFormat="1" ht="12.75">
      <c r="A161" s="82" t="s">
        <v>352</v>
      </c>
      <c r="B161" s="83">
        <v>3</v>
      </c>
      <c r="C161" s="82" t="s">
        <v>178</v>
      </c>
      <c r="D161" s="83">
        <v>3444</v>
      </c>
      <c r="E161" s="82" t="s">
        <v>179</v>
      </c>
      <c r="F161" s="82" t="s">
        <v>104</v>
      </c>
      <c r="G161" s="82" t="s">
        <v>513</v>
      </c>
      <c r="H161" s="82" t="s">
        <v>497</v>
      </c>
    </row>
    <row r="162" spans="1:8" s="82" customFormat="1" ht="12.75">
      <c r="A162" s="82" t="s">
        <v>352</v>
      </c>
      <c r="B162" s="83">
        <v>3</v>
      </c>
      <c r="C162" s="82" t="s">
        <v>178</v>
      </c>
      <c r="D162" s="83">
        <v>3444</v>
      </c>
      <c r="E162" s="82" t="s">
        <v>389</v>
      </c>
      <c r="F162" s="82" t="s">
        <v>104</v>
      </c>
      <c r="G162" s="82" t="s">
        <v>513</v>
      </c>
      <c r="H162" s="82" t="s">
        <v>499</v>
      </c>
    </row>
    <row r="163" spans="1:8" s="82" customFormat="1" ht="12.75">
      <c r="A163" s="82" t="s">
        <v>352</v>
      </c>
      <c r="B163" s="83">
        <v>3</v>
      </c>
      <c r="C163" s="82" t="s">
        <v>178</v>
      </c>
      <c r="D163" s="83">
        <v>3444</v>
      </c>
      <c r="E163" s="82" t="s">
        <v>390</v>
      </c>
      <c r="F163" s="82" t="s">
        <v>104</v>
      </c>
      <c r="G163" s="82" t="s">
        <v>513</v>
      </c>
      <c r="H163" s="82" t="s">
        <v>500</v>
      </c>
    </row>
    <row r="164" spans="1:8" s="82" customFormat="1" ht="12.75">
      <c r="A164" s="82" t="s">
        <v>352</v>
      </c>
      <c r="B164" s="83">
        <v>3</v>
      </c>
      <c r="C164" s="82" t="s">
        <v>178</v>
      </c>
      <c r="D164" s="83">
        <v>3444</v>
      </c>
      <c r="E164" s="82" t="s">
        <v>391</v>
      </c>
      <c r="F164" s="82" t="s">
        <v>104</v>
      </c>
      <c r="G164" s="82" t="s">
        <v>513</v>
      </c>
      <c r="H164" s="82" t="s">
        <v>501</v>
      </c>
    </row>
    <row r="165" spans="1:8" s="82" customFormat="1" ht="12.75">
      <c r="A165" s="82" t="s">
        <v>352</v>
      </c>
      <c r="B165" s="83">
        <v>3</v>
      </c>
      <c r="C165" s="82" t="s">
        <v>178</v>
      </c>
      <c r="D165" s="83">
        <v>3444</v>
      </c>
      <c r="E165" s="82" t="s">
        <v>392</v>
      </c>
      <c r="F165" s="82" t="s">
        <v>104</v>
      </c>
      <c r="G165" s="82" t="s">
        <v>513</v>
      </c>
      <c r="H165" s="82" t="s">
        <v>502</v>
      </c>
    </row>
    <row r="166" spans="1:8" s="82" customFormat="1" ht="12.75">
      <c r="A166" s="82" t="s">
        <v>352</v>
      </c>
      <c r="B166" s="83">
        <v>3</v>
      </c>
      <c r="C166" s="82" t="s">
        <v>178</v>
      </c>
      <c r="D166" s="83">
        <v>3444</v>
      </c>
      <c r="E166" s="82" t="s">
        <v>393</v>
      </c>
      <c r="F166" s="82" t="s">
        <v>104</v>
      </c>
      <c r="G166" s="82" t="s">
        <v>513</v>
      </c>
      <c r="H166" s="82" t="s">
        <v>503</v>
      </c>
    </row>
    <row r="167" spans="1:8" s="82" customFormat="1" ht="12.75">
      <c r="A167" s="82" t="s">
        <v>352</v>
      </c>
      <c r="B167" s="83">
        <v>3</v>
      </c>
      <c r="C167" s="82" t="s">
        <v>178</v>
      </c>
      <c r="D167" s="83">
        <v>3444</v>
      </c>
      <c r="E167" s="82" t="s">
        <v>394</v>
      </c>
      <c r="F167" s="82" t="s">
        <v>104</v>
      </c>
      <c r="G167" s="82" t="s">
        <v>513</v>
      </c>
      <c r="H167" s="82" t="s">
        <v>504</v>
      </c>
    </row>
    <row r="168" spans="1:8" s="82" customFormat="1" ht="12.75">
      <c r="A168" s="82" t="s">
        <v>352</v>
      </c>
      <c r="B168" s="83">
        <v>1</v>
      </c>
      <c r="C168" s="82" t="s">
        <v>201</v>
      </c>
      <c r="D168" s="83">
        <v>1538</v>
      </c>
      <c r="E168" s="82" t="s">
        <v>453</v>
      </c>
      <c r="F168" s="82" t="s">
        <v>104</v>
      </c>
      <c r="G168" s="82" t="s">
        <v>513</v>
      </c>
      <c r="H168" s="82" t="s">
        <v>496</v>
      </c>
    </row>
    <row r="169" spans="1:8" s="82" customFormat="1" ht="12.75">
      <c r="A169" s="82" t="s">
        <v>352</v>
      </c>
      <c r="B169" s="83">
        <v>1</v>
      </c>
      <c r="C169" s="82" t="s">
        <v>201</v>
      </c>
      <c r="D169" s="83" t="s">
        <v>202</v>
      </c>
      <c r="E169" s="82" t="s">
        <v>203</v>
      </c>
      <c r="F169" s="82" t="s">
        <v>104</v>
      </c>
      <c r="G169" s="82" t="s">
        <v>513</v>
      </c>
      <c r="H169" s="82" t="s">
        <v>512</v>
      </c>
    </row>
    <row r="170" spans="1:8" s="82" customFormat="1" ht="12.75">
      <c r="A170" s="82" t="s">
        <v>353</v>
      </c>
      <c r="B170" s="83">
        <v>1</v>
      </c>
      <c r="C170" s="82" t="s">
        <v>398</v>
      </c>
      <c r="D170" s="83">
        <v>1390</v>
      </c>
      <c r="E170" s="82" t="s">
        <v>399</v>
      </c>
      <c r="F170" s="82" t="s">
        <v>104</v>
      </c>
      <c r="G170" s="82" t="s">
        <v>513</v>
      </c>
      <c r="H170" s="82" t="s">
        <v>495</v>
      </c>
    </row>
    <row r="171" spans="1:8" s="82" customFormat="1" ht="12.75">
      <c r="A171" s="82" t="s">
        <v>354</v>
      </c>
      <c r="B171" s="83">
        <v>1</v>
      </c>
      <c r="C171" s="82" t="s">
        <v>460</v>
      </c>
      <c r="D171" s="83">
        <v>1249</v>
      </c>
      <c r="E171" s="82" t="s">
        <v>461</v>
      </c>
      <c r="F171" s="82" t="s">
        <v>104</v>
      </c>
      <c r="G171" s="82" t="s">
        <v>513</v>
      </c>
      <c r="H171" s="82" t="s">
        <v>489</v>
      </c>
    </row>
    <row r="172" spans="1:8" s="82" customFormat="1" ht="12.75">
      <c r="A172" s="82" t="s">
        <v>354</v>
      </c>
      <c r="B172" s="83">
        <v>1</v>
      </c>
      <c r="C172" s="82" t="s">
        <v>460</v>
      </c>
      <c r="D172" s="83">
        <v>1249</v>
      </c>
      <c r="E172" s="82" t="s">
        <v>462</v>
      </c>
      <c r="F172" s="82" t="s">
        <v>104</v>
      </c>
      <c r="G172" s="82" t="s">
        <v>513</v>
      </c>
      <c r="H172" s="82" t="s">
        <v>490</v>
      </c>
    </row>
    <row r="173" spans="1:8" s="82" customFormat="1" ht="12.75">
      <c r="A173" s="82" t="s">
        <v>354</v>
      </c>
      <c r="B173" s="83">
        <v>1</v>
      </c>
      <c r="C173" s="82" t="s">
        <v>460</v>
      </c>
      <c r="D173" s="83">
        <v>1249</v>
      </c>
      <c r="E173" s="82" t="s">
        <v>463</v>
      </c>
      <c r="F173" s="82" t="s">
        <v>104</v>
      </c>
      <c r="G173" s="82" t="s">
        <v>513</v>
      </c>
      <c r="H173" s="82" t="s">
        <v>491</v>
      </c>
    </row>
    <row r="174" spans="1:8" s="82" customFormat="1" ht="12.75">
      <c r="A174" s="82" t="s">
        <v>354</v>
      </c>
      <c r="B174" s="83">
        <v>1</v>
      </c>
      <c r="C174" s="82" t="s">
        <v>460</v>
      </c>
      <c r="D174" s="83">
        <v>1249</v>
      </c>
      <c r="E174" s="82" t="s">
        <v>464</v>
      </c>
      <c r="F174" s="82" t="s">
        <v>104</v>
      </c>
      <c r="G174" s="82" t="s">
        <v>513</v>
      </c>
      <c r="H174" s="82" t="s">
        <v>492</v>
      </c>
    </row>
    <row r="175" spans="1:8" s="82" customFormat="1" ht="12.75">
      <c r="A175" s="82" t="s">
        <v>352</v>
      </c>
      <c r="B175" s="83">
        <v>4</v>
      </c>
      <c r="C175" s="82" t="s">
        <v>164</v>
      </c>
      <c r="D175" s="83" t="s">
        <v>167</v>
      </c>
      <c r="E175" s="82" t="s">
        <v>170</v>
      </c>
      <c r="F175" s="82" t="s">
        <v>56</v>
      </c>
      <c r="G175" s="82" t="s">
        <v>514</v>
      </c>
    </row>
    <row r="176" spans="1:8" s="82" customFormat="1" ht="12.75">
      <c r="A176" s="82" t="s">
        <v>352</v>
      </c>
      <c r="B176" s="83">
        <v>1</v>
      </c>
      <c r="C176" s="82" t="s">
        <v>198</v>
      </c>
      <c r="D176" s="83" t="s">
        <v>206</v>
      </c>
      <c r="E176" s="82" t="s">
        <v>207</v>
      </c>
      <c r="F176" s="82" t="s">
        <v>54</v>
      </c>
      <c r="G176" s="82" t="s">
        <v>514</v>
      </c>
    </row>
    <row r="177" spans="1:8" s="82" customFormat="1" ht="12.75">
      <c r="A177" s="82" t="s">
        <v>352</v>
      </c>
      <c r="B177" s="83">
        <v>1</v>
      </c>
      <c r="C177" s="82" t="s">
        <v>198</v>
      </c>
      <c r="D177" s="83" t="s">
        <v>206</v>
      </c>
      <c r="E177" s="82" t="s">
        <v>207</v>
      </c>
      <c r="F177" s="82" t="s">
        <v>56</v>
      </c>
      <c r="G177" s="82" t="s">
        <v>514</v>
      </c>
    </row>
    <row r="178" spans="1:8" s="82" customFormat="1" ht="12.75">
      <c r="A178" s="82" t="s">
        <v>354</v>
      </c>
      <c r="B178" s="83">
        <v>1</v>
      </c>
      <c r="C178" s="82" t="s">
        <v>460</v>
      </c>
      <c r="D178" s="83">
        <v>1249</v>
      </c>
      <c r="E178" s="82" t="s">
        <v>465</v>
      </c>
      <c r="F178" s="82" t="s">
        <v>104</v>
      </c>
      <c r="G178" s="82" t="s">
        <v>513</v>
      </c>
      <c r="H178" s="82" t="s">
        <v>493</v>
      </c>
    </row>
    <row r="179" spans="1:8" s="82" customFormat="1" ht="12.75">
      <c r="A179" s="82" t="s">
        <v>354</v>
      </c>
      <c r="B179" s="83">
        <v>1</v>
      </c>
      <c r="C179" s="82" t="s">
        <v>460</v>
      </c>
      <c r="D179" s="83">
        <v>1249</v>
      </c>
      <c r="E179" s="82" t="s">
        <v>466</v>
      </c>
      <c r="F179" s="82" t="s">
        <v>104</v>
      </c>
      <c r="G179" s="82" t="s">
        <v>513</v>
      </c>
      <c r="H179" s="82" t="s">
        <v>494</v>
      </c>
    </row>
    <row r="180" spans="1:8" s="82" customFormat="1" ht="12.75">
      <c r="B180" s="83"/>
      <c r="D180" s="83"/>
    </row>
  </sheetData>
  <mergeCells count="2">
    <mergeCell ref="A2:E2"/>
    <mergeCell ref="F2:H2"/>
  </mergeCells>
  <dataValidations count="2">
    <dataValidation type="list" allowBlank="1" showInputMessage="1" sqref="G117:G179 G4:G115" xr:uid="{F57A49AC-5D3C-442E-A6D7-43C936833024}">
      <formula1>WallmountType</formula1>
    </dataValidation>
    <dataValidation allowBlank="1" showInputMessage="1" sqref="F4:F179 H4:H179" xr:uid="{27C37C53-8B15-48B3-9DA3-B1A56D61CBC8}"/>
  </dataValidations>
  <pageMargins left="0.7" right="0.7" top="0.75" bottom="0.75" header="0.3" footer="0.3"/>
  <pageSetup orientation="portrait" horizontalDpi="4294967293" r:id="rId1"/>
  <headerFooter>
    <oddHeader>&amp;L&amp;"Calibri"&amp;10&amp;K000000 Confidential - Oracle Restricted&amp;1#_x000D_</oddHeader>
    <oddFooter>&amp;L_x000D_&amp;1#&amp;"Calibri"&amp;10&amp;K000000 Confidential - Oracle Restricted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5D4162A55E5445A29B86F698E82D20" ma:contentTypeVersion="4" ma:contentTypeDescription="Create a new document." ma:contentTypeScope="" ma:versionID="2ccd1ff7806c76ab57c6caefc484c932">
  <xsd:schema xmlns:xsd="http://www.w3.org/2001/XMLSchema" xmlns:xs="http://www.w3.org/2001/XMLSchema" xmlns:p="http://schemas.microsoft.com/office/2006/metadata/properties" xmlns:ns2="44ca9a49-1ccb-49e0-a247-8d195f0151f2" targetNamespace="http://schemas.microsoft.com/office/2006/metadata/properties" ma:root="true" ma:fieldsID="cd27c64f97c6b07bf407c7f1b31c6b03" ns2:_="">
    <xsd:import namespace="44ca9a49-1ccb-49e0-a247-8d195f0151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ca9a49-1ccb-49e0-a247-8d195f0151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C7406B-D214-4D17-B1B8-4425DD349E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ca9a49-1ccb-49e0-a247-8d195f0151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C2EE99-26AF-41A9-BF15-E6ABFFD933E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603C376-478F-4662-B150-825243D5B7C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04CD2E7-155C-48C0-A34F-10AD6B5B4EA7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44ca9a49-1ccb-49e0-a247-8d195f0151f2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  <clbl:label id="{56665055-977f-4acd-9884-1bec8e5ad200}" enabled="1" method="Standard" siteId="{4e2c6054-71cb-48f1-bd6c-3a9705aca71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Overview</vt:lpstr>
      <vt:lpstr>DDPO</vt:lpstr>
      <vt:lpstr>Mounting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Owens</dc:creator>
  <cp:lastModifiedBy>Smedley, Barbra L. (VHACLE)</cp:lastModifiedBy>
  <cp:lastPrinted>2026-03-09T17:35:23Z</cp:lastPrinted>
  <dcterms:created xsi:type="dcterms:W3CDTF">2025-04-10T16:48:08Z</dcterms:created>
  <dcterms:modified xsi:type="dcterms:W3CDTF">2026-03-20T16:58:01Z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6665055-977f-4acd-9884-1bec8e5ad200_Enabled">
    <vt:lpwstr>true</vt:lpwstr>
  </property>
  <property fmtid="{D5CDD505-2E9C-101B-9397-08002B2CF9AE}" pid="3" name="MSIP_Label_56665055-977f-4acd-9884-1bec8e5ad200_SetDate">
    <vt:lpwstr>2025-04-10T18:50:26Z</vt:lpwstr>
  </property>
  <property fmtid="{D5CDD505-2E9C-101B-9397-08002B2CF9AE}" pid="4" name="MSIP_Label_56665055-977f-4acd-9884-1bec8e5ad200_Method">
    <vt:lpwstr>Standard</vt:lpwstr>
  </property>
  <property fmtid="{D5CDD505-2E9C-101B-9397-08002B2CF9AE}" pid="5" name="MSIP_Label_56665055-977f-4acd-9884-1bec8e5ad200_Name">
    <vt:lpwstr>Anyone ( Unrestricted )</vt:lpwstr>
  </property>
  <property fmtid="{D5CDD505-2E9C-101B-9397-08002B2CF9AE}" pid="6" name="MSIP_Label_56665055-977f-4acd-9884-1bec8e5ad200_SiteId">
    <vt:lpwstr>4e2c6054-71cb-48f1-bd6c-3a9705aca71b</vt:lpwstr>
  </property>
  <property fmtid="{D5CDD505-2E9C-101B-9397-08002B2CF9AE}" pid="7" name="MSIP_Label_56665055-977f-4acd-9884-1bec8e5ad200_ActionId">
    <vt:lpwstr>2e1e5a3f-a3cc-4b34-be33-6ac68c84222f</vt:lpwstr>
  </property>
  <property fmtid="{D5CDD505-2E9C-101B-9397-08002B2CF9AE}" pid="8" name="MSIP_Label_56665055-977f-4acd-9884-1bec8e5ad200_ContentBits">
    <vt:lpwstr>3</vt:lpwstr>
  </property>
  <property fmtid="{D5CDD505-2E9C-101B-9397-08002B2CF9AE}" pid="9" name="MSIP_Label_56665055-977f-4acd-9884-1bec8e5ad200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0x0101005E5D4162A55E5445A29B86F698E82D20</vt:lpwstr>
  </property>
  <property fmtid="{D5CDD505-2E9C-101B-9397-08002B2CF9AE}" pid="12" name="ComplianceAssetId">
    <vt:lpwstr/>
  </property>
  <property fmtid="{D5CDD505-2E9C-101B-9397-08002B2CF9AE}" pid="13" name="TriggerFlowInfo">
    <vt:lpwstr/>
  </property>
</Properties>
</file>