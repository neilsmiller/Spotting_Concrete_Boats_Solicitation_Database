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winston_o_franks_civ_army_mil/Documents/Desktop/"/>
    </mc:Choice>
  </mc:AlternateContent>
  <xr:revisionPtr revIDLastSave="100" documentId="8_{566D0890-824F-472D-A2F2-C739262E3AEC}" xr6:coauthVersionLast="47" xr6:coauthVersionMax="47" xr10:uidLastSave="{180DCCCC-F38B-4D29-9D9C-898100C8AC9F}"/>
  <bookViews>
    <workbookView xWindow="-120" yWindow="-16290" windowWidth="29040" windowHeight="15690" xr2:uid="{98CE7E27-8FC9-4CE6-8E18-C3FEC281E72E}"/>
  </bookViews>
  <sheets>
    <sheet name="Productive Hours" sheetId="1" r:id="rId1"/>
    <sheet name="WD Pricin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3" l="1"/>
  <c r="E14" i="3"/>
  <c r="I14" i="3" s="1"/>
  <c r="D15" i="3"/>
  <c r="E15" i="3"/>
  <c r="D16" i="3"/>
  <c r="E16" i="3"/>
  <c r="D17" i="3"/>
  <c r="E17" i="3"/>
  <c r="H17" i="3"/>
  <c r="I17" i="3"/>
  <c r="D18" i="3"/>
  <c r="E18" i="3"/>
  <c r="I18" i="3" s="1"/>
  <c r="D19" i="3"/>
  <c r="E19" i="3"/>
  <c r="F20" i="3"/>
  <c r="D23" i="3"/>
  <c r="D29" i="3" s="1"/>
  <c r="E23" i="3"/>
  <c r="E29" i="3" s="1"/>
  <c r="H23" i="3"/>
  <c r="O23" i="3" s="1"/>
  <c r="I23" i="3"/>
  <c r="J23" i="3"/>
  <c r="D24" i="3"/>
  <c r="E24" i="3"/>
  <c r="I24" i="3" s="1"/>
  <c r="H24" i="3"/>
  <c r="J24" i="3" s="1"/>
  <c r="D25" i="3"/>
  <c r="E25" i="3"/>
  <c r="H25" i="3" s="1"/>
  <c r="J25" i="3" s="1"/>
  <c r="D26" i="3"/>
  <c r="E26" i="3"/>
  <c r="H26" i="3"/>
  <c r="O26" i="3" s="1"/>
  <c r="I26" i="3"/>
  <c r="D27" i="3"/>
  <c r="E27" i="3"/>
  <c r="I27" i="3" s="1"/>
  <c r="H27" i="3"/>
  <c r="O27" i="3" s="1"/>
  <c r="D28" i="3"/>
  <c r="E28" i="3"/>
  <c r="H28" i="3" s="1"/>
  <c r="J28" i="3" s="1"/>
  <c r="F29" i="3"/>
  <c r="I25" i="3" l="1"/>
  <c r="F34" i="3"/>
  <c r="L6" i="3" s="1"/>
  <c r="H18" i="3"/>
  <c r="L18" i="3" s="1"/>
  <c r="J27" i="3"/>
  <c r="H14" i="3"/>
  <c r="J14" i="3" s="1"/>
  <c r="I28" i="3"/>
  <c r="I29" i="3"/>
  <c r="K24" i="3"/>
  <c r="O24" i="3"/>
  <c r="P24" i="3" s="1"/>
  <c r="Q24" i="3" s="1"/>
  <c r="R24" i="3" s="1"/>
  <c r="S24" i="3" s="1"/>
  <c r="K27" i="3"/>
  <c r="L24" i="3"/>
  <c r="J26" i="3"/>
  <c r="P27" i="3"/>
  <c r="Q27" i="3" s="1"/>
  <c r="R27" i="3" s="1"/>
  <c r="S27" i="3" s="1"/>
  <c r="T27" i="3" s="1"/>
  <c r="U27" i="3" s="1"/>
  <c r="L25" i="3"/>
  <c r="L27" i="3"/>
  <c r="K25" i="3"/>
  <c r="H19" i="3"/>
  <c r="I19" i="3"/>
  <c r="K19" i="3"/>
  <c r="J29" i="3"/>
  <c r="O28" i="3"/>
  <c r="J18" i="3"/>
  <c r="H16" i="3"/>
  <c r="K16" i="3" s="1"/>
  <c r="I16" i="3"/>
  <c r="E20" i="3"/>
  <c r="E34" i="3" s="1"/>
  <c r="E6" i="3" s="1"/>
  <c r="H15" i="3"/>
  <c r="K15" i="3" s="1"/>
  <c r="I15" i="3"/>
  <c r="D20" i="3"/>
  <c r="D34" i="3" s="1"/>
  <c r="K28" i="3"/>
  <c r="J17" i="3"/>
  <c r="K17" i="3"/>
  <c r="L17" i="3"/>
  <c r="O17" i="3"/>
  <c r="P17" i="3" s="1"/>
  <c r="Q17" i="3" s="1"/>
  <c r="H29" i="3"/>
  <c r="K26" i="3"/>
  <c r="P26" i="3" s="1"/>
  <c r="Q26" i="3" s="1"/>
  <c r="R26" i="3" s="1"/>
  <c r="S26" i="3" s="1"/>
  <c r="L26" i="3"/>
  <c r="K23" i="3"/>
  <c r="P23" i="3" s="1"/>
  <c r="L23" i="3"/>
  <c r="L28" i="3"/>
  <c r="O25" i="3"/>
  <c r="K14" i="3"/>
  <c r="O18" i="3" l="1"/>
  <c r="K18" i="3"/>
  <c r="O14" i="3"/>
  <c r="P14" i="3" s="1"/>
  <c r="L16" i="3"/>
  <c r="L14" i="3"/>
  <c r="P25" i="3"/>
  <c r="Q25" i="3" s="1"/>
  <c r="R25" i="3" s="1"/>
  <c r="S25" i="3" s="1"/>
  <c r="T25" i="3" s="1"/>
  <c r="U25" i="3" s="1"/>
  <c r="R17" i="3"/>
  <c r="S17" i="3"/>
  <c r="V27" i="3"/>
  <c r="W27" i="3"/>
  <c r="T26" i="3"/>
  <c r="U26" i="3"/>
  <c r="Q14" i="3"/>
  <c r="J16" i="3"/>
  <c r="O16" i="3"/>
  <c r="J19" i="3"/>
  <c r="L19" i="3"/>
  <c r="O19" i="3"/>
  <c r="P19" i="3" s="1"/>
  <c r="Q19" i="3" s="1"/>
  <c r="L29" i="3"/>
  <c r="K29" i="3"/>
  <c r="O29" i="3"/>
  <c r="Q23" i="3"/>
  <c r="T24" i="3"/>
  <c r="U24" i="3" s="1"/>
  <c r="I20" i="3"/>
  <c r="I34" i="3" s="1"/>
  <c r="O15" i="3"/>
  <c r="J15" i="3"/>
  <c r="J20" i="3" s="1"/>
  <c r="J34" i="3" s="1"/>
  <c r="H20" i="3"/>
  <c r="H34" i="3" s="1"/>
  <c r="P18" i="3"/>
  <c r="Q18" i="3" s="1"/>
  <c r="K20" i="3"/>
  <c r="L15" i="3"/>
  <c r="P28" i="3"/>
  <c r="Q28" i="3" s="1"/>
  <c r="R28" i="3" s="1"/>
  <c r="S28" i="3" s="1"/>
  <c r="P29" i="3" l="1"/>
  <c r="R19" i="3"/>
  <c r="S19" i="3" s="1"/>
  <c r="V25" i="3"/>
  <c r="W25" i="3" s="1"/>
  <c r="T17" i="3"/>
  <c r="U17" i="3" s="1"/>
  <c r="P16" i="3"/>
  <c r="Q16" i="3" s="1"/>
  <c r="R18" i="3"/>
  <c r="S18" i="3"/>
  <c r="V24" i="3"/>
  <c r="W24" i="3" s="1"/>
  <c r="V26" i="3"/>
  <c r="W26" i="3" s="1"/>
  <c r="Q29" i="3"/>
  <c r="R23" i="3"/>
  <c r="P15" i="3"/>
  <c r="O20" i="3"/>
  <c r="T28" i="3"/>
  <c r="U28" i="3"/>
  <c r="O31" i="3"/>
  <c r="O34" i="3" s="1"/>
  <c r="L20" i="3"/>
  <c r="L34" i="3" s="1"/>
  <c r="K34" i="3"/>
  <c r="R14" i="3"/>
  <c r="S14" i="3" s="1"/>
  <c r="T18" i="3" l="1"/>
  <c r="U18" i="3" s="1"/>
  <c r="R16" i="3"/>
  <c r="S16" i="3" s="1"/>
  <c r="P20" i="3"/>
  <c r="P31" i="3" s="1"/>
  <c r="P34" i="3" s="1"/>
  <c r="Q15" i="3"/>
  <c r="T14" i="3"/>
  <c r="U14" i="3" s="1"/>
  <c r="S23" i="3"/>
  <c r="R29" i="3"/>
  <c r="V28" i="3"/>
  <c r="W28" i="3" s="1"/>
  <c r="V17" i="3"/>
  <c r="W17" i="3" s="1"/>
  <c r="T19" i="3"/>
  <c r="U19" i="3" s="1"/>
  <c r="V14" i="3" l="1"/>
  <c r="W14" i="3" s="1"/>
  <c r="T23" i="3"/>
  <c r="T29" i="3" s="1"/>
  <c r="S29" i="3"/>
  <c r="V19" i="3"/>
  <c r="W19" i="3"/>
  <c r="R15" i="3"/>
  <c r="R20" i="3" s="1"/>
  <c r="R31" i="3" s="1"/>
  <c r="R34" i="3" s="1"/>
  <c r="Q20" i="3"/>
  <c r="Q31" i="3" s="1"/>
  <c r="Q34" i="3" s="1"/>
  <c r="V18" i="3"/>
  <c r="W18" i="3" s="1"/>
  <c r="T16" i="3"/>
  <c r="U16" i="3"/>
  <c r="U23" i="3" l="1"/>
  <c r="V23" i="3" s="1"/>
  <c r="V29" i="3" s="1"/>
  <c r="S15" i="3"/>
  <c r="T15" i="3" s="1"/>
  <c r="S20" i="3"/>
  <c r="S31" i="3" s="1"/>
  <c r="S34" i="3" s="1"/>
  <c r="V16" i="3"/>
  <c r="W16" i="3" s="1"/>
  <c r="U29" i="3" l="1"/>
  <c r="T20" i="3"/>
  <c r="T31" i="3" s="1"/>
  <c r="T34" i="3" s="1"/>
  <c r="U15" i="3"/>
  <c r="V15" i="3" s="1"/>
  <c r="V20" i="3" s="1"/>
  <c r="V31" i="3" s="1"/>
  <c r="V34" i="3" s="1"/>
  <c r="W23" i="3"/>
  <c r="W29" i="3" s="1"/>
  <c r="U20" i="3"/>
  <c r="U31" i="3" s="1"/>
  <c r="U34" i="3" s="1"/>
  <c r="W15" i="3" l="1"/>
  <c r="W20" i="3" s="1"/>
  <c r="W31" i="3" s="1"/>
  <c r="W34" i="3" s="1"/>
  <c r="K15" i="1" l="1"/>
  <c r="K14" i="1"/>
  <c r="K13" i="1"/>
  <c r="K12" i="1"/>
  <c r="K11" i="1"/>
  <c r="K10" i="1"/>
  <c r="K9" i="1"/>
  <c r="K8" i="1"/>
  <c r="K7" i="1"/>
  <c r="K6" i="1"/>
</calcChain>
</file>

<file path=xl/sharedStrings.xml><?xml version="1.0" encoding="utf-8"?>
<sst xmlns="http://schemas.openxmlformats.org/spreadsheetml/2006/main" count="98" uniqueCount="69">
  <si>
    <t>Technical Exhibit M - Wage Determination Pricing Sheet</t>
  </si>
  <si>
    <t>Year 1</t>
  </si>
  <si>
    <t>Year 2</t>
  </si>
  <si>
    <t>Year 3</t>
  </si>
  <si>
    <t>Year 4</t>
  </si>
  <si>
    <t>Year 5</t>
  </si>
  <si>
    <t>TOTAL</t>
  </si>
  <si>
    <t>NON-EXEMPT:</t>
  </si>
  <si>
    <t>WD Code</t>
  </si>
  <si>
    <t>WD Rates</t>
  </si>
  <si>
    <t>Productive Hours</t>
  </si>
  <si>
    <t>Labor Category #1</t>
  </si>
  <si>
    <t>Labor Category #2</t>
  </si>
  <si>
    <t>Labor Category #3</t>
  </si>
  <si>
    <t>Labor Category #4</t>
  </si>
  <si>
    <t>Labor Category #5</t>
  </si>
  <si>
    <t>Labor Category #6</t>
  </si>
  <si>
    <t>Labor Category #7</t>
  </si>
  <si>
    <t>Labor Category #8</t>
  </si>
  <si>
    <t>Labor Category #9</t>
  </si>
  <si>
    <t>Labor Category #10</t>
  </si>
  <si>
    <t>**Contractor will fill highlighted yellow area only**</t>
  </si>
  <si>
    <t>Year 7</t>
  </si>
  <si>
    <t>Year 6</t>
  </si>
  <si>
    <t>TOTAL LABOR</t>
  </si>
  <si>
    <t>TOTAL NON-EXEMPT</t>
  </si>
  <si>
    <t>FT</t>
  </si>
  <si>
    <t>NON-EXEMPT - WD</t>
  </si>
  <si>
    <t>TOTAL EXEMPT</t>
  </si>
  <si>
    <t>EXEMPT:</t>
  </si>
  <si>
    <t>PER $100</t>
  </si>
  <si>
    <t>WD &amp; EXEMPT</t>
  </si>
  <si>
    <t>COST</t>
  </si>
  <si>
    <t>BURDEN</t>
  </si>
  <si>
    <t>AMOUNT</t>
  </si>
  <si>
    <t>RATE</t>
  </si>
  <si>
    <t>CODE</t>
  </si>
  <si>
    <t>WAGES</t>
  </si>
  <si>
    <t>HOURS</t>
  </si>
  <si>
    <t>EMP.</t>
  </si>
  <si>
    <t>PT</t>
  </si>
  <si>
    <t>LABOR CATEGORY/ODC</t>
  </si>
  <si>
    <t>CLIN</t>
  </si>
  <si>
    <t>GRAND</t>
  </si>
  <si>
    <t>PROFIT</t>
  </si>
  <si>
    <t>G&amp;A</t>
  </si>
  <si>
    <t>OH</t>
  </si>
  <si>
    <t>SUBTOTAL</t>
  </si>
  <si>
    <t>FRINGE</t>
  </si>
  <si>
    <t>WC</t>
  </si>
  <si>
    <t>SUTA</t>
  </si>
  <si>
    <t>FUTA</t>
  </si>
  <si>
    <t>FICA</t>
  </si>
  <si>
    <t>H&amp;W</t>
  </si>
  <si>
    <t>SALARY</t>
  </si>
  <si>
    <t>PROD</t>
  </si>
  <si>
    <t>AVAIL</t>
  </si>
  <si>
    <t>NO.</t>
  </si>
  <si>
    <t>FT/</t>
  </si>
  <si>
    <t xml:space="preserve">     TOTAL </t>
  </si>
  <si>
    <t xml:space="preserve">   HOURLY</t>
  </si>
  <si>
    <t xml:space="preserve">     NET </t>
  </si>
  <si>
    <t>TOTAL PRODUCTIVE HOURS:</t>
  </si>
  <si>
    <t>TOTAL AVAILABLE HOURS:</t>
  </si>
  <si>
    <t>W91151-</t>
  </si>
  <si>
    <t>SOLICITATION NO.:</t>
  </si>
  <si>
    <t xml:space="preserve">TOTAL </t>
  </si>
  <si>
    <t xml:space="preserve">Technical Exhibit M - Wage Determination Pricing Sheet </t>
  </si>
  <si>
    <t>TOTAL 84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</si>
</sst>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00"/>
    <numFmt numFmtId="165" formatCode="_(&quot;$&quot;* #,##0_);_(&quot;$&quot;* \(#,##0\);_(&quot;$&quot;* &quot;-&quot;??_);_(@_)"/>
    <numFmt numFmtId="166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8"/>
      <color indexed="17"/>
      <name val="Arial"/>
      <family val="2"/>
    </font>
    <font>
      <b/>
      <sz val="36"/>
      <color rgb="FF000000"/>
      <name val="Times New Roman"/>
      <family val="1"/>
    </font>
    <font>
      <b/>
      <sz val="16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</cellStyleXfs>
  <cellXfs count="98">
    <xf numFmtId="0" fontId="0" fillId="0" borderId="0" xfId="0"/>
    <xf numFmtId="164" fontId="3" fillId="4" borderId="8" xfId="0" applyNumberFormat="1" applyFont="1" applyFill="1" applyBorder="1" applyAlignment="1" applyProtection="1">
      <alignment horizontal="left" vertical="top"/>
      <protection locked="0"/>
    </xf>
    <xf numFmtId="44" fontId="3" fillId="4" borderId="8" xfId="1" applyFont="1" applyFill="1" applyBorder="1" applyAlignment="1" applyProtection="1">
      <alignment vertical="top"/>
      <protection locked="0"/>
    </xf>
    <xf numFmtId="2" fontId="3" fillId="4" borderId="8" xfId="0" applyNumberFormat="1" applyFont="1" applyFill="1" applyBorder="1" applyAlignment="1" applyProtection="1">
      <alignment vertical="top"/>
      <protection locked="0"/>
    </xf>
    <xf numFmtId="2" fontId="3" fillId="4" borderId="8" xfId="0" applyNumberFormat="1" applyFont="1" applyFill="1" applyBorder="1" applyAlignment="1" applyProtection="1">
      <alignment horizontal="right" vertical="top"/>
      <protection locked="0"/>
    </xf>
    <xf numFmtId="2" fontId="3" fillId="4" borderId="8" xfId="0" applyNumberFormat="1" applyFont="1" applyFill="1" applyBorder="1" applyAlignment="1" applyProtection="1">
      <alignment horizontal="center" vertical="top"/>
      <protection locked="0"/>
    </xf>
    <xf numFmtId="44" fontId="3" fillId="4" borderId="8" xfId="1" applyFont="1" applyFill="1" applyBorder="1" applyAlignment="1" applyProtection="1">
      <alignment horizontal="left" vertical="top"/>
      <protection locked="0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vertical="top"/>
    </xf>
    <xf numFmtId="6" fontId="5" fillId="0" borderId="0" xfId="0" applyNumberFormat="1" applyFont="1" applyAlignment="1">
      <alignment horizontal="right" vertical="top"/>
    </xf>
    <xf numFmtId="0" fontId="8" fillId="0" borderId="0" xfId="2" applyFont="1"/>
    <xf numFmtId="165" fontId="8" fillId="0" borderId="0" xfId="3" applyNumberFormat="1" applyFont="1"/>
    <xf numFmtId="0" fontId="8" fillId="0" borderId="0" xfId="2" applyFont="1" applyAlignment="1">
      <alignment horizontal="center"/>
    </xf>
    <xf numFmtId="0" fontId="9" fillId="0" borderId="0" xfId="2" applyFont="1"/>
    <xf numFmtId="0" fontId="9" fillId="0" borderId="0" xfId="2" applyFont="1" applyAlignment="1">
      <alignment horizontal="center"/>
    </xf>
    <xf numFmtId="44" fontId="9" fillId="0" borderId="9" xfId="2" applyNumberFormat="1" applyFont="1" applyBorder="1"/>
    <xf numFmtId="165" fontId="9" fillId="0" borderId="9" xfId="2" applyNumberFormat="1" applyFont="1" applyBorder="1"/>
    <xf numFmtId="166" fontId="9" fillId="0" borderId="9" xfId="4" applyNumberFormat="1" applyFont="1" applyFill="1" applyBorder="1"/>
    <xf numFmtId="43" fontId="9" fillId="0" borderId="9" xfId="4" applyFont="1" applyFill="1" applyBorder="1"/>
    <xf numFmtId="44" fontId="9" fillId="0" borderId="5" xfId="2" applyNumberFormat="1" applyFont="1" applyBorder="1"/>
    <xf numFmtId="44" fontId="9" fillId="0" borderId="0" xfId="3" applyFont="1" applyFill="1" applyBorder="1"/>
    <xf numFmtId="44" fontId="9" fillId="0" borderId="0" xfId="2" applyNumberFormat="1" applyFont="1"/>
    <xf numFmtId="165" fontId="9" fillId="0" borderId="0" xfId="3" applyNumberFormat="1" applyFont="1" applyFill="1" applyBorder="1"/>
    <xf numFmtId="165" fontId="9" fillId="0" borderId="0" xfId="2" applyNumberFormat="1" applyFont="1"/>
    <xf numFmtId="166" fontId="9" fillId="0" borderId="0" xfId="4" applyNumberFormat="1" applyFont="1" applyFill="1" applyBorder="1" applyAlignment="1">
      <alignment horizontal="center"/>
    </xf>
    <xf numFmtId="43" fontId="9" fillId="0" borderId="0" xfId="4" applyFont="1" applyFill="1" applyBorder="1" applyAlignment="1">
      <alignment horizontal="center"/>
    </xf>
    <xf numFmtId="44" fontId="8" fillId="0" borderId="5" xfId="2" applyNumberFormat="1" applyFont="1" applyBorder="1"/>
    <xf numFmtId="44" fontId="8" fillId="0" borderId="0" xfId="3" applyFont="1" applyFill="1" applyBorder="1"/>
    <xf numFmtId="44" fontId="8" fillId="0" borderId="0" xfId="2" applyNumberFormat="1" applyFont="1"/>
    <xf numFmtId="0" fontId="8" fillId="0" borderId="0" xfId="5" applyFont="1" applyAlignment="1">
      <alignment horizontal="left" indent="1"/>
    </xf>
    <xf numFmtId="165" fontId="9" fillId="0" borderId="5" xfId="2" applyNumberFormat="1" applyFont="1" applyBorder="1"/>
    <xf numFmtId="44" fontId="8" fillId="4" borderId="10" xfId="3" applyFont="1" applyFill="1" applyBorder="1"/>
    <xf numFmtId="0" fontId="8" fillId="5" borderId="10" xfId="2" applyFont="1" applyFill="1" applyBorder="1"/>
    <xf numFmtId="44" fontId="8" fillId="5" borderId="10" xfId="3" applyFont="1" applyFill="1" applyBorder="1"/>
    <xf numFmtId="166" fontId="8" fillId="5" borderId="10" xfId="4" applyNumberFormat="1" applyFont="1" applyFill="1" applyBorder="1" applyAlignment="1">
      <alignment horizontal="center"/>
    </xf>
    <xf numFmtId="166" fontId="8" fillId="0" borderId="0" xfId="4" applyNumberFormat="1" applyFont="1" applyFill="1" applyBorder="1" applyAlignment="1">
      <alignment horizontal="center"/>
    </xf>
    <xf numFmtId="43" fontId="8" fillId="0" borderId="0" xfId="4" applyFont="1" applyFill="1" applyBorder="1" applyAlignment="1">
      <alignment horizontal="center"/>
    </xf>
    <xf numFmtId="44" fontId="8" fillId="4" borderId="10" xfId="6" applyFont="1" applyFill="1" applyBorder="1"/>
    <xf numFmtId="0" fontId="8" fillId="4" borderId="10" xfId="5" applyFont="1" applyFill="1" applyBorder="1"/>
    <xf numFmtId="44" fontId="8" fillId="0" borderId="0" xfId="2" applyNumberFormat="1" applyFont="1" applyAlignment="1">
      <alignment horizontal="center"/>
    </xf>
    <xf numFmtId="43" fontId="8" fillId="0" borderId="0" xfId="2" applyNumberFormat="1" applyFont="1" applyAlignment="1">
      <alignment horizontal="center"/>
    </xf>
    <xf numFmtId="166" fontId="8" fillId="4" borderId="10" xfId="4" applyNumberFormat="1" applyFont="1" applyFill="1" applyBorder="1" applyAlignment="1">
      <alignment horizontal="center"/>
    </xf>
    <xf numFmtId="0" fontId="8" fillId="0" borderId="5" xfId="2" applyFont="1" applyBorder="1"/>
    <xf numFmtId="165" fontId="8" fillId="0" borderId="0" xfId="3" applyNumberFormat="1" applyFont="1" applyFill="1" applyBorder="1"/>
    <xf numFmtId="0" fontId="9" fillId="0" borderId="3" xfId="2" applyFont="1" applyBorder="1" applyAlignment="1">
      <alignment horizontal="center"/>
    </xf>
    <xf numFmtId="0" fontId="9" fillId="0" borderId="2" xfId="2" applyFont="1" applyBorder="1" applyAlignment="1">
      <alignment horizontal="center"/>
    </xf>
    <xf numFmtId="165" fontId="9" fillId="0" borderId="2" xfId="3" applyNumberFormat="1" applyFont="1" applyFill="1" applyBorder="1" applyAlignment="1">
      <alignment horizontal="center"/>
    </xf>
    <xf numFmtId="0" fontId="9" fillId="0" borderId="5" xfId="2" applyFont="1" applyBorder="1" applyAlignment="1">
      <alignment horizontal="center"/>
    </xf>
    <xf numFmtId="165" fontId="9" fillId="0" borderId="0" xfId="3" applyNumberFormat="1" applyFont="1" applyFill="1" applyBorder="1" applyAlignment="1">
      <alignment horizontal="center"/>
    </xf>
    <xf numFmtId="3" fontId="9" fillId="4" borderId="11" xfId="2" applyNumberFormat="1" applyFont="1" applyFill="1" applyBorder="1" applyAlignment="1">
      <alignment horizontal="center"/>
    </xf>
    <xf numFmtId="165" fontId="9" fillId="0" borderId="2" xfId="3" applyNumberFormat="1" applyFont="1" applyBorder="1" applyAlignment="1">
      <alignment horizontal="center"/>
    </xf>
    <xf numFmtId="0" fontId="9" fillId="0" borderId="12" xfId="2" applyFont="1" applyBorder="1" applyAlignment="1">
      <alignment horizontal="center"/>
    </xf>
    <xf numFmtId="0" fontId="9" fillId="0" borderId="2" xfId="2" applyFont="1" applyBorder="1"/>
    <xf numFmtId="10" fontId="11" fillId="4" borderId="13" xfId="2" applyNumberFormat="1" applyFont="1" applyFill="1" applyBorder="1" applyAlignment="1">
      <alignment horizontal="center"/>
    </xf>
    <xf numFmtId="10" fontId="9" fillId="0" borderId="0" xfId="2" applyNumberFormat="1" applyFont="1" applyAlignment="1">
      <alignment horizontal="center"/>
    </xf>
    <xf numFmtId="44" fontId="9" fillId="4" borderId="14" xfId="3" applyFont="1" applyFill="1" applyBorder="1" applyAlignment="1">
      <alignment horizontal="center"/>
    </xf>
    <xf numFmtId="0" fontId="9" fillId="0" borderId="15" xfId="2" applyFont="1" applyBorder="1" applyAlignment="1">
      <alignment horizontal="center"/>
    </xf>
    <xf numFmtId="165" fontId="9" fillId="0" borderId="9" xfId="3" applyNumberFormat="1" applyFont="1" applyBorder="1" applyAlignment="1">
      <alignment horizontal="center"/>
    </xf>
    <xf numFmtId="0" fontId="9" fillId="0" borderId="9" xfId="2" applyFont="1" applyBorder="1" applyAlignment="1">
      <alignment horizontal="center"/>
    </xf>
    <xf numFmtId="165" fontId="9" fillId="0" borderId="0" xfId="3" applyNumberFormat="1" applyFont="1" applyAlignment="1">
      <alignment horizontal="center"/>
    </xf>
    <xf numFmtId="165" fontId="9" fillId="0" borderId="0" xfId="3" applyNumberFormat="1" applyFont="1"/>
    <xf numFmtId="10" fontId="11" fillId="0" borderId="0" xfId="2" applyNumberFormat="1" applyFont="1" applyAlignment="1">
      <alignment horizontal="center"/>
    </xf>
    <xf numFmtId="0" fontId="8" fillId="0" borderId="16" xfId="2" applyFont="1" applyBorder="1"/>
    <xf numFmtId="0" fontId="12" fillId="2" borderId="4" xfId="0" applyFont="1" applyFill="1" applyBorder="1" applyAlignment="1">
      <alignment horizontal="center" vertical="center" wrapText="1"/>
    </xf>
    <xf numFmtId="0" fontId="12" fillId="2" borderId="0" xfId="0" applyFont="1" applyFill="1" applyBorder="1" applyAlignment="1">
      <alignment horizontal="center" vertical="center" wrapText="1"/>
    </xf>
    <xf numFmtId="0" fontId="8" fillId="5" borderId="17" xfId="2" applyFont="1" applyFill="1" applyBorder="1" applyAlignment="1">
      <alignment horizontal="left" indent="1"/>
    </xf>
    <xf numFmtId="0" fontId="9" fillId="0" borderId="0" xfId="2" applyFont="1" applyBorder="1"/>
    <xf numFmtId="0" fontId="10" fillId="4" borderId="17" xfId="2" applyFont="1" applyFill="1" applyBorder="1" applyAlignment="1">
      <alignment horizontal="left" indent="1"/>
    </xf>
    <xf numFmtId="0" fontId="8" fillId="4" borderId="10" xfId="2" applyFont="1" applyFill="1" applyBorder="1"/>
    <xf numFmtId="0" fontId="8" fillId="0" borderId="0" xfId="2" applyFont="1" applyBorder="1"/>
    <xf numFmtId="0" fontId="9" fillId="0" borderId="9" xfId="2" applyFont="1" applyBorder="1"/>
    <xf numFmtId="0" fontId="9" fillId="3" borderId="10" xfId="2" applyFont="1" applyFill="1" applyBorder="1" applyAlignment="1">
      <alignment horizontal="center"/>
    </xf>
    <xf numFmtId="0" fontId="8" fillId="0" borderId="1" xfId="2" applyFont="1" applyBorder="1"/>
    <xf numFmtId="44" fontId="9" fillId="3" borderId="18" xfId="2" applyNumberFormat="1" applyFont="1" applyFill="1" applyBorder="1"/>
    <xf numFmtId="0" fontId="0" fillId="2" borderId="6" xfId="0" applyFill="1" applyBorder="1"/>
    <xf numFmtId="0" fontId="0" fillId="2" borderId="0" xfId="0" applyFill="1"/>
    <xf numFmtId="0" fontId="3" fillId="2" borderId="7" xfId="0" applyFont="1" applyFill="1" applyBorder="1" applyAlignment="1">
      <alignment vertical="top"/>
    </xf>
    <xf numFmtId="0" fontId="3" fillId="6" borderId="8" xfId="0" applyFont="1" applyFill="1" applyBorder="1" applyAlignment="1">
      <alignment horizontal="center" vertical="top" wrapText="1"/>
    </xf>
    <xf numFmtId="8" fontId="3" fillId="6" borderId="8" xfId="0" applyNumberFormat="1" applyFont="1" applyFill="1" applyBorder="1" applyAlignment="1">
      <alignment horizontal="right" vertical="top"/>
    </xf>
    <xf numFmtId="2" fontId="3" fillId="6" borderId="8" xfId="0" applyNumberFormat="1" applyFont="1" applyFill="1" applyBorder="1" applyAlignment="1">
      <alignment horizontal="right" vertical="top"/>
    </xf>
    <xf numFmtId="0" fontId="3" fillId="7" borderId="8" xfId="0" applyFont="1" applyFill="1" applyBorder="1" applyAlignment="1">
      <alignment horizontal="center" vertical="top" wrapText="1"/>
    </xf>
    <xf numFmtId="164" fontId="3" fillId="8" borderId="8" xfId="0" applyNumberFormat="1" applyFont="1" applyFill="1" applyBorder="1" applyAlignment="1">
      <alignment horizontal="left" vertical="top"/>
    </xf>
    <xf numFmtId="0" fontId="3" fillId="8" borderId="8" xfId="0" applyFont="1" applyFill="1" applyBorder="1" applyAlignment="1">
      <alignment vertical="top"/>
    </xf>
    <xf numFmtId="0" fontId="3" fillId="8" borderId="8" xfId="0" applyFont="1" applyFill="1" applyBorder="1" applyAlignment="1">
      <alignment horizontal="right" vertical="top"/>
    </xf>
    <xf numFmtId="0" fontId="3" fillId="8" borderId="8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center" vertical="top" wrapText="1"/>
    </xf>
    <xf numFmtId="0" fontId="13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6" fillId="4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left" vertical="center" wrapText="1"/>
    </xf>
    <xf numFmtId="0" fontId="8" fillId="5" borderId="10" xfId="2" applyFont="1" applyFill="1" applyBorder="1" applyAlignment="1">
      <alignment horizontal="center"/>
    </xf>
    <xf numFmtId="3" fontId="8" fillId="0" borderId="10" xfId="3" applyNumberFormat="1" applyFont="1" applyFill="1" applyBorder="1" applyAlignment="1">
      <alignment horizontal="center"/>
    </xf>
    <xf numFmtId="0" fontId="8" fillId="0" borderId="0" xfId="2" applyFont="1"/>
    <xf numFmtId="0" fontId="8" fillId="0" borderId="0" xfId="2" applyFont="1" applyAlignment="1">
      <alignment horizontal="center"/>
    </xf>
    <xf numFmtId="0" fontId="6" fillId="4" borderId="18" xfId="0" applyFont="1" applyFill="1" applyBorder="1" applyAlignment="1">
      <alignment horizontal="center"/>
    </xf>
  </cellXfs>
  <cellStyles count="7">
    <cellStyle name="Comma 2" xfId="4" xr:uid="{8590DE77-B584-4130-BA12-6EA197668E41}"/>
    <cellStyle name="Currency" xfId="1" builtinId="4"/>
    <cellStyle name="Currency 2" xfId="3" xr:uid="{B653FCA4-E216-4585-BF81-83A07B63B6E3}"/>
    <cellStyle name="Currency 2 2" xfId="6" xr:uid="{69A46CB7-0FA1-4609-9B1D-5B7CC26E9B12}"/>
    <cellStyle name="Normal" xfId="0" builtinId="0"/>
    <cellStyle name="Normal 2" xfId="2" xr:uid="{18535BF4-3738-4460-B89C-986A6D1A05DE}"/>
    <cellStyle name="Normal 2 2" xfId="5" xr:uid="{A94C283A-A5CB-4E8B-AD09-CF667C1374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3C4B-8582-4799-8FB7-FE2F20C4E4F8}">
  <dimension ref="A1:K17"/>
  <sheetViews>
    <sheetView tabSelected="1" workbookViewId="0">
      <selection activeCell="B5" sqref="B5"/>
    </sheetView>
  </sheetViews>
  <sheetFormatPr defaultRowHeight="14.4" x14ac:dyDescent="0.3"/>
  <cols>
    <col min="1" max="1" width="23.33203125" bestFit="1" customWidth="1"/>
    <col min="2" max="2" width="12.33203125" bestFit="1" customWidth="1"/>
    <col min="3" max="3" width="12.44140625" bestFit="1" customWidth="1"/>
    <col min="4" max="7" width="20.44140625" bestFit="1" customWidth="1"/>
    <col min="8" max="9" width="20.44140625" customWidth="1"/>
    <col min="10" max="11" width="20.44140625" bestFit="1" customWidth="1"/>
  </cols>
  <sheetData>
    <row r="1" spans="1:11" ht="23.4" customHeight="1" x14ac:dyDescent="0.3">
      <c r="A1" s="87" t="s">
        <v>67</v>
      </c>
      <c r="B1" s="88"/>
      <c r="C1" s="88"/>
      <c r="D1" s="88"/>
      <c r="E1" s="88"/>
      <c r="F1" s="88"/>
      <c r="G1" s="88"/>
      <c r="H1" s="88"/>
      <c r="I1" s="88"/>
      <c r="J1" s="88"/>
      <c r="K1" s="88"/>
    </row>
    <row r="2" spans="1:11" ht="17.399999999999999" customHeight="1" x14ac:dyDescent="0.3">
      <c r="A2" s="89" t="s">
        <v>68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1" ht="15" customHeight="1" thickBot="1" x14ac:dyDescent="0.35">
      <c r="A3" s="85"/>
      <c r="B3" s="86"/>
      <c r="C3" s="86"/>
      <c r="D3" s="86"/>
      <c r="E3" s="86"/>
      <c r="F3" s="86"/>
      <c r="G3" s="86"/>
      <c r="H3" s="86"/>
      <c r="I3" s="86"/>
      <c r="J3" s="86"/>
      <c r="K3" s="86"/>
    </row>
    <row r="4" spans="1:11" ht="18.600000000000001" thickBot="1" x14ac:dyDescent="0.35">
      <c r="A4" s="74"/>
      <c r="B4" s="75"/>
      <c r="C4" s="76"/>
      <c r="D4" s="80" t="s">
        <v>1</v>
      </c>
      <c r="E4" s="80" t="s">
        <v>2</v>
      </c>
      <c r="F4" s="80" t="s">
        <v>3</v>
      </c>
      <c r="G4" s="80" t="s">
        <v>4</v>
      </c>
      <c r="H4" s="80" t="s">
        <v>5</v>
      </c>
      <c r="I4" s="80" t="s">
        <v>23</v>
      </c>
      <c r="J4" s="80" t="s">
        <v>22</v>
      </c>
      <c r="K4" s="77" t="s">
        <v>6</v>
      </c>
    </row>
    <row r="5" spans="1:11" ht="18.600000000000001" thickBot="1" x14ac:dyDescent="0.35">
      <c r="A5" s="81" t="s">
        <v>7</v>
      </c>
      <c r="B5" s="82" t="s">
        <v>8</v>
      </c>
      <c r="C5" s="82" t="s">
        <v>9</v>
      </c>
      <c r="D5" s="82" t="s">
        <v>10</v>
      </c>
      <c r="E5" s="82" t="s">
        <v>10</v>
      </c>
      <c r="F5" s="83" t="s">
        <v>10</v>
      </c>
      <c r="G5" s="84" t="s">
        <v>10</v>
      </c>
      <c r="H5" s="84" t="s">
        <v>10</v>
      </c>
      <c r="I5" s="84" t="s">
        <v>10</v>
      </c>
      <c r="J5" s="84" t="s">
        <v>10</v>
      </c>
      <c r="K5" s="78" t="s">
        <v>10</v>
      </c>
    </row>
    <row r="6" spans="1:11" ht="18.600000000000001" thickBot="1" x14ac:dyDescent="0.35">
      <c r="A6" s="1" t="s">
        <v>11</v>
      </c>
      <c r="B6" s="1"/>
      <c r="C6" s="2">
        <v>0</v>
      </c>
      <c r="D6" s="3">
        <v>0</v>
      </c>
      <c r="E6" s="3">
        <v>0</v>
      </c>
      <c r="F6" s="4">
        <v>0</v>
      </c>
      <c r="G6" s="5">
        <v>0</v>
      </c>
      <c r="H6" s="5">
        <v>0</v>
      </c>
      <c r="I6" s="5">
        <v>0</v>
      </c>
      <c r="J6" s="4">
        <v>0</v>
      </c>
      <c r="K6" s="79">
        <f>SUM(D6:J6)</f>
        <v>0</v>
      </c>
    </row>
    <row r="7" spans="1:11" ht="18.600000000000001" thickBot="1" x14ac:dyDescent="0.35">
      <c r="A7" s="1" t="s">
        <v>12</v>
      </c>
      <c r="B7" s="1"/>
      <c r="C7" s="2">
        <v>0</v>
      </c>
      <c r="D7" s="3">
        <v>0</v>
      </c>
      <c r="E7" s="3">
        <v>0</v>
      </c>
      <c r="F7" s="4">
        <v>0</v>
      </c>
      <c r="G7" s="5">
        <v>0</v>
      </c>
      <c r="H7" s="5">
        <v>0</v>
      </c>
      <c r="I7" s="5">
        <v>0</v>
      </c>
      <c r="J7" s="4">
        <v>0</v>
      </c>
      <c r="K7" s="79">
        <f t="shared" ref="K7:K15" si="0">SUM(D7:J7)</f>
        <v>0</v>
      </c>
    </row>
    <row r="8" spans="1:11" ht="18.600000000000001" thickBot="1" x14ac:dyDescent="0.35">
      <c r="A8" s="1" t="s">
        <v>13</v>
      </c>
      <c r="B8" s="1"/>
      <c r="C8" s="2">
        <v>0</v>
      </c>
      <c r="D8" s="3">
        <v>0</v>
      </c>
      <c r="E8" s="3">
        <v>0</v>
      </c>
      <c r="F8" s="4">
        <v>0</v>
      </c>
      <c r="G8" s="5">
        <v>0</v>
      </c>
      <c r="H8" s="5">
        <v>0</v>
      </c>
      <c r="I8" s="5">
        <v>0</v>
      </c>
      <c r="J8" s="4">
        <v>0</v>
      </c>
      <c r="K8" s="79">
        <f t="shared" si="0"/>
        <v>0</v>
      </c>
    </row>
    <row r="9" spans="1:11" ht="18.600000000000001" thickBot="1" x14ac:dyDescent="0.35">
      <c r="A9" s="1" t="s">
        <v>14</v>
      </c>
      <c r="B9" s="1"/>
      <c r="C9" s="2">
        <v>0</v>
      </c>
      <c r="D9" s="3">
        <v>0</v>
      </c>
      <c r="E9" s="3">
        <v>0</v>
      </c>
      <c r="F9" s="4">
        <v>0</v>
      </c>
      <c r="G9" s="5">
        <v>0</v>
      </c>
      <c r="H9" s="5">
        <v>0</v>
      </c>
      <c r="I9" s="5">
        <v>0</v>
      </c>
      <c r="J9" s="4">
        <v>0</v>
      </c>
      <c r="K9" s="79">
        <f t="shared" si="0"/>
        <v>0</v>
      </c>
    </row>
    <row r="10" spans="1:11" ht="18.600000000000001" thickBot="1" x14ac:dyDescent="0.35">
      <c r="A10" s="1" t="s">
        <v>15</v>
      </c>
      <c r="B10" s="1"/>
      <c r="C10" s="2">
        <v>0</v>
      </c>
      <c r="D10" s="3">
        <v>0</v>
      </c>
      <c r="E10" s="3">
        <v>0</v>
      </c>
      <c r="F10" s="4">
        <v>0</v>
      </c>
      <c r="G10" s="5">
        <v>0</v>
      </c>
      <c r="H10" s="5">
        <v>0</v>
      </c>
      <c r="I10" s="5">
        <v>0</v>
      </c>
      <c r="J10" s="4">
        <v>0</v>
      </c>
      <c r="K10" s="79">
        <f t="shared" si="0"/>
        <v>0</v>
      </c>
    </row>
    <row r="11" spans="1:11" ht="18.600000000000001" thickBot="1" x14ac:dyDescent="0.35">
      <c r="A11" s="1" t="s">
        <v>16</v>
      </c>
      <c r="B11" s="1"/>
      <c r="C11" s="2">
        <v>0</v>
      </c>
      <c r="D11" s="3">
        <v>0</v>
      </c>
      <c r="E11" s="3">
        <v>0</v>
      </c>
      <c r="F11" s="4">
        <v>0</v>
      </c>
      <c r="G11" s="5">
        <v>0</v>
      </c>
      <c r="H11" s="5">
        <v>0</v>
      </c>
      <c r="I11" s="5">
        <v>0</v>
      </c>
      <c r="J11" s="4">
        <v>0</v>
      </c>
      <c r="K11" s="79">
        <f t="shared" si="0"/>
        <v>0</v>
      </c>
    </row>
    <row r="12" spans="1:11" ht="18.600000000000001" thickBot="1" x14ac:dyDescent="0.35">
      <c r="A12" s="1" t="s">
        <v>17</v>
      </c>
      <c r="B12" s="1"/>
      <c r="C12" s="2">
        <v>0</v>
      </c>
      <c r="D12" s="3">
        <v>0</v>
      </c>
      <c r="E12" s="3">
        <v>0</v>
      </c>
      <c r="F12" s="4">
        <v>0</v>
      </c>
      <c r="G12" s="5">
        <v>0</v>
      </c>
      <c r="H12" s="5">
        <v>0</v>
      </c>
      <c r="I12" s="5">
        <v>0</v>
      </c>
      <c r="J12" s="4">
        <v>0</v>
      </c>
      <c r="K12" s="79">
        <f t="shared" si="0"/>
        <v>0</v>
      </c>
    </row>
    <row r="13" spans="1:11" ht="18.600000000000001" thickBot="1" x14ac:dyDescent="0.35">
      <c r="A13" s="1" t="s">
        <v>18</v>
      </c>
      <c r="B13" s="1"/>
      <c r="C13" s="2">
        <v>0</v>
      </c>
      <c r="D13" s="3">
        <v>0</v>
      </c>
      <c r="E13" s="3">
        <v>0</v>
      </c>
      <c r="F13" s="4">
        <v>0</v>
      </c>
      <c r="G13" s="5">
        <v>0</v>
      </c>
      <c r="H13" s="5">
        <v>0</v>
      </c>
      <c r="I13" s="5">
        <v>0</v>
      </c>
      <c r="J13" s="4">
        <v>0</v>
      </c>
      <c r="K13" s="79">
        <f t="shared" si="0"/>
        <v>0</v>
      </c>
    </row>
    <row r="14" spans="1:11" ht="18.600000000000001" thickBot="1" x14ac:dyDescent="0.35">
      <c r="A14" s="1" t="s">
        <v>19</v>
      </c>
      <c r="B14" s="1"/>
      <c r="C14" s="2">
        <v>0</v>
      </c>
      <c r="D14" s="3">
        <v>0</v>
      </c>
      <c r="E14" s="3">
        <v>0</v>
      </c>
      <c r="F14" s="4">
        <v>0</v>
      </c>
      <c r="G14" s="5">
        <v>0</v>
      </c>
      <c r="H14" s="5">
        <v>0</v>
      </c>
      <c r="I14" s="5">
        <v>0</v>
      </c>
      <c r="J14" s="4">
        <v>0</v>
      </c>
      <c r="K14" s="79">
        <f t="shared" si="0"/>
        <v>0</v>
      </c>
    </row>
    <row r="15" spans="1:11" ht="18.600000000000001" thickBot="1" x14ac:dyDescent="0.35">
      <c r="A15" s="1" t="s">
        <v>20</v>
      </c>
      <c r="B15" s="1"/>
      <c r="C15" s="6">
        <v>0</v>
      </c>
      <c r="D15" s="3">
        <v>0</v>
      </c>
      <c r="E15" s="3">
        <v>0</v>
      </c>
      <c r="F15" s="4">
        <v>0</v>
      </c>
      <c r="G15" s="5">
        <v>0</v>
      </c>
      <c r="H15" s="5">
        <v>0</v>
      </c>
      <c r="I15" s="5">
        <v>0</v>
      </c>
      <c r="J15" s="4">
        <v>0</v>
      </c>
      <c r="K15" s="79">
        <f t="shared" si="0"/>
        <v>0</v>
      </c>
    </row>
    <row r="16" spans="1:11" x14ac:dyDescent="0.3">
      <c r="D16" s="7"/>
      <c r="E16" s="8"/>
      <c r="F16" s="8"/>
      <c r="G16" s="8"/>
      <c r="H16" s="8"/>
      <c r="I16" s="8"/>
      <c r="J16" s="8"/>
      <c r="K16" s="9"/>
    </row>
    <row r="17" spans="1:11" ht="15.6" x14ac:dyDescent="0.3">
      <c r="A17" s="91" t="s">
        <v>21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</row>
  </sheetData>
  <mergeCells count="3">
    <mergeCell ref="A1:K1"/>
    <mergeCell ref="A2:K2"/>
    <mergeCell ref="A17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C7A4-C57E-4E89-B377-81E6F305CFE5}">
  <sheetPr>
    <pageSetUpPr fitToPage="1"/>
  </sheetPr>
  <dimension ref="A1:AA235"/>
  <sheetViews>
    <sheetView zoomScaleNormal="100" zoomScaleSheetLayoutView="100" workbookViewId="0">
      <selection activeCell="A14" sqref="A14"/>
    </sheetView>
  </sheetViews>
  <sheetFormatPr defaultColWidth="9.109375" defaultRowHeight="10.199999999999999" x14ac:dyDescent="0.2"/>
  <cols>
    <col min="1" max="1" width="14.33203125" style="10" customWidth="1"/>
    <col min="2" max="2" width="40.44140625" style="10" customWidth="1"/>
    <col min="3" max="3" width="7.33203125" style="10" customWidth="1"/>
    <col min="4" max="4" width="12.88671875" style="12" customWidth="1"/>
    <col min="5" max="5" width="13.6640625" style="12" customWidth="1"/>
    <col min="6" max="6" width="15.6640625" style="12" customWidth="1"/>
    <col min="7" max="7" width="12" style="11" bestFit="1" customWidth="1"/>
    <col min="8" max="8" width="10.6640625" style="10" bestFit="1" customWidth="1"/>
    <col min="9" max="9" width="12.33203125" style="11" customWidth="1"/>
    <col min="10" max="10" width="14.33203125" style="10" bestFit="1" customWidth="1"/>
    <col min="11" max="11" width="8.6640625" style="10" customWidth="1"/>
    <col min="12" max="12" width="14.33203125" style="10" bestFit="1" customWidth="1"/>
    <col min="13" max="13" width="15" style="10" customWidth="1"/>
    <col min="14" max="14" width="18.44140625" style="10" customWidth="1"/>
    <col min="15" max="15" width="14.44140625" style="10" bestFit="1" customWidth="1"/>
    <col min="16" max="16" width="13.88671875" style="10" customWidth="1"/>
    <col min="17" max="17" width="13.33203125" style="10" bestFit="1" customWidth="1"/>
    <col min="18" max="18" width="13" style="10" customWidth="1"/>
    <col min="19" max="19" width="14.33203125" style="10" customWidth="1"/>
    <col min="20" max="20" width="13" style="10" customWidth="1"/>
    <col min="21" max="21" width="11.5546875" style="10" bestFit="1" customWidth="1"/>
    <col min="22" max="22" width="11.109375" style="10" customWidth="1"/>
    <col min="23" max="23" width="12.109375" style="10" bestFit="1" customWidth="1"/>
    <col min="24" max="24" width="12" style="10" bestFit="1" customWidth="1"/>
    <col min="25" max="16384" width="9.109375" style="10"/>
  </cols>
  <sheetData>
    <row r="1" spans="1:27" customFormat="1" ht="15.6" customHeight="1" x14ac:dyDescent="0.3">
      <c r="A1" s="63"/>
      <c r="B1" s="64"/>
      <c r="C1" s="92" t="s">
        <v>0</v>
      </c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</row>
    <row r="2" spans="1:27" customFormat="1" ht="31.2" customHeight="1" x14ac:dyDescent="0.3">
      <c r="A2" s="63"/>
      <c r="B2" s="64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</row>
    <row r="3" spans="1:27" customFormat="1" ht="31.2" customHeight="1" x14ac:dyDescent="0.3">
      <c r="A3" s="63"/>
      <c r="B3" s="64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</row>
    <row r="4" spans="1:27" x14ac:dyDescent="0.2">
      <c r="B4" s="13" t="s">
        <v>65</v>
      </c>
      <c r="C4" s="93" t="s">
        <v>64</v>
      </c>
      <c r="D4" s="93"/>
      <c r="E4" s="93"/>
      <c r="F4" s="93"/>
    </row>
    <row r="6" spans="1:27" x14ac:dyDescent="0.2">
      <c r="B6" s="10" t="s">
        <v>63</v>
      </c>
      <c r="D6" s="62"/>
      <c r="E6" s="94" t="e">
        <f>E34</f>
        <v>#DIV/0!</v>
      </c>
      <c r="F6" s="94"/>
      <c r="H6" s="95" t="s">
        <v>62</v>
      </c>
      <c r="I6" s="95"/>
      <c r="J6" s="95"/>
      <c r="K6" s="95"/>
      <c r="L6" s="94">
        <f>F34</f>
        <v>0</v>
      </c>
      <c r="M6" s="94"/>
      <c r="O6" s="96"/>
      <c r="P6" s="96"/>
      <c r="Q6" s="61"/>
      <c r="R6" s="61"/>
      <c r="S6" s="61"/>
    </row>
    <row r="7" spans="1:27" x14ac:dyDescent="0.2">
      <c r="F7" s="14" t="s">
        <v>61</v>
      </c>
      <c r="G7" s="60" t="s">
        <v>60</v>
      </c>
      <c r="I7" s="10"/>
      <c r="P7" s="14" t="s">
        <v>59</v>
      </c>
    </row>
    <row r="8" spans="1:27" x14ac:dyDescent="0.2">
      <c r="C8" s="14" t="s">
        <v>58</v>
      </c>
      <c r="D8" s="14" t="s">
        <v>57</v>
      </c>
      <c r="E8" s="14" t="s">
        <v>56</v>
      </c>
      <c r="F8" s="14" t="s">
        <v>55</v>
      </c>
      <c r="G8" s="59" t="s">
        <v>54</v>
      </c>
      <c r="H8" s="14" t="s">
        <v>6</v>
      </c>
      <c r="I8" s="59" t="s">
        <v>53</v>
      </c>
      <c r="J8" s="14" t="s">
        <v>52</v>
      </c>
      <c r="K8" s="14" t="s">
        <v>51</v>
      </c>
      <c r="L8" s="14" t="s">
        <v>50</v>
      </c>
      <c r="M8" s="14" t="s">
        <v>49</v>
      </c>
      <c r="N8" s="14" t="s">
        <v>49</v>
      </c>
      <c r="O8" s="14" t="s">
        <v>49</v>
      </c>
      <c r="P8" s="14" t="s">
        <v>48</v>
      </c>
      <c r="Q8" s="14" t="s">
        <v>47</v>
      </c>
      <c r="R8" s="14" t="s">
        <v>46</v>
      </c>
      <c r="S8" s="14" t="s">
        <v>6</v>
      </c>
      <c r="T8" s="14" t="s">
        <v>45</v>
      </c>
      <c r="U8" s="14" t="s">
        <v>6</v>
      </c>
      <c r="V8" s="14" t="s">
        <v>44</v>
      </c>
      <c r="W8" s="14" t="s">
        <v>43</v>
      </c>
      <c r="X8" s="14"/>
      <c r="Y8" s="14"/>
      <c r="Z8" s="14"/>
      <c r="AA8" s="14"/>
    </row>
    <row r="9" spans="1:27" ht="10.8" thickBot="1" x14ac:dyDescent="0.25">
      <c r="A9" s="14" t="s">
        <v>42</v>
      </c>
      <c r="B9" s="14" t="s">
        <v>41</v>
      </c>
      <c r="C9" s="14" t="s">
        <v>40</v>
      </c>
      <c r="D9" s="14" t="s">
        <v>39</v>
      </c>
      <c r="E9" s="58" t="s">
        <v>38</v>
      </c>
      <c r="F9" s="58" t="s">
        <v>38</v>
      </c>
      <c r="G9" s="57" t="s">
        <v>35</v>
      </c>
      <c r="H9" s="56" t="s">
        <v>37</v>
      </c>
      <c r="I9" s="55"/>
      <c r="J9" s="54">
        <v>7.6499999999999999E-2</v>
      </c>
      <c r="K9" s="54">
        <v>6.0000000000000001E-3</v>
      </c>
      <c r="L9" s="53"/>
      <c r="M9" s="14" t="s">
        <v>36</v>
      </c>
      <c r="N9" s="14" t="s">
        <v>35</v>
      </c>
      <c r="O9" s="14" t="s">
        <v>34</v>
      </c>
      <c r="P9" s="14" t="s">
        <v>33</v>
      </c>
      <c r="Q9" s="14" t="s">
        <v>32</v>
      </c>
      <c r="R9" s="53"/>
      <c r="S9" s="14" t="s">
        <v>32</v>
      </c>
      <c r="T9" s="53"/>
      <c r="U9" s="14" t="s">
        <v>32</v>
      </c>
      <c r="V9" s="53"/>
      <c r="W9" s="14" t="s">
        <v>6</v>
      </c>
      <c r="X9" s="14"/>
      <c r="Y9" s="14"/>
      <c r="Z9" s="14"/>
      <c r="AA9" s="14"/>
    </row>
    <row r="10" spans="1:27" ht="12.75" customHeight="1" thickBot="1" x14ac:dyDescent="0.25">
      <c r="A10" s="72"/>
      <c r="B10" s="52"/>
      <c r="C10" s="52"/>
      <c r="D10" s="51" t="s">
        <v>31</v>
      </c>
      <c r="E10" s="49"/>
      <c r="F10" s="49"/>
      <c r="G10" s="45"/>
      <c r="H10" s="45"/>
      <c r="I10" s="50"/>
      <c r="J10" s="45"/>
      <c r="K10" s="50">
        <v>7000</v>
      </c>
      <c r="L10" s="50">
        <v>9000</v>
      </c>
      <c r="M10" s="45"/>
      <c r="N10" s="45" t="s">
        <v>30</v>
      </c>
      <c r="O10" s="45"/>
      <c r="P10" s="45"/>
      <c r="Q10" s="45"/>
      <c r="R10" s="45"/>
      <c r="S10" s="45"/>
      <c r="T10" s="45"/>
      <c r="U10" s="45"/>
      <c r="V10" s="45"/>
      <c r="W10" s="44"/>
      <c r="X10" s="14"/>
      <c r="Y10" s="14"/>
      <c r="Z10" s="14"/>
      <c r="AA10" s="14"/>
    </row>
    <row r="11" spans="1:27" ht="10.8" thickBot="1" x14ac:dyDescent="0.25">
      <c r="A11" s="69"/>
      <c r="B11" s="70"/>
      <c r="C11" s="14"/>
      <c r="D11" s="14"/>
      <c r="E11" s="49"/>
      <c r="F11" s="49"/>
      <c r="G11" s="14"/>
      <c r="H11" s="14"/>
      <c r="I11" s="48"/>
      <c r="J11" s="14"/>
      <c r="K11" s="48"/>
      <c r="L11" s="48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47"/>
      <c r="X11" s="14"/>
      <c r="Y11" s="14"/>
      <c r="Z11" s="14"/>
      <c r="AA11" s="14"/>
    </row>
    <row r="12" spans="1:27" x14ac:dyDescent="0.2">
      <c r="A12" s="69"/>
      <c r="B12" s="52"/>
      <c r="C12" s="45"/>
      <c r="D12" s="45"/>
      <c r="E12" s="45"/>
      <c r="F12" s="45"/>
      <c r="G12" s="46"/>
      <c r="H12" s="45"/>
      <c r="I12" s="46"/>
      <c r="J12" s="45"/>
      <c r="K12" s="46"/>
      <c r="L12" s="46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4"/>
      <c r="X12" s="14"/>
      <c r="Y12" s="14"/>
      <c r="Z12" s="14"/>
      <c r="AA12" s="14"/>
    </row>
    <row r="13" spans="1:27" x14ac:dyDescent="0.2">
      <c r="A13" s="69"/>
      <c r="B13" s="66" t="s">
        <v>29</v>
      </c>
      <c r="D13" s="40"/>
      <c r="G13" s="43"/>
      <c r="I13" s="43"/>
      <c r="W13" s="42"/>
    </row>
    <row r="14" spans="1:27" x14ac:dyDescent="0.2">
      <c r="A14" s="68"/>
      <c r="B14" s="65"/>
      <c r="C14" s="10" t="s">
        <v>26</v>
      </c>
      <c r="D14" s="36" t="e">
        <f t="shared" ref="D14:D19" si="0">F14/$F$10</f>
        <v>#DIV/0!</v>
      </c>
      <c r="E14" s="35" t="e">
        <f t="shared" ref="E14:E19" si="1">F14/$F$10*$E$10</f>
        <v>#DIV/0!</v>
      </c>
      <c r="F14" s="34">
        <v>0</v>
      </c>
      <c r="G14" s="33"/>
      <c r="H14" s="28" t="e">
        <f t="shared" ref="H14:H19" si="2">G14*E14</f>
        <v>#DIV/0!</v>
      </c>
      <c r="I14" s="27" t="e">
        <f t="shared" ref="I14:I19" si="3">E14*$I$9</f>
        <v>#DIV/0!</v>
      </c>
      <c r="J14" s="27" t="e">
        <f t="shared" ref="J14:J19" si="4">H14*$J$9</f>
        <v>#DIV/0!</v>
      </c>
      <c r="K14" s="27" t="e">
        <f t="shared" ref="K14:K19" si="5">MIN(($K$9*$K$10*(E14/2080)),(H14*$K$9))</f>
        <v>#DIV/0!</v>
      </c>
      <c r="L14" s="27" t="e">
        <f t="shared" ref="L14:L19" si="6">MIN(($L$9*$L$10*(E14/2080)),(H14*$L$9))</f>
        <v>#DIV/0!</v>
      </c>
      <c r="M14" s="38"/>
      <c r="N14" s="37"/>
      <c r="O14" s="27" t="e">
        <f t="shared" ref="O14:O19" si="7">N14*H14/100</f>
        <v>#DIV/0!</v>
      </c>
      <c r="P14" s="27" t="e">
        <f t="shared" ref="P14:P19" si="8">SUM(I14:L14)+O14</f>
        <v>#DIV/0!</v>
      </c>
      <c r="Q14" s="27" t="e">
        <f t="shared" ref="Q14:Q19" si="9">H14+P14</f>
        <v>#DIV/0!</v>
      </c>
      <c r="R14" s="27" t="e">
        <f t="shared" ref="R14:R19" si="10">Q14*$R$9</f>
        <v>#DIV/0!</v>
      </c>
      <c r="S14" s="27" t="e">
        <f t="shared" ref="S14:S19" si="11">Q14+R14</f>
        <v>#DIV/0!</v>
      </c>
      <c r="T14" s="27" t="e">
        <f t="shared" ref="T14:T19" si="12">$T$9*S14</f>
        <v>#DIV/0!</v>
      </c>
      <c r="U14" s="28" t="e">
        <f t="shared" ref="U14:U19" si="13">S14+T14</f>
        <v>#DIV/0!</v>
      </c>
      <c r="V14" s="27" t="e">
        <f t="shared" ref="V14:V19" si="14">$V$9*U14</f>
        <v>#DIV/0!</v>
      </c>
      <c r="W14" s="26" t="e">
        <f t="shared" ref="W14:W19" si="15">U14+V14</f>
        <v>#DIV/0!</v>
      </c>
    </row>
    <row r="15" spans="1:27" x14ac:dyDescent="0.2">
      <c r="A15" s="68"/>
      <c r="B15" s="65"/>
      <c r="C15" s="10" t="s">
        <v>26</v>
      </c>
      <c r="D15" s="36" t="e">
        <f t="shared" si="0"/>
        <v>#DIV/0!</v>
      </c>
      <c r="E15" s="35" t="e">
        <f t="shared" si="1"/>
        <v>#DIV/0!</v>
      </c>
      <c r="F15" s="34"/>
      <c r="G15" s="33"/>
      <c r="H15" s="28" t="e">
        <f t="shared" si="2"/>
        <v>#DIV/0!</v>
      </c>
      <c r="I15" s="27" t="e">
        <f t="shared" si="3"/>
        <v>#DIV/0!</v>
      </c>
      <c r="J15" s="27" t="e">
        <f t="shared" si="4"/>
        <v>#DIV/0!</v>
      </c>
      <c r="K15" s="27" t="e">
        <f t="shared" si="5"/>
        <v>#DIV/0!</v>
      </c>
      <c r="L15" s="27" t="e">
        <f t="shared" si="6"/>
        <v>#DIV/0!</v>
      </c>
      <c r="M15" s="38"/>
      <c r="N15" s="37"/>
      <c r="O15" s="27" t="e">
        <f t="shared" si="7"/>
        <v>#DIV/0!</v>
      </c>
      <c r="P15" s="27" t="e">
        <f t="shared" si="8"/>
        <v>#DIV/0!</v>
      </c>
      <c r="Q15" s="27" t="e">
        <f t="shared" si="9"/>
        <v>#DIV/0!</v>
      </c>
      <c r="R15" s="27" t="e">
        <f t="shared" si="10"/>
        <v>#DIV/0!</v>
      </c>
      <c r="S15" s="27" t="e">
        <f t="shared" si="11"/>
        <v>#DIV/0!</v>
      </c>
      <c r="T15" s="27" t="e">
        <f t="shared" si="12"/>
        <v>#DIV/0!</v>
      </c>
      <c r="U15" s="28" t="e">
        <f t="shared" si="13"/>
        <v>#DIV/0!</v>
      </c>
      <c r="V15" s="27" t="e">
        <f t="shared" si="14"/>
        <v>#DIV/0!</v>
      </c>
      <c r="W15" s="26" t="e">
        <f t="shared" si="15"/>
        <v>#DIV/0!</v>
      </c>
    </row>
    <row r="16" spans="1:27" x14ac:dyDescent="0.2">
      <c r="A16" s="68"/>
      <c r="B16" s="65"/>
      <c r="C16" s="10" t="s">
        <v>26</v>
      </c>
      <c r="D16" s="36" t="e">
        <f t="shared" si="0"/>
        <v>#DIV/0!</v>
      </c>
      <c r="E16" s="35" t="e">
        <f t="shared" si="1"/>
        <v>#DIV/0!</v>
      </c>
      <c r="F16" s="41"/>
      <c r="G16" s="33"/>
      <c r="H16" s="28" t="e">
        <f t="shared" si="2"/>
        <v>#DIV/0!</v>
      </c>
      <c r="I16" s="27" t="e">
        <f t="shared" si="3"/>
        <v>#DIV/0!</v>
      </c>
      <c r="J16" s="27" t="e">
        <f t="shared" si="4"/>
        <v>#DIV/0!</v>
      </c>
      <c r="K16" s="27" t="e">
        <f t="shared" si="5"/>
        <v>#DIV/0!</v>
      </c>
      <c r="L16" s="27" t="e">
        <f t="shared" si="6"/>
        <v>#DIV/0!</v>
      </c>
      <c r="M16" s="38"/>
      <c r="N16" s="37"/>
      <c r="O16" s="27" t="e">
        <f t="shared" si="7"/>
        <v>#DIV/0!</v>
      </c>
      <c r="P16" s="27" t="e">
        <f t="shared" si="8"/>
        <v>#DIV/0!</v>
      </c>
      <c r="Q16" s="27" t="e">
        <f t="shared" si="9"/>
        <v>#DIV/0!</v>
      </c>
      <c r="R16" s="27" t="e">
        <f t="shared" si="10"/>
        <v>#DIV/0!</v>
      </c>
      <c r="S16" s="27" t="e">
        <f t="shared" si="11"/>
        <v>#DIV/0!</v>
      </c>
      <c r="T16" s="27" t="e">
        <f t="shared" si="12"/>
        <v>#DIV/0!</v>
      </c>
      <c r="U16" s="28" t="e">
        <f t="shared" si="13"/>
        <v>#DIV/0!</v>
      </c>
      <c r="V16" s="27" t="e">
        <f t="shared" si="14"/>
        <v>#DIV/0!</v>
      </c>
      <c r="W16" s="26" t="e">
        <f t="shared" si="15"/>
        <v>#DIV/0!</v>
      </c>
    </row>
    <row r="17" spans="1:23" x14ac:dyDescent="0.2">
      <c r="A17" s="68"/>
      <c r="B17" s="65"/>
      <c r="C17" s="10" t="s">
        <v>26</v>
      </c>
      <c r="D17" s="36" t="e">
        <f t="shared" si="0"/>
        <v>#DIV/0!</v>
      </c>
      <c r="E17" s="35" t="e">
        <f t="shared" si="1"/>
        <v>#DIV/0!</v>
      </c>
      <c r="F17" s="34"/>
      <c r="G17" s="33"/>
      <c r="H17" s="28" t="e">
        <f t="shared" si="2"/>
        <v>#DIV/0!</v>
      </c>
      <c r="I17" s="27" t="e">
        <f t="shared" si="3"/>
        <v>#DIV/0!</v>
      </c>
      <c r="J17" s="27" t="e">
        <f t="shared" si="4"/>
        <v>#DIV/0!</v>
      </c>
      <c r="K17" s="27" t="e">
        <f t="shared" si="5"/>
        <v>#DIV/0!</v>
      </c>
      <c r="L17" s="27" t="e">
        <f t="shared" si="6"/>
        <v>#DIV/0!</v>
      </c>
      <c r="M17" s="38"/>
      <c r="N17" s="37"/>
      <c r="O17" s="27" t="e">
        <f t="shared" si="7"/>
        <v>#DIV/0!</v>
      </c>
      <c r="P17" s="27" t="e">
        <f t="shared" si="8"/>
        <v>#DIV/0!</v>
      </c>
      <c r="Q17" s="27" t="e">
        <f t="shared" si="9"/>
        <v>#DIV/0!</v>
      </c>
      <c r="R17" s="27" t="e">
        <f t="shared" si="10"/>
        <v>#DIV/0!</v>
      </c>
      <c r="S17" s="27" t="e">
        <f t="shared" si="11"/>
        <v>#DIV/0!</v>
      </c>
      <c r="T17" s="27" t="e">
        <f t="shared" si="12"/>
        <v>#DIV/0!</v>
      </c>
      <c r="U17" s="28" t="e">
        <f t="shared" si="13"/>
        <v>#DIV/0!</v>
      </c>
      <c r="V17" s="27" t="e">
        <f t="shared" si="14"/>
        <v>#DIV/0!</v>
      </c>
      <c r="W17" s="26" t="e">
        <f t="shared" si="15"/>
        <v>#DIV/0!</v>
      </c>
    </row>
    <row r="18" spans="1:23" x14ac:dyDescent="0.2">
      <c r="A18" s="68"/>
      <c r="B18" s="65"/>
      <c r="C18" s="10" t="s">
        <v>26</v>
      </c>
      <c r="D18" s="36" t="e">
        <f t="shared" si="0"/>
        <v>#DIV/0!</v>
      </c>
      <c r="E18" s="35" t="e">
        <f t="shared" si="1"/>
        <v>#DIV/0!</v>
      </c>
      <c r="F18" s="41"/>
      <c r="G18" s="33"/>
      <c r="H18" s="28" t="e">
        <f t="shared" si="2"/>
        <v>#DIV/0!</v>
      </c>
      <c r="I18" s="27" t="e">
        <f t="shared" si="3"/>
        <v>#DIV/0!</v>
      </c>
      <c r="J18" s="27" t="e">
        <f t="shared" si="4"/>
        <v>#DIV/0!</v>
      </c>
      <c r="K18" s="27" t="e">
        <f t="shared" si="5"/>
        <v>#DIV/0!</v>
      </c>
      <c r="L18" s="27" t="e">
        <f t="shared" si="6"/>
        <v>#DIV/0!</v>
      </c>
      <c r="M18" s="32"/>
      <c r="N18" s="31"/>
      <c r="O18" s="27" t="e">
        <f t="shared" si="7"/>
        <v>#DIV/0!</v>
      </c>
      <c r="P18" s="27" t="e">
        <f t="shared" si="8"/>
        <v>#DIV/0!</v>
      </c>
      <c r="Q18" s="27" t="e">
        <f t="shared" si="9"/>
        <v>#DIV/0!</v>
      </c>
      <c r="R18" s="27" t="e">
        <f t="shared" si="10"/>
        <v>#DIV/0!</v>
      </c>
      <c r="S18" s="27" t="e">
        <f t="shared" si="11"/>
        <v>#DIV/0!</v>
      </c>
      <c r="T18" s="27" t="e">
        <f t="shared" si="12"/>
        <v>#DIV/0!</v>
      </c>
      <c r="U18" s="28" t="e">
        <f t="shared" si="13"/>
        <v>#DIV/0!</v>
      </c>
      <c r="V18" s="27" t="e">
        <f t="shared" si="14"/>
        <v>#DIV/0!</v>
      </c>
      <c r="W18" s="26" t="e">
        <f t="shared" si="15"/>
        <v>#DIV/0!</v>
      </c>
    </row>
    <row r="19" spans="1:23" x14ac:dyDescent="0.2">
      <c r="A19" s="68"/>
      <c r="B19" s="65"/>
      <c r="C19" s="10" t="s">
        <v>26</v>
      </c>
      <c r="D19" s="36" t="e">
        <f t="shared" si="0"/>
        <v>#DIV/0!</v>
      </c>
      <c r="E19" s="35" t="e">
        <f t="shared" si="1"/>
        <v>#DIV/0!</v>
      </c>
      <c r="F19" s="34"/>
      <c r="G19" s="33"/>
      <c r="H19" s="28" t="e">
        <f t="shared" si="2"/>
        <v>#DIV/0!</v>
      </c>
      <c r="I19" s="27" t="e">
        <f t="shared" si="3"/>
        <v>#DIV/0!</v>
      </c>
      <c r="J19" s="27" t="e">
        <f t="shared" si="4"/>
        <v>#DIV/0!</v>
      </c>
      <c r="K19" s="27" t="e">
        <f t="shared" si="5"/>
        <v>#DIV/0!</v>
      </c>
      <c r="L19" s="27" t="e">
        <f t="shared" si="6"/>
        <v>#DIV/0!</v>
      </c>
      <c r="M19" s="32"/>
      <c r="N19" s="31"/>
      <c r="O19" s="27" t="e">
        <f t="shared" si="7"/>
        <v>#DIV/0!</v>
      </c>
      <c r="P19" s="27" t="e">
        <f t="shared" si="8"/>
        <v>#DIV/0!</v>
      </c>
      <c r="Q19" s="27" t="e">
        <f t="shared" si="9"/>
        <v>#DIV/0!</v>
      </c>
      <c r="R19" s="27" t="e">
        <f t="shared" si="10"/>
        <v>#DIV/0!</v>
      </c>
      <c r="S19" s="27" t="e">
        <f t="shared" si="11"/>
        <v>#DIV/0!</v>
      </c>
      <c r="T19" s="27" t="e">
        <f t="shared" si="12"/>
        <v>#DIV/0!</v>
      </c>
      <c r="U19" s="28" t="e">
        <f t="shared" si="13"/>
        <v>#DIV/0!</v>
      </c>
      <c r="V19" s="27" t="e">
        <f t="shared" si="14"/>
        <v>#DIV/0!</v>
      </c>
      <c r="W19" s="26" t="e">
        <f t="shared" si="15"/>
        <v>#DIV/0!</v>
      </c>
    </row>
    <row r="20" spans="1:23" s="13" customFormat="1" x14ac:dyDescent="0.2">
      <c r="A20" s="66"/>
      <c r="B20" s="66" t="s">
        <v>28</v>
      </c>
      <c r="D20" s="25" t="e">
        <f>SUM(D14:D19)</f>
        <v>#DIV/0!</v>
      </c>
      <c r="E20" s="24" t="e">
        <f>SUM(E14:E19)</f>
        <v>#DIV/0!</v>
      </c>
      <c r="F20" s="24">
        <f>SUM(F14:F19)</f>
        <v>0</v>
      </c>
      <c r="G20" s="20"/>
      <c r="H20" s="21" t="e">
        <f>SUM(H14:H19)</f>
        <v>#DIV/0!</v>
      </c>
      <c r="I20" s="20" t="e">
        <f>SUM(I14:I19)</f>
        <v>#DIV/0!</v>
      </c>
      <c r="J20" s="20" t="e">
        <f>SUM(J14:J19)</f>
        <v>#DIV/0!</v>
      </c>
      <c r="K20" s="20" t="e">
        <f>SUM(K14:K19)</f>
        <v>#DIV/0!</v>
      </c>
      <c r="L20" s="20" t="e">
        <f>SUM(L14:L19)</f>
        <v>#DIV/0!</v>
      </c>
      <c r="O20" s="20" t="e">
        <f t="shared" ref="O20:W20" si="16">SUM(O14:O19)</f>
        <v>#DIV/0!</v>
      </c>
      <c r="P20" s="20" t="e">
        <f t="shared" si="16"/>
        <v>#DIV/0!</v>
      </c>
      <c r="Q20" s="21" t="e">
        <f t="shared" si="16"/>
        <v>#DIV/0!</v>
      </c>
      <c r="R20" s="21" t="e">
        <f t="shared" si="16"/>
        <v>#DIV/0!</v>
      </c>
      <c r="S20" s="21" t="e">
        <f t="shared" si="16"/>
        <v>#DIV/0!</v>
      </c>
      <c r="T20" s="20" t="e">
        <f t="shared" si="16"/>
        <v>#DIV/0!</v>
      </c>
      <c r="U20" s="21" t="e">
        <f t="shared" si="16"/>
        <v>#DIV/0!</v>
      </c>
      <c r="V20" s="20" t="e">
        <f t="shared" si="16"/>
        <v>#DIV/0!</v>
      </c>
      <c r="W20" s="19" t="e">
        <f t="shared" si="16"/>
        <v>#DIV/0!</v>
      </c>
    </row>
    <row r="21" spans="1:23" x14ac:dyDescent="0.2">
      <c r="A21" s="69"/>
      <c r="B21" s="66"/>
      <c r="D21" s="40"/>
      <c r="E21" s="39"/>
      <c r="F21" s="36"/>
      <c r="G21" s="27"/>
      <c r="H21" s="28"/>
      <c r="I21" s="27"/>
      <c r="J21" s="21"/>
      <c r="K21" s="28"/>
      <c r="L21" s="28"/>
      <c r="O21" s="28"/>
      <c r="P21" s="28"/>
      <c r="Q21" s="28"/>
      <c r="R21" s="28"/>
      <c r="S21" s="28"/>
      <c r="T21" s="28"/>
      <c r="U21" s="28"/>
      <c r="V21" s="28"/>
      <c r="W21" s="26"/>
    </row>
    <row r="22" spans="1:23" x14ac:dyDescent="0.2">
      <c r="A22" s="69"/>
      <c r="B22" s="66" t="s">
        <v>27</v>
      </c>
      <c r="D22" s="36"/>
      <c r="E22" s="35"/>
      <c r="F22" s="35"/>
      <c r="G22" s="27"/>
      <c r="H22" s="28"/>
      <c r="I22" s="27"/>
      <c r="J22" s="27"/>
      <c r="K22" s="27"/>
      <c r="L22" s="27"/>
      <c r="N22" s="27"/>
      <c r="O22" s="27"/>
      <c r="P22" s="27"/>
      <c r="Q22" s="28"/>
      <c r="R22" s="28"/>
      <c r="S22" s="28"/>
      <c r="T22" s="27"/>
      <c r="U22" s="28"/>
      <c r="V22" s="27"/>
      <c r="W22" s="26"/>
    </row>
    <row r="23" spans="1:23" x14ac:dyDescent="0.2">
      <c r="A23" s="68"/>
      <c r="B23" s="67"/>
      <c r="C23" s="10" t="s">
        <v>26</v>
      </c>
      <c r="D23" s="36" t="e">
        <f t="shared" ref="D23:D28" si="17">F23/$F$10</f>
        <v>#DIV/0!</v>
      </c>
      <c r="E23" s="35" t="e">
        <f t="shared" ref="E23:E28" si="18">F23/$F$10*$E$10</f>
        <v>#DIV/0!</v>
      </c>
      <c r="F23" s="34"/>
      <c r="G23" s="33"/>
      <c r="H23" s="28" t="e">
        <f t="shared" ref="H23:H28" si="19">G23*E23</f>
        <v>#DIV/0!</v>
      </c>
      <c r="I23" s="27" t="e">
        <f t="shared" ref="I23:I28" si="20">E23*$I$9</f>
        <v>#DIV/0!</v>
      </c>
      <c r="J23" s="27" t="e">
        <f t="shared" ref="J23:J28" si="21">H23*$J$9</f>
        <v>#DIV/0!</v>
      </c>
      <c r="K23" s="27" t="e">
        <f t="shared" ref="K23:K28" si="22">MIN(($K$9*$K$10*(E23/2080)),(H23*$K$9))</f>
        <v>#DIV/0!</v>
      </c>
      <c r="L23" s="27" t="e">
        <f t="shared" ref="L23:L28" si="23">MIN(($L$9*$L$10*(E23/2080)),(H23*$L$9))</f>
        <v>#DIV/0!</v>
      </c>
      <c r="M23" s="38"/>
      <c r="N23" s="37"/>
      <c r="O23" s="27" t="e">
        <f t="shared" ref="O23:O28" si="24">N23*H23/100</f>
        <v>#DIV/0!</v>
      </c>
      <c r="P23" s="27" t="e">
        <f t="shared" ref="P23:P28" si="25">SUM(I23:L23)+O23</f>
        <v>#DIV/0!</v>
      </c>
      <c r="Q23" s="28" t="e">
        <f t="shared" ref="Q23:Q28" si="26">H23+P23</f>
        <v>#DIV/0!</v>
      </c>
      <c r="R23" s="28" t="e">
        <f t="shared" ref="R23:R28" si="27">Q23*$R$9</f>
        <v>#DIV/0!</v>
      </c>
      <c r="S23" s="28" t="e">
        <f t="shared" ref="S23:S28" si="28">R23+Q23</f>
        <v>#DIV/0!</v>
      </c>
      <c r="T23" s="27" t="e">
        <f t="shared" ref="T23:T28" si="29">$T$9*S23</f>
        <v>#DIV/0!</v>
      </c>
      <c r="U23" s="28" t="e">
        <f t="shared" ref="U23:U28" si="30">S23+T23</f>
        <v>#DIV/0!</v>
      </c>
      <c r="V23" s="27" t="e">
        <f t="shared" ref="V23:V28" si="31">$V$9*U23</f>
        <v>#DIV/0!</v>
      </c>
      <c r="W23" s="26" t="e">
        <f t="shared" ref="W23:W28" si="32">U23+V23</f>
        <v>#DIV/0!</v>
      </c>
    </row>
    <row r="24" spans="1:23" x14ac:dyDescent="0.2">
      <c r="A24" s="68"/>
      <c r="B24" s="67"/>
      <c r="C24" s="10" t="s">
        <v>26</v>
      </c>
      <c r="D24" s="36" t="e">
        <f t="shared" si="17"/>
        <v>#DIV/0!</v>
      </c>
      <c r="E24" s="35" t="e">
        <f t="shared" si="18"/>
        <v>#DIV/0!</v>
      </c>
      <c r="F24" s="34"/>
      <c r="G24" s="33"/>
      <c r="H24" s="28" t="e">
        <f t="shared" si="19"/>
        <v>#DIV/0!</v>
      </c>
      <c r="I24" s="27" t="e">
        <f t="shared" si="20"/>
        <v>#DIV/0!</v>
      </c>
      <c r="J24" s="27" t="e">
        <f t="shared" si="21"/>
        <v>#DIV/0!</v>
      </c>
      <c r="K24" s="27" t="e">
        <f t="shared" si="22"/>
        <v>#DIV/0!</v>
      </c>
      <c r="L24" s="27" t="e">
        <f t="shared" si="23"/>
        <v>#DIV/0!</v>
      </c>
      <c r="M24" s="38"/>
      <c r="N24" s="37"/>
      <c r="O24" s="27" t="e">
        <f t="shared" si="24"/>
        <v>#DIV/0!</v>
      </c>
      <c r="P24" s="27" t="e">
        <f t="shared" si="25"/>
        <v>#DIV/0!</v>
      </c>
      <c r="Q24" s="28" t="e">
        <f t="shared" si="26"/>
        <v>#DIV/0!</v>
      </c>
      <c r="R24" s="28" t="e">
        <f t="shared" si="27"/>
        <v>#DIV/0!</v>
      </c>
      <c r="S24" s="28" t="e">
        <f t="shared" si="28"/>
        <v>#DIV/0!</v>
      </c>
      <c r="T24" s="27" t="e">
        <f t="shared" si="29"/>
        <v>#DIV/0!</v>
      </c>
      <c r="U24" s="28" t="e">
        <f t="shared" si="30"/>
        <v>#DIV/0!</v>
      </c>
      <c r="V24" s="27" t="e">
        <f t="shared" si="31"/>
        <v>#DIV/0!</v>
      </c>
      <c r="W24" s="26" t="e">
        <f t="shared" si="32"/>
        <v>#DIV/0!</v>
      </c>
    </row>
    <row r="25" spans="1:23" x14ac:dyDescent="0.2">
      <c r="A25" s="68"/>
      <c r="B25" s="67"/>
      <c r="C25" s="10" t="s">
        <v>26</v>
      </c>
      <c r="D25" s="36" t="e">
        <f t="shared" si="17"/>
        <v>#DIV/0!</v>
      </c>
      <c r="E25" s="35" t="e">
        <f t="shared" si="18"/>
        <v>#DIV/0!</v>
      </c>
      <c r="F25" s="34"/>
      <c r="G25" s="33"/>
      <c r="H25" s="28" t="e">
        <f t="shared" si="19"/>
        <v>#DIV/0!</v>
      </c>
      <c r="I25" s="27" t="e">
        <f t="shared" si="20"/>
        <v>#DIV/0!</v>
      </c>
      <c r="J25" s="27" t="e">
        <f t="shared" si="21"/>
        <v>#DIV/0!</v>
      </c>
      <c r="K25" s="27" t="e">
        <f t="shared" si="22"/>
        <v>#DIV/0!</v>
      </c>
      <c r="L25" s="27" t="e">
        <f t="shared" si="23"/>
        <v>#DIV/0!</v>
      </c>
      <c r="M25" s="32"/>
      <c r="N25" s="31"/>
      <c r="O25" s="27" t="e">
        <f t="shared" si="24"/>
        <v>#DIV/0!</v>
      </c>
      <c r="P25" s="27" t="e">
        <f t="shared" si="25"/>
        <v>#DIV/0!</v>
      </c>
      <c r="Q25" s="28" t="e">
        <f t="shared" si="26"/>
        <v>#DIV/0!</v>
      </c>
      <c r="R25" s="28" t="e">
        <f t="shared" si="27"/>
        <v>#DIV/0!</v>
      </c>
      <c r="S25" s="28" t="e">
        <f t="shared" si="28"/>
        <v>#DIV/0!</v>
      </c>
      <c r="T25" s="27" t="e">
        <f t="shared" si="29"/>
        <v>#DIV/0!</v>
      </c>
      <c r="U25" s="28" t="e">
        <f t="shared" si="30"/>
        <v>#DIV/0!</v>
      </c>
      <c r="V25" s="27" t="e">
        <f t="shared" si="31"/>
        <v>#DIV/0!</v>
      </c>
      <c r="W25" s="26" t="e">
        <f t="shared" si="32"/>
        <v>#DIV/0!</v>
      </c>
    </row>
    <row r="26" spans="1:23" x14ac:dyDescent="0.2">
      <c r="A26" s="68"/>
      <c r="B26" s="67"/>
      <c r="C26" s="10" t="s">
        <v>26</v>
      </c>
      <c r="D26" s="36" t="e">
        <f t="shared" si="17"/>
        <v>#DIV/0!</v>
      </c>
      <c r="E26" s="35" t="e">
        <f t="shared" si="18"/>
        <v>#DIV/0!</v>
      </c>
      <c r="F26" s="34"/>
      <c r="G26" s="33"/>
      <c r="H26" s="28" t="e">
        <f t="shared" si="19"/>
        <v>#DIV/0!</v>
      </c>
      <c r="I26" s="27" t="e">
        <f t="shared" si="20"/>
        <v>#DIV/0!</v>
      </c>
      <c r="J26" s="27" t="e">
        <f t="shared" si="21"/>
        <v>#DIV/0!</v>
      </c>
      <c r="K26" s="27" t="e">
        <f t="shared" si="22"/>
        <v>#DIV/0!</v>
      </c>
      <c r="L26" s="27" t="e">
        <f t="shared" si="23"/>
        <v>#DIV/0!</v>
      </c>
      <c r="M26" s="32"/>
      <c r="N26" s="31"/>
      <c r="O26" s="27" t="e">
        <f t="shared" si="24"/>
        <v>#DIV/0!</v>
      </c>
      <c r="P26" s="27" t="e">
        <f t="shared" si="25"/>
        <v>#DIV/0!</v>
      </c>
      <c r="Q26" s="28" t="e">
        <f t="shared" si="26"/>
        <v>#DIV/0!</v>
      </c>
      <c r="R26" s="28" t="e">
        <f t="shared" si="27"/>
        <v>#DIV/0!</v>
      </c>
      <c r="S26" s="28" t="e">
        <f t="shared" si="28"/>
        <v>#DIV/0!</v>
      </c>
      <c r="T26" s="27" t="e">
        <f t="shared" si="29"/>
        <v>#DIV/0!</v>
      </c>
      <c r="U26" s="28" t="e">
        <f t="shared" si="30"/>
        <v>#DIV/0!</v>
      </c>
      <c r="V26" s="27" t="e">
        <f t="shared" si="31"/>
        <v>#DIV/0!</v>
      </c>
      <c r="W26" s="26" t="e">
        <f t="shared" si="32"/>
        <v>#DIV/0!</v>
      </c>
    </row>
    <row r="27" spans="1:23" x14ac:dyDescent="0.2">
      <c r="A27" s="68"/>
      <c r="B27" s="67"/>
      <c r="C27" s="10" t="s">
        <v>26</v>
      </c>
      <c r="D27" s="36" t="e">
        <f t="shared" si="17"/>
        <v>#DIV/0!</v>
      </c>
      <c r="E27" s="35" t="e">
        <f t="shared" si="18"/>
        <v>#DIV/0!</v>
      </c>
      <c r="F27" s="34"/>
      <c r="G27" s="33"/>
      <c r="H27" s="28" t="e">
        <f t="shared" si="19"/>
        <v>#DIV/0!</v>
      </c>
      <c r="I27" s="27" t="e">
        <f t="shared" si="20"/>
        <v>#DIV/0!</v>
      </c>
      <c r="J27" s="27" t="e">
        <f t="shared" si="21"/>
        <v>#DIV/0!</v>
      </c>
      <c r="K27" s="27" t="e">
        <f t="shared" si="22"/>
        <v>#DIV/0!</v>
      </c>
      <c r="L27" s="27" t="e">
        <f t="shared" si="23"/>
        <v>#DIV/0!</v>
      </c>
      <c r="M27" s="32"/>
      <c r="N27" s="31"/>
      <c r="O27" s="27" t="e">
        <f t="shared" si="24"/>
        <v>#DIV/0!</v>
      </c>
      <c r="P27" s="27" t="e">
        <f t="shared" si="25"/>
        <v>#DIV/0!</v>
      </c>
      <c r="Q27" s="28" t="e">
        <f t="shared" si="26"/>
        <v>#DIV/0!</v>
      </c>
      <c r="R27" s="28" t="e">
        <f t="shared" si="27"/>
        <v>#DIV/0!</v>
      </c>
      <c r="S27" s="28" t="e">
        <f t="shared" si="28"/>
        <v>#DIV/0!</v>
      </c>
      <c r="T27" s="27" t="e">
        <f t="shared" si="29"/>
        <v>#DIV/0!</v>
      </c>
      <c r="U27" s="28" t="e">
        <f t="shared" si="30"/>
        <v>#DIV/0!</v>
      </c>
      <c r="V27" s="27" t="e">
        <f t="shared" si="31"/>
        <v>#DIV/0!</v>
      </c>
      <c r="W27" s="26" t="e">
        <f t="shared" si="32"/>
        <v>#DIV/0!</v>
      </c>
    </row>
    <row r="28" spans="1:23" x14ac:dyDescent="0.2">
      <c r="A28" s="68"/>
      <c r="B28" s="67"/>
      <c r="C28" s="10" t="s">
        <v>26</v>
      </c>
      <c r="D28" s="36" t="e">
        <f t="shared" si="17"/>
        <v>#DIV/0!</v>
      </c>
      <c r="E28" s="35" t="e">
        <f t="shared" si="18"/>
        <v>#DIV/0!</v>
      </c>
      <c r="F28" s="34"/>
      <c r="G28" s="33"/>
      <c r="H28" s="28" t="e">
        <f t="shared" si="19"/>
        <v>#DIV/0!</v>
      </c>
      <c r="I28" s="27" t="e">
        <f t="shared" si="20"/>
        <v>#DIV/0!</v>
      </c>
      <c r="J28" s="27" t="e">
        <f t="shared" si="21"/>
        <v>#DIV/0!</v>
      </c>
      <c r="K28" s="27" t="e">
        <f t="shared" si="22"/>
        <v>#DIV/0!</v>
      </c>
      <c r="L28" s="27" t="e">
        <f t="shared" si="23"/>
        <v>#DIV/0!</v>
      </c>
      <c r="M28" s="32"/>
      <c r="N28" s="31"/>
      <c r="O28" s="27" t="e">
        <f t="shared" si="24"/>
        <v>#DIV/0!</v>
      </c>
      <c r="P28" s="27" t="e">
        <f t="shared" si="25"/>
        <v>#DIV/0!</v>
      </c>
      <c r="Q28" s="28" t="e">
        <f t="shared" si="26"/>
        <v>#DIV/0!</v>
      </c>
      <c r="R28" s="28" t="e">
        <f t="shared" si="27"/>
        <v>#DIV/0!</v>
      </c>
      <c r="S28" s="28" t="e">
        <f t="shared" si="28"/>
        <v>#DIV/0!</v>
      </c>
      <c r="T28" s="27" t="e">
        <f t="shared" si="29"/>
        <v>#DIV/0!</v>
      </c>
      <c r="U28" s="28" t="e">
        <f t="shared" si="30"/>
        <v>#DIV/0!</v>
      </c>
      <c r="V28" s="27" t="e">
        <f t="shared" si="31"/>
        <v>#DIV/0!</v>
      </c>
      <c r="W28" s="26" t="e">
        <f t="shared" si="32"/>
        <v>#DIV/0!</v>
      </c>
    </row>
    <row r="29" spans="1:23" s="13" customFormat="1" x14ac:dyDescent="0.2">
      <c r="A29" s="66"/>
      <c r="B29" s="66" t="s">
        <v>25</v>
      </c>
      <c r="D29" s="25" t="e">
        <f>SUM(D22:D28)</f>
        <v>#DIV/0!</v>
      </c>
      <c r="E29" s="24" t="e">
        <f>SUM(E22:E28)</f>
        <v>#DIV/0!</v>
      </c>
      <c r="F29" s="24">
        <f>SUM(F22:F28)</f>
        <v>0</v>
      </c>
      <c r="G29" s="20"/>
      <c r="H29" s="21" t="e">
        <f>SUM(H22:H28)</f>
        <v>#DIV/0!</v>
      </c>
      <c r="I29" s="20" t="e">
        <f>SUM(I22:I28)</f>
        <v>#DIV/0!</v>
      </c>
      <c r="J29" s="20" t="e">
        <f>SUM(J22:J28)</f>
        <v>#DIV/0!</v>
      </c>
      <c r="K29" s="20" t="e">
        <f>SUM(K22:K28)</f>
        <v>#DIV/0!</v>
      </c>
      <c r="L29" s="20" t="e">
        <f>SUM(L22:L28)</f>
        <v>#DIV/0!</v>
      </c>
      <c r="O29" s="20" t="e">
        <f t="shared" ref="O29:W29" si="33">SUM(O22:O28)</f>
        <v>#DIV/0!</v>
      </c>
      <c r="P29" s="20" t="e">
        <f t="shared" si="33"/>
        <v>#DIV/0!</v>
      </c>
      <c r="Q29" s="21" t="e">
        <f t="shared" si="33"/>
        <v>#DIV/0!</v>
      </c>
      <c r="R29" s="21" t="e">
        <f t="shared" si="33"/>
        <v>#DIV/0!</v>
      </c>
      <c r="S29" s="21" t="e">
        <f t="shared" si="33"/>
        <v>#DIV/0!</v>
      </c>
      <c r="T29" s="20" t="e">
        <f t="shared" si="33"/>
        <v>#DIV/0!</v>
      </c>
      <c r="U29" s="21" t="e">
        <f t="shared" si="33"/>
        <v>#DIV/0!</v>
      </c>
      <c r="V29" s="20" t="e">
        <f t="shared" si="33"/>
        <v>#DIV/0!</v>
      </c>
      <c r="W29" s="19" t="e">
        <f t="shared" si="33"/>
        <v>#DIV/0!</v>
      </c>
    </row>
    <row r="30" spans="1:23" s="13" customFormat="1" x14ac:dyDescent="0.2">
      <c r="A30" s="66"/>
      <c r="B30" s="66"/>
      <c r="D30" s="25"/>
      <c r="E30" s="24"/>
      <c r="F30" s="24"/>
      <c r="G30" s="20"/>
      <c r="H30" s="23"/>
      <c r="I30" s="22"/>
      <c r="J30" s="22"/>
      <c r="K30" s="22"/>
      <c r="L30" s="22"/>
      <c r="O30" s="20"/>
      <c r="P30" s="20"/>
      <c r="Q30" s="21"/>
      <c r="R30" s="21"/>
      <c r="S30" s="21"/>
      <c r="T30" s="20"/>
      <c r="U30" s="21"/>
      <c r="V30" s="20"/>
      <c r="W30" s="19"/>
    </row>
    <row r="31" spans="1:23" s="13" customFormat="1" x14ac:dyDescent="0.2">
      <c r="A31" s="66"/>
      <c r="B31" s="66" t="s">
        <v>24</v>
      </c>
      <c r="D31" s="25"/>
      <c r="E31" s="24"/>
      <c r="F31" s="24"/>
      <c r="G31" s="20"/>
      <c r="H31" s="23"/>
      <c r="I31" s="22"/>
      <c r="J31" s="22"/>
      <c r="K31" s="22"/>
      <c r="L31" s="22"/>
      <c r="O31" s="21" t="e">
        <f t="shared" ref="O31:W31" si="34">O29+O20</f>
        <v>#DIV/0!</v>
      </c>
      <c r="P31" s="21" t="e">
        <f t="shared" si="34"/>
        <v>#DIV/0!</v>
      </c>
      <c r="Q31" s="21" t="e">
        <f t="shared" si="34"/>
        <v>#DIV/0!</v>
      </c>
      <c r="R31" s="21" t="e">
        <f t="shared" si="34"/>
        <v>#DIV/0!</v>
      </c>
      <c r="S31" s="21" t="e">
        <f t="shared" si="34"/>
        <v>#DIV/0!</v>
      </c>
      <c r="T31" s="21" t="e">
        <f t="shared" si="34"/>
        <v>#DIV/0!</v>
      </c>
      <c r="U31" s="21" t="e">
        <f t="shared" si="34"/>
        <v>#DIV/0!</v>
      </c>
      <c r="V31" s="21" t="e">
        <f t="shared" si="34"/>
        <v>#DIV/0!</v>
      </c>
      <c r="W31" s="19" t="e">
        <f t="shared" si="34"/>
        <v>#DIV/0!</v>
      </c>
    </row>
    <row r="32" spans="1:23" s="13" customFormat="1" x14ac:dyDescent="0.2">
      <c r="A32" s="66"/>
      <c r="B32" s="66"/>
      <c r="D32" s="25"/>
      <c r="E32" s="24"/>
      <c r="F32" s="29"/>
      <c r="G32" s="20"/>
      <c r="H32" s="23"/>
      <c r="I32" s="22"/>
      <c r="J32" s="22"/>
      <c r="K32" s="22"/>
      <c r="L32" s="22"/>
      <c r="O32" s="22"/>
      <c r="P32" s="22"/>
      <c r="Q32" s="23"/>
      <c r="R32" s="23"/>
      <c r="S32" s="23"/>
      <c r="T32" s="22"/>
      <c r="U32" s="23"/>
      <c r="V32" s="22"/>
      <c r="W32" s="30"/>
    </row>
    <row r="33" spans="1:27" s="13" customFormat="1" ht="10.8" thickBot="1" x14ac:dyDescent="0.25">
      <c r="A33" s="66"/>
      <c r="B33" s="66"/>
      <c r="D33" s="25"/>
      <c r="E33" s="24"/>
      <c r="F33" s="24"/>
      <c r="G33" s="20"/>
      <c r="H33" s="23"/>
      <c r="I33" s="22"/>
      <c r="J33" s="22"/>
      <c r="K33" s="22"/>
      <c r="L33" s="22"/>
      <c r="O33" s="22"/>
      <c r="P33" s="22"/>
      <c r="Q33" s="21"/>
      <c r="R33" s="21"/>
      <c r="S33" s="21"/>
      <c r="T33" s="20"/>
      <c r="U33" s="21"/>
      <c r="V33" s="20"/>
      <c r="W33" s="19"/>
    </row>
    <row r="34" spans="1:27" s="13" customFormat="1" ht="10.8" thickBot="1" x14ac:dyDescent="0.25">
      <c r="A34" s="71" t="s">
        <v>66</v>
      </c>
      <c r="B34" s="70"/>
      <c r="C34" s="16"/>
      <c r="D34" s="18" t="e">
        <f>SUM(D29+D20)</f>
        <v>#DIV/0!</v>
      </c>
      <c r="E34" s="17" t="e">
        <f>SUM(E29+E20)</f>
        <v>#DIV/0!</v>
      </c>
      <c r="F34" s="17">
        <f>SUM(F29+F20)</f>
        <v>0</v>
      </c>
      <c r="G34" s="15"/>
      <c r="H34" s="15" t="e">
        <f>H29+H20</f>
        <v>#DIV/0!</v>
      </c>
      <c r="I34" s="15" t="e">
        <f>I29+I20</f>
        <v>#DIV/0!</v>
      </c>
      <c r="J34" s="15" t="e">
        <f>J29+J20</f>
        <v>#DIV/0!</v>
      </c>
      <c r="K34" s="15" t="e">
        <f>K29+K20</f>
        <v>#DIV/0!</v>
      </c>
      <c r="L34" s="15" t="e">
        <f>L29+L20</f>
        <v>#DIV/0!</v>
      </c>
      <c r="M34" s="16"/>
      <c r="N34" s="16"/>
      <c r="O34" s="15" t="e">
        <f>O31</f>
        <v>#DIV/0!</v>
      </c>
      <c r="P34" s="15" t="e">
        <f>P31</f>
        <v>#DIV/0!</v>
      </c>
      <c r="Q34" s="15" t="e">
        <f>Q31+#REF!</f>
        <v>#DIV/0!</v>
      </c>
      <c r="R34" s="15" t="e">
        <f>R31+#REF!</f>
        <v>#DIV/0!</v>
      </c>
      <c r="S34" s="15" t="e">
        <f>S31+#REF!</f>
        <v>#DIV/0!</v>
      </c>
      <c r="T34" s="15" t="e">
        <f>T31+#REF!</f>
        <v>#DIV/0!</v>
      </c>
      <c r="U34" s="15" t="e">
        <f>U31+#REF!</f>
        <v>#DIV/0!</v>
      </c>
      <c r="V34" s="15" t="e">
        <f>V31+#REF!</f>
        <v>#DIV/0!</v>
      </c>
      <c r="W34" s="73" t="e">
        <f>W31+#REF!</f>
        <v>#DIV/0!</v>
      </c>
    </row>
    <row r="35" spans="1:27" s="13" customFormat="1" x14ac:dyDescent="0.2">
      <c r="A35" s="10"/>
      <c r="B35" s="10"/>
      <c r="C35" s="10"/>
      <c r="D35" s="12"/>
      <c r="E35" s="12"/>
      <c r="F35" s="12"/>
      <c r="G35" s="11"/>
      <c r="H35" s="10"/>
      <c r="I35" s="1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7" s="13" customFormat="1" ht="10.8" thickBot="1" x14ac:dyDescent="0.25">
      <c r="A36" s="10"/>
      <c r="B36" s="10"/>
      <c r="C36" s="10"/>
      <c r="D36" s="12"/>
      <c r="E36" s="12"/>
      <c r="F36" s="12"/>
      <c r="G36" s="11"/>
      <c r="H36" s="10"/>
      <c r="I36" s="11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7" s="13" customFormat="1" ht="16.2" thickBot="1" x14ac:dyDescent="0.35">
      <c r="A37" s="10"/>
      <c r="B37" s="97" t="s">
        <v>21</v>
      </c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7" s="13" customFormat="1" x14ac:dyDescent="0.2">
      <c r="A38" s="10"/>
      <c r="B38" s="10"/>
      <c r="C38" s="10"/>
      <c r="D38" s="12"/>
      <c r="E38" s="12"/>
      <c r="F38" s="12"/>
      <c r="G38" s="11"/>
      <c r="H38" s="10"/>
      <c r="I38" s="11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7" s="13" customFormat="1" x14ac:dyDescent="0.2">
      <c r="A39" s="10"/>
      <c r="B39" s="10"/>
      <c r="C39" s="10"/>
      <c r="D39" s="12"/>
      <c r="E39" s="12"/>
      <c r="F39" s="12"/>
      <c r="G39" s="11"/>
      <c r="H39" s="10"/>
      <c r="I39" s="1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7" s="13" customFormat="1" x14ac:dyDescent="0.2">
      <c r="A40" s="10"/>
      <c r="B40" s="10"/>
      <c r="C40" s="10"/>
      <c r="D40" s="12"/>
      <c r="E40" s="12"/>
      <c r="F40" s="12"/>
      <c r="G40" s="11"/>
      <c r="H40" s="10"/>
      <c r="I40" s="1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7" s="13" customFormat="1" x14ac:dyDescent="0.2">
      <c r="A41" s="10"/>
      <c r="B41" s="10"/>
      <c r="C41" s="10"/>
      <c r="D41" s="12"/>
      <c r="E41" s="12"/>
      <c r="F41" s="12"/>
      <c r="G41" s="11"/>
      <c r="H41" s="10"/>
      <c r="I41" s="11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7" s="13" customFormat="1" x14ac:dyDescent="0.2">
      <c r="A42" s="10"/>
      <c r="B42" s="10"/>
      <c r="C42" s="10"/>
      <c r="D42" s="12"/>
      <c r="E42" s="12"/>
      <c r="F42" s="12"/>
      <c r="G42" s="11"/>
      <c r="H42" s="10"/>
      <c r="I42" s="1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7" s="13" customFormat="1" x14ac:dyDescent="0.2">
      <c r="A43" s="10"/>
      <c r="B43" s="10"/>
      <c r="C43" s="10"/>
      <c r="D43" s="12"/>
      <c r="E43" s="12"/>
      <c r="F43" s="12"/>
      <c r="G43" s="11"/>
      <c r="H43" s="10"/>
      <c r="I43" s="1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</row>
    <row r="44" spans="1:27" s="13" customFormat="1" x14ac:dyDescent="0.2">
      <c r="A44" s="10"/>
      <c r="B44" s="10"/>
      <c r="C44" s="10"/>
      <c r="D44" s="12"/>
      <c r="E44" s="12"/>
      <c r="F44" s="12"/>
      <c r="G44" s="11"/>
      <c r="H44" s="10"/>
      <c r="I44" s="1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</row>
    <row r="45" spans="1:27" s="13" customFormat="1" x14ac:dyDescent="0.2">
      <c r="A45" s="10"/>
      <c r="B45" s="10"/>
      <c r="C45" s="10"/>
      <c r="D45" s="12"/>
      <c r="E45" s="12"/>
      <c r="F45" s="12"/>
      <c r="G45" s="11"/>
      <c r="H45" s="10"/>
      <c r="I45" s="1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  <row r="47" spans="1:27" ht="11.25" customHeight="1" x14ac:dyDescent="0.2"/>
    <row r="48" spans="1:27" x14ac:dyDescent="0.2">
      <c r="X48" s="14"/>
      <c r="Y48" s="14"/>
      <c r="Z48" s="14"/>
      <c r="AA48" s="14"/>
    </row>
    <row r="49" spans="1:27" x14ac:dyDescent="0.2">
      <c r="X49" s="14"/>
      <c r="Y49" s="14"/>
      <c r="Z49" s="14"/>
      <c r="AA49" s="14"/>
    </row>
    <row r="57" spans="1:27" s="13" customFormat="1" x14ac:dyDescent="0.2">
      <c r="A57" s="10"/>
      <c r="B57" s="10"/>
      <c r="C57" s="10"/>
      <c r="D57" s="12"/>
      <c r="E57" s="12"/>
      <c r="F57" s="12"/>
      <c r="G57" s="11"/>
      <c r="H57" s="10"/>
      <c r="I57" s="11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66" spans="1:23" s="13" customFormat="1" x14ac:dyDescent="0.2">
      <c r="A66" s="10"/>
      <c r="B66" s="10"/>
      <c r="C66" s="10"/>
      <c r="D66" s="12"/>
      <c r="E66" s="12"/>
      <c r="F66" s="12"/>
      <c r="G66" s="11"/>
      <c r="H66" s="10"/>
      <c r="I66" s="11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</row>
    <row r="67" spans="1:23" s="13" customFormat="1" x14ac:dyDescent="0.2">
      <c r="A67" s="10"/>
      <c r="B67" s="10"/>
      <c r="C67" s="10"/>
      <c r="D67" s="12"/>
      <c r="E67" s="12"/>
      <c r="F67" s="12"/>
      <c r="G67" s="11"/>
      <c r="H67" s="10"/>
      <c r="I67" s="11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</row>
    <row r="68" spans="1:23" s="13" customFormat="1" x14ac:dyDescent="0.2">
      <c r="A68" s="10"/>
      <c r="B68" s="10"/>
      <c r="C68" s="10"/>
      <c r="D68" s="12"/>
      <c r="E68" s="12"/>
      <c r="F68" s="12"/>
      <c r="G68" s="11"/>
      <c r="H68" s="10"/>
      <c r="I68" s="11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</row>
    <row r="69" spans="1:23" s="13" customFormat="1" x14ac:dyDescent="0.2">
      <c r="A69" s="10"/>
      <c r="B69" s="10"/>
      <c r="C69" s="10"/>
      <c r="D69" s="12"/>
      <c r="E69" s="12"/>
      <c r="F69" s="12"/>
      <c r="G69" s="11"/>
      <c r="H69" s="10"/>
      <c r="I69" s="11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</row>
    <row r="70" spans="1:23" s="13" customFormat="1" x14ac:dyDescent="0.2">
      <c r="A70" s="10"/>
      <c r="B70" s="10"/>
      <c r="C70" s="10"/>
      <c r="D70" s="12"/>
      <c r="E70" s="12"/>
      <c r="F70" s="12"/>
      <c r="G70" s="11"/>
      <c r="H70" s="10"/>
      <c r="I70" s="11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</row>
    <row r="71" spans="1:23" s="13" customFormat="1" x14ac:dyDescent="0.2">
      <c r="A71" s="10"/>
      <c r="B71" s="10"/>
      <c r="C71" s="10"/>
      <c r="D71" s="12"/>
      <c r="E71" s="12"/>
      <c r="F71" s="12"/>
      <c r="G71" s="11"/>
      <c r="H71" s="10"/>
      <c r="I71" s="11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</row>
    <row r="72" spans="1:23" s="13" customFormat="1" x14ac:dyDescent="0.2">
      <c r="A72" s="10"/>
      <c r="B72" s="10"/>
      <c r="C72" s="10"/>
      <c r="D72" s="12"/>
      <c r="E72" s="12"/>
      <c r="F72" s="12"/>
      <c r="G72" s="11"/>
      <c r="H72" s="10"/>
      <c r="I72" s="11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</row>
    <row r="73" spans="1:23" s="13" customFormat="1" x14ac:dyDescent="0.2">
      <c r="A73" s="10"/>
      <c r="B73" s="10"/>
      <c r="C73" s="10"/>
      <c r="D73" s="12"/>
      <c r="E73" s="12"/>
      <c r="F73" s="12"/>
      <c r="G73" s="11"/>
      <c r="H73" s="10"/>
      <c r="I73" s="11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</row>
    <row r="74" spans="1:23" s="13" customFormat="1" x14ac:dyDescent="0.2">
      <c r="A74" s="10"/>
      <c r="B74" s="10"/>
      <c r="C74" s="10"/>
      <c r="D74" s="12"/>
      <c r="E74" s="12"/>
      <c r="F74" s="12"/>
      <c r="G74" s="11"/>
      <c r="H74" s="10"/>
      <c r="I74" s="11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s="13" customFormat="1" x14ac:dyDescent="0.2">
      <c r="A75" s="10"/>
      <c r="B75" s="10"/>
      <c r="C75" s="10"/>
      <c r="D75" s="12"/>
      <c r="E75" s="12"/>
      <c r="F75" s="12"/>
      <c r="G75" s="11"/>
      <c r="H75" s="10"/>
      <c r="I75" s="11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s="13" customFormat="1" x14ac:dyDescent="0.2">
      <c r="A76" s="10"/>
      <c r="B76" s="10"/>
      <c r="C76" s="10"/>
      <c r="D76" s="12"/>
      <c r="E76" s="12"/>
      <c r="F76" s="12"/>
      <c r="G76" s="11"/>
      <c r="H76" s="10"/>
      <c r="I76" s="11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 s="13" customFormat="1" x14ac:dyDescent="0.2">
      <c r="A77" s="10"/>
      <c r="B77" s="10"/>
      <c r="C77" s="10"/>
      <c r="D77" s="12"/>
      <c r="E77" s="12"/>
      <c r="F77" s="12"/>
      <c r="G77" s="11"/>
      <c r="H77" s="10"/>
      <c r="I77" s="11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 s="13" customFormat="1" x14ac:dyDescent="0.2">
      <c r="A78" s="10"/>
      <c r="B78" s="10"/>
      <c r="C78" s="10"/>
      <c r="D78" s="12"/>
      <c r="E78" s="12"/>
      <c r="F78" s="12"/>
      <c r="G78" s="11"/>
      <c r="H78" s="10"/>
      <c r="I78" s="11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 s="13" customFormat="1" x14ac:dyDescent="0.2">
      <c r="A79" s="10"/>
      <c r="B79" s="10"/>
      <c r="C79" s="10"/>
      <c r="D79" s="12"/>
      <c r="E79" s="12"/>
      <c r="F79" s="12"/>
      <c r="G79" s="11"/>
      <c r="H79" s="10"/>
      <c r="I79" s="11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 s="13" customFormat="1" x14ac:dyDescent="0.2">
      <c r="A80" s="10"/>
      <c r="B80" s="10"/>
      <c r="C80" s="10"/>
      <c r="D80" s="12"/>
      <c r="E80" s="12"/>
      <c r="F80" s="12"/>
      <c r="G80" s="11"/>
      <c r="H80" s="10"/>
      <c r="I80" s="11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7" s="13" customFormat="1" x14ac:dyDescent="0.2">
      <c r="A81" s="10"/>
      <c r="B81" s="10"/>
      <c r="C81" s="10"/>
      <c r="D81" s="12"/>
      <c r="E81" s="12"/>
      <c r="F81" s="12"/>
      <c r="G81" s="11"/>
      <c r="H81" s="10"/>
      <c r="I81" s="11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7" s="13" customFormat="1" x14ac:dyDescent="0.2">
      <c r="A82" s="10"/>
      <c r="B82" s="10"/>
      <c r="C82" s="10"/>
      <c r="D82" s="12"/>
      <c r="E82" s="12"/>
      <c r="F82" s="12"/>
      <c r="G82" s="11"/>
      <c r="H82" s="10"/>
      <c r="I82" s="11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</row>
    <row r="84" spans="1:27" ht="11.25" customHeight="1" x14ac:dyDescent="0.2"/>
    <row r="85" spans="1:27" x14ac:dyDescent="0.2">
      <c r="X85" s="14"/>
      <c r="Y85" s="14"/>
      <c r="Z85" s="14"/>
      <c r="AA85" s="14"/>
    </row>
    <row r="86" spans="1:27" x14ac:dyDescent="0.2">
      <c r="X86" s="14"/>
      <c r="Y86" s="14"/>
      <c r="Z86" s="14"/>
      <c r="AA86" s="14"/>
    </row>
    <row r="94" spans="1:27" s="13" customFormat="1" x14ac:dyDescent="0.2">
      <c r="A94" s="10"/>
      <c r="B94" s="10"/>
      <c r="C94" s="10"/>
      <c r="D94" s="12"/>
      <c r="E94" s="12"/>
      <c r="F94" s="12"/>
      <c r="G94" s="11"/>
      <c r="H94" s="10"/>
      <c r="I94" s="11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</row>
    <row r="103" spans="1:23" s="13" customFormat="1" x14ac:dyDescent="0.2">
      <c r="A103" s="10"/>
      <c r="B103" s="10"/>
      <c r="C103" s="10"/>
      <c r="D103" s="12"/>
      <c r="E103" s="12"/>
      <c r="F103" s="12"/>
      <c r="G103" s="11"/>
      <c r="H103" s="10"/>
      <c r="I103" s="11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</row>
    <row r="104" spans="1:23" s="13" customFormat="1" x14ac:dyDescent="0.2">
      <c r="A104" s="10"/>
      <c r="B104" s="10"/>
      <c r="C104" s="10"/>
      <c r="D104" s="12"/>
      <c r="E104" s="12"/>
      <c r="F104" s="12"/>
      <c r="G104" s="11"/>
      <c r="H104" s="10"/>
      <c r="I104" s="11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</row>
    <row r="105" spans="1:23" s="13" customFormat="1" x14ac:dyDescent="0.2">
      <c r="A105" s="10"/>
      <c r="B105" s="10"/>
      <c r="C105" s="10"/>
      <c r="D105" s="12"/>
      <c r="E105" s="12"/>
      <c r="F105" s="12"/>
      <c r="G105" s="11"/>
      <c r="H105" s="10"/>
      <c r="I105" s="11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</row>
    <row r="106" spans="1:23" s="13" customFormat="1" x14ac:dyDescent="0.2">
      <c r="A106" s="10"/>
      <c r="B106" s="10"/>
      <c r="C106" s="10"/>
      <c r="D106" s="12"/>
      <c r="E106" s="12"/>
      <c r="F106" s="12"/>
      <c r="G106" s="11"/>
      <c r="H106" s="10"/>
      <c r="I106" s="11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</row>
    <row r="107" spans="1:23" s="13" customFormat="1" x14ac:dyDescent="0.2">
      <c r="A107" s="10"/>
      <c r="B107" s="10"/>
      <c r="C107" s="10"/>
      <c r="D107" s="12"/>
      <c r="E107" s="12"/>
      <c r="F107" s="12"/>
      <c r="G107" s="11"/>
      <c r="H107" s="10"/>
      <c r="I107" s="11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spans="1:23" s="13" customFormat="1" x14ac:dyDescent="0.2">
      <c r="A108" s="10"/>
      <c r="B108" s="10"/>
      <c r="C108" s="10"/>
      <c r="D108" s="12"/>
      <c r="E108" s="12"/>
      <c r="F108" s="12"/>
      <c r="G108" s="11"/>
      <c r="H108" s="10"/>
      <c r="I108" s="11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</row>
    <row r="109" spans="1:23" s="13" customFormat="1" x14ac:dyDescent="0.2">
      <c r="A109" s="10"/>
      <c r="B109" s="10"/>
      <c r="C109" s="10"/>
      <c r="D109" s="12"/>
      <c r="E109" s="12"/>
      <c r="F109" s="12"/>
      <c r="G109" s="11"/>
      <c r="H109" s="10"/>
      <c r="I109" s="11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</row>
    <row r="110" spans="1:23" s="13" customFormat="1" x14ac:dyDescent="0.2">
      <c r="A110" s="10"/>
      <c r="B110" s="10"/>
      <c r="C110" s="10"/>
      <c r="D110" s="12"/>
      <c r="E110" s="12"/>
      <c r="F110" s="12"/>
      <c r="G110" s="11"/>
      <c r="H110" s="10"/>
      <c r="I110" s="11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</row>
    <row r="111" spans="1:23" s="13" customFormat="1" x14ac:dyDescent="0.2">
      <c r="A111" s="10"/>
      <c r="B111" s="10"/>
      <c r="C111" s="10"/>
      <c r="D111" s="12"/>
      <c r="E111" s="12"/>
      <c r="F111" s="12"/>
      <c r="G111" s="11"/>
      <c r="H111" s="10"/>
      <c r="I111" s="11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</row>
    <row r="112" spans="1:23" s="13" customFormat="1" x14ac:dyDescent="0.2">
      <c r="A112" s="10"/>
      <c r="B112" s="10"/>
      <c r="C112" s="10"/>
      <c r="D112" s="12"/>
      <c r="E112" s="12"/>
      <c r="F112" s="12"/>
      <c r="G112" s="11"/>
      <c r="H112" s="10"/>
      <c r="I112" s="11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</row>
    <row r="113" spans="1:23" s="13" customFormat="1" x14ac:dyDescent="0.2">
      <c r="A113" s="10"/>
      <c r="B113" s="10"/>
      <c r="C113" s="10"/>
      <c r="D113" s="12"/>
      <c r="E113" s="12"/>
      <c r="F113" s="12"/>
      <c r="G113" s="11"/>
      <c r="H113" s="10"/>
      <c r="I113" s="11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</row>
    <row r="114" spans="1:23" s="13" customFormat="1" x14ac:dyDescent="0.2">
      <c r="A114" s="10"/>
      <c r="B114" s="10"/>
      <c r="C114" s="10"/>
      <c r="D114" s="12"/>
      <c r="E114" s="12"/>
      <c r="F114" s="12"/>
      <c r="G114" s="11"/>
      <c r="H114" s="10"/>
      <c r="I114" s="11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</row>
    <row r="115" spans="1:23" s="13" customFormat="1" x14ac:dyDescent="0.2">
      <c r="A115" s="10"/>
      <c r="B115" s="10"/>
      <c r="C115" s="10"/>
      <c r="D115" s="12"/>
      <c r="E115" s="12"/>
      <c r="F115" s="12"/>
      <c r="G115" s="11"/>
      <c r="H115" s="10"/>
      <c r="I115" s="11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</row>
    <row r="116" spans="1:23" s="13" customFormat="1" x14ac:dyDescent="0.2">
      <c r="A116" s="10"/>
      <c r="B116" s="10"/>
      <c r="C116" s="10"/>
      <c r="D116" s="12"/>
      <c r="E116" s="12"/>
      <c r="F116" s="12"/>
      <c r="G116" s="11"/>
      <c r="H116" s="10"/>
      <c r="I116" s="11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 s="13" customFormat="1" x14ac:dyDescent="0.2">
      <c r="A117" s="10"/>
      <c r="B117" s="10"/>
      <c r="C117" s="10"/>
      <c r="D117" s="12"/>
      <c r="E117" s="12"/>
      <c r="F117" s="12"/>
      <c r="G117" s="11"/>
      <c r="H117" s="10"/>
      <c r="I117" s="11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 s="13" customFormat="1" x14ac:dyDescent="0.2">
      <c r="A118" s="10"/>
      <c r="B118" s="10"/>
      <c r="C118" s="10"/>
      <c r="D118" s="12"/>
      <c r="E118" s="12"/>
      <c r="F118" s="12"/>
      <c r="G118" s="11"/>
      <c r="H118" s="10"/>
      <c r="I118" s="11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</row>
    <row r="119" spans="1:23" s="13" customFormat="1" x14ac:dyDescent="0.2">
      <c r="A119" s="10"/>
      <c r="B119" s="10"/>
      <c r="C119" s="10"/>
      <c r="D119" s="12"/>
      <c r="E119" s="12"/>
      <c r="F119" s="12"/>
      <c r="G119" s="11"/>
      <c r="H119" s="10"/>
      <c r="I119" s="11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</row>
    <row r="158" spans="24:27" x14ac:dyDescent="0.2">
      <c r="X158" s="14"/>
      <c r="Y158" s="14"/>
      <c r="Z158" s="14"/>
      <c r="AA158" s="14"/>
    </row>
    <row r="159" spans="24:27" x14ac:dyDescent="0.2">
      <c r="X159" s="14"/>
      <c r="Y159" s="14"/>
      <c r="Z159" s="14"/>
      <c r="AA159" s="14"/>
    </row>
    <row r="160" spans="24:27" x14ac:dyDescent="0.2">
      <c r="X160" s="14"/>
      <c r="Y160" s="14"/>
      <c r="Z160" s="14"/>
      <c r="AA160" s="14"/>
    </row>
    <row r="168" spans="1:23" s="13" customFormat="1" x14ac:dyDescent="0.2">
      <c r="A168" s="10"/>
      <c r="B168" s="10"/>
      <c r="C168" s="10"/>
      <c r="D168" s="12"/>
      <c r="E168" s="12"/>
      <c r="F168" s="12"/>
      <c r="G168" s="11"/>
      <c r="H168" s="10"/>
      <c r="I168" s="11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</row>
    <row r="177" spans="1:23" s="13" customFormat="1" x14ac:dyDescent="0.2">
      <c r="A177" s="10"/>
      <c r="B177" s="10"/>
      <c r="C177" s="10"/>
      <c r="D177" s="12"/>
      <c r="E177" s="12"/>
      <c r="F177" s="12"/>
      <c r="G177" s="11"/>
      <c r="H177" s="10"/>
      <c r="I177" s="11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</row>
    <row r="178" spans="1:23" s="13" customFormat="1" x14ac:dyDescent="0.2">
      <c r="A178" s="10"/>
      <c r="B178" s="10"/>
      <c r="C178" s="10"/>
      <c r="D178" s="12"/>
      <c r="E178" s="12"/>
      <c r="F178" s="12"/>
      <c r="G178" s="11"/>
      <c r="H178" s="10"/>
      <c r="I178" s="11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</row>
    <row r="179" spans="1:23" s="13" customFormat="1" x14ac:dyDescent="0.2">
      <c r="A179" s="10"/>
      <c r="B179" s="10"/>
      <c r="C179" s="10"/>
      <c r="D179" s="12"/>
      <c r="E179" s="12"/>
      <c r="F179" s="12"/>
      <c r="G179" s="11"/>
      <c r="H179" s="10"/>
      <c r="I179" s="11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</row>
    <row r="180" spans="1:23" s="13" customFormat="1" x14ac:dyDescent="0.2">
      <c r="A180" s="10"/>
      <c r="B180" s="10"/>
      <c r="C180" s="10"/>
      <c r="D180" s="12"/>
      <c r="E180" s="12"/>
      <c r="F180" s="12"/>
      <c r="G180" s="11"/>
      <c r="H180" s="10"/>
      <c r="I180" s="11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</row>
    <row r="181" spans="1:23" s="13" customFormat="1" x14ac:dyDescent="0.2">
      <c r="A181" s="10"/>
      <c r="B181" s="10"/>
      <c r="C181" s="10"/>
      <c r="D181" s="12"/>
      <c r="E181" s="12"/>
      <c r="F181" s="12"/>
      <c r="G181" s="11"/>
      <c r="H181" s="10"/>
      <c r="I181" s="11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</row>
    <row r="182" spans="1:23" s="13" customFormat="1" x14ac:dyDescent="0.2">
      <c r="A182" s="10"/>
      <c r="B182" s="10"/>
      <c r="C182" s="10"/>
      <c r="D182" s="12"/>
      <c r="E182" s="12"/>
      <c r="F182" s="12"/>
      <c r="G182" s="11"/>
      <c r="H182" s="10"/>
      <c r="I182" s="11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</row>
    <row r="183" spans="1:23" s="13" customFormat="1" x14ac:dyDescent="0.2">
      <c r="A183" s="10"/>
      <c r="B183" s="10"/>
      <c r="C183" s="10"/>
      <c r="D183" s="12"/>
      <c r="E183" s="12"/>
      <c r="F183" s="12"/>
      <c r="G183" s="11"/>
      <c r="H183" s="10"/>
      <c r="I183" s="11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</row>
    <row r="184" spans="1:23" s="13" customFormat="1" x14ac:dyDescent="0.2">
      <c r="A184" s="10"/>
      <c r="B184" s="10"/>
      <c r="C184" s="10"/>
      <c r="D184" s="12"/>
      <c r="E184" s="12"/>
      <c r="F184" s="12"/>
      <c r="G184" s="11"/>
      <c r="H184" s="10"/>
      <c r="I184" s="11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</row>
    <row r="185" spans="1:23" s="13" customFormat="1" x14ac:dyDescent="0.2">
      <c r="A185" s="10"/>
      <c r="B185" s="10"/>
      <c r="C185" s="10"/>
      <c r="D185" s="12"/>
      <c r="E185" s="12"/>
      <c r="F185" s="12"/>
      <c r="G185" s="11"/>
      <c r="H185" s="10"/>
      <c r="I185" s="11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</row>
    <row r="186" spans="1:23" s="13" customFormat="1" x14ac:dyDescent="0.2">
      <c r="A186" s="10"/>
      <c r="B186" s="10"/>
      <c r="C186" s="10"/>
      <c r="D186" s="12"/>
      <c r="E186" s="12"/>
      <c r="F186" s="12"/>
      <c r="G186" s="11"/>
      <c r="H186" s="10"/>
      <c r="I186" s="11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</row>
    <row r="187" spans="1:23" s="13" customFormat="1" x14ac:dyDescent="0.2">
      <c r="A187" s="10"/>
      <c r="B187" s="10"/>
      <c r="C187" s="10"/>
      <c r="D187" s="12"/>
      <c r="E187" s="12"/>
      <c r="F187" s="12"/>
      <c r="G187" s="11"/>
      <c r="H187" s="10"/>
      <c r="I187" s="11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</row>
    <row r="188" spans="1:23" s="13" customFormat="1" x14ac:dyDescent="0.2">
      <c r="A188" s="10"/>
      <c r="B188" s="10"/>
      <c r="C188" s="10"/>
      <c r="D188" s="12"/>
      <c r="E188" s="12"/>
      <c r="F188" s="12"/>
      <c r="G188" s="11"/>
      <c r="H188" s="10"/>
      <c r="I188" s="11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</row>
    <row r="189" spans="1:23" s="13" customFormat="1" x14ac:dyDescent="0.2">
      <c r="A189" s="10"/>
      <c r="B189" s="10"/>
      <c r="C189" s="10"/>
      <c r="D189" s="12"/>
      <c r="E189" s="12"/>
      <c r="F189" s="12"/>
      <c r="G189" s="11"/>
      <c r="H189" s="10"/>
      <c r="I189" s="11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</row>
    <row r="190" spans="1:23" s="13" customFormat="1" x14ac:dyDescent="0.2">
      <c r="A190" s="10"/>
      <c r="B190" s="10"/>
      <c r="C190" s="10"/>
      <c r="D190" s="12"/>
      <c r="E190" s="12"/>
      <c r="F190" s="12"/>
      <c r="G190" s="11"/>
      <c r="H190" s="10"/>
      <c r="I190" s="11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</row>
    <row r="191" spans="1:23" s="13" customFormat="1" x14ac:dyDescent="0.2">
      <c r="A191" s="10"/>
      <c r="B191" s="10"/>
      <c r="C191" s="10"/>
      <c r="D191" s="12"/>
      <c r="E191" s="12"/>
      <c r="F191" s="12"/>
      <c r="G191" s="11"/>
      <c r="H191" s="10"/>
      <c r="I191" s="11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</row>
    <row r="192" spans="1:23" s="13" customFormat="1" x14ac:dyDescent="0.2">
      <c r="A192" s="10"/>
      <c r="B192" s="10"/>
      <c r="C192" s="10"/>
      <c r="D192" s="12"/>
      <c r="E192" s="12"/>
      <c r="F192" s="12"/>
      <c r="G192" s="11"/>
      <c r="H192" s="10"/>
      <c r="I192" s="11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</row>
    <row r="193" spans="1:27" s="13" customFormat="1" x14ac:dyDescent="0.2">
      <c r="A193" s="10"/>
      <c r="B193" s="10"/>
      <c r="C193" s="10"/>
      <c r="D193" s="12"/>
      <c r="E193" s="12"/>
      <c r="F193" s="12"/>
      <c r="G193" s="11"/>
      <c r="H193" s="10"/>
      <c r="I193" s="11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</row>
    <row r="195" spans="1:27" x14ac:dyDescent="0.2">
      <c r="X195" s="14"/>
      <c r="Y195" s="14"/>
      <c r="Z195" s="14"/>
      <c r="AA195" s="14"/>
    </row>
    <row r="196" spans="1:27" x14ac:dyDescent="0.2">
      <c r="X196" s="14"/>
      <c r="Y196" s="14"/>
      <c r="Z196" s="14"/>
      <c r="AA196" s="14"/>
    </row>
    <row r="197" spans="1:27" x14ac:dyDescent="0.2">
      <c r="X197" s="14"/>
      <c r="Y197" s="14"/>
      <c r="Z197" s="14"/>
      <c r="AA197" s="14"/>
    </row>
    <row r="205" spans="1:27" s="13" customFormat="1" x14ac:dyDescent="0.2">
      <c r="A205" s="10"/>
      <c r="B205" s="10"/>
      <c r="C205" s="10"/>
      <c r="D205" s="12"/>
      <c r="E205" s="12"/>
      <c r="F205" s="12"/>
      <c r="G205" s="11"/>
      <c r="H205" s="10"/>
      <c r="I205" s="11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</row>
    <row r="214" spans="1:23" s="13" customFormat="1" x14ac:dyDescent="0.2">
      <c r="A214" s="10"/>
      <c r="B214" s="10"/>
      <c r="C214" s="10"/>
      <c r="D214" s="12"/>
      <c r="E214" s="12"/>
      <c r="F214" s="12"/>
      <c r="G214" s="11"/>
      <c r="H214" s="10"/>
      <c r="I214" s="11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</row>
    <row r="215" spans="1:23" s="13" customFormat="1" x14ac:dyDescent="0.2">
      <c r="A215" s="10"/>
      <c r="B215" s="10"/>
      <c r="C215" s="10"/>
      <c r="D215" s="12"/>
      <c r="E215" s="12"/>
      <c r="F215" s="12"/>
      <c r="G215" s="11"/>
      <c r="H215" s="10"/>
      <c r="I215" s="11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</row>
    <row r="216" spans="1:23" s="13" customFormat="1" x14ac:dyDescent="0.2">
      <c r="A216" s="10"/>
      <c r="B216" s="10"/>
      <c r="C216" s="10"/>
      <c r="D216" s="12"/>
      <c r="E216" s="12"/>
      <c r="F216" s="12"/>
      <c r="G216" s="11"/>
      <c r="H216" s="10"/>
      <c r="I216" s="11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</row>
    <row r="217" spans="1:23" s="13" customFormat="1" x14ac:dyDescent="0.2">
      <c r="A217" s="10"/>
      <c r="B217" s="10"/>
      <c r="C217" s="10"/>
      <c r="D217" s="12"/>
      <c r="E217" s="12"/>
      <c r="F217" s="12"/>
      <c r="G217" s="11"/>
      <c r="H217" s="10"/>
      <c r="I217" s="11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</row>
    <row r="218" spans="1:23" s="13" customFormat="1" x14ac:dyDescent="0.2">
      <c r="A218" s="10"/>
      <c r="B218" s="10"/>
      <c r="C218" s="10"/>
      <c r="D218" s="12"/>
      <c r="E218" s="12"/>
      <c r="F218" s="12"/>
      <c r="G218" s="11"/>
      <c r="H218" s="10"/>
      <c r="I218" s="11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</row>
    <row r="219" spans="1:23" s="13" customFormat="1" x14ac:dyDescent="0.2">
      <c r="A219" s="10"/>
      <c r="B219" s="10"/>
      <c r="C219" s="10"/>
      <c r="D219" s="12"/>
      <c r="E219" s="12"/>
      <c r="F219" s="12"/>
      <c r="G219" s="11"/>
      <c r="H219" s="10"/>
      <c r="I219" s="11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</row>
    <row r="220" spans="1:23" s="13" customFormat="1" x14ac:dyDescent="0.2">
      <c r="A220" s="10"/>
      <c r="B220" s="10"/>
      <c r="C220" s="10"/>
      <c r="D220" s="12"/>
      <c r="E220" s="12"/>
      <c r="F220" s="12"/>
      <c r="G220" s="11"/>
      <c r="H220" s="10"/>
      <c r="I220" s="11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</row>
    <row r="221" spans="1:23" s="13" customFormat="1" x14ac:dyDescent="0.2">
      <c r="A221" s="10"/>
      <c r="B221" s="10"/>
      <c r="C221" s="10"/>
      <c r="D221" s="12"/>
      <c r="E221" s="12"/>
      <c r="F221" s="12"/>
      <c r="G221" s="11"/>
      <c r="H221" s="10"/>
      <c r="I221" s="11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</row>
    <row r="222" spans="1:23" s="13" customFormat="1" x14ac:dyDescent="0.2">
      <c r="A222" s="10"/>
      <c r="B222" s="10"/>
      <c r="C222" s="10"/>
      <c r="D222" s="12"/>
      <c r="E222" s="12"/>
      <c r="F222" s="12"/>
      <c r="G222" s="11"/>
      <c r="H222" s="10"/>
      <c r="I222" s="11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</row>
    <row r="223" spans="1:23" s="13" customFormat="1" x14ac:dyDescent="0.2">
      <c r="A223" s="10"/>
      <c r="B223" s="10"/>
      <c r="C223" s="10"/>
      <c r="D223" s="12"/>
      <c r="E223" s="12"/>
      <c r="F223" s="12"/>
      <c r="G223" s="11"/>
      <c r="H223" s="10"/>
      <c r="I223" s="11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</row>
    <row r="224" spans="1:23" s="13" customFormat="1" x14ac:dyDescent="0.2">
      <c r="A224" s="10"/>
      <c r="B224" s="10"/>
      <c r="C224" s="10"/>
      <c r="D224" s="12"/>
      <c r="E224" s="12"/>
      <c r="F224" s="12"/>
      <c r="G224" s="11"/>
      <c r="H224" s="10"/>
      <c r="I224" s="11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</row>
    <row r="225" spans="1:23" s="13" customFormat="1" x14ac:dyDescent="0.2">
      <c r="A225" s="10"/>
      <c r="B225" s="10"/>
      <c r="C225" s="10"/>
      <c r="D225" s="12"/>
      <c r="E225" s="12"/>
      <c r="F225" s="12"/>
      <c r="G225" s="11"/>
      <c r="H225" s="10"/>
      <c r="I225" s="11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</row>
    <row r="226" spans="1:23" s="13" customFormat="1" x14ac:dyDescent="0.2">
      <c r="A226" s="10"/>
      <c r="B226" s="10"/>
      <c r="C226" s="10"/>
      <c r="D226" s="12"/>
      <c r="E226" s="12"/>
      <c r="F226" s="12"/>
      <c r="G226" s="11"/>
      <c r="H226" s="10"/>
      <c r="I226" s="11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</row>
    <row r="227" spans="1:23" s="13" customFormat="1" x14ac:dyDescent="0.2">
      <c r="A227" s="10"/>
      <c r="B227" s="10"/>
      <c r="C227" s="10"/>
      <c r="D227" s="12"/>
      <c r="E227" s="12"/>
      <c r="F227" s="12"/>
      <c r="G227" s="11"/>
      <c r="H227" s="10"/>
      <c r="I227" s="11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</row>
    <row r="228" spans="1:23" s="13" customFormat="1" x14ac:dyDescent="0.2">
      <c r="A228" s="10"/>
      <c r="B228" s="10"/>
      <c r="C228" s="10"/>
      <c r="D228" s="12"/>
      <c r="E228" s="12"/>
      <c r="F228" s="12"/>
      <c r="G228" s="11"/>
      <c r="H228" s="10"/>
      <c r="I228" s="11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</row>
    <row r="229" spans="1:23" s="13" customFormat="1" x14ac:dyDescent="0.2">
      <c r="A229" s="10"/>
      <c r="B229" s="10"/>
      <c r="C229" s="10"/>
      <c r="D229" s="12"/>
      <c r="E229" s="12"/>
      <c r="F229" s="12"/>
      <c r="G229" s="11"/>
      <c r="H229" s="10"/>
      <c r="I229" s="11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</row>
    <row r="230" spans="1:23" s="13" customFormat="1" x14ac:dyDescent="0.2">
      <c r="A230" s="10"/>
      <c r="B230" s="10"/>
      <c r="C230" s="10"/>
      <c r="D230" s="12"/>
      <c r="E230" s="12"/>
      <c r="F230" s="12"/>
      <c r="G230" s="11"/>
      <c r="H230" s="10"/>
      <c r="I230" s="11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</row>
    <row r="235" spans="1:23" ht="17.25" customHeight="1" x14ac:dyDescent="0.2"/>
  </sheetData>
  <mergeCells count="7">
    <mergeCell ref="B37:L37"/>
    <mergeCell ref="C1:W3"/>
    <mergeCell ref="C4:F4"/>
    <mergeCell ref="E6:F6"/>
    <mergeCell ref="H6:K6"/>
    <mergeCell ref="L6:M6"/>
    <mergeCell ref="O6:P6"/>
  </mergeCells>
  <printOptions headings="1" gridLines="1"/>
  <pageMargins left="0.75" right="0.75" top="1" bottom="1" header="0.5" footer="0.5"/>
  <pageSetup paperSize="5" scale="48" orientation="landscape" r:id="rId1"/>
  <headerFooter alignWithMargins="0">
    <oddHeader>&amp;CBy CLIN Spreadsheet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d0ebcfff-0d0c-434e-ba0b-4c35976e7274" xsi:nil="true"/>
    <lcf76f155ced4ddcb4097134ff3c332f xmlns="b2045b78-a943-4839-af4f-64e48a9336e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53E00F93C3CF47AE2FD91BA9CB52F0" ma:contentTypeVersion="16" ma:contentTypeDescription="Create a new document." ma:contentTypeScope="" ma:versionID="808209caa9d0b56b628c228bd4475210">
  <xsd:schema xmlns:xsd="http://www.w3.org/2001/XMLSchema" xmlns:xs="http://www.w3.org/2001/XMLSchema" xmlns:p="http://schemas.microsoft.com/office/2006/metadata/properties" xmlns:ns1="http://schemas.microsoft.com/sharepoint/v3" xmlns:ns2="b2045b78-a943-4839-af4f-64e48a9336e2" xmlns:ns3="d0ebcfff-0d0c-434e-ba0b-4c35976e7274" targetNamespace="http://schemas.microsoft.com/office/2006/metadata/properties" ma:root="true" ma:fieldsID="afad1b31d29c47d50cdb27e7f8160ae4" ns1:_="" ns2:_="" ns3:_="">
    <xsd:import namespace="http://schemas.microsoft.com/sharepoint/v3"/>
    <xsd:import namespace="b2045b78-a943-4839-af4f-64e48a9336e2"/>
    <xsd:import namespace="d0ebcfff-0d0c-434e-ba0b-4c35976e72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045b78-a943-4839-af4f-64e48a9336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ebcfff-0d0c-434e-ba0b-4c35976e727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2715264-d0f5-4d41-8c3a-28365e1ee9c1}" ma:internalName="TaxCatchAll" ma:showField="CatchAllData" ma:web="d0ebcfff-0d0c-434e-ba0b-4c35976e7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C4D41D-BF42-47A4-8BE0-DA92C3CF8E14}">
  <ds:schemaRefs>
    <ds:schemaRef ds:uri="b2045b78-a943-4839-af4f-64e48a9336e2"/>
    <ds:schemaRef ds:uri="d0ebcfff-0d0c-434e-ba0b-4c35976e7274"/>
    <ds:schemaRef ds:uri="http://www.w3.org/XML/1998/namespace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FF35C3C-4840-40E4-8484-7945EB4888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2E872F-81F2-41E7-B367-839FAB47D6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2045b78-a943-4839-af4f-64e48a9336e2"/>
    <ds:schemaRef ds:uri="d0ebcfff-0d0c-434e-ba0b-4c35976e72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Productive Hours</vt:lpstr>
      <vt:lpstr>WD Pricing</vt:lpstr>
    </vt:vector>
  </TitlesOfParts>
  <Manager/>
  <Company>US Army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Imhoff, James Mr CIV US USA</dc:creator>
  <cp:keywords/>
  <dc:description/>
  <cp:lastModifiedBy>Franks, Winston O CIV USARMY ACC MICC (USA)</cp:lastModifiedBy>
  <cp:revision/>
  <dcterms:created xsi:type="dcterms:W3CDTF">2023-09-18T19:51:17Z</dcterms:created>
  <dcterms:modified xsi:type="dcterms:W3CDTF">2026-03-19T14:17:35Z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0x0101001B53E00F93C3CF47AE2FD91BA9CB52F0</vt:lpwstr>
  </property>
  <property fmtid="{D5CDD505-2E9C-101B-9397-08002B2CF9AE}" pid="3" name="Order">
    <vt:r8>79571500</vt:r8>
  </property>
  <property fmtid="{D5CDD505-2E9C-101B-9397-08002B2CF9AE}" pid="4" name="MediaServiceImageTags">
    <vt:lpwstr/>
  </property>
</Properties>
</file>