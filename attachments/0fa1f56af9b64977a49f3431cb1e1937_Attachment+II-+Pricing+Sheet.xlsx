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armyeitaas-my.sharepoint-mil.us/personal/jessica_l_mchugh_civ_army_mil/Documents/Desktop/My contracts/W51AA1-26-Q-A026 Duct Work, Kitchen Hoods/Attachments/"/>
    </mc:Choice>
  </mc:AlternateContent>
  <xr:revisionPtr revIDLastSave="430" documentId="8_{3ECC2B95-DCFA-4702-A7A5-C14E14B509C0}" xr6:coauthVersionLast="47" xr6:coauthVersionMax="47" xr10:uidLastSave="{784B5B2C-3345-48C3-96F3-076170259CD1}"/>
  <bookViews>
    <workbookView xWindow="-120" yWindow="60" windowWidth="29040" windowHeight="15540" xr2:uid="{00000000-000D-0000-FFFF-FFFF00000000}"/>
  </bookViews>
  <sheets>
    <sheet name="Pricing Work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1" l="1"/>
  <c r="J20" i="1"/>
  <c r="O31" i="1"/>
  <c r="O23" i="1"/>
  <c r="O39" i="1" l="1"/>
  <c r="O15" i="1"/>
  <c r="O6" i="1"/>
  <c r="J45" i="1"/>
  <c r="J44" i="1"/>
  <c r="J43" i="1"/>
  <c r="J42" i="1"/>
  <c r="J41" i="1"/>
  <c r="J37" i="1"/>
  <c r="J36" i="1"/>
  <c r="J35" i="1"/>
  <c r="J34" i="1"/>
  <c r="J33" i="1"/>
  <c r="J29" i="1"/>
  <c r="J28" i="1"/>
  <c r="J27" i="1"/>
  <c r="J26" i="1"/>
  <c r="J25" i="1"/>
  <c r="J18" i="1"/>
  <c r="J19" i="1"/>
  <c r="J21" i="1"/>
  <c r="J9" i="1"/>
  <c r="J10" i="1"/>
  <c r="J11" i="1"/>
  <c r="J12" i="1"/>
  <c r="J8" i="1"/>
  <c r="J23" i="1" l="1"/>
  <c r="J39" i="1"/>
  <c r="O48" i="1" s="1"/>
  <c r="J31" i="1"/>
  <c r="J15" i="1" l="1"/>
  <c r="J6" i="1"/>
  <c r="O50" i="1" l="1"/>
</calcChain>
</file>

<file path=xl/sharedStrings.xml><?xml version="1.0" encoding="utf-8"?>
<sst xmlns="http://schemas.openxmlformats.org/spreadsheetml/2006/main" count="112" uniqueCount="36">
  <si>
    <t>Kitchen Exhaust Hood Cleaning</t>
  </si>
  <si>
    <t>Bldg 1A Cafeteria</t>
  </si>
  <si>
    <t>Bldg 335 CDC</t>
  </si>
  <si>
    <t>Bldg. 221 Teen CDC</t>
  </si>
  <si>
    <t>Bldg. 103 Reserve Center</t>
  </si>
  <si>
    <t>Bldg. 333 Landing</t>
  </si>
  <si>
    <t>Price per Hood</t>
  </si>
  <si>
    <t>Location</t>
  </si>
  <si>
    <t>Number of Hoods</t>
  </si>
  <si>
    <t>Total</t>
  </si>
  <si>
    <t>Ductwork Cleaning</t>
  </si>
  <si>
    <t>Loaded Labor Rate</t>
  </si>
  <si>
    <t>Number of Cleanings per Yr</t>
  </si>
  <si>
    <t>Number of Hours</t>
  </si>
  <si>
    <t>Total Evaluated Price (TEP)</t>
  </si>
  <si>
    <t>CLIN0001 Base Yr (FFP)</t>
  </si>
  <si>
    <t>CLIN0002 Base Yr (T&amp;M)</t>
  </si>
  <si>
    <t>W51AA126QA026</t>
  </si>
  <si>
    <t>ATTACHMENT 2  PRICING SHEET</t>
  </si>
  <si>
    <t>AA</t>
  </si>
  <si>
    <t>AB</t>
  </si>
  <si>
    <t>AC</t>
  </si>
  <si>
    <t>AD</t>
  </si>
  <si>
    <t>AE</t>
  </si>
  <si>
    <t>CLIN1001 Option Yr1 (FFP)</t>
  </si>
  <si>
    <t>CLIN1002 Option Yr 1 (T&amp;M)</t>
  </si>
  <si>
    <t>CLIN2002 Option Yr 2 (T&amp;M)</t>
  </si>
  <si>
    <t>CLIN2001 Option Yr2 (FFP)</t>
  </si>
  <si>
    <t>CLIN3001 Option Yr 3 (FFP)</t>
  </si>
  <si>
    <t>CLIN3002 Option Yr 3 (T&amp;M)</t>
  </si>
  <si>
    <t>CLIN4001 Option Yr 4 (FFP)</t>
  </si>
  <si>
    <t>CLIN4002 Option Yr 4 (T&amp;M)</t>
  </si>
  <si>
    <t>6-Month Option To extend Services</t>
  </si>
  <si>
    <t>Note: TEP will be used for "EVALUATION PURPOSES ONLY" as it includes an estimate for time and materials  (T&amp;M) for Ductwork cleaning based on historical data.  Ductwork Cleaning is an on-call service and actual hours performed can vary based on work orders issued. All Funding for duct work will be approved by the Contracting Officer Representative (COR) prior to commencement of any work.</t>
  </si>
  <si>
    <t>KITCHEN EXHAUST HOOD &amp; DUCT WORK CLEANING</t>
  </si>
  <si>
    <t>** This attachment shall be included as part of the offeror's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</si>
</sst>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0" fontId="0" fillId="0" borderId="0" xfId="0" applyAlignment="1">
      <alignment wrapText="1"/>
    </xf>
    <xf numFmtId="44" fontId="0" fillId="0" borderId="0" xfId="1" applyFont="1"/>
    <xf numFmtId="44" fontId="0" fillId="0" borderId="0" xfId="0" applyNumberFormat="1"/>
    <xf numFmtId="44" fontId="0" fillId="0" borderId="0" xfId="1" applyFont="1" applyFill="1" applyProtection="1">
      <protection locked="0"/>
    </xf>
    <xf numFmtId="44" fontId="2" fillId="0" borderId="0" xfId="1" applyFont="1"/>
    <xf numFmtId="0" fontId="2" fillId="2" borderId="0" xfId="0" applyFont="1" applyFill="1"/>
    <xf numFmtId="44" fontId="2" fillId="2" borderId="0" xfId="0" applyNumberFormat="1" applyFont="1" applyFill="1"/>
    <xf numFmtId="0" fontId="0" fillId="0" borderId="0" xfId="0" applyAlignment="1">
      <alignment vertical="top" wrapText="1"/>
    </xf>
    <xf numFmtId="0" fontId="0" fillId="3" borderId="0" xfId="0" applyFill="1" applyAlignment="1">
      <alignment wrapText="1"/>
    </xf>
    <xf numFmtId="0" fontId="0" fillId="3" borderId="0" xfId="0" applyFill="1"/>
    <xf numFmtId="164" fontId="0" fillId="0" borderId="0" xfId="2" applyNumberFormat="1" applyFont="1"/>
    <xf numFmtId="0" fontId="2" fillId="0" borderId="0" xfId="0" applyFont="1"/>
    <xf numFmtId="44" fontId="0" fillId="4" borderId="0" xfId="1" applyFont="1" applyFill="1" applyProtection="1">
      <protection locked="0"/>
    </xf>
    <xf numFmtId="0" fontId="3" fillId="0" borderId="0" xfId="0" applyFont="1"/>
    <xf numFmtId="0" fontId="0" fillId="2" borderId="0" xfId="0" applyFill="1"/>
    <xf numFmtId="44" fontId="2" fillId="2" borderId="0" xfId="1" applyFont="1" applyFill="1"/>
    <xf numFmtId="44" fontId="0" fillId="4" borderId="0" xfId="1" applyFont="1" applyFill="1"/>
    <xf numFmtId="0" fontId="4" fillId="2" borderId="0" xfId="0" applyFont="1" applyFill="1" applyAlignment="1">
      <alignment horizontal="left" vertical="top" wrapText="1"/>
    </xf>
    <xf numFmtId="0" fontId="0" fillId="0" borderId="0" xfId="0" applyAlignment="1">
      <alignment horizont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28575</xdr:colOff>
      <xdr:row>51</xdr:row>
      <xdr:rowOff>152400</xdr:rowOff>
    </xdr:from>
    <xdr:to>
      <xdr:col>13</xdr:col>
      <xdr:colOff>123825</xdr:colOff>
      <xdr:row>65</xdr:row>
      <xdr:rowOff>76200</xdr:rowOff>
    </xdr:to>
    <xdr:sp macro="" textlink="">
      <xdr:nvSpPr>
        <xdr:cNvPr id="2" name="TextBox 1">
          <a:extLst>
            <a:ext uri="{FF2B5EF4-FFF2-40B4-BE49-F238E27FC236}">
              <a16:creationId xmlns:a16="http://schemas.microsoft.com/office/drawing/2014/main" id="{5A592165-5856-1C56-BC9B-265D102F5F1F}"/>
            </a:ext>
          </a:extLst>
        </xdr:cNvPr>
        <xdr:cNvSpPr txBox="1"/>
      </xdr:nvSpPr>
      <xdr:spPr>
        <a:xfrm>
          <a:off x="1428750" y="16535400"/>
          <a:ext cx="7515225" cy="26289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Entries are Required in the Green Shaded cells.</a:t>
          </a:r>
        </a:p>
        <a:p>
          <a:endParaRPr lang="en-US" sz="1000"/>
        </a:p>
        <a:p>
          <a:r>
            <a:rPr lang="en-US" sz="1000"/>
            <a:t>Enter an HOURLY LABOR RATE for performing on-call duct work IAW PWS Section 2.2 (Duct Work Cleaning). This should be a fully burdened rate for each hour of labor</a:t>
          </a:r>
          <a:r>
            <a:rPr lang="en-US" sz="1000" baseline="0"/>
            <a:t>. Labor rates proposed will be the labor rate authorized to be charged against that CLIN. </a:t>
          </a:r>
          <a:r>
            <a:rPr lang="en-US" sz="1000"/>
            <a:t>The hours estimated for the duct work cleaning is strictly for use in evaluating offers and will not restrict or obligate the Government to a specified number of hours in any way. </a:t>
          </a:r>
        </a:p>
        <a:p>
          <a:endParaRPr lang="en-US" sz="1000"/>
        </a:p>
        <a:p>
          <a:r>
            <a:rPr lang="en-US" sz="1000"/>
            <a:t>As part of the price</a:t>
          </a:r>
          <a:r>
            <a:rPr lang="en-US" sz="1000" baseline="0"/>
            <a:t> evaluation, the Government will evaluate the option to extend services under clause 52.217-8 by adding one-half of the offeror's final option period price to the offeror's total price. Thus, the offeror's total price for the purpose of evaluation will include the base and option year periods, and one-half of the last extension option.</a:t>
          </a:r>
          <a:endParaRPr lang="en-US" sz="1000"/>
        </a:p>
        <a:p>
          <a:endParaRPr lang="en-US" sz="1000"/>
        </a:p>
        <a:p>
          <a:r>
            <a:rPr lang="en-US" sz="1000"/>
            <a:t>REMINDER:</a:t>
          </a:r>
          <a:r>
            <a:rPr lang="en-US" sz="1000" baseline="0"/>
            <a:t> Service Contract Labor Standards, FAR 37.107 and 41 USC Chapter 67, Service Contract Labor Standards, provides for minimum wages and fringe benefits as well as other conditions of work under certain types of service contracts. Service Contract Labor Standards are applicable to this acquisition. </a:t>
          </a:r>
          <a:endParaRPr lang="en-US" sz="1000"/>
        </a:p>
      </xdr:txBody>
    </xdr:sp>
    <xdr:clientData/>
  </xdr:twoCellAnchor>
  <xdr:twoCellAnchor>
    <xdr:from>
      <xdr:col>8</xdr:col>
      <xdr:colOff>0</xdr:colOff>
      <xdr:row>1</xdr:row>
      <xdr:rowOff>66675</xdr:rowOff>
    </xdr:from>
    <xdr:to>
      <xdr:col>14</xdr:col>
      <xdr:colOff>1009650</xdr:colOff>
      <xdr:row>3</xdr:row>
      <xdr:rowOff>171450</xdr:rowOff>
    </xdr:to>
    <xdr:sp macro="" textlink="">
      <xdr:nvSpPr>
        <xdr:cNvPr id="3" name="TextBox 2">
          <a:extLst>
            <a:ext uri="{FF2B5EF4-FFF2-40B4-BE49-F238E27FC236}">
              <a16:creationId xmlns:a16="http://schemas.microsoft.com/office/drawing/2014/main" id="{3D1397C5-55B2-4693-5005-016B6BC09B7E}"/>
            </a:ext>
          </a:extLst>
        </xdr:cNvPr>
        <xdr:cNvSpPr txBox="1"/>
      </xdr:nvSpPr>
      <xdr:spPr>
        <a:xfrm>
          <a:off x="5353050" y="257175"/>
          <a:ext cx="5295900" cy="48577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 Offerors are instructed to fill in the green</a:t>
          </a:r>
          <a:r>
            <a:rPr lang="en-US" sz="1100" baseline="0"/>
            <a:t> shaded cells. </a:t>
          </a:r>
        </a:p>
        <a:p>
          <a:r>
            <a:rPr lang="en-US" sz="1100" baseline="0"/>
            <a:t>The pricing shall also be populated on the signed SF1449.</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V62"/>
  <sheetViews>
    <sheetView showGridLines="0" tabSelected="1" topLeftCell="A12" zoomScaleNormal="100" workbookViewId="0">
      <selection activeCell="B13" sqref="B13"/>
    </sheetView>
  </sheetViews>
  <sheetFormatPr defaultRowHeight="15" x14ac:dyDescent="0.25"/>
  <cols>
    <col min="2" max="2" width="11.85546875" customWidth="1"/>
    <col min="7" max="7" width="11.140625" customWidth="1"/>
    <col min="8" max="9" width="11.5703125" customWidth="1"/>
    <col min="10" max="10" width="11.5703125" bestFit="1" customWidth="1"/>
    <col min="12" max="12" width="10.5703125" customWidth="1"/>
    <col min="14" max="14" width="12.28515625" customWidth="1"/>
    <col min="15" max="15" width="19" style="2" customWidth="1"/>
  </cols>
  <sheetData>
    <row r="2" spans="2:15" x14ac:dyDescent="0.25">
      <c r="B2" s="12" t="s">
        <v>34</v>
      </c>
    </row>
    <row r="3" spans="2:15" x14ac:dyDescent="0.25">
      <c r="B3" s="12" t="s">
        <v>17</v>
      </c>
    </row>
    <row r="4" spans="2:15" x14ac:dyDescent="0.25">
      <c r="B4" s="12" t="s">
        <v>18</v>
      </c>
    </row>
    <row r="5" spans="2:15" x14ac:dyDescent="0.25">
      <c r="B5" s="14" t="s">
        <v>35</v>
      </c>
    </row>
    <row r="6" spans="2:15" ht="45" x14ac:dyDescent="0.25">
      <c r="B6" s="9" t="s">
        <v>15</v>
      </c>
      <c r="C6" s="10" t="s">
        <v>0</v>
      </c>
      <c r="D6" s="10"/>
      <c r="E6" s="10"/>
      <c r="F6" s="10"/>
      <c r="J6" s="7">
        <f>SUM(J8:J12)</f>
        <v>0</v>
      </c>
      <c r="L6" s="9" t="s">
        <v>16</v>
      </c>
      <c r="M6" s="10" t="s">
        <v>10</v>
      </c>
      <c r="N6" s="10"/>
      <c r="O6" s="16">
        <f>N7*N8</f>
        <v>0</v>
      </c>
    </row>
    <row r="7" spans="2:15" ht="45" x14ac:dyDescent="0.25">
      <c r="D7" t="s">
        <v>7</v>
      </c>
      <c r="G7" s="1" t="s">
        <v>6</v>
      </c>
      <c r="H7" s="1" t="s">
        <v>8</v>
      </c>
      <c r="I7" s="1" t="s">
        <v>12</v>
      </c>
      <c r="J7" t="s">
        <v>9</v>
      </c>
      <c r="L7" s="19" t="s">
        <v>11</v>
      </c>
      <c r="M7" s="19"/>
      <c r="N7" s="13"/>
    </row>
    <row r="8" spans="2:15" x14ac:dyDescent="0.25">
      <c r="C8" t="s">
        <v>19</v>
      </c>
      <c r="D8" t="s">
        <v>1</v>
      </c>
      <c r="G8" s="13"/>
      <c r="H8">
        <v>5</v>
      </c>
      <c r="I8">
        <v>3</v>
      </c>
      <c r="J8" s="3">
        <f>G8*H8*I8</f>
        <v>0</v>
      </c>
      <c r="L8" s="19" t="s">
        <v>13</v>
      </c>
      <c r="M8" s="19"/>
      <c r="N8" s="11">
        <v>1040</v>
      </c>
    </row>
    <row r="9" spans="2:15" x14ac:dyDescent="0.25">
      <c r="C9" t="s">
        <v>20</v>
      </c>
      <c r="D9" t="s">
        <v>2</v>
      </c>
      <c r="G9" s="13"/>
      <c r="H9">
        <v>1</v>
      </c>
      <c r="I9">
        <v>2</v>
      </c>
      <c r="J9" s="3">
        <f t="shared" ref="J9:J12" si="0">G9*H9*I9</f>
        <v>0</v>
      </c>
    </row>
    <row r="10" spans="2:15" x14ac:dyDescent="0.25">
      <c r="C10" t="s">
        <v>21</v>
      </c>
      <c r="D10" t="s">
        <v>3</v>
      </c>
      <c r="G10" s="13"/>
      <c r="H10">
        <v>1</v>
      </c>
      <c r="I10">
        <v>2</v>
      </c>
      <c r="J10" s="3">
        <f t="shared" si="0"/>
        <v>0</v>
      </c>
    </row>
    <row r="11" spans="2:15" x14ac:dyDescent="0.25">
      <c r="C11" t="s">
        <v>22</v>
      </c>
      <c r="D11" t="s">
        <v>4</v>
      </c>
      <c r="G11" s="13"/>
      <c r="H11">
        <v>1</v>
      </c>
      <c r="I11">
        <v>1</v>
      </c>
      <c r="J11" s="3">
        <f t="shared" si="0"/>
        <v>0</v>
      </c>
    </row>
    <row r="12" spans="2:15" x14ac:dyDescent="0.25">
      <c r="C12" t="s">
        <v>23</v>
      </c>
      <c r="D12" t="s">
        <v>5</v>
      </c>
      <c r="G12" s="13"/>
      <c r="H12">
        <v>1</v>
      </c>
      <c r="I12">
        <v>1</v>
      </c>
      <c r="J12" s="3">
        <f t="shared" si="0"/>
        <v>0</v>
      </c>
    </row>
    <row r="13" spans="2:15" x14ac:dyDescent="0.25">
      <c r="J13" s="3"/>
    </row>
    <row r="15" spans="2:15" ht="45" x14ac:dyDescent="0.25">
      <c r="B15" s="9" t="s">
        <v>24</v>
      </c>
      <c r="C15" s="10" t="s">
        <v>0</v>
      </c>
      <c r="D15" s="10"/>
      <c r="E15" s="10"/>
      <c r="F15" s="10"/>
      <c r="J15" s="16">
        <f>SUM(J17:J21)</f>
        <v>0</v>
      </c>
      <c r="L15" s="9" t="s">
        <v>25</v>
      </c>
      <c r="M15" s="10" t="s">
        <v>10</v>
      </c>
      <c r="N15" s="10"/>
      <c r="O15" s="16">
        <f>N16*N17</f>
        <v>0</v>
      </c>
    </row>
    <row r="16" spans="2:15" ht="45" x14ac:dyDescent="0.25">
      <c r="D16" t="s">
        <v>7</v>
      </c>
      <c r="G16" s="1" t="s">
        <v>6</v>
      </c>
      <c r="H16" s="1" t="s">
        <v>8</v>
      </c>
      <c r="I16" s="1" t="s">
        <v>12</v>
      </c>
      <c r="J16" t="s">
        <v>9</v>
      </c>
      <c r="L16" t="s">
        <v>11</v>
      </c>
      <c r="N16" s="13"/>
    </row>
    <row r="17" spans="2:16" x14ac:dyDescent="0.25">
      <c r="C17" t="s">
        <v>19</v>
      </c>
      <c r="D17" t="s">
        <v>1</v>
      </c>
      <c r="G17" s="17"/>
      <c r="H17">
        <v>5</v>
      </c>
      <c r="I17">
        <v>3</v>
      </c>
      <c r="J17" s="2">
        <f>G17*H17*I17</f>
        <v>0</v>
      </c>
      <c r="L17" s="19" t="s">
        <v>13</v>
      </c>
      <c r="M17" s="19"/>
      <c r="N17" s="11">
        <v>1040</v>
      </c>
      <c r="P17" s="4"/>
    </row>
    <row r="18" spans="2:16" x14ac:dyDescent="0.25">
      <c r="C18" t="s">
        <v>20</v>
      </c>
      <c r="D18" t="s">
        <v>2</v>
      </c>
      <c r="G18" s="13"/>
      <c r="H18">
        <v>1</v>
      </c>
      <c r="I18">
        <v>2</v>
      </c>
      <c r="J18" s="2">
        <f t="shared" ref="J18:J21" si="1">G18*H18*I18</f>
        <v>0</v>
      </c>
      <c r="P18" s="4"/>
    </row>
    <row r="19" spans="2:16" x14ac:dyDescent="0.25">
      <c r="C19" t="s">
        <v>21</v>
      </c>
      <c r="D19" t="s">
        <v>3</v>
      </c>
      <c r="G19" s="13"/>
      <c r="H19">
        <v>1</v>
      </c>
      <c r="I19">
        <v>2</v>
      </c>
      <c r="J19" s="2">
        <f t="shared" si="1"/>
        <v>0</v>
      </c>
      <c r="P19" s="4"/>
    </row>
    <row r="20" spans="2:16" x14ac:dyDescent="0.25">
      <c r="C20" t="s">
        <v>22</v>
      </c>
      <c r="D20" t="s">
        <v>4</v>
      </c>
      <c r="G20" s="13"/>
      <c r="H20">
        <v>1</v>
      </c>
      <c r="I20">
        <v>1</v>
      </c>
      <c r="J20" s="2">
        <f>G20*H20*I20</f>
        <v>0</v>
      </c>
      <c r="P20" s="4"/>
    </row>
    <row r="21" spans="2:16" x14ac:dyDescent="0.25">
      <c r="C21" t="s">
        <v>23</v>
      </c>
      <c r="D21" t="s">
        <v>5</v>
      </c>
      <c r="G21" s="13"/>
      <c r="H21">
        <v>1</v>
      </c>
      <c r="I21">
        <v>1</v>
      </c>
      <c r="J21" s="2">
        <f t="shared" si="1"/>
        <v>0</v>
      </c>
      <c r="P21" s="4"/>
    </row>
    <row r="22" spans="2:16" x14ac:dyDescent="0.25">
      <c r="J22" s="3"/>
    </row>
    <row r="23" spans="2:16" ht="45" x14ac:dyDescent="0.25">
      <c r="B23" s="9" t="s">
        <v>27</v>
      </c>
      <c r="C23" s="10" t="s">
        <v>0</v>
      </c>
      <c r="D23" s="10"/>
      <c r="E23" s="10"/>
      <c r="F23" s="10"/>
      <c r="J23" s="16">
        <f>SUM(J25:J29)</f>
        <v>0</v>
      </c>
      <c r="L23" s="9" t="s">
        <v>26</v>
      </c>
      <c r="M23" s="10" t="s">
        <v>10</v>
      </c>
      <c r="N23" s="10"/>
      <c r="O23" s="16">
        <f>N24*N25</f>
        <v>0</v>
      </c>
    </row>
    <row r="24" spans="2:16" ht="45" x14ac:dyDescent="0.25">
      <c r="D24" t="s">
        <v>7</v>
      </c>
      <c r="G24" s="1" t="s">
        <v>6</v>
      </c>
      <c r="H24" s="1" t="s">
        <v>8</v>
      </c>
      <c r="I24" s="1" t="s">
        <v>12</v>
      </c>
      <c r="J24" t="s">
        <v>9</v>
      </c>
      <c r="L24" s="19" t="s">
        <v>11</v>
      </c>
      <c r="M24" s="19"/>
      <c r="N24" s="13"/>
    </row>
    <row r="25" spans="2:16" x14ac:dyDescent="0.25">
      <c r="C25" t="s">
        <v>19</v>
      </c>
      <c r="D25" t="s">
        <v>1</v>
      </c>
      <c r="G25" s="13"/>
      <c r="H25">
        <v>5</v>
      </c>
      <c r="I25">
        <v>3</v>
      </c>
      <c r="J25" s="3">
        <f>G25*H25*I25</f>
        <v>0</v>
      </c>
      <c r="L25" s="19" t="s">
        <v>13</v>
      </c>
      <c r="M25" s="19"/>
      <c r="N25" s="11">
        <v>1040</v>
      </c>
    </row>
    <row r="26" spans="2:16" x14ac:dyDescent="0.25">
      <c r="C26" t="s">
        <v>20</v>
      </c>
      <c r="D26" t="s">
        <v>2</v>
      </c>
      <c r="G26" s="13"/>
      <c r="H26">
        <v>1</v>
      </c>
      <c r="I26">
        <v>2</v>
      </c>
      <c r="J26" s="3">
        <f t="shared" ref="J26:J29" si="2">G26*H26*I26</f>
        <v>0</v>
      </c>
    </row>
    <row r="27" spans="2:16" x14ac:dyDescent="0.25">
      <c r="C27" t="s">
        <v>21</v>
      </c>
      <c r="D27" t="s">
        <v>3</v>
      </c>
      <c r="G27" s="13"/>
      <c r="H27">
        <v>1</v>
      </c>
      <c r="I27">
        <v>2</v>
      </c>
      <c r="J27" s="3">
        <f t="shared" si="2"/>
        <v>0</v>
      </c>
    </row>
    <row r="28" spans="2:16" x14ac:dyDescent="0.25">
      <c r="C28" t="s">
        <v>22</v>
      </c>
      <c r="D28" t="s">
        <v>4</v>
      </c>
      <c r="G28" s="13"/>
      <c r="H28">
        <v>1</v>
      </c>
      <c r="I28">
        <v>1</v>
      </c>
      <c r="J28" s="3">
        <f t="shared" si="2"/>
        <v>0</v>
      </c>
    </row>
    <row r="29" spans="2:16" x14ac:dyDescent="0.25">
      <c r="C29" t="s">
        <v>23</v>
      </c>
      <c r="D29" t="s">
        <v>5</v>
      </c>
      <c r="G29" s="13"/>
      <c r="H29">
        <v>1</v>
      </c>
      <c r="I29">
        <v>1</v>
      </c>
      <c r="J29" s="3">
        <f t="shared" si="2"/>
        <v>0</v>
      </c>
    </row>
    <row r="30" spans="2:16" x14ac:dyDescent="0.25">
      <c r="G30" s="4"/>
      <c r="J30" s="2"/>
    </row>
    <row r="31" spans="2:16" ht="45" x14ac:dyDescent="0.25">
      <c r="B31" s="9" t="s">
        <v>28</v>
      </c>
      <c r="C31" s="10" t="s">
        <v>0</v>
      </c>
      <c r="D31" s="10"/>
      <c r="E31" s="10"/>
      <c r="F31" s="10"/>
      <c r="J31" s="7">
        <f>SUM(J33:J37)</f>
        <v>0</v>
      </c>
      <c r="L31" s="9" t="s">
        <v>29</v>
      </c>
      <c r="M31" s="10" t="s">
        <v>10</v>
      </c>
      <c r="N31" s="10"/>
      <c r="O31" s="16">
        <f>N32*N33</f>
        <v>0</v>
      </c>
    </row>
    <row r="32" spans="2:16" ht="45" x14ac:dyDescent="0.25">
      <c r="D32" t="s">
        <v>7</v>
      </c>
      <c r="G32" s="1" t="s">
        <v>6</v>
      </c>
      <c r="H32" s="1" t="s">
        <v>8</v>
      </c>
      <c r="I32" s="1" t="s">
        <v>12</v>
      </c>
      <c r="J32" t="s">
        <v>9</v>
      </c>
      <c r="L32" s="19" t="s">
        <v>11</v>
      </c>
      <c r="M32" s="19"/>
      <c r="N32" s="13"/>
    </row>
    <row r="33" spans="2:15" x14ac:dyDescent="0.25">
      <c r="C33" t="s">
        <v>19</v>
      </c>
      <c r="D33" t="s">
        <v>1</v>
      </c>
      <c r="G33" s="13"/>
      <c r="H33">
        <v>5</v>
      </c>
      <c r="I33">
        <v>3</v>
      </c>
      <c r="J33" s="3">
        <f>G33*H33*I33</f>
        <v>0</v>
      </c>
      <c r="L33" s="19" t="s">
        <v>13</v>
      </c>
      <c r="M33" s="19"/>
      <c r="N33" s="11">
        <v>1040</v>
      </c>
    </row>
    <row r="34" spans="2:15" x14ac:dyDescent="0.25">
      <c r="C34" t="s">
        <v>20</v>
      </c>
      <c r="D34" t="s">
        <v>2</v>
      </c>
      <c r="G34" s="13"/>
      <c r="H34">
        <v>1</v>
      </c>
      <c r="I34">
        <v>2</v>
      </c>
      <c r="J34" s="3">
        <f t="shared" ref="J34:J37" si="3">G34*H34*I34</f>
        <v>0</v>
      </c>
    </row>
    <row r="35" spans="2:15" x14ac:dyDescent="0.25">
      <c r="C35" t="s">
        <v>21</v>
      </c>
      <c r="D35" t="s">
        <v>3</v>
      </c>
      <c r="G35" s="13"/>
      <c r="H35">
        <v>1</v>
      </c>
      <c r="I35">
        <v>2</v>
      </c>
      <c r="J35" s="3">
        <f t="shared" si="3"/>
        <v>0</v>
      </c>
    </row>
    <row r="36" spans="2:15" x14ac:dyDescent="0.25">
      <c r="C36" t="s">
        <v>22</v>
      </c>
      <c r="D36" t="s">
        <v>4</v>
      </c>
      <c r="G36" s="13"/>
      <c r="H36">
        <v>1</v>
      </c>
      <c r="I36">
        <v>1</v>
      </c>
      <c r="J36" s="3">
        <f t="shared" si="3"/>
        <v>0</v>
      </c>
    </row>
    <row r="37" spans="2:15" x14ac:dyDescent="0.25">
      <c r="C37" t="s">
        <v>23</v>
      </c>
      <c r="D37" t="s">
        <v>5</v>
      </c>
      <c r="G37" s="13"/>
      <c r="H37">
        <v>1</v>
      </c>
      <c r="I37">
        <v>1</v>
      </c>
      <c r="J37" s="3">
        <f t="shared" si="3"/>
        <v>0</v>
      </c>
    </row>
    <row r="39" spans="2:15" ht="45" x14ac:dyDescent="0.25">
      <c r="B39" s="9" t="s">
        <v>30</v>
      </c>
      <c r="C39" s="10" t="s">
        <v>0</v>
      </c>
      <c r="D39" s="10"/>
      <c r="E39" s="10"/>
      <c r="F39" s="10"/>
      <c r="J39" s="7">
        <f>SUM(J41:J45)</f>
        <v>0</v>
      </c>
      <c r="L39" s="9" t="s">
        <v>31</v>
      </c>
      <c r="M39" s="10" t="s">
        <v>10</v>
      </c>
      <c r="N39" s="10"/>
      <c r="O39" s="16">
        <f>N40*N41</f>
        <v>0</v>
      </c>
    </row>
    <row r="40" spans="2:15" ht="45" x14ac:dyDescent="0.25">
      <c r="D40" t="s">
        <v>7</v>
      </c>
      <c r="G40" s="1" t="s">
        <v>6</v>
      </c>
      <c r="H40" s="1" t="s">
        <v>8</v>
      </c>
      <c r="I40" s="1" t="s">
        <v>12</v>
      </c>
      <c r="J40" t="s">
        <v>9</v>
      </c>
      <c r="L40" s="19" t="s">
        <v>11</v>
      </c>
      <c r="M40" s="19"/>
      <c r="N40" s="13"/>
    </row>
    <row r="41" spans="2:15" x14ac:dyDescent="0.25">
      <c r="C41" t="s">
        <v>19</v>
      </c>
      <c r="D41" t="s">
        <v>1</v>
      </c>
      <c r="G41" s="13"/>
      <c r="H41">
        <v>5</v>
      </c>
      <c r="I41">
        <v>3</v>
      </c>
      <c r="J41" s="3">
        <f>G41*H41*I41</f>
        <v>0</v>
      </c>
      <c r="L41" s="19" t="s">
        <v>13</v>
      </c>
      <c r="M41" s="19"/>
      <c r="N41" s="11">
        <v>1040</v>
      </c>
    </row>
    <row r="42" spans="2:15" x14ac:dyDescent="0.25">
      <c r="C42" t="s">
        <v>20</v>
      </c>
      <c r="D42" t="s">
        <v>2</v>
      </c>
      <c r="G42" s="13"/>
      <c r="H42">
        <v>1</v>
      </c>
      <c r="I42">
        <v>2</v>
      </c>
      <c r="J42" s="3">
        <f t="shared" ref="J42:J45" si="4">G42*H42*I42</f>
        <v>0</v>
      </c>
    </row>
    <row r="43" spans="2:15" x14ac:dyDescent="0.25">
      <c r="C43" t="s">
        <v>21</v>
      </c>
      <c r="D43" t="s">
        <v>3</v>
      </c>
      <c r="G43" s="13"/>
      <c r="H43">
        <v>1</v>
      </c>
      <c r="I43">
        <v>2</v>
      </c>
      <c r="J43" s="3">
        <f t="shared" si="4"/>
        <v>0</v>
      </c>
    </row>
    <row r="44" spans="2:15" x14ac:dyDescent="0.25">
      <c r="C44" t="s">
        <v>22</v>
      </c>
      <c r="D44" t="s">
        <v>4</v>
      </c>
      <c r="G44" s="13"/>
      <c r="H44">
        <v>1</v>
      </c>
      <c r="I44">
        <v>1</v>
      </c>
      <c r="J44" s="3">
        <f t="shared" si="4"/>
        <v>0</v>
      </c>
    </row>
    <row r="45" spans="2:15" x14ac:dyDescent="0.25">
      <c r="C45" t="s">
        <v>23</v>
      </c>
      <c r="D45" t="s">
        <v>5</v>
      </c>
      <c r="G45" s="13"/>
      <c r="H45">
        <v>1</v>
      </c>
      <c r="I45">
        <v>1</v>
      </c>
      <c r="J45" s="3">
        <f t="shared" si="4"/>
        <v>0</v>
      </c>
    </row>
    <row r="46" spans="2:15" x14ac:dyDescent="0.25">
      <c r="G46" s="4"/>
      <c r="J46" s="3"/>
    </row>
    <row r="47" spans="2:15" x14ac:dyDescent="0.25">
      <c r="G47" s="4"/>
      <c r="J47" s="3"/>
    </row>
    <row r="48" spans="2:15" x14ac:dyDescent="0.25">
      <c r="L48" s="6" t="s">
        <v>32</v>
      </c>
      <c r="M48" s="15"/>
      <c r="N48" s="15"/>
      <c r="O48" s="16">
        <f>(J39+O39)/2</f>
        <v>0</v>
      </c>
    </row>
    <row r="50" spans="3:22" x14ac:dyDescent="0.25">
      <c r="K50" s="6" t="s">
        <v>14</v>
      </c>
      <c r="L50" s="6"/>
      <c r="M50" s="6"/>
      <c r="N50" s="7"/>
      <c r="O50" s="5">
        <f>J6+O6+J15+O15+J23+O23+J31+O31+J39+O39+O48</f>
        <v>0</v>
      </c>
      <c r="P50" s="18" t="s">
        <v>33</v>
      </c>
      <c r="Q50" s="18"/>
      <c r="R50" s="18"/>
      <c r="S50" s="18"/>
      <c r="T50" s="18"/>
      <c r="U50" s="18"/>
      <c r="V50" s="18"/>
    </row>
    <row r="51" spans="3:22" x14ac:dyDescent="0.25">
      <c r="P51" s="18"/>
      <c r="Q51" s="18"/>
      <c r="R51" s="18"/>
      <c r="S51" s="18"/>
      <c r="T51" s="18"/>
      <c r="U51" s="18"/>
      <c r="V51" s="18"/>
    </row>
    <row r="52" spans="3:22" ht="15" customHeight="1" x14ac:dyDescent="0.25">
      <c r="P52" s="18"/>
      <c r="Q52" s="18"/>
      <c r="R52" s="18"/>
      <c r="S52" s="18"/>
      <c r="T52" s="18"/>
      <c r="U52" s="18"/>
      <c r="V52" s="18"/>
    </row>
    <row r="53" spans="3:22" x14ac:dyDescent="0.25">
      <c r="P53" s="18"/>
      <c r="Q53" s="18"/>
      <c r="R53" s="18"/>
      <c r="S53" s="18"/>
      <c r="T53" s="18"/>
      <c r="U53" s="18"/>
      <c r="V53" s="18"/>
    </row>
    <row r="54" spans="3:22" ht="18" customHeight="1" x14ac:dyDescent="0.25">
      <c r="C54" s="1"/>
      <c r="D54" s="1"/>
      <c r="E54" s="1"/>
      <c r="F54" s="1"/>
      <c r="G54" s="1"/>
      <c r="H54" s="1"/>
      <c r="I54" s="1"/>
      <c r="J54" s="1"/>
      <c r="K54" s="1"/>
      <c r="L54" s="1"/>
      <c r="P54" s="18"/>
      <c r="Q54" s="18"/>
      <c r="R54" s="18"/>
      <c r="S54" s="18"/>
      <c r="T54" s="18"/>
      <c r="U54" s="18"/>
      <c r="V54" s="18"/>
    </row>
    <row r="55" spans="3:22" ht="19.5" hidden="1" customHeight="1" x14ac:dyDescent="0.25">
      <c r="C55" s="1"/>
      <c r="D55" s="1"/>
      <c r="E55" s="1"/>
      <c r="F55" s="1"/>
      <c r="G55" s="1"/>
      <c r="H55" s="1"/>
      <c r="I55" s="1"/>
      <c r="J55" s="1"/>
      <c r="K55" s="1"/>
      <c r="L55" s="1"/>
      <c r="P55" s="18"/>
      <c r="Q55" s="18"/>
      <c r="R55" s="18"/>
      <c r="S55" s="18"/>
      <c r="T55" s="18"/>
      <c r="U55" s="18"/>
      <c r="V55" s="18"/>
    </row>
    <row r="56" spans="3:22" ht="15" customHeight="1" x14ac:dyDescent="0.25">
      <c r="C56" s="1"/>
      <c r="D56" s="1"/>
      <c r="E56" s="1"/>
      <c r="F56" s="1"/>
      <c r="G56" s="1"/>
      <c r="H56" s="1"/>
      <c r="I56" s="1"/>
      <c r="J56" s="1"/>
      <c r="K56" s="1"/>
      <c r="L56" s="1"/>
    </row>
    <row r="57" spans="3:22" ht="15.75" customHeight="1" x14ac:dyDescent="0.25">
      <c r="C57" s="1"/>
      <c r="D57" s="1"/>
      <c r="E57" s="1"/>
      <c r="F57" s="1"/>
      <c r="G57" s="1"/>
      <c r="H57" s="1"/>
      <c r="I57" s="1"/>
      <c r="J57" s="1"/>
      <c r="K57" s="1"/>
      <c r="L57" s="1"/>
    </row>
    <row r="58" spans="3:22" x14ac:dyDescent="0.25">
      <c r="C58" s="1"/>
      <c r="D58" s="1"/>
      <c r="E58" s="1"/>
      <c r="F58" s="1"/>
      <c r="G58" s="1"/>
      <c r="H58" s="1"/>
      <c r="I58" s="1"/>
      <c r="J58" s="1"/>
      <c r="K58" s="1"/>
      <c r="L58" s="1"/>
      <c r="M58" s="8"/>
      <c r="N58" s="8"/>
    </row>
    <row r="59" spans="3:22" x14ac:dyDescent="0.25">
      <c r="C59" s="1"/>
      <c r="D59" s="1"/>
      <c r="E59" s="1"/>
      <c r="F59" s="1"/>
      <c r="G59" s="1"/>
      <c r="H59" s="1"/>
      <c r="I59" s="1"/>
      <c r="J59" s="1"/>
      <c r="K59" s="1"/>
      <c r="L59" s="1"/>
      <c r="M59" s="8"/>
      <c r="N59" s="8"/>
    </row>
    <row r="60" spans="3:22" x14ac:dyDescent="0.25">
      <c r="C60" s="1"/>
      <c r="D60" s="1"/>
      <c r="E60" s="1"/>
      <c r="F60" s="1"/>
      <c r="G60" s="1"/>
      <c r="H60" s="1"/>
      <c r="I60" s="1"/>
      <c r="J60" s="1"/>
      <c r="K60" s="1"/>
      <c r="L60" s="1"/>
      <c r="M60" s="8"/>
      <c r="N60" s="8"/>
    </row>
    <row r="61" spans="3:22" x14ac:dyDescent="0.25">
      <c r="C61" s="1"/>
      <c r="D61" s="1"/>
      <c r="E61" s="1"/>
      <c r="F61" s="1"/>
      <c r="G61" s="1"/>
      <c r="H61" s="1"/>
      <c r="I61" s="1"/>
      <c r="J61" s="1"/>
      <c r="K61" s="1"/>
      <c r="L61" s="1"/>
      <c r="M61" s="8"/>
      <c r="N61" s="8"/>
    </row>
    <row r="62" spans="3:22" x14ac:dyDescent="0.25">
      <c r="C62" s="1"/>
      <c r="D62" s="1"/>
      <c r="E62" s="1"/>
      <c r="F62" s="1"/>
      <c r="G62" s="1"/>
      <c r="H62" s="1"/>
      <c r="I62" s="1"/>
      <c r="J62" s="1"/>
      <c r="K62" s="1"/>
      <c r="L62" s="1"/>
    </row>
  </sheetData>
  <mergeCells count="10">
    <mergeCell ref="P50:V55"/>
    <mergeCell ref="L8:M8"/>
    <mergeCell ref="L7:M7"/>
    <mergeCell ref="L17:M17"/>
    <mergeCell ref="L32:M32"/>
    <mergeCell ref="L33:M33"/>
    <mergeCell ref="L40:M40"/>
    <mergeCell ref="L41:M41"/>
    <mergeCell ref="L24:M24"/>
    <mergeCell ref="L25:M25"/>
  </mergeCells>
  <pageMargins left="0.7" right="0.7" top="0.75" bottom="0.75" header="0.3" footer="0.3"/>
  <pageSetup scale="95" fitToHeight="0" orientation="landscape" horizontalDpi="200" verticalDpi="200" r:id="rId1"/>
  <drawing r:id="rId2"/>
</worksheet>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Pricing Worksheet</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Ramsey, Jacqueline</dc:creator>
  <cp:lastModifiedBy>Mchugh, Jessica L CIV USARMY ACC (USA)</cp:lastModifiedBy>
  <cp:lastPrinted>2020-02-25T14:45:36Z</cp:lastPrinted>
  <dcterms:created xsi:type="dcterms:W3CDTF">2020-01-28T14:40:29Z</dcterms:created>
  <dcterms:modified xsi:type="dcterms:W3CDTF">2026-04-29T13:23:39Z</dcterms:modified>
</cp:coreProperties>
</file>