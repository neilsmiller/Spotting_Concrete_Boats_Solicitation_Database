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I:\Contracting\Matthew Phillips\FY 2026\Req 1161842 Reprocurement Janitorial Services AMS CT Memphis TN\"/>
    </mc:Choice>
  </mc:AlternateContent>
  <xr:revisionPtr revIDLastSave="0" documentId="13_ncr:1_{0D1454C7-71DB-41EA-A630-5D84AB3F148C}" xr6:coauthVersionLast="47" xr6:coauthVersionMax="47" xr10:uidLastSave="{00000000-0000-0000-0000-000000000000}"/>
  <bookViews>
    <workbookView xWindow="-108" yWindow="-108" windowWidth="23256" windowHeight="12456" xr2:uid="{CE3D0B6B-A6BC-4AC9-93B1-CAC951234F53}"/>
  </bookViews>
  <sheets>
    <sheet name="Sheet1" sheetId="1" r:id="rId1"/>
  </sheets>
  <definedNames>
    <definedName name="_xlnm.Print_Area" localSheetId="0">Sheet1!$A$1:$E$24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3" i="1" l="1"/>
  <c r="E50" i="1"/>
  <c r="E47" i="1"/>
  <c r="E44" i="1"/>
  <c r="E41" i="1"/>
  <c r="E35" i="1"/>
  <c r="E34" i="1"/>
  <c r="E33" i="1"/>
  <c r="E30" i="1"/>
  <c r="E29" i="1"/>
  <c r="E28" i="1"/>
  <c r="E25" i="1"/>
  <c r="E24" i="1"/>
  <c r="E23" i="1"/>
  <c r="E20" i="1"/>
  <c r="E19" i="1"/>
  <c r="E18" i="1"/>
  <c r="E15" i="1"/>
  <c r="E14" i="1"/>
  <c r="E13" i="1"/>
  <c r="E37" i="1" l="1"/>
</calcChain>
</file>

<file path=xl/sharedStrings.xml><?xml version="1.0" encoding="utf-8"?>
<sst xmlns="http://schemas.openxmlformats.org/spreadsheetml/2006/main" count="131" uniqueCount="49">
  <si>
    <t>PRICE QUOTATION FOR JANITORIAL SERVICES</t>
  </si>
  <si>
    <t>LINE ITEM</t>
  </si>
  <si>
    <t>DESCRIPTION OF SERVICES</t>
  </si>
  <si>
    <t>QUANTITY/UNIT</t>
  </si>
  <si>
    <t>0001</t>
  </si>
  <si>
    <t>COMPLETE BLUE SHADED AREAS</t>
  </si>
  <si>
    <t xml:space="preserve">SAM.gov UEI: </t>
  </si>
  <si>
    <t>ATTACHMENT 2</t>
  </si>
  <si>
    <t>0002</t>
  </si>
  <si>
    <t>0003</t>
  </si>
  <si>
    <t>Total Evaluated Price for Standard Services (All Ordering Periods Combined)</t>
  </si>
  <si>
    <t>1001</t>
  </si>
  <si>
    <t>1002</t>
  </si>
  <si>
    <t>1003</t>
  </si>
  <si>
    <t>2001</t>
  </si>
  <si>
    <t>2002</t>
  </si>
  <si>
    <t>2003</t>
  </si>
  <si>
    <t>3001</t>
  </si>
  <si>
    <t>3002</t>
  </si>
  <si>
    <t>3003</t>
  </si>
  <si>
    <t>4001</t>
  </si>
  <si>
    <t>4002</t>
  </si>
  <si>
    <t>4003</t>
  </si>
  <si>
    <t>0004</t>
  </si>
  <si>
    <t>1004</t>
  </si>
  <si>
    <t>2004</t>
  </si>
  <si>
    <t>3004</t>
  </si>
  <si>
    <t>4004</t>
  </si>
  <si>
    <t>SOLICITATION 12639526Q0120</t>
  </si>
  <si>
    <t>USDA, AMS, COTTON &amp; TOBACCO PROGRAM</t>
  </si>
  <si>
    <t>Memphis, TN</t>
  </si>
  <si>
    <t xml:space="preserve">VENDOR NAME: </t>
  </si>
  <si>
    <t>Ordering Period 1 (08/01/2026 - 07/31/2027)</t>
  </si>
  <si>
    <t>JANITORIAL SERVICES</t>
  </si>
  <si>
    <t>1 Shift (8 hrs.)</t>
  </si>
  <si>
    <t>2 Shifts (16 hrs.)</t>
  </si>
  <si>
    <t>3 Shifts (24 hrs.)</t>
  </si>
  <si>
    <t>Ordering Period 2 (08/01/2027 - 07/31/2028)</t>
  </si>
  <si>
    <t>Ordering Period 3 (08/01/2028 - 07/31/2029)</t>
  </si>
  <si>
    <t>Ordering Period 4 (08/01/2029 - 07/31/2030)</t>
  </si>
  <si>
    <t>Ordering Period 5 (08/01/2030 - 07/31/2031)</t>
  </si>
  <si>
    <t>ABOVE STANDARD (AS-NEEDED) JANITORIAL SERVICES: USDA may order Above Standard (As-Needed) Services (Emergency or Special Event Cleaning Services) as outlined below at its discretion at any time throughout the period of performance of the IDIQ contract. If ordered, USDA will issue a task order for the additional service ordered, containing a firm fixed-price (per task) as awarded and applicable for the Ordering Period that the Above Standard Service is ordered within. If Above Standard Services are ordered and the total of the order is $2,500.00 or less, the order may be paid via Government Purchase Card (GPC) (credit card). The Contractor must have and maintain the ability to accept major credit cards.</t>
  </si>
  <si>
    <t>Emergency or Special Event Janitorial Services</t>
  </si>
  <si>
    <t>UNIT PRICE (Price per hour)</t>
  </si>
  <si>
    <t>EXTENDED PRICE (Price per hour)</t>
  </si>
  <si>
    <t>PER ONE HOUR</t>
  </si>
  <si>
    <t>UNIT PRICE PER SHIFT</t>
  </si>
  <si>
    <t>EXTENDED EVALUATED PRICE</t>
  </si>
  <si>
    <t>STANDARD JANITORIAL SERVICES (Ref. Sec. C.4 &amp; C.5) - NOTE: FOR PRICE EVALUATION PURPOSES ONLY, QUOTED UNIT PRICES FOR ONE (1) SHIFT ARE MULTIPLIED BY 34 WEEKS (5 DAYS PER WEEK/170 DAYS), QUOTED UNIT PRICES FOR TWO (2) SHIFTS ARE MULTIPLIED BY 12 WEEKS (7 DAYS PER WEEK/84 DAYS), AND QUOTED UNIT PRICES FOR THREE (3) SHIFTS ARE MULTIPLIED BY SIX (6) WEEKS (7 DAYS PER WEEK/42 DAYS). ACTUAL ORDERS FOR JANITORIAL SERVICES &amp; SHIFTS REQUIRED WILL VARY.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</si>
</sst>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7" formatCode="&quot;$&quot;#,##0.00_);\(&quot;$&quot;#,##0.00\)"/>
    <numFmt numFmtId="44" formatCode="_(&quot;$&quot;* #,##0.00_);_(&quot;$&quot;* \(#,##0.00\);_(&quot;$&quot;* &quot;-&quot;??_);_(@_)"/>
    <numFmt numFmtId="164" formatCode="&quot;$&quot;#,##0.00"/>
  </numFmts>
  <fonts count="11" x14ac:knownFonts="1">
    <font>
      <sz val="11"/>
      <color theme="1"/>
      <name val="Calibri"/>
      <family val="2"/>
      <scheme val="minor"/>
    </font>
    <font>
      <sz val="11"/>
      <color theme="1"/>
      <name val="Arial Nova"/>
      <family val="2"/>
    </font>
    <font>
      <sz val="11"/>
      <color theme="1"/>
      <name val="Calibri"/>
      <family val="2"/>
      <scheme val="minor"/>
    </font>
    <font>
      <b/>
      <sz val="12"/>
      <color rgb="FF000000"/>
      <name val="Arial"/>
      <family val="2"/>
    </font>
    <font>
      <b/>
      <sz val="10"/>
      <color rgb="FF000000"/>
      <name val="Arial"/>
      <family val="2"/>
    </font>
    <font>
      <sz val="12"/>
      <color theme="1"/>
      <name val="Arial"/>
      <family val="2"/>
    </font>
    <font>
      <b/>
      <sz val="12"/>
      <color theme="1"/>
      <name val="Arial"/>
      <family val="2"/>
    </font>
    <font>
      <sz val="12"/>
      <color rgb="FF000000"/>
      <name val="Arial"/>
      <family val="2"/>
    </font>
    <font>
      <b/>
      <sz val="14"/>
      <color theme="1"/>
      <name val="Arial Nova"/>
      <family val="2"/>
    </font>
    <font>
      <sz val="12"/>
      <color theme="1"/>
      <name val="Calibri"/>
      <family val="2"/>
      <scheme val="minor"/>
    </font>
    <font>
      <b/>
      <sz val="10"/>
      <color theme="1"/>
      <name val="Arial"/>
      <family val="2"/>
    </font>
  </fonts>
  <fills count="8">
    <fill>
      <patternFill patternType="none"/>
    </fill>
    <fill>
      <patternFill patternType="gray125"/>
    </fill>
    <fill>
      <patternFill patternType="solid">
        <fgColor rgb="FFD6E3BC"/>
        <bgColor indexed="64"/>
      </patternFill>
    </fill>
    <fill>
      <patternFill patternType="solid">
        <fgColor rgb="FFFFFFFF"/>
        <bgColor indexed="64"/>
      </patternFill>
    </fill>
    <fill>
      <patternFill patternType="solid">
        <fgColor theme="8" tint="0.79998168889431442"/>
        <bgColor indexed="64"/>
      </patternFill>
    </fill>
    <fill>
      <patternFill patternType="solid">
        <fgColor rgb="FFFFFF00"/>
        <bgColor indexed="64"/>
      </patternFill>
    </fill>
    <fill>
      <patternFill patternType="solid">
        <fgColor theme="1"/>
        <bgColor indexed="64"/>
      </patternFill>
    </fill>
    <fill>
      <patternFill patternType="solid">
        <fgColor theme="9" tint="0.59999389629810485"/>
        <bgColor indexed="64"/>
      </patternFill>
    </fill>
  </fills>
  <borders count="30">
    <border>
      <left/>
      <right/>
      <top/>
      <bottom/>
      <diagonal/>
    </border>
    <border>
      <left/>
      <right/>
      <top style="medium">
        <color rgb="FFCCCCCC"/>
      </top>
      <bottom style="medium">
        <color rgb="FFCCCCCC"/>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rgb="FFCCCCCC"/>
      </top>
      <bottom/>
      <diagonal/>
    </border>
    <border>
      <left/>
      <right/>
      <top style="medium">
        <color indexed="64"/>
      </top>
      <bottom style="medium">
        <color rgb="FFCCCCCC"/>
      </bottom>
      <diagonal/>
    </border>
    <border>
      <left style="medium">
        <color indexed="64"/>
      </left>
      <right/>
      <top style="medium">
        <color indexed="64"/>
      </top>
      <bottom style="medium">
        <color rgb="FFCCCCCC"/>
      </bottom>
      <diagonal/>
    </border>
    <border>
      <left/>
      <right style="medium">
        <color indexed="64"/>
      </right>
      <top style="medium">
        <color indexed="64"/>
      </top>
      <bottom style="medium">
        <color rgb="FFCCCCCC"/>
      </bottom>
      <diagonal/>
    </border>
    <border>
      <left style="medium">
        <color indexed="64"/>
      </left>
      <right/>
      <top style="medium">
        <color rgb="FFCCCCCC"/>
      </top>
      <bottom style="medium">
        <color rgb="FFCCCCCC"/>
      </bottom>
      <diagonal/>
    </border>
    <border>
      <left/>
      <right style="medium">
        <color indexed="64"/>
      </right>
      <top style="medium">
        <color rgb="FFCCCCCC"/>
      </top>
      <bottom style="medium">
        <color rgb="FFCCCCCC"/>
      </bottom>
      <diagonal/>
    </border>
    <border>
      <left style="medium">
        <color indexed="64"/>
      </left>
      <right/>
      <top style="medium">
        <color rgb="FFCCCCCC"/>
      </top>
      <bottom/>
      <diagonal/>
    </border>
    <border>
      <left/>
      <right style="medium">
        <color indexed="64"/>
      </right>
      <top style="medium">
        <color rgb="FFCCCCCC"/>
      </top>
      <bottom/>
      <diagonal/>
    </border>
    <border>
      <left style="medium">
        <color indexed="64"/>
      </left>
      <right/>
      <top/>
      <bottom/>
      <diagonal/>
    </border>
    <border>
      <left/>
      <right style="medium">
        <color indexed="64"/>
      </right>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rgb="FFCCCCCC"/>
      </left>
      <right style="medium">
        <color indexed="64"/>
      </right>
      <top style="medium">
        <color indexed="64"/>
      </top>
      <bottom style="medium">
        <color indexed="64"/>
      </bottom>
      <diagonal/>
    </border>
  </borders>
  <cellStyleXfs count="2">
    <xf numFmtId="0" fontId="0" fillId="0" borderId="0"/>
    <xf numFmtId="44" fontId="2" fillId="0" borderId="0" applyFont="0" applyFill="0" applyBorder="0" applyAlignment="0" applyProtection="0"/>
  </cellStyleXfs>
  <cellXfs count="44">
    <xf numFmtId="0" fontId="0" fillId="0" borderId="0" xfId="0"/>
    <xf numFmtId="0" fontId="1" fillId="0" borderId="0" xfId="0" applyFont="1" applyAlignment="1">
      <alignment vertical="center"/>
    </xf>
    <xf numFmtId="7" fontId="3" fillId="4" borderId="2" xfId="0" applyNumberFormat="1" applyFont="1" applyFill="1" applyBorder="1" applyAlignment="1" applyProtection="1">
      <alignment horizontal="center" vertical="center" wrapText="1"/>
      <protection locked="0"/>
    </xf>
    <xf numFmtId="0" fontId="4" fillId="0" borderId="0" xfId="0" applyFont="1" applyAlignment="1">
      <alignment horizontal="center" vertical="center" wrapText="1"/>
    </xf>
    <xf numFmtId="0" fontId="3" fillId="4" borderId="19" xfId="0" applyFont="1" applyFill="1" applyBorder="1" applyAlignment="1" applyProtection="1">
      <alignment vertical="center" wrapText="1"/>
      <protection locked="0"/>
    </xf>
    <xf numFmtId="0" fontId="3" fillId="4" borderId="20" xfId="0" applyFont="1" applyFill="1" applyBorder="1" applyAlignment="1" applyProtection="1">
      <alignment vertical="center" wrapText="1"/>
      <protection locked="0"/>
    </xf>
    <xf numFmtId="0" fontId="3" fillId="4" borderId="21" xfId="0" applyFont="1" applyFill="1" applyBorder="1" applyAlignment="1" applyProtection="1">
      <alignment vertical="center" wrapText="1"/>
      <protection locked="0"/>
    </xf>
    <xf numFmtId="0" fontId="3" fillId="4" borderId="16" xfId="0" applyFont="1" applyFill="1" applyBorder="1" applyAlignment="1" applyProtection="1">
      <alignment vertical="center" wrapText="1"/>
      <protection locked="0"/>
    </xf>
    <xf numFmtId="0" fontId="0" fillId="0" borderId="17" xfId="0" applyBorder="1" applyAlignment="1" applyProtection="1">
      <alignment vertical="center" wrapText="1"/>
      <protection locked="0"/>
    </xf>
    <xf numFmtId="0" fontId="0" fillId="0" borderId="18" xfId="0" applyBorder="1" applyAlignment="1" applyProtection="1">
      <alignment vertical="center" wrapText="1"/>
      <protection locked="0"/>
    </xf>
    <xf numFmtId="0" fontId="3" fillId="7" borderId="8" xfId="0" applyFont="1" applyFill="1" applyBorder="1" applyAlignment="1" applyProtection="1">
      <alignment horizontal="center" vertical="center" wrapText="1"/>
    </xf>
    <xf numFmtId="0" fontId="3" fillId="7" borderId="7" xfId="0" applyFont="1" applyFill="1" applyBorder="1" applyAlignment="1" applyProtection="1">
      <alignment horizontal="center" vertical="center" wrapText="1"/>
    </xf>
    <xf numFmtId="0" fontId="3" fillId="7" borderId="9" xfId="0" applyFont="1" applyFill="1" applyBorder="1" applyAlignment="1" applyProtection="1">
      <alignment horizontal="center" vertical="center" wrapText="1"/>
    </xf>
    <xf numFmtId="0" fontId="3" fillId="2" borderId="10" xfId="0" applyFont="1" applyFill="1" applyBorder="1" applyAlignment="1" applyProtection="1">
      <alignment horizontal="center" vertical="center" wrapText="1"/>
    </xf>
    <xf numFmtId="0" fontId="3" fillId="2" borderId="1" xfId="0" applyFont="1" applyFill="1" applyBorder="1" applyAlignment="1" applyProtection="1">
      <alignment horizontal="center" vertical="center" wrapText="1"/>
    </xf>
    <xf numFmtId="0" fontId="3" fillId="2" borderId="11" xfId="0" applyFont="1" applyFill="1" applyBorder="1" applyAlignment="1" applyProtection="1">
      <alignment horizontal="center" vertical="center" wrapText="1"/>
    </xf>
    <xf numFmtId="0" fontId="3" fillId="5" borderId="12" xfId="0" applyFont="1" applyFill="1" applyBorder="1" applyAlignment="1" applyProtection="1">
      <alignment horizontal="center" vertical="center" wrapText="1"/>
    </xf>
    <xf numFmtId="0" fontId="3" fillId="5" borderId="6" xfId="0" applyFont="1" applyFill="1" applyBorder="1" applyAlignment="1" applyProtection="1">
      <alignment horizontal="center" vertical="center" wrapText="1"/>
    </xf>
    <xf numFmtId="0" fontId="3" fillId="5" borderId="13" xfId="0" applyFont="1" applyFill="1" applyBorder="1" applyAlignment="1" applyProtection="1">
      <alignment horizontal="center" vertical="center" wrapText="1"/>
    </xf>
    <xf numFmtId="0" fontId="3" fillId="6" borderId="3" xfId="0" applyFont="1" applyFill="1" applyBorder="1" applyAlignment="1" applyProtection="1">
      <alignment vertical="center"/>
    </xf>
    <xf numFmtId="0" fontId="9" fillId="6" borderId="4" xfId="0" applyFont="1" applyFill="1" applyBorder="1" applyAlignment="1" applyProtection="1">
      <alignment vertical="center"/>
    </xf>
    <xf numFmtId="0" fontId="9" fillId="6" borderId="5" xfId="0" applyFont="1" applyFill="1" applyBorder="1" applyAlignment="1" applyProtection="1">
      <alignment vertical="center"/>
    </xf>
    <xf numFmtId="0" fontId="3" fillId="5" borderId="23" xfId="0" applyFont="1" applyFill="1" applyBorder="1" applyAlignment="1" applyProtection="1">
      <alignment horizontal="left" vertical="center" wrapText="1"/>
    </xf>
    <xf numFmtId="0" fontId="9" fillId="5" borderId="22" xfId="0" applyFont="1" applyFill="1" applyBorder="1" applyAlignment="1" applyProtection="1">
      <alignment horizontal="left" vertical="center" wrapText="1"/>
    </xf>
    <xf numFmtId="0" fontId="9" fillId="5" borderId="4" xfId="0" applyFont="1" applyFill="1" applyBorder="1" applyAlignment="1" applyProtection="1">
      <alignment horizontal="left" vertical="center" wrapText="1"/>
    </xf>
    <xf numFmtId="0" fontId="9" fillId="5" borderId="5" xfId="0" applyFont="1" applyFill="1" applyBorder="1" applyAlignment="1" applyProtection="1">
      <alignment horizontal="left" vertical="center" wrapText="1"/>
    </xf>
    <xf numFmtId="0" fontId="3" fillId="7" borderId="24" xfId="0" applyFont="1" applyFill="1" applyBorder="1" applyAlignment="1" applyProtection="1">
      <alignment vertical="center" wrapText="1"/>
    </xf>
    <xf numFmtId="0" fontId="5" fillId="7" borderId="25" xfId="0" applyFont="1" applyFill="1" applyBorder="1" applyAlignment="1" applyProtection="1">
      <alignment vertical="center" wrapText="1"/>
    </xf>
    <xf numFmtId="0" fontId="5" fillId="7" borderId="26" xfId="0" applyFont="1" applyFill="1" applyBorder="1" applyAlignment="1" applyProtection="1">
      <alignment vertical="center" wrapText="1"/>
    </xf>
    <xf numFmtId="0" fontId="10" fillId="0" borderId="27" xfId="0" applyFont="1" applyBorder="1" applyAlignment="1" applyProtection="1">
      <alignment vertical="center" wrapText="1"/>
    </xf>
    <xf numFmtId="0" fontId="4" fillId="0" borderId="28" xfId="0" applyFont="1" applyBorder="1" applyAlignment="1" applyProtection="1">
      <alignment horizontal="center" vertical="center" wrapText="1"/>
    </xf>
    <xf numFmtId="0" fontId="4" fillId="0" borderId="17" xfId="0" applyFont="1" applyBorder="1" applyAlignment="1" applyProtection="1">
      <alignment horizontal="center" vertical="center" wrapText="1"/>
    </xf>
    <xf numFmtId="0" fontId="4" fillId="0" borderId="2" xfId="0" applyFont="1" applyBorder="1" applyAlignment="1" applyProtection="1">
      <alignment horizontal="center" vertical="center" wrapText="1"/>
    </xf>
    <xf numFmtId="49" fontId="7" fillId="0" borderId="2" xfId="0" applyNumberFormat="1" applyFont="1" applyBorder="1" applyAlignment="1" applyProtection="1">
      <alignment horizontal="center" vertical="center" wrapText="1"/>
    </xf>
    <xf numFmtId="44" fontId="5" fillId="0" borderId="2" xfId="1" applyFont="1" applyFill="1" applyBorder="1" applyAlignment="1" applyProtection="1">
      <alignment horizontal="center" vertical="center" wrapText="1"/>
    </xf>
    <xf numFmtId="7" fontId="3" fillId="3" borderId="29" xfId="0" applyNumberFormat="1" applyFont="1" applyFill="1" applyBorder="1" applyAlignment="1" applyProtection="1">
      <alignment horizontal="center" vertical="center" wrapText="1"/>
    </xf>
    <xf numFmtId="0" fontId="1" fillId="6" borderId="14" xfId="0" applyFont="1" applyFill="1" applyBorder="1" applyAlignment="1" applyProtection="1">
      <alignment vertical="center"/>
    </xf>
    <xf numFmtId="0" fontId="1" fillId="6" borderId="0" xfId="0" applyFont="1" applyFill="1" applyAlignment="1" applyProtection="1">
      <alignment vertical="center"/>
    </xf>
    <xf numFmtId="0" fontId="1" fillId="6" borderId="15" xfId="0" applyFont="1" applyFill="1" applyBorder="1" applyAlignment="1" applyProtection="1">
      <alignment vertical="center"/>
    </xf>
    <xf numFmtId="0" fontId="6" fillId="0" borderId="3" xfId="0" applyFont="1" applyBorder="1" applyAlignment="1" applyProtection="1">
      <alignment horizontal="right" vertical="center"/>
    </xf>
    <xf numFmtId="0" fontId="6" fillId="0" borderId="4" xfId="0" applyFont="1" applyBorder="1" applyAlignment="1" applyProtection="1">
      <alignment horizontal="right" vertical="center"/>
    </xf>
    <xf numFmtId="0" fontId="6" fillId="0" borderId="5" xfId="0" applyFont="1" applyBorder="1" applyAlignment="1" applyProtection="1">
      <alignment horizontal="right" vertical="center"/>
    </xf>
    <xf numFmtId="164" fontId="8" fillId="5" borderId="2" xfId="0" applyNumberFormat="1" applyFont="1" applyFill="1" applyBorder="1" applyAlignment="1" applyProtection="1">
      <alignment horizontal="center" vertical="center"/>
    </xf>
    <xf numFmtId="0" fontId="4" fillId="0" borderId="2" xfId="0" applyFont="1" applyBorder="1" applyAlignment="1" applyProtection="1">
      <alignment wrapText="1"/>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C9ECB-BDA8-41BA-BCD6-B2583EE85C57}">
  <sheetPr>
    <pageSetUpPr fitToPage="1"/>
  </sheetPr>
  <dimension ref="A1:G53"/>
  <sheetViews>
    <sheetView tabSelected="1" zoomScaleNormal="100" workbookViewId="0">
      <selection activeCell="A7" sqref="A7:E7"/>
    </sheetView>
  </sheetViews>
  <sheetFormatPr defaultColWidth="8.88671875" defaultRowHeight="13.8" x14ac:dyDescent="0.3"/>
  <cols>
    <col min="1" max="1" width="15.77734375" style="1" customWidth="1"/>
    <col min="2" max="2" width="39.33203125" style="1" customWidth="1"/>
    <col min="3" max="3" width="19.6640625" style="1" customWidth="1"/>
    <col min="4" max="4" width="16.88671875" style="1" customWidth="1"/>
    <col min="5" max="5" width="17.6640625" style="1" customWidth="1"/>
    <col min="6" max="6" width="8.88671875" style="1"/>
    <col min="7" max="7" width="13.33203125" style="1" bestFit="1" customWidth="1"/>
    <col min="8" max="8" width="8.88671875" style="1"/>
    <col min="9" max="9" width="13.33203125" style="1" bestFit="1" customWidth="1"/>
    <col min="10" max="16384" width="8.88671875" style="1"/>
  </cols>
  <sheetData>
    <row r="1" spans="1:5" ht="16.2" thickBot="1" x14ac:dyDescent="0.35">
      <c r="A1" s="10" t="s">
        <v>7</v>
      </c>
      <c r="B1" s="11"/>
      <c r="C1" s="11"/>
      <c r="D1" s="11"/>
      <c r="E1" s="12"/>
    </row>
    <row r="2" spans="1:5" ht="16.2" customHeight="1" thickBot="1" x14ac:dyDescent="0.35">
      <c r="A2" s="10" t="s">
        <v>0</v>
      </c>
      <c r="B2" s="11"/>
      <c r="C2" s="11"/>
      <c r="D2" s="11"/>
      <c r="E2" s="12"/>
    </row>
    <row r="3" spans="1:5" ht="16.2" thickBot="1" x14ac:dyDescent="0.35">
      <c r="A3" s="13" t="s">
        <v>28</v>
      </c>
      <c r="B3" s="14"/>
      <c r="C3" s="14"/>
      <c r="D3" s="14"/>
      <c r="E3" s="15"/>
    </row>
    <row r="4" spans="1:5" ht="16.2" thickBot="1" x14ac:dyDescent="0.35">
      <c r="A4" s="13" t="s">
        <v>29</v>
      </c>
      <c r="B4" s="14"/>
      <c r="C4" s="14"/>
      <c r="D4" s="14"/>
      <c r="E4" s="15"/>
    </row>
    <row r="5" spans="1:5" ht="16.2" thickBot="1" x14ac:dyDescent="0.35">
      <c r="A5" s="13" t="s">
        <v>30</v>
      </c>
      <c r="B5" s="14"/>
      <c r="C5" s="14"/>
      <c r="D5" s="14"/>
      <c r="E5" s="15"/>
    </row>
    <row r="6" spans="1:5" ht="15.6" x14ac:dyDescent="0.3">
      <c r="A6" s="16" t="s">
        <v>5</v>
      </c>
      <c r="B6" s="17"/>
      <c r="C6" s="17"/>
      <c r="D6" s="17"/>
      <c r="E6" s="18"/>
    </row>
    <row r="7" spans="1:5" ht="15.6" x14ac:dyDescent="0.3">
      <c r="A7" s="4" t="s">
        <v>31</v>
      </c>
      <c r="B7" s="5"/>
      <c r="C7" s="5"/>
      <c r="D7" s="5"/>
      <c r="E7" s="6"/>
    </row>
    <row r="8" spans="1:5" ht="15" customHeight="1" thickBot="1" x14ac:dyDescent="0.35">
      <c r="A8" s="7" t="s">
        <v>6</v>
      </c>
      <c r="B8" s="8"/>
      <c r="C8" s="8"/>
      <c r="D8" s="8"/>
      <c r="E8" s="9"/>
    </row>
    <row r="9" spans="1:5" ht="10.8" customHeight="1" thickBot="1" x14ac:dyDescent="0.35">
      <c r="A9" s="19"/>
      <c r="B9" s="20"/>
      <c r="C9" s="20"/>
      <c r="D9" s="20"/>
      <c r="E9" s="21"/>
    </row>
    <row r="10" spans="1:5" ht="102" customHeight="1" thickBot="1" x14ac:dyDescent="0.35">
      <c r="A10" s="22" t="s">
        <v>48</v>
      </c>
      <c r="B10" s="23"/>
      <c r="C10" s="23"/>
      <c r="D10" s="24"/>
      <c r="E10" s="25"/>
    </row>
    <row r="11" spans="1:5" ht="19.8" customHeight="1" thickBot="1" x14ac:dyDescent="0.35">
      <c r="A11" s="26" t="s">
        <v>32</v>
      </c>
      <c r="B11" s="27"/>
      <c r="C11" s="27"/>
      <c r="D11" s="27"/>
      <c r="E11" s="28"/>
    </row>
    <row r="12" spans="1:5" ht="45" customHeight="1" thickBot="1" x14ac:dyDescent="0.35">
      <c r="A12" s="29" t="s">
        <v>1</v>
      </c>
      <c r="B12" s="30" t="s">
        <v>2</v>
      </c>
      <c r="C12" s="31" t="s">
        <v>3</v>
      </c>
      <c r="D12" s="30" t="s">
        <v>46</v>
      </c>
      <c r="E12" s="32" t="s">
        <v>47</v>
      </c>
    </row>
    <row r="13" spans="1:5" ht="16.2" thickBot="1" x14ac:dyDescent="0.35">
      <c r="A13" s="33" t="s">
        <v>4</v>
      </c>
      <c r="B13" s="32" t="s">
        <v>33</v>
      </c>
      <c r="C13" s="34" t="s">
        <v>34</v>
      </c>
      <c r="D13" s="2">
        <v>0</v>
      </c>
      <c r="E13" s="35">
        <f>D13*170</f>
        <v>0</v>
      </c>
    </row>
    <row r="14" spans="1:5" ht="16.2" customHeight="1" thickBot="1" x14ac:dyDescent="0.35">
      <c r="A14" s="33" t="s">
        <v>8</v>
      </c>
      <c r="B14" s="32" t="s">
        <v>33</v>
      </c>
      <c r="C14" s="34" t="s">
        <v>35</v>
      </c>
      <c r="D14" s="2">
        <v>0</v>
      </c>
      <c r="E14" s="35">
        <f>D14*84</f>
        <v>0</v>
      </c>
    </row>
    <row r="15" spans="1:5" ht="16.2" thickBot="1" x14ac:dyDescent="0.35">
      <c r="A15" s="33" t="s">
        <v>9</v>
      </c>
      <c r="B15" s="32" t="s">
        <v>33</v>
      </c>
      <c r="C15" s="34" t="s">
        <v>36</v>
      </c>
      <c r="D15" s="2">
        <v>0</v>
      </c>
      <c r="E15" s="35">
        <f>D15*42</f>
        <v>0</v>
      </c>
    </row>
    <row r="16" spans="1:5" ht="15.6" customHeight="1" thickBot="1" x14ac:dyDescent="0.35">
      <c r="A16" s="26" t="s">
        <v>37</v>
      </c>
      <c r="B16" s="27"/>
      <c r="C16" s="27"/>
      <c r="D16" s="27"/>
      <c r="E16" s="28"/>
    </row>
    <row r="17" spans="1:5" ht="46.8" customHeight="1" thickBot="1" x14ac:dyDescent="0.35">
      <c r="A17" s="29" t="s">
        <v>1</v>
      </c>
      <c r="B17" s="30" t="s">
        <v>2</v>
      </c>
      <c r="C17" s="31" t="s">
        <v>3</v>
      </c>
      <c r="D17" s="30" t="s">
        <v>46</v>
      </c>
      <c r="E17" s="32" t="s">
        <v>47</v>
      </c>
    </row>
    <row r="18" spans="1:5" ht="16.2" thickBot="1" x14ac:dyDescent="0.35">
      <c r="A18" s="33" t="s">
        <v>11</v>
      </c>
      <c r="B18" s="32" t="s">
        <v>33</v>
      </c>
      <c r="C18" s="34" t="s">
        <v>34</v>
      </c>
      <c r="D18" s="2">
        <v>0</v>
      </c>
      <c r="E18" s="35">
        <f>D18*170</f>
        <v>0</v>
      </c>
    </row>
    <row r="19" spans="1:5" ht="16.2" thickBot="1" x14ac:dyDescent="0.35">
      <c r="A19" s="33" t="s">
        <v>12</v>
      </c>
      <c r="B19" s="32" t="s">
        <v>33</v>
      </c>
      <c r="C19" s="34" t="s">
        <v>35</v>
      </c>
      <c r="D19" s="2">
        <v>0</v>
      </c>
      <c r="E19" s="35">
        <f>D19*84</f>
        <v>0</v>
      </c>
    </row>
    <row r="20" spans="1:5" ht="16.2" thickBot="1" x14ac:dyDescent="0.35">
      <c r="A20" s="33" t="s">
        <v>13</v>
      </c>
      <c r="B20" s="32" t="s">
        <v>33</v>
      </c>
      <c r="C20" s="34" t="s">
        <v>36</v>
      </c>
      <c r="D20" s="2">
        <v>0</v>
      </c>
      <c r="E20" s="35">
        <f>D20*42</f>
        <v>0</v>
      </c>
    </row>
    <row r="21" spans="1:5" ht="15.6" customHeight="1" thickBot="1" x14ac:dyDescent="0.35">
      <c r="A21" s="26" t="s">
        <v>38</v>
      </c>
      <c r="B21" s="27"/>
      <c r="C21" s="27"/>
      <c r="D21" s="27"/>
      <c r="E21" s="28"/>
    </row>
    <row r="22" spans="1:5" ht="48.6" customHeight="1" thickBot="1" x14ac:dyDescent="0.35">
      <c r="A22" s="29" t="s">
        <v>1</v>
      </c>
      <c r="B22" s="30" t="s">
        <v>2</v>
      </c>
      <c r="C22" s="31" t="s">
        <v>3</v>
      </c>
      <c r="D22" s="30" t="s">
        <v>46</v>
      </c>
      <c r="E22" s="32" t="s">
        <v>47</v>
      </c>
    </row>
    <row r="23" spans="1:5" ht="16.2" thickBot="1" x14ac:dyDescent="0.35">
      <c r="A23" s="33" t="s">
        <v>14</v>
      </c>
      <c r="B23" s="32" t="s">
        <v>33</v>
      </c>
      <c r="C23" s="34" t="s">
        <v>34</v>
      </c>
      <c r="D23" s="2">
        <v>0</v>
      </c>
      <c r="E23" s="35">
        <f>D23*170</f>
        <v>0</v>
      </c>
    </row>
    <row r="24" spans="1:5" ht="16.2" thickBot="1" x14ac:dyDescent="0.35">
      <c r="A24" s="33" t="s">
        <v>15</v>
      </c>
      <c r="B24" s="32" t="s">
        <v>33</v>
      </c>
      <c r="C24" s="34" t="s">
        <v>35</v>
      </c>
      <c r="D24" s="2">
        <v>0</v>
      </c>
      <c r="E24" s="35">
        <f>D24*84</f>
        <v>0</v>
      </c>
    </row>
    <row r="25" spans="1:5" ht="16.2" thickBot="1" x14ac:dyDescent="0.35">
      <c r="A25" s="33" t="s">
        <v>16</v>
      </c>
      <c r="B25" s="32" t="s">
        <v>33</v>
      </c>
      <c r="C25" s="34" t="s">
        <v>36</v>
      </c>
      <c r="D25" s="2">
        <v>0</v>
      </c>
      <c r="E25" s="35">
        <f>D25*42</f>
        <v>0</v>
      </c>
    </row>
    <row r="26" spans="1:5" ht="15.6" customHeight="1" thickBot="1" x14ac:dyDescent="0.35">
      <c r="A26" s="26" t="s">
        <v>39</v>
      </c>
      <c r="B26" s="27"/>
      <c r="C26" s="27"/>
      <c r="D26" s="27"/>
      <c r="E26" s="28"/>
    </row>
    <row r="27" spans="1:5" ht="50.4" customHeight="1" thickBot="1" x14ac:dyDescent="0.35">
      <c r="A27" s="29" t="s">
        <v>1</v>
      </c>
      <c r="B27" s="30" t="s">
        <v>2</v>
      </c>
      <c r="C27" s="31" t="s">
        <v>3</v>
      </c>
      <c r="D27" s="30" t="s">
        <v>46</v>
      </c>
      <c r="E27" s="32" t="s">
        <v>47</v>
      </c>
    </row>
    <row r="28" spans="1:5" ht="16.2" thickBot="1" x14ac:dyDescent="0.35">
      <c r="A28" s="33" t="s">
        <v>17</v>
      </c>
      <c r="B28" s="32" t="s">
        <v>33</v>
      </c>
      <c r="C28" s="34" t="s">
        <v>34</v>
      </c>
      <c r="D28" s="2">
        <v>0</v>
      </c>
      <c r="E28" s="35">
        <f>D28*170</f>
        <v>0</v>
      </c>
    </row>
    <row r="29" spans="1:5" ht="16.2" thickBot="1" x14ac:dyDescent="0.35">
      <c r="A29" s="33" t="s">
        <v>18</v>
      </c>
      <c r="B29" s="32" t="s">
        <v>33</v>
      </c>
      <c r="C29" s="34" t="s">
        <v>35</v>
      </c>
      <c r="D29" s="2">
        <v>0</v>
      </c>
      <c r="E29" s="35">
        <f>D29*84</f>
        <v>0</v>
      </c>
    </row>
    <row r="30" spans="1:5" ht="16.2" thickBot="1" x14ac:dyDescent="0.35">
      <c r="A30" s="33" t="s">
        <v>19</v>
      </c>
      <c r="B30" s="32" t="s">
        <v>33</v>
      </c>
      <c r="C30" s="34" t="s">
        <v>36</v>
      </c>
      <c r="D30" s="2">
        <v>0</v>
      </c>
      <c r="E30" s="35">
        <f>D30*42</f>
        <v>0</v>
      </c>
    </row>
    <row r="31" spans="1:5" ht="15.6" customHeight="1" thickBot="1" x14ac:dyDescent="0.35">
      <c r="A31" s="26" t="s">
        <v>40</v>
      </c>
      <c r="B31" s="27"/>
      <c r="C31" s="27"/>
      <c r="D31" s="27"/>
      <c r="E31" s="28"/>
    </row>
    <row r="32" spans="1:5" ht="53.4" customHeight="1" thickBot="1" x14ac:dyDescent="0.35">
      <c r="A32" s="29" t="s">
        <v>1</v>
      </c>
      <c r="B32" s="30" t="s">
        <v>2</v>
      </c>
      <c r="C32" s="31" t="s">
        <v>3</v>
      </c>
      <c r="D32" s="30" t="s">
        <v>46</v>
      </c>
      <c r="E32" s="32" t="s">
        <v>47</v>
      </c>
    </row>
    <row r="33" spans="1:7" ht="16.2" thickBot="1" x14ac:dyDescent="0.35">
      <c r="A33" s="33" t="s">
        <v>20</v>
      </c>
      <c r="B33" s="32" t="s">
        <v>33</v>
      </c>
      <c r="C33" s="34" t="s">
        <v>34</v>
      </c>
      <c r="D33" s="2">
        <v>0</v>
      </c>
      <c r="E33" s="35">
        <f>D33*170</f>
        <v>0</v>
      </c>
    </row>
    <row r="34" spans="1:7" ht="16.2" thickBot="1" x14ac:dyDescent="0.35">
      <c r="A34" s="33" t="s">
        <v>21</v>
      </c>
      <c r="B34" s="32" t="s">
        <v>33</v>
      </c>
      <c r="C34" s="34" t="s">
        <v>35</v>
      </c>
      <c r="D34" s="2">
        <v>0</v>
      </c>
      <c r="E34" s="35">
        <f>D34*84</f>
        <v>0</v>
      </c>
    </row>
    <row r="35" spans="1:7" ht="16.2" thickBot="1" x14ac:dyDescent="0.35">
      <c r="A35" s="33" t="s">
        <v>22</v>
      </c>
      <c r="B35" s="32" t="s">
        <v>33</v>
      </c>
      <c r="C35" s="34" t="s">
        <v>36</v>
      </c>
      <c r="D35" s="2">
        <v>0</v>
      </c>
      <c r="E35" s="35">
        <f>D35*42</f>
        <v>0</v>
      </c>
    </row>
    <row r="36" spans="1:7" ht="14.4" thickBot="1" x14ac:dyDescent="0.35">
      <c r="A36" s="36"/>
      <c r="B36" s="37"/>
      <c r="C36" s="37"/>
      <c r="D36" s="37"/>
      <c r="E36" s="38"/>
    </row>
    <row r="37" spans="1:7" ht="24.75" customHeight="1" thickBot="1" x14ac:dyDescent="0.35">
      <c r="A37" s="39" t="s">
        <v>10</v>
      </c>
      <c r="B37" s="40"/>
      <c r="C37" s="40"/>
      <c r="D37" s="41"/>
      <c r="E37" s="42">
        <f>SUM(E13,E14,E15,E18,E19,E20,E23,E24,E25,E28,E29,E30,E33,E34,E35)</f>
        <v>0</v>
      </c>
    </row>
    <row r="38" spans="1:7" ht="128.4" customHeight="1" thickBot="1" x14ac:dyDescent="0.35">
      <c r="A38" s="22" t="s">
        <v>41</v>
      </c>
      <c r="B38" s="23"/>
      <c r="C38" s="23"/>
      <c r="D38" s="24"/>
      <c r="E38" s="25"/>
    </row>
    <row r="39" spans="1:7" ht="19.8" customHeight="1" thickBot="1" x14ac:dyDescent="0.35">
      <c r="A39" s="26" t="s">
        <v>32</v>
      </c>
      <c r="B39" s="27"/>
      <c r="C39" s="27"/>
      <c r="D39" s="27"/>
      <c r="E39" s="28"/>
    </row>
    <row r="40" spans="1:7" ht="27" thickBot="1" x14ac:dyDescent="0.35">
      <c r="A40" s="29" t="s">
        <v>1</v>
      </c>
      <c r="B40" s="30" t="s">
        <v>2</v>
      </c>
      <c r="C40" s="31" t="s">
        <v>3</v>
      </c>
      <c r="D40" s="30" t="s">
        <v>43</v>
      </c>
      <c r="E40" s="32" t="s">
        <v>44</v>
      </c>
    </row>
    <row r="41" spans="1:7" ht="27" customHeight="1" thickBot="1" x14ac:dyDescent="0.3">
      <c r="A41" s="33" t="s">
        <v>23</v>
      </c>
      <c r="B41" s="43" t="s">
        <v>42</v>
      </c>
      <c r="C41" s="34" t="s">
        <v>45</v>
      </c>
      <c r="D41" s="2">
        <v>0</v>
      </c>
      <c r="E41" s="35">
        <f>D41*1</f>
        <v>0</v>
      </c>
      <c r="G41" s="3"/>
    </row>
    <row r="42" spans="1:7" ht="15.6" customHeight="1" thickBot="1" x14ac:dyDescent="0.35">
      <c r="A42" s="26" t="s">
        <v>37</v>
      </c>
      <c r="B42" s="27"/>
      <c r="C42" s="27"/>
      <c r="D42" s="27"/>
      <c r="E42" s="28"/>
    </row>
    <row r="43" spans="1:7" ht="27" thickBot="1" x14ac:dyDescent="0.35">
      <c r="A43" s="29" t="s">
        <v>1</v>
      </c>
      <c r="B43" s="30" t="s">
        <v>2</v>
      </c>
      <c r="C43" s="31" t="s">
        <v>3</v>
      </c>
      <c r="D43" s="30" t="s">
        <v>43</v>
      </c>
      <c r="E43" s="32" t="s">
        <v>44</v>
      </c>
    </row>
    <row r="44" spans="1:7" ht="27" thickBot="1" x14ac:dyDescent="0.3">
      <c r="A44" s="33" t="s">
        <v>24</v>
      </c>
      <c r="B44" s="43" t="s">
        <v>42</v>
      </c>
      <c r="C44" s="34" t="s">
        <v>45</v>
      </c>
      <c r="D44" s="2">
        <v>0</v>
      </c>
      <c r="E44" s="35">
        <f>D44*1</f>
        <v>0</v>
      </c>
    </row>
    <row r="45" spans="1:7" ht="15.6" customHeight="1" thickBot="1" x14ac:dyDescent="0.35">
      <c r="A45" s="26" t="s">
        <v>38</v>
      </c>
      <c r="B45" s="27"/>
      <c r="C45" s="27"/>
      <c r="D45" s="27"/>
      <c r="E45" s="28"/>
    </row>
    <row r="46" spans="1:7" ht="27" thickBot="1" x14ac:dyDescent="0.35">
      <c r="A46" s="29" t="s">
        <v>1</v>
      </c>
      <c r="B46" s="30" t="s">
        <v>2</v>
      </c>
      <c r="C46" s="31" t="s">
        <v>3</v>
      </c>
      <c r="D46" s="30" t="s">
        <v>43</v>
      </c>
      <c r="E46" s="32" t="s">
        <v>44</v>
      </c>
    </row>
    <row r="47" spans="1:7" ht="27" thickBot="1" x14ac:dyDescent="0.3">
      <c r="A47" s="33" t="s">
        <v>25</v>
      </c>
      <c r="B47" s="43" t="s">
        <v>42</v>
      </c>
      <c r="C47" s="34" t="s">
        <v>45</v>
      </c>
      <c r="D47" s="2">
        <v>0</v>
      </c>
      <c r="E47" s="35">
        <f>D47*1</f>
        <v>0</v>
      </c>
    </row>
    <row r="48" spans="1:7" ht="15.6" customHeight="1" thickBot="1" x14ac:dyDescent="0.35">
      <c r="A48" s="26" t="s">
        <v>39</v>
      </c>
      <c r="B48" s="27"/>
      <c r="C48" s="27"/>
      <c r="D48" s="27"/>
      <c r="E48" s="28"/>
    </row>
    <row r="49" spans="1:5" ht="27" thickBot="1" x14ac:dyDescent="0.35">
      <c r="A49" s="29" t="s">
        <v>1</v>
      </c>
      <c r="B49" s="30" t="s">
        <v>2</v>
      </c>
      <c r="C49" s="31" t="s">
        <v>3</v>
      </c>
      <c r="D49" s="30" t="s">
        <v>43</v>
      </c>
      <c r="E49" s="32" t="s">
        <v>44</v>
      </c>
    </row>
    <row r="50" spans="1:5" ht="27" thickBot="1" x14ac:dyDescent="0.3">
      <c r="A50" s="33" t="s">
        <v>26</v>
      </c>
      <c r="B50" s="43" t="s">
        <v>42</v>
      </c>
      <c r="C50" s="34" t="s">
        <v>45</v>
      </c>
      <c r="D50" s="2">
        <v>0</v>
      </c>
      <c r="E50" s="35">
        <f>D50*1</f>
        <v>0</v>
      </c>
    </row>
    <row r="51" spans="1:5" ht="15.6" customHeight="1" thickBot="1" x14ac:dyDescent="0.35">
      <c r="A51" s="26" t="s">
        <v>40</v>
      </c>
      <c r="B51" s="27"/>
      <c r="C51" s="27"/>
      <c r="D51" s="27"/>
      <c r="E51" s="28"/>
    </row>
    <row r="52" spans="1:5" ht="27" thickBot="1" x14ac:dyDescent="0.35">
      <c r="A52" s="29" t="s">
        <v>1</v>
      </c>
      <c r="B52" s="30" t="s">
        <v>2</v>
      </c>
      <c r="C52" s="31" t="s">
        <v>3</v>
      </c>
      <c r="D52" s="30" t="s">
        <v>43</v>
      </c>
      <c r="E52" s="32" t="s">
        <v>44</v>
      </c>
    </row>
    <row r="53" spans="1:5" ht="27" thickBot="1" x14ac:dyDescent="0.3">
      <c r="A53" s="33" t="s">
        <v>27</v>
      </c>
      <c r="B53" s="43" t="s">
        <v>42</v>
      </c>
      <c r="C53" s="34" t="s">
        <v>45</v>
      </c>
      <c r="D53" s="2">
        <v>0</v>
      </c>
      <c r="E53" s="35">
        <f>D53*1</f>
        <v>0</v>
      </c>
    </row>
  </sheetData>
  <sheetProtection algorithmName="SHA-512" hashValue="a4Ngkhzqvl0h6nbQeLeU9moM8VcLrpSl7p9uzY/0UqdXkpz17YdqUgjpPfhQCri7UF70d0DNfGI+9t5xUNamvQ==" saltValue="cS+lT9s+u79BDFvS5k+wdQ==" spinCount="100000" sheet="1" objects="1" scenarios="1"/>
  <mergeCells count="22">
    <mergeCell ref="A1:E1"/>
    <mergeCell ref="A3:E3"/>
    <mergeCell ref="A4:E4"/>
    <mergeCell ref="A6:E6"/>
    <mergeCell ref="A5:E5"/>
    <mergeCell ref="A2:E2"/>
    <mergeCell ref="A37:D37"/>
    <mergeCell ref="A21:E21"/>
    <mergeCell ref="A26:E26"/>
    <mergeCell ref="A31:E31"/>
    <mergeCell ref="A7:E7"/>
    <mergeCell ref="A9:E9"/>
    <mergeCell ref="A16:E16"/>
    <mergeCell ref="A10:E10"/>
    <mergeCell ref="A8:E8"/>
    <mergeCell ref="A11:E11"/>
    <mergeCell ref="A51:E51"/>
    <mergeCell ref="A38:E38"/>
    <mergeCell ref="A39:E39"/>
    <mergeCell ref="A42:E42"/>
    <mergeCell ref="A45:E45"/>
    <mergeCell ref="A48:E48"/>
  </mergeCells>
  <pageMargins left="0.7" right="0.7" top="0.75" bottom="0.75" header="0.3" footer="0.3"/>
  <pageSetup scale="83" fitToHeight="6" orientation="portrait" horizontalDpi="4294967293" verticalDpi="4294967293" r:id="rId1"/>
  <ignoredErrors>
    <ignoredError sqref="A13:A15 A53 A50 A47 A44 A41 A33:A35 A28:A30 A23:A25 A18:A20"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TommySwanson</dc:creator>
  <cp:lastModifiedBy>Phillips, Matthew - MRP-APHIS</cp:lastModifiedBy>
  <cp:lastPrinted>2021-09-29T01:14:04Z</cp:lastPrinted>
  <dcterms:created xsi:type="dcterms:W3CDTF">2021-08-13T17:33:53Z</dcterms:created>
  <dcterms:modified xsi:type="dcterms:W3CDTF">2026-04-27T19:12:44Z</dcterms:modified>
</cp:coreProperties>
</file>