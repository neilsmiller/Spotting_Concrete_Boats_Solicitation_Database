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380876139.MIL\Desktop\Pacific Friendship Vietnam\contract stuff example\W91QVP-25-P-A028 BLS PF25 Vietnam\BLS for Vietnam PF26\solicitation\"/>
    </mc:Choice>
  </mc:AlternateContent>
  <xr:revisionPtr revIDLastSave="0" documentId="13_ncr:1_{D5C95149-D7FA-46AF-A8A2-C290F098A0C4}" xr6:coauthVersionLast="47" xr6:coauthVersionMax="47" xr10:uidLastSave="{00000000-0000-0000-0000-000000000000}"/>
  <bookViews>
    <workbookView xWindow="-120" yWindow="150" windowWidth="29040" windowHeight="15450" xr2:uid="{586F37F4-AAFE-4396-9084-386C789A0DF4}"/>
  </bookViews>
  <sheets>
    <sheet name="Totals" sheetId="8" r:id="rId1"/>
    <sheet name="Interpreters" sheetId="2" r:id="rId2"/>
    <sheet name="Transportation" sheetId="3" r:id="rId3"/>
    <sheet name="Hygiene" sheetId="4" r:id="rId4"/>
    <sheet name="Tents and Power Generation" sheetId="5" r:id="rId5"/>
    <sheet name="AirCon" sheetId="6" state="hidden" r:id="rId6"/>
    <sheet name="Dental Facility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8" l="1"/>
  <c r="A29" i="5"/>
  <c r="G29" i="4"/>
  <c r="A29" i="4"/>
  <c r="O31" i="3"/>
  <c r="H31" i="3"/>
  <c r="A31" i="3"/>
  <c r="A31" i="2"/>
  <c r="M28" i="5"/>
  <c r="Y26" i="7" l="1"/>
  <c r="S26" i="7"/>
  <c r="M26" i="7"/>
  <c r="G26" i="7"/>
  <c r="A26" i="7"/>
  <c r="A26" i="6"/>
  <c r="C26" i="6" s="1"/>
  <c r="G28" i="5"/>
  <c r="AE31" i="3"/>
  <c r="W31" i="3"/>
</calcChain>
</file>

<file path=xl/sharedStrings.xml><?xml version="1.0" encoding="utf-8"?>
<sst xmlns="http://schemas.openxmlformats.org/spreadsheetml/2006/main" count="570" uniqueCount="150">
  <si>
    <t>NAME OF COMPANY SUBMITTING OFFER:</t>
  </si>
  <si>
    <t>Line</t>
  </si>
  <si>
    <t>SCHEDULE OF SUPPLIES/SERVICES</t>
  </si>
  <si>
    <t>LOCATION</t>
  </si>
  <si>
    <t>UNITS (UM)</t>
  </si>
  <si>
    <t>UNIT PRICE</t>
  </si>
  <si>
    <t>TOTAL PRICE</t>
  </si>
  <si>
    <t>-</t>
  </si>
  <si>
    <t>Interpreter Services (PWS PARA 5.2.12)</t>
  </si>
  <si>
    <t>8 Passenger (PAX) Vans (PWS PARA 5.2.10)</t>
  </si>
  <si>
    <t>12 Passenger (PAX) Vans (PWS PARA 5.2.11)</t>
  </si>
  <si>
    <t>4 x 4 Truck (PWS PARA 5.210)</t>
  </si>
  <si>
    <t>Cargo Van (PWS PARA 5.210)</t>
  </si>
  <si>
    <t>Box Truck (PWS PARA 5.2.10)</t>
  </si>
  <si>
    <t>Latrines (PWS PARA 5.2.1)</t>
  </si>
  <si>
    <t>Hand Washing (H/W) Station (PWS PARA 5.2.2)</t>
  </si>
  <si>
    <t>Tents with A/C and Power Generation (PWS PARA 5.2.7)</t>
  </si>
  <si>
    <t>Pop up Tents (PWS 5.2.7)</t>
  </si>
  <si>
    <t>Power Generation (PWS 5.2.3)</t>
  </si>
  <si>
    <t>Adjustable Dental Chair(PWS PARA 5.2.6)</t>
  </si>
  <si>
    <t>Office Dividers (PWS PARA 5.2.13)</t>
  </si>
  <si>
    <t>3 Tank Sanitation Station (PWS 5.2.7)</t>
  </si>
  <si>
    <t>Supply Tables ( .6 x 1.8 m) (PWS 5.2.6)</t>
  </si>
  <si>
    <t>Grey Water Removal (Gallons) (PWS 5.6.5)</t>
  </si>
  <si>
    <t>TOTAL</t>
  </si>
  <si>
    <t>Interpreter</t>
  </si>
  <si>
    <t>NOTES</t>
  </si>
  <si>
    <t>Qty</t>
  </si>
  <si>
    <t>Date</t>
  </si>
  <si>
    <t>Location</t>
  </si>
  <si>
    <t>Remarks (Unit)</t>
  </si>
  <si>
    <r>
      <t>1.</t>
    </r>
    <r>
      <rPr>
        <sz val="12"/>
        <color rgb="FFFF0000"/>
        <rFont val="Aptos Narrow"/>
        <family val="2"/>
        <scheme val="minor"/>
      </rPr>
      <t xml:space="preserve"> ARFOR Team</t>
    </r>
    <r>
      <rPr>
        <sz val="12"/>
        <color theme="1"/>
        <rFont val="Aptos Narrow"/>
        <family val="2"/>
        <scheme val="minor"/>
      </rPr>
      <t xml:space="preserve"> Interpreters must provide written translation services according to PWS Section 5.2.13 (gg)
2. </t>
    </r>
    <r>
      <rPr>
        <sz val="12"/>
        <color rgb="FFFF0000"/>
        <rFont val="Aptos Narrow"/>
        <family val="2"/>
        <scheme val="minor"/>
      </rPr>
      <t>Engineer Team</t>
    </r>
    <r>
      <rPr>
        <sz val="12"/>
        <color theme="1"/>
        <rFont val="Aptos Narrow"/>
        <family val="2"/>
        <scheme val="minor"/>
      </rPr>
      <t xml:space="preserve"> must provide specialized services according to PWS Section 5.2.13 (ff)
3. </t>
    </r>
    <r>
      <rPr>
        <sz val="12"/>
        <color rgb="FFFF0000"/>
        <rFont val="Aptos Narrow"/>
        <family val="2"/>
        <scheme val="minor"/>
      </rPr>
      <t>Dental, Stroke, and Teams</t>
    </r>
    <r>
      <rPr>
        <sz val="12"/>
        <color theme="1"/>
        <rFont val="Aptos Narrow"/>
        <family val="2"/>
        <scheme val="minor"/>
      </rPr>
      <t xml:space="preserve"> must provide Specialized Medical translator/interpreter services according to PWS Section 5.2.13 (ee)</t>
    </r>
  </si>
  <si>
    <t>1 x ARFOR Team</t>
  </si>
  <si>
    <t>1 x ARFOR Team
2 x Engineer</t>
  </si>
  <si>
    <t>1 X ARFOR Team
2 x Engineer</t>
  </si>
  <si>
    <t>2 x ARFOR Team
2 x Engineer</t>
  </si>
  <si>
    <t xml:space="preserve">2 x ARFOR Team
2 x Engineer </t>
  </si>
  <si>
    <t>2 x ARFOR Team
9 x Dental Team
2 x SUAS
2 x MIL-CIV
2 x Engineer</t>
  </si>
  <si>
    <t>2 x ARFOR Team
9 x Dental Team
2 x Trauma
2 x EOD
2 x MIL-CIV
2 x SUAS
4 x VET
2 x Engineers
2 x Disease Surv.
2 X STROKE</t>
  </si>
  <si>
    <t>2 x ARFOR
9 x Dental Team
2 X Trauma
2 x EOD
2 x MIL-CIV
2 x SUAS
4 x VET
2 x Engineers
2 x Disease Surv.
4 X STROKE</t>
  </si>
  <si>
    <t>2 x ARFOR Team
9 x Dental Team
2 x Trauma
2 x EOD
2 x Engineer
2 x MIL-CIV
2 x SUAS
4 x VET
2 x Engineer
2 x Disease Surv.
2 X STROKE</t>
  </si>
  <si>
    <t>2 x ARFOR Team
9 x Dental Team
2 x Trauma
2 x EOD
2 x MIL-CIV
2 x SUAS
4 x VET
2 x Engineers
2 x Disease Surv.</t>
  </si>
  <si>
    <t>4 x ARFOR Team 
2 x Engineers
2 x Disease Surv.</t>
  </si>
  <si>
    <t>4 x ARFOR Team
2 x Engineers
2 x Disease Surv.</t>
  </si>
  <si>
    <t>2 x ARFOR Team
9 x Dental Team
2 x Trauma
2 x EOD
2 x P. Recovery
2 x MIL-CIV
4 x VET
2 x Engineers
2 x Disease Surv.
2 X STROKE</t>
  </si>
  <si>
    <t>2 x ARFOR Team
9 x Dental Team
2 x Trauma
2 x EOD
2 x P. Recovery
2 x MIL-CIV
2 x VET
2 x Engineers
2 x Disease Surv.
2 X STROKE</t>
  </si>
  <si>
    <t>2 x ARFOR Team
9 x Dental Team
2 x Trauma
2 x EOD
2 x P. Recovery
2 x MIL-CIV
2 x Engineers
2 x Disease Surv.
2 X STROKE</t>
  </si>
  <si>
    <t>2 x ARFOR Team
9 x Dental Team
2 x Trauma
2 x EOD
2 x P. Recovery
2 x MIL-CIV
2 x Engineers
2 x Disease Surv.
2 X STROKE
4 x Lit. Ops</t>
  </si>
  <si>
    <t>2 x ARFOR Team</t>
  </si>
  <si>
    <t>8 PAX Vans</t>
  </si>
  <si>
    <t>12 PAX Vans</t>
  </si>
  <si>
    <t>Cargo Van (50% Cargo Space)</t>
  </si>
  <si>
    <t>Box Truck</t>
  </si>
  <si>
    <t>4 x 4 Truck</t>
  </si>
  <si>
    <t>Dong Hoi</t>
  </si>
  <si>
    <t>1 x ARFOR</t>
  </si>
  <si>
    <t>1 x ARFOR
2 x Engineers</t>
  </si>
  <si>
    <t>1 X Engineers</t>
  </si>
  <si>
    <t>Dong Hoi to Dong Ha</t>
  </si>
  <si>
    <t>2 X ARFOR
2 x Engineers</t>
  </si>
  <si>
    <t>HANOI</t>
  </si>
  <si>
    <t>Hanoi Embassy to Dong Hoi</t>
  </si>
  <si>
    <t>1 x CG VIP</t>
  </si>
  <si>
    <t>2 X ARFOR 
2 x DENTAL 
2 x TRAUMA
1 x MIL-CIV
2 x Engineers
1 x Lit. Ops</t>
  </si>
  <si>
    <t>2 X ARFOR 
2 x DENTAL 
2 x TRAUMA
1 x MIL-CIV
2 x Engineers
1 x Disease Surv.
1 x STROKE
1 x Lit. Ops</t>
  </si>
  <si>
    <t>Dong Ha</t>
  </si>
  <si>
    <t>2 X ARFOR 
2 x DENTAL 
2 x TRAUMA
1 x MIL-CIV
2 x Engineers
1 x Disease Surv.
2 x STROKE
1 x Lit. Ops</t>
  </si>
  <si>
    <t>1 x CG VIP
1 x EOD
1 x SUAS
1 x MIL-CIV
2 x DENTAL
1 x Disease Surv.</t>
  </si>
  <si>
    <t>2 X ARFOR 
2 x DENTAL 
2 x TRAUMA
1 x MIL-CIV
2 x Engineers
1 x Disease Surv.
1 X STROKE
1 x Lit. Ops</t>
  </si>
  <si>
    <t>1 x EOD Team</t>
  </si>
  <si>
    <t>2 X ARFOR 
2 x DENTAL 
2 x TRAUMA
1 x MIL-CIV
2 x Engineers
1 x Disease Surv.
1 x Lit. Ops</t>
  </si>
  <si>
    <t>1 x CG VIP
1 x Disease Surv.</t>
  </si>
  <si>
    <t>8 X ARFOR 
2 x Engineers
1 x Disease Surv.</t>
  </si>
  <si>
    <t>1 x CG VIP
1 x EOD
1 x P. R
1 x MIL-CIV
2 X DENTAL
1 x Disease Surv.</t>
  </si>
  <si>
    <t>1 x CG VIP
1 x EOD
1 x P.R.
1 x MIL-CIV
2 X DENTAL
1 x Disease Surv.</t>
  </si>
  <si>
    <t>2 X ARFOR 
2 x DENTAL 
2 x TRAUMA
1 x MIL-CIV
1 x VET
2 x Engineers
1 x Disease Surv.
1 X STROKE
1 x Lit. Ops</t>
  </si>
  <si>
    <t>s</t>
  </si>
  <si>
    <t>1 x CG VIP
1 x EOD
1 x P.R.
1 x MIL-CIV
2 X DENTAL</t>
  </si>
  <si>
    <t>DONG Hoi  to Hanoi</t>
  </si>
  <si>
    <t>1 x CG VIP
2 X DENTAL</t>
  </si>
  <si>
    <t>2 X ARFOR 
2 x DENTAL 
2 x TRAUMA</t>
  </si>
  <si>
    <t>2 X ARFOR</t>
  </si>
  <si>
    <t xml:space="preserve">Latrine </t>
  </si>
  <si>
    <t>Hand Washing Station</t>
  </si>
  <si>
    <t>Engineer Team Location</t>
  </si>
  <si>
    <t>2 x Engineer Team</t>
  </si>
  <si>
    <t>1 x Engineer Team</t>
  </si>
  <si>
    <t>EOD Team Location</t>
  </si>
  <si>
    <t>PCC Team Location</t>
  </si>
  <si>
    <t xml:space="preserve">2 x Engineer Team
</t>
  </si>
  <si>
    <t xml:space="preserve">1 x Engineer Team
</t>
  </si>
  <si>
    <t xml:space="preserve">
1 x Engineer Team</t>
  </si>
  <si>
    <t xml:space="preserve">2 x Engineer Team
2 x EOD Team </t>
  </si>
  <si>
    <t>1 x EOD
1 x Engineer Team</t>
  </si>
  <si>
    <t>1 x EOD Team
1 x Engineer Team</t>
  </si>
  <si>
    <t>2 x Engineer Team
1 x P. Recovery</t>
  </si>
  <si>
    <t>1 x Engineer Team
1 x P. Recovery</t>
  </si>
  <si>
    <t>Tent</t>
  </si>
  <si>
    <t>Pop Up Tent</t>
  </si>
  <si>
    <t>Power Generation (5K)</t>
  </si>
  <si>
    <t>Notes</t>
  </si>
  <si>
    <t>Tent includes Air Conditioning, Generator (Petroluen, Oil, Lubricants (POL) and servicing), Power Outlets (5) , Light Set, 10 x Folding Chairs, 2 x Folding Tables, 3 Large Coolers, 50 Lbs Non-potable Ice Daily</t>
  </si>
  <si>
    <t>Litoral Team Location</t>
  </si>
  <si>
    <t>Pending</t>
  </si>
  <si>
    <t>Personell Recovery Location</t>
  </si>
  <si>
    <t xml:space="preserve">Tent needs to be a pop-up canopy style, that will be secured to the conctrete slab (i.e. sandbags, weights, etc). </t>
  </si>
  <si>
    <t>1 x Engineer Team
1 x EOD</t>
  </si>
  <si>
    <t>1 x Littoral Ops Site</t>
  </si>
  <si>
    <t>1 x Engineers
1 x P. Recovery</t>
  </si>
  <si>
    <t>2 x MASCAL Site
2 x Littoral Ops Site</t>
  </si>
  <si>
    <t>Pop up Tent</t>
  </si>
  <si>
    <t>Air Conditioning</t>
  </si>
  <si>
    <t>A/C Unit can be plugged into School Power</t>
  </si>
  <si>
    <t xml:space="preserve">Dental Clinic </t>
  </si>
  <si>
    <t>Adjustable Dental Chairs</t>
  </si>
  <si>
    <t>Office Divider</t>
  </si>
  <si>
    <t>3 Tank Sanitation Station</t>
  </si>
  <si>
    <t>Supply Tables ( .6 x 1.8 m)</t>
  </si>
  <si>
    <t>Grey Water Removal (Gallons)</t>
  </si>
  <si>
    <t>Son Thuy primary school
Le Ninh primary school</t>
  </si>
  <si>
    <t>5 x Son Thuy
4 x Le Nihn</t>
  </si>
  <si>
    <t>5 x Son Thuy
5 x Le Nihn</t>
  </si>
  <si>
    <t>1 x Son Thuy
1 x Le Nihn</t>
  </si>
  <si>
    <t>50 x Son Thuy
50 x Le Nihn</t>
  </si>
  <si>
    <t>2 x Son Thuy
1 x Le Nihn</t>
  </si>
  <si>
    <t>3 x Son Thuy
1 x Le Nihn</t>
  </si>
  <si>
    <t>4 x Son Thuy
1 x Le Nihn</t>
  </si>
  <si>
    <t>5 x Son Thuy
1 x Le Nihn</t>
  </si>
  <si>
    <t>6 x Son Thuy
1 x Le Nihn</t>
  </si>
  <si>
    <t>7 x Son Thuy
1 x Le Nihn</t>
  </si>
  <si>
    <t>8 x Son Thuy
1 x Le Nihn</t>
  </si>
  <si>
    <t>9 x Son Thuy
1 x Le Nihn</t>
  </si>
  <si>
    <t>10 x Son Thuy
1 x Le Nihn</t>
  </si>
  <si>
    <t>11 x Son Thuy
1 x Le Nihn</t>
  </si>
  <si>
    <t>Location 1</t>
  </si>
  <si>
    <t>Son Thuy primary school</t>
  </si>
  <si>
    <t>Location 2</t>
  </si>
  <si>
    <t>Le Ninh primary school</t>
  </si>
  <si>
    <t>QUOTE VALID FOR ____DAYS</t>
  </si>
  <si>
    <t>1x KTR Team</t>
  </si>
  <si>
    <t>1 x CG VIP
1 x MIL-CIV           1x KTR Team
2 x Dental</t>
  </si>
  <si>
    <t xml:space="preserve">Airport to Dong Hoi (MT Hotel) </t>
  </si>
  <si>
    <t>Contingency</t>
  </si>
  <si>
    <t>30-40 Passenger Bus w or w/o Latrine (PWS PARA 5.2.11)</t>
  </si>
  <si>
    <t>30-40  PAX Bus</t>
  </si>
  <si>
    <t>30-40 Passenger (PAX) Bus (PWS PARA 5.2.11)</t>
  </si>
  <si>
    <t>USD or VND</t>
  </si>
  <si>
    <t>1 x CG VIP       1x KTR Team</t>
  </si>
  <si>
    <t>1 x CG VIP
1 x EOD             1x KTR Team
1 x SUAS
1 x MIL-CIV
2 x DENTAL
1 x Disease Surv.</t>
  </si>
  <si>
    <t>1 x CG VIP
1 x EOD             1x KTR Team
1 X MIL-CIV
2 x 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</si>
</sst>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[$USD]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name val="Times New Roman"/>
      <family val="1"/>
    </font>
    <font>
      <b/>
      <u/>
      <sz val="10"/>
      <name val="Arial"/>
      <family val="2"/>
    </font>
    <font>
      <b/>
      <i/>
      <u/>
      <sz val="10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sz val="10"/>
      <color rgb="FF211F1F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7F8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6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/>
    </xf>
    <xf numFmtId="0" fontId="4" fillId="2" borderId="0" xfId="0" applyFont="1" applyFill="1"/>
    <xf numFmtId="0" fontId="5" fillId="2" borderId="0" xfId="0" applyFont="1" applyFill="1" applyAlignment="1">
      <alignment wrapText="1"/>
    </xf>
    <xf numFmtId="49" fontId="5" fillId="2" borderId="0" xfId="0" applyNumberFormat="1" applyFont="1" applyFill="1" applyAlignment="1">
      <alignment horizontal="center"/>
    </xf>
    <xf numFmtId="0" fontId="5" fillId="2" borderId="0" xfId="0" applyFont="1" applyFill="1"/>
    <xf numFmtId="8" fontId="5" fillId="2" borderId="0" xfId="0" applyNumberFormat="1" applyFont="1" applyFill="1" applyAlignment="1">
      <alignment horizontal="center"/>
    </xf>
    <xf numFmtId="49" fontId="6" fillId="0" borderId="4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8" fontId="6" fillId="0" borderId="1" xfId="0" applyNumberFormat="1" applyFont="1" applyBorder="1" applyAlignment="1">
      <alignment horizontal="center" vertical="center" wrapText="1"/>
    </xf>
    <xf numFmtId="8" fontId="7" fillId="2" borderId="0" xfId="0" applyNumberFormat="1" applyFont="1" applyFill="1" applyAlignment="1">
      <alignment horizontal="center" wrapText="1"/>
    </xf>
    <xf numFmtId="49" fontId="8" fillId="3" borderId="5" xfId="0" applyNumberFormat="1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center" vertical="center" wrapText="1"/>
    </xf>
    <xf numFmtId="164" fontId="11" fillId="5" borderId="6" xfId="0" applyNumberFormat="1" applyFont="1" applyFill="1" applyBorder="1" applyAlignment="1">
      <alignment horizontal="center" vertical="center"/>
    </xf>
    <xf numFmtId="164" fontId="11" fillId="4" borderId="6" xfId="0" applyNumberFormat="1" applyFont="1" applyFill="1" applyBorder="1" applyAlignment="1">
      <alignment horizontal="center" vertical="center"/>
    </xf>
    <xf numFmtId="8" fontId="12" fillId="2" borderId="0" xfId="0" applyNumberFormat="1" applyFont="1" applyFill="1" applyAlignment="1">
      <alignment horizontal="center"/>
    </xf>
    <xf numFmtId="0" fontId="9" fillId="4" borderId="5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3" fillId="2" borderId="0" xfId="0" applyFont="1" applyFill="1"/>
    <xf numFmtId="0" fontId="1" fillId="2" borderId="0" xfId="1" applyFill="1"/>
    <xf numFmtId="0" fontId="1" fillId="0" borderId="0" xfId="1"/>
    <xf numFmtId="0" fontId="1" fillId="0" borderId="7" xfId="1" applyBorder="1" applyAlignment="1">
      <alignment horizontal="center"/>
    </xf>
    <xf numFmtId="0" fontId="2" fillId="7" borderId="5" xfId="1" applyFont="1" applyFill="1" applyBorder="1"/>
    <xf numFmtId="0" fontId="2" fillId="7" borderId="5" xfId="1" applyFont="1" applyFill="1" applyBorder="1" applyAlignment="1">
      <alignment wrapText="1"/>
    </xf>
    <xf numFmtId="0" fontId="1" fillId="0" borderId="5" xfId="1" applyBorder="1"/>
    <xf numFmtId="16" fontId="1" fillId="0" borderId="5" xfId="1" applyNumberFormat="1" applyBorder="1"/>
    <xf numFmtId="0" fontId="1" fillId="0" borderId="5" xfId="1" applyBorder="1" applyAlignment="1">
      <alignment wrapText="1"/>
    </xf>
    <xf numFmtId="0" fontId="3" fillId="0" borderId="1" xfId="1" applyFont="1" applyBorder="1"/>
    <xf numFmtId="0" fontId="15" fillId="0" borderId="9" xfId="1" applyFont="1" applyBorder="1"/>
    <xf numFmtId="0" fontId="1" fillId="0" borderId="1" xfId="1" applyBorder="1"/>
    <xf numFmtId="0" fontId="1" fillId="0" borderId="7" xfId="1" applyBorder="1" applyAlignment="1">
      <alignment horizontal="center" vertical="center"/>
    </xf>
    <xf numFmtId="0" fontId="14" fillId="0" borderId="7" xfId="1" applyFont="1" applyBorder="1" applyAlignment="1">
      <alignment horizontal="center" vertical="center"/>
    </xf>
    <xf numFmtId="0" fontId="1" fillId="0" borderId="0" xfId="1" applyAlignment="1">
      <alignment vertical="center" wrapText="1"/>
    </xf>
    <xf numFmtId="0" fontId="0" fillId="0" borderId="5" xfId="1" applyFont="1" applyBorder="1"/>
    <xf numFmtId="16" fontId="0" fillId="0" borderId="5" xfId="1" applyNumberFormat="1" applyFont="1" applyBorder="1"/>
    <xf numFmtId="0" fontId="0" fillId="0" borderId="5" xfId="1" applyFont="1" applyBorder="1" applyAlignment="1">
      <alignment wrapText="1"/>
    </xf>
    <xf numFmtId="0" fontId="0" fillId="0" borderId="0" xfId="1" applyFont="1"/>
    <xf numFmtId="0" fontId="0" fillId="0" borderId="0" xfId="1" applyFont="1" applyAlignment="1">
      <alignment wrapText="1"/>
    </xf>
    <xf numFmtId="0" fontId="2" fillId="4" borderId="5" xfId="1" applyFont="1" applyFill="1" applyBorder="1"/>
    <xf numFmtId="0" fontId="2" fillId="4" borderId="5" xfId="1" applyFont="1" applyFill="1" applyBorder="1" applyAlignment="1">
      <alignment wrapText="1"/>
    </xf>
    <xf numFmtId="0" fontId="1" fillId="4" borderId="5" xfId="1" applyFill="1" applyBorder="1"/>
    <xf numFmtId="0" fontId="0" fillId="4" borderId="5" xfId="1" applyFont="1" applyFill="1" applyBorder="1"/>
    <xf numFmtId="0" fontId="0" fillId="4" borderId="5" xfId="1" applyFont="1" applyFill="1" applyBorder="1" applyAlignment="1">
      <alignment wrapText="1"/>
    </xf>
    <xf numFmtId="0" fontId="15" fillId="0" borderId="0" xfId="1" applyFont="1"/>
    <xf numFmtId="0" fontId="2" fillId="0" borderId="5" xfId="1" applyFont="1" applyBorder="1"/>
    <xf numFmtId="0" fontId="2" fillId="0" borderId="5" xfId="1" applyFont="1" applyBorder="1" applyAlignment="1">
      <alignment wrapText="1"/>
    </xf>
    <xf numFmtId="0" fontId="0" fillId="0" borderId="7" xfId="1" applyFont="1" applyBorder="1" applyAlignment="1">
      <alignment horizontal="center" vertical="center"/>
    </xf>
    <xf numFmtId="0" fontId="0" fillId="0" borderId="1" xfId="1" applyFont="1" applyBorder="1"/>
    <xf numFmtId="0" fontId="10" fillId="4" borderId="16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vertical="center"/>
    </xf>
    <xf numFmtId="0" fontId="2" fillId="0" borderId="10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2" fillId="8" borderId="10" xfId="1" applyFont="1" applyFill="1" applyBorder="1" applyAlignment="1">
      <alignment horizontal="center"/>
    </xf>
    <xf numFmtId="0" fontId="2" fillId="8" borderId="11" xfId="1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 vertical="center" wrapText="1"/>
    </xf>
    <xf numFmtId="0" fontId="13" fillId="4" borderId="0" xfId="0" applyFont="1" applyFill="1"/>
    <xf numFmtId="8" fontId="11" fillId="0" borderId="9" xfId="0" applyNumberFormat="1" applyFont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164" fontId="11" fillId="5" borderId="5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14" fillId="6" borderId="5" xfId="1" applyFont="1" applyFill="1" applyBorder="1" applyAlignment="1">
      <alignment horizontal="center"/>
    </xf>
    <xf numFmtId="0" fontId="15" fillId="5" borderId="8" xfId="1" applyFont="1" applyFill="1" applyBorder="1" applyAlignment="1">
      <alignment horizontal="left" vertical="top" wrapText="1"/>
    </xf>
    <xf numFmtId="0" fontId="1" fillId="5" borderId="8" xfId="1" applyFill="1" applyBorder="1" applyAlignment="1">
      <alignment horizontal="left" vertical="top" wrapText="1"/>
    </xf>
    <xf numFmtId="0" fontId="1" fillId="5" borderId="9" xfId="1" applyFill="1" applyBorder="1" applyAlignment="1">
      <alignment horizontal="left" vertical="top" wrapText="1"/>
    </xf>
    <xf numFmtId="0" fontId="2" fillId="0" borderId="10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2" fillId="8" borderId="10" xfId="1" applyFont="1" applyFill="1" applyBorder="1" applyAlignment="1">
      <alignment horizontal="center"/>
    </xf>
    <xf numFmtId="0" fontId="2" fillId="8" borderId="11" xfId="1" applyFont="1" applyFill="1" applyBorder="1" applyAlignment="1">
      <alignment horizontal="center"/>
    </xf>
    <xf numFmtId="0" fontId="14" fillId="6" borderId="12" xfId="1" applyFont="1" applyFill="1" applyBorder="1" applyAlignment="1">
      <alignment horizontal="center"/>
    </xf>
    <xf numFmtId="0" fontId="14" fillId="6" borderId="13" xfId="1" applyFont="1" applyFill="1" applyBorder="1" applyAlignment="1">
      <alignment horizontal="center"/>
    </xf>
    <xf numFmtId="0" fontId="14" fillId="6" borderId="14" xfId="1" applyFont="1" applyFill="1" applyBorder="1" applyAlignment="1">
      <alignment horizontal="center"/>
    </xf>
    <xf numFmtId="0" fontId="1" fillId="0" borderId="8" xfId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15" xfId="1" applyBorder="1" applyAlignment="1">
      <alignment horizontal="center" vertical="center" wrapText="1"/>
    </xf>
    <xf numFmtId="0" fontId="1" fillId="0" borderId="16" xfId="1" applyBorder="1" applyAlignment="1">
      <alignment horizontal="center" vertical="center" wrapText="1"/>
    </xf>
    <xf numFmtId="0" fontId="1" fillId="0" borderId="6" xfId="1" applyBorder="1" applyAlignment="1">
      <alignment horizontal="center" vertical="center" wrapText="1"/>
    </xf>
    <xf numFmtId="0" fontId="17" fillId="0" borderId="7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4" fillId="0" borderId="9" xfId="1" applyFont="1" applyBorder="1" applyAlignment="1">
      <alignment horizontal="center" vertical="center" wrapText="1"/>
    </xf>
    <xf numFmtId="0" fontId="0" fillId="0" borderId="2" xfId="1" applyFont="1" applyBorder="1" applyAlignment="1">
      <alignment horizontal="center"/>
    </xf>
    <xf numFmtId="0" fontId="1" fillId="0" borderId="3" xfId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</cellXfs>
  <cellStyles count="2">
    <cellStyle name="Normal" xfId="0" builtinId="0"/>
    <cellStyle name="Normal 3" xfId="1" xr:uid="{87709280-5CB0-4CC5-A4C7-F573D9EAB9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6</xdr:row>
      <xdr:rowOff>38100</xdr:rowOff>
    </xdr:from>
    <xdr:to>
      <xdr:col>10</xdr:col>
      <xdr:colOff>177165</xdr:colOff>
      <xdr:row>32</xdr:row>
      <xdr:rowOff>127635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09766B-2F46-4514-82F5-C2EB38C27E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8"/>
        <a:stretch/>
      </xdr:blipFill>
      <xdr:spPr bwMode="auto">
        <a:xfrm>
          <a:off x="5372100" y="1196340"/>
          <a:ext cx="7012305" cy="448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314324</xdr:colOff>
      <xdr:row>30</xdr:row>
      <xdr:rowOff>12700</xdr:rowOff>
    </xdr:from>
    <xdr:to>
      <xdr:col>13</xdr:col>
      <xdr:colOff>199147</xdr:colOff>
      <xdr:row>50</xdr:row>
      <xdr:rowOff>173778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B52035-3589-4EA9-8590-587A787ED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64491" y="5770033"/>
          <a:ext cx="9028823" cy="4087495"/>
        </a:xfrm>
        <a:prstGeom prst="rect">
          <a:avLst/>
        </a:prstGeom>
      </xdr:spPr>
    </xdr:pic>
    <xdr:clientData/>
  </xdr:twoCellAnchor>
  <xdr:twoCellAnchor editAs="oneCell">
    <xdr:from>
      <xdr:col>1</xdr:col>
      <xdr:colOff>413657</xdr:colOff>
      <xdr:row>27</xdr:row>
      <xdr:rowOff>119742</xdr:rowOff>
    </xdr:from>
    <xdr:to>
      <xdr:col>2</xdr:col>
      <xdr:colOff>1594031</xdr:colOff>
      <xdr:row>36</xdr:row>
      <xdr:rowOff>13908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C15BD2A-F091-430A-850B-ABBF75D88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937" y="4752702"/>
          <a:ext cx="1772194" cy="1645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920F9-43DC-4D00-BF00-4846BC3ABD13}">
  <dimension ref="A1:G24"/>
  <sheetViews>
    <sheetView tabSelected="1" workbookViewId="0">
      <selection activeCell="K14" sqref="K14"/>
    </sheetView>
  </sheetViews>
  <sheetFormatPr defaultRowHeight="15" x14ac:dyDescent="0.25"/>
  <cols>
    <col min="1" max="1" width="39.140625" bestFit="1" customWidth="1"/>
    <col min="2" max="2" width="43.5703125" bestFit="1" customWidth="1"/>
    <col min="3" max="3" width="12.42578125" customWidth="1"/>
    <col min="4" max="4" width="6.42578125" bestFit="1" customWidth="1"/>
    <col min="5" max="5" width="6.5703125" bestFit="1" customWidth="1"/>
    <col min="6" max="6" width="11.42578125" bestFit="1" customWidth="1"/>
    <col min="7" max="7" width="9.140625" customWidth="1"/>
  </cols>
  <sheetData>
    <row r="1" spans="1:7" ht="16.5" thickBot="1" x14ac:dyDescent="0.3">
      <c r="A1" s="1" t="s">
        <v>0</v>
      </c>
      <c r="B1" s="2"/>
      <c r="C1" s="3"/>
      <c r="D1" s="3"/>
      <c r="E1" s="4"/>
      <c r="F1" s="4"/>
      <c r="G1" s="4"/>
    </row>
    <row r="2" spans="1:7" ht="16.5" thickBot="1" x14ac:dyDescent="0.3">
      <c r="A2" s="61" t="s">
        <v>138</v>
      </c>
      <c r="B2" s="62"/>
      <c r="C2" s="3"/>
      <c r="D2" s="3"/>
      <c r="E2" s="4"/>
      <c r="F2" s="4"/>
      <c r="G2" s="4"/>
    </row>
    <row r="3" spans="1:7" ht="15.75" thickBot="1" x14ac:dyDescent="0.3">
      <c r="A3" s="5"/>
      <c r="B3" s="6"/>
      <c r="C3" s="6"/>
      <c r="D3" s="6"/>
      <c r="E3" s="7"/>
      <c r="F3" s="7"/>
      <c r="G3" s="7"/>
    </row>
    <row r="4" spans="1:7" ht="39" thickBot="1" x14ac:dyDescent="0.3">
      <c r="A4" s="8" t="s">
        <v>1</v>
      </c>
      <c r="B4" s="9" t="s">
        <v>2</v>
      </c>
      <c r="C4" s="9" t="s">
        <v>3</v>
      </c>
      <c r="D4" s="9" t="s">
        <v>4</v>
      </c>
      <c r="E4" s="10" t="s">
        <v>5</v>
      </c>
      <c r="F4" s="10" t="s">
        <v>6</v>
      </c>
      <c r="G4" s="11"/>
    </row>
    <row r="5" spans="1:7" ht="15.75" x14ac:dyDescent="0.25">
      <c r="A5" s="12" t="s">
        <v>7</v>
      </c>
      <c r="B5" s="13" t="s">
        <v>8</v>
      </c>
      <c r="C5" s="14"/>
      <c r="D5" s="14">
        <v>311</v>
      </c>
      <c r="E5" s="15"/>
      <c r="F5" s="16" t="s">
        <v>146</v>
      </c>
      <c r="G5" s="17"/>
    </row>
    <row r="6" spans="1:7" ht="25.5" x14ac:dyDescent="0.25">
      <c r="A6" s="12"/>
      <c r="B6" s="13" t="s">
        <v>145</v>
      </c>
      <c r="C6" s="14"/>
      <c r="D6" s="14">
        <v>7</v>
      </c>
      <c r="E6" s="15"/>
      <c r="F6" s="16" t="s">
        <v>146</v>
      </c>
      <c r="G6" s="17"/>
    </row>
    <row r="7" spans="1:7" ht="15.75" x14ac:dyDescent="0.25">
      <c r="A7" s="12" t="s">
        <v>7</v>
      </c>
      <c r="B7" s="13" t="s">
        <v>9</v>
      </c>
      <c r="C7" s="14"/>
      <c r="D7" s="14">
        <v>78</v>
      </c>
      <c r="E7" s="15"/>
      <c r="F7" s="16" t="s">
        <v>146</v>
      </c>
      <c r="G7" s="17"/>
    </row>
    <row r="8" spans="1:7" ht="15.75" x14ac:dyDescent="0.25">
      <c r="A8" s="12" t="s">
        <v>7</v>
      </c>
      <c r="B8" s="13" t="s">
        <v>10</v>
      </c>
      <c r="C8" s="14"/>
      <c r="D8" s="14">
        <v>180</v>
      </c>
      <c r="E8" s="15"/>
      <c r="F8" s="16" t="s">
        <v>146</v>
      </c>
      <c r="G8" s="17"/>
    </row>
    <row r="9" spans="1:7" ht="15.75" x14ac:dyDescent="0.25">
      <c r="A9" s="12" t="s">
        <v>7</v>
      </c>
      <c r="B9" s="51" t="s">
        <v>11</v>
      </c>
      <c r="C9" s="14"/>
      <c r="D9" s="14">
        <v>4</v>
      </c>
      <c r="E9" s="15"/>
      <c r="F9" s="16" t="s">
        <v>146</v>
      </c>
      <c r="G9" s="17"/>
    </row>
    <row r="10" spans="1:7" ht="15.75" x14ac:dyDescent="0.25">
      <c r="A10" s="12" t="s">
        <v>7</v>
      </c>
      <c r="B10" s="51" t="s">
        <v>12</v>
      </c>
      <c r="C10" s="14"/>
      <c r="D10" s="56">
        <v>22</v>
      </c>
      <c r="E10" s="15"/>
      <c r="F10" s="16" t="s">
        <v>146</v>
      </c>
      <c r="G10" s="17"/>
    </row>
    <row r="11" spans="1:7" ht="15.75" x14ac:dyDescent="0.25">
      <c r="A11" s="12" t="s">
        <v>7</v>
      </c>
      <c r="B11" s="18" t="s">
        <v>13</v>
      </c>
      <c r="C11" s="14"/>
      <c r="D11" s="14">
        <v>4</v>
      </c>
      <c r="E11" s="15"/>
      <c r="F11" s="16" t="s">
        <v>146</v>
      </c>
      <c r="G11" s="17"/>
    </row>
    <row r="12" spans="1:7" ht="15.75" x14ac:dyDescent="0.25">
      <c r="A12" s="12" t="s">
        <v>7</v>
      </c>
      <c r="B12" s="18" t="s">
        <v>14</v>
      </c>
      <c r="C12" s="14"/>
      <c r="D12" s="14">
        <v>49</v>
      </c>
      <c r="E12" s="15"/>
      <c r="F12" s="16" t="s">
        <v>146</v>
      </c>
      <c r="G12" s="17"/>
    </row>
    <row r="13" spans="1:7" ht="15.75" x14ac:dyDescent="0.25">
      <c r="A13" s="12" t="s">
        <v>7</v>
      </c>
      <c r="B13" s="19" t="s">
        <v>15</v>
      </c>
      <c r="C13" s="14"/>
      <c r="D13" s="14">
        <v>25</v>
      </c>
      <c r="E13" s="15"/>
      <c r="F13" s="16" t="s">
        <v>146</v>
      </c>
      <c r="G13" s="17"/>
    </row>
    <row r="14" spans="1:7" ht="25.5" x14ac:dyDescent="0.25">
      <c r="A14" s="12" t="s">
        <v>7</v>
      </c>
      <c r="B14" s="18" t="s">
        <v>16</v>
      </c>
      <c r="C14" s="14"/>
      <c r="D14" s="14">
        <v>25</v>
      </c>
      <c r="E14" s="15"/>
      <c r="F14" s="16" t="s">
        <v>146</v>
      </c>
      <c r="G14" s="17"/>
    </row>
    <row r="15" spans="1:7" ht="15.75" x14ac:dyDescent="0.25">
      <c r="A15" s="12" t="s">
        <v>7</v>
      </c>
      <c r="B15" s="13" t="s">
        <v>17</v>
      </c>
      <c r="C15" s="14"/>
      <c r="D15" s="14">
        <v>4</v>
      </c>
      <c r="E15" s="15"/>
      <c r="F15" s="16" t="s">
        <v>146</v>
      </c>
      <c r="G15" s="17"/>
    </row>
    <row r="16" spans="1:7" ht="15.75" x14ac:dyDescent="0.25">
      <c r="A16" s="12" t="s">
        <v>7</v>
      </c>
      <c r="B16" s="13" t="s">
        <v>18</v>
      </c>
      <c r="C16" s="14"/>
      <c r="D16" s="14">
        <v>2</v>
      </c>
      <c r="E16" s="15"/>
      <c r="F16" s="16" t="s">
        <v>146</v>
      </c>
      <c r="G16" s="17"/>
    </row>
    <row r="17" spans="1:7" ht="15.75" x14ac:dyDescent="0.25">
      <c r="A17" s="12" t="s">
        <v>7</v>
      </c>
      <c r="B17" s="13" t="s">
        <v>19</v>
      </c>
      <c r="C17" s="14"/>
      <c r="D17" s="50">
        <v>99</v>
      </c>
      <c r="E17" s="15"/>
      <c r="F17" s="16" t="s">
        <v>146</v>
      </c>
      <c r="G17" s="17"/>
    </row>
    <row r="18" spans="1:7" ht="15.75" x14ac:dyDescent="0.25">
      <c r="A18" s="12" t="s">
        <v>7</v>
      </c>
      <c r="B18" s="13" t="s">
        <v>20</v>
      </c>
      <c r="C18" s="14"/>
      <c r="D18" s="14">
        <v>110</v>
      </c>
      <c r="E18" s="15"/>
      <c r="F18" s="16" t="s">
        <v>146</v>
      </c>
      <c r="G18" s="17"/>
    </row>
    <row r="19" spans="1:7" ht="15.75" x14ac:dyDescent="0.25">
      <c r="A19" s="12" t="s">
        <v>7</v>
      </c>
      <c r="B19" s="13" t="s">
        <v>21</v>
      </c>
      <c r="C19" s="14"/>
      <c r="D19" s="14">
        <v>22</v>
      </c>
      <c r="E19" s="15"/>
      <c r="F19" s="16" t="s">
        <v>146</v>
      </c>
      <c r="G19" s="17"/>
    </row>
    <row r="20" spans="1:7" ht="15.75" x14ac:dyDescent="0.25">
      <c r="A20" s="12" t="s">
        <v>7</v>
      </c>
      <c r="B20" s="13" t="s">
        <v>22</v>
      </c>
      <c r="C20" s="14"/>
      <c r="D20" s="14">
        <v>99</v>
      </c>
      <c r="E20" s="15"/>
      <c r="F20" s="16" t="s">
        <v>146</v>
      </c>
      <c r="G20" s="17"/>
    </row>
    <row r="21" spans="1:7" ht="15.75" x14ac:dyDescent="0.25">
      <c r="A21" s="12" t="s">
        <v>7</v>
      </c>
      <c r="B21" s="13" t="s">
        <v>23</v>
      </c>
      <c r="C21" s="14"/>
      <c r="D21" s="14">
        <v>900</v>
      </c>
      <c r="E21" s="15"/>
      <c r="F21" s="16" t="s">
        <v>146</v>
      </c>
      <c r="G21" s="17"/>
    </row>
    <row r="22" spans="1:7" ht="25.5" x14ac:dyDescent="0.25">
      <c r="A22" s="12" t="s">
        <v>7</v>
      </c>
      <c r="B22" s="18" t="s">
        <v>143</v>
      </c>
      <c r="C22" s="59"/>
      <c r="D22" s="59">
        <v>7</v>
      </c>
      <c r="E22" s="60"/>
      <c r="F22" s="16" t="s">
        <v>146</v>
      </c>
      <c r="G22" s="17"/>
    </row>
    <row r="23" spans="1:7" ht="15.75" thickBot="1" x14ac:dyDescent="0.3">
      <c r="A23" s="5"/>
      <c r="B23" s="6"/>
      <c r="C23" s="20"/>
      <c r="D23" s="57">
        <f>SUM(D5:D22)</f>
        <v>1948</v>
      </c>
      <c r="E23" s="58" t="s">
        <v>24</v>
      </c>
      <c r="F23" s="16" t="s">
        <v>146</v>
      </c>
      <c r="G23" s="7"/>
    </row>
    <row r="24" spans="1:7" x14ac:dyDescent="0.25">
      <c r="A24" s="5"/>
      <c r="B24" s="6"/>
      <c r="C24" s="6"/>
      <c r="D24" s="6"/>
      <c r="E24" s="7"/>
      <c r="F24" s="7"/>
      <c r="G24" s="7"/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EE431-6365-409B-AA1D-0D8E6E409C2D}">
  <dimension ref="A1:G32"/>
  <sheetViews>
    <sheetView topLeftCell="A20" zoomScale="70" zoomScaleNormal="70" workbookViewId="0">
      <selection activeCell="A30" sqref="A3:A30"/>
    </sheetView>
  </sheetViews>
  <sheetFormatPr defaultColWidth="8.85546875" defaultRowHeight="15" x14ac:dyDescent="0.25"/>
  <cols>
    <col min="1" max="1" width="10.42578125" style="22" bestFit="1" customWidth="1"/>
    <col min="2" max="2" width="8.85546875" style="22"/>
    <col min="3" max="3" width="12.42578125" style="22" bestFit="1" customWidth="1"/>
    <col min="4" max="4" width="29.5703125" style="22" bestFit="1" customWidth="1"/>
    <col min="5" max="5" width="8.85546875" style="22"/>
    <col min="6" max="6" width="14.140625" style="22" customWidth="1"/>
    <col min="7" max="7" width="44.85546875" style="22" customWidth="1"/>
    <col min="8" max="8" width="11.42578125" style="22" customWidth="1"/>
    <col min="9" max="9" width="27.42578125" style="22" customWidth="1"/>
    <col min="10" max="16384" width="8.85546875" style="22"/>
  </cols>
  <sheetData>
    <row r="1" spans="1:7" ht="18.75" x14ac:dyDescent="0.3">
      <c r="A1" s="63" t="s">
        <v>25</v>
      </c>
      <c r="B1" s="63"/>
      <c r="C1" s="63"/>
      <c r="D1" s="63"/>
      <c r="E1" s="21"/>
      <c r="G1" s="23" t="s">
        <v>26</v>
      </c>
    </row>
    <row r="2" spans="1:7" x14ac:dyDescent="0.25">
      <c r="A2" s="24" t="s">
        <v>27</v>
      </c>
      <c r="B2" s="24" t="s">
        <v>28</v>
      </c>
      <c r="C2" s="25" t="s">
        <v>29</v>
      </c>
      <c r="D2" s="24" t="s">
        <v>30</v>
      </c>
      <c r="E2" s="21"/>
      <c r="G2" s="64" t="s">
        <v>31</v>
      </c>
    </row>
    <row r="3" spans="1:7" x14ac:dyDescent="0.25">
      <c r="A3" s="42">
        <v>1</v>
      </c>
      <c r="B3" s="27">
        <v>46183</v>
      </c>
      <c r="C3" s="41"/>
      <c r="D3" s="42" t="s">
        <v>32</v>
      </c>
      <c r="E3" s="21"/>
      <c r="G3" s="64"/>
    </row>
    <row r="4" spans="1:7" ht="30" x14ac:dyDescent="0.25">
      <c r="A4" s="42">
        <v>3</v>
      </c>
      <c r="B4" s="27">
        <v>46184</v>
      </c>
      <c r="C4" s="41"/>
      <c r="D4" s="44" t="s">
        <v>33</v>
      </c>
      <c r="E4" s="21"/>
      <c r="G4" s="64"/>
    </row>
    <row r="5" spans="1:7" ht="30" x14ac:dyDescent="0.25">
      <c r="A5" s="42">
        <v>3</v>
      </c>
      <c r="B5" s="27">
        <v>46185</v>
      </c>
      <c r="C5" s="41"/>
      <c r="D5" s="44" t="s">
        <v>34</v>
      </c>
      <c r="E5" s="21"/>
      <c r="G5" s="64"/>
    </row>
    <row r="6" spans="1:7" ht="30" x14ac:dyDescent="0.25">
      <c r="A6" s="26">
        <v>4</v>
      </c>
      <c r="B6" s="27">
        <v>46186</v>
      </c>
      <c r="C6" s="26"/>
      <c r="D6" s="28" t="s">
        <v>35</v>
      </c>
      <c r="E6" s="21"/>
      <c r="G6" s="65"/>
    </row>
    <row r="7" spans="1:7" ht="30" x14ac:dyDescent="0.25">
      <c r="A7" s="26">
        <v>4</v>
      </c>
      <c r="B7" s="27">
        <v>46187</v>
      </c>
      <c r="C7" s="26"/>
      <c r="D7" s="28" t="s">
        <v>35</v>
      </c>
      <c r="E7" s="21"/>
      <c r="G7" s="65"/>
    </row>
    <row r="8" spans="1:7" ht="30" x14ac:dyDescent="0.25">
      <c r="A8" s="26">
        <v>4</v>
      </c>
      <c r="B8" s="27">
        <v>46188</v>
      </c>
      <c r="C8" s="26"/>
      <c r="D8" s="28" t="s">
        <v>35</v>
      </c>
      <c r="E8" s="21"/>
      <c r="G8" s="65"/>
    </row>
    <row r="9" spans="1:7" ht="30" x14ac:dyDescent="0.25">
      <c r="A9" s="26">
        <v>4</v>
      </c>
      <c r="B9" s="27">
        <v>46189</v>
      </c>
      <c r="C9" s="26"/>
      <c r="D9" s="28" t="s">
        <v>35</v>
      </c>
      <c r="E9" s="21"/>
      <c r="G9" s="65"/>
    </row>
    <row r="10" spans="1:7" ht="30" x14ac:dyDescent="0.25">
      <c r="A10" s="26">
        <v>4</v>
      </c>
      <c r="B10" s="27">
        <v>46190</v>
      </c>
      <c r="C10" s="26"/>
      <c r="D10" s="37" t="s">
        <v>36</v>
      </c>
      <c r="E10" s="21"/>
      <c r="G10" s="65"/>
    </row>
    <row r="11" spans="1:7" ht="30" x14ac:dyDescent="0.25">
      <c r="A11" s="26">
        <v>4</v>
      </c>
      <c r="B11" s="27">
        <v>46191</v>
      </c>
      <c r="C11" s="26"/>
      <c r="D11" s="37" t="s">
        <v>35</v>
      </c>
      <c r="E11" s="21"/>
      <c r="G11" s="65"/>
    </row>
    <row r="12" spans="1:7" ht="30.75" thickBot="1" x14ac:dyDescent="0.3">
      <c r="A12" s="26">
        <v>4</v>
      </c>
      <c r="B12" s="27">
        <v>46192</v>
      </c>
      <c r="C12" s="26"/>
      <c r="D12" s="37" t="s">
        <v>35</v>
      </c>
      <c r="E12" s="21"/>
      <c r="G12" s="66"/>
    </row>
    <row r="13" spans="1:7" ht="30" x14ac:dyDescent="0.25">
      <c r="A13" s="26">
        <v>4</v>
      </c>
      <c r="B13" s="27">
        <v>46193</v>
      </c>
      <c r="C13" s="26"/>
      <c r="D13" s="37" t="s">
        <v>35</v>
      </c>
      <c r="E13" s="21"/>
    </row>
    <row r="14" spans="1:7" ht="30" x14ac:dyDescent="0.25">
      <c r="A14" s="26">
        <v>4</v>
      </c>
      <c r="B14" s="27">
        <v>46194</v>
      </c>
      <c r="C14" s="26"/>
      <c r="D14" s="37" t="s">
        <v>35</v>
      </c>
      <c r="E14" s="21"/>
    </row>
    <row r="15" spans="1:7" ht="75" x14ac:dyDescent="0.25">
      <c r="A15" s="26">
        <v>17</v>
      </c>
      <c r="B15" s="27">
        <v>46195</v>
      </c>
      <c r="C15" s="26"/>
      <c r="D15" s="37" t="s">
        <v>37</v>
      </c>
      <c r="E15" s="21"/>
    </row>
    <row r="16" spans="1:7" ht="150" x14ac:dyDescent="0.25">
      <c r="A16" s="26">
        <v>29</v>
      </c>
      <c r="B16" s="27">
        <v>46196</v>
      </c>
      <c r="C16" s="26"/>
      <c r="D16" s="37" t="s">
        <v>38</v>
      </c>
      <c r="E16" s="21"/>
    </row>
    <row r="17" spans="1:5" ht="150" x14ac:dyDescent="0.25">
      <c r="A17" s="26">
        <v>31</v>
      </c>
      <c r="B17" s="27">
        <v>46197</v>
      </c>
      <c r="C17" s="26"/>
      <c r="D17" s="37" t="s">
        <v>39</v>
      </c>
      <c r="E17" s="21"/>
    </row>
    <row r="18" spans="1:5" ht="165" x14ac:dyDescent="0.25">
      <c r="A18" s="26">
        <v>31</v>
      </c>
      <c r="B18" s="27">
        <v>46198</v>
      </c>
      <c r="C18" s="26"/>
      <c r="D18" s="37" t="s">
        <v>40</v>
      </c>
      <c r="E18" s="21"/>
    </row>
    <row r="19" spans="1:5" ht="135" x14ac:dyDescent="0.25">
      <c r="A19" s="26">
        <v>27</v>
      </c>
      <c r="B19" s="27">
        <v>46199</v>
      </c>
      <c r="C19" s="26"/>
      <c r="D19" s="37" t="s">
        <v>41</v>
      </c>
      <c r="E19" s="21"/>
    </row>
    <row r="20" spans="1:5" ht="45" x14ac:dyDescent="0.25">
      <c r="A20" s="26">
        <v>8</v>
      </c>
      <c r="B20" s="27">
        <v>46200</v>
      </c>
      <c r="C20" s="26"/>
      <c r="D20" s="37" t="s">
        <v>42</v>
      </c>
      <c r="E20" s="21"/>
    </row>
    <row r="21" spans="1:5" ht="45" x14ac:dyDescent="0.25">
      <c r="A21" s="26">
        <v>8</v>
      </c>
      <c r="B21" s="27">
        <v>46201</v>
      </c>
      <c r="C21" s="26"/>
      <c r="D21" s="37" t="s">
        <v>43</v>
      </c>
      <c r="E21" s="21"/>
    </row>
    <row r="22" spans="1:5" ht="150" x14ac:dyDescent="0.25">
      <c r="A22" s="26">
        <v>29</v>
      </c>
      <c r="B22" s="27">
        <v>46202</v>
      </c>
      <c r="C22" s="26"/>
      <c r="D22" s="37" t="s">
        <v>44</v>
      </c>
      <c r="E22" s="21"/>
    </row>
    <row r="23" spans="1:5" ht="150" x14ac:dyDescent="0.25">
      <c r="A23" s="26">
        <v>27</v>
      </c>
      <c r="B23" s="27">
        <v>46203</v>
      </c>
      <c r="C23" s="26"/>
      <c r="D23" s="37" t="s">
        <v>45</v>
      </c>
      <c r="E23" s="21"/>
    </row>
    <row r="24" spans="1:5" ht="135" x14ac:dyDescent="0.25">
      <c r="A24" s="26">
        <v>25</v>
      </c>
      <c r="B24" s="27">
        <v>46204</v>
      </c>
      <c r="C24" s="26"/>
      <c r="D24" s="37" t="s">
        <v>46</v>
      </c>
      <c r="E24" s="21"/>
    </row>
    <row r="25" spans="1:5" ht="150" x14ac:dyDescent="0.25">
      <c r="A25" s="26">
        <v>29</v>
      </c>
      <c r="B25" s="27">
        <v>46205</v>
      </c>
      <c r="C25" s="26"/>
      <c r="D25" s="37" t="s">
        <v>47</v>
      </c>
      <c r="E25" s="21"/>
    </row>
    <row r="26" spans="1:5" x14ac:dyDescent="0.25">
      <c r="A26" s="26">
        <v>2</v>
      </c>
      <c r="B26" s="27">
        <v>46206</v>
      </c>
      <c r="C26" s="26"/>
      <c r="D26" s="28" t="s">
        <v>48</v>
      </c>
      <c r="E26" s="21"/>
    </row>
    <row r="27" spans="1:5" x14ac:dyDescent="0.25">
      <c r="A27" s="26">
        <v>2</v>
      </c>
      <c r="B27" s="27">
        <v>46207</v>
      </c>
      <c r="C27" s="26"/>
      <c r="D27" s="28" t="s">
        <v>48</v>
      </c>
      <c r="E27" s="21"/>
    </row>
    <row r="28" spans="1:5" x14ac:dyDescent="0.25">
      <c r="A28" s="26">
        <v>1</v>
      </c>
      <c r="B28" s="27">
        <v>46208</v>
      </c>
      <c r="C28" s="26"/>
      <c r="D28" s="37" t="s">
        <v>32</v>
      </c>
      <c r="E28" s="21"/>
    </row>
    <row r="29" spans="1:5" x14ac:dyDescent="0.25">
      <c r="A29" s="26">
        <v>1</v>
      </c>
      <c r="B29" s="27">
        <v>46209</v>
      </c>
      <c r="C29" s="26"/>
      <c r="D29" s="37" t="s">
        <v>32</v>
      </c>
      <c r="E29" s="21"/>
    </row>
    <row r="30" spans="1:5" x14ac:dyDescent="0.25">
      <c r="A30" s="26">
        <v>1</v>
      </c>
      <c r="B30" s="27">
        <v>46210</v>
      </c>
      <c r="C30" s="26"/>
      <c r="D30" s="37" t="s">
        <v>32</v>
      </c>
      <c r="E30" s="21"/>
    </row>
    <row r="31" spans="1:5" ht="15.75" thickBot="1" x14ac:dyDescent="0.3">
      <c r="A31" s="67">
        <f>SUM(A3:A30)</f>
        <v>311</v>
      </c>
      <c r="B31" s="68"/>
      <c r="C31" s="69"/>
      <c r="D31" s="70"/>
      <c r="E31" s="21"/>
    </row>
    <row r="32" spans="1:5" x14ac:dyDescent="0.25">
      <c r="A32" s="21"/>
      <c r="B32" s="21"/>
      <c r="C32" s="21"/>
      <c r="D32" s="21"/>
      <c r="E32" s="21"/>
    </row>
  </sheetData>
  <mergeCells count="4">
    <mergeCell ref="A1:D1"/>
    <mergeCell ref="G2:G12"/>
    <mergeCell ref="A31:B31"/>
    <mergeCell ref="C31:D31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4B328-8077-46E5-AD62-9A983D32FA97}">
  <dimension ref="A1:AQ32"/>
  <sheetViews>
    <sheetView topLeftCell="A20" zoomScale="70" zoomScaleNormal="70" workbookViewId="0">
      <selection activeCell="A3" sqref="A3:A30"/>
    </sheetView>
  </sheetViews>
  <sheetFormatPr defaultColWidth="8.85546875" defaultRowHeight="15" x14ac:dyDescent="0.25"/>
  <cols>
    <col min="1" max="1" width="10.42578125" style="22" bestFit="1" customWidth="1"/>
    <col min="2" max="2" width="8.85546875" style="22"/>
    <col min="3" max="3" width="12.42578125" style="22" bestFit="1" customWidth="1"/>
    <col min="4" max="4" width="14.42578125" style="22" customWidth="1"/>
    <col min="5" max="5" width="8.85546875" style="22"/>
    <col min="6" max="6" width="10.42578125" style="22" bestFit="1" customWidth="1"/>
    <col min="7" max="7" width="8.85546875" style="22"/>
    <col min="8" max="8" width="11.42578125" style="22" customWidth="1"/>
    <col min="9" max="9" width="8.140625" style="22" bestFit="1" customWidth="1"/>
    <col min="10" max="10" width="8.85546875" style="22"/>
    <col min="11" max="11" width="31.5703125" style="22" customWidth="1"/>
    <col min="12" max="17" width="8.85546875" style="22"/>
    <col min="18" max="18" width="28.42578125" style="22" bestFit="1" customWidth="1"/>
    <col min="19" max="25" width="8.85546875" style="22"/>
    <col min="26" max="26" width="23.85546875" style="22" bestFit="1" customWidth="1"/>
    <col min="27" max="33" width="8.85546875" style="22"/>
    <col min="34" max="34" width="24.85546875" style="22" bestFit="1" customWidth="1"/>
    <col min="35" max="40" width="8.85546875" style="22"/>
    <col min="41" max="41" width="28.7109375" style="22" bestFit="1" customWidth="1"/>
    <col min="42" max="42" width="17.7109375" style="22" bestFit="1" customWidth="1"/>
    <col min="43" max="16384" width="8.85546875" style="22"/>
  </cols>
  <sheetData>
    <row r="1" spans="1:43" ht="18.75" x14ac:dyDescent="0.3">
      <c r="A1" s="63" t="s">
        <v>49</v>
      </c>
      <c r="B1" s="63"/>
      <c r="C1" s="63"/>
      <c r="D1" s="63"/>
      <c r="E1" s="21"/>
      <c r="G1" s="21"/>
      <c r="H1" s="63" t="s">
        <v>50</v>
      </c>
      <c r="I1" s="63"/>
      <c r="J1" s="63"/>
      <c r="K1" s="63"/>
      <c r="L1" s="21"/>
      <c r="N1" s="21"/>
      <c r="O1" s="71" t="s">
        <v>51</v>
      </c>
      <c r="P1" s="72"/>
      <c r="Q1" s="72"/>
      <c r="R1" s="73"/>
      <c r="S1" s="21"/>
      <c r="V1" s="21"/>
      <c r="W1" s="71" t="s">
        <v>52</v>
      </c>
      <c r="X1" s="72"/>
      <c r="Y1" s="72"/>
      <c r="Z1" s="73"/>
      <c r="AA1" s="21"/>
      <c r="AD1" s="21"/>
      <c r="AE1" s="71" t="s">
        <v>53</v>
      </c>
      <c r="AF1" s="72"/>
      <c r="AG1" s="72"/>
      <c r="AH1" s="73"/>
      <c r="AI1" s="21"/>
      <c r="AL1" s="21"/>
      <c r="AM1" s="71" t="s">
        <v>144</v>
      </c>
      <c r="AN1" s="72"/>
      <c r="AO1" s="72"/>
      <c r="AP1" s="73"/>
      <c r="AQ1" s="21"/>
    </row>
    <row r="2" spans="1:43" x14ac:dyDescent="0.25">
      <c r="A2" s="24" t="s">
        <v>27</v>
      </c>
      <c r="B2" s="24" t="s">
        <v>28</v>
      </c>
      <c r="C2" s="25" t="s">
        <v>29</v>
      </c>
      <c r="D2" s="24" t="s">
        <v>30</v>
      </c>
      <c r="E2" s="21"/>
      <c r="G2" s="21"/>
      <c r="H2" s="24" t="s">
        <v>27</v>
      </c>
      <c r="I2" s="24" t="s">
        <v>28</v>
      </c>
      <c r="J2" s="25" t="s">
        <v>29</v>
      </c>
      <c r="K2" s="24" t="s">
        <v>30</v>
      </c>
      <c r="L2" s="21"/>
      <c r="N2" s="21"/>
      <c r="O2" s="24" t="s">
        <v>27</v>
      </c>
      <c r="P2" s="24" t="s">
        <v>28</v>
      </c>
      <c r="Q2" s="25" t="s">
        <v>29</v>
      </c>
      <c r="R2" s="24" t="s">
        <v>30</v>
      </c>
      <c r="S2" s="21"/>
      <c r="V2" s="21"/>
      <c r="W2" s="24" t="s">
        <v>27</v>
      </c>
      <c r="X2" s="24" t="s">
        <v>28</v>
      </c>
      <c r="Y2" s="25" t="s">
        <v>29</v>
      </c>
      <c r="Z2" s="24" t="s">
        <v>30</v>
      </c>
      <c r="AA2" s="21"/>
      <c r="AD2" s="21"/>
      <c r="AE2" s="24" t="s">
        <v>27</v>
      </c>
      <c r="AF2" s="24" t="s">
        <v>28</v>
      </c>
      <c r="AG2" s="25" t="s">
        <v>29</v>
      </c>
      <c r="AH2" s="24" t="s">
        <v>30</v>
      </c>
      <c r="AI2" s="21"/>
      <c r="AL2" s="21"/>
      <c r="AM2" s="24" t="s">
        <v>27</v>
      </c>
      <c r="AN2" s="24" t="s">
        <v>28</v>
      </c>
      <c r="AO2" s="25" t="s">
        <v>29</v>
      </c>
      <c r="AP2" s="24" t="s">
        <v>30</v>
      </c>
      <c r="AQ2" s="21"/>
    </row>
    <row r="3" spans="1:43" x14ac:dyDescent="0.25">
      <c r="A3" s="26">
        <v>0</v>
      </c>
      <c r="B3" s="27">
        <v>46183</v>
      </c>
      <c r="C3" s="35" t="s">
        <v>54</v>
      </c>
      <c r="D3" s="26"/>
      <c r="E3" s="21"/>
      <c r="G3" s="21"/>
      <c r="H3" s="26">
        <v>1</v>
      </c>
      <c r="I3" s="27">
        <v>46183</v>
      </c>
      <c r="J3" s="35" t="s">
        <v>54</v>
      </c>
      <c r="K3" s="35" t="s">
        <v>55</v>
      </c>
      <c r="L3" s="21"/>
      <c r="N3" s="21"/>
      <c r="O3" s="40"/>
      <c r="P3" s="27">
        <v>46183</v>
      </c>
      <c r="Q3" s="35" t="s">
        <v>54</v>
      </c>
      <c r="R3" s="43"/>
      <c r="S3" s="21"/>
      <c r="V3" s="21"/>
      <c r="W3" s="26">
        <v>0</v>
      </c>
      <c r="X3" s="27">
        <v>46183</v>
      </c>
      <c r="Y3" s="41"/>
      <c r="Z3" s="40"/>
      <c r="AA3" s="21"/>
      <c r="AD3" s="21"/>
      <c r="AE3" s="26">
        <v>0</v>
      </c>
      <c r="AF3" s="27">
        <v>46183</v>
      </c>
      <c r="AG3" s="41"/>
      <c r="AH3" s="40"/>
      <c r="AI3" s="21"/>
      <c r="AL3" s="21"/>
      <c r="AM3" s="26">
        <v>1</v>
      </c>
      <c r="AN3" s="27">
        <v>46183</v>
      </c>
      <c r="AO3" s="35" t="s">
        <v>141</v>
      </c>
      <c r="AP3" s="35" t="s">
        <v>142</v>
      </c>
      <c r="AQ3" s="21"/>
    </row>
    <row r="4" spans="1:43" ht="30" x14ac:dyDescent="0.25">
      <c r="A4" s="26">
        <v>1</v>
      </c>
      <c r="B4" s="27">
        <v>46184</v>
      </c>
      <c r="C4" s="35" t="s">
        <v>54</v>
      </c>
      <c r="D4" s="26" t="s">
        <v>139</v>
      </c>
      <c r="E4" s="21"/>
      <c r="G4" s="21"/>
      <c r="H4" s="26">
        <v>3</v>
      </c>
      <c r="I4" s="27">
        <v>46184</v>
      </c>
      <c r="J4" s="35" t="s">
        <v>54</v>
      </c>
      <c r="K4" s="37" t="s">
        <v>56</v>
      </c>
      <c r="L4" s="21"/>
      <c r="N4" s="21"/>
      <c r="O4" s="26">
        <v>1</v>
      </c>
      <c r="P4" s="27">
        <v>46184</v>
      </c>
      <c r="Q4" s="35" t="s">
        <v>54</v>
      </c>
      <c r="R4" s="43" t="s">
        <v>57</v>
      </c>
      <c r="S4" s="21"/>
      <c r="V4" s="21"/>
      <c r="W4" s="26">
        <v>0</v>
      </c>
      <c r="X4" s="27">
        <v>46184</v>
      </c>
      <c r="Y4" s="41"/>
      <c r="Z4" s="40"/>
      <c r="AA4" s="21"/>
      <c r="AD4" s="21"/>
      <c r="AE4" s="26">
        <v>0</v>
      </c>
      <c r="AF4" s="27">
        <v>46184</v>
      </c>
      <c r="AG4" s="41"/>
      <c r="AH4" s="40"/>
      <c r="AI4" s="21"/>
      <c r="AL4" s="21"/>
      <c r="AM4" s="26">
        <v>0</v>
      </c>
      <c r="AN4" s="27">
        <v>46184</v>
      </c>
      <c r="AO4" s="41"/>
      <c r="AP4" s="40"/>
      <c r="AQ4" s="21"/>
    </row>
    <row r="5" spans="1:43" ht="30" x14ac:dyDescent="0.25">
      <c r="A5" s="26">
        <v>1</v>
      </c>
      <c r="B5" s="27">
        <v>46185</v>
      </c>
      <c r="C5" s="35" t="s">
        <v>54</v>
      </c>
      <c r="D5" s="26" t="s">
        <v>139</v>
      </c>
      <c r="E5" s="21"/>
      <c r="G5" s="21"/>
      <c r="H5" s="26">
        <v>3</v>
      </c>
      <c r="I5" s="27">
        <v>46185</v>
      </c>
      <c r="J5" s="35" t="s">
        <v>54</v>
      </c>
      <c r="K5" s="37" t="s">
        <v>56</v>
      </c>
      <c r="L5" s="21"/>
      <c r="N5" s="21"/>
      <c r="O5" s="26">
        <v>1</v>
      </c>
      <c r="P5" s="27">
        <v>46185</v>
      </c>
      <c r="Q5" s="35" t="s">
        <v>54</v>
      </c>
      <c r="R5" s="43" t="s">
        <v>57</v>
      </c>
      <c r="S5" s="21"/>
      <c r="V5" s="21"/>
      <c r="W5" s="26">
        <v>0</v>
      </c>
      <c r="X5" s="27">
        <v>46185</v>
      </c>
      <c r="Y5" s="41"/>
      <c r="Z5" s="40"/>
      <c r="AA5" s="21"/>
      <c r="AD5" s="21"/>
      <c r="AE5" s="26">
        <v>0</v>
      </c>
      <c r="AF5" s="27">
        <v>46185</v>
      </c>
      <c r="AG5" s="41"/>
      <c r="AH5" s="40"/>
      <c r="AI5" s="21"/>
      <c r="AL5" s="21"/>
      <c r="AM5" s="26">
        <v>0</v>
      </c>
      <c r="AN5" s="27">
        <v>46185</v>
      </c>
      <c r="AO5" s="41"/>
      <c r="AP5" s="40"/>
      <c r="AQ5" s="21"/>
    </row>
    <row r="6" spans="1:43" ht="30" x14ac:dyDescent="0.25">
      <c r="A6" s="26">
        <v>1</v>
      </c>
      <c r="B6" s="27">
        <v>46186</v>
      </c>
      <c r="C6" s="35" t="s">
        <v>54</v>
      </c>
      <c r="D6" s="26" t="s">
        <v>139</v>
      </c>
      <c r="E6" s="21"/>
      <c r="G6" s="21"/>
      <c r="H6" s="26">
        <v>3</v>
      </c>
      <c r="I6" s="27">
        <v>46186</v>
      </c>
      <c r="J6" s="35" t="s">
        <v>54</v>
      </c>
      <c r="K6" s="37" t="s">
        <v>56</v>
      </c>
      <c r="L6" s="21"/>
      <c r="N6" s="21"/>
      <c r="O6" s="26">
        <v>1</v>
      </c>
      <c r="P6" s="27">
        <v>46186</v>
      </c>
      <c r="Q6" s="35" t="s">
        <v>54</v>
      </c>
      <c r="R6" s="43" t="s">
        <v>57</v>
      </c>
      <c r="S6" s="21"/>
      <c r="V6" s="21"/>
      <c r="W6" s="26">
        <v>0</v>
      </c>
      <c r="X6" s="27">
        <v>46186</v>
      </c>
      <c r="Y6" s="26"/>
      <c r="Z6" s="26"/>
      <c r="AA6" s="21"/>
      <c r="AD6" s="21"/>
      <c r="AE6" s="26">
        <v>0</v>
      </c>
      <c r="AF6" s="27">
        <v>46186</v>
      </c>
      <c r="AG6" s="26"/>
      <c r="AH6" s="26"/>
      <c r="AI6" s="21"/>
      <c r="AL6" s="21"/>
      <c r="AM6" s="26">
        <v>0</v>
      </c>
      <c r="AN6" s="27">
        <v>46186</v>
      </c>
      <c r="AO6" s="26"/>
      <c r="AP6" s="26"/>
      <c r="AQ6" s="21"/>
    </row>
    <row r="7" spans="1:43" ht="30" x14ac:dyDescent="0.25">
      <c r="A7" s="26">
        <v>1</v>
      </c>
      <c r="B7" s="27">
        <v>46187</v>
      </c>
      <c r="C7" s="35" t="s">
        <v>54</v>
      </c>
      <c r="D7" s="26" t="s">
        <v>139</v>
      </c>
      <c r="E7" s="21"/>
      <c r="G7" s="21"/>
      <c r="H7" s="26">
        <v>3</v>
      </c>
      <c r="I7" s="27">
        <v>46187</v>
      </c>
      <c r="J7" s="35" t="s">
        <v>54</v>
      </c>
      <c r="K7" s="37" t="s">
        <v>56</v>
      </c>
      <c r="L7" s="21"/>
      <c r="N7" s="21"/>
      <c r="O7" s="26">
        <v>1</v>
      </c>
      <c r="P7" s="27">
        <v>46187</v>
      </c>
      <c r="Q7" s="35" t="s">
        <v>54</v>
      </c>
      <c r="R7" s="43" t="s">
        <v>57</v>
      </c>
      <c r="S7" s="21"/>
      <c r="V7" s="21"/>
      <c r="W7" s="26">
        <v>0</v>
      </c>
      <c r="X7" s="27">
        <v>46187</v>
      </c>
      <c r="Y7" s="26"/>
      <c r="Z7" s="26"/>
      <c r="AA7" s="21"/>
      <c r="AD7" s="21"/>
      <c r="AE7" s="26">
        <v>0</v>
      </c>
      <c r="AF7" s="27">
        <v>46187</v>
      </c>
      <c r="AG7" s="26"/>
      <c r="AH7" s="26"/>
      <c r="AI7" s="21"/>
      <c r="AL7" s="21"/>
      <c r="AM7" s="26">
        <v>0</v>
      </c>
      <c r="AN7" s="27">
        <v>46187</v>
      </c>
      <c r="AO7" s="26"/>
      <c r="AP7" s="26"/>
      <c r="AQ7" s="21"/>
    </row>
    <row r="8" spans="1:43" ht="30" x14ac:dyDescent="0.25">
      <c r="A8" s="26">
        <v>1</v>
      </c>
      <c r="B8" s="27">
        <v>46188</v>
      </c>
      <c r="C8" s="35" t="s">
        <v>54</v>
      </c>
      <c r="D8" s="26" t="s">
        <v>139</v>
      </c>
      <c r="E8" s="21"/>
      <c r="G8" s="21"/>
      <c r="H8" s="26">
        <v>3</v>
      </c>
      <c r="I8" s="27">
        <v>46188</v>
      </c>
      <c r="J8" s="35" t="s">
        <v>54</v>
      </c>
      <c r="K8" s="37" t="s">
        <v>56</v>
      </c>
      <c r="L8" s="21"/>
      <c r="N8" s="21"/>
      <c r="O8" s="26">
        <v>1</v>
      </c>
      <c r="P8" s="27">
        <v>46188</v>
      </c>
      <c r="Q8" s="35" t="s">
        <v>54</v>
      </c>
      <c r="R8" s="43" t="s">
        <v>57</v>
      </c>
      <c r="S8" s="21"/>
      <c r="V8" s="21"/>
      <c r="W8" s="26">
        <v>1</v>
      </c>
      <c r="X8" s="27">
        <v>46188</v>
      </c>
      <c r="Y8" s="35" t="s">
        <v>54</v>
      </c>
      <c r="Z8" s="35" t="s">
        <v>58</v>
      </c>
      <c r="AA8" s="21"/>
      <c r="AD8" s="21"/>
      <c r="AE8" s="26">
        <v>0</v>
      </c>
      <c r="AF8" s="27">
        <v>46188</v>
      </c>
      <c r="AG8" s="26"/>
      <c r="AH8" s="26"/>
      <c r="AI8" s="21"/>
      <c r="AL8" s="21"/>
      <c r="AM8" s="26">
        <v>0</v>
      </c>
      <c r="AN8" s="27">
        <v>46188</v>
      </c>
      <c r="AO8" s="26"/>
      <c r="AP8" s="26"/>
      <c r="AQ8" s="21"/>
    </row>
    <row r="9" spans="1:43" ht="30" x14ac:dyDescent="0.25">
      <c r="A9" s="26">
        <v>1</v>
      </c>
      <c r="B9" s="27">
        <v>46189</v>
      </c>
      <c r="C9" s="35" t="s">
        <v>54</v>
      </c>
      <c r="D9" s="26" t="s">
        <v>139</v>
      </c>
      <c r="E9" s="21"/>
      <c r="G9" s="21"/>
      <c r="H9" s="26">
        <v>4</v>
      </c>
      <c r="I9" s="27">
        <v>46189</v>
      </c>
      <c r="J9" s="35" t="s">
        <v>54</v>
      </c>
      <c r="K9" s="37" t="s">
        <v>59</v>
      </c>
      <c r="L9" s="21"/>
      <c r="N9" s="21"/>
      <c r="O9" s="26">
        <v>1</v>
      </c>
      <c r="P9" s="27">
        <v>46189</v>
      </c>
      <c r="Q9" s="35" t="s">
        <v>54</v>
      </c>
      <c r="R9" s="43" t="s">
        <v>57</v>
      </c>
      <c r="S9" s="21"/>
      <c r="V9" s="21"/>
      <c r="W9" s="26">
        <v>0</v>
      </c>
      <c r="X9" s="27">
        <v>46189</v>
      </c>
      <c r="Y9" s="26"/>
      <c r="Z9" s="26"/>
      <c r="AA9" s="21"/>
      <c r="AD9" s="21"/>
      <c r="AE9" s="26">
        <v>0</v>
      </c>
      <c r="AF9" s="27">
        <v>46189</v>
      </c>
      <c r="AG9" s="26"/>
      <c r="AH9" s="26"/>
      <c r="AI9" s="21"/>
      <c r="AL9" s="21"/>
      <c r="AM9" s="26">
        <v>0</v>
      </c>
      <c r="AN9" s="27">
        <v>46189</v>
      </c>
      <c r="AO9" s="26"/>
      <c r="AP9" s="26"/>
      <c r="AQ9" s="21"/>
    </row>
    <row r="10" spans="1:43" ht="30" x14ac:dyDescent="0.25">
      <c r="A10" s="26">
        <v>1</v>
      </c>
      <c r="B10" s="27">
        <v>46190</v>
      </c>
      <c r="C10" s="35" t="s">
        <v>54</v>
      </c>
      <c r="D10" s="26" t="s">
        <v>139</v>
      </c>
      <c r="E10" s="21"/>
      <c r="G10" s="21"/>
      <c r="H10" s="26">
        <v>4</v>
      </c>
      <c r="I10" s="27">
        <v>46190</v>
      </c>
      <c r="J10" s="35" t="s">
        <v>54</v>
      </c>
      <c r="K10" s="37" t="s">
        <v>59</v>
      </c>
      <c r="L10" s="21"/>
      <c r="N10" s="21"/>
      <c r="O10" s="26">
        <v>1</v>
      </c>
      <c r="P10" s="27">
        <v>46190</v>
      </c>
      <c r="Q10" s="35" t="s">
        <v>54</v>
      </c>
      <c r="R10" s="43" t="s">
        <v>57</v>
      </c>
      <c r="S10" s="21"/>
      <c r="V10" s="21"/>
      <c r="W10" s="26">
        <v>1</v>
      </c>
      <c r="X10" s="27">
        <v>46190</v>
      </c>
      <c r="Y10" s="26" t="s">
        <v>60</v>
      </c>
      <c r="Z10" s="35" t="s">
        <v>61</v>
      </c>
      <c r="AA10" s="21"/>
      <c r="AD10" s="21"/>
      <c r="AE10" s="26">
        <v>0</v>
      </c>
      <c r="AF10" s="27">
        <v>46190</v>
      </c>
      <c r="AG10" s="26"/>
      <c r="AH10" s="26"/>
      <c r="AI10" s="21"/>
      <c r="AL10" s="21"/>
      <c r="AM10" s="26">
        <v>0</v>
      </c>
      <c r="AN10" s="27">
        <v>46190</v>
      </c>
      <c r="AO10" s="26"/>
      <c r="AP10" s="26"/>
      <c r="AQ10" s="21"/>
    </row>
    <row r="11" spans="1:43" ht="30" x14ac:dyDescent="0.25">
      <c r="A11" s="26">
        <v>1</v>
      </c>
      <c r="B11" s="27">
        <v>46191</v>
      </c>
      <c r="C11" s="35" t="s">
        <v>54</v>
      </c>
      <c r="D11" s="26" t="s">
        <v>139</v>
      </c>
      <c r="E11" s="21"/>
      <c r="G11" s="21"/>
      <c r="H11" s="26">
        <v>4</v>
      </c>
      <c r="I11" s="27">
        <v>46191</v>
      </c>
      <c r="J11" s="35" t="s">
        <v>54</v>
      </c>
      <c r="K11" s="37" t="s">
        <v>59</v>
      </c>
      <c r="L11" s="21"/>
      <c r="N11" s="21"/>
      <c r="O11" s="26">
        <v>1</v>
      </c>
      <c r="P11" s="27">
        <v>46191</v>
      </c>
      <c r="Q11" s="35" t="s">
        <v>54</v>
      </c>
      <c r="R11" s="43" t="s">
        <v>57</v>
      </c>
      <c r="S11" s="21"/>
      <c r="V11" s="21"/>
      <c r="W11" s="26">
        <v>0</v>
      </c>
      <c r="X11" s="27">
        <v>46191</v>
      </c>
      <c r="Y11" s="26"/>
      <c r="Z11" s="26"/>
      <c r="AA11" s="21"/>
      <c r="AD11" s="21"/>
      <c r="AE11" s="26">
        <v>0</v>
      </c>
      <c r="AF11" s="27">
        <v>46191</v>
      </c>
      <c r="AG11" s="26"/>
      <c r="AH11" s="26"/>
      <c r="AI11" s="21"/>
      <c r="AL11" s="21"/>
      <c r="AM11" s="26">
        <v>0</v>
      </c>
      <c r="AN11" s="27">
        <v>46191</v>
      </c>
      <c r="AO11" s="26"/>
      <c r="AP11" s="26"/>
      <c r="AQ11" s="21"/>
    </row>
    <row r="12" spans="1:43" ht="30" x14ac:dyDescent="0.25">
      <c r="A12" s="26">
        <v>1</v>
      </c>
      <c r="B12" s="27">
        <v>46192</v>
      </c>
      <c r="C12" s="35" t="s">
        <v>54</v>
      </c>
      <c r="D12" s="26" t="s">
        <v>139</v>
      </c>
      <c r="E12" s="21"/>
      <c r="G12" s="21"/>
      <c r="H12" s="26">
        <v>4</v>
      </c>
      <c r="I12" s="27">
        <v>46192</v>
      </c>
      <c r="J12" s="35" t="s">
        <v>54</v>
      </c>
      <c r="K12" s="37" t="s">
        <v>59</v>
      </c>
      <c r="L12" s="21"/>
      <c r="N12" s="21"/>
      <c r="O12" s="26">
        <v>1</v>
      </c>
      <c r="P12" s="27">
        <v>46192</v>
      </c>
      <c r="Q12" s="35" t="s">
        <v>54</v>
      </c>
      <c r="R12" s="43" t="s">
        <v>57</v>
      </c>
      <c r="S12" s="21"/>
      <c r="V12" s="21"/>
      <c r="W12" s="26">
        <v>0</v>
      </c>
      <c r="X12" s="27">
        <v>46192</v>
      </c>
      <c r="Y12" s="26"/>
      <c r="Z12" s="26"/>
      <c r="AA12" s="21"/>
      <c r="AD12" s="21"/>
      <c r="AE12" s="26">
        <v>0</v>
      </c>
      <c r="AF12" s="27">
        <v>46192</v>
      </c>
      <c r="AG12" s="26"/>
      <c r="AH12" s="26"/>
      <c r="AI12" s="21"/>
      <c r="AL12" s="21"/>
      <c r="AM12" s="26">
        <v>2</v>
      </c>
      <c r="AN12" s="27">
        <v>46192</v>
      </c>
      <c r="AO12" s="35" t="s">
        <v>141</v>
      </c>
      <c r="AP12" s="35" t="s">
        <v>142</v>
      </c>
      <c r="AQ12" s="21"/>
    </row>
    <row r="13" spans="1:43" ht="30" x14ac:dyDescent="0.25">
      <c r="A13" s="26">
        <v>1</v>
      </c>
      <c r="B13" s="27">
        <v>46193</v>
      </c>
      <c r="C13" s="35" t="s">
        <v>54</v>
      </c>
      <c r="D13" s="26" t="s">
        <v>139</v>
      </c>
      <c r="E13" s="21"/>
      <c r="G13" s="21"/>
      <c r="H13" s="26">
        <v>4</v>
      </c>
      <c r="I13" s="27">
        <v>46193</v>
      </c>
      <c r="J13" s="35" t="s">
        <v>54</v>
      </c>
      <c r="K13" s="37" t="s">
        <v>59</v>
      </c>
      <c r="L13" s="21"/>
      <c r="N13" s="21"/>
      <c r="O13" s="26">
        <v>1</v>
      </c>
      <c r="P13" s="27">
        <v>46193</v>
      </c>
      <c r="Q13" s="35" t="s">
        <v>54</v>
      </c>
      <c r="R13" s="43" t="s">
        <v>57</v>
      </c>
      <c r="S13" s="21"/>
      <c r="V13" s="21"/>
      <c r="W13" s="26">
        <v>0</v>
      </c>
      <c r="X13" s="27">
        <v>46193</v>
      </c>
      <c r="Y13" s="26"/>
      <c r="Z13" s="26"/>
      <c r="AA13" s="21"/>
      <c r="AD13" s="21"/>
      <c r="AE13" s="26"/>
      <c r="AF13" s="27">
        <v>46193</v>
      </c>
      <c r="AG13" s="26"/>
      <c r="AH13" s="26"/>
      <c r="AI13" s="21"/>
      <c r="AL13" s="21"/>
      <c r="AM13" s="26"/>
      <c r="AN13" s="27">
        <v>46193</v>
      </c>
      <c r="AO13" s="26"/>
      <c r="AP13" s="26"/>
      <c r="AQ13" s="21"/>
    </row>
    <row r="14" spans="1:43" ht="30" x14ac:dyDescent="0.25">
      <c r="A14" s="26">
        <v>2</v>
      </c>
      <c r="B14" s="27">
        <v>46194</v>
      </c>
      <c r="C14" s="35" t="s">
        <v>54</v>
      </c>
      <c r="D14" s="39" t="s">
        <v>147</v>
      </c>
      <c r="E14" s="21"/>
      <c r="G14" s="21"/>
      <c r="H14" s="26">
        <v>4</v>
      </c>
      <c r="I14" s="27">
        <v>46194</v>
      </c>
      <c r="J14" s="35" t="s">
        <v>54</v>
      </c>
      <c r="K14" s="37" t="s">
        <v>59</v>
      </c>
      <c r="L14" s="21"/>
      <c r="N14" s="21"/>
      <c r="O14" s="26">
        <v>1</v>
      </c>
      <c r="P14" s="27">
        <v>46194</v>
      </c>
      <c r="Q14" s="35" t="s">
        <v>54</v>
      </c>
      <c r="R14" s="43" t="s">
        <v>57</v>
      </c>
      <c r="S14" s="21"/>
      <c r="V14" s="21"/>
      <c r="W14" s="26">
        <v>0</v>
      </c>
      <c r="X14" s="27">
        <v>46194</v>
      </c>
      <c r="Y14" s="26"/>
      <c r="Z14" s="26"/>
      <c r="AA14" s="21"/>
      <c r="AD14" s="21"/>
      <c r="AE14" s="26">
        <v>0</v>
      </c>
      <c r="AF14" s="27">
        <v>46194</v>
      </c>
      <c r="AG14" s="26"/>
      <c r="AH14" s="26"/>
      <c r="AI14" s="21"/>
      <c r="AL14" s="21"/>
      <c r="AM14" s="26">
        <v>2</v>
      </c>
      <c r="AN14" s="27">
        <v>46194</v>
      </c>
      <c r="AO14" s="35" t="s">
        <v>141</v>
      </c>
      <c r="AP14" s="35" t="s">
        <v>142</v>
      </c>
      <c r="AQ14" s="21"/>
    </row>
    <row r="15" spans="1:43" ht="90" x14ac:dyDescent="0.25">
      <c r="A15" s="26">
        <v>5</v>
      </c>
      <c r="B15" s="27">
        <v>46195</v>
      </c>
      <c r="C15" s="35" t="s">
        <v>54</v>
      </c>
      <c r="D15" s="39" t="s">
        <v>140</v>
      </c>
      <c r="E15" s="21"/>
      <c r="G15" s="21"/>
      <c r="H15" s="26">
        <v>10</v>
      </c>
      <c r="I15" s="27">
        <v>46195</v>
      </c>
      <c r="J15" s="35" t="s">
        <v>54</v>
      </c>
      <c r="K15" s="37" t="s">
        <v>63</v>
      </c>
      <c r="L15" s="21"/>
      <c r="N15" s="21"/>
      <c r="O15" s="26">
        <v>1</v>
      </c>
      <c r="P15" s="27">
        <v>46195</v>
      </c>
      <c r="Q15" s="35" t="s">
        <v>54</v>
      </c>
      <c r="R15" s="43" t="s">
        <v>57</v>
      </c>
      <c r="S15" s="21"/>
      <c r="V15" s="21"/>
      <c r="W15" s="26">
        <v>0</v>
      </c>
      <c r="X15" s="27">
        <v>46195</v>
      </c>
      <c r="Y15" s="26"/>
      <c r="Z15" s="26"/>
      <c r="AA15" s="21"/>
      <c r="AD15" s="21"/>
      <c r="AE15" s="26">
        <v>0</v>
      </c>
      <c r="AF15" s="27">
        <v>46195</v>
      </c>
      <c r="AG15" s="26"/>
      <c r="AH15" s="26"/>
      <c r="AI15" s="21"/>
      <c r="AL15" s="21"/>
      <c r="AM15" s="26">
        <v>0</v>
      </c>
      <c r="AN15" s="27">
        <v>46195</v>
      </c>
      <c r="AO15" s="26"/>
      <c r="AP15" s="26"/>
      <c r="AQ15" s="21"/>
    </row>
    <row r="16" spans="1:43" ht="120" x14ac:dyDescent="0.25">
      <c r="A16" s="26">
        <v>5</v>
      </c>
      <c r="B16" s="27">
        <v>46196</v>
      </c>
      <c r="C16" s="35" t="s">
        <v>54</v>
      </c>
      <c r="D16" s="39" t="s">
        <v>140</v>
      </c>
      <c r="E16" s="21"/>
      <c r="G16" s="21"/>
      <c r="H16" s="26">
        <v>12</v>
      </c>
      <c r="I16" s="27">
        <v>46196</v>
      </c>
      <c r="J16" s="35" t="s">
        <v>54</v>
      </c>
      <c r="K16" s="37" t="s">
        <v>64</v>
      </c>
      <c r="L16" s="21"/>
      <c r="N16" s="21"/>
      <c r="O16" s="26">
        <v>1</v>
      </c>
      <c r="P16" s="27">
        <v>46196</v>
      </c>
      <c r="Q16" s="35" t="s">
        <v>54</v>
      </c>
      <c r="R16" s="43" t="s">
        <v>57</v>
      </c>
      <c r="S16" s="21"/>
      <c r="V16" s="21"/>
      <c r="W16" s="26">
        <v>0</v>
      </c>
      <c r="X16" s="27">
        <v>46196</v>
      </c>
      <c r="Y16" s="26"/>
      <c r="Z16" s="26"/>
      <c r="AA16" s="21"/>
      <c r="AD16" s="21"/>
      <c r="AE16" s="26">
        <v>0</v>
      </c>
      <c r="AF16" s="27">
        <v>46196</v>
      </c>
      <c r="AG16" s="26" t="s">
        <v>65</v>
      </c>
      <c r="AH16" s="26"/>
      <c r="AI16" s="21"/>
      <c r="AL16" s="21"/>
      <c r="AM16" s="26">
        <v>0</v>
      </c>
      <c r="AN16" s="27">
        <v>46196</v>
      </c>
      <c r="AO16" s="26"/>
      <c r="AP16" s="26"/>
      <c r="AQ16" s="21"/>
    </row>
    <row r="17" spans="1:43" ht="120" x14ac:dyDescent="0.25">
      <c r="A17" s="26">
        <v>6</v>
      </c>
      <c r="B17" s="27">
        <v>46197</v>
      </c>
      <c r="C17" s="35" t="s">
        <v>54</v>
      </c>
      <c r="D17" s="39" t="s">
        <v>149</v>
      </c>
      <c r="E17" s="21"/>
      <c r="G17" s="21"/>
      <c r="H17" s="26">
        <v>13</v>
      </c>
      <c r="I17" s="27">
        <v>46197</v>
      </c>
      <c r="J17" s="35" t="s">
        <v>54</v>
      </c>
      <c r="K17" s="37" t="s">
        <v>66</v>
      </c>
      <c r="L17" s="21"/>
      <c r="N17" s="21"/>
      <c r="O17" s="26">
        <v>1</v>
      </c>
      <c r="P17" s="27">
        <v>46197</v>
      </c>
      <c r="Q17" s="35" t="s">
        <v>54</v>
      </c>
      <c r="R17" s="43" t="s">
        <v>57</v>
      </c>
      <c r="S17" s="21"/>
      <c r="V17" s="21"/>
      <c r="W17" s="26">
        <v>0</v>
      </c>
      <c r="X17" s="27">
        <v>46197</v>
      </c>
      <c r="Y17" s="26"/>
      <c r="Z17" s="26"/>
      <c r="AA17" s="21"/>
      <c r="AD17" s="21"/>
      <c r="AE17" s="26">
        <v>0</v>
      </c>
      <c r="AF17" s="27">
        <v>46197</v>
      </c>
      <c r="AG17" s="26"/>
      <c r="AH17" s="26"/>
      <c r="AI17" s="21"/>
      <c r="AL17" s="21"/>
      <c r="AM17" s="26">
        <v>0</v>
      </c>
      <c r="AN17" s="27">
        <v>46197</v>
      </c>
      <c r="AO17" s="26"/>
      <c r="AP17" s="26"/>
      <c r="AQ17" s="21"/>
    </row>
    <row r="18" spans="1:43" ht="120" x14ac:dyDescent="0.25">
      <c r="A18" s="26">
        <v>8</v>
      </c>
      <c r="B18" s="27">
        <v>46198</v>
      </c>
      <c r="C18" s="35" t="s">
        <v>54</v>
      </c>
      <c r="D18" s="39" t="s">
        <v>148</v>
      </c>
      <c r="E18" s="21"/>
      <c r="G18" s="21"/>
      <c r="H18" s="26">
        <v>12</v>
      </c>
      <c r="I18" s="27">
        <v>46198</v>
      </c>
      <c r="J18" s="35" t="s">
        <v>54</v>
      </c>
      <c r="K18" s="37" t="s">
        <v>68</v>
      </c>
      <c r="L18" s="21"/>
      <c r="N18" s="21"/>
      <c r="O18" s="26">
        <v>1</v>
      </c>
      <c r="P18" s="27">
        <v>46198</v>
      </c>
      <c r="Q18" s="35" t="s">
        <v>54</v>
      </c>
      <c r="R18" s="43" t="s">
        <v>57</v>
      </c>
      <c r="S18" s="21"/>
      <c r="V18" s="21"/>
      <c r="W18" s="26">
        <v>0</v>
      </c>
      <c r="X18" s="27">
        <v>46198</v>
      </c>
      <c r="Y18" s="26"/>
      <c r="Z18" s="26"/>
      <c r="AA18" s="21"/>
      <c r="AD18" s="21"/>
      <c r="AE18" s="26">
        <v>1</v>
      </c>
      <c r="AF18" s="27">
        <v>46198</v>
      </c>
      <c r="AG18" s="26"/>
      <c r="AH18" s="26" t="s">
        <v>69</v>
      </c>
      <c r="AI18" s="21"/>
      <c r="AL18" s="21"/>
      <c r="AM18" s="26">
        <v>0</v>
      </c>
      <c r="AN18" s="27">
        <v>46198</v>
      </c>
      <c r="AO18" s="26"/>
      <c r="AP18" s="26"/>
      <c r="AQ18" s="21"/>
    </row>
    <row r="19" spans="1:43" ht="105" x14ac:dyDescent="0.25">
      <c r="A19" s="26">
        <v>7</v>
      </c>
      <c r="B19" s="27">
        <v>46199</v>
      </c>
      <c r="C19" s="35" t="s">
        <v>54</v>
      </c>
      <c r="D19" s="39" t="s">
        <v>67</v>
      </c>
      <c r="E19" s="21"/>
      <c r="G19" s="21"/>
      <c r="H19" s="26">
        <v>11</v>
      </c>
      <c r="I19" s="27">
        <v>46199</v>
      </c>
      <c r="J19" s="35" t="s">
        <v>54</v>
      </c>
      <c r="K19" s="37" t="s">
        <v>70</v>
      </c>
      <c r="L19" s="21"/>
      <c r="N19" s="21"/>
      <c r="O19" s="26">
        <v>1</v>
      </c>
      <c r="P19" s="27">
        <v>46199</v>
      </c>
      <c r="Q19" s="35" t="s">
        <v>54</v>
      </c>
      <c r="R19" s="43" t="s">
        <v>57</v>
      </c>
      <c r="S19" s="21"/>
      <c r="V19" s="21"/>
      <c r="W19" s="26">
        <v>0</v>
      </c>
      <c r="X19" s="27">
        <v>46199</v>
      </c>
      <c r="Y19" s="26"/>
      <c r="Z19" s="26"/>
      <c r="AA19" s="21"/>
      <c r="AD19" s="21"/>
      <c r="AE19" s="26">
        <v>1</v>
      </c>
      <c r="AF19" s="27">
        <v>46199</v>
      </c>
      <c r="AG19" s="26"/>
      <c r="AH19" s="26" t="s">
        <v>69</v>
      </c>
      <c r="AI19" s="21"/>
      <c r="AL19" s="21"/>
      <c r="AM19" s="26">
        <v>0</v>
      </c>
      <c r="AN19" s="27">
        <v>46199</v>
      </c>
      <c r="AO19" s="26"/>
      <c r="AP19" s="26"/>
      <c r="AQ19" s="21"/>
    </row>
    <row r="20" spans="1:43" ht="45" x14ac:dyDescent="0.25">
      <c r="A20" s="26">
        <v>2</v>
      </c>
      <c r="B20" s="27">
        <v>46200</v>
      </c>
      <c r="C20" s="35" t="s">
        <v>54</v>
      </c>
      <c r="D20" s="39" t="s">
        <v>71</v>
      </c>
      <c r="E20" s="21"/>
      <c r="G20" s="21"/>
      <c r="H20" s="26">
        <v>11</v>
      </c>
      <c r="I20" s="27">
        <v>46200</v>
      </c>
      <c r="J20" s="35" t="s">
        <v>54</v>
      </c>
      <c r="K20" s="37" t="s">
        <v>72</v>
      </c>
      <c r="L20" s="21"/>
      <c r="N20" s="21"/>
      <c r="O20" s="26">
        <v>1</v>
      </c>
      <c r="P20" s="27">
        <v>46200</v>
      </c>
      <c r="Q20" s="35" t="s">
        <v>54</v>
      </c>
      <c r="R20" s="43" t="s">
        <v>57</v>
      </c>
      <c r="S20" s="21"/>
      <c r="V20" s="21"/>
      <c r="W20" s="26">
        <v>0</v>
      </c>
      <c r="X20" s="27">
        <v>46200</v>
      </c>
      <c r="Y20" s="26"/>
      <c r="Z20" s="26"/>
      <c r="AA20" s="21"/>
      <c r="AD20" s="21"/>
      <c r="AE20" s="26">
        <v>0</v>
      </c>
      <c r="AF20" s="27">
        <v>46200</v>
      </c>
      <c r="AG20" s="26"/>
      <c r="AH20" s="26"/>
      <c r="AI20" s="21"/>
      <c r="AL20" s="21"/>
      <c r="AM20" s="26">
        <v>0</v>
      </c>
      <c r="AN20" s="27">
        <v>46200</v>
      </c>
      <c r="AO20" s="26"/>
      <c r="AP20" s="26"/>
      <c r="AQ20" s="21"/>
    </row>
    <row r="21" spans="1:43" ht="45" x14ac:dyDescent="0.25">
      <c r="A21" s="26">
        <v>2</v>
      </c>
      <c r="B21" s="27">
        <v>46201</v>
      </c>
      <c r="C21" s="35" t="s">
        <v>54</v>
      </c>
      <c r="D21" s="39" t="s">
        <v>71</v>
      </c>
      <c r="E21" s="21"/>
      <c r="G21" s="21"/>
      <c r="H21" s="26">
        <v>11</v>
      </c>
      <c r="I21" s="27">
        <v>46201</v>
      </c>
      <c r="J21" s="35" t="s">
        <v>54</v>
      </c>
      <c r="K21" s="37" t="s">
        <v>72</v>
      </c>
      <c r="L21" s="21"/>
      <c r="N21" s="21"/>
      <c r="O21" s="26">
        <v>1</v>
      </c>
      <c r="P21" s="27">
        <v>46201</v>
      </c>
      <c r="Q21" s="35" t="s">
        <v>54</v>
      </c>
      <c r="R21" s="43" t="s">
        <v>57</v>
      </c>
      <c r="S21" s="21"/>
      <c r="V21" s="21"/>
      <c r="W21" s="26">
        <v>0</v>
      </c>
      <c r="X21" s="27">
        <v>46201</v>
      </c>
      <c r="Y21" s="26"/>
      <c r="Z21" s="26"/>
      <c r="AA21" s="21"/>
      <c r="AD21" s="21"/>
      <c r="AE21" s="26">
        <v>0</v>
      </c>
      <c r="AF21" s="27">
        <v>46201</v>
      </c>
      <c r="AG21" s="26"/>
      <c r="AH21" s="26"/>
      <c r="AI21" s="21"/>
      <c r="AL21" s="21"/>
      <c r="AM21" s="26">
        <v>0</v>
      </c>
      <c r="AN21" s="27">
        <v>46201</v>
      </c>
      <c r="AO21" s="26"/>
      <c r="AP21" s="26"/>
      <c r="AQ21" s="21"/>
    </row>
    <row r="22" spans="1:43" ht="120" x14ac:dyDescent="0.25">
      <c r="A22" s="26">
        <v>7</v>
      </c>
      <c r="B22" s="27">
        <v>46202</v>
      </c>
      <c r="C22" s="35" t="s">
        <v>54</v>
      </c>
      <c r="D22" s="39" t="s">
        <v>73</v>
      </c>
      <c r="E22" s="21"/>
      <c r="G22" s="21"/>
      <c r="H22" s="26">
        <v>12</v>
      </c>
      <c r="I22" s="27">
        <v>46202</v>
      </c>
      <c r="J22" s="35" t="s">
        <v>54</v>
      </c>
      <c r="K22" s="37" t="s">
        <v>64</v>
      </c>
      <c r="L22" s="21"/>
      <c r="N22" s="21"/>
      <c r="O22" s="26">
        <v>1</v>
      </c>
      <c r="P22" s="27">
        <v>46202</v>
      </c>
      <c r="Q22" s="35" t="s">
        <v>54</v>
      </c>
      <c r="R22" s="43" t="s">
        <v>57</v>
      </c>
      <c r="S22" s="21"/>
      <c r="V22" s="21"/>
      <c r="W22" s="26">
        <v>0</v>
      </c>
      <c r="X22" s="27">
        <v>46202</v>
      </c>
      <c r="Y22" s="26"/>
      <c r="Z22" s="26"/>
      <c r="AA22" s="21"/>
      <c r="AD22" s="21"/>
      <c r="AE22" s="26">
        <v>1</v>
      </c>
      <c r="AF22" s="27">
        <v>46202</v>
      </c>
      <c r="AG22" s="26"/>
      <c r="AH22" s="26" t="s">
        <v>69</v>
      </c>
      <c r="AI22" s="21"/>
      <c r="AL22" s="21"/>
      <c r="AM22" s="26">
        <v>0</v>
      </c>
      <c r="AN22" s="27">
        <v>46202</v>
      </c>
      <c r="AO22" s="26"/>
      <c r="AP22" s="26"/>
      <c r="AQ22" s="21"/>
    </row>
    <row r="23" spans="1:43" ht="135" x14ac:dyDescent="0.25">
      <c r="A23" s="26">
        <v>7</v>
      </c>
      <c r="B23" s="27">
        <v>46203</v>
      </c>
      <c r="C23" s="35" t="s">
        <v>54</v>
      </c>
      <c r="D23" s="39" t="s">
        <v>74</v>
      </c>
      <c r="E23" s="21"/>
      <c r="G23" s="21"/>
      <c r="H23" s="26">
        <v>13</v>
      </c>
      <c r="I23" s="27">
        <v>46203</v>
      </c>
      <c r="J23" s="35" t="s">
        <v>54</v>
      </c>
      <c r="K23" s="37" t="s">
        <v>75</v>
      </c>
      <c r="L23" s="21"/>
      <c r="N23" s="21"/>
      <c r="O23" s="26">
        <v>1</v>
      </c>
      <c r="P23" s="27">
        <v>46203</v>
      </c>
      <c r="Q23" s="35" t="s">
        <v>54</v>
      </c>
      <c r="R23" s="43" t="s">
        <v>57</v>
      </c>
      <c r="S23" s="21"/>
      <c r="V23" s="21"/>
      <c r="W23" s="26">
        <v>0</v>
      </c>
      <c r="X23" s="27">
        <v>46203</v>
      </c>
      <c r="Y23" s="26"/>
      <c r="Z23" s="26"/>
      <c r="AA23" s="21"/>
      <c r="AD23" s="21"/>
      <c r="AE23" s="26">
        <v>1</v>
      </c>
      <c r="AF23" s="27">
        <v>46203</v>
      </c>
      <c r="AG23" s="26"/>
      <c r="AH23" s="26" t="s">
        <v>69</v>
      </c>
      <c r="AI23" s="21"/>
      <c r="AL23" s="21"/>
      <c r="AM23" s="26">
        <v>0</v>
      </c>
      <c r="AN23" s="27">
        <v>46203</v>
      </c>
      <c r="AO23" s="26"/>
      <c r="AP23" s="26"/>
      <c r="AQ23" s="21"/>
    </row>
    <row r="24" spans="1:43" ht="120" x14ac:dyDescent="0.25">
      <c r="A24" s="26">
        <v>7</v>
      </c>
      <c r="B24" s="27">
        <v>46204</v>
      </c>
      <c r="C24" s="35" t="s">
        <v>54</v>
      </c>
      <c r="D24" s="39" t="s">
        <v>74</v>
      </c>
      <c r="E24" s="21"/>
      <c r="G24" s="21"/>
      <c r="H24" s="26">
        <v>12</v>
      </c>
      <c r="I24" s="27" t="s">
        <v>76</v>
      </c>
      <c r="J24" s="35" t="s">
        <v>54</v>
      </c>
      <c r="K24" s="37" t="s">
        <v>64</v>
      </c>
      <c r="L24" s="21"/>
      <c r="N24" s="21"/>
      <c r="O24" s="26">
        <v>1</v>
      </c>
      <c r="P24" s="27">
        <v>46204</v>
      </c>
      <c r="Q24" s="35" t="s">
        <v>54</v>
      </c>
      <c r="R24" s="43" t="s">
        <v>57</v>
      </c>
      <c r="S24" s="21"/>
      <c r="V24" s="21"/>
      <c r="W24" s="26">
        <v>0</v>
      </c>
      <c r="X24" s="27">
        <v>46204</v>
      </c>
      <c r="Y24" s="26"/>
      <c r="Z24" s="26"/>
      <c r="AA24" s="21"/>
      <c r="AD24" s="21"/>
      <c r="AE24" s="26">
        <v>0</v>
      </c>
      <c r="AF24" s="27">
        <v>46204</v>
      </c>
      <c r="AG24" s="26"/>
      <c r="AH24" s="26"/>
      <c r="AI24" s="21"/>
      <c r="AL24" s="21"/>
      <c r="AM24" s="26">
        <v>0</v>
      </c>
      <c r="AN24" s="27">
        <v>46204</v>
      </c>
      <c r="AO24" s="26"/>
      <c r="AP24" s="26"/>
      <c r="AQ24" s="21"/>
    </row>
    <row r="25" spans="1:43" ht="120" x14ac:dyDescent="0.25">
      <c r="A25" s="26">
        <v>6</v>
      </c>
      <c r="B25" s="27">
        <v>46205</v>
      </c>
      <c r="C25" s="35" t="s">
        <v>54</v>
      </c>
      <c r="D25" s="39" t="s">
        <v>77</v>
      </c>
      <c r="E25" s="21"/>
      <c r="G25" s="21"/>
      <c r="H25" s="26">
        <v>12</v>
      </c>
      <c r="I25" s="27">
        <v>46205</v>
      </c>
      <c r="J25" s="35" t="s">
        <v>54</v>
      </c>
      <c r="K25" s="37" t="s">
        <v>64</v>
      </c>
      <c r="L25" s="21"/>
      <c r="N25" s="21"/>
      <c r="O25" s="26">
        <v>1</v>
      </c>
      <c r="P25" s="27">
        <v>46205</v>
      </c>
      <c r="Q25" s="35" t="s">
        <v>54</v>
      </c>
      <c r="R25" s="43" t="s">
        <v>57</v>
      </c>
      <c r="S25" s="21"/>
      <c r="V25" s="21"/>
      <c r="W25" s="26">
        <v>1</v>
      </c>
      <c r="X25" s="27">
        <v>46205</v>
      </c>
      <c r="Y25" s="35" t="s">
        <v>54</v>
      </c>
      <c r="Z25" s="35" t="s">
        <v>78</v>
      </c>
      <c r="AA25" s="21"/>
      <c r="AD25" s="21"/>
      <c r="AE25" s="26">
        <v>0</v>
      </c>
      <c r="AF25" s="27">
        <v>46205</v>
      </c>
      <c r="AG25" s="26"/>
      <c r="AH25" s="35"/>
      <c r="AI25" s="21"/>
      <c r="AL25" s="21"/>
      <c r="AM25" s="26">
        <v>0</v>
      </c>
      <c r="AN25" s="27">
        <v>46205</v>
      </c>
      <c r="AO25" s="26"/>
      <c r="AP25" s="35"/>
      <c r="AQ25" s="21"/>
    </row>
    <row r="26" spans="1:43" ht="45" x14ac:dyDescent="0.25">
      <c r="A26" s="26">
        <v>3</v>
      </c>
      <c r="B26" s="27">
        <v>46206</v>
      </c>
      <c r="C26" s="35" t="s">
        <v>54</v>
      </c>
      <c r="D26" s="39" t="s">
        <v>79</v>
      </c>
      <c r="E26" s="21"/>
      <c r="G26" s="21"/>
      <c r="H26" s="26">
        <v>6</v>
      </c>
      <c r="I26" s="27">
        <v>46206</v>
      </c>
      <c r="J26" s="35" t="s">
        <v>54</v>
      </c>
      <c r="K26" s="37" t="s">
        <v>80</v>
      </c>
      <c r="L26" s="21"/>
      <c r="N26" s="21"/>
      <c r="O26" s="26">
        <v>0</v>
      </c>
      <c r="P26" s="27">
        <v>46206</v>
      </c>
      <c r="Q26" s="35" t="s">
        <v>54</v>
      </c>
      <c r="R26" s="26"/>
      <c r="S26" s="21"/>
      <c r="V26" s="21"/>
      <c r="W26" s="26">
        <v>1</v>
      </c>
      <c r="X26" s="27">
        <v>46206</v>
      </c>
      <c r="Y26" s="35" t="s">
        <v>54</v>
      </c>
      <c r="Z26" s="35" t="s">
        <v>58</v>
      </c>
      <c r="AA26" s="21"/>
      <c r="AD26" s="21"/>
      <c r="AE26" s="26">
        <v>0</v>
      </c>
      <c r="AF26" s="27">
        <v>46206</v>
      </c>
      <c r="AG26" s="26"/>
      <c r="AH26" s="26"/>
      <c r="AI26" s="21"/>
      <c r="AL26" s="21"/>
      <c r="AM26" s="26">
        <v>0</v>
      </c>
      <c r="AN26" s="27">
        <v>46206</v>
      </c>
      <c r="AO26" s="26"/>
      <c r="AP26" s="26"/>
      <c r="AQ26" s="21"/>
    </row>
    <row r="27" spans="1:43" x14ac:dyDescent="0.25">
      <c r="A27" s="26">
        <v>1</v>
      </c>
      <c r="B27" s="27">
        <v>46207</v>
      </c>
      <c r="C27" s="35" t="s">
        <v>54</v>
      </c>
      <c r="D27" s="38" t="s">
        <v>62</v>
      </c>
      <c r="E27" s="21"/>
      <c r="G27" s="21"/>
      <c r="H27" s="26">
        <v>2</v>
      </c>
      <c r="I27" s="27">
        <v>46207</v>
      </c>
      <c r="J27" s="35" t="s">
        <v>54</v>
      </c>
      <c r="K27" s="37" t="s">
        <v>81</v>
      </c>
      <c r="L27" s="21"/>
      <c r="N27" s="21"/>
      <c r="O27" s="26">
        <v>0</v>
      </c>
      <c r="P27" s="27">
        <v>46207</v>
      </c>
      <c r="Q27" s="35" t="s">
        <v>54</v>
      </c>
      <c r="R27" s="26"/>
      <c r="S27" s="21"/>
      <c r="V27" s="21"/>
      <c r="W27" s="26">
        <v>0</v>
      </c>
      <c r="X27" s="27">
        <v>46207</v>
      </c>
      <c r="Y27" s="26"/>
      <c r="Z27" s="26"/>
      <c r="AA27" s="21"/>
      <c r="AD27" s="21"/>
      <c r="AE27" s="26">
        <v>0</v>
      </c>
      <c r="AF27" s="27">
        <v>46207</v>
      </c>
      <c r="AG27" s="26"/>
      <c r="AH27" s="26"/>
      <c r="AI27" s="21"/>
      <c r="AL27" s="21"/>
      <c r="AM27" s="26">
        <v>2</v>
      </c>
      <c r="AN27" s="27">
        <v>46207</v>
      </c>
      <c r="AO27" s="35" t="s">
        <v>141</v>
      </c>
      <c r="AP27" s="35" t="s">
        <v>142</v>
      </c>
      <c r="AQ27" s="21"/>
    </row>
    <row r="28" spans="1:43" x14ac:dyDescent="0.25">
      <c r="A28" s="26">
        <v>0</v>
      </c>
      <c r="B28" s="27">
        <v>46208</v>
      </c>
      <c r="C28" s="35" t="s">
        <v>54</v>
      </c>
      <c r="D28" s="26"/>
      <c r="E28" s="21"/>
      <c r="G28" s="21"/>
      <c r="H28" s="26">
        <v>1</v>
      </c>
      <c r="I28" s="27">
        <v>46208</v>
      </c>
      <c r="J28" s="35" t="s">
        <v>54</v>
      </c>
      <c r="K28" s="37" t="s">
        <v>55</v>
      </c>
      <c r="L28" s="21"/>
      <c r="N28" s="21"/>
      <c r="O28" s="26">
        <v>0</v>
      </c>
      <c r="P28" s="27">
        <v>46208</v>
      </c>
      <c r="Q28" s="35" t="s">
        <v>54</v>
      </c>
      <c r="R28" s="26"/>
      <c r="S28" s="21"/>
      <c r="V28" s="21"/>
      <c r="W28" s="22">
        <v>0</v>
      </c>
      <c r="X28" s="27">
        <v>46208</v>
      </c>
      <c r="Y28" s="26"/>
      <c r="Z28" s="26"/>
      <c r="AA28" s="21"/>
      <c r="AD28" s="21"/>
      <c r="AE28" s="26">
        <v>0</v>
      </c>
      <c r="AF28" s="27">
        <v>46208</v>
      </c>
      <c r="AG28" s="26"/>
      <c r="AH28" s="26"/>
      <c r="AI28" s="21"/>
      <c r="AL28" s="21"/>
      <c r="AM28" s="26">
        <v>0</v>
      </c>
      <c r="AN28" s="27">
        <v>46208</v>
      </c>
      <c r="AO28" s="26"/>
      <c r="AP28" s="26"/>
      <c r="AQ28" s="21"/>
    </row>
    <row r="29" spans="1:43" x14ac:dyDescent="0.25">
      <c r="A29" s="26">
        <v>0</v>
      </c>
      <c r="B29" s="27">
        <v>46209</v>
      </c>
      <c r="C29" s="35" t="s">
        <v>54</v>
      </c>
      <c r="D29" s="26"/>
      <c r="E29" s="21"/>
      <c r="G29" s="21"/>
      <c r="H29" s="26">
        <v>1</v>
      </c>
      <c r="I29" s="27">
        <v>46209</v>
      </c>
      <c r="J29" s="35" t="s">
        <v>54</v>
      </c>
      <c r="K29" s="37" t="s">
        <v>55</v>
      </c>
      <c r="L29" s="21"/>
      <c r="N29" s="21"/>
      <c r="O29" s="26">
        <v>0</v>
      </c>
      <c r="P29" s="27">
        <v>46209</v>
      </c>
      <c r="Q29" s="35" t="s">
        <v>54</v>
      </c>
      <c r="R29" s="26"/>
      <c r="S29" s="21"/>
      <c r="V29" s="21"/>
      <c r="W29" s="26">
        <v>0</v>
      </c>
      <c r="X29" s="27">
        <v>46209</v>
      </c>
      <c r="Y29" s="26"/>
      <c r="Z29" s="26"/>
      <c r="AA29" s="21"/>
      <c r="AD29" s="21"/>
      <c r="AE29" s="26">
        <v>0</v>
      </c>
      <c r="AF29" s="27">
        <v>46209</v>
      </c>
      <c r="AG29" s="26"/>
      <c r="AH29" s="26"/>
      <c r="AI29" s="21"/>
      <c r="AL29" s="21"/>
      <c r="AM29" s="26">
        <v>0</v>
      </c>
      <c r="AN29" s="27">
        <v>46209</v>
      </c>
      <c r="AP29" s="26"/>
      <c r="AQ29" s="21"/>
    </row>
    <row r="30" spans="1:43" x14ac:dyDescent="0.25">
      <c r="A30" s="26">
        <v>0</v>
      </c>
      <c r="B30" s="27">
        <v>46210</v>
      </c>
      <c r="C30" s="35" t="s">
        <v>54</v>
      </c>
      <c r="D30" s="26"/>
      <c r="E30" s="21"/>
      <c r="G30" s="21"/>
      <c r="H30" s="26">
        <v>1</v>
      </c>
      <c r="I30" s="27">
        <v>46210</v>
      </c>
      <c r="J30" s="35" t="s">
        <v>54</v>
      </c>
      <c r="K30" s="37" t="s">
        <v>55</v>
      </c>
      <c r="L30" s="21"/>
      <c r="N30" s="21"/>
      <c r="O30" s="26">
        <v>0</v>
      </c>
      <c r="P30" s="27">
        <v>46210</v>
      </c>
      <c r="Q30" s="35" t="s">
        <v>54</v>
      </c>
      <c r="R30" s="26"/>
      <c r="S30" s="21"/>
      <c r="V30" s="21"/>
      <c r="W30" s="26">
        <v>0</v>
      </c>
      <c r="X30" s="27">
        <v>46210</v>
      </c>
      <c r="Y30" s="26"/>
      <c r="Z30" s="26"/>
      <c r="AA30" s="21"/>
      <c r="AD30" s="21"/>
      <c r="AE30" s="26">
        <v>0</v>
      </c>
      <c r="AF30" s="27">
        <v>46210</v>
      </c>
      <c r="AG30" s="26"/>
      <c r="AH30" s="26"/>
      <c r="AI30" s="21"/>
      <c r="AL30" s="21"/>
      <c r="AM30" s="26">
        <v>0</v>
      </c>
      <c r="AN30" s="27">
        <v>46210</v>
      </c>
      <c r="AO30" s="26"/>
      <c r="AP30" s="26"/>
      <c r="AQ30" s="21"/>
    </row>
    <row r="31" spans="1:43" ht="15.75" thickBot="1" x14ac:dyDescent="0.3">
      <c r="A31" s="67">
        <f>SUM(A3:A30)</f>
        <v>78</v>
      </c>
      <c r="B31" s="68"/>
      <c r="C31" s="69"/>
      <c r="D31" s="70"/>
      <c r="E31" s="21"/>
      <c r="G31" s="21"/>
      <c r="H31" s="67">
        <f>SUM(H3:H30)</f>
        <v>180</v>
      </c>
      <c r="I31" s="68"/>
      <c r="J31" s="69"/>
      <c r="K31" s="70"/>
      <c r="L31" s="21"/>
      <c r="N31" s="21"/>
      <c r="O31" s="52">
        <f>SUM(O3:O30)</f>
        <v>22</v>
      </c>
      <c r="P31" s="53"/>
      <c r="Q31" s="54"/>
      <c r="R31" s="55"/>
      <c r="S31" s="21"/>
      <c r="V31" s="21"/>
      <c r="W31" s="52">
        <f>SUM(W6:W30)</f>
        <v>4</v>
      </c>
      <c r="X31" s="53"/>
      <c r="Y31" s="54"/>
      <c r="Z31" s="55"/>
      <c r="AA31" s="21"/>
      <c r="AD31" s="21"/>
      <c r="AE31" s="52">
        <f>SUM(AE6:AE30)</f>
        <v>4</v>
      </c>
      <c r="AF31" s="53"/>
      <c r="AG31" s="54"/>
      <c r="AH31" s="55"/>
      <c r="AI31" s="21"/>
      <c r="AL31" s="21"/>
      <c r="AM31" s="52">
        <v>7</v>
      </c>
      <c r="AN31" s="53"/>
      <c r="AO31" s="54"/>
      <c r="AP31" s="55"/>
      <c r="AQ31" s="21"/>
    </row>
    <row r="32" spans="1:43" x14ac:dyDescent="0.25">
      <c r="A32" s="21"/>
      <c r="B32" s="21"/>
      <c r="C32" s="21"/>
      <c r="D32" s="21"/>
      <c r="E32" s="21"/>
      <c r="G32" s="21"/>
      <c r="H32" s="21"/>
      <c r="I32" s="21"/>
      <c r="J32" s="21"/>
      <c r="K32" s="21"/>
      <c r="L32" s="21"/>
      <c r="N32" s="21"/>
      <c r="O32" s="21"/>
      <c r="P32" s="21"/>
      <c r="Q32" s="21"/>
      <c r="R32" s="21"/>
      <c r="S32" s="21"/>
      <c r="V32" s="21"/>
      <c r="W32" s="21"/>
      <c r="X32" s="21"/>
      <c r="Y32" s="21"/>
      <c r="Z32" s="21"/>
      <c r="AA32" s="21"/>
      <c r="AD32" s="21"/>
      <c r="AE32" s="21"/>
      <c r="AF32" s="21"/>
      <c r="AG32" s="21"/>
      <c r="AH32" s="21"/>
      <c r="AI32" s="21"/>
      <c r="AL32" s="21"/>
      <c r="AM32" s="21"/>
      <c r="AN32" s="21"/>
      <c r="AO32" s="21"/>
      <c r="AP32" s="21"/>
      <c r="AQ32" s="21"/>
    </row>
  </sheetData>
  <mergeCells count="10">
    <mergeCell ref="AM1:AP1"/>
    <mergeCell ref="W1:Z1"/>
    <mergeCell ref="AE1:AH1"/>
    <mergeCell ref="O1:R1"/>
    <mergeCell ref="A31:B31"/>
    <mergeCell ref="C31:D31"/>
    <mergeCell ref="H31:I31"/>
    <mergeCell ref="J31:K31"/>
    <mergeCell ref="A1:D1"/>
    <mergeCell ref="H1:K1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A5D3-B05A-4EDF-9164-853A6FE2BA6B}">
  <dimension ref="A1:N30"/>
  <sheetViews>
    <sheetView topLeftCell="A20" zoomScale="115" zoomScaleNormal="115" workbookViewId="0">
      <selection activeCell="A28" sqref="A3:A28"/>
    </sheetView>
  </sheetViews>
  <sheetFormatPr defaultColWidth="8.85546875" defaultRowHeight="15" x14ac:dyDescent="0.25"/>
  <cols>
    <col min="1" max="1" width="10.42578125" style="22" bestFit="1" customWidth="1"/>
    <col min="2" max="2" width="8.85546875" style="22"/>
    <col min="3" max="3" width="12.42578125" style="22" bestFit="1" customWidth="1"/>
    <col min="4" max="4" width="41.5703125" style="22" bestFit="1" customWidth="1"/>
    <col min="5" max="5" width="8.85546875" style="22"/>
    <col min="6" max="6" width="10.42578125" style="22" bestFit="1" customWidth="1"/>
    <col min="7" max="7" width="8.85546875" style="22"/>
    <col min="8" max="8" width="11.42578125" style="22" customWidth="1"/>
    <col min="9" max="9" width="8.85546875" style="22"/>
    <col min="10" max="10" width="43.5703125" style="22" customWidth="1"/>
    <col min="11" max="13" width="8.85546875" style="22"/>
    <col min="14" max="14" width="44.42578125" style="22" bestFit="1" customWidth="1"/>
    <col min="15" max="16384" width="8.85546875" style="22"/>
  </cols>
  <sheetData>
    <row r="1" spans="1:14" ht="19.5" thickBot="1" x14ac:dyDescent="0.35">
      <c r="A1" s="63" t="s">
        <v>82</v>
      </c>
      <c r="B1" s="63"/>
      <c r="C1" s="63"/>
      <c r="D1" s="63"/>
      <c r="E1" s="21"/>
      <c r="F1" s="21"/>
      <c r="G1" s="63" t="s">
        <v>83</v>
      </c>
      <c r="H1" s="63"/>
      <c r="I1" s="63"/>
      <c r="J1" s="63"/>
      <c r="K1" s="21"/>
      <c r="N1" s="29" t="s">
        <v>84</v>
      </c>
    </row>
    <row r="2" spans="1:14" ht="16.5" thickBot="1" x14ac:dyDescent="0.3">
      <c r="A2" s="24" t="s">
        <v>27</v>
      </c>
      <c r="B2" s="24" t="s">
        <v>28</v>
      </c>
      <c r="C2" s="25" t="s">
        <v>29</v>
      </c>
      <c r="D2" s="24" t="s">
        <v>30</v>
      </c>
      <c r="E2" s="21"/>
      <c r="F2" s="21"/>
      <c r="G2" s="24" t="s">
        <v>27</v>
      </c>
      <c r="H2" s="24" t="s">
        <v>28</v>
      </c>
      <c r="I2" s="25" t="s">
        <v>29</v>
      </c>
      <c r="J2" s="24" t="s">
        <v>30</v>
      </c>
      <c r="K2" s="21"/>
      <c r="N2" s="30"/>
    </row>
    <row r="3" spans="1:14" ht="15.75" x14ac:dyDescent="0.25">
      <c r="A3" s="26">
        <v>0</v>
      </c>
      <c r="B3" s="27">
        <v>46183</v>
      </c>
      <c r="C3" s="47"/>
      <c r="D3" s="46"/>
      <c r="E3" s="21"/>
      <c r="F3" s="21"/>
      <c r="G3" s="26">
        <v>0</v>
      </c>
      <c r="H3" s="27">
        <v>46183</v>
      </c>
      <c r="I3" s="47"/>
      <c r="J3" s="46"/>
      <c r="K3" s="21"/>
      <c r="N3" s="45"/>
    </row>
    <row r="4" spans="1:14" ht="15.75" x14ac:dyDescent="0.25">
      <c r="A4" s="26">
        <v>2</v>
      </c>
      <c r="B4" s="27">
        <v>46184</v>
      </c>
      <c r="C4" s="47"/>
      <c r="D4" s="26" t="s">
        <v>85</v>
      </c>
      <c r="E4" s="21"/>
      <c r="F4" s="21"/>
      <c r="G4" s="26">
        <v>1</v>
      </c>
      <c r="H4" s="27">
        <v>46184</v>
      </c>
      <c r="I4" s="47"/>
      <c r="J4" s="26" t="s">
        <v>86</v>
      </c>
      <c r="K4" s="21"/>
      <c r="N4" s="45"/>
    </row>
    <row r="5" spans="1:14" ht="15.75" x14ac:dyDescent="0.25">
      <c r="A5" s="26">
        <v>2</v>
      </c>
      <c r="B5" s="27">
        <v>46185</v>
      </c>
      <c r="C5" s="47"/>
      <c r="D5" s="26" t="s">
        <v>85</v>
      </c>
      <c r="E5" s="21"/>
      <c r="F5" s="21"/>
      <c r="G5" s="26">
        <v>1</v>
      </c>
      <c r="H5" s="27">
        <v>46185</v>
      </c>
      <c r="I5" s="47"/>
      <c r="J5" s="26" t="s">
        <v>86</v>
      </c>
      <c r="K5" s="21"/>
      <c r="N5" s="45"/>
    </row>
    <row r="6" spans="1:14" ht="15.75" thickBot="1" x14ac:dyDescent="0.3">
      <c r="A6" s="26">
        <v>2</v>
      </c>
      <c r="B6" s="27">
        <v>46186</v>
      </c>
      <c r="C6" s="26"/>
      <c r="D6" s="26" t="s">
        <v>85</v>
      </c>
      <c r="E6" s="21"/>
      <c r="F6" s="21"/>
      <c r="G6" s="26">
        <v>1</v>
      </c>
      <c r="H6" s="27">
        <v>46186</v>
      </c>
      <c r="I6" s="26"/>
      <c r="J6" s="26" t="s">
        <v>86</v>
      </c>
      <c r="K6" s="21"/>
    </row>
    <row r="7" spans="1:14" ht="16.5" thickBot="1" x14ac:dyDescent="0.3">
      <c r="A7" s="26">
        <v>2</v>
      </c>
      <c r="B7" s="27">
        <v>46187</v>
      </c>
      <c r="C7" s="26"/>
      <c r="D7" s="26" t="s">
        <v>85</v>
      </c>
      <c r="E7" s="21"/>
      <c r="F7" s="21"/>
      <c r="G7" s="26">
        <v>1</v>
      </c>
      <c r="H7" s="27">
        <v>46187</v>
      </c>
      <c r="I7" s="26"/>
      <c r="J7" s="26" t="s">
        <v>86</v>
      </c>
      <c r="K7" s="21"/>
      <c r="N7" s="29" t="s">
        <v>87</v>
      </c>
    </row>
    <row r="8" spans="1:14" ht="15.75" thickBot="1" x14ac:dyDescent="0.3">
      <c r="A8" s="26">
        <v>2</v>
      </c>
      <c r="B8" s="27">
        <v>46188</v>
      </c>
      <c r="C8" s="26"/>
      <c r="D8" s="26" t="s">
        <v>85</v>
      </c>
      <c r="E8" s="21"/>
      <c r="F8" s="21"/>
      <c r="G8" s="26">
        <v>1</v>
      </c>
      <c r="H8" s="27">
        <v>46188</v>
      </c>
      <c r="I8" s="26"/>
      <c r="J8" s="26" t="s">
        <v>86</v>
      </c>
      <c r="K8" s="21"/>
      <c r="N8" s="31"/>
    </row>
    <row r="9" spans="1:14" ht="15.75" thickBot="1" x14ac:dyDescent="0.3">
      <c r="A9" s="26">
        <v>2</v>
      </c>
      <c r="B9" s="27">
        <v>46189</v>
      </c>
      <c r="C9" s="26"/>
      <c r="D9" s="26" t="s">
        <v>85</v>
      </c>
      <c r="E9" s="21"/>
      <c r="F9" s="21"/>
      <c r="G9" s="26">
        <v>1</v>
      </c>
      <c r="H9" s="27">
        <v>46189</v>
      </c>
      <c r="I9" s="26"/>
      <c r="J9" s="26" t="s">
        <v>86</v>
      </c>
      <c r="K9" s="21"/>
    </row>
    <row r="10" spans="1:14" ht="16.5" thickBot="1" x14ac:dyDescent="0.3">
      <c r="A10" s="26">
        <v>2</v>
      </c>
      <c r="B10" s="27">
        <v>46190</v>
      </c>
      <c r="C10" s="26"/>
      <c r="D10" s="26" t="s">
        <v>85</v>
      </c>
      <c r="E10" s="21"/>
      <c r="F10" s="21"/>
      <c r="G10" s="26">
        <v>1</v>
      </c>
      <c r="H10" s="27">
        <v>46190</v>
      </c>
      <c r="I10" s="26"/>
      <c r="J10" s="26" t="s">
        <v>86</v>
      </c>
      <c r="K10" s="21"/>
      <c r="N10" s="29" t="s">
        <v>88</v>
      </c>
    </row>
    <row r="11" spans="1:14" ht="15.75" thickBot="1" x14ac:dyDescent="0.3">
      <c r="A11" s="26">
        <v>2</v>
      </c>
      <c r="B11" s="27">
        <v>46191</v>
      </c>
      <c r="C11" s="26"/>
      <c r="D11" s="26" t="s">
        <v>85</v>
      </c>
      <c r="E11" s="21"/>
      <c r="F11" s="21"/>
      <c r="G11" s="26">
        <v>1</v>
      </c>
      <c r="H11" s="27">
        <v>46191</v>
      </c>
      <c r="I11" s="26"/>
      <c r="J11" s="26" t="s">
        <v>86</v>
      </c>
      <c r="K11" s="21"/>
      <c r="N11" s="31"/>
    </row>
    <row r="12" spans="1:14" x14ac:dyDescent="0.25">
      <c r="A12" s="26">
        <v>2</v>
      </c>
      <c r="B12" s="27">
        <v>46192</v>
      </c>
      <c r="C12" s="26"/>
      <c r="D12" s="26" t="s">
        <v>85</v>
      </c>
      <c r="E12" s="21"/>
      <c r="F12" s="21"/>
      <c r="G12" s="26">
        <v>1</v>
      </c>
      <c r="H12" s="27">
        <v>46192</v>
      </c>
      <c r="I12" s="26"/>
      <c r="J12" s="26" t="s">
        <v>86</v>
      </c>
      <c r="K12" s="21"/>
    </row>
    <row r="13" spans="1:14" x14ac:dyDescent="0.25">
      <c r="A13" s="26">
        <v>2</v>
      </c>
      <c r="B13" s="27">
        <v>46193</v>
      </c>
      <c r="C13" s="26"/>
      <c r="D13" s="26" t="s">
        <v>85</v>
      </c>
      <c r="E13" s="21"/>
      <c r="F13" s="21"/>
      <c r="G13" s="26">
        <v>1</v>
      </c>
      <c r="H13" s="27">
        <v>46193</v>
      </c>
      <c r="I13" s="26"/>
      <c r="J13" s="26" t="s">
        <v>86</v>
      </c>
      <c r="K13" s="21"/>
    </row>
    <row r="14" spans="1:14" x14ac:dyDescent="0.25">
      <c r="A14" s="26">
        <v>2</v>
      </c>
      <c r="B14" s="27">
        <v>46194</v>
      </c>
      <c r="C14" s="26"/>
      <c r="D14" s="26" t="s">
        <v>85</v>
      </c>
      <c r="E14" s="21"/>
      <c r="F14" s="21"/>
      <c r="G14" s="26">
        <v>1</v>
      </c>
      <c r="H14" s="27">
        <v>46194</v>
      </c>
      <c r="I14" s="26"/>
      <c r="J14" s="26" t="s">
        <v>86</v>
      </c>
      <c r="K14" s="21"/>
    </row>
    <row r="15" spans="1:14" x14ac:dyDescent="0.25">
      <c r="A15" s="26">
        <v>2</v>
      </c>
      <c r="B15" s="27">
        <v>46195</v>
      </c>
      <c r="C15" s="26"/>
      <c r="D15" s="26" t="s">
        <v>85</v>
      </c>
      <c r="E15" s="21"/>
      <c r="F15" s="21"/>
      <c r="G15" s="26">
        <v>1</v>
      </c>
      <c r="H15" s="27">
        <v>46195</v>
      </c>
      <c r="I15" s="26"/>
      <c r="J15" s="26" t="s">
        <v>86</v>
      </c>
      <c r="K15" s="21"/>
    </row>
    <row r="16" spans="1:14" x14ac:dyDescent="0.25">
      <c r="A16" s="26">
        <v>2</v>
      </c>
      <c r="B16" s="27">
        <v>46196</v>
      </c>
      <c r="C16" s="26"/>
      <c r="D16" s="26" t="s">
        <v>85</v>
      </c>
      <c r="E16" s="21"/>
      <c r="F16" s="21"/>
      <c r="G16" s="26">
        <v>1</v>
      </c>
      <c r="H16" s="27">
        <v>46196</v>
      </c>
      <c r="I16" s="26"/>
      <c r="J16" s="26" t="s">
        <v>86</v>
      </c>
      <c r="K16" s="21"/>
    </row>
    <row r="17" spans="1:11" x14ac:dyDescent="0.25">
      <c r="A17" s="26">
        <v>2</v>
      </c>
      <c r="B17" s="27">
        <v>46197</v>
      </c>
      <c r="C17" s="26"/>
      <c r="D17" s="26" t="s">
        <v>85</v>
      </c>
      <c r="E17" s="21"/>
      <c r="F17" s="21"/>
      <c r="G17" s="26">
        <v>1</v>
      </c>
      <c r="H17" s="27">
        <v>46197</v>
      </c>
      <c r="I17" s="26"/>
      <c r="J17" s="26" t="s">
        <v>86</v>
      </c>
      <c r="K17" s="21"/>
    </row>
    <row r="18" spans="1:11" x14ac:dyDescent="0.25">
      <c r="A18" s="26">
        <v>2</v>
      </c>
      <c r="B18" s="27">
        <v>46198</v>
      </c>
      <c r="C18" s="26"/>
      <c r="D18" s="26" t="s">
        <v>85</v>
      </c>
      <c r="E18" s="21"/>
      <c r="F18" s="21"/>
      <c r="G18" s="26">
        <v>1</v>
      </c>
      <c r="H18" s="27">
        <v>46198</v>
      </c>
      <c r="I18" s="26"/>
      <c r="J18" s="26" t="s">
        <v>86</v>
      </c>
      <c r="K18" s="21"/>
    </row>
    <row r="19" spans="1:11" ht="30" x14ac:dyDescent="0.25">
      <c r="A19" s="26">
        <v>2</v>
      </c>
      <c r="B19" s="27">
        <v>46199</v>
      </c>
      <c r="C19" s="26"/>
      <c r="D19" s="28" t="s">
        <v>89</v>
      </c>
      <c r="E19" s="21"/>
      <c r="F19" s="21"/>
      <c r="G19" s="26">
        <v>1</v>
      </c>
      <c r="H19" s="27">
        <v>46199</v>
      </c>
      <c r="I19" s="26"/>
      <c r="J19" s="28" t="s">
        <v>90</v>
      </c>
      <c r="K19" s="21"/>
    </row>
    <row r="20" spans="1:11" x14ac:dyDescent="0.25">
      <c r="A20" s="26">
        <v>2</v>
      </c>
      <c r="B20" s="27">
        <v>46200</v>
      </c>
      <c r="C20" s="26"/>
      <c r="D20" s="26" t="s">
        <v>85</v>
      </c>
      <c r="E20" s="21"/>
      <c r="F20" s="21"/>
      <c r="G20" s="26">
        <v>1</v>
      </c>
      <c r="H20" s="27">
        <v>46200</v>
      </c>
      <c r="I20" s="26"/>
      <c r="J20" s="26" t="s">
        <v>86</v>
      </c>
      <c r="K20" s="21"/>
    </row>
    <row r="21" spans="1:11" ht="30" x14ac:dyDescent="0.25">
      <c r="A21" s="26">
        <v>2</v>
      </c>
      <c r="B21" s="27">
        <v>46201</v>
      </c>
      <c r="C21" s="26"/>
      <c r="D21" s="28" t="s">
        <v>89</v>
      </c>
      <c r="E21" s="21"/>
      <c r="F21" s="21"/>
      <c r="G21" s="26">
        <v>1</v>
      </c>
      <c r="H21" s="27">
        <v>46201</v>
      </c>
      <c r="I21" s="26"/>
      <c r="J21" s="28" t="s">
        <v>91</v>
      </c>
      <c r="K21" s="21"/>
    </row>
    <row r="22" spans="1:11" ht="30" x14ac:dyDescent="0.25">
      <c r="A22" s="26">
        <v>2</v>
      </c>
      <c r="B22" s="27">
        <v>46202</v>
      </c>
      <c r="C22" s="26"/>
      <c r="D22" s="28" t="s">
        <v>89</v>
      </c>
      <c r="E22" s="21"/>
      <c r="F22" s="21"/>
      <c r="G22" s="26">
        <v>1</v>
      </c>
      <c r="H22" s="27">
        <v>46202</v>
      </c>
      <c r="I22" s="26"/>
      <c r="J22" s="28" t="s">
        <v>91</v>
      </c>
      <c r="K22" s="21"/>
    </row>
    <row r="23" spans="1:11" ht="30" x14ac:dyDescent="0.25">
      <c r="A23" s="26">
        <v>4</v>
      </c>
      <c r="B23" s="27">
        <v>46203</v>
      </c>
      <c r="C23" s="26"/>
      <c r="D23" s="28" t="s">
        <v>92</v>
      </c>
      <c r="E23" s="21"/>
      <c r="F23" s="21"/>
      <c r="G23" s="26">
        <v>2</v>
      </c>
      <c r="H23" s="27">
        <v>46203</v>
      </c>
      <c r="I23" s="26"/>
      <c r="J23" s="28" t="s">
        <v>93</v>
      </c>
      <c r="K23" s="21"/>
    </row>
    <row r="24" spans="1:11" ht="30" x14ac:dyDescent="0.25">
      <c r="A24" s="26">
        <v>4</v>
      </c>
      <c r="B24" s="27">
        <v>46204</v>
      </c>
      <c r="C24" s="26"/>
      <c r="D24" s="28" t="s">
        <v>92</v>
      </c>
      <c r="E24" s="21"/>
      <c r="F24" s="21"/>
      <c r="G24" s="26">
        <v>2</v>
      </c>
      <c r="H24" s="27">
        <v>46204</v>
      </c>
      <c r="I24" s="26"/>
      <c r="J24" s="28" t="s">
        <v>94</v>
      </c>
      <c r="K24" s="21"/>
    </row>
    <row r="25" spans="1:11" ht="30" x14ac:dyDescent="0.25">
      <c r="A25" s="26">
        <v>3</v>
      </c>
      <c r="B25" s="27">
        <v>46205</v>
      </c>
      <c r="C25" s="26"/>
      <c r="D25" s="28" t="s">
        <v>95</v>
      </c>
      <c r="E25" s="21"/>
      <c r="F25" s="21"/>
      <c r="G25" s="26">
        <v>2</v>
      </c>
      <c r="H25" s="27">
        <v>46205</v>
      </c>
      <c r="I25" s="26"/>
      <c r="J25" s="28" t="s">
        <v>96</v>
      </c>
      <c r="K25" s="21"/>
    </row>
    <row r="26" spans="1:11" x14ac:dyDescent="0.25">
      <c r="A26" s="26">
        <v>0</v>
      </c>
      <c r="B26" s="27">
        <v>46206</v>
      </c>
      <c r="C26" s="26"/>
      <c r="D26" s="28"/>
      <c r="E26" s="21"/>
      <c r="F26" s="21"/>
      <c r="G26" s="26">
        <v>0</v>
      </c>
      <c r="H26" s="27">
        <v>46206</v>
      </c>
      <c r="I26" s="26"/>
      <c r="J26" s="28"/>
      <c r="K26" s="21"/>
    </row>
    <row r="27" spans="1:11" x14ac:dyDescent="0.25">
      <c r="A27" s="26">
        <v>0</v>
      </c>
      <c r="B27" s="27">
        <v>46207</v>
      </c>
      <c r="C27" s="26"/>
      <c r="D27" s="26"/>
      <c r="E27" s="21"/>
      <c r="F27" s="21"/>
      <c r="G27" s="26">
        <v>0</v>
      </c>
      <c r="H27" s="27">
        <v>46207</v>
      </c>
      <c r="I27" s="26"/>
      <c r="J27" s="26"/>
      <c r="K27" s="21"/>
    </row>
    <row r="28" spans="1:11" x14ac:dyDescent="0.25">
      <c r="A28" s="26">
        <v>0</v>
      </c>
      <c r="B28" s="27">
        <v>46208</v>
      </c>
      <c r="C28" s="26"/>
      <c r="D28" s="26"/>
      <c r="E28" s="21"/>
      <c r="F28" s="21"/>
      <c r="G28" s="26">
        <v>0</v>
      </c>
      <c r="H28" s="27">
        <v>46208</v>
      </c>
      <c r="I28" s="26"/>
      <c r="J28" s="26"/>
      <c r="K28" s="21"/>
    </row>
    <row r="29" spans="1:11" ht="15.75" thickBot="1" x14ac:dyDescent="0.3">
      <c r="A29" s="67">
        <f>SUM(A3:A28)</f>
        <v>49</v>
      </c>
      <c r="B29" s="68"/>
      <c r="C29" s="69"/>
      <c r="D29" s="70"/>
      <c r="E29" s="21"/>
      <c r="F29" s="21"/>
      <c r="G29" s="67">
        <f>SUM(G3:G28)</f>
        <v>25</v>
      </c>
      <c r="H29" s="68"/>
      <c r="I29" s="69"/>
      <c r="J29" s="70"/>
      <c r="K29" s="21"/>
    </row>
    <row r="30" spans="1:11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</row>
  </sheetData>
  <mergeCells count="6">
    <mergeCell ref="A1:D1"/>
    <mergeCell ref="G1:J1"/>
    <mergeCell ref="A29:B29"/>
    <mergeCell ref="C29:D29"/>
    <mergeCell ref="G29:H29"/>
    <mergeCell ref="I29:J29"/>
  </mergeCells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BCB1B-D2DD-4AE7-864A-A4708AA8B088}">
  <dimension ref="A1:V42"/>
  <sheetViews>
    <sheetView topLeftCell="A9" workbookViewId="0">
      <selection activeCell="C29" sqref="C29:D29"/>
    </sheetView>
  </sheetViews>
  <sheetFormatPr defaultColWidth="8.85546875" defaultRowHeight="15" x14ac:dyDescent="0.25"/>
  <cols>
    <col min="1" max="1" width="10.42578125" style="22" bestFit="1" customWidth="1"/>
    <col min="2" max="2" width="8.85546875" style="22"/>
    <col min="3" max="3" width="12.42578125" style="22" bestFit="1" customWidth="1"/>
    <col min="4" max="4" width="22.85546875" style="22" customWidth="1"/>
    <col min="5" max="8" width="8.85546875" style="22"/>
    <col min="9" max="9" width="10.42578125" style="22" bestFit="1" customWidth="1"/>
    <col min="10" max="10" width="23.140625" style="22" customWidth="1"/>
    <col min="11" max="11" width="11.42578125" style="22" customWidth="1"/>
    <col min="12" max="12" width="9.5703125" style="22" customWidth="1"/>
    <col min="13" max="14" width="8.85546875" style="22"/>
    <col min="15" max="15" width="17.5703125" style="22" customWidth="1"/>
    <col min="16" max="16" width="20.5703125" style="22" customWidth="1"/>
    <col min="17" max="19" width="8.85546875" style="22"/>
    <col min="20" max="20" width="31.5703125" style="22" customWidth="1"/>
    <col min="21" max="21" width="8.85546875" style="22"/>
    <col min="22" max="22" width="26.5703125" style="22" customWidth="1"/>
    <col min="23" max="16384" width="8.85546875" style="22"/>
  </cols>
  <sheetData>
    <row r="1" spans="1:22" ht="19.5" thickBot="1" x14ac:dyDescent="0.35">
      <c r="A1" s="63" t="s">
        <v>97</v>
      </c>
      <c r="B1" s="63"/>
      <c r="C1" s="63"/>
      <c r="D1" s="63"/>
      <c r="E1" s="21"/>
      <c r="G1" s="63" t="s">
        <v>98</v>
      </c>
      <c r="H1" s="63"/>
      <c r="I1" s="63"/>
      <c r="J1" s="63"/>
      <c r="K1" s="21"/>
      <c r="M1" s="63" t="s">
        <v>99</v>
      </c>
      <c r="N1" s="63"/>
      <c r="O1" s="63"/>
      <c r="P1" s="63"/>
      <c r="Q1" s="21"/>
      <c r="T1" s="32" t="s">
        <v>100</v>
      </c>
      <c r="V1" s="29" t="s">
        <v>84</v>
      </c>
    </row>
    <row r="2" spans="1:22" ht="16.5" customHeight="1" thickBot="1" x14ac:dyDescent="0.3">
      <c r="A2" s="24" t="s">
        <v>27</v>
      </c>
      <c r="B2" s="24" t="s">
        <v>28</v>
      </c>
      <c r="C2" s="25" t="s">
        <v>29</v>
      </c>
      <c r="D2" s="24" t="s">
        <v>30</v>
      </c>
      <c r="E2" s="21"/>
      <c r="G2" s="24" t="s">
        <v>27</v>
      </c>
      <c r="H2" s="24" t="s">
        <v>28</v>
      </c>
      <c r="I2" s="25" t="s">
        <v>29</v>
      </c>
      <c r="J2" s="24" t="s">
        <v>30</v>
      </c>
      <c r="K2" s="21"/>
      <c r="M2" s="24" t="s">
        <v>27</v>
      </c>
      <c r="N2" s="24" t="s">
        <v>28</v>
      </c>
      <c r="O2" s="25" t="s">
        <v>29</v>
      </c>
      <c r="P2" s="24" t="s">
        <v>30</v>
      </c>
      <c r="Q2" s="21"/>
      <c r="T2" s="74" t="s">
        <v>101</v>
      </c>
      <c r="V2" s="30"/>
    </row>
    <row r="3" spans="1:22" ht="15.75" x14ac:dyDescent="0.25">
      <c r="A3" s="26">
        <v>0</v>
      </c>
      <c r="B3" s="36">
        <v>46183</v>
      </c>
      <c r="C3" s="47"/>
      <c r="D3" s="46"/>
      <c r="E3" s="21"/>
      <c r="G3" s="26">
        <v>0</v>
      </c>
      <c r="H3" s="27">
        <v>46183</v>
      </c>
      <c r="I3" s="26"/>
      <c r="J3" s="26"/>
      <c r="K3" s="21"/>
      <c r="M3" s="26">
        <v>0</v>
      </c>
      <c r="N3" s="27">
        <v>46183</v>
      </c>
      <c r="O3" s="26"/>
      <c r="P3" s="26"/>
      <c r="Q3" s="21"/>
      <c r="T3" s="74"/>
      <c r="V3" s="45"/>
    </row>
    <row r="4" spans="1:22" ht="15.75" x14ac:dyDescent="0.25">
      <c r="A4" s="26">
        <v>1</v>
      </c>
      <c r="B4" s="36">
        <v>46184</v>
      </c>
      <c r="C4" s="47"/>
      <c r="D4" s="26" t="s">
        <v>86</v>
      </c>
      <c r="E4" s="21"/>
      <c r="G4" s="26">
        <v>0</v>
      </c>
      <c r="H4" s="27">
        <v>46184</v>
      </c>
      <c r="I4" s="26"/>
      <c r="J4" s="26"/>
      <c r="K4" s="21"/>
      <c r="M4" s="26">
        <v>0</v>
      </c>
      <c r="N4" s="27">
        <v>46184</v>
      </c>
      <c r="O4" s="26"/>
      <c r="P4" s="26"/>
      <c r="Q4" s="21"/>
      <c r="T4" s="74"/>
      <c r="V4" s="45"/>
    </row>
    <row r="5" spans="1:22" ht="15.75" x14ac:dyDescent="0.25">
      <c r="A5" s="26">
        <v>1</v>
      </c>
      <c r="B5" s="36">
        <v>46185</v>
      </c>
      <c r="C5" s="47"/>
      <c r="D5" s="26" t="s">
        <v>86</v>
      </c>
      <c r="E5" s="21"/>
      <c r="G5" s="26">
        <v>0</v>
      </c>
      <c r="H5" s="27">
        <v>46185</v>
      </c>
      <c r="I5" s="26"/>
      <c r="J5" s="26"/>
      <c r="K5" s="21"/>
      <c r="M5" s="26">
        <v>0</v>
      </c>
      <c r="N5" s="27">
        <v>46185</v>
      </c>
      <c r="O5" s="26"/>
      <c r="P5" s="26"/>
      <c r="Q5" s="21"/>
      <c r="T5" s="74"/>
      <c r="V5" s="45"/>
    </row>
    <row r="6" spans="1:22" ht="15.75" thickBot="1" x14ac:dyDescent="0.3">
      <c r="A6" s="26">
        <v>1</v>
      </c>
      <c r="B6" s="36">
        <v>46186</v>
      </c>
      <c r="C6" s="26"/>
      <c r="D6" s="26" t="s">
        <v>86</v>
      </c>
      <c r="E6" s="21"/>
      <c r="G6" s="26">
        <v>0</v>
      </c>
      <c r="H6" s="27">
        <v>46186</v>
      </c>
      <c r="I6" s="26"/>
      <c r="J6" s="26"/>
      <c r="K6" s="21"/>
      <c r="M6" s="26">
        <v>0</v>
      </c>
      <c r="N6" s="27">
        <v>46186</v>
      </c>
      <c r="O6" s="26"/>
      <c r="P6" s="26"/>
      <c r="Q6" s="21"/>
      <c r="T6" s="74"/>
    </row>
    <row r="7" spans="1:22" ht="16.5" thickBot="1" x14ac:dyDescent="0.3">
      <c r="A7" s="26">
        <v>1</v>
      </c>
      <c r="B7" s="36">
        <v>46187</v>
      </c>
      <c r="C7" s="26"/>
      <c r="D7" s="26" t="s">
        <v>86</v>
      </c>
      <c r="E7" s="21"/>
      <c r="G7" s="26">
        <v>0</v>
      </c>
      <c r="H7" s="27">
        <v>46187</v>
      </c>
      <c r="I7" s="26"/>
      <c r="J7" s="26"/>
      <c r="K7" s="21"/>
      <c r="M7" s="26">
        <v>0</v>
      </c>
      <c r="N7" s="27">
        <v>46187</v>
      </c>
      <c r="O7" s="26"/>
      <c r="P7" s="26"/>
      <c r="Q7" s="21"/>
      <c r="T7" s="74"/>
      <c r="V7" s="29" t="s">
        <v>102</v>
      </c>
    </row>
    <row r="8" spans="1:22" ht="15.75" thickBot="1" x14ac:dyDescent="0.3">
      <c r="A8" s="26">
        <v>1</v>
      </c>
      <c r="B8" s="36">
        <v>46188</v>
      </c>
      <c r="C8" s="26"/>
      <c r="D8" s="26" t="s">
        <v>86</v>
      </c>
      <c r="E8" s="21"/>
      <c r="G8" s="26">
        <v>0</v>
      </c>
      <c r="H8" s="27">
        <v>46188</v>
      </c>
      <c r="I8" s="26"/>
      <c r="J8" s="26"/>
      <c r="K8" s="21"/>
      <c r="M8" s="26">
        <v>0</v>
      </c>
      <c r="N8" s="27">
        <v>46188</v>
      </c>
      <c r="O8" s="26"/>
      <c r="P8" s="26"/>
      <c r="Q8" s="21"/>
      <c r="T8" s="74"/>
      <c r="V8" s="49" t="s">
        <v>103</v>
      </c>
    </row>
    <row r="9" spans="1:22" x14ac:dyDescent="0.25">
      <c r="A9" s="26">
        <v>1</v>
      </c>
      <c r="B9" s="36">
        <v>46189</v>
      </c>
      <c r="C9" s="26"/>
      <c r="D9" s="26" t="s">
        <v>86</v>
      </c>
      <c r="E9" s="21"/>
      <c r="G9" s="26">
        <v>0</v>
      </c>
      <c r="H9" s="27">
        <v>46189</v>
      </c>
      <c r="I9" s="26"/>
      <c r="J9" s="26"/>
      <c r="K9" s="21"/>
      <c r="M9" s="26">
        <v>0</v>
      </c>
      <c r="N9" s="27">
        <v>46189</v>
      </c>
      <c r="O9" s="26"/>
      <c r="P9" s="26"/>
      <c r="Q9" s="21"/>
      <c r="T9" s="74"/>
    </row>
    <row r="10" spans="1:22" x14ac:dyDescent="0.25">
      <c r="A10" s="26">
        <v>1</v>
      </c>
      <c r="B10" s="36">
        <v>46190</v>
      </c>
      <c r="C10" s="26"/>
      <c r="D10" s="26" t="s">
        <v>86</v>
      </c>
      <c r="E10" s="21"/>
      <c r="G10" s="26">
        <v>0</v>
      </c>
      <c r="H10" s="27">
        <v>46190</v>
      </c>
      <c r="I10" s="26"/>
      <c r="J10" s="26"/>
      <c r="K10" s="21"/>
      <c r="M10" s="26">
        <v>0</v>
      </c>
      <c r="N10" s="27">
        <v>46190</v>
      </c>
      <c r="O10" s="26"/>
      <c r="P10" s="26"/>
      <c r="Q10" s="21"/>
      <c r="T10" s="74"/>
    </row>
    <row r="11" spans="1:22" ht="15.75" thickBot="1" x14ac:dyDescent="0.3">
      <c r="A11" s="26">
        <v>1</v>
      </c>
      <c r="B11" s="36">
        <v>46191</v>
      </c>
      <c r="C11" s="26"/>
      <c r="D11" s="26" t="s">
        <v>86</v>
      </c>
      <c r="E11" s="21"/>
      <c r="G11" s="26">
        <v>0</v>
      </c>
      <c r="H11" s="27">
        <v>46191</v>
      </c>
      <c r="I11" s="26"/>
      <c r="J11" s="26"/>
      <c r="K11" s="21"/>
      <c r="M11" s="26">
        <v>0</v>
      </c>
      <c r="N11" s="27">
        <v>46191</v>
      </c>
      <c r="O11" s="26"/>
      <c r="P11" s="26"/>
      <c r="Q11" s="21"/>
      <c r="T11" s="74"/>
    </row>
    <row r="12" spans="1:22" ht="16.5" thickBot="1" x14ac:dyDescent="0.3">
      <c r="A12" s="26">
        <v>1</v>
      </c>
      <c r="B12" s="36">
        <v>46192</v>
      </c>
      <c r="C12" s="26"/>
      <c r="D12" s="26" t="s">
        <v>86</v>
      </c>
      <c r="E12" s="21"/>
      <c r="G12" s="26">
        <v>0</v>
      </c>
      <c r="H12" s="27">
        <v>46192</v>
      </c>
      <c r="I12" s="26"/>
      <c r="J12" s="26"/>
      <c r="K12" s="21"/>
      <c r="M12" s="26">
        <v>0</v>
      </c>
      <c r="N12" s="27">
        <v>46192</v>
      </c>
      <c r="O12" s="26"/>
      <c r="P12" s="26"/>
      <c r="Q12" s="21"/>
      <c r="T12" s="74"/>
      <c r="V12" s="29" t="s">
        <v>104</v>
      </c>
    </row>
    <row r="13" spans="1:22" ht="15.75" thickBot="1" x14ac:dyDescent="0.3">
      <c r="A13" s="26">
        <v>1</v>
      </c>
      <c r="B13" s="36">
        <v>46193</v>
      </c>
      <c r="C13" s="26"/>
      <c r="D13" s="26" t="s">
        <v>86</v>
      </c>
      <c r="E13" s="21"/>
      <c r="G13" s="26">
        <v>0</v>
      </c>
      <c r="H13" s="27">
        <v>46193</v>
      </c>
      <c r="I13" s="26"/>
      <c r="J13" s="26"/>
      <c r="K13" s="21"/>
      <c r="M13" s="26">
        <v>0</v>
      </c>
      <c r="N13" s="27">
        <v>46193</v>
      </c>
      <c r="O13" s="26"/>
      <c r="P13" s="26"/>
      <c r="Q13" s="21"/>
      <c r="T13" s="75"/>
      <c r="V13" s="49" t="s">
        <v>103</v>
      </c>
    </row>
    <row r="14" spans="1:22" x14ac:dyDescent="0.25">
      <c r="A14" s="26">
        <v>1</v>
      </c>
      <c r="B14" s="36">
        <v>46194</v>
      </c>
      <c r="C14" s="26"/>
      <c r="D14" s="26" t="s">
        <v>86</v>
      </c>
      <c r="E14" s="21"/>
      <c r="G14" s="26">
        <v>0</v>
      </c>
      <c r="H14" s="27">
        <v>46194</v>
      </c>
      <c r="I14" s="26"/>
      <c r="J14" s="26"/>
      <c r="K14" s="21"/>
      <c r="M14" s="26">
        <v>0</v>
      </c>
      <c r="N14" s="27">
        <v>46194</v>
      </c>
      <c r="O14" s="26"/>
      <c r="P14" s="26"/>
      <c r="Q14" s="21"/>
    </row>
    <row r="15" spans="1:22" x14ac:dyDescent="0.25">
      <c r="A15" s="26">
        <v>1</v>
      </c>
      <c r="B15" s="36">
        <v>46195</v>
      </c>
      <c r="C15" s="26"/>
      <c r="D15" s="26" t="s">
        <v>86</v>
      </c>
      <c r="E15" s="21"/>
      <c r="G15" s="26">
        <v>0</v>
      </c>
      <c r="H15" s="27">
        <v>46195</v>
      </c>
      <c r="I15" s="26"/>
      <c r="J15" s="26"/>
      <c r="K15" s="21"/>
      <c r="M15" s="26">
        <v>0</v>
      </c>
      <c r="N15" s="27">
        <v>46195</v>
      </c>
      <c r="O15" s="26"/>
      <c r="P15" s="26"/>
      <c r="Q15" s="21"/>
      <c r="T15" s="76" t="s">
        <v>105</v>
      </c>
    </row>
    <row r="16" spans="1:22" x14ac:dyDescent="0.25">
      <c r="A16" s="26">
        <v>1</v>
      </c>
      <c r="B16" s="36">
        <v>46196</v>
      </c>
      <c r="C16" s="26"/>
      <c r="D16" s="26" t="s">
        <v>86</v>
      </c>
      <c r="E16" s="21"/>
      <c r="G16" s="26">
        <v>0</v>
      </c>
      <c r="H16" s="27">
        <v>46196</v>
      </c>
      <c r="I16" s="26"/>
      <c r="J16" s="26"/>
      <c r="K16" s="21"/>
      <c r="M16" s="26">
        <v>0</v>
      </c>
      <c r="N16" s="27">
        <v>46196</v>
      </c>
      <c r="O16" s="26"/>
      <c r="P16" s="26"/>
      <c r="Q16" s="21"/>
      <c r="T16" s="77"/>
    </row>
    <row r="17" spans="1:20" x14ac:dyDescent="0.25">
      <c r="A17" s="26">
        <v>1</v>
      </c>
      <c r="B17" s="36">
        <v>46197</v>
      </c>
      <c r="C17" s="26"/>
      <c r="D17" s="26" t="s">
        <v>86</v>
      </c>
      <c r="E17" s="21"/>
      <c r="G17" s="26">
        <v>0</v>
      </c>
      <c r="H17" s="27">
        <v>46197</v>
      </c>
      <c r="I17" s="26"/>
      <c r="J17" s="26"/>
      <c r="K17" s="21"/>
      <c r="M17" s="26">
        <v>0</v>
      </c>
      <c r="N17" s="27">
        <v>46197</v>
      </c>
      <c r="O17" s="26"/>
      <c r="P17" s="26"/>
      <c r="Q17" s="21"/>
      <c r="T17" s="77"/>
    </row>
    <row r="18" spans="1:20" x14ac:dyDescent="0.25">
      <c r="A18" s="26">
        <v>1</v>
      </c>
      <c r="B18" s="36">
        <v>46198</v>
      </c>
      <c r="C18" s="26"/>
      <c r="D18" s="26" t="s">
        <v>86</v>
      </c>
      <c r="E18" s="21"/>
      <c r="G18" s="26">
        <v>0</v>
      </c>
      <c r="H18" s="27">
        <v>46198</v>
      </c>
      <c r="I18" s="26"/>
      <c r="J18" s="28"/>
      <c r="K18" s="21"/>
      <c r="M18" s="26">
        <v>0</v>
      </c>
      <c r="N18" s="27">
        <v>46198</v>
      </c>
      <c r="O18" s="26"/>
      <c r="P18" s="28"/>
      <c r="Q18" s="21"/>
      <c r="T18" s="77"/>
    </row>
    <row r="19" spans="1:20" ht="30" x14ac:dyDescent="0.25">
      <c r="A19" s="26">
        <v>1</v>
      </c>
      <c r="B19" s="36">
        <v>46199</v>
      </c>
      <c r="C19" s="26"/>
      <c r="D19" s="37" t="s">
        <v>90</v>
      </c>
      <c r="E19" s="21"/>
      <c r="G19" s="26">
        <v>0</v>
      </c>
      <c r="H19" s="27">
        <v>46199</v>
      </c>
      <c r="I19" s="26"/>
      <c r="J19" s="28"/>
      <c r="K19" s="21"/>
      <c r="M19" s="26">
        <v>0</v>
      </c>
      <c r="N19" s="27">
        <v>46199</v>
      </c>
      <c r="O19" s="26"/>
      <c r="P19" s="28"/>
      <c r="Q19" s="21"/>
      <c r="T19" s="77"/>
    </row>
    <row r="20" spans="1:20" x14ac:dyDescent="0.25">
      <c r="A20" s="26">
        <v>1</v>
      </c>
      <c r="B20" s="36">
        <v>46200</v>
      </c>
      <c r="C20" s="26"/>
      <c r="D20" s="26" t="s">
        <v>86</v>
      </c>
      <c r="E20" s="21"/>
      <c r="G20" s="26">
        <v>0</v>
      </c>
      <c r="H20" s="27">
        <v>46200</v>
      </c>
      <c r="I20" s="26"/>
      <c r="J20" s="28"/>
      <c r="K20" s="21"/>
      <c r="M20" s="26">
        <v>0</v>
      </c>
      <c r="N20" s="27">
        <v>46200</v>
      </c>
      <c r="O20" s="26"/>
      <c r="P20" s="28"/>
      <c r="Q20" s="21"/>
      <c r="T20" s="77"/>
    </row>
    <row r="21" spans="1:20" x14ac:dyDescent="0.25">
      <c r="A21" s="26">
        <v>1</v>
      </c>
      <c r="B21" s="36">
        <v>46201</v>
      </c>
      <c r="C21" s="26"/>
      <c r="D21" s="22" t="s">
        <v>86</v>
      </c>
      <c r="E21" s="21"/>
      <c r="G21" s="26">
        <v>0</v>
      </c>
      <c r="H21" s="27">
        <v>46201</v>
      </c>
      <c r="I21" s="26"/>
      <c r="J21" s="28"/>
      <c r="K21" s="21"/>
      <c r="M21" s="26">
        <v>0</v>
      </c>
      <c r="N21" s="27">
        <v>46201</v>
      </c>
      <c r="O21" s="26"/>
      <c r="P21" s="28"/>
      <c r="Q21" s="21"/>
      <c r="T21" s="77"/>
    </row>
    <row r="22" spans="1:20" x14ac:dyDescent="0.25">
      <c r="A22" s="26">
        <v>1</v>
      </c>
      <c r="B22" s="36">
        <v>46202</v>
      </c>
      <c r="C22" s="26"/>
      <c r="D22" s="28" t="s">
        <v>86</v>
      </c>
      <c r="E22" s="21"/>
      <c r="G22" s="26">
        <v>0</v>
      </c>
      <c r="H22" s="27">
        <v>46202</v>
      </c>
      <c r="K22" s="21"/>
      <c r="M22" s="26">
        <v>0</v>
      </c>
      <c r="N22" s="27">
        <v>46202</v>
      </c>
      <c r="Q22" s="21"/>
      <c r="T22" s="77"/>
    </row>
    <row r="23" spans="1:20" ht="30" x14ac:dyDescent="0.25">
      <c r="A23" s="26">
        <v>2</v>
      </c>
      <c r="B23" s="36">
        <v>46203</v>
      </c>
      <c r="C23" s="26"/>
      <c r="D23" s="37" t="s">
        <v>106</v>
      </c>
      <c r="E23" s="21"/>
      <c r="G23" s="26">
        <v>0</v>
      </c>
      <c r="H23" s="27">
        <v>46203</v>
      </c>
      <c r="I23" s="26"/>
      <c r="J23" s="28"/>
      <c r="K23" s="21"/>
      <c r="M23" s="26">
        <v>0</v>
      </c>
      <c r="N23" s="27">
        <v>46203</v>
      </c>
      <c r="O23" s="26"/>
      <c r="P23" s="28"/>
      <c r="Q23" s="21"/>
      <c r="T23" s="78"/>
    </row>
    <row r="24" spans="1:20" ht="30" x14ac:dyDescent="0.25">
      <c r="A24" s="26">
        <v>2</v>
      </c>
      <c r="B24" s="36">
        <v>46204</v>
      </c>
      <c r="C24" s="26"/>
      <c r="D24" s="37" t="s">
        <v>106</v>
      </c>
      <c r="E24" s="21"/>
      <c r="G24" s="26">
        <v>0</v>
      </c>
      <c r="H24" s="27">
        <v>46204</v>
      </c>
      <c r="I24" s="26"/>
      <c r="J24" s="26"/>
      <c r="K24" s="21"/>
      <c r="M24" s="26">
        <v>1</v>
      </c>
      <c r="N24" s="27">
        <v>46204</v>
      </c>
      <c r="O24" s="26"/>
      <c r="P24" s="37" t="s">
        <v>107</v>
      </c>
      <c r="Q24" s="21"/>
    </row>
    <row r="25" spans="1:20" ht="30" x14ac:dyDescent="0.25">
      <c r="A25" s="26">
        <v>2</v>
      </c>
      <c r="B25" s="36">
        <v>46205</v>
      </c>
      <c r="C25" s="26"/>
      <c r="D25" s="37" t="s">
        <v>108</v>
      </c>
      <c r="E25" s="21"/>
      <c r="G25" s="26">
        <v>4</v>
      </c>
      <c r="H25" s="27">
        <v>46205</v>
      </c>
      <c r="I25" s="26"/>
      <c r="J25" s="37" t="s">
        <v>109</v>
      </c>
      <c r="K25" s="21"/>
      <c r="M25" s="26">
        <v>1</v>
      </c>
      <c r="N25" s="27">
        <v>46205</v>
      </c>
      <c r="O25" s="26"/>
      <c r="P25" s="37" t="s">
        <v>107</v>
      </c>
      <c r="Q25" s="21"/>
    </row>
    <row r="26" spans="1:20" x14ac:dyDescent="0.25">
      <c r="A26" s="26">
        <v>0</v>
      </c>
      <c r="B26" s="36">
        <v>46206</v>
      </c>
      <c r="C26" s="26"/>
      <c r="D26" s="28"/>
      <c r="E26" s="21"/>
      <c r="G26" s="26">
        <v>0</v>
      </c>
      <c r="H26" s="27">
        <v>46206</v>
      </c>
      <c r="I26" s="26"/>
      <c r="J26" s="26"/>
      <c r="K26" s="21"/>
      <c r="M26" s="26">
        <v>0</v>
      </c>
      <c r="N26" s="27">
        <v>46206</v>
      </c>
      <c r="O26" s="26"/>
      <c r="P26" s="26"/>
      <c r="Q26" s="21"/>
    </row>
    <row r="27" spans="1:20" x14ac:dyDescent="0.25">
      <c r="A27" s="22">
        <v>0</v>
      </c>
      <c r="B27" s="36">
        <v>46207</v>
      </c>
      <c r="C27" s="26"/>
      <c r="D27" s="26"/>
      <c r="E27" s="21"/>
      <c r="G27" s="26">
        <v>0</v>
      </c>
      <c r="H27" s="27">
        <v>46207</v>
      </c>
      <c r="I27" s="26"/>
      <c r="J27" s="26"/>
      <c r="K27" s="21"/>
      <c r="M27" s="26">
        <v>0</v>
      </c>
      <c r="N27" s="27">
        <v>46207</v>
      </c>
      <c r="O27" s="26"/>
      <c r="P27" s="26"/>
      <c r="Q27" s="21"/>
    </row>
    <row r="28" spans="1:20" ht="15.75" thickBot="1" x14ac:dyDescent="0.3">
      <c r="A28" s="26">
        <v>0</v>
      </c>
      <c r="B28" s="36">
        <v>46208</v>
      </c>
      <c r="C28" s="26"/>
      <c r="D28" s="26"/>
      <c r="E28" s="21"/>
      <c r="G28" s="67">
        <f>SUM(G3:G27)</f>
        <v>4</v>
      </c>
      <c r="H28" s="68"/>
      <c r="I28" s="69"/>
      <c r="J28" s="70"/>
      <c r="K28" s="21"/>
      <c r="M28" s="67">
        <f>SUM(M3:M27)</f>
        <v>2</v>
      </c>
      <c r="N28" s="68"/>
      <c r="O28" s="69"/>
      <c r="P28" s="70"/>
      <c r="Q28" s="21"/>
    </row>
    <row r="29" spans="1:20" ht="15.75" thickBot="1" x14ac:dyDescent="0.3">
      <c r="A29" s="67">
        <f>SUM(A3:A28)</f>
        <v>25</v>
      </c>
      <c r="B29" s="68"/>
      <c r="C29" s="69"/>
      <c r="D29" s="70"/>
      <c r="E29" s="21"/>
      <c r="G29" s="21"/>
      <c r="H29" s="21"/>
      <c r="I29" s="21"/>
      <c r="J29" s="21"/>
      <c r="K29" s="21"/>
      <c r="M29" s="21"/>
      <c r="N29" s="21"/>
      <c r="O29" s="21"/>
      <c r="P29" s="21"/>
      <c r="Q29" s="21"/>
    </row>
    <row r="30" spans="1:20" x14ac:dyDescent="0.25">
      <c r="A30" s="21"/>
      <c r="B30" s="21"/>
      <c r="C30" s="21"/>
      <c r="D30" s="21"/>
      <c r="E30" s="21"/>
    </row>
    <row r="32" spans="1:20" ht="15.75" thickBot="1" x14ac:dyDescent="0.3"/>
    <row r="33" spans="10:10" x14ac:dyDescent="0.25">
      <c r="J33" s="48" t="s">
        <v>110</v>
      </c>
    </row>
    <row r="34" spans="10:10" x14ac:dyDescent="0.25">
      <c r="J34" s="74" t="s">
        <v>105</v>
      </c>
    </row>
    <row r="35" spans="10:10" x14ac:dyDescent="0.25">
      <c r="J35" s="74"/>
    </row>
    <row r="36" spans="10:10" x14ac:dyDescent="0.25">
      <c r="J36" s="74"/>
    </row>
    <row r="37" spans="10:10" x14ac:dyDescent="0.25">
      <c r="J37" s="74"/>
    </row>
    <row r="38" spans="10:10" x14ac:dyDescent="0.25">
      <c r="J38" s="74"/>
    </row>
    <row r="39" spans="10:10" x14ac:dyDescent="0.25">
      <c r="J39" s="74"/>
    </row>
    <row r="40" spans="10:10" x14ac:dyDescent="0.25">
      <c r="J40" s="74"/>
    </row>
    <row r="41" spans="10:10" x14ac:dyDescent="0.25">
      <c r="J41" s="74"/>
    </row>
    <row r="42" spans="10:10" ht="15.75" thickBot="1" x14ac:dyDescent="0.3">
      <c r="J42" s="75"/>
    </row>
  </sheetData>
  <mergeCells count="12">
    <mergeCell ref="G28:H28"/>
    <mergeCell ref="I28:J28"/>
    <mergeCell ref="A1:D1"/>
    <mergeCell ref="T2:T13"/>
    <mergeCell ref="A29:B29"/>
    <mergeCell ref="C29:D29"/>
    <mergeCell ref="G1:J1"/>
    <mergeCell ref="J34:J42"/>
    <mergeCell ref="M1:P1"/>
    <mergeCell ref="M28:N28"/>
    <mergeCell ref="O28:P28"/>
    <mergeCell ref="T15:T23"/>
  </mergeCells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8300-C22D-4AE7-8C92-FC31696CA873}">
  <dimension ref="A1:G27"/>
  <sheetViews>
    <sheetView workbookViewId="0">
      <selection activeCell="D9" sqref="D9"/>
    </sheetView>
  </sheetViews>
  <sheetFormatPr defaultColWidth="8.85546875" defaultRowHeight="15" x14ac:dyDescent="0.25"/>
  <cols>
    <col min="1" max="1" width="10.42578125" style="22" bestFit="1" customWidth="1"/>
    <col min="2" max="2" width="8.85546875" style="22"/>
    <col min="3" max="3" width="12.42578125" style="22" bestFit="1" customWidth="1"/>
    <col min="4" max="4" width="33.42578125" style="22" bestFit="1" customWidth="1"/>
    <col min="5" max="5" width="8.85546875" style="22"/>
    <col min="6" max="6" width="10.42578125" style="22" bestFit="1" customWidth="1"/>
    <col min="7" max="7" width="39.5703125" style="22" customWidth="1"/>
    <col min="8" max="8" width="11.42578125" style="22" customWidth="1"/>
    <col min="9" max="9" width="33.5703125" style="22" customWidth="1"/>
    <col min="10" max="16384" width="8.85546875" style="22"/>
  </cols>
  <sheetData>
    <row r="1" spans="1:7" ht="19.5" thickBot="1" x14ac:dyDescent="0.35">
      <c r="A1" s="63" t="s">
        <v>111</v>
      </c>
      <c r="B1" s="63"/>
      <c r="C1" s="63"/>
      <c r="D1" s="63"/>
      <c r="E1" s="21"/>
      <c r="G1" s="33" t="s">
        <v>100</v>
      </c>
    </row>
    <row r="2" spans="1:7" x14ac:dyDescent="0.25">
      <c r="A2" s="24" t="s">
        <v>27</v>
      </c>
      <c r="B2" s="24" t="s">
        <v>28</v>
      </c>
      <c r="C2" s="25" t="s">
        <v>29</v>
      </c>
      <c r="D2" s="24" t="s">
        <v>30</v>
      </c>
      <c r="E2" s="21"/>
      <c r="G2" s="79" t="s">
        <v>112</v>
      </c>
    </row>
    <row r="3" spans="1:7" x14ac:dyDescent="0.25">
      <c r="A3" s="26">
        <v>0</v>
      </c>
      <c r="B3" s="27">
        <v>46186</v>
      </c>
      <c r="C3" s="26"/>
      <c r="D3" s="26"/>
      <c r="E3" s="21"/>
      <c r="G3" s="80"/>
    </row>
    <row r="4" spans="1:7" x14ac:dyDescent="0.25">
      <c r="A4" s="26">
        <v>0</v>
      </c>
      <c r="B4" s="27">
        <v>46187</v>
      </c>
      <c r="C4" s="26"/>
      <c r="D4" s="26"/>
      <c r="E4" s="21"/>
      <c r="G4" s="80"/>
    </row>
    <row r="5" spans="1:7" x14ac:dyDescent="0.25">
      <c r="A5" s="26">
        <v>0</v>
      </c>
      <c r="B5" s="27">
        <v>46188</v>
      </c>
      <c r="C5" s="26"/>
      <c r="D5" s="26"/>
      <c r="E5" s="21"/>
      <c r="G5" s="80"/>
    </row>
    <row r="6" spans="1:7" ht="15.75" thickBot="1" x14ac:dyDescent="0.3">
      <c r="A6" s="26">
        <v>0</v>
      </c>
      <c r="B6" s="27">
        <v>46189</v>
      </c>
      <c r="C6" s="26"/>
      <c r="D6" s="26"/>
      <c r="E6" s="21"/>
      <c r="G6" s="81"/>
    </row>
    <row r="7" spans="1:7" x14ac:dyDescent="0.25">
      <c r="A7" s="26">
        <v>0</v>
      </c>
      <c r="B7" s="27">
        <v>46190</v>
      </c>
      <c r="C7" s="26"/>
      <c r="D7" s="26"/>
      <c r="E7" s="21"/>
      <c r="G7" s="34"/>
    </row>
    <row r="8" spans="1:7" x14ac:dyDescent="0.25">
      <c r="A8" s="26">
        <v>0</v>
      </c>
      <c r="B8" s="27">
        <v>46191</v>
      </c>
      <c r="C8" s="26"/>
      <c r="D8" s="26"/>
      <c r="E8" s="21"/>
      <c r="G8" s="34"/>
    </row>
    <row r="9" spans="1:7" x14ac:dyDescent="0.25">
      <c r="A9" s="26">
        <v>0</v>
      </c>
      <c r="B9" s="27">
        <v>46192</v>
      </c>
      <c r="C9" s="26"/>
      <c r="D9" s="26"/>
      <c r="E9" s="21"/>
      <c r="G9" s="34"/>
    </row>
    <row r="10" spans="1:7" x14ac:dyDescent="0.25">
      <c r="A10" s="26">
        <v>0</v>
      </c>
      <c r="B10" s="27">
        <v>46193</v>
      </c>
      <c r="C10" s="26"/>
      <c r="D10" s="26"/>
      <c r="E10" s="21"/>
      <c r="G10" s="34"/>
    </row>
    <row r="11" spans="1:7" x14ac:dyDescent="0.25">
      <c r="A11" s="26">
        <v>0</v>
      </c>
      <c r="B11" s="27">
        <v>46194</v>
      </c>
      <c r="C11" s="26"/>
      <c r="D11" s="26"/>
      <c r="E11" s="21"/>
    </row>
    <row r="12" spans="1:7" x14ac:dyDescent="0.25">
      <c r="A12" s="26">
        <v>4</v>
      </c>
      <c r="B12" s="27">
        <v>46195</v>
      </c>
      <c r="C12" s="26"/>
      <c r="D12" s="26" t="s">
        <v>113</v>
      </c>
      <c r="E12" s="21"/>
    </row>
    <row r="13" spans="1:7" x14ac:dyDescent="0.25">
      <c r="A13" s="26">
        <v>4</v>
      </c>
      <c r="B13" s="27">
        <v>46196</v>
      </c>
      <c r="C13" s="26"/>
      <c r="D13" s="26" t="s">
        <v>113</v>
      </c>
      <c r="E13" s="21"/>
    </row>
    <row r="14" spans="1:7" x14ac:dyDescent="0.25">
      <c r="A14" s="26">
        <v>4</v>
      </c>
      <c r="B14" s="27">
        <v>46197</v>
      </c>
      <c r="C14" s="26"/>
      <c r="D14" s="26" t="s">
        <v>113</v>
      </c>
      <c r="E14" s="21"/>
    </row>
    <row r="15" spans="1:7" x14ac:dyDescent="0.25">
      <c r="A15" s="26">
        <v>4</v>
      </c>
      <c r="B15" s="27">
        <v>46198</v>
      </c>
      <c r="C15" s="26"/>
      <c r="D15" s="26" t="s">
        <v>113</v>
      </c>
      <c r="E15" s="21"/>
    </row>
    <row r="16" spans="1:7" x14ac:dyDescent="0.25">
      <c r="A16" s="26">
        <v>4</v>
      </c>
      <c r="B16" s="27">
        <v>46199</v>
      </c>
      <c r="C16" s="26"/>
      <c r="D16" s="26" t="s">
        <v>113</v>
      </c>
      <c r="E16" s="21"/>
    </row>
    <row r="17" spans="1:5" x14ac:dyDescent="0.25">
      <c r="A17" s="26">
        <v>4</v>
      </c>
      <c r="B17" s="27">
        <v>46200</v>
      </c>
      <c r="C17" s="26"/>
      <c r="D17" s="26" t="s">
        <v>113</v>
      </c>
      <c r="E17" s="21"/>
    </row>
    <row r="18" spans="1:5" x14ac:dyDescent="0.25">
      <c r="A18" s="26">
        <v>4</v>
      </c>
      <c r="B18" s="27">
        <v>46201</v>
      </c>
      <c r="C18" s="26"/>
      <c r="D18" s="26" t="s">
        <v>113</v>
      </c>
      <c r="E18" s="21"/>
    </row>
    <row r="19" spans="1:5" x14ac:dyDescent="0.25">
      <c r="A19" s="26">
        <v>4</v>
      </c>
      <c r="B19" s="27">
        <v>46202</v>
      </c>
      <c r="C19" s="26"/>
      <c r="D19" s="26" t="s">
        <v>113</v>
      </c>
      <c r="E19" s="21"/>
    </row>
    <row r="20" spans="1:5" x14ac:dyDescent="0.25">
      <c r="A20" s="26">
        <v>4</v>
      </c>
      <c r="B20" s="27">
        <v>46203</v>
      </c>
      <c r="C20" s="26"/>
      <c r="D20" s="26" t="s">
        <v>113</v>
      </c>
      <c r="E20" s="21"/>
    </row>
    <row r="21" spans="1:5" x14ac:dyDescent="0.25">
      <c r="A21" s="26">
        <v>4</v>
      </c>
      <c r="B21" s="27">
        <v>46204</v>
      </c>
      <c r="C21" s="26"/>
      <c r="D21" s="26" t="s">
        <v>113</v>
      </c>
      <c r="E21" s="21"/>
    </row>
    <row r="22" spans="1:5" x14ac:dyDescent="0.25">
      <c r="A22" s="26">
        <v>4</v>
      </c>
      <c r="B22" s="27">
        <v>46205</v>
      </c>
      <c r="C22" s="26"/>
      <c r="D22" s="26" t="s">
        <v>113</v>
      </c>
      <c r="E22" s="21"/>
    </row>
    <row r="23" spans="1:5" x14ac:dyDescent="0.25">
      <c r="A23" s="26"/>
      <c r="B23" s="27">
        <v>46206</v>
      </c>
      <c r="C23" s="26"/>
      <c r="D23" s="26"/>
      <c r="E23" s="21"/>
    </row>
    <row r="24" spans="1:5" x14ac:dyDescent="0.25">
      <c r="A24" s="26"/>
      <c r="B24" s="27">
        <v>46207</v>
      </c>
      <c r="C24" s="26"/>
      <c r="D24" s="26"/>
      <c r="E24" s="21"/>
    </row>
    <row r="25" spans="1:5" x14ac:dyDescent="0.25">
      <c r="A25" s="26">
        <v>0</v>
      </c>
      <c r="B25" s="27">
        <v>46208</v>
      </c>
      <c r="C25" s="26"/>
      <c r="D25" s="26"/>
      <c r="E25" s="21"/>
    </row>
    <row r="26" spans="1:5" ht="15.75" thickBot="1" x14ac:dyDescent="0.3">
      <c r="A26" s="67">
        <f>SUM(A3:A25)</f>
        <v>44</v>
      </c>
      <c r="B26" s="68"/>
      <c r="C26" s="69">
        <f>A26-(SUM(A3:A25))</f>
        <v>0</v>
      </c>
      <c r="D26" s="70"/>
      <c r="E26" s="21"/>
    </row>
    <row r="27" spans="1:5" x14ac:dyDescent="0.25">
      <c r="A27" s="21"/>
      <c r="B27" s="21"/>
      <c r="C27" s="21"/>
      <c r="D27" s="21"/>
      <c r="E27" s="21"/>
    </row>
  </sheetData>
  <mergeCells count="4">
    <mergeCell ref="A1:D1"/>
    <mergeCell ref="G2:G6"/>
    <mergeCell ref="A26:B26"/>
    <mergeCell ref="C26:D2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E2AB-80ED-4FEF-8A6F-0CA852E63CC5}">
  <dimension ref="A1:AC36"/>
  <sheetViews>
    <sheetView zoomScale="60" zoomScaleNormal="60" workbookViewId="0">
      <selection activeCell="C26" sqref="C26:D26"/>
    </sheetView>
  </sheetViews>
  <sheetFormatPr defaultColWidth="8.85546875" defaultRowHeight="15" x14ac:dyDescent="0.25"/>
  <cols>
    <col min="1" max="1" width="10.42578125" style="22" bestFit="1" customWidth="1"/>
    <col min="2" max="2" width="8.85546875" style="22"/>
    <col min="3" max="3" width="29.85546875" style="22" customWidth="1"/>
    <col min="4" max="4" width="17.5703125" style="22" customWidth="1"/>
    <col min="5" max="5" width="8.85546875" style="22"/>
    <col min="6" max="6" width="10.42578125" style="22" bestFit="1" customWidth="1"/>
    <col min="7" max="7" width="4" style="22" bestFit="1" customWidth="1"/>
    <col min="8" max="8" width="11.42578125" style="22" customWidth="1"/>
    <col min="9" max="9" width="33.42578125" style="22" customWidth="1"/>
    <col min="10" max="10" width="18.5703125" style="22" customWidth="1"/>
    <col min="11" max="12" width="8.85546875" style="22"/>
    <col min="15" max="15" width="31.42578125" customWidth="1"/>
    <col min="16" max="16" width="16.5703125" customWidth="1"/>
    <col min="18" max="18" width="8.85546875" style="22"/>
    <col min="19" max="19" width="10.42578125" style="22" bestFit="1" customWidth="1"/>
    <col min="20" max="20" width="8.85546875" style="22"/>
    <col min="21" max="21" width="29.85546875" style="22" customWidth="1"/>
    <col min="22" max="22" width="17.5703125" style="22" customWidth="1"/>
    <col min="23" max="26" width="8.85546875" style="22"/>
    <col min="27" max="27" width="26.5703125" style="22" customWidth="1"/>
    <col min="28" max="28" width="18.140625" style="22" customWidth="1"/>
    <col min="29" max="16384" width="8.85546875" style="22"/>
  </cols>
  <sheetData>
    <row r="1" spans="1:29" ht="18.75" x14ac:dyDescent="0.3">
      <c r="A1" s="63" t="s">
        <v>114</v>
      </c>
      <c r="B1" s="63"/>
      <c r="C1" s="63"/>
      <c r="D1" s="63"/>
      <c r="E1" s="21"/>
      <c r="G1" s="63" t="s">
        <v>115</v>
      </c>
      <c r="H1" s="63"/>
      <c r="I1" s="63"/>
      <c r="J1" s="63"/>
      <c r="K1" s="21"/>
      <c r="M1" s="63" t="s">
        <v>116</v>
      </c>
      <c r="N1" s="63"/>
      <c r="O1" s="63"/>
      <c r="P1" s="63"/>
      <c r="Q1" s="21"/>
      <c r="S1" s="63" t="s">
        <v>117</v>
      </c>
      <c r="T1" s="63"/>
      <c r="U1" s="63"/>
      <c r="V1" s="63"/>
      <c r="W1" s="21"/>
      <c r="Y1" s="63" t="s">
        <v>118</v>
      </c>
      <c r="Z1" s="63"/>
      <c r="AA1" s="63"/>
      <c r="AB1" s="63"/>
      <c r="AC1" s="21"/>
    </row>
    <row r="2" spans="1:29" ht="14.45" customHeight="1" x14ac:dyDescent="0.25">
      <c r="A2" s="24" t="s">
        <v>27</v>
      </c>
      <c r="B2" s="24" t="s">
        <v>28</v>
      </c>
      <c r="C2" s="25" t="s">
        <v>29</v>
      </c>
      <c r="D2" s="24" t="s">
        <v>30</v>
      </c>
      <c r="E2" s="21"/>
      <c r="G2" s="24" t="s">
        <v>27</v>
      </c>
      <c r="H2" s="24" t="s">
        <v>28</v>
      </c>
      <c r="I2" s="25" t="s">
        <v>29</v>
      </c>
      <c r="J2" s="24" t="s">
        <v>30</v>
      </c>
      <c r="K2" s="21"/>
      <c r="M2" s="24" t="s">
        <v>27</v>
      </c>
      <c r="N2" s="24" t="s">
        <v>28</v>
      </c>
      <c r="O2" s="25" t="s">
        <v>29</v>
      </c>
      <c r="P2" s="24" t="s">
        <v>30</v>
      </c>
      <c r="Q2" s="21"/>
      <c r="S2" s="24" t="s">
        <v>27</v>
      </c>
      <c r="T2" s="24" t="s">
        <v>28</v>
      </c>
      <c r="U2" s="25" t="s">
        <v>29</v>
      </c>
      <c r="V2" s="24" t="s">
        <v>30</v>
      </c>
      <c r="W2" s="21"/>
      <c r="Y2" s="24" t="s">
        <v>27</v>
      </c>
      <c r="Z2" s="24" t="s">
        <v>28</v>
      </c>
      <c r="AA2" s="25" t="s">
        <v>29</v>
      </c>
      <c r="AB2" s="24" t="s">
        <v>30</v>
      </c>
      <c r="AC2" s="21"/>
    </row>
    <row r="3" spans="1:29" ht="14.45" customHeight="1" x14ac:dyDescent="0.25">
      <c r="A3" s="26">
        <v>0</v>
      </c>
      <c r="B3" s="27">
        <v>46186</v>
      </c>
      <c r="C3" s="26"/>
      <c r="D3" s="26"/>
      <c r="E3" s="21"/>
      <c r="G3" s="26">
        <v>0</v>
      </c>
      <c r="H3" s="27">
        <v>46186</v>
      </c>
      <c r="I3" s="26"/>
      <c r="J3" s="26"/>
      <c r="K3" s="21"/>
      <c r="M3" s="26">
        <v>0</v>
      </c>
      <c r="N3" s="27">
        <v>46186</v>
      </c>
      <c r="O3" s="26"/>
      <c r="P3" s="26"/>
      <c r="Q3" s="21"/>
      <c r="S3" s="26">
        <v>0</v>
      </c>
      <c r="T3" s="27">
        <v>46186</v>
      </c>
      <c r="U3" s="26"/>
      <c r="V3" s="26"/>
      <c r="W3" s="21"/>
      <c r="Y3" s="26">
        <v>0</v>
      </c>
      <c r="Z3" s="27">
        <v>46186</v>
      </c>
      <c r="AA3" s="26"/>
      <c r="AB3" s="26"/>
      <c r="AC3" s="21"/>
    </row>
    <row r="4" spans="1:29" ht="14.45" customHeight="1" x14ac:dyDescent="0.25">
      <c r="A4" s="26">
        <v>0</v>
      </c>
      <c r="B4" s="27">
        <v>46187</v>
      </c>
      <c r="C4" s="26"/>
      <c r="D4" s="26"/>
      <c r="E4" s="21"/>
      <c r="G4" s="26">
        <v>0</v>
      </c>
      <c r="H4" s="27">
        <v>46187</v>
      </c>
      <c r="I4" s="26"/>
      <c r="J4" s="26"/>
      <c r="K4" s="21"/>
      <c r="M4" s="26">
        <v>0</v>
      </c>
      <c r="N4" s="27">
        <v>46187</v>
      </c>
      <c r="O4" s="26"/>
      <c r="P4" s="26"/>
      <c r="Q4" s="21"/>
      <c r="S4" s="26">
        <v>0</v>
      </c>
      <c r="T4" s="27">
        <v>46187</v>
      </c>
      <c r="U4" s="26"/>
      <c r="V4" s="26"/>
      <c r="W4" s="21"/>
      <c r="Y4" s="26">
        <v>0</v>
      </c>
      <c r="Z4" s="27">
        <v>46187</v>
      </c>
      <c r="AA4" s="26"/>
      <c r="AB4" s="26"/>
      <c r="AC4" s="21"/>
    </row>
    <row r="5" spans="1:29" ht="14.45" customHeight="1" x14ac:dyDescent="0.25">
      <c r="A5" s="26">
        <v>0</v>
      </c>
      <c r="B5" s="27">
        <v>46188</v>
      </c>
      <c r="C5" s="26"/>
      <c r="D5" s="26"/>
      <c r="E5" s="21"/>
      <c r="G5" s="26">
        <v>0</v>
      </c>
      <c r="H5" s="27">
        <v>46188</v>
      </c>
      <c r="I5" s="26"/>
      <c r="J5" s="26"/>
      <c r="K5" s="21"/>
      <c r="M5" s="26">
        <v>0</v>
      </c>
      <c r="N5" s="27">
        <v>46188</v>
      </c>
      <c r="O5" s="26"/>
      <c r="P5" s="26"/>
      <c r="Q5" s="21"/>
      <c r="S5" s="26">
        <v>0</v>
      </c>
      <c r="T5" s="27">
        <v>46188</v>
      </c>
      <c r="U5" s="26"/>
      <c r="V5" s="26"/>
      <c r="W5" s="21"/>
      <c r="Y5" s="26">
        <v>0</v>
      </c>
      <c r="Z5" s="27">
        <v>46188</v>
      </c>
      <c r="AA5" s="26"/>
      <c r="AB5" s="26"/>
      <c r="AC5" s="21"/>
    </row>
    <row r="6" spans="1:29" ht="14.45" customHeight="1" x14ac:dyDescent="0.25">
      <c r="A6" s="26">
        <v>0</v>
      </c>
      <c r="B6" s="27">
        <v>46189</v>
      </c>
      <c r="C6" s="26"/>
      <c r="D6" s="26"/>
      <c r="E6" s="21"/>
      <c r="G6" s="26">
        <v>0</v>
      </c>
      <c r="H6" s="27">
        <v>46189</v>
      </c>
      <c r="I6" s="26"/>
      <c r="J6" s="26"/>
      <c r="K6" s="21"/>
      <c r="M6" s="26">
        <v>0</v>
      </c>
      <c r="N6" s="27">
        <v>46189</v>
      </c>
      <c r="O6" s="26"/>
      <c r="P6" s="26"/>
      <c r="Q6" s="21"/>
      <c r="S6" s="26">
        <v>0</v>
      </c>
      <c r="T6" s="27">
        <v>46189</v>
      </c>
      <c r="U6" s="26"/>
      <c r="V6" s="26"/>
      <c r="W6" s="21"/>
      <c r="Y6" s="26">
        <v>0</v>
      </c>
      <c r="Z6" s="27">
        <v>46189</v>
      </c>
      <c r="AA6" s="26"/>
      <c r="AB6" s="26"/>
      <c r="AC6" s="21"/>
    </row>
    <row r="7" spans="1:29" ht="14.45" customHeight="1" x14ac:dyDescent="0.25">
      <c r="A7" s="26">
        <v>0</v>
      </c>
      <c r="B7" s="27">
        <v>46190</v>
      </c>
      <c r="C7" s="26"/>
      <c r="D7" s="26"/>
      <c r="E7" s="21"/>
      <c r="G7" s="26">
        <v>0</v>
      </c>
      <c r="H7" s="27">
        <v>46190</v>
      </c>
      <c r="I7" s="26"/>
      <c r="J7" s="26"/>
      <c r="K7" s="21"/>
      <c r="M7" s="26">
        <v>0</v>
      </c>
      <c r="N7" s="27">
        <v>46190</v>
      </c>
      <c r="O7" s="26"/>
      <c r="P7" s="26"/>
      <c r="Q7" s="21"/>
      <c r="S7" s="26">
        <v>0</v>
      </c>
      <c r="T7" s="27">
        <v>46190</v>
      </c>
      <c r="U7" s="26"/>
      <c r="V7" s="26"/>
      <c r="W7" s="21"/>
      <c r="Y7" s="26">
        <v>0</v>
      </c>
      <c r="Z7" s="27">
        <v>46190</v>
      </c>
      <c r="AA7" s="26"/>
      <c r="AB7" s="26"/>
      <c r="AC7" s="21"/>
    </row>
    <row r="8" spans="1:29" ht="14.45" customHeight="1" x14ac:dyDescent="0.25">
      <c r="A8" s="26">
        <v>0</v>
      </c>
      <c r="B8" s="27">
        <v>46191</v>
      </c>
      <c r="C8" s="26"/>
      <c r="D8" s="26"/>
      <c r="E8" s="21"/>
      <c r="G8" s="26">
        <v>0</v>
      </c>
      <c r="H8" s="27">
        <v>46191</v>
      </c>
      <c r="I8" s="26"/>
      <c r="J8" s="26"/>
      <c r="K8" s="21"/>
      <c r="M8" s="26">
        <v>0</v>
      </c>
      <c r="N8" s="27">
        <v>46191</v>
      </c>
      <c r="O8" s="26"/>
      <c r="P8" s="26"/>
      <c r="Q8" s="21"/>
      <c r="S8" s="26">
        <v>0</v>
      </c>
      <c r="T8" s="27">
        <v>46191</v>
      </c>
      <c r="U8" s="26"/>
      <c r="V8" s="26"/>
      <c r="W8" s="21"/>
      <c r="Y8" s="26">
        <v>0</v>
      </c>
      <c r="Z8" s="27">
        <v>46191</v>
      </c>
      <c r="AA8" s="26"/>
      <c r="AB8" s="26"/>
      <c r="AC8" s="21"/>
    </row>
    <row r="9" spans="1:29" ht="14.45" customHeight="1" x14ac:dyDescent="0.25">
      <c r="A9" s="26">
        <v>0</v>
      </c>
      <c r="B9" s="27">
        <v>46192</v>
      </c>
      <c r="C9" s="26"/>
      <c r="D9" s="26"/>
      <c r="E9" s="21"/>
      <c r="G9" s="26">
        <v>0</v>
      </c>
      <c r="H9" s="27">
        <v>46192</v>
      </c>
      <c r="I9" s="26"/>
      <c r="J9" s="26"/>
      <c r="K9" s="21"/>
      <c r="M9" s="26">
        <v>0</v>
      </c>
      <c r="N9" s="27">
        <v>46192</v>
      </c>
      <c r="O9" s="26"/>
      <c r="P9" s="26"/>
      <c r="Q9" s="21"/>
      <c r="S9" s="26">
        <v>0</v>
      </c>
      <c r="T9" s="27">
        <v>46192</v>
      </c>
      <c r="U9" s="26"/>
      <c r="V9" s="26"/>
      <c r="W9" s="21"/>
      <c r="Y9" s="26">
        <v>0</v>
      </c>
      <c r="Z9" s="27">
        <v>46192</v>
      </c>
      <c r="AA9" s="26"/>
      <c r="AB9" s="26"/>
      <c r="AC9" s="21"/>
    </row>
    <row r="10" spans="1:29" ht="15" customHeight="1" x14ac:dyDescent="0.25">
      <c r="A10" s="26">
        <v>0</v>
      </c>
      <c r="B10" s="27">
        <v>46193</v>
      </c>
      <c r="C10" s="26"/>
      <c r="D10" s="26"/>
      <c r="E10" s="21"/>
      <c r="G10" s="26">
        <v>0</v>
      </c>
      <c r="H10" s="27">
        <v>46193</v>
      </c>
      <c r="I10" s="26"/>
      <c r="J10" s="26"/>
      <c r="K10" s="21"/>
      <c r="M10" s="26">
        <v>0</v>
      </c>
      <c r="N10" s="27">
        <v>46193</v>
      </c>
      <c r="O10" s="26"/>
      <c r="P10" s="26"/>
      <c r="Q10" s="21"/>
      <c r="S10" s="26">
        <v>0</v>
      </c>
      <c r="T10" s="27">
        <v>46193</v>
      </c>
      <c r="U10" s="26"/>
      <c r="V10" s="26"/>
      <c r="W10" s="21"/>
      <c r="Y10" s="26">
        <v>0</v>
      </c>
      <c r="Z10" s="27">
        <v>46193</v>
      </c>
      <c r="AA10" s="26"/>
      <c r="AB10" s="26"/>
      <c r="AC10" s="21"/>
    </row>
    <row r="11" spans="1:29" x14ac:dyDescent="0.25">
      <c r="A11" s="26">
        <v>0</v>
      </c>
      <c r="B11" s="27">
        <v>46194</v>
      </c>
      <c r="C11" s="26"/>
      <c r="D11" s="26"/>
      <c r="E11" s="21"/>
      <c r="G11" s="26">
        <v>0</v>
      </c>
      <c r="H11" s="27">
        <v>46194</v>
      </c>
      <c r="I11" s="26"/>
      <c r="J11" s="26"/>
      <c r="K11" s="21"/>
      <c r="M11" s="26">
        <v>0</v>
      </c>
      <c r="N11" s="27">
        <v>46194</v>
      </c>
      <c r="O11" s="26"/>
      <c r="P11" s="26"/>
      <c r="Q11" s="21"/>
      <c r="S11" s="26">
        <v>0</v>
      </c>
      <c r="T11" s="27">
        <v>46194</v>
      </c>
      <c r="U11" s="26"/>
      <c r="V11" s="26"/>
      <c r="W11" s="21"/>
      <c r="Y11" s="26">
        <v>0</v>
      </c>
      <c r="Z11" s="27">
        <v>46194</v>
      </c>
      <c r="AA11" s="26"/>
      <c r="AB11" s="26"/>
      <c r="AC11" s="21"/>
    </row>
    <row r="12" spans="1:29" ht="30" x14ac:dyDescent="0.25">
      <c r="A12" s="26">
        <v>9</v>
      </c>
      <c r="B12" s="27">
        <v>46195</v>
      </c>
      <c r="C12" s="37" t="s">
        <v>119</v>
      </c>
      <c r="D12" s="37" t="s">
        <v>120</v>
      </c>
      <c r="E12" s="21"/>
      <c r="G12" s="26">
        <v>10</v>
      </c>
      <c r="H12" s="27">
        <v>46195</v>
      </c>
      <c r="I12" s="37" t="s">
        <v>119</v>
      </c>
      <c r="J12" s="37" t="s">
        <v>121</v>
      </c>
      <c r="K12" s="21"/>
      <c r="M12" s="26">
        <v>2</v>
      </c>
      <c r="N12" s="27">
        <v>46195</v>
      </c>
      <c r="O12" s="37" t="s">
        <v>119</v>
      </c>
      <c r="P12" s="37" t="s">
        <v>122</v>
      </c>
      <c r="Q12" s="21"/>
      <c r="S12" s="26">
        <v>9</v>
      </c>
      <c r="T12" s="27">
        <v>46195</v>
      </c>
      <c r="U12" s="37" t="s">
        <v>119</v>
      </c>
      <c r="V12" s="37" t="s">
        <v>120</v>
      </c>
      <c r="W12" s="21"/>
      <c r="Y12" s="26">
        <v>100</v>
      </c>
      <c r="Z12" s="27">
        <v>46195</v>
      </c>
      <c r="AA12" s="37" t="s">
        <v>119</v>
      </c>
      <c r="AB12" s="37" t="s">
        <v>123</v>
      </c>
      <c r="AC12" s="21"/>
    </row>
    <row r="13" spans="1:29" ht="30" x14ac:dyDescent="0.25">
      <c r="A13" s="26">
        <v>9</v>
      </c>
      <c r="B13" s="27">
        <v>46196</v>
      </c>
      <c r="C13" s="37" t="s">
        <v>119</v>
      </c>
      <c r="D13" s="37" t="s">
        <v>120</v>
      </c>
      <c r="E13" s="21"/>
      <c r="G13" s="26">
        <v>10</v>
      </c>
      <c r="H13" s="27">
        <v>46196</v>
      </c>
      <c r="I13" s="37" t="s">
        <v>119</v>
      </c>
      <c r="J13" s="37" t="s">
        <v>121</v>
      </c>
      <c r="K13" s="21"/>
      <c r="M13" s="26">
        <v>2</v>
      </c>
      <c r="N13" s="27">
        <v>46196</v>
      </c>
      <c r="O13" s="37" t="s">
        <v>119</v>
      </c>
      <c r="P13" s="37" t="s">
        <v>124</v>
      </c>
      <c r="Q13" s="21"/>
      <c r="S13" s="26">
        <v>9</v>
      </c>
      <c r="T13" s="27">
        <v>46196</v>
      </c>
      <c r="U13" s="37" t="s">
        <v>119</v>
      </c>
      <c r="V13" s="37" t="s">
        <v>120</v>
      </c>
      <c r="W13" s="21"/>
      <c r="Y13" s="26">
        <v>100</v>
      </c>
      <c r="Z13" s="27">
        <v>46196</v>
      </c>
      <c r="AA13" s="37" t="s">
        <v>119</v>
      </c>
      <c r="AB13" s="37" t="s">
        <v>123</v>
      </c>
      <c r="AC13" s="21"/>
    </row>
    <row r="14" spans="1:29" ht="30" x14ac:dyDescent="0.25">
      <c r="A14" s="26">
        <v>9</v>
      </c>
      <c r="B14" s="27">
        <v>46197</v>
      </c>
      <c r="C14" s="37" t="s">
        <v>119</v>
      </c>
      <c r="D14" s="37" t="s">
        <v>120</v>
      </c>
      <c r="E14" s="21"/>
      <c r="G14" s="26">
        <v>10</v>
      </c>
      <c r="H14" s="27">
        <v>46197</v>
      </c>
      <c r="I14" s="37" t="s">
        <v>119</v>
      </c>
      <c r="J14" s="37" t="s">
        <v>121</v>
      </c>
      <c r="K14" s="21"/>
      <c r="M14" s="26">
        <v>2</v>
      </c>
      <c r="N14" s="27">
        <v>46197</v>
      </c>
      <c r="O14" s="37" t="s">
        <v>119</v>
      </c>
      <c r="P14" s="37" t="s">
        <v>125</v>
      </c>
      <c r="Q14" s="21"/>
      <c r="S14" s="26">
        <v>9</v>
      </c>
      <c r="T14" s="27">
        <v>46197</v>
      </c>
      <c r="U14" s="37" t="s">
        <v>119</v>
      </c>
      <c r="V14" s="37" t="s">
        <v>120</v>
      </c>
      <c r="W14" s="21"/>
      <c r="Y14" s="26">
        <v>100</v>
      </c>
      <c r="Z14" s="27">
        <v>46197</v>
      </c>
      <c r="AA14" s="37" t="s">
        <v>119</v>
      </c>
      <c r="AB14" s="37" t="s">
        <v>123</v>
      </c>
      <c r="AC14" s="21"/>
    </row>
    <row r="15" spans="1:29" ht="30" x14ac:dyDescent="0.25">
      <c r="A15" s="26">
        <v>9</v>
      </c>
      <c r="B15" s="27">
        <v>46198</v>
      </c>
      <c r="C15" s="37" t="s">
        <v>119</v>
      </c>
      <c r="D15" s="37" t="s">
        <v>120</v>
      </c>
      <c r="E15" s="21"/>
      <c r="G15" s="26">
        <v>10</v>
      </c>
      <c r="H15" s="27">
        <v>46198</v>
      </c>
      <c r="I15" s="37" t="s">
        <v>119</v>
      </c>
      <c r="J15" s="37" t="s">
        <v>121</v>
      </c>
      <c r="K15" s="21"/>
      <c r="M15" s="26">
        <v>2</v>
      </c>
      <c r="N15" s="27">
        <v>46198</v>
      </c>
      <c r="O15" s="37" t="s">
        <v>119</v>
      </c>
      <c r="P15" s="37" t="s">
        <v>126</v>
      </c>
      <c r="Q15" s="21"/>
      <c r="S15" s="26">
        <v>9</v>
      </c>
      <c r="T15" s="27">
        <v>46198</v>
      </c>
      <c r="U15" s="37" t="s">
        <v>119</v>
      </c>
      <c r="V15" s="37" t="s">
        <v>120</v>
      </c>
      <c r="W15" s="21"/>
      <c r="Y15" s="26">
        <v>100</v>
      </c>
      <c r="Z15" s="27">
        <v>46198</v>
      </c>
      <c r="AA15" s="37" t="s">
        <v>119</v>
      </c>
      <c r="AB15" s="37" t="s">
        <v>123</v>
      </c>
      <c r="AC15" s="21"/>
    </row>
    <row r="16" spans="1:29" ht="30" x14ac:dyDescent="0.25">
      <c r="A16" s="26">
        <v>9</v>
      </c>
      <c r="B16" s="27">
        <v>46199</v>
      </c>
      <c r="C16" s="37" t="s">
        <v>119</v>
      </c>
      <c r="D16" s="37" t="s">
        <v>120</v>
      </c>
      <c r="E16" s="21"/>
      <c r="G16" s="26">
        <v>10</v>
      </c>
      <c r="H16" s="27">
        <v>46199</v>
      </c>
      <c r="I16" s="37" t="s">
        <v>119</v>
      </c>
      <c r="J16" s="37" t="s">
        <v>121</v>
      </c>
      <c r="K16" s="21"/>
      <c r="M16" s="26">
        <v>2</v>
      </c>
      <c r="N16" s="27">
        <v>46199</v>
      </c>
      <c r="O16" s="37" t="s">
        <v>119</v>
      </c>
      <c r="P16" s="37" t="s">
        <v>127</v>
      </c>
      <c r="Q16" s="21"/>
      <c r="S16" s="26">
        <v>9</v>
      </c>
      <c r="T16" s="27">
        <v>46199</v>
      </c>
      <c r="U16" s="37" t="s">
        <v>119</v>
      </c>
      <c r="V16" s="37" t="s">
        <v>120</v>
      </c>
      <c r="W16" s="21"/>
      <c r="Y16" s="26">
        <v>100</v>
      </c>
      <c r="Z16" s="27">
        <v>46199</v>
      </c>
      <c r="AA16" s="37" t="s">
        <v>119</v>
      </c>
      <c r="AB16" s="37" t="s">
        <v>123</v>
      </c>
      <c r="AC16" s="21"/>
    </row>
    <row r="17" spans="1:29" ht="30" x14ac:dyDescent="0.25">
      <c r="A17" s="26">
        <v>9</v>
      </c>
      <c r="B17" s="27">
        <v>46200</v>
      </c>
      <c r="C17" s="37" t="s">
        <v>119</v>
      </c>
      <c r="D17" s="37" t="s">
        <v>120</v>
      </c>
      <c r="E17" s="21"/>
      <c r="G17" s="26">
        <v>10</v>
      </c>
      <c r="H17" s="27">
        <v>46200</v>
      </c>
      <c r="I17" s="37" t="s">
        <v>119</v>
      </c>
      <c r="J17" s="37" t="s">
        <v>121</v>
      </c>
      <c r="K17" s="21"/>
      <c r="M17" s="26">
        <v>2</v>
      </c>
      <c r="N17" s="27">
        <v>46200</v>
      </c>
      <c r="O17" s="37" t="s">
        <v>119</v>
      </c>
      <c r="P17" s="37" t="s">
        <v>128</v>
      </c>
      <c r="Q17" s="21"/>
      <c r="S17" s="26">
        <v>9</v>
      </c>
      <c r="T17" s="27">
        <v>46200</v>
      </c>
      <c r="U17" s="37" t="s">
        <v>119</v>
      </c>
      <c r="V17" s="37" t="s">
        <v>120</v>
      </c>
      <c r="W17" s="21"/>
      <c r="Y17" s="26">
        <v>0</v>
      </c>
      <c r="Z17" s="27">
        <v>46200</v>
      </c>
      <c r="AA17" s="37" t="s">
        <v>119</v>
      </c>
      <c r="AB17" s="37"/>
      <c r="AC17" s="21"/>
    </row>
    <row r="18" spans="1:29" ht="30" x14ac:dyDescent="0.25">
      <c r="A18" s="26">
        <v>9</v>
      </c>
      <c r="B18" s="27">
        <v>46201</v>
      </c>
      <c r="C18" s="37" t="s">
        <v>119</v>
      </c>
      <c r="D18" s="37" t="s">
        <v>120</v>
      </c>
      <c r="E18" s="21"/>
      <c r="G18" s="26">
        <v>10</v>
      </c>
      <c r="H18" s="27">
        <v>46201</v>
      </c>
      <c r="I18" s="37" t="s">
        <v>119</v>
      </c>
      <c r="J18" s="37" t="s">
        <v>121</v>
      </c>
      <c r="K18" s="21"/>
      <c r="M18" s="26">
        <v>2</v>
      </c>
      <c r="N18" s="27">
        <v>46201</v>
      </c>
      <c r="O18" s="37" t="s">
        <v>119</v>
      </c>
      <c r="P18" s="37" t="s">
        <v>129</v>
      </c>
      <c r="Q18" s="21"/>
      <c r="S18" s="26">
        <v>9</v>
      </c>
      <c r="T18" s="27">
        <v>46201</v>
      </c>
      <c r="U18" s="37" t="s">
        <v>119</v>
      </c>
      <c r="V18" s="37" t="s">
        <v>120</v>
      </c>
      <c r="W18" s="21"/>
      <c r="Y18" s="26">
        <v>0</v>
      </c>
      <c r="Z18" s="27">
        <v>46201</v>
      </c>
      <c r="AA18" s="37" t="s">
        <v>119</v>
      </c>
      <c r="AB18" s="37"/>
      <c r="AC18" s="21"/>
    </row>
    <row r="19" spans="1:29" ht="30" x14ac:dyDescent="0.25">
      <c r="A19" s="26">
        <v>9</v>
      </c>
      <c r="B19" s="27">
        <v>46202</v>
      </c>
      <c r="C19" s="37" t="s">
        <v>119</v>
      </c>
      <c r="D19" s="37" t="s">
        <v>120</v>
      </c>
      <c r="E19" s="21"/>
      <c r="G19" s="26">
        <v>10</v>
      </c>
      <c r="H19" s="27">
        <v>46202</v>
      </c>
      <c r="I19" s="37" t="s">
        <v>119</v>
      </c>
      <c r="J19" s="37" t="s">
        <v>121</v>
      </c>
      <c r="K19" s="21"/>
      <c r="M19" s="26">
        <v>2</v>
      </c>
      <c r="N19" s="27">
        <v>46202</v>
      </c>
      <c r="O19" s="37" t="s">
        <v>119</v>
      </c>
      <c r="P19" s="37" t="s">
        <v>130</v>
      </c>
      <c r="Q19" s="21"/>
      <c r="S19" s="26">
        <v>9</v>
      </c>
      <c r="T19" s="27">
        <v>46202</v>
      </c>
      <c r="U19" s="37" t="s">
        <v>119</v>
      </c>
      <c r="V19" s="37" t="s">
        <v>120</v>
      </c>
      <c r="W19" s="21"/>
      <c r="Y19" s="26">
        <v>100</v>
      </c>
      <c r="Z19" s="27">
        <v>46202</v>
      </c>
      <c r="AA19" s="37" t="s">
        <v>119</v>
      </c>
      <c r="AB19" s="37" t="s">
        <v>123</v>
      </c>
      <c r="AC19" s="21"/>
    </row>
    <row r="20" spans="1:29" ht="30" x14ac:dyDescent="0.25">
      <c r="A20" s="26">
        <v>9</v>
      </c>
      <c r="B20" s="27">
        <v>46203</v>
      </c>
      <c r="C20" s="37" t="s">
        <v>119</v>
      </c>
      <c r="D20" s="37" t="s">
        <v>120</v>
      </c>
      <c r="E20" s="21"/>
      <c r="G20" s="26">
        <v>10</v>
      </c>
      <c r="H20" s="27">
        <v>46203</v>
      </c>
      <c r="I20" s="37" t="s">
        <v>119</v>
      </c>
      <c r="J20" s="37" t="s">
        <v>121</v>
      </c>
      <c r="K20" s="21"/>
      <c r="M20" s="26">
        <v>2</v>
      </c>
      <c r="N20" s="27">
        <v>46203</v>
      </c>
      <c r="O20" s="37" t="s">
        <v>119</v>
      </c>
      <c r="P20" s="37" t="s">
        <v>131</v>
      </c>
      <c r="Q20" s="21"/>
      <c r="S20" s="26">
        <v>9</v>
      </c>
      <c r="T20" s="27">
        <v>46203</v>
      </c>
      <c r="U20" s="37" t="s">
        <v>119</v>
      </c>
      <c r="V20" s="37" t="s">
        <v>120</v>
      </c>
      <c r="W20" s="21"/>
      <c r="Y20" s="26">
        <v>100</v>
      </c>
      <c r="Z20" s="27">
        <v>46203</v>
      </c>
      <c r="AA20" s="37" t="s">
        <v>119</v>
      </c>
      <c r="AB20" s="37" t="s">
        <v>123</v>
      </c>
      <c r="AC20" s="21"/>
    </row>
    <row r="21" spans="1:29" ht="30" x14ac:dyDescent="0.25">
      <c r="A21" s="26">
        <v>9</v>
      </c>
      <c r="B21" s="27">
        <v>46204</v>
      </c>
      <c r="C21" s="37" t="s">
        <v>119</v>
      </c>
      <c r="D21" s="37" t="s">
        <v>120</v>
      </c>
      <c r="E21" s="21"/>
      <c r="G21" s="26">
        <v>10</v>
      </c>
      <c r="H21" s="27">
        <v>46204</v>
      </c>
      <c r="I21" s="37" t="s">
        <v>119</v>
      </c>
      <c r="J21" s="37" t="s">
        <v>121</v>
      </c>
      <c r="K21" s="21"/>
      <c r="M21" s="26">
        <v>2</v>
      </c>
      <c r="N21" s="27">
        <v>46204</v>
      </c>
      <c r="O21" s="37" t="s">
        <v>119</v>
      </c>
      <c r="P21" s="37" t="s">
        <v>132</v>
      </c>
      <c r="Q21" s="21"/>
      <c r="S21" s="26">
        <v>9</v>
      </c>
      <c r="T21" s="27">
        <v>46204</v>
      </c>
      <c r="U21" s="37" t="s">
        <v>119</v>
      </c>
      <c r="V21" s="37" t="s">
        <v>120</v>
      </c>
      <c r="W21" s="21"/>
      <c r="Y21" s="26">
        <v>100</v>
      </c>
      <c r="Z21" s="27">
        <v>46204</v>
      </c>
      <c r="AA21" s="37" t="s">
        <v>119</v>
      </c>
      <c r="AB21" s="37" t="s">
        <v>123</v>
      </c>
      <c r="AC21" s="21"/>
    </row>
    <row r="22" spans="1:29" ht="30" x14ac:dyDescent="0.25">
      <c r="A22" s="26">
        <v>9</v>
      </c>
      <c r="B22" s="27">
        <v>46205</v>
      </c>
      <c r="C22" s="37" t="s">
        <v>119</v>
      </c>
      <c r="D22" s="37" t="s">
        <v>120</v>
      </c>
      <c r="E22" s="21"/>
      <c r="G22" s="26">
        <v>10</v>
      </c>
      <c r="H22" s="27">
        <v>46205</v>
      </c>
      <c r="I22" s="37" t="s">
        <v>119</v>
      </c>
      <c r="J22" s="37" t="s">
        <v>121</v>
      </c>
      <c r="K22" s="21"/>
      <c r="M22" s="26">
        <v>2</v>
      </c>
      <c r="N22" s="27">
        <v>46205</v>
      </c>
      <c r="O22" s="37" t="s">
        <v>119</v>
      </c>
      <c r="P22" s="37" t="s">
        <v>133</v>
      </c>
      <c r="Q22" s="21"/>
      <c r="S22" s="26">
        <v>9</v>
      </c>
      <c r="T22" s="27">
        <v>46205</v>
      </c>
      <c r="U22" s="37" t="s">
        <v>119</v>
      </c>
      <c r="V22" s="37" t="s">
        <v>120</v>
      </c>
      <c r="W22" s="21"/>
      <c r="Y22" s="26">
        <v>100</v>
      </c>
      <c r="Z22" s="27">
        <v>46205</v>
      </c>
      <c r="AA22" s="37" t="s">
        <v>119</v>
      </c>
      <c r="AB22" s="37" t="s">
        <v>123</v>
      </c>
      <c r="AC22" s="21"/>
    </row>
    <row r="23" spans="1:29" x14ac:dyDescent="0.25">
      <c r="A23" s="26">
        <v>0</v>
      </c>
      <c r="B23" s="27">
        <v>46206</v>
      </c>
      <c r="C23" s="26"/>
      <c r="D23" s="26"/>
      <c r="E23" s="21"/>
      <c r="G23" s="26">
        <v>0</v>
      </c>
      <c r="H23" s="27">
        <v>46206</v>
      </c>
      <c r="I23" s="26"/>
      <c r="J23" s="26"/>
      <c r="K23" s="21"/>
      <c r="M23" s="26">
        <v>0</v>
      </c>
      <c r="N23" s="27">
        <v>46206</v>
      </c>
      <c r="O23" s="26"/>
      <c r="P23" s="26"/>
      <c r="Q23" s="21"/>
      <c r="S23" s="26">
        <v>0</v>
      </c>
      <c r="T23" s="27">
        <v>46206</v>
      </c>
      <c r="U23" s="26"/>
      <c r="V23" s="26"/>
      <c r="W23" s="21"/>
      <c r="Y23" s="26">
        <v>0</v>
      </c>
      <c r="Z23" s="27">
        <v>46206</v>
      </c>
      <c r="AA23" s="26"/>
      <c r="AB23" s="26"/>
      <c r="AC23" s="21"/>
    </row>
    <row r="24" spans="1:29" x14ac:dyDescent="0.25">
      <c r="A24" s="26">
        <v>0</v>
      </c>
      <c r="B24" s="27">
        <v>46207</v>
      </c>
      <c r="C24" s="26"/>
      <c r="D24" s="26"/>
      <c r="E24" s="21"/>
      <c r="G24" s="26">
        <v>0</v>
      </c>
      <c r="H24" s="27">
        <v>46207</v>
      </c>
      <c r="I24" s="26"/>
      <c r="J24" s="26"/>
      <c r="K24" s="21"/>
      <c r="M24" s="26">
        <v>0</v>
      </c>
      <c r="N24" s="27">
        <v>46207</v>
      </c>
      <c r="O24" s="26"/>
      <c r="P24" s="26"/>
      <c r="Q24" s="21"/>
      <c r="S24" s="26">
        <v>0</v>
      </c>
      <c r="T24" s="27">
        <v>46207</v>
      </c>
      <c r="U24" s="26"/>
      <c r="V24" s="26"/>
      <c r="W24" s="21"/>
      <c r="Y24" s="26">
        <v>0</v>
      </c>
      <c r="Z24" s="27">
        <v>46207</v>
      </c>
      <c r="AA24" s="26"/>
      <c r="AB24" s="26"/>
      <c r="AC24" s="21"/>
    </row>
    <row r="25" spans="1:29" x14ac:dyDescent="0.25">
      <c r="A25" s="26">
        <v>0</v>
      </c>
      <c r="B25" s="27">
        <v>46208</v>
      </c>
      <c r="C25" s="26"/>
      <c r="D25" s="26"/>
      <c r="E25" s="21"/>
      <c r="G25" s="26">
        <v>0</v>
      </c>
      <c r="H25" s="27">
        <v>46208</v>
      </c>
      <c r="I25" s="26"/>
      <c r="J25" s="26"/>
      <c r="K25" s="21"/>
      <c r="M25" s="26">
        <v>0</v>
      </c>
      <c r="N25" s="27">
        <v>46208</v>
      </c>
      <c r="O25" s="26"/>
      <c r="P25" s="26"/>
      <c r="Q25" s="21"/>
      <c r="S25" s="26">
        <v>0</v>
      </c>
      <c r="T25" s="27">
        <v>46208</v>
      </c>
      <c r="U25" s="26"/>
      <c r="V25" s="26"/>
      <c r="W25" s="21"/>
      <c r="Y25" s="26">
        <v>0</v>
      </c>
      <c r="Z25" s="27">
        <v>46208</v>
      </c>
      <c r="AA25" s="26"/>
      <c r="AB25" s="26"/>
      <c r="AC25" s="21"/>
    </row>
    <row r="26" spans="1:29" ht="15.75" thickBot="1" x14ac:dyDescent="0.3">
      <c r="A26" s="67">
        <f>SUM(A3:A25)</f>
        <v>99</v>
      </c>
      <c r="B26" s="68"/>
      <c r="C26" s="69"/>
      <c r="D26" s="70"/>
      <c r="E26" s="21"/>
      <c r="G26" s="67">
        <f>SUM(G3:G25)</f>
        <v>110</v>
      </c>
      <c r="H26" s="68"/>
      <c r="I26" s="69"/>
      <c r="J26" s="70"/>
      <c r="K26" s="21"/>
      <c r="M26" s="67">
        <f>SUM(M3:M25)</f>
        <v>22</v>
      </c>
      <c r="N26" s="68"/>
      <c r="O26" s="69"/>
      <c r="P26" s="70"/>
      <c r="Q26" s="21"/>
      <c r="S26" s="67">
        <f>SUM(S3:S25)</f>
        <v>99</v>
      </c>
      <c r="T26" s="68"/>
      <c r="U26" s="69"/>
      <c r="V26" s="70"/>
      <c r="W26" s="21"/>
      <c r="Y26" s="67">
        <f>SUM(Y3:Y25)</f>
        <v>900</v>
      </c>
      <c r="Z26" s="68"/>
      <c r="AA26" s="69"/>
      <c r="AB26" s="70"/>
      <c r="AC26" s="21"/>
    </row>
    <row r="27" spans="1:29" x14ac:dyDescent="0.25">
      <c r="A27" s="21"/>
      <c r="B27" s="21"/>
      <c r="C27" s="21"/>
      <c r="D27" s="21"/>
      <c r="E27" s="21"/>
      <c r="G27" s="21"/>
      <c r="H27" s="21"/>
      <c r="I27" s="21"/>
      <c r="J27" s="21"/>
      <c r="K27" s="21"/>
      <c r="M27" s="21"/>
      <c r="N27" s="21"/>
      <c r="O27" s="21"/>
      <c r="P27" s="21"/>
      <c r="Q27" s="21"/>
      <c r="S27" s="21"/>
      <c r="T27" s="21"/>
      <c r="U27" s="21"/>
      <c r="V27" s="21"/>
      <c r="W27" s="21"/>
      <c r="Y27" s="21"/>
      <c r="Z27" s="21"/>
      <c r="AA27" s="21"/>
      <c r="AB27" s="21"/>
      <c r="AC27" s="21"/>
    </row>
    <row r="30" spans="1:29" x14ac:dyDescent="0.25">
      <c r="D30"/>
      <c r="V30"/>
    </row>
    <row r="31" spans="1:29" ht="15.75" thickBot="1" x14ac:dyDescent="0.3"/>
    <row r="32" spans="1:29" ht="16.5" thickBot="1" x14ac:dyDescent="0.3">
      <c r="T32" s="84" t="s">
        <v>134</v>
      </c>
      <c r="U32" s="85"/>
    </row>
    <row r="33" spans="20:21" ht="15.75" thickBot="1" x14ac:dyDescent="0.3">
      <c r="T33" s="82" t="s">
        <v>135</v>
      </c>
      <c r="U33" s="83"/>
    </row>
    <row r="34" spans="20:21" ht="15.75" thickBot="1" x14ac:dyDescent="0.3"/>
    <row r="35" spans="20:21" ht="16.5" thickBot="1" x14ac:dyDescent="0.3">
      <c r="T35" s="84" t="s">
        <v>136</v>
      </c>
      <c r="U35" s="85"/>
    </row>
    <row r="36" spans="20:21" ht="15.75" thickBot="1" x14ac:dyDescent="0.3">
      <c r="T36" s="82" t="s">
        <v>137</v>
      </c>
      <c r="U36" s="83"/>
    </row>
  </sheetData>
  <mergeCells count="19">
    <mergeCell ref="Y1:AB1"/>
    <mergeCell ref="Y26:Z26"/>
    <mergeCell ref="AA26:AB26"/>
    <mergeCell ref="A1:D1"/>
    <mergeCell ref="G1:J1"/>
    <mergeCell ref="A26:B26"/>
    <mergeCell ref="C26:D26"/>
    <mergeCell ref="G26:H26"/>
    <mergeCell ref="I26:J26"/>
    <mergeCell ref="T33:U33"/>
    <mergeCell ref="T35:U35"/>
    <mergeCell ref="T36:U36"/>
    <mergeCell ref="M1:P1"/>
    <mergeCell ref="M26:N26"/>
    <mergeCell ref="O26:P26"/>
    <mergeCell ref="T32:U32"/>
    <mergeCell ref="S1:V1"/>
    <mergeCell ref="S26:T26"/>
    <mergeCell ref="U26:V26"/>
  </mergeCells>
  <phoneticPr fontId="18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18efac3-ca31-4c75-89c2-71980e414ab5" xsi:nil="true"/>
    <_ip_UnifiedCompliancePolicyProperties xmlns="http://schemas.microsoft.com/sharepoint/v3" xsi:nil="true"/>
    <lcf76f155ced4ddcb4097134ff3c332f xmlns="4f405b02-7e32-4f04-aebf-ff5f2f67b03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7AE04DD249AB4D89B0A784BC27CD44" ma:contentTypeVersion="15" ma:contentTypeDescription="Create a new document." ma:contentTypeScope="" ma:versionID="63d8ff626cd256c9b9444f2799e7bb57">
  <xsd:schema xmlns:xsd="http://www.w3.org/2001/XMLSchema" xmlns:xs="http://www.w3.org/2001/XMLSchema" xmlns:p="http://schemas.microsoft.com/office/2006/metadata/properties" xmlns:ns1="http://schemas.microsoft.com/sharepoint/v3" xmlns:ns2="4f405b02-7e32-4f04-aebf-ff5f2f67b037" xmlns:ns3="918efac3-ca31-4c75-89c2-71980e414ab5" targetNamespace="http://schemas.microsoft.com/office/2006/metadata/properties" ma:root="true" ma:fieldsID="61adde2b6f771e043c0275925ec3a9ab" ns1:_="" ns2:_="" ns3:_="">
    <xsd:import namespace="http://schemas.microsoft.com/sharepoint/v3"/>
    <xsd:import namespace="4f405b02-7e32-4f04-aebf-ff5f2f67b037"/>
    <xsd:import namespace="918efac3-ca31-4c75-89c2-71980e414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405b02-7e32-4f04-aebf-ff5f2f67b0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efac3-ca31-4c75-89c2-71980e414ab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94695ff-df37-4be5-a0fe-d2925470262d}" ma:internalName="TaxCatchAll" ma:showField="CatchAllData" ma:web="918efac3-ca31-4c75-89c2-71980e414a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C1BD0F-AA2D-4BAC-8320-4854A9C857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744974-DF3B-448E-AC94-5812D5DAB31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18efac3-ca31-4c75-89c2-71980e414ab5"/>
    <ds:schemaRef ds:uri="4f405b02-7e32-4f04-aebf-ff5f2f67b037"/>
  </ds:schemaRefs>
</ds:datastoreItem>
</file>

<file path=customXml/itemProps3.xml><?xml version="1.0" encoding="utf-8"?>
<ds:datastoreItem xmlns:ds="http://schemas.openxmlformats.org/officeDocument/2006/customXml" ds:itemID="{46A9DC04-CFA0-4B73-A0D2-10D0858FF8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405b02-7e32-4f04-aebf-ff5f2f67b037"/>
    <ds:schemaRef ds:uri="918efac3-ca31-4c75-89c2-71980e414a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Totals</vt:lpstr>
      <vt:lpstr>Interpreters</vt:lpstr>
      <vt:lpstr>Transportation</vt:lpstr>
      <vt:lpstr>Hygiene</vt:lpstr>
      <vt:lpstr>Tents and Power Generation</vt:lpstr>
      <vt:lpstr>AirCon</vt:lpstr>
      <vt:lpstr>Dental Facility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Nguyen, Tram T SSG USARMY 413 CONTR SPT BDE (USA)</dc:creator>
  <cp:keywords/>
  <dc:description/>
  <cp:lastModifiedBy>Nguyen, Tram T SSG USARMY 413 CONTR SPT BDE (USA)</cp:lastModifiedBy>
  <cp:revision/>
  <dcterms:created xsi:type="dcterms:W3CDTF">2026-03-04T02:37:28Z</dcterms:created>
  <dcterms:modified xsi:type="dcterms:W3CDTF">2026-04-27T18:42:19Z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0x010100CC7AE04DD249AB4D89B0A784BC27CD44</vt:lpwstr>
  </property>
  <property fmtid="{D5CDD505-2E9C-101B-9397-08002B2CF9AE}" pid="3" name="MediaServiceImageTags">
    <vt:lpwstr/>
  </property>
</Properties>
</file>