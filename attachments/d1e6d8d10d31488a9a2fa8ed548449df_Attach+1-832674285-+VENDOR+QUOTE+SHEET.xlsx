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od365-my.sharepoint-mil.us/personal/mark_e_kraft2_civ_mail_mil/Documents/Favorites/Documents/Data/Gray Team Requirements/Facilities/Signage and Framing-DISA Europe/Finalized Requirement Package Documents/"/>
    </mc:Choice>
  </mc:AlternateContent>
  <xr:revisionPtr revIDLastSave="0" documentId="8_{F2055BC4-880F-433A-8806-97E3E63CEED0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VENDOR QUOT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2" l="1"/>
  <c r="I21" i="2"/>
  <c r="I122" i="2" l="1"/>
  <c r="I119" i="2"/>
  <c r="I118" i="2"/>
  <c r="I117" i="2"/>
  <c r="I116" i="2"/>
  <c r="I115" i="2"/>
  <c r="I114" i="2"/>
  <c r="I113" i="2"/>
  <c r="I112" i="2"/>
  <c r="I109" i="2"/>
  <c r="I108" i="2"/>
  <c r="I107" i="2"/>
  <c r="I106" i="2"/>
  <c r="I105" i="2"/>
  <c r="I104" i="2"/>
  <c r="I101" i="2"/>
  <c r="I100" i="2"/>
  <c r="I99" i="2"/>
  <c r="I98" i="2"/>
  <c r="I97" i="2"/>
  <c r="I96" i="2"/>
  <c r="I95" i="2"/>
  <c r="I94" i="2"/>
  <c r="I93" i="2"/>
  <c r="I92" i="2"/>
  <c r="I91" i="2"/>
  <c r="I90" i="2"/>
  <c r="I88" i="2"/>
  <c r="I87" i="2"/>
  <c r="I86" i="2"/>
  <c r="I85" i="2"/>
  <c r="I84" i="2"/>
  <c r="I83" i="2"/>
  <c r="I82" i="2"/>
  <c r="I81" i="2"/>
  <c r="I78" i="2"/>
  <c r="I77" i="2"/>
  <c r="I76" i="2"/>
  <c r="I75" i="2"/>
  <c r="I74" i="2"/>
  <c r="I73" i="2"/>
  <c r="I72" i="2"/>
  <c r="I71" i="2"/>
  <c r="I70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28" i="2"/>
  <c r="I27" i="2"/>
  <c r="I26" i="2"/>
  <c r="I25" i="2"/>
  <c r="I20" i="2"/>
  <c r="I19" i="2"/>
  <c r="I18" i="2"/>
  <c r="I17" i="2"/>
  <c r="I16" i="2"/>
  <c r="I13" i="2"/>
  <c r="I12" i="2"/>
  <c r="I11" i="2"/>
  <c r="I10" i="2"/>
  <c r="I9" i="2"/>
  <c r="I8" i="2"/>
  <c r="I7" i="2"/>
  <c r="I6" i="2"/>
  <c r="I5" i="2"/>
  <c r="I4" i="2"/>
  <c r="I3" i="2"/>
  <c r="I23" i="2" l="1"/>
  <c r="I79" i="2"/>
  <c r="I120" i="2"/>
  <c r="I110" i="2"/>
  <c r="I123" i="2"/>
  <c r="I67" i="2"/>
  <c r="I48" i="2"/>
  <c r="I29" i="2"/>
  <c r="I102" i="2"/>
  <c r="I14" i="2"/>
  <c r="I124" i="2" l="1"/>
</calcChain>
</file>

<file path=xl/sharedStrings.xml><?xml version="1.0" encoding="utf-8"?>
<sst xmlns="http://schemas.openxmlformats.org/spreadsheetml/2006/main" count="441" uniqueCount="128">
  <si>
    <t>Manufacturer Part Number</t>
  </si>
  <si>
    <t>Description</t>
  </si>
  <si>
    <t>QTY</t>
  </si>
  <si>
    <t>UNIT OF ISSUE</t>
  </si>
  <si>
    <t>UNIT PRICE</t>
  </si>
  <si>
    <t>SERVICE WALL</t>
  </si>
  <si>
    <t>0.9 LTR</t>
  </si>
  <si>
    <t>CUSTOM FLAT CUT LETTERS ***BLACK ACRYLIC
COPY LINE: "DISA Serves Those Who Serve"
LETTER HEIGHT: 7"
THICKNESS: 1/4"
OVERALL WIDTH: 142"
FONT TYPE: DM Sans Regular
FINISH: MATTE BLACK
MOUNTING TYPE: DOUBLE-SIDED FOAM TAPE</t>
  </si>
  <si>
    <t>Ea</t>
  </si>
  <si>
    <t>14ASP-CUSTOM</t>
  </si>
  <si>
    <t>1/4" CLEAR ACRYLIC PANEL ***CUSTOM SIZE: 26" ROUND WITH HOLES FOR WSM2525-M6 STANDOFFS</t>
  </si>
  <si>
    <t>18ASP-CUSTOM</t>
  </si>
  <si>
    <t>1/8" NON-GLARE ACRYLIC PANEL ***CUSTOM SIZE: 26" ROUND WITH HOLES FOR WSM2525-M6 STANDOFFS</t>
  </si>
  <si>
    <t>1/4" CLEAR ACRYLIC PANEL ***CUSTOM SIZE: 18" ROUND WITH HOLES FOR WSM2525-M6 STANDOFFS</t>
  </si>
  <si>
    <t>1/8" NON-GLARE ACRYLIC PANEL ***CUSTOM SIZE: 18" ROUND WITH HOLES FOR WSM2525-M6 STANDOFFS</t>
  </si>
  <si>
    <t>0.9 SIGN</t>
  </si>
  <si>
    <t>CONTOUR PRINT LOGO GRAPHICS LAMINATED TO BACK PANEL ***CLIENT PROVIDES READY-TO-USE GRAPHIC VECTOR FILES</t>
  </si>
  <si>
    <t>1/4" CLEAR ACRYLIC PANEL ***CUSTOM SIZE: 26.5" x 38.5" WITH HOLES FOR WSM2525-M6 STANDOFFS. INSERT SIZE: 24" x 36"</t>
  </si>
  <si>
    <t>1/8" NON-GLARE ACRYLIC PANEL ***CUSTOM SIZE: 26.5" x 38.5" WITH HOLES FOR WSM2525-M6 STANDOFFS. INSERT SIZE: 24" x 36"</t>
  </si>
  <si>
    <t>WSM2525-M6 BL</t>
  </si>
  <si>
    <t>1" Dia. x 1" Length Aluminum Standoff w/Flat Cap. Black Anodized Finish. Panel Thickness: up to 1/2". *** Set Includes Standoff Barrel, Screw Cap, and Coupling Anchor</t>
  </si>
  <si>
    <t>P75-TWL</t>
  </si>
  <si>
    <t>Twist-N-Lock Threaded Drywall Anchor Set - 75lbs max. (1ea) Drywall Anchor (1ea) PPA 8x1-1/4" Phillip Head Screw Drills into drywall, installs flush against wall. No pre-drilling.</t>
  </si>
  <si>
    <t>38CLIP</t>
  </si>
  <si>
    <t>ACRYLIC CLIP (3/8") - to hold two sheets of 1/4" &amp; 1/8" acrylic tightly together.</t>
  </si>
  <si>
    <t>CHAIN OF COMMAND</t>
  </si>
  <si>
    <t>CUSTOM FLAT CUT LETTERS ***BLACK ACRYLIC
COPY LINE: "Chain of Command"
LETTER HEIGHT: 7"
THICKNESS: 1/4"
OVERALL WIDTH: 88"
FONT TYPE: DM Sans Regular
FINISH: MATTE BLACK
MOUNTING TYPE: DOUBLE-SIDED FOAM TAPE</t>
  </si>
  <si>
    <t>1/8" CLEAR ACRYLIC PANEL - Polished Edges w/holes for mounting supports. Panel hole size (M6) 7mm (1/4") / 1-1/4" offset. Insert Size: 8" x 10". Panel size: 12" x 15"</t>
  </si>
  <si>
    <t>1/8" NON-GLARE ACRYLIC PANEL - Polished Edges w/holes for mounting supports. Panel hole size (M6) 7mm (1/4") / 1-1/4" offset. Insert Size: 8" x 10". Panel size: 12" x 15"</t>
  </si>
  <si>
    <t>1/8" CLEAR ACRYLIC PANEL - Polished Edges w/holes for mounting supports. Panel hole size (M6) 7mm (1/4") / 1-1/4" offset. Insert Size: 7" x 9". Panel size: 11" x 14"</t>
  </si>
  <si>
    <t>1/8" NON-GLARE ACRYLIC PANEL - Polished Edges w/holes for mounting supports. Panel hole size (M6) 7mm (1/4") / 1-1/4" offset. Insert Size: 8" x 10". Panel size: 11" x14 "</t>
  </si>
  <si>
    <t>WSM2025-M6 BL</t>
  </si>
  <si>
    <t>3/4" Dia. x 1" Length Aluminum Standoff w/Flat Cap. Black Anodized Finish. Panel Thickness: up to 1/2". *** Set Includes Standoff Barrel, Screw Cap, and Coupling Anchor</t>
  </si>
  <si>
    <t>EA</t>
  </si>
  <si>
    <t>ACTIVITIES WALL</t>
  </si>
  <si>
    <t>CWW</t>
  </si>
  <si>
    <t>WALL/WALL SUPPORTS WITH ONE 3.0M (9' 10") LONG / 1.5mm Dia. CABLE. Use for suspending graphics, signage, etc. Includes spring tensioner, and fixing plates - 38mm (1-1/2") Dia. Satin Chrome</t>
  </si>
  <si>
    <t>CG03</t>
  </si>
  <si>
    <t xml:space="preserve">VERTICAL PANEL SUPPORT SINGLE FOR 1.5mm CABLE. For panels up to 4mm (5/32") thick. Satin Chrome </t>
  </si>
  <si>
    <t>CG04</t>
  </si>
  <si>
    <t>VERTICAL PANEL SUPPORT DOUBLE. FOR 1.5mm CABLE. For panels up to 4mm (5/32") thick. Satin Chrome</t>
  </si>
  <si>
    <t>18EAAP-8511P/NG</t>
  </si>
  <si>
    <t xml:space="preserve">EASY ACCESS ACRYLIC POSTER HOLDER - PORTRAIT. 1/8" Non-Glare Folded acrylic designed to take letters size paper/posters - 8.5"W x 11"H. </t>
  </si>
  <si>
    <t>GALLERY WALL</t>
  </si>
  <si>
    <t>FF-PH1005 ***CUSTOM</t>
  </si>
  <si>
    <t>HORIZONTAL EXTRUSION - PH1005, L=78", P1 (***DRILL ONE END FOR INLINE CONNECTOR 648 104)</t>
  </si>
  <si>
    <t>FF-648 104</t>
  </si>
  <si>
    <t>IN-LINE CONN STEEL - PH1005 4 - SCREWS REF. DIN7991 M6 X 12 2 - IN-LINE CONNECTOR, REF. 648 NS 104</t>
  </si>
  <si>
    <t>FF-370 104</t>
  </si>
  <si>
    <t>END CAP, ALUM ADHESIVE / PH1005</t>
  </si>
  <si>
    <t>KMSB-25</t>
  </si>
  <si>
    <t>SINGLE WALL BRACKET. 30mm x 35mm - Fitted to the wall using no. 10 screws. Silver finish</t>
  </si>
  <si>
    <t>PA8</t>
  </si>
  <si>
    <t>PA8 TOGGLE - For fixing cables to channels. Fits from the channel end. (*Also used for mounting channels onto the wall brackets).</t>
  </si>
  <si>
    <t>CQQ</t>
  </si>
  <si>
    <t>QUICK FIT CABLE - Cable design to be used with channel top and bottom. Includes 4M (13'1-1/2") of cable, 2 quick fit toggles &amp; spring tensioner. Satin chrome finish</t>
  </si>
  <si>
    <t>CG09</t>
  </si>
  <si>
    <t>TOP/BOTTOM PANEL SUPPORT. FOR 1.5mm CABLE. - For panels wider than the distance between cables. Holds panels up to 7mm (1/4") thick. Satin Chrome Finish</t>
  </si>
  <si>
    <t>18ASP1818</t>
  </si>
  <si>
    <t>1/8" CLEAR ACRYLIC PANEL - NO HOLES - Polished Edges. Panel size: 18" x 18"</t>
  </si>
  <si>
    <t>18ASP-1818NG</t>
  </si>
  <si>
    <t>1/8" NON-GLARE ACRYLIC PANEL - NO HOLES - Polished Edges. Size: 18" x18"</t>
  </si>
  <si>
    <t>1/8" CLEAR ACRYLIC PANEL - NO HOLES - Polished Edges. Panel size: 18" x 32"</t>
  </si>
  <si>
    <t>1/8" NON-GLARE ACRYLIC PANEL - NO HOLES - Polished Edges. Panel size: 18" x 32"</t>
  </si>
  <si>
    <t>1/8" CLEAR ACRYLIC PANEL - NO HOLES - Polished Edges. Panel size: 18" x 46"</t>
  </si>
  <si>
    <t>1/8" NON-GLARE ACRYLIC PANEL - NO HOLES - Polished Edges. Panel size: 18" x 46"</t>
  </si>
  <si>
    <t>1/8" CLEAR ACRYLIC PANEL - NO HOLES - Polished Edges. Panel size: 18" x 60"</t>
  </si>
  <si>
    <t>1/8" NON-GLARE ACRYLIC PANEL - NO HOLES - Polished Edges. Panel size: 18" x 60"</t>
  </si>
  <si>
    <t>1/8" CLEAR ACRYLIC PANEL - NO HOLES - Polished Edges. Panel size: 40" x 46"</t>
  </si>
  <si>
    <t>1/8" NON-GLARE ACRYLIC PANEL - NO HOLES - Polished Edges. Panel size: 40" x 46"</t>
  </si>
  <si>
    <t>GALLERY WALL #2</t>
  </si>
  <si>
    <t>HORIZONTAL EXTRUSION - PH1005, L=78", P1  (***DRILL ONE END FOR INLINE CONNECTOR 648 104)</t>
  </si>
  <si>
    <t>18ASP-2424</t>
  </si>
  <si>
    <t>1/8" CLEAR ACRYLIC PANEL - NO HOLES - Polished Edges. Panel size: 24" x 24"</t>
  </si>
  <si>
    <t>18ASP-2424NG</t>
  </si>
  <si>
    <t>1/8" NON-GLARE ACRYLIC PANEL - NO HOLES - Polished Edges. Size: 24" x 24"</t>
  </si>
  <si>
    <t>1/8" CLEAR ACRYLIC PANEL - NO HOLES - Polished Edges. Panel size: 24" x 38"</t>
  </si>
  <si>
    <t>1/8" NON-GLARE ACRYLIC PANEL - NO HOLES - Polished Edges. Size: 24" x 38"</t>
  </si>
  <si>
    <t>1/8" CLEAR ACRYLIC PANEL - NO HOLES - Polished Edges. Panel size: 24" x 52"</t>
  </si>
  <si>
    <t>1/8" NON-GLARE ACRYLIC PANEL - NO HOLES - Polished Edges. Size: 24" x 52"</t>
  </si>
  <si>
    <t>1/8" CLEAR ACRYLIC PANEL - NO HOLES - Polished Edges. Panel size: 24" x 66"</t>
  </si>
  <si>
    <t>1/8" NON-GLARE ACRYLIC PANEL - NO HOLES - Polished Edges. Size: 24" x 66"</t>
  </si>
  <si>
    <t>1/8" CLEAR ACRYLIC PANEL - NO HOLES - Polished Edges. Panel size: 48" x 52"</t>
  </si>
  <si>
    <t>1/8" NON-GLARE ACRYLIC PANEL - NO HOLES - Polished Edges. Size: 48" x 52"</t>
  </si>
  <si>
    <t>FRONT OFFICE HALLWAY</t>
  </si>
  <si>
    <t xml:space="preserve">1/4" CLEAR ACRYLIC PANEL ***CUSTOM SIZE: 24" x 36" WITH HOLES FOR WSM2525-M6 STANDOFFS. INSERT SIZE: 20" x 32" </t>
  </si>
  <si>
    <t xml:space="preserve">1/8" NON-GLARE ACRYLIC PANEL ***CUSTOM SIZE: 24" x 36" WITH HOLES FOR WSM2525-M6 STANDOFFS. INSERT SIZE: 20" x 32" </t>
  </si>
  <si>
    <t>1/8" CLEAR ACRYLIC PANEL - Polished Edges w/holes for mounting supports. Panel hole size (M6) 7mm (1/4") / 1-1/4" offset. Insert Size: 8.5" x 11". Panel size: 12" x 14"</t>
  </si>
  <si>
    <t>1/8" NON-GLARE ACRYLIC PANEL - Polished Edges w/holes for mounting supports. Panel hole size (M6) 7mm (1/4") / 1-1/4" offset. Insert Size: 8.5" x 11". Panel size: 12" x 14"</t>
  </si>
  <si>
    <t>1/8" CLEAR ACRYLIC SIGN-PANEL - Polished Edges w/holes for mounting supports (2-MOUNTS ONLY). Panel hole size (M6) 7mm (1/4") / 1-1/4" offset. Panel size: 12" x 4"</t>
  </si>
  <si>
    <t>1/8" NON-GLARE ACRYLIC SIGN-PANEL - Polished Edges w/holes for mounting supports (2-MOUNTS ONLY). Panel hole size (M6) 7mm (1/4") / 1-1/4" offset. Panel size: 12" x 4"</t>
  </si>
  <si>
    <t xml:space="preserve">1/4" CLEAR ACRYLIC PANEL ***CUSTOM SIZE: 21" x 27" WITH HOLES FOR WSM2525-M6 STANDOFFS. INSERT SIZE: 18" x 24" </t>
  </si>
  <si>
    <t xml:space="preserve">1/8" NON-GLARE ACRYLIC PANEL ***CUSTOM SIZE: 21" x 27" WITH HOLES FOR WSM2525-M6 STANDOFFS. INSERT SIZE: 18" x 24" </t>
  </si>
  <si>
    <t xml:space="preserve">1/4" CLEAR ACRYLIC PANEL ***CUSTOM SIZE: 21 x 35" WITH HOLES FOR WSM2525-M6 STANDOFFS. INSERT SIZE: 18" x 32" </t>
  </si>
  <si>
    <t xml:space="preserve">1/8" NON-GLARE ACRYLIC PANEL ***CUSTOM SIZE: 21" x 35" WITH HOLES FOR WSM2525-M6 STANDOFFS. INSERT SIZE: 18" x 32" </t>
  </si>
  <si>
    <t>1/4" CLEAR ACRYLIC PANEL ***CUSTOM SIZE: 21" x 63" WITH HOLES FOR WSM2525-M6 STANDOFFS. INSERT SIZE 18" x 60"</t>
  </si>
  <si>
    <t>1/8" NON-GLARE ACRYLIC PANEL ***CUSTOM SIZE: 21" x 63" WITH HOLES FOR WSM2525-M6 STANDOFFS. INSERT SIZE 18" x 60"</t>
  </si>
  <si>
    <t xml:space="preserve">1/4" CLEAR ACRYLIC PANEL ***CUSTOM SIZE: 24" x 35" WITH HOLES FOR WSM2525-M6 STANDOFFS. INSERT SIZE: 21" x 32" </t>
  </si>
  <si>
    <t xml:space="preserve">1/8" NON-GLARE ACRYLIC PANEL ***CUSTOM SIZE: 24" x 35" WITH HOLES FOR WSM2525-M6 STANDOFFS. INSERT SIZE: 21" x 32" </t>
  </si>
  <si>
    <t xml:space="preserve">1/4" CLEAR ACRYLIC PANEL ***CUSTOM SIZE: 27" x 39" WITH HOLES FOR WSM2525-M6 STANDOFFS. INSERT SIZE: 24" x 36" </t>
  </si>
  <si>
    <t xml:space="preserve">1/8" NON-GLARE ACRYLIC PANEL ***CUSTOM SIZE: 27" x 39" WITH HOLES FOR WSM2525-M6 STANDOFFS. INSERT SIZE: 24" x 36" </t>
  </si>
  <si>
    <t xml:space="preserve">1/4" CLEAR ACRYLIC PANEL ***CUSTOM SIZE: 24" x 67" WITH HOLES FOR WSM2525-M6 STANDOFFS  (***SIX-HOLES / PANEL). INSERT SIZE: 21" x 64" </t>
  </si>
  <si>
    <t xml:space="preserve">1/8" NON-GLARE ACRYLIC PANEL ***CUSTOM SIZE: 24" x 67" WITH HOLES FOR WSM2525-M6 STANDOFFS  (***SIX-HOLES / PANEL). INSERT SIZE: 21" x 64" </t>
  </si>
  <si>
    <t xml:space="preserve">1/4" CLEAR ACRYLIC PANEL ***CUSTOM SIZE: 33" x 43" WITH HOLES FOR WSM2525-M6 STANDOFFS. INSERT SIZE: 30" x 40" </t>
  </si>
  <si>
    <t xml:space="preserve">1/8" NON-GLARE ACRYLIC PANEL ***CUSTOM SIZE: 33" x 43" WITH HOLES FOR WSM2525-M6 STANDOFFS. INSERT SIZE: 30" x 40" </t>
  </si>
  <si>
    <t xml:space="preserve">1/4" CLEAR ACRYLIC PANEL ***CUSTOM SIZE: 39" x 39" WITH HOLES FOR WSM2525-M6 STANDOFFS. INSERT SIZE: 36" x 36" </t>
  </si>
  <si>
    <t xml:space="preserve">1/8" NON-GLARE ACRYLIC PANEL ***CUSTOM SIZE: 39" x 39" WITH HOLES FOR WSM2525-M6 STANDOFFS. INSERT SIZE: 36" x 36" </t>
  </si>
  <si>
    <t xml:space="preserve">1/4" CLEAR ACRYLIC PANEL ***CUSTOM SIZE: 23" x 27" WITH HOLES FOR WSM2525-M6 STANDOFFS. INSERT SIZE: 20" x 24" </t>
  </si>
  <si>
    <t xml:space="preserve">1/8" NON-GLARE ACRYLIC PANEL ***CUSTOM SIZE: 23" x 27" WITH HOLES FOR WSM2525-M6 STANDOFFS. INSERT SIZE: 20" x 24" </t>
  </si>
  <si>
    <t>1/4" CLEAR ACRYLIC PANEL ***CUSTOM SIZE: 48" ROUND WITH HOLES FOR WSM2525-M6 STANDOFFS</t>
  </si>
  <si>
    <t>1/8" NON-GLARE ACRYLIC PANEL ***CUSTOM SIZE: 48" ROUND WITH HOLES FOR WSM2525-M6 STANDOFFS</t>
  </si>
  <si>
    <t xml:space="preserve">VERTICAL PANEL SUPPORT DOUBLE. FOR 1.5mm CABLE. For panels up to 4mm (5/32") thick. Satin Chrome </t>
  </si>
  <si>
    <t>Freight</t>
  </si>
  <si>
    <t>Subtotal</t>
  </si>
  <si>
    <r>
      <rPr>
        <b/>
        <sz val="12"/>
        <rFont val="Arial"/>
        <family val="2"/>
      </rPr>
      <t>EXTENDED AMOUNT</t>
    </r>
  </si>
  <si>
    <t>ITEM #      (Proposed CLIN)</t>
  </si>
  <si>
    <t>Brand Name (BN) or Equal?</t>
  </si>
  <si>
    <t>Manufacturer Name</t>
  </si>
  <si>
    <t>Equal</t>
  </si>
  <si>
    <t xml:space="preserve">Order Total </t>
  </si>
  <si>
    <t>OCONUS Freight/ Shipping</t>
  </si>
  <si>
    <t>MISC. PARTS</t>
  </si>
  <si>
    <t>HALLWAY/ VIP OFFICE FRAMES</t>
  </si>
  <si>
    <t>ROUND LOGO FRAMES</t>
  </si>
  <si>
    <t>OCONUS FREIGHT/ SHIPPING</t>
  </si>
  <si>
    <t>DISA Europe, Hauptstrasse Bldg 2341 Stuttgart, DE 70569</t>
  </si>
  <si>
    <t>Nikki Decker</t>
  </si>
  <si>
    <t>OCONUS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</si>
</sst>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 &quot;&quot;$&quot;* #,##0.00&quot; &quot;;&quot; &quot;&quot;$&quot;* \(#,##0.00\);&quot; &quot;&quot;$&quot;* &quot;-&quot;??&quot; &quot;"/>
  </numFmts>
  <fonts count="9" x14ac:knownFonts="1">
    <font>
      <sz val="10"/>
      <color indexed="8"/>
      <name val="Arial"/>
    </font>
    <font>
      <b/>
      <sz val="12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 applyNumberFormat="0" applyFill="0" applyBorder="0" applyProtection="0"/>
    <xf numFmtId="44" fontId="2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NumberFormat="1"/>
    <xf numFmtId="49" fontId="0" fillId="2" borderId="1" xfId="0" applyNumberFormat="1" applyFill="1" applyBorder="1" applyAlignment="1">
      <alignment wrapText="1"/>
    </xf>
    <xf numFmtId="49" fontId="0" fillId="0" borderId="1" xfId="0" applyNumberFormat="1" applyBorder="1"/>
    <xf numFmtId="165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wrapText="1"/>
    </xf>
    <xf numFmtId="165" fontId="0" fillId="2" borderId="4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3" xfId="0" applyNumberFormat="1" applyBorder="1"/>
    <xf numFmtId="0" fontId="0" fillId="0" borderId="3" xfId="0" applyNumberForma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49" fontId="0" fillId="2" borderId="2" xfId="0" applyNumberFormat="1" applyFill="1" applyBorder="1" applyAlignment="1">
      <alignment wrapText="1"/>
    </xf>
    <xf numFmtId="0" fontId="0" fillId="2" borderId="2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left" vertical="top" wrapText="1"/>
    </xf>
    <xf numFmtId="0" fontId="0" fillId="2" borderId="4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left" wrapText="1"/>
    </xf>
    <xf numFmtId="49" fontId="0" fillId="2" borderId="4" xfId="0" applyNumberFormat="1" applyFill="1" applyBorder="1" applyAlignment="1">
      <alignment wrapText="1"/>
    </xf>
    <xf numFmtId="49" fontId="0" fillId="2" borderId="2" xfId="0" applyNumberFormat="1" applyFill="1" applyBorder="1" applyAlignment="1">
      <alignment horizontal="left" wrapText="1"/>
    </xf>
    <xf numFmtId="0" fontId="0" fillId="0" borderId="0" xfId="0" applyNumberFormat="1" applyAlignment="1">
      <alignment horizontal="left"/>
    </xf>
    <xf numFmtId="49" fontId="0" fillId="2" borderId="11" xfId="0" applyNumberFormat="1" applyFill="1" applyBorder="1" applyAlignment="1">
      <alignment horizontal="left" vertical="top" wrapText="1"/>
    </xf>
    <xf numFmtId="49" fontId="0" fillId="2" borderId="5" xfId="0" applyNumberFormat="1" applyFill="1" applyBorder="1" applyAlignment="1">
      <alignment horizontal="left" wrapText="1"/>
    </xf>
    <xf numFmtId="49" fontId="0" fillId="2" borderId="7" xfId="0" applyNumberFormat="1" applyFill="1" applyBorder="1" applyAlignment="1">
      <alignment horizontal="left" wrapText="1"/>
    </xf>
    <xf numFmtId="49" fontId="0" fillId="2" borderId="11" xfId="0" applyNumberFormat="1" applyFill="1" applyBorder="1" applyAlignment="1">
      <alignment horizontal="left" wrapText="1"/>
    </xf>
    <xf numFmtId="0" fontId="0" fillId="0" borderId="8" xfId="0" applyNumberFormat="1" applyBorder="1"/>
    <xf numFmtId="0" fontId="0" fillId="0" borderId="10" xfId="0" applyNumberFormat="1" applyBorder="1"/>
    <xf numFmtId="165" fontId="4" fillId="3" borderId="14" xfId="0" applyNumberFormat="1" applyFont="1" applyFill="1" applyBorder="1" applyAlignment="1">
      <alignment horizontal="left" vertical="center"/>
    </xf>
    <xf numFmtId="49" fontId="4" fillId="3" borderId="7" xfId="0" applyNumberFormat="1" applyFont="1" applyFill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/>
    </xf>
    <xf numFmtId="44" fontId="4" fillId="3" borderId="14" xfId="1" applyFont="1" applyFill="1" applyBorder="1" applyAlignment="1">
      <alignment horizontal="center" vertical="center"/>
    </xf>
    <xf numFmtId="165" fontId="4" fillId="3" borderId="14" xfId="0" applyNumberFormat="1" applyFont="1" applyFill="1" applyBorder="1" applyAlignment="1">
      <alignment horizontal="center" vertical="center"/>
    </xf>
    <xf numFmtId="165" fontId="8" fillId="3" borderId="14" xfId="0" applyNumberFormat="1" applyFont="1" applyFill="1" applyBorder="1" applyAlignment="1">
      <alignment horizontal="center" vertical="center"/>
    </xf>
    <xf numFmtId="165" fontId="4" fillId="3" borderId="17" xfId="0" applyNumberFormat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right" vertical="center"/>
    </xf>
    <xf numFmtId="0" fontId="3" fillId="0" borderId="10" xfId="0" applyNumberFormat="1" applyFont="1" applyBorder="1" applyAlignment="1">
      <alignment horizontal="center"/>
    </xf>
    <xf numFmtId="0" fontId="3" fillId="0" borderId="10" xfId="0" applyNumberFormat="1" applyFont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164" fontId="6" fillId="0" borderId="15" xfId="0" applyNumberFormat="1" applyFont="1" applyBorder="1"/>
    <xf numFmtId="0" fontId="0" fillId="0" borderId="10" xfId="0" applyNumberFormat="1" applyBorder="1" applyAlignment="1">
      <alignment horizontal="center" vertical="center"/>
    </xf>
    <xf numFmtId="44" fontId="0" fillId="2" borderId="4" xfId="1" applyFont="1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44" fontId="0" fillId="2" borderId="2" xfId="1" applyFont="1" applyFill="1" applyBorder="1" applyAlignment="1">
      <alignment horizontal="center" vertical="center"/>
    </xf>
    <xf numFmtId="49" fontId="3" fillId="0" borderId="2" xfId="0" applyNumberFormat="1" applyFont="1" applyBorder="1"/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wrapText="1"/>
    </xf>
    <xf numFmtId="49" fontId="1" fillId="2" borderId="13" xfId="0" applyNumberFormat="1" applyFont="1" applyFill="1" applyBorder="1" applyAlignment="1">
      <alignment horizontal="center" wrapText="1"/>
    </xf>
    <xf numFmtId="49" fontId="1" fillId="2" borderId="14" xfId="0" applyNumberFormat="1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left" wrapText="1"/>
    </xf>
    <xf numFmtId="0" fontId="4" fillId="3" borderId="13" xfId="0" applyFont="1" applyFill="1" applyBorder="1" applyAlignment="1">
      <alignment horizontal="left" wrapText="1"/>
    </xf>
    <xf numFmtId="0" fontId="4" fillId="3" borderId="14" xfId="0" applyFont="1" applyFill="1" applyBorder="1" applyAlignment="1">
      <alignment horizontal="left" wrapText="1"/>
    </xf>
    <xf numFmtId="1" fontId="5" fillId="3" borderId="12" xfId="0" applyNumberFormat="1" applyFont="1" applyFill="1" applyBorder="1" applyAlignment="1">
      <alignment horizontal="left" wrapText="1"/>
    </xf>
    <xf numFmtId="1" fontId="5" fillId="3" borderId="13" xfId="0" applyNumberFormat="1" applyFont="1" applyFill="1" applyBorder="1" applyAlignment="1">
      <alignment horizontal="left" wrapText="1"/>
    </xf>
    <xf numFmtId="1" fontId="5" fillId="3" borderId="14" xfId="0" applyNumberFormat="1" applyFont="1" applyFill="1" applyBorder="1" applyAlignment="1">
      <alignment horizontal="left" wrapText="1"/>
    </xf>
    <xf numFmtId="0" fontId="4" fillId="0" borderId="12" xfId="0" applyNumberFormat="1" applyFont="1" applyBorder="1" applyAlignment="1">
      <alignment horizontal="left" vertical="center"/>
    </xf>
    <xf numFmtId="0" fontId="4" fillId="0" borderId="13" xfId="0" applyNumberFormat="1" applyFont="1" applyBorder="1" applyAlignment="1">
      <alignment horizontal="left" vertical="center"/>
    </xf>
    <xf numFmtId="0" fontId="4" fillId="0" borderId="16" xfId="0" applyNumberFormat="1" applyFont="1" applyBorder="1" applyAlignment="1">
      <alignment horizontal="left" vertical="center"/>
    </xf>
    <xf numFmtId="49" fontId="1" fillId="2" borderId="12" xfId="0" applyNumberFormat="1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left" wrapText="1"/>
    </xf>
    <xf numFmtId="0" fontId="5" fillId="3" borderId="13" xfId="0" applyFont="1" applyFill="1" applyBorder="1" applyAlignment="1">
      <alignment horizontal="left" wrapText="1"/>
    </xf>
    <xf numFmtId="0" fontId="5" fillId="3" borderId="14" xfId="0" applyFont="1" applyFill="1" applyBorder="1" applyAlignment="1">
      <alignment horizontal="left" wrapText="1"/>
    </xf>
    <xf numFmtId="49" fontId="4" fillId="0" borderId="12" xfId="0" applyNumberFormat="1" applyFont="1" applyFill="1" applyBorder="1" applyAlignment="1">
      <alignment horizontal="center" wrapText="1"/>
    </xf>
    <xf numFmtId="49" fontId="1" fillId="0" borderId="13" xfId="0" applyNumberFormat="1" applyFont="1" applyFill="1" applyBorder="1" applyAlignment="1">
      <alignment horizontal="center" wrapText="1"/>
    </xf>
    <xf numFmtId="49" fontId="1" fillId="0" borderId="14" xfId="0" applyNumberFormat="1" applyFont="1" applyFill="1" applyBorder="1" applyAlignment="1">
      <alignment horizontal="center" wrapText="1"/>
    </xf>
    <xf numFmtId="49" fontId="4" fillId="2" borderId="13" xfId="0" applyNumberFormat="1" applyFont="1" applyFill="1" applyBorder="1" applyAlignment="1">
      <alignment horizontal="center" wrapText="1"/>
    </xf>
    <xf numFmtId="49" fontId="4" fillId="2" borderId="14" xfId="0" applyNumberFormat="1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6711FF"/>
      <rgbColor rgb="FFAAAAAA"/>
      <rgbColor rgb="FFE5B8B7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6261287</xdr:colOff>
      <xdr:row>20</xdr:row>
      <xdr:rowOff>130539</xdr:rowOff>
    </xdr:from>
    <xdr:to>
      <xdr:col>4</xdr:col>
      <xdr:colOff>6596192</xdr:colOff>
      <xdr:row>22</xdr:row>
      <xdr:rowOff>9537</xdr:rowOff>
    </xdr:to>
    <xdr:sp macro="" textlink="">
      <xdr:nvSpPr>
        <xdr:cNvPr id="2" name="Tex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432987" y="7357474"/>
          <a:ext cx="334905" cy="225709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28"/>
  <sheetViews>
    <sheetView showGridLines="0" tabSelected="1" zoomScale="80" zoomScaleNormal="80" workbookViewId="0">
      <selection activeCell="B138" sqref="B138"/>
    </sheetView>
  </sheetViews>
  <sheetFormatPr defaultColWidth="8.85546875" defaultRowHeight="12.75" customHeight="1" x14ac:dyDescent="0.2"/>
  <cols>
    <col min="1" max="1" width="19.85546875" style="1" customWidth="1"/>
    <col min="2" max="2" width="20.7109375" style="1" customWidth="1"/>
    <col min="3" max="3" width="24.140625" style="1" bestFit="1" customWidth="1"/>
    <col min="4" max="4" width="31.42578125" style="26" customWidth="1"/>
    <col min="5" max="5" width="178.42578125" style="1" customWidth="1"/>
    <col min="6" max="6" width="5.85546875" style="1" bestFit="1" customWidth="1"/>
    <col min="7" max="7" width="18.42578125" style="1" bestFit="1" customWidth="1"/>
    <col min="8" max="8" width="14.5703125" style="9" customWidth="1"/>
    <col min="9" max="9" width="25.140625" style="1" bestFit="1" customWidth="1"/>
    <col min="10" max="16384" width="8.85546875" style="1"/>
  </cols>
  <sheetData>
    <row r="1" spans="1:9" s="9" customFormat="1" ht="53.25" customHeight="1" thickBot="1" x14ac:dyDescent="0.25">
      <c r="A1" s="50" t="s">
        <v>115</v>
      </c>
      <c r="B1" s="50" t="s">
        <v>116</v>
      </c>
      <c r="C1" s="51" t="s">
        <v>117</v>
      </c>
      <c r="D1" s="34" t="s">
        <v>0</v>
      </c>
      <c r="E1" s="17" t="s">
        <v>1</v>
      </c>
      <c r="F1" s="17" t="s">
        <v>2</v>
      </c>
      <c r="G1" s="17" t="s">
        <v>3</v>
      </c>
      <c r="H1" s="18" t="s">
        <v>4</v>
      </c>
      <c r="I1" s="19" t="s">
        <v>114</v>
      </c>
    </row>
    <row r="2" spans="1:9" ht="16.7" customHeight="1" thickBot="1" x14ac:dyDescent="0.3">
      <c r="A2" s="67" t="s">
        <v>5</v>
      </c>
      <c r="B2" s="56"/>
      <c r="C2" s="56"/>
      <c r="D2" s="56"/>
      <c r="E2" s="56"/>
      <c r="F2" s="56"/>
      <c r="G2" s="56"/>
      <c r="H2" s="56"/>
      <c r="I2" s="57"/>
    </row>
    <row r="3" spans="1:9" ht="108" customHeight="1" x14ac:dyDescent="0.2">
      <c r="A3" s="45">
        <v>1</v>
      </c>
      <c r="B3" s="42" t="s">
        <v>118</v>
      </c>
      <c r="C3" s="32"/>
      <c r="D3" s="27" t="s">
        <v>6</v>
      </c>
      <c r="E3" s="20" t="s">
        <v>7</v>
      </c>
      <c r="F3" s="21">
        <v>1</v>
      </c>
      <c r="G3" s="22" t="s">
        <v>8</v>
      </c>
      <c r="H3" s="46">
        <v>0</v>
      </c>
      <c r="I3" s="8">
        <f t="shared" ref="I3:I13" si="0">SUM(F3*H3)</f>
        <v>0</v>
      </c>
    </row>
    <row r="4" spans="1:9" ht="13.7" customHeight="1" x14ac:dyDescent="0.2">
      <c r="A4" s="11">
        <v>2</v>
      </c>
      <c r="B4" s="12" t="s">
        <v>118</v>
      </c>
      <c r="C4" s="10"/>
      <c r="D4" s="28" t="s">
        <v>9</v>
      </c>
      <c r="E4" s="2" t="s">
        <v>10</v>
      </c>
      <c r="F4" s="5">
        <v>2</v>
      </c>
      <c r="G4" s="6" t="s">
        <v>8</v>
      </c>
      <c r="H4" s="47">
        <v>0</v>
      </c>
      <c r="I4" s="4">
        <f t="shared" si="0"/>
        <v>0</v>
      </c>
    </row>
    <row r="5" spans="1:9" ht="13.7" customHeight="1" x14ac:dyDescent="0.2">
      <c r="A5" s="11">
        <v>3</v>
      </c>
      <c r="B5" s="12" t="s">
        <v>118</v>
      </c>
      <c r="C5" s="10"/>
      <c r="D5" s="28" t="s">
        <v>11</v>
      </c>
      <c r="E5" s="2" t="s">
        <v>12</v>
      </c>
      <c r="F5" s="5">
        <v>2</v>
      </c>
      <c r="G5" s="6" t="s">
        <v>8</v>
      </c>
      <c r="H5" s="47">
        <v>0</v>
      </c>
      <c r="I5" s="4">
        <f t="shared" si="0"/>
        <v>0</v>
      </c>
    </row>
    <row r="6" spans="1:9" ht="13.7" customHeight="1" x14ac:dyDescent="0.2">
      <c r="A6" s="11">
        <v>4</v>
      </c>
      <c r="B6" s="42" t="s">
        <v>118</v>
      </c>
      <c r="C6" s="10"/>
      <c r="D6" s="28" t="s">
        <v>9</v>
      </c>
      <c r="E6" s="2" t="s">
        <v>13</v>
      </c>
      <c r="F6" s="5">
        <v>6</v>
      </c>
      <c r="G6" s="6" t="s">
        <v>8</v>
      </c>
      <c r="H6" s="47">
        <v>0</v>
      </c>
      <c r="I6" s="4">
        <f t="shared" si="0"/>
        <v>0</v>
      </c>
    </row>
    <row r="7" spans="1:9" ht="13.7" customHeight="1" x14ac:dyDescent="0.2">
      <c r="A7" s="11">
        <v>5</v>
      </c>
      <c r="B7" s="42" t="s">
        <v>118</v>
      </c>
      <c r="C7" s="10"/>
      <c r="D7" s="28" t="s">
        <v>11</v>
      </c>
      <c r="E7" s="2" t="s">
        <v>14</v>
      </c>
      <c r="F7" s="5">
        <v>6</v>
      </c>
      <c r="G7" s="6" t="s">
        <v>8</v>
      </c>
      <c r="H7" s="47">
        <v>0</v>
      </c>
      <c r="I7" s="4">
        <f t="shared" si="0"/>
        <v>0</v>
      </c>
    </row>
    <row r="8" spans="1:9" ht="13.7" customHeight="1" x14ac:dyDescent="0.2">
      <c r="A8" s="11">
        <v>6</v>
      </c>
      <c r="B8" s="42" t="s">
        <v>118</v>
      </c>
      <c r="C8" s="10"/>
      <c r="D8" s="28" t="s">
        <v>15</v>
      </c>
      <c r="E8" s="2" t="s">
        <v>16</v>
      </c>
      <c r="F8" s="5">
        <v>8</v>
      </c>
      <c r="G8" s="6" t="s">
        <v>8</v>
      </c>
      <c r="H8" s="47">
        <v>0</v>
      </c>
      <c r="I8" s="4">
        <f t="shared" si="0"/>
        <v>0</v>
      </c>
    </row>
    <row r="9" spans="1:9" ht="13.7" customHeight="1" x14ac:dyDescent="0.2">
      <c r="A9" s="11">
        <v>7</v>
      </c>
      <c r="B9" s="42" t="s">
        <v>118</v>
      </c>
      <c r="C9" s="10"/>
      <c r="D9" s="28" t="s">
        <v>9</v>
      </c>
      <c r="E9" s="2" t="s">
        <v>17</v>
      </c>
      <c r="F9" s="5">
        <v>5</v>
      </c>
      <c r="G9" s="6" t="s">
        <v>8</v>
      </c>
      <c r="H9" s="47">
        <v>0</v>
      </c>
      <c r="I9" s="4">
        <f t="shared" si="0"/>
        <v>0</v>
      </c>
    </row>
    <row r="10" spans="1:9" ht="13.7" customHeight="1" x14ac:dyDescent="0.2">
      <c r="A10" s="11">
        <v>8</v>
      </c>
      <c r="B10" s="42" t="s">
        <v>118</v>
      </c>
      <c r="C10" s="10"/>
      <c r="D10" s="28" t="s">
        <v>11</v>
      </c>
      <c r="E10" s="2" t="s">
        <v>18</v>
      </c>
      <c r="F10" s="5">
        <v>5</v>
      </c>
      <c r="G10" s="6" t="s">
        <v>8</v>
      </c>
      <c r="H10" s="47">
        <v>0</v>
      </c>
      <c r="I10" s="4">
        <f t="shared" si="0"/>
        <v>0</v>
      </c>
    </row>
    <row r="11" spans="1:9" ht="13.7" customHeight="1" x14ac:dyDescent="0.2">
      <c r="A11" s="11">
        <v>9</v>
      </c>
      <c r="B11" s="42" t="s">
        <v>118</v>
      </c>
      <c r="C11" s="10"/>
      <c r="D11" s="28" t="s">
        <v>19</v>
      </c>
      <c r="E11" s="7" t="s">
        <v>20</v>
      </c>
      <c r="F11" s="5">
        <v>52</v>
      </c>
      <c r="G11" s="6" t="s">
        <v>8</v>
      </c>
      <c r="H11" s="47">
        <v>0</v>
      </c>
      <c r="I11" s="4">
        <f t="shared" si="0"/>
        <v>0</v>
      </c>
    </row>
    <row r="12" spans="1:9" ht="13.7" customHeight="1" x14ac:dyDescent="0.2">
      <c r="A12" s="11">
        <v>10</v>
      </c>
      <c r="B12" s="42" t="s">
        <v>118</v>
      </c>
      <c r="C12" s="10"/>
      <c r="D12" s="28" t="s">
        <v>21</v>
      </c>
      <c r="E12" s="7" t="s">
        <v>22</v>
      </c>
      <c r="F12" s="5">
        <v>52</v>
      </c>
      <c r="G12" s="6" t="s">
        <v>8</v>
      </c>
      <c r="H12" s="47">
        <v>0</v>
      </c>
      <c r="I12" s="4">
        <f t="shared" si="0"/>
        <v>0</v>
      </c>
    </row>
    <row r="13" spans="1:9" ht="13.5" thickBot="1" x14ac:dyDescent="0.25">
      <c r="A13" s="35">
        <v>11</v>
      </c>
      <c r="B13" s="42" t="s">
        <v>118</v>
      </c>
      <c r="C13" s="31"/>
      <c r="D13" s="29" t="s">
        <v>23</v>
      </c>
      <c r="E13" s="13" t="s">
        <v>24</v>
      </c>
      <c r="F13" s="14">
        <v>10</v>
      </c>
      <c r="G13" s="15" t="s">
        <v>8</v>
      </c>
      <c r="H13" s="48">
        <v>0</v>
      </c>
      <c r="I13" s="16">
        <f t="shared" si="0"/>
        <v>0</v>
      </c>
    </row>
    <row r="14" spans="1:9" ht="16.5" thickBot="1" x14ac:dyDescent="0.3">
      <c r="A14" s="58" t="s">
        <v>113</v>
      </c>
      <c r="B14" s="59"/>
      <c r="C14" s="59"/>
      <c r="D14" s="59"/>
      <c r="E14" s="59"/>
      <c r="F14" s="59"/>
      <c r="G14" s="59"/>
      <c r="H14" s="60"/>
      <c r="I14" s="33">
        <f>SUM(I3:I13)</f>
        <v>0</v>
      </c>
    </row>
    <row r="15" spans="1:9" ht="16.7" customHeight="1" thickBot="1" x14ac:dyDescent="0.3">
      <c r="A15" s="67" t="s">
        <v>25</v>
      </c>
      <c r="B15" s="56"/>
      <c r="C15" s="56"/>
      <c r="D15" s="56"/>
      <c r="E15" s="56"/>
      <c r="F15" s="56"/>
      <c r="G15" s="56"/>
      <c r="H15" s="56"/>
      <c r="I15" s="57"/>
    </row>
    <row r="16" spans="1:9" ht="105.75" customHeight="1" x14ac:dyDescent="0.2">
      <c r="A16" s="45">
        <v>12</v>
      </c>
      <c r="B16" s="42" t="s">
        <v>118</v>
      </c>
      <c r="C16" s="32"/>
      <c r="D16" s="30" t="s">
        <v>6</v>
      </c>
      <c r="E16" s="24" t="s">
        <v>26</v>
      </c>
      <c r="F16" s="21">
        <v>1</v>
      </c>
      <c r="G16" s="22" t="s">
        <v>8</v>
      </c>
      <c r="H16" s="46">
        <v>0</v>
      </c>
      <c r="I16" s="8">
        <f t="shared" ref="I16:I21" si="1">SUM(F16*H16)</f>
        <v>0</v>
      </c>
    </row>
    <row r="17" spans="1:9" ht="13.7" customHeight="1" x14ac:dyDescent="0.2">
      <c r="A17" s="11">
        <v>13</v>
      </c>
      <c r="B17" s="42" t="s">
        <v>118</v>
      </c>
      <c r="C17" s="10"/>
      <c r="D17" s="28" t="s">
        <v>11</v>
      </c>
      <c r="E17" s="2" t="s">
        <v>27</v>
      </c>
      <c r="F17" s="5">
        <v>12</v>
      </c>
      <c r="G17" s="6" t="s">
        <v>8</v>
      </c>
      <c r="H17" s="47">
        <v>0</v>
      </c>
      <c r="I17" s="4">
        <f t="shared" si="1"/>
        <v>0</v>
      </c>
    </row>
    <row r="18" spans="1:9" ht="13.7" customHeight="1" x14ac:dyDescent="0.2">
      <c r="A18" s="11">
        <v>14</v>
      </c>
      <c r="B18" s="42" t="s">
        <v>118</v>
      </c>
      <c r="C18" s="10"/>
      <c r="D18" s="28" t="s">
        <v>11</v>
      </c>
      <c r="E18" s="2" t="s">
        <v>28</v>
      </c>
      <c r="F18" s="5">
        <v>12</v>
      </c>
      <c r="G18" s="6" t="s">
        <v>8</v>
      </c>
      <c r="H18" s="47">
        <v>0</v>
      </c>
      <c r="I18" s="4">
        <f t="shared" si="1"/>
        <v>0</v>
      </c>
    </row>
    <row r="19" spans="1:9" ht="13.5" customHeight="1" x14ac:dyDescent="0.2">
      <c r="A19" s="11">
        <v>15</v>
      </c>
      <c r="B19" s="42" t="s">
        <v>118</v>
      </c>
      <c r="C19" s="10"/>
      <c r="D19" s="28" t="s">
        <v>11</v>
      </c>
      <c r="E19" s="2" t="s">
        <v>29</v>
      </c>
      <c r="F19" s="5">
        <v>10</v>
      </c>
      <c r="G19" s="6" t="s">
        <v>8</v>
      </c>
      <c r="H19" s="47">
        <v>0</v>
      </c>
      <c r="I19" s="4">
        <f t="shared" si="1"/>
        <v>0</v>
      </c>
    </row>
    <row r="20" spans="1:9" ht="13.5" customHeight="1" x14ac:dyDescent="0.2">
      <c r="A20" s="11">
        <v>16</v>
      </c>
      <c r="B20" s="42" t="s">
        <v>118</v>
      </c>
      <c r="C20" s="10"/>
      <c r="D20" s="28" t="s">
        <v>11</v>
      </c>
      <c r="E20" s="2" t="s">
        <v>30</v>
      </c>
      <c r="F20" s="5">
        <v>10</v>
      </c>
      <c r="G20" s="6" t="s">
        <v>8</v>
      </c>
      <c r="H20" s="47">
        <v>0</v>
      </c>
      <c r="I20" s="4">
        <f t="shared" si="1"/>
        <v>0</v>
      </c>
    </row>
    <row r="21" spans="1:9" ht="13.7" customHeight="1" x14ac:dyDescent="0.2">
      <c r="A21" s="11">
        <v>17</v>
      </c>
      <c r="B21" s="42" t="s">
        <v>118</v>
      </c>
      <c r="C21" s="10"/>
      <c r="D21" s="28" t="s">
        <v>31</v>
      </c>
      <c r="E21" s="7" t="s">
        <v>32</v>
      </c>
      <c r="F21" s="5">
        <v>88</v>
      </c>
      <c r="G21" s="6" t="s">
        <v>8</v>
      </c>
      <c r="H21" s="47">
        <v>0</v>
      </c>
      <c r="I21" s="4">
        <f t="shared" si="1"/>
        <v>0</v>
      </c>
    </row>
    <row r="22" spans="1:9" ht="13.7" customHeight="1" thickBot="1" x14ac:dyDescent="0.25">
      <c r="A22" s="35">
        <v>18</v>
      </c>
      <c r="B22" s="42" t="s">
        <v>118</v>
      </c>
      <c r="C22" s="31"/>
      <c r="D22" s="29" t="s">
        <v>21</v>
      </c>
      <c r="E22" s="25" t="s">
        <v>22</v>
      </c>
      <c r="F22" s="14">
        <v>88</v>
      </c>
      <c r="G22" s="15" t="s">
        <v>33</v>
      </c>
      <c r="H22" s="48">
        <v>0</v>
      </c>
      <c r="I22" s="16"/>
    </row>
    <row r="23" spans="1:9" ht="18" customHeight="1" thickBot="1" x14ac:dyDescent="0.3">
      <c r="A23" s="68" t="s">
        <v>113</v>
      </c>
      <c r="B23" s="69"/>
      <c r="C23" s="69"/>
      <c r="D23" s="69"/>
      <c r="E23" s="69"/>
      <c r="F23" s="69"/>
      <c r="G23" s="69"/>
      <c r="H23" s="70"/>
      <c r="I23" s="36">
        <f>SUM(I16:I22)</f>
        <v>0</v>
      </c>
    </row>
    <row r="24" spans="1:9" ht="16.7" customHeight="1" thickBot="1" x14ac:dyDescent="0.3">
      <c r="A24" s="67" t="s">
        <v>34</v>
      </c>
      <c r="B24" s="56"/>
      <c r="C24" s="56"/>
      <c r="D24" s="56"/>
      <c r="E24" s="56"/>
      <c r="F24" s="56"/>
      <c r="G24" s="56"/>
      <c r="H24" s="56"/>
      <c r="I24" s="57"/>
    </row>
    <row r="25" spans="1:9" ht="13.7" customHeight="1" x14ac:dyDescent="0.2">
      <c r="A25" s="45">
        <v>19</v>
      </c>
      <c r="B25" s="42" t="s">
        <v>118</v>
      </c>
      <c r="C25" s="32"/>
      <c r="D25" s="30" t="s">
        <v>35</v>
      </c>
      <c r="E25" s="23" t="s">
        <v>36</v>
      </c>
      <c r="F25" s="21">
        <v>12</v>
      </c>
      <c r="G25" s="22" t="s">
        <v>8</v>
      </c>
      <c r="H25" s="46">
        <v>0</v>
      </c>
      <c r="I25" s="8">
        <f>SUM(F25*H25)</f>
        <v>0</v>
      </c>
    </row>
    <row r="26" spans="1:9" ht="13.7" customHeight="1" x14ac:dyDescent="0.2">
      <c r="A26" s="11">
        <v>20</v>
      </c>
      <c r="B26" s="42" t="s">
        <v>118</v>
      </c>
      <c r="C26" s="10"/>
      <c r="D26" s="28" t="s">
        <v>37</v>
      </c>
      <c r="E26" s="2" t="s">
        <v>38</v>
      </c>
      <c r="F26" s="5">
        <v>24</v>
      </c>
      <c r="G26" s="6" t="s">
        <v>8</v>
      </c>
      <c r="H26" s="47">
        <v>0</v>
      </c>
      <c r="I26" s="4">
        <f>SUM(F26*H26)</f>
        <v>0</v>
      </c>
    </row>
    <row r="27" spans="1:9" ht="13.7" customHeight="1" x14ac:dyDescent="0.2">
      <c r="A27" s="11">
        <v>21</v>
      </c>
      <c r="B27" s="42" t="s">
        <v>118</v>
      </c>
      <c r="C27" s="10"/>
      <c r="D27" s="28" t="s">
        <v>39</v>
      </c>
      <c r="E27" s="2" t="s">
        <v>40</v>
      </c>
      <c r="F27" s="5">
        <v>48</v>
      </c>
      <c r="G27" s="6" t="s">
        <v>8</v>
      </c>
      <c r="H27" s="47">
        <v>0</v>
      </c>
      <c r="I27" s="4">
        <f>SUM(F27*H27)</f>
        <v>0</v>
      </c>
    </row>
    <row r="28" spans="1:9" ht="13.7" customHeight="1" thickBot="1" x14ac:dyDescent="0.25">
      <c r="A28" s="35">
        <v>22</v>
      </c>
      <c r="B28" s="43" t="s">
        <v>118</v>
      </c>
      <c r="C28" s="31"/>
      <c r="D28" s="29" t="s">
        <v>41</v>
      </c>
      <c r="E28" s="13" t="s">
        <v>42</v>
      </c>
      <c r="F28" s="14">
        <v>30</v>
      </c>
      <c r="G28" s="15" t="s">
        <v>8</v>
      </c>
      <c r="H28" s="48">
        <v>0</v>
      </c>
      <c r="I28" s="16">
        <f>SUM(F28*H28)</f>
        <v>0</v>
      </c>
    </row>
    <row r="29" spans="1:9" ht="16.5" thickBot="1" x14ac:dyDescent="0.3">
      <c r="A29" s="68" t="s">
        <v>113</v>
      </c>
      <c r="B29" s="69"/>
      <c r="C29" s="69"/>
      <c r="D29" s="69"/>
      <c r="E29" s="69"/>
      <c r="F29" s="69"/>
      <c r="G29" s="69"/>
      <c r="H29" s="70"/>
      <c r="I29" s="39">
        <f>SUM(I25:I28)</f>
        <v>0</v>
      </c>
    </row>
    <row r="30" spans="1:9" ht="16.5" thickBot="1" x14ac:dyDescent="0.3">
      <c r="A30" s="67" t="s">
        <v>43</v>
      </c>
      <c r="B30" s="56"/>
      <c r="C30" s="56"/>
      <c r="D30" s="56"/>
      <c r="E30" s="56"/>
      <c r="F30" s="56"/>
      <c r="G30" s="56"/>
      <c r="H30" s="56"/>
      <c r="I30" s="57"/>
    </row>
    <row r="31" spans="1:9" ht="13.7" customHeight="1" x14ac:dyDescent="0.2">
      <c r="A31" s="45">
        <v>23</v>
      </c>
      <c r="B31" s="42" t="s">
        <v>118</v>
      </c>
      <c r="C31" s="32"/>
      <c r="D31" s="30" t="s">
        <v>44</v>
      </c>
      <c r="E31" s="24" t="s">
        <v>45</v>
      </c>
      <c r="F31" s="21">
        <v>4</v>
      </c>
      <c r="G31" s="22" t="s">
        <v>8</v>
      </c>
      <c r="H31" s="46">
        <v>0</v>
      </c>
      <c r="I31" s="8">
        <f t="shared" ref="I31:I47" si="2">SUM(F31*H31)</f>
        <v>0</v>
      </c>
    </row>
    <row r="32" spans="1:9" ht="13.7" customHeight="1" x14ac:dyDescent="0.2">
      <c r="A32" s="11">
        <v>24</v>
      </c>
      <c r="B32" s="42" t="s">
        <v>118</v>
      </c>
      <c r="C32" s="10"/>
      <c r="D32" s="28" t="s">
        <v>46</v>
      </c>
      <c r="E32" s="3" t="s">
        <v>47</v>
      </c>
      <c r="F32" s="5">
        <v>2</v>
      </c>
      <c r="G32" s="6" t="s">
        <v>8</v>
      </c>
      <c r="H32" s="47">
        <v>0</v>
      </c>
      <c r="I32" s="4">
        <f t="shared" si="2"/>
        <v>0</v>
      </c>
    </row>
    <row r="33" spans="1:9" ht="13.7" customHeight="1" x14ac:dyDescent="0.2">
      <c r="A33" s="11">
        <v>25</v>
      </c>
      <c r="B33" s="42" t="s">
        <v>118</v>
      </c>
      <c r="C33" s="10"/>
      <c r="D33" s="28" t="s">
        <v>48</v>
      </c>
      <c r="E33" s="3" t="s">
        <v>49</v>
      </c>
      <c r="F33" s="5">
        <v>4</v>
      </c>
      <c r="G33" s="6" t="s">
        <v>8</v>
      </c>
      <c r="H33" s="47">
        <v>0</v>
      </c>
      <c r="I33" s="4">
        <f t="shared" si="2"/>
        <v>0</v>
      </c>
    </row>
    <row r="34" spans="1:9" ht="13.7" customHeight="1" x14ac:dyDescent="0.2">
      <c r="A34" s="11">
        <v>26</v>
      </c>
      <c r="B34" s="42" t="s">
        <v>118</v>
      </c>
      <c r="C34" s="10"/>
      <c r="D34" s="28" t="s">
        <v>50</v>
      </c>
      <c r="E34" s="2" t="s">
        <v>51</v>
      </c>
      <c r="F34" s="5">
        <v>18</v>
      </c>
      <c r="G34" s="6" t="s">
        <v>8</v>
      </c>
      <c r="H34" s="47">
        <v>0</v>
      </c>
      <c r="I34" s="4">
        <f t="shared" si="2"/>
        <v>0</v>
      </c>
    </row>
    <row r="35" spans="1:9" ht="13.7" customHeight="1" x14ac:dyDescent="0.2">
      <c r="A35" s="11">
        <v>27</v>
      </c>
      <c r="B35" s="42" t="s">
        <v>118</v>
      </c>
      <c r="C35" s="10"/>
      <c r="D35" s="28" t="s">
        <v>52</v>
      </c>
      <c r="E35" s="7" t="s">
        <v>53</v>
      </c>
      <c r="F35" s="5">
        <v>18</v>
      </c>
      <c r="G35" s="6" t="s">
        <v>8</v>
      </c>
      <c r="H35" s="47">
        <v>0</v>
      </c>
      <c r="I35" s="4">
        <f t="shared" si="2"/>
        <v>0</v>
      </c>
    </row>
    <row r="36" spans="1:9" ht="13.7" customHeight="1" x14ac:dyDescent="0.2">
      <c r="A36" s="11">
        <v>28</v>
      </c>
      <c r="B36" s="42" t="s">
        <v>118</v>
      </c>
      <c r="C36" s="10"/>
      <c r="D36" s="28" t="s">
        <v>54</v>
      </c>
      <c r="E36" s="7" t="s">
        <v>55</v>
      </c>
      <c r="F36" s="5">
        <v>11</v>
      </c>
      <c r="G36" s="6" t="s">
        <v>8</v>
      </c>
      <c r="H36" s="47">
        <v>0</v>
      </c>
      <c r="I36" s="4">
        <f t="shared" si="2"/>
        <v>0</v>
      </c>
    </row>
    <row r="37" spans="1:9" ht="13.7" customHeight="1" x14ac:dyDescent="0.2">
      <c r="A37" s="11">
        <v>29</v>
      </c>
      <c r="B37" s="42" t="s">
        <v>118</v>
      </c>
      <c r="C37" s="10"/>
      <c r="D37" s="28" t="s">
        <v>56</v>
      </c>
      <c r="E37" s="7" t="s">
        <v>57</v>
      </c>
      <c r="F37" s="5">
        <v>58</v>
      </c>
      <c r="G37" s="6" t="s">
        <v>8</v>
      </c>
      <c r="H37" s="47">
        <v>0</v>
      </c>
      <c r="I37" s="4">
        <f t="shared" si="2"/>
        <v>0</v>
      </c>
    </row>
    <row r="38" spans="1:9" ht="13.7" customHeight="1" x14ac:dyDescent="0.2">
      <c r="A38" s="11">
        <v>30</v>
      </c>
      <c r="B38" s="42" t="s">
        <v>118</v>
      </c>
      <c r="C38" s="10"/>
      <c r="D38" s="28" t="s">
        <v>58</v>
      </c>
      <c r="E38" s="7" t="s">
        <v>59</v>
      </c>
      <c r="F38" s="5">
        <v>5</v>
      </c>
      <c r="G38" s="6" t="s">
        <v>8</v>
      </c>
      <c r="H38" s="47">
        <v>0</v>
      </c>
      <c r="I38" s="4">
        <f t="shared" si="2"/>
        <v>0</v>
      </c>
    </row>
    <row r="39" spans="1:9" ht="13.7" customHeight="1" x14ac:dyDescent="0.2">
      <c r="A39" s="11">
        <v>31</v>
      </c>
      <c r="B39" s="42" t="s">
        <v>118</v>
      </c>
      <c r="C39" s="10"/>
      <c r="D39" s="28" t="s">
        <v>60</v>
      </c>
      <c r="E39" s="2" t="s">
        <v>61</v>
      </c>
      <c r="F39" s="5">
        <v>5</v>
      </c>
      <c r="G39" s="6" t="s">
        <v>8</v>
      </c>
      <c r="H39" s="47">
        <v>0</v>
      </c>
      <c r="I39" s="4">
        <f t="shared" si="2"/>
        <v>0</v>
      </c>
    </row>
    <row r="40" spans="1:9" ht="13.7" customHeight="1" x14ac:dyDescent="0.2">
      <c r="A40" s="11">
        <v>32</v>
      </c>
      <c r="B40" s="42" t="s">
        <v>118</v>
      </c>
      <c r="C40" s="10"/>
      <c r="D40" s="28" t="s">
        <v>11</v>
      </c>
      <c r="E40" s="2" t="s">
        <v>62</v>
      </c>
      <c r="F40" s="5">
        <v>2</v>
      </c>
      <c r="G40" s="6" t="s">
        <v>8</v>
      </c>
      <c r="H40" s="47">
        <v>0</v>
      </c>
      <c r="I40" s="4">
        <f t="shared" si="2"/>
        <v>0</v>
      </c>
    </row>
    <row r="41" spans="1:9" ht="13.7" customHeight="1" x14ac:dyDescent="0.2">
      <c r="A41" s="11">
        <v>33</v>
      </c>
      <c r="B41" s="42" t="s">
        <v>118</v>
      </c>
      <c r="C41" s="10"/>
      <c r="D41" s="28" t="s">
        <v>11</v>
      </c>
      <c r="E41" s="2" t="s">
        <v>63</v>
      </c>
      <c r="F41" s="5">
        <v>2</v>
      </c>
      <c r="G41" s="6" t="s">
        <v>8</v>
      </c>
      <c r="H41" s="47">
        <v>0</v>
      </c>
      <c r="I41" s="4">
        <f t="shared" si="2"/>
        <v>0</v>
      </c>
    </row>
    <row r="42" spans="1:9" ht="13.7" customHeight="1" x14ac:dyDescent="0.2">
      <c r="A42" s="11">
        <v>34</v>
      </c>
      <c r="B42" s="42" t="s">
        <v>118</v>
      </c>
      <c r="C42" s="10"/>
      <c r="D42" s="28" t="s">
        <v>11</v>
      </c>
      <c r="E42" s="2" t="s">
        <v>64</v>
      </c>
      <c r="F42" s="5">
        <v>1</v>
      </c>
      <c r="G42" s="6" t="s">
        <v>8</v>
      </c>
      <c r="H42" s="47">
        <v>0</v>
      </c>
      <c r="I42" s="4">
        <f t="shared" si="2"/>
        <v>0</v>
      </c>
    </row>
    <row r="43" spans="1:9" ht="13.7" customHeight="1" x14ac:dyDescent="0.2">
      <c r="A43" s="11">
        <v>35</v>
      </c>
      <c r="B43" s="42" t="s">
        <v>118</v>
      </c>
      <c r="C43" s="10"/>
      <c r="D43" s="28" t="s">
        <v>11</v>
      </c>
      <c r="E43" s="2" t="s">
        <v>65</v>
      </c>
      <c r="F43" s="5">
        <v>1</v>
      </c>
      <c r="G43" s="6" t="s">
        <v>8</v>
      </c>
      <c r="H43" s="47">
        <v>0</v>
      </c>
      <c r="I43" s="4">
        <f t="shared" si="2"/>
        <v>0</v>
      </c>
    </row>
    <row r="44" spans="1:9" ht="13.7" customHeight="1" x14ac:dyDescent="0.2">
      <c r="A44" s="11">
        <v>36</v>
      </c>
      <c r="B44" s="42" t="s">
        <v>118</v>
      </c>
      <c r="C44" s="10"/>
      <c r="D44" s="28" t="s">
        <v>11</v>
      </c>
      <c r="E44" s="2" t="s">
        <v>66</v>
      </c>
      <c r="F44" s="5">
        <v>1</v>
      </c>
      <c r="G44" s="6" t="s">
        <v>8</v>
      </c>
      <c r="H44" s="47">
        <v>0</v>
      </c>
      <c r="I44" s="4">
        <f t="shared" si="2"/>
        <v>0</v>
      </c>
    </row>
    <row r="45" spans="1:9" ht="13.7" customHeight="1" x14ac:dyDescent="0.2">
      <c r="A45" s="11">
        <v>37</v>
      </c>
      <c r="B45" s="42" t="s">
        <v>118</v>
      </c>
      <c r="C45" s="10"/>
      <c r="D45" s="28" t="s">
        <v>11</v>
      </c>
      <c r="E45" s="2" t="s">
        <v>67</v>
      </c>
      <c r="F45" s="5">
        <v>1</v>
      </c>
      <c r="G45" s="6" t="s">
        <v>8</v>
      </c>
      <c r="H45" s="47">
        <v>0</v>
      </c>
      <c r="I45" s="4">
        <f t="shared" si="2"/>
        <v>0</v>
      </c>
    </row>
    <row r="46" spans="1:9" ht="13.7" customHeight="1" x14ac:dyDescent="0.2">
      <c r="A46" s="11">
        <v>38</v>
      </c>
      <c r="B46" s="42" t="s">
        <v>118</v>
      </c>
      <c r="C46" s="10"/>
      <c r="D46" s="28" t="s">
        <v>11</v>
      </c>
      <c r="E46" s="2" t="s">
        <v>68</v>
      </c>
      <c r="F46" s="5">
        <v>1</v>
      </c>
      <c r="G46" s="6" t="s">
        <v>8</v>
      </c>
      <c r="H46" s="47">
        <v>0</v>
      </c>
      <c r="I46" s="4">
        <f t="shared" si="2"/>
        <v>0</v>
      </c>
    </row>
    <row r="47" spans="1:9" ht="13.7" customHeight="1" thickBot="1" x14ac:dyDescent="0.25">
      <c r="A47" s="35">
        <v>39</v>
      </c>
      <c r="B47" s="42" t="s">
        <v>118</v>
      </c>
      <c r="C47" s="31"/>
      <c r="D47" s="29" t="s">
        <v>11</v>
      </c>
      <c r="E47" s="13" t="s">
        <v>69</v>
      </c>
      <c r="F47" s="14">
        <v>1</v>
      </c>
      <c r="G47" s="15" t="s">
        <v>8</v>
      </c>
      <c r="H47" s="48">
        <v>0</v>
      </c>
      <c r="I47" s="16">
        <f t="shared" si="2"/>
        <v>0</v>
      </c>
    </row>
    <row r="48" spans="1:9" ht="16.5" thickBot="1" x14ac:dyDescent="0.3">
      <c r="A48" s="58" t="s">
        <v>113</v>
      </c>
      <c r="B48" s="59"/>
      <c r="C48" s="59"/>
      <c r="D48" s="59"/>
      <c r="E48" s="59"/>
      <c r="F48" s="59"/>
      <c r="G48" s="59"/>
      <c r="H48" s="60"/>
      <c r="I48" s="37">
        <f>SUM(I31:I47)</f>
        <v>0</v>
      </c>
    </row>
    <row r="49" spans="1:9" ht="16.7" customHeight="1" thickBot="1" x14ac:dyDescent="0.3">
      <c r="A49" s="67" t="s">
        <v>70</v>
      </c>
      <c r="B49" s="56"/>
      <c r="C49" s="56"/>
      <c r="D49" s="56"/>
      <c r="E49" s="56"/>
      <c r="F49" s="56"/>
      <c r="G49" s="56"/>
      <c r="H49" s="56"/>
      <c r="I49" s="57"/>
    </row>
    <row r="50" spans="1:9" ht="13.7" customHeight="1" x14ac:dyDescent="0.2">
      <c r="A50" s="45">
        <v>40</v>
      </c>
      <c r="B50" s="42" t="s">
        <v>118</v>
      </c>
      <c r="C50" s="32"/>
      <c r="D50" s="30" t="s">
        <v>44</v>
      </c>
      <c r="E50" s="24" t="s">
        <v>71</v>
      </c>
      <c r="F50" s="21">
        <v>4</v>
      </c>
      <c r="G50" s="22" t="s">
        <v>8</v>
      </c>
      <c r="H50" s="46">
        <v>0</v>
      </c>
      <c r="I50" s="8">
        <f t="shared" ref="I50:I66" si="3">SUM(F50*H50)</f>
        <v>0</v>
      </c>
    </row>
    <row r="51" spans="1:9" ht="13.7" customHeight="1" x14ac:dyDescent="0.2">
      <c r="A51" s="11">
        <v>41</v>
      </c>
      <c r="B51" s="42" t="s">
        <v>118</v>
      </c>
      <c r="C51" s="10"/>
      <c r="D51" s="28" t="s">
        <v>46</v>
      </c>
      <c r="E51" s="3" t="s">
        <v>47</v>
      </c>
      <c r="F51" s="5">
        <v>2</v>
      </c>
      <c r="G51" s="6" t="s">
        <v>8</v>
      </c>
      <c r="H51" s="47">
        <v>0</v>
      </c>
      <c r="I51" s="4">
        <f t="shared" si="3"/>
        <v>0</v>
      </c>
    </row>
    <row r="52" spans="1:9" ht="13.7" customHeight="1" x14ac:dyDescent="0.2">
      <c r="A52" s="11">
        <v>42</v>
      </c>
      <c r="B52" s="42" t="s">
        <v>118</v>
      </c>
      <c r="C52" s="10"/>
      <c r="D52" s="28" t="s">
        <v>48</v>
      </c>
      <c r="E52" s="3" t="s">
        <v>49</v>
      </c>
      <c r="F52" s="5">
        <v>4</v>
      </c>
      <c r="G52" s="6" t="s">
        <v>8</v>
      </c>
      <c r="H52" s="47">
        <v>0</v>
      </c>
      <c r="I52" s="4">
        <f t="shared" si="3"/>
        <v>0</v>
      </c>
    </row>
    <row r="53" spans="1:9" ht="13.7" customHeight="1" x14ac:dyDescent="0.2">
      <c r="A53" s="11">
        <v>43</v>
      </c>
      <c r="B53" s="42" t="s">
        <v>118</v>
      </c>
      <c r="C53" s="10"/>
      <c r="D53" s="28" t="s">
        <v>50</v>
      </c>
      <c r="E53" s="2" t="s">
        <v>51</v>
      </c>
      <c r="F53" s="5">
        <v>18</v>
      </c>
      <c r="G53" s="6" t="s">
        <v>8</v>
      </c>
      <c r="H53" s="47">
        <v>0</v>
      </c>
      <c r="I53" s="4">
        <f t="shared" si="3"/>
        <v>0</v>
      </c>
    </row>
    <row r="54" spans="1:9" ht="13.7" customHeight="1" x14ac:dyDescent="0.2">
      <c r="A54" s="11">
        <v>44</v>
      </c>
      <c r="B54" s="42" t="s">
        <v>118</v>
      </c>
      <c r="C54" s="10"/>
      <c r="D54" s="28" t="s">
        <v>52</v>
      </c>
      <c r="E54" s="7" t="s">
        <v>53</v>
      </c>
      <c r="F54" s="5">
        <v>18</v>
      </c>
      <c r="G54" s="6" t="s">
        <v>8</v>
      </c>
      <c r="H54" s="47">
        <v>0</v>
      </c>
      <c r="I54" s="4">
        <f t="shared" si="3"/>
        <v>0</v>
      </c>
    </row>
    <row r="55" spans="1:9" ht="13.7" customHeight="1" x14ac:dyDescent="0.2">
      <c r="A55" s="11">
        <v>45</v>
      </c>
      <c r="B55" s="42" t="s">
        <v>118</v>
      </c>
      <c r="C55" s="10"/>
      <c r="D55" s="28" t="s">
        <v>54</v>
      </c>
      <c r="E55" s="7" t="s">
        <v>55</v>
      </c>
      <c r="F55" s="5">
        <v>11</v>
      </c>
      <c r="G55" s="6" t="s">
        <v>8</v>
      </c>
      <c r="H55" s="47">
        <v>0</v>
      </c>
      <c r="I55" s="4">
        <f t="shared" si="3"/>
        <v>0</v>
      </c>
    </row>
    <row r="56" spans="1:9" ht="13.7" customHeight="1" x14ac:dyDescent="0.2">
      <c r="A56" s="11">
        <v>46</v>
      </c>
      <c r="B56" s="42" t="s">
        <v>118</v>
      </c>
      <c r="C56" s="10"/>
      <c r="D56" s="28" t="s">
        <v>56</v>
      </c>
      <c r="E56" s="7" t="s">
        <v>57</v>
      </c>
      <c r="F56" s="5">
        <v>58</v>
      </c>
      <c r="G56" s="6" t="s">
        <v>8</v>
      </c>
      <c r="H56" s="47">
        <v>0</v>
      </c>
      <c r="I56" s="4">
        <f t="shared" si="3"/>
        <v>0</v>
      </c>
    </row>
    <row r="57" spans="1:9" ht="13.7" customHeight="1" x14ac:dyDescent="0.2">
      <c r="A57" s="11">
        <v>47</v>
      </c>
      <c r="B57" s="42" t="s">
        <v>118</v>
      </c>
      <c r="C57" s="10"/>
      <c r="D57" s="28" t="s">
        <v>72</v>
      </c>
      <c r="E57" s="2" t="s">
        <v>73</v>
      </c>
      <c r="F57" s="5">
        <v>5</v>
      </c>
      <c r="G57" s="6" t="s">
        <v>8</v>
      </c>
      <c r="H57" s="47">
        <v>0</v>
      </c>
      <c r="I57" s="4">
        <f t="shared" si="3"/>
        <v>0</v>
      </c>
    </row>
    <row r="58" spans="1:9" ht="13.7" customHeight="1" x14ac:dyDescent="0.2">
      <c r="A58" s="11">
        <v>48</v>
      </c>
      <c r="B58" s="42" t="s">
        <v>118</v>
      </c>
      <c r="C58" s="10"/>
      <c r="D58" s="28" t="s">
        <v>74</v>
      </c>
      <c r="E58" s="2" t="s">
        <v>75</v>
      </c>
      <c r="F58" s="5">
        <v>5</v>
      </c>
      <c r="G58" s="6" t="s">
        <v>8</v>
      </c>
      <c r="H58" s="47">
        <v>0</v>
      </c>
      <c r="I58" s="4">
        <f t="shared" si="3"/>
        <v>0</v>
      </c>
    </row>
    <row r="59" spans="1:9" ht="13.7" customHeight="1" x14ac:dyDescent="0.2">
      <c r="A59" s="11">
        <v>49</v>
      </c>
      <c r="B59" s="42" t="s">
        <v>118</v>
      </c>
      <c r="C59" s="10"/>
      <c r="D59" s="28" t="s">
        <v>11</v>
      </c>
      <c r="E59" s="2" t="s">
        <v>76</v>
      </c>
      <c r="F59" s="5">
        <v>2</v>
      </c>
      <c r="G59" s="6" t="s">
        <v>8</v>
      </c>
      <c r="H59" s="47">
        <v>0</v>
      </c>
      <c r="I59" s="4">
        <f t="shared" si="3"/>
        <v>0</v>
      </c>
    </row>
    <row r="60" spans="1:9" ht="13.7" customHeight="1" x14ac:dyDescent="0.2">
      <c r="A60" s="11">
        <v>50</v>
      </c>
      <c r="B60" s="42" t="s">
        <v>118</v>
      </c>
      <c r="C60" s="10"/>
      <c r="D60" s="28" t="s">
        <v>11</v>
      </c>
      <c r="E60" s="2" t="s">
        <v>77</v>
      </c>
      <c r="F60" s="5">
        <v>2</v>
      </c>
      <c r="G60" s="6" t="s">
        <v>8</v>
      </c>
      <c r="H60" s="47">
        <v>0</v>
      </c>
      <c r="I60" s="4">
        <f t="shared" si="3"/>
        <v>0</v>
      </c>
    </row>
    <row r="61" spans="1:9" ht="13.7" customHeight="1" x14ac:dyDescent="0.2">
      <c r="A61" s="11">
        <v>51</v>
      </c>
      <c r="B61" s="42" t="s">
        <v>118</v>
      </c>
      <c r="C61" s="10"/>
      <c r="D61" s="28" t="s">
        <v>11</v>
      </c>
      <c r="E61" s="2" t="s">
        <v>78</v>
      </c>
      <c r="F61" s="5">
        <v>1</v>
      </c>
      <c r="G61" s="6" t="s">
        <v>8</v>
      </c>
      <c r="H61" s="47">
        <v>0</v>
      </c>
      <c r="I61" s="4">
        <f t="shared" si="3"/>
        <v>0</v>
      </c>
    </row>
    <row r="62" spans="1:9" ht="13.7" customHeight="1" x14ac:dyDescent="0.2">
      <c r="A62" s="11">
        <v>52</v>
      </c>
      <c r="B62" s="42" t="s">
        <v>118</v>
      </c>
      <c r="C62" s="10"/>
      <c r="D62" s="28" t="s">
        <v>11</v>
      </c>
      <c r="E62" s="2" t="s">
        <v>79</v>
      </c>
      <c r="F62" s="5">
        <v>1</v>
      </c>
      <c r="G62" s="6" t="s">
        <v>8</v>
      </c>
      <c r="H62" s="47">
        <v>0</v>
      </c>
      <c r="I62" s="4">
        <f t="shared" si="3"/>
        <v>0</v>
      </c>
    </row>
    <row r="63" spans="1:9" ht="13.7" customHeight="1" x14ac:dyDescent="0.2">
      <c r="A63" s="11">
        <v>53</v>
      </c>
      <c r="B63" s="42" t="s">
        <v>118</v>
      </c>
      <c r="C63" s="10"/>
      <c r="D63" s="28" t="s">
        <v>11</v>
      </c>
      <c r="E63" s="2" t="s">
        <v>80</v>
      </c>
      <c r="F63" s="5">
        <v>1</v>
      </c>
      <c r="G63" s="6" t="s">
        <v>8</v>
      </c>
      <c r="H63" s="47">
        <v>0</v>
      </c>
      <c r="I63" s="4">
        <f t="shared" si="3"/>
        <v>0</v>
      </c>
    </row>
    <row r="64" spans="1:9" ht="13.7" customHeight="1" x14ac:dyDescent="0.2">
      <c r="A64" s="11">
        <v>54</v>
      </c>
      <c r="B64" s="42" t="s">
        <v>118</v>
      </c>
      <c r="C64" s="10"/>
      <c r="D64" s="28" t="s">
        <v>11</v>
      </c>
      <c r="E64" s="2" t="s">
        <v>81</v>
      </c>
      <c r="F64" s="5">
        <v>1</v>
      </c>
      <c r="G64" s="6" t="s">
        <v>8</v>
      </c>
      <c r="H64" s="47">
        <v>0</v>
      </c>
      <c r="I64" s="4">
        <f t="shared" si="3"/>
        <v>0</v>
      </c>
    </row>
    <row r="65" spans="1:9" ht="13.7" customHeight="1" x14ac:dyDescent="0.2">
      <c r="A65" s="11">
        <v>55</v>
      </c>
      <c r="B65" s="42" t="s">
        <v>118</v>
      </c>
      <c r="C65" s="10"/>
      <c r="D65" s="28" t="s">
        <v>11</v>
      </c>
      <c r="E65" s="7" t="s">
        <v>82</v>
      </c>
      <c r="F65" s="5">
        <v>1</v>
      </c>
      <c r="G65" s="6" t="s">
        <v>8</v>
      </c>
      <c r="H65" s="47">
        <v>0</v>
      </c>
      <c r="I65" s="4">
        <f t="shared" si="3"/>
        <v>0</v>
      </c>
    </row>
    <row r="66" spans="1:9" ht="13.7" customHeight="1" thickBot="1" x14ac:dyDescent="0.25">
      <c r="A66" s="35">
        <v>56</v>
      </c>
      <c r="B66" s="42" t="s">
        <v>118</v>
      </c>
      <c r="C66" s="31"/>
      <c r="D66" s="29" t="s">
        <v>11</v>
      </c>
      <c r="E66" s="25" t="s">
        <v>83</v>
      </c>
      <c r="F66" s="14">
        <v>1</v>
      </c>
      <c r="G66" s="15" t="s">
        <v>8</v>
      </c>
      <c r="H66" s="48">
        <v>0</v>
      </c>
      <c r="I66" s="16">
        <f t="shared" si="3"/>
        <v>0</v>
      </c>
    </row>
    <row r="67" spans="1:9" ht="16.5" thickBot="1" x14ac:dyDescent="0.3">
      <c r="A67" s="58" t="s">
        <v>113</v>
      </c>
      <c r="B67" s="59"/>
      <c r="C67" s="59"/>
      <c r="D67" s="59"/>
      <c r="E67" s="59"/>
      <c r="F67" s="59"/>
      <c r="G67" s="59"/>
      <c r="H67" s="60"/>
      <c r="I67" s="38">
        <f>SUM(I50:I66)</f>
        <v>0</v>
      </c>
    </row>
    <row r="68" spans="1:9" ht="16.7" customHeight="1" thickBot="1" x14ac:dyDescent="0.3">
      <c r="A68" s="55" t="s">
        <v>84</v>
      </c>
      <c r="B68" s="74"/>
      <c r="C68" s="74"/>
      <c r="D68" s="74"/>
      <c r="E68" s="74"/>
      <c r="F68" s="74"/>
      <c r="G68" s="74"/>
      <c r="H68" s="74"/>
      <c r="I68" s="75"/>
    </row>
    <row r="69" spans="1:9" ht="13.7" customHeight="1" x14ac:dyDescent="0.2">
      <c r="A69" s="45">
        <v>57</v>
      </c>
      <c r="B69" s="42" t="s">
        <v>118</v>
      </c>
      <c r="C69" s="32"/>
      <c r="D69" s="30" t="s">
        <v>9</v>
      </c>
      <c r="E69" s="23" t="s">
        <v>85</v>
      </c>
      <c r="F69" s="21">
        <v>5</v>
      </c>
      <c r="G69" s="22" t="s">
        <v>8</v>
      </c>
      <c r="H69" s="46">
        <v>0</v>
      </c>
      <c r="I69" s="8"/>
    </row>
    <row r="70" spans="1:9" ht="13.7" customHeight="1" x14ac:dyDescent="0.2">
      <c r="A70" s="11">
        <v>58</v>
      </c>
      <c r="B70" s="42" t="s">
        <v>118</v>
      </c>
      <c r="C70" s="10"/>
      <c r="D70" s="28" t="s">
        <v>11</v>
      </c>
      <c r="E70" s="7" t="s">
        <v>86</v>
      </c>
      <c r="F70" s="5">
        <v>6</v>
      </c>
      <c r="G70" s="6" t="s">
        <v>8</v>
      </c>
      <c r="H70" s="47">
        <v>0</v>
      </c>
      <c r="I70" s="4">
        <f t="shared" ref="I70:I78" si="4">SUM(F70*H70)</f>
        <v>0</v>
      </c>
    </row>
    <row r="71" spans="1:9" ht="13.7" customHeight="1" x14ac:dyDescent="0.2">
      <c r="A71" s="11">
        <v>59</v>
      </c>
      <c r="B71" s="42" t="s">
        <v>118</v>
      </c>
      <c r="C71" s="10"/>
      <c r="D71" s="28" t="s">
        <v>11</v>
      </c>
      <c r="E71" s="7" t="s">
        <v>87</v>
      </c>
      <c r="F71" s="5">
        <v>6</v>
      </c>
      <c r="G71" s="6" t="s">
        <v>8</v>
      </c>
      <c r="H71" s="47">
        <v>0</v>
      </c>
      <c r="I71" s="4">
        <f t="shared" si="4"/>
        <v>0</v>
      </c>
    </row>
    <row r="72" spans="1:9" ht="13.7" customHeight="1" x14ac:dyDescent="0.2">
      <c r="A72" s="11">
        <v>60</v>
      </c>
      <c r="B72" s="42" t="s">
        <v>118</v>
      </c>
      <c r="C72" s="10"/>
      <c r="D72" s="28" t="s">
        <v>11</v>
      </c>
      <c r="E72" s="7" t="s">
        <v>88</v>
      </c>
      <c r="F72" s="5">
        <v>6</v>
      </c>
      <c r="G72" s="6" t="s">
        <v>8</v>
      </c>
      <c r="H72" s="47">
        <v>0</v>
      </c>
      <c r="I72" s="4">
        <f t="shared" si="4"/>
        <v>0</v>
      </c>
    </row>
    <row r="73" spans="1:9" ht="13.7" customHeight="1" x14ac:dyDescent="0.2">
      <c r="A73" s="11">
        <v>61</v>
      </c>
      <c r="B73" s="42" t="s">
        <v>118</v>
      </c>
      <c r="C73" s="10"/>
      <c r="D73" s="28" t="s">
        <v>11</v>
      </c>
      <c r="E73" s="7" t="s">
        <v>89</v>
      </c>
      <c r="F73" s="5">
        <v>4</v>
      </c>
      <c r="G73" s="6" t="s">
        <v>8</v>
      </c>
      <c r="H73" s="47">
        <v>0</v>
      </c>
      <c r="I73" s="4">
        <f t="shared" si="4"/>
        <v>0</v>
      </c>
    </row>
    <row r="74" spans="1:9" ht="13.7" customHeight="1" x14ac:dyDescent="0.2">
      <c r="A74" s="11">
        <v>62</v>
      </c>
      <c r="B74" s="42" t="s">
        <v>118</v>
      </c>
      <c r="C74" s="10"/>
      <c r="D74" s="28" t="s">
        <v>11</v>
      </c>
      <c r="E74" s="7" t="s">
        <v>90</v>
      </c>
      <c r="F74" s="5">
        <v>4</v>
      </c>
      <c r="G74" s="6" t="s">
        <v>8</v>
      </c>
      <c r="H74" s="47">
        <v>0</v>
      </c>
      <c r="I74" s="4">
        <f t="shared" si="4"/>
        <v>0</v>
      </c>
    </row>
    <row r="75" spans="1:9" ht="13.7" customHeight="1" x14ac:dyDescent="0.2">
      <c r="A75" s="11">
        <v>63</v>
      </c>
      <c r="B75" s="42" t="s">
        <v>118</v>
      </c>
      <c r="C75" s="10"/>
      <c r="D75" s="28" t="s">
        <v>31</v>
      </c>
      <c r="E75" s="7" t="s">
        <v>32</v>
      </c>
      <c r="F75" s="5">
        <v>32</v>
      </c>
      <c r="G75" s="6" t="s">
        <v>8</v>
      </c>
      <c r="H75" s="47">
        <v>0</v>
      </c>
      <c r="I75" s="4">
        <f t="shared" si="4"/>
        <v>0</v>
      </c>
    </row>
    <row r="76" spans="1:9" ht="13.7" customHeight="1" x14ac:dyDescent="0.2">
      <c r="A76" s="11">
        <v>64</v>
      </c>
      <c r="B76" s="42" t="s">
        <v>118</v>
      </c>
      <c r="C76" s="10"/>
      <c r="D76" s="28" t="s">
        <v>19</v>
      </c>
      <c r="E76" s="7" t="s">
        <v>20</v>
      </c>
      <c r="F76" s="5">
        <v>24</v>
      </c>
      <c r="G76" s="6" t="s">
        <v>8</v>
      </c>
      <c r="H76" s="47">
        <v>0</v>
      </c>
      <c r="I76" s="4">
        <f t="shared" si="4"/>
        <v>0</v>
      </c>
    </row>
    <row r="77" spans="1:9" ht="13.7" customHeight="1" x14ac:dyDescent="0.2">
      <c r="A77" s="11">
        <v>65</v>
      </c>
      <c r="B77" s="42" t="s">
        <v>118</v>
      </c>
      <c r="C77" s="10"/>
      <c r="D77" s="28" t="s">
        <v>21</v>
      </c>
      <c r="E77" s="7" t="s">
        <v>22</v>
      </c>
      <c r="F77" s="5">
        <v>56</v>
      </c>
      <c r="G77" s="6" t="s">
        <v>8</v>
      </c>
      <c r="H77" s="47">
        <v>0</v>
      </c>
      <c r="I77" s="4">
        <f t="shared" si="4"/>
        <v>0</v>
      </c>
    </row>
    <row r="78" spans="1:9" ht="13.7" customHeight="1" thickBot="1" x14ac:dyDescent="0.25">
      <c r="A78" s="35">
        <v>66</v>
      </c>
      <c r="B78" s="42" t="s">
        <v>118</v>
      </c>
      <c r="C78" s="31"/>
      <c r="D78" s="29" t="s">
        <v>23</v>
      </c>
      <c r="E78" s="13" t="s">
        <v>24</v>
      </c>
      <c r="F78" s="14">
        <v>12</v>
      </c>
      <c r="G78" s="15" t="s">
        <v>8</v>
      </c>
      <c r="H78" s="48">
        <v>0</v>
      </c>
      <c r="I78" s="16">
        <f t="shared" si="4"/>
        <v>0</v>
      </c>
    </row>
    <row r="79" spans="1:9" ht="16.5" thickBot="1" x14ac:dyDescent="0.3">
      <c r="A79" s="68" t="s">
        <v>113</v>
      </c>
      <c r="B79" s="69"/>
      <c r="C79" s="69"/>
      <c r="D79" s="69"/>
      <c r="E79" s="69"/>
      <c r="F79" s="69"/>
      <c r="G79" s="69"/>
      <c r="H79" s="70"/>
      <c r="I79" s="37">
        <f>SUM(I70:I78)</f>
        <v>0</v>
      </c>
    </row>
    <row r="80" spans="1:9" ht="16.7" customHeight="1" thickBot="1" x14ac:dyDescent="0.3">
      <c r="A80" s="71" t="s">
        <v>122</v>
      </c>
      <c r="B80" s="72"/>
      <c r="C80" s="72"/>
      <c r="D80" s="72"/>
      <c r="E80" s="72"/>
      <c r="F80" s="72"/>
      <c r="G80" s="72"/>
      <c r="H80" s="72"/>
      <c r="I80" s="73"/>
    </row>
    <row r="81" spans="1:9" ht="13.7" customHeight="1" x14ac:dyDescent="0.2">
      <c r="A81" s="45">
        <v>67</v>
      </c>
      <c r="B81" s="42" t="s">
        <v>118</v>
      </c>
      <c r="C81" s="32"/>
      <c r="D81" s="30" t="s">
        <v>9</v>
      </c>
      <c r="E81" s="23" t="s">
        <v>91</v>
      </c>
      <c r="F81" s="21">
        <v>12</v>
      </c>
      <c r="G81" s="22" t="s">
        <v>8</v>
      </c>
      <c r="H81" s="46">
        <v>0</v>
      </c>
      <c r="I81" s="8">
        <f t="shared" ref="I81:I89" si="5">SUM(F81*H81)</f>
        <v>0</v>
      </c>
    </row>
    <row r="82" spans="1:9" ht="13.7" customHeight="1" x14ac:dyDescent="0.2">
      <c r="A82" s="11">
        <v>68</v>
      </c>
      <c r="B82" s="42" t="s">
        <v>118</v>
      </c>
      <c r="C82" s="10"/>
      <c r="D82" s="28" t="s">
        <v>11</v>
      </c>
      <c r="E82" s="2" t="s">
        <v>92</v>
      </c>
      <c r="F82" s="5">
        <v>12</v>
      </c>
      <c r="G82" s="6" t="s">
        <v>8</v>
      </c>
      <c r="H82" s="47">
        <v>0</v>
      </c>
      <c r="I82" s="4">
        <f t="shared" si="5"/>
        <v>0</v>
      </c>
    </row>
    <row r="83" spans="1:9" ht="13.7" customHeight="1" x14ac:dyDescent="0.2">
      <c r="A83" s="11">
        <v>69</v>
      </c>
      <c r="B83" s="42" t="s">
        <v>118</v>
      </c>
      <c r="C83" s="10"/>
      <c r="D83" s="28" t="s">
        <v>9</v>
      </c>
      <c r="E83" s="7" t="s">
        <v>93</v>
      </c>
      <c r="F83" s="5">
        <v>12</v>
      </c>
      <c r="G83" s="6" t="s">
        <v>8</v>
      </c>
      <c r="H83" s="47">
        <v>0</v>
      </c>
      <c r="I83" s="4">
        <f t="shared" si="5"/>
        <v>0</v>
      </c>
    </row>
    <row r="84" spans="1:9" ht="13.7" customHeight="1" x14ac:dyDescent="0.2">
      <c r="A84" s="11">
        <v>70</v>
      </c>
      <c r="B84" s="42" t="s">
        <v>118</v>
      </c>
      <c r="C84" s="10"/>
      <c r="D84" s="28" t="s">
        <v>11</v>
      </c>
      <c r="E84" s="2" t="s">
        <v>94</v>
      </c>
      <c r="F84" s="5">
        <v>12</v>
      </c>
      <c r="G84" s="6" t="s">
        <v>8</v>
      </c>
      <c r="H84" s="47">
        <v>0</v>
      </c>
      <c r="I84" s="4">
        <f t="shared" si="5"/>
        <v>0</v>
      </c>
    </row>
    <row r="85" spans="1:9" ht="13.7" customHeight="1" x14ac:dyDescent="0.2">
      <c r="A85" s="11">
        <v>71</v>
      </c>
      <c r="B85" s="42" t="s">
        <v>118</v>
      </c>
      <c r="C85" s="10"/>
      <c r="D85" s="28" t="s">
        <v>9</v>
      </c>
      <c r="E85" s="7" t="s">
        <v>95</v>
      </c>
      <c r="F85" s="5">
        <v>1</v>
      </c>
      <c r="G85" s="6" t="s">
        <v>8</v>
      </c>
      <c r="H85" s="47">
        <v>0</v>
      </c>
      <c r="I85" s="4">
        <f t="shared" si="5"/>
        <v>0</v>
      </c>
    </row>
    <row r="86" spans="1:9" ht="13.7" customHeight="1" x14ac:dyDescent="0.2">
      <c r="A86" s="11">
        <v>72</v>
      </c>
      <c r="B86" s="42" t="s">
        <v>118</v>
      </c>
      <c r="C86" s="10"/>
      <c r="D86" s="28" t="s">
        <v>11</v>
      </c>
      <c r="E86" s="2" t="s">
        <v>96</v>
      </c>
      <c r="F86" s="5">
        <v>1</v>
      </c>
      <c r="G86" s="6" t="s">
        <v>8</v>
      </c>
      <c r="H86" s="47">
        <v>0</v>
      </c>
      <c r="I86" s="4">
        <f t="shared" si="5"/>
        <v>0</v>
      </c>
    </row>
    <row r="87" spans="1:9" ht="13.7" customHeight="1" x14ac:dyDescent="0.2">
      <c r="A87" s="11">
        <v>73</v>
      </c>
      <c r="B87" s="42" t="s">
        <v>118</v>
      </c>
      <c r="C87" s="10"/>
      <c r="D87" s="28" t="s">
        <v>9</v>
      </c>
      <c r="E87" s="7" t="s">
        <v>97</v>
      </c>
      <c r="F87" s="5">
        <v>32</v>
      </c>
      <c r="G87" s="6" t="s">
        <v>8</v>
      </c>
      <c r="H87" s="47">
        <v>0</v>
      </c>
      <c r="I87" s="4">
        <f t="shared" si="5"/>
        <v>0</v>
      </c>
    </row>
    <row r="88" spans="1:9" ht="13.7" customHeight="1" x14ac:dyDescent="0.2">
      <c r="A88" s="11">
        <v>74</v>
      </c>
      <c r="B88" s="42" t="s">
        <v>118</v>
      </c>
      <c r="C88" s="10"/>
      <c r="D88" s="28" t="s">
        <v>11</v>
      </c>
      <c r="E88" s="2" t="s">
        <v>98</v>
      </c>
      <c r="F88" s="5">
        <v>32</v>
      </c>
      <c r="G88" s="6" t="s">
        <v>8</v>
      </c>
      <c r="H88" s="47">
        <v>0</v>
      </c>
      <c r="I88" s="4">
        <f t="shared" si="5"/>
        <v>0</v>
      </c>
    </row>
    <row r="89" spans="1:9" ht="13.7" customHeight="1" x14ac:dyDescent="0.2">
      <c r="A89" s="11">
        <v>75</v>
      </c>
      <c r="B89" s="42" t="s">
        <v>118</v>
      </c>
      <c r="C89" s="10"/>
      <c r="D89" s="28" t="s">
        <v>9</v>
      </c>
      <c r="E89" s="7" t="s">
        <v>99</v>
      </c>
      <c r="F89" s="5">
        <v>8</v>
      </c>
      <c r="G89" s="6" t="s">
        <v>8</v>
      </c>
      <c r="H89" s="47">
        <v>0</v>
      </c>
      <c r="I89" s="4">
        <f t="shared" si="5"/>
        <v>0</v>
      </c>
    </row>
    <row r="90" spans="1:9" ht="13.7" customHeight="1" x14ac:dyDescent="0.2">
      <c r="A90" s="11">
        <v>76</v>
      </c>
      <c r="B90" s="42" t="s">
        <v>118</v>
      </c>
      <c r="C90" s="10"/>
      <c r="D90" s="28" t="s">
        <v>11</v>
      </c>
      <c r="E90" s="2" t="s">
        <v>100</v>
      </c>
      <c r="F90" s="5">
        <v>8</v>
      </c>
      <c r="G90" s="6" t="s">
        <v>8</v>
      </c>
      <c r="H90" s="47">
        <v>0</v>
      </c>
      <c r="I90" s="4">
        <f t="shared" ref="I90:I101" si="6">SUM(F90*H90)</f>
        <v>0</v>
      </c>
    </row>
    <row r="91" spans="1:9" ht="13.7" customHeight="1" x14ac:dyDescent="0.2">
      <c r="A91" s="11">
        <v>77</v>
      </c>
      <c r="B91" s="42" t="s">
        <v>118</v>
      </c>
      <c r="C91" s="10"/>
      <c r="D91" s="28" t="s">
        <v>9</v>
      </c>
      <c r="E91" s="7" t="s">
        <v>101</v>
      </c>
      <c r="F91" s="5">
        <v>6</v>
      </c>
      <c r="G91" s="6" t="s">
        <v>8</v>
      </c>
      <c r="H91" s="47">
        <v>0</v>
      </c>
      <c r="I91" s="4">
        <f t="shared" si="6"/>
        <v>0</v>
      </c>
    </row>
    <row r="92" spans="1:9" ht="13.7" customHeight="1" x14ac:dyDescent="0.2">
      <c r="A92" s="11">
        <v>78</v>
      </c>
      <c r="B92" s="42" t="s">
        <v>118</v>
      </c>
      <c r="C92" s="10"/>
      <c r="D92" s="28" t="s">
        <v>11</v>
      </c>
      <c r="E92" s="2" t="s">
        <v>102</v>
      </c>
      <c r="F92" s="5">
        <v>6</v>
      </c>
      <c r="G92" s="6" t="s">
        <v>8</v>
      </c>
      <c r="H92" s="47">
        <v>0</v>
      </c>
      <c r="I92" s="4">
        <f t="shared" si="6"/>
        <v>0</v>
      </c>
    </row>
    <row r="93" spans="1:9" ht="13.7" customHeight="1" x14ac:dyDescent="0.2">
      <c r="A93" s="11">
        <v>79</v>
      </c>
      <c r="B93" s="42" t="s">
        <v>118</v>
      </c>
      <c r="C93" s="10"/>
      <c r="D93" s="28" t="s">
        <v>9</v>
      </c>
      <c r="E93" s="2" t="s">
        <v>103</v>
      </c>
      <c r="F93" s="5">
        <v>13</v>
      </c>
      <c r="G93" s="6" t="s">
        <v>8</v>
      </c>
      <c r="H93" s="47">
        <v>0</v>
      </c>
      <c r="I93" s="4">
        <f t="shared" si="6"/>
        <v>0</v>
      </c>
    </row>
    <row r="94" spans="1:9" ht="13.7" customHeight="1" x14ac:dyDescent="0.2">
      <c r="A94" s="11">
        <v>80</v>
      </c>
      <c r="B94" s="42" t="s">
        <v>118</v>
      </c>
      <c r="C94" s="10"/>
      <c r="D94" s="28" t="s">
        <v>11</v>
      </c>
      <c r="E94" s="2" t="s">
        <v>104</v>
      </c>
      <c r="F94" s="5">
        <v>13</v>
      </c>
      <c r="G94" s="6" t="s">
        <v>8</v>
      </c>
      <c r="H94" s="47">
        <v>0</v>
      </c>
      <c r="I94" s="4">
        <f t="shared" si="6"/>
        <v>0</v>
      </c>
    </row>
    <row r="95" spans="1:9" ht="13.7" customHeight="1" x14ac:dyDescent="0.2">
      <c r="A95" s="11">
        <v>81</v>
      </c>
      <c r="B95" s="42" t="s">
        <v>118</v>
      </c>
      <c r="C95" s="10"/>
      <c r="D95" s="28" t="s">
        <v>9</v>
      </c>
      <c r="E95" s="2" t="s">
        <v>105</v>
      </c>
      <c r="F95" s="5">
        <v>1</v>
      </c>
      <c r="G95" s="6" t="s">
        <v>8</v>
      </c>
      <c r="H95" s="47">
        <v>0</v>
      </c>
      <c r="I95" s="4">
        <f t="shared" si="6"/>
        <v>0</v>
      </c>
    </row>
    <row r="96" spans="1:9" ht="13.7" customHeight="1" x14ac:dyDescent="0.2">
      <c r="A96" s="11">
        <v>82</v>
      </c>
      <c r="B96" s="42" t="s">
        <v>118</v>
      </c>
      <c r="C96" s="10"/>
      <c r="D96" s="28" t="s">
        <v>11</v>
      </c>
      <c r="E96" s="2" t="s">
        <v>106</v>
      </c>
      <c r="F96" s="5">
        <v>1</v>
      </c>
      <c r="G96" s="6" t="s">
        <v>8</v>
      </c>
      <c r="H96" s="47">
        <v>0</v>
      </c>
      <c r="I96" s="4">
        <f t="shared" si="6"/>
        <v>0</v>
      </c>
    </row>
    <row r="97" spans="1:9" ht="13.7" customHeight="1" x14ac:dyDescent="0.2">
      <c r="A97" s="11">
        <v>83</v>
      </c>
      <c r="B97" s="42" t="s">
        <v>118</v>
      </c>
      <c r="C97" s="10"/>
      <c r="D97" s="28" t="s">
        <v>9</v>
      </c>
      <c r="E97" s="2" t="s">
        <v>107</v>
      </c>
      <c r="F97" s="5">
        <v>6</v>
      </c>
      <c r="G97" s="6" t="s">
        <v>8</v>
      </c>
      <c r="H97" s="47">
        <v>0</v>
      </c>
      <c r="I97" s="4">
        <f t="shared" si="6"/>
        <v>0</v>
      </c>
    </row>
    <row r="98" spans="1:9" ht="13.7" customHeight="1" x14ac:dyDescent="0.2">
      <c r="A98" s="11">
        <v>84</v>
      </c>
      <c r="B98" s="42" t="s">
        <v>118</v>
      </c>
      <c r="C98" s="10"/>
      <c r="D98" s="28" t="s">
        <v>11</v>
      </c>
      <c r="E98" s="2" t="s">
        <v>108</v>
      </c>
      <c r="F98" s="5">
        <v>6</v>
      </c>
      <c r="G98" s="6" t="s">
        <v>8</v>
      </c>
      <c r="H98" s="47">
        <v>0</v>
      </c>
      <c r="I98" s="4">
        <f t="shared" si="6"/>
        <v>0</v>
      </c>
    </row>
    <row r="99" spans="1:9" ht="13.7" customHeight="1" x14ac:dyDescent="0.2">
      <c r="A99" s="11">
        <v>85</v>
      </c>
      <c r="B99" s="42" t="s">
        <v>118</v>
      </c>
      <c r="C99" s="10"/>
      <c r="D99" s="28" t="s">
        <v>19</v>
      </c>
      <c r="E99" s="7" t="s">
        <v>20</v>
      </c>
      <c r="F99" s="5">
        <v>378</v>
      </c>
      <c r="G99" s="6" t="s">
        <v>8</v>
      </c>
      <c r="H99" s="47">
        <v>0</v>
      </c>
      <c r="I99" s="4">
        <f t="shared" si="6"/>
        <v>0</v>
      </c>
    </row>
    <row r="100" spans="1:9" ht="13.7" customHeight="1" x14ac:dyDescent="0.2">
      <c r="A100" s="11">
        <v>86</v>
      </c>
      <c r="B100" s="42" t="s">
        <v>118</v>
      </c>
      <c r="C100" s="10"/>
      <c r="D100" s="28" t="s">
        <v>21</v>
      </c>
      <c r="E100" s="7" t="s">
        <v>22</v>
      </c>
      <c r="F100" s="5">
        <v>378</v>
      </c>
      <c r="G100" s="6" t="s">
        <v>8</v>
      </c>
      <c r="H100" s="47">
        <v>0</v>
      </c>
      <c r="I100" s="4">
        <f t="shared" si="6"/>
        <v>0</v>
      </c>
    </row>
    <row r="101" spans="1:9" ht="13.7" customHeight="1" thickBot="1" x14ac:dyDescent="0.25">
      <c r="A101" s="31">
        <v>87</v>
      </c>
      <c r="B101" s="42" t="s">
        <v>118</v>
      </c>
      <c r="C101" s="31"/>
      <c r="D101" s="29" t="s">
        <v>23</v>
      </c>
      <c r="E101" s="13" t="s">
        <v>24</v>
      </c>
      <c r="F101" s="14">
        <v>60</v>
      </c>
      <c r="G101" s="15" t="s">
        <v>8</v>
      </c>
      <c r="H101" s="48">
        <v>0</v>
      </c>
      <c r="I101" s="16">
        <f t="shared" si="6"/>
        <v>0</v>
      </c>
    </row>
    <row r="102" spans="1:9" ht="16.5" thickBot="1" x14ac:dyDescent="0.3">
      <c r="A102" s="68" t="s">
        <v>113</v>
      </c>
      <c r="B102" s="69"/>
      <c r="C102" s="69"/>
      <c r="D102" s="69"/>
      <c r="E102" s="69"/>
      <c r="F102" s="69"/>
      <c r="G102" s="69"/>
      <c r="H102" s="70"/>
      <c r="I102" s="39">
        <f>SUM(I81:I101)</f>
        <v>0</v>
      </c>
    </row>
    <row r="103" spans="1:9" ht="16.7" customHeight="1" thickBot="1" x14ac:dyDescent="0.3">
      <c r="A103" s="55" t="s">
        <v>123</v>
      </c>
      <c r="B103" s="56"/>
      <c r="C103" s="56"/>
      <c r="D103" s="56"/>
      <c r="E103" s="56"/>
      <c r="F103" s="56"/>
      <c r="G103" s="56"/>
      <c r="H103" s="56"/>
      <c r="I103" s="57"/>
    </row>
    <row r="104" spans="1:9" ht="13.7" customHeight="1" x14ac:dyDescent="0.2">
      <c r="A104" s="45">
        <v>88</v>
      </c>
      <c r="B104" s="42" t="s">
        <v>118</v>
      </c>
      <c r="C104" s="32"/>
      <c r="D104" s="30" t="s">
        <v>9</v>
      </c>
      <c r="E104" s="24" t="s">
        <v>13</v>
      </c>
      <c r="F104" s="21">
        <v>11</v>
      </c>
      <c r="G104" s="22" t="s">
        <v>8</v>
      </c>
      <c r="H104" s="46">
        <v>0</v>
      </c>
      <c r="I104" s="8">
        <f t="shared" ref="I104:I109" si="7">SUM(F104*H104)</f>
        <v>0</v>
      </c>
    </row>
    <row r="105" spans="1:9" ht="13.7" customHeight="1" x14ac:dyDescent="0.2">
      <c r="A105" s="11">
        <v>89</v>
      </c>
      <c r="B105" s="42" t="s">
        <v>118</v>
      </c>
      <c r="C105" s="10"/>
      <c r="D105" s="28" t="s">
        <v>11</v>
      </c>
      <c r="E105" s="2" t="s">
        <v>14</v>
      </c>
      <c r="F105" s="5">
        <v>11</v>
      </c>
      <c r="G105" s="6" t="s">
        <v>8</v>
      </c>
      <c r="H105" s="47">
        <v>0</v>
      </c>
      <c r="I105" s="4">
        <f t="shared" si="7"/>
        <v>0</v>
      </c>
    </row>
    <row r="106" spans="1:9" ht="13.7" customHeight="1" x14ac:dyDescent="0.2">
      <c r="A106" s="11">
        <v>90</v>
      </c>
      <c r="B106" s="42" t="s">
        <v>118</v>
      </c>
      <c r="C106" s="10"/>
      <c r="D106" s="28" t="s">
        <v>9</v>
      </c>
      <c r="E106" s="2" t="s">
        <v>109</v>
      </c>
      <c r="F106" s="5">
        <v>1</v>
      </c>
      <c r="G106" s="6" t="s">
        <v>8</v>
      </c>
      <c r="H106" s="47">
        <v>0</v>
      </c>
      <c r="I106" s="4">
        <f t="shared" si="7"/>
        <v>0</v>
      </c>
    </row>
    <row r="107" spans="1:9" ht="13.7" customHeight="1" x14ac:dyDescent="0.2">
      <c r="A107" s="11">
        <v>91</v>
      </c>
      <c r="B107" s="42" t="s">
        <v>118</v>
      </c>
      <c r="C107" s="10"/>
      <c r="D107" s="28" t="s">
        <v>11</v>
      </c>
      <c r="E107" s="2" t="s">
        <v>110</v>
      </c>
      <c r="F107" s="5">
        <v>1</v>
      </c>
      <c r="G107" s="6" t="s">
        <v>8</v>
      </c>
      <c r="H107" s="47">
        <v>0</v>
      </c>
      <c r="I107" s="4">
        <f t="shared" si="7"/>
        <v>0</v>
      </c>
    </row>
    <row r="108" spans="1:9" ht="13.7" customHeight="1" x14ac:dyDescent="0.2">
      <c r="A108" s="11">
        <v>92</v>
      </c>
      <c r="B108" s="42" t="s">
        <v>118</v>
      </c>
      <c r="C108" s="10"/>
      <c r="D108" s="28" t="s">
        <v>19</v>
      </c>
      <c r="E108" s="7" t="s">
        <v>20</v>
      </c>
      <c r="F108" s="5">
        <v>48</v>
      </c>
      <c r="G108" s="6" t="s">
        <v>8</v>
      </c>
      <c r="H108" s="47">
        <v>0</v>
      </c>
      <c r="I108" s="4">
        <f t="shared" si="7"/>
        <v>0</v>
      </c>
    </row>
    <row r="109" spans="1:9" ht="13.7" customHeight="1" thickBot="1" x14ac:dyDescent="0.25">
      <c r="A109" s="35">
        <v>93</v>
      </c>
      <c r="B109" s="42" t="s">
        <v>118</v>
      </c>
      <c r="C109" s="31"/>
      <c r="D109" s="29" t="s">
        <v>21</v>
      </c>
      <c r="E109" s="25" t="s">
        <v>22</v>
      </c>
      <c r="F109" s="14">
        <v>48</v>
      </c>
      <c r="G109" s="15" t="s">
        <v>8</v>
      </c>
      <c r="H109" s="48">
        <v>0</v>
      </c>
      <c r="I109" s="16">
        <f t="shared" si="7"/>
        <v>0</v>
      </c>
    </row>
    <row r="110" spans="1:9" ht="16.5" thickBot="1" x14ac:dyDescent="0.3">
      <c r="A110" s="58" t="s">
        <v>113</v>
      </c>
      <c r="B110" s="59"/>
      <c r="C110" s="59"/>
      <c r="D110" s="59"/>
      <c r="E110" s="59"/>
      <c r="F110" s="59"/>
      <c r="G110" s="59"/>
      <c r="H110" s="60"/>
      <c r="I110" s="37">
        <f>SUM(I104:I109)</f>
        <v>0</v>
      </c>
    </row>
    <row r="111" spans="1:9" ht="16.7" customHeight="1" thickBot="1" x14ac:dyDescent="0.3">
      <c r="A111" s="55" t="s">
        <v>121</v>
      </c>
      <c r="B111" s="56"/>
      <c r="C111" s="56"/>
      <c r="D111" s="56"/>
      <c r="E111" s="56"/>
      <c r="F111" s="56"/>
      <c r="G111" s="56"/>
      <c r="H111" s="56"/>
      <c r="I111" s="57"/>
    </row>
    <row r="112" spans="1:9" ht="13.7" customHeight="1" x14ac:dyDescent="0.2">
      <c r="A112" s="45">
        <v>94</v>
      </c>
      <c r="B112" s="42" t="s">
        <v>118</v>
      </c>
      <c r="C112" s="32"/>
      <c r="D112" s="30" t="s">
        <v>31</v>
      </c>
      <c r="E112" s="23" t="s">
        <v>32</v>
      </c>
      <c r="F112" s="21">
        <v>12</v>
      </c>
      <c r="G112" s="22" t="s">
        <v>8</v>
      </c>
      <c r="H112" s="46"/>
      <c r="I112" s="8">
        <f t="shared" ref="I112:I119" si="8">SUM(F112*H112)</f>
        <v>0</v>
      </c>
    </row>
    <row r="113" spans="1:9" ht="13.7" customHeight="1" x14ac:dyDescent="0.2">
      <c r="A113" s="11">
        <v>95</v>
      </c>
      <c r="B113" s="42" t="s">
        <v>118</v>
      </c>
      <c r="C113" s="10"/>
      <c r="D113" s="28" t="s">
        <v>19</v>
      </c>
      <c r="E113" s="7" t="s">
        <v>20</v>
      </c>
      <c r="F113" s="5">
        <v>12</v>
      </c>
      <c r="G113" s="6" t="s">
        <v>8</v>
      </c>
      <c r="H113" s="47">
        <v>0</v>
      </c>
      <c r="I113" s="4">
        <f t="shared" si="8"/>
        <v>0</v>
      </c>
    </row>
    <row r="114" spans="1:9" ht="13.7" customHeight="1" x14ac:dyDescent="0.2">
      <c r="A114" s="11">
        <v>96</v>
      </c>
      <c r="B114" s="42" t="s">
        <v>118</v>
      </c>
      <c r="C114" s="10"/>
      <c r="D114" s="28" t="s">
        <v>37</v>
      </c>
      <c r="E114" s="7" t="s">
        <v>38</v>
      </c>
      <c r="F114" s="5">
        <v>8</v>
      </c>
      <c r="G114" s="6" t="s">
        <v>8</v>
      </c>
      <c r="H114" s="47">
        <v>0</v>
      </c>
      <c r="I114" s="4">
        <f t="shared" si="8"/>
        <v>0</v>
      </c>
    </row>
    <row r="115" spans="1:9" ht="13.7" customHeight="1" x14ac:dyDescent="0.2">
      <c r="A115" s="11">
        <v>97</v>
      </c>
      <c r="B115" s="42" t="s">
        <v>118</v>
      </c>
      <c r="C115" s="10"/>
      <c r="D115" s="28" t="s">
        <v>39</v>
      </c>
      <c r="E115" s="7" t="s">
        <v>111</v>
      </c>
      <c r="F115" s="5">
        <v>8</v>
      </c>
      <c r="G115" s="6" t="s">
        <v>8</v>
      </c>
      <c r="H115" s="47">
        <v>0</v>
      </c>
      <c r="I115" s="4">
        <f t="shared" si="8"/>
        <v>0</v>
      </c>
    </row>
    <row r="116" spans="1:9" ht="13.7" customHeight="1" x14ac:dyDescent="0.2">
      <c r="A116" s="11">
        <v>98</v>
      </c>
      <c r="B116" s="42" t="s">
        <v>118</v>
      </c>
      <c r="C116" s="10"/>
      <c r="D116" s="28" t="s">
        <v>56</v>
      </c>
      <c r="E116" s="7" t="s">
        <v>57</v>
      </c>
      <c r="F116" s="5">
        <v>12</v>
      </c>
      <c r="G116" s="6" t="s">
        <v>8</v>
      </c>
      <c r="H116" s="47">
        <v>0</v>
      </c>
      <c r="I116" s="4">
        <f t="shared" si="8"/>
        <v>0</v>
      </c>
    </row>
    <row r="117" spans="1:9" ht="13.7" customHeight="1" x14ac:dyDescent="0.2">
      <c r="A117" s="11">
        <v>99</v>
      </c>
      <c r="B117" s="42" t="s">
        <v>118</v>
      </c>
      <c r="C117" s="10"/>
      <c r="D117" s="28" t="s">
        <v>54</v>
      </c>
      <c r="E117" s="7" t="s">
        <v>55</v>
      </c>
      <c r="F117" s="5">
        <v>2</v>
      </c>
      <c r="G117" s="6" t="s">
        <v>8</v>
      </c>
      <c r="H117" s="47">
        <v>0</v>
      </c>
      <c r="I117" s="4">
        <f t="shared" si="8"/>
        <v>0</v>
      </c>
    </row>
    <row r="118" spans="1:9" ht="13.7" customHeight="1" x14ac:dyDescent="0.2">
      <c r="A118" s="11">
        <v>100</v>
      </c>
      <c r="B118" s="42" t="s">
        <v>118</v>
      </c>
      <c r="C118" s="10"/>
      <c r="D118" s="28" t="s">
        <v>35</v>
      </c>
      <c r="E118" s="7" t="s">
        <v>36</v>
      </c>
      <c r="F118" s="5">
        <v>1</v>
      </c>
      <c r="G118" s="6" t="s">
        <v>8</v>
      </c>
      <c r="H118" s="47">
        <v>0</v>
      </c>
      <c r="I118" s="4">
        <f t="shared" si="8"/>
        <v>0</v>
      </c>
    </row>
    <row r="119" spans="1:9" ht="13.7" customHeight="1" thickBot="1" x14ac:dyDescent="0.25">
      <c r="A119" s="35">
        <v>101</v>
      </c>
      <c r="B119" s="42" t="s">
        <v>118</v>
      </c>
      <c r="C119" s="31"/>
      <c r="D119" s="29" t="s">
        <v>52</v>
      </c>
      <c r="E119" s="25" t="s">
        <v>53</v>
      </c>
      <c r="F119" s="14">
        <v>8</v>
      </c>
      <c r="G119" s="15" t="s">
        <v>8</v>
      </c>
      <c r="H119" s="48">
        <v>0</v>
      </c>
      <c r="I119" s="16">
        <f t="shared" si="8"/>
        <v>0</v>
      </c>
    </row>
    <row r="120" spans="1:9" ht="16.5" thickBot="1" x14ac:dyDescent="0.3">
      <c r="A120" s="58" t="s">
        <v>113</v>
      </c>
      <c r="B120" s="59"/>
      <c r="C120" s="59"/>
      <c r="D120" s="59"/>
      <c r="E120" s="59"/>
      <c r="F120" s="59"/>
      <c r="G120" s="59"/>
      <c r="H120" s="60"/>
      <c r="I120" s="37">
        <f>SUM(I112:I119)</f>
        <v>0</v>
      </c>
    </row>
    <row r="121" spans="1:9" ht="16.5" customHeight="1" thickBot="1" x14ac:dyDescent="0.25">
      <c r="A121" s="52" t="s">
        <v>124</v>
      </c>
      <c r="B121" s="53"/>
      <c r="C121" s="53"/>
      <c r="D121" s="53"/>
      <c r="E121" s="53"/>
      <c r="F121" s="53"/>
      <c r="G121" s="53"/>
      <c r="H121" s="53"/>
      <c r="I121" s="54"/>
    </row>
    <row r="122" spans="1:9" ht="13.7" customHeight="1" thickBot="1" x14ac:dyDescent="0.25">
      <c r="A122" s="35">
        <v>105</v>
      </c>
      <c r="B122" s="41" t="s">
        <v>118</v>
      </c>
      <c r="C122" s="31"/>
      <c r="D122" s="29" t="s">
        <v>112</v>
      </c>
      <c r="E122" s="49" t="s">
        <v>120</v>
      </c>
      <c r="F122" s="14">
        <v>1</v>
      </c>
      <c r="G122" s="15" t="s">
        <v>8</v>
      </c>
      <c r="H122" s="16">
        <v>0</v>
      </c>
      <c r="I122" s="16">
        <f>SUM(F122*H122)</f>
        <v>0</v>
      </c>
    </row>
    <row r="123" spans="1:9" ht="16.5" customHeight="1" thickBot="1" x14ac:dyDescent="0.3">
      <c r="A123" s="61" t="s">
        <v>113</v>
      </c>
      <c r="B123" s="62"/>
      <c r="C123" s="62"/>
      <c r="D123" s="62"/>
      <c r="E123" s="62"/>
      <c r="F123" s="62"/>
      <c r="G123" s="62"/>
      <c r="H123" s="63"/>
      <c r="I123" s="40">
        <f>SUM(I122:I122)</f>
        <v>0</v>
      </c>
    </row>
    <row r="124" spans="1:9" ht="18.75" customHeight="1" thickBot="1" x14ac:dyDescent="0.25">
      <c r="A124" s="64" t="s">
        <v>119</v>
      </c>
      <c r="B124" s="65"/>
      <c r="C124" s="65"/>
      <c r="D124" s="65"/>
      <c r="E124" s="65"/>
      <c r="F124" s="65"/>
      <c r="G124" s="65"/>
      <c r="H124" s="66"/>
      <c r="I124" s="44">
        <f>SUM(I123,I120,I110,I102,I79,I67,I48,I29,I23,I14)</f>
        <v>0</v>
      </c>
    </row>
    <row r="127" spans="1:9" ht="12.75" customHeight="1" x14ac:dyDescent="0.2">
      <c r="A127" s="1" t="s">
        <v>127</v>
      </c>
      <c r="B127" s="1" t="s">
        <v>125</v>
      </c>
    </row>
    <row r="128" spans="1:9" ht="12.75" customHeight="1" x14ac:dyDescent="0.2">
      <c r="A128" s="1" t="s">
        <v>126</v>
      </c>
    </row>
  </sheetData>
  <mergeCells count="21">
    <mergeCell ref="A123:H123"/>
    <mergeCell ref="A124:H124"/>
    <mergeCell ref="A14:H14"/>
    <mergeCell ref="A2:I2"/>
    <mergeCell ref="A15:I15"/>
    <mergeCell ref="A23:H23"/>
    <mergeCell ref="A48:H48"/>
    <mergeCell ref="A67:H67"/>
    <mergeCell ref="A80:I80"/>
    <mergeCell ref="A79:H79"/>
    <mergeCell ref="A68:I68"/>
    <mergeCell ref="A102:H102"/>
    <mergeCell ref="A49:I49"/>
    <mergeCell ref="A30:I30"/>
    <mergeCell ref="A24:I24"/>
    <mergeCell ref="A29:H29"/>
    <mergeCell ref="A121:I121"/>
    <mergeCell ref="A103:I103"/>
    <mergeCell ref="A110:H110"/>
    <mergeCell ref="A111:I111"/>
    <mergeCell ref="A120:H120"/>
  </mergeCells>
  <pageMargins left="0.75" right="0.75" top="1" bottom="1" header="0.5" footer="0.5"/>
  <pageSetup orientation="landscape"/>
  <headerFooter>
    <oddFooter>&amp;C&amp;"Helvetica Neue,Regular"&amp;12&amp;K000000&amp;P</oddFooter>
  </headerFooter>
  <drawing r:id="rId1"/>
</worksheet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QUOTE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Decker, Nikki M CIV DISA (USA)</dc:creator>
  <cp:lastModifiedBy>Kraft, Mark E CIV DISA PSD (USA)</cp:lastModifiedBy>
  <dcterms:created xsi:type="dcterms:W3CDTF">2026-02-23T06:43:15Z</dcterms:created>
  <dcterms:modified xsi:type="dcterms:W3CDTF">2026-04-16T13:22:37Z</dcterms:modified>
</cp:coreProperties>
</file>