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300081459U\Desktop\JBUS 2.0\C. Sol\Com-Synopsis &amp; Sol 79\"/>
    </mc:Choice>
  </mc:AlternateContent>
  <xr:revisionPtr revIDLastSave="0" documentId="13_ncr:1_{924A6E1F-0AAF-4028-A2D4-729922FC1EF0}" xr6:coauthVersionLast="47" xr6:coauthVersionMax="47" xr10:uidLastSave="{00000000-0000-0000-0000-000000000000}"/>
  <bookViews>
    <workbookView xWindow="30375" yWindow="1545" windowWidth="21600" windowHeight="11505" tabRatio="702" xr2:uid="{00000000-000D-0000-FFFF-FFFF00000000}"/>
  </bookViews>
  <sheets>
    <sheet name="Exhibit A" sheetId="59" r:id="rId1"/>
    <sheet name="Exhibit B" sheetId="66" r:id="rId2"/>
    <sheet name="Exhibit C" sheetId="67" r:id="rId3"/>
    <sheet name="Exhibit D" sheetId="68" r:id="rId4"/>
    <sheet name="Exhibit E" sheetId="69" r:id="rId5"/>
  </sheets>
  <definedNames>
    <definedName name="A4AV5percent" localSheetId="0">'Exhibit A'!#REF!</definedName>
    <definedName name="A4AV5percent" localSheetId="1">'Exhibit B'!#REF!</definedName>
    <definedName name="A4AV5percent" localSheetId="2">'Exhibit C'!#REF!</definedName>
    <definedName name="A4AV5percent" localSheetId="3">'Exhibit D'!#REF!</definedName>
    <definedName name="A4AV5percent" localSheetId="4">'Exhibit E'!#REF!</definedName>
    <definedName name="A4AV5percent">#REF!</definedName>
    <definedName name="asd" localSheetId="0">#REF!</definedName>
    <definedName name="asd" localSheetId="1">#REF!</definedName>
    <definedName name="asd" localSheetId="2">#REF!</definedName>
    <definedName name="asd" localSheetId="3">#REF!</definedName>
    <definedName name="asd" localSheetId="4">#REF!</definedName>
    <definedName name="asd">#REF!</definedName>
    <definedName name="asdf">#REF!</definedName>
    <definedName name="asdfasdf">#REF!</definedName>
    <definedName name="cadadasd">#REF!</definedName>
    <definedName name="camop">#REF!</definedName>
    <definedName name="campp">#REF!</definedName>
    <definedName name="cf">#REF!</definedName>
    <definedName name="dasfasdfad">#REF!</definedName>
    <definedName name="data">#REF!</definedName>
    <definedName name="dfadfa" localSheetId="0">#REF!</definedName>
    <definedName name="dfadfa" localSheetId="1">#REF!</definedName>
    <definedName name="dfadfa" localSheetId="2">#REF!</definedName>
    <definedName name="dfadfa" localSheetId="3">#REF!</definedName>
    <definedName name="dfadfa" localSheetId="4">#REF!</definedName>
    <definedName name="dfadfa">#REF!</definedName>
    <definedName name="dsfadsfadf" localSheetId="0">#REF!</definedName>
    <definedName name="dsfadsfadf" localSheetId="1">#REF!</definedName>
    <definedName name="dsfadsfadf" localSheetId="2">#REF!</definedName>
    <definedName name="dsfadsfadf" localSheetId="3">#REF!</definedName>
    <definedName name="dsfadsfadf" localSheetId="4">#REF!</definedName>
    <definedName name="dsfadsfadf">#REF!</definedName>
    <definedName name="edc" localSheetId="0">#REF!</definedName>
    <definedName name="edc" localSheetId="1">#REF!</definedName>
    <definedName name="edc" localSheetId="2">#REF!</definedName>
    <definedName name="edc" localSheetId="3">#REF!</definedName>
    <definedName name="edc" localSheetId="4">#REF!</definedName>
    <definedName name="edc">#REF!</definedName>
    <definedName name="ewq" localSheetId="0">#REF!</definedName>
    <definedName name="ewq" localSheetId="1">#REF!</definedName>
    <definedName name="ewq" localSheetId="2">#REF!</definedName>
    <definedName name="ewq" localSheetId="3">#REF!</definedName>
    <definedName name="ewq" localSheetId="4">#REF!</definedName>
    <definedName name="ewq">#REF!</definedName>
    <definedName name="Exhibit" localSheetId="0">#REF!</definedName>
    <definedName name="Exhibit" localSheetId="1">#REF!</definedName>
    <definedName name="Exhibit" localSheetId="2">#REF!</definedName>
    <definedName name="Exhibit" localSheetId="3">#REF!</definedName>
    <definedName name="Exhibit" localSheetId="4">#REF!</definedName>
    <definedName name="Exhibit">#REF!</definedName>
    <definedName name="Exhibitc" localSheetId="0">'Exhibit A'!#REF!</definedName>
    <definedName name="Exhibitc" localSheetId="1">'Exhibit B'!#REF!</definedName>
    <definedName name="Exhibitc" localSheetId="2">'Exhibit C'!#REF!</definedName>
    <definedName name="Exhibitc" localSheetId="3">'Exhibit D'!#REF!</definedName>
    <definedName name="Exhibitc" localSheetId="4">'Exhibit E'!#REF!</definedName>
    <definedName name="Exhibitc">#REF!</definedName>
    <definedName name="fasdf">#REF!</definedName>
    <definedName name="fd" localSheetId="0">#REF!</definedName>
    <definedName name="fd" localSheetId="1">#REF!</definedName>
    <definedName name="fd" localSheetId="2">#REF!</definedName>
    <definedName name="fd" localSheetId="3">#REF!</definedName>
    <definedName name="fd" localSheetId="4">#REF!</definedName>
    <definedName name="fd">#REF!</definedName>
    <definedName name="fda" localSheetId="0">#REF!</definedName>
    <definedName name="fda" localSheetId="1">#REF!</definedName>
    <definedName name="fda" localSheetId="2">#REF!</definedName>
    <definedName name="fda" localSheetId="3">#REF!</definedName>
    <definedName name="fda" localSheetId="4">#REF!</definedName>
    <definedName name="fda">#REF!</definedName>
    <definedName name="fuji">#REF!</definedName>
    <definedName name="GCE" localSheetId="0">#REF!</definedName>
    <definedName name="GCE" localSheetId="1">#REF!</definedName>
    <definedName name="GCE" localSheetId="2">#REF!</definedName>
    <definedName name="GCE" localSheetId="3">#REF!</definedName>
    <definedName name="GCE" localSheetId="4">#REF!</definedName>
    <definedName name="GCE">#REF!</definedName>
    <definedName name="GFD" localSheetId="0">#REF!</definedName>
    <definedName name="GFD" localSheetId="1">#REF!</definedName>
    <definedName name="GFD" localSheetId="2">#REF!</definedName>
    <definedName name="GFD" localSheetId="3">#REF!</definedName>
    <definedName name="GFD" localSheetId="4">#REF!</definedName>
    <definedName name="GFD">#REF!</definedName>
    <definedName name="iwa">#REF!</definedName>
    <definedName name="iwaku">#REF!</definedName>
    <definedName name="iwakuni">#REF!</definedName>
    <definedName name="iwakunini">#REF!</definedName>
    <definedName name="iwat">#REF!</definedName>
    <definedName name="kank">#REF!</definedName>
    <definedName name="kanto" localSheetId="0">#REF!</definedName>
    <definedName name="kanto" localSheetId="1">#REF!</definedName>
    <definedName name="kanto" localSheetId="2">#REF!</definedName>
    <definedName name="kanto" localSheetId="3">#REF!</definedName>
    <definedName name="kanto" localSheetId="4">#REF!</definedName>
    <definedName name="kanto">#REF!</definedName>
    <definedName name="Kanto10percent" localSheetId="0">'Exhibit A'!#REF!</definedName>
    <definedName name="Kanto10percent" localSheetId="1">'Exhibit B'!#REF!</definedName>
    <definedName name="Kanto10percent" localSheetId="2">'Exhibit C'!#REF!</definedName>
    <definedName name="Kanto10percent" localSheetId="3">'Exhibit D'!#REF!</definedName>
    <definedName name="Kanto10percent" localSheetId="4">'Exhibit E'!#REF!</definedName>
    <definedName name="Kanto10percent">#REF!</definedName>
    <definedName name="Kanto23percent" localSheetId="0">'Exhibit A'!#REF!</definedName>
    <definedName name="Kanto23percent" localSheetId="1">'Exhibit B'!#REF!</definedName>
    <definedName name="Kanto23percent" localSheetId="2">'Exhibit C'!#REF!</definedName>
    <definedName name="Kanto23percent" localSheetId="3">'Exhibit D'!#REF!</definedName>
    <definedName name="Kanto23percent" localSheetId="4">'Exhibit E'!#REF!</definedName>
    <definedName name="Kanto23percent">#REF!</definedName>
    <definedName name="KantoAV5percent" localSheetId="0">'Exhibit A'!#REF!</definedName>
    <definedName name="KantoAV5percent" localSheetId="1">'Exhibit B'!#REF!</definedName>
    <definedName name="KantoAV5percent" localSheetId="2">'Exhibit C'!#REF!</definedName>
    <definedName name="KantoAV5percent" localSheetId="3">'Exhibit D'!#REF!</definedName>
    <definedName name="KantoAV5percent" localSheetId="4">'Exhibit E'!#REF!</definedName>
    <definedName name="KantoAV5percent">#REF!</definedName>
    <definedName name="KantoAverage" localSheetId="0">#REF!</definedName>
    <definedName name="KantoAverage" localSheetId="1">#REF!</definedName>
    <definedName name="KantoAverage" localSheetId="2">#REF!</definedName>
    <definedName name="KantoAverage" localSheetId="3">#REF!</definedName>
    <definedName name="KantoAverage" localSheetId="4">#REF!</definedName>
    <definedName name="KantoAverage">#REF!</definedName>
    <definedName name="KantoU" localSheetId="0">#REF!</definedName>
    <definedName name="KantoU" localSheetId="1">#REF!</definedName>
    <definedName name="KantoU" localSheetId="2">#REF!</definedName>
    <definedName name="KantoU" localSheetId="3">#REF!</definedName>
    <definedName name="KantoU" localSheetId="4">#REF!</definedName>
    <definedName name="KantoU">#REF!</definedName>
    <definedName name="kini10">#REF!</definedName>
    <definedName name="kinki">#REF!</definedName>
    <definedName name="kinkiaf">#REF!</definedName>
    <definedName name="mcas">#REF!</definedName>
    <definedName name="_xlnm.Print_Area" localSheetId="0">'Exhibit A'!$A$1:$M$137</definedName>
    <definedName name="_xlnm.Print_Area" localSheetId="1">'Exhibit B'!$A$1:$M$141</definedName>
    <definedName name="_xlnm.Print_Area" localSheetId="2">'Exhibit C'!$A$1:$M$141</definedName>
    <definedName name="_xlnm.Print_Area" localSheetId="3">'Exhibit D'!$A$1:$M$141</definedName>
    <definedName name="_xlnm.Print_Area" localSheetId="4">'Exhibit E'!$A$1:$M$141</definedName>
    <definedName name="qwe" localSheetId="0">#REF!</definedName>
    <definedName name="qwe" localSheetId="1">#REF!</definedName>
    <definedName name="qwe" localSheetId="2">#REF!</definedName>
    <definedName name="qwe" localSheetId="3">#REF!</definedName>
    <definedName name="qwe" localSheetId="4">#REF!</definedName>
    <definedName name="qwe">#REF!</definedName>
    <definedName name="rf" localSheetId="0">#REF!</definedName>
    <definedName name="rf" localSheetId="1">#REF!</definedName>
    <definedName name="rf" localSheetId="2">#REF!</definedName>
    <definedName name="rf" localSheetId="3">#REF!</definedName>
    <definedName name="rf" localSheetId="4">#REF!</definedName>
    <definedName name="rf">#REF!</definedName>
    <definedName name="rfv" localSheetId="0">#REF!</definedName>
    <definedName name="rfv" localSheetId="1">#REF!</definedName>
    <definedName name="rfv" localSheetId="2">#REF!</definedName>
    <definedName name="rfv" localSheetId="3">#REF!</definedName>
    <definedName name="rfv" localSheetId="4">#REF!</definedName>
    <definedName name="rfv">#REF!</definedName>
    <definedName name="sadf">#REF!</definedName>
    <definedName name="sdfadf">#REF!</definedName>
    <definedName name="summari">#REF!</definedName>
    <definedName name="summary">#REF!</definedName>
    <definedName name="Summary0000">#REF!</definedName>
    <definedName name="ta">#REF!</definedName>
    <definedName name="U412percent" localSheetId="0">'Exhibit A'!#REF!</definedName>
    <definedName name="U412percent" localSheetId="1">'Exhibit B'!#REF!</definedName>
    <definedName name="U412percent" localSheetId="2">'Exhibit C'!#REF!</definedName>
    <definedName name="U412percent" localSheetId="3">'Exhibit D'!#REF!</definedName>
    <definedName name="U412percent" localSheetId="4">'Exhibit E'!#REF!</definedName>
    <definedName name="U412percent">#REF!</definedName>
    <definedName name="U423percent" localSheetId="0">'Exhibit A'!#REF!</definedName>
    <definedName name="U423percent" localSheetId="1">'Exhibit B'!#REF!</definedName>
    <definedName name="U423percent" localSheetId="2">'Exhibit C'!#REF!</definedName>
    <definedName name="U423percent" localSheetId="3">'Exhibit D'!#REF!</definedName>
    <definedName name="U423percent" localSheetId="4">'Exhibit E'!#REF!</definedName>
    <definedName name="U423percent">#REF!</definedName>
    <definedName name="U423percent1" localSheetId="0">#REF!</definedName>
    <definedName name="U423percent1" localSheetId="1">#REF!</definedName>
    <definedName name="U423percent1" localSheetId="2">#REF!</definedName>
    <definedName name="U423percent1" localSheetId="3">#REF!</definedName>
    <definedName name="U423percent1" localSheetId="4">#REF!</definedName>
    <definedName name="U423percent1">#REF!</definedName>
    <definedName name="U4average" localSheetId="0">#REF!</definedName>
    <definedName name="U4average" localSheetId="1">#REF!</definedName>
    <definedName name="U4average" localSheetId="2">#REF!</definedName>
    <definedName name="U4average" localSheetId="3">#REF!</definedName>
    <definedName name="U4average" localSheetId="4">#REF!</definedName>
    <definedName name="U4average">#REF!</definedName>
    <definedName name="Upper4" localSheetId="0">#REF!</definedName>
    <definedName name="Upper4" localSheetId="1">#REF!</definedName>
    <definedName name="Upper4" localSheetId="2">#REF!</definedName>
    <definedName name="Upper4" localSheetId="3">#REF!</definedName>
    <definedName name="Upper4" localSheetId="4">#REF!</definedName>
    <definedName name="Upper4">#REF!</definedName>
    <definedName name="wara">#REF!</definedName>
    <definedName name="wea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97" i="59" l="1"/>
  <c r="M79" i="59"/>
  <c r="M82" i="59"/>
  <c r="M85" i="59"/>
  <c r="M88" i="59"/>
  <c r="M88" i="69" l="1"/>
  <c r="M85" i="69"/>
  <c r="M88" i="68"/>
  <c r="M85" i="68"/>
  <c r="M88" i="67"/>
  <c r="M85" i="67"/>
  <c r="M88" i="66"/>
  <c r="M85" i="66"/>
  <c r="M148" i="69" l="1"/>
  <c r="M123" i="69"/>
  <c r="M100" i="69"/>
  <c r="M97" i="69"/>
  <c r="M82" i="69"/>
  <c r="M79" i="69"/>
  <c r="M72" i="69"/>
  <c r="M69" i="69"/>
  <c r="M66" i="69"/>
  <c r="M63" i="69"/>
  <c r="M60" i="69"/>
  <c r="M57" i="69"/>
  <c r="M54" i="69"/>
  <c r="M51" i="69"/>
  <c r="M48" i="69"/>
  <c r="M45" i="69"/>
  <c r="M42" i="69"/>
  <c r="M37" i="69"/>
  <c r="M34" i="69"/>
  <c r="M31" i="69"/>
  <c r="M28" i="69"/>
  <c r="M25" i="69"/>
  <c r="M22" i="69"/>
  <c r="M19" i="69"/>
  <c r="M16" i="69"/>
  <c r="M13" i="69"/>
  <c r="M10" i="69"/>
  <c r="M7" i="69"/>
  <c r="M123" i="68"/>
  <c r="M100" i="68"/>
  <c r="M97" i="68"/>
  <c r="M82" i="68"/>
  <c r="M79" i="68"/>
  <c r="M72" i="68"/>
  <c r="M69" i="68"/>
  <c r="M66" i="68"/>
  <c r="M63" i="68"/>
  <c r="M60" i="68"/>
  <c r="M57" i="68"/>
  <c r="M54" i="68"/>
  <c r="M51" i="68"/>
  <c r="M48" i="68"/>
  <c r="M45" i="68"/>
  <c r="M42" i="68"/>
  <c r="M37" i="68"/>
  <c r="M34" i="68"/>
  <c r="M31" i="68"/>
  <c r="M28" i="68"/>
  <c r="M25" i="68"/>
  <c r="M22" i="68"/>
  <c r="M19" i="68"/>
  <c r="M16" i="68"/>
  <c r="M13" i="68"/>
  <c r="M10" i="68"/>
  <c r="M7" i="68"/>
  <c r="M148" i="67"/>
  <c r="M123" i="67"/>
  <c r="M100" i="67"/>
  <c r="M97" i="67"/>
  <c r="M82" i="67"/>
  <c r="M79" i="67"/>
  <c r="M72" i="67"/>
  <c r="M69" i="67"/>
  <c r="M66" i="67"/>
  <c r="M63" i="67"/>
  <c r="M60" i="67"/>
  <c r="M57" i="67"/>
  <c r="M54" i="67"/>
  <c r="M51" i="67"/>
  <c r="M48" i="67"/>
  <c r="M45" i="67"/>
  <c r="M42" i="67"/>
  <c r="M37" i="67"/>
  <c r="M34" i="67"/>
  <c r="M31" i="67"/>
  <c r="M28" i="67"/>
  <c r="M25" i="67"/>
  <c r="M22" i="67"/>
  <c r="M19" i="67"/>
  <c r="M16" i="67"/>
  <c r="M13" i="67"/>
  <c r="M10" i="67"/>
  <c r="M7" i="67"/>
  <c r="M123" i="66"/>
  <c r="M100" i="66"/>
  <c r="M97" i="66"/>
  <c r="M82" i="66"/>
  <c r="M79" i="66"/>
  <c r="M72" i="66"/>
  <c r="M69" i="66"/>
  <c r="M66" i="66"/>
  <c r="M63" i="66"/>
  <c r="M60" i="66"/>
  <c r="M57" i="66"/>
  <c r="M54" i="66"/>
  <c r="M51" i="66"/>
  <c r="M48" i="66"/>
  <c r="M45" i="66"/>
  <c r="M42" i="66"/>
  <c r="M37" i="66"/>
  <c r="M34" i="66"/>
  <c r="M31" i="66"/>
  <c r="M28" i="66"/>
  <c r="M25" i="66"/>
  <c r="M22" i="66"/>
  <c r="M19" i="66"/>
  <c r="M16" i="66"/>
  <c r="M13" i="66"/>
  <c r="M10" i="66"/>
  <c r="M7" i="66"/>
  <c r="M75" i="69" l="1"/>
  <c r="M75" i="66"/>
  <c r="M75" i="67"/>
  <c r="M75" i="68"/>
  <c r="M117" i="69" l="1"/>
  <c r="M113" i="69"/>
  <c r="M105" i="69"/>
  <c r="M117" i="68"/>
  <c r="M105" i="68"/>
  <c r="M113" i="68"/>
  <c r="M117" i="67"/>
  <c r="M113" i="67"/>
  <c r="M105" i="67"/>
  <c r="M117" i="66"/>
  <c r="M105" i="66"/>
  <c r="M109" i="66"/>
  <c r="M113" i="66"/>
  <c r="M109" i="67"/>
  <c r="M91" i="67"/>
  <c r="M91" i="69"/>
  <c r="M109" i="69"/>
  <c r="M109" i="68"/>
  <c r="M91" i="68"/>
  <c r="M91" i="66"/>
  <c r="J136" i="67" l="1"/>
  <c r="J136" i="69"/>
  <c r="J136" i="68"/>
  <c r="J136" i="66"/>
  <c r="M100" i="59"/>
  <c r="M123" i="59"/>
  <c r="M72" i="59"/>
  <c r="M69" i="59"/>
  <c r="M66" i="59"/>
  <c r="M63" i="59"/>
  <c r="M60" i="59"/>
  <c r="M57" i="59"/>
  <c r="M54" i="59"/>
  <c r="M51" i="59"/>
  <c r="M48" i="59"/>
  <c r="M45" i="59"/>
  <c r="M42" i="59"/>
  <c r="M37" i="59"/>
  <c r="M34" i="59"/>
  <c r="M31" i="59"/>
  <c r="M28" i="59"/>
  <c r="M25" i="59"/>
  <c r="M22" i="59"/>
  <c r="M19" i="59"/>
  <c r="M16" i="59"/>
  <c r="M13" i="59"/>
  <c r="M10" i="59"/>
  <c r="M7" i="59"/>
  <c r="M75" i="59" l="1"/>
  <c r="M113" i="59" l="1"/>
  <c r="M91" i="59"/>
  <c r="M117" i="59"/>
  <c r="M109" i="59"/>
  <c r="M105" i="59"/>
  <c r="J136" i="59" l="1"/>
  <c r="J140" i="66" s="1"/>
  <c r="J140" i="67" s="1"/>
  <c r="J140" i="68" s="1"/>
  <c r="J140" i="69" s="1"/>
</calcChain>
</file>

<file path=xl/sharedStrings.xml><?xml version="1.0" encoding="utf-8"?>
<sst xmlns="http://schemas.openxmlformats.org/spreadsheetml/2006/main" count="1263" uniqueCount="322">
  <si>
    <t>Description</t>
  </si>
  <si>
    <t>Unit</t>
  </si>
  <si>
    <t>A010</t>
  </si>
  <si>
    <t>¥</t>
  </si>
  <si>
    <t>A020</t>
  </si>
  <si>
    <t>A030</t>
  </si>
  <si>
    <t>ELIN</t>
  </si>
  <si>
    <t>Est. Qty</t>
  </si>
  <si>
    <t>HR</t>
  </si>
  <si>
    <t>EA</t>
  </si>
  <si>
    <t>N/A</t>
  </si>
  <si>
    <t>Toll Charges</t>
  </si>
  <si>
    <t>A01A</t>
  </si>
  <si>
    <t>A01B</t>
  </si>
  <si>
    <t>A01C</t>
  </si>
  <si>
    <t>A040</t>
  </si>
  <si>
    <t>A02A</t>
  </si>
  <si>
    <t>A02B</t>
  </si>
  <si>
    <t>A03A</t>
  </si>
  <si>
    <t>A03B</t>
  </si>
  <si>
    <t>A04A</t>
  </si>
  <si>
    <t>A04B</t>
  </si>
  <si>
    <t>Overnight Service Charge per driver.</t>
  </si>
  <si>
    <t>A01D</t>
  </si>
  <si>
    <t>Unit Price</t>
  </si>
  <si>
    <t>A01E</t>
  </si>
  <si>
    <t>A02C</t>
  </si>
  <si>
    <t>A02D</t>
  </si>
  <si>
    <t>A02E</t>
  </si>
  <si>
    <t>A01F</t>
  </si>
  <si>
    <t>A01G</t>
  </si>
  <si>
    <t>A01H</t>
  </si>
  <si>
    <t>A01J</t>
  </si>
  <si>
    <t>A02F</t>
  </si>
  <si>
    <t>A02G</t>
  </si>
  <si>
    <t>A02H</t>
  </si>
  <si>
    <t>A02J</t>
  </si>
  <si>
    <t>A01K</t>
  </si>
  <si>
    <t>A050</t>
  </si>
  <si>
    <t>A05A</t>
  </si>
  <si>
    <t>A05B</t>
  </si>
  <si>
    <t>A05C</t>
  </si>
  <si>
    <t>A05D</t>
  </si>
  <si>
    <t>A060</t>
  </si>
  <si>
    <t>A02K</t>
  </si>
  <si>
    <t>DK</t>
  </si>
  <si>
    <r>
      <t>ESTIMATED YEARLY TOTAL</t>
    </r>
    <r>
      <rPr>
        <b/>
        <i/>
        <sz val="20"/>
        <rFont val="Times New Roman"/>
        <family val="1"/>
      </rPr>
      <t>:</t>
    </r>
  </si>
  <si>
    <t>%</t>
  </si>
  <si>
    <t>Total</t>
  </si>
  <si>
    <t>A01L</t>
  </si>
  <si>
    <t>A02L</t>
  </si>
  <si>
    <t>Change Fee</t>
  </si>
  <si>
    <t>A03C</t>
  </si>
  <si>
    <t>A03D</t>
  </si>
  <si>
    <t>A03E</t>
  </si>
  <si>
    <t>EXPENSE</t>
  </si>
  <si>
    <t>A06A</t>
  </si>
  <si>
    <t>Parking Lot Charge</t>
  </si>
  <si>
    <t>A06B</t>
  </si>
  <si>
    <t>A06C</t>
  </si>
  <si>
    <t>A06D</t>
  </si>
  <si>
    <t>Other Actual Costs</t>
  </si>
  <si>
    <t>ACCESSORIAL SERVICES</t>
  </si>
  <si>
    <r>
      <rPr>
        <b/>
        <sz val="14"/>
        <rFont val="Times New Roman"/>
        <family val="1"/>
      </rPr>
      <t>Exhibit A</t>
    </r>
    <r>
      <rPr>
        <b/>
        <sz val="12"/>
        <rFont val="Times New Roman"/>
        <family val="1"/>
      </rPr>
      <t xml:space="preserve">                                                                   </t>
    </r>
    <r>
      <rPr>
        <b/>
        <sz val="8"/>
        <rFont val="Times New Roman"/>
        <family val="1"/>
      </rPr>
      <t xml:space="preserve">                                                                                                                                                                   </t>
    </r>
    <r>
      <rPr>
        <b/>
        <sz val="12"/>
        <rFont val="Times New Roman"/>
        <family val="1"/>
      </rPr>
      <t xml:space="preserve">          </t>
    </r>
  </si>
  <si>
    <r>
      <rPr>
        <b/>
        <sz val="14"/>
        <rFont val="Times New Roman"/>
        <family val="1"/>
      </rPr>
      <t xml:space="preserve">Exhibit B </t>
    </r>
    <r>
      <rPr>
        <b/>
        <sz val="12"/>
        <rFont val="Times New Roman"/>
        <family val="1"/>
      </rPr>
      <t xml:space="preserve">                                                                                               </t>
    </r>
    <r>
      <rPr>
        <b/>
        <sz val="8"/>
        <rFont val="Times New Roman"/>
        <family val="1"/>
      </rPr>
      <t xml:space="preserve">                                                                                                                                                                   </t>
    </r>
    <r>
      <rPr>
        <b/>
        <sz val="12"/>
        <rFont val="Times New Roman"/>
        <family val="1"/>
      </rPr>
      <t xml:space="preserve">          </t>
    </r>
  </si>
  <si>
    <r>
      <rPr>
        <b/>
        <sz val="14"/>
        <rFont val="Times New Roman"/>
        <family val="1"/>
      </rPr>
      <t xml:space="preserve">Exhibit C </t>
    </r>
    <r>
      <rPr>
        <b/>
        <sz val="12"/>
        <rFont val="Times New Roman"/>
        <family val="1"/>
      </rPr>
      <t xml:space="preserve">                                                                    </t>
    </r>
    <r>
      <rPr>
        <b/>
        <sz val="8"/>
        <rFont val="Times New Roman"/>
        <family val="1"/>
      </rPr>
      <t xml:space="preserve">                                                                                                                                                                   </t>
    </r>
    <r>
      <rPr>
        <b/>
        <sz val="12"/>
        <rFont val="Times New Roman"/>
        <family val="1"/>
      </rPr>
      <t xml:space="preserve">          </t>
    </r>
  </si>
  <si>
    <r>
      <rPr>
        <b/>
        <sz val="14"/>
        <rFont val="Times New Roman"/>
        <family val="1"/>
      </rPr>
      <t xml:space="preserve">Exhibit D </t>
    </r>
    <r>
      <rPr>
        <b/>
        <sz val="12"/>
        <rFont val="Times New Roman"/>
        <family val="1"/>
      </rPr>
      <t xml:space="preserve">                                                                                                    </t>
    </r>
    <r>
      <rPr>
        <b/>
        <sz val="8"/>
        <rFont val="Times New Roman"/>
        <family val="1"/>
      </rPr>
      <t xml:space="preserve">                                                                                                                                                                   </t>
    </r>
    <r>
      <rPr>
        <b/>
        <sz val="12"/>
        <rFont val="Times New Roman"/>
        <family val="1"/>
      </rPr>
      <t xml:space="preserve">          </t>
    </r>
  </si>
  <si>
    <r>
      <rPr>
        <b/>
        <sz val="14"/>
        <rFont val="Times New Roman"/>
        <family val="1"/>
      </rPr>
      <t>Exhibit E</t>
    </r>
    <r>
      <rPr>
        <b/>
        <sz val="12"/>
        <rFont val="Times New Roman"/>
        <family val="1"/>
      </rPr>
      <t xml:space="preserve">                                                                           </t>
    </r>
    <r>
      <rPr>
        <b/>
        <sz val="8"/>
        <rFont val="Times New Roman"/>
        <family val="1"/>
      </rPr>
      <t xml:space="preserve">                                                                                                                                                                   </t>
    </r>
    <r>
      <rPr>
        <b/>
        <sz val="12"/>
        <rFont val="Times New Roman"/>
        <family val="1"/>
      </rPr>
      <t xml:space="preserve">          </t>
    </r>
  </si>
  <si>
    <t>B010</t>
  </si>
  <si>
    <t>B01A</t>
  </si>
  <si>
    <t>B01B</t>
  </si>
  <si>
    <t>B01C</t>
  </si>
  <si>
    <t>B01D</t>
  </si>
  <si>
    <t>B01E</t>
  </si>
  <si>
    <t>B01F</t>
  </si>
  <si>
    <t>B01G</t>
  </si>
  <si>
    <t>B01H</t>
  </si>
  <si>
    <t>B01J</t>
  </si>
  <si>
    <t>B01K</t>
  </si>
  <si>
    <t>B01L</t>
  </si>
  <si>
    <t>B020</t>
  </si>
  <si>
    <t>B02A</t>
  </si>
  <si>
    <t>B02B</t>
  </si>
  <si>
    <t>B02C</t>
  </si>
  <si>
    <t>B02D</t>
  </si>
  <si>
    <t>B02E</t>
  </si>
  <si>
    <t>B02F</t>
  </si>
  <si>
    <t>B02G</t>
  </si>
  <si>
    <t>B02H</t>
  </si>
  <si>
    <t>B02J</t>
  </si>
  <si>
    <t>B02K</t>
  </si>
  <si>
    <t>B02L</t>
  </si>
  <si>
    <t>B010 and B020: ESTIMATED TOTAL AMOUNT FOR KILOMETER BASED FARE AND TIME BASED FARE</t>
  </si>
  <si>
    <t>B030</t>
  </si>
  <si>
    <t>B03A</t>
  </si>
  <si>
    <t>B03B</t>
  </si>
  <si>
    <t>B03C</t>
  </si>
  <si>
    <t>B03D</t>
  </si>
  <si>
    <t>B03E</t>
  </si>
  <si>
    <t>B040</t>
  </si>
  <si>
    <t>B04A</t>
  </si>
  <si>
    <t>B04B</t>
  </si>
  <si>
    <t>B050</t>
  </si>
  <si>
    <t>B05A</t>
  </si>
  <si>
    <t>B05B</t>
  </si>
  <si>
    <t>B05C</t>
  </si>
  <si>
    <t>B05D</t>
  </si>
  <si>
    <t>B060</t>
  </si>
  <si>
    <t>B06A</t>
  </si>
  <si>
    <t>B06B</t>
  </si>
  <si>
    <t>B06C</t>
  </si>
  <si>
    <t>B06D</t>
  </si>
  <si>
    <t>ESTIMATED TOTAL FOR 2 YEARS:</t>
  </si>
  <si>
    <t>C010</t>
  </si>
  <si>
    <t>C01A</t>
  </si>
  <si>
    <t>C01B</t>
  </si>
  <si>
    <t>C01C</t>
  </si>
  <si>
    <t>C01D</t>
  </si>
  <si>
    <t>C01E</t>
  </si>
  <si>
    <t>C01F</t>
  </si>
  <si>
    <t>C01G</t>
  </si>
  <si>
    <t>C01H</t>
  </si>
  <si>
    <t>C01J</t>
  </si>
  <si>
    <t>C01K</t>
  </si>
  <si>
    <t>C01L</t>
  </si>
  <si>
    <t>C020</t>
  </si>
  <si>
    <t>C02A</t>
  </si>
  <si>
    <t>C02B</t>
  </si>
  <si>
    <t>C02C</t>
  </si>
  <si>
    <t>C02D</t>
  </si>
  <si>
    <t>C02E</t>
  </si>
  <si>
    <t>C02F</t>
  </si>
  <si>
    <t>C02G</t>
  </si>
  <si>
    <t>C02H</t>
  </si>
  <si>
    <t>C02J</t>
  </si>
  <si>
    <t>C02K</t>
  </si>
  <si>
    <t>C02L</t>
  </si>
  <si>
    <t>C030</t>
  </si>
  <si>
    <t>C010 and C020: ESTIMATED TOTAL AMOUNT FOR KILOMETER BASED FARE AND TIME BASED FARE</t>
  </si>
  <si>
    <t>C03A</t>
  </si>
  <si>
    <t>C03B</t>
  </si>
  <si>
    <t>C03C</t>
  </si>
  <si>
    <t>C03D</t>
  </si>
  <si>
    <t>C03E</t>
  </si>
  <si>
    <t>C040</t>
  </si>
  <si>
    <t>C04A</t>
  </si>
  <si>
    <t>C04B</t>
  </si>
  <si>
    <t>C050</t>
  </si>
  <si>
    <t>C05A</t>
  </si>
  <si>
    <t>C05B</t>
  </si>
  <si>
    <t>C05C</t>
  </si>
  <si>
    <t>C05D</t>
  </si>
  <si>
    <t>C060</t>
  </si>
  <si>
    <t>C06A</t>
  </si>
  <si>
    <t>C06B</t>
  </si>
  <si>
    <t>C06C</t>
  </si>
  <si>
    <t>C06D</t>
  </si>
  <si>
    <t>D010</t>
  </si>
  <si>
    <t>D01A</t>
  </si>
  <si>
    <t>D01B</t>
  </si>
  <si>
    <t>D01C</t>
  </si>
  <si>
    <t>D01D</t>
  </si>
  <si>
    <t>D01E</t>
  </si>
  <si>
    <t>D01F</t>
  </si>
  <si>
    <t>D01G</t>
  </si>
  <si>
    <t>D01H</t>
  </si>
  <si>
    <t>D01J</t>
  </si>
  <si>
    <t>D01K</t>
  </si>
  <si>
    <t>D01L</t>
  </si>
  <si>
    <t>D020</t>
  </si>
  <si>
    <t>D02A</t>
  </si>
  <si>
    <t>D02B</t>
  </si>
  <si>
    <t>D02C</t>
  </si>
  <si>
    <t>D02D</t>
  </si>
  <si>
    <t>D02E</t>
  </si>
  <si>
    <t>D02F</t>
  </si>
  <si>
    <t>D02G</t>
  </si>
  <si>
    <t>D02H</t>
  </si>
  <si>
    <t>D02J</t>
  </si>
  <si>
    <t>D02K</t>
  </si>
  <si>
    <t>D02L</t>
  </si>
  <si>
    <t>D010 and D020: ESTIMATED TOTAL AMOUNT FOR KILOMETER BASED FARE AND TIME BASED FARE</t>
  </si>
  <si>
    <t>D030</t>
  </si>
  <si>
    <t>D03A</t>
  </si>
  <si>
    <t>D03B</t>
  </si>
  <si>
    <t>D03C</t>
  </si>
  <si>
    <t>D03D</t>
  </si>
  <si>
    <t>D03E</t>
  </si>
  <si>
    <t>D040</t>
  </si>
  <si>
    <t>D04A</t>
  </si>
  <si>
    <t>D04B</t>
  </si>
  <si>
    <t>D050</t>
  </si>
  <si>
    <t>D05A</t>
  </si>
  <si>
    <t>D05B</t>
  </si>
  <si>
    <t>D05C</t>
  </si>
  <si>
    <t>D05D</t>
  </si>
  <si>
    <t>D060</t>
  </si>
  <si>
    <t>D06A</t>
  </si>
  <si>
    <t>D06B</t>
  </si>
  <si>
    <t>D06C</t>
  </si>
  <si>
    <t>D06D</t>
  </si>
  <si>
    <t>E010</t>
  </si>
  <si>
    <t>E01A</t>
  </si>
  <si>
    <t>E01B</t>
  </si>
  <si>
    <t>E01C</t>
  </si>
  <si>
    <t>E01D</t>
  </si>
  <si>
    <t>E01E</t>
  </si>
  <si>
    <t>E01F</t>
  </si>
  <si>
    <t>E01G</t>
  </si>
  <si>
    <t>E01H</t>
  </si>
  <si>
    <t>E01J</t>
  </si>
  <si>
    <t>E01K</t>
  </si>
  <si>
    <t>E01L</t>
  </si>
  <si>
    <t>E020</t>
  </si>
  <si>
    <t>E02A</t>
  </si>
  <si>
    <t>E02B</t>
  </si>
  <si>
    <t>E02C</t>
  </si>
  <si>
    <t>E02D</t>
  </si>
  <si>
    <t>E02E</t>
  </si>
  <si>
    <t>E02F</t>
  </si>
  <si>
    <t>E02G</t>
  </si>
  <si>
    <t>E02H</t>
  </si>
  <si>
    <t>E02J</t>
  </si>
  <si>
    <t>E02K</t>
  </si>
  <si>
    <t>E02L</t>
  </si>
  <si>
    <t>E010 and E020: ESTIMATED TOTAL AMOUNT FOR KILOMETER BASED FARE AND TIME BASED FARE</t>
  </si>
  <si>
    <t>E030</t>
  </si>
  <si>
    <t>E03A</t>
  </si>
  <si>
    <t>E03B</t>
  </si>
  <si>
    <t>E03C</t>
  </si>
  <si>
    <t>E03D</t>
  </si>
  <si>
    <t>E03E</t>
  </si>
  <si>
    <t>E040</t>
  </si>
  <si>
    <t>E04A</t>
  </si>
  <si>
    <t>E04B</t>
  </si>
  <si>
    <t>E050</t>
  </si>
  <si>
    <t>E05A</t>
  </si>
  <si>
    <t>E05B</t>
  </si>
  <si>
    <t>E05C</t>
  </si>
  <si>
    <t>E05D</t>
  </si>
  <si>
    <t>E060</t>
  </si>
  <si>
    <t>E06A</t>
  </si>
  <si>
    <t>E06B</t>
  </si>
  <si>
    <t>E06C</t>
  </si>
  <si>
    <t>E06D</t>
  </si>
  <si>
    <t>ESTIMATED TOTAL FOR 5 YEARS:</t>
  </si>
  <si>
    <t>ESTIMATED TOTAL FOR 4 YEARS:</t>
  </si>
  <si>
    <t>ESTIMATED TOTAL FOR 3 YEARS:</t>
  </si>
  <si>
    <t>(IAW paragraph 1.2.1, 1.4.2.2. and 1.4.2.3. of the PWS.)</t>
  </si>
  <si>
    <t>(IAW paragraph 1.2.2, 1.4.2.2. and 1.4.2.3. of the PWS.)</t>
  </si>
  <si>
    <t>(IAW paragraph 1.4.3.1. of the PWS.)</t>
  </si>
  <si>
    <t>(IAW paragraph 1.4.3.2. of the PWS.)</t>
  </si>
  <si>
    <t>(IAW paragraph 1.4.4.1. of the PWS.)</t>
  </si>
  <si>
    <t>(IAW paragraph 1.4.4.2. of the PWS.)</t>
  </si>
  <si>
    <t>(IAW paragraph 1.4.5.1. of the PWS.)</t>
  </si>
  <si>
    <t>(IAW paragraph 1.4.6.1. of the PWS.)</t>
  </si>
  <si>
    <t>(IAW paragraph 1.4.6.2. of the PWS.)</t>
  </si>
  <si>
    <t>(IAW paragraph 1.4.6.3. of the PWS.)</t>
  </si>
  <si>
    <t>(IAW paragraph 1.4.6.4. of the PWS)</t>
  </si>
  <si>
    <t>(IAW paragraph 1.4.3.3. of the PWS.)</t>
  </si>
  <si>
    <t>Expedited Service Fee</t>
  </si>
  <si>
    <t xml:space="preserve">Ordering Period 1 (12 Months After the Effective Date)                           </t>
  </si>
  <si>
    <t xml:space="preserve">DISTANCE-BASED FARE </t>
  </si>
  <si>
    <t>HOURLY RATE</t>
  </si>
  <si>
    <t>Hourly Rate per bus for Tohoku region.</t>
  </si>
  <si>
    <t>Hourly Rate per bus for Kanto region.</t>
  </si>
  <si>
    <t>Hourly Rate per bus Hokurikushinetsu region.</t>
  </si>
  <si>
    <t>Hourly Rate per bus for Hokkaido region.</t>
  </si>
  <si>
    <t>Hourly Rate per bus Chubu region.</t>
  </si>
  <si>
    <t>Hourly Rate per bus Kinki region.</t>
  </si>
  <si>
    <t>Hourly Rate per bus Shikoku region.</t>
  </si>
  <si>
    <t>Hourly Rate per bus for Kyushu region.</t>
  </si>
  <si>
    <t>Hourly Rate per bus for Okinawa region.</t>
  </si>
  <si>
    <t>Hourly Rate per bus (Medium-sized Bus) for Kinki region.</t>
  </si>
  <si>
    <t>Hourly Rate per bus Chugoku region.</t>
  </si>
  <si>
    <t>Distance-based Fare for Alternate Driver Charge per kilometer per bus.</t>
  </si>
  <si>
    <t>Hourly Rate for Alternate Driver Charge per bus.</t>
  </si>
  <si>
    <t>Late Night and Early Morning Charge per hour per bus with one (1) driver.</t>
  </si>
  <si>
    <t>Late Night and Early Morning Charge per hour per bus with two (2) drivers.</t>
  </si>
  <si>
    <t>Additional Fee on Specially Equipped Buses</t>
  </si>
  <si>
    <t>ADDITIONAL CHARGES</t>
  </si>
  <si>
    <t>CANCELLATION FEES AND CHARGES</t>
  </si>
  <si>
    <t>A010 and A020: ESTIMATED TOTAL AMOUNT FOR DISTANCE-BASED FARE AND HOURLY RATE</t>
  </si>
  <si>
    <t>Cancellation Charge (14-8 days prior to service date) - % of ordered bus price.</t>
  </si>
  <si>
    <t>Cancellation Charge (7-2 days prior to service date) - % of ordered bus price.</t>
  </si>
  <si>
    <t xml:space="preserve">Cancellation Charge (1 day prior to service date) - % of ordered bus price. </t>
  </si>
  <si>
    <t>Cancellation Charge (service date) - % of ordered bus price.</t>
  </si>
  <si>
    <t xml:space="preserve">Distance-Based Fare per kilometer per bus for Hokkaido region. </t>
  </si>
  <si>
    <t>Distance-Based Fare per Kilometer per bus for Tohoku region.</t>
  </si>
  <si>
    <t>Distance-Based Fare per kilometer per bus for Kanto region.</t>
  </si>
  <si>
    <t>Distance-Based Fare per kilometer per bus for Hokurikushinetsu region.</t>
  </si>
  <si>
    <t>Distance-Based Fare per kilometer per bus for Chubu region.</t>
  </si>
  <si>
    <t>Distance-Based Fare per kilometer per bus for Kinki region.</t>
  </si>
  <si>
    <t>Distance-Based Fare per kilometer per bus for Chugoku region.</t>
  </si>
  <si>
    <t>Distance-Based Fare per kilometer per bus for Shikoku region.</t>
  </si>
  <si>
    <t>Distance-Based Fare per kilometer per bus for Kyushu region.</t>
  </si>
  <si>
    <t>Distance-Based Fare per kilometer per bus for Okinawa region.</t>
  </si>
  <si>
    <t>Distance-Based Fare per kilometer per bus (Medium-sized Bus) for Kinki region.</t>
  </si>
  <si>
    <t xml:space="preserve">Formula= (Sum of A010 &amp; A020) x (Frequency Rate: 5%) x (Offer Rate (%)) </t>
  </si>
  <si>
    <t xml:space="preserve">Formula= (Sum of A010 &amp; A020) x (Frequency Rate: 10%) x (Offer Rate (%)) </t>
  </si>
  <si>
    <t xml:space="preserve">Formula= (Sum of A010 &amp; A020) x (Frequency Rate: 3%) x (Offer Rate (%)) </t>
  </si>
  <si>
    <t xml:space="preserve">Formula= (Sum of A010 &amp; A020) x (Est. Qty) x (Frequency Rate: 0.4%) x (Offer Rate (%)) </t>
  </si>
  <si>
    <t xml:space="preserve">Formula= (Sum of B010 &amp; B020) x (Est. Qty) x (Frequency Rate: 0.4%) x (Offer Rate (%)) </t>
  </si>
  <si>
    <t xml:space="preserve">Formula= (Sum of C010 &amp; C020) x (Est. Qty) x (Frequency Rate: 0.4%) x (Offer Rate (%)) </t>
  </si>
  <si>
    <t xml:space="preserve">Formula= (Sum of D010 &amp; D020) x (Est. Qty) x (Frequency Rate: 0.4%) x (Offer Rate (%)) </t>
  </si>
  <si>
    <t xml:space="preserve">Formula= (Sum of E010 &amp; E020) x (Est. Qty) x (Frequency Rate: 0.4%) x (Offer Rate (%)) </t>
  </si>
  <si>
    <t xml:space="preserve">Formula= (Sum of B010 &amp; B020) x (Frequency Rate: 5%) x (Offer Rate (%)) </t>
  </si>
  <si>
    <t xml:space="preserve">Formula= (Sum of E010 &amp; E020) x (Frequency Rate: 5%) x (Offer Rate (%)) </t>
  </si>
  <si>
    <t xml:space="preserve">Formula= (Sum of D010 &amp; D020) x (Frequency Rate: 5%) x (Offer Rate (%)) </t>
  </si>
  <si>
    <t xml:space="preserve">Formula= (Sum of C010 &amp; C020) x (Frequency Rate: 5%) x (Offer Rate (%)) </t>
  </si>
  <si>
    <t xml:space="preserve">Formula= (Sum of B010 &amp; B020) x (Frequency Rate: 10%) x (Offer Rate (%)) </t>
  </si>
  <si>
    <t xml:space="preserve">Formula= (Sum of C010 &amp; C020) x (Frequency Rate: 10%) x (Offer Rate (%)) </t>
  </si>
  <si>
    <t xml:space="preserve">Formula= (Sum of E010 &amp; E020) x (Frequency Rate: 10%) x (Offer Rate (%)) </t>
  </si>
  <si>
    <t xml:space="preserve">Formula= (Sum of D010 &amp; D020) x (Frequency Rate: 10%) x (Offer Rate (%)) </t>
  </si>
  <si>
    <t xml:space="preserve">Formula= (Sum of B010 &amp; B020) x (Frequency Rate: 3%) x (Offer Rate (%)) </t>
  </si>
  <si>
    <t xml:space="preserve">Formula= (Sum of C010 &amp; C020) x (Frequency Rate: 3%) x (Offer Rate (%)) </t>
  </si>
  <si>
    <t xml:space="preserve">Formula= (Sum of D010 &amp; D020) x (Frequency Rate: 3%) x (Offer Rate (%)) </t>
  </si>
  <si>
    <t xml:space="preserve">Formula= (Sum of E010 &amp; E020) x (Frequency Rate: 3%) x (Offer Rate (%)) </t>
  </si>
  <si>
    <t xml:space="preserve">Ordering Period 2 (12 Months Following Ordering Period 1)                                 </t>
  </si>
  <si>
    <t xml:space="preserve">Ordering Period 3 (12 Months Following Ordering Period 2)                                                          </t>
  </si>
  <si>
    <t xml:space="preserve">Ordering Period 4 (12 Months Following Ordering Period 3)                            </t>
  </si>
  <si>
    <t xml:space="preserve">Ordering Period 5 (12 Months Following Ordering Period 4)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</si>
</sst>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000_ "/>
    <numFmt numFmtId="165" formatCode="[$¥-411]#,##0;[Red][$¥-411]#,##0"/>
    <numFmt numFmtId="166" formatCode="#,##0;[Red]#,##0"/>
    <numFmt numFmtId="167" formatCode="0.0%"/>
    <numFmt numFmtId="168" formatCode="&quot;$&quot;#,##0.00;[Red]&quot;$&quot;#,##0.00"/>
  </numFmts>
  <fonts count="2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2"/>
    </font>
    <font>
      <sz val="10"/>
      <color rgb="FF0070C0"/>
      <name val="Times New Roman"/>
      <family val="1"/>
    </font>
    <font>
      <b/>
      <i/>
      <u/>
      <sz val="14"/>
      <name val="Times New Roman"/>
      <family val="1"/>
    </font>
    <font>
      <b/>
      <i/>
      <u/>
      <sz val="20"/>
      <name val="Times New Roman"/>
      <family val="1"/>
    </font>
    <font>
      <b/>
      <i/>
      <sz val="20"/>
      <name val="Times New Roman"/>
      <family val="1"/>
    </font>
    <font>
      <sz val="8"/>
      <name val="Times New Roman"/>
      <family val="1"/>
    </font>
    <font>
      <b/>
      <i/>
      <sz val="24"/>
      <name val="Times New Roman"/>
      <family val="1"/>
    </font>
    <font>
      <b/>
      <i/>
      <sz val="16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9"/>
      <color rgb="FF0070C0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/>
      <bottom style="thin">
        <color theme="1"/>
      </bottom>
      <diagonal/>
    </border>
  </borders>
  <cellStyleXfs count="25">
    <xf numFmtId="165" fontId="0" fillId="0" borderId="0"/>
    <xf numFmtId="165" fontId="14" fillId="0" borderId="0"/>
    <xf numFmtId="165" fontId="4" fillId="0" borderId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165" fontId="3" fillId="0" borderId="0"/>
    <xf numFmtId="9" fontId="3" fillId="0" borderId="0" applyFont="0" applyFill="0" applyBorder="0" applyAlignment="0" applyProtection="0"/>
    <xf numFmtId="165" fontId="14" fillId="0" borderId="0"/>
    <xf numFmtId="165" fontId="2" fillId="0" borderId="0"/>
    <xf numFmtId="9" fontId="2" fillId="0" borderId="0" applyFont="0" applyFill="0" applyBorder="0" applyAlignment="0" applyProtection="0"/>
    <xf numFmtId="165" fontId="13" fillId="0" borderId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/>
    <xf numFmtId="165" fontId="2" fillId="0" borderId="0"/>
    <xf numFmtId="9" fontId="2" fillId="0" borderId="0" applyFont="0" applyFill="0" applyBorder="0" applyAlignment="0" applyProtection="0"/>
    <xf numFmtId="165" fontId="2" fillId="0" borderId="0"/>
    <xf numFmtId="9" fontId="2" fillId="0" borderId="0" applyFont="0" applyFill="0" applyBorder="0" applyAlignment="0" applyProtection="0"/>
    <xf numFmtId="165" fontId="1" fillId="0" borderId="0"/>
    <xf numFmtId="9" fontId="1" fillId="0" borderId="0" applyFont="0" applyFill="0" applyBorder="0" applyAlignment="0" applyProtection="0"/>
    <xf numFmtId="165" fontId="1" fillId="0" borderId="0"/>
    <xf numFmtId="9" fontId="1" fillId="0" borderId="0" applyFont="0" applyFill="0" applyBorder="0" applyAlignment="0" applyProtection="0"/>
    <xf numFmtId="165" fontId="1" fillId="0" borderId="0"/>
    <xf numFmtId="9" fontId="1" fillId="0" borderId="0" applyFont="0" applyFill="0" applyBorder="0" applyAlignment="0" applyProtection="0"/>
    <xf numFmtId="165" fontId="13" fillId="0" borderId="0"/>
  </cellStyleXfs>
  <cellXfs count="97">
    <xf numFmtId="165" fontId="0" fillId="0" borderId="0" xfId="0"/>
    <xf numFmtId="166" fontId="5" fillId="0" borderId="1" xfId="0" applyNumberFormat="1" applyFont="1" applyBorder="1"/>
    <xf numFmtId="166" fontId="5" fillId="0" borderId="0" xfId="0" applyNumberFormat="1" applyFont="1" applyAlignment="1">
      <alignment horizontal="right"/>
    </xf>
    <xf numFmtId="166" fontId="5" fillId="4" borderId="4" xfId="0" applyNumberFormat="1" applyFont="1" applyFill="1" applyBorder="1" applyAlignment="1">
      <alignment horizontal="right"/>
    </xf>
    <xf numFmtId="0" fontId="5" fillId="5" borderId="0" xfId="0" applyNumberFormat="1" applyFont="1" applyFill="1" applyAlignment="1">
      <alignment horizontal="center"/>
    </xf>
    <xf numFmtId="1" fontId="5" fillId="5" borderId="0" xfId="0" applyNumberFormat="1" applyFont="1" applyFill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6" fontId="5" fillId="0" borderId="0" xfId="0" applyNumberFormat="1" applyFont="1"/>
    <xf numFmtId="165" fontId="5" fillId="0" borderId="0" xfId="0" applyFont="1"/>
    <xf numFmtId="49" fontId="6" fillId="2" borderId="0" xfId="0" applyNumberFormat="1" applyFont="1" applyFill="1" applyAlignment="1">
      <alignment vertical="center" wrapText="1"/>
    </xf>
    <xf numFmtId="3" fontId="6" fillId="2" borderId="0" xfId="0" applyNumberFormat="1" applyFont="1" applyFill="1" applyAlignment="1">
      <alignment horizontal="center" vertical="center" wrapText="1"/>
    </xf>
    <xf numFmtId="165" fontId="6" fillId="2" borderId="0" xfId="0" applyFont="1" applyFill="1" applyAlignment="1">
      <alignment horizontal="center" vertical="center"/>
    </xf>
    <xf numFmtId="165" fontId="6" fillId="2" borderId="0" xfId="0" applyFont="1" applyFill="1" applyAlignment="1">
      <alignment horizontal="right" vertical="center" wrapText="1"/>
    </xf>
    <xf numFmtId="165" fontId="6" fillId="2" borderId="0" xfId="0" applyFont="1" applyFill="1" applyAlignment="1">
      <alignment vertical="center" wrapText="1"/>
    </xf>
    <xf numFmtId="165" fontId="5" fillId="0" borderId="0" xfId="0" applyFont="1" applyAlignment="1">
      <alignment vertical="center"/>
    </xf>
    <xf numFmtId="164" fontId="5" fillId="0" borderId="0" xfId="0" applyNumberFormat="1" applyFont="1" applyAlignment="1">
      <alignment horizontal="left" wrapText="1"/>
    </xf>
    <xf numFmtId="165" fontId="5" fillId="0" borderId="0" xfId="0" applyFont="1" applyAlignment="1">
      <alignment horizontal="left" wrapText="1"/>
    </xf>
    <xf numFmtId="165" fontId="5" fillId="0" borderId="0" xfId="0" applyFont="1" applyAlignment="1">
      <alignment horizontal="right" wrapText="1"/>
    </xf>
    <xf numFmtId="3" fontId="5" fillId="0" borderId="0" xfId="0" applyNumberFormat="1" applyFont="1"/>
    <xf numFmtId="164" fontId="7" fillId="0" borderId="0" xfId="0" applyNumberFormat="1" applyFont="1" applyAlignment="1">
      <alignment horizontal="left" wrapText="1"/>
    </xf>
    <xf numFmtId="164" fontId="5" fillId="0" borderId="0" xfId="0" applyNumberFormat="1" applyFont="1" applyAlignment="1">
      <alignment horizontal="left" vertical="top"/>
    </xf>
    <xf numFmtId="165" fontId="5" fillId="0" borderId="0" xfId="0" applyFont="1" applyAlignment="1">
      <alignment horizontal="center"/>
    </xf>
    <xf numFmtId="165" fontId="5" fillId="0" borderId="1" xfId="0" applyFont="1" applyBorder="1" applyAlignment="1">
      <alignment horizontal="right"/>
    </xf>
    <xf numFmtId="10" fontId="5" fillId="0" borderId="0" xfId="0" applyNumberFormat="1" applyFont="1"/>
    <xf numFmtId="0" fontId="5" fillId="0" borderId="0" xfId="0" applyNumberFormat="1" applyFont="1" applyAlignment="1">
      <alignment horizontal="center"/>
    </xf>
    <xf numFmtId="165" fontId="5" fillId="0" borderId="0" xfId="0" applyFont="1" applyAlignment="1">
      <alignment horizontal="right"/>
    </xf>
    <xf numFmtId="166" fontId="5" fillId="0" borderId="0" xfId="0" applyNumberFormat="1" applyFont="1" applyAlignment="1">
      <alignment horizontal="center" vertical="top"/>
    </xf>
    <xf numFmtId="0" fontId="22" fillId="0" borderId="0" xfId="0" applyNumberFormat="1" applyFont="1"/>
    <xf numFmtId="164" fontId="7" fillId="0" borderId="0" xfId="0" applyNumberFormat="1" applyFont="1" applyAlignment="1">
      <alignment horizontal="left" vertical="top"/>
    </xf>
    <xf numFmtId="0" fontId="5" fillId="0" borderId="0" xfId="0" applyNumberFormat="1" applyFont="1" applyAlignment="1">
      <alignment horizontal="right"/>
    </xf>
    <xf numFmtId="164" fontId="5" fillId="4" borderId="0" xfId="0" applyNumberFormat="1" applyFont="1" applyFill="1" applyAlignment="1">
      <alignment horizontal="left" vertical="top"/>
    </xf>
    <xf numFmtId="166" fontId="5" fillId="4" borderId="0" xfId="0" applyNumberFormat="1" applyFont="1" applyFill="1" applyAlignment="1">
      <alignment horizontal="center" vertical="top"/>
    </xf>
    <xf numFmtId="165" fontId="5" fillId="0" borderId="0" xfId="0" applyFont="1" applyAlignment="1">
      <alignment horizontal="left"/>
    </xf>
    <xf numFmtId="165" fontId="5" fillId="0" borderId="0" xfId="0" applyFont="1" applyAlignment="1">
      <alignment vertical="top" wrapText="1"/>
    </xf>
    <xf numFmtId="166" fontId="5" fillId="0" borderId="0" xfId="0" applyNumberFormat="1" applyFont="1" applyAlignment="1">
      <alignment vertical="top" wrapText="1"/>
    </xf>
    <xf numFmtId="165" fontId="15" fillId="0" borderId="0" xfId="0" applyFont="1" applyAlignment="1">
      <alignment horizontal="left" vertical="top" wrapText="1"/>
    </xf>
    <xf numFmtId="167" fontId="5" fillId="0" borderId="0" xfId="0" applyNumberFormat="1" applyFont="1" applyAlignment="1">
      <alignment horizontal="center"/>
    </xf>
    <xf numFmtId="165" fontId="19" fillId="0" borderId="0" xfId="0" applyFont="1"/>
    <xf numFmtId="0" fontId="19" fillId="0" borderId="0" xfId="0" applyNumberFormat="1" applyFont="1"/>
    <xf numFmtId="0" fontId="19" fillId="0" borderId="0" xfId="0" applyNumberFormat="1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0" xfId="0" applyNumberFormat="1" applyFont="1" applyAlignment="1">
      <alignment horizontal="right"/>
    </xf>
    <xf numFmtId="38" fontId="19" fillId="0" borderId="0" xfId="0" applyNumberFormat="1" applyFont="1" applyAlignment="1">
      <alignment vertical="center"/>
    </xf>
    <xf numFmtId="3" fontId="19" fillId="0" borderId="0" xfId="0" applyNumberFormat="1" applyFont="1"/>
    <xf numFmtId="165" fontId="11" fillId="3" borderId="7" xfId="0" applyFont="1" applyFill="1" applyBorder="1"/>
    <xf numFmtId="165" fontId="11" fillId="3" borderId="9" xfId="0" applyFont="1" applyFill="1" applyBorder="1"/>
    <xf numFmtId="165" fontId="11" fillId="3" borderId="9" xfId="0" applyFont="1" applyFill="1" applyBorder="1" applyAlignment="1">
      <alignment horizontal="right"/>
    </xf>
    <xf numFmtId="166" fontId="11" fillId="3" borderId="9" xfId="0" applyNumberFormat="1" applyFont="1" applyFill="1" applyBorder="1"/>
    <xf numFmtId="3" fontId="11" fillId="3" borderId="8" xfId="0" applyNumberFormat="1" applyFont="1" applyFill="1" applyBorder="1"/>
    <xf numFmtId="165" fontId="20" fillId="3" borderId="0" xfId="0" applyFont="1" applyFill="1" applyAlignment="1">
      <alignment horizontal="right"/>
    </xf>
    <xf numFmtId="165" fontId="16" fillId="3" borderId="3" xfId="0" applyFont="1" applyFill="1" applyBorder="1" applyAlignment="1">
      <alignment horizontal="center"/>
    </xf>
    <xf numFmtId="165" fontId="16" fillId="3" borderId="4" xfId="0" applyFont="1" applyFill="1" applyBorder="1" applyAlignment="1">
      <alignment horizontal="center"/>
    </xf>
    <xf numFmtId="165" fontId="11" fillId="0" borderId="0" xfId="0" applyFont="1"/>
    <xf numFmtId="0" fontId="5" fillId="0" borderId="0" xfId="0" applyNumberFormat="1" applyFont="1"/>
    <xf numFmtId="38" fontId="11" fillId="0" borderId="0" xfId="0" applyNumberFormat="1" applyFont="1" applyAlignment="1">
      <alignment vertical="center"/>
    </xf>
    <xf numFmtId="3" fontId="11" fillId="0" borderId="0" xfId="0" applyNumberFormat="1" applyFont="1"/>
    <xf numFmtId="165" fontId="12" fillId="0" borderId="0" xfId="0" applyFont="1"/>
    <xf numFmtId="165" fontId="11" fillId="0" borderId="0" xfId="0" applyFont="1" applyAlignment="1">
      <alignment vertical="center"/>
    </xf>
    <xf numFmtId="165" fontId="5" fillId="0" borderId="14" xfId="0" applyFont="1" applyBorder="1" applyAlignment="1">
      <alignment horizontal="right"/>
    </xf>
    <xf numFmtId="166" fontId="5" fillId="6" borderId="14" xfId="0" applyNumberFormat="1" applyFont="1" applyFill="1" applyBorder="1" applyAlignment="1" applyProtection="1">
      <alignment horizontal="right"/>
      <protection locked="0"/>
    </xf>
    <xf numFmtId="166" fontId="5" fillId="0" borderId="14" xfId="0" applyNumberFormat="1" applyFont="1" applyBorder="1"/>
    <xf numFmtId="165" fontId="6" fillId="2" borderId="0" xfId="0" applyFont="1" applyFill="1" applyAlignment="1">
      <alignment horizontal="center" vertical="center" wrapText="1"/>
    </xf>
    <xf numFmtId="164" fontId="22" fillId="0" borderId="0" xfId="0" applyNumberFormat="1" applyFont="1" applyAlignment="1">
      <alignment horizontal="left" vertical="top"/>
    </xf>
    <xf numFmtId="165" fontId="5" fillId="0" borderId="0" xfId="0" applyFont="1" applyAlignment="1">
      <alignment horizontal="left" vertical="top" wrapText="1"/>
    </xf>
    <xf numFmtId="0" fontId="22" fillId="0" borderId="0" xfId="0" applyNumberFormat="1" applyFont="1" applyAlignment="1">
      <alignment horizontal="left"/>
    </xf>
    <xf numFmtId="165" fontId="7" fillId="0" borderId="0" xfId="0" applyFont="1" applyAlignment="1">
      <alignment horizontal="left"/>
    </xf>
    <xf numFmtId="166" fontId="5" fillId="6" borderId="1" xfId="0" applyNumberFormat="1" applyFont="1" applyFill="1" applyBorder="1" applyAlignment="1" applyProtection="1">
      <alignment horizontal="right"/>
      <protection locked="0"/>
    </xf>
    <xf numFmtId="3" fontId="5" fillId="6" borderId="1" xfId="0" applyNumberFormat="1" applyFont="1" applyFill="1" applyBorder="1" applyAlignment="1" applyProtection="1">
      <alignment horizontal="right"/>
      <protection locked="0"/>
    </xf>
    <xf numFmtId="9" fontId="5" fillId="6" borderId="1" xfId="0" applyNumberFormat="1" applyFont="1" applyFill="1" applyBorder="1" applyAlignment="1" applyProtection="1">
      <alignment horizontal="right"/>
      <protection locked="0"/>
    </xf>
    <xf numFmtId="165" fontId="7" fillId="0" borderId="0" xfId="0" applyFont="1" applyAlignment="1">
      <alignment horizontal="center" vertical="top" wrapText="1"/>
    </xf>
    <xf numFmtId="166" fontId="5" fillId="0" borderId="0" xfId="0" applyNumberFormat="1" applyFont="1" applyAlignment="1">
      <alignment horizontal="center"/>
    </xf>
    <xf numFmtId="165" fontId="7" fillId="0" borderId="0" xfId="0" applyFont="1" applyAlignment="1">
      <alignment horizontal="left" vertical="top" wrapText="1"/>
    </xf>
    <xf numFmtId="165" fontId="6" fillId="0" borderId="0" xfId="0" applyFont="1" applyAlignment="1">
      <alignment vertical="top"/>
    </xf>
    <xf numFmtId="165" fontId="8" fillId="0" borderId="0" xfId="0" applyFont="1" applyAlignment="1">
      <alignment horizontal="center" vertical="center" wrapText="1"/>
    </xf>
    <xf numFmtId="49" fontId="6" fillId="2" borderId="0" xfId="0" applyNumberFormat="1" applyFont="1" applyFill="1" applyAlignment="1">
      <alignment horizontal="left" vertical="center" wrapText="1"/>
    </xf>
    <xf numFmtId="49" fontId="6" fillId="2" borderId="0" xfId="0" applyNumberFormat="1" applyFont="1" applyFill="1" applyAlignment="1">
      <alignment horizontal="center" vertical="center" wrapText="1"/>
    </xf>
    <xf numFmtId="165" fontId="7" fillId="0" borderId="0" xfId="0" applyFont="1" applyAlignment="1">
      <alignment horizontal="left"/>
    </xf>
    <xf numFmtId="165" fontId="5" fillId="0" borderId="0" xfId="0" applyFont="1" applyAlignment="1">
      <alignment horizontal="left" vertical="top"/>
    </xf>
    <xf numFmtId="165" fontId="5" fillId="0" borderId="0" xfId="0" applyFont="1" applyAlignment="1">
      <alignment horizontal="left" vertical="top" wrapText="1"/>
    </xf>
    <xf numFmtId="0" fontId="22" fillId="0" borderId="0" xfId="0" applyNumberFormat="1" applyFont="1" applyAlignment="1">
      <alignment horizontal="left"/>
    </xf>
    <xf numFmtId="165" fontId="25" fillId="0" borderId="0" xfId="0" applyFont="1" applyAlignment="1">
      <alignment horizontal="center" vertical="center" wrapText="1"/>
    </xf>
    <xf numFmtId="165" fontId="7" fillId="0" borderId="0" xfId="0" applyFont="1" applyAlignment="1">
      <alignment horizontal="left" vertical="top" wrapText="1"/>
    </xf>
    <xf numFmtId="165" fontId="7" fillId="4" borderId="0" xfId="0" applyFont="1" applyFill="1" applyAlignment="1">
      <alignment horizontal="center" vertical="top" wrapText="1"/>
    </xf>
    <xf numFmtId="165" fontId="23" fillId="0" borderId="0" xfId="0" applyFont="1" applyAlignment="1">
      <alignment horizontal="left" vertical="top" wrapText="1"/>
    </xf>
    <xf numFmtId="165" fontId="24" fillId="0" borderId="11" xfId="0" applyFont="1" applyBorder="1" applyAlignment="1">
      <alignment horizontal="left" vertical="top" wrapText="1"/>
    </xf>
    <xf numFmtId="165" fontId="24" fillId="0" borderId="12" xfId="0" applyFont="1" applyBorder="1" applyAlignment="1">
      <alignment horizontal="left" vertical="top" wrapText="1"/>
    </xf>
    <xf numFmtId="165" fontId="24" fillId="0" borderId="13" xfId="0" applyFont="1" applyBorder="1" applyAlignment="1">
      <alignment horizontal="left" vertical="top" wrapText="1"/>
    </xf>
    <xf numFmtId="165" fontId="7" fillId="0" borderId="0" xfId="0" applyFont="1" applyAlignment="1">
      <alignment horizontal="left" wrapText="1"/>
    </xf>
    <xf numFmtId="165" fontId="5" fillId="0" borderId="10" xfId="0" applyFont="1" applyBorder="1" applyAlignment="1">
      <alignment horizontal="left" vertical="top" wrapText="1"/>
    </xf>
    <xf numFmtId="166" fontId="20" fillId="3" borderId="0" xfId="0" applyNumberFormat="1" applyFont="1" applyFill="1" applyAlignment="1">
      <alignment horizontal="left"/>
    </xf>
    <xf numFmtId="166" fontId="20" fillId="3" borderId="2" xfId="0" applyNumberFormat="1" applyFont="1" applyFill="1" applyBorder="1" applyAlignment="1">
      <alignment horizontal="left"/>
    </xf>
    <xf numFmtId="168" fontId="21" fillId="3" borderId="4" xfId="0" applyNumberFormat="1" applyFont="1" applyFill="1" applyBorder="1" applyAlignment="1">
      <alignment horizontal="center"/>
    </xf>
    <xf numFmtId="168" fontId="21" fillId="3" borderId="6" xfId="0" applyNumberFormat="1" applyFont="1" applyFill="1" applyBorder="1" applyAlignment="1">
      <alignment horizontal="center"/>
    </xf>
    <xf numFmtId="165" fontId="17" fillId="3" borderId="5" xfId="0" applyFont="1" applyFill="1" applyBorder="1" applyAlignment="1">
      <alignment horizontal="center"/>
    </xf>
    <xf numFmtId="165" fontId="17" fillId="3" borderId="0" xfId="0" applyFont="1" applyFill="1" applyAlignment="1">
      <alignment horizontal="center"/>
    </xf>
    <xf numFmtId="0" fontId="5" fillId="0" borderId="0" xfId="0" applyNumberFormat="1" applyFont="1" applyAlignment="1">
      <alignment horizontal="center"/>
    </xf>
    <xf numFmtId="0" fontId="7" fillId="0" borderId="0" xfId="0" applyNumberFormat="1" applyFont="1" applyAlignment="1">
      <alignment horizontal="center"/>
    </xf>
  </cellXfs>
  <cellStyles count="25">
    <cellStyle name="Currency 2" xfId="11" xr:uid="{00000000-0005-0000-0000-000000000000}"/>
    <cellStyle name="Normal" xfId="0" builtinId="0"/>
    <cellStyle name="Normal 2" xfId="1" xr:uid="{00000000-0005-0000-0000-000001000000}"/>
    <cellStyle name="Normal 2 2" xfId="7" xr:uid="{00000000-0005-0000-0000-000002000000}"/>
    <cellStyle name="Normal 2 3" xfId="13" xr:uid="{00000000-0005-0000-0000-000003000000}"/>
    <cellStyle name="Normal 2 4" xfId="24" xr:uid="{00000000-0005-0000-0000-000004000000}"/>
    <cellStyle name="Normal 3" xfId="2" xr:uid="{00000000-0005-0000-0000-000005000000}"/>
    <cellStyle name="Normal 3 2" xfId="14" xr:uid="{00000000-0005-0000-0000-000006000000}"/>
    <cellStyle name="Normal 3 3" xfId="20" xr:uid="{00000000-0005-0000-0000-000007000000}"/>
    <cellStyle name="Normal 4" xfId="5" xr:uid="{00000000-0005-0000-0000-000008000000}"/>
    <cellStyle name="Normal 4 2" xfId="16" xr:uid="{00000000-0005-0000-0000-000009000000}"/>
    <cellStyle name="Normal 4 3" xfId="22" xr:uid="{00000000-0005-0000-0000-00000A000000}"/>
    <cellStyle name="Normal 5" xfId="10" xr:uid="{00000000-0005-0000-0000-00000B000000}"/>
    <cellStyle name="Normal 6" xfId="8" xr:uid="{00000000-0005-0000-0000-00000C000000}"/>
    <cellStyle name="Normal 7" xfId="18" xr:uid="{00000000-0005-0000-0000-00000D000000}"/>
    <cellStyle name="Percent 2" xfId="4" xr:uid="{00000000-0005-0000-0000-00000E000000}"/>
    <cellStyle name="Percent 3" xfId="3" xr:uid="{00000000-0005-0000-0000-00000F000000}"/>
    <cellStyle name="Percent 3 2" xfId="15" xr:uid="{00000000-0005-0000-0000-000010000000}"/>
    <cellStyle name="Percent 3 3" xfId="21" xr:uid="{00000000-0005-0000-0000-000011000000}"/>
    <cellStyle name="Percent 4" xfId="6" xr:uid="{00000000-0005-0000-0000-000012000000}"/>
    <cellStyle name="Percent 4 2" xfId="17" xr:uid="{00000000-0005-0000-0000-000013000000}"/>
    <cellStyle name="Percent 4 3" xfId="23" xr:uid="{00000000-0005-0000-0000-000014000000}"/>
    <cellStyle name="Percent 5" xfId="12" xr:uid="{00000000-0005-0000-0000-000015000000}"/>
    <cellStyle name="Percent 6" xfId="9" xr:uid="{00000000-0005-0000-0000-000016000000}"/>
    <cellStyle name="Percent 7" xfId="19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D5CD-CCDE-4909-BFA3-14EA5B6CC0F1}">
  <dimension ref="A1:Q293"/>
  <sheetViews>
    <sheetView showGridLines="0" tabSelected="1" view="pageBreakPreview" zoomScaleNormal="130" zoomScaleSheetLayoutView="100" zoomScalePageLayoutView="85" workbookViewId="0">
      <selection activeCell="K13" sqref="K13"/>
    </sheetView>
  </sheetViews>
  <sheetFormatPr defaultColWidth="9.28515625" defaultRowHeight="12.75" x14ac:dyDescent="0.2"/>
  <cols>
    <col min="1" max="1" width="6.7109375" style="8" customWidth="1"/>
    <col min="2" max="2" width="8.7109375" style="8" customWidth="1"/>
    <col min="3" max="6" width="9.7109375" style="8" customWidth="1"/>
    <col min="7" max="7" width="25.7109375" style="8" customWidth="1"/>
    <col min="8" max="8" width="8.7109375" style="8" customWidth="1"/>
    <col min="9" max="9" width="4.7109375" style="8" customWidth="1"/>
    <col min="10" max="10" width="2.7109375" style="25" customWidth="1"/>
    <col min="11" max="11" width="10.7109375" style="7" customWidth="1"/>
    <col min="12" max="12" width="2.7109375" style="8" customWidth="1"/>
    <col min="13" max="13" width="12.7109375" style="18" customWidth="1"/>
    <col min="14" max="16" width="7.7109375" style="8" customWidth="1"/>
    <col min="17" max="17" width="8.140625" style="8" bestFit="1" customWidth="1"/>
    <col min="18" max="16384" width="9.28515625" style="8"/>
  </cols>
  <sheetData>
    <row r="1" spans="1:17" ht="15.75" customHeight="1" x14ac:dyDescent="0.2">
      <c r="A1" s="73" t="s">
        <v>63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7" ht="15.75" customHeight="1" x14ac:dyDescent="0.2">
      <c r="A2" s="80" t="s">
        <v>261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</row>
    <row r="3" spans="1:17" s="14" customFormat="1" ht="12.75" customHeight="1" x14ac:dyDescent="0.2">
      <c r="A3" s="74" t="s">
        <v>6</v>
      </c>
      <c r="B3" s="74"/>
      <c r="C3" s="75" t="s">
        <v>0</v>
      </c>
      <c r="D3" s="75"/>
      <c r="E3" s="9"/>
      <c r="F3" s="9"/>
      <c r="G3" s="9"/>
      <c r="H3" s="10" t="s">
        <v>7</v>
      </c>
      <c r="I3" s="11" t="s">
        <v>1</v>
      </c>
      <c r="J3" s="12"/>
      <c r="K3" s="61" t="s">
        <v>24</v>
      </c>
      <c r="L3" s="13"/>
      <c r="M3" s="10" t="s">
        <v>48</v>
      </c>
    </row>
    <row r="4" spans="1:17" x14ac:dyDescent="0.2">
      <c r="A4" s="15"/>
      <c r="B4" s="16"/>
      <c r="C4" s="16"/>
      <c r="D4" s="16"/>
      <c r="E4" s="16"/>
      <c r="F4" s="16"/>
      <c r="G4" s="16"/>
      <c r="H4" s="16"/>
      <c r="I4" s="16"/>
      <c r="J4" s="17"/>
      <c r="K4" s="16"/>
      <c r="L4" s="16"/>
    </row>
    <row r="5" spans="1:17" x14ac:dyDescent="0.2">
      <c r="A5" s="19" t="s">
        <v>2</v>
      </c>
      <c r="B5" s="76" t="s">
        <v>262</v>
      </c>
      <c r="C5" s="76"/>
      <c r="D5" s="76"/>
      <c r="E5" s="76"/>
      <c r="F5" s="76"/>
      <c r="G5" s="76"/>
      <c r="H5" s="16"/>
      <c r="I5" s="16"/>
      <c r="J5" s="17"/>
      <c r="K5" s="16"/>
      <c r="L5" s="16"/>
    </row>
    <row r="6" spans="1:17" x14ac:dyDescent="0.2">
      <c r="A6" s="19"/>
      <c r="B6" s="65"/>
      <c r="C6" s="65"/>
      <c r="D6" s="65"/>
      <c r="E6" s="65"/>
      <c r="F6" s="65"/>
      <c r="G6" s="65"/>
      <c r="H6" s="16"/>
      <c r="I6" s="16"/>
      <c r="J6" s="17"/>
      <c r="K6" s="16"/>
      <c r="L6" s="16"/>
    </row>
    <row r="7" spans="1:17" x14ac:dyDescent="0.2">
      <c r="A7" s="20" t="s">
        <v>12</v>
      </c>
      <c r="B7" s="77" t="s">
        <v>287</v>
      </c>
      <c r="C7" s="77"/>
      <c r="D7" s="77"/>
      <c r="E7" s="77"/>
      <c r="F7" s="77"/>
      <c r="G7" s="77"/>
      <c r="H7" s="4">
        <v>9990</v>
      </c>
      <c r="I7" s="21" t="s">
        <v>45</v>
      </c>
      <c r="J7" s="22" t="s">
        <v>3</v>
      </c>
      <c r="K7" s="66"/>
      <c r="L7" s="22" t="s">
        <v>3</v>
      </c>
      <c r="M7" s="1">
        <f>H7*K7</f>
        <v>0</v>
      </c>
      <c r="Q7" s="23"/>
    </row>
    <row r="8" spans="1:17" ht="12.75" customHeight="1" x14ac:dyDescent="0.2">
      <c r="A8" s="20"/>
      <c r="B8" s="78" t="s">
        <v>248</v>
      </c>
      <c r="C8" s="78"/>
      <c r="D8" s="78"/>
      <c r="E8" s="78"/>
      <c r="F8" s="78"/>
      <c r="G8" s="78"/>
      <c r="H8" s="79"/>
      <c r="I8" s="79"/>
      <c r="J8" s="79"/>
      <c r="K8" s="79"/>
      <c r="L8" s="2"/>
      <c r="M8" s="2"/>
      <c r="Q8" s="23"/>
    </row>
    <row r="9" spans="1:17" ht="12.75" customHeight="1" x14ac:dyDescent="0.2">
      <c r="A9" s="20"/>
      <c r="B9" s="63"/>
      <c r="C9" s="63"/>
      <c r="D9" s="63"/>
      <c r="E9" s="63"/>
      <c r="F9" s="63"/>
      <c r="G9" s="63"/>
      <c r="H9" s="24"/>
      <c r="I9" s="21"/>
      <c r="K9" s="26"/>
      <c r="L9" s="2"/>
      <c r="M9" s="2"/>
      <c r="Q9" s="23"/>
    </row>
    <row r="10" spans="1:17" x14ac:dyDescent="0.2">
      <c r="A10" s="20" t="s">
        <v>13</v>
      </c>
      <c r="B10" s="77" t="s">
        <v>288</v>
      </c>
      <c r="C10" s="77"/>
      <c r="D10" s="77"/>
      <c r="E10" s="77"/>
      <c r="F10" s="77"/>
      <c r="G10" s="77"/>
      <c r="H10" s="4">
        <v>20029</v>
      </c>
      <c r="I10" s="21" t="s">
        <v>45</v>
      </c>
      <c r="J10" s="22" t="s">
        <v>3</v>
      </c>
      <c r="K10" s="66"/>
      <c r="L10" s="22" t="s">
        <v>3</v>
      </c>
      <c r="M10" s="1">
        <f>H10*K10</f>
        <v>0</v>
      </c>
      <c r="Q10" s="23"/>
    </row>
    <row r="11" spans="1:17" ht="12.75" customHeight="1" x14ac:dyDescent="0.2">
      <c r="A11" s="20"/>
      <c r="B11" s="78" t="s">
        <v>248</v>
      </c>
      <c r="C11" s="78"/>
      <c r="D11" s="78"/>
      <c r="E11" s="78"/>
      <c r="F11" s="78"/>
      <c r="G11" s="78"/>
      <c r="H11" s="79"/>
      <c r="I11" s="79"/>
      <c r="J11" s="79"/>
      <c r="K11" s="79"/>
      <c r="L11" s="79"/>
      <c r="M11" s="79"/>
      <c r="Q11" s="23"/>
    </row>
    <row r="12" spans="1:17" ht="12.75" customHeight="1" x14ac:dyDescent="0.2">
      <c r="A12" s="20"/>
      <c r="B12" s="63"/>
      <c r="C12" s="63"/>
      <c r="D12" s="63"/>
      <c r="E12" s="63"/>
      <c r="F12" s="63"/>
      <c r="G12" s="63"/>
      <c r="H12" s="24"/>
      <c r="I12" s="21"/>
      <c r="K12" s="26"/>
      <c r="L12" s="2"/>
      <c r="M12" s="2"/>
      <c r="Q12" s="23"/>
    </row>
    <row r="13" spans="1:17" x14ac:dyDescent="0.2">
      <c r="A13" s="20" t="s">
        <v>14</v>
      </c>
      <c r="B13" s="77" t="s">
        <v>289</v>
      </c>
      <c r="C13" s="77"/>
      <c r="D13" s="77"/>
      <c r="E13" s="77"/>
      <c r="F13" s="77"/>
      <c r="G13" s="77"/>
      <c r="H13" s="4">
        <v>37135</v>
      </c>
      <c r="I13" s="21" t="s">
        <v>45</v>
      </c>
      <c r="J13" s="22" t="s">
        <v>3</v>
      </c>
      <c r="K13" s="66"/>
      <c r="L13" s="22" t="s">
        <v>3</v>
      </c>
      <c r="M13" s="1">
        <f>H13*K13</f>
        <v>0</v>
      </c>
      <c r="Q13" s="23"/>
    </row>
    <row r="14" spans="1:17" ht="12.75" customHeight="1" x14ac:dyDescent="0.2">
      <c r="A14" s="20"/>
      <c r="B14" s="78" t="s">
        <v>248</v>
      </c>
      <c r="C14" s="78"/>
      <c r="D14" s="78"/>
      <c r="E14" s="78"/>
      <c r="F14" s="78"/>
      <c r="G14" s="78"/>
      <c r="H14" s="27"/>
      <c r="I14" s="27"/>
      <c r="J14" s="27"/>
      <c r="K14" s="27"/>
      <c r="L14" s="2"/>
      <c r="M14" s="2"/>
      <c r="Q14" s="23"/>
    </row>
    <row r="15" spans="1:17" ht="12.75" customHeight="1" x14ac:dyDescent="0.2">
      <c r="A15" s="20"/>
      <c r="B15" s="63"/>
      <c r="C15" s="63"/>
      <c r="D15" s="63"/>
      <c r="E15" s="63"/>
      <c r="F15" s="63"/>
      <c r="G15" s="63"/>
      <c r="H15" s="24"/>
      <c r="I15" s="21"/>
      <c r="K15" s="26"/>
      <c r="L15" s="2"/>
      <c r="M15" s="2"/>
      <c r="Q15" s="23"/>
    </row>
    <row r="16" spans="1:17" x14ac:dyDescent="0.2">
      <c r="A16" s="20" t="s">
        <v>23</v>
      </c>
      <c r="B16" s="77" t="s">
        <v>290</v>
      </c>
      <c r="C16" s="77"/>
      <c r="D16" s="77"/>
      <c r="E16" s="77"/>
      <c r="F16" s="77"/>
      <c r="G16" s="77"/>
      <c r="H16" s="4">
        <v>3020</v>
      </c>
      <c r="I16" s="21" t="s">
        <v>45</v>
      </c>
      <c r="J16" s="22" t="s">
        <v>3</v>
      </c>
      <c r="K16" s="66"/>
      <c r="L16" s="22" t="s">
        <v>3</v>
      </c>
      <c r="M16" s="1">
        <f>H16*K16</f>
        <v>0</v>
      </c>
      <c r="Q16" s="23"/>
    </row>
    <row r="17" spans="1:17" ht="12.75" customHeight="1" x14ac:dyDescent="0.2">
      <c r="A17" s="20"/>
      <c r="B17" s="78" t="s">
        <v>248</v>
      </c>
      <c r="C17" s="78"/>
      <c r="D17" s="78"/>
      <c r="E17" s="78"/>
      <c r="F17" s="78"/>
      <c r="G17" s="78"/>
      <c r="H17" s="79"/>
      <c r="I17" s="79"/>
      <c r="J17" s="79"/>
      <c r="K17" s="79"/>
      <c r="L17" s="2"/>
      <c r="M17" s="2"/>
      <c r="Q17" s="23"/>
    </row>
    <row r="18" spans="1:17" ht="12.75" customHeight="1" x14ac:dyDescent="0.2">
      <c r="A18" s="20"/>
      <c r="B18" s="63"/>
      <c r="C18" s="63"/>
      <c r="D18" s="63"/>
      <c r="E18" s="63"/>
      <c r="F18" s="63"/>
      <c r="G18" s="63"/>
      <c r="H18" s="24"/>
      <c r="I18" s="21"/>
      <c r="K18" s="26"/>
      <c r="L18" s="2"/>
      <c r="M18" s="2"/>
      <c r="Q18" s="23"/>
    </row>
    <row r="19" spans="1:17" x14ac:dyDescent="0.2">
      <c r="A19" s="20" t="s">
        <v>25</v>
      </c>
      <c r="B19" s="77" t="s">
        <v>291</v>
      </c>
      <c r="C19" s="77"/>
      <c r="D19" s="77"/>
      <c r="E19" s="77"/>
      <c r="F19" s="77"/>
      <c r="G19" s="77"/>
      <c r="H19" s="4">
        <v>3528</v>
      </c>
      <c r="I19" s="21" t="s">
        <v>45</v>
      </c>
      <c r="J19" s="22" t="s">
        <v>3</v>
      </c>
      <c r="K19" s="66"/>
      <c r="L19" s="22" t="s">
        <v>3</v>
      </c>
      <c r="M19" s="1">
        <f>H19*K19</f>
        <v>0</v>
      </c>
      <c r="Q19" s="23"/>
    </row>
    <row r="20" spans="1:17" ht="12.75" customHeight="1" x14ac:dyDescent="0.2">
      <c r="A20" s="20"/>
      <c r="B20" s="78" t="s">
        <v>248</v>
      </c>
      <c r="C20" s="78"/>
      <c r="D20" s="78"/>
      <c r="E20" s="78"/>
      <c r="F20" s="78"/>
      <c r="G20" s="78"/>
      <c r="H20" s="79"/>
      <c r="I20" s="79"/>
      <c r="J20" s="79"/>
      <c r="K20" s="79"/>
      <c r="L20" s="2"/>
      <c r="M20" s="2"/>
      <c r="Q20" s="23"/>
    </row>
    <row r="21" spans="1:17" ht="12.75" customHeight="1" x14ac:dyDescent="0.2">
      <c r="A21" s="20"/>
      <c r="B21" s="63"/>
      <c r="C21" s="63"/>
      <c r="D21" s="63"/>
      <c r="E21" s="63"/>
      <c r="F21" s="63"/>
      <c r="G21" s="63"/>
      <c r="H21" s="24"/>
      <c r="I21" s="21"/>
      <c r="K21" s="26"/>
      <c r="L21" s="2"/>
      <c r="M21" s="2"/>
      <c r="Q21" s="23"/>
    </row>
    <row r="22" spans="1:17" x14ac:dyDescent="0.2">
      <c r="A22" s="20" t="s">
        <v>29</v>
      </c>
      <c r="B22" s="77" t="s">
        <v>292</v>
      </c>
      <c r="C22" s="77"/>
      <c r="D22" s="77"/>
      <c r="E22" s="77"/>
      <c r="F22" s="77"/>
      <c r="G22" s="77"/>
      <c r="H22" s="4">
        <v>790</v>
      </c>
      <c r="I22" s="21" t="s">
        <v>45</v>
      </c>
      <c r="J22" s="22" t="s">
        <v>3</v>
      </c>
      <c r="K22" s="66"/>
      <c r="L22" s="22" t="s">
        <v>3</v>
      </c>
      <c r="M22" s="1">
        <f>H22*K22</f>
        <v>0</v>
      </c>
      <c r="Q22" s="23"/>
    </row>
    <row r="23" spans="1:17" ht="12.75" customHeight="1" x14ac:dyDescent="0.2">
      <c r="A23" s="20"/>
      <c r="B23" s="78" t="s">
        <v>248</v>
      </c>
      <c r="C23" s="78"/>
      <c r="D23" s="78"/>
      <c r="E23" s="78"/>
      <c r="F23" s="78"/>
      <c r="G23" s="78"/>
      <c r="H23" s="79"/>
      <c r="I23" s="79"/>
      <c r="J23" s="79"/>
      <c r="K23" s="26"/>
      <c r="L23" s="2"/>
      <c r="M23" s="2"/>
      <c r="Q23" s="23"/>
    </row>
    <row r="24" spans="1:17" ht="12.75" customHeight="1" x14ac:dyDescent="0.2">
      <c r="A24" s="20"/>
      <c r="B24" s="63"/>
      <c r="C24" s="63"/>
      <c r="D24" s="63"/>
      <c r="E24" s="63"/>
      <c r="F24" s="63"/>
      <c r="G24" s="63"/>
      <c r="H24" s="24"/>
      <c r="I24" s="21"/>
      <c r="K24" s="26"/>
      <c r="L24" s="2"/>
      <c r="M24" s="2"/>
      <c r="Q24" s="23"/>
    </row>
    <row r="25" spans="1:17" x14ac:dyDescent="0.2">
      <c r="A25" s="20" t="s">
        <v>30</v>
      </c>
      <c r="B25" s="77" t="s">
        <v>293</v>
      </c>
      <c r="C25" s="77"/>
      <c r="D25" s="77"/>
      <c r="E25" s="77"/>
      <c r="F25" s="77"/>
      <c r="G25" s="77"/>
      <c r="H25" s="4">
        <v>7413</v>
      </c>
      <c r="I25" s="21" t="s">
        <v>45</v>
      </c>
      <c r="J25" s="22" t="s">
        <v>3</v>
      </c>
      <c r="K25" s="66"/>
      <c r="L25" s="22" t="s">
        <v>3</v>
      </c>
      <c r="M25" s="1">
        <f>H25*K25</f>
        <v>0</v>
      </c>
      <c r="Q25" s="23"/>
    </row>
    <row r="26" spans="1:17" ht="12.75" customHeight="1" x14ac:dyDescent="0.2">
      <c r="A26" s="20"/>
      <c r="B26" s="78" t="s">
        <v>248</v>
      </c>
      <c r="C26" s="78"/>
      <c r="D26" s="78"/>
      <c r="E26" s="78"/>
      <c r="F26" s="78"/>
      <c r="G26" s="78"/>
      <c r="H26" s="79"/>
      <c r="I26" s="79"/>
      <c r="J26" s="79"/>
      <c r="K26" s="79"/>
      <c r="L26" s="2"/>
      <c r="M26" s="2"/>
      <c r="Q26" s="23"/>
    </row>
    <row r="27" spans="1:17" ht="12.75" customHeight="1" x14ac:dyDescent="0.2">
      <c r="A27" s="20"/>
      <c r="B27" s="63"/>
      <c r="C27" s="63"/>
      <c r="D27" s="63"/>
      <c r="E27" s="63"/>
      <c r="F27" s="63"/>
      <c r="G27" s="63"/>
      <c r="H27" s="24"/>
      <c r="I27" s="21"/>
      <c r="K27" s="26"/>
      <c r="L27" s="2"/>
      <c r="M27" s="2"/>
      <c r="Q27" s="23"/>
    </row>
    <row r="28" spans="1:17" x14ac:dyDescent="0.2">
      <c r="A28" s="20" t="s">
        <v>31</v>
      </c>
      <c r="B28" s="77" t="s">
        <v>294</v>
      </c>
      <c r="C28" s="77"/>
      <c r="D28" s="77"/>
      <c r="E28" s="77"/>
      <c r="F28" s="77"/>
      <c r="G28" s="77"/>
      <c r="H28" s="4">
        <v>237</v>
      </c>
      <c r="I28" s="21" t="s">
        <v>45</v>
      </c>
      <c r="J28" s="22" t="s">
        <v>3</v>
      </c>
      <c r="K28" s="66"/>
      <c r="L28" s="22" t="s">
        <v>3</v>
      </c>
      <c r="M28" s="1">
        <f>H28*K28</f>
        <v>0</v>
      </c>
      <c r="Q28" s="23"/>
    </row>
    <row r="29" spans="1:17" ht="12.75" customHeight="1" x14ac:dyDescent="0.2">
      <c r="A29" s="20"/>
      <c r="B29" s="78" t="s">
        <v>248</v>
      </c>
      <c r="C29" s="78"/>
      <c r="D29" s="78"/>
      <c r="E29" s="78"/>
      <c r="F29" s="78"/>
      <c r="G29" s="78"/>
      <c r="H29" s="79"/>
      <c r="I29" s="79"/>
      <c r="J29" s="79"/>
      <c r="K29" s="26"/>
      <c r="L29" s="2"/>
      <c r="M29" s="2"/>
      <c r="Q29" s="23"/>
    </row>
    <row r="30" spans="1:17" ht="12.75" customHeight="1" x14ac:dyDescent="0.2">
      <c r="A30" s="20"/>
      <c r="B30" s="63"/>
      <c r="C30" s="63"/>
      <c r="D30" s="63"/>
      <c r="E30" s="63"/>
      <c r="F30" s="63"/>
      <c r="G30" s="63"/>
      <c r="H30" s="24"/>
      <c r="I30" s="21"/>
      <c r="K30" s="26"/>
      <c r="L30" s="2"/>
      <c r="M30" s="2"/>
      <c r="Q30" s="23"/>
    </row>
    <row r="31" spans="1:17" x14ac:dyDescent="0.2">
      <c r="A31" s="20" t="s">
        <v>32</v>
      </c>
      <c r="B31" s="77" t="s">
        <v>295</v>
      </c>
      <c r="C31" s="77"/>
      <c r="D31" s="77"/>
      <c r="E31" s="77"/>
      <c r="F31" s="77"/>
      <c r="G31" s="77"/>
      <c r="H31" s="4">
        <v>24550</v>
      </c>
      <c r="I31" s="21" t="s">
        <v>45</v>
      </c>
      <c r="J31" s="22" t="s">
        <v>3</v>
      </c>
      <c r="K31" s="66"/>
      <c r="L31" s="22" t="s">
        <v>3</v>
      </c>
      <c r="M31" s="1">
        <f>H31*K31</f>
        <v>0</v>
      </c>
      <c r="Q31" s="23"/>
    </row>
    <row r="32" spans="1:17" ht="12.75" customHeight="1" x14ac:dyDescent="0.2">
      <c r="A32" s="20"/>
      <c r="B32" s="78" t="s">
        <v>248</v>
      </c>
      <c r="C32" s="78"/>
      <c r="D32" s="78"/>
      <c r="E32" s="78"/>
      <c r="F32" s="78"/>
      <c r="G32" s="78"/>
      <c r="H32" s="79"/>
      <c r="I32" s="79"/>
      <c r="J32" s="79"/>
      <c r="K32" s="79"/>
      <c r="L32" s="2"/>
      <c r="M32" s="2"/>
      <c r="Q32" s="23"/>
    </row>
    <row r="33" spans="1:17" ht="12.75" customHeight="1" x14ac:dyDescent="0.2">
      <c r="A33" s="20"/>
      <c r="B33" s="63"/>
      <c r="C33" s="63"/>
      <c r="D33" s="63"/>
      <c r="E33" s="63"/>
      <c r="F33" s="63"/>
      <c r="G33" s="63"/>
      <c r="H33" s="24"/>
      <c r="I33" s="21"/>
      <c r="K33" s="26"/>
      <c r="L33" s="2"/>
      <c r="M33" s="2"/>
      <c r="Q33" s="23"/>
    </row>
    <row r="34" spans="1:17" x14ac:dyDescent="0.2">
      <c r="A34" s="20" t="s">
        <v>37</v>
      </c>
      <c r="B34" s="77" t="s">
        <v>296</v>
      </c>
      <c r="C34" s="77"/>
      <c r="D34" s="77"/>
      <c r="E34" s="77"/>
      <c r="F34" s="77"/>
      <c r="G34" s="77"/>
      <c r="H34" s="4">
        <v>24000</v>
      </c>
      <c r="I34" s="21" t="s">
        <v>45</v>
      </c>
      <c r="J34" s="58" t="s">
        <v>3</v>
      </c>
      <c r="K34" s="59"/>
      <c r="L34" s="58" t="s">
        <v>3</v>
      </c>
      <c r="M34" s="60">
        <f>H34*K34</f>
        <v>0</v>
      </c>
      <c r="Q34" s="23"/>
    </row>
    <row r="35" spans="1:17" ht="12.75" customHeight="1" x14ac:dyDescent="0.2">
      <c r="A35" s="20"/>
      <c r="B35" s="78" t="s">
        <v>248</v>
      </c>
      <c r="C35" s="78"/>
      <c r="D35" s="78"/>
      <c r="E35" s="78"/>
      <c r="F35" s="78"/>
      <c r="G35" s="78"/>
      <c r="H35" s="79"/>
      <c r="I35" s="79"/>
      <c r="J35" s="79"/>
      <c r="K35" s="26"/>
      <c r="L35" s="2"/>
      <c r="M35" s="2"/>
    </row>
    <row r="36" spans="1:17" ht="12.75" customHeight="1" x14ac:dyDescent="0.2">
      <c r="A36" s="20"/>
      <c r="B36" s="63"/>
      <c r="C36" s="63"/>
      <c r="D36" s="63"/>
      <c r="E36" s="63"/>
      <c r="F36" s="63"/>
      <c r="G36" s="63"/>
      <c r="H36" s="64"/>
      <c r="I36" s="64"/>
      <c r="J36" s="64"/>
      <c r="K36" s="26"/>
      <c r="L36" s="2"/>
      <c r="M36" s="2"/>
    </row>
    <row r="37" spans="1:17" x14ac:dyDescent="0.2">
      <c r="A37" s="20" t="s">
        <v>49</v>
      </c>
      <c r="B37" s="77" t="s">
        <v>297</v>
      </c>
      <c r="C37" s="77"/>
      <c r="D37" s="77"/>
      <c r="E37" s="77"/>
      <c r="F37" s="77"/>
      <c r="G37" s="77"/>
      <c r="H37" s="4">
        <v>4365</v>
      </c>
      <c r="I37" s="21" t="s">
        <v>45</v>
      </c>
      <c r="J37" s="22" t="s">
        <v>3</v>
      </c>
      <c r="K37" s="66"/>
      <c r="L37" s="22" t="s">
        <v>3</v>
      </c>
      <c r="M37" s="1">
        <f>H37*K37</f>
        <v>0</v>
      </c>
      <c r="Q37" s="23"/>
    </row>
    <row r="38" spans="1:17" ht="12.75" customHeight="1" x14ac:dyDescent="0.2">
      <c r="A38" s="20"/>
      <c r="B38" s="78" t="s">
        <v>249</v>
      </c>
      <c r="C38" s="78"/>
      <c r="D38" s="78"/>
      <c r="E38" s="78"/>
      <c r="F38" s="78"/>
      <c r="G38" s="78"/>
      <c r="H38" s="79"/>
      <c r="I38" s="79"/>
      <c r="J38" s="79"/>
      <c r="K38" s="26"/>
      <c r="L38" s="2"/>
      <c r="M38" s="2"/>
    </row>
    <row r="39" spans="1:17" ht="12.75" customHeight="1" x14ac:dyDescent="0.2">
      <c r="A39" s="20"/>
      <c r="B39" s="63"/>
      <c r="C39" s="63"/>
      <c r="D39" s="63"/>
      <c r="E39" s="63"/>
      <c r="F39" s="63"/>
      <c r="G39" s="63"/>
      <c r="H39" s="64"/>
      <c r="I39" s="64"/>
      <c r="J39" s="64"/>
      <c r="K39" s="26"/>
      <c r="L39" s="2"/>
      <c r="M39" s="2"/>
    </row>
    <row r="40" spans="1:17" ht="12.75" customHeight="1" x14ac:dyDescent="0.2">
      <c r="A40" s="28" t="s">
        <v>4</v>
      </c>
      <c r="B40" s="81" t="s">
        <v>263</v>
      </c>
      <c r="C40" s="81"/>
      <c r="D40" s="81"/>
      <c r="E40" s="81"/>
      <c r="F40" s="81"/>
      <c r="G40" s="81"/>
      <c r="H40" s="24"/>
      <c r="I40" s="21"/>
      <c r="K40" s="26"/>
      <c r="L40" s="2"/>
      <c r="M40" s="2"/>
    </row>
    <row r="41" spans="1:17" ht="12.75" customHeight="1" x14ac:dyDescent="0.2">
      <c r="A41" s="28"/>
      <c r="B41" s="71"/>
      <c r="C41" s="71"/>
      <c r="D41" s="71"/>
      <c r="E41" s="71"/>
      <c r="F41" s="71"/>
      <c r="G41" s="71"/>
      <c r="H41" s="24"/>
      <c r="I41" s="21"/>
      <c r="K41" s="26"/>
      <c r="L41" s="2"/>
      <c r="M41" s="2"/>
    </row>
    <row r="42" spans="1:17" x14ac:dyDescent="0.2">
      <c r="A42" s="20" t="s">
        <v>16</v>
      </c>
      <c r="B42" s="77" t="s">
        <v>267</v>
      </c>
      <c r="C42" s="77"/>
      <c r="D42" s="77"/>
      <c r="E42" s="77"/>
      <c r="F42" s="77"/>
      <c r="G42" s="77"/>
      <c r="H42" s="4">
        <v>402</v>
      </c>
      <c r="I42" s="21" t="s">
        <v>8</v>
      </c>
      <c r="J42" s="22" t="s">
        <v>3</v>
      </c>
      <c r="K42" s="66"/>
      <c r="L42" s="22" t="s">
        <v>3</v>
      </c>
      <c r="M42" s="1">
        <f>H42*K42</f>
        <v>0</v>
      </c>
      <c r="O42" s="29"/>
      <c r="Q42" s="23"/>
    </row>
    <row r="43" spans="1:17" ht="12.75" customHeight="1" x14ac:dyDescent="0.2">
      <c r="A43" s="20"/>
      <c r="B43" s="78" t="s">
        <v>248</v>
      </c>
      <c r="C43" s="78"/>
      <c r="D43" s="78"/>
      <c r="E43" s="78"/>
      <c r="F43" s="78"/>
      <c r="G43" s="78"/>
      <c r="H43" s="24"/>
      <c r="I43" s="21"/>
      <c r="K43" s="26"/>
      <c r="L43" s="2"/>
      <c r="M43" s="2"/>
      <c r="Q43" s="23"/>
    </row>
    <row r="44" spans="1:17" ht="12.75" customHeight="1" x14ac:dyDescent="0.2">
      <c r="A44" s="20"/>
      <c r="B44" s="63"/>
      <c r="C44" s="63"/>
      <c r="D44" s="63"/>
      <c r="E44" s="63"/>
      <c r="F44" s="63"/>
      <c r="G44" s="63"/>
      <c r="H44" s="24"/>
      <c r="I44" s="21"/>
      <c r="K44" s="26"/>
      <c r="L44" s="2"/>
      <c r="M44" s="2"/>
      <c r="Q44" s="23"/>
    </row>
    <row r="45" spans="1:17" x14ac:dyDescent="0.2">
      <c r="A45" s="20" t="s">
        <v>17</v>
      </c>
      <c r="B45" s="77" t="s">
        <v>264</v>
      </c>
      <c r="C45" s="77"/>
      <c r="D45" s="77"/>
      <c r="E45" s="77"/>
      <c r="F45" s="77"/>
      <c r="G45" s="77"/>
      <c r="H45" s="4">
        <v>457</v>
      </c>
      <c r="I45" s="21" t="s">
        <v>8</v>
      </c>
      <c r="J45" s="22" t="s">
        <v>3</v>
      </c>
      <c r="K45" s="66"/>
      <c r="L45" s="22" t="s">
        <v>3</v>
      </c>
      <c r="M45" s="1">
        <f>H45*K45</f>
        <v>0</v>
      </c>
      <c r="O45" s="29"/>
      <c r="Q45" s="23"/>
    </row>
    <row r="46" spans="1:17" ht="12.75" customHeight="1" x14ac:dyDescent="0.2">
      <c r="A46" s="20"/>
      <c r="B46" s="78" t="s">
        <v>248</v>
      </c>
      <c r="C46" s="78"/>
      <c r="D46" s="78"/>
      <c r="E46" s="78"/>
      <c r="F46" s="78"/>
      <c r="G46" s="78"/>
      <c r="H46" s="24"/>
      <c r="I46" s="21"/>
      <c r="K46" s="26"/>
      <c r="L46" s="2"/>
      <c r="M46" s="2"/>
      <c r="Q46" s="23"/>
    </row>
    <row r="47" spans="1:17" ht="12.75" customHeight="1" x14ac:dyDescent="0.2">
      <c r="A47" s="20"/>
      <c r="B47" s="63"/>
      <c r="C47" s="63"/>
      <c r="D47" s="63"/>
      <c r="E47" s="63"/>
      <c r="F47" s="63"/>
      <c r="G47" s="63"/>
      <c r="H47" s="24"/>
      <c r="I47" s="21"/>
      <c r="K47" s="26"/>
      <c r="L47" s="2"/>
      <c r="M47" s="2"/>
      <c r="Q47" s="23"/>
    </row>
    <row r="48" spans="1:17" x14ac:dyDescent="0.2">
      <c r="A48" s="20" t="s">
        <v>26</v>
      </c>
      <c r="B48" s="77" t="s">
        <v>265</v>
      </c>
      <c r="C48" s="77"/>
      <c r="D48" s="77"/>
      <c r="E48" s="77"/>
      <c r="F48" s="77"/>
      <c r="G48" s="77"/>
      <c r="H48" s="4">
        <v>1677</v>
      </c>
      <c r="I48" s="21" t="s">
        <v>8</v>
      </c>
      <c r="J48" s="22" t="s">
        <v>3</v>
      </c>
      <c r="K48" s="66"/>
      <c r="L48" s="22" t="s">
        <v>3</v>
      </c>
      <c r="M48" s="1">
        <f>H48*K48</f>
        <v>0</v>
      </c>
      <c r="O48" s="29"/>
      <c r="Q48" s="23"/>
    </row>
    <row r="49" spans="1:17" ht="12.75" customHeight="1" x14ac:dyDescent="0.2">
      <c r="A49" s="20"/>
      <c r="B49" s="78" t="s">
        <v>248</v>
      </c>
      <c r="C49" s="78"/>
      <c r="D49" s="78"/>
      <c r="E49" s="78"/>
      <c r="F49" s="78"/>
      <c r="G49" s="78"/>
      <c r="H49" s="24"/>
      <c r="I49" s="21"/>
      <c r="K49" s="26"/>
      <c r="L49" s="2"/>
      <c r="M49" s="2"/>
      <c r="Q49" s="23"/>
    </row>
    <row r="50" spans="1:17" ht="12.75" customHeight="1" x14ac:dyDescent="0.2">
      <c r="A50" s="20"/>
      <c r="B50" s="63"/>
      <c r="C50" s="63"/>
      <c r="D50" s="63"/>
      <c r="E50" s="63"/>
      <c r="F50" s="63"/>
      <c r="G50" s="63"/>
      <c r="H50" s="24"/>
      <c r="I50" s="21"/>
      <c r="K50" s="26"/>
      <c r="L50" s="2"/>
      <c r="M50" s="2"/>
      <c r="Q50" s="23"/>
    </row>
    <row r="51" spans="1:17" x14ac:dyDescent="0.2">
      <c r="A51" s="20" t="s">
        <v>27</v>
      </c>
      <c r="B51" s="77" t="s">
        <v>266</v>
      </c>
      <c r="C51" s="77"/>
      <c r="D51" s="77"/>
      <c r="E51" s="77"/>
      <c r="F51" s="77"/>
      <c r="G51" s="77"/>
      <c r="H51" s="4">
        <v>71</v>
      </c>
      <c r="I51" s="21" t="s">
        <v>8</v>
      </c>
      <c r="J51" s="22" t="s">
        <v>3</v>
      </c>
      <c r="K51" s="66"/>
      <c r="L51" s="22" t="s">
        <v>3</v>
      </c>
      <c r="M51" s="1">
        <f>H51*K51</f>
        <v>0</v>
      </c>
      <c r="O51" s="29"/>
      <c r="Q51" s="23"/>
    </row>
    <row r="52" spans="1:17" ht="12.75" customHeight="1" x14ac:dyDescent="0.2">
      <c r="A52" s="20"/>
      <c r="B52" s="78" t="s">
        <v>248</v>
      </c>
      <c r="C52" s="78"/>
      <c r="D52" s="78"/>
      <c r="E52" s="78"/>
      <c r="F52" s="78"/>
      <c r="G52" s="78"/>
      <c r="H52" s="24"/>
      <c r="I52" s="21"/>
      <c r="K52" s="26"/>
      <c r="L52" s="2"/>
      <c r="M52" s="2"/>
      <c r="Q52" s="23"/>
    </row>
    <row r="53" spans="1:17" ht="12.75" customHeight="1" x14ac:dyDescent="0.2">
      <c r="A53" s="20"/>
      <c r="B53" s="63"/>
      <c r="C53" s="63"/>
      <c r="D53" s="63"/>
      <c r="E53" s="63"/>
      <c r="F53" s="63"/>
      <c r="G53" s="63"/>
      <c r="H53" s="24"/>
      <c r="I53" s="21"/>
      <c r="K53" s="26"/>
      <c r="L53" s="2"/>
      <c r="M53" s="2"/>
      <c r="Q53" s="23"/>
    </row>
    <row r="54" spans="1:17" x14ac:dyDescent="0.2">
      <c r="A54" s="20" t="s">
        <v>28</v>
      </c>
      <c r="B54" s="77" t="s">
        <v>268</v>
      </c>
      <c r="C54" s="77"/>
      <c r="D54" s="77"/>
      <c r="E54" s="77"/>
      <c r="F54" s="77"/>
      <c r="G54" s="77"/>
      <c r="H54" s="4">
        <v>84</v>
      </c>
      <c r="I54" s="21" t="s">
        <v>8</v>
      </c>
      <c r="J54" s="22" t="s">
        <v>3</v>
      </c>
      <c r="K54" s="66"/>
      <c r="L54" s="22" t="s">
        <v>3</v>
      </c>
      <c r="M54" s="1">
        <f>H54*K54</f>
        <v>0</v>
      </c>
      <c r="O54" s="29"/>
      <c r="Q54" s="23"/>
    </row>
    <row r="55" spans="1:17" ht="12.75" customHeight="1" x14ac:dyDescent="0.2">
      <c r="A55" s="20"/>
      <c r="B55" s="78" t="s">
        <v>248</v>
      </c>
      <c r="C55" s="78"/>
      <c r="D55" s="78"/>
      <c r="E55" s="78"/>
      <c r="F55" s="78"/>
      <c r="G55" s="78"/>
      <c r="H55" s="24"/>
      <c r="I55" s="21"/>
      <c r="K55" s="26"/>
      <c r="L55" s="2"/>
      <c r="M55" s="2"/>
      <c r="Q55" s="23"/>
    </row>
    <row r="56" spans="1:17" ht="12.75" customHeight="1" x14ac:dyDescent="0.2">
      <c r="A56" s="20"/>
      <c r="B56" s="63"/>
      <c r="C56" s="63"/>
      <c r="D56" s="63"/>
      <c r="E56" s="63"/>
      <c r="F56" s="63"/>
      <c r="G56" s="63"/>
      <c r="H56" s="24"/>
      <c r="I56" s="21"/>
      <c r="K56" s="26"/>
      <c r="L56" s="2"/>
      <c r="M56" s="2"/>
      <c r="Q56" s="23"/>
    </row>
    <row r="57" spans="1:17" x14ac:dyDescent="0.2">
      <c r="A57" s="20" t="s">
        <v>33</v>
      </c>
      <c r="B57" s="77" t="s">
        <v>269</v>
      </c>
      <c r="C57" s="77"/>
      <c r="D57" s="77"/>
      <c r="E57" s="77"/>
      <c r="F57" s="77"/>
      <c r="G57" s="77"/>
      <c r="H57" s="4">
        <v>42</v>
      </c>
      <c r="I57" s="21" t="s">
        <v>8</v>
      </c>
      <c r="J57" s="22" t="s">
        <v>3</v>
      </c>
      <c r="K57" s="66"/>
      <c r="L57" s="22" t="s">
        <v>3</v>
      </c>
      <c r="M57" s="1">
        <f>H57*K57</f>
        <v>0</v>
      </c>
      <c r="O57" s="29"/>
      <c r="Q57" s="23"/>
    </row>
    <row r="58" spans="1:17" ht="12.75" customHeight="1" x14ac:dyDescent="0.2">
      <c r="A58" s="20"/>
      <c r="B58" s="78" t="s">
        <v>248</v>
      </c>
      <c r="C58" s="78"/>
      <c r="D58" s="78"/>
      <c r="E58" s="78"/>
      <c r="F58" s="78"/>
      <c r="G58" s="78"/>
      <c r="H58" s="24"/>
      <c r="I58" s="21"/>
      <c r="K58" s="26"/>
      <c r="L58" s="2"/>
      <c r="M58" s="2"/>
      <c r="Q58" s="23"/>
    </row>
    <row r="59" spans="1:17" ht="12.75" customHeight="1" x14ac:dyDescent="0.2">
      <c r="A59" s="20"/>
      <c r="B59" s="63"/>
      <c r="C59" s="63"/>
      <c r="D59" s="63"/>
      <c r="E59" s="63"/>
      <c r="F59" s="63"/>
      <c r="G59" s="63"/>
      <c r="H59" s="24"/>
      <c r="I59" s="21"/>
      <c r="K59" s="26"/>
      <c r="L59" s="2"/>
      <c r="M59" s="2"/>
      <c r="Q59" s="23"/>
    </row>
    <row r="60" spans="1:17" x14ac:dyDescent="0.2">
      <c r="A60" s="20" t="s">
        <v>34</v>
      </c>
      <c r="B60" s="77" t="s">
        <v>274</v>
      </c>
      <c r="C60" s="77"/>
      <c r="D60" s="77"/>
      <c r="E60" s="77"/>
      <c r="F60" s="77"/>
      <c r="G60" s="77"/>
      <c r="H60" s="4">
        <v>169</v>
      </c>
      <c r="I60" s="21" t="s">
        <v>8</v>
      </c>
      <c r="J60" s="22" t="s">
        <v>3</v>
      </c>
      <c r="K60" s="66"/>
      <c r="L60" s="22" t="s">
        <v>3</v>
      </c>
      <c r="M60" s="1">
        <f>H60*K60</f>
        <v>0</v>
      </c>
      <c r="O60" s="29"/>
      <c r="Q60" s="23"/>
    </row>
    <row r="61" spans="1:17" ht="12.75" customHeight="1" x14ac:dyDescent="0.2">
      <c r="A61" s="20"/>
      <c r="B61" s="78" t="s">
        <v>248</v>
      </c>
      <c r="C61" s="78"/>
      <c r="D61" s="78"/>
      <c r="E61" s="78"/>
      <c r="F61" s="78"/>
      <c r="G61" s="78"/>
      <c r="H61" s="24"/>
      <c r="I61" s="21"/>
      <c r="K61" s="26"/>
      <c r="L61" s="2"/>
      <c r="M61" s="2"/>
      <c r="Q61" s="23"/>
    </row>
    <row r="62" spans="1:17" ht="12.75" customHeight="1" x14ac:dyDescent="0.2">
      <c r="A62" s="20"/>
      <c r="B62" s="63"/>
      <c r="C62" s="63"/>
      <c r="D62" s="63"/>
      <c r="E62" s="63"/>
      <c r="F62" s="63"/>
      <c r="G62" s="63"/>
      <c r="H62" s="24"/>
      <c r="I62" s="21"/>
      <c r="K62" s="26"/>
      <c r="L62" s="2"/>
      <c r="M62" s="2"/>
      <c r="Q62" s="23"/>
    </row>
    <row r="63" spans="1:17" x14ac:dyDescent="0.2">
      <c r="A63" s="20" t="s">
        <v>35</v>
      </c>
      <c r="B63" s="77" t="s">
        <v>270</v>
      </c>
      <c r="C63" s="77"/>
      <c r="D63" s="77"/>
      <c r="E63" s="77"/>
      <c r="F63" s="77"/>
      <c r="G63" s="77"/>
      <c r="H63" s="4">
        <v>13</v>
      </c>
      <c r="I63" s="21" t="s">
        <v>8</v>
      </c>
      <c r="J63" s="22" t="s">
        <v>3</v>
      </c>
      <c r="K63" s="66"/>
      <c r="L63" s="22" t="s">
        <v>3</v>
      </c>
      <c r="M63" s="1">
        <f>H63*K63</f>
        <v>0</v>
      </c>
      <c r="O63" s="29"/>
      <c r="Q63" s="23"/>
    </row>
    <row r="64" spans="1:17" ht="12.75" customHeight="1" x14ac:dyDescent="0.2">
      <c r="A64" s="20"/>
      <c r="B64" s="78" t="s">
        <v>248</v>
      </c>
      <c r="C64" s="78"/>
      <c r="D64" s="78"/>
      <c r="E64" s="78"/>
      <c r="F64" s="78"/>
      <c r="G64" s="78"/>
      <c r="H64" s="24"/>
      <c r="I64" s="21"/>
      <c r="K64" s="26"/>
      <c r="L64" s="2"/>
      <c r="M64" s="2"/>
      <c r="Q64" s="23"/>
    </row>
    <row r="65" spans="1:17" ht="12.75" customHeight="1" x14ac:dyDescent="0.2">
      <c r="A65" s="20"/>
      <c r="B65" s="63"/>
      <c r="C65" s="63"/>
      <c r="D65" s="63"/>
      <c r="E65" s="63"/>
      <c r="F65" s="63"/>
      <c r="G65" s="63"/>
      <c r="H65" s="24"/>
      <c r="I65" s="21"/>
      <c r="K65" s="26"/>
      <c r="L65" s="2"/>
      <c r="M65" s="2"/>
      <c r="Q65" s="23"/>
    </row>
    <row r="66" spans="1:17" x14ac:dyDescent="0.2">
      <c r="A66" s="20" t="s">
        <v>36</v>
      </c>
      <c r="B66" s="77" t="s">
        <v>271</v>
      </c>
      <c r="C66" s="77"/>
      <c r="D66" s="77"/>
      <c r="E66" s="77"/>
      <c r="F66" s="77"/>
      <c r="G66" s="77"/>
      <c r="H66" s="4">
        <v>722</v>
      </c>
      <c r="I66" s="21" t="s">
        <v>8</v>
      </c>
      <c r="J66" s="22" t="s">
        <v>3</v>
      </c>
      <c r="K66" s="66"/>
      <c r="L66" s="22" t="s">
        <v>3</v>
      </c>
      <c r="M66" s="1">
        <f>H66*K66</f>
        <v>0</v>
      </c>
      <c r="O66" s="29"/>
      <c r="Q66" s="23"/>
    </row>
    <row r="67" spans="1:17" ht="12.75" customHeight="1" x14ac:dyDescent="0.2">
      <c r="A67" s="20"/>
      <c r="B67" s="78" t="s">
        <v>248</v>
      </c>
      <c r="C67" s="78"/>
      <c r="D67" s="78"/>
      <c r="E67" s="78"/>
      <c r="F67" s="78"/>
      <c r="G67" s="78"/>
      <c r="H67" s="24"/>
      <c r="I67" s="21"/>
      <c r="K67" s="26"/>
      <c r="L67" s="2"/>
      <c r="M67" s="2"/>
      <c r="Q67" s="23"/>
    </row>
    <row r="68" spans="1:17" ht="12.75" customHeight="1" x14ac:dyDescent="0.2">
      <c r="A68" s="20"/>
      <c r="B68" s="63"/>
      <c r="C68" s="63"/>
      <c r="D68" s="63"/>
      <c r="E68" s="63"/>
      <c r="F68" s="63"/>
      <c r="G68" s="63"/>
      <c r="H68" s="24"/>
      <c r="I68" s="21"/>
      <c r="K68" s="26"/>
      <c r="L68" s="2"/>
      <c r="M68" s="2"/>
      <c r="Q68" s="23"/>
    </row>
    <row r="69" spans="1:17" x14ac:dyDescent="0.2">
      <c r="A69" s="20" t="s">
        <v>44</v>
      </c>
      <c r="B69" s="77" t="s">
        <v>272</v>
      </c>
      <c r="C69" s="77"/>
      <c r="D69" s="77"/>
      <c r="E69" s="77"/>
      <c r="F69" s="77"/>
      <c r="G69" s="77"/>
      <c r="H69" s="4">
        <v>1200</v>
      </c>
      <c r="I69" s="21" t="s">
        <v>8</v>
      </c>
      <c r="J69" s="58" t="s">
        <v>3</v>
      </c>
      <c r="K69" s="59"/>
      <c r="L69" s="58" t="s">
        <v>3</v>
      </c>
      <c r="M69" s="60">
        <f>H69*K69</f>
        <v>0</v>
      </c>
      <c r="O69" s="29"/>
      <c r="Q69" s="23"/>
    </row>
    <row r="70" spans="1:17" ht="12.75" customHeight="1" x14ac:dyDescent="0.2">
      <c r="A70" s="20"/>
      <c r="B70" s="78" t="s">
        <v>248</v>
      </c>
      <c r="C70" s="78"/>
      <c r="D70" s="78"/>
      <c r="E70" s="78"/>
      <c r="F70" s="78"/>
      <c r="G70" s="78"/>
      <c r="H70" s="24"/>
      <c r="I70" s="21"/>
      <c r="K70" s="26"/>
      <c r="L70" s="2"/>
      <c r="M70" s="2"/>
    </row>
    <row r="71" spans="1:17" ht="12.75" customHeight="1" x14ac:dyDescent="0.2">
      <c r="A71" s="20"/>
      <c r="B71" s="63"/>
      <c r="C71" s="63"/>
      <c r="D71" s="63"/>
      <c r="E71" s="63"/>
      <c r="F71" s="63"/>
      <c r="G71" s="63"/>
      <c r="H71" s="24"/>
      <c r="I71" s="21"/>
      <c r="K71" s="26"/>
      <c r="L71" s="2"/>
      <c r="M71" s="2"/>
    </row>
    <row r="72" spans="1:17" x14ac:dyDescent="0.2">
      <c r="A72" s="20" t="s">
        <v>50</v>
      </c>
      <c r="B72" s="77" t="s">
        <v>273</v>
      </c>
      <c r="C72" s="77"/>
      <c r="D72" s="77"/>
      <c r="E72" s="77"/>
      <c r="F72" s="77"/>
      <c r="G72" s="77"/>
      <c r="H72" s="4">
        <v>205</v>
      </c>
      <c r="I72" s="21" t="s">
        <v>8</v>
      </c>
      <c r="J72" s="22" t="s">
        <v>3</v>
      </c>
      <c r="K72" s="66"/>
      <c r="L72" s="22" t="s">
        <v>3</v>
      </c>
      <c r="M72" s="1">
        <f>H72*K72</f>
        <v>0</v>
      </c>
      <c r="O72" s="29"/>
      <c r="Q72" s="23"/>
    </row>
    <row r="73" spans="1:17" ht="12.75" customHeight="1" x14ac:dyDescent="0.2">
      <c r="A73" s="20"/>
      <c r="B73" s="78" t="s">
        <v>249</v>
      </c>
      <c r="C73" s="78"/>
      <c r="D73" s="78"/>
      <c r="E73" s="78"/>
      <c r="F73" s="78"/>
      <c r="G73" s="78"/>
      <c r="H73" s="24"/>
      <c r="I73" s="21"/>
      <c r="K73" s="26"/>
      <c r="L73" s="2"/>
      <c r="M73" s="2"/>
    </row>
    <row r="74" spans="1:17" ht="12.75" customHeight="1" x14ac:dyDescent="0.2">
      <c r="A74" s="20"/>
      <c r="B74" s="63"/>
      <c r="C74" s="63"/>
      <c r="D74" s="63"/>
      <c r="E74" s="63"/>
      <c r="F74" s="63"/>
      <c r="G74" s="63"/>
      <c r="H74" s="24"/>
      <c r="I74" s="21"/>
      <c r="K74" s="26"/>
      <c r="L74" s="2"/>
      <c r="M74" s="2"/>
    </row>
    <row r="75" spans="1:17" ht="12.75" customHeight="1" thickBot="1" x14ac:dyDescent="0.25">
      <c r="A75" s="30"/>
      <c r="B75" s="82" t="s">
        <v>282</v>
      </c>
      <c r="C75" s="82"/>
      <c r="D75" s="82"/>
      <c r="E75" s="82"/>
      <c r="F75" s="82"/>
      <c r="G75" s="82"/>
      <c r="H75" s="82"/>
      <c r="I75" s="82"/>
      <c r="J75" s="82"/>
      <c r="K75" s="31"/>
      <c r="L75" s="3" t="s">
        <v>3</v>
      </c>
      <c r="M75" s="3">
        <f>SUM(M7,M10,M13,M16,M19,M22,M25,M28,M31,M34,M42,M45,M48,M51,M54,M57,M60,M63,M66,M69,M37,M72)</f>
        <v>0</v>
      </c>
    </row>
    <row r="76" spans="1:17" ht="12.75" customHeight="1" x14ac:dyDescent="0.2">
      <c r="A76" s="20"/>
      <c r="B76" s="69"/>
      <c r="C76" s="69"/>
      <c r="D76" s="69"/>
      <c r="E76" s="69"/>
      <c r="F76" s="69"/>
      <c r="G76" s="69"/>
      <c r="H76" s="69"/>
      <c r="I76" s="69"/>
      <c r="J76" s="69"/>
      <c r="K76" s="26"/>
      <c r="L76" s="2"/>
      <c r="M76" s="2"/>
    </row>
    <row r="77" spans="1:17" x14ac:dyDescent="0.2">
      <c r="A77" s="19" t="s">
        <v>5</v>
      </c>
      <c r="B77" s="65" t="s">
        <v>280</v>
      </c>
      <c r="C77" s="32"/>
      <c r="D77" s="32"/>
      <c r="E77" s="32"/>
      <c r="F77" s="32"/>
      <c r="G77" s="32"/>
      <c r="H77" s="16"/>
      <c r="I77" s="16"/>
      <c r="J77" s="17"/>
      <c r="K77" s="16"/>
      <c r="L77" s="16"/>
    </row>
    <row r="78" spans="1:17" x14ac:dyDescent="0.2">
      <c r="A78" s="15"/>
      <c r="B78" s="16"/>
      <c r="C78" s="16"/>
      <c r="D78" s="16"/>
      <c r="E78" s="16"/>
      <c r="F78" s="16"/>
      <c r="G78" s="16"/>
      <c r="H78" s="16"/>
      <c r="I78" s="16"/>
      <c r="J78" s="17"/>
      <c r="K78" s="16"/>
      <c r="L78" s="16"/>
    </row>
    <row r="79" spans="1:17" ht="12.75" customHeight="1" x14ac:dyDescent="0.2">
      <c r="A79" s="20" t="s">
        <v>18</v>
      </c>
      <c r="B79" s="77" t="s">
        <v>275</v>
      </c>
      <c r="C79" s="77"/>
      <c r="D79" s="77"/>
      <c r="E79" s="77"/>
      <c r="F79" s="77"/>
      <c r="G79" s="77"/>
      <c r="H79" s="4">
        <v>44355</v>
      </c>
      <c r="I79" s="21" t="s">
        <v>45</v>
      </c>
      <c r="J79" s="22" t="s">
        <v>3</v>
      </c>
      <c r="K79" s="67"/>
      <c r="L79" s="22" t="s">
        <v>3</v>
      </c>
      <c r="M79" s="1">
        <f>H79*K79</f>
        <v>0</v>
      </c>
    </row>
    <row r="80" spans="1:17" ht="12.75" customHeight="1" x14ac:dyDescent="0.2">
      <c r="A80" s="20"/>
      <c r="B80" s="78" t="s">
        <v>250</v>
      </c>
      <c r="C80" s="78"/>
      <c r="D80" s="78"/>
      <c r="E80" s="78"/>
      <c r="F80" s="78"/>
      <c r="G80" s="78"/>
      <c r="H80" s="24"/>
      <c r="I80" s="21"/>
      <c r="K80" s="26"/>
      <c r="L80" s="2"/>
      <c r="M80" s="2"/>
    </row>
    <row r="81" spans="1:16" x14ac:dyDescent="0.2">
      <c r="A81" s="20"/>
      <c r="B81" s="33"/>
      <c r="C81" s="33"/>
      <c r="D81" s="33"/>
      <c r="E81" s="33"/>
      <c r="F81" s="33"/>
      <c r="G81" s="33"/>
      <c r="H81" s="24"/>
      <c r="I81" s="21"/>
      <c r="K81" s="26"/>
      <c r="L81" s="2"/>
      <c r="M81" s="2"/>
    </row>
    <row r="82" spans="1:16" x14ac:dyDescent="0.2">
      <c r="A82" s="20" t="s">
        <v>19</v>
      </c>
      <c r="B82" s="77" t="s">
        <v>276</v>
      </c>
      <c r="C82" s="77"/>
      <c r="D82" s="77"/>
      <c r="E82" s="77"/>
      <c r="F82" s="77"/>
      <c r="G82" s="77"/>
      <c r="H82" s="4">
        <v>903</v>
      </c>
      <c r="I82" s="21" t="s">
        <v>8</v>
      </c>
      <c r="J82" s="22" t="s">
        <v>3</v>
      </c>
      <c r="K82" s="67"/>
      <c r="L82" s="22" t="s">
        <v>3</v>
      </c>
      <c r="M82" s="1">
        <f>H82*K82</f>
        <v>0</v>
      </c>
    </row>
    <row r="83" spans="1:16" ht="12.75" customHeight="1" x14ac:dyDescent="0.2">
      <c r="A83" s="20"/>
      <c r="B83" s="78" t="s">
        <v>250</v>
      </c>
      <c r="C83" s="78"/>
      <c r="D83" s="78"/>
      <c r="E83" s="78"/>
      <c r="F83" s="78"/>
      <c r="G83" s="78"/>
      <c r="H83" s="24"/>
      <c r="I83" s="21"/>
      <c r="K83" s="26"/>
      <c r="L83" s="2"/>
      <c r="M83" s="2"/>
    </row>
    <row r="84" spans="1:16" ht="12.75" customHeight="1" x14ac:dyDescent="0.2">
      <c r="A84" s="20"/>
      <c r="B84" s="63"/>
      <c r="C84" s="63"/>
      <c r="D84" s="63"/>
      <c r="E84" s="63"/>
      <c r="F84" s="63"/>
      <c r="G84" s="63"/>
      <c r="H84" s="24"/>
      <c r="I84" s="21"/>
      <c r="K84" s="26"/>
      <c r="L84" s="2"/>
      <c r="M84" s="2"/>
    </row>
    <row r="85" spans="1:16" ht="12.75" customHeight="1" x14ac:dyDescent="0.2">
      <c r="A85" s="20" t="s">
        <v>52</v>
      </c>
      <c r="B85" s="77" t="s">
        <v>277</v>
      </c>
      <c r="C85" s="77"/>
      <c r="D85" s="77"/>
      <c r="E85" s="77"/>
      <c r="F85" s="77"/>
      <c r="G85" s="77"/>
      <c r="H85" s="5">
        <v>346</v>
      </c>
      <c r="I85" s="21" t="s">
        <v>8</v>
      </c>
      <c r="J85" s="22" t="s">
        <v>3</v>
      </c>
      <c r="K85" s="67"/>
      <c r="L85" s="22" t="s">
        <v>3</v>
      </c>
      <c r="M85" s="1">
        <f>H85*K85</f>
        <v>0</v>
      </c>
    </row>
    <row r="86" spans="1:16" ht="12.75" customHeight="1" x14ac:dyDescent="0.2">
      <c r="A86" s="20"/>
      <c r="B86" s="78" t="s">
        <v>251</v>
      </c>
      <c r="C86" s="78"/>
      <c r="D86" s="78"/>
      <c r="E86" s="78"/>
      <c r="F86" s="78"/>
      <c r="G86" s="78"/>
      <c r="H86" s="24"/>
      <c r="I86" s="21"/>
      <c r="K86" s="26"/>
      <c r="L86" s="2"/>
      <c r="M86" s="2"/>
    </row>
    <row r="87" spans="1:16" x14ac:dyDescent="0.2">
      <c r="A87" s="20"/>
      <c r="B87" s="35"/>
      <c r="C87" s="35"/>
      <c r="D87" s="35"/>
      <c r="E87" s="35"/>
      <c r="F87" s="35"/>
      <c r="G87" s="35"/>
      <c r="H87" s="24"/>
      <c r="I87" s="21"/>
      <c r="L87" s="2"/>
      <c r="M87" s="2"/>
    </row>
    <row r="88" spans="1:16" ht="12.75" customHeight="1" x14ac:dyDescent="0.2">
      <c r="A88" s="20" t="s">
        <v>53</v>
      </c>
      <c r="B88" s="77" t="s">
        <v>278</v>
      </c>
      <c r="C88" s="77"/>
      <c r="D88" s="77"/>
      <c r="E88" s="77"/>
      <c r="F88" s="77"/>
      <c r="G88" s="77"/>
      <c r="H88" s="4">
        <v>198</v>
      </c>
      <c r="I88" s="21" t="s">
        <v>8</v>
      </c>
      <c r="J88" s="22" t="s">
        <v>3</v>
      </c>
      <c r="K88" s="67"/>
      <c r="L88" s="22" t="s">
        <v>3</v>
      </c>
      <c r="M88" s="1">
        <f>H88*K88</f>
        <v>0</v>
      </c>
      <c r="P88" s="7"/>
    </row>
    <row r="89" spans="1:16" ht="12.75" customHeight="1" x14ac:dyDescent="0.2">
      <c r="A89" s="20"/>
      <c r="B89" s="78" t="s">
        <v>251</v>
      </c>
      <c r="C89" s="78"/>
      <c r="D89" s="78"/>
      <c r="E89" s="78"/>
      <c r="F89" s="78"/>
      <c r="G89" s="78"/>
      <c r="H89" s="24"/>
      <c r="I89" s="21"/>
      <c r="K89" s="26"/>
      <c r="L89" s="2"/>
      <c r="M89" s="2"/>
    </row>
    <row r="90" spans="1:16" x14ac:dyDescent="0.2">
      <c r="A90" s="20"/>
      <c r="B90" s="35"/>
      <c r="C90" s="35"/>
      <c r="D90" s="35"/>
      <c r="E90" s="35"/>
      <c r="F90" s="35"/>
      <c r="G90" s="35"/>
      <c r="H90" s="24"/>
      <c r="I90" s="21"/>
      <c r="K90" s="26"/>
      <c r="L90" s="2"/>
      <c r="M90" s="2"/>
    </row>
    <row r="91" spans="1:16" x14ac:dyDescent="0.2">
      <c r="A91" s="20" t="s">
        <v>54</v>
      </c>
      <c r="B91" s="78" t="s">
        <v>279</v>
      </c>
      <c r="C91" s="78"/>
      <c r="D91" s="78"/>
      <c r="E91" s="78"/>
      <c r="F91" s="78"/>
      <c r="G91" s="78"/>
      <c r="H91" s="4">
        <v>5</v>
      </c>
      <c r="I91" s="21" t="s">
        <v>9</v>
      </c>
      <c r="J91" s="22" t="s">
        <v>47</v>
      </c>
      <c r="K91" s="68"/>
      <c r="L91" s="22" t="s">
        <v>3</v>
      </c>
      <c r="M91" s="1">
        <f>ROUND(M75*H91*0.004*K91,0)</f>
        <v>0</v>
      </c>
    </row>
    <row r="92" spans="1:16" ht="13.5" thickBot="1" x14ac:dyDescent="0.25">
      <c r="A92" s="20"/>
      <c r="B92" s="78" t="s">
        <v>259</v>
      </c>
      <c r="C92" s="78"/>
      <c r="D92" s="78"/>
      <c r="E92" s="78"/>
      <c r="F92" s="78"/>
      <c r="G92" s="78"/>
      <c r="H92" s="24"/>
      <c r="I92" s="21"/>
      <c r="K92" s="26"/>
      <c r="L92" s="2"/>
      <c r="M92" s="2"/>
    </row>
    <row r="93" spans="1:16" ht="13.5" customHeight="1" thickBot="1" x14ac:dyDescent="0.25">
      <c r="A93" s="20"/>
      <c r="B93" s="84" t="s">
        <v>301</v>
      </c>
      <c r="C93" s="85"/>
      <c r="D93" s="85"/>
      <c r="E93" s="85"/>
      <c r="F93" s="85"/>
      <c r="G93" s="86"/>
      <c r="H93" s="24"/>
      <c r="I93" s="21"/>
      <c r="K93" s="26"/>
      <c r="L93" s="2"/>
      <c r="M93" s="2"/>
    </row>
    <row r="94" spans="1:16" x14ac:dyDescent="0.2">
      <c r="A94" s="20"/>
      <c r="B94" s="72"/>
      <c r="C94" s="16"/>
      <c r="D94" s="16"/>
      <c r="E94" s="16"/>
      <c r="F94" s="16"/>
      <c r="G94" s="16"/>
      <c r="H94" s="24"/>
      <c r="I94" s="21"/>
      <c r="L94" s="2"/>
      <c r="M94" s="2"/>
    </row>
    <row r="95" spans="1:16" x14ac:dyDescent="0.2">
      <c r="A95" s="28" t="s">
        <v>15</v>
      </c>
      <c r="B95" s="81" t="s">
        <v>62</v>
      </c>
      <c r="C95" s="81"/>
      <c r="D95" s="81"/>
      <c r="E95" s="81"/>
      <c r="F95" s="81"/>
      <c r="G95" s="81"/>
      <c r="H95" s="24"/>
      <c r="I95" s="21"/>
      <c r="L95" s="2"/>
      <c r="M95" s="2"/>
    </row>
    <row r="96" spans="1:16" x14ac:dyDescent="0.2">
      <c r="A96" s="20"/>
      <c r="B96" s="72"/>
      <c r="C96" s="16"/>
      <c r="D96" s="16"/>
      <c r="E96" s="16"/>
      <c r="F96" s="16"/>
      <c r="G96" s="16"/>
      <c r="H96" s="24"/>
      <c r="I96" s="21"/>
      <c r="L96" s="2"/>
      <c r="M96" s="2"/>
    </row>
    <row r="97" spans="1:13" x14ac:dyDescent="0.2">
      <c r="A97" s="20" t="s">
        <v>20</v>
      </c>
      <c r="B97" s="77" t="s">
        <v>260</v>
      </c>
      <c r="C97" s="77"/>
      <c r="D97" s="77"/>
      <c r="E97" s="77"/>
      <c r="F97" s="77"/>
      <c r="G97" s="77"/>
      <c r="H97" s="4">
        <v>54</v>
      </c>
      <c r="I97" s="21" t="s">
        <v>9</v>
      </c>
      <c r="J97" s="22" t="s">
        <v>3</v>
      </c>
      <c r="K97" s="67"/>
      <c r="L97" s="22" t="s">
        <v>3</v>
      </c>
      <c r="M97" s="1">
        <f>H97*K97</f>
        <v>0</v>
      </c>
    </row>
    <row r="98" spans="1:13" ht="12.75" customHeight="1" x14ac:dyDescent="0.2">
      <c r="A98" s="20"/>
      <c r="B98" s="78" t="s">
        <v>252</v>
      </c>
      <c r="C98" s="78"/>
      <c r="D98" s="78"/>
      <c r="E98" s="78"/>
      <c r="F98" s="78"/>
      <c r="G98" s="78"/>
      <c r="H98" s="24"/>
      <c r="I98" s="21"/>
      <c r="K98" s="26"/>
      <c r="L98" s="2"/>
      <c r="M98" s="2"/>
    </row>
    <row r="99" spans="1:13" ht="12.75" customHeight="1" x14ac:dyDescent="0.2">
      <c r="A99" s="20"/>
      <c r="B99" s="63"/>
      <c r="C99" s="63"/>
      <c r="D99" s="63"/>
      <c r="E99" s="63"/>
      <c r="F99" s="63"/>
      <c r="G99" s="63"/>
      <c r="H99" s="24"/>
      <c r="I99" s="21"/>
      <c r="K99" s="26"/>
      <c r="L99" s="2"/>
      <c r="M99" s="2"/>
    </row>
    <row r="100" spans="1:13" x14ac:dyDescent="0.2">
      <c r="A100" s="20" t="s">
        <v>21</v>
      </c>
      <c r="B100" s="77" t="s">
        <v>51</v>
      </c>
      <c r="C100" s="77"/>
      <c r="D100" s="77"/>
      <c r="E100" s="77"/>
      <c r="F100" s="77"/>
      <c r="G100" s="77"/>
      <c r="H100" s="4">
        <v>135</v>
      </c>
      <c r="I100" s="21" t="s">
        <v>9</v>
      </c>
      <c r="J100" s="22" t="s">
        <v>3</v>
      </c>
      <c r="K100" s="67"/>
      <c r="L100" s="22" t="s">
        <v>3</v>
      </c>
      <c r="M100" s="1">
        <f>H100*K100</f>
        <v>0</v>
      </c>
    </row>
    <row r="101" spans="1:13" ht="12.75" customHeight="1" x14ac:dyDescent="0.2">
      <c r="A101" s="62"/>
      <c r="B101" s="83" t="s">
        <v>253</v>
      </c>
      <c r="C101" s="83"/>
      <c r="D101" s="83"/>
      <c r="E101" s="83"/>
      <c r="F101" s="83"/>
      <c r="G101" s="83"/>
      <c r="H101" s="24"/>
      <c r="I101" s="21"/>
      <c r="K101" s="26"/>
      <c r="L101" s="2"/>
      <c r="M101" s="2"/>
    </row>
    <row r="102" spans="1:13" ht="12.75" customHeight="1" x14ac:dyDescent="0.2">
      <c r="A102" s="20"/>
      <c r="B102" s="63"/>
      <c r="C102" s="63"/>
      <c r="D102" s="63"/>
      <c r="E102" s="63"/>
      <c r="F102" s="63"/>
      <c r="G102" s="63"/>
      <c r="H102" s="24"/>
      <c r="I102" s="21"/>
      <c r="K102" s="26"/>
      <c r="L102" s="2"/>
      <c r="M102" s="2"/>
    </row>
    <row r="103" spans="1:13" x14ac:dyDescent="0.2">
      <c r="A103" s="28" t="s">
        <v>38</v>
      </c>
      <c r="B103" s="87" t="s">
        <v>281</v>
      </c>
      <c r="C103" s="87"/>
      <c r="D103" s="87"/>
      <c r="E103" s="87"/>
      <c r="F103" s="87"/>
      <c r="G103" s="87"/>
      <c r="H103" s="24"/>
      <c r="I103" s="21"/>
      <c r="L103" s="2"/>
      <c r="M103" s="2"/>
    </row>
    <row r="104" spans="1:13" x14ac:dyDescent="0.2">
      <c r="A104" s="20"/>
      <c r="B104" s="16"/>
      <c r="C104" s="16"/>
      <c r="D104" s="16"/>
      <c r="E104" s="16"/>
      <c r="F104" s="16"/>
      <c r="G104" s="16"/>
      <c r="H104" s="24"/>
      <c r="I104" s="21"/>
      <c r="L104" s="2"/>
      <c r="M104" s="2"/>
    </row>
    <row r="105" spans="1:13" ht="12.75" customHeight="1" x14ac:dyDescent="0.2">
      <c r="A105" s="20" t="s">
        <v>39</v>
      </c>
      <c r="B105" s="83" t="s">
        <v>283</v>
      </c>
      <c r="C105" s="83"/>
      <c r="D105" s="83"/>
      <c r="E105" s="83"/>
      <c r="F105" s="83"/>
      <c r="G105" s="83"/>
      <c r="H105" s="4">
        <v>7</v>
      </c>
      <c r="I105" s="21" t="s">
        <v>9</v>
      </c>
      <c r="J105" s="22" t="s">
        <v>47</v>
      </c>
      <c r="K105" s="68"/>
      <c r="L105" s="22" t="s">
        <v>3</v>
      </c>
      <c r="M105" s="1">
        <f>ROUND(M75*0.05*K105,0)</f>
        <v>0</v>
      </c>
    </row>
    <row r="106" spans="1:13" ht="13.5" customHeight="1" thickBot="1" x14ac:dyDescent="0.25">
      <c r="A106" s="20"/>
      <c r="B106" s="88" t="s">
        <v>254</v>
      </c>
      <c r="C106" s="88"/>
      <c r="D106" s="88"/>
      <c r="E106" s="88"/>
      <c r="F106" s="88"/>
      <c r="G106" s="88"/>
      <c r="H106" s="24"/>
      <c r="I106" s="21"/>
      <c r="K106" s="34"/>
      <c r="L106" s="2"/>
      <c r="M106" s="2"/>
    </row>
    <row r="107" spans="1:13" ht="12.75" customHeight="1" thickBot="1" x14ac:dyDescent="0.25">
      <c r="A107" s="20"/>
      <c r="B107" s="84" t="s">
        <v>298</v>
      </c>
      <c r="C107" s="85"/>
      <c r="D107" s="85"/>
      <c r="E107" s="85"/>
      <c r="F107" s="85"/>
      <c r="G107" s="86"/>
      <c r="H107" s="24"/>
      <c r="I107" s="21"/>
      <c r="K107" s="34"/>
      <c r="L107" s="2"/>
      <c r="M107" s="2"/>
    </row>
    <row r="108" spans="1:13" x14ac:dyDescent="0.2">
      <c r="A108" s="20"/>
      <c r="B108" s="16"/>
      <c r="C108" s="16"/>
      <c r="D108" s="16"/>
      <c r="E108" s="16"/>
      <c r="F108" s="16"/>
      <c r="G108" s="16"/>
      <c r="H108" s="24"/>
      <c r="I108" s="21"/>
      <c r="L108" s="2"/>
      <c r="M108" s="2"/>
    </row>
    <row r="109" spans="1:13" ht="12.75" customHeight="1" x14ac:dyDescent="0.2">
      <c r="A109" s="20" t="s">
        <v>40</v>
      </c>
      <c r="B109" s="83" t="s">
        <v>284</v>
      </c>
      <c r="C109" s="83"/>
      <c r="D109" s="83"/>
      <c r="E109" s="83"/>
      <c r="F109" s="83"/>
      <c r="G109" s="83"/>
      <c r="H109" s="4">
        <v>44</v>
      </c>
      <c r="I109" s="21" t="s">
        <v>9</v>
      </c>
      <c r="J109" s="22" t="s">
        <v>47</v>
      </c>
      <c r="K109" s="68"/>
      <c r="L109" s="22" t="s">
        <v>3</v>
      </c>
      <c r="M109" s="1">
        <f>ROUND(M75*0.1*K109,0)</f>
        <v>0</v>
      </c>
    </row>
    <row r="110" spans="1:13" ht="13.5" customHeight="1" thickBot="1" x14ac:dyDescent="0.25">
      <c r="A110" s="20"/>
      <c r="B110" s="88" t="s">
        <v>254</v>
      </c>
      <c r="C110" s="88"/>
      <c r="D110" s="88"/>
      <c r="E110" s="88"/>
      <c r="F110" s="88"/>
      <c r="G110" s="88"/>
      <c r="H110" s="24"/>
      <c r="I110" s="21"/>
      <c r="K110" s="34"/>
      <c r="L110" s="2"/>
      <c r="M110" s="2"/>
    </row>
    <row r="111" spans="1:13" ht="12.75" customHeight="1" thickBot="1" x14ac:dyDescent="0.25">
      <c r="A111" s="20"/>
      <c r="B111" s="84" t="s">
        <v>299</v>
      </c>
      <c r="C111" s="85"/>
      <c r="D111" s="85"/>
      <c r="E111" s="85"/>
      <c r="F111" s="85"/>
      <c r="G111" s="86"/>
      <c r="H111" s="24"/>
      <c r="I111" s="21"/>
      <c r="K111" s="34"/>
      <c r="L111" s="2"/>
      <c r="M111" s="2"/>
    </row>
    <row r="112" spans="1:13" x14ac:dyDescent="0.2">
      <c r="A112" s="20"/>
      <c r="B112" s="16"/>
      <c r="C112" s="16"/>
      <c r="D112" s="16"/>
      <c r="E112" s="16"/>
      <c r="F112" s="16"/>
      <c r="G112" s="16"/>
      <c r="H112" s="24"/>
      <c r="I112" s="21"/>
      <c r="L112" s="2"/>
      <c r="M112" s="2"/>
    </row>
    <row r="113" spans="1:13" ht="12.75" customHeight="1" x14ac:dyDescent="0.2">
      <c r="A113" s="20" t="s">
        <v>41</v>
      </c>
      <c r="B113" s="83" t="s">
        <v>285</v>
      </c>
      <c r="C113" s="83"/>
      <c r="D113" s="83"/>
      <c r="E113" s="83"/>
      <c r="F113" s="83"/>
      <c r="G113" s="83"/>
      <c r="H113" s="4">
        <v>30</v>
      </c>
      <c r="I113" s="21" t="s">
        <v>9</v>
      </c>
      <c r="J113" s="22" t="s">
        <v>47</v>
      </c>
      <c r="K113" s="68"/>
      <c r="L113" s="22" t="s">
        <v>3</v>
      </c>
      <c r="M113" s="1">
        <f>ROUND(M75*0.05*K113,0)</f>
        <v>0</v>
      </c>
    </row>
    <row r="114" spans="1:13" ht="13.5" thickBot="1" x14ac:dyDescent="0.25">
      <c r="A114" s="20"/>
      <c r="B114" s="78" t="s">
        <v>254</v>
      </c>
      <c r="C114" s="78"/>
      <c r="D114" s="78"/>
      <c r="E114" s="78"/>
      <c r="F114" s="78"/>
      <c r="G114" s="78"/>
      <c r="H114" s="24"/>
      <c r="I114" s="21"/>
      <c r="K114" s="34"/>
      <c r="L114" s="2"/>
      <c r="M114" s="2"/>
    </row>
    <row r="115" spans="1:13" ht="13.5" thickBot="1" x14ac:dyDescent="0.25">
      <c r="A115" s="20"/>
      <c r="B115" s="84" t="s">
        <v>298</v>
      </c>
      <c r="C115" s="85"/>
      <c r="D115" s="85"/>
      <c r="E115" s="85"/>
      <c r="F115" s="85"/>
      <c r="G115" s="86"/>
      <c r="H115" s="24"/>
      <c r="I115" s="33"/>
      <c r="K115" s="34"/>
      <c r="L115" s="2"/>
      <c r="M115" s="2"/>
    </row>
    <row r="116" spans="1:13" x14ac:dyDescent="0.2">
      <c r="A116" s="20"/>
      <c r="B116" s="35"/>
      <c r="C116" s="35"/>
      <c r="D116" s="35"/>
      <c r="E116" s="35"/>
      <c r="F116" s="35"/>
      <c r="G116" s="35"/>
      <c r="H116" s="24"/>
      <c r="I116" s="33"/>
      <c r="L116" s="2"/>
      <c r="M116" s="2"/>
    </row>
    <row r="117" spans="1:13" ht="12.75" customHeight="1" x14ac:dyDescent="0.2">
      <c r="A117" s="20" t="s">
        <v>42</v>
      </c>
      <c r="B117" s="83" t="s">
        <v>286</v>
      </c>
      <c r="C117" s="83"/>
      <c r="D117" s="83"/>
      <c r="E117" s="83"/>
      <c r="F117" s="83"/>
      <c r="G117" s="83"/>
      <c r="H117" s="4">
        <v>19</v>
      </c>
      <c r="I117" s="21" t="s">
        <v>9</v>
      </c>
      <c r="J117" s="22" t="s">
        <v>47</v>
      </c>
      <c r="K117" s="68"/>
      <c r="L117" s="22" t="s">
        <v>3</v>
      </c>
      <c r="M117" s="1">
        <f>ROUND(M75*0.03*K117,0)</f>
        <v>0</v>
      </c>
    </row>
    <row r="118" spans="1:13" ht="13.5" thickBot="1" x14ac:dyDescent="0.25">
      <c r="A118" s="20"/>
      <c r="B118" s="78" t="s">
        <v>254</v>
      </c>
      <c r="C118" s="78"/>
      <c r="D118" s="78"/>
      <c r="E118" s="78"/>
      <c r="F118" s="78"/>
      <c r="G118" s="78"/>
      <c r="H118" s="24"/>
      <c r="I118" s="21"/>
      <c r="K118" s="34"/>
      <c r="L118" s="2"/>
      <c r="M118" s="2"/>
    </row>
    <row r="119" spans="1:13" ht="13.5" thickBot="1" x14ac:dyDescent="0.25">
      <c r="A119" s="20"/>
      <c r="B119" s="84" t="s">
        <v>300</v>
      </c>
      <c r="C119" s="85"/>
      <c r="D119" s="85"/>
      <c r="E119" s="85"/>
      <c r="F119" s="85"/>
      <c r="G119" s="86"/>
      <c r="H119" s="24"/>
      <c r="I119" s="33"/>
      <c r="K119" s="34"/>
      <c r="L119" s="2"/>
      <c r="M119" s="2"/>
    </row>
    <row r="121" spans="1:13" x14ac:dyDescent="0.2">
      <c r="A121" s="28" t="s">
        <v>43</v>
      </c>
      <c r="B121" s="87" t="s">
        <v>55</v>
      </c>
      <c r="C121" s="87"/>
      <c r="D121" s="87"/>
      <c r="E121" s="87"/>
      <c r="F121" s="87"/>
      <c r="G121" s="87"/>
      <c r="H121" s="24"/>
      <c r="I121" s="33"/>
      <c r="K121" s="34"/>
      <c r="L121" s="2"/>
      <c r="M121" s="2"/>
    </row>
    <row r="122" spans="1:13" x14ac:dyDescent="0.2">
      <c r="A122" s="20"/>
      <c r="B122" s="35"/>
      <c r="C122" s="35"/>
      <c r="D122" s="35"/>
      <c r="E122" s="35"/>
      <c r="F122" s="35"/>
      <c r="G122" s="35"/>
      <c r="H122" s="24"/>
      <c r="I122" s="33"/>
      <c r="K122" s="34"/>
      <c r="L122" s="2"/>
      <c r="M122" s="2"/>
    </row>
    <row r="123" spans="1:13" x14ac:dyDescent="0.2">
      <c r="A123" s="20" t="s">
        <v>56</v>
      </c>
      <c r="B123" s="77" t="s">
        <v>22</v>
      </c>
      <c r="C123" s="77"/>
      <c r="D123" s="77"/>
      <c r="E123" s="77"/>
      <c r="F123" s="77"/>
      <c r="G123" s="77"/>
      <c r="H123" s="4">
        <v>42</v>
      </c>
      <c r="I123" s="21" t="s">
        <v>9</v>
      </c>
      <c r="J123" s="22" t="s">
        <v>3</v>
      </c>
      <c r="K123" s="67"/>
      <c r="L123" s="22" t="s">
        <v>3</v>
      </c>
      <c r="M123" s="1">
        <f>H123*K123</f>
        <v>0</v>
      </c>
    </row>
    <row r="124" spans="1:13" ht="12.75" customHeight="1" x14ac:dyDescent="0.2">
      <c r="A124" s="20"/>
      <c r="B124" s="78" t="s">
        <v>255</v>
      </c>
      <c r="C124" s="78"/>
      <c r="D124" s="78"/>
      <c r="E124" s="78"/>
      <c r="F124" s="78"/>
      <c r="G124" s="78"/>
      <c r="H124" s="24"/>
      <c r="I124" s="21"/>
      <c r="K124" s="26"/>
      <c r="L124" s="2"/>
      <c r="M124" s="2"/>
    </row>
    <row r="125" spans="1:13" ht="12.75" customHeight="1" x14ac:dyDescent="0.2">
      <c r="A125" s="20"/>
      <c r="B125" s="63"/>
      <c r="C125" s="63"/>
      <c r="D125" s="63"/>
      <c r="E125" s="63"/>
      <c r="F125" s="63"/>
      <c r="G125" s="63"/>
      <c r="H125" s="24"/>
      <c r="I125" s="21"/>
      <c r="K125" s="26"/>
      <c r="L125" s="2"/>
      <c r="M125" s="2"/>
    </row>
    <row r="126" spans="1:13" ht="12.75" customHeight="1" x14ac:dyDescent="0.2">
      <c r="A126" s="20" t="s">
        <v>58</v>
      </c>
      <c r="B126" s="77" t="s">
        <v>57</v>
      </c>
      <c r="C126" s="77"/>
      <c r="D126" s="77"/>
      <c r="E126" s="77"/>
      <c r="F126" s="77"/>
      <c r="G126" s="77"/>
      <c r="H126" s="24"/>
      <c r="I126" s="21" t="s">
        <v>9</v>
      </c>
      <c r="J126" s="22"/>
      <c r="K126" s="6" t="s">
        <v>10</v>
      </c>
      <c r="L126" s="1"/>
      <c r="M126" s="6" t="s">
        <v>10</v>
      </c>
    </row>
    <row r="127" spans="1:13" x14ac:dyDescent="0.2">
      <c r="A127" s="20"/>
      <c r="B127" s="78" t="s">
        <v>256</v>
      </c>
      <c r="C127" s="78"/>
      <c r="D127" s="78"/>
      <c r="E127" s="78"/>
      <c r="F127" s="78"/>
      <c r="G127" s="78"/>
      <c r="H127" s="24"/>
      <c r="I127" s="21"/>
      <c r="K127" s="2"/>
      <c r="L127" s="2"/>
      <c r="M127" s="2"/>
    </row>
    <row r="128" spans="1:13" x14ac:dyDescent="0.2">
      <c r="A128" s="20"/>
      <c r="B128" s="63"/>
      <c r="C128" s="63"/>
      <c r="D128" s="63"/>
      <c r="E128" s="63"/>
      <c r="F128" s="63"/>
      <c r="G128" s="63"/>
      <c r="H128" s="24"/>
      <c r="I128" s="21"/>
      <c r="K128" s="2"/>
      <c r="L128" s="2"/>
      <c r="M128" s="2"/>
    </row>
    <row r="129" spans="1:13" x14ac:dyDescent="0.2">
      <c r="A129" s="20" t="s">
        <v>59</v>
      </c>
      <c r="B129" s="77" t="s">
        <v>11</v>
      </c>
      <c r="C129" s="77"/>
      <c r="D129" s="77"/>
      <c r="E129" s="77"/>
      <c r="F129" s="77"/>
      <c r="G129" s="77"/>
      <c r="H129" s="24"/>
      <c r="I129" s="21" t="s">
        <v>9</v>
      </c>
      <c r="J129" s="22"/>
      <c r="K129" s="6" t="s">
        <v>10</v>
      </c>
      <c r="L129" s="1"/>
      <c r="M129" s="6" t="s">
        <v>10</v>
      </c>
    </row>
    <row r="130" spans="1:13" x14ac:dyDescent="0.2">
      <c r="A130" s="20"/>
      <c r="B130" s="78" t="s">
        <v>257</v>
      </c>
      <c r="C130" s="78"/>
      <c r="D130" s="78"/>
      <c r="E130" s="78"/>
      <c r="F130" s="78"/>
      <c r="G130" s="78"/>
      <c r="H130" s="24"/>
      <c r="I130" s="21"/>
      <c r="K130" s="2"/>
      <c r="L130" s="2"/>
      <c r="M130" s="2"/>
    </row>
    <row r="131" spans="1:13" x14ac:dyDescent="0.2">
      <c r="A131" s="20"/>
      <c r="B131" s="63"/>
      <c r="C131" s="63"/>
      <c r="D131" s="63"/>
      <c r="E131" s="63"/>
      <c r="F131" s="63"/>
      <c r="G131" s="63"/>
      <c r="H131" s="24"/>
      <c r="I131" s="21"/>
      <c r="K131" s="2"/>
      <c r="L131" s="2"/>
      <c r="M131" s="2"/>
    </row>
    <row r="132" spans="1:13" ht="12.75" customHeight="1" x14ac:dyDescent="0.2">
      <c r="A132" s="20" t="s">
        <v>60</v>
      </c>
      <c r="B132" s="8" t="s">
        <v>61</v>
      </c>
      <c r="H132" s="36"/>
      <c r="I132" s="21" t="s">
        <v>9</v>
      </c>
      <c r="J132" s="22"/>
      <c r="K132" s="6" t="s">
        <v>10</v>
      </c>
      <c r="L132" s="1"/>
      <c r="M132" s="6" t="s">
        <v>10</v>
      </c>
    </row>
    <row r="133" spans="1:13" ht="12.75" customHeight="1" x14ac:dyDescent="0.2">
      <c r="A133" s="20"/>
      <c r="B133" s="78" t="s">
        <v>258</v>
      </c>
      <c r="C133" s="77"/>
      <c r="D133" s="77"/>
      <c r="E133" s="77"/>
      <c r="F133" s="77"/>
      <c r="G133" s="77"/>
      <c r="H133" s="24"/>
      <c r="I133" s="21"/>
      <c r="L133" s="2"/>
      <c r="M133" s="2"/>
    </row>
    <row r="134" spans="1:13" s="37" customFormat="1" ht="12" thickBot="1" x14ac:dyDescent="0.25">
      <c r="B134" s="38"/>
      <c r="C134" s="39"/>
      <c r="D134" s="40"/>
      <c r="E134" s="40"/>
      <c r="F134" s="40"/>
      <c r="G134" s="40"/>
      <c r="H134" s="40"/>
      <c r="I134" s="40"/>
      <c r="J134" s="41"/>
      <c r="K134" s="40"/>
      <c r="L134" s="42"/>
      <c r="M134" s="43"/>
    </row>
    <row r="135" spans="1:13" ht="15" x14ac:dyDescent="0.25">
      <c r="A135" s="44"/>
      <c r="B135" s="45"/>
      <c r="C135" s="45"/>
      <c r="D135" s="45"/>
      <c r="E135" s="45"/>
      <c r="F135" s="45"/>
      <c r="G135" s="45"/>
      <c r="H135" s="45"/>
      <c r="I135" s="45"/>
      <c r="J135" s="46"/>
      <c r="K135" s="47"/>
      <c r="L135" s="45"/>
      <c r="M135" s="48"/>
    </row>
    <row r="136" spans="1:13" ht="30" x14ac:dyDescent="0.4">
      <c r="A136" s="93" t="s">
        <v>46</v>
      </c>
      <c r="B136" s="94"/>
      <c r="C136" s="94"/>
      <c r="D136" s="94"/>
      <c r="E136" s="94"/>
      <c r="F136" s="94"/>
      <c r="G136" s="94"/>
      <c r="H136" s="94"/>
      <c r="I136" s="49" t="s">
        <v>3</v>
      </c>
      <c r="J136" s="89">
        <f>SUM(M75,M79,M82,M85,M88,M91,M123,M105,M109,M113,M117,M100,M97)</f>
        <v>0</v>
      </c>
      <c r="K136" s="89"/>
      <c r="L136" s="89"/>
      <c r="M136" s="90"/>
    </row>
    <row r="137" spans="1:13" ht="21.75" thickBot="1" x14ac:dyDescent="0.4">
      <c r="A137" s="50"/>
      <c r="B137" s="51"/>
      <c r="C137" s="51"/>
      <c r="D137" s="51"/>
      <c r="E137" s="51"/>
      <c r="F137" s="51"/>
      <c r="G137" s="51"/>
      <c r="H137" s="51"/>
      <c r="I137" s="51"/>
      <c r="J137" s="91"/>
      <c r="K137" s="91"/>
      <c r="L137" s="91"/>
      <c r="M137" s="92"/>
    </row>
    <row r="138" spans="1:13" ht="15" customHeight="1" x14ac:dyDescent="0.2"/>
    <row r="139" spans="1:13" ht="15" customHeight="1" x14ac:dyDescent="0.2"/>
    <row r="140" spans="1:13" ht="13.5" customHeight="1" x14ac:dyDescent="0.2"/>
    <row r="141" spans="1:13" ht="15.75" customHeight="1" x14ac:dyDescent="0.2"/>
    <row r="142" spans="1:13" ht="15" customHeight="1" x14ac:dyDescent="0.2"/>
    <row r="143" spans="1:13" ht="15" customHeight="1" x14ac:dyDescent="0.2"/>
    <row r="144" spans="1:13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1" ht="12.75" customHeight="1" x14ac:dyDescent="0.2"/>
    <row r="152" ht="12.75" customHeight="1" x14ac:dyDescent="0.2"/>
    <row r="153" ht="12.75" customHeight="1" x14ac:dyDescent="0.2"/>
    <row r="155" ht="15" customHeight="1" x14ac:dyDescent="0.2"/>
    <row r="156" ht="15" customHeight="1" x14ac:dyDescent="0.2"/>
    <row r="157" ht="12.75" customHeight="1" x14ac:dyDescent="0.2"/>
    <row r="158" ht="12.75" customHeight="1" x14ac:dyDescent="0.2"/>
    <row r="160" ht="12.75" customHeight="1" x14ac:dyDescent="0.2"/>
    <row r="161" ht="12.75" customHeight="1" x14ac:dyDescent="0.2"/>
    <row r="162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spans="1:14" ht="12.75" customHeight="1" x14ac:dyDescent="0.2"/>
    <row r="178" spans="1:14" ht="12.75" customHeight="1" x14ac:dyDescent="0.2"/>
    <row r="179" spans="1:14" ht="12.75" customHeight="1" x14ac:dyDescent="0.2"/>
    <row r="180" spans="1:14" ht="12.75" customHeight="1" x14ac:dyDescent="0.2"/>
    <row r="181" spans="1:14" ht="12.75" customHeight="1" x14ac:dyDescent="0.2"/>
    <row r="182" spans="1:14" ht="12.75" customHeight="1" x14ac:dyDescent="0.2"/>
    <row r="183" spans="1:14" ht="12.75" customHeight="1" x14ac:dyDescent="0.2"/>
    <row r="184" spans="1:14" ht="12.75" customHeight="1" x14ac:dyDescent="0.2"/>
    <row r="185" spans="1:14" ht="12.75" customHeight="1" x14ac:dyDescent="0.2"/>
    <row r="186" spans="1:14" ht="12.75" customHeight="1" x14ac:dyDescent="0.2"/>
    <row r="187" spans="1:14" s="56" customFormat="1" ht="14.25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25"/>
      <c r="K187" s="7"/>
      <c r="L187" s="8"/>
      <c r="M187" s="18"/>
      <c r="N187" s="8"/>
    </row>
    <row r="188" spans="1:14" s="56" customFormat="1" ht="14.2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25"/>
      <c r="K188" s="7"/>
      <c r="L188" s="8"/>
      <c r="M188" s="18"/>
      <c r="N188" s="8"/>
    </row>
    <row r="189" spans="1:14" s="56" customFormat="1" ht="12.75" customHeight="1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25"/>
      <c r="K189" s="7"/>
      <c r="L189" s="8"/>
      <c r="M189" s="18"/>
      <c r="N189" s="8"/>
    </row>
    <row r="190" spans="1:14" s="56" customFormat="1" ht="14.25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25"/>
      <c r="K190" s="7"/>
      <c r="L190" s="8"/>
      <c r="M190" s="18"/>
    </row>
    <row r="191" spans="1:14" s="56" customFormat="1" ht="14.2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25"/>
      <c r="K191" s="7"/>
      <c r="L191" s="8"/>
      <c r="M191" s="18"/>
    </row>
    <row r="192" spans="1:14" s="52" customFormat="1" ht="15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25"/>
      <c r="K192" s="7"/>
      <c r="L192" s="8"/>
      <c r="M192" s="18"/>
      <c r="N192" s="56"/>
    </row>
    <row r="193" spans="1:14" s="52" customFormat="1" ht="1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25"/>
      <c r="K193" s="7"/>
      <c r="L193" s="8"/>
      <c r="M193" s="18"/>
      <c r="N193" s="56"/>
    </row>
    <row r="194" spans="1:14" s="52" customFormat="1" ht="15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25"/>
      <c r="K194" s="7"/>
      <c r="L194" s="8"/>
      <c r="M194" s="18"/>
      <c r="N194" s="56"/>
    </row>
    <row r="195" spans="1:14" ht="15" x14ac:dyDescent="0.25">
      <c r="N195" s="52"/>
    </row>
    <row r="196" spans="1:14" ht="15" x14ac:dyDescent="0.25">
      <c r="N196" s="52"/>
    </row>
    <row r="197" spans="1:14" s="52" customFormat="1" ht="15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25"/>
      <c r="K197" s="7"/>
      <c r="L197" s="8"/>
      <c r="M197" s="18"/>
    </row>
    <row r="198" spans="1:14" s="52" customFormat="1" ht="15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25"/>
      <c r="K198" s="7"/>
      <c r="L198" s="8"/>
      <c r="M198" s="18"/>
      <c r="N198" s="8"/>
    </row>
    <row r="199" spans="1:14" s="52" customFormat="1" ht="1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25"/>
      <c r="K199" s="7"/>
      <c r="L199" s="8"/>
      <c r="M199" s="18"/>
      <c r="N199" s="8"/>
    </row>
    <row r="200" spans="1:14" s="52" customFormat="1" ht="17.100000000000001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25"/>
      <c r="K200" s="7"/>
      <c r="L200" s="8"/>
      <c r="M200" s="18"/>
    </row>
    <row r="201" spans="1:14" s="52" customFormat="1" ht="17.100000000000001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25"/>
      <c r="K201" s="7"/>
      <c r="L201" s="8"/>
      <c r="M201" s="18"/>
    </row>
    <row r="202" spans="1:14" s="52" customFormat="1" ht="17.100000000000001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25"/>
      <c r="K202" s="7"/>
      <c r="L202" s="8"/>
      <c r="M202" s="18"/>
    </row>
    <row r="203" spans="1:14" s="52" customFormat="1" ht="17.100000000000001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25"/>
      <c r="K203" s="7"/>
      <c r="L203" s="8"/>
      <c r="M203" s="18"/>
    </row>
    <row r="204" spans="1:14" s="52" customFormat="1" ht="17.100000000000001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25"/>
      <c r="K204" s="7"/>
      <c r="L204" s="8"/>
      <c r="M204" s="18"/>
    </row>
    <row r="205" spans="1:14" s="52" customFormat="1" ht="17.100000000000001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25"/>
      <c r="K205" s="7"/>
      <c r="L205" s="8"/>
      <c r="M205" s="18"/>
    </row>
    <row r="206" spans="1:14" s="52" customFormat="1" ht="17.100000000000001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25"/>
      <c r="K206" s="7"/>
      <c r="L206" s="8"/>
      <c r="M206" s="18"/>
    </row>
    <row r="207" spans="1:14" s="52" customFormat="1" ht="17.100000000000001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25"/>
      <c r="K207" s="7"/>
      <c r="L207" s="8"/>
      <c r="M207" s="18"/>
    </row>
    <row r="208" spans="1:14" s="52" customFormat="1" ht="17.100000000000001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25"/>
      <c r="K208" s="7"/>
      <c r="L208" s="8"/>
      <c r="M208" s="18"/>
    </row>
    <row r="209" spans="1:14" s="52" customFormat="1" ht="17.100000000000001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25"/>
      <c r="K209" s="7"/>
      <c r="L209" s="8"/>
      <c r="M209" s="18"/>
    </row>
    <row r="210" spans="1:14" s="52" customFormat="1" ht="17.100000000000001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25"/>
      <c r="K210" s="7"/>
      <c r="L210" s="8"/>
      <c r="M210" s="18"/>
    </row>
    <row r="211" spans="1:14" s="52" customFormat="1" ht="17.100000000000001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25"/>
      <c r="K211" s="7"/>
      <c r="L211" s="8"/>
      <c r="M211" s="18"/>
    </row>
    <row r="212" spans="1:14" s="52" customFormat="1" ht="17.100000000000001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25"/>
      <c r="K212" s="7"/>
      <c r="L212" s="8"/>
      <c r="M212" s="18"/>
    </row>
    <row r="213" spans="1:14" s="52" customFormat="1" ht="17.100000000000001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25"/>
      <c r="K213" s="7"/>
      <c r="L213" s="8"/>
      <c r="M213" s="18"/>
    </row>
    <row r="214" spans="1:14" s="52" customFormat="1" ht="17.100000000000001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25"/>
      <c r="K214" s="7"/>
      <c r="L214" s="8"/>
      <c r="M214" s="18"/>
    </row>
    <row r="215" spans="1:14" s="52" customFormat="1" ht="17.100000000000001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25"/>
      <c r="K215" s="7"/>
      <c r="L215" s="8"/>
      <c r="M215" s="18"/>
    </row>
    <row r="216" spans="1:14" s="52" customFormat="1" ht="17.100000000000001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25"/>
      <c r="K216" s="7"/>
      <c r="L216" s="8"/>
      <c r="M216" s="18"/>
    </row>
    <row r="217" spans="1:14" s="52" customFormat="1" ht="17.100000000000001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25"/>
      <c r="K217" s="7"/>
      <c r="L217" s="8"/>
      <c r="M217" s="18"/>
    </row>
    <row r="218" spans="1:14" s="52" customFormat="1" ht="17.100000000000001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25"/>
      <c r="K218" s="7"/>
      <c r="L218" s="8"/>
      <c r="M218" s="18"/>
    </row>
    <row r="219" spans="1:14" s="52" customFormat="1" ht="17.100000000000001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25"/>
      <c r="K219" s="7"/>
      <c r="L219" s="8"/>
      <c r="M219" s="18"/>
    </row>
    <row r="220" spans="1:14" s="52" customFormat="1" ht="46.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25"/>
      <c r="K220" s="7"/>
      <c r="L220" s="8"/>
      <c r="M220" s="18"/>
    </row>
    <row r="221" spans="1:14" s="52" customFormat="1" ht="38.2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25"/>
      <c r="K221" s="7"/>
      <c r="L221" s="8"/>
      <c r="M221" s="18"/>
    </row>
    <row r="222" spans="1:14" s="52" customFormat="1" ht="13.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25"/>
      <c r="K222" s="7"/>
      <c r="L222" s="8"/>
      <c r="M222" s="18"/>
    </row>
    <row r="223" spans="1:14" s="52" customFormat="1" ht="13.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25"/>
      <c r="K223" s="7"/>
      <c r="L223" s="8"/>
      <c r="M223" s="18"/>
    </row>
    <row r="224" spans="1:14" ht="15" x14ac:dyDescent="0.25">
      <c r="N224" s="52"/>
    </row>
    <row r="225" spans="1:14" ht="15" x14ac:dyDescent="0.25">
      <c r="N225" s="52"/>
    </row>
    <row r="226" spans="1:14" s="52" customFormat="1" ht="15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25"/>
      <c r="K226" s="7"/>
      <c r="L226" s="8"/>
      <c r="M226" s="18"/>
    </row>
    <row r="227" spans="1:14" s="52" customFormat="1" ht="1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25"/>
      <c r="K227" s="7"/>
      <c r="L227" s="8"/>
      <c r="M227" s="18"/>
      <c r="N227" s="8"/>
    </row>
    <row r="228" spans="1:14" s="52" customFormat="1" ht="1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25"/>
      <c r="K228" s="7"/>
      <c r="L228" s="8"/>
      <c r="M228" s="18"/>
      <c r="N228" s="8"/>
    </row>
    <row r="229" spans="1:14" ht="15" x14ac:dyDescent="0.25">
      <c r="N229" s="52"/>
    </row>
    <row r="230" spans="1:14" ht="15" x14ac:dyDescent="0.25">
      <c r="N230" s="52"/>
    </row>
    <row r="231" spans="1:14" s="57" customFormat="1" ht="1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25"/>
      <c r="K231" s="7"/>
      <c r="L231" s="8"/>
      <c r="M231" s="18"/>
      <c r="N231" s="52"/>
    </row>
    <row r="232" spans="1:14" s="57" customFormat="1" ht="15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25"/>
      <c r="K232" s="7"/>
      <c r="L232" s="8"/>
      <c r="M232" s="18"/>
      <c r="N232" s="8"/>
    </row>
    <row r="233" spans="1:14" s="57" customFormat="1" ht="17.100000000000001" customHeight="1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25"/>
      <c r="K233" s="7"/>
      <c r="L233" s="8"/>
      <c r="M233" s="18"/>
      <c r="N233" s="8"/>
    </row>
    <row r="234" spans="1:14" s="57" customFormat="1" ht="17.100000000000001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25"/>
      <c r="K234" s="7"/>
      <c r="L234" s="8"/>
      <c r="M234" s="18"/>
    </row>
    <row r="235" spans="1:14" s="57" customFormat="1" ht="17.100000000000001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25"/>
      <c r="K235" s="7"/>
      <c r="L235" s="8"/>
      <c r="M235" s="18"/>
    </row>
    <row r="236" spans="1:14" s="57" customFormat="1" ht="17.100000000000001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25"/>
      <c r="K236" s="7"/>
      <c r="L236" s="8"/>
      <c r="M236" s="18"/>
    </row>
    <row r="237" spans="1:14" s="57" customFormat="1" ht="17.100000000000001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25"/>
      <c r="K237" s="7"/>
      <c r="L237" s="8"/>
      <c r="M237" s="18"/>
    </row>
    <row r="238" spans="1:14" s="57" customFormat="1" ht="17.100000000000001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25"/>
      <c r="K238" s="7"/>
      <c r="L238" s="8"/>
      <c r="M238" s="18"/>
    </row>
    <row r="239" spans="1:14" s="57" customFormat="1" ht="17.100000000000001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25"/>
      <c r="K239" s="7"/>
      <c r="L239" s="8"/>
      <c r="M239" s="18"/>
    </row>
    <row r="240" spans="1:14" s="57" customFormat="1" ht="17.100000000000001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25"/>
      <c r="K240" s="7"/>
      <c r="L240" s="8"/>
      <c r="M240" s="18"/>
    </row>
    <row r="241" spans="1:14" s="57" customFormat="1" ht="17.100000000000001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25"/>
      <c r="K241" s="7"/>
      <c r="L241" s="8"/>
      <c r="M241" s="18"/>
    </row>
    <row r="242" spans="1:14" s="57" customFormat="1" ht="17.100000000000001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25"/>
      <c r="K242" s="7"/>
      <c r="L242" s="8"/>
      <c r="M242" s="18"/>
    </row>
    <row r="243" spans="1:14" s="57" customFormat="1" ht="17.100000000000001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25"/>
      <c r="K243" s="7"/>
      <c r="L243" s="8"/>
      <c r="M243" s="18"/>
    </row>
    <row r="244" spans="1:14" s="57" customFormat="1" ht="17.100000000000001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25"/>
      <c r="K244" s="7"/>
      <c r="L244" s="8"/>
      <c r="M244" s="18"/>
    </row>
    <row r="245" spans="1:14" s="57" customFormat="1" ht="17.100000000000001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25"/>
      <c r="K245" s="7"/>
      <c r="L245" s="8"/>
      <c r="M245" s="18"/>
    </row>
    <row r="246" spans="1:14" s="57" customFormat="1" ht="17.100000000000001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25"/>
      <c r="K246" s="7"/>
      <c r="L246" s="8"/>
      <c r="M246" s="18"/>
    </row>
    <row r="247" spans="1:14" s="57" customFormat="1" ht="17.100000000000001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25"/>
      <c r="K247" s="7"/>
      <c r="L247" s="8"/>
      <c r="M247" s="18"/>
    </row>
    <row r="248" spans="1:14" s="57" customFormat="1" ht="17.100000000000001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25"/>
      <c r="K248" s="7"/>
      <c r="L248" s="8"/>
      <c r="M248" s="18"/>
    </row>
    <row r="249" spans="1:14" s="57" customFormat="1" ht="17.100000000000001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25"/>
      <c r="K249" s="7"/>
      <c r="L249" s="8"/>
      <c r="M249" s="18"/>
    </row>
    <row r="250" spans="1:14" s="57" customFormat="1" ht="17.100000000000001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25"/>
      <c r="K250" s="7"/>
      <c r="L250" s="8"/>
      <c r="M250" s="18"/>
    </row>
    <row r="251" spans="1:14" s="57" customFormat="1" ht="17.100000000000001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25"/>
      <c r="K251" s="7"/>
      <c r="L251" s="8"/>
      <c r="M251" s="18"/>
    </row>
    <row r="252" spans="1:14" s="57" customFormat="1" ht="17.100000000000001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25"/>
      <c r="K252" s="7"/>
      <c r="L252" s="8"/>
      <c r="M252" s="18"/>
    </row>
    <row r="253" spans="1:14" s="57" customFormat="1" ht="66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25"/>
      <c r="K253" s="7"/>
      <c r="L253" s="8"/>
      <c r="M253" s="18"/>
    </row>
    <row r="254" spans="1:14" s="57" customFormat="1" ht="46.5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25"/>
      <c r="K254" s="7"/>
      <c r="L254" s="8"/>
      <c r="M254" s="18"/>
    </row>
    <row r="255" spans="1:14" s="57" customFormat="1" ht="12.7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25"/>
      <c r="K255" s="7"/>
      <c r="L255" s="8"/>
      <c r="M255" s="18"/>
    </row>
    <row r="256" spans="1:14" s="52" customFormat="1" ht="13.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25"/>
      <c r="K256" s="7"/>
      <c r="L256" s="8"/>
      <c r="M256" s="18"/>
      <c r="N256" s="57"/>
    </row>
    <row r="257" spans="1:14" ht="15" x14ac:dyDescent="0.2">
      <c r="N257" s="57"/>
    </row>
    <row r="258" spans="1:14" s="57" customFormat="1" ht="12.75" customHeight="1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25"/>
      <c r="K258" s="7"/>
      <c r="L258" s="8"/>
      <c r="M258" s="18"/>
    </row>
    <row r="259" spans="1:14" s="52" customFormat="1" ht="15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25"/>
      <c r="K259" s="7"/>
      <c r="L259" s="8"/>
      <c r="M259" s="18"/>
    </row>
    <row r="260" spans="1:14" s="52" customFormat="1" ht="1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25"/>
      <c r="K260" s="7"/>
      <c r="L260" s="8"/>
      <c r="M260" s="18"/>
      <c r="N260" s="8"/>
    </row>
    <row r="261" spans="1:14" s="52" customFormat="1" ht="1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25"/>
      <c r="K261" s="7"/>
      <c r="L261" s="8"/>
      <c r="M261" s="18"/>
      <c r="N261" s="57"/>
    </row>
    <row r="262" spans="1:14" ht="15" x14ac:dyDescent="0.25">
      <c r="N262" s="52"/>
    </row>
    <row r="263" spans="1:14" ht="15" x14ac:dyDescent="0.25">
      <c r="N263" s="52"/>
    </row>
    <row r="264" spans="1:14" ht="15" x14ac:dyDescent="0.25">
      <c r="N264" s="52"/>
    </row>
    <row r="267" spans="1:14" ht="15" customHeight="1" x14ac:dyDescent="0.2"/>
    <row r="268" spans="1:14" ht="15" customHeight="1" x14ac:dyDescent="0.2"/>
    <row r="269" spans="1:14" ht="15" customHeight="1" x14ac:dyDescent="0.2"/>
    <row r="270" spans="1:14" ht="15" customHeight="1" x14ac:dyDescent="0.2"/>
    <row r="273" ht="12.75" customHeight="1" x14ac:dyDescent="0.2"/>
    <row r="276" ht="15" customHeight="1" x14ac:dyDescent="0.2"/>
    <row r="277" ht="15" customHeight="1" x14ac:dyDescent="0.2"/>
    <row r="283" ht="15" customHeight="1" x14ac:dyDescent="0.2"/>
    <row r="284" ht="15" customHeight="1" x14ac:dyDescent="0.2"/>
    <row r="287" ht="12.7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</sheetData>
  <sheetProtection sheet="1" selectLockedCells="1"/>
  <mergeCells count="101">
    <mergeCell ref="J136:M136"/>
    <mergeCell ref="J137:M137"/>
    <mergeCell ref="B119:G119"/>
    <mergeCell ref="B130:G130"/>
    <mergeCell ref="B129:G129"/>
    <mergeCell ref="B133:G133"/>
    <mergeCell ref="A136:H136"/>
    <mergeCell ref="B121:G121"/>
    <mergeCell ref="B126:G126"/>
    <mergeCell ref="B127:G127"/>
    <mergeCell ref="B123:G123"/>
    <mergeCell ref="B124:G124"/>
    <mergeCell ref="B111:G111"/>
    <mergeCell ref="B113:G113"/>
    <mergeCell ref="B114:G114"/>
    <mergeCell ref="B115:G115"/>
    <mergeCell ref="B117:G117"/>
    <mergeCell ref="B118:G118"/>
    <mergeCell ref="B103:G103"/>
    <mergeCell ref="B105:G105"/>
    <mergeCell ref="B106:G106"/>
    <mergeCell ref="B107:G107"/>
    <mergeCell ref="B109:G109"/>
    <mergeCell ref="B110:G110"/>
    <mergeCell ref="B97:G97"/>
    <mergeCell ref="B98:G98"/>
    <mergeCell ref="B100:G100"/>
    <mergeCell ref="B101:G101"/>
    <mergeCell ref="B86:G86"/>
    <mergeCell ref="B88:G88"/>
    <mergeCell ref="B89:G89"/>
    <mergeCell ref="B91:G91"/>
    <mergeCell ref="B92:G92"/>
    <mergeCell ref="B93:G93"/>
    <mergeCell ref="B79:G79"/>
    <mergeCell ref="B80:G80"/>
    <mergeCell ref="B82:G82"/>
    <mergeCell ref="B83:G83"/>
    <mergeCell ref="B85:G85"/>
    <mergeCell ref="B95:G95"/>
    <mergeCell ref="B67:G67"/>
    <mergeCell ref="B69:G69"/>
    <mergeCell ref="B70:G70"/>
    <mergeCell ref="B72:G72"/>
    <mergeCell ref="B73:G73"/>
    <mergeCell ref="B75:J75"/>
    <mergeCell ref="B58:G58"/>
    <mergeCell ref="B60:G60"/>
    <mergeCell ref="B61:G61"/>
    <mergeCell ref="B63:G63"/>
    <mergeCell ref="B64:G64"/>
    <mergeCell ref="B66:G66"/>
    <mergeCell ref="B49:G49"/>
    <mergeCell ref="B51:G51"/>
    <mergeCell ref="B52:G52"/>
    <mergeCell ref="B54:G54"/>
    <mergeCell ref="B55:G55"/>
    <mergeCell ref="B57:G57"/>
    <mergeCell ref="B40:G40"/>
    <mergeCell ref="B42:G42"/>
    <mergeCell ref="B43:G43"/>
    <mergeCell ref="B45:G45"/>
    <mergeCell ref="B46:G46"/>
    <mergeCell ref="B48:G48"/>
    <mergeCell ref="B34:G34"/>
    <mergeCell ref="B35:G35"/>
    <mergeCell ref="H35:J35"/>
    <mergeCell ref="B37:G37"/>
    <mergeCell ref="B38:G38"/>
    <mergeCell ref="H38:J38"/>
    <mergeCell ref="B28:G28"/>
    <mergeCell ref="B29:G29"/>
    <mergeCell ref="H29:J29"/>
    <mergeCell ref="B31:G31"/>
    <mergeCell ref="B32:G32"/>
    <mergeCell ref="H32:K32"/>
    <mergeCell ref="B22:G22"/>
    <mergeCell ref="B23:G23"/>
    <mergeCell ref="H23:J23"/>
    <mergeCell ref="B25:G25"/>
    <mergeCell ref="B26:G26"/>
    <mergeCell ref="H26:K26"/>
    <mergeCell ref="B19:G19"/>
    <mergeCell ref="B20:G20"/>
    <mergeCell ref="H20:K20"/>
    <mergeCell ref="B8:G8"/>
    <mergeCell ref="H8:K8"/>
    <mergeCell ref="B10:G10"/>
    <mergeCell ref="B11:G11"/>
    <mergeCell ref="H11:M11"/>
    <mergeCell ref="B13:G13"/>
    <mergeCell ref="A1:M1"/>
    <mergeCell ref="A3:B3"/>
    <mergeCell ref="C3:D3"/>
    <mergeCell ref="B5:G5"/>
    <mergeCell ref="B7:G7"/>
    <mergeCell ref="B14:G14"/>
    <mergeCell ref="B16:G16"/>
    <mergeCell ref="B17:G17"/>
    <mergeCell ref="H17:K17"/>
    <mergeCell ref="A2:M2"/>
  </mergeCells>
  <printOptions horizontalCentered="1" verticalCentered="1"/>
  <pageMargins left="0.5" right="0.5" top="1.0569852941176501" bottom="1" header="0.66562445319335095" footer="0.3"/>
  <pageSetup scale="66" orientation="portrait" r:id="rId1"/>
  <headerFooter>
    <oddHeader>&amp;R&amp;"Times New Roman,Regular"Exhibit to Solicitation No. FA520926Q0021&amp;K000000
Page &amp;P of &amp;N
Approved effective upon contract award</oddHeader>
    <oddFooter>&amp;C&amp;16&amp;KFF0000CONTROLLED UNCLASSIFIED INFORMATION</oddFooter>
  </headerFooter>
  <rowBreaks count="1" manualBreakCount="1">
    <brk id="75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DB23-97A5-42A8-8202-59F2AFCD70D2}">
  <dimension ref="A1:Q294"/>
  <sheetViews>
    <sheetView showGridLines="0" view="pageBreakPreview" zoomScaleNormal="100" zoomScaleSheetLayoutView="100" zoomScalePageLayoutView="85" workbookViewId="0">
      <selection activeCell="K7" sqref="K7"/>
    </sheetView>
  </sheetViews>
  <sheetFormatPr defaultColWidth="9.28515625" defaultRowHeight="12.75" x14ac:dyDescent="0.2"/>
  <cols>
    <col min="1" max="1" width="6.7109375" style="8" customWidth="1"/>
    <col min="2" max="2" width="8.7109375" style="8" customWidth="1"/>
    <col min="3" max="6" width="9.7109375" style="8" customWidth="1"/>
    <col min="7" max="7" width="25.7109375" style="8" customWidth="1"/>
    <col min="8" max="8" width="8.7109375" style="8" customWidth="1"/>
    <col min="9" max="9" width="4.7109375" style="8" customWidth="1"/>
    <col min="10" max="10" width="2.7109375" style="25" customWidth="1"/>
    <col min="11" max="11" width="10.7109375" style="7" customWidth="1"/>
    <col min="12" max="12" width="2.7109375" style="8" customWidth="1"/>
    <col min="13" max="13" width="12.7109375" style="18" customWidth="1"/>
    <col min="14" max="16" width="7.7109375" style="8" customWidth="1"/>
    <col min="17" max="17" width="8.140625" style="8" bestFit="1" customWidth="1"/>
    <col min="18" max="16384" width="9.28515625" style="8"/>
  </cols>
  <sheetData>
    <row r="1" spans="1:17" ht="15.75" customHeight="1" x14ac:dyDescent="0.2">
      <c r="A1" s="73" t="s">
        <v>64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7" ht="15.75" customHeight="1" x14ac:dyDescent="0.2">
      <c r="A2" s="80" t="s">
        <v>318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</row>
    <row r="3" spans="1:17" s="14" customFormat="1" ht="12.75" customHeight="1" x14ac:dyDescent="0.2">
      <c r="A3" s="74" t="s">
        <v>6</v>
      </c>
      <c r="B3" s="74"/>
      <c r="C3" s="75" t="s">
        <v>0</v>
      </c>
      <c r="D3" s="75"/>
      <c r="E3" s="9"/>
      <c r="F3" s="9"/>
      <c r="G3" s="9"/>
      <c r="H3" s="10" t="s">
        <v>7</v>
      </c>
      <c r="I3" s="11" t="s">
        <v>1</v>
      </c>
      <c r="J3" s="12"/>
      <c r="K3" s="61" t="s">
        <v>24</v>
      </c>
      <c r="L3" s="13"/>
      <c r="M3" s="10" t="s">
        <v>48</v>
      </c>
    </row>
    <row r="4" spans="1:17" x14ac:dyDescent="0.2">
      <c r="A4" s="15"/>
      <c r="B4" s="16"/>
      <c r="C4" s="16"/>
      <c r="D4" s="16"/>
      <c r="E4" s="16"/>
      <c r="F4" s="16"/>
      <c r="G4" s="16"/>
      <c r="H4" s="16"/>
      <c r="I4" s="16"/>
      <c r="J4" s="17"/>
      <c r="K4" s="16"/>
      <c r="L4" s="16"/>
    </row>
    <row r="5" spans="1:17" x14ac:dyDescent="0.2">
      <c r="A5" s="19" t="s">
        <v>68</v>
      </c>
      <c r="B5" s="76" t="s">
        <v>262</v>
      </c>
      <c r="C5" s="76"/>
      <c r="D5" s="76"/>
      <c r="E5" s="76"/>
      <c r="F5" s="76"/>
      <c r="G5" s="76"/>
      <c r="H5" s="16"/>
      <c r="I5" s="16"/>
      <c r="J5" s="17"/>
      <c r="K5" s="16"/>
      <c r="L5" s="16"/>
    </row>
    <row r="6" spans="1:17" x14ac:dyDescent="0.2">
      <c r="A6" s="19"/>
      <c r="B6" s="65"/>
      <c r="C6" s="65"/>
      <c r="D6" s="65"/>
      <c r="E6" s="65"/>
      <c r="F6" s="65"/>
      <c r="G6" s="65"/>
      <c r="H6" s="16"/>
      <c r="I6" s="16"/>
      <c r="J6" s="17"/>
      <c r="K6" s="16"/>
      <c r="L6" s="16"/>
    </row>
    <row r="7" spans="1:17" x14ac:dyDescent="0.2">
      <c r="A7" s="20" t="s">
        <v>69</v>
      </c>
      <c r="B7" s="77" t="s">
        <v>287</v>
      </c>
      <c r="C7" s="77"/>
      <c r="D7" s="77"/>
      <c r="E7" s="77"/>
      <c r="F7" s="77"/>
      <c r="G7" s="77"/>
      <c r="H7" s="4">
        <v>9990</v>
      </c>
      <c r="I7" s="21" t="s">
        <v>45</v>
      </c>
      <c r="J7" s="22" t="s">
        <v>3</v>
      </c>
      <c r="K7" s="66"/>
      <c r="L7" s="22" t="s">
        <v>3</v>
      </c>
      <c r="M7" s="1">
        <f>H7*K7</f>
        <v>0</v>
      </c>
      <c r="Q7" s="23"/>
    </row>
    <row r="8" spans="1:17" ht="12.75" customHeight="1" x14ac:dyDescent="0.2">
      <c r="A8" s="20"/>
      <c r="B8" s="78" t="s">
        <v>248</v>
      </c>
      <c r="C8" s="78"/>
      <c r="D8" s="78"/>
      <c r="E8" s="78"/>
      <c r="F8" s="78"/>
      <c r="G8" s="78"/>
      <c r="H8" s="79"/>
      <c r="I8" s="79"/>
      <c r="J8" s="79"/>
      <c r="K8" s="79"/>
      <c r="L8" s="2"/>
      <c r="M8" s="2"/>
      <c r="Q8" s="23"/>
    </row>
    <row r="9" spans="1:17" ht="12.75" customHeight="1" x14ac:dyDescent="0.2">
      <c r="A9" s="20"/>
      <c r="B9" s="63"/>
      <c r="C9" s="63"/>
      <c r="D9" s="63"/>
      <c r="E9" s="63"/>
      <c r="F9" s="63"/>
      <c r="G9" s="63"/>
      <c r="H9" s="24"/>
      <c r="I9" s="21"/>
      <c r="K9" s="26"/>
      <c r="L9" s="2"/>
      <c r="M9" s="2"/>
      <c r="Q9" s="23"/>
    </row>
    <row r="10" spans="1:17" x14ac:dyDescent="0.2">
      <c r="A10" s="20" t="s">
        <v>70</v>
      </c>
      <c r="B10" s="77" t="s">
        <v>288</v>
      </c>
      <c r="C10" s="77"/>
      <c r="D10" s="77"/>
      <c r="E10" s="77"/>
      <c r="F10" s="77"/>
      <c r="G10" s="77"/>
      <c r="H10" s="4">
        <v>20029</v>
      </c>
      <c r="I10" s="21" t="s">
        <v>45</v>
      </c>
      <c r="J10" s="22" t="s">
        <v>3</v>
      </c>
      <c r="K10" s="66"/>
      <c r="L10" s="22" t="s">
        <v>3</v>
      </c>
      <c r="M10" s="1">
        <f>H10*K10</f>
        <v>0</v>
      </c>
      <c r="Q10" s="23"/>
    </row>
    <row r="11" spans="1:17" ht="12.75" customHeight="1" x14ac:dyDescent="0.2">
      <c r="A11" s="20"/>
      <c r="B11" s="78" t="s">
        <v>248</v>
      </c>
      <c r="C11" s="78"/>
      <c r="D11" s="78"/>
      <c r="E11" s="78"/>
      <c r="F11" s="78"/>
      <c r="G11" s="78"/>
      <c r="H11" s="79"/>
      <c r="I11" s="79"/>
      <c r="J11" s="79"/>
      <c r="K11" s="79"/>
      <c r="L11" s="79"/>
      <c r="M11" s="79"/>
      <c r="Q11" s="23"/>
    </row>
    <row r="12" spans="1:17" ht="12.75" customHeight="1" x14ac:dyDescent="0.2">
      <c r="A12" s="20"/>
      <c r="B12" s="63"/>
      <c r="C12" s="63"/>
      <c r="D12" s="63"/>
      <c r="E12" s="63"/>
      <c r="F12" s="63"/>
      <c r="G12" s="63"/>
      <c r="H12" s="24"/>
      <c r="I12" s="21"/>
      <c r="K12" s="26"/>
      <c r="L12" s="2"/>
      <c r="M12" s="2"/>
      <c r="Q12" s="23"/>
    </row>
    <row r="13" spans="1:17" x14ac:dyDescent="0.2">
      <c r="A13" s="20" t="s">
        <v>71</v>
      </c>
      <c r="B13" s="77" t="s">
        <v>289</v>
      </c>
      <c r="C13" s="77"/>
      <c r="D13" s="77"/>
      <c r="E13" s="77"/>
      <c r="F13" s="77"/>
      <c r="G13" s="77"/>
      <c r="H13" s="4">
        <v>37135</v>
      </c>
      <c r="I13" s="21" t="s">
        <v>45</v>
      </c>
      <c r="J13" s="22" t="s">
        <v>3</v>
      </c>
      <c r="K13" s="66"/>
      <c r="L13" s="22" t="s">
        <v>3</v>
      </c>
      <c r="M13" s="1">
        <f>H13*K13</f>
        <v>0</v>
      </c>
      <c r="Q13" s="23"/>
    </row>
    <row r="14" spans="1:17" x14ac:dyDescent="0.2">
      <c r="A14" s="20"/>
      <c r="B14" s="78" t="s">
        <v>248</v>
      </c>
      <c r="C14" s="78"/>
      <c r="D14" s="78"/>
      <c r="E14" s="78"/>
      <c r="F14" s="78"/>
      <c r="G14" s="78"/>
      <c r="H14" s="27"/>
      <c r="I14" s="27"/>
      <c r="J14" s="27"/>
      <c r="K14" s="27"/>
      <c r="L14" s="2"/>
      <c r="M14" s="2"/>
      <c r="Q14" s="23"/>
    </row>
    <row r="15" spans="1:17" x14ac:dyDescent="0.2">
      <c r="A15" s="20"/>
      <c r="B15" s="63"/>
      <c r="C15" s="63"/>
      <c r="D15" s="63"/>
      <c r="E15" s="63"/>
      <c r="F15" s="63"/>
      <c r="G15" s="63"/>
      <c r="H15" s="24"/>
      <c r="I15" s="21"/>
      <c r="K15" s="26"/>
      <c r="L15" s="2"/>
      <c r="M15" s="2"/>
      <c r="Q15" s="23"/>
    </row>
    <row r="16" spans="1:17" x14ac:dyDescent="0.2">
      <c r="A16" s="20" t="s">
        <v>72</v>
      </c>
      <c r="B16" s="77" t="s">
        <v>290</v>
      </c>
      <c r="C16" s="77"/>
      <c r="D16" s="77"/>
      <c r="E16" s="77"/>
      <c r="F16" s="77"/>
      <c r="G16" s="77"/>
      <c r="H16" s="4">
        <v>3020</v>
      </c>
      <c r="I16" s="21" t="s">
        <v>45</v>
      </c>
      <c r="J16" s="22" t="s">
        <v>3</v>
      </c>
      <c r="K16" s="66"/>
      <c r="L16" s="22" t="s">
        <v>3</v>
      </c>
      <c r="M16" s="1">
        <f>H16*K16</f>
        <v>0</v>
      </c>
      <c r="Q16" s="23"/>
    </row>
    <row r="17" spans="1:17" x14ac:dyDescent="0.2">
      <c r="A17" s="20"/>
      <c r="B17" s="78" t="s">
        <v>248</v>
      </c>
      <c r="C17" s="78"/>
      <c r="D17" s="78"/>
      <c r="E17" s="78"/>
      <c r="F17" s="78"/>
      <c r="G17" s="78"/>
      <c r="H17" s="79"/>
      <c r="I17" s="79"/>
      <c r="J17" s="79"/>
      <c r="K17" s="79"/>
      <c r="L17" s="2"/>
      <c r="M17" s="2"/>
      <c r="Q17" s="23"/>
    </row>
    <row r="18" spans="1:17" x14ac:dyDescent="0.2">
      <c r="A18" s="20"/>
      <c r="B18" s="63"/>
      <c r="C18" s="63"/>
      <c r="D18" s="63"/>
      <c r="E18" s="63"/>
      <c r="F18" s="63"/>
      <c r="G18" s="63"/>
      <c r="H18" s="24"/>
      <c r="I18" s="21"/>
      <c r="K18" s="26"/>
      <c r="L18" s="2"/>
      <c r="M18" s="2"/>
      <c r="Q18" s="23"/>
    </row>
    <row r="19" spans="1:17" x14ac:dyDescent="0.2">
      <c r="A19" s="20" t="s">
        <v>73</v>
      </c>
      <c r="B19" s="77" t="s">
        <v>291</v>
      </c>
      <c r="C19" s="77"/>
      <c r="D19" s="77"/>
      <c r="E19" s="77"/>
      <c r="F19" s="77"/>
      <c r="G19" s="77"/>
      <c r="H19" s="4">
        <v>3528</v>
      </c>
      <c r="I19" s="21" t="s">
        <v>45</v>
      </c>
      <c r="J19" s="22" t="s">
        <v>3</v>
      </c>
      <c r="K19" s="66"/>
      <c r="L19" s="22" t="s">
        <v>3</v>
      </c>
      <c r="M19" s="1">
        <f>H19*K19</f>
        <v>0</v>
      </c>
      <c r="Q19" s="23"/>
    </row>
    <row r="20" spans="1:17" x14ac:dyDescent="0.2">
      <c r="A20" s="20"/>
      <c r="B20" s="78" t="s">
        <v>248</v>
      </c>
      <c r="C20" s="78"/>
      <c r="D20" s="78"/>
      <c r="E20" s="78"/>
      <c r="F20" s="78"/>
      <c r="G20" s="78"/>
      <c r="H20" s="79"/>
      <c r="I20" s="79"/>
      <c r="J20" s="79"/>
      <c r="K20" s="79"/>
      <c r="L20" s="2"/>
      <c r="M20" s="2"/>
      <c r="Q20" s="23"/>
    </row>
    <row r="21" spans="1:17" x14ac:dyDescent="0.2">
      <c r="A21" s="20"/>
      <c r="B21" s="63"/>
      <c r="C21" s="63"/>
      <c r="D21" s="63"/>
      <c r="E21" s="63"/>
      <c r="F21" s="63"/>
      <c r="G21" s="63"/>
      <c r="H21" s="24"/>
      <c r="I21" s="21"/>
      <c r="K21" s="26"/>
      <c r="L21" s="2"/>
      <c r="M21" s="2"/>
      <c r="Q21" s="23"/>
    </row>
    <row r="22" spans="1:17" x14ac:dyDescent="0.2">
      <c r="A22" s="20" t="s">
        <v>74</v>
      </c>
      <c r="B22" s="77" t="s">
        <v>292</v>
      </c>
      <c r="C22" s="77"/>
      <c r="D22" s="77"/>
      <c r="E22" s="77"/>
      <c r="F22" s="77"/>
      <c r="G22" s="77"/>
      <c r="H22" s="4">
        <v>790</v>
      </c>
      <c r="I22" s="21" t="s">
        <v>45</v>
      </c>
      <c r="J22" s="22" t="s">
        <v>3</v>
      </c>
      <c r="K22" s="66"/>
      <c r="L22" s="22" t="s">
        <v>3</v>
      </c>
      <c r="M22" s="1">
        <f>H22*K22</f>
        <v>0</v>
      </c>
      <c r="Q22" s="23"/>
    </row>
    <row r="23" spans="1:17" ht="12.75" customHeight="1" x14ac:dyDescent="0.2">
      <c r="A23" s="20"/>
      <c r="B23" s="78" t="s">
        <v>248</v>
      </c>
      <c r="C23" s="78"/>
      <c r="D23" s="78"/>
      <c r="E23" s="78"/>
      <c r="F23" s="78"/>
      <c r="G23" s="78"/>
      <c r="H23" s="79"/>
      <c r="I23" s="79"/>
      <c r="J23" s="79"/>
      <c r="K23" s="26"/>
      <c r="L23" s="2"/>
      <c r="M23" s="2"/>
      <c r="Q23" s="23"/>
    </row>
    <row r="24" spans="1:17" ht="12.75" customHeight="1" x14ac:dyDescent="0.2">
      <c r="A24" s="20"/>
      <c r="B24" s="63"/>
      <c r="C24" s="63"/>
      <c r="D24" s="63"/>
      <c r="E24" s="63"/>
      <c r="F24" s="63"/>
      <c r="G24" s="63"/>
      <c r="H24" s="24"/>
      <c r="I24" s="21"/>
      <c r="K24" s="26"/>
      <c r="L24" s="2"/>
      <c r="M24" s="2"/>
      <c r="Q24" s="23"/>
    </row>
    <row r="25" spans="1:17" x14ac:dyDescent="0.2">
      <c r="A25" s="20" t="s">
        <v>75</v>
      </c>
      <c r="B25" s="77" t="s">
        <v>293</v>
      </c>
      <c r="C25" s="77"/>
      <c r="D25" s="77"/>
      <c r="E25" s="77"/>
      <c r="F25" s="77"/>
      <c r="G25" s="77"/>
      <c r="H25" s="4">
        <v>7413</v>
      </c>
      <c r="I25" s="21" t="s">
        <v>45</v>
      </c>
      <c r="J25" s="22" t="s">
        <v>3</v>
      </c>
      <c r="K25" s="66"/>
      <c r="L25" s="22" t="s">
        <v>3</v>
      </c>
      <c r="M25" s="1">
        <f>H25*K25</f>
        <v>0</v>
      </c>
      <c r="Q25" s="23"/>
    </row>
    <row r="26" spans="1:17" ht="12.75" customHeight="1" x14ac:dyDescent="0.2">
      <c r="A26" s="20"/>
      <c r="B26" s="78" t="s">
        <v>248</v>
      </c>
      <c r="C26" s="78"/>
      <c r="D26" s="78"/>
      <c r="E26" s="78"/>
      <c r="F26" s="78"/>
      <c r="G26" s="78"/>
      <c r="H26" s="79"/>
      <c r="I26" s="79"/>
      <c r="J26" s="79"/>
      <c r="K26" s="79"/>
      <c r="L26" s="2"/>
      <c r="M26" s="2"/>
      <c r="Q26" s="23"/>
    </row>
    <row r="27" spans="1:17" ht="12.75" customHeight="1" x14ac:dyDescent="0.2">
      <c r="A27" s="20"/>
      <c r="B27" s="63"/>
      <c r="C27" s="63"/>
      <c r="D27" s="63"/>
      <c r="E27" s="63"/>
      <c r="F27" s="63"/>
      <c r="G27" s="63"/>
      <c r="H27" s="24"/>
      <c r="I27" s="21"/>
      <c r="K27" s="26"/>
      <c r="L27" s="2"/>
      <c r="M27" s="2"/>
      <c r="Q27" s="23"/>
    </row>
    <row r="28" spans="1:17" x14ac:dyDescent="0.2">
      <c r="A28" s="20" t="s">
        <v>76</v>
      </c>
      <c r="B28" s="77" t="s">
        <v>294</v>
      </c>
      <c r="C28" s="77"/>
      <c r="D28" s="77"/>
      <c r="E28" s="77"/>
      <c r="F28" s="77"/>
      <c r="G28" s="77"/>
      <c r="H28" s="4">
        <v>237</v>
      </c>
      <c r="I28" s="21" t="s">
        <v>45</v>
      </c>
      <c r="J28" s="22" t="s">
        <v>3</v>
      </c>
      <c r="K28" s="66"/>
      <c r="L28" s="22" t="s">
        <v>3</v>
      </c>
      <c r="M28" s="1">
        <f>H28*K28</f>
        <v>0</v>
      </c>
      <c r="Q28" s="23"/>
    </row>
    <row r="29" spans="1:17" ht="12.75" customHeight="1" x14ac:dyDescent="0.2">
      <c r="A29" s="20"/>
      <c r="B29" s="78" t="s">
        <v>248</v>
      </c>
      <c r="C29" s="78"/>
      <c r="D29" s="78"/>
      <c r="E29" s="78"/>
      <c r="F29" s="78"/>
      <c r="G29" s="78"/>
      <c r="H29" s="79"/>
      <c r="I29" s="79"/>
      <c r="J29" s="79"/>
      <c r="K29" s="26"/>
      <c r="L29" s="2"/>
      <c r="M29" s="2"/>
      <c r="Q29" s="23"/>
    </row>
    <row r="30" spans="1:17" ht="12.75" customHeight="1" x14ac:dyDescent="0.2">
      <c r="A30" s="20"/>
      <c r="B30" s="63"/>
      <c r="C30" s="63"/>
      <c r="D30" s="63"/>
      <c r="E30" s="63"/>
      <c r="F30" s="63"/>
      <c r="G30" s="63"/>
      <c r="H30" s="24"/>
      <c r="I30" s="21"/>
      <c r="K30" s="26"/>
      <c r="L30" s="2"/>
      <c r="M30" s="2"/>
      <c r="Q30" s="23"/>
    </row>
    <row r="31" spans="1:17" x14ac:dyDescent="0.2">
      <c r="A31" s="20" t="s">
        <v>77</v>
      </c>
      <c r="B31" s="77" t="s">
        <v>295</v>
      </c>
      <c r="C31" s="77"/>
      <c r="D31" s="77"/>
      <c r="E31" s="77"/>
      <c r="F31" s="77"/>
      <c r="G31" s="77"/>
      <c r="H31" s="4">
        <v>24550</v>
      </c>
      <c r="I31" s="21" t="s">
        <v>45</v>
      </c>
      <c r="J31" s="22" t="s">
        <v>3</v>
      </c>
      <c r="K31" s="66"/>
      <c r="L31" s="22" t="s">
        <v>3</v>
      </c>
      <c r="M31" s="1">
        <f>H31*K31</f>
        <v>0</v>
      </c>
      <c r="Q31" s="23"/>
    </row>
    <row r="32" spans="1:17" ht="12.75" customHeight="1" x14ac:dyDescent="0.2">
      <c r="A32" s="20"/>
      <c r="B32" s="78" t="s">
        <v>248</v>
      </c>
      <c r="C32" s="78"/>
      <c r="D32" s="78"/>
      <c r="E32" s="78"/>
      <c r="F32" s="78"/>
      <c r="G32" s="78"/>
      <c r="H32" s="79"/>
      <c r="I32" s="79"/>
      <c r="J32" s="79"/>
      <c r="K32" s="79"/>
      <c r="L32" s="2"/>
      <c r="M32" s="2"/>
      <c r="Q32" s="23"/>
    </row>
    <row r="33" spans="1:17" ht="12.75" customHeight="1" x14ac:dyDescent="0.2">
      <c r="A33" s="20"/>
      <c r="B33" s="63"/>
      <c r="C33" s="63"/>
      <c r="D33" s="63"/>
      <c r="E33" s="63"/>
      <c r="F33" s="63"/>
      <c r="G33" s="63"/>
      <c r="H33" s="24"/>
      <c r="I33" s="21"/>
      <c r="K33" s="26"/>
      <c r="L33" s="2"/>
      <c r="M33" s="2"/>
      <c r="Q33" s="23"/>
    </row>
    <row r="34" spans="1:17" x14ac:dyDescent="0.2">
      <c r="A34" s="20" t="s">
        <v>78</v>
      </c>
      <c r="B34" s="77" t="s">
        <v>296</v>
      </c>
      <c r="C34" s="77"/>
      <c r="D34" s="77"/>
      <c r="E34" s="77"/>
      <c r="F34" s="77"/>
      <c r="G34" s="77"/>
      <c r="H34" s="4">
        <v>24000</v>
      </c>
      <c r="I34" s="21" t="s">
        <v>45</v>
      </c>
      <c r="J34" s="58" t="s">
        <v>3</v>
      </c>
      <c r="K34" s="59"/>
      <c r="L34" s="58" t="s">
        <v>3</v>
      </c>
      <c r="M34" s="60">
        <f>H34*K34</f>
        <v>0</v>
      </c>
      <c r="Q34" s="23"/>
    </row>
    <row r="35" spans="1:17" ht="12.75" customHeight="1" x14ac:dyDescent="0.2">
      <c r="A35" s="20"/>
      <c r="B35" s="78" t="s">
        <v>248</v>
      </c>
      <c r="C35" s="78"/>
      <c r="D35" s="78"/>
      <c r="E35" s="78"/>
      <c r="F35" s="78"/>
      <c r="G35" s="78"/>
      <c r="H35" s="79"/>
      <c r="I35" s="79"/>
      <c r="J35" s="79"/>
      <c r="K35" s="26"/>
      <c r="L35" s="2"/>
      <c r="M35" s="2"/>
    </row>
    <row r="36" spans="1:17" ht="12.75" customHeight="1" x14ac:dyDescent="0.2">
      <c r="A36" s="20"/>
      <c r="B36" s="63"/>
      <c r="C36" s="63"/>
      <c r="D36" s="63"/>
      <c r="E36" s="63"/>
      <c r="F36" s="63"/>
      <c r="G36" s="63"/>
      <c r="H36" s="64"/>
      <c r="I36" s="64"/>
      <c r="J36" s="64"/>
      <c r="K36" s="26"/>
      <c r="L36" s="2"/>
      <c r="M36" s="2"/>
    </row>
    <row r="37" spans="1:17" x14ac:dyDescent="0.2">
      <c r="A37" s="20" t="s">
        <v>79</v>
      </c>
      <c r="B37" s="77" t="s">
        <v>297</v>
      </c>
      <c r="C37" s="77"/>
      <c r="D37" s="77"/>
      <c r="E37" s="77"/>
      <c r="F37" s="77"/>
      <c r="G37" s="77"/>
      <c r="H37" s="4">
        <v>4365</v>
      </c>
      <c r="I37" s="21" t="s">
        <v>45</v>
      </c>
      <c r="J37" s="22" t="s">
        <v>3</v>
      </c>
      <c r="K37" s="66"/>
      <c r="L37" s="22" t="s">
        <v>3</v>
      </c>
      <c r="M37" s="1">
        <f>H37*K37</f>
        <v>0</v>
      </c>
      <c r="Q37" s="23"/>
    </row>
    <row r="38" spans="1:17" ht="12.75" customHeight="1" x14ac:dyDescent="0.2">
      <c r="A38" s="20"/>
      <c r="B38" s="78" t="s">
        <v>249</v>
      </c>
      <c r="C38" s="78"/>
      <c r="D38" s="78"/>
      <c r="E38" s="78"/>
      <c r="F38" s="78"/>
      <c r="G38" s="78"/>
      <c r="H38" s="79"/>
      <c r="I38" s="79"/>
      <c r="J38" s="79"/>
      <c r="K38" s="26"/>
      <c r="L38" s="2"/>
      <c r="M38" s="2"/>
    </row>
    <row r="39" spans="1:17" ht="12.75" customHeight="1" x14ac:dyDescent="0.2">
      <c r="A39" s="20"/>
      <c r="B39" s="63"/>
      <c r="C39" s="63"/>
      <c r="D39" s="63"/>
      <c r="E39" s="63"/>
      <c r="F39" s="63"/>
      <c r="G39" s="63"/>
      <c r="H39" s="64"/>
      <c r="I39" s="64"/>
      <c r="J39" s="64"/>
      <c r="K39" s="26"/>
      <c r="L39" s="2"/>
      <c r="M39" s="2"/>
    </row>
    <row r="40" spans="1:17" ht="12.75" customHeight="1" x14ac:dyDescent="0.2">
      <c r="A40" s="28" t="s">
        <v>80</v>
      </c>
      <c r="B40" s="81" t="s">
        <v>263</v>
      </c>
      <c r="C40" s="81"/>
      <c r="D40" s="81"/>
      <c r="E40" s="81"/>
      <c r="F40" s="81"/>
      <c r="G40" s="81"/>
      <c r="H40" s="24"/>
      <c r="I40" s="21"/>
      <c r="K40" s="26"/>
      <c r="L40" s="2"/>
      <c r="M40" s="2"/>
    </row>
    <row r="41" spans="1:17" ht="12.75" customHeight="1" x14ac:dyDescent="0.2">
      <c r="A41" s="28"/>
      <c r="B41" s="71"/>
      <c r="C41" s="71"/>
      <c r="D41" s="71"/>
      <c r="E41" s="71"/>
      <c r="F41" s="71"/>
      <c r="G41" s="71"/>
      <c r="H41" s="24"/>
      <c r="I41" s="21"/>
      <c r="K41" s="26"/>
      <c r="L41" s="2"/>
      <c r="M41" s="2"/>
    </row>
    <row r="42" spans="1:17" x14ac:dyDescent="0.2">
      <c r="A42" s="20" t="s">
        <v>81</v>
      </c>
      <c r="B42" s="77" t="s">
        <v>267</v>
      </c>
      <c r="C42" s="77"/>
      <c r="D42" s="77"/>
      <c r="E42" s="77"/>
      <c r="F42" s="77"/>
      <c r="G42" s="77"/>
      <c r="H42" s="4">
        <v>402</v>
      </c>
      <c r="I42" s="21" t="s">
        <v>8</v>
      </c>
      <c r="J42" s="22" t="s">
        <v>3</v>
      </c>
      <c r="K42" s="66"/>
      <c r="L42" s="22" t="s">
        <v>3</v>
      </c>
      <c r="M42" s="1">
        <f>H42*K42</f>
        <v>0</v>
      </c>
      <c r="O42" s="29"/>
      <c r="Q42" s="23"/>
    </row>
    <row r="43" spans="1:17" ht="12.75" customHeight="1" x14ac:dyDescent="0.2">
      <c r="A43" s="20"/>
      <c r="B43" s="78" t="s">
        <v>248</v>
      </c>
      <c r="C43" s="78"/>
      <c r="D43" s="78"/>
      <c r="E43" s="78"/>
      <c r="F43" s="78"/>
      <c r="G43" s="78"/>
      <c r="H43" s="24"/>
      <c r="I43" s="21"/>
      <c r="K43" s="26"/>
      <c r="L43" s="2"/>
      <c r="M43" s="2"/>
      <c r="Q43" s="23"/>
    </row>
    <row r="44" spans="1:17" ht="12.75" customHeight="1" x14ac:dyDescent="0.2">
      <c r="A44" s="20"/>
      <c r="B44" s="63"/>
      <c r="C44" s="63"/>
      <c r="D44" s="63"/>
      <c r="E44" s="63"/>
      <c r="F44" s="63"/>
      <c r="G44" s="63"/>
      <c r="H44" s="24"/>
      <c r="I44" s="21"/>
      <c r="K44" s="26"/>
      <c r="L44" s="2"/>
      <c r="M44" s="2"/>
      <c r="Q44" s="23"/>
    </row>
    <row r="45" spans="1:17" x14ac:dyDescent="0.2">
      <c r="A45" s="20" t="s">
        <v>82</v>
      </c>
      <c r="B45" s="77" t="s">
        <v>264</v>
      </c>
      <c r="C45" s="77"/>
      <c r="D45" s="77"/>
      <c r="E45" s="77"/>
      <c r="F45" s="77"/>
      <c r="G45" s="77"/>
      <c r="H45" s="4">
        <v>457</v>
      </c>
      <c r="I45" s="21" t="s">
        <v>8</v>
      </c>
      <c r="J45" s="22" t="s">
        <v>3</v>
      </c>
      <c r="K45" s="66"/>
      <c r="L45" s="22" t="s">
        <v>3</v>
      </c>
      <c r="M45" s="1">
        <f>H45*K45</f>
        <v>0</v>
      </c>
      <c r="O45" s="29"/>
      <c r="Q45" s="23"/>
    </row>
    <row r="46" spans="1:17" ht="12.75" customHeight="1" x14ac:dyDescent="0.2">
      <c r="A46" s="20"/>
      <c r="B46" s="78" t="s">
        <v>248</v>
      </c>
      <c r="C46" s="78"/>
      <c r="D46" s="78"/>
      <c r="E46" s="78"/>
      <c r="F46" s="78"/>
      <c r="G46" s="78"/>
      <c r="H46" s="24"/>
      <c r="I46" s="21"/>
      <c r="K46" s="26"/>
      <c r="L46" s="2"/>
      <c r="M46" s="2"/>
      <c r="Q46" s="23"/>
    </row>
    <row r="47" spans="1:17" ht="12.75" customHeight="1" x14ac:dyDescent="0.2">
      <c r="A47" s="20"/>
      <c r="B47" s="63"/>
      <c r="C47" s="63"/>
      <c r="D47" s="63"/>
      <c r="E47" s="63"/>
      <c r="F47" s="63"/>
      <c r="G47" s="63"/>
      <c r="H47" s="24"/>
      <c r="I47" s="21"/>
      <c r="K47" s="26"/>
      <c r="L47" s="2"/>
      <c r="M47" s="2"/>
      <c r="Q47" s="23"/>
    </row>
    <row r="48" spans="1:17" x14ac:dyDescent="0.2">
      <c r="A48" s="20" t="s">
        <v>83</v>
      </c>
      <c r="B48" s="77" t="s">
        <v>265</v>
      </c>
      <c r="C48" s="77"/>
      <c r="D48" s="77"/>
      <c r="E48" s="77"/>
      <c r="F48" s="77"/>
      <c r="G48" s="77"/>
      <c r="H48" s="4">
        <v>1677</v>
      </c>
      <c r="I48" s="21" t="s">
        <v>8</v>
      </c>
      <c r="J48" s="22" t="s">
        <v>3</v>
      </c>
      <c r="K48" s="66"/>
      <c r="L48" s="22" t="s">
        <v>3</v>
      </c>
      <c r="M48" s="1">
        <f>H48*K48</f>
        <v>0</v>
      </c>
      <c r="O48" s="29"/>
      <c r="Q48" s="23"/>
    </row>
    <row r="49" spans="1:17" ht="12.75" customHeight="1" x14ac:dyDescent="0.2">
      <c r="A49" s="20"/>
      <c r="B49" s="78" t="s">
        <v>248</v>
      </c>
      <c r="C49" s="78"/>
      <c r="D49" s="78"/>
      <c r="E49" s="78"/>
      <c r="F49" s="78"/>
      <c r="G49" s="78"/>
      <c r="H49" s="24"/>
      <c r="I49" s="21"/>
      <c r="K49" s="26"/>
      <c r="L49" s="2"/>
      <c r="M49" s="2"/>
      <c r="Q49" s="23"/>
    </row>
    <row r="50" spans="1:17" ht="12.75" customHeight="1" x14ac:dyDescent="0.2">
      <c r="A50" s="20"/>
      <c r="B50" s="63"/>
      <c r="C50" s="63"/>
      <c r="D50" s="63"/>
      <c r="E50" s="63"/>
      <c r="F50" s="63"/>
      <c r="G50" s="63"/>
      <c r="H50" s="24"/>
      <c r="I50" s="21"/>
      <c r="K50" s="26"/>
      <c r="L50" s="2"/>
      <c r="M50" s="2"/>
      <c r="Q50" s="23"/>
    </row>
    <row r="51" spans="1:17" x14ac:dyDescent="0.2">
      <c r="A51" s="20" t="s">
        <v>84</v>
      </c>
      <c r="B51" s="77" t="s">
        <v>266</v>
      </c>
      <c r="C51" s="77"/>
      <c r="D51" s="77"/>
      <c r="E51" s="77"/>
      <c r="F51" s="77"/>
      <c r="G51" s="77"/>
      <c r="H51" s="4">
        <v>71</v>
      </c>
      <c r="I51" s="21" t="s">
        <v>8</v>
      </c>
      <c r="J51" s="22" t="s">
        <v>3</v>
      </c>
      <c r="K51" s="66"/>
      <c r="L51" s="22" t="s">
        <v>3</v>
      </c>
      <c r="M51" s="1">
        <f>H51*K51</f>
        <v>0</v>
      </c>
      <c r="O51" s="29"/>
      <c r="Q51" s="23"/>
    </row>
    <row r="52" spans="1:17" ht="12.75" customHeight="1" x14ac:dyDescent="0.2">
      <c r="A52" s="20"/>
      <c r="B52" s="78" t="s">
        <v>248</v>
      </c>
      <c r="C52" s="78"/>
      <c r="D52" s="78"/>
      <c r="E52" s="78"/>
      <c r="F52" s="78"/>
      <c r="G52" s="78"/>
      <c r="H52" s="24"/>
      <c r="I52" s="21"/>
      <c r="K52" s="26"/>
      <c r="L52" s="2"/>
      <c r="M52" s="2"/>
      <c r="Q52" s="23"/>
    </row>
    <row r="53" spans="1:17" ht="12.75" customHeight="1" x14ac:dyDescent="0.2">
      <c r="A53" s="20"/>
      <c r="B53" s="63"/>
      <c r="C53" s="63"/>
      <c r="D53" s="63"/>
      <c r="E53" s="63"/>
      <c r="F53" s="63"/>
      <c r="G53" s="63"/>
      <c r="H53" s="24"/>
      <c r="I53" s="21"/>
      <c r="K53" s="26"/>
      <c r="L53" s="2"/>
      <c r="M53" s="2"/>
      <c r="Q53" s="23"/>
    </row>
    <row r="54" spans="1:17" x14ac:dyDescent="0.2">
      <c r="A54" s="20" t="s">
        <v>85</v>
      </c>
      <c r="B54" s="77" t="s">
        <v>268</v>
      </c>
      <c r="C54" s="77"/>
      <c r="D54" s="77"/>
      <c r="E54" s="77"/>
      <c r="F54" s="77"/>
      <c r="G54" s="77"/>
      <c r="H54" s="4">
        <v>84</v>
      </c>
      <c r="I54" s="21" t="s">
        <v>8</v>
      </c>
      <c r="J54" s="22" t="s">
        <v>3</v>
      </c>
      <c r="K54" s="66"/>
      <c r="L54" s="22" t="s">
        <v>3</v>
      </c>
      <c r="M54" s="1">
        <f>H54*K54</f>
        <v>0</v>
      </c>
      <c r="O54" s="29"/>
      <c r="Q54" s="23"/>
    </row>
    <row r="55" spans="1:17" ht="12.75" customHeight="1" x14ac:dyDescent="0.2">
      <c r="A55" s="20"/>
      <c r="B55" s="78" t="s">
        <v>248</v>
      </c>
      <c r="C55" s="78"/>
      <c r="D55" s="78"/>
      <c r="E55" s="78"/>
      <c r="F55" s="78"/>
      <c r="G55" s="78"/>
      <c r="H55" s="24"/>
      <c r="I55" s="21"/>
      <c r="K55" s="26"/>
      <c r="L55" s="2"/>
      <c r="M55" s="2"/>
      <c r="Q55" s="23"/>
    </row>
    <row r="56" spans="1:17" ht="12.75" customHeight="1" x14ac:dyDescent="0.2">
      <c r="A56" s="20"/>
      <c r="B56" s="63"/>
      <c r="C56" s="63"/>
      <c r="D56" s="63"/>
      <c r="E56" s="63"/>
      <c r="F56" s="63"/>
      <c r="G56" s="63"/>
      <c r="H56" s="24"/>
      <c r="I56" s="21"/>
      <c r="K56" s="26"/>
      <c r="L56" s="2"/>
      <c r="M56" s="2"/>
      <c r="Q56" s="23"/>
    </row>
    <row r="57" spans="1:17" x14ac:dyDescent="0.2">
      <c r="A57" s="20" t="s">
        <v>86</v>
      </c>
      <c r="B57" s="77" t="s">
        <v>269</v>
      </c>
      <c r="C57" s="77"/>
      <c r="D57" s="77"/>
      <c r="E57" s="77"/>
      <c r="F57" s="77"/>
      <c r="G57" s="77"/>
      <c r="H57" s="4">
        <v>42</v>
      </c>
      <c r="I57" s="21" t="s">
        <v>8</v>
      </c>
      <c r="J57" s="22" t="s">
        <v>3</v>
      </c>
      <c r="K57" s="66"/>
      <c r="L57" s="22" t="s">
        <v>3</v>
      </c>
      <c r="M57" s="1">
        <f>H57*K57</f>
        <v>0</v>
      </c>
      <c r="O57" s="29"/>
      <c r="Q57" s="23"/>
    </row>
    <row r="58" spans="1:17" ht="12.75" customHeight="1" x14ac:dyDescent="0.2">
      <c r="A58" s="20"/>
      <c r="B58" s="78" t="s">
        <v>248</v>
      </c>
      <c r="C58" s="78"/>
      <c r="D58" s="78"/>
      <c r="E58" s="78"/>
      <c r="F58" s="78"/>
      <c r="G58" s="78"/>
      <c r="H58" s="24"/>
      <c r="I58" s="21"/>
      <c r="K58" s="26"/>
      <c r="L58" s="2"/>
      <c r="M58" s="2"/>
      <c r="Q58" s="23"/>
    </row>
    <row r="59" spans="1:17" ht="12.75" customHeight="1" x14ac:dyDescent="0.2">
      <c r="A59" s="20"/>
      <c r="B59" s="63"/>
      <c r="C59" s="63"/>
      <c r="D59" s="63"/>
      <c r="E59" s="63"/>
      <c r="F59" s="63"/>
      <c r="G59" s="63"/>
      <c r="H59" s="24"/>
      <c r="I59" s="21"/>
      <c r="K59" s="26"/>
      <c r="L59" s="2"/>
      <c r="M59" s="2"/>
      <c r="Q59" s="23"/>
    </row>
    <row r="60" spans="1:17" x14ac:dyDescent="0.2">
      <c r="A60" s="20" t="s">
        <v>87</v>
      </c>
      <c r="B60" s="77" t="s">
        <v>274</v>
      </c>
      <c r="C60" s="77"/>
      <c r="D60" s="77"/>
      <c r="E60" s="77"/>
      <c r="F60" s="77"/>
      <c r="G60" s="77"/>
      <c r="H60" s="4">
        <v>169</v>
      </c>
      <c r="I60" s="21" t="s">
        <v>8</v>
      </c>
      <c r="J60" s="22" t="s">
        <v>3</v>
      </c>
      <c r="K60" s="66"/>
      <c r="L60" s="22" t="s">
        <v>3</v>
      </c>
      <c r="M60" s="1">
        <f>H60*K60</f>
        <v>0</v>
      </c>
      <c r="O60" s="29"/>
      <c r="Q60" s="23"/>
    </row>
    <row r="61" spans="1:17" ht="12.75" customHeight="1" x14ac:dyDescent="0.2">
      <c r="A61" s="20"/>
      <c r="B61" s="78" t="s">
        <v>248</v>
      </c>
      <c r="C61" s="78"/>
      <c r="D61" s="78"/>
      <c r="E61" s="78"/>
      <c r="F61" s="78"/>
      <c r="G61" s="78"/>
      <c r="H61" s="24"/>
      <c r="I61" s="21"/>
      <c r="K61" s="26"/>
      <c r="L61" s="2"/>
      <c r="M61" s="2"/>
      <c r="Q61" s="23"/>
    </row>
    <row r="62" spans="1:17" ht="12.75" customHeight="1" x14ac:dyDescent="0.2">
      <c r="A62" s="20"/>
      <c r="B62" s="63"/>
      <c r="C62" s="63"/>
      <c r="D62" s="63"/>
      <c r="E62" s="63"/>
      <c r="F62" s="63"/>
      <c r="G62" s="63"/>
      <c r="H62" s="24"/>
      <c r="I62" s="21"/>
      <c r="K62" s="26"/>
      <c r="L62" s="2"/>
      <c r="M62" s="2"/>
      <c r="Q62" s="23"/>
    </row>
    <row r="63" spans="1:17" x14ac:dyDescent="0.2">
      <c r="A63" s="20" t="s">
        <v>88</v>
      </c>
      <c r="B63" s="77" t="s">
        <v>270</v>
      </c>
      <c r="C63" s="77"/>
      <c r="D63" s="77"/>
      <c r="E63" s="77"/>
      <c r="F63" s="77"/>
      <c r="G63" s="77"/>
      <c r="H63" s="4">
        <v>13</v>
      </c>
      <c r="I63" s="21" t="s">
        <v>8</v>
      </c>
      <c r="J63" s="22" t="s">
        <v>3</v>
      </c>
      <c r="K63" s="66"/>
      <c r="L63" s="22" t="s">
        <v>3</v>
      </c>
      <c r="M63" s="1">
        <f>H63*K63</f>
        <v>0</v>
      </c>
      <c r="O63" s="29"/>
      <c r="Q63" s="23"/>
    </row>
    <row r="64" spans="1:17" ht="12.75" customHeight="1" x14ac:dyDescent="0.2">
      <c r="A64" s="20"/>
      <c r="B64" s="78" t="s">
        <v>248</v>
      </c>
      <c r="C64" s="78"/>
      <c r="D64" s="78"/>
      <c r="E64" s="78"/>
      <c r="F64" s="78"/>
      <c r="G64" s="78"/>
      <c r="H64" s="24"/>
      <c r="I64" s="21"/>
      <c r="K64" s="26"/>
      <c r="L64" s="2"/>
      <c r="M64" s="2"/>
      <c r="Q64" s="23"/>
    </row>
    <row r="65" spans="1:17" ht="12.75" customHeight="1" x14ac:dyDescent="0.2">
      <c r="A65" s="20"/>
      <c r="B65" s="63"/>
      <c r="C65" s="63"/>
      <c r="D65" s="63"/>
      <c r="E65" s="63"/>
      <c r="F65" s="63"/>
      <c r="G65" s="63"/>
      <c r="H65" s="24"/>
      <c r="I65" s="21"/>
      <c r="K65" s="26"/>
      <c r="L65" s="2"/>
      <c r="M65" s="2"/>
      <c r="Q65" s="23"/>
    </row>
    <row r="66" spans="1:17" x14ac:dyDescent="0.2">
      <c r="A66" s="20" t="s">
        <v>89</v>
      </c>
      <c r="B66" s="77" t="s">
        <v>271</v>
      </c>
      <c r="C66" s="77"/>
      <c r="D66" s="77"/>
      <c r="E66" s="77"/>
      <c r="F66" s="77"/>
      <c r="G66" s="77"/>
      <c r="H66" s="4">
        <v>722</v>
      </c>
      <c r="I66" s="21" t="s">
        <v>8</v>
      </c>
      <c r="J66" s="22" t="s">
        <v>3</v>
      </c>
      <c r="K66" s="66"/>
      <c r="L66" s="22" t="s">
        <v>3</v>
      </c>
      <c r="M66" s="1">
        <f>H66*K66</f>
        <v>0</v>
      </c>
      <c r="O66" s="29"/>
      <c r="Q66" s="23"/>
    </row>
    <row r="67" spans="1:17" ht="12.75" customHeight="1" x14ac:dyDescent="0.2">
      <c r="A67" s="20"/>
      <c r="B67" s="78" t="s">
        <v>248</v>
      </c>
      <c r="C67" s="78"/>
      <c r="D67" s="78"/>
      <c r="E67" s="78"/>
      <c r="F67" s="78"/>
      <c r="G67" s="78"/>
      <c r="H67" s="24"/>
      <c r="I67" s="21"/>
      <c r="K67" s="26"/>
      <c r="L67" s="2"/>
      <c r="M67" s="2"/>
      <c r="Q67" s="23"/>
    </row>
    <row r="68" spans="1:17" ht="12.75" customHeight="1" x14ac:dyDescent="0.2">
      <c r="A68" s="20"/>
      <c r="B68" s="63"/>
      <c r="C68" s="63"/>
      <c r="D68" s="63"/>
      <c r="E68" s="63"/>
      <c r="F68" s="63"/>
      <c r="G68" s="63"/>
      <c r="H68" s="24"/>
      <c r="I68" s="21"/>
      <c r="K68" s="26"/>
      <c r="L68" s="2"/>
      <c r="M68" s="2"/>
      <c r="Q68" s="23"/>
    </row>
    <row r="69" spans="1:17" x14ac:dyDescent="0.2">
      <c r="A69" s="20" t="s">
        <v>90</v>
      </c>
      <c r="B69" s="77" t="s">
        <v>272</v>
      </c>
      <c r="C69" s="77"/>
      <c r="D69" s="77"/>
      <c r="E69" s="77"/>
      <c r="F69" s="77"/>
      <c r="G69" s="77"/>
      <c r="H69" s="4">
        <v>1200</v>
      </c>
      <c r="I69" s="21" t="s">
        <v>8</v>
      </c>
      <c r="J69" s="58" t="s">
        <v>3</v>
      </c>
      <c r="K69" s="59"/>
      <c r="L69" s="58" t="s">
        <v>3</v>
      </c>
      <c r="M69" s="60">
        <f>H69*K69</f>
        <v>0</v>
      </c>
      <c r="O69" s="29"/>
      <c r="Q69" s="23"/>
    </row>
    <row r="70" spans="1:17" ht="12.75" customHeight="1" x14ac:dyDescent="0.2">
      <c r="A70" s="20"/>
      <c r="B70" s="78" t="s">
        <v>248</v>
      </c>
      <c r="C70" s="78"/>
      <c r="D70" s="78"/>
      <c r="E70" s="78"/>
      <c r="F70" s="78"/>
      <c r="G70" s="78"/>
      <c r="H70" s="24"/>
      <c r="I70" s="21"/>
      <c r="K70" s="26"/>
      <c r="L70" s="2"/>
      <c r="M70" s="2"/>
    </row>
    <row r="71" spans="1:17" ht="12.75" customHeight="1" x14ac:dyDescent="0.2">
      <c r="A71" s="20"/>
      <c r="B71" s="63"/>
      <c r="C71" s="63"/>
      <c r="D71" s="63"/>
      <c r="E71" s="63"/>
      <c r="F71" s="63"/>
      <c r="G71" s="63"/>
      <c r="H71" s="24"/>
      <c r="I71" s="21"/>
      <c r="K71" s="26"/>
      <c r="L71" s="2"/>
      <c r="M71" s="2"/>
    </row>
    <row r="72" spans="1:17" x14ac:dyDescent="0.2">
      <c r="A72" s="20" t="s">
        <v>91</v>
      </c>
      <c r="B72" s="77" t="s">
        <v>273</v>
      </c>
      <c r="C72" s="77"/>
      <c r="D72" s="77"/>
      <c r="E72" s="77"/>
      <c r="F72" s="77"/>
      <c r="G72" s="77"/>
      <c r="H72" s="4">
        <v>205</v>
      </c>
      <c r="I72" s="21" t="s">
        <v>8</v>
      </c>
      <c r="J72" s="22" t="s">
        <v>3</v>
      </c>
      <c r="K72" s="66"/>
      <c r="L72" s="22" t="s">
        <v>3</v>
      </c>
      <c r="M72" s="1">
        <f>H72*K72</f>
        <v>0</v>
      </c>
      <c r="O72" s="29"/>
      <c r="Q72" s="23"/>
    </row>
    <row r="73" spans="1:17" ht="12.75" customHeight="1" x14ac:dyDescent="0.2">
      <c r="A73" s="20"/>
      <c r="B73" s="78" t="s">
        <v>249</v>
      </c>
      <c r="C73" s="78"/>
      <c r="D73" s="78"/>
      <c r="E73" s="78"/>
      <c r="F73" s="78"/>
      <c r="G73" s="78"/>
      <c r="H73" s="24"/>
      <c r="I73" s="21"/>
      <c r="K73" s="26"/>
      <c r="L73" s="2"/>
      <c r="M73" s="2"/>
    </row>
    <row r="74" spans="1:17" ht="12.75" customHeight="1" x14ac:dyDescent="0.2">
      <c r="A74" s="20"/>
      <c r="B74" s="63"/>
      <c r="C74" s="63"/>
      <c r="D74" s="63"/>
      <c r="E74" s="63"/>
      <c r="F74" s="63"/>
      <c r="G74" s="63"/>
      <c r="H74" s="24"/>
      <c r="I74" s="21"/>
      <c r="K74" s="26"/>
      <c r="L74" s="2"/>
      <c r="M74" s="2"/>
    </row>
    <row r="75" spans="1:17" ht="12.75" customHeight="1" thickBot="1" x14ac:dyDescent="0.25">
      <c r="A75" s="30"/>
      <c r="B75" s="82" t="s">
        <v>92</v>
      </c>
      <c r="C75" s="82"/>
      <c r="D75" s="82"/>
      <c r="E75" s="82"/>
      <c r="F75" s="82"/>
      <c r="G75" s="82"/>
      <c r="H75" s="82"/>
      <c r="I75" s="82"/>
      <c r="J75" s="82"/>
      <c r="K75" s="31"/>
      <c r="L75" s="3" t="s">
        <v>3</v>
      </c>
      <c r="M75" s="3">
        <f>SUM(M7,M10,M13,M16,M19,M22,M25,M28,M31,M34,M42,M45,M48,M51,M54,M57,M60,M63,M66,M69,M37,M72)</f>
        <v>0</v>
      </c>
    </row>
    <row r="76" spans="1:17" ht="12.75" customHeight="1" x14ac:dyDescent="0.2">
      <c r="A76" s="20"/>
      <c r="B76" s="69"/>
      <c r="C76" s="69"/>
      <c r="D76" s="69"/>
      <c r="E76" s="69"/>
      <c r="F76" s="69"/>
      <c r="G76" s="69"/>
      <c r="H76" s="69"/>
      <c r="I76" s="69"/>
      <c r="J76" s="69"/>
      <c r="K76" s="26"/>
      <c r="L76" s="2"/>
      <c r="M76" s="2"/>
    </row>
    <row r="77" spans="1:17" x14ac:dyDescent="0.2">
      <c r="A77" s="19" t="s">
        <v>93</v>
      </c>
      <c r="B77" s="65" t="s">
        <v>280</v>
      </c>
      <c r="C77" s="32"/>
      <c r="D77" s="32"/>
      <c r="E77" s="32"/>
      <c r="F77" s="32"/>
      <c r="G77" s="32"/>
      <c r="H77" s="16"/>
      <c r="I77" s="16"/>
      <c r="J77" s="17"/>
      <c r="K77" s="16"/>
      <c r="L77" s="16"/>
    </row>
    <row r="78" spans="1:17" x14ac:dyDescent="0.2">
      <c r="A78" s="15"/>
      <c r="B78" s="16"/>
      <c r="C78" s="16"/>
      <c r="D78" s="16"/>
      <c r="E78" s="16"/>
      <c r="F78" s="16"/>
      <c r="G78" s="16"/>
      <c r="H78" s="16"/>
      <c r="I78" s="16"/>
      <c r="J78" s="17"/>
      <c r="K78" s="16"/>
      <c r="L78" s="16"/>
    </row>
    <row r="79" spans="1:17" x14ac:dyDescent="0.2">
      <c r="A79" s="20" t="s">
        <v>94</v>
      </c>
      <c r="B79" s="77" t="s">
        <v>275</v>
      </c>
      <c r="C79" s="77"/>
      <c r="D79" s="77"/>
      <c r="E79" s="77"/>
      <c r="F79" s="77"/>
      <c r="G79" s="77"/>
      <c r="H79" s="4">
        <v>44355</v>
      </c>
      <c r="I79" s="21" t="s">
        <v>45</v>
      </c>
      <c r="J79" s="22" t="s">
        <v>3</v>
      </c>
      <c r="K79" s="67"/>
      <c r="L79" s="22" t="s">
        <v>3</v>
      </c>
      <c r="M79" s="1">
        <f>H79*K79</f>
        <v>0</v>
      </c>
    </row>
    <row r="80" spans="1:17" x14ac:dyDescent="0.2">
      <c r="A80" s="20"/>
      <c r="B80" s="78" t="s">
        <v>250</v>
      </c>
      <c r="C80" s="78"/>
      <c r="D80" s="78"/>
      <c r="E80" s="78"/>
      <c r="F80" s="78"/>
      <c r="G80" s="78"/>
      <c r="H80" s="24"/>
      <c r="I80" s="21"/>
      <c r="K80" s="26"/>
      <c r="L80" s="2"/>
      <c r="M80" s="2"/>
    </row>
    <row r="81" spans="1:16" x14ac:dyDescent="0.2">
      <c r="A81" s="20"/>
      <c r="B81" s="33"/>
      <c r="C81" s="33"/>
      <c r="D81" s="33"/>
      <c r="E81" s="33"/>
      <c r="F81" s="33"/>
      <c r="G81" s="33"/>
      <c r="H81" s="24"/>
      <c r="I81" s="21"/>
      <c r="K81" s="26"/>
      <c r="L81" s="2"/>
      <c r="M81" s="2"/>
    </row>
    <row r="82" spans="1:16" x14ac:dyDescent="0.2">
      <c r="A82" s="20" t="s">
        <v>95</v>
      </c>
      <c r="B82" s="77" t="s">
        <v>276</v>
      </c>
      <c r="C82" s="77"/>
      <c r="D82" s="77"/>
      <c r="E82" s="77"/>
      <c r="F82" s="77"/>
      <c r="G82" s="77"/>
      <c r="H82" s="4">
        <v>903</v>
      </c>
      <c r="I82" s="21" t="s">
        <v>8</v>
      </c>
      <c r="J82" s="22" t="s">
        <v>3</v>
      </c>
      <c r="K82" s="67"/>
      <c r="L82" s="22" t="s">
        <v>3</v>
      </c>
      <c r="M82" s="1">
        <f>H82*K82</f>
        <v>0</v>
      </c>
    </row>
    <row r="83" spans="1:16" ht="12.75" customHeight="1" x14ac:dyDescent="0.2">
      <c r="A83" s="20"/>
      <c r="B83" s="78" t="s">
        <v>250</v>
      </c>
      <c r="C83" s="78"/>
      <c r="D83" s="78"/>
      <c r="E83" s="78"/>
      <c r="F83" s="78"/>
      <c r="G83" s="78"/>
      <c r="H83" s="24"/>
      <c r="I83" s="21"/>
      <c r="K83" s="26"/>
      <c r="L83" s="2"/>
      <c r="M83" s="2"/>
    </row>
    <row r="84" spans="1:16" ht="12.75" customHeight="1" x14ac:dyDescent="0.2">
      <c r="A84" s="20"/>
      <c r="B84" s="63"/>
      <c r="C84" s="63"/>
      <c r="D84" s="63"/>
      <c r="E84" s="63"/>
      <c r="F84" s="63"/>
      <c r="G84" s="63"/>
      <c r="H84" s="24"/>
      <c r="I84" s="21"/>
      <c r="K84" s="26"/>
      <c r="L84" s="2"/>
      <c r="M84" s="2"/>
    </row>
    <row r="85" spans="1:16" ht="12.75" customHeight="1" x14ac:dyDescent="0.2">
      <c r="A85" s="20" t="s">
        <v>96</v>
      </c>
      <c r="B85" s="77" t="s">
        <v>277</v>
      </c>
      <c r="C85" s="77"/>
      <c r="D85" s="77"/>
      <c r="E85" s="77"/>
      <c r="F85" s="77"/>
      <c r="G85" s="77"/>
      <c r="H85" s="5">
        <v>346</v>
      </c>
      <c r="I85" s="21" t="s">
        <v>8</v>
      </c>
      <c r="J85" s="22" t="s">
        <v>3</v>
      </c>
      <c r="K85" s="67"/>
      <c r="L85" s="22" t="s">
        <v>3</v>
      </c>
      <c r="M85" s="1">
        <f>H85*K85</f>
        <v>0</v>
      </c>
    </row>
    <row r="86" spans="1:16" ht="12.75" customHeight="1" x14ac:dyDescent="0.2">
      <c r="A86" s="20"/>
      <c r="B86" s="78" t="s">
        <v>251</v>
      </c>
      <c r="C86" s="78"/>
      <c r="D86" s="78"/>
      <c r="E86" s="78"/>
      <c r="F86" s="78"/>
      <c r="G86" s="78"/>
      <c r="H86" s="24"/>
      <c r="I86" s="21"/>
      <c r="K86" s="26"/>
      <c r="L86" s="2"/>
      <c r="M86" s="2"/>
    </row>
    <row r="87" spans="1:16" x14ac:dyDescent="0.2">
      <c r="A87" s="20"/>
      <c r="B87" s="35"/>
      <c r="C87" s="35"/>
      <c r="D87" s="35"/>
      <c r="E87" s="35"/>
      <c r="F87" s="35"/>
      <c r="G87" s="35"/>
      <c r="H87" s="24"/>
      <c r="I87" s="21"/>
      <c r="L87" s="2"/>
      <c r="M87" s="2"/>
    </row>
    <row r="88" spans="1:16" ht="12.75" customHeight="1" x14ac:dyDescent="0.2">
      <c r="A88" s="20" t="s">
        <v>97</v>
      </c>
      <c r="B88" s="77" t="s">
        <v>278</v>
      </c>
      <c r="C88" s="77"/>
      <c r="D88" s="77"/>
      <c r="E88" s="77"/>
      <c r="F88" s="77"/>
      <c r="G88" s="77"/>
      <c r="H88" s="4">
        <v>198</v>
      </c>
      <c r="I88" s="21" t="s">
        <v>8</v>
      </c>
      <c r="J88" s="22" t="s">
        <v>3</v>
      </c>
      <c r="K88" s="67"/>
      <c r="L88" s="22" t="s">
        <v>3</v>
      </c>
      <c r="M88" s="1">
        <f>H88*K88</f>
        <v>0</v>
      </c>
      <c r="P88" s="7"/>
    </row>
    <row r="89" spans="1:16" ht="12.75" customHeight="1" x14ac:dyDescent="0.2">
      <c r="A89" s="20"/>
      <c r="B89" s="78" t="s">
        <v>251</v>
      </c>
      <c r="C89" s="78"/>
      <c r="D89" s="78"/>
      <c r="E89" s="78"/>
      <c r="F89" s="78"/>
      <c r="G89" s="78"/>
      <c r="H89" s="24"/>
      <c r="I89" s="21"/>
      <c r="K89" s="26"/>
      <c r="L89" s="2"/>
      <c r="M89" s="2"/>
    </row>
    <row r="90" spans="1:16" x14ac:dyDescent="0.2">
      <c r="A90" s="20"/>
      <c r="B90" s="35"/>
      <c r="C90" s="35"/>
      <c r="D90" s="35"/>
      <c r="E90" s="35"/>
      <c r="F90" s="35"/>
      <c r="G90" s="35"/>
      <c r="H90" s="24"/>
      <c r="I90" s="21"/>
      <c r="K90" s="26"/>
      <c r="L90" s="2"/>
      <c r="M90" s="2"/>
    </row>
    <row r="91" spans="1:16" ht="12.75" customHeight="1" x14ac:dyDescent="0.2">
      <c r="A91" s="20" t="s">
        <v>98</v>
      </c>
      <c r="B91" s="78" t="s">
        <v>279</v>
      </c>
      <c r="C91" s="78"/>
      <c r="D91" s="78"/>
      <c r="E91" s="78"/>
      <c r="F91" s="78"/>
      <c r="G91" s="78"/>
      <c r="H91" s="4">
        <v>5</v>
      </c>
      <c r="I91" s="21" t="s">
        <v>9</v>
      </c>
      <c r="J91" s="22" t="s">
        <v>47</v>
      </c>
      <c r="K91" s="68"/>
      <c r="L91" s="22" t="s">
        <v>3</v>
      </c>
      <c r="M91" s="1">
        <f>ROUND(M75*H91*0.004*K91,0)</f>
        <v>0</v>
      </c>
    </row>
    <row r="92" spans="1:16" ht="13.5" thickBot="1" x14ac:dyDescent="0.25">
      <c r="A92" s="20"/>
      <c r="B92" s="78" t="s">
        <v>259</v>
      </c>
      <c r="C92" s="78"/>
      <c r="D92" s="78"/>
      <c r="E92" s="78"/>
      <c r="F92" s="78"/>
      <c r="G92" s="78"/>
      <c r="H92" s="24"/>
      <c r="I92" s="21"/>
      <c r="K92" s="26"/>
      <c r="L92" s="2"/>
      <c r="M92" s="2"/>
    </row>
    <row r="93" spans="1:16" ht="13.5" customHeight="1" thickBot="1" x14ac:dyDescent="0.25">
      <c r="A93" s="20"/>
      <c r="B93" s="84" t="s">
        <v>302</v>
      </c>
      <c r="C93" s="85"/>
      <c r="D93" s="85"/>
      <c r="E93" s="85"/>
      <c r="F93" s="85"/>
      <c r="G93" s="86"/>
      <c r="H93" s="24"/>
      <c r="I93" s="21"/>
      <c r="K93" s="26"/>
      <c r="L93" s="2"/>
      <c r="M93" s="2"/>
    </row>
    <row r="94" spans="1:16" x14ac:dyDescent="0.2">
      <c r="A94" s="20"/>
      <c r="B94" s="72"/>
      <c r="C94" s="16"/>
      <c r="D94" s="16"/>
      <c r="E94" s="16"/>
      <c r="F94" s="16"/>
      <c r="G94" s="16"/>
      <c r="H94" s="24"/>
      <c r="I94" s="21"/>
      <c r="L94" s="2"/>
      <c r="M94" s="2"/>
    </row>
    <row r="95" spans="1:16" ht="12.75" customHeight="1" x14ac:dyDescent="0.2">
      <c r="A95" s="28" t="s">
        <v>99</v>
      </c>
      <c r="B95" s="81" t="s">
        <v>62</v>
      </c>
      <c r="C95" s="81"/>
      <c r="D95" s="81"/>
      <c r="E95" s="81"/>
      <c r="F95" s="81"/>
      <c r="G95" s="81"/>
      <c r="H95" s="24"/>
      <c r="I95" s="21"/>
      <c r="L95" s="2"/>
      <c r="M95" s="2"/>
    </row>
    <row r="96" spans="1:16" x14ac:dyDescent="0.2">
      <c r="A96" s="20"/>
      <c r="B96" s="72"/>
      <c r="C96" s="16"/>
      <c r="D96" s="16"/>
      <c r="E96" s="16"/>
      <c r="F96" s="16"/>
      <c r="G96" s="16"/>
      <c r="H96" s="24"/>
      <c r="I96" s="21"/>
      <c r="L96" s="2"/>
      <c r="M96" s="2"/>
    </row>
    <row r="97" spans="1:13" x14ac:dyDescent="0.2">
      <c r="A97" s="20" t="s">
        <v>100</v>
      </c>
      <c r="B97" s="77" t="s">
        <v>260</v>
      </c>
      <c r="C97" s="77"/>
      <c r="D97" s="77"/>
      <c r="E97" s="77"/>
      <c r="F97" s="77"/>
      <c r="G97" s="77"/>
      <c r="H97" s="4">
        <v>54</v>
      </c>
      <c r="I97" s="21" t="s">
        <v>9</v>
      </c>
      <c r="J97" s="22" t="s">
        <v>3</v>
      </c>
      <c r="K97" s="67"/>
      <c r="L97" s="22" t="s">
        <v>3</v>
      </c>
      <c r="M97" s="1">
        <f>H97*K97</f>
        <v>0</v>
      </c>
    </row>
    <row r="98" spans="1:13" ht="12.75" customHeight="1" x14ac:dyDescent="0.2">
      <c r="A98" s="20"/>
      <c r="B98" s="78" t="s">
        <v>252</v>
      </c>
      <c r="C98" s="78"/>
      <c r="D98" s="78"/>
      <c r="E98" s="78"/>
      <c r="F98" s="78"/>
      <c r="G98" s="78"/>
      <c r="H98" s="24"/>
      <c r="I98" s="21"/>
      <c r="K98" s="26"/>
      <c r="L98" s="2"/>
      <c r="M98" s="2"/>
    </row>
    <row r="99" spans="1:13" ht="12.75" customHeight="1" x14ac:dyDescent="0.2">
      <c r="A99" s="20"/>
      <c r="B99" s="63"/>
      <c r="C99" s="63"/>
      <c r="D99" s="63"/>
      <c r="E99" s="63"/>
      <c r="F99" s="63"/>
      <c r="G99" s="63"/>
      <c r="H99" s="24"/>
      <c r="I99" s="21"/>
      <c r="K99" s="26"/>
      <c r="L99" s="2"/>
      <c r="M99" s="2"/>
    </row>
    <row r="100" spans="1:13" x14ac:dyDescent="0.2">
      <c r="A100" s="20" t="s">
        <v>101</v>
      </c>
      <c r="B100" s="77" t="s">
        <v>51</v>
      </c>
      <c r="C100" s="77"/>
      <c r="D100" s="77"/>
      <c r="E100" s="77"/>
      <c r="F100" s="77"/>
      <c r="G100" s="77"/>
      <c r="H100" s="4">
        <v>135</v>
      </c>
      <c r="I100" s="21" t="s">
        <v>9</v>
      </c>
      <c r="J100" s="22" t="s">
        <v>3</v>
      </c>
      <c r="K100" s="67"/>
      <c r="L100" s="22" t="s">
        <v>3</v>
      </c>
      <c r="M100" s="1">
        <f>H100*K100</f>
        <v>0</v>
      </c>
    </row>
    <row r="101" spans="1:13" ht="12.75" customHeight="1" x14ac:dyDescent="0.2">
      <c r="A101" s="62"/>
      <c r="B101" s="83" t="s">
        <v>253</v>
      </c>
      <c r="C101" s="83"/>
      <c r="D101" s="83"/>
      <c r="E101" s="83"/>
      <c r="F101" s="83"/>
      <c r="G101" s="83"/>
      <c r="H101" s="24"/>
      <c r="I101" s="21"/>
      <c r="K101" s="26"/>
      <c r="L101" s="2"/>
      <c r="M101" s="2"/>
    </row>
    <row r="102" spans="1:13" ht="12.75" customHeight="1" x14ac:dyDescent="0.2">
      <c r="A102" s="20"/>
      <c r="B102" s="63"/>
      <c r="C102" s="63"/>
      <c r="D102" s="63"/>
      <c r="E102" s="63"/>
      <c r="F102" s="63"/>
      <c r="G102" s="63"/>
      <c r="H102" s="24"/>
      <c r="I102" s="21"/>
      <c r="K102" s="26"/>
      <c r="L102" s="2"/>
      <c r="M102" s="2"/>
    </row>
    <row r="103" spans="1:13" ht="12.75" customHeight="1" x14ac:dyDescent="0.2">
      <c r="A103" s="28" t="s">
        <v>102</v>
      </c>
      <c r="B103" s="87" t="s">
        <v>281</v>
      </c>
      <c r="C103" s="87"/>
      <c r="D103" s="87"/>
      <c r="E103" s="87"/>
      <c r="F103" s="87"/>
      <c r="G103" s="87"/>
      <c r="H103" s="24"/>
      <c r="I103" s="21"/>
      <c r="L103" s="2"/>
      <c r="M103" s="2"/>
    </row>
    <row r="104" spans="1:13" x14ac:dyDescent="0.2">
      <c r="A104" s="20"/>
      <c r="B104" s="16"/>
      <c r="C104" s="16"/>
      <c r="D104" s="16"/>
      <c r="E104" s="16"/>
      <c r="F104" s="16"/>
      <c r="G104" s="16"/>
      <c r="H104" s="24"/>
      <c r="I104" s="21"/>
      <c r="L104" s="2"/>
      <c r="M104" s="2"/>
    </row>
    <row r="105" spans="1:13" ht="12.75" customHeight="1" x14ac:dyDescent="0.2">
      <c r="A105" s="20" t="s">
        <v>103</v>
      </c>
      <c r="B105" s="83" t="s">
        <v>283</v>
      </c>
      <c r="C105" s="83"/>
      <c r="D105" s="83"/>
      <c r="E105" s="83"/>
      <c r="F105" s="83"/>
      <c r="G105" s="83"/>
      <c r="H105" s="4">
        <v>7</v>
      </c>
      <c r="I105" s="21" t="s">
        <v>9</v>
      </c>
      <c r="J105" s="22" t="s">
        <v>47</v>
      </c>
      <c r="K105" s="68"/>
      <c r="L105" s="22" t="s">
        <v>3</v>
      </c>
      <c r="M105" s="1">
        <f>ROUND(M75*0.05*K105,0)</f>
        <v>0</v>
      </c>
    </row>
    <row r="106" spans="1:13" ht="13.5" customHeight="1" thickBot="1" x14ac:dyDescent="0.25">
      <c r="A106" s="20"/>
      <c r="B106" s="88" t="s">
        <v>254</v>
      </c>
      <c r="C106" s="88"/>
      <c r="D106" s="88"/>
      <c r="E106" s="88"/>
      <c r="F106" s="88"/>
      <c r="G106" s="88"/>
      <c r="H106" s="24"/>
      <c r="I106" s="21"/>
      <c r="K106" s="34"/>
      <c r="L106" s="2"/>
      <c r="M106" s="2"/>
    </row>
    <row r="107" spans="1:13" ht="12.75" customHeight="1" thickBot="1" x14ac:dyDescent="0.25">
      <c r="A107" s="20"/>
      <c r="B107" s="84" t="s">
        <v>306</v>
      </c>
      <c r="C107" s="85"/>
      <c r="D107" s="85"/>
      <c r="E107" s="85"/>
      <c r="F107" s="85"/>
      <c r="G107" s="86"/>
      <c r="H107" s="24"/>
      <c r="I107" s="21"/>
      <c r="K107" s="34"/>
      <c r="L107" s="2"/>
      <c r="M107" s="2"/>
    </row>
    <row r="108" spans="1:13" x14ac:dyDescent="0.2">
      <c r="A108" s="20"/>
      <c r="B108" s="16"/>
      <c r="C108" s="16"/>
      <c r="D108" s="16"/>
      <c r="E108" s="16"/>
      <c r="F108" s="16"/>
      <c r="G108" s="16"/>
      <c r="H108" s="24"/>
      <c r="I108" s="21"/>
      <c r="L108" s="2"/>
      <c r="M108" s="2"/>
    </row>
    <row r="109" spans="1:13" ht="12.75" customHeight="1" x14ac:dyDescent="0.2">
      <c r="A109" s="20" t="s">
        <v>104</v>
      </c>
      <c r="B109" s="83" t="s">
        <v>284</v>
      </c>
      <c r="C109" s="83"/>
      <c r="D109" s="83"/>
      <c r="E109" s="83"/>
      <c r="F109" s="83"/>
      <c r="G109" s="83"/>
      <c r="H109" s="4">
        <v>44</v>
      </c>
      <c r="I109" s="21" t="s">
        <v>9</v>
      </c>
      <c r="J109" s="22" t="s">
        <v>47</v>
      </c>
      <c r="K109" s="68"/>
      <c r="L109" s="22" t="s">
        <v>3</v>
      </c>
      <c r="M109" s="1">
        <f>ROUND(M75*0.1*K109,0)</f>
        <v>0</v>
      </c>
    </row>
    <row r="110" spans="1:13" ht="13.5" customHeight="1" thickBot="1" x14ac:dyDescent="0.25">
      <c r="A110" s="20"/>
      <c r="B110" s="88" t="s">
        <v>254</v>
      </c>
      <c r="C110" s="88"/>
      <c r="D110" s="88"/>
      <c r="E110" s="88"/>
      <c r="F110" s="88"/>
      <c r="G110" s="88"/>
      <c r="H110" s="24"/>
      <c r="I110" s="21"/>
      <c r="K110" s="34"/>
      <c r="L110" s="2"/>
      <c r="M110" s="2"/>
    </row>
    <row r="111" spans="1:13" ht="12.75" customHeight="1" thickBot="1" x14ac:dyDescent="0.25">
      <c r="A111" s="20"/>
      <c r="B111" s="84" t="s">
        <v>310</v>
      </c>
      <c r="C111" s="85"/>
      <c r="D111" s="85"/>
      <c r="E111" s="85"/>
      <c r="F111" s="85"/>
      <c r="G111" s="86"/>
      <c r="H111" s="24"/>
      <c r="I111" s="21"/>
      <c r="K111" s="34"/>
      <c r="L111" s="2"/>
      <c r="M111" s="2"/>
    </row>
    <row r="112" spans="1:13" x14ac:dyDescent="0.2">
      <c r="A112" s="20"/>
      <c r="B112" s="16"/>
      <c r="C112" s="16"/>
      <c r="D112" s="16"/>
      <c r="E112" s="16"/>
      <c r="F112" s="16"/>
      <c r="G112" s="16"/>
      <c r="H112" s="24"/>
      <c r="I112" s="21"/>
      <c r="L112" s="2"/>
      <c r="M112" s="2"/>
    </row>
    <row r="113" spans="1:13" ht="12.75" customHeight="1" x14ac:dyDescent="0.2">
      <c r="A113" s="20" t="s">
        <v>105</v>
      </c>
      <c r="B113" s="83" t="s">
        <v>285</v>
      </c>
      <c r="C113" s="83"/>
      <c r="D113" s="83"/>
      <c r="E113" s="83"/>
      <c r="F113" s="83"/>
      <c r="G113" s="83"/>
      <c r="H113" s="4">
        <v>30</v>
      </c>
      <c r="I113" s="21" t="s">
        <v>9</v>
      </c>
      <c r="J113" s="22" t="s">
        <v>47</v>
      </c>
      <c r="K113" s="68"/>
      <c r="L113" s="22" t="s">
        <v>3</v>
      </c>
      <c r="M113" s="1">
        <f>ROUND(M75*0.05*K113,0)</f>
        <v>0</v>
      </c>
    </row>
    <row r="114" spans="1:13" ht="13.5" thickBot="1" x14ac:dyDescent="0.25">
      <c r="A114" s="20"/>
      <c r="B114" s="78" t="s">
        <v>254</v>
      </c>
      <c r="C114" s="78"/>
      <c r="D114" s="78"/>
      <c r="E114" s="78"/>
      <c r="F114" s="78"/>
      <c r="G114" s="78"/>
      <c r="H114" s="24"/>
      <c r="I114" s="21"/>
      <c r="K114" s="34"/>
      <c r="L114" s="2"/>
      <c r="M114" s="2"/>
    </row>
    <row r="115" spans="1:13" ht="13.5" customHeight="1" thickBot="1" x14ac:dyDescent="0.25">
      <c r="A115" s="20"/>
      <c r="B115" s="84" t="s">
        <v>306</v>
      </c>
      <c r="C115" s="85"/>
      <c r="D115" s="85"/>
      <c r="E115" s="85"/>
      <c r="F115" s="85"/>
      <c r="G115" s="86"/>
      <c r="H115" s="24"/>
      <c r="I115" s="33"/>
      <c r="K115" s="34"/>
      <c r="L115" s="2"/>
      <c r="M115" s="2"/>
    </row>
    <row r="116" spans="1:13" x14ac:dyDescent="0.2">
      <c r="A116" s="20"/>
      <c r="B116" s="35"/>
      <c r="C116" s="35"/>
      <c r="D116" s="35"/>
      <c r="E116" s="35"/>
      <c r="F116" s="35"/>
      <c r="G116" s="35"/>
      <c r="H116" s="24"/>
      <c r="I116" s="33"/>
      <c r="L116" s="2"/>
      <c r="M116" s="2"/>
    </row>
    <row r="117" spans="1:13" ht="12.75" customHeight="1" x14ac:dyDescent="0.2">
      <c r="A117" s="20" t="s">
        <v>106</v>
      </c>
      <c r="B117" s="83" t="s">
        <v>286</v>
      </c>
      <c r="C117" s="83"/>
      <c r="D117" s="83"/>
      <c r="E117" s="83"/>
      <c r="F117" s="83"/>
      <c r="G117" s="83"/>
      <c r="H117" s="4">
        <v>19</v>
      </c>
      <c r="I117" s="21" t="s">
        <v>9</v>
      </c>
      <c r="J117" s="22" t="s">
        <v>47</v>
      </c>
      <c r="K117" s="68"/>
      <c r="L117" s="22" t="s">
        <v>3</v>
      </c>
      <c r="M117" s="1">
        <f>ROUND(M75*0.03*K117,0)</f>
        <v>0</v>
      </c>
    </row>
    <row r="118" spans="1:13" ht="13.5" thickBot="1" x14ac:dyDescent="0.25">
      <c r="A118" s="20"/>
      <c r="B118" s="78" t="s">
        <v>254</v>
      </c>
      <c r="C118" s="78"/>
      <c r="D118" s="78"/>
      <c r="E118" s="78"/>
      <c r="F118" s="78"/>
      <c r="G118" s="78"/>
      <c r="H118" s="24"/>
      <c r="I118" s="21"/>
      <c r="K118" s="34"/>
      <c r="L118" s="2"/>
      <c r="M118" s="2"/>
    </row>
    <row r="119" spans="1:13" ht="13.5" customHeight="1" thickBot="1" x14ac:dyDescent="0.25">
      <c r="A119" s="20"/>
      <c r="B119" s="84" t="s">
        <v>314</v>
      </c>
      <c r="C119" s="85"/>
      <c r="D119" s="85"/>
      <c r="E119" s="85"/>
      <c r="F119" s="85"/>
      <c r="G119" s="86"/>
      <c r="H119" s="24"/>
      <c r="I119" s="33"/>
      <c r="K119" s="34"/>
      <c r="L119" s="2"/>
      <c r="M119" s="2"/>
    </row>
    <row r="121" spans="1:13" x14ac:dyDescent="0.2">
      <c r="A121" s="28" t="s">
        <v>107</v>
      </c>
      <c r="B121" s="87" t="s">
        <v>55</v>
      </c>
      <c r="C121" s="87"/>
      <c r="D121" s="87"/>
      <c r="E121" s="87"/>
      <c r="F121" s="87"/>
      <c r="G121" s="87"/>
      <c r="H121" s="24"/>
      <c r="I121" s="33"/>
      <c r="K121" s="34"/>
      <c r="L121" s="2"/>
      <c r="M121" s="2"/>
    </row>
    <row r="122" spans="1:13" x14ac:dyDescent="0.2">
      <c r="A122" s="20"/>
      <c r="B122" s="35"/>
      <c r="C122" s="35"/>
      <c r="D122" s="35"/>
      <c r="E122" s="35"/>
      <c r="F122" s="35"/>
      <c r="G122" s="35"/>
      <c r="H122" s="24"/>
      <c r="I122" s="33"/>
      <c r="K122" s="34"/>
      <c r="L122" s="2"/>
      <c r="M122" s="2"/>
    </row>
    <row r="123" spans="1:13" x14ac:dyDescent="0.2">
      <c r="A123" s="20" t="s">
        <v>108</v>
      </c>
      <c r="B123" s="77" t="s">
        <v>22</v>
      </c>
      <c r="C123" s="77"/>
      <c r="D123" s="77"/>
      <c r="E123" s="77"/>
      <c r="F123" s="77"/>
      <c r="G123" s="77"/>
      <c r="H123" s="4">
        <v>42</v>
      </c>
      <c r="I123" s="21" t="s">
        <v>9</v>
      </c>
      <c r="J123" s="22" t="s">
        <v>3</v>
      </c>
      <c r="K123" s="67"/>
      <c r="L123" s="22" t="s">
        <v>3</v>
      </c>
      <c r="M123" s="1">
        <f>H123*K123</f>
        <v>0</v>
      </c>
    </row>
    <row r="124" spans="1:13" ht="12.75" customHeight="1" x14ac:dyDescent="0.2">
      <c r="A124" s="20"/>
      <c r="B124" s="78" t="s">
        <v>255</v>
      </c>
      <c r="C124" s="78"/>
      <c r="D124" s="78"/>
      <c r="E124" s="78"/>
      <c r="F124" s="78"/>
      <c r="G124" s="78"/>
      <c r="H124" s="24"/>
      <c r="I124" s="21"/>
      <c r="K124" s="26"/>
      <c r="L124" s="2"/>
      <c r="M124" s="2"/>
    </row>
    <row r="125" spans="1:13" ht="12.75" customHeight="1" x14ac:dyDescent="0.2">
      <c r="A125" s="20"/>
      <c r="B125" s="63"/>
      <c r="C125" s="63"/>
      <c r="D125" s="63"/>
      <c r="E125" s="63"/>
      <c r="F125" s="63"/>
      <c r="G125" s="63"/>
      <c r="H125" s="24"/>
      <c r="I125" s="21"/>
      <c r="K125" s="26"/>
      <c r="L125" s="2"/>
      <c r="M125" s="2"/>
    </row>
    <row r="126" spans="1:13" ht="12.75" customHeight="1" x14ac:dyDescent="0.2">
      <c r="A126" s="20" t="s">
        <v>109</v>
      </c>
      <c r="B126" s="77" t="s">
        <v>57</v>
      </c>
      <c r="C126" s="77"/>
      <c r="D126" s="77"/>
      <c r="E126" s="77"/>
      <c r="F126" s="77"/>
      <c r="G126" s="77"/>
      <c r="H126" s="24"/>
      <c r="I126" s="21" t="s">
        <v>9</v>
      </c>
      <c r="J126" s="22"/>
      <c r="K126" s="6" t="s">
        <v>10</v>
      </c>
      <c r="L126" s="1"/>
      <c r="M126" s="6" t="s">
        <v>10</v>
      </c>
    </row>
    <row r="127" spans="1:13" x14ac:dyDescent="0.2">
      <c r="A127" s="20"/>
      <c r="B127" s="78" t="s">
        <v>256</v>
      </c>
      <c r="C127" s="78"/>
      <c r="D127" s="78"/>
      <c r="E127" s="78"/>
      <c r="F127" s="78"/>
      <c r="G127" s="78"/>
      <c r="H127" s="24"/>
      <c r="I127" s="21"/>
      <c r="K127" s="2"/>
      <c r="L127" s="2"/>
      <c r="M127" s="70"/>
    </row>
    <row r="128" spans="1:13" x14ac:dyDescent="0.2">
      <c r="A128" s="20"/>
      <c r="B128" s="63"/>
      <c r="C128" s="63"/>
      <c r="D128" s="63"/>
      <c r="E128" s="63"/>
      <c r="F128" s="63"/>
      <c r="G128" s="63"/>
      <c r="H128" s="24"/>
      <c r="I128" s="21"/>
      <c r="K128" s="2"/>
      <c r="L128" s="2"/>
      <c r="M128" s="70"/>
    </row>
    <row r="129" spans="1:13" x14ac:dyDescent="0.2">
      <c r="A129" s="20" t="s">
        <v>110</v>
      </c>
      <c r="B129" s="77" t="s">
        <v>11</v>
      </c>
      <c r="C129" s="77"/>
      <c r="D129" s="77"/>
      <c r="E129" s="77"/>
      <c r="F129" s="77"/>
      <c r="G129" s="77"/>
      <c r="H129" s="24"/>
      <c r="I129" s="21" t="s">
        <v>9</v>
      </c>
      <c r="J129" s="22"/>
      <c r="K129" s="6" t="s">
        <v>10</v>
      </c>
      <c r="L129" s="1"/>
      <c r="M129" s="6" t="s">
        <v>10</v>
      </c>
    </row>
    <row r="130" spans="1:13" x14ac:dyDescent="0.2">
      <c r="A130" s="20"/>
      <c r="B130" s="78" t="s">
        <v>257</v>
      </c>
      <c r="C130" s="78"/>
      <c r="D130" s="78"/>
      <c r="E130" s="78"/>
      <c r="F130" s="78"/>
      <c r="G130" s="78"/>
      <c r="H130" s="24"/>
      <c r="I130" s="21"/>
      <c r="K130" s="2"/>
      <c r="L130" s="2"/>
      <c r="M130" s="70"/>
    </row>
    <row r="131" spans="1:13" x14ac:dyDescent="0.2">
      <c r="A131" s="20"/>
      <c r="B131" s="63"/>
      <c r="C131" s="63"/>
      <c r="D131" s="63"/>
      <c r="E131" s="63"/>
      <c r="F131" s="63"/>
      <c r="G131" s="63"/>
      <c r="H131" s="24"/>
      <c r="I131" s="21"/>
      <c r="K131" s="2"/>
      <c r="L131" s="2"/>
      <c r="M131" s="70"/>
    </row>
    <row r="132" spans="1:13" ht="12.75" customHeight="1" x14ac:dyDescent="0.2">
      <c r="A132" s="20" t="s">
        <v>111</v>
      </c>
      <c r="B132" s="8" t="s">
        <v>61</v>
      </c>
      <c r="H132" s="36"/>
      <c r="I132" s="21" t="s">
        <v>9</v>
      </c>
      <c r="J132" s="22"/>
      <c r="K132" s="6" t="s">
        <v>10</v>
      </c>
      <c r="L132" s="1"/>
      <c r="M132" s="6" t="s">
        <v>10</v>
      </c>
    </row>
    <row r="133" spans="1:13" ht="12.75" customHeight="1" x14ac:dyDescent="0.2">
      <c r="A133" s="20"/>
      <c r="B133" s="78" t="s">
        <v>258</v>
      </c>
      <c r="C133" s="77"/>
      <c r="D133" s="77"/>
      <c r="E133" s="77"/>
      <c r="F133" s="77"/>
      <c r="G133" s="77"/>
      <c r="H133" s="24"/>
      <c r="I133" s="21"/>
      <c r="L133" s="2"/>
      <c r="M133" s="2"/>
    </row>
    <row r="134" spans="1:13" s="37" customFormat="1" ht="12" thickBot="1" x14ac:dyDescent="0.25">
      <c r="B134" s="38"/>
      <c r="C134" s="39"/>
      <c r="D134" s="40"/>
      <c r="E134" s="40"/>
      <c r="F134" s="40"/>
      <c r="G134" s="40"/>
      <c r="H134" s="40"/>
      <c r="I134" s="40"/>
      <c r="J134" s="41"/>
      <c r="K134" s="40"/>
      <c r="L134" s="42"/>
      <c r="M134" s="43"/>
    </row>
    <row r="135" spans="1:13" ht="15" x14ac:dyDescent="0.25">
      <c r="A135" s="44"/>
      <c r="B135" s="45"/>
      <c r="C135" s="45"/>
      <c r="D135" s="45"/>
      <c r="E135" s="45"/>
      <c r="F135" s="45"/>
      <c r="G135" s="45"/>
      <c r="H135" s="45"/>
      <c r="I135" s="45"/>
      <c r="J135" s="46"/>
      <c r="K135" s="47"/>
      <c r="L135" s="45"/>
      <c r="M135" s="48"/>
    </row>
    <row r="136" spans="1:13" ht="30" x14ac:dyDescent="0.4">
      <c r="A136" s="93" t="s">
        <v>46</v>
      </c>
      <c r="B136" s="94"/>
      <c r="C136" s="94"/>
      <c r="D136" s="94"/>
      <c r="E136" s="94"/>
      <c r="F136" s="94"/>
      <c r="G136" s="94"/>
      <c r="H136" s="94"/>
      <c r="I136" s="49" t="s">
        <v>3</v>
      </c>
      <c r="J136" s="89">
        <f>SUM(M75,M79,M82,M85,M88,M91,M123,M105,M109,M113,M117,M100,M97)</f>
        <v>0</v>
      </c>
      <c r="K136" s="89"/>
      <c r="L136" s="89"/>
      <c r="M136" s="90"/>
    </row>
    <row r="137" spans="1:13" ht="21.75" thickBot="1" x14ac:dyDescent="0.4">
      <c r="A137" s="50"/>
      <c r="B137" s="51"/>
      <c r="C137" s="51"/>
      <c r="D137" s="51"/>
      <c r="E137" s="51"/>
      <c r="F137" s="51"/>
      <c r="G137" s="51"/>
      <c r="H137" s="51"/>
      <c r="I137" s="51"/>
      <c r="J137" s="91"/>
      <c r="K137" s="91"/>
      <c r="L137" s="91"/>
      <c r="M137" s="92"/>
    </row>
    <row r="138" spans="1:13" ht="15" customHeight="1" thickBot="1" x14ac:dyDescent="0.3">
      <c r="A138" s="52"/>
      <c r="B138" s="53"/>
      <c r="C138" s="95"/>
      <c r="D138" s="96"/>
      <c r="E138" s="96"/>
      <c r="F138" s="96"/>
      <c r="G138" s="96"/>
      <c r="H138" s="96"/>
      <c r="I138" s="96"/>
      <c r="J138" s="96"/>
      <c r="K138" s="96"/>
      <c r="L138" s="54"/>
      <c r="M138" s="55"/>
    </row>
    <row r="139" spans="1:13" ht="15" x14ac:dyDescent="0.25">
      <c r="A139" s="44"/>
      <c r="B139" s="45"/>
      <c r="C139" s="45"/>
      <c r="D139" s="45"/>
      <c r="E139" s="45"/>
      <c r="F139" s="45"/>
      <c r="G139" s="45"/>
      <c r="H139" s="45"/>
      <c r="I139" s="45"/>
      <c r="J139" s="46"/>
      <c r="K139" s="47"/>
      <c r="L139" s="45"/>
      <c r="M139" s="48"/>
    </row>
    <row r="140" spans="1:13" ht="30" x14ac:dyDescent="0.4">
      <c r="A140" s="93" t="s">
        <v>112</v>
      </c>
      <c r="B140" s="94"/>
      <c r="C140" s="94"/>
      <c r="D140" s="94"/>
      <c r="E140" s="94"/>
      <c r="F140" s="94"/>
      <c r="G140" s="94"/>
      <c r="H140" s="94"/>
      <c r="I140" s="49" t="s">
        <v>3</v>
      </c>
      <c r="J140" s="89">
        <f>SUM(J136+'Exhibit A'!J136)</f>
        <v>0</v>
      </c>
      <c r="K140" s="89"/>
      <c r="L140" s="89"/>
      <c r="M140" s="90"/>
    </row>
    <row r="141" spans="1:13" ht="21.75" thickBot="1" x14ac:dyDescent="0.4">
      <c r="A141" s="50"/>
      <c r="B141" s="51"/>
      <c r="C141" s="51"/>
      <c r="D141" s="51"/>
      <c r="E141" s="51"/>
      <c r="F141" s="51"/>
      <c r="G141" s="51"/>
      <c r="H141" s="51"/>
      <c r="I141" s="51"/>
      <c r="J141" s="91"/>
      <c r="K141" s="91"/>
      <c r="L141" s="91"/>
      <c r="M141" s="92"/>
    </row>
    <row r="142" spans="1:13" ht="15" customHeight="1" x14ac:dyDescent="0.2"/>
    <row r="143" spans="1:13" ht="15" customHeight="1" x14ac:dyDescent="0.2"/>
    <row r="144" spans="1:13" ht="15" customHeight="1" x14ac:dyDescent="0.2"/>
    <row r="145" ht="15" customHeight="1" x14ac:dyDescent="0.2"/>
    <row r="146" ht="15" customHeight="1" x14ac:dyDescent="0.2"/>
    <row r="147" ht="15" customHeight="1" x14ac:dyDescent="0.2"/>
    <row r="148" ht="15.75" customHeight="1" x14ac:dyDescent="0.2"/>
    <row r="149" ht="15" customHeight="1" x14ac:dyDescent="0.2"/>
    <row r="150" ht="15" customHeight="1" x14ac:dyDescent="0.2"/>
    <row r="152" ht="12.75" customHeight="1" x14ac:dyDescent="0.2"/>
    <row r="153" ht="12.75" customHeight="1" x14ac:dyDescent="0.2"/>
    <row r="154" ht="12.75" customHeight="1" x14ac:dyDescent="0.2"/>
    <row r="156" ht="15" customHeight="1" x14ac:dyDescent="0.2"/>
    <row r="157" ht="15" customHeight="1" x14ac:dyDescent="0.2"/>
    <row r="158" ht="12.75" customHeight="1" x14ac:dyDescent="0.2"/>
    <row r="159" ht="12.75" customHeight="1" x14ac:dyDescent="0.2"/>
    <row r="161" ht="12.75" customHeight="1" x14ac:dyDescent="0.2"/>
    <row r="162" ht="12.75" customHeight="1" x14ac:dyDescent="0.2"/>
    <row r="163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spans="1:14" ht="12.75" customHeight="1" x14ac:dyDescent="0.2"/>
    <row r="178" spans="1:14" ht="12.75" customHeight="1" x14ac:dyDescent="0.2"/>
    <row r="179" spans="1:14" ht="12.75" customHeight="1" x14ac:dyDescent="0.2"/>
    <row r="180" spans="1:14" ht="12.75" customHeight="1" x14ac:dyDescent="0.2"/>
    <row r="181" spans="1:14" ht="12.75" customHeight="1" x14ac:dyDescent="0.2"/>
    <row r="182" spans="1:14" ht="12.75" customHeight="1" x14ac:dyDescent="0.2"/>
    <row r="183" spans="1:14" ht="12.75" customHeight="1" x14ac:dyDescent="0.2"/>
    <row r="184" spans="1:14" ht="12.75" customHeight="1" x14ac:dyDescent="0.2"/>
    <row r="185" spans="1:14" ht="12.75" customHeight="1" x14ac:dyDescent="0.2"/>
    <row r="186" spans="1:14" ht="12.75" customHeight="1" x14ac:dyDescent="0.2"/>
    <row r="187" spans="1:14" ht="12.75" customHeight="1" x14ac:dyDescent="0.2"/>
    <row r="188" spans="1:14" s="56" customFormat="1" ht="14.2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25"/>
      <c r="K188" s="7"/>
      <c r="L188" s="8"/>
      <c r="M188" s="18"/>
      <c r="N188" s="8"/>
    </row>
    <row r="189" spans="1:14" s="56" customFormat="1" ht="14.2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25"/>
      <c r="K189" s="7"/>
      <c r="L189" s="8"/>
      <c r="M189" s="18"/>
      <c r="N189" s="8"/>
    </row>
    <row r="190" spans="1:14" s="56" customFormat="1" ht="12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25"/>
      <c r="K190" s="7"/>
      <c r="L190" s="8"/>
      <c r="M190" s="18"/>
      <c r="N190" s="8"/>
    </row>
    <row r="191" spans="1:14" s="56" customFormat="1" ht="14.2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25"/>
      <c r="K191" s="7"/>
      <c r="L191" s="8"/>
      <c r="M191" s="18"/>
    </row>
    <row r="192" spans="1:14" s="56" customFormat="1" ht="14.2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25"/>
      <c r="K192" s="7"/>
      <c r="L192" s="8"/>
      <c r="M192" s="18"/>
    </row>
    <row r="193" spans="1:14" s="52" customFormat="1" ht="1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25"/>
      <c r="K193" s="7"/>
      <c r="L193" s="8"/>
      <c r="M193" s="18"/>
      <c r="N193" s="56"/>
    </row>
    <row r="194" spans="1:14" s="52" customFormat="1" ht="15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25"/>
      <c r="K194" s="7"/>
      <c r="L194" s="8"/>
      <c r="M194" s="18"/>
      <c r="N194" s="56"/>
    </row>
    <row r="195" spans="1:14" s="52" customFormat="1" ht="1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25"/>
      <c r="K195" s="7"/>
      <c r="L195" s="8"/>
      <c r="M195" s="18"/>
      <c r="N195" s="56"/>
    </row>
    <row r="196" spans="1:14" ht="15" x14ac:dyDescent="0.25">
      <c r="N196" s="52"/>
    </row>
    <row r="197" spans="1:14" ht="15" x14ac:dyDescent="0.25">
      <c r="N197" s="52"/>
    </row>
    <row r="198" spans="1:14" s="52" customFormat="1" ht="15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25"/>
      <c r="K198" s="7"/>
      <c r="L198" s="8"/>
      <c r="M198" s="18"/>
    </row>
    <row r="199" spans="1:14" s="52" customFormat="1" ht="1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25"/>
      <c r="K199" s="7"/>
      <c r="L199" s="8"/>
      <c r="M199" s="18"/>
      <c r="N199" s="8"/>
    </row>
    <row r="200" spans="1:14" s="52" customFormat="1" ht="15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25"/>
      <c r="K200" s="7"/>
      <c r="L200" s="8"/>
      <c r="M200" s="18"/>
      <c r="N200" s="8"/>
    </row>
    <row r="201" spans="1:14" s="52" customFormat="1" ht="17.100000000000001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25"/>
      <c r="K201" s="7"/>
      <c r="L201" s="8"/>
      <c r="M201" s="18"/>
    </row>
    <row r="202" spans="1:14" s="52" customFormat="1" ht="17.100000000000001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25"/>
      <c r="K202" s="7"/>
      <c r="L202" s="8"/>
      <c r="M202" s="18"/>
    </row>
    <row r="203" spans="1:14" s="52" customFormat="1" ht="17.100000000000001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25"/>
      <c r="K203" s="7"/>
      <c r="L203" s="8"/>
      <c r="M203" s="18"/>
    </row>
    <row r="204" spans="1:14" s="52" customFormat="1" ht="17.100000000000001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25"/>
      <c r="K204" s="7"/>
      <c r="L204" s="8"/>
      <c r="M204" s="18"/>
    </row>
    <row r="205" spans="1:14" s="52" customFormat="1" ht="17.100000000000001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25"/>
      <c r="K205" s="7"/>
      <c r="L205" s="8"/>
      <c r="M205" s="18"/>
    </row>
    <row r="206" spans="1:14" s="52" customFormat="1" ht="17.100000000000001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25"/>
      <c r="K206" s="7"/>
      <c r="L206" s="8"/>
      <c r="M206" s="18"/>
    </row>
    <row r="207" spans="1:14" s="52" customFormat="1" ht="17.100000000000001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25"/>
      <c r="K207" s="7"/>
      <c r="L207" s="8"/>
      <c r="M207" s="18"/>
    </row>
    <row r="208" spans="1:14" s="52" customFormat="1" ht="17.100000000000001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25"/>
      <c r="K208" s="7"/>
      <c r="L208" s="8"/>
      <c r="M208" s="18"/>
    </row>
    <row r="209" spans="1:13" s="52" customFormat="1" ht="17.100000000000001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25"/>
      <c r="K209" s="7"/>
      <c r="L209" s="8"/>
      <c r="M209" s="18"/>
    </row>
    <row r="210" spans="1:13" s="52" customFormat="1" ht="17.100000000000001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25"/>
      <c r="K210" s="7"/>
      <c r="L210" s="8"/>
      <c r="M210" s="18"/>
    </row>
    <row r="211" spans="1:13" s="52" customFormat="1" ht="17.100000000000001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25"/>
      <c r="K211" s="7"/>
      <c r="L211" s="8"/>
      <c r="M211" s="18"/>
    </row>
    <row r="212" spans="1:13" s="52" customFormat="1" ht="17.100000000000001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25"/>
      <c r="K212" s="7"/>
      <c r="L212" s="8"/>
      <c r="M212" s="18"/>
    </row>
    <row r="213" spans="1:13" s="52" customFormat="1" ht="17.100000000000001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25"/>
      <c r="K213" s="7"/>
      <c r="L213" s="8"/>
      <c r="M213" s="18"/>
    </row>
    <row r="214" spans="1:13" s="52" customFormat="1" ht="17.100000000000001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25"/>
      <c r="K214" s="7"/>
      <c r="L214" s="8"/>
      <c r="M214" s="18"/>
    </row>
    <row r="215" spans="1:13" s="52" customFormat="1" ht="17.100000000000001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25"/>
      <c r="K215" s="7"/>
      <c r="L215" s="8"/>
      <c r="M215" s="18"/>
    </row>
    <row r="216" spans="1:13" s="52" customFormat="1" ht="17.100000000000001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25"/>
      <c r="K216" s="7"/>
      <c r="L216" s="8"/>
      <c r="M216" s="18"/>
    </row>
    <row r="217" spans="1:13" s="52" customFormat="1" ht="17.100000000000001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25"/>
      <c r="K217" s="7"/>
      <c r="L217" s="8"/>
      <c r="M217" s="18"/>
    </row>
    <row r="218" spans="1:13" s="52" customFormat="1" ht="17.100000000000001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25"/>
      <c r="K218" s="7"/>
      <c r="L218" s="8"/>
      <c r="M218" s="18"/>
    </row>
    <row r="219" spans="1:13" s="52" customFormat="1" ht="17.100000000000001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25"/>
      <c r="K219" s="7"/>
      <c r="L219" s="8"/>
      <c r="M219" s="18"/>
    </row>
    <row r="220" spans="1:13" s="52" customFormat="1" ht="17.100000000000001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25"/>
      <c r="K220" s="7"/>
      <c r="L220" s="8"/>
      <c r="M220" s="18"/>
    </row>
    <row r="221" spans="1:13" s="52" customFormat="1" ht="46.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25"/>
      <c r="K221" s="7"/>
      <c r="L221" s="8"/>
      <c r="M221" s="18"/>
    </row>
    <row r="222" spans="1:13" s="52" customFormat="1" ht="38.2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25"/>
      <c r="K222" s="7"/>
      <c r="L222" s="8"/>
      <c r="M222" s="18"/>
    </row>
    <row r="223" spans="1:13" s="52" customFormat="1" ht="13.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25"/>
      <c r="K223" s="7"/>
      <c r="L223" s="8"/>
      <c r="M223" s="18"/>
    </row>
    <row r="224" spans="1:13" s="52" customFormat="1" ht="13.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25"/>
      <c r="K224" s="7"/>
      <c r="L224" s="8"/>
      <c r="M224" s="18"/>
    </row>
    <row r="225" spans="1:14" ht="15" x14ac:dyDescent="0.25">
      <c r="N225" s="52"/>
    </row>
    <row r="226" spans="1:14" ht="15" x14ac:dyDescent="0.25">
      <c r="N226" s="52"/>
    </row>
    <row r="227" spans="1:14" s="52" customFormat="1" ht="1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25"/>
      <c r="K227" s="7"/>
      <c r="L227" s="8"/>
      <c r="M227" s="18"/>
    </row>
    <row r="228" spans="1:14" s="52" customFormat="1" ht="1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25"/>
      <c r="K228" s="7"/>
      <c r="L228" s="8"/>
      <c r="M228" s="18"/>
      <c r="N228" s="8"/>
    </row>
    <row r="229" spans="1:14" s="52" customFormat="1" ht="1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25"/>
      <c r="K229" s="7"/>
      <c r="L229" s="8"/>
      <c r="M229" s="18"/>
      <c r="N229" s="8"/>
    </row>
    <row r="230" spans="1:14" ht="15" x14ac:dyDescent="0.25">
      <c r="N230" s="52"/>
    </row>
    <row r="231" spans="1:14" ht="15" x14ac:dyDescent="0.25">
      <c r="N231" s="52"/>
    </row>
    <row r="232" spans="1:14" s="57" customFormat="1" ht="1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25"/>
      <c r="K232" s="7"/>
      <c r="L232" s="8"/>
      <c r="M232" s="18"/>
      <c r="N232" s="52"/>
    </row>
    <row r="233" spans="1:14" s="57" customFormat="1" ht="1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25"/>
      <c r="K233" s="7"/>
      <c r="L233" s="8"/>
      <c r="M233" s="18"/>
      <c r="N233" s="8"/>
    </row>
    <row r="234" spans="1:14" s="57" customFormat="1" ht="17.100000000000001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25"/>
      <c r="K234" s="7"/>
      <c r="L234" s="8"/>
      <c r="M234" s="18"/>
      <c r="N234" s="8"/>
    </row>
    <row r="235" spans="1:14" s="57" customFormat="1" ht="17.100000000000001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25"/>
      <c r="K235" s="7"/>
      <c r="L235" s="8"/>
      <c r="M235" s="18"/>
    </row>
    <row r="236" spans="1:14" s="57" customFormat="1" ht="17.100000000000001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25"/>
      <c r="K236" s="7"/>
      <c r="L236" s="8"/>
      <c r="M236" s="18"/>
    </row>
    <row r="237" spans="1:14" s="57" customFormat="1" ht="17.100000000000001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25"/>
      <c r="K237" s="7"/>
      <c r="L237" s="8"/>
      <c r="M237" s="18"/>
    </row>
    <row r="238" spans="1:14" s="57" customFormat="1" ht="17.100000000000001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25"/>
      <c r="K238" s="7"/>
      <c r="L238" s="8"/>
      <c r="M238" s="18"/>
    </row>
    <row r="239" spans="1:14" s="57" customFormat="1" ht="17.100000000000001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25"/>
      <c r="K239" s="7"/>
      <c r="L239" s="8"/>
      <c r="M239" s="18"/>
    </row>
    <row r="240" spans="1:14" s="57" customFormat="1" ht="17.100000000000001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25"/>
      <c r="K240" s="7"/>
      <c r="L240" s="8"/>
      <c r="M240" s="18"/>
    </row>
    <row r="241" spans="1:13" s="57" customFormat="1" ht="17.100000000000001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25"/>
      <c r="K241" s="7"/>
      <c r="L241" s="8"/>
      <c r="M241" s="18"/>
    </row>
    <row r="242" spans="1:13" s="57" customFormat="1" ht="17.100000000000001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25"/>
      <c r="K242" s="7"/>
      <c r="L242" s="8"/>
      <c r="M242" s="18"/>
    </row>
    <row r="243" spans="1:13" s="57" customFormat="1" ht="17.100000000000001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25"/>
      <c r="K243" s="7"/>
      <c r="L243" s="8"/>
      <c r="M243" s="18"/>
    </row>
    <row r="244" spans="1:13" s="57" customFormat="1" ht="17.100000000000001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25"/>
      <c r="K244" s="7"/>
      <c r="L244" s="8"/>
      <c r="M244" s="18"/>
    </row>
    <row r="245" spans="1:13" s="57" customFormat="1" ht="17.100000000000001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25"/>
      <c r="K245" s="7"/>
      <c r="L245" s="8"/>
      <c r="M245" s="18"/>
    </row>
    <row r="246" spans="1:13" s="57" customFormat="1" ht="17.100000000000001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25"/>
      <c r="K246" s="7"/>
      <c r="L246" s="8"/>
      <c r="M246" s="18"/>
    </row>
    <row r="247" spans="1:13" s="57" customFormat="1" ht="17.100000000000001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25"/>
      <c r="K247" s="7"/>
      <c r="L247" s="8"/>
      <c r="M247" s="18"/>
    </row>
    <row r="248" spans="1:13" s="57" customFormat="1" ht="17.100000000000001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25"/>
      <c r="K248" s="7"/>
      <c r="L248" s="8"/>
      <c r="M248" s="18"/>
    </row>
    <row r="249" spans="1:13" s="57" customFormat="1" ht="17.100000000000001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25"/>
      <c r="K249" s="7"/>
      <c r="L249" s="8"/>
      <c r="M249" s="18"/>
    </row>
    <row r="250" spans="1:13" s="57" customFormat="1" ht="17.100000000000001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25"/>
      <c r="K250" s="7"/>
      <c r="L250" s="8"/>
      <c r="M250" s="18"/>
    </row>
    <row r="251" spans="1:13" s="57" customFormat="1" ht="17.100000000000001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25"/>
      <c r="K251" s="7"/>
      <c r="L251" s="8"/>
      <c r="M251" s="18"/>
    </row>
    <row r="252" spans="1:13" s="57" customFormat="1" ht="17.100000000000001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25"/>
      <c r="K252" s="7"/>
      <c r="L252" s="8"/>
      <c r="M252" s="18"/>
    </row>
    <row r="253" spans="1:13" s="57" customFormat="1" ht="17.100000000000001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25"/>
      <c r="K253" s="7"/>
      <c r="L253" s="8"/>
      <c r="M253" s="18"/>
    </row>
    <row r="254" spans="1:13" s="57" customFormat="1" ht="66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25"/>
      <c r="K254" s="7"/>
      <c r="L254" s="8"/>
      <c r="M254" s="18"/>
    </row>
    <row r="255" spans="1:13" s="57" customFormat="1" ht="46.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25"/>
      <c r="K255" s="7"/>
      <c r="L255" s="8"/>
      <c r="M255" s="18"/>
    </row>
    <row r="256" spans="1:13" s="57" customFormat="1" ht="12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25"/>
      <c r="K256" s="7"/>
      <c r="L256" s="8"/>
      <c r="M256" s="18"/>
    </row>
    <row r="257" spans="1:14" s="52" customFormat="1" ht="13.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25"/>
      <c r="K257" s="7"/>
      <c r="L257" s="8"/>
      <c r="M257" s="18"/>
      <c r="N257" s="57"/>
    </row>
    <row r="258" spans="1:14" ht="15" x14ac:dyDescent="0.2">
      <c r="N258" s="57"/>
    </row>
    <row r="259" spans="1:14" s="57" customFormat="1" ht="12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25"/>
      <c r="K259" s="7"/>
      <c r="L259" s="8"/>
      <c r="M259" s="18"/>
    </row>
    <row r="260" spans="1:14" s="52" customFormat="1" ht="1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25"/>
      <c r="K260" s="7"/>
      <c r="L260" s="8"/>
      <c r="M260" s="18"/>
    </row>
    <row r="261" spans="1:14" s="52" customFormat="1" ht="1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25"/>
      <c r="K261" s="7"/>
      <c r="L261" s="8"/>
      <c r="M261" s="18"/>
      <c r="N261" s="8"/>
    </row>
    <row r="262" spans="1:14" s="52" customFormat="1" ht="1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25"/>
      <c r="K262" s="7"/>
      <c r="L262" s="8"/>
      <c r="M262" s="18"/>
      <c r="N262" s="57"/>
    </row>
    <row r="263" spans="1:14" ht="15" x14ac:dyDescent="0.25">
      <c r="N263" s="52"/>
    </row>
    <row r="264" spans="1:14" ht="15" x14ac:dyDescent="0.25">
      <c r="N264" s="52"/>
    </row>
    <row r="265" spans="1:14" ht="15" x14ac:dyDescent="0.25">
      <c r="N265" s="52"/>
    </row>
    <row r="268" spans="1:14" ht="15" customHeight="1" x14ac:dyDescent="0.2"/>
    <row r="269" spans="1:14" ht="15" customHeight="1" x14ac:dyDescent="0.2"/>
    <row r="270" spans="1:14" ht="15" customHeight="1" x14ac:dyDescent="0.2"/>
    <row r="271" spans="1:14" ht="15" customHeight="1" x14ac:dyDescent="0.2"/>
    <row r="274" ht="12.75" customHeight="1" x14ac:dyDescent="0.2"/>
    <row r="277" ht="15" customHeight="1" x14ac:dyDescent="0.2"/>
    <row r="278" ht="15" customHeight="1" x14ac:dyDescent="0.2"/>
    <row r="284" ht="15" customHeight="1" x14ac:dyDescent="0.2"/>
    <row r="285" ht="15" customHeight="1" x14ac:dyDescent="0.2"/>
    <row r="288" ht="12.7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</sheetData>
  <sheetProtection sheet="1" selectLockedCells="1"/>
  <mergeCells count="105">
    <mergeCell ref="B7:G7"/>
    <mergeCell ref="B8:G8"/>
    <mergeCell ref="H8:K8"/>
    <mergeCell ref="B10:G10"/>
    <mergeCell ref="B11:G11"/>
    <mergeCell ref="H11:M11"/>
    <mergeCell ref="A1:M1"/>
    <mergeCell ref="A2:M2"/>
    <mergeCell ref="A3:B3"/>
    <mergeCell ref="C3:D3"/>
    <mergeCell ref="B5:G5"/>
    <mergeCell ref="B20:G20"/>
    <mergeCell ref="H20:K20"/>
    <mergeCell ref="B22:G22"/>
    <mergeCell ref="B23:G23"/>
    <mergeCell ref="H23:J23"/>
    <mergeCell ref="B25:G25"/>
    <mergeCell ref="B13:G13"/>
    <mergeCell ref="B14:G14"/>
    <mergeCell ref="B16:G16"/>
    <mergeCell ref="B17:G17"/>
    <mergeCell ref="H17:K17"/>
    <mergeCell ref="B19:G19"/>
    <mergeCell ref="B32:G32"/>
    <mergeCell ref="H32:K32"/>
    <mergeCell ref="B34:G34"/>
    <mergeCell ref="B35:G35"/>
    <mergeCell ref="H35:J35"/>
    <mergeCell ref="B37:G37"/>
    <mergeCell ref="B26:G26"/>
    <mergeCell ref="H26:K26"/>
    <mergeCell ref="B28:G28"/>
    <mergeCell ref="B29:G29"/>
    <mergeCell ref="H29:J29"/>
    <mergeCell ref="B31:G31"/>
    <mergeCell ref="B46:G46"/>
    <mergeCell ref="B48:G48"/>
    <mergeCell ref="B49:G49"/>
    <mergeCell ref="B51:G51"/>
    <mergeCell ref="B52:G52"/>
    <mergeCell ref="B54:G54"/>
    <mergeCell ref="B38:G38"/>
    <mergeCell ref="H38:J38"/>
    <mergeCell ref="B40:G40"/>
    <mergeCell ref="B42:G42"/>
    <mergeCell ref="B43:G43"/>
    <mergeCell ref="B45:G45"/>
    <mergeCell ref="B64:G64"/>
    <mergeCell ref="B66:G66"/>
    <mergeCell ref="B67:G67"/>
    <mergeCell ref="B69:G69"/>
    <mergeCell ref="B70:G70"/>
    <mergeCell ref="B72:G72"/>
    <mergeCell ref="B55:G55"/>
    <mergeCell ref="B57:G57"/>
    <mergeCell ref="B58:G58"/>
    <mergeCell ref="B60:G60"/>
    <mergeCell ref="B61:G61"/>
    <mergeCell ref="B63:G63"/>
    <mergeCell ref="B85:G85"/>
    <mergeCell ref="B86:G86"/>
    <mergeCell ref="B88:G88"/>
    <mergeCell ref="B89:G89"/>
    <mergeCell ref="B73:G73"/>
    <mergeCell ref="B75:J75"/>
    <mergeCell ref="B79:G79"/>
    <mergeCell ref="B80:G80"/>
    <mergeCell ref="B82:G82"/>
    <mergeCell ref="B83:G83"/>
    <mergeCell ref="B100:G100"/>
    <mergeCell ref="B101:G101"/>
    <mergeCell ref="B103:G103"/>
    <mergeCell ref="B106:G106"/>
    <mergeCell ref="B107:G107"/>
    <mergeCell ref="B91:G91"/>
    <mergeCell ref="B92:G92"/>
    <mergeCell ref="B93:G93"/>
    <mergeCell ref="B95:G95"/>
    <mergeCell ref="B97:G97"/>
    <mergeCell ref="B98:G98"/>
    <mergeCell ref="B105:G105"/>
    <mergeCell ref="B109:G109"/>
    <mergeCell ref="B113:G113"/>
    <mergeCell ref="B117:G117"/>
    <mergeCell ref="A140:H140"/>
    <mergeCell ref="J140:M140"/>
    <mergeCell ref="J141:M141"/>
    <mergeCell ref="J136:M136"/>
    <mergeCell ref="J137:M137"/>
    <mergeCell ref="C138:K138"/>
    <mergeCell ref="B126:G126"/>
    <mergeCell ref="B127:G127"/>
    <mergeCell ref="B129:G129"/>
    <mergeCell ref="B130:G130"/>
    <mergeCell ref="B133:G133"/>
    <mergeCell ref="A136:H136"/>
    <mergeCell ref="B118:G118"/>
    <mergeCell ref="B119:G119"/>
    <mergeCell ref="B121:G121"/>
    <mergeCell ref="B123:G123"/>
    <mergeCell ref="B124:G124"/>
    <mergeCell ref="B110:G110"/>
    <mergeCell ref="B111:G111"/>
    <mergeCell ref="B114:G114"/>
    <mergeCell ref="B115:G115"/>
  </mergeCells>
  <printOptions horizontalCentered="1" verticalCentered="1"/>
  <pageMargins left="0.5" right="0.5" top="1.0569852941176501" bottom="1" header="0.66562445319335095" footer="0.3"/>
  <pageSetup scale="66" orientation="portrait" r:id="rId1"/>
  <headerFooter>
    <oddHeader>&amp;R&amp;"Times New Roman,Regular"Exhibit to Solicitation No. FA520926Q0021&amp;K000000
Page &amp;P of &amp;N
Approved effective upon contract award</oddHeader>
    <oddFooter>&amp;C&amp;16&amp;KFF0000CONTROLLED UNCLASSIFIED INFORMATION</oddFooter>
  </headerFooter>
  <rowBreaks count="1" manualBreakCount="1">
    <brk id="75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3990F-F042-45DA-BE14-2B6007F5A73A}">
  <dimension ref="A1:Q294"/>
  <sheetViews>
    <sheetView showGridLines="0" view="pageBreakPreview" zoomScaleNormal="100" zoomScaleSheetLayoutView="100" zoomScalePageLayoutView="85" workbookViewId="0">
      <selection activeCell="K13" sqref="K13"/>
    </sheetView>
  </sheetViews>
  <sheetFormatPr defaultColWidth="9.28515625" defaultRowHeight="12.75" x14ac:dyDescent="0.2"/>
  <cols>
    <col min="1" max="1" width="6.7109375" style="8" customWidth="1"/>
    <col min="2" max="2" width="8.7109375" style="8" customWidth="1"/>
    <col min="3" max="6" width="9.7109375" style="8" customWidth="1"/>
    <col min="7" max="7" width="25.7109375" style="8" customWidth="1"/>
    <col min="8" max="8" width="8.7109375" style="8" customWidth="1"/>
    <col min="9" max="9" width="4.7109375" style="8" customWidth="1"/>
    <col min="10" max="10" width="2.7109375" style="25" customWidth="1"/>
    <col min="11" max="11" width="10.7109375" style="7" customWidth="1"/>
    <col min="12" max="12" width="2.7109375" style="8" customWidth="1"/>
    <col min="13" max="13" width="12.7109375" style="18" customWidth="1"/>
    <col min="14" max="16" width="7.7109375" style="8" customWidth="1"/>
    <col min="17" max="17" width="8.140625" style="8" bestFit="1" customWidth="1"/>
    <col min="18" max="16384" width="9.28515625" style="8"/>
  </cols>
  <sheetData>
    <row r="1" spans="1:17" ht="15.75" customHeight="1" x14ac:dyDescent="0.2">
      <c r="A1" s="73" t="s">
        <v>65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7" ht="15.75" customHeight="1" x14ac:dyDescent="0.2">
      <c r="A2" s="80" t="s">
        <v>319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</row>
    <row r="3" spans="1:17" s="14" customFormat="1" ht="12.75" customHeight="1" x14ac:dyDescent="0.2">
      <c r="A3" s="74" t="s">
        <v>6</v>
      </c>
      <c r="B3" s="74"/>
      <c r="C3" s="75" t="s">
        <v>0</v>
      </c>
      <c r="D3" s="75"/>
      <c r="E3" s="9"/>
      <c r="F3" s="9"/>
      <c r="G3" s="9"/>
      <c r="H3" s="10" t="s">
        <v>7</v>
      </c>
      <c r="I3" s="11" t="s">
        <v>1</v>
      </c>
      <c r="J3" s="12"/>
      <c r="K3" s="61" t="s">
        <v>24</v>
      </c>
      <c r="L3" s="13"/>
      <c r="M3" s="10" t="s">
        <v>48</v>
      </c>
    </row>
    <row r="4" spans="1:17" x14ac:dyDescent="0.2">
      <c r="A4" s="15"/>
      <c r="B4" s="16"/>
      <c r="C4" s="16"/>
      <c r="D4" s="16"/>
      <c r="E4" s="16"/>
      <c r="F4" s="16"/>
      <c r="G4" s="16"/>
      <c r="H4" s="16"/>
      <c r="I4" s="16"/>
      <c r="J4" s="17"/>
      <c r="K4" s="16"/>
      <c r="L4" s="16"/>
    </row>
    <row r="5" spans="1:17" x14ac:dyDescent="0.2">
      <c r="A5" s="19" t="s">
        <v>113</v>
      </c>
      <c r="B5" s="76" t="s">
        <v>262</v>
      </c>
      <c r="C5" s="76"/>
      <c r="D5" s="76"/>
      <c r="E5" s="76"/>
      <c r="F5" s="76"/>
      <c r="G5" s="76"/>
      <c r="H5" s="16"/>
      <c r="I5" s="16"/>
      <c r="J5" s="17"/>
      <c r="K5" s="16"/>
      <c r="L5" s="16"/>
    </row>
    <row r="6" spans="1:17" x14ac:dyDescent="0.2">
      <c r="A6" s="19"/>
      <c r="B6" s="65"/>
      <c r="C6" s="65"/>
      <c r="D6" s="65"/>
      <c r="E6" s="65"/>
      <c r="F6" s="65"/>
      <c r="G6" s="65"/>
      <c r="H6" s="16"/>
      <c r="I6" s="16"/>
      <c r="J6" s="17"/>
      <c r="K6" s="16"/>
      <c r="L6" s="16"/>
    </row>
    <row r="7" spans="1:17" x14ac:dyDescent="0.2">
      <c r="A7" s="20" t="s">
        <v>114</v>
      </c>
      <c r="B7" s="77" t="s">
        <v>287</v>
      </c>
      <c r="C7" s="77"/>
      <c r="D7" s="77"/>
      <c r="E7" s="77"/>
      <c r="F7" s="77"/>
      <c r="G7" s="77"/>
      <c r="H7" s="4">
        <v>9990</v>
      </c>
      <c r="I7" s="21" t="s">
        <v>45</v>
      </c>
      <c r="J7" s="22" t="s">
        <v>3</v>
      </c>
      <c r="K7" s="66"/>
      <c r="L7" s="22" t="s">
        <v>3</v>
      </c>
      <c r="M7" s="1">
        <f>H7*K7</f>
        <v>0</v>
      </c>
      <c r="Q7" s="23"/>
    </row>
    <row r="8" spans="1:17" ht="12.75" customHeight="1" x14ac:dyDescent="0.2">
      <c r="A8" s="20"/>
      <c r="B8" s="78" t="s">
        <v>248</v>
      </c>
      <c r="C8" s="78"/>
      <c r="D8" s="78"/>
      <c r="E8" s="78"/>
      <c r="F8" s="78"/>
      <c r="G8" s="78"/>
      <c r="H8" s="79"/>
      <c r="I8" s="79"/>
      <c r="J8" s="79"/>
      <c r="K8" s="79"/>
      <c r="L8" s="2"/>
      <c r="M8" s="2"/>
      <c r="Q8" s="23"/>
    </row>
    <row r="9" spans="1:17" ht="12.75" customHeight="1" x14ac:dyDescent="0.2">
      <c r="A9" s="20"/>
      <c r="B9" s="63"/>
      <c r="C9" s="63"/>
      <c r="D9" s="63"/>
      <c r="E9" s="63"/>
      <c r="F9" s="63"/>
      <c r="G9" s="63"/>
      <c r="H9" s="24"/>
      <c r="I9" s="21"/>
      <c r="K9" s="26"/>
      <c r="L9" s="2"/>
      <c r="M9" s="2"/>
      <c r="Q9" s="23"/>
    </row>
    <row r="10" spans="1:17" x14ac:dyDescent="0.2">
      <c r="A10" s="20" t="s">
        <v>115</v>
      </c>
      <c r="B10" s="77" t="s">
        <v>288</v>
      </c>
      <c r="C10" s="77"/>
      <c r="D10" s="77"/>
      <c r="E10" s="77"/>
      <c r="F10" s="77"/>
      <c r="G10" s="77"/>
      <c r="H10" s="4">
        <v>20029</v>
      </c>
      <c r="I10" s="21" t="s">
        <v>45</v>
      </c>
      <c r="J10" s="22" t="s">
        <v>3</v>
      </c>
      <c r="K10" s="66"/>
      <c r="L10" s="22" t="s">
        <v>3</v>
      </c>
      <c r="M10" s="1">
        <f>H10*K10</f>
        <v>0</v>
      </c>
      <c r="Q10" s="23"/>
    </row>
    <row r="11" spans="1:17" ht="12.75" customHeight="1" x14ac:dyDescent="0.2">
      <c r="A11" s="20"/>
      <c r="B11" s="78" t="s">
        <v>248</v>
      </c>
      <c r="C11" s="78"/>
      <c r="D11" s="78"/>
      <c r="E11" s="78"/>
      <c r="F11" s="78"/>
      <c r="G11" s="78"/>
      <c r="H11" s="79"/>
      <c r="I11" s="79"/>
      <c r="J11" s="79"/>
      <c r="K11" s="79"/>
      <c r="L11" s="79"/>
      <c r="M11" s="79"/>
      <c r="Q11" s="23"/>
    </row>
    <row r="12" spans="1:17" ht="12.75" customHeight="1" x14ac:dyDescent="0.2">
      <c r="A12" s="20"/>
      <c r="B12" s="63"/>
      <c r="C12" s="63"/>
      <c r="D12" s="63"/>
      <c r="E12" s="63"/>
      <c r="F12" s="63"/>
      <c r="G12" s="63"/>
      <c r="H12" s="24"/>
      <c r="I12" s="21"/>
      <c r="K12" s="26"/>
      <c r="L12" s="2"/>
      <c r="M12" s="2"/>
      <c r="Q12" s="23"/>
    </row>
    <row r="13" spans="1:17" x14ac:dyDescent="0.2">
      <c r="A13" s="20" t="s">
        <v>116</v>
      </c>
      <c r="B13" s="77" t="s">
        <v>289</v>
      </c>
      <c r="C13" s="77"/>
      <c r="D13" s="77"/>
      <c r="E13" s="77"/>
      <c r="F13" s="77"/>
      <c r="G13" s="77"/>
      <c r="H13" s="4">
        <v>37135</v>
      </c>
      <c r="I13" s="21" t="s">
        <v>45</v>
      </c>
      <c r="J13" s="22" t="s">
        <v>3</v>
      </c>
      <c r="K13" s="66"/>
      <c r="L13" s="22" t="s">
        <v>3</v>
      </c>
      <c r="M13" s="1">
        <f>H13*K13</f>
        <v>0</v>
      </c>
      <c r="Q13" s="23"/>
    </row>
    <row r="14" spans="1:17" ht="12.75" customHeight="1" x14ac:dyDescent="0.2">
      <c r="A14" s="20"/>
      <c r="B14" s="78" t="s">
        <v>248</v>
      </c>
      <c r="C14" s="78"/>
      <c r="D14" s="78"/>
      <c r="E14" s="78"/>
      <c r="F14" s="78"/>
      <c r="G14" s="78"/>
      <c r="H14" s="27"/>
      <c r="I14" s="27"/>
      <c r="J14" s="27"/>
      <c r="K14" s="27"/>
      <c r="L14" s="2"/>
      <c r="M14" s="2"/>
      <c r="Q14" s="23"/>
    </row>
    <row r="15" spans="1:17" ht="12.75" customHeight="1" x14ac:dyDescent="0.2">
      <c r="A15" s="20"/>
      <c r="B15" s="63"/>
      <c r="C15" s="63"/>
      <c r="D15" s="63"/>
      <c r="E15" s="63"/>
      <c r="F15" s="63"/>
      <c r="G15" s="63"/>
      <c r="H15" s="24"/>
      <c r="I15" s="21"/>
      <c r="K15" s="26"/>
      <c r="L15" s="2"/>
      <c r="M15" s="2"/>
      <c r="Q15" s="23"/>
    </row>
    <row r="16" spans="1:17" x14ac:dyDescent="0.2">
      <c r="A16" s="20" t="s">
        <v>117</v>
      </c>
      <c r="B16" s="77" t="s">
        <v>290</v>
      </c>
      <c r="C16" s="77"/>
      <c r="D16" s="77"/>
      <c r="E16" s="77"/>
      <c r="F16" s="77"/>
      <c r="G16" s="77"/>
      <c r="H16" s="4">
        <v>3020</v>
      </c>
      <c r="I16" s="21" t="s">
        <v>45</v>
      </c>
      <c r="J16" s="22" t="s">
        <v>3</v>
      </c>
      <c r="K16" s="66"/>
      <c r="L16" s="22" t="s">
        <v>3</v>
      </c>
      <c r="M16" s="1">
        <f>H16*K16</f>
        <v>0</v>
      </c>
      <c r="Q16" s="23"/>
    </row>
    <row r="17" spans="1:17" ht="12.75" customHeight="1" x14ac:dyDescent="0.2">
      <c r="A17" s="20"/>
      <c r="B17" s="78" t="s">
        <v>248</v>
      </c>
      <c r="C17" s="78"/>
      <c r="D17" s="78"/>
      <c r="E17" s="78"/>
      <c r="F17" s="78"/>
      <c r="G17" s="78"/>
      <c r="H17" s="79"/>
      <c r="I17" s="79"/>
      <c r="J17" s="79"/>
      <c r="K17" s="79"/>
      <c r="L17" s="2"/>
      <c r="M17" s="2"/>
      <c r="Q17" s="23"/>
    </row>
    <row r="18" spans="1:17" ht="12.75" customHeight="1" x14ac:dyDescent="0.2">
      <c r="A18" s="20"/>
      <c r="B18" s="63"/>
      <c r="C18" s="63"/>
      <c r="D18" s="63"/>
      <c r="E18" s="63"/>
      <c r="F18" s="63"/>
      <c r="G18" s="63"/>
      <c r="H18" s="24"/>
      <c r="I18" s="21"/>
      <c r="K18" s="26"/>
      <c r="L18" s="2"/>
      <c r="M18" s="2"/>
      <c r="Q18" s="23"/>
    </row>
    <row r="19" spans="1:17" x14ac:dyDescent="0.2">
      <c r="A19" s="20" t="s">
        <v>118</v>
      </c>
      <c r="B19" s="77" t="s">
        <v>291</v>
      </c>
      <c r="C19" s="77"/>
      <c r="D19" s="77"/>
      <c r="E19" s="77"/>
      <c r="F19" s="77"/>
      <c r="G19" s="77"/>
      <c r="H19" s="4">
        <v>3528</v>
      </c>
      <c r="I19" s="21" t="s">
        <v>45</v>
      </c>
      <c r="J19" s="22" t="s">
        <v>3</v>
      </c>
      <c r="K19" s="66"/>
      <c r="L19" s="22" t="s">
        <v>3</v>
      </c>
      <c r="M19" s="1">
        <f>H19*K19</f>
        <v>0</v>
      </c>
      <c r="Q19" s="23"/>
    </row>
    <row r="20" spans="1:17" ht="12.75" customHeight="1" x14ac:dyDescent="0.2">
      <c r="A20" s="20"/>
      <c r="B20" s="78" t="s">
        <v>248</v>
      </c>
      <c r="C20" s="78"/>
      <c r="D20" s="78"/>
      <c r="E20" s="78"/>
      <c r="F20" s="78"/>
      <c r="G20" s="78"/>
      <c r="H20" s="79"/>
      <c r="I20" s="79"/>
      <c r="J20" s="79"/>
      <c r="K20" s="79"/>
      <c r="L20" s="2"/>
      <c r="M20" s="2"/>
      <c r="Q20" s="23"/>
    </row>
    <row r="21" spans="1:17" ht="12.75" customHeight="1" x14ac:dyDescent="0.2">
      <c r="A21" s="20"/>
      <c r="B21" s="63"/>
      <c r="C21" s="63"/>
      <c r="D21" s="63"/>
      <c r="E21" s="63"/>
      <c r="F21" s="63"/>
      <c r="G21" s="63"/>
      <c r="H21" s="24"/>
      <c r="I21" s="21"/>
      <c r="K21" s="26"/>
      <c r="L21" s="2"/>
      <c r="M21" s="2"/>
      <c r="Q21" s="23"/>
    </row>
    <row r="22" spans="1:17" x14ac:dyDescent="0.2">
      <c r="A22" s="20" t="s">
        <v>119</v>
      </c>
      <c r="B22" s="77" t="s">
        <v>292</v>
      </c>
      <c r="C22" s="77"/>
      <c r="D22" s="77"/>
      <c r="E22" s="77"/>
      <c r="F22" s="77"/>
      <c r="G22" s="77"/>
      <c r="H22" s="4">
        <v>790</v>
      </c>
      <c r="I22" s="21" t="s">
        <v>45</v>
      </c>
      <c r="J22" s="22" t="s">
        <v>3</v>
      </c>
      <c r="K22" s="66"/>
      <c r="L22" s="22" t="s">
        <v>3</v>
      </c>
      <c r="M22" s="1">
        <f>H22*K22</f>
        <v>0</v>
      </c>
      <c r="Q22" s="23"/>
    </row>
    <row r="23" spans="1:17" ht="12.75" customHeight="1" x14ac:dyDescent="0.2">
      <c r="A23" s="20"/>
      <c r="B23" s="78" t="s">
        <v>248</v>
      </c>
      <c r="C23" s="78"/>
      <c r="D23" s="78"/>
      <c r="E23" s="78"/>
      <c r="F23" s="78"/>
      <c r="G23" s="78"/>
      <c r="H23" s="79"/>
      <c r="I23" s="79"/>
      <c r="J23" s="79"/>
      <c r="K23" s="26"/>
      <c r="L23" s="2"/>
      <c r="M23" s="2"/>
      <c r="Q23" s="23"/>
    </row>
    <row r="24" spans="1:17" ht="12.75" customHeight="1" x14ac:dyDescent="0.2">
      <c r="A24" s="20"/>
      <c r="B24" s="63"/>
      <c r="C24" s="63"/>
      <c r="D24" s="63"/>
      <c r="E24" s="63"/>
      <c r="F24" s="63"/>
      <c r="G24" s="63"/>
      <c r="H24" s="24"/>
      <c r="I24" s="21"/>
      <c r="K24" s="26"/>
      <c r="L24" s="2"/>
      <c r="M24" s="2"/>
      <c r="Q24" s="23"/>
    </row>
    <row r="25" spans="1:17" x14ac:dyDescent="0.2">
      <c r="A25" s="20" t="s">
        <v>120</v>
      </c>
      <c r="B25" s="77" t="s">
        <v>293</v>
      </c>
      <c r="C25" s="77"/>
      <c r="D25" s="77"/>
      <c r="E25" s="77"/>
      <c r="F25" s="77"/>
      <c r="G25" s="77"/>
      <c r="H25" s="4">
        <v>7413</v>
      </c>
      <c r="I25" s="21" t="s">
        <v>45</v>
      </c>
      <c r="J25" s="22" t="s">
        <v>3</v>
      </c>
      <c r="K25" s="66"/>
      <c r="L25" s="22" t="s">
        <v>3</v>
      </c>
      <c r="M25" s="1">
        <f>H25*K25</f>
        <v>0</v>
      </c>
      <c r="Q25" s="23"/>
    </row>
    <row r="26" spans="1:17" ht="12.75" customHeight="1" x14ac:dyDescent="0.2">
      <c r="A26" s="20"/>
      <c r="B26" s="78" t="s">
        <v>248</v>
      </c>
      <c r="C26" s="78"/>
      <c r="D26" s="78"/>
      <c r="E26" s="78"/>
      <c r="F26" s="78"/>
      <c r="G26" s="78"/>
      <c r="H26" s="79"/>
      <c r="I26" s="79"/>
      <c r="J26" s="79"/>
      <c r="K26" s="79"/>
      <c r="L26" s="2"/>
      <c r="M26" s="2"/>
      <c r="Q26" s="23"/>
    </row>
    <row r="27" spans="1:17" ht="12.75" customHeight="1" x14ac:dyDescent="0.2">
      <c r="A27" s="20"/>
      <c r="B27" s="63"/>
      <c r="C27" s="63"/>
      <c r="D27" s="63"/>
      <c r="E27" s="63"/>
      <c r="F27" s="63"/>
      <c r="G27" s="63"/>
      <c r="H27" s="24"/>
      <c r="I27" s="21"/>
      <c r="K27" s="26"/>
      <c r="L27" s="2"/>
      <c r="M27" s="2"/>
      <c r="Q27" s="23"/>
    </row>
    <row r="28" spans="1:17" x14ac:dyDescent="0.2">
      <c r="A28" s="20" t="s">
        <v>121</v>
      </c>
      <c r="B28" s="77" t="s">
        <v>294</v>
      </c>
      <c r="C28" s="77"/>
      <c r="D28" s="77"/>
      <c r="E28" s="77"/>
      <c r="F28" s="77"/>
      <c r="G28" s="77"/>
      <c r="H28" s="4">
        <v>237</v>
      </c>
      <c r="I28" s="21" t="s">
        <v>45</v>
      </c>
      <c r="J28" s="22" t="s">
        <v>3</v>
      </c>
      <c r="K28" s="66"/>
      <c r="L28" s="22" t="s">
        <v>3</v>
      </c>
      <c r="M28" s="1">
        <f>H28*K28</f>
        <v>0</v>
      </c>
      <c r="Q28" s="23"/>
    </row>
    <row r="29" spans="1:17" ht="12.75" customHeight="1" x14ac:dyDescent="0.2">
      <c r="A29" s="20"/>
      <c r="B29" s="78" t="s">
        <v>248</v>
      </c>
      <c r="C29" s="78"/>
      <c r="D29" s="78"/>
      <c r="E29" s="78"/>
      <c r="F29" s="78"/>
      <c r="G29" s="78"/>
      <c r="H29" s="79"/>
      <c r="I29" s="79"/>
      <c r="J29" s="79"/>
      <c r="K29" s="26"/>
      <c r="L29" s="2"/>
      <c r="M29" s="2"/>
      <c r="Q29" s="23"/>
    </row>
    <row r="30" spans="1:17" ht="12.75" customHeight="1" x14ac:dyDescent="0.2">
      <c r="A30" s="20"/>
      <c r="B30" s="63"/>
      <c r="C30" s="63"/>
      <c r="D30" s="63"/>
      <c r="E30" s="63"/>
      <c r="F30" s="63"/>
      <c r="G30" s="63"/>
      <c r="H30" s="24"/>
      <c r="I30" s="21"/>
      <c r="K30" s="26"/>
      <c r="L30" s="2"/>
      <c r="M30" s="2"/>
      <c r="Q30" s="23"/>
    </row>
    <row r="31" spans="1:17" x14ac:dyDescent="0.2">
      <c r="A31" s="20" t="s">
        <v>122</v>
      </c>
      <c r="B31" s="77" t="s">
        <v>295</v>
      </c>
      <c r="C31" s="77"/>
      <c r="D31" s="77"/>
      <c r="E31" s="77"/>
      <c r="F31" s="77"/>
      <c r="G31" s="77"/>
      <c r="H31" s="4">
        <v>24550</v>
      </c>
      <c r="I31" s="21" t="s">
        <v>45</v>
      </c>
      <c r="J31" s="22" t="s">
        <v>3</v>
      </c>
      <c r="K31" s="66"/>
      <c r="L31" s="22" t="s">
        <v>3</v>
      </c>
      <c r="M31" s="1">
        <f>H31*K31</f>
        <v>0</v>
      </c>
      <c r="Q31" s="23"/>
    </row>
    <row r="32" spans="1:17" ht="12.75" customHeight="1" x14ac:dyDescent="0.2">
      <c r="A32" s="20"/>
      <c r="B32" s="78" t="s">
        <v>248</v>
      </c>
      <c r="C32" s="78"/>
      <c r="D32" s="78"/>
      <c r="E32" s="78"/>
      <c r="F32" s="78"/>
      <c r="G32" s="78"/>
      <c r="H32" s="79"/>
      <c r="I32" s="79"/>
      <c r="J32" s="79"/>
      <c r="K32" s="79"/>
      <c r="L32" s="2"/>
      <c r="M32" s="2"/>
      <c r="Q32" s="23"/>
    </row>
    <row r="33" spans="1:17" ht="12.75" customHeight="1" x14ac:dyDescent="0.2">
      <c r="A33" s="20"/>
      <c r="B33" s="63"/>
      <c r="C33" s="63"/>
      <c r="D33" s="63"/>
      <c r="E33" s="63"/>
      <c r="F33" s="63"/>
      <c r="G33" s="63"/>
      <c r="H33" s="24"/>
      <c r="I33" s="21"/>
      <c r="K33" s="26"/>
      <c r="L33" s="2"/>
      <c r="M33" s="2"/>
      <c r="Q33" s="23"/>
    </row>
    <row r="34" spans="1:17" x14ac:dyDescent="0.2">
      <c r="A34" s="20" t="s">
        <v>123</v>
      </c>
      <c r="B34" s="77" t="s">
        <v>296</v>
      </c>
      <c r="C34" s="77"/>
      <c r="D34" s="77"/>
      <c r="E34" s="77"/>
      <c r="F34" s="77"/>
      <c r="G34" s="77"/>
      <c r="H34" s="4">
        <v>24000</v>
      </c>
      <c r="I34" s="21" t="s">
        <v>45</v>
      </c>
      <c r="J34" s="58" t="s">
        <v>3</v>
      </c>
      <c r="K34" s="59"/>
      <c r="L34" s="58" t="s">
        <v>3</v>
      </c>
      <c r="M34" s="60">
        <f>H34*K34</f>
        <v>0</v>
      </c>
      <c r="Q34" s="23"/>
    </row>
    <row r="35" spans="1:17" ht="12.75" customHeight="1" x14ac:dyDescent="0.2">
      <c r="A35" s="20"/>
      <c r="B35" s="78" t="s">
        <v>248</v>
      </c>
      <c r="C35" s="78"/>
      <c r="D35" s="78"/>
      <c r="E35" s="78"/>
      <c r="F35" s="78"/>
      <c r="G35" s="78"/>
      <c r="H35" s="79"/>
      <c r="I35" s="79"/>
      <c r="J35" s="79"/>
      <c r="K35" s="26"/>
      <c r="L35" s="2"/>
      <c r="M35" s="2"/>
    </row>
    <row r="36" spans="1:17" ht="12.75" customHeight="1" x14ac:dyDescent="0.2">
      <c r="A36" s="20"/>
      <c r="B36" s="63"/>
      <c r="C36" s="63"/>
      <c r="D36" s="63"/>
      <c r="E36" s="63"/>
      <c r="F36" s="63"/>
      <c r="G36" s="63"/>
      <c r="H36" s="64"/>
      <c r="I36" s="64"/>
      <c r="J36" s="64"/>
      <c r="K36" s="26"/>
      <c r="L36" s="2"/>
      <c r="M36" s="2"/>
    </row>
    <row r="37" spans="1:17" x14ac:dyDescent="0.2">
      <c r="A37" s="20" t="s">
        <v>124</v>
      </c>
      <c r="B37" s="77" t="s">
        <v>297</v>
      </c>
      <c r="C37" s="77"/>
      <c r="D37" s="77"/>
      <c r="E37" s="77"/>
      <c r="F37" s="77"/>
      <c r="G37" s="77"/>
      <c r="H37" s="4">
        <v>4365</v>
      </c>
      <c r="I37" s="21" t="s">
        <v>45</v>
      </c>
      <c r="J37" s="22" t="s">
        <v>3</v>
      </c>
      <c r="K37" s="66"/>
      <c r="L37" s="22" t="s">
        <v>3</v>
      </c>
      <c r="M37" s="1">
        <f>H37*K37</f>
        <v>0</v>
      </c>
      <c r="Q37" s="23"/>
    </row>
    <row r="38" spans="1:17" ht="12.75" customHeight="1" x14ac:dyDescent="0.2">
      <c r="A38" s="20"/>
      <c r="B38" s="78" t="s">
        <v>249</v>
      </c>
      <c r="C38" s="78"/>
      <c r="D38" s="78"/>
      <c r="E38" s="78"/>
      <c r="F38" s="78"/>
      <c r="G38" s="78"/>
      <c r="H38" s="79"/>
      <c r="I38" s="79"/>
      <c r="J38" s="79"/>
      <c r="K38" s="26"/>
      <c r="L38" s="2"/>
      <c r="M38" s="2"/>
    </row>
    <row r="39" spans="1:17" ht="12.75" customHeight="1" x14ac:dyDescent="0.2">
      <c r="A39" s="20"/>
      <c r="B39" s="63"/>
      <c r="C39" s="63"/>
      <c r="D39" s="63"/>
      <c r="E39" s="63"/>
      <c r="F39" s="63"/>
      <c r="G39" s="63"/>
      <c r="H39" s="64"/>
      <c r="I39" s="64"/>
      <c r="J39" s="64"/>
      <c r="K39" s="26"/>
      <c r="L39" s="2"/>
      <c r="M39" s="2"/>
    </row>
    <row r="40" spans="1:17" ht="12.75" customHeight="1" x14ac:dyDescent="0.2">
      <c r="A40" s="28" t="s">
        <v>125</v>
      </c>
      <c r="B40" s="81" t="s">
        <v>263</v>
      </c>
      <c r="C40" s="81"/>
      <c r="D40" s="81"/>
      <c r="E40" s="81"/>
      <c r="F40" s="81"/>
      <c r="G40" s="81"/>
      <c r="H40" s="24"/>
      <c r="I40" s="21"/>
      <c r="K40" s="26"/>
      <c r="L40" s="2"/>
      <c r="M40" s="2"/>
    </row>
    <row r="41" spans="1:17" ht="12.75" customHeight="1" x14ac:dyDescent="0.2">
      <c r="A41" s="28"/>
      <c r="B41" s="71"/>
      <c r="C41" s="71"/>
      <c r="D41" s="71"/>
      <c r="E41" s="71"/>
      <c r="F41" s="71"/>
      <c r="G41" s="71"/>
      <c r="H41" s="24"/>
      <c r="I41" s="21"/>
      <c r="K41" s="26"/>
      <c r="L41" s="2"/>
      <c r="M41" s="2"/>
    </row>
    <row r="42" spans="1:17" x14ac:dyDescent="0.2">
      <c r="A42" s="20" t="s">
        <v>126</v>
      </c>
      <c r="B42" s="77" t="s">
        <v>267</v>
      </c>
      <c r="C42" s="77"/>
      <c r="D42" s="77"/>
      <c r="E42" s="77"/>
      <c r="F42" s="77"/>
      <c r="G42" s="77"/>
      <c r="H42" s="4">
        <v>402</v>
      </c>
      <c r="I42" s="21" t="s">
        <v>8</v>
      </c>
      <c r="J42" s="22" t="s">
        <v>3</v>
      </c>
      <c r="K42" s="66"/>
      <c r="L42" s="22" t="s">
        <v>3</v>
      </c>
      <c r="M42" s="1">
        <f>H42*K42</f>
        <v>0</v>
      </c>
      <c r="O42" s="29"/>
      <c r="Q42" s="23"/>
    </row>
    <row r="43" spans="1:17" ht="12.75" customHeight="1" x14ac:dyDescent="0.2">
      <c r="A43" s="20"/>
      <c r="B43" s="78" t="s">
        <v>248</v>
      </c>
      <c r="C43" s="78"/>
      <c r="D43" s="78"/>
      <c r="E43" s="78"/>
      <c r="F43" s="78"/>
      <c r="G43" s="78"/>
      <c r="H43" s="24"/>
      <c r="I43" s="21"/>
      <c r="K43" s="26"/>
      <c r="L43" s="2"/>
      <c r="M43" s="2"/>
      <c r="Q43" s="23"/>
    </row>
    <row r="44" spans="1:17" ht="12.75" customHeight="1" x14ac:dyDescent="0.2">
      <c r="A44" s="20"/>
      <c r="B44" s="63"/>
      <c r="C44" s="63"/>
      <c r="D44" s="63"/>
      <c r="E44" s="63"/>
      <c r="F44" s="63"/>
      <c r="G44" s="63"/>
      <c r="H44" s="24"/>
      <c r="I44" s="21"/>
      <c r="K44" s="26"/>
      <c r="L44" s="2"/>
      <c r="M44" s="2"/>
      <c r="Q44" s="23"/>
    </row>
    <row r="45" spans="1:17" x14ac:dyDescent="0.2">
      <c r="A45" s="20" t="s">
        <v>127</v>
      </c>
      <c r="B45" s="77" t="s">
        <v>264</v>
      </c>
      <c r="C45" s="77"/>
      <c r="D45" s="77"/>
      <c r="E45" s="77"/>
      <c r="F45" s="77"/>
      <c r="G45" s="77"/>
      <c r="H45" s="4">
        <v>457</v>
      </c>
      <c r="I45" s="21" t="s">
        <v>8</v>
      </c>
      <c r="J45" s="22" t="s">
        <v>3</v>
      </c>
      <c r="K45" s="66"/>
      <c r="L45" s="22" t="s">
        <v>3</v>
      </c>
      <c r="M45" s="1">
        <f>H45*K45</f>
        <v>0</v>
      </c>
      <c r="O45" s="29"/>
      <c r="Q45" s="23"/>
    </row>
    <row r="46" spans="1:17" ht="12.75" customHeight="1" x14ac:dyDescent="0.2">
      <c r="A46" s="20"/>
      <c r="B46" s="78" t="s">
        <v>248</v>
      </c>
      <c r="C46" s="78"/>
      <c r="D46" s="78"/>
      <c r="E46" s="78"/>
      <c r="F46" s="78"/>
      <c r="G46" s="78"/>
      <c r="H46" s="24"/>
      <c r="I46" s="21"/>
      <c r="K46" s="26"/>
      <c r="L46" s="2"/>
      <c r="M46" s="2"/>
      <c r="Q46" s="23"/>
    </row>
    <row r="47" spans="1:17" ht="12.75" customHeight="1" x14ac:dyDescent="0.2">
      <c r="A47" s="20"/>
      <c r="B47" s="63"/>
      <c r="C47" s="63"/>
      <c r="D47" s="63"/>
      <c r="E47" s="63"/>
      <c r="F47" s="63"/>
      <c r="G47" s="63"/>
      <c r="H47" s="24"/>
      <c r="I47" s="21"/>
      <c r="K47" s="26"/>
      <c r="L47" s="2"/>
      <c r="M47" s="2"/>
      <c r="Q47" s="23"/>
    </row>
    <row r="48" spans="1:17" x14ac:dyDescent="0.2">
      <c r="A48" s="20" t="s">
        <v>128</v>
      </c>
      <c r="B48" s="77" t="s">
        <v>265</v>
      </c>
      <c r="C48" s="77"/>
      <c r="D48" s="77"/>
      <c r="E48" s="77"/>
      <c r="F48" s="77"/>
      <c r="G48" s="77"/>
      <c r="H48" s="4">
        <v>1677</v>
      </c>
      <c r="I48" s="21" t="s">
        <v>8</v>
      </c>
      <c r="J48" s="22" t="s">
        <v>3</v>
      </c>
      <c r="K48" s="66"/>
      <c r="L48" s="22" t="s">
        <v>3</v>
      </c>
      <c r="M48" s="1">
        <f>H48*K48</f>
        <v>0</v>
      </c>
      <c r="O48" s="29"/>
      <c r="Q48" s="23"/>
    </row>
    <row r="49" spans="1:17" ht="12.75" customHeight="1" x14ac:dyDescent="0.2">
      <c r="A49" s="20"/>
      <c r="B49" s="78" t="s">
        <v>248</v>
      </c>
      <c r="C49" s="78"/>
      <c r="D49" s="78"/>
      <c r="E49" s="78"/>
      <c r="F49" s="78"/>
      <c r="G49" s="78"/>
      <c r="H49" s="24"/>
      <c r="I49" s="21"/>
      <c r="K49" s="26"/>
      <c r="L49" s="2"/>
      <c r="M49" s="2"/>
      <c r="Q49" s="23"/>
    </row>
    <row r="50" spans="1:17" ht="12.75" customHeight="1" x14ac:dyDescent="0.2">
      <c r="A50" s="20"/>
      <c r="B50" s="63"/>
      <c r="C50" s="63"/>
      <c r="D50" s="63"/>
      <c r="E50" s="63"/>
      <c r="F50" s="63"/>
      <c r="G50" s="63"/>
      <c r="H50" s="24"/>
      <c r="I50" s="21"/>
      <c r="K50" s="26"/>
      <c r="L50" s="2"/>
      <c r="M50" s="2"/>
      <c r="Q50" s="23"/>
    </row>
    <row r="51" spans="1:17" x14ac:dyDescent="0.2">
      <c r="A51" s="20" t="s">
        <v>129</v>
      </c>
      <c r="B51" s="77" t="s">
        <v>266</v>
      </c>
      <c r="C51" s="77"/>
      <c r="D51" s="77"/>
      <c r="E51" s="77"/>
      <c r="F51" s="77"/>
      <c r="G51" s="77"/>
      <c r="H51" s="4">
        <v>71</v>
      </c>
      <c r="I51" s="21" t="s">
        <v>8</v>
      </c>
      <c r="J51" s="22" t="s">
        <v>3</v>
      </c>
      <c r="K51" s="66"/>
      <c r="L51" s="22" t="s">
        <v>3</v>
      </c>
      <c r="M51" s="1">
        <f>H51*K51</f>
        <v>0</v>
      </c>
      <c r="O51" s="29"/>
      <c r="Q51" s="23"/>
    </row>
    <row r="52" spans="1:17" ht="12.75" customHeight="1" x14ac:dyDescent="0.2">
      <c r="A52" s="20"/>
      <c r="B52" s="78" t="s">
        <v>248</v>
      </c>
      <c r="C52" s="78"/>
      <c r="D52" s="78"/>
      <c r="E52" s="78"/>
      <c r="F52" s="78"/>
      <c r="G52" s="78"/>
      <c r="H52" s="24"/>
      <c r="I52" s="21"/>
      <c r="K52" s="26"/>
      <c r="L52" s="2"/>
      <c r="M52" s="2"/>
      <c r="Q52" s="23"/>
    </row>
    <row r="53" spans="1:17" ht="12.75" customHeight="1" x14ac:dyDescent="0.2">
      <c r="A53" s="20"/>
      <c r="B53" s="63"/>
      <c r="C53" s="63"/>
      <c r="D53" s="63"/>
      <c r="E53" s="63"/>
      <c r="F53" s="63"/>
      <c r="G53" s="63"/>
      <c r="H53" s="24"/>
      <c r="I53" s="21"/>
      <c r="K53" s="26"/>
      <c r="L53" s="2"/>
      <c r="M53" s="2"/>
      <c r="Q53" s="23"/>
    </row>
    <row r="54" spans="1:17" x14ac:dyDescent="0.2">
      <c r="A54" s="20" t="s">
        <v>130</v>
      </c>
      <c r="B54" s="77" t="s">
        <v>268</v>
      </c>
      <c r="C54" s="77"/>
      <c r="D54" s="77"/>
      <c r="E54" s="77"/>
      <c r="F54" s="77"/>
      <c r="G54" s="77"/>
      <c r="H54" s="4">
        <v>84</v>
      </c>
      <c r="I54" s="21" t="s">
        <v>8</v>
      </c>
      <c r="J54" s="22" t="s">
        <v>3</v>
      </c>
      <c r="K54" s="66"/>
      <c r="L54" s="22" t="s">
        <v>3</v>
      </c>
      <c r="M54" s="1">
        <f>H54*K54</f>
        <v>0</v>
      </c>
      <c r="O54" s="29"/>
      <c r="Q54" s="23"/>
    </row>
    <row r="55" spans="1:17" ht="12.75" customHeight="1" x14ac:dyDescent="0.2">
      <c r="A55" s="20"/>
      <c r="B55" s="78" t="s">
        <v>248</v>
      </c>
      <c r="C55" s="78"/>
      <c r="D55" s="78"/>
      <c r="E55" s="78"/>
      <c r="F55" s="78"/>
      <c r="G55" s="78"/>
      <c r="H55" s="24"/>
      <c r="I55" s="21"/>
      <c r="K55" s="26"/>
      <c r="L55" s="2"/>
      <c r="M55" s="2"/>
      <c r="Q55" s="23"/>
    </row>
    <row r="56" spans="1:17" ht="12.75" customHeight="1" x14ac:dyDescent="0.2">
      <c r="A56" s="20"/>
      <c r="B56" s="63"/>
      <c r="C56" s="63"/>
      <c r="D56" s="63"/>
      <c r="E56" s="63"/>
      <c r="F56" s="63"/>
      <c r="G56" s="63"/>
      <c r="H56" s="24"/>
      <c r="I56" s="21"/>
      <c r="K56" s="26"/>
      <c r="L56" s="2"/>
      <c r="M56" s="2"/>
      <c r="Q56" s="23"/>
    </row>
    <row r="57" spans="1:17" x14ac:dyDescent="0.2">
      <c r="A57" s="20" t="s">
        <v>131</v>
      </c>
      <c r="B57" s="77" t="s">
        <v>269</v>
      </c>
      <c r="C57" s="77"/>
      <c r="D57" s="77"/>
      <c r="E57" s="77"/>
      <c r="F57" s="77"/>
      <c r="G57" s="77"/>
      <c r="H57" s="4">
        <v>42</v>
      </c>
      <c r="I57" s="21" t="s">
        <v>8</v>
      </c>
      <c r="J57" s="22" t="s">
        <v>3</v>
      </c>
      <c r="K57" s="66"/>
      <c r="L57" s="22" t="s">
        <v>3</v>
      </c>
      <c r="M57" s="1">
        <f>H57*K57</f>
        <v>0</v>
      </c>
      <c r="O57" s="29"/>
      <c r="Q57" s="23"/>
    </row>
    <row r="58" spans="1:17" ht="12.75" customHeight="1" x14ac:dyDescent="0.2">
      <c r="A58" s="20"/>
      <c r="B58" s="78" t="s">
        <v>248</v>
      </c>
      <c r="C58" s="78"/>
      <c r="D58" s="78"/>
      <c r="E58" s="78"/>
      <c r="F58" s="78"/>
      <c r="G58" s="78"/>
      <c r="H58" s="24"/>
      <c r="I58" s="21"/>
      <c r="K58" s="26"/>
      <c r="L58" s="2"/>
      <c r="M58" s="2"/>
      <c r="Q58" s="23"/>
    </row>
    <row r="59" spans="1:17" ht="12.75" customHeight="1" x14ac:dyDescent="0.2">
      <c r="A59" s="20"/>
      <c r="B59" s="63"/>
      <c r="C59" s="63"/>
      <c r="D59" s="63"/>
      <c r="E59" s="63"/>
      <c r="F59" s="63"/>
      <c r="G59" s="63"/>
      <c r="H59" s="24"/>
      <c r="I59" s="21"/>
      <c r="K59" s="26"/>
      <c r="L59" s="2"/>
      <c r="M59" s="2"/>
      <c r="Q59" s="23"/>
    </row>
    <row r="60" spans="1:17" x14ac:dyDescent="0.2">
      <c r="A60" s="20" t="s">
        <v>132</v>
      </c>
      <c r="B60" s="77" t="s">
        <v>274</v>
      </c>
      <c r="C60" s="77"/>
      <c r="D60" s="77"/>
      <c r="E60" s="77"/>
      <c r="F60" s="77"/>
      <c r="G60" s="77"/>
      <c r="H60" s="4">
        <v>169</v>
      </c>
      <c r="I60" s="21" t="s">
        <v>8</v>
      </c>
      <c r="J60" s="22" t="s">
        <v>3</v>
      </c>
      <c r="K60" s="66"/>
      <c r="L60" s="22" t="s">
        <v>3</v>
      </c>
      <c r="M60" s="1">
        <f>H60*K60</f>
        <v>0</v>
      </c>
      <c r="O60" s="29"/>
      <c r="Q60" s="23"/>
    </row>
    <row r="61" spans="1:17" ht="12.75" customHeight="1" x14ac:dyDescent="0.2">
      <c r="A61" s="20"/>
      <c r="B61" s="78" t="s">
        <v>248</v>
      </c>
      <c r="C61" s="78"/>
      <c r="D61" s="78"/>
      <c r="E61" s="78"/>
      <c r="F61" s="78"/>
      <c r="G61" s="78"/>
      <c r="H61" s="24"/>
      <c r="I61" s="21"/>
      <c r="K61" s="26"/>
      <c r="L61" s="2"/>
      <c r="M61" s="2"/>
      <c r="Q61" s="23"/>
    </row>
    <row r="62" spans="1:17" ht="12.75" customHeight="1" x14ac:dyDescent="0.2">
      <c r="A62" s="20"/>
      <c r="B62" s="63"/>
      <c r="C62" s="63"/>
      <c r="D62" s="63"/>
      <c r="E62" s="63"/>
      <c r="F62" s="63"/>
      <c r="G62" s="63"/>
      <c r="H62" s="24"/>
      <c r="I62" s="21"/>
      <c r="K62" s="26"/>
      <c r="L62" s="2"/>
      <c r="M62" s="2"/>
      <c r="Q62" s="23"/>
    </row>
    <row r="63" spans="1:17" x14ac:dyDescent="0.2">
      <c r="A63" s="20" t="s">
        <v>133</v>
      </c>
      <c r="B63" s="77" t="s">
        <v>270</v>
      </c>
      <c r="C63" s="77"/>
      <c r="D63" s="77"/>
      <c r="E63" s="77"/>
      <c r="F63" s="77"/>
      <c r="G63" s="77"/>
      <c r="H63" s="4">
        <v>13</v>
      </c>
      <c r="I63" s="21" t="s">
        <v>8</v>
      </c>
      <c r="J63" s="22" t="s">
        <v>3</v>
      </c>
      <c r="K63" s="66"/>
      <c r="L63" s="22" t="s">
        <v>3</v>
      </c>
      <c r="M63" s="1">
        <f>H63*K63</f>
        <v>0</v>
      </c>
      <c r="O63" s="29"/>
      <c r="Q63" s="23"/>
    </row>
    <row r="64" spans="1:17" ht="12.75" customHeight="1" x14ac:dyDescent="0.2">
      <c r="A64" s="20"/>
      <c r="B64" s="78" t="s">
        <v>248</v>
      </c>
      <c r="C64" s="78"/>
      <c r="D64" s="78"/>
      <c r="E64" s="78"/>
      <c r="F64" s="78"/>
      <c r="G64" s="78"/>
      <c r="H64" s="24"/>
      <c r="I64" s="21"/>
      <c r="K64" s="26"/>
      <c r="L64" s="2"/>
      <c r="M64" s="2"/>
      <c r="Q64" s="23"/>
    </row>
    <row r="65" spans="1:17" ht="12.75" customHeight="1" x14ac:dyDescent="0.2">
      <c r="A65" s="20"/>
      <c r="B65" s="63"/>
      <c r="C65" s="63"/>
      <c r="D65" s="63"/>
      <c r="E65" s="63"/>
      <c r="F65" s="63"/>
      <c r="G65" s="63"/>
      <c r="H65" s="24"/>
      <c r="I65" s="21"/>
      <c r="K65" s="26"/>
      <c r="L65" s="2"/>
      <c r="M65" s="2"/>
      <c r="Q65" s="23"/>
    </row>
    <row r="66" spans="1:17" x14ac:dyDescent="0.2">
      <c r="A66" s="20" t="s">
        <v>134</v>
      </c>
      <c r="B66" s="77" t="s">
        <v>271</v>
      </c>
      <c r="C66" s="77"/>
      <c r="D66" s="77"/>
      <c r="E66" s="77"/>
      <c r="F66" s="77"/>
      <c r="G66" s="77"/>
      <c r="H66" s="4">
        <v>722</v>
      </c>
      <c r="I66" s="21" t="s">
        <v>8</v>
      </c>
      <c r="J66" s="22" t="s">
        <v>3</v>
      </c>
      <c r="K66" s="66"/>
      <c r="L66" s="22" t="s">
        <v>3</v>
      </c>
      <c r="M66" s="1">
        <f>H66*K66</f>
        <v>0</v>
      </c>
      <c r="O66" s="29"/>
      <c r="Q66" s="23"/>
    </row>
    <row r="67" spans="1:17" x14ac:dyDescent="0.2">
      <c r="A67" s="20"/>
      <c r="B67" s="78" t="s">
        <v>248</v>
      </c>
      <c r="C67" s="78"/>
      <c r="D67" s="78"/>
      <c r="E67" s="78"/>
      <c r="F67" s="78"/>
      <c r="G67" s="78"/>
      <c r="H67" s="24"/>
      <c r="I67" s="21"/>
      <c r="K67" s="26"/>
      <c r="L67" s="2"/>
      <c r="M67" s="2"/>
      <c r="Q67" s="23"/>
    </row>
    <row r="68" spans="1:17" ht="12.75" customHeight="1" x14ac:dyDescent="0.2">
      <c r="A68" s="20"/>
      <c r="B68" s="63"/>
      <c r="C68" s="63"/>
      <c r="D68" s="63"/>
      <c r="E68" s="63"/>
      <c r="F68" s="63"/>
      <c r="G68" s="63"/>
      <c r="H68" s="24"/>
      <c r="I68" s="21"/>
      <c r="K68" s="26"/>
      <c r="L68" s="2"/>
      <c r="M68" s="2"/>
      <c r="Q68" s="23"/>
    </row>
    <row r="69" spans="1:17" x14ac:dyDescent="0.2">
      <c r="A69" s="20" t="s">
        <v>135</v>
      </c>
      <c r="B69" s="77" t="s">
        <v>272</v>
      </c>
      <c r="C69" s="77"/>
      <c r="D69" s="77"/>
      <c r="E69" s="77"/>
      <c r="F69" s="77"/>
      <c r="G69" s="77"/>
      <c r="H69" s="4">
        <v>1200</v>
      </c>
      <c r="I69" s="21" t="s">
        <v>8</v>
      </c>
      <c r="J69" s="58" t="s">
        <v>3</v>
      </c>
      <c r="K69" s="59"/>
      <c r="L69" s="58" t="s">
        <v>3</v>
      </c>
      <c r="M69" s="60">
        <f>H69*K69</f>
        <v>0</v>
      </c>
      <c r="O69" s="29"/>
      <c r="Q69" s="23"/>
    </row>
    <row r="70" spans="1:17" ht="12.75" customHeight="1" x14ac:dyDescent="0.2">
      <c r="A70" s="20"/>
      <c r="B70" s="78" t="s">
        <v>248</v>
      </c>
      <c r="C70" s="78"/>
      <c r="D70" s="78"/>
      <c r="E70" s="78"/>
      <c r="F70" s="78"/>
      <c r="G70" s="78"/>
      <c r="H70" s="24"/>
      <c r="I70" s="21"/>
      <c r="K70" s="26"/>
      <c r="L70" s="2"/>
      <c r="M70" s="2"/>
    </row>
    <row r="71" spans="1:17" ht="12.75" customHeight="1" x14ac:dyDescent="0.2">
      <c r="A71" s="20"/>
      <c r="B71" s="63"/>
      <c r="C71" s="63"/>
      <c r="D71" s="63"/>
      <c r="E71" s="63"/>
      <c r="F71" s="63"/>
      <c r="G71" s="63"/>
      <c r="H71" s="24"/>
      <c r="I71" s="21"/>
      <c r="K71" s="26"/>
      <c r="L71" s="2"/>
      <c r="M71" s="2"/>
    </row>
    <row r="72" spans="1:17" ht="12.75" customHeight="1" x14ac:dyDescent="0.2">
      <c r="A72" s="20" t="s">
        <v>136</v>
      </c>
      <c r="B72" s="77" t="s">
        <v>273</v>
      </c>
      <c r="C72" s="77"/>
      <c r="D72" s="77"/>
      <c r="E72" s="77"/>
      <c r="F72" s="77"/>
      <c r="G72" s="77"/>
      <c r="H72" s="4">
        <v>205</v>
      </c>
      <c r="I72" s="21" t="s">
        <v>8</v>
      </c>
      <c r="J72" s="22" t="s">
        <v>3</v>
      </c>
      <c r="K72" s="66"/>
      <c r="L72" s="22" t="s">
        <v>3</v>
      </c>
      <c r="M72" s="1">
        <f>H72*K72</f>
        <v>0</v>
      </c>
      <c r="O72" s="29"/>
      <c r="Q72" s="23"/>
    </row>
    <row r="73" spans="1:17" ht="12.75" customHeight="1" x14ac:dyDescent="0.2">
      <c r="A73" s="20"/>
      <c r="B73" s="78" t="s">
        <v>249</v>
      </c>
      <c r="C73" s="78"/>
      <c r="D73" s="78"/>
      <c r="E73" s="78"/>
      <c r="F73" s="78"/>
      <c r="G73" s="78"/>
      <c r="H73" s="24"/>
      <c r="I73" s="21"/>
      <c r="K73" s="26"/>
      <c r="L73" s="2"/>
      <c r="M73" s="2"/>
    </row>
    <row r="74" spans="1:17" ht="12.75" customHeight="1" x14ac:dyDescent="0.2">
      <c r="A74" s="20"/>
      <c r="B74" s="63"/>
      <c r="C74" s="63"/>
      <c r="D74" s="63"/>
      <c r="E74" s="63"/>
      <c r="F74" s="63"/>
      <c r="G74" s="63"/>
      <c r="H74" s="24"/>
      <c r="I74" s="21"/>
      <c r="K74" s="26"/>
      <c r="L74" s="2"/>
      <c r="M74" s="2"/>
    </row>
    <row r="75" spans="1:17" ht="12.75" customHeight="1" thickBot="1" x14ac:dyDescent="0.25">
      <c r="A75" s="30"/>
      <c r="B75" s="82" t="s">
        <v>138</v>
      </c>
      <c r="C75" s="82"/>
      <c r="D75" s="82"/>
      <c r="E75" s="82"/>
      <c r="F75" s="82"/>
      <c r="G75" s="82"/>
      <c r="H75" s="82"/>
      <c r="I75" s="82"/>
      <c r="J75" s="82"/>
      <c r="K75" s="31"/>
      <c r="L75" s="3" t="s">
        <v>3</v>
      </c>
      <c r="M75" s="3">
        <f>SUM(M7,M10,M13,M16,M19,M22,M25,M28,M31,M34,M42,M45,M48,M51,M54,M57,M60,M63,M66,M69,M37,M72)</f>
        <v>0</v>
      </c>
    </row>
    <row r="76" spans="1:17" ht="12.75" customHeight="1" x14ac:dyDescent="0.2">
      <c r="A76" s="20"/>
      <c r="B76" s="69"/>
      <c r="C76" s="69"/>
      <c r="D76" s="69"/>
      <c r="E76" s="69"/>
      <c r="F76" s="69"/>
      <c r="G76" s="69"/>
      <c r="H76" s="69"/>
      <c r="I76" s="69"/>
      <c r="J76" s="69"/>
      <c r="K76" s="26"/>
      <c r="L76" s="2"/>
      <c r="M76" s="2"/>
    </row>
    <row r="77" spans="1:17" x14ac:dyDescent="0.2">
      <c r="A77" s="19" t="s">
        <v>137</v>
      </c>
      <c r="B77" s="65" t="s">
        <v>280</v>
      </c>
      <c r="C77" s="32"/>
      <c r="D77" s="32"/>
      <c r="E77" s="32"/>
      <c r="F77" s="32"/>
      <c r="G77" s="32"/>
      <c r="H77" s="16"/>
      <c r="I77" s="16"/>
      <c r="J77" s="17"/>
      <c r="K77" s="16"/>
      <c r="L77" s="16"/>
    </row>
    <row r="78" spans="1:17" x14ac:dyDescent="0.2">
      <c r="A78" s="15"/>
      <c r="B78" s="16"/>
      <c r="C78" s="16"/>
      <c r="D78" s="16"/>
      <c r="E78" s="16"/>
      <c r="F78" s="16"/>
      <c r="G78" s="16"/>
      <c r="H78" s="16"/>
      <c r="I78" s="16"/>
      <c r="J78" s="17"/>
      <c r="K78" s="16"/>
      <c r="L78" s="16"/>
    </row>
    <row r="79" spans="1:17" ht="12.75" customHeight="1" x14ac:dyDescent="0.2">
      <c r="A79" s="20" t="s">
        <v>139</v>
      </c>
      <c r="B79" s="77" t="s">
        <v>275</v>
      </c>
      <c r="C79" s="77"/>
      <c r="D79" s="77"/>
      <c r="E79" s="77"/>
      <c r="F79" s="77"/>
      <c r="G79" s="77"/>
      <c r="H79" s="4">
        <v>44355</v>
      </c>
      <c r="I79" s="21" t="s">
        <v>45</v>
      </c>
      <c r="J79" s="22" t="s">
        <v>3</v>
      </c>
      <c r="K79" s="67"/>
      <c r="L79" s="22" t="s">
        <v>3</v>
      </c>
      <c r="M79" s="1">
        <f>H79*K79</f>
        <v>0</v>
      </c>
    </row>
    <row r="80" spans="1:17" ht="12.75" customHeight="1" x14ac:dyDescent="0.2">
      <c r="A80" s="20"/>
      <c r="B80" s="78" t="s">
        <v>250</v>
      </c>
      <c r="C80" s="78"/>
      <c r="D80" s="78"/>
      <c r="E80" s="78"/>
      <c r="F80" s="78"/>
      <c r="G80" s="78"/>
      <c r="H80" s="24"/>
      <c r="I80" s="21"/>
      <c r="K80" s="26"/>
      <c r="L80" s="2"/>
      <c r="M80" s="2"/>
    </row>
    <row r="81" spans="1:16" x14ac:dyDescent="0.2">
      <c r="A81" s="20"/>
      <c r="B81" s="33"/>
      <c r="C81" s="33"/>
      <c r="D81" s="33"/>
      <c r="E81" s="33"/>
      <c r="F81" s="33"/>
      <c r="G81" s="33"/>
      <c r="H81" s="24"/>
      <c r="I81" s="21"/>
      <c r="K81" s="26"/>
      <c r="L81" s="2"/>
      <c r="M81" s="2"/>
    </row>
    <row r="82" spans="1:16" x14ac:dyDescent="0.2">
      <c r="A82" s="20" t="s">
        <v>140</v>
      </c>
      <c r="B82" s="77" t="s">
        <v>276</v>
      </c>
      <c r="C82" s="77"/>
      <c r="D82" s="77"/>
      <c r="E82" s="77"/>
      <c r="F82" s="77"/>
      <c r="G82" s="77"/>
      <c r="H82" s="4">
        <v>903</v>
      </c>
      <c r="I82" s="21" t="s">
        <v>8</v>
      </c>
      <c r="J82" s="22" t="s">
        <v>3</v>
      </c>
      <c r="K82" s="67"/>
      <c r="L82" s="22" t="s">
        <v>3</v>
      </c>
      <c r="M82" s="1">
        <f>H82*K82</f>
        <v>0</v>
      </c>
    </row>
    <row r="83" spans="1:16" ht="12.75" customHeight="1" x14ac:dyDescent="0.2">
      <c r="A83" s="20"/>
      <c r="B83" s="78" t="s">
        <v>250</v>
      </c>
      <c r="C83" s="78"/>
      <c r="D83" s="78"/>
      <c r="E83" s="78"/>
      <c r="F83" s="78"/>
      <c r="G83" s="78"/>
      <c r="H83" s="24"/>
      <c r="I83" s="21"/>
      <c r="K83" s="26"/>
      <c r="L83" s="2"/>
      <c r="M83" s="2"/>
    </row>
    <row r="84" spans="1:16" ht="12.75" customHeight="1" x14ac:dyDescent="0.2">
      <c r="A84" s="20"/>
      <c r="B84" s="63"/>
      <c r="C84" s="63"/>
      <c r="D84" s="63"/>
      <c r="E84" s="63"/>
      <c r="F84" s="63"/>
      <c r="G84" s="63"/>
      <c r="H84" s="24"/>
      <c r="I84" s="21"/>
      <c r="K84" s="26"/>
      <c r="L84" s="2"/>
      <c r="M84" s="2"/>
    </row>
    <row r="85" spans="1:16" ht="12.75" customHeight="1" x14ac:dyDescent="0.2">
      <c r="A85" s="20" t="s">
        <v>141</v>
      </c>
      <c r="B85" s="77" t="s">
        <v>277</v>
      </c>
      <c r="C85" s="77"/>
      <c r="D85" s="77"/>
      <c r="E85" s="77"/>
      <c r="F85" s="77"/>
      <c r="G85" s="77"/>
      <c r="H85" s="5">
        <v>346</v>
      </c>
      <c r="I85" s="21" t="s">
        <v>8</v>
      </c>
      <c r="J85" s="22" t="s">
        <v>3</v>
      </c>
      <c r="K85" s="67"/>
      <c r="L85" s="22" t="s">
        <v>3</v>
      </c>
      <c r="M85" s="1">
        <f>H85*K85</f>
        <v>0</v>
      </c>
    </row>
    <row r="86" spans="1:16" ht="12.75" customHeight="1" x14ac:dyDescent="0.2">
      <c r="A86" s="20"/>
      <c r="B86" s="78" t="s">
        <v>251</v>
      </c>
      <c r="C86" s="78"/>
      <c r="D86" s="78"/>
      <c r="E86" s="78"/>
      <c r="F86" s="78"/>
      <c r="G86" s="78"/>
      <c r="H86" s="24"/>
      <c r="I86" s="21"/>
      <c r="K86" s="26"/>
      <c r="L86" s="2"/>
      <c r="M86" s="2"/>
    </row>
    <row r="87" spans="1:16" x14ac:dyDescent="0.2">
      <c r="A87" s="20"/>
      <c r="B87" s="35"/>
      <c r="C87" s="35"/>
      <c r="D87" s="35"/>
      <c r="E87" s="35"/>
      <c r="F87" s="35"/>
      <c r="G87" s="35"/>
      <c r="H87" s="24"/>
      <c r="I87" s="21"/>
      <c r="L87" s="2"/>
      <c r="M87" s="2"/>
    </row>
    <row r="88" spans="1:16" ht="12.75" customHeight="1" x14ac:dyDescent="0.2">
      <c r="A88" s="20" t="s">
        <v>142</v>
      </c>
      <c r="B88" s="77" t="s">
        <v>278</v>
      </c>
      <c r="C88" s="77"/>
      <c r="D88" s="77"/>
      <c r="E88" s="77"/>
      <c r="F88" s="77"/>
      <c r="G88" s="77"/>
      <c r="H88" s="4">
        <v>198</v>
      </c>
      <c r="I88" s="21" t="s">
        <v>8</v>
      </c>
      <c r="J88" s="22" t="s">
        <v>3</v>
      </c>
      <c r="K88" s="67"/>
      <c r="L88" s="22" t="s">
        <v>3</v>
      </c>
      <c r="M88" s="1">
        <f>H88*K88</f>
        <v>0</v>
      </c>
      <c r="P88" s="7"/>
    </row>
    <row r="89" spans="1:16" ht="12.75" customHeight="1" x14ac:dyDescent="0.2">
      <c r="A89" s="20"/>
      <c r="B89" s="78" t="s">
        <v>251</v>
      </c>
      <c r="C89" s="78"/>
      <c r="D89" s="78"/>
      <c r="E89" s="78"/>
      <c r="F89" s="78"/>
      <c r="G89" s="78"/>
      <c r="H89" s="24"/>
      <c r="I89" s="21"/>
      <c r="K89" s="26"/>
      <c r="L89" s="2"/>
      <c r="M89" s="2"/>
    </row>
    <row r="90" spans="1:16" x14ac:dyDescent="0.2">
      <c r="A90" s="20"/>
      <c r="B90" s="35"/>
      <c r="C90" s="35"/>
      <c r="D90" s="35"/>
      <c r="E90" s="35"/>
      <c r="F90" s="35"/>
      <c r="G90" s="35"/>
      <c r="H90" s="24"/>
      <c r="I90" s="21"/>
      <c r="K90" s="26"/>
      <c r="L90" s="2"/>
      <c r="M90" s="2"/>
    </row>
    <row r="91" spans="1:16" ht="12.75" customHeight="1" x14ac:dyDescent="0.2">
      <c r="A91" s="20" t="s">
        <v>143</v>
      </c>
      <c r="B91" s="78" t="s">
        <v>279</v>
      </c>
      <c r="C91" s="78"/>
      <c r="D91" s="78"/>
      <c r="E91" s="78"/>
      <c r="F91" s="78"/>
      <c r="G91" s="78"/>
      <c r="H91" s="4">
        <v>5</v>
      </c>
      <c r="I91" s="21" t="s">
        <v>9</v>
      </c>
      <c r="J91" s="22" t="s">
        <v>47</v>
      </c>
      <c r="K91" s="68"/>
      <c r="L91" s="22" t="s">
        <v>3</v>
      </c>
      <c r="M91" s="1">
        <f>ROUND(M75*H91*0.004*K91,0)</f>
        <v>0</v>
      </c>
    </row>
    <row r="92" spans="1:16" ht="13.5" thickBot="1" x14ac:dyDescent="0.25">
      <c r="A92" s="20"/>
      <c r="B92" s="78" t="s">
        <v>259</v>
      </c>
      <c r="C92" s="78"/>
      <c r="D92" s="78"/>
      <c r="E92" s="78"/>
      <c r="F92" s="78"/>
      <c r="G92" s="78"/>
      <c r="H92" s="24"/>
      <c r="I92" s="21"/>
      <c r="K92" s="26"/>
      <c r="L92" s="2"/>
      <c r="M92" s="2"/>
    </row>
    <row r="93" spans="1:16" ht="13.5" customHeight="1" thickBot="1" x14ac:dyDescent="0.25">
      <c r="A93" s="20"/>
      <c r="B93" s="84" t="s">
        <v>303</v>
      </c>
      <c r="C93" s="85"/>
      <c r="D93" s="85"/>
      <c r="E93" s="85"/>
      <c r="F93" s="85"/>
      <c r="G93" s="86"/>
      <c r="H93" s="24"/>
      <c r="I93" s="21"/>
      <c r="K93" s="26"/>
      <c r="L93" s="2"/>
      <c r="M93" s="2"/>
    </row>
    <row r="94" spans="1:16" x14ac:dyDescent="0.2">
      <c r="A94" s="20"/>
      <c r="B94" s="72"/>
      <c r="C94" s="16"/>
      <c r="D94" s="16"/>
      <c r="E94" s="16"/>
      <c r="F94" s="16"/>
      <c r="G94" s="16"/>
      <c r="H94" s="24"/>
      <c r="I94" s="21"/>
      <c r="L94" s="2"/>
      <c r="M94" s="2"/>
    </row>
    <row r="95" spans="1:16" x14ac:dyDescent="0.2">
      <c r="A95" s="28" t="s">
        <v>144</v>
      </c>
      <c r="B95" s="81" t="s">
        <v>62</v>
      </c>
      <c r="C95" s="81"/>
      <c r="D95" s="81"/>
      <c r="E95" s="81"/>
      <c r="F95" s="81"/>
      <c r="G95" s="81"/>
      <c r="H95" s="24"/>
      <c r="I95" s="21"/>
      <c r="L95" s="2"/>
      <c r="M95" s="2"/>
    </row>
    <row r="96" spans="1:16" x14ac:dyDescent="0.2">
      <c r="A96" s="20"/>
      <c r="B96" s="72"/>
      <c r="C96" s="16"/>
      <c r="D96" s="16"/>
      <c r="E96" s="16"/>
      <c r="F96" s="16"/>
      <c r="G96" s="16"/>
      <c r="H96" s="24"/>
      <c r="I96" s="21"/>
      <c r="L96" s="2"/>
      <c r="M96" s="2"/>
    </row>
    <row r="97" spans="1:13" x14ac:dyDescent="0.2">
      <c r="A97" s="20" t="s">
        <v>145</v>
      </c>
      <c r="B97" s="77" t="s">
        <v>260</v>
      </c>
      <c r="C97" s="77"/>
      <c r="D97" s="77"/>
      <c r="E97" s="77"/>
      <c r="F97" s="77"/>
      <c r="G97" s="77"/>
      <c r="H97" s="4">
        <v>54</v>
      </c>
      <c r="I97" s="21" t="s">
        <v>9</v>
      </c>
      <c r="J97" s="22" t="s">
        <v>3</v>
      </c>
      <c r="K97" s="67"/>
      <c r="L97" s="22" t="s">
        <v>3</v>
      </c>
      <c r="M97" s="1">
        <f>H97*K97</f>
        <v>0</v>
      </c>
    </row>
    <row r="98" spans="1:13" ht="12.75" customHeight="1" x14ac:dyDescent="0.2">
      <c r="A98" s="20"/>
      <c r="B98" s="78" t="s">
        <v>252</v>
      </c>
      <c r="C98" s="78"/>
      <c r="D98" s="78"/>
      <c r="E98" s="78"/>
      <c r="F98" s="78"/>
      <c r="G98" s="78"/>
      <c r="H98" s="24"/>
      <c r="I98" s="21"/>
      <c r="K98" s="26"/>
      <c r="L98" s="2"/>
      <c r="M98" s="2"/>
    </row>
    <row r="99" spans="1:13" ht="12.75" customHeight="1" x14ac:dyDescent="0.2">
      <c r="A99" s="20"/>
      <c r="B99" s="63"/>
      <c r="C99" s="63"/>
      <c r="D99" s="63"/>
      <c r="E99" s="63"/>
      <c r="F99" s="63"/>
      <c r="G99" s="63"/>
      <c r="H99" s="24"/>
      <c r="I99" s="21"/>
      <c r="K99" s="26"/>
      <c r="L99" s="2"/>
      <c r="M99" s="2"/>
    </row>
    <row r="100" spans="1:13" x14ac:dyDescent="0.2">
      <c r="A100" s="20" t="s">
        <v>146</v>
      </c>
      <c r="B100" s="77" t="s">
        <v>51</v>
      </c>
      <c r="C100" s="77"/>
      <c r="D100" s="77"/>
      <c r="E100" s="77"/>
      <c r="F100" s="77"/>
      <c r="G100" s="77"/>
      <c r="H100" s="4">
        <v>135</v>
      </c>
      <c r="I100" s="21" t="s">
        <v>9</v>
      </c>
      <c r="J100" s="22" t="s">
        <v>3</v>
      </c>
      <c r="K100" s="67"/>
      <c r="L100" s="22" t="s">
        <v>3</v>
      </c>
      <c r="M100" s="1">
        <f>H100*K100</f>
        <v>0</v>
      </c>
    </row>
    <row r="101" spans="1:13" ht="12.75" customHeight="1" x14ac:dyDescent="0.2">
      <c r="A101" s="62"/>
      <c r="B101" s="83" t="s">
        <v>253</v>
      </c>
      <c r="C101" s="83"/>
      <c r="D101" s="83"/>
      <c r="E101" s="83"/>
      <c r="F101" s="83"/>
      <c r="G101" s="83"/>
      <c r="H101" s="24"/>
      <c r="I101" s="21"/>
      <c r="K101" s="26"/>
      <c r="L101" s="2"/>
      <c r="M101" s="2"/>
    </row>
    <row r="102" spans="1:13" ht="12.75" customHeight="1" x14ac:dyDescent="0.2">
      <c r="A102" s="20"/>
      <c r="B102" s="63"/>
      <c r="C102" s="63"/>
      <c r="D102" s="63"/>
      <c r="E102" s="63"/>
      <c r="F102" s="63"/>
      <c r="G102" s="63"/>
      <c r="H102" s="24"/>
      <c r="I102" s="21"/>
      <c r="K102" s="26"/>
      <c r="L102" s="2"/>
      <c r="M102" s="2"/>
    </row>
    <row r="103" spans="1:13" ht="12.75" customHeight="1" x14ac:dyDescent="0.2">
      <c r="A103" s="28" t="s">
        <v>147</v>
      </c>
      <c r="B103" s="87" t="s">
        <v>281</v>
      </c>
      <c r="C103" s="87"/>
      <c r="D103" s="87"/>
      <c r="E103" s="87"/>
      <c r="F103" s="87"/>
      <c r="G103" s="87"/>
      <c r="H103" s="24"/>
      <c r="I103" s="21"/>
      <c r="L103" s="2"/>
      <c r="M103" s="2"/>
    </row>
    <row r="104" spans="1:13" x14ac:dyDescent="0.2">
      <c r="A104" s="20"/>
      <c r="B104" s="16"/>
      <c r="C104" s="16"/>
      <c r="D104" s="16"/>
      <c r="E104" s="16"/>
      <c r="F104" s="16"/>
      <c r="G104" s="16"/>
      <c r="H104" s="24"/>
      <c r="I104" s="21"/>
      <c r="L104" s="2"/>
      <c r="M104" s="2"/>
    </row>
    <row r="105" spans="1:13" ht="12.75" customHeight="1" x14ac:dyDescent="0.2">
      <c r="A105" s="20" t="s">
        <v>148</v>
      </c>
      <c r="B105" s="83" t="s">
        <v>283</v>
      </c>
      <c r="C105" s="83"/>
      <c r="D105" s="83"/>
      <c r="E105" s="83"/>
      <c r="F105" s="83"/>
      <c r="G105" s="83"/>
      <c r="H105" s="4">
        <v>7</v>
      </c>
      <c r="I105" s="21" t="s">
        <v>9</v>
      </c>
      <c r="J105" s="22" t="s">
        <v>47</v>
      </c>
      <c r="K105" s="68"/>
      <c r="L105" s="22" t="s">
        <v>3</v>
      </c>
      <c r="M105" s="1">
        <f>ROUND(M75*0.05*K105,0)</f>
        <v>0</v>
      </c>
    </row>
    <row r="106" spans="1:13" ht="13.5" customHeight="1" thickBot="1" x14ac:dyDescent="0.25">
      <c r="A106" s="20"/>
      <c r="B106" s="88" t="s">
        <v>254</v>
      </c>
      <c r="C106" s="88"/>
      <c r="D106" s="88"/>
      <c r="E106" s="88"/>
      <c r="F106" s="88"/>
      <c r="G106" s="88"/>
      <c r="H106" s="24"/>
      <c r="I106" s="21"/>
      <c r="K106" s="34"/>
      <c r="L106" s="2"/>
      <c r="M106" s="2"/>
    </row>
    <row r="107" spans="1:13" ht="12.75" customHeight="1" thickBot="1" x14ac:dyDescent="0.25">
      <c r="A107" s="20"/>
      <c r="B107" s="84" t="s">
        <v>309</v>
      </c>
      <c r="C107" s="85"/>
      <c r="D107" s="85"/>
      <c r="E107" s="85"/>
      <c r="F107" s="85"/>
      <c r="G107" s="86"/>
      <c r="H107" s="24"/>
      <c r="I107" s="21"/>
      <c r="K107" s="34"/>
      <c r="L107" s="2"/>
      <c r="M107" s="2"/>
    </row>
    <row r="108" spans="1:13" x14ac:dyDescent="0.2">
      <c r="A108" s="20"/>
      <c r="B108" s="16"/>
      <c r="C108" s="16"/>
      <c r="D108" s="16"/>
      <c r="E108" s="16"/>
      <c r="F108" s="16"/>
      <c r="G108" s="16"/>
      <c r="H108" s="24"/>
      <c r="I108" s="21"/>
      <c r="L108" s="2"/>
      <c r="M108" s="2"/>
    </row>
    <row r="109" spans="1:13" ht="12.75" customHeight="1" x14ac:dyDescent="0.2">
      <c r="A109" s="20" t="s">
        <v>149</v>
      </c>
      <c r="B109" s="83" t="s">
        <v>284</v>
      </c>
      <c r="C109" s="83"/>
      <c r="D109" s="83"/>
      <c r="E109" s="83"/>
      <c r="F109" s="83"/>
      <c r="G109" s="83"/>
      <c r="H109" s="4">
        <v>44</v>
      </c>
      <c r="I109" s="21" t="s">
        <v>9</v>
      </c>
      <c r="J109" s="22" t="s">
        <v>47</v>
      </c>
      <c r="K109" s="68"/>
      <c r="L109" s="22" t="s">
        <v>3</v>
      </c>
      <c r="M109" s="1">
        <f>ROUND(M75*0.1*K109,0)</f>
        <v>0</v>
      </c>
    </row>
    <row r="110" spans="1:13" ht="13.5" customHeight="1" thickBot="1" x14ac:dyDescent="0.25">
      <c r="A110" s="20"/>
      <c r="B110" s="88" t="s">
        <v>254</v>
      </c>
      <c r="C110" s="88"/>
      <c r="D110" s="88"/>
      <c r="E110" s="88"/>
      <c r="F110" s="88"/>
      <c r="G110" s="88"/>
      <c r="H110" s="24"/>
      <c r="I110" s="21"/>
      <c r="K110" s="34"/>
      <c r="L110" s="2"/>
      <c r="M110" s="2"/>
    </row>
    <row r="111" spans="1:13" ht="12.75" customHeight="1" thickBot="1" x14ac:dyDescent="0.25">
      <c r="A111" s="20"/>
      <c r="B111" s="84" t="s">
        <v>311</v>
      </c>
      <c r="C111" s="85"/>
      <c r="D111" s="85"/>
      <c r="E111" s="85"/>
      <c r="F111" s="85"/>
      <c r="G111" s="86"/>
      <c r="H111" s="24"/>
      <c r="I111" s="21"/>
      <c r="K111" s="34"/>
      <c r="L111" s="2"/>
      <c r="M111" s="2"/>
    </row>
    <row r="112" spans="1:13" x14ac:dyDescent="0.2">
      <c r="A112" s="20"/>
      <c r="B112" s="16"/>
      <c r="C112" s="16"/>
      <c r="D112" s="16"/>
      <c r="E112" s="16"/>
      <c r="F112" s="16"/>
      <c r="G112" s="16"/>
      <c r="H112" s="24"/>
      <c r="I112" s="21"/>
      <c r="L112" s="2"/>
      <c r="M112" s="2"/>
    </row>
    <row r="113" spans="1:13" ht="12.75" customHeight="1" x14ac:dyDescent="0.2">
      <c r="A113" s="20" t="s">
        <v>150</v>
      </c>
      <c r="B113" s="83" t="s">
        <v>285</v>
      </c>
      <c r="C113" s="83"/>
      <c r="D113" s="83"/>
      <c r="E113" s="83"/>
      <c r="F113" s="83"/>
      <c r="G113" s="83"/>
      <c r="H113" s="4">
        <v>30</v>
      </c>
      <c r="I113" s="21" t="s">
        <v>9</v>
      </c>
      <c r="J113" s="22" t="s">
        <v>47</v>
      </c>
      <c r="K113" s="68"/>
      <c r="L113" s="22" t="s">
        <v>3</v>
      </c>
      <c r="M113" s="1">
        <f>ROUND(M75*0.05*K113,0)</f>
        <v>0</v>
      </c>
    </row>
    <row r="114" spans="1:13" ht="13.5" thickBot="1" x14ac:dyDescent="0.25">
      <c r="A114" s="20"/>
      <c r="B114" s="78" t="s">
        <v>254</v>
      </c>
      <c r="C114" s="78"/>
      <c r="D114" s="78"/>
      <c r="E114" s="78"/>
      <c r="F114" s="78"/>
      <c r="G114" s="78"/>
      <c r="H114" s="24"/>
      <c r="I114" s="21"/>
      <c r="K114" s="34"/>
      <c r="L114" s="2"/>
      <c r="M114" s="2"/>
    </row>
    <row r="115" spans="1:13" ht="13.5" customHeight="1" thickBot="1" x14ac:dyDescent="0.25">
      <c r="A115" s="20"/>
      <c r="B115" s="84" t="s">
        <v>309</v>
      </c>
      <c r="C115" s="85"/>
      <c r="D115" s="85"/>
      <c r="E115" s="85"/>
      <c r="F115" s="85"/>
      <c r="G115" s="86"/>
      <c r="H115" s="24"/>
      <c r="I115" s="33"/>
      <c r="K115" s="34"/>
      <c r="L115" s="2"/>
      <c r="M115" s="2"/>
    </row>
    <row r="116" spans="1:13" x14ac:dyDescent="0.2">
      <c r="A116" s="20"/>
      <c r="B116" s="35"/>
      <c r="C116" s="35"/>
      <c r="D116" s="35"/>
      <c r="E116" s="35"/>
      <c r="F116" s="35"/>
      <c r="G116" s="35"/>
      <c r="H116" s="24"/>
      <c r="I116" s="33"/>
      <c r="L116" s="2"/>
      <c r="M116" s="2"/>
    </row>
    <row r="117" spans="1:13" ht="12.75" customHeight="1" x14ac:dyDescent="0.2">
      <c r="A117" s="20" t="s">
        <v>151</v>
      </c>
      <c r="B117" s="83" t="s">
        <v>286</v>
      </c>
      <c r="C117" s="83"/>
      <c r="D117" s="83"/>
      <c r="E117" s="83"/>
      <c r="F117" s="83"/>
      <c r="G117" s="83"/>
      <c r="H117" s="4">
        <v>19</v>
      </c>
      <c r="I117" s="21" t="s">
        <v>9</v>
      </c>
      <c r="J117" s="22" t="s">
        <v>47</v>
      </c>
      <c r="K117" s="68"/>
      <c r="L117" s="22" t="s">
        <v>3</v>
      </c>
      <c r="M117" s="1">
        <f>ROUND(M75*0.03*K117,0)</f>
        <v>0</v>
      </c>
    </row>
    <row r="118" spans="1:13" ht="13.5" thickBot="1" x14ac:dyDescent="0.25">
      <c r="A118" s="20"/>
      <c r="B118" s="78" t="s">
        <v>254</v>
      </c>
      <c r="C118" s="78"/>
      <c r="D118" s="78"/>
      <c r="E118" s="78"/>
      <c r="F118" s="78"/>
      <c r="G118" s="78"/>
      <c r="H118" s="24"/>
      <c r="I118" s="21"/>
      <c r="K118" s="34"/>
      <c r="L118" s="2"/>
      <c r="M118" s="2"/>
    </row>
    <row r="119" spans="1:13" ht="13.5" customHeight="1" thickBot="1" x14ac:dyDescent="0.25">
      <c r="A119" s="20"/>
      <c r="B119" s="84" t="s">
        <v>315</v>
      </c>
      <c r="C119" s="85"/>
      <c r="D119" s="85"/>
      <c r="E119" s="85"/>
      <c r="F119" s="85"/>
      <c r="G119" s="86"/>
      <c r="H119" s="24"/>
      <c r="I119" s="33"/>
      <c r="K119" s="34"/>
      <c r="L119" s="2"/>
      <c r="M119" s="2"/>
    </row>
    <row r="121" spans="1:13" x14ac:dyDescent="0.2">
      <c r="A121" s="28" t="s">
        <v>152</v>
      </c>
      <c r="B121" s="87" t="s">
        <v>55</v>
      </c>
      <c r="C121" s="87"/>
      <c r="D121" s="87"/>
      <c r="E121" s="87"/>
      <c r="F121" s="87"/>
      <c r="G121" s="87"/>
      <c r="H121" s="24"/>
      <c r="I121" s="33"/>
      <c r="K121" s="34"/>
      <c r="L121" s="2"/>
      <c r="M121" s="2"/>
    </row>
    <row r="122" spans="1:13" x14ac:dyDescent="0.2">
      <c r="A122" s="20"/>
      <c r="B122" s="35"/>
      <c r="C122" s="35"/>
      <c r="D122" s="35"/>
      <c r="E122" s="35"/>
      <c r="F122" s="35"/>
      <c r="G122" s="35"/>
      <c r="H122" s="24"/>
      <c r="I122" s="33"/>
      <c r="K122" s="34"/>
      <c r="L122" s="2"/>
      <c r="M122" s="2"/>
    </row>
    <row r="123" spans="1:13" x14ac:dyDescent="0.2">
      <c r="A123" s="20" t="s">
        <v>153</v>
      </c>
      <c r="B123" s="77" t="s">
        <v>22</v>
      </c>
      <c r="C123" s="77"/>
      <c r="D123" s="77"/>
      <c r="E123" s="77"/>
      <c r="F123" s="77"/>
      <c r="G123" s="77"/>
      <c r="H123" s="4">
        <v>42</v>
      </c>
      <c r="I123" s="21" t="s">
        <v>9</v>
      </c>
      <c r="J123" s="22" t="s">
        <v>3</v>
      </c>
      <c r="K123" s="67"/>
      <c r="L123" s="22" t="s">
        <v>3</v>
      </c>
      <c r="M123" s="1">
        <f>H123*K123</f>
        <v>0</v>
      </c>
    </row>
    <row r="124" spans="1:13" ht="12.75" customHeight="1" x14ac:dyDescent="0.2">
      <c r="A124" s="20"/>
      <c r="B124" s="78" t="s">
        <v>255</v>
      </c>
      <c r="C124" s="78"/>
      <c r="D124" s="78"/>
      <c r="E124" s="78"/>
      <c r="F124" s="78"/>
      <c r="G124" s="78"/>
      <c r="H124" s="24"/>
      <c r="I124" s="21"/>
      <c r="K124" s="26"/>
      <c r="L124" s="2"/>
      <c r="M124" s="2"/>
    </row>
    <row r="125" spans="1:13" ht="12.75" customHeight="1" x14ac:dyDescent="0.2">
      <c r="A125" s="20"/>
      <c r="B125" s="63"/>
      <c r="C125" s="63"/>
      <c r="D125" s="63"/>
      <c r="E125" s="63"/>
      <c r="F125" s="63"/>
      <c r="G125" s="63"/>
      <c r="H125" s="24"/>
      <c r="I125" s="21"/>
      <c r="K125" s="26"/>
      <c r="L125" s="2"/>
      <c r="M125" s="2"/>
    </row>
    <row r="126" spans="1:13" ht="12.75" customHeight="1" x14ac:dyDescent="0.2">
      <c r="A126" s="20" t="s">
        <v>154</v>
      </c>
      <c r="B126" s="77" t="s">
        <v>57</v>
      </c>
      <c r="C126" s="77"/>
      <c r="D126" s="77"/>
      <c r="E126" s="77"/>
      <c r="F126" s="77"/>
      <c r="G126" s="77"/>
      <c r="H126" s="24"/>
      <c r="I126" s="21" t="s">
        <v>9</v>
      </c>
      <c r="J126" s="22"/>
      <c r="K126" s="6" t="s">
        <v>10</v>
      </c>
      <c r="L126" s="1"/>
      <c r="M126" s="6" t="s">
        <v>10</v>
      </c>
    </row>
    <row r="127" spans="1:13" x14ac:dyDescent="0.2">
      <c r="A127" s="20"/>
      <c r="B127" s="78" t="s">
        <v>256</v>
      </c>
      <c r="C127" s="78"/>
      <c r="D127" s="78"/>
      <c r="E127" s="78"/>
      <c r="F127" s="78"/>
      <c r="G127" s="78"/>
      <c r="H127" s="24"/>
      <c r="I127" s="21"/>
      <c r="K127" s="2"/>
      <c r="L127" s="2"/>
      <c r="M127" s="70"/>
    </row>
    <row r="128" spans="1:13" x14ac:dyDescent="0.2">
      <c r="A128" s="20"/>
      <c r="B128" s="63"/>
      <c r="C128" s="63"/>
      <c r="D128" s="63"/>
      <c r="E128" s="63"/>
      <c r="F128" s="63"/>
      <c r="G128" s="63"/>
      <c r="H128" s="24"/>
      <c r="I128" s="21"/>
      <c r="K128" s="2"/>
      <c r="L128" s="2"/>
      <c r="M128" s="70"/>
    </row>
    <row r="129" spans="1:13" x14ac:dyDescent="0.2">
      <c r="A129" s="20" t="s">
        <v>155</v>
      </c>
      <c r="B129" s="77" t="s">
        <v>11</v>
      </c>
      <c r="C129" s="77"/>
      <c r="D129" s="77"/>
      <c r="E129" s="77"/>
      <c r="F129" s="77"/>
      <c r="G129" s="77"/>
      <c r="H129" s="24"/>
      <c r="I129" s="21" t="s">
        <v>9</v>
      </c>
      <c r="J129" s="22"/>
      <c r="K129" s="6" t="s">
        <v>10</v>
      </c>
      <c r="L129" s="1"/>
      <c r="M129" s="6" t="s">
        <v>10</v>
      </c>
    </row>
    <row r="130" spans="1:13" x14ac:dyDescent="0.2">
      <c r="A130" s="20"/>
      <c r="B130" s="78" t="s">
        <v>257</v>
      </c>
      <c r="C130" s="78"/>
      <c r="D130" s="78"/>
      <c r="E130" s="78"/>
      <c r="F130" s="78"/>
      <c r="G130" s="78"/>
      <c r="H130" s="24"/>
      <c r="I130" s="21"/>
      <c r="K130" s="2"/>
      <c r="L130" s="2"/>
      <c r="M130" s="70"/>
    </row>
    <row r="131" spans="1:13" x14ac:dyDescent="0.2">
      <c r="A131" s="20"/>
      <c r="B131" s="63"/>
      <c r="C131" s="63"/>
      <c r="D131" s="63"/>
      <c r="E131" s="63"/>
      <c r="F131" s="63"/>
      <c r="G131" s="63"/>
      <c r="H131" s="24"/>
      <c r="I131" s="21"/>
      <c r="K131" s="2"/>
      <c r="L131" s="2"/>
      <c r="M131" s="70"/>
    </row>
    <row r="132" spans="1:13" ht="12.75" customHeight="1" x14ac:dyDescent="0.2">
      <c r="A132" s="20" t="s">
        <v>156</v>
      </c>
      <c r="B132" s="8" t="s">
        <v>61</v>
      </c>
      <c r="H132" s="36"/>
      <c r="I132" s="21" t="s">
        <v>9</v>
      </c>
      <c r="J132" s="22"/>
      <c r="K132" s="6" t="s">
        <v>10</v>
      </c>
      <c r="L132" s="1"/>
      <c r="M132" s="6" t="s">
        <v>10</v>
      </c>
    </row>
    <row r="133" spans="1:13" ht="12.75" customHeight="1" x14ac:dyDescent="0.2">
      <c r="A133" s="20"/>
      <c r="B133" s="78" t="s">
        <v>258</v>
      </c>
      <c r="C133" s="77"/>
      <c r="D133" s="77"/>
      <c r="E133" s="77"/>
      <c r="F133" s="77"/>
      <c r="G133" s="77"/>
      <c r="H133" s="24"/>
      <c r="I133" s="21"/>
      <c r="L133" s="2"/>
      <c r="M133" s="2"/>
    </row>
    <row r="134" spans="1:13" s="37" customFormat="1" ht="12" thickBot="1" x14ac:dyDescent="0.25">
      <c r="B134" s="38"/>
      <c r="C134" s="39"/>
      <c r="D134" s="40"/>
      <c r="E134" s="40"/>
      <c r="F134" s="40"/>
      <c r="G134" s="40"/>
      <c r="H134" s="40"/>
      <c r="I134" s="40"/>
      <c r="J134" s="41"/>
      <c r="K134" s="40"/>
      <c r="L134" s="42"/>
      <c r="M134" s="43"/>
    </row>
    <row r="135" spans="1:13" ht="15" x14ac:dyDescent="0.25">
      <c r="A135" s="44"/>
      <c r="B135" s="45"/>
      <c r="C135" s="45"/>
      <c r="D135" s="45"/>
      <c r="E135" s="45"/>
      <c r="F135" s="45"/>
      <c r="G135" s="45"/>
      <c r="H135" s="45"/>
      <c r="I135" s="45"/>
      <c r="J135" s="46"/>
      <c r="K135" s="47"/>
      <c r="L135" s="45"/>
      <c r="M135" s="48"/>
    </row>
    <row r="136" spans="1:13" ht="30" x14ac:dyDescent="0.4">
      <c r="A136" s="93" t="s">
        <v>46</v>
      </c>
      <c r="B136" s="94"/>
      <c r="C136" s="94"/>
      <c r="D136" s="94"/>
      <c r="E136" s="94"/>
      <c r="F136" s="94"/>
      <c r="G136" s="94"/>
      <c r="H136" s="94"/>
      <c r="I136" s="49" t="s">
        <v>3</v>
      </c>
      <c r="J136" s="89">
        <f>SUM(M75,M79,M82,M85,M88,M91,M123,M105,M109,M113,M117,M100,M97)</f>
        <v>0</v>
      </c>
      <c r="K136" s="89"/>
      <c r="L136" s="89"/>
      <c r="M136" s="90"/>
    </row>
    <row r="137" spans="1:13" ht="21.75" thickBot="1" x14ac:dyDescent="0.4">
      <c r="A137" s="50"/>
      <c r="B137" s="51"/>
      <c r="C137" s="51"/>
      <c r="D137" s="51"/>
      <c r="E137" s="51"/>
      <c r="F137" s="51"/>
      <c r="G137" s="51"/>
      <c r="H137" s="51"/>
      <c r="I137" s="51"/>
      <c r="J137" s="91"/>
      <c r="K137" s="91"/>
      <c r="L137" s="91"/>
      <c r="M137" s="92"/>
    </row>
    <row r="138" spans="1:13" ht="15" customHeight="1" thickBot="1" x14ac:dyDescent="0.3">
      <c r="A138" s="52"/>
      <c r="B138" s="53"/>
      <c r="C138" s="95"/>
      <c r="D138" s="96"/>
      <c r="E138" s="96"/>
      <c r="F138" s="96"/>
      <c r="G138" s="96"/>
      <c r="H138" s="96"/>
      <c r="I138" s="96"/>
      <c r="J138" s="96"/>
      <c r="K138" s="96"/>
      <c r="L138" s="54"/>
      <c r="M138" s="55"/>
    </row>
    <row r="139" spans="1:13" ht="15" x14ac:dyDescent="0.25">
      <c r="A139" s="44"/>
      <c r="B139" s="45"/>
      <c r="C139" s="45"/>
      <c r="D139" s="45"/>
      <c r="E139" s="45"/>
      <c r="F139" s="45"/>
      <c r="G139" s="45"/>
      <c r="H139" s="45"/>
      <c r="I139" s="45"/>
      <c r="J139" s="46"/>
      <c r="K139" s="47"/>
      <c r="L139" s="45"/>
      <c r="M139" s="48"/>
    </row>
    <row r="140" spans="1:13" ht="30" x14ac:dyDescent="0.4">
      <c r="A140" s="93" t="s">
        <v>247</v>
      </c>
      <c r="B140" s="94"/>
      <c r="C140" s="94"/>
      <c r="D140" s="94"/>
      <c r="E140" s="94"/>
      <c r="F140" s="94"/>
      <c r="G140" s="94"/>
      <c r="H140" s="94"/>
      <c r="I140" s="49" t="s">
        <v>3</v>
      </c>
      <c r="J140" s="89">
        <f>SUM(J136+'Exhibit B'!J140)</f>
        <v>0</v>
      </c>
      <c r="K140" s="89"/>
      <c r="L140" s="89"/>
      <c r="M140" s="90"/>
    </row>
    <row r="141" spans="1:13" ht="21.75" thickBot="1" x14ac:dyDescent="0.4">
      <c r="A141" s="50"/>
      <c r="B141" s="51"/>
      <c r="C141" s="51"/>
      <c r="D141" s="51"/>
      <c r="E141" s="51"/>
      <c r="F141" s="51"/>
      <c r="G141" s="51"/>
      <c r="H141" s="51"/>
      <c r="I141" s="51"/>
      <c r="J141" s="91"/>
      <c r="K141" s="91"/>
      <c r="L141" s="91"/>
      <c r="M141" s="92"/>
    </row>
    <row r="142" spans="1:13" ht="15" customHeight="1" x14ac:dyDescent="0.2"/>
    <row r="143" spans="1:13" ht="15" customHeight="1" x14ac:dyDescent="0.2"/>
    <row r="144" spans="1:13" ht="15" customHeight="1" x14ac:dyDescent="0.2"/>
    <row r="145" spans="13:13" ht="15" customHeight="1" x14ac:dyDescent="0.2"/>
    <row r="146" spans="13:13" ht="15" customHeight="1" x14ac:dyDescent="0.2"/>
    <row r="147" spans="13:13" ht="15" customHeight="1" x14ac:dyDescent="0.2"/>
    <row r="148" spans="13:13" ht="15" hidden="1" customHeight="1" x14ac:dyDescent="0.2">
      <c r="M148" s="18">
        <f>MAX(K42,K45,K48,K51,K54,K57,K60,K62,K62,K63,K66,K69,K72)</f>
        <v>0</v>
      </c>
    </row>
    <row r="149" spans="13:13" ht="15" customHeight="1" x14ac:dyDescent="0.2"/>
    <row r="150" spans="13:13" ht="15" customHeight="1" x14ac:dyDescent="0.2"/>
    <row r="152" spans="13:13" ht="12.75" customHeight="1" x14ac:dyDescent="0.2"/>
    <row r="153" spans="13:13" ht="12.75" customHeight="1" x14ac:dyDescent="0.2"/>
    <row r="154" spans="13:13" ht="12.75" customHeight="1" x14ac:dyDescent="0.2"/>
    <row r="156" spans="13:13" ht="15" customHeight="1" x14ac:dyDescent="0.2"/>
    <row r="157" spans="13:13" ht="15" customHeight="1" x14ac:dyDescent="0.2"/>
    <row r="158" spans="13:13" ht="12.75" customHeight="1" x14ac:dyDescent="0.2"/>
    <row r="159" spans="13:13" ht="12.75" customHeight="1" x14ac:dyDescent="0.2"/>
    <row r="161" ht="12.75" customHeight="1" x14ac:dyDescent="0.2"/>
    <row r="162" ht="12.75" customHeight="1" x14ac:dyDescent="0.2"/>
    <row r="163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spans="1:14" ht="12.75" customHeight="1" x14ac:dyDescent="0.2"/>
    <row r="178" spans="1:14" ht="12.75" customHeight="1" x14ac:dyDescent="0.2"/>
    <row r="179" spans="1:14" ht="12.75" customHeight="1" x14ac:dyDescent="0.2"/>
    <row r="180" spans="1:14" ht="12.75" customHeight="1" x14ac:dyDescent="0.2"/>
    <row r="181" spans="1:14" ht="12.75" customHeight="1" x14ac:dyDescent="0.2"/>
    <row r="182" spans="1:14" ht="12.75" customHeight="1" x14ac:dyDescent="0.2"/>
    <row r="183" spans="1:14" ht="12.75" customHeight="1" x14ac:dyDescent="0.2"/>
    <row r="184" spans="1:14" ht="12.75" customHeight="1" x14ac:dyDescent="0.2"/>
    <row r="185" spans="1:14" ht="12.75" customHeight="1" x14ac:dyDescent="0.2"/>
    <row r="186" spans="1:14" ht="12.75" customHeight="1" x14ac:dyDescent="0.2"/>
    <row r="187" spans="1:14" ht="12.75" customHeight="1" x14ac:dyDescent="0.2"/>
    <row r="188" spans="1:14" s="56" customFormat="1" ht="14.2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25"/>
      <c r="K188" s="7"/>
      <c r="L188" s="8"/>
      <c r="M188" s="18"/>
      <c r="N188" s="8"/>
    </row>
    <row r="189" spans="1:14" s="56" customFormat="1" ht="14.2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25"/>
      <c r="K189" s="7"/>
      <c r="L189" s="8"/>
      <c r="M189" s="18"/>
      <c r="N189" s="8"/>
    </row>
    <row r="190" spans="1:14" s="56" customFormat="1" ht="12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25"/>
      <c r="K190" s="7"/>
      <c r="L190" s="8"/>
      <c r="M190" s="18"/>
      <c r="N190" s="8"/>
    </row>
    <row r="191" spans="1:14" s="56" customFormat="1" ht="14.2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25"/>
      <c r="K191" s="7"/>
      <c r="L191" s="8"/>
      <c r="M191" s="18"/>
    </row>
    <row r="192" spans="1:14" s="56" customFormat="1" ht="14.2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25"/>
      <c r="K192" s="7"/>
      <c r="L192" s="8"/>
      <c r="M192" s="18"/>
    </row>
    <row r="193" spans="1:14" s="52" customFormat="1" ht="1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25"/>
      <c r="K193" s="7"/>
      <c r="L193" s="8"/>
      <c r="M193" s="18"/>
      <c r="N193" s="56"/>
    </row>
    <row r="194" spans="1:14" s="52" customFormat="1" ht="15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25"/>
      <c r="K194" s="7"/>
      <c r="L194" s="8"/>
      <c r="M194" s="18"/>
      <c r="N194" s="56"/>
    </row>
    <row r="195" spans="1:14" s="52" customFormat="1" ht="1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25"/>
      <c r="K195" s="7"/>
      <c r="L195" s="8"/>
      <c r="M195" s="18"/>
      <c r="N195" s="56"/>
    </row>
    <row r="196" spans="1:14" ht="15" x14ac:dyDescent="0.25">
      <c r="N196" s="52"/>
    </row>
    <row r="197" spans="1:14" ht="15" x14ac:dyDescent="0.25">
      <c r="N197" s="52"/>
    </row>
    <row r="198" spans="1:14" s="52" customFormat="1" ht="15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25"/>
      <c r="K198" s="7"/>
      <c r="L198" s="8"/>
      <c r="M198" s="18"/>
    </row>
    <row r="199" spans="1:14" s="52" customFormat="1" ht="1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25"/>
      <c r="K199" s="7"/>
      <c r="L199" s="8"/>
      <c r="M199" s="18"/>
      <c r="N199" s="8"/>
    </row>
    <row r="200" spans="1:14" s="52" customFormat="1" ht="15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25"/>
      <c r="K200" s="7"/>
      <c r="L200" s="8"/>
      <c r="M200" s="18"/>
      <c r="N200" s="8"/>
    </row>
    <row r="201" spans="1:14" s="52" customFormat="1" ht="17.100000000000001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25"/>
      <c r="K201" s="7"/>
      <c r="L201" s="8"/>
      <c r="M201" s="18"/>
    </row>
    <row r="202" spans="1:14" s="52" customFormat="1" ht="17.100000000000001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25"/>
      <c r="K202" s="7"/>
      <c r="L202" s="8"/>
      <c r="M202" s="18"/>
    </row>
    <row r="203" spans="1:14" s="52" customFormat="1" ht="17.100000000000001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25"/>
      <c r="K203" s="7"/>
      <c r="L203" s="8"/>
      <c r="M203" s="18"/>
    </row>
    <row r="204" spans="1:14" s="52" customFormat="1" ht="17.100000000000001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25"/>
      <c r="K204" s="7"/>
      <c r="L204" s="8"/>
      <c r="M204" s="18"/>
    </row>
    <row r="205" spans="1:14" s="52" customFormat="1" ht="17.100000000000001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25"/>
      <c r="K205" s="7"/>
      <c r="L205" s="8"/>
      <c r="M205" s="18"/>
    </row>
    <row r="206" spans="1:14" s="52" customFormat="1" ht="17.100000000000001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25"/>
      <c r="K206" s="7"/>
      <c r="L206" s="8"/>
      <c r="M206" s="18"/>
    </row>
    <row r="207" spans="1:14" s="52" customFormat="1" ht="17.100000000000001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25"/>
      <c r="K207" s="7"/>
      <c r="L207" s="8"/>
      <c r="M207" s="18"/>
    </row>
    <row r="208" spans="1:14" s="52" customFormat="1" ht="17.100000000000001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25"/>
      <c r="K208" s="7"/>
      <c r="L208" s="8"/>
      <c r="M208" s="18"/>
    </row>
    <row r="209" spans="1:13" s="52" customFormat="1" ht="17.100000000000001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25"/>
      <c r="K209" s="7"/>
      <c r="L209" s="8"/>
      <c r="M209" s="18"/>
    </row>
    <row r="210" spans="1:13" s="52" customFormat="1" ht="17.100000000000001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25"/>
      <c r="K210" s="7"/>
      <c r="L210" s="8"/>
      <c r="M210" s="18"/>
    </row>
    <row r="211" spans="1:13" s="52" customFormat="1" ht="17.100000000000001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25"/>
      <c r="K211" s="7"/>
      <c r="L211" s="8"/>
      <c r="M211" s="18"/>
    </row>
    <row r="212" spans="1:13" s="52" customFormat="1" ht="17.100000000000001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25"/>
      <c r="K212" s="7"/>
      <c r="L212" s="8"/>
      <c r="M212" s="18"/>
    </row>
    <row r="213" spans="1:13" s="52" customFormat="1" ht="17.100000000000001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25"/>
      <c r="K213" s="7"/>
      <c r="L213" s="8"/>
      <c r="M213" s="18"/>
    </row>
    <row r="214" spans="1:13" s="52" customFormat="1" ht="17.100000000000001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25"/>
      <c r="K214" s="7"/>
      <c r="L214" s="8"/>
      <c r="M214" s="18"/>
    </row>
    <row r="215" spans="1:13" s="52" customFormat="1" ht="17.100000000000001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25"/>
      <c r="K215" s="7"/>
      <c r="L215" s="8"/>
      <c r="M215" s="18"/>
    </row>
    <row r="216" spans="1:13" s="52" customFormat="1" ht="17.100000000000001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25"/>
      <c r="K216" s="7"/>
      <c r="L216" s="8"/>
      <c r="M216" s="18"/>
    </row>
    <row r="217" spans="1:13" s="52" customFormat="1" ht="17.100000000000001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25"/>
      <c r="K217" s="7"/>
      <c r="L217" s="8"/>
      <c r="M217" s="18"/>
    </row>
    <row r="218" spans="1:13" s="52" customFormat="1" ht="17.100000000000001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25"/>
      <c r="K218" s="7"/>
      <c r="L218" s="8"/>
      <c r="M218" s="18"/>
    </row>
    <row r="219" spans="1:13" s="52" customFormat="1" ht="17.100000000000001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25"/>
      <c r="K219" s="7"/>
      <c r="L219" s="8"/>
      <c r="M219" s="18"/>
    </row>
    <row r="220" spans="1:13" s="52" customFormat="1" ht="17.100000000000001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25"/>
      <c r="K220" s="7"/>
      <c r="L220" s="8"/>
      <c r="M220" s="18"/>
    </row>
    <row r="221" spans="1:13" s="52" customFormat="1" ht="46.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25"/>
      <c r="K221" s="7"/>
      <c r="L221" s="8"/>
      <c r="M221" s="18"/>
    </row>
    <row r="222" spans="1:13" s="52" customFormat="1" ht="38.2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25"/>
      <c r="K222" s="7"/>
      <c r="L222" s="8"/>
      <c r="M222" s="18"/>
    </row>
    <row r="223" spans="1:13" s="52" customFormat="1" ht="13.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25"/>
      <c r="K223" s="7"/>
      <c r="L223" s="8"/>
      <c r="M223" s="18"/>
    </row>
    <row r="224" spans="1:13" s="52" customFormat="1" ht="13.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25"/>
      <c r="K224" s="7"/>
      <c r="L224" s="8"/>
      <c r="M224" s="18"/>
    </row>
    <row r="225" spans="1:14" ht="15" x14ac:dyDescent="0.25">
      <c r="N225" s="52"/>
    </row>
    <row r="226" spans="1:14" ht="15" x14ac:dyDescent="0.25">
      <c r="N226" s="52"/>
    </row>
    <row r="227" spans="1:14" s="52" customFormat="1" ht="1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25"/>
      <c r="K227" s="7"/>
      <c r="L227" s="8"/>
      <c r="M227" s="18"/>
    </row>
    <row r="228" spans="1:14" s="52" customFormat="1" ht="1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25"/>
      <c r="K228" s="7"/>
      <c r="L228" s="8"/>
      <c r="M228" s="18"/>
      <c r="N228" s="8"/>
    </row>
    <row r="229" spans="1:14" s="52" customFormat="1" ht="1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25"/>
      <c r="K229" s="7"/>
      <c r="L229" s="8"/>
      <c r="M229" s="18"/>
      <c r="N229" s="8"/>
    </row>
    <row r="230" spans="1:14" ht="15" x14ac:dyDescent="0.25">
      <c r="N230" s="52"/>
    </row>
    <row r="231" spans="1:14" ht="15" x14ac:dyDescent="0.25">
      <c r="N231" s="52"/>
    </row>
    <row r="232" spans="1:14" s="57" customFormat="1" ht="1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25"/>
      <c r="K232" s="7"/>
      <c r="L232" s="8"/>
      <c r="M232" s="18"/>
      <c r="N232" s="52"/>
    </row>
    <row r="233" spans="1:14" s="57" customFormat="1" ht="1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25"/>
      <c r="K233" s="7"/>
      <c r="L233" s="8"/>
      <c r="M233" s="18"/>
      <c r="N233" s="8"/>
    </row>
    <row r="234" spans="1:14" s="57" customFormat="1" ht="17.100000000000001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25"/>
      <c r="K234" s="7"/>
      <c r="L234" s="8"/>
      <c r="M234" s="18"/>
      <c r="N234" s="8"/>
    </row>
    <row r="235" spans="1:14" s="57" customFormat="1" ht="17.100000000000001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25"/>
      <c r="K235" s="7"/>
      <c r="L235" s="8"/>
      <c r="M235" s="18"/>
    </row>
    <row r="236" spans="1:14" s="57" customFormat="1" ht="17.100000000000001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25"/>
      <c r="K236" s="7"/>
      <c r="L236" s="8"/>
      <c r="M236" s="18"/>
    </row>
    <row r="237" spans="1:14" s="57" customFormat="1" ht="17.100000000000001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25"/>
      <c r="K237" s="7"/>
      <c r="L237" s="8"/>
      <c r="M237" s="18"/>
    </row>
    <row r="238" spans="1:14" s="57" customFormat="1" ht="17.100000000000001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25"/>
      <c r="K238" s="7"/>
      <c r="L238" s="8"/>
      <c r="M238" s="18"/>
    </row>
    <row r="239" spans="1:14" s="57" customFormat="1" ht="17.100000000000001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25"/>
      <c r="K239" s="7"/>
      <c r="L239" s="8"/>
      <c r="M239" s="18"/>
    </row>
    <row r="240" spans="1:14" s="57" customFormat="1" ht="17.100000000000001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25"/>
      <c r="K240" s="7"/>
      <c r="L240" s="8"/>
      <c r="M240" s="18"/>
    </row>
    <row r="241" spans="1:13" s="57" customFormat="1" ht="17.100000000000001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25"/>
      <c r="K241" s="7"/>
      <c r="L241" s="8"/>
      <c r="M241" s="18"/>
    </row>
    <row r="242" spans="1:13" s="57" customFormat="1" ht="17.100000000000001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25"/>
      <c r="K242" s="7"/>
      <c r="L242" s="8"/>
      <c r="M242" s="18"/>
    </row>
    <row r="243" spans="1:13" s="57" customFormat="1" ht="17.100000000000001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25"/>
      <c r="K243" s="7"/>
      <c r="L243" s="8"/>
      <c r="M243" s="18"/>
    </row>
    <row r="244" spans="1:13" s="57" customFormat="1" ht="17.100000000000001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25"/>
      <c r="K244" s="7"/>
      <c r="L244" s="8"/>
      <c r="M244" s="18"/>
    </row>
    <row r="245" spans="1:13" s="57" customFormat="1" ht="17.100000000000001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25"/>
      <c r="K245" s="7"/>
      <c r="L245" s="8"/>
      <c r="M245" s="18"/>
    </row>
    <row r="246" spans="1:13" s="57" customFormat="1" ht="17.100000000000001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25"/>
      <c r="K246" s="7"/>
      <c r="L246" s="8"/>
      <c r="M246" s="18"/>
    </row>
    <row r="247" spans="1:13" s="57" customFormat="1" ht="17.100000000000001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25"/>
      <c r="K247" s="7"/>
      <c r="L247" s="8"/>
      <c r="M247" s="18"/>
    </row>
    <row r="248" spans="1:13" s="57" customFormat="1" ht="17.100000000000001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25"/>
      <c r="K248" s="7"/>
      <c r="L248" s="8"/>
      <c r="M248" s="18"/>
    </row>
    <row r="249" spans="1:13" s="57" customFormat="1" ht="17.100000000000001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25"/>
      <c r="K249" s="7"/>
      <c r="L249" s="8"/>
      <c r="M249" s="18"/>
    </row>
    <row r="250" spans="1:13" s="57" customFormat="1" ht="17.100000000000001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25"/>
      <c r="K250" s="7"/>
      <c r="L250" s="8"/>
      <c r="M250" s="18"/>
    </row>
    <row r="251" spans="1:13" s="57" customFormat="1" ht="17.100000000000001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25"/>
      <c r="K251" s="7"/>
      <c r="L251" s="8"/>
      <c r="M251" s="18"/>
    </row>
    <row r="252" spans="1:13" s="57" customFormat="1" ht="17.100000000000001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25"/>
      <c r="K252" s="7"/>
      <c r="L252" s="8"/>
      <c r="M252" s="18"/>
    </row>
    <row r="253" spans="1:13" s="57" customFormat="1" ht="17.100000000000001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25"/>
      <c r="K253" s="7"/>
      <c r="L253" s="8"/>
      <c r="M253" s="18"/>
    </row>
    <row r="254" spans="1:13" s="57" customFormat="1" ht="66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25"/>
      <c r="K254" s="7"/>
      <c r="L254" s="8"/>
      <c r="M254" s="18"/>
    </row>
    <row r="255" spans="1:13" s="57" customFormat="1" ht="46.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25"/>
      <c r="K255" s="7"/>
      <c r="L255" s="8"/>
      <c r="M255" s="18"/>
    </row>
    <row r="256" spans="1:13" s="57" customFormat="1" ht="12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25"/>
      <c r="K256" s="7"/>
      <c r="L256" s="8"/>
      <c r="M256" s="18"/>
    </row>
    <row r="257" spans="1:14" s="52" customFormat="1" ht="13.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25"/>
      <c r="K257" s="7"/>
      <c r="L257" s="8"/>
      <c r="M257" s="18"/>
      <c r="N257" s="57"/>
    </row>
    <row r="258" spans="1:14" ht="15" x14ac:dyDescent="0.2">
      <c r="N258" s="57"/>
    </row>
    <row r="259" spans="1:14" s="57" customFormat="1" ht="12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25"/>
      <c r="K259" s="7"/>
      <c r="L259" s="8"/>
      <c r="M259" s="18"/>
    </row>
    <row r="260" spans="1:14" s="52" customFormat="1" ht="1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25"/>
      <c r="K260" s="7"/>
      <c r="L260" s="8"/>
      <c r="M260" s="18"/>
    </row>
    <row r="261" spans="1:14" s="52" customFormat="1" ht="1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25"/>
      <c r="K261" s="7"/>
      <c r="L261" s="8"/>
      <c r="M261" s="18"/>
      <c r="N261" s="8"/>
    </row>
    <row r="262" spans="1:14" s="52" customFormat="1" ht="1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25"/>
      <c r="K262" s="7"/>
      <c r="L262" s="8"/>
      <c r="M262" s="18"/>
      <c r="N262" s="57"/>
    </row>
    <row r="263" spans="1:14" ht="15" x14ac:dyDescent="0.25">
      <c r="N263" s="52"/>
    </row>
    <row r="264" spans="1:14" ht="15" x14ac:dyDescent="0.25">
      <c r="N264" s="52"/>
    </row>
    <row r="265" spans="1:14" ht="15" x14ac:dyDescent="0.25">
      <c r="N265" s="52"/>
    </row>
    <row r="268" spans="1:14" ht="15" customHeight="1" x14ac:dyDescent="0.2"/>
    <row r="269" spans="1:14" ht="15" customHeight="1" x14ac:dyDescent="0.2"/>
    <row r="270" spans="1:14" ht="15" customHeight="1" x14ac:dyDescent="0.2"/>
    <row r="271" spans="1:14" ht="15" customHeight="1" x14ac:dyDescent="0.2"/>
    <row r="274" ht="12.75" customHeight="1" x14ac:dyDescent="0.2"/>
    <row r="277" ht="15" customHeight="1" x14ac:dyDescent="0.2"/>
    <row r="278" ht="15" customHeight="1" x14ac:dyDescent="0.2"/>
    <row r="284" ht="15" customHeight="1" x14ac:dyDescent="0.2"/>
    <row r="285" ht="15" customHeight="1" x14ac:dyDescent="0.2"/>
    <row r="288" ht="12.7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</sheetData>
  <sheetProtection sheet="1" selectLockedCells="1"/>
  <mergeCells count="105">
    <mergeCell ref="B7:G7"/>
    <mergeCell ref="B8:G8"/>
    <mergeCell ref="H8:K8"/>
    <mergeCell ref="B10:G10"/>
    <mergeCell ref="B11:G11"/>
    <mergeCell ref="H11:M11"/>
    <mergeCell ref="A1:M1"/>
    <mergeCell ref="A2:M2"/>
    <mergeCell ref="A3:B3"/>
    <mergeCell ref="C3:D3"/>
    <mergeCell ref="B5:G5"/>
    <mergeCell ref="B20:G20"/>
    <mergeCell ref="H20:K20"/>
    <mergeCell ref="B22:G22"/>
    <mergeCell ref="B23:G23"/>
    <mergeCell ref="H23:J23"/>
    <mergeCell ref="B25:G25"/>
    <mergeCell ref="B13:G13"/>
    <mergeCell ref="B14:G14"/>
    <mergeCell ref="B16:G16"/>
    <mergeCell ref="B17:G17"/>
    <mergeCell ref="H17:K17"/>
    <mergeCell ref="B19:G19"/>
    <mergeCell ref="B32:G32"/>
    <mergeCell ref="H32:K32"/>
    <mergeCell ref="B34:G34"/>
    <mergeCell ref="B35:G35"/>
    <mergeCell ref="H35:J35"/>
    <mergeCell ref="B37:G37"/>
    <mergeCell ref="B26:G26"/>
    <mergeCell ref="H26:K26"/>
    <mergeCell ref="B28:G28"/>
    <mergeCell ref="B29:G29"/>
    <mergeCell ref="H29:J29"/>
    <mergeCell ref="B31:G31"/>
    <mergeCell ref="B46:G46"/>
    <mergeCell ref="B48:G48"/>
    <mergeCell ref="B49:G49"/>
    <mergeCell ref="B51:G51"/>
    <mergeCell ref="B52:G52"/>
    <mergeCell ref="B54:G54"/>
    <mergeCell ref="B38:G38"/>
    <mergeCell ref="H38:J38"/>
    <mergeCell ref="B40:G40"/>
    <mergeCell ref="B42:G42"/>
    <mergeCell ref="B43:G43"/>
    <mergeCell ref="B45:G45"/>
    <mergeCell ref="B64:G64"/>
    <mergeCell ref="B66:G66"/>
    <mergeCell ref="B67:G67"/>
    <mergeCell ref="B69:G69"/>
    <mergeCell ref="B70:G70"/>
    <mergeCell ref="B72:G72"/>
    <mergeCell ref="B55:G55"/>
    <mergeCell ref="B57:G57"/>
    <mergeCell ref="B58:G58"/>
    <mergeCell ref="B60:G60"/>
    <mergeCell ref="B61:G61"/>
    <mergeCell ref="B63:G63"/>
    <mergeCell ref="B109:G109"/>
    <mergeCell ref="B105:G105"/>
    <mergeCell ref="B85:G85"/>
    <mergeCell ref="B86:G86"/>
    <mergeCell ref="B88:G88"/>
    <mergeCell ref="B89:G89"/>
    <mergeCell ref="B73:G73"/>
    <mergeCell ref="B75:J75"/>
    <mergeCell ref="B79:G79"/>
    <mergeCell ref="B80:G80"/>
    <mergeCell ref="B82:G82"/>
    <mergeCell ref="B83:G83"/>
    <mergeCell ref="B100:G100"/>
    <mergeCell ref="B101:G101"/>
    <mergeCell ref="B103:G103"/>
    <mergeCell ref="B106:G106"/>
    <mergeCell ref="B107:G107"/>
    <mergeCell ref="B91:G91"/>
    <mergeCell ref="B92:G92"/>
    <mergeCell ref="B93:G93"/>
    <mergeCell ref="B95:G95"/>
    <mergeCell ref="B97:G97"/>
    <mergeCell ref="B98:G98"/>
    <mergeCell ref="J136:M136"/>
    <mergeCell ref="J137:M137"/>
    <mergeCell ref="C138:K138"/>
    <mergeCell ref="A140:H140"/>
    <mergeCell ref="J140:M140"/>
    <mergeCell ref="J141:M141"/>
    <mergeCell ref="B126:G126"/>
    <mergeCell ref="B127:G127"/>
    <mergeCell ref="B129:G129"/>
    <mergeCell ref="B130:G130"/>
    <mergeCell ref="B133:G133"/>
    <mergeCell ref="A136:H136"/>
    <mergeCell ref="B118:G118"/>
    <mergeCell ref="B119:G119"/>
    <mergeCell ref="B121:G121"/>
    <mergeCell ref="B123:G123"/>
    <mergeCell ref="B124:G124"/>
    <mergeCell ref="B110:G110"/>
    <mergeCell ref="B111:G111"/>
    <mergeCell ref="B114:G114"/>
    <mergeCell ref="B115:G115"/>
    <mergeCell ref="B113:G113"/>
    <mergeCell ref="B117:G117"/>
  </mergeCells>
  <printOptions horizontalCentered="1" verticalCentered="1"/>
  <pageMargins left="0.5" right="0.5" top="1.0569852941176501" bottom="1" header="0.66562445319335095" footer="0.3"/>
  <pageSetup scale="66" orientation="portrait" r:id="rId1"/>
  <headerFooter>
    <oddHeader>&amp;R&amp;"Times New Roman,Regular"Exhibit to Solicitation No. FA520926Q0021&amp;K000000
Page &amp;P of &amp;N
Approved effective upon contract award</oddHeader>
    <oddFooter>&amp;C&amp;16&amp;KFF0000CONTROLLED UNCLASSIFIED INFORMATION</oddFooter>
  </headerFooter>
  <rowBreaks count="1" manualBreakCount="1">
    <brk id="75" max="1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246B-B73E-47DB-AE48-7BD8BEB6FE86}">
  <dimension ref="A1:Q294"/>
  <sheetViews>
    <sheetView showGridLines="0" view="pageBreakPreview" zoomScaleNormal="100" zoomScaleSheetLayoutView="100" zoomScalePageLayoutView="85" workbookViewId="0">
      <selection activeCell="K13" sqref="K13"/>
    </sheetView>
  </sheetViews>
  <sheetFormatPr defaultColWidth="9.28515625" defaultRowHeight="12.75" x14ac:dyDescent="0.2"/>
  <cols>
    <col min="1" max="1" width="6.7109375" style="8" customWidth="1"/>
    <col min="2" max="2" width="8.7109375" style="8" customWidth="1"/>
    <col min="3" max="6" width="9.7109375" style="8" customWidth="1"/>
    <col min="7" max="7" width="25.7109375" style="8" customWidth="1"/>
    <col min="8" max="8" width="8.7109375" style="8" customWidth="1"/>
    <col min="9" max="9" width="4.7109375" style="8" customWidth="1"/>
    <col min="10" max="10" width="2.7109375" style="25" customWidth="1"/>
    <col min="11" max="11" width="10.7109375" style="7" customWidth="1"/>
    <col min="12" max="12" width="2.7109375" style="8" customWidth="1"/>
    <col min="13" max="13" width="12.7109375" style="18" customWidth="1"/>
    <col min="14" max="16" width="7.7109375" style="8" customWidth="1"/>
    <col min="17" max="17" width="8.140625" style="8" bestFit="1" customWidth="1"/>
    <col min="18" max="16384" width="9.28515625" style="8"/>
  </cols>
  <sheetData>
    <row r="1" spans="1:17" ht="15.75" customHeight="1" x14ac:dyDescent="0.2">
      <c r="A1" s="73" t="s">
        <v>66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7" ht="15.75" customHeight="1" x14ac:dyDescent="0.2">
      <c r="A2" s="80" t="s">
        <v>320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</row>
    <row r="3" spans="1:17" s="14" customFormat="1" ht="12.75" customHeight="1" x14ac:dyDescent="0.2">
      <c r="A3" s="74" t="s">
        <v>6</v>
      </c>
      <c r="B3" s="74"/>
      <c r="C3" s="75" t="s">
        <v>0</v>
      </c>
      <c r="D3" s="75"/>
      <c r="E3" s="9"/>
      <c r="F3" s="9"/>
      <c r="G3" s="9"/>
      <c r="H3" s="10" t="s">
        <v>7</v>
      </c>
      <c r="I3" s="11" t="s">
        <v>1</v>
      </c>
      <c r="J3" s="12"/>
      <c r="K3" s="61" t="s">
        <v>24</v>
      </c>
      <c r="L3" s="13"/>
      <c r="M3" s="10" t="s">
        <v>48</v>
      </c>
    </row>
    <row r="4" spans="1:17" x14ac:dyDescent="0.2">
      <c r="A4" s="15"/>
      <c r="B4" s="16"/>
      <c r="C4" s="16"/>
      <c r="D4" s="16"/>
      <c r="E4" s="16"/>
      <c r="F4" s="16"/>
      <c r="G4" s="16"/>
      <c r="H4" s="16"/>
      <c r="I4" s="16"/>
      <c r="J4" s="17"/>
      <c r="K4" s="16"/>
      <c r="L4" s="16"/>
    </row>
    <row r="5" spans="1:17" x14ac:dyDescent="0.2">
      <c r="A5" s="19" t="s">
        <v>157</v>
      </c>
      <c r="B5" s="76" t="s">
        <v>262</v>
      </c>
      <c r="C5" s="76"/>
      <c r="D5" s="76"/>
      <c r="E5" s="76"/>
      <c r="F5" s="76"/>
      <c r="G5" s="76"/>
      <c r="H5" s="16"/>
      <c r="I5" s="16"/>
      <c r="J5" s="17"/>
      <c r="K5" s="16"/>
      <c r="L5" s="16"/>
    </row>
    <row r="6" spans="1:17" x14ac:dyDescent="0.2">
      <c r="A6" s="19"/>
      <c r="B6" s="65"/>
      <c r="C6" s="65"/>
      <c r="D6" s="65"/>
      <c r="E6" s="65"/>
      <c r="F6" s="65"/>
      <c r="G6" s="65"/>
      <c r="H6" s="16"/>
      <c r="I6" s="16"/>
      <c r="J6" s="17"/>
      <c r="K6" s="16"/>
      <c r="L6" s="16"/>
    </row>
    <row r="7" spans="1:17" x14ac:dyDescent="0.2">
      <c r="A7" s="20" t="s">
        <v>158</v>
      </c>
      <c r="B7" s="77" t="s">
        <v>287</v>
      </c>
      <c r="C7" s="77"/>
      <c r="D7" s="77"/>
      <c r="E7" s="77"/>
      <c r="F7" s="77"/>
      <c r="G7" s="77"/>
      <c r="H7" s="4">
        <v>9990</v>
      </c>
      <c r="I7" s="21" t="s">
        <v>45</v>
      </c>
      <c r="J7" s="22" t="s">
        <v>3</v>
      </c>
      <c r="K7" s="66"/>
      <c r="L7" s="22" t="s">
        <v>3</v>
      </c>
      <c r="M7" s="1">
        <f>H7*K7</f>
        <v>0</v>
      </c>
      <c r="Q7" s="23"/>
    </row>
    <row r="8" spans="1:17" ht="12.75" customHeight="1" x14ac:dyDescent="0.2">
      <c r="A8" s="20"/>
      <c r="B8" s="78" t="s">
        <v>248</v>
      </c>
      <c r="C8" s="78"/>
      <c r="D8" s="78"/>
      <c r="E8" s="78"/>
      <c r="F8" s="78"/>
      <c r="G8" s="78"/>
      <c r="H8" s="79"/>
      <c r="I8" s="79"/>
      <c r="J8" s="79"/>
      <c r="K8" s="79"/>
      <c r="L8" s="2"/>
      <c r="M8" s="2"/>
      <c r="Q8" s="23"/>
    </row>
    <row r="9" spans="1:17" ht="12.75" customHeight="1" x14ac:dyDescent="0.2">
      <c r="A9" s="20"/>
      <c r="B9" s="63"/>
      <c r="C9" s="63"/>
      <c r="D9" s="63"/>
      <c r="E9" s="63"/>
      <c r="F9" s="63"/>
      <c r="G9" s="63"/>
      <c r="H9" s="24"/>
      <c r="I9" s="21"/>
      <c r="K9" s="26"/>
      <c r="L9" s="2"/>
      <c r="M9" s="2"/>
      <c r="Q9" s="23"/>
    </row>
    <row r="10" spans="1:17" x14ac:dyDescent="0.2">
      <c r="A10" s="20" t="s">
        <v>159</v>
      </c>
      <c r="B10" s="77" t="s">
        <v>288</v>
      </c>
      <c r="C10" s="77"/>
      <c r="D10" s="77"/>
      <c r="E10" s="77"/>
      <c r="F10" s="77"/>
      <c r="G10" s="77"/>
      <c r="H10" s="4">
        <v>20029</v>
      </c>
      <c r="I10" s="21" t="s">
        <v>45</v>
      </c>
      <c r="J10" s="22" t="s">
        <v>3</v>
      </c>
      <c r="K10" s="66"/>
      <c r="L10" s="22" t="s">
        <v>3</v>
      </c>
      <c r="M10" s="1">
        <f>H10*K10</f>
        <v>0</v>
      </c>
      <c r="Q10" s="23"/>
    </row>
    <row r="11" spans="1:17" ht="12.75" customHeight="1" x14ac:dyDescent="0.2">
      <c r="A11" s="20"/>
      <c r="B11" s="78" t="s">
        <v>248</v>
      </c>
      <c r="C11" s="78"/>
      <c r="D11" s="78"/>
      <c r="E11" s="78"/>
      <c r="F11" s="78"/>
      <c r="G11" s="78"/>
      <c r="H11" s="79"/>
      <c r="I11" s="79"/>
      <c r="J11" s="79"/>
      <c r="K11" s="79"/>
      <c r="L11" s="79"/>
      <c r="M11" s="79"/>
      <c r="Q11" s="23"/>
    </row>
    <row r="12" spans="1:17" ht="12.75" customHeight="1" x14ac:dyDescent="0.2">
      <c r="A12" s="20"/>
      <c r="B12" s="63"/>
      <c r="C12" s="63"/>
      <c r="D12" s="63"/>
      <c r="E12" s="63"/>
      <c r="F12" s="63"/>
      <c r="G12" s="63"/>
      <c r="H12" s="24"/>
      <c r="I12" s="21"/>
      <c r="K12" s="26"/>
      <c r="L12" s="2"/>
      <c r="M12" s="2"/>
      <c r="Q12" s="23"/>
    </row>
    <row r="13" spans="1:17" x14ac:dyDescent="0.2">
      <c r="A13" s="20" t="s">
        <v>160</v>
      </c>
      <c r="B13" s="77" t="s">
        <v>289</v>
      </c>
      <c r="C13" s="77"/>
      <c r="D13" s="77"/>
      <c r="E13" s="77"/>
      <c r="F13" s="77"/>
      <c r="G13" s="77"/>
      <c r="H13" s="4">
        <v>37135</v>
      </c>
      <c r="I13" s="21" t="s">
        <v>45</v>
      </c>
      <c r="J13" s="22" t="s">
        <v>3</v>
      </c>
      <c r="K13" s="66"/>
      <c r="L13" s="22" t="s">
        <v>3</v>
      </c>
      <c r="M13" s="1">
        <f>H13*K13</f>
        <v>0</v>
      </c>
      <c r="Q13" s="23"/>
    </row>
    <row r="14" spans="1:17" ht="12.75" customHeight="1" x14ac:dyDescent="0.2">
      <c r="A14" s="20"/>
      <c r="B14" s="78" t="s">
        <v>248</v>
      </c>
      <c r="C14" s="78"/>
      <c r="D14" s="78"/>
      <c r="E14" s="78"/>
      <c r="F14" s="78"/>
      <c r="G14" s="78"/>
      <c r="H14" s="27"/>
      <c r="I14" s="27"/>
      <c r="J14" s="27"/>
      <c r="K14" s="27"/>
      <c r="L14" s="2"/>
      <c r="M14" s="2"/>
      <c r="Q14" s="23"/>
    </row>
    <row r="15" spans="1:17" ht="12.75" customHeight="1" x14ac:dyDescent="0.2">
      <c r="A15" s="20"/>
      <c r="B15" s="63"/>
      <c r="C15" s="63"/>
      <c r="D15" s="63"/>
      <c r="E15" s="63"/>
      <c r="F15" s="63"/>
      <c r="G15" s="63"/>
      <c r="H15" s="24"/>
      <c r="I15" s="21"/>
      <c r="K15" s="26"/>
      <c r="L15" s="2"/>
      <c r="M15" s="2"/>
      <c r="Q15" s="23"/>
    </row>
    <row r="16" spans="1:17" x14ac:dyDescent="0.2">
      <c r="A16" s="20" t="s">
        <v>161</v>
      </c>
      <c r="B16" s="77" t="s">
        <v>290</v>
      </c>
      <c r="C16" s="77"/>
      <c r="D16" s="77"/>
      <c r="E16" s="77"/>
      <c r="F16" s="77"/>
      <c r="G16" s="77"/>
      <c r="H16" s="4">
        <v>3020</v>
      </c>
      <c r="I16" s="21" t="s">
        <v>45</v>
      </c>
      <c r="J16" s="22" t="s">
        <v>3</v>
      </c>
      <c r="K16" s="66"/>
      <c r="L16" s="22" t="s">
        <v>3</v>
      </c>
      <c r="M16" s="1">
        <f>H16*K16</f>
        <v>0</v>
      </c>
      <c r="Q16" s="23"/>
    </row>
    <row r="17" spans="1:17" ht="12.75" customHeight="1" x14ac:dyDescent="0.2">
      <c r="A17" s="20"/>
      <c r="B17" s="78" t="s">
        <v>248</v>
      </c>
      <c r="C17" s="78"/>
      <c r="D17" s="78"/>
      <c r="E17" s="78"/>
      <c r="F17" s="78"/>
      <c r="G17" s="78"/>
      <c r="H17" s="79"/>
      <c r="I17" s="79"/>
      <c r="J17" s="79"/>
      <c r="K17" s="79"/>
      <c r="L17" s="2"/>
      <c r="M17" s="2"/>
      <c r="Q17" s="23"/>
    </row>
    <row r="18" spans="1:17" ht="12.75" customHeight="1" x14ac:dyDescent="0.2">
      <c r="A18" s="20"/>
      <c r="B18" s="63"/>
      <c r="C18" s="63"/>
      <c r="D18" s="63"/>
      <c r="E18" s="63"/>
      <c r="F18" s="63"/>
      <c r="G18" s="63"/>
      <c r="H18" s="24"/>
      <c r="I18" s="21"/>
      <c r="K18" s="26"/>
      <c r="L18" s="2"/>
      <c r="M18" s="2"/>
      <c r="Q18" s="23"/>
    </row>
    <row r="19" spans="1:17" x14ac:dyDescent="0.2">
      <c r="A19" s="20" t="s">
        <v>162</v>
      </c>
      <c r="B19" s="77" t="s">
        <v>291</v>
      </c>
      <c r="C19" s="77"/>
      <c r="D19" s="77"/>
      <c r="E19" s="77"/>
      <c r="F19" s="77"/>
      <c r="G19" s="77"/>
      <c r="H19" s="4">
        <v>3528</v>
      </c>
      <c r="I19" s="21" t="s">
        <v>45</v>
      </c>
      <c r="J19" s="22" t="s">
        <v>3</v>
      </c>
      <c r="K19" s="66"/>
      <c r="L19" s="22" t="s">
        <v>3</v>
      </c>
      <c r="M19" s="1">
        <f>H19*K19</f>
        <v>0</v>
      </c>
      <c r="Q19" s="23"/>
    </row>
    <row r="20" spans="1:17" ht="12.75" customHeight="1" x14ac:dyDescent="0.2">
      <c r="A20" s="20"/>
      <c r="B20" s="78" t="s">
        <v>248</v>
      </c>
      <c r="C20" s="78"/>
      <c r="D20" s="78"/>
      <c r="E20" s="78"/>
      <c r="F20" s="78"/>
      <c r="G20" s="78"/>
      <c r="H20" s="79"/>
      <c r="I20" s="79"/>
      <c r="J20" s="79"/>
      <c r="K20" s="79"/>
      <c r="L20" s="2"/>
      <c r="M20" s="2"/>
      <c r="Q20" s="23"/>
    </row>
    <row r="21" spans="1:17" ht="12.75" customHeight="1" x14ac:dyDescent="0.2">
      <c r="A21" s="20"/>
      <c r="B21" s="63"/>
      <c r="C21" s="63"/>
      <c r="D21" s="63"/>
      <c r="E21" s="63"/>
      <c r="F21" s="63"/>
      <c r="G21" s="63"/>
      <c r="H21" s="24"/>
      <c r="I21" s="21"/>
      <c r="K21" s="26"/>
      <c r="L21" s="2"/>
      <c r="M21" s="2"/>
      <c r="Q21" s="23"/>
    </row>
    <row r="22" spans="1:17" x14ac:dyDescent="0.2">
      <c r="A22" s="20" t="s">
        <v>163</v>
      </c>
      <c r="B22" s="77" t="s">
        <v>292</v>
      </c>
      <c r="C22" s="77"/>
      <c r="D22" s="77"/>
      <c r="E22" s="77"/>
      <c r="F22" s="77"/>
      <c r="G22" s="77"/>
      <c r="H22" s="4">
        <v>790</v>
      </c>
      <c r="I22" s="21" t="s">
        <v>45</v>
      </c>
      <c r="J22" s="22" t="s">
        <v>3</v>
      </c>
      <c r="K22" s="66"/>
      <c r="L22" s="22" t="s">
        <v>3</v>
      </c>
      <c r="M22" s="1">
        <f>H22*K22</f>
        <v>0</v>
      </c>
      <c r="Q22" s="23"/>
    </row>
    <row r="23" spans="1:17" ht="12.75" customHeight="1" x14ac:dyDescent="0.2">
      <c r="A23" s="20"/>
      <c r="B23" s="78" t="s">
        <v>248</v>
      </c>
      <c r="C23" s="78"/>
      <c r="D23" s="78"/>
      <c r="E23" s="78"/>
      <c r="F23" s="78"/>
      <c r="G23" s="78"/>
      <c r="H23" s="79"/>
      <c r="I23" s="79"/>
      <c r="J23" s="79"/>
      <c r="K23" s="26"/>
      <c r="L23" s="2"/>
      <c r="M23" s="2"/>
      <c r="Q23" s="23"/>
    </row>
    <row r="24" spans="1:17" ht="12.75" customHeight="1" x14ac:dyDescent="0.2">
      <c r="A24" s="20"/>
      <c r="B24" s="63"/>
      <c r="C24" s="63"/>
      <c r="D24" s="63"/>
      <c r="E24" s="63"/>
      <c r="F24" s="63"/>
      <c r="G24" s="63"/>
      <c r="H24" s="24"/>
      <c r="I24" s="21"/>
      <c r="K24" s="26"/>
      <c r="L24" s="2"/>
      <c r="M24" s="2"/>
      <c r="Q24" s="23"/>
    </row>
    <row r="25" spans="1:17" x14ac:dyDescent="0.2">
      <c r="A25" s="20" t="s">
        <v>164</v>
      </c>
      <c r="B25" s="77" t="s">
        <v>293</v>
      </c>
      <c r="C25" s="77"/>
      <c r="D25" s="77"/>
      <c r="E25" s="77"/>
      <c r="F25" s="77"/>
      <c r="G25" s="77"/>
      <c r="H25" s="4">
        <v>7413</v>
      </c>
      <c r="I25" s="21" t="s">
        <v>45</v>
      </c>
      <c r="J25" s="22" t="s">
        <v>3</v>
      </c>
      <c r="K25" s="66"/>
      <c r="L25" s="22" t="s">
        <v>3</v>
      </c>
      <c r="M25" s="1">
        <f>H25*K25</f>
        <v>0</v>
      </c>
      <c r="Q25" s="23"/>
    </row>
    <row r="26" spans="1:17" ht="12.75" customHeight="1" x14ac:dyDescent="0.2">
      <c r="A26" s="20"/>
      <c r="B26" s="78" t="s">
        <v>248</v>
      </c>
      <c r="C26" s="78"/>
      <c r="D26" s="78"/>
      <c r="E26" s="78"/>
      <c r="F26" s="78"/>
      <c r="G26" s="78"/>
      <c r="H26" s="79"/>
      <c r="I26" s="79"/>
      <c r="J26" s="79"/>
      <c r="K26" s="79"/>
      <c r="L26" s="2"/>
      <c r="M26" s="2"/>
      <c r="Q26" s="23"/>
    </row>
    <row r="27" spans="1:17" ht="12.75" customHeight="1" x14ac:dyDescent="0.2">
      <c r="A27" s="20"/>
      <c r="B27" s="63"/>
      <c r="C27" s="63"/>
      <c r="D27" s="63"/>
      <c r="E27" s="63"/>
      <c r="F27" s="63"/>
      <c r="G27" s="63"/>
      <c r="H27" s="24"/>
      <c r="I27" s="21"/>
      <c r="K27" s="26"/>
      <c r="L27" s="2"/>
      <c r="M27" s="2"/>
      <c r="Q27" s="23"/>
    </row>
    <row r="28" spans="1:17" x14ac:dyDescent="0.2">
      <c r="A28" s="20" t="s">
        <v>165</v>
      </c>
      <c r="B28" s="77" t="s">
        <v>294</v>
      </c>
      <c r="C28" s="77"/>
      <c r="D28" s="77"/>
      <c r="E28" s="77"/>
      <c r="F28" s="77"/>
      <c r="G28" s="77"/>
      <c r="H28" s="4">
        <v>237</v>
      </c>
      <c r="I28" s="21" t="s">
        <v>45</v>
      </c>
      <c r="J28" s="22" t="s">
        <v>3</v>
      </c>
      <c r="K28" s="66"/>
      <c r="L28" s="22" t="s">
        <v>3</v>
      </c>
      <c r="M28" s="1">
        <f>H28*K28</f>
        <v>0</v>
      </c>
      <c r="Q28" s="23"/>
    </row>
    <row r="29" spans="1:17" ht="12.75" customHeight="1" x14ac:dyDescent="0.2">
      <c r="A29" s="20"/>
      <c r="B29" s="78" t="s">
        <v>248</v>
      </c>
      <c r="C29" s="78"/>
      <c r="D29" s="78"/>
      <c r="E29" s="78"/>
      <c r="F29" s="78"/>
      <c r="G29" s="78"/>
      <c r="H29" s="79"/>
      <c r="I29" s="79"/>
      <c r="J29" s="79"/>
      <c r="K29" s="26"/>
      <c r="L29" s="2"/>
      <c r="M29" s="2"/>
      <c r="Q29" s="23"/>
    </row>
    <row r="30" spans="1:17" ht="12.75" customHeight="1" x14ac:dyDescent="0.2">
      <c r="A30" s="20"/>
      <c r="B30" s="63"/>
      <c r="C30" s="63"/>
      <c r="D30" s="63"/>
      <c r="E30" s="63"/>
      <c r="F30" s="63"/>
      <c r="G30" s="63"/>
      <c r="H30" s="24"/>
      <c r="I30" s="21"/>
      <c r="K30" s="26"/>
      <c r="L30" s="2"/>
      <c r="M30" s="2"/>
      <c r="Q30" s="23"/>
    </row>
    <row r="31" spans="1:17" x14ac:dyDescent="0.2">
      <c r="A31" s="20" t="s">
        <v>166</v>
      </c>
      <c r="B31" s="77" t="s">
        <v>295</v>
      </c>
      <c r="C31" s="77"/>
      <c r="D31" s="77"/>
      <c r="E31" s="77"/>
      <c r="F31" s="77"/>
      <c r="G31" s="77"/>
      <c r="H31" s="4">
        <v>24550</v>
      </c>
      <c r="I31" s="21" t="s">
        <v>45</v>
      </c>
      <c r="J31" s="22" t="s">
        <v>3</v>
      </c>
      <c r="K31" s="66"/>
      <c r="L31" s="22" t="s">
        <v>3</v>
      </c>
      <c r="M31" s="1">
        <f>H31*K31</f>
        <v>0</v>
      </c>
      <c r="Q31" s="23"/>
    </row>
    <row r="32" spans="1:17" ht="12.75" customHeight="1" x14ac:dyDescent="0.2">
      <c r="A32" s="20"/>
      <c r="B32" s="78" t="s">
        <v>248</v>
      </c>
      <c r="C32" s="78"/>
      <c r="D32" s="78"/>
      <c r="E32" s="78"/>
      <c r="F32" s="78"/>
      <c r="G32" s="78"/>
      <c r="H32" s="79"/>
      <c r="I32" s="79"/>
      <c r="J32" s="79"/>
      <c r="K32" s="79"/>
      <c r="L32" s="2"/>
      <c r="M32" s="2"/>
      <c r="Q32" s="23"/>
    </row>
    <row r="33" spans="1:17" ht="12.75" customHeight="1" x14ac:dyDescent="0.2">
      <c r="A33" s="20"/>
      <c r="B33" s="63"/>
      <c r="C33" s="63"/>
      <c r="D33" s="63"/>
      <c r="E33" s="63"/>
      <c r="F33" s="63"/>
      <c r="G33" s="63"/>
      <c r="H33" s="24"/>
      <c r="I33" s="21"/>
      <c r="K33" s="26"/>
      <c r="L33" s="2"/>
      <c r="M33" s="2"/>
      <c r="Q33" s="23"/>
    </row>
    <row r="34" spans="1:17" x14ac:dyDescent="0.2">
      <c r="A34" s="20" t="s">
        <v>167</v>
      </c>
      <c r="B34" s="77" t="s">
        <v>296</v>
      </c>
      <c r="C34" s="77"/>
      <c r="D34" s="77"/>
      <c r="E34" s="77"/>
      <c r="F34" s="77"/>
      <c r="G34" s="77"/>
      <c r="H34" s="4">
        <v>24000</v>
      </c>
      <c r="I34" s="21" t="s">
        <v>45</v>
      </c>
      <c r="J34" s="58" t="s">
        <v>3</v>
      </c>
      <c r="K34" s="59"/>
      <c r="L34" s="58" t="s">
        <v>3</v>
      </c>
      <c r="M34" s="60">
        <f>H34*K34</f>
        <v>0</v>
      </c>
      <c r="Q34" s="23"/>
    </row>
    <row r="35" spans="1:17" ht="12.75" customHeight="1" x14ac:dyDescent="0.2">
      <c r="A35" s="20"/>
      <c r="B35" s="78" t="s">
        <v>248</v>
      </c>
      <c r="C35" s="78"/>
      <c r="D35" s="78"/>
      <c r="E35" s="78"/>
      <c r="F35" s="78"/>
      <c r="G35" s="78"/>
      <c r="H35" s="79"/>
      <c r="I35" s="79"/>
      <c r="J35" s="79"/>
      <c r="K35" s="26"/>
      <c r="L35" s="2"/>
      <c r="M35" s="2"/>
    </row>
    <row r="36" spans="1:17" ht="12.75" customHeight="1" x14ac:dyDescent="0.2">
      <c r="A36" s="20"/>
      <c r="B36" s="63"/>
      <c r="C36" s="63"/>
      <c r="D36" s="63"/>
      <c r="E36" s="63"/>
      <c r="F36" s="63"/>
      <c r="G36" s="63"/>
      <c r="H36" s="64"/>
      <c r="I36" s="64"/>
      <c r="J36" s="64"/>
      <c r="K36" s="26"/>
      <c r="L36" s="2"/>
      <c r="M36" s="2"/>
    </row>
    <row r="37" spans="1:17" x14ac:dyDescent="0.2">
      <c r="A37" s="20" t="s">
        <v>168</v>
      </c>
      <c r="B37" s="77" t="s">
        <v>297</v>
      </c>
      <c r="C37" s="77"/>
      <c r="D37" s="77"/>
      <c r="E37" s="77"/>
      <c r="F37" s="77"/>
      <c r="G37" s="77"/>
      <c r="H37" s="4">
        <v>4365</v>
      </c>
      <c r="I37" s="21" t="s">
        <v>45</v>
      </c>
      <c r="J37" s="22" t="s">
        <v>3</v>
      </c>
      <c r="K37" s="66"/>
      <c r="L37" s="22" t="s">
        <v>3</v>
      </c>
      <c r="M37" s="1">
        <f>H37*K37</f>
        <v>0</v>
      </c>
      <c r="Q37" s="23"/>
    </row>
    <row r="38" spans="1:17" ht="12.75" customHeight="1" x14ac:dyDescent="0.2">
      <c r="A38" s="20"/>
      <c r="B38" s="78" t="s">
        <v>249</v>
      </c>
      <c r="C38" s="78"/>
      <c r="D38" s="78"/>
      <c r="E38" s="78"/>
      <c r="F38" s="78"/>
      <c r="G38" s="78"/>
      <c r="H38" s="79"/>
      <c r="I38" s="79"/>
      <c r="J38" s="79"/>
      <c r="K38" s="26"/>
      <c r="L38" s="2"/>
      <c r="M38" s="2"/>
    </row>
    <row r="39" spans="1:17" ht="12.75" customHeight="1" x14ac:dyDescent="0.2">
      <c r="A39" s="20"/>
      <c r="B39" s="63"/>
      <c r="C39" s="63"/>
      <c r="D39" s="63"/>
      <c r="E39" s="63"/>
      <c r="F39" s="63"/>
      <c r="G39" s="63"/>
      <c r="H39" s="64"/>
      <c r="I39" s="64"/>
      <c r="J39" s="64"/>
      <c r="K39" s="26"/>
      <c r="L39" s="2"/>
      <c r="M39" s="2"/>
    </row>
    <row r="40" spans="1:17" ht="12.75" customHeight="1" x14ac:dyDescent="0.2">
      <c r="A40" s="28" t="s">
        <v>169</v>
      </c>
      <c r="B40" s="81" t="s">
        <v>263</v>
      </c>
      <c r="C40" s="81"/>
      <c r="D40" s="81"/>
      <c r="E40" s="81"/>
      <c r="F40" s="81"/>
      <c r="G40" s="81"/>
      <c r="H40" s="24"/>
      <c r="I40" s="21"/>
      <c r="K40" s="26"/>
      <c r="L40" s="2"/>
      <c r="M40" s="2"/>
    </row>
    <row r="41" spans="1:17" ht="12.75" customHeight="1" x14ac:dyDescent="0.2">
      <c r="A41" s="28"/>
      <c r="B41" s="71"/>
      <c r="C41" s="71"/>
      <c r="D41" s="71"/>
      <c r="E41" s="71"/>
      <c r="F41" s="71"/>
      <c r="G41" s="71"/>
      <c r="H41" s="24"/>
      <c r="I41" s="21"/>
      <c r="K41" s="26"/>
      <c r="L41" s="2"/>
      <c r="M41" s="2"/>
    </row>
    <row r="42" spans="1:17" x14ac:dyDescent="0.2">
      <c r="A42" s="20" t="s">
        <v>170</v>
      </c>
      <c r="B42" s="77" t="s">
        <v>267</v>
      </c>
      <c r="C42" s="77"/>
      <c r="D42" s="77"/>
      <c r="E42" s="77"/>
      <c r="F42" s="77"/>
      <c r="G42" s="77"/>
      <c r="H42" s="4">
        <v>402</v>
      </c>
      <c r="I42" s="21" t="s">
        <v>8</v>
      </c>
      <c r="J42" s="22" t="s">
        <v>3</v>
      </c>
      <c r="K42" s="66"/>
      <c r="L42" s="22" t="s">
        <v>3</v>
      </c>
      <c r="M42" s="1">
        <f>H42*K42</f>
        <v>0</v>
      </c>
      <c r="O42" s="29"/>
      <c r="Q42" s="23"/>
    </row>
    <row r="43" spans="1:17" ht="12.75" customHeight="1" x14ac:dyDescent="0.2">
      <c r="A43" s="20"/>
      <c r="B43" s="78" t="s">
        <v>248</v>
      </c>
      <c r="C43" s="78"/>
      <c r="D43" s="78"/>
      <c r="E43" s="78"/>
      <c r="F43" s="78"/>
      <c r="G43" s="78"/>
      <c r="H43" s="24"/>
      <c r="I43" s="21"/>
      <c r="K43" s="26"/>
      <c r="L43" s="2"/>
      <c r="M43" s="2"/>
      <c r="Q43" s="23"/>
    </row>
    <row r="44" spans="1:17" ht="12.75" customHeight="1" x14ac:dyDescent="0.2">
      <c r="A44" s="20"/>
      <c r="B44" s="63"/>
      <c r="C44" s="63"/>
      <c r="D44" s="63"/>
      <c r="E44" s="63"/>
      <c r="F44" s="63"/>
      <c r="G44" s="63"/>
      <c r="H44" s="24"/>
      <c r="I44" s="21"/>
      <c r="K44" s="26"/>
      <c r="L44" s="2"/>
      <c r="M44" s="2"/>
      <c r="Q44" s="23"/>
    </row>
    <row r="45" spans="1:17" x14ac:dyDescent="0.2">
      <c r="A45" s="20" t="s">
        <v>171</v>
      </c>
      <c r="B45" s="77" t="s">
        <v>264</v>
      </c>
      <c r="C45" s="77"/>
      <c r="D45" s="77"/>
      <c r="E45" s="77"/>
      <c r="F45" s="77"/>
      <c r="G45" s="77"/>
      <c r="H45" s="4">
        <v>457</v>
      </c>
      <c r="I45" s="21" t="s">
        <v>8</v>
      </c>
      <c r="J45" s="22" t="s">
        <v>3</v>
      </c>
      <c r="K45" s="66"/>
      <c r="L45" s="22" t="s">
        <v>3</v>
      </c>
      <c r="M45" s="1">
        <f>H45*K45</f>
        <v>0</v>
      </c>
      <c r="O45" s="29"/>
      <c r="Q45" s="23"/>
    </row>
    <row r="46" spans="1:17" ht="12.75" customHeight="1" x14ac:dyDescent="0.2">
      <c r="A46" s="20"/>
      <c r="B46" s="78" t="s">
        <v>248</v>
      </c>
      <c r="C46" s="78"/>
      <c r="D46" s="78"/>
      <c r="E46" s="78"/>
      <c r="F46" s="78"/>
      <c r="G46" s="78"/>
      <c r="H46" s="24"/>
      <c r="I46" s="21"/>
      <c r="K46" s="26"/>
      <c r="L46" s="2"/>
      <c r="M46" s="2"/>
      <c r="Q46" s="23"/>
    </row>
    <row r="47" spans="1:17" ht="12.75" customHeight="1" x14ac:dyDescent="0.2">
      <c r="A47" s="20"/>
      <c r="B47" s="63"/>
      <c r="C47" s="63"/>
      <c r="D47" s="63"/>
      <c r="E47" s="63"/>
      <c r="F47" s="63"/>
      <c r="G47" s="63"/>
      <c r="H47" s="24"/>
      <c r="I47" s="21"/>
      <c r="K47" s="26"/>
      <c r="L47" s="2"/>
      <c r="M47" s="2"/>
      <c r="Q47" s="23"/>
    </row>
    <row r="48" spans="1:17" x14ac:dyDescent="0.2">
      <c r="A48" s="20" t="s">
        <v>172</v>
      </c>
      <c r="B48" s="77" t="s">
        <v>265</v>
      </c>
      <c r="C48" s="77"/>
      <c r="D48" s="77"/>
      <c r="E48" s="77"/>
      <c r="F48" s="77"/>
      <c r="G48" s="77"/>
      <c r="H48" s="4">
        <v>1677</v>
      </c>
      <c r="I48" s="21" t="s">
        <v>8</v>
      </c>
      <c r="J48" s="22" t="s">
        <v>3</v>
      </c>
      <c r="K48" s="66"/>
      <c r="L48" s="22" t="s">
        <v>3</v>
      </c>
      <c r="M48" s="1">
        <f>H48*K48</f>
        <v>0</v>
      </c>
      <c r="O48" s="29"/>
      <c r="Q48" s="23"/>
    </row>
    <row r="49" spans="1:17" ht="12.75" customHeight="1" x14ac:dyDescent="0.2">
      <c r="A49" s="20"/>
      <c r="B49" s="78" t="s">
        <v>248</v>
      </c>
      <c r="C49" s="78"/>
      <c r="D49" s="78"/>
      <c r="E49" s="78"/>
      <c r="F49" s="78"/>
      <c r="G49" s="78"/>
      <c r="H49" s="24"/>
      <c r="I49" s="21"/>
      <c r="K49" s="26"/>
      <c r="L49" s="2"/>
      <c r="M49" s="2"/>
      <c r="Q49" s="23"/>
    </row>
    <row r="50" spans="1:17" ht="12.75" customHeight="1" x14ac:dyDescent="0.2">
      <c r="A50" s="20"/>
      <c r="B50" s="63"/>
      <c r="C50" s="63"/>
      <c r="D50" s="63"/>
      <c r="E50" s="63"/>
      <c r="F50" s="63"/>
      <c r="G50" s="63"/>
      <c r="H50" s="24"/>
      <c r="I50" s="21"/>
      <c r="K50" s="26"/>
      <c r="L50" s="2"/>
      <c r="M50" s="2"/>
      <c r="Q50" s="23"/>
    </row>
    <row r="51" spans="1:17" x14ac:dyDescent="0.2">
      <c r="A51" s="20" t="s">
        <v>173</v>
      </c>
      <c r="B51" s="77" t="s">
        <v>266</v>
      </c>
      <c r="C51" s="77"/>
      <c r="D51" s="77"/>
      <c r="E51" s="77"/>
      <c r="F51" s="77"/>
      <c r="G51" s="77"/>
      <c r="H51" s="4">
        <v>71</v>
      </c>
      <c r="I51" s="21" t="s">
        <v>8</v>
      </c>
      <c r="J51" s="22" t="s">
        <v>3</v>
      </c>
      <c r="K51" s="66"/>
      <c r="L51" s="22" t="s">
        <v>3</v>
      </c>
      <c r="M51" s="1">
        <f>H51*K51</f>
        <v>0</v>
      </c>
      <c r="O51" s="29"/>
      <c r="Q51" s="23"/>
    </row>
    <row r="52" spans="1:17" ht="12.75" customHeight="1" x14ac:dyDescent="0.2">
      <c r="A52" s="20"/>
      <c r="B52" s="78" t="s">
        <v>248</v>
      </c>
      <c r="C52" s="78"/>
      <c r="D52" s="78"/>
      <c r="E52" s="78"/>
      <c r="F52" s="78"/>
      <c r="G52" s="78"/>
      <c r="H52" s="24"/>
      <c r="I52" s="21"/>
      <c r="K52" s="26"/>
      <c r="L52" s="2"/>
      <c r="M52" s="2"/>
      <c r="Q52" s="23"/>
    </row>
    <row r="53" spans="1:17" ht="12.75" customHeight="1" x14ac:dyDescent="0.2">
      <c r="A53" s="20"/>
      <c r="B53" s="63"/>
      <c r="C53" s="63"/>
      <c r="D53" s="63"/>
      <c r="E53" s="63"/>
      <c r="F53" s="63"/>
      <c r="G53" s="63"/>
      <c r="H53" s="24"/>
      <c r="I53" s="21"/>
      <c r="K53" s="26"/>
      <c r="L53" s="2"/>
      <c r="M53" s="2"/>
      <c r="Q53" s="23"/>
    </row>
    <row r="54" spans="1:17" x14ac:dyDescent="0.2">
      <c r="A54" s="20" t="s">
        <v>174</v>
      </c>
      <c r="B54" s="77" t="s">
        <v>268</v>
      </c>
      <c r="C54" s="77"/>
      <c r="D54" s="77"/>
      <c r="E54" s="77"/>
      <c r="F54" s="77"/>
      <c r="G54" s="77"/>
      <c r="H54" s="4">
        <v>84</v>
      </c>
      <c r="I54" s="21" t="s">
        <v>8</v>
      </c>
      <c r="J54" s="22" t="s">
        <v>3</v>
      </c>
      <c r="K54" s="66"/>
      <c r="L54" s="22" t="s">
        <v>3</v>
      </c>
      <c r="M54" s="1">
        <f>H54*K54</f>
        <v>0</v>
      </c>
      <c r="O54" s="29"/>
      <c r="Q54" s="23"/>
    </row>
    <row r="55" spans="1:17" ht="12.75" customHeight="1" x14ac:dyDescent="0.2">
      <c r="A55" s="20"/>
      <c r="B55" s="78" t="s">
        <v>248</v>
      </c>
      <c r="C55" s="78"/>
      <c r="D55" s="78"/>
      <c r="E55" s="78"/>
      <c r="F55" s="78"/>
      <c r="G55" s="78"/>
      <c r="H55" s="24"/>
      <c r="I55" s="21"/>
      <c r="K55" s="26"/>
      <c r="L55" s="2"/>
      <c r="M55" s="2"/>
      <c r="Q55" s="23"/>
    </row>
    <row r="56" spans="1:17" ht="12.75" customHeight="1" x14ac:dyDescent="0.2">
      <c r="A56" s="20"/>
      <c r="B56" s="63"/>
      <c r="C56" s="63"/>
      <c r="D56" s="63"/>
      <c r="E56" s="63"/>
      <c r="F56" s="63"/>
      <c r="G56" s="63"/>
      <c r="H56" s="24"/>
      <c r="I56" s="21"/>
      <c r="K56" s="26"/>
      <c r="L56" s="2"/>
      <c r="M56" s="2"/>
      <c r="Q56" s="23"/>
    </row>
    <row r="57" spans="1:17" x14ac:dyDescent="0.2">
      <c r="A57" s="20" t="s">
        <v>175</v>
      </c>
      <c r="B57" s="77" t="s">
        <v>269</v>
      </c>
      <c r="C57" s="77"/>
      <c r="D57" s="77"/>
      <c r="E57" s="77"/>
      <c r="F57" s="77"/>
      <c r="G57" s="77"/>
      <c r="H57" s="4">
        <v>42</v>
      </c>
      <c r="I57" s="21" t="s">
        <v>8</v>
      </c>
      <c r="J57" s="22" t="s">
        <v>3</v>
      </c>
      <c r="K57" s="66"/>
      <c r="L57" s="22" t="s">
        <v>3</v>
      </c>
      <c r="M57" s="1">
        <f>H57*K57</f>
        <v>0</v>
      </c>
      <c r="O57" s="29"/>
      <c r="Q57" s="23"/>
    </row>
    <row r="58" spans="1:17" ht="12.75" customHeight="1" x14ac:dyDescent="0.2">
      <c r="A58" s="20"/>
      <c r="B58" s="78" t="s">
        <v>248</v>
      </c>
      <c r="C58" s="78"/>
      <c r="D58" s="78"/>
      <c r="E58" s="78"/>
      <c r="F58" s="78"/>
      <c r="G58" s="78"/>
      <c r="H58" s="24"/>
      <c r="I58" s="21"/>
      <c r="K58" s="26"/>
      <c r="L58" s="2"/>
      <c r="M58" s="2"/>
      <c r="Q58" s="23"/>
    </row>
    <row r="59" spans="1:17" ht="12.75" customHeight="1" x14ac:dyDescent="0.2">
      <c r="A59" s="20"/>
      <c r="B59" s="63"/>
      <c r="C59" s="63"/>
      <c r="D59" s="63"/>
      <c r="E59" s="63"/>
      <c r="F59" s="63"/>
      <c r="G59" s="63"/>
      <c r="H59" s="24"/>
      <c r="I59" s="21"/>
      <c r="K59" s="26"/>
      <c r="L59" s="2"/>
      <c r="M59" s="2"/>
      <c r="Q59" s="23"/>
    </row>
    <row r="60" spans="1:17" x14ac:dyDescent="0.2">
      <c r="A60" s="20" t="s">
        <v>176</v>
      </c>
      <c r="B60" s="77" t="s">
        <v>274</v>
      </c>
      <c r="C60" s="77"/>
      <c r="D60" s="77"/>
      <c r="E60" s="77"/>
      <c r="F60" s="77"/>
      <c r="G60" s="77"/>
      <c r="H60" s="4">
        <v>169</v>
      </c>
      <c r="I60" s="21" t="s">
        <v>8</v>
      </c>
      <c r="J60" s="22" t="s">
        <v>3</v>
      </c>
      <c r="K60" s="66"/>
      <c r="L60" s="22" t="s">
        <v>3</v>
      </c>
      <c r="M60" s="1">
        <f>H60*K60</f>
        <v>0</v>
      </c>
      <c r="O60" s="29"/>
      <c r="Q60" s="23"/>
    </row>
    <row r="61" spans="1:17" ht="12.75" customHeight="1" x14ac:dyDescent="0.2">
      <c r="A61" s="20"/>
      <c r="B61" s="78" t="s">
        <v>248</v>
      </c>
      <c r="C61" s="78"/>
      <c r="D61" s="78"/>
      <c r="E61" s="78"/>
      <c r="F61" s="78"/>
      <c r="G61" s="78"/>
      <c r="H61" s="24"/>
      <c r="I61" s="21"/>
      <c r="K61" s="26"/>
      <c r="L61" s="2"/>
      <c r="M61" s="2"/>
      <c r="Q61" s="23"/>
    </row>
    <row r="62" spans="1:17" ht="12.75" customHeight="1" x14ac:dyDescent="0.2">
      <c r="A62" s="20"/>
      <c r="B62" s="63"/>
      <c r="C62" s="63"/>
      <c r="D62" s="63"/>
      <c r="E62" s="63"/>
      <c r="F62" s="63"/>
      <c r="G62" s="63"/>
      <c r="H62" s="24"/>
      <c r="I62" s="21"/>
      <c r="K62" s="26"/>
      <c r="L62" s="2"/>
      <c r="M62" s="2"/>
      <c r="Q62" s="23"/>
    </row>
    <row r="63" spans="1:17" x14ac:dyDescent="0.2">
      <c r="A63" s="20" t="s">
        <v>177</v>
      </c>
      <c r="B63" s="77" t="s">
        <v>270</v>
      </c>
      <c r="C63" s="77"/>
      <c r="D63" s="77"/>
      <c r="E63" s="77"/>
      <c r="F63" s="77"/>
      <c r="G63" s="77"/>
      <c r="H63" s="4">
        <v>13</v>
      </c>
      <c r="I63" s="21" t="s">
        <v>8</v>
      </c>
      <c r="J63" s="22" t="s">
        <v>3</v>
      </c>
      <c r="K63" s="66"/>
      <c r="L63" s="22" t="s">
        <v>3</v>
      </c>
      <c r="M63" s="1">
        <f>H63*K63</f>
        <v>0</v>
      </c>
      <c r="O63" s="29"/>
      <c r="Q63" s="23"/>
    </row>
    <row r="64" spans="1:17" ht="12.75" customHeight="1" x14ac:dyDescent="0.2">
      <c r="A64" s="20"/>
      <c r="B64" s="78" t="s">
        <v>248</v>
      </c>
      <c r="C64" s="78"/>
      <c r="D64" s="78"/>
      <c r="E64" s="78"/>
      <c r="F64" s="78"/>
      <c r="G64" s="78"/>
      <c r="H64" s="24"/>
      <c r="I64" s="21"/>
      <c r="K64" s="26"/>
      <c r="L64" s="2"/>
      <c r="M64" s="2"/>
      <c r="Q64" s="23"/>
    </row>
    <row r="65" spans="1:17" ht="12.75" customHeight="1" x14ac:dyDescent="0.2">
      <c r="A65" s="20"/>
      <c r="B65" s="63"/>
      <c r="C65" s="63"/>
      <c r="D65" s="63"/>
      <c r="E65" s="63"/>
      <c r="F65" s="63"/>
      <c r="G65" s="63"/>
      <c r="H65" s="24"/>
      <c r="I65" s="21"/>
      <c r="K65" s="26"/>
      <c r="L65" s="2"/>
      <c r="M65" s="2"/>
      <c r="Q65" s="23"/>
    </row>
    <row r="66" spans="1:17" x14ac:dyDescent="0.2">
      <c r="A66" s="20" t="s">
        <v>178</v>
      </c>
      <c r="B66" s="77" t="s">
        <v>271</v>
      </c>
      <c r="C66" s="77"/>
      <c r="D66" s="77"/>
      <c r="E66" s="77"/>
      <c r="F66" s="77"/>
      <c r="G66" s="77"/>
      <c r="H66" s="4">
        <v>722</v>
      </c>
      <c r="I66" s="21" t="s">
        <v>8</v>
      </c>
      <c r="J66" s="22" t="s">
        <v>3</v>
      </c>
      <c r="K66" s="66"/>
      <c r="L66" s="22" t="s">
        <v>3</v>
      </c>
      <c r="M66" s="1">
        <f>H66*K66</f>
        <v>0</v>
      </c>
      <c r="O66" s="29"/>
      <c r="Q66" s="23"/>
    </row>
    <row r="67" spans="1:17" ht="12.75" customHeight="1" x14ac:dyDescent="0.2">
      <c r="A67" s="20"/>
      <c r="B67" s="78" t="s">
        <v>248</v>
      </c>
      <c r="C67" s="78"/>
      <c r="D67" s="78"/>
      <c r="E67" s="78"/>
      <c r="F67" s="78"/>
      <c r="G67" s="78"/>
      <c r="H67" s="24"/>
      <c r="I67" s="21"/>
      <c r="K67" s="26"/>
      <c r="L67" s="2"/>
      <c r="M67" s="2"/>
      <c r="Q67" s="23"/>
    </row>
    <row r="68" spans="1:17" ht="12.75" customHeight="1" x14ac:dyDescent="0.2">
      <c r="A68" s="20"/>
      <c r="B68" s="63"/>
      <c r="C68" s="63"/>
      <c r="D68" s="63"/>
      <c r="E68" s="63"/>
      <c r="F68" s="63"/>
      <c r="G68" s="63"/>
      <c r="H68" s="24"/>
      <c r="I68" s="21"/>
      <c r="K68" s="26"/>
      <c r="L68" s="2"/>
      <c r="M68" s="2"/>
      <c r="Q68" s="23"/>
    </row>
    <row r="69" spans="1:17" x14ac:dyDescent="0.2">
      <c r="A69" s="20" t="s">
        <v>179</v>
      </c>
      <c r="B69" s="77" t="s">
        <v>272</v>
      </c>
      <c r="C69" s="77"/>
      <c r="D69" s="77"/>
      <c r="E69" s="77"/>
      <c r="F69" s="77"/>
      <c r="G69" s="77"/>
      <c r="H69" s="4">
        <v>1200</v>
      </c>
      <c r="I69" s="21" t="s">
        <v>8</v>
      </c>
      <c r="J69" s="58" t="s">
        <v>3</v>
      </c>
      <c r="K69" s="59"/>
      <c r="L69" s="58" t="s">
        <v>3</v>
      </c>
      <c r="M69" s="60">
        <f>H69*K69</f>
        <v>0</v>
      </c>
      <c r="O69" s="29"/>
      <c r="Q69" s="23"/>
    </row>
    <row r="70" spans="1:17" ht="12.75" customHeight="1" x14ac:dyDescent="0.2">
      <c r="A70" s="20"/>
      <c r="B70" s="78" t="s">
        <v>248</v>
      </c>
      <c r="C70" s="78"/>
      <c r="D70" s="78"/>
      <c r="E70" s="78"/>
      <c r="F70" s="78"/>
      <c r="G70" s="78"/>
      <c r="H70" s="24"/>
      <c r="I70" s="21"/>
      <c r="K70" s="26"/>
      <c r="L70" s="2"/>
      <c r="M70" s="2"/>
    </row>
    <row r="71" spans="1:17" ht="12.75" customHeight="1" x14ac:dyDescent="0.2">
      <c r="A71" s="20"/>
      <c r="B71" s="63"/>
      <c r="C71" s="63"/>
      <c r="D71" s="63"/>
      <c r="E71" s="63"/>
      <c r="F71" s="63"/>
      <c r="G71" s="63"/>
      <c r="H71" s="24"/>
      <c r="I71" s="21"/>
      <c r="K71" s="26"/>
      <c r="L71" s="2"/>
      <c r="M71" s="2"/>
    </row>
    <row r="72" spans="1:17" x14ac:dyDescent="0.2">
      <c r="A72" s="20" t="s">
        <v>180</v>
      </c>
      <c r="B72" s="77" t="s">
        <v>273</v>
      </c>
      <c r="C72" s="77"/>
      <c r="D72" s="77"/>
      <c r="E72" s="77"/>
      <c r="F72" s="77"/>
      <c r="G72" s="77"/>
      <c r="H72" s="4">
        <v>205</v>
      </c>
      <c r="I72" s="21" t="s">
        <v>8</v>
      </c>
      <c r="J72" s="22" t="s">
        <v>3</v>
      </c>
      <c r="K72" s="66"/>
      <c r="L72" s="22" t="s">
        <v>3</v>
      </c>
      <c r="M72" s="1">
        <f>H72*K72</f>
        <v>0</v>
      </c>
      <c r="O72" s="29"/>
      <c r="Q72" s="23"/>
    </row>
    <row r="73" spans="1:17" ht="12.75" customHeight="1" x14ac:dyDescent="0.2">
      <c r="A73" s="20"/>
      <c r="B73" s="78" t="s">
        <v>249</v>
      </c>
      <c r="C73" s="78"/>
      <c r="D73" s="78"/>
      <c r="E73" s="78"/>
      <c r="F73" s="78"/>
      <c r="G73" s="78"/>
      <c r="H73" s="24"/>
      <c r="I73" s="21"/>
      <c r="K73" s="26"/>
      <c r="L73" s="2"/>
      <c r="M73" s="2"/>
    </row>
    <row r="74" spans="1:17" ht="12.75" customHeight="1" x14ac:dyDescent="0.2">
      <c r="A74" s="20"/>
      <c r="B74" s="63"/>
      <c r="C74" s="63"/>
      <c r="D74" s="63"/>
      <c r="E74" s="63"/>
      <c r="F74" s="63"/>
      <c r="G74" s="63"/>
      <c r="H74" s="24"/>
      <c r="I74" s="21"/>
      <c r="K74" s="26"/>
      <c r="L74" s="2"/>
      <c r="M74" s="2"/>
    </row>
    <row r="75" spans="1:17" ht="12.75" customHeight="1" thickBot="1" x14ac:dyDescent="0.25">
      <c r="A75" s="30"/>
      <c r="B75" s="82" t="s">
        <v>181</v>
      </c>
      <c r="C75" s="82"/>
      <c r="D75" s="82"/>
      <c r="E75" s="82"/>
      <c r="F75" s="82"/>
      <c r="G75" s="82"/>
      <c r="H75" s="82"/>
      <c r="I75" s="82"/>
      <c r="J75" s="82"/>
      <c r="K75" s="31"/>
      <c r="L75" s="3" t="s">
        <v>3</v>
      </c>
      <c r="M75" s="3">
        <f>SUM(M7,M10,M13,M16,M19,M22,M25,M28,M31,M34,M42,M45,M48,M51,M54,M57,M60,M63,M66,M69,M37,M72)</f>
        <v>0</v>
      </c>
    </row>
    <row r="76" spans="1:17" ht="12.75" customHeight="1" x14ac:dyDescent="0.2">
      <c r="A76" s="20"/>
      <c r="B76" s="69"/>
      <c r="C76" s="69"/>
      <c r="D76" s="69"/>
      <c r="E76" s="69"/>
      <c r="F76" s="69"/>
      <c r="G76" s="69"/>
      <c r="H76" s="69"/>
      <c r="I76" s="69"/>
      <c r="J76" s="69"/>
      <c r="K76" s="26"/>
      <c r="L76" s="2"/>
      <c r="M76" s="2"/>
    </row>
    <row r="77" spans="1:17" x14ac:dyDescent="0.2">
      <c r="A77" s="19" t="s">
        <v>182</v>
      </c>
      <c r="B77" s="65" t="s">
        <v>280</v>
      </c>
      <c r="C77" s="32"/>
      <c r="D77" s="32"/>
      <c r="E77" s="32"/>
      <c r="F77" s="32"/>
      <c r="G77" s="32"/>
      <c r="H77" s="16"/>
      <c r="I77" s="16"/>
      <c r="J77" s="17"/>
      <c r="K77" s="16"/>
      <c r="L77" s="16"/>
    </row>
    <row r="78" spans="1:17" x14ac:dyDescent="0.2">
      <c r="A78" s="15"/>
      <c r="B78" s="16"/>
      <c r="C78" s="16"/>
      <c r="D78" s="16"/>
      <c r="E78" s="16"/>
      <c r="F78" s="16"/>
      <c r="G78" s="16"/>
      <c r="H78" s="16"/>
      <c r="I78" s="16"/>
      <c r="J78" s="17"/>
      <c r="K78" s="16"/>
      <c r="L78" s="16"/>
    </row>
    <row r="79" spans="1:17" ht="12.75" customHeight="1" x14ac:dyDescent="0.2">
      <c r="A79" s="20" t="s">
        <v>183</v>
      </c>
      <c r="B79" s="77" t="s">
        <v>275</v>
      </c>
      <c r="C79" s="77"/>
      <c r="D79" s="77"/>
      <c r="E79" s="77"/>
      <c r="F79" s="77"/>
      <c r="G79" s="77"/>
      <c r="H79" s="4">
        <v>44355</v>
      </c>
      <c r="I79" s="21" t="s">
        <v>45</v>
      </c>
      <c r="J79" s="22" t="s">
        <v>3</v>
      </c>
      <c r="K79" s="67"/>
      <c r="L79" s="22" t="s">
        <v>3</v>
      </c>
      <c r="M79" s="1">
        <f>H79*K79</f>
        <v>0</v>
      </c>
    </row>
    <row r="80" spans="1:17" ht="12.75" customHeight="1" x14ac:dyDescent="0.2">
      <c r="A80" s="20"/>
      <c r="B80" s="78" t="s">
        <v>250</v>
      </c>
      <c r="C80" s="78"/>
      <c r="D80" s="78"/>
      <c r="E80" s="78"/>
      <c r="F80" s="78"/>
      <c r="G80" s="78"/>
      <c r="H80" s="24"/>
      <c r="I80" s="21"/>
      <c r="K80" s="26"/>
      <c r="L80" s="2"/>
      <c r="M80" s="2"/>
    </row>
    <row r="81" spans="1:16" x14ac:dyDescent="0.2">
      <c r="A81" s="20"/>
      <c r="B81" s="33"/>
      <c r="C81" s="33"/>
      <c r="D81" s="33"/>
      <c r="E81" s="33"/>
      <c r="F81" s="33"/>
      <c r="G81" s="33"/>
      <c r="H81" s="24"/>
      <c r="I81" s="21"/>
      <c r="K81" s="26"/>
      <c r="L81" s="2"/>
      <c r="M81" s="2"/>
    </row>
    <row r="82" spans="1:16" x14ac:dyDescent="0.2">
      <c r="A82" s="20" t="s">
        <v>184</v>
      </c>
      <c r="B82" s="77" t="s">
        <v>276</v>
      </c>
      <c r="C82" s="77"/>
      <c r="D82" s="77"/>
      <c r="E82" s="77"/>
      <c r="F82" s="77"/>
      <c r="G82" s="77"/>
      <c r="H82" s="4">
        <v>903</v>
      </c>
      <c r="I82" s="21" t="s">
        <v>8</v>
      </c>
      <c r="J82" s="22" t="s">
        <v>3</v>
      </c>
      <c r="K82" s="67"/>
      <c r="L82" s="22" t="s">
        <v>3</v>
      </c>
      <c r="M82" s="1">
        <f>H82*K82</f>
        <v>0</v>
      </c>
    </row>
    <row r="83" spans="1:16" ht="12.75" customHeight="1" x14ac:dyDescent="0.2">
      <c r="A83" s="20"/>
      <c r="B83" s="78" t="s">
        <v>250</v>
      </c>
      <c r="C83" s="78"/>
      <c r="D83" s="78"/>
      <c r="E83" s="78"/>
      <c r="F83" s="78"/>
      <c r="G83" s="78"/>
      <c r="H83" s="24"/>
      <c r="I83" s="21"/>
      <c r="K83" s="26"/>
      <c r="L83" s="2"/>
      <c r="M83" s="2"/>
    </row>
    <row r="84" spans="1:16" ht="12.75" customHeight="1" x14ac:dyDescent="0.2">
      <c r="A84" s="20"/>
      <c r="B84" s="63"/>
      <c r="C84" s="63"/>
      <c r="D84" s="63"/>
      <c r="E84" s="63"/>
      <c r="F84" s="63"/>
      <c r="G84" s="63"/>
      <c r="H84" s="24"/>
      <c r="I84" s="21"/>
      <c r="K84" s="26"/>
      <c r="L84" s="2"/>
      <c r="M84" s="2"/>
    </row>
    <row r="85" spans="1:16" ht="12.75" customHeight="1" x14ac:dyDescent="0.2">
      <c r="A85" s="20" t="s">
        <v>185</v>
      </c>
      <c r="B85" s="77" t="s">
        <v>277</v>
      </c>
      <c r="C85" s="77"/>
      <c r="D85" s="77"/>
      <c r="E85" s="77"/>
      <c r="F85" s="77"/>
      <c r="G85" s="77"/>
      <c r="H85" s="5">
        <v>346</v>
      </c>
      <c r="I85" s="21" t="s">
        <v>8</v>
      </c>
      <c r="J85" s="22" t="s">
        <v>3</v>
      </c>
      <c r="K85" s="67"/>
      <c r="L85" s="22" t="s">
        <v>3</v>
      </c>
      <c r="M85" s="1">
        <f>H85*K85</f>
        <v>0</v>
      </c>
    </row>
    <row r="86" spans="1:16" ht="12.75" customHeight="1" x14ac:dyDescent="0.2">
      <c r="A86" s="20"/>
      <c r="B86" s="78" t="s">
        <v>251</v>
      </c>
      <c r="C86" s="78"/>
      <c r="D86" s="78"/>
      <c r="E86" s="78"/>
      <c r="F86" s="78"/>
      <c r="G86" s="78"/>
      <c r="H86" s="24"/>
      <c r="I86" s="21"/>
      <c r="K86" s="26"/>
      <c r="L86" s="2"/>
      <c r="M86" s="2"/>
    </row>
    <row r="87" spans="1:16" x14ac:dyDescent="0.2">
      <c r="A87" s="20"/>
      <c r="B87" s="35"/>
      <c r="C87" s="35"/>
      <c r="D87" s="35"/>
      <c r="E87" s="35"/>
      <c r="F87" s="35"/>
      <c r="G87" s="35"/>
      <c r="H87" s="24"/>
      <c r="I87" s="21"/>
      <c r="L87" s="2"/>
      <c r="M87" s="2"/>
    </row>
    <row r="88" spans="1:16" ht="12.75" customHeight="1" x14ac:dyDescent="0.2">
      <c r="A88" s="20" t="s">
        <v>186</v>
      </c>
      <c r="B88" s="77" t="s">
        <v>278</v>
      </c>
      <c r="C88" s="77"/>
      <c r="D88" s="77"/>
      <c r="E88" s="77"/>
      <c r="F88" s="77"/>
      <c r="G88" s="77"/>
      <c r="H88" s="4">
        <v>198</v>
      </c>
      <c r="I88" s="21" t="s">
        <v>8</v>
      </c>
      <c r="J88" s="22" t="s">
        <v>3</v>
      </c>
      <c r="K88" s="67"/>
      <c r="L88" s="22" t="s">
        <v>3</v>
      </c>
      <c r="M88" s="1">
        <f>H88*K88</f>
        <v>0</v>
      </c>
      <c r="P88" s="7"/>
    </row>
    <row r="89" spans="1:16" x14ac:dyDescent="0.2">
      <c r="A89" s="20"/>
      <c r="B89" s="78" t="s">
        <v>251</v>
      </c>
      <c r="C89" s="78"/>
      <c r="D89" s="78"/>
      <c r="E89" s="78"/>
      <c r="F89" s="78"/>
      <c r="G89" s="78"/>
      <c r="H89" s="24"/>
      <c r="I89" s="21"/>
      <c r="K89" s="26"/>
      <c r="L89" s="2"/>
      <c r="M89" s="2"/>
    </row>
    <row r="90" spans="1:16" x14ac:dyDescent="0.2">
      <c r="A90" s="20"/>
      <c r="B90" s="35"/>
      <c r="C90" s="35"/>
      <c r="D90" s="35"/>
      <c r="E90" s="35"/>
      <c r="F90" s="35"/>
      <c r="G90" s="35"/>
      <c r="H90" s="24"/>
      <c r="I90" s="21"/>
      <c r="K90" s="26"/>
      <c r="L90" s="2"/>
      <c r="M90" s="2"/>
    </row>
    <row r="91" spans="1:16" ht="12.75" customHeight="1" x14ac:dyDescent="0.2">
      <c r="A91" s="20" t="s">
        <v>187</v>
      </c>
      <c r="B91" s="78" t="s">
        <v>279</v>
      </c>
      <c r="C91" s="78"/>
      <c r="D91" s="78"/>
      <c r="E91" s="78"/>
      <c r="F91" s="78"/>
      <c r="G91" s="78"/>
      <c r="H91" s="4">
        <v>5</v>
      </c>
      <c r="I91" s="21" t="s">
        <v>9</v>
      </c>
      <c r="J91" s="22" t="s">
        <v>47</v>
      </c>
      <c r="K91" s="68"/>
      <c r="L91" s="22" t="s">
        <v>3</v>
      </c>
      <c r="M91" s="1">
        <f>ROUND(M75*H91*0.004*K91,0)</f>
        <v>0</v>
      </c>
    </row>
    <row r="92" spans="1:16" ht="13.5" thickBot="1" x14ac:dyDescent="0.25">
      <c r="A92" s="20"/>
      <c r="B92" s="78" t="s">
        <v>259</v>
      </c>
      <c r="C92" s="78"/>
      <c r="D92" s="78"/>
      <c r="E92" s="78"/>
      <c r="F92" s="78"/>
      <c r="G92" s="78"/>
      <c r="H92" s="24"/>
      <c r="I92" s="21"/>
      <c r="K92" s="26"/>
      <c r="L92" s="2"/>
      <c r="M92" s="2"/>
    </row>
    <row r="93" spans="1:16" ht="13.5" customHeight="1" thickBot="1" x14ac:dyDescent="0.25">
      <c r="A93" s="20"/>
      <c r="B93" s="84" t="s">
        <v>304</v>
      </c>
      <c r="C93" s="85"/>
      <c r="D93" s="85"/>
      <c r="E93" s="85"/>
      <c r="F93" s="85"/>
      <c r="G93" s="86"/>
      <c r="H93" s="24"/>
      <c r="I93" s="21"/>
      <c r="K93" s="26"/>
      <c r="L93" s="2"/>
      <c r="M93" s="2"/>
    </row>
    <row r="94" spans="1:16" x14ac:dyDescent="0.2">
      <c r="A94" s="20"/>
      <c r="B94" s="72"/>
      <c r="C94" s="16"/>
      <c r="D94" s="16"/>
      <c r="E94" s="16"/>
      <c r="F94" s="16"/>
      <c r="G94" s="16"/>
      <c r="H94" s="24"/>
      <c r="I94" s="21"/>
      <c r="L94" s="2"/>
      <c r="M94" s="2"/>
    </row>
    <row r="95" spans="1:16" x14ac:dyDescent="0.2">
      <c r="A95" s="28" t="s">
        <v>188</v>
      </c>
      <c r="B95" s="81" t="s">
        <v>62</v>
      </c>
      <c r="C95" s="81"/>
      <c r="D95" s="81"/>
      <c r="E95" s="81"/>
      <c r="F95" s="81"/>
      <c r="G95" s="81"/>
      <c r="H95" s="24"/>
      <c r="I95" s="21"/>
      <c r="L95" s="2"/>
      <c r="M95" s="2"/>
    </row>
    <row r="96" spans="1:16" x14ac:dyDescent="0.2">
      <c r="A96" s="20"/>
      <c r="B96" s="72"/>
      <c r="C96" s="16"/>
      <c r="D96" s="16"/>
      <c r="E96" s="16"/>
      <c r="F96" s="16"/>
      <c r="G96" s="16"/>
      <c r="H96" s="24"/>
      <c r="I96" s="21"/>
      <c r="L96" s="2"/>
      <c r="M96" s="2"/>
    </row>
    <row r="97" spans="1:13" x14ac:dyDescent="0.2">
      <c r="A97" s="20" t="s">
        <v>189</v>
      </c>
      <c r="B97" s="77" t="s">
        <v>260</v>
      </c>
      <c r="C97" s="77"/>
      <c r="D97" s="77"/>
      <c r="E97" s="77"/>
      <c r="F97" s="77"/>
      <c r="G97" s="77"/>
      <c r="H97" s="4">
        <v>54</v>
      </c>
      <c r="I97" s="21" t="s">
        <v>9</v>
      </c>
      <c r="J97" s="22" t="s">
        <v>3</v>
      </c>
      <c r="K97" s="67"/>
      <c r="L97" s="22" t="s">
        <v>3</v>
      </c>
      <c r="M97" s="1">
        <f>H97*K97</f>
        <v>0</v>
      </c>
    </row>
    <row r="98" spans="1:13" ht="12.75" customHeight="1" x14ac:dyDescent="0.2">
      <c r="A98" s="20"/>
      <c r="B98" s="78" t="s">
        <v>252</v>
      </c>
      <c r="C98" s="78"/>
      <c r="D98" s="78"/>
      <c r="E98" s="78"/>
      <c r="F98" s="78"/>
      <c r="G98" s="78"/>
      <c r="H98" s="24"/>
      <c r="I98" s="21"/>
      <c r="K98" s="26"/>
      <c r="L98" s="2"/>
      <c r="M98" s="2"/>
    </row>
    <row r="99" spans="1:13" ht="12.75" customHeight="1" x14ac:dyDescent="0.2">
      <c r="A99" s="20"/>
      <c r="B99" s="63"/>
      <c r="C99" s="63"/>
      <c r="D99" s="63"/>
      <c r="E99" s="63"/>
      <c r="F99" s="63"/>
      <c r="G99" s="63"/>
      <c r="H99" s="24"/>
      <c r="I99" s="21"/>
      <c r="K99" s="26"/>
      <c r="L99" s="2"/>
      <c r="M99" s="2"/>
    </row>
    <row r="100" spans="1:13" x14ac:dyDescent="0.2">
      <c r="A100" s="20" t="s">
        <v>190</v>
      </c>
      <c r="B100" s="77" t="s">
        <v>51</v>
      </c>
      <c r="C100" s="77"/>
      <c r="D100" s="77"/>
      <c r="E100" s="77"/>
      <c r="F100" s="77"/>
      <c r="G100" s="77"/>
      <c r="H100" s="4">
        <v>135</v>
      </c>
      <c r="I100" s="21" t="s">
        <v>9</v>
      </c>
      <c r="J100" s="22" t="s">
        <v>3</v>
      </c>
      <c r="K100" s="67"/>
      <c r="L100" s="22" t="s">
        <v>3</v>
      </c>
      <c r="M100" s="1">
        <f>H100*K100</f>
        <v>0</v>
      </c>
    </row>
    <row r="101" spans="1:13" ht="12.75" customHeight="1" x14ac:dyDescent="0.2">
      <c r="A101" s="62"/>
      <c r="B101" s="83" t="s">
        <v>253</v>
      </c>
      <c r="C101" s="83"/>
      <c r="D101" s="83"/>
      <c r="E101" s="83"/>
      <c r="F101" s="83"/>
      <c r="G101" s="83"/>
      <c r="H101" s="24"/>
      <c r="I101" s="21"/>
      <c r="K101" s="26"/>
      <c r="L101" s="2"/>
      <c r="M101" s="2"/>
    </row>
    <row r="102" spans="1:13" ht="12.75" customHeight="1" x14ac:dyDescent="0.2">
      <c r="A102" s="20"/>
      <c r="B102" s="63"/>
      <c r="C102" s="63"/>
      <c r="D102" s="63"/>
      <c r="E102" s="63"/>
      <c r="F102" s="63"/>
      <c r="G102" s="63"/>
      <c r="H102" s="24"/>
      <c r="I102" s="21"/>
      <c r="K102" s="26"/>
      <c r="L102" s="2"/>
      <c r="M102" s="2"/>
    </row>
    <row r="103" spans="1:13" ht="12.75" customHeight="1" x14ac:dyDescent="0.2">
      <c r="A103" s="28" t="s">
        <v>191</v>
      </c>
      <c r="B103" s="87" t="s">
        <v>281</v>
      </c>
      <c r="C103" s="87"/>
      <c r="D103" s="87"/>
      <c r="E103" s="87"/>
      <c r="F103" s="87"/>
      <c r="G103" s="87"/>
      <c r="H103" s="24"/>
      <c r="I103" s="21"/>
      <c r="L103" s="2"/>
      <c r="M103" s="2"/>
    </row>
    <row r="104" spans="1:13" x14ac:dyDescent="0.2">
      <c r="A104" s="20"/>
      <c r="B104" s="16"/>
      <c r="C104" s="16"/>
      <c r="D104" s="16"/>
      <c r="E104" s="16"/>
      <c r="F104" s="16"/>
      <c r="G104" s="16"/>
      <c r="H104" s="24"/>
      <c r="I104" s="21"/>
      <c r="L104" s="2"/>
      <c r="M104" s="2"/>
    </row>
    <row r="105" spans="1:13" ht="12.75" customHeight="1" x14ac:dyDescent="0.2">
      <c r="A105" s="20" t="s">
        <v>192</v>
      </c>
      <c r="B105" s="83" t="s">
        <v>283</v>
      </c>
      <c r="C105" s="83"/>
      <c r="D105" s="83"/>
      <c r="E105" s="83"/>
      <c r="F105" s="83"/>
      <c r="G105" s="83"/>
      <c r="H105" s="4">
        <v>7</v>
      </c>
      <c r="I105" s="21" t="s">
        <v>9</v>
      </c>
      <c r="J105" s="22" t="s">
        <v>47</v>
      </c>
      <c r="K105" s="68"/>
      <c r="L105" s="22" t="s">
        <v>3</v>
      </c>
      <c r="M105" s="1">
        <f>ROUND(M75*0.05*K105,0)</f>
        <v>0</v>
      </c>
    </row>
    <row r="106" spans="1:13" ht="13.5" customHeight="1" thickBot="1" x14ac:dyDescent="0.25">
      <c r="A106" s="20"/>
      <c r="B106" s="88" t="s">
        <v>254</v>
      </c>
      <c r="C106" s="88"/>
      <c r="D106" s="88"/>
      <c r="E106" s="88"/>
      <c r="F106" s="88"/>
      <c r="G106" s="88"/>
      <c r="H106" s="24"/>
      <c r="I106" s="21"/>
      <c r="K106" s="34"/>
      <c r="L106" s="2"/>
      <c r="M106" s="2"/>
    </row>
    <row r="107" spans="1:13" ht="12.75" customHeight="1" thickBot="1" x14ac:dyDescent="0.25">
      <c r="A107" s="20"/>
      <c r="B107" s="84" t="s">
        <v>308</v>
      </c>
      <c r="C107" s="85"/>
      <c r="D107" s="85"/>
      <c r="E107" s="85"/>
      <c r="F107" s="85"/>
      <c r="G107" s="86"/>
      <c r="H107" s="24"/>
      <c r="I107" s="21"/>
      <c r="K107" s="34"/>
      <c r="L107" s="2"/>
      <c r="M107" s="2"/>
    </row>
    <row r="108" spans="1:13" x14ac:dyDescent="0.2">
      <c r="A108" s="20"/>
      <c r="B108" s="16"/>
      <c r="C108" s="16"/>
      <c r="D108" s="16"/>
      <c r="E108" s="16"/>
      <c r="F108" s="16"/>
      <c r="G108" s="16"/>
      <c r="H108" s="24"/>
      <c r="I108" s="21"/>
      <c r="L108" s="2"/>
      <c r="M108" s="2"/>
    </row>
    <row r="109" spans="1:13" ht="12.75" customHeight="1" x14ac:dyDescent="0.2">
      <c r="A109" s="20" t="s">
        <v>193</v>
      </c>
      <c r="B109" s="83" t="s">
        <v>284</v>
      </c>
      <c r="C109" s="83"/>
      <c r="D109" s="83"/>
      <c r="E109" s="83"/>
      <c r="F109" s="83"/>
      <c r="G109" s="83"/>
      <c r="H109" s="4">
        <v>44</v>
      </c>
      <c r="I109" s="21" t="s">
        <v>9</v>
      </c>
      <c r="J109" s="22" t="s">
        <v>47</v>
      </c>
      <c r="K109" s="68"/>
      <c r="L109" s="22" t="s">
        <v>3</v>
      </c>
      <c r="M109" s="1">
        <f>ROUND(M75*0.1*K109,0)</f>
        <v>0</v>
      </c>
    </row>
    <row r="110" spans="1:13" ht="13.5" customHeight="1" thickBot="1" x14ac:dyDescent="0.25">
      <c r="A110" s="20"/>
      <c r="B110" s="88" t="s">
        <v>254</v>
      </c>
      <c r="C110" s="88"/>
      <c r="D110" s="88"/>
      <c r="E110" s="88"/>
      <c r="F110" s="88"/>
      <c r="G110" s="88"/>
      <c r="H110" s="24"/>
      <c r="I110" s="21"/>
      <c r="K110" s="34"/>
      <c r="L110" s="2"/>
      <c r="M110" s="2"/>
    </row>
    <row r="111" spans="1:13" ht="12.75" customHeight="1" thickBot="1" x14ac:dyDescent="0.25">
      <c r="A111" s="20"/>
      <c r="B111" s="84" t="s">
        <v>313</v>
      </c>
      <c r="C111" s="85"/>
      <c r="D111" s="85"/>
      <c r="E111" s="85"/>
      <c r="F111" s="85"/>
      <c r="G111" s="86"/>
      <c r="H111" s="24"/>
      <c r="I111" s="21"/>
      <c r="K111" s="34"/>
      <c r="L111" s="2"/>
      <c r="M111" s="2"/>
    </row>
    <row r="112" spans="1:13" x14ac:dyDescent="0.2">
      <c r="A112" s="20"/>
      <c r="B112" s="16"/>
      <c r="C112" s="16"/>
      <c r="D112" s="16"/>
      <c r="E112" s="16"/>
      <c r="F112" s="16"/>
      <c r="G112" s="16"/>
      <c r="H112" s="24"/>
      <c r="I112" s="21"/>
      <c r="L112" s="2"/>
      <c r="M112" s="2"/>
    </row>
    <row r="113" spans="1:13" ht="12.75" customHeight="1" x14ac:dyDescent="0.2">
      <c r="A113" s="20" t="s">
        <v>194</v>
      </c>
      <c r="B113" s="83" t="s">
        <v>285</v>
      </c>
      <c r="C113" s="83"/>
      <c r="D113" s="83"/>
      <c r="E113" s="83"/>
      <c r="F113" s="83"/>
      <c r="G113" s="83"/>
      <c r="H113" s="4">
        <v>30</v>
      </c>
      <c r="I113" s="21" t="s">
        <v>9</v>
      </c>
      <c r="J113" s="22" t="s">
        <v>47</v>
      </c>
      <c r="K113" s="68"/>
      <c r="L113" s="22" t="s">
        <v>3</v>
      </c>
      <c r="M113" s="1">
        <f>ROUND(M75*0.05*K113,0)</f>
        <v>0</v>
      </c>
    </row>
    <row r="114" spans="1:13" ht="13.5" thickBot="1" x14ac:dyDescent="0.25">
      <c r="A114" s="20"/>
      <c r="B114" s="78" t="s">
        <v>254</v>
      </c>
      <c r="C114" s="78"/>
      <c r="D114" s="78"/>
      <c r="E114" s="78"/>
      <c r="F114" s="78"/>
      <c r="G114" s="78"/>
      <c r="H114" s="24"/>
      <c r="I114" s="21"/>
      <c r="K114" s="34"/>
      <c r="L114" s="2"/>
      <c r="M114" s="2"/>
    </row>
    <row r="115" spans="1:13" ht="13.5" customHeight="1" thickBot="1" x14ac:dyDescent="0.25">
      <c r="A115" s="20"/>
      <c r="B115" s="84" t="s">
        <v>308</v>
      </c>
      <c r="C115" s="85"/>
      <c r="D115" s="85"/>
      <c r="E115" s="85"/>
      <c r="F115" s="85"/>
      <c r="G115" s="86"/>
      <c r="H115" s="24"/>
      <c r="I115" s="33"/>
      <c r="K115" s="34"/>
      <c r="L115" s="2"/>
      <c r="M115" s="2"/>
    </row>
    <row r="116" spans="1:13" x14ac:dyDescent="0.2">
      <c r="A116" s="20"/>
      <c r="B116" s="35"/>
      <c r="C116" s="35"/>
      <c r="D116" s="35"/>
      <c r="E116" s="35"/>
      <c r="F116" s="35"/>
      <c r="G116" s="35"/>
      <c r="H116" s="24"/>
      <c r="I116" s="33"/>
      <c r="L116" s="2"/>
      <c r="M116" s="2"/>
    </row>
    <row r="117" spans="1:13" ht="12.75" customHeight="1" x14ac:dyDescent="0.2">
      <c r="A117" s="20" t="s">
        <v>195</v>
      </c>
      <c r="B117" s="83" t="s">
        <v>286</v>
      </c>
      <c r="C117" s="83"/>
      <c r="D117" s="83"/>
      <c r="E117" s="83"/>
      <c r="F117" s="83"/>
      <c r="G117" s="83"/>
      <c r="H117" s="4">
        <v>19</v>
      </c>
      <c r="I117" s="21" t="s">
        <v>9</v>
      </c>
      <c r="J117" s="22" t="s">
        <v>47</v>
      </c>
      <c r="K117" s="68"/>
      <c r="L117" s="22" t="s">
        <v>3</v>
      </c>
      <c r="M117" s="1">
        <f>ROUND(M75*0.03*K117,0)</f>
        <v>0</v>
      </c>
    </row>
    <row r="118" spans="1:13" ht="13.5" thickBot="1" x14ac:dyDescent="0.25">
      <c r="A118" s="20"/>
      <c r="B118" s="78" t="s">
        <v>254</v>
      </c>
      <c r="C118" s="78"/>
      <c r="D118" s="78"/>
      <c r="E118" s="78"/>
      <c r="F118" s="78"/>
      <c r="G118" s="78"/>
      <c r="H118" s="24"/>
      <c r="I118" s="21"/>
      <c r="K118" s="34"/>
      <c r="L118" s="2"/>
      <c r="M118" s="2"/>
    </row>
    <row r="119" spans="1:13" ht="13.5" customHeight="1" thickBot="1" x14ac:dyDescent="0.25">
      <c r="A119" s="20"/>
      <c r="B119" s="84" t="s">
        <v>316</v>
      </c>
      <c r="C119" s="85"/>
      <c r="D119" s="85"/>
      <c r="E119" s="85"/>
      <c r="F119" s="85"/>
      <c r="G119" s="86"/>
      <c r="H119" s="24"/>
      <c r="I119" s="33"/>
      <c r="K119" s="34"/>
      <c r="L119" s="2"/>
      <c r="M119" s="2"/>
    </row>
    <row r="121" spans="1:13" x14ac:dyDescent="0.2">
      <c r="A121" s="28" t="s">
        <v>196</v>
      </c>
      <c r="B121" s="87" t="s">
        <v>55</v>
      </c>
      <c r="C121" s="87"/>
      <c r="D121" s="87"/>
      <c r="E121" s="87"/>
      <c r="F121" s="87"/>
      <c r="G121" s="87"/>
      <c r="H121" s="24"/>
      <c r="I121" s="33"/>
      <c r="K121" s="34"/>
      <c r="L121" s="2"/>
      <c r="M121" s="2"/>
    </row>
    <row r="122" spans="1:13" x14ac:dyDescent="0.2">
      <c r="A122" s="20"/>
      <c r="B122" s="35"/>
      <c r="C122" s="35"/>
      <c r="D122" s="35"/>
      <c r="E122" s="35"/>
      <c r="F122" s="35"/>
      <c r="G122" s="35"/>
      <c r="H122" s="24"/>
      <c r="I122" s="33"/>
      <c r="K122" s="34"/>
      <c r="L122" s="2"/>
      <c r="M122" s="2"/>
    </row>
    <row r="123" spans="1:13" x14ac:dyDescent="0.2">
      <c r="A123" s="20" t="s">
        <v>197</v>
      </c>
      <c r="B123" s="77" t="s">
        <v>22</v>
      </c>
      <c r="C123" s="77"/>
      <c r="D123" s="77"/>
      <c r="E123" s="77"/>
      <c r="F123" s="77"/>
      <c r="G123" s="77"/>
      <c r="H123" s="4">
        <v>42</v>
      </c>
      <c r="I123" s="21" t="s">
        <v>9</v>
      </c>
      <c r="J123" s="22" t="s">
        <v>3</v>
      </c>
      <c r="K123" s="67"/>
      <c r="L123" s="22" t="s">
        <v>3</v>
      </c>
      <c r="M123" s="1">
        <f>H123*K123</f>
        <v>0</v>
      </c>
    </row>
    <row r="124" spans="1:13" ht="12.75" customHeight="1" x14ac:dyDescent="0.2">
      <c r="A124" s="20"/>
      <c r="B124" s="78" t="s">
        <v>255</v>
      </c>
      <c r="C124" s="78"/>
      <c r="D124" s="78"/>
      <c r="E124" s="78"/>
      <c r="F124" s="78"/>
      <c r="G124" s="78"/>
      <c r="H124" s="24"/>
      <c r="I124" s="21"/>
      <c r="K124" s="26"/>
      <c r="L124" s="2"/>
      <c r="M124" s="2"/>
    </row>
    <row r="125" spans="1:13" ht="12.75" customHeight="1" x14ac:dyDescent="0.2">
      <c r="A125" s="20"/>
      <c r="B125" s="63"/>
      <c r="C125" s="63"/>
      <c r="D125" s="63"/>
      <c r="E125" s="63"/>
      <c r="F125" s="63"/>
      <c r="G125" s="63"/>
      <c r="H125" s="24"/>
      <c r="I125" s="21"/>
      <c r="K125" s="26"/>
      <c r="L125" s="2"/>
      <c r="M125" s="2"/>
    </row>
    <row r="126" spans="1:13" ht="12.75" customHeight="1" x14ac:dyDescent="0.2">
      <c r="A126" s="20" t="s">
        <v>198</v>
      </c>
      <c r="B126" s="77" t="s">
        <v>57</v>
      </c>
      <c r="C126" s="77"/>
      <c r="D126" s="77"/>
      <c r="E126" s="77"/>
      <c r="F126" s="77"/>
      <c r="G126" s="77"/>
      <c r="H126" s="24"/>
      <c r="I126" s="21" t="s">
        <v>9</v>
      </c>
      <c r="J126" s="22"/>
      <c r="K126" s="6" t="s">
        <v>10</v>
      </c>
      <c r="L126" s="1"/>
      <c r="M126" s="6" t="s">
        <v>10</v>
      </c>
    </row>
    <row r="127" spans="1:13" x14ac:dyDescent="0.2">
      <c r="A127" s="20"/>
      <c r="B127" s="78" t="s">
        <v>256</v>
      </c>
      <c r="C127" s="78"/>
      <c r="D127" s="78"/>
      <c r="E127" s="78"/>
      <c r="F127" s="78"/>
      <c r="G127" s="78"/>
      <c r="H127" s="24"/>
      <c r="I127" s="21"/>
      <c r="K127" s="2"/>
      <c r="L127" s="2"/>
      <c r="M127" s="70"/>
    </row>
    <row r="128" spans="1:13" x14ac:dyDescent="0.2">
      <c r="A128" s="20"/>
      <c r="B128" s="63"/>
      <c r="C128" s="63"/>
      <c r="D128" s="63"/>
      <c r="E128" s="63"/>
      <c r="F128" s="63"/>
      <c r="G128" s="63"/>
      <c r="H128" s="24"/>
      <c r="I128" s="21"/>
      <c r="K128" s="2"/>
      <c r="L128" s="2"/>
      <c r="M128" s="70"/>
    </row>
    <row r="129" spans="1:13" x14ac:dyDescent="0.2">
      <c r="A129" s="20" t="s">
        <v>199</v>
      </c>
      <c r="B129" s="77" t="s">
        <v>11</v>
      </c>
      <c r="C129" s="77"/>
      <c r="D129" s="77"/>
      <c r="E129" s="77"/>
      <c r="F129" s="77"/>
      <c r="G129" s="77"/>
      <c r="H129" s="24"/>
      <c r="I129" s="21" t="s">
        <v>9</v>
      </c>
      <c r="J129" s="22"/>
      <c r="K129" s="6" t="s">
        <v>10</v>
      </c>
      <c r="L129" s="1"/>
      <c r="M129" s="6" t="s">
        <v>10</v>
      </c>
    </row>
    <row r="130" spans="1:13" x14ac:dyDescent="0.2">
      <c r="A130" s="20"/>
      <c r="B130" s="78" t="s">
        <v>257</v>
      </c>
      <c r="C130" s="78"/>
      <c r="D130" s="78"/>
      <c r="E130" s="78"/>
      <c r="F130" s="78"/>
      <c r="G130" s="78"/>
      <c r="H130" s="24"/>
      <c r="I130" s="21"/>
      <c r="K130" s="2"/>
      <c r="L130" s="2"/>
      <c r="M130" s="70"/>
    </row>
    <row r="131" spans="1:13" x14ac:dyDescent="0.2">
      <c r="A131" s="20"/>
      <c r="B131" s="63"/>
      <c r="C131" s="63"/>
      <c r="D131" s="63"/>
      <c r="E131" s="63"/>
      <c r="F131" s="63"/>
      <c r="G131" s="63"/>
      <c r="H131" s="24"/>
      <c r="I131" s="21"/>
      <c r="K131" s="2"/>
      <c r="L131" s="2"/>
      <c r="M131" s="70"/>
    </row>
    <row r="132" spans="1:13" ht="12.75" customHeight="1" x14ac:dyDescent="0.2">
      <c r="A132" s="20" t="s">
        <v>200</v>
      </c>
      <c r="B132" s="8" t="s">
        <v>61</v>
      </c>
      <c r="H132" s="36"/>
      <c r="I132" s="21" t="s">
        <v>9</v>
      </c>
      <c r="J132" s="22"/>
      <c r="K132" s="6" t="s">
        <v>10</v>
      </c>
      <c r="L132" s="1"/>
      <c r="M132" s="6" t="s">
        <v>10</v>
      </c>
    </row>
    <row r="133" spans="1:13" ht="12.75" customHeight="1" x14ac:dyDescent="0.2">
      <c r="A133" s="20"/>
      <c r="B133" s="78" t="s">
        <v>258</v>
      </c>
      <c r="C133" s="77"/>
      <c r="D133" s="77"/>
      <c r="E133" s="77"/>
      <c r="F133" s="77"/>
      <c r="G133" s="77"/>
      <c r="H133" s="24"/>
      <c r="I133" s="21"/>
      <c r="L133" s="2"/>
      <c r="M133" s="2"/>
    </row>
    <row r="134" spans="1:13" s="37" customFormat="1" ht="12" thickBot="1" x14ac:dyDescent="0.25">
      <c r="B134" s="38"/>
      <c r="C134" s="39"/>
      <c r="D134" s="40"/>
      <c r="E134" s="40"/>
      <c r="F134" s="40"/>
      <c r="G134" s="40"/>
      <c r="H134" s="40"/>
      <c r="I134" s="40"/>
      <c r="J134" s="41"/>
      <c r="K134" s="40"/>
      <c r="L134" s="42"/>
      <c r="M134" s="43"/>
    </row>
    <row r="135" spans="1:13" ht="15" x14ac:dyDescent="0.25">
      <c r="A135" s="44"/>
      <c r="B135" s="45"/>
      <c r="C135" s="45"/>
      <c r="D135" s="45"/>
      <c r="E135" s="45"/>
      <c r="F135" s="45"/>
      <c r="G135" s="45"/>
      <c r="H135" s="45"/>
      <c r="I135" s="45"/>
      <c r="J135" s="46"/>
      <c r="K135" s="47"/>
      <c r="L135" s="45"/>
      <c r="M135" s="48"/>
    </row>
    <row r="136" spans="1:13" ht="30" x14ac:dyDescent="0.4">
      <c r="A136" s="93" t="s">
        <v>46</v>
      </c>
      <c r="B136" s="94"/>
      <c r="C136" s="94"/>
      <c r="D136" s="94"/>
      <c r="E136" s="94"/>
      <c r="F136" s="94"/>
      <c r="G136" s="94"/>
      <c r="H136" s="94"/>
      <c r="I136" s="49" t="s">
        <v>3</v>
      </c>
      <c r="J136" s="89">
        <f>SUM(M75,M79,M82,M85,M88,M91,M123,M105,M109,M113,M117,M100,M97)</f>
        <v>0</v>
      </c>
      <c r="K136" s="89"/>
      <c r="L136" s="89"/>
      <c r="M136" s="90"/>
    </row>
    <row r="137" spans="1:13" ht="21.75" thickBot="1" x14ac:dyDescent="0.4">
      <c r="A137" s="50"/>
      <c r="B137" s="51"/>
      <c r="C137" s="51"/>
      <c r="D137" s="51"/>
      <c r="E137" s="51"/>
      <c r="F137" s="51"/>
      <c r="G137" s="51"/>
      <c r="H137" s="51"/>
      <c r="I137" s="51"/>
      <c r="J137" s="91"/>
      <c r="K137" s="91"/>
      <c r="L137" s="91"/>
      <c r="M137" s="92"/>
    </row>
    <row r="138" spans="1:13" ht="15" customHeight="1" thickBot="1" x14ac:dyDescent="0.3">
      <c r="A138" s="52"/>
      <c r="B138" s="53"/>
      <c r="C138" s="95"/>
      <c r="D138" s="96"/>
      <c r="E138" s="96"/>
      <c r="F138" s="96"/>
      <c r="G138" s="96"/>
      <c r="H138" s="96"/>
      <c r="I138" s="96"/>
      <c r="J138" s="96"/>
      <c r="K138" s="96"/>
      <c r="L138" s="54"/>
      <c r="M138" s="55"/>
    </row>
    <row r="139" spans="1:13" ht="15" x14ac:dyDescent="0.25">
      <c r="A139" s="44"/>
      <c r="B139" s="45"/>
      <c r="C139" s="45"/>
      <c r="D139" s="45"/>
      <c r="E139" s="45"/>
      <c r="F139" s="45"/>
      <c r="G139" s="45"/>
      <c r="H139" s="45"/>
      <c r="I139" s="45"/>
      <c r="J139" s="46"/>
      <c r="K139" s="47"/>
      <c r="L139" s="45"/>
      <c r="M139" s="48"/>
    </row>
    <row r="140" spans="1:13" ht="30" x14ac:dyDescent="0.4">
      <c r="A140" s="93" t="s">
        <v>246</v>
      </c>
      <c r="B140" s="94"/>
      <c r="C140" s="94"/>
      <c r="D140" s="94"/>
      <c r="E140" s="94"/>
      <c r="F140" s="94"/>
      <c r="G140" s="94"/>
      <c r="H140" s="94"/>
      <c r="I140" s="49" t="s">
        <v>3</v>
      </c>
      <c r="J140" s="89">
        <f>SUM(J136+'Exhibit C'!J140)</f>
        <v>0</v>
      </c>
      <c r="K140" s="89"/>
      <c r="L140" s="89"/>
      <c r="M140" s="90"/>
    </row>
    <row r="141" spans="1:13" ht="21.75" thickBot="1" x14ac:dyDescent="0.4">
      <c r="A141" s="50"/>
      <c r="B141" s="51"/>
      <c r="C141" s="51"/>
      <c r="D141" s="51"/>
      <c r="E141" s="51"/>
      <c r="F141" s="51"/>
      <c r="G141" s="51"/>
      <c r="H141" s="51"/>
      <c r="I141" s="51"/>
      <c r="J141" s="91"/>
      <c r="K141" s="91"/>
      <c r="L141" s="91"/>
      <c r="M141" s="92"/>
    </row>
    <row r="142" spans="1:13" ht="15" customHeight="1" x14ac:dyDescent="0.2"/>
    <row r="143" spans="1:13" ht="15" customHeight="1" x14ac:dyDescent="0.2"/>
    <row r="144" spans="1:13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2" ht="12.75" customHeight="1" x14ac:dyDescent="0.2"/>
    <row r="153" ht="12.75" customHeight="1" x14ac:dyDescent="0.2"/>
    <row r="154" ht="12.75" customHeight="1" x14ac:dyDescent="0.2"/>
    <row r="156" ht="15" customHeight="1" x14ac:dyDescent="0.2"/>
    <row r="157" ht="15" customHeight="1" x14ac:dyDescent="0.2"/>
    <row r="158" ht="12.75" customHeight="1" x14ac:dyDescent="0.2"/>
    <row r="159" ht="12.75" customHeight="1" x14ac:dyDescent="0.2"/>
    <row r="161" ht="12.75" customHeight="1" x14ac:dyDescent="0.2"/>
    <row r="162" ht="12.75" customHeight="1" x14ac:dyDescent="0.2"/>
    <row r="163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spans="1:14" ht="12.75" customHeight="1" x14ac:dyDescent="0.2"/>
    <row r="178" spans="1:14" ht="12.75" customHeight="1" x14ac:dyDescent="0.2"/>
    <row r="179" spans="1:14" ht="12.75" customHeight="1" x14ac:dyDescent="0.2"/>
    <row r="180" spans="1:14" ht="12.75" customHeight="1" x14ac:dyDescent="0.2"/>
    <row r="181" spans="1:14" ht="12.75" customHeight="1" x14ac:dyDescent="0.2"/>
    <row r="182" spans="1:14" ht="12.75" customHeight="1" x14ac:dyDescent="0.2"/>
    <row r="183" spans="1:14" ht="12.75" customHeight="1" x14ac:dyDescent="0.2"/>
    <row r="184" spans="1:14" ht="12.75" customHeight="1" x14ac:dyDescent="0.2"/>
    <row r="185" spans="1:14" ht="12.75" customHeight="1" x14ac:dyDescent="0.2"/>
    <row r="186" spans="1:14" ht="12.75" customHeight="1" x14ac:dyDescent="0.2"/>
    <row r="187" spans="1:14" ht="12.75" customHeight="1" x14ac:dyDescent="0.2"/>
    <row r="188" spans="1:14" s="56" customFormat="1" ht="14.2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25"/>
      <c r="K188" s="7"/>
      <c r="L188" s="8"/>
      <c r="M188" s="18"/>
      <c r="N188" s="8"/>
    </row>
    <row r="189" spans="1:14" s="56" customFormat="1" ht="14.2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25"/>
      <c r="K189" s="7"/>
      <c r="L189" s="8"/>
      <c r="M189" s="18"/>
      <c r="N189" s="8"/>
    </row>
    <row r="190" spans="1:14" s="56" customFormat="1" ht="12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25"/>
      <c r="K190" s="7"/>
      <c r="L190" s="8"/>
      <c r="M190" s="18"/>
      <c r="N190" s="8"/>
    </row>
    <row r="191" spans="1:14" s="56" customFormat="1" ht="14.2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25"/>
      <c r="K191" s="7"/>
      <c r="L191" s="8"/>
      <c r="M191" s="18"/>
    </row>
    <row r="192" spans="1:14" s="56" customFormat="1" ht="14.2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25"/>
      <c r="K192" s="7"/>
      <c r="L192" s="8"/>
      <c r="M192" s="18"/>
    </row>
    <row r="193" spans="1:14" s="52" customFormat="1" ht="1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25"/>
      <c r="K193" s="7"/>
      <c r="L193" s="8"/>
      <c r="M193" s="18"/>
      <c r="N193" s="56"/>
    </row>
    <row r="194" spans="1:14" s="52" customFormat="1" ht="15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25"/>
      <c r="K194" s="7"/>
      <c r="L194" s="8"/>
      <c r="M194" s="18"/>
      <c r="N194" s="56"/>
    </row>
    <row r="195" spans="1:14" s="52" customFormat="1" ht="1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25"/>
      <c r="K195" s="7"/>
      <c r="L195" s="8"/>
      <c r="M195" s="18"/>
      <c r="N195" s="56"/>
    </row>
    <row r="196" spans="1:14" ht="15" x14ac:dyDescent="0.25">
      <c r="N196" s="52"/>
    </row>
    <row r="197" spans="1:14" ht="15" x14ac:dyDescent="0.25">
      <c r="N197" s="52"/>
    </row>
    <row r="198" spans="1:14" s="52" customFormat="1" ht="15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25"/>
      <c r="K198" s="7"/>
      <c r="L198" s="8"/>
      <c r="M198" s="18"/>
    </row>
    <row r="199" spans="1:14" s="52" customFormat="1" ht="1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25"/>
      <c r="K199" s="7"/>
      <c r="L199" s="8"/>
      <c r="M199" s="18"/>
      <c r="N199" s="8"/>
    </row>
    <row r="200" spans="1:14" s="52" customFormat="1" ht="15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25"/>
      <c r="K200" s="7"/>
      <c r="L200" s="8"/>
      <c r="M200" s="18"/>
      <c r="N200" s="8"/>
    </row>
    <row r="201" spans="1:14" s="52" customFormat="1" ht="17.100000000000001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25"/>
      <c r="K201" s="7"/>
      <c r="L201" s="8"/>
      <c r="M201" s="18"/>
    </row>
    <row r="202" spans="1:14" s="52" customFormat="1" ht="17.100000000000001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25"/>
      <c r="K202" s="7"/>
      <c r="L202" s="8"/>
      <c r="M202" s="18"/>
    </row>
    <row r="203" spans="1:14" s="52" customFormat="1" ht="17.100000000000001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25"/>
      <c r="K203" s="7"/>
      <c r="L203" s="8"/>
      <c r="M203" s="18"/>
    </row>
    <row r="204" spans="1:14" s="52" customFormat="1" ht="17.100000000000001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25"/>
      <c r="K204" s="7"/>
      <c r="L204" s="8"/>
      <c r="M204" s="18"/>
    </row>
    <row r="205" spans="1:14" s="52" customFormat="1" ht="17.100000000000001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25"/>
      <c r="K205" s="7"/>
      <c r="L205" s="8"/>
      <c r="M205" s="18"/>
    </row>
    <row r="206" spans="1:14" s="52" customFormat="1" ht="17.100000000000001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25"/>
      <c r="K206" s="7"/>
      <c r="L206" s="8"/>
      <c r="M206" s="18"/>
    </row>
    <row r="207" spans="1:14" s="52" customFormat="1" ht="17.100000000000001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25"/>
      <c r="K207" s="7"/>
      <c r="L207" s="8"/>
      <c r="M207" s="18"/>
    </row>
    <row r="208" spans="1:14" s="52" customFormat="1" ht="17.100000000000001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25"/>
      <c r="K208" s="7"/>
      <c r="L208" s="8"/>
      <c r="M208" s="18"/>
    </row>
    <row r="209" spans="1:13" s="52" customFormat="1" ht="17.100000000000001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25"/>
      <c r="K209" s="7"/>
      <c r="L209" s="8"/>
      <c r="M209" s="18"/>
    </row>
    <row r="210" spans="1:13" s="52" customFormat="1" ht="17.100000000000001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25"/>
      <c r="K210" s="7"/>
      <c r="L210" s="8"/>
      <c r="M210" s="18"/>
    </row>
    <row r="211" spans="1:13" s="52" customFormat="1" ht="17.100000000000001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25"/>
      <c r="K211" s="7"/>
      <c r="L211" s="8"/>
      <c r="M211" s="18"/>
    </row>
    <row r="212" spans="1:13" s="52" customFormat="1" ht="17.100000000000001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25"/>
      <c r="K212" s="7"/>
      <c r="L212" s="8"/>
      <c r="M212" s="18"/>
    </row>
    <row r="213" spans="1:13" s="52" customFormat="1" ht="17.100000000000001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25"/>
      <c r="K213" s="7"/>
      <c r="L213" s="8"/>
      <c r="M213" s="18"/>
    </row>
    <row r="214" spans="1:13" s="52" customFormat="1" ht="17.100000000000001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25"/>
      <c r="K214" s="7"/>
      <c r="L214" s="8"/>
      <c r="M214" s="18"/>
    </row>
    <row r="215" spans="1:13" s="52" customFormat="1" ht="17.100000000000001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25"/>
      <c r="K215" s="7"/>
      <c r="L215" s="8"/>
      <c r="M215" s="18"/>
    </row>
    <row r="216" spans="1:13" s="52" customFormat="1" ht="17.100000000000001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25"/>
      <c r="K216" s="7"/>
      <c r="L216" s="8"/>
      <c r="M216" s="18"/>
    </row>
    <row r="217" spans="1:13" s="52" customFormat="1" ht="17.100000000000001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25"/>
      <c r="K217" s="7"/>
      <c r="L217" s="8"/>
      <c r="M217" s="18"/>
    </row>
    <row r="218" spans="1:13" s="52" customFormat="1" ht="17.100000000000001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25"/>
      <c r="K218" s="7"/>
      <c r="L218" s="8"/>
      <c r="M218" s="18"/>
    </row>
    <row r="219" spans="1:13" s="52" customFormat="1" ht="17.100000000000001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25"/>
      <c r="K219" s="7"/>
      <c r="L219" s="8"/>
      <c r="M219" s="18"/>
    </row>
    <row r="220" spans="1:13" s="52" customFormat="1" ht="17.100000000000001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25"/>
      <c r="K220" s="7"/>
      <c r="L220" s="8"/>
      <c r="M220" s="18"/>
    </row>
    <row r="221" spans="1:13" s="52" customFormat="1" ht="46.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25"/>
      <c r="K221" s="7"/>
      <c r="L221" s="8"/>
      <c r="M221" s="18"/>
    </row>
    <row r="222" spans="1:13" s="52" customFormat="1" ht="38.2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25"/>
      <c r="K222" s="7"/>
      <c r="L222" s="8"/>
      <c r="M222" s="18"/>
    </row>
    <row r="223" spans="1:13" s="52" customFormat="1" ht="13.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25"/>
      <c r="K223" s="7"/>
      <c r="L223" s="8"/>
      <c r="M223" s="18"/>
    </row>
    <row r="224" spans="1:13" s="52" customFormat="1" ht="13.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25"/>
      <c r="K224" s="7"/>
      <c r="L224" s="8"/>
      <c r="M224" s="18"/>
    </row>
    <row r="225" spans="1:14" ht="15" x14ac:dyDescent="0.25">
      <c r="N225" s="52"/>
    </row>
    <row r="226" spans="1:14" ht="15" x14ac:dyDescent="0.25">
      <c r="N226" s="52"/>
    </row>
    <row r="227" spans="1:14" s="52" customFormat="1" ht="1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25"/>
      <c r="K227" s="7"/>
      <c r="L227" s="8"/>
      <c r="M227" s="18"/>
    </row>
    <row r="228" spans="1:14" s="52" customFormat="1" ht="1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25"/>
      <c r="K228" s="7"/>
      <c r="L228" s="8"/>
      <c r="M228" s="18"/>
      <c r="N228" s="8"/>
    </row>
    <row r="229" spans="1:14" s="52" customFormat="1" ht="1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25"/>
      <c r="K229" s="7"/>
      <c r="L229" s="8"/>
      <c r="M229" s="18"/>
      <c r="N229" s="8"/>
    </row>
    <row r="230" spans="1:14" ht="15" x14ac:dyDescent="0.25">
      <c r="N230" s="52"/>
    </row>
    <row r="231" spans="1:14" ht="15" x14ac:dyDescent="0.25">
      <c r="N231" s="52"/>
    </row>
    <row r="232" spans="1:14" s="57" customFormat="1" ht="1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25"/>
      <c r="K232" s="7"/>
      <c r="L232" s="8"/>
      <c r="M232" s="18"/>
      <c r="N232" s="52"/>
    </row>
    <row r="233" spans="1:14" s="57" customFormat="1" ht="1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25"/>
      <c r="K233" s="7"/>
      <c r="L233" s="8"/>
      <c r="M233" s="18"/>
      <c r="N233" s="8"/>
    </row>
    <row r="234" spans="1:14" s="57" customFormat="1" ht="17.100000000000001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25"/>
      <c r="K234" s="7"/>
      <c r="L234" s="8"/>
      <c r="M234" s="18"/>
      <c r="N234" s="8"/>
    </row>
    <row r="235" spans="1:14" s="57" customFormat="1" ht="17.100000000000001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25"/>
      <c r="K235" s="7"/>
      <c r="L235" s="8"/>
      <c r="M235" s="18"/>
    </row>
    <row r="236" spans="1:14" s="57" customFormat="1" ht="17.100000000000001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25"/>
      <c r="K236" s="7"/>
      <c r="L236" s="8"/>
      <c r="M236" s="18"/>
    </row>
    <row r="237" spans="1:14" s="57" customFormat="1" ht="17.100000000000001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25"/>
      <c r="K237" s="7"/>
      <c r="L237" s="8"/>
      <c r="M237" s="18"/>
    </row>
    <row r="238" spans="1:14" s="57" customFormat="1" ht="17.100000000000001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25"/>
      <c r="K238" s="7"/>
      <c r="L238" s="8"/>
      <c r="M238" s="18"/>
    </row>
    <row r="239" spans="1:14" s="57" customFormat="1" ht="17.100000000000001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25"/>
      <c r="K239" s="7"/>
      <c r="L239" s="8"/>
      <c r="M239" s="18"/>
    </row>
    <row r="240" spans="1:14" s="57" customFormat="1" ht="17.100000000000001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25"/>
      <c r="K240" s="7"/>
      <c r="L240" s="8"/>
      <c r="M240" s="18"/>
    </row>
    <row r="241" spans="1:13" s="57" customFormat="1" ht="17.100000000000001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25"/>
      <c r="K241" s="7"/>
      <c r="L241" s="8"/>
      <c r="M241" s="18"/>
    </row>
    <row r="242" spans="1:13" s="57" customFormat="1" ht="17.100000000000001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25"/>
      <c r="K242" s="7"/>
      <c r="L242" s="8"/>
      <c r="M242" s="18"/>
    </row>
    <row r="243" spans="1:13" s="57" customFormat="1" ht="17.100000000000001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25"/>
      <c r="K243" s="7"/>
      <c r="L243" s="8"/>
      <c r="M243" s="18"/>
    </row>
    <row r="244" spans="1:13" s="57" customFormat="1" ht="17.100000000000001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25"/>
      <c r="K244" s="7"/>
      <c r="L244" s="8"/>
      <c r="M244" s="18"/>
    </row>
    <row r="245" spans="1:13" s="57" customFormat="1" ht="17.100000000000001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25"/>
      <c r="K245" s="7"/>
      <c r="L245" s="8"/>
      <c r="M245" s="18"/>
    </row>
    <row r="246" spans="1:13" s="57" customFormat="1" ht="17.100000000000001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25"/>
      <c r="K246" s="7"/>
      <c r="L246" s="8"/>
      <c r="M246" s="18"/>
    </row>
    <row r="247" spans="1:13" s="57" customFormat="1" ht="17.100000000000001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25"/>
      <c r="K247" s="7"/>
      <c r="L247" s="8"/>
      <c r="M247" s="18"/>
    </row>
    <row r="248" spans="1:13" s="57" customFormat="1" ht="17.100000000000001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25"/>
      <c r="K248" s="7"/>
      <c r="L248" s="8"/>
      <c r="M248" s="18"/>
    </row>
    <row r="249" spans="1:13" s="57" customFormat="1" ht="17.100000000000001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25"/>
      <c r="K249" s="7"/>
      <c r="L249" s="8"/>
      <c r="M249" s="18"/>
    </row>
    <row r="250" spans="1:13" s="57" customFormat="1" ht="17.100000000000001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25"/>
      <c r="K250" s="7"/>
      <c r="L250" s="8"/>
      <c r="M250" s="18"/>
    </row>
    <row r="251" spans="1:13" s="57" customFormat="1" ht="17.100000000000001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25"/>
      <c r="K251" s="7"/>
      <c r="L251" s="8"/>
      <c r="M251" s="18"/>
    </row>
    <row r="252" spans="1:13" s="57" customFormat="1" ht="17.100000000000001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25"/>
      <c r="K252" s="7"/>
      <c r="L252" s="8"/>
      <c r="M252" s="18"/>
    </row>
    <row r="253" spans="1:13" s="57" customFormat="1" ht="17.100000000000001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25"/>
      <c r="K253" s="7"/>
      <c r="L253" s="8"/>
      <c r="M253" s="18"/>
    </row>
    <row r="254" spans="1:13" s="57" customFormat="1" ht="66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25"/>
      <c r="K254" s="7"/>
      <c r="L254" s="8"/>
      <c r="M254" s="18"/>
    </row>
    <row r="255" spans="1:13" s="57" customFormat="1" ht="46.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25"/>
      <c r="K255" s="7"/>
      <c r="L255" s="8"/>
      <c r="M255" s="18"/>
    </row>
    <row r="256" spans="1:13" s="57" customFormat="1" ht="12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25"/>
      <c r="K256" s="7"/>
      <c r="L256" s="8"/>
      <c r="M256" s="18"/>
    </row>
    <row r="257" spans="1:14" s="52" customFormat="1" ht="13.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25"/>
      <c r="K257" s="7"/>
      <c r="L257" s="8"/>
      <c r="M257" s="18"/>
      <c r="N257" s="57"/>
    </row>
    <row r="258" spans="1:14" ht="15" x14ac:dyDescent="0.2">
      <c r="N258" s="57"/>
    </row>
    <row r="259" spans="1:14" s="57" customFormat="1" ht="12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25"/>
      <c r="K259" s="7"/>
      <c r="L259" s="8"/>
      <c r="M259" s="18"/>
    </row>
    <row r="260" spans="1:14" s="52" customFormat="1" ht="1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25"/>
      <c r="K260" s="7"/>
      <c r="L260" s="8"/>
      <c r="M260" s="18"/>
    </row>
    <row r="261" spans="1:14" s="52" customFormat="1" ht="1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25"/>
      <c r="K261" s="7"/>
      <c r="L261" s="8"/>
      <c r="M261" s="18"/>
      <c r="N261" s="8"/>
    </row>
    <row r="262" spans="1:14" s="52" customFormat="1" ht="1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25"/>
      <c r="K262" s="7"/>
      <c r="L262" s="8"/>
      <c r="M262" s="18"/>
      <c r="N262" s="57"/>
    </row>
    <row r="263" spans="1:14" ht="15" x14ac:dyDescent="0.25">
      <c r="N263" s="52"/>
    </row>
    <row r="264" spans="1:14" ht="15" x14ac:dyDescent="0.25">
      <c r="N264" s="52"/>
    </row>
    <row r="265" spans="1:14" ht="15" x14ac:dyDescent="0.25">
      <c r="N265" s="52"/>
    </row>
    <row r="268" spans="1:14" ht="15" customHeight="1" x14ac:dyDescent="0.2"/>
    <row r="269" spans="1:14" ht="15" customHeight="1" x14ac:dyDescent="0.2"/>
    <row r="270" spans="1:14" ht="15" customHeight="1" x14ac:dyDescent="0.2"/>
    <row r="271" spans="1:14" ht="15" customHeight="1" x14ac:dyDescent="0.2"/>
    <row r="274" ht="12.75" customHeight="1" x14ac:dyDescent="0.2"/>
    <row r="277" ht="15" customHeight="1" x14ac:dyDescent="0.2"/>
    <row r="278" ht="15" customHeight="1" x14ac:dyDescent="0.2"/>
    <row r="284" ht="15" customHeight="1" x14ac:dyDescent="0.2"/>
    <row r="285" ht="15" customHeight="1" x14ac:dyDescent="0.2"/>
    <row r="288" ht="12.7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</sheetData>
  <sheetProtection sheet="1" selectLockedCells="1"/>
  <mergeCells count="105">
    <mergeCell ref="B7:G7"/>
    <mergeCell ref="B8:G8"/>
    <mergeCell ref="H8:K8"/>
    <mergeCell ref="B10:G10"/>
    <mergeCell ref="B11:G11"/>
    <mergeCell ref="H11:M11"/>
    <mergeCell ref="A1:M1"/>
    <mergeCell ref="A2:M2"/>
    <mergeCell ref="A3:B3"/>
    <mergeCell ref="C3:D3"/>
    <mergeCell ref="B5:G5"/>
    <mergeCell ref="B20:G20"/>
    <mergeCell ref="H20:K20"/>
    <mergeCell ref="B22:G22"/>
    <mergeCell ref="B23:G23"/>
    <mergeCell ref="H23:J23"/>
    <mergeCell ref="B25:G25"/>
    <mergeCell ref="B13:G13"/>
    <mergeCell ref="B14:G14"/>
    <mergeCell ref="B16:G16"/>
    <mergeCell ref="B17:G17"/>
    <mergeCell ref="H17:K17"/>
    <mergeCell ref="B19:G19"/>
    <mergeCell ref="B32:G32"/>
    <mergeCell ref="H32:K32"/>
    <mergeCell ref="B34:G34"/>
    <mergeCell ref="B35:G35"/>
    <mergeCell ref="H35:J35"/>
    <mergeCell ref="B37:G37"/>
    <mergeCell ref="B26:G26"/>
    <mergeCell ref="H26:K26"/>
    <mergeCell ref="B28:G28"/>
    <mergeCell ref="B29:G29"/>
    <mergeCell ref="H29:J29"/>
    <mergeCell ref="B31:G31"/>
    <mergeCell ref="B46:G46"/>
    <mergeCell ref="B48:G48"/>
    <mergeCell ref="B49:G49"/>
    <mergeCell ref="B51:G51"/>
    <mergeCell ref="B52:G52"/>
    <mergeCell ref="B54:G54"/>
    <mergeCell ref="B38:G38"/>
    <mergeCell ref="H38:J38"/>
    <mergeCell ref="B40:G40"/>
    <mergeCell ref="B42:G42"/>
    <mergeCell ref="B43:G43"/>
    <mergeCell ref="B45:G45"/>
    <mergeCell ref="B64:G64"/>
    <mergeCell ref="B66:G66"/>
    <mergeCell ref="B67:G67"/>
    <mergeCell ref="B69:G69"/>
    <mergeCell ref="B70:G70"/>
    <mergeCell ref="B72:G72"/>
    <mergeCell ref="B55:G55"/>
    <mergeCell ref="B57:G57"/>
    <mergeCell ref="B58:G58"/>
    <mergeCell ref="B60:G60"/>
    <mergeCell ref="B61:G61"/>
    <mergeCell ref="B63:G63"/>
    <mergeCell ref="B85:G85"/>
    <mergeCell ref="B86:G86"/>
    <mergeCell ref="B88:G88"/>
    <mergeCell ref="B89:G89"/>
    <mergeCell ref="B73:G73"/>
    <mergeCell ref="B75:J75"/>
    <mergeCell ref="B79:G79"/>
    <mergeCell ref="B80:G80"/>
    <mergeCell ref="B82:G82"/>
    <mergeCell ref="B83:G83"/>
    <mergeCell ref="B109:G109"/>
    <mergeCell ref="B113:G113"/>
    <mergeCell ref="B117:G117"/>
    <mergeCell ref="B100:G100"/>
    <mergeCell ref="B101:G101"/>
    <mergeCell ref="B103:G103"/>
    <mergeCell ref="B106:G106"/>
    <mergeCell ref="B107:G107"/>
    <mergeCell ref="B91:G91"/>
    <mergeCell ref="B92:G92"/>
    <mergeCell ref="B93:G93"/>
    <mergeCell ref="B95:G95"/>
    <mergeCell ref="B97:G97"/>
    <mergeCell ref="B98:G98"/>
    <mergeCell ref="B105:G105"/>
    <mergeCell ref="B118:G118"/>
    <mergeCell ref="B119:G119"/>
    <mergeCell ref="B121:G121"/>
    <mergeCell ref="B123:G123"/>
    <mergeCell ref="B124:G124"/>
    <mergeCell ref="B110:G110"/>
    <mergeCell ref="B111:G111"/>
    <mergeCell ref="B114:G114"/>
    <mergeCell ref="B115:G115"/>
    <mergeCell ref="J136:M136"/>
    <mergeCell ref="J137:M137"/>
    <mergeCell ref="C138:K138"/>
    <mergeCell ref="A140:H140"/>
    <mergeCell ref="J140:M140"/>
    <mergeCell ref="J141:M141"/>
    <mergeCell ref="B126:G126"/>
    <mergeCell ref="B127:G127"/>
    <mergeCell ref="B129:G129"/>
    <mergeCell ref="B130:G130"/>
    <mergeCell ref="B133:G133"/>
    <mergeCell ref="A136:H136"/>
  </mergeCells>
  <printOptions horizontalCentered="1" verticalCentered="1"/>
  <pageMargins left="0.5" right="0.5" top="1.0569852941176501" bottom="1" header="0.66562445319335095" footer="0.3"/>
  <pageSetup scale="66" orientation="portrait" r:id="rId1"/>
  <headerFooter>
    <oddHeader>&amp;R&amp;"Times New Roman,Regular"Exhibit to Solicitation No. FA520926Q0021&amp;K000000
Page &amp;P of &amp;N
Approved effective upon contract award</oddHeader>
    <oddFooter>&amp;C&amp;16&amp;KFF0000CONTROLLED UNCLASSIFIED INFORMATION</oddFooter>
  </headerFooter>
  <rowBreaks count="1" manualBreakCount="1">
    <brk id="75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A2BF-59FC-427A-A069-112196291D38}">
  <dimension ref="A1:Q294"/>
  <sheetViews>
    <sheetView showGridLines="0" view="pageBreakPreview" topLeftCell="A90" zoomScaleNormal="100" zoomScaleSheetLayoutView="100" zoomScalePageLayoutView="85" workbookViewId="0">
      <selection activeCell="K13" sqref="K13"/>
    </sheetView>
  </sheetViews>
  <sheetFormatPr defaultColWidth="9.28515625" defaultRowHeight="12.75" x14ac:dyDescent="0.2"/>
  <cols>
    <col min="1" max="1" width="6.7109375" style="8" customWidth="1"/>
    <col min="2" max="2" width="8.7109375" style="8" customWidth="1"/>
    <col min="3" max="6" width="9.7109375" style="8" customWidth="1"/>
    <col min="7" max="7" width="25.7109375" style="8" customWidth="1"/>
    <col min="8" max="8" width="8.7109375" style="8" customWidth="1"/>
    <col min="9" max="9" width="4.7109375" style="8" customWidth="1"/>
    <col min="10" max="10" width="2.7109375" style="25" customWidth="1"/>
    <col min="11" max="11" width="10.7109375" style="7" customWidth="1"/>
    <col min="12" max="12" width="2.7109375" style="8" customWidth="1"/>
    <col min="13" max="13" width="12.7109375" style="18" customWidth="1"/>
    <col min="14" max="16" width="7.7109375" style="8" customWidth="1"/>
    <col min="17" max="17" width="8.140625" style="8" bestFit="1" customWidth="1"/>
    <col min="18" max="16384" width="9.28515625" style="8"/>
  </cols>
  <sheetData>
    <row r="1" spans="1:17" ht="15.75" customHeight="1" x14ac:dyDescent="0.2">
      <c r="A1" s="73" t="s">
        <v>67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7" ht="15.75" customHeight="1" x14ac:dyDescent="0.2">
      <c r="A2" s="80" t="s">
        <v>321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</row>
    <row r="3" spans="1:17" s="14" customFormat="1" ht="12.75" customHeight="1" x14ac:dyDescent="0.2">
      <c r="A3" s="74" t="s">
        <v>6</v>
      </c>
      <c r="B3" s="74"/>
      <c r="C3" s="75" t="s">
        <v>0</v>
      </c>
      <c r="D3" s="75"/>
      <c r="E3" s="9"/>
      <c r="F3" s="9"/>
      <c r="G3" s="9"/>
      <c r="H3" s="10" t="s">
        <v>7</v>
      </c>
      <c r="I3" s="11" t="s">
        <v>1</v>
      </c>
      <c r="J3" s="12"/>
      <c r="K3" s="61" t="s">
        <v>24</v>
      </c>
      <c r="L3" s="13"/>
      <c r="M3" s="10" t="s">
        <v>48</v>
      </c>
    </row>
    <row r="4" spans="1:17" x14ac:dyDescent="0.2">
      <c r="A4" s="15"/>
      <c r="B4" s="16"/>
      <c r="C4" s="16"/>
      <c r="D4" s="16"/>
      <c r="E4" s="16"/>
      <c r="F4" s="16"/>
      <c r="G4" s="16"/>
      <c r="H4" s="16"/>
      <c r="I4" s="16"/>
      <c r="J4" s="17"/>
      <c r="K4" s="16"/>
      <c r="L4" s="16"/>
    </row>
    <row r="5" spans="1:17" x14ac:dyDescent="0.2">
      <c r="A5" s="19" t="s">
        <v>201</v>
      </c>
      <c r="B5" s="76" t="s">
        <v>262</v>
      </c>
      <c r="C5" s="76"/>
      <c r="D5" s="76"/>
      <c r="E5" s="76"/>
      <c r="F5" s="76"/>
      <c r="G5" s="76"/>
      <c r="H5" s="16"/>
      <c r="I5" s="16"/>
      <c r="J5" s="17"/>
      <c r="K5" s="16"/>
      <c r="L5" s="16"/>
    </row>
    <row r="6" spans="1:17" x14ac:dyDescent="0.2">
      <c r="A6" s="19"/>
      <c r="B6" s="65"/>
      <c r="C6" s="65"/>
      <c r="D6" s="65"/>
      <c r="E6" s="65"/>
      <c r="F6" s="65"/>
      <c r="G6" s="65"/>
      <c r="H6" s="16"/>
      <c r="I6" s="16"/>
      <c r="J6" s="17"/>
      <c r="K6" s="16"/>
      <c r="L6" s="16"/>
    </row>
    <row r="7" spans="1:17" x14ac:dyDescent="0.2">
      <c r="A7" s="20" t="s">
        <v>202</v>
      </c>
      <c r="B7" s="77" t="s">
        <v>287</v>
      </c>
      <c r="C7" s="77"/>
      <c r="D7" s="77"/>
      <c r="E7" s="77"/>
      <c r="F7" s="77"/>
      <c r="G7" s="77"/>
      <c r="H7" s="4">
        <v>9990</v>
      </c>
      <c r="I7" s="21" t="s">
        <v>45</v>
      </c>
      <c r="J7" s="22" t="s">
        <v>3</v>
      </c>
      <c r="K7" s="66"/>
      <c r="L7" s="22" t="s">
        <v>3</v>
      </c>
      <c r="M7" s="1">
        <f>H7*K7</f>
        <v>0</v>
      </c>
      <c r="Q7" s="23"/>
    </row>
    <row r="8" spans="1:17" ht="12.75" customHeight="1" x14ac:dyDescent="0.2">
      <c r="A8" s="20"/>
      <c r="B8" s="78" t="s">
        <v>248</v>
      </c>
      <c r="C8" s="78"/>
      <c r="D8" s="78"/>
      <c r="E8" s="78"/>
      <c r="F8" s="78"/>
      <c r="G8" s="78"/>
      <c r="H8" s="79"/>
      <c r="I8" s="79"/>
      <c r="J8" s="79"/>
      <c r="K8" s="79"/>
      <c r="L8" s="2"/>
      <c r="M8" s="2"/>
      <c r="Q8" s="23"/>
    </row>
    <row r="9" spans="1:17" ht="12.75" customHeight="1" x14ac:dyDescent="0.2">
      <c r="A9" s="20"/>
      <c r="B9" s="63"/>
      <c r="C9" s="63"/>
      <c r="D9" s="63"/>
      <c r="E9" s="63"/>
      <c r="F9" s="63"/>
      <c r="G9" s="63"/>
      <c r="H9" s="24"/>
      <c r="I9" s="21"/>
      <c r="K9" s="26"/>
      <c r="L9" s="2"/>
      <c r="M9" s="2"/>
      <c r="Q9" s="23"/>
    </row>
    <row r="10" spans="1:17" x14ac:dyDescent="0.2">
      <c r="A10" s="20" t="s">
        <v>203</v>
      </c>
      <c r="B10" s="77" t="s">
        <v>288</v>
      </c>
      <c r="C10" s="77"/>
      <c r="D10" s="77"/>
      <c r="E10" s="77"/>
      <c r="F10" s="77"/>
      <c r="G10" s="77"/>
      <c r="H10" s="4">
        <v>20029</v>
      </c>
      <c r="I10" s="21" t="s">
        <v>45</v>
      </c>
      <c r="J10" s="22" t="s">
        <v>3</v>
      </c>
      <c r="K10" s="66"/>
      <c r="L10" s="22" t="s">
        <v>3</v>
      </c>
      <c r="M10" s="1">
        <f>H10*K10</f>
        <v>0</v>
      </c>
      <c r="Q10" s="23"/>
    </row>
    <row r="11" spans="1:17" ht="12.75" customHeight="1" x14ac:dyDescent="0.2">
      <c r="A11" s="20"/>
      <c r="B11" s="78" t="s">
        <v>248</v>
      </c>
      <c r="C11" s="78"/>
      <c r="D11" s="78"/>
      <c r="E11" s="78"/>
      <c r="F11" s="78"/>
      <c r="G11" s="78"/>
      <c r="H11" s="79"/>
      <c r="I11" s="79"/>
      <c r="J11" s="79"/>
      <c r="K11" s="79"/>
      <c r="L11" s="79"/>
      <c r="M11" s="79"/>
      <c r="Q11" s="23"/>
    </row>
    <row r="12" spans="1:17" ht="12.75" customHeight="1" x14ac:dyDescent="0.2">
      <c r="A12" s="20"/>
      <c r="B12" s="63"/>
      <c r="C12" s="63"/>
      <c r="D12" s="63"/>
      <c r="E12" s="63"/>
      <c r="F12" s="63"/>
      <c r="G12" s="63"/>
      <c r="H12" s="24"/>
      <c r="I12" s="21"/>
      <c r="K12" s="26"/>
      <c r="L12" s="2"/>
      <c r="M12" s="2"/>
      <c r="Q12" s="23"/>
    </row>
    <row r="13" spans="1:17" x14ac:dyDescent="0.2">
      <c r="A13" s="20" t="s">
        <v>204</v>
      </c>
      <c r="B13" s="77" t="s">
        <v>289</v>
      </c>
      <c r="C13" s="77"/>
      <c r="D13" s="77"/>
      <c r="E13" s="77"/>
      <c r="F13" s="77"/>
      <c r="G13" s="77"/>
      <c r="H13" s="4">
        <v>37135</v>
      </c>
      <c r="I13" s="21" t="s">
        <v>45</v>
      </c>
      <c r="J13" s="22" t="s">
        <v>3</v>
      </c>
      <c r="K13" s="66"/>
      <c r="L13" s="22" t="s">
        <v>3</v>
      </c>
      <c r="M13" s="1">
        <f>H13*K13</f>
        <v>0</v>
      </c>
      <c r="Q13" s="23"/>
    </row>
    <row r="14" spans="1:17" ht="12.75" customHeight="1" x14ac:dyDescent="0.2">
      <c r="A14" s="20"/>
      <c r="B14" s="78" t="s">
        <v>248</v>
      </c>
      <c r="C14" s="78"/>
      <c r="D14" s="78"/>
      <c r="E14" s="78"/>
      <c r="F14" s="78"/>
      <c r="G14" s="78"/>
      <c r="H14" s="27"/>
      <c r="I14" s="27"/>
      <c r="J14" s="27"/>
      <c r="K14" s="27"/>
      <c r="L14" s="2"/>
      <c r="M14" s="2"/>
      <c r="Q14" s="23"/>
    </row>
    <row r="15" spans="1:17" ht="12.75" customHeight="1" x14ac:dyDescent="0.2">
      <c r="A15" s="20"/>
      <c r="B15" s="63"/>
      <c r="C15" s="63"/>
      <c r="D15" s="63"/>
      <c r="E15" s="63"/>
      <c r="F15" s="63"/>
      <c r="G15" s="63"/>
      <c r="H15" s="24"/>
      <c r="I15" s="21"/>
      <c r="K15" s="26"/>
      <c r="L15" s="2"/>
      <c r="M15" s="2"/>
      <c r="Q15" s="23"/>
    </row>
    <row r="16" spans="1:17" x14ac:dyDescent="0.2">
      <c r="A16" s="20" t="s">
        <v>205</v>
      </c>
      <c r="B16" s="77" t="s">
        <v>290</v>
      </c>
      <c r="C16" s="77"/>
      <c r="D16" s="77"/>
      <c r="E16" s="77"/>
      <c r="F16" s="77"/>
      <c r="G16" s="77"/>
      <c r="H16" s="4">
        <v>3020</v>
      </c>
      <c r="I16" s="21" t="s">
        <v>45</v>
      </c>
      <c r="J16" s="22" t="s">
        <v>3</v>
      </c>
      <c r="K16" s="66"/>
      <c r="L16" s="22" t="s">
        <v>3</v>
      </c>
      <c r="M16" s="1">
        <f>H16*K16</f>
        <v>0</v>
      </c>
      <c r="Q16" s="23"/>
    </row>
    <row r="17" spans="1:17" ht="12.75" customHeight="1" x14ac:dyDescent="0.2">
      <c r="A17" s="20"/>
      <c r="B17" s="78" t="s">
        <v>248</v>
      </c>
      <c r="C17" s="78"/>
      <c r="D17" s="78"/>
      <c r="E17" s="78"/>
      <c r="F17" s="78"/>
      <c r="G17" s="78"/>
      <c r="H17" s="79"/>
      <c r="I17" s="79"/>
      <c r="J17" s="79"/>
      <c r="K17" s="79"/>
      <c r="L17" s="2"/>
      <c r="M17" s="2"/>
      <c r="Q17" s="23"/>
    </row>
    <row r="18" spans="1:17" ht="12.75" customHeight="1" x14ac:dyDescent="0.2">
      <c r="A18" s="20"/>
      <c r="B18" s="63"/>
      <c r="C18" s="63"/>
      <c r="D18" s="63"/>
      <c r="E18" s="63"/>
      <c r="F18" s="63"/>
      <c r="G18" s="63"/>
      <c r="H18" s="24"/>
      <c r="I18" s="21"/>
      <c r="K18" s="26"/>
      <c r="L18" s="2"/>
      <c r="M18" s="2"/>
      <c r="Q18" s="23"/>
    </row>
    <row r="19" spans="1:17" x14ac:dyDescent="0.2">
      <c r="A19" s="20" t="s">
        <v>206</v>
      </c>
      <c r="B19" s="77" t="s">
        <v>291</v>
      </c>
      <c r="C19" s="77"/>
      <c r="D19" s="77"/>
      <c r="E19" s="77"/>
      <c r="F19" s="77"/>
      <c r="G19" s="77"/>
      <c r="H19" s="4">
        <v>3528</v>
      </c>
      <c r="I19" s="21" t="s">
        <v>45</v>
      </c>
      <c r="J19" s="22" t="s">
        <v>3</v>
      </c>
      <c r="K19" s="66"/>
      <c r="L19" s="22" t="s">
        <v>3</v>
      </c>
      <c r="M19" s="1">
        <f>H19*K19</f>
        <v>0</v>
      </c>
      <c r="Q19" s="23"/>
    </row>
    <row r="20" spans="1:17" ht="12.75" customHeight="1" x14ac:dyDescent="0.2">
      <c r="A20" s="20"/>
      <c r="B20" s="78" t="s">
        <v>248</v>
      </c>
      <c r="C20" s="78"/>
      <c r="D20" s="78"/>
      <c r="E20" s="78"/>
      <c r="F20" s="78"/>
      <c r="G20" s="78"/>
      <c r="H20" s="79"/>
      <c r="I20" s="79"/>
      <c r="J20" s="79"/>
      <c r="K20" s="79"/>
      <c r="L20" s="2"/>
      <c r="M20" s="2"/>
      <c r="Q20" s="23"/>
    </row>
    <row r="21" spans="1:17" ht="12.75" customHeight="1" x14ac:dyDescent="0.2">
      <c r="A21" s="20"/>
      <c r="B21" s="63"/>
      <c r="C21" s="63"/>
      <c r="D21" s="63"/>
      <c r="E21" s="63"/>
      <c r="F21" s="63"/>
      <c r="G21" s="63"/>
      <c r="H21" s="24"/>
      <c r="I21" s="21"/>
      <c r="K21" s="26"/>
      <c r="L21" s="2"/>
      <c r="M21" s="2"/>
      <c r="Q21" s="23"/>
    </row>
    <row r="22" spans="1:17" x14ac:dyDescent="0.2">
      <c r="A22" s="20" t="s">
        <v>207</v>
      </c>
      <c r="B22" s="77" t="s">
        <v>292</v>
      </c>
      <c r="C22" s="77"/>
      <c r="D22" s="77"/>
      <c r="E22" s="77"/>
      <c r="F22" s="77"/>
      <c r="G22" s="77"/>
      <c r="H22" s="4">
        <v>790</v>
      </c>
      <c r="I22" s="21" t="s">
        <v>45</v>
      </c>
      <c r="J22" s="22" t="s">
        <v>3</v>
      </c>
      <c r="K22" s="66"/>
      <c r="L22" s="22" t="s">
        <v>3</v>
      </c>
      <c r="M22" s="1">
        <f>H22*K22</f>
        <v>0</v>
      </c>
      <c r="Q22" s="23"/>
    </row>
    <row r="23" spans="1:17" ht="12.75" customHeight="1" x14ac:dyDescent="0.2">
      <c r="A23" s="20"/>
      <c r="B23" s="78" t="s">
        <v>248</v>
      </c>
      <c r="C23" s="78"/>
      <c r="D23" s="78"/>
      <c r="E23" s="78"/>
      <c r="F23" s="78"/>
      <c r="G23" s="78"/>
      <c r="H23" s="79"/>
      <c r="I23" s="79"/>
      <c r="J23" s="79"/>
      <c r="K23" s="26"/>
      <c r="L23" s="2"/>
      <c r="M23" s="2"/>
      <c r="Q23" s="23"/>
    </row>
    <row r="24" spans="1:17" ht="12.75" customHeight="1" x14ac:dyDescent="0.2">
      <c r="A24" s="20"/>
      <c r="B24" s="63"/>
      <c r="C24" s="63"/>
      <c r="D24" s="63"/>
      <c r="E24" s="63"/>
      <c r="F24" s="63"/>
      <c r="G24" s="63"/>
      <c r="H24" s="24"/>
      <c r="I24" s="21"/>
      <c r="K24" s="26"/>
      <c r="L24" s="2"/>
      <c r="M24" s="2"/>
      <c r="Q24" s="23"/>
    </row>
    <row r="25" spans="1:17" x14ac:dyDescent="0.2">
      <c r="A25" s="20" t="s">
        <v>208</v>
      </c>
      <c r="B25" s="77" t="s">
        <v>293</v>
      </c>
      <c r="C25" s="77"/>
      <c r="D25" s="77"/>
      <c r="E25" s="77"/>
      <c r="F25" s="77"/>
      <c r="G25" s="77"/>
      <c r="H25" s="4">
        <v>7413</v>
      </c>
      <c r="I25" s="21" t="s">
        <v>45</v>
      </c>
      <c r="J25" s="22" t="s">
        <v>3</v>
      </c>
      <c r="K25" s="66"/>
      <c r="L25" s="22" t="s">
        <v>3</v>
      </c>
      <c r="M25" s="1">
        <f>H25*K25</f>
        <v>0</v>
      </c>
      <c r="Q25" s="23"/>
    </row>
    <row r="26" spans="1:17" ht="12.75" customHeight="1" x14ac:dyDescent="0.2">
      <c r="A26" s="20"/>
      <c r="B26" s="78" t="s">
        <v>248</v>
      </c>
      <c r="C26" s="78"/>
      <c r="D26" s="78"/>
      <c r="E26" s="78"/>
      <c r="F26" s="78"/>
      <c r="G26" s="78"/>
      <c r="H26" s="79"/>
      <c r="I26" s="79"/>
      <c r="J26" s="79"/>
      <c r="K26" s="79"/>
      <c r="L26" s="2"/>
      <c r="M26" s="2"/>
      <c r="Q26" s="23"/>
    </row>
    <row r="27" spans="1:17" ht="12.75" customHeight="1" x14ac:dyDescent="0.2">
      <c r="A27" s="20"/>
      <c r="B27" s="63"/>
      <c r="C27" s="63"/>
      <c r="D27" s="63"/>
      <c r="E27" s="63"/>
      <c r="F27" s="63"/>
      <c r="G27" s="63"/>
      <c r="H27" s="24"/>
      <c r="I27" s="21"/>
      <c r="K27" s="26"/>
      <c r="L27" s="2"/>
      <c r="M27" s="2"/>
      <c r="Q27" s="23"/>
    </row>
    <row r="28" spans="1:17" x14ac:dyDescent="0.2">
      <c r="A28" s="20" t="s">
        <v>209</v>
      </c>
      <c r="B28" s="77" t="s">
        <v>294</v>
      </c>
      <c r="C28" s="77"/>
      <c r="D28" s="77"/>
      <c r="E28" s="77"/>
      <c r="F28" s="77"/>
      <c r="G28" s="77"/>
      <c r="H28" s="4">
        <v>237</v>
      </c>
      <c r="I28" s="21" t="s">
        <v>45</v>
      </c>
      <c r="J28" s="22" t="s">
        <v>3</v>
      </c>
      <c r="K28" s="66"/>
      <c r="L28" s="22" t="s">
        <v>3</v>
      </c>
      <c r="M28" s="1">
        <f>H28*K28</f>
        <v>0</v>
      </c>
      <c r="Q28" s="23"/>
    </row>
    <row r="29" spans="1:17" ht="12.75" customHeight="1" x14ac:dyDescent="0.2">
      <c r="A29" s="20"/>
      <c r="B29" s="78" t="s">
        <v>248</v>
      </c>
      <c r="C29" s="78"/>
      <c r="D29" s="78"/>
      <c r="E29" s="78"/>
      <c r="F29" s="78"/>
      <c r="G29" s="78"/>
      <c r="H29" s="79"/>
      <c r="I29" s="79"/>
      <c r="J29" s="79"/>
      <c r="K29" s="26"/>
      <c r="L29" s="2"/>
      <c r="M29" s="2"/>
      <c r="Q29" s="23"/>
    </row>
    <row r="30" spans="1:17" ht="12.75" customHeight="1" x14ac:dyDescent="0.2">
      <c r="A30" s="20"/>
      <c r="B30" s="63"/>
      <c r="C30" s="63"/>
      <c r="D30" s="63"/>
      <c r="E30" s="63"/>
      <c r="F30" s="63"/>
      <c r="G30" s="63"/>
      <c r="H30" s="24"/>
      <c r="I30" s="21"/>
      <c r="K30" s="26"/>
      <c r="L30" s="2"/>
      <c r="M30" s="2"/>
      <c r="Q30" s="23"/>
    </row>
    <row r="31" spans="1:17" x14ac:dyDescent="0.2">
      <c r="A31" s="20" t="s">
        <v>210</v>
      </c>
      <c r="B31" s="77" t="s">
        <v>295</v>
      </c>
      <c r="C31" s="77"/>
      <c r="D31" s="77"/>
      <c r="E31" s="77"/>
      <c r="F31" s="77"/>
      <c r="G31" s="77"/>
      <c r="H31" s="4">
        <v>24550</v>
      </c>
      <c r="I31" s="21" t="s">
        <v>45</v>
      </c>
      <c r="J31" s="22" t="s">
        <v>3</v>
      </c>
      <c r="K31" s="66"/>
      <c r="L31" s="22" t="s">
        <v>3</v>
      </c>
      <c r="M31" s="1">
        <f>H31*K31</f>
        <v>0</v>
      </c>
      <c r="Q31" s="23"/>
    </row>
    <row r="32" spans="1:17" ht="12.75" customHeight="1" x14ac:dyDescent="0.2">
      <c r="A32" s="20"/>
      <c r="B32" s="78" t="s">
        <v>248</v>
      </c>
      <c r="C32" s="78"/>
      <c r="D32" s="78"/>
      <c r="E32" s="78"/>
      <c r="F32" s="78"/>
      <c r="G32" s="78"/>
      <c r="H32" s="79"/>
      <c r="I32" s="79"/>
      <c r="J32" s="79"/>
      <c r="K32" s="79"/>
      <c r="L32" s="2"/>
      <c r="M32" s="2"/>
      <c r="Q32" s="23"/>
    </row>
    <row r="33" spans="1:17" ht="12.75" customHeight="1" x14ac:dyDescent="0.2">
      <c r="A33" s="20"/>
      <c r="B33" s="63"/>
      <c r="C33" s="63"/>
      <c r="D33" s="63"/>
      <c r="E33" s="63"/>
      <c r="F33" s="63"/>
      <c r="G33" s="63"/>
      <c r="H33" s="24"/>
      <c r="I33" s="21"/>
      <c r="K33" s="26"/>
      <c r="L33" s="2"/>
      <c r="M33" s="2"/>
      <c r="Q33" s="23"/>
    </row>
    <row r="34" spans="1:17" x14ac:dyDescent="0.2">
      <c r="A34" s="20" t="s">
        <v>211</v>
      </c>
      <c r="B34" s="77" t="s">
        <v>296</v>
      </c>
      <c r="C34" s="77"/>
      <c r="D34" s="77"/>
      <c r="E34" s="77"/>
      <c r="F34" s="77"/>
      <c r="G34" s="77"/>
      <c r="H34" s="4">
        <v>24000</v>
      </c>
      <c r="I34" s="21" t="s">
        <v>45</v>
      </c>
      <c r="J34" s="58" t="s">
        <v>3</v>
      </c>
      <c r="K34" s="59"/>
      <c r="L34" s="58" t="s">
        <v>3</v>
      </c>
      <c r="M34" s="60">
        <f>H34*K34</f>
        <v>0</v>
      </c>
      <c r="Q34" s="23"/>
    </row>
    <row r="35" spans="1:17" ht="12.75" customHeight="1" x14ac:dyDescent="0.2">
      <c r="A35" s="20"/>
      <c r="B35" s="78" t="s">
        <v>248</v>
      </c>
      <c r="C35" s="78"/>
      <c r="D35" s="78"/>
      <c r="E35" s="78"/>
      <c r="F35" s="78"/>
      <c r="G35" s="78"/>
      <c r="H35" s="79"/>
      <c r="I35" s="79"/>
      <c r="J35" s="79"/>
      <c r="K35" s="26"/>
      <c r="L35" s="2"/>
      <c r="M35" s="2"/>
    </row>
    <row r="36" spans="1:17" ht="12.75" customHeight="1" x14ac:dyDescent="0.2">
      <c r="A36" s="20"/>
      <c r="B36" s="63"/>
      <c r="C36" s="63"/>
      <c r="D36" s="63"/>
      <c r="E36" s="63"/>
      <c r="F36" s="63"/>
      <c r="G36" s="63"/>
      <c r="H36" s="64"/>
      <c r="I36" s="64"/>
      <c r="J36" s="64"/>
      <c r="K36" s="26"/>
      <c r="L36" s="2"/>
      <c r="M36" s="2"/>
    </row>
    <row r="37" spans="1:17" x14ac:dyDescent="0.2">
      <c r="A37" s="20" t="s">
        <v>212</v>
      </c>
      <c r="B37" s="77" t="s">
        <v>297</v>
      </c>
      <c r="C37" s="77"/>
      <c r="D37" s="77"/>
      <c r="E37" s="77"/>
      <c r="F37" s="77"/>
      <c r="G37" s="77"/>
      <c r="H37" s="4">
        <v>4365</v>
      </c>
      <c r="I37" s="21" t="s">
        <v>45</v>
      </c>
      <c r="J37" s="22" t="s">
        <v>3</v>
      </c>
      <c r="K37" s="66"/>
      <c r="L37" s="22" t="s">
        <v>3</v>
      </c>
      <c r="M37" s="1">
        <f>H37*K37</f>
        <v>0</v>
      </c>
      <c r="Q37" s="23"/>
    </row>
    <row r="38" spans="1:17" ht="12.75" customHeight="1" x14ac:dyDescent="0.2">
      <c r="A38" s="20"/>
      <c r="B38" s="78" t="s">
        <v>249</v>
      </c>
      <c r="C38" s="78"/>
      <c r="D38" s="78"/>
      <c r="E38" s="78"/>
      <c r="F38" s="78"/>
      <c r="G38" s="78"/>
      <c r="H38" s="79"/>
      <c r="I38" s="79"/>
      <c r="J38" s="79"/>
      <c r="K38" s="26"/>
      <c r="L38" s="2"/>
      <c r="M38" s="2"/>
    </row>
    <row r="39" spans="1:17" ht="12.75" customHeight="1" x14ac:dyDescent="0.2">
      <c r="A39" s="20"/>
      <c r="B39" s="63"/>
      <c r="C39" s="63"/>
      <c r="D39" s="63"/>
      <c r="E39" s="63"/>
      <c r="F39" s="63"/>
      <c r="G39" s="63"/>
      <c r="H39" s="64"/>
      <c r="I39" s="64"/>
      <c r="J39" s="64"/>
      <c r="K39" s="26"/>
      <c r="L39" s="2"/>
      <c r="M39" s="2"/>
    </row>
    <row r="40" spans="1:17" ht="12.75" customHeight="1" x14ac:dyDescent="0.2">
      <c r="A40" s="28" t="s">
        <v>213</v>
      </c>
      <c r="B40" s="81" t="s">
        <v>263</v>
      </c>
      <c r="C40" s="81"/>
      <c r="D40" s="81"/>
      <c r="E40" s="81"/>
      <c r="F40" s="81"/>
      <c r="G40" s="81"/>
      <c r="H40" s="24"/>
      <c r="I40" s="21"/>
      <c r="K40" s="26"/>
      <c r="L40" s="2"/>
      <c r="M40" s="2"/>
    </row>
    <row r="41" spans="1:17" ht="12.75" customHeight="1" x14ac:dyDescent="0.2">
      <c r="A41" s="28"/>
      <c r="B41" s="71"/>
      <c r="C41" s="71"/>
      <c r="D41" s="71"/>
      <c r="E41" s="71"/>
      <c r="F41" s="71"/>
      <c r="G41" s="71"/>
      <c r="H41" s="24"/>
      <c r="I41" s="21"/>
      <c r="K41" s="26"/>
      <c r="L41" s="2"/>
      <c r="M41" s="2"/>
    </row>
    <row r="42" spans="1:17" x14ac:dyDescent="0.2">
      <c r="A42" s="20" t="s">
        <v>214</v>
      </c>
      <c r="B42" s="77" t="s">
        <v>267</v>
      </c>
      <c r="C42" s="77"/>
      <c r="D42" s="77"/>
      <c r="E42" s="77"/>
      <c r="F42" s="77"/>
      <c r="G42" s="77"/>
      <c r="H42" s="4">
        <v>402</v>
      </c>
      <c r="I42" s="21" t="s">
        <v>8</v>
      </c>
      <c r="J42" s="22" t="s">
        <v>3</v>
      </c>
      <c r="K42" s="66"/>
      <c r="L42" s="22" t="s">
        <v>3</v>
      </c>
      <c r="M42" s="1">
        <f>H42*K42</f>
        <v>0</v>
      </c>
      <c r="O42" s="29"/>
      <c r="Q42" s="23"/>
    </row>
    <row r="43" spans="1:17" ht="12.75" customHeight="1" x14ac:dyDescent="0.2">
      <c r="A43" s="20"/>
      <c r="B43" s="78" t="s">
        <v>248</v>
      </c>
      <c r="C43" s="78"/>
      <c r="D43" s="78"/>
      <c r="E43" s="78"/>
      <c r="F43" s="78"/>
      <c r="G43" s="78"/>
      <c r="H43" s="24"/>
      <c r="I43" s="21"/>
      <c r="K43" s="26"/>
      <c r="L43" s="2"/>
      <c r="M43" s="2"/>
      <c r="Q43" s="23"/>
    </row>
    <row r="44" spans="1:17" ht="12.75" customHeight="1" x14ac:dyDescent="0.2">
      <c r="A44" s="20"/>
      <c r="B44" s="63"/>
      <c r="C44" s="63"/>
      <c r="D44" s="63"/>
      <c r="E44" s="63"/>
      <c r="F44" s="63"/>
      <c r="G44" s="63"/>
      <c r="H44" s="24"/>
      <c r="I44" s="21"/>
      <c r="K44" s="26"/>
      <c r="L44" s="2"/>
      <c r="M44" s="2"/>
      <c r="Q44" s="23"/>
    </row>
    <row r="45" spans="1:17" x14ac:dyDescent="0.2">
      <c r="A45" s="20" t="s">
        <v>215</v>
      </c>
      <c r="B45" s="77" t="s">
        <v>264</v>
      </c>
      <c r="C45" s="77"/>
      <c r="D45" s="77"/>
      <c r="E45" s="77"/>
      <c r="F45" s="77"/>
      <c r="G45" s="77"/>
      <c r="H45" s="4">
        <v>457</v>
      </c>
      <c r="I45" s="21" t="s">
        <v>8</v>
      </c>
      <c r="J45" s="22" t="s">
        <v>3</v>
      </c>
      <c r="K45" s="66"/>
      <c r="L45" s="22" t="s">
        <v>3</v>
      </c>
      <c r="M45" s="1">
        <f>H45*K45</f>
        <v>0</v>
      </c>
      <c r="O45" s="29"/>
      <c r="Q45" s="23"/>
    </row>
    <row r="46" spans="1:17" ht="12.75" customHeight="1" x14ac:dyDescent="0.2">
      <c r="A46" s="20"/>
      <c r="B46" s="78" t="s">
        <v>248</v>
      </c>
      <c r="C46" s="78"/>
      <c r="D46" s="78"/>
      <c r="E46" s="78"/>
      <c r="F46" s="78"/>
      <c r="G46" s="78"/>
      <c r="H46" s="24"/>
      <c r="I46" s="21"/>
      <c r="K46" s="26"/>
      <c r="L46" s="2"/>
      <c r="M46" s="2"/>
      <c r="Q46" s="23"/>
    </row>
    <row r="47" spans="1:17" ht="12.75" customHeight="1" x14ac:dyDescent="0.2">
      <c r="A47" s="20"/>
      <c r="B47" s="63"/>
      <c r="C47" s="63"/>
      <c r="D47" s="63"/>
      <c r="E47" s="63"/>
      <c r="F47" s="63"/>
      <c r="G47" s="63"/>
      <c r="H47" s="24"/>
      <c r="I47" s="21"/>
      <c r="K47" s="26"/>
      <c r="L47" s="2"/>
      <c r="M47" s="2"/>
      <c r="Q47" s="23"/>
    </row>
    <row r="48" spans="1:17" x14ac:dyDescent="0.2">
      <c r="A48" s="20" t="s">
        <v>216</v>
      </c>
      <c r="B48" s="77" t="s">
        <v>265</v>
      </c>
      <c r="C48" s="77"/>
      <c r="D48" s="77"/>
      <c r="E48" s="77"/>
      <c r="F48" s="77"/>
      <c r="G48" s="77"/>
      <c r="H48" s="4">
        <v>1677</v>
      </c>
      <c r="I48" s="21" t="s">
        <v>8</v>
      </c>
      <c r="J48" s="22" t="s">
        <v>3</v>
      </c>
      <c r="K48" s="66"/>
      <c r="L48" s="22" t="s">
        <v>3</v>
      </c>
      <c r="M48" s="1">
        <f>H48*K48</f>
        <v>0</v>
      </c>
      <c r="O48" s="29"/>
      <c r="Q48" s="23"/>
    </row>
    <row r="49" spans="1:17" ht="12.75" customHeight="1" x14ac:dyDescent="0.2">
      <c r="A49" s="20"/>
      <c r="B49" s="78" t="s">
        <v>248</v>
      </c>
      <c r="C49" s="78"/>
      <c r="D49" s="78"/>
      <c r="E49" s="78"/>
      <c r="F49" s="78"/>
      <c r="G49" s="78"/>
      <c r="H49" s="24"/>
      <c r="I49" s="21"/>
      <c r="K49" s="26"/>
      <c r="L49" s="2"/>
      <c r="M49" s="2"/>
      <c r="Q49" s="23"/>
    </row>
    <row r="50" spans="1:17" ht="12.75" customHeight="1" x14ac:dyDescent="0.2">
      <c r="A50" s="20"/>
      <c r="B50" s="63"/>
      <c r="C50" s="63"/>
      <c r="D50" s="63"/>
      <c r="E50" s="63"/>
      <c r="F50" s="63"/>
      <c r="G50" s="63"/>
      <c r="H50" s="24"/>
      <c r="I50" s="21"/>
      <c r="K50" s="26"/>
      <c r="L50" s="2"/>
      <c r="M50" s="2"/>
      <c r="Q50" s="23"/>
    </row>
    <row r="51" spans="1:17" x14ac:dyDescent="0.2">
      <c r="A51" s="20" t="s">
        <v>217</v>
      </c>
      <c r="B51" s="77" t="s">
        <v>266</v>
      </c>
      <c r="C51" s="77"/>
      <c r="D51" s="77"/>
      <c r="E51" s="77"/>
      <c r="F51" s="77"/>
      <c r="G51" s="77"/>
      <c r="H51" s="4">
        <v>71</v>
      </c>
      <c r="I51" s="21" t="s">
        <v>8</v>
      </c>
      <c r="J51" s="22" t="s">
        <v>3</v>
      </c>
      <c r="K51" s="66"/>
      <c r="L51" s="22" t="s">
        <v>3</v>
      </c>
      <c r="M51" s="1">
        <f>H51*K51</f>
        <v>0</v>
      </c>
      <c r="O51" s="29"/>
      <c r="Q51" s="23"/>
    </row>
    <row r="52" spans="1:17" ht="12.75" customHeight="1" x14ac:dyDescent="0.2">
      <c r="A52" s="20"/>
      <c r="B52" s="78" t="s">
        <v>248</v>
      </c>
      <c r="C52" s="78"/>
      <c r="D52" s="78"/>
      <c r="E52" s="78"/>
      <c r="F52" s="78"/>
      <c r="G52" s="78"/>
      <c r="H52" s="24"/>
      <c r="I52" s="21"/>
      <c r="K52" s="26"/>
      <c r="L52" s="2"/>
      <c r="M52" s="2"/>
      <c r="Q52" s="23"/>
    </row>
    <row r="53" spans="1:17" ht="12.75" customHeight="1" x14ac:dyDescent="0.2">
      <c r="A53" s="20"/>
      <c r="B53" s="63"/>
      <c r="C53" s="63"/>
      <c r="D53" s="63"/>
      <c r="E53" s="63"/>
      <c r="F53" s="63"/>
      <c r="G53" s="63"/>
      <c r="H53" s="24"/>
      <c r="I53" s="21"/>
      <c r="K53" s="26"/>
      <c r="L53" s="2"/>
      <c r="M53" s="2"/>
      <c r="Q53" s="23"/>
    </row>
    <row r="54" spans="1:17" x14ac:dyDescent="0.2">
      <c r="A54" s="20" t="s">
        <v>218</v>
      </c>
      <c r="B54" s="77" t="s">
        <v>268</v>
      </c>
      <c r="C54" s="77"/>
      <c r="D54" s="77"/>
      <c r="E54" s="77"/>
      <c r="F54" s="77"/>
      <c r="G54" s="77"/>
      <c r="H54" s="4">
        <v>84</v>
      </c>
      <c r="I54" s="21" t="s">
        <v>8</v>
      </c>
      <c r="J54" s="22" t="s">
        <v>3</v>
      </c>
      <c r="K54" s="66"/>
      <c r="L54" s="22" t="s">
        <v>3</v>
      </c>
      <c r="M54" s="1">
        <f>H54*K54</f>
        <v>0</v>
      </c>
      <c r="O54" s="29"/>
      <c r="Q54" s="23"/>
    </row>
    <row r="55" spans="1:17" ht="12.75" customHeight="1" x14ac:dyDescent="0.2">
      <c r="A55" s="20"/>
      <c r="B55" s="78" t="s">
        <v>248</v>
      </c>
      <c r="C55" s="78"/>
      <c r="D55" s="78"/>
      <c r="E55" s="78"/>
      <c r="F55" s="78"/>
      <c r="G55" s="78"/>
      <c r="H55" s="24"/>
      <c r="I55" s="21"/>
      <c r="K55" s="26"/>
      <c r="L55" s="2"/>
      <c r="M55" s="2"/>
      <c r="Q55" s="23"/>
    </row>
    <row r="56" spans="1:17" ht="12.75" customHeight="1" x14ac:dyDescent="0.2">
      <c r="A56" s="20"/>
      <c r="B56" s="63"/>
      <c r="C56" s="63"/>
      <c r="D56" s="63"/>
      <c r="E56" s="63"/>
      <c r="F56" s="63"/>
      <c r="G56" s="63"/>
      <c r="H56" s="24"/>
      <c r="I56" s="21"/>
      <c r="K56" s="26"/>
      <c r="L56" s="2"/>
      <c r="M56" s="2"/>
      <c r="Q56" s="23"/>
    </row>
    <row r="57" spans="1:17" x14ac:dyDescent="0.2">
      <c r="A57" s="20" t="s">
        <v>219</v>
      </c>
      <c r="B57" s="77" t="s">
        <v>269</v>
      </c>
      <c r="C57" s="77"/>
      <c r="D57" s="77"/>
      <c r="E57" s="77"/>
      <c r="F57" s="77"/>
      <c r="G57" s="77"/>
      <c r="H57" s="4">
        <v>42</v>
      </c>
      <c r="I57" s="21" t="s">
        <v>8</v>
      </c>
      <c r="J57" s="22" t="s">
        <v>3</v>
      </c>
      <c r="K57" s="66"/>
      <c r="L57" s="22" t="s">
        <v>3</v>
      </c>
      <c r="M57" s="1">
        <f>H57*K57</f>
        <v>0</v>
      </c>
      <c r="O57" s="29"/>
      <c r="Q57" s="23"/>
    </row>
    <row r="58" spans="1:17" ht="12.75" customHeight="1" x14ac:dyDescent="0.2">
      <c r="A58" s="20"/>
      <c r="B58" s="78" t="s">
        <v>248</v>
      </c>
      <c r="C58" s="78"/>
      <c r="D58" s="78"/>
      <c r="E58" s="78"/>
      <c r="F58" s="78"/>
      <c r="G58" s="78"/>
      <c r="H58" s="24"/>
      <c r="I58" s="21"/>
      <c r="K58" s="26"/>
      <c r="L58" s="2"/>
      <c r="M58" s="2"/>
      <c r="Q58" s="23"/>
    </row>
    <row r="59" spans="1:17" ht="12.75" customHeight="1" x14ac:dyDescent="0.2">
      <c r="A59" s="20"/>
      <c r="B59" s="63"/>
      <c r="C59" s="63"/>
      <c r="D59" s="63"/>
      <c r="E59" s="63"/>
      <c r="F59" s="63"/>
      <c r="G59" s="63"/>
      <c r="H59" s="24"/>
      <c r="I59" s="21"/>
      <c r="K59" s="26"/>
      <c r="L59" s="2"/>
      <c r="M59" s="2"/>
      <c r="Q59" s="23"/>
    </row>
    <row r="60" spans="1:17" x14ac:dyDescent="0.2">
      <c r="A60" s="20" t="s">
        <v>220</v>
      </c>
      <c r="B60" s="77" t="s">
        <v>274</v>
      </c>
      <c r="C60" s="77"/>
      <c r="D60" s="77"/>
      <c r="E60" s="77"/>
      <c r="F60" s="77"/>
      <c r="G60" s="77"/>
      <c r="H60" s="4">
        <v>169</v>
      </c>
      <c r="I60" s="21" t="s">
        <v>8</v>
      </c>
      <c r="J60" s="22" t="s">
        <v>3</v>
      </c>
      <c r="K60" s="66"/>
      <c r="L60" s="22" t="s">
        <v>3</v>
      </c>
      <c r="M60" s="1">
        <f>H60*K60</f>
        <v>0</v>
      </c>
      <c r="O60" s="29"/>
      <c r="Q60" s="23"/>
    </row>
    <row r="61" spans="1:17" ht="12.75" customHeight="1" x14ac:dyDescent="0.2">
      <c r="A61" s="20"/>
      <c r="B61" s="78" t="s">
        <v>248</v>
      </c>
      <c r="C61" s="78"/>
      <c r="D61" s="78"/>
      <c r="E61" s="78"/>
      <c r="F61" s="78"/>
      <c r="G61" s="78"/>
      <c r="H61" s="24"/>
      <c r="I61" s="21"/>
      <c r="K61" s="26"/>
      <c r="L61" s="2"/>
      <c r="M61" s="2"/>
      <c r="Q61" s="23"/>
    </row>
    <row r="62" spans="1:17" ht="12.75" customHeight="1" x14ac:dyDescent="0.2">
      <c r="A62" s="20"/>
      <c r="B62" s="63"/>
      <c r="C62" s="63"/>
      <c r="D62" s="63"/>
      <c r="E62" s="63"/>
      <c r="F62" s="63"/>
      <c r="G62" s="63"/>
      <c r="H62" s="24"/>
      <c r="I62" s="21"/>
      <c r="K62" s="26"/>
      <c r="L62" s="2"/>
      <c r="M62" s="2"/>
      <c r="Q62" s="23"/>
    </row>
    <row r="63" spans="1:17" x14ac:dyDescent="0.2">
      <c r="A63" s="20" t="s">
        <v>221</v>
      </c>
      <c r="B63" s="77" t="s">
        <v>270</v>
      </c>
      <c r="C63" s="77"/>
      <c r="D63" s="77"/>
      <c r="E63" s="77"/>
      <c r="F63" s="77"/>
      <c r="G63" s="77"/>
      <c r="H63" s="4">
        <v>13</v>
      </c>
      <c r="I63" s="21" t="s">
        <v>8</v>
      </c>
      <c r="J63" s="22" t="s">
        <v>3</v>
      </c>
      <c r="K63" s="66"/>
      <c r="L63" s="22" t="s">
        <v>3</v>
      </c>
      <c r="M63" s="1">
        <f>H63*K63</f>
        <v>0</v>
      </c>
      <c r="O63" s="29"/>
      <c r="Q63" s="23"/>
    </row>
    <row r="64" spans="1:17" ht="12.75" customHeight="1" x14ac:dyDescent="0.2">
      <c r="A64" s="20"/>
      <c r="B64" s="78" t="s">
        <v>248</v>
      </c>
      <c r="C64" s="78"/>
      <c r="D64" s="78"/>
      <c r="E64" s="78"/>
      <c r="F64" s="78"/>
      <c r="G64" s="78"/>
      <c r="H64" s="24"/>
      <c r="I64" s="21"/>
      <c r="K64" s="26"/>
      <c r="L64" s="2"/>
      <c r="M64" s="2"/>
      <c r="Q64" s="23"/>
    </row>
    <row r="65" spans="1:17" ht="12.75" customHeight="1" x14ac:dyDescent="0.2">
      <c r="A65" s="20"/>
      <c r="B65" s="63"/>
      <c r="C65" s="63"/>
      <c r="D65" s="63"/>
      <c r="E65" s="63"/>
      <c r="F65" s="63"/>
      <c r="G65" s="63"/>
      <c r="H65" s="24"/>
      <c r="I65" s="21"/>
      <c r="K65" s="26"/>
      <c r="L65" s="2"/>
      <c r="M65" s="2"/>
      <c r="Q65" s="23"/>
    </row>
    <row r="66" spans="1:17" x14ac:dyDescent="0.2">
      <c r="A66" s="20" t="s">
        <v>222</v>
      </c>
      <c r="B66" s="77" t="s">
        <v>271</v>
      </c>
      <c r="C66" s="77"/>
      <c r="D66" s="77"/>
      <c r="E66" s="77"/>
      <c r="F66" s="77"/>
      <c r="G66" s="77"/>
      <c r="H66" s="4">
        <v>722</v>
      </c>
      <c r="I66" s="21" t="s">
        <v>8</v>
      </c>
      <c r="J66" s="22" t="s">
        <v>3</v>
      </c>
      <c r="K66" s="66"/>
      <c r="L66" s="22" t="s">
        <v>3</v>
      </c>
      <c r="M66" s="1">
        <f>H66*K66</f>
        <v>0</v>
      </c>
      <c r="O66" s="29"/>
      <c r="Q66" s="23"/>
    </row>
    <row r="67" spans="1:17" ht="12.75" customHeight="1" x14ac:dyDescent="0.2">
      <c r="A67" s="20"/>
      <c r="B67" s="78" t="s">
        <v>248</v>
      </c>
      <c r="C67" s="78"/>
      <c r="D67" s="78"/>
      <c r="E67" s="78"/>
      <c r="F67" s="78"/>
      <c r="G67" s="78"/>
      <c r="H67" s="24"/>
      <c r="I67" s="21"/>
      <c r="K67" s="26"/>
      <c r="L67" s="2"/>
      <c r="M67" s="2"/>
      <c r="Q67" s="23"/>
    </row>
    <row r="68" spans="1:17" ht="12.75" customHeight="1" x14ac:dyDescent="0.2">
      <c r="A68" s="20"/>
      <c r="B68" s="63"/>
      <c r="C68" s="63"/>
      <c r="D68" s="63"/>
      <c r="E68" s="63"/>
      <c r="F68" s="63"/>
      <c r="G68" s="63"/>
      <c r="H68" s="24"/>
      <c r="I68" s="21"/>
      <c r="K68" s="26"/>
      <c r="L68" s="2"/>
      <c r="M68" s="2"/>
      <c r="Q68" s="23"/>
    </row>
    <row r="69" spans="1:17" x14ac:dyDescent="0.2">
      <c r="A69" s="20" t="s">
        <v>223</v>
      </c>
      <c r="B69" s="77" t="s">
        <v>272</v>
      </c>
      <c r="C69" s="77"/>
      <c r="D69" s="77"/>
      <c r="E69" s="77"/>
      <c r="F69" s="77"/>
      <c r="G69" s="77"/>
      <c r="H69" s="4">
        <v>1200</v>
      </c>
      <c r="I69" s="21" t="s">
        <v>8</v>
      </c>
      <c r="J69" s="58" t="s">
        <v>3</v>
      </c>
      <c r="K69" s="59"/>
      <c r="L69" s="58" t="s">
        <v>3</v>
      </c>
      <c r="M69" s="60">
        <f>H69*K69</f>
        <v>0</v>
      </c>
      <c r="O69" s="29"/>
      <c r="Q69" s="23"/>
    </row>
    <row r="70" spans="1:17" ht="12.75" customHeight="1" x14ac:dyDescent="0.2">
      <c r="A70" s="20"/>
      <c r="B70" s="78" t="s">
        <v>248</v>
      </c>
      <c r="C70" s="78"/>
      <c r="D70" s="78"/>
      <c r="E70" s="78"/>
      <c r="F70" s="78"/>
      <c r="G70" s="78"/>
      <c r="H70" s="24"/>
      <c r="I70" s="21"/>
      <c r="K70" s="26"/>
      <c r="L70" s="2"/>
      <c r="M70" s="2"/>
    </row>
    <row r="71" spans="1:17" ht="12.75" customHeight="1" x14ac:dyDescent="0.2">
      <c r="A71" s="20"/>
      <c r="B71" s="63"/>
      <c r="C71" s="63"/>
      <c r="D71" s="63"/>
      <c r="E71" s="63"/>
      <c r="F71" s="63"/>
      <c r="G71" s="63"/>
      <c r="H71" s="24"/>
      <c r="I71" s="21"/>
      <c r="K71" s="26"/>
      <c r="L71" s="2"/>
      <c r="M71" s="2"/>
    </row>
    <row r="72" spans="1:17" x14ac:dyDescent="0.2">
      <c r="A72" s="20" t="s">
        <v>224</v>
      </c>
      <c r="B72" s="77" t="s">
        <v>273</v>
      </c>
      <c r="C72" s="77"/>
      <c r="D72" s="77"/>
      <c r="E72" s="77"/>
      <c r="F72" s="77"/>
      <c r="G72" s="77"/>
      <c r="H72" s="4">
        <v>205</v>
      </c>
      <c r="I72" s="21" t="s">
        <v>8</v>
      </c>
      <c r="J72" s="22" t="s">
        <v>3</v>
      </c>
      <c r="K72" s="66"/>
      <c r="L72" s="22" t="s">
        <v>3</v>
      </c>
      <c r="M72" s="1">
        <f>H72*K72</f>
        <v>0</v>
      </c>
      <c r="O72" s="29"/>
      <c r="Q72" s="23"/>
    </row>
    <row r="73" spans="1:17" ht="12.75" customHeight="1" x14ac:dyDescent="0.2">
      <c r="A73" s="20"/>
      <c r="B73" s="78" t="s">
        <v>249</v>
      </c>
      <c r="C73" s="78"/>
      <c r="D73" s="78"/>
      <c r="E73" s="78"/>
      <c r="F73" s="78"/>
      <c r="G73" s="78"/>
      <c r="H73" s="24"/>
      <c r="I73" s="21"/>
      <c r="K73" s="26"/>
      <c r="L73" s="2"/>
      <c r="M73" s="2"/>
    </row>
    <row r="74" spans="1:17" ht="12.75" customHeight="1" x14ac:dyDescent="0.2">
      <c r="A74" s="20"/>
      <c r="B74" s="63"/>
      <c r="C74" s="63"/>
      <c r="D74" s="63"/>
      <c r="E74" s="63"/>
      <c r="F74" s="63"/>
      <c r="G74" s="63"/>
      <c r="H74" s="24"/>
      <c r="I74" s="21"/>
      <c r="K74" s="26"/>
      <c r="L74" s="2"/>
      <c r="M74" s="2"/>
    </row>
    <row r="75" spans="1:17" ht="12.75" customHeight="1" thickBot="1" x14ac:dyDescent="0.25">
      <c r="A75" s="30"/>
      <c r="B75" s="82" t="s">
        <v>225</v>
      </c>
      <c r="C75" s="82"/>
      <c r="D75" s="82"/>
      <c r="E75" s="82"/>
      <c r="F75" s="82"/>
      <c r="G75" s="82"/>
      <c r="H75" s="82"/>
      <c r="I75" s="82"/>
      <c r="J75" s="82"/>
      <c r="K75" s="31"/>
      <c r="L75" s="3" t="s">
        <v>3</v>
      </c>
      <c r="M75" s="3">
        <f>SUM(M7,M10,M13,M16,M19,M22,M25,M28,M31,M34,M42,M45,M48,M51,M54,M57,M60,M63,M66,M69,M37,M72)</f>
        <v>0</v>
      </c>
    </row>
    <row r="76" spans="1:17" ht="12.75" customHeight="1" x14ac:dyDescent="0.2">
      <c r="A76" s="20"/>
      <c r="B76" s="69"/>
      <c r="C76" s="69"/>
      <c r="D76" s="69"/>
      <c r="E76" s="69"/>
      <c r="F76" s="69"/>
      <c r="G76" s="69"/>
      <c r="H76" s="69"/>
      <c r="I76" s="69"/>
      <c r="J76" s="69"/>
      <c r="K76" s="26"/>
      <c r="L76" s="2"/>
      <c r="M76" s="2"/>
    </row>
    <row r="77" spans="1:17" x14ac:dyDescent="0.2">
      <c r="A77" s="19" t="s">
        <v>226</v>
      </c>
      <c r="B77" s="65" t="s">
        <v>280</v>
      </c>
      <c r="C77" s="32"/>
      <c r="D77" s="32"/>
      <c r="E77" s="32"/>
      <c r="F77" s="32"/>
      <c r="G77" s="32"/>
      <c r="H77" s="16"/>
      <c r="I77" s="16"/>
      <c r="J77" s="17"/>
      <c r="K77" s="16"/>
      <c r="L77" s="16"/>
    </row>
    <row r="78" spans="1:17" x14ac:dyDescent="0.2">
      <c r="A78" s="15"/>
      <c r="B78" s="16"/>
      <c r="C78" s="16"/>
      <c r="D78" s="16"/>
      <c r="E78" s="16"/>
      <c r="F78" s="16"/>
      <c r="G78" s="16"/>
      <c r="H78" s="16"/>
      <c r="I78" s="16"/>
      <c r="J78" s="17"/>
      <c r="K78" s="16"/>
      <c r="L78" s="16"/>
    </row>
    <row r="79" spans="1:17" ht="12.75" customHeight="1" x14ac:dyDescent="0.2">
      <c r="A79" s="20" t="s">
        <v>227</v>
      </c>
      <c r="B79" s="77" t="s">
        <v>275</v>
      </c>
      <c r="C79" s="77"/>
      <c r="D79" s="77"/>
      <c r="E79" s="77"/>
      <c r="F79" s="77"/>
      <c r="G79" s="77"/>
      <c r="H79" s="4">
        <v>44355</v>
      </c>
      <c r="I79" s="21" t="s">
        <v>45</v>
      </c>
      <c r="J79" s="22" t="s">
        <v>3</v>
      </c>
      <c r="K79" s="67"/>
      <c r="L79" s="22" t="s">
        <v>3</v>
      </c>
      <c r="M79" s="1">
        <f>H79*K79</f>
        <v>0</v>
      </c>
    </row>
    <row r="80" spans="1:17" ht="12.75" customHeight="1" x14ac:dyDescent="0.2">
      <c r="A80" s="20"/>
      <c r="B80" s="78" t="s">
        <v>250</v>
      </c>
      <c r="C80" s="78"/>
      <c r="D80" s="78"/>
      <c r="E80" s="78"/>
      <c r="F80" s="78"/>
      <c r="G80" s="78"/>
      <c r="H80" s="24"/>
      <c r="I80" s="21"/>
      <c r="K80" s="26"/>
      <c r="L80" s="2"/>
      <c r="M80" s="2"/>
    </row>
    <row r="81" spans="1:16" x14ac:dyDescent="0.2">
      <c r="A81" s="20"/>
      <c r="B81" s="33"/>
      <c r="C81" s="33"/>
      <c r="D81" s="33"/>
      <c r="E81" s="33"/>
      <c r="F81" s="33"/>
      <c r="G81" s="33"/>
      <c r="H81" s="24"/>
      <c r="I81" s="21"/>
      <c r="K81" s="26"/>
      <c r="L81" s="2"/>
      <c r="M81" s="2"/>
    </row>
    <row r="82" spans="1:16" x14ac:dyDescent="0.2">
      <c r="A82" s="20" t="s">
        <v>228</v>
      </c>
      <c r="B82" s="77" t="s">
        <v>276</v>
      </c>
      <c r="C82" s="77"/>
      <c r="D82" s="77"/>
      <c r="E82" s="77"/>
      <c r="F82" s="77"/>
      <c r="G82" s="77"/>
      <c r="H82" s="4">
        <v>903</v>
      </c>
      <c r="I82" s="21" t="s">
        <v>8</v>
      </c>
      <c r="J82" s="22" t="s">
        <v>3</v>
      </c>
      <c r="K82" s="67"/>
      <c r="L82" s="22" t="s">
        <v>3</v>
      </c>
      <c r="M82" s="1">
        <f>H82*K82</f>
        <v>0</v>
      </c>
    </row>
    <row r="83" spans="1:16" ht="12.75" customHeight="1" x14ac:dyDescent="0.2">
      <c r="A83" s="20"/>
      <c r="B83" s="78" t="s">
        <v>250</v>
      </c>
      <c r="C83" s="78"/>
      <c r="D83" s="78"/>
      <c r="E83" s="78"/>
      <c r="F83" s="78"/>
      <c r="G83" s="78"/>
      <c r="H83" s="24"/>
      <c r="I83" s="21"/>
      <c r="K83" s="26"/>
      <c r="L83" s="2"/>
      <c r="M83" s="2"/>
    </row>
    <row r="84" spans="1:16" ht="12.75" customHeight="1" x14ac:dyDescent="0.2">
      <c r="A84" s="20"/>
      <c r="B84" s="63"/>
      <c r="C84" s="63"/>
      <c r="D84" s="63"/>
      <c r="E84" s="63"/>
      <c r="F84" s="63"/>
      <c r="G84" s="63"/>
      <c r="H84" s="24"/>
      <c r="I84" s="21"/>
      <c r="K84" s="26"/>
      <c r="L84" s="2"/>
      <c r="M84" s="2"/>
    </row>
    <row r="85" spans="1:16" ht="12.75" customHeight="1" x14ac:dyDescent="0.2">
      <c r="A85" s="20" t="s">
        <v>229</v>
      </c>
      <c r="B85" s="77" t="s">
        <v>277</v>
      </c>
      <c r="C85" s="77"/>
      <c r="D85" s="77"/>
      <c r="E85" s="77"/>
      <c r="F85" s="77"/>
      <c r="G85" s="77"/>
      <c r="H85" s="5">
        <v>346</v>
      </c>
      <c r="I85" s="21" t="s">
        <v>8</v>
      </c>
      <c r="J85" s="22" t="s">
        <v>3</v>
      </c>
      <c r="K85" s="67"/>
      <c r="L85" s="22" t="s">
        <v>3</v>
      </c>
      <c r="M85" s="1">
        <f>H85*K85</f>
        <v>0</v>
      </c>
    </row>
    <row r="86" spans="1:16" ht="12.75" customHeight="1" x14ac:dyDescent="0.2">
      <c r="A86" s="20"/>
      <c r="B86" s="78" t="s">
        <v>251</v>
      </c>
      <c r="C86" s="78"/>
      <c r="D86" s="78"/>
      <c r="E86" s="78"/>
      <c r="F86" s="78"/>
      <c r="G86" s="78"/>
      <c r="H86" s="24"/>
      <c r="I86" s="21"/>
      <c r="K86" s="26"/>
      <c r="L86" s="2"/>
      <c r="M86" s="2"/>
    </row>
    <row r="87" spans="1:16" x14ac:dyDescent="0.2">
      <c r="A87" s="20"/>
      <c r="B87" s="35"/>
      <c r="C87" s="35"/>
      <c r="D87" s="35"/>
      <c r="E87" s="35"/>
      <c r="F87" s="35"/>
      <c r="G87" s="35"/>
      <c r="H87" s="24"/>
      <c r="I87" s="21"/>
      <c r="L87" s="2"/>
      <c r="M87" s="2"/>
    </row>
    <row r="88" spans="1:16" ht="12.75" customHeight="1" x14ac:dyDescent="0.2">
      <c r="A88" s="20" t="s">
        <v>230</v>
      </c>
      <c r="B88" s="77" t="s">
        <v>278</v>
      </c>
      <c r="C88" s="77"/>
      <c r="D88" s="77"/>
      <c r="E88" s="77"/>
      <c r="F88" s="77"/>
      <c r="G88" s="77"/>
      <c r="H88" s="4">
        <v>198</v>
      </c>
      <c r="I88" s="21" t="s">
        <v>8</v>
      </c>
      <c r="J88" s="22" t="s">
        <v>3</v>
      </c>
      <c r="K88" s="67"/>
      <c r="L88" s="22" t="s">
        <v>3</v>
      </c>
      <c r="M88" s="1">
        <f>H88*K88</f>
        <v>0</v>
      </c>
      <c r="P88" s="7"/>
    </row>
    <row r="89" spans="1:16" ht="12.75" customHeight="1" x14ac:dyDescent="0.2">
      <c r="A89" s="20"/>
      <c r="B89" s="78" t="s">
        <v>251</v>
      </c>
      <c r="C89" s="78"/>
      <c r="D89" s="78"/>
      <c r="E89" s="78"/>
      <c r="F89" s="78"/>
      <c r="G89" s="78"/>
      <c r="H89" s="24"/>
      <c r="I89" s="21"/>
      <c r="K89" s="26"/>
      <c r="L89" s="2"/>
      <c r="M89" s="2"/>
    </row>
    <row r="90" spans="1:16" x14ac:dyDescent="0.2">
      <c r="A90" s="20"/>
      <c r="B90" s="35"/>
      <c r="C90" s="35"/>
      <c r="D90" s="35"/>
      <c r="E90" s="35"/>
      <c r="F90" s="35"/>
      <c r="G90" s="35"/>
      <c r="H90" s="24"/>
      <c r="I90" s="21"/>
      <c r="K90" s="26"/>
      <c r="L90" s="2"/>
      <c r="M90" s="2"/>
    </row>
    <row r="91" spans="1:16" ht="12.75" customHeight="1" x14ac:dyDescent="0.2">
      <c r="A91" s="20" t="s">
        <v>231</v>
      </c>
      <c r="B91" s="78" t="s">
        <v>279</v>
      </c>
      <c r="C91" s="78"/>
      <c r="D91" s="78"/>
      <c r="E91" s="78"/>
      <c r="F91" s="78"/>
      <c r="G91" s="78"/>
      <c r="H91" s="4">
        <v>5</v>
      </c>
      <c r="I91" s="21" t="s">
        <v>9</v>
      </c>
      <c r="J91" s="22" t="s">
        <v>47</v>
      </c>
      <c r="K91" s="68"/>
      <c r="L91" s="22" t="s">
        <v>3</v>
      </c>
      <c r="M91" s="1">
        <f>ROUND(M75*H91*0.004*K91,0)</f>
        <v>0</v>
      </c>
    </row>
    <row r="92" spans="1:16" ht="13.5" thickBot="1" x14ac:dyDescent="0.25">
      <c r="A92" s="20"/>
      <c r="B92" s="78" t="s">
        <v>259</v>
      </c>
      <c r="C92" s="78"/>
      <c r="D92" s="78"/>
      <c r="E92" s="78"/>
      <c r="F92" s="78"/>
      <c r="G92" s="78"/>
      <c r="H92" s="24"/>
      <c r="I92" s="21"/>
      <c r="K92" s="26"/>
      <c r="L92" s="2"/>
      <c r="M92" s="2"/>
    </row>
    <row r="93" spans="1:16" ht="13.5" customHeight="1" thickBot="1" x14ac:dyDescent="0.25">
      <c r="A93" s="20"/>
      <c r="B93" s="84" t="s">
        <v>305</v>
      </c>
      <c r="C93" s="85"/>
      <c r="D93" s="85"/>
      <c r="E93" s="85"/>
      <c r="F93" s="85"/>
      <c r="G93" s="86"/>
      <c r="H93" s="24"/>
      <c r="I93" s="21"/>
      <c r="K93" s="26"/>
      <c r="L93" s="2"/>
      <c r="M93" s="2"/>
    </row>
    <row r="94" spans="1:16" x14ac:dyDescent="0.2">
      <c r="A94" s="20"/>
      <c r="B94" s="72"/>
      <c r="C94" s="16"/>
      <c r="D94" s="16"/>
      <c r="E94" s="16"/>
      <c r="F94" s="16"/>
      <c r="G94" s="16"/>
      <c r="H94" s="24"/>
      <c r="I94" s="21"/>
      <c r="L94" s="2"/>
      <c r="M94" s="2"/>
    </row>
    <row r="95" spans="1:16" x14ac:dyDescent="0.2">
      <c r="A95" s="28" t="s">
        <v>232</v>
      </c>
      <c r="B95" s="81" t="s">
        <v>62</v>
      </c>
      <c r="C95" s="81"/>
      <c r="D95" s="81"/>
      <c r="E95" s="81"/>
      <c r="F95" s="81"/>
      <c r="G95" s="81"/>
      <c r="H95" s="24"/>
      <c r="I95" s="21"/>
      <c r="L95" s="2"/>
      <c r="M95" s="2"/>
    </row>
    <row r="96" spans="1:16" x14ac:dyDescent="0.2">
      <c r="A96" s="20"/>
      <c r="B96" s="72"/>
      <c r="C96" s="16"/>
      <c r="D96" s="16"/>
      <c r="E96" s="16"/>
      <c r="F96" s="16"/>
      <c r="G96" s="16"/>
      <c r="H96" s="24"/>
      <c r="I96" s="21"/>
      <c r="L96" s="2"/>
      <c r="M96" s="2"/>
    </row>
    <row r="97" spans="1:13" x14ac:dyDescent="0.2">
      <c r="A97" s="20" t="s">
        <v>233</v>
      </c>
      <c r="B97" s="77" t="s">
        <v>260</v>
      </c>
      <c r="C97" s="77"/>
      <c r="D97" s="77"/>
      <c r="E97" s="77"/>
      <c r="F97" s="77"/>
      <c r="G97" s="77"/>
      <c r="H97" s="4">
        <v>54</v>
      </c>
      <c r="I97" s="21" t="s">
        <v>9</v>
      </c>
      <c r="J97" s="22" t="s">
        <v>3</v>
      </c>
      <c r="K97" s="67"/>
      <c r="L97" s="22" t="s">
        <v>3</v>
      </c>
      <c r="M97" s="1">
        <f>H97*K97</f>
        <v>0</v>
      </c>
    </row>
    <row r="98" spans="1:13" ht="12.75" customHeight="1" x14ac:dyDescent="0.2">
      <c r="A98" s="20"/>
      <c r="B98" s="78" t="s">
        <v>252</v>
      </c>
      <c r="C98" s="78"/>
      <c r="D98" s="78"/>
      <c r="E98" s="78"/>
      <c r="F98" s="78"/>
      <c r="G98" s="78"/>
      <c r="H98" s="24"/>
      <c r="I98" s="21"/>
      <c r="K98" s="26"/>
      <c r="L98" s="2"/>
      <c r="M98" s="2"/>
    </row>
    <row r="99" spans="1:13" ht="12.75" customHeight="1" x14ac:dyDescent="0.2">
      <c r="A99" s="20"/>
      <c r="B99" s="63"/>
      <c r="C99" s="63"/>
      <c r="D99" s="63"/>
      <c r="E99" s="63"/>
      <c r="F99" s="63"/>
      <c r="G99" s="63"/>
      <c r="H99" s="24"/>
      <c r="I99" s="21"/>
      <c r="K99" s="26"/>
      <c r="L99" s="2"/>
      <c r="M99" s="2"/>
    </row>
    <row r="100" spans="1:13" x14ac:dyDescent="0.2">
      <c r="A100" s="20" t="s">
        <v>234</v>
      </c>
      <c r="B100" s="77" t="s">
        <v>51</v>
      </c>
      <c r="C100" s="77"/>
      <c r="D100" s="77"/>
      <c r="E100" s="77"/>
      <c r="F100" s="77"/>
      <c r="G100" s="77"/>
      <c r="H100" s="4">
        <v>135</v>
      </c>
      <c r="I100" s="21" t="s">
        <v>9</v>
      </c>
      <c r="J100" s="22" t="s">
        <v>3</v>
      </c>
      <c r="K100" s="67"/>
      <c r="L100" s="22" t="s">
        <v>3</v>
      </c>
      <c r="M100" s="1">
        <f>H100*K100</f>
        <v>0</v>
      </c>
    </row>
    <row r="101" spans="1:13" ht="12.75" customHeight="1" x14ac:dyDescent="0.2">
      <c r="A101" s="62"/>
      <c r="B101" s="83" t="s">
        <v>253</v>
      </c>
      <c r="C101" s="83"/>
      <c r="D101" s="83"/>
      <c r="E101" s="83"/>
      <c r="F101" s="83"/>
      <c r="G101" s="83"/>
      <c r="H101" s="24"/>
      <c r="I101" s="21"/>
      <c r="K101" s="26"/>
      <c r="L101" s="2"/>
      <c r="M101" s="2"/>
    </row>
    <row r="102" spans="1:13" ht="12.75" customHeight="1" x14ac:dyDescent="0.2">
      <c r="A102" s="20"/>
      <c r="B102" s="63"/>
      <c r="C102" s="63"/>
      <c r="D102" s="63"/>
      <c r="E102" s="63"/>
      <c r="F102" s="63"/>
      <c r="G102" s="63"/>
      <c r="H102" s="24"/>
      <c r="I102" s="21"/>
      <c r="K102" s="26"/>
      <c r="L102" s="2"/>
      <c r="M102" s="2"/>
    </row>
    <row r="103" spans="1:13" ht="12.75" customHeight="1" x14ac:dyDescent="0.2">
      <c r="A103" s="28" t="s">
        <v>235</v>
      </c>
      <c r="B103" s="87" t="s">
        <v>281</v>
      </c>
      <c r="C103" s="87"/>
      <c r="D103" s="87"/>
      <c r="E103" s="87"/>
      <c r="F103" s="87"/>
      <c r="G103" s="87"/>
      <c r="H103" s="24"/>
      <c r="I103" s="21"/>
      <c r="L103" s="2"/>
      <c r="M103" s="2"/>
    </row>
    <row r="104" spans="1:13" x14ac:dyDescent="0.2">
      <c r="A104" s="20"/>
      <c r="B104" s="16"/>
      <c r="C104" s="16"/>
      <c r="D104" s="16"/>
      <c r="E104" s="16"/>
      <c r="F104" s="16"/>
      <c r="G104" s="16"/>
      <c r="H104" s="24"/>
      <c r="I104" s="21"/>
      <c r="L104" s="2"/>
      <c r="M104" s="2"/>
    </row>
    <row r="105" spans="1:13" ht="12.75" customHeight="1" x14ac:dyDescent="0.2">
      <c r="A105" s="20" t="s">
        <v>236</v>
      </c>
      <c r="B105" s="83" t="s">
        <v>283</v>
      </c>
      <c r="C105" s="83"/>
      <c r="D105" s="83"/>
      <c r="E105" s="83"/>
      <c r="F105" s="83"/>
      <c r="G105" s="83"/>
      <c r="H105" s="4">
        <v>7</v>
      </c>
      <c r="I105" s="21" t="s">
        <v>9</v>
      </c>
      <c r="J105" s="22" t="s">
        <v>47</v>
      </c>
      <c r="K105" s="68"/>
      <c r="L105" s="22" t="s">
        <v>3</v>
      </c>
      <c r="M105" s="1">
        <f>ROUND(M75*0.05*K105,0)</f>
        <v>0</v>
      </c>
    </row>
    <row r="106" spans="1:13" ht="13.5" customHeight="1" thickBot="1" x14ac:dyDescent="0.25">
      <c r="A106" s="20"/>
      <c r="B106" s="88" t="s">
        <v>254</v>
      </c>
      <c r="C106" s="88"/>
      <c r="D106" s="88"/>
      <c r="E106" s="88"/>
      <c r="F106" s="88"/>
      <c r="G106" s="88"/>
      <c r="H106" s="24"/>
      <c r="I106" s="21"/>
      <c r="K106" s="34"/>
      <c r="L106" s="2"/>
      <c r="M106" s="2"/>
    </row>
    <row r="107" spans="1:13" ht="12.75" customHeight="1" thickBot="1" x14ac:dyDescent="0.25">
      <c r="A107" s="20"/>
      <c r="B107" s="84" t="s">
        <v>307</v>
      </c>
      <c r="C107" s="85"/>
      <c r="D107" s="85"/>
      <c r="E107" s="85"/>
      <c r="F107" s="85"/>
      <c r="G107" s="86"/>
      <c r="H107" s="24"/>
      <c r="I107" s="21"/>
      <c r="K107" s="34"/>
      <c r="L107" s="2"/>
      <c r="M107" s="2"/>
    </row>
    <row r="108" spans="1:13" x14ac:dyDescent="0.2">
      <c r="A108" s="20"/>
      <c r="B108" s="16"/>
      <c r="C108" s="16"/>
      <c r="D108" s="16"/>
      <c r="E108" s="16"/>
      <c r="F108" s="16"/>
      <c r="G108" s="16"/>
      <c r="H108" s="24"/>
      <c r="I108" s="21"/>
      <c r="L108" s="2"/>
      <c r="M108" s="2"/>
    </row>
    <row r="109" spans="1:13" ht="12.75" customHeight="1" x14ac:dyDescent="0.2">
      <c r="A109" s="20" t="s">
        <v>237</v>
      </c>
      <c r="B109" s="83" t="s">
        <v>284</v>
      </c>
      <c r="C109" s="83"/>
      <c r="D109" s="83"/>
      <c r="E109" s="83"/>
      <c r="F109" s="83"/>
      <c r="G109" s="83"/>
      <c r="H109" s="4">
        <v>44</v>
      </c>
      <c r="I109" s="21" t="s">
        <v>9</v>
      </c>
      <c r="J109" s="22" t="s">
        <v>47</v>
      </c>
      <c r="K109" s="68"/>
      <c r="L109" s="22" t="s">
        <v>3</v>
      </c>
      <c r="M109" s="1">
        <f>ROUND(M75*0.1*K109,0)</f>
        <v>0</v>
      </c>
    </row>
    <row r="110" spans="1:13" ht="13.5" customHeight="1" thickBot="1" x14ac:dyDescent="0.25">
      <c r="A110" s="20"/>
      <c r="B110" s="88" t="s">
        <v>254</v>
      </c>
      <c r="C110" s="88"/>
      <c r="D110" s="88"/>
      <c r="E110" s="88"/>
      <c r="F110" s="88"/>
      <c r="G110" s="88"/>
      <c r="H110" s="24"/>
      <c r="I110" s="21"/>
      <c r="K110" s="34"/>
      <c r="L110" s="2"/>
      <c r="M110" s="2"/>
    </row>
    <row r="111" spans="1:13" ht="12.75" customHeight="1" thickBot="1" x14ac:dyDescent="0.25">
      <c r="A111" s="20"/>
      <c r="B111" s="84" t="s">
        <v>312</v>
      </c>
      <c r="C111" s="85"/>
      <c r="D111" s="85"/>
      <c r="E111" s="85"/>
      <c r="F111" s="85"/>
      <c r="G111" s="86"/>
      <c r="H111" s="24"/>
      <c r="I111" s="21"/>
      <c r="K111" s="34"/>
      <c r="L111" s="2"/>
      <c r="M111" s="2"/>
    </row>
    <row r="112" spans="1:13" x14ac:dyDescent="0.2">
      <c r="A112" s="20"/>
      <c r="B112" s="16"/>
      <c r="C112" s="16"/>
      <c r="D112" s="16"/>
      <c r="E112" s="16"/>
      <c r="F112" s="16"/>
      <c r="G112" s="16"/>
      <c r="H112" s="24"/>
      <c r="I112" s="21"/>
      <c r="L112" s="2"/>
      <c r="M112" s="2"/>
    </row>
    <row r="113" spans="1:13" ht="12.75" customHeight="1" x14ac:dyDescent="0.2">
      <c r="A113" s="20" t="s">
        <v>238</v>
      </c>
      <c r="B113" s="83" t="s">
        <v>285</v>
      </c>
      <c r="C113" s="83"/>
      <c r="D113" s="83"/>
      <c r="E113" s="83"/>
      <c r="F113" s="83"/>
      <c r="G113" s="83"/>
      <c r="H113" s="4">
        <v>30</v>
      </c>
      <c r="I113" s="21" t="s">
        <v>9</v>
      </c>
      <c r="J113" s="22" t="s">
        <v>47</v>
      </c>
      <c r="K113" s="68"/>
      <c r="L113" s="22" t="s">
        <v>3</v>
      </c>
      <c r="M113" s="1">
        <f>ROUND(M75*0.05*K113,0)</f>
        <v>0</v>
      </c>
    </row>
    <row r="114" spans="1:13" ht="13.5" thickBot="1" x14ac:dyDescent="0.25">
      <c r="A114" s="20"/>
      <c r="B114" s="78" t="s">
        <v>254</v>
      </c>
      <c r="C114" s="78"/>
      <c r="D114" s="78"/>
      <c r="E114" s="78"/>
      <c r="F114" s="78"/>
      <c r="G114" s="78"/>
      <c r="H114" s="24"/>
      <c r="I114" s="21"/>
      <c r="K114" s="34"/>
      <c r="L114" s="2"/>
      <c r="M114" s="2"/>
    </row>
    <row r="115" spans="1:13" ht="13.5" customHeight="1" thickBot="1" x14ac:dyDescent="0.25">
      <c r="A115" s="20"/>
      <c r="B115" s="84" t="s">
        <v>307</v>
      </c>
      <c r="C115" s="85"/>
      <c r="D115" s="85"/>
      <c r="E115" s="85"/>
      <c r="F115" s="85"/>
      <c r="G115" s="86"/>
      <c r="H115" s="24"/>
      <c r="I115" s="33"/>
      <c r="K115" s="34"/>
      <c r="L115" s="2"/>
      <c r="M115" s="2"/>
    </row>
    <row r="116" spans="1:13" x14ac:dyDescent="0.2">
      <c r="A116" s="20"/>
      <c r="B116" s="35"/>
      <c r="C116" s="35"/>
      <c r="D116" s="35"/>
      <c r="E116" s="35"/>
      <c r="F116" s="35"/>
      <c r="G116" s="35"/>
      <c r="H116" s="24"/>
      <c r="I116" s="33"/>
      <c r="L116" s="2"/>
      <c r="M116" s="2"/>
    </row>
    <row r="117" spans="1:13" ht="12.75" customHeight="1" x14ac:dyDescent="0.2">
      <c r="A117" s="20" t="s">
        <v>239</v>
      </c>
      <c r="B117" s="83" t="s">
        <v>286</v>
      </c>
      <c r="C117" s="83"/>
      <c r="D117" s="83"/>
      <c r="E117" s="83"/>
      <c r="F117" s="83"/>
      <c r="G117" s="83"/>
      <c r="H117" s="4">
        <v>19</v>
      </c>
      <c r="I117" s="21" t="s">
        <v>9</v>
      </c>
      <c r="J117" s="22" t="s">
        <v>47</v>
      </c>
      <c r="K117" s="68"/>
      <c r="L117" s="22" t="s">
        <v>3</v>
      </c>
      <c r="M117" s="1">
        <f>ROUND(M75*0.03*K117,0)</f>
        <v>0</v>
      </c>
    </row>
    <row r="118" spans="1:13" ht="13.5" thickBot="1" x14ac:dyDescent="0.25">
      <c r="A118" s="20"/>
      <c r="B118" s="78" t="s">
        <v>254</v>
      </c>
      <c r="C118" s="78"/>
      <c r="D118" s="78"/>
      <c r="E118" s="78"/>
      <c r="F118" s="78"/>
      <c r="G118" s="78"/>
      <c r="H118" s="24"/>
      <c r="I118" s="21"/>
      <c r="K118" s="34"/>
      <c r="L118" s="2"/>
      <c r="M118" s="2"/>
    </row>
    <row r="119" spans="1:13" ht="13.5" customHeight="1" thickBot="1" x14ac:dyDescent="0.25">
      <c r="A119" s="20"/>
      <c r="B119" s="84" t="s">
        <v>317</v>
      </c>
      <c r="C119" s="85"/>
      <c r="D119" s="85"/>
      <c r="E119" s="85"/>
      <c r="F119" s="85"/>
      <c r="G119" s="86"/>
      <c r="H119" s="24"/>
      <c r="I119" s="33"/>
      <c r="K119" s="34"/>
      <c r="L119" s="2"/>
      <c r="M119" s="2"/>
    </row>
    <row r="121" spans="1:13" x14ac:dyDescent="0.2">
      <c r="A121" s="28" t="s">
        <v>240</v>
      </c>
      <c r="B121" s="87" t="s">
        <v>55</v>
      </c>
      <c r="C121" s="87"/>
      <c r="D121" s="87"/>
      <c r="E121" s="87"/>
      <c r="F121" s="87"/>
      <c r="G121" s="87"/>
      <c r="H121" s="24"/>
      <c r="I121" s="33"/>
      <c r="K121" s="34"/>
      <c r="L121" s="2"/>
      <c r="M121" s="2"/>
    </row>
    <row r="122" spans="1:13" x14ac:dyDescent="0.2">
      <c r="A122" s="20"/>
      <c r="B122" s="35"/>
      <c r="C122" s="35"/>
      <c r="D122" s="35"/>
      <c r="E122" s="35"/>
      <c r="F122" s="35"/>
      <c r="G122" s="35"/>
      <c r="H122" s="24"/>
      <c r="I122" s="33"/>
      <c r="K122" s="34"/>
      <c r="L122" s="2"/>
      <c r="M122" s="2"/>
    </row>
    <row r="123" spans="1:13" x14ac:dyDescent="0.2">
      <c r="A123" s="20" t="s">
        <v>241</v>
      </c>
      <c r="B123" s="77" t="s">
        <v>22</v>
      </c>
      <c r="C123" s="77"/>
      <c r="D123" s="77"/>
      <c r="E123" s="77"/>
      <c r="F123" s="77"/>
      <c r="G123" s="77"/>
      <c r="H123" s="4">
        <v>42</v>
      </c>
      <c r="I123" s="21" t="s">
        <v>9</v>
      </c>
      <c r="J123" s="22" t="s">
        <v>3</v>
      </c>
      <c r="K123" s="67"/>
      <c r="L123" s="22" t="s">
        <v>3</v>
      </c>
      <c r="M123" s="1">
        <f>H123*K123</f>
        <v>0</v>
      </c>
    </row>
    <row r="124" spans="1:13" ht="12.75" customHeight="1" x14ac:dyDescent="0.2">
      <c r="A124" s="20"/>
      <c r="B124" s="78" t="s">
        <v>255</v>
      </c>
      <c r="C124" s="78"/>
      <c r="D124" s="78"/>
      <c r="E124" s="78"/>
      <c r="F124" s="78"/>
      <c r="G124" s="78"/>
      <c r="H124" s="24"/>
      <c r="I124" s="21"/>
      <c r="K124" s="26"/>
      <c r="L124" s="2"/>
      <c r="M124" s="2"/>
    </row>
    <row r="125" spans="1:13" ht="12.75" customHeight="1" x14ac:dyDescent="0.2">
      <c r="A125" s="20"/>
      <c r="B125" s="63"/>
      <c r="C125" s="63"/>
      <c r="D125" s="63"/>
      <c r="E125" s="63"/>
      <c r="F125" s="63"/>
      <c r="G125" s="63"/>
      <c r="H125" s="24"/>
      <c r="I125" s="21"/>
      <c r="K125" s="26"/>
      <c r="L125" s="2"/>
      <c r="M125" s="2"/>
    </row>
    <row r="126" spans="1:13" ht="12.75" customHeight="1" x14ac:dyDescent="0.2">
      <c r="A126" s="20" t="s">
        <v>242</v>
      </c>
      <c r="B126" s="77" t="s">
        <v>57</v>
      </c>
      <c r="C126" s="77"/>
      <c r="D126" s="77"/>
      <c r="E126" s="77"/>
      <c r="F126" s="77"/>
      <c r="G126" s="77"/>
      <c r="H126" s="24"/>
      <c r="I126" s="21" t="s">
        <v>9</v>
      </c>
      <c r="J126" s="22"/>
      <c r="K126" s="6" t="s">
        <v>10</v>
      </c>
      <c r="L126" s="1"/>
      <c r="M126" s="6" t="s">
        <v>10</v>
      </c>
    </row>
    <row r="127" spans="1:13" x14ac:dyDescent="0.2">
      <c r="A127" s="20"/>
      <c r="B127" s="78" t="s">
        <v>256</v>
      </c>
      <c r="C127" s="78"/>
      <c r="D127" s="78"/>
      <c r="E127" s="78"/>
      <c r="F127" s="78"/>
      <c r="G127" s="78"/>
      <c r="H127" s="24"/>
      <c r="I127" s="21"/>
      <c r="K127" s="2"/>
      <c r="L127" s="2"/>
      <c r="M127" s="70"/>
    </row>
    <row r="128" spans="1:13" x14ac:dyDescent="0.2">
      <c r="A128" s="20"/>
      <c r="B128" s="63"/>
      <c r="C128" s="63"/>
      <c r="D128" s="63"/>
      <c r="E128" s="63"/>
      <c r="F128" s="63"/>
      <c r="G128" s="63"/>
      <c r="H128" s="24"/>
      <c r="I128" s="21"/>
      <c r="K128" s="2"/>
      <c r="L128" s="2"/>
      <c r="M128" s="70"/>
    </row>
    <row r="129" spans="1:13" x14ac:dyDescent="0.2">
      <c r="A129" s="20" t="s">
        <v>243</v>
      </c>
      <c r="B129" s="77" t="s">
        <v>11</v>
      </c>
      <c r="C129" s="77"/>
      <c r="D129" s="77"/>
      <c r="E129" s="77"/>
      <c r="F129" s="77"/>
      <c r="G129" s="77"/>
      <c r="H129" s="24"/>
      <c r="I129" s="21" t="s">
        <v>9</v>
      </c>
      <c r="J129" s="22"/>
      <c r="K129" s="6" t="s">
        <v>10</v>
      </c>
      <c r="L129" s="1"/>
      <c r="M129" s="6" t="s">
        <v>10</v>
      </c>
    </row>
    <row r="130" spans="1:13" x14ac:dyDescent="0.2">
      <c r="A130" s="20"/>
      <c r="B130" s="78" t="s">
        <v>257</v>
      </c>
      <c r="C130" s="78"/>
      <c r="D130" s="78"/>
      <c r="E130" s="78"/>
      <c r="F130" s="78"/>
      <c r="G130" s="78"/>
      <c r="H130" s="24"/>
      <c r="I130" s="21"/>
      <c r="K130" s="2"/>
      <c r="L130" s="2"/>
      <c r="M130" s="70"/>
    </row>
    <row r="131" spans="1:13" x14ac:dyDescent="0.2">
      <c r="A131" s="20"/>
      <c r="B131" s="63"/>
      <c r="C131" s="63"/>
      <c r="D131" s="63"/>
      <c r="E131" s="63"/>
      <c r="F131" s="63"/>
      <c r="G131" s="63"/>
      <c r="H131" s="24"/>
      <c r="I131" s="21"/>
      <c r="K131" s="2"/>
      <c r="L131" s="2"/>
      <c r="M131" s="70"/>
    </row>
    <row r="132" spans="1:13" ht="12.75" customHeight="1" x14ac:dyDescent="0.2">
      <c r="A132" s="20" t="s">
        <v>244</v>
      </c>
      <c r="B132" s="8" t="s">
        <v>61</v>
      </c>
      <c r="H132" s="36"/>
      <c r="I132" s="21" t="s">
        <v>9</v>
      </c>
      <c r="J132" s="22"/>
      <c r="K132" s="6" t="s">
        <v>10</v>
      </c>
      <c r="L132" s="1"/>
      <c r="M132" s="6" t="s">
        <v>10</v>
      </c>
    </row>
    <row r="133" spans="1:13" ht="12.75" customHeight="1" x14ac:dyDescent="0.2">
      <c r="A133" s="20"/>
      <c r="B133" s="78" t="s">
        <v>258</v>
      </c>
      <c r="C133" s="77"/>
      <c r="D133" s="77"/>
      <c r="E133" s="77"/>
      <c r="F133" s="77"/>
      <c r="G133" s="77"/>
      <c r="H133" s="24"/>
      <c r="I133" s="21"/>
      <c r="L133" s="2"/>
      <c r="M133" s="70"/>
    </row>
    <row r="134" spans="1:13" s="37" customFormat="1" ht="12" thickBot="1" x14ac:dyDescent="0.25">
      <c r="B134" s="38"/>
      <c r="C134" s="39"/>
      <c r="D134" s="40"/>
      <c r="E134" s="40"/>
      <c r="F134" s="40"/>
      <c r="G134" s="40"/>
      <c r="H134" s="40"/>
      <c r="I134" s="40"/>
      <c r="J134" s="41"/>
      <c r="K134" s="40"/>
      <c r="L134" s="42"/>
      <c r="M134" s="43"/>
    </row>
    <row r="135" spans="1:13" ht="15" x14ac:dyDescent="0.25">
      <c r="A135" s="44"/>
      <c r="B135" s="45"/>
      <c r="C135" s="45"/>
      <c r="D135" s="45"/>
      <c r="E135" s="45"/>
      <c r="F135" s="45"/>
      <c r="G135" s="45"/>
      <c r="H135" s="45"/>
      <c r="I135" s="45"/>
      <c r="J135" s="46"/>
      <c r="K135" s="47"/>
      <c r="L135" s="45"/>
      <c r="M135" s="48"/>
    </row>
    <row r="136" spans="1:13" ht="30" x14ac:dyDescent="0.4">
      <c r="A136" s="93" t="s">
        <v>46</v>
      </c>
      <c r="B136" s="94"/>
      <c r="C136" s="94"/>
      <c r="D136" s="94"/>
      <c r="E136" s="94"/>
      <c r="F136" s="94"/>
      <c r="G136" s="94"/>
      <c r="H136" s="94"/>
      <c r="I136" s="49" t="s">
        <v>3</v>
      </c>
      <c r="J136" s="89">
        <f>SUM(M75,M79,M82,M85,M88,M91,M123,M105,M109,M113,M117,M100,M97)</f>
        <v>0</v>
      </c>
      <c r="K136" s="89"/>
      <c r="L136" s="89"/>
      <c r="M136" s="90"/>
    </row>
    <row r="137" spans="1:13" ht="21.75" thickBot="1" x14ac:dyDescent="0.4">
      <c r="A137" s="50"/>
      <c r="B137" s="51"/>
      <c r="C137" s="51"/>
      <c r="D137" s="51"/>
      <c r="E137" s="51"/>
      <c r="F137" s="51"/>
      <c r="G137" s="51"/>
      <c r="H137" s="51"/>
      <c r="I137" s="51"/>
      <c r="J137" s="91"/>
      <c r="K137" s="91"/>
      <c r="L137" s="91"/>
      <c r="M137" s="92"/>
    </row>
    <row r="138" spans="1:13" ht="15" customHeight="1" thickBot="1" x14ac:dyDescent="0.3">
      <c r="A138" s="52"/>
      <c r="B138" s="53"/>
      <c r="C138" s="95"/>
      <c r="D138" s="96"/>
      <c r="E138" s="96"/>
      <c r="F138" s="96"/>
      <c r="G138" s="96"/>
      <c r="H138" s="96"/>
      <c r="I138" s="96"/>
      <c r="J138" s="96"/>
      <c r="K138" s="96"/>
      <c r="L138" s="54"/>
      <c r="M138" s="55"/>
    </row>
    <row r="139" spans="1:13" ht="15" x14ac:dyDescent="0.25">
      <c r="A139" s="44"/>
      <c r="B139" s="45"/>
      <c r="C139" s="45"/>
      <c r="D139" s="45"/>
      <c r="E139" s="45"/>
      <c r="F139" s="45"/>
      <c r="G139" s="45"/>
      <c r="H139" s="45"/>
      <c r="I139" s="45"/>
      <c r="J139" s="46"/>
      <c r="K139" s="47"/>
      <c r="L139" s="45"/>
      <c r="M139" s="48"/>
    </row>
    <row r="140" spans="1:13" ht="30" x14ac:dyDescent="0.4">
      <c r="A140" s="93" t="s">
        <v>245</v>
      </c>
      <c r="B140" s="94"/>
      <c r="C140" s="94"/>
      <c r="D140" s="94"/>
      <c r="E140" s="94"/>
      <c r="F140" s="94"/>
      <c r="G140" s="94"/>
      <c r="H140" s="94"/>
      <c r="I140" s="49" t="s">
        <v>3</v>
      </c>
      <c r="J140" s="89">
        <f>SUM(J136+'Exhibit D'!J140)</f>
        <v>0</v>
      </c>
      <c r="K140" s="89"/>
      <c r="L140" s="89"/>
      <c r="M140" s="90"/>
    </row>
    <row r="141" spans="1:13" ht="21.75" thickBot="1" x14ac:dyDescent="0.4">
      <c r="A141" s="50"/>
      <c r="B141" s="51"/>
      <c r="C141" s="51"/>
      <c r="D141" s="51"/>
      <c r="E141" s="51"/>
      <c r="F141" s="51"/>
      <c r="G141" s="51"/>
      <c r="H141" s="51"/>
      <c r="I141" s="51"/>
      <c r="J141" s="91"/>
      <c r="K141" s="91"/>
      <c r="L141" s="91"/>
      <c r="M141" s="92"/>
    </row>
    <row r="142" spans="1:13" ht="15" customHeight="1" x14ac:dyDescent="0.2"/>
    <row r="143" spans="1:13" ht="15" customHeight="1" x14ac:dyDescent="0.2"/>
    <row r="144" spans="1:13" ht="15" customHeight="1" x14ac:dyDescent="0.2"/>
    <row r="145" spans="13:13" ht="15" customHeight="1" x14ac:dyDescent="0.2"/>
    <row r="146" spans="13:13" ht="15" customHeight="1" x14ac:dyDescent="0.2"/>
    <row r="147" spans="13:13" ht="15" customHeight="1" x14ac:dyDescent="0.2"/>
    <row r="148" spans="13:13" ht="15" hidden="1" customHeight="1" x14ac:dyDescent="0.2">
      <c r="M148" s="18">
        <f>MAX(K42,K45,K48,K51,K54,K57,K60,K62,K62,K63,K66,K69,K72)</f>
        <v>0</v>
      </c>
    </row>
    <row r="149" spans="13:13" ht="15" customHeight="1" x14ac:dyDescent="0.2"/>
    <row r="150" spans="13:13" ht="15" customHeight="1" x14ac:dyDescent="0.2"/>
    <row r="152" spans="13:13" ht="12.75" customHeight="1" x14ac:dyDescent="0.2"/>
    <row r="153" spans="13:13" ht="12.75" customHeight="1" x14ac:dyDescent="0.2"/>
    <row r="154" spans="13:13" ht="12.75" customHeight="1" x14ac:dyDescent="0.2"/>
    <row r="156" spans="13:13" ht="15" customHeight="1" x14ac:dyDescent="0.2"/>
    <row r="157" spans="13:13" ht="15" customHeight="1" x14ac:dyDescent="0.2"/>
    <row r="158" spans="13:13" ht="12.75" customHeight="1" x14ac:dyDescent="0.2"/>
    <row r="159" spans="13:13" ht="12.75" customHeight="1" x14ac:dyDescent="0.2"/>
    <row r="161" ht="12.75" customHeight="1" x14ac:dyDescent="0.2"/>
    <row r="162" ht="12.75" customHeight="1" x14ac:dyDescent="0.2"/>
    <row r="163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spans="1:14" ht="12.75" customHeight="1" x14ac:dyDescent="0.2"/>
    <row r="178" spans="1:14" ht="12.75" customHeight="1" x14ac:dyDescent="0.2"/>
    <row r="179" spans="1:14" ht="12.75" customHeight="1" x14ac:dyDescent="0.2"/>
    <row r="180" spans="1:14" ht="12.75" customHeight="1" x14ac:dyDescent="0.2"/>
    <row r="181" spans="1:14" ht="12.75" customHeight="1" x14ac:dyDescent="0.2"/>
    <row r="182" spans="1:14" ht="12.75" customHeight="1" x14ac:dyDescent="0.2"/>
    <row r="183" spans="1:14" ht="12.75" customHeight="1" x14ac:dyDescent="0.2"/>
    <row r="184" spans="1:14" ht="12.75" customHeight="1" x14ac:dyDescent="0.2"/>
    <row r="185" spans="1:14" ht="12.75" customHeight="1" x14ac:dyDescent="0.2"/>
    <row r="186" spans="1:14" ht="12.75" customHeight="1" x14ac:dyDescent="0.2"/>
    <row r="187" spans="1:14" ht="12.75" customHeight="1" x14ac:dyDescent="0.2"/>
    <row r="188" spans="1:14" s="56" customFormat="1" ht="14.2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25"/>
      <c r="K188" s="7"/>
      <c r="L188" s="8"/>
      <c r="M188" s="18"/>
      <c r="N188" s="8"/>
    </row>
    <row r="189" spans="1:14" s="56" customFormat="1" ht="14.2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25"/>
      <c r="K189" s="7"/>
      <c r="L189" s="8"/>
      <c r="M189" s="18"/>
      <c r="N189" s="8"/>
    </row>
    <row r="190" spans="1:14" s="56" customFormat="1" ht="12.75" customHeight="1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25"/>
      <c r="K190" s="7"/>
      <c r="L190" s="8"/>
      <c r="M190" s="18"/>
      <c r="N190" s="8"/>
    </row>
    <row r="191" spans="1:14" s="56" customFormat="1" ht="14.2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25"/>
      <c r="K191" s="7"/>
      <c r="L191" s="8"/>
      <c r="M191" s="18"/>
    </row>
    <row r="192" spans="1:14" s="56" customFormat="1" ht="14.2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25"/>
      <c r="K192" s="7"/>
      <c r="L192" s="8"/>
      <c r="M192" s="18"/>
    </row>
    <row r="193" spans="1:14" s="52" customFormat="1" ht="15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25"/>
      <c r="K193" s="7"/>
      <c r="L193" s="8"/>
      <c r="M193" s="18"/>
      <c r="N193" s="56"/>
    </row>
    <row r="194" spans="1:14" s="52" customFormat="1" ht="15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25"/>
      <c r="K194" s="7"/>
      <c r="L194" s="8"/>
      <c r="M194" s="18"/>
      <c r="N194" s="56"/>
    </row>
    <row r="195" spans="1:14" s="52" customFormat="1" ht="15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25"/>
      <c r="K195" s="7"/>
      <c r="L195" s="8"/>
      <c r="M195" s="18"/>
      <c r="N195" s="56"/>
    </row>
    <row r="196" spans="1:14" ht="15" x14ac:dyDescent="0.25">
      <c r="N196" s="52"/>
    </row>
    <row r="197" spans="1:14" ht="15" x14ac:dyDescent="0.25">
      <c r="N197" s="52"/>
    </row>
    <row r="198" spans="1:14" s="52" customFormat="1" ht="15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25"/>
      <c r="K198" s="7"/>
      <c r="L198" s="8"/>
      <c r="M198" s="18"/>
    </row>
    <row r="199" spans="1:14" s="52" customFormat="1" ht="15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25"/>
      <c r="K199" s="7"/>
      <c r="L199" s="8"/>
      <c r="M199" s="18"/>
      <c r="N199" s="8"/>
    </row>
    <row r="200" spans="1:14" s="52" customFormat="1" ht="15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25"/>
      <c r="K200" s="7"/>
      <c r="L200" s="8"/>
      <c r="M200" s="18"/>
      <c r="N200" s="8"/>
    </row>
    <row r="201" spans="1:14" s="52" customFormat="1" ht="17.100000000000001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25"/>
      <c r="K201" s="7"/>
      <c r="L201" s="8"/>
      <c r="M201" s="18"/>
    </row>
    <row r="202" spans="1:14" s="52" customFormat="1" ht="17.100000000000001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25"/>
      <c r="K202" s="7"/>
      <c r="L202" s="8"/>
      <c r="M202" s="18"/>
    </row>
    <row r="203" spans="1:14" s="52" customFormat="1" ht="17.100000000000001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25"/>
      <c r="K203" s="7"/>
      <c r="L203" s="8"/>
      <c r="M203" s="18"/>
    </row>
    <row r="204" spans="1:14" s="52" customFormat="1" ht="17.100000000000001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25"/>
      <c r="K204" s="7"/>
      <c r="L204" s="8"/>
      <c r="M204" s="18"/>
    </row>
    <row r="205" spans="1:14" s="52" customFormat="1" ht="17.100000000000001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25"/>
      <c r="K205" s="7"/>
      <c r="L205" s="8"/>
      <c r="M205" s="18"/>
    </row>
    <row r="206" spans="1:14" s="52" customFormat="1" ht="17.100000000000001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25"/>
      <c r="K206" s="7"/>
      <c r="L206" s="8"/>
      <c r="M206" s="18"/>
    </row>
    <row r="207" spans="1:14" s="52" customFormat="1" ht="17.100000000000001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25"/>
      <c r="K207" s="7"/>
      <c r="L207" s="8"/>
      <c r="M207" s="18"/>
    </row>
    <row r="208" spans="1:14" s="52" customFormat="1" ht="17.100000000000001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25"/>
      <c r="K208" s="7"/>
      <c r="L208" s="8"/>
      <c r="M208" s="18"/>
    </row>
    <row r="209" spans="1:13" s="52" customFormat="1" ht="17.100000000000001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25"/>
      <c r="K209" s="7"/>
      <c r="L209" s="8"/>
      <c r="M209" s="18"/>
    </row>
    <row r="210" spans="1:13" s="52" customFormat="1" ht="17.100000000000001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25"/>
      <c r="K210" s="7"/>
      <c r="L210" s="8"/>
      <c r="M210" s="18"/>
    </row>
    <row r="211" spans="1:13" s="52" customFormat="1" ht="17.100000000000001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25"/>
      <c r="K211" s="7"/>
      <c r="L211" s="8"/>
      <c r="M211" s="18"/>
    </row>
    <row r="212" spans="1:13" s="52" customFormat="1" ht="17.100000000000001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25"/>
      <c r="K212" s="7"/>
      <c r="L212" s="8"/>
      <c r="M212" s="18"/>
    </row>
    <row r="213" spans="1:13" s="52" customFormat="1" ht="17.100000000000001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25"/>
      <c r="K213" s="7"/>
      <c r="L213" s="8"/>
      <c r="M213" s="18"/>
    </row>
    <row r="214" spans="1:13" s="52" customFormat="1" ht="17.100000000000001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25"/>
      <c r="K214" s="7"/>
      <c r="L214" s="8"/>
      <c r="M214" s="18"/>
    </row>
    <row r="215" spans="1:13" s="52" customFormat="1" ht="17.100000000000001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25"/>
      <c r="K215" s="7"/>
      <c r="L215" s="8"/>
      <c r="M215" s="18"/>
    </row>
    <row r="216" spans="1:13" s="52" customFormat="1" ht="17.100000000000001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25"/>
      <c r="K216" s="7"/>
      <c r="L216" s="8"/>
      <c r="M216" s="18"/>
    </row>
    <row r="217" spans="1:13" s="52" customFormat="1" ht="17.100000000000001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25"/>
      <c r="K217" s="7"/>
      <c r="L217" s="8"/>
      <c r="M217" s="18"/>
    </row>
    <row r="218" spans="1:13" s="52" customFormat="1" ht="17.100000000000001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25"/>
      <c r="K218" s="7"/>
      <c r="L218" s="8"/>
      <c r="M218" s="18"/>
    </row>
    <row r="219" spans="1:13" s="52" customFormat="1" ht="17.100000000000001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25"/>
      <c r="K219" s="7"/>
      <c r="L219" s="8"/>
      <c r="M219" s="18"/>
    </row>
    <row r="220" spans="1:13" s="52" customFormat="1" ht="17.100000000000001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25"/>
      <c r="K220" s="7"/>
      <c r="L220" s="8"/>
      <c r="M220" s="18"/>
    </row>
    <row r="221" spans="1:13" s="52" customFormat="1" ht="46.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25"/>
      <c r="K221" s="7"/>
      <c r="L221" s="8"/>
      <c r="M221" s="18"/>
    </row>
    <row r="222" spans="1:13" s="52" customFormat="1" ht="38.2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25"/>
      <c r="K222" s="7"/>
      <c r="L222" s="8"/>
      <c r="M222" s="18"/>
    </row>
    <row r="223" spans="1:13" s="52" customFormat="1" ht="13.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25"/>
      <c r="K223" s="7"/>
      <c r="L223" s="8"/>
      <c r="M223" s="18"/>
    </row>
    <row r="224" spans="1:13" s="52" customFormat="1" ht="13.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25"/>
      <c r="K224" s="7"/>
      <c r="L224" s="8"/>
      <c r="M224" s="18"/>
    </row>
    <row r="225" spans="1:14" ht="15" x14ac:dyDescent="0.25">
      <c r="N225" s="52"/>
    </row>
    <row r="226" spans="1:14" ht="15" x14ac:dyDescent="0.25">
      <c r="N226" s="52"/>
    </row>
    <row r="227" spans="1:14" s="52" customFormat="1" ht="15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25"/>
      <c r="K227" s="7"/>
      <c r="L227" s="8"/>
      <c r="M227" s="18"/>
    </row>
    <row r="228" spans="1:14" s="52" customFormat="1" ht="15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25"/>
      <c r="K228" s="7"/>
      <c r="L228" s="8"/>
      <c r="M228" s="18"/>
      <c r="N228" s="8"/>
    </row>
    <row r="229" spans="1:14" s="52" customFormat="1" ht="15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25"/>
      <c r="K229" s="7"/>
      <c r="L229" s="8"/>
      <c r="M229" s="18"/>
      <c r="N229" s="8"/>
    </row>
    <row r="230" spans="1:14" ht="15" x14ac:dyDescent="0.25">
      <c r="N230" s="52"/>
    </row>
    <row r="231" spans="1:14" ht="15" x14ac:dyDescent="0.25">
      <c r="N231" s="52"/>
    </row>
    <row r="232" spans="1:14" s="57" customFormat="1" ht="1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25"/>
      <c r="K232" s="7"/>
      <c r="L232" s="8"/>
      <c r="M232" s="18"/>
      <c r="N232" s="52"/>
    </row>
    <row r="233" spans="1:14" s="57" customFormat="1" ht="1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25"/>
      <c r="K233" s="7"/>
      <c r="L233" s="8"/>
      <c r="M233" s="18"/>
      <c r="N233" s="8"/>
    </row>
    <row r="234" spans="1:14" s="57" customFormat="1" ht="17.100000000000001" customHeight="1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25"/>
      <c r="K234" s="7"/>
      <c r="L234" s="8"/>
      <c r="M234" s="18"/>
      <c r="N234" s="8"/>
    </row>
    <row r="235" spans="1:14" s="57" customFormat="1" ht="17.100000000000001" customHeight="1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25"/>
      <c r="K235" s="7"/>
      <c r="L235" s="8"/>
      <c r="M235" s="18"/>
    </row>
    <row r="236" spans="1:14" s="57" customFormat="1" ht="17.100000000000001" customHeight="1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25"/>
      <c r="K236" s="7"/>
      <c r="L236" s="8"/>
      <c r="M236" s="18"/>
    </row>
    <row r="237" spans="1:14" s="57" customFormat="1" ht="17.100000000000001" customHeight="1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25"/>
      <c r="K237" s="7"/>
      <c r="L237" s="8"/>
      <c r="M237" s="18"/>
    </row>
    <row r="238" spans="1:14" s="57" customFormat="1" ht="17.100000000000001" customHeight="1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25"/>
      <c r="K238" s="7"/>
      <c r="L238" s="8"/>
      <c r="M238" s="18"/>
    </row>
    <row r="239" spans="1:14" s="57" customFormat="1" ht="17.100000000000001" customHeight="1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25"/>
      <c r="K239" s="7"/>
      <c r="L239" s="8"/>
      <c r="M239" s="18"/>
    </row>
    <row r="240" spans="1:14" s="57" customFormat="1" ht="17.100000000000001" customHeight="1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25"/>
      <c r="K240" s="7"/>
      <c r="L240" s="8"/>
      <c r="M240" s="18"/>
    </row>
    <row r="241" spans="1:13" s="57" customFormat="1" ht="17.100000000000001" customHeight="1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25"/>
      <c r="K241" s="7"/>
      <c r="L241" s="8"/>
      <c r="M241" s="18"/>
    </row>
    <row r="242" spans="1:13" s="57" customFormat="1" ht="17.100000000000001" customHeight="1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25"/>
      <c r="K242" s="7"/>
      <c r="L242" s="8"/>
      <c r="M242" s="18"/>
    </row>
    <row r="243" spans="1:13" s="57" customFormat="1" ht="17.100000000000001" customHeight="1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25"/>
      <c r="K243" s="7"/>
      <c r="L243" s="8"/>
      <c r="M243" s="18"/>
    </row>
    <row r="244" spans="1:13" s="57" customFormat="1" ht="17.100000000000001" customHeight="1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25"/>
      <c r="K244" s="7"/>
      <c r="L244" s="8"/>
      <c r="M244" s="18"/>
    </row>
    <row r="245" spans="1:13" s="57" customFormat="1" ht="17.100000000000001" customHeight="1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25"/>
      <c r="K245" s="7"/>
      <c r="L245" s="8"/>
      <c r="M245" s="18"/>
    </row>
    <row r="246" spans="1:13" s="57" customFormat="1" ht="17.100000000000001" customHeight="1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25"/>
      <c r="K246" s="7"/>
      <c r="L246" s="8"/>
      <c r="M246" s="18"/>
    </row>
    <row r="247" spans="1:13" s="57" customFormat="1" ht="17.100000000000001" customHeight="1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25"/>
      <c r="K247" s="7"/>
      <c r="L247" s="8"/>
      <c r="M247" s="18"/>
    </row>
    <row r="248" spans="1:13" s="57" customFormat="1" ht="17.100000000000001" customHeight="1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25"/>
      <c r="K248" s="7"/>
      <c r="L248" s="8"/>
      <c r="M248" s="18"/>
    </row>
    <row r="249" spans="1:13" s="57" customFormat="1" ht="17.100000000000001" customHeight="1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25"/>
      <c r="K249" s="7"/>
      <c r="L249" s="8"/>
      <c r="M249" s="18"/>
    </row>
    <row r="250" spans="1:13" s="57" customFormat="1" ht="17.100000000000001" customHeight="1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25"/>
      <c r="K250" s="7"/>
      <c r="L250" s="8"/>
      <c r="M250" s="18"/>
    </row>
    <row r="251" spans="1:13" s="57" customFormat="1" ht="17.100000000000001" customHeight="1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25"/>
      <c r="K251" s="7"/>
      <c r="L251" s="8"/>
      <c r="M251" s="18"/>
    </row>
    <row r="252" spans="1:13" s="57" customFormat="1" ht="17.100000000000001" customHeight="1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25"/>
      <c r="K252" s="7"/>
      <c r="L252" s="8"/>
      <c r="M252" s="18"/>
    </row>
    <row r="253" spans="1:13" s="57" customFormat="1" ht="17.100000000000001" customHeight="1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25"/>
      <c r="K253" s="7"/>
      <c r="L253" s="8"/>
      <c r="M253" s="18"/>
    </row>
    <row r="254" spans="1:13" s="57" customFormat="1" ht="66" customHeight="1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25"/>
      <c r="K254" s="7"/>
      <c r="L254" s="8"/>
      <c r="M254" s="18"/>
    </row>
    <row r="255" spans="1:13" s="57" customFormat="1" ht="46.5" customHeight="1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25"/>
      <c r="K255" s="7"/>
      <c r="L255" s="8"/>
      <c r="M255" s="18"/>
    </row>
    <row r="256" spans="1:13" s="57" customFormat="1" ht="12.75" customHeight="1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25"/>
      <c r="K256" s="7"/>
      <c r="L256" s="8"/>
      <c r="M256" s="18"/>
    </row>
    <row r="257" spans="1:14" s="52" customFormat="1" ht="13.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25"/>
      <c r="K257" s="7"/>
      <c r="L257" s="8"/>
      <c r="M257" s="18"/>
      <c r="N257" s="57"/>
    </row>
    <row r="258" spans="1:14" ht="15" x14ac:dyDescent="0.2">
      <c r="N258" s="57"/>
    </row>
    <row r="259" spans="1:14" s="57" customFormat="1" ht="12.75" customHeight="1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25"/>
      <c r="K259" s="7"/>
      <c r="L259" s="8"/>
      <c r="M259" s="18"/>
    </row>
    <row r="260" spans="1:14" s="52" customFormat="1" ht="15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25"/>
      <c r="K260" s="7"/>
      <c r="L260" s="8"/>
      <c r="M260" s="18"/>
    </row>
    <row r="261" spans="1:14" s="52" customFormat="1" ht="15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25"/>
      <c r="K261" s="7"/>
      <c r="L261" s="8"/>
      <c r="M261" s="18"/>
      <c r="N261" s="8"/>
    </row>
    <row r="262" spans="1:14" s="52" customFormat="1" ht="15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25"/>
      <c r="K262" s="7"/>
      <c r="L262" s="8"/>
      <c r="M262" s="18"/>
      <c r="N262" s="57"/>
    </row>
    <row r="263" spans="1:14" ht="15" x14ac:dyDescent="0.25">
      <c r="N263" s="52"/>
    </row>
    <row r="264" spans="1:14" ht="15" x14ac:dyDescent="0.25">
      <c r="N264" s="52"/>
    </row>
    <row r="265" spans="1:14" ht="15" x14ac:dyDescent="0.25">
      <c r="N265" s="52"/>
    </row>
    <row r="268" spans="1:14" ht="15" customHeight="1" x14ac:dyDescent="0.2"/>
    <row r="269" spans="1:14" ht="15" customHeight="1" x14ac:dyDescent="0.2"/>
    <row r="270" spans="1:14" ht="15" customHeight="1" x14ac:dyDescent="0.2"/>
    <row r="271" spans="1:14" ht="15" customHeight="1" x14ac:dyDescent="0.2"/>
    <row r="274" ht="12.75" customHeight="1" x14ac:dyDescent="0.2"/>
    <row r="277" ht="15" customHeight="1" x14ac:dyDescent="0.2"/>
    <row r="278" ht="15" customHeight="1" x14ac:dyDescent="0.2"/>
    <row r="284" ht="15" customHeight="1" x14ac:dyDescent="0.2"/>
    <row r="285" ht="15" customHeight="1" x14ac:dyDescent="0.2"/>
    <row r="288" ht="12.7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</sheetData>
  <sheetProtection sheet="1" selectLockedCells="1"/>
  <mergeCells count="105">
    <mergeCell ref="B7:G7"/>
    <mergeCell ref="B8:G8"/>
    <mergeCell ref="H8:K8"/>
    <mergeCell ref="B10:G10"/>
    <mergeCell ref="B11:G11"/>
    <mergeCell ref="H11:M11"/>
    <mergeCell ref="A1:M1"/>
    <mergeCell ref="A2:M2"/>
    <mergeCell ref="A3:B3"/>
    <mergeCell ref="C3:D3"/>
    <mergeCell ref="B5:G5"/>
    <mergeCell ref="B20:G20"/>
    <mergeCell ref="H20:K20"/>
    <mergeCell ref="B22:G22"/>
    <mergeCell ref="B23:G23"/>
    <mergeCell ref="H23:J23"/>
    <mergeCell ref="B25:G25"/>
    <mergeCell ref="B13:G13"/>
    <mergeCell ref="B14:G14"/>
    <mergeCell ref="B16:G16"/>
    <mergeCell ref="B17:G17"/>
    <mergeCell ref="H17:K17"/>
    <mergeCell ref="B19:G19"/>
    <mergeCell ref="B32:G32"/>
    <mergeCell ref="H32:K32"/>
    <mergeCell ref="B34:G34"/>
    <mergeCell ref="B35:G35"/>
    <mergeCell ref="H35:J35"/>
    <mergeCell ref="B37:G37"/>
    <mergeCell ref="B26:G26"/>
    <mergeCell ref="H26:K26"/>
    <mergeCell ref="B28:G28"/>
    <mergeCell ref="B29:G29"/>
    <mergeCell ref="H29:J29"/>
    <mergeCell ref="B31:G31"/>
    <mergeCell ref="B46:G46"/>
    <mergeCell ref="B48:G48"/>
    <mergeCell ref="B49:G49"/>
    <mergeCell ref="B51:G51"/>
    <mergeCell ref="B52:G52"/>
    <mergeCell ref="B54:G54"/>
    <mergeCell ref="B38:G38"/>
    <mergeCell ref="H38:J38"/>
    <mergeCell ref="B40:G40"/>
    <mergeCell ref="B42:G42"/>
    <mergeCell ref="B43:G43"/>
    <mergeCell ref="B45:G45"/>
    <mergeCell ref="B64:G64"/>
    <mergeCell ref="B66:G66"/>
    <mergeCell ref="B67:G67"/>
    <mergeCell ref="B69:G69"/>
    <mergeCell ref="B70:G70"/>
    <mergeCell ref="B72:G72"/>
    <mergeCell ref="B55:G55"/>
    <mergeCell ref="B57:G57"/>
    <mergeCell ref="B58:G58"/>
    <mergeCell ref="B60:G60"/>
    <mergeCell ref="B61:G61"/>
    <mergeCell ref="B63:G63"/>
    <mergeCell ref="B85:G85"/>
    <mergeCell ref="B86:G86"/>
    <mergeCell ref="B88:G88"/>
    <mergeCell ref="B89:G89"/>
    <mergeCell ref="B73:G73"/>
    <mergeCell ref="B75:J75"/>
    <mergeCell ref="B79:G79"/>
    <mergeCell ref="B80:G80"/>
    <mergeCell ref="B82:G82"/>
    <mergeCell ref="B83:G83"/>
    <mergeCell ref="B100:G100"/>
    <mergeCell ref="B101:G101"/>
    <mergeCell ref="B103:G103"/>
    <mergeCell ref="B106:G106"/>
    <mergeCell ref="B107:G107"/>
    <mergeCell ref="B91:G91"/>
    <mergeCell ref="B92:G92"/>
    <mergeCell ref="B93:G93"/>
    <mergeCell ref="B95:G95"/>
    <mergeCell ref="B97:G97"/>
    <mergeCell ref="B98:G98"/>
    <mergeCell ref="J141:M141"/>
    <mergeCell ref="B126:G126"/>
    <mergeCell ref="B127:G127"/>
    <mergeCell ref="B129:G129"/>
    <mergeCell ref="B130:G130"/>
    <mergeCell ref="B133:G133"/>
    <mergeCell ref="A136:H136"/>
    <mergeCell ref="B118:G118"/>
    <mergeCell ref="B119:G119"/>
    <mergeCell ref="B121:G121"/>
    <mergeCell ref="B123:G123"/>
    <mergeCell ref="B124:G124"/>
    <mergeCell ref="B109:G109"/>
    <mergeCell ref="B113:G113"/>
    <mergeCell ref="B117:G117"/>
    <mergeCell ref="B105:G105"/>
    <mergeCell ref="J136:M136"/>
    <mergeCell ref="J137:M137"/>
    <mergeCell ref="C138:K138"/>
    <mergeCell ref="A140:H140"/>
    <mergeCell ref="J140:M140"/>
    <mergeCell ref="B110:G110"/>
    <mergeCell ref="B111:G111"/>
    <mergeCell ref="B114:G114"/>
    <mergeCell ref="B115:G115"/>
  </mergeCells>
  <printOptions horizontalCentered="1" verticalCentered="1"/>
  <pageMargins left="0.5" right="0.5" top="1.0569852941176501" bottom="1" header="0.66562445319335095" footer="0.3"/>
  <pageSetup scale="66" orientation="portrait" horizontalDpi="4294967295" verticalDpi="4294967295" r:id="rId1"/>
  <headerFooter>
    <oddHeader>&amp;R&amp;"Times New Roman,Regular"Exhibit to Solicitation No. FA520926Q0021&amp;K000000
Page &amp;P of &amp;N
Approved effective upon contract award</oddHeader>
    <oddFooter>&amp;C&amp;16&amp;KFF0000CONTROLLED UNCLASSIFIED INFORMATION</oddFooter>
  </headerFooter>
  <rowBreaks count="1" manualBreakCount="1">
    <brk id="75" max="1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erson xmlns="9bccbc3c-9522-44f0-9521-bfae7935792f">
      <UserInfo>
        <DisplayName/>
        <AccountId xsi:nil="true"/>
        <AccountType/>
      </UserInfo>
    </Person>
    <_ip_UnifiedCompliancePolicyUIAction xmlns="http://schemas.microsoft.com/sharepoint/v3" xsi:nil="true"/>
    <lcf76f155ced4ddcb4097134ff3c332f xmlns="9bccbc3c-9522-44f0-9521-bfae7935792f">
      <Terms xmlns="http://schemas.microsoft.com/office/infopath/2007/PartnerControls"/>
    </lcf76f155ced4ddcb4097134ff3c332f>
    <TaxCatchAll xmlns="bac4e3eb-747f-43bc-bf10-c1bbb893ecac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836E2B7289D54B8B2653BB298304B6" ma:contentTypeVersion="17" ma:contentTypeDescription="Create a new document." ma:contentTypeScope="" ma:versionID="23378ab379ed574ed918d4f9858fd6ca">
  <xsd:schema xmlns:xsd="http://www.w3.org/2001/XMLSchema" xmlns:xs="http://www.w3.org/2001/XMLSchema" xmlns:p="http://schemas.microsoft.com/office/2006/metadata/properties" xmlns:ns1="http://schemas.microsoft.com/sharepoint/v3" xmlns:ns2="9bccbc3c-9522-44f0-9521-bfae7935792f" xmlns:ns3="bac4e3eb-747f-43bc-bf10-c1bbb893ecac" targetNamespace="http://schemas.microsoft.com/office/2006/metadata/properties" ma:root="true" ma:fieldsID="89e45e42ccc3f613a8c499d7cffc6b4b" ns1:_="" ns2:_="" ns3:_="">
    <xsd:import namespace="http://schemas.microsoft.com/sharepoint/v3"/>
    <xsd:import namespace="9bccbc3c-9522-44f0-9521-bfae7935792f"/>
    <xsd:import namespace="bac4e3eb-747f-43bc-bf10-c1bbb893e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Pers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cbc3c-9522-44f0-9521-bfae79357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Person" ma:index="23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c8332d4a-22c2-48ee-a75e-8bfb6212c08e}" ma:internalName="TaxCatchAll" ma:showField="CatchAllData" ma:web="2b28c2b0-c2cc-4426-907b-b0e2243a1f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73396A-63B5-495B-88B4-B176F51DD5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CFBBC8-264B-4245-9D1F-FECCF759FFCD}">
  <ds:schemaRefs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9bccbc3c-9522-44f0-9521-bfae7935792f"/>
    <ds:schemaRef ds:uri="http://schemas.microsoft.com/sharepoint/v3"/>
    <ds:schemaRef ds:uri="http://schemas.microsoft.com/office/2006/metadata/properties"/>
    <ds:schemaRef ds:uri="http://purl.org/dc/terms/"/>
    <ds:schemaRef ds:uri="bac4e3eb-747f-43bc-bf10-c1bbb893ecac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62081EDF-90DF-4E0E-9C9E-1845D9A338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bccbc3c-9522-44f0-9521-bfae7935792f"/>
    <ds:schemaRef ds:uri="bac4e3eb-747f-43bc-bf10-c1bbb893e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Exhibit A</vt:lpstr>
      <vt:lpstr>Exhibit B</vt:lpstr>
      <vt:lpstr>Exhibit C</vt:lpstr>
      <vt:lpstr>Exhibit D</vt:lpstr>
      <vt:lpstr>Exhibit E</vt:lpstr>
      <vt:lpstr>'Exhibit A'!Print_Area</vt:lpstr>
      <vt:lpstr>'Exhibit B'!Print_Area</vt:lpstr>
      <vt:lpstr>'Exhibit C'!Print_Area</vt:lpstr>
      <vt:lpstr>'Exhibit D'!Print_Area</vt:lpstr>
      <vt:lpstr>'Exhibit E'!Print_Area</vt:lpstr>
    </vt:vector>
  </TitlesOfParts>
  <Manager/>
  <Company>U.S. Army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Nagai, Hisaki Mr CTR JPN USA IMCOM</dc:creator>
  <cp:keywords/>
  <dc:description/>
  <cp:lastModifiedBy>ISHIKAWA, GO JP USAF PACAF 374 CONS/PKS</cp:lastModifiedBy>
  <cp:revision/>
  <cp:lastPrinted>2026-04-28T22:55:49Z</cp:lastPrinted>
  <dcterms:created xsi:type="dcterms:W3CDTF">2017-06-12T08:42:53Z</dcterms:created>
  <dcterms:modified xsi:type="dcterms:W3CDTF">2026-05-04T23:22:46Z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0x0101006D836E2B7289D54B8B2653BB298304B6</vt:lpwstr>
  </property>
</Properties>
</file>