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yung-han_chang_civ_us_navy_mil/Documents/Desktop/"/>
    </mc:Choice>
  </mc:AlternateContent>
  <xr:revisionPtr revIDLastSave="0" documentId="8_{239CCF39-C98D-4CB5-9BD6-3D717C875E23}" xr6:coauthVersionLast="47" xr6:coauthVersionMax="47" xr10:uidLastSave="{00000000-0000-0000-0000-000000000000}"/>
  <bookViews>
    <workbookView xWindow="-28898" yWindow="8" windowWidth="28996" windowHeight="15569" xr2:uid="{8D62D705-E489-4709-A301-883EA933CA81}"/>
  </bookViews>
  <sheets>
    <sheet name="Space Tabs" sheetId="1" r:id="rId1"/>
  </sheets>
  <definedNames>
    <definedName name="Z_1E12F014_4D5F_454B_9564_3900CD16401E_.wvu.PrintArea" localSheetId="0" hidden="1">'Space Tabs'!$A$2:$G$17</definedName>
    <definedName name="Z_23AD450A_1E3B_4A85_8BD7_2F7CDA8F4FC4_.wvu.PrintArea" localSheetId="0" hidden="1">'Space Tabs'!$A$2:$G$17</definedName>
    <definedName name="Z_6FECBDB9_218F_4EF7_AB6E_3671527E4545_.wvu.PrintArea" localSheetId="0" hidden="1">'Space Tabs'!$A$2:$G$17</definedName>
    <definedName name="Z_8E2F96DF_59C0_44F5_884A_967A87455528_.wvu.PrintArea" localSheetId="0" hidden="1">'Space Tabs'!$A$2:$G$17</definedName>
  </definedNames>
  <calcPr calcId="191028"/>
  <customWorkbookViews>
    <customWorkbookView name="james lloyd - Personal View" guid="{23AD450A-1E3B-4A85-8BD7-2F7CDA8F4FC4}" mergeInterval="0" personalView="1" xWindow="257" yWindow="257" windowWidth="1440" windowHeight="759" activeSheetId="1"/>
    <customWorkbookView name="cooksd - Personal View" guid="{8E2F96DF-59C0-44F5-884A-967A87455528}" mergeInterval="0" personalView="1" xWindow="22" yWindow="37" windowWidth="1228" windowHeight="754" activeSheetId="1"/>
    <customWorkbookView name="Ying - Personal View" guid="{6FECBDB9-218F-4EF7-AB6E-3671527E4545}" mergeInterval="0" personalView="1" maximized="1" windowWidth="815" windowHeight="596" activeSheetId="1"/>
    <customWorkbookView name="E Mion - Personal View" guid="{1E12F014-4D5F-454B-9564-3900CD16401E}" mergeInterval="0" personalView="1" maximized="1" windowWidth="1020" windowHeight="57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E8" i="1" s="1"/>
  <c r="D5" i="1"/>
  <c r="E5" i="1" s="1"/>
  <c r="D6" i="1"/>
  <c r="E6" i="1"/>
  <c r="D7" i="1"/>
  <c r="E7" i="1"/>
  <c r="D9" i="1"/>
  <c r="E9" i="1" s="1"/>
  <c r="D10" i="1"/>
  <c r="E10" i="1"/>
  <c r="D11" i="1"/>
  <c r="E11" i="1" s="1"/>
  <c r="D12" i="1"/>
  <c r="E12" i="1"/>
  <c r="D4" i="1"/>
  <c r="E4" i="1"/>
  <c r="D14" i="1" l="1"/>
  <c r="D16" i="1" s="1"/>
  <c r="E14" i="1"/>
  <c r="E16" i="1" s="1"/>
</calcChain>
</file>

<file path=xl/sharedStrings.xml><?xml version="1.0" encoding="utf-8"?>
<sst xmlns="http://schemas.openxmlformats.org/spreadsheetml/2006/main" count="40" uniqueCount="39">
  <si>
    <t>Space Name</t>
  </si>
  <si>
    <t># of spaces</t>
  </si>
  <si>
    <t>Unit SF (Net)</t>
  </si>
  <si>
    <t>Total SF (Net)</t>
  </si>
  <si>
    <t>Total SQM (Net)</t>
  </si>
  <si>
    <t>Ideal Dimensions</t>
  </si>
  <si>
    <t>Remarks</t>
  </si>
  <si>
    <t>Maintenance &amp; Apparatus</t>
  </si>
  <si>
    <t>100 - Apparatus Bay</t>
  </si>
  <si>
    <t>SEE UFC</t>
  </si>
  <si>
    <t>Two (2) Medium Apparatus Bays (non ARFF)</t>
  </si>
  <si>
    <t>101 - Fire Riser Closet</t>
  </si>
  <si>
    <t>2'x10'</t>
  </si>
  <si>
    <t>102 - Protective Equipment Laundry</t>
  </si>
  <si>
    <t>10'x14'</t>
  </si>
  <si>
    <t>PPE EXTRACTOR , DRYER, DRYING RACK &amp; FOLDING TABLE (FFE)</t>
  </si>
  <si>
    <t>103 - PPE Gear Storage\Maintenance</t>
  </si>
  <si>
    <t>10'x13'</t>
  </si>
  <si>
    <t>11 PPE Gear Storage Lockers (FFE)</t>
  </si>
  <si>
    <t>5.5'x7'</t>
  </si>
  <si>
    <t>ABA Toilet and Sink</t>
  </si>
  <si>
    <t>105 - Transition Vestibule</t>
  </si>
  <si>
    <t>5.5'x10'</t>
  </si>
  <si>
    <t>Provide 6' minimum depth walk off mat per UFC requirements.</t>
  </si>
  <si>
    <t>106 - Secure Storage</t>
  </si>
  <si>
    <t>8.5'x10'</t>
  </si>
  <si>
    <t>Shelving &amp; equipment FFE</t>
  </si>
  <si>
    <t>107 - Mechanical Room</t>
  </si>
  <si>
    <t>9'x12'</t>
  </si>
  <si>
    <t>Subtotal Net Area</t>
  </si>
  <si>
    <t>Net to Gross Factor</t>
  </si>
  <si>
    <t>TOTAL GROSS AREA</t>
  </si>
  <si>
    <t>56'x56' Aproximate Footprint</t>
  </si>
  <si>
    <t>The design build contractor shall provide actual area in both square feet and square meters in proposals.</t>
  </si>
  <si>
    <t>See ATT (01) CONCEPTUAL FLOOR PLAN DIAGRAM in Part 6 Attachments for adjacencies.</t>
  </si>
  <si>
    <t>104 - Unisex Toilet</t>
  </si>
  <si>
    <t>103A - Decontamination</t>
  </si>
  <si>
    <t>Utility Sink and Decontamination Shower</t>
  </si>
  <si>
    <t xml:space="preserve">Space Tabulation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</si>
</sst>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color indexed="9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4"/>
      <name val="Calibri"/>
      <family val="2"/>
    </font>
    <font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9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indexed="9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1" fontId="1" fillId="2" borderId="5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2" fillId="0" borderId="0" xfId="0" applyFont="1"/>
    <xf numFmtId="0" fontId="3" fillId="0" borderId="12" xfId="0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0" fontId="2" fillId="0" borderId="11" xfId="0" applyFont="1" applyBorder="1" applyAlignment="1">
      <alignment horizontal="left"/>
    </xf>
    <xf numFmtId="2" fontId="2" fillId="0" borderId="3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1" fontId="3" fillId="0" borderId="2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1" fontId="2" fillId="0" borderId="0" xfId="0" applyNumberFormat="1" applyFont="1"/>
    <xf numFmtId="0" fontId="5" fillId="0" borderId="0" xfId="0" applyFont="1" applyAlignment="1">
      <alignment horizontal="center" vertical="center"/>
    </xf>
    <xf numFmtId="0" fontId="2" fillId="0" borderId="22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8" xfId="0" applyFont="1" applyBorder="1" applyAlignment="1">
      <alignment horizontal="right" vertical="center"/>
    </xf>
    <xf numFmtId="0" fontId="3" fillId="0" borderId="19" xfId="0" applyFont="1" applyBorder="1" applyAlignment="1">
      <alignment horizontal="right" vertical="center"/>
    </xf>
    <xf numFmtId="0" fontId="3" fillId="0" borderId="20" xfId="0" applyFont="1" applyBorder="1" applyAlignment="1">
      <alignment horizontal="right" vertical="center"/>
    </xf>
    <xf numFmtId="0" fontId="3" fillId="0" borderId="12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21" xfId="0" applyFont="1" applyBorder="1" applyAlignment="1">
      <alignment horizontal="right" vertical="center"/>
    </xf>
    <xf numFmtId="0" fontId="1" fillId="2" borderId="12" xfId="0" applyFont="1" applyFill="1" applyBorder="1" applyAlignment="1">
      <alignment horizontal="right" vertical="center"/>
    </xf>
    <xf numFmtId="0" fontId="1" fillId="2" borderId="7" xfId="0" applyFont="1" applyFill="1" applyBorder="1" applyAlignment="1">
      <alignment horizontal="right" vertical="center"/>
    </xf>
    <xf numFmtId="0" fontId="1" fillId="2" borderId="21" xfId="0" applyFont="1" applyFill="1" applyBorder="1" applyAlignment="1">
      <alignment horizontal="right" vertical="center"/>
    </xf>
    <xf numFmtId="2" fontId="2" fillId="3" borderId="2" xfId="0" applyNumberFormat="1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1" fontId="2" fillId="3" borderId="9" xfId="0" applyNumberFormat="1" applyFont="1" applyFill="1" applyBorder="1" applyAlignment="1">
      <alignment horizontal="center"/>
    </xf>
    <xf numFmtId="2" fontId="2" fillId="3" borderId="9" xfId="0" applyNumberFormat="1" applyFont="1" applyFill="1" applyBorder="1" applyAlignment="1">
      <alignment horizontal="center"/>
    </xf>
    <xf numFmtId="1" fontId="2" fillId="3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A71E5-C88B-4F28-8B6E-4C5D53448B66}">
  <sheetPr>
    <pageSetUpPr fitToPage="1"/>
  </sheetPr>
  <dimension ref="A1:G44"/>
  <sheetViews>
    <sheetView tabSelected="1" view="pageLayout" zoomScaleNormal="100" workbookViewId="0">
      <selection activeCell="F14" sqref="F14"/>
    </sheetView>
  </sheetViews>
  <sheetFormatPr defaultColWidth="9.06640625" defaultRowHeight="13.15" x14ac:dyDescent="0.4"/>
  <cols>
    <col min="1" max="1" width="30" style="5" customWidth="1"/>
    <col min="2" max="2" width="11.53125" style="5" customWidth="1"/>
    <col min="3" max="3" width="9.53125" style="5" customWidth="1"/>
    <col min="4" max="4" width="9.46484375" style="30" customWidth="1"/>
    <col min="5" max="5" width="10.53125" style="5" customWidth="1"/>
    <col min="6" max="6" width="19.73046875" style="5" customWidth="1"/>
    <col min="7" max="7" width="64.796875" style="5" customWidth="1"/>
    <col min="8" max="16384" width="9.06640625" style="5"/>
  </cols>
  <sheetData>
    <row r="1" spans="1:7" ht="18" x14ac:dyDescent="0.55000000000000004">
      <c r="A1" s="38" t="s">
        <v>38</v>
      </c>
      <c r="B1" s="39"/>
      <c r="C1" s="39"/>
      <c r="D1" s="39"/>
      <c r="E1" s="39"/>
      <c r="F1" s="39"/>
      <c r="G1" s="39"/>
    </row>
    <row r="2" spans="1:7" ht="26.25" x14ac:dyDescent="0.4">
      <c r="A2" s="1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4" t="s">
        <v>6</v>
      </c>
    </row>
    <row r="3" spans="1:7" ht="18.75" customHeight="1" x14ac:dyDescent="0.4">
      <c r="A3" s="6" t="s">
        <v>7</v>
      </c>
      <c r="B3" s="7"/>
      <c r="C3" s="7"/>
      <c r="D3" s="8"/>
      <c r="E3" s="9"/>
      <c r="F3" s="10"/>
      <c r="G3" s="11"/>
    </row>
    <row r="4" spans="1:7" x14ac:dyDescent="0.4">
      <c r="A4" s="12" t="s">
        <v>8</v>
      </c>
      <c r="B4" s="13">
        <v>2</v>
      </c>
      <c r="C4" s="50">
        <v>936</v>
      </c>
      <c r="D4" s="51">
        <f>B4*C4</f>
        <v>1872</v>
      </c>
      <c r="E4" s="52">
        <f>PRODUCT(D4,0.09290304)</f>
        <v>173.91449088000002</v>
      </c>
      <c r="F4" s="14" t="s">
        <v>9</v>
      </c>
      <c r="G4" s="11" t="s">
        <v>10</v>
      </c>
    </row>
    <row r="5" spans="1:7" x14ac:dyDescent="0.4">
      <c r="A5" s="15" t="s">
        <v>11</v>
      </c>
      <c r="B5" s="16">
        <v>1</v>
      </c>
      <c r="C5" s="16">
        <v>20</v>
      </c>
      <c r="D5" s="17">
        <f t="shared" ref="D5" si="0">B5*C5</f>
        <v>20</v>
      </c>
      <c r="E5" s="18">
        <f t="shared" ref="E5" si="1">PRODUCT(D5,0.09290304)</f>
        <v>1.8580608000000001</v>
      </c>
      <c r="F5" s="19" t="s">
        <v>12</v>
      </c>
      <c r="G5" s="11"/>
    </row>
    <row r="6" spans="1:7" x14ac:dyDescent="0.4">
      <c r="A6" s="15" t="s">
        <v>13</v>
      </c>
      <c r="B6" s="16">
        <v>1</v>
      </c>
      <c r="C6" s="16">
        <v>142</v>
      </c>
      <c r="D6" s="17">
        <f t="shared" ref="D6:D12" si="2">B6*C6</f>
        <v>142</v>
      </c>
      <c r="E6" s="18">
        <f t="shared" ref="E6:E12" si="3">PRODUCT(D6,0.09290304)</f>
        <v>13.192231680000001</v>
      </c>
      <c r="F6" s="19" t="s">
        <v>14</v>
      </c>
      <c r="G6" s="11" t="s">
        <v>15</v>
      </c>
    </row>
    <row r="7" spans="1:7" x14ac:dyDescent="0.4">
      <c r="A7" s="15" t="s">
        <v>16</v>
      </c>
      <c r="B7" s="16">
        <v>1</v>
      </c>
      <c r="C7" s="16">
        <v>136</v>
      </c>
      <c r="D7" s="17">
        <f>B7*C7</f>
        <v>136</v>
      </c>
      <c r="E7" s="18">
        <f t="shared" si="3"/>
        <v>12.63481344</v>
      </c>
      <c r="F7" s="19" t="s">
        <v>17</v>
      </c>
      <c r="G7" s="11" t="s">
        <v>18</v>
      </c>
    </row>
    <row r="8" spans="1:7" x14ac:dyDescent="0.4">
      <c r="A8" s="15" t="s">
        <v>36</v>
      </c>
      <c r="B8" s="16">
        <v>1</v>
      </c>
      <c r="C8" s="16">
        <v>40</v>
      </c>
      <c r="D8" s="17">
        <f t="shared" ref="D8" si="4">B8*C8</f>
        <v>40</v>
      </c>
      <c r="E8" s="18">
        <f t="shared" ref="E8" si="5">PRODUCT(D8,0.09290304)</f>
        <v>3.7161216000000001</v>
      </c>
      <c r="F8" s="19" t="s">
        <v>19</v>
      </c>
      <c r="G8" s="11" t="s">
        <v>37</v>
      </c>
    </row>
    <row r="9" spans="1:7" x14ac:dyDescent="0.4">
      <c r="A9" s="15" t="s">
        <v>35</v>
      </c>
      <c r="B9" s="16">
        <v>1</v>
      </c>
      <c r="C9" s="16">
        <v>40</v>
      </c>
      <c r="D9" s="17">
        <f t="shared" si="2"/>
        <v>40</v>
      </c>
      <c r="E9" s="18">
        <f t="shared" si="3"/>
        <v>3.7161216000000001</v>
      </c>
      <c r="F9" s="19" t="s">
        <v>19</v>
      </c>
      <c r="G9" s="11" t="s">
        <v>20</v>
      </c>
    </row>
    <row r="10" spans="1:7" x14ac:dyDescent="0.4">
      <c r="A10" s="15" t="s">
        <v>21</v>
      </c>
      <c r="B10" s="16">
        <v>1</v>
      </c>
      <c r="C10" s="16">
        <v>58</v>
      </c>
      <c r="D10" s="17">
        <f>B10*C10</f>
        <v>58</v>
      </c>
      <c r="E10" s="18">
        <f t="shared" si="3"/>
        <v>5.3883763200000008</v>
      </c>
      <c r="F10" s="19" t="s">
        <v>22</v>
      </c>
      <c r="G10" s="11" t="s">
        <v>23</v>
      </c>
    </row>
    <row r="11" spans="1:7" x14ac:dyDescent="0.4">
      <c r="A11" s="15" t="s">
        <v>24</v>
      </c>
      <c r="B11" s="16">
        <v>1</v>
      </c>
      <c r="C11" s="16">
        <v>85</v>
      </c>
      <c r="D11" s="17">
        <f t="shared" ref="D11" si="6">B11*C11</f>
        <v>85</v>
      </c>
      <c r="E11" s="18">
        <f t="shared" ref="E11" si="7">PRODUCT(D11,0.09290304)</f>
        <v>7.8967584000000004</v>
      </c>
      <c r="F11" s="19" t="s">
        <v>25</v>
      </c>
      <c r="G11" s="11" t="s">
        <v>26</v>
      </c>
    </row>
    <row r="12" spans="1:7" ht="13.5" thickBot="1" x14ac:dyDescent="0.45">
      <c r="A12" s="15" t="s">
        <v>27</v>
      </c>
      <c r="B12" s="16">
        <v>1</v>
      </c>
      <c r="C12" s="16">
        <v>110</v>
      </c>
      <c r="D12" s="17">
        <f t="shared" si="2"/>
        <v>110</v>
      </c>
      <c r="E12" s="18">
        <f t="shared" si="3"/>
        <v>10.219334400000001</v>
      </c>
      <c r="F12" s="19" t="s">
        <v>28</v>
      </c>
      <c r="G12" s="32"/>
    </row>
    <row r="13" spans="1:7" ht="19.5" customHeight="1" thickBot="1" x14ac:dyDescent="0.45">
      <c r="A13" s="20"/>
      <c r="B13" s="21"/>
      <c r="C13" s="21"/>
      <c r="D13" s="22"/>
      <c r="E13" s="23"/>
      <c r="F13" s="24"/>
      <c r="G13" s="33"/>
    </row>
    <row r="14" spans="1:7" x14ac:dyDescent="0.4">
      <c r="A14" s="40" t="s">
        <v>29</v>
      </c>
      <c r="B14" s="41"/>
      <c r="C14" s="42"/>
      <c r="D14" s="53">
        <f>SUM(D3:D13)</f>
        <v>2503</v>
      </c>
      <c r="E14" s="25">
        <f>SUM(E3:E13)</f>
        <v>232.53630912000003</v>
      </c>
      <c r="F14" s="25"/>
      <c r="G14" s="34"/>
    </row>
    <row r="15" spans="1:7" x14ac:dyDescent="0.4">
      <c r="A15" s="43" t="s">
        <v>30</v>
      </c>
      <c r="B15" s="44"/>
      <c r="C15" s="45"/>
      <c r="D15" s="49">
        <v>1.2529999999999999</v>
      </c>
      <c r="E15" s="18"/>
      <c r="F15" s="18"/>
      <c r="G15" s="11"/>
    </row>
    <row r="16" spans="1:7" x14ac:dyDescent="0.4">
      <c r="A16" s="46" t="s">
        <v>31</v>
      </c>
      <c r="B16" s="47"/>
      <c r="C16" s="48"/>
      <c r="D16" s="28">
        <f>D14*D15</f>
        <v>3136.2589999999996</v>
      </c>
      <c r="E16" s="29">
        <f>E14*E15</f>
        <v>0</v>
      </c>
      <c r="F16" s="26"/>
      <c r="G16" s="27" t="s">
        <v>32</v>
      </c>
    </row>
    <row r="17" spans="1:7" x14ac:dyDescent="0.4">
      <c r="A17" s="35" t="s">
        <v>33</v>
      </c>
      <c r="B17" s="36"/>
      <c r="C17" s="36"/>
      <c r="D17" s="36"/>
      <c r="E17" s="36"/>
      <c r="F17" s="36"/>
      <c r="G17" s="37"/>
    </row>
    <row r="18" spans="1:7" x14ac:dyDescent="0.4">
      <c r="A18" s="35" t="s">
        <v>34</v>
      </c>
      <c r="B18" s="36"/>
      <c r="C18" s="36"/>
      <c r="D18" s="36"/>
      <c r="E18" s="36"/>
      <c r="F18" s="36"/>
      <c r="G18" s="37"/>
    </row>
    <row r="44" spans="5:5" x14ac:dyDescent="0.4">
      <c r="E44" s="31"/>
    </row>
  </sheetData>
  <customSheetViews>
    <customSheetView guid="{23AD450A-1E3B-4A85-8BD7-2F7CDA8F4FC4}" fitToPage="1">
      <selection activeCell="G65" sqref="G65"/>
      <pageMargins left="0" right="0" top="0" bottom="0" header="0" footer="0"/>
      <printOptions horizontalCentered="1"/>
      <pageSetup fitToHeight="2" orientation="landscape" r:id="rId1"/>
      <headerFooter alignWithMargins="0"/>
    </customSheetView>
    <customSheetView guid="{8E2F96DF-59C0-44F5-884A-967A87455528}" showPageBreaks="1" fitToPage="1" printArea="1" showRuler="0">
      <selection activeCell="F6" sqref="F6"/>
      <pageMargins left="0" right="0" top="0" bottom="0" header="0" footer="0"/>
      <printOptions horizontalCentered="1"/>
      <pageSetup fitToHeight="2" orientation="landscape" r:id="rId2"/>
      <headerFooter alignWithMargins="0"/>
    </customSheetView>
    <customSheetView guid="{6FECBDB9-218F-4EF7-AB6E-3671527E4545}" fitToPage="1" showRuler="0">
      <selection activeCell="F21" sqref="F21"/>
      <pageMargins left="0" right="0" top="0" bottom="0" header="0" footer="0"/>
      <printOptions horizontalCentered="1"/>
      <pageSetup scale="93" fitToHeight="2" orientation="landscape" r:id="rId3"/>
      <headerFooter alignWithMargins="0"/>
    </customSheetView>
    <customSheetView guid="{1E12F014-4D5F-454B-9564-3900CD16401E}" fitToPage="1" showRuler="0">
      <selection activeCell="G65" sqref="G65"/>
      <pageMargins left="0" right="0" top="0" bottom="0" header="0" footer="0"/>
      <printOptions horizontalCentered="1"/>
      <pageSetup fitToHeight="2" orientation="landscape" r:id="rId4"/>
      <headerFooter alignWithMargins="0"/>
    </customSheetView>
  </customSheetViews>
  <mergeCells count="6">
    <mergeCell ref="A18:G18"/>
    <mergeCell ref="A1:G1"/>
    <mergeCell ref="A17:G17"/>
    <mergeCell ref="A14:C14"/>
    <mergeCell ref="A15:C15"/>
    <mergeCell ref="A16:C16"/>
  </mergeCells>
  <phoneticPr fontId="0" type="noConversion"/>
  <printOptions horizontalCentered="1"/>
  <pageMargins left="0.5" right="0.5" top="1.25" bottom="0.5" header="0.5" footer="0.5"/>
  <pageSetup scale="83" fitToHeight="2" orientation="landscape" r:id="rId5"/>
  <headerFooter alignWithMargins="0">
    <oddHeader xml:space="preserve">&amp;L&amp;"Calibri,Regular"P1476U Construct New Fire Apparatus Bay at CAD 119                                                                                   
Naval Weapons Station Yorktown, Cheatham Annex, Williamsburg, VA&amp;R&amp;"Calibri,Regular"WON 1832581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8e9e9f-8626-4521-81f4-4cb354f65e7d" xsi:nil="true"/>
    <lcf76f155ced4ddcb4097134ff3c332f xmlns="6acb113d-9f6e-483d-abe1-dddc0fb077c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5285793768934C8D7FB38DCBDF558B" ma:contentTypeVersion="11" ma:contentTypeDescription="Create a new document." ma:contentTypeScope="" ma:versionID="048bafd142a0521039586aae12ccfc78">
  <xsd:schema xmlns:xsd="http://www.w3.org/2001/XMLSchema" xmlns:xs="http://www.w3.org/2001/XMLSchema" xmlns:p="http://schemas.microsoft.com/office/2006/metadata/properties" xmlns:ns2="6acb113d-9f6e-483d-abe1-dddc0fb077cf" xmlns:ns3="d08e9e9f-8626-4521-81f4-4cb354f65e7d" targetNamespace="http://schemas.microsoft.com/office/2006/metadata/properties" ma:root="true" ma:fieldsID="ad3ea1bdaa16d7efcf77d0f6c2f07f21" ns2:_="" ns3:_="">
    <xsd:import namespace="6acb113d-9f6e-483d-abe1-dddc0fb077cf"/>
    <xsd:import namespace="d08e9e9f-8626-4521-81f4-4cb354f65e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cb113d-9f6e-483d-abe1-dddc0fb077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8e9e9f-8626-4521-81f4-4cb354f65e7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4d15677-9574-48ee-a750-7422f9dc8b6c}" ma:internalName="TaxCatchAll" ma:showField="CatchAllData" ma:web="d08e9e9f-8626-4521-81f4-4cb354f65e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48A34C-0573-4878-9AB7-64994138D047}">
  <ds:schemaRefs>
    <ds:schemaRef ds:uri="http://schemas.microsoft.com/office/2006/metadata/properties"/>
    <ds:schemaRef ds:uri="http://schemas.microsoft.com/office/infopath/2007/PartnerControls"/>
    <ds:schemaRef ds:uri="d08e9e9f-8626-4521-81f4-4cb354f65e7d"/>
    <ds:schemaRef ds:uri="6acb113d-9f6e-483d-abe1-dddc0fb077cf"/>
  </ds:schemaRefs>
</ds:datastoreItem>
</file>

<file path=customXml/itemProps2.xml><?xml version="1.0" encoding="utf-8"?>
<ds:datastoreItem xmlns:ds="http://schemas.openxmlformats.org/officeDocument/2006/customXml" ds:itemID="{69F8673D-F639-4730-B88F-2D003A9E3C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cb113d-9f6e-483d-abe1-dddc0fb077cf"/>
    <ds:schemaRef ds:uri="d08e9e9f-8626-4521-81f4-4cb354f65e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B2239A-5ED1-4A83-8EB4-0B2FA12E450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Space Tabs</vt:lpstr>
    </vt:vector>
  </TitlesOfParts>
  <Manager/>
  <Company>United States Navy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Chang, Yung-Han CIV USN NAVFAC MIDLANT NOR (USA)</dc:creator>
  <cp:keywords/>
  <dc:description/>
  <cp:lastModifiedBy>Chang, Yung-Han CIV USN NAVFAC MIDLANT NOR (USA)</cp:lastModifiedBy>
  <cp:revision/>
  <cp:lastPrinted>2025-06-26T19:31:27Z</cp:lastPrinted>
  <dcterms:created xsi:type="dcterms:W3CDTF">2002-10-02T12:10:12Z</dcterms:created>
  <dcterms:modified xsi:type="dcterms:W3CDTF">2026-04-30T20:06:13Z</dcterms:modified>
  <cp:category>Design Build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wner">
    <vt:lpwstr/>
  </property>
  <property fmtid="{D5CDD505-2E9C-101B-9397-08002B2CF9AE}" pid="3" name="SPSDescription">
    <vt:lpwstr/>
  </property>
  <property fmtid="{D5CDD505-2E9C-101B-9397-08002B2CF9AE}" pid="4" name="Status">
    <vt:lpwstr/>
  </property>
  <property fmtid="{D5CDD505-2E9C-101B-9397-08002B2CF9AE}" pid="5" name="ContentTypeId">
    <vt:lpwstr>0x010100825285793768934C8D7FB38DCBDF558B</vt:lpwstr>
  </property>
  <property fmtid="{D5CDD505-2E9C-101B-9397-08002B2CF9AE}" pid="6" name="MediaServiceImageTags">
    <vt:lpwstr/>
  </property>
</Properties>
</file>