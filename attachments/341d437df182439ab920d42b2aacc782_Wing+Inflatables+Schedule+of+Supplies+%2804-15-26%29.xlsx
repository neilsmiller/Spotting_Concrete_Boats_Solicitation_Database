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g-my.sharepoint-mil.us/personal/kimberly_milewski_uscg_mil/Documents/Desktop/Signed Team Actions/#1 Wing Inflatables/Solicitation/"/>
    </mc:Choice>
  </mc:AlternateContent>
  <xr:revisionPtr revIDLastSave="0" documentId="8_{16475551-1F4A-4DC2-BD64-51CB1FAD64DE}" xr6:coauthVersionLast="47" xr6:coauthVersionMax="47" xr10:uidLastSave="{00000000-0000-0000-0000-000000000000}"/>
  <bookViews>
    <workbookView xWindow="-120" yWindow="-120" windowWidth="25440" windowHeight="15270" xr2:uid="{9BF9CFD4-238D-48D8-9443-9726CE3F8EF9}"/>
  </bookViews>
  <sheets>
    <sheet name="IGE" sheetId="1" r:id="rId1"/>
  </sheets>
  <externalReferences>
    <externalReference r:id="rId2"/>
  </externalReferences>
  <definedNames>
    <definedName name="_xlnm._FilterDatabase" localSheetId="0" hidden="1">IGE!$A$9:$AC$59</definedName>
    <definedName name="STATUS">[1]Codes!$A$1:$A$5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9" i="1" l="1"/>
  <c r="Y11" i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T11" i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O11" i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J11" i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M10" i="1"/>
  <c r="I11" i="1"/>
  <c r="M12" i="1"/>
  <c r="R12" i="1" s="1"/>
  <c r="W12" i="1" s="1"/>
  <c r="AB12" i="1" s="1"/>
  <c r="M13" i="1"/>
  <c r="R13" i="1" s="1"/>
  <c r="W13" i="1" s="1"/>
  <c r="AB13" i="1" s="1"/>
  <c r="I14" i="1"/>
  <c r="M15" i="1"/>
  <c r="R15" i="1" s="1"/>
  <c r="W15" i="1" s="1"/>
  <c r="AB15" i="1" s="1"/>
  <c r="M17" i="1"/>
  <c r="R17" i="1" s="1"/>
  <c r="W17" i="1" s="1"/>
  <c r="AB17" i="1" s="1"/>
  <c r="M19" i="1"/>
  <c r="R19" i="1" s="1"/>
  <c r="W19" i="1" s="1"/>
  <c r="AB19" i="1" s="1"/>
  <c r="I20" i="1"/>
  <c r="M21" i="1"/>
  <c r="R21" i="1" s="1"/>
  <c r="W21" i="1" s="1"/>
  <c r="AB21" i="1" s="1"/>
  <c r="M22" i="1"/>
  <c r="R22" i="1" s="1"/>
  <c r="W22" i="1" s="1"/>
  <c r="AB22" i="1" s="1"/>
  <c r="M24" i="1"/>
  <c r="R24" i="1" s="1"/>
  <c r="W24" i="1" s="1"/>
  <c r="AB24" i="1" s="1"/>
  <c r="M26" i="1"/>
  <c r="R26" i="1" s="1"/>
  <c r="W26" i="1" s="1"/>
  <c r="AB26" i="1" s="1"/>
  <c r="M27" i="1"/>
  <c r="R27" i="1" s="1"/>
  <c r="W27" i="1" s="1"/>
  <c r="AB27" i="1" s="1"/>
  <c r="M28" i="1"/>
  <c r="R28" i="1" s="1"/>
  <c r="W28" i="1" s="1"/>
  <c r="AB28" i="1" s="1"/>
  <c r="M30" i="1"/>
  <c r="R30" i="1" s="1"/>
  <c r="W30" i="1" s="1"/>
  <c r="AB30" i="1" s="1"/>
  <c r="M31" i="1"/>
  <c r="R31" i="1" s="1"/>
  <c r="W31" i="1" s="1"/>
  <c r="AB31" i="1" s="1"/>
  <c r="M32" i="1"/>
  <c r="R32" i="1" s="1"/>
  <c r="W32" i="1" s="1"/>
  <c r="AB32" i="1" s="1"/>
  <c r="M33" i="1"/>
  <c r="R33" i="1" s="1"/>
  <c r="W33" i="1" s="1"/>
  <c r="AB33" i="1" s="1"/>
  <c r="M34" i="1"/>
  <c r="R34" i="1" s="1"/>
  <c r="W34" i="1" s="1"/>
  <c r="AB34" i="1" s="1"/>
  <c r="M35" i="1"/>
  <c r="R35" i="1" s="1"/>
  <c r="W35" i="1" s="1"/>
  <c r="AB35" i="1" s="1"/>
  <c r="M37" i="1"/>
  <c r="R37" i="1" s="1"/>
  <c r="W37" i="1" s="1"/>
  <c r="AB37" i="1" s="1"/>
  <c r="M38" i="1"/>
  <c r="R38" i="1" s="1"/>
  <c r="W38" i="1" s="1"/>
  <c r="AB38" i="1" s="1"/>
  <c r="M39" i="1"/>
  <c r="R39" i="1" s="1"/>
  <c r="W39" i="1" s="1"/>
  <c r="AB39" i="1" s="1"/>
  <c r="M40" i="1"/>
  <c r="R40" i="1" s="1"/>
  <c r="W40" i="1" s="1"/>
  <c r="AB40" i="1" s="1"/>
  <c r="M41" i="1"/>
  <c r="R41" i="1" s="1"/>
  <c r="W41" i="1" s="1"/>
  <c r="AB41" i="1" s="1"/>
  <c r="I42" i="1"/>
  <c r="M43" i="1"/>
  <c r="R43" i="1" s="1"/>
  <c r="W43" i="1" s="1"/>
  <c r="AB43" i="1" s="1"/>
  <c r="M44" i="1"/>
  <c r="R44" i="1" s="1"/>
  <c r="W44" i="1" s="1"/>
  <c r="AB44" i="1" s="1"/>
  <c r="M45" i="1"/>
  <c r="R45" i="1" s="1"/>
  <c r="W45" i="1" s="1"/>
  <c r="AB45" i="1" s="1"/>
  <c r="M47" i="1"/>
  <c r="R47" i="1" s="1"/>
  <c r="W47" i="1" s="1"/>
  <c r="AB47" i="1" s="1"/>
  <c r="M48" i="1"/>
  <c r="R48" i="1" s="1"/>
  <c r="W48" i="1" s="1"/>
  <c r="AB48" i="1" s="1"/>
  <c r="M49" i="1"/>
  <c r="R49" i="1" s="1"/>
  <c r="W49" i="1" s="1"/>
  <c r="AB49" i="1" s="1"/>
  <c r="M51" i="1"/>
  <c r="M53" i="1"/>
  <c r="R53" i="1" s="1"/>
  <c r="W53" i="1" s="1"/>
  <c r="AB53" i="1" s="1"/>
  <c r="M54" i="1"/>
  <c r="R54" i="1" s="1"/>
  <c r="W54" i="1" s="1"/>
  <c r="AB54" i="1" s="1"/>
  <c r="I10" i="1" l="1"/>
  <c r="N10" i="1"/>
  <c r="R10" i="1"/>
  <c r="I19" i="1"/>
  <c r="M11" i="1"/>
  <c r="I37" i="1"/>
  <c r="I34" i="1"/>
  <c r="I27" i="1"/>
  <c r="I47" i="1"/>
  <c r="I43" i="1"/>
  <c r="I26" i="1"/>
  <c r="I15" i="1"/>
  <c r="I53" i="1"/>
  <c r="I33" i="1"/>
  <c r="I22" i="1"/>
  <c r="I51" i="1"/>
  <c r="I30" i="1"/>
  <c r="I39" i="1"/>
  <c r="I21" i="1"/>
  <c r="I41" i="1"/>
  <c r="I40" i="1"/>
  <c r="R51" i="1"/>
  <c r="W51" i="1" s="1"/>
  <c r="AB51" i="1" s="1"/>
  <c r="N51" i="1"/>
  <c r="I45" i="1"/>
  <c r="I32" i="1"/>
  <c r="M23" i="1"/>
  <c r="R23" i="1" s="1"/>
  <c r="W23" i="1" s="1"/>
  <c r="AB23" i="1" s="1"/>
  <c r="M20" i="1"/>
  <c r="R20" i="1" s="1"/>
  <c r="W20" i="1" s="1"/>
  <c r="AB20" i="1" s="1"/>
  <c r="I16" i="1"/>
  <c r="M16" i="1"/>
  <c r="R16" i="1" s="1"/>
  <c r="W16" i="1" s="1"/>
  <c r="AB16" i="1" s="1"/>
  <c r="I54" i="1"/>
  <c r="I35" i="1"/>
  <c r="I24" i="1"/>
  <c r="I13" i="1"/>
  <c r="I49" i="1"/>
  <c r="I28" i="1"/>
  <c r="I17" i="1"/>
  <c r="M55" i="1"/>
  <c r="R55" i="1" s="1"/>
  <c r="W55" i="1" s="1"/>
  <c r="AB55" i="1" s="1"/>
  <c r="M52" i="1"/>
  <c r="R52" i="1" s="1"/>
  <c r="W52" i="1" s="1"/>
  <c r="AB52" i="1" s="1"/>
  <c r="I50" i="1"/>
  <c r="M50" i="1"/>
  <c r="R50" i="1" s="1"/>
  <c r="W50" i="1" s="1"/>
  <c r="AB50" i="1" s="1"/>
  <c r="M46" i="1"/>
  <c r="R46" i="1" s="1"/>
  <c r="W46" i="1" s="1"/>
  <c r="AB46" i="1" s="1"/>
  <c r="M42" i="1"/>
  <c r="R42" i="1" s="1"/>
  <c r="W42" i="1" s="1"/>
  <c r="AB42" i="1" s="1"/>
  <c r="I36" i="1"/>
  <c r="M36" i="1"/>
  <c r="R36" i="1" s="1"/>
  <c r="W36" i="1" s="1"/>
  <c r="AB36" i="1" s="1"/>
  <c r="I29" i="1"/>
  <c r="M29" i="1"/>
  <c r="R29" i="1" s="1"/>
  <c r="W29" i="1" s="1"/>
  <c r="AB29" i="1" s="1"/>
  <c r="I25" i="1"/>
  <c r="M25" i="1"/>
  <c r="R25" i="1" s="1"/>
  <c r="W25" i="1" s="1"/>
  <c r="AB25" i="1" s="1"/>
  <c r="M18" i="1"/>
  <c r="R18" i="1" s="1"/>
  <c r="W18" i="1" s="1"/>
  <c r="AB18" i="1" s="1"/>
  <c r="M14" i="1"/>
  <c r="R14" i="1" s="1"/>
  <c r="W14" i="1" s="1"/>
  <c r="AB14" i="1" s="1"/>
  <c r="I46" i="1"/>
  <c r="I18" i="1"/>
  <c r="I52" i="1"/>
  <c r="I55" i="1"/>
  <c r="I48" i="1"/>
  <c r="I44" i="1"/>
  <c r="I38" i="1"/>
  <c r="N53" i="1"/>
  <c r="I31" i="1"/>
  <c r="I23" i="1"/>
  <c r="I12" i="1"/>
  <c r="R11" i="1" l="1"/>
  <c r="N11" i="1"/>
  <c r="W10" i="1"/>
  <c r="S10" i="1"/>
  <c r="I57" i="1"/>
  <c r="N39" i="1"/>
  <c r="N16" i="1"/>
  <c r="N48" i="1"/>
  <c r="N32" i="1"/>
  <c r="N34" i="1"/>
  <c r="N12" i="1"/>
  <c r="N38" i="1"/>
  <c r="N44" i="1"/>
  <c r="N21" i="1"/>
  <c r="N49" i="1"/>
  <c r="N14" i="1"/>
  <c r="N29" i="1"/>
  <c r="N42" i="1"/>
  <c r="N55" i="1"/>
  <c r="N26" i="1"/>
  <c r="N27" i="1"/>
  <c r="N13" i="1"/>
  <c r="N24" i="1"/>
  <c r="N41" i="1"/>
  <c r="N18" i="1"/>
  <c r="N46" i="1"/>
  <c r="N15" i="1"/>
  <c r="N30" i="1"/>
  <c r="N43" i="1"/>
  <c r="N23" i="1"/>
  <c r="N31" i="1"/>
  <c r="N17" i="1"/>
  <c r="N35" i="1"/>
  <c r="S45" i="1"/>
  <c r="N45" i="1"/>
  <c r="N36" i="1"/>
  <c r="N50" i="1"/>
  <c r="N19" i="1"/>
  <c r="N33" i="1"/>
  <c r="N47" i="1"/>
  <c r="N28" i="1"/>
  <c r="N54" i="1"/>
  <c r="N25" i="1"/>
  <c r="N40" i="1"/>
  <c r="N52" i="1"/>
  <c r="N20" i="1"/>
  <c r="N22" i="1"/>
  <c r="N37" i="1"/>
  <c r="S24" i="1"/>
  <c r="S51" i="1"/>
  <c r="S19" i="1"/>
  <c r="S22" i="1"/>
  <c r="S28" i="1"/>
  <c r="S54" i="1"/>
  <c r="S26" i="1"/>
  <c r="S33" i="1"/>
  <c r="S53" i="1"/>
  <c r="S35" i="1"/>
  <c r="AB10" i="1" l="1"/>
  <c r="AC10" i="1" s="1"/>
  <c r="X10" i="1"/>
  <c r="S11" i="1"/>
  <c r="W11" i="1"/>
  <c r="S39" i="1"/>
  <c r="X32" i="1"/>
  <c r="S32" i="1"/>
  <c r="S47" i="1"/>
  <c r="S41" i="1"/>
  <c r="X45" i="1"/>
  <c r="S21" i="1"/>
  <c r="N57" i="1"/>
  <c r="S12" i="1"/>
  <c r="S30" i="1"/>
  <c r="AC37" i="1"/>
  <c r="S50" i="1"/>
  <c r="S31" i="1"/>
  <c r="S18" i="1"/>
  <c r="S42" i="1"/>
  <c r="S14" i="1"/>
  <c r="S44" i="1"/>
  <c r="S20" i="1"/>
  <c r="S40" i="1"/>
  <c r="S36" i="1"/>
  <c r="S43" i="1"/>
  <c r="S13" i="1"/>
  <c r="S49" i="1"/>
  <c r="S37" i="1"/>
  <c r="S52" i="1"/>
  <c r="S17" i="1"/>
  <c r="S23" i="1"/>
  <c r="S15" i="1"/>
  <c r="S27" i="1"/>
  <c r="S55" i="1"/>
  <c r="S29" i="1"/>
  <c r="S38" i="1"/>
  <c r="S25" i="1"/>
  <c r="S46" i="1"/>
  <c r="S34" i="1"/>
  <c r="S48" i="1"/>
  <c r="S16" i="1"/>
  <c r="X35" i="1"/>
  <c r="AC35" i="1"/>
  <c r="X12" i="1"/>
  <c r="AC12" i="1"/>
  <c r="AC53" i="1"/>
  <c r="X53" i="1"/>
  <c r="AC54" i="1"/>
  <c r="X54" i="1"/>
  <c r="AC22" i="1"/>
  <c r="X22" i="1"/>
  <c r="AC45" i="1"/>
  <c r="AC41" i="1"/>
  <c r="X41" i="1"/>
  <c r="AC47" i="1"/>
  <c r="X47" i="1"/>
  <c r="AC33" i="1"/>
  <c r="X33" i="1"/>
  <c r="AC19" i="1"/>
  <c r="X19" i="1"/>
  <c r="AC39" i="1"/>
  <c r="X39" i="1"/>
  <c r="X28" i="1"/>
  <c r="AC28" i="1"/>
  <c r="AC51" i="1"/>
  <c r="X51" i="1"/>
  <c r="X24" i="1"/>
  <c r="AC24" i="1"/>
  <c r="AC26" i="1"/>
  <c r="X26" i="1"/>
  <c r="X21" i="1"/>
  <c r="AC21" i="1"/>
  <c r="X11" i="1" l="1"/>
  <c r="AB11" i="1"/>
  <c r="AC11" i="1" s="1"/>
  <c r="S57" i="1"/>
  <c r="AC32" i="1"/>
  <c r="X37" i="1"/>
  <c r="AC17" i="1"/>
  <c r="X17" i="1"/>
  <c r="AC18" i="1"/>
  <c r="X18" i="1"/>
  <c r="AC23" i="1"/>
  <c r="X23" i="1"/>
  <c r="AC42" i="1"/>
  <c r="X42" i="1"/>
  <c r="X29" i="1"/>
  <c r="AC29" i="1"/>
  <c r="AC46" i="1"/>
  <c r="X46" i="1"/>
  <c r="X25" i="1"/>
  <c r="AC25" i="1"/>
  <c r="AC49" i="1"/>
  <c r="X49" i="1"/>
  <c r="AC43" i="1"/>
  <c r="X43" i="1"/>
  <c r="AC50" i="1"/>
  <c r="X50" i="1"/>
  <c r="AC30" i="1"/>
  <c r="X30" i="1"/>
  <c r="X34" i="1"/>
  <c r="AC34" i="1"/>
  <c r="AC38" i="1"/>
  <c r="X38" i="1"/>
  <c r="AC27" i="1"/>
  <c r="X27" i="1"/>
  <c r="X52" i="1"/>
  <c r="AC52" i="1"/>
  <c r="AC20" i="1"/>
  <c r="X20" i="1"/>
  <c r="AC44" i="1"/>
  <c r="X44" i="1"/>
  <c r="AC14" i="1"/>
  <c r="X14" i="1"/>
  <c r="X48" i="1"/>
  <c r="AC48" i="1"/>
  <c r="AC55" i="1"/>
  <c r="X55" i="1"/>
  <c r="AC15" i="1"/>
  <c r="X15" i="1"/>
  <c r="X13" i="1"/>
  <c r="AC13" i="1"/>
  <c r="X36" i="1"/>
  <c r="AC36" i="1"/>
  <c r="AC31" i="1"/>
  <c r="X31" i="1"/>
  <c r="AC16" i="1"/>
  <c r="X16" i="1"/>
  <c r="X40" i="1"/>
  <c r="AC40" i="1"/>
  <c r="AC57" i="1" l="1"/>
  <c r="X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tc={E8CA7EC8-76FC-442F-97BE-54E9663FF375}</author>
  </authors>
  <commentList>
    <comment ref="A1" authorId="0" shapeId="0" xr:uid="{E8CA7EC8-76FC-442F-97BE-54E9663FF375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units of issue correct? Please have COR verify.</t>
      </text>
    </comment>
  </commentList>
</comments>
</file>

<file path=xl/sharedStrings.xml><?xml version="1.0" encoding="utf-8"?>
<sst xmlns="http://schemas.openxmlformats.org/spreadsheetml/2006/main" count="501" uniqueCount="197">
  <si>
    <t>CLIN#</t>
  </si>
  <si>
    <t>Item Name</t>
  </si>
  <si>
    <t>FSC</t>
  </si>
  <si>
    <t>NIIN</t>
  </si>
  <si>
    <t>U/I</t>
  </si>
  <si>
    <t>0001</t>
  </si>
  <si>
    <t>VALVE, MIRANDA TOPPING</t>
  </si>
  <si>
    <t>4820</t>
  </si>
  <si>
    <t>016246261</t>
  </si>
  <si>
    <t>1400029</t>
  </si>
  <si>
    <t>EA</t>
  </si>
  <si>
    <t>0003</t>
  </si>
  <si>
    <t>TRUCK ELEPHANT</t>
  </si>
  <si>
    <t>2040</t>
  </si>
  <si>
    <t>016643999</t>
  </si>
  <si>
    <t>3010042</t>
  </si>
  <si>
    <t>0004</t>
  </si>
  <si>
    <t>FENDER, MARINE</t>
  </si>
  <si>
    <t>016246229</t>
  </si>
  <si>
    <t>32TPSB1</t>
  </si>
  <si>
    <t>0005</t>
  </si>
  <si>
    <t>REPAIR KIT, SPONSON</t>
  </si>
  <si>
    <t>4940</t>
  </si>
  <si>
    <t>016190825</t>
  </si>
  <si>
    <t>3520027</t>
  </si>
  <si>
    <t>0006</t>
  </si>
  <si>
    <t>FENDER,MARINE</t>
  </si>
  <si>
    <t>017018582</t>
  </si>
  <si>
    <t>8200300-BC</t>
  </si>
  <si>
    <t>0007</t>
  </si>
  <si>
    <t>017018583</t>
  </si>
  <si>
    <t>8200300-BF</t>
  </si>
  <si>
    <t>0008</t>
  </si>
  <si>
    <t>017018588</t>
  </si>
  <si>
    <t>8200300-PF</t>
  </si>
  <si>
    <t>0009</t>
  </si>
  <si>
    <t>COLLAR,MANHOLE</t>
  </si>
  <si>
    <t>017018004</t>
  </si>
  <si>
    <t>8200300-PS</t>
  </si>
  <si>
    <t>0010</t>
  </si>
  <si>
    <t>017019458</t>
  </si>
  <si>
    <t>8200300-SF</t>
  </si>
  <si>
    <t>0011</t>
  </si>
  <si>
    <t>017018575</t>
  </si>
  <si>
    <t>8200300-SS</t>
  </si>
  <si>
    <t>0012</t>
  </si>
  <si>
    <t>016590033</t>
  </si>
  <si>
    <t>8400049</t>
  </si>
  <si>
    <t>0013</t>
  </si>
  <si>
    <t>BLADDER, INDIVIDUAL</t>
  </si>
  <si>
    <t>2090</t>
  </si>
  <si>
    <t>016492856</t>
  </si>
  <si>
    <t>860000-BLDR</t>
  </si>
  <si>
    <t>0014</t>
  </si>
  <si>
    <t>BOW COVER</t>
  </si>
  <si>
    <t>016237170</t>
  </si>
  <si>
    <t>8600000-BCVR</t>
  </si>
  <si>
    <t>0017</t>
  </si>
  <si>
    <t>SHEATH, PORT SIDE</t>
  </si>
  <si>
    <t>016237164</t>
  </si>
  <si>
    <t>8600000-PS</t>
  </si>
  <si>
    <t>0018</t>
  </si>
  <si>
    <t>SHEATH, FENDER, STBD</t>
  </si>
  <si>
    <t>016245321</t>
  </si>
  <si>
    <t>8600000-SS</t>
  </si>
  <si>
    <t>0019</t>
  </si>
  <si>
    <t>SPONSON, INFLATABLE</t>
  </si>
  <si>
    <t>015956150</t>
  </si>
  <si>
    <t>9300128</t>
  </si>
  <si>
    <t>0020</t>
  </si>
  <si>
    <t>BLADDER, BOAT</t>
  </si>
  <si>
    <t>016572328</t>
  </si>
  <si>
    <t>9300128-PSB</t>
  </si>
  <si>
    <t>0021</t>
  </si>
  <si>
    <t>016572046</t>
  </si>
  <si>
    <t>9300128-SSB</t>
  </si>
  <si>
    <t>0025</t>
  </si>
  <si>
    <t>016967340</t>
  </si>
  <si>
    <t>E7400012-GV-BF</t>
  </si>
  <si>
    <t>0026</t>
  </si>
  <si>
    <t>016967344</t>
  </si>
  <si>
    <t>E7400012-GV-PF</t>
  </si>
  <si>
    <t>0027</t>
  </si>
  <si>
    <t>016967356</t>
  </si>
  <si>
    <t>E7400012-GV-PS</t>
  </si>
  <si>
    <t>0028</t>
  </si>
  <si>
    <t>016967359</t>
  </si>
  <si>
    <t>E7400012-GV-SF</t>
  </si>
  <si>
    <t>0029</t>
  </si>
  <si>
    <t>016967369</t>
  </si>
  <si>
    <t>E7400012-GV-SS</t>
  </si>
  <si>
    <t>0030</t>
  </si>
  <si>
    <t>017064044</t>
  </si>
  <si>
    <t>EB1300495</t>
  </si>
  <si>
    <t>0031</t>
  </si>
  <si>
    <t>BLADDER,FLOTATION</t>
  </si>
  <si>
    <t>4220</t>
  </si>
  <si>
    <t>016954853</t>
  </si>
  <si>
    <t>GV0036H-MC-BLD1</t>
  </si>
  <si>
    <t>0032</t>
  </si>
  <si>
    <t>PLASTIC MATERIAL,CELLULAR</t>
  </si>
  <si>
    <t>9330</t>
  </si>
  <si>
    <t>016954835</t>
  </si>
  <si>
    <t>GV0036H-MC-PF1</t>
  </si>
  <si>
    <t>0033</t>
  </si>
  <si>
    <t>COVER,FLOTATION BLADDER</t>
  </si>
  <si>
    <t>1680</t>
  </si>
  <si>
    <t>016958128</t>
  </si>
  <si>
    <t>GV0036H-MC-PS1</t>
  </si>
  <si>
    <t>0034</t>
  </si>
  <si>
    <t>016954857</t>
  </si>
  <si>
    <t>GV0036H-MC-SBLD1</t>
  </si>
  <si>
    <t>0035</t>
  </si>
  <si>
    <t>016954848</t>
  </si>
  <si>
    <t>GV0036H-MC-SF1</t>
  </si>
  <si>
    <t>0036</t>
  </si>
  <si>
    <t>8465</t>
  </si>
  <si>
    <t>016955064</t>
  </si>
  <si>
    <t>GV0036H-MC-SS1</t>
  </si>
  <si>
    <t>0037</t>
  </si>
  <si>
    <t>016954851</t>
  </si>
  <si>
    <t>GV0036H-MC-STF1</t>
  </si>
  <si>
    <t>0038</t>
  </si>
  <si>
    <t>016784853</t>
  </si>
  <si>
    <t>OE0036H-MC-001</t>
  </si>
  <si>
    <t>0039</t>
  </si>
  <si>
    <t>016783237</t>
  </si>
  <si>
    <t>OE0036H-MC-BC1</t>
  </si>
  <si>
    <t>0040</t>
  </si>
  <si>
    <t>INFLATABLE COLLAR</t>
  </si>
  <si>
    <t>0041</t>
  </si>
  <si>
    <t>FENDER SET</t>
  </si>
  <si>
    <t>016133827</t>
  </si>
  <si>
    <t>GV0028H-MS-001</t>
  </si>
  <si>
    <t>0042</t>
  </si>
  <si>
    <t>016133769</t>
  </si>
  <si>
    <t>GV0028H-BC1</t>
  </si>
  <si>
    <t>0043</t>
  </si>
  <si>
    <t>SHEATH, STARBOARD</t>
  </si>
  <si>
    <t>016133760</t>
  </si>
  <si>
    <t>GV0028H-MS-SS1</t>
  </si>
  <si>
    <t>0044</t>
  </si>
  <si>
    <t>SHEATH, PORT</t>
  </si>
  <si>
    <t>016133632</t>
  </si>
  <si>
    <t>GV0028H-MS-PS1</t>
  </si>
  <si>
    <t>0045</t>
  </si>
  <si>
    <t>FOAM FENDER, STARBOARD</t>
  </si>
  <si>
    <t>016133762</t>
  </si>
  <si>
    <t>GV0028H-MS-SF1</t>
  </si>
  <si>
    <t>0046</t>
  </si>
  <si>
    <t>FOAM FENDER, PORT</t>
  </si>
  <si>
    <t>016133710</t>
  </si>
  <si>
    <t>GV0028H-MS-PF1</t>
  </si>
  <si>
    <t>DIMMER SWITCH</t>
  </si>
  <si>
    <t>5905</t>
  </si>
  <si>
    <t>015010923</t>
  </si>
  <si>
    <t>A4202</t>
  </si>
  <si>
    <t>015695407</t>
  </si>
  <si>
    <t>0H558-ZO-001</t>
  </si>
  <si>
    <t>TUBING ASSEMBLY, NONMETALLIC</t>
  </si>
  <si>
    <t>4720</t>
  </si>
  <si>
    <t>014504124</t>
  </si>
  <si>
    <t>9400013-G</t>
  </si>
  <si>
    <t>LIGHT, NAVIGATIONAL</t>
  </si>
  <si>
    <t>6220</t>
  </si>
  <si>
    <t>015004516</t>
  </si>
  <si>
    <t>A4209</t>
  </si>
  <si>
    <t>BELLOW, PRESSURE</t>
  </si>
  <si>
    <t>3010</t>
  </si>
  <si>
    <t>013306548</t>
  </si>
  <si>
    <t>A1638</t>
  </si>
  <si>
    <t>016792760</t>
  </si>
  <si>
    <t>GV0557A-ZO-001</t>
  </si>
  <si>
    <t xml:space="preserve">Total Estimated Base Year Price: </t>
  </si>
  <si>
    <t xml:space="preserve">Total Estimated Option Year One Price: </t>
  </si>
  <si>
    <t xml:space="preserve">Total Estimated 5-Year Contract Price: </t>
  </si>
  <si>
    <t>0002</t>
  </si>
  <si>
    <t>0015</t>
  </si>
  <si>
    <t>0016</t>
  </si>
  <si>
    <t>0022</t>
  </si>
  <si>
    <t>0023</t>
  </si>
  <si>
    <t>0024</t>
  </si>
  <si>
    <t>Part Number</t>
  </si>
  <si>
    <t>QTY</t>
  </si>
  <si>
    <t>CLIN</t>
  </si>
  <si>
    <t>Unit Price</t>
  </si>
  <si>
    <t>Total Price</t>
  </si>
  <si>
    <t xml:space="preserve">Unit Price </t>
  </si>
  <si>
    <t>BASE YEAR: 7/1/2026-6/30/2027</t>
  </si>
  <si>
    <t>OPTION YEAR ONE: 7/1/2027-6/30/2028</t>
  </si>
  <si>
    <t>OPTION YEAR TWO: 7/1/2028-6/30/2029</t>
  </si>
  <si>
    <t>OPTION YEAR THREE: 7/1/2029-6/30/2030</t>
  </si>
  <si>
    <t>OPTION YEAR FOUR: 7/1/2030-6/30/2031</t>
  </si>
  <si>
    <t>Wing Inflatables Inc. Marine Fenders and Related Parts</t>
  </si>
  <si>
    <t xml:space="preserve">Total Estimated Option Year Two Price: </t>
  </si>
  <si>
    <t xml:space="preserve">Total Estimated Option Year Three Price: </t>
  </si>
  <si>
    <t xml:space="preserve">Total Estimated Option Year Four Price: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</si>
</sst>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;\(\$#,##0.0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FF"/>
      <name val="Calibri"/>
      <family val="2"/>
    </font>
    <font>
      <b/>
      <sz val="12"/>
      <color rgb="FF0000FF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C0C0C0"/>
      </patternFill>
    </fill>
    <fill>
      <patternFill patternType="solid">
        <fgColor rgb="FFD9D9D9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4" fontId="1" fillId="2" borderId="1" xfId="0" applyNumberFormat="1" applyFont="1" applyFill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5" fillId="0" borderId="13" xfId="0" applyFont="1" applyBorder="1"/>
    <xf numFmtId="0" fontId="7" fillId="0" borderId="13" xfId="0" applyFont="1" applyBorder="1"/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right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cg.sharepoint-mil.us/sites/SBPLSupplyTeam/Shared%20Documents/General/CONTRACT%20TO%20NIIN%20LIST/MASTER%20SBPL%20CONTRACT%20LIST%20(LIVE-%20DO%20NOT%20COPY%20OR%20DELETE)%20(Autosaved).xlsm" TargetMode="External"/><Relationship Id="rId1" Type="http://schemas.openxmlformats.org/officeDocument/2006/relationships/externalLinkPath" Target="https://uscg.sharepoint-mil.us/sites/SBPLSupplyTeam/Shared%20Documents/General/CONTRACT%20TO%20NIIN%20LIST/MASTER%20SBPL%20CONTRACT%20LIST%20(LIVE-%20DO%20NOT%20COPY%20OR%20DELETE)%20(Autosaved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ct Template"/>
      <sheetName val="Codes"/>
      <sheetName val="MAIN"/>
      <sheetName val="MEPS"/>
      <sheetName val="Cummins"/>
      <sheetName val="Yanmar Parts"/>
      <sheetName val="70Z04024D51801B00"/>
      <sheetName val="70Z04023D57100B00"/>
      <sheetName val="16-D-53000"/>
      <sheetName val="FIN 16D53000"/>
      <sheetName val="16-D-53003"/>
      <sheetName val="FIN 16D53003"/>
      <sheetName val="16-D-53010"/>
      <sheetName val="FIN 16D53010"/>
      <sheetName val="16-D-53011"/>
      <sheetName val="FIN 16D53011"/>
      <sheetName val="16-D-53014"/>
      <sheetName val="FIN 16D53014"/>
      <sheetName val="16-D-53016"/>
      <sheetName val="FIN 16D53016"/>
      <sheetName val="16-D-53020"/>
      <sheetName val="FIN 16D53020"/>
      <sheetName val="16-D-P30777"/>
      <sheetName val="FIN 16DP30777"/>
      <sheetName val="17-D-53009"/>
      <sheetName val="FIN 17D53009"/>
      <sheetName val="17-D-53010"/>
      <sheetName val="FIN 17D53010"/>
      <sheetName val="17-D-53004"/>
      <sheetName val="FIN 17D53004"/>
      <sheetName val="17DPC6107"/>
      <sheetName val="FIN 18D56300"/>
      <sheetName val="18-D-57800"/>
      <sheetName val="FIN 18D57800"/>
      <sheetName val="18-D-55205"/>
      <sheetName val="FIN 18D55205"/>
      <sheetName val="18-D-55550"/>
      <sheetName val="FIN 18D55550"/>
      <sheetName val="18-D-57000"/>
      <sheetName val="FIN 18D57000"/>
      <sheetName val="18-D-53020"/>
      <sheetName val="FIN 18D53020"/>
      <sheetName val="19-D-56300"/>
      <sheetName val="FIN 19D56300"/>
      <sheetName val="19-D-55000"/>
      <sheetName val="FIN 19D55000"/>
      <sheetName val="19-D-57050"/>
      <sheetName val="FIN 19D57050"/>
      <sheetName val="19-D-57400"/>
      <sheetName val="FIN 19D57400"/>
      <sheetName val="19-D-55400"/>
      <sheetName val="FIN 19D55400"/>
      <sheetName val="19-D-56200"/>
      <sheetName val="FIN 19D56200"/>
      <sheetName val="19-D-56600"/>
      <sheetName val="FIN 19D56600"/>
      <sheetName val="19-D-56700"/>
      <sheetName val="FIN 19D56700"/>
      <sheetName val="19-D-57350"/>
      <sheetName val="FIN 19D57350"/>
      <sheetName val="19-D-53024"/>
      <sheetName val="FIN 19D53024"/>
      <sheetName val="20-D-55072"/>
      <sheetName val="FIN 20D55072"/>
      <sheetName val="20-D-55350"/>
      <sheetName val="FIN 20D55350"/>
      <sheetName val="20-D-56750"/>
      <sheetName val="FIN 20D56750"/>
      <sheetName val="20-D-57900"/>
      <sheetName val="FIN 20D57900"/>
      <sheetName val="20-D-57250"/>
      <sheetName val="FIN 20D57250"/>
      <sheetName val="20-D-57950"/>
      <sheetName val="FIN 20D57950"/>
      <sheetName val="20-D-58000"/>
      <sheetName val="FIN 20D58000"/>
      <sheetName val="20-D-32038 (LRE)"/>
      <sheetName val="20-D-55050"/>
      <sheetName val="FIN 20D55050"/>
      <sheetName val="21-D-57751"/>
      <sheetName val="FIN 21D57751"/>
      <sheetName val="21-D-58100"/>
      <sheetName val="FIN 21D58100"/>
      <sheetName val="21-D-58151"/>
      <sheetName val="FIN 21D58151"/>
      <sheetName val="21-D-58200"/>
      <sheetName val="FIN 21D58200"/>
      <sheetName val="21-D-58450"/>
      <sheetName val="FIN 21D58450"/>
      <sheetName val="21-D-51010"/>
      <sheetName val="FIN 21D51010"/>
      <sheetName val="22-D-58550"/>
      <sheetName val="22-D-55800"/>
      <sheetName val="FIN 22D58550"/>
      <sheetName val="21-D-55900"/>
      <sheetName val="FIN 21D55900"/>
      <sheetName val="22-D-58400"/>
      <sheetName val="FIN 22D58400"/>
      <sheetName val="FIN 70Z04022D558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ller, Kirk Jr CIV USCG SFLC (USA)" id="{4B685558-8EA7-4A8F-BF50-46DFC7ABDE33}" userId="S::kirk.miller2@uscg.mil::a399ee10-dff1-414f-9cd7-832e375cb51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4-25T15:22:43.60" personId="{4B685558-8EA7-4A8F-BF50-46DFC7ABDE33}" id="{E8CA7EC8-76FC-442F-97BE-54E9663FF375}">
    <text>Are these units of issue correct? Please have COR verify.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1A92-A975-47A9-8277-9977CE4122BA}">
  <dimension ref="A1:AC178"/>
  <sheetViews>
    <sheetView tabSelected="1" topLeftCell="J32" workbookViewId="0">
      <selection activeCell="AB63" sqref="AB63"/>
    </sheetView>
  </sheetViews>
  <sheetFormatPr defaultColWidth="170" defaultRowHeight="15" x14ac:dyDescent="0.25"/>
  <cols>
    <col min="1" max="1" width="10.7109375" style="14" customWidth="1"/>
    <col min="2" max="2" width="40.5703125" style="4" customWidth="1"/>
    <col min="3" max="3" width="5" style="5" bestFit="1" customWidth="1"/>
    <col min="4" max="4" width="12.42578125" style="4" customWidth="1"/>
    <col min="5" max="5" width="20.28515625" style="17" customWidth="1"/>
    <col min="6" max="6" width="8.7109375" style="6" customWidth="1"/>
    <col min="7" max="7" width="8" style="6" bestFit="1" customWidth="1"/>
    <col min="8" max="8" width="18.140625" style="2" bestFit="1" customWidth="1"/>
    <col min="9" max="9" width="13.42578125" style="2" customWidth="1"/>
    <col min="10" max="10" width="9.5703125" style="2" bestFit="1" customWidth="1"/>
    <col min="11" max="11" width="9.85546875" style="2" customWidth="1"/>
    <col min="12" max="12" width="8.42578125" style="6" bestFit="1" customWidth="1"/>
    <col min="13" max="13" width="11.85546875" style="2" customWidth="1"/>
    <col min="14" max="14" width="16.140625" style="2" customWidth="1"/>
    <col min="15" max="15" width="9.5703125" style="2" bestFit="1" customWidth="1"/>
    <col min="16" max="16" width="10.28515625" style="2" customWidth="1"/>
    <col min="17" max="17" width="8" style="6" bestFit="1" customWidth="1"/>
    <col min="18" max="18" width="13.7109375" style="2" bestFit="1" customWidth="1"/>
    <col min="19" max="19" width="15.140625" style="2" customWidth="1"/>
    <col min="20" max="20" width="11.85546875" style="2" customWidth="1"/>
    <col min="21" max="21" width="10.28515625" style="2" customWidth="1"/>
    <col min="22" max="22" width="8" style="6" bestFit="1" customWidth="1"/>
    <col min="23" max="23" width="11.5703125" style="2" customWidth="1"/>
    <col min="24" max="24" width="15" style="2" customWidth="1"/>
    <col min="25" max="25" width="12.28515625" style="2" customWidth="1"/>
    <col min="26" max="26" width="9.85546875" style="2" customWidth="1"/>
    <col min="27" max="27" width="8" style="6" bestFit="1" customWidth="1"/>
    <col min="28" max="28" width="12.7109375" style="2" customWidth="1"/>
    <col min="29" max="29" width="16.85546875" style="2" customWidth="1"/>
    <col min="30" max="16384" width="170" style="2"/>
  </cols>
  <sheetData>
    <row r="1" spans="1:29" x14ac:dyDescent="0.25">
      <c r="A1" s="47" t="s">
        <v>193</v>
      </c>
      <c r="B1" s="48"/>
      <c r="C1" s="48"/>
      <c r="D1" s="48"/>
      <c r="E1" s="49"/>
      <c r="F1" s="24"/>
      <c r="G1" s="36"/>
      <c r="L1" s="36"/>
      <c r="Q1" s="36"/>
      <c r="V1" s="36"/>
      <c r="AA1" s="36"/>
    </row>
    <row r="2" spans="1:29" ht="15.75" x14ac:dyDescent="0.25">
      <c r="A2" s="50"/>
      <c r="B2" s="51"/>
      <c r="C2" s="51"/>
      <c r="D2" s="51"/>
      <c r="E2" s="52"/>
      <c r="F2" s="25"/>
      <c r="G2" s="37"/>
      <c r="L2" s="37"/>
      <c r="Q2" s="37"/>
      <c r="V2" s="37"/>
      <c r="AA2" s="37"/>
    </row>
    <row r="3" spans="1:29" x14ac:dyDescent="0.25">
      <c r="A3" s="3"/>
      <c r="H3" s="7"/>
      <c r="I3" s="7"/>
      <c r="J3" s="7"/>
      <c r="K3" s="7"/>
      <c r="M3" s="7"/>
      <c r="N3" s="7"/>
      <c r="O3" s="7"/>
      <c r="P3" s="7"/>
      <c r="R3" s="8"/>
      <c r="S3" s="8"/>
      <c r="T3" s="8"/>
      <c r="U3" s="8"/>
      <c r="W3" s="8"/>
      <c r="X3" s="8"/>
      <c r="Y3" s="8"/>
      <c r="Z3" s="8"/>
      <c r="AB3" s="8"/>
    </row>
    <row r="4" spans="1:29" x14ac:dyDescent="0.25">
      <c r="A4" s="9"/>
      <c r="H4" s="10"/>
      <c r="I4" s="10"/>
      <c r="J4" s="10"/>
      <c r="K4" s="10"/>
      <c r="M4" s="10"/>
      <c r="N4" s="10"/>
      <c r="O4" s="10"/>
      <c r="P4" s="10"/>
      <c r="R4" s="10"/>
      <c r="S4" s="10"/>
      <c r="T4" s="10"/>
      <c r="U4" s="10"/>
      <c r="W4" s="10"/>
      <c r="X4" s="10"/>
      <c r="Y4" s="10"/>
      <c r="Z4" s="10"/>
      <c r="AB4" s="10"/>
    </row>
    <row r="5" spans="1:29" x14ac:dyDescent="0.25">
      <c r="A5" s="9"/>
      <c r="H5" s="24"/>
      <c r="I5" s="24"/>
      <c r="J5" s="24"/>
      <c r="K5" s="24"/>
      <c r="M5" s="24"/>
      <c r="N5" s="24"/>
      <c r="O5" s="24"/>
      <c r="P5" s="24"/>
      <c r="R5" s="24"/>
      <c r="S5" s="24"/>
      <c r="T5" s="24"/>
      <c r="U5" s="24"/>
      <c r="W5" s="24"/>
      <c r="X5" s="24"/>
      <c r="Y5" s="24"/>
      <c r="Z5" s="24"/>
      <c r="AB5" s="24"/>
    </row>
    <row r="6" spans="1:29" x14ac:dyDescent="0.25">
      <c r="A6" s="9"/>
      <c r="H6" s="10"/>
      <c r="I6" s="10"/>
      <c r="J6" s="10"/>
      <c r="K6" s="10"/>
      <c r="M6" s="10"/>
      <c r="N6" s="10"/>
      <c r="O6" s="10"/>
      <c r="P6" s="10"/>
      <c r="R6" s="10"/>
      <c r="S6" s="10"/>
      <c r="T6" s="10"/>
      <c r="U6" s="10"/>
      <c r="W6" s="10"/>
      <c r="X6" s="10"/>
      <c r="Y6" s="10"/>
      <c r="Z6" s="10"/>
      <c r="AB6" s="10"/>
    </row>
    <row r="7" spans="1:29" x14ac:dyDescent="0.25">
      <c r="A7" s="9"/>
      <c r="F7" s="38" t="s">
        <v>188</v>
      </c>
      <c r="G7" s="39"/>
      <c r="H7" s="39"/>
      <c r="I7" s="40"/>
      <c r="J7" s="38" t="s">
        <v>189</v>
      </c>
      <c r="K7" s="39"/>
      <c r="L7" s="39"/>
      <c r="M7" s="39"/>
      <c r="N7" s="40"/>
      <c r="O7" s="38" t="s">
        <v>190</v>
      </c>
      <c r="P7" s="39"/>
      <c r="Q7" s="39"/>
      <c r="R7" s="39"/>
      <c r="S7" s="40"/>
      <c r="T7" s="38" t="s">
        <v>191</v>
      </c>
      <c r="U7" s="39"/>
      <c r="V7" s="39"/>
      <c r="W7" s="39"/>
      <c r="X7" s="40"/>
      <c r="Y7" s="38" t="s">
        <v>192</v>
      </c>
      <c r="Z7" s="39"/>
      <c r="AA7" s="39"/>
      <c r="AB7" s="39"/>
      <c r="AC7" s="40"/>
    </row>
    <row r="9" spans="1:29" ht="30.75" customHeight="1" x14ac:dyDescent="0.25">
      <c r="A9" s="1" t="s">
        <v>0</v>
      </c>
      <c r="B9" s="1" t="s">
        <v>1</v>
      </c>
      <c r="C9" s="1" t="s">
        <v>2</v>
      </c>
      <c r="D9" s="1" t="s">
        <v>3</v>
      </c>
      <c r="E9" s="18" t="s">
        <v>182</v>
      </c>
      <c r="F9" s="19" t="s">
        <v>183</v>
      </c>
      <c r="G9" s="1" t="s">
        <v>4</v>
      </c>
      <c r="H9" s="19" t="s">
        <v>185</v>
      </c>
      <c r="I9" s="19" t="s">
        <v>186</v>
      </c>
      <c r="J9" s="19" t="s">
        <v>184</v>
      </c>
      <c r="K9" s="19" t="s">
        <v>183</v>
      </c>
      <c r="L9" s="1" t="s">
        <v>4</v>
      </c>
      <c r="M9" s="19" t="s">
        <v>185</v>
      </c>
      <c r="N9" s="19" t="s">
        <v>186</v>
      </c>
      <c r="O9" s="19" t="s">
        <v>184</v>
      </c>
      <c r="P9" s="19" t="s">
        <v>183</v>
      </c>
      <c r="Q9" s="1" t="s">
        <v>4</v>
      </c>
      <c r="R9" s="19" t="s">
        <v>185</v>
      </c>
      <c r="S9" s="19" t="s">
        <v>186</v>
      </c>
      <c r="T9" s="19" t="s">
        <v>184</v>
      </c>
      <c r="U9" s="19" t="s">
        <v>183</v>
      </c>
      <c r="V9" s="1" t="s">
        <v>4</v>
      </c>
      <c r="W9" s="19" t="s">
        <v>187</v>
      </c>
      <c r="X9" s="19" t="s">
        <v>186</v>
      </c>
      <c r="Y9" s="19" t="s">
        <v>184</v>
      </c>
      <c r="Z9" s="19" t="s">
        <v>183</v>
      </c>
      <c r="AA9" s="1" t="s">
        <v>4</v>
      </c>
      <c r="AB9" s="19" t="s">
        <v>185</v>
      </c>
      <c r="AC9" s="19" t="s">
        <v>186</v>
      </c>
    </row>
    <row r="10" spans="1:29" x14ac:dyDescent="0.25">
      <c r="A10" s="20" t="s">
        <v>5</v>
      </c>
      <c r="B10" s="21" t="s">
        <v>6</v>
      </c>
      <c r="C10" s="21" t="s">
        <v>7</v>
      </c>
      <c r="D10" s="21" t="s">
        <v>8</v>
      </c>
      <c r="E10" s="21" t="s">
        <v>9</v>
      </c>
      <c r="F10" s="21">
        <v>14</v>
      </c>
      <c r="G10" s="21" t="s">
        <v>10</v>
      </c>
      <c r="H10" s="11">
        <v>0</v>
      </c>
      <c r="I10" s="13">
        <f t="shared" ref="I10:I55" si="0">PRODUCT(H10,F10)</f>
        <v>0</v>
      </c>
      <c r="J10" s="20">
        <v>1001</v>
      </c>
      <c r="K10" s="21">
        <v>14</v>
      </c>
      <c r="L10" s="21" t="s">
        <v>10</v>
      </c>
      <c r="M10" s="12">
        <f>SUM(H10*104%)</f>
        <v>0</v>
      </c>
      <c r="N10" s="13">
        <f t="shared" ref="N10:N39" si="1">PRODUCT(M10,K10)</f>
        <v>0</v>
      </c>
      <c r="O10" s="20">
        <v>2001</v>
      </c>
      <c r="P10" s="21">
        <v>14</v>
      </c>
      <c r="Q10" s="21" t="s">
        <v>10</v>
      </c>
      <c r="R10" s="11">
        <f t="shared" ref="R10:R39" si="2">SUM(M10*104%)</f>
        <v>0</v>
      </c>
      <c r="S10" s="13">
        <f t="shared" ref="S10:S39" si="3">PRODUCT(R10,P10)</f>
        <v>0</v>
      </c>
      <c r="T10" s="20">
        <v>3001</v>
      </c>
      <c r="U10" s="21">
        <v>14</v>
      </c>
      <c r="V10" s="21" t="s">
        <v>10</v>
      </c>
      <c r="W10" s="11">
        <f t="shared" ref="W10:W39" si="4">SUM(R10*104%)</f>
        <v>0</v>
      </c>
      <c r="X10" s="13">
        <f t="shared" ref="X10:X39" si="5">PRODUCT(W10,U10)</f>
        <v>0</v>
      </c>
      <c r="Y10" s="20">
        <v>4001</v>
      </c>
      <c r="Z10" s="21">
        <v>14</v>
      </c>
      <c r="AA10" s="21" t="s">
        <v>10</v>
      </c>
      <c r="AB10" s="11">
        <f>SUM(W10*104%)</f>
        <v>0</v>
      </c>
      <c r="AC10" s="13">
        <f t="shared" ref="AC10:AC39" si="6">PRODUCT(AB10,Z10)</f>
        <v>0</v>
      </c>
    </row>
    <row r="11" spans="1:29" x14ac:dyDescent="0.25">
      <c r="A11" s="20" t="s">
        <v>176</v>
      </c>
      <c r="B11" s="21" t="s">
        <v>12</v>
      </c>
      <c r="C11" s="21" t="s">
        <v>13</v>
      </c>
      <c r="D11" s="21" t="s">
        <v>14</v>
      </c>
      <c r="E11" s="21" t="s">
        <v>15</v>
      </c>
      <c r="F11" s="21">
        <v>164</v>
      </c>
      <c r="G11" s="21" t="s">
        <v>10</v>
      </c>
      <c r="H11" s="11">
        <v>0</v>
      </c>
      <c r="I11" s="13">
        <f t="shared" si="0"/>
        <v>0</v>
      </c>
      <c r="J11" s="20">
        <f>+J10+1</f>
        <v>1002</v>
      </c>
      <c r="K11" s="21">
        <v>164</v>
      </c>
      <c r="L11" s="21" t="s">
        <v>10</v>
      </c>
      <c r="M11" s="12">
        <f t="shared" ref="M11:M55" si="7">SUM(H11*104%)</f>
        <v>0</v>
      </c>
      <c r="N11" s="13">
        <f t="shared" si="1"/>
        <v>0</v>
      </c>
      <c r="O11" s="20">
        <f>+O10+1</f>
        <v>2002</v>
      </c>
      <c r="P11" s="21">
        <v>164</v>
      </c>
      <c r="Q11" s="21" t="s">
        <v>10</v>
      </c>
      <c r="R11" s="11">
        <f t="shared" si="2"/>
        <v>0</v>
      </c>
      <c r="S11" s="13">
        <f t="shared" si="3"/>
        <v>0</v>
      </c>
      <c r="T11" s="20">
        <f>+T10+1</f>
        <v>3002</v>
      </c>
      <c r="U11" s="21">
        <v>164</v>
      </c>
      <c r="V11" s="21" t="s">
        <v>10</v>
      </c>
      <c r="W11" s="11">
        <f t="shared" si="4"/>
        <v>0</v>
      </c>
      <c r="X11" s="13">
        <f t="shared" si="5"/>
        <v>0</v>
      </c>
      <c r="Y11" s="20">
        <f>+Y10+1</f>
        <v>4002</v>
      </c>
      <c r="Z11" s="21">
        <v>164</v>
      </c>
      <c r="AA11" s="21" t="s">
        <v>10</v>
      </c>
      <c r="AB11" s="11">
        <f t="shared" ref="AB11:AB55" si="8">SUM(W11*104%)</f>
        <v>0</v>
      </c>
      <c r="AC11" s="13">
        <f t="shared" si="6"/>
        <v>0</v>
      </c>
    </row>
    <row r="12" spans="1:29" x14ac:dyDescent="0.25">
      <c r="A12" s="20" t="s">
        <v>11</v>
      </c>
      <c r="B12" s="21" t="s">
        <v>17</v>
      </c>
      <c r="C12" s="21" t="s">
        <v>13</v>
      </c>
      <c r="D12" s="21" t="s">
        <v>18</v>
      </c>
      <c r="E12" s="21" t="s">
        <v>19</v>
      </c>
      <c r="F12" s="21">
        <v>1</v>
      </c>
      <c r="G12" s="21" t="s">
        <v>10</v>
      </c>
      <c r="H12" s="11">
        <v>0</v>
      </c>
      <c r="I12" s="13">
        <f t="shared" si="0"/>
        <v>0</v>
      </c>
      <c r="J12" s="20">
        <f t="shared" ref="J12:J55" si="9">+J11+1</f>
        <v>1003</v>
      </c>
      <c r="K12" s="21">
        <v>1</v>
      </c>
      <c r="L12" s="21" t="s">
        <v>10</v>
      </c>
      <c r="M12" s="12">
        <f t="shared" si="7"/>
        <v>0</v>
      </c>
      <c r="N12" s="13">
        <f t="shared" si="1"/>
        <v>0</v>
      </c>
      <c r="O12" s="20">
        <f t="shared" ref="O12:O55" si="10">+O11+1</f>
        <v>2003</v>
      </c>
      <c r="P12" s="21">
        <v>1</v>
      </c>
      <c r="Q12" s="21" t="s">
        <v>10</v>
      </c>
      <c r="R12" s="11">
        <f t="shared" si="2"/>
        <v>0</v>
      </c>
      <c r="S12" s="13">
        <f t="shared" si="3"/>
        <v>0</v>
      </c>
      <c r="T12" s="20">
        <f t="shared" ref="T12:T55" si="11">+T11+1</f>
        <v>3003</v>
      </c>
      <c r="U12" s="21">
        <v>1</v>
      </c>
      <c r="V12" s="21" t="s">
        <v>10</v>
      </c>
      <c r="W12" s="11">
        <f t="shared" si="4"/>
        <v>0</v>
      </c>
      <c r="X12" s="13">
        <f t="shared" si="5"/>
        <v>0</v>
      </c>
      <c r="Y12" s="20">
        <f t="shared" ref="Y12:Y55" si="12">+Y11+1</f>
        <v>4003</v>
      </c>
      <c r="Z12" s="21">
        <v>1</v>
      </c>
      <c r="AA12" s="21" t="s">
        <v>10</v>
      </c>
      <c r="AB12" s="11">
        <f t="shared" si="8"/>
        <v>0</v>
      </c>
      <c r="AC12" s="13">
        <f t="shared" si="6"/>
        <v>0</v>
      </c>
    </row>
    <row r="13" spans="1:29" x14ac:dyDescent="0.25">
      <c r="A13" s="20" t="s">
        <v>16</v>
      </c>
      <c r="B13" s="21" t="s">
        <v>21</v>
      </c>
      <c r="C13" s="21" t="s">
        <v>22</v>
      </c>
      <c r="D13" s="21" t="s">
        <v>23</v>
      </c>
      <c r="E13" s="21" t="s">
        <v>24</v>
      </c>
      <c r="F13" s="21">
        <v>10</v>
      </c>
      <c r="G13" s="21" t="s">
        <v>10</v>
      </c>
      <c r="H13" s="11">
        <v>0</v>
      </c>
      <c r="I13" s="13">
        <f t="shared" si="0"/>
        <v>0</v>
      </c>
      <c r="J13" s="20">
        <f t="shared" si="9"/>
        <v>1004</v>
      </c>
      <c r="K13" s="21">
        <v>10</v>
      </c>
      <c r="L13" s="21" t="s">
        <v>10</v>
      </c>
      <c r="M13" s="12">
        <f t="shared" si="7"/>
        <v>0</v>
      </c>
      <c r="N13" s="13">
        <f t="shared" si="1"/>
        <v>0</v>
      </c>
      <c r="O13" s="20">
        <f t="shared" si="10"/>
        <v>2004</v>
      </c>
      <c r="P13" s="21">
        <v>10</v>
      </c>
      <c r="Q13" s="21" t="s">
        <v>10</v>
      </c>
      <c r="R13" s="11">
        <f t="shared" si="2"/>
        <v>0</v>
      </c>
      <c r="S13" s="13">
        <f t="shared" si="3"/>
        <v>0</v>
      </c>
      <c r="T13" s="20">
        <f t="shared" si="11"/>
        <v>3004</v>
      </c>
      <c r="U13" s="21">
        <v>10</v>
      </c>
      <c r="V13" s="21" t="s">
        <v>10</v>
      </c>
      <c r="W13" s="11">
        <f t="shared" si="4"/>
        <v>0</v>
      </c>
      <c r="X13" s="13">
        <f t="shared" si="5"/>
        <v>0</v>
      </c>
      <c r="Y13" s="20">
        <f t="shared" si="12"/>
        <v>4004</v>
      </c>
      <c r="Z13" s="21">
        <v>10</v>
      </c>
      <c r="AA13" s="21" t="s">
        <v>10</v>
      </c>
      <c r="AB13" s="11">
        <f t="shared" si="8"/>
        <v>0</v>
      </c>
      <c r="AC13" s="13">
        <f t="shared" si="6"/>
        <v>0</v>
      </c>
    </row>
    <row r="14" spans="1:29" x14ac:dyDescent="0.25">
      <c r="A14" s="20" t="s">
        <v>20</v>
      </c>
      <c r="B14" s="21" t="s">
        <v>26</v>
      </c>
      <c r="C14" s="21" t="s">
        <v>13</v>
      </c>
      <c r="D14" s="21" t="s">
        <v>27</v>
      </c>
      <c r="E14" s="21" t="s">
        <v>28</v>
      </c>
      <c r="F14" s="21">
        <v>1</v>
      </c>
      <c r="G14" s="21" t="s">
        <v>10</v>
      </c>
      <c r="H14" s="11">
        <v>0</v>
      </c>
      <c r="I14" s="13">
        <f t="shared" si="0"/>
        <v>0</v>
      </c>
      <c r="J14" s="20">
        <f t="shared" si="9"/>
        <v>1005</v>
      </c>
      <c r="K14" s="21">
        <v>1</v>
      </c>
      <c r="L14" s="21" t="s">
        <v>10</v>
      </c>
      <c r="M14" s="12">
        <f t="shared" si="7"/>
        <v>0</v>
      </c>
      <c r="N14" s="13">
        <f t="shared" si="1"/>
        <v>0</v>
      </c>
      <c r="O14" s="20">
        <f t="shared" si="10"/>
        <v>2005</v>
      </c>
      <c r="P14" s="21">
        <v>1</v>
      </c>
      <c r="Q14" s="21" t="s">
        <v>10</v>
      </c>
      <c r="R14" s="11">
        <f t="shared" si="2"/>
        <v>0</v>
      </c>
      <c r="S14" s="13">
        <f t="shared" si="3"/>
        <v>0</v>
      </c>
      <c r="T14" s="20">
        <f t="shared" si="11"/>
        <v>3005</v>
      </c>
      <c r="U14" s="21">
        <v>1</v>
      </c>
      <c r="V14" s="21" t="s">
        <v>10</v>
      </c>
      <c r="W14" s="11">
        <f t="shared" si="4"/>
        <v>0</v>
      </c>
      <c r="X14" s="13">
        <f t="shared" si="5"/>
        <v>0</v>
      </c>
      <c r="Y14" s="20">
        <f t="shared" si="12"/>
        <v>4005</v>
      </c>
      <c r="Z14" s="21">
        <v>1</v>
      </c>
      <c r="AA14" s="21" t="s">
        <v>10</v>
      </c>
      <c r="AB14" s="11">
        <f t="shared" si="8"/>
        <v>0</v>
      </c>
      <c r="AC14" s="13">
        <f t="shared" si="6"/>
        <v>0</v>
      </c>
    </row>
    <row r="15" spans="1:29" x14ac:dyDescent="0.25">
      <c r="A15" s="20" t="s">
        <v>25</v>
      </c>
      <c r="B15" s="21" t="s">
        <v>26</v>
      </c>
      <c r="C15" s="21" t="s">
        <v>13</v>
      </c>
      <c r="D15" s="21" t="s">
        <v>30</v>
      </c>
      <c r="E15" s="21" t="s">
        <v>31</v>
      </c>
      <c r="F15" s="21">
        <v>1</v>
      </c>
      <c r="G15" s="21" t="s">
        <v>10</v>
      </c>
      <c r="H15" s="11">
        <v>0</v>
      </c>
      <c r="I15" s="13">
        <f t="shared" si="0"/>
        <v>0</v>
      </c>
      <c r="J15" s="20">
        <f t="shared" si="9"/>
        <v>1006</v>
      </c>
      <c r="K15" s="21">
        <v>1</v>
      </c>
      <c r="L15" s="21" t="s">
        <v>10</v>
      </c>
      <c r="M15" s="12">
        <f t="shared" si="7"/>
        <v>0</v>
      </c>
      <c r="N15" s="13">
        <f t="shared" si="1"/>
        <v>0</v>
      </c>
      <c r="O15" s="20">
        <f t="shared" si="10"/>
        <v>2006</v>
      </c>
      <c r="P15" s="21">
        <v>1</v>
      </c>
      <c r="Q15" s="21" t="s">
        <v>10</v>
      </c>
      <c r="R15" s="11">
        <f t="shared" si="2"/>
        <v>0</v>
      </c>
      <c r="S15" s="13">
        <f t="shared" si="3"/>
        <v>0</v>
      </c>
      <c r="T15" s="20">
        <f t="shared" si="11"/>
        <v>3006</v>
      </c>
      <c r="U15" s="21">
        <v>1</v>
      </c>
      <c r="V15" s="21" t="s">
        <v>10</v>
      </c>
      <c r="W15" s="11">
        <f t="shared" si="4"/>
        <v>0</v>
      </c>
      <c r="X15" s="13">
        <f t="shared" si="5"/>
        <v>0</v>
      </c>
      <c r="Y15" s="20">
        <f t="shared" si="12"/>
        <v>4006</v>
      </c>
      <c r="Z15" s="21">
        <v>1</v>
      </c>
      <c r="AA15" s="21" t="s">
        <v>10</v>
      </c>
      <c r="AB15" s="11">
        <f t="shared" si="8"/>
        <v>0</v>
      </c>
      <c r="AC15" s="13">
        <f t="shared" si="6"/>
        <v>0</v>
      </c>
    </row>
    <row r="16" spans="1:29" x14ac:dyDescent="0.25">
      <c r="A16" s="20" t="s">
        <v>29</v>
      </c>
      <c r="B16" s="21" t="s">
        <v>26</v>
      </c>
      <c r="C16" s="21" t="s">
        <v>13</v>
      </c>
      <c r="D16" s="21" t="s">
        <v>33</v>
      </c>
      <c r="E16" s="21" t="s">
        <v>34</v>
      </c>
      <c r="F16" s="21">
        <v>1</v>
      </c>
      <c r="G16" s="21" t="s">
        <v>10</v>
      </c>
      <c r="H16" s="11">
        <v>0</v>
      </c>
      <c r="I16" s="13">
        <f t="shared" si="0"/>
        <v>0</v>
      </c>
      <c r="J16" s="20">
        <f t="shared" si="9"/>
        <v>1007</v>
      </c>
      <c r="K16" s="21">
        <v>1</v>
      </c>
      <c r="L16" s="21" t="s">
        <v>10</v>
      </c>
      <c r="M16" s="12">
        <f t="shared" si="7"/>
        <v>0</v>
      </c>
      <c r="N16" s="13">
        <f t="shared" si="1"/>
        <v>0</v>
      </c>
      <c r="O16" s="20">
        <f t="shared" si="10"/>
        <v>2007</v>
      </c>
      <c r="P16" s="21">
        <v>1</v>
      </c>
      <c r="Q16" s="21" t="s">
        <v>10</v>
      </c>
      <c r="R16" s="11">
        <f t="shared" si="2"/>
        <v>0</v>
      </c>
      <c r="S16" s="13">
        <f t="shared" si="3"/>
        <v>0</v>
      </c>
      <c r="T16" s="20">
        <f t="shared" si="11"/>
        <v>3007</v>
      </c>
      <c r="U16" s="21">
        <v>1</v>
      </c>
      <c r="V16" s="21" t="s">
        <v>10</v>
      </c>
      <c r="W16" s="11">
        <f t="shared" si="4"/>
        <v>0</v>
      </c>
      <c r="X16" s="13">
        <f t="shared" si="5"/>
        <v>0</v>
      </c>
      <c r="Y16" s="20">
        <f t="shared" si="12"/>
        <v>4007</v>
      </c>
      <c r="Z16" s="21">
        <v>1</v>
      </c>
      <c r="AA16" s="21" t="s">
        <v>10</v>
      </c>
      <c r="AB16" s="11">
        <f t="shared" si="8"/>
        <v>0</v>
      </c>
      <c r="AC16" s="13">
        <f t="shared" si="6"/>
        <v>0</v>
      </c>
    </row>
    <row r="17" spans="1:29" x14ac:dyDescent="0.25">
      <c r="A17" s="20" t="s">
        <v>32</v>
      </c>
      <c r="B17" s="21" t="s">
        <v>36</v>
      </c>
      <c r="C17" s="21" t="s">
        <v>13</v>
      </c>
      <c r="D17" s="21" t="s">
        <v>37</v>
      </c>
      <c r="E17" s="21" t="s">
        <v>38</v>
      </c>
      <c r="F17" s="21">
        <v>1</v>
      </c>
      <c r="G17" s="21" t="s">
        <v>10</v>
      </c>
      <c r="H17" s="11">
        <v>0</v>
      </c>
      <c r="I17" s="13">
        <f t="shared" si="0"/>
        <v>0</v>
      </c>
      <c r="J17" s="20">
        <f t="shared" si="9"/>
        <v>1008</v>
      </c>
      <c r="K17" s="21">
        <v>1</v>
      </c>
      <c r="L17" s="21" t="s">
        <v>10</v>
      </c>
      <c r="M17" s="12">
        <f t="shared" si="7"/>
        <v>0</v>
      </c>
      <c r="N17" s="13">
        <f t="shared" si="1"/>
        <v>0</v>
      </c>
      <c r="O17" s="20">
        <f t="shared" si="10"/>
        <v>2008</v>
      </c>
      <c r="P17" s="21">
        <v>1</v>
      </c>
      <c r="Q17" s="21" t="s">
        <v>10</v>
      </c>
      <c r="R17" s="11">
        <f t="shared" si="2"/>
        <v>0</v>
      </c>
      <c r="S17" s="13">
        <f t="shared" si="3"/>
        <v>0</v>
      </c>
      <c r="T17" s="20">
        <f t="shared" si="11"/>
        <v>3008</v>
      </c>
      <c r="U17" s="21">
        <v>1</v>
      </c>
      <c r="V17" s="21" t="s">
        <v>10</v>
      </c>
      <c r="W17" s="11">
        <f t="shared" si="4"/>
        <v>0</v>
      </c>
      <c r="X17" s="13">
        <f t="shared" si="5"/>
        <v>0</v>
      </c>
      <c r="Y17" s="20">
        <f t="shared" si="12"/>
        <v>4008</v>
      </c>
      <c r="Z17" s="21">
        <v>1</v>
      </c>
      <c r="AA17" s="21" t="s">
        <v>10</v>
      </c>
      <c r="AB17" s="11">
        <f t="shared" si="8"/>
        <v>0</v>
      </c>
      <c r="AC17" s="13">
        <f t="shared" si="6"/>
        <v>0</v>
      </c>
    </row>
    <row r="18" spans="1:29" x14ac:dyDescent="0.25">
      <c r="A18" s="20" t="s">
        <v>35</v>
      </c>
      <c r="B18" s="21" t="s">
        <v>36</v>
      </c>
      <c r="C18" s="21" t="s">
        <v>13</v>
      </c>
      <c r="D18" s="21" t="s">
        <v>40</v>
      </c>
      <c r="E18" s="21" t="s">
        <v>41</v>
      </c>
      <c r="F18" s="21">
        <v>1</v>
      </c>
      <c r="G18" s="21" t="s">
        <v>10</v>
      </c>
      <c r="H18" s="11">
        <v>0</v>
      </c>
      <c r="I18" s="13">
        <f t="shared" si="0"/>
        <v>0</v>
      </c>
      <c r="J18" s="20">
        <f t="shared" si="9"/>
        <v>1009</v>
      </c>
      <c r="K18" s="21">
        <v>1</v>
      </c>
      <c r="L18" s="21" t="s">
        <v>10</v>
      </c>
      <c r="M18" s="12">
        <f t="shared" si="7"/>
        <v>0</v>
      </c>
      <c r="N18" s="13">
        <f t="shared" si="1"/>
        <v>0</v>
      </c>
      <c r="O18" s="20">
        <f t="shared" si="10"/>
        <v>2009</v>
      </c>
      <c r="P18" s="21">
        <v>1</v>
      </c>
      <c r="Q18" s="21" t="s">
        <v>10</v>
      </c>
      <c r="R18" s="11">
        <f t="shared" si="2"/>
        <v>0</v>
      </c>
      <c r="S18" s="13">
        <f t="shared" si="3"/>
        <v>0</v>
      </c>
      <c r="T18" s="20">
        <f t="shared" si="11"/>
        <v>3009</v>
      </c>
      <c r="U18" s="21">
        <v>1</v>
      </c>
      <c r="V18" s="21" t="s">
        <v>10</v>
      </c>
      <c r="W18" s="11">
        <f t="shared" si="4"/>
        <v>0</v>
      </c>
      <c r="X18" s="13">
        <f t="shared" si="5"/>
        <v>0</v>
      </c>
      <c r="Y18" s="20">
        <f t="shared" si="12"/>
        <v>4009</v>
      </c>
      <c r="Z18" s="21">
        <v>1</v>
      </c>
      <c r="AA18" s="21" t="s">
        <v>10</v>
      </c>
      <c r="AB18" s="11">
        <f t="shared" si="8"/>
        <v>0</v>
      </c>
      <c r="AC18" s="13">
        <f t="shared" si="6"/>
        <v>0</v>
      </c>
    </row>
    <row r="19" spans="1:29" x14ac:dyDescent="0.25">
      <c r="A19" s="20" t="s">
        <v>39</v>
      </c>
      <c r="B19" s="21" t="s">
        <v>26</v>
      </c>
      <c r="C19" s="21" t="s">
        <v>13</v>
      </c>
      <c r="D19" s="21" t="s">
        <v>43</v>
      </c>
      <c r="E19" s="21" t="s">
        <v>44</v>
      </c>
      <c r="F19" s="21">
        <v>1</v>
      </c>
      <c r="G19" s="21" t="s">
        <v>10</v>
      </c>
      <c r="H19" s="11">
        <v>0</v>
      </c>
      <c r="I19" s="13">
        <f t="shared" si="0"/>
        <v>0</v>
      </c>
      <c r="J19" s="20">
        <f t="shared" si="9"/>
        <v>1010</v>
      </c>
      <c r="K19" s="21">
        <v>1</v>
      </c>
      <c r="L19" s="21" t="s">
        <v>10</v>
      </c>
      <c r="M19" s="12">
        <f t="shared" si="7"/>
        <v>0</v>
      </c>
      <c r="N19" s="13">
        <f t="shared" si="1"/>
        <v>0</v>
      </c>
      <c r="O19" s="20">
        <f t="shared" si="10"/>
        <v>2010</v>
      </c>
      <c r="P19" s="21">
        <v>1</v>
      </c>
      <c r="Q19" s="21" t="s">
        <v>10</v>
      </c>
      <c r="R19" s="11">
        <f t="shared" si="2"/>
        <v>0</v>
      </c>
      <c r="S19" s="13">
        <f t="shared" si="3"/>
        <v>0</v>
      </c>
      <c r="T19" s="20">
        <f t="shared" si="11"/>
        <v>3010</v>
      </c>
      <c r="U19" s="21">
        <v>1</v>
      </c>
      <c r="V19" s="21" t="s">
        <v>10</v>
      </c>
      <c r="W19" s="11">
        <f t="shared" si="4"/>
        <v>0</v>
      </c>
      <c r="X19" s="13">
        <f t="shared" si="5"/>
        <v>0</v>
      </c>
      <c r="Y19" s="20">
        <f t="shared" si="12"/>
        <v>4010</v>
      </c>
      <c r="Z19" s="21">
        <v>1</v>
      </c>
      <c r="AA19" s="21" t="s">
        <v>10</v>
      </c>
      <c r="AB19" s="11">
        <f t="shared" si="8"/>
        <v>0</v>
      </c>
      <c r="AC19" s="13">
        <f t="shared" si="6"/>
        <v>0</v>
      </c>
    </row>
    <row r="20" spans="1:29" x14ac:dyDescent="0.25">
      <c r="A20" s="20" t="s">
        <v>42</v>
      </c>
      <c r="B20" s="21" t="s">
        <v>17</v>
      </c>
      <c r="C20" s="21" t="s">
        <v>13</v>
      </c>
      <c r="D20" s="21" t="s">
        <v>46</v>
      </c>
      <c r="E20" s="21" t="s">
        <v>47</v>
      </c>
      <c r="F20" s="21">
        <v>2</v>
      </c>
      <c r="G20" s="21" t="s">
        <v>10</v>
      </c>
      <c r="H20" s="11">
        <v>0</v>
      </c>
      <c r="I20" s="13">
        <f t="shared" si="0"/>
        <v>0</v>
      </c>
      <c r="J20" s="20">
        <f t="shared" si="9"/>
        <v>1011</v>
      </c>
      <c r="K20" s="21">
        <v>2</v>
      </c>
      <c r="L20" s="21" t="s">
        <v>10</v>
      </c>
      <c r="M20" s="12">
        <f t="shared" si="7"/>
        <v>0</v>
      </c>
      <c r="N20" s="13">
        <f t="shared" si="1"/>
        <v>0</v>
      </c>
      <c r="O20" s="20">
        <f t="shared" si="10"/>
        <v>2011</v>
      </c>
      <c r="P20" s="21">
        <v>2</v>
      </c>
      <c r="Q20" s="21" t="s">
        <v>10</v>
      </c>
      <c r="R20" s="11">
        <f t="shared" si="2"/>
        <v>0</v>
      </c>
      <c r="S20" s="13">
        <f t="shared" si="3"/>
        <v>0</v>
      </c>
      <c r="T20" s="20">
        <f t="shared" si="11"/>
        <v>3011</v>
      </c>
      <c r="U20" s="21">
        <v>2</v>
      </c>
      <c r="V20" s="21" t="s">
        <v>10</v>
      </c>
      <c r="W20" s="11">
        <f t="shared" si="4"/>
        <v>0</v>
      </c>
      <c r="X20" s="13">
        <f t="shared" si="5"/>
        <v>0</v>
      </c>
      <c r="Y20" s="20">
        <f t="shared" si="12"/>
        <v>4011</v>
      </c>
      <c r="Z20" s="21">
        <v>2</v>
      </c>
      <c r="AA20" s="21" t="s">
        <v>10</v>
      </c>
      <c r="AB20" s="11">
        <f t="shared" si="8"/>
        <v>0</v>
      </c>
      <c r="AC20" s="13">
        <f t="shared" si="6"/>
        <v>0</v>
      </c>
    </row>
    <row r="21" spans="1:29" x14ac:dyDescent="0.25">
      <c r="A21" s="20" t="s">
        <v>45</v>
      </c>
      <c r="B21" s="21" t="s">
        <v>49</v>
      </c>
      <c r="C21" s="21" t="s">
        <v>50</v>
      </c>
      <c r="D21" s="21" t="s">
        <v>51</v>
      </c>
      <c r="E21" s="21" t="s">
        <v>52</v>
      </c>
      <c r="F21" s="21">
        <v>1</v>
      </c>
      <c r="G21" s="21" t="s">
        <v>10</v>
      </c>
      <c r="H21" s="11">
        <v>0</v>
      </c>
      <c r="I21" s="13">
        <f t="shared" si="0"/>
        <v>0</v>
      </c>
      <c r="J21" s="20">
        <f t="shared" si="9"/>
        <v>1012</v>
      </c>
      <c r="K21" s="21">
        <v>1</v>
      </c>
      <c r="L21" s="21" t="s">
        <v>10</v>
      </c>
      <c r="M21" s="12">
        <f t="shared" si="7"/>
        <v>0</v>
      </c>
      <c r="N21" s="13">
        <f t="shared" si="1"/>
        <v>0</v>
      </c>
      <c r="O21" s="20">
        <f t="shared" si="10"/>
        <v>2012</v>
      </c>
      <c r="P21" s="21">
        <v>1</v>
      </c>
      <c r="Q21" s="21" t="s">
        <v>10</v>
      </c>
      <c r="R21" s="11">
        <f t="shared" si="2"/>
        <v>0</v>
      </c>
      <c r="S21" s="13">
        <f t="shared" si="3"/>
        <v>0</v>
      </c>
      <c r="T21" s="20">
        <f t="shared" si="11"/>
        <v>3012</v>
      </c>
      <c r="U21" s="21">
        <v>1</v>
      </c>
      <c r="V21" s="21" t="s">
        <v>10</v>
      </c>
      <c r="W21" s="11">
        <f t="shared" si="4"/>
        <v>0</v>
      </c>
      <c r="X21" s="13">
        <f t="shared" si="5"/>
        <v>0</v>
      </c>
      <c r="Y21" s="20">
        <f t="shared" si="12"/>
        <v>4012</v>
      </c>
      <c r="Z21" s="21">
        <v>1</v>
      </c>
      <c r="AA21" s="21" t="s">
        <v>10</v>
      </c>
      <c r="AB21" s="11">
        <f t="shared" si="8"/>
        <v>0</v>
      </c>
      <c r="AC21" s="13">
        <f t="shared" si="6"/>
        <v>0</v>
      </c>
    </row>
    <row r="22" spans="1:29" x14ac:dyDescent="0.25">
      <c r="A22" s="20" t="s">
        <v>48</v>
      </c>
      <c r="B22" s="21" t="s">
        <v>54</v>
      </c>
      <c r="C22" s="21" t="s">
        <v>13</v>
      </c>
      <c r="D22" s="21" t="s">
        <v>55</v>
      </c>
      <c r="E22" s="21" t="s">
        <v>56</v>
      </c>
      <c r="F22" s="21">
        <v>14</v>
      </c>
      <c r="G22" s="21" t="s">
        <v>10</v>
      </c>
      <c r="H22" s="11">
        <v>0</v>
      </c>
      <c r="I22" s="13">
        <f t="shared" si="0"/>
        <v>0</v>
      </c>
      <c r="J22" s="20">
        <f t="shared" si="9"/>
        <v>1013</v>
      </c>
      <c r="K22" s="21">
        <v>14</v>
      </c>
      <c r="L22" s="21" t="s">
        <v>10</v>
      </c>
      <c r="M22" s="12">
        <f t="shared" si="7"/>
        <v>0</v>
      </c>
      <c r="N22" s="13">
        <f t="shared" si="1"/>
        <v>0</v>
      </c>
      <c r="O22" s="20">
        <f t="shared" si="10"/>
        <v>2013</v>
      </c>
      <c r="P22" s="21">
        <v>14</v>
      </c>
      <c r="Q22" s="21" t="s">
        <v>10</v>
      </c>
      <c r="R22" s="11">
        <f t="shared" si="2"/>
        <v>0</v>
      </c>
      <c r="S22" s="13">
        <f t="shared" si="3"/>
        <v>0</v>
      </c>
      <c r="T22" s="20">
        <f t="shared" si="11"/>
        <v>3013</v>
      </c>
      <c r="U22" s="21">
        <v>14</v>
      </c>
      <c r="V22" s="21" t="s">
        <v>10</v>
      </c>
      <c r="W22" s="11">
        <f t="shared" si="4"/>
        <v>0</v>
      </c>
      <c r="X22" s="13">
        <f t="shared" si="5"/>
        <v>0</v>
      </c>
      <c r="Y22" s="20">
        <f t="shared" si="12"/>
        <v>4013</v>
      </c>
      <c r="Z22" s="21">
        <v>14</v>
      </c>
      <c r="AA22" s="21" t="s">
        <v>10</v>
      </c>
      <c r="AB22" s="11">
        <f t="shared" si="8"/>
        <v>0</v>
      </c>
      <c r="AC22" s="13">
        <f t="shared" si="6"/>
        <v>0</v>
      </c>
    </row>
    <row r="23" spans="1:29" x14ac:dyDescent="0.25">
      <c r="A23" s="20" t="s">
        <v>53</v>
      </c>
      <c r="B23" s="21" t="s">
        <v>58</v>
      </c>
      <c r="C23" s="21" t="s">
        <v>13</v>
      </c>
      <c r="D23" s="21" t="s">
        <v>59</v>
      </c>
      <c r="E23" s="21" t="s">
        <v>60</v>
      </c>
      <c r="F23" s="21">
        <v>16</v>
      </c>
      <c r="G23" s="21" t="s">
        <v>10</v>
      </c>
      <c r="H23" s="11">
        <v>0</v>
      </c>
      <c r="I23" s="13">
        <f t="shared" si="0"/>
        <v>0</v>
      </c>
      <c r="J23" s="20">
        <f t="shared" si="9"/>
        <v>1014</v>
      </c>
      <c r="K23" s="21">
        <v>16</v>
      </c>
      <c r="L23" s="21" t="s">
        <v>10</v>
      </c>
      <c r="M23" s="12">
        <f t="shared" si="7"/>
        <v>0</v>
      </c>
      <c r="N23" s="13">
        <f t="shared" si="1"/>
        <v>0</v>
      </c>
      <c r="O23" s="20">
        <f t="shared" si="10"/>
        <v>2014</v>
      </c>
      <c r="P23" s="21">
        <v>16</v>
      </c>
      <c r="Q23" s="21" t="s">
        <v>10</v>
      </c>
      <c r="R23" s="11">
        <f t="shared" si="2"/>
        <v>0</v>
      </c>
      <c r="S23" s="13">
        <f t="shared" si="3"/>
        <v>0</v>
      </c>
      <c r="T23" s="20">
        <f t="shared" si="11"/>
        <v>3014</v>
      </c>
      <c r="U23" s="21">
        <v>16</v>
      </c>
      <c r="V23" s="21" t="s">
        <v>10</v>
      </c>
      <c r="W23" s="11">
        <f t="shared" si="4"/>
        <v>0</v>
      </c>
      <c r="X23" s="13">
        <f t="shared" si="5"/>
        <v>0</v>
      </c>
      <c r="Y23" s="20">
        <f t="shared" si="12"/>
        <v>4014</v>
      </c>
      <c r="Z23" s="21">
        <v>16</v>
      </c>
      <c r="AA23" s="21" t="s">
        <v>10</v>
      </c>
      <c r="AB23" s="11">
        <f t="shared" si="8"/>
        <v>0</v>
      </c>
      <c r="AC23" s="13">
        <f t="shared" si="6"/>
        <v>0</v>
      </c>
    </row>
    <row r="24" spans="1:29" x14ac:dyDescent="0.25">
      <c r="A24" s="20" t="s">
        <v>177</v>
      </c>
      <c r="B24" s="21" t="s">
        <v>62</v>
      </c>
      <c r="C24" s="21" t="s">
        <v>13</v>
      </c>
      <c r="D24" s="21" t="s">
        <v>63</v>
      </c>
      <c r="E24" s="21" t="s">
        <v>64</v>
      </c>
      <c r="F24" s="21">
        <v>20</v>
      </c>
      <c r="G24" s="21" t="s">
        <v>10</v>
      </c>
      <c r="H24" s="11">
        <v>0</v>
      </c>
      <c r="I24" s="13">
        <f t="shared" si="0"/>
        <v>0</v>
      </c>
      <c r="J24" s="20">
        <f t="shared" si="9"/>
        <v>1015</v>
      </c>
      <c r="K24" s="21">
        <v>20</v>
      </c>
      <c r="L24" s="21" t="s">
        <v>10</v>
      </c>
      <c r="M24" s="12">
        <f t="shared" si="7"/>
        <v>0</v>
      </c>
      <c r="N24" s="13">
        <f t="shared" si="1"/>
        <v>0</v>
      </c>
      <c r="O24" s="20">
        <f t="shared" si="10"/>
        <v>2015</v>
      </c>
      <c r="P24" s="21">
        <v>20</v>
      </c>
      <c r="Q24" s="21" t="s">
        <v>10</v>
      </c>
      <c r="R24" s="11">
        <f t="shared" si="2"/>
        <v>0</v>
      </c>
      <c r="S24" s="13">
        <f t="shared" si="3"/>
        <v>0</v>
      </c>
      <c r="T24" s="20">
        <f t="shared" si="11"/>
        <v>3015</v>
      </c>
      <c r="U24" s="21">
        <v>20</v>
      </c>
      <c r="V24" s="21" t="s">
        <v>10</v>
      </c>
      <c r="W24" s="11">
        <f t="shared" si="4"/>
        <v>0</v>
      </c>
      <c r="X24" s="13">
        <f t="shared" si="5"/>
        <v>0</v>
      </c>
      <c r="Y24" s="20">
        <f t="shared" si="12"/>
        <v>4015</v>
      </c>
      <c r="Z24" s="21">
        <v>20</v>
      </c>
      <c r="AA24" s="21" t="s">
        <v>10</v>
      </c>
      <c r="AB24" s="11">
        <f t="shared" si="8"/>
        <v>0</v>
      </c>
      <c r="AC24" s="13">
        <f t="shared" si="6"/>
        <v>0</v>
      </c>
    </row>
    <row r="25" spans="1:29" x14ac:dyDescent="0.25">
      <c r="A25" s="20" t="s">
        <v>178</v>
      </c>
      <c r="B25" s="21" t="s">
        <v>66</v>
      </c>
      <c r="C25" s="21" t="s">
        <v>13</v>
      </c>
      <c r="D25" s="21" t="s">
        <v>67</v>
      </c>
      <c r="E25" s="21" t="s">
        <v>68</v>
      </c>
      <c r="F25" s="21">
        <v>1</v>
      </c>
      <c r="G25" s="21" t="s">
        <v>10</v>
      </c>
      <c r="H25" s="11">
        <v>0</v>
      </c>
      <c r="I25" s="13">
        <f t="shared" si="0"/>
        <v>0</v>
      </c>
      <c r="J25" s="20">
        <f t="shared" si="9"/>
        <v>1016</v>
      </c>
      <c r="K25" s="21">
        <v>1</v>
      </c>
      <c r="L25" s="21" t="s">
        <v>10</v>
      </c>
      <c r="M25" s="12">
        <f t="shared" si="7"/>
        <v>0</v>
      </c>
      <c r="N25" s="13">
        <f t="shared" si="1"/>
        <v>0</v>
      </c>
      <c r="O25" s="20">
        <f t="shared" si="10"/>
        <v>2016</v>
      </c>
      <c r="P25" s="21">
        <v>1</v>
      </c>
      <c r="Q25" s="21" t="s">
        <v>10</v>
      </c>
      <c r="R25" s="11">
        <f t="shared" si="2"/>
        <v>0</v>
      </c>
      <c r="S25" s="13">
        <f t="shared" si="3"/>
        <v>0</v>
      </c>
      <c r="T25" s="20">
        <f t="shared" si="11"/>
        <v>3016</v>
      </c>
      <c r="U25" s="21">
        <v>1</v>
      </c>
      <c r="V25" s="21" t="s">
        <v>10</v>
      </c>
      <c r="W25" s="11">
        <f t="shared" si="4"/>
        <v>0</v>
      </c>
      <c r="X25" s="13">
        <f t="shared" si="5"/>
        <v>0</v>
      </c>
      <c r="Y25" s="20">
        <f t="shared" si="12"/>
        <v>4016</v>
      </c>
      <c r="Z25" s="21">
        <v>1</v>
      </c>
      <c r="AA25" s="21" t="s">
        <v>10</v>
      </c>
      <c r="AB25" s="11">
        <f t="shared" si="8"/>
        <v>0</v>
      </c>
      <c r="AC25" s="13">
        <f t="shared" si="6"/>
        <v>0</v>
      </c>
    </row>
    <row r="26" spans="1:29" x14ac:dyDescent="0.25">
      <c r="A26" s="20" t="s">
        <v>57</v>
      </c>
      <c r="B26" s="21" t="s">
        <v>70</v>
      </c>
      <c r="C26" s="21" t="s">
        <v>50</v>
      </c>
      <c r="D26" s="21" t="s">
        <v>71</v>
      </c>
      <c r="E26" s="21" t="s">
        <v>72</v>
      </c>
      <c r="F26" s="21">
        <v>1</v>
      </c>
      <c r="G26" s="21" t="s">
        <v>10</v>
      </c>
      <c r="H26" s="11">
        <v>0</v>
      </c>
      <c r="I26" s="13">
        <f t="shared" si="0"/>
        <v>0</v>
      </c>
      <c r="J26" s="20">
        <f t="shared" si="9"/>
        <v>1017</v>
      </c>
      <c r="K26" s="21">
        <v>1</v>
      </c>
      <c r="L26" s="21" t="s">
        <v>10</v>
      </c>
      <c r="M26" s="12">
        <f t="shared" si="7"/>
        <v>0</v>
      </c>
      <c r="N26" s="13">
        <f t="shared" si="1"/>
        <v>0</v>
      </c>
      <c r="O26" s="20">
        <f t="shared" si="10"/>
        <v>2017</v>
      </c>
      <c r="P26" s="21">
        <v>1</v>
      </c>
      <c r="Q26" s="21" t="s">
        <v>10</v>
      </c>
      <c r="R26" s="11">
        <f t="shared" si="2"/>
        <v>0</v>
      </c>
      <c r="S26" s="13">
        <f t="shared" si="3"/>
        <v>0</v>
      </c>
      <c r="T26" s="20">
        <f t="shared" si="11"/>
        <v>3017</v>
      </c>
      <c r="U26" s="21">
        <v>1</v>
      </c>
      <c r="V26" s="21" t="s">
        <v>10</v>
      </c>
      <c r="W26" s="11">
        <f t="shared" si="4"/>
        <v>0</v>
      </c>
      <c r="X26" s="13">
        <f t="shared" si="5"/>
        <v>0</v>
      </c>
      <c r="Y26" s="20">
        <f t="shared" si="12"/>
        <v>4017</v>
      </c>
      <c r="Z26" s="21">
        <v>1</v>
      </c>
      <c r="AA26" s="21" t="s">
        <v>10</v>
      </c>
      <c r="AB26" s="11">
        <f t="shared" si="8"/>
        <v>0</v>
      </c>
      <c r="AC26" s="13">
        <f t="shared" si="6"/>
        <v>0</v>
      </c>
    </row>
    <row r="27" spans="1:29" x14ac:dyDescent="0.25">
      <c r="A27" s="20" t="s">
        <v>61</v>
      </c>
      <c r="B27" s="21" t="s">
        <v>70</v>
      </c>
      <c r="C27" s="21" t="s">
        <v>50</v>
      </c>
      <c r="D27" s="21" t="s">
        <v>74</v>
      </c>
      <c r="E27" s="21" t="s">
        <v>75</v>
      </c>
      <c r="F27" s="21">
        <v>1</v>
      </c>
      <c r="G27" s="21" t="s">
        <v>10</v>
      </c>
      <c r="H27" s="11">
        <v>0</v>
      </c>
      <c r="I27" s="13">
        <f t="shared" si="0"/>
        <v>0</v>
      </c>
      <c r="J27" s="20">
        <f t="shared" si="9"/>
        <v>1018</v>
      </c>
      <c r="K27" s="21">
        <v>1</v>
      </c>
      <c r="L27" s="21" t="s">
        <v>10</v>
      </c>
      <c r="M27" s="12">
        <f t="shared" si="7"/>
        <v>0</v>
      </c>
      <c r="N27" s="13">
        <f t="shared" si="1"/>
        <v>0</v>
      </c>
      <c r="O27" s="20">
        <f t="shared" si="10"/>
        <v>2018</v>
      </c>
      <c r="P27" s="21">
        <v>1</v>
      </c>
      <c r="Q27" s="21" t="s">
        <v>10</v>
      </c>
      <c r="R27" s="11">
        <f t="shared" si="2"/>
        <v>0</v>
      </c>
      <c r="S27" s="13">
        <f t="shared" si="3"/>
        <v>0</v>
      </c>
      <c r="T27" s="20">
        <f t="shared" si="11"/>
        <v>3018</v>
      </c>
      <c r="U27" s="21">
        <v>1</v>
      </c>
      <c r="V27" s="21" t="s">
        <v>10</v>
      </c>
      <c r="W27" s="11">
        <f t="shared" si="4"/>
        <v>0</v>
      </c>
      <c r="X27" s="13">
        <f t="shared" si="5"/>
        <v>0</v>
      </c>
      <c r="Y27" s="20">
        <f t="shared" si="12"/>
        <v>4018</v>
      </c>
      <c r="Z27" s="21">
        <v>1</v>
      </c>
      <c r="AA27" s="21" t="s">
        <v>10</v>
      </c>
      <c r="AB27" s="11">
        <f t="shared" si="8"/>
        <v>0</v>
      </c>
      <c r="AC27" s="13">
        <f t="shared" si="6"/>
        <v>0</v>
      </c>
    </row>
    <row r="28" spans="1:29" x14ac:dyDescent="0.25">
      <c r="A28" s="20" t="s">
        <v>65</v>
      </c>
      <c r="B28" s="21" t="s">
        <v>26</v>
      </c>
      <c r="C28" s="21" t="s">
        <v>13</v>
      </c>
      <c r="D28" s="21" t="s">
        <v>77</v>
      </c>
      <c r="E28" s="21" t="s">
        <v>78</v>
      </c>
      <c r="F28" s="21">
        <v>1</v>
      </c>
      <c r="G28" s="21" t="s">
        <v>10</v>
      </c>
      <c r="H28" s="11">
        <v>0</v>
      </c>
      <c r="I28" s="13">
        <f t="shared" si="0"/>
        <v>0</v>
      </c>
      <c r="J28" s="20">
        <f t="shared" si="9"/>
        <v>1019</v>
      </c>
      <c r="K28" s="21">
        <v>1</v>
      </c>
      <c r="L28" s="21" t="s">
        <v>10</v>
      </c>
      <c r="M28" s="12">
        <f t="shared" si="7"/>
        <v>0</v>
      </c>
      <c r="N28" s="13">
        <f t="shared" si="1"/>
        <v>0</v>
      </c>
      <c r="O28" s="20">
        <f t="shared" si="10"/>
        <v>2019</v>
      </c>
      <c r="P28" s="21">
        <v>1</v>
      </c>
      <c r="Q28" s="21" t="s">
        <v>10</v>
      </c>
      <c r="R28" s="11">
        <f t="shared" si="2"/>
        <v>0</v>
      </c>
      <c r="S28" s="13">
        <f t="shared" si="3"/>
        <v>0</v>
      </c>
      <c r="T28" s="20">
        <f t="shared" si="11"/>
        <v>3019</v>
      </c>
      <c r="U28" s="21">
        <v>1</v>
      </c>
      <c r="V28" s="21" t="s">
        <v>10</v>
      </c>
      <c r="W28" s="11">
        <f t="shared" si="4"/>
        <v>0</v>
      </c>
      <c r="X28" s="13">
        <f t="shared" si="5"/>
        <v>0</v>
      </c>
      <c r="Y28" s="20">
        <f t="shared" si="12"/>
        <v>4019</v>
      </c>
      <c r="Z28" s="21">
        <v>1</v>
      </c>
      <c r="AA28" s="21" t="s">
        <v>10</v>
      </c>
      <c r="AB28" s="11">
        <f t="shared" si="8"/>
        <v>0</v>
      </c>
      <c r="AC28" s="13">
        <f t="shared" si="6"/>
        <v>0</v>
      </c>
    </row>
    <row r="29" spans="1:29" x14ac:dyDescent="0.25">
      <c r="A29" s="20" t="s">
        <v>69</v>
      </c>
      <c r="B29" s="21" t="s">
        <v>26</v>
      </c>
      <c r="C29" s="21" t="s">
        <v>13</v>
      </c>
      <c r="D29" s="21" t="s">
        <v>80</v>
      </c>
      <c r="E29" s="21" t="s">
        <v>81</v>
      </c>
      <c r="F29" s="21">
        <v>1</v>
      </c>
      <c r="G29" s="21" t="s">
        <v>10</v>
      </c>
      <c r="H29" s="11">
        <v>0</v>
      </c>
      <c r="I29" s="13">
        <f t="shared" si="0"/>
        <v>0</v>
      </c>
      <c r="J29" s="20">
        <f t="shared" si="9"/>
        <v>1020</v>
      </c>
      <c r="K29" s="21">
        <v>1</v>
      </c>
      <c r="L29" s="21" t="s">
        <v>10</v>
      </c>
      <c r="M29" s="12">
        <f t="shared" si="7"/>
        <v>0</v>
      </c>
      <c r="N29" s="13">
        <f t="shared" si="1"/>
        <v>0</v>
      </c>
      <c r="O29" s="20">
        <f t="shared" si="10"/>
        <v>2020</v>
      </c>
      <c r="P29" s="21">
        <v>1</v>
      </c>
      <c r="Q29" s="21" t="s">
        <v>10</v>
      </c>
      <c r="R29" s="11">
        <f t="shared" si="2"/>
        <v>0</v>
      </c>
      <c r="S29" s="13">
        <f t="shared" si="3"/>
        <v>0</v>
      </c>
      <c r="T29" s="20">
        <f t="shared" si="11"/>
        <v>3020</v>
      </c>
      <c r="U29" s="21">
        <v>1</v>
      </c>
      <c r="V29" s="21" t="s">
        <v>10</v>
      </c>
      <c r="W29" s="11">
        <f t="shared" si="4"/>
        <v>0</v>
      </c>
      <c r="X29" s="13">
        <f t="shared" si="5"/>
        <v>0</v>
      </c>
      <c r="Y29" s="20">
        <f t="shared" si="12"/>
        <v>4020</v>
      </c>
      <c r="Z29" s="21">
        <v>1</v>
      </c>
      <c r="AA29" s="21" t="s">
        <v>10</v>
      </c>
      <c r="AB29" s="11">
        <f t="shared" si="8"/>
        <v>0</v>
      </c>
      <c r="AC29" s="13">
        <f t="shared" si="6"/>
        <v>0</v>
      </c>
    </row>
    <row r="30" spans="1:29" x14ac:dyDescent="0.25">
      <c r="A30" s="20" t="s">
        <v>73</v>
      </c>
      <c r="B30" s="21" t="s">
        <v>26</v>
      </c>
      <c r="C30" s="21" t="s">
        <v>13</v>
      </c>
      <c r="D30" s="21" t="s">
        <v>83</v>
      </c>
      <c r="E30" s="21" t="s">
        <v>84</v>
      </c>
      <c r="F30" s="21">
        <v>1</v>
      </c>
      <c r="G30" s="21" t="s">
        <v>10</v>
      </c>
      <c r="H30" s="11">
        <v>0</v>
      </c>
      <c r="I30" s="13">
        <f t="shared" si="0"/>
        <v>0</v>
      </c>
      <c r="J30" s="20">
        <f t="shared" si="9"/>
        <v>1021</v>
      </c>
      <c r="K30" s="21">
        <v>1</v>
      </c>
      <c r="L30" s="21" t="s">
        <v>10</v>
      </c>
      <c r="M30" s="12">
        <f t="shared" si="7"/>
        <v>0</v>
      </c>
      <c r="N30" s="13">
        <f t="shared" si="1"/>
        <v>0</v>
      </c>
      <c r="O30" s="20">
        <f t="shared" si="10"/>
        <v>2021</v>
      </c>
      <c r="P30" s="21">
        <v>1</v>
      </c>
      <c r="Q30" s="21" t="s">
        <v>10</v>
      </c>
      <c r="R30" s="11">
        <f t="shared" si="2"/>
        <v>0</v>
      </c>
      <c r="S30" s="13">
        <f t="shared" si="3"/>
        <v>0</v>
      </c>
      <c r="T30" s="20">
        <f t="shared" si="11"/>
        <v>3021</v>
      </c>
      <c r="U30" s="21">
        <v>1</v>
      </c>
      <c r="V30" s="21" t="s">
        <v>10</v>
      </c>
      <c r="W30" s="11">
        <f t="shared" si="4"/>
        <v>0</v>
      </c>
      <c r="X30" s="13">
        <f t="shared" si="5"/>
        <v>0</v>
      </c>
      <c r="Y30" s="20">
        <f t="shared" si="12"/>
        <v>4021</v>
      </c>
      <c r="Z30" s="21">
        <v>1</v>
      </c>
      <c r="AA30" s="21" t="s">
        <v>10</v>
      </c>
      <c r="AB30" s="11">
        <f t="shared" si="8"/>
        <v>0</v>
      </c>
      <c r="AC30" s="13">
        <f t="shared" si="6"/>
        <v>0</v>
      </c>
    </row>
    <row r="31" spans="1:29" x14ac:dyDescent="0.25">
      <c r="A31" s="20" t="s">
        <v>179</v>
      </c>
      <c r="B31" s="21" t="s">
        <v>26</v>
      </c>
      <c r="C31" s="21" t="s">
        <v>13</v>
      </c>
      <c r="D31" s="21" t="s">
        <v>86</v>
      </c>
      <c r="E31" s="21" t="s">
        <v>87</v>
      </c>
      <c r="F31" s="21">
        <v>1</v>
      </c>
      <c r="G31" s="21" t="s">
        <v>10</v>
      </c>
      <c r="H31" s="11">
        <v>0</v>
      </c>
      <c r="I31" s="13">
        <f t="shared" si="0"/>
        <v>0</v>
      </c>
      <c r="J31" s="20">
        <f t="shared" si="9"/>
        <v>1022</v>
      </c>
      <c r="K31" s="21">
        <v>1</v>
      </c>
      <c r="L31" s="21" t="s">
        <v>10</v>
      </c>
      <c r="M31" s="12">
        <f t="shared" si="7"/>
        <v>0</v>
      </c>
      <c r="N31" s="13">
        <f t="shared" si="1"/>
        <v>0</v>
      </c>
      <c r="O31" s="20">
        <f t="shared" si="10"/>
        <v>2022</v>
      </c>
      <c r="P31" s="21">
        <v>1</v>
      </c>
      <c r="Q31" s="21" t="s">
        <v>10</v>
      </c>
      <c r="R31" s="11">
        <f t="shared" si="2"/>
        <v>0</v>
      </c>
      <c r="S31" s="13">
        <f t="shared" si="3"/>
        <v>0</v>
      </c>
      <c r="T31" s="20">
        <f t="shared" si="11"/>
        <v>3022</v>
      </c>
      <c r="U31" s="21">
        <v>1</v>
      </c>
      <c r="V31" s="21" t="s">
        <v>10</v>
      </c>
      <c r="W31" s="11">
        <f t="shared" si="4"/>
        <v>0</v>
      </c>
      <c r="X31" s="13">
        <f t="shared" si="5"/>
        <v>0</v>
      </c>
      <c r="Y31" s="20">
        <f t="shared" si="12"/>
        <v>4022</v>
      </c>
      <c r="Z31" s="21">
        <v>1</v>
      </c>
      <c r="AA31" s="21" t="s">
        <v>10</v>
      </c>
      <c r="AB31" s="11">
        <f t="shared" si="8"/>
        <v>0</v>
      </c>
      <c r="AC31" s="13">
        <f t="shared" si="6"/>
        <v>0</v>
      </c>
    </row>
    <row r="32" spans="1:29" x14ac:dyDescent="0.25">
      <c r="A32" s="20" t="s">
        <v>180</v>
      </c>
      <c r="B32" s="21" t="s">
        <v>26</v>
      </c>
      <c r="C32" s="21" t="s">
        <v>13</v>
      </c>
      <c r="D32" s="21" t="s">
        <v>89</v>
      </c>
      <c r="E32" s="21" t="s">
        <v>90</v>
      </c>
      <c r="F32" s="21">
        <v>1</v>
      </c>
      <c r="G32" s="21" t="s">
        <v>10</v>
      </c>
      <c r="H32" s="11">
        <v>0</v>
      </c>
      <c r="I32" s="13">
        <f t="shared" si="0"/>
        <v>0</v>
      </c>
      <c r="J32" s="20">
        <f t="shared" si="9"/>
        <v>1023</v>
      </c>
      <c r="K32" s="21">
        <v>1</v>
      </c>
      <c r="L32" s="21" t="s">
        <v>10</v>
      </c>
      <c r="M32" s="12">
        <f t="shared" si="7"/>
        <v>0</v>
      </c>
      <c r="N32" s="13">
        <f t="shared" si="1"/>
        <v>0</v>
      </c>
      <c r="O32" s="20">
        <f t="shared" si="10"/>
        <v>2023</v>
      </c>
      <c r="P32" s="21">
        <v>1</v>
      </c>
      <c r="Q32" s="21" t="s">
        <v>10</v>
      </c>
      <c r="R32" s="11">
        <f t="shared" si="2"/>
        <v>0</v>
      </c>
      <c r="S32" s="13">
        <f t="shared" si="3"/>
        <v>0</v>
      </c>
      <c r="T32" s="20">
        <f t="shared" si="11"/>
        <v>3023</v>
      </c>
      <c r="U32" s="21">
        <v>1</v>
      </c>
      <c r="V32" s="21" t="s">
        <v>10</v>
      </c>
      <c r="W32" s="11">
        <f t="shared" si="4"/>
        <v>0</v>
      </c>
      <c r="X32" s="13">
        <f t="shared" si="5"/>
        <v>0</v>
      </c>
      <c r="Y32" s="20">
        <f t="shared" si="12"/>
        <v>4023</v>
      </c>
      <c r="Z32" s="21">
        <v>1</v>
      </c>
      <c r="AA32" s="21" t="s">
        <v>10</v>
      </c>
      <c r="AB32" s="11">
        <f t="shared" si="8"/>
        <v>0</v>
      </c>
      <c r="AC32" s="13">
        <f t="shared" si="6"/>
        <v>0</v>
      </c>
    </row>
    <row r="33" spans="1:29" x14ac:dyDescent="0.25">
      <c r="A33" s="20" t="s">
        <v>181</v>
      </c>
      <c r="B33" s="21" t="s">
        <v>26</v>
      </c>
      <c r="C33" s="21" t="s">
        <v>13</v>
      </c>
      <c r="D33" s="21" t="s">
        <v>92</v>
      </c>
      <c r="E33" s="21" t="s">
        <v>93</v>
      </c>
      <c r="F33" s="21">
        <v>1</v>
      </c>
      <c r="G33" s="21" t="s">
        <v>10</v>
      </c>
      <c r="H33" s="11">
        <v>0</v>
      </c>
      <c r="I33" s="13">
        <f t="shared" si="0"/>
        <v>0</v>
      </c>
      <c r="J33" s="20">
        <f t="shared" si="9"/>
        <v>1024</v>
      </c>
      <c r="K33" s="21">
        <v>1</v>
      </c>
      <c r="L33" s="21" t="s">
        <v>10</v>
      </c>
      <c r="M33" s="12">
        <f t="shared" si="7"/>
        <v>0</v>
      </c>
      <c r="N33" s="13">
        <f t="shared" si="1"/>
        <v>0</v>
      </c>
      <c r="O33" s="20">
        <f t="shared" si="10"/>
        <v>2024</v>
      </c>
      <c r="P33" s="21">
        <v>1</v>
      </c>
      <c r="Q33" s="21" t="s">
        <v>10</v>
      </c>
      <c r="R33" s="11">
        <f t="shared" si="2"/>
        <v>0</v>
      </c>
      <c r="S33" s="13">
        <f t="shared" si="3"/>
        <v>0</v>
      </c>
      <c r="T33" s="20">
        <f t="shared" si="11"/>
        <v>3024</v>
      </c>
      <c r="U33" s="21">
        <v>1</v>
      </c>
      <c r="V33" s="21" t="s">
        <v>10</v>
      </c>
      <c r="W33" s="11">
        <f t="shared" si="4"/>
        <v>0</v>
      </c>
      <c r="X33" s="13">
        <f t="shared" si="5"/>
        <v>0</v>
      </c>
      <c r="Y33" s="20">
        <f t="shared" si="12"/>
        <v>4024</v>
      </c>
      <c r="Z33" s="21">
        <v>1</v>
      </c>
      <c r="AA33" s="21" t="s">
        <v>10</v>
      </c>
      <c r="AB33" s="11">
        <f t="shared" si="8"/>
        <v>0</v>
      </c>
      <c r="AC33" s="13">
        <f t="shared" si="6"/>
        <v>0</v>
      </c>
    </row>
    <row r="34" spans="1:29" x14ac:dyDescent="0.25">
      <c r="A34" s="20" t="s">
        <v>76</v>
      </c>
      <c r="B34" s="21" t="s">
        <v>95</v>
      </c>
      <c r="C34" s="21" t="s">
        <v>96</v>
      </c>
      <c r="D34" s="21" t="s">
        <v>97</v>
      </c>
      <c r="E34" s="21" t="s">
        <v>98</v>
      </c>
      <c r="F34" s="21">
        <v>1</v>
      </c>
      <c r="G34" s="21" t="s">
        <v>10</v>
      </c>
      <c r="H34" s="11">
        <v>0</v>
      </c>
      <c r="I34" s="13">
        <f t="shared" si="0"/>
        <v>0</v>
      </c>
      <c r="J34" s="20">
        <f t="shared" si="9"/>
        <v>1025</v>
      </c>
      <c r="K34" s="21">
        <v>1</v>
      </c>
      <c r="L34" s="21" t="s">
        <v>10</v>
      </c>
      <c r="M34" s="12">
        <f t="shared" si="7"/>
        <v>0</v>
      </c>
      <c r="N34" s="13">
        <f t="shared" si="1"/>
        <v>0</v>
      </c>
      <c r="O34" s="20">
        <f t="shared" si="10"/>
        <v>2025</v>
      </c>
      <c r="P34" s="21">
        <v>1</v>
      </c>
      <c r="Q34" s="21" t="s">
        <v>10</v>
      </c>
      <c r="R34" s="11">
        <f t="shared" si="2"/>
        <v>0</v>
      </c>
      <c r="S34" s="13">
        <f t="shared" si="3"/>
        <v>0</v>
      </c>
      <c r="T34" s="20">
        <f t="shared" si="11"/>
        <v>3025</v>
      </c>
      <c r="U34" s="21">
        <v>1</v>
      </c>
      <c r="V34" s="21" t="s">
        <v>10</v>
      </c>
      <c r="W34" s="11">
        <f t="shared" si="4"/>
        <v>0</v>
      </c>
      <c r="X34" s="13">
        <f t="shared" si="5"/>
        <v>0</v>
      </c>
      <c r="Y34" s="20">
        <f t="shared" si="12"/>
        <v>4025</v>
      </c>
      <c r="Z34" s="21">
        <v>1</v>
      </c>
      <c r="AA34" s="21" t="s">
        <v>10</v>
      </c>
      <c r="AB34" s="11">
        <f t="shared" si="8"/>
        <v>0</v>
      </c>
      <c r="AC34" s="13">
        <f t="shared" si="6"/>
        <v>0</v>
      </c>
    </row>
    <row r="35" spans="1:29" x14ac:dyDescent="0.25">
      <c r="A35" s="20" t="s">
        <v>79</v>
      </c>
      <c r="B35" s="21" t="s">
        <v>100</v>
      </c>
      <c r="C35" s="21" t="s">
        <v>101</v>
      </c>
      <c r="D35" s="21" t="s">
        <v>102</v>
      </c>
      <c r="E35" s="21" t="s">
        <v>103</v>
      </c>
      <c r="F35" s="21">
        <v>1</v>
      </c>
      <c r="G35" s="21" t="s">
        <v>10</v>
      </c>
      <c r="H35" s="11">
        <v>0</v>
      </c>
      <c r="I35" s="13">
        <f t="shared" si="0"/>
        <v>0</v>
      </c>
      <c r="J35" s="20">
        <f t="shared" si="9"/>
        <v>1026</v>
      </c>
      <c r="K35" s="21">
        <v>1</v>
      </c>
      <c r="L35" s="21" t="s">
        <v>10</v>
      </c>
      <c r="M35" s="12">
        <f t="shared" si="7"/>
        <v>0</v>
      </c>
      <c r="N35" s="13">
        <f t="shared" si="1"/>
        <v>0</v>
      </c>
      <c r="O35" s="20">
        <f t="shared" si="10"/>
        <v>2026</v>
      </c>
      <c r="P35" s="21">
        <v>1</v>
      </c>
      <c r="Q35" s="21" t="s">
        <v>10</v>
      </c>
      <c r="R35" s="11">
        <f t="shared" si="2"/>
        <v>0</v>
      </c>
      <c r="S35" s="13">
        <f t="shared" si="3"/>
        <v>0</v>
      </c>
      <c r="T35" s="20">
        <f t="shared" si="11"/>
        <v>3026</v>
      </c>
      <c r="U35" s="21">
        <v>1</v>
      </c>
      <c r="V35" s="21" t="s">
        <v>10</v>
      </c>
      <c r="W35" s="11">
        <f t="shared" si="4"/>
        <v>0</v>
      </c>
      <c r="X35" s="13">
        <f t="shared" si="5"/>
        <v>0</v>
      </c>
      <c r="Y35" s="20">
        <f t="shared" si="12"/>
        <v>4026</v>
      </c>
      <c r="Z35" s="21">
        <v>1</v>
      </c>
      <c r="AA35" s="21" t="s">
        <v>10</v>
      </c>
      <c r="AB35" s="11">
        <f t="shared" si="8"/>
        <v>0</v>
      </c>
      <c r="AC35" s="13">
        <f t="shared" si="6"/>
        <v>0</v>
      </c>
    </row>
    <row r="36" spans="1:29" x14ac:dyDescent="0.25">
      <c r="A36" s="20" t="s">
        <v>82</v>
      </c>
      <c r="B36" s="21" t="s">
        <v>105</v>
      </c>
      <c r="C36" s="21" t="s">
        <v>106</v>
      </c>
      <c r="D36" s="21" t="s">
        <v>107</v>
      </c>
      <c r="E36" s="21" t="s">
        <v>108</v>
      </c>
      <c r="F36" s="21">
        <v>10</v>
      </c>
      <c r="G36" s="21" t="s">
        <v>10</v>
      </c>
      <c r="H36" s="11">
        <v>0</v>
      </c>
      <c r="I36" s="13">
        <f t="shared" si="0"/>
        <v>0</v>
      </c>
      <c r="J36" s="20">
        <f t="shared" si="9"/>
        <v>1027</v>
      </c>
      <c r="K36" s="21">
        <v>10</v>
      </c>
      <c r="L36" s="21" t="s">
        <v>10</v>
      </c>
      <c r="M36" s="12">
        <f t="shared" si="7"/>
        <v>0</v>
      </c>
      <c r="N36" s="13">
        <f t="shared" si="1"/>
        <v>0</v>
      </c>
      <c r="O36" s="20">
        <f t="shared" si="10"/>
        <v>2027</v>
      </c>
      <c r="P36" s="21">
        <v>10</v>
      </c>
      <c r="Q36" s="21" t="s">
        <v>10</v>
      </c>
      <c r="R36" s="11">
        <f t="shared" si="2"/>
        <v>0</v>
      </c>
      <c r="S36" s="13">
        <f t="shared" si="3"/>
        <v>0</v>
      </c>
      <c r="T36" s="20">
        <f t="shared" si="11"/>
        <v>3027</v>
      </c>
      <c r="U36" s="21">
        <v>10</v>
      </c>
      <c r="V36" s="21" t="s">
        <v>10</v>
      </c>
      <c r="W36" s="11">
        <f t="shared" si="4"/>
        <v>0</v>
      </c>
      <c r="X36" s="13">
        <f t="shared" si="5"/>
        <v>0</v>
      </c>
      <c r="Y36" s="20">
        <f t="shared" si="12"/>
        <v>4027</v>
      </c>
      <c r="Z36" s="21">
        <v>10</v>
      </c>
      <c r="AA36" s="21" t="s">
        <v>10</v>
      </c>
      <c r="AB36" s="11">
        <f t="shared" si="8"/>
        <v>0</v>
      </c>
      <c r="AC36" s="13">
        <f t="shared" si="6"/>
        <v>0</v>
      </c>
    </row>
    <row r="37" spans="1:29" x14ac:dyDescent="0.25">
      <c r="A37" s="20" t="s">
        <v>85</v>
      </c>
      <c r="B37" s="21" t="s">
        <v>95</v>
      </c>
      <c r="C37" s="21" t="s">
        <v>96</v>
      </c>
      <c r="D37" s="21" t="s">
        <v>110</v>
      </c>
      <c r="E37" s="21" t="s">
        <v>111</v>
      </c>
      <c r="F37" s="21">
        <v>1</v>
      </c>
      <c r="G37" s="21" t="s">
        <v>10</v>
      </c>
      <c r="H37" s="11">
        <v>0</v>
      </c>
      <c r="I37" s="13">
        <f t="shared" si="0"/>
        <v>0</v>
      </c>
      <c r="J37" s="20">
        <f t="shared" si="9"/>
        <v>1028</v>
      </c>
      <c r="K37" s="21">
        <v>1</v>
      </c>
      <c r="L37" s="21" t="s">
        <v>10</v>
      </c>
      <c r="M37" s="12">
        <f t="shared" si="7"/>
        <v>0</v>
      </c>
      <c r="N37" s="13">
        <f t="shared" si="1"/>
        <v>0</v>
      </c>
      <c r="O37" s="20">
        <f t="shared" si="10"/>
        <v>2028</v>
      </c>
      <c r="P37" s="21">
        <v>1</v>
      </c>
      <c r="Q37" s="21" t="s">
        <v>10</v>
      </c>
      <c r="R37" s="11">
        <f t="shared" si="2"/>
        <v>0</v>
      </c>
      <c r="S37" s="13">
        <f t="shared" si="3"/>
        <v>0</v>
      </c>
      <c r="T37" s="20">
        <f t="shared" si="11"/>
        <v>3028</v>
      </c>
      <c r="U37" s="21">
        <v>1</v>
      </c>
      <c r="V37" s="21" t="s">
        <v>10</v>
      </c>
      <c r="W37" s="11">
        <f t="shared" si="4"/>
        <v>0</v>
      </c>
      <c r="X37" s="13">
        <f t="shared" si="5"/>
        <v>0</v>
      </c>
      <c r="Y37" s="20">
        <f t="shared" si="12"/>
        <v>4028</v>
      </c>
      <c r="Z37" s="21">
        <v>1</v>
      </c>
      <c r="AA37" s="21" t="s">
        <v>10</v>
      </c>
      <c r="AB37" s="11">
        <f t="shared" si="8"/>
        <v>0</v>
      </c>
      <c r="AC37" s="13">
        <f t="shared" si="6"/>
        <v>0</v>
      </c>
    </row>
    <row r="38" spans="1:29" x14ac:dyDescent="0.25">
      <c r="A38" s="20" t="s">
        <v>88</v>
      </c>
      <c r="B38" s="21" t="s">
        <v>100</v>
      </c>
      <c r="C38" s="21" t="s">
        <v>101</v>
      </c>
      <c r="D38" s="21" t="s">
        <v>113</v>
      </c>
      <c r="E38" s="21" t="s">
        <v>114</v>
      </c>
      <c r="F38" s="21">
        <v>1</v>
      </c>
      <c r="G38" s="21" t="s">
        <v>10</v>
      </c>
      <c r="H38" s="11">
        <v>0</v>
      </c>
      <c r="I38" s="13">
        <f t="shared" si="0"/>
        <v>0</v>
      </c>
      <c r="J38" s="20">
        <f t="shared" si="9"/>
        <v>1029</v>
      </c>
      <c r="K38" s="21">
        <v>1</v>
      </c>
      <c r="L38" s="21" t="s">
        <v>10</v>
      </c>
      <c r="M38" s="12">
        <f t="shared" si="7"/>
        <v>0</v>
      </c>
      <c r="N38" s="13">
        <f t="shared" si="1"/>
        <v>0</v>
      </c>
      <c r="O38" s="20">
        <f t="shared" si="10"/>
        <v>2029</v>
      </c>
      <c r="P38" s="21">
        <v>1</v>
      </c>
      <c r="Q38" s="21" t="s">
        <v>10</v>
      </c>
      <c r="R38" s="11">
        <f t="shared" si="2"/>
        <v>0</v>
      </c>
      <c r="S38" s="13">
        <f t="shared" si="3"/>
        <v>0</v>
      </c>
      <c r="T38" s="20">
        <f t="shared" si="11"/>
        <v>3029</v>
      </c>
      <c r="U38" s="21">
        <v>1</v>
      </c>
      <c r="V38" s="21" t="s">
        <v>10</v>
      </c>
      <c r="W38" s="11">
        <f t="shared" si="4"/>
        <v>0</v>
      </c>
      <c r="X38" s="13">
        <f t="shared" si="5"/>
        <v>0</v>
      </c>
      <c r="Y38" s="20">
        <f t="shared" si="12"/>
        <v>4029</v>
      </c>
      <c r="Z38" s="21">
        <v>1</v>
      </c>
      <c r="AA38" s="21" t="s">
        <v>10</v>
      </c>
      <c r="AB38" s="11">
        <f t="shared" si="8"/>
        <v>0</v>
      </c>
      <c r="AC38" s="13">
        <f t="shared" si="6"/>
        <v>0</v>
      </c>
    </row>
    <row r="39" spans="1:29" x14ac:dyDescent="0.25">
      <c r="A39" s="20" t="s">
        <v>91</v>
      </c>
      <c r="B39" s="21" t="s">
        <v>105</v>
      </c>
      <c r="C39" s="21" t="s">
        <v>116</v>
      </c>
      <c r="D39" s="21" t="s">
        <v>117</v>
      </c>
      <c r="E39" s="21" t="s">
        <v>118</v>
      </c>
      <c r="F39" s="21">
        <v>10</v>
      </c>
      <c r="G39" s="21" t="s">
        <v>10</v>
      </c>
      <c r="H39" s="11">
        <v>0</v>
      </c>
      <c r="I39" s="13">
        <f t="shared" si="0"/>
        <v>0</v>
      </c>
      <c r="J39" s="20">
        <f t="shared" si="9"/>
        <v>1030</v>
      </c>
      <c r="K39" s="21">
        <v>10</v>
      </c>
      <c r="L39" s="21" t="s">
        <v>10</v>
      </c>
      <c r="M39" s="12">
        <f t="shared" si="7"/>
        <v>0</v>
      </c>
      <c r="N39" s="13">
        <f t="shared" si="1"/>
        <v>0</v>
      </c>
      <c r="O39" s="20">
        <f t="shared" si="10"/>
        <v>2030</v>
      </c>
      <c r="P39" s="21">
        <v>10</v>
      </c>
      <c r="Q39" s="21" t="s">
        <v>10</v>
      </c>
      <c r="R39" s="11">
        <f t="shared" si="2"/>
        <v>0</v>
      </c>
      <c r="S39" s="13">
        <f t="shared" si="3"/>
        <v>0</v>
      </c>
      <c r="T39" s="20">
        <f t="shared" si="11"/>
        <v>3030</v>
      </c>
      <c r="U39" s="21">
        <v>10</v>
      </c>
      <c r="V39" s="21" t="s">
        <v>10</v>
      </c>
      <c r="W39" s="11">
        <f t="shared" si="4"/>
        <v>0</v>
      </c>
      <c r="X39" s="13">
        <f t="shared" si="5"/>
        <v>0</v>
      </c>
      <c r="Y39" s="20">
        <f t="shared" si="12"/>
        <v>4030</v>
      </c>
      <c r="Z39" s="21">
        <v>10</v>
      </c>
      <c r="AA39" s="21" t="s">
        <v>10</v>
      </c>
      <c r="AB39" s="11">
        <f t="shared" si="8"/>
        <v>0</v>
      </c>
      <c r="AC39" s="13">
        <f t="shared" si="6"/>
        <v>0</v>
      </c>
    </row>
    <row r="40" spans="1:29" x14ac:dyDescent="0.25">
      <c r="A40" s="20" t="s">
        <v>94</v>
      </c>
      <c r="B40" s="21" t="s">
        <v>100</v>
      </c>
      <c r="C40" s="21" t="s">
        <v>101</v>
      </c>
      <c r="D40" s="21" t="s">
        <v>120</v>
      </c>
      <c r="E40" s="21" t="s">
        <v>121</v>
      </c>
      <c r="F40" s="21">
        <v>1</v>
      </c>
      <c r="G40" s="21" t="s">
        <v>10</v>
      </c>
      <c r="H40" s="11">
        <v>0</v>
      </c>
      <c r="I40" s="13">
        <f t="shared" si="0"/>
        <v>0</v>
      </c>
      <c r="J40" s="20">
        <f>+J39+1</f>
        <v>1031</v>
      </c>
      <c r="K40" s="21">
        <v>1</v>
      </c>
      <c r="L40" s="21" t="s">
        <v>10</v>
      </c>
      <c r="M40" s="12">
        <f t="shared" si="7"/>
        <v>0</v>
      </c>
      <c r="N40" s="13">
        <f t="shared" ref="N40:N55" si="13">PRODUCT(M40,K40)</f>
        <v>0</v>
      </c>
      <c r="O40" s="20">
        <f t="shared" si="10"/>
        <v>2031</v>
      </c>
      <c r="P40" s="21">
        <v>1</v>
      </c>
      <c r="Q40" s="21" t="s">
        <v>10</v>
      </c>
      <c r="R40" s="11">
        <f t="shared" ref="R40:R55" si="14">SUM(M40*104%)</f>
        <v>0</v>
      </c>
      <c r="S40" s="13">
        <f t="shared" ref="S40:S55" si="15">PRODUCT(R40,P40)</f>
        <v>0</v>
      </c>
      <c r="T40" s="20">
        <f t="shared" si="11"/>
        <v>3031</v>
      </c>
      <c r="U40" s="21">
        <v>1</v>
      </c>
      <c r="V40" s="21" t="s">
        <v>10</v>
      </c>
      <c r="W40" s="11">
        <f t="shared" ref="W40:W55" si="16">SUM(R40*104%)</f>
        <v>0</v>
      </c>
      <c r="X40" s="13">
        <f t="shared" ref="X40:X55" si="17">PRODUCT(W40,U40)</f>
        <v>0</v>
      </c>
      <c r="Y40" s="20">
        <f t="shared" si="12"/>
        <v>4031</v>
      </c>
      <c r="Z40" s="21">
        <v>1</v>
      </c>
      <c r="AA40" s="21" t="s">
        <v>10</v>
      </c>
      <c r="AB40" s="11">
        <f t="shared" si="8"/>
        <v>0</v>
      </c>
      <c r="AC40" s="13">
        <f t="shared" ref="AC40:AC55" si="18">PRODUCT(AB40,Z40)</f>
        <v>0</v>
      </c>
    </row>
    <row r="41" spans="1:29" x14ac:dyDescent="0.25">
      <c r="A41" s="20" t="s">
        <v>99</v>
      </c>
      <c r="B41" s="21" t="s">
        <v>17</v>
      </c>
      <c r="C41" s="21" t="s">
        <v>13</v>
      </c>
      <c r="D41" s="21" t="s">
        <v>123</v>
      </c>
      <c r="E41" s="21" t="s">
        <v>124</v>
      </c>
      <c r="F41" s="21">
        <v>4</v>
      </c>
      <c r="G41" s="21" t="s">
        <v>10</v>
      </c>
      <c r="H41" s="11">
        <v>0</v>
      </c>
      <c r="I41" s="13">
        <f t="shared" si="0"/>
        <v>0</v>
      </c>
      <c r="J41" s="20">
        <f t="shared" si="9"/>
        <v>1032</v>
      </c>
      <c r="K41" s="21">
        <v>4</v>
      </c>
      <c r="L41" s="21" t="s">
        <v>10</v>
      </c>
      <c r="M41" s="12">
        <f t="shared" si="7"/>
        <v>0</v>
      </c>
      <c r="N41" s="13">
        <f t="shared" si="13"/>
        <v>0</v>
      </c>
      <c r="O41" s="20">
        <f t="shared" si="10"/>
        <v>2032</v>
      </c>
      <c r="P41" s="21">
        <v>4</v>
      </c>
      <c r="Q41" s="21" t="s">
        <v>10</v>
      </c>
      <c r="R41" s="11">
        <f t="shared" si="14"/>
        <v>0</v>
      </c>
      <c r="S41" s="13">
        <f t="shared" si="15"/>
        <v>0</v>
      </c>
      <c r="T41" s="20">
        <f t="shared" si="11"/>
        <v>3032</v>
      </c>
      <c r="U41" s="21">
        <v>4</v>
      </c>
      <c r="V41" s="21" t="s">
        <v>10</v>
      </c>
      <c r="W41" s="11">
        <f t="shared" si="16"/>
        <v>0</v>
      </c>
      <c r="X41" s="13">
        <f t="shared" si="17"/>
        <v>0</v>
      </c>
      <c r="Y41" s="20">
        <f t="shared" si="12"/>
        <v>4032</v>
      </c>
      <c r="Z41" s="21">
        <v>4</v>
      </c>
      <c r="AA41" s="21" t="s">
        <v>10</v>
      </c>
      <c r="AB41" s="11">
        <f t="shared" si="8"/>
        <v>0</v>
      </c>
      <c r="AC41" s="13">
        <f t="shared" si="18"/>
        <v>0</v>
      </c>
    </row>
    <row r="42" spans="1:29" x14ac:dyDescent="0.25">
      <c r="A42" s="20" t="s">
        <v>104</v>
      </c>
      <c r="B42" s="21" t="s">
        <v>54</v>
      </c>
      <c r="C42" s="21" t="s">
        <v>13</v>
      </c>
      <c r="D42" s="21" t="s">
        <v>126</v>
      </c>
      <c r="E42" s="21" t="s">
        <v>127</v>
      </c>
      <c r="F42" s="21">
        <v>6</v>
      </c>
      <c r="G42" s="21" t="s">
        <v>10</v>
      </c>
      <c r="H42" s="11">
        <v>0</v>
      </c>
      <c r="I42" s="13">
        <f t="shared" si="0"/>
        <v>0</v>
      </c>
      <c r="J42" s="20">
        <f t="shared" si="9"/>
        <v>1033</v>
      </c>
      <c r="K42" s="21">
        <v>6</v>
      </c>
      <c r="L42" s="21" t="s">
        <v>10</v>
      </c>
      <c r="M42" s="12">
        <f t="shared" si="7"/>
        <v>0</v>
      </c>
      <c r="N42" s="13">
        <f t="shared" si="13"/>
        <v>0</v>
      </c>
      <c r="O42" s="20">
        <f t="shared" si="10"/>
        <v>2033</v>
      </c>
      <c r="P42" s="21">
        <v>6</v>
      </c>
      <c r="Q42" s="21" t="s">
        <v>10</v>
      </c>
      <c r="R42" s="11">
        <f t="shared" si="14"/>
        <v>0</v>
      </c>
      <c r="S42" s="13">
        <f t="shared" si="15"/>
        <v>0</v>
      </c>
      <c r="T42" s="20">
        <f t="shared" si="11"/>
        <v>3033</v>
      </c>
      <c r="U42" s="21">
        <v>6</v>
      </c>
      <c r="V42" s="21" t="s">
        <v>10</v>
      </c>
      <c r="W42" s="11">
        <f t="shared" si="16"/>
        <v>0</v>
      </c>
      <c r="X42" s="13">
        <f t="shared" si="17"/>
        <v>0</v>
      </c>
      <c r="Y42" s="20">
        <f t="shared" si="12"/>
        <v>4033</v>
      </c>
      <c r="Z42" s="21">
        <v>6</v>
      </c>
      <c r="AA42" s="21" t="s">
        <v>10</v>
      </c>
      <c r="AB42" s="11">
        <f t="shared" si="8"/>
        <v>0</v>
      </c>
      <c r="AC42" s="13">
        <f t="shared" si="18"/>
        <v>0</v>
      </c>
    </row>
    <row r="43" spans="1:29" x14ac:dyDescent="0.25">
      <c r="A43" s="20" t="s">
        <v>109</v>
      </c>
      <c r="B43" s="20" t="s">
        <v>129</v>
      </c>
      <c r="C43" s="20" t="s">
        <v>13</v>
      </c>
      <c r="D43" s="20" t="s">
        <v>123</v>
      </c>
      <c r="E43" s="20" t="s">
        <v>124</v>
      </c>
      <c r="F43" s="23">
        <v>4</v>
      </c>
      <c r="G43" s="21" t="s">
        <v>10</v>
      </c>
      <c r="H43" s="11">
        <v>0</v>
      </c>
      <c r="I43" s="13">
        <f t="shared" si="0"/>
        <v>0</v>
      </c>
      <c r="J43" s="20">
        <f t="shared" si="9"/>
        <v>1034</v>
      </c>
      <c r="K43" s="23">
        <v>4</v>
      </c>
      <c r="L43" s="21" t="s">
        <v>10</v>
      </c>
      <c r="M43" s="12">
        <f t="shared" si="7"/>
        <v>0</v>
      </c>
      <c r="N43" s="13">
        <f t="shared" si="13"/>
        <v>0</v>
      </c>
      <c r="O43" s="20">
        <f t="shared" si="10"/>
        <v>2034</v>
      </c>
      <c r="P43" s="23">
        <v>4</v>
      </c>
      <c r="Q43" s="21" t="s">
        <v>10</v>
      </c>
      <c r="R43" s="11">
        <f t="shared" si="14"/>
        <v>0</v>
      </c>
      <c r="S43" s="13">
        <f t="shared" si="15"/>
        <v>0</v>
      </c>
      <c r="T43" s="20">
        <f t="shared" si="11"/>
        <v>3034</v>
      </c>
      <c r="U43" s="23">
        <v>4</v>
      </c>
      <c r="V43" s="21" t="s">
        <v>10</v>
      </c>
      <c r="W43" s="11">
        <f t="shared" si="16"/>
        <v>0</v>
      </c>
      <c r="X43" s="13">
        <f t="shared" si="17"/>
        <v>0</v>
      </c>
      <c r="Y43" s="20">
        <f t="shared" si="12"/>
        <v>4034</v>
      </c>
      <c r="Z43" s="23">
        <v>4</v>
      </c>
      <c r="AA43" s="21" t="s">
        <v>10</v>
      </c>
      <c r="AB43" s="11">
        <f t="shared" si="8"/>
        <v>0</v>
      </c>
      <c r="AC43" s="13">
        <f t="shared" si="18"/>
        <v>0</v>
      </c>
    </row>
    <row r="44" spans="1:29" x14ac:dyDescent="0.25">
      <c r="A44" s="20" t="s">
        <v>112</v>
      </c>
      <c r="B44" s="20" t="s">
        <v>131</v>
      </c>
      <c r="C44" s="20" t="s">
        <v>50</v>
      </c>
      <c r="D44" s="20" t="s">
        <v>132</v>
      </c>
      <c r="E44" s="20" t="s">
        <v>133</v>
      </c>
      <c r="F44" s="23">
        <v>4</v>
      </c>
      <c r="G44" s="21" t="s">
        <v>10</v>
      </c>
      <c r="H44" s="11">
        <v>0</v>
      </c>
      <c r="I44" s="13">
        <f t="shared" si="0"/>
        <v>0</v>
      </c>
      <c r="J44" s="20">
        <f t="shared" si="9"/>
        <v>1035</v>
      </c>
      <c r="K44" s="23">
        <v>4</v>
      </c>
      <c r="L44" s="21" t="s">
        <v>10</v>
      </c>
      <c r="M44" s="12">
        <f t="shared" si="7"/>
        <v>0</v>
      </c>
      <c r="N44" s="13">
        <f t="shared" si="13"/>
        <v>0</v>
      </c>
      <c r="O44" s="20">
        <f t="shared" si="10"/>
        <v>2035</v>
      </c>
      <c r="P44" s="23">
        <v>4</v>
      </c>
      <c r="Q44" s="21" t="s">
        <v>10</v>
      </c>
      <c r="R44" s="11">
        <f t="shared" si="14"/>
        <v>0</v>
      </c>
      <c r="S44" s="13">
        <f t="shared" si="15"/>
        <v>0</v>
      </c>
      <c r="T44" s="20">
        <f t="shared" si="11"/>
        <v>3035</v>
      </c>
      <c r="U44" s="23">
        <v>4</v>
      </c>
      <c r="V44" s="21" t="s">
        <v>10</v>
      </c>
      <c r="W44" s="11">
        <f t="shared" si="16"/>
        <v>0</v>
      </c>
      <c r="X44" s="13">
        <f t="shared" si="17"/>
        <v>0</v>
      </c>
      <c r="Y44" s="20">
        <f t="shared" si="12"/>
        <v>4035</v>
      </c>
      <c r="Z44" s="23">
        <v>4</v>
      </c>
      <c r="AA44" s="21" t="s">
        <v>10</v>
      </c>
      <c r="AB44" s="11">
        <f t="shared" si="8"/>
        <v>0</v>
      </c>
      <c r="AC44" s="13">
        <f t="shared" si="18"/>
        <v>0</v>
      </c>
    </row>
    <row r="45" spans="1:29" x14ac:dyDescent="0.25">
      <c r="A45" s="20" t="s">
        <v>115</v>
      </c>
      <c r="B45" s="20" t="s">
        <v>54</v>
      </c>
      <c r="C45" s="20" t="s">
        <v>13</v>
      </c>
      <c r="D45" s="20" t="s">
        <v>135</v>
      </c>
      <c r="E45" s="20" t="s">
        <v>136</v>
      </c>
      <c r="F45" s="23">
        <v>68</v>
      </c>
      <c r="G45" s="21" t="s">
        <v>10</v>
      </c>
      <c r="H45" s="11">
        <v>0</v>
      </c>
      <c r="I45" s="13">
        <f t="shared" si="0"/>
        <v>0</v>
      </c>
      <c r="J45" s="20">
        <f t="shared" si="9"/>
        <v>1036</v>
      </c>
      <c r="K45" s="23">
        <v>68</v>
      </c>
      <c r="L45" s="21" t="s">
        <v>10</v>
      </c>
      <c r="M45" s="12">
        <f t="shared" si="7"/>
        <v>0</v>
      </c>
      <c r="N45" s="13">
        <f t="shared" si="13"/>
        <v>0</v>
      </c>
      <c r="O45" s="20">
        <f t="shared" si="10"/>
        <v>2036</v>
      </c>
      <c r="P45" s="23">
        <v>68</v>
      </c>
      <c r="Q45" s="21" t="s">
        <v>10</v>
      </c>
      <c r="R45" s="11">
        <f t="shared" si="14"/>
        <v>0</v>
      </c>
      <c r="S45" s="13">
        <f t="shared" si="15"/>
        <v>0</v>
      </c>
      <c r="T45" s="20">
        <f t="shared" si="11"/>
        <v>3036</v>
      </c>
      <c r="U45" s="23">
        <v>68</v>
      </c>
      <c r="V45" s="21" t="s">
        <v>10</v>
      </c>
      <c r="W45" s="11">
        <f t="shared" si="16"/>
        <v>0</v>
      </c>
      <c r="X45" s="13">
        <f t="shared" si="17"/>
        <v>0</v>
      </c>
      <c r="Y45" s="20">
        <f t="shared" si="12"/>
        <v>4036</v>
      </c>
      <c r="Z45" s="23">
        <v>68</v>
      </c>
      <c r="AA45" s="21" t="s">
        <v>10</v>
      </c>
      <c r="AB45" s="11">
        <f t="shared" si="8"/>
        <v>0</v>
      </c>
      <c r="AC45" s="13">
        <f t="shared" si="18"/>
        <v>0</v>
      </c>
    </row>
    <row r="46" spans="1:29" x14ac:dyDescent="0.25">
      <c r="A46" s="20" t="s">
        <v>119</v>
      </c>
      <c r="B46" s="20" t="s">
        <v>138</v>
      </c>
      <c r="C46" s="20" t="s">
        <v>13</v>
      </c>
      <c r="D46" s="20" t="s">
        <v>139</v>
      </c>
      <c r="E46" s="20" t="s">
        <v>140</v>
      </c>
      <c r="F46" s="23">
        <v>50</v>
      </c>
      <c r="G46" s="21" t="s">
        <v>10</v>
      </c>
      <c r="H46" s="11">
        <v>0</v>
      </c>
      <c r="I46" s="13">
        <f t="shared" si="0"/>
        <v>0</v>
      </c>
      <c r="J46" s="20">
        <f t="shared" si="9"/>
        <v>1037</v>
      </c>
      <c r="K46" s="23">
        <v>50</v>
      </c>
      <c r="L46" s="21" t="s">
        <v>10</v>
      </c>
      <c r="M46" s="12">
        <f t="shared" si="7"/>
        <v>0</v>
      </c>
      <c r="N46" s="13">
        <f t="shared" si="13"/>
        <v>0</v>
      </c>
      <c r="O46" s="20">
        <f t="shared" si="10"/>
        <v>2037</v>
      </c>
      <c r="P46" s="23">
        <v>50</v>
      </c>
      <c r="Q46" s="21" t="s">
        <v>10</v>
      </c>
      <c r="R46" s="11">
        <f t="shared" si="14"/>
        <v>0</v>
      </c>
      <c r="S46" s="13">
        <f t="shared" si="15"/>
        <v>0</v>
      </c>
      <c r="T46" s="20">
        <f t="shared" si="11"/>
        <v>3037</v>
      </c>
      <c r="U46" s="23">
        <v>50</v>
      </c>
      <c r="V46" s="21" t="s">
        <v>10</v>
      </c>
      <c r="W46" s="11">
        <f t="shared" si="16"/>
        <v>0</v>
      </c>
      <c r="X46" s="13">
        <f t="shared" si="17"/>
        <v>0</v>
      </c>
      <c r="Y46" s="20">
        <f t="shared" si="12"/>
        <v>4037</v>
      </c>
      <c r="Z46" s="23">
        <v>50</v>
      </c>
      <c r="AA46" s="21" t="s">
        <v>10</v>
      </c>
      <c r="AB46" s="11">
        <f t="shared" si="8"/>
        <v>0</v>
      </c>
      <c r="AC46" s="13">
        <f t="shared" si="18"/>
        <v>0</v>
      </c>
    </row>
    <row r="47" spans="1:29" x14ac:dyDescent="0.25">
      <c r="A47" s="20" t="s">
        <v>122</v>
      </c>
      <c r="B47" s="20" t="s">
        <v>142</v>
      </c>
      <c r="C47" s="20" t="s">
        <v>50</v>
      </c>
      <c r="D47" s="20" t="s">
        <v>143</v>
      </c>
      <c r="E47" s="20" t="s">
        <v>144</v>
      </c>
      <c r="F47" s="23">
        <v>56</v>
      </c>
      <c r="G47" s="21" t="s">
        <v>10</v>
      </c>
      <c r="H47" s="11">
        <v>0</v>
      </c>
      <c r="I47" s="13">
        <f t="shared" si="0"/>
        <v>0</v>
      </c>
      <c r="J47" s="20">
        <f t="shared" si="9"/>
        <v>1038</v>
      </c>
      <c r="K47" s="23">
        <v>56</v>
      </c>
      <c r="L47" s="21" t="s">
        <v>10</v>
      </c>
      <c r="M47" s="12">
        <f t="shared" si="7"/>
        <v>0</v>
      </c>
      <c r="N47" s="13">
        <f t="shared" si="13"/>
        <v>0</v>
      </c>
      <c r="O47" s="20">
        <f t="shared" si="10"/>
        <v>2038</v>
      </c>
      <c r="P47" s="23">
        <v>56</v>
      </c>
      <c r="Q47" s="21" t="s">
        <v>10</v>
      </c>
      <c r="R47" s="11">
        <f t="shared" si="14"/>
        <v>0</v>
      </c>
      <c r="S47" s="13">
        <f t="shared" si="15"/>
        <v>0</v>
      </c>
      <c r="T47" s="20">
        <f t="shared" si="11"/>
        <v>3038</v>
      </c>
      <c r="U47" s="23">
        <v>56</v>
      </c>
      <c r="V47" s="21" t="s">
        <v>10</v>
      </c>
      <c r="W47" s="11">
        <f t="shared" si="16"/>
        <v>0</v>
      </c>
      <c r="X47" s="13">
        <f t="shared" si="17"/>
        <v>0</v>
      </c>
      <c r="Y47" s="20">
        <f t="shared" si="12"/>
        <v>4038</v>
      </c>
      <c r="Z47" s="23">
        <v>56</v>
      </c>
      <c r="AA47" s="21" t="s">
        <v>10</v>
      </c>
      <c r="AB47" s="11">
        <f t="shared" si="8"/>
        <v>0</v>
      </c>
      <c r="AC47" s="13">
        <f t="shared" si="18"/>
        <v>0</v>
      </c>
    </row>
    <row r="48" spans="1:29" x14ac:dyDescent="0.25">
      <c r="A48" s="20" t="s">
        <v>125</v>
      </c>
      <c r="B48" s="20" t="s">
        <v>146</v>
      </c>
      <c r="C48" s="20" t="s">
        <v>13</v>
      </c>
      <c r="D48" s="20" t="s">
        <v>147</v>
      </c>
      <c r="E48" s="20" t="s">
        <v>148</v>
      </c>
      <c r="F48" s="23">
        <v>28</v>
      </c>
      <c r="G48" s="21" t="s">
        <v>10</v>
      </c>
      <c r="H48" s="11">
        <v>0</v>
      </c>
      <c r="I48" s="13">
        <f t="shared" si="0"/>
        <v>0</v>
      </c>
      <c r="J48" s="20">
        <f t="shared" si="9"/>
        <v>1039</v>
      </c>
      <c r="K48" s="23">
        <v>28</v>
      </c>
      <c r="L48" s="21" t="s">
        <v>10</v>
      </c>
      <c r="M48" s="12">
        <f t="shared" si="7"/>
        <v>0</v>
      </c>
      <c r="N48" s="13">
        <f t="shared" si="13"/>
        <v>0</v>
      </c>
      <c r="O48" s="20">
        <f t="shared" si="10"/>
        <v>2039</v>
      </c>
      <c r="P48" s="23">
        <v>28</v>
      </c>
      <c r="Q48" s="21" t="s">
        <v>10</v>
      </c>
      <c r="R48" s="11">
        <f t="shared" si="14"/>
        <v>0</v>
      </c>
      <c r="S48" s="13">
        <f t="shared" si="15"/>
        <v>0</v>
      </c>
      <c r="T48" s="20">
        <f t="shared" si="11"/>
        <v>3039</v>
      </c>
      <c r="U48" s="23">
        <v>28</v>
      </c>
      <c r="V48" s="21" t="s">
        <v>10</v>
      </c>
      <c r="W48" s="11">
        <f t="shared" si="16"/>
        <v>0</v>
      </c>
      <c r="X48" s="13">
        <f t="shared" si="17"/>
        <v>0</v>
      </c>
      <c r="Y48" s="20">
        <f t="shared" si="12"/>
        <v>4039</v>
      </c>
      <c r="Z48" s="23">
        <v>28</v>
      </c>
      <c r="AA48" s="21" t="s">
        <v>10</v>
      </c>
      <c r="AB48" s="11">
        <f t="shared" si="8"/>
        <v>0</v>
      </c>
      <c r="AC48" s="13">
        <f t="shared" si="18"/>
        <v>0</v>
      </c>
    </row>
    <row r="49" spans="1:29" x14ac:dyDescent="0.25">
      <c r="A49" s="20" t="s">
        <v>128</v>
      </c>
      <c r="B49" s="20" t="s">
        <v>150</v>
      </c>
      <c r="C49" s="20" t="s">
        <v>13</v>
      </c>
      <c r="D49" s="20" t="s">
        <v>151</v>
      </c>
      <c r="E49" s="20" t="s">
        <v>152</v>
      </c>
      <c r="F49" s="21">
        <v>28</v>
      </c>
      <c r="G49" s="21" t="s">
        <v>10</v>
      </c>
      <c r="H49" s="11">
        <v>0</v>
      </c>
      <c r="I49" s="13">
        <f t="shared" si="0"/>
        <v>0</v>
      </c>
      <c r="J49" s="20">
        <f t="shared" si="9"/>
        <v>1040</v>
      </c>
      <c r="K49" s="21">
        <v>28</v>
      </c>
      <c r="L49" s="21" t="s">
        <v>10</v>
      </c>
      <c r="M49" s="12">
        <f t="shared" si="7"/>
        <v>0</v>
      </c>
      <c r="N49" s="13">
        <f t="shared" si="13"/>
        <v>0</v>
      </c>
      <c r="O49" s="20">
        <f t="shared" si="10"/>
        <v>2040</v>
      </c>
      <c r="P49" s="21">
        <v>28</v>
      </c>
      <c r="Q49" s="21" t="s">
        <v>10</v>
      </c>
      <c r="R49" s="11">
        <f t="shared" si="14"/>
        <v>0</v>
      </c>
      <c r="S49" s="13">
        <f t="shared" si="15"/>
        <v>0</v>
      </c>
      <c r="T49" s="20">
        <f t="shared" si="11"/>
        <v>3040</v>
      </c>
      <c r="U49" s="21">
        <v>28</v>
      </c>
      <c r="V49" s="21" t="s">
        <v>10</v>
      </c>
      <c r="W49" s="11">
        <f t="shared" si="16"/>
        <v>0</v>
      </c>
      <c r="X49" s="13">
        <f t="shared" si="17"/>
        <v>0</v>
      </c>
      <c r="Y49" s="20">
        <f t="shared" si="12"/>
        <v>4040</v>
      </c>
      <c r="Z49" s="21">
        <v>28</v>
      </c>
      <c r="AA49" s="21" t="s">
        <v>10</v>
      </c>
      <c r="AB49" s="11">
        <f t="shared" si="8"/>
        <v>0</v>
      </c>
      <c r="AC49" s="13">
        <f t="shared" si="18"/>
        <v>0</v>
      </c>
    </row>
    <row r="50" spans="1:29" x14ac:dyDescent="0.25">
      <c r="A50" s="20" t="s">
        <v>130</v>
      </c>
      <c r="B50" s="22" t="s">
        <v>153</v>
      </c>
      <c r="C50" s="22" t="s">
        <v>154</v>
      </c>
      <c r="D50" s="22" t="s">
        <v>155</v>
      </c>
      <c r="E50" s="22" t="s">
        <v>156</v>
      </c>
      <c r="F50" s="23">
        <v>6</v>
      </c>
      <c r="G50" s="21" t="s">
        <v>10</v>
      </c>
      <c r="H50" s="11">
        <v>0</v>
      </c>
      <c r="I50" s="13">
        <f t="shared" si="0"/>
        <v>0</v>
      </c>
      <c r="J50" s="20">
        <f t="shared" si="9"/>
        <v>1041</v>
      </c>
      <c r="K50" s="23">
        <v>6</v>
      </c>
      <c r="L50" s="21" t="s">
        <v>10</v>
      </c>
      <c r="M50" s="12">
        <f t="shared" si="7"/>
        <v>0</v>
      </c>
      <c r="N50" s="13">
        <f t="shared" si="13"/>
        <v>0</v>
      </c>
      <c r="O50" s="20">
        <f t="shared" si="10"/>
        <v>2041</v>
      </c>
      <c r="P50" s="23">
        <v>6</v>
      </c>
      <c r="Q50" s="21" t="s">
        <v>10</v>
      </c>
      <c r="R50" s="11">
        <f t="shared" si="14"/>
        <v>0</v>
      </c>
      <c r="S50" s="13">
        <f t="shared" si="15"/>
        <v>0</v>
      </c>
      <c r="T50" s="20">
        <f t="shared" si="11"/>
        <v>3041</v>
      </c>
      <c r="U50" s="23">
        <v>6</v>
      </c>
      <c r="V50" s="21" t="s">
        <v>10</v>
      </c>
      <c r="W50" s="11">
        <f t="shared" si="16"/>
        <v>0</v>
      </c>
      <c r="X50" s="13">
        <f t="shared" si="17"/>
        <v>0</v>
      </c>
      <c r="Y50" s="20">
        <f t="shared" si="12"/>
        <v>4041</v>
      </c>
      <c r="Z50" s="23">
        <v>6</v>
      </c>
      <c r="AA50" s="21" t="s">
        <v>10</v>
      </c>
      <c r="AB50" s="11">
        <f t="shared" si="8"/>
        <v>0</v>
      </c>
      <c r="AC50" s="13">
        <f t="shared" si="18"/>
        <v>0</v>
      </c>
    </row>
    <row r="51" spans="1:29" x14ac:dyDescent="0.25">
      <c r="A51" s="20" t="s">
        <v>134</v>
      </c>
      <c r="B51" s="22" t="s">
        <v>129</v>
      </c>
      <c r="C51" s="22" t="s">
        <v>13</v>
      </c>
      <c r="D51" s="22" t="s">
        <v>157</v>
      </c>
      <c r="E51" s="22" t="s">
        <v>158</v>
      </c>
      <c r="F51" s="23">
        <v>10</v>
      </c>
      <c r="G51" s="21" t="s">
        <v>10</v>
      </c>
      <c r="H51" s="11">
        <v>0</v>
      </c>
      <c r="I51" s="13">
        <f t="shared" si="0"/>
        <v>0</v>
      </c>
      <c r="J51" s="20">
        <f t="shared" si="9"/>
        <v>1042</v>
      </c>
      <c r="K51" s="23">
        <v>10</v>
      </c>
      <c r="L51" s="21" t="s">
        <v>10</v>
      </c>
      <c r="M51" s="12">
        <f t="shared" si="7"/>
        <v>0</v>
      </c>
      <c r="N51" s="13">
        <f t="shared" si="13"/>
        <v>0</v>
      </c>
      <c r="O51" s="20">
        <f t="shared" si="10"/>
        <v>2042</v>
      </c>
      <c r="P51" s="23">
        <v>10</v>
      </c>
      <c r="Q51" s="21" t="s">
        <v>10</v>
      </c>
      <c r="R51" s="11">
        <f t="shared" si="14"/>
        <v>0</v>
      </c>
      <c r="S51" s="13">
        <f t="shared" si="15"/>
        <v>0</v>
      </c>
      <c r="T51" s="20">
        <f t="shared" si="11"/>
        <v>3042</v>
      </c>
      <c r="U51" s="23">
        <v>10</v>
      </c>
      <c r="V51" s="21" t="s">
        <v>10</v>
      </c>
      <c r="W51" s="11">
        <f t="shared" si="16"/>
        <v>0</v>
      </c>
      <c r="X51" s="13">
        <f t="shared" si="17"/>
        <v>0</v>
      </c>
      <c r="Y51" s="20">
        <f t="shared" si="12"/>
        <v>4042</v>
      </c>
      <c r="Z51" s="23">
        <v>10</v>
      </c>
      <c r="AA51" s="21" t="s">
        <v>10</v>
      </c>
      <c r="AB51" s="11">
        <f t="shared" si="8"/>
        <v>0</v>
      </c>
      <c r="AC51" s="13">
        <f t="shared" si="18"/>
        <v>0</v>
      </c>
    </row>
    <row r="52" spans="1:29" x14ac:dyDescent="0.25">
      <c r="A52" s="20" t="s">
        <v>137</v>
      </c>
      <c r="B52" s="22" t="s">
        <v>159</v>
      </c>
      <c r="C52" s="22" t="s">
        <v>160</v>
      </c>
      <c r="D52" s="22" t="s">
        <v>161</v>
      </c>
      <c r="E52" s="22" t="s">
        <v>162</v>
      </c>
      <c r="F52" s="23">
        <v>8</v>
      </c>
      <c r="G52" s="21" t="s">
        <v>10</v>
      </c>
      <c r="H52" s="11">
        <v>0</v>
      </c>
      <c r="I52" s="13">
        <f t="shared" si="0"/>
        <v>0</v>
      </c>
      <c r="J52" s="20">
        <f t="shared" si="9"/>
        <v>1043</v>
      </c>
      <c r="K52" s="23">
        <v>8</v>
      </c>
      <c r="L52" s="21" t="s">
        <v>10</v>
      </c>
      <c r="M52" s="12">
        <f t="shared" si="7"/>
        <v>0</v>
      </c>
      <c r="N52" s="13">
        <f t="shared" si="13"/>
        <v>0</v>
      </c>
      <c r="O52" s="20">
        <f t="shared" si="10"/>
        <v>2043</v>
      </c>
      <c r="P52" s="23">
        <v>8</v>
      </c>
      <c r="Q52" s="21" t="s">
        <v>10</v>
      </c>
      <c r="R52" s="11">
        <f t="shared" si="14"/>
        <v>0</v>
      </c>
      <c r="S52" s="13">
        <f t="shared" si="15"/>
        <v>0</v>
      </c>
      <c r="T52" s="20">
        <f t="shared" si="11"/>
        <v>3043</v>
      </c>
      <c r="U52" s="23">
        <v>8</v>
      </c>
      <c r="V52" s="21" t="s">
        <v>10</v>
      </c>
      <c r="W52" s="11">
        <f t="shared" si="16"/>
        <v>0</v>
      </c>
      <c r="X52" s="13">
        <f t="shared" si="17"/>
        <v>0</v>
      </c>
      <c r="Y52" s="20">
        <f t="shared" si="12"/>
        <v>4043</v>
      </c>
      <c r="Z52" s="23">
        <v>8</v>
      </c>
      <c r="AA52" s="21" t="s">
        <v>10</v>
      </c>
      <c r="AB52" s="11">
        <f t="shared" si="8"/>
        <v>0</v>
      </c>
      <c r="AC52" s="13">
        <f t="shared" si="18"/>
        <v>0</v>
      </c>
    </row>
    <row r="53" spans="1:29" x14ac:dyDescent="0.25">
      <c r="A53" s="20" t="s">
        <v>141</v>
      </c>
      <c r="B53" s="22" t="s">
        <v>163</v>
      </c>
      <c r="C53" s="22" t="s">
        <v>164</v>
      </c>
      <c r="D53" s="22" t="s">
        <v>165</v>
      </c>
      <c r="E53" s="22" t="s">
        <v>166</v>
      </c>
      <c r="F53" s="23">
        <v>42</v>
      </c>
      <c r="G53" s="21" t="s">
        <v>10</v>
      </c>
      <c r="H53" s="11">
        <v>0</v>
      </c>
      <c r="I53" s="13">
        <f t="shared" si="0"/>
        <v>0</v>
      </c>
      <c r="J53" s="20">
        <f t="shared" si="9"/>
        <v>1044</v>
      </c>
      <c r="K53" s="23">
        <v>42</v>
      </c>
      <c r="L53" s="21" t="s">
        <v>10</v>
      </c>
      <c r="M53" s="12">
        <f t="shared" si="7"/>
        <v>0</v>
      </c>
      <c r="N53" s="13">
        <f t="shared" si="13"/>
        <v>0</v>
      </c>
      <c r="O53" s="20">
        <f t="shared" si="10"/>
        <v>2044</v>
      </c>
      <c r="P53" s="23">
        <v>42</v>
      </c>
      <c r="Q53" s="21" t="s">
        <v>10</v>
      </c>
      <c r="R53" s="11">
        <f t="shared" si="14"/>
        <v>0</v>
      </c>
      <c r="S53" s="13">
        <f t="shared" si="15"/>
        <v>0</v>
      </c>
      <c r="T53" s="20">
        <f t="shared" si="11"/>
        <v>3044</v>
      </c>
      <c r="U53" s="23">
        <v>42</v>
      </c>
      <c r="V53" s="21" t="s">
        <v>10</v>
      </c>
      <c r="W53" s="11">
        <f t="shared" si="16"/>
        <v>0</v>
      </c>
      <c r="X53" s="13">
        <f t="shared" si="17"/>
        <v>0</v>
      </c>
      <c r="Y53" s="20">
        <f t="shared" si="12"/>
        <v>4044</v>
      </c>
      <c r="Z53" s="23">
        <v>42</v>
      </c>
      <c r="AA53" s="21" t="s">
        <v>10</v>
      </c>
      <c r="AB53" s="11">
        <f t="shared" si="8"/>
        <v>0</v>
      </c>
      <c r="AC53" s="13">
        <f t="shared" si="18"/>
        <v>0</v>
      </c>
    </row>
    <row r="54" spans="1:29" x14ac:dyDescent="0.25">
      <c r="A54" s="20" t="s">
        <v>145</v>
      </c>
      <c r="B54" s="22" t="s">
        <v>167</v>
      </c>
      <c r="C54" s="22" t="s">
        <v>168</v>
      </c>
      <c r="D54" s="22" t="s">
        <v>169</v>
      </c>
      <c r="E54" s="22" t="s">
        <v>170</v>
      </c>
      <c r="F54" s="23">
        <v>10</v>
      </c>
      <c r="G54" s="21" t="s">
        <v>10</v>
      </c>
      <c r="H54" s="11">
        <v>0</v>
      </c>
      <c r="I54" s="13">
        <f t="shared" si="0"/>
        <v>0</v>
      </c>
      <c r="J54" s="20">
        <f t="shared" si="9"/>
        <v>1045</v>
      </c>
      <c r="K54" s="23">
        <v>10</v>
      </c>
      <c r="L54" s="21" t="s">
        <v>10</v>
      </c>
      <c r="M54" s="12">
        <f t="shared" si="7"/>
        <v>0</v>
      </c>
      <c r="N54" s="13">
        <f t="shared" si="13"/>
        <v>0</v>
      </c>
      <c r="O54" s="20">
        <f t="shared" si="10"/>
        <v>2045</v>
      </c>
      <c r="P54" s="23">
        <v>10</v>
      </c>
      <c r="Q54" s="21" t="s">
        <v>10</v>
      </c>
      <c r="R54" s="11">
        <f t="shared" si="14"/>
        <v>0</v>
      </c>
      <c r="S54" s="13">
        <f t="shared" si="15"/>
        <v>0</v>
      </c>
      <c r="T54" s="20">
        <f t="shared" si="11"/>
        <v>3045</v>
      </c>
      <c r="U54" s="23">
        <v>10</v>
      </c>
      <c r="V54" s="21" t="s">
        <v>10</v>
      </c>
      <c r="W54" s="11">
        <f t="shared" si="16"/>
        <v>0</v>
      </c>
      <c r="X54" s="13">
        <f t="shared" si="17"/>
        <v>0</v>
      </c>
      <c r="Y54" s="20">
        <f t="shared" si="12"/>
        <v>4045</v>
      </c>
      <c r="Z54" s="23">
        <v>10</v>
      </c>
      <c r="AA54" s="21" t="s">
        <v>10</v>
      </c>
      <c r="AB54" s="11">
        <f t="shared" si="8"/>
        <v>0</v>
      </c>
      <c r="AC54" s="13">
        <f t="shared" si="18"/>
        <v>0</v>
      </c>
    </row>
    <row r="55" spans="1:29" x14ac:dyDescent="0.25">
      <c r="A55" s="20" t="s">
        <v>149</v>
      </c>
      <c r="B55" s="22" t="s">
        <v>129</v>
      </c>
      <c r="C55" s="22" t="s">
        <v>13</v>
      </c>
      <c r="D55" s="22" t="s">
        <v>171</v>
      </c>
      <c r="E55" s="22" t="s">
        <v>172</v>
      </c>
      <c r="F55" s="23">
        <v>4</v>
      </c>
      <c r="G55" s="21" t="s">
        <v>10</v>
      </c>
      <c r="H55" s="11">
        <v>0</v>
      </c>
      <c r="I55" s="13">
        <f t="shared" si="0"/>
        <v>0</v>
      </c>
      <c r="J55" s="20">
        <f t="shared" si="9"/>
        <v>1046</v>
      </c>
      <c r="K55" s="23">
        <v>4</v>
      </c>
      <c r="L55" s="21" t="s">
        <v>10</v>
      </c>
      <c r="M55" s="12">
        <f t="shared" si="7"/>
        <v>0</v>
      </c>
      <c r="N55" s="13">
        <f t="shared" si="13"/>
        <v>0</v>
      </c>
      <c r="O55" s="20">
        <f t="shared" si="10"/>
        <v>2046</v>
      </c>
      <c r="P55" s="23">
        <v>4</v>
      </c>
      <c r="Q55" s="21" t="s">
        <v>10</v>
      </c>
      <c r="R55" s="11">
        <f t="shared" si="14"/>
        <v>0</v>
      </c>
      <c r="S55" s="13">
        <f t="shared" si="15"/>
        <v>0</v>
      </c>
      <c r="T55" s="20">
        <f t="shared" si="11"/>
        <v>3046</v>
      </c>
      <c r="U55" s="23">
        <v>4</v>
      </c>
      <c r="V55" s="21" t="s">
        <v>10</v>
      </c>
      <c r="W55" s="11">
        <f t="shared" si="16"/>
        <v>0</v>
      </c>
      <c r="X55" s="13">
        <f t="shared" si="17"/>
        <v>0</v>
      </c>
      <c r="Y55" s="20">
        <f t="shared" si="12"/>
        <v>4046</v>
      </c>
      <c r="Z55" s="23">
        <v>4</v>
      </c>
      <c r="AA55" s="21" t="s">
        <v>10</v>
      </c>
      <c r="AB55" s="11">
        <f t="shared" si="8"/>
        <v>0</v>
      </c>
      <c r="AC55" s="13">
        <f t="shared" si="18"/>
        <v>0</v>
      </c>
    </row>
    <row r="56" spans="1:29" x14ac:dyDescent="0.25">
      <c r="A56" s="20"/>
      <c r="B56" s="22"/>
      <c r="C56" s="22"/>
      <c r="D56" s="22"/>
      <c r="E56" s="22"/>
      <c r="F56" s="23"/>
      <c r="G56" s="22"/>
      <c r="H56" s="11"/>
      <c r="I56" s="13"/>
      <c r="J56" s="13"/>
      <c r="K56" s="23"/>
      <c r="L56" s="22"/>
      <c r="M56" s="12"/>
      <c r="N56" s="13"/>
      <c r="O56" s="13"/>
      <c r="P56" s="23"/>
      <c r="Q56" s="22"/>
      <c r="R56" s="11"/>
      <c r="S56" s="13"/>
      <c r="T56" s="13"/>
      <c r="U56" s="23"/>
      <c r="V56" s="22"/>
      <c r="W56" s="11"/>
      <c r="X56" s="13"/>
      <c r="Y56" s="13"/>
      <c r="Z56" s="23"/>
      <c r="AA56" s="22"/>
      <c r="AB56" s="11"/>
      <c r="AC56" s="13"/>
    </row>
    <row r="57" spans="1:29" x14ac:dyDescent="0.25">
      <c r="D57" s="16"/>
      <c r="F57" s="26"/>
      <c r="H57" s="53" t="s">
        <v>173</v>
      </c>
      <c r="I57" s="13">
        <f>SUM(I10:I55)</f>
        <v>0</v>
      </c>
      <c r="J57" s="13"/>
      <c r="K57" s="26"/>
      <c r="M57" s="53" t="s">
        <v>174</v>
      </c>
      <c r="N57" s="13">
        <f>SUM(N10:N55)</f>
        <v>0</v>
      </c>
      <c r="O57" s="13"/>
      <c r="P57" s="26"/>
      <c r="R57" s="53" t="s">
        <v>194</v>
      </c>
      <c r="S57" s="13">
        <f>SUM(S10:S55)</f>
        <v>0</v>
      </c>
      <c r="T57" s="13"/>
      <c r="U57" s="26"/>
      <c r="W57" s="53" t="s">
        <v>195</v>
      </c>
      <c r="X57" s="13">
        <f>SUM(X10:X55)</f>
        <v>0</v>
      </c>
      <c r="Y57" s="13"/>
      <c r="Z57" s="26"/>
      <c r="AB57" s="53" t="s">
        <v>196</v>
      </c>
      <c r="AC57" s="13">
        <f>SUM(AC10:AC55)</f>
        <v>0</v>
      </c>
    </row>
    <row r="58" spans="1:29" x14ac:dyDescent="0.25">
      <c r="D58" s="16"/>
      <c r="I58" s="13"/>
      <c r="J58" s="13"/>
      <c r="K58" s="6"/>
      <c r="N58" s="13"/>
      <c r="O58" s="13"/>
      <c r="P58" s="6"/>
      <c r="S58" s="13"/>
      <c r="T58" s="13"/>
      <c r="U58" s="6"/>
      <c r="X58" s="13"/>
      <c r="Y58" s="13"/>
      <c r="Z58" s="6"/>
      <c r="AC58" s="13"/>
    </row>
    <row r="59" spans="1:29" x14ac:dyDescent="0.25">
      <c r="D59" s="16"/>
      <c r="Y59" s="41" t="s">
        <v>175</v>
      </c>
      <c r="Z59" s="42"/>
      <c r="AA59" s="42"/>
      <c r="AB59" s="43"/>
      <c r="AC59" s="15">
        <f>SUM(I57:AC57)</f>
        <v>0</v>
      </c>
    </row>
    <row r="60" spans="1:29" x14ac:dyDescent="0.25">
      <c r="B60" s="27"/>
      <c r="C60" s="28"/>
      <c r="D60" s="28"/>
      <c r="E60" s="28"/>
      <c r="G60" s="29"/>
      <c r="L60" s="29"/>
      <c r="Q60" s="29"/>
      <c r="V60" s="29"/>
      <c r="AA60" s="29"/>
    </row>
    <row r="61" spans="1:29" x14ac:dyDescent="0.25">
      <c r="B61" s="30"/>
      <c r="C61" s="31"/>
      <c r="D61" s="31"/>
      <c r="E61" s="31"/>
      <c r="G61" s="32"/>
      <c r="L61" s="32"/>
      <c r="Q61" s="32"/>
      <c r="V61" s="32"/>
      <c r="AA61" s="32"/>
    </row>
    <row r="62" spans="1:29" x14ac:dyDescent="0.25">
      <c r="B62" s="30"/>
      <c r="C62" s="31"/>
      <c r="D62" s="31"/>
      <c r="E62" s="31"/>
      <c r="G62" s="32"/>
      <c r="L62" s="32"/>
      <c r="Q62" s="32"/>
      <c r="V62" s="32"/>
      <c r="AA62" s="32"/>
    </row>
    <row r="63" spans="1:29" x14ac:dyDescent="0.25">
      <c r="B63" s="30"/>
      <c r="C63" s="31"/>
      <c r="D63" s="31"/>
      <c r="E63" s="31"/>
      <c r="G63" s="32"/>
      <c r="L63" s="32"/>
      <c r="Q63" s="32"/>
      <c r="V63" s="32"/>
      <c r="AA63" s="32"/>
    </row>
    <row r="64" spans="1:29" x14ac:dyDescent="0.25">
      <c r="B64" s="30"/>
      <c r="C64" s="31"/>
      <c r="D64" s="31"/>
      <c r="E64" s="31"/>
      <c r="G64" s="32"/>
      <c r="L64" s="32"/>
      <c r="Q64" s="32"/>
      <c r="V64" s="32"/>
      <c r="AA64" s="32"/>
    </row>
    <row r="65" spans="2:27" x14ac:dyDescent="0.25">
      <c r="B65" s="33"/>
      <c r="C65" s="34"/>
      <c r="D65" s="34"/>
      <c r="E65" s="34"/>
      <c r="G65" s="35"/>
      <c r="L65" s="35"/>
      <c r="Q65" s="35"/>
      <c r="V65" s="35"/>
      <c r="AA65" s="35"/>
    </row>
    <row r="66" spans="2:27" x14ac:dyDescent="0.25">
      <c r="D66" s="16"/>
    </row>
    <row r="67" spans="2:27" x14ac:dyDescent="0.25">
      <c r="B67" s="44"/>
      <c r="D67" s="16"/>
    </row>
    <row r="68" spans="2:27" x14ac:dyDescent="0.25">
      <c r="B68" s="45"/>
      <c r="D68" s="16"/>
    </row>
    <row r="69" spans="2:27" x14ac:dyDescent="0.25">
      <c r="B69" s="45"/>
      <c r="D69" s="16"/>
    </row>
    <row r="70" spans="2:27" x14ac:dyDescent="0.25">
      <c r="B70" s="46"/>
      <c r="D70" s="16"/>
    </row>
    <row r="71" spans="2:27" x14ac:dyDescent="0.25">
      <c r="D71" s="16"/>
    </row>
    <row r="72" spans="2:27" x14ac:dyDescent="0.25">
      <c r="D72" s="16"/>
    </row>
    <row r="73" spans="2:27" x14ac:dyDescent="0.25">
      <c r="D73" s="16"/>
    </row>
    <row r="74" spans="2:27" x14ac:dyDescent="0.25">
      <c r="D74" s="16"/>
    </row>
    <row r="75" spans="2:27" x14ac:dyDescent="0.25">
      <c r="D75" s="16"/>
    </row>
    <row r="76" spans="2:27" x14ac:dyDescent="0.25">
      <c r="D76" s="16"/>
    </row>
    <row r="77" spans="2:27" x14ac:dyDescent="0.25">
      <c r="D77" s="16"/>
    </row>
    <row r="78" spans="2:27" x14ac:dyDescent="0.25">
      <c r="D78" s="16"/>
    </row>
    <row r="79" spans="2:27" x14ac:dyDescent="0.25">
      <c r="D79" s="16"/>
    </row>
    <row r="80" spans="2:27" x14ac:dyDescent="0.25">
      <c r="D80" s="16"/>
    </row>
    <row r="81" spans="4:4" x14ac:dyDescent="0.25">
      <c r="D81" s="16"/>
    </row>
    <row r="82" spans="4:4" x14ac:dyDescent="0.25">
      <c r="D82" s="16"/>
    </row>
    <row r="83" spans="4:4" x14ac:dyDescent="0.25">
      <c r="D83" s="16"/>
    </row>
    <row r="84" spans="4:4" x14ac:dyDescent="0.25">
      <c r="D84" s="16"/>
    </row>
    <row r="85" spans="4:4" x14ac:dyDescent="0.25">
      <c r="D85" s="16"/>
    </row>
    <row r="86" spans="4:4" x14ac:dyDescent="0.25">
      <c r="D86" s="16"/>
    </row>
    <row r="87" spans="4:4" x14ac:dyDescent="0.25">
      <c r="D87" s="16"/>
    </row>
    <row r="88" spans="4:4" x14ac:dyDescent="0.25">
      <c r="D88" s="16"/>
    </row>
    <row r="89" spans="4:4" x14ac:dyDescent="0.25">
      <c r="D89" s="16"/>
    </row>
    <row r="90" spans="4:4" x14ac:dyDescent="0.25">
      <c r="D90" s="16"/>
    </row>
    <row r="91" spans="4:4" x14ac:dyDescent="0.25">
      <c r="D91" s="16"/>
    </row>
    <row r="92" spans="4:4" x14ac:dyDescent="0.25">
      <c r="D92" s="16"/>
    </row>
    <row r="93" spans="4:4" x14ac:dyDescent="0.25">
      <c r="D93" s="16"/>
    </row>
    <row r="94" spans="4:4" x14ac:dyDescent="0.25">
      <c r="D94" s="16"/>
    </row>
    <row r="95" spans="4:4" x14ac:dyDescent="0.25">
      <c r="D95" s="16"/>
    </row>
    <row r="96" spans="4:4" x14ac:dyDescent="0.25">
      <c r="D96" s="16"/>
    </row>
    <row r="97" spans="4:4" x14ac:dyDescent="0.25">
      <c r="D97" s="16"/>
    </row>
    <row r="98" spans="4:4" x14ac:dyDescent="0.25">
      <c r="D98" s="16"/>
    </row>
    <row r="99" spans="4:4" x14ac:dyDescent="0.25">
      <c r="D99" s="16"/>
    </row>
    <row r="100" spans="4:4" x14ac:dyDescent="0.25">
      <c r="D100" s="16"/>
    </row>
    <row r="101" spans="4:4" x14ac:dyDescent="0.25">
      <c r="D101" s="16"/>
    </row>
    <row r="102" spans="4:4" x14ac:dyDescent="0.25">
      <c r="D102" s="16"/>
    </row>
    <row r="103" spans="4:4" x14ac:dyDescent="0.25">
      <c r="D103" s="16"/>
    </row>
    <row r="104" spans="4:4" x14ac:dyDescent="0.25">
      <c r="D104" s="16"/>
    </row>
    <row r="105" spans="4:4" x14ac:dyDescent="0.25">
      <c r="D105" s="16"/>
    </row>
    <row r="106" spans="4:4" x14ac:dyDescent="0.25">
      <c r="D106" s="16"/>
    </row>
    <row r="107" spans="4:4" x14ac:dyDescent="0.25">
      <c r="D107" s="16"/>
    </row>
    <row r="108" spans="4:4" x14ac:dyDescent="0.25">
      <c r="D108" s="16"/>
    </row>
    <row r="109" spans="4:4" x14ac:dyDescent="0.25">
      <c r="D109" s="16"/>
    </row>
    <row r="110" spans="4:4" x14ac:dyDescent="0.25">
      <c r="D110" s="16"/>
    </row>
    <row r="111" spans="4:4" x14ac:dyDescent="0.25">
      <c r="D111" s="16"/>
    </row>
    <row r="112" spans="4:4" x14ac:dyDescent="0.25">
      <c r="D112" s="16"/>
    </row>
    <row r="113" spans="4:4" x14ac:dyDescent="0.25">
      <c r="D113" s="16"/>
    </row>
    <row r="114" spans="4:4" x14ac:dyDescent="0.25">
      <c r="D114" s="16"/>
    </row>
    <row r="115" spans="4:4" x14ac:dyDescent="0.25">
      <c r="D115" s="16"/>
    </row>
    <row r="116" spans="4:4" x14ac:dyDescent="0.25">
      <c r="D116" s="16"/>
    </row>
    <row r="117" spans="4:4" x14ac:dyDescent="0.25">
      <c r="D117" s="16"/>
    </row>
    <row r="118" spans="4:4" x14ac:dyDescent="0.25">
      <c r="D118" s="16"/>
    </row>
    <row r="119" spans="4:4" x14ac:dyDescent="0.25">
      <c r="D119" s="16"/>
    </row>
    <row r="120" spans="4:4" x14ac:dyDescent="0.25">
      <c r="D120" s="16"/>
    </row>
    <row r="121" spans="4:4" x14ac:dyDescent="0.25">
      <c r="D121" s="16"/>
    </row>
    <row r="122" spans="4:4" x14ac:dyDescent="0.25">
      <c r="D122" s="16"/>
    </row>
    <row r="123" spans="4:4" x14ac:dyDescent="0.25">
      <c r="D123" s="16"/>
    </row>
    <row r="124" spans="4:4" x14ac:dyDescent="0.25">
      <c r="D124" s="16"/>
    </row>
    <row r="125" spans="4:4" x14ac:dyDescent="0.25">
      <c r="D125" s="16"/>
    </row>
    <row r="126" spans="4:4" x14ac:dyDescent="0.25">
      <c r="D126" s="16"/>
    </row>
    <row r="127" spans="4:4" x14ac:dyDescent="0.25">
      <c r="D127" s="16"/>
    </row>
    <row r="128" spans="4:4" x14ac:dyDescent="0.25">
      <c r="D128" s="16"/>
    </row>
    <row r="129" spans="4:4" x14ac:dyDescent="0.25">
      <c r="D129" s="16"/>
    </row>
    <row r="130" spans="4:4" x14ac:dyDescent="0.25">
      <c r="D130" s="16"/>
    </row>
    <row r="131" spans="4:4" x14ac:dyDescent="0.25">
      <c r="D131" s="16"/>
    </row>
    <row r="132" spans="4:4" x14ac:dyDescent="0.25">
      <c r="D132" s="16"/>
    </row>
    <row r="133" spans="4:4" x14ac:dyDescent="0.25">
      <c r="D133" s="16"/>
    </row>
    <row r="134" spans="4:4" x14ac:dyDescent="0.25">
      <c r="D134" s="16"/>
    </row>
    <row r="135" spans="4:4" x14ac:dyDescent="0.25">
      <c r="D135" s="16"/>
    </row>
    <row r="136" spans="4:4" x14ac:dyDescent="0.25">
      <c r="D136" s="16"/>
    </row>
    <row r="137" spans="4:4" x14ac:dyDescent="0.25">
      <c r="D137" s="16"/>
    </row>
    <row r="138" spans="4:4" x14ac:dyDescent="0.25">
      <c r="D138" s="16"/>
    </row>
    <row r="139" spans="4:4" x14ac:dyDescent="0.25">
      <c r="D139" s="16"/>
    </row>
    <row r="140" spans="4:4" x14ac:dyDescent="0.25">
      <c r="D140" s="16"/>
    </row>
    <row r="141" spans="4:4" x14ac:dyDescent="0.25">
      <c r="D141" s="16"/>
    </row>
    <row r="142" spans="4:4" x14ac:dyDescent="0.25">
      <c r="D142" s="16"/>
    </row>
    <row r="143" spans="4:4" x14ac:dyDescent="0.25">
      <c r="D143" s="16"/>
    </row>
    <row r="144" spans="4:4" x14ac:dyDescent="0.25">
      <c r="D144" s="16"/>
    </row>
    <row r="145" spans="4:4" x14ac:dyDescent="0.25">
      <c r="D145" s="16"/>
    </row>
    <row r="146" spans="4:4" x14ac:dyDescent="0.25">
      <c r="D146" s="16"/>
    </row>
    <row r="147" spans="4:4" x14ac:dyDescent="0.25">
      <c r="D147" s="16"/>
    </row>
    <row r="148" spans="4:4" x14ac:dyDescent="0.25">
      <c r="D148" s="16"/>
    </row>
    <row r="149" spans="4:4" x14ac:dyDescent="0.25">
      <c r="D149" s="16"/>
    </row>
    <row r="150" spans="4:4" x14ac:dyDescent="0.25">
      <c r="D150" s="16"/>
    </row>
    <row r="151" spans="4:4" x14ac:dyDescent="0.25">
      <c r="D151" s="16"/>
    </row>
    <row r="152" spans="4:4" x14ac:dyDescent="0.25">
      <c r="D152" s="16"/>
    </row>
    <row r="153" spans="4:4" x14ac:dyDescent="0.25">
      <c r="D153" s="16"/>
    </row>
    <row r="154" spans="4:4" x14ac:dyDescent="0.25">
      <c r="D154" s="16"/>
    </row>
    <row r="155" spans="4:4" x14ac:dyDescent="0.25">
      <c r="D155" s="16"/>
    </row>
    <row r="156" spans="4:4" x14ac:dyDescent="0.25">
      <c r="D156" s="16"/>
    </row>
    <row r="157" spans="4:4" x14ac:dyDescent="0.25">
      <c r="D157" s="16"/>
    </row>
    <row r="158" spans="4:4" x14ac:dyDescent="0.25">
      <c r="D158" s="16"/>
    </row>
    <row r="159" spans="4:4" x14ac:dyDescent="0.25">
      <c r="D159" s="16"/>
    </row>
    <row r="160" spans="4:4" x14ac:dyDescent="0.25">
      <c r="D160" s="16"/>
    </row>
    <row r="161" spans="4:4" x14ac:dyDescent="0.25">
      <c r="D161" s="16"/>
    </row>
    <row r="162" spans="4:4" x14ac:dyDescent="0.25">
      <c r="D162" s="16"/>
    </row>
    <row r="163" spans="4:4" x14ac:dyDescent="0.25">
      <c r="D163" s="16"/>
    </row>
    <row r="164" spans="4:4" x14ac:dyDescent="0.25">
      <c r="D164" s="16"/>
    </row>
    <row r="165" spans="4:4" x14ac:dyDescent="0.25">
      <c r="D165" s="16"/>
    </row>
    <row r="166" spans="4:4" x14ac:dyDescent="0.25">
      <c r="D166" s="16"/>
    </row>
    <row r="167" spans="4:4" x14ac:dyDescent="0.25">
      <c r="D167" s="16"/>
    </row>
    <row r="168" spans="4:4" x14ac:dyDescent="0.25">
      <c r="D168" s="16"/>
    </row>
    <row r="169" spans="4:4" x14ac:dyDescent="0.25">
      <c r="D169" s="16"/>
    </row>
    <row r="170" spans="4:4" x14ac:dyDescent="0.25">
      <c r="D170" s="16"/>
    </row>
    <row r="171" spans="4:4" x14ac:dyDescent="0.25">
      <c r="D171" s="16"/>
    </row>
    <row r="172" spans="4:4" x14ac:dyDescent="0.25">
      <c r="D172" s="16"/>
    </row>
    <row r="173" spans="4:4" x14ac:dyDescent="0.25">
      <c r="D173" s="16"/>
    </row>
    <row r="174" spans="4:4" x14ac:dyDescent="0.25">
      <c r="D174" s="16"/>
    </row>
    <row r="175" spans="4:4" x14ac:dyDescent="0.25">
      <c r="D175" s="16"/>
    </row>
    <row r="176" spans="4:4" x14ac:dyDescent="0.25">
      <c r="D176" s="16"/>
    </row>
    <row r="177" spans="4:4" x14ac:dyDescent="0.25">
      <c r="D177" s="16"/>
    </row>
    <row r="178" spans="4:4" x14ac:dyDescent="0.25">
      <c r="D178" s="16"/>
    </row>
  </sheetData>
  <autoFilter ref="A9:AC59" xr:uid="{6AB91A92-A975-47A9-8277-9977CE4122BA}"/>
  <mergeCells count="8">
    <mergeCell ref="T7:X7"/>
    <mergeCell ref="Y7:AC7"/>
    <mergeCell ref="Y59:AB59"/>
    <mergeCell ref="B67:B70"/>
    <mergeCell ref="A1:E2"/>
    <mergeCell ref="F7:I7"/>
    <mergeCell ref="J7:N7"/>
    <mergeCell ref="O7:S7"/>
  </mergeCells>
  <phoneticPr fontId="13" type="noConversion"/>
  <conditionalFormatting sqref="C57:C1048576 C3:C9">
    <cfRule type="duplicateValues" dxfId="2" priority="1"/>
  </conditionalFormatting>
  <conditionalFormatting sqref="H2:K2">
    <cfRule type="cellIs" dxfId="1" priority="5" operator="greaterThan">
      <formula>0</formula>
    </cfRule>
  </conditionalFormatting>
  <conditionalFormatting sqref="M2:P2">
    <cfRule type="cellIs" dxfId="0" priority="4" operator="greaterThan">
      <formula>0</formula>
    </cfRule>
  </conditionalFormatting>
  <pageMargins left="0.7" right="0.7" top="0.75" bottom="0.75" header="0.3" footer="0.3"/>
  <pageSetup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3EA24E923C34C99D8476A5527578C" ma:contentTypeVersion="4" ma:contentTypeDescription="Create a new document." ma:contentTypeScope="" ma:versionID="7fd9682cc228568493211cd709ae43e5">
  <xsd:schema xmlns:xsd="http://www.w3.org/2001/XMLSchema" xmlns:xs="http://www.w3.org/2001/XMLSchema" xmlns:p="http://schemas.microsoft.com/office/2006/metadata/properties" xmlns:ns2="c5cbf585-1664-4955-bbd8-0bf0417a5623" targetNamespace="http://schemas.microsoft.com/office/2006/metadata/properties" ma:root="true" ma:fieldsID="918211ea1eb60f5a2c84f203deb3964c" ns2:_="">
    <xsd:import namespace="c5cbf585-1664-4955-bbd8-0bf0417a5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bf585-1664-4955-bbd8-0bf0417a5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AE38E8-86E5-466E-B590-BA272ECE23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758AC-0F37-4C85-960B-CC7D9DAA0D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bf585-1664-4955-bbd8-0bf0417a5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0D01A7-E666-4285-AAB5-C2E3F15E0A04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Hall, Christopher A CIV USCG SFLC (USA)</dc:creator>
  <cp:keywords/>
  <dc:description/>
  <cp:lastModifiedBy>Milewski, Kimberly A CIV USCG SFLC (USA)</cp:lastModifiedBy>
  <cp:revision/>
  <dcterms:created xsi:type="dcterms:W3CDTF">2023-08-10T20:16:50Z</dcterms:created>
  <dcterms:modified xsi:type="dcterms:W3CDTF">2026-04-15T19:09:05Z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0x0101009263EA24E923C34C99D8476A5527578C</vt:lpwstr>
  </property>
</Properties>
</file>