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ea-my.sharepoint.com/personal/krista_chamberlain_dodea_edu/Documents/Desktop/Repeater Lease/SOL FY26/"/>
    </mc:Choice>
  </mc:AlternateContent>
  <xr:revisionPtr revIDLastSave="0" documentId="8_{238C4FE8-6214-41E1-B50A-8675BF9D5461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IGCE" sheetId="6" r:id="rId1"/>
  </sheets>
  <definedNames>
    <definedName name="_xlnm.Print_Area" localSheetId="0">IGCE!$A$1:$F$6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6" l="1"/>
  <c r="AA13" i="6"/>
  <c r="V11" i="6"/>
  <c r="V10" i="6"/>
  <c r="R11" i="6"/>
  <c r="R10" i="6"/>
  <c r="N11" i="6"/>
  <c r="N10" i="6"/>
  <c r="J11" i="6"/>
  <c r="J10" i="6"/>
  <c r="F11" i="6"/>
  <c r="F10" i="6"/>
  <c r="J8" i="6"/>
  <c r="N8" i="6"/>
  <c r="R8" i="6"/>
  <c r="V8" i="6"/>
  <c r="J9" i="6"/>
  <c r="N9" i="6"/>
  <c r="R9" i="6"/>
  <c r="V9" i="6"/>
  <c r="F9" i="6"/>
  <c r="F8" i="6"/>
  <c r="R12" i="6" l="1"/>
  <c r="AA10" i="6"/>
  <c r="N12" i="6"/>
  <c r="V12" i="6"/>
  <c r="J12" i="6"/>
  <c r="AA8" i="6"/>
  <c r="AA9" i="6"/>
  <c r="AA11" i="6"/>
  <c r="F12" i="6"/>
  <c r="F13" i="6" s="1"/>
  <c r="J13" i="6" l="1"/>
  <c r="N13" i="6" s="1"/>
  <c r="R13" i="6" s="1"/>
  <c r="V13" i="6" s="1"/>
  <c r="AA12" i="6"/>
</calcChain>
</file>

<file path=xl/sharedStrings.xml><?xml version="1.0" encoding="utf-8"?>
<sst xmlns="http://schemas.openxmlformats.org/spreadsheetml/2006/main" count="85" uniqueCount="57">
  <si>
    <t>Date</t>
  </si>
  <si>
    <t>$/Unit</t>
  </si>
  <si>
    <t>Categories</t>
  </si>
  <si>
    <t>Type</t>
  </si>
  <si>
    <t xml:space="preserve">                                                  </t>
  </si>
  <si>
    <t>Units</t>
  </si>
  <si>
    <t>Title</t>
  </si>
  <si>
    <t>Totals</t>
  </si>
  <si>
    <t>Option Year 1</t>
  </si>
  <si>
    <t>OY1 Total</t>
  </si>
  <si>
    <t>Cumulative Total</t>
  </si>
  <si>
    <t>Grand                Total</t>
  </si>
  <si>
    <t>Base Year</t>
  </si>
  <si>
    <t>Option Year 2</t>
  </si>
  <si>
    <t>Option Year 3</t>
  </si>
  <si>
    <t>Option Year 4</t>
  </si>
  <si>
    <t>Base Total</t>
  </si>
  <si>
    <t>OY2 Total</t>
  </si>
  <si>
    <t>OY3 Total</t>
  </si>
  <si>
    <t>OY4 Total</t>
  </si>
  <si>
    <t xml:space="preserve"> Total</t>
  </si>
  <si>
    <t>Puerto Rico Schools Repeater Lease Services - Ft. Buchanan</t>
  </si>
  <si>
    <t>Puerto Rico Schools Repeater Lease Services - Ramey</t>
  </si>
  <si>
    <t>Puerto Rico Schools Repeater Lease Services - Service Calls - Parts/Replacements;</t>
  </si>
  <si>
    <t>Puerto Rico Schools Repeater Lease Services - Service Calls - Repairs; (NO PARTS)</t>
  </si>
  <si>
    <t>Job</t>
  </si>
  <si>
    <t>Month</t>
  </si>
  <si>
    <t>NTE</t>
  </si>
  <si>
    <t>REPEATERS SERVICES FOR RADIO COMMUNICATION BETWEEN CSO
TRANSPORTATION DISPATCHER AND
GSA SCHOOL BUSES DODEA MID ATLANTIC DISTRICT FIELD SITE -PR</t>
  </si>
  <si>
    <t>PRICING WORKSHEET ATTACHMENT #2</t>
  </si>
  <si>
    <t xml:space="preserve">Vendor Name </t>
  </si>
  <si>
    <t>CLIN</t>
  </si>
  <si>
    <t>0001</t>
  </si>
  <si>
    <t>0002</t>
  </si>
  <si>
    <t>0003</t>
  </si>
  <si>
    <t>0004</t>
  </si>
  <si>
    <t>1001</t>
  </si>
  <si>
    <t>2002</t>
  </si>
  <si>
    <t>3003</t>
  </si>
  <si>
    <t>1002</t>
  </si>
  <si>
    <t>1003</t>
  </si>
  <si>
    <t>1004</t>
  </si>
  <si>
    <t>2001</t>
  </si>
  <si>
    <t>2003</t>
  </si>
  <si>
    <t>2004</t>
  </si>
  <si>
    <t>3001</t>
  </si>
  <si>
    <t>3002</t>
  </si>
  <si>
    <t>3004</t>
  </si>
  <si>
    <t>4001</t>
  </si>
  <si>
    <t>4002</t>
  </si>
  <si>
    <t>4003</t>
  </si>
  <si>
    <t>4004</t>
  </si>
  <si>
    <t>5001</t>
  </si>
  <si>
    <t>5002</t>
  </si>
  <si>
    <t>5003</t>
  </si>
  <si>
    <t>5004</t>
  </si>
  <si>
    <t>FAR 52.217-8 6-mth Option  01 Aug 2031 - 28 Feb 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</si>
</sst>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dd\-mmm\-yy;@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8"/>
      <name val="Times New Roman"/>
      <family val="1"/>
    </font>
    <font>
      <sz val="8"/>
      <name val="Arial"/>
    </font>
    <font>
      <b/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9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vertical="center"/>
    </xf>
    <xf numFmtId="164" fontId="7" fillId="2" borderId="1" xfId="0" applyNumberFormat="1" applyFont="1" applyFill="1" applyBorder="1" applyAlignment="1">
      <alignment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7" fillId="2" borderId="0" xfId="0" applyFont="1" applyFill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7" fillId="5" borderId="3" xfId="0" applyNumberFormat="1" applyFont="1" applyFill="1" applyBorder="1" applyAlignment="1">
      <alignment vertical="center"/>
    </xf>
    <xf numFmtId="164" fontId="9" fillId="4" borderId="3" xfId="0" applyNumberFormat="1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horizontal="right" vertical="center"/>
    </xf>
    <xf numFmtId="164" fontId="2" fillId="0" borderId="7" xfId="0" applyNumberFormat="1" applyFont="1" applyBorder="1" applyAlignment="1">
      <alignment horizontal="center" vertical="center"/>
    </xf>
    <xf numFmtId="164" fontId="7" fillId="2" borderId="3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64" fontId="2" fillId="5" borderId="4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 wrapText="1"/>
    </xf>
    <xf numFmtId="164" fontId="11" fillId="2" borderId="4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CCFFCC"/>
      <color rgb="FF0000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8EEF-89D5-45A3-B597-D1414BFBEDC5}">
  <sheetPr>
    <tabColor rgb="FFCCFFCC"/>
  </sheetPr>
  <dimension ref="A1:AA17"/>
  <sheetViews>
    <sheetView tabSelected="1" zoomScale="130" zoomScaleNormal="130" workbookViewId="0">
      <selection activeCell="G3" sqref="G3"/>
    </sheetView>
  </sheetViews>
  <sheetFormatPr defaultColWidth="8.7109375" defaultRowHeight="12.75" x14ac:dyDescent="0.2"/>
  <cols>
    <col min="1" max="1" width="13.140625" style="1" customWidth="1"/>
    <col min="2" max="2" width="37.28515625" style="6" customWidth="1"/>
    <col min="3" max="3" width="7" style="6" customWidth="1"/>
    <col min="4" max="4" width="4.85546875" style="1" customWidth="1"/>
    <col min="5" max="5" width="7.140625" style="1" customWidth="1"/>
    <col min="6" max="7" width="8.5703125" style="1" customWidth="1"/>
    <col min="8" max="8" width="4.85546875" style="1" bestFit="1" customWidth="1"/>
    <col min="9" max="9" width="7.140625" style="1" customWidth="1"/>
    <col min="10" max="11" width="8.5703125" style="1" customWidth="1"/>
    <col min="12" max="12" width="4.85546875" style="1" bestFit="1" customWidth="1"/>
    <col min="13" max="13" width="7.140625" style="1" customWidth="1"/>
    <col min="14" max="15" width="8.5703125" style="1" customWidth="1"/>
    <col min="16" max="16" width="4.85546875" style="1" bestFit="1" customWidth="1"/>
    <col min="17" max="17" width="7.140625" style="1" customWidth="1"/>
    <col min="18" max="19" width="8.5703125" style="1" customWidth="1"/>
    <col min="20" max="20" width="4.85546875" style="1" bestFit="1" customWidth="1"/>
    <col min="21" max="21" width="7.140625" style="1" customWidth="1"/>
    <col min="22" max="25" width="8.5703125" style="1" customWidth="1"/>
    <col min="26" max="26" width="6.140625" style="1" customWidth="1"/>
    <col min="27" max="27" width="10.42578125" style="1" customWidth="1"/>
    <col min="28" max="16384" width="8.7109375" style="1"/>
  </cols>
  <sheetData>
    <row r="1" spans="1:27" ht="27.75" customHeight="1" x14ac:dyDescent="0.2">
      <c r="A1" s="11" t="s">
        <v>4</v>
      </c>
      <c r="B1" s="49" t="s">
        <v>29</v>
      </c>
      <c r="C1" s="49"/>
      <c r="D1" s="49"/>
      <c r="E1" s="49"/>
      <c r="F1" s="49"/>
      <c r="G1" s="27"/>
    </row>
    <row r="2" spans="1:27" ht="39" customHeight="1" x14ac:dyDescent="0.2">
      <c r="A2" s="10" t="s">
        <v>6</v>
      </c>
      <c r="B2" s="50" t="s">
        <v>28</v>
      </c>
      <c r="C2" s="50"/>
      <c r="D2" s="50"/>
      <c r="E2" s="50"/>
      <c r="F2" s="50"/>
      <c r="G2" s="28"/>
      <c r="H2" s="24"/>
      <c r="I2" s="24"/>
    </row>
    <row r="3" spans="1:27" ht="18.600000000000001" customHeight="1" x14ac:dyDescent="0.2">
      <c r="A3" s="10" t="s">
        <v>30</v>
      </c>
      <c r="B3" s="51"/>
      <c r="C3" s="51"/>
      <c r="D3" s="51"/>
      <c r="E3" s="51"/>
      <c r="F3" s="51"/>
      <c r="G3" s="29"/>
    </row>
    <row r="4" spans="1:27" ht="18.600000000000001" customHeight="1" x14ac:dyDescent="0.2">
      <c r="A4" s="10" t="s">
        <v>0</v>
      </c>
      <c r="B4" s="52">
        <v>46105</v>
      </c>
      <c r="C4" s="52"/>
      <c r="D4" s="52"/>
      <c r="E4" s="52"/>
      <c r="F4" s="52"/>
      <c r="G4" s="30"/>
    </row>
    <row r="5" spans="1:27" ht="18.600000000000001" customHeight="1" x14ac:dyDescent="0.2">
      <c r="A5" s="18" t="s">
        <v>20</v>
      </c>
      <c r="B5" s="53">
        <f>AA13</f>
        <v>0</v>
      </c>
      <c r="C5" s="54"/>
      <c r="D5" s="54"/>
      <c r="E5" s="54"/>
      <c r="F5" s="55"/>
      <c r="G5" s="34"/>
      <c r="H5" s="26"/>
      <c r="I5" s="26"/>
      <c r="J5" s="26"/>
    </row>
    <row r="6" spans="1:27" s="3" customFormat="1" ht="23.25" customHeight="1" x14ac:dyDescent="0.2">
      <c r="A6" s="39" t="s">
        <v>31</v>
      </c>
      <c r="B6" s="56" t="s">
        <v>2</v>
      </c>
      <c r="C6" s="57" t="s">
        <v>3</v>
      </c>
      <c r="D6" s="59" t="s">
        <v>12</v>
      </c>
      <c r="E6" s="60"/>
      <c r="F6" s="61"/>
      <c r="G6" s="40" t="s">
        <v>31</v>
      </c>
      <c r="H6" s="36" t="s">
        <v>8</v>
      </c>
      <c r="I6" s="37"/>
      <c r="J6" s="38"/>
      <c r="K6" s="39" t="s">
        <v>31</v>
      </c>
      <c r="L6" s="36" t="s">
        <v>13</v>
      </c>
      <c r="M6" s="37"/>
      <c r="N6" s="38"/>
      <c r="O6" s="39" t="s">
        <v>31</v>
      </c>
      <c r="P6" s="36" t="s">
        <v>14</v>
      </c>
      <c r="Q6" s="37"/>
      <c r="R6" s="38"/>
      <c r="S6" s="39" t="s">
        <v>31</v>
      </c>
      <c r="T6" s="36" t="s">
        <v>15</v>
      </c>
      <c r="U6" s="37"/>
      <c r="V6" s="38"/>
      <c r="W6" s="39" t="s">
        <v>31</v>
      </c>
      <c r="X6" s="62" t="s">
        <v>56</v>
      </c>
      <c r="Y6" s="63"/>
      <c r="Z6" s="64"/>
      <c r="AA6" s="45" t="s">
        <v>11</v>
      </c>
    </row>
    <row r="7" spans="1:27" s="3" customFormat="1" ht="16.899999999999999" customHeight="1" x14ac:dyDescent="0.2">
      <c r="A7" s="39"/>
      <c r="B7" s="56"/>
      <c r="C7" s="58"/>
      <c r="D7" s="19" t="s">
        <v>5</v>
      </c>
      <c r="E7" s="16" t="s">
        <v>1</v>
      </c>
      <c r="F7" s="16" t="s">
        <v>7</v>
      </c>
      <c r="G7" s="39"/>
      <c r="H7" s="20" t="s">
        <v>5</v>
      </c>
      <c r="I7" s="21" t="s">
        <v>1</v>
      </c>
      <c r="J7" s="21" t="s">
        <v>7</v>
      </c>
      <c r="K7" s="39"/>
      <c r="L7" s="20" t="s">
        <v>5</v>
      </c>
      <c r="M7" s="21" t="s">
        <v>1</v>
      </c>
      <c r="N7" s="21" t="s">
        <v>7</v>
      </c>
      <c r="O7" s="39"/>
      <c r="P7" s="20" t="s">
        <v>5</v>
      </c>
      <c r="Q7" s="21" t="s">
        <v>1</v>
      </c>
      <c r="R7" s="21" t="s">
        <v>7</v>
      </c>
      <c r="S7" s="39"/>
      <c r="T7" s="20" t="s">
        <v>5</v>
      </c>
      <c r="U7" s="21" t="s">
        <v>1</v>
      </c>
      <c r="V7" s="21" t="s">
        <v>7</v>
      </c>
      <c r="W7" s="39"/>
      <c r="X7" s="21"/>
      <c r="Y7" s="21"/>
      <c r="Z7" s="21"/>
      <c r="AA7" s="45"/>
    </row>
    <row r="8" spans="1:27" s="3" customFormat="1" ht="25.5" x14ac:dyDescent="0.2">
      <c r="A8" s="33" t="s">
        <v>32</v>
      </c>
      <c r="B8" s="22" t="s">
        <v>21</v>
      </c>
      <c r="C8" s="7" t="s">
        <v>26</v>
      </c>
      <c r="D8" s="7">
        <v>12</v>
      </c>
      <c r="E8" s="13"/>
      <c r="F8" s="8">
        <f>D8*E8</f>
        <v>0</v>
      </c>
      <c r="G8" s="33" t="s">
        <v>36</v>
      </c>
      <c r="H8" s="7">
        <v>12</v>
      </c>
      <c r="I8" s="13"/>
      <c r="J8" s="8">
        <f>H8*I8</f>
        <v>0</v>
      </c>
      <c r="K8" s="33" t="s">
        <v>42</v>
      </c>
      <c r="L8" s="7">
        <v>12</v>
      </c>
      <c r="M8" s="13"/>
      <c r="N8" s="8">
        <f>L8*M8</f>
        <v>0</v>
      </c>
      <c r="O8" s="33" t="s">
        <v>45</v>
      </c>
      <c r="P8" s="7">
        <v>12</v>
      </c>
      <c r="Q8" s="13"/>
      <c r="R8" s="8">
        <f>P8*Q8</f>
        <v>0</v>
      </c>
      <c r="S8" s="33" t="s">
        <v>48</v>
      </c>
      <c r="T8" s="7">
        <v>12</v>
      </c>
      <c r="U8" s="13"/>
      <c r="V8" s="8">
        <f>T8*U8</f>
        <v>0</v>
      </c>
      <c r="W8" s="33" t="s">
        <v>52</v>
      </c>
      <c r="X8" s="8"/>
      <c r="Y8" s="8"/>
      <c r="Z8" s="8"/>
      <c r="AA8" s="15">
        <f>F8+J8+N8+R8+V8</f>
        <v>0</v>
      </c>
    </row>
    <row r="9" spans="1:27" s="3" customFormat="1" ht="25.5" x14ac:dyDescent="0.2">
      <c r="A9" s="33" t="s">
        <v>33</v>
      </c>
      <c r="B9" s="23" t="s">
        <v>22</v>
      </c>
      <c r="C9" s="7" t="s">
        <v>26</v>
      </c>
      <c r="D9" s="7">
        <v>12</v>
      </c>
      <c r="E9" s="13"/>
      <c r="F9" s="8">
        <f t="shared" ref="F9" si="0">D9*E9</f>
        <v>0</v>
      </c>
      <c r="G9" s="33" t="s">
        <v>39</v>
      </c>
      <c r="H9" s="7">
        <v>12</v>
      </c>
      <c r="I9" s="13"/>
      <c r="J9" s="8">
        <f t="shared" ref="J9" si="1">H9*I9</f>
        <v>0</v>
      </c>
      <c r="K9" s="33" t="s">
        <v>37</v>
      </c>
      <c r="L9" s="7">
        <v>12</v>
      </c>
      <c r="M9" s="13"/>
      <c r="N9" s="8">
        <f t="shared" ref="N9" si="2">L9*M9</f>
        <v>0</v>
      </c>
      <c r="O9" s="33" t="s">
        <v>46</v>
      </c>
      <c r="P9" s="7">
        <v>12</v>
      </c>
      <c r="Q9" s="13"/>
      <c r="R9" s="8">
        <f>P9*Q9</f>
        <v>0</v>
      </c>
      <c r="S9" s="33" t="s">
        <v>49</v>
      </c>
      <c r="T9" s="7">
        <v>12</v>
      </c>
      <c r="U9" s="13"/>
      <c r="V9" s="8">
        <f t="shared" ref="V9" si="3">T9*U9</f>
        <v>0</v>
      </c>
      <c r="W9" s="33" t="s">
        <v>53</v>
      </c>
      <c r="X9" s="8"/>
      <c r="Y9" s="8"/>
      <c r="Z9" s="8"/>
      <c r="AA9" s="15">
        <f>F9+J9+N9+R9+V9</f>
        <v>0</v>
      </c>
    </row>
    <row r="10" spans="1:27" s="3" customFormat="1" ht="25.5" x14ac:dyDescent="0.2">
      <c r="A10" s="33" t="s">
        <v>34</v>
      </c>
      <c r="B10" s="23" t="s">
        <v>24</v>
      </c>
      <c r="C10" s="7" t="s">
        <v>25</v>
      </c>
      <c r="D10" s="7" t="s">
        <v>27</v>
      </c>
      <c r="E10" s="13"/>
      <c r="F10" s="8">
        <f>E10</f>
        <v>0</v>
      </c>
      <c r="G10" s="33" t="s">
        <v>40</v>
      </c>
      <c r="H10" s="7" t="s">
        <v>27</v>
      </c>
      <c r="I10" s="13"/>
      <c r="J10" s="8">
        <f>I10</f>
        <v>0</v>
      </c>
      <c r="K10" s="33" t="s">
        <v>43</v>
      </c>
      <c r="L10" s="7" t="s">
        <v>27</v>
      </c>
      <c r="M10" s="13"/>
      <c r="N10" s="8">
        <f>M10</f>
        <v>0</v>
      </c>
      <c r="O10" s="33" t="s">
        <v>38</v>
      </c>
      <c r="P10" s="7" t="s">
        <v>27</v>
      </c>
      <c r="Q10" s="13"/>
      <c r="R10" s="8">
        <f>Q10</f>
        <v>0</v>
      </c>
      <c r="S10" s="33" t="s">
        <v>50</v>
      </c>
      <c r="T10" s="7" t="s">
        <v>27</v>
      </c>
      <c r="U10" s="13"/>
      <c r="V10" s="8">
        <f>U10</f>
        <v>0</v>
      </c>
      <c r="W10" s="33" t="s">
        <v>54</v>
      </c>
      <c r="X10" s="8"/>
      <c r="Y10" s="8"/>
      <c r="Z10" s="8"/>
      <c r="AA10" s="15">
        <f>F10+J10+N10+R10+V10</f>
        <v>0</v>
      </c>
    </row>
    <row r="11" spans="1:27" s="3" customFormat="1" ht="25.5" x14ac:dyDescent="0.2">
      <c r="A11" s="33" t="s">
        <v>35</v>
      </c>
      <c r="B11" s="23" t="s">
        <v>23</v>
      </c>
      <c r="C11" s="7" t="s">
        <v>25</v>
      </c>
      <c r="D11" s="7" t="s">
        <v>27</v>
      </c>
      <c r="E11" s="13"/>
      <c r="F11" s="8">
        <f>E11</f>
        <v>0</v>
      </c>
      <c r="G11" s="33" t="s">
        <v>41</v>
      </c>
      <c r="H11" s="7" t="s">
        <v>27</v>
      </c>
      <c r="I11" s="13"/>
      <c r="J11" s="8">
        <f>I11</f>
        <v>0</v>
      </c>
      <c r="K11" s="33" t="s">
        <v>44</v>
      </c>
      <c r="L11" s="7" t="s">
        <v>27</v>
      </c>
      <c r="M11" s="13"/>
      <c r="N11" s="8">
        <f>M11</f>
        <v>0</v>
      </c>
      <c r="O11" s="33" t="s">
        <v>47</v>
      </c>
      <c r="P11" s="7" t="s">
        <v>27</v>
      </c>
      <c r="Q11" s="13"/>
      <c r="R11" s="8">
        <f>Q11</f>
        <v>0</v>
      </c>
      <c r="S11" s="33" t="s">
        <v>51</v>
      </c>
      <c r="T11" s="7" t="s">
        <v>27</v>
      </c>
      <c r="U11" s="13"/>
      <c r="V11" s="8">
        <f>U11</f>
        <v>0</v>
      </c>
      <c r="W11" s="33" t="s">
        <v>55</v>
      </c>
      <c r="X11" s="8"/>
      <c r="Y11" s="8"/>
      <c r="Z11" s="8"/>
      <c r="AA11" s="15">
        <f>F11+J11+N11+R11+V11</f>
        <v>0</v>
      </c>
    </row>
    <row r="12" spans="1:27" s="3" customFormat="1" ht="22.5" customHeight="1" x14ac:dyDescent="0.2">
      <c r="B12" s="25"/>
      <c r="C12" s="25"/>
      <c r="D12" s="46" t="s">
        <v>16</v>
      </c>
      <c r="E12" s="47"/>
      <c r="F12" s="14">
        <f>SUM(F8:F11)</f>
        <v>0</v>
      </c>
      <c r="G12" s="31"/>
      <c r="H12" s="41" t="s">
        <v>9</v>
      </c>
      <c r="I12" s="42"/>
      <c r="J12" s="15">
        <f>SUM(J8:J11)</f>
        <v>0</v>
      </c>
      <c r="K12" s="35"/>
      <c r="L12" s="41" t="s">
        <v>17</v>
      </c>
      <c r="M12" s="42"/>
      <c r="N12" s="15">
        <f>SUM(N8:N11)</f>
        <v>0</v>
      </c>
      <c r="O12" s="35"/>
      <c r="P12" s="41" t="s">
        <v>18</v>
      </c>
      <c r="Q12" s="42"/>
      <c r="R12" s="15">
        <f>SUM(R8:R11)</f>
        <v>0</v>
      </c>
      <c r="S12" s="35"/>
      <c r="T12" s="41" t="s">
        <v>19</v>
      </c>
      <c r="U12" s="42"/>
      <c r="V12" s="15">
        <f>SUM(V8:V11)</f>
        <v>0</v>
      </c>
      <c r="W12" s="15"/>
      <c r="X12" s="15"/>
      <c r="Y12" s="15"/>
      <c r="Z12" s="15"/>
      <c r="AA12" s="12">
        <f>SUM(AA8:AA11)</f>
        <v>0</v>
      </c>
    </row>
    <row r="13" spans="1:27" s="9" customFormat="1" ht="11.25" x14ac:dyDescent="0.2">
      <c r="D13" s="48" t="s">
        <v>10</v>
      </c>
      <c r="E13" s="48"/>
      <c r="F13" s="17">
        <f>F12</f>
        <v>0</v>
      </c>
      <c r="G13" s="32"/>
      <c r="H13" s="43"/>
      <c r="I13" s="44"/>
      <c r="J13" s="17">
        <f>F13+J12</f>
        <v>0</v>
      </c>
      <c r="K13" s="32"/>
      <c r="L13" s="43"/>
      <c r="M13" s="44"/>
      <c r="N13" s="17">
        <f>J13+N12</f>
        <v>0</v>
      </c>
      <c r="O13" s="32"/>
      <c r="P13" s="43"/>
      <c r="Q13" s="44"/>
      <c r="R13" s="17">
        <f>N13+R12</f>
        <v>0</v>
      </c>
      <c r="S13" s="32"/>
      <c r="T13" s="43"/>
      <c r="U13" s="44"/>
      <c r="V13" s="17">
        <f>R13+V12</f>
        <v>0</v>
      </c>
      <c r="W13" s="17"/>
      <c r="X13" s="17"/>
      <c r="Y13" s="17"/>
      <c r="Z13" s="17"/>
      <c r="AA13" s="17">
        <f>V13+AA12</f>
        <v>0</v>
      </c>
    </row>
    <row r="14" spans="1:27" x14ac:dyDescent="0.2">
      <c r="A14" s="2"/>
    </row>
    <row r="15" spans="1:27" ht="25.5" customHeight="1" x14ac:dyDescent="0.2">
      <c r="A15" s="5"/>
      <c r="B15" s="5"/>
      <c r="C15" s="5"/>
      <c r="D15" s="5"/>
      <c r="E15" s="5"/>
      <c r="F15" s="5"/>
      <c r="G15" s="5"/>
    </row>
    <row r="17" spans="1:7" ht="24.75" customHeight="1" x14ac:dyDescent="0.2">
      <c r="A17" s="4"/>
      <c r="B17" s="4"/>
      <c r="C17" s="4"/>
      <c r="D17" s="4"/>
      <c r="E17" s="4"/>
      <c r="F17" s="4"/>
      <c r="G17" s="4"/>
    </row>
  </sheetData>
  <mergeCells count="30">
    <mergeCell ref="W6:W7"/>
    <mergeCell ref="X6:Z6"/>
    <mergeCell ref="AA6:AA7"/>
    <mergeCell ref="D12:E12"/>
    <mergeCell ref="D13:E13"/>
    <mergeCell ref="B1:F1"/>
    <mergeCell ref="B2:F2"/>
    <mergeCell ref="B3:F3"/>
    <mergeCell ref="B4:F4"/>
    <mergeCell ref="B5:F5"/>
    <mergeCell ref="B6:B7"/>
    <mergeCell ref="C6:C7"/>
    <mergeCell ref="D6:F6"/>
    <mergeCell ref="T13:U13"/>
    <mergeCell ref="T12:U12"/>
    <mergeCell ref="P13:Q13"/>
    <mergeCell ref="P12:Q12"/>
    <mergeCell ref="L13:M13"/>
    <mergeCell ref="L12:M12"/>
    <mergeCell ref="H13:I13"/>
    <mergeCell ref="H12:I12"/>
    <mergeCell ref="H6:J6"/>
    <mergeCell ref="L6:N6"/>
    <mergeCell ref="P6:R6"/>
    <mergeCell ref="T6:V6"/>
    <mergeCell ref="A6:A7"/>
    <mergeCell ref="G6:G7"/>
    <mergeCell ref="K6:K7"/>
    <mergeCell ref="O6:O7"/>
    <mergeCell ref="S6:S7"/>
  </mergeCells>
  <phoneticPr fontId="10" type="noConversion"/>
  <pageMargins left="0.25" right="0.25" top="0.25" bottom="0.25" header="0.25" footer="0.2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IGCE</vt:lpstr>
      <vt:lpstr>IGCE!Print_Area</vt:lpstr>
    </vt:vector>
  </TitlesOfParts>
  <Company>Defense Manpower Data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Dropam</dc:creator>
  <cp:lastModifiedBy>Chamberlain, Krista Ms. CIV, OSW/DoWEA-Americas</cp:lastModifiedBy>
  <cp:lastPrinted>2016-06-08T13:49:39Z</cp:lastPrinted>
  <dcterms:created xsi:type="dcterms:W3CDTF">2009-11-02T18:36:55Z</dcterms:created>
  <dcterms:modified xsi:type="dcterms:W3CDTF">2026-03-24T17:09:12Z</dcterms:modified>
</cp:coreProperties>
</file>