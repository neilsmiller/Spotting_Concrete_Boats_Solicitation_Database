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edingle_ios_doi_gov/Documents/Desktop/FY26 Workload By Park/Fort Sumpter National Historic Site/Shuttle Bus Service/"/>
    </mc:Choice>
  </mc:AlternateContent>
  <xr:revisionPtr revIDLastSave="41" documentId="8_{958041A4-903F-40D2-BC7B-415A45C2CAF0}" xr6:coauthVersionLast="47" xr6:coauthVersionMax="47" xr10:uidLastSave="{BBBB5875-1D64-4E36-A79C-006F59AE44A2}"/>
  <bookViews>
    <workbookView xWindow="4770" yWindow="495" windowWidth="21600" windowHeight="11295" xr2:uid="{69026BEE-2C5B-4525-9B30-701AF0AFDCDA}"/>
  </bookViews>
  <sheets>
    <sheet name="Price Quote" sheetId="1" r:id="rId1"/>
  </sheets>
  <externalReferences>
    <externalReference r:id="rId2"/>
  </externalReference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7" i="1"/>
  <c r="E9" i="1"/>
  <c r="E10" i="1"/>
  <c r="E12" i="1"/>
  <c r="F12" i="1" s="1"/>
  <c r="E16" i="1"/>
  <c r="F16" i="1" s="1"/>
  <c r="F17" i="1" s="1"/>
  <c r="F8" i="1"/>
  <c r="C6" i="1"/>
  <c r="F10" i="1" l="1"/>
  <c r="F7" i="1"/>
  <c r="F9" i="1"/>
  <c r="F6" i="1"/>
  <c r="F13" i="1" l="1"/>
  <c r="F19" i="1" l="1"/>
  <c r="F20" i="1" s="1"/>
</calcChain>
</file>

<file path=xl/sharedStrings.xml><?xml version="1.0" encoding="utf-8"?>
<sst xmlns="http://schemas.openxmlformats.org/spreadsheetml/2006/main" count="38" uniqueCount="33">
  <si>
    <t>Description</t>
  </si>
  <si>
    <t>0001</t>
  </si>
  <si>
    <t>Base Fleet — Standard Motor Coach Vehicle-Days (both days, both routes, non-ADA vehicles)</t>
  </si>
  <si>
    <t>0002</t>
  </si>
  <si>
    <t>Base Fleet — ADA Lift-Equipped Motor Coach Vehicle-Days (both days, 1 per route)</t>
  </si>
  <si>
    <t>0003</t>
  </si>
  <si>
    <t>Mobilization (one-time)</t>
  </si>
  <si>
    <t>0004</t>
  </si>
  <si>
    <t>On-Site Supervision (both days)</t>
  </si>
  <si>
    <t>0005</t>
  </si>
  <si>
    <t>Dispatch (both days)</t>
  </si>
  <si>
    <t>0006</t>
  </si>
  <si>
    <t>Boarding Tokens — Both Days (PWS Section 6.4)</t>
  </si>
  <si>
    <t>0007</t>
  </si>
  <si>
    <t>Reporting &amp; Deliverables</t>
  </si>
  <si>
    <t>SUBTOTAL — BASE (CLINs 0001–0007)</t>
  </si>
  <si>
    <t>OPTION CLINS (priced but not ordered at award; Day 2 surge option under PWS Section 6.3)</t>
  </si>
  <si>
    <t>1001</t>
  </si>
  <si>
    <t>Day 2 Surge — Standard Motor Coach Vehicle-Days (up to qty, per-day unit price)</t>
  </si>
  <si>
    <t>SUBTOTAL — OPTION (CLIN 1001 max)</t>
  </si>
  <si>
    <t>BASE TOTAL (no option exercised)</t>
  </si>
  <si>
    <t>BASE + OPTION TOTAL (option fully exercised)</t>
  </si>
  <si>
    <t>BID SCHEDULE</t>
  </si>
  <si>
    <r>
      <rPr>
        <b/>
        <sz val="12"/>
        <color indexed="8"/>
        <rFont val="Calibri"/>
        <family val="2"/>
      </rPr>
      <t>SOLICITATION NUMBER: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 GSA RFQ 1808135</t>
    </r>
  </si>
  <si>
    <r>
      <t>PROJECT TITLE: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Provided Visitor Shuttle Services - F250 Carolina Day Fort Moultrie National Historical Park </t>
    </r>
  </si>
  <si>
    <t>Item</t>
  </si>
  <si>
    <t xml:space="preserve">Unit Price </t>
  </si>
  <si>
    <t>Quantity</t>
  </si>
  <si>
    <t>Unit of Measure</t>
  </si>
  <si>
    <t>Total Price</t>
  </si>
  <si>
    <t>Lump Sum</t>
  </si>
  <si>
    <t>Day</t>
  </si>
  <si>
    <t>Vehicle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</si>
</sst>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\$#,##0;&quot;($&quot;#,##0\);\-"/>
  </numFmts>
  <fonts count="12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EAEAEA"/>
        <bgColor rgb="FFD5E8F0"/>
      </patternFill>
    </fill>
    <fill>
      <patternFill patternType="solid">
        <fgColor rgb="FFD5E8F0"/>
        <bgColor rgb="FFEAEAEA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medium">
        <color indexed="64"/>
      </right>
      <top style="medium">
        <color rgb="FF1F4E79"/>
      </top>
      <bottom style="medium">
        <color rgb="FF1F4E79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vertical="center" wrapText="1"/>
    </xf>
    <xf numFmtId="164" fontId="8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right"/>
    </xf>
    <xf numFmtId="164" fontId="9" fillId="0" borderId="7" xfId="0" applyNumberFormat="1" applyFont="1" applyBorder="1" applyAlignment="1">
      <alignment horizontal="center"/>
    </xf>
    <xf numFmtId="0" fontId="0" fillId="4" borderId="7" xfId="0" applyFill="1" applyBorder="1"/>
    <xf numFmtId="0" fontId="10" fillId="4" borderId="7" xfId="0" applyFont="1" applyFill="1" applyBorder="1" applyAlignment="1">
      <alignment horizontal="right"/>
    </xf>
    <xf numFmtId="0" fontId="0" fillId="5" borderId="7" xfId="0" applyFill="1" applyBorder="1"/>
    <xf numFmtId="0" fontId="10" fillId="5" borderId="7" xfId="0" applyFont="1" applyFill="1" applyBorder="1" applyAlignment="1">
      <alignment horizontal="right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165" fontId="7" fillId="0" borderId="11" xfId="0" applyNumberFormat="1" applyFont="1" applyBorder="1" applyAlignment="1">
      <alignment horizontal="right"/>
    </xf>
    <xf numFmtId="0" fontId="0" fillId="4" borderId="10" xfId="0" applyFill="1" applyBorder="1"/>
    <xf numFmtId="165" fontId="10" fillId="4" borderId="11" xfId="0" applyNumberFormat="1" applyFont="1" applyFill="1" applyBorder="1"/>
    <xf numFmtId="0" fontId="0" fillId="0" borderId="1" xfId="0" applyBorder="1"/>
    <xf numFmtId="0" fontId="0" fillId="0" borderId="2" xfId="0" applyBorder="1"/>
    <xf numFmtId="0" fontId="0" fillId="5" borderId="10" xfId="0" applyFill="1" applyBorder="1"/>
    <xf numFmtId="165" fontId="10" fillId="5" borderId="11" xfId="0" applyNumberFormat="1" applyFont="1" applyFill="1" applyBorder="1"/>
    <xf numFmtId="0" fontId="0" fillId="5" borderId="12" xfId="0" applyFill="1" applyBorder="1"/>
    <xf numFmtId="0" fontId="10" fillId="5" borderId="13" xfId="0" applyFont="1" applyFill="1" applyBorder="1" applyAlignment="1">
      <alignment horizontal="right"/>
    </xf>
    <xf numFmtId="0" fontId="0" fillId="5" borderId="13" xfId="0" applyFill="1" applyBorder="1"/>
    <xf numFmtId="165" fontId="10" fillId="5" borderId="14" xfId="0" applyNumberFormat="1" applyFont="1" applyFill="1" applyBorder="1"/>
    <xf numFmtId="0" fontId="11" fillId="5" borderId="10" xfId="0" applyFont="1" applyFill="1" applyBorder="1"/>
    <xf numFmtId="0" fontId="11" fillId="5" borderId="7" xfId="0" applyFont="1" applyFill="1" applyBorder="1"/>
    <xf numFmtId="0" fontId="11" fillId="5" borderId="1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edingle_ios_doi_gov/Documents/Desktop/FY26%20Workload%20By%20Park/Fort%20Sumpter%20National%20Historic%20Site/Shuttle%20Bus%20Service/IGCE_FOMO_Shuttle_shattuck_4.22.2026.xlsx" TargetMode="External"/><Relationship Id="rId1" Type="http://schemas.openxmlformats.org/officeDocument/2006/relationships/externalLinkPath" Target="IGCE_FOMO_Shuttle_shattuck_4.2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Assumptions"/>
      <sheetName val="Bid Schedule"/>
      <sheetName val="Cost Build"/>
      <sheetName val="Summary"/>
      <sheetName val="Sensitivity"/>
    </sheetNames>
    <sheetDataSet>
      <sheetData sheetId="0"/>
      <sheetData sheetId="1">
        <row r="9">
          <cell r="B9">
            <v>2</v>
          </cell>
        </row>
        <row r="10">
          <cell r="B10">
            <v>1</v>
          </cell>
        </row>
        <row r="11">
          <cell r="B11">
            <v>3</v>
          </cell>
        </row>
        <row r="12">
          <cell r="B12">
            <v>2</v>
          </cell>
        </row>
        <row r="16">
          <cell r="B16">
            <v>0.125</v>
          </cell>
        </row>
        <row r="20">
          <cell r="B20">
            <v>2500</v>
          </cell>
        </row>
        <row r="21">
          <cell r="B21">
            <v>650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187C-1897-4F09-9B27-60D663227E44}">
  <dimension ref="A1:J20"/>
  <sheetViews>
    <sheetView tabSelected="1" topLeftCell="A2" zoomScaleNormal="100" workbookViewId="0">
      <selection activeCell="D16" sqref="D16"/>
    </sheetView>
  </sheetViews>
  <sheetFormatPr defaultRowHeight="15" x14ac:dyDescent="0.25"/>
  <cols>
    <col min="1" max="1" width="19.42578125" customWidth="1"/>
    <col min="2" max="2" width="60.85546875" customWidth="1"/>
    <col min="3" max="3" width="14.85546875" customWidth="1"/>
    <col min="4" max="4" width="17.42578125" bestFit="1" customWidth="1"/>
    <col min="5" max="5" width="19.7109375" customWidth="1"/>
    <col min="6" max="6" width="30.7109375" customWidth="1"/>
    <col min="8" max="8" width="10.85546875" bestFit="1" customWidth="1"/>
  </cols>
  <sheetData>
    <row r="1" spans="1:10" ht="33.75" customHeight="1" thickBot="1" x14ac:dyDescent="0.3">
      <c r="A1" s="35" t="s">
        <v>22</v>
      </c>
      <c r="B1" s="36"/>
      <c r="C1" s="36"/>
      <c r="D1" s="36"/>
      <c r="E1" s="36"/>
      <c r="F1" s="37"/>
    </row>
    <row r="2" spans="1:10" ht="16.5" thickBot="1" x14ac:dyDescent="0.3">
      <c r="A2" s="38" t="s">
        <v>23</v>
      </c>
      <c r="B2" s="39"/>
      <c r="C2" s="39"/>
      <c r="D2" s="39"/>
      <c r="E2" s="39"/>
      <c r="F2" s="40"/>
    </row>
    <row r="3" spans="1:10" ht="29.25" customHeight="1" x14ac:dyDescent="0.25">
      <c r="A3" s="29" t="s">
        <v>24</v>
      </c>
      <c r="B3" s="30"/>
      <c r="C3" s="30"/>
      <c r="D3" s="30"/>
      <c r="E3" s="30"/>
      <c r="F3" s="31"/>
    </row>
    <row r="4" spans="1:10" ht="12" customHeight="1" thickBot="1" x14ac:dyDescent="0.3">
      <c r="A4" s="32"/>
      <c r="B4" s="33"/>
      <c r="C4" s="33"/>
      <c r="D4" s="33"/>
      <c r="E4" s="33"/>
      <c r="F4" s="34"/>
      <c r="G4" s="1"/>
      <c r="H4" s="1"/>
      <c r="I4" s="1"/>
      <c r="J4" s="1"/>
    </row>
    <row r="5" spans="1:10" ht="15" customHeight="1" thickBot="1" x14ac:dyDescent="0.3">
      <c r="A5" s="12" t="s">
        <v>25</v>
      </c>
      <c r="B5" s="2" t="s">
        <v>0</v>
      </c>
      <c r="C5" s="2" t="s">
        <v>27</v>
      </c>
      <c r="D5" s="2" t="s">
        <v>28</v>
      </c>
      <c r="E5" s="2" t="s">
        <v>26</v>
      </c>
      <c r="F5" s="13" t="s">
        <v>29</v>
      </c>
    </row>
    <row r="6" spans="1:10" ht="30.75" customHeight="1" x14ac:dyDescent="0.25">
      <c r="A6" s="14" t="s">
        <v>1</v>
      </c>
      <c r="B6" s="4" t="s">
        <v>2</v>
      </c>
      <c r="C6" s="5">
        <f>([1]Assumptions!B9+[1]Assumptions!B10+[1]Assumptions!B11+[1]Assumptions!B12-[1]Assumptions!B13)*[1]Assumptions!B16</f>
        <v>1</v>
      </c>
      <c r="D6" s="3" t="s">
        <v>32</v>
      </c>
      <c r="E6" s="6">
        <v>0</v>
      </c>
      <c r="F6" s="15">
        <f t="shared" ref="F6:F12" si="0">C6*E6</f>
        <v>0</v>
      </c>
    </row>
    <row r="7" spans="1:10" ht="27.75" customHeight="1" x14ac:dyDescent="0.25">
      <c r="A7" s="14" t="s">
        <v>3</v>
      </c>
      <c r="B7" s="4" t="s">
        <v>4</v>
      </c>
      <c r="C7" s="5">
        <v>4</v>
      </c>
      <c r="D7" s="3" t="s">
        <v>32</v>
      </c>
      <c r="E7" s="6">
        <f>[1]Assumptions!B19*(1+[1]Assumptions!B21)*(1+[1]Assumptions!B20)</f>
        <v>0</v>
      </c>
      <c r="F7" s="15">
        <f t="shared" si="0"/>
        <v>0</v>
      </c>
    </row>
    <row r="8" spans="1:10" x14ac:dyDescent="0.25">
      <c r="A8" s="14" t="s">
        <v>5</v>
      </c>
      <c r="B8" s="4" t="s">
        <v>6</v>
      </c>
      <c r="C8" s="7">
        <v>1</v>
      </c>
      <c r="D8" s="3" t="s">
        <v>30</v>
      </c>
      <c r="E8" s="6">
        <v>0</v>
      </c>
      <c r="F8" s="15">
        <f t="shared" si="0"/>
        <v>0</v>
      </c>
    </row>
    <row r="9" spans="1:10" x14ac:dyDescent="0.25">
      <c r="A9" s="14" t="s">
        <v>7</v>
      </c>
      <c r="B9" s="4" t="s">
        <v>8</v>
      </c>
      <c r="C9" s="5">
        <v>2</v>
      </c>
      <c r="D9" s="3" t="s">
        <v>31</v>
      </c>
      <c r="E9" s="6">
        <f>[1]Assumptions!B25</f>
        <v>0</v>
      </c>
      <c r="F9" s="15">
        <f t="shared" si="0"/>
        <v>0</v>
      </c>
    </row>
    <row r="10" spans="1:10" x14ac:dyDescent="0.25">
      <c r="A10" s="14" t="s">
        <v>9</v>
      </c>
      <c r="B10" s="4" t="s">
        <v>10</v>
      </c>
      <c r="C10" s="5">
        <v>2</v>
      </c>
      <c r="D10" s="3" t="s">
        <v>31</v>
      </c>
      <c r="E10" s="6">
        <f>[1]Assumptions!B26</f>
        <v>0</v>
      </c>
      <c r="F10" s="15">
        <f t="shared" si="0"/>
        <v>0</v>
      </c>
    </row>
    <row r="11" spans="1:10" x14ac:dyDescent="0.25">
      <c r="A11" s="14" t="s">
        <v>11</v>
      </c>
      <c r="B11" s="4" t="s">
        <v>12</v>
      </c>
      <c r="C11" s="7">
        <v>1</v>
      </c>
      <c r="D11" s="3" t="s">
        <v>30</v>
      </c>
      <c r="E11" s="6"/>
      <c r="F11" s="15">
        <f t="shared" si="0"/>
        <v>0</v>
      </c>
    </row>
    <row r="12" spans="1:10" x14ac:dyDescent="0.25">
      <c r="A12" s="14" t="s">
        <v>13</v>
      </c>
      <c r="B12" s="4" t="s">
        <v>14</v>
      </c>
      <c r="C12" s="7">
        <v>1</v>
      </c>
      <c r="D12" s="3" t="s">
        <v>30</v>
      </c>
      <c r="E12" s="6">
        <f>[1]Assumptions!B28</f>
        <v>0</v>
      </c>
      <c r="F12" s="15">
        <f t="shared" si="0"/>
        <v>0</v>
      </c>
    </row>
    <row r="13" spans="1:10" x14ac:dyDescent="0.25">
      <c r="A13" s="16"/>
      <c r="B13" s="9" t="s">
        <v>15</v>
      </c>
      <c r="C13" s="8"/>
      <c r="D13" s="8"/>
      <c r="E13" s="8"/>
      <c r="F13" s="17">
        <f>SUM(F6:F12)</f>
        <v>0</v>
      </c>
    </row>
    <row r="14" spans="1:10" x14ac:dyDescent="0.25">
      <c r="A14" s="18"/>
      <c r="F14" s="19"/>
    </row>
    <row r="15" spans="1:10" x14ac:dyDescent="0.25">
      <c r="A15" s="26" t="s">
        <v>16</v>
      </c>
      <c r="B15" s="27"/>
      <c r="C15" s="27"/>
      <c r="D15" s="27"/>
      <c r="E15" s="27"/>
      <c r="F15" s="28"/>
    </row>
    <row r="16" spans="1:10" ht="25.5" x14ac:dyDescent="0.25">
      <c r="A16" s="14" t="s">
        <v>17</v>
      </c>
      <c r="B16" s="4" t="s">
        <v>18</v>
      </c>
      <c r="C16" s="5">
        <v>4</v>
      </c>
      <c r="D16" s="3" t="s">
        <v>32</v>
      </c>
      <c r="E16" s="6">
        <f>[1]Assumptions!B19*(1+[1]Assumptions!B21)</f>
        <v>0</v>
      </c>
      <c r="F16" s="15">
        <f>C16*E16</f>
        <v>0</v>
      </c>
    </row>
    <row r="17" spans="1:6" x14ac:dyDescent="0.25">
      <c r="A17" s="16"/>
      <c r="B17" s="9" t="s">
        <v>19</v>
      </c>
      <c r="C17" s="8"/>
      <c r="D17" s="8"/>
      <c r="E17" s="8"/>
      <c r="F17" s="17">
        <f>SUM(F16:F16)</f>
        <v>0</v>
      </c>
    </row>
    <row r="18" spans="1:6" x14ac:dyDescent="0.25">
      <c r="A18" s="18"/>
      <c r="F18" s="19"/>
    </row>
    <row r="19" spans="1:6" x14ac:dyDescent="0.25">
      <c r="A19" s="20"/>
      <c r="B19" s="11" t="s">
        <v>20</v>
      </c>
      <c r="C19" s="10"/>
      <c r="D19" s="10"/>
      <c r="E19" s="10"/>
      <c r="F19" s="21">
        <f>F13*1</f>
        <v>0</v>
      </c>
    </row>
    <row r="20" spans="1:6" ht="15.75" thickBot="1" x14ac:dyDescent="0.3">
      <c r="A20" s="22"/>
      <c r="B20" s="23" t="s">
        <v>21</v>
      </c>
      <c r="C20" s="24"/>
      <c r="D20" s="24"/>
      <c r="E20" s="24"/>
      <c r="F20" s="25">
        <f>F17+F19</f>
        <v>0</v>
      </c>
    </row>
  </sheetData>
  <mergeCells count="5">
    <mergeCell ref="A15:F15"/>
    <mergeCell ref="A3:F3"/>
    <mergeCell ref="A4:F4"/>
    <mergeCell ref="A1:F1"/>
    <mergeCell ref="A2:F2"/>
  </mergeCells>
  <pageMargins left="0.25" right="0.25" top="0.75" bottom="0.75" header="0.3" footer="0.3"/>
  <pageSetup scale="29" orientation="portrait" horizontalDpi="1200" verticalDpi="1200" r:id="rId1"/>
  <headerFooter>
    <oddFooter>&amp;RPARK - PMIS
CPS - &amp;P</oddFooter>
  </headerFooter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Quote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Price Schedule</dc:title>
  <dc:subject>Contract Price Schedule</dc:subject>
  <dc:creator>NPS</dc:creator>
  <cp:keywords>Contract Price Schedule</cp:keywords>
  <dc:description>Contract Price Schedule</dc:description>
  <cp:lastModifiedBy>Dingle, Edward</cp:lastModifiedBy>
  <cp:lastPrinted>2009-09-08T23:35:49Z</cp:lastPrinted>
  <dcterms:created xsi:type="dcterms:W3CDTF">2008-08-06T19:47:01Z</dcterms:created>
  <dcterms:modified xsi:type="dcterms:W3CDTF">2026-04-24T14:14:49Z</dcterms:modified>
</cp:coreProperties>
</file>