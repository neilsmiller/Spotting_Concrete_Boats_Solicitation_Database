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Z:\Air Force Buys\FY26\Kirtland AFB, Bldg 20602 Renovations, SAM.GOV Buy\ED\Working Docs\For SAMgov Buy\"/>
    </mc:Choice>
  </mc:AlternateContent>
  <xr:revisionPtr revIDLastSave="0" documentId="13_ncr:11_{951917FB-316D-4A49-B407-F9C1A6D8A6F8}" xr6:coauthVersionLast="47" xr6:coauthVersionMax="47" xr10:uidLastSave="{00000000-0000-0000-0000-000000000000}"/>
  <bookViews>
    <workbookView xWindow="-120" yWindow="-90" windowWidth="29040" windowHeight="15690" tabRatio="785" activeTab="2" xr2:uid="{00000000-000D-0000-FFFF-FFFF00000000}"/>
  </bookViews>
  <sheets>
    <sheet name="Instructions" sheetId="5" r:id="rId1"/>
    <sheet name="Prep Tab" sheetId="6" r:id="rId2"/>
    <sheet name="RFQ" sheetId="2" r:id="rId3"/>
    <sheet name="Tech Eval HNC USE ONLY" sheetId="3" r:id="rId4"/>
  </sheets>
  <definedNames>
    <definedName name="_xlnm.Print_Area" localSheetId="2">RFQ!$A$1:$O$100</definedName>
    <definedName name="_xlnm.Print_Area" localSheetId="3">'Tech Eval HNC USE ONLY'!$A:$C</definedName>
    <definedName name="_xlnm.Print_Titles" localSheetId="2">RFQ!$S:$U,RFQ!$1:$2</definedName>
    <definedName name="Z_056DF672_C699_49F3_9F8F_FF611E6486A3_.wvu.PrintArea" localSheetId="2" hidden="1">RFQ!$S$1:$CX$83</definedName>
    <definedName name="Z_056DF672_C699_49F3_9F8F_FF611E6486A3_.wvu.PrintArea" localSheetId="3" hidden="1">'Tech Eval HNC USE ONLY'!$A:$C</definedName>
    <definedName name="Z_056DF672_C699_49F3_9F8F_FF611E6486A3_.wvu.PrintTitles" localSheetId="2" hidden="1">RFQ!$S:$U,RFQ!$1:$2</definedName>
    <definedName name="Z_68E7B74C_C3B2_4B0B_8DBB_C6EB7678BF05_.wvu.PrintArea" localSheetId="2" hidden="1">RFQ!$A$1:$O$100</definedName>
    <definedName name="Z_68E7B74C_C3B2_4B0B_8DBB_C6EB7678BF05_.wvu.PrintArea" localSheetId="3" hidden="1">'Tech Eval HNC USE ONLY'!$A:$C</definedName>
    <definedName name="Z_68E7B74C_C3B2_4B0B_8DBB_C6EB7678BF05_.wvu.PrintTitles" localSheetId="2" hidden="1">RFQ!$S:$U,RFQ!$1:$2</definedName>
  </definedNames>
  <calcPr calcId="191028"/>
  <customWorkbookViews>
    <customWorkbookView name="attach1" guid="{68E7B74C-C3B2-4B0B-8DBB-C6EB7678BF05}" includeHiddenRowCol="0" maximized="1" xWindow="-9" yWindow="-9" windowWidth="1938" windowHeight="1168" tabRatio="785" activeSheetId="2"/>
    <customWorkbookView name="locations" guid="{056DF672-C699-49F3-9F8F-FF611E6486A3}" includeHiddenRowCol="0" maximized="1" xWindow="-9" yWindow="-9" windowWidth="1938" windowHeight="1168" tabRatio="785"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2" l="1"/>
  <c r="Q16" i="2"/>
  <c r="T16" i="2"/>
  <c r="U16" i="2"/>
  <c r="V16" i="2"/>
  <c r="B16" i="2" s="1"/>
  <c r="P17" i="2"/>
  <c r="Q17" i="2"/>
  <c r="T17" i="2"/>
  <c r="U17" i="2"/>
  <c r="V17" i="2"/>
  <c r="B17" i="2" s="1"/>
  <c r="P18" i="2"/>
  <c r="Q18" i="2"/>
  <c r="T18" i="2"/>
  <c r="U18" i="2"/>
  <c r="V18" i="2"/>
  <c r="B18" i="2" s="1"/>
  <c r="B19" i="2"/>
  <c r="M19" i="2" s="1"/>
  <c r="P19" i="2"/>
  <c r="Q19" i="2"/>
  <c r="T19" i="2"/>
  <c r="U19" i="2"/>
  <c r="V19" i="2"/>
  <c r="P20" i="2"/>
  <c r="Q20" i="2"/>
  <c r="T20" i="2"/>
  <c r="U20" i="2"/>
  <c r="V20" i="2"/>
  <c r="B20" i="2" s="1"/>
  <c r="P21" i="2"/>
  <c r="Q21" i="2"/>
  <c r="T21" i="2"/>
  <c r="U21" i="2"/>
  <c r="V21" i="2"/>
  <c r="B21" i="2" s="1"/>
  <c r="B22" i="2"/>
  <c r="M22" i="2"/>
  <c r="O22" i="2"/>
  <c r="P22" i="2"/>
  <c r="Q22" i="2"/>
  <c r="T22" i="2"/>
  <c r="U22" i="2"/>
  <c r="V22" i="2"/>
  <c r="P23" i="2"/>
  <c r="Q23" i="2"/>
  <c r="T23" i="2"/>
  <c r="U23" i="2"/>
  <c r="V23" i="2"/>
  <c r="B23" i="2" s="1"/>
  <c r="P24" i="2"/>
  <c r="Q24" i="2"/>
  <c r="T24" i="2"/>
  <c r="U24" i="2"/>
  <c r="V24" i="2"/>
  <c r="B24" i="2" s="1"/>
  <c r="P25" i="2"/>
  <c r="Q25" i="2"/>
  <c r="T25" i="2"/>
  <c r="U25" i="2"/>
  <c r="V25" i="2"/>
  <c r="B25" i="2" s="1"/>
  <c r="P26" i="2"/>
  <c r="Q26" i="2"/>
  <c r="T26" i="2"/>
  <c r="U26" i="2"/>
  <c r="V26" i="2"/>
  <c r="B26" i="2" s="1"/>
  <c r="P27" i="2"/>
  <c r="Q27" i="2"/>
  <c r="T27" i="2"/>
  <c r="U27" i="2"/>
  <c r="V27" i="2"/>
  <c r="B27" i="2" s="1"/>
  <c r="B28" i="2"/>
  <c r="O28" i="2" s="1"/>
  <c r="M28" i="2"/>
  <c r="P28" i="2"/>
  <c r="Q28" i="2"/>
  <c r="T28" i="2"/>
  <c r="U28" i="2"/>
  <c r="V28" i="2"/>
  <c r="P29" i="2"/>
  <c r="Q29" i="2"/>
  <c r="T29" i="2"/>
  <c r="U29" i="2"/>
  <c r="V29" i="2"/>
  <c r="B29" i="2" s="1"/>
  <c r="P30" i="2"/>
  <c r="Q30" i="2"/>
  <c r="T30" i="2"/>
  <c r="U30" i="2"/>
  <c r="V30" i="2"/>
  <c r="B30" i="2" s="1"/>
  <c r="P31" i="2"/>
  <c r="Q31" i="2"/>
  <c r="T31" i="2"/>
  <c r="U31" i="2"/>
  <c r="V31" i="2"/>
  <c r="B31" i="2" s="1"/>
  <c r="P32" i="2"/>
  <c r="Q32" i="2"/>
  <c r="T32" i="2"/>
  <c r="U32" i="2"/>
  <c r="V32" i="2"/>
  <c r="B32" i="2" s="1"/>
  <c r="P33" i="2"/>
  <c r="Q33" i="2"/>
  <c r="T33" i="2"/>
  <c r="U33" i="2"/>
  <c r="V33" i="2"/>
  <c r="B33" i="2" s="1"/>
  <c r="P34" i="2"/>
  <c r="Q34" i="2"/>
  <c r="T34" i="2"/>
  <c r="U34" i="2"/>
  <c r="V34" i="2"/>
  <c r="B34" i="2" s="1"/>
  <c r="P35" i="2"/>
  <c r="Q35" i="2"/>
  <c r="T35" i="2"/>
  <c r="U35" i="2"/>
  <c r="V35" i="2"/>
  <c r="B35" i="2" s="1"/>
  <c r="M35" i="2" s="1"/>
  <c r="P36" i="2"/>
  <c r="Q36" i="2"/>
  <c r="T36" i="2"/>
  <c r="U36" i="2"/>
  <c r="V36" i="2"/>
  <c r="B36" i="2" s="1"/>
  <c r="P37" i="2"/>
  <c r="Q37" i="2"/>
  <c r="T37" i="2"/>
  <c r="U37" i="2"/>
  <c r="V37" i="2"/>
  <c r="B37" i="2" s="1"/>
  <c r="P38" i="2"/>
  <c r="Q38" i="2"/>
  <c r="T38" i="2"/>
  <c r="U38" i="2"/>
  <c r="V38" i="2"/>
  <c r="B38" i="2" s="1"/>
  <c r="P39" i="2"/>
  <c r="Q39" i="2"/>
  <c r="T39" i="2"/>
  <c r="U39" i="2"/>
  <c r="V39" i="2"/>
  <c r="B39" i="2" s="1"/>
  <c r="P40" i="2"/>
  <c r="Q40" i="2"/>
  <c r="T40" i="2"/>
  <c r="U40" i="2"/>
  <c r="V40" i="2"/>
  <c r="B40" i="2" s="1"/>
  <c r="C855" i="3"/>
  <c r="M38" i="2" l="1"/>
  <c r="O38" i="2"/>
  <c r="M25" i="2"/>
  <c r="O25" i="2"/>
  <c r="O26" i="2"/>
  <c r="M26" i="2"/>
  <c r="M23" i="2"/>
  <c r="O23" i="2"/>
  <c r="O37" i="2"/>
  <c r="M37" i="2"/>
  <c r="M32" i="2"/>
  <c r="O32" i="2"/>
  <c r="M20" i="2"/>
  <c r="O20" i="2"/>
  <c r="M30" i="2"/>
  <c r="O30" i="2"/>
  <c r="M36" i="2"/>
  <c r="O36" i="2"/>
  <c r="M24" i="2"/>
  <c r="O24" i="2"/>
  <c r="M29" i="2"/>
  <c r="O29" i="2"/>
  <c r="O18" i="2"/>
  <c r="M18" i="2"/>
  <c r="O34" i="2"/>
  <c r="M34" i="2"/>
  <c r="O39" i="2"/>
  <c r="M39" i="2"/>
  <c r="M16" i="2"/>
  <c r="O16" i="2"/>
  <c r="O33" i="2"/>
  <c r="M33" i="2"/>
  <c r="M27" i="2"/>
  <c r="O27" i="2"/>
  <c r="O21" i="2"/>
  <c r="M21" i="2"/>
  <c r="O31" i="2"/>
  <c r="M31" i="2"/>
  <c r="M40" i="2"/>
  <c r="O40" i="2"/>
  <c r="M17" i="2"/>
  <c r="O17" i="2"/>
  <c r="O35" i="2"/>
  <c r="O19" i="2"/>
  <c r="L2"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15" i="2"/>
  <c r="Q14" i="2"/>
  <c r="Q13" i="2"/>
  <c r="Q12" i="2"/>
  <c r="Q11" i="2"/>
  <c r="Q10" i="2"/>
  <c r="Q9" i="2"/>
  <c r="Q8" i="2"/>
  <c r="Q7" i="2"/>
  <c r="Q6" i="2"/>
  <c r="Q5" i="2"/>
  <c r="Q4" i="2"/>
  <c r="U6" i="2"/>
  <c r="H2" i="2"/>
  <c r="J3" i="2"/>
  <c r="I3" i="2"/>
  <c r="H3" i="2"/>
  <c r="A86" i="2" l="1"/>
  <c r="V4" i="2"/>
  <c r="B4" i="2" s="1"/>
  <c r="V5" i="2"/>
  <c r="B5" i="2" s="1"/>
  <c r="M5" i="2" s="1"/>
  <c r="V6" i="2"/>
  <c r="B6" i="2" s="1"/>
  <c r="M6" i="2" s="1"/>
  <c r="V7" i="2"/>
  <c r="B7" i="2" s="1"/>
  <c r="M7" i="2" s="1"/>
  <c r="V8" i="2"/>
  <c r="B8" i="2" s="1"/>
  <c r="M8" i="2" s="1"/>
  <c r="V9" i="2"/>
  <c r="T4" i="2"/>
  <c r="K2" i="2"/>
  <c r="M2" i="2"/>
  <c r="G85" i="2"/>
  <c r="T9" i="2"/>
  <c r="P84" i="2"/>
  <c r="S2" i="2"/>
  <c r="T84" i="2"/>
  <c r="U84" i="2"/>
  <c r="V84" i="2"/>
  <c r="B84" i="2" s="1"/>
  <c r="M84" i="2" s="1"/>
  <c r="C1125" i="3"/>
  <c r="C1124" i="3"/>
  <c r="C1123" i="3"/>
  <c r="C1122" i="3"/>
  <c r="C1111" i="3"/>
  <c r="C1110" i="3"/>
  <c r="C1109" i="3"/>
  <c r="C1108" i="3"/>
  <c r="C1097" i="3"/>
  <c r="C1096" i="3"/>
  <c r="C1095" i="3"/>
  <c r="C1094" i="3"/>
  <c r="C1083" i="3"/>
  <c r="C1082" i="3"/>
  <c r="C1081" i="3"/>
  <c r="C1080" i="3"/>
  <c r="C1121" i="3"/>
  <c r="A1121" i="3"/>
  <c r="C1107" i="3"/>
  <c r="B1121" i="3" s="1"/>
  <c r="A1107" i="3"/>
  <c r="A1093" i="3"/>
  <c r="C1093" i="3"/>
  <c r="B1107" i="3" s="1"/>
  <c r="C1079" i="3"/>
  <c r="B1093" i="3" s="1"/>
  <c r="A1079" i="3"/>
  <c r="M4" i="2" l="1"/>
  <c r="A4" i="2"/>
  <c r="A5" i="2" s="1"/>
  <c r="O84" i="2"/>
  <c r="C19" i="3" l="1"/>
  <c r="C18" i="3"/>
  <c r="C1065" i="3"/>
  <c r="B1079" i="3" s="1"/>
  <c r="C1066" i="3"/>
  <c r="C1067" i="3"/>
  <c r="C1068" i="3"/>
  <c r="C1069" i="3"/>
  <c r="A1065" i="3"/>
  <c r="C1051" i="3"/>
  <c r="B1065" i="3" s="1"/>
  <c r="C1052" i="3"/>
  <c r="C1053" i="3"/>
  <c r="C1054" i="3"/>
  <c r="C1055" i="3"/>
  <c r="A1051" i="3"/>
  <c r="C1041" i="3"/>
  <c r="C1040" i="3"/>
  <c r="C1039" i="3"/>
  <c r="C1038" i="3"/>
  <c r="C1037" i="3"/>
  <c r="B1051" i="3" s="1"/>
  <c r="A1037" i="3"/>
  <c r="C1027" i="3"/>
  <c r="C1026" i="3"/>
  <c r="C1025" i="3"/>
  <c r="C1024" i="3"/>
  <c r="C1023" i="3"/>
  <c r="B1037" i="3" s="1"/>
  <c r="A1023" i="3"/>
  <c r="C1013" i="3"/>
  <c r="C1012" i="3"/>
  <c r="C1011" i="3"/>
  <c r="C1010" i="3"/>
  <c r="C1009" i="3"/>
  <c r="B1023" i="3" s="1"/>
  <c r="A1009" i="3"/>
  <c r="C999" i="3"/>
  <c r="C998" i="3"/>
  <c r="C997" i="3"/>
  <c r="C996" i="3"/>
  <c r="C995" i="3"/>
  <c r="B1009" i="3" s="1"/>
  <c r="A995" i="3"/>
  <c r="C985" i="3"/>
  <c r="C984" i="3"/>
  <c r="C983" i="3"/>
  <c r="C982" i="3"/>
  <c r="C981" i="3"/>
  <c r="B995" i="3" s="1"/>
  <c r="A981" i="3"/>
  <c r="C971" i="3"/>
  <c r="C970" i="3"/>
  <c r="C969" i="3"/>
  <c r="C968" i="3"/>
  <c r="C967" i="3"/>
  <c r="B981" i="3" s="1"/>
  <c r="A967" i="3"/>
  <c r="C957" i="3"/>
  <c r="C956" i="3"/>
  <c r="C955" i="3"/>
  <c r="C954" i="3"/>
  <c r="C953" i="3"/>
  <c r="B967" i="3" s="1"/>
  <c r="A953" i="3"/>
  <c r="C943" i="3"/>
  <c r="C942" i="3"/>
  <c r="C941" i="3"/>
  <c r="C940" i="3"/>
  <c r="C939" i="3"/>
  <c r="B953" i="3" s="1"/>
  <c r="A939" i="3"/>
  <c r="C928" i="3"/>
  <c r="C929" i="3"/>
  <c r="C927" i="3"/>
  <c r="C926" i="3"/>
  <c r="C925" i="3"/>
  <c r="B939" i="3" s="1"/>
  <c r="A925" i="3"/>
  <c r="C915" i="3"/>
  <c r="C914" i="3"/>
  <c r="C913" i="3"/>
  <c r="C912" i="3"/>
  <c r="C911" i="3"/>
  <c r="B925" i="3" s="1"/>
  <c r="A911" i="3"/>
  <c r="C901" i="3"/>
  <c r="C900" i="3"/>
  <c r="C899" i="3"/>
  <c r="C898" i="3"/>
  <c r="C897" i="3"/>
  <c r="B911" i="3" s="1"/>
  <c r="A897" i="3"/>
  <c r="C887" i="3"/>
  <c r="C886" i="3"/>
  <c r="C885" i="3"/>
  <c r="C884" i="3"/>
  <c r="C883" i="3"/>
  <c r="B897" i="3" s="1"/>
  <c r="A883" i="3"/>
  <c r="C873" i="3"/>
  <c r="C872" i="3"/>
  <c r="C871" i="3"/>
  <c r="C870" i="3"/>
  <c r="C869" i="3"/>
  <c r="B869" i="3" s="1"/>
  <c r="A869" i="3"/>
  <c r="A855" i="3"/>
  <c r="A841" i="3"/>
  <c r="C859" i="3"/>
  <c r="C858" i="3"/>
  <c r="C857" i="3"/>
  <c r="C856" i="3"/>
  <c r="B855" i="3"/>
  <c r="C845" i="3"/>
  <c r="C843" i="3"/>
  <c r="C844" i="3"/>
  <c r="C842" i="3"/>
  <c r="C841" i="3"/>
  <c r="B841" i="3" s="1"/>
  <c r="C831" i="3"/>
  <c r="C830" i="3"/>
  <c r="C829" i="3"/>
  <c r="C828" i="3"/>
  <c r="C827" i="3"/>
  <c r="B827" i="3" s="1"/>
  <c r="A827" i="3"/>
  <c r="C817" i="3"/>
  <c r="C816" i="3"/>
  <c r="C815" i="3"/>
  <c r="C814" i="3"/>
  <c r="C813" i="3"/>
  <c r="B813" i="3" s="1"/>
  <c r="A813" i="3"/>
  <c r="C803" i="3"/>
  <c r="C802" i="3"/>
  <c r="C801" i="3"/>
  <c r="C800" i="3"/>
  <c r="C799" i="3"/>
  <c r="B799" i="3" s="1"/>
  <c r="A799" i="3"/>
  <c r="C788" i="3"/>
  <c r="C789" i="3"/>
  <c r="C787" i="3"/>
  <c r="C786" i="3"/>
  <c r="C785" i="3"/>
  <c r="B785" i="3" s="1"/>
  <c r="A785" i="3"/>
  <c r="C775" i="3"/>
  <c r="C774" i="3"/>
  <c r="C773" i="3"/>
  <c r="C772" i="3"/>
  <c r="C771" i="3"/>
  <c r="B771" i="3" s="1"/>
  <c r="A771" i="3"/>
  <c r="C759" i="3"/>
  <c r="C761" i="3"/>
  <c r="C760" i="3"/>
  <c r="C758" i="3"/>
  <c r="C757" i="3"/>
  <c r="B757" i="3" s="1"/>
  <c r="A757" i="3"/>
  <c r="C747" i="3"/>
  <c r="C746" i="3"/>
  <c r="C745" i="3"/>
  <c r="C744" i="3"/>
  <c r="C743" i="3"/>
  <c r="B743" i="3" s="1"/>
  <c r="A743" i="3"/>
  <c r="C733" i="3"/>
  <c r="C732" i="3"/>
  <c r="C731" i="3"/>
  <c r="C730" i="3"/>
  <c r="C729" i="3"/>
  <c r="B729" i="3" s="1"/>
  <c r="A729" i="3"/>
  <c r="C719" i="3"/>
  <c r="C718" i="3"/>
  <c r="C717" i="3"/>
  <c r="C716" i="3"/>
  <c r="C715" i="3"/>
  <c r="B715" i="3" s="1"/>
  <c r="A715" i="3"/>
  <c r="C705" i="3"/>
  <c r="C704" i="3"/>
  <c r="C703" i="3"/>
  <c r="C702" i="3"/>
  <c r="C701" i="3"/>
  <c r="B701" i="3" s="1"/>
  <c r="A701" i="3"/>
  <c r="A687" i="3"/>
  <c r="C689" i="3"/>
  <c r="C691" i="3"/>
  <c r="C690" i="3"/>
  <c r="C688" i="3"/>
  <c r="C687" i="3"/>
  <c r="B687" i="3" s="1"/>
  <c r="C677" i="3"/>
  <c r="C676" i="3"/>
  <c r="C675" i="3"/>
  <c r="C674" i="3"/>
  <c r="C673" i="3"/>
  <c r="B673" i="3" s="1"/>
  <c r="A673" i="3"/>
  <c r="C663" i="3"/>
  <c r="C662" i="3"/>
  <c r="C661" i="3"/>
  <c r="C660" i="3"/>
  <c r="C659" i="3"/>
  <c r="B659" i="3" s="1"/>
  <c r="A659" i="3"/>
  <c r="C649" i="3"/>
  <c r="C648" i="3"/>
  <c r="C647" i="3"/>
  <c r="C646" i="3"/>
  <c r="C645" i="3"/>
  <c r="B645" i="3" s="1"/>
  <c r="A645" i="3"/>
  <c r="C635" i="3"/>
  <c r="C634" i="3"/>
  <c r="C633" i="3"/>
  <c r="C632" i="3"/>
  <c r="C631" i="3"/>
  <c r="B631" i="3" s="1"/>
  <c r="A631" i="3"/>
  <c r="C621" i="3"/>
  <c r="C620" i="3"/>
  <c r="C619" i="3"/>
  <c r="C618" i="3"/>
  <c r="C617" i="3"/>
  <c r="B617" i="3" s="1"/>
  <c r="A617" i="3"/>
  <c r="C607" i="3"/>
  <c r="C606" i="3"/>
  <c r="C605" i="3"/>
  <c r="C604" i="3"/>
  <c r="C603" i="3"/>
  <c r="B603" i="3" s="1"/>
  <c r="A603" i="3"/>
  <c r="C593" i="3"/>
  <c r="C592" i="3"/>
  <c r="C590" i="3"/>
  <c r="C591" i="3"/>
  <c r="C589" i="3"/>
  <c r="B589" i="3" s="1"/>
  <c r="A589" i="3"/>
  <c r="C579" i="3"/>
  <c r="C578" i="3"/>
  <c r="C577" i="3"/>
  <c r="C576" i="3"/>
  <c r="C575" i="3"/>
  <c r="B575" i="3" s="1"/>
  <c r="A575" i="3"/>
  <c r="C565" i="3"/>
  <c r="C564" i="3"/>
  <c r="C563" i="3"/>
  <c r="C562" i="3"/>
  <c r="C561" i="3"/>
  <c r="B561" i="3" s="1"/>
  <c r="A561" i="3"/>
  <c r="C551" i="3"/>
  <c r="C550" i="3"/>
  <c r="C549" i="3"/>
  <c r="C548" i="3"/>
  <c r="C547" i="3"/>
  <c r="B547" i="3" s="1"/>
  <c r="A547" i="3"/>
  <c r="C535" i="3"/>
  <c r="C537" i="3"/>
  <c r="C536" i="3"/>
  <c r="C534" i="3"/>
  <c r="C533" i="3"/>
  <c r="B533" i="3" s="1"/>
  <c r="A533" i="3"/>
  <c r="C523" i="3"/>
  <c r="C522" i="3"/>
  <c r="C521" i="3"/>
  <c r="C520" i="3"/>
  <c r="C519" i="3"/>
  <c r="B519" i="3" s="1"/>
  <c r="A519" i="3"/>
  <c r="C508" i="3"/>
  <c r="C507" i="3"/>
  <c r="C509" i="3"/>
  <c r="C506" i="3"/>
  <c r="C505" i="3"/>
  <c r="B505" i="3" s="1"/>
  <c r="A505" i="3"/>
  <c r="C493" i="3"/>
  <c r="C492" i="3"/>
  <c r="C494" i="3"/>
  <c r="C495" i="3"/>
  <c r="C491" i="3"/>
  <c r="B491" i="3" s="1"/>
  <c r="A491" i="3"/>
  <c r="C481" i="3"/>
  <c r="C480" i="3"/>
  <c r="C478" i="3"/>
  <c r="C479" i="3"/>
  <c r="C477" i="3"/>
  <c r="B477" i="3" s="1"/>
  <c r="A477" i="3"/>
  <c r="C465" i="3"/>
  <c r="C467" i="3"/>
  <c r="C466" i="3"/>
  <c r="C464" i="3"/>
  <c r="C463" i="3"/>
  <c r="B463" i="3" s="1"/>
  <c r="A463" i="3"/>
  <c r="C453" i="3"/>
  <c r="C452" i="3"/>
  <c r="C451" i="3"/>
  <c r="C450" i="3"/>
  <c r="C449" i="3"/>
  <c r="B449" i="3" s="1"/>
  <c r="A449" i="3"/>
  <c r="C439" i="3"/>
  <c r="C438" i="3"/>
  <c r="C437" i="3"/>
  <c r="C436" i="3"/>
  <c r="C435" i="3"/>
  <c r="B435" i="3" s="1"/>
  <c r="A435" i="3"/>
  <c r="C422" i="3"/>
  <c r="C423" i="3"/>
  <c r="C424" i="3"/>
  <c r="C425" i="3"/>
  <c r="C421" i="3"/>
  <c r="B421" i="3" s="1"/>
  <c r="A421" i="3"/>
  <c r="C397" i="3"/>
  <c r="C396" i="3"/>
  <c r="C408" i="3"/>
  <c r="C409" i="3"/>
  <c r="C410" i="3"/>
  <c r="C411" i="3"/>
  <c r="C407" i="3"/>
  <c r="B407" i="3" s="1"/>
  <c r="A407" i="3"/>
  <c r="C395" i="3"/>
  <c r="C394" i="3"/>
  <c r="C393" i="3"/>
  <c r="B393" i="3" s="1"/>
  <c r="A393" i="3"/>
  <c r="C383" i="3"/>
  <c r="C382" i="3"/>
  <c r="C381" i="3"/>
  <c r="C380" i="3"/>
  <c r="C379" i="3"/>
  <c r="B379" i="3" s="1"/>
  <c r="A379" i="3"/>
  <c r="C369" i="3"/>
  <c r="C368" i="3"/>
  <c r="C367" i="3"/>
  <c r="C366" i="3"/>
  <c r="C365" i="3"/>
  <c r="B365" i="3" s="1"/>
  <c r="A365" i="3"/>
  <c r="C355" i="3"/>
  <c r="C354" i="3"/>
  <c r="C353" i="3"/>
  <c r="C352" i="3"/>
  <c r="C351" i="3"/>
  <c r="B351" i="3" s="1"/>
  <c r="A351" i="3"/>
  <c r="C341" i="3"/>
  <c r="C340" i="3"/>
  <c r="C339" i="3"/>
  <c r="C338" i="3"/>
  <c r="C337" i="3"/>
  <c r="B337" i="3" s="1"/>
  <c r="A337" i="3"/>
  <c r="C327" i="3"/>
  <c r="C326" i="3"/>
  <c r="C325" i="3"/>
  <c r="C324" i="3"/>
  <c r="C323" i="3"/>
  <c r="B323" i="3" s="1"/>
  <c r="A323" i="3"/>
  <c r="C313" i="3"/>
  <c r="C312" i="3"/>
  <c r="C310" i="3"/>
  <c r="C311" i="3"/>
  <c r="C309" i="3"/>
  <c r="B309" i="3" s="1"/>
  <c r="A309" i="3"/>
  <c r="C299" i="3"/>
  <c r="C298" i="3"/>
  <c r="C297" i="3"/>
  <c r="C296" i="3"/>
  <c r="C295" i="3"/>
  <c r="B295" i="3" s="1"/>
  <c r="A295" i="3"/>
  <c r="C285" i="3"/>
  <c r="C284" i="3"/>
  <c r="C283" i="3"/>
  <c r="C282" i="3"/>
  <c r="C281" i="3"/>
  <c r="B281" i="3" s="1"/>
  <c r="A281" i="3"/>
  <c r="C271" i="3"/>
  <c r="C270" i="3"/>
  <c r="C269" i="3"/>
  <c r="C268" i="3"/>
  <c r="C267" i="3"/>
  <c r="B267" i="3" s="1"/>
  <c r="A267" i="3"/>
  <c r="C257" i="3"/>
  <c r="C256" i="3"/>
  <c r="C255" i="3"/>
  <c r="C254" i="3"/>
  <c r="C253" i="3"/>
  <c r="B253" i="3" s="1"/>
  <c r="A253" i="3"/>
  <c r="C243" i="3"/>
  <c r="C242" i="3"/>
  <c r="C241" i="3"/>
  <c r="C240" i="3"/>
  <c r="C239" i="3"/>
  <c r="B239" i="3" s="1"/>
  <c r="A239" i="3"/>
  <c r="C229" i="3"/>
  <c r="C227" i="3"/>
  <c r="C228" i="3"/>
  <c r="C226" i="3"/>
  <c r="C225" i="3"/>
  <c r="B225" i="3" s="1"/>
  <c r="A225" i="3"/>
  <c r="C214" i="3"/>
  <c r="C213" i="3"/>
  <c r="C215" i="3"/>
  <c r="C212" i="3"/>
  <c r="C211" i="3"/>
  <c r="B211" i="3" s="1"/>
  <c r="A211" i="3"/>
  <c r="C200" i="3"/>
  <c r="C201" i="3"/>
  <c r="C198" i="3"/>
  <c r="C199" i="3"/>
  <c r="C197" i="3"/>
  <c r="B197" i="3" s="1"/>
  <c r="A197" i="3"/>
  <c r="C185" i="3"/>
  <c r="C187" i="3"/>
  <c r="C186" i="3"/>
  <c r="C184" i="3"/>
  <c r="C183" i="3"/>
  <c r="B183" i="3" s="1"/>
  <c r="A183" i="3"/>
  <c r="C172" i="3"/>
  <c r="C171" i="3"/>
  <c r="C173" i="3"/>
  <c r="C170" i="3"/>
  <c r="C169" i="3"/>
  <c r="B169" i="3" s="1"/>
  <c r="A169" i="3"/>
  <c r="C158" i="3"/>
  <c r="C157" i="3"/>
  <c r="C156" i="3"/>
  <c r="C159" i="3"/>
  <c r="C155" i="3"/>
  <c r="B155" i="3" s="1"/>
  <c r="C144" i="3"/>
  <c r="C142" i="3"/>
  <c r="C143" i="3"/>
  <c r="C145" i="3"/>
  <c r="C141" i="3"/>
  <c r="B141" i="3" s="1"/>
  <c r="C131" i="3"/>
  <c r="C130" i="3"/>
  <c r="C129" i="3"/>
  <c r="C128" i="3"/>
  <c r="C127" i="3"/>
  <c r="B127" i="3" s="1"/>
  <c r="C117" i="3"/>
  <c r="C114" i="3"/>
  <c r="C116" i="3"/>
  <c r="C115" i="3"/>
  <c r="C113" i="3"/>
  <c r="B113" i="3" s="1"/>
  <c r="C103" i="3"/>
  <c r="C102" i="3"/>
  <c r="C101" i="3"/>
  <c r="C100" i="3"/>
  <c r="C99" i="3"/>
  <c r="B99" i="3" s="1"/>
  <c r="C89" i="3"/>
  <c r="C88" i="3"/>
  <c r="C87" i="3"/>
  <c r="C86" i="3"/>
  <c r="C85" i="3"/>
  <c r="B85" i="3" s="1"/>
  <c r="C75" i="3"/>
  <c r="C74" i="3"/>
  <c r="C73" i="3"/>
  <c r="C72" i="3"/>
  <c r="C71" i="3"/>
  <c r="B71" i="3" s="1"/>
  <c r="C60" i="3"/>
  <c r="C59" i="3"/>
  <c r="C61" i="3"/>
  <c r="C58" i="3"/>
  <c r="C57" i="3"/>
  <c r="B57" i="3" s="1"/>
  <c r="C47" i="3"/>
  <c r="C46" i="3"/>
  <c r="C44" i="3"/>
  <c r="C45" i="3"/>
  <c r="C43" i="3"/>
  <c r="B43" i="3" s="1"/>
  <c r="B883" i="3" l="1"/>
  <c r="C1" i="3"/>
  <c r="C15" i="3"/>
  <c r="U4" i="2" l="1"/>
  <c r="C33" i="3"/>
  <c r="C32" i="3"/>
  <c r="C31" i="3"/>
  <c r="C30" i="3"/>
  <c r="C29" i="3"/>
  <c r="B29" i="3" s="1"/>
  <c r="C17" i="3"/>
  <c r="C16" i="3"/>
  <c r="B15" i="3"/>
  <c r="C5" i="3"/>
  <c r="C4" i="3"/>
  <c r="C3" i="3"/>
  <c r="C2" i="3"/>
  <c r="B1" i="3"/>
  <c r="P83" i="2" l="1"/>
  <c r="P82" i="2"/>
  <c r="P81" i="2"/>
  <c r="P80" i="2"/>
  <c r="P79" i="2"/>
  <c r="P78" i="2"/>
  <c r="P76" i="2"/>
  <c r="P74" i="2"/>
  <c r="P72" i="2"/>
  <c r="P71" i="2"/>
  <c r="P70" i="2"/>
  <c r="P68" i="2"/>
  <c r="P66" i="2"/>
  <c r="P65" i="2"/>
  <c r="P64" i="2"/>
  <c r="P63" i="2"/>
  <c r="P62" i="2"/>
  <c r="P61" i="2"/>
  <c r="P60" i="2"/>
  <c r="P59" i="2"/>
  <c r="P58" i="2"/>
  <c r="P57" i="2"/>
  <c r="P56" i="2"/>
  <c r="P55" i="2"/>
  <c r="P54" i="2"/>
  <c r="P53" i="2"/>
  <c r="P52" i="2"/>
  <c r="P51" i="2"/>
  <c r="P50" i="2"/>
  <c r="P49" i="2"/>
  <c r="P48" i="2"/>
  <c r="P47" i="2"/>
  <c r="P46" i="2"/>
  <c r="P45" i="2"/>
  <c r="P44" i="2"/>
  <c r="P43" i="2"/>
  <c r="P42" i="2"/>
  <c r="P41" i="2"/>
  <c r="P15" i="2"/>
  <c r="P14" i="2"/>
  <c r="P13" i="2"/>
  <c r="P12" i="2"/>
  <c r="P11" i="2"/>
  <c r="P10" i="2"/>
  <c r="T6" i="2" l="1"/>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15" i="2"/>
  <c r="U14" i="2"/>
  <c r="U13" i="2"/>
  <c r="U12" i="2"/>
  <c r="U11" i="2"/>
  <c r="U10" i="2"/>
  <c r="U9" i="2"/>
  <c r="U8" i="2"/>
  <c r="U7" i="2"/>
  <c r="U5"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15" i="2"/>
  <c r="T14" i="2"/>
  <c r="T13" i="2"/>
  <c r="T12" i="2"/>
  <c r="T11" i="2"/>
  <c r="T10" i="2"/>
  <c r="T8" i="2"/>
  <c r="T7" i="2"/>
  <c r="T5" i="2"/>
  <c r="V83" i="2"/>
  <c r="B83" i="2" s="1"/>
  <c r="M83" i="2" s="1"/>
  <c r="V82" i="2"/>
  <c r="B82" i="2" s="1"/>
  <c r="M82" i="2" s="1"/>
  <c r="V81" i="2"/>
  <c r="B81" i="2" s="1"/>
  <c r="M81" i="2" s="1"/>
  <c r="V80" i="2"/>
  <c r="B80" i="2" s="1"/>
  <c r="M80" i="2" s="1"/>
  <c r="V79" i="2"/>
  <c r="B79" i="2" s="1"/>
  <c r="M79" i="2" s="1"/>
  <c r="V78" i="2"/>
  <c r="B78" i="2" s="1"/>
  <c r="M78" i="2" s="1"/>
  <c r="V77" i="2"/>
  <c r="B77" i="2" s="1"/>
  <c r="M77" i="2" s="1"/>
  <c r="V76" i="2"/>
  <c r="B76" i="2" s="1"/>
  <c r="M76" i="2" s="1"/>
  <c r="V75" i="2"/>
  <c r="B75" i="2" s="1"/>
  <c r="M75" i="2" s="1"/>
  <c r="V74" i="2"/>
  <c r="B74" i="2" s="1"/>
  <c r="M74" i="2" s="1"/>
  <c r="V73" i="2"/>
  <c r="B73" i="2" s="1"/>
  <c r="M73" i="2" s="1"/>
  <c r="V72" i="2"/>
  <c r="B72" i="2" s="1"/>
  <c r="M72" i="2" s="1"/>
  <c r="V71" i="2"/>
  <c r="B71" i="2" s="1"/>
  <c r="M71" i="2" s="1"/>
  <c r="V70" i="2"/>
  <c r="B70" i="2" s="1"/>
  <c r="M70" i="2" s="1"/>
  <c r="V69" i="2"/>
  <c r="B69" i="2" s="1"/>
  <c r="M69" i="2" s="1"/>
  <c r="V68" i="2"/>
  <c r="B68" i="2" s="1"/>
  <c r="M68" i="2" s="1"/>
  <c r="V67" i="2"/>
  <c r="B67" i="2" s="1"/>
  <c r="M67" i="2" s="1"/>
  <c r="V66" i="2"/>
  <c r="B66" i="2" s="1"/>
  <c r="M66" i="2" s="1"/>
  <c r="V65" i="2"/>
  <c r="B65" i="2" s="1"/>
  <c r="M65" i="2" s="1"/>
  <c r="V64" i="2"/>
  <c r="B64" i="2" s="1"/>
  <c r="M64" i="2" s="1"/>
  <c r="V63" i="2"/>
  <c r="B63" i="2" s="1"/>
  <c r="M63" i="2" s="1"/>
  <c r="V62" i="2"/>
  <c r="B62" i="2" s="1"/>
  <c r="M62" i="2" s="1"/>
  <c r="V61" i="2"/>
  <c r="B61" i="2" s="1"/>
  <c r="M61" i="2" s="1"/>
  <c r="V60" i="2"/>
  <c r="B60" i="2" s="1"/>
  <c r="M60" i="2" s="1"/>
  <c r="V59" i="2"/>
  <c r="B59" i="2" s="1"/>
  <c r="M59" i="2" s="1"/>
  <c r="V58" i="2"/>
  <c r="B58" i="2" s="1"/>
  <c r="M58" i="2" s="1"/>
  <c r="V57" i="2"/>
  <c r="B57" i="2" s="1"/>
  <c r="M57" i="2" s="1"/>
  <c r="V56" i="2"/>
  <c r="B56" i="2" s="1"/>
  <c r="M56" i="2" s="1"/>
  <c r="V55" i="2"/>
  <c r="B55" i="2" s="1"/>
  <c r="M55" i="2" s="1"/>
  <c r="V54" i="2"/>
  <c r="B54" i="2" s="1"/>
  <c r="M54" i="2" s="1"/>
  <c r="V53" i="2"/>
  <c r="B53" i="2" s="1"/>
  <c r="M53" i="2" s="1"/>
  <c r="V52" i="2"/>
  <c r="B52" i="2" s="1"/>
  <c r="M52" i="2" s="1"/>
  <c r="V51" i="2"/>
  <c r="B51" i="2" s="1"/>
  <c r="M51" i="2" s="1"/>
  <c r="V50" i="2"/>
  <c r="B50" i="2" s="1"/>
  <c r="M50" i="2" s="1"/>
  <c r="V49" i="2"/>
  <c r="B49" i="2" s="1"/>
  <c r="M49" i="2" s="1"/>
  <c r="V48" i="2"/>
  <c r="B48" i="2" s="1"/>
  <c r="M48" i="2" s="1"/>
  <c r="V47" i="2"/>
  <c r="B47" i="2" s="1"/>
  <c r="M47" i="2" s="1"/>
  <c r="V46" i="2"/>
  <c r="B46" i="2" s="1"/>
  <c r="M46" i="2" s="1"/>
  <c r="V45" i="2"/>
  <c r="B45" i="2" s="1"/>
  <c r="M45" i="2" s="1"/>
  <c r="V44" i="2"/>
  <c r="B44" i="2" s="1"/>
  <c r="M44" i="2" s="1"/>
  <c r="V43" i="2"/>
  <c r="B43" i="2" s="1"/>
  <c r="M43" i="2" s="1"/>
  <c r="V42" i="2"/>
  <c r="B42" i="2" s="1"/>
  <c r="M42" i="2" s="1"/>
  <c r="V41" i="2"/>
  <c r="B41" i="2" s="1"/>
  <c r="M41" i="2" s="1"/>
  <c r="V15" i="2"/>
  <c r="B15" i="2" s="1"/>
  <c r="M15" i="2" s="1"/>
  <c r="V14" i="2"/>
  <c r="B14" i="2" s="1"/>
  <c r="M14" i="2" s="1"/>
  <c r="V13" i="2"/>
  <c r="B13" i="2" s="1"/>
  <c r="M13" i="2" s="1"/>
  <c r="V12" i="2"/>
  <c r="B12" i="2" s="1"/>
  <c r="M12" i="2" s="1"/>
  <c r="V11" i="2"/>
  <c r="B11" i="2" s="1"/>
  <c r="M11" i="2" s="1"/>
  <c r="V10" i="2"/>
  <c r="B10" i="2" s="1"/>
  <c r="M10" i="2" s="1"/>
  <c r="S4" i="2" l="1"/>
  <c r="O4" i="2"/>
  <c r="B9" i="2"/>
  <c r="M9" i="2" s="1"/>
  <c r="A1" i="3"/>
  <c r="O10" i="2"/>
  <c r="O12" i="2"/>
  <c r="O11" i="2"/>
  <c r="O13" i="2"/>
  <c r="O15" i="2"/>
  <c r="O14" i="2"/>
  <c r="O80" i="2"/>
  <c r="O69" i="2"/>
  <c r="P69" i="2" s="1"/>
  <c r="O81" i="2"/>
  <c r="O70" i="2"/>
  <c r="O82" i="2"/>
  <c r="O79" i="2"/>
  <c r="O71" i="2"/>
  <c r="O83" i="2"/>
  <c r="O72" i="2"/>
  <c r="O73" i="2"/>
  <c r="P73" i="2" s="1"/>
  <c r="O74" i="2"/>
  <c r="O75" i="2"/>
  <c r="P75" i="2" s="1"/>
  <c r="O76" i="2"/>
  <c r="O77" i="2"/>
  <c r="P77" i="2" s="1"/>
  <c r="O78" i="2"/>
  <c r="O68" i="2"/>
  <c r="O57" i="2"/>
  <c r="O56" i="2"/>
  <c r="O47" i="2"/>
  <c r="O59" i="2"/>
  <c r="O43" i="2"/>
  <c r="O46" i="2"/>
  <c r="O48" i="2"/>
  <c r="O60" i="2"/>
  <c r="O44" i="2"/>
  <c r="O49" i="2"/>
  <c r="O61" i="2"/>
  <c r="O62" i="2"/>
  <c r="O45" i="2"/>
  <c r="O58" i="2"/>
  <c r="O52" i="2"/>
  <c r="O64" i="2"/>
  <c r="O55" i="2"/>
  <c r="O50" i="2"/>
  <c r="O51" i="2"/>
  <c r="O41" i="2"/>
  <c r="O53" i="2"/>
  <c r="O65" i="2"/>
  <c r="O67" i="2"/>
  <c r="P67" i="2" s="1"/>
  <c r="O63" i="2"/>
  <c r="O42" i="2"/>
  <c r="O54" i="2"/>
  <c r="O66" i="2"/>
  <c r="P4" i="2" l="1"/>
  <c r="O5" i="2"/>
  <c r="P5" i="2" s="1"/>
  <c r="O6" i="2"/>
  <c r="P6" i="2" s="1"/>
  <c r="M85" i="2"/>
  <c r="A15" i="3"/>
  <c r="O9" i="2"/>
  <c r="P9" i="2" s="1"/>
  <c r="O8" i="2"/>
  <c r="P8" i="2" s="1"/>
  <c r="O7" i="2"/>
  <c r="P7" i="2" s="1"/>
  <c r="O85" i="2" l="1"/>
  <c r="O97" i="2" s="1"/>
  <c r="P85" i="2"/>
  <c r="K85" i="2" s="1"/>
  <c r="A6" i="2"/>
  <c r="A29" i="3" s="1"/>
  <c r="S5" i="2"/>
  <c r="S6" i="2" l="1"/>
  <c r="A7" i="2"/>
  <c r="S7" i="2" l="1"/>
  <c r="A43" i="3"/>
  <c r="A8" i="2"/>
  <c r="S8" i="2" l="1"/>
  <c r="A57" i="3"/>
  <c r="A9" i="2"/>
  <c r="A10" i="2" l="1"/>
  <c r="A71" i="3"/>
  <c r="S9" i="2"/>
  <c r="A11" i="2" l="1"/>
  <c r="A99" i="3" s="1"/>
  <c r="A85" i="3"/>
  <c r="S10" i="2"/>
  <c r="A12" i="2"/>
  <c r="A113" i="3" s="1"/>
  <c r="S11" i="2"/>
  <c r="A13" i="2" l="1"/>
  <c r="A127" i="3" s="1"/>
  <c r="S12" i="2"/>
  <c r="A14" i="2" l="1"/>
  <c r="A141" i="3" s="1"/>
  <c r="S13" i="2"/>
  <c r="A15" i="2" l="1"/>
  <c r="S14" i="2"/>
  <c r="A155" i="3" l="1"/>
  <c r="A16" i="2"/>
  <c r="S15" i="2"/>
  <c r="S16" i="2" l="1"/>
  <c r="A17" i="2"/>
  <c r="S17" i="2" l="1"/>
  <c r="A18" i="2"/>
  <c r="S18" i="2" l="1"/>
  <c r="A19" i="2"/>
  <c r="S19" i="2" l="1"/>
  <c r="A20" i="2"/>
  <c r="S20" i="2" l="1"/>
  <c r="A21" i="2"/>
  <c r="S21" i="2" l="1"/>
  <c r="A22" i="2"/>
  <c r="S22" i="2" l="1"/>
  <c r="A23" i="2"/>
  <c r="S23" i="2" l="1"/>
  <c r="A24" i="2"/>
  <c r="S24" i="2" l="1"/>
  <c r="A25" i="2"/>
  <c r="S25" i="2" l="1"/>
  <c r="A26" i="2"/>
  <c r="S26" i="2" l="1"/>
  <c r="A27" i="2"/>
  <c r="S27" i="2" l="1"/>
  <c r="A28" i="2"/>
  <c r="S28" i="2" l="1"/>
  <c r="A29" i="2"/>
  <c r="S29" i="2" l="1"/>
  <c r="A30" i="2"/>
  <c r="S30" i="2" l="1"/>
  <c r="A31" i="2"/>
  <c r="S31" i="2" l="1"/>
  <c r="A32" i="2"/>
  <c r="S32" i="2" l="1"/>
  <c r="A33" i="2"/>
  <c r="S33" i="2" l="1"/>
  <c r="A34" i="2"/>
  <c r="S34" i="2" l="1"/>
  <c r="A35" i="2"/>
  <c r="S35" i="2" l="1"/>
  <c r="A36" i="2"/>
  <c r="S36" i="2" l="1"/>
  <c r="A37" i="2"/>
  <c r="S37" i="2" l="1"/>
  <c r="A38" i="2"/>
  <c r="S38" i="2" l="1"/>
  <c r="A39" i="2"/>
  <c r="S39" i="2" l="1"/>
  <c r="A40" i="2"/>
  <c r="S40" i="2" l="1"/>
  <c r="A41" i="2"/>
  <c r="A42" i="2" l="1"/>
  <c r="S41" i="2"/>
  <c r="A43" i="2" l="1"/>
  <c r="S42" i="2"/>
  <c r="S43" i="2" l="1"/>
  <c r="A44" i="2"/>
  <c r="A45" i="2" l="1"/>
  <c r="S44" i="2"/>
  <c r="A46" i="2" l="1"/>
  <c r="S45" i="2"/>
  <c r="A47" i="2" l="1"/>
  <c r="S46" i="2"/>
  <c r="S47" i="2" l="1"/>
  <c r="A48" i="2"/>
  <c r="S48" i="2" l="1"/>
  <c r="A49" i="2"/>
  <c r="A50" i="2" l="1"/>
  <c r="S49" i="2"/>
  <c r="S50" i="2" l="1"/>
  <c r="A51" i="2"/>
  <c r="A52" i="2" l="1"/>
  <c r="S51" i="2"/>
  <c r="S52" i="2" l="1"/>
  <c r="A53" i="2"/>
  <c r="A54" i="2" l="1"/>
  <c r="S53" i="2"/>
  <c r="A55" i="2" l="1"/>
  <c r="S54" i="2"/>
  <c r="A56" i="2" l="1"/>
  <c r="S55" i="2"/>
  <c r="A57" i="2" l="1"/>
  <c r="S56" i="2"/>
  <c r="A58" i="2" l="1"/>
  <c r="S57" i="2"/>
  <c r="A59" i="2" l="1"/>
  <c r="S58" i="2"/>
  <c r="A60" i="2" l="1"/>
  <c r="S59" i="2"/>
  <c r="A61" i="2" l="1"/>
  <c r="S60" i="2"/>
  <c r="A62" i="2" l="1"/>
  <c r="S61" i="2"/>
  <c r="A63" i="2" l="1"/>
  <c r="S62" i="2"/>
  <c r="A64" i="2" l="1"/>
  <c r="S63" i="2"/>
  <c r="A65" i="2" l="1"/>
  <c r="S64" i="2"/>
  <c r="A66" i="2" l="1"/>
  <c r="S65" i="2"/>
  <c r="A67" i="2" l="1"/>
  <c r="S66" i="2"/>
  <c r="S67" i="2" l="1"/>
  <c r="A68" i="2"/>
  <c r="A69" i="2" l="1"/>
  <c r="S68" i="2"/>
  <c r="A70" i="2" l="1"/>
  <c r="S69" i="2"/>
  <c r="A71" i="2" l="1"/>
  <c r="S70" i="2"/>
  <c r="A72" i="2" l="1"/>
  <c r="S71" i="2"/>
  <c r="A73" i="2" l="1"/>
  <c r="S72" i="2"/>
  <c r="A74" i="2" l="1"/>
  <c r="S73" i="2"/>
  <c r="A75" i="2" l="1"/>
  <c r="S74" i="2"/>
  <c r="A76" i="2" l="1"/>
  <c r="S75" i="2"/>
  <c r="A77" i="2" l="1"/>
  <c r="S76" i="2"/>
  <c r="S77" i="2" l="1"/>
  <c r="A78" i="2"/>
  <c r="S78" i="2" l="1"/>
  <c r="A79" i="2"/>
  <c r="A80" i="2" l="1"/>
  <c r="S79" i="2"/>
  <c r="A81" i="2" l="1"/>
  <c r="S80" i="2"/>
  <c r="A82" i="2" l="1"/>
  <c r="S81" i="2"/>
  <c r="S82" i="2" l="1"/>
  <c r="A83" i="2"/>
  <c r="A84" i="2" l="1"/>
  <c r="S84" i="2" s="1"/>
  <c r="S83" i="2"/>
</calcChain>
</file>

<file path=xl/sharedStrings.xml><?xml version="1.0" encoding="utf-8"?>
<sst xmlns="http://schemas.openxmlformats.org/spreadsheetml/2006/main" count="1208" uniqueCount="136">
  <si>
    <t>Commercial Shipping (OCONUS)</t>
  </si>
  <si>
    <t>Electrical Work- Hardwire all items as noted in the FID to the Facility</t>
  </si>
  <si>
    <t>Oversight of Delivery</t>
  </si>
  <si>
    <t>Offload Only</t>
  </si>
  <si>
    <t>#</t>
  </si>
  <si>
    <t>Qty</t>
  </si>
  <si>
    <t>FID Para.</t>
  </si>
  <si>
    <t>FID Item Code / Description</t>
  </si>
  <si>
    <t>Vendor Quoted</t>
  </si>
  <si>
    <t>Product Line Quoted</t>
  </si>
  <si>
    <t>Model Quoted</t>
  </si>
  <si>
    <t>HNC Unit Cost</t>
  </si>
  <si>
    <t>HNC Total Cost</t>
  </si>
  <si>
    <t>ROOM NAME/ TYPE/#</t>
  </si>
  <si>
    <t>FID ¶</t>
  </si>
  <si>
    <t>ITEM DESCRIPTION</t>
  </si>
  <si>
    <t>TOTALS</t>
  </si>
  <si>
    <t>Installation &amp; Shipping:</t>
  </si>
  <si>
    <t>Shipping (CONUS)</t>
  </si>
  <si>
    <t>Secure Commercial Shipping (CONUS/OCONUS) - Refer to SOW</t>
  </si>
  <si>
    <t>GSA Contract Unit Cost is the cost provided on GSA schedule per item. HNC Unit Cost is the cost provided to HNC per item.</t>
  </si>
  <si>
    <t>Vendor Quoted:</t>
  </si>
  <si>
    <t>Product Line Quoted:</t>
  </si>
  <si>
    <t>Model Quoted:</t>
  </si>
  <si>
    <t>GSA # or Open Market:</t>
  </si>
  <si>
    <t>Warranty:</t>
  </si>
  <si>
    <t>1st Review HNC:</t>
  </si>
  <si>
    <t>1st Review Vendor:</t>
  </si>
  <si>
    <t>2nd Review HNC:</t>
  </si>
  <si>
    <t>2nd Review Vendor:</t>
  </si>
  <si>
    <t>3rd Review HNC:</t>
  </si>
  <si>
    <t>3rd Review Vendor:</t>
  </si>
  <si>
    <t>4th Review HNC:</t>
  </si>
  <si>
    <t>4th Review Vendor:</t>
  </si>
  <si>
    <t>Furniture Subtotals:</t>
  </si>
  <si>
    <t>GSA Cost:</t>
  </si>
  <si>
    <t>HNC Cost:</t>
  </si>
  <si>
    <t>GSA</t>
  </si>
  <si>
    <t>Open Market Total above</t>
  </si>
  <si>
    <t>GRAND TOTAL:</t>
  </si>
  <si>
    <t>SAM</t>
  </si>
  <si>
    <t>Do not alter any formulas in shaded cells</t>
  </si>
  <si>
    <t>Admin</t>
  </si>
  <si>
    <t>Housing</t>
  </si>
  <si>
    <t>Open Market</t>
  </si>
  <si>
    <t>GSA vs HNC</t>
  </si>
  <si>
    <r>
      <t xml:space="preserve">EDC-I:  Hide these columns before submitting file.
</t>
    </r>
    <r>
      <rPr>
        <b/>
        <sz val="9"/>
        <color theme="1"/>
        <rFont val="Arial Narrow"/>
        <family val="2"/>
      </rPr>
      <t>Select correct entries in the boxes above.</t>
    </r>
    <r>
      <rPr>
        <sz val="9"/>
        <color theme="1"/>
        <rFont val="Arial Narrow"/>
        <family val="2"/>
      </rPr>
      <t xml:space="preserve">
These columns shows open market costs and difference from GSA</t>
    </r>
  </si>
  <si>
    <t>Tariffs</t>
  </si>
  <si>
    <t>Installation - Includes new and existing items, if applicable, in accordance with SOW</t>
  </si>
  <si>
    <t>Removal of Existing Items and Disposal/Relocation in accordance with SOW</t>
  </si>
  <si>
    <r>
      <t xml:space="preserve">A. "Save As" the Att 1 file and add REV 00-00-0000 (date) to the title and the file name. 
B. To update the Att 1 for a change of product manually highlight cells in yellow that need changing (modifying).  
C. For a change in quantity, this includes the quantity on the Locations matrix, the total quantity for the item on the Locations matrix, and the quantity on the RFQ table, </t>
    </r>
    <r>
      <rPr>
        <u/>
        <sz val="11"/>
        <rFont val="Arial"/>
        <family val="2"/>
      </rPr>
      <t>Highlight</t>
    </r>
    <r>
      <rPr>
        <sz val="11"/>
        <rFont val="Arial"/>
        <family val="2"/>
      </rPr>
      <t xml:space="preserve"> the yellow cell(s) at the bottom of the Locations matrix and use </t>
    </r>
    <r>
      <rPr>
        <u/>
        <sz val="11"/>
        <rFont val="Arial"/>
        <family val="2"/>
      </rPr>
      <t>Format Paint</t>
    </r>
    <r>
      <rPr>
        <sz val="11"/>
        <rFont val="Arial"/>
        <family val="2"/>
      </rPr>
      <t xml:space="preserve"> to update the cells above.</t>
    </r>
    <r>
      <rPr>
        <b/>
        <sz val="11"/>
        <rFont val="Arial"/>
        <family val="2"/>
      </rPr>
      <t xml:space="preserve"> NOTE: Tan lines cannot be changed to yellow the normal way.</t>
    </r>
  </si>
  <si>
    <t>1</t>
  </si>
  <si>
    <t>Preparation of an Revision / MOD</t>
  </si>
  <si>
    <r>
      <rPr>
        <i/>
        <sz val="11"/>
        <color theme="1"/>
        <rFont val="Arial"/>
        <family val="2"/>
      </rPr>
      <t>To delete lines from the RFQ Tab:</t>
    </r>
    <r>
      <rPr>
        <sz val="11"/>
        <color theme="1"/>
        <rFont val="Arial"/>
        <family val="2"/>
      </rPr>
      <t xml:space="preserve">
A. If lines are deleted from the RFQ Tab, you will need to delete rows in the Tech Eval tab.  
B. The item block in the Tech Eval tab will have the #REF! error.  If you come across a block that is not needed, either </t>
    </r>
    <r>
      <rPr>
        <u/>
        <sz val="11"/>
        <color theme="1"/>
        <rFont val="Arial"/>
        <family val="2"/>
      </rPr>
      <t>Delete</t>
    </r>
    <r>
      <rPr>
        <sz val="11"/>
        <color theme="1"/>
        <rFont val="Arial"/>
        <family val="2"/>
      </rPr>
      <t xml:space="preserve"> or </t>
    </r>
    <r>
      <rPr>
        <u/>
        <sz val="11"/>
        <color theme="1"/>
        <rFont val="Arial"/>
        <family val="2"/>
      </rPr>
      <t>Hide</t>
    </r>
    <r>
      <rPr>
        <sz val="11"/>
        <color theme="1"/>
        <rFont val="Arial"/>
        <family val="2"/>
      </rPr>
      <t xml:space="preserve"> those 14 rows.</t>
    </r>
  </si>
  <si>
    <t>3</t>
  </si>
  <si>
    <r>
      <rPr>
        <i/>
        <sz val="11"/>
        <color theme="1"/>
        <rFont val="Arial"/>
        <family val="2"/>
      </rPr>
      <t xml:space="preserve">To add more lines to the RFQ Tab:
</t>
    </r>
    <r>
      <rPr>
        <sz val="11"/>
        <color theme="1"/>
        <rFont val="Arial"/>
        <family val="2"/>
      </rPr>
      <t>A.</t>
    </r>
    <r>
      <rPr>
        <i/>
        <sz val="11"/>
        <color theme="1"/>
        <rFont val="Arial"/>
        <family val="2"/>
      </rPr>
      <t xml:space="preserve"> </t>
    </r>
    <r>
      <rPr>
        <sz val="11"/>
        <color theme="1"/>
        <rFont val="Arial"/>
        <family val="2"/>
      </rPr>
      <t>When lines are added to the RFQ tab you must also insert more rows in the Tech Eval tab.</t>
    </r>
    <r>
      <rPr>
        <b/>
        <sz val="11"/>
        <color theme="1"/>
        <rFont val="Arial"/>
        <family val="2"/>
      </rPr>
      <t xml:space="preserve">  
</t>
    </r>
    <r>
      <rPr>
        <sz val="11"/>
        <color theme="1"/>
        <rFont val="Arial"/>
        <family val="2"/>
      </rPr>
      <t xml:space="preserve">B. </t>
    </r>
    <r>
      <rPr>
        <u/>
        <sz val="11"/>
        <color theme="1"/>
        <rFont val="Arial"/>
        <family val="2"/>
      </rPr>
      <t>Highlight</t>
    </r>
    <r>
      <rPr>
        <sz val="11"/>
        <color theme="1"/>
        <rFont val="Arial"/>
        <family val="2"/>
      </rPr>
      <t xml:space="preserve"> the 14 rows that reflect the tech eval block for the item directly above.  
C. </t>
    </r>
    <r>
      <rPr>
        <u/>
        <sz val="11"/>
        <color theme="1"/>
        <rFont val="Arial"/>
        <family val="2"/>
      </rPr>
      <t>Copy</t>
    </r>
    <r>
      <rPr>
        <sz val="11"/>
        <color theme="1"/>
        <rFont val="Arial"/>
        <family val="2"/>
      </rPr>
      <t xml:space="preserve"> those onto the end, or in whatever location is required, repeat for each new item.  
D. Hand change the 7 formulas that pull data from the RFQ tab. They are in the first 5 lines of the item block. The 2 digit cell numbers will need to be changed to 85.  The next one will be changed to 86 and so forth. </t>
    </r>
  </si>
  <si>
    <t>2</t>
  </si>
  <si>
    <r>
      <t xml:space="preserve">A. </t>
    </r>
    <r>
      <rPr>
        <u/>
        <sz val="11"/>
        <color theme="1"/>
        <rFont val="Arial"/>
        <family val="2"/>
      </rPr>
      <t>Copy</t>
    </r>
    <r>
      <rPr>
        <sz val="11"/>
        <color theme="1"/>
        <rFont val="Arial"/>
        <family val="2"/>
      </rPr>
      <t xml:space="preserve"> the "Tech Eval HNC USE ONLY" columns A-C, all rows that are blue (prior to the first purple cells) into Att 8 Document (Word) prior to starting the Tech Eval.
B. Title the Document "1st TR - Vendor - Project Name.docx" for the Tech Eval.  Each item will have a "block" of 14 rows, to allow for multiple rounds of tech evals.  When dealing with a specific item, please remember there are 14 rows to copy. 
</t>
    </r>
    <r>
      <rPr>
        <b/>
        <sz val="11"/>
        <color theme="1"/>
        <rFont val="Arial"/>
        <family val="2"/>
      </rPr>
      <t>NOTE: DO NOT COMPLETE THE TECH REVIEW IN THE ATT 1 TEMPLATE.</t>
    </r>
  </si>
  <si>
    <t>Preparation of Tech Eval after quotes are received back from Vendors</t>
  </si>
  <si>
    <t>To print the Locations, go to "VIEW" tab, select "Custom Views", and highlight "locations" and click show.  Then go to FILE/PRINT.  It is set up to print landscape on 8.5 x 11 paper.</t>
  </si>
  <si>
    <t>To print the Attachment 1, go to "VIEW" tab, select "Custom Views", and highlight "attach1" and click show.  Then go to FILE/PRINT.  It is set up to print landscape on 8.5 x 11 paper.</t>
  </si>
  <si>
    <t>Printing (optional)</t>
  </si>
  <si>
    <r>
      <t xml:space="preserve">If you need to insert more columns in the Locations matrix (there are 80 columns in the template), highlight the green column and move your cursor to how many columns you need to add.  Right click and select "Insert".  Then </t>
    </r>
    <r>
      <rPr>
        <u/>
        <sz val="11"/>
        <color theme="1"/>
        <rFont val="Arial"/>
        <family val="2"/>
      </rPr>
      <t>Highlight</t>
    </r>
    <r>
      <rPr>
        <sz val="11"/>
        <color theme="1"/>
        <rFont val="Arial"/>
        <family val="2"/>
      </rPr>
      <t xml:space="preserve"> the last column and </t>
    </r>
    <r>
      <rPr>
        <u/>
        <sz val="11"/>
        <color theme="1"/>
        <rFont val="Arial"/>
        <family val="2"/>
      </rPr>
      <t>Copy</t>
    </r>
    <r>
      <rPr>
        <sz val="11"/>
        <color theme="1"/>
        <rFont val="Arial"/>
        <family val="2"/>
      </rPr>
      <t xml:space="preserve"> into the new columns.</t>
    </r>
  </si>
  <si>
    <t>Inserting more Columns into Locations area</t>
  </si>
  <si>
    <r>
      <rPr>
        <i/>
        <sz val="11"/>
        <color theme="1"/>
        <rFont val="Arial"/>
        <family val="2"/>
      </rPr>
      <t xml:space="preserve">To delete a row in the middle of the RFQ tab:   </t>
    </r>
    <r>
      <rPr>
        <sz val="11"/>
        <color theme="1"/>
        <rFont val="Arial"/>
        <family val="2"/>
      </rPr>
      <t xml:space="preserve">                                                                                                A. </t>
    </r>
    <r>
      <rPr>
        <u/>
        <sz val="11"/>
        <color theme="1"/>
        <rFont val="Arial"/>
        <family val="2"/>
      </rPr>
      <t>Highlight</t>
    </r>
    <r>
      <rPr>
        <sz val="11"/>
        <color theme="1"/>
        <rFont val="Arial"/>
        <family val="2"/>
      </rPr>
      <t xml:space="preserve"> the row to delete and delete.                                                                                       B. </t>
    </r>
    <r>
      <rPr>
        <u/>
        <sz val="11"/>
        <color theme="1"/>
        <rFont val="Arial"/>
        <family val="2"/>
      </rPr>
      <t>Highlight</t>
    </r>
    <r>
      <rPr>
        <sz val="11"/>
        <color theme="1"/>
        <rFont val="Arial"/>
        <family val="2"/>
      </rPr>
      <t xml:space="preserve"> the "#" cell above the first row with "##".                                                                             </t>
    </r>
    <r>
      <rPr>
        <sz val="11"/>
        <rFont val="Arial"/>
        <family val="2"/>
      </rPr>
      <t>C</t>
    </r>
    <r>
      <rPr>
        <sz val="11"/>
        <color theme="1"/>
        <rFont val="Arial"/>
        <family val="2"/>
      </rPr>
      <t xml:space="preserve">. </t>
    </r>
    <r>
      <rPr>
        <u/>
        <sz val="11"/>
        <color theme="1"/>
        <rFont val="Arial"/>
        <family val="2"/>
      </rPr>
      <t>Paste</t>
    </r>
    <r>
      <rPr>
        <sz val="11"/>
        <color theme="1"/>
        <rFont val="Arial"/>
        <family val="2"/>
      </rPr>
      <t xml:space="preserve"> the copied "#" cell into the first "#" cell with "##". Then you will need to go to the Tech Eval tab and </t>
    </r>
    <r>
      <rPr>
        <u/>
        <sz val="11"/>
        <color theme="1"/>
        <rFont val="Arial"/>
        <family val="2"/>
      </rPr>
      <t>Delete</t>
    </r>
    <r>
      <rPr>
        <sz val="11"/>
        <color theme="1"/>
        <rFont val="Arial"/>
        <family val="2"/>
      </rPr>
      <t xml:space="preserve"> the 14 lines for the item that was removed. (Easily identified by "#REF").</t>
    </r>
  </si>
  <si>
    <r>
      <rPr>
        <i/>
        <sz val="11"/>
        <color theme="1"/>
        <rFont val="Arial"/>
        <family val="2"/>
      </rPr>
      <t>To insert a row in the middle of the RFQ tab:</t>
    </r>
    <r>
      <rPr>
        <sz val="11"/>
        <color theme="1"/>
        <rFont val="Arial"/>
        <family val="2"/>
      </rPr>
      <t xml:space="preserve">                                                                                   A. Highlight the row below where you need the new row, </t>
    </r>
    <r>
      <rPr>
        <u/>
        <sz val="11"/>
        <color theme="1"/>
        <rFont val="Arial"/>
        <family val="2"/>
      </rPr>
      <t>right click</t>
    </r>
    <r>
      <rPr>
        <sz val="11"/>
        <color theme="1"/>
        <rFont val="Arial"/>
        <family val="2"/>
      </rPr>
      <t xml:space="preserve">, and select </t>
    </r>
    <r>
      <rPr>
        <u/>
        <sz val="11"/>
        <color theme="1"/>
        <rFont val="Arial"/>
        <family val="2"/>
      </rPr>
      <t>Insert</t>
    </r>
    <r>
      <rPr>
        <sz val="11"/>
        <color theme="1"/>
        <rFont val="Arial"/>
        <family val="2"/>
      </rPr>
      <t xml:space="preserve">.  B. Look at the "#" to determine which numbers the new row is between and </t>
    </r>
    <r>
      <rPr>
        <u/>
        <sz val="11"/>
        <color theme="1"/>
        <rFont val="Arial"/>
        <family val="2"/>
      </rPr>
      <t>Copy</t>
    </r>
    <r>
      <rPr>
        <sz val="11"/>
        <color theme="1"/>
        <rFont val="Arial"/>
        <family val="2"/>
      </rPr>
      <t xml:space="preserve"> the "#", "Qty", "Unit", "GSA Contract Total Cost", and "HNC Total Cost" cells from the row above.                                                                                                                                                    C. Then </t>
    </r>
    <r>
      <rPr>
        <u/>
        <sz val="11"/>
        <color theme="1"/>
        <rFont val="Arial"/>
        <family val="2"/>
      </rPr>
      <t>Copy</t>
    </r>
    <r>
      <rPr>
        <sz val="11"/>
        <color theme="1"/>
        <rFont val="Arial"/>
        <family val="2"/>
      </rPr>
      <t xml:space="preserve"> the "#" cell you just pasted into the "#" cell in the row below to fix the row numbering.                                                                                                                                               D. Then, enter the "FID Para." and "Item Code &amp; Description" information.                                      E. Enter the quantities in the appropriate rooms/areas.                                                                                     F. Then, in the Tech Eval tab, </t>
    </r>
    <r>
      <rPr>
        <u/>
        <sz val="11"/>
        <color theme="1"/>
        <rFont val="Arial"/>
        <family val="2"/>
      </rPr>
      <t xml:space="preserve">Insert </t>
    </r>
    <r>
      <rPr>
        <sz val="11"/>
        <color theme="1"/>
        <rFont val="Arial"/>
        <family val="2"/>
      </rPr>
      <t>14 rows and copy the data from the 14 rows above into these new cells.                                                                                                                                   G. Change the formulas in the top 2 rows of the rows you just copied by comparing the formulas from 14 cells above and 14 cells below to determine what number needs to be changed in the formula.                                                                                                                                                     I. Check to ensure everything copied and the line numbering is correct on both tabs.</t>
    </r>
  </si>
  <si>
    <r>
      <rPr>
        <i/>
        <sz val="11"/>
        <color theme="1"/>
        <rFont val="Arial"/>
        <family val="2"/>
      </rPr>
      <t xml:space="preserve">To insert more rows in the RFQ tab (there are 80 rows available in the template): </t>
    </r>
    <r>
      <rPr>
        <sz val="11"/>
        <color theme="1"/>
        <rFont val="Arial"/>
        <family val="2"/>
      </rPr>
      <t xml:space="preserve">                         A. </t>
    </r>
    <r>
      <rPr>
        <u/>
        <sz val="11"/>
        <color theme="1"/>
        <rFont val="Arial"/>
        <family val="2"/>
      </rPr>
      <t>Highligh</t>
    </r>
    <r>
      <rPr>
        <sz val="11"/>
        <color theme="1"/>
        <rFont val="Arial"/>
        <family val="2"/>
      </rPr>
      <t xml:space="preserve">t row 84 and move your cursor down how ever many rows are needed.                      B. Right click and select </t>
    </r>
    <r>
      <rPr>
        <u/>
        <sz val="11"/>
        <color theme="1"/>
        <rFont val="Arial"/>
        <family val="2"/>
      </rPr>
      <t>Insert</t>
    </r>
    <r>
      <rPr>
        <sz val="11"/>
        <color theme="1"/>
        <rFont val="Arial"/>
        <family val="2"/>
      </rPr>
      <t xml:space="preserve">.                                                                                                        C. </t>
    </r>
    <r>
      <rPr>
        <u/>
        <sz val="11"/>
        <color theme="1"/>
        <rFont val="Arial"/>
        <family val="2"/>
      </rPr>
      <t>Highlight</t>
    </r>
    <r>
      <rPr>
        <sz val="11"/>
        <color theme="1"/>
        <rFont val="Arial"/>
        <family val="2"/>
      </rPr>
      <t xml:space="preserve"> row 84 and </t>
    </r>
    <r>
      <rPr>
        <u/>
        <sz val="11"/>
        <color theme="1"/>
        <rFont val="Arial"/>
        <family val="2"/>
      </rPr>
      <t>Copy</t>
    </r>
    <r>
      <rPr>
        <sz val="11"/>
        <color theme="1"/>
        <rFont val="Arial"/>
        <family val="2"/>
      </rPr>
      <t xml:space="preserve"> to all the new blank rows.  
</t>
    </r>
    <r>
      <rPr>
        <b/>
        <sz val="11"/>
        <rFont val="Arial"/>
        <family val="2"/>
      </rPr>
      <t>NOTE:</t>
    </r>
    <r>
      <rPr>
        <sz val="11"/>
        <rFont val="Arial"/>
        <family val="2"/>
      </rPr>
      <t xml:space="preserve"> </t>
    </r>
    <r>
      <rPr>
        <b/>
        <sz val="11"/>
        <rFont val="Arial"/>
        <family val="2"/>
      </rPr>
      <t>MAKE SURE SUBTOTALS AND TOTALS ARE INCLUSIVE OF NEW ROWS!</t>
    </r>
  </si>
  <si>
    <t>Inserting More Rows into RFQ Tab</t>
  </si>
  <si>
    <t>Warranty provided and acceptable.</t>
  </si>
  <si>
    <t>Warranty was provided but does not meet the FID requirement.</t>
  </si>
  <si>
    <t>Complete steps 9-14 under "Preparation of the Attachment 1 prior to RFQ" for all buildings.</t>
  </si>
  <si>
    <t>Provide a warranty for this item.</t>
  </si>
  <si>
    <r>
      <t xml:space="preserve">File </t>
    </r>
    <r>
      <rPr>
        <u/>
        <sz val="11"/>
        <color theme="1"/>
        <rFont val="Arial"/>
        <family val="2"/>
      </rPr>
      <t>Save As</t>
    </r>
    <r>
      <rPr>
        <sz val="11"/>
        <color theme="1"/>
        <rFont val="Arial"/>
        <family val="2"/>
      </rPr>
      <t xml:space="preserve"> for each additional building.</t>
    </r>
  </si>
  <si>
    <t>N/A</t>
  </si>
  <si>
    <t>Perform the instructions 1-8 above "Preparation of the Attachment 1 prior to RFQ" .</t>
  </si>
  <si>
    <t>Tech Review "Warranty" blank comment examples are:</t>
  </si>
  <si>
    <t>Preparation of the Attachment 1 prior to RFQ for projects with multiple buildings</t>
  </si>
  <si>
    <r>
      <rPr>
        <u/>
        <sz val="11"/>
        <color theme="1"/>
        <rFont val="Arial"/>
        <family val="2"/>
      </rPr>
      <t>Save</t>
    </r>
    <r>
      <rPr>
        <sz val="11"/>
        <color theme="1"/>
        <rFont val="Arial"/>
        <family val="2"/>
      </rPr>
      <t xml:space="preserve"> spreadsheet.</t>
    </r>
  </si>
  <si>
    <t>14</t>
  </si>
  <si>
    <r>
      <rPr>
        <u/>
        <sz val="11"/>
        <color theme="1"/>
        <rFont val="Arial"/>
        <family val="2"/>
      </rPr>
      <t>Hide</t>
    </r>
    <r>
      <rPr>
        <sz val="11"/>
        <color theme="1"/>
        <rFont val="Arial"/>
        <family val="2"/>
      </rPr>
      <t xml:space="preserve"> all tabs except RFQ. Right click on the tab and click </t>
    </r>
    <r>
      <rPr>
        <u/>
        <sz val="11"/>
        <color theme="1"/>
        <rFont val="Arial"/>
        <family val="2"/>
      </rPr>
      <t>Hide</t>
    </r>
    <r>
      <rPr>
        <sz val="11"/>
        <color theme="1"/>
        <rFont val="Arial"/>
        <family val="2"/>
      </rPr>
      <t>.</t>
    </r>
  </si>
  <si>
    <t>13</t>
  </si>
  <si>
    <t>Hide all extra rows down to Furniture Subtotals.</t>
  </si>
  <si>
    <t>12</t>
  </si>
  <si>
    <r>
      <t xml:space="preserve">Keep the Installation and Shipping that pertain to your order and turn the text black. </t>
    </r>
    <r>
      <rPr>
        <u/>
        <sz val="11"/>
        <color theme="1"/>
        <rFont val="Arial"/>
        <family val="2"/>
      </rPr>
      <t>Hide</t>
    </r>
    <r>
      <rPr>
        <sz val="11"/>
        <color theme="1"/>
        <rFont val="Arial"/>
        <family val="2"/>
      </rPr>
      <t xml:space="preserve"> Installation &amp; Shipping lines not needed.
</t>
    </r>
    <r>
      <rPr>
        <b/>
        <sz val="11"/>
        <color theme="1"/>
        <rFont val="Arial"/>
        <family val="2"/>
      </rPr>
      <t xml:space="preserve">NOTE: Types of Delivery are defined in the table on the right of this page. </t>
    </r>
  </si>
  <si>
    <t>11</t>
  </si>
  <si>
    <t xml:space="preserve">Vendor is responsible for removal of the old furnishings and to moving it to another building. </t>
  </si>
  <si>
    <t>Removal of Existing Furniture and Moving to Designated Location</t>
  </si>
  <si>
    <r>
      <rPr>
        <u/>
        <sz val="11"/>
        <color theme="1"/>
        <rFont val="Arial"/>
        <family val="2"/>
      </rPr>
      <t>Hide</t>
    </r>
    <r>
      <rPr>
        <sz val="11"/>
        <color theme="1"/>
        <rFont val="Arial"/>
        <family val="2"/>
      </rPr>
      <t xml:space="preserve"> Column A when the form is complete. (A contains the formula for the OPEN MARKET TOTAL).</t>
    </r>
  </si>
  <si>
    <t>10</t>
  </si>
  <si>
    <t xml:space="preserve">Vendor is responsible for removal of the old furnishings and to dispose of them. </t>
  </si>
  <si>
    <t>Removal and Disposal of Existing Furniture</t>
  </si>
  <si>
    <r>
      <t xml:space="preserve">In the Locations matrix (right side of the Att 1), adjust row heights and then indicate quantities for each item under each room (Row T-CU).  Once completed, </t>
    </r>
    <r>
      <rPr>
        <u/>
        <sz val="11"/>
        <rFont val="Arial"/>
        <family val="2"/>
      </rPr>
      <t>Hide</t>
    </r>
    <r>
      <rPr>
        <sz val="11"/>
        <rFont val="Arial"/>
        <family val="2"/>
      </rPr>
      <t xml:space="preserve"> all unused columns and rows, indicated by purple boxes, up to the green cells.
</t>
    </r>
    <r>
      <rPr>
        <b/>
        <sz val="11"/>
        <rFont val="Arial"/>
        <family val="2"/>
      </rPr>
      <t>NOTE:  Enter quantities in the Locations area only.</t>
    </r>
  </si>
  <si>
    <t>9</t>
  </si>
  <si>
    <t xml:space="preserve">This is unloaded by the delivery driver. </t>
  </si>
  <si>
    <t>Add title to the Att 1 and turn black - it will automatically populate on the Locations matrix.</t>
  </si>
  <si>
    <t>8</t>
  </si>
  <si>
    <t xml:space="preserve">Warehouse workers offload product and a representative for the Vendor is present to oversee. </t>
  </si>
  <si>
    <r>
      <t xml:space="preserve">Ensure that the FID Paragraph numbers are correct and that the zero didn't drop off.  For example, verify whether the paragraph is 2.10 instead of 2.1.  If you can't add the "0" to the end, </t>
    </r>
    <r>
      <rPr>
        <u/>
        <sz val="11"/>
        <color theme="1"/>
        <rFont val="Arial"/>
        <family val="2"/>
      </rPr>
      <t>Format</t>
    </r>
    <r>
      <rPr>
        <sz val="11"/>
        <color theme="1"/>
        <rFont val="Arial"/>
        <family val="2"/>
      </rPr>
      <t xml:space="preserve"> the column as Text.</t>
    </r>
  </si>
  <si>
    <t>7</t>
  </si>
  <si>
    <t xml:space="preserve">Electrical Work - This is used if there are items to be hardwired.  All items should be noted in the FID. </t>
  </si>
  <si>
    <r>
      <t xml:space="preserve">In the Prep Tab, </t>
    </r>
    <r>
      <rPr>
        <u/>
        <sz val="11"/>
        <rFont val="Arial"/>
        <family val="2"/>
      </rPr>
      <t>Highlight</t>
    </r>
    <r>
      <rPr>
        <sz val="11"/>
        <rFont val="Arial"/>
        <family val="2"/>
      </rPr>
      <t xml:space="preserve"> text and </t>
    </r>
    <r>
      <rPr>
        <u/>
        <sz val="11"/>
        <rFont val="Arial"/>
        <family val="2"/>
      </rPr>
      <t>Copy</t>
    </r>
    <r>
      <rPr>
        <sz val="11"/>
        <rFont val="Arial"/>
        <family val="2"/>
      </rPr>
      <t xml:space="preserve"> into columns D &amp; E of the RFQ tab by clicking on cell F4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(Values (V)). 
</t>
    </r>
    <r>
      <rPr>
        <b/>
        <sz val="11"/>
        <rFont val="Arial"/>
        <family val="2"/>
      </rPr>
      <t>NOTE:  Only copy FID paragraph number &amp; Item Code and Description into RFQ tab</t>
    </r>
    <r>
      <rPr>
        <sz val="11"/>
        <rFont val="Arial"/>
        <family val="2"/>
      </rPr>
      <t xml:space="preserve">. </t>
    </r>
  </si>
  <si>
    <t>6</t>
  </si>
  <si>
    <t>For projects that have security requirements like locked and sealed containers, potentially SCIFs, NOCs, Ops Centers, etc.</t>
  </si>
  <si>
    <t>Secure Shipping (CONUS/OCONUS) - Refer to SOW</t>
  </si>
  <si>
    <r>
      <t xml:space="preserve">In the Prep Tab, </t>
    </r>
    <r>
      <rPr>
        <u/>
        <sz val="11"/>
        <color theme="1"/>
        <rFont val="Arial"/>
        <family val="2"/>
      </rPr>
      <t>Delete</t>
    </r>
    <r>
      <rPr>
        <sz val="11"/>
        <color theme="1"/>
        <rFont val="Arial"/>
        <family val="2"/>
      </rPr>
      <t xml:space="preserve"> all rows that you do not want in the Attachment 1 (extra lines, titles, "Not Used"). Keep only items you want listed in the Attachment 1. </t>
    </r>
  </si>
  <si>
    <t>5</t>
  </si>
  <si>
    <t xml:space="preserve">Commercial shipping to locations outside of the continental US. </t>
  </si>
  <si>
    <r>
      <t xml:space="preserve">In the Prep Tab, </t>
    </r>
    <r>
      <rPr>
        <u/>
        <sz val="11"/>
        <color theme="1"/>
        <rFont val="Arial"/>
        <family val="2"/>
      </rPr>
      <t xml:space="preserve">Delete </t>
    </r>
    <r>
      <rPr>
        <sz val="11"/>
        <color theme="1"/>
        <rFont val="Arial"/>
        <family val="2"/>
      </rPr>
      <t>Column C.</t>
    </r>
  </si>
  <si>
    <t>4</t>
  </si>
  <si>
    <t xml:space="preserve">Shipping in the continental US </t>
  </si>
  <si>
    <t>Shipping (CONUS) Note 1</t>
  </si>
  <si>
    <r>
      <t xml:space="preserve">In the Prep Tab (in this form), highlight upper left cell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(Match Destination Formatting (M)).</t>
    </r>
  </si>
  <si>
    <t>Vendor Install all items on Att 1. GFP is Government Furnished Products (usually items in warehouse).</t>
  </si>
  <si>
    <t>Installation of furniture - to include any GFP in the SOW, if applicable</t>
  </si>
  <si>
    <r>
      <t xml:space="preserve">In the FID, </t>
    </r>
    <r>
      <rPr>
        <u/>
        <sz val="11"/>
        <color theme="1"/>
        <rFont val="Arial"/>
        <family val="2"/>
      </rPr>
      <t>Highlight</t>
    </r>
    <r>
      <rPr>
        <sz val="11"/>
        <color theme="1"/>
        <rFont val="Arial"/>
        <family val="2"/>
      </rPr>
      <t xml:space="preserve"> the entire Table of Contents and </t>
    </r>
    <r>
      <rPr>
        <u/>
        <sz val="11"/>
        <color theme="1"/>
        <rFont val="Arial"/>
        <family val="2"/>
      </rPr>
      <t>Copy</t>
    </r>
    <r>
      <rPr>
        <sz val="11"/>
        <color theme="1"/>
        <rFont val="Arial"/>
        <family val="2"/>
      </rPr>
      <t xml:space="preserve">. </t>
    </r>
  </si>
  <si>
    <t>Types of Delivery</t>
  </si>
  <si>
    <r>
      <t xml:space="preserve">In the A column, </t>
    </r>
    <r>
      <rPr>
        <u/>
        <sz val="11"/>
        <color theme="1"/>
        <rFont val="Arial"/>
        <family val="2"/>
      </rPr>
      <t>Select</t>
    </r>
    <r>
      <rPr>
        <sz val="11"/>
        <color theme="1"/>
        <rFont val="Arial"/>
        <family val="2"/>
      </rPr>
      <t xml:space="preserve"> SAM buy or GSA buy. If SAM buy, </t>
    </r>
    <r>
      <rPr>
        <u/>
        <sz val="11"/>
        <color theme="1"/>
        <rFont val="Arial"/>
        <family val="2"/>
      </rPr>
      <t>Hide</t>
    </r>
    <r>
      <rPr>
        <sz val="11"/>
        <color theme="1"/>
        <rFont val="Arial"/>
        <family val="2"/>
      </rPr>
      <t xml:space="preserve"> the two columns that are purple at the top and hide the last two rows of notes at the bottom that refer to GSA. </t>
    </r>
  </si>
  <si>
    <r>
      <t xml:space="preserve">Preparation of the Attachment 1 prior to RFQ
</t>
    </r>
    <r>
      <rPr>
        <b/>
        <i/>
        <sz val="11"/>
        <color theme="1"/>
        <rFont val="Arial"/>
        <family val="2"/>
      </rPr>
      <t>If there are multiple buildings, see instructions below.</t>
    </r>
  </si>
  <si>
    <t>ATTACHMENT 1 TEMPLATE - 06/06/25</t>
  </si>
  <si>
    <t>If part of an item is on GSA Contract and part is open market, Vendor shall provide a description, model, and cost of open market item(s) on a new line below the GSA item.</t>
  </si>
  <si>
    <t>Attachment #1 - Kirtland AFB, NM - Bldg. 20602 Renovations - Industrial Storage SAM.gov</t>
  </si>
  <si>
    <t>Storage Room - 118B</t>
  </si>
  <si>
    <t>Storage Room - 120B</t>
  </si>
  <si>
    <t>Flex Space - 121</t>
  </si>
  <si>
    <t>SN03: Industrial, Ventilated Storage Cabinet, Metal</t>
  </si>
  <si>
    <t>SN04: Industrial, Clear-View Storage Cabinet, Metal</t>
  </si>
  <si>
    <t>SN05: Closed Industrial Storage Shelving, Metal</t>
  </si>
  <si>
    <t>SN06: Pallet Rack, Metal Wire Decking</t>
  </si>
  <si>
    <t>SN07: Mobile Charging Storage Cabinet, Metal</t>
  </si>
  <si>
    <t>TN01: Deluxe Work Bench, Metal</t>
  </si>
  <si>
    <t>TN02: Mobile Cabinet Work Bench, Metal</t>
  </si>
  <si>
    <t>SN08: Clear-View, Preservation Storage Cabinet, Metal</t>
  </si>
  <si>
    <t>SX01: 4-Drawer Flat File, Double-High, Metal</t>
  </si>
  <si>
    <t>SX02: 6-Drawer Flat File, Double-High, Metal</t>
  </si>
  <si>
    <t>SX03: Plaque Storage, Metal</t>
  </si>
  <si>
    <t>TX01: Stainless Steel Work Table, Height Adjustable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</si>
</sst>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48" x14ac:knownFonts="1">
    <font>
      <sz val="11"/>
      <color theme="1"/>
      <name val="Calibri"/>
      <family val="2"/>
      <scheme val="minor"/>
    </font>
    <font>
      <sz val="11"/>
      <color theme="1"/>
      <name val="Calibri"/>
      <family val="2"/>
      <scheme val="minor"/>
    </font>
    <font>
      <b/>
      <sz val="11"/>
      <color theme="1"/>
      <name val="Calibri"/>
      <family val="2"/>
      <scheme val="minor"/>
    </font>
    <font>
      <b/>
      <u/>
      <sz val="12"/>
      <color theme="1"/>
      <name val="Calibri"/>
      <family val="2"/>
      <scheme val="minor"/>
    </font>
    <font>
      <sz val="10"/>
      <name val="Arial"/>
      <family val="2"/>
    </font>
    <font>
      <b/>
      <sz val="10"/>
      <name val="Arial"/>
      <family val="2"/>
    </font>
    <font>
      <sz val="11"/>
      <name val="Arial"/>
      <family val="2"/>
    </font>
    <font>
      <b/>
      <u/>
      <sz val="11"/>
      <color theme="0"/>
      <name val="Calibri"/>
      <family val="2"/>
      <scheme val="minor"/>
    </font>
    <font>
      <sz val="10"/>
      <color theme="1"/>
      <name val="Arial"/>
      <family val="2"/>
    </font>
    <font>
      <sz val="11"/>
      <color theme="1"/>
      <name val="Arial"/>
      <family val="2"/>
    </font>
    <font>
      <sz val="8"/>
      <color theme="1"/>
      <name val="Calibri"/>
      <family val="2"/>
      <scheme val="minor"/>
    </font>
    <font>
      <sz val="11"/>
      <color rgb="FFFF0000"/>
      <name val="Calibri"/>
      <family val="2"/>
      <scheme val="minor"/>
    </font>
    <font>
      <b/>
      <sz val="11"/>
      <color theme="9" tint="-0.249977111117893"/>
      <name val="Franklin Gothic Heavy"/>
      <family val="2"/>
    </font>
    <font>
      <b/>
      <sz val="8"/>
      <name val="Calibri"/>
      <family val="2"/>
      <scheme val="minor"/>
    </font>
    <font>
      <b/>
      <sz val="12"/>
      <name val="Arial"/>
      <family val="2"/>
    </font>
    <font>
      <b/>
      <i/>
      <sz val="12"/>
      <name val="Arial"/>
      <family val="2"/>
    </font>
    <font>
      <sz val="8"/>
      <name val="Calibri"/>
      <family val="2"/>
      <scheme val="minor"/>
    </font>
    <font>
      <b/>
      <sz val="16"/>
      <color theme="1"/>
      <name val="Arial"/>
      <family val="2"/>
    </font>
    <font>
      <sz val="10"/>
      <color rgb="FFFF0000"/>
      <name val="Arial"/>
      <family val="2"/>
    </font>
    <font>
      <b/>
      <sz val="14"/>
      <color theme="1"/>
      <name val="Calibri"/>
      <family val="2"/>
      <scheme val="minor"/>
    </font>
    <font>
      <sz val="14"/>
      <color theme="1"/>
      <name val="Calibri"/>
      <family val="2"/>
      <scheme val="minor"/>
    </font>
    <font>
      <sz val="12"/>
      <name val="Arial"/>
      <family val="2"/>
    </font>
    <font>
      <sz val="12"/>
      <name val="Arial Narrow"/>
      <family val="2"/>
    </font>
    <font>
      <sz val="12"/>
      <color theme="1"/>
      <name val="Calibri"/>
      <family val="2"/>
      <scheme val="minor"/>
    </font>
    <font>
      <sz val="12"/>
      <color theme="1"/>
      <name val="Arial"/>
      <family val="2"/>
    </font>
    <font>
      <b/>
      <sz val="12"/>
      <color theme="1"/>
      <name val="Calibri"/>
      <family val="2"/>
      <scheme val="minor"/>
    </font>
    <font>
      <b/>
      <sz val="24"/>
      <name val="Arial"/>
      <family val="2"/>
    </font>
    <font>
      <b/>
      <sz val="18"/>
      <name val="Arial"/>
      <family val="2"/>
    </font>
    <font>
      <sz val="18"/>
      <color theme="1"/>
      <name val="Calibri"/>
      <family val="2"/>
      <scheme val="minor"/>
    </font>
    <font>
      <b/>
      <sz val="11"/>
      <color theme="1"/>
      <name val="Arial Narrow"/>
      <family val="2"/>
    </font>
    <font>
      <sz val="11"/>
      <color theme="0"/>
      <name val="Calibri"/>
      <family val="2"/>
      <scheme val="minor"/>
    </font>
    <font>
      <sz val="11"/>
      <color theme="0"/>
      <name val="Arial Black"/>
      <family val="2"/>
    </font>
    <font>
      <b/>
      <sz val="16"/>
      <name val="Arial"/>
      <family val="2"/>
    </font>
    <font>
      <b/>
      <i/>
      <sz val="14"/>
      <name val="Arial Narrow"/>
      <family val="2"/>
    </font>
    <font>
      <i/>
      <sz val="14"/>
      <color theme="1"/>
      <name val="Arial Narrow"/>
      <family val="2"/>
    </font>
    <font>
      <sz val="9"/>
      <color theme="1"/>
      <name val="Arial Narrow"/>
      <family val="2"/>
    </font>
    <font>
      <b/>
      <sz val="9"/>
      <color theme="1"/>
      <name val="Arial Narrow"/>
      <family val="2"/>
    </font>
    <font>
      <sz val="11"/>
      <color theme="5"/>
      <name val="Arial"/>
      <family val="2"/>
    </font>
    <font>
      <sz val="11"/>
      <color theme="5"/>
      <name val="Calibri"/>
      <family val="2"/>
      <scheme val="minor"/>
    </font>
    <font>
      <sz val="12"/>
      <color theme="5"/>
      <name val="Arial"/>
      <family val="2"/>
    </font>
    <font>
      <u/>
      <sz val="11"/>
      <color theme="10"/>
      <name val="Calibri"/>
      <family val="2"/>
      <scheme val="minor"/>
    </font>
    <font>
      <u/>
      <sz val="11"/>
      <name val="Arial"/>
      <family val="2"/>
    </font>
    <font>
      <b/>
      <sz val="11"/>
      <name val="Arial"/>
      <family val="2"/>
    </font>
    <font>
      <b/>
      <sz val="11"/>
      <color theme="1"/>
      <name val="Arial"/>
      <family val="2"/>
    </font>
    <font>
      <i/>
      <sz val="11"/>
      <color theme="1"/>
      <name val="Arial"/>
      <family val="2"/>
    </font>
    <font>
      <u/>
      <sz val="11"/>
      <color theme="1"/>
      <name val="Arial"/>
      <family val="2"/>
    </font>
    <font>
      <b/>
      <i/>
      <sz val="11"/>
      <color theme="1"/>
      <name val="Arial"/>
      <family val="2"/>
    </font>
    <font>
      <sz val="18"/>
      <name val="Calibri"/>
      <family val="2"/>
      <scheme val="minor"/>
    </font>
  </fonts>
  <fills count="18">
    <fill>
      <patternFill patternType="none"/>
    </fill>
    <fill>
      <patternFill patternType="gray125"/>
    </fill>
    <fill>
      <patternFill patternType="darkGrid">
        <bgColor theme="1"/>
      </patternFill>
    </fill>
    <fill>
      <patternFill patternType="solid">
        <fgColor theme="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rgb="FF7030A0"/>
        <bgColor indexed="64"/>
      </patternFill>
    </fill>
    <fill>
      <patternFill patternType="solid">
        <fgColor rgb="FF00B0F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8EAADB"/>
        <bgColor indexed="64"/>
      </patternFill>
    </fill>
    <fill>
      <patternFill patternType="solid">
        <fgColor theme="6" tint="0.59996337778862885"/>
        <bgColor indexed="64"/>
      </patternFill>
    </fill>
    <fill>
      <patternFill patternType="darkGrid">
        <bgColor auto="1"/>
      </patternFill>
    </fill>
    <fill>
      <patternFill patternType="solid">
        <fgColor theme="9" tint="0.79998168889431442"/>
        <bgColor indexed="64"/>
      </patternFill>
    </fill>
    <fill>
      <patternFill patternType="solid">
        <fgColor theme="4" tint="0.39997558519241921"/>
        <bgColor indexed="64"/>
      </patternFill>
    </fill>
  </fills>
  <borders count="85">
    <border>
      <left/>
      <right/>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ck">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ck">
        <color indexed="64"/>
      </right>
      <top/>
      <bottom style="thin">
        <color indexed="64"/>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thin">
        <color indexed="64"/>
      </right>
      <top style="medium">
        <color indexed="64"/>
      </top>
      <bottom/>
      <diagonal/>
    </border>
    <border>
      <left style="thick">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ck">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ck">
        <color indexed="64"/>
      </right>
      <top/>
      <bottom style="medium">
        <color indexed="64"/>
      </bottom>
      <diagonal/>
    </border>
    <border>
      <left/>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style="thin">
        <color indexed="64"/>
      </top>
      <bottom style="thick">
        <color indexed="64"/>
      </bottom>
      <diagonal/>
    </border>
    <border>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s>
  <cellStyleXfs count="3">
    <xf numFmtId="0" fontId="0" fillId="0" borderId="0"/>
    <xf numFmtId="44" fontId="1" fillId="0" borderId="0" applyFont="0" applyFill="0" applyBorder="0" applyAlignment="0" applyProtection="0"/>
    <xf numFmtId="0" fontId="40" fillId="0" borderId="0" applyNumberFormat="0" applyFill="0" applyBorder="0" applyAlignment="0" applyProtection="0"/>
  </cellStyleXfs>
  <cellXfs count="295">
    <xf numFmtId="0" fontId="0" fillId="0" borderId="0" xfId="0"/>
    <xf numFmtId="0" fontId="0" fillId="0" borderId="0" xfId="0" applyProtection="1">
      <protection locked="0"/>
    </xf>
    <xf numFmtId="0" fontId="0" fillId="0" borderId="0" xfId="0" applyBorder="1" applyAlignment="1" applyProtection="1">
      <alignment horizontal="left" wrapText="1"/>
      <protection locked="0"/>
    </xf>
    <xf numFmtId="0" fontId="0" fillId="0" borderId="0" xfId="0" applyBorder="1" applyAlignment="1" applyProtection="1">
      <alignment horizontal="center"/>
      <protection locked="0"/>
    </xf>
    <xf numFmtId="0" fontId="5" fillId="0" borderId="0" xfId="0" applyFont="1" applyBorder="1" applyAlignment="1" applyProtection="1">
      <alignment horizontal="center"/>
      <protection locked="0"/>
    </xf>
    <xf numFmtId="0" fontId="0" fillId="0" borderId="0" xfId="0" applyBorder="1" applyProtection="1">
      <protection locked="0"/>
    </xf>
    <xf numFmtId="0" fontId="0" fillId="0" borderId="20" xfId="0" applyBorder="1" applyAlignment="1" applyProtection="1">
      <alignment horizontal="center"/>
      <protection locked="0"/>
    </xf>
    <xf numFmtId="0" fontId="5" fillId="0" borderId="0" xfId="0" applyFont="1" applyAlignment="1" applyProtection="1">
      <alignment horizontal="center"/>
      <protection locked="0"/>
    </xf>
    <xf numFmtId="0" fontId="0" fillId="0" borderId="0" xfId="0" applyAlignment="1" applyProtection="1">
      <alignment horizontal="left" wrapText="1"/>
      <protection locked="0"/>
    </xf>
    <xf numFmtId="0" fontId="10" fillId="0" borderId="0" xfId="0" applyFont="1" applyProtection="1">
      <protection locked="0"/>
    </xf>
    <xf numFmtId="0" fontId="0" fillId="5" borderId="0" xfId="0" applyFill="1" applyBorder="1" applyAlignment="1" applyProtection="1">
      <alignment horizontal="center" vertical="center"/>
      <protection locked="0"/>
    </xf>
    <xf numFmtId="0" fontId="0" fillId="0" borderId="0" xfId="0" applyAlignment="1" applyProtection="1">
      <alignment horizontal="center" vertical="center"/>
      <protection locked="0"/>
    </xf>
    <xf numFmtId="49" fontId="0" fillId="0" borderId="0" xfId="0" applyNumberFormat="1" applyAlignment="1" applyProtection="1">
      <alignment horizontal="center" vertical="center"/>
      <protection locked="0"/>
    </xf>
    <xf numFmtId="0" fontId="0" fillId="5" borderId="0" xfId="0" applyFill="1" applyProtection="1">
      <protection locked="0"/>
    </xf>
    <xf numFmtId="0" fontId="0" fillId="5" borderId="0" xfId="0" applyFill="1" applyBorder="1" applyAlignment="1" applyProtection="1">
      <alignment wrapText="1"/>
      <protection locked="0"/>
    </xf>
    <xf numFmtId="49" fontId="0" fillId="0" borderId="0" xfId="0" applyNumberFormat="1" applyBorder="1" applyAlignment="1" applyProtection="1">
      <alignment horizontal="center"/>
      <protection locked="0"/>
    </xf>
    <xf numFmtId="49" fontId="0" fillId="0" borderId="0" xfId="0" applyNumberFormat="1" applyAlignment="1" applyProtection="1">
      <alignment horizontal="center"/>
      <protection locked="0"/>
    </xf>
    <xf numFmtId="0" fontId="15" fillId="0" borderId="0" xfId="0" applyNumberFormat="1" applyFont="1" applyAlignment="1">
      <alignment wrapText="1"/>
    </xf>
    <xf numFmtId="0" fontId="0" fillId="0" borderId="0" xfId="0" applyNumberFormat="1" applyAlignment="1">
      <alignment wrapText="1"/>
    </xf>
    <xf numFmtId="0" fontId="11" fillId="0" borderId="0" xfId="0" applyNumberFormat="1" applyFont="1" applyAlignment="1">
      <alignment wrapText="1"/>
    </xf>
    <xf numFmtId="0" fontId="12" fillId="0" borderId="0" xfId="0" applyNumberFormat="1" applyFont="1" applyAlignment="1">
      <alignment wrapText="1"/>
    </xf>
    <xf numFmtId="0" fontId="0" fillId="5" borderId="0" xfId="0" applyFill="1"/>
    <xf numFmtId="49" fontId="2" fillId="5" borderId="0" xfId="0" applyNumberFormat="1" applyFont="1" applyFill="1" applyAlignment="1">
      <alignment horizontal="center" vertical="center" textRotation="90" wrapText="1"/>
    </xf>
    <xf numFmtId="49" fontId="3" fillId="0" borderId="1" xfId="0" applyNumberFormat="1" applyFont="1" applyBorder="1" applyAlignment="1">
      <alignment horizontal="center" vertical="center" textRotation="90" wrapText="1"/>
    </xf>
    <xf numFmtId="0" fontId="3" fillId="0" borderId="3" xfId="0" applyFont="1" applyBorder="1" applyAlignment="1">
      <alignment horizontal="center" vertical="center" wrapText="1"/>
    </xf>
    <xf numFmtId="49" fontId="3" fillId="0" borderId="3" xfId="0" applyNumberFormat="1" applyFont="1" applyBorder="1" applyAlignment="1">
      <alignment horizontal="center" vertical="center" wrapText="1"/>
    </xf>
    <xf numFmtId="0" fontId="7" fillId="2" borderId="3" xfId="0" applyFont="1" applyFill="1" applyBorder="1" applyAlignment="1">
      <alignment horizontal="center" vertical="center"/>
    </xf>
    <xf numFmtId="0" fontId="0" fillId="5" borderId="0" xfId="0" applyFill="1" applyAlignment="1">
      <alignment horizontal="center" vertical="center"/>
    </xf>
    <xf numFmtId="0" fontId="8" fillId="10" borderId="31" xfId="0" applyNumberFormat="1" applyFont="1" applyFill="1" applyBorder="1" applyAlignment="1">
      <alignment horizontal="left" vertical="top" wrapText="1"/>
    </xf>
    <xf numFmtId="0" fontId="14" fillId="0" borderId="3" xfId="0" applyNumberFormat="1" applyFont="1" applyBorder="1" applyAlignment="1">
      <alignment horizontal="left" vertical="center" wrapText="1"/>
    </xf>
    <xf numFmtId="49" fontId="4" fillId="0" borderId="32" xfId="0" applyNumberFormat="1" applyFont="1" applyBorder="1" applyAlignment="1">
      <alignment horizontal="left" wrapText="1"/>
    </xf>
    <xf numFmtId="0" fontId="4" fillId="0" borderId="31" xfId="0" applyNumberFormat="1" applyFont="1" applyBorder="1" applyAlignment="1">
      <alignment wrapText="1"/>
    </xf>
    <xf numFmtId="0" fontId="14" fillId="0" borderId="15" xfId="0" applyNumberFormat="1" applyFont="1" applyBorder="1" applyAlignment="1">
      <alignment horizontal="left" vertical="center" wrapText="1"/>
    </xf>
    <xf numFmtId="49" fontId="4" fillId="0" borderId="31" xfId="0" applyNumberFormat="1" applyFont="1" applyBorder="1" applyAlignment="1">
      <alignment wrapText="1"/>
    </xf>
    <xf numFmtId="49" fontId="4" fillId="0" borderId="5" xfId="0" applyNumberFormat="1" applyFont="1" applyBorder="1" applyAlignment="1">
      <alignment horizontal="left" wrapText="1"/>
    </xf>
    <xf numFmtId="0" fontId="9" fillId="0" borderId="0" xfId="0" applyNumberFormat="1" applyFont="1" applyAlignment="1">
      <alignment wrapText="1"/>
    </xf>
    <xf numFmtId="49" fontId="4" fillId="0" borderId="29" xfId="0" applyNumberFormat="1" applyFont="1" applyBorder="1" applyAlignment="1">
      <alignment horizontal="left" wrapText="1"/>
    </xf>
    <xf numFmtId="0" fontId="14" fillId="0" borderId="14" xfId="0" applyNumberFormat="1" applyFont="1" applyBorder="1" applyAlignment="1">
      <alignment horizontal="left" vertical="center" wrapText="1"/>
    </xf>
    <xf numFmtId="0" fontId="0" fillId="11" borderId="14" xfId="0" applyFill="1" applyBorder="1" applyAlignment="1" applyProtection="1">
      <alignment horizontal="center" vertical="center"/>
      <protection locked="0"/>
    </xf>
    <xf numFmtId="0" fontId="0" fillId="11" borderId="15" xfId="0" applyFill="1" applyBorder="1" applyAlignment="1">
      <alignment horizontal="center" vertical="center" wrapText="1"/>
    </xf>
    <xf numFmtId="0" fontId="0" fillId="11" borderId="15" xfId="0" applyFill="1" applyBorder="1" applyAlignment="1" applyProtection="1">
      <alignment horizontal="center" vertical="center"/>
      <protection locked="0"/>
    </xf>
    <xf numFmtId="0" fontId="18" fillId="0" borderId="32" xfId="0" applyNumberFormat="1" applyFont="1" applyBorder="1" applyAlignment="1">
      <alignment horizontal="left" vertical="top" wrapText="1"/>
    </xf>
    <xf numFmtId="0" fontId="18" fillId="0" borderId="32" xfId="0" applyNumberFormat="1" applyFont="1" applyBorder="1" applyAlignment="1">
      <alignment vertical="top" wrapText="1"/>
    </xf>
    <xf numFmtId="0" fontId="18" fillId="0" borderId="5" xfId="0" applyNumberFormat="1" applyFont="1" applyBorder="1" applyAlignment="1">
      <alignment horizontal="center" vertical="top" wrapText="1"/>
    </xf>
    <xf numFmtId="0" fontId="8" fillId="10" borderId="31" xfId="0" applyNumberFormat="1" applyFont="1" applyFill="1" applyBorder="1" applyAlignment="1">
      <alignment vertical="top" wrapText="1"/>
    </xf>
    <xf numFmtId="0" fontId="18" fillId="0" borderId="5" xfId="0" applyNumberFormat="1" applyFont="1" applyBorder="1" applyAlignment="1">
      <alignment vertical="top" wrapText="1"/>
    </xf>
    <xf numFmtId="49" fontId="21" fillId="3" borderId="36" xfId="0" applyNumberFormat="1" applyFont="1" applyFill="1" applyBorder="1" applyAlignment="1" applyProtection="1">
      <alignment horizontal="center" vertical="top" wrapText="1"/>
      <protection locked="0"/>
    </xf>
    <xf numFmtId="49" fontId="22" fillId="0" borderId="6" xfId="0" applyNumberFormat="1" applyFont="1" applyBorder="1" applyAlignment="1" applyProtection="1">
      <alignment horizontal="left" vertical="top" wrapText="1"/>
      <protection locked="0"/>
    </xf>
    <xf numFmtId="164" fontId="21" fillId="0" borderId="6" xfId="0" applyNumberFormat="1" applyFont="1" applyBorder="1" applyAlignment="1" applyProtection="1">
      <alignment horizontal="right" vertical="top" wrapText="1"/>
      <protection locked="0"/>
    </xf>
    <xf numFmtId="164" fontId="21" fillId="0" borderId="36" xfId="0" applyNumberFormat="1" applyFont="1" applyBorder="1" applyAlignment="1" applyProtection="1">
      <alignment horizontal="right" vertical="top" wrapText="1"/>
      <protection locked="0"/>
    </xf>
    <xf numFmtId="0" fontId="23" fillId="5" borderId="0" xfId="0" applyFont="1" applyFill="1" applyProtection="1">
      <protection locked="0"/>
    </xf>
    <xf numFmtId="0" fontId="24" fillId="3" borderId="18" xfId="0" applyFont="1" applyFill="1" applyBorder="1" applyAlignment="1" applyProtection="1">
      <alignment horizontal="center" vertical="center" wrapText="1"/>
    </xf>
    <xf numFmtId="0" fontId="24" fillId="3" borderId="18" xfId="0" applyNumberFormat="1" applyFont="1" applyFill="1" applyBorder="1" applyAlignment="1" applyProtection="1">
      <alignment horizontal="center" vertical="center" wrapText="1"/>
    </xf>
    <xf numFmtId="0" fontId="24" fillId="3" borderId="18" xfId="0" applyNumberFormat="1" applyFont="1" applyFill="1" applyBorder="1" applyAlignment="1" applyProtection="1">
      <alignment horizontal="left" vertical="center" wrapText="1"/>
    </xf>
    <xf numFmtId="0" fontId="24" fillId="3" borderId="46" xfId="0" applyFont="1" applyFill="1" applyBorder="1" applyAlignment="1" applyProtection="1">
      <alignment horizontal="center" vertical="center"/>
      <protection locked="0"/>
    </xf>
    <xf numFmtId="0" fontId="24" fillId="3" borderId="19" xfId="0" applyFont="1" applyFill="1" applyBorder="1" applyAlignment="1" applyProtection="1">
      <alignment horizontal="center" vertical="center"/>
      <protection locked="0"/>
    </xf>
    <xf numFmtId="49" fontId="21" fillId="3" borderId="10" xfId="0" applyNumberFormat="1" applyFont="1" applyFill="1" applyBorder="1" applyAlignment="1" applyProtection="1">
      <alignment horizontal="center" vertical="top" wrapText="1"/>
      <protection locked="0"/>
    </xf>
    <xf numFmtId="0" fontId="21" fillId="3" borderId="21" xfId="0" applyNumberFormat="1" applyFont="1" applyFill="1" applyBorder="1" applyAlignment="1" applyProtection="1">
      <alignment horizontal="left" vertical="top" wrapText="1"/>
      <protection locked="0"/>
    </xf>
    <xf numFmtId="49" fontId="22" fillId="0" borderId="9" xfId="0" applyNumberFormat="1" applyFont="1" applyBorder="1" applyAlignment="1" applyProtection="1">
      <alignment horizontal="left" vertical="top" wrapText="1"/>
      <protection locked="0"/>
    </xf>
    <xf numFmtId="164" fontId="21" fillId="0" borderId="10" xfId="0" applyNumberFormat="1" applyFont="1" applyBorder="1" applyAlignment="1" applyProtection="1">
      <alignment horizontal="right" vertical="top" wrapText="1"/>
      <protection locked="0"/>
    </xf>
    <xf numFmtId="0" fontId="24" fillId="3" borderId="4" xfId="0" applyFont="1" applyFill="1" applyBorder="1" applyAlignment="1" applyProtection="1">
      <alignment horizontal="center" vertical="center" wrapText="1"/>
    </xf>
    <xf numFmtId="0" fontId="24" fillId="3" borderId="4" xfId="0" applyNumberFormat="1" applyFont="1" applyFill="1" applyBorder="1" applyAlignment="1" applyProtection="1">
      <alignment horizontal="center" vertical="center" wrapText="1"/>
    </xf>
    <xf numFmtId="0" fontId="24" fillId="3" borderId="4" xfId="0" applyNumberFormat="1" applyFont="1" applyFill="1" applyBorder="1" applyAlignment="1" applyProtection="1">
      <alignment horizontal="left" vertical="center" wrapText="1"/>
    </xf>
    <xf numFmtId="0" fontId="24" fillId="10" borderId="5" xfId="0" applyFont="1" applyFill="1" applyBorder="1" applyAlignment="1" applyProtection="1">
      <alignment horizontal="center" vertical="center"/>
    </xf>
    <xf numFmtId="0" fontId="24" fillId="3" borderId="9" xfId="0" applyFont="1" applyFill="1" applyBorder="1" applyAlignment="1" applyProtection="1">
      <alignment horizontal="center" vertical="center"/>
      <protection locked="0"/>
    </xf>
    <xf numFmtId="0" fontId="24" fillId="3" borderId="11" xfId="0" applyFont="1" applyFill="1" applyBorder="1" applyAlignment="1" applyProtection="1">
      <alignment horizontal="center" vertical="center"/>
      <protection locked="0"/>
    </xf>
    <xf numFmtId="49" fontId="21" fillId="0" borderId="10" xfId="0" applyNumberFormat="1" applyFont="1" applyFill="1" applyBorder="1" applyAlignment="1" applyProtection="1">
      <alignment horizontal="center" vertical="top" wrapText="1"/>
      <protection locked="0"/>
    </xf>
    <xf numFmtId="0" fontId="21" fillId="0" borderId="21" xfId="0" applyNumberFormat="1" applyFont="1" applyBorder="1" applyAlignment="1" applyProtection="1">
      <alignment horizontal="left" vertical="top" wrapText="1"/>
      <protection locked="0"/>
    </xf>
    <xf numFmtId="0" fontId="24" fillId="10" borderId="29" xfId="0" applyFont="1" applyFill="1" applyBorder="1" applyAlignment="1" applyProtection="1">
      <alignment horizontal="center" vertical="center"/>
    </xf>
    <xf numFmtId="49" fontId="21" fillId="0" borderId="44" xfId="0" applyNumberFormat="1" applyFont="1" applyFill="1" applyBorder="1" applyAlignment="1" applyProtection="1">
      <alignment horizontal="center" vertical="top" wrapText="1"/>
      <protection locked="0"/>
    </xf>
    <xf numFmtId="0" fontId="21" fillId="0" borderId="45" xfId="0" applyNumberFormat="1" applyFont="1" applyBorder="1" applyAlignment="1" applyProtection="1">
      <alignment horizontal="left" vertical="top" wrapText="1"/>
      <protection locked="0"/>
    </xf>
    <xf numFmtId="49" fontId="22" fillId="0" borderId="34" xfId="0" applyNumberFormat="1" applyFont="1" applyBorder="1" applyAlignment="1" applyProtection="1">
      <alignment horizontal="left" vertical="top" wrapText="1"/>
      <protection locked="0"/>
    </xf>
    <xf numFmtId="164" fontId="21" fillId="0" borderId="44" xfId="0" applyNumberFormat="1" applyFont="1" applyBorder="1" applyAlignment="1" applyProtection="1">
      <alignment horizontal="right" vertical="top" wrapText="1"/>
      <protection locked="0"/>
    </xf>
    <xf numFmtId="0" fontId="24" fillId="3" borderId="8" xfId="0" applyFont="1" applyFill="1" applyBorder="1" applyAlignment="1" applyProtection="1">
      <alignment horizontal="center" vertical="center" wrapText="1"/>
    </xf>
    <xf numFmtId="0" fontId="24" fillId="3" borderId="8" xfId="0" applyNumberFormat="1" applyFont="1" applyFill="1" applyBorder="1" applyAlignment="1" applyProtection="1">
      <alignment horizontal="center" vertical="center" wrapText="1"/>
    </xf>
    <xf numFmtId="0" fontId="24" fillId="3" borderId="8" xfId="0" applyNumberFormat="1" applyFont="1" applyFill="1" applyBorder="1" applyAlignment="1" applyProtection="1">
      <alignment horizontal="left" vertical="center" wrapText="1"/>
    </xf>
    <xf numFmtId="0" fontId="21" fillId="3" borderId="43" xfId="0" applyFont="1" applyFill="1" applyBorder="1" applyAlignment="1" applyProtection="1">
      <alignment horizontal="left" vertical="top" wrapText="1"/>
      <protection locked="0"/>
    </xf>
    <xf numFmtId="0" fontId="21" fillId="3" borderId="21" xfId="0" applyFont="1" applyFill="1" applyBorder="1" applyAlignment="1" applyProtection="1">
      <alignment horizontal="left" vertical="top" wrapText="1"/>
      <protection locked="0"/>
    </xf>
    <xf numFmtId="164" fontId="24" fillId="0" borderId="29" xfId="0" applyNumberFormat="1" applyFont="1" applyBorder="1" applyAlignment="1"/>
    <xf numFmtId="164" fontId="24" fillId="0" borderId="29" xfId="0" applyNumberFormat="1" applyFont="1" applyBorder="1" applyAlignment="1" applyProtection="1"/>
    <xf numFmtId="164" fontId="24" fillId="0" borderId="5" xfId="0" applyNumberFormat="1" applyFont="1" applyBorder="1" applyAlignment="1"/>
    <xf numFmtId="0" fontId="29" fillId="4" borderId="33" xfId="0" applyFont="1" applyFill="1" applyBorder="1" applyAlignment="1" applyProtection="1">
      <alignment horizontal="center" textRotation="90" wrapText="1"/>
      <protection locked="0"/>
    </xf>
    <xf numFmtId="0" fontId="29" fillId="4" borderId="2" xfId="0" applyFont="1" applyFill="1" applyBorder="1" applyAlignment="1" applyProtection="1">
      <alignment horizontal="center" textRotation="90" wrapText="1"/>
      <protection locked="0"/>
    </xf>
    <xf numFmtId="0" fontId="29" fillId="4" borderId="37" xfId="0" applyFont="1" applyFill="1" applyBorder="1" applyAlignment="1" applyProtection="1">
      <alignment horizontal="center" textRotation="90" wrapText="1"/>
      <protection locked="0"/>
    </xf>
    <xf numFmtId="0" fontId="24" fillId="3" borderId="65" xfId="0" applyFont="1" applyFill="1" applyBorder="1" applyAlignment="1" applyProtection="1">
      <alignment horizontal="center" vertical="center" wrapText="1"/>
    </xf>
    <xf numFmtId="0" fontId="24" fillId="3" borderId="65" xfId="0" applyNumberFormat="1" applyFont="1" applyFill="1" applyBorder="1" applyAlignment="1" applyProtection="1">
      <alignment horizontal="center" vertical="center" wrapText="1"/>
    </xf>
    <xf numFmtId="0" fontId="24" fillId="3" borderId="65" xfId="0" applyNumberFormat="1" applyFont="1" applyFill="1" applyBorder="1" applyAlignment="1" applyProtection="1">
      <alignment horizontal="left" vertical="center" wrapText="1"/>
    </xf>
    <xf numFmtId="0" fontId="24" fillId="10" borderId="66" xfId="0" applyFont="1" applyFill="1" applyBorder="1" applyAlignment="1" applyProtection="1">
      <alignment horizontal="center" vertical="center"/>
    </xf>
    <xf numFmtId="0" fontId="24" fillId="3" borderId="34" xfId="0" applyFont="1" applyFill="1" applyBorder="1" applyAlignment="1" applyProtection="1">
      <alignment horizontal="center" vertical="center"/>
      <protection locked="0"/>
    </xf>
    <xf numFmtId="0" fontId="24" fillId="3" borderId="35" xfId="0" applyFont="1" applyFill="1" applyBorder="1" applyAlignment="1" applyProtection="1">
      <alignment horizontal="center" vertical="center"/>
      <protection locked="0"/>
    </xf>
    <xf numFmtId="0" fontId="25" fillId="9" borderId="29" xfId="0" applyFont="1" applyFill="1" applyBorder="1" applyAlignment="1" applyProtection="1">
      <alignment horizontal="center" vertical="center"/>
    </xf>
    <xf numFmtId="49" fontId="25" fillId="9" borderId="29" xfId="0" applyNumberFormat="1" applyFont="1" applyFill="1" applyBorder="1" applyAlignment="1" applyProtection="1">
      <alignment horizontal="center" vertical="center"/>
    </xf>
    <xf numFmtId="0" fontId="25" fillId="9" borderId="30" xfId="0" applyFont="1" applyFill="1" applyBorder="1" applyAlignment="1" applyProtection="1">
      <alignment horizontal="center" vertical="center"/>
      <protection locked="0"/>
    </xf>
    <xf numFmtId="0" fontId="25" fillId="9" borderId="10" xfId="0" applyFont="1" applyFill="1" applyBorder="1" applyAlignment="1" applyProtection="1">
      <alignment horizontal="center" vertical="center"/>
      <protection locked="0"/>
    </xf>
    <xf numFmtId="0" fontId="25" fillId="9" borderId="11" xfId="0" applyFont="1" applyFill="1" applyBorder="1" applyAlignment="1" applyProtection="1">
      <alignment horizontal="center" vertical="center"/>
      <protection locked="0"/>
    </xf>
    <xf numFmtId="0" fontId="25" fillId="9" borderId="9" xfId="0" applyFont="1" applyFill="1" applyBorder="1" applyAlignment="1" applyProtection="1">
      <alignment horizontal="center" vertical="center"/>
      <protection locked="0"/>
    </xf>
    <xf numFmtId="0" fontId="25" fillId="0" borderId="0" xfId="0" applyFont="1" applyFill="1" applyBorder="1" applyAlignment="1" applyProtection="1">
      <alignment horizontal="center" vertical="center"/>
    </xf>
    <xf numFmtId="49" fontId="25" fillId="0" borderId="0" xfId="0" applyNumberFormat="1" applyFont="1" applyFill="1" applyBorder="1" applyAlignment="1" applyProtection="1">
      <alignment horizontal="center" vertical="center"/>
    </xf>
    <xf numFmtId="0" fontId="25" fillId="0" borderId="0" xfId="0" applyFont="1" applyFill="1" applyBorder="1" applyAlignment="1" applyProtection="1">
      <alignment horizontal="center" vertical="center"/>
      <protection locked="0"/>
    </xf>
    <xf numFmtId="0" fontId="0" fillId="0" borderId="0" xfId="0" applyFill="1" applyBorder="1" applyAlignment="1" applyProtection="1">
      <alignment horizontal="center" vertical="center"/>
      <protection locked="0"/>
    </xf>
    <xf numFmtId="0" fontId="2" fillId="0" borderId="0" xfId="0" applyFont="1" applyFill="1" applyBorder="1" applyAlignment="1" applyProtection="1">
      <alignment horizontal="center" vertical="center"/>
    </xf>
    <xf numFmtId="49" fontId="2" fillId="0" borderId="0" xfId="0" applyNumberFormat="1" applyFont="1" applyFill="1" applyBorder="1" applyAlignment="1" applyProtection="1">
      <alignment horizontal="center" vertical="center"/>
    </xf>
    <xf numFmtId="0" fontId="2" fillId="0" borderId="0" xfId="0" applyFont="1" applyFill="1" applyBorder="1" applyAlignment="1" applyProtection="1">
      <alignment horizontal="center" vertical="center"/>
      <protection locked="0"/>
    </xf>
    <xf numFmtId="0" fontId="31" fillId="6" borderId="3" xfId="0" applyFont="1" applyFill="1" applyBorder="1" applyAlignment="1">
      <alignment wrapText="1"/>
    </xf>
    <xf numFmtId="164" fontId="21" fillId="14" borderId="7" xfId="0" applyNumberFormat="1" applyFont="1" applyFill="1" applyBorder="1" applyAlignment="1" applyProtection="1">
      <alignment vertical="top" wrapText="1"/>
    </xf>
    <xf numFmtId="164" fontId="21" fillId="14" borderId="11" xfId="0" applyNumberFormat="1" applyFont="1" applyFill="1" applyBorder="1" applyAlignment="1" applyProtection="1">
      <alignment vertical="top" wrapText="1"/>
    </xf>
    <xf numFmtId="164" fontId="21" fillId="14" borderId="35" xfId="0" applyNumberFormat="1" applyFont="1" applyFill="1" applyBorder="1" applyAlignment="1" applyProtection="1">
      <alignment vertical="top" wrapText="1"/>
    </xf>
    <xf numFmtId="164" fontId="32" fillId="12" borderId="69" xfId="1" applyNumberFormat="1" applyFont="1" applyFill="1" applyBorder="1" applyAlignment="1" applyProtection="1">
      <alignment vertical="center" wrapText="1"/>
    </xf>
    <xf numFmtId="164" fontId="21" fillId="0" borderId="34" xfId="0" applyNumberFormat="1" applyFont="1" applyBorder="1" applyAlignment="1" applyProtection="1">
      <alignment horizontal="right" vertical="top" wrapText="1"/>
      <protection locked="0"/>
    </xf>
    <xf numFmtId="164" fontId="14" fillId="12" borderId="14" xfId="0" applyNumberFormat="1" applyFont="1" applyFill="1" applyBorder="1" applyAlignment="1" applyProtection="1">
      <alignment horizontal="right" vertical="center" wrapText="1"/>
    </xf>
    <xf numFmtId="164" fontId="14" fillId="12" borderId="16" xfId="0" applyNumberFormat="1" applyFont="1" applyFill="1" applyBorder="1" applyAlignment="1" applyProtection="1">
      <alignment horizontal="right" vertical="center" wrapText="1"/>
    </xf>
    <xf numFmtId="164" fontId="14" fillId="12" borderId="14" xfId="1" applyNumberFormat="1" applyFont="1" applyFill="1" applyBorder="1" applyAlignment="1" applyProtection="1">
      <alignment vertical="center" wrapText="1"/>
    </xf>
    <xf numFmtId="0" fontId="14" fillId="12" borderId="15" xfId="0" applyFont="1" applyFill="1" applyBorder="1" applyAlignment="1" applyProtection="1">
      <alignment horizontal="left" vertical="center" wrapText="1"/>
    </xf>
    <xf numFmtId="0" fontId="14" fillId="12" borderId="16" xfId="0" applyFont="1" applyFill="1" applyBorder="1" applyAlignment="1" applyProtection="1">
      <alignment horizontal="left" vertical="center" wrapText="1"/>
    </xf>
    <xf numFmtId="49" fontId="22" fillId="0" borderId="64" xfId="0" applyNumberFormat="1" applyFont="1" applyBorder="1" applyAlignment="1" applyProtection="1">
      <alignment horizontal="left" vertical="top" wrapText="1"/>
      <protection locked="0"/>
    </xf>
    <xf numFmtId="49" fontId="22" fillId="0" borderId="22" xfId="0" applyNumberFormat="1" applyFont="1" applyBorder="1" applyAlignment="1" applyProtection="1">
      <alignment horizontal="left" vertical="top" wrapText="1"/>
      <protection locked="0"/>
    </xf>
    <xf numFmtId="49" fontId="22" fillId="0" borderId="24" xfId="0" applyNumberFormat="1" applyFont="1" applyBorder="1" applyAlignment="1" applyProtection="1">
      <alignment horizontal="left" vertical="top" wrapText="1"/>
      <protection locked="0"/>
    </xf>
    <xf numFmtId="49" fontId="22" fillId="0" borderId="40" xfId="0" applyNumberFormat="1" applyFont="1" applyBorder="1" applyAlignment="1" applyProtection="1">
      <alignment horizontal="left" vertical="top" wrapText="1"/>
      <protection locked="0"/>
    </xf>
    <xf numFmtId="49" fontId="22" fillId="0" borderId="17" xfId="0" applyNumberFormat="1" applyFont="1" applyBorder="1" applyAlignment="1" applyProtection="1">
      <alignment horizontal="left" vertical="top" wrapText="1"/>
      <protection locked="0"/>
    </xf>
    <xf numFmtId="49" fontId="22" fillId="0" borderId="30" xfId="0" applyNumberFormat="1" applyFont="1" applyBorder="1" applyAlignment="1" applyProtection="1">
      <alignment horizontal="left" vertical="top" wrapText="1"/>
      <protection locked="0"/>
    </xf>
    <xf numFmtId="49" fontId="22" fillId="0" borderId="23" xfId="0" applyNumberFormat="1" applyFont="1" applyBorder="1" applyAlignment="1" applyProtection="1">
      <alignment horizontal="left" vertical="top" wrapText="1"/>
      <protection locked="0"/>
    </xf>
    <xf numFmtId="49" fontId="22" fillId="0" borderId="50" xfId="0" applyNumberFormat="1" applyFont="1" applyBorder="1" applyAlignment="1" applyProtection="1">
      <alignment horizontal="left" vertical="top" wrapText="1"/>
      <protection locked="0"/>
    </xf>
    <xf numFmtId="49" fontId="22" fillId="0" borderId="25" xfId="0" applyNumberFormat="1" applyFont="1" applyBorder="1" applyAlignment="1" applyProtection="1">
      <alignment horizontal="left" vertical="top" wrapText="1"/>
      <protection locked="0"/>
    </xf>
    <xf numFmtId="49" fontId="22" fillId="0" borderId="38" xfId="0" applyNumberFormat="1" applyFont="1" applyBorder="1" applyAlignment="1" applyProtection="1">
      <alignment horizontal="left" vertical="top" wrapText="1"/>
      <protection locked="0"/>
    </xf>
    <xf numFmtId="49" fontId="22" fillId="0" borderId="71" xfId="0" applyNumberFormat="1" applyFont="1" applyBorder="1" applyAlignment="1" applyProtection="1">
      <alignment horizontal="left" vertical="top" wrapText="1"/>
      <protection locked="0"/>
    </xf>
    <xf numFmtId="49" fontId="22" fillId="0" borderId="28" xfId="0" applyNumberFormat="1" applyFont="1" applyBorder="1" applyAlignment="1" applyProtection="1">
      <alignment horizontal="left" vertical="top" wrapText="1"/>
      <protection locked="0"/>
    </xf>
    <xf numFmtId="0" fontId="13" fillId="3" borderId="0" xfId="0" applyFont="1" applyFill="1" applyBorder="1" applyAlignment="1" applyProtection="1">
      <alignment wrapText="1"/>
    </xf>
    <xf numFmtId="0" fontId="0" fillId="3" borderId="0" xfId="0" applyFill="1" applyBorder="1" applyAlignment="1" applyProtection="1">
      <alignment wrapText="1"/>
    </xf>
    <xf numFmtId="0" fontId="0" fillId="0" borderId="0" xfId="0" applyFill="1" applyBorder="1" applyAlignment="1" applyProtection="1">
      <alignment wrapText="1"/>
    </xf>
    <xf numFmtId="164" fontId="0" fillId="0" borderId="0" xfId="0" applyNumberFormat="1" applyFill="1" applyBorder="1" applyAlignment="1" applyProtection="1">
      <alignment wrapText="1"/>
    </xf>
    <xf numFmtId="0" fontId="30" fillId="3" borderId="0" xfId="0" applyFont="1" applyFill="1" applyBorder="1" applyAlignment="1">
      <alignment wrapText="1"/>
    </xf>
    <xf numFmtId="164" fontId="10" fillId="0" borderId="30" xfId="0" applyNumberFormat="1" applyFont="1" applyBorder="1" applyProtection="1"/>
    <xf numFmtId="164" fontId="10" fillId="0" borderId="72" xfId="0" applyNumberFormat="1" applyFont="1" applyBorder="1" applyProtection="1"/>
    <xf numFmtId="164" fontId="10" fillId="0" borderId="40" xfId="0" applyNumberFormat="1" applyFont="1" applyBorder="1" applyProtection="1"/>
    <xf numFmtId="164" fontId="10" fillId="0" borderId="7" xfId="0" applyNumberFormat="1" applyFont="1" applyBorder="1" applyProtection="1"/>
    <xf numFmtId="0" fontId="10" fillId="0" borderId="3" xfId="0" applyFont="1" applyBorder="1" applyProtection="1">
      <protection locked="0"/>
    </xf>
    <xf numFmtId="0" fontId="0" fillId="0" borderId="3" xfId="0" applyBorder="1" applyAlignment="1">
      <alignment wrapText="1"/>
    </xf>
    <xf numFmtId="164" fontId="14" fillId="12" borderId="15" xfId="1" applyNumberFormat="1" applyFont="1" applyFill="1" applyBorder="1" applyAlignment="1" applyProtection="1">
      <alignment vertical="center" wrapText="1"/>
    </xf>
    <xf numFmtId="164" fontId="10" fillId="5" borderId="73" xfId="0" applyNumberFormat="1" applyFont="1" applyFill="1" applyBorder="1" applyProtection="1"/>
    <xf numFmtId="164" fontId="10" fillId="15" borderId="0" xfId="0" applyNumberFormat="1" applyFont="1" applyFill="1" applyBorder="1" applyProtection="1"/>
    <xf numFmtId="0" fontId="21" fillId="14" borderId="51" xfId="0" applyNumberFormat="1" applyFont="1" applyFill="1" applyBorder="1" applyAlignment="1" applyProtection="1">
      <alignment horizontal="center" vertical="top" wrapText="1"/>
    </xf>
    <xf numFmtId="0" fontId="21" fillId="14" borderId="52" xfId="0" applyNumberFormat="1" applyFont="1" applyFill="1" applyBorder="1" applyAlignment="1" applyProtection="1">
      <alignment horizontal="center" vertical="top" wrapText="1"/>
    </xf>
    <xf numFmtId="0" fontId="21" fillId="14" borderId="53" xfId="0" applyNumberFormat="1" applyFont="1" applyFill="1" applyBorder="1" applyAlignment="1" applyProtection="1">
      <alignment horizontal="center" vertical="top" wrapText="1"/>
    </xf>
    <xf numFmtId="0" fontId="14" fillId="0" borderId="60" xfId="0" applyFont="1" applyBorder="1" applyAlignment="1">
      <alignment horizontal="center" vertical="center" wrapText="1"/>
    </xf>
    <xf numFmtId="0" fontId="14" fillId="0" borderId="62" xfId="0" applyFont="1" applyBorder="1" applyAlignment="1">
      <alignment horizontal="center" vertical="center" wrapText="1"/>
    </xf>
    <xf numFmtId="0" fontId="14" fillId="0" borderId="49" xfId="0" applyFont="1" applyBorder="1" applyAlignment="1">
      <alignment horizontal="center" vertical="center" wrapText="1"/>
    </xf>
    <xf numFmtId="49" fontId="24" fillId="0" borderId="0" xfId="0" applyNumberFormat="1" applyFont="1" applyAlignment="1" applyProtection="1">
      <alignment wrapText="1"/>
      <protection locked="0"/>
    </xf>
    <xf numFmtId="49" fontId="24" fillId="0" borderId="0" xfId="0" applyNumberFormat="1" applyFont="1" applyAlignment="1" applyProtection="1">
      <alignment horizontal="left" wrapText="1"/>
      <protection locked="0"/>
    </xf>
    <xf numFmtId="0" fontId="21" fillId="0" borderId="0" xfId="2" applyFont="1"/>
    <xf numFmtId="0" fontId="21" fillId="0" borderId="0" xfId="2" applyFont="1" applyAlignment="1">
      <alignment vertical="center"/>
    </xf>
    <xf numFmtId="0" fontId="9" fillId="0" borderId="0" xfId="0" applyFont="1"/>
    <xf numFmtId="49" fontId="6" fillId="0" borderId="17" xfId="0" applyNumberFormat="1" applyFont="1" applyBorder="1" applyAlignment="1">
      <alignment wrapText="1"/>
    </xf>
    <xf numFmtId="49" fontId="9" fillId="0" borderId="36" xfId="0" applyNumberFormat="1" applyFont="1" applyBorder="1" applyAlignment="1">
      <alignment horizontal="center" vertical="top"/>
    </xf>
    <xf numFmtId="49" fontId="0" fillId="0" borderId="0" xfId="0" applyNumberFormat="1" applyAlignment="1">
      <alignment wrapText="1"/>
    </xf>
    <xf numFmtId="49" fontId="0" fillId="0" borderId="0" xfId="0" applyNumberFormat="1" applyAlignment="1">
      <alignment horizontal="center" vertical="top"/>
    </xf>
    <xf numFmtId="49" fontId="9" fillId="0" borderId="28" xfId="0" applyNumberFormat="1" applyFont="1" applyBorder="1" applyAlignment="1">
      <alignment wrapText="1"/>
    </xf>
    <xf numFmtId="49" fontId="9" fillId="0" borderId="38" xfId="0" applyNumberFormat="1" applyFont="1" applyBorder="1" applyAlignment="1">
      <alignment horizontal="center" vertical="top"/>
    </xf>
    <xf numFmtId="49" fontId="9" fillId="0" borderId="23" xfId="0" applyNumberFormat="1" applyFont="1" applyBorder="1" applyAlignment="1">
      <alignment wrapText="1"/>
    </xf>
    <xf numFmtId="49" fontId="9" fillId="0" borderId="30" xfId="0" applyNumberFormat="1" applyFont="1" applyBorder="1" applyAlignment="1">
      <alignment horizontal="center" vertical="top"/>
    </xf>
    <xf numFmtId="49" fontId="9" fillId="0" borderId="17" xfId="0" applyNumberFormat="1" applyFont="1" applyBorder="1" applyAlignment="1">
      <alignment wrapText="1"/>
    </xf>
    <xf numFmtId="49" fontId="9" fillId="0" borderId="40" xfId="0" applyNumberFormat="1" applyFont="1" applyBorder="1" applyAlignment="1">
      <alignment horizontal="center" vertical="top"/>
    </xf>
    <xf numFmtId="49" fontId="9" fillId="0" borderId="80" xfId="0" applyNumberFormat="1" applyFont="1" applyBorder="1" applyAlignment="1">
      <alignment wrapText="1"/>
    </xf>
    <xf numFmtId="49" fontId="9" fillId="0" borderId="48" xfId="0" applyNumberFormat="1" applyFont="1" applyBorder="1" applyAlignment="1">
      <alignment horizontal="center" vertical="top"/>
    </xf>
    <xf numFmtId="49" fontId="9" fillId="0" borderId="25" xfId="0" applyNumberFormat="1" applyFont="1" applyBorder="1" applyAlignment="1">
      <alignment wrapText="1"/>
    </xf>
    <xf numFmtId="49" fontId="9" fillId="0" borderId="50" xfId="0" applyNumberFormat="1" applyFont="1" applyBorder="1" applyAlignment="1">
      <alignment horizontal="center" vertical="top"/>
    </xf>
    <xf numFmtId="49" fontId="9" fillId="0" borderId="81" xfId="0" applyNumberFormat="1" applyFont="1" applyBorder="1" applyAlignment="1">
      <alignment wrapText="1"/>
    </xf>
    <xf numFmtId="49" fontId="9" fillId="0" borderId="82" xfId="0" applyNumberFormat="1" applyFont="1" applyBorder="1" applyAlignment="1">
      <alignment horizontal="center" vertical="top"/>
    </xf>
    <xf numFmtId="49" fontId="9" fillId="0" borderId="83" xfId="0" applyNumberFormat="1" applyFont="1" applyBorder="1" applyAlignment="1">
      <alignment horizontal="center" vertical="top"/>
    </xf>
    <xf numFmtId="49" fontId="9" fillId="0" borderId="28" xfId="0" applyNumberFormat="1" applyFont="1" applyBorder="1" applyAlignment="1">
      <alignment vertical="center" wrapText="1"/>
    </xf>
    <xf numFmtId="0" fontId="9" fillId="0" borderId="31" xfId="0" applyFont="1" applyBorder="1"/>
    <xf numFmtId="0" fontId="9" fillId="0" borderId="29" xfId="0" applyFont="1" applyBorder="1"/>
    <xf numFmtId="0" fontId="9" fillId="0" borderId="5" xfId="0" applyFont="1" applyBorder="1"/>
    <xf numFmtId="49" fontId="43" fillId="16" borderId="3" xfId="0" applyNumberFormat="1" applyFont="1" applyFill="1" applyBorder="1" applyAlignment="1">
      <alignment wrapText="1"/>
    </xf>
    <xf numFmtId="49" fontId="9" fillId="0" borderId="13" xfId="0" applyNumberFormat="1" applyFont="1" applyBorder="1" applyAlignment="1">
      <alignment wrapText="1"/>
    </xf>
    <xf numFmtId="49" fontId="9" fillId="0" borderId="11" xfId="0" applyNumberFormat="1" applyFont="1" applyBorder="1" applyAlignment="1">
      <alignment wrapText="1"/>
    </xf>
    <xf numFmtId="49" fontId="45" fillId="0" borderId="11" xfId="0" applyNumberFormat="1" applyFont="1" applyBorder="1" applyAlignment="1">
      <alignment wrapText="1"/>
    </xf>
    <xf numFmtId="0" fontId="6" fillId="0" borderId="31" xfId="0" applyFont="1" applyBorder="1"/>
    <xf numFmtId="0" fontId="6" fillId="0" borderId="31" xfId="0" applyFont="1" applyBorder="1" applyAlignment="1">
      <alignment horizontal="left"/>
    </xf>
    <xf numFmtId="49" fontId="9" fillId="9" borderId="23" xfId="0" applyNumberFormat="1" applyFont="1" applyFill="1" applyBorder="1" applyAlignment="1">
      <alignment wrapText="1"/>
    </xf>
    <xf numFmtId="0" fontId="6" fillId="0" borderId="29" xfId="0" applyFont="1" applyBorder="1"/>
    <xf numFmtId="0" fontId="6" fillId="0" borderId="29" xfId="0" applyFont="1" applyBorder="1" applyAlignment="1">
      <alignment horizontal="left"/>
    </xf>
    <xf numFmtId="49" fontId="6" fillId="0" borderId="23" xfId="0" applyNumberFormat="1" applyFont="1" applyBorder="1" applyAlignment="1">
      <alignment wrapText="1"/>
    </xf>
    <xf numFmtId="0" fontId="6" fillId="0" borderId="29" xfId="0" applyFont="1" applyBorder="1" applyAlignment="1">
      <alignment wrapText="1"/>
    </xf>
    <xf numFmtId="0" fontId="9" fillId="0" borderId="20" xfId="0" applyFont="1" applyBorder="1" applyAlignment="1">
      <alignment wrapText="1"/>
    </xf>
    <xf numFmtId="0" fontId="6" fillId="0" borderId="32" xfId="0" applyFont="1" applyBorder="1"/>
    <xf numFmtId="0" fontId="6" fillId="0" borderId="32" xfId="0" applyFont="1" applyBorder="1" applyAlignment="1">
      <alignment wrapText="1"/>
    </xf>
    <xf numFmtId="49" fontId="9" fillId="0" borderId="23" xfId="0" applyNumberFormat="1" applyFont="1" applyBorder="1" applyAlignment="1">
      <alignment horizontal="left" wrapText="1"/>
    </xf>
    <xf numFmtId="0" fontId="9" fillId="16" borderId="16" xfId="0" applyFont="1" applyFill="1" applyBorder="1"/>
    <xf numFmtId="49" fontId="43" fillId="16" borderId="14" xfId="0" applyNumberFormat="1" applyFont="1" applyFill="1" applyBorder="1" applyAlignment="1">
      <alignment wrapText="1"/>
    </xf>
    <xf numFmtId="0" fontId="9" fillId="9" borderId="84" xfId="0" applyFont="1" applyFill="1" applyBorder="1" applyAlignment="1">
      <alignment horizontal="left" wrapText="1"/>
    </xf>
    <xf numFmtId="49" fontId="9" fillId="0" borderId="39" xfId="0" applyNumberFormat="1" applyFont="1" applyBorder="1" applyAlignment="1">
      <alignment horizontal="center" vertical="top"/>
    </xf>
    <xf numFmtId="49" fontId="43" fillId="0" borderId="0" xfId="0" applyNumberFormat="1" applyFont="1" applyAlignment="1">
      <alignment wrapText="1"/>
    </xf>
    <xf numFmtId="0" fontId="21" fillId="0" borderId="7" xfId="0" applyFont="1" applyFill="1" applyBorder="1" applyAlignment="1">
      <alignment horizontal="center" vertical="top"/>
    </xf>
    <xf numFmtId="0" fontId="21" fillId="0" borderId="11" xfId="0" applyFont="1" applyFill="1" applyBorder="1" applyAlignment="1">
      <alignment horizontal="center" vertical="top"/>
    </xf>
    <xf numFmtId="0" fontId="21" fillId="0" borderId="11" xfId="0" applyNumberFormat="1" applyFont="1" applyFill="1" applyBorder="1" applyAlignment="1" applyProtection="1">
      <alignment horizontal="center" vertical="top"/>
    </xf>
    <xf numFmtId="0" fontId="21" fillId="0" borderId="35" xfId="0" applyNumberFormat="1" applyFont="1" applyFill="1" applyBorder="1" applyAlignment="1" applyProtection="1">
      <alignment horizontal="center" vertical="top"/>
    </xf>
    <xf numFmtId="164" fontId="14" fillId="12" borderId="16" xfId="0" applyNumberFormat="1" applyFont="1" applyFill="1" applyBorder="1" applyAlignment="1">
      <alignment horizontal="right" vertical="center" wrapText="1"/>
    </xf>
    <xf numFmtId="0" fontId="13" fillId="3" borderId="24" xfId="0" applyFont="1" applyFill="1" applyBorder="1" applyAlignment="1" applyProtection="1">
      <alignment wrapText="1"/>
    </xf>
    <xf numFmtId="0" fontId="10" fillId="0" borderId="0" xfId="0" applyFont="1" applyBorder="1" applyProtection="1">
      <protection locked="0"/>
    </xf>
    <xf numFmtId="49" fontId="43" fillId="16" borderId="14" xfId="0" applyNumberFormat="1" applyFont="1" applyFill="1" applyBorder="1" applyAlignment="1">
      <alignment horizontal="center"/>
    </xf>
    <xf numFmtId="49" fontId="43" fillId="16" borderId="16" xfId="0" applyNumberFormat="1" applyFont="1" applyFill="1" applyBorder="1" applyAlignment="1">
      <alignment horizontal="center"/>
    </xf>
    <xf numFmtId="49" fontId="17" fillId="17" borderId="14" xfId="0" applyNumberFormat="1" applyFont="1" applyFill="1" applyBorder="1" applyAlignment="1">
      <alignment horizontal="center"/>
    </xf>
    <xf numFmtId="0" fontId="17" fillId="17" borderId="16" xfId="0" applyFont="1" applyFill="1" applyBorder="1" applyAlignment="1">
      <alignment horizontal="center"/>
    </xf>
    <xf numFmtId="49" fontId="43" fillId="16" borderId="14" xfId="0" applyNumberFormat="1" applyFont="1" applyFill="1" applyBorder="1" applyAlignment="1">
      <alignment horizontal="center" wrapText="1"/>
    </xf>
    <xf numFmtId="0" fontId="43" fillId="16" borderId="16" xfId="0" applyFont="1" applyFill="1" applyBorder="1" applyAlignment="1">
      <alignment horizontal="center" wrapText="1"/>
    </xf>
    <xf numFmtId="0" fontId="43" fillId="16" borderId="16" xfId="0" applyFont="1" applyFill="1" applyBorder="1" applyAlignment="1">
      <alignment horizontal="center"/>
    </xf>
    <xf numFmtId="49" fontId="43" fillId="16" borderId="18" xfId="0" applyNumberFormat="1" applyFont="1" applyFill="1" applyBorder="1" applyAlignment="1">
      <alignment horizontal="center"/>
    </xf>
    <xf numFmtId="0" fontId="43" fillId="16" borderId="47" xfId="0" applyFont="1" applyFill="1" applyBorder="1" applyAlignment="1">
      <alignment horizontal="center"/>
    </xf>
    <xf numFmtId="0" fontId="14" fillId="3" borderId="14" xfId="0" applyFont="1" applyFill="1" applyBorder="1" applyAlignment="1" applyProtection="1">
      <alignment horizontal="left" wrapText="1"/>
    </xf>
    <xf numFmtId="0" fontId="23" fillId="3" borderId="15" xfId="0" applyFont="1" applyFill="1" applyBorder="1" applyAlignment="1">
      <alignment horizontal="left" wrapText="1"/>
    </xf>
    <xf numFmtId="0" fontId="23" fillId="0" borderId="15" xfId="0" applyFont="1" applyBorder="1" applyAlignment="1">
      <alignment horizontal="left" wrapText="1"/>
    </xf>
    <xf numFmtId="0" fontId="23" fillId="0" borderId="16" xfId="0" applyFont="1" applyBorder="1" applyAlignment="1">
      <alignment horizontal="left" wrapText="1"/>
    </xf>
    <xf numFmtId="0" fontId="27" fillId="12" borderId="14" xfId="0" applyFont="1" applyFill="1" applyBorder="1" applyAlignment="1" applyProtection="1">
      <alignment horizontal="left" vertical="center" wrapText="1"/>
    </xf>
    <xf numFmtId="0" fontId="28" fillId="0" borderId="15" xfId="0" applyFont="1" applyBorder="1" applyAlignment="1">
      <alignment horizontal="left" vertical="center" wrapText="1"/>
    </xf>
    <xf numFmtId="0" fontId="39" fillId="0" borderId="8" xfId="0" applyFont="1" applyBorder="1"/>
    <xf numFmtId="0" fontId="39" fillId="0" borderId="22" xfId="0" applyFont="1" applyBorder="1"/>
    <xf numFmtId="0" fontId="39" fillId="0" borderId="23" xfId="0" applyFont="1" applyBorder="1"/>
    <xf numFmtId="0" fontId="37" fillId="0" borderId="14" xfId="0" applyFont="1" applyFill="1" applyBorder="1" applyAlignment="1" applyProtection="1">
      <alignment horizontal="left" wrapText="1"/>
    </xf>
    <xf numFmtId="0" fontId="38" fillId="0" borderId="15" xfId="0" applyFont="1" applyBorder="1" applyAlignment="1" applyProtection="1">
      <alignment horizontal="left" wrapText="1"/>
    </xf>
    <xf numFmtId="0" fontId="38" fillId="0" borderId="16" xfId="0" applyFont="1" applyBorder="1" applyAlignment="1" applyProtection="1">
      <alignment horizontal="left" wrapText="1"/>
    </xf>
    <xf numFmtId="0" fontId="6" fillId="0" borderId="77" xfId="0" applyFont="1" applyFill="1" applyBorder="1" applyAlignment="1" applyProtection="1">
      <alignment horizontal="left" wrapText="1"/>
    </xf>
    <xf numFmtId="0" fontId="6" fillId="0" borderId="78" xfId="0" applyFont="1" applyFill="1" applyBorder="1" applyAlignment="1" applyProtection="1">
      <alignment horizontal="left" wrapText="1"/>
    </xf>
    <xf numFmtId="0" fontId="6" fillId="0" borderId="79" xfId="0" applyFont="1" applyFill="1" applyBorder="1" applyAlignment="1" applyProtection="1">
      <alignment horizontal="left" wrapText="1"/>
    </xf>
    <xf numFmtId="0" fontId="39" fillId="0" borderId="74" xfId="0" applyFont="1" applyBorder="1"/>
    <xf numFmtId="0" fontId="39" fillId="0" borderId="75" xfId="0" applyFont="1" applyBorder="1"/>
    <xf numFmtId="0" fontId="39" fillId="0" borderId="76" xfId="0" applyFont="1" applyBorder="1"/>
    <xf numFmtId="0" fontId="26" fillId="13" borderId="67" xfId="0" applyFont="1" applyFill="1" applyBorder="1" applyAlignment="1" applyProtection="1">
      <alignment horizontal="left" vertical="center" wrapText="1"/>
    </xf>
    <xf numFmtId="0" fontId="0" fillId="13" borderId="68" xfId="0" applyFill="1" applyBorder="1" applyAlignment="1">
      <alignment vertical="center" wrapText="1"/>
    </xf>
    <xf numFmtId="0" fontId="0" fillId="0" borderId="68" xfId="0" applyBorder="1" applyAlignment="1">
      <alignment vertical="center" wrapText="1"/>
    </xf>
    <xf numFmtId="0" fontId="19" fillId="8" borderId="14" xfId="0" applyFont="1" applyFill="1" applyBorder="1" applyAlignment="1">
      <alignment horizontal="center" vertical="center" wrapText="1"/>
    </xf>
    <xf numFmtId="0" fontId="20" fillId="0" borderId="15" xfId="0" applyFont="1" applyBorder="1" applyAlignment="1">
      <alignment horizontal="center" vertical="center" wrapText="1"/>
    </xf>
    <xf numFmtId="0" fontId="20" fillId="0" borderId="16" xfId="0" applyFont="1" applyBorder="1" applyAlignment="1">
      <alignment horizontal="center" vertical="center" wrapText="1"/>
    </xf>
    <xf numFmtId="0" fontId="17" fillId="11" borderId="15" xfId="0" applyFont="1" applyFill="1" applyBorder="1" applyAlignment="1">
      <alignment horizontal="left" vertical="center" wrapText="1"/>
    </xf>
    <xf numFmtId="0" fontId="17" fillId="11" borderId="16" xfId="0" applyFont="1" applyFill="1" applyBorder="1" applyAlignment="1">
      <alignment horizontal="left" vertical="center" wrapText="1"/>
    </xf>
    <xf numFmtId="0" fontId="0" fillId="11" borderId="12" xfId="0" applyFill="1" applyBorder="1" applyAlignment="1">
      <alignment horizontal="center" wrapText="1"/>
    </xf>
    <xf numFmtId="0" fontId="0" fillId="11" borderId="42" xfId="0" applyFill="1" applyBorder="1" applyAlignment="1">
      <alignment horizontal="center" wrapText="1"/>
    </xf>
    <xf numFmtId="0" fontId="0" fillId="11" borderId="28" xfId="0" applyFill="1" applyBorder="1" applyAlignment="1">
      <alignment horizontal="center" wrapText="1"/>
    </xf>
    <xf numFmtId="0" fontId="37" fillId="0" borderId="15" xfId="0" applyFont="1" applyFill="1" applyBorder="1" applyAlignment="1" applyProtection="1">
      <alignment horizontal="left" wrapText="1"/>
    </xf>
    <xf numFmtId="0" fontId="37" fillId="0" borderId="16" xfId="0" applyFont="1" applyFill="1" applyBorder="1" applyAlignment="1" applyProtection="1">
      <alignment horizontal="left" wrapText="1"/>
    </xf>
    <xf numFmtId="0" fontId="39" fillId="0" borderId="8" xfId="0" applyFont="1" applyBorder="1" applyAlignment="1">
      <alignment wrapText="1"/>
    </xf>
    <xf numFmtId="0" fontId="39" fillId="0" borderId="22" xfId="0" applyFont="1" applyBorder="1" applyAlignment="1">
      <alignment wrapText="1"/>
    </xf>
    <xf numFmtId="0" fontId="39" fillId="0" borderId="23" xfId="0" applyFont="1" applyBorder="1" applyAlignment="1">
      <alignment wrapText="1"/>
    </xf>
    <xf numFmtId="0" fontId="14" fillId="0" borderId="56" xfId="0" applyFont="1" applyBorder="1" applyAlignment="1">
      <alignment horizontal="center" vertical="center"/>
    </xf>
    <xf numFmtId="0" fontId="23" fillId="0" borderId="57" xfId="0" applyFont="1" applyBorder="1" applyAlignment="1">
      <alignment horizontal="center" vertical="center"/>
    </xf>
    <xf numFmtId="0" fontId="14" fillId="0" borderId="33" xfId="0" applyFont="1" applyBorder="1" applyAlignment="1">
      <alignment horizontal="center" vertical="center" wrapText="1"/>
    </xf>
    <xf numFmtId="0" fontId="14" fillId="0" borderId="62"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49" xfId="0" applyFont="1" applyBorder="1" applyAlignment="1">
      <alignment horizontal="center" vertical="center" wrapText="1"/>
    </xf>
    <xf numFmtId="0" fontId="14" fillId="0" borderId="61" xfId="0" applyFont="1" applyBorder="1" applyAlignment="1">
      <alignment horizontal="center" vertical="center" wrapText="1"/>
    </xf>
    <xf numFmtId="0" fontId="14" fillId="0" borderId="63" xfId="0" applyFont="1" applyBorder="1" applyAlignment="1">
      <alignment horizontal="center" vertical="center" wrapText="1"/>
    </xf>
    <xf numFmtId="0" fontId="14" fillId="0" borderId="58" xfId="0" applyFont="1" applyBorder="1" applyAlignment="1">
      <alignment horizontal="center" vertical="center" wrapText="1"/>
    </xf>
    <xf numFmtId="0" fontId="14" fillId="0" borderId="59"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60" xfId="0" applyFont="1" applyBorder="1" applyAlignment="1">
      <alignment horizontal="center" vertical="center" wrapText="1"/>
    </xf>
    <xf numFmtId="0" fontId="35" fillId="7" borderId="14" xfId="0" applyFont="1" applyFill="1" applyBorder="1" applyAlignment="1">
      <alignment wrapText="1"/>
    </xf>
    <xf numFmtId="0" fontId="0" fillId="7" borderId="15" xfId="0" applyFill="1" applyBorder="1" applyAlignment="1">
      <alignment wrapText="1"/>
    </xf>
    <xf numFmtId="0" fontId="13" fillId="7" borderId="48" xfId="0" applyFont="1" applyFill="1" applyBorder="1" applyAlignment="1" applyProtection="1">
      <alignment wrapText="1"/>
    </xf>
    <xf numFmtId="0" fontId="0" fillId="0" borderId="0" xfId="0" applyAlignment="1">
      <alignment wrapText="1"/>
    </xf>
    <xf numFmtId="0" fontId="14" fillId="0" borderId="54" xfId="0" applyFont="1" applyBorder="1" applyAlignment="1">
      <alignment horizontal="center" vertical="center"/>
    </xf>
    <xf numFmtId="0" fontId="23" fillId="0" borderId="55" xfId="0" applyFont="1" applyBorder="1" applyAlignment="1">
      <alignment horizontal="center" vertical="center"/>
    </xf>
    <xf numFmtId="0" fontId="14" fillId="0" borderId="18" xfId="0" applyFont="1" applyBorder="1" applyAlignment="1">
      <alignment horizontal="center" vertical="center" wrapText="1"/>
    </xf>
    <xf numFmtId="0" fontId="0" fillId="0" borderId="70" xfId="0" applyBorder="1" applyAlignment="1">
      <alignment horizontal="center" vertical="center" wrapText="1"/>
    </xf>
    <xf numFmtId="0" fontId="0" fillId="0" borderId="47" xfId="0" applyBorder="1" applyAlignment="1">
      <alignment horizontal="center" vertical="center" wrapText="1"/>
    </xf>
    <xf numFmtId="0" fontId="33" fillId="12" borderId="14" xfId="0" applyFont="1" applyFill="1" applyBorder="1" applyAlignment="1" applyProtection="1">
      <alignment horizontal="center" vertical="center" wrapText="1"/>
    </xf>
    <xf numFmtId="0" fontId="34" fillId="0" borderId="15" xfId="0" applyFont="1" applyBorder="1" applyAlignment="1">
      <alignment horizontal="center" vertical="center" wrapText="1"/>
    </xf>
    <xf numFmtId="0" fontId="34" fillId="0" borderId="16" xfId="0" applyFont="1" applyBorder="1" applyAlignment="1">
      <alignment horizontal="center" vertical="center" wrapText="1"/>
    </xf>
    <xf numFmtId="0" fontId="14" fillId="12" borderId="14" xfId="0" applyFont="1" applyFill="1" applyBorder="1" applyAlignment="1" applyProtection="1">
      <alignment horizontal="right" vertical="center" wrapText="1"/>
    </xf>
    <xf numFmtId="0" fontId="14" fillId="12" borderId="15" xfId="0" applyFont="1" applyFill="1" applyBorder="1" applyAlignment="1" applyProtection="1">
      <alignment horizontal="right" vertical="center" wrapText="1"/>
    </xf>
    <xf numFmtId="0" fontId="5" fillId="0" borderId="30" xfId="0" applyNumberFormat="1" applyFont="1" applyBorder="1" applyAlignment="1">
      <alignment wrapText="1"/>
    </xf>
    <xf numFmtId="0" fontId="9" fillId="0" borderId="27" xfId="0" applyNumberFormat="1" applyFont="1" applyBorder="1" applyAlignment="1">
      <alignment wrapText="1"/>
    </xf>
    <xf numFmtId="0" fontId="5" fillId="0" borderId="38" xfId="0" applyNumberFormat="1" applyFont="1" applyBorder="1" applyAlignment="1">
      <alignment horizontal="left" wrapText="1"/>
    </xf>
    <xf numFmtId="0" fontId="5" fillId="0" borderId="41" xfId="0" applyNumberFormat="1" applyFont="1" applyBorder="1" applyAlignment="1">
      <alignment horizontal="left" wrapText="1"/>
    </xf>
    <xf numFmtId="0" fontId="4" fillId="0" borderId="39" xfId="0" applyNumberFormat="1" applyFont="1" applyBorder="1" applyAlignment="1">
      <alignment horizontal="left" vertical="top" wrapText="1"/>
    </xf>
    <xf numFmtId="0" fontId="4" fillId="0" borderId="19" xfId="0" applyNumberFormat="1" applyFont="1" applyBorder="1" applyAlignment="1">
      <alignment horizontal="left" vertical="top" wrapText="1"/>
    </xf>
    <xf numFmtId="0" fontId="4" fillId="10" borderId="38" xfId="0" applyNumberFormat="1" applyFont="1" applyFill="1" applyBorder="1" applyAlignment="1">
      <alignment horizontal="left" vertical="top" wrapText="1"/>
    </xf>
    <xf numFmtId="0" fontId="4" fillId="10" borderId="13" xfId="0" applyNumberFormat="1" applyFont="1" applyFill="1" applyBorder="1" applyAlignment="1">
      <alignment horizontal="left" vertical="top" wrapText="1"/>
    </xf>
    <xf numFmtId="0" fontId="4" fillId="0" borderId="40" xfId="0" applyNumberFormat="1" applyFont="1" applyBorder="1" applyAlignment="1">
      <alignment horizontal="left" vertical="top" wrapText="1"/>
    </xf>
    <xf numFmtId="0" fontId="4" fillId="0" borderId="7" xfId="0" applyNumberFormat="1" applyFont="1" applyBorder="1" applyAlignment="1">
      <alignment horizontal="left" vertical="top" wrapText="1"/>
    </xf>
    <xf numFmtId="0" fontId="5" fillId="0" borderId="40" xfId="0" applyNumberFormat="1" applyFont="1" applyBorder="1" applyAlignment="1">
      <alignment wrapText="1"/>
    </xf>
    <xf numFmtId="0" fontId="9" fillId="0" borderId="26" xfId="0" applyNumberFormat="1" applyFont="1" applyBorder="1" applyAlignment="1">
      <alignment wrapText="1"/>
    </xf>
    <xf numFmtId="0" fontId="4" fillId="10" borderId="12" xfId="0" applyNumberFormat="1" applyFont="1" applyFill="1" applyBorder="1" applyAlignment="1">
      <alignment horizontal="left" vertical="top" wrapText="1"/>
    </xf>
    <xf numFmtId="0" fontId="4" fillId="10" borderId="28" xfId="0" applyNumberFormat="1" applyFont="1" applyFill="1" applyBorder="1" applyAlignment="1">
      <alignment horizontal="left" vertical="top" wrapText="1"/>
    </xf>
    <xf numFmtId="0" fontId="5" fillId="0" borderId="18" xfId="0" applyNumberFormat="1" applyFont="1" applyBorder="1" applyAlignment="1">
      <alignment wrapText="1"/>
    </xf>
    <xf numFmtId="0" fontId="5" fillId="0" borderId="47" xfId="0" applyNumberFormat="1" applyFont="1" applyBorder="1" applyAlignment="1">
      <alignment wrapText="1"/>
    </xf>
    <xf numFmtId="0" fontId="27" fillId="11" borderId="14" xfId="0" applyFont="1" applyFill="1" applyBorder="1" applyAlignment="1">
      <alignment horizontal="center"/>
    </xf>
    <xf numFmtId="0" fontId="47" fillId="11" borderId="15" xfId="0" applyFont="1" applyFill="1" applyBorder="1" applyAlignment="1"/>
    <xf numFmtId="0" fontId="47" fillId="11" borderId="16" xfId="0" applyFont="1" applyFill="1" applyBorder="1" applyAlignment="1"/>
    <xf numFmtId="2" fontId="21" fillId="3" borderId="10" xfId="0" applyNumberFormat="1" applyFont="1" applyFill="1" applyBorder="1" applyAlignment="1" applyProtection="1">
      <alignment horizontal="center" vertical="top" wrapText="1"/>
      <protection locked="0"/>
    </xf>
    <xf numFmtId="2" fontId="24" fillId="3" borderId="4" xfId="0" applyNumberFormat="1" applyFont="1" applyFill="1" applyBorder="1" applyAlignment="1" applyProtection="1">
      <alignment horizontal="center" vertical="center" wrapText="1"/>
    </xf>
    <xf numFmtId="0" fontId="21" fillId="0" borderId="18" xfId="0" applyFont="1" applyBorder="1" applyAlignment="1">
      <alignment wrapText="1"/>
    </xf>
    <xf numFmtId="0" fontId="21" fillId="0" borderId="70" xfId="0" applyFont="1" applyBorder="1" applyAlignment="1">
      <alignment wrapText="1"/>
    </xf>
    <xf numFmtId="0" fontId="21" fillId="0" borderId="47" xfId="0" applyFont="1" applyBorder="1" applyAlignment="1">
      <alignment wrapText="1"/>
    </xf>
    <xf numFmtId="0" fontId="21" fillId="0" borderId="8" xfId="0" applyFont="1" applyBorder="1" applyAlignment="1">
      <alignment wrapText="1"/>
    </xf>
    <xf numFmtId="0" fontId="21" fillId="0" borderId="22" xfId="0" applyFont="1" applyBorder="1" applyAlignment="1">
      <alignment wrapText="1"/>
    </xf>
    <xf numFmtId="0" fontId="21" fillId="0" borderId="23" xfId="0" applyFont="1" applyBorder="1" applyAlignment="1">
      <alignment wrapText="1"/>
    </xf>
  </cellXfs>
  <cellStyles count="3">
    <cellStyle name="Currency" xfId="1" builtinId="4"/>
    <cellStyle name="Hyperlink" xfId="2" builtinId="8"/>
    <cellStyle name="Normal" xfId="0" builtinId="0"/>
  </cellStyles>
  <dxfs count="187">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4" tint="0.59996337778862885"/>
        </patternFill>
      </fill>
    </dxf>
    <dxf>
      <fill>
        <patternFill>
          <bgColor theme="7" tint="0.79998168889431442"/>
        </patternFill>
      </fill>
    </dxf>
    <dxf>
      <font>
        <color theme="0"/>
      </font>
    </dxf>
    <dxf>
      <font>
        <b/>
        <i val="0"/>
      </font>
      <fill>
        <patternFill>
          <bgColor theme="9" tint="0.39994506668294322"/>
        </patternFill>
      </fill>
    </dxf>
    <dxf>
      <font>
        <b/>
        <i val="0"/>
      </font>
      <fill>
        <patternFill>
          <bgColor rgb="FFFF0000"/>
        </patternFill>
      </fill>
    </dxf>
    <dxf>
      <fill>
        <patternFill>
          <bgColor theme="0"/>
        </patternFill>
      </fill>
    </dxf>
    <dxf>
      <font>
        <b/>
        <i val="0"/>
        <color rgb="FFC00000"/>
      </font>
      <fill>
        <patternFill>
          <bgColor theme="7" tint="0.59996337778862885"/>
        </patternFill>
      </fill>
    </dxf>
    <dxf>
      <font>
        <color rgb="FF7030A0"/>
      </font>
      <fill>
        <patternFill>
          <bgColor rgb="FF7030A0"/>
        </patternFill>
      </fill>
    </dxf>
    <dxf>
      <font>
        <b/>
        <i val="0"/>
        <color rgb="FFC00000"/>
      </font>
      <fill>
        <patternFill>
          <bgColor theme="7" tint="0.59996337778862885"/>
        </patternFill>
      </fill>
    </dxf>
    <dxf>
      <font>
        <color theme="0"/>
      </font>
    </dxf>
    <dxf>
      <font>
        <color theme="0"/>
      </font>
      <fill>
        <patternFill>
          <bgColor rgb="FF7030A0"/>
        </patternFill>
      </fill>
    </dxf>
    <dxf>
      <font>
        <color theme="0"/>
      </font>
      <fill>
        <patternFill>
          <bgColor rgb="FF7030A0"/>
        </patternFill>
      </fill>
    </dxf>
    <dxf>
      <font>
        <color theme="0"/>
      </font>
      <fill>
        <patternFill>
          <bgColor rgb="FF7030A0"/>
        </patternFill>
      </fill>
    </dxf>
    <dxf>
      <font>
        <color theme="0"/>
      </font>
      <fill>
        <patternFill>
          <bgColor rgb="FF7030A0"/>
        </patternFill>
      </fill>
    </dxf>
    <dxf>
      <font>
        <color theme="0"/>
      </font>
      <fill>
        <patternFill>
          <bgColor rgb="FF7030A0"/>
        </patternFill>
      </fill>
    </dxf>
    <dxf>
      <fill>
        <patternFill>
          <bgColor rgb="FFFFC000"/>
        </patternFill>
      </fill>
    </dxf>
    <dxf>
      <fill>
        <patternFill>
          <bgColor rgb="FFFF0000"/>
        </patternFill>
      </fill>
    </dxf>
    <dxf>
      <fill>
        <patternFill>
          <fgColor theme="0"/>
        </patternFill>
      </fill>
    </dxf>
    <dxf>
      <font>
        <color theme="0"/>
      </font>
      <fill>
        <patternFill>
          <bgColor rgb="FF7030A0"/>
        </patternFill>
      </fill>
    </dxf>
    <dxf>
      <fill>
        <patternFill patternType="darkUp"/>
      </fill>
    </dxf>
    <dxf>
      <font>
        <color theme="0"/>
      </font>
      <fill>
        <patternFill>
          <bgColor rgb="FF7030A0"/>
        </patternFill>
      </fill>
    </dxf>
    <dxf>
      <fill>
        <patternFill>
          <bgColor rgb="FFFF0000"/>
        </patternFill>
      </fill>
    </dxf>
    <dxf>
      <fill>
        <patternFill>
          <bgColor theme="8" tint="0.39994506668294322"/>
        </patternFill>
      </fill>
    </dxf>
    <dxf>
      <font>
        <strike val="0"/>
        <color theme="6" tint="0.59996337778862885"/>
      </font>
    </dxf>
  </dxfs>
  <tableStyles count="0" defaultTableStyle="TableStyleMedium2" defaultPivotStyle="PivotStyleLight16"/>
  <colors>
    <mruColors>
      <color rgb="FFFF99FF"/>
      <color rgb="FFFF00FF"/>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78441</xdr:colOff>
      <xdr:row>1</xdr:row>
      <xdr:rowOff>71717</xdr:rowOff>
    </xdr:from>
    <xdr:to>
      <xdr:col>6</xdr:col>
      <xdr:colOff>1389530</xdr:colOff>
      <xdr:row>1</xdr:row>
      <xdr:rowOff>457199</xdr:rowOff>
    </xdr:to>
    <xdr:sp macro="" textlink="">
      <xdr:nvSpPr>
        <xdr:cNvPr id="2" name="TextBox 1">
          <a:extLst>
            <a:ext uri="{FF2B5EF4-FFF2-40B4-BE49-F238E27FC236}">
              <a16:creationId xmlns:a16="http://schemas.microsoft.com/office/drawing/2014/main" id="{709D2845-3C52-F15B-4693-7BF981407951}"/>
            </a:ext>
          </a:extLst>
        </xdr:cNvPr>
        <xdr:cNvSpPr txBox="1"/>
      </xdr:nvSpPr>
      <xdr:spPr>
        <a:xfrm>
          <a:off x="78441" y="374276"/>
          <a:ext cx="8135471" cy="385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F0000"/>
              </a:solidFill>
              <a:latin typeface="Arial Black" panose="020B0A04020102020204" pitchFamily="34" charset="0"/>
            </a:rPr>
            <a:t>When</a:t>
          </a:r>
          <a:r>
            <a:rPr lang="en-US" sz="1400" baseline="0">
              <a:solidFill>
                <a:srgbClr val="FF0000"/>
              </a:solidFill>
              <a:latin typeface="Arial Black" panose="020B0A04020102020204" pitchFamily="34" charset="0"/>
            </a:rPr>
            <a:t> completing this form, do not delete or alter any columns or workbook tabs.</a:t>
          </a:r>
          <a:endParaRPr lang="en-US" sz="1400">
            <a:solidFill>
              <a:srgbClr val="FF0000"/>
            </a:solidFill>
            <a:latin typeface="Arial Black" panose="020B0A040201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0F255-3265-469F-9112-94626B338B30}">
  <sheetPr>
    <tabColor theme="0" tint="-0.249977111117893"/>
  </sheetPr>
  <dimension ref="A1:E41"/>
  <sheetViews>
    <sheetView workbookViewId="0">
      <selection activeCell="B11" sqref="B11"/>
    </sheetView>
  </sheetViews>
  <sheetFormatPr defaultRowHeight="15" x14ac:dyDescent="0.25"/>
  <cols>
    <col min="1" max="1" width="6.7109375" customWidth="1"/>
    <col min="2" max="2" width="83.85546875" customWidth="1"/>
    <col min="3" max="3" width="4.140625" customWidth="1"/>
    <col min="4" max="4" width="66" customWidth="1"/>
    <col min="5" max="5" width="98.42578125" bestFit="1" customWidth="1"/>
  </cols>
  <sheetData>
    <row r="1" spans="1:5" ht="21" thickBot="1" x14ac:dyDescent="0.35">
      <c r="A1" s="201" t="s">
        <v>118</v>
      </c>
      <c r="B1" s="202"/>
    </row>
    <row r="2" spans="1:5" ht="30.75" customHeight="1" thickBot="1" x14ac:dyDescent="0.3">
      <c r="A2" s="203" t="s">
        <v>117</v>
      </c>
      <c r="B2" s="204"/>
      <c r="C2" s="150"/>
      <c r="D2" s="191"/>
      <c r="E2" s="150"/>
    </row>
    <row r="3" spans="1:5" ht="44.25" thickBot="1" x14ac:dyDescent="0.3">
      <c r="A3" s="190" t="s">
        <v>51</v>
      </c>
      <c r="B3" s="189" t="s">
        <v>116</v>
      </c>
      <c r="C3" s="150"/>
      <c r="D3" s="188" t="s">
        <v>115</v>
      </c>
      <c r="E3" s="187"/>
    </row>
    <row r="4" spans="1:5" x14ac:dyDescent="0.25">
      <c r="A4" s="158" t="s">
        <v>56</v>
      </c>
      <c r="B4" s="186" t="s">
        <v>114</v>
      </c>
      <c r="C4" s="150"/>
      <c r="D4" s="185" t="s">
        <v>113</v>
      </c>
      <c r="E4" s="184" t="s">
        <v>112</v>
      </c>
    </row>
    <row r="5" spans="1:5" ht="29.25" x14ac:dyDescent="0.25">
      <c r="A5" s="158" t="s">
        <v>54</v>
      </c>
      <c r="B5" s="181" t="s">
        <v>111</v>
      </c>
      <c r="C5" s="150"/>
      <c r="D5" s="182" t="s">
        <v>110</v>
      </c>
      <c r="E5" s="179" t="s">
        <v>109</v>
      </c>
    </row>
    <row r="6" spans="1:5" x14ac:dyDescent="0.25">
      <c r="A6" s="158" t="s">
        <v>108</v>
      </c>
      <c r="B6" s="157" t="s">
        <v>107</v>
      </c>
      <c r="C6" s="150"/>
      <c r="D6" s="182" t="s">
        <v>0</v>
      </c>
      <c r="E6" s="179" t="s">
        <v>106</v>
      </c>
    </row>
    <row r="7" spans="1:5" ht="29.25" x14ac:dyDescent="0.25">
      <c r="A7" s="158" t="s">
        <v>105</v>
      </c>
      <c r="B7" s="157" t="s">
        <v>104</v>
      </c>
      <c r="C7" s="150"/>
      <c r="D7" s="182" t="s">
        <v>103</v>
      </c>
      <c r="E7" s="183" t="s">
        <v>102</v>
      </c>
    </row>
    <row r="8" spans="1:5" ht="72.75" x14ac:dyDescent="0.25">
      <c r="A8" s="158" t="s">
        <v>101</v>
      </c>
      <c r="B8" s="181" t="s">
        <v>100</v>
      </c>
      <c r="C8" s="150"/>
      <c r="D8" s="179" t="s">
        <v>1</v>
      </c>
      <c r="E8" s="182" t="s">
        <v>99</v>
      </c>
    </row>
    <row r="9" spans="1:5" ht="43.5" x14ac:dyDescent="0.25">
      <c r="A9" s="158" t="s">
        <v>98</v>
      </c>
      <c r="B9" s="157" t="s">
        <v>97</v>
      </c>
      <c r="C9" s="150"/>
      <c r="D9" s="179" t="s">
        <v>2</v>
      </c>
      <c r="E9" s="179" t="s">
        <v>96</v>
      </c>
    </row>
    <row r="10" spans="1:5" ht="20.25" customHeight="1" x14ac:dyDescent="0.25">
      <c r="A10" s="158" t="s">
        <v>95</v>
      </c>
      <c r="B10" s="157" t="s">
        <v>94</v>
      </c>
      <c r="C10" s="150"/>
      <c r="D10" s="179" t="s">
        <v>3</v>
      </c>
      <c r="E10" s="179" t="s">
        <v>93</v>
      </c>
    </row>
    <row r="11" spans="1:5" ht="57.75" x14ac:dyDescent="0.25">
      <c r="A11" s="158" t="s">
        <v>92</v>
      </c>
      <c r="B11" s="181" t="s">
        <v>91</v>
      </c>
      <c r="C11" s="150"/>
      <c r="D11" s="180" t="s">
        <v>90</v>
      </c>
      <c r="E11" s="179" t="s">
        <v>89</v>
      </c>
    </row>
    <row r="12" spans="1:5" ht="30" thickBot="1" x14ac:dyDescent="0.3">
      <c r="A12" s="158" t="s">
        <v>88</v>
      </c>
      <c r="B12" s="178" t="s">
        <v>87</v>
      </c>
      <c r="C12" s="150"/>
      <c r="D12" s="177" t="s">
        <v>86</v>
      </c>
      <c r="E12" s="176" t="s">
        <v>85</v>
      </c>
    </row>
    <row r="13" spans="1:5" ht="43.5" x14ac:dyDescent="0.25">
      <c r="A13" s="158" t="s">
        <v>84</v>
      </c>
      <c r="B13" s="174" t="s">
        <v>83</v>
      </c>
      <c r="C13" s="150"/>
    </row>
    <row r="14" spans="1:5" x14ac:dyDescent="0.25">
      <c r="A14" s="158" t="s">
        <v>82</v>
      </c>
      <c r="B14" s="175" t="s">
        <v>81</v>
      </c>
      <c r="C14" s="150"/>
    </row>
    <row r="15" spans="1:5" x14ac:dyDescent="0.25">
      <c r="A15" s="158" t="s">
        <v>80</v>
      </c>
      <c r="B15" s="174" t="s">
        <v>79</v>
      </c>
      <c r="C15" s="150"/>
      <c r="D15" s="150"/>
      <c r="E15" s="150"/>
    </row>
    <row r="16" spans="1:5" ht="15.75" thickBot="1" x14ac:dyDescent="0.3">
      <c r="A16" s="156" t="s">
        <v>78</v>
      </c>
      <c r="B16" s="173" t="s">
        <v>77</v>
      </c>
      <c r="C16" s="150"/>
      <c r="E16" s="150"/>
    </row>
    <row r="17" spans="1:5" ht="15.75" thickBot="1" x14ac:dyDescent="0.3">
      <c r="A17" s="166"/>
      <c r="B17" s="165"/>
      <c r="C17" s="150"/>
      <c r="E17" s="150"/>
    </row>
    <row r="18" spans="1:5" ht="15.75" thickBot="1" x14ac:dyDescent="0.3">
      <c r="A18" s="199" t="s">
        <v>76</v>
      </c>
      <c r="B18" s="200"/>
      <c r="C18" s="150"/>
      <c r="D18" s="172" t="s">
        <v>75</v>
      </c>
      <c r="E18" s="150"/>
    </row>
    <row r="19" spans="1:5" x14ac:dyDescent="0.25">
      <c r="A19" s="160" t="s">
        <v>51</v>
      </c>
      <c r="B19" s="159" t="s">
        <v>74</v>
      </c>
      <c r="C19" s="150"/>
      <c r="D19" s="171" t="s">
        <v>73</v>
      </c>
      <c r="E19" s="150"/>
    </row>
    <row r="20" spans="1:5" x14ac:dyDescent="0.25">
      <c r="A20" s="158" t="s">
        <v>56</v>
      </c>
      <c r="B20" s="157" t="s">
        <v>72</v>
      </c>
      <c r="C20" s="150"/>
      <c r="D20" s="170" t="s">
        <v>71</v>
      </c>
      <c r="E20" s="150"/>
    </row>
    <row r="21" spans="1:5" ht="30" thickBot="1" x14ac:dyDescent="0.3">
      <c r="A21" s="156" t="s">
        <v>54</v>
      </c>
      <c r="B21" s="155" t="s">
        <v>70</v>
      </c>
      <c r="C21" s="150"/>
      <c r="D21" s="170" t="s">
        <v>69</v>
      </c>
      <c r="E21" s="150"/>
    </row>
    <row r="22" spans="1:5" ht="15.75" thickBot="1" x14ac:dyDescent="0.3">
      <c r="A22" s="166"/>
      <c r="B22" s="165"/>
      <c r="C22" s="150"/>
      <c r="D22" s="169" t="s">
        <v>68</v>
      </c>
      <c r="E22" s="150"/>
    </row>
    <row r="23" spans="1:5" ht="15.75" thickBot="1" x14ac:dyDescent="0.3">
      <c r="A23" s="199" t="s">
        <v>67</v>
      </c>
      <c r="B23" s="205"/>
      <c r="C23" s="150"/>
      <c r="D23" s="150"/>
      <c r="E23" s="150"/>
    </row>
    <row r="24" spans="1:5" ht="72.75" customHeight="1" x14ac:dyDescent="0.25">
      <c r="A24" s="160" t="s">
        <v>51</v>
      </c>
      <c r="B24" s="159" t="s">
        <v>66</v>
      </c>
      <c r="C24" s="150"/>
      <c r="D24" s="150"/>
      <c r="E24" s="150"/>
    </row>
    <row r="25" spans="1:5" ht="203.25" customHeight="1" x14ac:dyDescent="0.25">
      <c r="A25" s="158" t="s">
        <v>56</v>
      </c>
      <c r="B25" s="157" t="s">
        <v>65</v>
      </c>
      <c r="C25" s="150"/>
      <c r="D25" s="150"/>
      <c r="E25" s="150"/>
    </row>
    <row r="26" spans="1:5" ht="86.25" thickBot="1" x14ac:dyDescent="0.3">
      <c r="A26" s="156" t="s">
        <v>54</v>
      </c>
      <c r="B26" s="168" t="s">
        <v>64</v>
      </c>
      <c r="C26" s="150"/>
      <c r="D26" s="150"/>
      <c r="E26" s="150"/>
    </row>
    <row r="27" spans="1:5" ht="15.75" thickBot="1" x14ac:dyDescent="0.3">
      <c r="A27" s="166"/>
      <c r="B27" s="165"/>
      <c r="C27" s="150"/>
      <c r="D27" s="150"/>
      <c r="E27" s="150"/>
    </row>
    <row r="28" spans="1:5" ht="15.75" thickBot="1" x14ac:dyDescent="0.3">
      <c r="A28" s="199" t="s">
        <v>63</v>
      </c>
      <c r="B28" s="205"/>
      <c r="C28" s="150"/>
      <c r="D28" s="150"/>
      <c r="E28" s="150"/>
    </row>
    <row r="29" spans="1:5" ht="58.5" thickBot="1" x14ac:dyDescent="0.3">
      <c r="A29" s="167" t="s">
        <v>51</v>
      </c>
      <c r="B29" s="165" t="s">
        <v>62</v>
      </c>
      <c r="C29" s="150"/>
      <c r="D29" s="150"/>
      <c r="E29" s="150"/>
    </row>
    <row r="30" spans="1:5" ht="15.75" thickBot="1" x14ac:dyDescent="0.3">
      <c r="A30" s="166"/>
      <c r="B30" s="165"/>
      <c r="C30" s="150"/>
      <c r="D30" s="150"/>
      <c r="E30" s="150"/>
    </row>
    <row r="31" spans="1:5" x14ac:dyDescent="0.25">
      <c r="A31" s="206" t="s">
        <v>61</v>
      </c>
      <c r="B31" s="207"/>
      <c r="C31" s="150"/>
      <c r="D31" s="150"/>
      <c r="E31" s="150"/>
    </row>
    <row r="32" spans="1:5" ht="43.5" x14ac:dyDescent="0.25">
      <c r="A32" s="164" t="s">
        <v>51</v>
      </c>
      <c r="B32" s="163" t="s">
        <v>60</v>
      </c>
      <c r="C32" s="150"/>
      <c r="D32" s="150"/>
      <c r="E32" s="150"/>
    </row>
    <row r="33" spans="1:5" ht="44.25" thickBot="1" x14ac:dyDescent="0.3">
      <c r="A33" s="156" t="s">
        <v>56</v>
      </c>
      <c r="B33" s="155" t="s">
        <v>59</v>
      </c>
      <c r="C33" s="150"/>
      <c r="D33" s="150"/>
      <c r="E33" s="150"/>
    </row>
    <row r="34" spans="1:5" ht="15.75" thickBot="1" x14ac:dyDescent="0.3">
      <c r="A34" s="162"/>
      <c r="B34" s="161"/>
      <c r="C34" s="150"/>
      <c r="D34" s="150"/>
      <c r="E34" s="150"/>
    </row>
    <row r="35" spans="1:5" ht="15.75" thickBot="1" x14ac:dyDescent="0.3">
      <c r="A35" s="199" t="s">
        <v>58</v>
      </c>
      <c r="B35" s="200"/>
      <c r="C35" s="150"/>
      <c r="D35" s="150"/>
      <c r="E35" s="150"/>
    </row>
    <row r="36" spans="1:5" ht="86.25" x14ac:dyDescent="0.25">
      <c r="A36" s="160" t="s">
        <v>51</v>
      </c>
      <c r="B36" s="159" t="s">
        <v>57</v>
      </c>
      <c r="C36" s="150"/>
      <c r="D36" s="150"/>
      <c r="E36" s="150"/>
    </row>
    <row r="37" spans="1:5" ht="116.25" customHeight="1" x14ac:dyDescent="0.25">
      <c r="A37" s="158" t="s">
        <v>56</v>
      </c>
      <c r="B37" s="157" t="s">
        <v>55</v>
      </c>
      <c r="C37" s="150"/>
      <c r="D37" s="150"/>
      <c r="E37" s="150"/>
    </row>
    <row r="38" spans="1:5" ht="61.5" customHeight="1" thickBot="1" x14ac:dyDescent="0.3">
      <c r="A38" s="156" t="s">
        <v>54</v>
      </c>
      <c r="B38" s="155" t="s">
        <v>53</v>
      </c>
      <c r="C38" s="150"/>
      <c r="D38" s="150"/>
      <c r="E38" s="150"/>
    </row>
    <row r="39" spans="1:5" ht="15.75" thickBot="1" x14ac:dyDescent="0.3">
      <c r="A39" s="154"/>
      <c r="B39" s="153"/>
    </row>
    <row r="40" spans="1:5" ht="15.75" thickBot="1" x14ac:dyDescent="0.3">
      <c r="A40" s="199" t="s">
        <v>52</v>
      </c>
      <c r="B40" s="200"/>
      <c r="C40" s="150"/>
      <c r="D40" s="150"/>
      <c r="E40" s="150"/>
    </row>
    <row r="41" spans="1:5" ht="115.5" x14ac:dyDescent="0.25">
      <c r="A41" s="152" t="s">
        <v>51</v>
      </c>
      <c r="B41" s="151" t="s">
        <v>50</v>
      </c>
      <c r="C41" s="150"/>
      <c r="D41" s="150"/>
      <c r="E41" s="150"/>
    </row>
  </sheetData>
  <mergeCells count="8">
    <mergeCell ref="A35:B35"/>
    <mergeCell ref="A40:B40"/>
    <mergeCell ref="A1:B1"/>
    <mergeCell ref="A2:B2"/>
    <mergeCell ref="A18:B18"/>
    <mergeCell ref="A23:B23"/>
    <mergeCell ref="A28:B28"/>
    <mergeCell ref="A31:B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7DB7B-14C0-4C91-B210-EDCD50C0600E}">
  <sheetPr>
    <tabColor theme="0" tint="-0.249977111117893"/>
  </sheetPr>
  <dimension ref="A1:B16"/>
  <sheetViews>
    <sheetView workbookViewId="0">
      <selection activeCell="J18" sqref="J18"/>
    </sheetView>
  </sheetViews>
  <sheetFormatPr defaultColWidth="8.85546875" defaultRowHeight="15" x14ac:dyDescent="0.2"/>
  <cols>
    <col min="1" max="1" width="8.85546875" style="147"/>
    <col min="2" max="2" width="58.140625" style="147" bestFit="1" customWidth="1"/>
    <col min="3" max="16384" width="8.85546875" style="146"/>
  </cols>
  <sheetData>
    <row r="1" spans="1:2" x14ac:dyDescent="0.2">
      <c r="A1" s="149">
        <v>22.1</v>
      </c>
      <c r="B1" s="149" t="s">
        <v>124</v>
      </c>
    </row>
    <row r="2" spans="1:2" x14ac:dyDescent="0.2">
      <c r="A2" s="149">
        <v>22.2</v>
      </c>
      <c r="B2" s="149" t="s">
        <v>125</v>
      </c>
    </row>
    <row r="3" spans="1:2" x14ac:dyDescent="0.2">
      <c r="A3" s="149">
        <v>22.3</v>
      </c>
      <c r="B3" s="149" t="s">
        <v>126</v>
      </c>
    </row>
    <row r="4" spans="1:2" x14ac:dyDescent="0.2">
      <c r="A4" s="149">
        <v>22.4</v>
      </c>
      <c r="B4" s="149" t="s">
        <v>127</v>
      </c>
    </row>
    <row r="5" spans="1:2" x14ac:dyDescent="0.2">
      <c r="A5" s="149">
        <v>22.5</v>
      </c>
      <c r="B5" s="149" t="s">
        <v>128</v>
      </c>
    </row>
    <row r="6" spans="1:2" x14ac:dyDescent="0.2">
      <c r="A6" s="149">
        <v>22.6</v>
      </c>
      <c r="B6" s="149" t="s">
        <v>129</v>
      </c>
    </row>
    <row r="7" spans="1:2" x14ac:dyDescent="0.2">
      <c r="A7" s="149">
        <v>22.7</v>
      </c>
      <c r="B7" s="149" t="s">
        <v>130</v>
      </c>
    </row>
    <row r="8" spans="1:2" x14ac:dyDescent="0.2">
      <c r="A8" s="149">
        <v>22.8</v>
      </c>
      <c r="B8" s="149" t="s">
        <v>131</v>
      </c>
    </row>
    <row r="9" spans="1:2" x14ac:dyDescent="0.2">
      <c r="A9" s="149">
        <v>22.9</v>
      </c>
      <c r="B9" s="149" t="s">
        <v>132</v>
      </c>
    </row>
    <row r="10" spans="1:2" x14ac:dyDescent="0.2">
      <c r="A10" s="149">
        <v>22.1</v>
      </c>
      <c r="B10" s="149" t="s">
        <v>133</v>
      </c>
    </row>
    <row r="11" spans="1:2" x14ac:dyDescent="0.2">
      <c r="A11" s="149">
        <v>22.11</v>
      </c>
      <c r="B11" s="149" t="s">
        <v>134</v>
      </c>
    </row>
    <row r="12" spans="1:2" x14ac:dyDescent="0.2">
      <c r="A12" s="149">
        <v>22.12</v>
      </c>
      <c r="B12" s="149" t="s">
        <v>135</v>
      </c>
    </row>
    <row r="13" spans="1:2" x14ac:dyDescent="0.2">
      <c r="A13" s="149"/>
      <c r="B13" s="149"/>
    </row>
    <row r="14" spans="1:2" x14ac:dyDescent="0.2">
      <c r="A14" s="149"/>
      <c r="B14" s="149"/>
    </row>
    <row r="15" spans="1:2" x14ac:dyDescent="0.2">
      <c r="A15" s="149"/>
      <c r="B15" s="149"/>
    </row>
    <row r="16" spans="1:2" x14ac:dyDescent="0.2">
      <c r="A16" s="148"/>
      <c r="B16" s="14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Y140"/>
  <sheetViews>
    <sheetView tabSelected="1" zoomScaleNormal="100" workbookViewId="0">
      <selection activeCell="D2" sqref="D2:D3"/>
    </sheetView>
  </sheetViews>
  <sheetFormatPr defaultColWidth="9.140625" defaultRowHeight="15" x14ac:dyDescent="0.25"/>
  <cols>
    <col min="1" max="1" width="5" style="6" customWidth="1"/>
    <col min="2" max="2" width="5.7109375" style="7" customWidth="1"/>
    <col min="3" max="3" width="7" style="16" bestFit="1" customWidth="1"/>
    <col min="4" max="4" width="47.140625" style="8" customWidth="1"/>
    <col min="5" max="5" width="23.28515625" style="1" customWidth="1"/>
    <col min="6" max="6" width="19" style="1" customWidth="1"/>
    <col min="7" max="7" width="30.140625" style="1" customWidth="1"/>
    <col min="8" max="10" width="8.7109375" style="1" hidden="1" customWidth="1"/>
    <col min="11" max="11" width="21" style="1" hidden="1" customWidth="1"/>
    <col min="12" max="13" width="16.7109375" style="1" hidden="1" customWidth="1"/>
    <col min="14" max="15" width="16.7109375" style="1" customWidth="1"/>
    <col min="16" max="16" width="11.28515625" style="9" hidden="1" customWidth="1"/>
    <col min="17" max="17" width="12.5703125" style="9" hidden="1" customWidth="1"/>
    <col min="18" max="18" width="3.7109375" style="1" customWidth="1"/>
    <col min="19" max="19" width="3.7109375" style="11" customWidth="1"/>
    <col min="20" max="20" width="7.28515625" style="12" customWidth="1"/>
    <col min="21" max="21" width="42.7109375" style="12" customWidth="1"/>
    <col min="22" max="22" width="7.5703125" style="11" bestFit="1" customWidth="1"/>
    <col min="23" max="25" width="4.7109375" style="1" customWidth="1"/>
    <col min="26" max="102" width="4.7109375" style="1" hidden="1" customWidth="1"/>
    <col min="103" max="103" width="2.85546875" style="1" customWidth="1"/>
    <col min="104" max="16384" width="9.140625" style="1"/>
  </cols>
  <sheetData>
    <row r="1" spans="1:103" ht="24" customHeight="1" thickBot="1" x14ac:dyDescent="0.45">
      <c r="A1" s="284" t="s">
        <v>120</v>
      </c>
      <c r="B1" s="285"/>
      <c r="C1" s="285"/>
      <c r="D1" s="285"/>
      <c r="E1" s="285"/>
      <c r="F1" s="285"/>
      <c r="G1" s="285"/>
      <c r="H1" s="285"/>
      <c r="I1" s="285"/>
      <c r="J1" s="285"/>
      <c r="K1" s="285"/>
      <c r="L1" s="285"/>
      <c r="M1" s="285"/>
      <c r="N1" s="285"/>
      <c r="O1" s="286"/>
      <c r="P1" s="103" t="s">
        <v>42</v>
      </c>
      <c r="Q1" s="103" t="s">
        <v>40</v>
      </c>
      <c r="R1" s="21"/>
      <c r="S1" s="38"/>
      <c r="T1" s="39"/>
      <c r="U1" s="39"/>
      <c r="V1" s="40"/>
      <c r="W1" s="232"/>
      <c r="X1" s="232"/>
      <c r="Y1" s="232"/>
      <c r="Z1" s="232"/>
      <c r="AA1" s="232"/>
      <c r="AB1" s="232"/>
      <c r="AC1" s="232"/>
      <c r="AD1" s="232"/>
      <c r="AE1" s="232"/>
      <c r="AF1" s="232"/>
      <c r="AG1" s="232"/>
      <c r="AH1" s="232"/>
      <c r="AI1" s="232"/>
      <c r="AJ1" s="232"/>
      <c r="AK1" s="232"/>
      <c r="AL1" s="232"/>
      <c r="AM1" s="232"/>
      <c r="AN1" s="232"/>
      <c r="AO1" s="232"/>
      <c r="AP1" s="232"/>
      <c r="AQ1" s="232"/>
      <c r="AR1" s="232"/>
      <c r="AS1" s="232"/>
      <c r="AT1" s="232"/>
      <c r="AU1" s="232"/>
      <c r="AV1" s="232"/>
      <c r="AW1" s="232"/>
      <c r="AX1" s="232"/>
      <c r="AY1" s="232"/>
      <c r="AZ1" s="232"/>
      <c r="BA1" s="232"/>
      <c r="BB1" s="232"/>
      <c r="BC1" s="232"/>
      <c r="BD1" s="232"/>
      <c r="BE1" s="232"/>
      <c r="BF1" s="232"/>
      <c r="BG1" s="232"/>
      <c r="BH1" s="232"/>
      <c r="BI1" s="232"/>
      <c r="BJ1" s="232"/>
      <c r="BK1" s="232"/>
      <c r="BL1" s="232"/>
      <c r="BM1" s="232"/>
      <c r="BN1" s="232"/>
      <c r="BO1" s="232"/>
      <c r="BP1" s="232"/>
      <c r="BQ1" s="232"/>
      <c r="BR1" s="232"/>
      <c r="BS1" s="232"/>
      <c r="BT1" s="232"/>
      <c r="BU1" s="232"/>
      <c r="BV1" s="232"/>
      <c r="BW1" s="232"/>
      <c r="BX1" s="232"/>
      <c r="BY1" s="232"/>
      <c r="BZ1" s="232"/>
      <c r="CA1" s="232"/>
      <c r="CB1" s="232"/>
      <c r="CC1" s="232"/>
      <c r="CD1" s="232"/>
      <c r="CE1" s="232"/>
      <c r="CF1" s="232"/>
      <c r="CG1" s="232"/>
      <c r="CH1" s="232"/>
      <c r="CI1" s="232"/>
      <c r="CJ1" s="232"/>
      <c r="CK1" s="232"/>
      <c r="CL1" s="232"/>
      <c r="CM1" s="232"/>
      <c r="CN1" s="232"/>
      <c r="CO1" s="232"/>
      <c r="CP1" s="232"/>
      <c r="CQ1" s="232"/>
      <c r="CR1" s="232"/>
      <c r="CS1" s="232"/>
      <c r="CT1" s="232"/>
      <c r="CU1" s="232"/>
      <c r="CV1" s="232"/>
      <c r="CW1" s="232"/>
      <c r="CX1" s="233"/>
      <c r="CY1" s="22"/>
    </row>
    <row r="2" spans="1:103" ht="121.5" thickBot="1" x14ac:dyDescent="0.3">
      <c r="A2" s="258" t="s">
        <v>4</v>
      </c>
      <c r="B2" s="242" t="s">
        <v>5</v>
      </c>
      <c r="C2" s="244" t="s">
        <v>6</v>
      </c>
      <c r="D2" s="248" t="s">
        <v>7</v>
      </c>
      <c r="E2" s="250" t="s">
        <v>8</v>
      </c>
      <c r="F2" s="252" t="s">
        <v>9</v>
      </c>
      <c r="G2" s="246" t="s">
        <v>10</v>
      </c>
      <c r="H2" s="260" t="str">
        <f>IF(P1="Housing","Nominal Dimensions
For Information Only
Provide dimensions in Inches","HIDE THESE COLUMNS")</f>
        <v>HIDE THESE COLUMNS</v>
      </c>
      <c r="I2" s="261"/>
      <c r="J2" s="262"/>
      <c r="K2" s="244" t="str">
        <f>IF(Q1="GSA","GSA Contract Number OR 
Open Market","Hide this column")</f>
        <v>Hide this column</v>
      </c>
      <c r="L2" s="252" t="b">
        <f>IF(Q1="GSA","GSA Contract Unit Cost")</f>
        <v>0</v>
      </c>
      <c r="M2" s="252" t="str">
        <f>IF(Q1="GSA","GSA Contract Total Cost","Hide this column")</f>
        <v>Hide this column</v>
      </c>
      <c r="N2" s="252" t="s">
        <v>11</v>
      </c>
      <c r="O2" s="246" t="s">
        <v>12</v>
      </c>
      <c r="P2" s="254" t="s">
        <v>46</v>
      </c>
      <c r="Q2" s="255"/>
      <c r="R2" s="21"/>
      <c r="S2" s="229" t="str">
        <f>"ITEM LOCATIONS"&amp;"
*** COMPLETED BY CEHNC ***
"&amp;A1</f>
        <v>ITEM LOCATIONS
*** COMPLETED BY CEHNC ***
Attachment #1 - Kirtland AFB, NM - Bldg. 20602 Renovations - Industrial Storage SAM.gov</v>
      </c>
      <c r="T2" s="230"/>
      <c r="U2" s="231"/>
      <c r="V2" s="23" t="s">
        <v>13</v>
      </c>
      <c r="W2" s="81" t="s">
        <v>121</v>
      </c>
      <c r="X2" s="82" t="s">
        <v>122</v>
      </c>
      <c r="Y2" s="82" t="s">
        <v>123</v>
      </c>
      <c r="Z2" s="82"/>
      <c r="AA2" s="83"/>
      <c r="AB2" s="81"/>
      <c r="AE2" s="82"/>
      <c r="AF2" s="83"/>
      <c r="AG2" s="81"/>
      <c r="AH2" s="82"/>
      <c r="AI2" s="82"/>
      <c r="AJ2" s="82"/>
      <c r="AK2" s="83"/>
      <c r="AL2" s="81"/>
      <c r="AM2" s="82"/>
      <c r="AN2" s="82"/>
      <c r="AO2" s="82"/>
      <c r="AP2" s="83"/>
      <c r="AQ2" s="81"/>
      <c r="AR2" s="82"/>
      <c r="AS2" s="82"/>
      <c r="AT2" s="82"/>
      <c r="AU2" s="83"/>
      <c r="AV2" s="81"/>
      <c r="AW2" s="82"/>
      <c r="AX2" s="82"/>
      <c r="AY2" s="82"/>
      <c r="AZ2" s="83"/>
      <c r="BA2" s="81"/>
      <c r="BB2" s="82"/>
      <c r="BC2" s="82"/>
      <c r="BD2" s="82"/>
      <c r="BE2" s="83"/>
      <c r="BF2" s="81"/>
      <c r="BG2" s="82"/>
      <c r="BH2" s="82"/>
      <c r="BI2" s="82"/>
      <c r="BJ2" s="83"/>
      <c r="BK2" s="81"/>
      <c r="BL2" s="82"/>
      <c r="BM2" s="82"/>
      <c r="BN2" s="82"/>
      <c r="BO2" s="83"/>
      <c r="BP2" s="81"/>
      <c r="BQ2" s="82"/>
      <c r="BR2" s="82"/>
      <c r="BS2" s="82"/>
      <c r="BT2" s="83"/>
      <c r="BU2" s="81"/>
      <c r="BV2" s="82"/>
      <c r="BW2" s="82"/>
      <c r="BX2" s="82"/>
      <c r="BY2" s="83"/>
      <c r="BZ2" s="81"/>
      <c r="CA2" s="82"/>
      <c r="CB2" s="82"/>
      <c r="CC2" s="82"/>
      <c r="CD2" s="83"/>
      <c r="CE2" s="81"/>
      <c r="CF2" s="82"/>
      <c r="CG2" s="82"/>
      <c r="CH2" s="82"/>
      <c r="CI2" s="83"/>
      <c r="CJ2" s="81"/>
      <c r="CK2" s="82"/>
      <c r="CL2" s="82"/>
      <c r="CM2" s="82"/>
      <c r="CN2" s="83"/>
      <c r="CO2" s="81"/>
      <c r="CP2" s="82"/>
      <c r="CQ2" s="82"/>
      <c r="CR2" s="82"/>
      <c r="CS2" s="83"/>
      <c r="CT2" s="81"/>
      <c r="CU2" s="82"/>
      <c r="CV2" s="82"/>
      <c r="CW2" s="82"/>
      <c r="CX2" s="83"/>
      <c r="CY2" s="22"/>
    </row>
    <row r="3" spans="1:103" ht="16.5" thickBot="1" x14ac:dyDescent="0.3">
      <c r="A3" s="259"/>
      <c r="B3" s="243"/>
      <c r="C3" s="245"/>
      <c r="D3" s="249"/>
      <c r="E3" s="251"/>
      <c r="F3" s="253"/>
      <c r="G3" s="247"/>
      <c r="H3" s="144" t="str">
        <f>IF($P$1="Admin","","W")</f>
        <v/>
      </c>
      <c r="I3" s="143" t="str">
        <f>IF($P$1="Admin","","D")</f>
        <v/>
      </c>
      <c r="J3" s="145" t="str">
        <f>IF($P$1="Admin","","H")</f>
        <v/>
      </c>
      <c r="K3" s="245"/>
      <c r="L3" s="253"/>
      <c r="M3" s="253"/>
      <c r="N3" s="253"/>
      <c r="O3" s="247"/>
      <c r="P3" s="135" t="s">
        <v>44</v>
      </c>
      <c r="Q3" s="136" t="s">
        <v>45</v>
      </c>
      <c r="R3" s="21"/>
      <c r="S3" s="24" t="s">
        <v>4</v>
      </c>
      <c r="T3" s="25" t="s">
        <v>14</v>
      </c>
      <c r="U3" s="25" t="s">
        <v>15</v>
      </c>
      <c r="V3" s="26" t="s">
        <v>16</v>
      </c>
      <c r="W3" s="234"/>
      <c r="X3" s="235"/>
      <c r="Y3" s="235"/>
      <c r="Z3" s="235"/>
      <c r="AA3" s="235"/>
      <c r="AB3" s="235"/>
      <c r="AC3" s="235"/>
      <c r="AD3" s="235"/>
      <c r="AE3" s="235"/>
      <c r="AF3" s="235"/>
      <c r="AG3" s="235"/>
      <c r="AH3" s="235"/>
      <c r="AI3" s="235"/>
      <c r="AJ3" s="235"/>
      <c r="AK3" s="235"/>
      <c r="AL3" s="235"/>
      <c r="AM3" s="235"/>
      <c r="AN3" s="235"/>
      <c r="AO3" s="235"/>
      <c r="AP3" s="235"/>
      <c r="AQ3" s="235"/>
      <c r="AR3" s="235"/>
      <c r="AS3" s="235"/>
      <c r="AT3" s="235"/>
      <c r="AU3" s="235"/>
      <c r="AV3" s="235"/>
      <c r="AW3" s="235"/>
      <c r="AX3" s="235"/>
      <c r="AY3" s="235"/>
      <c r="AZ3" s="235"/>
      <c r="BA3" s="235"/>
      <c r="BB3" s="235"/>
      <c r="BC3" s="235"/>
      <c r="BD3" s="235"/>
      <c r="BE3" s="235"/>
      <c r="BF3" s="235"/>
      <c r="BG3" s="235"/>
      <c r="BH3" s="235"/>
      <c r="BI3" s="235"/>
      <c r="BJ3" s="235"/>
      <c r="BK3" s="235"/>
      <c r="BL3" s="235"/>
      <c r="BM3" s="235"/>
      <c r="BN3" s="235"/>
      <c r="BO3" s="235"/>
      <c r="BP3" s="235"/>
      <c r="BQ3" s="235"/>
      <c r="BR3" s="235"/>
      <c r="BS3" s="235"/>
      <c r="BT3" s="235"/>
      <c r="BU3" s="235"/>
      <c r="BV3" s="235"/>
      <c r="BW3" s="235"/>
      <c r="BX3" s="235"/>
      <c r="BY3" s="235"/>
      <c r="BZ3" s="235"/>
      <c r="CA3" s="235"/>
      <c r="CB3" s="235"/>
      <c r="CC3" s="235"/>
      <c r="CD3" s="235"/>
      <c r="CE3" s="235"/>
      <c r="CF3" s="235"/>
      <c r="CG3" s="235"/>
      <c r="CH3" s="235"/>
      <c r="CI3" s="235"/>
      <c r="CJ3" s="235"/>
      <c r="CK3" s="235"/>
      <c r="CL3" s="235"/>
      <c r="CM3" s="235"/>
      <c r="CN3" s="235"/>
      <c r="CO3" s="235"/>
      <c r="CP3" s="235"/>
      <c r="CQ3" s="235"/>
      <c r="CR3" s="235"/>
      <c r="CS3" s="235"/>
      <c r="CT3" s="235"/>
      <c r="CU3" s="235"/>
      <c r="CV3" s="235"/>
      <c r="CW3" s="235"/>
      <c r="CX3" s="236"/>
      <c r="CY3" s="27"/>
    </row>
    <row r="4" spans="1:103" ht="30" x14ac:dyDescent="0.25">
      <c r="A4" s="140">
        <f t="shared" ref="A4:A35" si="0">IF(B4&gt;0,A3+1,A3)</f>
        <v>1</v>
      </c>
      <c r="B4" s="192">
        <f t="shared" ref="B4:B35" si="1">V4</f>
        <v>2</v>
      </c>
      <c r="C4" s="46">
        <v>22.1</v>
      </c>
      <c r="D4" s="76" t="s">
        <v>124</v>
      </c>
      <c r="E4" s="47"/>
      <c r="F4" s="47"/>
      <c r="G4" s="114"/>
      <c r="H4" s="117"/>
      <c r="I4" s="47"/>
      <c r="J4" s="118"/>
      <c r="K4" s="47"/>
      <c r="L4" s="48"/>
      <c r="M4" s="104">
        <f t="shared" ref="M4:M35" si="2">SUM($L4*$B4)</f>
        <v>0</v>
      </c>
      <c r="N4" s="49"/>
      <c r="O4" s="104">
        <f t="shared" ref="O4:O35" si="3">SUM($N4*$B4)</f>
        <v>0</v>
      </c>
      <c r="P4" s="133">
        <f t="shared" ref="P4:P35" si="4">IF(LEFT($K4,2)="OP", $O4,0)</f>
        <v>0</v>
      </c>
      <c r="Q4" s="134" t="str">
        <f t="shared" ref="Q4:Q35" si="5">IF($Q$1="SAM","",IF(L4="","",N4-L4))</f>
        <v/>
      </c>
      <c r="R4" s="50"/>
      <c r="S4" s="51">
        <f t="shared" ref="S4:S35" si="6">IF(A4=0,"",A4)</f>
        <v>1</v>
      </c>
      <c r="T4" s="52">
        <f t="shared" ref="T4:T35" si="7">IF(C4="","",C4)</f>
        <v>22.1</v>
      </c>
      <c r="U4" s="53" t="str">
        <f t="shared" ref="U4:U35" si="8">IF(D4="","",D4)</f>
        <v>SN03: Industrial, Ventilated Storage Cabinet, Metal</v>
      </c>
      <c r="V4" s="63">
        <f t="shared" ref="V4:V68" si="9">SUM(W4:CY4)</f>
        <v>2</v>
      </c>
      <c r="W4" s="54"/>
      <c r="X4" s="54">
        <v>2</v>
      </c>
      <c r="Y4" s="54"/>
      <c r="Z4" s="54"/>
      <c r="AA4" s="55"/>
      <c r="AB4" s="54"/>
      <c r="AC4" s="54"/>
      <c r="AD4" s="54"/>
      <c r="AE4" s="54"/>
      <c r="AF4" s="55"/>
      <c r="AG4" s="54"/>
      <c r="AH4" s="54"/>
      <c r="AI4" s="54"/>
      <c r="AJ4" s="54"/>
      <c r="AK4" s="55"/>
      <c r="AL4" s="54"/>
      <c r="AM4" s="54"/>
      <c r="AN4" s="54"/>
      <c r="AO4" s="54"/>
      <c r="AP4" s="55"/>
      <c r="AQ4" s="54"/>
      <c r="AR4" s="54"/>
      <c r="AS4" s="54"/>
      <c r="AT4" s="54"/>
      <c r="AU4" s="55"/>
      <c r="AV4" s="54"/>
      <c r="AW4" s="54"/>
      <c r="AX4" s="54"/>
      <c r="AY4" s="54"/>
      <c r="AZ4" s="55"/>
      <c r="BA4" s="54"/>
      <c r="BB4" s="54"/>
      <c r="BC4" s="54"/>
      <c r="BD4" s="54"/>
      <c r="BE4" s="55"/>
      <c r="BF4" s="54"/>
      <c r="BG4" s="54"/>
      <c r="BH4" s="54"/>
      <c r="BI4" s="54"/>
      <c r="BJ4" s="55"/>
      <c r="BK4" s="54"/>
      <c r="BL4" s="54"/>
      <c r="BM4" s="54"/>
      <c r="BN4" s="54"/>
      <c r="BO4" s="55"/>
      <c r="BP4" s="54"/>
      <c r="BQ4" s="54"/>
      <c r="BR4" s="54"/>
      <c r="BS4" s="54"/>
      <c r="BT4" s="55"/>
      <c r="BU4" s="54"/>
      <c r="BV4" s="54"/>
      <c r="BW4" s="54"/>
      <c r="BX4" s="54"/>
      <c r="BY4" s="55"/>
      <c r="BZ4" s="54"/>
      <c r="CA4" s="54"/>
      <c r="CB4" s="54"/>
      <c r="CC4" s="54"/>
      <c r="CD4" s="55"/>
      <c r="CE4" s="54"/>
      <c r="CF4" s="54"/>
      <c r="CG4" s="54"/>
      <c r="CH4" s="54"/>
      <c r="CI4" s="55"/>
      <c r="CJ4" s="54"/>
      <c r="CK4" s="54"/>
      <c r="CL4" s="54"/>
      <c r="CM4" s="54"/>
      <c r="CN4" s="55"/>
      <c r="CO4" s="54"/>
      <c r="CP4" s="54"/>
      <c r="CQ4" s="54"/>
      <c r="CR4" s="54"/>
      <c r="CS4" s="55"/>
      <c r="CT4" s="54"/>
      <c r="CU4" s="54"/>
      <c r="CV4" s="54"/>
      <c r="CW4" s="54"/>
      <c r="CX4" s="55"/>
      <c r="CY4" s="10"/>
    </row>
    <row r="5" spans="1:103" ht="30" x14ac:dyDescent="0.25">
      <c r="A5" s="141">
        <f t="shared" si="0"/>
        <v>2</v>
      </c>
      <c r="B5" s="193">
        <f t="shared" si="1"/>
        <v>6</v>
      </c>
      <c r="C5" s="56">
        <v>22.2</v>
      </c>
      <c r="D5" s="77" t="s">
        <v>125</v>
      </c>
      <c r="E5" s="58"/>
      <c r="F5" s="58"/>
      <c r="G5" s="115"/>
      <c r="H5" s="119"/>
      <c r="I5" s="58"/>
      <c r="J5" s="120"/>
      <c r="K5" s="58"/>
      <c r="L5" s="48"/>
      <c r="M5" s="104">
        <f t="shared" si="2"/>
        <v>0</v>
      </c>
      <c r="N5" s="59"/>
      <c r="O5" s="105">
        <f t="shared" si="3"/>
        <v>0</v>
      </c>
      <c r="P5" s="131">
        <f t="shared" si="4"/>
        <v>0</v>
      </c>
      <c r="Q5" s="134" t="str">
        <f t="shared" si="5"/>
        <v/>
      </c>
      <c r="R5" s="50"/>
      <c r="S5" s="60">
        <f t="shared" si="6"/>
        <v>2</v>
      </c>
      <c r="T5" s="61">
        <f t="shared" si="7"/>
        <v>22.2</v>
      </c>
      <c r="U5" s="62" t="str">
        <f t="shared" si="8"/>
        <v>SN04: Industrial, Clear-View Storage Cabinet, Metal</v>
      </c>
      <c r="V5" s="63">
        <f t="shared" si="9"/>
        <v>6</v>
      </c>
      <c r="W5" s="64">
        <v>6</v>
      </c>
      <c r="X5" s="64"/>
      <c r="Y5" s="64"/>
      <c r="Z5" s="64"/>
      <c r="AA5" s="65"/>
      <c r="AB5" s="64"/>
      <c r="AC5" s="64"/>
      <c r="AD5" s="64"/>
      <c r="AE5" s="64"/>
      <c r="AF5" s="65"/>
      <c r="AG5" s="64"/>
      <c r="AH5" s="64"/>
      <c r="AI5" s="64"/>
      <c r="AJ5" s="64"/>
      <c r="AK5" s="65"/>
      <c r="AL5" s="64"/>
      <c r="AM5" s="64"/>
      <c r="AN5" s="64"/>
      <c r="AO5" s="64"/>
      <c r="AP5" s="65"/>
      <c r="AQ5" s="64"/>
      <c r="AR5" s="64"/>
      <c r="AS5" s="64"/>
      <c r="AT5" s="64"/>
      <c r="AU5" s="65"/>
      <c r="AV5" s="64"/>
      <c r="AW5" s="64"/>
      <c r="AX5" s="64"/>
      <c r="AY5" s="64"/>
      <c r="AZ5" s="65"/>
      <c r="BA5" s="64"/>
      <c r="BB5" s="64"/>
      <c r="BC5" s="64"/>
      <c r="BD5" s="64"/>
      <c r="BE5" s="65"/>
      <c r="BF5" s="64"/>
      <c r="BG5" s="64"/>
      <c r="BH5" s="64"/>
      <c r="BI5" s="64"/>
      <c r="BJ5" s="65"/>
      <c r="BK5" s="64"/>
      <c r="BL5" s="64"/>
      <c r="BM5" s="64"/>
      <c r="BN5" s="64"/>
      <c r="BO5" s="65"/>
      <c r="BP5" s="64"/>
      <c r="BQ5" s="64"/>
      <c r="BR5" s="64"/>
      <c r="BS5" s="64"/>
      <c r="BT5" s="65"/>
      <c r="BU5" s="64"/>
      <c r="BV5" s="64"/>
      <c r="BW5" s="64"/>
      <c r="BX5" s="64"/>
      <c r="BY5" s="65"/>
      <c r="BZ5" s="64"/>
      <c r="CA5" s="64"/>
      <c r="CB5" s="64"/>
      <c r="CC5" s="64"/>
      <c r="CD5" s="65"/>
      <c r="CE5" s="64"/>
      <c r="CF5" s="64"/>
      <c r="CG5" s="64"/>
      <c r="CH5" s="64"/>
      <c r="CI5" s="65"/>
      <c r="CJ5" s="64"/>
      <c r="CK5" s="64"/>
      <c r="CL5" s="64"/>
      <c r="CM5" s="64"/>
      <c r="CN5" s="65"/>
      <c r="CO5" s="64"/>
      <c r="CP5" s="64"/>
      <c r="CQ5" s="64"/>
      <c r="CR5" s="64"/>
      <c r="CS5" s="65"/>
      <c r="CT5" s="64"/>
      <c r="CU5" s="64"/>
      <c r="CV5" s="64"/>
      <c r="CW5" s="64"/>
      <c r="CX5" s="65"/>
      <c r="CY5" s="10"/>
    </row>
    <row r="6" spans="1:103" ht="30" x14ac:dyDescent="0.25">
      <c r="A6" s="141">
        <f t="shared" si="0"/>
        <v>3</v>
      </c>
      <c r="B6" s="193">
        <f t="shared" si="1"/>
        <v>7</v>
      </c>
      <c r="C6" s="56">
        <v>22.3</v>
      </c>
      <c r="D6" s="77" t="s">
        <v>126</v>
      </c>
      <c r="E6" s="58"/>
      <c r="F6" s="58"/>
      <c r="G6" s="115"/>
      <c r="H6" s="119"/>
      <c r="I6" s="58"/>
      <c r="J6" s="120"/>
      <c r="K6" s="58"/>
      <c r="L6" s="48"/>
      <c r="M6" s="104">
        <f t="shared" si="2"/>
        <v>0</v>
      </c>
      <c r="N6" s="59"/>
      <c r="O6" s="105">
        <f t="shared" si="3"/>
        <v>0</v>
      </c>
      <c r="P6" s="131">
        <f t="shared" si="4"/>
        <v>0</v>
      </c>
      <c r="Q6" s="134" t="str">
        <f t="shared" si="5"/>
        <v/>
      </c>
      <c r="R6" s="50"/>
      <c r="S6" s="60">
        <f t="shared" si="6"/>
        <v>3</v>
      </c>
      <c r="T6" s="61">
        <f t="shared" si="7"/>
        <v>22.3</v>
      </c>
      <c r="U6" s="62" t="str">
        <f t="shared" si="8"/>
        <v>SN05: Closed Industrial Storage Shelving, Metal</v>
      </c>
      <c r="V6" s="63">
        <f t="shared" si="9"/>
        <v>7</v>
      </c>
      <c r="W6" s="64">
        <v>7</v>
      </c>
      <c r="X6" s="64"/>
      <c r="Y6" s="64"/>
      <c r="Z6" s="64"/>
      <c r="AA6" s="65"/>
      <c r="AB6" s="64"/>
      <c r="AC6" s="64"/>
      <c r="AD6" s="64"/>
      <c r="AE6" s="64"/>
      <c r="AF6" s="65"/>
      <c r="AG6" s="64"/>
      <c r="AH6" s="64"/>
      <c r="AI6" s="64"/>
      <c r="AJ6" s="64"/>
      <c r="AK6" s="65"/>
      <c r="AL6" s="64"/>
      <c r="AM6" s="64"/>
      <c r="AN6" s="64"/>
      <c r="AO6" s="64"/>
      <c r="AP6" s="65"/>
      <c r="AQ6" s="64"/>
      <c r="AR6" s="64"/>
      <c r="AS6" s="64"/>
      <c r="AT6" s="64"/>
      <c r="AU6" s="65"/>
      <c r="AV6" s="64"/>
      <c r="AW6" s="64"/>
      <c r="AX6" s="64"/>
      <c r="AY6" s="64"/>
      <c r="AZ6" s="65"/>
      <c r="BA6" s="64"/>
      <c r="BB6" s="64"/>
      <c r="BC6" s="64"/>
      <c r="BD6" s="64"/>
      <c r="BE6" s="65"/>
      <c r="BF6" s="64"/>
      <c r="BG6" s="64"/>
      <c r="BH6" s="64"/>
      <c r="BI6" s="64"/>
      <c r="BJ6" s="65"/>
      <c r="BK6" s="64"/>
      <c r="BL6" s="64"/>
      <c r="BM6" s="64"/>
      <c r="BN6" s="64"/>
      <c r="BO6" s="65"/>
      <c r="BP6" s="64"/>
      <c r="BQ6" s="64"/>
      <c r="BR6" s="64"/>
      <c r="BS6" s="64"/>
      <c r="BT6" s="65"/>
      <c r="BU6" s="64"/>
      <c r="BV6" s="64"/>
      <c r="BW6" s="64"/>
      <c r="BX6" s="64"/>
      <c r="BY6" s="65"/>
      <c r="BZ6" s="64"/>
      <c r="CA6" s="64"/>
      <c r="CB6" s="64"/>
      <c r="CC6" s="64"/>
      <c r="CD6" s="65"/>
      <c r="CE6" s="64"/>
      <c r="CF6" s="64"/>
      <c r="CG6" s="64"/>
      <c r="CH6" s="64"/>
      <c r="CI6" s="65"/>
      <c r="CJ6" s="64"/>
      <c r="CK6" s="64"/>
      <c r="CL6" s="64"/>
      <c r="CM6" s="64"/>
      <c r="CN6" s="65"/>
      <c r="CO6" s="64"/>
      <c r="CP6" s="64"/>
      <c r="CQ6" s="64"/>
      <c r="CR6" s="64"/>
      <c r="CS6" s="65"/>
      <c r="CT6" s="64"/>
      <c r="CU6" s="64"/>
      <c r="CV6" s="64"/>
      <c r="CW6" s="64"/>
      <c r="CX6" s="65"/>
      <c r="CY6" s="10"/>
    </row>
    <row r="7" spans="1:103" ht="15.75" x14ac:dyDescent="0.25">
      <c r="A7" s="141">
        <f t="shared" si="0"/>
        <v>4</v>
      </c>
      <c r="B7" s="193">
        <f t="shared" si="1"/>
        <v>6</v>
      </c>
      <c r="C7" s="56">
        <v>22.4</v>
      </c>
      <c r="D7" s="77" t="s">
        <v>127</v>
      </c>
      <c r="E7" s="58"/>
      <c r="F7" s="58"/>
      <c r="G7" s="115"/>
      <c r="H7" s="119"/>
      <c r="I7" s="58"/>
      <c r="J7" s="120"/>
      <c r="K7" s="58"/>
      <c r="L7" s="48"/>
      <c r="M7" s="104">
        <f t="shared" si="2"/>
        <v>0</v>
      </c>
      <c r="N7" s="59"/>
      <c r="O7" s="105">
        <f t="shared" si="3"/>
        <v>0</v>
      </c>
      <c r="P7" s="131">
        <f t="shared" si="4"/>
        <v>0</v>
      </c>
      <c r="Q7" s="134" t="str">
        <f t="shared" si="5"/>
        <v/>
      </c>
      <c r="R7" s="50"/>
      <c r="S7" s="60">
        <f t="shared" si="6"/>
        <v>4</v>
      </c>
      <c r="T7" s="61">
        <f t="shared" si="7"/>
        <v>22.4</v>
      </c>
      <c r="U7" s="62" t="str">
        <f t="shared" si="8"/>
        <v>SN06: Pallet Rack, Metal Wire Decking</v>
      </c>
      <c r="V7" s="63">
        <f t="shared" si="9"/>
        <v>6</v>
      </c>
      <c r="W7" s="64">
        <v>6</v>
      </c>
      <c r="X7" s="64"/>
      <c r="Y7" s="64"/>
      <c r="Z7" s="64"/>
      <c r="AA7" s="65"/>
      <c r="AB7" s="64"/>
      <c r="AC7" s="64"/>
      <c r="AD7" s="64"/>
      <c r="AE7" s="64"/>
      <c r="AF7" s="65"/>
      <c r="AG7" s="64"/>
      <c r="AH7" s="64"/>
      <c r="AI7" s="64"/>
      <c r="AJ7" s="64"/>
      <c r="AK7" s="65"/>
      <c r="AL7" s="64"/>
      <c r="AM7" s="64"/>
      <c r="AN7" s="64"/>
      <c r="AO7" s="64"/>
      <c r="AP7" s="65"/>
      <c r="AQ7" s="64"/>
      <c r="AR7" s="64"/>
      <c r="AS7" s="64"/>
      <c r="AT7" s="64"/>
      <c r="AU7" s="65"/>
      <c r="AV7" s="64"/>
      <c r="AW7" s="64"/>
      <c r="AX7" s="64"/>
      <c r="AY7" s="64"/>
      <c r="AZ7" s="65"/>
      <c r="BA7" s="64"/>
      <c r="BB7" s="64"/>
      <c r="BC7" s="64"/>
      <c r="BD7" s="64"/>
      <c r="BE7" s="65"/>
      <c r="BF7" s="64"/>
      <c r="BG7" s="64"/>
      <c r="BH7" s="64"/>
      <c r="BI7" s="64"/>
      <c r="BJ7" s="65"/>
      <c r="BK7" s="64"/>
      <c r="BL7" s="64"/>
      <c r="BM7" s="64"/>
      <c r="BN7" s="64"/>
      <c r="BO7" s="65"/>
      <c r="BP7" s="64"/>
      <c r="BQ7" s="64"/>
      <c r="BR7" s="64"/>
      <c r="BS7" s="64"/>
      <c r="BT7" s="65"/>
      <c r="BU7" s="64"/>
      <c r="BV7" s="64"/>
      <c r="BW7" s="64"/>
      <c r="BX7" s="64"/>
      <c r="BY7" s="65"/>
      <c r="BZ7" s="64"/>
      <c r="CA7" s="64"/>
      <c r="CB7" s="64"/>
      <c r="CC7" s="64"/>
      <c r="CD7" s="65"/>
      <c r="CE7" s="64"/>
      <c r="CF7" s="64"/>
      <c r="CG7" s="64"/>
      <c r="CH7" s="64"/>
      <c r="CI7" s="65"/>
      <c r="CJ7" s="64"/>
      <c r="CK7" s="64"/>
      <c r="CL7" s="64"/>
      <c r="CM7" s="64"/>
      <c r="CN7" s="65"/>
      <c r="CO7" s="64"/>
      <c r="CP7" s="64"/>
      <c r="CQ7" s="64"/>
      <c r="CR7" s="64"/>
      <c r="CS7" s="65"/>
      <c r="CT7" s="64"/>
      <c r="CU7" s="64"/>
      <c r="CV7" s="64"/>
      <c r="CW7" s="64"/>
      <c r="CX7" s="65"/>
      <c r="CY7" s="10"/>
    </row>
    <row r="8" spans="1:103" ht="30" x14ac:dyDescent="0.25">
      <c r="A8" s="141">
        <f t="shared" si="0"/>
        <v>5</v>
      </c>
      <c r="B8" s="193">
        <f t="shared" si="1"/>
        <v>9</v>
      </c>
      <c r="C8" s="56">
        <v>22.5</v>
      </c>
      <c r="D8" s="77" t="s">
        <v>128</v>
      </c>
      <c r="E8" s="58"/>
      <c r="F8" s="58"/>
      <c r="G8" s="115"/>
      <c r="H8" s="119"/>
      <c r="I8" s="58"/>
      <c r="J8" s="120"/>
      <c r="K8" s="58"/>
      <c r="L8" s="48"/>
      <c r="M8" s="104">
        <f t="shared" si="2"/>
        <v>0</v>
      </c>
      <c r="N8" s="59"/>
      <c r="O8" s="105">
        <f t="shared" si="3"/>
        <v>0</v>
      </c>
      <c r="P8" s="131">
        <f t="shared" si="4"/>
        <v>0</v>
      </c>
      <c r="Q8" s="134" t="str">
        <f t="shared" si="5"/>
        <v/>
      </c>
      <c r="R8" s="50"/>
      <c r="S8" s="60">
        <f t="shared" si="6"/>
        <v>5</v>
      </c>
      <c r="T8" s="61">
        <f t="shared" si="7"/>
        <v>22.5</v>
      </c>
      <c r="U8" s="62" t="str">
        <f t="shared" si="8"/>
        <v>SN07: Mobile Charging Storage Cabinet, Metal</v>
      </c>
      <c r="V8" s="63">
        <f t="shared" si="9"/>
        <v>9</v>
      </c>
      <c r="W8" s="64">
        <v>9</v>
      </c>
      <c r="X8" s="64"/>
      <c r="Y8" s="64"/>
      <c r="Z8" s="64"/>
      <c r="AA8" s="65"/>
      <c r="AB8" s="64"/>
      <c r="AC8" s="64"/>
      <c r="AD8" s="64"/>
      <c r="AE8" s="64"/>
      <c r="AF8" s="65"/>
      <c r="AG8" s="64"/>
      <c r="AH8" s="64"/>
      <c r="AI8" s="64"/>
      <c r="AJ8" s="64"/>
      <c r="AK8" s="65"/>
      <c r="AL8" s="64"/>
      <c r="AM8" s="64"/>
      <c r="AN8" s="64"/>
      <c r="AO8" s="64"/>
      <c r="AP8" s="65"/>
      <c r="AQ8" s="64"/>
      <c r="AR8" s="64"/>
      <c r="AS8" s="64"/>
      <c r="AT8" s="64"/>
      <c r="AU8" s="65"/>
      <c r="AV8" s="64"/>
      <c r="AW8" s="64"/>
      <c r="AX8" s="64"/>
      <c r="AY8" s="64"/>
      <c r="AZ8" s="65"/>
      <c r="BA8" s="64"/>
      <c r="BB8" s="64"/>
      <c r="BC8" s="64"/>
      <c r="BD8" s="64"/>
      <c r="BE8" s="65"/>
      <c r="BF8" s="64"/>
      <c r="BG8" s="64"/>
      <c r="BH8" s="64"/>
      <c r="BI8" s="64"/>
      <c r="BJ8" s="65"/>
      <c r="BK8" s="64"/>
      <c r="BL8" s="64"/>
      <c r="BM8" s="64"/>
      <c r="BN8" s="64"/>
      <c r="BO8" s="65"/>
      <c r="BP8" s="64"/>
      <c r="BQ8" s="64"/>
      <c r="BR8" s="64"/>
      <c r="BS8" s="64"/>
      <c r="BT8" s="65"/>
      <c r="BU8" s="64"/>
      <c r="BV8" s="64"/>
      <c r="BW8" s="64"/>
      <c r="BX8" s="64"/>
      <c r="BY8" s="65"/>
      <c r="BZ8" s="64"/>
      <c r="CA8" s="64"/>
      <c r="CB8" s="64"/>
      <c r="CC8" s="64"/>
      <c r="CD8" s="65"/>
      <c r="CE8" s="64"/>
      <c r="CF8" s="64"/>
      <c r="CG8" s="64"/>
      <c r="CH8" s="64"/>
      <c r="CI8" s="65"/>
      <c r="CJ8" s="64"/>
      <c r="CK8" s="64"/>
      <c r="CL8" s="64"/>
      <c r="CM8" s="64"/>
      <c r="CN8" s="65"/>
      <c r="CO8" s="64"/>
      <c r="CP8" s="64"/>
      <c r="CQ8" s="64"/>
      <c r="CR8" s="64"/>
      <c r="CS8" s="65"/>
      <c r="CT8" s="64"/>
      <c r="CU8" s="64"/>
      <c r="CV8" s="64"/>
      <c r="CW8" s="64"/>
      <c r="CX8" s="65"/>
      <c r="CY8" s="10"/>
    </row>
    <row r="9" spans="1:103" ht="15.75" customHeight="1" x14ac:dyDescent="0.25">
      <c r="A9" s="141">
        <f t="shared" si="0"/>
        <v>6</v>
      </c>
      <c r="B9" s="194">
        <f t="shared" si="1"/>
        <v>3</v>
      </c>
      <c r="C9" s="56">
        <v>22.6</v>
      </c>
      <c r="D9" s="57" t="s">
        <v>129</v>
      </c>
      <c r="E9" s="58"/>
      <c r="F9" s="58"/>
      <c r="G9" s="115"/>
      <c r="H9" s="119"/>
      <c r="I9" s="58"/>
      <c r="J9" s="120"/>
      <c r="K9" s="58"/>
      <c r="L9" s="48"/>
      <c r="M9" s="104">
        <f t="shared" si="2"/>
        <v>0</v>
      </c>
      <c r="N9" s="59"/>
      <c r="O9" s="105">
        <f t="shared" si="3"/>
        <v>0</v>
      </c>
      <c r="P9" s="131">
        <f t="shared" si="4"/>
        <v>0</v>
      </c>
      <c r="Q9" s="134" t="str">
        <f t="shared" si="5"/>
        <v/>
      </c>
      <c r="R9" s="50"/>
      <c r="S9" s="60">
        <f t="shared" si="6"/>
        <v>6</v>
      </c>
      <c r="T9" s="61">
        <f t="shared" si="7"/>
        <v>22.6</v>
      </c>
      <c r="U9" s="62" t="str">
        <f t="shared" si="8"/>
        <v>TN01: Deluxe Work Bench, Metal</v>
      </c>
      <c r="V9" s="63">
        <f t="shared" si="9"/>
        <v>3</v>
      </c>
      <c r="W9" s="64">
        <v>3</v>
      </c>
      <c r="X9" s="64"/>
      <c r="Y9" s="64"/>
      <c r="Z9" s="64"/>
      <c r="AA9" s="65"/>
      <c r="AB9" s="64"/>
      <c r="AC9" s="64"/>
      <c r="AD9" s="64"/>
      <c r="AE9" s="64"/>
      <c r="AF9" s="65"/>
      <c r="AG9" s="64"/>
      <c r="AH9" s="64"/>
      <c r="AI9" s="64"/>
      <c r="AJ9" s="64"/>
      <c r="AK9" s="65"/>
      <c r="AL9" s="64"/>
      <c r="AM9" s="64"/>
      <c r="AN9" s="64"/>
      <c r="AO9" s="64"/>
      <c r="AP9" s="65"/>
      <c r="AQ9" s="64"/>
      <c r="AR9" s="64"/>
      <c r="AS9" s="64"/>
      <c r="AT9" s="64"/>
      <c r="AU9" s="65"/>
      <c r="AV9" s="64"/>
      <c r="AW9" s="64"/>
      <c r="AX9" s="64"/>
      <c r="AY9" s="64"/>
      <c r="AZ9" s="65"/>
      <c r="BA9" s="64"/>
      <c r="BB9" s="64"/>
      <c r="BC9" s="64"/>
      <c r="BD9" s="64"/>
      <c r="BE9" s="65"/>
      <c r="BF9" s="64"/>
      <c r="BG9" s="64"/>
      <c r="BH9" s="64"/>
      <c r="BI9" s="64"/>
      <c r="BJ9" s="65"/>
      <c r="BK9" s="64"/>
      <c r="BL9" s="64"/>
      <c r="BM9" s="64"/>
      <c r="BN9" s="64"/>
      <c r="BO9" s="65"/>
      <c r="BP9" s="64"/>
      <c r="BQ9" s="64"/>
      <c r="BR9" s="64"/>
      <c r="BS9" s="64"/>
      <c r="BT9" s="65"/>
      <c r="BU9" s="64"/>
      <c r="BV9" s="64"/>
      <c r="BW9" s="64"/>
      <c r="BX9" s="64"/>
      <c r="BY9" s="65"/>
      <c r="BZ9" s="64"/>
      <c r="CA9" s="64"/>
      <c r="CB9" s="64"/>
      <c r="CC9" s="64"/>
      <c r="CD9" s="65"/>
      <c r="CE9" s="64"/>
      <c r="CF9" s="64"/>
      <c r="CG9" s="64"/>
      <c r="CH9" s="64"/>
      <c r="CI9" s="65"/>
      <c r="CJ9" s="64"/>
      <c r="CK9" s="64"/>
      <c r="CL9" s="64"/>
      <c r="CM9" s="64"/>
      <c r="CN9" s="65"/>
      <c r="CO9" s="64"/>
      <c r="CP9" s="64"/>
      <c r="CQ9" s="64"/>
      <c r="CR9" s="64"/>
      <c r="CS9" s="65"/>
      <c r="CT9" s="64"/>
      <c r="CU9" s="64"/>
      <c r="CV9" s="64"/>
      <c r="CW9" s="64"/>
      <c r="CX9" s="65"/>
      <c r="CY9" s="10"/>
    </row>
    <row r="10" spans="1:103" ht="30" x14ac:dyDescent="0.25">
      <c r="A10" s="141">
        <f t="shared" si="0"/>
        <v>7</v>
      </c>
      <c r="B10" s="194">
        <f t="shared" si="1"/>
        <v>1</v>
      </c>
      <c r="C10" s="56">
        <v>22.7</v>
      </c>
      <c r="D10" s="57" t="s">
        <v>130</v>
      </c>
      <c r="E10" s="58"/>
      <c r="F10" s="58"/>
      <c r="G10" s="115"/>
      <c r="H10" s="119"/>
      <c r="I10" s="58"/>
      <c r="J10" s="120"/>
      <c r="K10" s="58"/>
      <c r="L10" s="48"/>
      <c r="M10" s="104">
        <f t="shared" si="2"/>
        <v>0</v>
      </c>
      <c r="N10" s="59"/>
      <c r="O10" s="105">
        <f t="shared" si="3"/>
        <v>0</v>
      </c>
      <c r="P10" s="131">
        <f t="shared" si="4"/>
        <v>0</v>
      </c>
      <c r="Q10" s="134" t="str">
        <f t="shared" si="5"/>
        <v/>
      </c>
      <c r="R10" s="50"/>
      <c r="S10" s="60">
        <f t="shared" si="6"/>
        <v>7</v>
      </c>
      <c r="T10" s="61">
        <f t="shared" si="7"/>
        <v>22.7</v>
      </c>
      <c r="U10" s="62" t="str">
        <f t="shared" si="8"/>
        <v>TN02: Mobile Cabinet Work Bench, Metal</v>
      </c>
      <c r="V10" s="63">
        <f t="shared" si="9"/>
        <v>1</v>
      </c>
      <c r="W10" s="64">
        <v>1</v>
      </c>
      <c r="X10" s="64"/>
      <c r="Y10" s="64"/>
      <c r="Z10" s="64"/>
      <c r="AA10" s="65"/>
      <c r="AB10" s="64"/>
      <c r="AC10" s="64"/>
      <c r="AD10" s="64"/>
      <c r="AE10" s="64"/>
      <c r="AF10" s="65"/>
      <c r="AG10" s="64"/>
      <c r="AH10" s="64"/>
      <c r="AI10" s="64"/>
      <c r="AJ10" s="64"/>
      <c r="AK10" s="65"/>
      <c r="AL10" s="64"/>
      <c r="AM10" s="64"/>
      <c r="AN10" s="64"/>
      <c r="AO10" s="64"/>
      <c r="AP10" s="65"/>
      <c r="AQ10" s="64"/>
      <c r="AR10" s="64"/>
      <c r="AS10" s="64"/>
      <c r="AT10" s="64"/>
      <c r="AU10" s="65"/>
      <c r="AV10" s="64"/>
      <c r="AW10" s="64"/>
      <c r="AX10" s="64"/>
      <c r="AY10" s="64"/>
      <c r="AZ10" s="65"/>
      <c r="BA10" s="64"/>
      <c r="BB10" s="64"/>
      <c r="BC10" s="64"/>
      <c r="BD10" s="64"/>
      <c r="BE10" s="65"/>
      <c r="BF10" s="64"/>
      <c r="BG10" s="64"/>
      <c r="BH10" s="64"/>
      <c r="BI10" s="64"/>
      <c r="BJ10" s="65"/>
      <c r="BK10" s="64"/>
      <c r="BL10" s="64"/>
      <c r="BM10" s="64"/>
      <c r="BN10" s="64"/>
      <c r="BO10" s="65"/>
      <c r="BP10" s="64"/>
      <c r="BQ10" s="64"/>
      <c r="BR10" s="64"/>
      <c r="BS10" s="64"/>
      <c r="BT10" s="65"/>
      <c r="BU10" s="64"/>
      <c r="BV10" s="64"/>
      <c r="BW10" s="64"/>
      <c r="BX10" s="64"/>
      <c r="BY10" s="65"/>
      <c r="BZ10" s="64"/>
      <c r="CA10" s="64"/>
      <c r="CB10" s="64"/>
      <c r="CC10" s="64"/>
      <c r="CD10" s="65"/>
      <c r="CE10" s="64"/>
      <c r="CF10" s="64"/>
      <c r="CG10" s="64"/>
      <c r="CH10" s="64"/>
      <c r="CI10" s="65"/>
      <c r="CJ10" s="64"/>
      <c r="CK10" s="64"/>
      <c r="CL10" s="64"/>
      <c r="CM10" s="64"/>
      <c r="CN10" s="65"/>
      <c r="CO10" s="64"/>
      <c r="CP10" s="64"/>
      <c r="CQ10" s="64"/>
      <c r="CR10" s="64"/>
      <c r="CS10" s="65"/>
      <c r="CT10" s="64"/>
      <c r="CU10" s="64"/>
      <c r="CV10" s="64"/>
      <c r="CW10" s="64"/>
      <c r="CX10" s="65"/>
      <c r="CY10" s="10"/>
    </row>
    <row r="11" spans="1:103" ht="30" x14ac:dyDescent="0.25">
      <c r="A11" s="141">
        <f t="shared" si="0"/>
        <v>8</v>
      </c>
      <c r="B11" s="194">
        <f t="shared" si="1"/>
        <v>3</v>
      </c>
      <c r="C11" s="56">
        <v>22.8</v>
      </c>
      <c r="D11" s="57" t="s">
        <v>131</v>
      </c>
      <c r="E11" s="58"/>
      <c r="F11" s="58"/>
      <c r="G11" s="115"/>
      <c r="H11" s="119"/>
      <c r="I11" s="58"/>
      <c r="J11" s="120"/>
      <c r="K11" s="58"/>
      <c r="L11" s="48"/>
      <c r="M11" s="104">
        <f t="shared" si="2"/>
        <v>0</v>
      </c>
      <c r="N11" s="59"/>
      <c r="O11" s="105">
        <f t="shared" si="3"/>
        <v>0</v>
      </c>
      <c r="P11" s="131">
        <f t="shared" si="4"/>
        <v>0</v>
      </c>
      <c r="Q11" s="134" t="str">
        <f t="shared" si="5"/>
        <v/>
      </c>
      <c r="R11" s="50"/>
      <c r="S11" s="60">
        <f t="shared" si="6"/>
        <v>8</v>
      </c>
      <c r="T11" s="61">
        <f t="shared" si="7"/>
        <v>22.8</v>
      </c>
      <c r="U11" s="62" t="str">
        <f t="shared" si="8"/>
        <v>SN08: Clear-View, Preservation Storage Cabinet, Metal</v>
      </c>
      <c r="V11" s="63">
        <f t="shared" si="9"/>
        <v>3</v>
      </c>
      <c r="W11" s="64"/>
      <c r="X11" s="64"/>
      <c r="Y11" s="64">
        <v>3</v>
      </c>
      <c r="Z11" s="64"/>
      <c r="AA11" s="65"/>
      <c r="AB11" s="64"/>
      <c r="AC11" s="64"/>
      <c r="AD11" s="64"/>
      <c r="AE11" s="64"/>
      <c r="AF11" s="65"/>
      <c r="AG11" s="64"/>
      <c r="AH11" s="64"/>
      <c r="AI11" s="64"/>
      <c r="AJ11" s="64"/>
      <c r="AK11" s="65"/>
      <c r="AL11" s="64"/>
      <c r="AM11" s="64"/>
      <c r="AN11" s="64"/>
      <c r="AO11" s="64"/>
      <c r="AP11" s="65"/>
      <c r="AQ11" s="64"/>
      <c r="AR11" s="64"/>
      <c r="AS11" s="64"/>
      <c r="AT11" s="64"/>
      <c r="AU11" s="65"/>
      <c r="AV11" s="64"/>
      <c r="AW11" s="64"/>
      <c r="AX11" s="64"/>
      <c r="AY11" s="64"/>
      <c r="AZ11" s="65"/>
      <c r="BA11" s="64"/>
      <c r="BB11" s="64"/>
      <c r="BC11" s="64"/>
      <c r="BD11" s="64"/>
      <c r="BE11" s="65"/>
      <c r="BF11" s="64"/>
      <c r="BG11" s="64"/>
      <c r="BH11" s="64"/>
      <c r="BI11" s="64"/>
      <c r="BJ11" s="65"/>
      <c r="BK11" s="64"/>
      <c r="BL11" s="64"/>
      <c r="BM11" s="64"/>
      <c r="BN11" s="64"/>
      <c r="BO11" s="65"/>
      <c r="BP11" s="64"/>
      <c r="BQ11" s="64"/>
      <c r="BR11" s="64"/>
      <c r="BS11" s="64"/>
      <c r="BT11" s="65"/>
      <c r="BU11" s="64"/>
      <c r="BV11" s="64"/>
      <c r="BW11" s="64"/>
      <c r="BX11" s="64"/>
      <c r="BY11" s="65"/>
      <c r="BZ11" s="64"/>
      <c r="CA11" s="64"/>
      <c r="CB11" s="64"/>
      <c r="CC11" s="64"/>
      <c r="CD11" s="65"/>
      <c r="CE11" s="64"/>
      <c r="CF11" s="64"/>
      <c r="CG11" s="64"/>
      <c r="CH11" s="64"/>
      <c r="CI11" s="65"/>
      <c r="CJ11" s="64"/>
      <c r="CK11" s="64"/>
      <c r="CL11" s="64"/>
      <c r="CM11" s="64"/>
      <c r="CN11" s="65"/>
      <c r="CO11" s="64"/>
      <c r="CP11" s="64"/>
      <c r="CQ11" s="64"/>
      <c r="CR11" s="64"/>
      <c r="CS11" s="65"/>
      <c r="CT11" s="64"/>
      <c r="CU11" s="64"/>
      <c r="CV11" s="64"/>
      <c r="CW11" s="64"/>
      <c r="CX11" s="65"/>
      <c r="CY11" s="10"/>
    </row>
    <row r="12" spans="1:103" ht="30" x14ac:dyDescent="0.25">
      <c r="A12" s="141">
        <f t="shared" si="0"/>
        <v>9</v>
      </c>
      <c r="B12" s="194">
        <f t="shared" si="1"/>
        <v>1</v>
      </c>
      <c r="C12" s="56">
        <v>22.9</v>
      </c>
      <c r="D12" s="57" t="s">
        <v>132</v>
      </c>
      <c r="E12" s="58"/>
      <c r="F12" s="58"/>
      <c r="G12" s="115"/>
      <c r="H12" s="119"/>
      <c r="I12" s="58"/>
      <c r="J12" s="120"/>
      <c r="K12" s="58"/>
      <c r="L12" s="48"/>
      <c r="M12" s="104">
        <f t="shared" si="2"/>
        <v>0</v>
      </c>
      <c r="N12" s="59"/>
      <c r="O12" s="105">
        <f t="shared" si="3"/>
        <v>0</v>
      </c>
      <c r="P12" s="131">
        <f t="shared" si="4"/>
        <v>0</v>
      </c>
      <c r="Q12" s="134" t="str">
        <f t="shared" si="5"/>
        <v/>
      </c>
      <c r="R12" s="50"/>
      <c r="S12" s="60">
        <f t="shared" si="6"/>
        <v>9</v>
      </c>
      <c r="T12" s="61">
        <f t="shared" si="7"/>
        <v>22.9</v>
      </c>
      <c r="U12" s="62" t="str">
        <f t="shared" si="8"/>
        <v>SX01: 4-Drawer Flat File, Double-High, Metal</v>
      </c>
      <c r="V12" s="63">
        <f t="shared" si="9"/>
        <v>1</v>
      </c>
      <c r="W12" s="64"/>
      <c r="X12" s="64"/>
      <c r="Y12" s="64">
        <v>1</v>
      </c>
      <c r="Z12" s="64"/>
      <c r="AA12" s="65"/>
      <c r="AB12" s="64"/>
      <c r="AC12" s="64"/>
      <c r="AD12" s="64"/>
      <c r="AE12" s="64"/>
      <c r="AF12" s="65"/>
      <c r="AG12" s="64"/>
      <c r="AH12" s="64"/>
      <c r="AI12" s="64"/>
      <c r="AJ12" s="64"/>
      <c r="AK12" s="65"/>
      <c r="AL12" s="64"/>
      <c r="AM12" s="64"/>
      <c r="AN12" s="64"/>
      <c r="AO12" s="64"/>
      <c r="AP12" s="65"/>
      <c r="AQ12" s="64"/>
      <c r="AR12" s="64"/>
      <c r="AS12" s="64"/>
      <c r="AT12" s="64"/>
      <c r="AU12" s="65"/>
      <c r="AV12" s="64"/>
      <c r="AW12" s="64"/>
      <c r="AX12" s="64"/>
      <c r="AY12" s="64"/>
      <c r="AZ12" s="65"/>
      <c r="BA12" s="64"/>
      <c r="BB12" s="64"/>
      <c r="BC12" s="64"/>
      <c r="BD12" s="64"/>
      <c r="BE12" s="65"/>
      <c r="BF12" s="64"/>
      <c r="BG12" s="64"/>
      <c r="BH12" s="64"/>
      <c r="BI12" s="64"/>
      <c r="BJ12" s="65"/>
      <c r="BK12" s="64"/>
      <c r="BL12" s="64"/>
      <c r="BM12" s="64"/>
      <c r="BN12" s="64"/>
      <c r="BO12" s="65"/>
      <c r="BP12" s="64"/>
      <c r="BQ12" s="64"/>
      <c r="BR12" s="64"/>
      <c r="BS12" s="64"/>
      <c r="BT12" s="65"/>
      <c r="BU12" s="64"/>
      <c r="BV12" s="64"/>
      <c r="BW12" s="64"/>
      <c r="BX12" s="64"/>
      <c r="BY12" s="65"/>
      <c r="BZ12" s="64"/>
      <c r="CA12" s="64"/>
      <c r="CB12" s="64"/>
      <c r="CC12" s="64"/>
      <c r="CD12" s="65"/>
      <c r="CE12" s="64"/>
      <c r="CF12" s="64"/>
      <c r="CG12" s="64"/>
      <c r="CH12" s="64"/>
      <c r="CI12" s="65"/>
      <c r="CJ12" s="64"/>
      <c r="CK12" s="64"/>
      <c r="CL12" s="64"/>
      <c r="CM12" s="64"/>
      <c r="CN12" s="65"/>
      <c r="CO12" s="64"/>
      <c r="CP12" s="64"/>
      <c r="CQ12" s="64"/>
      <c r="CR12" s="64"/>
      <c r="CS12" s="65"/>
      <c r="CT12" s="64"/>
      <c r="CU12" s="64"/>
      <c r="CV12" s="64"/>
      <c r="CW12" s="64"/>
      <c r="CX12" s="65"/>
      <c r="CY12" s="10"/>
    </row>
    <row r="13" spans="1:103" ht="30" x14ac:dyDescent="0.25">
      <c r="A13" s="141">
        <f t="shared" si="0"/>
        <v>10</v>
      </c>
      <c r="B13" s="194">
        <f t="shared" si="1"/>
        <v>2</v>
      </c>
      <c r="C13" s="287">
        <v>22.1</v>
      </c>
      <c r="D13" s="57" t="s">
        <v>133</v>
      </c>
      <c r="E13" s="58"/>
      <c r="F13" s="58"/>
      <c r="G13" s="115"/>
      <c r="H13" s="119"/>
      <c r="I13" s="58"/>
      <c r="J13" s="120"/>
      <c r="K13" s="58"/>
      <c r="L13" s="48"/>
      <c r="M13" s="104">
        <f t="shared" si="2"/>
        <v>0</v>
      </c>
      <c r="N13" s="59"/>
      <c r="O13" s="105">
        <f t="shared" si="3"/>
        <v>0</v>
      </c>
      <c r="P13" s="131">
        <f t="shared" si="4"/>
        <v>0</v>
      </c>
      <c r="Q13" s="134" t="str">
        <f t="shared" si="5"/>
        <v/>
      </c>
      <c r="R13" s="50"/>
      <c r="S13" s="60">
        <f t="shared" si="6"/>
        <v>10</v>
      </c>
      <c r="T13" s="288">
        <f t="shared" si="7"/>
        <v>22.1</v>
      </c>
      <c r="U13" s="62" t="str">
        <f t="shared" si="8"/>
        <v>SX02: 6-Drawer Flat File, Double-High, Metal</v>
      </c>
      <c r="V13" s="63">
        <f t="shared" si="9"/>
        <v>2</v>
      </c>
      <c r="W13" s="64"/>
      <c r="X13" s="64"/>
      <c r="Y13" s="64">
        <v>2</v>
      </c>
      <c r="Z13" s="64"/>
      <c r="AA13" s="65"/>
      <c r="AB13" s="64"/>
      <c r="AC13" s="64"/>
      <c r="AD13" s="64"/>
      <c r="AE13" s="64"/>
      <c r="AF13" s="65"/>
      <c r="AG13" s="64"/>
      <c r="AH13" s="64"/>
      <c r="AI13" s="64"/>
      <c r="AJ13" s="64"/>
      <c r="AK13" s="65"/>
      <c r="AL13" s="64"/>
      <c r="AM13" s="64"/>
      <c r="AN13" s="64"/>
      <c r="AO13" s="64"/>
      <c r="AP13" s="65"/>
      <c r="AQ13" s="64"/>
      <c r="AR13" s="64"/>
      <c r="AS13" s="64"/>
      <c r="AT13" s="64"/>
      <c r="AU13" s="65"/>
      <c r="AV13" s="64"/>
      <c r="AW13" s="64"/>
      <c r="AX13" s="64"/>
      <c r="AY13" s="64"/>
      <c r="AZ13" s="65"/>
      <c r="BA13" s="64"/>
      <c r="BB13" s="64"/>
      <c r="BC13" s="64"/>
      <c r="BD13" s="64"/>
      <c r="BE13" s="65"/>
      <c r="BF13" s="64"/>
      <c r="BG13" s="64"/>
      <c r="BH13" s="64"/>
      <c r="BI13" s="64"/>
      <c r="BJ13" s="65"/>
      <c r="BK13" s="64"/>
      <c r="BL13" s="64"/>
      <c r="BM13" s="64"/>
      <c r="BN13" s="64"/>
      <c r="BO13" s="65"/>
      <c r="BP13" s="64"/>
      <c r="BQ13" s="64"/>
      <c r="BR13" s="64"/>
      <c r="BS13" s="64"/>
      <c r="BT13" s="65"/>
      <c r="BU13" s="64"/>
      <c r="BV13" s="64"/>
      <c r="BW13" s="64"/>
      <c r="BX13" s="64"/>
      <c r="BY13" s="65"/>
      <c r="BZ13" s="64"/>
      <c r="CA13" s="64"/>
      <c r="CB13" s="64"/>
      <c r="CC13" s="64"/>
      <c r="CD13" s="65"/>
      <c r="CE13" s="64"/>
      <c r="CF13" s="64"/>
      <c r="CG13" s="64"/>
      <c r="CH13" s="64"/>
      <c r="CI13" s="65"/>
      <c r="CJ13" s="64"/>
      <c r="CK13" s="64"/>
      <c r="CL13" s="64"/>
      <c r="CM13" s="64"/>
      <c r="CN13" s="65"/>
      <c r="CO13" s="64"/>
      <c r="CP13" s="64"/>
      <c r="CQ13" s="64"/>
      <c r="CR13" s="64"/>
      <c r="CS13" s="65"/>
      <c r="CT13" s="64"/>
      <c r="CU13" s="64"/>
      <c r="CV13" s="64"/>
      <c r="CW13" s="64"/>
      <c r="CX13" s="65"/>
      <c r="CY13" s="10"/>
    </row>
    <row r="14" spans="1:103" ht="15.75" x14ac:dyDescent="0.25">
      <c r="A14" s="141">
        <f t="shared" si="0"/>
        <v>11</v>
      </c>
      <c r="B14" s="194">
        <f t="shared" si="1"/>
        <v>1</v>
      </c>
      <c r="C14" s="287">
        <v>22.11</v>
      </c>
      <c r="D14" s="57" t="s">
        <v>134</v>
      </c>
      <c r="E14" s="58"/>
      <c r="F14" s="58"/>
      <c r="G14" s="115"/>
      <c r="H14" s="119"/>
      <c r="I14" s="58"/>
      <c r="J14" s="120"/>
      <c r="K14" s="58"/>
      <c r="L14" s="48"/>
      <c r="M14" s="104">
        <f t="shared" si="2"/>
        <v>0</v>
      </c>
      <c r="N14" s="59"/>
      <c r="O14" s="105">
        <f t="shared" si="3"/>
        <v>0</v>
      </c>
      <c r="P14" s="131">
        <f t="shared" si="4"/>
        <v>0</v>
      </c>
      <c r="Q14" s="134" t="str">
        <f t="shared" si="5"/>
        <v/>
      </c>
      <c r="R14" s="50"/>
      <c r="S14" s="60">
        <f t="shared" si="6"/>
        <v>11</v>
      </c>
      <c r="T14" s="288">
        <f t="shared" si="7"/>
        <v>22.11</v>
      </c>
      <c r="U14" s="62" t="str">
        <f t="shared" si="8"/>
        <v>SX03: Plaque Storage, Metal</v>
      </c>
      <c r="V14" s="63">
        <f t="shared" si="9"/>
        <v>1</v>
      </c>
      <c r="W14" s="64"/>
      <c r="X14" s="64"/>
      <c r="Y14" s="64">
        <v>1</v>
      </c>
      <c r="Z14" s="64"/>
      <c r="AA14" s="65"/>
      <c r="AB14" s="64"/>
      <c r="AC14" s="64"/>
      <c r="AD14" s="64"/>
      <c r="AE14" s="64"/>
      <c r="AF14" s="65"/>
      <c r="AG14" s="64"/>
      <c r="AH14" s="64"/>
      <c r="AI14" s="64"/>
      <c r="AJ14" s="64"/>
      <c r="AK14" s="65"/>
      <c r="AL14" s="64"/>
      <c r="AM14" s="64"/>
      <c r="AN14" s="64"/>
      <c r="AO14" s="64"/>
      <c r="AP14" s="65"/>
      <c r="AQ14" s="64"/>
      <c r="AR14" s="64"/>
      <c r="AS14" s="64"/>
      <c r="AT14" s="64"/>
      <c r="AU14" s="65"/>
      <c r="AV14" s="64"/>
      <c r="AW14" s="64"/>
      <c r="AX14" s="64"/>
      <c r="AY14" s="64"/>
      <c r="AZ14" s="65"/>
      <c r="BA14" s="64"/>
      <c r="BB14" s="64"/>
      <c r="BC14" s="64"/>
      <c r="BD14" s="64"/>
      <c r="BE14" s="65"/>
      <c r="BF14" s="64"/>
      <c r="BG14" s="64"/>
      <c r="BH14" s="64"/>
      <c r="BI14" s="64"/>
      <c r="BJ14" s="65"/>
      <c r="BK14" s="64"/>
      <c r="BL14" s="64"/>
      <c r="BM14" s="64"/>
      <c r="BN14" s="64"/>
      <c r="BO14" s="65"/>
      <c r="BP14" s="64"/>
      <c r="BQ14" s="64"/>
      <c r="BR14" s="64"/>
      <c r="BS14" s="64"/>
      <c r="BT14" s="65"/>
      <c r="BU14" s="64"/>
      <c r="BV14" s="64"/>
      <c r="BW14" s="64"/>
      <c r="BX14" s="64"/>
      <c r="BY14" s="65"/>
      <c r="BZ14" s="64"/>
      <c r="CA14" s="64"/>
      <c r="CB14" s="64"/>
      <c r="CC14" s="64"/>
      <c r="CD14" s="65"/>
      <c r="CE14" s="64"/>
      <c r="CF14" s="64"/>
      <c r="CG14" s="64"/>
      <c r="CH14" s="64"/>
      <c r="CI14" s="65"/>
      <c r="CJ14" s="64"/>
      <c r="CK14" s="64"/>
      <c r="CL14" s="64"/>
      <c r="CM14" s="64"/>
      <c r="CN14" s="65"/>
      <c r="CO14" s="64"/>
      <c r="CP14" s="64"/>
      <c r="CQ14" s="64"/>
      <c r="CR14" s="64"/>
      <c r="CS14" s="65"/>
      <c r="CT14" s="64"/>
      <c r="CU14" s="64"/>
      <c r="CV14" s="64"/>
      <c r="CW14" s="64"/>
      <c r="CX14" s="65"/>
      <c r="CY14" s="10"/>
    </row>
    <row r="15" spans="1:103" ht="30.75" thickBot="1" x14ac:dyDescent="0.3">
      <c r="A15" s="141">
        <f t="shared" si="0"/>
        <v>12</v>
      </c>
      <c r="B15" s="194">
        <f t="shared" si="1"/>
        <v>8</v>
      </c>
      <c r="C15" s="287">
        <v>22.12</v>
      </c>
      <c r="D15" s="57" t="s">
        <v>135</v>
      </c>
      <c r="E15" s="58"/>
      <c r="F15" s="58"/>
      <c r="G15" s="115"/>
      <c r="H15" s="119"/>
      <c r="I15" s="58"/>
      <c r="J15" s="120"/>
      <c r="K15" s="58"/>
      <c r="L15" s="48"/>
      <c r="M15" s="104">
        <f t="shared" si="2"/>
        <v>0</v>
      </c>
      <c r="N15" s="59"/>
      <c r="O15" s="105">
        <f t="shared" si="3"/>
        <v>0</v>
      </c>
      <c r="P15" s="131">
        <f t="shared" si="4"/>
        <v>0</v>
      </c>
      <c r="Q15" s="134" t="str">
        <f t="shared" si="5"/>
        <v/>
      </c>
      <c r="R15" s="50"/>
      <c r="S15" s="60">
        <f t="shared" si="6"/>
        <v>12</v>
      </c>
      <c r="T15" s="288">
        <f t="shared" si="7"/>
        <v>22.12</v>
      </c>
      <c r="U15" s="62" t="str">
        <f t="shared" si="8"/>
        <v>TX01: Stainless Steel Work Table, Height Adjustable</v>
      </c>
      <c r="V15" s="63">
        <f t="shared" si="9"/>
        <v>8</v>
      </c>
      <c r="W15" s="64"/>
      <c r="X15" s="64"/>
      <c r="Y15" s="64">
        <v>8</v>
      </c>
      <c r="Z15" s="64"/>
      <c r="AA15" s="65"/>
      <c r="AB15" s="64"/>
      <c r="AC15" s="64"/>
      <c r="AD15" s="64"/>
      <c r="AE15" s="64"/>
      <c r="AF15" s="65"/>
      <c r="AG15" s="64"/>
      <c r="AH15" s="64"/>
      <c r="AI15" s="64"/>
      <c r="AJ15" s="64"/>
      <c r="AK15" s="65"/>
      <c r="AL15" s="64"/>
      <c r="AM15" s="64"/>
      <c r="AN15" s="64"/>
      <c r="AO15" s="64"/>
      <c r="AP15" s="65"/>
      <c r="AQ15" s="64"/>
      <c r="AR15" s="64"/>
      <c r="AS15" s="64"/>
      <c r="AT15" s="64"/>
      <c r="AU15" s="65"/>
      <c r="AV15" s="64"/>
      <c r="AW15" s="64"/>
      <c r="AX15" s="64"/>
      <c r="AY15" s="64"/>
      <c r="AZ15" s="65"/>
      <c r="BA15" s="64"/>
      <c r="BB15" s="64"/>
      <c r="BC15" s="64"/>
      <c r="BD15" s="64"/>
      <c r="BE15" s="65"/>
      <c r="BF15" s="64"/>
      <c r="BG15" s="64"/>
      <c r="BH15" s="64"/>
      <c r="BI15" s="64"/>
      <c r="BJ15" s="65"/>
      <c r="BK15" s="64"/>
      <c r="BL15" s="64"/>
      <c r="BM15" s="64"/>
      <c r="BN15" s="64"/>
      <c r="BO15" s="65"/>
      <c r="BP15" s="64"/>
      <c r="BQ15" s="64"/>
      <c r="BR15" s="64"/>
      <c r="BS15" s="64"/>
      <c r="BT15" s="65"/>
      <c r="BU15" s="64"/>
      <c r="BV15" s="64"/>
      <c r="BW15" s="64"/>
      <c r="BX15" s="64"/>
      <c r="BY15" s="65"/>
      <c r="BZ15" s="64"/>
      <c r="CA15" s="64"/>
      <c r="CB15" s="64"/>
      <c r="CC15" s="64"/>
      <c r="CD15" s="65"/>
      <c r="CE15" s="64"/>
      <c r="CF15" s="64"/>
      <c r="CG15" s="64"/>
      <c r="CH15" s="64"/>
      <c r="CI15" s="65"/>
      <c r="CJ15" s="64"/>
      <c r="CK15" s="64"/>
      <c r="CL15" s="64"/>
      <c r="CM15" s="64"/>
      <c r="CN15" s="65"/>
      <c r="CO15" s="64"/>
      <c r="CP15" s="64"/>
      <c r="CQ15" s="64"/>
      <c r="CR15" s="64"/>
      <c r="CS15" s="65"/>
      <c r="CT15" s="64"/>
      <c r="CU15" s="64"/>
      <c r="CV15" s="64"/>
      <c r="CW15" s="64"/>
      <c r="CX15" s="65"/>
      <c r="CY15" s="10"/>
    </row>
    <row r="16" spans="1:103" ht="15.75" hidden="1" x14ac:dyDescent="0.25">
      <c r="A16" s="141">
        <f t="shared" si="0"/>
        <v>12</v>
      </c>
      <c r="B16" s="194">
        <f t="shared" si="1"/>
        <v>0</v>
      </c>
      <c r="C16" s="56"/>
      <c r="D16" s="57"/>
      <c r="E16" s="58"/>
      <c r="F16" s="58"/>
      <c r="G16" s="115"/>
      <c r="H16" s="119"/>
      <c r="I16" s="58"/>
      <c r="J16" s="120"/>
      <c r="K16" s="58"/>
      <c r="L16" s="48"/>
      <c r="M16" s="104">
        <f t="shared" si="2"/>
        <v>0</v>
      </c>
      <c r="N16" s="59"/>
      <c r="O16" s="105">
        <f t="shared" si="3"/>
        <v>0</v>
      </c>
      <c r="P16" s="131">
        <f t="shared" si="4"/>
        <v>0</v>
      </c>
      <c r="Q16" s="134" t="str">
        <f t="shared" si="5"/>
        <v/>
      </c>
      <c r="R16" s="50"/>
      <c r="S16" s="60">
        <f t="shared" si="6"/>
        <v>12</v>
      </c>
      <c r="T16" s="61" t="str">
        <f t="shared" si="7"/>
        <v/>
      </c>
      <c r="U16" s="62" t="str">
        <f t="shared" si="8"/>
        <v/>
      </c>
      <c r="V16" s="63">
        <f t="shared" si="9"/>
        <v>0</v>
      </c>
      <c r="W16" s="64"/>
      <c r="X16" s="64"/>
      <c r="Y16" s="64"/>
      <c r="Z16" s="64"/>
      <c r="AA16" s="65"/>
      <c r="AB16" s="64"/>
      <c r="AC16" s="64"/>
      <c r="AD16" s="64"/>
      <c r="AE16" s="64"/>
      <c r="AF16" s="65"/>
      <c r="AG16" s="64"/>
      <c r="AH16" s="64"/>
      <c r="AI16" s="64"/>
      <c r="AJ16" s="64"/>
      <c r="AK16" s="65"/>
      <c r="AL16" s="64"/>
      <c r="AM16" s="64"/>
      <c r="AN16" s="64"/>
      <c r="AO16" s="64"/>
      <c r="AP16" s="65"/>
      <c r="AQ16" s="64"/>
      <c r="AR16" s="64"/>
      <c r="AS16" s="64"/>
      <c r="AT16" s="64"/>
      <c r="AU16" s="65"/>
      <c r="AV16" s="64"/>
      <c r="AW16" s="64"/>
      <c r="AX16" s="64"/>
      <c r="AY16" s="64"/>
      <c r="AZ16" s="65"/>
      <c r="BA16" s="64"/>
      <c r="BB16" s="64"/>
      <c r="BC16" s="64"/>
      <c r="BD16" s="64"/>
      <c r="BE16" s="65"/>
      <c r="BF16" s="64"/>
      <c r="BG16" s="64"/>
      <c r="BH16" s="64"/>
      <c r="BI16" s="64"/>
      <c r="BJ16" s="65"/>
      <c r="BK16" s="64"/>
      <c r="BL16" s="64"/>
      <c r="BM16" s="64"/>
      <c r="BN16" s="64"/>
      <c r="BO16" s="65"/>
      <c r="BP16" s="64"/>
      <c r="BQ16" s="64"/>
      <c r="BR16" s="64"/>
      <c r="BS16" s="64"/>
      <c r="BT16" s="65"/>
      <c r="BU16" s="64"/>
      <c r="BV16" s="64"/>
      <c r="BW16" s="64"/>
      <c r="BX16" s="64"/>
      <c r="BY16" s="65"/>
      <c r="BZ16" s="64"/>
      <c r="CA16" s="64"/>
      <c r="CB16" s="64"/>
      <c r="CC16" s="64"/>
      <c r="CD16" s="65"/>
      <c r="CE16" s="64"/>
      <c r="CF16" s="64"/>
      <c r="CG16" s="64"/>
      <c r="CH16" s="64"/>
      <c r="CI16" s="65"/>
      <c r="CJ16" s="64"/>
      <c r="CK16" s="64"/>
      <c r="CL16" s="64"/>
      <c r="CM16" s="64"/>
      <c r="CN16" s="65"/>
      <c r="CO16" s="64"/>
      <c r="CP16" s="64"/>
      <c r="CQ16" s="64"/>
      <c r="CR16" s="64"/>
      <c r="CS16" s="65"/>
      <c r="CT16" s="64"/>
      <c r="CU16" s="64"/>
      <c r="CV16" s="64"/>
      <c r="CW16" s="64"/>
      <c r="CX16" s="65"/>
      <c r="CY16" s="10"/>
    </row>
    <row r="17" spans="1:103" ht="15.75" hidden="1" x14ac:dyDescent="0.25">
      <c r="A17" s="141">
        <f t="shared" si="0"/>
        <v>12</v>
      </c>
      <c r="B17" s="194">
        <f t="shared" si="1"/>
        <v>0</v>
      </c>
      <c r="C17" s="56"/>
      <c r="D17" s="57"/>
      <c r="E17" s="58"/>
      <c r="F17" s="58"/>
      <c r="G17" s="115"/>
      <c r="H17" s="119"/>
      <c r="I17" s="58"/>
      <c r="J17" s="120"/>
      <c r="K17" s="58"/>
      <c r="L17" s="48"/>
      <c r="M17" s="104">
        <f t="shared" si="2"/>
        <v>0</v>
      </c>
      <c r="N17" s="59"/>
      <c r="O17" s="105">
        <f t="shared" si="3"/>
        <v>0</v>
      </c>
      <c r="P17" s="131">
        <f t="shared" si="4"/>
        <v>0</v>
      </c>
      <c r="Q17" s="134" t="str">
        <f t="shared" si="5"/>
        <v/>
      </c>
      <c r="R17" s="50"/>
      <c r="S17" s="60">
        <f t="shared" si="6"/>
        <v>12</v>
      </c>
      <c r="T17" s="61" t="str">
        <f t="shared" si="7"/>
        <v/>
      </c>
      <c r="U17" s="62" t="str">
        <f t="shared" si="8"/>
        <v/>
      </c>
      <c r="V17" s="63">
        <f t="shared" si="9"/>
        <v>0</v>
      </c>
      <c r="W17" s="64"/>
      <c r="X17" s="64"/>
      <c r="Y17" s="64"/>
      <c r="Z17" s="64"/>
      <c r="AA17" s="65"/>
      <c r="AB17" s="64"/>
      <c r="AC17" s="64"/>
      <c r="AD17" s="64"/>
      <c r="AE17" s="64"/>
      <c r="AF17" s="65"/>
      <c r="AG17" s="64"/>
      <c r="AH17" s="64"/>
      <c r="AI17" s="64"/>
      <c r="AJ17" s="64"/>
      <c r="AK17" s="65"/>
      <c r="AL17" s="64"/>
      <c r="AM17" s="64"/>
      <c r="AN17" s="64"/>
      <c r="AO17" s="64"/>
      <c r="AP17" s="65"/>
      <c r="AQ17" s="64"/>
      <c r="AR17" s="64"/>
      <c r="AS17" s="64"/>
      <c r="AT17" s="64"/>
      <c r="AU17" s="65"/>
      <c r="AV17" s="64"/>
      <c r="AW17" s="64"/>
      <c r="AX17" s="64"/>
      <c r="AY17" s="64"/>
      <c r="AZ17" s="65"/>
      <c r="BA17" s="64"/>
      <c r="BB17" s="64"/>
      <c r="BC17" s="64"/>
      <c r="BD17" s="64"/>
      <c r="BE17" s="65"/>
      <c r="BF17" s="64"/>
      <c r="BG17" s="64"/>
      <c r="BH17" s="64"/>
      <c r="BI17" s="64"/>
      <c r="BJ17" s="65"/>
      <c r="BK17" s="64"/>
      <c r="BL17" s="64"/>
      <c r="BM17" s="64"/>
      <c r="BN17" s="64"/>
      <c r="BO17" s="65"/>
      <c r="BP17" s="64"/>
      <c r="BQ17" s="64"/>
      <c r="BR17" s="64"/>
      <c r="BS17" s="64"/>
      <c r="BT17" s="65"/>
      <c r="BU17" s="64"/>
      <c r="BV17" s="64"/>
      <c r="BW17" s="64"/>
      <c r="BX17" s="64"/>
      <c r="BY17" s="65"/>
      <c r="BZ17" s="64"/>
      <c r="CA17" s="64"/>
      <c r="CB17" s="64"/>
      <c r="CC17" s="64"/>
      <c r="CD17" s="65"/>
      <c r="CE17" s="64"/>
      <c r="CF17" s="64"/>
      <c r="CG17" s="64"/>
      <c r="CH17" s="64"/>
      <c r="CI17" s="65"/>
      <c r="CJ17" s="64"/>
      <c r="CK17" s="64"/>
      <c r="CL17" s="64"/>
      <c r="CM17" s="64"/>
      <c r="CN17" s="65"/>
      <c r="CO17" s="64"/>
      <c r="CP17" s="64"/>
      <c r="CQ17" s="64"/>
      <c r="CR17" s="64"/>
      <c r="CS17" s="65"/>
      <c r="CT17" s="64"/>
      <c r="CU17" s="64"/>
      <c r="CV17" s="64"/>
      <c r="CW17" s="64"/>
      <c r="CX17" s="65"/>
      <c r="CY17" s="10"/>
    </row>
    <row r="18" spans="1:103" ht="15.75" hidden="1" x14ac:dyDescent="0.25">
      <c r="A18" s="141">
        <f t="shared" si="0"/>
        <v>12</v>
      </c>
      <c r="B18" s="194">
        <f t="shared" si="1"/>
        <v>0</v>
      </c>
      <c r="C18" s="56"/>
      <c r="D18" s="57"/>
      <c r="E18" s="58"/>
      <c r="F18" s="58"/>
      <c r="G18" s="115"/>
      <c r="H18" s="119"/>
      <c r="I18" s="58"/>
      <c r="J18" s="120"/>
      <c r="K18" s="58"/>
      <c r="L18" s="48"/>
      <c r="M18" s="104">
        <f t="shared" si="2"/>
        <v>0</v>
      </c>
      <c r="N18" s="59"/>
      <c r="O18" s="105">
        <f t="shared" si="3"/>
        <v>0</v>
      </c>
      <c r="P18" s="131">
        <f t="shared" si="4"/>
        <v>0</v>
      </c>
      <c r="Q18" s="134" t="str">
        <f t="shared" si="5"/>
        <v/>
      </c>
      <c r="R18" s="50"/>
      <c r="S18" s="60">
        <f t="shared" si="6"/>
        <v>12</v>
      </c>
      <c r="T18" s="61" t="str">
        <f t="shared" si="7"/>
        <v/>
      </c>
      <c r="U18" s="62" t="str">
        <f t="shared" si="8"/>
        <v/>
      </c>
      <c r="V18" s="63">
        <f t="shared" si="9"/>
        <v>0</v>
      </c>
      <c r="W18" s="64"/>
      <c r="X18" s="64"/>
      <c r="Y18" s="64"/>
      <c r="Z18" s="64"/>
      <c r="AA18" s="65"/>
      <c r="AB18" s="64"/>
      <c r="AC18" s="64"/>
      <c r="AD18" s="64"/>
      <c r="AE18" s="64"/>
      <c r="AF18" s="65"/>
      <c r="AG18" s="64"/>
      <c r="AH18" s="64"/>
      <c r="AI18" s="64"/>
      <c r="AJ18" s="64"/>
      <c r="AK18" s="65"/>
      <c r="AL18" s="64"/>
      <c r="AM18" s="64"/>
      <c r="AN18" s="64"/>
      <c r="AO18" s="64"/>
      <c r="AP18" s="65"/>
      <c r="AQ18" s="64"/>
      <c r="AR18" s="64"/>
      <c r="AS18" s="64"/>
      <c r="AT18" s="64"/>
      <c r="AU18" s="65"/>
      <c r="AV18" s="64"/>
      <c r="AW18" s="64"/>
      <c r="AX18" s="64"/>
      <c r="AY18" s="64"/>
      <c r="AZ18" s="65"/>
      <c r="BA18" s="64"/>
      <c r="BB18" s="64"/>
      <c r="BC18" s="64"/>
      <c r="BD18" s="64"/>
      <c r="BE18" s="65"/>
      <c r="BF18" s="64"/>
      <c r="BG18" s="64"/>
      <c r="BH18" s="64"/>
      <c r="BI18" s="64"/>
      <c r="BJ18" s="65"/>
      <c r="BK18" s="64"/>
      <c r="BL18" s="64"/>
      <c r="BM18" s="64"/>
      <c r="BN18" s="64"/>
      <c r="BO18" s="65"/>
      <c r="BP18" s="64"/>
      <c r="BQ18" s="64"/>
      <c r="BR18" s="64"/>
      <c r="BS18" s="64"/>
      <c r="BT18" s="65"/>
      <c r="BU18" s="64"/>
      <c r="BV18" s="64"/>
      <c r="BW18" s="64"/>
      <c r="BX18" s="64"/>
      <c r="BY18" s="65"/>
      <c r="BZ18" s="64"/>
      <c r="CA18" s="64"/>
      <c r="CB18" s="64"/>
      <c r="CC18" s="64"/>
      <c r="CD18" s="65"/>
      <c r="CE18" s="64"/>
      <c r="CF18" s="64"/>
      <c r="CG18" s="64"/>
      <c r="CH18" s="64"/>
      <c r="CI18" s="65"/>
      <c r="CJ18" s="64"/>
      <c r="CK18" s="64"/>
      <c r="CL18" s="64"/>
      <c r="CM18" s="64"/>
      <c r="CN18" s="65"/>
      <c r="CO18" s="64"/>
      <c r="CP18" s="64"/>
      <c r="CQ18" s="64"/>
      <c r="CR18" s="64"/>
      <c r="CS18" s="65"/>
      <c r="CT18" s="64"/>
      <c r="CU18" s="64"/>
      <c r="CV18" s="64"/>
      <c r="CW18" s="64"/>
      <c r="CX18" s="65"/>
      <c r="CY18" s="10"/>
    </row>
    <row r="19" spans="1:103" ht="15.75" hidden="1" x14ac:dyDescent="0.25">
      <c r="A19" s="141">
        <f t="shared" si="0"/>
        <v>12</v>
      </c>
      <c r="B19" s="194">
        <f t="shared" si="1"/>
        <v>0</v>
      </c>
      <c r="C19" s="56"/>
      <c r="D19" s="57"/>
      <c r="E19" s="58"/>
      <c r="F19" s="58"/>
      <c r="G19" s="115"/>
      <c r="H19" s="119"/>
      <c r="I19" s="58"/>
      <c r="J19" s="120"/>
      <c r="K19" s="58"/>
      <c r="L19" s="48"/>
      <c r="M19" s="104">
        <f t="shared" si="2"/>
        <v>0</v>
      </c>
      <c r="N19" s="59"/>
      <c r="O19" s="105">
        <f t="shared" si="3"/>
        <v>0</v>
      </c>
      <c r="P19" s="131">
        <f t="shared" si="4"/>
        <v>0</v>
      </c>
      <c r="Q19" s="134" t="str">
        <f t="shared" si="5"/>
        <v/>
      </c>
      <c r="R19" s="50"/>
      <c r="S19" s="60">
        <f t="shared" si="6"/>
        <v>12</v>
      </c>
      <c r="T19" s="61" t="str">
        <f t="shared" si="7"/>
        <v/>
      </c>
      <c r="U19" s="62" t="str">
        <f t="shared" si="8"/>
        <v/>
      </c>
      <c r="V19" s="63">
        <f t="shared" si="9"/>
        <v>0</v>
      </c>
      <c r="W19" s="64"/>
      <c r="X19" s="64"/>
      <c r="Y19" s="64"/>
      <c r="Z19" s="64"/>
      <c r="AA19" s="65"/>
      <c r="AB19" s="64"/>
      <c r="AC19" s="64"/>
      <c r="AD19" s="64"/>
      <c r="AE19" s="64"/>
      <c r="AF19" s="65"/>
      <c r="AG19" s="64"/>
      <c r="AH19" s="64"/>
      <c r="AI19" s="64"/>
      <c r="AJ19" s="64"/>
      <c r="AK19" s="65"/>
      <c r="AL19" s="64"/>
      <c r="AM19" s="64"/>
      <c r="AN19" s="64"/>
      <c r="AO19" s="64"/>
      <c r="AP19" s="65"/>
      <c r="AQ19" s="64"/>
      <c r="AR19" s="64"/>
      <c r="AS19" s="64"/>
      <c r="AT19" s="64"/>
      <c r="AU19" s="65"/>
      <c r="AV19" s="64"/>
      <c r="AW19" s="64"/>
      <c r="AX19" s="64"/>
      <c r="AY19" s="64"/>
      <c r="AZ19" s="65"/>
      <c r="BA19" s="64"/>
      <c r="BB19" s="64"/>
      <c r="BC19" s="64"/>
      <c r="BD19" s="64"/>
      <c r="BE19" s="65"/>
      <c r="BF19" s="64"/>
      <c r="BG19" s="64"/>
      <c r="BH19" s="64"/>
      <c r="BI19" s="64"/>
      <c r="BJ19" s="65"/>
      <c r="BK19" s="64"/>
      <c r="BL19" s="64"/>
      <c r="BM19" s="64"/>
      <c r="BN19" s="64"/>
      <c r="BO19" s="65"/>
      <c r="BP19" s="64"/>
      <c r="BQ19" s="64"/>
      <c r="BR19" s="64"/>
      <c r="BS19" s="64"/>
      <c r="BT19" s="65"/>
      <c r="BU19" s="64"/>
      <c r="BV19" s="64"/>
      <c r="BW19" s="64"/>
      <c r="BX19" s="64"/>
      <c r="BY19" s="65"/>
      <c r="BZ19" s="64"/>
      <c r="CA19" s="64"/>
      <c r="CB19" s="64"/>
      <c r="CC19" s="64"/>
      <c r="CD19" s="65"/>
      <c r="CE19" s="64"/>
      <c r="CF19" s="64"/>
      <c r="CG19" s="64"/>
      <c r="CH19" s="64"/>
      <c r="CI19" s="65"/>
      <c r="CJ19" s="64"/>
      <c r="CK19" s="64"/>
      <c r="CL19" s="64"/>
      <c r="CM19" s="64"/>
      <c r="CN19" s="65"/>
      <c r="CO19" s="64"/>
      <c r="CP19" s="64"/>
      <c r="CQ19" s="64"/>
      <c r="CR19" s="64"/>
      <c r="CS19" s="65"/>
      <c r="CT19" s="64"/>
      <c r="CU19" s="64"/>
      <c r="CV19" s="64"/>
      <c r="CW19" s="64"/>
      <c r="CX19" s="65"/>
      <c r="CY19" s="10"/>
    </row>
    <row r="20" spans="1:103" ht="15.75" hidden="1" x14ac:dyDescent="0.25">
      <c r="A20" s="141">
        <f t="shared" si="0"/>
        <v>12</v>
      </c>
      <c r="B20" s="194">
        <f t="shared" si="1"/>
        <v>0</v>
      </c>
      <c r="C20" s="66"/>
      <c r="D20" s="67"/>
      <c r="E20" s="58"/>
      <c r="F20" s="58"/>
      <c r="G20" s="115"/>
      <c r="H20" s="119"/>
      <c r="I20" s="58"/>
      <c r="J20" s="120"/>
      <c r="K20" s="58"/>
      <c r="L20" s="48"/>
      <c r="M20" s="104">
        <f t="shared" si="2"/>
        <v>0</v>
      </c>
      <c r="N20" s="59"/>
      <c r="O20" s="105">
        <f t="shared" si="3"/>
        <v>0</v>
      </c>
      <c r="P20" s="131">
        <f t="shared" si="4"/>
        <v>0</v>
      </c>
      <c r="Q20" s="134" t="str">
        <f t="shared" si="5"/>
        <v/>
      </c>
      <c r="R20" s="50"/>
      <c r="S20" s="60">
        <f t="shared" si="6"/>
        <v>12</v>
      </c>
      <c r="T20" s="61" t="str">
        <f t="shared" si="7"/>
        <v/>
      </c>
      <c r="U20" s="62" t="str">
        <f t="shared" si="8"/>
        <v/>
      </c>
      <c r="V20" s="63">
        <f t="shared" si="9"/>
        <v>0</v>
      </c>
      <c r="W20" s="64"/>
      <c r="X20" s="64"/>
      <c r="Y20" s="64"/>
      <c r="Z20" s="64"/>
      <c r="AA20" s="65"/>
      <c r="AB20" s="64"/>
      <c r="AC20" s="64"/>
      <c r="AD20" s="64"/>
      <c r="AE20" s="64"/>
      <c r="AF20" s="65"/>
      <c r="AG20" s="64"/>
      <c r="AH20" s="64"/>
      <c r="AI20" s="64"/>
      <c r="AJ20" s="64"/>
      <c r="AK20" s="65"/>
      <c r="AL20" s="64"/>
      <c r="AM20" s="64"/>
      <c r="AN20" s="64"/>
      <c r="AO20" s="64"/>
      <c r="AP20" s="65"/>
      <c r="AQ20" s="64"/>
      <c r="AR20" s="64"/>
      <c r="AS20" s="64"/>
      <c r="AT20" s="64"/>
      <c r="AU20" s="65"/>
      <c r="AV20" s="64"/>
      <c r="AW20" s="64"/>
      <c r="AX20" s="64"/>
      <c r="AY20" s="64"/>
      <c r="AZ20" s="65"/>
      <c r="BA20" s="64"/>
      <c r="BB20" s="64"/>
      <c r="BC20" s="64"/>
      <c r="BD20" s="64"/>
      <c r="BE20" s="65"/>
      <c r="BF20" s="64"/>
      <c r="BG20" s="64"/>
      <c r="BH20" s="64"/>
      <c r="BI20" s="64"/>
      <c r="BJ20" s="65"/>
      <c r="BK20" s="64"/>
      <c r="BL20" s="64"/>
      <c r="BM20" s="64"/>
      <c r="BN20" s="64"/>
      <c r="BO20" s="65"/>
      <c r="BP20" s="64"/>
      <c r="BQ20" s="64"/>
      <c r="BR20" s="64"/>
      <c r="BS20" s="64"/>
      <c r="BT20" s="65"/>
      <c r="BU20" s="64"/>
      <c r="BV20" s="64"/>
      <c r="BW20" s="64"/>
      <c r="BX20" s="64"/>
      <c r="BY20" s="65"/>
      <c r="BZ20" s="64"/>
      <c r="CA20" s="64"/>
      <c r="CB20" s="64"/>
      <c r="CC20" s="64"/>
      <c r="CD20" s="65"/>
      <c r="CE20" s="64"/>
      <c r="CF20" s="64"/>
      <c r="CG20" s="64"/>
      <c r="CH20" s="64"/>
      <c r="CI20" s="65"/>
      <c r="CJ20" s="64"/>
      <c r="CK20" s="64"/>
      <c r="CL20" s="64"/>
      <c r="CM20" s="64"/>
      <c r="CN20" s="65"/>
      <c r="CO20" s="64"/>
      <c r="CP20" s="64"/>
      <c r="CQ20" s="64"/>
      <c r="CR20" s="64"/>
      <c r="CS20" s="65"/>
      <c r="CT20" s="64"/>
      <c r="CU20" s="64"/>
      <c r="CV20" s="64"/>
      <c r="CW20" s="64"/>
      <c r="CX20" s="65"/>
      <c r="CY20" s="10"/>
    </row>
    <row r="21" spans="1:103" ht="15.75" hidden="1" x14ac:dyDescent="0.25">
      <c r="A21" s="141">
        <f t="shared" si="0"/>
        <v>12</v>
      </c>
      <c r="B21" s="194">
        <f t="shared" si="1"/>
        <v>0</v>
      </c>
      <c r="C21" s="66"/>
      <c r="D21" s="67"/>
      <c r="E21" s="58"/>
      <c r="F21" s="58"/>
      <c r="G21" s="115"/>
      <c r="H21" s="119"/>
      <c r="I21" s="58"/>
      <c r="J21" s="120"/>
      <c r="K21" s="58"/>
      <c r="L21" s="48"/>
      <c r="M21" s="104">
        <f t="shared" si="2"/>
        <v>0</v>
      </c>
      <c r="N21" s="59"/>
      <c r="O21" s="105">
        <f t="shared" si="3"/>
        <v>0</v>
      </c>
      <c r="P21" s="131">
        <f t="shared" si="4"/>
        <v>0</v>
      </c>
      <c r="Q21" s="134" t="str">
        <f t="shared" si="5"/>
        <v/>
      </c>
      <c r="R21" s="50"/>
      <c r="S21" s="60">
        <f t="shared" si="6"/>
        <v>12</v>
      </c>
      <c r="T21" s="61" t="str">
        <f t="shared" si="7"/>
        <v/>
      </c>
      <c r="U21" s="62" t="str">
        <f t="shared" si="8"/>
        <v/>
      </c>
      <c r="V21" s="63">
        <f t="shared" si="9"/>
        <v>0</v>
      </c>
      <c r="W21" s="64"/>
      <c r="X21" s="64"/>
      <c r="Y21" s="64"/>
      <c r="Z21" s="64"/>
      <c r="AA21" s="65"/>
      <c r="AB21" s="64"/>
      <c r="AC21" s="64"/>
      <c r="AD21" s="64"/>
      <c r="AE21" s="64"/>
      <c r="AF21" s="65"/>
      <c r="AG21" s="64"/>
      <c r="AH21" s="64"/>
      <c r="AI21" s="64"/>
      <c r="AJ21" s="64"/>
      <c r="AK21" s="65"/>
      <c r="AL21" s="64"/>
      <c r="AM21" s="64"/>
      <c r="AN21" s="64"/>
      <c r="AO21" s="64"/>
      <c r="AP21" s="65"/>
      <c r="AQ21" s="64"/>
      <c r="AR21" s="64"/>
      <c r="AS21" s="64"/>
      <c r="AT21" s="64"/>
      <c r="AU21" s="65"/>
      <c r="AV21" s="64"/>
      <c r="AW21" s="64"/>
      <c r="AX21" s="64"/>
      <c r="AY21" s="64"/>
      <c r="AZ21" s="65"/>
      <c r="BA21" s="64"/>
      <c r="BB21" s="64"/>
      <c r="BC21" s="64"/>
      <c r="BD21" s="64"/>
      <c r="BE21" s="65"/>
      <c r="BF21" s="64"/>
      <c r="BG21" s="64"/>
      <c r="BH21" s="64"/>
      <c r="BI21" s="64"/>
      <c r="BJ21" s="65"/>
      <c r="BK21" s="64"/>
      <c r="BL21" s="64"/>
      <c r="BM21" s="64"/>
      <c r="BN21" s="64"/>
      <c r="BO21" s="65"/>
      <c r="BP21" s="64"/>
      <c r="BQ21" s="64"/>
      <c r="BR21" s="64"/>
      <c r="BS21" s="64"/>
      <c r="BT21" s="65"/>
      <c r="BU21" s="64"/>
      <c r="BV21" s="64"/>
      <c r="BW21" s="64"/>
      <c r="BX21" s="64"/>
      <c r="BY21" s="65"/>
      <c r="BZ21" s="64"/>
      <c r="CA21" s="64"/>
      <c r="CB21" s="64"/>
      <c r="CC21" s="64"/>
      <c r="CD21" s="65"/>
      <c r="CE21" s="64"/>
      <c r="CF21" s="64"/>
      <c r="CG21" s="64"/>
      <c r="CH21" s="64"/>
      <c r="CI21" s="65"/>
      <c r="CJ21" s="64"/>
      <c r="CK21" s="64"/>
      <c r="CL21" s="64"/>
      <c r="CM21" s="64"/>
      <c r="CN21" s="65"/>
      <c r="CO21" s="64"/>
      <c r="CP21" s="64"/>
      <c r="CQ21" s="64"/>
      <c r="CR21" s="64"/>
      <c r="CS21" s="65"/>
      <c r="CT21" s="64"/>
      <c r="CU21" s="64"/>
      <c r="CV21" s="64"/>
      <c r="CW21" s="64"/>
      <c r="CX21" s="65"/>
      <c r="CY21" s="10"/>
    </row>
    <row r="22" spans="1:103" ht="15.75" hidden="1" x14ac:dyDescent="0.25">
      <c r="A22" s="141">
        <f t="shared" si="0"/>
        <v>12</v>
      </c>
      <c r="B22" s="194">
        <f t="shared" si="1"/>
        <v>0</v>
      </c>
      <c r="C22" s="66"/>
      <c r="D22" s="67"/>
      <c r="E22" s="58"/>
      <c r="F22" s="58"/>
      <c r="G22" s="115"/>
      <c r="H22" s="119"/>
      <c r="I22" s="58"/>
      <c r="J22" s="120"/>
      <c r="K22" s="58"/>
      <c r="L22" s="48"/>
      <c r="M22" s="104">
        <f t="shared" si="2"/>
        <v>0</v>
      </c>
      <c r="N22" s="59"/>
      <c r="O22" s="105">
        <f t="shared" si="3"/>
        <v>0</v>
      </c>
      <c r="P22" s="131">
        <f t="shared" si="4"/>
        <v>0</v>
      </c>
      <c r="Q22" s="134" t="str">
        <f t="shared" si="5"/>
        <v/>
      </c>
      <c r="R22" s="50"/>
      <c r="S22" s="60">
        <f t="shared" si="6"/>
        <v>12</v>
      </c>
      <c r="T22" s="61" t="str">
        <f t="shared" si="7"/>
        <v/>
      </c>
      <c r="U22" s="62" t="str">
        <f t="shared" si="8"/>
        <v/>
      </c>
      <c r="V22" s="63">
        <f t="shared" si="9"/>
        <v>0</v>
      </c>
      <c r="W22" s="64"/>
      <c r="X22" s="64"/>
      <c r="Y22" s="64"/>
      <c r="Z22" s="64"/>
      <c r="AA22" s="65"/>
      <c r="AB22" s="64"/>
      <c r="AC22" s="64"/>
      <c r="AD22" s="64"/>
      <c r="AE22" s="64"/>
      <c r="AF22" s="65"/>
      <c r="AG22" s="64"/>
      <c r="AH22" s="64"/>
      <c r="AI22" s="64"/>
      <c r="AJ22" s="64"/>
      <c r="AK22" s="65"/>
      <c r="AL22" s="64"/>
      <c r="AM22" s="64"/>
      <c r="AN22" s="64"/>
      <c r="AO22" s="64"/>
      <c r="AP22" s="65"/>
      <c r="AQ22" s="64"/>
      <c r="AR22" s="64"/>
      <c r="AS22" s="64"/>
      <c r="AT22" s="64"/>
      <c r="AU22" s="65"/>
      <c r="AV22" s="64"/>
      <c r="AW22" s="64"/>
      <c r="AX22" s="64"/>
      <c r="AY22" s="64"/>
      <c r="AZ22" s="65"/>
      <c r="BA22" s="64"/>
      <c r="BB22" s="64"/>
      <c r="BC22" s="64"/>
      <c r="BD22" s="64"/>
      <c r="BE22" s="65"/>
      <c r="BF22" s="64"/>
      <c r="BG22" s="64"/>
      <c r="BH22" s="64"/>
      <c r="BI22" s="64"/>
      <c r="BJ22" s="65"/>
      <c r="BK22" s="64"/>
      <c r="BL22" s="64"/>
      <c r="BM22" s="64"/>
      <c r="BN22" s="64"/>
      <c r="BO22" s="65"/>
      <c r="BP22" s="64"/>
      <c r="BQ22" s="64"/>
      <c r="BR22" s="64"/>
      <c r="BS22" s="64"/>
      <c r="BT22" s="65"/>
      <c r="BU22" s="64"/>
      <c r="BV22" s="64"/>
      <c r="BW22" s="64"/>
      <c r="BX22" s="64"/>
      <c r="BY22" s="65"/>
      <c r="BZ22" s="64"/>
      <c r="CA22" s="64"/>
      <c r="CB22" s="64"/>
      <c r="CC22" s="64"/>
      <c r="CD22" s="65"/>
      <c r="CE22" s="64"/>
      <c r="CF22" s="64"/>
      <c r="CG22" s="64"/>
      <c r="CH22" s="64"/>
      <c r="CI22" s="65"/>
      <c r="CJ22" s="64"/>
      <c r="CK22" s="64"/>
      <c r="CL22" s="64"/>
      <c r="CM22" s="64"/>
      <c r="CN22" s="65"/>
      <c r="CO22" s="64"/>
      <c r="CP22" s="64"/>
      <c r="CQ22" s="64"/>
      <c r="CR22" s="64"/>
      <c r="CS22" s="65"/>
      <c r="CT22" s="64"/>
      <c r="CU22" s="64"/>
      <c r="CV22" s="64"/>
      <c r="CW22" s="64"/>
      <c r="CX22" s="65"/>
      <c r="CY22" s="10"/>
    </row>
    <row r="23" spans="1:103" ht="15.75" hidden="1" x14ac:dyDescent="0.25">
      <c r="A23" s="141">
        <f t="shared" si="0"/>
        <v>12</v>
      </c>
      <c r="B23" s="194">
        <f t="shared" si="1"/>
        <v>0</v>
      </c>
      <c r="C23" s="66"/>
      <c r="D23" s="67"/>
      <c r="E23" s="58"/>
      <c r="F23" s="58"/>
      <c r="G23" s="115"/>
      <c r="H23" s="119"/>
      <c r="I23" s="58"/>
      <c r="J23" s="120"/>
      <c r="K23" s="58"/>
      <c r="L23" s="48"/>
      <c r="M23" s="104">
        <f t="shared" si="2"/>
        <v>0</v>
      </c>
      <c r="N23" s="59"/>
      <c r="O23" s="105">
        <f t="shared" si="3"/>
        <v>0</v>
      </c>
      <c r="P23" s="131">
        <f t="shared" si="4"/>
        <v>0</v>
      </c>
      <c r="Q23" s="134" t="str">
        <f t="shared" si="5"/>
        <v/>
      </c>
      <c r="R23" s="50"/>
      <c r="S23" s="60">
        <f t="shared" si="6"/>
        <v>12</v>
      </c>
      <c r="T23" s="61" t="str">
        <f t="shared" si="7"/>
        <v/>
      </c>
      <c r="U23" s="62" t="str">
        <f t="shared" si="8"/>
        <v/>
      </c>
      <c r="V23" s="63">
        <f t="shared" si="9"/>
        <v>0</v>
      </c>
      <c r="W23" s="64"/>
      <c r="X23" s="64"/>
      <c r="Y23" s="64"/>
      <c r="Z23" s="64"/>
      <c r="AA23" s="65"/>
      <c r="AB23" s="64"/>
      <c r="AC23" s="64"/>
      <c r="AD23" s="64"/>
      <c r="AE23" s="64"/>
      <c r="AF23" s="65"/>
      <c r="AG23" s="64"/>
      <c r="AH23" s="64"/>
      <c r="AI23" s="64"/>
      <c r="AJ23" s="64"/>
      <c r="AK23" s="65"/>
      <c r="AL23" s="64"/>
      <c r="AM23" s="64"/>
      <c r="AN23" s="64"/>
      <c r="AO23" s="64"/>
      <c r="AP23" s="65"/>
      <c r="AQ23" s="64"/>
      <c r="AR23" s="64"/>
      <c r="AS23" s="64"/>
      <c r="AT23" s="64"/>
      <c r="AU23" s="65"/>
      <c r="AV23" s="64"/>
      <c r="AW23" s="64"/>
      <c r="AX23" s="64"/>
      <c r="AY23" s="64"/>
      <c r="AZ23" s="65"/>
      <c r="BA23" s="64"/>
      <c r="BB23" s="64"/>
      <c r="BC23" s="64"/>
      <c r="BD23" s="64"/>
      <c r="BE23" s="65"/>
      <c r="BF23" s="64"/>
      <c r="BG23" s="64"/>
      <c r="BH23" s="64"/>
      <c r="BI23" s="64"/>
      <c r="BJ23" s="65"/>
      <c r="BK23" s="64"/>
      <c r="BL23" s="64"/>
      <c r="BM23" s="64"/>
      <c r="BN23" s="64"/>
      <c r="BO23" s="65"/>
      <c r="BP23" s="64"/>
      <c r="BQ23" s="64"/>
      <c r="BR23" s="64"/>
      <c r="BS23" s="64"/>
      <c r="BT23" s="65"/>
      <c r="BU23" s="64"/>
      <c r="BV23" s="64"/>
      <c r="BW23" s="64"/>
      <c r="BX23" s="64"/>
      <c r="BY23" s="65"/>
      <c r="BZ23" s="64"/>
      <c r="CA23" s="64"/>
      <c r="CB23" s="64"/>
      <c r="CC23" s="64"/>
      <c r="CD23" s="65"/>
      <c r="CE23" s="64"/>
      <c r="CF23" s="64"/>
      <c r="CG23" s="64"/>
      <c r="CH23" s="64"/>
      <c r="CI23" s="65"/>
      <c r="CJ23" s="64"/>
      <c r="CK23" s="64"/>
      <c r="CL23" s="64"/>
      <c r="CM23" s="64"/>
      <c r="CN23" s="65"/>
      <c r="CO23" s="64"/>
      <c r="CP23" s="64"/>
      <c r="CQ23" s="64"/>
      <c r="CR23" s="64"/>
      <c r="CS23" s="65"/>
      <c r="CT23" s="64"/>
      <c r="CU23" s="64"/>
      <c r="CV23" s="64"/>
      <c r="CW23" s="64"/>
      <c r="CX23" s="65"/>
      <c r="CY23" s="10"/>
    </row>
    <row r="24" spans="1:103" ht="15.75" hidden="1" x14ac:dyDescent="0.25">
      <c r="A24" s="141">
        <f t="shared" si="0"/>
        <v>12</v>
      </c>
      <c r="B24" s="194">
        <f t="shared" si="1"/>
        <v>0</v>
      </c>
      <c r="C24" s="66"/>
      <c r="D24" s="67"/>
      <c r="E24" s="58"/>
      <c r="F24" s="58"/>
      <c r="G24" s="115"/>
      <c r="H24" s="119"/>
      <c r="I24" s="58"/>
      <c r="J24" s="120"/>
      <c r="K24" s="58"/>
      <c r="L24" s="48"/>
      <c r="M24" s="104">
        <f t="shared" si="2"/>
        <v>0</v>
      </c>
      <c r="N24" s="59"/>
      <c r="O24" s="105">
        <f t="shared" si="3"/>
        <v>0</v>
      </c>
      <c r="P24" s="131">
        <f t="shared" si="4"/>
        <v>0</v>
      </c>
      <c r="Q24" s="134" t="str">
        <f t="shared" si="5"/>
        <v/>
      </c>
      <c r="R24" s="50"/>
      <c r="S24" s="60">
        <f t="shared" si="6"/>
        <v>12</v>
      </c>
      <c r="T24" s="61" t="str">
        <f t="shared" si="7"/>
        <v/>
      </c>
      <c r="U24" s="62" t="str">
        <f t="shared" si="8"/>
        <v/>
      </c>
      <c r="V24" s="63">
        <f t="shared" si="9"/>
        <v>0</v>
      </c>
      <c r="W24" s="64"/>
      <c r="X24" s="64"/>
      <c r="Y24" s="64"/>
      <c r="Z24" s="64"/>
      <c r="AA24" s="65"/>
      <c r="AB24" s="64"/>
      <c r="AC24" s="64"/>
      <c r="AD24" s="64"/>
      <c r="AE24" s="64"/>
      <c r="AF24" s="65"/>
      <c r="AG24" s="64"/>
      <c r="AH24" s="64"/>
      <c r="AI24" s="64"/>
      <c r="AJ24" s="64"/>
      <c r="AK24" s="65"/>
      <c r="AL24" s="64"/>
      <c r="AM24" s="64"/>
      <c r="AN24" s="64"/>
      <c r="AO24" s="64"/>
      <c r="AP24" s="65"/>
      <c r="AQ24" s="64"/>
      <c r="AR24" s="64"/>
      <c r="AS24" s="64"/>
      <c r="AT24" s="64"/>
      <c r="AU24" s="65"/>
      <c r="AV24" s="64"/>
      <c r="AW24" s="64"/>
      <c r="AX24" s="64"/>
      <c r="AY24" s="64"/>
      <c r="AZ24" s="65"/>
      <c r="BA24" s="64"/>
      <c r="BB24" s="64"/>
      <c r="BC24" s="64"/>
      <c r="BD24" s="64"/>
      <c r="BE24" s="65"/>
      <c r="BF24" s="64"/>
      <c r="BG24" s="64"/>
      <c r="BH24" s="64"/>
      <c r="BI24" s="64"/>
      <c r="BJ24" s="65"/>
      <c r="BK24" s="64"/>
      <c r="BL24" s="64"/>
      <c r="BM24" s="64"/>
      <c r="BN24" s="64"/>
      <c r="BO24" s="65"/>
      <c r="BP24" s="64"/>
      <c r="BQ24" s="64"/>
      <c r="BR24" s="64"/>
      <c r="BS24" s="64"/>
      <c r="BT24" s="65"/>
      <c r="BU24" s="64"/>
      <c r="BV24" s="64"/>
      <c r="BW24" s="64"/>
      <c r="BX24" s="64"/>
      <c r="BY24" s="65"/>
      <c r="BZ24" s="64"/>
      <c r="CA24" s="64"/>
      <c r="CB24" s="64"/>
      <c r="CC24" s="64"/>
      <c r="CD24" s="65"/>
      <c r="CE24" s="64"/>
      <c r="CF24" s="64"/>
      <c r="CG24" s="64"/>
      <c r="CH24" s="64"/>
      <c r="CI24" s="65"/>
      <c r="CJ24" s="64"/>
      <c r="CK24" s="64"/>
      <c r="CL24" s="64"/>
      <c r="CM24" s="64"/>
      <c r="CN24" s="65"/>
      <c r="CO24" s="64"/>
      <c r="CP24" s="64"/>
      <c r="CQ24" s="64"/>
      <c r="CR24" s="64"/>
      <c r="CS24" s="65"/>
      <c r="CT24" s="64"/>
      <c r="CU24" s="64"/>
      <c r="CV24" s="64"/>
      <c r="CW24" s="64"/>
      <c r="CX24" s="65"/>
      <c r="CY24" s="10"/>
    </row>
    <row r="25" spans="1:103" ht="15.75" hidden="1" x14ac:dyDescent="0.25">
      <c r="A25" s="141">
        <f t="shared" si="0"/>
        <v>12</v>
      </c>
      <c r="B25" s="194">
        <f t="shared" si="1"/>
        <v>0</v>
      </c>
      <c r="C25" s="66"/>
      <c r="D25" s="67"/>
      <c r="E25" s="58"/>
      <c r="F25" s="58"/>
      <c r="G25" s="115"/>
      <c r="H25" s="119"/>
      <c r="I25" s="58"/>
      <c r="J25" s="120"/>
      <c r="K25" s="58"/>
      <c r="L25" s="48"/>
      <c r="M25" s="104">
        <f t="shared" si="2"/>
        <v>0</v>
      </c>
      <c r="N25" s="59"/>
      <c r="O25" s="105">
        <f t="shared" si="3"/>
        <v>0</v>
      </c>
      <c r="P25" s="131">
        <f t="shared" si="4"/>
        <v>0</v>
      </c>
      <c r="Q25" s="134" t="str">
        <f t="shared" si="5"/>
        <v/>
      </c>
      <c r="R25" s="50"/>
      <c r="S25" s="60">
        <f t="shared" si="6"/>
        <v>12</v>
      </c>
      <c r="T25" s="61" t="str">
        <f t="shared" si="7"/>
        <v/>
      </c>
      <c r="U25" s="62" t="str">
        <f t="shared" si="8"/>
        <v/>
      </c>
      <c r="V25" s="63">
        <f t="shared" si="9"/>
        <v>0</v>
      </c>
      <c r="W25" s="64"/>
      <c r="X25" s="64"/>
      <c r="Y25" s="64"/>
      <c r="Z25" s="64"/>
      <c r="AA25" s="65"/>
      <c r="AB25" s="64"/>
      <c r="AC25" s="64"/>
      <c r="AD25" s="64"/>
      <c r="AE25" s="64"/>
      <c r="AF25" s="65"/>
      <c r="AG25" s="64"/>
      <c r="AH25" s="64"/>
      <c r="AI25" s="64"/>
      <c r="AJ25" s="64"/>
      <c r="AK25" s="65"/>
      <c r="AL25" s="64"/>
      <c r="AM25" s="64"/>
      <c r="AN25" s="64"/>
      <c r="AO25" s="64"/>
      <c r="AP25" s="65"/>
      <c r="AQ25" s="64"/>
      <c r="AR25" s="64"/>
      <c r="AS25" s="64"/>
      <c r="AT25" s="64"/>
      <c r="AU25" s="65"/>
      <c r="AV25" s="64"/>
      <c r="AW25" s="64"/>
      <c r="AX25" s="64"/>
      <c r="AY25" s="64"/>
      <c r="AZ25" s="65"/>
      <c r="BA25" s="64"/>
      <c r="BB25" s="64"/>
      <c r="BC25" s="64"/>
      <c r="BD25" s="64"/>
      <c r="BE25" s="65"/>
      <c r="BF25" s="64"/>
      <c r="BG25" s="64"/>
      <c r="BH25" s="64"/>
      <c r="BI25" s="64"/>
      <c r="BJ25" s="65"/>
      <c r="BK25" s="64"/>
      <c r="BL25" s="64"/>
      <c r="BM25" s="64"/>
      <c r="BN25" s="64"/>
      <c r="BO25" s="65"/>
      <c r="BP25" s="64"/>
      <c r="BQ25" s="64"/>
      <c r="BR25" s="64"/>
      <c r="BS25" s="64"/>
      <c r="BT25" s="65"/>
      <c r="BU25" s="64"/>
      <c r="BV25" s="64"/>
      <c r="BW25" s="64"/>
      <c r="BX25" s="64"/>
      <c r="BY25" s="65"/>
      <c r="BZ25" s="64"/>
      <c r="CA25" s="64"/>
      <c r="CB25" s="64"/>
      <c r="CC25" s="64"/>
      <c r="CD25" s="65"/>
      <c r="CE25" s="64"/>
      <c r="CF25" s="64"/>
      <c r="CG25" s="64"/>
      <c r="CH25" s="64"/>
      <c r="CI25" s="65"/>
      <c r="CJ25" s="64"/>
      <c r="CK25" s="64"/>
      <c r="CL25" s="64"/>
      <c r="CM25" s="64"/>
      <c r="CN25" s="65"/>
      <c r="CO25" s="64"/>
      <c r="CP25" s="64"/>
      <c r="CQ25" s="64"/>
      <c r="CR25" s="64"/>
      <c r="CS25" s="65"/>
      <c r="CT25" s="64"/>
      <c r="CU25" s="64"/>
      <c r="CV25" s="64"/>
      <c r="CW25" s="64"/>
      <c r="CX25" s="65"/>
      <c r="CY25" s="10"/>
    </row>
    <row r="26" spans="1:103" ht="15.75" hidden="1" x14ac:dyDescent="0.25">
      <c r="A26" s="141">
        <f t="shared" si="0"/>
        <v>12</v>
      </c>
      <c r="B26" s="194">
        <f t="shared" si="1"/>
        <v>0</v>
      </c>
      <c r="C26" s="66"/>
      <c r="D26" s="67"/>
      <c r="E26" s="58"/>
      <c r="F26" s="58"/>
      <c r="G26" s="115"/>
      <c r="H26" s="119"/>
      <c r="I26" s="58"/>
      <c r="J26" s="120"/>
      <c r="K26" s="58"/>
      <c r="L26" s="48"/>
      <c r="M26" s="104">
        <f t="shared" si="2"/>
        <v>0</v>
      </c>
      <c r="N26" s="59"/>
      <c r="O26" s="105">
        <f t="shared" si="3"/>
        <v>0</v>
      </c>
      <c r="P26" s="131">
        <f t="shared" si="4"/>
        <v>0</v>
      </c>
      <c r="Q26" s="134" t="str">
        <f t="shared" si="5"/>
        <v/>
      </c>
      <c r="R26" s="50"/>
      <c r="S26" s="60">
        <f t="shared" si="6"/>
        <v>12</v>
      </c>
      <c r="T26" s="61" t="str">
        <f t="shared" si="7"/>
        <v/>
      </c>
      <c r="U26" s="62" t="str">
        <f t="shared" si="8"/>
        <v/>
      </c>
      <c r="V26" s="63">
        <f t="shared" si="9"/>
        <v>0</v>
      </c>
      <c r="W26" s="64"/>
      <c r="X26" s="64"/>
      <c r="Y26" s="64"/>
      <c r="Z26" s="64"/>
      <c r="AA26" s="65"/>
      <c r="AB26" s="64"/>
      <c r="AC26" s="64"/>
      <c r="AD26" s="64"/>
      <c r="AE26" s="64"/>
      <c r="AF26" s="65"/>
      <c r="AG26" s="64"/>
      <c r="AH26" s="64"/>
      <c r="AI26" s="64"/>
      <c r="AJ26" s="64"/>
      <c r="AK26" s="65"/>
      <c r="AL26" s="64"/>
      <c r="AM26" s="64"/>
      <c r="AN26" s="64"/>
      <c r="AO26" s="64"/>
      <c r="AP26" s="65"/>
      <c r="AQ26" s="64"/>
      <c r="AR26" s="64"/>
      <c r="AS26" s="64"/>
      <c r="AT26" s="64"/>
      <c r="AU26" s="65"/>
      <c r="AV26" s="64"/>
      <c r="AW26" s="64"/>
      <c r="AX26" s="64"/>
      <c r="AY26" s="64"/>
      <c r="AZ26" s="65"/>
      <c r="BA26" s="64"/>
      <c r="BB26" s="64"/>
      <c r="BC26" s="64"/>
      <c r="BD26" s="64"/>
      <c r="BE26" s="65"/>
      <c r="BF26" s="64"/>
      <c r="BG26" s="64"/>
      <c r="BH26" s="64"/>
      <c r="BI26" s="64"/>
      <c r="BJ26" s="65"/>
      <c r="BK26" s="64"/>
      <c r="BL26" s="64"/>
      <c r="BM26" s="64"/>
      <c r="BN26" s="64"/>
      <c r="BO26" s="65"/>
      <c r="BP26" s="64"/>
      <c r="BQ26" s="64"/>
      <c r="BR26" s="64"/>
      <c r="BS26" s="64"/>
      <c r="BT26" s="65"/>
      <c r="BU26" s="64"/>
      <c r="BV26" s="64"/>
      <c r="BW26" s="64"/>
      <c r="BX26" s="64"/>
      <c r="BY26" s="65"/>
      <c r="BZ26" s="64"/>
      <c r="CA26" s="64"/>
      <c r="CB26" s="64"/>
      <c r="CC26" s="64"/>
      <c r="CD26" s="65"/>
      <c r="CE26" s="64"/>
      <c r="CF26" s="64"/>
      <c r="CG26" s="64"/>
      <c r="CH26" s="64"/>
      <c r="CI26" s="65"/>
      <c r="CJ26" s="64"/>
      <c r="CK26" s="64"/>
      <c r="CL26" s="64"/>
      <c r="CM26" s="64"/>
      <c r="CN26" s="65"/>
      <c r="CO26" s="64"/>
      <c r="CP26" s="64"/>
      <c r="CQ26" s="64"/>
      <c r="CR26" s="64"/>
      <c r="CS26" s="65"/>
      <c r="CT26" s="64"/>
      <c r="CU26" s="64"/>
      <c r="CV26" s="64"/>
      <c r="CW26" s="64"/>
      <c r="CX26" s="65"/>
      <c r="CY26" s="10"/>
    </row>
    <row r="27" spans="1:103" ht="15.75" hidden="1" x14ac:dyDescent="0.25">
      <c r="A27" s="141">
        <f t="shared" si="0"/>
        <v>12</v>
      </c>
      <c r="B27" s="194">
        <f t="shared" si="1"/>
        <v>0</v>
      </c>
      <c r="C27" s="66"/>
      <c r="D27" s="67"/>
      <c r="E27" s="58"/>
      <c r="F27" s="58"/>
      <c r="G27" s="115"/>
      <c r="H27" s="119"/>
      <c r="I27" s="58"/>
      <c r="J27" s="120"/>
      <c r="K27" s="58"/>
      <c r="L27" s="48"/>
      <c r="M27" s="104">
        <f t="shared" si="2"/>
        <v>0</v>
      </c>
      <c r="N27" s="59"/>
      <c r="O27" s="105">
        <f t="shared" si="3"/>
        <v>0</v>
      </c>
      <c r="P27" s="131">
        <f t="shared" si="4"/>
        <v>0</v>
      </c>
      <c r="Q27" s="134" t="str">
        <f t="shared" si="5"/>
        <v/>
      </c>
      <c r="R27" s="50"/>
      <c r="S27" s="60">
        <f t="shared" si="6"/>
        <v>12</v>
      </c>
      <c r="T27" s="61" t="str">
        <f t="shared" si="7"/>
        <v/>
      </c>
      <c r="U27" s="62" t="str">
        <f t="shared" si="8"/>
        <v/>
      </c>
      <c r="V27" s="63">
        <f t="shared" si="9"/>
        <v>0</v>
      </c>
      <c r="W27" s="64"/>
      <c r="X27" s="64"/>
      <c r="Y27" s="64"/>
      <c r="Z27" s="64"/>
      <c r="AA27" s="65"/>
      <c r="AB27" s="64"/>
      <c r="AC27" s="64"/>
      <c r="AD27" s="64"/>
      <c r="AE27" s="64"/>
      <c r="AF27" s="65"/>
      <c r="AG27" s="64"/>
      <c r="AH27" s="64"/>
      <c r="AI27" s="64"/>
      <c r="AJ27" s="64"/>
      <c r="AK27" s="65"/>
      <c r="AL27" s="64"/>
      <c r="AM27" s="64"/>
      <c r="AN27" s="64"/>
      <c r="AO27" s="64"/>
      <c r="AP27" s="65"/>
      <c r="AQ27" s="64"/>
      <c r="AR27" s="64"/>
      <c r="AS27" s="64"/>
      <c r="AT27" s="64"/>
      <c r="AU27" s="65"/>
      <c r="AV27" s="64"/>
      <c r="AW27" s="64"/>
      <c r="AX27" s="64"/>
      <c r="AY27" s="64"/>
      <c r="AZ27" s="65"/>
      <c r="BA27" s="64"/>
      <c r="BB27" s="64"/>
      <c r="BC27" s="64"/>
      <c r="BD27" s="64"/>
      <c r="BE27" s="65"/>
      <c r="BF27" s="64"/>
      <c r="BG27" s="64"/>
      <c r="BH27" s="64"/>
      <c r="BI27" s="64"/>
      <c r="BJ27" s="65"/>
      <c r="BK27" s="64"/>
      <c r="BL27" s="64"/>
      <c r="BM27" s="64"/>
      <c r="BN27" s="64"/>
      <c r="BO27" s="65"/>
      <c r="BP27" s="64"/>
      <c r="BQ27" s="64"/>
      <c r="BR27" s="64"/>
      <c r="BS27" s="64"/>
      <c r="BT27" s="65"/>
      <c r="BU27" s="64"/>
      <c r="BV27" s="64"/>
      <c r="BW27" s="64"/>
      <c r="BX27" s="64"/>
      <c r="BY27" s="65"/>
      <c r="BZ27" s="64"/>
      <c r="CA27" s="64"/>
      <c r="CB27" s="64"/>
      <c r="CC27" s="64"/>
      <c r="CD27" s="65"/>
      <c r="CE27" s="64"/>
      <c r="CF27" s="64"/>
      <c r="CG27" s="64"/>
      <c r="CH27" s="64"/>
      <c r="CI27" s="65"/>
      <c r="CJ27" s="64"/>
      <c r="CK27" s="64"/>
      <c r="CL27" s="64"/>
      <c r="CM27" s="64"/>
      <c r="CN27" s="65"/>
      <c r="CO27" s="64"/>
      <c r="CP27" s="64"/>
      <c r="CQ27" s="64"/>
      <c r="CR27" s="64"/>
      <c r="CS27" s="65"/>
      <c r="CT27" s="64"/>
      <c r="CU27" s="64"/>
      <c r="CV27" s="64"/>
      <c r="CW27" s="64"/>
      <c r="CX27" s="65"/>
      <c r="CY27" s="10"/>
    </row>
    <row r="28" spans="1:103" ht="15.75" hidden="1" x14ac:dyDescent="0.25">
      <c r="A28" s="141">
        <f t="shared" si="0"/>
        <v>12</v>
      </c>
      <c r="B28" s="194">
        <f t="shared" si="1"/>
        <v>0</v>
      </c>
      <c r="C28" s="66"/>
      <c r="D28" s="67"/>
      <c r="E28" s="58"/>
      <c r="F28" s="58"/>
      <c r="G28" s="115"/>
      <c r="H28" s="119"/>
      <c r="I28" s="58"/>
      <c r="J28" s="120"/>
      <c r="K28" s="58"/>
      <c r="L28" s="48"/>
      <c r="M28" s="104">
        <f t="shared" si="2"/>
        <v>0</v>
      </c>
      <c r="N28" s="59"/>
      <c r="O28" s="105">
        <f t="shared" si="3"/>
        <v>0</v>
      </c>
      <c r="P28" s="131">
        <f t="shared" si="4"/>
        <v>0</v>
      </c>
      <c r="Q28" s="134" t="str">
        <f t="shared" si="5"/>
        <v/>
      </c>
      <c r="R28" s="50"/>
      <c r="S28" s="60">
        <f t="shared" si="6"/>
        <v>12</v>
      </c>
      <c r="T28" s="61" t="str">
        <f t="shared" si="7"/>
        <v/>
      </c>
      <c r="U28" s="62" t="str">
        <f t="shared" si="8"/>
        <v/>
      </c>
      <c r="V28" s="63">
        <f t="shared" si="9"/>
        <v>0</v>
      </c>
      <c r="W28" s="64"/>
      <c r="X28" s="64"/>
      <c r="Y28" s="64"/>
      <c r="Z28" s="64"/>
      <c r="AA28" s="65"/>
      <c r="AB28" s="64"/>
      <c r="AC28" s="64"/>
      <c r="AD28" s="64"/>
      <c r="AE28" s="64"/>
      <c r="AF28" s="65"/>
      <c r="AG28" s="64"/>
      <c r="AH28" s="64"/>
      <c r="AI28" s="64"/>
      <c r="AJ28" s="64"/>
      <c r="AK28" s="65"/>
      <c r="AL28" s="64"/>
      <c r="AM28" s="64"/>
      <c r="AN28" s="64"/>
      <c r="AO28" s="64"/>
      <c r="AP28" s="65"/>
      <c r="AQ28" s="64"/>
      <c r="AR28" s="64"/>
      <c r="AS28" s="64"/>
      <c r="AT28" s="64"/>
      <c r="AU28" s="65"/>
      <c r="AV28" s="64"/>
      <c r="AW28" s="64"/>
      <c r="AX28" s="64"/>
      <c r="AY28" s="64"/>
      <c r="AZ28" s="65"/>
      <c r="BA28" s="64"/>
      <c r="BB28" s="64"/>
      <c r="BC28" s="64"/>
      <c r="BD28" s="64"/>
      <c r="BE28" s="65"/>
      <c r="BF28" s="64"/>
      <c r="BG28" s="64"/>
      <c r="BH28" s="64"/>
      <c r="BI28" s="64"/>
      <c r="BJ28" s="65"/>
      <c r="BK28" s="64"/>
      <c r="BL28" s="64"/>
      <c r="BM28" s="64"/>
      <c r="BN28" s="64"/>
      <c r="BO28" s="65"/>
      <c r="BP28" s="64"/>
      <c r="BQ28" s="64"/>
      <c r="BR28" s="64"/>
      <c r="BS28" s="64"/>
      <c r="BT28" s="65"/>
      <c r="BU28" s="64"/>
      <c r="BV28" s="64"/>
      <c r="BW28" s="64"/>
      <c r="BX28" s="64"/>
      <c r="BY28" s="65"/>
      <c r="BZ28" s="64"/>
      <c r="CA28" s="64"/>
      <c r="CB28" s="64"/>
      <c r="CC28" s="64"/>
      <c r="CD28" s="65"/>
      <c r="CE28" s="64"/>
      <c r="CF28" s="64"/>
      <c r="CG28" s="64"/>
      <c r="CH28" s="64"/>
      <c r="CI28" s="65"/>
      <c r="CJ28" s="64"/>
      <c r="CK28" s="64"/>
      <c r="CL28" s="64"/>
      <c r="CM28" s="64"/>
      <c r="CN28" s="65"/>
      <c r="CO28" s="64"/>
      <c r="CP28" s="64"/>
      <c r="CQ28" s="64"/>
      <c r="CR28" s="64"/>
      <c r="CS28" s="65"/>
      <c r="CT28" s="64"/>
      <c r="CU28" s="64"/>
      <c r="CV28" s="64"/>
      <c r="CW28" s="64"/>
      <c r="CX28" s="65"/>
      <c r="CY28" s="10"/>
    </row>
    <row r="29" spans="1:103" ht="15.75" hidden="1" x14ac:dyDescent="0.25">
      <c r="A29" s="141">
        <f t="shared" si="0"/>
        <v>12</v>
      </c>
      <c r="B29" s="194">
        <f t="shared" si="1"/>
        <v>0</v>
      </c>
      <c r="C29" s="66"/>
      <c r="D29" s="67"/>
      <c r="E29" s="58"/>
      <c r="F29" s="58"/>
      <c r="G29" s="115"/>
      <c r="H29" s="119"/>
      <c r="I29" s="58"/>
      <c r="J29" s="120"/>
      <c r="K29" s="58"/>
      <c r="L29" s="48"/>
      <c r="M29" s="104">
        <f t="shared" si="2"/>
        <v>0</v>
      </c>
      <c r="N29" s="59"/>
      <c r="O29" s="105">
        <f t="shared" si="3"/>
        <v>0</v>
      </c>
      <c r="P29" s="131">
        <f t="shared" si="4"/>
        <v>0</v>
      </c>
      <c r="Q29" s="134" t="str">
        <f t="shared" si="5"/>
        <v/>
      </c>
      <c r="R29" s="50"/>
      <c r="S29" s="60">
        <f t="shared" si="6"/>
        <v>12</v>
      </c>
      <c r="T29" s="61" t="str">
        <f t="shared" si="7"/>
        <v/>
      </c>
      <c r="U29" s="62" t="str">
        <f t="shared" si="8"/>
        <v/>
      </c>
      <c r="V29" s="63">
        <f t="shared" si="9"/>
        <v>0</v>
      </c>
      <c r="W29" s="64"/>
      <c r="X29" s="64"/>
      <c r="Y29" s="64"/>
      <c r="Z29" s="64"/>
      <c r="AA29" s="65"/>
      <c r="AB29" s="64"/>
      <c r="AC29" s="64"/>
      <c r="AD29" s="64"/>
      <c r="AE29" s="64"/>
      <c r="AF29" s="65"/>
      <c r="AG29" s="64"/>
      <c r="AH29" s="64"/>
      <c r="AI29" s="64"/>
      <c r="AJ29" s="64"/>
      <c r="AK29" s="65"/>
      <c r="AL29" s="64"/>
      <c r="AM29" s="64"/>
      <c r="AN29" s="64"/>
      <c r="AO29" s="64"/>
      <c r="AP29" s="65"/>
      <c r="AQ29" s="64"/>
      <c r="AR29" s="64"/>
      <c r="AS29" s="64"/>
      <c r="AT29" s="64"/>
      <c r="AU29" s="65"/>
      <c r="AV29" s="64"/>
      <c r="AW29" s="64"/>
      <c r="AX29" s="64"/>
      <c r="AY29" s="64"/>
      <c r="AZ29" s="65"/>
      <c r="BA29" s="64"/>
      <c r="BB29" s="64"/>
      <c r="BC29" s="64"/>
      <c r="BD29" s="64"/>
      <c r="BE29" s="65"/>
      <c r="BF29" s="64"/>
      <c r="BG29" s="64"/>
      <c r="BH29" s="64"/>
      <c r="BI29" s="64"/>
      <c r="BJ29" s="65"/>
      <c r="BK29" s="64"/>
      <c r="BL29" s="64"/>
      <c r="BM29" s="64"/>
      <c r="BN29" s="64"/>
      <c r="BO29" s="65"/>
      <c r="BP29" s="64"/>
      <c r="BQ29" s="64"/>
      <c r="BR29" s="64"/>
      <c r="BS29" s="64"/>
      <c r="BT29" s="65"/>
      <c r="BU29" s="64"/>
      <c r="BV29" s="64"/>
      <c r="BW29" s="64"/>
      <c r="BX29" s="64"/>
      <c r="BY29" s="65"/>
      <c r="BZ29" s="64"/>
      <c r="CA29" s="64"/>
      <c r="CB29" s="64"/>
      <c r="CC29" s="64"/>
      <c r="CD29" s="65"/>
      <c r="CE29" s="64"/>
      <c r="CF29" s="64"/>
      <c r="CG29" s="64"/>
      <c r="CH29" s="64"/>
      <c r="CI29" s="65"/>
      <c r="CJ29" s="64"/>
      <c r="CK29" s="64"/>
      <c r="CL29" s="64"/>
      <c r="CM29" s="64"/>
      <c r="CN29" s="65"/>
      <c r="CO29" s="64"/>
      <c r="CP29" s="64"/>
      <c r="CQ29" s="64"/>
      <c r="CR29" s="64"/>
      <c r="CS29" s="65"/>
      <c r="CT29" s="64"/>
      <c r="CU29" s="64"/>
      <c r="CV29" s="64"/>
      <c r="CW29" s="64"/>
      <c r="CX29" s="65"/>
      <c r="CY29" s="10"/>
    </row>
    <row r="30" spans="1:103" ht="15.75" hidden="1" x14ac:dyDescent="0.25">
      <c r="A30" s="141">
        <f t="shared" si="0"/>
        <v>12</v>
      </c>
      <c r="B30" s="194">
        <f t="shared" si="1"/>
        <v>0</v>
      </c>
      <c r="C30" s="66"/>
      <c r="D30" s="67"/>
      <c r="E30" s="58"/>
      <c r="F30" s="58"/>
      <c r="G30" s="115"/>
      <c r="H30" s="119"/>
      <c r="I30" s="58"/>
      <c r="J30" s="120"/>
      <c r="K30" s="58"/>
      <c r="L30" s="48"/>
      <c r="M30" s="104">
        <f t="shared" si="2"/>
        <v>0</v>
      </c>
      <c r="N30" s="59"/>
      <c r="O30" s="105">
        <f t="shared" si="3"/>
        <v>0</v>
      </c>
      <c r="P30" s="131">
        <f t="shared" si="4"/>
        <v>0</v>
      </c>
      <c r="Q30" s="134" t="str">
        <f t="shared" si="5"/>
        <v/>
      </c>
      <c r="R30" s="50"/>
      <c r="S30" s="60">
        <f t="shared" si="6"/>
        <v>12</v>
      </c>
      <c r="T30" s="61" t="str">
        <f t="shared" si="7"/>
        <v/>
      </c>
      <c r="U30" s="62" t="str">
        <f t="shared" si="8"/>
        <v/>
      </c>
      <c r="V30" s="63">
        <f t="shared" si="9"/>
        <v>0</v>
      </c>
      <c r="W30" s="64"/>
      <c r="X30" s="64"/>
      <c r="Y30" s="64"/>
      <c r="Z30" s="64"/>
      <c r="AA30" s="65"/>
      <c r="AB30" s="64"/>
      <c r="AC30" s="64"/>
      <c r="AD30" s="64"/>
      <c r="AE30" s="64"/>
      <c r="AF30" s="65"/>
      <c r="AG30" s="64"/>
      <c r="AH30" s="64"/>
      <c r="AI30" s="64"/>
      <c r="AJ30" s="64"/>
      <c r="AK30" s="65"/>
      <c r="AL30" s="64"/>
      <c r="AM30" s="64"/>
      <c r="AN30" s="64"/>
      <c r="AO30" s="64"/>
      <c r="AP30" s="65"/>
      <c r="AQ30" s="64"/>
      <c r="AR30" s="64"/>
      <c r="AS30" s="64"/>
      <c r="AT30" s="64"/>
      <c r="AU30" s="65"/>
      <c r="AV30" s="64"/>
      <c r="AW30" s="64"/>
      <c r="AX30" s="64"/>
      <c r="AY30" s="64"/>
      <c r="AZ30" s="65"/>
      <c r="BA30" s="64"/>
      <c r="BB30" s="64"/>
      <c r="BC30" s="64"/>
      <c r="BD30" s="64"/>
      <c r="BE30" s="65"/>
      <c r="BF30" s="64"/>
      <c r="BG30" s="64"/>
      <c r="BH30" s="64"/>
      <c r="BI30" s="64"/>
      <c r="BJ30" s="65"/>
      <c r="BK30" s="64"/>
      <c r="BL30" s="64"/>
      <c r="BM30" s="64"/>
      <c r="BN30" s="64"/>
      <c r="BO30" s="65"/>
      <c r="BP30" s="64"/>
      <c r="BQ30" s="64"/>
      <c r="BR30" s="64"/>
      <c r="BS30" s="64"/>
      <c r="BT30" s="65"/>
      <c r="BU30" s="64"/>
      <c r="BV30" s="64"/>
      <c r="BW30" s="64"/>
      <c r="BX30" s="64"/>
      <c r="BY30" s="65"/>
      <c r="BZ30" s="64"/>
      <c r="CA30" s="64"/>
      <c r="CB30" s="64"/>
      <c r="CC30" s="64"/>
      <c r="CD30" s="65"/>
      <c r="CE30" s="64"/>
      <c r="CF30" s="64"/>
      <c r="CG30" s="64"/>
      <c r="CH30" s="64"/>
      <c r="CI30" s="65"/>
      <c r="CJ30" s="64"/>
      <c r="CK30" s="64"/>
      <c r="CL30" s="64"/>
      <c r="CM30" s="64"/>
      <c r="CN30" s="65"/>
      <c r="CO30" s="64"/>
      <c r="CP30" s="64"/>
      <c r="CQ30" s="64"/>
      <c r="CR30" s="64"/>
      <c r="CS30" s="65"/>
      <c r="CT30" s="64"/>
      <c r="CU30" s="64"/>
      <c r="CV30" s="64"/>
      <c r="CW30" s="64"/>
      <c r="CX30" s="65"/>
      <c r="CY30" s="10"/>
    </row>
    <row r="31" spans="1:103" ht="15.75" hidden="1" x14ac:dyDescent="0.25">
      <c r="A31" s="141">
        <f t="shared" si="0"/>
        <v>12</v>
      </c>
      <c r="B31" s="194">
        <f t="shared" si="1"/>
        <v>0</v>
      </c>
      <c r="C31" s="66"/>
      <c r="D31" s="67"/>
      <c r="E31" s="58"/>
      <c r="F31" s="58"/>
      <c r="G31" s="115"/>
      <c r="H31" s="119"/>
      <c r="I31" s="58"/>
      <c r="J31" s="120"/>
      <c r="K31" s="58"/>
      <c r="L31" s="48"/>
      <c r="M31" s="104">
        <f t="shared" si="2"/>
        <v>0</v>
      </c>
      <c r="N31" s="59"/>
      <c r="O31" s="105">
        <f t="shared" si="3"/>
        <v>0</v>
      </c>
      <c r="P31" s="131">
        <f t="shared" si="4"/>
        <v>0</v>
      </c>
      <c r="Q31" s="134" t="str">
        <f t="shared" si="5"/>
        <v/>
      </c>
      <c r="R31" s="50"/>
      <c r="S31" s="60">
        <f t="shared" si="6"/>
        <v>12</v>
      </c>
      <c r="T31" s="61" t="str">
        <f t="shared" si="7"/>
        <v/>
      </c>
      <c r="U31" s="62" t="str">
        <f t="shared" si="8"/>
        <v/>
      </c>
      <c r="V31" s="63">
        <f t="shared" si="9"/>
        <v>0</v>
      </c>
      <c r="W31" s="64"/>
      <c r="X31" s="64"/>
      <c r="Y31" s="64"/>
      <c r="Z31" s="64"/>
      <c r="AA31" s="65"/>
      <c r="AB31" s="64"/>
      <c r="AC31" s="64"/>
      <c r="AD31" s="64"/>
      <c r="AE31" s="64"/>
      <c r="AF31" s="65"/>
      <c r="AG31" s="64"/>
      <c r="AH31" s="64"/>
      <c r="AI31" s="64"/>
      <c r="AJ31" s="64"/>
      <c r="AK31" s="65"/>
      <c r="AL31" s="64"/>
      <c r="AM31" s="64"/>
      <c r="AN31" s="64"/>
      <c r="AO31" s="64"/>
      <c r="AP31" s="65"/>
      <c r="AQ31" s="64"/>
      <c r="AR31" s="64"/>
      <c r="AS31" s="64"/>
      <c r="AT31" s="64"/>
      <c r="AU31" s="65"/>
      <c r="AV31" s="64"/>
      <c r="AW31" s="64"/>
      <c r="AX31" s="64"/>
      <c r="AY31" s="64"/>
      <c r="AZ31" s="65"/>
      <c r="BA31" s="64"/>
      <c r="BB31" s="64"/>
      <c r="BC31" s="64"/>
      <c r="BD31" s="64"/>
      <c r="BE31" s="65"/>
      <c r="BF31" s="64"/>
      <c r="BG31" s="64"/>
      <c r="BH31" s="64"/>
      <c r="BI31" s="64"/>
      <c r="BJ31" s="65"/>
      <c r="BK31" s="64"/>
      <c r="BL31" s="64"/>
      <c r="BM31" s="64"/>
      <c r="BN31" s="64"/>
      <c r="BO31" s="65"/>
      <c r="BP31" s="64"/>
      <c r="BQ31" s="64"/>
      <c r="BR31" s="64"/>
      <c r="BS31" s="64"/>
      <c r="BT31" s="65"/>
      <c r="BU31" s="64"/>
      <c r="BV31" s="64"/>
      <c r="BW31" s="64"/>
      <c r="BX31" s="64"/>
      <c r="BY31" s="65"/>
      <c r="BZ31" s="64"/>
      <c r="CA31" s="64"/>
      <c r="CB31" s="64"/>
      <c r="CC31" s="64"/>
      <c r="CD31" s="65"/>
      <c r="CE31" s="64"/>
      <c r="CF31" s="64"/>
      <c r="CG31" s="64"/>
      <c r="CH31" s="64"/>
      <c r="CI31" s="65"/>
      <c r="CJ31" s="64"/>
      <c r="CK31" s="64"/>
      <c r="CL31" s="64"/>
      <c r="CM31" s="64"/>
      <c r="CN31" s="65"/>
      <c r="CO31" s="64"/>
      <c r="CP31" s="64"/>
      <c r="CQ31" s="64"/>
      <c r="CR31" s="64"/>
      <c r="CS31" s="65"/>
      <c r="CT31" s="64"/>
      <c r="CU31" s="64"/>
      <c r="CV31" s="64"/>
      <c r="CW31" s="64"/>
      <c r="CX31" s="65"/>
      <c r="CY31" s="10"/>
    </row>
    <row r="32" spans="1:103" ht="15.75" hidden="1" x14ac:dyDescent="0.25">
      <c r="A32" s="141">
        <f t="shared" si="0"/>
        <v>12</v>
      </c>
      <c r="B32" s="194">
        <f t="shared" si="1"/>
        <v>0</v>
      </c>
      <c r="C32" s="66"/>
      <c r="D32" s="67"/>
      <c r="E32" s="58"/>
      <c r="F32" s="58"/>
      <c r="G32" s="115"/>
      <c r="H32" s="119"/>
      <c r="I32" s="58"/>
      <c r="J32" s="120"/>
      <c r="K32" s="58"/>
      <c r="L32" s="48"/>
      <c r="M32" s="104">
        <f t="shared" si="2"/>
        <v>0</v>
      </c>
      <c r="N32" s="59"/>
      <c r="O32" s="105">
        <f t="shared" si="3"/>
        <v>0</v>
      </c>
      <c r="P32" s="131">
        <f t="shared" si="4"/>
        <v>0</v>
      </c>
      <c r="Q32" s="134" t="str">
        <f t="shared" si="5"/>
        <v/>
      </c>
      <c r="R32" s="50"/>
      <c r="S32" s="60">
        <f t="shared" si="6"/>
        <v>12</v>
      </c>
      <c r="T32" s="61" t="str">
        <f t="shared" si="7"/>
        <v/>
      </c>
      <c r="U32" s="62" t="str">
        <f t="shared" si="8"/>
        <v/>
      </c>
      <c r="V32" s="63">
        <f t="shared" si="9"/>
        <v>0</v>
      </c>
      <c r="W32" s="64"/>
      <c r="X32" s="64"/>
      <c r="Y32" s="64"/>
      <c r="Z32" s="64"/>
      <c r="AA32" s="65"/>
      <c r="AB32" s="64"/>
      <c r="AC32" s="64"/>
      <c r="AD32" s="64"/>
      <c r="AE32" s="64"/>
      <c r="AF32" s="65"/>
      <c r="AG32" s="64"/>
      <c r="AH32" s="64"/>
      <c r="AI32" s="64"/>
      <c r="AJ32" s="64"/>
      <c r="AK32" s="65"/>
      <c r="AL32" s="64"/>
      <c r="AM32" s="64"/>
      <c r="AN32" s="64"/>
      <c r="AO32" s="64"/>
      <c r="AP32" s="65"/>
      <c r="AQ32" s="64"/>
      <c r="AR32" s="64"/>
      <c r="AS32" s="64"/>
      <c r="AT32" s="64"/>
      <c r="AU32" s="65"/>
      <c r="AV32" s="64"/>
      <c r="AW32" s="64"/>
      <c r="AX32" s="64"/>
      <c r="AY32" s="64"/>
      <c r="AZ32" s="65"/>
      <c r="BA32" s="64"/>
      <c r="BB32" s="64"/>
      <c r="BC32" s="64"/>
      <c r="BD32" s="64"/>
      <c r="BE32" s="65"/>
      <c r="BF32" s="64"/>
      <c r="BG32" s="64"/>
      <c r="BH32" s="64"/>
      <c r="BI32" s="64"/>
      <c r="BJ32" s="65"/>
      <c r="BK32" s="64"/>
      <c r="BL32" s="64"/>
      <c r="BM32" s="64"/>
      <c r="BN32" s="64"/>
      <c r="BO32" s="65"/>
      <c r="BP32" s="64"/>
      <c r="BQ32" s="64"/>
      <c r="BR32" s="64"/>
      <c r="BS32" s="64"/>
      <c r="BT32" s="65"/>
      <c r="BU32" s="64"/>
      <c r="BV32" s="64"/>
      <c r="BW32" s="64"/>
      <c r="BX32" s="64"/>
      <c r="BY32" s="65"/>
      <c r="BZ32" s="64"/>
      <c r="CA32" s="64"/>
      <c r="CB32" s="64"/>
      <c r="CC32" s="64"/>
      <c r="CD32" s="65"/>
      <c r="CE32" s="64"/>
      <c r="CF32" s="64"/>
      <c r="CG32" s="64"/>
      <c r="CH32" s="64"/>
      <c r="CI32" s="65"/>
      <c r="CJ32" s="64"/>
      <c r="CK32" s="64"/>
      <c r="CL32" s="64"/>
      <c r="CM32" s="64"/>
      <c r="CN32" s="65"/>
      <c r="CO32" s="64"/>
      <c r="CP32" s="64"/>
      <c r="CQ32" s="64"/>
      <c r="CR32" s="64"/>
      <c r="CS32" s="65"/>
      <c r="CT32" s="64"/>
      <c r="CU32" s="64"/>
      <c r="CV32" s="64"/>
      <c r="CW32" s="64"/>
      <c r="CX32" s="65"/>
      <c r="CY32" s="10"/>
    </row>
    <row r="33" spans="1:103" ht="15.75" hidden="1" x14ac:dyDescent="0.25">
      <c r="A33" s="141">
        <f t="shared" si="0"/>
        <v>12</v>
      </c>
      <c r="B33" s="194">
        <f t="shared" si="1"/>
        <v>0</v>
      </c>
      <c r="C33" s="66"/>
      <c r="D33" s="67"/>
      <c r="E33" s="58"/>
      <c r="F33" s="58"/>
      <c r="G33" s="115"/>
      <c r="H33" s="119"/>
      <c r="I33" s="58"/>
      <c r="J33" s="120"/>
      <c r="K33" s="58"/>
      <c r="L33" s="48"/>
      <c r="M33" s="104">
        <f t="shared" si="2"/>
        <v>0</v>
      </c>
      <c r="N33" s="59"/>
      <c r="O33" s="105">
        <f t="shared" si="3"/>
        <v>0</v>
      </c>
      <c r="P33" s="131">
        <f t="shared" si="4"/>
        <v>0</v>
      </c>
      <c r="Q33" s="134" t="str">
        <f t="shared" si="5"/>
        <v/>
      </c>
      <c r="R33" s="50"/>
      <c r="S33" s="60">
        <f t="shared" si="6"/>
        <v>12</v>
      </c>
      <c r="T33" s="61" t="str">
        <f t="shared" si="7"/>
        <v/>
      </c>
      <c r="U33" s="62" t="str">
        <f t="shared" si="8"/>
        <v/>
      </c>
      <c r="V33" s="63">
        <f t="shared" si="9"/>
        <v>0</v>
      </c>
      <c r="W33" s="64"/>
      <c r="X33" s="64"/>
      <c r="Y33" s="64"/>
      <c r="Z33" s="64"/>
      <c r="AA33" s="65"/>
      <c r="AB33" s="64"/>
      <c r="AC33" s="64"/>
      <c r="AD33" s="64"/>
      <c r="AE33" s="64"/>
      <c r="AF33" s="65"/>
      <c r="AG33" s="64"/>
      <c r="AH33" s="64"/>
      <c r="AI33" s="64"/>
      <c r="AJ33" s="64"/>
      <c r="AK33" s="65"/>
      <c r="AL33" s="64"/>
      <c r="AM33" s="64"/>
      <c r="AN33" s="64"/>
      <c r="AO33" s="64"/>
      <c r="AP33" s="65"/>
      <c r="AQ33" s="64"/>
      <c r="AR33" s="64"/>
      <c r="AS33" s="64"/>
      <c r="AT33" s="64"/>
      <c r="AU33" s="65"/>
      <c r="AV33" s="64"/>
      <c r="AW33" s="64"/>
      <c r="AX33" s="64"/>
      <c r="AY33" s="64"/>
      <c r="AZ33" s="65"/>
      <c r="BA33" s="64"/>
      <c r="BB33" s="64"/>
      <c r="BC33" s="64"/>
      <c r="BD33" s="64"/>
      <c r="BE33" s="65"/>
      <c r="BF33" s="64"/>
      <c r="BG33" s="64"/>
      <c r="BH33" s="64"/>
      <c r="BI33" s="64"/>
      <c r="BJ33" s="65"/>
      <c r="BK33" s="64"/>
      <c r="BL33" s="64"/>
      <c r="BM33" s="64"/>
      <c r="BN33" s="64"/>
      <c r="BO33" s="65"/>
      <c r="BP33" s="64"/>
      <c r="BQ33" s="64"/>
      <c r="BR33" s="64"/>
      <c r="BS33" s="64"/>
      <c r="BT33" s="65"/>
      <c r="BU33" s="64"/>
      <c r="BV33" s="64"/>
      <c r="BW33" s="64"/>
      <c r="BX33" s="64"/>
      <c r="BY33" s="65"/>
      <c r="BZ33" s="64"/>
      <c r="CA33" s="64"/>
      <c r="CB33" s="64"/>
      <c r="CC33" s="64"/>
      <c r="CD33" s="65"/>
      <c r="CE33" s="64"/>
      <c r="CF33" s="64"/>
      <c r="CG33" s="64"/>
      <c r="CH33" s="64"/>
      <c r="CI33" s="65"/>
      <c r="CJ33" s="64"/>
      <c r="CK33" s="64"/>
      <c r="CL33" s="64"/>
      <c r="CM33" s="64"/>
      <c r="CN33" s="65"/>
      <c r="CO33" s="64"/>
      <c r="CP33" s="64"/>
      <c r="CQ33" s="64"/>
      <c r="CR33" s="64"/>
      <c r="CS33" s="65"/>
      <c r="CT33" s="64"/>
      <c r="CU33" s="64"/>
      <c r="CV33" s="64"/>
      <c r="CW33" s="64"/>
      <c r="CX33" s="65"/>
      <c r="CY33" s="10"/>
    </row>
    <row r="34" spans="1:103" ht="15.75" hidden="1" x14ac:dyDescent="0.25">
      <c r="A34" s="141">
        <f t="shared" si="0"/>
        <v>12</v>
      </c>
      <c r="B34" s="194">
        <f t="shared" si="1"/>
        <v>0</v>
      </c>
      <c r="C34" s="66"/>
      <c r="D34" s="67"/>
      <c r="E34" s="58"/>
      <c r="F34" s="58"/>
      <c r="G34" s="115"/>
      <c r="H34" s="119"/>
      <c r="I34" s="58"/>
      <c r="J34" s="120"/>
      <c r="K34" s="58"/>
      <c r="L34" s="48"/>
      <c r="M34" s="104">
        <f t="shared" si="2"/>
        <v>0</v>
      </c>
      <c r="N34" s="59"/>
      <c r="O34" s="105">
        <f t="shared" si="3"/>
        <v>0</v>
      </c>
      <c r="P34" s="131">
        <f t="shared" si="4"/>
        <v>0</v>
      </c>
      <c r="Q34" s="134" t="str">
        <f t="shared" si="5"/>
        <v/>
      </c>
      <c r="R34" s="50"/>
      <c r="S34" s="60">
        <f t="shared" si="6"/>
        <v>12</v>
      </c>
      <c r="T34" s="61" t="str">
        <f t="shared" si="7"/>
        <v/>
      </c>
      <c r="U34" s="62" t="str">
        <f t="shared" si="8"/>
        <v/>
      </c>
      <c r="V34" s="63">
        <f t="shared" si="9"/>
        <v>0</v>
      </c>
      <c r="W34" s="64"/>
      <c r="X34" s="64"/>
      <c r="Y34" s="64"/>
      <c r="Z34" s="64"/>
      <c r="AA34" s="65"/>
      <c r="AB34" s="64"/>
      <c r="AC34" s="64"/>
      <c r="AD34" s="64"/>
      <c r="AE34" s="64"/>
      <c r="AF34" s="65"/>
      <c r="AG34" s="64"/>
      <c r="AH34" s="64"/>
      <c r="AI34" s="64"/>
      <c r="AJ34" s="64"/>
      <c r="AK34" s="65"/>
      <c r="AL34" s="64"/>
      <c r="AM34" s="64"/>
      <c r="AN34" s="64"/>
      <c r="AO34" s="64"/>
      <c r="AP34" s="65"/>
      <c r="AQ34" s="64"/>
      <c r="AR34" s="64"/>
      <c r="AS34" s="64"/>
      <c r="AT34" s="64"/>
      <c r="AU34" s="65"/>
      <c r="AV34" s="64"/>
      <c r="AW34" s="64"/>
      <c r="AX34" s="64"/>
      <c r="AY34" s="64"/>
      <c r="AZ34" s="65"/>
      <c r="BA34" s="64"/>
      <c r="BB34" s="64"/>
      <c r="BC34" s="64"/>
      <c r="BD34" s="64"/>
      <c r="BE34" s="65"/>
      <c r="BF34" s="64"/>
      <c r="BG34" s="64"/>
      <c r="BH34" s="64"/>
      <c r="BI34" s="64"/>
      <c r="BJ34" s="65"/>
      <c r="BK34" s="64"/>
      <c r="BL34" s="64"/>
      <c r="BM34" s="64"/>
      <c r="BN34" s="64"/>
      <c r="BO34" s="65"/>
      <c r="BP34" s="64"/>
      <c r="BQ34" s="64"/>
      <c r="BR34" s="64"/>
      <c r="BS34" s="64"/>
      <c r="BT34" s="65"/>
      <c r="BU34" s="64"/>
      <c r="BV34" s="64"/>
      <c r="BW34" s="64"/>
      <c r="BX34" s="64"/>
      <c r="BY34" s="65"/>
      <c r="BZ34" s="64"/>
      <c r="CA34" s="64"/>
      <c r="CB34" s="64"/>
      <c r="CC34" s="64"/>
      <c r="CD34" s="65"/>
      <c r="CE34" s="64"/>
      <c r="CF34" s="64"/>
      <c r="CG34" s="64"/>
      <c r="CH34" s="64"/>
      <c r="CI34" s="65"/>
      <c r="CJ34" s="64"/>
      <c r="CK34" s="64"/>
      <c r="CL34" s="64"/>
      <c r="CM34" s="64"/>
      <c r="CN34" s="65"/>
      <c r="CO34" s="64"/>
      <c r="CP34" s="64"/>
      <c r="CQ34" s="64"/>
      <c r="CR34" s="64"/>
      <c r="CS34" s="65"/>
      <c r="CT34" s="64"/>
      <c r="CU34" s="64"/>
      <c r="CV34" s="64"/>
      <c r="CW34" s="64"/>
      <c r="CX34" s="65"/>
      <c r="CY34" s="10"/>
    </row>
    <row r="35" spans="1:103" ht="15.75" hidden="1" x14ac:dyDescent="0.25">
      <c r="A35" s="141">
        <f t="shared" si="0"/>
        <v>12</v>
      </c>
      <c r="B35" s="194">
        <f t="shared" si="1"/>
        <v>0</v>
      </c>
      <c r="C35" s="66"/>
      <c r="D35" s="67"/>
      <c r="E35" s="58"/>
      <c r="F35" s="58"/>
      <c r="G35" s="115"/>
      <c r="H35" s="119"/>
      <c r="I35" s="58"/>
      <c r="J35" s="120"/>
      <c r="K35" s="58"/>
      <c r="L35" s="48"/>
      <c r="M35" s="104">
        <f t="shared" si="2"/>
        <v>0</v>
      </c>
      <c r="N35" s="59"/>
      <c r="O35" s="105">
        <f t="shared" si="3"/>
        <v>0</v>
      </c>
      <c r="P35" s="131">
        <f t="shared" si="4"/>
        <v>0</v>
      </c>
      <c r="Q35" s="134" t="str">
        <f t="shared" si="5"/>
        <v/>
      </c>
      <c r="R35" s="50"/>
      <c r="S35" s="60">
        <f t="shared" si="6"/>
        <v>12</v>
      </c>
      <c r="T35" s="61" t="str">
        <f t="shared" si="7"/>
        <v/>
      </c>
      <c r="U35" s="62" t="str">
        <f t="shared" si="8"/>
        <v/>
      </c>
      <c r="V35" s="63">
        <f t="shared" si="9"/>
        <v>0</v>
      </c>
      <c r="W35" s="64"/>
      <c r="X35" s="64"/>
      <c r="Y35" s="64"/>
      <c r="Z35" s="64"/>
      <c r="AA35" s="65"/>
      <c r="AB35" s="64"/>
      <c r="AC35" s="64"/>
      <c r="AD35" s="64"/>
      <c r="AE35" s="64"/>
      <c r="AF35" s="65"/>
      <c r="AG35" s="64"/>
      <c r="AH35" s="64"/>
      <c r="AI35" s="64"/>
      <c r="AJ35" s="64"/>
      <c r="AK35" s="65"/>
      <c r="AL35" s="64"/>
      <c r="AM35" s="64"/>
      <c r="AN35" s="64"/>
      <c r="AO35" s="64"/>
      <c r="AP35" s="65"/>
      <c r="AQ35" s="64"/>
      <c r="AR35" s="64"/>
      <c r="AS35" s="64"/>
      <c r="AT35" s="64"/>
      <c r="AU35" s="65"/>
      <c r="AV35" s="64"/>
      <c r="AW35" s="64"/>
      <c r="AX35" s="64"/>
      <c r="AY35" s="64"/>
      <c r="AZ35" s="65"/>
      <c r="BA35" s="64"/>
      <c r="BB35" s="64"/>
      <c r="BC35" s="64"/>
      <c r="BD35" s="64"/>
      <c r="BE35" s="65"/>
      <c r="BF35" s="64"/>
      <c r="BG35" s="64"/>
      <c r="BH35" s="64"/>
      <c r="BI35" s="64"/>
      <c r="BJ35" s="65"/>
      <c r="BK35" s="64"/>
      <c r="BL35" s="64"/>
      <c r="BM35" s="64"/>
      <c r="BN35" s="64"/>
      <c r="BO35" s="65"/>
      <c r="BP35" s="64"/>
      <c r="BQ35" s="64"/>
      <c r="BR35" s="64"/>
      <c r="BS35" s="64"/>
      <c r="BT35" s="65"/>
      <c r="BU35" s="64"/>
      <c r="BV35" s="64"/>
      <c r="BW35" s="64"/>
      <c r="BX35" s="64"/>
      <c r="BY35" s="65"/>
      <c r="BZ35" s="64"/>
      <c r="CA35" s="64"/>
      <c r="CB35" s="64"/>
      <c r="CC35" s="64"/>
      <c r="CD35" s="65"/>
      <c r="CE35" s="64"/>
      <c r="CF35" s="64"/>
      <c r="CG35" s="64"/>
      <c r="CH35" s="64"/>
      <c r="CI35" s="65"/>
      <c r="CJ35" s="64"/>
      <c r="CK35" s="64"/>
      <c r="CL35" s="64"/>
      <c r="CM35" s="64"/>
      <c r="CN35" s="65"/>
      <c r="CO35" s="64"/>
      <c r="CP35" s="64"/>
      <c r="CQ35" s="64"/>
      <c r="CR35" s="64"/>
      <c r="CS35" s="65"/>
      <c r="CT35" s="64"/>
      <c r="CU35" s="64"/>
      <c r="CV35" s="64"/>
      <c r="CW35" s="64"/>
      <c r="CX35" s="65"/>
      <c r="CY35" s="10"/>
    </row>
    <row r="36" spans="1:103" ht="15.75" hidden="1" x14ac:dyDescent="0.25">
      <c r="A36" s="141">
        <f t="shared" ref="A36:A67" si="10">IF(B36&gt;0,A35+1,A35)</f>
        <v>12</v>
      </c>
      <c r="B36" s="194">
        <f t="shared" ref="B36:B67" si="11">V36</f>
        <v>0</v>
      </c>
      <c r="C36" s="66"/>
      <c r="D36" s="67"/>
      <c r="E36" s="58"/>
      <c r="F36" s="58"/>
      <c r="G36" s="115"/>
      <c r="H36" s="119"/>
      <c r="I36" s="58"/>
      <c r="J36" s="120"/>
      <c r="K36" s="58"/>
      <c r="L36" s="48"/>
      <c r="M36" s="104">
        <f t="shared" ref="M36:M67" si="12">SUM($L36*$B36)</f>
        <v>0</v>
      </c>
      <c r="N36" s="59"/>
      <c r="O36" s="105">
        <f t="shared" ref="O36:O67" si="13">SUM($N36*$B36)</f>
        <v>0</v>
      </c>
      <c r="P36" s="131">
        <f t="shared" ref="P36:P67" si="14">IF(LEFT($K36,2)="OP", $O36,0)</f>
        <v>0</v>
      </c>
      <c r="Q36" s="134" t="str">
        <f t="shared" ref="Q36:Q67" si="15">IF($Q$1="SAM","",IF(L36="","",N36-L36))</f>
        <v/>
      </c>
      <c r="R36" s="50"/>
      <c r="S36" s="60">
        <f t="shared" ref="S36:S67" si="16">IF(A36=0,"",A36)</f>
        <v>12</v>
      </c>
      <c r="T36" s="61" t="str">
        <f t="shared" ref="T36:T67" si="17">IF(C36="","",C36)</f>
        <v/>
      </c>
      <c r="U36" s="62" t="str">
        <f t="shared" ref="U36:U67" si="18">IF(D36="","",D36)</f>
        <v/>
      </c>
      <c r="V36" s="63">
        <f t="shared" si="9"/>
        <v>0</v>
      </c>
      <c r="W36" s="64"/>
      <c r="X36" s="64"/>
      <c r="Y36" s="64"/>
      <c r="Z36" s="64"/>
      <c r="AA36" s="65"/>
      <c r="AB36" s="64"/>
      <c r="AC36" s="64"/>
      <c r="AD36" s="64"/>
      <c r="AE36" s="64"/>
      <c r="AF36" s="65"/>
      <c r="AG36" s="64"/>
      <c r="AH36" s="64"/>
      <c r="AI36" s="64"/>
      <c r="AJ36" s="64"/>
      <c r="AK36" s="65"/>
      <c r="AL36" s="64"/>
      <c r="AM36" s="64"/>
      <c r="AN36" s="64"/>
      <c r="AO36" s="64"/>
      <c r="AP36" s="65"/>
      <c r="AQ36" s="64"/>
      <c r="AR36" s="64"/>
      <c r="AS36" s="64"/>
      <c r="AT36" s="64"/>
      <c r="AU36" s="65"/>
      <c r="AV36" s="64"/>
      <c r="AW36" s="64"/>
      <c r="AX36" s="64"/>
      <c r="AY36" s="64"/>
      <c r="AZ36" s="65"/>
      <c r="BA36" s="64"/>
      <c r="BB36" s="64"/>
      <c r="BC36" s="64"/>
      <c r="BD36" s="64"/>
      <c r="BE36" s="65"/>
      <c r="BF36" s="64"/>
      <c r="BG36" s="64"/>
      <c r="BH36" s="64"/>
      <c r="BI36" s="64"/>
      <c r="BJ36" s="65"/>
      <c r="BK36" s="64"/>
      <c r="BL36" s="64"/>
      <c r="BM36" s="64"/>
      <c r="BN36" s="64"/>
      <c r="BO36" s="65"/>
      <c r="BP36" s="64"/>
      <c r="BQ36" s="64"/>
      <c r="BR36" s="64"/>
      <c r="BS36" s="64"/>
      <c r="BT36" s="65"/>
      <c r="BU36" s="64"/>
      <c r="BV36" s="64"/>
      <c r="BW36" s="64"/>
      <c r="BX36" s="64"/>
      <c r="BY36" s="65"/>
      <c r="BZ36" s="64"/>
      <c r="CA36" s="64"/>
      <c r="CB36" s="64"/>
      <c r="CC36" s="64"/>
      <c r="CD36" s="65"/>
      <c r="CE36" s="64"/>
      <c r="CF36" s="64"/>
      <c r="CG36" s="64"/>
      <c r="CH36" s="64"/>
      <c r="CI36" s="65"/>
      <c r="CJ36" s="64"/>
      <c r="CK36" s="64"/>
      <c r="CL36" s="64"/>
      <c r="CM36" s="64"/>
      <c r="CN36" s="65"/>
      <c r="CO36" s="64"/>
      <c r="CP36" s="64"/>
      <c r="CQ36" s="64"/>
      <c r="CR36" s="64"/>
      <c r="CS36" s="65"/>
      <c r="CT36" s="64"/>
      <c r="CU36" s="64"/>
      <c r="CV36" s="64"/>
      <c r="CW36" s="64"/>
      <c r="CX36" s="65"/>
      <c r="CY36" s="10"/>
    </row>
    <row r="37" spans="1:103" ht="15.75" hidden="1" x14ac:dyDescent="0.25">
      <c r="A37" s="141">
        <f t="shared" si="10"/>
        <v>12</v>
      </c>
      <c r="B37" s="194">
        <f t="shared" si="11"/>
        <v>0</v>
      </c>
      <c r="C37" s="66"/>
      <c r="D37" s="67"/>
      <c r="E37" s="58"/>
      <c r="F37" s="58"/>
      <c r="G37" s="115"/>
      <c r="H37" s="119"/>
      <c r="I37" s="58"/>
      <c r="J37" s="120"/>
      <c r="K37" s="58"/>
      <c r="L37" s="48"/>
      <c r="M37" s="104">
        <f t="shared" si="12"/>
        <v>0</v>
      </c>
      <c r="N37" s="59"/>
      <c r="O37" s="105">
        <f t="shared" si="13"/>
        <v>0</v>
      </c>
      <c r="P37" s="131">
        <f t="shared" si="14"/>
        <v>0</v>
      </c>
      <c r="Q37" s="134" t="str">
        <f t="shared" si="15"/>
        <v/>
      </c>
      <c r="R37" s="50"/>
      <c r="S37" s="60">
        <f t="shared" si="16"/>
        <v>12</v>
      </c>
      <c r="T37" s="61" t="str">
        <f t="shared" si="17"/>
        <v/>
      </c>
      <c r="U37" s="62" t="str">
        <f t="shared" si="18"/>
        <v/>
      </c>
      <c r="V37" s="63">
        <f t="shared" si="9"/>
        <v>0</v>
      </c>
      <c r="W37" s="64"/>
      <c r="X37" s="64"/>
      <c r="Y37" s="64"/>
      <c r="Z37" s="64"/>
      <c r="AA37" s="65"/>
      <c r="AB37" s="64"/>
      <c r="AC37" s="64"/>
      <c r="AD37" s="64"/>
      <c r="AE37" s="64"/>
      <c r="AF37" s="65"/>
      <c r="AG37" s="64"/>
      <c r="AH37" s="64"/>
      <c r="AI37" s="64"/>
      <c r="AJ37" s="64"/>
      <c r="AK37" s="65"/>
      <c r="AL37" s="64"/>
      <c r="AM37" s="64"/>
      <c r="AN37" s="64"/>
      <c r="AO37" s="64"/>
      <c r="AP37" s="65"/>
      <c r="AQ37" s="64"/>
      <c r="AR37" s="64"/>
      <c r="AS37" s="64"/>
      <c r="AT37" s="64"/>
      <c r="AU37" s="65"/>
      <c r="AV37" s="64"/>
      <c r="AW37" s="64"/>
      <c r="AX37" s="64"/>
      <c r="AY37" s="64"/>
      <c r="AZ37" s="65"/>
      <c r="BA37" s="64"/>
      <c r="BB37" s="64"/>
      <c r="BC37" s="64"/>
      <c r="BD37" s="64"/>
      <c r="BE37" s="65"/>
      <c r="BF37" s="64"/>
      <c r="BG37" s="64"/>
      <c r="BH37" s="64"/>
      <c r="BI37" s="64"/>
      <c r="BJ37" s="65"/>
      <c r="BK37" s="64"/>
      <c r="BL37" s="64"/>
      <c r="BM37" s="64"/>
      <c r="BN37" s="64"/>
      <c r="BO37" s="65"/>
      <c r="BP37" s="64"/>
      <c r="BQ37" s="64"/>
      <c r="BR37" s="64"/>
      <c r="BS37" s="64"/>
      <c r="BT37" s="65"/>
      <c r="BU37" s="64"/>
      <c r="BV37" s="64"/>
      <c r="BW37" s="64"/>
      <c r="BX37" s="64"/>
      <c r="BY37" s="65"/>
      <c r="BZ37" s="64"/>
      <c r="CA37" s="64"/>
      <c r="CB37" s="64"/>
      <c r="CC37" s="64"/>
      <c r="CD37" s="65"/>
      <c r="CE37" s="64"/>
      <c r="CF37" s="64"/>
      <c r="CG37" s="64"/>
      <c r="CH37" s="64"/>
      <c r="CI37" s="65"/>
      <c r="CJ37" s="64"/>
      <c r="CK37" s="64"/>
      <c r="CL37" s="64"/>
      <c r="CM37" s="64"/>
      <c r="CN37" s="65"/>
      <c r="CO37" s="64"/>
      <c r="CP37" s="64"/>
      <c r="CQ37" s="64"/>
      <c r="CR37" s="64"/>
      <c r="CS37" s="65"/>
      <c r="CT37" s="64"/>
      <c r="CU37" s="64"/>
      <c r="CV37" s="64"/>
      <c r="CW37" s="64"/>
      <c r="CX37" s="65"/>
      <c r="CY37" s="10"/>
    </row>
    <row r="38" spans="1:103" ht="15.75" hidden="1" x14ac:dyDescent="0.25">
      <c r="A38" s="141">
        <f t="shared" si="10"/>
        <v>12</v>
      </c>
      <c r="B38" s="194">
        <f t="shared" si="11"/>
        <v>0</v>
      </c>
      <c r="C38" s="66"/>
      <c r="D38" s="67"/>
      <c r="E38" s="58"/>
      <c r="F38" s="58"/>
      <c r="G38" s="115"/>
      <c r="H38" s="119"/>
      <c r="I38" s="58"/>
      <c r="J38" s="120"/>
      <c r="K38" s="58"/>
      <c r="L38" s="48"/>
      <c r="M38" s="104">
        <f t="shared" si="12"/>
        <v>0</v>
      </c>
      <c r="N38" s="59"/>
      <c r="O38" s="105">
        <f t="shared" si="13"/>
        <v>0</v>
      </c>
      <c r="P38" s="131">
        <f t="shared" si="14"/>
        <v>0</v>
      </c>
      <c r="Q38" s="134" t="str">
        <f t="shared" si="15"/>
        <v/>
      </c>
      <c r="R38" s="50"/>
      <c r="S38" s="60">
        <f t="shared" si="16"/>
        <v>12</v>
      </c>
      <c r="T38" s="61" t="str">
        <f t="shared" si="17"/>
        <v/>
      </c>
      <c r="U38" s="62" t="str">
        <f t="shared" si="18"/>
        <v/>
      </c>
      <c r="V38" s="63">
        <f t="shared" si="9"/>
        <v>0</v>
      </c>
      <c r="W38" s="64"/>
      <c r="X38" s="64"/>
      <c r="Y38" s="64"/>
      <c r="Z38" s="64"/>
      <c r="AA38" s="65"/>
      <c r="AB38" s="64"/>
      <c r="AC38" s="64"/>
      <c r="AD38" s="64"/>
      <c r="AE38" s="64"/>
      <c r="AF38" s="65"/>
      <c r="AG38" s="64"/>
      <c r="AH38" s="64"/>
      <c r="AI38" s="64"/>
      <c r="AJ38" s="64"/>
      <c r="AK38" s="65"/>
      <c r="AL38" s="64"/>
      <c r="AM38" s="64"/>
      <c r="AN38" s="64"/>
      <c r="AO38" s="64"/>
      <c r="AP38" s="65"/>
      <c r="AQ38" s="64"/>
      <c r="AR38" s="64"/>
      <c r="AS38" s="64"/>
      <c r="AT38" s="64"/>
      <c r="AU38" s="65"/>
      <c r="AV38" s="64"/>
      <c r="AW38" s="64"/>
      <c r="AX38" s="64"/>
      <c r="AY38" s="64"/>
      <c r="AZ38" s="65"/>
      <c r="BA38" s="64"/>
      <c r="BB38" s="64"/>
      <c r="BC38" s="64"/>
      <c r="BD38" s="64"/>
      <c r="BE38" s="65"/>
      <c r="BF38" s="64"/>
      <c r="BG38" s="64"/>
      <c r="BH38" s="64"/>
      <c r="BI38" s="64"/>
      <c r="BJ38" s="65"/>
      <c r="BK38" s="64"/>
      <c r="BL38" s="64"/>
      <c r="BM38" s="64"/>
      <c r="BN38" s="64"/>
      <c r="BO38" s="65"/>
      <c r="BP38" s="64"/>
      <c r="BQ38" s="64"/>
      <c r="BR38" s="64"/>
      <c r="BS38" s="64"/>
      <c r="BT38" s="65"/>
      <c r="BU38" s="64"/>
      <c r="BV38" s="64"/>
      <c r="BW38" s="64"/>
      <c r="BX38" s="64"/>
      <c r="BY38" s="65"/>
      <c r="BZ38" s="64"/>
      <c r="CA38" s="64"/>
      <c r="CB38" s="64"/>
      <c r="CC38" s="64"/>
      <c r="CD38" s="65"/>
      <c r="CE38" s="64"/>
      <c r="CF38" s="64"/>
      <c r="CG38" s="64"/>
      <c r="CH38" s="64"/>
      <c r="CI38" s="65"/>
      <c r="CJ38" s="64"/>
      <c r="CK38" s="64"/>
      <c r="CL38" s="64"/>
      <c r="CM38" s="64"/>
      <c r="CN38" s="65"/>
      <c r="CO38" s="64"/>
      <c r="CP38" s="64"/>
      <c r="CQ38" s="64"/>
      <c r="CR38" s="64"/>
      <c r="CS38" s="65"/>
      <c r="CT38" s="64"/>
      <c r="CU38" s="64"/>
      <c r="CV38" s="64"/>
      <c r="CW38" s="64"/>
      <c r="CX38" s="65"/>
      <c r="CY38" s="10"/>
    </row>
    <row r="39" spans="1:103" ht="15.75" hidden="1" x14ac:dyDescent="0.25">
      <c r="A39" s="141">
        <f t="shared" si="10"/>
        <v>12</v>
      </c>
      <c r="B39" s="194">
        <f t="shared" si="11"/>
        <v>0</v>
      </c>
      <c r="C39" s="66"/>
      <c r="D39" s="67"/>
      <c r="E39" s="58"/>
      <c r="F39" s="58"/>
      <c r="G39" s="115"/>
      <c r="H39" s="119"/>
      <c r="I39" s="58"/>
      <c r="J39" s="120"/>
      <c r="K39" s="58"/>
      <c r="L39" s="48"/>
      <c r="M39" s="104">
        <f t="shared" si="12"/>
        <v>0</v>
      </c>
      <c r="N39" s="59"/>
      <c r="O39" s="105">
        <f t="shared" si="13"/>
        <v>0</v>
      </c>
      <c r="P39" s="131">
        <f t="shared" si="14"/>
        <v>0</v>
      </c>
      <c r="Q39" s="134" t="str">
        <f t="shared" si="15"/>
        <v/>
      </c>
      <c r="R39" s="50"/>
      <c r="S39" s="60">
        <f t="shared" si="16"/>
        <v>12</v>
      </c>
      <c r="T39" s="61" t="str">
        <f t="shared" si="17"/>
        <v/>
      </c>
      <c r="U39" s="62" t="str">
        <f t="shared" si="18"/>
        <v/>
      </c>
      <c r="V39" s="63">
        <f t="shared" si="9"/>
        <v>0</v>
      </c>
      <c r="W39" s="64"/>
      <c r="X39" s="64"/>
      <c r="Y39" s="64"/>
      <c r="Z39" s="64"/>
      <c r="AA39" s="65"/>
      <c r="AB39" s="64"/>
      <c r="AC39" s="64"/>
      <c r="AD39" s="64"/>
      <c r="AE39" s="64"/>
      <c r="AF39" s="65"/>
      <c r="AG39" s="64"/>
      <c r="AH39" s="64"/>
      <c r="AI39" s="64"/>
      <c r="AJ39" s="64"/>
      <c r="AK39" s="65"/>
      <c r="AL39" s="64"/>
      <c r="AM39" s="64"/>
      <c r="AN39" s="64"/>
      <c r="AO39" s="64"/>
      <c r="AP39" s="65"/>
      <c r="AQ39" s="64"/>
      <c r="AR39" s="64"/>
      <c r="AS39" s="64"/>
      <c r="AT39" s="64"/>
      <c r="AU39" s="65"/>
      <c r="AV39" s="64"/>
      <c r="AW39" s="64"/>
      <c r="AX39" s="64"/>
      <c r="AY39" s="64"/>
      <c r="AZ39" s="65"/>
      <c r="BA39" s="64"/>
      <c r="BB39" s="64"/>
      <c r="BC39" s="64"/>
      <c r="BD39" s="64"/>
      <c r="BE39" s="65"/>
      <c r="BF39" s="64"/>
      <c r="BG39" s="64"/>
      <c r="BH39" s="64"/>
      <c r="BI39" s="64"/>
      <c r="BJ39" s="65"/>
      <c r="BK39" s="64"/>
      <c r="BL39" s="64"/>
      <c r="BM39" s="64"/>
      <c r="BN39" s="64"/>
      <c r="BO39" s="65"/>
      <c r="BP39" s="64"/>
      <c r="BQ39" s="64"/>
      <c r="BR39" s="64"/>
      <c r="BS39" s="64"/>
      <c r="BT39" s="65"/>
      <c r="BU39" s="64"/>
      <c r="BV39" s="64"/>
      <c r="BW39" s="64"/>
      <c r="BX39" s="64"/>
      <c r="BY39" s="65"/>
      <c r="BZ39" s="64"/>
      <c r="CA39" s="64"/>
      <c r="CB39" s="64"/>
      <c r="CC39" s="64"/>
      <c r="CD39" s="65"/>
      <c r="CE39" s="64"/>
      <c r="CF39" s="64"/>
      <c r="CG39" s="64"/>
      <c r="CH39" s="64"/>
      <c r="CI39" s="65"/>
      <c r="CJ39" s="64"/>
      <c r="CK39" s="64"/>
      <c r="CL39" s="64"/>
      <c r="CM39" s="64"/>
      <c r="CN39" s="65"/>
      <c r="CO39" s="64"/>
      <c r="CP39" s="64"/>
      <c r="CQ39" s="64"/>
      <c r="CR39" s="64"/>
      <c r="CS39" s="65"/>
      <c r="CT39" s="64"/>
      <c r="CU39" s="64"/>
      <c r="CV39" s="64"/>
      <c r="CW39" s="64"/>
      <c r="CX39" s="65"/>
      <c r="CY39" s="10"/>
    </row>
    <row r="40" spans="1:103" ht="15.75" hidden="1" x14ac:dyDescent="0.25">
      <c r="A40" s="141">
        <f t="shared" si="10"/>
        <v>12</v>
      </c>
      <c r="B40" s="194">
        <f t="shared" si="11"/>
        <v>0</v>
      </c>
      <c r="C40" s="66"/>
      <c r="D40" s="67"/>
      <c r="E40" s="58"/>
      <c r="F40" s="58"/>
      <c r="G40" s="115"/>
      <c r="H40" s="119"/>
      <c r="I40" s="58"/>
      <c r="J40" s="120"/>
      <c r="K40" s="58"/>
      <c r="L40" s="48"/>
      <c r="M40" s="104">
        <f t="shared" si="12"/>
        <v>0</v>
      </c>
      <c r="N40" s="59"/>
      <c r="O40" s="105">
        <f t="shared" si="13"/>
        <v>0</v>
      </c>
      <c r="P40" s="131">
        <f t="shared" si="14"/>
        <v>0</v>
      </c>
      <c r="Q40" s="134" t="str">
        <f t="shared" si="15"/>
        <v/>
      </c>
      <c r="R40" s="50"/>
      <c r="S40" s="60">
        <f t="shared" si="16"/>
        <v>12</v>
      </c>
      <c r="T40" s="61" t="str">
        <f t="shared" si="17"/>
        <v/>
      </c>
      <c r="U40" s="62" t="str">
        <f t="shared" si="18"/>
        <v/>
      </c>
      <c r="V40" s="63">
        <f t="shared" si="9"/>
        <v>0</v>
      </c>
      <c r="W40" s="64"/>
      <c r="X40" s="64"/>
      <c r="Y40" s="64"/>
      <c r="Z40" s="64"/>
      <c r="AA40" s="65"/>
      <c r="AB40" s="64"/>
      <c r="AC40" s="64"/>
      <c r="AD40" s="64"/>
      <c r="AE40" s="64"/>
      <c r="AF40" s="65"/>
      <c r="AG40" s="64"/>
      <c r="AH40" s="64"/>
      <c r="AI40" s="64"/>
      <c r="AJ40" s="64"/>
      <c r="AK40" s="65"/>
      <c r="AL40" s="64"/>
      <c r="AM40" s="64"/>
      <c r="AN40" s="64"/>
      <c r="AO40" s="64"/>
      <c r="AP40" s="65"/>
      <c r="AQ40" s="64"/>
      <c r="AR40" s="64"/>
      <c r="AS40" s="64"/>
      <c r="AT40" s="64"/>
      <c r="AU40" s="65"/>
      <c r="AV40" s="64"/>
      <c r="AW40" s="64"/>
      <c r="AX40" s="64"/>
      <c r="AY40" s="64"/>
      <c r="AZ40" s="65"/>
      <c r="BA40" s="64"/>
      <c r="BB40" s="64"/>
      <c r="BC40" s="64"/>
      <c r="BD40" s="64"/>
      <c r="BE40" s="65"/>
      <c r="BF40" s="64"/>
      <c r="BG40" s="64"/>
      <c r="BH40" s="64"/>
      <c r="BI40" s="64"/>
      <c r="BJ40" s="65"/>
      <c r="BK40" s="64"/>
      <c r="BL40" s="64"/>
      <c r="BM40" s="64"/>
      <c r="BN40" s="64"/>
      <c r="BO40" s="65"/>
      <c r="BP40" s="64"/>
      <c r="BQ40" s="64"/>
      <c r="BR40" s="64"/>
      <c r="BS40" s="64"/>
      <c r="BT40" s="65"/>
      <c r="BU40" s="64"/>
      <c r="BV40" s="64"/>
      <c r="BW40" s="64"/>
      <c r="BX40" s="64"/>
      <c r="BY40" s="65"/>
      <c r="BZ40" s="64"/>
      <c r="CA40" s="64"/>
      <c r="CB40" s="64"/>
      <c r="CC40" s="64"/>
      <c r="CD40" s="65"/>
      <c r="CE40" s="64"/>
      <c r="CF40" s="64"/>
      <c r="CG40" s="64"/>
      <c r="CH40" s="64"/>
      <c r="CI40" s="65"/>
      <c r="CJ40" s="64"/>
      <c r="CK40" s="64"/>
      <c r="CL40" s="64"/>
      <c r="CM40" s="64"/>
      <c r="CN40" s="65"/>
      <c r="CO40" s="64"/>
      <c r="CP40" s="64"/>
      <c r="CQ40" s="64"/>
      <c r="CR40" s="64"/>
      <c r="CS40" s="65"/>
      <c r="CT40" s="64"/>
      <c r="CU40" s="64"/>
      <c r="CV40" s="64"/>
      <c r="CW40" s="64"/>
      <c r="CX40" s="65"/>
      <c r="CY40" s="10"/>
    </row>
    <row r="41" spans="1:103" ht="15.75" hidden="1" x14ac:dyDescent="0.25">
      <c r="A41" s="141">
        <f>IF(B41&gt;0,A40+1,A40)</f>
        <v>12</v>
      </c>
      <c r="B41" s="194">
        <f t="shared" si="11"/>
        <v>0</v>
      </c>
      <c r="C41" s="66"/>
      <c r="D41" s="67"/>
      <c r="E41" s="58"/>
      <c r="F41" s="58"/>
      <c r="G41" s="115"/>
      <c r="H41" s="119"/>
      <c r="I41" s="58"/>
      <c r="J41" s="120"/>
      <c r="K41" s="58"/>
      <c r="L41" s="48"/>
      <c r="M41" s="104">
        <f t="shared" si="12"/>
        <v>0</v>
      </c>
      <c r="N41" s="59"/>
      <c r="O41" s="105">
        <f t="shared" si="13"/>
        <v>0</v>
      </c>
      <c r="P41" s="131">
        <f t="shared" si="14"/>
        <v>0</v>
      </c>
      <c r="Q41" s="134" t="str">
        <f t="shared" si="15"/>
        <v/>
      </c>
      <c r="R41" s="50"/>
      <c r="S41" s="60">
        <f t="shared" si="16"/>
        <v>12</v>
      </c>
      <c r="T41" s="61" t="str">
        <f t="shared" si="17"/>
        <v/>
      </c>
      <c r="U41" s="62" t="str">
        <f t="shared" si="18"/>
        <v/>
      </c>
      <c r="V41" s="63">
        <f t="shared" si="9"/>
        <v>0</v>
      </c>
      <c r="W41" s="64"/>
      <c r="X41" s="64"/>
      <c r="Y41" s="64"/>
      <c r="Z41" s="64"/>
      <c r="AA41" s="65"/>
      <c r="AB41" s="64"/>
      <c r="AC41" s="64"/>
      <c r="AD41" s="64"/>
      <c r="AE41" s="64"/>
      <c r="AF41" s="65"/>
      <c r="AG41" s="64"/>
      <c r="AH41" s="64"/>
      <c r="AI41" s="64"/>
      <c r="AJ41" s="64"/>
      <c r="AK41" s="65"/>
      <c r="AL41" s="64"/>
      <c r="AM41" s="64"/>
      <c r="AN41" s="64"/>
      <c r="AO41" s="64"/>
      <c r="AP41" s="65"/>
      <c r="AQ41" s="64"/>
      <c r="AR41" s="64"/>
      <c r="AS41" s="64"/>
      <c r="AT41" s="64"/>
      <c r="AU41" s="65"/>
      <c r="AV41" s="64"/>
      <c r="AW41" s="64"/>
      <c r="AX41" s="64"/>
      <c r="AY41" s="64"/>
      <c r="AZ41" s="65"/>
      <c r="BA41" s="64"/>
      <c r="BB41" s="64"/>
      <c r="BC41" s="64"/>
      <c r="BD41" s="64"/>
      <c r="BE41" s="65"/>
      <c r="BF41" s="64"/>
      <c r="BG41" s="64"/>
      <c r="BH41" s="64"/>
      <c r="BI41" s="64"/>
      <c r="BJ41" s="65"/>
      <c r="BK41" s="64"/>
      <c r="BL41" s="64"/>
      <c r="BM41" s="64"/>
      <c r="BN41" s="64"/>
      <c r="BO41" s="65"/>
      <c r="BP41" s="64"/>
      <c r="BQ41" s="64"/>
      <c r="BR41" s="64"/>
      <c r="BS41" s="64"/>
      <c r="BT41" s="65"/>
      <c r="BU41" s="64"/>
      <c r="BV41" s="64"/>
      <c r="BW41" s="64"/>
      <c r="BX41" s="64"/>
      <c r="BY41" s="65"/>
      <c r="BZ41" s="64"/>
      <c r="CA41" s="64"/>
      <c r="CB41" s="64"/>
      <c r="CC41" s="64"/>
      <c r="CD41" s="65"/>
      <c r="CE41" s="64"/>
      <c r="CF41" s="64"/>
      <c r="CG41" s="64"/>
      <c r="CH41" s="64"/>
      <c r="CI41" s="65"/>
      <c r="CJ41" s="64"/>
      <c r="CK41" s="64"/>
      <c r="CL41" s="64"/>
      <c r="CM41" s="64"/>
      <c r="CN41" s="65"/>
      <c r="CO41" s="64"/>
      <c r="CP41" s="64"/>
      <c r="CQ41" s="64"/>
      <c r="CR41" s="64"/>
      <c r="CS41" s="65"/>
      <c r="CT41" s="64"/>
      <c r="CU41" s="64"/>
      <c r="CV41" s="64"/>
      <c r="CW41" s="64"/>
      <c r="CX41" s="65"/>
      <c r="CY41" s="10"/>
    </row>
    <row r="42" spans="1:103" ht="15.75" hidden="1" x14ac:dyDescent="0.25">
      <c r="A42" s="141">
        <f t="shared" si="10"/>
        <v>12</v>
      </c>
      <c r="B42" s="194">
        <f t="shared" si="11"/>
        <v>0</v>
      </c>
      <c r="C42" s="66"/>
      <c r="D42" s="67"/>
      <c r="E42" s="58"/>
      <c r="F42" s="58"/>
      <c r="G42" s="115"/>
      <c r="H42" s="119"/>
      <c r="I42" s="58"/>
      <c r="J42" s="120"/>
      <c r="K42" s="58"/>
      <c r="L42" s="48"/>
      <c r="M42" s="104">
        <f t="shared" si="12"/>
        <v>0</v>
      </c>
      <c r="N42" s="59"/>
      <c r="O42" s="105">
        <f t="shared" si="13"/>
        <v>0</v>
      </c>
      <c r="P42" s="131">
        <f t="shared" si="14"/>
        <v>0</v>
      </c>
      <c r="Q42" s="134" t="str">
        <f t="shared" si="15"/>
        <v/>
      </c>
      <c r="R42" s="50"/>
      <c r="S42" s="60">
        <f t="shared" si="16"/>
        <v>12</v>
      </c>
      <c r="T42" s="61" t="str">
        <f t="shared" si="17"/>
        <v/>
      </c>
      <c r="U42" s="62" t="str">
        <f t="shared" si="18"/>
        <v/>
      </c>
      <c r="V42" s="63">
        <f t="shared" si="9"/>
        <v>0</v>
      </c>
      <c r="W42" s="64"/>
      <c r="X42" s="64"/>
      <c r="Y42" s="64"/>
      <c r="Z42" s="64"/>
      <c r="AA42" s="65"/>
      <c r="AB42" s="64"/>
      <c r="AC42" s="64"/>
      <c r="AD42" s="64"/>
      <c r="AE42" s="64"/>
      <c r="AF42" s="65"/>
      <c r="AG42" s="64"/>
      <c r="AH42" s="64"/>
      <c r="AI42" s="64"/>
      <c r="AJ42" s="64"/>
      <c r="AK42" s="65"/>
      <c r="AL42" s="64"/>
      <c r="AM42" s="64"/>
      <c r="AN42" s="64"/>
      <c r="AO42" s="64"/>
      <c r="AP42" s="65"/>
      <c r="AQ42" s="64"/>
      <c r="AR42" s="64"/>
      <c r="AS42" s="64"/>
      <c r="AT42" s="64"/>
      <c r="AU42" s="65"/>
      <c r="AV42" s="64"/>
      <c r="AW42" s="64"/>
      <c r="AX42" s="64"/>
      <c r="AY42" s="64"/>
      <c r="AZ42" s="65"/>
      <c r="BA42" s="64"/>
      <c r="BB42" s="64"/>
      <c r="BC42" s="64"/>
      <c r="BD42" s="64"/>
      <c r="BE42" s="65"/>
      <c r="BF42" s="64"/>
      <c r="BG42" s="64"/>
      <c r="BH42" s="64"/>
      <c r="BI42" s="64"/>
      <c r="BJ42" s="65"/>
      <c r="BK42" s="64"/>
      <c r="BL42" s="64"/>
      <c r="BM42" s="64"/>
      <c r="BN42" s="64"/>
      <c r="BO42" s="65"/>
      <c r="BP42" s="64"/>
      <c r="BQ42" s="64"/>
      <c r="BR42" s="64"/>
      <c r="BS42" s="64"/>
      <c r="BT42" s="65"/>
      <c r="BU42" s="64"/>
      <c r="BV42" s="64"/>
      <c r="BW42" s="64"/>
      <c r="BX42" s="64"/>
      <c r="BY42" s="65"/>
      <c r="BZ42" s="64"/>
      <c r="CA42" s="64"/>
      <c r="CB42" s="64"/>
      <c r="CC42" s="64"/>
      <c r="CD42" s="65"/>
      <c r="CE42" s="64"/>
      <c r="CF42" s="64"/>
      <c r="CG42" s="64"/>
      <c r="CH42" s="64"/>
      <c r="CI42" s="65"/>
      <c r="CJ42" s="64"/>
      <c r="CK42" s="64"/>
      <c r="CL42" s="64"/>
      <c r="CM42" s="64"/>
      <c r="CN42" s="65"/>
      <c r="CO42" s="64"/>
      <c r="CP42" s="64"/>
      <c r="CQ42" s="64"/>
      <c r="CR42" s="64"/>
      <c r="CS42" s="65"/>
      <c r="CT42" s="64"/>
      <c r="CU42" s="64"/>
      <c r="CV42" s="64"/>
      <c r="CW42" s="64"/>
      <c r="CX42" s="65"/>
      <c r="CY42" s="10"/>
    </row>
    <row r="43" spans="1:103" ht="15.75" hidden="1" x14ac:dyDescent="0.25">
      <c r="A43" s="141">
        <f t="shared" si="10"/>
        <v>12</v>
      </c>
      <c r="B43" s="194">
        <f t="shared" si="11"/>
        <v>0</v>
      </c>
      <c r="C43" s="66"/>
      <c r="D43" s="67"/>
      <c r="E43" s="58"/>
      <c r="F43" s="58"/>
      <c r="G43" s="115"/>
      <c r="H43" s="119"/>
      <c r="I43" s="58"/>
      <c r="J43" s="120"/>
      <c r="K43" s="58"/>
      <c r="L43" s="48"/>
      <c r="M43" s="104">
        <f t="shared" si="12"/>
        <v>0</v>
      </c>
      <c r="N43" s="59"/>
      <c r="O43" s="105">
        <f t="shared" si="13"/>
        <v>0</v>
      </c>
      <c r="P43" s="131">
        <f t="shared" si="14"/>
        <v>0</v>
      </c>
      <c r="Q43" s="134" t="str">
        <f t="shared" si="15"/>
        <v/>
      </c>
      <c r="R43" s="50"/>
      <c r="S43" s="60">
        <f t="shared" si="16"/>
        <v>12</v>
      </c>
      <c r="T43" s="61" t="str">
        <f t="shared" si="17"/>
        <v/>
      </c>
      <c r="U43" s="62" t="str">
        <f t="shared" si="18"/>
        <v/>
      </c>
      <c r="V43" s="63">
        <f t="shared" si="9"/>
        <v>0</v>
      </c>
      <c r="W43" s="64"/>
      <c r="X43" s="64"/>
      <c r="Y43" s="64"/>
      <c r="Z43" s="64"/>
      <c r="AA43" s="65"/>
      <c r="AB43" s="64"/>
      <c r="AC43" s="64"/>
      <c r="AD43" s="64"/>
      <c r="AE43" s="64"/>
      <c r="AF43" s="65"/>
      <c r="AG43" s="64"/>
      <c r="AH43" s="64"/>
      <c r="AI43" s="64"/>
      <c r="AJ43" s="64"/>
      <c r="AK43" s="65"/>
      <c r="AL43" s="64"/>
      <c r="AM43" s="64"/>
      <c r="AN43" s="64"/>
      <c r="AO43" s="64"/>
      <c r="AP43" s="65"/>
      <c r="AQ43" s="64"/>
      <c r="AR43" s="64"/>
      <c r="AS43" s="64"/>
      <c r="AT43" s="64"/>
      <c r="AU43" s="65"/>
      <c r="AV43" s="64"/>
      <c r="AW43" s="64"/>
      <c r="AX43" s="64"/>
      <c r="AY43" s="64"/>
      <c r="AZ43" s="65"/>
      <c r="BA43" s="64"/>
      <c r="BB43" s="64"/>
      <c r="BC43" s="64"/>
      <c r="BD43" s="64"/>
      <c r="BE43" s="65"/>
      <c r="BF43" s="64"/>
      <c r="BG43" s="64"/>
      <c r="BH43" s="64"/>
      <c r="BI43" s="64"/>
      <c r="BJ43" s="65"/>
      <c r="BK43" s="64"/>
      <c r="BL43" s="64"/>
      <c r="BM43" s="64"/>
      <c r="BN43" s="64"/>
      <c r="BO43" s="65"/>
      <c r="BP43" s="64"/>
      <c r="BQ43" s="64"/>
      <c r="BR43" s="64"/>
      <c r="BS43" s="64"/>
      <c r="BT43" s="65"/>
      <c r="BU43" s="64"/>
      <c r="BV43" s="64"/>
      <c r="BW43" s="64"/>
      <c r="BX43" s="64"/>
      <c r="BY43" s="65"/>
      <c r="BZ43" s="64"/>
      <c r="CA43" s="64"/>
      <c r="CB43" s="64"/>
      <c r="CC43" s="64"/>
      <c r="CD43" s="65"/>
      <c r="CE43" s="64"/>
      <c r="CF43" s="64"/>
      <c r="CG43" s="64"/>
      <c r="CH43" s="64"/>
      <c r="CI43" s="65"/>
      <c r="CJ43" s="64"/>
      <c r="CK43" s="64"/>
      <c r="CL43" s="64"/>
      <c r="CM43" s="64"/>
      <c r="CN43" s="65"/>
      <c r="CO43" s="64"/>
      <c r="CP43" s="64"/>
      <c r="CQ43" s="64"/>
      <c r="CR43" s="64"/>
      <c r="CS43" s="65"/>
      <c r="CT43" s="64"/>
      <c r="CU43" s="64"/>
      <c r="CV43" s="64"/>
      <c r="CW43" s="64"/>
      <c r="CX43" s="65"/>
      <c r="CY43" s="10"/>
    </row>
    <row r="44" spans="1:103" ht="15.75" hidden="1" x14ac:dyDescent="0.25">
      <c r="A44" s="141">
        <f t="shared" si="10"/>
        <v>12</v>
      </c>
      <c r="B44" s="194">
        <f t="shared" si="11"/>
        <v>0</v>
      </c>
      <c r="C44" s="66"/>
      <c r="D44" s="67"/>
      <c r="E44" s="58"/>
      <c r="F44" s="58"/>
      <c r="G44" s="115"/>
      <c r="H44" s="119"/>
      <c r="I44" s="58"/>
      <c r="J44" s="120"/>
      <c r="K44" s="58"/>
      <c r="L44" s="48"/>
      <c r="M44" s="104">
        <f t="shared" si="12"/>
        <v>0</v>
      </c>
      <c r="N44" s="59"/>
      <c r="O44" s="105">
        <f t="shared" si="13"/>
        <v>0</v>
      </c>
      <c r="P44" s="131">
        <f t="shared" si="14"/>
        <v>0</v>
      </c>
      <c r="Q44" s="134" t="str">
        <f t="shared" si="15"/>
        <v/>
      </c>
      <c r="R44" s="50"/>
      <c r="S44" s="60">
        <f t="shared" si="16"/>
        <v>12</v>
      </c>
      <c r="T44" s="61" t="str">
        <f t="shared" si="17"/>
        <v/>
      </c>
      <c r="U44" s="62" t="str">
        <f t="shared" si="18"/>
        <v/>
      </c>
      <c r="V44" s="63">
        <f t="shared" si="9"/>
        <v>0</v>
      </c>
      <c r="W44" s="64"/>
      <c r="X44" s="64"/>
      <c r="Y44" s="64"/>
      <c r="Z44" s="64"/>
      <c r="AA44" s="65"/>
      <c r="AB44" s="64"/>
      <c r="AC44" s="64"/>
      <c r="AD44" s="64"/>
      <c r="AE44" s="64"/>
      <c r="AF44" s="65"/>
      <c r="AG44" s="64"/>
      <c r="AH44" s="64"/>
      <c r="AI44" s="64"/>
      <c r="AJ44" s="64"/>
      <c r="AK44" s="65"/>
      <c r="AL44" s="64"/>
      <c r="AM44" s="64"/>
      <c r="AN44" s="64"/>
      <c r="AO44" s="64"/>
      <c r="AP44" s="65"/>
      <c r="AQ44" s="64"/>
      <c r="AR44" s="64"/>
      <c r="AS44" s="64"/>
      <c r="AT44" s="64"/>
      <c r="AU44" s="65"/>
      <c r="AV44" s="64"/>
      <c r="AW44" s="64"/>
      <c r="AX44" s="64"/>
      <c r="AY44" s="64"/>
      <c r="AZ44" s="65"/>
      <c r="BA44" s="64"/>
      <c r="BB44" s="64"/>
      <c r="BC44" s="64"/>
      <c r="BD44" s="64"/>
      <c r="BE44" s="65"/>
      <c r="BF44" s="64"/>
      <c r="BG44" s="64"/>
      <c r="BH44" s="64"/>
      <c r="BI44" s="64"/>
      <c r="BJ44" s="65"/>
      <c r="BK44" s="64"/>
      <c r="BL44" s="64"/>
      <c r="BM44" s="64"/>
      <c r="BN44" s="64"/>
      <c r="BO44" s="65"/>
      <c r="BP44" s="64"/>
      <c r="BQ44" s="64"/>
      <c r="BR44" s="64"/>
      <c r="BS44" s="64"/>
      <c r="BT44" s="65"/>
      <c r="BU44" s="64"/>
      <c r="BV44" s="64"/>
      <c r="BW44" s="64"/>
      <c r="BX44" s="64"/>
      <c r="BY44" s="65"/>
      <c r="BZ44" s="64"/>
      <c r="CA44" s="64"/>
      <c r="CB44" s="64"/>
      <c r="CC44" s="64"/>
      <c r="CD44" s="65"/>
      <c r="CE44" s="64"/>
      <c r="CF44" s="64"/>
      <c r="CG44" s="64"/>
      <c r="CH44" s="64"/>
      <c r="CI44" s="65"/>
      <c r="CJ44" s="64"/>
      <c r="CK44" s="64"/>
      <c r="CL44" s="64"/>
      <c r="CM44" s="64"/>
      <c r="CN44" s="65"/>
      <c r="CO44" s="64"/>
      <c r="CP44" s="64"/>
      <c r="CQ44" s="64"/>
      <c r="CR44" s="64"/>
      <c r="CS44" s="65"/>
      <c r="CT44" s="64"/>
      <c r="CU44" s="64"/>
      <c r="CV44" s="64"/>
      <c r="CW44" s="64"/>
      <c r="CX44" s="65"/>
      <c r="CY44" s="10"/>
    </row>
    <row r="45" spans="1:103" ht="15.75" hidden="1" x14ac:dyDescent="0.25">
      <c r="A45" s="141">
        <f t="shared" si="10"/>
        <v>12</v>
      </c>
      <c r="B45" s="194">
        <f t="shared" si="11"/>
        <v>0</v>
      </c>
      <c r="C45" s="66"/>
      <c r="D45" s="67"/>
      <c r="E45" s="58"/>
      <c r="F45" s="58"/>
      <c r="G45" s="115"/>
      <c r="H45" s="119"/>
      <c r="I45" s="58"/>
      <c r="J45" s="120"/>
      <c r="K45" s="58"/>
      <c r="L45" s="48"/>
      <c r="M45" s="104">
        <f t="shared" si="12"/>
        <v>0</v>
      </c>
      <c r="N45" s="59"/>
      <c r="O45" s="105">
        <f t="shared" si="13"/>
        <v>0</v>
      </c>
      <c r="P45" s="131">
        <f t="shared" si="14"/>
        <v>0</v>
      </c>
      <c r="Q45" s="134" t="str">
        <f t="shared" si="15"/>
        <v/>
      </c>
      <c r="R45" s="50"/>
      <c r="S45" s="60">
        <f t="shared" si="16"/>
        <v>12</v>
      </c>
      <c r="T45" s="61" t="str">
        <f t="shared" si="17"/>
        <v/>
      </c>
      <c r="U45" s="62" t="str">
        <f t="shared" si="18"/>
        <v/>
      </c>
      <c r="V45" s="63">
        <f t="shared" si="9"/>
        <v>0</v>
      </c>
      <c r="W45" s="64"/>
      <c r="X45" s="64"/>
      <c r="Y45" s="64"/>
      <c r="Z45" s="64"/>
      <c r="AA45" s="65"/>
      <c r="AB45" s="64"/>
      <c r="AC45" s="64"/>
      <c r="AD45" s="64"/>
      <c r="AE45" s="64"/>
      <c r="AF45" s="65"/>
      <c r="AG45" s="64"/>
      <c r="AH45" s="64"/>
      <c r="AI45" s="64"/>
      <c r="AJ45" s="64"/>
      <c r="AK45" s="65"/>
      <c r="AL45" s="64"/>
      <c r="AM45" s="64"/>
      <c r="AN45" s="64"/>
      <c r="AO45" s="64"/>
      <c r="AP45" s="65"/>
      <c r="AQ45" s="64"/>
      <c r="AR45" s="64"/>
      <c r="AS45" s="64"/>
      <c r="AT45" s="64"/>
      <c r="AU45" s="65"/>
      <c r="AV45" s="64"/>
      <c r="AW45" s="64"/>
      <c r="AX45" s="64"/>
      <c r="AY45" s="64"/>
      <c r="AZ45" s="65"/>
      <c r="BA45" s="64"/>
      <c r="BB45" s="64"/>
      <c r="BC45" s="64"/>
      <c r="BD45" s="64"/>
      <c r="BE45" s="65"/>
      <c r="BF45" s="64"/>
      <c r="BG45" s="64"/>
      <c r="BH45" s="64"/>
      <c r="BI45" s="64"/>
      <c r="BJ45" s="65"/>
      <c r="BK45" s="64"/>
      <c r="BL45" s="64"/>
      <c r="BM45" s="64"/>
      <c r="BN45" s="64"/>
      <c r="BO45" s="65"/>
      <c r="BP45" s="64"/>
      <c r="BQ45" s="64"/>
      <c r="BR45" s="64"/>
      <c r="BS45" s="64"/>
      <c r="BT45" s="65"/>
      <c r="BU45" s="64"/>
      <c r="BV45" s="64"/>
      <c r="BW45" s="64"/>
      <c r="BX45" s="64"/>
      <c r="BY45" s="65"/>
      <c r="BZ45" s="64"/>
      <c r="CA45" s="64"/>
      <c r="CB45" s="64"/>
      <c r="CC45" s="64"/>
      <c r="CD45" s="65"/>
      <c r="CE45" s="64"/>
      <c r="CF45" s="64"/>
      <c r="CG45" s="64"/>
      <c r="CH45" s="64"/>
      <c r="CI45" s="65"/>
      <c r="CJ45" s="64"/>
      <c r="CK45" s="64"/>
      <c r="CL45" s="64"/>
      <c r="CM45" s="64"/>
      <c r="CN45" s="65"/>
      <c r="CO45" s="64"/>
      <c r="CP45" s="64"/>
      <c r="CQ45" s="64"/>
      <c r="CR45" s="64"/>
      <c r="CS45" s="65"/>
      <c r="CT45" s="64"/>
      <c r="CU45" s="64"/>
      <c r="CV45" s="64"/>
      <c r="CW45" s="64"/>
      <c r="CX45" s="65"/>
      <c r="CY45" s="10"/>
    </row>
    <row r="46" spans="1:103" ht="15.75" hidden="1" x14ac:dyDescent="0.25">
      <c r="A46" s="141">
        <f t="shared" si="10"/>
        <v>12</v>
      </c>
      <c r="B46" s="194">
        <f t="shared" si="11"/>
        <v>0</v>
      </c>
      <c r="C46" s="66"/>
      <c r="D46" s="67"/>
      <c r="E46" s="58"/>
      <c r="F46" s="58"/>
      <c r="G46" s="115"/>
      <c r="H46" s="119"/>
      <c r="I46" s="58"/>
      <c r="J46" s="120"/>
      <c r="K46" s="58"/>
      <c r="L46" s="48"/>
      <c r="M46" s="104">
        <f t="shared" si="12"/>
        <v>0</v>
      </c>
      <c r="N46" s="59"/>
      <c r="O46" s="105">
        <f t="shared" si="13"/>
        <v>0</v>
      </c>
      <c r="P46" s="131">
        <f t="shared" si="14"/>
        <v>0</v>
      </c>
      <c r="Q46" s="134" t="str">
        <f t="shared" si="15"/>
        <v/>
      </c>
      <c r="R46" s="50"/>
      <c r="S46" s="60">
        <f t="shared" si="16"/>
        <v>12</v>
      </c>
      <c r="T46" s="61" t="str">
        <f t="shared" si="17"/>
        <v/>
      </c>
      <c r="U46" s="62" t="str">
        <f t="shared" si="18"/>
        <v/>
      </c>
      <c r="V46" s="63">
        <f t="shared" si="9"/>
        <v>0</v>
      </c>
      <c r="W46" s="64"/>
      <c r="X46" s="64"/>
      <c r="Y46" s="64"/>
      <c r="Z46" s="64"/>
      <c r="AA46" s="65"/>
      <c r="AB46" s="64"/>
      <c r="AC46" s="64"/>
      <c r="AD46" s="64"/>
      <c r="AE46" s="64"/>
      <c r="AF46" s="65"/>
      <c r="AG46" s="64"/>
      <c r="AH46" s="64"/>
      <c r="AI46" s="64"/>
      <c r="AJ46" s="64"/>
      <c r="AK46" s="65"/>
      <c r="AL46" s="64"/>
      <c r="AM46" s="64"/>
      <c r="AN46" s="64"/>
      <c r="AO46" s="64"/>
      <c r="AP46" s="65"/>
      <c r="AQ46" s="64"/>
      <c r="AR46" s="64"/>
      <c r="AS46" s="64"/>
      <c r="AT46" s="64"/>
      <c r="AU46" s="65"/>
      <c r="AV46" s="64"/>
      <c r="AW46" s="64"/>
      <c r="AX46" s="64"/>
      <c r="AY46" s="64"/>
      <c r="AZ46" s="65"/>
      <c r="BA46" s="64"/>
      <c r="BB46" s="64"/>
      <c r="BC46" s="64"/>
      <c r="BD46" s="64"/>
      <c r="BE46" s="65"/>
      <c r="BF46" s="64"/>
      <c r="BG46" s="64"/>
      <c r="BH46" s="64"/>
      <c r="BI46" s="64"/>
      <c r="BJ46" s="65"/>
      <c r="BK46" s="64"/>
      <c r="BL46" s="64"/>
      <c r="BM46" s="64"/>
      <c r="BN46" s="64"/>
      <c r="BO46" s="65"/>
      <c r="BP46" s="64"/>
      <c r="BQ46" s="64"/>
      <c r="BR46" s="64"/>
      <c r="BS46" s="64"/>
      <c r="BT46" s="65"/>
      <c r="BU46" s="64"/>
      <c r="BV46" s="64"/>
      <c r="BW46" s="64"/>
      <c r="BX46" s="64"/>
      <c r="BY46" s="65"/>
      <c r="BZ46" s="64"/>
      <c r="CA46" s="64"/>
      <c r="CB46" s="64"/>
      <c r="CC46" s="64"/>
      <c r="CD46" s="65"/>
      <c r="CE46" s="64"/>
      <c r="CF46" s="64"/>
      <c r="CG46" s="64"/>
      <c r="CH46" s="64"/>
      <c r="CI46" s="65"/>
      <c r="CJ46" s="64"/>
      <c r="CK46" s="64"/>
      <c r="CL46" s="64"/>
      <c r="CM46" s="64"/>
      <c r="CN46" s="65"/>
      <c r="CO46" s="64"/>
      <c r="CP46" s="64"/>
      <c r="CQ46" s="64"/>
      <c r="CR46" s="64"/>
      <c r="CS46" s="65"/>
      <c r="CT46" s="64"/>
      <c r="CU46" s="64"/>
      <c r="CV46" s="64"/>
      <c r="CW46" s="64"/>
      <c r="CX46" s="65"/>
      <c r="CY46" s="10"/>
    </row>
    <row r="47" spans="1:103" ht="15.75" hidden="1" x14ac:dyDescent="0.25">
      <c r="A47" s="141">
        <f t="shared" si="10"/>
        <v>12</v>
      </c>
      <c r="B47" s="194">
        <f t="shared" si="11"/>
        <v>0</v>
      </c>
      <c r="C47" s="66"/>
      <c r="D47" s="67"/>
      <c r="E47" s="58"/>
      <c r="F47" s="58"/>
      <c r="G47" s="115"/>
      <c r="H47" s="119"/>
      <c r="I47" s="58"/>
      <c r="J47" s="120"/>
      <c r="K47" s="58"/>
      <c r="L47" s="48"/>
      <c r="M47" s="104">
        <f t="shared" si="12"/>
        <v>0</v>
      </c>
      <c r="N47" s="59"/>
      <c r="O47" s="105">
        <f t="shared" si="13"/>
        <v>0</v>
      </c>
      <c r="P47" s="131">
        <f t="shared" si="14"/>
        <v>0</v>
      </c>
      <c r="Q47" s="134" t="str">
        <f t="shared" si="15"/>
        <v/>
      </c>
      <c r="R47" s="50"/>
      <c r="S47" s="60">
        <f t="shared" si="16"/>
        <v>12</v>
      </c>
      <c r="T47" s="61" t="str">
        <f t="shared" si="17"/>
        <v/>
      </c>
      <c r="U47" s="62" t="str">
        <f t="shared" si="18"/>
        <v/>
      </c>
      <c r="V47" s="63">
        <f t="shared" si="9"/>
        <v>0</v>
      </c>
      <c r="W47" s="64"/>
      <c r="X47" s="64"/>
      <c r="Y47" s="64"/>
      <c r="Z47" s="64"/>
      <c r="AA47" s="65"/>
      <c r="AB47" s="64"/>
      <c r="AC47" s="64"/>
      <c r="AD47" s="64"/>
      <c r="AE47" s="64"/>
      <c r="AF47" s="65"/>
      <c r="AG47" s="64"/>
      <c r="AH47" s="64"/>
      <c r="AI47" s="64"/>
      <c r="AJ47" s="64"/>
      <c r="AK47" s="65"/>
      <c r="AL47" s="64"/>
      <c r="AM47" s="64"/>
      <c r="AN47" s="64"/>
      <c r="AO47" s="64"/>
      <c r="AP47" s="65"/>
      <c r="AQ47" s="64"/>
      <c r="AR47" s="64"/>
      <c r="AS47" s="64"/>
      <c r="AT47" s="64"/>
      <c r="AU47" s="65"/>
      <c r="AV47" s="64"/>
      <c r="AW47" s="64"/>
      <c r="AX47" s="64"/>
      <c r="AY47" s="64"/>
      <c r="AZ47" s="65"/>
      <c r="BA47" s="64"/>
      <c r="BB47" s="64"/>
      <c r="BC47" s="64"/>
      <c r="BD47" s="64"/>
      <c r="BE47" s="65"/>
      <c r="BF47" s="64"/>
      <c r="BG47" s="64"/>
      <c r="BH47" s="64"/>
      <c r="BI47" s="64"/>
      <c r="BJ47" s="65"/>
      <c r="BK47" s="64"/>
      <c r="BL47" s="64"/>
      <c r="BM47" s="64"/>
      <c r="BN47" s="64"/>
      <c r="BO47" s="65"/>
      <c r="BP47" s="64"/>
      <c r="BQ47" s="64"/>
      <c r="BR47" s="64"/>
      <c r="BS47" s="64"/>
      <c r="BT47" s="65"/>
      <c r="BU47" s="64"/>
      <c r="BV47" s="64"/>
      <c r="BW47" s="64"/>
      <c r="BX47" s="64"/>
      <c r="BY47" s="65"/>
      <c r="BZ47" s="64"/>
      <c r="CA47" s="64"/>
      <c r="CB47" s="64"/>
      <c r="CC47" s="64"/>
      <c r="CD47" s="65"/>
      <c r="CE47" s="64"/>
      <c r="CF47" s="64"/>
      <c r="CG47" s="64"/>
      <c r="CH47" s="64"/>
      <c r="CI47" s="65"/>
      <c r="CJ47" s="64"/>
      <c r="CK47" s="64"/>
      <c r="CL47" s="64"/>
      <c r="CM47" s="64"/>
      <c r="CN47" s="65"/>
      <c r="CO47" s="64"/>
      <c r="CP47" s="64"/>
      <c r="CQ47" s="64"/>
      <c r="CR47" s="64"/>
      <c r="CS47" s="65"/>
      <c r="CT47" s="64"/>
      <c r="CU47" s="64"/>
      <c r="CV47" s="64"/>
      <c r="CW47" s="64"/>
      <c r="CX47" s="65"/>
      <c r="CY47" s="10"/>
    </row>
    <row r="48" spans="1:103" ht="15.75" hidden="1" x14ac:dyDescent="0.25">
      <c r="A48" s="141">
        <f t="shared" si="10"/>
        <v>12</v>
      </c>
      <c r="B48" s="194">
        <f t="shared" si="11"/>
        <v>0</v>
      </c>
      <c r="C48" s="66"/>
      <c r="D48" s="67"/>
      <c r="E48" s="58"/>
      <c r="F48" s="58"/>
      <c r="G48" s="115"/>
      <c r="H48" s="119"/>
      <c r="I48" s="58"/>
      <c r="J48" s="120"/>
      <c r="K48" s="58"/>
      <c r="L48" s="48"/>
      <c r="M48" s="104">
        <f t="shared" si="12"/>
        <v>0</v>
      </c>
      <c r="N48" s="59"/>
      <c r="O48" s="105">
        <f t="shared" si="13"/>
        <v>0</v>
      </c>
      <c r="P48" s="131">
        <f t="shared" si="14"/>
        <v>0</v>
      </c>
      <c r="Q48" s="134" t="str">
        <f t="shared" si="15"/>
        <v/>
      </c>
      <c r="R48" s="50"/>
      <c r="S48" s="60">
        <f t="shared" si="16"/>
        <v>12</v>
      </c>
      <c r="T48" s="61" t="str">
        <f t="shared" si="17"/>
        <v/>
      </c>
      <c r="U48" s="62" t="str">
        <f t="shared" si="18"/>
        <v/>
      </c>
      <c r="V48" s="63">
        <f t="shared" si="9"/>
        <v>0</v>
      </c>
      <c r="W48" s="64"/>
      <c r="X48" s="64"/>
      <c r="Y48" s="64"/>
      <c r="Z48" s="64"/>
      <c r="AA48" s="65"/>
      <c r="AB48" s="64"/>
      <c r="AC48" s="64"/>
      <c r="AD48" s="64"/>
      <c r="AE48" s="64"/>
      <c r="AF48" s="65"/>
      <c r="AG48" s="64"/>
      <c r="AH48" s="64"/>
      <c r="AI48" s="64"/>
      <c r="AJ48" s="64"/>
      <c r="AK48" s="65"/>
      <c r="AL48" s="64"/>
      <c r="AM48" s="64"/>
      <c r="AN48" s="64"/>
      <c r="AO48" s="64"/>
      <c r="AP48" s="65"/>
      <c r="AQ48" s="64"/>
      <c r="AR48" s="64"/>
      <c r="AS48" s="64"/>
      <c r="AT48" s="64"/>
      <c r="AU48" s="65"/>
      <c r="AV48" s="64"/>
      <c r="AW48" s="64"/>
      <c r="AX48" s="64"/>
      <c r="AY48" s="64"/>
      <c r="AZ48" s="65"/>
      <c r="BA48" s="64"/>
      <c r="BB48" s="64"/>
      <c r="BC48" s="64"/>
      <c r="BD48" s="64"/>
      <c r="BE48" s="65"/>
      <c r="BF48" s="64"/>
      <c r="BG48" s="64"/>
      <c r="BH48" s="64"/>
      <c r="BI48" s="64"/>
      <c r="BJ48" s="65"/>
      <c r="BK48" s="64"/>
      <c r="BL48" s="64"/>
      <c r="BM48" s="64"/>
      <c r="BN48" s="64"/>
      <c r="BO48" s="65"/>
      <c r="BP48" s="64"/>
      <c r="BQ48" s="64"/>
      <c r="BR48" s="64"/>
      <c r="BS48" s="64"/>
      <c r="BT48" s="65"/>
      <c r="BU48" s="64"/>
      <c r="BV48" s="64"/>
      <c r="BW48" s="64"/>
      <c r="BX48" s="64"/>
      <c r="BY48" s="65"/>
      <c r="BZ48" s="64"/>
      <c r="CA48" s="64"/>
      <c r="CB48" s="64"/>
      <c r="CC48" s="64"/>
      <c r="CD48" s="65"/>
      <c r="CE48" s="64"/>
      <c r="CF48" s="64"/>
      <c r="CG48" s="64"/>
      <c r="CH48" s="64"/>
      <c r="CI48" s="65"/>
      <c r="CJ48" s="64"/>
      <c r="CK48" s="64"/>
      <c r="CL48" s="64"/>
      <c r="CM48" s="64"/>
      <c r="CN48" s="65"/>
      <c r="CO48" s="64"/>
      <c r="CP48" s="64"/>
      <c r="CQ48" s="64"/>
      <c r="CR48" s="64"/>
      <c r="CS48" s="65"/>
      <c r="CT48" s="64"/>
      <c r="CU48" s="64"/>
      <c r="CV48" s="64"/>
      <c r="CW48" s="64"/>
      <c r="CX48" s="65"/>
      <c r="CY48" s="10"/>
    </row>
    <row r="49" spans="1:103" ht="15.75" hidden="1" x14ac:dyDescent="0.25">
      <c r="A49" s="141">
        <f t="shared" si="10"/>
        <v>12</v>
      </c>
      <c r="B49" s="194">
        <f t="shared" si="11"/>
        <v>0</v>
      </c>
      <c r="C49" s="66"/>
      <c r="D49" s="67"/>
      <c r="E49" s="58"/>
      <c r="F49" s="58"/>
      <c r="G49" s="115"/>
      <c r="H49" s="119"/>
      <c r="I49" s="58"/>
      <c r="J49" s="120"/>
      <c r="K49" s="58"/>
      <c r="L49" s="48"/>
      <c r="M49" s="104">
        <f t="shared" si="12"/>
        <v>0</v>
      </c>
      <c r="N49" s="59"/>
      <c r="O49" s="105">
        <f t="shared" si="13"/>
        <v>0</v>
      </c>
      <c r="P49" s="131">
        <f t="shared" si="14"/>
        <v>0</v>
      </c>
      <c r="Q49" s="134" t="str">
        <f t="shared" si="15"/>
        <v/>
      </c>
      <c r="R49" s="50"/>
      <c r="S49" s="60">
        <f t="shared" si="16"/>
        <v>12</v>
      </c>
      <c r="T49" s="61" t="str">
        <f t="shared" si="17"/>
        <v/>
      </c>
      <c r="U49" s="62" t="str">
        <f t="shared" si="18"/>
        <v/>
      </c>
      <c r="V49" s="63">
        <f t="shared" si="9"/>
        <v>0</v>
      </c>
      <c r="W49" s="64"/>
      <c r="X49" s="64"/>
      <c r="Y49" s="64"/>
      <c r="Z49" s="64"/>
      <c r="AA49" s="65"/>
      <c r="AB49" s="64"/>
      <c r="AC49" s="64"/>
      <c r="AD49" s="64"/>
      <c r="AE49" s="64"/>
      <c r="AF49" s="65"/>
      <c r="AG49" s="64"/>
      <c r="AH49" s="64"/>
      <c r="AI49" s="64"/>
      <c r="AJ49" s="64"/>
      <c r="AK49" s="65"/>
      <c r="AL49" s="64"/>
      <c r="AM49" s="64"/>
      <c r="AN49" s="64"/>
      <c r="AO49" s="64"/>
      <c r="AP49" s="65"/>
      <c r="AQ49" s="64"/>
      <c r="AR49" s="64"/>
      <c r="AS49" s="64"/>
      <c r="AT49" s="64"/>
      <c r="AU49" s="65"/>
      <c r="AV49" s="64"/>
      <c r="AW49" s="64"/>
      <c r="AX49" s="64"/>
      <c r="AY49" s="64"/>
      <c r="AZ49" s="65"/>
      <c r="BA49" s="64"/>
      <c r="BB49" s="64"/>
      <c r="BC49" s="64"/>
      <c r="BD49" s="64"/>
      <c r="BE49" s="65"/>
      <c r="BF49" s="64"/>
      <c r="BG49" s="64"/>
      <c r="BH49" s="64"/>
      <c r="BI49" s="64"/>
      <c r="BJ49" s="65"/>
      <c r="BK49" s="64"/>
      <c r="BL49" s="64"/>
      <c r="BM49" s="64"/>
      <c r="BN49" s="64"/>
      <c r="BO49" s="65"/>
      <c r="BP49" s="64"/>
      <c r="BQ49" s="64"/>
      <c r="BR49" s="64"/>
      <c r="BS49" s="64"/>
      <c r="BT49" s="65"/>
      <c r="BU49" s="64"/>
      <c r="BV49" s="64"/>
      <c r="BW49" s="64"/>
      <c r="BX49" s="64"/>
      <c r="BY49" s="65"/>
      <c r="BZ49" s="64"/>
      <c r="CA49" s="64"/>
      <c r="CB49" s="64"/>
      <c r="CC49" s="64"/>
      <c r="CD49" s="65"/>
      <c r="CE49" s="64"/>
      <c r="CF49" s="64"/>
      <c r="CG49" s="64"/>
      <c r="CH49" s="64"/>
      <c r="CI49" s="65"/>
      <c r="CJ49" s="64"/>
      <c r="CK49" s="64"/>
      <c r="CL49" s="64"/>
      <c r="CM49" s="64"/>
      <c r="CN49" s="65"/>
      <c r="CO49" s="64"/>
      <c r="CP49" s="64"/>
      <c r="CQ49" s="64"/>
      <c r="CR49" s="64"/>
      <c r="CS49" s="65"/>
      <c r="CT49" s="64"/>
      <c r="CU49" s="64"/>
      <c r="CV49" s="64"/>
      <c r="CW49" s="64"/>
      <c r="CX49" s="65"/>
      <c r="CY49" s="10"/>
    </row>
    <row r="50" spans="1:103" ht="15.75" hidden="1" x14ac:dyDescent="0.25">
      <c r="A50" s="141">
        <f t="shared" si="10"/>
        <v>12</v>
      </c>
      <c r="B50" s="194">
        <f t="shared" si="11"/>
        <v>0</v>
      </c>
      <c r="C50" s="66"/>
      <c r="D50" s="67"/>
      <c r="E50" s="58"/>
      <c r="F50" s="58"/>
      <c r="G50" s="115"/>
      <c r="H50" s="119"/>
      <c r="I50" s="58"/>
      <c r="J50" s="120"/>
      <c r="K50" s="58"/>
      <c r="L50" s="48"/>
      <c r="M50" s="104">
        <f t="shared" si="12"/>
        <v>0</v>
      </c>
      <c r="N50" s="59"/>
      <c r="O50" s="105">
        <f t="shared" si="13"/>
        <v>0</v>
      </c>
      <c r="P50" s="131">
        <f t="shared" si="14"/>
        <v>0</v>
      </c>
      <c r="Q50" s="134" t="str">
        <f t="shared" si="15"/>
        <v/>
      </c>
      <c r="R50" s="50"/>
      <c r="S50" s="60">
        <f t="shared" si="16"/>
        <v>12</v>
      </c>
      <c r="T50" s="61" t="str">
        <f t="shared" si="17"/>
        <v/>
      </c>
      <c r="U50" s="62" t="str">
        <f t="shared" si="18"/>
        <v/>
      </c>
      <c r="V50" s="63">
        <f t="shared" si="9"/>
        <v>0</v>
      </c>
      <c r="W50" s="64"/>
      <c r="X50" s="64"/>
      <c r="Y50" s="64"/>
      <c r="Z50" s="64"/>
      <c r="AA50" s="65"/>
      <c r="AB50" s="64"/>
      <c r="AC50" s="64"/>
      <c r="AD50" s="64"/>
      <c r="AE50" s="64"/>
      <c r="AF50" s="65"/>
      <c r="AG50" s="64"/>
      <c r="AH50" s="64"/>
      <c r="AI50" s="64"/>
      <c r="AJ50" s="64"/>
      <c r="AK50" s="65"/>
      <c r="AL50" s="64"/>
      <c r="AM50" s="64"/>
      <c r="AN50" s="64"/>
      <c r="AO50" s="64"/>
      <c r="AP50" s="65"/>
      <c r="AQ50" s="64"/>
      <c r="AR50" s="64"/>
      <c r="AS50" s="64"/>
      <c r="AT50" s="64"/>
      <c r="AU50" s="65"/>
      <c r="AV50" s="64"/>
      <c r="AW50" s="64"/>
      <c r="AX50" s="64"/>
      <c r="AY50" s="64"/>
      <c r="AZ50" s="65"/>
      <c r="BA50" s="64"/>
      <c r="BB50" s="64"/>
      <c r="BC50" s="64"/>
      <c r="BD50" s="64"/>
      <c r="BE50" s="65"/>
      <c r="BF50" s="64"/>
      <c r="BG50" s="64"/>
      <c r="BH50" s="64"/>
      <c r="BI50" s="64"/>
      <c r="BJ50" s="65"/>
      <c r="BK50" s="64"/>
      <c r="BL50" s="64"/>
      <c r="BM50" s="64"/>
      <c r="BN50" s="64"/>
      <c r="BO50" s="65"/>
      <c r="BP50" s="64"/>
      <c r="BQ50" s="64"/>
      <c r="BR50" s="64"/>
      <c r="BS50" s="64"/>
      <c r="BT50" s="65"/>
      <c r="BU50" s="64"/>
      <c r="BV50" s="64"/>
      <c r="BW50" s="64"/>
      <c r="BX50" s="64"/>
      <c r="BY50" s="65"/>
      <c r="BZ50" s="64"/>
      <c r="CA50" s="64"/>
      <c r="CB50" s="64"/>
      <c r="CC50" s="64"/>
      <c r="CD50" s="65"/>
      <c r="CE50" s="64"/>
      <c r="CF50" s="64"/>
      <c r="CG50" s="64"/>
      <c r="CH50" s="64"/>
      <c r="CI50" s="65"/>
      <c r="CJ50" s="64"/>
      <c r="CK50" s="64"/>
      <c r="CL50" s="64"/>
      <c r="CM50" s="64"/>
      <c r="CN50" s="65"/>
      <c r="CO50" s="64"/>
      <c r="CP50" s="64"/>
      <c r="CQ50" s="64"/>
      <c r="CR50" s="64"/>
      <c r="CS50" s="65"/>
      <c r="CT50" s="64"/>
      <c r="CU50" s="64"/>
      <c r="CV50" s="64"/>
      <c r="CW50" s="64"/>
      <c r="CX50" s="65"/>
      <c r="CY50" s="10"/>
    </row>
    <row r="51" spans="1:103" ht="15.75" hidden="1" x14ac:dyDescent="0.25">
      <c r="A51" s="141">
        <f t="shared" si="10"/>
        <v>12</v>
      </c>
      <c r="B51" s="194">
        <f t="shared" si="11"/>
        <v>0</v>
      </c>
      <c r="C51" s="66"/>
      <c r="D51" s="67"/>
      <c r="E51" s="58"/>
      <c r="F51" s="58"/>
      <c r="G51" s="115"/>
      <c r="H51" s="119"/>
      <c r="I51" s="58"/>
      <c r="J51" s="120"/>
      <c r="K51" s="58"/>
      <c r="L51" s="48"/>
      <c r="M51" s="104">
        <f t="shared" si="12"/>
        <v>0</v>
      </c>
      <c r="N51" s="59"/>
      <c r="O51" s="105">
        <f t="shared" si="13"/>
        <v>0</v>
      </c>
      <c r="P51" s="131">
        <f t="shared" si="14"/>
        <v>0</v>
      </c>
      <c r="Q51" s="134" t="str">
        <f t="shared" si="15"/>
        <v/>
      </c>
      <c r="R51" s="50"/>
      <c r="S51" s="60">
        <f t="shared" si="16"/>
        <v>12</v>
      </c>
      <c r="T51" s="61" t="str">
        <f t="shared" si="17"/>
        <v/>
      </c>
      <c r="U51" s="62" t="str">
        <f t="shared" si="18"/>
        <v/>
      </c>
      <c r="V51" s="63">
        <f t="shared" si="9"/>
        <v>0</v>
      </c>
      <c r="W51" s="64"/>
      <c r="X51" s="64"/>
      <c r="Y51" s="64"/>
      <c r="Z51" s="64"/>
      <c r="AA51" s="65"/>
      <c r="AB51" s="64"/>
      <c r="AC51" s="64"/>
      <c r="AD51" s="64"/>
      <c r="AE51" s="64"/>
      <c r="AF51" s="65"/>
      <c r="AG51" s="64"/>
      <c r="AH51" s="64"/>
      <c r="AI51" s="64"/>
      <c r="AJ51" s="64"/>
      <c r="AK51" s="65"/>
      <c r="AL51" s="64"/>
      <c r="AM51" s="64"/>
      <c r="AN51" s="64"/>
      <c r="AO51" s="64"/>
      <c r="AP51" s="65"/>
      <c r="AQ51" s="64"/>
      <c r="AR51" s="64"/>
      <c r="AS51" s="64"/>
      <c r="AT51" s="64"/>
      <c r="AU51" s="65"/>
      <c r="AV51" s="64"/>
      <c r="AW51" s="64"/>
      <c r="AX51" s="64"/>
      <c r="AY51" s="64"/>
      <c r="AZ51" s="65"/>
      <c r="BA51" s="64"/>
      <c r="BB51" s="64"/>
      <c r="BC51" s="64"/>
      <c r="BD51" s="64"/>
      <c r="BE51" s="65"/>
      <c r="BF51" s="64"/>
      <c r="BG51" s="64"/>
      <c r="BH51" s="64"/>
      <c r="BI51" s="64"/>
      <c r="BJ51" s="65"/>
      <c r="BK51" s="64"/>
      <c r="BL51" s="64"/>
      <c r="BM51" s="64"/>
      <c r="BN51" s="64"/>
      <c r="BO51" s="65"/>
      <c r="BP51" s="64"/>
      <c r="BQ51" s="64"/>
      <c r="BR51" s="64"/>
      <c r="BS51" s="64"/>
      <c r="BT51" s="65"/>
      <c r="BU51" s="64"/>
      <c r="BV51" s="64"/>
      <c r="BW51" s="64"/>
      <c r="BX51" s="64"/>
      <c r="BY51" s="65"/>
      <c r="BZ51" s="64"/>
      <c r="CA51" s="64"/>
      <c r="CB51" s="64"/>
      <c r="CC51" s="64"/>
      <c r="CD51" s="65"/>
      <c r="CE51" s="64"/>
      <c r="CF51" s="64"/>
      <c r="CG51" s="64"/>
      <c r="CH51" s="64"/>
      <c r="CI51" s="65"/>
      <c r="CJ51" s="64"/>
      <c r="CK51" s="64"/>
      <c r="CL51" s="64"/>
      <c r="CM51" s="64"/>
      <c r="CN51" s="65"/>
      <c r="CO51" s="64"/>
      <c r="CP51" s="64"/>
      <c r="CQ51" s="64"/>
      <c r="CR51" s="64"/>
      <c r="CS51" s="65"/>
      <c r="CT51" s="64"/>
      <c r="CU51" s="64"/>
      <c r="CV51" s="64"/>
      <c r="CW51" s="64"/>
      <c r="CX51" s="65"/>
      <c r="CY51" s="10"/>
    </row>
    <row r="52" spans="1:103" ht="15.75" hidden="1" x14ac:dyDescent="0.25">
      <c r="A52" s="141">
        <f t="shared" si="10"/>
        <v>12</v>
      </c>
      <c r="B52" s="194">
        <f t="shared" si="11"/>
        <v>0</v>
      </c>
      <c r="C52" s="66"/>
      <c r="D52" s="67"/>
      <c r="E52" s="58"/>
      <c r="F52" s="58"/>
      <c r="G52" s="115"/>
      <c r="H52" s="119"/>
      <c r="I52" s="58"/>
      <c r="J52" s="120"/>
      <c r="K52" s="58"/>
      <c r="L52" s="48"/>
      <c r="M52" s="104">
        <f t="shared" si="12"/>
        <v>0</v>
      </c>
      <c r="N52" s="59"/>
      <c r="O52" s="105">
        <f t="shared" si="13"/>
        <v>0</v>
      </c>
      <c r="P52" s="131">
        <f t="shared" si="14"/>
        <v>0</v>
      </c>
      <c r="Q52" s="134" t="str">
        <f t="shared" si="15"/>
        <v/>
      </c>
      <c r="R52" s="50"/>
      <c r="S52" s="60">
        <f t="shared" si="16"/>
        <v>12</v>
      </c>
      <c r="T52" s="61" t="str">
        <f t="shared" si="17"/>
        <v/>
      </c>
      <c r="U52" s="62" t="str">
        <f t="shared" si="18"/>
        <v/>
      </c>
      <c r="V52" s="63">
        <f t="shared" si="9"/>
        <v>0</v>
      </c>
      <c r="W52" s="64"/>
      <c r="X52" s="64"/>
      <c r="Y52" s="64"/>
      <c r="Z52" s="64"/>
      <c r="AA52" s="65"/>
      <c r="AB52" s="64"/>
      <c r="AC52" s="64"/>
      <c r="AD52" s="64"/>
      <c r="AE52" s="64"/>
      <c r="AF52" s="65"/>
      <c r="AG52" s="64"/>
      <c r="AH52" s="64"/>
      <c r="AI52" s="64"/>
      <c r="AJ52" s="64"/>
      <c r="AK52" s="65"/>
      <c r="AL52" s="64"/>
      <c r="AM52" s="64"/>
      <c r="AN52" s="64"/>
      <c r="AO52" s="64"/>
      <c r="AP52" s="65"/>
      <c r="AQ52" s="64"/>
      <c r="AR52" s="64"/>
      <c r="AS52" s="64"/>
      <c r="AT52" s="64"/>
      <c r="AU52" s="65"/>
      <c r="AV52" s="64"/>
      <c r="AW52" s="64"/>
      <c r="AX52" s="64"/>
      <c r="AY52" s="64"/>
      <c r="AZ52" s="65"/>
      <c r="BA52" s="64"/>
      <c r="BB52" s="64"/>
      <c r="BC52" s="64"/>
      <c r="BD52" s="64"/>
      <c r="BE52" s="65"/>
      <c r="BF52" s="64"/>
      <c r="BG52" s="64"/>
      <c r="BH52" s="64"/>
      <c r="BI52" s="64"/>
      <c r="BJ52" s="65"/>
      <c r="BK52" s="64"/>
      <c r="BL52" s="64"/>
      <c r="BM52" s="64"/>
      <c r="BN52" s="64"/>
      <c r="BO52" s="65"/>
      <c r="BP52" s="64"/>
      <c r="BQ52" s="64"/>
      <c r="BR52" s="64"/>
      <c r="BS52" s="64"/>
      <c r="BT52" s="65"/>
      <c r="BU52" s="64"/>
      <c r="BV52" s="64"/>
      <c r="BW52" s="64"/>
      <c r="BX52" s="64"/>
      <c r="BY52" s="65"/>
      <c r="BZ52" s="64"/>
      <c r="CA52" s="64"/>
      <c r="CB52" s="64"/>
      <c r="CC52" s="64"/>
      <c r="CD52" s="65"/>
      <c r="CE52" s="64"/>
      <c r="CF52" s="64"/>
      <c r="CG52" s="64"/>
      <c r="CH52" s="64"/>
      <c r="CI52" s="65"/>
      <c r="CJ52" s="64"/>
      <c r="CK52" s="64"/>
      <c r="CL52" s="64"/>
      <c r="CM52" s="64"/>
      <c r="CN52" s="65"/>
      <c r="CO52" s="64"/>
      <c r="CP52" s="64"/>
      <c r="CQ52" s="64"/>
      <c r="CR52" s="64"/>
      <c r="CS52" s="65"/>
      <c r="CT52" s="64"/>
      <c r="CU52" s="64"/>
      <c r="CV52" s="64"/>
      <c r="CW52" s="64"/>
      <c r="CX52" s="65"/>
      <c r="CY52" s="10"/>
    </row>
    <row r="53" spans="1:103" ht="15.75" hidden="1" x14ac:dyDescent="0.25">
      <c r="A53" s="141">
        <f t="shared" si="10"/>
        <v>12</v>
      </c>
      <c r="B53" s="194">
        <f t="shared" si="11"/>
        <v>0</v>
      </c>
      <c r="C53" s="66"/>
      <c r="D53" s="67"/>
      <c r="E53" s="58"/>
      <c r="F53" s="58"/>
      <c r="G53" s="115"/>
      <c r="H53" s="119"/>
      <c r="I53" s="58"/>
      <c r="J53" s="120"/>
      <c r="K53" s="58"/>
      <c r="L53" s="48"/>
      <c r="M53" s="104">
        <f t="shared" si="12"/>
        <v>0</v>
      </c>
      <c r="N53" s="59"/>
      <c r="O53" s="105">
        <f t="shared" si="13"/>
        <v>0</v>
      </c>
      <c r="P53" s="131">
        <f t="shared" si="14"/>
        <v>0</v>
      </c>
      <c r="Q53" s="134" t="str">
        <f t="shared" si="15"/>
        <v/>
      </c>
      <c r="R53" s="50"/>
      <c r="S53" s="60">
        <f t="shared" si="16"/>
        <v>12</v>
      </c>
      <c r="T53" s="61" t="str">
        <f t="shared" si="17"/>
        <v/>
      </c>
      <c r="U53" s="62" t="str">
        <f t="shared" si="18"/>
        <v/>
      </c>
      <c r="V53" s="63">
        <f t="shared" si="9"/>
        <v>0</v>
      </c>
      <c r="W53" s="64"/>
      <c r="X53" s="64"/>
      <c r="Y53" s="64"/>
      <c r="Z53" s="64"/>
      <c r="AA53" s="65"/>
      <c r="AB53" s="64"/>
      <c r="AC53" s="64"/>
      <c r="AD53" s="64"/>
      <c r="AE53" s="64"/>
      <c r="AF53" s="65"/>
      <c r="AG53" s="64"/>
      <c r="AH53" s="64"/>
      <c r="AI53" s="64"/>
      <c r="AJ53" s="64"/>
      <c r="AK53" s="65"/>
      <c r="AL53" s="64"/>
      <c r="AM53" s="64"/>
      <c r="AN53" s="64"/>
      <c r="AO53" s="64"/>
      <c r="AP53" s="65"/>
      <c r="AQ53" s="64"/>
      <c r="AR53" s="64"/>
      <c r="AS53" s="64"/>
      <c r="AT53" s="64"/>
      <c r="AU53" s="65"/>
      <c r="AV53" s="64"/>
      <c r="AW53" s="64"/>
      <c r="AX53" s="64"/>
      <c r="AY53" s="64"/>
      <c r="AZ53" s="65"/>
      <c r="BA53" s="64"/>
      <c r="BB53" s="64"/>
      <c r="BC53" s="64"/>
      <c r="BD53" s="64"/>
      <c r="BE53" s="65"/>
      <c r="BF53" s="64"/>
      <c r="BG53" s="64"/>
      <c r="BH53" s="64"/>
      <c r="BI53" s="64"/>
      <c r="BJ53" s="65"/>
      <c r="BK53" s="64"/>
      <c r="BL53" s="64"/>
      <c r="BM53" s="64"/>
      <c r="BN53" s="64"/>
      <c r="BO53" s="65"/>
      <c r="BP53" s="64"/>
      <c r="BQ53" s="64"/>
      <c r="BR53" s="64"/>
      <c r="BS53" s="64"/>
      <c r="BT53" s="65"/>
      <c r="BU53" s="64"/>
      <c r="BV53" s="64"/>
      <c r="BW53" s="64"/>
      <c r="BX53" s="64"/>
      <c r="BY53" s="65"/>
      <c r="BZ53" s="64"/>
      <c r="CA53" s="64"/>
      <c r="CB53" s="64"/>
      <c r="CC53" s="64"/>
      <c r="CD53" s="65"/>
      <c r="CE53" s="64"/>
      <c r="CF53" s="64"/>
      <c r="CG53" s="64"/>
      <c r="CH53" s="64"/>
      <c r="CI53" s="65"/>
      <c r="CJ53" s="64"/>
      <c r="CK53" s="64"/>
      <c r="CL53" s="64"/>
      <c r="CM53" s="64"/>
      <c r="CN53" s="65"/>
      <c r="CO53" s="64"/>
      <c r="CP53" s="64"/>
      <c r="CQ53" s="64"/>
      <c r="CR53" s="64"/>
      <c r="CS53" s="65"/>
      <c r="CT53" s="64"/>
      <c r="CU53" s="64"/>
      <c r="CV53" s="64"/>
      <c r="CW53" s="64"/>
      <c r="CX53" s="65"/>
      <c r="CY53" s="10"/>
    </row>
    <row r="54" spans="1:103" ht="15.75" hidden="1" x14ac:dyDescent="0.25">
      <c r="A54" s="141">
        <f t="shared" si="10"/>
        <v>12</v>
      </c>
      <c r="B54" s="194">
        <f t="shared" si="11"/>
        <v>0</v>
      </c>
      <c r="C54" s="66"/>
      <c r="D54" s="67"/>
      <c r="E54" s="58"/>
      <c r="F54" s="58"/>
      <c r="G54" s="115"/>
      <c r="H54" s="119"/>
      <c r="I54" s="58"/>
      <c r="J54" s="120"/>
      <c r="K54" s="58"/>
      <c r="L54" s="48"/>
      <c r="M54" s="104">
        <f t="shared" si="12"/>
        <v>0</v>
      </c>
      <c r="N54" s="59"/>
      <c r="O54" s="105">
        <f t="shared" si="13"/>
        <v>0</v>
      </c>
      <c r="P54" s="131">
        <f t="shared" si="14"/>
        <v>0</v>
      </c>
      <c r="Q54" s="134" t="str">
        <f t="shared" si="15"/>
        <v/>
      </c>
      <c r="R54" s="50"/>
      <c r="S54" s="60">
        <f t="shared" si="16"/>
        <v>12</v>
      </c>
      <c r="T54" s="61" t="str">
        <f t="shared" si="17"/>
        <v/>
      </c>
      <c r="U54" s="62" t="str">
        <f t="shared" si="18"/>
        <v/>
      </c>
      <c r="V54" s="63">
        <f t="shared" si="9"/>
        <v>0</v>
      </c>
      <c r="W54" s="64"/>
      <c r="X54" s="64"/>
      <c r="Y54" s="64"/>
      <c r="Z54" s="64"/>
      <c r="AA54" s="65"/>
      <c r="AB54" s="64"/>
      <c r="AC54" s="64"/>
      <c r="AD54" s="64"/>
      <c r="AE54" s="64"/>
      <c r="AF54" s="65"/>
      <c r="AG54" s="64"/>
      <c r="AH54" s="64"/>
      <c r="AI54" s="64"/>
      <c r="AJ54" s="64"/>
      <c r="AK54" s="65"/>
      <c r="AL54" s="64"/>
      <c r="AM54" s="64"/>
      <c r="AN54" s="64"/>
      <c r="AO54" s="64"/>
      <c r="AP54" s="65"/>
      <c r="AQ54" s="64"/>
      <c r="AR54" s="64"/>
      <c r="AS54" s="64"/>
      <c r="AT54" s="64"/>
      <c r="AU54" s="65"/>
      <c r="AV54" s="64"/>
      <c r="AW54" s="64"/>
      <c r="AX54" s="64"/>
      <c r="AY54" s="64"/>
      <c r="AZ54" s="65"/>
      <c r="BA54" s="64"/>
      <c r="BB54" s="64"/>
      <c r="BC54" s="64"/>
      <c r="BD54" s="64"/>
      <c r="BE54" s="65"/>
      <c r="BF54" s="64"/>
      <c r="BG54" s="64"/>
      <c r="BH54" s="64"/>
      <c r="BI54" s="64"/>
      <c r="BJ54" s="65"/>
      <c r="BK54" s="64"/>
      <c r="BL54" s="64"/>
      <c r="BM54" s="64"/>
      <c r="BN54" s="64"/>
      <c r="BO54" s="65"/>
      <c r="BP54" s="64"/>
      <c r="BQ54" s="64"/>
      <c r="BR54" s="64"/>
      <c r="BS54" s="64"/>
      <c r="BT54" s="65"/>
      <c r="BU54" s="64"/>
      <c r="BV54" s="64"/>
      <c r="BW54" s="64"/>
      <c r="BX54" s="64"/>
      <c r="BY54" s="65"/>
      <c r="BZ54" s="64"/>
      <c r="CA54" s="64"/>
      <c r="CB54" s="64"/>
      <c r="CC54" s="64"/>
      <c r="CD54" s="65"/>
      <c r="CE54" s="64"/>
      <c r="CF54" s="64"/>
      <c r="CG54" s="64"/>
      <c r="CH54" s="64"/>
      <c r="CI54" s="65"/>
      <c r="CJ54" s="64"/>
      <c r="CK54" s="64"/>
      <c r="CL54" s="64"/>
      <c r="CM54" s="64"/>
      <c r="CN54" s="65"/>
      <c r="CO54" s="64"/>
      <c r="CP54" s="64"/>
      <c r="CQ54" s="64"/>
      <c r="CR54" s="64"/>
      <c r="CS54" s="65"/>
      <c r="CT54" s="64"/>
      <c r="CU54" s="64"/>
      <c r="CV54" s="64"/>
      <c r="CW54" s="64"/>
      <c r="CX54" s="65"/>
      <c r="CY54" s="10"/>
    </row>
    <row r="55" spans="1:103" ht="15.75" hidden="1" x14ac:dyDescent="0.25">
      <c r="A55" s="141">
        <f t="shared" si="10"/>
        <v>12</v>
      </c>
      <c r="B55" s="194">
        <f t="shared" si="11"/>
        <v>0</v>
      </c>
      <c r="C55" s="66"/>
      <c r="D55" s="67"/>
      <c r="E55" s="58"/>
      <c r="F55" s="58"/>
      <c r="G55" s="115"/>
      <c r="H55" s="119"/>
      <c r="I55" s="58"/>
      <c r="J55" s="120"/>
      <c r="K55" s="58"/>
      <c r="L55" s="48"/>
      <c r="M55" s="104">
        <f t="shared" si="12"/>
        <v>0</v>
      </c>
      <c r="N55" s="59"/>
      <c r="O55" s="105">
        <f t="shared" si="13"/>
        <v>0</v>
      </c>
      <c r="P55" s="131">
        <f t="shared" si="14"/>
        <v>0</v>
      </c>
      <c r="Q55" s="134" t="str">
        <f t="shared" si="15"/>
        <v/>
      </c>
      <c r="R55" s="50"/>
      <c r="S55" s="60">
        <f t="shared" si="16"/>
        <v>12</v>
      </c>
      <c r="T55" s="61" t="str">
        <f t="shared" si="17"/>
        <v/>
      </c>
      <c r="U55" s="62" t="str">
        <f t="shared" si="18"/>
        <v/>
      </c>
      <c r="V55" s="63">
        <f t="shared" si="9"/>
        <v>0</v>
      </c>
      <c r="W55" s="64"/>
      <c r="X55" s="64"/>
      <c r="Y55" s="64"/>
      <c r="Z55" s="64"/>
      <c r="AA55" s="65"/>
      <c r="AB55" s="64"/>
      <c r="AC55" s="64"/>
      <c r="AD55" s="64"/>
      <c r="AE55" s="64"/>
      <c r="AF55" s="65"/>
      <c r="AG55" s="64"/>
      <c r="AH55" s="64"/>
      <c r="AI55" s="64"/>
      <c r="AJ55" s="64"/>
      <c r="AK55" s="65"/>
      <c r="AL55" s="64"/>
      <c r="AM55" s="64"/>
      <c r="AN55" s="64"/>
      <c r="AO55" s="64"/>
      <c r="AP55" s="65"/>
      <c r="AQ55" s="64"/>
      <c r="AR55" s="64"/>
      <c r="AS55" s="64"/>
      <c r="AT55" s="64"/>
      <c r="AU55" s="65"/>
      <c r="AV55" s="64"/>
      <c r="AW55" s="64"/>
      <c r="AX55" s="64"/>
      <c r="AY55" s="64"/>
      <c r="AZ55" s="65"/>
      <c r="BA55" s="64"/>
      <c r="BB55" s="64"/>
      <c r="BC55" s="64"/>
      <c r="BD55" s="64"/>
      <c r="BE55" s="65"/>
      <c r="BF55" s="64"/>
      <c r="BG55" s="64"/>
      <c r="BH55" s="64"/>
      <c r="BI55" s="64"/>
      <c r="BJ55" s="65"/>
      <c r="BK55" s="64"/>
      <c r="BL55" s="64"/>
      <c r="BM55" s="64"/>
      <c r="BN55" s="64"/>
      <c r="BO55" s="65"/>
      <c r="BP55" s="64"/>
      <c r="BQ55" s="64"/>
      <c r="BR55" s="64"/>
      <c r="BS55" s="64"/>
      <c r="BT55" s="65"/>
      <c r="BU55" s="64"/>
      <c r="BV55" s="64"/>
      <c r="BW55" s="64"/>
      <c r="BX55" s="64"/>
      <c r="BY55" s="65"/>
      <c r="BZ55" s="64"/>
      <c r="CA55" s="64"/>
      <c r="CB55" s="64"/>
      <c r="CC55" s="64"/>
      <c r="CD55" s="65"/>
      <c r="CE55" s="64"/>
      <c r="CF55" s="64"/>
      <c r="CG55" s="64"/>
      <c r="CH55" s="64"/>
      <c r="CI55" s="65"/>
      <c r="CJ55" s="64"/>
      <c r="CK55" s="64"/>
      <c r="CL55" s="64"/>
      <c r="CM55" s="64"/>
      <c r="CN55" s="65"/>
      <c r="CO55" s="64"/>
      <c r="CP55" s="64"/>
      <c r="CQ55" s="64"/>
      <c r="CR55" s="64"/>
      <c r="CS55" s="65"/>
      <c r="CT55" s="64"/>
      <c r="CU55" s="64"/>
      <c r="CV55" s="64"/>
      <c r="CW55" s="64"/>
      <c r="CX55" s="65"/>
      <c r="CY55" s="10"/>
    </row>
    <row r="56" spans="1:103" ht="15.75" hidden="1" x14ac:dyDescent="0.25">
      <c r="A56" s="141">
        <f t="shared" si="10"/>
        <v>12</v>
      </c>
      <c r="B56" s="194">
        <f t="shared" si="11"/>
        <v>0</v>
      </c>
      <c r="C56" s="66"/>
      <c r="D56" s="67"/>
      <c r="E56" s="58"/>
      <c r="F56" s="58"/>
      <c r="G56" s="115"/>
      <c r="H56" s="119"/>
      <c r="I56" s="58"/>
      <c r="J56" s="120"/>
      <c r="K56" s="58"/>
      <c r="L56" s="48"/>
      <c r="M56" s="104">
        <f t="shared" si="12"/>
        <v>0</v>
      </c>
      <c r="N56" s="59"/>
      <c r="O56" s="105">
        <f t="shared" si="13"/>
        <v>0</v>
      </c>
      <c r="P56" s="131">
        <f t="shared" si="14"/>
        <v>0</v>
      </c>
      <c r="Q56" s="134" t="str">
        <f t="shared" si="15"/>
        <v/>
      </c>
      <c r="R56" s="50"/>
      <c r="S56" s="60">
        <f t="shared" si="16"/>
        <v>12</v>
      </c>
      <c r="T56" s="61" t="str">
        <f t="shared" si="17"/>
        <v/>
      </c>
      <c r="U56" s="62" t="str">
        <f t="shared" si="18"/>
        <v/>
      </c>
      <c r="V56" s="63">
        <f t="shared" si="9"/>
        <v>0</v>
      </c>
      <c r="W56" s="64"/>
      <c r="X56" s="64"/>
      <c r="Y56" s="64"/>
      <c r="Z56" s="64"/>
      <c r="AA56" s="65"/>
      <c r="AB56" s="64"/>
      <c r="AC56" s="64"/>
      <c r="AD56" s="64"/>
      <c r="AE56" s="64"/>
      <c r="AF56" s="65"/>
      <c r="AG56" s="64"/>
      <c r="AH56" s="64"/>
      <c r="AI56" s="64"/>
      <c r="AJ56" s="64"/>
      <c r="AK56" s="65"/>
      <c r="AL56" s="64"/>
      <c r="AM56" s="64"/>
      <c r="AN56" s="64"/>
      <c r="AO56" s="64"/>
      <c r="AP56" s="65"/>
      <c r="AQ56" s="64"/>
      <c r="AR56" s="64"/>
      <c r="AS56" s="64"/>
      <c r="AT56" s="64"/>
      <c r="AU56" s="65"/>
      <c r="AV56" s="64"/>
      <c r="AW56" s="64"/>
      <c r="AX56" s="64"/>
      <c r="AY56" s="64"/>
      <c r="AZ56" s="65"/>
      <c r="BA56" s="64"/>
      <c r="BB56" s="64"/>
      <c r="BC56" s="64"/>
      <c r="BD56" s="64"/>
      <c r="BE56" s="65"/>
      <c r="BF56" s="64"/>
      <c r="BG56" s="64"/>
      <c r="BH56" s="64"/>
      <c r="BI56" s="64"/>
      <c r="BJ56" s="65"/>
      <c r="BK56" s="64"/>
      <c r="BL56" s="64"/>
      <c r="BM56" s="64"/>
      <c r="BN56" s="64"/>
      <c r="BO56" s="65"/>
      <c r="BP56" s="64"/>
      <c r="BQ56" s="64"/>
      <c r="BR56" s="64"/>
      <c r="BS56" s="64"/>
      <c r="BT56" s="65"/>
      <c r="BU56" s="64"/>
      <c r="BV56" s="64"/>
      <c r="BW56" s="64"/>
      <c r="BX56" s="64"/>
      <c r="BY56" s="65"/>
      <c r="BZ56" s="64"/>
      <c r="CA56" s="64"/>
      <c r="CB56" s="64"/>
      <c r="CC56" s="64"/>
      <c r="CD56" s="65"/>
      <c r="CE56" s="64"/>
      <c r="CF56" s="64"/>
      <c r="CG56" s="64"/>
      <c r="CH56" s="64"/>
      <c r="CI56" s="65"/>
      <c r="CJ56" s="64"/>
      <c r="CK56" s="64"/>
      <c r="CL56" s="64"/>
      <c r="CM56" s="64"/>
      <c r="CN56" s="65"/>
      <c r="CO56" s="64"/>
      <c r="CP56" s="64"/>
      <c r="CQ56" s="64"/>
      <c r="CR56" s="64"/>
      <c r="CS56" s="65"/>
      <c r="CT56" s="64"/>
      <c r="CU56" s="64"/>
      <c r="CV56" s="64"/>
      <c r="CW56" s="64"/>
      <c r="CX56" s="65"/>
      <c r="CY56" s="10"/>
    </row>
    <row r="57" spans="1:103" ht="15.75" hidden="1" x14ac:dyDescent="0.25">
      <c r="A57" s="141">
        <f t="shared" si="10"/>
        <v>12</v>
      </c>
      <c r="B57" s="194">
        <f t="shared" si="11"/>
        <v>0</v>
      </c>
      <c r="C57" s="66"/>
      <c r="D57" s="67"/>
      <c r="E57" s="58"/>
      <c r="F57" s="58"/>
      <c r="G57" s="115"/>
      <c r="H57" s="119"/>
      <c r="I57" s="58"/>
      <c r="J57" s="120"/>
      <c r="K57" s="58"/>
      <c r="L57" s="48"/>
      <c r="M57" s="104">
        <f t="shared" si="12"/>
        <v>0</v>
      </c>
      <c r="N57" s="59"/>
      <c r="O57" s="105">
        <f t="shared" si="13"/>
        <v>0</v>
      </c>
      <c r="P57" s="131">
        <f t="shared" si="14"/>
        <v>0</v>
      </c>
      <c r="Q57" s="134" t="str">
        <f t="shared" si="15"/>
        <v/>
      </c>
      <c r="R57" s="50"/>
      <c r="S57" s="60">
        <f t="shared" si="16"/>
        <v>12</v>
      </c>
      <c r="T57" s="61" t="str">
        <f t="shared" si="17"/>
        <v/>
      </c>
      <c r="U57" s="62" t="str">
        <f t="shared" si="18"/>
        <v/>
      </c>
      <c r="V57" s="63">
        <f t="shared" si="9"/>
        <v>0</v>
      </c>
      <c r="W57" s="64"/>
      <c r="X57" s="64"/>
      <c r="Y57" s="64"/>
      <c r="Z57" s="64"/>
      <c r="AA57" s="65"/>
      <c r="AB57" s="64"/>
      <c r="AC57" s="64"/>
      <c r="AD57" s="64"/>
      <c r="AE57" s="64"/>
      <c r="AF57" s="65"/>
      <c r="AG57" s="64"/>
      <c r="AH57" s="64"/>
      <c r="AI57" s="64"/>
      <c r="AJ57" s="64"/>
      <c r="AK57" s="65"/>
      <c r="AL57" s="64"/>
      <c r="AM57" s="64"/>
      <c r="AN57" s="64"/>
      <c r="AO57" s="64"/>
      <c r="AP57" s="65"/>
      <c r="AQ57" s="64"/>
      <c r="AR57" s="64"/>
      <c r="AS57" s="64"/>
      <c r="AT57" s="64"/>
      <c r="AU57" s="65"/>
      <c r="AV57" s="64"/>
      <c r="AW57" s="64"/>
      <c r="AX57" s="64"/>
      <c r="AY57" s="64"/>
      <c r="AZ57" s="65"/>
      <c r="BA57" s="64"/>
      <c r="BB57" s="64"/>
      <c r="BC57" s="64"/>
      <c r="BD57" s="64"/>
      <c r="BE57" s="65"/>
      <c r="BF57" s="64"/>
      <c r="BG57" s="64"/>
      <c r="BH57" s="64"/>
      <c r="BI57" s="64"/>
      <c r="BJ57" s="65"/>
      <c r="BK57" s="64"/>
      <c r="BL57" s="64"/>
      <c r="BM57" s="64"/>
      <c r="BN57" s="64"/>
      <c r="BO57" s="65"/>
      <c r="BP57" s="64"/>
      <c r="BQ57" s="64"/>
      <c r="BR57" s="64"/>
      <c r="BS57" s="64"/>
      <c r="BT57" s="65"/>
      <c r="BU57" s="64"/>
      <c r="BV57" s="64"/>
      <c r="BW57" s="64"/>
      <c r="BX57" s="64"/>
      <c r="BY57" s="65"/>
      <c r="BZ57" s="64"/>
      <c r="CA57" s="64"/>
      <c r="CB57" s="64"/>
      <c r="CC57" s="64"/>
      <c r="CD57" s="65"/>
      <c r="CE57" s="64"/>
      <c r="CF57" s="64"/>
      <c r="CG57" s="64"/>
      <c r="CH57" s="64"/>
      <c r="CI57" s="65"/>
      <c r="CJ57" s="64"/>
      <c r="CK57" s="64"/>
      <c r="CL57" s="64"/>
      <c r="CM57" s="64"/>
      <c r="CN57" s="65"/>
      <c r="CO57" s="64"/>
      <c r="CP57" s="64"/>
      <c r="CQ57" s="64"/>
      <c r="CR57" s="64"/>
      <c r="CS57" s="65"/>
      <c r="CT57" s="64"/>
      <c r="CU57" s="64"/>
      <c r="CV57" s="64"/>
      <c r="CW57" s="64"/>
      <c r="CX57" s="65"/>
      <c r="CY57" s="10"/>
    </row>
    <row r="58" spans="1:103" ht="15.75" hidden="1" x14ac:dyDescent="0.25">
      <c r="A58" s="141">
        <f t="shared" si="10"/>
        <v>12</v>
      </c>
      <c r="B58" s="194">
        <f t="shared" si="11"/>
        <v>0</v>
      </c>
      <c r="C58" s="66"/>
      <c r="D58" s="67"/>
      <c r="E58" s="58"/>
      <c r="F58" s="58"/>
      <c r="G58" s="115"/>
      <c r="H58" s="119"/>
      <c r="I58" s="58"/>
      <c r="J58" s="120"/>
      <c r="K58" s="58"/>
      <c r="L58" s="48"/>
      <c r="M58" s="104">
        <f t="shared" si="12"/>
        <v>0</v>
      </c>
      <c r="N58" s="59"/>
      <c r="O58" s="105">
        <f t="shared" si="13"/>
        <v>0</v>
      </c>
      <c r="P58" s="131">
        <f t="shared" si="14"/>
        <v>0</v>
      </c>
      <c r="Q58" s="134" t="str">
        <f t="shared" si="15"/>
        <v/>
      </c>
      <c r="R58" s="50"/>
      <c r="S58" s="60">
        <f t="shared" si="16"/>
        <v>12</v>
      </c>
      <c r="T58" s="61" t="str">
        <f t="shared" si="17"/>
        <v/>
      </c>
      <c r="U58" s="62" t="str">
        <f t="shared" si="18"/>
        <v/>
      </c>
      <c r="V58" s="63">
        <f t="shared" si="9"/>
        <v>0</v>
      </c>
      <c r="W58" s="64"/>
      <c r="X58" s="64"/>
      <c r="Y58" s="64"/>
      <c r="Z58" s="64"/>
      <c r="AA58" s="65"/>
      <c r="AB58" s="64"/>
      <c r="AC58" s="64"/>
      <c r="AD58" s="64"/>
      <c r="AE58" s="64"/>
      <c r="AF58" s="65"/>
      <c r="AG58" s="64"/>
      <c r="AH58" s="64"/>
      <c r="AI58" s="64"/>
      <c r="AJ58" s="64"/>
      <c r="AK58" s="65"/>
      <c r="AL58" s="64"/>
      <c r="AM58" s="64"/>
      <c r="AN58" s="64"/>
      <c r="AO58" s="64"/>
      <c r="AP58" s="65"/>
      <c r="AQ58" s="64"/>
      <c r="AR58" s="64"/>
      <c r="AS58" s="64"/>
      <c r="AT58" s="64"/>
      <c r="AU58" s="65"/>
      <c r="AV58" s="64"/>
      <c r="AW58" s="64"/>
      <c r="AX58" s="64"/>
      <c r="AY58" s="64"/>
      <c r="AZ58" s="65"/>
      <c r="BA58" s="64"/>
      <c r="BB58" s="64"/>
      <c r="BC58" s="64"/>
      <c r="BD58" s="64"/>
      <c r="BE58" s="65"/>
      <c r="BF58" s="64"/>
      <c r="BG58" s="64"/>
      <c r="BH58" s="64"/>
      <c r="BI58" s="64"/>
      <c r="BJ58" s="65"/>
      <c r="BK58" s="64"/>
      <c r="BL58" s="64"/>
      <c r="BM58" s="64"/>
      <c r="BN58" s="64"/>
      <c r="BO58" s="65"/>
      <c r="BP58" s="64"/>
      <c r="BQ58" s="64"/>
      <c r="BR58" s="64"/>
      <c r="BS58" s="64"/>
      <c r="BT58" s="65"/>
      <c r="BU58" s="64"/>
      <c r="BV58" s="64"/>
      <c r="BW58" s="64"/>
      <c r="BX58" s="64"/>
      <c r="BY58" s="65"/>
      <c r="BZ58" s="64"/>
      <c r="CA58" s="64"/>
      <c r="CB58" s="64"/>
      <c r="CC58" s="64"/>
      <c r="CD58" s="65"/>
      <c r="CE58" s="64"/>
      <c r="CF58" s="64"/>
      <c r="CG58" s="64"/>
      <c r="CH58" s="64"/>
      <c r="CI58" s="65"/>
      <c r="CJ58" s="64"/>
      <c r="CK58" s="64"/>
      <c r="CL58" s="64"/>
      <c r="CM58" s="64"/>
      <c r="CN58" s="65"/>
      <c r="CO58" s="64"/>
      <c r="CP58" s="64"/>
      <c r="CQ58" s="64"/>
      <c r="CR58" s="64"/>
      <c r="CS58" s="65"/>
      <c r="CT58" s="64"/>
      <c r="CU58" s="64"/>
      <c r="CV58" s="64"/>
      <c r="CW58" s="64"/>
      <c r="CX58" s="65"/>
      <c r="CY58" s="10"/>
    </row>
    <row r="59" spans="1:103" ht="15.75" hidden="1" x14ac:dyDescent="0.25">
      <c r="A59" s="141">
        <f t="shared" si="10"/>
        <v>12</v>
      </c>
      <c r="B59" s="194">
        <f t="shared" si="11"/>
        <v>0</v>
      </c>
      <c r="C59" s="66"/>
      <c r="D59" s="67"/>
      <c r="E59" s="58"/>
      <c r="F59" s="58"/>
      <c r="G59" s="115"/>
      <c r="H59" s="119"/>
      <c r="I59" s="58"/>
      <c r="J59" s="120"/>
      <c r="K59" s="58"/>
      <c r="L59" s="48"/>
      <c r="M59" s="104">
        <f t="shared" si="12"/>
        <v>0</v>
      </c>
      <c r="N59" s="59"/>
      <c r="O59" s="105">
        <f t="shared" si="13"/>
        <v>0</v>
      </c>
      <c r="P59" s="131">
        <f t="shared" si="14"/>
        <v>0</v>
      </c>
      <c r="Q59" s="134" t="str">
        <f t="shared" si="15"/>
        <v/>
      </c>
      <c r="R59" s="50"/>
      <c r="S59" s="60">
        <f t="shared" si="16"/>
        <v>12</v>
      </c>
      <c r="T59" s="61" t="str">
        <f t="shared" si="17"/>
        <v/>
      </c>
      <c r="U59" s="62" t="str">
        <f t="shared" si="18"/>
        <v/>
      </c>
      <c r="V59" s="63">
        <f t="shared" si="9"/>
        <v>0</v>
      </c>
      <c r="W59" s="64"/>
      <c r="X59" s="64"/>
      <c r="Y59" s="64"/>
      <c r="Z59" s="64"/>
      <c r="AA59" s="65"/>
      <c r="AB59" s="64"/>
      <c r="AC59" s="64"/>
      <c r="AD59" s="64"/>
      <c r="AE59" s="64"/>
      <c r="AF59" s="65"/>
      <c r="AG59" s="64"/>
      <c r="AH59" s="64"/>
      <c r="AI59" s="64"/>
      <c r="AJ59" s="64"/>
      <c r="AK59" s="65"/>
      <c r="AL59" s="64"/>
      <c r="AM59" s="64"/>
      <c r="AN59" s="64"/>
      <c r="AO59" s="64"/>
      <c r="AP59" s="65"/>
      <c r="AQ59" s="64"/>
      <c r="AR59" s="64"/>
      <c r="AS59" s="64"/>
      <c r="AT59" s="64"/>
      <c r="AU59" s="65"/>
      <c r="AV59" s="64"/>
      <c r="AW59" s="64"/>
      <c r="AX59" s="64"/>
      <c r="AY59" s="64"/>
      <c r="AZ59" s="65"/>
      <c r="BA59" s="64"/>
      <c r="BB59" s="64"/>
      <c r="BC59" s="64"/>
      <c r="BD59" s="64"/>
      <c r="BE59" s="65"/>
      <c r="BF59" s="64"/>
      <c r="BG59" s="64"/>
      <c r="BH59" s="64"/>
      <c r="BI59" s="64"/>
      <c r="BJ59" s="65"/>
      <c r="BK59" s="64"/>
      <c r="BL59" s="64"/>
      <c r="BM59" s="64"/>
      <c r="BN59" s="64"/>
      <c r="BO59" s="65"/>
      <c r="BP59" s="64"/>
      <c r="BQ59" s="64"/>
      <c r="BR59" s="64"/>
      <c r="BS59" s="64"/>
      <c r="BT59" s="65"/>
      <c r="BU59" s="64"/>
      <c r="BV59" s="64"/>
      <c r="BW59" s="64"/>
      <c r="BX59" s="64"/>
      <c r="BY59" s="65"/>
      <c r="BZ59" s="64"/>
      <c r="CA59" s="64"/>
      <c r="CB59" s="64"/>
      <c r="CC59" s="64"/>
      <c r="CD59" s="65"/>
      <c r="CE59" s="64"/>
      <c r="CF59" s="64"/>
      <c r="CG59" s="64"/>
      <c r="CH59" s="64"/>
      <c r="CI59" s="65"/>
      <c r="CJ59" s="64"/>
      <c r="CK59" s="64"/>
      <c r="CL59" s="64"/>
      <c r="CM59" s="64"/>
      <c r="CN59" s="65"/>
      <c r="CO59" s="64"/>
      <c r="CP59" s="64"/>
      <c r="CQ59" s="64"/>
      <c r="CR59" s="64"/>
      <c r="CS59" s="65"/>
      <c r="CT59" s="64"/>
      <c r="CU59" s="64"/>
      <c r="CV59" s="64"/>
      <c r="CW59" s="64"/>
      <c r="CX59" s="65"/>
      <c r="CY59" s="10"/>
    </row>
    <row r="60" spans="1:103" ht="15.75" hidden="1" x14ac:dyDescent="0.25">
      <c r="A60" s="141">
        <f t="shared" si="10"/>
        <v>12</v>
      </c>
      <c r="B60" s="194">
        <f t="shared" si="11"/>
        <v>0</v>
      </c>
      <c r="C60" s="66"/>
      <c r="D60" s="67"/>
      <c r="E60" s="58"/>
      <c r="F60" s="58"/>
      <c r="G60" s="115"/>
      <c r="H60" s="119"/>
      <c r="I60" s="58"/>
      <c r="J60" s="120"/>
      <c r="K60" s="58"/>
      <c r="L60" s="48"/>
      <c r="M60" s="104">
        <f t="shared" si="12"/>
        <v>0</v>
      </c>
      <c r="N60" s="59"/>
      <c r="O60" s="105">
        <f t="shared" si="13"/>
        <v>0</v>
      </c>
      <c r="P60" s="131">
        <f t="shared" si="14"/>
        <v>0</v>
      </c>
      <c r="Q60" s="134" t="str">
        <f t="shared" si="15"/>
        <v/>
      </c>
      <c r="R60" s="50"/>
      <c r="S60" s="60">
        <f t="shared" si="16"/>
        <v>12</v>
      </c>
      <c r="T60" s="61" t="str">
        <f t="shared" si="17"/>
        <v/>
      </c>
      <c r="U60" s="62" t="str">
        <f t="shared" si="18"/>
        <v/>
      </c>
      <c r="V60" s="63">
        <f t="shared" si="9"/>
        <v>0</v>
      </c>
      <c r="W60" s="64"/>
      <c r="X60" s="64"/>
      <c r="Y60" s="64"/>
      <c r="Z60" s="64"/>
      <c r="AA60" s="65"/>
      <c r="AB60" s="64"/>
      <c r="AC60" s="64"/>
      <c r="AD60" s="64"/>
      <c r="AE60" s="64"/>
      <c r="AF60" s="65"/>
      <c r="AG60" s="64"/>
      <c r="AH60" s="64"/>
      <c r="AI60" s="64"/>
      <c r="AJ60" s="64"/>
      <c r="AK60" s="65"/>
      <c r="AL60" s="64"/>
      <c r="AM60" s="64"/>
      <c r="AN60" s="64"/>
      <c r="AO60" s="64"/>
      <c r="AP60" s="65"/>
      <c r="AQ60" s="64"/>
      <c r="AR60" s="64"/>
      <c r="AS60" s="64"/>
      <c r="AT60" s="64"/>
      <c r="AU60" s="65"/>
      <c r="AV60" s="64"/>
      <c r="AW60" s="64"/>
      <c r="AX60" s="64"/>
      <c r="AY60" s="64"/>
      <c r="AZ60" s="65"/>
      <c r="BA60" s="64"/>
      <c r="BB60" s="64"/>
      <c r="BC60" s="64"/>
      <c r="BD60" s="64"/>
      <c r="BE60" s="65"/>
      <c r="BF60" s="64"/>
      <c r="BG60" s="64"/>
      <c r="BH60" s="64"/>
      <c r="BI60" s="64"/>
      <c r="BJ60" s="65"/>
      <c r="BK60" s="64"/>
      <c r="BL60" s="64"/>
      <c r="BM60" s="64"/>
      <c r="BN60" s="64"/>
      <c r="BO60" s="65"/>
      <c r="BP60" s="64"/>
      <c r="BQ60" s="64"/>
      <c r="BR60" s="64"/>
      <c r="BS60" s="64"/>
      <c r="BT60" s="65"/>
      <c r="BU60" s="64"/>
      <c r="BV60" s="64"/>
      <c r="BW60" s="64"/>
      <c r="BX60" s="64"/>
      <c r="BY60" s="65"/>
      <c r="BZ60" s="64"/>
      <c r="CA60" s="64"/>
      <c r="CB60" s="64"/>
      <c r="CC60" s="64"/>
      <c r="CD60" s="65"/>
      <c r="CE60" s="64"/>
      <c r="CF60" s="64"/>
      <c r="CG60" s="64"/>
      <c r="CH60" s="64"/>
      <c r="CI60" s="65"/>
      <c r="CJ60" s="64"/>
      <c r="CK60" s="64"/>
      <c r="CL60" s="64"/>
      <c r="CM60" s="64"/>
      <c r="CN60" s="65"/>
      <c r="CO60" s="64"/>
      <c r="CP60" s="64"/>
      <c r="CQ60" s="64"/>
      <c r="CR60" s="64"/>
      <c r="CS60" s="65"/>
      <c r="CT60" s="64"/>
      <c r="CU60" s="64"/>
      <c r="CV60" s="64"/>
      <c r="CW60" s="64"/>
      <c r="CX60" s="65"/>
      <c r="CY60" s="10"/>
    </row>
    <row r="61" spans="1:103" ht="15.75" hidden="1" x14ac:dyDescent="0.25">
      <c r="A61" s="141">
        <f t="shared" si="10"/>
        <v>12</v>
      </c>
      <c r="B61" s="194">
        <f t="shared" si="11"/>
        <v>0</v>
      </c>
      <c r="C61" s="66"/>
      <c r="D61" s="67"/>
      <c r="E61" s="58"/>
      <c r="F61" s="58"/>
      <c r="G61" s="115"/>
      <c r="H61" s="119"/>
      <c r="I61" s="58"/>
      <c r="J61" s="120"/>
      <c r="K61" s="58"/>
      <c r="L61" s="48"/>
      <c r="M61" s="104">
        <f t="shared" si="12"/>
        <v>0</v>
      </c>
      <c r="N61" s="59"/>
      <c r="O61" s="105">
        <f t="shared" si="13"/>
        <v>0</v>
      </c>
      <c r="P61" s="131">
        <f t="shared" si="14"/>
        <v>0</v>
      </c>
      <c r="Q61" s="134" t="str">
        <f t="shared" si="15"/>
        <v/>
      </c>
      <c r="R61" s="50"/>
      <c r="S61" s="60">
        <f t="shared" si="16"/>
        <v>12</v>
      </c>
      <c r="T61" s="61" t="str">
        <f t="shared" si="17"/>
        <v/>
      </c>
      <c r="U61" s="62" t="str">
        <f t="shared" si="18"/>
        <v/>
      </c>
      <c r="V61" s="63">
        <f t="shared" si="9"/>
        <v>0</v>
      </c>
      <c r="W61" s="64"/>
      <c r="X61" s="64"/>
      <c r="Y61" s="64"/>
      <c r="Z61" s="64"/>
      <c r="AA61" s="65"/>
      <c r="AB61" s="64"/>
      <c r="AC61" s="64"/>
      <c r="AD61" s="64"/>
      <c r="AE61" s="64"/>
      <c r="AF61" s="65"/>
      <c r="AG61" s="64"/>
      <c r="AH61" s="64"/>
      <c r="AI61" s="64"/>
      <c r="AJ61" s="64"/>
      <c r="AK61" s="65"/>
      <c r="AL61" s="64"/>
      <c r="AM61" s="64"/>
      <c r="AN61" s="64"/>
      <c r="AO61" s="64"/>
      <c r="AP61" s="65"/>
      <c r="AQ61" s="64"/>
      <c r="AR61" s="64"/>
      <c r="AS61" s="64"/>
      <c r="AT61" s="64"/>
      <c r="AU61" s="65"/>
      <c r="AV61" s="64"/>
      <c r="AW61" s="64"/>
      <c r="AX61" s="64"/>
      <c r="AY61" s="64"/>
      <c r="AZ61" s="65"/>
      <c r="BA61" s="64"/>
      <c r="BB61" s="64"/>
      <c r="BC61" s="64"/>
      <c r="BD61" s="64"/>
      <c r="BE61" s="65"/>
      <c r="BF61" s="64"/>
      <c r="BG61" s="64"/>
      <c r="BH61" s="64"/>
      <c r="BI61" s="64"/>
      <c r="BJ61" s="65"/>
      <c r="BK61" s="64"/>
      <c r="BL61" s="64"/>
      <c r="BM61" s="64"/>
      <c r="BN61" s="64"/>
      <c r="BO61" s="65"/>
      <c r="BP61" s="64"/>
      <c r="BQ61" s="64"/>
      <c r="BR61" s="64"/>
      <c r="BS61" s="64"/>
      <c r="BT61" s="65"/>
      <c r="BU61" s="64"/>
      <c r="BV61" s="64"/>
      <c r="BW61" s="64"/>
      <c r="BX61" s="64"/>
      <c r="BY61" s="65"/>
      <c r="BZ61" s="64"/>
      <c r="CA61" s="64"/>
      <c r="CB61" s="64"/>
      <c r="CC61" s="64"/>
      <c r="CD61" s="65"/>
      <c r="CE61" s="64"/>
      <c r="CF61" s="64"/>
      <c r="CG61" s="64"/>
      <c r="CH61" s="64"/>
      <c r="CI61" s="65"/>
      <c r="CJ61" s="64"/>
      <c r="CK61" s="64"/>
      <c r="CL61" s="64"/>
      <c r="CM61" s="64"/>
      <c r="CN61" s="65"/>
      <c r="CO61" s="64"/>
      <c r="CP61" s="64"/>
      <c r="CQ61" s="64"/>
      <c r="CR61" s="64"/>
      <c r="CS61" s="65"/>
      <c r="CT61" s="64"/>
      <c r="CU61" s="64"/>
      <c r="CV61" s="64"/>
      <c r="CW61" s="64"/>
      <c r="CX61" s="65"/>
      <c r="CY61" s="10"/>
    </row>
    <row r="62" spans="1:103" ht="15.75" hidden="1" x14ac:dyDescent="0.25">
      <c r="A62" s="141">
        <f t="shared" si="10"/>
        <v>12</v>
      </c>
      <c r="B62" s="194">
        <f t="shared" si="11"/>
        <v>0</v>
      </c>
      <c r="C62" s="66"/>
      <c r="D62" s="67"/>
      <c r="E62" s="58"/>
      <c r="F62" s="58"/>
      <c r="G62" s="115"/>
      <c r="H62" s="119"/>
      <c r="I62" s="58"/>
      <c r="J62" s="120"/>
      <c r="K62" s="58"/>
      <c r="L62" s="48"/>
      <c r="M62" s="104">
        <f t="shared" si="12"/>
        <v>0</v>
      </c>
      <c r="N62" s="59"/>
      <c r="O62" s="105">
        <f t="shared" si="13"/>
        <v>0</v>
      </c>
      <c r="P62" s="131">
        <f t="shared" si="14"/>
        <v>0</v>
      </c>
      <c r="Q62" s="134" t="str">
        <f t="shared" si="15"/>
        <v/>
      </c>
      <c r="R62" s="50"/>
      <c r="S62" s="60">
        <f t="shared" si="16"/>
        <v>12</v>
      </c>
      <c r="T62" s="61" t="str">
        <f t="shared" si="17"/>
        <v/>
      </c>
      <c r="U62" s="62" t="str">
        <f t="shared" si="18"/>
        <v/>
      </c>
      <c r="V62" s="63">
        <f t="shared" si="9"/>
        <v>0</v>
      </c>
      <c r="W62" s="64"/>
      <c r="X62" s="64"/>
      <c r="Y62" s="64"/>
      <c r="Z62" s="64"/>
      <c r="AA62" s="65"/>
      <c r="AB62" s="64"/>
      <c r="AC62" s="64"/>
      <c r="AD62" s="64"/>
      <c r="AE62" s="64"/>
      <c r="AF62" s="65"/>
      <c r="AG62" s="64"/>
      <c r="AH62" s="64"/>
      <c r="AI62" s="64"/>
      <c r="AJ62" s="64"/>
      <c r="AK62" s="65"/>
      <c r="AL62" s="64"/>
      <c r="AM62" s="64"/>
      <c r="AN62" s="64"/>
      <c r="AO62" s="64"/>
      <c r="AP62" s="65"/>
      <c r="AQ62" s="64"/>
      <c r="AR62" s="64"/>
      <c r="AS62" s="64"/>
      <c r="AT62" s="64"/>
      <c r="AU62" s="65"/>
      <c r="AV62" s="64"/>
      <c r="AW62" s="64"/>
      <c r="AX62" s="64"/>
      <c r="AY62" s="64"/>
      <c r="AZ62" s="65"/>
      <c r="BA62" s="64"/>
      <c r="BB62" s="64"/>
      <c r="BC62" s="64"/>
      <c r="BD62" s="64"/>
      <c r="BE62" s="65"/>
      <c r="BF62" s="64"/>
      <c r="BG62" s="64"/>
      <c r="BH62" s="64"/>
      <c r="BI62" s="64"/>
      <c r="BJ62" s="65"/>
      <c r="BK62" s="64"/>
      <c r="BL62" s="64"/>
      <c r="BM62" s="64"/>
      <c r="BN62" s="64"/>
      <c r="BO62" s="65"/>
      <c r="BP62" s="64"/>
      <c r="BQ62" s="64"/>
      <c r="BR62" s="64"/>
      <c r="BS62" s="64"/>
      <c r="BT62" s="65"/>
      <c r="BU62" s="64"/>
      <c r="BV62" s="64"/>
      <c r="BW62" s="64"/>
      <c r="BX62" s="64"/>
      <c r="BY62" s="65"/>
      <c r="BZ62" s="64"/>
      <c r="CA62" s="64"/>
      <c r="CB62" s="64"/>
      <c r="CC62" s="64"/>
      <c r="CD62" s="65"/>
      <c r="CE62" s="64"/>
      <c r="CF62" s="64"/>
      <c r="CG62" s="64"/>
      <c r="CH62" s="64"/>
      <c r="CI62" s="65"/>
      <c r="CJ62" s="64"/>
      <c r="CK62" s="64"/>
      <c r="CL62" s="64"/>
      <c r="CM62" s="64"/>
      <c r="CN62" s="65"/>
      <c r="CO62" s="64"/>
      <c r="CP62" s="64"/>
      <c r="CQ62" s="64"/>
      <c r="CR62" s="64"/>
      <c r="CS62" s="65"/>
      <c r="CT62" s="64"/>
      <c r="CU62" s="64"/>
      <c r="CV62" s="64"/>
      <c r="CW62" s="64"/>
      <c r="CX62" s="65"/>
      <c r="CY62" s="10"/>
    </row>
    <row r="63" spans="1:103" ht="15.75" hidden="1" x14ac:dyDescent="0.25">
      <c r="A63" s="141">
        <f t="shared" si="10"/>
        <v>12</v>
      </c>
      <c r="B63" s="194">
        <f t="shared" si="11"/>
        <v>0</v>
      </c>
      <c r="C63" s="66"/>
      <c r="D63" s="67"/>
      <c r="E63" s="58"/>
      <c r="F63" s="58"/>
      <c r="G63" s="115"/>
      <c r="H63" s="119"/>
      <c r="I63" s="58"/>
      <c r="J63" s="120"/>
      <c r="K63" s="58"/>
      <c r="L63" s="48"/>
      <c r="M63" s="104">
        <f t="shared" si="12"/>
        <v>0</v>
      </c>
      <c r="N63" s="59"/>
      <c r="O63" s="105">
        <f t="shared" si="13"/>
        <v>0</v>
      </c>
      <c r="P63" s="131">
        <f t="shared" si="14"/>
        <v>0</v>
      </c>
      <c r="Q63" s="134" t="str">
        <f t="shared" si="15"/>
        <v/>
      </c>
      <c r="R63" s="50"/>
      <c r="S63" s="60">
        <f t="shared" si="16"/>
        <v>12</v>
      </c>
      <c r="T63" s="61" t="str">
        <f t="shared" si="17"/>
        <v/>
      </c>
      <c r="U63" s="62" t="str">
        <f t="shared" si="18"/>
        <v/>
      </c>
      <c r="V63" s="63">
        <f t="shared" si="9"/>
        <v>0</v>
      </c>
      <c r="W63" s="64"/>
      <c r="X63" s="64"/>
      <c r="Y63" s="64"/>
      <c r="Z63" s="64"/>
      <c r="AA63" s="65"/>
      <c r="AB63" s="64"/>
      <c r="AC63" s="64"/>
      <c r="AD63" s="64"/>
      <c r="AE63" s="64"/>
      <c r="AF63" s="65"/>
      <c r="AG63" s="64"/>
      <c r="AH63" s="64"/>
      <c r="AI63" s="64"/>
      <c r="AJ63" s="64"/>
      <c r="AK63" s="65"/>
      <c r="AL63" s="64"/>
      <c r="AM63" s="64"/>
      <c r="AN63" s="64"/>
      <c r="AO63" s="64"/>
      <c r="AP63" s="65"/>
      <c r="AQ63" s="64"/>
      <c r="AR63" s="64"/>
      <c r="AS63" s="64"/>
      <c r="AT63" s="64"/>
      <c r="AU63" s="65"/>
      <c r="AV63" s="64"/>
      <c r="AW63" s="64"/>
      <c r="AX63" s="64"/>
      <c r="AY63" s="64"/>
      <c r="AZ63" s="65"/>
      <c r="BA63" s="64"/>
      <c r="BB63" s="64"/>
      <c r="BC63" s="64"/>
      <c r="BD63" s="64"/>
      <c r="BE63" s="65"/>
      <c r="BF63" s="64"/>
      <c r="BG63" s="64"/>
      <c r="BH63" s="64"/>
      <c r="BI63" s="64"/>
      <c r="BJ63" s="65"/>
      <c r="BK63" s="64"/>
      <c r="BL63" s="64"/>
      <c r="BM63" s="64"/>
      <c r="BN63" s="64"/>
      <c r="BO63" s="65"/>
      <c r="BP63" s="64"/>
      <c r="BQ63" s="64"/>
      <c r="BR63" s="64"/>
      <c r="BS63" s="64"/>
      <c r="BT63" s="65"/>
      <c r="BU63" s="64"/>
      <c r="BV63" s="64"/>
      <c r="BW63" s="64"/>
      <c r="BX63" s="64"/>
      <c r="BY63" s="65"/>
      <c r="BZ63" s="64"/>
      <c r="CA63" s="64"/>
      <c r="CB63" s="64"/>
      <c r="CC63" s="64"/>
      <c r="CD63" s="65"/>
      <c r="CE63" s="64"/>
      <c r="CF63" s="64"/>
      <c r="CG63" s="64"/>
      <c r="CH63" s="64"/>
      <c r="CI63" s="65"/>
      <c r="CJ63" s="64"/>
      <c r="CK63" s="64"/>
      <c r="CL63" s="64"/>
      <c r="CM63" s="64"/>
      <c r="CN63" s="65"/>
      <c r="CO63" s="64"/>
      <c r="CP63" s="64"/>
      <c r="CQ63" s="64"/>
      <c r="CR63" s="64"/>
      <c r="CS63" s="65"/>
      <c r="CT63" s="64"/>
      <c r="CU63" s="64"/>
      <c r="CV63" s="64"/>
      <c r="CW63" s="64"/>
      <c r="CX63" s="65"/>
      <c r="CY63" s="10"/>
    </row>
    <row r="64" spans="1:103" ht="15.75" hidden="1" x14ac:dyDescent="0.25">
      <c r="A64" s="141">
        <f t="shared" si="10"/>
        <v>12</v>
      </c>
      <c r="B64" s="194">
        <f t="shared" si="11"/>
        <v>0</v>
      </c>
      <c r="C64" s="66"/>
      <c r="D64" s="67"/>
      <c r="E64" s="58"/>
      <c r="F64" s="58"/>
      <c r="G64" s="115"/>
      <c r="H64" s="119"/>
      <c r="I64" s="58"/>
      <c r="J64" s="120"/>
      <c r="K64" s="58"/>
      <c r="L64" s="48"/>
      <c r="M64" s="104">
        <f t="shared" si="12"/>
        <v>0</v>
      </c>
      <c r="N64" s="59"/>
      <c r="O64" s="105">
        <f t="shared" si="13"/>
        <v>0</v>
      </c>
      <c r="P64" s="131">
        <f t="shared" si="14"/>
        <v>0</v>
      </c>
      <c r="Q64" s="134" t="str">
        <f t="shared" si="15"/>
        <v/>
      </c>
      <c r="R64" s="50"/>
      <c r="S64" s="60">
        <f t="shared" si="16"/>
        <v>12</v>
      </c>
      <c r="T64" s="61" t="str">
        <f t="shared" si="17"/>
        <v/>
      </c>
      <c r="U64" s="62" t="str">
        <f t="shared" si="18"/>
        <v/>
      </c>
      <c r="V64" s="63">
        <f t="shared" si="9"/>
        <v>0</v>
      </c>
      <c r="W64" s="64"/>
      <c r="X64" s="64"/>
      <c r="Y64" s="64"/>
      <c r="Z64" s="64"/>
      <c r="AA64" s="65"/>
      <c r="AB64" s="64"/>
      <c r="AC64" s="64"/>
      <c r="AD64" s="64"/>
      <c r="AE64" s="64"/>
      <c r="AF64" s="65"/>
      <c r="AG64" s="64"/>
      <c r="AH64" s="64"/>
      <c r="AI64" s="64"/>
      <c r="AJ64" s="64"/>
      <c r="AK64" s="65"/>
      <c r="AL64" s="64"/>
      <c r="AM64" s="64"/>
      <c r="AN64" s="64"/>
      <c r="AO64" s="64"/>
      <c r="AP64" s="65"/>
      <c r="AQ64" s="64"/>
      <c r="AR64" s="64"/>
      <c r="AS64" s="64"/>
      <c r="AT64" s="64"/>
      <c r="AU64" s="65"/>
      <c r="AV64" s="64"/>
      <c r="AW64" s="64"/>
      <c r="AX64" s="64"/>
      <c r="AY64" s="64"/>
      <c r="AZ64" s="65"/>
      <c r="BA64" s="64"/>
      <c r="BB64" s="64"/>
      <c r="BC64" s="64"/>
      <c r="BD64" s="64"/>
      <c r="BE64" s="65"/>
      <c r="BF64" s="64"/>
      <c r="BG64" s="64"/>
      <c r="BH64" s="64"/>
      <c r="BI64" s="64"/>
      <c r="BJ64" s="65"/>
      <c r="BK64" s="64"/>
      <c r="BL64" s="64"/>
      <c r="BM64" s="64"/>
      <c r="BN64" s="64"/>
      <c r="BO64" s="65"/>
      <c r="BP64" s="64"/>
      <c r="BQ64" s="64"/>
      <c r="BR64" s="64"/>
      <c r="BS64" s="64"/>
      <c r="BT64" s="65"/>
      <c r="BU64" s="64"/>
      <c r="BV64" s="64"/>
      <c r="BW64" s="64"/>
      <c r="BX64" s="64"/>
      <c r="BY64" s="65"/>
      <c r="BZ64" s="64"/>
      <c r="CA64" s="64"/>
      <c r="CB64" s="64"/>
      <c r="CC64" s="64"/>
      <c r="CD64" s="65"/>
      <c r="CE64" s="64"/>
      <c r="CF64" s="64"/>
      <c r="CG64" s="64"/>
      <c r="CH64" s="64"/>
      <c r="CI64" s="65"/>
      <c r="CJ64" s="64"/>
      <c r="CK64" s="64"/>
      <c r="CL64" s="64"/>
      <c r="CM64" s="64"/>
      <c r="CN64" s="65"/>
      <c r="CO64" s="64"/>
      <c r="CP64" s="64"/>
      <c r="CQ64" s="64"/>
      <c r="CR64" s="64"/>
      <c r="CS64" s="65"/>
      <c r="CT64" s="64"/>
      <c r="CU64" s="64"/>
      <c r="CV64" s="64"/>
      <c r="CW64" s="64"/>
      <c r="CX64" s="65"/>
      <c r="CY64" s="10"/>
    </row>
    <row r="65" spans="1:103" ht="15.75" hidden="1" x14ac:dyDescent="0.25">
      <c r="A65" s="141">
        <f t="shared" si="10"/>
        <v>12</v>
      </c>
      <c r="B65" s="194">
        <f t="shared" si="11"/>
        <v>0</v>
      </c>
      <c r="C65" s="66"/>
      <c r="D65" s="67"/>
      <c r="E65" s="58"/>
      <c r="F65" s="58"/>
      <c r="G65" s="115"/>
      <c r="H65" s="119"/>
      <c r="I65" s="58"/>
      <c r="J65" s="120"/>
      <c r="K65" s="58"/>
      <c r="L65" s="48"/>
      <c r="M65" s="104">
        <f t="shared" si="12"/>
        <v>0</v>
      </c>
      <c r="N65" s="59"/>
      <c r="O65" s="105">
        <f t="shared" si="13"/>
        <v>0</v>
      </c>
      <c r="P65" s="131">
        <f t="shared" si="14"/>
        <v>0</v>
      </c>
      <c r="Q65" s="134" t="str">
        <f t="shared" si="15"/>
        <v/>
      </c>
      <c r="R65" s="50"/>
      <c r="S65" s="60">
        <f t="shared" si="16"/>
        <v>12</v>
      </c>
      <c r="T65" s="61" t="str">
        <f t="shared" si="17"/>
        <v/>
      </c>
      <c r="U65" s="62" t="str">
        <f t="shared" si="18"/>
        <v/>
      </c>
      <c r="V65" s="63">
        <f t="shared" si="9"/>
        <v>0</v>
      </c>
      <c r="W65" s="64"/>
      <c r="X65" s="64"/>
      <c r="Y65" s="64"/>
      <c r="Z65" s="64"/>
      <c r="AA65" s="65"/>
      <c r="AB65" s="64"/>
      <c r="AC65" s="64"/>
      <c r="AD65" s="64"/>
      <c r="AE65" s="64"/>
      <c r="AF65" s="65"/>
      <c r="AG65" s="64"/>
      <c r="AH65" s="64"/>
      <c r="AI65" s="64"/>
      <c r="AJ65" s="64"/>
      <c r="AK65" s="65"/>
      <c r="AL65" s="64"/>
      <c r="AM65" s="64"/>
      <c r="AN65" s="64"/>
      <c r="AO65" s="64"/>
      <c r="AP65" s="65"/>
      <c r="AQ65" s="64"/>
      <c r="AR65" s="64"/>
      <c r="AS65" s="64"/>
      <c r="AT65" s="64"/>
      <c r="AU65" s="65"/>
      <c r="AV65" s="64"/>
      <c r="AW65" s="64"/>
      <c r="AX65" s="64"/>
      <c r="AY65" s="64"/>
      <c r="AZ65" s="65"/>
      <c r="BA65" s="64"/>
      <c r="BB65" s="64"/>
      <c r="BC65" s="64"/>
      <c r="BD65" s="64"/>
      <c r="BE65" s="65"/>
      <c r="BF65" s="64"/>
      <c r="BG65" s="64"/>
      <c r="BH65" s="64"/>
      <c r="BI65" s="64"/>
      <c r="BJ65" s="65"/>
      <c r="BK65" s="64"/>
      <c r="BL65" s="64"/>
      <c r="BM65" s="64"/>
      <c r="BN65" s="64"/>
      <c r="BO65" s="65"/>
      <c r="BP65" s="64"/>
      <c r="BQ65" s="64"/>
      <c r="BR65" s="64"/>
      <c r="BS65" s="64"/>
      <c r="BT65" s="65"/>
      <c r="BU65" s="64"/>
      <c r="BV65" s="64"/>
      <c r="BW65" s="64"/>
      <c r="BX65" s="64"/>
      <c r="BY65" s="65"/>
      <c r="BZ65" s="64"/>
      <c r="CA65" s="64"/>
      <c r="CB65" s="64"/>
      <c r="CC65" s="64"/>
      <c r="CD65" s="65"/>
      <c r="CE65" s="64"/>
      <c r="CF65" s="64"/>
      <c r="CG65" s="64"/>
      <c r="CH65" s="64"/>
      <c r="CI65" s="65"/>
      <c r="CJ65" s="64"/>
      <c r="CK65" s="64"/>
      <c r="CL65" s="64"/>
      <c r="CM65" s="64"/>
      <c r="CN65" s="65"/>
      <c r="CO65" s="64"/>
      <c r="CP65" s="64"/>
      <c r="CQ65" s="64"/>
      <c r="CR65" s="64"/>
      <c r="CS65" s="65"/>
      <c r="CT65" s="64"/>
      <c r="CU65" s="64"/>
      <c r="CV65" s="64"/>
      <c r="CW65" s="64"/>
      <c r="CX65" s="65"/>
      <c r="CY65" s="10"/>
    </row>
    <row r="66" spans="1:103" ht="15.75" hidden="1" x14ac:dyDescent="0.25">
      <c r="A66" s="141">
        <f t="shared" si="10"/>
        <v>12</v>
      </c>
      <c r="B66" s="194">
        <f t="shared" si="11"/>
        <v>0</v>
      </c>
      <c r="C66" s="66"/>
      <c r="D66" s="67"/>
      <c r="E66" s="58"/>
      <c r="F66" s="58"/>
      <c r="G66" s="115"/>
      <c r="H66" s="119"/>
      <c r="I66" s="58"/>
      <c r="J66" s="120"/>
      <c r="K66" s="58"/>
      <c r="L66" s="48"/>
      <c r="M66" s="104">
        <f t="shared" si="12"/>
        <v>0</v>
      </c>
      <c r="N66" s="59"/>
      <c r="O66" s="105">
        <f t="shared" si="13"/>
        <v>0</v>
      </c>
      <c r="P66" s="131">
        <f t="shared" si="14"/>
        <v>0</v>
      </c>
      <c r="Q66" s="134" t="str">
        <f t="shared" si="15"/>
        <v/>
      </c>
      <c r="R66" s="50"/>
      <c r="S66" s="60">
        <f t="shared" si="16"/>
        <v>12</v>
      </c>
      <c r="T66" s="61" t="str">
        <f t="shared" si="17"/>
        <v/>
      </c>
      <c r="U66" s="62" t="str">
        <f t="shared" si="18"/>
        <v/>
      </c>
      <c r="V66" s="63">
        <f t="shared" si="9"/>
        <v>0</v>
      </c>
      <c r="W66" s="64"/>
      <c r="X66" s="64"/>
      <c r="Y66" s="64"/>
      <c r="Z66" s="64"/>
      <c r="AA66" s="65"/>
      <c r="AB66" s="64"/>
      <c r="AC66" s="64"/>
      <c r="AD66" s="64"/>
      <c r="AE66" s="64"/>
      <c r="AF66" s="65"/>
      <c r="AG66" s="64"/>
      <c r="AH66" s="64"/>
      <c r="AI66" s="64"/>
      <c r="AJ66" s="64"/>
      <c r="AK66" s="65"/>
      <c r="AL66" s="64"/>
      <c r="AM66" s="64"/>
      <c r="AN66" s="64"/>
      <c r="AO66" s="64"/>
      <c r="AP66" s="65"/>
      <c r="AQ66" s="64"/>
      <c r="AR66" s="64"/>
      <c r="AS66" s="64"/>
      <c r="AT66" s="64"/>
      <c r="AU66" s="65"/>
      <c r="AV66" s="64"/>
      <c r="AW66" s="64"/>
      <c r="AX66" s="64"/>
      <c r="AY66" s="64"/>
      <c r="AZ66" s="65"/>
      <c r="BA66" s="64"/>
      <c r="BB66" s="64"/>
      <c r="BC66" s="64"/>
      <c r="BD66" s="64"/>
      <c r="BE66" s="65"/>
      <c r="BF66" s="64"/>
      <c r="BG66" s="64"/>
      <c r="BH66" s="64"/>
      <c r="BI66" s="64"/>
      <c r="BJ66" s="65"/>
      <c r="BK66" s="64"/>
      <c r="BL66" s="64"/>
      <c r="BM66" s="64"/>
      <c r="BN66" s="64"/>
      <c r="BO66" s="65"/>
      <c r="BP66" s="64"/>
      <c r="BQ66" s="64"/>
      <c r="BR66" s="64"/>
      <c r="BS66" s="64"/>
      <c r="BT66" s="65"/>
      <c r="BU66" s="64"/>
      <c r="BV66" s="64"/>
      <c r="BW66" s="64"/>
      <c r="BX66" s="64"/>
      <c r="BY66" s="65"/>
      <c r="BZ66" s="64"/>
      <c r="CA66" s="64"/>
      <c r="CB66" s="64"/>
      <c r="CC66" s="64"/>
      <c r="CD66" s="65"/>
      <c r="CE66" s="64"/>
      <c r="CF66" s="64"/>
      <c r="CG66" s="64"/>
      <c r="CH66" s="64"/>
      <c r="CI66" s="65"/>
      <c r="CJ66" s="64"/>
      <c r="CK66" s="64"/>
      <c r="CL66" s="64"/>
      <c r="CM66" s="64"/>
      <c r="CN66" s="65"/>
      <c r="CO66" s="64"/>
      <c r="CP66" s="64"/>
      <c r="CQ66" s="64"/>
      <c r="CR66" s="64"/>
      <c r="CS66" s="65"/>
      <c r="CT66" s="64"/>
      <c r="CU66" s="64"/>
      <c r="CV66" s="64"/>
      <c r="CW66" s="64"/>
      <c r="CX66" s="65"/>
      <c r="CY66" s="10"/>
    </row>
    <row r="67" spans="1:103" ht="15.75" hidden="1" customHeight="1" x14ac:dyDescent="0.25">
      <c r="A67" s="141">
        <f t="shared" si="10"/>
        <v>12</v>
      </c>
      <c r="B67" s="194">
        <f t="shared" si="11"/>
        <v>0</v>
      </c>
      <c r="C67" s="66"/>
      <c r="D67" s="67"/>
      <c r="E67" s="58"/>
      <c r="F67" s="58"/>
      <c r="G67" s="115"/>
      <c r="H67" s="119"/>
      <c r="I67" s="58"/>
      <c r="J67" s="120"/>
      <c r="K67" s="58"/>
      <c r="L67" s="48"/>
      <c r="M67" s="104">
        <f t="shared" si="12"/>
        <v>0</v>
      </c>
      <c r="N67" s="59"/>
      <c r="O67" s="105">
        <f t="shared" si="13"/>
        <v>0</v>
      </c>
      <c r="P67" s="131">
        <f t="shared" si="14"/>
        <v>0</v>
      </c>
      <c r="Q67" s="134" t="str">
        <f t="shared" si="15"/>
        <v/>
      </c>
      <c r="R67" s="50"/>
      <c r="S67" s="60">
        <f t="shared" si="16"/>
        <v>12</v>
      </c>
      <c r="T67" s="61" t="str">
        <f t="shared" si="17"/>
        <v/>
      </c>
      <c r="U67" s="62" t="str">
        <f t="shared" si="18"/>
        <v/>
      </c>
      <c r="V67" s="63">
        <f t="shared" si="9"/>
        <v>0</v>
      </c>
      <c r="W67" s="64"/>
      <c r="X67" s="64"/>
      <c r="Y67" s="64"/>
      <c r="Z67" s="64"/>
      <c r="AA67" s="65"/>
      <c r="AB67" s="64"/>
      <c r="AC67" s="64"/>
      <c r="AD67" s="64"/>
      <c r="AE67" s="64"/>
      <c r="AF67" s="65"/>
      <c r="AG67" s="64"/>
      <c r="AH67" s="64"/>
      <c r="AI67" s="64"/>
      <c r="AJ67" s="64"/>
      <c r="AK67" s="65"/>
      <c r="AL67" s="64"/>
      <c r="AM67" s="64"/>
      <c r="AN67" s="64"/>
      <c r="AO67" s="64"/>
      <c r="AP67" s="65"/>
      <c r="AQ67" s="64"/>
      <c r="AR67" s="64"/>
      <c r="AS67" s="64"/>
      <c r="AT67" s="64"/>
      <c r="AU67" s="65"/>
      <c r="AV67" s="64"/>
      <c r="AW67" s="64"/>
      <c r="AX67" s="64"/>
      <c r="AY67" s="64"/>
      <c r="AZ67" s="65"/>
      <c r="BA67" s="64"/>
      <c r="BB67" s="64"/>
      <c r="BC67" s="64"/>
      <c r="BD67" s="64"/>
      <c r="BE67" s="65"/>
      <c r="BF67" s="64"/>
      <c r="BG67" s="64"/>
      <c r="BH67" s="64"/>
      <c r="BI67" s="64"/>
      <c r="BJ67" s="65"/>
      <c r="BK67" s="64"/>
      <c r="BL67" s="64"/>
      <c r="BM67" s="64"/>
      <c r="BN67" s="64"/>
      <c r="BO67" s="65"/>
      <c r="BP67" s="64"/>
      <c r="BQ67" s="64"/>
      <c r="BR67" s="64"/>
      <c r="BS67" s="64"/>
      <c r="BT67" s="65"/>
      <c r="BU67" s="64"/>
      <c r="BV67" s="64"/>
      <c r="BW67" s="64"/>
      <c r="BX67" s="64"/>
      <c r="BY67" s="65"/>
      <c r="BZ67" s="64"/>
      <c r="CA67" s="64"/>
      <c r="CB67" s="64"/>
      <c r="CC67" s="64"/>
      <c r="CD67" s="65"/>
      <c r="CE67" s="64"/>
      <c r="CF67" s="64"/>
      <c r="CG67" s="64"/>
      <c r="CH67" s="64"/>
      <c r="CI67" s="65"/>
      <c r="CJ67" s="64"/>
      <c r="CK67" s="64"/>
      <c r="CL67" s="64"/>
      <c r="CM67" s="64"/>
      <c r="CN67" s="65"/>
      <c r="CO67" s="64"/>
      <c r="CP67" s="64"/>
      <c r="CQ67" s="64"/>
      <c r="CR67" s="64"/>
      <c r="CS67" s="65"/>
      <c r="CT67" s="64"/>
      <c r="CU67" s="64"/>
      <c r="CV67" s="64"/>
      <c r="CW67" s="64"/>
      <c r="CX67" s="65"/>
      <c r="CY67" s="10"/>
    </row>
    <row r="68" spans="1:103" ht="15.75" hidden="1" x14ac:dyDescent="0.25">
      <c r="A68" s="141">
        <f t="shared" ref="A68:A84" si="19">IF(B68&gt;0,A67+1,A67)</f>
        <v>12</v>
      </c>
      <c r="B68" s="194">
        <f t="shared" ref="B68:B84" si="20">V68</f>
        <v>0</v>
      </c>
      <c r="C68" s="66"/>
      <c r="D68" s="67"/>
      <c r="E68" s="58"/>
      <c r="F68" s="58"/>
      <c r="G68" s="115"/>
      <c r="H68" s="119"/>
      <c r="I68" s="58"/>
      <c r="J68" s="120"/>
      <c r="K68" s="58"/>
      <c r="L68" s="48"/>
      <c r="M68" s="104">
        <f t="shared" ref="M68:M84" si="21">SUM($L68*$B68)</f>
        <v>0</v>
      </c>
      <c r="N68" s="59"/>
      <c r="O68" s="105">
        <f t="shared" ref="O68:O84" si="22">SUM($N68*$B68)</f>
        <v>0</v>
      </c>
      <c r="P68" s="131">
        <f t="shared" ref="P68:P84" si="23">IF(LEFT($K68,2)="OP", $O68,0)</f>
        <v>0</v>
      </c>
      <c r="Q68" s="134" t="str">
        <f t="shared" ref="Q68:Q84" si="24">IF($Q$1="SAM","",IF(L68="","",N68-L68))</f>
        <v/>
      </c>
      <c r="R68" s="50"/>
      <c r="S68" s="60">
        <f t="shared" ref="S68:S84" si="25">IF(A68=0,"",A68)</f>
        <v>12</v>
      </c>
      <c r="T68" s="61" t="str">
        <f t="shared" ref="T68:T84" si="26">IF(C68="","",C68)</f>
        <v/>
      </c>
      <c r="U68" s="62" t="str">
        <f t="shared" ref="U68:U84" si="27">IF(D68="","",D68)</f>
        <v/>
      </c>
      <c r="V68" s="63">
        <f t="shared" si="9"/>
        <v>0</v>
      </c>
      <c r="W68" s="64"/>
      <c r="X68" s="64"/>
      <c r="Y68" s="64"/>
      <c r="Z68" s="64"/>
      <c r="AA68" s="65"/>
      <c r="AB68" s="64"/>
      <c r="AC68" s="64"/>
      <c r="AD68" s="64"/>
      <c r="AE68" s="64"/>
      <c r="AF68" s="65"/>
      <c r="AG68" s="64"/>
      <c r="AH68" s="64"/>
      <c r="AI68" s="64"/>
      <c r="AJ68" s="64"/>
      <c r="AK68" s="65"/>
      <c r="AL68" s="64"/>
      <c r="AM68" s="64"/>
      <c r="AN68" s="64"/>
      <c r="AO68" s="64"/>
      <c r="AP68" s="65"/>
      <c r="AQ68" s="64"/>
      <c r="AR68" s="64"/>
      <c r="AS68" s="64"/>
      <c r="AT68" s="64"/>
      <c r="AU68" s="65"/>
      <c r="AV68" s="64"/>
      <c r="AW68" s="64"/>
      <c r="AX68" s="64"/>
      <c r="AY68" s="64"/>
      <c r="AZ68" s="65"/>
      <c r="BA68" s="64"/>
      <c r="BB68" s="64"/>
      <c r="BC68" s="64"/>
      <c r="BD68" s="64"/>
      <c r="BE68" s="65"/>
      <c r="BF68" s="64"/>
      <c r="BG68" s="64"/>
      <c r="BH68" s="64"/>
      <c r="BI68" s="64"/>
      <c r="BJ68" s="65"/>
      <c r="BK68" s="64"/>
      <c r="BL68" s="64"/>
      <c r="BM68" s="64"/>
      <c r="BN68" s="64"/>
      <c r="BO68" s="65"/>
      <c r="BP68" s="64"/>
      <c r="BQ68" s="64"/>
      <c r="BR68" s="64"/>
      <c r="BS68" s="64"/>
      <c r="BT68" s="65"/>
      <c r="BU68" s="64"/>
      <c r="BV68" s="64"/>
      <c r="BW68" s="64"/>
      <c r="BX68" s="64"/>
      <c r="BY68" s="65"/>
      <c r="BZ68" s="64"/>
      <c r="CA68" s="64"/>
      <c r="CB68" s="64"/>
      <c r="CC68" s="64"/>
      <c r="CD68" s="65"/>
      <c r="CE68" s="64"/>
      <c r="CF68" s="64"/>
      <c r="CG68" s="64"/>
      <c r="CH68" s="64"/>
      <c r="CI68" s="65"/>
      <c r="CJ68" s="64"/>
      <c r="CK68" s="64"/>
      <c r="CL68" s="64"/>
      <c r="CM68" s="64"/>
      <c r="CN68" s="65"/>
      <c r="CO68" s="64"/>
      <c r="CP68" s="64"/>
      <c r="CQ68" s="64"/>
      <c r="CR68" s="64"/>
      <c r="CS68" s="65"/>
      <c r="CT68" s="64"/>
      <c r="CU68" s="64"/>
      <c r="CV68" s="64"/>
      <c r="CW68" s="64"/>
      <c r="CX68" s="65"/>
      <c r="CY68" s="10"/>
    </row>
    <row r="69" spans="1:103" ht="15.75" hidden="1" customHeight="1" x14ac:dyDescent="0.25">
      <c r="A69" s="141">
        <f t="shared" si="19"/>
        <v>12</v>
      </c>
      <c r="B69" s="194">
        <f t="shared" si="20"/>
        <v>0</v>
      </c>
      <c r="C69" s="66"/>
      <c r="D69" s="67"/>
      <c r="E69" s="58"/>
      <c r="F69" s="58"/>
      <c r="G69" s="115"/>
      <c r="H69" s="119"/>
      <c r="I69" s="58"/>
      <c r="J69" s="120"/>
      <c r="K69" s="58"/>
      <c r="L69" s="48"/>
      <c r="M69" s="104">
        <f t="shared" si="21"/>
        <v>0</v>
      </c>
      <c r="N69" s="59"/>
      <c r="O69" s="105">
        <f t="shared" si="22"/>
        <v>0</v>
      </c>
      <c r="P69" s="131">
        <f t="shared" si="23"/>
        <v>0</v>
      </c>
      <c r="Q69" s="134" t="str">
        <f t="shared" si="24"/>
        <v/>
      </c>
      <c r="R69" s="50"/>
      <c r="S69" s="60">
        <f t="shared" si="25"/>
        <v>12</v>
      </c>
      <c r="T69" s="61" t="str">
        <f t="shared" si="26"/>
        <v/>
      </c>
      <c r="U69" s="62" t="str">
        <f t="shared" si="27"/>
        <v/>
      </c>
      <c r="V69" s="63">
        <f t="shared" ref="V69:V83" si="28">SUM(W69:CY69)</f>
        <v>0</v>
      </c>
      <c r="W69" s="64"/>
      <c r="X69" s="64"/>
      <c r="Y69" s="64"/>
      <c r="Z69" s="64"/>
      <c r="AA69" s="65"/>
      <c r="AB69" s="64"/>
      <c r="AC69" s="64"/>
      <c r="AD69" s="64"/>
      <c r="AE69" s="64"/>
      <c r="AF69" s="65"/>
      <c r="AG69" s="64"/>
      <c r="AH69" s="64"/>
      <c r="AI69" s="64"/>
      <c r="AJ69" s="64"/>
      <c r="AK69" s="65"/>
      <c r="AL69" s="64"/>
      <c r="AM69" s="64"/>
      <c r="AN69" s="64"/>
      <c r="AO69" s="64"/>
      <c r="AP69" s="65"/>
      <c r="AQ69" s="64"/>
      <c r="AR69" s="64"/>
      <c r="AS69" s="64"/>
      <c r="AT69" s="64"/>
      <c r="AU69" s="65"/>
      <c r="AV69" s="64"/>
      <c r="AW69" s="64"/>
      <c r="AX69" s="64"/>
      <c r="AY69" s="64"/>
      <c r="AZ69" s="65"/>
      <c r="BA69" s="64"/>
      <c r="BB69" s="64"/>
      <c r="BC69" s="64"/>
      <c r="BD69" s="64"/>
      <c r="BE69" s="65"/>
      <c r="BF69" s="64"/>
      <c r="BG69" s="64"/>
      <c r="BH69" s="64"/>
      <c r="BI69" s="64"/>
      <c r="BJ69" s="65"/>
      <c r="BK69" s="64"/>
      <c r="BL69" s="64"/>
      <c r="BM69" s="64"/>
      <c r="BN69" s="64"/>
      <c r="BO69" s="65"/>
      <c r="BP69" s="64"/>
      <c r="BQ69" s="64"/>
      <c r="BR69" s="64"/>
      <c r="BS69" s="64"/>
      <c r="BT69" s="65"/>
      <c r="BU69" s="64"/>
      <c r="BV69" s="64"/>
      <c r="BW69" s="64"/>
      <c r="BX69" s="64"/>
      <c r="BY69" s="65"/>
      <c r="BZ69" s="64"/>
      <c r="CA69" s="64"/>
      <c r="CB69" s="64"/>
      <c r="CC69" s="64"/>
      <c r="CD69" s="65"/>
      <c r="CE69" s="64"/>
      <c r="CF69" s="64"/>
      <c r="CG69" s="64"/>
      <c r="CH69" s="64"/>
      <c r="CI69" s="65"/>
      <c r="CJ69" s="64"/>
      <c r="CK69" s="64"/>
      <c r="CL69" s="64"/>
      <c r="CM69" s="64"/>
      <c r="CN69" s="65"/>
      <c r="CO69" s="64"/>
      <c r="CP69" s="64"/>
      <c r="CQ69" s="64"/>
      <c r="CR69" s="64"/>
      <c r="CS69" s="65"/>
      <c r="CT69" s="64"/>
      <c r="CU69" s="64"/>
      <c r="CV69" s="64"/>
      <c r="CW69" s="64"/>
      <c r="CX69" s="65"/>
      <c r="CY69" s="10"/>
    </row>
    <row r="70" spans="1:103" ht="15.75" hidden="1" x14ac:dyDescent="0.25">
      <c r="A70" s="141">
        <f t="shared" si="19"/>
        <v>12</v>
      </c>
      <c r="B70" s="194">
        <f t="shared" si="20"/>
        <v>0</v>
      </c>
      <c r="C70" s="66"/>
      <c r="D70" s="67"/>
      <c r="E70" s="58"/>
      <c r="F70" s="58"/>
      <c r="G70" s="115"/>
      <c r="H70" s="119"/>
      <c r="I70" s="58"/>
      <c r="J70" s="120"/>
      <c r="K70" s="58"/>
      <c r="L70" s="48"/>
      <c r="M70" s="104">
        <f t="shared" si="21"/>
        <v>0</v>
      </c>
      <c r="N70" s="59"/>
      <c r="O70" s="105">
        <f t="shared" si="22"/>
        <v>0</v>
      </c>
      <c r="P70" s="131">
        <f t="shared" si="23"/>
        <v>0</v>
      </c>
      <c r="Q70" s="134" t="str">
        <f t="shared" si="24"/>
        <v/>
      </c>
      <c r="R70" s="50"/>
      <c r="S70" s="60">
        <f t="shared" si="25"/>
        <v>12</v>
      </c>
      <c r="T70" s="61" t="str">
        <f t="shared" si="26"/>
        <v/>
      </c>
      <c r="U70" s="62" t="str">
        <f t="shared" si="27"/>
        <v/>
      </c>
      <c r="V70" s="63">
        <f t="shared" si="28"/>
        <v>0</v>
      </c>
      <c r="W70" s="64"/>
      <c r="X70" s="64"/>
      <c r="Y70" s="64"/>
      <c r="Z70" s="64"/>
      <c r="AA70" s="65"/>
      <c r="AB70" s="64"/>
      <c r="AC70" s="64"/>
      <c r="AD70" s="64"/>
      <c r="AE70" s="64"/>
      <c r="AF70" s="65"/>
      <c r="AG70" s="64"/>
      <c r="AH70" s="64"/>
      <c r="AI70" s="64"/>
      <c r="AJ70" s="64"/>
      <c r="AK70" s="65"/>
      <c r="AL70" s="64"/>
      <c r="AM70" s="64"/>
      <c r="AN70" s="64"/>
      <c r="AO70" s="64"/>
      <c r="AP70" s="65"/>
      <c r="AQ70" s="64"/>
      <c r="AR70" s="64"/>
      <c r="AS70" s="64"/>
      <c r="AT70" s="64"/>
      <c r="AU70" s="65"/>
      <c r="AV70" s="64"/>
      <c r="AW70" s="64"/>
      <c r="AX70" s="64"/>
      <c r="AY70" s="64"/>
      <c r="AZ70" s="65"/>
      <c r="BA70" s="64"/>
      <c r="BB70" s="64"/>
      <c r="BC70" s="64"/>
      <c r="BD70" s="64"/>
      <c r="BE70" s="65"/>
      <c r="BF70" s="64"/>
      <c r="BG70" s="64"/>
      <c r="BH70" s="64"/>
      <c r="BI70" s="64"/>
      <c r="BJ70" s="65"/>
      <c r="BK70" s="64"/>
      <c r="BL70" s="64"/>
      <c r="BM70" s="64"/>
      <c r="BN70" s="64"/>
      <c r="BO70" s="65"/>
      <c r="BP70" s="64"/>
      <c r="BQ70" s="64"/>
      <c r="BR70" s="64"/>
      <c r="BS70" s="64"/>
      <c r="BT70" s="65"/>
      <c r="BU70" s="64"/>
      <c r="BV70" s="64"/>
      <c r="BW70" s="64"/>
      <c r="BX70" s="64"/>
      <c r="BY70" s="65"/>
      <c r="BZ70" s="64"/>
      <c r="CA70" s="64"/>
      <c r="CB70" s="64"/>
      <c r="CC70" s="64"/>
      <c r="CD70" s="65"/>
      <c r="CE70" s="64"/>
      <c r="CF70" s="64"/>
      <c r="CG70" s="64"/>
      <c r="CH70" s="64"/>
      <c r="CI70" s="65"/>
      <c r="CJ70" s="64"/>
      <c r="CK70" s="64"/>
      <c r="CL70" s="64"/>
      <c r="CM70" s="64"/>
      <c r="CN70" s="65"/>
      <c r="CO70" s="64"/>
      <c r="CP70" s="64"/>
      <c r="CQ70" s="64"/>
      <c r="CR70" s="64"/>
      <c r="CS70" s="65"/>
      <c r="CT70" s="64"/>
      <c r="CU70" s="64"/>
      <c r="CV70" s="64"/>
      <c r="CW70" s="64"/>
      <c r="CX70" s="65"/>
      <c r="CY70" s="10"/>
    </row>
    <row r="71" spans="1:103" ht="15.75" hidden="1" x14ac:dyDescent="0.25">
      <c r="A71" s="141">
        <f t="shared" si="19"/>
        <v>12</v>
      </c>
      <c r="B71" s="194">
        <f t="shared" si="20"/>
        <v>0</v>
      </c>
      <c r="C71" s="66"/>
      <c r="D71" s="67"/>
      <c r="E71" s="58"/>
      <c r="F71" s="58"/>
      <c r="G71" s="115"/>
      <c r="H71" s="119"/>
      <c r="I71" s="58"/>
      <c r="J71" s="120"/>
      <c r="K71" s="58"/>
      <c r="L71" s="48"/>
      <c r="M71" s="104">
        <f t="shared" si="21"/>
        <v>0</v>
      </c>
      <c r="N71" s="59"/>
      <c r="O71" s="105">
        <f t="shared" si="22"/>
        <v>0</v>
      </c>
      <c r="P71" s="131">
        <f t="shared" si="23"/>
        <v>0</v>
      </c>
      <c r="Q71" s="134" t="str">
        <f t="shared" si="24"/>
        <v/>
      </c>
      <c r="R71" s="50"/>
      <c r="S71" s="60">
        <f t="shared" si="25"/>
        <v>12</v>
      </c>
      <c r="T71" s="61" t="str">
        <f t="shared" si="26"/>
        <v/>
      </c>
      <c r="U71" s="62" t="str">
        <f t="shared" si="27"/>
        <v/>
      </c>
      <c r="V71" s="63">
        <f t="shared" si="28"/>
        <v>0</v>
      </c>
      <c r="W71" s="64"/>
      <c r="X71" s="64"/>
      <c r="Y71" s="64"/>
      <c r="Z71" s="64"/>
      <c r="AA71" s="65"/>
      <c r="AB71" s="64"/>
      <c r="AC71" s="64"/>
      <c r="AD71" s="64"/>
      <c r="AE71" s="64"/>
      <c r="AF71" s="65"/>
      <c r="AG71" s="64"/>
      <c r="AH71" s="64"/>
      <c r="AI71" s="64"/>
      <c r="AJ71" s="64"/>
      <c r="AK71" s="65"/>
      <c r="AL71" s="64"/>
      <c r="AM71" s="64"/>
      <c r="AN71" s="64"/>
      <c r="AO71" s="64"/>
      <c r="AP71" s="65"/>
      <c r="AQ71" s="64"/>
      <c r="AR71" s="64"/>
      <c r="AS71" s="64"/>
      <c r="AT71" s="64"/>
      <c r="AU71" s="65"/>
      <c r="AV71" s="64"/>
      <c r="AW71" s="64"/>
      <c r="AX71" s="64"/>
      <c r="AY71" s="64"/>
      <c r="AZ71" s="65"/>
      <c r="BA71" s="64"/>
      <c r="BB71" s="64"/>
      <c r="BC71" s="64"/>
      <c r="BD71" s="64"/>
      <c r="BE71" s="65"/>
      <c r="BF71" s="64"/>
      <c r="BG71" s="64"/>
      <c r="BH71" s="64"/>
      <c r="BI71" s="64"/>
      <c r="BJ71" s="65"/>
      <c r="BK71" s="64"/>
      <c r="BL71" s="64"/>
      <c r="BM71" s="64"/>
      <c r="BN71" s="64"/>
      <c r="BO71" s="65"/>
      <c r="BP71" s="64"/>
      <c r="BQ71" s="64"/>
      <c r="BR71" s="64"/>
      <c r="BS71" s="64"/>
      <c r="BT71" s="65"/>
      <c r="BU71" s="64"/>
      <c r="BV71" s="64"/>
      <c r="BW71" s="64"/>
      <c r="BX71" s="64"/>
      <c r="BY71" s="65"/>
      <c r="BZ71" s="64"/>
      <c r="CA71" s="64"/>
      <c r="CB71" s="64"/>
      <c r="CC71" s="64"/>
      <c r="CD71" s="65"/>
      <c r="CE71" s="64"/>
      <c r="CF71" s="64"/>
      <c r="CG71" s="64"/>
      <c r="CH71" s="64"/>
      <c r="CI71" s="65"/>
      <c r="CJ71" s="64"/>
      <c r="CK71" s="64"/>
      <c r="CL71" s="64"/>
      <c r="CM71" s="64"/>
      <c r="CN71" s="65"/>
      <c r="CO71" s="64"/>
      <c r="CP71" s="64"/>
      <c r="CQ71" s="64"/>
      <c r="CR71" s="64"/>
      <c r="CS71" s="65"/>
      <c r="CT71" s="64"/>
      <c r="CU71" s="64"/>
      <c r="CV71" s="64"/>
      <c r="CW71" s="64"/>
      <c r="CX71" s="65"/>
      <c r="CY71" s="10"/>
    </row>
    <row r="72" spans="1:103" ht="15.75" hidden="1" x14ac:dyDescent="0.25">
      <c r="A72" s="141">
        <f t="shared" si="19"/>
        <v>12</v>
      </c>
      <c r="B72" s="194">
        <f t="shared" si="20"/>
        <v>0</v>
      </c>
      <c r="C72" s="66"/>
      <c r="D72" s="67"/>
      <c r="E72" s="58"/>
      <c r="F72" s="58"/>
      <c r="G72" s="115"/>
      <c r="H72" s="119"/>
      <c r="I72" s="58"/>
      <c r="J72" s="120"/>
      <c r="K72" s="58"/>
      <c r="L72" s="48"/>
      <c r="M72" s="104">
        <f t="shared" si="21"/>
        <v>0</v>
      </c>
      <c r="N72" s="59"/>
      <c r="O72" s="105">
        <f t="shared" si="22"/>
        <v>0</v>
      </c>
      <c r="P72" s="131">
        <f t="shared" si="23"/>
        <v>0</v>
      </c>
      <c r="Q72" s="134" t="str">
        <f t="shared" si="24"/>
        <v/>
      </c>
      <c r="R72" s="50"/>
      <c r="S72" s="60">
        <f t="shared" si="25"/>
        <v>12</v>
      </c>
      <c r="T72" s="61" t="str">
        <f t="shared" si="26"/>
        <v/>
      </c>
      <c r="U72" s="62" t="str">
        <f t="shared" si="27"/>
        <v/>
      </c>
      <c r="V72" s="63">
        <f t="shared" si="28"/>
        <v>0</v>
      </c>
      <c r="W72" s="64"/>
      <c r="X72" s="64"/>
      <c r="Y72" s="64"/>
      <c r="Z72" s="64"/>
      <c r="AA72" s="65"/>
      <c r="AB72" s="64"/>
      <c r="AC72" s="64"/>
      <c r="AD72" s="64"/>
      <c r="AE72" s="64"/>
      <c r="AF72" s="65"/>
      <c r="AG72" s="64"/>
      <c r="AH72" s="64"/>
      <c r="AI72" s="64"/>
      <c r="AJ72" s="64"/>
      <c r="AK72" s="65"/>
      <c r="AL72" s="64"/>
      <c r="AM72" s="64"/>
      <c r="AN72" s="64"/>
      <c r="AO72" s="64"/>
      <c r="AP72" s="65"/>
      <c r="AQ72" s="64"/>
      <c r="AR72" s="64"/>
      <c r="AS72" s="64"/>
      <c r="AT72" s="64"/>
      <c r="AU72" s="65"/>
      <c r="AV72" s="64"/>
      <c r="AW72" s="64"/>
      <c r="AX72" s="64"/>
      <c r="AY72" s="64"/>
      <c r="AZ72" s="65"/>
      <c r="BA72" s="64"/>
      <c r="BB72" s="64"/>
      <c r="BC72" s="64"/>
      <c r="BD72" s="64"/>
      <c r="BE72" s="65"/>
      <c r="BF72" s="64"/>
      <c r="BG72" s="64"/>
      <c r="BH72" s="64"/>
      <c r="BI72" s="64"/>
      <c r="BJ72" s="65"/>
      <c r="BK72" s="64"/>
      <c r="BL72" s="64"/>
      <c r="BM72" s="64"/>
      <c r="BN72" s="64"/>
      <c r="BO72" s="65"/>
      <c r="BP72" s="64"/>
      <c r="BQ72" s="64"/>
      <c r="BR72" s="64"/>
      <c r="BS72" s="64"/>
      <c r="BT72" s="65"/>
      <c r="BU72" s="64"/>
      <c r="BV72" s="64"/>
      <c r="BW72" s="64"/>
      <c r="BX72" s="64"/>
      <c r="BY72" s="65"/>
      <c r="BZ72" s="64"/>
      <c r="CA72" s="64"/>
      <c r="CB72" s="64"/>
      <c r="CC72" s="64"/>
      <c r="CD72" s="65"/>
      <c r="CE72" s="64"/>
      <c r="CF72" s="64"/>
      <c r="CG72" s="64"/>
      <c r="CH72" s="64"/>
      <c r="CI72" s="65"/>
      <c r="CJ72" s="64"/>
      <c r="CK72" s="64"/>
      <c r="CL72" s="64"/>
      <c r="CM72" s="64"/>
      <c r="CN72" s="65"/>
      <c r="CO72" s="64"/>
      <c r="CP72" s="64"/>
      <c r="CQ72" s="64"/>
      <c r="CR72" s="64"/>
      <c r="CS72" s="65"/>
      <c r="CT72" s="64"/>
      <c r="CU72" s="64"/>
      <c r="CV72" s="64"/>
      <c r="CW72" s="64"/>
      <c r="CX72" s="65"/>
      <c r="CY72" s="10"/>
    </row>
    <row r="73" spans="1:103" ht="15.75" hidden="1" x14ac:dyDescent="0.25">
      <c r="A73" s="141">
        <f t="shared" si="19"/>
        <v>12</v>
      </c>
      <c r="B73" s="194">
        <f t="shared" si="20"/>
        <v>0</v>
      </c>
      <c r="C73" s="66"/>
      <c r="D73" s="67"/>
      <c r="E73" s="58"/>
      <c r="F73" s="58"/>
      <c r="G73" s="115"/>
      <c r="H73" s="119"/>
      <c r="I73" s="58"/>
      <c r="J73" s="120"/>
      <c r="K73" s="58"/>
      <c r="L73" s="48"/>
      <c r="M73" s="104">
        <f t="shared" si="21"/>
        <v>0</v>
      </c>
      <c r="N73" s="59"/>
      <c r="O73" s="105">
        <f t="shared" si="22"/>
        <v>0</v>
      </c>
      <c r="P73" s="131">
        <f t="shared" si="23"/>
        <v>0</v>
      </c>
      <c r="Q73" s="134" t="str">
        <f t="shared" si="24"/>
        <v/>
      </c>
      <c r="R73" s="50"/>
      <c r="S73" s="60">
        <f t="shared" si="25"/>
        <v>12</v>
      </c>
      <c r="T73" s="61" t="str">
        <f t="shared" si="26"/>
        <v/>
      </c>
      <c r="U73" s="62" t="str">
        <f t="shared" si="27"/>
        <v/>
      </c>
      <c r="V73" s="63">
        <f t="shared" si="28"/>
        <v>0</v>
      </c>
      <c r="W73" s="64"/>
      <c r="X73" s="64"/>
      <c r="Y73" s="64"/>
      <c r="Z73" s="64"/>
      <c r="AA73" s="65"/>
      <c r="AB73" s="64"/>
      <c r="AC73" s="64"/>
      <c r="AD73" s="64"/>
      <c r="AE73" s="64"/>
      <c r="AF73" s="65"/>
      <c r="AG73" s="64"/>
      <c r="AH73" s="64"/>
      <c r="AI73" s="64"/>
      <c r="AJ73" s="64"/>
      <c r="AK73" s="65"/>
      <c r="AL73" s="64"/>
      <c r="AM73" s="64"/>
      <c r="AN73" s="64"/>
      <c r="AO73" s="64"/>
      <c r="AP73" s="65"/>
      <c r="AQ73" s="64"/>
      <c r="AR73" s="64"/>
      <c r="AS73" s="64"/>
      <c r="AT73" s="64"/>
      <c r="AU73" s="65"/>
      <c r="AV73" s="64"/>
      <c r="AW73" s="64"/>
      <c r="AX73" s="64"/>
      <c r="AY73" s="64"/>
      <c r="AZ73" s="65"/>
      <c r="BA73" s="64"/>
      <c r="BB73" s="64"/>
      <c r="BC73" s="64"/>
      <c r="BD73" s="64"/>
      <c r="BE73" s="65"/>
      <c r="BF73" s="64"/>
      <c r="BG73" s="64"/>
      <c r="BH73" s="64"/>
      <c r="BI73" s="64"/>
      <c r="BJ73" s="65"/>
      <c r="BK73" s="64"/>
      <c r="BL73" s="64"/>
      <c r="BM73" s="64"/>
      <c r="BN73" s="64"/>
      <c r="BO73" s="65"/>
      <c r="BP73" s="64"/>
      <c r="BQ73" s="64"/>
      <c r="BR73" s="64"/>
      <c r="BS73" s="64"/>
      <c r="BT73" s="65"/>
      <c r="BU73" s="64"/>
      <c r="BV73" s="64"/>
      <c r="BW73" s="64"/>
      <c r="BX73" s="64"/>
      <c r="BY73" s="65"/>
      <c r="BZ73" s="64"/>
      <c r="CA73" s="64"/>
      <c r="CB73" s="64"/>
      <c r="CC73" s="64"/>
      <c r="CD73" s="65"/>
      <c r="CE73" s="64"/>
      <c r="CF73" s="64"/>
      <c r="CG73" s="64"/>
      <c r="CH73" s="64"/>
      <c r="CI73" s="65"/>
      <c r="CJ73" s="64"/>
      <c r="CK73" s="64"/>
      <c r="CL73" s="64"/>
      <c r="CM73" s="64"/>
      <c r="CN73" s="65"/>
      <c r="CO73" s="64"/>
      <c r="CP73" s="64"/>
      <c r="CQ73" s="64"/>
      <c r="CR73" s="64"/>
      <c r="CS73" s="65"/>
      <c r="CT73" s="64"/>
      <c r="CU73" s="64"/>
      <c r="CV73" s="64"/>
      <c r="CW73" s="64"/>
      <c r="CX73" s="65"/>
      <c r="CY73" s="10"/>
    </row>
    <row r="74" spans="1:103" ht="15.75" hidden="1" x14ac:dyDescent="0.25">
      <c r="A74" s="141">
        <f t="shared" si="19"/>
        <v>12</v>
      </c>
      <c r="B74" s="194">
        <f t="shared" si="20"/>
        <v>0</v>
      </c>
      <c r="C74" s="66"/>
      <c r="D74" s="67"/>
      <c r="E74" s="58"/>
      <c r="F74" s="58"/>
      <c r="G74" s="115"/>
      <c r="H74" s="119"/>
      <c r="I74" s="58"/>
      <c r="J74" s="120"/>
      <c r="K74" s="58"/>
      <c r="L74" s="48"/>
      <c r="M74" s="104">
        <f t="shared" si="21"/>
        <v>0</v>
      </c>
      <c r="N74" s="59"/>
      <c r="O74" s="105">
        <f t="shared" si="22"/>
        <v>0</v>
      </c>
      <c r="P74" s="131">
        <f t="shared" si="23"/>
        <v>0</v>
      </c>
      <c r="Q74" s="134" t="str">
        <f t="shared" si="24"/>
        <v/>
      </c>
      <c r="R74" s="50"/>
      <c r="S74" s="60">
        <f t="shared" si="25"/>
        <v>12</v>
      </c>
      <c r="T74" s="61" t="str">
        <f t="shared" si="26"/>
        <v/>
      </c>
      <c r="U74" s="62" t="str">
        <f t="shared" si="27"/>
        <v/>
      </c>
      <c r="V74" s="63">
        <f t="shared" si="28"/>
        <v>0</v>
      </c>
      <c r="W74" s="64"/>
      <c r="X74" s="64"/>
      <c r="Y74" s="64"/>
      <c r="Z74" s="64"/>
      <c r="AA74" s="65"/>
      <c r="AB74" s="64"/>
      <c r="AC74" s="64"/>
      <c r="AD74" s="64"/>
      <c r="AE74" s="64"/>
      <c r="AF74" s="65"/>
      <c r="AG74" s="64"/>
      <c r="AH74" s="64"/>
      <c r="AI74" s="64"/>
      <c r="AJ74" s="64"/>
      <c r="AK74" s="65"/>
      <c r="AL74" s="64"/>
      <c r="AM74" s="64"/>
      <c r="AN74" s="64"/>
      <c r="AO74" s="64"/>
      <c r="AP74" s="65"/>
      <c r="AQ74" s="64"/>
      <c r="AR74" s="64"/>
      <c r="AS74" s="64"/>
      <c r="AT74" s="64"/>
      <c r="AU74" s="65"/>
      <c r="AV74" s="64"/>
      <c r="AW74" s="64"/>
      <c r="AX74" s="64"/>
      <c r="AY74" s="64"/>
      <c r="AZ74" s="65"/>
      <c r="BA74" s="64"/>
      <c r="BB74" s="64"/>
      <c r="BC74" s="64"/>
      <c r="BD74" s="64"/>
      <c r="BE74" s="65"/>
      <c r="BF74" s="64"/>
      <c r="BG74" s="64"/>
      <c r="BH74" s="64"/>
      <c r="BI74" s="64"/>
      <c r="BJ74" s="65"/>
      <c r="BK74" s="64"/>
      <c r="BL74" s="64"/>
      <c r="BM74" s="64"/>
      <c r="BN74" s="64"/>
      <c r="BO74" s="65"/>
      <c r="BP74" s="64"/>
      <c r="BQ74" s="64"/>
      <c r="BR74" s="64"/>
      <c r="BS74" s="64"/>
      <c r="BT74" s="65"/>
      <c r="BU74" s="64"/>
      <c r="BV74" s="64"/>
      <c r="BW74" s="64"/>
      <c r="BX74" s="64"/>
      <c r="BY74" s="65"/>
      <c r="BZ74" s="64"/>
      <c r="CA74" s="64"/>
      <c r="CB74" s="64"/>
      <c r="CC74" s="64"/>
      <c r="CD74" s="65"/>
      <c r="CE74" s="64"/>
      <c r="CF74" s="64"/>
      <c r="CG74" s="64"/>
      <c r="CH74" s="64"/>
      <c r="CI74" s="65"/>
      <c r="CJ74" s="64"/>
      <c r="CK74" s="64"/>
      <c r="CL74" s="64"/>
      <c r="CM74" s="64"/>
      <c r="CN74" s="65"/>
      <c r="CO74" s="64"/>
      <c r="CP74" s="64"/>
      <c r="CQ74" s="64"/>
      <c r="CR74" s="64"/>
      <c r="CS74" s="65"/>
      <c r="CT74" s="64"/>
      <c r="CU74" s="64"/>
      <c r="CV74" s="64"/>
      <c r="CW74" s="64"/>
      <c r="CX74" s="65"/>
      <c r="CY74" s="10"/>
    </row>
    <row r="75" spans="1:103" ht="15.75" hidden="1" x14ac:dyDescent="0.25">
      <c r="A75" s="141">
        <f t="shared" si="19"/>
        <v>12</v>
      </c>
      <c r="B75" s="194">
        <f t="shared" si="20"/>
        <v>0</v>
      </c>
      <c r="C75" s="66"/>
      <c r="D75" s="67"/>
      <c r="E75" s="58"/>
      <c r="F75" s="58"/>
      <c r="G75" s="115"/>
      <c r="H75" s="119"/>
      <c r="I75" s="58"/>
      <c r="J75" s="120"/>
      <c r="K75" s="58"/>
      <c r="L75" s="48"/>
      <c r="M75" s="104">
        <f t="shared" si="21"/>
        <v>0</v>
      </c>
      <c r="N75" s="59"/>
      <c r="O75" s="105">
        <f t="shared" si="22"/>
        <v>0</v>
      </c>
      <c r="P75" s="131">
        <f t="shared" si="23"/>
        <v>0</v>
      </c>
      <c r="Q75" s="134" t="str">
        <f t="shared" si="24"/>
        <v/>
      </c>
      <c r="R75" s="50"/>
      <c r="S75" s="60">
        <f t="shared" si="25"/>
        <v>12</v>
      </c>
      <c r="T75" s="61" t="str">
        <f t="shared" si="26"/>
        <v/>
      </c>
      <c r="U75" s="62" t="str">
        <f t="shared" si="27"/>
        <v/>
      </c>
      <c r="V75" s="63">
        <f t="shared" si="28"/>
        <v>0</v>
      </c>
      <c r="W75" s="64"/>
      <c r="X75" s="64"/>
      <c r="Y75" s="64"/>
      <c r="Z75" s="64"/>
      <c r="AA75" s="65"/>
      <c r="AB75" s="64"/>
      <c r="AC75" s="64"/>
      <c r="AD75" s="64"/>
      <c r="AE75" s="64"/>
      <c r="AF75" s="65"/>
      <c r="AG75" s="64"/>
      <c r="AH75" s="64"/>
      <c r="AI75" s="64"/>
      <c r="AJ75" s="64"/>
      <c r="AK75" s="65"/>
      <c r="AL75" s="64"/>
      <c r="AM75" s="64"/>
      <c r="AN75" s="64"/>
      <c r="AO75" s="64"/>
      <c r="AP75" s="65"/>
      <c r="AQ75" s="64"/>
      <c r="AR75" s="64"/>
      <c r="AS75" s="64"/>
      <c r="AT75" s="64"/>
      <c r="AU75" s="65"/>
      <c r="AV75" s="64"/>
      <c r="AW75" s="64"/>
      <c r="AX75" s="64"/>
      <c r="AY75" s="64"/>
      <c r="AZ75" s="65"/>
      <c r="BA75" s="64"/>
      <c r="BB75" s="64"/>
      <c r="BC75" s="64"/>
      <c r="BD75" s="64"/>
      <c r="BE75" s="65"/>
      <c r="BF75" s="64"/>
      <c r="BG75" s="64"/>
      <c r="BH75" s="64"/>
      <c r="BI75" s="64"/>
      <c r="BJ75" s="65"/>
      <c r="BK75" s="64"/>
      <c r="BL75" s="64"/>
      <c r="BM75" s="64"/>
      <c r="BN75" s="64"/>
      <c r="BO75" s="65"/>
      <c r="BP75" s="64"/>
      <c r="BQ75" s="64"/>
      <c r="BR75" s="64"/>
      <c r="BS75" s="64"/>
      <c r="BT75" s="65"/>
      <c r="BU75" s="64"/>
      <c r="BV75" s="64"/>
      <c r="BW75" s="64"/>
      <c r="BX75" s="64"/>
      <c r="BY75" s="65"/>
      <c r="BZ75" s="64"/>
      <c r="CA75" s="64"/>
      <c r="CB75" s="64"/>
      <c r="CC75" s="64"/>
      <c r="CD75" s="65"/>
      <c r="CE75" s="64"/>
      <c r="CF75" s="64"/>
      <c r="CG75" s="64"/>
      <c r="CH75" s="64"/>
      <c r="CI75" s="65"/>
      <c r="CJ75" s="64"/>
      <c r="CK75" s="64"/>
      <c r="CL75" s="64"/>
      <c r="CM75" s="64"/>
      <c r="CN75" s="65"/>
      <c r="CO75" s="64"/>
      <c r="CP75" s="64"/>
      <c r="CQ75" s="64"/>
      <c r="CR75" s="64"/>
      <c r="CS75" s="65"/>
      <c r="CT75" s="64"/>
      <c r="CU75" s="64"/>
      <c r="CV75" s="64"/>
      <c r="CW75" s="64"/>
      <c r="CX75" s="65"/>
      <c r="CY75" s="10"/>
    </row>
    <row r="76" spans="1:103" ht="15.75" hidden="1" x14ac:dyDescent="0.25">
      <c r="A76" s="141">
        <f t="shared" si="19"/>
        <v>12</v>
      </c>
      <c r="B76" s="194">
        <f t="shared" si="20"/>
        <v>0</v>
      </c>
      <c r="C76" s="66"/>
      <c r="D76" s="67"/>
      <c r="E76" s="58"/>
      <c r="F76" s="58"/>
      <c r="G76" s="115"/>
      <c r="H76" s="119"/>
      <c r="I76" s="58"/>
      <c r="J76" s="120"/>
      <c r="K76" s="58"/>
      <c r="L76" s="48"/>
      <c r="M76" s="104">
        <f t="shared" si="21"/>
        <v>0</v>
      </c>
      <c r="N76" s="59"/>
      <c r="O76" s="105">
        <f t="shared" si="22"/>
        <v>0</v>
      </c>
      <c r="P76" s="131">
        <f t="shared" si="23"/>
        <v>0</v>
      </c>
      <c r="Q76" s="134" t="str">
        <f t="shared" si="24"/>
        <v/>
      </c>
      <c r="R76" s="50"/>
      <c r="S76" s="60">
        <f t="shared" si="25"/>
        <v>12</v>
      </c>
      <c r="T76" s="61" t="str">
        <f t="shared" si="26"/>
        <v/>
      </c>
      <c r="U76" s="62" t="str">
        <f t="shared" si="27"/>
        <v/>
      </c>
      <c r="V76" s="63">
        <f t="shared" si="28"/>
        <v>0</v>
      </c>
      <c r="W76" s="64"/>
      <c r="X76" s="64"/>
      <c r="Y76" s="64"/>
      <c r="Z76" s="64"/>
      <c r="AA76" s="65"/>
      <c r="AB76" s="64"/>
      <c r="AC76" s="64"/>
      <c r="AD76" s="64"/>
      <c r="AE76" s="64"/>
      <c r="AF76" s="65"/>
      <c r="AG76" s="64"/>
      <c r="AH76" s="64"/>
      <c r="AI76" s="64"/>
      <c r="AJ76" s="64"/>
      <c r="AK76" s="65"/>
      <c r="AL76" s="64"/>
      <c r="AM76" s="64"/>
      <c r="AN76" s="64"/>
      <c r="AO76" s="64"/>
      <c r="AP76" s="65"/>
      <c r="AQ76" s="64"/>
      <c r="AR76" s="64"/>
      <c r="AS76" s="64"/>
      <c r="AT76" s="64"/>
      <c r="AU76" s="65"/>
      <c r="AV76" s="64"/>
      <c r="AW76" s="64"/>
      <c r="AX76" s="64"/>
      <c r="AY76" s="64"/>
      <c r="AZ76" s="65"/>
      <c r="BA76" s="64"/>
      <c r="BB76" s="64"/>
      <c r="BC76" s="64"/>
      <c r="BD76" s="64"/>
      <c r="BE76" s="65"/>
      <c r="BF76" s="64"/>
      <c r="BG76" s="64"/>
      <c r="BH76" s="64"/>
      <c r="BI76" s="64"/>
      <c r="BJ76" s="65"/>
      <c r="BK76" s="64"/>
      <c r="BL76" s="64"/>
      <c r="BM76" s="64"/>
      <c r="BN76" s="64"/>
      <c r="BO76" s="65"/>
      <c r="BP76" s="64"/>
      <c r="BQ76" s="64"/>
      <c r="BR76" s="64"/>
      <c r="BS76" s="64"/>
      <c r="BT76" s="65"/>
      <c r="BU76" s="64"/>
      <c r="BV76" s="64"/>
      <c r="BW76" s="64"/>
      <c r="BX76" s="64"/>
      <c r="BY76" s="65"/>
      <c r="BZ76" s="64"/>
      <c r="CA76" s="64"/>
      <c r="CB76" s="64"/>
      <c r="CC76" s="64"/>
      <c r="CD76" s="65"/>
      <c r="CE76" s="64"/>
      <c r="CF76" s="64"/>
      <c r="CG76" s="64"/>
      <c r="CH76" s="64"/>
      <c r="CI76" s="65"/>
      <c r="CJ76" s="64"/>
      <c r="CK76" s="64"/>
      <c r="CL76" s="64"/>
      <c r="CM76" s="64"/>
      <c r="CN76" s="65"/>
      <c r="CO76" s="64"/>
      <c r="CP76" s="64"/>
      <c r="CQ76" s="64"/>
      <c r="CR76" s="64"/>
      <c r="CS76" s="65"/>
      <c r="CT76" s="64"/>
      <c r="CU76" s="64"/>
      <c r="CV76" s="64"/>
      <c r="CW76" s="64"/>
      <c r="CX76" s="65"/>
      <c r="CY76" s="10"/>
    </row>
    <row r="77" spans="1:103" ht="15.75" hidden="1" customHeight="1" x14ac:dyDescent="0.25">
      <c r="A77" s="141">
        <f t="shared" si="19"/>
        <v>12</v>
      </c>
      <c r="B77" s="194">
        <f t="shared" si="20"/>
        <v>0</v>
      </c>
      <c r="C77" s="66"/>
      <c r="D77" s="67"/>
      <c r="E77" s="58"/>
      <c r="F77" s="58"/>
      <c r="G77" s="115"/>
      <c r="H77" s="119"/>
      <c r="I77" s="58"/>
      <c r="J77" s="120"/>
      <c r="K77" s="58"/>
      <c r="L77" s="48"/>
      <c r="M77" s="104">
        <f t="shared" si="21"/>
        <v>0</v>
      </c>
      <c r="N77" s="59"/>
      <c r="O77" s="105">
        <f t="shared" si="22"/>
        <v>0</v>
      </c>
      <c r="P77" s="131">
        <f t="shared" si="23"/>
        <v>0</v>
      </c>
      <c r="Q77" s="134" t="str">
        <f t="shared" si="24"/>
        <v/>
      </c>
      <c r="R77" s="50"/>
      <c r="S77" s="60">
        <f t="shared" si="25"/>
        <v>12</v>
      </c>
      <c r="T77" s="61" t="str">
        <f t="shared" si="26"/>
        <v/>
      </c>
      <c r="U77" s="62" t="str">
        <f t="shared" si="27"/>
        <v/>
      </c>
      <c r="V77" s="63">
        <f t="shared" si="28"/>
        <v>0</v>
      </c>
      <c r="W77" s="64"/>
      <c r="X77" s="64"/>
      <c r="Y77" s="64"/>
      <c r="Z77" s="64"/>
      <c r="AA77" s="65"/>
      <c r="AB77" s="64"/>
      <c r="AC77" s="64"/>
      <c r="AD77" s="64"/>
      <c r="AE77" s="64"/>
      <c r="AF77" s="65"/>
      <c r="AG77" s="64"/>
      <c r="AH77" s="64"/>
      <c r="AI77" s="64"/>
      <c r="AJ77" s="64"/>
      <c r="AK77" s="65"/>
      <c r="AL77" s="64"/>
      <c r="AM77" s="64"/>
      <c r="AN77" s="64"/>
      <c r="AO77" s="64"/>
      <c r="AP77" s="65"/>
      <c r="AQ77" s="64"/>
      <c r="AR77" s="64"/>
      <c r="AS77" s="64"/>
      <c r="AT77" s="64"/>
      <c r="AU77" s="65"/>
      <c r="AV77" s="64"/>
      <c r="AW77" s="64"/>
      <c r="AX77" s="64"/>
      <c r="AY77" s="64"/>
      <c r="AZ77" s="65"/>
      <c r="BA77" s="64"/>
      <c r="BB77" s="64"/>
      <c r="BC77" s="64"/>
      <c r="BD77" s="64"/>
      <c r="BE77" s="65"/>
      <c r="BF77" s="64"/>
      <c r="BG77" s="64"/>
      <c r="BH77" s="64"/>
      <c r="BI77" s="64"/>
      <c r="BJ77" s="65"/>
      <c r="BK77" s="64"/>
      <c r="BL77" s="64"/>
      <c r="BM77" s="64"/>
      <c r="BN77" s="64"/>
      <c r="BO77" s="65"/>
      <c r="BP77" s="64"/>
      <c r="BQ77" s="64"/>
      <c r="BR77" s="64"/>
      <c r="BS77" s="64"/>
      <c r="BT77" s="65"/>
      <c r="BU77" s="64"/>
      <c r="BV77" s="64"/>
      <c r="BW77" s="64"/>
      <c r="BX77" s="64"/>
      <c r="BY77" s="65"/>
      <c r="BZ77" s="64"/>
      <c r="CA77" s="64"/>
      <c r="CB77" s="64"/>
      <c r="CC77" s="64"/>
      <c r="CD77" s="65"/>
      <c r="CE77" s="64"/>
      <c r="CF77" s="64"/>
      <c r="CG77" s="64"/>
      <c r="CH77" s="64"/>
      <c r="CI77" s="65"/>
      <c r="CJ77" s="64"/>
      <c r="CK77" s="64"/>
      <c r="CL77" s="64"/>
      <c r="CM77" s="64"/>
      <c r="CN77" s="65"/>
      <c r="CO77" s="64"/>
      <c r="CP77" s="64"/>
      <c r="CQ77" s="64"/>
      <c r="CR77" s="64"/>
      <c r="CS77" s="65"/>
      <c r="CT77" s="64"/>
      <c r="CU77" s="64"/>
      <c r="CV77" s="64"/>
      <c r="CW77" s="64"/>
      <c r="CX77" s="65"/>
      <c r="CY77" s="10"/>
    </row>
    <row r="78" spans="1:103" ht="15.75" hidden="1" x14ac:dyDescent="0.25">
      <c r="A78" s="141">
        <f t="shared" si="19"/>
        <v>12</v>
      </c>
      <c r="B78" s="194">
        <f t="shared" si="20"/>
        <v>0</v>
      </c>
      <c r="C78" s="66"/>
      <c r="D78" s="67"/>
      <c r="E78" s="58"/>
      <c r="F78" s="58"/>
      <c r="G78" s="115"/>
      <c r="H78" s="119"/>
      <c r="I78" s="58"/>
      <c r="J78" s="120"/>
      <c r="K78" s="58"/>
      <c r="L78" s="48"/>
      <c r="M78" s="104">
        <f t="shared" si="21"/>
        <v>0</v>
      </c>
      <c r="N78" s="59"/>
      <c r="O78" s="105">
        <f t="shared" si="22"/>
        <v>0</v>
      </c>
      <c r="P78" s="131">
        <f t="shared" si="23"/>
        <v>0</v>
      </c>
      <c r="Q78" s="134" t="str">
        <f t="shared" si="24"/>
        <v/>
      </c>
      <c r="R78" s="50"/>
      <c r="S78" s="60">
        <f t="shared" si="25"/>
        <v>12</v>
      </c>
      <c r="T78" s="61" t="str">
        <f t="shared" si="26"/>
        <v/>
      </c>
      <c r="U78" s="62" t="str">
        <f t="shared" si="27"/>
        <v/>
      </c>
      <c r="V78" s="63">
        <f t="shared" si="28"/>
        <v>0</v>
      </c>
      <c r="W78" s="64"/>
      <c r="X78" s="64"/>
      <c r="Y78" s="64"/>
      <c r="Z78" s="64"/>
      <c r="AA78" s="65"/>
      <c r="AB78" s="64"/>
      <c r="AC78" s="64"/>
      <c r="AD78" s="64"/>
      <c r="AE78" s="64"/>
      <c r="AF78" s="65"/>
      <c r="AG78" s="64"/>
      <c r="AH78" s="64"/>
      <c r="AI78" s="64"/>
      <c r="AJ78" s="64"/>
      <c r="AK78" s="65"/>
      <c r="AL78" s="64"/>
      <c r="AM78" s="64"/>
      <c r="AN78" s="64"/>
      <c r="AO78" s="64"/>
      <c r="AP78" s="65"/>
      <c r="AQ78" s="64"/>
      <c r="AR78" s="64"/>
      <c r="AS78" s="64"/>
      <c r="AT78" s="64"/>
      <c r="AU78" s="65"/>
      <c r="AV78" s="64"/>
      <c r="AW78" s="64"/>
      <c r="AX78" s="64"/>
      <c r="AY78" s="64"/>
      <c r="AZ78" s="65"/>
      <c r="BA78" s="64"/>
      <c r="BB78" s="64"/>
      <c r="BC78" s="64"/>
      <c r="BD78" s="64"/>
      <c r="BE78" s="65"/>
      <c r="BF78" s="64"/>
      <c r="BG78" s="64"/>
      <c r="BH78" s="64"/>
      <c r="BI78" s="64"/>
      <c r="BJ78" s="65"/>
      <c r="BK78" s="64"/>
      <c r="BL78" s="64"/>
      <c r="BM78" s="64"/>
      <c r="BN78" s="64"/>
      <c r="BO78" s="65"/>
      <c r="BP78" s="64"/>
      <c r="BQ78" s="64"/>
      <c r="BR78" s="64"/>
      <c r="BS78" s="64"/>
      <c r="BT78" s="65"/>
      <c r="BU78" s="64"/>
      <c r="BV78" s="64"/>
      <c r="BW78" s="64"/>
      <c r="BX78" s="64"/>
      <c r="BY78" s="65"/>
      <c r="BZ78" s="64"/>
      <c r="CA78" s="64"/>
      <c r="CB78" s="64"/>
      <c r="CC78" s="64"/>
      <c r="CD78" s="65"/>
      <c r="CE78" s="64"/>
      <c r="CF78" s="64"/>
      <c r="CG78" s="64"/>
      <c r="CH78" s="64"/>
      <c r="CI78" s="65"/>
      <c r="CJ78" s="64"/>
      <c r="CK78" s="64"/>
      <c r="CL78" s="64"/>
      <c r="CM78" s="64"/>
      <c r="CN78" s="65"/>
      <c r="CO78" s="64"/>
      <c r="CP78" s="64"/>
      <c r="CQ78" s="64"/>
      <c r="CR78" s="64"/>
      <c r="CS78" s="65"/>
      <c r="CT78" s="64"/>
      <c r="CU78" s="64"/>
      <c r="CV78" s="64"/>
      <c r="CW78" s="64"/>
      <c r="CX78" s="65"/>
      <c r="CY78" s="10"/>
    </row>
    <row r="79" spans="1:103" ht="15.75" hidden="1" x14ac:dyDescent="0.25">
      <c r="A79" s="141">
        <f t="shared" si="19"/>
        <v>12</v>
      </c>
      <c r="B79" s="194">
        <f t="shared" si="20"/>
        <v>0</v>
      </c>
      <c r="C79" s="66"/>
      <c r="D79" s="67"/>
      <c r="E79" s="58"/>
      <c r="F79" s="58"/>
      <c r="G79" s="115"/>
      <c r="H79" s="119"/>
      <c r="I79" s="58"/>
      <c r="J79" s="120"/>
      <c r="K79" s="58"/>
      <c r="L79" s="48"/>
      <c r="M79" s="104">
        <f t="shared" si="21"/>
        <v>0</v>
      </c>
      <c r="N79" s="59"/>
      <c r="O79" s="105">
        <f t="shared" si="22"/>
        <v>0</v>
      </c>
      <c r="P79" s="131">
        <f t="shared" si="23"/>
        <v>0</v>
      </c>
      <c r="Q79" s="134" t="str">
        <f t="shared" si="24"/>
        <v/>
      </c>
      <c r="R79" s="50"/>
      <c r="S79" s="60">
        <f t="shared" si="25"/>
        <v>12</v>
      </c>
      <c r="T79" s="61" t="str">
        <f t="shared" si="26"/>
        <v/>
      </c>
      <c r="U79" s="62" t="str">
        <f t="shared" si="27"/>
        <v/>
      </c>
      <c r="V79" s="63">
        <f t="shared" si="28"/>
        <v>0</v>
      </c>
      <c r="W79" s="64"/>
      <c r="X79" s="64"/>
      <c r="Y79" s="64"/>
      <c r="Z79" s="64"/>
      <c r="AA79" s="65"/>
      <c r="AB79" s="64"/>
      <c r="AC79" s="64"/>
      <c r="AD79" s="64"/>
      <c r="AE79" s="64"/>
      <c r="AF79" s="65"/>
      <c r="AG79" s="64"/>
      <c r="AH79" s="64"/>
      <c r="AI79" s="64"/>
      <c r="AJ79" s="64"/>
      <c r="AK79" s="65"/>
      <c r="AL79" s="64"/>
      <c r="AM79" s="64"/>
      <c r="AN79" s="64"/>
      <c r="AO79" s="64"/>
      <c r="AP79" s="65"/>
      <c r="AQ79" s="64"/>
      <c r="AR79" s="64"/>
      <c r="AS79" s="64"/>
      <c r="AT79" s="64"/>
      <c r="AU79" s="65"/>
      <c r="AV79" s="64"/>
      <c r="AW79" s="64"/>
      <c r="AX79" s="64"/>
      <c r="AY79" s="64"/>
      <c r="AZ79" s="65"/>
      <c r="BA79" s="64"/>
      <c r="BB79" s="64"/>
      <c r="BC79" s="64"/>
      <c r="BD79" s="64"/>
      <c r="BE79" s="65"/>
      <c r="BF79" s="64"/>
      <c r="BG79" s="64"/>
      <c r="BH79" s="64"/>
      <c r="BI79" s="64"/>
      <c r="BJ79" s="65"/>
      <c r="BK79" s="64"/>
      <c r="BL79" s="64"/>
      <c r="BM79" s="64"/>
      <c r="BN79" s="64"/>
      <c r="BO79" s="65"/>
      <c r="BP79" s="64"/>
      <c r="BQ79" s="64"/>
      <c r="BR79" s="64"/>
      <c r="BS79" s="64"/>
      <c r="BT79" s="65"/>
      <c r="BU79" s="64"/>
      <c r="BV79" s="64"/>
      <c r="BW79" s="64"/>
      <c r="BX79" s="64"/>
      <c r="BY79" s="65"/>
      <c r="BZ79" s="64"/>
      <c r="CA79" s="64"/>
      <c r="CB79" s="64"/>
      <c r="CC79" s="64"/>
      <c r="CD79" s="65"/>
      <c r="CE79" s="64"/>
      <c r="CF79" s="64"/>
      <c r="CG79" s="64"/>
      <c r="CH79" s="64"/>
      <c r="CI79" s="65"/>
      <c r="CJ79" s="64"/>
      <c r="CK79" s="64"/>
      <c r="CL79" s="64"/>
      <c r="CM79" s="64"/>
      <c r="CN79" s="65"/>
      <c r="CO79" s="64"/>
      <c r="CP79" s="64"/>
      <c r="CQ79" s="64"/>
      <c r="CR79" s="64"/>
      <c r="CS79" s="65"/>
      <c r="CT79" s="64"/>
      <c r="CU79" s="64"/>
      <c r="CV79" s="64"/>
      <c r="CW79" s="64"/>
      <c r="CX79" s="65"/>
      <c r="CY79" s="10"/>
    </row>
    <row r="80" spans="1:103" ht="15.75" hidden="1" x14ac:dyDescent="0.25">
      <c r="A80" s="141">
        <f t="shared" si="19"/>
        <v>12</v>
      </c>
      <c r="B80" s="194">
        <f t="shared" si="20"/>
        <v>0</v>
      </c>
      <c r="C80" s="66"/>
      <c r="D80" s="67"/>
      <c r="E80" s="58"/>
      <c r="F80" s="58"/>
      <c r="G80" s="115"/>
      <c r="H80" s="119"/>
      <c r="I80" s="58"/>
      <c r="J80" s="120"/>
      <c r="K80" s="58"/>
      <c r="L80" s="48"/>
      <c r="M80" s="104">
        <f t="shared" si="21"/>
        <v>0</v>
      </c>
      <c r="N80" s="59"/>
      <c r="O80" s="105">
        <f t="shared" si="22"/>
        <v>0</v>
      </c>
      <c r="P80" s="131">
        <f t="shared" si="23"/>
        <v>0</v>
      </c>
      <c r="Q80" s="134" t="str">
        <f t="shared" si="24"/>
        <v/>
      </c>
      <c r="R80" s="50"/>
      <c r="S80" s="60">
        <f t="shared" si="25"/>
        <v>12</v>
      </c>
      <c r="T80" s="61" t="str">
        <f t="shared" si="26"/>
        <v/>
      </c>
      <c r="U80" s="62" t="str">
        <f t="shared" si="27"/>
        <v/>
      </c>
      <c r="V80" s="63">
        <f t="shared" si="28"/>
        <v>0</v>
      </c>
      <c r="W80" s="64"/>
      <c r="X80" s="64"/>
      <c r="Y80" s="64"/>
      <c r="Z80" s="64"/>
      <c r="AA80" s="65"/>
      <c r="AB80" s="64"/>
      <c r="AC80" s="64"/>
      <c r="AD80" s="64"/>
      <c r="AE80" s="64"/>
      <c r="AF80" s="65"/>
      <c r="AG80" s="64"/>
      <c r="AH80" s="64"/>
      <c r="AI80" s="64"/>
      <c r="AJ80" s="64"/>
      <c r="AK80" s="65"/>
      <c r="AL80" s="64"/>
      <c r="AM80" s="64"/>
      <c r="AN80" s="64"/>
      <c r="AO80" s="64"/>
      <c r="AP80" s="65"/>
      <c r="AQ80" s="64"/>
      <c r="AR80" s="64"/>
      <c r="AS80" s="64"/>
      <c r="AT80" s="64"/>
      <c r="AU80" s="65"/>
      <c r="AV80" s="64"/>
      <c r="AW80" s="64"/>
      <c r="AX80" s="64"/>
      <c r="AY80" s="64"/>
      <c r="AZ80" s="65"/>
      <c r="BA80" s="64"/>
      <c r="BB80" s="64"/>
      <c r="BC80" s="64"/>
      <c r="BD80" s="64"/>
      <c r="BE80" s="65"/>
      <c r="BF80" s="64"/>
      <c r="BG80" s="64"/>
      <c r="BH80" s="64"/>
      <c r="BI80" s="64"/>
      <c r="BJ80" s="65"/>
      <c r="BK80" s="64"/>
      <c r="BL80" s="64"/>
      <c r="BM80" s="64"/>
      <c r="BN80" s="64"/>
      <c r="BO80" s="65"/>
      <c r="BP80" s="64"/>
      <c r="BQ80" s="64"/>
      <c r="BR80" s="64"/>
      <c r="BS80" s="64"/>
      <c r="BT80" s="65"/>
      <c r="BU80" s="64"/>
      <c r="BV80" s="64"/>
      <c r="BW80" s="64"/>
      <c r="BX80" s="64"/>
      <c r="BY80" s="65"/>
      <c r="BZ80" s="64"/>
      <c r="CA80" s="64"/>
      <c r="CB80" s="64"/>
      <c r="CC80" s="64"/>
      <c r="CD80" s="65"/>
      <c r="CE80" s="64"/>
      <c r="CF80" s="64"/>
      <c r="CG80" s="64"/>
      <c r="CH80" s="64"/>
      <c r="CI80" s="65"/>
      <c r="CJ80" s="64"/>
      <c r="CK80" s="64"/>
      <c r="CL80" s="64"/>
      <c r="CM80" s="64"/>
      <c r="CN80" s="65"/>
      <c r="CO80" s="64"/>
      <c r="CP80" s="64"/>
      <c r="CQ80" s="64"/>
      <c r="CR80" s="64"/>
      <c r="CS80" s="65"/>
      <c r="CT80" s="64"/>
      <c r="CU80" s="64"/>
      <c r="CV80" s="64"/>
      <c r="CW80" s="64"/>
      <c r="CX80" s="65"/>
      <c r="CY80" s="10"/>
    </row>
    <row r="81" spans="1:103" ht="15.75" hidden="1" x14ac:dyDescent="0.25">
      <c r="A81" s="141">
        <f t="shared" si="19"/>
        <v>12</v>
      </c>
      <c r="B81" s="194">
        <f t="shared" si="20"/>
        <v>0</v>
      </c>
      <c r="C81" s="66"/>
      <c r="D81" s="67"/>
      <c r="E81" s="58"/>
      <c r="F81" s="58"/>
      <c r="G81" s="115"/>
      <c r="H81" s="119"/>
      <c r="I81" s="58"/>
      <c r="J81" s="120"/>
      <c r="K81" s="58"/>
      <c r="L81" s="48"/>
      <c r="M81" s="104">
        <f t="shared" si="21"/>
        <v>0</v>
      </c>
      <c r="N81" s="59"/>
      <c r="O81" s="105">
        <f t="shared" si="22"/>
        <v>0</v>
      </c>
      <c r="P81" s="131">
        <f t="shared" si="23"/>
        <v>0</v>
      </c>
      <c r="Q81" s="134" t="str">
        <f t="shared" si="24"/>
        <v/>
      </c>
      <c r="R81" s="50"/>
      <c r="S81" s="60">
        <f t="shared" si="25"/>
        <v>12</v>
      </c>
      <c r="T81" s="61" t="str">
        <f t="shared" si="26"/>
        <v/>
      </c>
      <c r="U81" s="62" t="str">
        <f t="shared" si="27"/>
        <v/>
      </c>
      <c r="V81" s="68">
        <f t="shared" si="28"/>
        <v>0</v>
      </c>
      <c r="W81" s="64"/>
      <c r="X81" s="64"/>
      <c r="Y81" s="64"/>
      <c r="Z81" s="64"/>
      <c r="AA81" s="65"/>
      <c r="AB81" s="64"/>
      <c r="AC81" s="64"/>
      <c r="AD81" s="64"/>
      <c r="AE81" s="64"/>
      <c r="AF81" s="65"/>
      <c r="AG81" s="64"/>
      <c r="AH81" s="64"/>
      <c r="AI81" s="64"/>
      <c r="AJ81" s="64"/>
      <c r="AK81" s="65"/>
      <c r="AL81" s="64"/>
      <c r="AM81" s="64"/>
      <c r="AN81" s="64"/>
      <c r="AO81" s="64"/>
      <c r="AP81" s="65"/>
      <c r="AQ81" s="64"/>
      <c r="AR81" s="64"/>
      <c r="AS81" s="64"/>
      <c r="AT81" s="64"/>
      <c r="AU81" s="65"/>
      <c r="AV81" s="64"/>
      <c r="AW81" s="64"/>
      <c r="AX81" s="64"/>
      <c r="AY81" s="64"/>
      <c r="AZ81" s="65"/>
      <c r="BA81" s="64"/>
      <c r="BB81" s="64"/>
      <c r="BC81" s="64"/>
      <c r="BD81" s="64"/>
      <c r="BE81" s="65"/>
      <c r="BF81" s="64"/>
      <c r="BG81" s="64"/>
      <c r="BH81" s="64"/>
      <c r="BI81" s="64"/>
      <c r="BJ81" s="65"/>
      <c r="BK81" s="64"/>
      <c r="BL81" s="64"/>
      <c r="BM81" s="64"/>
      <c r="BN81" s="64"/>
      <c r="BO81" s="65"/>
      <c r="BP81" s="64"/>
      <c r="BQ81" s="64"/>
      <c r="BR81" s="64"/>
      <c r="BS81" s="64"/>
      <c r="BT81" s="65"/>
      <c r="BU81" s="64"/>
      <c r="BV81" s="64"/>
      <c r="BW81" s="64"/>
      <c r="BX81" s="64"/>
      <c r="BY81" s="65"/>
      <c r="BZ81" s="64"/>
      <c r="CA81" s="64"/>
      <c r="CB81" s="64"/>
      <c r="CC81" s="64"/>
      <c r="CD81" s="65"/>
      <c r="CE81" s="64"/>
      <c r="CF81" s="64"/>
      <c r="CG81" s="64"/>
      <c r="CH81" s="64"/>
      <c r="CI81" s="65"/>
      <c r="CJ81" s="64"/>
      <c r="CK81" s="64"/>
      <c r="CL81" s="64"/>
      <c r="CM81" s="64"/>
      <c r="CN81" s="65"/>
      <c r="CO81" s="64"/>
      <c r="CP81" s="64"/>
      <c r="CQ81" s="64"/>
      <c r="CR81" s="64"/>
      <c r="CS81" s="65"/>
      <c r="CT81" s="64"/>
      <c r="CU81" s="64"/>
      <c r="CV81" s="64"/>
      <c r="CW81" s="64"/>
      <c r="CX81" s="65"/>
      <c r="CY81" s="10"/>
    </row>
    <row r="82" spans="1:103" ht="15.75" hidden="1" x14ac:dyDescent="0.25">
      <c r="A82" s="141">
        <f t="shared" si="19"/>
        <v>12</v>
      </c>
      <c r="B82" s="194">
        <f t="shared" si="20"/>
        <v>0</v>
      </c>
      <c r="C82" s="66"/>
      <c r="D82" s="67"/>
      <c r="E82" s="58"/>
      <c r="F82" s="58"/>
      <c r="G82" s="115"/>
      <c r="H82" s="119"/>
      <c r="I82" s="58"/>
      <c r="J82" s="120"/>
      <c r="K82" s="58"/>
      <c r="L82" s="48"/>
      <c r="M82" s="104">
        <f t="shared" si="21"/>
        <v>0</v>
      </c>
      <c r="N82" s="59"/>
      <c r="O82" s="105">
        <f t="shared" si="22"/>
        <v>0</v>
      </c>
      <c r="P82" s="131">
        <f t="shared" si="23"/>
        <v>0</v>
      </c>
      <c r="Q82" s="134" t="str">
        <f t="shared" si="24"/>
        <v/>
      </c>
      <c r="R82" s="50"/>
      <c r="S82" s="60">
        <f t="shared" si="25"/>
        <v>12</v>
      </c>
      <c r="T82" s="61" t="str">
        <f t="shared" si="26"/>
        <v/>
      </c>
      <c r="U82" s="62" t="str">
        <f t="shared" si="27"/>
        <v/>
      </c>
      <c r="V82" s="63">
        <f t="shared" si="28"/>
        <v>0</v>
      </c>
      <c r="W82" s="64"/>
      <c r="X82" s="64"/>
      <c r="Y82" s="64"/>
      <c r="Z82" s="64"/>
      <c r="AA82" s="65"/>
      <c r="AB82" s="64"/>
      <c r="AC82" s="64"/>
      <c r="AD82" s="64"/>
      <c r="AE82" s="64"/>
      <c r="AF82" s="65"/>
      <c r="AG82" s="64"/>
      <c r="AH82" s="64"/>
      <c r="AI82" s="64"/>
      <c r="AJ82" s="64"/>
      <c r="AK82" s="65"/>
      <c r="AL82" s="64"/>
      <c r="AM82" s="64"/>
      <c r="AN82" s="64"/>
      <c r="AO82" s="64"/>
      <c r="AP82" s="65"/>
      <c r="AQ82" s="64"/>
      <c r="AR82" s="64"/>
      <c r="AS82" s="64"/>
      <c r="AT82" s="64"/>
      <c r="AU82" s="65"/>
      <c r="AV82" s="64"/>
      <c r="AW82" s="64"/>
      <c r="AX82" s="64"/>
      <c r="AY82" s="64"/>
      <c r="AZ82" s="65"/>
      <c r="BA82" s="64"/>
      <c r="BB82" s="64"/>
      <c r="BC82" s="64"/>
      <c r="BD82" s="64"/>
      <c r="BE82" s="65"/>
      <c r="BF82" s="64"/>
      <c r="BG82" s="64"/>
      <c r="BH82" s="64"/>
      <c r="BI82" s="64"/>
      <c r="BJ82" s="65"/>
      <c r="BK82" s="64"/>
      <c r="BL82" s="64"/>
      <c r="BM82" s="64"/>
      <c r="BN82" s="64"/>
      <c r="BO82" s="65"/>
      <c r="BP82" s="64"/>
      <c r="BQ82" s="64"/>
      <c r="BR82" s="64"/>
      <c r="BS82" s="64"/>
      <c r="BT82" s="65"/>
      <c r="BU82" s="64"/>
      <c r="BV82" s="64"/>
      <c r="BW82" s="64"/>
      <c r="BX82" s="64"/>
      <c r="BY82" s="65"/>
      <c r="BZ82" s="64"/>
      <c r="CA82" s="64"/>
      <c r="CB82" s="64"/>
      <c r="CC82" s="64"/>
      <c r="CD82" s="65"/>
      <c r="CE82" s="64"/>
      <c r="CF82" s="64"/>
      <c r="CG82" s="64"/>
      <c r="CH82" s="64"/>
      <c r="CI82" s="65"/>
      <c r="CJ82" s="64"/>
      <c r="CK82" s="64"/>
      <c r="CL82" s="64"/>
      <c r="CM82" s="64"/>
      <c r="CN82" s="65"/>
      <c r="CO82" s="64"/>
      <c r="CP82" s="64"/>
      <c r="CQ82" s="64"/>
      <c r="CR82" s="64"/>
      <c r="CS82" s="65"/>
      <c r="CT82" s="64"/>
      <c r="CU82" s="64"/>
      <c r="CV82" s="64"/>
      <c r="CW82" s="64"/>
      <c r="CX82" s="65"/>
      <c r="CY82" s="10"/>
    </row>
    <row r="83" spans="1:103" ht="15.75" hidden="1" x14ac:dyDescent="0.25">
      <c r="A83" s="142">
        <f t="shared" si="19"/>
        <v>12</v>
      </c>
      <c r="B83" s="195">
        <f t="shared" si="20"/>
        <v>0</v>
      </c>
      <c r="C83" s="69"/>
      <c r="D83" s="70"/>
      <c r="E83" s="71"/>
      <c r="F83" s="71"/>
      <c r="G83" s="116"/>
      <c r="H83" s="121"/>
      <c r="I83" s="71"/>
      <c r="J83" s="122"/>
      <c r="K83" s="71"/>
      <c r="L83" s="48"/>
      <c r="M83" s="104">
        <f t="shared" si="21"/>
        <v>0</v>
      </c>
      <c r="N83" s="72"/>
      <c r="O83" s="106">
        <f t="shared" si="22"/>
        <v>0</v>
      </c>
      <c r="P83" s="131">
        <f t="shared" si="23"/>
        <v>0</v>
      </c>
      <c r="Q83" s="134" t="str">
        <f t="shared" si="24"/>
        <v/>
      </c>
      <c r="R83" s="50"/>
      <c r="S83" s="73">
        <f t="shared" si="25"/>
        <v>12</v>
      </c>
      <c r="T83" s="74" t="str">
        <f t="shared" si="26"/>
        <v/>
      </c>
      <c r="U83" s="75" t="str">
        <f t="shared" si="27"/>
        <v/>
      </c>
      <c r="V83" s="68">
        <f t="shared" si="28"/>
        <v>0</v>
      </c>
      <c r="W83" s="64"/>
      <c r="X83" s="64"/>
      <c r="Y83" s="64"/>
      <c r="Z83" s="64"/>
      <c r="AA83" s="65"/>
      <c r="AB83" s="64"/>
      <c r="AC83" s="64"/>
      <c r="AD83" s="64"/>
      <c r="AE83" s="64"/>
      <c r="AF83" s="65"/>
      <c r="AG83" s="64"/>
      <c r="AH83" s="64"/>
      <c r="AI83" s="64"/>
      <c r="AJ83" s="64"/>
      <c r="AK83" s="65"/>
      <c r="AL83" s="64"/>
      <c r="AM83" s="64"/>
      <c r="AN83" s="64"/>
      <c r="AO83" s="64"/>
      <c r="AP83" s="65"/>
      <c r="AQ83" s="64"/>
      <c r="AR83" s="64"/>
      <c r="AS83" s="64"/>
      <c r="AT83" s="64"/>
      <c r="AU83" s="65"/>
      <c r="AV83" s="64"/>
      <c r="AW83" s="64"/>
      <c r="AX83" s="64"/>
      <c r="AY83" s="64"/>
      <c r="AZ83" s="65"/>
      <c r="BA83" s="64"/>
      <c r="BB83" s="64"/>
      <c r="BC83" s="64"/>
      <c r="BD83" s="64"/>
      <c r="BE83" s="65"/>
      <c r="BF83" s="64"/>
      <c r="BG83" s="64"/>
      <c r="BH83" s="64"/>
      <c r="BI83" s="64"/>
      <c r="BJ83" s="65"/>
      <c r="BK83" s="64"/>
      <c r="BL83" s="64"/>
      <c r="BM83" s="64"/>
      <c r="BN83" s="64"/>
      <c r="BO83" s="65"/>
      <c r="BP83" s="64"/>
      <c r="BQ83" s="64"/>
      <c r="BR83" s="64"/>
      <c r="BS83" s="64"/>
      <c r="BT83" s="65"/>
      <c r="BU83" s="64"/>
      <c r="BV83" s="64"/>
      <c r="BW83" s="64"/>
      <c r="BX83" s="64"/>
      <c r="BY83" s="65"/>
      <c r="BZ83" s="64"/>
      <c r="CA83" s="64"/>
      <c r="CB83" s="64"/>
      <c r="CC83" s="64"/>
      <c r="CD83" s="65"/>
      <c r="CE83" s="64"/>
      <c r="CF83" s="64"/>
      <c r="CG83" s="64"/>
      <c r="CH83" s="64"/>
      <c r="CI83" s="65"/>
      <c r="CJ83" s="64"/>
      <c r="CK83" s="64"/>
      <c r="CL83" s="64"/>
      <c r="CM83" s="64"/>
      <c r="CN83" s="65"/>
      <c r="CO83" s="64"/>
      <c r="CP83" s="64"/>
      <c r="CQ83" s="64"/>
      <c r="CR83" s="64"/>
      <c r="CS83" s="65"/>
      <c r="CT83" s="64"/>
      <c r="CU83" s="64"/>
      <c r="CV83" s="64"/>
      <c r="CW83" s="64"/>
      <c r="CX83" s="65"/>
      <c r="CY83" s="10"/>
    </row>
    <row r="84" spans="1:103" ht="16.5" hidden="1" thickBot="1" x14ac:dyDescent="0.3">
      <c r="A84" s="142">
        <f t="shared" si="19"/>
        <v>12</v>
      </c>
      <c r="B84" s="195">
        <f t="shared" si="20"/>
        <v>0</v>
      </c>
      <c r="C84" s="69"/>
      <c r="D84" s="70"/>
      <c r="E84" s="71"/>
      <c r="F84" s="71"/>
      <c r="G84" s="116"/>
      <c r="H84" s="123"/>
      <c r="I84" s="124"/>
      <c r="J84" s="125"/>
      <c r="K84" s="71"/>
      <c r="L84" s="108"/>
      <c r="M84" s="104">
        <f t="shared" si="21"/>
        <v>0</v>
      </c>
      <c r="N84" s="72"/>
      <c r="O84" s="106">
        <f t="shared" si="22"/>
        <v>0</v>
      </c>
      <c r="P84" s="132">
        <f t="shared" si="23"/>
        <v>0</v>
      </c>
      <c r="Q84" s="134" t="str">
        <f t="shared" si="24"/>
        <v/>
      </c>
      <c r="R84" s="50"/>
      <c r="S84" s="84">
        <f t="shared" si="25"/>
        <v>12</v>
      </c>
      <c r="T84" s="85" t="str">
        <f t="shared" si="26"/>
        <v/>
      </c>
      <c r="U84" s="86" t="str">
        <f t="shared" si="27"/>
        <v/>
      </c>
      <c r="V84" s="87">
        <f t="shared" ref="V84" si="29">SUM(W84:CY84)</f>
        <v>0</v>
      </c>
      <c r="W84" s="88"/>
      <c r="X84" s="88"/>
      <c r="Y84" s="88"/>
      <c r="Z84" s="88"/>
      <c r="AA84" s="89"/>
      <c r="AB84" s="88"/>
      <c r="AC84" s="88"/>
      <c r="AD84" s="88"/>
      <c r="AE84" s="88"/>
      <c r="AF84" s="89"/>
      <c r="AG84" s="88"/>
      <c r="AH84" s="88"/>
      <c r="AI84" s="88"/>
      <c r="AJ84" s="88"/>
      <c r="AK84" s="89"/>
      <c r="AL84" s="88"/>
      <c r="AM84" s="88"/>
      <c r="AN84" s="88"/>
      <c r="AO84" s="88"/>
      <c r="AP84" s="89"/>
      <c r="AQ84" s="88"/>
      <c r="AR84" s="88"/>
      <c r="AS84" s="88"/>
      <c r="AT84" s="88"/>
      <c r="AU84" s="89"/>
      <c r="AV84" s="88"/>
      <c r="AW84" s="88"/>
      <c r="AX84" s="88"/>
      <c r="AY84" s="88"/>
      <c r="AZ84" s="89"/>
      <c r="BA84" s="88"/>
      <c r="BB84" s="88"/>
      <c r="BC84" s="88"/>
      <c r="BD84" s="88"/>
      <c r="BE84" s="89"/>
      <c r="BF84" s="88"/>
      <c r="BG84" s="88"/>
      <c r="BH84" s="88"/>
      <c r="BI84" s="88"/>
      <c r="BJ84" s="89"/>
      <c r="BK84" s="88"/>
      <c r="BL84" s="88"/>
      <c r="BM84" s="88"/>
      <c r="BN84" s="88"/>
      <c r="BO84" s="89"/>
      <c r="BP84" s="88"/>
      <c r="BQ84" s="88"/>
      <c r="BR84" s="88"/>
      <c r="BS84" s="88"/>
      <c r="BT84" s="89"/>
      <c r="BU84" s="88"/>
      <c r="BV84" s="88"/>
      <c r="BW84" s="88"/>
      <c r="BX84" s="88"/>
      <c r="BY84" s="89"/>
      <c r="BZ84" s="88"/>
      <c r="CA84" s="88"/>
      <c r="CB84" s="88"/>
      <c r="CC84" s="88"/>
      <c r="CD84" s="89"/>
      <c r="CE84" s="88"/>
      <c r="CF84" s="88"/>
      <c r="CG84" s="88"/>
      <c r="CH84" s="88"/>
      <c r="CI84" s="89"/>
      <c r="CJ84" s="88"/>
      <c r="CK84" s="88"/>
      <c r="CL84" s="88"/>
      <c r="CM84" s="88"/>
      <c r="CN84" s="89"/>
      <c r="CO84" s="88"/>
      <c r="CP84" s="88"/>
      <c r="CQ84" s="88"/>
      <c r="CR84" s="88"/>
      <c r="CS84" s="89"/>
      <c r="CT84" s="88"/>
      <c r="CU84" s="88"/>
      <c r="CV84" s="88"/>
      <c r="CW84" s="88"/>
      <c r="CX84" s="89"/>
      <c r="CY84" s="10"/>
    </row>
    <row r="85" spans="1:103" ht="24.75" thickTop="1" thickBot="1" x14ac:dyDescent="0.3">
      <c r="A85" s="212" t="s">
        <v>34</v>
      </c>
      <c r="B85" s="213"/>
      <c r="C85" s="213"/>
      <c r="D85" s="213"/>
      <c r="E85" s="112"/>
      <c r="F85" s="113"/>
      <c r="G85" s="266" t="str">
        <f>IF(Q1="GSA","Open Market:","")</f>
        <v/>
      </c>
      <c r="H85" s="267"/>
      <c r="I85" s="267"/>
      <c r="J85" s="267"/>
      <c r="K85" s="196" t="str">
        <f>IF(Q1="GSA",P85,"")</f>
        <v/>
      </c>
      <c r="L85" s="109" t="s">
        <v>35</v>
      </c>
      <c r="M85" s="110">
        <f>SUM(M4:M84)</f>
        <v>0</v>
      </c>
      <c r="N85" s="111" t="s">
        <v>36</v>
      </c>
      <c r="O85" s="137">
        <f>SUM(O4:O84)</f>
        <v>0</v>
      </c>
      <c r="P85" s="138">
        <f>SUM(P4:P84)</f>
        <v>0</v>
      </c>
      <c r="Q85" s="139"/>
      <c r="R85" s="50"/>
      <c r="S85" s="90"/>
      <c r="T85" s="91"/>
      <c r="U85" s="91"/>
      <c r="V85" s="90"/>
      <c r="W85" s="92"/>
      <c r="X85" s="93"/>
      <c r="Y85" s="93"/>
      <c r="Z85" s="93"/>
      <c r="AA85" s="94"/>
      <c r="AB85" s="95"/>
      <c r="AC85" s="93"/>
      <c r="AD85" s="93"/>
      <c r="AE85" s="93"/>
      <c r="AF85" s="94"/>
      <c r="AG85" s="93"/>
      <c r="AH85" s="93"/>
      <c r="AI85" s="93"/>
      <c r="AJ85" s="93"/>
      <c r="AK85" s="94"/>
      <c r="AL85" s="93"/>
      <c r="AM85" s="93"/>
      <c r="AN85" s="93"/>
      <c r="AO85" s="93"/>
      <c r="AP85" s="94"/>
      <c r="AQ85" s="93"/>
      <c r="AR85" s="93"/>
      <c r="AS85" s="93"/>
      <c r="AT85" s="93"/>
      <c r="AU85" s="94"/>
      <c r="AV85" s="93"/>
      <c r="AW85" s="93"/>
      <c r="AX85" s="93"/>
      <c r="AY85" s="93"/>
      <c r="AZ85" s="94"/>
      <c r="BA85" s="93"/>
      <c r="BB85" s="93"/>
      <c r="BC85" s="93"/>
      <c r="BD85" s="93"/>
      <c r="BE85" s="94"/>
      <c r="BF85" s="93"/>
      <c r="BG85" s="93"/>
      <c r="BH85" s="93"/>
      <c r="BI85" s="93"/>
      <c r="BJ85" s="94"/>
      <c r="BK85" s="93"/>
      <c r="BL85" s="93"/>
      <c r="BM85" s="93"/>
      <c r="BN85" s="93"/>
      <c r="BO85" s="94"/>
      <c r="BP85" s="93"/>
      <c r="BQ85" s="93"/>
      <c r="BR85" s="93"/>
      <c r="BS85" s="93"/>
      <c r="BT85" s="94"/>
      <c r="BU85" s="93"/>
      <c r="BV85" s="93"/>
      <c r="BW85" s="93"/>
      <c r="BX85" s="93"/>
      <c r="BY85" s="94"/>
      <c r="BZ85" s="93"/>
      <c r="CA85" s="93"/>
      <c r="CB85" s="93"/>
      <c r="CC85" s="93"/>
      <c r="CD85" s="94"/>
      <c r="CE85" s="93"/>
      <c r="CF85" s="93"/>
      <c r="CG85" s="93"/>
      <c r="CH85" s="93"/>
      <c r="CI85" s="94"/>
      <c r="CJ85" s="93"/>
      <c r="CK85" s="93"/>
      <c r="CL85" s="93"/>
      <c r="CM85" s="93"/>
      <c r="CN85" s="94"/>
      <c r="CO85" s="93"/>
      <c r="CP85" s="93"/>
      <c r="CQ85" s="93"/>
      <c r="CR85" s="93"/>
      <c r="CS85" s="94"/>
      <c r="CT85" s="93"/>
      <c r="CU85" s="93"/>
      <c r="CV85" s="93"/>
      <c r="CW85" s="93"/>
      <c r="CX85" s="94"/>
      <c r="CY85" s="10"/>
    </row>
    <row r="86" spans="1:103" ht="24.75" customHeight="1" thickBot="1" x14ac:dyDescent="0.3">
      <c r="A86" s="263" t="str">
        <f>IF(Q1="GSA","Please note, if one or more of the boxes above are in amber or red, please refer to RFQ, Sect. J, Instruction to Quoters for requirements for Open Market items.","")</f>
        <v/>
      </c>
      <c r="B86" s="264"/>
      <c r="C86" s="264"/>
      <c r="D86" s="264"/>
      <c r="E86" s="264"/>
      <c r="F86" s="264"/>
      <c r="G86" s="264"/>
      <c r="H86" s="264"/>
      <c r="I86" s="264"/>
      <c r="J86" s="264"/>
      <c r="K86" s="264"/>
      <c r="L86" s="264"/>
      <c r="M86" s="264"/>
      <c r="N86" s="264"/>
      <c r="O86" s="265"/>
      <c r="P86" s="256" t="s">
        <v>38</v>
      </c>
      <c r="Q86" s="257"/>
      <c r="R86" s="50"/>
      <c r="S86" s="96"/>
      <c r="T86" s="97"/>
      <c r="U86" s="97"/>
      <c r="V86" s="96"/>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c r="CU86" s="98"/>
      <c r="CV86" s="98"/>
      <c r="CW86" s="98"/>
      <c r="CX86" s="98"/>
      <c r="CY86" s="99"/>
    </row>
    <row r="87" spans="1:103" ht="16.5" thickBot="1" x14ac:dyDescent="0.3">
      <c r="A87" s="208" t="s">
        <v>17</v>
      </c>
      <c r="B87" s="209"/>
      <c r="C87" s="209"/>
      <c r="D87" s="209"/>
      <c r="E87" s="210"/>
      <c r="F87" s="210"/>
      <c r="G87" s="210"/>
      <c r="H87" s="210"/>
      <c r="I87" s="210"/>
      <c r="J87" s="210"/>
      <c r="K87" s="210"/>
      <c r="L87" s="210"/>
      <c r="M87" s="210"/>
      <c r="N87" s="210"/>
      <c r="O87" s="211"/>
      <c r="P87" s="197"/>
      <c r="Q87" s="126"/>
      <c r="R87" s="13"/>
      <c r="S87" s="100"/>
      <c r="T87" s="101"/>
      <c r="U87" s="101"/>
      <c r="V87" s="100"/>
      <c r="W87" s="102"/>
      <c r="X87" s="102"/>
      <c r="Y87" s="102"/>
      <c r="Z87" s="102"/>
      <c r="AA87" s="102"/>
      <c r="AB87" s="102"/>
      <c r="AC87" s="102"/>
      <c r="AD87" s="102"/>
      <c r="AE87" s="102"/>
      <c r="AF87" s="102"/>
      <c r="AG87" s="102"/>
      <c r="AH87" s="102"/>
      <c r="AI87" s="102"/>
      <c r="AJ87" s="102"/>
      <c r="AK87" s="102"/>
      <c r="AL87" s="102"/>
      <c r="AM87" s="102"/>
      <c r="AN87" s="102"/>
      <c r="AO87" s="102"/>
      <c r="AP87" s="102"/>
      <c r="AQ87" s="102"/>
      <c r="AR87" s="102"/>
      <c r="AS87" s="102"/>
      <c r="AT87" s="102"/>
      <c r="AU87" s="102"/>
      <c r="AV87" s="102"/>
      <c r="AW87" s="102"/>
      <c r="AX87" s="102"/>
      <c r="AY87" s="102"/>
      <c r="AZ87" s="102"/>
      <c r="BA87" s="102"/>
      <c r="BB87" s="102"/>
      <c r="BC87" s="102"/>
      <c r="BD87" s="102"/>
      <c r="BE87" s="102"/>
      <c r="BF87" s="102"/>
      <c r="BG87" s="102"/>
      <c r="BH87" s="102"/>
      <c r="BI87" s="102"/>
      <c r="BJ87" s="102"/>
      <c r="BK87" s="102"/>
      <c r="BL87" s="102"/>
      <c r="BM87" s="102"/>
      <c r="BN87" s="102"/>
      <c r="BO87" s="102"/>
      <c r="BP87" s="102"/>
      <c r="BQ87" s="102"/>
      <c r="BR87" s="102"/>
      <c r="BS87" s="102"/>
      <c r="BT87" s="102"/>
      <c r="BU87" s="102"/>
      <c r="BV87" s="102"/>
      <c r="BW87" s="102"/>
      <c r="BX87" s="102"/>
      <c r="BY87" s="102"/>
      <c r="BZ87" s="102"/>
      <c r="CA87" s="102"/>
      <c r="CB87" s="102"/>
      <c r="CC87" s="102"/>
      <c r="CD87" s="102"/>
      <c r="CE87" s="102"/>
      <c r="CF87" s="102"/>
      <c r="CG87" s="102"/>
      <c r="CH87" s="102"/>
      <c r="CI87" s="102"/>
      <c r="CJ87" s="102"/>
      <c r="CK87" s="102"/>
      <c r="CL87" s="102"/>
      <c r="CM87" s="102"/>
      <c r="CN87" s="102"/>
      <c r="CO87" s="102"/>
      <c r="CP87" s="102"/>
      <c r="CQ87" s="102"/>
      <c r="CR87" s="102"/>
      <c r="CS87" s="102"/>
      <c r="CT87" s="102"/>
      <c r="CU87" s="102"/>
      <c r="CV87" s="102"/>
      <c r="CW87" s="102"/>
      <c r="CX87" s="102"/>
      <c r="CY87" s="99"/>
    </row>
    <row r="88" spans="1:103" ht="15.75" customHeight="1" x14ac:dyDescent="0.25">
      <c r="A88" s="289" t="s">
        <v>18</v>
      </c>
      <c r="B88" s="290"/>
      <c r="C88" s="290"/>
      <c r="D88" s="290"/>
      <c r="E88" s="290"/>
      <c r="F88" s="290"/>
      <c r="G88" s="290"/>
      <c r="H88" s="290"/>
      <c r="I88" s="290"/>
      <c r="J88" s="290"/>
      <c r="K88" s="290"/>
      <c r="L88" s="290"/>
      <c r="M88" s="290"/>
      <c r="N88" s="291"/>
      <c r="O88" s="78"/>
      <c r="P88" s="128"/>
      <c r="Q88" s="128"/>
      <c r="R88" s="13"/>
    </row>
    <row r="89" spans="1:103" ht="15.75" hidden="1" customHeight="1" x14ac:dyDescent="0.25">
      <c r="A89" s="239" t="s">
        <v>0</v>
      </c>
      <c r="B89" s="240"/>
      <c r="C89" s="240"/>
      <c r="D89" s="240"/>
      <c r="E89" s="240"/>
      <c r="F89" s="240"/>
      <c r="G89" s="240"/>
      <c r="H89" s="240"/>
      <c r="I89" s="240"/>
      <c r="J89" s="240"/>
      <c r="K89" s="240"/>
      <c r="L89" s="240"/>
      <c r="M89" s="240"/>
      <c r="N89" s="241"/>
      <c r="O89" s="78"/>
      <c r="P89" s="128"/>
      <c r="Q89" s="128"/>
      <c r="R89" s="13"/>
    </row>
    <row r="90" spans="1:103" ht="15.75" hidden="1" customHeight="1" x14ac:dyDescent="0.25">
      <c r="A90" s="239" t="s">
        <v>19</v>
      </c>
      <c r="B90" s="240"/>
      <c r="C90" s="240"/>
      <c r="D90" s="240"/>
      <c r="E90" s="240"/>
      <c r="F90" s="240"/>
      <c r="G90" s="240"/>
      <c r="H90" s="240"/>
      <c r="I90" s="240"/>
      <c r="J90" s="240"/>
      <c r="K90" s="240"/>
      <c r="L90" s="240"/>
      <c r="M90" s="240"/>
      <c r="N90" s="241"/>
      <c r="O90" s="78"/>
      <c r="P90" s="129"/>
      <c r="Q90" s="129"/>
      <c r="R90" s="13"/>
    </row>
    <row r="91" spans="1:103" ht="15.75" hidden="1" customHeight="1" x14ac:dyDescent="0.25">
      <c r="A91" s="214" t="s">
        <v>1</v>
      </c>
      <c r="B91" s="215"/>
      <c r="C91" s="215"/>
      <c r="D91" s="215"/>
      <c r="E91" s="215"/>
      <c r="F91" s="215"/>
      <c r="G91" s="215"/>
      <c r="H91" s="215"/>
      <c r="I91" s="215"/>
      <c r="J91" s="215"/>
      <c r="K91" s="215"/>
      <c r="L91" s="215"/>
      <c r="M91" s="215"/>
      <c r="N91" s="216"/>
      <c r="O91" s="78"/>
      <c r="P91" s="129"/>
      <c r="Q91" s="129"/>
      <c r="R91" s="13"/>
    </row>
    <row r="92" spans="1:103" ht="15.75" customHeight="1" x14ac:dyDescent="0.25">
      <c r="A92" s="292" t="s">
        <v>47</v>
      </c>
      <c r="B92" s="293"/>
      <c r="C92" s="293"/>
      <c r="D92" s="293"/>
      <c r="E92" s="293"/>
      <c r="F92" s="293"/>
      <c r="G92" s="293"/>
      <c r="H92" s="293"/>
      <c r="I92" s="293"/>
      <c r="J92" s="293"/>
      <c r="K92" s="293"/>
      <c r="L92" s="293"/>
      <c r="M92" s="293"/>
      <c r="N92" s="294"/>
      <c r="O92" s="80"/>
      <c r="P92" s="127"/>
      <c r="Q92" s="127"/>
      <c r="R92" s="13"/>
    </row>
    <row r="93" spans="1:103" ht="15.75" customHeight="1" thickBot="1" x14ac:dyDescent="0.3">
      <c r="A93" s="292" t="s">
        <v>48</v>
      </c>
      <c r="B93" s="293"/>
      <c r="C93" s="293"/>
      <c r="D93" s="293"/>
      <c r="E93" s="293"/>
      <c r="F93" s="293"/>
      <c r="G93" s="293"/>
      <c r="H93" s="293"/>
      <c r="I93" s="293"/>
      <c r="J93" s="293"/>
      <c r="K93" s="293"/>
      <c r="L93" s="293"/>
      <c r="M93" s="293"/>
      <c r="N93" s="294"/>
      <c r="O93" s="78"/>
      <c r="P93" s="128"/>
      <c r="Q93" s="128"/>
      <c r="R93" s="13"/>
    </row>
    <row r="94" spans="1:103" ht="15.75" hidden="1" x14ac:dyDescent="0.25">
      <c r="A94" s="214" t="s">
        <v>49</v>
      </c>
      <c r="B94" s="215"/>
      <c r="C94" s="215"/>
      <c r="D94" s="215"/>
      <c r="E94" s="215"/>
      <c r="F94" s="215"/>
      <c r="G94" s="215"/>
      <c r="H94" s="215"/>
      <c r="I94" s="215"/>
      <c r="J94" s="215"/>
      <c r="K94" s="215"/>
      <c r="L94" s="215"/>
      <c r="M94" s="215"/>
      <c r="N94" s="216"/>
      <c r="O94" s="79"/>
      <c r="P94" s="130"/>
      <c r="Q94" s="130"/>
      <c r="R94" s="13"/>
    </row>
    <row r="95" spans="1:103" ht="15.75" hidden="1" x14ac:dyDescent="0.25">
      <c r="A95" s="214" t="s">
        <v>2</v>
      </c>
      <c r="B95" s="215"/>
      <c r="C95" s="215"/>
      <c r="D95" s="215"/>
      <c r="E95" s="215"/>
      <c r="F95" s="215"/>
      <c r="G95" s="215"/>
      <c r="H95" s="215"/>
      <c r="I95" s="215"/>
      <c r="J95" s="215"/>
      <c r="K95" s="215"/>
      <c r="L95" s="215"/>
      <c r="M95" s="215"/>
      <c r="N95" s="216"/>
      <c r="O95" s="79"/>
      <c r="P95" s="130" t="s">
        <v>42</v>
      </c>
      <c r="Q95" s="130"/>
      <c r="R95" s="13"/>
    </row>
    <row r="96" spans="1:103" ht="16.5" hidden="1" thickBot="1" x14ac:dyDescent="0.3">
      <c r="A96" s="223" t="s">
        <v>3</v>
      </c>
      <c r="B96" s="224"/>
      <c r="C96" s="224"/>
      <c r="D96" s="224"/>
      <c r="E96" s="224"/>
      <c r="F96" s="224"/>
      <c r="G96" s="224"/>
      <c r="H96" s="224"/>
      <c r="I96" s="224"/>
      <c r="J96" s="224"/>
      <c r="K96" s="224"/>
      <c r="L96" s="224"/>
      <c r="M96" s="224"/>
      <c r="N96" s="225"/>
      <c r="O96" s="79"/>
      <c r="P96" s="130" t="s">
        <v>43</v>
      </c>
      <c r="Q96" s="130"/>
      <c r="R96" s="13"/>
    </row>
    <row r="97" spans="1:18" ht="36.75" customHeight="1" thickTop="1" thickBot="1" x14ac:dyDescent="0.3">
      <c r="A97" s="226" t="s">
        <v>39</v>
      </c>
      <c r="B97" s="227"/>
      <c r="C97" s="227"/>
      <c r="D97" s="227"/>
      <c r="E97" s="228"/>
      <c r="F97" s="228"/>
      <c r="G97" s="228"/>
      <c r="H97" s="228"/>
      <c r="I97" s="228"/>
      <c r="J97" s="228"/>
      <c r="K97" s="228"/>
      <c r="L97" s="228"/>
      <c r="M97" s="228"/>
      <c r="N97" s="228"/>
      <c r="O97" s="107">
        <f>SUM(O85:O96)</f>
        <v>0</v>
      </c>
      <c r="P97" s="127"/>
      <c r="Q97" s="127"/>
      <c r="R97" s="14"/>
    </row>
    <row r="98" spans="1:18" ht="16.5" thickTop="1" thickBot="1" x14ac:dyDescent="0.3">
      <c r="A98" s="220" t="s">
        <v>41</v>
      </c>
      <c r="B98" s="221"/>
      <c r="C98" s="221"/>
      <c r="D98" s="221"/>
      <c r="E98" s="221"/>
      <c r="F98" s="221"/>
      <c r="G98" s="221"/>
      <c r="H98" s="221"/>
      <c r="I98" s="221"/>
      <c r="J98" s="221"/>
      <c r="K98" s="221"/>
      <c r="L98" s="221"/>
      <c r="M98" s="221"/>
      <c r="N98" s="221"/>
      <c r="O98" s="222"/>
      <c r="P98" s="130"/>
      <c r="Q98" s="130"/>
      <c r="R98" s="13"/>
    </row>
    <row r="99" spans="1:18" ht="15.75" hidden="1" thickBot="1" x14ac:dyDescent="0.3">
      <c r="A99" s="217" t="s">
        <v>119</v>
      </c>
      <c r="B99" s="237"/>
      <c r="C99" s="237"/>
      <c r="D99" s="237"/>
      <c r="E99" s="237"/>
      <c r="F99" s="237"/>
      <c r="G99" s="237"/>
      <c r="H99" s="237"/>
      <c r="I99" s="237"/>
      <c r="J99" s="237"/>
      <c r="K99" s="237"/>
      <c r="L99" s="237"/>
      <c r="M99" s="237"/>
      <c r="N99" s="237"/>
      <c r="O99" s="238"/>
      <c r="P99" s="130" t="s">
        <v>40</v>
      </c>
      <c r="Q99" s="130"/>
      <c r="R99" s="13"/>
    </row>
    <row r="100" spans="1:18" ht="15.75" hidden="1" thickBot="1" x14ac:dyDescent="0.3">
      <c r="A100" s="217" t="s">
        <v>20</v>
      </c>
      <c r="B100" s="218"/>
      <c r="C100" s="218"/>
      <c r="D100" s="218"/>
      <c r="E100" s="218"/>
      <c r="F100" s="218"/>
      <c r="G100" s="218"/>
      <c r="H100" s="218"/>
      <c r="I100" s="218"/>
      <c r="J100" s="218"/>
      <c r="K100" s="218"/>
      <c r="L100" s="218"/>
      <c r="M100" s="218"/>
      <c r="N100" s="218"/>
      <c r="O100" s="219"/>
      <c r="P100" s="130" t="s">
        <v>37</v>
      </c>
      <c r="Q100" s="130"/>
      <c r="R100" s="13"/>
    </row>
    <row r="101" spans="1:18" x14ac:dyDescent="0.25">
      <c r="A101" s="3"/>
      <c r="B101" s="4"/>
      <c r="C101" s="15"/>
      <c r="D101" s="2"/>
      <c r="E101" s="5"/>
      <c r="F101" s="5"/>
      <c r="G101" s="5"/>
      <c r="H101" s="5"/>
      <c r="I101" s="5"/>
      <c r="J101" s="5"/>
      <c r="K101" s="5"/>
      <c r="L101" s="5"/>
      <c r="M101" s="5"/>
      <c r="N101" s="5"/>
      <c r="O101" s="5"/>
      <c r="P101" s="198"/>
    </row>
    <row r="102" spans="1:18" x14ac:dyDescent="0.25">
      <c r="A102" s="3"/>
      <c r="B102" s="4"/>
      <c r="C102" s="15"/>
      <c r="D102" s="2"/>
      <c r="E102" s="5"/>
      <c r="F102" s="5"/>
      <c r="G102" s="5"/>
      <c r="H102" s="5"/>
      <c r="I102" s="5"/>
      <c r="J102" s="5"/>
      <c r="K102" s="5"/>
      <c r="L102" s="5"/>
      <c r="M102" s="5"/>
      <c r="N102" s="5"/>
      <c r="O102" s="5"/>
    </row>
    <row r="103" spans="1:18" x14ac:dyDescent="0.25">
      <c r="A103" s="3"/>
      <c r="B103" s="4"/>
      <c r="C103" s="15"/>
      <c r="D103" s="2"/>
      <c r="E103" s="5"/>
      <c r="F103" s="5"/>
      <c r="G103" s="5"/>
      <c r="H103" s="5"/>
      <c r="I103" s="5"/>
      <c r="J103" s="5"/>
      <c r="K103" s="5"/>
      <c r="L103" s="5"/>
      <c r="M103" s="5"/>
      <c r="N103" s="5"/>
      <c r="O103" s="5"/>
    </row>
    <row r="104" spans="1:18" x14ac:dyDescent="0.25">
      <c r="A104" s="3"/>
      <c r="B104" s="4"/>
      <c r="C104" s="15"/>
      <c r="D104" s="2"/>
      <c r="E104" s="5"/>
      <c r="F104" s="5"/>
      <c r="G104" s="5"/>
      <c r="H104" s="5"/>
      <c r="I104" s="5"/>
      <c r="J104" s="5"/>
      <c r="K104" s="5"/>
      <c r="L104" s="5"/>
      <c r="M104" s="5"/>
      <c r="N104" s="5"/>
      <c r="O104" s="5"/>
    </row>
    <row r="105" spans="1:18" x14ac:dyDescent="0.25">
      <c r="A105" s="3"/>
      <c r="B105" s="4"/>
      <c r="C105" s="15"/>
      <c r="D105" s="2"/>
      <c r="E105" s="5"/>
      <c r="F105" s="5"/>
      <c r="G105" s="5"/>
      <c r="H105" s="5"/>
      <c r="I105" s="5"/>
      <c r="J105" s="5"/>
      <c r="K105" s="5"/>
      <c r="L105" s="5"/>
      <c r="M105" s="5"/>
      <c r="N105" s="5"/>
      <c r="O105" s="5"/>
    </row>
    <row r="106" spans="1:18" x14ac:dyDescent="0.25">
      <c r="A106" s="3"/>
      <c r="B106" s="4"/>
      <c r="C106" s="15"/>
      <c r="D106" s="2"/>
      <c r="E106" s="5"/>
      <c r="F106" s="5"/>
      <c r="G106" s="5"/>
      <c r="H106" s="5"/>
      <c r="I106" s="5"/>
      <c r="J106" s="5"/>
      <c r="K106" s="5"/>
      <c r="L106" s="5"/>
      <c r="M106" s="5"/>
      <c r="N106" s="5"/>
      <c r="O106" s="5"/>
    </row>
    <row r="107" spans="1:18" x14ac:dyDescent="0.25">
      <c r="A107" s="3"/>
      <c r="B107" s="4"/>
      <c r="C107" s="15"/>
      <c r="D107" s="2"/>
      <c r="E107" s="5"/>
      <c r="F107" s="5"/>
      <c r="G107" s="5"/>
      <c r="H107" s="5"/>
      <c r="I107" s="5"/>
      <c r="J107" s="5"/>
      <c r="K107" s="5"/>
      <c r="L107" s="5"/>
      <c r="M107" s="5"/>
      <c r="N107" s="5"/>
      <c r="O107" s="5"/>
    </row>
    <row r="108" spans="1:18" x14ac:dyDescent="0.25">
      <c r="A108" s="3"/>
      <c r="B108" s="4"/>
      <c r="C108" s="15"/>
      <c r="D108" s="2"/>
      <c r="E108" s="5"/>
      <c r="F108" s="5"/>
      <c r="G108" s="5"/>
      <c r="H108" s="5"/>
      <c r="I108" s="5"/>
      <c r="J108" s="5"/>
      <c r="K108" s="5"/>
      <c r="L108" s="5"/>
      <c r="M108" s="5"/>
      <c r="N108" s="5"/>
      <c r="O108" s="5"/>
    </row>
    <row r="109" spans="1:18" x14ac:dyDescent="0.25">
      <c r="A109" s="3"/>
      <c r="B109" s="4"/>
      <c r="C109" s="15"/>
      <c r="D109" s="2"/>
      <c r="E109" s="5"/>
      <c r="F109" s="5"/>
      <c r="G109" s="5"/>
      <c r="H109" s="5"/>
      <c r="I109" s="5"/>
      <c r="J109" s="5"/>
      <c r="K109" s="5"/>
      <c r="L109" s="5"/>
      <c r="M109" s="5"/>
      <c r="N109" s="5"/>
      <c r="O109" s="5"/>
    </row>
    <row r="110" spans="1:18" x14ac:dyDescent="0.25">
      <c r="A110" s="3"/>
      <c r="B110" s="4"/>
      <c r="C110" s="15"/>
      <c r="D110" s="2"/>
      <c r="E110" s="5"/>
      <c r="F110" s="5"/>
      <c r="G110" s="5"/>
      <c r="H110" s="5"/>
      <c r="I110" s="5"/>
      <c r="J110" s="5"/>
      <c r="K110" s="5"/>
      <c r="L110" s="5"/>
      <c r="M110" s="5"/>
      <c r="N110" s="5"/>
      <c r="O110" s="5"/>
    </row>
    <row r="111" spans="1:18" x14ac:dyDescent="0.25">
      <c r="A111" s="3"/>
      <c r="B111" s="4"/>
      <c r="C111" s="15"/>
      <c r="D111" s="2"/>
      <c r="E111" s="5"/>
      <c r="F111" s="5"/>
      <c r="G111" s="5"/>
      <c r="H111" s="5"/>
      <c r="I111" s="5"/>
      <c r="J111" s="5"/>
      <c r="K111" s="5"/>
      <c r="L111" s="5"/>
      <c r="M111" s="5"/>
      <c r="N111" s="5"/>
      <c r="O111" s="5"/>
    </row>
    <row r="112" spans="1:18" x14ac:dyDescent="0.25">
      <c r="A112" s="3"/>
      <c r="B112" s="4"/>
      <c r="C112" s="15"/>
      <c r="D112" s="2"/>
      <c r="E112" s="5"/>
      <c r="F112" s="5"/>
      <c r="G112" s="5"/>
      <c r="H112" s="5"/>
      <c r="I112" s="5"/>
      <c r="J112" s="5"/>
      <c r="K112" s="5"/>
      <c r="L112" s="5"/>
      <c r="M112" s="5"/>
      <c r="N112" s="5"/>
      <c r="O112" s="5"/>
    </row>
    <row r="113" spans="1:15" x14ac:dyDescent="0.25">
      <c r="A113" s="3"/>
      <c r="B113" s="4"/>
      <c r="C113" s="15"/>
      <c r="D113" s="2"/>
      <c r="E113" s="5"/>
      <c r="F113" s="5"/>
      <c r="G113" s="5"/>
      <c r="H113" s="5"/>
      <c r="I113" s="5"/>
      <c r="J113" s="5"/>
      <c r="K113" s="5"/>
      <c r="L113" s="5"/>
      <c r="M113" s="5"/>
      <c r="N113" s="5"/>
      <c r="O113" s="5"/>
    </row>
    <row r="114" spans="1:15" x14ac:dyDescent="0.25">
      <c r="A114" s="3"/>
      <c r="B114" s="4"/>
      <c r="C114" s="15"/>
      <c r="D114" s="2"/>
      <c r="E114" s="5"/>
      <c r="F114" s="5"/>
      <c r="G114" s="5"/>
      <c r="H114" s="5"/>
      <c r="I114" s="5"/>
      <c r="J114" s="5"/>
      <c r="K114" s="5"/>
      <c r="L114" s="5"/>
      <c r="M114" s="5"/>
      <c r="N114" s="5"/>
      <c r="O114" s="5"/>
    </row>
    <row r="115" spans="1:15" x14ac:dyDescent="0.25">
      <c r="A115" s="3"/>
      <c r="B115" s="4"/>
      <c r="C115" s="15"/>
      <c r="D115" s="2"/>
      <c r="E115" s="5"/>
      <c r="F115" s="5"/>
      <c r="G115" s="5"/>
      <c r="H115" s="5"/>
      <c r="I115" s="5"/>
      <c r="J115" s="5"/>
      <c r="K115" s="5"/>
      <c r="L115" s="5"/>
      <c r="M115" s="5"/>
      <c r="N115" s="5"/>
      <c r="O115" s="5"/>
    </row>
    <row r="116" spans="1:15" x14ac:dyDescent="0.25">
      <c r="A116" s="3"/>
      <c r="B116" s="4"/>
      <c r="C116" s="15"/>
      <c r="D116" s="2"/>
      <c r="E116" s="5"/>
      <c r="F116" s="5"/>
      <c r="G116" s="5"/>
      <c r="H116" s="5"/>
      <c r="I116" s="5"/>
      <c r="J116" s="5"/>
      <c r="K116" s="5"/>
      <c r="L116" s="5"/>
      <c r="M116" s="5"/>
      <c r="N116" s="5"/>
      <c r="O116" s="5"/>
    </row>
    <row r="117" spans="1:15" x14ac:dyDescent="0.25">
      <c r="A117" s="3"/>
      <c r="B117" s="4"/>
      <c r="C117" s="15"/>
      <c r="D117" s="2"/>
      <c r="E117" s="5"/>
      <c r="F117" s="5"/>
      <c r="G117" s="5"/>
      <c r="H117" s="5"/>
      <c r="I117" s="5"/>
      <c r="J117" s="5"/>
      <c r="K117" s="5"/>
      <c r="L117" s="5"/>
      <c r="M117" s="5"/>
      <c r="N117" s="5"/>
      <c r="O117" s="5"/>
    </row>
    <row r="118" spans="1:15" x14ac:dyDescent="0.25">
      <c r="A118" s="3"/>
      <c r="B118" s="4"/>
      <c r="C118" s="15"/>
      <c r="D118" s="2"/>
      <c r="E118" s="5"/>
      <c r="F118" s="5"/>
      <c r="G118" s="5"/>
      <c r="H118" s="5"/>
      <c r="I118" s="5"/>
      <c r="J118" s="5"/>
      <c r="K118" s="5"/>
      <c r="L118" s="5"/>
      <c r="M118" s="5"/>
      <c r="N118" s="5"/>
      <c r="O118" s="5"/>
    </row>
    <row r="119" spans="1:15" x14ac:dyDescent="0.25">
      <c r="A119" s="3"/>
      <c r="B119" s="4"/>
      <c r="C119" s="15"/>
      <c r="D119" s="2"/>
      <c r="E119" s="5"/>
      <c r="F119" s="5"/>
      <c r="G119" s="5"/>
      <c r="H119" s="5"/>
      <c r="I119" s="5"/>
      <c r="J119" s="5"/>
      <c r="K119" s="5"/>
      <c r="L119" s="5"/>
      <c r="M119" s="5"/>
      <c r="N119" s="5"/>
      <c r="O119" s="5"/>
    </row>
    <row r="120" spans="1:15" x14ac:dyDescent="0.25">
      <c r="A120" s="3"/>
      <c r="B120" s="4"/>
      <c r="C120" s="15"/>
      <c r="D120" s="2"/>
      <c r="E120" s="5"/>
      <c r="F120" s="5"/>
      <c r="G120" s="5"/>
      <c r="H120" s="5"/>
      <c r="I120" s="5"/>
      <c r="J120" s="5"/>
      <c r="K120" s="5"/>
      <c r="L120" s="5"/>
      <c r="M120" s="5"/>
      <c r="N120" s="5"/>
      <c r="O120" s="5"/>
    </row>
    <row r="121" spans="1:15" x14ac:dyDescent="0.25">
      <c r="A121" s="3"/>
      <c r="B121" s="4"/>
      <c r="C121" s="15"/>
      <c r="D121" s="2"/>
      <c r="E121" s="5"/>
      <c r="F121" s="5"/>
      <c r="G121" s="5"/>
      <c r="H121" s="5"/>
      <c r="I121" s="5"/>
      <c r="J121" s="5"/>
      <c r="K121" s="5"/>
      <c r="L121" s="5"/>
      <c r="M121" s="5"/>
      <c r="N121" s="5"/>
      <c r="O121" s="5"/>
    </row>
    <row r="122" spans="1:15" x14ac:dyDescent="0.25">
      <c r="A122" s="3"/>
      <c r="B122" s="4"/>
      <c r="C122" s="15"/>
      <c r="D122" s="2"/>
      <c r="E122" s="5"/>
      <c r="F122" s="5"/>
      <c r="G122" s="5"/>
      <c r="H122" s="5"/>
      <c r="I122" s="5"/>
      <c r="J122" s="5"/>
      <c r="K122" s="5"/>
      <c r="L122" s="5"/>
      <c r="M122" s="5"/>
      <c r="N122" s="5"/>
      <c r="O122" s="5"/>
    </row>
    <row r="123" spans="1:15" x14ac:dyDescent="0.25">
      <c r="A123" s="3"/>
      <c r="B123" s="4"/>
      <c r="C123" s="15"/>
      <c r="D123" s="2"/>
      <c r="E123" s="5"/>
      <c r="F123" s="5"/>
      <c r="G123" s="5"/>
      <c r="H123" s="5"/>
      <c r="I123" s="5"/>
      <c r="J123" s="5"/>
      <c r="K123" s="5"/>
      <c r="L123" s="5"/>
      <c r="M123" s="5"/>
      <c r="N123" s="5"/>
      <c r="O123" s="5"/>
    </row>
    <row r="124" spans="1:15" x14ac:dyDescent="0.25">
      <c r="A124" s="3"/>
      <c r="B124" s="4"/>
      <c r="C124" s="15"/>
      <c r="D124" s="2"/>
      <c r="E124" s="5"/>
      <c r="F124" s="5"/>
      <c r="G124" s="5"/>
      <c r="H124" s="5"/>
      <c r="I124" s="5"/>
      <c r="J124" s="5"/>
      <c r="K124" s="5"/>
      <c r="L124" s="5"/>
      <c r="M124" s="5"/>
      <c r="N124" s="5"/>
      <c r="O124" s="5"/>
    </row>
    <row r="125" spans="1:15" x14ac:dyDescent="0.25">
      <c r="A125" s="3"/>
      <c r="B125" s="4"/>
      <c r="C125" s="15"/>
      <c r="D125" s="2"/>
      <c r="E125" s="5"/>
      <c r="F125" s="5"/>
      <c r="G125" s="5"/>
      <c r="H125" s="5"/>
      <c r="I125" s="5"/>
      <c r="J125" s="5"/>
      <c r="K125" s="5"/>
      <c r="L125" s="5"/>
      <c r="M125" s="5"/>
      <c r="N125" s="5"/>
      <c r="O125" s="5"/>
    </row>
    <row r="126" spans="1:15" x14ac:dyDescent="0.25">
      <c r="A126" s="3"/>
      <c r="B126" s="4"/>
      <c r="C126" s="15"/>
      <c r="D126" s="2"/>
      <c r="E126" s="5"/>
      <c r="F126" s="5"/>
      <c r="G126" s="5"/>
      <c r="H126" s="5"/>
      <c r="I126" s="5"/>
      <c r="J126" s="5"/>
      <c r="K126" s="5"/>
      <c r="L126" s="5"/>
      <c r="M126" s="5"/>
      <c r="N126" s="5"/>
      <c r="O126" s="5"/>
    </row>
    <row r="127" spans="1:15" x14ac:dyDescent="0.25">
      <c r="A127" s="3"/>
      <c r="B127" s="4"/>
      <c r="C127" s="15"/>
      <c r="D127" s="2"/>
      <c r="E127" s="5"/>
      <c r="F127" s="5"/>
      <c r="G127" s="5"/>
      <c r="H127" s="5"/>
      <c r="I127" s="5"/>
      <c r="J127" s="5"/>
      <c r="K127" s="5"/>
      <c r="L127" s="5"/>
      <c r="M127" s="5"/>
      <c r="N127" s="5"/>
      <c r="O127" s="5"/>
    </row>
    <row r="128" spans="1:15" x14ac:dyDescent="0.25">
      <c r="A128" s="3"/>
      <c r="B128" s="4"/>
      <c r="C128" s="15"/>
      <c r="D128" s="2"/>
      <c r="E128" s="5"/>
      <c r="F128" s="5"/>
      <c r="G128" s="5"/>
      <c r="H128" s="5"/>
      <c r="I128" s="5"/>
      <c r="J128" s="5"/>
      <c r="K128" s="5"/>
      <c r="L128" s="5"/>
      <c r="M128" s="5"/>
      <c r="N128" s="5"/>
      <c r="O128" s="5"/>
    </row>
    <row r="129" spans="1:15" x14ac:dyDescent="0.25">
      <c r="A129" s="3"/>
      <c r="B129" s="4"/>
      <c r="C129" s="15"/>
      <c r="D129" s="2"/>
      <c r="E129" s="5"/>
      <c r="F129" s="5"/>
      <c r="G129" s="5"/>
      <c r="H129" s="5"/>
      <c r="I129" s="5"/>
      <c r="J129" s="5"/>
      <c r="K129" s="5"/>
      <c r="L129" s="5"/>
      <c r="M129" s="5"/>
      <c r="N129" s="5"/>
      <c r="O129" s="5"/>
    </row>
    <row r="130" spans="1:15" x14ac:dyDescent="0.25">
      <c r="A130" s="3"/>
      <c r="B130" s="4"/>
      <c r="C130" s="15"/>
      <c r="D130" s="2"/>
      <c r="E130" s="5"/>
      <c r="F130" s="5"/>
      <c r="G130" s="5"/>
      <c r="H130" s="5"/>
      <c r="I130" s="5"/>
      <c r="J130" s="5"/>
      <c r="K130" s="5"/>
      <c r="L130" s="5"/>
      <c r="M130" s="5"/>
      <c r="N130" s="5"/>
      <c r="O130" s="5"/>
    </row>
    <row r="131" spans="1:15" x14ac:dyDescent="0.25">
      <c r="A131" s="3"/>
      <c r="B131" s="4"/>
      <c r="C131" s="15"/>
      <c r="D131" s="2"/>
      <c r="E131" s="5"/>
      <c r="F131" s="5"/>
      <c r="G131" s="5"/>
      <c r="H131" s="5"/>
      <c r="I131" s="5"/>
      <c r="J131" s="5"/>
      <c r="K131" s="5"/>
      <c r="L131" s="5"/>
      <c r="M131" s="5"/>
      <c r="N131" s="5"/>
      <c r="O131" s="5"/>
    </row>
    <row r="132" spans="1:15" x14ac:dyDescent="0.25">
      <c r="A132" s="3"/>
      <c r="B132" s="4"/>
      <c r="C132" s="15"/>
      <c r="D132" s="2"/>
      <c r="E132" s="5"/>
      <c r="F132" s="5"/>
      <c r="G132" s="5"/>
      <c r="H132" s="5"/>
      <c r="I132" s="5"/>
      <c r="J132" s="5"/>
      <c r="K132" s="5"/>
      <c r="L132" s="5"/>
      <c r="M132" s="5"/>
      <c r="N132" s="5"/>
      <c r="O132" s="5"/>
    </row>
    <row r="133" spans="1:15" x14ac:dyDescent="0.25">
      <c r="A133" s="3"/>
      <c r="B133" s="4"/>
      <c r="C133" s="15"/>
      <c r="D133" s="2"/>
      <c r="E133" s="5"/>
      <c r="F133" s="5"/>
      <c r="G133" s="5"/>
      <c r="H133" s="5"/>
      <c r="I133" s="5"/>
      <c r="J133" s="5"/>
      <c r="K133" s="5"/>
      <c r="L133" s="5"/>
      <c r="M133" s="5"/>
      <c r="N133" s="5"/>
      <c r="O133" s="5"/>
    </row>
    <row r="134" spans="1:15" x14ac:dyDescent="0.25">
      <c r="A134" s="3"/>
      <c r="B134" s="4"/>
      <c r="C134" s="15"/>
      <c r="D134" s="2"/>
      <c r="E134" s="5"/>
      <c r="F134" s="5"/>
      <c r="G134" s="5"/>
      <c r="H134" s="5"/>
      <c r="I134" s="5"/>
      <c r="J134" s="5"/>
      <c r="K134" s="5"/>
      <c r="L134" s="5"/>
      <c r="M134" s="5"/>
      <c r="N134" s="5"/>
      <c r="O134" s="5"/>
    </row>
    <row r="135" spans="1:15" x14ac:dyDescent="0.25">
      <c r="A135" s="3"/>
      <c r="B135" s="4"/>
      <c r="C135" s="15"/>
      <c r="D135" s="2"/>
      <c r="E135" s="5"/>
      <c r="F135" s="5"/>
      <c r="G135" s="5"/>
      <c r="H135" s="5"/>
      <c r="I135" s="5"/>
      <c r="J135" s="5"/>
      <c r="K135" s="5"/>
      <c r="L135" s="5"/>
      <c r="M135" s="5"/>
      <c r="N135" s="5"/>
      <c r="O135" s="5"/>
    </row>
    <row r="136" spans="1:15" x14ac:dyDescent="0.25">
      <c r="A136" s="3"/>
      <c r="B136" s="4"/>
      <c r="C136" s="15"/>
      <c r="D136" s="2"/>
      <c r="E136" s="5"/>
      <c r="F136" s="5"/>
      <c r="G136" s="5"/>
      <c r="H136" s="5"/>
      <c r="I136" s="5"/>
      <c r="J136" s="5"/>
      <c r="K136" s="5"/>
      <c r="L136" s="5"/>
      <c r="M136" s="5"/>
      <c r="N136" s="5"/>
      <c r="O136" s="5"/>
    </row>
    <row r="137" spans="1:15" x14ac:dyDescent="0.25">
      <c r="A137" s="3"/>
      <c r="B137" s="4"/>
      <c r="C137" s="15"/>
      <c r="D137" s="2"/>
      <c r="E137" s="5"/>
      <c r="F137" s="5"/>
      <c r="G137" s="5"/>
      <c r="H137" s="5"/>
      <c r="I137" s="5"/>
      <c r="J137" s="5"/>
      <c r="K137" s="5"/>
      <c r="L137" s="5"/>
      <c r="M137" s="5"/>
      <c r="N137" s="5"/>
      <c r="O137" s="5"/>
    </row>
    <row r="138" spans="1:15" x14ac:dyDescent="0.25">
      <c r="A138" s="3"/>
      <c r="B138" s="4"/>
      <c r="C138" s="15"/>
      <c r="D138" s="2"/>
      <c r="E138" s="5"/>
      <c r="F138" s="5"/>
      <c r="G138" s="5"/>
      <c r="H138" s="5"/>
      <c r="I138" s="5"/>
      <c r="J138" s="5"/>
      <c r="K138" s="5"/>
      <c r="L138" s="5"/>
      <c r="M138" s="5"/>
      <c r="N138" s="5"/>
      <c r="O138" s="5"/>
    </row>
    <row r="139" spans="1:15" x14ac:dyDescent="0.25">
      <c r="A139" s="3"/>
      <c r="B139" s="4"/>
      <c r="C139" s="15"/>
      <c r="D139" s="2"/>
      <c r="E139" s="5"/>
      <c r="F139" s="5"/>
      <c r="G139" s="5"/>
      <c r="H139" s="5"/>
      <c r="I139" s="5"/>
      <c r="J139" s="5"/>
      <c r="K139" s="5"/>
      <c r="L139" s="5"/>
      <c r="M139" s="5"/>
      <c r="N139" s="5"/>
      <c r="O139" s="5"/>
    </row>
    <row r="140" spans="1:15" x14ac:dyDescent="0.25">
      <c r="A140" s="3"/>
      <c r="B140" s="4"/>
      <c r="C140" s="15"/>
      <c r="D140" s="2"/>
      <c r="E140" s="5"/>
      <c r="F140" s="5"/>
      <c r="G140" s="5"/>
      <c r="H140" s="5"/>
      <c r="I140" s="5"/>
      <c r="J140" s="5"/>
      <c r="K140" s="5"/>
      <c r="L140" s="5"/>
      <c r="M140" s="5"/>
      <c r="N140" s="5"/>
      <c r="O140" s="5"/>
    </row>
  </sheetData>
  <sheetProtection formatCells="0" formatColumns="0" formatRows="0" insertColumns="0" insertRows="0" insertHyperlinks="0" deleteColumns="0" deleteRows="0" sort="0" autoFilter="0" pivotTables="0"/>
  <customSheetViews>
    <customSheetView guid="{68E7B74C-C3B2-4B0B-8DBB-C6EB7678BF05}" showPageBreaks="1" printArea="1">
      <selection activeCell="H8" sqref="H8"/>
      <pageMargins left="0" right="0" top="0" bottom="0" header="0" footer="0"/>
      <pageSetup scale="75" fitToWidth="2" fitToHeight="3" orientation="landscape" r:id="rId1"/>
    </customSheetView>
    <customSheetView guid="{056DF672-C699-49F3-9F8F-FF611E6486A3}" showPageBreaks="1" printArea="1" topLeftCell="I1">
      <selection activeCell="R1" sqref="R1:CW83"/>
      <pageMargins left="0" right="0" top="0" bottom="0" header="0" footer="0"/>
      <pageSetup scale="70" fitToWidth="4" fitToHeight="2" orientation="landscape" r:id="rId2"/>
    </customSheetView>
  </customSheetViews>
  <mergeCells count="36">
    <mergeCell ref="P86:Q86"/>
    <mergeCell ref="A2:A3"/>
    <mergeCell ref="A1:O1"/>
    <mergeCell ref="H2:J2"/>
    <mergeCell ref="L2:L3"/>
    <mergeCell ref="M2:M3"/>
    <mergeCell ref="N2:N3"/>
    <mergeCell ref="G2:G3"/>
    <mergeCell ref="K2:K3"/>
    <mergeCell ref="A86:O86"/>
    <mergeCell ref="G85:J85"/>
    <mergeCell ref="S2:U2"/>
    <mergeCell ref="W1:CX1"/>
    <mergeCell ref="W3:CX3"/>
    <mergeCell ref="A99:O99"/>
    <mergeCell ref="A92:N92"/>
    <mergeCell ref="A88:N88"/>
    <mergeCell ref="A89:N89"/>
    <mergeCell ref="A90:N90"/>
    <mergeCell ref="A93:N93"/>
    <mergeCell ref="B2:B3"/>
    <mergeCell ref="C2:C3"/>
    <mergeCell ref="O2:O3"/>
    <mergeCell ref="D2:D3"/>
    <mergeCell ref="E2:E3"/>
    <mergeCell ref="F2:F3"/>
    <mergeCell ref="P2:Q2"/>
    <mergeCell ref="A87:O87"/>
    <mergeCell ref="A85:D85"/>
    <mergeCell ref="A91:N91"/>
    <mergeCell ref="A100:O100"/>
    <mergeCell ref="A98:O98"/>
    <mergeCell ref="A94:N94"/>
    <mergeCell ref="A95:N95"/>
    <mergeCell ref="A96:N96"/>
    <mergeCell ref="A97:N97"/>
  </mergeCells>
  <phoneticPr fontId="16" type="noConversion"/>
  <conditionalFormatting sqref="A4:A84">
    <cfRule type="expression" dxfId="186" priority="35">
      <formula>A4=A3</formula>
    </cfRule>
  </conditionalFormatting>
  <conditionalFormatting sqref="G85">
    <cfRule type="expression" dxfId="185" priority="575">
      <formula>Q1="SAM"</formula>
    </cfRule>
    <cfRule type="expression" dxfId="184" priority="576">
      <formula>P85&gt;25000</formula>
    </cfRule>
  </conditionalFormatting>
  <conditionalFormatting sqref="H2:J2">
    <cfRule type="expression" dxfId="183" priority="562">
      <formula>$P$1="Admin"</formula>
    </cfRule>
  </conditionalFormatting>
  <conditionalFormatting sqref="H3:J84">
    <cfRule type="expression" dxfId="182" priority="561">
      <formula>$P$1="Admin"</formula>
    </cfRule>
  </conditionalFormatting>
  <conditionalFormatting sqref="K2:K3">
    <cfRule type="expression" dxfId="181" priority="577">
      <formula>$Q$1="SAM"</formula>
    </cfRule>
  </conditionalFormatting>
  <conditionalFormatting sqref="K4:K84">
    <cfRule type="expression" dxfId="180" priority="572" stopIfTrue="1">
      <formula>$Q$1="SAM"</formula>
    </cfRule>
    <cfRule type="expression" dxfId="179" priority="573">
      <formula>P4&gt;25000</formula>
    </cfRule>
    <cfRule type="expression" dxfId="178" priority="574">
      <formula>P4&gt;10000</formula>
    </cfRule>
  </conditionalFormatting>
  <conditionalFormatting sqref="L2">
    <cfRule type="expression" dxfId="177" priority="579">
      <formula>Q1="SAM"</formula>
    </cfRule>
  </conditionalFormatting>
  <conditionalFormatting sqref="L3">
    <cfRule type="expression" dxfId="176" priority="559">
      <formula>P4="SAM"</formula>
    </cfRule>
  </conditionalFormatting>
  <conditionalFormatting sqref="M2">
    <cfRule type="expression" dxfId="175" priority="581">
      <formula>Q1="SAM"</formula>
    </cfRule>
  </conditionalFormatting>
  <conditionalFormatting sqref="M2:M3">
    <cfRule type="expression" dxfId="174" priority="569">
      <formula>R3="SAM"</formula>
    </cfRule>
  </conditionalFormatting>
  <conditionalFormatting sqref="M3">
    <cfRule type="expression" dxfId="173" priority="560">
      <formula>P4="SAM"</formula>
    </cfRule>
  </conditionalFormatting>
  <conditionalFormatting sqref="P4:P84">
    <cfRule type="expression" dxfId="172" priority="33">
      <formula>P4=0</formula>
    </cfRule>
    <cfRule type="expression" dxfId="171" priority="545">
      <formula>P4&gt;10000</formula>
    </cfRule>
  </conditionalFormatting>
  <conditionalFormatting sqref="P4:Q84">
    <cfRule type="expression" dxfId="170" priority="6">
      <formula>$B4=0</formula>
    </cfRule>
  </conditionalFormatting>
  <conditionalFormatting sqref="P85:Q85">
    <cfRule type="expression" dxfId="169" priority="32">
      <formula>P85&gt;25000</formula>
    </cfRule>
  </conditionalFormatting>
  <conditionalFormatting sqref="Q4:Q84">
    <cfRule type="expression" dxfId="168" priority="7">
      <formula>M4=0</formula>
    </cfRule>
    <cfRule type="expression" dxfId="167" priority="8">
      <formula>L4&lt;N4</formula>
    </cfRule>
    <cfRule type="expression" dxfId="166" priority="29">
      <formula>L4&gt;N4</formula>
    </cfRule>
  </conditionalFormatting>
  <conditionalFormatting sqref="S4:S84">
    <cfRule type="expression" dxfId="165" priority="37">
      <formula>S4=S3</formula>
    </cfRule>
  </conditionalFormatting>
  <conditionalFormatting sqref="S4:U84 W4:CX84">
    <cfRule type="expression" dxfId="164" priority="153">
      <formula>ISODD($S4)</formula>
    </cfRule>
  </conditionalFormatting>
  <conditionalFormatting sqref="V4:V84">
    <cfRule type="expression" dxfId="163" priority="166">
      <formula>ISODD($S4)</formula>
    </cfRule>
  </conditionalFormatting>
  <conditionalFormatting sqref="AE2:CX2 W2:AB2">
    <cfRule type="expression" dxfId="162" priority="27">
      <formula>W$2=""</formula>
    </cfRule>
  </conditionalFormatting>
  <dataValidations count="2">
    <dataValidation type="list" allowBlank="1" showInputMessage="1" showErrorMessage="1" sqref="Q1" xr:uid="{A9D4E61F-802F-403A-8349-C0A1CC4EEEAB}">
      <formula1>$P$99:$P$100</formula1>
    </dataValidation>
    <dataValidation type="list" allowBlank="1" showInputMessage="1" showErrorMessage="1" sqref="P1" xr:uid="{EF7C85CC-247A-4AFF-BCEB-BE1D9B313658}">
      <formula1>$P$95:$P$96</formula1>
    </dataValidation>
  </dataValidations>
  <pageMargins left="0.7" right="0.7" top="0.75" bottom="0.75" header="0.3" footer="0.3"/>
  <pageSetup scale="75" fitToWidth="2" fitToHeight="3"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0" tint="-0.249977111117893"/>
    <pageSetUpPr autoPageBreaks="0"/>
  </sheetPr>
  <dimension ref="A1:D1134"/>
  <sheetViews>
    <sheetView topLeftCell="A1113" zoomScale="160" zoomScaleNormal="160" workbookViewId="0">
      <selection activeCell="C1127" sqref="C1127:C1134"/>
    </sheetView>
  </sheetViews>
  <sheetFormatPr defaultColWidth="8.85546875" defaultRowHeight="15" x14ac:dyDescent="0.25"/>
  <cols>
    <col min="1" max="1" width="5.7109375" style="35" customWidth="1"/>
    <col min="2" max="2" width="15.85546875" style="35" customWidth="1"/>
    <col min="3" max="3" width="109.5703125" style="35" customWidth="1"/>
    <col min="4" max="16384" width="8.85546875" style="18"/>
  </cols>
  <sheetData>
    <row r="1" spans="1:4" s="17" customFormat="1" ht="16.5" thickBot="1" x14ac:dyDescent="0.25">
      <c r="A1" s="29">
        <f>IF(RFQ!D4="",0,RFQ!A4)</f>
        <v>1</v>
      </c>
      <c r="B1" s="29" t="str">
        <f>IF(C1=0,0, "FID "&amp;RFQ!C4)</f>
        <v>FID 22.1</v>
      </c>
      <c r="C1" s="37" t="str">
        <f>RFQ!D4</f>
        <v>SN03: Industrial, Ventilated Storage Cabinet, Metal</v>
      </c>
    </row>
    <row r="2" spans="1:4" ht="15.75" customHeight="1" x14ac:dyDescent="0.25">
      <c r="A2" s="278" t="s">
        <v>21</v>
      </c>
      <c r="B2" s="279"/>
      <c r="C2" s="30">
        <f>RFQ!E4</f>
        <v>0</v>
      </c>
    </row>
    <row r="3" spans="1:4" x14ac:dyDescent="0.25">
      <c r="A3" s="268" t="s">
        <v>22</v>
      </c>
      <c r="B3" s="269"/>
      <c r="C3" s="36">
        <f>RFQ!F4</f>
        <v>0</v>
      </c>
    </row>
    <row r="4" spans="1:4" x14ac:dyDescent="0.25">
      <c r="A4" s="268" t="s">
        <v>23</v>
      </c>
      <c r="B4" s="269"/>
      <c r="C4" s="36">
        <f>+RFQ!G4</f>
        <v>0</v>
      </c>
    </row>
    <row r="5" spans="1:4" x14ac:dyDescent="0.25">
      <c r="A5" s="268" t="s">
        <v>24</v>
      </c>
      <c r="B5" s="269"/>
      <c r="C5" s="34">
        <f>RFQ!K4</f>
        <v>0</v>
      </c>
      <c r="D5" s="19"/>
    </row>
    <row r="6" spans="1:4" ht="15.75" thickBot="1" x14ac:dyDescent="0.3">
      <c r="A6" s="270" t="s">
        <v>25</v>
      </c>
      <c r="B6" s="271"/>
      <c r="C6" s="33"/>
      <c r="D6" s="19"/>
    </row>
    <row r="7" spans="1:4" ht="15.75" x14ac:dyDescent="0.3">
      <c r="A7" s="272" t="s">
        <v>26</v>
      </c>
      <c r="B7" s="273"/>
      <c r="C7" s="41"/>
      <c r="D7" s="20"/>
    </row>
    <row r="8" spans="1:4" ht="16.5" thickBot="1" x14ac:dyDescent="0.35">
      <c r="A8" s="274" t="s">
        <v>27</v>
      </c>
      <c r="B8" s="275"/>
      <c r="C8" s="28"/>
      <c r="D8" s="20"/>
    </row>
    <row r="9" spans="1:4" x14ac:dyDescent="0.25">
      <c r="A9" s="272" t="s">
        <v>28</v>
      </c>
      <c r="B9" s="273"/>
      <c r="C9" s="42"/>
    </row>
    <row r="10" spans="1:4" ht="15.75" thickBot="1" x14ac:dyDescent="0.3">
      <c r="A10" s="274" t="s">
        <v>29</v>
      </c>
      <c r="B10" s="275"/>
      <c r="C10" s="28"/>
    </row>
    <row r="11" spans="1:4" x14ac:dyDescent="0.25">
      <c r="A11" s="272" t="s">
        <v>30</v>
      </c>
      <c r="B11" s="273"/>
      <c r="C11" s="42"/>
    </row>
    <row r="12" spans="1:4" ht="15.75" thickBot="1" x14ac:dyDescent="0.3">
      <c r="A12" s="274" t="s">
        <v>31</v>
      </c>
      <c r="B12" s="275"/>
      <c r="C12" s="28"/>
    </row>
    <row r="13" spans="1:4" x14ac:dyDescent="0.25">
      <c r="A13" s="276" t="s">
        <v>32</v>
      </c>
      <c r="B13" s="277"/>
      <c r="C13" s="43"/>
    </row>
    <row r="14" spans="1:4" ht="15.75" thickBot="1" x14ac:dyDescent="0.3">
      <c r="A14" s="274" t="s">
        <v>33</v>
      </c>
      <c r="B14" s="275"/>
      <c r="C14" s="28"/>
    </row>
    <row r="15" spans="1:4" s="17" customFormat="1" ht="16.5" thickBot="1" x14ac:dyDescent="0.25">
      <c r="A15" s="29">
        <f>IF(RFQ!D5="",0,RFQ!A5)</f>
        <v>2</v>
      </c>
      <c r="B15" s="29" t="str">
        <f>IF(C15=0,0, "FID "&amp;RFQ!C5)</f>
        <v>FID 22.2</v>
      </c>
      <c r="C15" s="37" t="str">
        <f>RFQ!D5</f>
        <v>SN04: Industrial, Clear-View Storage Cabinet, Metal</v>
      </c>
    </row>
    <row r="16" spans="1:4" x14ac:dyDescent="0.25">
      <c r="A16" s="278" t="s">
        <v>21</v>
      </c>
      <c r="B16" s="279"/>
      <c r="C16" s="30">
        <f>RFQ!E5</f>
        <v>0</v>
      </c>
    </row>
    <row r="17" spans="1:4" x14ac:dyDescent="0.25">
      <c r="A17" s="268" t="s">
        <v>22</v>
      </c>
      <c r="B17" s="269"/>
      <c r="C17" s="36">
        <f>RFQ!F5</f>
        <v>0</v>
      </c>
    </row>
    <row r="18" spans="1:4" x14ac:dyDescent="0.25">
      <c r="A18" s="268" t="s">
        <v>23</v>
      </c>
      <c r="B18" s="269"/>
      <c r="C18" s="36">
        <f>RFQ!G5</f>
        <v>0</v>
      </c>
    </row>
    <row r="19" spans="1:4" x14ac:dyDescent="0.25">
      <c r="A19" s="268" t="s">
        <v>24</v>
      </c>
      <c r="B19" s="269"/>
      <c r="C19" s="36">
        <f>RFQ!K5</f>
        <v>0</v>
      </c>
      <c r="D19" s="19"/>
    </row>
    <row r="20" spans="1:4" ht="15.75" thickBot="1" x14ac:dyDescent="0.3">
      <c r="A20" s="270" t="s">
        <v>25</v>
      </c>
      <c r="B20" s="271"/>
      <c r="C20" s="33"/>
      <c r="D20" s="19"/>
    </row>
    <row r="21" spans="1:4" ht="15.75" x14ac:dyDescent="0.3">
      <c r="A21" s="272" t="s">
        <v>26</v>
      </c>
      <c r="B21" s="273"/>
      <c r="C21" s="41"/>
      <c r="D21" s="20"/>
    </row>
    <row r="22" spans="1:4" ht="16.5" thickBot="1" x14ac:dyDescent="0.35">
      <c r="A22" s="274" t="s">
        <v>27</v>
      </c>
      <c r="B22" s="275"/>
      <c r="C22" s="28"/>
      <c r="D22" s="20"/>
    </row>
    <row r="23" spans="1:4" x14ac:dyDescent="0.25">
      <c r="A23" s="272" t="s">
        <v>28</v>
      </c>
      <c r="B23" s="273"/>
      <c r="C23" s="42"/>
    </row>
    <row r="24" spans="1:4" ht="15.75" thickBot="1" x14ac:dyDescent="0.3">
      <c r="A24" s="274" t="s">
        <v>29</v>
      </c>
      <c r="B24" s="275"/>
      <c r="C24" s="28"/>
    </row>
    <row r="25" spans="1:4" x14ac:dyDescent="0.25">
      <c r="A25" s="272" t="s">
        <v>30</v>
      </c>
      <c r="B25" s="273"/>
      <c r="C25" s="42"/>
    </row>
    <row r="26" spans="1:4" ht="15.75" thickBot="1" x14ac:dyDescent="0.3">
      <c r="A26" s="274" t="s">
        <v>31</v>
      </c>
      <c r="B26" s="275"/>
      <c r="C26" s="28"/>
    </row>
    <row r="27" spans="1:4" x14ac:dyDescent="0.25">
      <c r="A27" s="276" t="s">
        <v>32</v>
      </c>
      <c r="B27" s="277"/>
      <c r="C27" s="43"/>
    </row>
    <row r="28" spans="1:4" ht="15.75" thickBot="1" x14ac:dyDescent="0.3">
      <c r="A28" s="274" t="s">
        <v>33</v>
      </c>
      <c r="B28" s="275"/>
      <c r="C28" s="28"/>
    </row>
    <row r="29" spans="1:4" s="17" customFormat="1" ht="16.5" thickBot="1" x14ac:dyDescent="0.25">
      <c r="A29" s="29">
        <f>IF(RFQ!D6="",0,RFQ!A6)</f>
        <v>3</v>
      </c>
      <c r="B29" s="29" t="str">
        <f>IF(C29=0,0, "FID "&amp;RFQ!C6)</f>
        <v>FID 22.3</v>
      </c>
      <c r="C29" s="37" t="str">
        <f>RFQ!D6</f>
        <v>SN05: Closed Industrial Storage Shelving, Metal</v>
      </c>
    </row>
    <row r="30" spans="1:4" x14ac:dyDescent="0.25">
      <c r="A30" s="278" t="s">
        <v>21</v>
      </c>
      <c r="B30" s="279"/>
      <c r="C30" s="30">
        <f>RFQ!E6</f>
        <v>0</v>
      </c>
    </row>
    <row r="31" spans="1:4" x14ac:dyDescent="0.25">
      <c r="A31" s="268" t="s">
        <v>22</v>
      </c>
      <c r="B31" s="269"/>
      <c r="C31" s="34">
        <f>RFQ!F6</f>
        <v>0</v>
      </c>
    </row>
    <row r="32" spans="1:4" x14ac:dyDescent="0.25">
      <c r="A32" s="268" t="s">
        <v>23</v>
      </c>
      <c r="B32" s="269"/>
      <c r="C32" s="34">
        <f>RFQ!G6</f>
        <v>0</v>
      </c>
    </row>
    <row r="33" spans="1:4" x14ac:dyDescent="0.25">
      <c r="A33" s="268" t="s">
        <v>24</v>
      </c>
      <c r="B33" s="269"/>
      <c r="C33" s="34">
        <f>RFQ!K6</f>
        <v>0</v>
      </c>
      <c r="D33" s="19"/>
    </row>
    <row r="34" spans="1:4" ht="15.75" thickBot="1" x14ac:dyDescent="0.3">
      <c r="A34" s="270" t="s">
        <v>25</v>
      </c>
      <c r="B34" s="271"/>
      <c r="C34" s="31"/>
      <c r="D34" s="19"/>
    </row>
    <row r="35" spans="1:4" ht="15.75" x14ac:dyDescent="0.3">
      <c r="A35" s="272" t="s">
        <v>26</v>
      </c>
      <c r="B35" s="273"/>
      <c r="C35" s="41"/>
      <c r="D35" s="20"/>
    </row>
    <row r="36" spans="1:4" ht="16.5" thickBot="1" x14ac:dyDescent="0.35">
      <c r="A36" s="274" t="s">
        <v>27</v>
      </c>
      <c r="B36" s="275"/>
      <c r="C36" s="28"/>
      <c r="D36" s="20"/>
    </row>
    <row r="37" spans="1:4" x14ac:dyDescent="0.25">
      <c r="A37" s="272" t="s">
        <v>28</v>
      </c>
      <c r="B37" s="273"/>
      <c r="C37" s="42"/>
    </row>
    <row r="38" spans="1:4" ht="15.75" thickBot="1" x14ac:dyDescent="0.3">
      <c r="A38" s="274" t="s">
        <v>29</v>
      </c>
      <c r="B38" s="275"/>
      <c r="C38" s="28"/>
    </row>
    <row r="39" spans="1:4" x14ac:dyDescent="0.25">
      <c r="A39" s="272" t="s">
        <v>30</v>
      </c>
      <c r="B39" s="273"/>
      <c r="C39" s="42"/>
    </row>
    <row r="40" spans="1:4" ht="15.75" thickBot="1" x14ac:dyDescent="0.3">
      <c r="A40" s="274" t="s">
        <v>31</v>
      </c>
      <c r="B40" s="275"/>
      <c r="C40" s="28"/>
    </row>
    <row r="41" spans="1:4" x14ac:dyDescent="0.25">
      <c r="A41" s="276" t="s">
        <v>32</v>
      </c>
      <c r="B41" s="277"/>
      <c r="C41" s="43"/>
    </row>
    <row r="42" spans="1:4" ht="15.75" thickBot="1" x14ac:dyDescent="0.3">
      <c r="A42" s="274" t="s">
        <v>33</v>
      </c>
      <c r="B42" s="275"/>
      <c r="C42" s="28"/>
    </row>
    <row r="43" spans="1:4" s="17" customFormat="1" ht="16.5" thickBot="1" x14ac:dyDescent="0.25">
      <c r="A43" s="29">
        <f>IF(RFQ!D7="",0,RFQ!A7)</f>
        <v>4</v>
      </c>
      <c r="B43" s="29" t="str">
        <f>IF(C43=0,0, "FID "&amp;RFQ!C7)</f>
        <v>FID 22.4</v>
      </c>
      <c r="C43" s="37" t="str">
        <f>RFQ!D7</f>
        <v>SN06: Pallet Rack, Metal Wire Decking</v>
      </c>
    </row>
    <row r="44" spans="1:4" x14ac:dyDescent="0.25">
      <c r="A44" s="278" t="s">
        <v>21</v>
      </c>
      <c r="B44" s="279"/>
      <c r="C44" s="30">
        <f>RFQ!E7</f>
        <v>0</v>
      </c>
    </row>
    <row r="45" spans="1:4" x14ac:dyDescent="0.25">
      <c r="A45" s="268" t="s">
        <v>22</v>
      </c>
      <c r="B45" s="269"/>
      <c r="C45" s="34">
        <f>RFQ!F7</f>
        <v>0</v>
      </c>
    </row>
    <row r="46" spans="1:4" x14ac:dyDescent="0.25">
      <c r="A46" s="268" t="s">
        <v>23</v>
      </c>
      <c r="B46" s="269"/>
      <c r="C46" s="34">
        <f>RFQ!G7</f>
        <v>0</v>
      </c>
    </row>
    <row r="47" spans="1:4" x14ac:dyDescent="0.25">
      <c r="A47" s="268" t="s">
        <v>24</v>
      </c>
      <c r="B47" s="269"/>
      <c r="C47" s="34">
        <f>RFQ!K7</f>
        <v>0</v>
      </c>
      <c r="D47" s="19"/>
    </row>
    <row r="48" spans="1:4" ht="15.75" thickBot="1" x14ac:dyDescent="0.3">
      <c r="A48" s="270" t="s">
        <v>25</v>
      </c>
      <c r="B48" s="271"/>
      <c r="C48" s="31"/>
      <c r="D48" s="19"/>
    </row>
    <row r="49" spans="1:4" ht="15.75" x14ac:dyDescent="0.3">
      <c r="A49" s="272" t="s">
        <v>26</v>
      </c>
      <c r="B49" s="273"/>
      <c r="C49" s="42"/>
      <c r="D49" s="20"/>
    </row>
    <row r="50" spans="1:4" ht="16.5" thickBot="1" x14ac:dyDescent="0.35">
      <c r="A50" s="274" t="s">
        <v>27</v>
      </c>
      <c r="B50" s="275"/>
      <c r="C50" s="44"/>
      <c r="D50" s="20"/>
    </row>
    <row r="51" spans="1:4" x14ac:dyDescent="0.25">
      <c r="A51" s="272" t="s">
        <v>28</v>
      </c>
      <c r="B51" s="273"/>
      <c r="C51" s="42"/>
    </row>
    <row r="52" spans="1:4" ht="15.75" thickBot="1" x14ac:dyDescent="0.3">
      <c r="A52" s="274" t="s">
        <v>29</v>
      </c>
      <c r="B52" s="275"/>
      <c r="C52" s="44"/>
    </row>
    <row r="53" spans="1:4" x14ac:dyDescent="0.25">
      <c r="A53" s="272" t="s">
        <v>30</v>
      </c>
      <c r="B53" s="273"/>
      <c r="C53" s="42"/>
    </row>
    <row r="54" spans="1:4" ht="15.75" thickBot="1" x14ac:dyDescent="0.3">
      <c r="A54" s="274" t="s">
        <v>31</v>
      </c>
      <c r="B54" s="275"/>
      <c r="C54" s="44"/>
    </row>
    <row r="55" spans="1:4" x14ac:dyDescent="0.25">
      <c r="A55" s="276" t="s">
        <v>32</v>
      </c>
      <c r="B55" s="277"/>
      <c r="C55" s="45"/>
    </row>
    <row r="56" spans="1:4" ht="15.75" thickBot="1" x14ac:dyDescent="0.3">
      <c r="A56" s="274" t="s">
        <v>33</v>
      </c>
      <c r="B56" s="275"/>
      <c r="C56" s="44"/>
    </row>
    <row r="57" spans="1:4" s="17" customFormat="1" ht="16.5" thickBot="1" x14ac:dyDescent="0.25">
      <c r="A57" s="29">
        <f>IF(RFQ!D8="",0,RFQ!A8)</f>
        <v>5</v>
      </c>
      <c r="B57" s="29" t="str">
        <f>IF(C57=0,0, "FID "&amp;RFQ!C8)</f>
        <v>FID 22.5</v>
      </c>
      <c r="C57" s="37" t="str">
        <f>RFQ!D8</f>
        <v>SN07: Mobile Charging Storage Cabinet, Metal</v>
      </c>
    </row>
    <row r="58" spans="1:4" x14ac:dyDescent="0.25">
      <c r="A58" s="278" t="s">
        <v>21</v>
      </c>
      <c r="B58" s="279"/>
      <c r="C58" s="30">
        <f>RFQ!E8</f>
        <v>0</v>
      </c>
    </row>
    <row r="59" spans="1:4" x14ac:dyDescent="0.25">
      <c r="A59" s="268" t="s">
        <v>22</v>
      </c>
      <c r="B59" s="269"/>
      <c r="C59" s="34">
        <f>RFQ!F8</f>
        <v>0</v>
      </c>
    </row>
    <row r="60" spans="1:4" x14ac:dyDescent="0.25">
      <c r="A60" s="268" t="s">
        <v>23</v>
      </c>
      <c r="B60" s="269"/>
      <c r="C60" s="34">
        <f>RFQ!G8</f>
        <v>0</v>
      </c>
    </row>
    <row r="61" spans="1:4" x14ac:dyDescent="0.25">
      <c r="A61" s="268" t="s">
        <v>24</v>
      </c>
      <c r="B61" s="269"/>
      <c r="C61" s="34">
        <f>RFQ!K8</f>
        <v>0</v>
      </c>
      <c r="D61" s="19"/>
    </row>
    <row r="62" spans="1:4" ht="15.75" thickBot="1" x14ac:dyDescent="0.3">
      <c r="A62" s="270" t="s">
        <v>25</v>
      </c>
      <c r="B62" s="271"/>
      <c r="C62" s="31"/>
      <c r="D62" s="19"/>
    </row>
    <row r="63" spans="1:4" ht="15.75" x14ac:dyDescent="0.3">
      <c r="A63" s="272" t="s">
        <v>26</v>
      </c>
      <c r="B63" s="273"/>
      <c r="C63" s="42"/>
      <c r="D63" s="20"/>
    </row>
    <row r="64" spans="1:4" ht="16.5" thickBot="1" x14ac:dyDescent="0.35">
      <c r="A64" s="274" t="s">
        <v>27</v>
      </c>
      <c r="B64" s="275"/>
      <c r="C64" s="44"/>
      <c r="D64" s="20"/>
    </row>
    <row r="65" spans="1:4" x14ac:dyDescent="0.25">
      <c r="A65" s="272" t="s">
        <v>28</v>
      </c>
      <c r="B65" s="273"/>
      <c r="C65" s="42"/>
    </row>
    <row r="66" spans="1:4" ht="15.75" thickBot="1" x14ac:dyDescent="0.3">
      <c r="A66" s="274" t="s">
        <v>29</v>
      </c>
      <c r="B66" s="275"/>
      <c r="C66" s="44"/>
    </row>
    <row r="67" spans="1:4" x14ac:dyDescent="0.25">
      <c r="A67" s="272" t="s">
        <v>30</v>
      </c>
      <c r="B67" s="273"/>
      <c r="C67" s="42"/>
    </row>
    <row r="68" spans="1:4" ht="15.75" thickBot="1" x14ac:dyDescent="0.3">
      <c r="A68" s="274" t="s">
        <v>31</v>
      </c>
      <c r="B68" s="275"/>
      <c r="C68" s="44"/>
    </row>
    <row r="69" spans="1:4" x14ac:dyDescent="0.25">
      <c r="A69" s="276" t="s">
        <v>32</v>
      </c>
      <c r="B69" s="277"/>
      <c r="C69" s="45"/>
    </row>
    <row r="70" spans="1:4" ht="15.75" thickBot="1" x14ac:dyDescent="0.3">
      <c r="A70" s="274" t="s">
        <v>33</v>
      </c>
      <c r="B70" s="275"/>
      <c r="C70" s="44"/>
    </row>
    <row r="71" spans="1:4" s="17" customFormat="1" ht="16.5" thickBot="1" x14ac:dyDescent="0.25">
      <c r="A71" s="29">
        <f>IF(RFQ!D9="",0,RFQ!A9)</f>
        <v>6</v>
      </c>
      <c r="B71" s="29" t="str">
        <f>IF(C71=0,0, "FID "&amp;RFQ!C9)</f>
        <v>FID 22.6</v>
      </c>
      <c r="C71" s="37" t="str">
        <f>RFQ!D9</f>
        <v>TN01: Deluxe Work Bench, Metal</v>
      </c>
    </row>
    <row r="72" spans="1:4" x14ac:dyDescent="0.25">
      <c r="A72" s="278" t="s">
        <v>21</v>
      </c>
      <c r="B72" s="279"/>
      <c r="C72" s="30">
        <f>RFQ!E9</f>
        <v>0</v>
      </c>
    </row>
    <row r="73" spans="1:4" x14ac:dyDescent="0.25">
      <c r="A73" s="268" t="s">
        <v>22</v>
      </c>
      <c r="B73" s="269"/>
      <c r="C73" s="34">
        <f>RFQ!F9</f>
        <v>0</v>
      </c>
    </row>
    <row r="74" spans="1:4" x14ac:dyDescent="0.25">
      <c r="A74" s="268" t="s">
        <v>23</v>
      </c>
      <c r="B74" s="269"/>
      <c r="C74" s="34">
        <f>RFQ!G9</f>
        <v>0</v>
      </c>
    </row>
    <row r="75" spans="1:4" x14ac:dyDescent="0.25">
      <c r="A75" s="268" t="s">
        <v>24</v>
      </c>
      <c r="B75" s="269"/>
      <c r="C75" s="34">
        <f>RFQ!K9</f>
        <v>0</v>
      </c>
      <c r="D75" s="19"/>
    </row>
    <row r="76" spans="1:4" ht="15.75" thickBot="1" x14ac:dyDescent="0.3">
      <c r="A76" s="270" t="s">
        <v>25</v>
      </c>
      <c r="B76" s="271"/>
      <c r="C76" s="31"/>
      <c r="D76" s="19"/>
    </row>
    <row r="77" spans="1:4" ht="15.75" x14ac:dyDescent="0.3">
      <c r="A77" s="272" t="s">
        <v>26</v>
      </c>
      <c r="B77" s="273"/>
      <c r="C77" s="42"/>
      <c r="D77" s="20"/>
    </row>
    <row r="78" spans="1:4" ht="16.5" thickBot="1" x14ac:dyDescent="0.35">
      <c r="A78" s="274" t="s">
        <v>27</v>
      </c>
      <c r="B78" s="275"/>
      <c r="C78" s="44"/>
      <c r="D78" s="20"/>
    </row>
    <row r="79" spans="1:4" x14ac:dyDescent="0.25">
      <c r="A79" s="272" t="s">
        <v>28</v>
      </c>
      <c r="B79" s="273"/>
      <c r="C79" s="42"/>
    </row>
    <row r="80" spans="1:4" ht="15.75" thickBot="1" x14ac:dyDescent="0.3">
      <c r="A80" s="274" t="s">
        <v>29</v>
      </c>
      <c r="B80" s="275"/>
      <c r="C80" s="44"/>
    </row>
    <row r="81" spans="1:4" x14ac:dyDescent="0.25">
      <c r="A81" s="272" t="s">
        <v>30</v>
      </c>
      <c r="B81" s="273"/>
      <c r="C81" s="42"/>
    </row>
    <row r="82" spans="1:4" ht="15.75" thickBot="1" x14ac:dyDescent="0.3">
      <c r="A82" s="274" t="s">
        <v>31</v>
      </c>
      <c r="B82" s="275"/>
      <c r="C82" s="44"/>
    </row>
    <row r="83" spans="1:4" x14ac:dyDescent="0.25">
      <c r="A83" s="276" t="s">
        <v>32</v>
      </c>
      <c r="B83" s="277"/>
      <c r="C83" s="45"/>
    </row>
    <row r="84" spans="1:4" ht="15.75" thickBot="1" x14ac:dyDescent="0.3">
      <c r="A84" s="274" t="s">
        <v>33</v>
      </c>
      <c r="B84" s="275"/>
      <c r="C84" s="44"/>
    </row>
    <row r="85" spans="1:4" s="17" customFormat="1" ht="16.5" thickBot="1" x14ac:dyDescent="0.25">
      <c r="A85" s="29">
        <f>IF(RFQ!D10="",0,RFQ!A10)</f>
        <v>7</v>
      </c>
      <c r="B85" s="32" t="str">
        <f>IF(C85=0,0, "FID "&amp;RFQ!C10)</f>
        <v>FID 22.7</v>
      </c>
      <c r="C85" s="37" t="str">
        <f>RFQ!D10</f>
        <v>TN02: Mobile Cabinet Work Bench, Metal</v>
      </c>
    </row>
    <row r="86" spans="1:4" x14ac:dyDescent="0.25">
      <c r="A86" s="278" t="s">
        <v>21</v>
      </c>
      <c r="B86" s="279"/>
      <c r="C86" s="30">
        <f>RFQ!E10</f>
        <v>0</v>
      </c>
    </row>
    <row r="87" spans="1:4" x14ac:dyDescent="0.25">
      <c r="A87" s="268" t="s">
        <v>22</v>
      </c>
      <c r="B87" s="269"/>
      <c r="C87" s="34">
        <f>RFQ!F10</f>
        <v>0</v>
      </c>
    </row>
    <row r="88" spans="1:4" x14ac:dyDescent="0.25">
      <c r="A88" s="268" t="s">
        <v>23</v>
      </c>
      <c r="B88" s="269"/>
      <c r="C88" s="34">
        <f>RFQ!G10</f>
        <v>0</v>
      </c>
    </row>
    <row r="89" spans="1:4" x14ac:dyDescent="0.25">
      <c r="A89" s="268" t="s">
        <v>24</v>
      </c>
      <c r="B89" s="269"/>
      <c r="C89" s="34">
        <f>RFQ!K10</f>
        <v>0</v>
      </c>
      <c r="D89" s="19"/>
    </row>
    <row r="90" spans="1:4" ht="15.75" thickBot="1" x14ac:dyDescent="0.3">
      <c r="A90" s="270" t="s">
        <v>25</v>
      </c>
      <c r="B90" s="271"/>
      <c r="C90" s="31"/>
      <c r="D90" s="19"/>
    </row>
    <row r="91" spans="1:4" ht="15.75" x14ac:dyDescent="0.3">
      <c r="A91" s="272" t="s">
        <v>26</v>
      </c>
      <c r="B91" s="273"/>
      <c r="C91" s="42"/>
      <c r="D91" s="20"/>
    </row>
    <row r="92" spans="1:4" ht="16.5" thickBot="1" x14ac:dyDescent="0.35">
      <c r="A92" s="274" t="s">
        <v>27</v>
      </c>
      <c r="B92" s="275"/>
      <c r="C92" s="44"/>
      <c r="D92" s="20"/>
    </row>
    <row r="93" spans="1:4" x14ac:dyDescent="0.25">
      <c r="A93" s="272" t="s">
        <v>28</v>
      </c>
      <c r="B93" s="273"/>
      <c r="C93" s="42"/>
    </row>
    <row r="94" spans="1:4" ht="15.75" thickBot="1" x14ac:dyDescent="0.3">
      <c r="A94" s="274" t="s">
        <v>29</v>
      </c>
      <c r="B94" s="275"/>
      <c r="C94" s="44"/>
    </row>
    <row r="95" spans="1:4" x14ac:dyDescent="0.25">
      <c r="A95" s="272" t="s">
        <v>30</v>
      </c>
      <c r="B95" s="273"/>
      <c r="C95" s="42"/>
    </row>
    <row r="96" spans="1:4" ht="15.75" thickBot="1" x14ac:dyDescent="0.3">
      <c r="A96" s="274" t="s">
        <v>31</v>
      </c>
      <c r="B96" s="275"/>
      <c r="C96" s="44"/>
    </row>
    <row r="97" spans="1:4" x14ac:dyDescent="0.25">
      <c r="A97" s="276" t="s">
        <v>32</v>
      </c>
      <c r="B97" s="277"/>
      <c r="C97" s="45"/>
    </row>
    <row r="98" spans="1:4" ht="15.75" thickBot="1" x14ac:dyDescent="0.3">
      <c r="A98" s="274" t="s">
        <v>33</v>
      </c>
      <c r="B98" s="275"/>
      <c r="C98" s="44"/>
    </row>
    <row r="99" spans="1:4" s="17" customFormat="1" ht="16.5" thickBot="1" x14ac:dyDescent="0.25">
      <c r="A99" s="29">
        <f>IF(RFQ!D11="",0,RFQ!A11)</f>
        <v>8</v>
      </c>
      <c r="B99" s="29" t="str">
        <f>IF(C99=0,0, "FID "&amp;RFQ!C11)</f>
        <v>FID 22.8</v>
      </c>
      <c r="C99" s="37" t="str">
        <f>RFQ!D11</f>
        <v>SN08: Clear-View, Preservation Storage Cabinet, Metal</v>
      </c>
    </row>
    <row r="100" spans="1:4" x14ac:dyDescent="0.25">
      <c r="A100" s="278" t="s">
        <v>21</v>
      </c>
      <c r="B100" s="279"/>
      <c r="C100" s="30">
        <f>RFQ!E11</f>
        <v>0</v>
      </c>
    </row>
    <row r="101" spans="1:4" x14ac:dyDescent="0.25">
      <c r="A101" s="268" t="s">
        <v>22</v>
      </c>
      <c r="B101" s="269"/>
      <c r="C101" s="34">
        <f>RFQ!F11</f>
        <v>0</v>
      </c>
    </row>
    <row r="102" spans="1:4" x14ac:dyDescent="0.25">
      <c r="A102" s="268" t="s">
        <v>23</v>
      </c>
      <c r="B102" s="269"/>
      <c r="C102" s="34">
        <f>RFQ!G11</f>
        <v>0</v>
      </c>
    </row>
    <row r="103" spans="1:4" x14ac:dyDescent="0.25">
      <c r="A103" s="268" t="s">
        <v>24</v>
      </c>
      <c r="B103" s="269"/>
      <c r="C103" s="34">
        <f>RFQ!K11</f>
        <v>0</v>
      </c>
      <c r="D103" s="19"/>
    </row>
    <row r="104" spans="1:4" ht="15.75" thickBot="1" x14ac:dyDescent="0.3">
      <c r="A104" s="270" t="s">
        <v>25</v>
      </c>
      <c r="B104" s="271"/>
      <c r="C104" s="31"/>
      <c r="D104" s="19"/>
    </row>
    <row r="105" spans="1:4" ht="15.75" x14ac:dyDescent="0.3">
      <c r="A105" s="272" t="s">
        <v>26</v>
      </c>
      <c r="B105" s="273"/>
      <c r="C105" s="42"/>
      <c r="D105" s="20"/>
    </row>
    <row r="106" spans="1:4" ht="16.5" thickBot="1" x14ac:dyDescent="0.35">
      <c r="A106" s="274" t="s">
        <v>27</v>
      </c>
      <c r="B106" s="275"/>
      <c r="C106" s="44"/>
      <c r="D106" s="20"/>
    </row>
    <row r="107" spans="1:4" x14ac:dyDescent="0.25">
      <c r="A107" s="272" t="s">
        <v>28</v>
      </c>
      <c r="B107" s="273"/>
      <c r="C107" s="42"/>
    </row>
    <row r="108" spans="1:4" ht="15.75" thickBot="1" x14ac:dyDescent="0.3">
      <c r="A108" s="274" t="s">
        <v>29</v>
      </c>
      <c r="B108" s="275"/>
      <c r="C108" s="44"/>
    </row>
    <row r="109" spans="1:4" x14ac:dyDescent="0.25">
      <c r="A109" s="272" t="s">
        <v>30</v>
      </c>
      <c r="B109" s="273"/>
      <c r="C109" s="42"/>
    </row>
    <row r="110" spans="1:4" ht="15.75" thickBot="1" x14ac:dyDescent="0.3">
      <c r="A110" s="274" t="s">
        <v>31</v>
      </c>
      <c r="B110" s="275"/>
      <c r="C110" s="44"/>
    </row>
    <row r="111" spans="1:4" x14ac:dyDescent="0.25">
      <c r="A111" s="276" t="s">
        <v>32</v>
      </c>
      <c r="B111" s="277"/>
      <c r="C111" s="45"/>
    </row>
    <row r="112" spans="1:4" ht="15.75" thickBot="1" x14ac:dyDescent="0.3">
      <c r="A112" s="274" t="s">
        <v>33</v>
      </c>
      <c r="B112" s="275"/>
      <c r="C112" s="44"/>
    </row>
    <row r="113" spans="1:4" s="17" customFormat="1" ht="16.5" thickBot="1" x14ac:dyDescent="0.25">
      <c r="A113" s="29">
        <f>IF(RFQ!D12="",0,RFQ!A12)</f>
        <v>9</v>
      </c>
      <c r="B113" s="29" t="str">
        <f>IF(C113=0,0, "FID "&amp;RFQ!C12)</f>
        <v>FID 22.9</v>
      </c>
      <c r="C113" s="37" t="str">
        <f>RFQ!D12</f>
        <v>SX01: 4-Drawer Flat File, Double-High, Metal</v>
      </c>
    </row>
    <row r="114" spans="1:4" x14ac:dyDescent="0.25">
      <c r="A114" s="278" t="s">
        <v>21</v>
      </c>
      <c r="B114" s="279"/>
      <c r="C114" s="30">
        <f>RFQ!E12</f>
        <v>0</v>
      </c>
    </row>
    <row r="115" spans="1:4" x14ac:dyDescent="0.25">
      <c r="A115" s="268" t="s">
        <v>22</v>
      </c>
      <c r="B115" s="269"/>
      <c r="C115" s="34">
        <f>RFQ!F12</f>
        <v>0</v>
      </c>
    </row>
    <row r="116" spans="1:4" x14ac:dyDescent="0.25">
      <c r="A116" s="268" t="s">
        <v>23</v>
      </c>
      <c r="B116" s="269"/>
      <c r="C116" s="34">
        <f>RFQ!G12</f>
        <v>0</v>
      </c>
    </row>
    <row r="117" spans="1:4" x14ac:dyDescent="0.25">
      <c r="A117" s="268" t="s">
        <v>24</v>
      </c>
      <c r="B117" s="269"/>
      <c r="C117" s="34">
        <f>RFQ!K12</f>
        <v>0</v>
      </c>
      <c r="D117" s="19"/>
    </row>
    <row r="118" spans="1:4" ht="15.75" thickBot="1" x14ac:dyDescent="0.3">
      <c r="A118" s="270" t="s">
        <v>25</v>
      </c>
      <c r="B118" s="271"/>
      <c r="C118" s="31"/>
      <c r="D118" s="19"/>
    </row>
    <row r="119" spans="1:4" ht="15.75" x14ac:dyDescent="0.3">
      <c r="A119" s="272" t="s">
        <v>26</v>
      </c>
      <c r="B119" s="273"/>
      <c r="C119" s="42"/>
      <c r="D119" s="20"/>
    </row>
    <row r="120" spans="1:4" ht="16.5" thickBot="1" x14ac:dyDescent="0.35">
      <c r="A120" s="274" t="s">
        <v>27</v>
      </c>
      <c r="B120" s="275"/>
      <c r="C120" s="44"/>
      <c r="D120" s="20"/>
    </row>
    <row r="121" spans="1:4" x14ac:dyDescent="0.25">
      <c r="A121" s="272" t="s">
        <v>28</v>
      </c>
      <c r="B121" s="273"/>
      <c r="C121" s="42"/>
    </row>
    <row r="122" spans="1:4" ht="15.75" thickBot="1" x14ac:dyDescent="0.3">
      <c r="A122" s="274" t="s">
        <v>29</v>
      </c>
      <c r="B122" s="275"/>
      <c r="C122" s="44"/>
    </row>
    <row r="123" spans="1:4" x14ac:dyDescent="0.25">
      <c r="A123" s="272" t="s">
        <v>30</v>
      </c>
      <c r="B123" s="273"/>
      <c r="C123" s="42"/>
    </row>
    <row r="124" spans="1:4" ht="15.75" thickBot="1" x14ac:dyDescent="0.3">
      <c r="A124" s="274" t="s">
        <v>31</v>
      </c>
      <c r="B124" s="275"/>
      <c r="C124" s="44"/>
    </row>
    <row r="125" spans="1:4" x14ac:dyDescent="0.25">
      <c r="A125" s="276" t="s">
        <v>32</v>
      </c>
      <c r="B125" s="277"/>
      <c r="C125" s="45"/>
    </row>
    <row r="126" spans="1:4" ht="15.75" thickBot="1" x14ac:dyDescent="0.3">
      <c r="A126" s="274" t="s">
        <v>33</v>
      </c>
      <c r="B126" s="275"/>
      <c r="C126" s="44"/>
    </row>
    <row r="127" spans="1:4" s="17" customFormat="1" ht="16.5" thickBot="1" x14ac:dyDescent="0.25">
      <c r="A127" s="29">
        <f>IF(RFQ!D13="",0,RFQ!A13)</f>
        <v>10</v>
      </c>
      <c r="B127" s="29" t="str">
        <f>IF(C127=0,0, "FID "&amp;RFQ!C13)</f>
        <v>FID 22.1</v>
      </c>
      <c r="C127" s="37" t="str">
        <f>RFQ!D13</f>
        <v>SX02: 6-Drawer Flat File, Double-High, Metal</v>
      </c>
    </row>
    <row r="128" spans="1:4" x14ac:dyDescent="0.25">
      <c r="A128" s="278" t="s">
        <v>21</v>
      </c>
      <c r="B128" s="279"/>
      <c r="C128" s="30">
        <f>RFQ!E13</f>
        <v>0</v>
      </c>
    </row>
    <row r="129" spans="1:4" x14ac:dyDescent="0.25">
      <c r="A129" s="268" t="s">
        <v>22</v>
      </c>
      <c r="B129" s="269"/>
      <c r="C129" s="34">
        <f>RFQ!F13</f>
        <v>0</v>
      </c>
    </row>
    <row r="130" spans="1:4" x14ac:dyDescent="0.25">
      <c r="A130" s="268" t="s">
        <v>23</v>
      </c>
      <c r="B130" s="269"/>
      <c r="C130" s="34">
        <f>RFQ!G13</f>
        <v>0</v>
      </c>
    </row>
    <row r="131" spans="1:4" x14ac:dyDescent="0.25">
      <c r="A131" s="268" t="s">
        <v>24</v>
      </c>
      <c r="B131" s="269"/>
      <c r="C131" s="34">
        <f>RFQ!K13</f>
        <v>0</v>
      </c>
      <c r="D131" s="19"/>
    </row>
    <row r="132" spans="1:4" ht="15.75" thickBot="1" x14ac:dyDescent="0.3">
      <c r="A132" s="270" t="s">
        <v>25</v>
      </c>
      <c r="B132" s="271"/>
      <c r="C132" s="31"/>
      <c r="D132" s="19"/>
    </row>
    <row r="133" spans="1:4" ht="15.75" x14ac:dyDescent="0.3">
      <c r="A133" s="272" t="s">
        <v>26</v>
      </c>
      <c r="B133" s="273"/>
      <c r="C133" s="42"/>
      <c r="D133" s="20"/>
    </row>
    <row r="134" spans="1:4" ht="16.5" thickBot="1" x14ac:dyDescent="0.35">
      <c r="A134" s="274" t="s">
        <v>27</v>
      </c>
      <c r="B134" s="275"/>
      <c r="C134" s="44"/>
      <c r="D134" s="20"/>
    </row>
    <row r="135" spans="1:4" x14ac:dyDescent="0.25">
      <c r="A135" s="272" t="s">
        <v>28</v>
      </c>
      <c r="B135" s="273"/>
      <c r="C135" s="42"/>
    </row>
    <row r="136" spans="1:4" ht="15.75" thickBot="1" x14ac:dyDescent="0.3">
      <c r="A136" s="274" t="s">
        <v>29</v>
      </c>
      <c r="B136" s="275"/>
      <c r="C136" s="44"/>
    </row>
    <row r="137" spans="1:4" x14ac:dyDescent="0.25">
      <c r="A137" s="272" t="s">
        <v>30</v>
      </c>
      <c r="B137" s="273"/>
      <c r="C137" s="42"/>
    </row>
    <row r="138" spans="1:4" ht="15.75" thickBot="1" x14ac:dyDescent="0.3">
      <c r="A138" s="274" t="s">
        <v>31</v>
      </c>
      <c r="B138" s="275"/>
      <c r="C138" s="44"/>
    </row>
    <row r="139" spans="1:4" x14ac:dyDescent="0.25">
      <c r="A139" s="276" t="s">
        <v>32</v>
      </c>
      <c r="B139" s="277"/>
      <c r="C139" s="45"/>
    </row>
    <row r="140" spans="1:4" ht="15.75" customHeight="1" thickBot="1" x14ac:dyDescent="0.3">
      <c r="A140" s="280" t="s">
        <v>33</v>
      </c>
      <c r="B140" s="281"/>
      <c r="C140" s="44"/>
    </row>
    <row r="141" spans="1:4" s="17" customFormat="1" ht="16.5" thickBot="1" x14ac:dyDescent="0.25">
      <c r="A141" s="29">
        <f>IF(RFQ!D14="",0,RFQ!A14)</f>
        <v>11</v>
      </c>
      <c r="B141" s="29" t="str">
        <f>IF(C141=0,0, "FID "&amp;RFQ!C14)</f>
        <v>FID 22.11</v>
      </c>
      <c r="C141" s="37" t="str">
        <f>RFQ!D14</f>
        <v>SX03: Plaque Storage, Metal</v>
      </c>
    </row>
    <row r="142" spans="1:4" x14ac:dyDescent="0.25">
      <c r="A142" s="278" t="s">
        <v>21</v>
      </c>
      <c r="B142" s="279"/>
      <c r="C142" s="30">
        <f>RFQ!E14</f>
        <v>0</v>
      </c>
    </row>
    <row r="143" spans="1:4" x14ac:dyDescent="0.25">
      <c r="A143" s="268" t="s">
        <v>22</v>
      </c>
      <c r="B143" s="269"/>
      <c r="C143" s="34">
        <f>RFQ!F14</f>
        <v>0</v>
      </c>
    </row>
    <row r="144" spans="1:4" x14ac:dyDescent="0.25">
      <c r="A144" s="268" t="s">
        <v>23</v>
      </c>
      <c r="B144" s="269"/>
      <c r="C144" s="34">
        <f>RFQ!G14</f>
        <v>0</v>
      </c>
    </row>
    <row r="145" spans="1:4" x14ac:dyDescent="0.25">
      <c r="A145" s="268" t="s">
        <v>24</v>
      </c>
      <c r="B145" s="269"/>
      <c r="C145" s="34">
        <f>RFQ!K14</f>
        <v>0</v>
      </c>
      <c r="D145" s="19"/>
    </row>
    <row r="146" spans="1:4" ht="15.75" thickBot="1" x14ac:dyDescent="0.3">
      <c r="A146" s="270" t="s">
        <v>25</v>
      </c>
      <c r="B146" s="271"/>
      <c r="C146" s="31"/>
      <c r="D146" s="19"/>
    </row>
    <row r="147" spans="1:4" ht="15.75" x14ac:dyDescent="0.3">
      <c r="A147" s="272" t="s">
        <v>26</v>
      </c>
      <c r="B147" s="273"/>
      <c r="C147" s="42"/>
      <c r="D147" s="20"/>
    </row>
    <row r="148" spans="1:4" ht="16.5" thickBot="1" x14ac:dyDescent="0.35">
      <c r="A148" s="274" t="s">
        <v>27</v>
      </c>
      <c r="B148" s="275"/>
      <c r="C148" s="44"/>
      <c r="D148" s="20"/>
    </row>
    <row r="149" spans="1:4" x14ac:dyDescent="0.25">
      <c r="A149" s="272" t="s">
        <v>28</v>
      </c>
      <c r="B149" s="273"/>
      <c r="C149" s="42"/>
    </row>
    <row r="150" spans="1:4" ht="15.75" thickBot="1" x14ac:dyDescent="0.3">
      <c r="A150" s="274" t="s">
        <v>29</v>
      </c>
      <c r="B150" s="275"/>
      <c r="C150" s="44"/>
    </row>
    <row r="151" spans="1:4" x14ac:dyDescent="0.25">
      <c r="A151" s="272" t="s">
        <v>30</v>
      </c>
      <c r="B151" s="273"/>
      <c r="C151" s="42"/>
    </row>
    <row r="152" spans="1:4" ht="15.75" thickBot="1" x14ac:dyDescent="0.3">
      <c r="A152" s="274" t="s">
        <v>31</v>
      </c>
      <c r="B152" s="275"/>
      <c r="C152" s="44"/>
    </row>
    <row r="153" spans="1:4" x14ac:dyDescent="0.25">
      <c r="A153" s="276" t="s">
        <v>32</v>
      </c>
      <c r="B153" s="277"/>
      <c r="C153" s="45"/>
    </row>
    <row r="154" spans="1:4" ht="15.75" thickBot="1" x14ac:dyDescent="0.3">
      <c r="A154" s="274" t="s">
        <v>33</v>
      </c>
      <c r="B154" s="275"/>
      <c r="C154" s="44"/>
    </row>
    <row r="155" spans="1:4" s="17" customFormat="1" ht="16.5" thickBot="1" x14ac:dyDescent="0.25">
      <c r="A155" s="29">
        <f>IF(RFQ!D15="",0,RFQ!A15)</f>
        <v>12</v>
      </c>
      <c r="B155" s="29" t="str">
        <f>IF(C155=0,0, "FID "&amp;RFQ!C15)</f>
        <v>FID 22.12</v>
      </c>
      <c r="C155" s="37" t="str">
        <f>RFQ!D15</f>
        <v>TX01: Stainless Steel Work Table, Height Adjustable</v>
      </c>
    </row>
    <row r="156" spans="1:4" x14ac:dyDescent="0.25">
      <c r="A156" s="278" t="s">
        <v>21</v>
      </c>
      <c r="B156" s="279"/>
      <c r="C156" s="30">
        <f>RFQ!E15</f>
        <v>0</v>
      </c>
    </row>
    <row r="157" spans="1:4" x14ac:dyDescent="0.25">
      <c r="A157" s="268" t="s">
        <v>22</v>
      </c>
      <c r="B157" s="269"/>
      <c r="C157" s="34">
        <f>RFQ!F15</f>
        <v>0</v>
      </c>
    </row>
    <row r="158" spans="1:4" x14ac:dyDescent="0.25">
      <c r="A158" s="268" t="s">
        <v>23</v>
      </c>
      <c r="B158" s="269"/>
      <c r="C158" s="34">
        <f>RFQ!G15</f>
        <v>0</v>
      </c>
    </row>
    <row r="159" spans="1:4" x14ac:dyDescent="0.25">
      <c r="A159" s="268" t="s">
        <v>24</v>
      </c>
      <c r="B159" s="269"/>
      <c r="C159" s="34">
        <f>RFQ!K15</f>
        <v>0</v>
      </c>
      <c r="D159" s="19"/>
    </row>
    <row r="160" spans="1:4" ht="15.75" thickBot="1" x14ac:dyDescent="0.3">
      <c r="A160" s="270" t="s">
        <v>25</v>
      </c>
      <c r="B160" s="271"/>
      <c r="C160" s="31"/>
      <c r="D160" s="19"/>
    </row>
    <row r="161" spans="1:4" ht="15.75" x14ac:dyDescent="0.3">
      <c r="A161" s="272" t="s">
        <v>26</v>
      </c>
      <c r="B161" s="273"/>
      <c r="C161" s="42"/>
      <c r="D161" s="20"/>
    </row>
    <row r="162" spans="1:4" ht="16.5" thickBot="1" x14ac:dyDescent="0.35">
      <c r="A162" s="274" t="s">
        <v>27</v>
      </c>
      <c r="B162" s="275"/>
      <c r="C162" s="44"/>
      <c r="D162" s="20"/>
    </row>
    <row r="163" spans="1:4" x14ac:dyDescent="0.25">
      <c r="A163" s="272" t="s">
        <v>28</v>
      </c>
      <c r="B163" s="273"/>
      <c r="C163" s="42"/>
    </row>
    <row r="164" spans="1:4" ht="15.75" thickBot="1" x14ac:dyDescent="0.3">
      <c r="A164" s="274" t="s">
        <v>29</v>
      </c>
      <c r="B164" s="275"/>
      <c r="C164" s="44"/>
    </row>
    <row r="165" spans="1:4" x14ac:dyDescent="0.25">
      <c r="A165" s="272" t="s">
        <v>30</v>
      </c>
      <c r="B165" s="273"/>
      <c r="C165" s="42"/>
    </row>
    <row r="166" spans="1:4" ht="15.75" thickBot="1" x14ac:dyDescent="0.3">
      <c r="A166" s="274" t="s">
        <v>31</v>
      </c>
      <c r="B166" s="275"/>
      <c r="C166" s="44"/>
    </row>
    <row r="167" spans="1:4" x14ac:dyDescent="0.25">
      <c r="A167" s="276" t="s">
        <v>32</v>
      </c>
      <c r="B167" s="277"/>
      <c r="C167" s="45"/>
    </row>
    <row r="168" spans="1:4" ht="15.75" thickBot="1" x14ac:dyDescent="0.3">
      <c r="A168" s="274" t="s">
        <v>33</v>
      </c>
      <c r="B168" s="275"/>
      <c r="C168" s="44"/>
    </row>
    <row r="169" spans="1:4" s="17" customFormat="1" ht="16.5" thickBot="1" x14ac:dyDescent="0.25">
      <c r="A169" s="29">
        <f>IF(RFQ!D16="",0,RFQ!A16)</f>
        <v>0</v>
      </c>
      <c r="B169" s="29">
        <f>IF(C169=0,0, "FID "&amp;RFQ!C16)</f>
        <v>0</v>
      </c>
      <c r="C169" s="37">
        <f>RFQ!D16</f>
        <v>0</v>
      </c>
    </row>
    <row r="170" spans="1:4" x14ac:dyDescent="0.25">
      <c r="A170" s="278" t="s">
        <v>21</v>
      </c>
      <c r="B170" s="279"/>
      <c r="C170" s="30">
        <f>RFQ!E16</f>
        <v>0</v>
      </c>
    </row>
    <row r="171" spans="1:4" x14ac:dyDescent="0.25">
      <c r="A171" s="268" t="s">
        <v>22</v>
      </c>
      <c r="B171" s="269"/>
      <c r="C171" s="34">
        <f>RFQ!F16</f>
        <v>0</v>
      </c>
    </row>
    <row r="172" spans="1:4" x14ac:dyDescent="0.25">
      <c r="A172" s="268" t="s">
        <v>23</v>
      </c>
      <c r="B172" s="269"/>
      <c r="C172" s="34">
        <f>RFQ!G16</f>
        <v>0</v>
      </c>
    </row>
    <row r="173" spans="1:4" x14ac:dyDescent="0.25">
      <c r="A173" s="268" t="s">
        <v>24</v>
      </c>
      <c r="B173" s="269"/>
      <c r="C173" s="34">
        <f>RFQ!K16</f>
        <v>0</v>
      </c>
      <c r="D173" s="19"/>
    </row>
    <row r="174" spans="1:4" ht="15.75" thickBot="1" x14ac:dyDescent="0.3">
      <c r="A174" s="270" t="s">
        <v>25</v>
      </c>
      <c r="B174" s="271"/>
      <c r="C174" s="31"/>
      <c r="D174" s="19"/>
    </row>
    <row r="175" spans="1:4" ht="15.75" x14ac:dyDescent="0.3">
      <c r="A175" s="272" t="s">
        <v>26</v>
      </c>
      <c r="B175" s="273"/>
      <c r="C175" s="42"/>
      <c r="D175" s="20"/>
    </row>
    <row r="176" spans="1:4" ht="16.5" thickBot="1" x14ac:dyDescent="0.35">
      <c r="A176" s="274" t="s">
        <v>27</v>
      </c>
      <c r="B176" s="275"/>
      <c r="C176" s="44"/>
      <c r="D176" s="20"/>
    </row>
    <row r="177" spans="1:4" x14ac:dyDescent="0.25">
      <c r="A177" s="272" t="s">
        <v>28</v>
      </c>
      <c r="B177" s="273"/>
      <c r="C177" s="42"/>
    </row>
    <row r="178" spans="1:4" ht="15.75" thickBot="1" x14ac:dyDescent="0.3">
      <c r="A178" s="274" t="s">
        <v>29</v>
      </c>
      <c r="B178" s="275"/>
      <c r="C178" s="44"/>
    </row>
    <row r="179" spans="1:4" x14ac:dyDescent="0.25">
      <c r="A179" s="272" t="s">
        <v>30</v>
      </c>
      <c r="B179" s="273"/>
      <c r="C179" s="42"/>
    </row>
    <row r="180" spans="1:4" ht="15.75" thickBot="1" x14ac:dyDescent="0.3">
      <c r="A180" s="274" t="s">
        <v>31</v>
      </c>
      <c r="B180" s="275"/>
      <c r="C180" s="44"/>
    </row>
    <row r="181" spans="1:4" x14ac:dyDescent="0.25">
      <c r="A181" s="276" t="s">
        <v>32</v>
      </c>
      <c r="B181" s="277"/>
      <c r="C181" s="45"/>
    </row>
    <row r="182" spans="1:4" ht="15.75" thickBot="1" x14ac:dyDescent="0.3">
      <c r="A182" s="274" t="s">
        <v>33</v>
      </c>
      <c r="B182" s="275"/>
      <c r="C182" s="44"/>
    </row>
    <row r="183" spans="1:4" s="17" customFormat="1" ht="16.5" thickBot="1" x14ac:dyDescent="0.25">
      <c r="A183" s="29">
        <f>IF(RFQ!D17="",0,RFQ!A17)</f>
        <v>0</v>
      </c>
      <c r="B183" s="29">
        <f>IF(C183=0,0, "FID "&amp;RFQ!C17)</f>
        <v>0</v>
      </c>
      <c r="C183" s="37">
        <f>RFQ!D17</f>
        <v>0</v>
      </c>
    </row>
    <row r="184" spans="1:4" x14ac:dyDescent="0.25">
      <c r="A184" s="278" t="s">
        <v>21</v>
      </c>
      <c r="B184" s="279"/>
      <c r="C184" s="30">
        <f>RFQ!E17</f>
        <v>0</v>
      </c>
    </row>
    <row r="185" spans="1:4" x14ac:dyDescent="0.25">
      <c r="A185" s="268" t="s">
        <v>22</v>
      </c>
      <c r="B185" s="269"/>
      <c r="C185" s="34">
        <f>RFQ!F17</f>
        <v>0</v>
      </c>
    </row>
    <row r="186" spans="1:4" x14ac:dyDescent="0.25">
      <c r="A186" s="268" t="s">
        <v>23</v>
      </c>
      <c r="B186" s="269"/>
      <c r="C186" s="34">
        <f>RFQ!G17</f>
        <v>0</v>
      </c>
    </row>
    <row r="187" spans="1:4" x14ac:dyDescent="0.25">
      <c r="A187" s="268" t="s">
        <v>24</v>
      </c>
      <c r="B187" s="269"/>
      <c r="C187" s="34">
        <f>RFQ!K17</f>
        <v>0</v>
      </c>
      <c r="D187" s="19"/>
    </row>
    <row r="188" spans="1:4" ht="15.75" thickBot="1" x14ac:dyDescent="0.3">
      <c r="A188" s="270" t="s">
        <v>25</v>
      </c>
      <c r="B188" s="271"/>
      <c r="C188" s="31"/>
      <c r="D188" s="19"/>
    </row>
    <row r="189" spans="1:4" ht="15.75" x14ac:dyDescent="0.3">
      <c r="A189" s="272" t="s">
        <v>26</v>
      </c>
      <c r="B189" s="273"/>
      <c r="C189" s="42"/>
      <c r="D189" s="20"/>
    </row>
    <row r="190" spans="1:4" ht="16.5" thickBot="1" x14ac:dyDescent="0.35">
      <c r="A190" s="274" t="s">
        <v>27</v>
      </c>
      <c r="B190" s="275"/>
      <c r="C190" s="44"/>
      <c r="D190" s="20"/>
    </row>
    <row r="191" spans="1:4" x14ac:dyDescent="0.25">
      <c r="A191" s="272" t="s">
        <v>28</v>
      </c>
      <c r="B191" s="273"/>
      <c r="C191" s="42"/>
    </row>
    <row r="192" spans="1:4" ht="15.75" thickBot="1" x14ac:dyDescent="0.3">
      <c r="A192" s="274" t="s">
        <v>29</v>
      </c>
      <c r="B192" s="275"/>
      <c r="C192" s="44"/>
    </row>
    <row r="193" spans="1:4" x14ac:dyDescent="0.25">
      <c r="A193" s="272" t="s">
        <v>30</v>
      </c>
      <c r="B193" s="273"/>
      <c r="C193" s="42"/>
    </row>
    <row r="194" spans="1:4" ht="15.75" thickBot="1" x14ac:dyDescent="0.3">
      <c r="A194" s="274" t="s">
        <v>31</v>
      </c>
      <c r="B194" s="275"/>
      <c r="C194" s="44"/>
    </row>
    <row r="195" spans="1:4" x14ac:dyDescent="0.25">
      <c r="A195" s="276" t="s">
        <v>32</v>
      </c>
      <c r="B195" s="277"/>
      <c r="C195" s="45"/>
    </row>
    <row r="196" spans="1:4" ht="15.75" thickBot="1" x14ac:dyDescent="0.3">
      <c r="A196" s="274" t="s">
        <v>33</v>
      </c>
      <c r="B196" s="275"/>
      <c r="C196" s="44"/>
    </row>
    <row r="197" spans="1:4" s="17" customFormat="1" ht="16.5" thickBot="1" x14ac:dyDescent="0.25">
      <c r="A197" s="29">
        <f>IF(RFQ!D18="",0,RFQ!A18)</f>
        <v>0</v>
      </c>
      <c r="B197" s="29">
        <f>IF(C197=0,0, "FID "&amp;RFQ!C18)</f>
        <v>0</v>
      </c>
      <c r="C197" s="37">
        <f>RFQ!D18</f>
        <v>0</v>
      </c>
    </row>
    <row r="198" spans="1:4" x14ac:dyDescent="0.25">
      <c r="A198" s="278" t="s">
        <v>21</v>
      </c>
      <c r="B198" s="279"/>
      <c r="C198" s="30">
        <f>RFQ!E18</f>
        <v>0</v>
      </c>
    </row>
    <row r="199" spans="1:4" x14ac:dyDescent="0.25">
      <c r="A199" s="268" t="s">
        <v>22</v>
      </c>
      <c r="B199" s="269"/>
      <c r="C199" s="34">
        <f>RFQ!F18</f>
        <v>0</v>
      </c>
    </row>
    <row r="200" spans="1:4" x14ac:dyDescent="0.25">
      <c r="A200" s="268" t="s">
        <v>23</v>
      </c>
      <c r="B200" s="269"/>
      <c r="C200" s="34">
        <f>RFQ!G18</f>
        <v>0</v>
      </c>
    </row>
    <row r="201" spans="1:4" x14ac:dyDescent="0.25">
      <c r="A201" s="268" t="s">
        <v>24</v>
      </c>
      <c r="B201" s="269"/>
      <c r="C201" s="34">
        <f>RFQ!K18</f>
        <v>0</v>
      </c>
      <c r="D201" s="19"/>
    </row>
    <row r="202" spans="1:4" ht="15.75" thickBot="1" x14ac:dyDescent="0.3">
      <c r="A202" s="270" t="s">
        <v>25</v>
      </c>
      <c r="B202" s="271"/>
      <c r="C202" s="31"/>
      <c r="D202" s="19"/>
    </row>
    <row r="203" spans="1:4" ht="15.75" x14ac:dyDescent="0.3">
      <c r="A203" s="272" t="s">
        <v>26</v>
      </c>
      <c r="B203" s="273"/>
      <c r="C203" s="42"/>
      <c r="D203" s="20"/>
    </row>
    <row r="204" spans="1:4" ht="16.5" thickBot="1" x14ac:dyDescent="0.35">
      <c r="A204" s="274" t="s">
        <v>27</v>
      </c>
      <c r="B204" s="275"/>
      <c r="C204" s="44"/>
      <c r="D204" s="20"/>
    </row>
    <row r="205" spans="1:4" x14ac:dyDescent="0.25">
      <c r="A205" s="272" t="s">
        <v>28</v>
      </c>
      <c r="B205" s="273"/>
      <c r="C205" s="42"/>
    </row>
    <row r="206" spans="1:4" ht="15.75" thickBot="1" x14ac:dyDescent="0.3">
      <c r="A206" s="274" t="s">
        <v>29</v>
      </c>
      <c r="B206" s="275"/>
      <c r="C206" s="44"/>
    </row>
    <row r="207" spans="1:4" x14ac:dyDescent="0.25">
      <c r="A207" s="272" t="s">
        <v>30</v>
      </c>
      <c r="B207" s="273"/>
      <c r="C207" s="42"/>
    </row>
    <row r="208" spans="1:4" ht="15.75" thickBot="1" x14ac:dyDescent="0.3">
      <c r="A208" s="274" t="s">
        <v>31</v>
      </c>
      <c r="B208" s="275"/>
      <c r="C208" s="44"/>
    </row>
    <row r="209" spans="1:4" x14ac:dyDescent="0.25">
      <c r="A209" s="276" t="s">
        <v>32</v>
      </c>
      <c r="B209" s="277"/>
      <c r="C209" s="45"/>
    </row>
    <row r="210" spans="1:4" ht="15.75" thickBot="1" x14ac:dyDescent="0.3">
      <c r="A210" s="274" t="s">
        <v>33</v>
      </c>
      <c r="B210" s="275"/>
      <c r="C210" s="44"/>
    </row>
    <row r="211" spans="1:4" s="17" customFormat="1" ht="16.5" thickBot="1" x14ac:dyDescent="0.25">
      <c r="A211" s="29">
        <f>IF(RFQ!D19="",0,RFQ!A19)</f>
        <v>0</v>
      </c>
      <c r="B211" s="29">
        <f>IF(C211=0,0, "FID "&amp;RFQ!C19)</f>
        <v>0</v>
      </c>
      <c r="C211" s="37">
        <f>RFQ!D19</f>
        <v>0</v>
      </c>
    </row>
    <row r="212" spans="1:4" x14ac:dyDescent="0.25">
      <c r="A212" s="278" t="s">
        <v>21</v>
      </c>
      <c r="B212" s="279"/>
      <c r="C212" s="30">
        <f>RFQ!E19</f>
        <v>0</v>
      </c>
    </row>
    <row r="213" spans="1:4" x14ac:dyDescent="0.25">
      <c r="A213" s="268" t="s">
        <v>22</v>
      </c>
      <c r="B213" s="269"/>
      <c r="C213" s="34">
        <f>RFQ!F19</f>
        <v>0</v>
      </c>
    </row>
    <row r="214" spans="1:4" x14ac:dyDescent="0.25">
      <c r="A214" s="268" t="s">
        <v>23</v>
      </c>
      <c r="B214" s="269"/>
      <c r="C214" s="34">
        <f>RFQ!G19</f>
        <v>0</v>
      </c>
    </row>
    <row r="215" spans="1:4" x14ac:dyDescent="0.25">
      <c r="A215" s="268" t="s">
        <v>24</v>
      </c>
      <c r="B215" s="269"/>
      <c r="C215" s="34">
        <f>RFQ!K19</f>
        <v>0</v>
      </c>
      <c r="D215" s="19"/>
    </row>
    <row r="216" spans="1:4" ht="15.75" thickBot="1" x14ac:dyDescent="0.3">
      <c r="A216" s="270" t="s">
        <v>25</v>
      </c>
      <c r="B216" s="271"/>
      <c r="C216" s="31"/>
      <c r="D216" s="19"/>
    </row>
    <row r="217" spans="1:4" ht="15.75" x14ac:dyDescent="0.3">
      <c r="A217" s="272" t="s">
        <v>26</v>
      </c>
      <c r="B217" s="273"/>
      <c r="C217" s="42"/>
      <c r="D217" s="20"/>
    </row>
    <row r="218" spans="1:4" ht="16.5" thickBot="1" x14ac:dyDescent="0.35">
      <c r="A218" s="274" t="s">
        <v>27</v>
      </c>
      <c r="B218" s="275"/>
      <c r="C218" s="44"/>
      <c r="D218" s="20"/>
    </row>
    <row r="219" spans="1:4" x14ac:dyDescent="0.25">
      <c r="A219" s="272" t="s">
        <v>28</v>
      </c>
      <c r="B219" s="273"/>
      <c r="C219" s="42"/>
    </row>
    <row r="220" spans="1:4" ht="15.75" thickBot="1" x14ac:dyDescent="0.3">
      <c r="A220" s="274" t="s">
        <v>29</v>
      </c>
      <c r="B220" s="275"/>
      <c r="C220" s="44"/>
    </row>
    <row r="221" spans="1:4" x14ac:dyDescent="0.25">
      <c r="A221" s="272" t="s">
        <v>30</v>
      </c>
      <c r="B221" s="273"/>
      <c r="C221" s="42"/>
    </row>
    <row r="222" spans="1:4" ht="15.75" thickBot="1" x14ac:dyDescent="0.3">
      <c r="A222" s="274" t="s">
        <v>31</v>
      </c>
      <c r="B222" s="275"/>
      <c r="C222" s="44"/>
    </row>
    <row r="223" spans="1:4" x14ac:dyDescent="0.25">
      <c r="A223" s="276" t="s">
        <v>32</v>
      </c>
      <c r="B223" s="277"/>
      <c r="C223" s="45"/>
    </row>
    <row r="224" spans="1:4" ht="15.75" thickBot="1" x14ac:dyDescent="0.3">
      <c r="A224" s="274" t="s">
        <v>33</v>
      </c>
      <c r="B224" s="275"/>
      <c r="C224" s="44"/>
    </row>
    <row r="225" spans="1:4" s="17" customFormat="1" ht="16.5" thickBot="1" x14ac:dyDescent="0.25">
      <c r="A225" s="29">
        <f>IF(RFQ!D20="",0,RFQ!A20)</f>
        <v>0</v>
      </c>
      <c r="B225" s="29">
        <f>IF(C225=0,0, "FID "&amp;RFQ!C20)</f>
        <v>0</v>
      </c>
      <c r="C225" s="37">
        <f>RFQ!D20</f>
        <v>0</v>
      </c>
    </row>
    <row r="226" spans="1:4" x14ac:dyDescent="0.25">
      <c r="A226" s="278" t="s">
        <v>21</v>
      </c>
      <c r="B226" s="279"/>
      <c r="C226" s="30">
        <f>RFQ!E20</f>
        <v>0</v>
      </c>
    </row>
    <row r="227" spans="1:4" x14ac:dyDescent="0.25">
      <c r="A227" s="268" t="s">
        <v>22</v>
      </c>
      <c r="B227" s="269"/>
      <c r="C227" s="34">
        <f>RFQ!F20</f>
        <v>0</v>
      </c>
    </row>
    <row r="228" spans="1:4" x14ac:dyDescent="0.25">
      <c r="A228" s="268" t="s">
        <v>23</v>
      </c>
      <c r="B228" s="269"/>
      <c r="C228" s="34">
        <f>RFQ!G20</f>
        <v>0</v>
      </c>
    </row>
    <row r="229" spans="1:4" x14ac:dyDescent="0.25">
      <c r="A229" s="268" t="s">
        <v>24</v>
      </c>
      <c r="B229" s="269"/>
      <c r="C229" s="34">
        <f>RFQ!K20</f>
        <v>0</v>
      </c>
      <c r="D229" s="19"/>
    </row>
    <row r="230" spans="1:4" ht="15.75" thickBot="1" x14ac:dyDescent="0.3">
      <c r="A230" s="270" t="s">
        <v>25</v>
      </c>
      <c r="B230" s="271"/>
      <c r="C230" s="31"/>
      <c r="D230" s="19"/>
    </row>
    <row r="231" spans="1:4" ht="15.75" x14ac:dyDescent="0.3">
      <c r="A231" s="272" t="s">
        <v>26</v>
      </c>
      <c r="B231" s="273"/>
      <c r="C231" s="42"/>
      <c r="D231" s="20"/>
    </row>
    <row r="232" spans="1:4" ht="16.5" thickBot="1" x14ac:dyDescent="0.35">
      <c r="A232" s="274" t="s">
        <v>27</v>
      </c>
      <c r="B232" s="275"/>
      <c r="C232" s="44"/>
      <c r="D232" s="20"/>
    </row>
    <row r="233" spans="1:4" x14ac:dyDescent="0.25">
      <c r="A233" s="272" t="s">
        <v>28</v>
      </c>
      <c r="B233" s="273"/>
      <c r="C233" s="42"/>
    </row>
    <row r="234" spans="1:4" ht="15.75" thickBot="1" x14ac:dyDescent="0.3">
      <c r="A234" s="274" t="s">
        <v>29</v>
      </c>
      <c r="B234" s="275"/>
      <c r="C234" s="44"/>
    </row>
    <row r="235" spans="1:4" x14ac:dyDescent="0.25">
      <c r="A235" s="272" t="s">
        <v>30</v>
      </c>
      <c r="B235" s="273"/>
      <c r="C235" s="42"/>
    </row>
    <row r="236" spans="1:4" ht="15.75" thickBot="1" x14ac:dyDescent="0.3">
      <c r="A236" s="274" t="s">
        <v>31</v>
      </c>
      <c r="B236" s="275"/>
      <c r="C236" s="44"/>
    </row>
    <row r="237" spans="1:4" x14ac:dyDescent="0.25">
      <c r="A237" s="276" t="s">
        <v>32</v>
      </c>
      <c r="B237" s="277"/>
      <c r="C237" s="45"/>
    </row>
    <row r="238" spans="1:4" ht="15.75" thickBot="1" x14ac:dyDescent="0.3">
      <c r="A238" s="274" t="s">
        <v>33</v>
      </c>
      <c r="B238" s="275"/>
      <c r="C238" s="44"/>
    </row>
    <row r="239" spans="1:4" s="17" customFormat="1" ht="16.5" thickBot="1" x14ac:dyDescent="0.25">
      <c r="A239" s="29">
        <f>IF(RFQ!D21="",0,RFQ!A21)</f>
        <v>0</v>
      </c>
      <c r="B239" s="29">
        <f>IF(C239=0,0, "FID "&amp;RFQ!C21)</f>
        <v>0</v>
      </c>
      <c r="C239" s="37">
        <f>RFQ!D21</f>
        <v>0</v>
      </c>
    </row>
    <row r="240" spans="1:4" x14ac:dyDescent="0.25">
      <c r="A240" s="278" t="s">
        <v>21</v>
      </c>
      <c r="B240" s="279"/>
      <c r="C240" s="30">
        <f>RFQ!E21</f>
        <v>0</v>
      </c>
    </row>
    <row r="241" spans="1:4" x14ac:dyDescent="0.25">
      <c r="A241" s="268" t="s">
        <v>22</v>
      </c>
      <c r="B241" s="269"/>
      <c r="C241" s="34">
        <f>RFQ!F21</f>
        <v>0</v>
      </c>
    </row>
    <row r="242" spans="1:4" x14ac:dyDescent="0.25">
      <c r="A242" s="268" t="s">
        <v>23</v>
      </c>
      <c r="B242" s="269"/>
      <c r="C242" s="34">
        <f>RFQ!G21</f>
        <v>0</v>
      </c>
    </row>
    <row r="243" spans="1:4" x14ac:dyDescent="0.25">
      <c r="A243" s="268" t="s">
        <v>24</v>
      </c>
      <c r="B243" s="269"/>
      <c r="C243" s="34">
        <f>RFQ!K21</f>
        <v>0</v>
      </c>
      <c r="D243" s="19"/>
    </row>
    <row r="244" spans="1:4" ht="15.75" thickBot="1" x14ac:dyDescent="0.3">
      <c r="A244" s="270" t="s">
        <v>25</v>
      </c>
      <c r="B244" s="271"/>
      <c r="C244" s="31"/>
      <c r="D244" s="19"/>
    </row>
    <row r="245" spans="1:4" ht="15.75" x14ac:dyDescent="0.3">
      <c r="A245" s="272" t="s">
        <v>26</v>
      </c>
      <c r="B245" s="273"/>
      <c r="C245" s="42"/>
      <c r="D245" s="20"/>
    </row>
    <row r="246" spans="1:4" ht="16.5" thickBot="1" x14ac:dyDescent="0.35">
      <c r="A246" s="274" t="s">
        <v>27</v>
      </c>
      <c r="B246" s="275"/>
      <c r="C246" s="44"/>
      <c r="D246" s="20"/>
    </row>
    <row r="247" spans="1:4" x14ac:dyDescent="0.25">
      <c r="A247" s="272" t="s">
        <v>28</v>
      </c>
      <c r="B247" s="273"/>
      <c r="C247" s="42"/>
    </row>
    <row r="248" spans="1:4" ht="15.75" thickBot="1" x14ac:dyDescent="0.3">
      <c r="A248" s="274" t="s">
        <v>29</v>
      </c>
      <c r="B248" s="275"/>
      <c r="C248" s="44"/>
    </row>
    <row r="249" spans="1:4" x14ac:dyDescent="0.25">
      <c r="A249" s="272" t="s">
        <v>30</v>
      </c>
      <c r="B249" s="273"/>
      <c r="C249" s="42"/>
    </row>
    <row r="250" spans="1:4" ht="15.75" thickBot="1" x14ac:dyDescent="0.3">
      <c r="A250" s="274" t="s">
        <v>31</v>
      </c>
      <c r="B250" s="275"/>
      <c r="C250" s="44"/>
    </row>
    <row r="251" spans="1:4" x14ac:dyDescent="0.25">
      <c r="A251" s="276" t="s">
        <v>32</v>
      </c>
      <c r="B251" s="277"/>
      <c r="C251" s="45"/>
    </row>
    <row r="252" spans="1:4" ht="15.75" thickBot="1" x14ac:dyDescent="0.3">
      <c r="A252" s="274" t="s">
        <v>33</v>
      </c>
      <c r="B252" s="275"/>
      <c r="C252" s="44"/>
    </row>
    <row r="253" spans="1:4" s="17" customFormat="1" ht="16.5" thickBot="1" x14ac:dyDescent="0.25">
      <c r="A253" s="29">
        <f>IF(RFQ!D22="",0,RFQ!A22)</f>
        <v>0</v>
      </c>
      <c r="B253" s="29">
        <f>IF(C253=0,0, "FID "&amp;RFQ!C22)</f>
        <v>0</v>
      </c>
      <c r="C253" s="37">
        <f>RFQ!D22</f>
        <v>0</v>
      </c>
    </row>
    <row r="254" spans="1:4" x14ac:dyDescent="0.25">
      <c r="A254" s="278" t="s">
        <v>21</v>
      </c>
      <c r="B254" s="279"/>
      <c r="C254" s="30">
        <f>RFQ!E22</f>
        <v>0</v>
      </c>
    </row>
    <row r="255" spans="1:4" x14ac:dyDescent="0.25">
      <c r="A255" s="268" t="s">
        <v>22</v>
      </c>
      <c r="B255" s="269"/>
      <c r="C255" s="34">
        <f>RFQ!F22</f>
        <v>0</v>
      </c>
    </row>
    <row r="256" spans="1:4" x14ac:dyDescent="0.25">
      <c r="A256" s="268" t="s">
        <v>23</v>
      </c>
      <c r="B256" s="269"/>
      <c r="C256" s="34">
        <f>RFQ!G22</f>
        <v>0</v>
      </c>
    </row>
    <row r="257" spans="1:4" x14ac:dyDescent="0.25">
      <c r="A257" s="268" t="s">
        <v>24</v>
      </c>
      <c r="B257" s="269"/>
      <c r="C257" s="34">
        <f>RFQ!K22</f>
        <v>0</v>
      </c>
      <c r="D257" s="19"/>
    </row>
    <row r="258" spans="1:4" ht="15.75" thickBot="1" x14ac:dyDescent="0.3">
      <c r="A258" s="270" t="s">
        <v>25</v>
      </c>
      <c r="B258" s="271"/>
      <c r="C258" s="31"/>
      <c r="D258" s="19"/>
    </row>
    <row r="259" spans="1:4" ht="15.75" x14ac:dyDescent="0.3">
      <c r="A259" s="272" t="s">
        <v>26</v>
      </c>
      <c r="B259" s="273"/>
      <c r="C259" s="42"/>
      <c r="D259" s="20"/>
    </row>
    <row r="260" spans="1:4" ht="16.5" thickBot="1" x14ac:dyDescent="0.35">
      <c r="A260" s="274" t="s">
        <v>27</v>
      </c>
      <c r="B260" s="275"/>
      <c r="C260" s="44"/>
      <c r="D260" s="20"/>
    </row>
    <row r="261" spans="1:4" x14ac:dyDescent="0.25">
      <c r="A261" s="272" t="s">
        <v>28</v>
      </c>
      <c r="B261" s="273"/>
      <c r="C261" s="42"/>
    </row>
    <row r="262" spans="1:4" ht="15.75" thickBot="1" x14ac:dyDescent="0.3">
      <c r="A262" s="274" t="s">
        <v>29</v>
      </c>
      <c r="B262" s="275"/>
      <c r="C262" s="44"/>
    </row>
    <row r="263" spans="1:4" x14ac:dyDescent="0.25">
      <c r="A263" s="272" t="s">
        <v>30</v>
      </c>
      <c r="B263" s="273"/>
      <c r="C263" s="42"/>
    </row>
    <row r="264" spans="1:4" ht="15.75" thickBot="1" x14ac:dyDescent="0.3">
      <c r="A264" s="274" t="s">
        <v>31</v>
      </c>
      <c r="B264" s="275"/>
      <c r="C264" s="44"/>
    </row>
    <row r="265" spans="1:4" x14ac:dyDescent="0.25">
      <c r="A265" s="276" t="s">
        <v>32</v>
      </c>
      <c r="B265" s="277"/>
      <c r="C265" s="45"/>
    </row>
    <row r="266" spans="1:4" ht="15.75" thickBot="1" x14ac:dyDescent="0.3">
      <c r="A266" s="274" t="s">
        <v>33</v>
      </c>
      <c r="B266" s="275"/>
      <c r="C266" s="44"/>
    </row>
    <row r="267" spans="1:4" s="17" customFormat="1" ht="16.5" thickBot="1" x14ac:dyDescent="0.25">
      <c r="A267" s="29">
        <f>IF(RFQ!D23="",0,RFQ!A23)</f>
        <v>0</v>
      </c>
      <c r="B267" s="29">
        <f>IF(C267=0,0, "FID "&amp;RFQ!C23)</f>
        <v>0</v>
      </c>
      <c r="C267" s="37">
        <f>RFQ!D23</f>
        <v>0</v>
      </c>
    </row>
    <row r="268" spans="1:4" x14ac:dyDescent="0.25">
      <c r="A268" s="278" t="s">
        <v>21</v>
      </c>
      <c r="B268" s="279"/>
      <c r="C268" s="30">
        <f>RFQ!E23</f>
        <v>0</v>
      </c>
    </row>
    <row r="269" spans="1:4" x14ac:dyDescent="0.25">
      <c r="A269" s="268" t="s">
        <v>22</v>
      </c>
      <c r="B269" s="269"/>
      <c r="C269" s="34">
        <f>RFQ!F23</f>
        <v>0</v>
      </c>
    </row>
    <row r="270" spans="1:4" x14ac:dyDescent="0.25">
      <c r="A270" s="268" t="s">
        <v>23</v>
      </c>
      <c r="B270" s="269"/>
      <c r="C270" s="34">
        <f>RFQ!G23</f>
        <v>0</v>
      </c>
    </row>
    <row r="271" spans="1:4" x14ac:dyDescent="0.25">
      <c r="A271" s="268" t="s">
        <v>24</v>
      </c>
      <c r="B271" s="269"/>
      <c r="C271" s="34">
        <f>RFQ!K23</f>
        <v>0</v>
      </c>
      <c r="D271" s="19"/>
    </row>
    <row r="272" spans="1:4" ht="15.75" thickBot="1" x14ac:dyDescent="0.3">
      <c r="A272" s="270" t="s">
        <v>25</v>
      </c>
      <c r="B272" s="271"/>
      <c r="C272" s="31"/>
      <c r="D272" s="19"/>
    </row>
    <row r="273" spans="1:4" ht="15.75" x14ac:dyDescent="0.3">
      <c r="A273" s="272" t="s">
        <v>26</v>
      </c>
      <c r="B273" s="273"/>
      <c r="C273" s="42"/>
      <c r="D273" s="20"/>
    </row>
    <row r="274" spans="1:4" ht="16.5" thickBot="1" x14ac:dyDescent="0.35">
      <c r="A274" s="274" t="s">
        <v>27</v>
      </c>
      <c r="B274" s="275"/>
      <c r="C274" s="44"/>
      <c r="D274" s="20"/>
    </row>
    <row r="275" spans="1:4" x14ac:dyDescent="0.25">
      <c r="A275" s="272" t="s">
        <v>28</v>
      </c>
      <c r="B275" s="273"/>
      <c r="C275" s="42"/>
    </row>
    <row r="276" spans="1:4" ht="15.75" thickBot="1" x14ac:dyDescent="0.3">
      <c r="A276" s="274" t="s">
        <v>29</v>
      </c>
      <c r="B276" s="275"/>
      <c r="C276" s="44"/>
    </row>
    <row r="277" spans="1:4" x14ac:dyDescent="0.25">
      <c r="A277" s="272" t="s">
        <v>30</v>
      </c>
      <c r="B277" s="273"/>
      <c r="C277" s="42"/>
    </row>
    <row r="278" spans="1:4" ht="15.75" thickBot="1" x14ac:dyDescent="0.3">
      <c r="A278" s="274" t="s">
        <v>31</v>
      </c>
      <c r="B278" s="275"/>
      <c r="C278" s="44"/>
    </row>
    <row r="279" spans="1:4" x14ac:dyDescent="0.25">
      <c r="A279" s="276" t="s">
        <v>32</v>
      </c>
      <c r="B279" s="277"/>
      <c r="C279" s="45"/>
    </row>
    <row r="280" spans="1:4" ht="15.75" thickBot="1" x14ac:dyDescent="0.3">
      <c r="A280" s="274" t="s">
        <v>33</v>
      </c>
      <c r="B280" s="275"/>
      <c r="C280" s="44"/>
    </row>
    <row r="281" spans="1:4" s="17" customFormat="1" ht="16.5" thickBot="1" x14ac:dyDescent="0.25">
      <c r="A281" s="29">
        <f>IF(RFQ!D24="",0,RFQ!A24)</f>
        <v>0</v>
      </c>
      <c r="B281" s="29">
        <f>IF(C281=0,0, "FID "&amp;RFQ!C24)</f>
        <v>0</v>
      </c>
      <c r="C281" s="37">
        <f>RFQ!D24</f>
        <v>0</v>
      </c>
    </row>
    <row r="282" spans="1:4" x14ac:dyDescent="0.25">
      <c r="A282" s="278" t="s">
        <v>21</v>
      </c>
      <c r="B282" s="279"/>
      <c r="C282" s="30">
        <f>RFQ!E24</f>
        <v>0</v>
      </c>
    </row>
    <row r="283" spans="1:4" x14ac:dyDescent="0.25">
      <c r="A283" s="268" t="s">
        <v>22</v>
      </c>
      <c r="B283" s="269"/>
      <c r="C283" s="34">
        <f>RFQ!F24</f>
        <v>0</v>
      </c>
    </row>
    <row r="284" spans="1:4" x14ac:dyDescent="0.25">
      <c r="A284" s="268" t="s">
        <v>23</v>
      </c>
      <c r="B284" s="269"/>
      <c r="C284" s="34">
        <f>RFQ!G24</f>
        <v>0</v>
      </c>
    </row>
    <row r="285" spans="1:4" x14ac:dyDescent="0.25">
      <c r="A285" s="268" t="s">
        <v>24</v>
      </c>
      <c r="B285" s="269"/>
      <c r="C285" s="34">
        <f>RFQ!K24</f>
        <v>0</v>
      </c>
      <c r="D285" s="19"/>
    </row>
    <row r="286" spans="1:4" ht="15.75" thickBot="1" x14ac:dyDescent="0.3">
      <c r="A286" s="270" t="s">
        <v>25</v>
      </c>
      <c r="B286" s="271"/>
      <c r="C286" s="31"/>
      <c r="D286" s="19"/>
    </row>
    <row r="287" spans="1:4" ht="15.75" x14ac:dyDescent="0.3">
      <c r="A287" s="272" t="s">
        <v>26</v>
      </c>
      <c r="B287" s="273"/>
      <c r="C287" s="42"/>
      <c r="D287" s="20"/>
    </row>
    <row r="288" spans="1:4" ht="16.5" thickBot="1" x14ac:dyDescent="0.35">
      <c r="A288" s="274" t="s">
        <v>27</v>
      </c>
      <c r="B288" s="275"/>
      <c r="C288" s="44"/>
      <c r="D288" s="20"/>
    </row>
    <row r="289" spans="1:4" x14ac:dyDescent="0.25">
      <c r="A289" s="272" t="s">
        <v>28</v>
      </c>
      <c r="B289" s="273"/>
      <c r="C289" s="42"/>
    </row>
    <row r="290" spans="1:4" ht="15.75" thickBot="1" x14ac:dyDescent="0.3">
      <c r="A290" s="274" t="s">
        <v>29</v>
      </c>
      <c r="B290" s="275"/>
      <c r="C290" s="44"/>
    </row>
    <row r="291" spans="1:4" x14ac:dyDescent="0.25">
      <c r="A291" s="272" t="s">
        <v>30</v>
      </c>
      <c r="B291" s="273"/>
      <c r="C291" s="42"/>
    </row>
    <row r="292" spans="1:4" ht="15.75" thickBot="1" x14ac:dyDescent="0.3">
      <c r="A292" s="274" t="s">
        <v>31</v>
      </c>
      <c r="B292" s="275"/>
      <c r="C292" s="44"/>
    </row>
    <row r="293" spans="1:4" x14ac:dyDescent="0.25">
      <c r="A293" s="276" t="s">
        <v>32</v>
      </c>
      <c r="B293" s="277"/>
      <c r="C293" s="45"/>
    </row>
    <row r="294" spans="1:4" ht="15.75" thickBot="1" x14ac:dyDescent="0.3">
      <c r="A294" s="274" t="s">
        <v>33</v>
      </c>
      <c r="B294" s="275"/>
      <c r="C294" s="44"/>
    </row>
    <row r="295" spans="1:4" s="17" customFormat="1" ht="16.5" thickBot="1" x14ac:dyDescent="0.25">
      <c r="A295" s="29">
        <f>IF(RFQ!D25="",0,RFQ!A25)</f>
        <v>0</v>
      </c>
      <c r="B295" s="29">
        <f>IF(C295=0,0, "FID "&amp;RFQ!C25)</f>
        <v>0</v>
      </c>
      <c r="C295" s="37">
        <f>RFQ!D25</f>
        <v>0</v>
      </c>
    </row>
    <row r="296" spans="1:4" x14ac:dyDescent="0.25">
      <c r="A296" s="278" t="s">
        <v>21</v>
      </c>
      <c r="B296" s="279"/>
      <c r="C296" s="30">
        <f>RFQ!E25</f>
        <v>0</v>
      </c>
    </row>
    <row r="297" spans="1:4" x14ac:dyDescent="0.25">
      <c r="A297" s="268" t="s">
        <v>22</v>
      </c>
      <c r="B297" s="269"/>
      <c r="C297" s="34">
        <f>RFQ!F25</f>
        <v>0</v>
      </c>
    </row>
    <row r="298" spans="1:4" x14ac:dyDescent="0.25">
      <c r="A298" s="268" t="s">
        <v>23</v>
      </c>
      <c r="B298" s="269"/>
      <c r="C298" s="34">
        <f>RFQ!G25</f>
        <v>0</v>
      </c>
    </row>
    <row r="299" spans="1:4" x14ac:dyDescent="0.25">
      <c r="A299" s="268" t="s">
        <v>24</v>
      </c>
      <c r="B299" s="269"/>
      <c r="C299" s="34">
        <f>RFQ!K25</f>
        <v>0</v>
      </c>
      <c r="D299" s="19"/>
    </row>
    <row r="300" spans="1:4" ht="15.75" thickBot="1" x14ac:dyDescent="0.3">
      <c r="A300" s="270" t="s">
        <v>25</v>
      </c>
      <c r="B300" s="271"/>
      <c r="C300" s="31"/>
      <c r="D300" s="19"/>
    </row>
    <row r="301" spans="1:4" ht="15.75" x14ac:dyDescent="0.3">
      <c r="A301" s="272" t="s">
        <v>26</v>
      </c>
      <c r="B301" s="273"/>
      <c r="C301" s="42"/>
      <c r="D301" s="20"/>
    </row>
    <row r="302" spans="1:4" ht="16.5" thickBot="1" x14ac:dyDescent="0.35">
      <c r="A302" s="274" t="s">
        <v>27</v>
      </c>
      <c r="B302" s="275"/>
      <c r="C302" s="44"/>
      <c r="D302" s="20"/>
    </row>
    <row r="303" spans="1:4" x14ac:dyDescent="0.25">
      <c r="A303" s="272" t="s">
        <v>28</v>
      </c>
      <c r="B303" s="273"/>
      <c r="C303" s="42"/>
    </row>
    <row r="304" spans="1:4" ht="15.75" thickBot="1" x14ac:dyDescent="0.3">
      <c r="A304" s="274" t="s">
        <v>29</v>
      </c>
      <c r="B304" s="275"/>
      <c r="C304" s="44"/>
    </row>
    <row r="305" spans="1:4" x14ac:dyDescent="0.25">
      <c r="A305" s="272" t="s">
        <v>30</v>
      </c>
      <c r="B305" s="273"/>
      <c r="C305" s="42"/>
    </row>
    <row r="306" spans="1:4" ht="15.75" thickBot="1" x14ac:dyDescent="0.3">
      <c r="A306" s="274" t="s">
        <v>31</v>
      </c>
      <c r="B306" s="275"/>
      <c r="C306" s="44"/>
    </row>
    <row r="307" spans="1:4" x14ac:dyDescent="0.25">
      <c r="A307" s="276" t="s">
        <v>32</v>
      </c>
      <c r="B307" s="277"/>
      <c r="C307" s="45"/>
    </row>
    <row r="308" spans="1:4" ht="15.75" thickBot="1" x14ac:dyDescent="0.3">
      <c r="A308" s="274" t="s">
        <v>33</v>
      </c>
      <c r="B308" s="275"/>
      <c r="C308" s="44"/>
    </row>
    <row r="309" spans="1:4" s="17" customFormat="1" ht="16.5" thickBot="1" x14ac:dyDescent="0.25">
      <c r="A309" s="29">
        <f>IF(RFQ!D26="",0,RFQ!A26)</f>
        <v>0</v>
      </c>
      <c r="B309" s="29">
        <f>IF(C309=0,0, "FID "&amp;RFQ!C26)</f>
        <v>0</v>
      </c>
      <c r="C309" s="37">
        <f>RFQ!D26</f>
        <v>0</v>
      </c>
    </row>
    <row r="310" spans="1:4" x14ac:dyDescent="0.25">
      <c r="A310" s="278" t="s">
        <v>21</v>
      </c>
      <c r="B310" s="279"/>
      <c r="C310" s="30">
        <f>RFQ!E26</f>
        <v>0</v>
      </c>
    </row>
    <row r="311" spans="1:4" x14ac:dyDescent="0.25">
      <c r="A311" s="268" t="s">
        <v>22</v>
      </c>
      <c r="B311" s="269"/>
      <c r="C311" s="34">
        <f>RFQ!F26</f>
        <v>0</v>
      </c>
    </row>
    <row r="312" spans="1:4" x14ac:dyDescent="0.25">
      <c r="A312" s="268" t="s">
        <v>23</v>
      </c>
      <c r="B312" s="269"/>
      <c r="C312" s="34">
        <f>RFQ!G26</f>
        <v>0</v>
      </c>
    </row>
    <row r="313" spans="1:4" x14ac:dyDescent="0.25">
      <c r="A313" s="268" t="s">
        <v>24</v>
      </c>
      <c r="B313" s="269"/>
      <c r="C313" s="34">
        <f>RFQ!K26</f>
        <v>0</v>
      </c>
      <c r="D313" s="19"/>
    </row>
    <row r="314" spans="1:4" ht="15.75" thickBot="1" x14ac:dyDescent="0.3">
      <c r="A314" s="270" t="s">
        <v>25</v>
      </c>
      <c r="B314" s="271"/>
      <c r="C314" s="31"/>
      <c r="D314" s="19"/>
    </row>
    <row r="315" spans="1:4" ht="15.75" x14ac:dyDescent="0.3">
      <c r="A315" s="272" t="s">
        <v>26</v>
      </c>
      <c r="B315" s="273"/>
      <c r="C315" s="42"/>
      <c r="D315" s="20"/>
    </row>
    <row r="316" spans="1:4" ht="16.5" thickBot="1" x14ac:dyDescent="0.35">
      <c r="A316" s="274" t="s">
        <v>27</v>
      </c>
      <c r="B316" s="275"/>
      <c r="C316" s="44"/>
      <c r="D316" s="20"/>
    </row>
    <row r="317" spans="1:4" x14ac:dyDescent="0.25">
      <c r="A317" s="272" t="s">
        <v>28</v>
      </c>
      <c r="B317" s="273"/>
      <c r="C317" s="42"/>
    </row>
    <row r="318" spans="1:4" ht="15.75" thickBot="1" x14ac:dyDescent="0.3">
      <c r="A318" s="274" t="s">
        <v>29</v>
      </c>
      <c r="B318" s="275"/>
      <c r="C318" s="44"/>
    </row>
    <row r="319" spans="1:4" x14ac:dyDescent="0.25">
      <c r="A319" s="272" t="s">
        <v>30</v>
      </c>
      <c r="B319" s="273"/>
      <c r="C319" s="42"/>
    </row>
    <row r="320" spans="1:4" ht="15.75" thickBot="1" x14ac:dyDescent="0.3">
      <c r="A320" s="274" t="s">
        <v>31</v>
      </c>
      <c r="B320" s="275"/>
      <c r="C320" s="44"/>
    </row>
    <row r="321" spans="1:4" x14ac:dyDescent="0.25">
      <c r="A321" s="276" t="s">
        <v>32</v>
      </c>
      <c r="B321" s="277"/>
      <c r="C321" s="45"/>
    </row>
    <row r="322" spans="1:4" ht="15.75" thickBot="1" x14ac:dyDescent="0.3">
      <c r="A322" s="274" t="s">
        <v>33</v>
      </c>
      <c r="B322" s="275"/>
      <c r="C322" s="44"/>
    </row>
    <row r="323" spans="1:4" s="17" customFormat="1" ht="16.5" thickBot="1" x14ac:dyDescent="0.25">
      <c r="A323" s="29">
        <f>IF(RFQ!D27="",0,RFQ!A27)</f>
        <v>0</v>
      </c>
      <c r="B323" s="29">
        <f>IF(C323=0,0, "FID "&amp;RFQ!C27)</f>
        <v>0</v>
      </c>
      <c r="C323" s="37">
        <f>RFQ!D27</f>
        <v>0</v>
      </c>
    </row>
    <row r="324" spans="1:4" ht="15" customHeight="1" x14ac:dyDescent="0.25">
      <c r="A324" s="282" t="s">
        <v>21</v>
      </c>
      <c r="B324" s="283"/>
      <c r="C324" s="30">
        <f>RFQ!E27</f>
        <v>0</v>
      </c>
    </row>
    <row r="325" spans="1:4" x14ac:dyDescent="0.25">
      <c r="A325" s="268" t="s">
        <v>22</v>
      </c>
      <c r="B325" s="269"/>
      <c r="C325" s="34">
        <f>RFQ!F27</f>
        <v>0</v>
      </c>
    </row>
    <row r="326" spans="1:4" x14ac:dyDescent="0.25">
      <c r="A326" s="268" t="s">
        <v>23</v>
      </c>
      <c r="B326" s="269"/>
      <c r="C326" s="34">
        <f>RFQ!G27</f>
        <v>0</v>
      </c>
    </row>
    <row r="327" spans="1:4" x14ac:dyDescent="0.25">
      <c r="A327" s="268" t="s">
        <v>24</v>
      </c>
      <c r="B327" s="269"/>
      <c r="C327" s="34">
        <f>RFQ!K27</f>
        <v>0</v>
      </c>
      <c r="D327" s="19"/>
    </row>
    <row r="328" spans="1:4" ht="15.75" thickBot="1" x14ac:dyDescent="0.3">
      <c r="A328" s="270" t="s">
        <v>25</v>
      </c>
      <c r="B328" s="271"/>
      <c r="C328" s="31"/>
      <c r="D328" s="19"/>
    </row>
    <row r="329" spans="1:4" ht="15.75" x14ac:dyDescent="0.3">
      <c r="A329" s="272" t="s">
        <v>26</v>
      </c>
      <c r="B329" s="273"/>
      <c r="C329" s="42"/>
      <c r="D329" s="20"/>
    </row>
    <row r="330" spans="1:4" ht="16.5" thickBot="1" x14ac:dyDescent="0.35">
      <c r="A330" s="274" t="s">
        <v>27</v>
      </c>
      <c r="B330" s="275"/>
      <c r="C330" s="44"/>
      <c r="D330" s="20"/>
    </row>
    <row r="331" spans="1:4" x14ac:dyDescent="0.25">
      <c r="A331" s="272" t="s">
        <v>28</v>
      </c>
      <c r="B331" s="273"/>
      <c r="C331" s="42"/>
    </row>
    <row r="332" spans="1:4" ht="15.75" thickBot="1" x14ac:dyDescent="0.3">
      <c r="A332" s="274" t="s">
        <v>29</v>
      </c>
      <c r="B332" s="275"/>
      <c r="C332" s="44"/>
    </row>
    <row r="333" spans="1:4" x14ac:dyDescent="0.25">
      <c r="A333" s="272" t="s">
        <v>30</v>
      </c>
      <c r="B333" s="273"/>
      <c r="C333" s="42"/>
    </row>
    <row r="334" spans="1:4" ht="15.75" thickBot="1" x14ac:dyDescent="0.3">
      <c r="A334" s="274" t="s">
        <v>31</v>
      </c>
      <c r="B334" s="275"/>
      <c r="C334" s="44"/>
    </row>
    <row r="335" spans="1:4" x14ac:dyDescent="0.25">
      <c r="A335" s="276" t="s">
        <v>32</v>
      </c>
      <c r="B335" s="277"/>
      <c r="C335" s="45"/>
    </row>
    <row r="336" spans="1:4" ht="15.75" thickBot="1" x14ac:dyDescent="0.3">
      <c r="A336" s="274" t="s">
        <v>33</v>
      </c>
      <c r="B336" s="275"/>
      <c r="C336" s="44"/>
    </row>
    <row r="337" spans="1:4" s="17" customFormat="1" ht="16.5" thickBot="1" x14ac:dyDescent="0.25">
      <c r="A337" s="29">
        <f>IF(RFQ!D28="",0,RFQ!A28)</f>
        <v>0</v>
      </c>
      <c r="B337" s="29">
        <f>IF(C337=0,0, "FID "&amp;RFQ!C28)</f>
        <v>0</v>
      </c>
      <c r="C337" s="37">
        <f>RFQ!D28</f>
        <v>0</v>
      </c>
    </row>
    <row r="338" spans="1:4" x14ac:dyDescent="0.25">
      <c r="A338" s="278" t="s">
        <v>21</v>
      </c>
      <c r="B338" s="279"/>
      <c r="C338" s="30">
        <f>RFQ!E28</f>
        <v>0</v>
      </c>
    </row>
    <row r="339" spans="1:4" x14ac:dyDescent="0.25">
      <c r="A339" s="268" t="s">
        <v>22</v>
      </c>
      <c r="B339" s="269"/>
      <c r="C339" s="34">
        <f>RFQ!F28</f>
        <v>0</v>
      </c>
    </row>
    <row r="340" spans="1:4" x14ac:dyDescent="0.25">
      <c r="A340" s="268" t="s">
        <v>23</v>
      </c>
      <c r="B340" s="269"/>
      <c r="C340" s="34">
        <f>RFQ!G28</f>
        <v>0</v>
      </c>
    </row>
    <row r="341" spans="1:4" x14ac:dyDescent="0.25">
      <c r="A341" s="268" t="s">
        <v>24</v>
      </c>
      <c r="B341" s="269"/>
      <c r="C341" s="34">
        <f>RFQ!K28</f>
        <v>0</v>
      </c>
      <c r="D341" s="19"/>
    </row>
    <row r="342" spans="1:4" ht="15.75" thickBot="1" x14ac:dyDescent="0.3">
      <c r="A342" s="270" t="s">
        <v>25</v>
      </c>
      <c r="B342" s="271"/>
      <c r="C342" s="31"/>
      <c r="D342" s="19"/>
    </row>
    <row r="343" spans="1:4" ht="15.75" x14ac:dyDescent="0.3">
      <c r="A343" s="272" t="s">
        <v>26</v>
      </c>
      <c r="B343" s="273"/>
      <c r="C343" s="42"/>
      <c r="D343" s="20"/>
    </row>
    <row r="344" spans="1:4" ht="16.5" thickBot="1" x14ac:dyDescent="0.35">
      <c r="A344" s="274" t="s">
        <v>27</v>
      </c>
      <c r="B344" s="275"/>
      <c r="C344" s="44"/>
      <c r="D344" s="20"/>
    </row>
    <row r="345" spans="1:4" x14ac:dyDescent="0.25">
      <c r="A345" s="272" t="s">
        <v>28</v>
      </c>
      <c r="B345" s="273"/>
      <c r="C345" s="42"/>
    </row>
    <row r="346" spans="1:4" ht="15.75" thickBot="1" x14ac:dyDescent="0.3">
      <c r="A346" s="274" t="s">
        <v>29</v>
      </c>
      <c r="B346" s="275"/>
      <c r="C346" s="44"/>
    </row>
    <row r="347" spans="1:4" x14ac:dyDescent="0.25">
      <c r="A347" s="272" t="s">
        <v>30</v>
      </c>
      <c r="B347" s="273"/>
      <c r="C347" s="42"/>
    </row>
    <row r="348" spans="1:4" ht="15.75" thickBot="1" x14ac:dyDescent="0.3">
      <c r="A348" s="274" t="s">
        <v>31</v>
      </c>
      <c r="B348" s="275"/>
      <c r="C348" s="44"/>
    </row>
    <row r="349" spans="1:4" x14ac:dyDescent="0.25">
      <c r="A349" s="276" t="s">
        <v>32</v>
      </c>
      <c r="B349" s="277"/>
      <c r="C349" s="45"/>
    </row>
    <row r="350" spans="1:4" ht="15.75" thickBot="1" x14ac:dyDescent="0.3">
      <c r="A350" s="274" t="s">
        <v>33</v>
      </c>
      <c r="B350" s="275"/>
      <c r="C350" s="44"/>
    </row>
    <row r="351" spans="1:4" s="17" customFormat="1" ht="16.5" thickBot="1" x14ac:dyDescent="0.25">
      <c r="A351" s="29">
        <f>IF(RFQ!D29="",0,RFQ!A29)</f>
        <v>0</v>
      </c>
      <c r="B351" s="29">
        <f>IF(C351=0,0, "FID "&amp;RFQ!C29)</f>
        <v>0</v>
      </c>
      <c r="C351" s="37">
        <f>RFQ!D29</f>
        <v>0</v>
      </c>
    </row>
    <row r="352" spans="1:4" x14ac:dyDescent="0.25">
      <c r="A352" s="278" t="s">
        <v>21</v>
      </c>
      <c r="B352" s="279"/>
      <c r="C352" s="30">
        <f>RFQ!E29</f>
        <v>0</v>
      </c>
    </row>
    <row r="353" spans="1:4" x14ac:dyDescent="0.25">
      <c r="A353" s="268" t="s">
        <v>22</v>
      </c>
      <c r="B353" s="269"/>
      <c r="C353" s="34">
        <f>RFQ!F29</f>
        <v>0</v>
      </c>
    </row>
    <row r="354" spans="1:4" x14ac:dyDescent="0.25">
      <c r="A354" s="268" t="s">
        <v>23</v>
      </c>
      <c r="B354" s="269"/>
      <c r="C354" s="34">
        <f>RFQ!G29</f>
        <v>0</v>
      </c>
    </row>
    <row r="355" spans="1:4" x14ac:dyDescent="0.25">
      <c r="A355" s="268" t="s">
        <v>24</v>
      </c>
      <c r="B355" s="269"/>
      <c r="C355" s="34">
        <f>RFQ!K29</f>
        <v>0</v>
      </c>
      <c r="D355" s="19"/>
    </row>
    <row r="356" spans="1:4" ht="15.75" thickBot="1" x14ac:dyDescent="0.3">
      <c r="A356" s="270" t="s">
        <v>25</v>
      </c>
      <c r="B356" s="271"/>
      <c r="C356" s="31"/>
      <c r="D356" s="19"/>
    </row>
    <row r="357" spans="1:4" ht="15.75" x14ac:dyDescent="0.3">
      <c r="A357" s="272" t="s">
        <v>26</v>
      </c>
      <c r="B357" s="273"/>
      <c r="C357" s="42"/>
      <c r="D357" s="20"/>
    </row>
    <row r="358" spans="1:4" ht="16.5" thickBot="1" x14ac:dyDescent="0.35">
      <c r="A358" s="274" t="s">
        <v>27</v>
      </c>
      <c r="B358" s="275"/>
      <c r="C358" s="44"/>
      <c r="D358" s="20"/>
    </row>
    <row r="359" spans="1:4" x14ac:dyDescent="0.25">
      <c r="A359" s="272" t="s">
        <v>28</v>
      </c>
      <c r="B359" s="273"/>
      <c r="C359" s="42"/>
    </row>
    <row r="360" spans="1:4" ht="15.75" thickBot="1" x14ac:dyDescent="0.3">
      <c r="A360" s="274" t="s">
        <v>29</v>
      </c>
      <c r="B360" s="275"/>
      <c r="C360" s="44"/>
    </row>
    <row r="361" spans="1:4" x14ac:dyDescent="0.25">
      <c r="A361" s="272" t="s">
        <v>30</v>
      </c>
      <c r="B361" s="273"/>
      <c r="C361" s="42"/>
    </row>
    <row r="362" spans="1:4" ht="15.75" thickBot="1" x14ac:dyDescent="0.3">
      <c r="A362" s="274" t="s">
        <v>31</v>
      </c>
      <c r="B362" s="275"/>
      <c r="C362" s="44"/>
    </row>
    <row r="363" spans="1:4" x14ac:dyDescent="0.25">
      <c r="A363" s="276" t="s">
        <v>32</v>
      </c>
      <c r="B363" s="277"/>
      <c r="C363" s="45"/>
    </row>
    <row r="364" spans="1:4" ht="15.75" thickBot="1" x14ac:dyDescent="0.3">
      <c r="A364" s="274" t="s">
        <v>33</v>
      </c>
      <c r="B364" s="275"/>
      <c r="C364" s="44"/>
    </row>
    <row r="365" spans="1:4" s="17" customFormat="1" ht="16.5" thickBot="1" x14ac:dyDescent="0.25">
      <c r="A365" s="29">
        <f>IF(RFQ!D30="",0,RFQ!A30)</f>
        <v>0</v>
      </c>
      <c r="B365" s="29">
        <f>IF(C365=0,0, "FID "&amp;RFQ!C30)</f>
        <v>0</v>
      </c>
      <c r="C365" s="37">
        <f>RFQ!D30</f>
        <v>0</v>
      </c>
    </row>
    <row r="366" spans="1:4" x14ac:dyDescent="0.25">
      <c r="A366" s="278" t="s">
        <v>21</v>
      </c>
      <c r="B366" s="279"/>
      <c r="C366" s="30">
        <f>RFQ!E30</f>
        <v>0</v>
      </c>
    </row>
    <row r="367" spans="1:4" x14ac:dyDescent="0.25">
      <c r="A367" s="268" t="s">
        <v>22</v>
      </c>
      <c r="B367" s="269"/>
      <c r="C367" s="34">
        <f>RFQ!F30</f>
        <v>0</v>
      </c>
    </row>
    <row r="368" spans="1:4" x14ac:dyDescent="0.25">
      <c r="A368" s="268" t="s">
        <v>23</v>
      </c>
      <c r="B368" s="269"/>
      <c r="C368" s="34">
        <f>RFQ!G30</f>
        <v>0</v>
      </c>
    </row>
    <row r="369" spans="1:4" x14ac:dyDescent="0.25">
      <c r="A369" s="268" t="s">
        <v>24</v>
      </c>
      <c r="B369" s="269"/>
      <c r="C369" s="34">
        <f>RFQ!K30</f>
        <v>0</v>
      </c>
      <c r="D369" s="19"/>
    </row>
    <row r="370" spans="1:4" ht="15.75" thickBot="1" x14ac:dyDescent="0.3">
      <c r="A370" s="270" t="s">
        <v>25</v>
      </c>
      <c r="B370" s="271"/>
      <c r="C370" s="31"/>
      <c r="D370" s="19"/>
    </row>
    <row r="371" spans="1:4" ht="15.75" x14ac:dyDescent="0.3">
      <c r="A371" s="272" t="s">
        <v>26</v>
      </c>
      <c r="B371" s="273"/>
      <c r="C371" s="42"/>
      <c r="D371" s="20"/>
    </row>
    <row r="372" spans="1:4" ht="16.5" thickBot="1" x14ac:dyDescent="0.35">
      <c r="A372" s="274" t="s">
        <v>27</v>
      </c>
      <c r="B372" s="275"/>
      <c r="C372" s="44"/>
      <c r="D372" s="20"/>
    </row>
    <row r="373" spans="1:4" x14ac:dyDescent="0.25">
      <c r="A373" s="272" t="s">
        <v>28</v>
      </c>
      <c r="B373" s="273"/>
      <c r="C373" s="42"/>
    </row>
    <row r="374" spans="1:4" ht="15.75" thickBot="1" x14ac:dyDescent="0.3">
      <c r="A374" s="274" t="s">
        <v>29</v>
      </c>
      <c r="B374" s="275"/>
      <c r="C374" s="44"/>
    </row>
    <row r="375" spans="1:4" x14ac:dyDescent="0.25">
      <c r="A375" s="272" t="s">
        <v>30</v>
      </c>
      <c r="B375" s="273"/>
      <c r="C375" s="42"/>
    </row>
    <row r="376" spans="1:4" ht="15.75" thickBot="1" x14ac:dyDescent="0.3">
      <c r="A376" s="274" t="s">
        <v>31</v>
      </c>
      <c r="B376" s="275"/>
      <c r="C376" s="44"/>
    </row>
    <row r="377" spans="1:4" x14ac:dyDescent="0.25">
      <c r="A377" s="276" t="s">
        <v>32</v>
      </c>
      <c r="B377" s="277"/>
      <c r="C377" s="45"/>
    </row>
    <row r="378" spans="1:4" ht="15.75" thickBot="1" x14ac:dyDescent="0.3">
      <c r="A378" s="274" t="s">
        <v>33</v>
      </c>
      <c r="B378" s="275"/>
      <c r="C378" s="44"/>
    </row>
    <row r="379" spans="1:4" s="17" customFormat="1" ht="16.5" thickBot="1" x14ac:dyDescent="0.25">
      <c r="A379" s="29">
        <f>IF(RFQ!D31="",0,RFQ!A31)</f>
        <v>0</v>
      </c>
      <c r="B379" s="29">
        <f>IF(C379=0,0, "FID "&amp;RFQ!C31)</f>
        <v>0</v>
      </c>
      <c r="C379" s="37">
        <f>RFQ!D31</f>
        <v>0</v>
      </c>
    </row>
    <row r="380" spans="1:4" x14ac:dyDescent="0.25">
      <c r="A380" s="278" t="s">
        <v>21</v>
      </c>
      <c r="B380" s="279"/>
      <c r="C380" s="30">
        <f>RFQ!E31</f>
        <v>0</v>
      </c>
    </row>
    <row r="381" spans="1:4" x14ac:dyDescent="0.25">
      <c r="A381" s="268" t="s">
        <v>22</v>
      </c>
      <c r="B381" s="269"/>
      <c r="C381" s="34">
        <f>RFQ!F31</f>
        <v>0</v>
      </c>
    </row>
    <row r="382" spans="1:4" x14ac:dyDescent="0.25">
      <c r="A382" s="268" t="s">
        <v>23</v>
      </c>
      <c r="B382" s="269"/>
      <c r="C382" s="34">
        <f>RFQ!G31</f>
        <v>0</v>
      </c>
    </row>
    <row r="383" spans="1:4" x14ac:dyDescent="0.25">
      <c r="A383" s="268" t="s">
        <v>24</v>
      </c>
      <c r="B383" s="269"/>
      <c r="C383" s="34">
        <f>RFQ!K31</f>
        <v>0</v>
      </c>
      <c r="D383" s="19"/>
    </row>
    <row r="384" spans="1:4" ht="15.75" thickBot="1" x14ac:dyDescent="0.3">
      <c r="A384" s="270" t="s">
        <v>25</v>
      </c>
      <c r="B384" s="271"/>
      <c r="C384" s="31"/>
      <c r="D384" s="19"/>
    </row>
    <row r="385" spans="1:4" ht="15.75" x14ac:dyDescent="0.3">
      <c r="A385" s="272" t="s">
        <v>26</v>
      </c>
      <c r="B385" s="273"/>
      <c r="C385" s="42"/>
      <c r="D385" s="20"/>
    </row>
    <row r="386" spans="1:4" ht="16.5" thickBot="1" x14ac:dyDescent="0.35">
      <c r="A386" s="274" t="s">
        <v>27</v>
      </c>
      <c r="B386" s="275"/>
      <c r="C386" s="44"/>
      <c r="D386" s="20"/>
    </row>
    <row r="387" spans="1:4" x14ac:dyDescent="0.25">
      <c r="A387" s="272" t="s">
        <v>28</v>
      </c>
      <c r="B387" s="273"/>
      <c r="C387" s="42"/>
    </row>
    <row r="388" spans="1:4" ht="15.75" thickBot="1" x14ac:dyDescent="0.3">
      <c r="A388" s="274" t="s">
        <v>29</v>
      </c>
      <c r="B388" s="275"/>
      <c r="C388" s="44"/>
    </row>
    <row r="389" spans="1:4" x14ac:dyDescent="0.25">
      <c r="A389" s="272" t="s">
        <v>30</v>
      </c>
      <c r="B389" s="273"/>
      <c r="C389" s="42"/>
    </row>
    <row r="390" spans="1:4" ht="15.75" thickBot="1" x14ac:dyDescent="0.3">
      <c r="A390" s="274" t="s">
        <v>31</v>
      </c>
      <c r="B390" s="275"/>
      <c r="C390" s="44"/>
    </row>
    <row r="391" spans="1:4" x14ac:dyDescent="0.25">
      <c r="A391" s="276" t="s">
        <v>32</v>
      </c>
      <c r="B391" s="277"/>
      <c r="C391" s="45"/>
    </row>
    <row r="392" spans="1:4" ht="15.75" thickBot="1" x14ac:dyDescent="0.3">
      <c r="A392" s="274" t="s">
        <v>33</v>
      </c>
      <c r="B392" s="275"/>
      <c r="C392" s="44"/>
    </row>
    <row r="393" spans="1:4" s="17" customFormat="1" ht="16.5" thickBot="1" x14ac:dyDescent="0.25">
      <c r="A393" s="29">
        <f>IF(RFQ!D32="",0,RFQ!A32)</f>
        <v>0</v>
      </c>
      <c r="B393" s="29">
        <f>IF(C393=0,0, "FID "&amp;RFQ!C32)</f>
        <v>0</v>
      </c>
      <c r="C393" s="37">
        <f>RFQ!D32</f>
        <v>0</v>
      </c>
    </row>
    <row r="394" spans="1:4" x14ac:dyDescent="0.25">
      <c r="A394" s="278" t="s">
        <v>21</v>
      </c>
      <c r="B394" s="279"/>
      <c r="C394" s="30">
        <f>RFQ!E32</f>
        <v>0</v>
      </c>
    </row>
    <row r="395" spans="1:4" x14ac:dyDescent="0.25">
      <c r="A395" s="268" t="s">
        <v>22</v>
      </c>
      <c r="B395" s="269"/>
      <c r="C395" s="34">
        <f>RFQ!F32</f>
        <v>0</v>
      </c>
    </row>
    <row r="396" spans="1:4" x14ac:dyDescent="0.25">
      <c r="A396" s="268" t="s">
        <v>23</v>
      </c>
      <c r="B396" s="269"/>
      <c r="C396" s="34">
        <f>RFQ!G32</f>
        <v>0</v>
      </c>
    </row>
    <row r="397" spans="1:4" x14ac:dyDescent="0.25">
      <c r="A397" s="268" t="s">
        <v>24</v>
      </c>
      <c r="B397" s="269"/>
      <c r="C397" s="34">
        <f>RFQ!K32</f>
        <v>0</v>
      </c>
      <c r="D397" s="19"/>
    </row>
    <row r="398" spans="1:4" ht="15.75" thickBot="1" x14ac:dyDescent="0.3">
      <c r="A398" s="270" t="s">
        <v>25</v>
      </c>
      <c r="B398" s="271"/>
      <c r="C398" s="31"/>
      <c r="D398" s="19"/>
    </row>
    <row r="399" spans="1:4" ht="15.75" x14ac:dyDescent="0.3">
      <c r="A399" s="272" t="s">
        <v>26</v>
      </c>
      <c r="B399" s="273"/>
      <c r="C399" s="42"/>
      <c r="D399" s="20"/>
    </row>
    <row r="400" spans="1:4" ht="16.5" thickBot="1" x14ac:dyDescent="0.35">
      <c r="A400" s="274" t="s">
        <v>27</v>
      </c>
      <c r="B400" s="275"/>
      <c r="C400" s="44"/>
      <c r="D400" s="20"/>
    </row>
    <row r="401" spans="1:4" x14ac:dyDescent="0.25">
      <c r="A401" s="272" t="s">
        <v>28</v>
      </c>
      <c r="B401" s="273"/>
      <c r="C401" s="42"/>
    </row>
    <row r="402" spans="1:4" ht="15.75" thickBot="1" x14ac:dyDescent="0.3">
      <c r="A402" s="274" t="s">
        <v>29</v>
      </c>
      <c r="B402" s="275"/>
      <c r="C402" s="44"/>
    </row>
    <row r="403" spans="1:4" x14ac:dyDescent="0.25">
      <c r="A403" s="272" t="s">
        <v>30</v>
      </c>
      <c r="B403" s="273"/>
      <c r="C403" s="42"/>
    </row>
    <row r="404" spans="1:4" ht="15.75" thickBot="1" x14ac:dyDescent="0.3">
      <c r="A404" s="274" t="s">
        <v>31</v>
      </c>
      <c r="B404" s="275"/>
      <c r="C404" s="44"/>
    </row>
    <row r="405" spans="1:4" x14ac:dyDescent="0.25">
      <c r="A405" s="276" t="s">
        <v>32</v>
      </c>
      <c r="B405" s="277"/>
      <c r="C405" s="45"/>
    </row>
    <row r="406" spans="1:4" ht="15.75" thickBot="1" x14ac:dyDescent="0.3">
      <c r="A406" s="274" t="s">
        <v>33</v>
      </c>
      <c r="B406" s="275"/>
      <c r="C406" s="44"/>
    </row>
    <row r="407" spans="1:4" s="17" customFormat="1" ht="16.5" thickBot="1" x14ac:dyDescent="0.25">
      <c r="A407" s="29">
        <f>IF(RFQ!D33="",0,RFQ!A33)</f>
        <v>0</v>
      </c>
      <c r="B407" s="29">
        <f>IF(C407=0,0, "FID "&amp;RFQ!C33)</f>
        <v>0</v>
      </c>
      <c r="C407" s="37">
        <f>RFQ!D33</f>
        <v>0</v>
      </c>
    </row>
    <row r="408" spans="1:4" x14ac:dyDescent="0.25">
      <c r="A408" s="278" t="s">
        <v>21</v>
      </c>
      <c r="B408" s="279"/>
      <c r="C408" s="30">
        <f>RFQ!E33</f>
        <v>0</v>
      </c>
    </row>
    <row r="409" spans="1:4" x14ac:dyDescent="0.25">
      <c r="A409" s="268" t="s">
        <v>22</v>
      </c>
      <c r="B409" s="269"/>
      <c r="C409" s="34">
        <f>RFQ!F33</f>
        <v>0</v>
      </c>
    </row>
    <row r="410" spans="1:4" x14ac:dyDescent="0.25">
      <c r="A410" s="268" t="s">
        <v>23</v>
      </c>
      <c r="B410" s="269"/>
      <c r="C410" s="34">
        <f>RFQ!G33</f>
        <v>0</v>
      </c>
    </row>
    <row r="411" spans="1:4" x14ac:dyDescent="0.25">
      <c r="A411" s="268" t="s">
        <v>24</v>
      </c>
      <c r="B411" s="269"/>
      <c r="C411" s="34">
        <f>RFQ!K33</f>
        <v>0</v>
      </c>
      <c r="D411" s="19"/>
    </row>
    <row r="412" spans="1:4" ht="15.75" thickBot="1" x14ac:dyDescent="0.3">
      <c r="A412" s="270" t="s">
        <v>25</v>
      </c>
      <c r="B412" s="271"/>
      <c r="C412" s="31"/>
      <c r="D412" s="19"/>
    </row>
    <row r="413" spans="1:4" ht="15.75" x14ac:dyDescent="0.3">
      <c r="A413" s="272" t="s">
        <v>26</v>
      </c>
      <c r="B413" s="273"/>
      <c r="C413" s="42"/>
      <c r="D413" s="20"/>
    </row>
    <row r="414" spans="1:4" ht="16.5" thickBot="1" x14ac:dyDescent="0.35">
      <c r="A414" s="274" t="s">
        <v>27</v>
      </c>
      <c r="B414" s="275"/>
      <c r="C414" s="44"/>
      <c r="D414" s="20"/>
    </row>
    <row r="415" spans="1:4" x14ac:dyDescent="0.25">
      <c r="A415" s="272" t="s">
        <v>28</v>
      </c>
      <c r="B415" s="273"/>
      <c r="C415" s="42"/>
    </row>
    <row r="416" spans="1:4" ht="15.75" thickBot="1" x14ac:dyDescent="0.3">
      <c r="A416" s="274" t="s">
        <v>29</v>
      </c>
      <c r="B416" s="275"/>
      <c r="C416" s="44"/>
    </row>
    <row r="417" spans="1:4" x14ac:dyDescent="0.25">
      <c r="A417" s="272" t="s">
        <v>30</v>
      </c>
      <c r="B417" s="273"/>
      <c r="C417" s="42"/>
    </row>
    <row r="418" spans="1:4" ht="15.75" thickBot="1" x14ac:dyDescent="0.3">
      <c r="A418" s="274" t="s">
        <v>31</v>
      </c>
      <c r="B418" s="275"/>
      <c r="C418" s="44"/>
    </row>
    <row r="419" spans="1:4" x14ac:dyDescent="0.25">
      <c r="A419" s="276" t="s">
        <v>32</v>
      </c>
      <c r="B419" s="277"/>
      <c r="C419" s="45"/>
    </row>
    <row r="420" spans="1:4" ht="15.75" thickBot="1" x14ac:dyDescent="0.3">
      <c r="A420" s="274" t="s">
        <v>33</v>
      </c>
      <c r="B420" s="275"/>
      <c r="C420" s="44"/>
    </row>
    <row r="421" spans="1:4" s="17" customFormat="1" ht="16.5" thickBot="1" x14ac:dyDescent="0.25">
      <c r="A421" s="29">
        <f>IF(RFQ!D34="",0,RFQ!A34)</f>
        <v>0</v>
      </c>
      <c r="B421" s="29">
        <f>IF(C421=0,0, "FID "&amp;RFQ!C34)</f>
        <v>0</v>
      </c>
      <c r="C421" s="37">
        <f>RFQ!D34</f>
        <v>0</v>
      </c>
    </row>
    <row r="422" spans="1:4" x14ac:dyDescent="0.25">
      <c r="A422" s="278" t="s">
        <v>21</v>
      </c>
      <c r="B422" s="279"/>
      <c r="C422" s="30">
        <f>RFQ!E34</f>
        <v>0</v>
      </c>
    </row>
    <row r="423" spans="1:4" x14ac:dyDescent="0.25">
      <c r="A423" s="268" t="s">
        <v>22</v>
      </c>
      <c r="B423" s="269"/>
      <c r="C423" s="34">
        <f>RFQ!F34</f>
        <v>0</v>
      </c>
    </row>
    <row r="424" spans="1:4" x14ac:dyDescent="0.25">
      <c r="A424" s="268" t="s">
        <v>23</v>
      </c>
      <c r="B424" s="269"/>
      <c r="C424" s="34">
        <f>RFQ!G34</f>
        <v>0</v>
      </c>
    </row>
    <row r="425" spans="1:4" x14ac:dyDescent="0.25">
      <c r="A425" s="268" t="s">
        <v>24</v>
      </c>
      <c r="B425" s="269"/>
      <c r="C425" s="34">
        <f>RFQ!K34</f>
        <v>0</v>
      </c>
      <c r="D425" s="19"/>
    </row>
    <row r="426" spans="1:4" ht="15.75" thickBot="1" x14ac:dyDescent="0.3">
      <c r="A426" s="270" t="s">
        <v>25</v>
      </c>
      <c r="B426" s="271"/>
      <c r="C426" s="31"/>
      <c r="D426" s="19"/>
    </row>
    <row r="427" spans="1:4" ht="15.75" x14ac:dyDescent="0.3">
      <c r="A427" s="272" t="s">
        <v>26</v>
      </c>
      <c r="B427" s="273"/>
      <c r="C427" s="42"/>
      <c r="D427" s="20"/>
    </row>
    <row r="428" spans="1:4" ht="16.5" thickBot="1" x14ac:dyDescent="0.35">
      <c r="A428" s="274" t="s">
        <v>27</v>
      </c>
      <c r="B428" s="275"/>
      <c r="C428" s="44"/>
      <c r="D428" s="20"/>
    </row>
    <row r="429" spans="1:4" x14ac:dyDescent="0.25">
      <c r="A429" s="272" t="s">
        <v>28</v>
      </c>
      <c r="B429" s="273"/>
      <c r="C429" s="42"/>
    </row>
    <row r="430" spans="1:4" ht="15.75" thickBot="1" x14ac:dyDescent="0.3">
      <c r="A430" s="274" t="s">
        <v>29</v>
      </c>
      <c r="B430" s="275"/>
      <c r="C430" s="44"/>
    </row>
    <row r="431" spans="1:4" x14ac:dyDescent="0.25">
      <c r="A431" s="272" t="s">
        <v>30</v>
      </c>
      <c r="B431" s="273"/>
      <c r="C431" s="42"/>
    </row>
    <row r="432" spans="1:4" ht="15.75" thickBot="1" x14ac:dyDescent="0.3">
      <c r="A432" s="274" t="s">
        <v>31</v>
      </c>
      <c r="B432" s="275"/>
      <c r="C432" s="44"/>
    </row>
    <row r="433" spans="1:4" x14ac:dyDescent="0.25">
      <c r="A433" s="276" t="s">
        <v>32</v>
      </c>
      <c r="B433" s="277"/>
      <c r="C433" s="45"/>
    </row>
    <row r="434" spans="1:4" ht="15.75" thickBot="1" x14ac:dyDescent="0.3">
      <c r="A434" s="274" t="s">
        <v>33</v>
      </c>
      <c r="B434" s="275"/>
      <c r="C434" s="44"/>
    </row>
    <row r="435" spans="1:4" s="17" customFormat="1" ht="16.5" thickBot="1" x14ac:dyDescent="0.25">
      <c r="A435" s="29">
        <f>IF(RFQ!D35="",0,RFQ!A35)</f>
        <v>0</v>
      </c>
      <c r="B435" s="29">
        <f>IF(C435=0,0, "FID "&amp;RFQ!C35)</f>
        <v>0</v>
      </c>
      <c r="C435" s="37">
        <f>RFQ!D35</f>
        <v>0</v>
      </c>
    </row>
    <row r="436" spans="1:4" x14ac:dyDescent="0.25">
      <c r="A436" s="278" t="s">
        <v>21</v>
      </c>
      <c r="B436" s="279"/>
      <c r="C436" s="30">
        <f>RFQ!E35</f>
        <v>0</v>
      </c>
    </row>
    <row r="437" spans="1:4" x14ac:dyDescent="0.25">
      <c r="A437" s="268" t="s">
        <v>22</v>
      </c>
      <c r="B437" s="269"/>
      <c r="C437" s="34">
        <f>RFQ!F35</f>
        <v>0</v>
      </c>
    </row>
    <row r="438" spans="1:4" x14ac:dyDescent="0.25">
      <c r="A438" s="268" t="s">
        <v>23</v>
      </c>
      <c r="B438" s="269"/>
      <c r="C438" s="34">
        <f>RFQ!G35</f>
        <v>0</v>
      </c>
    </row>
    <row r="439" spans="1:4" x14ac:dyDescent="0.25">
      <c r="A439" s="268" t="s">
        <v>24</v>
      </c>
      <c r="B439" s="269"/>
      <c r="C439" s="34">
        <f>RFQ!K35</f>
        <v>0</v>
      </c>
      <c r="D439" s="19"/>
    </row>
    <row r="440" spans="1:4" ht="15.75" thickBot="1" x14ac:dyDescent="0.3">
      <c r="A440" s="270" t="s">
        <v>25</v>
      </c>
      <c r="B440" s="271"/>
      <c r="C440" s="31"/>
      <c r="D440" s="19"/>
    </row>
    <row r="441" spans="1:4" ht="15.75" x14ac:dyDescent="0.3">
      <c r="A441" s="272" t="s">
        <v>26</v>
      </c>
      <c r="B441" s="273"/>
      <c r="C441" s="42"/>
      <c r="D441" s="20"/>
    </row>
    <row r="442" spans="1:4" ht="16.5" thickBot="1" x14ac:dyDescent="0.35">
      <c r="A442" s="274" t="s">
        <v>27</v>
      </c>
      <c r="B442" s="275"/>
      <c r="C442" s="44"/>
      <c r="D442" s="20"/>
    </row>
    <row r="443" spans="1:4" x14ac:dyDescent="0.25">
      <c r="A443" s="272" t="s">
        <v>28</v>
      </c>
      <c r="B443" s="273"/>
      <c r="C443" s="42"/>
    </row>
    <row r="444" spans="1:4" ht="15.75" thickBot="1" x14ac:dyDescent="0.3">
      <c r="A444" s="274" t="s">
        <v>29</v>
      </c>
      <c r="B444" s="275"/>
      <c r="C444" s="44"/>
    </row>
    <row r="445" spans="1:4" x14ac:dyDescent="0.25">
      <c r="A445" s="272" t="s">
        <v>30</v>
      </c>
      <c r="B445" s="273"/>
      <c r="C445" s="42"/>
    </row>
    <row r="446" spans="1:4" ht="15.75" thickBot="1" x14ac:dyDescent="0.3">
      <c r="A446" s="274" t="s">
        <v>31</v>
      </c>
      <c r="B446" s="275"/>
      <c r="C446" s="44"/>
    </row>
    <row r="447" spans="1:4" x14ac:dyDescent="0.25">
      <c r="A447" s="276" t="s">
        <v>32</v>
      </c>
      <c r="B447" s="277"/>
      <c r="C447" s="45"/>
    </row>
    <row r="448" spans="1:4" ht="15.75" thickBot="1" x14ac:dyDescent="0.3">
      <c r="A448" s="274" t="s">
        <v>33</v>
      </c>
      <c r="B448" s="275"/>
      <c r="C448" s="44"/>
    </row>
    <row r="449" spans="1:4" s="17" customFormat="1" ht="16.5" thickBot="1" x14ac:dyDescent="0.25">
      <c r="A449" s="29">
        <f>IF(RFQ!D36="",0,RFQ!A36)</f>
        <v>0</v>
      </c>
      <c r="B449" s="29">
        <f>IF(C449=0,0, "FID "&amp;RFQ!C36)</f>
        <v>0</v>
      </c>
      <c r="C449" s="37">
        <f>RFQ!D36</f>
        <v>0</v>
      </c>
    </row>
    <row r="450" spans="1:4" x14ac:dyDescent="0.25">
      <c r="A450" s="278" t="s">
        <v>21</v>
      </c>
      <c r="B450" s="279"/>
      <c r="C450" s="30">
        <f>RFQ!E36</f>
        <v>0</v>
      </c>
    </row>
    <row r="451" spans="1:4" x14ac:dyDescent="0.25">
      <c r="A451" s="268" t="s">
        <v>22</v>
      </c>
      <c r="B451" s="269"/>
      <c r="C451" s="34">
        <f>RFQ!F36</f>
        <v>0</v>
      </c>
    </row>
    <row r="452" spans="1:4" x14ac:dyDescent="0.25">
      <c r="A452" s="268" t="s">
        <v>23</v>
      </c>
      <c r="B452" s="269"/>
      <c r="C452" s="34">
        <f>RFQ!G36</f>
        <v>0</v>
      </c>
    </row>
    <row r="453" spans="1:4" x14ac:dyDescent="0.25">
      <c r="A453" s="268" t="s">
        <v>24</v>
      </c>
      <c r="B453" s="269"/>
      <c r="C453" s="34">
        <f>RFQ!K36</f>
        <v>0</v>
      </c>
      <c r="D453" s="19"/>
    </row>
    <row r="454" spans="1:4" ht="15.75" thickBot="1" x14ac:dyDescent="0.3">
      <c r="A454" s="270" t="s">
        <v>25</v>
      </c>
      <c r="B454" s="271"/>
      <c r="C454" s="31"/>
      <c r="D454" s="19"/>
    </row>
    <row r="455" spans="1:4" ht="15.75" x14ac:dyDescent="0.3">
      <c r="A455" s="272" t="s">
        <v>26</v>
      </c>
      <c r="B455" s="273"/>
      <c r="C455" s="42"/>
      <c r="D455" s="20"/>
    </row>
    <row r="456" spans="1:4" ht="16.5" thickBot="1" x14ac:dyDescent="0.35">
      <c r="A456" s="274" t="s">
        <v>27</v>
      </c>
      <c r="B456" s="275"/>
      <c r="C456" s="44"/>
      <c r="D456" s="20"/>
    </row>
    <row r="457" spans="1:4" x14ac:dyDescent="0.25">
      <c r="A457" s="272" t="s">
        <v>28</v>
      </c>
      <c r="B457" s="273"/>
      <c r="C457" s="42"/>
    </row>
    <row r="458" spans="1:4" ht="15.75" thickBot="1" x14ac:dyDescent="0.3">
      <c r="A458" s="274" t="s">
        <v>29</v>
      </c>
      <c r="B458" s="275"/>
      <c r="C458" s="44"/>
    </row>
    <row r="459" spans="1:4" x14ac:dyDescent="0.25">
      <c r="A459" s="272" t="s">
        <v>30</v>
      </c>
      <c r="B459" s="273"/>
      <c r="C459" s="42"/>
    </row>
    <row r="460" spans="1:4" ht="15.75" thickBot="1" x14ac:dyDescent="0.3">
      <c r="A460" s="274" t="s">
        <v>31</v>
      </c>
      <c r="B460" s="275"/>
      <c r="C460" s="44"/>
    </row>
    <row r="461" spans="1:4" x14ac:dyDescent="0.25">
      <c r="A461" s="276" t="s">
        <v>32</v>
      </c>
      <c r="B461" s="277"/>
      <c r="C461" s="45"/>
    </row>
    <row r="462" spans="1:4" ht="15.75" thickBot="1" x14ac:dyDescent="0.3">
      <c r="A462" s="274" t="s">
        <v>33</v>
      </c>
      <c r="B462" s="275"/>
      <c r="C462" s="44"/>
    </row>
    <row r="463" spans="1:4" s="17" customFormat="1" ht="16.5" thickBot="1" x14ac:dyDescent="0.25">
      <c r="A463" s="29">
        <f>IF(RFQ!D37="",0,RFQ!A37)</f>
        <v>0</v>
      </c>
      <c r="B463" s="29">
        <f>IF(C463=0,0, "FID "&amp;RFQ!C37)</f>
        <v>0</v>
      </c>
      <c r="C463" s="37">
        <f>RFQ!D37</f>
        <v>0</v>
      </c>
    </row>
    <row r="464" spans="1:4" x14ac:dyDescent="0.25">
      <c r="A464" s="278" t="s">
        <v>21</v>
      </c>
      <c r="B464" s="279"/>
      <c r="C464" s="30">
        <f>RFQ!E37</f>
        <v>0</v>
      </c>
    </row>
    <row r="465" spans="1:4" x14ac:dyDescent="0.25">
      <c r="A465" s="268" t="s">
        <v>22</v>
      </c>
      <c r="B465" s="269"/>
      <c r="C465" s="34">
        <f>RFQ!F37</f>
        <v>0</v>
      </c>
    </row>
    <row r="466" spans="1:4" x14ac:dyDescent="0.25">
      <c r="A466" s="268" t="s">
        <v>23</v>
      </c>
      <c r="B466" s="269"/>
      <c r="C466" s="34">
        <f>RFQ!G37</f>
        <v>0</v>
      </c>
    </row>
    <row r="467" spans="1:4" x14ac:dyDescent="0.25">
      <c r="A467" s="268" t="s">
        <v>24</v>
      </c>
      <c r="B467" s="269"/>
      <c r="C467" s="34">
        <f>RFQ!K37</f>
        <v>0</v>
      </c>
      <c r="D467" s="19"/>
    </row>
    <row r="468" spans="1:4" ht="15.75" thickBot="1" x14ac:dyDescent="0.3">
      <c r="A468" s="270" t="s">
        <v>25</v>
      </c>
      <c r="B468" s="271"/>
      <c r="C468" s="31"/>
      <c r="D468" s="19"/>
    </row>
    <row r="469" spans="1:4" ht="15.75" x14ac:dyDescent="0.3">
      <c r="A469" s="272" t="s">
        <v>26</v>
      </c>
      <c r="B469" s="273"/>
      <c r="C469" s="42"/>
      <c r="D469" s="20"/>
    </row>
    <row r="470" spans="1:4" ht="16.5" thickBot="1" x14ac:dyDescent="0.35">
      <c r="A470" s="274" t="s">
        <v>27</v>
      </c>
      <c r="B470" s="275"/>
      <c r="C470" s="44"/>
      <c r="D470" s="20"/>
    </row>
    <row r="471" spans="1:4" x14ac:dyDescent="0.25">
      <c r="A471" s="272" t="s">
        <v>28</v>
      </c>
      <c r="B471" s="273"/>
      <c r="C471" s="42"/>
    </row>
    <row r="472" spans="1:4" ht="15.75" thickBot="1" x14ac:dyDescent="0.3">
      <c r="A472" s="274" t="s">
        <v>29</v>
      </c>
      <c r="B472" s="275"/>
      <c r="C472" s="44"/>
    </row>
    <row r="473" spans="1:4" x14ac:dyDescent="0.25">
      <c r="A473" s="272" t="s">
        <v>30</v>
      </c>
      <c r="B473" s="273"/>
      <c r="C473" s="42"/>
    </row>
    <row r="474" spans="1:4" ht="15.75" thickBot="1" x14ac:dyDescent="0.3">
      <c r="A474" s="274" t="s">
        <v>31</v>
      </c>
      <c r="B474" s="275"/>
      <c r="C474" s="44"/>
    </row>
    <row r="475" spans="1:4" x14ac:dyDescent="0.25">
      <c r="A475" s="276" t="s">
        <v>32</v>
      </c>
      <c r="B475" s="277"/>
      <c r="C475" s="45"/>
    </row>
    <row r="476" spans="1:4" ht="15.75" thickBot="1" x14ac:dyDescent="0.3">
      <c r="A476" s="274" t="s">
        <v>33</v>
      </c>
      <c r="B476" s="275"/>
      <c r="C476" s="44"/>
    </row>
    <row r="477" spans="1:4" s="17" customFormat="1" ht="16.5" thickBot="1" x14ac:dyDescent="0.25">
      <c r="A477" s="29">
        <f>IF(RFQ!D38="",0,RFQ!A38)</f>
        <v>0</v>
      </c>
      <c r="B477" s="29">
        <f>IF(C477=0,0, "FID "&amp;RFQ!C38)</f>
        <v>0</v>
      </c>
      <c r="C477" s="37">
        <f>RFQ!D38</f>
        <v>0</v>
      </c>
    </row>
    <row r="478" spans="1:4" x14ac:dyDescent="0.25">
      <c r="A478" s="278" t="s">
        <v>21</v>
      </c>
      <c r="B478" s="279"/>
      <c r="C478" s="30">
        <f>RFQ!E38</f>
        <v>0</v>
      </c>
    </row>
    <row r="479" spans="1:4" x14ac:dyDescent="0.25">
      <c r="A479" s="268" t="s">
        <v>22</v>
      </c>
      <c r="B479" s="269"/>
      <c r="C479" s="34">
        <f>RFQ!F38</f>
        <v>0</v>
      </c>
    </row>
    <row r="480" spans="1:4" x14ac:dyDescent="0.25">
      <c r="A480" s="268" t="s">
        <v>23</v>
      </c>
      <c r="B480" s="269"/>
      <c r="C480" s="34">
        <f>RFQ!G38</f>
        <v>0</v>
      </c>
    </row>
    <row r="481" spans="1:4" x14ac:dyDescent="0.25">
      <c r="A481" s="268" t="s">
        <v>24</v>
      </c>
      <c r="B481" s="269"/>
      <c r="C481" s="34">
        <f>RFQ!K38</f>
        <v>0</v>
      </c>
      <c r="D481" s="19"/>
    </row>
    <row r="482" spans="1:4" ht="15.75" thickBot="1" x14ac:dyDescent="0.3">
      <c r="A482" s="270" t="s">
        <v>25</v>
      </c>
      <c r="B482" s="271"/>
      <c r="C482" s="31"/>
      <c r="D482" s="19"/>
    </row>
    <row r="483" spans="1:4" ht="15.75" x14ac:dyDescent="0.3">
      <c r="A483" s="272" t="s">
        <v>26</v>
      </c>
      <c r="B483" s="273"/>
      <c r="C483" s="42"/>
      <c r="D483" s="20"/>
    </row>
    <row r="484" spans="1:4" ht="16.5" thickBot="1" x14ac:dyDescent="0.35">
      <c r="A484" s="274" t="s">
        <v>27</v>
      </c>
      <c r="B484" s="275"/>
      <c r="C484" s="44"/>
      <c r="D484" s="20"/>
    </row>
    <row r="485" spans="1:4" x14ac:dyDescent="0.25">
      <c r="A485" s="272" t="s">
        <v>28</v>
      </c>
      <c r="B485" s="273"/>
      <c r="C485" s="42"/>
    </row>
    <row r="486" spans="1:4" ht="15.75" thickBot="1" x14ac:dyDescent="0.3">
      <c r="A486" s="274" t="s">
        <v>29</v>
      </c>
      <c r="B486" s="275"/>
      <c r="C486" s="44"/>
    </row>
    <row r="487" spans="1:4" x14ac:dyDescent="0.25">
      <c r="A487" s="272" t="s">
        <v>30</v>
      </c>
      <c r="B487" s="273"/>
      <c r="C487" s="42"/>
    </row>
    <row r="488" spans="1:4" ht="15.75" thickBot="1" x14ac:dyDescent="0.3">
      <c r="A488" s="274" t="s">
        <v>31</v>
      </c>
      <c r="B488" s="275"/>
      <c r="C488" s="44"/>
    </row>
    <row r="489" spans="1:4" x14ac:dyDescent="0.25">
      <c r="A489" s="276" t="s">
        <v>32</v>
      </c>
      <c r="B489" s="277"/>
      <c r="C489" s="45"/>
    </row>
    <row r="490" spans="1:4" ht="15.75" thickBot="1" x14ac:dyDescent="0.3">
      <c r="A490" s="274" t="s">
        <v>33</v>
      </c>
      <c r="B490" s="275"/>
      <c r="C490" s="44"/>
    </row>
    <row r="491" spans="1:4" s="17" customFormat="1" ht="16.5" thickBot="1" x14ac:dyDescent="0.25">
      <c r="A491" s="29">
        <f>IF(RFQ!D39="",0,RFQ!A39)</f>
        <v>0</v>
      </c>
      <c r="B491" s="29">
        <f>IF(C491=0,0, "FID "&amp;RFQ!C39)</f>
        <v>0</v>
      </c>
      <c r="C491" s="37">
        <f>RFQ!D39</f>
        <v>0</v>
      </c>
    </row>
    <row r="492" spans="1:4" x14ac:dyDescent="0.25">
      <c r="A492" s="278" t="s">
        <v>21</v>
      </c>
      <c r="B492" s="279"/>
      <c r="C492" s="30">
        <f>RFQ!E39</f>
        <v>0</v>
      </c>
    </row>
    <row r="493" spans="1:4" x14ac:dyDescent="0.25">
      <c r="A493" s="268" t="s">
        <v>22</v>
      </c>
      <c r="B493" s="269"/>
      <c r="C493" s="34">
        <f>RFQ!F39</f>
        <v>0</v>
      </c>
    </row>
    <row r="494" spans="1:4" x14ac:dyDescent="0.25">
      <c r="A494" s="268" t="s">
        <v>23</v>
      </c>
      <c r="B494" s="269"/>
      <c r="C494" s="34">
        <f>RFQ!G39</f>
        <v>0</v>
      </c>
    </row>
    <row r="495" spans="1:4" x14ac:dyDescent="0.25">
      <c r="A495" s="268" t="s">
        <v>24</v>
      </c>
      <c r="B495" s="269"/>
      <c r="C495" s="34">
        <f>RFQ!K39</f>
        <v>0</v>
      </c>
      <c r="D495" s="19"/>
    </row>
    <row r="496" spans="1:4" ht="15.75" thickBot="1" x14ac:dyDescent="0.3">
      <c r="A496" s="270" t="s">
        <v>25</v>
      </c>
      <c r="B496" s="271"/>
      <c r="C496" s="31"/>
      <c r="D496" s="19"/>
    </row>
    <row r="497" spans="1:4" ht="15.75" x14ac:dyDescent="0.3">
      <c r="A497" s="272" t="s">
        <v>26</v>
      </c>
      <c r="B497" s="273"/>
      <c r="C497" s="42"/>
      <c r="D497" s="20"/>
    </row>
    <row r="498" spans="1:4" ht="16.5" thickBot="1" x14ac:dyDescent="0.35">
      <c r="A498" s="274" t="s">
        <v>27</v>
      </c>
      <c r="B498" s="275"/>
      <c r="C498" s="44"/>
      <c r="D498" s="20"/>
    </row>
    <row r="499" spans="1:4" x14ac:dyDescent="0.25">
      <c r="A499" s="272" t="s">
        <v>28</v>
      </c>
      <c r="B499" s="273"/>
      <c r="C499" s="42"/>
    </row>
    <row r="500" spans="1:4" ht="15.75" thickBot="1" x14ac:dyDescent="0.3">
      <c r="A500" s="274" t="s">
        <v>29</v>
      </c>
      <c r="B500" s="275"/>
      <c r="C500" s="44"/>
    </row>
    <row r="501" spans="1:4" x14ac:dyDescent="0.25">
      <c r="A501" s="272" t="s">
        <v>30</v>
      </c>
      <c r="B501" s="273"/>
      <c r="C501" s="42"/>
    </row>
    <row r="502" spans="1:4" ht="15.75" thickBot="1" x14ac:dyDescent="0.3">
      <c r="A502" s="274" t="s">
        <v>31</v>
      </c>
      <c r="B502" s="275"/>
      <c r="C502" s="44"/>
    </row>
    <row r="503" spans="1:4" x14ac:dyDescent="0.25">
      <c r="A503" s="276" t="s">
        <v>32</v>
      </c>
      <c r="B503" s="277"/>
      <c r="C503" s="45"/>
    </row>
    <row r="504" spans="1:4" ht="15.75" thickBot="1" x14ac:dyDescent="0.3">
      <c r="A504" s="274" t="s">
        <v>33</v>
      </c>
      <c r="B504" s="275"/>
      <c r="C504" s="44"/>
    </row>
    <row r="505" spans="1:4" s="17" customFormat="1" ht="16.5" thickBot="1" x14ac:dyDescent="0.25">
      <c r="A505" s="29">
        <f>IF(RFQ!D40="",0,RFQ!A40)</f>
        <v>0</v>
      </c>
      <c r="B505" s="29">
        <f>IF(C505=0,0, "FID "&amp;RFQ!C40)</f>
        <v>0</v>
      </c>
      <c r="C505" s="37">
        <f>RFQ!D40</f>
        <v>0</v>
      </c>
    </row>
    <row r="506" spans="1:4" x14ac:dyDescent="0.25">
      <c r="A506" s="278" t="s">
        <v>21</v>
      </c>
      <c r="B506" s="279"/>
      <c r="C506" s="30">
        <f>RFQ!E40</f>
        <v>0</v>
      </c>
    </row>
    <row r="507" spans="1:4" x14ac:dyDescent="0.25">
      <c r="A507" s="268" t="s">
        <v>22</v>
      </c>
      <c r="B507" s="269"/>
      <c r="C507" s="34">
        <f>RFQ!F40</f>
        <v>0</v>
      </c>
    </row>
    <row r="508" spans="1:4" x14ac:dyDescent="0.25">
      <c r="A508" s="268" t="s">
        <v>23</v>
      </c>
      <c r="B508" s="269"/>
      <c r="C508" s="34">
        <f>RFQ!G40</f>
        <v>0</v>
      </c>
    </row>
    <row r="509" spans="1:4" x14ac:dyDescent="0.25">
      <c r="A509" s="268" t="s">
        <v>24</v>
      </c>
      <c r="B509" s="269"/>
      <c r="C509" s="34">
        <f>RFQ!K40</f>
        <v>0</v>
      </c>
      <c r="D509" s="19"/>
    </row>
    <row r="510" spans="1:4" ht="15.75" thickBot="1" x14ac:dyDescent="0.3">
      <c r="A510" s="270" t="s">
        <v>25</v>
      </c>
      <c r="B510" s="271"/>
      <c r="C510" s="31"/>
      <c r="D510" s="19"/>
    </row>
    <row r="511" spans="1:4" ht="15.75" x14ac:dyDescent="0.3">
      <c r="A511" s="272" t="s">
        <v>26</v>
      </c>
      <c r="B511" s="273"/>
      <c r="C511" s="42"/>
      <c r="D511" s="20"/>
    </row>
    <row r="512" spans="1:4" ht="16.5" thickBot="1" x14ac:dyDescent="0.35">
      <c r="A512" s="274" t="s">
        <v>27</v>
      </c>
      <c r="B512" s="275"/>
      <c r="C512" s="44"/>
      <c r="D512" s="20"/>
    </row>
    <row r="513" spans="1:4" x14ac:dyDescent="0.25">
      <c r="A513" s="272" t="s">
        <v>28</v>
      </c>
      <c r="B513" s="273"/>
      <c r="C513" s="42"/>
    </row>
    <row r="514" spans="1:4" ht="15.75" thickBot="1" x14ac:dyDescent="0.3">
      <c r="A514" s="274" t="s">
        <v>29</v>
      </c>
      <c r="B514" s="275"/>
      <c r="C514" s="44"/>
    </row>
    <row r="515" spans="1:4" x14ac:dyDescent="0.25">
      <c r="A515" s="272" t="s">
        <v>30</v>
      </c>
      <c r="B515" s="273"/>
      <c r="C515" s="42"/>
    </row>
    <row r="516" spans="1:4" ht="15.75" thickBot="1" x14ac:dyDescent="0.3">
      <c r="A516" s="274" t="s">
        <v>31</v>
      </c>
      <c r="B516" s="275"/>
      <c r="C516" s="44"/>
    </row>
    <row r="517" spans="1:4" x14ac:dyDescent="0.25">
      <c r="A517" s="276" t="s">
        <v>32</v>
      </c>
      <c r="B517" s="277"/>
      <c r="C517" s="45"/>
    </row>
    <row r="518" spans="1:4" ht="15.75" thickBot="1" x14ac:dyDescent="0.3">
      <c r="A518" s="274" t="s">
        <v>33</v>
      </c>
      <c r="B518" s="275"/>
      <c r="C518" s="44"/>
    </row>
    <row r="519" spans="1:4" s="17" customFormat="1" ht="16.5" thickBot="1" x14ac:dyDescent="0.25">
      <c r="A519" s="29">
        <f>IF(RFQ!D41="",0,RFQ!A41)</f>
        <v>0</v>
      </c>
      <c r="B519" s="29">
        <f>IF(C519=0,0, "FID "&amp;RFQ!C41)</f>
        <v>0</v>
      </c>
      <c r="C519" s="37">
        <f>RFQ!D41</f>
        <v>0</v>
      </c>
    </row>
    <row r="520" spans="1:4" x14ac:dyDescent="0.25">
      <c r="A520" s="278" t="s">
        <v>21</v>
      </c>
      <c r="B520" s="279"/>
      <c r="C520" s="30">
        <f>RFQ!E41</f>
        <v>0</v>
      </c>
    </row>
    <row r="521" spans="1:4" x14ac:dyDescent="0.25">
      <c r="A521" s="268" t="s">
        <v>22</v>
      </c>
      <c r="B521" s="269"/>
      <c r="C521" s="34">
        <f>RFQ!F41</f>
        <v>0</v>
      </c>
    </row>
    <row r="522" spans="1:4" x14ac:dyDescent="0.25">
      <c r="A522" s="268" t="s">
        <v>23</v>
      </c>
      <c r="B522" s="269"/>
      <c r="C522" s="34">
        <f>RFQ!G41</f>
        <v>0</v>
      </c>
    </row>
    <row r="523" spans="1:4" x14ac:dyDescent="0.25">
      <c r="A523" s="268" t="s">
        <v>24</v>
      </c>
      <c r="B523" s="269"/>
      <c r="C523" s="34">
        <f>RFQ!K41</f>
        <v>0</v>
      </c>
      <c r="D523" s="19"/>
    </row>
    <row r="524" spans="1:4" ht="15.75" thickBot="1" x14ac:dyDescent="0.3">
      <c r="A524" s="270" t="s">
        <v>25</v>
      </c>
      <c r="B524" s="271"/>
      <c r="C524" s="31"/>
      <c r="D524" s="19"/>
    </row>
    <row r="525" spans="1:4" ht="15.75" x14ac:dyDescent="0.3">
      <c r="A525" s="272" t="s">
        <v>26</v>
      </c>
      <c r="B525" s="273"/>
      <c r="C525" s="42"/>
      <c r="D525" s="20"/>
    </row>
    <row r="526" spans="1:4" ht="16.5" thickBot="1" x14ac:dyDescent="0.35">
      <c r="A526" s="274" t="s">
        <v>27</v>
      </c>
      <c r="B526" s="275"/>
      <c r="C526" s="44"/>
      <c r="D526" s="20"/>
    </row>
    <row r="527" spans="1:4" x14ac:dyDescent="0.25">
      <c r="A527" s="272" t="s">
        <v>28</v>
      </c>
      <c r="B527" s="273"/>
      <c r="C527" s="42"/>
    </row>
    <row r="528" spans="1:4" ht="15.75" thickBot="1" x14ac:dyDescent="0.3">
      <c r="A528" s="274" t="s">
        <v>29</v>
      </c>
      <c r="B528" s="275"/>
      <c r="C528" s="44"/>
    </row>
    <row r="529" spans="1:4" x14ac:dyDescent="0.25">
      <c r="A529" s="272" t="s">
        <v>30</v>
      </c>
      <c r="B529" s="273"/>
      <c r="C529" s="42"/>
    </row>
    <row r="530" spans="1:4" ht="15.75" thickBot="1" x14ac:dyDescent="0.3">
      <c r="A530" s="274" t="s">
        <v>31</v>
      </c>
      <c r="B530" s="275"/>
      <c r="C530" s="44"/>
    </row>
    <row r="531" spans="1:4" x14ac:dyDescent="0.25">
      <c r="A531" s="276" t="s">
        <v>32</v>
      </c>
      <c r="B531" s="277"/>
      <c r="C531" s="45"/>
    </row>
    <row r="532" spans="1:4" ht="15.75" thickBot="1" x14ac:dyDescent="0.3">
      <c r="A532" s="274" t="s">
        <v>33</v>
      </c>
      <c r="B532" s="275"/>
      <c r="C532" s="44"/>
    </row>
    <row r="533" spans="1:4" s="17" customFormat="1" ht="16.5" thickBot="1" x14ac:dyDescent="0.25">
      <c r="A533" s="29">
        <f>IF(RFQ!D42="",0,RFQ!A42)</f>
        <v>0</v>
      </c>
      <c r="B533" s="29">
        <f>IF(C533=0,0, "FID "&amp;RFQ!C42)</f>
        <v>0</v>
      </c>
      <c r="C533" s="37">
        <f>RFQ!D42</f>
        <v>0</v>
      </c>
    </row>
    <row r="534" spans="1:4" x14ac:dyDescent="0.25">
      <c r="A534" s="278" t="s">
        <v>21</v>
      </c>
      <c r="B534" s="279"/>
      <c r="C534" s="30">
        <f>RFQ!E42</f>
        <v>0</v>
      </c>
    </row>
    <row r="535" spans="1:4" x14ac:dyDescent="0.25">
      <c r="A535" s="268" t="s">
        <v>22</v>
      </c>
      <c r="B535" s="269"/>
      <c r="C535" s="34">
        <f>RFQ!F42</f>
        <v>0</v>
      </c>
    </row>
    <row r="536" spans="1:4" x14ac:dyDescent="0.25">
      <c r="A536" s="268" t="s">
        <v>23</v>
      </c>
      <c r="B536" s="269"/>
      <c r="C536" s="34">
        <f>RFQ!G42</f>
        <v>0</v>
      </c>
    </row>
    <row r="537" spans="1:4" x14ac:dyDescent="0.25">
      <c r="A537" s="268" t="s">
        <v>24</v>
      </c>
      <c r="B537" s="269"/>
      <c r="C537" s="34">
        <f>RFQ!K42</f>
        <v>0</v>
      </c>
      <c r="D537" s="19"/>
    </row>
    <row r="538" spans="1:4" ht="15.75" thickBot="1" x14ac:dyDescent="0.3">
      <c r="A538" s="270" t="s">
        <v>25</v>
      </c>
      <c r="B538" s="271"/>
      <c r="C538" s="31"/>
      <c r="D538" s="19"/>
    </row>
    <row r="539" spans="1:4" ht="15.75" x14ac:dyDescent="0.3">
      <c r="A539" s="272" t="s">
        <v>26</v>
      </c>
      <c r="B539" s="273"/>
      <c r="C539" s="42"/>
      <c r="D539" s="20"/>
    </row>
    <row r="540" spans="1:4" ht="16.5" thickBot="1" x14ac:dyDescent="0.35">
      <c r="A540" s="274" t="s">
        <v>27</v>
      </c>
      <c r="B540" s="275"/>
      <c r="C540" s="44"/>
      <c r="D540" s="20"/>
    </row>
    <row r="541" spans="1:4" x14ac:dyDescent="0.25">
      <c r="A541" s="272" t="s">
        <v>28</v>
      </c>
      <c r="B541" s="273"/>
      <c r="C541" s="42"/>
    </row>
    <row r="542" spans="1:4" ht="15.75" thickBot="1" x14ac:dyDescent="0.3">
      <c r="A542" s="274" t="s">
        <v>29</v>
      </c>
      <c r="B542" s="275"/>
      <c r="C542" s="44"/>
    </row>
    <row r="543" spans="1:4" x14ac:dyDescent="0.25">
      <c r="A543" s="272" t="s">
        <v>30</v>
      </c>
      <c r="B543" s="273"/>
      <c r="C543" s="42"/>
    </row>
    <row r="544" spans="1:4" ht="15.75" thickBot="1" x14ac:dyDescent="0.3">
      <c r="A544" s="274" t="s">
        <v>31</v>
      </c>
      <c r="B544" s="275"/>
      <c r="C544" s="44"/>
    </row>
    <row r="545" spans="1:4" x14ac:dyDescent="0.25">
      <c r="A545" s="276" t="s">
        <v>32</v>
      </c>
      <c r="B545" s="277"/>
      <c r="C545" s="45"/>
    </row>
    <row r="546" spans="1:4" ht="15.75" thickBot="1" x14ac:dyDescent="0.3">
      <c r="A546" s="274" t="s">
        <v>33</v>
      </c>
      <c r="B546" s="275"/>
      <c r="C546" s="44"/>
    </row>
    <row r="547" spans="1:4" s="17" customFormat="1" ht="16.5" thickBot="1" x14ac:dyDescent="0.25">
      <c r="A547" s="29">
        <f>IF(RFQ!D43="",0,RFQ!A43)</f>
        <v>0</v>
      </c>
      <c r="B547" s="29">
        <f>IF(C547=0,0, "FID "&amp;RFQ!C43)</f>
        <v>0</v>
      </c>
      <c r="C547" s="37">
        <f>RFQ!D43</f>
        <v>0</v>
      </c>
    </row>
    <row r="548" spans="1:4" x14ac:dyDescent="0.25">
      <c r="A548" s="278" t="s">
        <v>21</v>
      </c>
      <c r="B548" s="279"/>
      <c r="C548" s="30">
        <f>RFQ!E43</f>
        <v>0</v>
      </c>
    </row>
    <row r="549" spans="1:4" x14ac:dyDescent="0.25">
      <c r="A549" s="268" t="s">
        <v>22</v>
      </c>
      <c r="B549" s="269"/>
      <c r="C549" s="34">
        <f>RFQ!F43</f>
        <v>0</v>
      </c>
    </row>
    <row r="550" spans="1:4" x14ac:dyDescent="0.25">
      <c r="A550" s="268" t="s">
        <v>23</v>
      </c>
      <c r="B550" s="269"/>
      <c r="C550" s="34">
        <f>RFQ!G43</f>
        <v>0</v>
      </c>
    </row>
    <row r="551" spans="1:4" x14ac:dyDescent="0.25">
      <c r="A551" s="268" t="s">
        <v>24</v>
      </c>
      <c r="B551" s="269"/>
      <c r="C551" s="34">
        <f>RFQ!K43</f>
        <v>0</v>
      </c>
      <c r="D551" s="19"/>
    </row>
    <row r="552" spans="1:4" ht="15.75" thickBot="1" x14ac:dyDescent="0.3">
      <c r="A552" s="270" t="s">
        <v>25</v>
      </c>
      <c r="B552" s="271"/>
      <c r="C552" s="31"/>
      <c r="D552" s="19"/>
    </row>
    <row r="553" spans="1:4" ht="15.75" x14ac:dyDescent="0.3">
      <c r="A553" s="272" t="s">
        <v>26</v>
      </c>
      <c r="B553" s="273"/>
      <c r="C553" s="42"/>
      <c r="D553" s="20"/>
    </row>
    <row r="554" spans="1:4" ht="16.5" thickBot="1" x14ac:dyDescent="0.35">
      <c r="A554" s="274" t="s">
        <v>27</v>
      </c>
      <c r="B554" s="275"/>
      <c r="C554" s="44"/>
      <c r="D554" s="20"/>
    </row>
    <row r="555" spans="1:4" x14ac:dyDescent="0.25">
      <c r="A555" s="272" t="s">
        <v>28</v>
      </c>
      <c r="B555" s="273"/>
      <c r="C555" s="42"/>
    </row>
    <row r="556" spans="1:4" ht="15.75" thickBot="1" x14ac:dyDescent="0.3">
      <c r="A556" s="274" t="s">
        <v>29</v>
      </c>
      <c r="B556" s="275"/>
      <c r="C556" s="44"/>
    </row>
    <row r="557" spans="1:4" x14ac:dyDescent="0.25">
      <c r="A557" s="272" t="s">
        <v>30</v>
      </c>
      <c r="B557" s="273"/>
      <c r="C557" s="42"/>
    </row>
    <row r="558" spans="1:4" ht="15.75" thickBot="1" x14ac:dyDescent="0.3">
      <c r="A558" s="274" t="s">
        <v>31</v>
      </c>
      <c r="B558" s="275"/>
      <c r="C558" s="44"/>
    </row>
    <row r="559" spans="1:4" x14ac:dyDescent="0.25">
      <c r="A559" s="276" t="s">
        <v>32</v>
      </c>
      <c r="B559" s="277"/>
      <c r="C559" s="45"/>
    </row>
    <row r="560" spans="1:4" ht="15.75" thickBot="1" x14ac:dyDescent="0.3">
      <c r="A560" s="274" t="s">
        <v>33</v>
      </c>
      <c r="B560" s="275"/>
      <c r="C560" s="44"/>
    </row>
    <row r="561" spans="1:4" s="17" customFormat="1" ht="16.5" thickBot="1" x14ac:dyDescent="0.25">
      <c r="A561" s="29">
        <f>IF(RFQ!D44="",0,RFQ!A44)</f>
        <v>0</v>
      </c>
      <c r="B561" s="29">
        <f>IF(C561=0,0, "FID "&amp;RFQ!C44)</f>
        <v>0</v>
      </c>
      <c r="C561" s="37">
        <f>RFQ!D44</f>
        <v>0</v>
      </c>
    </row>
    <row r="562" spans="1:4" x14ac:dyDescent="0.25">
      <c r="A562" s="278" t="s">
        <v>21</v>
      </c>
      <c r="B562" s="279"/>
      <c r="C562" s="30">
        <f>RFQ!E44</f>
        <v>0</v>
      </c>
    </row>
    <row r="563" spans="1:4" x14ac:dyDescent="0.25">
      <c r="A563" s="268" t="s">
        <v>22</v>
      </c>
      <c r="B563" s="269"/>
      <c r="C563" s="34">
        <f>RFQ!F44</f>
        <v>0</v>
      </c>
    </row>
    <row r="564" spans="1:4" x14ac:dyDescent="0.25">
      <c r="A564" s="268" t="s">
        <v>23</v>
      </c>
      <c r="B564" s="269"/>
      <c r="C564" s="34">
        <f>RFQ!G44</f>
        <v>0</v>
      </c>
    </row>
    <row r="565" spans="1:4" x14ac:dyDescent="0.25">
      <c r="A565" s="268" t="s">
        <v>24</v>
      </c>
      <c r="B565" s="269"/>
      <c r="C565" s="34">
        <f>RFQ!K44</f>
        <v>0</v>
      </c>
      <c r="D565" s="19"/>
    </row>
    <row r="566" spans="1:4" ht="15.75" thickBot="1" x14ac:dyDescent="0.3">
      <c r="A566" s="270" t="s">
        <v>25</v>
      </c>
      <c r="B566" s="271"/>
      <c r="C566" s="31"/>
      <c r="D566" s="19"/>
    </row>
    <row r="567" spans="1:4" ht="15.75" x14ac:dyDescent="0.3">
      <c r="A567" s="272" t="s">
        <v>26</v>
      </c>
      <c r="B567" s="273"/>
      <c r="C567" s="42"/>
      <c r="D567" s="20"/>
    </row>
    <row r="568" spans="1:4" ht="16.5" thickBot="1" x14ac:dyDescent="0.35">
      <c r="A568" s="274" t="s">
        <v>27</v>
      </c>
      <c r="B568" s="275"/>
      <c r="C568" s="44"/>
      <c r="D568" s="20"/>
    </row>
    <row r="569" spans="1:4" x14ac:dyDescent="0.25">
      <c r="A569" s="272" t="s">
        <v>28</v>
      </c>
      <c r="B569" s="273"/>
      <c r="C569" s="42"/>
    </row>
    <row r="570" spans="1:4" ht="15.75" thickBot="1" x14ac:dyDescent="0.3">
      <c r="A570" s="274" t="s">
        <v>29</v>
      </c>
      <c r="B570" s="275"/>
      <c r="C570" s="44"/>
    </row>
    <row r="571" spans="1:4" x14ac:dyDescent="0.25">
      <c r="A571" s="272" t="s">
        <v>30</v>
      </c>
      <c r="B571" s="273"/>
      <c r="C571" s="42"/>
    </row>
    <row r="572" spans="1:4" ht="15.75" thickBot="1" x14ac:dyDescent="0.3">
      <c r="A572" s="274" t="s">
        <v>31</v>
      </c>
      <c r="B572" s="275"/>
      <c r="C572" s="44"/>
    </row>
    <row r="573" spans="1:4" x14ac:dyDescent="0.25">
      <c r="A573" s="276" t="s">
        <v>32</v>
      </c>
      <c r="B573" s="277"/>
      <c r="C573" s="45"/>
    </row>
    <row r="574" spans="1:4" ht="16.5" customHeight="1" thickBot="1" x14ac:dyDescent="0.3">
      <c r="A574" s="274" t="s">
        <v>33</v>
      </c>
      <c r="B574" s="275"/>
      <c r="C574" s="44"/>
    </row>
    <row r="575" spans="1:4" s="17" customFormat="1" ht="16.5" thickBot="1" x14ac:dyDescent="0.25">
      <c r="A575" s="29">
        <f>IF(RFQ!D58="",0,RFQ!A45)</f>
        <v>0</v>
      </c>
      <c r="B575" s="29">
        <f>IF(C575=0,0, "FID "&amp;RFQ!C45)</f>
        <v>0</v>
      </c>
      <c r="C575" s="37">
        <f>RFQ!D45</f>
        <v>0</v>
      </c>
    </row>
    <row r="576" spans="1:4" x14ac:dyDescent="0.25">
      <c r="A576" s="278" t="s">
        <v>21</v>
      </c>
      <c r="B576" s="279"/>
      <c r="C576" s="30">
        <f>RFQ!E45</f>
        <v>0</v>
      </c>
    </row>
    <row r="577" spans="1:4" x14ac:dyDescent="0.25">
      <c r="A577" s="268" t="s">
        <v>22</v>
      </c>
      <c r="B577" s="269"/>
      <c r="C577" s="34">
        <f>RFQ!F45</f>
        <v>0</v>
      </c>
    </row>
    <row r="578" spans="1:4" x14ac:dyDescent="0.25">
      <c r="A578" s="268" t="s">
        <v>23</v>
      </c>
      <c r="B578" s="269"/>
      <c r="C578" s="34">
        <f>RFQ!G45</f>
        <v>0</v>
      </c>
    </row>
    <row r="579" spans="1:4" x14ac:dyDescent="0.25">
      <c r="A579" s="268" t="s">
        <v>24</v>
      </c>
      <c r="B579" s="269"/>
      <c r="C579" s="34">
        <f>RFQ!K45</f>
        <v>0</v>
      </c>
      <c r="D579" s="19"/>
    </row>
    <row r="580" spans="1:4" ht="15.75" thickBot="1" x14ac:dyDescent="0.3">
      <c r="A580" s="270" t="s">
        <v>25</v>
      </c>
      <c r="B580" s="271"/>
      <c r="C580" s="31"/>
      <c r="D580" s="19"/>
    </row>
    <row r="581" spans="1:4" ht="15.75" x14ac:dyDescent="0.3">
      <c r="A581" s="272" t="s">
        <v>26</v>
      </c>
      <c r="B581" s="273"/>
      <c r="C581" s="42"/>
      <c r="D581" s="20"/>
    </row>
    <row r="582" spans="1:4" ht="16.5" thickBot="1" x14ac:dyDescent="0.35">
      <c r="A582" s="274" t="s">
        <v>27</v>
      </c>
      <c r="B582" s="275"/>
      <c r="C582" s="44"/>
      <c r="D582" s="20"/>
    </row>
    <row r="583" spans="1:4" x14ac:dyDescent="0.25">
      <c r="A583" s="272" t="s">
        <v>28</v>
      </c>
      <c r="B583" s="273"/>
      <c r="C583" s="42"/>
    </row>
    <row r="584" spans="1:4" ht="15.75" thickBot="1" x14ac:dyDescent="0.3">
      <c r="A584" s="274" t="s">
        <v>29</v>
      </c>
      <c r="B584" s="275"/>
      <c r="C584" s="44"/>
    </row>
    <row r="585" spans="1:4" x14ac:dyDescent="0.25">
      <c r="A585" s="272" t="s">
        <v>30</v>
      </c>
      <c r="B585" s="273"/>
      <c r="C585" s="42"/>
    </row>
    <row r="586" spans="1:4" ht="15.75" thickBot="1" x14ac:dyDescent="0.3">
      <c r="A586" s="274" t="s">
        <v>31</v>
      </c>
      <c r="B586" s="275"/>
      <c r="C586" s="44"/>
    </row>
    <row r="587" spans="1:4" x14ac:dyDescent="0.25">
      <c r="A587" s="276" t="s">
        <v>32</v>
      </c>
      <c r="B587" s="277"/>
      <c r="C587" s="45"/>
    </row>
    <row r="588" spans="1:4" ht="15.75" thickBot="1" x14ac:dyDescent="0.3">
      <c r="A588" s="274" t="s">
        <v>33</v>
      </c>
      <c r="B588" s="275"/>
      <c r="C588" s="44"/>
    </row>
    <row r="589" spans="1:4" s="17" customFormat="1" ht="16.5" thickBot="1" x14ac:dyDescent="0.25">
      <c r="A589" s="29">
        <f>IF(RFQ!D46="",0,RFQ!A46)</f>
        <v>0</v>
      </c>
      <c r="B589" s="29">
        <f>IF(C589=0,0, "FID "&amp;RFQ!C46)</f>
        <v>0</v>
      </c>
      <c r="C589" s="37">
        <f>RFQ!D46</f>
        <v>0</v>
      </c>
    </row>
    <row r="590" spans="1:4" x14ac:dyDescent="0.25">
      <c r="A590" s="278" t="s">
        <v>21</v>
      </c>
      <c r="B590" s="279"/>
      <c r="C590" s="30">
        <f>RFQ!E46</f>
        <v>0</v>
      </c>
    </row>
    <row r="591" spans="1:4" x14ac:dyDescent="0.25">
      <c r="A591" s="268" t="s">
        <v>22</v>
      </c>
      <c r="B591" s="269"/>
      <c r="C591" s="34">
        <f>RFQ!F46</f>
        <v>0</v>
      </c>
    </row>
    <row r="592" spans="1:4" x14ac:dyDescent="0.25">
      <c r="A592" s="268" t="s">
        <v>23</v>
      </c>
      <c r="B592" s="269"/>
      <c r="C592" s="34">
        <f>RFQ!G46</f>
        <v>0</v>
      </c>
    </row>
    <row r="593" spans="1:4" x14ac:dyDescent="0.25">
      <c r="A593" s="268" t="s">
        <v>24</v>
      </c>
      <c r="B593" s="269"/>
      <c r="C593" s="34">
        <f>RFQ!K46</f>
        <v>0</v>
      </c>
      <c r="D593" s="19"/>
    </row>
    <row r="594" spans="1:4" ht="15.75" thickBot="1" x14ac:dyDescent="0.3">
      <c r="A594" s="270" t="s">
        <v>25</v>
      </c>
      <c r="B594" s="271"/>
      <c r="C594" s="31"/>
      <c r="D594" s="19"/>
    </row>
    <row r="595" spans="1:4" ht="15.75" x14ac:dyDescent="0.3">
      <c r="A595" s="272" t="s">
        <v>26</v>
      </c>
      <c r="B595" s="273"/>
      <c r="C595" s="42"/>
      <c r="D595" s="20"/>
    </row>
    <row r="596" spans="1:4" ht="16.5" thickBot="1" x14ac:dyDescent="0.35">
      <c r="A596" s="274" t="s">
        <v>27</v>
      </c>
      <c r="B596" s="275"/>
      <c r="C596" s="44"/>
      <c r="D596" s="20"/>
    </row>
    <row r="597" spans="1:4" x14ac:dyDescent="0.25">
      <c r="A597" s="272" t="s">
        <v>28</v>
      </c>
      <c r="B597" s="273"/>
      <c r="C597" s="42"/>
    </row>
    <row r="598" spans="1:4" ht="15.75" thickBot="1" x14ac:dyDescent="0.3">
      <c r="A598" s="274" t="s">
        <v>29</v>
      </c>
      <c r="B598" s="275"/>
      <c r="C598" s="44"/>
    </row>
    <row r="599" spans="1:4" x14ac:dyDescent="0.25">
      <c r="A599" s="272" t="s">
        <v>30</v>
      </c>
      <c r="B599" s="273"/>
      <c r="C599" s="42"/>
    </row>
    <row r="600" spans="1:4" ht="15.75" thickBot="1" x14ac:dyDescent="0.3">
      <c r="A600" s="274" t="s">
        <v>31</v>
      </c>
      <c r="B600" s="275"/>
      <c r="C600" s="44"/>
    </row>
    <row r="601" spans="1:4" x14ac:dyDescent="0.25">
      <c r="A601" s="276" t="s">
        <v>32</v>
      </c>
      <c r="B601" s="277"/>
      <c r="C601" s="45"/>
    </row>
    <row r="602" spans="1:4" ht="15.75" thickBot="1" x14ac:dyDescent="0.3">
      <c r="A602" s="274" t="s">
        <v>33</v>
      </c>
      <c r="B602" s="275"/>
      <c r="C602" s="44"/>
    </row>
    <row r="603" spans="1:4" s="17" customFormat="1" ht="16.5" thickBot="1" x14ac:dyDescent="0.25">
      <c r="A603" s="29">
        <f>IF(RFQ!D47="",0,RFQ!A47)</f>
        <v>0</v>
      </c>
      <c r="B603" s="29">
        <f>IF(C603=0,0, "FID "&amp;RFQ!C47)</f>
        <v>0</v>
      </c>
      <c r="C603" s="37">
        <f>RFQ!D47</f>
        <v>0</v>
      </c>
    </row>
    <row r="604" spans="1:4" x14ac:dyDescent="0.25">
      <c r="A604" s="278" t="s">
        <v>21</v>
      </c>
      <c r="B604" s="279"/>
      <c r="C604" s="30">
        <f>RFQ!E47</f>
        <v>0</v>
      </c>
    </row>
    <row r="605" spans="1:4" x14ac:dyDescent="0.25">
      <c r="A605" s="268" t="s">
        <v>22</v>
      </c>
      <c r="B605" s="269"/>
      <c r="C605" s="34">
        <f>RFQ!F47</f>
        <v>0</v>
      </c>
    </row>
    <row r="606" spans="1:4" x14ac:dyDescent="0.25">
      <c r="A606" s="268" t="s">
        <v>23</v>
      </c>
      <c r="B606" s="269"/>
      <c r="C606" s="34">
        <f>RFQ!G47</f>
        <v>0</v>
      </c>
    </row>
    <row r="607" spans="1:4" x14ac:dyDescent="0.25">
      <c r="A607" s="268" t="s">
        <v>24</v>
      </c>
      <c r="B607" s="269"/>
      <c r="C607" s="34">
        <f>RFQ!K47</f>
        <v>0</v>
      </c>
      <c r="D607" s="19"/>
    </row>
    <row r="608" spans="1:4" ht="15.75" thickBot="1" x14ac:dyDescent="0.3">
      <c r="A608" s="270" t="s">
        <v>25</v>
      </c>
      <c r="B608" s="271"/>
      <c r="C608" s="31"/>
      <c r="D608" s="19"/>
    </row>
    <row r="609" spans="1:4" ht="15.75" x14ac:dyDescent="0.3">
      <c r="A609" s="272" t="s">
        <v>26</v>
      </c>
      <c r="B609" s="273"/>
      <c r="C609" s="42"/>
      <c r="D609" s="20"/>
    </row>
    <row r="610" spans="1:4" ht="16.5" thickBot="1" x14ac:dyDescent="0.35">
      <c r="A610" s="274" t="s">
        <v>27</v>
      </c>
      <c r="B610" s="275"/>
      <c r="C610" s="44"/>
      <c r="D610" s="20"/>
    </row>
    <row r="611" spans="1:4" x14ac:dyDescent="0.25">
      <c r="A611" s="272" t="s">
        <v>28</v>
      </c>
      <c r="B611" s="273"/>
      <c r="C611" s="42"/>
    </row>
    <row r="612" spans="1:4" ht="15.75" thickBot="1" x14ac:dyDescent="0.3">
      <c r="A612" s="274" t="s">
        <v>29</v>
      </c>
      <c r="B612" s="275"/>
      <c r="C612" s="44"/>
    </row>
    <row r="613" spans="1:4" x14ac:dyDescent="0.25">
      <c r="A613" s="272" t="s">
        <v>30</v>
      </c>
      <c r="B613" s="273"/>
      <c r="C613" s="42"/>
    </row>
    <row r="614" spans="1:4" ht="15.75" thickBot="1" x14ac:dyDescent="0.3">
      <c r="A614" s="274" t="s">
        <v>31</v>
      </c>
      <c r="B614" s="275"/>
      <c r="C614" s="44"/>
    </row>
    <row r="615" spans="1:4" x14ac:dyDescent="0.25">
      <c r="A615" s="276" t="s">
        <v>32</v>
      </c>
      <c r="B615" s="277"/>
      <c r="C615" s="45"/>
    </row>
    <row r="616" spans="1:4" ht="15.75" thickBot="1" x14ac:dyDescent="0.3">
      <c r="A616" s="274" t="s">
        <v>33</v>
      </c>
      <c r="B616" s="275"/>
      <c r="C616" s="44"/>
    </row>
    <row r="617" spans="1:4" s="17" customFormat="1" ht="16.5" thickBot="1" x14ac:dyDescent="0.25">
      <c r="A617" s="29">
        <f>IF(RFQ!D48="",0,RFQ!A48)</f>
        <v>0</v>
      </c>
      <c r="B617" s="29">
        <f>IF(C617=0,0, "FID "&amp;RFQ!C48)</f>
        <v>0</v>
      </c>
      <c r="C617" s="37">
        <f>RFQ!D48</f>
        <v>0</v>
      </c>
    </row>
    <row r="618" spans="1:4" x14ac:dyDescent="0.25">
      <c r="A618" s="278" t="s">
        <v>21</v>
      </c>
      <c r="B618" s="279"/>
      <c r="C618" s="30">
        <f>RFQ!E48</f>
        <v>0</v>
      </c>
    </row>
    <row r="619" spans="1:4" x14ac:dyDescent="0.25">
      <c r="A619" s="268" t="s">
        <v>22</v>
      </c>
      <c r="B619" s="269"/>
      <c r="C619" s="34">
        <f>RFQ!F48</f>
        <v>0</v>
      </c>
    </row>
    <row r="620" spans="1:4" x14ac:dyDescent="0.25">
      <c r="A620" s="268" t="s">
        <v>23</v>
      </c>
      <c r="B620" s="269"/>
      <c r="C620" s="34">
        <f>RFQ!G48</f>
        <v>0</v>
      </c>
    </row>
    <row r="621" spans="1:4" x14ac:dyDescent="0.25">
      <c r="A621" s="268" t="s">
        <v>24</v>
      </c>
      <c r="B621" s="269"/>
      <c r="C621" s="34">
        <f>RFQ!K48</f>
        <v>0</v>
      </c>
      <c r="D621" s="19"/>
    </row>
    <row r="622" spans="1:4" ht="15.75" thickBot="1" x14ac:dyDescent="0.3">
      <c r="A622" s="270" t="s">
        <v>25</v>
      </c>
      <c r="B622" s="271"/>
      <c r="C622" s="31"/>
      <c r="D622" s="19"/>
    </row>
    <row r="623" spans="1:4" ht="15.75" x14ac:dyDescent="0.3">
      <c r="A623" s="272" t="s">
        <v>26</v>
      </c>
      <c r="B623" s="273"/>
      <c r="C623" s="42"/>
      <c r="D623" s="20"/>
    </row>
    <row r="624" spans="1:4" ht="16.5" thickBot="1" x14ac:dyDescent="0.35">
      <c r="A624" s="274" t="s">
        <v>27</v>
      </c>
      <c r="B624" s="275"/>
      <c r="C624" s="44"/>
      <c r="D624" s="20"/>
    </row>
    <row r="625" spans="1:4" x14ac:dyDescent="0.25">
      <c r="A625" s="272" t="s">
        <v>28</v>
      </c>
      <c r="B625" s="273"/>
      <c r="C625" s="42"/>
    </row>
    <row r="626" spans="1:4" ht="15.75" thickBot="1" x14ac:dyDescent="0.3">
      <c r="A626" s="274" t="s">
        <v>29</v>
      </c>
      <c r="B626" s="275"/>
      <c r="C626" s="44"/>
    </row>
    <row r="627" spans="1:4" x14ac:dyDescent="0.25">
      <c r="A627" s="272" t="s">
        <v>30</v>
      </c>
      <c r="B627" s="273"/>
      <c r="C627" s="42"/>
    </row>
    <row r="628" spans="1:4" ht="15.75" thickBot="1" x14ac:dyDescent="0.3">
      <c r="A628" s="274" t="s">
        <v>31</v>
      </c>
      <c r="B628" s="275"/>
      <c r="C628" s="44"/>
    </row>
    <row r="629" spans="1:4" x14ac:dyDescent="0.25">
      <c r="A629" s="276" t="s">
        <v>32</v>
      </c>
      <c r="B629" s="277"/>
      <c r="C629" s="45"/>
    </row>
    <row r="630" spans="1:4" ht="15.75" thickBot="1" x14ac:dyDescent="0.3">
      <c r="A630" s="274" t="s">
        <v>33</v>
      </c>
      <c r="B630" s="275"/>
      <c r="C630" s="44"/>
    </row>
    <row r="631" spans="1:4" s="17" customFormat="1" ht="16.5" thickBot="1" x14ac:dyDescent="0.25">
      <c r="A631" s="29">
        <f>IF(RFQ!D49="",0,RFQ!A49)</f>
        <v>0</v>
      </c>
      <c r="B631" s="29">
        <f>IF(C631=0,0, "FID "&amp;RFQ!C49)</f>
        <v>0</v>
      </c>
      <c r="C631" s="37">
        <f>RFQ!D49</f>
        <v>0</v>
      </c>
    </row>
    <row r="632" spans="1:4" x14ac:dyDescent="0.25">
      <c r="A632" s="278" t="s">
        <v>21</v>
      </c>
      <c r="B632" s="279"/>
      <c r="C632" s="30">
        <f>RFQ!E49</f>
        <v>0</v>
      </c>
    </row>
    <row r="633" spans="1:4" x14ac:dyDescent="0.25">
      <c r="A633" s="268" t="s">
        <v>22</v>
      </c>
      <c r="B633" s="269"/>
      <c r="C633" s="34">
        <f>RFQ!F49</f>
        <v>0</v>
      </c>
    </row>
    <row r="634" spans="1:4" x14ac:dyDescent="0.25">
      <c r="A634" s="268" t="s">
        <v>23</v>
      </c>
      <c r="B634" s="269"/>
      <c r="C634" s="34">
        <f>RFQ!G49</f>
        <v>0</v>
      </c>
    </row>
    <row r="635" spans="1:4" x14ac:dyDescent="0.25">
      <c r="A635" s="268" t="s">
        <v>24</v>
      </c>
      <c r="B635" s="269"/>
      <c r="C635" s="34">
        <f>RFQ!K49</f>
        <v>0</v>
      </c>
      <c r="D635" s="19"/>
    </row>
    <row r="636" spans="1:4" ht="15.75" thickBot="1" x14ac:dyDescent="0.3">
      <c r="A636" s="270" t="s">
        <v>25</v>
      </c>
      <c r="B636" s="271"/>
      <c r="C636" s="31"/>
      <c r="D636" s="19"/>
    </row>
    <row r="637" spans="1:4" ht="15.75" x14ac:dyDescent="0.3">
      <c r="A637" s="272" t="s">
        <v>26</v>
      </c>
      <c r="B637" s="273"/>
      <c r="C637" s="42"/>
      <c r="D637" s="20"/>
    </row>
    <row r="638" spans="1:4" ht="16.5" thickBot="1" x14ac:dyDescent="0.35">
      <c r="A638" s="274" t="s">
        <v>27</v>
      </c>
      <c r="B638" s="275"/>
      <c r="C638" s="44"/>
      <c r="D638" s="20"/>
    </row>
    <row r="639" spans="1:4" x14ac:dyDescent="0.25">
      <c r="A639" s="272" t="s">
        <v>28</v>
      </c>
      <c r="B639" s="273"/>
      <c r="C639" s="42"/>
    </row>
    <row r="640" spans="1:4" ht="15.75" thickBot="1" x14ac:dyDescent="0.3">
      <c r="A640" s="274" t="s">
        <v>29</v>
      </c>
      <c r="B640" s="275"/>
      <c r="C640" s="44"/>
    </row>
    <row r="641" spans="1:4" x14ac:dyDescent="0.25">
      <c r="A641" s="272" t="s">
        <v>30</v>
      </c>
      <c r="B641" s="273"/>
      <c r="C641" s="42"/>
    </row>
    <row r="642" spans="1:4" ht="15.75" thickBot="1" x14ac:dyDescent="0.3">
      <c r="A642" s="274" t="s">
        <v>31</v>
      </c>
      <c r="B642" s="275"/>
      <c r="C642" s="44"/>
    </row>
    <row r="643" spans="1:4" x14ac:dyDescent="0.25">
      <c r="A643" s="276" t="s">
        <v>32</v>
      </c>
      <c r="B643" s="277"/>
      <c r="C643" s="45"/>
    </row>
    <row r="644" spans="1:4" ht="15.75" thickBot="1" x14ac:dyDescent="0.3">
      <c r="A644" s="274" t="s">
        <v>33</v>
      </c>
      <c r="B644" s="275"/>
      <c r="C644" s="44"/>
    </row>
    <row r="645" spans="1:4" s="17" customFormat="1" ht="16.5" thickBot="1" x14ac:dyDescent="0.25">
      <c r="A645" s="29">
        <f>IF(RFQ!D50="",0,RFQ!A50)</f>
        <v>0</v>
      </c>
      <c r="B645" s="29">
        <f>IF(C645=0,0, "FID "&amp;RFQ!C50)</f>
        <v>0</v>
      </c>
      <c r="C645" s="37">
        <f>RFQ!D50</f>
        <v>0</v>
      </c>
    </row>
    <row r="646" spans="1:4" x14ac:dyDescent="0.25">
      <c r="A646" s="278" t="s">
        <v>21</v>
      </c>
      <c r="B646" s="279"/>
      <c r="C646" s="30">
        <f>RFQ!E50</f>
        <v>0</v>
      </c>
    </row>
    <row r="647" spans="1:4" x14ac:dyDescent="0.25">
      <c r="A647" s="268" t="s">
        <v>22</v>
      </c>
      <c r="B647" s="269"/>
      <c r="C647" s="34">
        <f>RFQ!F50</f>
        <v>0</v>
      </c>
    </row>
    <row r="648" spans="1:4" x14ac:dyDescent="0.25">
      <c r="A648" s="268" t="s">
        <v>23</v>
      </c>
      <c r="B648" s="269"/>
      <c r="C648" s="34">
        <f>RFQ!G50</f>
        <v>0</v>
      </c>
    </row>
    <row r="649" spans="1:4" x14ac:dyDescent="0.25">
      <c r="A649" s="268" t="s">
        <v>24</v>
      </c>
      <c r="B649" s="269"/>
      <c r="C649" s="34">
        <f>RFQ!K50</f>
        <v>0</v>
      </c>
      <c r="D649" s="19"/>
    </row>
    <row r="650" spans="1:4" ht="15.75" thickBot="1" x14ac:dyDescent="0.3">
      <c r="A650" s="270" t="s">
        <v>25</v>
      </c>
      <c r="B650" s="271"/>
      <c r="C650" s="31"/>
      <c r="D650" s="19"/>
    </row>
    <row r="651" spans="1:4" ht="15.75" x14ac:dyDescent="0.3">
      <c r="A651" s="272" t="s">
        <v>26</v>
      </c>
      <c r="B651" s="273"/>
      <c r="C651" s="42"/>
      <c r="D651" s="20"/>
    </row>
    <row r="652" spans="1:4" ht="16.5" thickBot="1" x14ac:dyDescent="0.35">
      <c r="A652" s="274" t="s">
        <v>27</v>
      </c>
      <c r="B652" s="275"/>
      <c r="C652" s="44"/>
      <c r="D652" s="20"/>
    </row>
    <row r="653" spans="1:4" x14ac:dyDescent="0.25">
      <c r="A653" s="272" t="s">
        <v>28</v>
      </c>
      <c r="B653" s="273"/>
      <c r="C653" s="42"/>
    </row>
    <row r="654" spans="1:4" ht="15.75" thickBot="1" x14ac:dyDescent="0.3">
      <c r="A654" s="274" t="s">
        <v>29</v>
      </c>
      <c r="B654" s="275"/>
      <c r="C654" s="44"/>
    </row>
    <row r="655" spans="1:4" x14ac:dyDescent="0.25">
      <c r="A655" s="272" t="s">
        <v>30</v>
      </c>
      <c r="B655" s="273"/>
      <c r="C655" s="42"/>
    </row>
    <row r="656" spans="1:4" ht="15.75" thickBot="1" x14ac:dyDescent="0.3">
      <c r="A656" s="274" t="s">
        <v>31</v>
      </c>
      <c r="B656" s="275"/>
      <c r="C656" s="44"/>
    </row>
    <row r="657" spans="1:4" x14ac:dyDescent="0.25">
      <c r="A657" s="276" t="s">
        <v>32</v>
      </c>
      <c r="B657" s="277"/>
      <c r="C657" s="45"/>
    </row>
    <row r="658" spans="1:4" ht="15.75" thickBot="1" x14ac:dyDescent="0.3">
      <c r="A658" s="274" t="s">
        <v>33</v>
      </c>
      <c r="B658" s="275"/>
      <c r="C658" s="44"/>
    </row>
    <row r="659" spans="1:4" s="17" customFormat="1" ht="16.5" thickBot="1" x14ac:dyDescent="0.25">
      <c r="A659" s="29">
        <f>IF(RFQ!D51="",0,RFQ!A51)</f>
        <v>0</v>
      </c>
      <c r="B659" s="29">
        <f>IF(C659=0,0, "FID "&amp;RFQ!C51)</f>
        <v>0</v>
      </c>
      <c r="C659" s="37">
        <f>RFQ!D51</f>
        <v>0</v>
      </c>
    </row>
    <row r="660" spans="1:4" x14ac:dyDescent="0.25">
      <c r="A660" s="278" t="s">
        <v>21</v>
      </c>
      <c r="B660" s="279"/>
      <c r="C660" s="30">
        <f>RFQ!E51</f>
        <v>0</v>
      </c>
    </row>
    <row r="661" spans="1:4" x14ac:dyDescent="0.25">
      <c r="A661" s="268" t="s">
        <v>22</v>
      </c>
      <c r="B661" s="269"/>
      <c r="C661" s="34">
        <f>RFQ!F51</f>
        <v>0</v>
      </c>
    </row>
    <row r="662" spans="1:4" x14ac:dyDescent="0.25">
      <c r="A662" s="268" t="s">
        <v>23</v>
      </c>
      <c r="B662" s="269"/>
      <c r="C662" s="34">
        <f>RFQ!G51</f>
        <v>0</v>
      </c>
    </row>
    <row r="663" spans="1:4" x14ac:dyDescent="0.25">
      <c r="A663" s="268" t="s">
        <v>24</v>
      </c>
      <c r="B663" s="269"/>
      <c r="C663" s="34">
        <f>RFQ!K51</f>
        <v>0</v>
      </c>
      <c r="D663" s="19"/>
    </row>
    <row r="664" spans="1:4" ht="15.75" thickBot="1" x14ac:dyDescent="0.3">
      <c r="A664" s="270" t="s">
        <v>25</v>
      </c>
      <c r="B664" s="271"/>
      <c r="C664" s="31"/>
      <c r="D664" s="19"/>
    </row>
    <row r="665" spans="1:4" ht="15.75" x14ac:dyDescent="0.3">
      <c r="A665" s="272" t="s">
        <v>26</v>
      </c>
      <c r="B665" s="273"/>
      <c r="C665" s="42"/>
      <c r="D665" s="20"/>
    </row>
    <row r="666" spans="1:4" ht="16.5" thickBot="1" x14ac:dyDescent="0.35">
      <c r="A666" s="274" t="s">
        <v>27</v>
      </c>
      <c r="B666" s="275"/>
      <c r="C666" s="44"/>
      <c r="D666" s="20"/>
    </row>
    <row r="667" spans="1:4" x14ac:dyDescent="0.25">
      <c r="A667" s="272" t="s">
        <v>28</v>
      </c>
      <c r="B667" s="273"/>
      <c r="C667" s="42"/>
    </row>
    <row r="668" spans="1:4" ht="15.75" thickBot="1" x14ac:dyDescent="0.3">
      <c r="A668" s="274" t="s">
        <v>29</v>
      </c>
      <c r="B668" s="275"/>
      <c r="C668" s="44"/>
    </row>
    <row r="669" spans="1:4" x14ac:dyDescent="0.25">
      <c r="A669" s="272" t="s">
        <v>30</v>
      </c>
      <c r="B669" s="273"/>
      <c r="C669" s="42"/>
    </row>
    <row r="670" spans="1:4" ht="15.75" thickBot="1" x14ac:dyDescent="0.3">
      <c r="A670" s="274" t="s">
        <v>31</v>
      </c>
      <c r="B670" s="275"/>
      <c r="C670" s="44"/>
    </row>
    <row r="671" spans="1:4" x14ac:dyDescent="0.25">
      <c r="A671" s="276" t="s">
        <v>32</v>
      </c>
      <c r="B671" s="277"/>
      <c r="C671" s="45"/>
    </row>
    <row r="672" spans="1:4" ht="15.75" thickBot="1" x14ac:dyDescent="0.3">
      <c r="A672" s="274" t="s">
        <v>33</v>
      </c>
      <c r="B672" s="275"/>
      <c r="C672" s="44"/>
    </row>
    <row r="673" spans="1:4" s="17" customFormat="1" ht="16.5" thickBot="1" x14ac:dyDescent="0.25">
      <c r="A673" s="29">
        <f>IF(RFQ!D52="",0,RFQ!A52)</f>
        <v>0</v>
      </c>
      <c r="B673" s="29">
        <f>IF(C673=0,0, "FID "&amp;RFQ!C52)</f>
        <v>0</v>
      </c>
      <c r="C673" s="37">
        <f>RFQ!D52</f>
        <v>0</v>
      </c>
    </row>
    <row r="674" spans="1:4" x14ac:dyDescent="0.25">
      <c r="A674" s="278" t="s">
        <v>21</v>
      </c>
      <c r="B674" s="279"/>
      <c r="C674" s="30">
        <f>RFQ!E52</f>
        <v>0</v>
      </c>
    </row>
    <row r="675" spans="1:4" x14ac:dyDescent="0.25">
      <c r="A675" s="268" t="s">
        <v>22</v>
      </c>
      <c r="B675" s="269"/>
      <c r="C675" s="34">
        <f>RFQ!F52</f>
        <v>0</v>
      </c>
    </row>
    <row r="676" spans="1:4" x14ac:dyDescent="0.25">
      <c r="A676" s="268" t="s">
        <v>23</v>
      </c>
      <c r="B676" s="269"/>
      <c r="C676" s="34">
        <f>RFQ!G52</f>
        <v>0</v>
      </c>
    </row>
    <row r="677" spans="1:4" x14ac:dyDescent="0.25">
      <c r="A677" s="268" t="s">
        <v>24</v>
      </c>
      <c r="B677" s="269"/>
      <c r="C677" s="34">
        <f>RFQ!K52</f>
        <v>0</v>
      </c>
      <c r="D677" s="19"/>
    </row>
    <row r="678" spans="1:4" ht="15.75" thickBot="1" x14ac:dyDescent="0.3">
      <c r="A678" s="270" t="s">
        <v>25</v>
      </c>
      <c r="B678" s="271"/>
      <c r="C678" s="31"/>
      <c r="D678" s="19"/>
    </row>
    <row r="679" spans="1:4" ht="15.75" x14ac:dyDescent="0.3">
      <c r="A679" s="272" t="s">
        <v>26</v>
      </c>
      <c r="B679" s="273"/>
      <c r="C679" s="42"/>
      <c r="D679" s="20"/>
    </row>
    <row r="680" spans="1:4" ht="16.5" thickBot="1" x14ac:dyDescent="0.35">
      <c r="A680" s="274" t="s">
        <v>27</v>
      </c>
      <c r="B680" s="275"/>
      <c r="C680" s="44"/>
      <c r="D680" s="20"/>
    </row>
    <row r="681" spans="1:4" x14ac:dyDescent="0.25">
      <c r="A681" s="272" t="s">
        <v>28</v>
      </c>
      <c r="B681" s="273"/>
      <c r="C681" s="42"/>
    </row>
    <row r="682" spans="1:4" ht="15.75" thickBot="1" x14ac:dyDescent="0.3">
      <c r="A682" s="274" t="s">
        <v>29</v>
      </c>
      <c r="B682" s="275"/>
      <c r="C682" s="44"/>
    </row>
    <row r="683" spans="1:4" x14ac:dyDescent="0.25">
      <c r="A683" s="272" t="s">
        <v>30</v>
      </c>
      <c r="B683" s="273"/>
      <c r="C683" s="42"/>
    </row>
    <row r="684" spans="1:4" ht="15.75" thickBot="1" x14ac:dyDescent="0.3">
      <c r="A684" s="274" t="s">
        <v>31</v>
      </c>
      <c r="B684" s="275"/>
      <c r="C684" s="44"/>
    </row>
    <row r="685" spans="1:4" x14ac:dyDescent="0.25">
      <c r="A685" s="276" t="s">
        <v>32</v>
      </c>
      <c r="B685" s="277"/>
      <c r="C685" s="45"/>
    </row>
    <row r="686" spans="1:4" ht="15.75" thickBot="1" x14ac:dyDescent="0.3">
      <c r="A686" s="274" t="s">
        <v>33</v>
      </c>
      <c r="B686" s="275"/>
      <c r="C686" s="44"/>
    </row>
    <row r="687" spans="1:4" s="17" customFormat="1" ht="16.5" thickBot="1" x14ac:dyDescent="0.25">
      <c r="A687" s="29">
        <f>IF(RFQ!D53="",0,RFQ!A53)</f>
        <v>0</v>
      </c>
      <c r="B687" s="29">
        <f>IF(C687=0,0, "FID "&amp;RFQ!C53)</f>
        <v>0</v>
      </c>
      <c r="C687" s="37">
        <f>RFQ!D53</f>
        <v>0</v>
      </c>
    </row>
    <row r="688" spans="1:4" x14ac:dyDescent="0.25">
      <c r="A688" s="278" t="s">
        <v>21</v>
      </c>
      <c r="B688" s="279"/>
      <c r="C688" s="30">
        <f>RFQ!E53</f>
        <v>0</v>
      </c>
    </row>
    <row r="689" spans="1:4" x14ac:dyDescent="0.25">
      <c r="A689" s="268" t="s">
        <v>22</v>
      </c>
      <c r="B689" s="269"/>
      <c r="C689" s="34">
        <f>RFQ!F53</f>
        <v>0</v>
      </c>
    </row>
    <row r="690" spans="1:4" x14ac:dyDescent="0.25">
      <c r="A690" s="268" t="s">
        <v>23</v>
      </c>
      <c r="B690" s="269"/>
      <c r="C690" s="34">
        <f>RFQ!G53</f>
        <v>0</v>
      </c>
    </row>
    <row r="691" spans="1:4" x14ac:dyDescent="0.25">
      <c r="A691" s="268" t="s">
        <v>24</v>
      </c>
      <c r="B691" s="269"/>
      <c r="C691" s="34">
        <f>RFQ!K53</f>
        <v>0</v>
      </c>
      <c r="D691" s="19"/>
    </row>
    <row r="692" spans="1:4" ht="15.75" thickBot="1" x14ac:dyDescent="0.3">
      <c r="A692" s="270" t="s">
        <v>25</v>
      </c>
      <c r="B692" s="271"/>
      <c r="C692" s="31"/>
      <c r="D692" s="19"/>
    </row>
    <row r="693" spans="1:4" ht="15.75" x14ac:dyDescent="0.3">
      <c r="A693" s="272" t="s">
        <v>26</v>
      </c>
      <c r="B693" s="273"/>
      <c r="C693" s="42"/>
      <c r="D693" s="20"/>
    </row>
    <row r="694" spans="1:4" ht="16.5" thickBot="1" x14ac:dyDescent="0.35">
      <c r="A694" s="274" t="s">
        <v>27</v>
      </c>
      <c r="B694" s="275"/>
      <c r="C694" s="44"/>
      <c r="D694" s="20"/>
    </row>
    <row r="695" spans="1:4" x14ac:dyDescent="0.25">
      <c r="A695" s="272" t="s">
        <v>28</v>
      </c>
      <c r="B695" s="273"/>
      <c r="C695" s="42"/>
    </row>
    <row r="696" spans="1:4" ht="15.75" thickBot="1" x14ac:dyDescent="0.3">
      <c r="A696" s="274" t="s">
        <v>29</v>
      </c>
      <c r="B696" s="275"/>
      <c r="C696" s="44"/>
    </row>
    <row r="697" spans="1:4" x14ac:dyDescent="0.25">
      <c r="A697" s="272" t="s">
        <v>30</v>
      </c>
      <c r="B697" s="273"/>
      <c r="C697" s="42"/>
    </row>
    <row r="698" spans="1:4" ht="15.75" thickBot="1" x14ac:dyDescent="0.3">
      <c r="A698" s="274" t="s">
        <v>31</v>
      </c>
      <c r="B698" s="275"/>
      <c r="C698" s="44"/>
    </row>
    <row r="699" spans="1:4" x14ac:dyDescent="0.25">
      <c r="A699" s="276" t="s">
        <v>32</v>
      </c>
      <c r="B699" s="277"/>
      <c r="C699" s="45"/>
    </row>
    <row r="700" spans="1:4" ht="15.75" thickBot="1" x14ac:dyDescent="0.3">
      <c r="A700" s="274" t="s">
        <v>33</v>
      </c>
      <c r="B700" s="275"/>
      <c r="C700" s="44"/>
    </row>
    <row r="701" spans="1:4" s="17" customFormat="1" ht="16.5" thickBot="1" x14ac:dyDescent="0.25">
      <c r="A701" s="29">
        <f>IF(RFQ!D54="",0,RFQ!A54)</f>
        <v>0</v>
      </c>
      <c r="B701" s="29">
        <f>IF(C701=0,0, "FID "&amp;RFQ!C54)</f>
        <v>0</v>
      </c>
      <c r="C701" s="37">
        <f>RFQ!D54</f>
        <v>0</v>
      </c>
    </row>
    <row r="702" spans="1:4" x14ac:dyDescent="0.25">
      <c r="A702" s="278" t="s">
        <v>21</v>
      </c>
      <c r="B702" s="279"/>
      <c r="C702" s="30">
        <f>RFQ!E54</f>
        <v>0</v>
      </c>
    </row>
    <row r="703" spans="1:4" x14ac:dyDescent="0.25">
      <c r="A703" s="268" t="s">
        <v>22</v>
      </c>
      <c r="B703" s="269"/>
      <c r="C703" s="34">
        <f>RFQ!F54</f>
        <v>0</v>
      </c>
    </row>
    <row r="704" spans="1:4" x14ac:dyDescent="0.25">
      <c r="A704" s="268" t="s">
        <v>23</v>
      </c>
      <c r="B704" s="269"/>
      <c r="C704" s="34">
        <f>RFQ!G54</f>
        <v>0</v>
      </c>
    </row>
    <row r="705" spans="1:4" x14ac:dyDescent="0.25">
      <c r="A705" s="268" t="s">
        <v>24</v>
      </c>
      <c r="B705" s="269"/>
      <c r="C705" s="34">
        <f>RFQ!K54</f>
        <v>0</v>
      </c>
      <c r="D705" s="19"/>
    </row>
    <row r="706" spans="1:4" ht="15.75" thickBot="1" x14ac:dyDescent="0.3">
      <c r="A706" s="270" t="s">
        <v>25</v>
      </c>
      <c r="B706" s="271"/>
      <c r="C706" s="31"/>
      <c r="D706" s="19"/>
    </row>
    <row r="707" spans="1:4" ht="15.75" x14ac:dyDescent="0.3">
      <c r="A707" s="272" t="s">
        <v>26</v>
      </c>
      <c r="B707" s="273"/>
      <c r="C707" s="42"/>
      <c r="D707" s="20"/>
    </row>
    <row r="708" spans="1:4" ht="16.5" thickBot="1" x14ac:dyDescent="0.35">
      <c r="A708" s="274" t="s">
        <v>27</v>
      </c>
      <c r="B708" s="275"/>
      <c r="C708" s="44"/>
      <c r="D708" s="20"/>
    </row>
    <row r="709" spans="1:4" x14ac:dyDescent="0.25">
      <c r="A709" s="272" t="s">
        <v>28</v>
      </c>
      <c r="B709" s="273"/>
      <c r="C709" s="42"/>
    </row>
    <row r="710" spans="1:4" ht="15.75" thickBot="1" x14ac:dyDescent="0.3">
      <c r="A710" s="274" t="s">
        <v>29</v>
      </c>
      <c r="B710" s="275"/>
      <c r="C710" s="44"/>
    </row>
    <row r="711" spans="1:4" x14ac:dyDescent="0.25">
      <c r="A711" s="272" t="s">
        <v>30</v>
      </c>
      <c r="B711" s="273"/>
      <c r="C711" s="42"/>
    </row>
    <row r="712" spans="1:4" ht="15.75" thickBot="1" x14ac:dyDescent="0.3">
      <c r="A712" s="274" t="s">
        <v>31</v>
      </c>
      <c r="B712" s="275"/>
      <c r="C712" s="44"/>
    </row>
    <row r="713" spans="1:4" x14ac:dyDescent="0.25">
      <c r="A713" s="276" t="s">
        <v>32</v>
      </c>
      <c r="B713" s="277"/>
      <c r="C713" s="45"/>
    </row>
    <row r="714" spans="1:4" ht="15.75" thickBot="1" x14ac:dyDescent="0.3">
      <c r="A714" s="274" t="s">
        <v>33</v>
      </c>
      <c r="B714" s="275"/>
      <c r="C714" s="44"/>
    </row>
    <row r="715" spans="1:4" s="17" customFormat="1" ht="16.5" thickBot="1" x14ac:dyDescent="0.25">
      <c r="A715" s="29">
        <f>IF(RFQ!D55="",0,RFQ!A55)</f>
        <v>0</v>
      </c>
      <c r="B715" s="29">
        <f>IF(C715=0,0, "FID "&amp;RFQ!C55)</f>
        <v>0</v>
      </c>
      <c r="C715" s="37">
        <f>RFQ!D55</f>
        <v>0</v>
      </c>
    </row>
    <row r="716" spans="1:4" x14ac:dyDescent="0.25">
      <c r="A716" s="278" t="s">
        <v>21</v>
      </c>
      <c r="B716" s="279"/>
      <c r="C716" s="30">
        <f>RFQ!E55</f>
        <v>0</v>
      </c>
    </row>
    <row r="717" spans="1:4" x14ac:dyDescent="0.25">
      <c r="A717" s="268" t="s">
        <v>22</v>
      </c>
      <c r="B717" s="269"/>
      <c r="C717" s="34">
        <f>RFQ!F55</f>
        <v>0</v>
      </c>
    </row>
    <row r="718" spans="1:4" x14ac:dyDescent="0.25">
      <c r="A718" s="268" t="s">
        <v>23</v>
      </c>
      <c r="B718" s="269"/>
      <c r="C718" s="34">
        <f>RFQ!G55</f>
        <v>0</v>
      </c>
    </row>
    <row r="719" spans="1:4" x14ac:dyDescent="0.25">
      <c r="A719" s="268" t="s">
        <v>24</v>
      </c>
      <c r="B719" s="269"/>
      <c r="C719" s="34">
        <f>RFQ!K55</f>
        <v>0</v>
      </c>
      <c r="D719" s="19"/>
    </row>
    <row r="720" spans="1:4" ht="15.75" thickBot="1" x14ac:dyDescent="0.3">
      <c r="A720" s="270" t="s">
        <v>25</v>
      </c>
      <c r="B720" s="271"/>
      <c r="C720" s="31"/>
      <c r="D720" s="19"/>
    </row>
    <row r="721" spans="1:4" ht="15.75" x14ac:dyDescent="0.3">
      <c r="A721" s="272" t="s">
        <v>26</v>
      </c>
      <c r="B721" s="273"/>
      <c r="C721" s="42"/>
      <c r="D721" s="20"/>
    </row>
    <row r="722" spans="1:4" ht="16.5" thickBot="1" x14ac:dyDescent="0.35">
      <c r="A722" s="274" t="s">
        <v>27</v>
      </c>
      <c r="B722" s="275"/>
      <c r="C722" s="44"/>
      <c r="D722" s="20"/>
    </row>
    <row r="723" spans="1:4" x14ac:dyDescent="0.25">
      <c r="A723" s="272" t="s">
        <v>28</v>
      </c>
      <c r="B723" s="273"/>
      <c r="C723" s="42"/>
    </row>
    <row r="724" spans="1:4" ht="15.75" thickBot="1" x14ac:dyDescent="0.3">
      <c r="A724" s="274" t="s">
        <v>29</v>
      </c>
      <c r="B724" s="275"/>
      <c r="C724" s="44"/>
    </row>
    <row r="725" spans="1:4" x14ac:dyDescent="0.25">
      <c r="A725" s="272" t="s">
        <v>30</v>
      </c>
      <c r="B725" s="273"/>
      <c r="C725" s="42"/>
    </row>
    <row r="726" spans="1:4" ht="15.75" thickBot="1" x14ac:dyDescent="0.3">
      <c r="A726" s="274" t="s">
        <v>31</v>
      </c>
      <c r="B726" s="275"/>
      <c r="C726" s="44"/>
    </row>
    <row r="727" spans="1:4" x14ac:dyDescent="0.25">
      <c r="A727" s="276" t="s">
        <v>32</v>
      </c>
      <c r="B727" s="277"/>
      <c r="C727" s="45"/>
    </row>
    <row r="728" spans="1:4" ht="15.75" thickBot="1" x14ac:dyDescent="0.3">
      <c r="A728" s="274" t="s">
        <v>33</v>
      </c>
      <c r="B728" s="275"/>
      <c r="C728" s="44"/>
    </row>
    <row r="729" spans="1:4" s="17" customFormat="1" ht="16.5" thickBot="1" x14ac:dyDescent="0.25">
      <c r="A729" s="29">
        <f>IF(RFQ!D56="",0,RFQ!A56)</f>
        <v>0</v>
      </c>
      <c r="B729" s="29">
        <f>IF(C729=0,0, "FID "&amp;RFQ!C56)</f>
        <v>0</v>
      </c>
      <c r="C729" s="37">
        <f>RFQ!D56</f>
        <v>0</v>
      </c>
    </row>
    <row r="730" spans="1:4" x14ac:dyDescent="0.25">
      <c r="A730" s="278" t="s">
        <v>21</v>
      </c>
      <c r="B730" s="279"/>
      <c r="C730" s="30">
        <f>RFQ!E56</f>
        <v>0</v>
      </c>
    </row>
    <row r="731" spans="1:4" x14ac:dyDescent="0.25">
      <c r="A731" s="268" t="s">
        <v>22</v>
      </c>
      <c r="B731" s="269"/>
      <c r="C731" s="34">
        <f>RFQ!F56</f>
        <v>0</v>
      </c>
    </row>
    <row r="732" spans="1:4" x14ac:dyDescent="0.25">
      <c r="A732" s="268" t="s">
        <v>23</v>
      </c>
      <c r="B732" s="269"/>
      <c r="C732" s="34">
        <f>RFQ!G56</f>
        <v>0</v>
      </c>
    </row>
    <row r="733" spans="1:4" x14ac:dyDescent="0.25">
      <c r="A733" s="268" t="s">
        <v>24</v>
      </c>
      <c r="B733" s="269"/>
      <c r="C733" s="34">
        <f>RFQ!K56</f>
        <v>0</v>
      </c>
      <c r="D733" s="19"/>
    </row>
    <row r="734" spans="1:4" ht="15.75" thickBot="1" x14ac:dyDescent="0.3">
      <c r="A734" s="270" t="s">
        <v>25</v>
      </c>
      <c r="B734" s="271"/>
      <c r="C734" s="31"/>
      <c r="D734" s="19"/>
    </row>
    <row r="735" spans="1:4" ht="15.75" x14ac:dyDescent="0.3">
      <c r="A735" s="272" t="s">
        <v>26</v>
      </c>
      <c r="B735" s="273"/>
      <c r="C735" s="42"/>
      <c r="D735" s="20"/>
    </row>
    <row r="736" spans="1:4" ht="16.5" thickBot="1" x14ac:dyDescent="0.35">
      <c r="A736" s="274" t="s">
        <v>27</v>
      </c>
      <c r="B736" s="275"/>
      <c r="C736" s="44"/>
      <c r="D736" s="20"/>
    </row>
    <row r="737" spans="1:4" x14ac:dyDescent="0.25">
      <c r="A737" s="272" t="s">
        <v>28</v>
      </c>
      <c r="B737" s="273"/>
      <c r="C737" s="42"/>
    </row>
    <row r="738" spans="1:4" ht="15.75" thickBot="1" x14ac:dyDescent="0.3">
      <c r="A738" s="274" t="s">
        <v>29</v>
      </c>
      <c r="B738" s="275"/>
      <c r="C738" s="44"/>
    </row>
    <row r="739" spans="1:4" x14ac:dyDescent="0.25">
      <c r="A739" s="272" t="s">
        <v>30</v>
      </c>
      <c r="B739" s="273"/>
      <c r="C739" s="42"/>
    </row>
    <row r="740" spans="1:4" ht="15.75" thickBot="1" x14ac:dyDescent="0.3">
      <c r="A740" s="274" t="s">
        <v>31</v>
      </c>
      <c r="B740" s="275"/>
      <c r="C740" s="44"/>
    </row>
    <row r="741" spans="1:4" x14ac:dyDescent="0.25">
      <c r="A741" s="276" t="s">
        <v>32</v>
      </c>
      <c r="B741" s="277"/>
      <c r="C741" s="45"/>
    </row>
    <row r="742" spans="1:4" ht="15.75" thickBot="1" x14ac:dyDescent="0.3">
      <c r="A742" s="274" t="s">
        <v>33</v>
      </c>
      <c r="B742" s="275"/>
      <c r="C742" s="44"/>
    </row>
    <row r="743" spans="1:4" s="17" customFormat="1" ht="16.5" thickBot="1" x14ac:dyDescent="0.25">
      <c r="A743" s="29">
        <f>IF(RFQ!D57="",0,RFQ!A57)</f>
        <v>0</v>
      </c>
      <c r="B743" s="29">
        <f>IF(C743=0,0, "FID "&amp;RFQ!C57)</f>
        <v>0</v>
      </c>
      <c r="C743" s="37">
        <f>RFQ!D57</f>
        <v>0</v>
      </c>
    </row>
    <row r="744" spans="1:4" x14ac:dyDescent="0.25">
      <c r="A744" s="278" t="s">
        <v>21</v>
      </c>
      <c r="B744" s="279"/>
      <c r="C744" s="30">
        <f>RFQ!E57</f>
        <v>0</v>
      </c>
    </row>
    <row r="745" spans="1:4" x14ac:dyDescent="0.25">
      <c r="A745" s="268" t="s">
        <v>22</v>
      </c>
      <c r="B745" s="269"/>
      <c r="C745" s="34">
        <f>RFQ!F57</f>
        <v>0</v>
      </c>
    </row>
    <row r="746" spans="1:4" x14ac:dyDescent="0.25">
      <c r="A746" s="268" t="s">
        <v>23</v>
      </c>
      <c r="B746" s="269"/>
      <c r="C746" s="34">
        <f>RFQ!G57</f>
        <v>0</v>
      </c>
    </row>
    <row r="747" spans="1:4" x14ac:dyDescent="0.25">
      <c r="A747" s="268" t="s">
        <v>24</v>
      </c>
      <c r="B747" s="269"/>
      <c r="C747" s="34">
        <f>RFQ!K57</f>
        <v>0</v>
      </c>
      <c r="D747" s="19"/>
    </row>
    <row r="748" spans="1:4" ht="15.75" thickBot="1" x14ac:dyDescent="0.3">
      <c r="A748" s="270" t="s">
        <v>25</v>
      </c>
      <c r="B748" s="271"/>
      <c r="C748" s="31"/>
      <c r="D748" s="19"/>
    </row>
    <row r="749" spans="1:4" ht="15.75" x14ac:dyDescent="0.3">
      <c r="A749" s="272" t="s">
        <v>26</v>
      </c>
      <c r="B749" s="273"/>
      <c r="C749" s="42"/>
      <c r="D749" s="20"/>
    </row>
    <row r="750" spans="1:4" ht="16.5" thickBot="1" x14ac:dyDescent="0.35">
      <c r="A750" s="274" t="s">
        <v>27</v>
      </c>
      <c r="B750" s="275"/>
      <c r="C750" s="44"/>
      <c r="D750" s="20"/>
    </row>
    <row r="751" spans="1:4" x14ac:dyDescent="0.25">
      <c r="A751" s="272" t="s">
        <v>28</v>
      </c>
      <c r="B751" s="273"/>
      <c r="C751" s="42"/>
    </row>
    <row r="752" spans="1:4" ht="15.75" thickBot="1" x14ac:dyDescent="0.3">
      <c r="A752" s="274" t="s">
        <v>29</v>
      </c>
      <c r="B752" s="275"/>
      <c r="C752" s="44"/>
    </row>
    <row r="753" spans="1:4" x14ac:dyDescent="0.25">
      <c r="A753" s="272" t="s">
        <v>30</v>
      </c>
      <c r="B753" s="273"/>
      <c r="C753" s="42"/>
    </row>
    <row r="754" spans="1:4" ht="15.75" thickBot="1" x14ac:dyDescent="0.3">
      <c r="A754" s="274" t="s">
        <v>31</v>
      </c>
      <c r="B754" s="275"/>
      <c r="C754" s="44"/>
    </row>
    <row r="755" spans="1:4" x14ac:dyDescent="0.25">
      <c r="A755" s="276" t="s">
        <v>32</v>
      </c>
      <c r="B755" s="277"/>
      <c r="C755" s="45"/>
    </row>
    <row r="756" spans="1:4" ht="15.75" thickBot="1" x14ac:dyDescent="0.3">
      <c r="A756" s="274" t="s">
        <v>33</v>
      </c>
      <c r="B756" s="275"/>
      <c r="C756" s="44"/>
    </row>
    <row r="757" spans="1:4" s="17" customFormat="1" ht="16.5" thickBot="1" x14ac:dyDescent="0.25">
      <c r="A757" s="29">
        <f>IF(RFQ!D58="",0,RFQ!A58)</f>
        <v>0</v>
      </c>
      <c r="B757" s="29">
        <f>IF(C757=0,0, "FID "&amp;RFQ!C58)</f>
        <v>0</v>
      </c>
      <c r="C757" s="37">
        <f>RFQ!D58</f>
        <v>0</v>
      </c>
    </row>
    <row r="758" spans="1:4" x14ac:dyDescent="0.25">
      <c r="A758" s="278" t="s">
        <v>21</v>
      </c>
      <c r="B758" s="279"/>
      <c r="C758" s="30">
        <f>RFQ!E58</f>
        <v>0</v>
      </c>
    </row>
    <row r="759" spans="1:4" x14ac:dyDescent="0.25">
      <c r="A759" s="268" t="s">
        <v>22</v>
      </c>
      <c r="B759" s="269"/>
      <c r="C759" s="34">
        <f>RFQ!F58</f>
        <v>0</v>
      </c>
    </row>
    <row r="760" spans="1:4" x14ac:dyDescent="0.25">
      <c r="A760" s="268" t="s">
        <v>23</v>
      </c>
      <c r="B760" s="269"/>
      <c r="C760" s="34">
        <f>RFQ!G58</f>
        <v>0</v>
      </c>
    </row>
    <row r="761" spans="1:4" x14ac:dyDescent="0.25">
      <c r="A761" s="268" t="s">
        <v>24</v>
      </c>
      <c r="B761" s="269"/>
      <c r="C761" s="34">
        <f>RFQ!K58</f>
        <v>0</v>
      </c>
      <c r="D761" s="19"/>
    </row>
    <row r="762" spans="1:4" ht="15.75" thickBot="1" x14ac:dyDescent="0.3">
      <c r="A762" s="270" t="s">
        <v>25</v>
      </c>
      <c r="B762" s="271"/>
      <c r="C762" s="31"/>
      <c r="D762" s="19"/>
    </row>
    <row r="763" spans="1:4" ht="15.75" x14ac:dyDescent="0.3">
      <c r="A763" s="272" t="s">
        <v>26</v>
      </c>
      <c r="B763" s="273"/>
      <c r="C763" s="42"/>
      <c r="D763" s="20"/>
    </row>
    <row r="764" spans="1:4" ht="16.5" thickBot="1" x14ac:dyDescent="0.35">
      <c r="A764" s="274" t="s">
        <v>27</v>
      </c>
      <c r="B764" s="275"/>
      <c r="C764" s="44"/>
      <c r="D764" s="20"/>
    </row>
    <row r="765" spans="1:4" x14ac:dyDescent="0.25">
      <c r="A765" s="272" t="s">
        <v>28</v>
      </c>
      <c r="B765" s="273"/>
      <c r="C765" s="42"/>
    </row>
    <row r="766" spans="1:4" ht="15.75" thickBot="1" x14ac:dyDescent="0.3">
      <c r="A766" s="274" t="s">
        <v>29</v>
      </c>
      <c r="B766" s="275"/>
      <c r="C766" s="44"/>
    </row>
    <row r="767" spans="1:4" x14ac:dyDescent="0.25">
      <c r="A767" s="272" t="s">
        <v>30</v>
      </c>
      <c r="B767" s="273"/>
      <c r="C767" s="42"/>
    </row>
    <row r="768" spans="1:4" ht="15.75" thickBot="1" x14ac:dyDescent="0.3">
      <c r="A768" s="274" t="s">
        <v>31</v>
      </c>
      <c r="B768" s="275"/>
      <c r="C768" s="44"/>
    </row>
    <row r="769" spans="1:4" x14ac:dyDescent="0.25">
      <c r="A769" s="276" t="s">
        <v>32</v>
      </c>
      <c r="B769" s="277"/>
      <c r="C769" s="45"/>
    </row>
    <row r="770" spans="1:4" ht="15.75" thickBot="1" x14ac:dyDescent="0.3">
      <c r="A770" s="274" t="s">
        <v>33</v>
      </c>
      <c r="B770" s="275"/>
      <c r="C770" s="44"/>
    </row>
    <row r="771" spans="1:4" s="17" customFormat="1" ht="16.5" thickBot="1" x14ac:dyDescent="0.25">
      <c r="A771" s="29">
        <f>IF(RFQ!D59="",0,RFQ!A59)</f>
        <v>0</v>
      </c>
      <c r="B771" s="29">
        <f>IF(C771=0,0, "FID "&amp;RFQ!C59)</f>
        <v>0</v>
      </c>
      <c r="C771" s="37">
        <f>RFQ!D59</f>
        <v>0</v>
      </c>
    </row>
    <row r="772" spans="1:4" x14ac:dyDescent="0.25">
      <c r="A772" s="278" t="s">
        <v>21</v>
      </c>
      <c r="B772" s="279"/>
      <c r="C772" s="30">
        <f>RFQ!E59</f>
        <v>0</v>
      </c>
    </row>
    <row r="773" spans="1:4" x14ac:dyDescent="0.25">
      <c r="A773" s="268" t="s">
        <v>22</v>
      </c>
      <c r="B773" s="269"/>
      <c r="C773" s="34">
        <f>RFQ!F59</f>
        <v>0</v>
      </c>
    </row>
    <row r="774" spans="1:4" x14ac:dyDescent="0.25">
      <c r="A774" s="268" t="s">
        <v>23</v>
      </c>
      <c r="B774" s="269"/>
      <c r="C774" s="34">
        <f>RFQ!G59</f>
        <v>0</v>
      </c>
    </row>
    <row r="775" spans="1:4" x14ac:dyDescent="0.25">
      <c r="A775" s="268" t="s">
        <v>24</v>
      </c>
      <c r="B775" s="269"/>
      <c r="C775" s="34">
        <f>RFQ!K59</f>
        <v>0</v>
      </c>
      <c r="D775" s="19"/>
    </row>
    <row r="776" spans="1:4" ht="15.75" thickBot="1" x14ac:dyDescent="0.3">
      <c r="A776" s="270" t="s">
        <v>25</v>
      </c>
      <c r="B776" s="271"/>
      <c r="C776" s="31"/>
      <c r="D776" s="19"/>
    </row>
    <row r="777" spans="1:4" ht="15.75" x14ac:dyDescent="0.3">
      <c r="A777" s="272" t="s">
        <v>26</v>
      </c>
      <c r="B777" s="273"/>
      <c r="C777" s="42"/>
      <c r="D777" s="20"/>
    </row>
    <row r="778" spans="1:4" ht="16.5" thickBot="1" x14ac:dyDescent="0.35">
      <c r="A778" s="274" t="s">
        <v>27</v>
      </c>
      <c r="B778" s="275"/>
      <c r="C778" s="44"/>
      <c r="D778" s="20"/>
    </row>
    <row r="779" spans="1:4" x14ac:dyDescent="0.25">
      <c r="A779" s="272" t="s">
        <v>28</v>
      </c>
      <c r="B779" s="273"/>
      <c r="C779" s="42"/>
    </row>
    <row r="780" spans="1:4" ht="15.75" thickBot="1" x14ac:dyDescent="0.3">
      <c r="A780" s="274" t="s">
        <v>29</v>
      </c>
      <c r="B780" s="275"/>
      <c r="C780" s="44"/>
    </row>
    <row r="781" spans="1:4" x14ac:dyDescent="0.25">
      <c r="A781" s="272" t="s">
        <v>30</v>
      </c>
      <c r="B781" s="273"/>
      <c r="C781" s="42"/>
    </row>
    <row r="782" spans="1:4" ht="15.75" thickBot="1" x14ac:dyDescent="0.3">
      <c r="A782" s="274" t="s">
        <v>31</v>
      </c>
      <c r="B782" s="275"/>
      <c r="C782" s="44"/>
    </row>
    <row r="783" spans="1:4" x14ac:dyDescent="0.25">
      <c r="A783" s="276" t="s">
        <v>32</v>
      </c>
      <c r="B783" s="277"/>
      <c r="C783" s="45"/>
    </row>
    <row r="784" spans="1:4" ht="15.75" thickBot="1" x14ac:dyDescent="0.3">
      <c r="A784" s="274" t="s">
        <v>33</v>
      </c>
      <c r="B784" s="275"/>
      <c r="C784" s="44"/>
    </row>
    <row r="785" spans="1:4" s="17" customFormat="1" ht="16.5" thickBot="1" x14ac:dyDescent="0.25">
      <c r="A785" s="29">
        <f>IF(RFQ!D60="",0,RFQ!A60)</f>
        <v>0</v>
      </c>
      <c r="B785" s="29">
        <f>IF(C785=0,0, "FID "&amp;RFQ!C60)</f>
        <v>0</v>
      </c>
      <c r="C785" s="37">
        <f>RFQ!D60</f>
        <v>0</v>
      </c>
    </row>
    <row r="786" spans="1:4" x14ac:dyDescent="0.25">
      <c r="A786" s="278" t="s">
        <v>21</v>
      </c>
      <c r="B786" s="279"/>
      <c r="C786" s="30">
        <f>RFQ!E60</f>
        <v>0</v>
      </c>
    </row>
    <row r="787" spans="1:4" x14ac:dyDescent="0.25">
      <c r="A787" s="268" t="s">
        <v>22</v>
      </c>
      <c r="B787" s="269"/>
      <c r="C787" s="34">
        <f>RFQ!F60</f>
        <v>0</v>
      </c>
    </row>
    <row r="788" spans="1:4" x14ac:dyDescent="0.25">
      <c r="A788" s="268" t="s">
        <v>23</v>
      </c>
      <c r="B788" s="269"/>
      <c r="C788" s="34">
        <f>RFQ!G60</f>
        <v>0</v>
      </c>
    </row>
    <row r="789" spans="1:4" x14ac:dyDescent="0.25">
      <c r="A789" s="268" t="s">
        <v>24</v>
      </c>
      <c r="B789" s="269"/>
      <c r="C789" s="34">
        <f>RFQ!K60</f>
        <v>0</v>
      </c>
      <c r="D789" s="19"/>
    </row>
    <row r="790" spans="1:4" ht="15.75" thickBot="1" x14ac:dyDescent="0.3">
      <c r="A790" s="270" t="s">
        <v>25</v>
      </c>
      <c r="B790" s="271"/>
      <c r="C790" s="31"/>
      <c r="D790" s="19"/>
    </row>
    <row r="791" spans="1:4" ht="15.75" x14ac:dyDescent="0.3">
      <c r="A791" s="272" t="s">
        <v>26</v>
      </c>
      <c r="B791" s="273"/>
      <c r="C791" s="42"/>
      <c r="D791" s="20"/>
    </row>
    <row r="792" spans="1:4" ht="16.5" thickBot="1" x14ac:dyDescent="0.35">
      <c r="A792" s="274" t="s">
        <v>27</v>
      </c>
      <c r="B792" s="275"/>
      <c r="C792" s="44"/>
      <c r="D792" s="20"/>
    </row>
    <row r="793" spans="1:4" x14ac:dyDescent="0.25">
      <c r="A793" s="272" t="s">
        <v>28</v>
      </c>
      <c r="B793" s="273"/>
      <c r="C793" s="42"/>
    </row>
    <row r="794" spans="1:4" ht="15.75" thickBot="1" x14ac:dyDescent="0.3">
      <c r="A794" s="274" t="s">
        <v>29</v>
      </c>
      <c r="B794" s="275"/>
      <c r="C794" s="44"/>
    </row>
    <row r="795" spans="1:4" x14ac:dyDescent="0.25">
      <c r="A795" s="272" t="s">
        <v>30</v>
      </c>
      <c r="B795" s="273"/>
      <c r="C795" s="42"/>
    </row>
    <row r="796" spans="1:4" ht="15.75" thickBot="1" x14ac:dyDescent="0.3">
      <c r="A796" s="274" t="s">
        <v>31</v>
      </c>
      <c r="B796" s="275"/>
      <c r="C796" s="44"/>
    </row>
    <row r="797" spans="1:4" x14ac:dyDescent="0.25">
      <c r="A797" s="276" t="s">
        <v>32</v>
      </c>
      <c r="B797" s="277"/>
      <c r="C797" s="45"/>
    </row>
    <row r="798" spans="1:4" ht="15.75" thickBot="1" x14ac:dyDescent="0.3">
      <c r="A798" s="274" t="s">
        <v>33</v>
      </c>
      <c r="B798" s="275"/>
      <c r="C798" s="44"/>
    </row>
    <row r="799" spans="1:4" s="17" customFormat="1" ht="16.5" thickBot="1" x14ac:dyDescent="0.25">
      <c r="A799" s="29">
        <f>IF(RFQ!D61="",0,RFQ!A61)</f>
        <v>0</v>
      </c>
      <c r="B799" s="29">
        <f>IF(C799=0,0, "FID "&amp;RFQ!C61)</f>
        <v>0</v>
      </c>
      <c r="C799" s="37">
        <f>RFQ!D61</f>
        <v>0</v>
      </c>
    </row>
    <row r="800" spans="1:4" x14ac:dyDescent="0.25">
      <c r="A800" s="278" t="s">
        <v>21</v>
      </c>
      <c r="B800" s="279"/>
      <c r="C800" s="30">
        <f>RFQ!E61</f>
        <v>0</v>
      </c>
    </row>
    <row r="801" spans="1:4" x14ac:dyDescent="0.25">
      <c r="A801" s="268" t="s">
        <v>22</v>
      </c>
      <c r="B801" s="269"/>
      <c r="C801" s="34">
        <f>RFQ!F61</f>
        <v>0</v>
      </c>
    </row>
    <row r="802" spans="1:4" x14ac:dyDescent="0.25">
      <c r="A802" s="268" t="s">
        <v>23</v>
      </c>
      <c r="B802" s="269"/>
      <c r="C802" s="34">
        <f>RFQ!G61</f>
        <v>0</v>
      </c>
    </row>
    <row r="803" spans="1:4" x14ac:dyDescent="0.25">
      <c r="A803" s="268" t="s">
        <v>24</v>
      </c>
      <c r="B803" s="269"/>
      <c r="C803" s="34">
        <f>RFQ!K61</f>
        <v>0</v>
      </c>
      <c r="D803" s="19"/>
    </row>
    <row r="804" spans="1:4" ht="15.75" thickBot="1" x14ac:dyDescent="0.3">
      <c r="A804" s="270" t="s">
        <v>25</v>
      </c>
      <c r="B804" s="271"/>
      <c r="C804" s="31"/>
      <c r="D804" s="19"/>
    </row>
    <row r="805" spans="1:4" ht="15.75" x14ac:dyDescent="0.3">
      <c r="A805" s="272" t="s">
        <v>26</v>
      </c>
      <c r="B805" s="273"/>
      <c r="C805" s="42"/>
      <c r="D805" s="20"/>
    </row>
    <row r="806" spans="1:4" ht="16.5" thickBot="1" x14ac:dyDescent="0.35">
      <c r="A806" s="274" t="s">
        <v>27</v>
      </c>
      <c r="B806" s="275"/>
      <c r="C806" s="44"/>
      <c r="D806" s="20"/>
    </row>
    <row r="807" spans="1:4" x14ac:dyDescent="0.25">
      <c r="A807" s="272" t="s">
        <v>28</v>
      </c>
      <c r="B807" s="273"/>
      <c r="C807" s="42"/>
    </row>
    <row r="808" spans="1:4" ht="15.75" thickBot="1" x14ac:dyDescent="0.3">
      <c r="A808" s="274" t="s">
        <v>29</v>
      </c>
      <c r="B808" s="275"/>
      <c r="C808" s="44"/>
    </row>
    <row r="809" spans="1:4" x14ac:dyDescent="0.25">
      <c r="A809" s="272" t="s">
        <v>30</v>
      </c>
      <c r="B809" s="273"/>
      <c r="C809" s="42"/>
    </row>
    <row r="810" spans="1:4" ht="15.75" thickBot="1" x14ac:dyDescent="0.3">
      <c r="A810" s="274" t="s">
        <v>31</v>
      </c>
      <c r="B810" s="275"/>
      <c r="C810" s="44"/>
    </row>
    <row r="811" spans="1:4" x14ac:dyDescent="0.25">
      <c r="A811" s="276" t="s">
        <v>32</v>
      </c>
      <c r="B811" s="277"/>
      <c r="C811" s="45"/>
    </row>
    <row r="812" spans="1:4" ht="15.75" thickBot="1" x14ac:dyDescent="0.3">
      <c r="A812" s="274" t="s">
        <v>33</v>
      </c>
      <c r="B812" s="275"/>
      <c r="C812" s="44"/>
    </row>
    <row r="813" spans="1:4" s="17" customFormat="1" ht="16.5" thickBot="1" x14ac:dyDescent="0.25">
      <c r="A813" s="29">
        <f>IF(RFQ!D62="",0,RFQ!A62)</f>
        <v>0</v>
      </c>
      <c r="B813" s="29">
        <f>IF(C813=0,0, "FID "&amp;RFQ!C62)</f>
        <v>0</v>
      </c>
      <c r="C813" s="37">
        <f>RFQ!D62</f>
        <v>0</v>
      </c>
    </row>
    <row r="814" spans="1:4" x14ac:dyDescent="0.25">
      <c r="A814" s="278" t="s">
        <v>21</v>
      </c>
      <c r="B814" s="279"/>
      <c r="C814" s="30">
        <f>RFQ!E62</f>
        <v>0</v>
      </c>
    </row>
    <row r="815" spans="1:4" x14ac:dyDescent="0.25">
      <c r="A815" s="268" t="s">
        <v>22</v>
      </c>
      <c r="B815" s="269"/>
      <c r="C815" s="34">
        <f>RFQ!F62</f>
        <v>0</v>
      </c>
    </row>
    <row r="816" spans="1:4" x14ac:dyDescent="0.25">
      <c r="A816" s="268" t="s">
        <v>23</v>
      </c>
      <c r="B816" s="269"/>
      <c r="C816" s="34">
        <f>RFQ!G62</f>
        <v>0</v>
      </c>
    </row>
    <row r="817" spans="1:4" x14ac:dyDescent="0.25">
      <c r="A817" s="268" t="s">
        <v>24</v>
      </c>
      <c r="B817" s="269"/>
      <c r="C817" s="34">
        <f>RFQ!K62</f>
        <v>0</v>
      </c>
      <c r="D817" s="19"/>
    </row>
    <row r="818" spans="1:4" ht="15.75" thickBot="1" x14ac:dyDescent="0.3">
      <c r="A818" s="270" t="s">
        <v>25</v>
      </c>
      <c r="B818" s="271"/>
      <c r="C818" s="31"/>
      <c r="D818" s="19"/>
    </row>
    <row r="819" spans="1:4" ht="15.75" x14ac:dyDescent="0.3">
      <c r="A819" s="272" t="s">
        <v>26</v>
      </c>
      <c r="B819" s="273"/>
      <c r="C819" s="42"/>
      <c r="D819" s="20"/>
    </row>
    <row r="820" spans="1:4" ht="16.5" thickBot="1" x14ac:dyDescent="0.35">
      <c r="A820" s="274" t="s">
        <v>27</v>
      </c>
      <c r="B820" s="275"/>
      <c r="C820" s="44"/>
      <c r="D820" s="20"/>
    </row>
    <row r="821" spans="1:4" x14ac:dyDescent="0.25">
      <c r="A821" s="272" t="s">
        <v>28</v>
      </c>
      <c r="B821" s="273"/>
      <c r="C821" s="42"/>
    </row>
    <row r="822" spans="1:4" ht="15.75" thickBot="1" x14ac:dyDescent="0.3">
      <c r="A822" s="274" t="s">
        <v>29</v>
      </c>
      <c r="B822" s="275"/>
      <c r="C822" s="44"/>
    </row>
    <row r="823" spans="1:4" x14ac:dyDescent="0.25">
      <c r="A823" s="272" t="s">
        <v>30</v>
      </c>
      <c r="B823" s="273"/>
      <c r="C823" s="42"/>
    </row>
    <row r="824" spans="1:4" ht="15.75" thickBot="1" x14ac:dyDescent="0.3">
      <c r="A824" s="274" t="s">
        <v>31</v>
      </c>
      <c r="B824" s="275"/>
      <c r="C824" s="44"/>
    </row>
    <row r="825" spans="1:4" x14ac:dyDescent="0.25">
      <c r="A825" s="276" t="s">
        <v>32</v>
      </c>
      <c r="B825" s="277"/>
      <c r="C825" s="45"/>
    </row>
    <row r="826" spans="1:4" ht="15.75" thickBot="1" x14ac:dyDescent="0.3">
      <c r="A826" s="274" t="s">
        <v>33</v>
      </c>
      <c r="B826" s="275"/>
      <c r="C826" s="44"/>
    </row>
    <row r="827" spans="1:4" s="17" customFormat="1" ht="16.5" thickBot="1" x14ac:dyDescent="0.25">
      <c r="A827" s="29">
        <f>IF(RFQ!D63="",0,RFQ!A63)</f>
        <v>0</v>
      </c>
      <c r="B827" s="29">
        <f>IF(C827=0,0, "FID "&amp;RFQ!C63)</f>
        <v>0</v>
      </c>
      <c r="C827" s="37">
        <f>RFQ!D63</f>
        <v>0</v>
      </c>
    </row>
    <row r="828" spans="1:4" x14ac:dyDescent="0.25">
      <c r="A828" s="278" t="s">
        <v>21</v>
      </c>
      <c r="B828" s="279"/>
      <c r="C828" s="30">
        <f>RFQ!E63</f>
        <v>0</v>
      </c>
    </row>
    <row r="829" spans="1:4" x14ac:dyDescent="0.25">
      <c r="A829" s="268" t="s">
        <v>22</v>
      </c>
      <c r="B829" s="269"/>
      <c r="C829" s="34">
        <f>RFQ!F63</f>
        <v>0</v>
      </c>
    </row>
    <row r="830" spans="1:4" x14ac:dyDescent="0.25">
      <c r="A830" s="268" t="s">
        <v>23</v>
      </c>
      <c r="B830" s="269"/>
      <c r="C830" s="34">
        <f>RFQ!G63</f>
        <v>0</v>
      </c>
    </row>
    <row r="831" spans="1:4" x14ac:dyDescent="0.25">
      <c r="A831" s="268" t="s">
        <v>24</v>
      </c>
      <c r="B831" s="269"/>
      <c r="C831" s="34">
        <f>RFQ!K63</f>
        <v>0</v>
      </c>
      <c r="D831" s="19"/>
    </row>
    <row r="832" spans="1:4" ht="15.75" thickBot="1" x14ac:dyDescent="0.3">
      <c r="A832" s="270" t="s">
        <v>25</v>
      </c>
      <c r="B832" s="271"/>
      <c r="C832" s="31"/>
      <c r="D832" s="19"/>
    </row>
    <row r="833" spans="1:4" ht="15.75" x14ac:dyDescent="0.3">
      <c r="A833" s="272" t="s">
        <v>26</v>
      </c>
      <c r="B833" s="273"/>
      <c r="C833" s="42"/>
      <c r="D833" s="20"/>
    </row>
    <row r="834" spans="1:4" ht="16.5" thickBot="1" x14ac:dyDescent="0.35">
      <c r="A834" s="274" t="s">
        <v>27</v>
      </c>
      <c r="B834" s="275"/>
      <c r="C834" s="44"/>
      <c r="D834" s="20"/>
    </row>
    <row r="835" spans="1:4" x14ac:dyDescent="0.25">
      <c r="A835" s="272" t="s">
        <v>28</v>
      </c>
      <c r="B835" s="273"/>
      <c r="C835" s="42"/>
    </row>
    <row r="836" spans="1:4" ht="15.75" thickBot="1" x14ac:dyDescent="0.3">
      <c r="A836" s="274" t="s">
        <v>29</v>
      </c>
      <c r="B836" s="275"/>
      <c r="C836" s="44"/>
    </row>
    <row r="837" spans="1:4" x14ac:dyDescent="0.25">
      <c r="A837" s="272" t="s">
        <v>30</v>
      </c>
      <c r="B837" s="273"/>
      <c r="C837" s="42"/>
    </row>
    <row r="838" spans="1:4" ht="15.75" thickBot="1" x14ac:dyDescent="0.3">
      <c r="A838" s="274" t="s">
        <v>31</v>
      </c>
      <c r="B838" s="275"/>
      <c r="C838" s="44"/>
    </row>
    <row r="839" spans="1:4" x14ac:dyDescent="0.25">
      <c r="A839" s="276" t="s">
        <v>32</v>
      </c>
      <c r="B839" s="277"/>
      <c r="C839" s="45"/>
    </row>
    <row r="840" spans="1:4" ht="15.75" thickBot="1" x14ac:dyDescent="0.3">
      <c r="A840" s="274" t="s">
        <v>33</v>
      </c>
      <c r="B840" s="275"/>
      <c r="C840" s="44"/>
    </row>
    <row r="841" spans="1:4" s="17" customFormat="1" ht="16.5" thickBot="1" x14ac:dyDescent="0.25">
      <c r="A841" s="29">
        <f>IF(RFQ!D64="",0,RFQ!A64)</f>
        <v>0</v>
      </c>
      <c r="B841" s="29">
        <f>IF(C841=0,0, "FID "&amp;RFQ!C64)</f>
        <v>0</v>
      </c>
      <c r="C841" s="37">
        <f>RFQ!D64</f>
        <v>0</v>
      </c>
    </row>
    <row r="842" spans="1:4" x14ac:dyDescent="0.25">
      <c r="A842" s="278" t="s">
        <v>21</v>
      </c>
      <c r="B842" s="279"/>
      <c r="C842" s="30">
        <f>RFQ!E64</f>
        <v>0</v>
      </c>
    </row>
    <row r="843" spans="1:4" x14ac:dyDescent="0.25">
      <c r="A843" s="268" t="s">
        <v>22</v>
      </c>
      <c r="B843" s="269"/>
      <c r="C843" s="34">
        <f>RFQ!F64</f>
        <v>0</v>
      </c>
    </row>
    <row r="844" spans="1:4" x14ac:dyDescent="0.25">
      <c r="A844" s="268" t="s">
        <v>23</v>
      </c>
      <c r="B844" s="269"/>
      <c r="C844" s="34">
        <f>RFQ!G64</f>
        <v>0</v>
      </c>
    </row>
    <row r="845" spans="1:4" x14ac:dyDescent="0.25">
      <c r="A845" s="268" t="s">
        <v>24</v>
      </c>
      <c r="B845" s="269"/>
      <c r="C845" s="34">
        <f>RFQ!K64</f>
        <v>0</v>
      </c>
      <c r="D845" s="19"/>
    </row>
    <row r="846" spans="1:4" ht="15.75" thickBot="1" x14ac:dyDescent="0.3">
      <c r="A846" s="270" t="s">
        <v>25</v>
      </c>
      <c r="B846" s="271"/>
      <c r="C846" s="31"/>
      <c r="D846" s="19"/>
    </row>
    <row r="847" spans="1:4" ht="15.75" x14ac:dyDescent="0.3">
      <c r="A847" s="272" t="s">
        <v>26</v>
      </c>
      <c r="B847" s="273"/>
      <c r="C847" s="42"/>
      <c r="D847" s="20"/>
    </row>
    <row r="848" spans="1:4" ht="16.5" thickBot="1" x14ac:dyDescent="0.35">
      <c r="A848" s="274" t="s">
        <v>27</v>
      </c>
      <c r="B848" s="275"/>
      <c r="C848" s="44"/>
      <c r="D848" s="20"/>
    </row>
    <row r="849" spans="1:4" x14ac:dyDescent="0.25">
      <c r="A849" s="272" t="s">
        <v>28</v>
      </c>
      <c r="B849" s="273"/>
      <c r="C849" s="42"/>
    </row>
    <row r="850" spans="1:4" ht="15.75" thickBot="1" x14ac:dyDescent="0.3">
      <c r="A850" s="274" t="s">
        <v>29</v>
      </c>
      <c r="B850" s="275"/>
      <c r="C850" s="44"/>
    </row>
    <row r="851" spans="1:4" x14ac:dyDescent="0.25">
      <c r="A851" s="272" t="s">
        <v>30</v>
      </c>
      <c r="B851" s="273"/>
      <c r="C851" s="42"/>
    </row>
    <row r="852" spans="1:4" ht="15.75" thickBot="1" x14ac:dyDescent="0.3">
      <c r="A852" s="274" t="s">
        <v>31</v>
      </c>
      <c r="B852" s="275"/>
      <c r="C852" s="44"/>
    </row>
    <row r="853" spans="1:4" x14ac:dyDescent="0.25">
      <c r="A853" s="276" t="s">
        <v>32</v>
      </c>
      <c r="B853" s="277"/>
      <c r="C853" s="45"/>
    </row>
    <row r="854" spans="1:4" ht="15.75" thickBot="1" x14ac:dyDescent="0.3">
      <c r="A854" s="274" t="s">
        <v>33</v>
      </c>
      <c r="B854" s="275"/>
      <c r="C854" s="44"/>
    </row>
    <row r="855" spans="1:4" s="17" customFormat="1" ht="16.5" thickBot="1" x14ac:dyDescent="0.25">
      <c r="A855" s="29">
        <f>IF(RFQ!D65="",0,RFQ!A65)</f>
        <v>0</v>
      </c>
      <c r="B855" s="29">
        <f>IF(C855=0,0, "FID "&amp;RFQ!C65)</f>
        <v>0</v>
      </c>
      <c r="C855" s="37">
        <f>RFQ!D65</f>
        <v>0</v>
      </c>
    </row>
    <row r="856" spans="1:4" x14ac:dyDescent="0.25">
      <c r="A856" s="278" t="s">
        <v>21</v>
      </c>
      <c r="B856" s="279"/>
      <c r="C856" s="30">
        <f>RFQ!E65</f>
        <v>0</v>
      </c>
    </row>
    <row r="857" spans="1:4" x14ac:dyDescent="0.25">
      <c r="A857" s="268" t="s">
        <v>22</v>
      </c>
      <c r="B857" s="269"/>
      <c r="C857" s="34">
        <f>RFQ!F65</f>
        <v>0</v>
      </c>
    </row>
    <row r="858" spans="1:4" x14ac:dyDescent="0.25">
      <c r="A858" s="268" t="s">
        <v>23</v>
      </c>
      <c r="B858" s="269"/>
      <c r="C858" s="34">
        <f>RFQ!G65</f>
        <v>0</v>
      </c>
    </row>
    <row r="859" spans="1:4" x14ac:dyDescent="0.25">
      <c r="A859" s="268" t="s">
        <v>24</v>
      </c>
      <c r="B859" s="269"/>
      <c r="C859" s="34">
        <f>RFQ!K65</f>
        <v>0</v>
      </c>
      <c r="D859" s="19"/>
    </row>
    <row r="860" spans="1:4" ht="15.75" thickBot="1" x14ac:dyDescent="0.3">
      <c r="A860" s="270" t="s">
        <v>25</v>
      </c>
      <c r="B860" s="271"/>
      <c r="C860" s="31"/>
      <c r="D860" s="19"/>
    </row>
    <row r="861" spans="1:4" ht="15.75" x14ac:dyDescent="0.3">
      <c r="A861" s="272" t="s">
        <v>26</v>
      </c>
      <c r="B861" s="273"/>
      <c r="C861" s="42"/>
      <c r="D861" s="20"/>
    </row>
    <row r="862" spans="1:4" ht="16.5" thickBot="1" x14ac:dyDescent="0.35">
      <c r="A862" s="274" t="s">
        <v>27</v>
      </c>
      <c r="B862" s="275"/>
      <c r="C862" s="44"/>
      <c r="D862" s="20"/>
    </row>
    <row r="863" spans="1:4" x14ac:dyDescent="0.25">
      <c r="A863" s="272" t="s">
        <v>28</v>
      </c>
      <c r="B863" s="273"/>
      <c r="C863" s="42"/>
    </row>
    <row r="864" spans="1:4" ht="15.75" thickBot="1" x14ac:dyDescent="0.3">
      <c r="A864" s="274" t="s">
        <v>29</v>
      </c>
      <c r="B864" s="275"/>
      <c r="C864" s="44"/>
    </row>
    <row r="865" spans="1:4" x14ac:dyDescent="0.25">
      <c r="A865" s="272" t="s">
        <v>30</v>
      </c>
      <c r="B865" s="273"/>
      <c r="C865" s="42"/>
    </row>
    <row r="866" spans="1:4" ht="15.75" thickBot="1" x14ac:dyDescent="0.3">
      <c r="A866" s="274" t="s">
        <v>31</v>
      </c>
      <c r="B866" s="275"/>
      <c r="C866" s="44"/>
    </row>
    <row r="867" spans="1:4" x14ac:dyDescent="0.25">
      <c r="A867" s="276" t="s">
        <v>32</v>
      </c>
      <c r="B867" s="277"/>
      <c r="C867" s="45"/>
    </row>
    <row r="868" spans="1:4" ht="15.75" thickBot="1" x14ac:dyDescent="0.3">
      <c r="A868" s="274" t="s">
        <v>33</v>
      </c>
      <c r="B868" s="275"/>
      <c r="C868" s="44"/>
    </row>
    <row r="869" spans="1:4" s="17" customFormat="1" ht="16.5" thickBot="1" x14ac:dyDescent="0.25">
      <c r="A869" s="29">
        <f>IF(RFQ!D66="",0,RFQ!A66)</f>
        <v>0</v>
      </c>
      <c r="B869" s="29">
        <f>IF(C869=0,0, "FID "&amp;RFQ!C66)</f>
        <v>0</v>
      </c>
      <c r="C869" s="37">
        <f>RFQ!D66</f>
        <v>0</v>
      </c>
    </row>
    <row r="870" spans="1:4" x14ac:dyDescent="0.25">
      <c r="A870" s="278" t="s">
        <v>21</v>
      </c>
      <c r="B870" s="279"/>
      <c r="C870" s="30">
        <f>RFQ!E66</f>
        <v>0</v>
      </c>
    </row>
    <row r="871" spans="1:4" x14ac:dyDescent="0.25">
      <c r="A871" s="268" t="s">
        <v>22</v>
      </c>
      <c r="B871" s="269"/>
      <c r="C871" s="34">
        <f>RFQ!F66</f>
        <v>0</v>
      </c>
    </row>
    <row r="872" spans="1:4" x14ac:dyDescent="0.25">
      <c r="A872" s="268" t="s">
        <v>23</v>
      </c>
      <c r="B872" s="269"/>
      <c r="C872" s="34">
        <f>RFQ!G66</f>
        <v>0</v>
      </c>
    </row>
    <row r="873" spans="1:4" x14ac:dyDescent="0.25">
      <c r="A873" s="268" t="s">
        <v>24</v>
      </c>
      <c r="B873" s="269"/>
      <c r="C873" s="34">
        <f>RFQ!K66</f>
        <v>0</v>
      </c>
      <c r="D873" s="19"/>
    </row>
    <row r="874" spans="1:4" ht="15.75" thickBot="1" x14ac:dyDescent="0.3">
      <c r="A874" s="270" t="s">
        <v>25</v>
      </c>
      <c r="B874" s="271"/>
      <c r="C874" s="31"/>
      <c r="D874" s="19"/>
    </row>
    <row r="875" spans="1:4" ht="15.75" x14ac:dyDescent="0.3">
      <c r="A875" s="272" t="s">
        <v>26</v>
      </c>
      <c r="B875" s="273"/>
      <c r="C875" s="42"/>
      <c r="D875" s="20"/>
    </row>
    <row r="876" spans="1:4" ht="16.5" thickBot="1" x14ac:dyDescent="0.35">
      <c r="A876" s="274" t="s">
        <v>27</v>
      </c>
      <c r="B876" s="275"/>
      <c r="C876" s="44"/>
      <c r="D876" s="20"/>
    </row>
    <row r="877" spans="1:4" x14ac:dyDescent="0.25">
      <c r="A877" s="272" t="s">
        <v>28</v>
      </c>
      <c r="B877" s="273"/>
      <c r="C877" s="42"/>
    </row>
    <row r="878" spans="1:4" ht="15.75" thickBot="1" x14ac:dyDescent="0.3">
      <c r="A878" s="274" t="s">
        <v>29</v>
      </c>
      <c r="B878" s="275"/>
      <c r="C878" s="44"/>
    </row>
    <row r="879" spans="1:4" x14ac:dyDescent="0.25">
      <c r="A879" s="272" t="s">
        <v>30</v>
      </c>
      <c r="B879" s="273"/>
      <c r="C879" s="42"/>
    </row>
    <row r="880" spans="1:4" ht="15.75" thickBot="1" x14ac:dyDescent="0.3">
      <c r="A880" s="274" t="s">
        <v>31</v>
      </c>
      <c r="B880" s="275"/>
      <c r="C880" s="44"/>
    </row>
    <row r="881" spans="1:4" x14ac:dyDescent="0.25">
      <c r="A881" s="276" t="s">
        <v>32</v>
      </c>
      <c r="B881" s="277"/>
      <c r="C881" s="45"/>
    </row>
    <row r="882" spans="1:4" ht="15.75" thickBot="1" x14ac:dyDescent="0.3">
      <c r="A882" s="274" t="s">
        <v>33</v>
      </c>
      <c r="B882" s="275"/>
      <c r="C882" s="44"/>
    </row>
    <row r="883" spans="1:4" s="17" customFormat="1" ht="16.5" thickBot="1" x14ac:dyDescent="0.25">
      <c r="A883" s="29">
        <f>IF(RFQ!D67="",0,RFQ!A67)</f>
        <v>0</v>
      </c>
      <c r="B883" s="29">
        <f>IF(C883=0,0, "FID "&amp;RFQ!C67)</f>
        <v>0</v>
      </c>
      <c r="C883" s="37">
        <f>RFQ!D67</f>
        <v>0</v>
      </c>
    </row>
    <row r="884" spans="1:4" x14ac:dyDescent="0.25">
      <c r="A884" s="278" t="s">
        <v>21</v>
      </c>
      <c r="B884" s="279"/>
      <c r="C884" s="30">
        <f>RFQ!E67</f>
        <v>0</v>
      </c>
    </row>
    <row r="885" spans="1:4" x14ac:dyDescent="0.25">
      <c r="A885" s="268" t="s">
        <v>22</v>
      </c>
      <c r="B885" s="269"/>
      <c r="C885" s="34">
        <f>RFQ!F67</f>
        <v>0</v>
      </c>
    </row>
    <row r="886" spans="1:4" x14ac:dyDescent="0.25">
      <c r="A886" s="268" t="s">
        <v>23</v>
      </c>
      <c r="B886" s="269"/>
      <c r="C886" s="34">
        <f>RFQ!G67</f>
        <v>0</v>
      </c>
    </row>
    <row r="887" spans="1:4" x14ac:dyDescent="0.25">
      <c r="A887" s="268" t="s">
        <v>24</v>
      </c>
      <c r="B887" s="269"/>
      <c r="C887" s="34">
        <f>RFQ!K67</f>
        <v>0</v>
      </c>
      <c r="D887" s="19"/>
    </row>
    <row r="888" spans="1:4" ht="15.75" thickBot="1" x14ac:dyDescent="0.3">
      <c r="A888" s="270" t="s">
        <v>25</v>
      </c>
      <c r="B888" s="271"/>
      <c r="C888" s="31"/>
      <c r="D888" s="19"/>
    </row>
    <row r="889" spans="1:4" ht="15.75" x14ac:dyDescent="0.3">
      <c r="A889" s="272" t="s">
        <v>26</v>
      </c>
      <c r="B889" s="273"/>
      <c r="C889" s="42"/>
      <c r="D889" s="20"/>
    </row>
    <row r="890" spans="1:4" ht="16.5" thickBot="1" x14ac:dyDescent="0.35">
      <c r="A890" s="274" t="s">
        <v>27</v>
      </c>
      <c r="B890" s="275"/>
      <c r="C890" s="44"/>
      <c r="D890" s="20"/>
    </row>
    <row r="891" spans="1:4" x14ac:dyDescent="0.25">
      <c r="A891" s="272" t="s">
        <v>28</v>
      </c>
      <c r="B891" s="273"/>
      <c r="C891" s="42"/>
    </row>
    <row r="892" spans="1:4" ht="15.75" thickBot="1" x14ac:dyDescent="0.3">
      <c r="A892" s="274" t="s">
        <v>29</v>
      </c>
      <c r="B892" s="275"/>
      <c r="C892" s="44"/>
    </row>
    <row r="893" spans="1:4" x14ac:dyDescent="0.25">
      <c r="A893" s="272" t="s">
        <v>30</v>
      </c>
      <c r="B893" s="273"/>
      <c r="C893" s="42"/>
    </row>
    <row r="894" spans="1:4" ht="15.75" thickBot="1" x14ac:dyDescent="0.3">
      <c r="A894" s="274" t="s">
        <v>31</v>
      </c>
      <c r="B894" s="275"/>
      <c r="C894" s="44"/>
    </row>
    <row r="895" spans="1:4" x14ac:dyDescent="0.25">
      <c r="A895" s="276" t="s">
        <v>32</v>
      </c>
      <c r="B895" s="277"/>
      <c r="C895" s="45"/>
    </row>
    <row r="896" spans="1:4" ht="15.75" thickBot="1" x14ac:dyDescent="0.3">
      <c r="A896" s="274" t="s">
        <v>33</v>
      </c>
      <c r="B896" s="275"/>
      <c r="C896" s="44"/>
    </row>
    <row r="897" spans="1:4" s="17" customFormat="1" ht="16.5" thickBot="1" x14ac:dyDescent="0.25">
      <c r="A897" s="29">
        <f>IF(RFQ!D68="",0,RFQ!A68)</f>
        <v>0</v>
      </c>
      <c r="B897" s="29">
        <f>IF(C883=0,0, "FID "&amp;RFQ!C68)</f>
        <v>0</v>
      </c>
      <c r="C897" s="37">
        <f>RFQ!D68</f>
        <v>0</v>
      </c>
    </row>
    <row r="898" spans="1:4" x14ac:dyDescent="0.25">
      <c r="A898" s="278" t="s">
        <v>21</v>
      </c>
      <c r="B898" s="279"/>
      <c r="C898" s="30">
        <f>RFQ!E68</f>
        <v>0</v>
      </c>
    </row>
    <row r="899" spans="1:4" x14ac:dyDescent="0.25">
      <c r="A899" s="268" t="s">
        <v>22</v>
      </c>
      <c r="B899" s="269"/>
      <c r="C899" s="34">
        <f>RFQ!F68</f>
        <v>0</v>
      </c>
    </row>
    <row r="900" spans="1:4" x14ac:dyDescent="0.25">
      <c r="A900" s="268" t="s">
        <v>23</v>
      </c>
      <c r="B900" s="269"/>
      <c r="C900" s="34">
        <f>RFQ!G68</f>
        <v>0</v>
      </c>
    </row>
    <row r="901" spans="1:4" x14ac:dyDescent="0.25">
      <c r="A901" s="268" t="s">
        <v>24</v>
      </c>
      <c r="B901" s="269"/>
      <c r="C901" s="34">
        <f>RFQ!K68</f>
        <v>0</v>
      </c>
      <c r="D901" s="19"/>
    </row>
    <row r="902" spans="1:4" ht="15.75" thickBot="1" x14ac:dyDescent="0.3">
      <c r="A902" s="270" t="s">
        <v>25</v>
      </c>
      <c r="B902" s="271"/>
      <c r="C902" s="31"/>
      <c r="D902" s="19"/>
    </row>
    <row r="903" spans="1:4" ht="15.75" x14ac:dyDescent="0.3">
      <c r="A903" s="272" t="s">
        <v>26</v>
      </c>
      <c r="B903" s="273"/>
      <c r="C903" s="42"/>
      <c r="D903" s="20"/>
    </row>
    <row r="904" spans="1:4" ht="16.5" thickBot="1" x14ac:dyDescent="0.35">
      <c r="A904" s="274" t="s">
        <v>27</v>
      </c>
      <c r="B904" s="275"/>
      <c r="C904" s="44"/>
      <c r="D904" s="20"/>
    </row>
    <row r="905" spans="1:4" x14ac:dyDescent="0.25">
      <c r="A905" s="272" t="s">
        <v>28</v>
      </c>
      <c r="B905" s="273"/>
      <c r="C905" s="42"/>
    </row>
    <row r="906" spans="1:4" ht="15.75" thickBot="1" x14ac:dyDescent="0.3">
      <c r="A906" s="274" t="s">
        <v>29</v>
      </c>
      <c r="B906" s="275"/>
      <c r="C906" s="44"/>
    </row>
    <row r="907" spans="1:4" x14ac:dyDescent="0.25">
      <c r="A907" s="272" t="s">
        <v>30</v>
      </c>
      <c r="B907" s="273"/>
      <c r="C907" s="42"/>
    </row>
    <row r="908" spans="1:4" ht="15.75" thickBot="1" x14ac:dyDescent="0.3">
      <c r="A908" s="274" t="s">
        <v>31</v>
      </c>
      <c r="B908" s="275"/>
      <c r="C908" s="44"/>
    </row>
    <row r="909" spans="1:4" x14ac:dyDescent="0.25">
      <c r="A909" s="276" t="s">
        <v>32</v>
      </c>
      <c r="B909" s="277"/>
      <c r="C909" s="45"/>
    </row>
    <row r="910" spans="1:4" ht="15.75" thickBot="1" x14ac:dyDescent="0.3">
      <c r="A910" s="274" t="s">
        <v>33</v>
      </c>
      <c r="B910" s="275"/>
      <c r="C910" s="44"/>
    </row>
    <row r="911" spans="1:4" s="17" customFormat="1" ht="16.5" thickBot="1" x14ac:dyDescent="0.25">
      <c r="A911" s="29">
        <f>IF(RFQ!D69="",0,RFQ!A69)</f>
        <v>0</v>
      </c>
      <c r="B911" s="29">
        <f>IF(C897=0,0, "FID "&amp;RFQ!C69)</f>
        <v>0</v>
      </c>
      <c r="C911" s="37">
        <f>RFQ!D69</f>
        <v>0</v>
      </c>
    </row>
    <row r="912" spans="1:4" x14ac:dyDescent="0.25">
      <c r="A912" s="278" t="s">
        <v>21</v>
      </c>
      <c r="B912" s="279"/>
      <c r="C912" s="30">
        <f>RFQ!E69</f>
        <v>0</v>
      </c>
    </row>
    <row r="913" spans="1:4" x14ac:dyDescent="0.25">
      <c r="A913" s="268" t="s">
        <v>22</v>
      </c>
      <c r="B913" s="269"/>
      <c r="C913" s="34">
        <f>RFQ!F69</f>
        <v>0</v>
      </c>
    </row>
    <row r="914" spans="1:4" x14ac:dyDescent="0.25">
      <c r="A914" s="268" t="s">
        <v>23</v>
      </c>
      <c r="B914" s="269"/>
      <c r="C914" s="34">
        <f>RFQ!G69</f>
        <v>0</v>
      </c>
    </row>
    <row r="915" spans="1:4" x14ac:dyDescent="0.25">
      <c r="A915" s="268" t="s">
        <v>24</v>
      </c>
      <c r="B915" s="269"/>
      <c r="C915" s="34">
        <f>RFQ!K69</f>
        <v>0</v>
      </c>
      <c r="D915" s="19"/>
    </row>
    <row r="916" spans="1:4" ht="15.75" thickBot="1" x14ac:dyDescent="0.3">
      <c r="A916" s="270" t="s">
        <v>25</v>
      </c>
      <c r="B916" s="271"/>
      <c r="C916" s="31"/>
      <c r="D916" s="19"/>
    </row>
    <row r="917" spans="1:4" ht="15.75" x14ac:dyDescent="0.3">
      <c r="A917" s="272" t="s">
        <v>26</v>
      </c>
      <c r="B917" s="273"/>
      <c r="C917" s="42"/>
      <c r="D917" s="20"/>
    </row>
    <row r="918" spans="1:4" ht="16.5" thickBot="1" x14ac:dyDescent="0.35">
      <c r="A918" s="274" t="s">
        <v>27</v>
      </c>
      <c r="B918" s="275"/>
      <c r="C918" s="44"/>
      <c r="D918" s="20"/>
    </row>
    <row r="919" spans="1:4" x14ac:dyDescent="0.25">
      <c r="A919" s="272" t="s">
        <v>28</v>
      </c>
      <c r="B919" s="273"/>
      <c r="C919" s="42"/>
    </row>
    <row r="920" spans="1:4" ht="15.75" thickBot="1" x14ac:dyDescent="0.3">
      <c r="A920" s="274" t="s">
        <v>29</v>
      </c>
      <c r="B920" s="275"/>
      <c r="C920" s="44"/>
    </row>
    <row r="921" spans="1:4" x14ac:dyDescent="0.25">
      <c r="A921" s="272" t="s">
        <v>30</v>
      </c>
      <c r="B921" s="273"/>
      <c r="C921" s="42"/>
    </row>
    <row r="922" spans="1:4" ht="15.75" thickBot="1" x14ac:dyDescent="0.3">
      <c r="A922" s="274" t="s">
        <v>31</v>
      </c>
      <c r="B922" s="275"/>
      <c r="C922" s="44"/>
    </row>
    <row r="923" spans="1:4" x14ac:dyDescent="0.25">
      <c r="A923" s="276" t="s">
        <v>32</v>
      </c>
      <c r="B923" s="277"/>
      <c r="C923" s="45"/>
    </row>
    <row r="924" spans="1:4" ht="15.75" thickBot="1" x14ac:dyDescent="0.3">
      <c r="A924" s="274" t="s">
        <v>33</v>
      </c>
      <c r="B924" s="275"/>
      <c r="C924" s="44"/>
    </row>
    <row r="925" spans="1:4" s="17" customFormat="1" ht="16.5" thickBot="1" x14ac:dyDescent="0.25">
      <c r="A925" s="29">
        <f>IF(RFQ!D70="",0,RFQ!A70)</f>
        <v>0</v>
      </c>
      <c r="B925" s="29">
        <f>IF(C911=0,0, "FID "&amp;RFQ!C70)</f>
        <v>0</v>
      </c>
      <c r="C925" s="37">
        <f>RFQ!D70</f>
        <v>0</v>
      </c>
    </row>
    <row r="926" spans="1:4" x14ac:dyDescent="0.25">
      <c r="A926" s="278" t="s">
        <v>21</v>
      </c>
      <c r="B926" s="279"/>
      <c r="C926" s="30">
        <f>RFQ!E70</f>
        <v>0</v>
      </c>
    </row>
    <row r="927" spans="1:4" x14ac:dyDescent="0.25">
      <c r="A927" s="268" t="s">
        <v>22</v>
      </c>
      <c r="B927" s="269"/>
      <c r="C927" s="34">
        <f>RFQ!F70</f>
        <v>0</v>
      </c>
    </row>
    <row r="928" spans="1:4" x14ac:dyDescent="0.25">
      <c r="A928" s="268" t="s">
        <v>23</v>
      </c>
      <c r="B928" s="269"/>
      <c r="C928" s="34">
        <f>RFQ!G70</f>
        <v>0</v>
      </c>
    </row>
    <row r="929" spans="1:4" x14ac:dyDescent="0.25">
      <c r="A929" s="268" t="s">
        <v>24</v>
      </c>
      <c r="B929" s="269"/>
      <c r="C929" s="34">
        <f>RFQ!K70</f>
        <v>0</v>
      </c>
      <c r="D929" s="19"/>
    </row>
    <row r="930" spans="1:4" ht="15.75" thickBot="1" x14ac:dyDescent="0.3">
      <c r="A930" s="270" t="s">
        <v>25</v>
      </c>
      <c r="B930" s="271"/>
      <c r="C930" s="31"/>
      <c r="D930" s="19"/>
    </row>
    <row r="931" spans="1:4" ht="15.75" x14ac:dyDescent="0.3">
      <c r="A931" s="272" t="s">
        <v>26</v>
      </c>
      <c r="B931" s="273"/>
      <c r="C931" s="42"/>
      <c r="D931" s="20"/>
    </row>
    <row r="932" spans="1:4" ht="16.5" thickBot="1" x14ac:dyDescent="0.35">
      <c r="A932" s="274" t="s">
        <v>27</v>
      </c>
      <c r="B932" s="275"/>
      <c r="C932" s="44"/>
      <c r="D932" s="20"/>
    </row>
    <row r="933" spans="1:4" x14ac:dyDescent="0.25">
      <c r="A933" s="272" t="s">
        <v>28</v>
      </c>
      <c r="B933" s="273"/>
      <c r="C933" s="42"/>
    </row>
    <row r="934" spans="1:4" ht="15.75" thickBot="1" x14ac:dyDescent="0.3">
      <c r="A934" s="274" t="s">
        <v>29</v>
      </c>
      <c r="B934" s="275"/>
      <c r="C934" s="44"/>
    </row>
    <row r="935" spans="1:4" x14ac:dyDescent="0.25">
      <c r="A935" s="272" t="s">
        <v>30</v>
      </c>
      <c r="B935" s="273"/>
      <c r="C935" s="42"/>
    </row>
    <row r="936" spans="1:4" ht="15.75" thickBot="1" x14ac:dyDescent="0.3">
      <c r="A936" s="274" t="s">
        <v>31</v>
      </c>
      <c r="B936" s="275"/>
      <c r="C936" s="44"/>
    </row>
    <row r="937" spans="1:4" x14ac:dyDescent="0.25">
      <c r="A937" s="276" t="s">
        <v>32</v>
      </c>
      <c r="B937" s="277"/>
      <c r="C937" s="45"/>
    </row>
    <row r="938" spans="1:4" ht="15.75" thickBot="1" x14ac:dyDescent="0.3">
      <c r="A938" s="274" t="s">
        <v>33</v>
      </c>
      <c r="B938" s="275"/>
      <c r="C938" s="44"/>
    </row>
    <row r="939" spans="1:4" s="17" customFormat="1" ht="16.5" thickBot="1" x14ac:dyDescent="0.25">
      <c r="A939" s="29">
        <f>IF(RFQ!D71="",0,RFQ!A71)</f>
        <v>0</v>
      </c>
      <c r="B939" s="29">
        <f>IF(C925=0,0, "FID "&amp;RFQ!C71)</f>
        <v>0</v>
      </c>
      <c r="C939" s="37">
        <f>RFQ!D71</f>
        <v>0</v>
      </c>
    </row>
    <row r="940" spans="1:4" x14ac:dyDescent="0.25">
      <c r="A940" s="278" t="s">
        <v>21</v>
      </c>
      <c r="B940" s="279"/>
      <c r="C940" s="30">
        <f>RFQ!E71</f>
        <v>0</v>
      </c>
    </row>
    <row r="941" spans="1:4" x14ac:dyDescent="0.25">
      <c r="A941" s="268" t="s">
        <v>22</v>
      </c>
      <c r="B941" s="269"/>
      <c r="C941" s="34">
        <f>RFQ!F71</f>
        <v>0</v>
      </c>
    </row>
    <row r="942" spans="1:4" x14ac:dyDescent="0.25">
      <c r="A942" s="268" t="s">
        <v>23</v>
      </c>
      <c r="B942" s="269"/>
      <c r="C942" s="34">
        <f>RFQ!G71</f>
        <v>0</v>
      </c>
    </row>
    <row r="943" spans="1:4" x14ac:dyDescent="0.25">
      <c r="A943" s="268" t="s">
        <v>24</v>
      </c>
      <c r="B943" s="269"/>
      <c r="C943" s="34">
        <f>RFQ!K71</f>
        <v>0</v>
      </c>
      <c r="D943" s="19"/>
    </row>
    <row r="944" spans="1:4" ht="15.75" thickBot="1" x14ac:dyDescent="0.3">
      <c r="A944" s="270" t="s">
        <v>25</v>
      </c>
      <c r="B944" s="271"/>
      <c r="C944" s="31"/>
      <c r="D944" s="19"/>
    </row>
    <row r="945" spans="1:4" ht="15.75" x14ac:dyDescent="0.3">
      <c r="A945" s="272" t="s">
        <v>26</v>
      </c>
      <c r="B945" s="273"/>
      <c r="C945" s="42"/>
      <c r="D945" s="20"/>
    </row>
    <row r="946" spans="1:4" ht="16.5" thickBot="1" x14ac:dyDescent="0.35">
      <c r="A946" s="274" t="s">
        <v>27</v>
      </c>
      <c r="B946" s="275"/>
      <c r="C946" s="44"/>
      <c r="D946" s="20"/>
    </row>
    <row r="947" spans="1:4" x14ac:dyDescent="0.25">
      <c r="A947" s="272" t="s">
        <v>28</v>
      </c>
      <c r="B947" s="273"/>
      <c r="C947" s="42"/>
    </row>
    <row r="948" spans="1:4" ht="15.75" thickBot="1" x14ac:dyDescent="0.3">
      <c r="A948" s="274" t="s">
        <v>29</v>
      </c>
      <c r="B948" s="275"/>
      <c r="C948" s="44"/>
    </row>
    <row r="949" spans="1:4" x14ac:dyDescent="0.25">
      <c r="A949" s="272" t="s">
        <v>30</v>
      </c>
      <c r="B949" s="273"/>
      <c r="C949" s="42"/>
    </row>
    <row r="950" spans="1:4" ht="15.75" thickBot="1" x14ac:dyDescent="0.3">
      <c r="A950" s="274" t="s">
        <v>31</v>
      </c>
      <c r="B950" s="275"/>
      <c r="C950" s="44"/>
    </row>
    <row r="951" spans="1:4" x14ac:dyDescent="0.25">
      <c r="A951" s="276" t="s">
        <v>32</v>
      </c>
      <c r="B951" s="277"/>
      <c r="C951" s="45"/>
    </row>
    <row r="952" spans="1:4" ht="15.75" thickBot="1" x14ac:dyDescent="0.3">
      <c r="A952" s="274" t="s">
        <v>33</v>
      </c>
      <c r="B952" s="275"/>
      <c r="C952" s="44"/>
    </row>
    <row r="953" spans="1:4" s="17" customFormat="1" ht="16.5" thickBot="1" x14ac:dyDescent="0.25">
      <c r="A953" s="29">
        <f>IF(RFQ!D72="",0,RFQ!A72)</f>
        <v>0</v>
      </c>
      <c r="B953" s="29">
        <f>IF(C939=0,0, "FID "&amp;RFQ!C72)</f>
        <v>0</v>
      </c>
      <c r="C953" s="37">
        <f>RFQ!D72</f>
        <v>0</v>
      </c>
    </row>
    <row r="954" spans="1:4" x14ac:dyDescent="0.25">
      <c r="A954" s="278" t="s">
        <v>21</v>
      </c>
      <c r="B954" s="279"/>
      <c r="C954" s="30">
        <f>RFQ!E72</f>
        <v>0</v>
      </c>
    </row>
    <row r="955" spans="1:4" x14ac:dyDescent="0.25">
      <c r="A955" s="268" t="s">
        <v>22</v>
      </c>
      <c r="B955" s="269"/>
      <c r="C955" s="34">
        <f>RFQ!F72</f>
        <v>0</v>
      </c>
    </row>
    <row r="956" spans="1:4" x14ac:dyDescent="0.25">
      <c r="A956" s="268" t="s">
        <v>23</v>
      </c>
      <c r="B956" s="269"/>
      <c r="C956" s="34">
        <f>RFQ!G72</f>
        <v>0</v>
      </c>
    </row>
    <row r="957" spans="1:4" x14ac:dyDescent="0.25">
      <c r="A957" s="268" t="s">
        <v>24</v>
      </c>
      <c r="B957" s="269"/>
      <c r="C957" s="34">
        <f>RFQ!K72</f>
        <v>0</v>
      </c>
      <c r="D957" s="19"/>
    </row>
    <row r="958" spans="1:4" ht="15.75" thickBot="1" x14ac:dyDescent="0.3">
      <c r="A958" s="270" t="s">
        <v>25</v>
      </c>
      <c r="B958" s="271"/>
      <c r="C958" s="31"/>
      <c r="D958" s="19"/>
    </row>
    <row r="959" spans="1:4" ht="15.75" x14ac:dyDescent="0.3">
      <c r="A959" s="272" t="s">
        <v>26</v>
      </c>
      <c r="B959" s="273"/>
      <c r="C959" s="42"/>
      <c r="D959" s="20"/>
    </row>
    <row r="960" spans="1:4" ht="16.5" thickBot="1" x14ac:dyDescent="0.35">
      <c r="A960" s="274" t="s">
        <v>27</v>
      </c>
      <c r="B960" s="275"/>
      <c r="C960" s="44"/>
      <c r="D960" s="20"/>
    </row>
    <row r="961" spans="1:4" x14ac:dyDescent="0.25">
      <c r="A961" s="272" t="s">
        <v>28</v>
      </c>
      <c r="B961" s="273"/>
      <c r="C961" s="42"/>
    </row>
    <row r="962" spans="1:4" ht="15.75" thickBot="1" x14ac:dyDescent="0.3">
      <c r="A962" s="274" t="s">
        <v>29</v>
      </c>
      <c r="B962" s="275"/>
      <c r="C962" s="44"/>
    </row>
    <row r="963" spans="1:4" x14ac:dyDescent="0.25">
      <c r="A963" s="272" t="s">
        <v>30</v>
      </c>
      <c r="B963" s="273"/>
      <c r="C963" s="42"/>
    </row>
    <row r="964" spans="1:4" ht="15.75" thickBot="1" x14ac:dyDescent="0.3">
      <c r="A964" s="274" t="s">
        <v>31</v>
      </c>
      <c r="B964" s="275"/>
      <c r="C964" s="44"/>
    </row>
    <row r="965" spans="1:4" x14ac:dyDescent="0.25">
      <c r="A965" s="276" t="s">
        <v>32</v>
      </c>
      <c r="B965" s="277"/>
      <c r="C965" s="45"/>
    </row>
    <row r="966" spans="1:4" ht="15.75" thickBot="1" x14ac:dyDescent="0.3">
      <c r="A966" s="274" t="s">
        <v>33</v>
      </c>
      <c r="B966" s="275"/>
      <c r="C966" s="44"/>
    </row>
    <row r="967" spans="1:4" s="17" customFormat="1" ht="16.5" thickBot="1" x14ac:dyDescent="0.25">
      <c r="A967" s="29">
        <f>IF(RFQ!D73="",0,RFQ!A73)</f>
        <v>0</v>
      </c>
      <c r="B967" s="29">
        <f>IF(C953=0,0, "FID "&amp;RFQ!C73)</f>
        <v>0</v>
      </c>
      <c r="C967" s="37">
        <f>RFQ!D73</f>
        <v>0</v>
      </c>
    </row>
    <row r="968" spans="1:4" x14ac:dyDescent="0.25">
      <c r="A968" s="278" t="s">
        <v>21</v>
      </c>
      <c r="B968" s="279"/>
      <c r="C968" s="30">
        <f>RFQ!E73</f>
        <v>0</v>
      </c>
    </row>
    <row r="969" spans="1:4" x14ac:dyDescent="0.25">
      <c r="A969" s="268" t="s">
        <v>22</v>
      </c>
      <c r="B969" s="269"/>
      <c r="C969" s="34">
        <f>RFQ!F73</f>
        <v>0</v>
      </c>
    </row>
    <row r="970" spans="1:4" x14ac:dyDescent="0.25">
      <c r="A970" s="268" t="s">
        <v>23</v>
      </c>
      <c r="B970" s="269"/>
      <c r="C970" s="34">
        <f>RFQ!G73</f>
        <v>0</v>
      </c>
    </row>
    <row r="971" spans="1:4" x14ac:dyDescent="0.25">
      <c r="A971" s="268" t="s">
        <v>24</v>
      </c>
      <c r="B971" s="269"/>
      <c r="C971" s="34">
        <f>RFQ!K73</f>
        <v>0</v>
      </c>
      <c r="D971" s="19"/>
    </row>
    <row r="972" spans="1:4" ht="15.75" thickBot="1" x14ac:dyDescent="0.3">
      <c r="A972" s="270" t="s">
        <v>25</v>
      </c>
      <c r="B972" s="271"/>
      <c r="C972" s="31"/>
      <c r="D972" s="19"/>
    </row>
    <row r="973" spans="1:4" ht="15.75" x14ac:dyDescent="0.3">
      <c r="A973" s="272" t="s">
        <v>26</v>
      </c>
      <c r="B973" s="273"/>
      <c r="C973" s="42"/>
      <c r="D973" s="20"/>
    </row>
    <row r="974" spans="1:4" ht="16.5" thickBot="1" x14ac:dyDescent="0.35">
      <c r="A974" s="274" t="s">
        <v>27</v>
      </c>
      <c r="B974" s="275"/>
      <c r="C974" s="44"/>
      <c r="D974" s="20"/>
    </row>
    <row r="975" spans="1:4" x14ac:dyDescent="0.25">
      <c r="A975" s="272" t="s">
        <v>28</v>
      </c>
      <c r="B975" s="273"/>
      <c r="C975" s="42"/>
    </row>
    <row r="976" spans="1:4" ht="15.75" thickBot="1" x14ac:dyDescent="0.3">
      <c r="A976" s="274" t="s">
        <v>29</v>
      </c>
      <c r="B976" s="275"/>
      <c r="C976" s="44"/>
    </row>
    <row r="977" spans="1:4" x14ac:dyDescent="0.25">
      <c r="A977" s="272" t="s">
        <v>30</v>
      </c>
      <c r="B977" s="273"/>
      <c r="C977" s="42"/>
    </row>
    <row r="978" spans="1:4" ht="15.75" thickBot="1" x14ac:dyDescent="0.3">
      <c r="A978" s="274" t="s">
        <v>31</v>
      </c>
      <c r="B978" s="275"/>
      <c r="C978" s="44"/>
    </row>
    <row r="979" spans="1:4" x14ac:dyDescent="0.25">
      <c r="A979" s="276" t="s">
        <v>32</v>
      </c>
      <c r="B979" s="277"/>
      <c r="C979" s="45"/>
    </row>
    <row r="980" spans="1:4" ht="15.75" thickBot="1" x14ac:dyDescent="0.3">
      <c r="A980" s="274" t="s">
        <v>33</v>
      </c>
      <c r="B980" s="275"/>
      <c r="C980" s="44"/>
    </row>
    <row r="981" spans="1:4" s="17" customFormat="1" ht="16.5" thickBot="1" x14ac:dyDescent="0.25">
      <c r="A981" s="29">
        <f>IF(RFQ!D74="",0,RFQ!A74)</f>
        <v>0</v>
      </c>
      <c r="B981" s="29">
        <f>IF(C967=0,0, "FID "&amp;RFQ!C74)</f>
        <v>0</v>
      </c>
      <c r="C981" s="37">
        <f>RFQ!D74</f>
        <v>0</v>
      </c>
    </row>
    <row r="982" spans="1:4" x14ac:dyDescent="0.25">
      <c r="A982" s="278" t="s">
        <v>21</v>
      </c>
      <c r="B982" s="279"/>
      <c r="C982" s="30">
        <f>RFQ!E74</f>
        <v>0</v>
      </c>
    </row>
    <row r="983" spans="1:4" x14ac:dyDescent="0.25">
      <c r="A983" s="268" t="s">
        <v>22</v>
      </c>
      <c r="B983" s="269"/>
      <c r="C983" s="34">
        <f>RFQ!F74</f>
        <v>0</v>
      </c>
    </row>
    <row r="984" spans="1:4" x14ac:dyDescent="0.25">
      <c r="A984" s="268" t="s">
        <v>23</v>
      </c>
      <c r="B984" s="269"/>
      <c r="C984" s="34">
        <f>RFQ!G74</f>
        <v>0</v>
      </c>
    </row>
    <row r="985" spans="1:4" x14ac:dyDescent="0.25">
      <c r="A985" s="268" t="s">
        <v>24</v>
      </c>
      <c r="B985" s="269"/>
      <c r="C985" s="34">
        <f>RFQ!K74</f>
        <v>0</v>
      </c>
      <c r="D985" s="19"/>
    </row>
    <row r="986" spans="1:4" ht="15.75" thickBot="1" x14ac:dyDescent="0.3">
      <c r="A986" s="270" t="s">
        <v>25</v>
      </c>
      <c r="B986" s="271"/>
      <c r="C986" s="31"/>
      <c r="D986" s="19"/>
    </row>
    <row r="987" spans="1:4" ht="15.75" x14ac:dyDescent="0.3">
      <c r="A987" s="272" t="s">
        <v>26</v>
      </c>
      <c r="B987" s="273"/>
      <c r="C987" s="42"/>
      <c r="D987" s="20"/>
    </row>
    <row r="988" spans="1:4" ht="16.5" thickBot="1" x14ac:dyDescent="0.35">
      <c r="A988" s="274" t="s">
        <v>27</v>
      </c>
      <c r="B988" s="275"/>
      <c r="C988" s="44"/>
      <c r="D988" s="20"/>
    </row>
    <row r="989" spans="1:4" x14ac:dyDescent="0.25">
      <c r="A989" s="272" t="s">
        <v>28</v>
      </c>
      <c r="B989" s="273"/>
      <c r="C989" s="42"/>
    </row>
    <row r="990" spans="1:4" ht="15.75" thickBot="1" x14ac:dyDescent="0.3">
      <c r="A990" s="274" t="s">
        <v>29</v>
      </c>
      <c r="B990" s="275"/>
      <c r="C990" s="44"/>
    </row>
    <row r="991" spans="1:4" x14ac:dyDescent="0.25">
      <c r="A991" s="272" t="s">
        <v>30</v>
      </c>
      <c r="B991" s="273"/>
      <c r="C991" s="42"/>
    </row>
    <row r="992" spans="1:4" ht="15.75" thickBot="1" x14ac:dyDescent="0.3">
      <c r="A992" s="274" t="s">
        <v>31</v>
      </c>
      <c r="B992" s="275"/>
      <c r="C992" s="44"/>
    </row>
    <row r="993" spans="1:4" x14ac:dyDescent="0.25">
      <c r="A993" s="276" t="s">
        <v>32</v>
      </c>
      <c r="B993" s="277"/>
      <c r="C993" s="45"/>
    </row>
    <row r="994" spans="1:4" ht="15.75" thickBot="1" x14ac:dyDescent="0.3">
      <c r="A994" s="274" t="s">
        <v>33</v>
      </c>
      <c r="B994" s="275"/>
      <c r="C994" s="44"/>
    </row>
    <row r="995" spans="1:4" s="17" customFormat="1" ht="16.5" thickBot="1" x14ac:dyDescent="0.25">
      <c r="A995" s="29">
        <f>IF(RFQ!D75="",0,RFQ!A75)</f>
        <v>0</v>
      </c>
      <c r="B995" s="29">
        <f>IF(C981=0,0, "FID "&amp;RFQ!C75)</f>
        <v>0</v>
      </c>
      <c r="C995" s="37">
        <f>RFQ!D75</f>
        <v>0</v>
      </c>
    </row>
    <row r="996" spans="1:4" x14ac:dyDescent="0.25">
      <c r="A996" s="278" t="s">
        <v>21</v>
      </c>
      <c r="B996" s="279"/>
      <c r="C996" s="30">
        <f>RFQ!E75</f>
        <v>0</v>
      </c>
    </row>
    <row r="997" spans="1:4" x14ac:dyDescent="0.25">
      <c r="A997" s="268" t="s">
        <v>22</v>
      </c>
      <c r="B997" s="269"/>
      <c r="C997" s="34">
        <f>RFQ!F75</f>
        <v>0</v>
      </c>
    </row>
    <row r="998" spans="1:4" x14ac:dyDescent="0.25">
      <c r="A998" s="268" t="s">
        <v>23</v>
      </c>
      <c r="B998" s="269"/>
      <c r="C998" s="34">
        <f>RFQ!G75</f>
        <v>0</v>
      </c>
    </row>
    <row r="999" spans="1:4" x14ac:dyDescent="0.25">
      <c r="A999" s="268" t="s">
        <v>24</v>
      </c>
      <c r="B999" s="269"/>
      <c r="C999" s="34">
        <f>RFQ!K75</f>
        <v>0</v>
      </c>
      <c r="D999" s="19"/>
    </row>
    <row r="1000" spans="1:4" ht="15.75" thickBot="1" x14ac:dyDescent="0.3">
      <c r="A1000" s="270" t="s">
        <v>25</v>
      </c>
      <c r="B1000" s="271"/>
      <c r="C1000" s="31"/>
      <c r="D1000" s="19"/>
    </row>
    <row r="1001" spans="1:4" ht="15.75" x14ac:dyDescent="0.3">
      <c r="A1001" s="272" t="s">
        <v>26</v>
      </c>
      <c r="B1001" s="273"/>
      <c r="C1001" s="42"/>
      <c r="D1001" s="20"/>
    </row>
    <row r="1002" spans="1:4" ht="16.5" thickBot="1" x14ac:dyDescent="0.35">
      <c r="A1002" s="274" t="s">
        <v>27</v>
      </c>
      <c r="B1002" s="275"/>
      <c r="C1002" s="44"/>
      <c r="D1002" s="20"/>
    </row>
    <row r="1003" spans="1:4" x14ac:dyDescent="0.25">
      <c r="A1003" s="272" t="s">
        <v>28</v>
      </c>
      <c r="B1003" s="273"/>
      <c r="C1003" s="42"/>
    </row>
    <row r="1004" spans="1:4" ht="15.75" thickBot="1" x14ac:dyDescent="0.3">
      <c r="A1004" s="274" t="s">
        <v>29</v>
      </c>
      <c r="B1004" s="275"/>
      <c r="C1004" s="44"/>
    </row>
    <row r="1005" spans="1:4" x14ac:dyDescent="0.25">
      <c r="A1005" s="272" t="s">
        <v>30</v>
      </c>
      <c r="B1005" s="273"/>
      <c r="C1005" s="42"/>
    </row>
    <row r="1006" spans="1:4" ht="15.75" thickBot="1" x14ac:dyDescent="0.3">
      <c r="A1006" s="274" t="s">
        <v>31</v>
      </c>
      <c r="B1006" s="275"/>
      <c r="C1006" s="44"/>
    </row>
    <row r="1007" spans="1:4" x14ac:dyDescent="0.25">
      <c r="A1007" s="276" t="s">
        <v>32</v>
      </c>
      <c r="B1007" s="277"/>
      <c r="C1007" s="45"/>
    </row>
    <row r="1008" spans="1:4" ht="15.75" thickBot="1" x14ac:dyDescent="0.3">
      <c r="A1008" s="274" t="s">
        <v>33</v>
      </c>
      <c r="B1008" s="275"/>
      <c r="C1008" s="44"/>
    </row>
    <row r="1009" spans="1:4" s="17" customFormat="1" ht="16.5" thickBot="1" x14ac:dyDescent="0.25">
      <c r="A1009" s="29">
        <f>IF(RFQ!D76="",0,RFQ!A76)</f>
        <v>0</v>
      </c>
      <c r="B1009" s="29">
        <f>IF(C995=0,0, "FID "&amp;RFQ!C76)</f>
        <v>0</v>
      </c>
      <c r="C1009" s="37">
        <f>RFQ!D76</f>
        <v>0</v>
      </c>
    </row>
    <row r="1010" spans="1:4" x14ac:dyDescent="0.25">
      <c r="A1010" s="278" t="s">
        <v>21</v>
      </c>
      <c r="B1010" s="279"/>
      <c r="C1010" s="30">
        <f>RFQ!E76</f>
        <v>0</v>
      </c>
    </row>
    <row r="1011" spans="1:4" x14ac:dyDescent="0.25">
      <c r="A1011" s="268" t="s">
        <v>22</v>
      </c>
      <c r="B1011" s="269"/>
      <c r="C1011" s="34">
        <f>RFQ!F76</f>
        <v>0</v>
      </c>
    </row>
    <row r="1012" spans="1:4" x14ac:dyDescent="0.25">
      <c r="A1012" s="268" t="s">
        <v>23</v>
      </c>
      <c r="B1012" s="269"/>
      <c r="C1012" s="34">
        <f>RFQ!G76</f>
        <v>0</v>
      </c>
    </row>
    <row r="1013" spans="1:4" x14ac:dyDescent="0.25">
      <c r="A1013" s="268" t="s">
        <v>24</v>
      </c>
      <c r="B1013" s="269"/>
      <c r="C1013" s="34">
        <f>RFQ!K76</f>
        <v>0</v>
      </c>
      <c r="D1013" s="19"/>
    </row>
    <row r="1014" spans="1:4" ht="15.75" thickBot="1" x14ac:dyDescent="0.3">
      <c r="A1014" s="270" t="s">
        <v>25</v>
      </c>
      <c r="B1014" s="271"/>
      <c r="C1014" s="31"/>
      <c r="D1014" s="19"/>
    </row>
    <row r="1015" spans="1:4" ht="15.75" x14ac:dyDescent="0.3">
      <c r="A1015" s="272" t="s">
        <v>26</v>
      </c>
      <c r="B1015" s="273"/>
      <c r="C1015" s="42"/>
      <c r="D1015" s="20"/>
    </row>
    <row r="1016" spans="1:4" ht="16.5" thickBot="1" x14ac:dyDescent="0.35">
      <c r="A1016" s="274" t="s">
        <v>27</v>
      </c>
      <c r="B1016" s="275"/>
      <c r="C1016" s="44"/>
      <c r="D1016" s="20"/>
    </row>
    <row r="1017" spans="1:4" x14ac:dyDescent="0.25">
      <c r="A1017" s="272" t="s">
        <v>28</v>
      </c>
      <c r="B1017" s="273"/>
      <c r="C1017" s="42"/>
    </row>
    <row r="1018" spans="1:4" ht="15.75" thickBot="1" x14ac:dyDescent="0.3">
      <c r="A1018" s="274" t="s">
        <v>29</v>
      </c>
      <c r="B1018" s="275"/>
      <c r="C1018" s="44"/>
    </row>
    <row r="1019" spans="1:4" x14ac:dyDescent="0.25">
      <c r="A1019" s="272" t="s">
        <v>30</v>
      </c>
      <c r="B1019" s="273"/>
      <c r="C1019" s="42"/>
    </row>
    <row r="1020" spans="1:4" ht="15.75" thickBot="1" x14ac:dyDescent="0.3">
      <c r="A1020" s="274" t="s">
        <v>31</v>
      </c>
      <c r="B1020" s="275"/>
      <c r="C1020" s="44"/>
    </row>
    <row r="1021" spans="1:4" x14ac:dyDescent="0.25">
      <c r="A1021" s="276" t="s">
        <v>32</v>
      </c>
      <c r="B1021" s="277"/>
      <c r="C1021" s="45"/>
    </row>
    <row r="1022" spans="1:4" ht="15.75" thickBot="1" x14ac:dyDescent="0.3">
      <c r="A1022" s="274" t="s">
        <v>33</v>
      </c>
      <c r="B1022" s="275"/>
      <c r="C1022" s="44"/>
    </row>
    <row r="1023" spans="1:4" ht="16.5" thickBot="1" x14ac:dyDescent="0.3">
      <c r="A1023" s="29">
        <f>IF(RFQ!D77="",0,RFQ!A77)</f>
        <v>0</v>
      </c>
      <c r="B1023" s="29">
        <f>IF(C1009=0,0, "FID "&amp;RFQ!C77)</f>
        <v>0</v>
      </c>
      <c r="C1023" s="37">
        <f>RFQ!D77</f>
        <v>0</v>
      </c>
    </row>
    <row r="1024" spans="1:4" x14ac:dyDescent="0.25">
      <c r="A1024" s="278" t="s">
        <v>21</v>
      </c>
      <c r="B1024" s="279"/>
      <c r="C1024" s="30">
        <f>RFQ!E77</f>
        <v>0</v>
      </c>
    </row>
    <row r="1025" spans="1:3" x14ac:dyDescent="0.25">
      <c r="A1025" s="268" t="s">
        <v>22</v>
      </c>
      <c r="B1025" s="269"/>
      <c r="C1025" s="34">
        <f>RFQ!F77</f>
        <v>0</v>
      </c>
    </row>
    <row r="1026" spans="1:3" x14ac:dyDescent="0.25">
      <c r="A1026" s="268" t="s">
        <v>23</v>
      </c>
      <c r="B1026" s="269"/>
      <c r="C1026" s="34">
        <f>RFQ!G77</f>
        <v>0</v>
      </c>
    </row>
    <row r="1027" spans="1:3" x14ac:dyDescent="0.25">
      <c r="A1027" s="268" t="s">
        <v>24</v>
      </c>
      <c r="B1027" s="269"/>
      <c r="C1027" s="34">
        <f>RFQ!K77</f>
        <v>0</v>
      </c>
    </row>
    <row r="1028" spans="1:3" ht="15.75" thickBot="1" x14ac:dyDescent="0.3">
      <c r="A1028" s="270" t="s">
        <v>25</v>
      </c>
      <c r="B1028" s="271"/>
      <c r="C1028" s="31"/>
    </row>
    <row r="1029" spans="1:3" x14ac:dyDescent="0.25">
      <c r="A1029" s="272" t="s">
        <v>26</v>
      </c>
      <c r="B1029" s="273"/>
      <c r="C1029" s="42"/>
    </row>
    <row r="1030" spans="1:3" ht="15.75" thickBot="1" x14ac:dyDescent="0.3">
      <c r="A1030" s="274" t="s">
        <v>27</v>
      </c>
      <c r="B1030" s="275"/>
      <c r="C1030" s="44"/>
    </row>
    <row r="1031" spans="1:3" x14ac:dyDescent="0.25">
      <c r="A1031" s="272" t="s">
        <v>28</v>
      </c>
      <c r="B1031" s="273"/>
      <c r="C1031" s="42"/>
    </row>
    <row r="1032" spans="1:3" ht="15.75" thickBot="1" x14ac:dyDescent="0.3">
      <c r="A1032" s="274" t="s">
        <v>29</v>
      </c>
      <c r="B1032" s="275"/>
      <c r="C1032" s="44"/>
    </row>
    <row r="1033" spans="1:3" x14ac:dyDescent="0.25">
      <c r="A1033" s="272" t="s">
        <v>30</v>
      </c>
      <c r="B1033" s="273"/>
      <c r="C1033" s="42"/>
    </row>
    <row r="1034" spans="1:3" ht="15.75" thickBot="1" x14ac:dyDescent="0.3">
      <c r="A1034" s="274" t="s">
        <v>31</v>
      </c>
      <c r="B1034" s="275"/>
      <c r="C1034" s="44"/>
    </row>
    <row r="1035" spans="1:3" x14ac:dyDescent="0.25">
      <c r="A1035" s="276" t="s">
        <v>32</v>
      </c>
      <c r="B1035" s="277"/>
      <c r="C1035" s="45"/>
    </row>
    <row r="1036" spans="1:3" ht="15.75" thickBot="1" x14ac:dyDescent="0.3">
      <c r="A1036" s="274" t="s">
        <v>33</v>
      </c>
      <c r="B1036" s="275"/>
      <c r="C1036" s="44"/>
    </row>
    <row r="1037" spans="1:3" ht="16.5" thickBot="1" x14ac:dyDescent="0.3">
      <c r="A1037" s="29">
        <f>IF(RFQ!D78="",0,RFQ!A78)</f>
        <v>0</v>
      </c>
      <c r="B1037" s="29">
        <f>IF(C1023=0,0, "FID "&amp;RFQ!C78)</f>
        <v>0</v>
      </c>
      <c r="C1037" s="37">
        <f>RFQ!D78</f>
        <v>0</v>
      </c>
    </row>
    <row r="1038" spans="1:3" x14ac:dyDescent="0.25">
      <c r="A1038" s="278" t="s">
        <v>21</v>
      </c>
      <c r="B1038" s="279"/>
      <c r="C1038" s="30">
        <f>RFQ!E78</f>
        <v>0</v>
      </c>
    </row>
    <row r="1039" spans="1:3" x14ac:dyDescent="0.25">
      <c r="A1039" s="268" t="s">
        <v>22</v>
      </c>
      <c r="B1039" s="269"/>
      <c r="C1039" s="34">
        <f>RFQ!F78</f>
        <v>0</v>
      </c>
    </row>
    <row r="1040" spans="1:3" x14ac:dyDescent="0.25">
      <c r="A1040" s="268" t="s">
        <v>23</v>
      </c>
      <c r="B1040" s="269"/>
      <c r="C1040" s="34">
        <f>RFQ!G78</f>
        <v>0</v>
      </c>
    </row>
    <row r="1041" spans="1:3" x14ac:dyDescent="0.25">
      <c r="A1041" s="268" t="s">
        <v>24</v>
      </c>
      <c r="B1041" s="269"/>
      <c r="C1041" s="34">
        <f>RFQ!K78</f>
        <v>0</v>
      </c>
    </row>
    <row r="1042" spans="1:3" ht="15.75" thickBot="1" x14ac:dyDescent="0.3">
      <c r="A1042" s="270" t="s">
        <v>25</v>
      </c>
      <c r="B1042" s="271"/>
      <c r="C1042" s="31"/>
    </row>
    <row r="1043" spans="1:3" x14ac:dyDescent="0.25">
      <c r="A1043" s="272" t="s">
        <v>26</v>
      </c>
      <c r="B1043" s="273"/>
      <c r="C1043" s="42"/>
    </row>
    <row r="1044" spans="1:3" ht="15.75" thickBot="1" x14ac:dyDescent="0.3">
      <c r="A1044" s="274" t="s">
        <v>27</v>
      </c>
      <c r="B1044" s="275"/>
      <c r="C1044" s="44"/>
    </row>
    <row r="1045" spans="1:3" x14ac:dyDescent="0.25">
      <c r="A1045" s="272" t="s">
        <v>28</v>
      </c>
      <c r="B1045" s="273"/>
      <c r="C1045" s="42"/>
    </row>
    <row r="1046" spans="1:3" ht="15.75" thickBot="1" x14ac:dyDescent="0.3">
      <c r="A1046" s="274" t="s">
        <v>29</v>
      </c>
      <c r="B1046" s="275"/>
      <c r="C1046" s="44"/>
    </row>
    <row r="1047" spans="1:3" x14ac:dyDescent="0.25">
      <c r="A1047" s="272" t="s">
        <v>30</v>
      </c>
      <c r="B1047" s="273"/>
      <c r="C1047" s="42"/>
    </row>
    <row r="1048" spans="1:3" ht="15.75" thickBot="1" x14ac:dyDescent="0.3">
      <c r="A1048" s="274" t="s">
        <v>31</v>
      </c>
      <c r="B1048" s="275"/>
      <c r="C1048" s="44"/>
    </row>
    <row r="1049" spans="1:3" x14ac:dyDescent="0.25">
      <c r="A1049" s="276" t="s">
        <v>32</v>
      </c>
      <c r="B1049" s="277"/>
      <c r="C1049" s="45"/>
    </row>
    <row r="1050" spans="1:3" ht="15.75" thickBot="1" x14ac:dyDescent="0.3">
      <c r="A1050" s="274" t="s">
        <v>33</v>
      </c>
      <c r="B1050" s="275"/>
      <c r="C1050" s="44"/>
    </row>
    <row r="1051" spans="1:3" ht="16.5" thickBot="1" x14ac:dyDescent="0.3">
      <c r="A1051" s="29">
        <f>IF(RFQ!D79="",0,RFQ!A79)</f>
        <v>0</v>
      </c>
      <c r="B1051" s="29">
        <f>IF(C1037=0,0, "FID "&amp;RFQ!C79)</f>
        <v>0</v>
      </c>
      <c r="C1051" s="37">
        <f>RFQ!D79</f>
        <v>0</v>
      </c>
    </row>
    <row r="1052" spans="1:3" x14ac:dyDescent="0.25">
      <c r="A1052" s="278" t="s">
        <v>21</v>
      </c>
      <c r="B1052" s="279"/>
      <c r="C1052" s="30">
        <f>RFQ!E79</f>
        <v>0</v>
      </c>
    </row>
    <row r="1053" spans="1:3" x14ac:dyDescent="0.25">
      <c r="A1053" s="268" t="s">
        <v>22</v>
      </c>
      <c r="B1053" s="269"/>
      <c r="C1053" s="34">
        <f>RFQ!F79</f>
        <v>0</v>
      </c>
    </row>
    <row r="1054" spans="1:3" x14ac:dyDescent="0.25">
      <c r="A1054" s="268" t="s">
        <v>23</v>
      </c>
      <c r="B1054" s="269"/>
      <c r="C1054" s="34">
        <f>RFQ!G79</f>
        <v>0</v>
      </c>
    </row>
    <row r="1055" spans="1:3" x14ac:dyDescent="0.25">
      <c r="A1055" s="268" t="s">
        <v>24</v>
      </c>
      <c r="B1055" s="269"/>
      <c r="C1055" s="34">
        <f>RFQ!K79</f>
        <v>0</v>
      </c>
    </row>
    <row r="1056" spans="1:3" ht="15.75" thickBot="1" x14ac:dyDescent="0.3">
      <c r="A1056" s="270" t="s">
        <v>25</v>
      </c>
      <c r="B1056" s="271"/>
      <c r="C1056" s="31"/>
    </row>
    <row r="1057" spans="1:3" x14ac:dyDescent="0.25">
      <c r="A1057" s="272" t="s">
        <v>26</v>
      </c>
      <c r="B1057" s="273"/>
      <c r="C1057" s="42"/>
    </row>
    <row r="1058" spans="1:3" ht="15.75" thickBot="1" x14ac:dyDescent="0.3">
      <c r="A1058" s="274" t="s">
        <v>27</v>
      </c>
      <c r="B1058" s="275"/>
      <c r="C1058" s="44"/>
    </row>
    <row r="1059" spans="1:3" x14ac:dyDescent="0.25">
      <c r="A1059" s="272" t="s">
        <v>28</v>
      </c>
      <c r="B1059" s="273"/>
      <c r="C1059" s="42"/>
    </row>
    <row r="1060" spans="1:3" ht="15.75" thickBot="1" x14ac:dyDescent="0.3">
      <c r="A1060" s="274" t="s">
        <v>29</v>
      </c>
      <c r="B1060" s="275"/>
      <c r="C1060" s="44"/>
    </row>
    <row r="1061" spans="1:3" x14ac:dyDescent="0.25">
      <c r="A1061" s="272" t="s">
        <v>30</v>
      </c>
      <c r="B1061" s="273"/>
      <c r="C1061" s="42"/>
    </row>
    <row r="1062" spans="1:3" ht="15.75" thickBot="1" x14ac:dyDescent="0.3">
      <c r="A1062" s="274" t="s">
        <v>31</v>
      </c>
      <c r="B1062" s="275"/>
      <c r="C1062" s="44"/>
    </row>
    <row r="1063" spans="1:3" x14ac:dyDescent="0.25">
      <c r="A1063" s="276" t="s">
        <v>32</v>
      </c>
      <c r="B1063" s="277"/>
      <c r="C1063" s="45"/>
    </row>
    <row r="1064" spans="1:3" ht="15.75" thickBot="1" x14ac:dyDescent="0.3">
      <c r="A1064" s="274" t="s">
        <v>33</v>
      </c>
      <c r="B1064" s="275"/>
      <c r="C1064" s="44"/>
    </row>
    <row r="1065" spans="1:3" ht="16.5" thickBot="1" x14ac:dyDescent="0.3">
      <c r="A1065" s="29">
        <f>IF(RFQ!D80="",0,RFQ!A80)</f>
        <v>0</v>
      </c>
      <c r="B1065" s="29">
        <f>IF(C1051=0,0, "FID "&amp;RFQ!C80)</f>
        <v>0</v>
      </c>
      <c r="C1065" s="37">
        <f>RFQ!D80</f>
        <v>0</v>
      </c>
    </row>
    <row r="1066" spans="1:3" x14ac:dyDescent="0.25">
      <c r="A1066" s="278" t="s">
        <v>21</v>
      </c>
      <c r="B1066" s="279"/>
      <c r="C1066" s="30">
        <f>RFQ!E80</f>
        <v>0</v>
      </c>
    </row>
    <row r="1067" spans="1:3" x14ac:dyDescent="0.25">
      <c r="A1067" s="268" t="s">
        <v>22</v>
      </c>
      <c r="B1067" s="269"/>
      <c r="C1067" s="34">
        <f>RFQ!F80</f>
        <v>0</v>
      </c>
    </row>
    <row r="1068" spans="1:3" x14ac:dyDescent="0.25">
      <c r="A1068" s="268" t="s">
        <v>23</v>
      </c>
      <c r="B1068" s="269"/>
      <c r="C1068" s="34">
        <f>RFQ!G80</f>
        <v>0</v>
      </c>
    </row>
    <row r="1069" spans="1:3" x14ac:dyDescent="0.25">
      <c r="A1069" s="268" t="s">
        <v>24</v>
      </c>
      <c r="B1069" s="269"/>
      <c r="C1069" s="34">
        <f>RFQ!K80</f>
        <v>0</v>
      </c>
    </row>
    <row r="1070" spans="1:3" ht="15.75" thickBot="1" x14ac:dyDescent="0.3">
      <c r="A1070" s="270" t="s">
        <v>25</v>
      </c>
      <c r="B1070" s="271"/>
      <c r="C1070" s="31"/>
    </row>
    <row r="1071" spans="1:3" x14ac:dyDescent="0.25">
      <c r="A1071" s="272" t="s">
        <v>26</v>
      </c>
      <c r="B1071" s="273"/>
      <c r="C1071" s="42"/>
    </row>
    <row r="1072" spans="1:3" ht="15.75" thickBot="1" x14ac:dyDescent="0.3">
      <c r="A1072" s="274" t="s">
        <v>27</v>
      </c>
      <c r="B1072" s="275"/>
      <c r="C1072" s="44"/>
    </row>
    <row r="1073" spans="1:3" x14ac:dyDescent="0.25">
      <c r="A1073" s="272" t="s">
        <v>28</v>
      </c>
      <c r="B1073" s="273"/>
      <c r="C1073" s="42"/>
    </row>
    <row r="1074" spans="1:3" ht="15.75" thickBot="1" x14ac:dyDescent="0.3">
      <c r="A1074" s="274" t="s">
        <v>29</v>
      </c>
      <c r="B1074" s="275"/>
      <c r="C1074" s="44"/>
    </row>
    <row r="1075" spans="1:3" x14ac:dyDescent="0.25">
      <c r="A1075" s="272" t="s">
        <v>30</v>
      </c>
      <c r="B1075" s="273"/>
      <c r="C1075" s="42"/>
    </row>
    <row r="1076" spans="1:3" ht="15.75" thickBot="1" x14ac:dyDescent="0.3">
      <c r="A1076" s="274" t="s">
        <v>31</v>
      </c>
      <c r="B1076" s="275"/>
      <c r="C1076" s="44"/>
    </row>
    <row r="1077" spans="1:3" x14ac:dyDescent="0.25">
      <c r="A1077" s="276" t="s">
        <v>32</v>
      </c>
      <c r="B1077" s="277"/>
      <c r="C1077" s="45"/>
    </row>
    <row r="1078" spans="1:3" ht="15.75" thickBot="1" x14ac:dyDescent="0.3">
      <c r="A1078" s="274" t="s">
        <v>33</v>
      </c>
      <c r="B1078" s="275"/>
      <c r="C1078" s="44"/>
    </row>
    <row r="1079" spans="1:3" ht="16.5" thickBot="1" x14ac:dyDescent="0.3">
      <c r="A1079" s="29">
        <f>IF(RFQ!D81="",0,RFQ!A81)</f>
        <v>0</v>
      </c>
      <c r="B1079" s="29">
        <f>IF(C1065=0,0, "FID "&amp;RFQ!C81)</f>
        <v>0</v>
      </c>
      <c r="C1079" s="37">
        <f>RFQ!D81</f>
        <v>0</v>
      </c>
    </row>
    <row r="1080" spans="1:3" x14ac:dyDescent="0.25">
      <c r="A1080" s="278" t="s">
        <v>21</v>
      </c>
      <c r="B1080" s="279"/>
      <c r="C1080" s="30">
        <f>RFQ!E81</f>
        <v>0</v>
      </c>
    </row>
    <row r="1081" spans="1:3" x14ac:dyDescent="0.25">
      <c r="A1081" s="268" t="s">
        <v>22</v>
      </c>
      <c r="B1081" s="269"/>
      <c r="C1081" s="34">
        <f>RFQ!F81</f>
        <v>0</v>
      </c>
    </row>
    <row r="1082" spans="1:3" x14ac:dyDescent="0.25">
      <c r="A1082" s="268" t="s">
        <v>23</v>
      </c>
      <c r="B1082" s="269"/>
      <c r="C1082" s="34">
        <f>RFQ!G81</f>
        <v>0</v>
      </c>
    </row>
    <row r="1083" spans="1:3" x14ac:dyDescent="0.25">
      <c r="A1083" s="268" t="s">
        <v>24</v>
      </c>
      <c r="B1083" s="269"/>
      <c r="C1083" s="34">
        <f>RFQ!K81</f>
        <v>0</v>
      </c>
    </row>
    <row r="1084" spans="1:3" ht="15.75" thickBot="1" x14ac:dyDescent="0.3">
      <c r="A1084" s="270" t="s">
        <v>25</v>
      </c>
      <c r="B1084" s="271"/>
      <c r="C1084" s="31"/>
    </row>
    <row r="1085" spans="1:3" x14ac:dyDescent="0.25">
      <c r="A1085" s="272" t="s">
        <v>26</v>
      </c>
      <c r="B1085" s="273"/>
      <c r="C1085" s="42"/>
    </row>
    <row r="1086" spans="1:3" ht="15.75" thickBot="1" x14ac:dyDescent="0.3">
      <c r="A1086" s="274" t="s">
        <v>27</v>
      </c>
      <c r="B1086" s="275"/>
      <c r="C1086" s="44"/>
    </row>
    <row r="1087" spans="1:3" x14ac:dyDescent="0.25">
      <c r="A1087" s="272" t="s">
        <v>28</v>
      </c>
      <c r="B1087" s="273"/>
      <c r="C1087" s="42"/>
    </row>
    <row r="1088" spans="1:3" ht="15.75" thickBot="1" x14ac:dyDescent="0.3">
      <c r="A1088" s="274" t="s">
        <v>29</v>
      </c>
      <c r="B1088" s="275"/>
      <c r="C1088" s="44"/>
    </row>
    <row r="1089" spans="1:3" x14ac:dyDescent="0.25">
      <c r="A1089" s="272" t="s">
        <v>30</v>
      </c>
      <c r="B1089" s="273"/>
      <c r="C1089" s="42"/>
    </row>
    <row r="1090" spans="1:3" ht="15.75" thickBot="1" x14ac:dyDescent="0.3">
      <c r="A1090" s="274" t="s">
        <v>31</v>
      </c>
      <c r="B1090" s="275"/>
      <c r="C1090" s="44"/>
    </row>
    <row r="1091" spans="1:3" x14ac:dyDescent="0.25">
      <c r="A1091" s="276" t="s">
        <v>32</v>
      </c>
      <c r="B1091" s="277"/>
      <c r="C1091" s="45"/>
    </row>
    <row r="1092" spans="1:3" ht="15.75" thickBot="1" x14ac:dyDescent="0.3">
      <c r="A1092" s="274" t="s">
        <v>33</v>
      </c>
      <c r="B1092" s="275"/>
      <c r="C1092" s="44"/>
    </row>
    <row r="1093" spans="1:3" ht="16.5" thickBot="1" x14ac:dyDescent="0.3">
      <c r="A1093" s="29">
        <f>IF(RFQ!D82="",0,RFQ!A82)</f>
        <v>0</v>
      </c>
      <c r="B1093" s="29">
        <f>IF(C1079=0,0, "FID "&amp;RFQ!C82)</f>
        <v>0</v>
      </c>
      <c r="C1093" s="37">
        <f>RFQ!D82</f>
        <v>0</v>
      </c>
    </row>
    <row r="1094" spans="1:3" x14ac:dyDescent="0.25">
      <c r="A1094" s="278" t="s">
        <v>21</v>
      </c>
      <c r="B1094" s="279"/>
      <c r="C1094" s="30">
        <f>RFQ!E82</f>
        <v>0</v>
      </c>
    </row>
    <row r="1095" spans="1:3" x14ac:dyDescent="0.25">
      <c r="A1095" s="268" t="s">
        <v>22</v>
      </c>
      <c r="B1095" s="269"/>
      <c r="C1095" s="34">
        <f>RFQ!F82</f>
        <v>0</v>
      </c>
    </row>
    <row r="1096" spans="1:3" x14ac:dyDescent="0.25">
      <c r="A1096" s="268" t="s">
        <v>23</v>
      </c>
      <c r="B1096" s="269"/>
      <c r="C1096" s="34">
        <f>RFQ!G82</f>
        <v>0</v>
      </c>
    </row>
    <row r="1097" spans="1:3" x14ac:dyDescent="0.25">
      <c r="A1097" s="268" t="s">
        <v>24</v>
      </c>
      <c r="B1097" s="269"/>
      <c r="C1097" s="34">
        <f>RFQ!K82</f>
        <v>0</v>
      </c>
    </row>
    <row r="1098" spans="1:3" ht="15.75" thickBot="1" x14ac:dyDescent="0.3">
      <c r="A1098" s="270" t="s">
        <v>25</v>
      </c>
      <c r="B1098" s="271"/>
      <c r="C1098" s="31"/>
    </row>
    <row r="1099" spans="1:3" x14ac:dyDescent="0.25">
      <c r="A1099" s="272" t="s">
        <v>26</v>
      </c>
      <c r="B1099" s="273"/>
      <c r="C1099" s="42"/>
    </row>
    <row r="1100" spans="1:3" ht="15.75" thickBot="1" x14ac:dyDescent="0.3">
      <c r="A1100" s="274" t="s">
        <v>27</v>
      </c>
      <c r="B1100" s="275"/>
      <c r="C1100" s="44"/>
    </row>
    <row r="1101" spans="1:3" x14ac:dyDescent="0.25">
      <c r="A1101" s="272" t="s">
        <v>28</v>
      </c>
      <c r="B1101" s="273"/>
      <c r="C1101" s="42"/>
    </row>
    <row r="1102" spans="1:3" ht="15.75" thickBot="1" x14ac:dyDescent="0.3">
      <c r="A1102" s="274" t="s">
        <v>29</v>
      </c>
      <c r="B1102" s="275"/>
      <c r="C1102" s="44"/>
    </row>
    <row r="1103" spans="1:3" x14ac:dyDescent="0.25">
      <c r="A1103" s="272" t="s">
        <v>30</v>
      </c>
      <c r="B1103" s="273"/>
      <c r="C1103" s="42"/>
    </row>
    <row r="1104" spans="1:3" ht="15.75" thickBot="1" x14ac:dyDescent="0.3">
      <c r="A1104" s="274" t="s">
        <v>31</v>
      </c>
      <c r="B1104" s="275"/>
      <c r="C1104" s="44"/>
    </row>
    <row r="1105" spans="1:3" x14ac:dyDescent="0.25">
      <c r="A1105" s="276" t="s">
        <v>32</v>
      </c>
      <c r="B1105" s="277"/>
      <c r="C1105" s="45"/>
    </row>
    <row r="1106" spans="1:3" ht="15.75" thickBot="1" x14ac:dyDescent="0.3">
      <c r="A1106" s="274" t="s">
        <v>33</v>
      </c>
      <c r="B1106" s="275"/>
      <c r="C1106" s="44"/>
    </row>
    <row r="1107" spans="1:3" ht="16.5" thickBot="1" x14ac:dyDescent="0.3">
      <c r="A1107" s="29">
        <f>IF(RFQ!D83="",0,RFQ!A83)</f>
        <v>0</v>
      </c>
      <c r="B1107" s="29">
        <f>IF(C1093=0,0, "FID "&amp;RFQ!C83)</f>
        <v>0</v>
      </c>
      <c r="C1107" s="37">
        <f>RFQ!D83</f>
        <v>0</v>
      </c>
    </row>
    <row r="1108" spans="1:3" x14ac:dyDescent="0.25">
      <c r="A1108" s="278" t="s">
        <v>21</v>
      </c>
      <c r="B1108" s="279"/>
      <c r="C1108" s="30">
        <f>RFQ!E83</f>
        <v>0</v>
      </c>
    </row>
    <row r="1109" spans="1:3" x14ac:dyDescent="0.25">
      <c r="A1109" s="268" t="s">
        <v>22</v>
      </c>
      <c r="B1109" s="269"/>
      <c r="C1109" s="34">
        <f>RFQ!F83</f>
        <v>0</v>
      </c>
    </row>
    <row r="1110" spans="1:3" x14ac:dyDescent="0.25">
      <c r="A1110" s="268" t="s">
        <v>23</v>
      </c>
      <c r="B1110" s="269"/>
      <c r="C1110" s="34">
        <f>RFQ!G83</f>
        <v>0</v>
      </c>
    </row>
    <row r="1111" spans="1:3" x14ac:dyDescent="0.25">
      <c r="A1111" s="268" t="s">
        <v>24</v>
      </c>
      <c r="B1111" s="269"/>
      <c r="C1111" s="34">
        <f>RFQ!K83</f>
        <v>0</v>
      </c>
    </row>
    <row r="1112" spans="1:3" ht="15.75" thickBot="1" x14ac:dyDescent="0.3">
      <c r="A1112" s="270" t="s">
        <v>25</v>
      </c>
      <c r="B1112" s="271"/>
      <c r="C1112" s="31"/>
    </row>
    <row r="1113" spans="1:3" x14ac:dyDescent="0.25">
      <c r="A1113" s="272" t="s">
        <v>26</v>
      </c>
      <c r="B1113" s="273"/>
      <c r="C1113" s="42"/>
    </row>
    <row r="1114" spans="1:3" ht="15.75" thickBot="1" x14ac:dyDescent="0.3">
      <c r="A1114" s="274" t="s">
        <v>27</v>
      </c>
      <c r="B1114" s="275"/>
      <c r="C1114" s="44"/>
    </row>
    <row r="1115" spans="1:3" x14ac:dyDescent="0.25">
      <c r="A1115" s="272" t="s">
        <v>28</v>
      </c>
      <c r="B1115" s="273"/>
      <c r="C1115" s="42"/>
    </row>
    <row r="1116" spans="1:3" ht="15.75" thickBot="1" x14ac:dyDescent="0.3">
      <c r="A1116" s="274" t="s">
        <v>29</v>
      </c>
      <c r="B1116" s="275"/>
      <c r="C1116" s="44"/>
    </row>
    <row r="1117" spans="1:3" x14ac:dyDescent="0.25">
      <c r="A1117" s="272" t="s">
        <v>30</v>
      </c>
      <c r="B1117" s="273"/>
      <c r="C1117" s="42"/>
    </row>
    <row r="1118" spans="1:3" ht="15.75" thickBot="1" x14ac:dyDescent="0.3">
      <c r="A1118" s="274" t="s">
        <v>31</v>
      </c>
      <c r="B1118" s="275"/>
      <c r="C1118" s="44"/>
    </row>
    <row r="1119" spans="1:3" x14ac:dyDescent="0.25">
      <c r="A1119" s="276" t="s">
        <v>32</v>
      </c>
      <c r="B1119" s="277"/>
      <c r="C1119" s="45"/>
    </row>
    <row r="1120" spans="1:3" ht="15.75" thickBot="1" x14ac:dyDescent="0.3">
      <c r="A1120" s="274" t="s">
        <v>33</v>
      </c>
      <c r="B1120" s="275"/>
      <c r="C1120" s="44"/>
    </row>
    <row r="1121" spans="1:3" ht="16.5" thickBot="1" x14ac:dyDescent="0.3">
      <c r="A1121" s="29">
        <f>IF(RFQ!D84="",0,RFQ!A84)</f>
        <v>0</v>
      </c>
      <c r="B1121" s="29">
        <f>IF(C1107=0,0, "FID "&amp;RFQ!C84)</f>
        <v>0</v>
      </c>
      <c r="C1121" s="37">
        <f>RFQ!D84</f>
        <v>0</v>
      </c>
    </row>
    <row r="1122" spans="1:3" x14ac:dyDescent="0.25">
      <c r="A1122" s="278" t="s">
        <v>21</v>
      </c>
      <c r="B1122" s="279"/>
      <c r="C1122" s="30">
        <f>RFQ!E84</f>
        <v>0</v>
      </c>
    </row>
    <row r="1123" spans="1:3" x14ac:dyDescent="0.25">
      <c r="A1123" s="268" t="s">
        <v>22</v>
      </c>
      <c r="B1123" s="269"/>
      <c r="C1123" s="34">
        <f>RFQ!F84</f>
        <v>0</v>
      </c>
    </row>
    <row r="1124" spans="1:3" x14ac:dyDescent="0.25">
      <c r="A1124" s="268" t="s">
        <v>23</v>
      </c>
      <c r="B1124" s="269"/>
      <c r="C1124" s="34">
        <f>RFQ!G84</f>
        <v>0</v>
      </c>
    </row>
    <row r="1125" spans="1:3" x14ac:dyDescent="0.25">
      <c r="A1125" s="268" t="s">
        <v>24</v>
      </c>
      <c r="B1125" s="269"/>
      <c r="C1125" s="34">
        <f>RFQ!K84</f>
        <v>0</v>
      </c>
    </row>
    <row r="1126" spans="1:3" ht="15.75" thickBot="1" x14ac:dyDescent="0.3">
      <c r="A1126" s="270" t="s">
        <v>25</v>
      </c>
      <c r="B1126" s="271"/>
      <c r="C1126" s="31"/>
    </row>
    <row r="1127" spans="1:3" x14ac:dyDescent="0.25">
      <c r="A1127" s="272" t="s">
        <v>26</v>
      </c>
      <c r="B1127" s="273"/>
      <c r="C1127" s="42"/>
    </row>
    <row r="1128" spans="1:3" ht="15.75" thickBot="1" x14ac:dyDescent="0.3">
      <c r="A1128" s="274" t="s">
        <v>27</v>
      </c>
      <c r="B1128" s="275"/>
      <c r="C1128" s="44"/>
    </row>
    <row r="1129" spans="1:3" x14ac:dyDescent="0.25">
      <c r="A1129" s="272" t="s">
        <v>28</v>
      </c>
      <c r="B1129" s="273"/>
      <c r="C1129" s="42"/>
    </row>
    <row r="1130" spans="1:3" ht="15.75" thickBot="1" x14ac:dyDescent="0.3">
      <c r="A1130" s="274" t="s">
        <v>29</v>
      </c>
      <c r="B1130" s="275"/>
      <c r="C1130" s="44"/>
    </row>
    <row r="1131" spans="1:3" x14ac:dyDescent="0.25">
      <c r="A1131" s="272" t="s">
        <v>30</v>
      </c>
      <c r="B1131" s="273"/>
      <c r="C1131" s="42"/>
    </row>
    <row r="1132" spans="1:3" ht="15.75" thickBot="1" x14ac:dyDescent="0.3">
      <c r="A1132" s="274" t="s">
        <v>31</v>
      </c>
      <c r="B1132" s="275"/>
      <c r="C1132" s="44"/>
    </row>
    <row r="1133" spans="1:3" x14ac:dyDescent="0.25">
      <c r="A1133" s="276" t="s">
        <v>32</v>
      </c>
      <c r="B1133" s="277"/>
      <c r="C1133" s="45"/>
    </row>
    <row r="1134" spans="1:3" ht="15.75" thickBot="1" x14ac:dyDescent="0.3">
      <c r="A1134" s="274" t="s">
        <v>33</v>
      </c>
      <c r="B1134" s="275"/>
      <c r="C1134" s="44"/>
    </row>
  </sheetData>
  <sheetProtection formatRows="0" insertRows="0"/>
  <customSheetViews>
    <customSheetView guid="{68E7B74C-C3B2-4B0B-8DBB-C6EB7678BF05}" topLeftCell="A685">
      <selection activeCell="J795" sqref="J795"/>
      <pageMargins left="0" right="0" top="0" bottom="0" header="0" footer="0"/>
      <pageSetup fitToHeight="100" orientation="landscape" r:id="rId1"/>
    </customSheetView>
    <customSheetView guid="{056DF672-C699-49F3-9F8F-FF611E6486A3}" showPageBreaks="1" printArea="1" topLeftCell="A685">
      <selection activeCell="J795" sqref="J795"/>
      <pageMargins left="0" right="0" top="0" bottom="0" header="0" footer="0"/>
      <pageSetup fitToHeight="100" orientation="landscape" r:id="rId2"/>
    </customSheetView>
  </customSheetViews>
  <mergeCells count="1053">
    <mergeCell ref="A1134:B1134"/>
    <mergeCell ref="A1116:B1116"/>
    <mergeCell ref="A1117:B1117"/>
    <mergeCell ref="A1118:B1118"/>
    <mergeCell ref="A1119:B1119"/>
    <mergeCell ref="A1120:B1120"/>
    <mergeCell ref="A1122:B1122"/>
    <mergeCell ref="A1123:B1123"/>
    <mergeCell ref="A1124:B1124"/>
    <mergeCell ref="A1125:B1125"/>
    <mergeCell ref="A1126:B1126"/>
    <mergeCell ref="A1127:B1127"/>
    <mergeCell ref="A1128:B1128"/>
    <mergeCell ref="A1129:B1129"/>
    <mergeCell ref="A1130:B1130"/>
    <mergeCell ref="A1131:B1131"/>
    <mergeCell ref="A1132:B1132"/>
    <mergeCell ref="A1133:B1133"/>
    <mergeCell ref="A1098:B1098"/>
    <mergeCell ref="A1099:B1099"/>
    <mergeCell ref="A1100:B1100"/>
    <mergeCell ref="A1101:B1101"/>
    <mergeCell ref="A1102:B1102"/>
    <mergeCell ref="A1103:B1103"/>
    <mergeCell ref="A1104:B1104"/>
    <mergeCell ref="A1105:B1105"/>
    <mergeCell ref="A1106:B1106"/>
    <mergeCell ref="A1108:B1108"/>
    <mergeCell ref="A1109:B1109"/>
    <mergeCell ref="A1110:B1110"/>
    <mergeCell ref="A1111:B1111"/>
    <mergeCell ref="A1112:B1112"/>
    <mergeCell ref="A1113:B1113"/>
    <mergeCell ref="A1114:B1114"/>
    <mergeCell ref="A1115:B1115"/>
    <mergeCell ref="A1080:B1080"/>
    <mergeCell ref="A1081:B1081"/>
    <mergeCell ref="A1082:B1082"/>
    <mergeCell ref="A1083:B1083"/>
    <mergeCell ref="A1084:B1084"/>
    <mergeCell ref="A1085:B1085"/>
    <mergeCell ref="A1086:B1086"/>
    <mergeCell ref="A1087:B1087"/>
    <mergeCell ref="A1088:B1088"/>
    <mergeCell ref="A1089:B1089"/>
    <mergeCell ref="A1090:B1090"/>
    <mergeCell ref="A1091:B1091"/>
    <mergeCell ref="A1092:B1092"/>
    <mergeCell ref="A1094:B1094"/>
    <mergeCell ref="A1095:B1095"/>
    <mergeCell ref="A1096:B1096"/>
    <mergeCell ref="A1097:B1097"/>
    <mergeCell ref="A1071:B1071"/>
    <mergeCell ref="A1072:B1072"/>
    <mergeCell ref="A1073:B1073"/>
    <mergeCell ref="A1074:B1074"/>
    <mergeCell ref="A1075:B1075"/>
    <mergeCell ref="A1076:B1076"/>
    <mergeCell ref="A1077:B1077"/>
    <mergeCell ref="A1078:B1078"/>
    <mergeCell ref="A1061:B1061"/>
    <mergeCell ref="A1062:B1062"/>
    <mergeCell ref="A1063:B1063"/>
    <mergeCell ref="A1064:B1064"/>
    <mergeCell ref="A1066:B1066"/>
    <mergeCell ref="A1067:B1067"/>
    <mergeCell ref="A1068:B1068"/>
    <mergeCell ref="A1069:B1069"/>
    <mergeCell ref="A1070:B1070"/>
    <mergeCell ref="A1052:B1052"/>
    <mergeCell ref="A1053:B1053"/>
    <mergeCell ref="A1054:B1054"/>
    <mergeCell ref="A1055:B1055"/>
    <mergeCell ref="A1056:B1056"/>
    <mergeCell ref="A1057:B1057"/>
    <mergeCell ref="A1058:B1058"/>
    <mergeCell ref="A1059:B1059"/>
    <mergeCell ref="A1060:B1060"/>
    <mergeCell ref="A1042:B1042"/>
    <mergeCell ref="A1043:B1043"/>
    <mergeCell ref="A1044:B1044"/>
    <mergeCell ref="A1045:B1045"/>
    <mergeCell ref="A1046:B1046"/>
    <mergeCell ref="A1047:B1047"/>
    <mergeCell ref="A1048:B1048"/>
    <mergeCell ref="A1049:B1049"/>
    <mergeCell ref="A1050:B1050"/>
    <mergeCell ref="A1032:B1032"/>
    <mergeCell ref="A1033:B1033"/>
    <mergeCell ref="A1034:B1034"/>
    <mergeCell ref="A1035:B1035"/>
    <mergeCell ref="A1036:B1036"/>
    <mergeCell ref="A1038:B1038"/>
    <mergeCell ref="A1039:B1039"/>
    <mergeCell ref="A1040:B1040"/>
    <mergeCell ref="A1041:B1041"/>
    <mergeCell ref="A1022:B1022"/>
    <mergeCell ref="A1024:B1024"/>
    <mergeCell ref="A1025:B1025"/>
    <mergeCell ref="A1026:B1026"/>
    <mergeCell ref="A1027:B1027"/>
    <mergeCell ref="A1028:B1028"/>
    <mergeCell ref="A1029:B1029"/>
    <mergeCell ref="A1030:B1030"/>
    <mergeCell ref="A1031:B1031"/>
    <mergeCell ref="A1013:B1013"/>
    <mergeCell ref="A1014:B1014"/>
    <mergeCell ref="A1015:B1015"/>
    <mergeCell ref="A1016:B1016"/>
    <mergeCell ref="A1017:B1017"/>
    <mergeCell ref="A1018:B1018"/>
    <mergeCell ref="A1019:B1019"/>
    <mergeCell ref="A1020:B1020"/>
    <mergeCell ref="A1021:B1021"/>
    <mergeCell ref="A1003:B1003"/>
    <mergeCell ref="A1004:B1004"/>
    <mergeCell ref="A1005:B1005"/>
    <mergeCell ref="A1006:B1006"/>
    <mergeCell ref="A1007:B1007"/>
    <mergeCell ref="A1008:B1008"/>
    <mergeCell ref="A1010:B1010"/>
    <mergeCell ref="A1011:B1011"/>
    <mergeCell ref="A1012:B1012"/>
    <mergeCell ref="A993:B993"/>
    <mergeCell ref="A994:B994"/>
    <mergeCell ref="A996:B996"/>
    <mergeCell ref="A997:B997"/>
    <mergeCell ref="A998:B998"/>
    <mergeCell ref="A999:B999"/>
    <mergeCell ref="A1000:B1000"/>
    <mergeCell ref="A1001:B1001"/>
    <mergeCell ref="A1002:B1002"/>
    <mergeCell ref="A984:B984"/>
    <mergeCell ref="A985:B985"/>
    <mergeCell ref="A986:B986"/>
    <mergeCell ref="A987:B987"/>
    <mergeCell ref="A988:B988"/>
    <mergeCell ref="A989:B989"/>
    <mergeCell ref="A990:B990"/>
    <mergeCell ref="A991:B991"/>
    <mergeCell ref="A992:B992"/>
    <mergeCell ref="A974:B974"/>
    <mergeCell ref="A975:B975"/>
    <mergeCell ref="A976:B976"/>
    <mergeCell ref="A977:B977"/>
    <mergeCell ref="A978:B978"/>
    <mergeCell ref="A979:B979"/>
    <mergeCell ref="A980:B980"/>
    <mergeCell ref="A982:B982"/>
    <mergeCell ref="A983:B983"/>
    <mergeCell ref="A964:B964"/>
    <mergeCell ref="A965:B965"/>
    <mergeCell ref="A966:B966"/>
    <mergeCell ref="A968:B968"/>
    <mergeCell ref="A969:B969"/>
    <mergeCell ref="A970:B970"/>
    <mergeCell ref="A971:B971"/>
    <mergeCell ref="A972:B972"/>
    <mergeCell ref="A973:B973"/>
    <mergeCell ref="A955:B955"/>
    <mergeCell ref="A956:B956"/>
    <mergeCell ref="A957:B957"/>
    <mergeCell ref="A958:B958"/>
    <mergeCell ref="A959:B959"/>
    <mergeCell ref="A960:B960"/>
    <mergeCell ref="A961:B961"/>
    <mergeCell ref="A962:B962"/>
    <mergeCell ref="A963:B963"/>
    <mergeCell ref="A945:B945"/>
    <mergeCell ref="A946:B946"/>
    <mergeCell ref="A947:B947"/>
    <mergeCell ref="A948:B948"/>
    <mergeCell ref="A949:B949"/>
    <mergeCell ref="A950:B950"/>
    <mergeCell ref="A951:B951"/>
    <mergeCell ref="A952:B952"/>
    <mergeCell ref="A954:B954"/>
    <mergeCell ref="A935:B935"/>
    <mergeCell ref="A936:B936"/>
    <mergeCell ref="A937:B937"/>
    <mergeCell ref="A938:B938"/>
    <mergeCell ref="A940:B940"/>
    <mergeCell ref="A941:B941"/>
    <mergeCell ref="A942:B942"/>
    <mergeCell ref="A943:B943"/>
    <mergeCell ref="A944:B944"/>
    <mergeCell ref="A926:B926"/>
    <mergeCell ref="A927:B927"/>
    <mergeCell ref="A928:B928"/>
    <mergeCell ref="A929:B929"/>
    <mergeCell ref="A930:B930"/>
    <mergeCell ref="A931:B931"/>
    <mergeCell ref="A932:B932"/>
    <mergeCell ref="A933:B933"/>
    <mergeCell ref="A934:B934"/>
    <mergeCell ref="A916:B916"/>
    <mergeCell ref="A917:B917"/>
    <mergeCell ref="A918:B918"/>
    <mergeCell ref="A919:B919"/>
    <mergeCell ref="A920:B920"/>
    <mergeCell ref="A921:B921"/>
    <mergeCell ref="A922:B922"/>
    <mergeCell ref="A923:B923"/>
    <mergeCell ref="A924:B924"/>
    <mergeCell ref="A906:B906"/>
    <mergeCell ref="A907:B907"/>
    <mergeCell ref="A908:B908"/>
    <mergeCell ref="A909:B909"/>
    <mergeCell ref="A910:B910"/>
    <mergeCell ref="A912:B912"/>
    <mergeCell ref="A913:B913"/>
    <mergeCell ref="A914:B914"/>
    <mergeCell ref="A915:B915"/>
    <mergeCell ref="A896:B896"/>
    <mergeCell ref="A898:B898"/>
    <mergeCell ref="A899:B899"/>
    <mergeCell ref="A900:B900"/>
    <mergeCell ref="A901:B901"/>
    <mergeCell ref="A902:B902"/>
    <mergeCell ref="A903:B903"/>
    <mergeCell ref="A904:B904"/>
    <mergeCell ref="A905:B905"/>
    <mergeCell ref="A887:B887"/>
    <mergeCell ref="A888:B888"/>
    <mergeCell ref="A889:B889"/>
    <mergeCell ref="A890:B890"/>
    <mergeCell ref="A891:B891"/>
    <mergeCell ref="A892:B892"/>
    <mergeCell ref="A893:B893"/>
    <mergeCell ref="A894:B894"/>
    <mergeCell ref="A895:B895"/>
    <mergeCell ref="A877:B877"/>
    <mergeCell ref="A878:B878"/>
    <mergeCell ref="A879:B879"/>
    <mergeCell ref="A880:B880"/>
    <mergeCell ref="A881:B881"/>
    <mergeCell ref="A882:B882"/>
    <mergeCell ref="A884:B884"/>
    <mergeCell ref="A885:B885"/>
    <mergeCell ref="A886:B886"/>
    <mergeCell ref="A867:B867"/>
    <mergeCell ref="A868:B868"/>
    <mergeCell ref="A870:B870"/>
    <mergeCell ref="A871:B871"/>
    <mergeCell ref="A872:B872"/>
    <mergeCell ref="A873:B873"/>
    <mergeCell ref="A874:B874"/>
    <mergeCell ref="A875:B875"/>
    <mergeCell ref="A876:B876"/>
    <mergeCell ref="A858:B858"/>
    <mergeCell ref="A859:B859"/>
    <mergeCell ref="A860:B860"/>
    <mergeCell ref="A861:B861"/>
    <mergeCell ref="A862:B862"/>
    <mergeCell ref="A863:B863"/>
    <mergeCell ref="A864:B864"/>
    <mergeCell ref="A865:B865"/>
    <mergeCell ref="A866:B866"/>
    <mergeCell ref="A848:B848"/>
    <mergeCell ref="A849:B849"/>
    <mergeCell ref="A850:B850"/>
    <mergeCell ref="A851:B851"/>
    <mergeCell ref="A852:B852"/>
    <mergeCell ref="A853:B853"/>
    <mergeCell ref="A854:B854"/>
    <mergeCell ref="A856:B856"/>
    <mergeCell ref="A857:B857"/>
    <mergeCell ref="A838:B838"/>
    <mergeCell ref="A839:B839"/>
    <mergeCell ref="A840:B840"/>
    <mergeCell ref="A842:B842"/>
    <mergeCell ref="A843:B843"/>
    <mergeCell ref="A844:B844"/>
    <mergeCell ref="A845:B845"/>
    <mergeCell ref="A846:B846"/>
    <mergeCell ref="A847:B847"/>
    <mergeCell ref="A829:B829"/>
    <mergeCell ref="A830:B830"/>
    <mergeCell ref="A831:B831"/>
    <mergeCell ref="A832:B832"/>
    <mergeCell ref="A833:B833"/>
    <mergeCell ref="A834:B834"/>
    <mergeCell ref="A835:B835"/>
    <mergeCell ref="A836:B836"/>
    <mergeCell ref="A837:B837"/>
    <mergeCell ref="A819:B819"/>
    <mergeCell ref="A820:B820"/>
    <mergeCell ref="A821:B821"/>
    <mergeCell ref="A822:B822"/>
    <mergeCell ref="A823:B823"/>
    <mergeCell ref="A824:B824"/>
    <mergeCell ref="A825:B825"/>
    <mergeCell ref="A826:B826"/>
    <mergeCell ref="A828:B828"/>
    <mergeCell ref="A809:B809"/>
    <mergeCell ref="A810:B810"/>
    <mergeCell ref="A811:B811"/>
    <mergeCell ref="A812:B812"/>
    <mergeCell ref="A814:B814"/>
    <mergeCell ref="A815:B815"/>
    <mergeCell ref="A816:B816"/>
    <mergeCell ref="A817:B817"/>
    <mergeCell ref="A818:B818"/>
    <mergeCell ref="A800:B800"/>
    <mergeCell ref="A801:B801"/>
    <mergeCell ref="A802:B802"/>
    <mergeCell ref="A803:B803"/>
    <mergeCell ref="A804:B804"/>
    <mergeCell ref="A805:B805"/>
    <mergeCell ref="A806:B806"/>
    <mergeCell ref="A807:B807"/>
    <mergeCell ref="A808:B808"/>
    <mergeCell ref="A670:B670"/>
    <mergeCell ref="A671:B671"/>
    <mergeCell ref="A672:B672"/>
    <mergeCell ref="A665:B665"/>
    <mergeCell ref="A666:B666"/>
    <mergeCell ref="A667:B667"/>
    <mergeCell ref="A668:B668"/>
    <mergeCell ref="A669:B669"/>
    <mergeCell ref="A681:B681"/>
    <mergeCell ref="A682:B682"/>
    <mergeCell ref="A683:B683"/>
    <mergeCell ref="A684:B684"/>
    <mergeCell ref="A685:B685"/>
    <mergeCell ref="A686:B686"/>
    <mergeCell ref="A688:B688"/>
    <mergeCell ref="A689:B689"/>
    <mergeCell ref="A690:B690"/>
    <mergeCell ref="A691:B691"/>
    <mergeCell ref="A692:B692"/>
    <mergeCell ref="A693:B693"/>
    <mergeCell ref="A694:B694"/>
    <mergeCell ref="A695:B695"/>
    <mergeCell ref="A696:B696"/>
    <mergeCell ref="A660:B660"/>
    <mergeCell ref="A661:B661"/>
    <mergeCell ref="A662:B662"/>
    <mergeCell ref="A663:B663"/>
    <mergeCell ref="A664:B664"/>
    <mergeCell ref="A654:B654"/>
    <mergeCell ref="A655:B655"/>
    <mergeCell ref="A656:B656"/>
    <mergeCell ref="A657:B657"/>
    <mergeCell ref="A658:B658"/>
    <mergeCell ref="A649:B649"/>
    <mergeCell ref="A650:B650"/>
    <mergeCell ref="A651:B651"/>
    <mergeCell ref="A652:B652"/>
    <mergeCell ref="A653:B653"/>
    <mergeCell ref="A643:B643"/>
    <mergeCell ref="A644:B644"/>
    <mergeCell ref="A646:B646"/>
    <mergeCell ref="A647:B647"/>
    <mergeCell ref="A648:B648"/>
    <mergeCell ref="A638:B638"/>
    <mergeCell ref="A639:B639"/>
    <mergeCell ref="A640:B640"/>
    <mergeCell ref="A641:B641"/>
    <mergeCell ref="A642:B642"/>
    <mergeCell ref="A633:B633"/>
    <mergeCell ref="A634:B634"/>
    <mergeCell ref="A635:B635"/>
    <mergeCell ref="A636:B636"/>
    <mergeCell ref="A637:B637"/>
    <mergeCell ref="A627:B627"/>
    <mergeCell ref="A628:B628"/>
    <mergeCell ref="A629:B629"/>
    <mergeCell ref="A630:B630"/>
    <mergeCell ref="A632:B632"/>
    <mergeCell ref="A622:B622"/>
    <mergeCell ref="A623:B623"/>
    <mergeCell ref="A624:B624"/>
    <mergeCell ref="A625:B625"/>
    <mergeCell ref="A626:B626"/>
    <mergeCell ref="A616:B616"/>
    <mergeCell ref="A618:B618"/>
    <mergeCell ref="A619:B619"/>
    <mergeCell ref="A620:B620"/>
    <mergeCell ref="A621:B621"/>
    <mergeCell ref="A611:B611"/>
    <mergeCell ref="A612:B612"/>
    <mergeCell ref="A613:B613"/>
    <mergeCell ref="A614:B614"/>
    <mergeCell ref="A615:B615"/>
    <mergeCell ref="A606:B606"/>
    <mergeCell ref="A607:B607"/>
    <mergeCell ref="A608:B608"/>
    <mergeCell ref="A609:B609"/>
    <mergeCell ref="A610:B610"/>
    <mergeCell ref="A600:B600"/>
    <mergeCell ref="A601:B601"/>
    <mergeCell ref="A602:B602"/>
    <mergeCell ref="A604:B604"/>
    <mergeCell ref="A605:B605"/>
    <mergeCell ref="A595:B595"/>
    <mergeCell ref="A596:B596"/>
    <mergeCell ref="A597:B597"/>
    <mergeCell ref="A598:B598"/>
    <mergeCell ref="A599:B599"/>
    <mergeCell ref="A590:B590"/>
    <mergeCell ref="A591:B591"/>
    <mergeCell ref="A592:B592"/>
    <mergeCell ref="A593:B593"/>
    <mergeCell ref="A594:B594"/>
    <mergeCell ref="A584:B584"/>
    <mergeCell ref="A585:B585"/>
    <mergeCell ref="A586:B586"/>
    <mergeCell ref="A587:B587"/>
    <mergeCell ref="A588:B588"/>
    <mergeCell ref="A579:B579"/>
    <mergeCell ref="A580:B580"/>
    <mergeCell ref="A581:B581"/>
    <mergeCell ref="A582:B582"/>
    <mergeCell ref="A583:B583"/>
    <mergeCell ref="A573:B573"/>
    <mergeCell ref="A574:B574"/>
    <mergeCell ref="A576:B576"/>
    <mergeCell ref="A577:B577"/>
    <mergeCell ref="A578:B578"/>
    <mergeCell ref="A568:B568"/>
    <mergeCell ref="A569:B569"/>
    <mergeCell ref="A570:B570"/>
    <mergeCell ref="A571:B571"/>
    <mergeCell ref="A572:B572"/>
    <mergeCell ref="A563:B563"/>
    <mergeCell ref="A564:B564"/>
    <mergeCell ref="A565:B565"/>
    <mergeCell ref="A566:B566"/>
    <mergeCell ref="A567:B567"/>
    <mergeCell ref="A557:B557"/>
    <mergeCell ref="A558:B558"/>
    <mergeCell ref="A559:B559"/>
    <mergeCell ref="A560:B560"/>
    <mergeCell ref="A562:B562"/>
    <mergeCell ref="A552:B552"/>
    <mergeCell ref="A553:B553"/>
    <mergeCell ref="A554:B554"/>
    <mergeCell ref="A555:B555"/>
    <mergeCell ref="A556:B556"/>
    <mergeCell ref="A546:B546"/>
    <mergeCell ref="A548:B548"/>
    <mergeCell ref="A549:B549"/>
    <mergeCell ref="A550:B550"/>
    <mergeCell ref="A551:B551"/>
    <mergeCell ref="A541:B541"/>
    <mergeCell ref="A542:B542"/>
    <mergeCell ref="A543:B543"/>
    <mergeCell ref="A544:B544"/>
    <mergeCell ref="A545:B545"/>
    <mergeCell ref="A536:B536"/>
    <mergeCell ref="A537:B537"/>
    <mergeCell ref="A538:B538"/>
    <mergeCell ref="A539:B539"/>
    <mergeCell ref="A540:B540"/>
    <mergeCell ref="A530:B530"/>
    <mergeCell ref="A531:B531"/>
    <mergeCell ref="A532:B532"/>
    <mergeCell ref="A534:B534"/>
    <mergeCell ref="A535:B535"/>
    <mergeCell ref="A525:B525"/>
    <mergeCell ref="A526:B526"/>
    <mergeCell ref="A527:B527"/>
    <mergeCell ref="A528:B528"/>
    <mergeCell ref="A529:B529"/>
    <mergeCell ref="A520:B520"/>
    <mergeCell ref="A521:B521"/>
    <mergeCell ref="A522:B522"/>
    <mergeCell ref="A523:B523"/>
    <mergeCell ref="A524:B524"/>
    <mergeCell ref="A514:B514"/>
    <mergeCell ref="A515:B515"/>
    <mergeCell ref="A516:B516"/>
    <mergeCell ref="A517:B517"/>
    <mergeCell ref="A518:B518"/>
    <mergeCell ref="A509:B509"/>
    <mergeCell ref="A510:B510"/>
    <mergeCell ref="A511:B511"/>
    <mergeCell ref="A512:B512"/>
    <mergeCell ref="A513:B513"/>
    <mergeCell ref="A503:B503"/>
    <mergeCell ref="A504:B504"/>
    <mergeCell ref="A506:B506"/>
    <mergeCell ref="A507:B507"/>
    <mergeCell ref="A508:B508"/>
    <mergeCell ref="A498:B498"/>
    <mergeCell ref="A499:B499"/>
    <mergeCell ref="A500:B500"/>
    <mergeCell ref="A501:B501"/>
    <mergeCell ref="A502:B502"/>
    <mergeCell ref="A493:B493"/>
    <mergeCell ref="A494:B494"/>
    <mergeCell ref="A495:B495"/>
    <mergeCell ref="A496:B496"/>
    <mergeCell ref="A497:B497"/>
    <mergeCell ref="A487:B487"/>
    <mergeCell ref="A488:B488"/>
    <mergeCell ref="A489:B489"/>
    <mergeCell ref="A490:B490"/>
    <mergeCell ref="A492:B492"/>
    <mergeCell ref="A482:B482"/>
    <mergeCell ref="A483:B483"/>
    <mergeCell ref="A484:B484"/>
    <mergeCell ref="A485:B485"/>
    <mergeCell ref="A486:B486"/>
    <mergeCell ref="A476:B476"/>
    <mergeCell ref="A478:B478"/>
    <mergeCell ref="A479:B479"/>
    <mergeCell ref="A480:B480"/>
    <mergeCell ref="A481:B481"/>
    <mergeCell ref="A471:B471"/>
    <mergeCell ref="A472:B472"/>
    <mergeCell ref="A473:B473"/>
    <mergeCell ref="A474:B474"/>
    <mergeCell ref="A475:B475"/>
    <mergeCell ref="A466:B466"/>
    <mergeCell ref="A467:B467"/>
    <mergeCell ref="A468:B468"/>
    <mergeCell ref="A469:B469"/>
    <mergeCell ref="A470:B470"/>
    <mergeCell ref="A460:B460"/>
    <mergeCell ref="A461:B461"/>
    <mergeCell ref="A462:B462"/>
    <mergeCell ref="A464:B464"/>
    <mergeCell ref="A465:B465"/>
    <mergeCell ref="A455:B455"/>
    <mergeCell ref="A456:B456"/>
    <mergeCell ref="A457:B457"/>
    <mergeCell ref="A458:B458"/>
    <mergeCell ref="A459:B459"/>
    <mergeCell ref="A450:B450"/>
    <mergeCell ref="A451:B451"/>
    <mergeCell ref="A452:B452"/>
    <mergeCell ref="A453:B453"/>
    <mergeCell ref="A454:B454"/>
    <mergeCell ref="A444:B444"/>
    <mergeCell ref="A445:B445"/>
    <mergeCell ref="A446:B446"/>
    <mergeCell ref="A447:B447"/>
    <mergeCell ref="A448:B448"/>
    <mergeCell ref="A439:B439"/>
    <mergeCell ref="A440:B440"/>
    <mergeCell ref="A441:B441"/>
    <mergeCell ref="A442:B442"/>
    <mergeCell ref="A443:B443"/>
    <mergeCell ref="A433:B433"/>
    <mergeCell ref="A434:B434"/>
    <mergeCell ref="A436:B436"/>
    <mergeCell ref="A437:B437"/>
    <mergeCell ref="A438:B438"/>
    <mergeCell ref="A428:B428"/>
    <mergeCell ref="A429:B429"/>
    <mergeCell ref="A430:B430"/>
    <mergeCell ref="A431:B431"/>
    <mergeCell ref="A432:B432"/>
    <mergeCell ref="A423:B423"/>
    <mergeCell ref="A424:B424"/>
    <mergeCell ref="A425:B425"/>
    <mergeCell ref="A426:B426"/>
    <mergeCell ref="A427:B427"/>
    <mergeCell ref="A417:B417"/>
    <mergeCell ref="A418:B418"/>
    <mergeCell ref="A419:B419"/>
    <mergeCell ref="A420:B420"/>
    <mergeCell ref="A422:B422"/>
    <mergeCell ref="A412:B412"/>
    <mergeCell ref="A413:B413"/>
    <mergeCell ref="A414:B414"/>
    <mergeCell ref="A415:B415"/>
    <mergeCell ref="A416:B416"/>
    <mergeCell ref="A406:B406"/>
    <mergeCell ref="A408:B408"/>
    <mergeCell ref="A409:B409"/>
    <mergeCell ref="A410:B410"/>
    <mergeCell ref="A411:B411"/>
    <mergeCell ref="A401:B401"/>
    <mergeCell ref="A402:B402"/>
    <mergeCell ref="A403:B403"/>
    <mergeCell ref="A404:B404"/>
    <mergeCell ref="A405:B405"/>
    <mergeCell ref="A396:B396"/>
    <mergeCell ref="A397:B397"/>
    <mergeCell ref="A398:B398"/>
    <mergeCell ref="A399:B399"/>
    <mergeCell ref="A400:B400"/>
    <mergeCell ref="A390:B390"/>
    <mergeCell ref="A391:B391"/>
    <mergeCell ref="A392:B392"/>
    <mergeCell ref="A394:B394"/>
    <mergeCell ref="A395:B395"/>
    <mergeCell ref="A385:B385"/>
    <mergeCell ref="A386:B386"/>
    <mergeCell ref="A387:B387"/>
    <mergeCell ref="A388:B388"/>
    <mergeCell ref="A389:B389"/>
    <mergeCell ref="A380:B380"/>
    <mergeCell ref="A381:B381"/>
    <mergeCell ref="A382:B382"/>
    <mergeCell ref="A383:B383"/>
    <mergeCell ref="A384:B384"/>
    <mergeCell ref="A374:B374"/>
    <mergeCell ref="A375:B375"/>
    <mergeCell ref="A376:B376"/>
    <mergeCell ref="A377:B377"/>
    <mergeCell ref="A378:B378"/>
    <mergeCell ref="A369:B369"/>
    <mergeCell ref="A370:B370"/>
    <mergeCell ref="A371:B371"/>
    <mergeCell ref="A372:B372"/>
    <mergeCell ref="A373:B373"/>
    <mergeCell ref="A363:B363"/>
    <mergeCell ref="A364:B364"/>
    <mergeCell ref="A366:B366"/>
    <mergeCell ref="A367:B367"/>
    <mergeCell ref="A368:B368"/>
    <mergeCell ref="A358:B358"/>
    <mergeCell ref="A359:B359"/>
    <mergeCell ref="A360:B360"/>
    <mergeCell ref="A361:B361"/>
    <mergeCell ref="A362:B362"/>
    <mergeCell ref="A353:B353"/>
    <mergeCell ref="A354:B354"/>
    <mergeCell ref="A355:B355"/>
    <mergeCell ref="A356:B356"/>
    <mergeCell ref="A357:B357"/>
    <mergeCell ref="A347:B347"/>
    <mergeCell ref="A348:B348"/>
    <mergeCell ref="A349:B349"/>
    <mergeCell ref="A350:B350"/>
    <mergeCell ref="A352:B352"/>
    <mergeCell ref="A342:B342"/>
    <mergeCell ref="A343:B343"/>
    <mergeCell ref="A344:B344"/>
    <mergeCell ref="A345:B345"/>
    <mergeCell ref="A346:B346"/>
    <mergeCell ref="A336:B336"/>
    <mergeCell ref="A338:B338"/>
    <mergeCell ref="A339:B339"/>
    <mergeCell ref="A340:B340"/>
    <mergeCell ref="A341:B341"/>
    <mergeCell ref="A331:B331"/>
    <mergeCell ref="A332:B332"/>
    <mergeCell ref="A333:B333"/>
    <mergeCell ref="A334:B334"/>
    <mergeCell ref="A335:B335"/>
    <mergeCell ref="A326:B326"/>
    <mergeCell ref="A327:B327"/>
    <mergeCell ref="A328:B328"/>
    <mergeCell ref="A329:B329"/>
    <mergeCell ref="A330:B330"/>
    <mergeCell ref="A320:B320"/>
    <mergeCell ref="A321:B321"/>
    <mergeCell ref="A322:B322"/>
    <mergeCell ref="A324:B324"/>
    <mergeCell ref="A325:B325"/>
    <mergeCell ref="A315:B315"/>
    <mergeCell ref="A316:B316"/>
    <mergeCell ref="A317:B317"/>
    <mergeCell ref="A318:B318"/>
    <mergeCell ref="A319:B319"/>
    <mergeCell ref="A310:B310"/>
    <mergeCell ref="A311:B311"/>
    <mergeCell ref="A312:B312"/>
    <mergeCell ref="A313:B313"/>
    <mergeCell ref="A314:B314"/>
    <mergeCell ref="A304:B304"/>
    <mergeCell ref="A305:B305"/>
    <mergeCell ref="A306:B306"/>
    <mergeCell ref="A307:B307"/>
    <mergeCell ref="A308:B308"/>
    <mergeCell ref="A299:B299"/>
    <mergeCell ref="A300:B300"/>
    <mergeCell ref="A301:B301"/>
    <mergeCell ref="A302:B302"/>
    <mergeCell ref="A303:B303"/>
    <mergeCell ref="A293:B293"/>
    <mergeCell ref="A294:B294"/>
    <mergeCell ref="A296:B296"/>
    <mergeCell ref="A297:B297"/>
    <mergeCell ref="A298:B298"/>
    <mergeCell ref="A288:B288"/>
    <mergeCell ref="A289:B289"/>
    <mergeCell ref="A290:B290"/>
    <mergeCell ref="A291:B291"/>
    <mergeCell ref="A292:B292"/>
    <mergeCell ref="A283:B283"/>
    <mergeCell ref="A284:B284"/>
    <mergeCell ref="A285:B285"/>
    <mergeCell ref="A286:B286"/>
    <mergeCell ref="A287:B287"/>
    <mergeCell ref="A277:B277"/>
    <mergeCell ref="A278:B278"/>
    <mergeCell ref="A279:B279"/>
    <mergeCell ref="A280:B280"/>
    <mergeCell ref="A282:B282"/>
    <mergeCell ref="A272:B272"/>
    <mergeCell ref="A273:B273"/>
    <mergeCell ref="A274:B274"/>
    <mergeCell ref="A275:B275"/>
    <mergeCell ref="A276:B276"/>
    <mergeCell ref="A266:B266"/>
    <mergeCell ref="A268:B268"/>
    <mergeCell ref="A269:B269"/>
    <mergeCell ref="A270:B270"/>
    <mergeCell ref="A271:B271"/>
    <mergeCell ref="A261:B261"/>
    <mergeCell ref="A262:B262"/>
    <mergeCell ref="A263:B263"/>
    <mergeCell ref="A264:B264"/>
    <mergeCell ref="A265:B265"/>
    <mergeCell ref="A256:B256"/>
    <mergeCell ref="A257:B257"/>
    <mergeCell ref="A258:B258"/>
    <mergeCell ref="A259:B259"/>
    <mergeCell ref="A260:B260"/>
    <mergeCell ref="A250:B250"/>
    <mergeCell ref="A251:B251"/>
    <mergeCell ref="A252:B252"/>
    <mergeCell ref="A254:B254"/>
    <mergeCell ref="A255:B255"/>
    <mergeCell ref="A245:B245"/>
    <mergeCell ref="A246:B246"/>
    <mergeCell ref="A247:B247"/>
    <mergeCell ref="A248:B248"/>
    <mergeCell ref="A249:B249"/>
    <mergeCell ref="A240:B240"/>
    <mergeCell ref="A241:B241"/>
    <mergeCell ref="A242:B242"/>
    <mergeCell ref="A243:B243"/>
    <mergeCell ref="A244:B244"/>
    <mergeCell ref="A234:B234"/>
    <mergeCell ref="A235:B235"/>
    <mergeCell ref="A236:B236"/>
    <mergeCell ref="A237:B237"/>
    <mergeCell ref="A238:B238"/>
    <mergeCell ref="A229:B229"/>
    <mergeCell ref="A230:B230"/>
    <mergeCell ref="A231:B231"/>
    <mergeCell ref="A232:B232"/>
    <mergeCell ref="A233:B233"/>
    <mergeCell ref="A223:B223"/>
    <mergeCell ref="A224:B224"/>
    <mergeCell ref="A226:B226"/>
    <mergeCell ref="A227:B227"/>
    <mergeCell ref="A228:B228"/>
    <mergeCell ref="A218:B218"/>
    <mergeCell ref="A219:B219"/>
    <mergeCell ref="A220:B220"/>
    <mergeCell ref="A221:B221"/>
    <mergeCell ref="A222:B222"/>
    <mergeCell ref="A213:B213"/>
    <mergeCell ref="A214:B214"/>
    <mergeCell ref="A215:B215"/>
    <mergeCell ref="A216:B216"/>
    <mergeCell ref="A217:B217"/>
    <mergeCell ref="A207:B207"/>
    <mergeCell ref="A208:B208"/>
    <mergeCell ref="A209:B209"/>
    <mergeCell ref="A210:B210"/>
    <mergeCell ref="A212:B212"/>
    <mergeCell ref="A202:B202"/>
    <mergeCell ref="A203:B203"/>
    <mergeCell ref="A204:B204"/>
    <mergeCell ref="A205:B205"/>
    <mergeCell ref="A206:B206"/>
    <mergeCell ref="A196:B196"/>
    <mergeCell ref="A198:B198"/>
    <mergeCell ref="A199:B199"/>
    <mergeCell ref="A200:B200"/>
    <mergeCell ref="A201:B201"/>
    <mergeCell ref="A191:B191"/>
    <mergeCell ref="A192:B192"/>
    <mergeCell ref="A193:B193"/>
    <mergeCell ref="A194:B194"/>
    <mergeCell ref="A195:B195"/>
    <mergeCell ref="A186:B186"/>
    <mergeCell ref="A187:B187"/>
    <mergeCell ref="A188:B188"/>
    <mergeCell ref="A189:B189"/>
    <mergeCell ref="A190:B190"/>
    <mergeCell ref="A180:B180"/>
    <mergeCell ref="A181:B181"/>
    <mergeCell ref="A182:B182"/>
    <mergeCell ref="A184:B184"/>
    <mergeCell ref="A185:B185"/>
    <mergeCell ref="A175:B175"/>
    <mergeCell ref="A176:B176"/>
    <mergeCell ref="A177:B177"/>
    <mergeCell ref="A178:B178"/>
    <mergeCell ref="A179:B179"/>
    <mergeCell ref="A170:B170"/>
    <mergeCell ref="A171:B171"/>
    <mergeCell ref="A172:B172"/>
    <mergeCell ref="A173:B173"/>
    <mergeCell ref="A174:B174"/>
    <mergeCell ref="A164:B164"/>
    <mergeCell ref="A165:B165"/>
    <mergeCell ref="A166:B166"/>
    <mergeCell ref="A167:B167"/>
    <mergeCell ref="A168:B168"/>
    <mergeCell ref="A159:B159"/>
    <mergeCell ref="A160:B160"/>
    <mergeCell ref="A161:B161"/>
    <mergeCell ref="A162:B162"/>
    <mergeCell ref="A163:B163"/>
    <mergeCell ref="A153:B153"/>
    <mergeCell ref="A154:B154"/>
    <mergeCell ref="A156:B156"/>
    <mergeCell ref="A157:B157"/>
    <mergeCell ref="A158:B158"/>
    <mergeCell ref="A148:B148"/>
    <mergeCell ref="A149:B149"/>
    <mergeCell ref="A150:B150"/>
    <mergeCell ref="A151:B151"/>
    <mergeCell ref="A152:B152"/>
    <mergeCell ref="A143:B143"/>
    <mergeCell ref="A144:B144"/>
    <mergeCell ref="A145:B145"/>
    <mergeCell ref="A146:B146"/>
    <mergeCell ref="A147:B147"/>
    <mergeCell ref="A137:B137"/>
    <mergeCell ref="A138:B138"/>
    <mergeCell ref="A139:B139"/>
    <mergeCell ref="A140:B140"/>
    <mergeCell ref="A142:B142"/>
    <mergeCell ref="A132:B132"/>
    <mergeCell ref="A133:B133"/>
    <mergeCell ref="A134:B134"/>
    <mergeCell ref="A135:B135"/>
    <mergeCell ref="A136:B136"/>
    <mergeCell ref="A126:B126"/>
    <mergeCell ref="A128:B128"/>
    <mergeCell ref="A129:B129"/>
    <mergeCell ref="A130:B130"/>
    <mergeCell ref="A131:B131"/>
    <mergeCell ref="A121:B121"/>
    <mergeCell ref="A122:B122"/>
    <mergeCell ref="A123:B123"/>
    <mergeCell ref="A124:B124"/>
    <mergeCell ref="A125:B125"/>
    <mergeCell ref="A116:B116"/>
    <mergeCell ref="A117:B117"/>
    <mergeCell ref="A118:B118"/>
    <mergeCell ref="A119:B119"/>
    <mergeCell ref="A120:B120"/>
    <mergeCell ref="A110:B110"/>
    <mergeCell ref="A111:B111"/>
    <mergeCell ref="A112:B112"/>
    <mergeCell ref="A114:B114"/>
    <mergeCell ref="A115:B115"/>
    <mergeCell ref="A105:B105"/>
    <mergeCell ref="A106:B106"/>
    <mergeCell ref="A107:B107"/>
    <mergeCell ref="A108:B108"/>
    <mergeCell ref="A109:B109"/>
    <mergeCell ref="A100:B100"/>
    <mergeCell ref="A101:B101"/>
    <mergeCell ref="A102:B102"/>
    <mergeCell ref="A103:B103"/>
    <mergeCell ref="A104:B104"/>
    <mergeCell ref="A94:B94"/>
    <mergeCell ref="A95:B95"/>
    <mergeCell ref="A96:B96"/>
    <mergeCell ref="A97:B97"/>
    <mergeCell ref="A98:B98"/>
    <mergeCell ref="A89:B89"/>
    <mergeCell ref="A90:B90"/>
    <mergeCell ref="A91:B91"/>
    <mergeCell ref="A92:B92"/>
    <mergeCell ref="A93:B93"/>
    <mergeCell ref="A83:B83"/>
    <mergeCell ref="A84:B84"/>
    <mergeCell ref="A86:B86"/>
    <mergeCell ref="A87:B87"/>
    <mergeCell ref="A88:B88"/>
    <mergeCell ref="A78:B78"/>
    <mergeCell ref="A79:B79"/>
    <mergeCell ref="A80:B80"/>
    <mergeCell ref="A81:B81"/>
    <mergeCell ref="A82:B82"/>
    <mergeCell ref="A73:B73"/>
    <mergeCell ref="A74:B74"/>
    <mergeCell ref="A75:B75"/>
    <mergeCell ref="A76:B76"/>
    <mergeCell ref="A77:B77"/>
    <mergeCell ref="A67:B67"/>
    <mergeCell ref="A68:B68"/>
    <mergeCell ref="A69:B69"/>
    <mergeCell ref="A70:B70"/>
    <mergeCell ref="A72:B72"/>
    <mergeCell ref="A62:B62"/>
    <mergeCell ref="A63:B63"/>
    <mergeCell ref="A64:B64"/>
    <mergeCell ref="A65:B65"/>
    <mergeCell ref="A66:B66"/>
    <mergeCell ref="A24:B24"/>
    <mergeCell ref="A12:B12"/>
    <mergeCell ref="A13:B13"/>
    <mergeCell ref="A14:B14"/>
    <mergeCell ref="A25:B25"/>
    <mergeCell ref="A26:B26"/>
    <mergeCell ref="A16:B16"/>
    <mergeCell ref="A17:B17"/>
    <mergeCell ref="A18:B18"/>
    <mergeCell ref="A19:B19"/>
    <mergeCell ref="A20:B20"/>
    <mergeCell ref="A56:B56"/>
    <mergeCell ref="A58:B58"/>
    <mergeCell ref="A59:B59"/>
    <mergeCell ref="A60:B60"/>
    <mergeCell ref="A61:B61"/>
    <mergeCell ref="A51:B51"/>
    <mergeCell ref="A52:B52"/>
    <mergeCell ref="A53:B53"/>
    <mergeCell ref="A54:B54"/>
    <mergeCell ref="A55:B55"/>
    <mergeCell ref="A46:B46"/>
    <mergeCell ref="A47:B47"/>
    <mergeCell ref="A48:B48"/>
    <mergeCell ref="A49:B49"/>
    <mergeCell ref="A50:B50"/>
    <mergeCell ref="A40:B40"/>
    <mergeCell ref="A41:B41"/>
    <mergeCell ref="A42:B42"/>
    <mergeCell ref="A44:B44"/>
    <mergeCell ref="A45:B45"/>
    <mergeCell ref="A7:B7"/>
    <mergeCell ref="A8:B8"/>
    <mergeCell ref="A10:B10"/>
    <mergeCell ref="A9:B9"/>
    <mergeCell ref="A11:B11"/>
    <mergeCell ref="A2:B2"/>
    <mergeCell ref="A3:B3"/>
    <mergeCell ref="A4:B4"/>
    <mergeCell ref="A5:B5"/>
    <mergeCell ref="A6:B6"/>
    <mergeCell ref="A674:B674"/>
    <mergeCell ref="A675:B675"/>
    <mergeCell ref="A676:B676"/>
    <mergeCell ref="A677:B677"/>
    <mergeCell ref="A678:B678"/>
    <mergeCell ref="A679:B679"/>
    <mergeCell ref="A680:B680"/>
    <mergeCell ref="A35:B35"/>
    <mergeCell ref="A36:B36"/>
    <mergeCell ref="A37:B37"/>
    <mergeCell ref="A38:B38"/>
    <mergeCell ref="A39:B39"/>
    <mergeCell ref="A30:B30"/>
    <mergeCell ref="A31:B31"/>
    <mergeCell ref="A32:B32"/>
    <mergeCell ref="A33:B33"/>
    <mergeCell ref="A34:B34"/>
    <mergeCell ref="A27:B27"/>
    <mergeCell ref="A28:B28"/>
    <mergeCell ref="A21:B21"/>
    <mergeCell ref="A22:B22"/>
    <mergeCell ref="A23:B23"/>
    <mergeCell ref="A697:B697"/>
    <mergeCell ref="A698:B698"/>
    <mergeCell ref="A699:B699"/>
    <mergeCell ref="A700:B700"/>
    <mergeCell ref="A702:B702"/>
    <mergeCell ref="A703:B703"/>
    <mergeCell ref="A704:B704"/>
    <mergeCell ref="A705:B705"/>
    <mergeCell ref="A706:B706"/>
    <mergeCell ref="A707:B707"/>
    <mergeCell ref="A708:B708"/>
    <mergeCell ref="A709:B709"/>
    <mergeCell ref="A710:B710"/>
    <mergeCell ref="A711:B711"/>
    <mergeCell ref="A712:B712"/>
    <mergeCell ref="A713:B713"/>
    <mergeCell ref="A714:B714"/>
    <mergeCell ref="A716:B716"/>
    <mergeCell ref="A717:B717"/>
    <mergeCell ref="A718:B718"/>
    <mergeCell ref="A719:B719"/>
    <mergeCell ref="A720:B720"/>
    <mergeCell ref="A721:B721"/>
    <mergeCell ref="A722:B722"/>
    <mergeCell ref="A723:B723"/>
    <mergeCell ref="A724:B724"/>
    <mergeCell ref="A725:B725"/>
    <mergeCell ref="A726:B726"/>
    <mergeCell ref="A727:B727"/>
    <mergeCell ref="A728:B728"/>
    <mergeCell ref="A730:B730"/>
    <mergeCell ref="A731:B731"/>
    <mergeCell ref="A732:B732"/>
    <mergeCell ref="A733:B733"/>
    <mergeCell ref="A734:B734"/>
    <mergeCell ref="A735:B735"/>
    <mergeCell ref="A736:B736"/>
    <mergeCell ref="A737:B737"/>
    <mergeCell ref="A738:B738"/>
    <mergeCell ref="A739:B739"/>
    <mergeCell ref="A740:B740"/>
    <mergeCell ref="A741:B741"/>
    <mergeCell ref="A742:B742"/>
    <mergeCell ref="A744:B744"/>
    <mergeCell ref="A745:B745"/>
    <mergeCell ref="A746:B746"/>
    <mergeCell ref="A747:B747"/>
    <mergeCell ref="A748:B748"/>
    <mergeCell ref="A749:B749"/>
    <mergeCell ref="A750:B750"/>
    <mergeCell ref="A751:B751"/>
    <mergeCell ref="A752:B752"/>
    <mergeCell ref="A753:B753"/>
    <mergeCell ref="A754:B754"/>
    <mergeCell ref="A755:B755"/>
    <mergeCell ref="A756:B756"/>
    <mergeCell ref="A758:B758"/>
    <mergeCell ref="A759:B759"/>
    <mergeCell ref="A760:B760"/>
    <mergeCell ref="A761:B761"/>
    <mergeCell ref="A762:B762"/>
    <mergeCell ref="A763:B763"/>
    <mergeCell ref="A764:B764"/>
    <mergeCell ref="A765:B765"/>
    <mergeCell ref="A766:B766"/>
    <mergeCell ref="A767:B767"/>
    <mergeCell ref="A768:B768"/>
    <mergeCell ref="A769:B769"/>
    <mergeCell ref="A789:B789"/>
    <mergeCell ref="A790:B790"/>
    <mergeCell ref="A791:B791"/>
    <mergeCell ref="A792:B792"/>
    <mergeCell ref="A793:B793"/>
    <mergeCell ref="A794:B794"/>
    <mergeCell ref="A795:B795"/>
    <mergeCell ref="A796:B796"/>
    <mergeCell ref="A797:B797"/>
    <mergeCell ref="A798:B798"/>
    <mergeCell ref="A770:B770"/>
    <mergeCell ref="A772:B772"/>
    <mergeCell ref="A773:B773"/>
    <mergeCell ref="A774:B774"/>
    <mergeCell ref="A775:B775"/>
    <mergeCell ref="A776:B776"/>
    <mergeCell ref="A777:B777"/>
    <mergeCell ref="A778:B778"/>
    <mergeCell ref="A779:B779"/>
    <mergeCell ref="A780:B780"/>
    <mergeCell ref="A781:B781"/>
    <mergeCell ref="A782:B782"/>
    <mergeCell ref="A783:B783"/>
    <mergeCell ref="A784:B784"/>
    <mergeCell ref="A786:B786"/>
    <mergeCell ref="A787:B787"/>
    <mergeCell ref="A788:B788"/>
  </mergeCells>
  <conditionalFormatting sqref="A1:C1">
    <cfRule type="cellIs" dxfId="161" priority="525" operator="notEqual">
      <formula>0</formula>
    </cfRule>
    <cfRule type="cellIs" dxfId="160" priority="526" operator="equal">
      <formula>0</formula>
    </cfRule>
  </conditionalFormatting>
  <conditionalFormatting sqref="A15:C15">
    <cfRule type="cellIs" dxfId="159" priority="157" operator="notEqual">
      <formula>0</formula>
    </cfRule>
    <cfRule type="cellIs" dxfId="158" priority="158" operator="equal">
      <formula>0</formula>
    </cfRule>
  </conditionalFormatting>
  <conditionalFormatting sqref="A29:C29">
    <cfRule type="cellIs" dxfId="157" priority="155" operator="notEqual">
      <formula>0</formula>
    </cfRule>
    <cfRule type="cellIs" dxfId="156" priority="156" operator="equal">
      <formula>0</formula>
    </cfRule>
  </conditionalFormatting>
  <conditionalFormatting sqref="A43:C43">
    <cfRule type="cellIs" dxfId="155" priority="153" operator="notEqual">
      <formula>0</formula>
    </cfRule>
    <cfRule type="cellIs" dxfId="154" priority="154" operator="equal">
      <formula>0</formula>
    </cfRule>
  </conditionalFormatting>
  <conditionalFormatting sqref="A57:C57">
    <cfRule type="cellIs" dxfId="153" priority="151" operator="notEqual">
      <formula>0</formula>
    </cfRule>
    <cfRule type="cellIs" dxfId="152" priority="152" operator="equal">
      <formula>0</formula>
    </cfRule>
  </conditionalFormatting>
  <conditionalFormatting sqref="A71:C71">
    <cfRule type="cellIs" dxfId="151" priority="149" operator="notEqual">
      <formula>0</formula>
    </cfRule>
    <cfRule type="cellIs" dxfId="150" priority="150" operator="equal">
      <formula>0</formula>
    </cfRule>
  </conditionalFormatting>
  <conditionalFormatting sqref="A85:C85">
    <cfRule type="cellIs" dxfId="149" priority="299" operator="notEqual">
      <formula>0</formula>
    </cfRule>
    <cfRule type="cellIs" dxfId="148" priority="300" operator="equal">
      <formula>0</formula>
    </cfRule>
  </conditionalFormatting>
  <conditionalFormatting sqref="A99:C99">
    <cfRule type="cellIs" dxfId="147" priority="147" operator="notEqual">
      <formula>0</formula>
    </cfRule>
    <cfRule type="cellIs" dxfId="146" priority="148" operator="equal">
      <formula>0</formula>
    </cfRule>
  </conditionalFormatting>
  <conditionalFormatting sqref="A113:C113">
    <cfRule type="cellIs" dxfId="145" priority="145" operator="notEqual">
      <formula>0</formula>
    </cfRule>
    <cfRule type="cellIs" dxfId="144" priority="146" operator="equal">
      <formula>0</formula>
    </cfRule>
  </conditionalFormatting>
  <conditionalFormatting sqref="A127:C127">
    <cfRule type="cellIs" dxfId="143" priority="143" operator="notEqual">
      <formula>0</formula>
    </cfRule>
    <cfRule type="cellIs" dxfId="142" priority="144" operator="equal">
      <formula>0</formula>
    </cfRule>
  </conditionalFormatting>
  <conditionalFormatting sqref="A141:C141">
    <cfRule type="cellIs" dxfId="141" priority="141" operator="notEqual">
      <formula>0</formula>
    </cfRule>
    <cfRule type="cellIs" dxfId="140" priority="142" operator="equal">
      <formula>0</formula>
    </cfRule>
  </conditionalFormatting>
  <conditionalFormatting sqref="A155:C155">
    <cfRule type="cellIs" dxfId="139" priority="139" operator="notEqual">
      <formula>0</formula>
    </cfRule>
    <cfRule type="cellIs" dxfId="138" priority="140" operator="equal">
      <formula>0</formula>
    </cfRule>
  </conditionalFormatting>
  <conditionalFormatting sqref="A169:C169">
    <cfRule type="cellIs" dxfId="137" priority="137" operator="notEqual">
      <formula>0</formula>
    </cfRule>
    <cfRule type="cellIs" dxfId="136" priority="138" operator="equal">
      <formula>0</formula>
    </cfRule>
  </conditionalFormatting>
  <conditionalFormatting sqref="A183:C183">
    <cfRule type="cellIs" dxfId="135" priority="135" operator="notEqual">
      <formula>0</formula>
    </cfRule>
    <cfRule type="cellIs" dxfId="134" priority="136" operator="equal">
      <formula>0</formula>
    </cfRule>
  </conditionalFormatting>
  <conditionalFormatting sqref="A197:C197">
    <cfRule type="cellIs" dxfId="133" priority="133" operator="notEqual">
      <formula>0</formula>
    </cfRule>
    <cfRule type="cellIs" dxfId="132" priority="134" operator="equal">
      <formula>0</formula>
    </cfRule>
  </conditionalFormatting>
  <conditionalFormatting sqref="A211:C211">
    <cfRule type="cellIs" dxfId="131" priority="131" operator="notEqual">
      <formula>0</formula>
    </cfRule>
    <cfRule type="cellIs" dxfId="130" priority="132" operator="equal">
      <formula>0</formula>
    </cfRule>
  </conditionalFormatting>
  <conditionalFormatting sqref="A225:C225">
    <cfRule type="cellIs" dxfId="129" priority="129" operator="notEqual">
      <formula>0</formula>
    </cfRule>
    <cfRule type="cellIs" dxfId="128" priority="130" operator="equal">
      <formula>0</formula>
    </cfRule>
  </conditionalFormatting>
  <conditionalFormatting sqref="A239:C239">
    <cfRule type="cellIs" dxfId="127" priority="127" operator="notEqual">
      <formula>0</formula>
    </cfRule>
    <cfRule type="cellIs" dxfId="126" priority="128" operator="equal">
      <formula>0</formula>
    </cfRule>
  </conditionalFormatting>
  <conditionalFormatting sqref="A253:C253">
    <cfRule type="cellIs" dxfId="125" priority="125" operator="notEqual">
      <formula>0</formula>
    </cfRule>
    <cfRule type="cellIs" dxfId="124" priority="126" operator="equal">
      <formula>0</formula>
    </cfRule>
  </conditionalFormatting>
  <conditionalFormatting sqref="A267:C267">
    <cfRule type="cellIs" dxfId="123" priority="123" operator="notEqual">
      <formula>0</formula>
    </cfRule>
    <cfRule type="cellIs" dxfId="122" priority="124" operator="equal">
      <formula>0</formula>
    </cfRule>
  </conditionalFormatting>
  <conditionalFormatting sqref="A281:C281">
    <cfRule type="cellIs" dxfId="121" priority="121" operator="notEqual">
      <formula>0</formula>
    </cfRule>
    <cfRule type="cellIs" dxfId="120" priority="122" operator="equal">
      <formula>0</formula>
    </cfRule>
  </conditionalFormatting>
  <conditionalFormatting sqref="A295:C295">
    <cfRule type="cellIs" dxfId="119" priority="119" operator="notEqual">
      <formula>0</formula>
    </cfRule>
    <cfRule type="cellIs" dxfId="118" priority="120" operator="equal">
      <formula>0</formula>
    </cfRule>
  </conditionalFormatting>
  <conditionalFormatting sqref="A309:C309">
    <cfRule type="cellIs" dxfId="117" priority="117" operator="notEqual">
      <formula>0</formula>
    </cfRule>
    <cfRule type="cellIs" dxfId="116" priority="118" operator="equal">
      <formula>0</formula>
    </cfRule>
  </conditionalFormatting>
  <conditionalFormatting sqref="A323:C323">
    <cfRule type="cellIs" dxfId="115" priority="115" operator="notEqual">
      <formula>0</formula>
    </cfRule>
    <cfRule type="cellIs" dxfId="114" priority="116" operator="equal">
      <formula>0</formula>
    </cfRule>
  </conditionalFormatting>
  <conditionalFormatting sqref="A337:C337">
    <cfRule type="cellIs" dxfId="113" priority="113" operator="notEqual">
      <formula>0</formula>
    </cfRule>
    <cfRule type="cellIs" dxfId="112" priority="114" operator="equal">
      <formula>0</formula>
    </cfRule>
  </conditionalFormatting>
  <conditionalFormatting sqref="A351:C351">
    <cfRule type="cellIs" dxfId="111" priority="111" operator="notEqual">
      <formula>0</formula>
    </cfRule>
    <cfRule type="cellIs" dxfId="110" priority="112" operator="equal">
      <formula>0</formula>
    </cfRule>
  </conditionalFormatting>
  <conditionalFormatting sqref="A365:C365">
    <cfRule type="cellIs" dxfId="109" priority="109" operator="notEqual">
      <formula>0</formula>
    </cfRule>
    <cfRule type="cellIs" dxfId="108" priority="110" operator="equal">
      <formula>0</formula>
    </cfRule>
  </conditionalFormatting>
  <conditionalFormatting sqref="A379:C379">
    <cfRule type="cellIs" dxfId="107" priority="107" operator="notEqual">
      <formula>0</formula>
    </cfRule>
    <cfRule type="cellIs" dxfId="106" priority="108" operator="equal">
      <formula>0</formula>
    </cfRule>
  </conditionalFormatting>
  <conditionalFormatting sqref="A393:C393">
    <cfRule type="cellIs" dxfId="105" priority="105" operator="notEqual">
      <formula>0</formula>
    </cfRule>
    <cfRule type="cellIs" dxfId="104" priority="106" operator="equal">
      <formula>0</formula>
    </cfRule>
  </conditionalFormatting>
  <conditionalFormatting sqref="A407:C407">
    <cfRule type="cellIs" dxfId="103" priority="103" operator="notEqual">
      <formula>0</formula>
    </cfRule>
    <cfRule type="cellIs" dxfId="102" priority="104" operator="equal">
      <formula>0</formula>
    </cfRule>
  </conditionalFormatting>
  <conditionalFormatting sqref="A421:C421">
    <cfRule type="cellIs" dxfId="101" priority="101" operator="notEqual">
      <formula>0</formula>
    </cfRule>
    <cfRule type="cellIs" dxfId="100" priority="102" operator="equal">
      <formula>0</formula>
    </cfRule>
  </conditionalFormatting>
  <conditionalFormatting sqref="A435:C435">
    <cfRule type="cellIs" dxfId="99" priority="99" operator="notEqual">
      <formula>0</formula>
    </cfRule>
    <cfRule type="cellIs" dxfId="98" priority="100" operator="equal">
      <formula>0</formula>
    </cfRule>
  </conditionalFormatting>
  <conditionalFormatting sqref="A449:C449">
    <cfRule type="cellIs" dxfId="97" priority="97" operator="notEqual">
      <formula>0</formula>
    </cfRule>
    <cfRule type="cellIs" dxfId="96" priority="98" operator="equal">
      <formula>0</formula>
    </cfRule>
  </conditionalFormatting>
  <conditionalFormatting sqref="A463:C463">
    <cfRule type="cellIs" dxfId="95" priority="95" operator="notEqual">
      <formula>0</formula>
    </cfRule>
    <cfRule type="cellIs" dxfId="94" priority="96" operator="equal">
      <formula>0</formula>
    </cfRule>
  </conditionalFormatting>
  <conditionalFormatting sqref="A477:C477">
    <cfRule type="cellIs" dxfId="93" priority="93" operator="notEqual">
      <formula>0</formula>
    </cfRule>
    <cfRule type="cellIs" dxfId="92" priority="94" operator="equal">
      <formula>0</formula>
    </cfRule>
  </conditionalFormatting>
  <conditionalFormatting sqref="A491:C491">
    <cfRule type="cellIs" dxfId="91" priority="91" operator="notEqual">
      <formula>0</formula>
    </cfRule>
    <cfRule type="cellIs" dxfId="90" priority="92" operator="equal">
      <formula>0</formula>
    </cfRule>
  </conditionalFormatting>
  <conditionalFormatting sqref="A505:C505">
    <cfRule type="cellIs" dxfId="89" priority="89" operator="notEqual">
      <formula>0</formula>
    </cfRule>
    <cfRule type="cellIs" dxfId="88" priority="90" operator="equal">
      <formula>0</formula>
    </cfRule>
  </conditionalFormatting>
  <conditionalFormatting sqref="A519:C519">
    <cfRule type="cellIs" dxfId="87" priority="87" operator="notEqual">
      <formula>0</formula>
    </cfRule>
    <cfRule type="cellIs" dxfId="86" priority="88" operator="equal">
      <formula>0</formula>
    </cfRule>
  </conditionalFormatting>
  <conditionalFormatting sqref="A533:C533">
    <cfRule type="cellIs" dxfId="85" priority="85" operator="notEqual">
      <formula>0</formula>
    </cfRule>
    <cfRule type="cellIs" dxfId="84" priority="86" operator="equal">
      <formula>0</formula>
    </cfRule>
  </conditionalFormatting>
  <conditionalFormatting sqref="A547:C547">
    <cfRule type="cellIs" dxfId="83" priority="83" operator="notEqual">
      <formula>0</formula>
    </cfRule>
    <cfRule type="cellIs" dxfId="82" priority="84" operator="equal">
      <formula>0</formula>
    </cfRule>
  </conditionalFormatting>
  <conditionalFormatting sqref="A561:C561">
    <cfRule type="cellIs" dxfId="81" priority="81" operator="notEqual">
      <formula>0</formula>
    </cfRule>
    <cfRule type="cellIs" dxfId="80" priority="82" operator="equal">
      <formula>0</formula>
    </cfRule>
  </conditionalFormatting>
  <conditionalFormatting sqref="A575:C575">
    <cfRule type="cellIs" dxfId="79" priority="79" operator="notEqual">
      <formula>0</formula>
    </cfRule>
    <cfRule type="cellIs" dxfId="78" priority="80" operator="equal">
      <formula>0</formula>
    </cfRule>
  </conditionalFormatting>
  <conditionalFormatting sqref="A589:C589">
    <cfRule type="cellIs" dxfId="77" priority="77" operator="notEqual">
      <formula>0</formula>
    </cfRule>
    <cfRule type="cellIs" dxfId="76" priority="78" operator="equal">
      <formula>0</formula>
    </cfRule>
  </conditionalFormatting>
  <conditionalFormatting sqref="A603:C603">
    <cfRule type="cellIs" dxfId="75" priority="75" operator="notEqual">
      <formula>0</formula>
    </cfRule>
    <cfRule type="cellIs" dxfId="74" priority="76" operator="equal">
      <formula>0</formula>
    </cfRule>
  </conditionalFormatting>
  <conditionalFormatting sqref="A617:C617">
    <cfRule type="cellIs" dxfId="73" priority="73" operator="notEqual">
      <formula>0</formula>
    </cfRule>
    <cfRule type="cellIs" dxfId="72" priority="74" operator="equal">
      <formula>0</formula>
    </cfRule>
  </conditionalFormatting>
  <conditionalFormatting sqref="A631:C631">
    <cfRule type="cellIs" dxfId="71" priority="71" operator="notEqual">
      <formula>0</formula>
    </cfRule>
    <cfRule type="cellIs" dxfId="70" priority="72" operator="equal">
      <formula>0</formula>
    </cfRule>
  </conditionalFormatting>
  <conditionalFormatting sqref="A645:C645">
    <cfRule type="cellIs" dxfId="69" priority="69" operator="notEqual">
      <formula>0</formula>
    </cfRule>
    <cfRule type="cellIs" dxfId="68" priority="70" operator="equal">
      <formula>0</formula>
    </cfRule>
  </conditionalFormatting>
  <conditionalFormatting sqref="A659:C659">
    <cfRule type="cellIs" dxfId="67" priority="67" operator="notEqual">
      <formula>0</formula>
    </cfRule>
    <cfRule type="cellIs" dxfId="66" priority="68" operator="equal">
      <formula>0</formula>
    </cfRule>
  </conditionalFormatting>
  <conditionalFormatting sqref="A673:C673">
    <cfRule type="cellIs" dxfId="65" priority="65" operator="notEqual">
      <formula>0</formula>
    </cfRule>
    <cfRule type="cellIs" dxfId="64" priority="66" operator="equal">
      <formula>0</formula>
    </cfRule>
  </conditionalFormatting>
  <conditionalFormatting sqref="A687:C687">
    <cfRule type="cellIs" dxfId="63" priority="63" operator="notEqual">
      <formula>0</formula>
    </cfRule>
    <cfRule type="cellIs" dxfId="62" priority="64" operator="equal">
      <formula>0</formula>
    </cfRule>
  </conditionalFormatting>
  <conditionalFormatting sqref="A701:C701">
    <cfRule type="cellIs" dxfId="61" priority="61" operator="notEqual">
      <formula>0</formula>
    </cfRule>
    <cfRule type="cellIs" dxfId="60" priority="62" operator="equal">
      <formula>0</formula>
    </cfRule>
  </conditionalFormatting>
  <conditionalFormatting sqref="A715:C715">
    <cfRule type="cellIs" dxfId="59" priority="59" operator="notEqual">
      <formula>0</formula>
    </cfRule>
    <cfRule type="cellIs" dxfId="58" priority="60" operator="equal">
      <formula>0</formula>
    </cfRule>
  </conditionalFormatting>
  <conditionalFormatting sqref="A729:C729">
    <cfRule type="cellIs" dxfId="57" priority="57" operator="notEqual">
      <formula>0</formula>
    </cfRule>
    <cfRule type="cellIs" dxfId="56" priority="58" operator="equal">
      <formula>0</formula>
    </cfRule>
  </conditionalFormatting>
  <conditionalFormatting sqref="A743:C743">
    <cfRule type="cellIs" dxfId="55" priority="55" operator="notEqual">
      <formula>0</formula>
    </cfRule>
    <cfRule type="cellIs" dxfId="54" priority="56" operator="equal">
      <formula>0</formula>
    </cfRule>
  </conditionalFormatting>
  <conditionalFormatting sqref="A757:C757">
    <cfRule type="cellIs" dxfId="53" priority="53" operator="notEqual">
      <formula>0</formula>
    </cfRule>
    <cfRule type="cellIs" dxfId="52" priority="54" operator="equal">
      <formula>0</formula>
    </cfRule>
  </conditionalFormatting>
  <conditionalFormatting sqref="A771:C771">
    <cfRule type="cellIs" dxfId="51" priority="51" operator="notEqual">
      <formula>0</formula>
    </cfRule>
    <cfRule type="cellIs" dxfId="50" priority="52" operator="equal">
      <formula>0</formula>
    </cfRule>
  </conditionalFormatting>
  <conditionalFormatting sqref="A785:C785">
    <cfRule type="cellIs" dxfId="49" priority="49" operator="notEqual">
      <formula>0</formula>
    </cfRule>
    <cfRule type="cellIs" dxfId="48" priority="50" operator="equal">
      <formula>0</formula>
    </cfRule>
  </conditionalFormatting>
  <conditionalFormatting sqref="A799:C799">
    <cfRule type="cellIs" dxfId="47" priority="47" operator="notEqual">
      <formula>0</formula>
    </cfRule>
    <cfRule type="cellIs" dxfId="46" priority="48" operator="equal">
      <formula>0</formula>
    </cfRule>
  </conditionalFormatting>
  <conditionalFormatting sqref="A813:C813">
    <cfRule type="cellIs" dxfId="45" priority="45" operator="notEqual">
      <formula>0</formula>
    </cfRule>
    <cfRule type="cellIs" dxfId="44" priority="46" operator="equal">
      <formula>0</formula>
    </cfRule>
  </conditionalFormatting>
  <conditionalFormatting sqref="A827:C827">
    <cfRule type="cellIs" dxfId="43" priority="43" operator="notEqual">
      <formula>0</formula>
    </cfRule>
    <cfRule type="cellIs" dxfId="42" priority="44" operator="equal">
      <formula>0</formula>
    </cfRule>
  </conditionalFormatting>
  <conditionalFormatting sqref="A841:C841">
    <cfRule type="cellIs" dxfId="41" priority="41" operator="notEqual">
      <formula>0</formula>
    </cfRule>
    <cfRule type="cellIs" dxfId="40" priority="42" operator="equal">
      <formula>0</formula>
    </cfRule>
  </conditionalFormatting>
  <conditionalFormatting sqref="A855:C855">
    <cfRule type="cellIs" dxfId="39" priority="39" operator="notEqual">
      <formula>0</formula>
    </cfRule>
    <cfRule type="cellIs" dxfId="38" priority="40" operator="equal">
      <formula>0</formula>
    </cfRule>
  </conditionalFormatting>
  <conditionalFormatting sqref="A869:C869">
    <cfRule type="cellIs" dxfId="37" priority="37" operator="notEqual">
      <formula>0</formula>
    </cfRule>
    <cfRule type="cellIs" dxfId="36" priority="38" operator="equal">
      <formula>0</formula>
    </cfRule>
  </conditionalFormatting>
  <conditionalFormatting sqref="A883:C883">
    <cfRule type="cellIs" dxfId="35" priority="35" operator="notEqual">
      <formula>0</formula>
    </cfRule>
    <cfRule type="cellIs" dxfId="34" priority="36" operator="equal">
      <formula>0</formula>
    </cfRule>
  </conditionalFormatting>
  <conditionalFormatting sqref="A897:C897">
    <cfRule type="cellIs" dxfId="33" priority="33" operator="notEqual">
      <formula>0</formula>
    </cfRule>
    <cfRule type="cellIs" dxfId="32" priority="34" operator="equal">
      <formula>0</formula>
    </cfRule>
  </conditionalFormatting>
  <conditionalFormatting sqref="A911:C911">
    <cfRule type="cellIs" dxfId="31" priority="31" operator="notEqual">
      <formula>0</formula>
    </cfRule>
    <cfRule type="cellIs" dxfId="30" priority="32" operator="equal">
      <formula>0</formula>
    </cfRule>
  </conditionalFormatting>
  <conditionalFormatting sqref="A925:C925">
    <cfRule type="cellIs" dxfId="29" priority="29" operator="notEqual">
      <formula>0</formula>
    </cfRule>
    <cfRule type="cellIs" dxfId="28" priority="30" operator="equal">
      <formula>0</formula>
    </cfRule>
  </conditionalFormatting>
  <conditionalFormatting sqref="A939:C939">
    <cfRule type="cellIs" dxfId="27" priority="27" operator="notEqual">
      <formula>0</formula>
    </cfRule>
    <cfRule type="cellIs" dxfId="26" priority="28" operator="equal">
      <formula>0</formula>
    </cfRule>
  </conditionalFormatting>
  <conditionalFormatting sqref="A953:C953">
    <cfRule type="cellIs" dxfId="25" priority="25" operator="notEqual">
      <formula>0</formula>
    </cfRule>
    <cfRule type="cellIs" dxfId="24" priority="26" operator="equal">
      <formula>0</formula>
    </cfRule>
  </conditionalFormatting>
  <conditionalFormatting sqref="A967:C967">
    <cfRule type="cellIs" dxfId="23" priority="23" operator="notEqual">
      <formula>0</formula>
    </cfRule>
    <cfRule type="cellIs" dxfId="22" priority="24" operator="equal">
      <formula>0</formula>
    </cfRule>
  </conditionalFormatting>
  <conditionalFormatting sqref="A981:C981">
    <cfRule type="cellIs" dxfId="21" priority="21" operator="notEqual">
      <formula>0</formula>
    </cfRule>
    <cfRule type="cellIs" dxfId="20" priority="22" operator="equal">
      <formula>0</formula>
    </cfRule>
  </conditionalFormatting>
  <conditionalFormatting sqref="A995:C995">
    <cfRule type="cellIs" dxfId="19" priority="19" operator="notEqual">
      <formula>0</formula>
    </cfRule>
    <cfRule type="cellIs" dxfId="18" priority="20" operator="equal">
      <formula>0</formula>
    </cfRule>
  </conditionalFormatting>
  <conditionalFormatting sqref="A1009:C1009">
    <cfRule type="cellIs" dxfId="17" priority="17" operator="notEqual">
      <formula>0</formula>
    </cfRule>
    <cfRule type="cellIs" dxfId="16" priority="18" operator="equal">
      <formula>0</formula>
    </cfRule>
  </conditionalFormatting>
  <conditionalFormatting sqref="A1023:C1023">
    <cfRule type="cellIs" dxfId="15" priority="15" operator="notEqual">
      <formula>0</formula>
    </cfRule>
    <cfRule type="cellIs" dxfId="14" priority="16" operator="equal">
      <formula>0</formula>
    </cfRule>
  </conditionalFormatting>
  <conditionalFormatting sqref="A1037:C1037">
    <cfRule type="cellIs" dxfId="13" priority="13" operator="notEqual">
      <formula>0</formula>
    </cfRule>
    <cfRule type="cellIs" dxfId="12" priority="14" operator="equal">
      <formula>0</formula>
    </cfRule>
  </conditionalFormatting>
  <conditionalFormatting sqref="A1051:C1051">
    <cfRule type="cellIs" dxfId="11" priority="11" operator="notEqual">
      <formula>0</formula>
    </cfRule>
    <cfRule type="cellIs" dxfId="10" priority="12" operator="equal">
      <formula>0</formula>
    </cfRule>
  </conditionalFormatting>
  <conditionalFormatting sqref="A1065:C1065">
    <cfRule type="cellIs" dxfId="9" priority="9" operator="notEqual">
      <formula>0</formula>
    </cfRule>
    <cfRule type="cellIs" dxfId="8" priority="10" operator="equal">
      <formula>0</formula>
    </cfRule>
  </conditionalFormatting>
  <conditionalFormatting sqref="A1079:C1079">
    <cfRule type="cellIs" dxfId="7" priority="7" operator="notEqual">
      <formula>0</formula>
    </cfRule>
    <cfRule type="cellIs" dxfId="6" priority="8" operator="equal">
      <formula>0</formula>
    </cfRule>
  </conditionalFormatting>
  <conditionalFormatting sqref="A1093:C1093">
    <cfRule type="cellIs" dxfId="5" priority="5" operator="notEqual">
      <formula>0</formula>
    </cfRule>
    <cfRule type="cellIs" dxfId="4" priority="6" operator="equal">
      <formula>0</formula>
    </cfRule>
  </conditionalFormatting>
  <conditionalFormatting sqref="A1107:C1107">
    <cfRule type="cellIs" dxfId="3" priority="3" operator="notEqual">
      <formula>0</formula>
    </cfRule>
    <cfRule type="cellIs" dxfId="2" priority="4" operator="equal">
      <formula>0</formula>
    </cfRule>
  </conditionalFormatting>
  <conditionalFormatting sqref="A1121:C1121">
    <cfRule type="cellIs" dxfId="1" priority="1" operator="notEqual">
      <formula>0</formula>
    </cfRule>
    <cfRule type="cellIs" dxfId="0" priority="2" operator="equal">
      <formula>0</formula>
    </cfRule>
  </conditionalFormatting>
  <pageMargins left="1.2" right="1.2" top="0.75" bottom="0.75" header="0.3" footer="0.3"/>
  <pageSetup fitToHeight="100" orientation="landscape"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5faeaeb-9648-4078-8833-6667cc77c12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B35D9B2D8BC23439A42548586E111E5" ma:contentTypeVersion="16" ma:contentTypeDescription="Create a new document." ma:contentTypeScope="" ma:versionID="d897cc7e6309a44859f95fa821692b55">
  <xsd:schema xmlns:xsd="http://www.w3.org/2001/XMLSchema" xmlns:xs="http://www.w3.org/2001/XMLSchema" xmlns:p="http://schemas.microsoft.com/office/2006/metadata/properties" xmlns:ns3="75faeaeb-9648-4078-8833-6667cc77c122" xmlns:ns4="100d0c95-168f-48fe-8be4-ebcea0ff7913" targetNamespace="http://schemas.microsoft.com/office/2006/metadata/properties" ma:root="true" ma:fieldsID="9674e43106ebb26b6a47595994c039a3" ns3:_="" ns4:_="">
    <xsd:import namespace="75faeaeb-9648-4078-8833-6667cc77c122"/>
    <xsd:import namespace="100d0c95-168f-48fe-8be4-ebcea0ff7913"/>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Location" minOccurs="0"/>
                <xsd:element ref="ns3:MediaServiceSearchProperties" minOccurs="0"/>
                <xsd:element ref="ns3:_activity"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faeaeb-9648-4078-8833-6667cc77c1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activity" ma:index="22" nillable="true" ma:displayName="_activity" ma:hidden="true" ma:internalName="_activity">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d0c95-168f-48fe-8be4-ebcea0ff79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02F9C6-5C87-4777-B8CE-18907F8BEADD}">
  <ds:schemaRefs>
    <ds:schemaRef ds:uri="http://schemas.microsoft.com/office/infopath/2007/PartnerControls"/>
    <ds:schemaRef ds:uri="http://schemas.microsoft.com/office/2006/documentManagement/types"/>
    <ds:schemaRef ds:uri="http://purl.org/dc/dcmitype/"/>
    <ds:schemaRef ds:uri="75faeaeb-9648-4078-8833-6667cc77c122"/>
    <ds:schemaRef ds:uri="http://schemas.microsoft.com/office/2006/metadata/properties"/>
    <ds:schemaRef ds:uri="http://purl.org/dc/elements/1.1/"/>
    <ds:schemaRef ds:uri="http://schemas.openxmlformats.org/package/2006/metadata/core-properties"/>
    <ds:schemaRef ds:uri="100d0c95-168f-48fe-8be4-ebcea0ff7913"/>
    <ds:schemaRef ds:uri="http://www.w3.org/XML/1998/namespace"/>
    <ds:schemaRef ds:uri="http://purl.org/dc/terms/"/>
  </ds:schemaRefs>
</ds:datastoreItem>
</file>

<file path=customXml/itemProps2.xml><?xml version="1.0" encoding="utf-8"?>
<ds:datastoreItem xmlns:ds="http://schemas.openxmlformats.org/officeDocument/2006/customXml" ds:itemID="{A0B841C3-2D63-4FE3-8967-8739C29B1A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faeaeb-9648-4078-8833-6667cc77c122"/>
    <ds:schemaRef ds:uri="100d0c95-168f-48fe-8be4-ebcea0ff79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D25509-4B91-482F-9908-60812C4F7D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Instructions</vt:lpstr>
      <vt:lpstr>Prep Tab</vt:lpstr>
      <vt:lpstr>RFQ</vt:lpstr>
      <vt:lpstr>Tech Eval HNC USE ONLY</vt:lpstr>
      <vt:lpstr>RFQ!Print_Area</vt:lpstr>
      <vt:lpstr>'Tech Eval HNC USE ONLY'!Print_Area</vt:lpstr>
      <vt:lpstr>RFQ!Print_Titles</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Odom, Valerie H CIV USARMY CEHNC (USA)</dc:creator>
  <cp:keywords/>
  <dc:description/>
  <cp:lastModifiedBy>Odom, Valerie H CIV USARMY CEHNC (USA)</cp:lastModifiedBy>
  <cp:revision/>
  <dcterms:created xsi:type="dcterms:W3CDTF">2019-04-08T19:42:10Z</dcterms:created>
  <dcterms:modified xsi:type="dcterms:W3CDTF">2026-03-24T22:01:02Z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0x0101005B35D9B2D8BC23439A42548586E111E5</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