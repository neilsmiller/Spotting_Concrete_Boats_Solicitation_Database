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24226"/>
  <mc:AlternateContent xmlns:mc="http://schemas.openxmlformats.org/markup-compatibility/2006">
    <mc:Choice Requires="x15">
      <x15ac:absPath xmlns:x15ac="http://schemas.microsoft.com/office/spreadsheetml/2010/11/ac" url="https://armyeitaas-my.sharepoint-mil.us/personal/mandy_n_francisco_mil_army_mil/Documents/Documents/Contracts/KrS26/ENG BLS/Amendment 1/"/>
    </mc:Choice>
  </mc:AlternateContent>
  <xr:revisionPtr revIDLastSave="0" documentId="8_{47255D55-89EB-489D-B7A8-74F5ACE52699}" xr6:coauthVersionLast="47" xr6:coauthVersionMax="47" xr10:uidLastSave="{00000000-0000-0000-0000-000000000000}"/>
  <bookViews>
    <workbookView xWindow="28680" yWindow="-90" windowWidth="29040" windowHeight="15690" tabRatio="545" activeTab="2" xr2:uid="{D7C21B5D-0C25-4348-84D1-002FEA66894C}"/>
  </bookViews>
  <sheets>
    <sheet name="Overall Total" sheetId="15" r:id="rId1"/>
    <sheet name="DBA" sheetId="13" r:id="rId2"/>
    <sheet name="BLS" sheetId="5" r:id="rId3"/>
    <sheet name="12 PAX Van" sheetId="6"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1" i="5" l="1"/>
  <c r="I10" i="5"/>
  <c r="I6" i="5"/>
  <c r="G67" i="5"/>
  <c r="G66" i="5"/>
  <c r="G65" i="5"/>
  <c r="G64" i="5"/>
  <c r="G63" i="5"/>
  <c r="G62" i="5"/>
  <c r="G61" i="5"/>
  <c r="G60" i="5"/>
  <c r="G55" i="5"/>
  <c r="I55" i="5" s="1"/>
  <c r="G46" i="5"/>
  <c r="G43" i="5"/>
  <c r="I43" i="5" s="1"/>
  <c r="G41" i="5"/>
  <c r="G38" i="5"/>
  <c r="I38" i="5" s="1"/>
  <c r="G35" i="5"/>
  <c r="G32" i="5"/>
  <c r="I32" i="5" s="1"/>
  <c r="G31" i="5"/>
  <c r="G28" i="5"/>
  <c r="I28" i="5" s="1"/>
  <c r="H5" i="15"/>
  <c r="G5" i="6"/>
  <c r="G4" i="6"/>
  <c r="H70" i="5" l="1"/>
  <c r="H68" i="5"/>
  <c r="I67" i="5"/>
  <c r="I65" i="5"/>
  <c r="I64" i="5"/>
  <c r="I63" i="5"/>
  <c r="I62" i="5"/>
  <c r="I61" i="5"/>
  <c r="I60" i="5"/>
  <c r="I66" i="5"/>
  <c r="I31" i="5"/>
  <c r="I25" i="5"/>
  <c r="I20" i="5"/>
  <c r="I9" i="5"/>
  <c r="J5" i="6"/>
  <c r="J4" i="6"/>
  <c r="I6" i="6"/>
  <c r="I57" i="5"/>
  <c r="I58" i="5"/>
  <c r="I7" i="5"/>
  <c r="I11" i="5"/>
  <c r="I23" i="5"/>
  <c r="I29" i="5"/>
  <c r="I33" i="5"/>
  <c r="I39" i="5"/>
  <c r="I44" i="5"/>
  <c r="I56" i="5"/>
  <c r="G8" i="5"/>
  <c r="I8" i="5" s="1"/>
  <c r="G12" i="5"/>
  <c r="I12" i="5" s="1"/>
  <c r="G13" i="5"/>
  <c r="I13" i="5" s="1"/>
  <c r="G14" i="5"/>
  <c r="I14" i="5" s="1"/>
  <c r="G15" i="5"/>
  <c r="I15" i="5" s="1"/>
  <c r="G16" i="5"/>
  <c r="I16" i="5" s="1"/>
  <c r="G17" i="5"/>
  <c r="I17" i="5" s="1"/>
  <c r="G18" i="5"/>
  <c r="I18" i="5" s="1"/>
  <c r="G19" i="5"/>
  <c r="I19" i="5" s="1"/>
  <c r="G22" i="5"/>
  <c r="I22" i="5" s="1"/>
  <c r="G24" i="5"/>
  <c r="I24" i="5" s="1"/>
  <c r="G26" i="5"/>
  <c r="I26" i="5" s="1"/>
  <c r="G27" i="5"/>
  <c r="I27" i="5" s="1"/>
  <c r="G30" i="5"/>
  <c r="I30" i="5" s="1"/>
  <c r="G34" i="5"/>
  <c r="I34" i="5" s="1"/>
  <c r="I35" i="5"/>
  <c r="G36" i="5"/>
  <c r="I36" i="5" s="1"/>
  <c r="G37" i="5"/>
  <c r="I37" i="5" s="1"/>
  <c r="G40" i="5"/>
  <c r="I40" i="5" s="1"/>
  <c r="I41" i="5"/>
  <c r="G42" i="5"/>
  <c r="I42" i="5" s="1"/>
  <c r="G45" i="5"/>
  <c r="I45" i="5" s="1"/>
  <c r="I46" i="5"/>
  <c r="G47" i="5"/>
  <c r="I47" i="5" s="1"/>
  <c r="G48" i="5"/>
  <c r="I48" i="5" s="1"/>
  <c r="G49" i="5"/>
  <c r="I49" i="5" s="1"/>
  <c r="G50" i="5"/>
  <c r="I50" i="5" s="1"/>
  <c r="G51" i="5"/>
  <c r="I51" i="5" s="1"/>
  <c r="G52" i="5"/>
  <c r="I52" i="5" s="1"/>
  <c r="G53" i="5"/>
  <c r="I53" i="5" s="1"/>
  <c r="G54" i="5"/>
  <c r="I54" i="5" s="1"/>
  <c r="I5" i="5"/>
  <c r="L67" i="5" l="1"/>
  <c r="H8" i="15" s="1"/>
  <c r="I70" i="5"/>
  <c r="H6" i="15" s="1"/>
  <c r="I68" i="5"/>
  <c r="J6" i="6" l="1"/>
  <c r="H7" i="15" s="1"/>
  <c r="H10" i="15" l="1"/>
  <c r="H9" i="15"/>
</calcChain>
</file>

<file path=xl/sharedStrings.xml><?xml version="1.0" encoding="utf-8"?>
<sst xmlns="http://schemas.openxmlformats.org/spreadsheetml/2006/main" count="193" uniqueCount="88">
  <si>
    <t>NAME OF COMPANY SUBMITTING OFFER:</t>
  </si>
  <si>
    <t>ITEM #</t>
  </si>
  <si>
    <t>SCHEDULE OF SUPPLIES/SERVICES</t>
  </si>
  <si>
    <t>LOCATION</t>
  </si>
  <si>
    <t>UNITS (UM)</t>
  </si>
  <si>
    <t>POP</t>
  </si>
  <si>
    <t>DAYS</t>
  </si>
  <si>
    <t>UNIT PRICE PER DAY</t>
  </si>
  <si>
    <t>TOTAL</t>
  </si>
  <si>
    <t>1</t>
  </si>
  <si>
    <t>#</t>
  </si>
  <si>
    <r>
      <t xml:space="preserve">Handwash Stations (PWS PARA 5.2.2)
</t>
    </r>
    <r>
      <rPr>
        <sz val="10"/>
        <rFont val="Arial"/>
        <family val="2"/>
      </rPr>
      <t>Units: QTY of Faucets</t>
    </r>
  </si>
  <si>
    <r>
      <rPr>
        <b/>
        <sz val="10"/>
        <rFont val="Arial"/>
        <family val="2"/>
      </rPr>
      <t xml:space="preserve">Showers (PWS PARA 5.2.3)
</t>
    </r>
    <r>
      <rPr>
        <sz val="10"/>
        <rFont val="Arial"/>
        <family val="2"/>
      </rPr>
      <t>The Contractor Shall not clean between:
Hot Water is not required
Units: QTY of Shower Stalls</t>
    </r>
  </si>
  <si>
    <r>
      <rPr>
        <b/>
        <sz val="10"/>
        <rFont val="Arial"/>
        <family val="2"/>
      </rPr>
      <t>Showers with Hot Water (PWS PARA 5.2.3)</t>
    </r>
    <r>
      <rPr>
        <sz val="10"/>
        <rFont val="Arial"/>
        <family val="2"/>
      </rPr>
      <t xml:space="preserve">
The Contractor Shall not clean between:
Units: QTY of Shower Stalls</t>
    </r>
  </si>
  <si>
    <r>
      <t xml:space="preserve">Generator (PWS PARA 5.2.4)
</t>
    </r>
    <r>
      <rPr>
        <sz val="10"/>
        <rFont val="Arial"/>
        <family val="2"/>
      </rPr>
      <t>Type:  XXX K Generator</t>
    </r>
    <r>
      <rPr>
        <b/>
        <sz val="10"/>
        <rFont val="Arial"/>
        <family val="2"/>
      </rPr>
      <t xml:space="preserve">
</t>
    </r>
    <r>
      <rPr>
        <sz val="10"/>
        <rFont val="Arial"/>
        <family val="2"/>
      </rPr>
      <t>Power Chords:
Power Chords Min Length:</t>
    </r>
  </si>
  <si>
    <r>
      <rPr>
        <b/>
        <sz val="10"/>
        <rFont val="Arial"/>
        <family val="2"/>
      </rPr>
      <t>Generator Capability (PWS PARA 5.2.4)</t>
    </r>
    <r>
      <rPr>
        <sz val="10"/>
        <rFont val="Arial"/>
        <family val="2"/>
      </rPr>
      <t xml:space="preserve">
The Contractor Shall provide power generation to power ________</t>
    </r>
  </si>
  <si>
    <r>
      <t xml:space="preserve">Light Sets (PWS PARA 5.2.5)
</t>
    </r>
    <r>
      <rPr>
        <sz val="10"/>
        <rFont val="Arial"/>
        <family val="2"/>
      </rPr>
      <t>Includes Fuel IAW 5.2.4</t>
    </r>
  </si>
  <si>
    <r>
      <t xml:space="preserve">Reefers (PWS PARA 5.2.6)
</t>
    </r>
    <r>
      <rPr>
        <sz val="10"/>
        <rFont val="Arial"/>
        <family val="2"/>
      </rPr>
      <t>Includes Fuel IAW 5.2.4</t>
    </r>
  </si>
  <si>
    <r>
      <t xml:space="preserve">Ice (PWS PARA 5.2.7)
</t>
    </r>
    <r>
      <rPr>
        <sz val="10"/>
        <rFont val="Arial"/>
        <family val="2"/>
      </rPr>
      <t>Frequency:
Delivery Size:</t>
    </r>
  </si>
  <si>
    <r>
      <t xml:space="preserve">Ice with Coolers (PWS PARA 5.2.7)
</t>
    </r>
    <r>
      <rPr>
        <sz val="10"/>
        <rFont val="Arial"/>
        <family val="2"/>
      </rPr>
      <t>Frequency: Daily deliver(A.M.)
Delivery Size:  Larger cooler enough for 10pax(LTTI and Z6) and 5pax(LSA,AHA,BAS and JPMRC)</t>
    </r>
  </si>
  <si>
    <r>
      <t>Fans (PWS PARA 5.2.9)</t>
    </r>
    <r>
      <rPr>
        <sz val="10"/>
        <rFont val="Arial"/>
        <family val="2"/>
      </rPr>
      <t xml:space="preserve">
Power Chords Min Length:</t>
    </r>
  </si>
  <si>
    <t>Chairs (PWS PARA 5.2.11)</t>
  </si>
  <si>
    <t>Tables (PWS PARA 5.2.11)</t>
  </si>
  <si>
    <t>TRANSPORTATION</t>
  </si>
  <si>
    <t>The unit of measure is Days. The planning factor below are the amount of vehicles that are planned for during the PoP. However the planning factor is subject to change and only provided for predictablility and planning purposes.</t>
  </si>
  <si>
    <t>Item #</t>
  </si>
  <si>
    <t xml:space="preserve">Vehicle </t>
  </si>
  <si>
    <t>REGION / REGIONS / LOCATION</t>
  </si>
  <si>
    <t>DESCRIPTION</t>
  </si>
  <si>
    <t xml:space="preserve">UNIT: </t>
  </si>
  <si>
    <t>UM</t>
  </si>
  <si>
    <t>UNIT PRICE</t>
  </si>
  <si>
    <t>Total</t>
  </si>
  <si>
    <t xml:space="preserve">Planning Factor:                                                        Number of Vans:                                       </t>
  </si>
  <si>
    <t xml:space="preserve">Planning Factor:                                                                                             Number of Days:  </t>
  </si>
  <si>
    <t>001</t>
  </si>
  <si>
    <t>Kota Belud, Kota Kinabalu</t>
  </si>
  <si>
    <t>Day</t>
  </si>
  <si>
    <t>002</t>
  </si>
  <si>
    <t>Wifi Pucks</t>
  </si>
  <si>
    <t>E-Sim Card</t>
  </si>
  <si>
    <t xml:space="preserve"> JPMRC (MAYBE)
 4214802147
</t>
  </si>
  <si>
    <t>TBD</t>
  </si>
  <si>
    <t xml:space="preserve"> JPMRC 
 4214802147
</t>
  </si>
  <si>
    <r>
      <t xml:space="preserve">Tent (PWS PARA 5.2.12) </t>
    </r>
    <r>
      <rPr>
        <b/>
        <sz val="10"/>
        <color rgb="FFFF0000"/>
        <rFont val="Arial"/>
        <family val="2"/>
      </rPr>
      <t>OPTION CLIN</t>
    </r>
    <r>
      <rPr>
        <b/>
        <sz val="10"/>
        <rFont val="Arial"/>
        <family val="2"/>
      </rPr>
      <t xml:space="preserve">
NOTE OPTIONAL CLINs WILL NOT BE CHARGED UNTIL EXERCISED VIA MODIFICATION.</t>
    </r>
  </si>
  <si>
    <r>
      <t xml:space="preserve">Dumpsters (PWS PARA 5.2.13) </t>
    </r>
    <r>
      <rPr>
        <b/>
        <sz val="10"/>
        <color rgb="FFFF0000"/>
        <rFont val="Arial"/>
        <family val="2"/>
      </rPr>
      <t>OPTION CLIN</t>
    </r>
    <r>
      <rPr>
        <b/>
        <sz val="10"/>
        <rFont val="Arial"/>
        <family val="2"/>
      </rPr>
      <t xml:space="preserve">
NOTE OPTIONAL CLINs WILL NOT BE CHARGED UNTIL EXERCISED VIA MODIFICATION.</t>
    </r>
  </si>
  <si>
    <r>
      <t xml:space="preserve">Tables (PWS PARA 5.2.11) </t>
    </r>
    <r>
      <rPr>
        <b/>
        <sz val="10"/>
        <color rgb="FFFF0000"/>
        <rFont val="Arial"/>
        <family val="2"/>
      </rPr>
      <t xml:space="preserve">OPTION CLIN
</t>
    </r>
    <r>
      <rPr>
        <b/>
        <sz val="10"/>
        <color theme="1"/>
        <rFont val="Arial"/>
        <family val="2"/>
      </rPr>
      <t>NOTE OPTIONAL CLINs WILL NOT BE CHARGED UNTIL EXERCISED VIA MODIFICATION.</t>
    </r>
  </si>
  <si>
    <r>
      <t xml:space="preserve">Chairs (PWS PARA 5.2.11)  </t>
    </r>
    <r>
      <rPr>
        <b/>
        <sz val="10"/>
        <color rgb="FFFF0000"/>
        <rFont val="Arial"/>
        <family val="2"/>
      </rPr>
      <t>OPTION CLIN</t>
    </r>
    <r>
      <rPr>
        <sz val="10"/>
        <rFont val="Arial"/>
        <family val="2"/>
      </rPr>
      <t xml:space="preserve">
:</t>
    </r>
    <r>
      <rPr>
        <b/>
        <sz val="10"/>
        <rFont val="Arial"/>
        <family val="2"/>
      </rPr>
      <t>NOTE OPTIONAL CLINs WILL NOT BE CHARGED UNTIL EXERCISED VIA MODIFICATION.</t>
    </r>
  </si>
  <si>
    <r>
      <t xml:space="preserve">Fans (PWS PARA 5.2.9)  </t>
    </r>
    <r>
      <rPr>
        <b/>
        <sz val="10"/>
        <color rgb="FFFF0000"/>
        <rFont val="Arial"/>
        <family val="2"/>
      </rPr>
      <t>OPTION CLIN</t>
    </r>
    <r>
      <rPr>
        <sz val="10"/>
        <rFont val="Arial"/>
        <family val="2"/>
      </rPr>
      <t xml:space="preserve">
</t>
    </r>
    <r>
      <rPr>
        <b/>
        <sz val="10"/>
        <color theme="1"/>
        <rFont val="Arial"/>
        <family val="2"/>
      </rPr>
      <t>NOTE OPTIONAL CLINs WILL NOT BE CHARGED UNTIL EXERCISED VIA MODIFICATION.</t>
    </r>
  </si>
  <si>
    <r>
      <t xml:space="preserve">Ice with Coolers (PWS PARA 5.2.7) </t>
    </r>
    <r>
      <rPr>
        <b/>
        <sz val="10"/>
        <color rgb="FFFF0000"/>
        <rFont val="Arial"/>
        <family val="2"/>
      </rPr>
      <t>OPTION CLIN</t>
    </r>
    <r>
      <rPr>
        <b/>
        <sz val="10"/>
        <rFont val="Arial"/>
        <family val="2"/>
      </rPr>
      <t xml:space="preserve">
</t>
    </r>
    <r>
      <rPr>
        <b/>
        <sz val="10"/>
        <color theme="1"/>
        <rFont val="Arial"/>
        <family val="2"/>
      </rPr>
      <t>NOTE OPTIONAL CLINs WILL NOT BE CHARGED UNTIL EXERCISED VIA MODIFICATION.</t>
    </r>
  </si>
  <si>
    <r>
      <t>Handwash Stations (PWS PARA 5.2.2)</t>
    </r>
    <r>
      <rPr>
        <b/>
        <sz val="10"/>
        <color rgb="FFFF0000"/>
        <rFont val="Arial"/>
        <family val="2"/>
      </rPr>
      <t xml:space="preserve"> OPTION CLIN</t>
    </r>
    <r>
      <rPr>
        <b/>
        <sz val="10"/>
        <rFont val="Arial"/>
        <family val="2"/>
      </rPr>
      <t xml:space="preserve">
</t>
    </r>
    <r>
      <rPr>
        <b/>
        <sz val="10"/>
        <color theme="1"/>
        <rFont val="Arial"/>
        <family val="2"/>
      </rPr>
      <t>NOTE OPTIONAL CLINs WILL NOT BE CHARGED UNTIL EXERCISED VIA MODIFICATION.</t>
    </r>
  </si>
  <si>
    <r>
      <t xml:space="preserve">Portable Latrines (PWS PARA 5.2.1) </t>
    </r>
    <r>
      <rPr>
        <b/>
        <sz val="10"/>
        <color rgb="FFFF0000"/>
        <rFont val="Arial"/>
        <family val="2"/>
      </rPr>
      <t>OPTION CLIN</t>
    </r>
    <r>
      <rPr>
        <b/>
        <sz val="10"/>
        <rFont val="Arial"/>
        <family val="2"/>
      </rPr>
      <t xml:space="preserve">
NOTE OPTIONAL CLINs WILL NOT BE CHARGED UNTIL EXERCISED VIA MODIFICATION.
</t>
    </r>
  </si>
  <si>
    <t xml:space="preserve">Portable Latrines (PWS PARA 5.2.1)
</t>
  </si>
  <si>
    <t>NOTE: CORS will determine item QTY per location. Items will relocate as reflected on the locations and dates on the call sheet.</t>
  </si>
  <si>
    <t>START DATE</t>
  </si>
  <si>
    <t>END DATE</t>
  </si>
  <si>
    <t>QTY</t>
  </si>
  <si>
    <t>12 PAX Van w/ Driver</t>
  </si>
  <si>
    <t>Start Date</t>
  </si>
  <si>
    <t>End Date</t>
  </si>
  <si>
    <t>Total with OPTION CLINS</t>
  </si>
  <si>
    <t xml:space="preserve">NAME OF COMPANY SUBMITTING OFFER:  </t>
  </si>
  <si>
    <t>DBA Insurance</t>
  </si>
  <si>
    <t>BLS</t>
  </si>
  <si>
    <t>2</t>
  </si>
  <si>
    <t>3</t>
  </si>
  <si>
    <r>
      <t xml:space="preserve">BLS Option CLINS </t>
    </r>
    <r>
      <rPr>
        <b/>
        <sz val="10"/>
        <color rgb="FFFF0000"/>
        <rFont val="Arial"/>
        <family val="2"/>
      </rPr>
      <t>(Will not be charged unless exercised via Modification)</t>
    </r>
  </si>
  <si>
    <t>Total without OPTION CLINS</t>
  </si>
  <si>
    <r>
      <t>Dumpsters (PWS PARA 5.2.13)
Emptying Frequency: 48 hrs or as specified by the COR</t>
    </r>
    <r>
      <rPr>
        <sz val="10"/>
        <rFont val="Arial"/>
        <family val="2"/>
      </rPr>
      <t xml:space="preserve">
Unit Price shall include daily rental rate and emptying of dumpsters</t>
    </r>
  </si>
  <si>
    <t>6</t>
  </si>
  <si>
    <t>NOTE: Initial contract award will be priced WITHOUT OPTION CLINS</t>
  </si>
  <si>
    <t>12 Pax Vans</t>
  </si>
  <si>
    <t>Option CLIN Total</t>
  </si>
  <si>
    <t xml:space="preserve"> JPMRC 
06°21'07.2689", 116°28'36.8969"
</t>
  </si>
  <si>
    <t xml:space="preserve">
Z6 (06°20'07.6723", 116°33'51.2792"), LTTI (06°20'34.2477", 116°33'53.7632", )
</t>
  </si>
  <si>
    <t xml:space="preserve">LSA (06°21'49.4539", 116°28'18.0078"), BAS (06°21'21.5403", 116°28'12.6656"), Site Whiskey (06°19'06.1196", 116°29'35.1811") </t>
  </si>
  <si>
    <r>
      <rPr>
        <b/>
        <sz val="12"/>
        <color rgb="FF000000"/>
        <rFont val="Arial"/>
        <family val="2"/>
      </rPr>
      <t xml:space="preserve">12-Passenger VAN
</t>
    </r>
    <r>
      <rPr>
        <sz val="12"/>
        <color rgb="FF000000"/>
        <rFont val="Arial"/>
        <family val="2"/>
      </rPr>
      <t xml:space="preserve">Leased with driver; shall  be capable of seating twelve passengers, not including the driver; shall be climate controlled capable of maintaining a comfortable temperature, heating and air conditioning system must be fully functional at all times.  </t>
    </r>
    <r>
      <rPr>
        <b/>
        <sz val="12"/>
        <color rgb="FF000000"/>
        <rFont val="Arial"/>
        <family val="2"/>
      </rPr>
      <t xml:space="preserve">
</t>
    </r>
    <r>
      <rPr>
        <sz val="12"/>
        <color rgb="FF000000"/>
        <rFont val="Arial"/>
        <family val="2"/>
      </rPr>
      <t xml:space="preserve">
</t>
    </r>
  </si>
  <si>
    <r>
      <rPr>
        <b/>
        <sz val="12"/>
        <color rgb="FF000000"/>
        <rFont val="Arial"/>
        <family val="2"/>
      </rPr>
      <t xml:space="preserve">12-Passenger VAN
</t>
    </r>
    <r>
      <rPr>
        <sz val="12"/>
        <color rgb="FF000000"/>
        <rFont val="Arial"/>
        <family val="2"/>
      </rPr>
      <t xml:space="preserve">Leased with driver; shall  be capable of seating twelve passengers, not including the driver; shall be climate controlled capable of maintaining a comfortable temperature, heating and air conditioning system must be fully functional at all times.  </t>
    </r>
    <r>
      <rPr>
        <sz val="12"/>
        <color rgb="FF000000"/>
        <rFont val="Arial"/>
        <family val="2"/>
      </rPr>
      <t xml:space="preserve">
</t>
    </r>
  </si>
  <si>
    <r>
      <t xml:space="preserve">COR will coordinate daily locations and van usage daily. Must have 2 Vans available during the period of performance. </t>
    </r>
    <r>
      <rPr>
        <u/>
        <sz val="12"/>
        <rFont val="Arial"/>
        <family val="2"/>
      </rPr>
      <t>2x 12 PAX Van w/ driver will be on standby on site designated by the COR during PoP</t>
    </r>
    <r>
      <rPr>
        <sz val="12"/>
        <rFont val="Arial"/>
        <family val="2"/>
      </rPr>
      <t xml:space="preserve">. Operating hours will be communicated prior to execution for actual timeframe. Vans will not exceed 300 km travel per day. </t>
    </r>
  </si>
  <si>
    <r>
      <t xml:space="preserve">COR will coordinate daily locations and van usage daily. Must have 1 Van available during the period of performance. </t>
    </r>
    <r>
      <rPr>
        <u/>
        <sz val="12"/>
        <rFont val="Arial"/>
        <family val="2"/>
      </rPr>
      <t>1x 12 PAX Van w/ driver will be on standby on site designated by the COR during PoP</t>
    </r>
    <r>
      <rPr>
        <sz val="12"/>
        <rFont val="Arial"/>
        <family val="2"/>
      </rPr>
      <t xml:space="preserve">. Operating hours will be communicated prior to execution for actual timeframe. Vans will not exceed 300 km travel per day. </t>
    </r>
  </si>
  <si>
    <r>
      <t xml:space="preserve">Tent (PWS PARA 5.2.12) 
GP Medium Tents
</t>
    </r>
    <r>
      <rPr>
        <sz val="10"/>
        <rFont val="Arial"/>
        <family val="2"/>
      </rPr>
      <t>Tent Specs:</t>
    </r>
    <r>
      <rPr>
        <b/>
        <sz val="10"/>
        <rFont val="Arial"/>
        <family val="2"/>
      </rPr>
      <t xml:space="preserve">  Requesting for cooling tents </t>
    </r>
  </si>
  <si>
    <t> </t>
  </si>
  <si>
    <t xml:space="preserve">Price of Tent </t>
  </si>
  <si>
    <t>Contractors shall also provide the Separate Price of the Tent, and  Price of Power Gen, lights, A/C and services in Columns L and M respectively.</t>
  </si>
  <si>
    <t>Price of Power Gen,  A/C, and Services</t>
  </si>
  <si>
    <t>Contractors shall also provide the Separate Price of the Tent, and  Price of Power Gen, A/C and services in Columns L and M respectively.</t>
  </si>
  <si>
    <t xml:space="preserve">LSA (06°21'49.4539", 116°28'18.0078"), </t>
  </si>
  <si>
    <t xml:space="preserve">
LTTI (06°20'34.2477", 116°33'53.7632",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</si>
</sst>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8" formatCode="&quot;$&quot;#,##0.00_);[Red]\(&quot;$&quot;#,##0.00\)"/>
    <numFmt numFmtId="44" formatCode="_(&quot;$&quot;* #,##0.00_);_(&quot;$&quot;* \(#,##0.00\);_(&quot;$&quot;* &quot;-&quot;??_);_(@_)"/>
    <numFmt numFmtId="43" formatCode="_(* #,##0.00_);_(* \(#,##0.00\);_(* &quot;-&quot;??_);_(@_)"/>
    <numFmt numFmtId="164" formatCode="_(* #,##0_);_(* \(#,##0\);_(* &quot;-&quot;??_);_(@_)"/>
    <numFmt numFmtId="165" formatCode="[$PHP]\ #,##0.00_);[Red]\([$PHP]\ #,##0.00\)"/>
    <numFmt numFmtId="166" formatCode="[$USD]\ #,##0.00"/>
    <numFmt numFmtId="167" formatCode="[$USD]\ #,##0.00_);[Red]\([$USD]\ #,##0.00\)"/>
    <numFmt numFmtId="168" formatCode="[$-409]d\-mmm\-yy;@"/>
    <numFmt numFmtId="169" formatCode="_([$$-409]* #,##0.00_);_([$$-409]* \(#,##0.00\);_([$$-409]* &quot;-&quot;??_);_(@_)"/>
    <numFmt numFmtId="170" formatCode="[$-409]d\-mmm\-yyyy;@"/>
    <numFmt numFmtId="171" formatCode="&quot;$&quot;#,##0.00"/>
  </numFmts>
  <fonts count="33" x14ac:knownFonts="1">
    <font>
      <sz val="10"/>
      <name val="Arial"/>
    </font>
    <font>
      <sz val="11"/>
      <color theme="1"/>
      <name val="Calibri"/>
      <family val="2"/>
      <scheme val="minor"/>
    </font>
    <font>
      <sz val="10"/>
      <name val="Arial"/>
      <family val="2"/>
    </font>
    <font>
      <b/>
      <i/>
      <u/>
      <sz val="10"/>
      <name val="Times New Roman"/>
      <family val="1"/>
    </font>
    <font>
      <sz val="8"/>
      <name val="Times New Roman"/>
      <family val="1"/>
    </font>
    <font>
      <sz val="10"/>
      <name val="Arial"/>
      <family val="2"/>
    </font>
    <font>
      <sz val="10"/>
      <name val="Times New Roman"/>
      <family val="1"/>
    </font>
    <font>
      <sz val="8"/>
      <name val="Arial"/>
      <family val="2"/>
    </font>
    <font>
      <b/>
      <sz val="8"/>
      <name val="Arial"/>
      <family val="2"/>
    </font>
    <font>
      <b/>
      <sz val="8"/>
      <name val="Times New Roman"/>
      <family val="1"/>
    </font>
    <font>
      <b/>
      <u/>
      <sz val="10"/>
      <name val="Arial"/>
      <family val="2"/>
    </font>
    <font>
      <b/>
      <sz val="10"/>
      <name val="Arial"/>
      <family val="2"/>
    </font>
    <font>
      <b/>
      <sz val="12"/>
      <color theme="1"/>
      <name val="Calibri"/>
      <family val="2"/>
      <scheme val="minor"/>
    </font>
    <font>
      <b/>
      <sz val="12"/>
      <color rgb="FFFF0000"/>
      <name val="Calibri"/>
      <family val="2"/>
      <scheme val="minor"/>
    </font>
    <font>
      <sz val="10"/>
      <color rgb="FF211F1F"/>
      <name val="Arial"/>
      <family val="2"/>
    </font>
    <font>
      <b/>
      <sz val="12"/>
      <color theme="1"/>
      <name val="Arial"/>
      <family val="2"/>
    </font>
    <font>
      <b/>
      <sz val="12"/>
      <name val="Arial"/>
      <family val="2"/>
    </font>
    <font>
      <sz val="12"/>
      <name val="Arial"/>
      <family val="2"/>
    </font>
    <font>
      <b/>
      <i/>
      <u/>
      <sz val="12"/>
      <name val="Arial"/>
      <family val="2"/>
    </font>
    <font>
      <sz val="11"/>
      <name val="Arial"/>
      <family val="2"/>
    </font>
    <font>
      <sz val="12"/>
      <color rgb="FFFF0000"/>
      <name val="Arial"/>
      <family val="2"/>
    </font>
    <font>
      <sz val="12"/>
      <color rgb="FF211F1F"/>
      <name val="Arial"/>
      <family val="2"/>
    </font>
    <font>
      <b/>
      <sz val="12"/>
      <color rgb="FF000000"/>
      <name val="Arial"/>
      <family val="2"/>
    </font>
    <font>
      <sz val="12"/>
      <color rgb="FF000000"/>
      <name val="Arial"/>
      <family val="2"/>
    </font>
    <font>
      <sz val="10"/>
      <name val="Arial"/>
      <family val="2"/>
    </font>
    <font>
      <b/>
      <sz val="10"/>
      <color rgb="FFFF0000"/>
      <name val="Arial"/>
      <family val="2"/>
    </font>
    <font>
      <b/>
      <sz val="10"/>
      <color theme="1"/>
      <name val="Arial"/>
      <family val="2"/>
    </font>
    <font>
      <sz val="14"/>
      <color rgb="FFFF0000"/>
      <name val="Times New Roman"/>
      <family val="1"/>
    </font>
    <font>
      <sz val="8"/>
      <color rgb="FFFF0000"/>
      <name val="Times New Roman"/>
      <family val="1"/>
    </font>
    <font>
      <b/>
      <sz val="9"/>
      <color rgb="FFFF0000"/>
      <name val="Arial"/>
      <family val="2"/>
    </font>
    <font>
      <sz val="12"/>
      <color theme="1"/>
      <name val="Arial"/>
      <family val="2"/>
    </font>
    <font>
      <u/>
      <sz val="12"/>
      <name val="Arial"/>
      <family val="2"/>
    </font>
    <font>
      <sz val="10"/>
      <color rgb="FFFF0000"/>
      <name val="Arial"/>
      <family val="2"/>
    </font>
  </fonts>
  <fills count="11">
    <fill>
      <patternFill patternType="none"/>
    </fill>
    <fill>
      <patternFill patternType="gray125"/>
    </fill>
    <fill>
      <patternFill patternType="solid">
        <fgColor theme="1"/>
        <bgColor indexed="64"/>
      </patternFill>
    </fill>
    <fill>
      <patternFill patternType="solid">
        <fgColor rgb="FFC7F892"/>
        <bgColor indexed="64"/>
      </patternFill>
    </fill>
    <fill>
      <patternFill patternType="solid">
        <fgColor theme="0"/>
        <bgColor indexed="64"/>
      </patternFill>
    </fill>
    <fill>
      <patternFill patternType="solid">
        <fgColor rgb="FFFFFF00"/>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rgb="FF92D050"/>
        <bgColor indexed="64"/>
      </patternFill>
    </fill>
    <fill>
      <patternFill patternType="solid">
        <fgColor rgb="FFFFC000"/>
        <bgColor indexed="64"/>
      </patternFill>
    </fill>
    <fill>
      <patternFill patternType="solid">
        <fgColor rgb="FF000000"/>
        <bgColor rgb="FF000000"/>
      </patternFill>
    </fill>
  </fills>
  <borders count="31">
    <border>
      <left/>
      <right/>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bottom/>
      <diagonal/>
    </border>
    <border>
      <left/>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style="thin">
        <color indexed="64"/>
      </top>
      <bottom/>
      <diagonal/>
    </border>
    <border>
      <left style="thin">
        <color indexed="64"/>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style="medium">
        <color indexed="64"/>
      </top>
      <bottom style="thin">
        <color indexed="64"/>
      </bottom>
      <diagonal/>
    </border>
    <border>
      <left/>
      <right/>
      <top/>
      <bottom style="medium">
        <color indexed="64"/>
      </bottom>
      <diagonal/>
    </border>
    <border>
      <left style="medium">
        <color indexed="64"/>
      </left>
      <right style="thin">
        <color indexed="64"/>
      </right>
      <top style="medium">
        <color indexed="64"/>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medium">
        <color indexed="64"/>
      </left>
      <right style="medium">
        <color indexed="64"/>
      </right>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s>
  <cellStyleXfs count="6">
    <xf numFmtId="0" fontId="0" fillId="0" borderId="0"/>
    <xf numFmtId="43" fontId="2" fillId="0" borderId="0" applyFont="0" applyFill="0" applyBorder="0" applyAlignment="0" applyProtection="0"/>
    <xf numFmtId="43" fontId="5" fillId="0" borderId="0" applyFont="0" applyFill="0" applyBorder="0" applyAlignment="0" applyProtection="0"/>
    <xf numFmtId="0" fontId="5" fillId="0" borderId="0"/>
    <xf numFmtId="44" fontId="24" fillId="0" borderId="0" applyFont="0" applyFill="0" applyBorder="0" applyAlignment="0" applyProtection="0"/>
    <xf numFmtId="0" fontId="1" fillId="0" borderId="0"/>
  </cellStyleXfs>
  <cellXfs count="211">
    <xf numFmtId="0" fontId="0" fillId="0" borderId="0" xfId="0"/>
    <xf numFmtId="0" fontId="4" fillId="0" borderId="0" xfId="0" applyFont="1"/>
    <xf numFmtId="8" fontId="4" fillId="0" borderId="0" xfId="0" applyNumberFormat="1" applyFont="1" applyAlignment="1">
      <alignment horizontal="center"/>
    </xf>
    <xf numFmtId="49" fontId="4" fillId="0" borderId="0" xfId="0" applyNumberFormat="1" applyFont="1" applyAlignment="1">
      <alignment horizontal="center"/>
    </xf>
    <xf numFmtId="164" fontId="4" fillId="0" borderId="0" xfId="1" applyNumberFormat="1" applyFont="1" applyAlignment="1">
      <alignment horizontal="left"/>
    </xf>
    <xf numFmtId="0" fontId="4" fillId="0" borderId="0" xfId="0" applyFont="1" applyAlignment="1">
      <alignment wrapText="1"/>
    </xf>
    <xf numFmtId="0" fontId="12" fillId="0" borderId="0" xfId="0" applyFont="1"/>
    <xf numFmtId="0" fontId="7" fillId="0" borderId="0" xfId="0" applyFont="1"/>
    <xf numFmtId="165" fontId="7" fillId="0" borderId="0" xfId="0" applyNumberFormat="1" applyFont="1"/>
    <xf numFmtId="0" fontId="9" fillId="0" borderId="0" xfId="0" applyFont="1" applyAlignment="1">
      <alignment horizontal="center"/>
    </xf>
    <xf numFmtId="0" fontId="4" fillId="2" borderId="0" xfId="0" applyFont="1" applyFill="1"/>
    <xf numFmtId="164" fontId="4" fillId="2" borderId="0" xfId="1" applyNumberFormat="1" applyFont="1" applyFill="1" applyAlignment="1">
      <alignment horizontal="left"/>
    </xf>
    <xf numFmtId="8" fontId="4" fillId="2" borderId="0" xfId="0" applyNumberFormat="1" applyFont="1" applyFill="1" applyAlignment="1">
      <alignment horizontal="center"/>
    </xf>
    <xf numFmtId="49" fontId="4" fillId="2" borderId="0" xfId="0" applyNumberFormat="1" applyFont="1" applyFill="1" applyAlignment="1">
      <alignment horizontal="center"/>
    </xf>
    <xf numFmtId="0" fontId="13" fillId="2" borderId="0" xfId="0" applyFont="1" applyFill="1"/>
    <xf numFmtId="0" fontId="12" fillId="2" borderId="0" xfId="0" applyFont="1" applyFill="1"/>
    <xf numFmtId="0" fontId="4" fillId="2" borderId="0" xfId="0" applyFont="1" applyFill="1" applyAlignment="1">
      <alignment wrapText="1"/>
    </xf>
    <xf numFmtId="0" fontId="12" fillId="0" borderId="1" xfId="0" applyFont="1" applyBorder="1" applyAlignment="1">
      <alignment horizontal="center"/>
    </xf>
    <xf numFmtId="49" fontId="7" fillId="3" borderId="2" xfId="0" applyNumberFormat="1" applyFont="1" applyFill="1" applyBorder="1" applyAlignment="1">
      <alignment horizontal="center" vertical="center"/>
    </xf>
    <xf numFmtId="0" fontId="11" fillId="4" borderId="3" xfId="0" applyFont="1" applyFill="1" applyBorder="1" applyAlignment="1">
      <alignment horizontal="left" vertical="center" wrapText="1"/>
    </xf>
    <xf numFmtId="0" fontId="11" fillId="4" borderId="2" xfId="0" applyFont="1" applyFill="1" applyBorder="1" applyAlignment="1">
      <alignment horizontal="left" vertical="center" wrapText="1"/>
    </xf>
    <xf numFmtId="8" fontId="3" fillId="2" borderId="0" xfId="0" applyNumberFormat="1" applyFont="1" applyFill="1" applyAlignment="1">
      <alignment horizontal="center" wrapText="1"/>
    </xf>
    <xf numFmtId="8" fontId="7" fillId="2" borderId="0" xfId="0" applyNumberFormat="1" applyFont="1" applyFill="1" applyAlignment="1">
      <alignment horizontal="center"/>
    </xf>
    <xf numFmtId="0" fontId="10" fillId="0" borderId="1" xfId="0" applyFont="1" applyBorder="1" applyAlignment="1">
      <alignment horizontal="center" vertical="center" wrapText="1"/>
    </xf>
    <xf numFmtId="164" fontId="10" fillId="0" borderId="1" xfId="1" applyNumberFormat="1" applyFont="1" applyBorder="1" applyAlignment="1">
      <alignment horizontal="center" vertical="center" wrapText="1"/>
    </xf>
    <xf numFmtId="8" fontId="10" fillId="0" borderId="1" xfId="0" applyNumberFormat="1" applyFont="1" applyBorder="1" applyAlignment="1">
      <alignment horizontal="center" vertical="center" wrapText="1"/>
    </xf>
    <xf numFmtId="0" fontId="14" fillId="4" borderId="3" xfId="0" applyFont="1" applyFill="1" applyBorder="1" applyAlignment="1">
      <alignment horizontal="center" vertical="center" wrapText="1"/>
    </xf>
    <xf numFmtId="0" fontId="6" fillId="2" borderId="0" xfId="0" applyFont="1" applyFill="1"/>
    <xf numFmtId="164" fontId="6" fillId="2" borderId="0" xfId="1" applyNumberFormat="1" applyFont="1" applyFill="1" applyAlignment="1">
      <alignment horizontal="left"/>
    </xf>
    <xf numFmtId="49" fontId="10" fillId="0" borderId="4" xfId="0" applyNumberFormat="1" applyFont="1" applyBorder="1" applyAlignment="1">
      <alignment horizontal="center" vertical="center" wrapText="1"/>
    </xf>
    <xf numFmtId="0" fontId="2" fillId="4" borderId="2" xfId="0" applyFont="1" applyFill="1" applyBorder="1" applyAlignment="1">
      <alignment horizontal="left" vertical="center" wrapText="1"/>
    </xf>
    <xf numFmtId="0" fontId="0" fillId="4" borderId="0" xfId="0" applyFill="1"/>
    <xf numFmtId="0" fontId="17" fillId="4" borderId="0" xfId="0" applyFont="1" applyFill="1" applyAlignment="1">
      <alignment wrapText="1"/>
    </xf>
    <xf numFmtId="49" fontId="17" fillId="0" borderId="0" xfId="0" applyNumberFormat="1" applyFont="1" applyAlignment="1">
      <alignment horizontal="center"/>
    </xf>
    <xf numFmtId="0" fontId="17" fillId="4" borderId="0" xfId="0" applyFont="1" applyFill="1"/>
    <xf numFmtId="164" fontId="17" fillId="4" borderId="0" xfId="1" applyNumberFormat="1" applyFont="1" applyFill="1" applyAlignment="1">
      <alignment horizontal="left"/>
    </xf>
    <xf numFmtId="8" fontId="17" fillId="4" borderId="0" xfId="0" applyNumberFormat="1" applyFont="1" applyFill="1" applyAlignment="1">
      <alignment horizontal="center"/>
    </xf>
    <xf numFmtId="0" fontId="4" fillId="4" borderId="0" xfId="0" applyFont="1" applyFill="1"/>
    <xf numFmtId="0" fontId="18" fillId="0" borderId="1" xfId="0" applyFont="1" applyBorder="1" applyAlignment="1">
      <alignment horizontal="center" vertical="center" wrapText="1"/>
    </xf>
    <xf numFmtId="164" fontId="18" fillId="0" borderId="1" xfId="1" applyNumberFormat="1" applyFont="1" applyBorder="1" applyAlignment="1">
      <alignment horizontal="center" vertical="center" wrapText="1"/>
    </xf>
    <xf numFmtId="8" fontId="18" fillId="0" borderId="1" xfId="0" applyNumberFormat="1" applyFont="1" applyBorder="1" applyAlignment="1">
      <alignment horizontal="center" vertical="center" wrapText="1"/>
    </xf>
    <xf numFmtId="0" fontId="19" fillId="6" borderId="1" xfId="0" applyFont="1" applyFill="1" applyBorder="1" applyAlignment="1">
      <alignment horizontal="center" vertical="center" wrapText="1"/>
    </xf>
    <xf numFmtId="0" fontId="17" fillId="0" borderId="8" xfId="0" applyFont="1" applyBorder="1" applyAlignment="1">
      <alignment horizontal="center" vertical="center" wrapText="1"/>
    </xf>
    <xf numFmtId="0" fontId="20" fillId="0" borderId="8" xfId="0" applyFont="1" applyBorder="1" applyAlignment="1">
      <alignment horizontal="center" vertical="center" wrapText="1"/>
    </xf>
    <xf numFmtId="8" fontId="17" fillId="0" borderId="8" xfId="0" applyNumberFormat="1" applyFont="1" applyBorder="1" applyAlignment="1">
      <alignment horizontal="center" vertical="center"/>
    </xf>
    <xf numFmtId="0" fontId="21" fillId="0" borderId="8" xfId="0" applyFont="1" applyBorder="1" applyAlignment="1">
      <alignment horizontal="center" vertical="center" wrapText="1"/>
    </xf>
    <xf numFmtId="164" fontId="2" fillId="4" borderId="3" xfId="1" applyNumberFormat="1" applyFont="1" applyFill="1" applyBorder="1" applyAlignment="1">
      <alignment horizontal="center" vertical="center"/>
    </xf>
    <xf numFmtId="0" fontId="2" fillId="4" borderId="3" xfId="1" applyNumberFormat="1" applyFont="1" applyFill="1" applyBorder="1" applyAlignment="1">
      <alignment horizontal="center" vertical="center"/>
    </xf>
    <xf numFmtId="166" fontId="2" fillId="5" borderId="3" xfId="0" applyNumberFormat="1" applyFont="1" applyFill="1" applyBorder="1" applyAlignment="1">
      <alignment horizontal="center" vertical="center"/>
    </xf>
    <xf numFmtId="166" fontId="2" fillId="4" borderId="3" xfId="0" applyNumberFormat="1" applyFont="1" applyFill="1" applyBorder="1" applyAlignment="1">
      <alignment horizontal="center" vertical="center"/>
    </xf>
    <xf numFmtId="0" fontId="8" fillId="0" borderId="0" xfId="0" applyFont="1" applyAlignment="1">
      <alignment horizontal="center"/>
    </xf>
    <xf numFmtId="0" fontId="11" fillId="4" borderId="3" xfId="0" applyFont="1" applyFill="1" applyBorder="1" applyAlignment="1">
      <alignment horizontal="center" vertical="center" wrapText="1"/>
    </xf>
    <xf numFmtId="166" fontId="2" fillId="2" borderId="3" xfId="0" applyNumberFormat="1" applyFont="1" applyFill="1" applyBorder="1" applyAlignment="1">
      <alignment horizontal="center" vertical="center"/>
    </xf>
    <xf numFmtId="49" fontId="7" fillId="2" borderId="2" xfId="0" applyNumberFormat="1" applyFont="1" applyFill="1" applyBorder="1" applyAlignment="1">
      <alignment horizontal="center" vertical="center"/>
    </xf>
    <xf numFmtId="0" fontId="11" fillId="2" borderId="3" xfId="0" applyFont="1" applyFill="1" applyBorder="1" applyAlignment="1">
      <alignment horizontal="left" vertical="center" wrapText="1"/>
    </xf>
    <xf numFmtId="0" fontId="17" fillId="2" borderId="8" xfId="0" applyFont="1" applyFill="1" applyBorder="1" applyAlignment="1">
      <alignment horizontal="center" vertical="center" wrapText="1"/>
    </xf>
    <xf numFmtId="0" fontId="2" fillId="2" borderId="3" xfId="1" applyNumberFormat="1" applyFont="1" applyFill="1" applyBorder="1" applyAlignment="1">
      <alignment horizontal="center" vertical="center"/>
    </xf>
    <xf numFmtId="0" fontId="14" fillId="2" borderId="15" xfId="0" applyFont="1" applyFill="1" applyBorder="1" applyAlignment="1">
      <alignment horizontal="center" vertical="center" wrapText="1"/>
    </xf>
    <xf numFmtId="0" fontId="11" fillId="4" borderId="2" xfId="0" applyFont="1" applyFill="1" applyBorder="1" applyAlignment="1">
      <alignment horizontal="center" vertical="center" wrapText="1"/>
    </xf>
    <xf numFmtId="49" fontId="7" fillId="7" borderId="2" xfId="0" applyNumberFormat="1" applyFont="1" applyFill="1" applyBorder="1" applyAlignment="1">
      <alignment horizontal="center" vertical="center"/>
    </xf>
    <xf numFmtId="0" fontId="11" fillId="7" borderId="2" xfId="0" applyFont="1" applyFill="1" applyBorder="1" applyAlignment="1">
      <alignment horizontal="left" vertical="center" wrapText="1"/>
    </xf>
    <xf numFmtId="0" fontId="14" fillId="7" borderId="3" xfId="0" applyFont="1" applyFill="1" applyBorder="1" applyAlignment="1">
      <alignment horizontal="center" vertical="center" wrapText="1"/>
    </xf>
    <xf numFmtId="0" fontId="2" fillId="7" borderId="3" xfId="1" applyNumberFormat="1" applyFont="1" applyFill="1" applyBorder="1" applyAlignment="1">
      <alignment horizontal="center" vertical="center"/>
    </xf>
    <xf numFmtId="0" fontId="11" fillId="7" borderId="2" xfId="0" applyFont="1" applyFill="1" applyBorder="1" applyAlignment="1">
      <alignment horizontal="left" vertical="center"/>
    </xf>
    <xf numFmtId="0" fontId="7" fillId="7" borderId="2" xfId="0" applyFont="1" applyFill="1" applyBorder="1"/>
    <xf numFmtId="0" fontId="2" fillId="7" borderId="2" xfId="0" applyFont="1" applyFill="1" applyBorder="1" applyAlignment="1">
      <alignment horizontal="center" vertical="center"/>
    </xf>
    <xf numFmtId="0" fontId="11" fillId="2" borderId="18" xfId="0" applyFont="1" applyFill="1" applyBorder="1" applyAlignment="1">
      <alignment horizontal="center" vertical="center" wrapText="1"/>
    </xf>
    <xf numFmtId="0" fontId="7" fillId="2" borderId="0" xfId="0" applyFont="1" applyFill="1"/>
    <xf numFmtId="0" fontId="8" fillId="2" borderId="0" xfId="0" applyFont="1" applyFill="1" applyAlignment="1">
      <alignment horizontal="center"/>
    </xf>
    <xf numFmtId="0" fontId="11" fillId="2" borderId="15" xfId="0" applyFont="1" applyFill="1" applyBorder="1" applyAlignment="1">
      <alignment horizontal="center" vertical="center" wrapText="1"/>
    </xf>
    <xf numFmtId="168" fontId="13" fillId="2" borderId="0" xfId="0" applyNumberFormat="1" applyFont="1" applyFill="1"/>
    <xf numFmtId="168" fontId="12" fillId="2" borderId="0" xfId="0" applyNumberFormat="1" applyFont="1" applyFill="1"/>
    <xf numFmtId="168" fontId="4" fillId="2" borderId="0" xfId="0" applyNumberFormat="1" applyFont="1" applyFill="1"/>
    <xf numFmtId="168" fontId="4" fillId="2" borderId="0" xfId="1" applyNumberFormat="1" applyFont="1" applyFill="1" applyAlignment="1">
      <alignment horizontal="left"/>
    </xf>
    <xf numFmtId="168" fontId="10" fillId="0" borderId="1" xfId="0" applyNumberFormat="1" applyFont="1" applyBorder="1" applyAlignment="1">
      <alignment horizontal="center" vertical="center" wrapText="1"/>
    </xf>
    <xf numFmtId="168" fontId="10" fillId="0" borderId="1" xfId="1" applyNumberFormat="1" applyFont="1" applyBorder="1" applyAlignment="1">
      <alignment horizontal="center" vertical="center" wrapText="1"/>
    </xf>
    <xf numFmtId="168" fontId="14" fillId="4" borderId="3" xfId="0" applyNumberFormat="1" applyFont="1" applyFill="1" applyBorder="1" applyAlignment="1">
      <alignment horizontal="center" vertical="center" wrapText="1"/>
    </xf>
    <xf numFmtId="168" fontId="2" fillId="4" borderId="3" xfId="1" applyNumberFormat="1" applyFont="1" applyFill="1" applyBorder="1" applyAlignment="1">
      <alignment horizontal="center" vertical="center" wrapText="1"/>
    </xf>
    <xf numFmtId="168" fontId="14" fillId="2" borderId="3" xfId="0" applyNumberFormat="1" applyFont="1" applyFill="1" applyBorder="1" applyAlignment="1">
      <alignment horizontal="center" vertical="center" wrapText="1"/>
    </xf>
    <xf numFmtId="168" fontId="2" fillId="2" borderId="3" xfId="1" applyNumberFormat="1" applyFont="1" applyFill="1" applyBorder="1" applyAlignment="1">
      <alignment horizontal="center" vertical="center" wrapText="1"/>
    </xf>
    <xf numFmtId="168" fontId="2" fillId="4" borderId="3" xfId="1" applyNumberFormat="1" applyFont="1" applyFill="1" applyBorder="1" applyAlignment="1">
      <alignment horizontal="center" vertical="center"/>
    </xf>
    <xf numFmtId="168" fontId="2" fillId="2" borderId="3" xfId="1" applyNumberFormat="1" applyFont="1" applyFill="1" applyBorder="1" applyAlignment="1">
      <alignment horizontal="center" vertical="center"/>
    </xf>
    <xf numFmtId="168" fontId="14" fillId="7" borderId="3" xfId="0" applyNumberFormat="1" applyFont="1" applyFill="1" applyBorder="1" applyAlignment="1">
      <alignment horizontal="center" vertical="center" wrapText="1"/>
    </xf>
    <xf numFmtId="168" fontId="2" fillId="7" borderId="3" xfId="1" applyNumberFormat="1" applyFont="1" applyFill="1" applyBorder="1" applyAlignment="1">
      <alignment horizontal="center" vertical="center"/>
    </xf>
    <xf numFmtId="168" fontId="2" fillId="7" borderId="2" xfId="0" applyNumberFormat="1" applyFont="1" applyFill="1" applyBorder="1" applyAlignment="1">
      <alignment horizontal="center" vertical="center"/>
    </xf>
    <xf numFmtId="168" fontId="7" fillId="7" borderId="2" xfId="0" applyNumberFormat="1" applyFont="1" applyFill="1" applyBorder="1"/>
    <xf numFmtId="168" fontId="4" fillId="0" borderId="0" xfId="0" applyNumberFormat="1" applyFont="1"/>
    <xf numFmtId="168" fontId="4" fillId="0" borderId="0" xfId="1" applyNumberFormat="1" applyFont="1" applyAlignment="1">
      <alignment horizontal="left"/>
    </xf>
    <xf numFmtId="169" fontId="4" fillId="2" borderId="0" xfId="0" applyNumberFormat="1" applyFont="1" applyFill="1" applyAlignment="1">
      <alignment wrapText="1"/>
    </xf>
    <xf numFmtId="169" fontId="4" fillId="2" borderId="0" xfId="0" applyNumberFormat="1" applyFont="1" applyFill="1" applyAlignment="1">
      <alignment horizontal="center"/>
    </xf>
    <xf numFmtId="169" fontId="10" fillId="0" borderId="1" xfId="0" applyNumberFormat="1" applyFont="1" applyBorder="1" applyAlignment="1">
      <alignment horizontal="center" vertical="center" wrapText="1"/>
    </xf>
    <xf numFmtId="169" fontId="4" fillId="0" borderId="0" xfId="0" applyNumberFormat="1" applyFont="1" applyAlignment="1">
      <alignment horizontal="center"/>
    </xf>
    <xf numFmtId="0" fontId="17" fillId="0" borderId="14" xfId="0" applyFont="1" applyBorder="1" applyAlignment="1">
      <alignment horizontal="center" vertical="center" wrapText="1"/>
    </xf>
    <xf numFmtId="170" fontId="17" fillId="4" borderId="0" xfId="0" applyNumberFormat="1" applyFont="1" applyFill="1" applyAlignment="1">
      <alignment horizontal="center"/>
    </xf>
    <xf numFmtId="170" fontId="18" fillId="0" borderId="1" xfId="0" applyNumberFormat="1" applyFont="1" applyBorder="1" applyAlignment="1">
      <alignment horizontal="center" vertical="center" wrapText="1"/>
    </xf>
    <xf numFmtId="170" fontId="0" fillId="0" borderId="0" xfId="0" applyNumberFormat="1"/>
    <xf numFmtId="0" fontId="17" fillId="4" borderId="14" xfId="1" applyNumberFormat="1" applyFont="1" applyFill="1" applyBorder="1" applyAlignment="1">
      <alignment horizontal="center" vertical="center"/>
    </xf>
    <xf numFmtId="8" fontId="17" fillId="0" borderId="17" xfId="0" applyNumberFormat="1" applyFont="1" applyBorder="1" applyAlignment="1">
      <alignment horizontal="center" vertical="center"/>
    </xf>
    <xf numFmtId="49" fontId="18" fillId="8" borderId="1" xfId="0" applyNumberFormat="1" applyFont="1" applyFill="1" applyBorder="1" applyAlignment="1">
      <alignment horizontal="center" vertical="center" wrapText="1"/>
    </xf>
    <xf numFmtId="49" fontId="17" fillId="8" borderId="7" xfId="0" applyNumberFormat="1" applyFont="1" applyFill="1" applyBorder="1" applyAlignment="1">
      <alignment horizontal="center" vertical="center"/>
    </xf>
    <xf numFmtId="49" fontId="7" fillId="8" borderId="2" xfId="0" applyNumberFormat="1" applyFont="1" applyFill="1" applyBorder="1" applyAlignment="1">
      <alignment horizontal="center" vertical="center"/>
    </xf>
    <xf numFmtId="0" fontId="16" fillId="8" borderId="7" xfId="0" applyFont="1" applyFill="1" applyBorder="1"/>
    <xf numFmtId="167" fontId="16" fillId="8" borderId="8" xfId="0" applyNumberFormat="1" applyFont="1" applyFill="1" applyBorder="1"/>
    <xf numFmtId="167" fontId="16" fillId="8" borderId="9" xfId="0" applyNumberFormat="1" applyFont="1" applyFill="1" applyBorder="1"/>
    <xf numFmtId="0" fontId="11" fillId="4" borderId="0" xfId="0" applyFont="1" applyFill="1" applyAlignment="1">
      <alignment horizontal="center" vertical="center" wrapText="1"/>
    </xf>
    <xf numFmtId="0" fontId="14" fillId="4" borderId="0" xfId="0" applyFont="1" applyFill="1" applyAlignment="1">
      <alignment horizontal="center" vertical="center" wrapText="1"/>
    </xf>
    <xf numFmtId="0" fontId="2" fillId="4" borderId="0" xfId="1" applyNumberFormat="1" applyFont="1" applyFill="1" applyBorder="1" applyAlignment="1">
      <alignment horizontal="center" vertical="center"/>
    </xf>
    <xf numFmtId="0" fontId="27" fillId="5" borderId="12" xfId="0" applyFont="1" applyFill="1" applyBorder="1"/>
    <xf numFmtId="0" fontId="28" fillId="5" borderId="24" xfId="0" applyFont="1" applyFill="1" applyBorder="1"/>
    <xf numFmtId="168" fontId="28" fillId="5" borderId="24" xfId="0" applyNumberFormat="1" applyFont="1" applyFill="1" applyBorder="1"/>
    <xf numFmtId="168" fontId="28" fillId="5" borderId="13" xfId="1" applyNumberFormat="1" applyFont="1" applyFill="1" applyBorder="1" applyAlignment="1">
      <alignment horizontal="left"/>
    </xf>
    <xf numFmtId="0" fontId="11" fillId="4" borderId="14" xfId="0" applyFont="1" applyFill="1" applyBorder="1" applyAlignment="1">
      <alignment horizontal="center" vertical="center" wrapText="1"/>
    </xf>
    <xf numFmtId="0" fontId="11" fillId="4" borderId="23" xfId="0" applyFont="1" applyFill="1" applyBorder="1" applyAlignment="1">
      <alignment horizontal="center" vertical="top" wrapText="1"/>
    </xf>
    <xf numFmtId="164" fontId="17" fillId="0" borderId="0" xfId="1" applyNumberFormat="1" applyFont="1" applyAlignment="1">
      <alignment horizontal="left"/>
    </xf>
    <xf numFmtId="169" fontId="17" fillId="0" borderId="0" xfId="0" applyNumberFormat="1" applyFont="1" applyAlignment="1">
      <alignment horizontal="center"/>
    </xf>
    <xf numFmtId="8" fontId="17" fillId="0" borderId="0" xfId="0" applyNumberFormat="1" applyFont="1" applyAlignment="1">
      <alignment horizontal="center"/>
    </xf>
    <xf numFmtId="0" fontId="2" fillId="4" borderId="15" xfId="1" applyNumberFormat="1" applyFont="1" applyFill="1" applyBorder="1" applyAlignment="1">
      <alignment horizontal="center" vertical="center"/>
    </xf>
    <xf numFmtId="166" fontId="2" fillId="4" borderId="15" xfId="0" applyNumberFormat="1" applyFont="1" applyFill="1" applyBorder="1" applyAlignment="1">
      <alignment horizontal="center" vertical="center"/>
    </xf>
    <xf numFmtId="169" fontId="17" fillId="8" borderId="8" xfId="0" applyNumberFormat="1" applyFont="1" applyFill="1" applyBorder="1" applyAlignment="1">
      <alignment horizontal="center"/>
    </xf>
    <xf numFmtId="8" fontId="17" fillId="8" borderId="9" xfId="0" applyNumberFormat="1" applyFont="1" applyFill="1" applyBorder="1" applyAlignment="1">
      <alignment horizontal="center"/>
    </xf>
    <xf numFmtId="44" fontId="17" fillId="8" borderId="8" xfId="4" applyFont="1" applyFill="1" applyBorder="1" applyAlignment="1">
      <alignment horizontal="center"/>
    </xf>
    <xf numFmtId="164" fontId="2" fillId="4" borderId="0" xfId="1" applyNumberFormat="1" applyFont="1" applyFill="1" applyBorder="1" applyAlignment="1">
      <alignment horizontal="center" vertical="center"/>
    </xf>
    <xf numFmtId="166" fontId="2" fillId="5" borderId="0" xfId="0" applyNumberFormat="1" applyFont="1" applyFill="1" applyAlignment="1">
      <alignment horizontal="center" vertical="center"/>
    </xf>
    <xf numFmtId="0" fontId="14" fillId="4" borderId="2" xfId="0" applyFont="1" applyFill="1" applyBorder="1" applyAlignment="1">
      <alignment horizontal="center" vertical="center" wrapText="1"/>
    </xf>
    <xf numFmtId="164" fontId="2" fillId="4" borderId="2" xfId="1" applyNumberFormat="1" applyFont="1" applyFill="1" applyBorder="1" applyAlignment="1">
      <alignment horizontal="center" vertical="center"/>
    </xf>
    <xf numFmtId="0" fontId="2" fillId="4" borderId="2" xfId="1" applyNumberFormat="1" applyFont="1" applyFill="1" applyBorder="1" applyAlignment="1">
      <alignment horizontal="center" vertical="center"/>
    </xf>
    <xf numFmtId="166" fontId="2" fillId="5" borderId="26" xfId="0" applyNumberFormat="1" applyFont="1" applyFill="1" applyBorder="1" applyAlignment="1">
      <alignment horizontal="center" vertical="center"/>
    </xf>
    <xf numFmtId="166" fontId="2" fillId="5" borderId="27" xfId="0" applyNumberFormat="1" applyFont="1" applyFill="1" applyBorder="1" applyAlignment="1">
      <alignment horizontal="center" vertical="center"/>
    </xf>
    <xf numFmtId="8" fontId="2" fillId="0" borderId="28" xfId="0" applyNumberFormat="1" applyFont="1" applyBorder="1" applyAlignment="1">
      <alignment horizontal="center" vertical="center"/>
    </xf>
    <xf numFmtId="0" fontId="11" fillId="8" borderId="7" xfId="0" applyFont="1" applyFill="1" applyBorder="1" applyAlignment="1">
      <alignment horizontal="right"/>
    </xf>
    <xf numFmtId="0" fontId="8" fillId="8" borderId="8" xfId="0" applyFont="1" applyFill="1" applyBorder="1" applyAlignment="1">
      <alignment horizontal="right"/>
    </xf>
    <xf numFmtId="164" fontId="8" fillId="8" borderId="8" xfId="1" applyNumberFormat="1" applyFont="1" applyFill="1" applyBorder="1" applyAlignment="1">
      <alignment horizontal="right"/>
    </xf>
    <xf numFmtId="8" fontId="8" fillId="8" borderId="8" xfId="0" applyNumberFormat="1" applyFont="1" applyFill="1" applyBorder="1" applyAlignment="1">
      <alignment horizontal="right"/>
    </xf>
    <xf numFmtId="171" fontId="17" fillId="5" borderId="8" xfId="4" applyNumberFormat="1" applyFont="1" applyFill="1" applyBorder="1" applyAlignment="1">
      <alignment horizontal="center" vertical="center"/>
    </xf>
    <xf numFmtId="171" fontId="17" fillId="0" borderId="8" xfId="4" applyNumberFormat="1" applyFont="1" applyBorder="1" applyAlignment="1">
      <alignment horizontal="center" vertical="center"/>
    </xf>
    <xf numFmtId="171" fontId="17" fillId="5" borderId="17" xfId="0" applyNumberFormat="1" applyFont="1" applyFill="1" applyBorder="1" applyAlignment="1">
      <alignment horizontal="center" vertical="center"/>
    </xf>
    <xf numFmtId="170" fontId="30" fillId="0" borderId="19" xfId="0" applyNumberFormat="1" applyFont="1" applyBorder="1" applyAlignment="1">
      <alignment horizontal="center" vertical="center"/>
    </xf>
    <xf numFmtId="170" fontId="30" fillId="0" borderId="9" xfId="0" applyNumberFormat="1" applyFont="1" applyBorder="1" applyAlignment="1">
      <alignment horizontal="center" vertical="center"/>
    </xf>
    <xf numFmtId="8" fontId="10" fillId="8" borderId="20" xfId="0" applyNumberFormat="1" applyFont="1" applyFill="1" applyBorder="1" applyAlignment="1">
      <alignment horizontal="center" vertical="center" wrapText="1"/>
    </xf>
    <xf numFmtId="164" fontId="16" fillId="8" borderId="5" xfId="1" applyNumberFormat="1" applyFont="1" applyFill="1" applyBorder="1" applyAlignment="1">
      <alignment horizontal="center" vertical="center"/>
    </xf>
    <xf numFmtId="0" fontId="16" fillId="8" borderId="2" xfId="0" applyFont="1" applyFill="1" applyBorder="1"/>
    <xf numFmtId="171" fontId="8" fillId="0" borderId="2" xfId="0" applyNumberFormat="1" applyFont="1" applyBorder="1" applyAlignment="1">
      <alignment horizontal="center"/>
    </xf>
    <xf numFmtId="8" fontId="10" fillId="8" borderId="1" xfId="0" applyNumberFormat="1" applyFont="1" applyFill="1" applyBorder="1" applyAlignment="1">
      <alignment horizontal="center" vertical="center" wrapText="1"/>
    </xf>
    <xf numFmtId="171" fontId="2" fillId="5" borderId="3" xfId="0" applyNumberFormat="1" applyFont="1" applyFill="1" applyBorder="1" applyAlignment="1">
      <alignment horizontal="center" vertical="center"/>
    </xf>
    <xf numFmtId="171" fontId="2" fillId="2" borderId="3" xfId="0" applyNumberFormat="1" applyFont="1" applyFill="1" applyBorder="1" applyAlignment="1">
      <alignment horizontal="center" vertical="center"/>
    </xf>
    <xf numFmtId="171" fontId="2" fillId="7" borderId="3" xfId="4" applyNumberFormat="1" applyFont="1" applyFill="1" applyBorder="1" applyAlignment="1">
      <alignment horizontal="center" vertical="center"/>
    </xf>
    <xf numFmtId="171" fontId="7" fillId="7" borderId="2" xfId="4" applyNumberFormat="1" applyFont="1" applyFill="1" applyBorder="1"/>
    <xf numFmtId="171" fontId="4" fillId="2" borderId="0" xfId="0" applyNumberFormat="1" applyFont="1" applyFill="1" applyAlignment="1">
      <alignment horizontal="center"/>
    </xf>
    <xf numFmtId="171" fontId="2" fillId="5" borderId="23" xfId="0" applyNumberFormat="1" applyFont="1" applyFill="1" applyBorder="1" applyAlignment="1">
      <alignment horizontal="center" vertical="center"/>
    </xf>
    <xf numFmtId="171" fontId="2" fillId="5" borderId="15" xfId="0" applyNumberFormat="1" applyFont="1" applyFill="1" applyBorder="1" applyAlignment="1">
      <alignment horizontal="center" vertical="center"/>
    </xf>
    <xf numFmtId="168" fontId="14" fillId="4" borderId="23" xfId="0" applyNumberFormat="1" applyFont="1" applyFill="1" applyBorder="1" applyAlignment="1">
      <alignment horizontal="center" vertical="center" wrapText="1"/>
    </xf>
    <xf numFmtId="168" fontId="2" fillId="4" borderId="23" xfId="1" applyNumberFormat="1" applyFont="1" applyFill="1" applyBorder="1" applyAlignment="1">
      <alignment horizontal="center" vertical="center" wrapText="1"/>
    </xf>
    <xf numFmtId="0" fontId="23" fillId="0" borderId="8" xfId="0" applyFont="1" applyBorder="1" applyAlignment="1">
      <alignment horizontal="left" vertical="top" wrapText="1"/>
    </xf>
    <xf numFmtId="8" fontId="2" fillId="2" borderId="1" xfId="0" applyNumberFormat="1" applyFont="1" applyFill="1" applyBorder="1" applyAlignment="1">
      <alignment horizontal="center" vertical="center"/>
    </xf>
    <xf numFmtId="166" fontId="2" fillId="2" borderId="1" xfId="0" applyNumberFormat="1" applyFont="1" applyFill="1" applyBorder="1" applyAlignment="1">
      <alignment horizontal="center" vertical="center"/>
    </xf>
    <xf numFmtId="171" fontId="2" fillId="4" borderId="2" xfId="0" applyNumberFormat="1" applyFont="1" applyFill="1" applyBorder="1" applyAlignment="1">
      <alignment horizontal="center" vertical="center"/>
    </xf>
    <xf numFmtId="171" fontId="2" fillId="0" borderId="28" xfId="0" applyNumberFormat="1" applyFont="1" applyBorder="1" applyAlignment="1">
      <alignment horizontal="center" vertical="center"/>
    </xf>
    <xf numFmtId="0" fontId="17" fillId="5" borderId="8" xfId="0" applyFont="1" applyFill="1" applyBorder="1" applyAlignment="1">
      <alignment horizontal="center" vertical="center" wrapText="1"/>
    </xf>
    <xf numFmtId="0" fontId="32" fillId="4" borderId="3" xfId="0" applyFont="1" applyFill="1" applyBorder="1" applyAlignment="1">
      <alignment horizontal="center" vertical="center" wrapText="1"/>
    </xf>
    <xf numFmtId="0" fontId="2" fillId="4" borderId="3"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7" borderId="3" xfId="0" applyFont="1" applyFill="1" applyBorder="1" applyAlignment="1">
      <alignment horizontal="center" vertical="center" wrapText="1"/>
    </xf>
    <xf numFmtId="0" fontId="2" fillId="4" borderId="2" xfId="0" applyFont="1" applyFill="1" applyBorder="1" applyAlignment="1">
      <alignment horizontal="center" vertical="center" wrapText="1"/>
    </xf>
    <xf numFmtId="0" fontId="7" fillId="10" borderId="2" xfId="0" applyFont="1" applyFill="1" applyBorder="1" applyAlignment="1">
      <alignment horizontal="center" vertical="center"/>
    </xf>
    <xf numFmtId="0" fontId="11" fillId="0" borderId="30" xfId="0" applyFont="1" applyBorder="1" applyAlignment="1">
      <alignment horizontal="center" vertical="center" wrapText="1"/>
    </xf>
    <xf numFmtId="0" fontId="8" fillId="0" borderId="3" xfId="0" applyFont="1" applyBorder="1" applyAlignment="1">
      <alignment horizontal="center" vertical="center" wrapText="1"/>
    </xf>
    <xf numFmtId="0" fontId="8" fillId="0" borderId="29" xfId="0" applyFont="1" applyBorder="1" applyAlignment="1">
      <alignment horizontal="center" vertical="center" wrapText="1"/>
    </xf>
    <xf numFmtId="0" fontId="7" fillId="0" borderId="29" xfId="0" applyFont="1" applyBorder="1" applyAlignment="1">
      <alignment horizontal="center" vertical="center" wrapText="1"/>
    </xf>
    <xf numFmtId="0" fontId="20" fillId="2" borderId="8" xfId="0" applyFont="1" applyFill="1" applyBorder="1" applyAlignment="1">
      <alignment horizontal="center" vertical="center" wrapText="1"/>
    </xf>
    <xf numFmtId="0" fontId="12" fillId="0" borderId="5" xfId="0" applyFont="1" applyBorder="1" applyAlignment="1">
      <alignment horizontal="center" vertical="center"/>
    </xf>
    <xf numFmtId="0" fontId="12" fillId="0" borderId="6" xfId="0" applyFont="1" applyBorder="1" applyAlignment="1">
      <alignment horizontal="center" vertical="center"/>
    </xf>
    <xf numFmtId="0" fontId="12" fillId="0" borderId="24" xfId="0" applyFont="1" applyBorder="1" applyAlignment="1">
      <alignment horizontal="center"/>
    </xf>
    <xf numFmtId="0" fontId="12" fillId="0" borderId="13" xfId="0" applyFont="1" applyBorder="1" applyAlignment="1">
      <alignment horizontal="center"/>
    </xf>
    <xf numFmtId="171" fontId="11" fillId="8" borderId="19" xfId="4" applyNumberFormat="1" applyFont="1" applyFill="1" applyBorder="1" applyAlignment="1">
      <alignment horizontal="center"/>
    </xf>
    <xf numFmtId="171" fontId="11" fillId="8" borderId="6" xfId="4" applyNumberFormat="1" applyFont="1" applyFill="1" applyBorder="1" applyAlignment="1">
      <alignment horizontal="center"/>
    </xf>
    <xf numFmtId="165" fontId="7" fillId="0" borderId="0" xfId="0" applyNumberFormat="1" applyFont="1" applyAlignment="1">
      <alignment horizontal="center"/>
    </xf>
    <xf numFmtId="0" fontId="7" fillId="0" borderId="0" xfId="0" applyFont="1" applyAlignment="1">
      <alignment horizontal="center"/>
    </xf>
    <xf numFmtId="164" fontId="16" fillId="8" borderId="7" xfId="1" applyNumberFormat="1" applyFont="1" applyFill="1" applyBorder="1" applyAlignment="1">
      <alignment horizontal="center"/>
    </xf>
    <xf numFmtId="164" fontId="16" fillId="8" borderId="8" xfId="1" applyNumberFormat="1" applyFont="1" applyFill="1" applyBorder="1" applyAlignment="1">
      <alignment horizontal="center"/>
    </xf>
    <xf numFmtId="168" fontId="29" fillId="5" borderId="5" xfId="1" applyNumberFormat="1" applyFont="1" applyFill="1" applyBorder="1" applyAlignment="1">
      <alignment horizontal="center"/>
    </xf>
    <xf numFmtId="168" fontId="29" fillId="5" borderId="16" xfId="1" applyNumberFormat="1" applyFont="1" applyFill="1" applyBorder="1" applyAlignment="1">
      <alignment horizontal="center"/>
    </xf>
    <xf numFmtId="168" fontId="29" fillId="5" borderId="6" xfId="1" applyNumberFormat="1" applyFont="1" applyFill="1" applyBorder="1" applyAlignment="1">
      <alignment horizontal="center"/>
    </xf>
    <xf numFmtId="0" fontId="8" fillId="0" borderId="0" xfId="0" applyFont="1" applyAlignment="1">
      <alignment horizontal="center"/>
    </xf>
    <xf numFmtId="0" fontId="11" fillId="4" borderId="18" xfId="0" applyFont="1" applyFill="1" applyBorder="1" applyAlignment="1">
      <alignment horizontal="center" vertical="center" wrapText="1"/>
    </xf>
    <xf numFmtId="0" fontId="11" fillId="4" borderId="15" xfId="0" applyFont="1" applyFill="1" applyBorder="1" applyAlignment="1">
      <alignment horizontal="center" vertical="center" wrapText="1"/>
    </xf>
    <xf numFmtId="0" fontId="11" fillId="4" borderId="3" xfId="0" applyFont="1" applyFill="1" applyBorder="1" applyAlignment="1">
      <alignment horizontal="center" vertical="center" wrapText="1"/>
    </xf>
    <xf numFmtId="0" fontId="2" fillId="4" borderId="18" xfId="0" applyFont="1" applyFill="1" applyBorder="1" applyAlignment="1">
      <alignment horizontal="center" vertical="center" wrapText="1"/>
    </xf>
    <xf numFmtId="0" fontId="2" fillId="4" borderId="15" xfId="0" applyFont="1" applyFill="1" applyBorder="1" applyAlignment="1">
      <alignment horizontal="center" vertical="center" wrapText="1"/>
    </xf>
    <xf numFmtId="0" fontId="2" fillId="4" borderId="3" xfId="0" applyFont="1" applyFill="1" applyBorder="1" applyAlignment="1">
      <alignment horizontal="center" vertical="center" wrapText="1"/>
    </xf>
    <xf numFmtId="0" fontId="17" fillId="0" borderId="17" xfId="0" applyFont="1" applyBorder="1" applyAlignment="1">
      <alignment horizontal="center" vertical="center" wrapText="1"/>
    </xf>
    <xf numFmtId="0" fontId="17" fillId="0" borderId="15" xfId="0" applyFont="1" applyBorder="1" applyAlignment="1">
      <alignment horizontal="center" vertical="center" wrapText="1"/>
    </xf>
    <xf numFmtId="0" fontId="17" fillId="0" borderId="14" xfId="0" applyFont="1" applyBorder="1" applyAlignment="1">
      <alignment horizontal="center" vertical="center" wrapText="1"/>
    </xf>
    <xf numFmtId="49" fontId="7" fillId="9" borderId="25" xfId="0" applyNumberFormat="1" applyFont="1" applyFill="1" applyBorder="1" applyAlignment="1">
      <alignment horizontal="center" vertical="center"/>
    </xf>
    <xf numFmtId="49" fontId="7" fillId="9" borderId="21" xfId="0" applyNumberFormat="1" applyFont="1" applyFill="1" applyBorder="1" applyAlignment="1">
      <alignment horizontal="center" vertical="center"/>
    </xf>
    <xf numFmtId="49" fontId="7" fillId="9" borderId="22" xfId="0" applyNumberFormat="1" applyFont="1" applyFill="1" applyBorder="1" applyAlignment="1">
      <alignment horizontal="center" vertical="center"/>
    </xf>
    <xf numFmtId="0" fontId="11" fillId="4" borderId="17" xfId="0" applyFont="1" applyFill="1" applyBorder="1" applyAlignment="1">
      <alignment horizontal="center" vertical="center" wrapText="1"/>
    </xf>
    <xf numFmtId="0" fontId="2" fillId="4" borderId="17" xfId="0" applyFont="1" applyFill="1" applyBorder="1" applyAlignment="1">
      <alignment horizontal="center" vertical="center" wrapText="1"/>
    </xf>
    <xf numFmtId="0" fontId="15" fillId="0" borderId="7" xfId="0" applyFont="1" applyBorder="1"/>
    <xf numFmtId="0" fontId="0" fillId="0" borderId="8" xfId="0" applyBorder="1"/>
    <xf numFmtId="0" fontId="0" fillId="0" borderId="9" xfId="0" applyBorder="1"/>
    <xf numFmtId="0" fontId="16" fillId="4" borderId="7" xfId="0" applyFont="1" applyFill="1" applyBorder="1" applyAlignment="1">
      <alignment horizontal="center"/>
    </xf>
    <xf numFmtId="0" fontId="2" fillId="0" borderId="8" xfId="0" applyFont="1" applyBorder="1" applyAlignment="1">
      <alignment horizontal="center"/>
    </xf>
    <xf numFmtId="0" fontId="2" fillId="0" borderId="19" xfId="0" applyFont="1" applyBorder="1" applyAlignment="1">
      <alignment horizontal="center"/>
    </xf>
    <xf numFmtId="0" fontId="2" fillId="0" borderId="9" xfId="0" applyFont="1" applyBorder="1"/>
    <xf numFmtId="0" fontId="7" fillId="6" borderId="10" xfId="0" applyFont="1" applyFill="1" applyBorder="1" applyAlignment="1">
      <alignment horizontal="center" wrapText="1"/>
    </xf>
    <xf numFmtId="0" fontId="7" fillId="6" borderId="11" xfId="0" applyFont="1" applyFill="1" applyBorder="1" applyAlignment="1">
      <alignment horizontal="center" wrapText="1"/>
    </xf>
    <xf numFmtId="0" fontId="7" fillId="6" borderId="12" xfId="0" applyFont="1" applyFill="1" applyBorder="1" applyAlignment="1">
      <alignment horizontal="center" wrapText="1"/>
    </xf>
    <xf numFmtId="0" fontId="7" fillId="6" borderId="13" xfId="0" applyFont="1" applyFill="1" applyBorder="1" applyAlignment="1">
      <alignment horizontal="center" wrapText="1"/>
    </xf>
    <xf numFmtId="0" fontId="32" fillId="5" borderId="18" xfId="0" applyFont="1" applyFill="1" applyBorder="1" applyAlignment="1">
      <alignment horizontal="center" vertical="center" wrapText="1"/>
    </xf>
    <xf numFmtId="0" fontId="32" fillId="5" borderId="15" xfId="0" applyFont="1" applyFill="1" applyBorder="1" applyAlignment="1">
      <alignment horizontal="center" vertical="center" wrapText="1"/>
    </xf>
    <xf numFmtId="0" fontId="32" fillId="5" borderId="3" xfId="0" applyFont="1" applyFill="1" applyBorder="1" applyAlignment="1">
      <alignment horizontal="center" vertical="center" wrapText="1"/>
    </xf>
  </cellXfs>
  <cellStyles count="6">
    <cellStyle name="Comma" xfId="1" builtinId="3"/>
    <cellStyle name="Comma 2" xfId="2" xr:uid="{CF4D512C-374F-4474-9A19-F9B43821C64C}"/>
    <cellStyle name="Currency" xfId="4" builtinId="4"/>
    <cellStyle name="Normal" xfId="0" builtinId="0"/>
    <cellStyle name="Normal 2" xfId="3" xr:uid="{BDBBC6CE-8263-47A5-8082-3532DC7D3EB0}"/>
    <cellStyle name="Normal 3" xfId="5" xr:uid="{085D0EA7-260B-40DF-8E68-03DF4A9D64E4}"/>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9EA14-5F68-4C82-ADB2-F50CB9206702}">
  <dimension ref="A1:I10"/>
  <sheetViews>
    <sheetView workbookViewId="0">
      <selection activeCell="T9" sqref="T9"/>
    </sheetView>
  </sheetViews>
  <sheetFormatPr defaultRowHeight="12.75" x14ac:dyDescent="0.2"/>
  <cols>
    <col min="1" max="1" width="14.7109375" customWidth="1"/>
    <col min="2" max="2" width="52" customWidth="1"/>
    <col min="3" max="3" width="12.28515625" hidden="1" customWidth="1"/>
    <col min="4" max="4" width="9.5703125" hidden="1" customWidth="1"/>
    <col min="5" max="5" width="8.28515625" hidden="1" customWidth="1"/>
    <col min="6" max="6" width="9.42578125" hidden="1" customWidth="1"/>
    <col min="7" max="7" width="11" hidden="1" customWidth="1"/>
    <col min="8" max="8" width="16" customWidth="1"/>
  </cols>
  <sheetData>
    <row r="1" spans="1:9" ht="16.5" thickBot="1" x14ac:dyDescent="0.3">
      <c r="A1" s="171" t="s">
        <v>0</v>
      </c>
      <c r="B1" s="172"/>
      <c r="C1" s="14"/>
      <c r="D1" s="14"/>
      <c r="E1" s="15"/>
      <c r="F1" s="15"/>
      <c r="G1" s="16"/>
      <c r="H1" s="16"/>
      <c r="I1" s="16"/>
    </row>
    <row r="2" spans="1:9" ht="16.5" thickBot="1" x14ac:dyDescent="0.3">
      <c r="A2" s="169"/>
      <c r="B2" s="170"/>
      <c r="C2" s="14"/>
      <c r="D2" s="14"/>
      <c r="E2" s="15"/>
      <c r="F2" s="15"/>
      <c r="G2" s="16"/>
      <c r="H2" s="16"/>
      <c r="I2" s="16"/>
    </row>
    <row r="3" spans="1:9" ht="13.5" thickBot="1" x14ac:dyDescent="0.25">
      <c r="A3" s="13"/>
      <c r="B3" s="10"/>
      <c r="C3" s="10"/>
      <c r="D3" s="10"/>
      <c r="E3" s="11"/>
      <c r="F3" s="11"/>
      <c r="G3" s="12"/>
      <c r="H3" s="12"/>
      <c r="I3" s="12"/>
    </row>
    <row r="4" spans="1:9" ht="39" thickBot="1" x14ac:dyDescent="0.3">
      <c r="A4" s="29" t="s">
        <v>1</v>
      </c>
      <c r="B4" s="23" t="s">
        <v>28</v>
      </c>
      <c r="C4" s="23" t="s">
        <v>3</v>
      </c>
      <c r="D4" s="23" t="s">
        <v>4</v>
      </c>
      <c r="E4" s="24" t="s">
        <v>5</v>
      </c>
      <c r="F4" s="24" t="s">
        <v>6</v>
      </c>
      <c r="G4" s="25" t="s">
        <v>7</v>
      </c>
      <c r="H4" s="138" t="s">
        <v>8</v>
      </c>
      <c r="I4" s="21"/>
    </row>
    <row r="5" spans="1:9" ht="24" customHeight="1" x14ac:dyDescent="0.2">
      <c r="A5" s="18" t="s">
        <v>9</v>
      </c>
      <c r="B5" s="51" t="s">
        <v>62</v>
      </c>
      <c r="C5" s="26"/>
      <c r="D5" s="26">
        <v>0</v>
      </c>
      <c r="E5" s="46"/>
      <c r="F5" s="47">
        <v>0</v>
      </c>
      <c r="G5" s="126"/>
      <c r="H5" s="155">
        <f>DBA!H5</f>
        <v>0</v>
      </c>
      <c r="I5" s="22"/>
    </row>
    <row r="6" spans="1:9" ht="22.15" customHeight="1" x14ac:dyDescent="0.2">
      <c r="A6" s="18" t="s">
        <v>64</v>
      </c>
      <c r="B6" s="58" t="s">
        <v>63</v>
      </c>
      <c r="C6" s="123"/>
      <c r="D6" s="123"/>
      <c r="E6" s="124"/>
      <c r="F6" s="125"/>
      <c r="G6" s="127"/>
      <c r="H6" s="155">
        <f>BLS!I70</f>
        <v>0</v>
      </c>
      <c r="I6" s="22"/>
    </row>
    <row r="7" spans="1:9" ht="22.9" customHeight="1" x14ac:dyDescent="0.2">
      <c r="A7" s="18" t="s">
        <v>65</v>
      </c>
      <c r="B7" s="58" t="s">
        <v>71</v>
      </c>
      <c r="C7" s="123"/>
      <c r="D7" s="123"/>
      <c r="E7" s="124"/>
      <c r="F7" s="125"/>
      <c r="G7" s="127"/>
      <c r="H7" s="155">
        <f>'12 PAX Van'!J6</f>
        <v>0</v>
      </c>
      <c r="I7" s="22"/>
    </row>
    <row r="8" spans="1:9" ht="25.5" x14ac:dyDescent="0.2">
      <c r="A8" s="18" t="s">
        <v>69</v>
      </c>
      <c r="B8" s="104" t="s">
        <v>66</v>
      </c>
      <c r="C8" s="105"/>
      <c r="D8" s="105"/>
      <c r="E8" s="121"/>
      <c r="F8" s="106"/>
      <c r="G8" s="122"/>
      <c r="H8" s="155">
        <f>BLS!L67</f>
        <v>0</v>
      </c>
      <c r="I8" s="22"/>
    </row>
    <row r="9" spans="1:9" ht="13.5" thickBot="1" x14ac:dyDescent="0.25">
      <c r="A9" s="13"/>
      <c r="B9" s="10"/>
      <c r="C9" s="27"/>
      <c r="D9" s="27"/>
      <c r="E9" s="28"/>
      <c r="F9" s="28"/>
      <c r="G9" s="128" t="s">
        <v>8</v>
      </c>
      <c r="H9" s="156">
        <f>SUM(H5:H8)</f>
        <v>0</v>
      </c>
      <c r="I9" s="12"/>
    </row>
    <row r="10" spans="1:9" ht="13.5" thickBot="1" x14ac:dyDescent="0.25">
      <c r="A10" s="13"/>
      <c r="B10" s="129" t="s">
        <v>67</v>
      </c>
      <c r="C10" s="130"/>
      <c r="D10" s="130"/>
      <c r="E10" s="131"/>
      <c r="F10" s="131"/>
      <c r="G10" s="132"/>
      <c r="H10" s="173">
        <f>SUM(H5:H7)</f>
        <v>0</v>
      </c>
      <c r="I10" s="174"/>
    </row>
  </sheetData>
  <mergeCells count="3">
    <mergeCell ref="A2:B2"/>
    <mergeCell ref="A1:B1"/>
    <mergeCell ref="H10:I10"/>
  </mergeCells>
  <phoneticPr fontId="7"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4BBB91-6B0F-48DF-AC7F-0A50E8AA8CA8}">
  <dimension ref="A1:L7"/>
  <sheetViews>
    <sheetView showWhiteSpace="0" zoomScale="90" zoomScaleNormal="90" zoomScalePageLayoutView="120" workbookViewId="0">
      <selection activeCell="H5" sqref="H5"/>
    </sheetView>
  </sheetViews>
  <sheetFormatPr defaultColWidth="9.140625" defaultRowHeight="11.25" x14ac:dyDescent="0.2"/>
  <cols>
    <col min="1" max="1" width="6.7109375" style="3" bestFit="1" customWidth="1"/>
    <col min="2" max="2" width="67" style="1" customWidth="1"/>
    <col min="3" max="4" width="12.7109375" style="1" hidden="1" customWidth="1"/>
    <col min="5" max="5" width="20.42578125" style="4" hidden="1" customWidth="1"/>
    <col min="6" max="6" width="12.140625" style="4" hidden="1" customWidth="1"/>
    <col min="7" max="7" width="20.140625" style="2" hidden="1" customWidth="1"/>
    <col min="8" max="8" width="15.85546875" style="2" customWidth="1"/>
    <col min="9" max="9" width="2" style="2" customWidth="1"/>
    <col min="10" max="10" width="21.85546875" style="1" customWidth="1"/>
    <col min="11" max="11" width="19" style="1" customWidth="1"/>
    <col min="12" max="12" width="16.42578125" style="1" customWidth="1"/>
    <col min="13" max="13" width="12.140625" style="1" customWidth="1"/>
    <col min="14" max="14" width="10.28515625" style="1" bestFit="1" customWidth="1"/>
    <col min="15" max="15" width="9.28515625" style="1" customWidth="1"/>
    <col min="16" max="16" width="13" style="1" customWidth="1"/>
    <col min="17" max="17" width="11.7109375" style="1" bestFit="1" customWidth="1"/>
    <col min="18" max="16384" width="9.140625" style="1"/>
  </cols>
  <sheetData>
    <row r="1" spans="1:12" s="5" customFormat="1" ht="14.45" customHeight="1" thickBot="1" x14ac:dyDescent="0.3">
      <c r="A1" s="6" t="s">
        <v>0</v>
      </c>
      <c r="B1" s="17"/>
      <c r="C1" s="14"/>
      <c r="D1" s="14"/>
      <c r="E1" s="15"/>
      <c r="F1" s="15"/>
      <c r="G1" s="16"/>
      <c r="H1" s="16"/>
      <c r="I1" s="16"/>
    </row>
    <row r="2" spans="1:12" s="5" customFormat="1" ht="23.1" customHeight="1" thickBot="1" x14ac:dyDescent="0.3">
      <c r="A2" s="169"/>
      <c r="B2" s="170"/>
      <c r="C2" s="14"/>
      <c r="D2" s="14"/>
      <c r="E2" s="15"/>
      <c r="F2" s="15"/>
      <c r="G2" s="16"/>
      <c r="H2" s="16"/>
      <c r="I2" s="16"/>
    </row>
    <row r="3" spans="1:12" ht="12" thickBot="1" x14ac:dyDescent="0.25">
      <c r="A3" s="13"/>
      <c r="B3" s="10"/>
      <c r="C3" s="10"/>
      <c r="D3" s="10"/>
      <c r="E3" s="11"/>
      <c r="F3" s="11"/>
      <c r="G3" s="12"/>
      <c r="H3" s="12"/>
      <c r="I3" s="12"/>
    </row>
    <row r="4" spans="1:12" ht="21.75" customHeight="1" thickBot="1" x14ac:dyDescent="0.3">
      <c r="A4" s="29" t="s">
        <v>1</v>
      </c>
      <c r="B4" s="23" t="s">
        <v>2</v>
      </c>
      <c r="C4" s="23" t="s">
        <v>3</v>
      </c>
      <c r="D4" s="23" t="s">
        <v>4</v>
      </c>
      <c r="E4" s="24" t="s">
        <v>5</v>
      </c>
      <c r="F4" s="24" t="s">
        <v>6</v>
      </c>
      <c r="G4" s="25" t="s">
        <v>7</v>
      </c>
      <c r="H4" s="142" t="s">
        <v>8</v>
      </c>
      <c r="I4" s="21"/>
      <c r="K4" s="9"/>
      <c r="L4" s="9"/>
    </row>
    <row r="5" spans="1:12" s="7" customFormat="1" ht="51" customHeight="1" thickBot="1" x14ac:dyDescent="0.25">
      <c r="A5" s="18" t="s">
        <v>9</v>
      </c>
      <c r="B5" s="19" t="s">
        <v>62</v>
      </c>
      <c r="C5" s="26"/>
      <c r="D5" s="26">
        <v>0</v>
      </c>
      <c r="E5" s="46"/>
      <c r="F5" s="47">
        <v>0</v>
      </c>
      <c r="G5" s="48">
        <v>2</v>
      </c>
      <c r="H5" s="143">
        <v>0</v>
      </c>
      <c r="I5" s="22"/>
      <c r="K5" s="8"/>
      <c r="L5" s="8"/>
    </row>
    <row r="6" spans="1:12" ht="33.950000000000003" customHeight="1" thickBot="1" x14ac:dyDescent="0.25">
      <c r="A6" s="13"/>
      <c r="B6" s="10"/>
      <c r="C6" s="27"/>
      <c r="D6" s="27"/>
      <c r="E6" s="28"/>
      <c r="F6" s="28"/>
      <c r="G6" s="153" t="s">
        <v>8</v>
      </c>
      <c r="H6" s="154">
        <v>0</v>
      </c>
      <c r="I6" s="12"/>
    </row>
    <row r="7" spans="1:12" x14ac:dyDescent="0.2">
      <c r="A7" s="13"/>
      <c r="B7" s="10"/>
      <c r="C7" s="10"/>
      <c r="D7" s="10"/>
      <c r="E7" s="11"/>
      <c r="F7" s="11"/>
      <c r="G7" s="12"/>
      <c r="H7" s="12"/>
      <c r="I7" s="12"/>
    </row>
  </sheetData>
  <mergeCells count="1">
    <mergeCell ref="A2:B2"/>
  </mergeCells>
  <printOptions horizontalCentered="1" gridLines="1"/>
  <pageMargins left="0.25" right="0.25" top="1.25" bottom="0.25" header="0.5" footer="0.5"/>
  <pageSetup orientation="landscape"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C8806F-0BAA-4154-8C86-DC89D19735E3}">
  <dimension ref="A1:M71"/>
  <sheetViews>
    <sheetView tabSelected="1" showWhiteSpace="0" zoomScale="80" zoomScaleNormal="80" zoomScalePageLayoutView="120" workbookViewId="0">
      <selection activeCell="D41" sqref="D41:D43"/>
    </sheetView>
  </sheetViews>
  <sheetFormatPr defaultColWidth="9.140625" defaultRowHeight="11.25" x14ac:dyDescent="0.2"/>
  <cols>
    <col min="1" max="1" width="6.7109375" style="3" bestFit="1" customWidth="1"/>
    <col min="2" max="2" width="67" style="1" customWidth="1"/>
    <col min="3" max="3" width="38.140625" style="1" bestFit="1" customWidth="1"/>
    <col min="4" max="4" width="12.7109375" style="1" customWidth="1"/>
    <col min="5" max="5" width="14.28515625" style="86" customWidth="1"/>
    <col min="6" max="6" width="12" style="87" customWidth="1"/>
    <col min="7" max="7" width="15.42578125" style="4" customWidth="1"/>
    <col min="8" max="8" width="16.28515625" style="91" customWidth="1"/>
    <col min="9" max="9" width="14" style="2" customWidth="1"/>
    <col min="10" max="10" width="2" style="2" customWidth="1"/>
    <col min="11" max="11" width="21.85546875" style="1" customWidth="1"/>
    <col min="12" max="12" width="19" style="1" customWidth="1"/>
    <col min="13" max="13" width="16.42578125" style="1" customWidth="1"/>
    <col min="14" max="14" width="12.140625" style="1" customWidth="1"/>
    <col min="15" max="15" width="10.28515625" style="1" bestFit="1" customWidth="1"/>
    <col min="16" max="16" width="9.28515625" style="1" customWidth="1"/>
    <col min="17" max="17" width="13" style="1" customWidth="1"/>
    <col min="18" max="18" width="11.7109375" style="1" bestFit="1" customWidth="1"/>
    <col min="19" max="16384" width="9.140625" style="1"/>
  </cols>
  <sheetData>
    <row r="1" spans="1:13" s="5" customFormat="1" ht="14.45" customHeight="1" thickBot="1" x14ac:dyDescent="0.3">
      <c r="A1" s="6" t="s">
        <v>0</v>
      </c>
      <c r="B1" s="17"/>
      <c r="C1" s="14"/>
      <c r="D1" s="14"/>
      <c r="E1" s="70"/>
      <c r="F1" s="71"/>
      <c r="G1" s="15"/>
      <c r="H1" s="88"/>
      <c r="I1" s="16"/>
      <c r="J1" s="16"/>
    </row>
    <row r="2" spans="1:13" s="5" customFormat="1" ht="23.1" customHeight="1" thickBot="1" x14ac:dyDescent="0.3">
      <c r="A2" s="169"/>
      <c r="B2" s="170"/>
      <c r="C2" s="14"/>
      <c r="D2" s="14"/>
      <c r="E2" s="70"/>
      <c r="F2" s="71"/>
      <c r="G2" s="15"/>
      <c r="H2" s="88"/>
      <c r="I2" s="16"/>
      <c r="J2" s="16"/>
    </row>
    <row r="3" spans="1:13" ht="12" thickBot="1" x14ac:dyDescent="0.25">
      <c r="A3" s="13"/>
      <c r="B3" s="10"/>
      <c r="C3" s="10"/>
      <c r="D3" s="10"/>
      <c r="E3" s="72"/>
      <c r="F3" s="73"/>
      <c r="G3" s="11"/>
      <c r="H3" s="89"/>
      <c r="I3" s="12"/>
      <c r="J3" s="12"/>
    </row>
    <row r="4" spans="1:13" ht="21.75" customHeight="1" thickBot="1" x14ac:dyDescent="0.3">
      <c r="A4" s="29" t="s">
        <v>1</v>
      </c>
      <c r="B4" s="23" t="s">
        <v>2</v>
      </c>
      <c r="C4" s="23" t="s">
        <v>3</v>
      </c>
      <c r="D4" s="23" t="s">
        <v>4</v>
      </c>
      <c r="E4" s="74" t="s">
        <v>54</v>
      </c>
      <c r="F4" s="75" t="s">
        <v>55</v>
      </c>
      <c r="G4" s="24" t="s">
        <v>6</v>
      </c>
      <c r="H4" s="90" t="s">
        <v>7</v>
      </c>
      <c r="I4" s="25" t="s">
        <v>8</v>
      </c>
      <c r="J4" s="21"/>
      <c r="L4" s="9"/>
      <c r="M4" s="9"/>
    </row>
    <row r="5" spans="1:13" ht="75.75" thickBot="1" x14ac:dyDescent="0.3">
      <c r="A5" s="100" t="s">
        <v>10</v>
      </c>
      <c r="B5" s="195" t="s">
        <v>52</v>
      </c>
      <c r="C5" s="42" t="s">
        <v>75</v>
      </c>
      <c r="D5" s="196">
        <v>4</v>
      </c>
      <c r="E5" s="76">
        <v>46161</v>
      </c>
      <c r="F5" s="77">
        <v>46172</v>
      </c>
      <c r="G5" s="47">
        <v>12</v>
      </c>
      <c r="H5" s="143"/>
      <c r="I5" s="49">
        <f>SUM(D5*G5*H5)</f>
        <v>0</v>
      </c>
      <c r="J5" s="21"/>
      <c r="L5" s="9"/>
      <c r="M5" s="9"/>
    </row>
    <row r="6" spans="1:13" ht="90.75" thickBot="1" x14ac:dyDescent="0.3">
      <c r="A6" s="100" t="s">
        <v>10</v>
      </c>
      <c r="B6" s="185"/>
      <c r="C6" s="42" t="s">
        <v>74</v>
      </c>
      <c r="D6" s="188"/>
      <c r="E6" s="76">
        <v>46172</v>
      </c>
      <c r="F6" s="77">
        <v>46185</v>
      </c>
      <c r="G6" s="47">
        <v>14</v>
      </c>
      <c r="H6" s="143"/>
      <c r="I6" s="49">
        <f>D5*G6*H6</f>
        <v>0</v>
      </c>
      <c r="J6" s="21"/>
      <c r="L6" s="9"/>
      <c r="M6" s="9"/>
    </row>
    <row r="7" spans="1:13" ht="60.75" hidden="1" thickBot="1" x14ac:dyDescent="0.3">
      <c r="A7" s="100" t="s">
        <v>10</v>
      </c>
      <c r="B7" s="51" t="s">
        <v>51</v>
      </c>
      <c r="C7" s="42" t="s">
        <v>43</v>
      </c>
      <c r="D7" s="159">
        <v>7</v>
      </c>
      <c r="E7" s="76"/>
      <c r="F7" s="77"/>
      <c r="G7" s="47"/>
      <c r="H7" s="143"/>
      <c r="I7" s="49" t="e">
        <f>D7*G7*H7+#REF!</f>
        <v>#REF!</v>
      </c>
      <c r="J7" s="21"/>
      <c r="L7" s="9"/>
      <c r="M7" s="9"/>
    </row>
    <row r="8" spans="1:13" ht="15.75" thickBot="1" x14ac:dyDescent="0.3">
      <c r="A8" s="53"/>
      <c r="B8" s="54"/>
      <c r="C8" s="55"/>
      <c r="D8" s="160"/>
      <c r="E8" s="78"/>
      <c r="F8" s="79"/>
      <c r="G8" s="56">
        <f t="shared" ref="G8:G54" si="0">SUM(F8-E8)</f>
        <v>0</v>
      </c>
      <c r="H8" s="144"/>
      <c r="I8" s="52" t="e">
        <f>D8*G8*H8+#REF!</f>
        <v>#REF!</v>
      </c>
      <c r="J8" s="21"/>
      <c r="L8" s="9"/>
      <c r="M8" s="9"/>
    </row>
    <row r="9" spans="1:13" s="7" customFormat="1" ht="75.75" thickBot="1" x14ac:dyDescent="0.25">
      <c r="A9" s="100" t="s">
        <v>10</v>
      </c>
      <c r="B9" s="183" t="s">
        <v>11</v>
      </c>
      <c r="C9" s="42" t="s">
        <v>75</v>
      </c>
      <c r="D9" s="186">
        <v>2</v>
      </c>
      <c r="E9" s="76">
        <v>46161</v>
      </c>
      <c r="F9" s="77">
        <v>46172</v>
      </c>
      <c r="G9" s="47">
        <v>12</v>
      </c>
      <c r="H9" s="143"/>
      <c r="I9" s="49">
        <f>SUM(D9*G9*H9)</f>
        <v>0</v>
      </c>
      <c r="J9" s="22"/>
      <c r="L9" s="182"/>
      <c r="M9" s="182"/>
    </row>
    <row r="10" spans="1:13" s="7" customFormat="1" ht="90.75" thickBot="1" x14ac:dyDescent="0.25">
      <c r="A10" s="100" t="s">
        <v>10</v>
      </c>
      <c r="B10" s="185"/>
      <c r="C10" s="42" t="s">
        <v>74</v>
      </c>
      <c r="D10" s="188"/>
      <c r="E10" s="76">
        <v>46172</v>
      </c>
      <c r="F10" s="77">
        <v>46185</v>
      </c>
      <c r="G10" s="47">
        <v>14</v>
      </c>
      <c r="H10" s="143"/>
      <c r="I10" s="49">
        <f>D9*G10*H10</f>
        <v>0</v>
      </c>
      <c r="J10" s="22"/>
      <c r="L10" s="50"/>
      <c r="M10" s="50"/>
    </row>
    <row r="11" spans="1:13" s="7" customFormat="1" ht="60.75" hidden="1" thickBot="1" x14ac:dyDescent="0.25">
      <c r="A11" s="100" t="s">
        <v>10</v>
      </c>
      <c r="B11" s="51" t="s">
        <v>50</v>
      </c>
      <c r="C11" s="42" t="s">
        <v>43</v>
      </c>
      <c r="D11" s="159">
        <v>7</v>
      </c>
      <c r="E11" s="76"/>
      <c r="F11" s="77"/>
      <c r="G11" s="47"/>
      <c r="H11" s="143"/>
      <c r="I11" s="49" t="e">
        <f>D11*G11*H11+#REF!</f>
        <v>#REF!</v>
      </c>
      <c r="J11" s="22"/>
      <c r="L11" s="50"/>
      <c r="M11" s="50"/>
    </row>
    <row r="12" spans="1:13" s="7" customFormat="1" ht="51" hidden="1" x14ac:dyDescent="0.2">
      <c r="A12" s="18" t="s">
        <v>10</v>
      </c>
      <c r="B12" s="30" t="s">
        <v>12</v>
      </c>
      <c r="C12" s="26"/>
      <c r="D12" s="159">
        <v>0</v>
      </c>
      <c r="E12" s="76"/>
      <c r="F12" s="80"/>
      <c r="G12" s="47">
        <f t="shared" si="0"/>
        <v>0</v>
      </c>
      <c r="H12" s="143"/>
      <c r="I12" s="49" t="e">
        <f>D12*G12*H12+#REF!</f>
        <v>#REF!</v>
      </c>
      <c r="J12" s="22"/>
      <c r="L12" s="175"/>
      <c r="M12" s="176"/>
    </row>
    <row r="13" spans="1:13" s="7" customFormat="1" ht="38.25" hidden="1" x14ac:dyDescent="0.2">
      <c r="A13" s="18" t="s">
        <v>10</v>
      </c>
      <c r="B13" s="30" t="s">
        <v>13</v>
      </c>
      <c r="C13" s="26"/>
      <c r="D13" s="159">
        <v>0</v>
      </c>
      <c r="E13" s="76"/>
      <c r="F13" s="80"/>
      <c r="G13" s="47">
        <f t="shared" si="0"/>
        <v>0</v>
      </c>
      <c r="H13" s="143"/>
      <c r="I13" s="49" t="e">
        <f>D13*G13*H13+#REF!</f>
        <v>#REF!</v>
      </c>
      <c r="J13" s="22"/>
      <c r="L13" s="175"/>
      <c r="M13" s="176"/>
    </row>
    <row r="14" spans="1:13" s="7" customFormat="1" ht="51" hidden="1" x14ac:dyDescent="0.2">
      <c r="A14" s="18" t="s">
        <v>10</v>
      </c>
      <c r="B14" s="20" t="s">
        <v>14</v>
      </c>
      <c r="C14" s="26"/>
      <c r="D14" s="159">
        <v>0</v>
      </c>
      <c r="E14" s="76"/>
      <c r="F14" s="80"/>
      <c r="G14" s="47">
        <f t="shared" si="0"/>
        <v>0</v>
      </c>
      <c r="H14" s="143"/>
      <c r="I14" s="49" t="e">
        <f>D14*G14*H14+#REF!</f>
        <v>#REF!</v>
      </c>
      <c r="J14" s="22"/>
      <c r="L14" s="175"/>
      <c r="M14" s="176"/>
    </row>
    <row r="15" spans="1:13" s="7" customFormat="1" ht="25.5" hidden="1" x14ac:dyDescent="0.2">
      <c r="A15" s="18" t="s">
        <v>10</v>
      </c>
      <c r="B15" s="30" t="s">
        <v>15</v>
      </c>
      <c r="C15" s="26"/>
      <c r="D15" s="159">
        <v>0</v>
      </c>
      <c r="E15" s="76"/>
      <c r="F15" s="80"/>
      <c r="G15" s="47">
        <f t="shared" si="0"/>
        <v>0</v>
      </c>
      <c r="H15" s="143"/>
      <c r="I15" s="49" t="e">
        <f>D15*G15*H15+#REF!</f>
        <v>#REF!</v>
      </c>
      <c r="J15" s="22"/>
      <c r="L15" s="175"/>
      <c r="M15" s="176"/>
    </row>
    <row r="16" spans="1:13" s="7" customFormat="1" ht="25.5" hidden="1" x14ac:dyDescent="0.2">
      <c r="A16" s="18" t="s">
        <v>10</v>
      </c>
      <c r="B16" s="19" t="s">
        <v>16</v>
      </c>
      <c r="C16" s="26"/>
      <c r="D16" s="159">
        <v>0</v>
      </c>
      <c r="E16" s="76"/>
      <c r="F16" s="80"/>
      <c r="G16" s="47">
        <f t="shared" si="0"/>
        <v>0</v>
      </c>
      <c r="H16" s="143"/>
      <c r="I16" s="49" t="e">
        <f>D16*G16*H16+#REF!</f>
        <v>#REF!</v>
      </c>
      <c r="J16" s="22"/>
      <c r="L16" s="182"/>
      <c r="M16" s="182"/>
    </row>
    <row r="17" spans="1:13" s="7" customFormat="1" ht="25.5" hidden="1" x14ac:dyDescent="0.2">
      <c r="A17" s="18" t="s">
        <v>10</v>
      </c>
      <c r="B17" s="19" t="s">
        <v>17</v>
      </c>
      <c r="C17" s="26"/>
      <c r="D17" s="159">
        <v>0</v>
      </c>
      <c r="E17" s="76"/>
      <c r="F17" s="80"/>
      <c r="G17" s="47">
        <f t="shared" si="0"/>
        <v>0</v>
      </c>
      <c r="H17" s="143"/>
      <c r="I17" s="49" t="e">
        <f>D17*G17*H17+#REF!</f>
        <v>#REF!</v>
      </c>
      <c r="J17" s="22"/>
      <c r="L17" s="50"/>
      <c r="M17" s="50"/>
    </row>
    <row r="18" spans="1:13" s="7" customFormat="1" ht="38.25" hidden="1" x14ac:dyDescent="0.2">
      <c r="A18" s="18" t="s">
        <v>10</v>
      </c>
      <c r="B18" s="19" t="s">
        <v>18</v>
      </c>
      <c r="C18" s="26"/>
      <c r="D18" s="159">
        <v>0</v>
      </c>
      <c r="E18" s="76"/>
      <c r="F18" s="80"/>
      <c r="G18" s="47">
        <f t="shared" si="0"/>
        <v>0</v>
      </c>
      <c r="H18" s="143"/>
      <c r="I18" s="49" t="e">
        <f>D18*G18*H18+#REF!</f>
        <v>#REF!</v>
      </c>
      <c r="J18" s="22"/>
      <c r="L18" s="50"/>
      <c r="M18" s="50"/>
    </row>
    <row r="19" spans="1:13" s="7" customFormat="1" ht="13.5" thickBot="1" x14ac:dyDescent="0.25">
      <c r="A19" s="53"/>
      <c r="B19" s="54"/>
      <c r="C19" s="57"/>
      <c r="D19" s="160"/>
      <c r="E19" s="78"/>
      <c r="F19" s="81"/>
      <c r="G19" s="56">
        <f t="shared" si="0"/>
        <v>0</v>
      </c>
      <c r="H19" s="144"/>
      <c r="I19" s="52" t="e">
        <f>D19*G19*H19+#REF!</f>
        <v>#REF!</v>
      </c>
      <c r="J19" s="22"/>
      <c r="L19" s="50"/>
      <c r="M19" s="50"/>
    </row>
    <row r="20" spans="1:13" s="7" customFormat="1" ht="30.75" thickBot="1" x14ac:dyDescent="0.25">
      <c r="A20" s="100" t="s">
        <v>10</v>
      </c>
      <c r="B20" s="183" t="s">
        <v>19</v>
      </c>
      <c r="C20" s="43" t="s">
        <v>86</v>
      </c>
      <c r="D20" s="186">
        <v>2</v>
      </c>
      <c r="E20" s="76">
        <v>46161</v>
      </c>
      <c r="F20" s="77">
        <v>46172</v>
      </c>
      <c r="G20" s="47">
        <v>12</v>
      </c>
      <c r="H20" s="143"/>
      <c r="I20" s="49">
        <f>SUM(D20*G20*H20)</f>
        <v>0</v>
      </c>
      <c r="J20" s="22"/>
      <c r="L20" s="50"/>
      <c r="M20" s="50"/>
    </row>
    <row r="21" spans="1:13" s="7" customFormat="1" ht="60.75" thickBot="1" x14ac:dyDescent="0.25">
      <c r="A21" s="100" t="s">
        <v>10</v>
      </c>
      <c r="B21" s="184"/>
      <c r="C21" s="43" t="s">
        <v>87</v>
      </c>
      <c r="D21" s="188"/>
      <c r="E21" s="76">
        <v>46172</v>
      </c>
      <c r="F21" s="77">
        <v>46185</v>
      </c>
      <c r="G21" s="47">
        <v>14</v>
      </c>
      <c r="H21" s="143"/>
      <c r="I21" s="49">
        <f>D20*G21*H21</f>
        <v>0</v>
      </c>
      <c r="J21" s="22"/>
      <c r="L21" s="50"/>
      <c r="M21" s="50"/>
    </row>
    <row r="22" spans="1:13" s="7" customFormat="1" ht="60.75" hidden="1" thickBot="1" x14ac:dyDescent="0.25">
      <c r="A22" s="100" t="s">
        <v>10</v>
      </c>
      <c r="B22" s="184"/>
      <c r="C22" s="43" t="s">
        <v>41</v>
      </c>
      <c r="D22" s="159">
        <v>7</v>
      </c>
      <c r="E22" s="76" t="s">
        <v>42</v>
      </c>
      <c r="F22" s="77" t="s">
        <v>42</v>
      </c>
      <c r="G22" s="47" t="e">
        <f t="shared" si="0"/>
        <v>#VALUE!</v>
      </c>
      <c r="H22" s="143"/>
      <c r="I22" s="49" t="e">
        <f>D22*G22*H22+#REF!</f>
        <v>#VALUE!</v>
      </c>
      <c r="J22" s="22"/>
      <c r="L22" s="50"/>
      <c r="M22" s="50"/>
    </row>
    <row r="23" spans="1:13" s="7" customFormat="1" ht="60.75" hidden="1" thickBot="1" x14ac:dyDescent="0.25">
      <c r="A23" s="100" t="s">
        <v>10</v>
      </c>
      <c r="B23" s="58" t="s">
        <v>49</v>
      </c>
      <c r="C23" s="43" t="s">
        <v>43</v>
      </c>
      <c r="D23" s="159">
        <v>7</v>
      </c>
      <c r="E23" s="76"/>
      <c r="F23" s="77"/>
      <c r="G23" s="47"/>
      <c r="H23" s="143"/>
      <c r="I23" s="49" t="e">
        <f>D23*G23*H23+#REF!</f>
        <v>#REF!</v>
      </c>
      <c r="J23" s="22"/>
      <c r="L23" s="50"/>
      <c r="M23" s="50"/>
    </row>
    <row r="24" spans="1:13" s="7" customFormat="1" ht="15.75" thickBot="1" x14ac:dyDescent="0.25">
      <c r="A24" s="53"/>
      <c r="B24" s="54"/>
      <c r="C24" s="168"/>
      <c r="D24" s="160"/>
      <c r="E24" s="78"/>
      <c r="F24" s="79"/>
      <c r="G24" s="56">
        <f t="shared" si="0"/>
        <v>0</v>
      </c>
      <c r="H24" s="144"/>
      <c r="I24" s="52" t="e">
        <f>D24*G24*H24+#REF!</f>
        <v>#REF!</v>
      </c>
      <c r="J24" s="22"/>
      <c r="L24" s="50"/>
      <c r="M24" s="50"/>
    </row>
    <row r="25" spans="1:13" s="7" customFormat="1" ht="30.75" thickBot="1" x14ac:dyDescent="0.25">
      <c r="A25" s="100" t="s">
        <v>10</v>
      </c>
      <c r="B25" s="183" t="s">
        <v>20</v>
      </c>
      <c r="C25" s="43" t="s">
        <v>86</v>
      </c>
      <c r="D25" s="186">
        <v>1</v>
      </c>
      <c r="E25" s="76">
        <v>46161</v>
      </c>
      <c r="F25" s="77">
        <v>46172</v>
      </c>
      <c r="G25" s="47">
        <v>12</v>
      </c>
      <c r="H25" s="143"/>
      <c r="I25" s="49">
        <f>SUM(D25*G25*H25)</f>
        <v>0</v>
      </c>
      <c r="J25" s="22"/>
      <c r="L25" s="50"/>
      <c r="M25" s="50"/>
    </row>
    <row r="26" spans="1:13" s="7" customFormat="1" ht="13.9" hidden="1" customHeight="1" thickBot="1" x14ac:dyDescent="0.25">
      <c r="A26" s="100" t="s">
        <v>10</v>
      </c>
      <c r="B26" s="184"/>
      <c r="C26" s="158"/>
      <c r="D26" s="187"/>
      <c r="E26" s="76"/>
      <c r="F26" s="80"/>
      <c r="G26" s="47">
        <f t="shared" si="0"/>
        <v>0</v>
      </c>
      <c r="H26" s="143"/>
      <c r="I26" s="49" t="e">
        <f>D26*G26*H26+#REF!</f>
        <v>#REF!</v>
      </c>
      <c r="J26" s="22"/>
      <c r="L26" s="50"/>
      <c r="M26" s="50"/>
    </row>
    <row r="27" spans="1:13" s="7" customFormat="1" ht="13.9" hidden="1" customHeight="1" thickBot="1" x14ac:dyDescent="0.25">
      <c r="A27" s="100" t="s">
        <v>10</v>
      </c>
      <c r="B27" s="184"/>
      <c r="C27" s="158"/>
      <c r="D27" s="187"/>
      <c r="E27" s="76"/>
      <c r="F27" s="80"/>
      <c r="G27" s="47">
        <f t="shared" si="0"/>
        <v>0</v>
      </c>
      <c r="H27" s="143"/>
      <c r="I27" s="49" t="e">
        <f>D27*G27*H27+#REF!</f>
        <v>#REF!</v>
      </c>
      <c r="J27" s="22"/>
      <c r="L27" s="50"/>
      <c r="M27" s="50"/>
    </row>
    <row r="28" spans="1:13" s="7" customFormat="1" ht="60.75" thickBot="1" x14ac:dyDescent="0.25">
      <c r="A28" s="100" t="s">
        <v>10</v>
      </c>
      <c r="B28" s="185"/>
      <c r="C28" s="43" t="s">
        <v>87</v>
      </c>
      <c r="D28" s="188"/>
      <c r="E28" s="76">
        <v>46172</v>
      </c>
      <c r="F28" s="77">
        <v>46185</v>
      </c>
      <c r="G28" s="47">
        <f>SUM(F28-E28)+1</f>
        <v>14</v>
      </c>
      <c r="H28" s="143"/>
      <c r="I28" s="49">
        <f>D25*G28*H28</f>
        <v>0</v>
      </c>
      <c r="J28" s="22"/>
      <c r="L28" s="50"/>
      <c r="M28" s="50"/>
    </row>
    <row r="29" spans="1:13" s="7" customFormat="1" ht="60.75" hidden="1" thickBot="1" x14ac:dyDescent="0.25">
      <c r="A29" s="100" t="s">
        <v>10</v>
      </c>
      <c r="B29" s="51" t="s">
        <v>48</v>
      </c>
      <c r="C29" s="43" t="s">
        <v>43</v>
      </c>
      <c r="D29" s="159">
        <v>7</v>
      </c>
      <c r="E29" s="76"/>
      <c r="F29" s="77"/>
      <c r="G29" s="47"/>
      <c r="H29" s="143"/>
      <c r="I29" s="49" t="e">
        <f>D29*G29*H29+#REF!</f>
        <v>#REF!</v>
      </c>
      <c r="J29" s="22"/>
      <c r="L29" s="50"/>
      <c r="M29" s="50"/>
    </row>
    <row r="30" spans="1:13" s="7" customFormat="1" ht="15.75" thickBot="1" x14ac:dyDescent="0.25">
      <c r="A30" s="53"/>
      <c r="B30" s="54"/>
      <c r="C30" s="168"/>
      <c r="D30" s="160"/>
      <c r="E30" s="78"/>
      <c r="F30" s="79"/>
      <c r="G30" s="56">
        <f t="shared" si="0"/>
        <v>0</v>
      </c>
      <c r="H30" s="144"/>
      <c r="I30" s="52" t="e">
        <f>D30*G30*H30+#REF!</f>
        <v>#REF!</v>
      </c>
      <c r="J30" s="22"/>
      <c r="L30" s="50"/>
      <c r="M30" s="50"/>
    </row>
    <row r="31" spans="1:13" s="7" customFormat="1" ht="30.75" thickBot="1" x14ac:dyDescent="0.25">
      <c r="A31" s="100" t="s">
        <v>10</v>
      </c>
      <c r="B31" s="183" t="s">
        <v>21</v>
      </c>
      <c r="C31" s="43" t="s">
        <v>86</v>
      </c>
      <c r="D31" s="186">
        <v>20</v>
      </c>
      <c r="E31" s="76">
        <v>46161</v>
      </c>
      <c r="F31" s="77">
        <v>46172</v>
      </c>
      <c r="G31" s="47">
        <f>SUM(F31-E31)+1</f>
        <v>12</v>
      </c>
      <c r="H31" s="143"/>
      <c r="I31" s="49">
        <f>SUM(D31*G31*H31)</f>
        <v>0</v>
      </c>
      <c r="J31" s="22"/>
      <c r="L31" s="50"/>
      <c r="M31" s="50"/>
    </row>
    <row r="32" spans="1:13" s="7" customFormat="1" ht="60.75" thickBot="1" x14ac:dyDescent="0.25">
      <c r="A32" s="100" t="s">
        <v>10</v>
      </c>
      <c r="B32" s="185"/>
      <c r="C32" s="43" t="s">
        <v>87</v>
      </c>
      <c r="D32" s="188"/>
      <c r="E32" s="76">
        <v>46172</v>
      </c>
      <c r="F32" s="77">
        <v>46185</v>
      </c>
      <c r="G32" s="47">
        <f>SUM(F32-E32)+1</f>
        <v>14</v>
      </c>
      <c r="H32" s="143"/>
      <c r="I32" s="49">
        <f>D31*G32*H32</f>
        <v>0</v>
      </c>
      <c r="J32" s="22"/>
      <c r="L32" s="50"/>
      <c r="M32" s="50"/>
    </row>
    <row r="33" spans="1:13" s="7" customFormat="1" ht="60.75" hidden="1" thickBot="1" x14ac:dyDescent="0.25">
      <c r="A33" s="100" t="s">
        <v>10</v>
      </c>
      <c r="B33" s="51" t="s">
        <v>47</v>
      </c>
      <c r="C33" s="43" t="s">
        <v>43</v>
      </c>
      <c r="D33" s="159">
        <v>7</v>
      </c>
      <c r="E33" s="76"/>
      <c r="F33" s="77"/>
      <c r="G33" s="47"/>
      <c r="H33" s="143"/>
      <c r="I33" s="49" t="e">
        <f>D33*G33*H33+#REF!</f>
        <v>#REF!</v>
      </c>
      <c r="J33" s="22"/>
      <c r="L33" s="50"/>
      <c r="M33" s="50"/>
    </row>
    <row r="34" spans="1:13" s="7" customFormat="1" ht="15.75" thickBot="1" x14ac:dyDescent="0.25">
      <c r="A34" s="53"/>
      <c r="B34" s="54"/>
      <c r="C34" s="168"/>
      <c r="D34" s="160"/>
      <c r="E34" s="78"/>
      <c r="F34" s="79"/>
      <c r="G34" s="56">
        <f t="shared" si="0"/>
        <v>0</v>
      </c>
      <c r="H34" s="144"/>
      <c r="I34" s="52" t="e">
        <f>D34*G34*H34+#REF!</f>
        <v>#REF!</v>
      </c>
      <c r="J34" s="22"/>
      <c r="L34" s="50"/>
      <c r="M34" s="50"/>
    </row>
    <row r="35" spans="1:13" s="7" customFormat="1" ht="30.75" thickBot="1" x14ac:dyDescent="0.25">
      <c r="A35" s="100" t="s">
        <v>10</v>
      </c>
      <c r="B35" s="183" t="s">
        <v>22</v>
      </c>
      <c r="C35" s="43" t="s">
        <v>86</v>
      </c>
      <c r="D35" s="186">
        <v>4</v>
      </c>
      <c r="E35" s="76">
        <v>46161</v>
      </c>
      <c r="F35" s="77">
        <v>46172</v>
      </c>
      <c r="G35" s="47">
        <f>SUM(F35-E35)+1</f>
        <v>12</v>
      </c>
      <c r="H35" s="143"/>
      <c r="I35" s="49">
        <f>SUM(D35*G35*H35)</f>
        <v>0</v>
      </c>
      <c r="J35" s="22"/>
      <c r="L35" s="50"/>
      <c r="M35" s="50"/>
    </row>
    <row r="36" spans="1:13" s="7" customFormat="1" ht="13.9" hidden="1" customHeight="1" thickBot="1" x14ac:dyDescent="0.25">
      <c r="A36" s="100" t="s">
        <v>10</v>
      </c>
      <c r="B36" s="184"/>
      <c r="C36" s="158"/>
      <c r="D36" s="187"/>
      <c r="E36" s="76"/>
      <c r="F36" s="80"/>
      <c r="G36" s="47">
        <f t="shared" si="0"/>
        <v>0</v>
      </c>
      <c r="H36" s="143"/>
      <c r="I36" s="49" t="e">
        <f>D36*G36*H36+#REF!</f>
        <v>#REF!</v>
      </c>
      <c r="J36" s="22"/>
      <c r="L36" s="50"/>
      <c r="M36" s="50"/>
    </row>
    <row r="37" spans="1:13" s="7" customFormat="1" ht="13.9" hidden="1" customHeight="1" thickBot="1" x14ac:dyDescent="0.25">
      <c r="A37" s="100" t="s">
        <v>10</v>
      </c>
      <c r="B37" s="184"/>
      <c r="C37" s="158"/>
      <c r="D37" s="187"/>
      <c r="E37" s="76"/>
      <c r="F37" s="80"/>
      <c r="G37" s="47">
        <f t="shared" si="0"/>
        <v>0</v>
      </c>
      <c r="H37" s="143"/>
      <c r="I37" s="49" t="e">
        <f>D37*G37*H37+#REF!</f>
        <v>#REF!</v>
      </c>
      <c r="J37" s="22"/>
      <c r="L37" s="50"/>
      <c r="M37" s="50"/>
    </row>
    <row r="38" spans="1:13" s="7" customFormat="1" ht="60.75" thickBot="1" x14ac:dyDescent="0.25">
      <c r="A38" s="100" t="s">
        <v>10</v>
      </c>
      <c r="B38" s="185"/>
      <c r="C38" s="43" t="s">
        <v>87</v>
      </c>
      <c r="D38" s="188"/>
      <c r="E38" s="76">
        <v>46172</v>
      </c>
      <c r="F38" s="77">
        <v>46185</v>
      </c>
      <c r="G38" s="47">
        <f>SUM(F38-E38)+1</f>
        <v>14</v>
      </c>
      <c r="H38" s="143"/>
      <c r="I38" s="49">
        <f>D35*G38*H38</f>
        <v>0</v>
      </c>
      <c r="J38" s="22"/>
      <c r="L38" s="50"/>
      <c r="M38" s="50"/>
    </row>
    <row r="39" spans="1:13" s="7" customFormat="1" ht="60.75" hidden="1" thickBot="1" x14ac:dyDescent="0.25">
      <c r="A39" s="100" t="s">
        <v>10</v>
      </c>
      <c r="B39" s="51" t="s">
        <v>46</v>
      </c>
      <c r="C39" s="43" t="s">
        <v>43</v>
      </c>
      <c r="D39" s="159">
        <v>7</v>
      </c>
      <c r="E39" s="76"/>
      <c r="F39" s="77"/>
      <c r="G39" s="47"/>
      <c r="H39" s="143"/>
      <c r="I39" s="49" t="e">
        <f>D39*G39*H39+#REF!</f>
        <v>#REF!</v>
      </c>
      <c r="J39" s="22"/>
      <c r="L39" s="50"/>
      <c r="M39" s="50"/>
    </row>
    <row r="40" spans="1:13" s="7" customFormat="1" ht="15.75" thickBot="1" x14ac:dyDescent="0.25">
      <c r="A40" s="53"/>
      <c r="B40" s="69"/>
      <c r="C40" s="168"/>
      <c r="D40" s="160"/>
      <c r="E40" s="78"/>
      <c r="F40" s="79"/>
      <c r="G40" s="56">
        <f t="shared" si="0"/>
        <v>0</v>
      </c>
      <c r="H40" s="144"/>
      <c r="I40" s="52" t="e">
        <f>D40*G40*H40+#REF!</f>
        <v>#REF!</v>
      </c>
      <c r="J40" s="22"/>
      <c r="L40" s="50"/>
      <c r="M40" s="50"/>
    </row>
    <row r="41" spans="1:13" s="7" customFormat="1" ht="39" thickBot="1" x14ac:dyDescent="0.25">
      <c r="A41" s="100" t="s">
        <v>10</v>
      </c>
      <c r="B41" s="183" t="s">
        <v>80</v>
      </c>
      <c r="C41" s="43" t="s">
        <v>86</v>
      </c>
      <c r="D41" s="208">
        <v>1</v>
      </c>
      <c r="E41" s="76">
        <v>46161</v>
      </c>
      <c r="F41" s="77">
        <v>46172</v>
      </c>
      <c r="G41" s="47">
        <f>SUM(F41-E41)+1</f>
        <v>12</v>
      </c>
      <c r="H41" s="143"/>
      <c r="I41" s="49">
        <f>SUM(D41*G41*H41)</f>
        <v>0</v>
      </c>
      <c r="J41" s="22"/>
      <c r="K41" s="163" t="s">
        <v>81</v>
      </c>
      <c r="L41" s="164" t="s">
        <v>82</v>
      </c>
      <c r="M41" s="164" t="s">
        <v>84</v>
      </c>
    </row>
    <row r="42" spans="1:13" s="7" customFormat="1" ht="15.6" hidden="1" customHeight="1" thickBot="1" x14ac:dyDescent="0.25">
      <c r="A42" s="100" t="s">
        <v>10</v>
      </c>
      <c r="B42" s="184"/>
      <c r="C42" s="43"/>
      <c r="D42" s="209"/>
      <c r="E42" s="76"/>
      <c r="F42" s="80"/>
      <c r="G42" s="47">
        <f t="shared" si="0"/>
        <v>0</v>
      </c>
      <c r="H42" s="143"/>
      <c r="I42" s="49" t="e">
        <f>D42*G42*H42+#REF!</f>
        <v>#REF!</v>
      </c>
      <c r="J42" s="22"/>
      <c r="K42" s="165" t="s">
        <v>83</v>
      </c>
      <c r="L42" s="166" t="s">
        <v>81</v>
      </c>
      <c r="M42" s="167" t="s">
        <v>81</v>
      </c>
    </row>
    <row r="43" spans="1:13" s="7" customFormat="1" ht="68.25" thickBot="1" x14ac:dyDescent="0.25">
      <c r="A43" s="100" t="s">
        <v>10</v>
      </c>
      <c r="B43" s="185"/>
      <c r="C43" s="43" t="s">
        <v>87</v>
      </c>
      <c r="D43" s="210"/>
      <c r="E43" s="76">
        <v>46172</v>
      </c>
      <c r="F43" s="77">
        <v>46185</v>
      </c>
      <c r="G43" s="47">
        <f>SUM(F43-E43)+1</f>
        <v>14</v>
      </c>
      <c r="H43" s="143"/>
      <c r="I43" s="49">
        <f>D41*G43*H43</f>
        <v>0</v>
      </c>
      <c r="J43" s="22"/>
      <c r="K43" s="165" t="s">
        <v>85</v>
      </c>
      <c r="L43" s="166" t="s">
        <v>81</v>
      </c>
      <c r="M43" s="167" t="s">
        <v>81</v>
      </c>
    </row>
    <row r="44" spans="1:13" s="7" customFormat="1" ht="60.75" hidden="1" thickBot="1" x14ac:dyDescent="0.25">
      <c r="A44" s="100" t="s">
        <v>10</v>
      </c>
      <c r="B44" s="58" t="s">
        <v>44</v>
      </c>
      <c r="C44" s="42" t="s">
        <v>43</v>
      </c>
      <c r="D44" s="159">
        <v>7</v>
      </c>
      <c r="E44" s="76"/>
      <c r="F44" s="77"/>
      <c r="G44" s="47"/>
      <c r="H44" s="143"/>
      <c r="I44" s="49" t="e">
        <f>D44*G44*H44+#REF!</f>
        <v>#REF!</v>
      </c>
      <c r="J44" s="22"/>
      <c r="L44" s="50"/>
      <c r="M44" s="50"/>
    </row>
    <row r="45" spans="1:13" s="67" customFormat="1" ht="15.75" thickBot="1" x14ac:dyDescent="0.25">
      <c r="A45" s="53"/>
      <c r="B45" s="66"/>
      <c r="C45" s="55"/>
      <c r="D45" s="160"/>
      <c r="E45" s="78"/>
      <c r="F45" s="79"/>
      <c r="G45" s="56">
        <f t="shared" si="0"/>
        <v>0</v>
      </c>
      <c r="H45" s="144"/>
      <c r="I45" s="52" t="e">
        <f>D45*G45*H45+#REF!</f>
        <v>#REF!</v>
      </c>
      <c r="J45" s="22"/>
      <c r="L45" s="68"/>
      <c r="M45" s="68"/>
    </row>
    <row r="46" spans="1:13" s="7" customFormat="1" ht="75.75" thickBot="1" x14ac:dyDescent="0.25">
      <c r="A46" s="100" t="s">
        <v>10</v>
      </c>
      <c r="B46" s="183" t="s">
        <v>68</v>
      </c>
      <c r="C46" s="42" t="s">
        <v>75</v>
      </c>
      <c r="D46" s="186">
        <v>2</v>
      </c>
      <c r="E46" s="76">
        <v>46161</v>
      </c>
      <c r="F46" s="77">
        <v>46172</v>
      </c>
      <c r="G46" s="47">
        <f>SUM(F46-E46)+1</f>
        <v>12</v>
      </c>
      <c r="H46" s="143"/>
      <c r="I46" s="49">
        <f>SUM(D46*G46*H46)</f>
        <v>0</v>
      </c>
      <c r="J46" s="22"/>
      <c r="L46" s="50"/>
      <c r="M46" s="50"/>
    </row>
    <row r="47" spans="1:13" s="7" customFormat="1" ht="13.9" hidden="1" customHeight="1" thickBot="1" x14ac:dyDescent="0.25">
      <c r="A47" s="100" t="s">
        <v>10</v>
      </c>
      <c r="B47" s="184"/>
      <c r="C47" s="26"/>
      <c r="D47" s="187"/>
      <c r="E47" s="76"/>
      <c r="F47" s="80"/>
      <c r="G47" s="47">
        <f t="shared" si="0"/>
        <v>0</v>
      </c>
      <c r="H47" s="143"/>
      <c r="I47" s="49" t="e">
        <f>D47*G47*H47+#REF!</f>
        <v>#REF!</v>
      </c>
      <c r="J47" s="22"/>
      <c r="L47" s="50"/>
      <c r="M47" s="50"/>
    </row>
    <row r="48" spans="1:13" s="7" customFormat="1" ht="13.9" hidden="1" customHeight="1" thickBot="1" x14ac:dyDescent="0.25">
      <c r="A48" s="100" t="s">
        <v>10</v>
      </c>
      <c r="B48" s="184"/>
      <c r="C48" s="26"/>
      <c r="D48" s="187"/>
      <c r="E48" s="76"/>
      <c r="F48" s="80"/>
      <c r="G48" s="47">
        <f t="shared" si="0"/>
        <v>0</v>
      </c>
      <c r="H48" s="143"/>
      <c r="I48" s="49" t="e">
        <f>D48*G48*H48+#REF!</f>
        <v>#REF!</v>
      </c>
      <c r="J48" s="22"/>
      <c r="L48" s="50"/>
      <c r="M48" s="50"/>
    </row>
    <row r="49" spans="1:13" s="7" customFormat="1" ht="13.9" hidden="1" customHeight="1" thickBot="1" x14ac:dyDescent="0.25">
      <c r="A49" s="100" t="s">
        <v>10</v>
      </c>
      <c r="B49" s="184"/>
      <c r="C49" s="26"/>
      <c r="D49" s="187"/>
      <c r="E49" s="76"/>
      <c r="F49" s="80"/>
      <c r="G49" s="47">
        <f t="shared" si="0"/>
        <v>0</v>
      </c>
      <c r="H49" s="143"/>
      <c r="I49" s="49" t="e">
        <f>D49*G49*H49+#REF!</f>
        <v>#REF!</v>
      </c>
      <c r="J49" s="22"/>
      <c r="L49" s="50"/>
      <c r="M49" s="50"/>
    </row>
    <row r="50" spans="1:13" s="7" customFormat="1" ht="13.9" hidden="1" customHeight="1" thickBot="1" x14ac:dyDescent="0.25">
      <c r="A50" s="100" t="s">
        <v>10</v>
      </c>
      <c r="B50" s="184"/>
      <c r="C50" s="26"/>
      <c r="D50" s="187"/>
      <c r="E50" s="76"/>
      <c r="F50" s="80"/>
      <c r="G50" s="47">
        <f t="shared" si="0"/>
        <v>0</v>
      </c>
      <c r="H50" s="143"/>
      <c r="I50" s="49" t="e">
        <f>D50*G50*H50+#REF!</f>
        <v>#REF!</v>
      </c>
      <c r="J50" s="22"/>
      <c r="L50" s="50"/>
      <c r="M50" s="50"/>
    </row>
    <row r="51" spans="1:13" s="7" customFormat="1" ht="13.9" hidden="1" customHeight="1" thickBot="1" x14ac:dyDescent="0.25">
      <c r="A51" s="100" t="s">
        <v>10</v>
      </c>
      <c r="B51" s="184"/>
      <c r="C51" s="26"/>
      <c r="D51" s="187"/>
      <c r="E51" s="76"/>
      <c r="F51" s="80"/>
      <c r="G51" s="47">
        <f t="shared" si="0"/>
        <v>0</v>
      </c>
      <c r="H51" s="143"/>
      <c r="I51" s="49" t="e">
        <f>D51*G51*H51+#REF!</f>
        <v>#REF!</v>
      </c>
      <c r="J51" s="22"/>
      <c r="L51" s="50"/>
      <c r="M51" s="50"/>
    </row>
    <row r="52" spans="1:13" s="7" customFormat="1" ht="13.9" hidden="1" customHeight="1" thickBot="1" x14ac:dyDescent="0.25">
      <c r="A52" s="100" t="s">
        <v>10</v>
      </c>
      <c r="B52" s="184"/>
      <c r="C52" s="26"/>
      <c r="D52" s="187"/>
      <c r="E52" s="76"/>
      <c r="F52" s="80"/>
      <c r="G52" s="47">
        <f t="shared" si="0"/>
        <v>0</v>
      </c>
      <c r="H52" s="143"/>
      <c r="I52" s="49" t="e">
        <f>D52*G52*H52+#REF!</f>
        <v>#REF!</v>
      </c>
      <c r="J52" s="22"/>
      <c r="L52" s="50"/>
      <c r="M52" s="50"/>
    </row>
    <row r="53" spans="1:13" s="7" customFormat="1" ht="13.9" hidden="1" customHeight="1" thickBot="1" x14ac:dyDescent="0.25">
      <c r="A53" s="100" t="s">
        <v>10</v>
      </c>
      <c r="B53" s="184"/>
      <c r="C53" s="26"/>
      <c r="D53" s="187"/>
      <c r="E53" s="76"/>
      <c r="F53" s="80"/>
      <c r="G53" s="47">
        <f t="shared" si="0"/>
        <v>0</v>
      </c>
      <c r="H53" s="143"/>
      <c r="I53" s="49" t="e">
        <f>D53*G53*H53+#REF!</f>
        <v>#REF!</v>
      </c>
      <c r="J53" s="22"/>
      <c r="L53" s="50"/>
      <c r="M53" s="50"/>
    </row>
    <row r="54" spans="1:13" s="7" customFormat="1" ht="13.9" hidden="1" customHeight="1" thickBot="1" x14ac:dyDescent="0.25">
      <c r="A54" s="100"/>
      <c r="B54" s="184"/>
      <c r="C54" s="26"/>
      <c r="D54" s="187"/>
      <c r="E54" s="76"/>
      <c r="F54" s="80"/>
      <c r="G54" s="47">
        <f t="shared" si="0"/>
        <v>0</v>
      </c>
      <c r="H54" s="143"/>
      <c r="I54" s="49" t="e">
        <f>D54*G54*H54+#REF!</f>
        <v>#REF!</v>
      </c>
      <c r="J54" s="22"/>
      <c r="L54" s="50"/>
      <c r="M54" s="50"/>
    </row>
    <row r="55" spans="1:13" s="7" customFormat="1" ht="90.75" thickBot="1" x14ac:dyDescent="0.25">
      <c r="A55" s="100" t="s">
        <v>10</v>
      </c>
      <c r="B55" s="185"/>
      <c r="C55" s="42" t="s">
        <v>74</v>
      </c>
      <c r="D55" s="188"/>
      <c r="E55" s="76">
        <v>46172</v>
      </c>
      <c r="F55" s="77">
        <v>46185</v>
      </c>
      <c r="G55" s="47">
        <f>SUM(F55-E55)+1</f>
        <v>14</v>
      </c>
      <c r="H55" s="143"/>
      <c r="I55" s="49">
        <f>D46*G55*H55</f>
        <v>0</v>
      </c>
      <c r="J55" s="22"/>
      <c r="L55" s="50"/>
      <c r="M55" s="50"/>
    </row>
    <row r="56" spans="1:13" s="7" customFormat="1" ht="60.75" hidden="1" thickBot="1" x14ac:dyDescent="0.25">
      <c r="A56" s="100" t="s">
        <v>10</v>
      </c>
      <c r="B56" s="51" t="s">
        <v>45</v>
      </c>
      <c r="C56" s="42" t="s">
        <v>43</v>
      </c>
      <c r="D56" s="159">
        <v>7</v>
      </c>
      <c r="E56" s="76"/>
      <c r="F56" s="77"/>
      <c r="G56" s="47"/>
      <c r="H56" s="143">
        <v>0</v>
      </c>
      <c r="I56" s="49" t="e">
        <f>D56*G56*H56+#REF!</f>
        <v>#REF!</v>
      </c>
      <c r="J56" s="22"/>
      <c r="L56" s="50"/>
      <c r="M56" s="50"/>
    </row>
    <row r="57" spans="1:13" s="7" customFormat="1" ht="12.75" hidden="1" x14ac:dyDescent="0.2">
      <c r="A57" s="59" t="s">
        <v>10</v>
      </c>
      <c r="B57" s="60" t="s">
        <v>40</v>
      </c>
      <c r="C57" s="61"/>
      <c r="D57" s="161">
        <v>6</v>
      </c>
      <c r="E57" s="82"/>
      <c r="F57" s="83"/>
      <c r="G57" s="62">
        <v>29</v>
      </c>
      <c r="H57" s="145"/>
      <c r="I57" s="49" t="e">
        <f>D57*G57*H57+#REF!</f>
        <v>#REF!</v>
      </c>
      <c r="J57" s="22"/>
      <c r="L57" s="50"/>
      <c r="M57" s="50"/>
    </row>
    <row r="58" spans="1:13" s="7" customFormat="1" ht="12.75" hidden="1" x14ac:dyDescent="0.2">
      <c r="A58" s="59" t="s">
        <v>10</v>
      </c>
      <c r="B58" s="63" t="s">
        <v>39</v>
      </c>
      <c r="C58" s="64"/>
      <c r="D58" s="65">
        <v>2</v>
      </c>
      <c r="E58" s="84"/>
      <c r="F58" s="85"/>
      <c r="G58" s="65">
        <v>29</v>
      </c>
      <c r="H58" s="146"/>
      <c r="I58" s="49" t="e">
        <f>D58*G58*H58+#REF!</f>
        <v>#REF!</v>
      </c>
      <c r="J58" s="22"/>
      <c r="L58" s="50"/>
      <c r="M58" s="50"/>
    </row>
    <row r="59" spans="1:13" ht="21.6" customHeight="1" thickBot="1" x14ac:dyDescent="0.25">
      <c r="A59" s="13"/>
      <c r="B59" s="10"/>
      <c r="C59" s="10"/>
      <c r="D59" s="10"/>
      <c r="E59" s="72"/>
      <c r="F59" s="73"/>
      <c r="G59" s="11"/>
      <c r="H59" s="147"/>
      <c r="I59" s="12"/>
      <c r="J59" s="12"/>
    </row>
    <row r="60" spans="1:13" ht="43.9" customHeight="1" thickBot="1" x14ac:dyDescent="0.3">
      <c r="A60" s="192" t="s">
        <v>10</v>
      </c>
      <c r="B60" s="112" t="s">
        <v>51</v>
      </c>
      <c r="C60" s="189" t="s">
        <v>73</v>
      </c>
      <c r="D60" s="162">
        <v>2</v>
      </c>
      <c r="E60" s="150">
        <v>46175</v>
      </c>
      <c r="F60" s="151">
        <v>46185</v>
      </c>
      <c r="G60" s="47">
        <f t="shared" ref="G60:G67" si="1">SUM(F60-E60)+1</f>
        <v>11</v>
      </c>
      <c r="H60" s="148"/>
      <c r="I60" s="49">
        <f t="shared" ref="I60:I67" si="2">SUM(D60*G60*H60)</f>
        <v>0</v>
      </c>
      <c r="J60" s="21"/>
      <c r="L60" s="9"/>
      <c r="M60" s="9"/>
    </row>
    <row r="61" spans="1:13" s="7" customFormat="1" ht="39" thickBot="1" x14ac:dyDescent="0.25">
      <c r="A61" s="193"/>
      <c r="B61" s="51" t="s">
        <v>50</v>
      </c>
      <c r="C61" s="190"/>
      <c r="D61" s="162">
        <v>1</v>
      </c>
      <c r="E61" s="150">
        <v>46175</v>
      </c>
      <c r="F61" s="151">
        <v>46185</v>
      </c>
      <c r="G61" s="47">
        <f t="shared" si="1"/>
        <v>11</v>
      </c>
      <c r="H61" s="143"/>
      <c r="I61" s="49">
        <f t="shared" si="2"/>
        <v>0</v>
      </c>
      <c r="J61" s="22"/>
      <c r="L61" s="50"/>
      <c r="M61" s="50"/>
    </row>
    <row r="62" spans="1:13" s="7" customFormat="1" ht="39" thickBot="1" x14ac:dyDescent="0.25">
      <c r="A62" s="193"/>
      <c r="B62" s="58" t="s">
        <v>49</v>
      </c>
      <c r="C62" s="190"/>
      <c r="D62" s="162">
        <v>2</v>
      </c>
      <c r="E62" s="150">
        <v>46175</v>
      </c>
      <c r="F62" s="151">
        <v>46185</v>
      </c>
      <c r="G62" s="47">
        <f t="shared" si="1"/>
        <v>11</v>
      </c>
      <c r="H62" s="143"/>
      <c r="I62" s="49">
        <f t="shared" si="2"/>
        <v>0</v>
      </c>
      <c r="J62" s="22"/>
      <c r="L62" s="50"/>
      <c r="M62" s="50"/>
    </row>
    <row r="63" spans="1:13" s="7" customFormat="1" ht="39" thickBot="1" x14ac:dyDescent="0.25">
      <c r="A63" s="193"/>
      <c r="B63" s="51" t="s">
        <v>48</v>
      </c>
      <c r="C63" s="190"/>
      <c r="D63" s="162">
        <v>1</v>
      </c>
      <c r="E63" s="150">
        <v>46175</v>
      </c>
      <c r="F63" s="151">
        <v>46185</v>
      </c>
      <c r="G63" s="47">
        <f t="shared" si="1"/>
        <v>11</v>
      </c>
      <c r="H63" s="143"/>
      <c r="I63" s="49">
        <f t="shared" si="2"/>
        <v>0</v>
      </c>
      <c r="J63" s="22"/>
      <c r="L63" s="50"/>
      <c r="M63" s="50"/>
    </row>
    <row r="64" spans="1:13" s="7" customFormat="1" ht="39" thickBot="1" x14ac:dyDescent="0.25">
      <c r="A64" s="193"/>
      <c r="B64" s="51" t="s">
        <v>47</v>
      </c>
      <c r="C64" s="190"/>
      <c r="D64" s="162">
        <v>20</v>
      </c>
      <c r="E64" s="150">
        <v>46175</v>
      </c>
      <c r="F64" s="151">
        <v>46185</v>
      </c>
      <c r="G64" s="47">
        <f t="shared" si="1"/>
        <v>11</v>
      </c>
      <c r="H64" s="143"/>
      <c r="I64" s="49">
        <f t="shared" si="2"/>
        <v>0</v>
      </c>
      <c r="J64" s="22"/>
      <c r="L64" s="50"/>
      <c r="M64" s="50"/>
    </row>
    <row r="65" spans="1:13" s="7" customFormat="1" ht="39" thickBot="1" x14ac:dyDescent="0.25">
      <c r="A65" s="193"/>
      <c r="B65" s="51" t="s">
        <v>46</v>
      </c>
      <c r="C65" s="190"/>
      <c r="D65" s="162">
        <v>4</v>
      </c>
      <c r="E65" s="150">
        <v>46175</v>
      </c>
      <c r="F65" s="151">
        <v>46185</v>
      </c>
      <c r="G65" s="47">
        <f t="shared" si="1"/>
        <v>11</v>
      </c>
      <c r="H65" s="143"/>
      <c r="I65" s="49">
        <f t="shared" si="2"/>
        <v>0</v>
      </c>
      <c r="J65" s="22"/>
      <c r="L65" s="50"/>
      <c r="M65" s="50"/>
    </row>
    <row r="66" spans="1:13" s="7" customFormat="1" ht="39" thickBot="1" x14ac:dyDescent="0.25">
      <c r="A66" s="193"/>
      <c r="B66" s="58" t="s">
        <v>44</v>
      </c>
      <c r="C66" s="190"/>
      <c r="D66" s="162">
        <v>1</v>
      </c>
      <c r="E66" s="150">
        <v>46175</v>
      </c>
      <c r="F66" s="151">
        <v>46185</v>
      </c>
      <c r="G66" s="47">
        <f t="shared" si="1"/>
        <v>11</v>
      </c>
      <c r="H66" s="143"/>
      <c r="I66" s="49">
        <f t="shared" si="2"/>
        <v>0</v>
      </c>
      <c r="J66" s="22"/>
      <c r="L66" s="50"/>
      <c r="M66" s="50"/>
    </row>
    <row r="67" spans="1:13" s="7" customFormat="1" ht="39" thickBot="1" x14ac:dyDescent="0.3">
      <c r="A67" s="194"/>
      <c r="B67" s="111" t="s">
        <v>45</v>
      </c>
      <c r="C67" s="191"/>
      <c r="D67" s="162">
        <v>2</v>
      </c>
      <c r="E67" s="150">
        <v>46175</v>
      </c>
      <c r="F67" s="151">
        <v>46185</v>
      </c>
      <c r="G67" s="116">
        <f t="shared" si="1"/>
        <v>11</v>
      </c>
      <c r="H67" s="149">
        <v>0</v>
      </c>
      <c r="I67" s="117">
        <f t="shared" si="2"/>
        <v>0</v>
      </c>
      <c r="J67" s="22"/>
      <c r="K67" s="140" t="s">
        <v>72</v>
      </c>
      <c r="L67" s="141">
        <f>SUM(I60:I67)</f>
        <v>0</v>
      </c>
      <c r="M67" s="50"/>
    </row>
    <row r="68" spans="1:13" ht="19.5" thickBot="1" x14ac:dyDescent="0.35">
      <c r="B68" s="107" t="s">
        <v>53</v>
      </c>
      <c r="C68" s="108"/>
      <c r="D68" s="108"/>
      <c r="E68" s="109"/>
      <c r="F68" s="110"/>
      <c r="G68" s="139" t="s">
        <v>32</v>
      </c>
      <c r="H68" s="118">
        <f>SUM(H5,H6,H9,H10,H20,H21,H25,H28,H31,H32,H35,H38,H41,H43,H46,H55,H60,H61,H62,H63,H64,H65,H66,H67)</f>
        <v>0</v>
      </c>
      <c r="I68" s="119">
        <f>SUM(I5,I6,I9,I10,I20,I21,I25,I28,I31,I32,I35,I38,I41,I43,I46,I55,I60,I61,I62,I63,I64,I65,I66,I67)</f>
        <v>0</v>
      </c>
    </row>
    <row r="69" spans="1:13" ht="15.75" thickBot="1" x14ac:dyDescent="0.25">
      <c r="G69" s="113"/>
      <c r="H69" s="114"/>
      <c r="I69" s="115"/>
    </row>
    <row r="70" spans="1:13" ht="16.5" thickBot="1" x14ac:dyDescent="0.3">
      <c r="F70" s="177" t="s">
        <v>60</v>
      </c>
      <c r="G70" s="178"/>
      <c r="H70" s="120">
        <f>SUM(H5,H6,H9,H10,H20,H21,H25,H28,H31,H32,H35,H38,H41,H43,H46,H55)</f>
        <v>0</v>
      </c>
      <c r="I70" s="120">
        <f>SUM(I5,I6,I9,I10,I20,I21,I25,I28,I31,I32,I35,I38,I41,I43,I46,I55)</f>
        <v>0</v>
      </c>
    </row>
    <row r="71" spans="1:13" ht="17.45" customHeight="1" thickBot="1" x14ac:dyDescent="0.25">
      <c r="F71" s="179" t="s">
        <v>70</v>
      </c>
      <c r="G71" s="180"/>
      <c r="H71" s="180"/>
      <c r="I71" s="181"/>
    </row>
  </sheetData>
  <mergeCells count="27">
    <mergeCell ref="A2:B2"/>
    <mergeCell ref="L13:M13"/>
    <mergeCell ref="L14:M14"/>
    <mergeCell ref="C60:C67"/>
    <mergeCell ref="A60:A67"/>
    <mergeCell ref="L15:M15"/>
    <mergeCell ref="B5:B6"/>
    <mergeCell ref="D5:D6"/>
    <mergeCell ref="D9:D10"/>
    <mergeCell ref="B41:B43"/>
    <mergeCell ref="B20:B22"/>
    <mergeCell ref="B9:B10"/>
    <mergeCell ref="B25:B28"/>
    <mergeCell ref="B31:B32"/>
    <mergeCell ref="B35:B38"/>
    <mergeCell ref="L9:M9"/>
    <mergeCell ref="L12:M12"/>
    <mergeCell ref="F70:G70"/>
    <mergeCell ref="F71:I71"/>
    <mergeCell ref="L16:M16"/>
    <mergeCell ref="B46:B55"/>
    <mergeCell ref="D46:D55"/>
    <mergeCell ref="D20:D21"/>
    <mergeCell ref="D25:D28"/>
    <mergeCell ref="D31:D32"/>
    <mergeCell ref="D35:D38"/>
    <mergeCell ref="D41:D43"/>
  </mergeCells>
  <printOptions horizontalCentered="1" gridLines="1"/>
  <pageMargins left="0.25" right="0.25" top="1.25" bottom="0.25" header="0.5" footer="0.5"/>
  <pageSetup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9E7C33-7A6A-4DE0-B741-31CBDA6B6BB2}">
  <dimension ref="A1:O6"/>
  <sheetViews>
    <sheetView topLeftCell="B1" zoomScale="80" zoomScaleNormal="80" workbookViewId="0">
      <selection activeCell="E7" sqref="E7"/>
    </sheetView>
  </sheetViews>
  <sheetFormatPr defaultRowHeight="12.75" x14ac:dyDescent="0.2"/>
  <cols>
    <col min="2" max="2" width="77.7109375" customWidth="1"/>
    <col min="3" max="3" width="23" customWidth="1"/>
    <col min="4" max="4" width="20.42578125" customWidth="1"/>
    <col min="5" max="5" width="45.85546875" customWidth="1"/>
    <col min="6" max="6" width="9.7109375" customWidth="1"/>
    <col min="7" max="7" width="9" bestFit="1" customWidth="1"/>
    <col min="8" max="8" width="6.42578125" bestFit="1" customWidth="1"/>
    <col min="9" max="9" width="11.7109375" bestFit="1" customWidth="1"/>
    <col min="10" max="10" width="14.28515625" customWidth="1"/>
    <col min="11" max="11" width="16.85546875" style="95" bestFit="1" customWidth="1"/>
    <col min="12" max="12" width="18.7109375" style="95" customWidth="1"/>
    <col min="15" max="15" width="11.7109375" customWidth="1"/>
  </cols>
  <sheetData>
    <row r="1" spans="1:15" ht="16.5" thickBot="1" x14ac:dyDescent="0.3">
      <c r="A1" s="197" t="s">
        <v>61</v>
      </c>
      <c r="B1" s="198"/>
      <c r="C1" s="198"/>
      <c r="D1" s="199"/>
      <c r="G1" s="31"/>
      <c r="H1" s="200" t="s">
        <v>23</v>
      </c>
      <c r="I1" s="201"/>
      <c r="J1" s="201"/>
      <c r="K1" s="202"/>
      <c r="L1" s="203"/>
      <c r="M1" s="32"/>
      <c r="N1" s="204" t="s">
        <v>24</v>
      </c>
      <c r="O1" s="205"/>
    </row>
    <row r="2" spans="1:15" ht="15.75" thickBot="1" x14ac:dyDescent="0.25">
      <c r="A2" s="33"/>
      <c r="B2" s="34"/>
      <c r="C2" s="34"/>
      <c r="D2" s="34"/>
      <c r="E2" s="34"/>
      <c r="F2" s="34"/>
      <c r="G2" s="35"/>
      <c r="H2" s="36"/>
      <c r="I2" s="36"/>
      <c r="J2" s="36"/>
      <c r="K2" s="93"/>
      <c r="L2" s="93"/>
      <c r="M2" s="37"/>
      <c r="N2" s="206"/>
      <c r="O2" s="207"/>
    </row>
    <row r="3" spans="1:15" ht="57.75" thickBot="1" x14ac:dyDescent="0.25">
      <c r="A3" s="98" t="s">
        <v>25</v>
      </c>
      <c r="B3" s="38" t="s">
        <v>2</v>
      </c>
      <c r="C3" s="38" t="s">
        <v>26</v>
      </c>
      <c r="D3" s="38" t="s">
        <v>27</v>
      </c>
      <c r="E3" s="38" t="s">
        <v>28</v>
      </c>
      <c r="F3" s="38" t="s">
        <v>56</v>
      </c>
      <c r="G3" s="39" t="s">
        <v>29</v>
      </c>
      <c r="H3" s="40" t="s">
        <v>30</v>
      </c>
      <c r="I3" s="40" t="s">
        <v>31</v>
      </c>
      <c r="J3" s="40" t="s">
        <v>32</v>
      </c>
      <c r="K3" s="94" t="s">
        <v>58</v>
      </c>
      <c r="L3" s="94" t="s">
        <v>59</v>
      </c>
      <c r="M3" s="37"/>
      <c r="N3" s="41" t="s">
        <v>33</v>
      </c>
      <c r="O3" s="41" t="s">
        <v>34</v>
      </c>
    </row>
    <row r="4" spans="1:15" ht="158.25" customHeight="1" thickBot="1" x14ac:dyDescent="0.25">
      <c r="A4" s="99" t="s">
        <v>35</v>
      </c>
      <c r="B4" s="152" t="s">
        <v>77</v>
      </c>
      <c r="C4" s="42" t="s">
        <v>57</v>
      </c>
      <c r="D4" s="45" t="s">
        <v>36</v>
      </c>
      <c r="E4" s="157" t="s">
        <v>78</v>
      </c>
      <c r="F4" s="92">
        <v>2</v>
      </c>
      <c r="G4" s="96">
        <f>N4*O4</f>
        <v>50</v>
      </c>
      <c r="H4" s="44" t="s">
        <v>37</v>
      </c>
      <c r="I4" s="133">
        <v>0</v>
      </c>
      <c r="J4" s="134">
        <f>SUM(I4*F4*G4)</f>
        <v>0</v>
      </c>
      <c r="K4" s="136">
        <v>46160</v>
      </c>
      <c r="L4" s="137">
        <v>46184</v>
      </c>
      <c r="M4" s="37"/>
      <c r="N4" s="41">
        <v>2</v>
      </c>
      <c r="O4" s="41">
        <v>25</v>
      </c>
    </row>
    <row r="5" spans="1:15" ht="138" thickBot="1" x14ac:dyDescent="0.25">
      <c r="A5" s="99" t="s">
        <v>38</v>
      </c>
      <c r="B5" s="152" t="s">
        <v>76</v>
      </c>
      <c r="C5" s="42" t="s">
        <v>57</v>
      </c>
      <c r="D5" s="45" t="s">
        <v>36</v>
      </c>
      <c r="E5" s="157" t="s">
        <v>79</v>
      </c>
      <c r="F5" s="92">
        <v>1</v>
      </c>
      <c r="G5" s="96">
        <f>N5*O5</f>
        <v>31</v>
      </c>
      <c r="H5" s="97" t="s">
        <v>37</v>
      </c>
      <c r="I5" s="135">
        <v>0</v>
      </c>
      <c r="J5" s="134">
        <f>SUM(I5*F5*G5)</f>
        <v>0</v>
      </c>
      <c r="K5" s="136">
        <v>46157</v>
      </c>
      <c r="L5" s="137">
        <v>46187</v>
      </c>
      <c r="M5" s="37"/>
      <c r="N5" s="41">
        <v>1</v>
      </c>
      <c r="O5" s="41">
        <v>31</v>
      </c>
    </row>
    <row r="6" spans="1:15" ht="16.5" thickBot="1" x14ac:dyDescent="0.3">
      <c r="H6" s="101" t="s">
        <v>32</v>
      </c>
      <c r="I6" s="102">
        <f>SUM(I4,I5)</f>
        <v>0</v>
      </c>
      <c r="J6" s="103">
        <f>SUM(J4,J5)</f>
        <v>0</v>
      </c>
    </row>
  </sheetData>
  <mergeCells count="3">
    <mergeCell ref="A1:D1"/>
    <mergeCell ref="H1:L1"/>
    <mergeCell ref="N1:O2"/>
  </mergeCells>
  <phoneticPr fontId="7"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b5896bc4-9af0-47aa-a861-96ea3ff970bf">
      <Terms xmlns="http://schemas.microsoft.com/office/infopath/2007/PartnerControls"/>
    </lcf76f155ced4ddcb4097134ff3c332f>
    <TaxCatchAll xmlns="26b7977d-846f-439e-b153-5ac9efcb7cf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D026C0236510F043A3EFBBB91C181C12" ma:contentTypeVersion="16" ma:contentTypeDescription="Create a new document." ma:contentTypeScope="" ma:versionID="22906b28021b58317fff07b1374f7c49">
  <xsd:schema xmlns:xsd="http://www.w3.org/2001/XMLSchema" xmlns:xs="http://www.w3.org/2001/XMLSchema" xmlns:p="http://schemas.microsoft.com/office/2006/metadata/properties" xmlns:ns1="http://schemas.microsoft.com/sharepoint/v3" xmlns:ns2="b5896bc4-9af0-47aa-a861-96ea3ff970bf" xmlns:ns3="26b7977d-846f-439e-b153-5ac9efcb7cf3" targetNamespace="http://schemas.microsoft.com/office/2006/metadata/properties" ma:root="true" ma:fieldsID="316b9386fd12cafd6bb25e72603d94fa" ns1:_="" ns2:_="" ns3:_="">
    <xsd:import namespace="http://schemas.microsoft.com/sharepoint/v3"/>
    <xsd:import namespace="b5896bc4-9af0-47aa-a861-96ea3ff970bf"/>
    <xsd:import namespace="26b7977d-846f-439e-b153-5ac9efcb7cf3"/>
    <xsd:element name="properties">
      <xsd:complexType>
        <xsd:sequence>
          <xsd:element name="documentManagement">
            <xsd:complexType>
              <xsd:all>
                <xsd:element ref="ns1:_ip_UnifiedCompliancePolicyProperties" minOccurs="0"/>
                <xsd:element ref="ns1:_ip_UnifiedCompliancePolicyUIAction" minOccurs="0"/>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8" nillable="true" ma:displayName="Unified Compliance Policy Properties" ma:hidden="true" ma:internalName="_ip_UnifiedCompliancePolicyProperties">
      <xsd:simpleType>
        <xsd:restriction base="dms:Note"/>
      </xsd:simpleType>
    </xsd:element>
    <xsd:element name="_ip_UnifiedCompliancePolicyUIAction" ma:index="9"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5896bc4-9af0-47aa-a861-96ea3ff970bf"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description="" ma:hidden="true" ma:indexed="true" ma:internalName="MediaServiceObjectDetectorVersions"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cc874fec-6985-468d-9a86-0194f6fd86dc" ma:termSetId="09814cd3-568e-fe90-9814-8d621ff8fb84" ma:anchorId="fba54fb3-c3e1-fe81-a776-ca4b69148c4d" ma:open="true" ma:isKeyword="false">
      <xsd:complexType>
        <xsd:sequence>
          <xsd:element ref="pc:Terms" minOccurs="0" maxOccurs="1"/>
        </xsd:sequence>
      </xsd:complexType>
    </xsd:element>
    <xsd:element name="MediaServiceDateTaken" ma:index="19" nillable="true" ma:displayName="MediaServiceDateTaken" ma:description="" ma:hidden="true" ma:indexed="true" ma:internalName="MediaServiceDateTaken" ma:readOnly="true">
      <xsd:simpleType>
        <xsd:restriction base="dms:Text"/>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element name="MediaServiceOCR" ma:index="22" nillable="true" ma:displayName="Extracted Text" ma:internalName="MediaServiceOCR" ma:readOnly="true">
      <xsd:simpleType>
        <xsd:restriction base="dms:Note">
          <xsd:maxLength value="255"/>
        </xsd:restriction>
      </xsd:simpleType>
    </xsd:element>
    <xsd:element name="MediaLengthInSeconds" ma:index="23"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6b7977d-846f-439e-b153-5ac9efcb7cf3"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TaxCatchAll" ma:index="18" nillable="true" ma:displayName="Taxonomy Catch All Column" ma:hidden="true" ma:list="{9cc1b169-5003-45a9-9937-dedbd88f0f9a}" ma:internalName="TaxCatchAll" ma:showField="CatchAllData" ma:web="26b7977d-846f-439e-b153-5ac9efcb7cf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D5A9B8C-DDBE-4431-8D07-A4D49FABB37C}">
  <ds:schemaRefs>
    <ds:schemaRef ds:uri="http://schemas.microsoft.com/sharepoint/v3/contenttype/forms"/>
  </ds:schemaRefs>
</ds:datastoreItem>
</file>

<file path=customXml/itemProps2.xml><?xml version="1.0" encoding="utf-8"?>
<ds:datastoreItem xmlns:ds="http://schemas.openxmlformats.org/officeDocument/2006/customXml" ds:itemID="{4022AC8D-83DD-40A9-B1B8-4CA67D534E45}">
  <ds:schemaRefs>
    <ds:schemaRef ds:uri="http://purl.org/dc/dcmitype/"/>
    <ds:schemaRef ds:uri="b5896bc4-9af0-47aa-a861-96ea3ff970bf"/>
    <ds:schemaRef ds:uri="http://purl.org/dc/elements/1.1/"/>
    <ds:schemaRef ds:uri="http://schemas.microsoft.com/office/2006/documentManagement/types"/>
    <ds:schemaRef ds:uri="http://www.w3.org/XML/1998/namespace"/>
    <ds:schemaRef ds:uri="26b7977d-846f-439e-b153-5ac9efcb7cf3"/>
    <ds:schemaRef ds:uri="http://schemas.microsoft.com/office/2006/metadata/properties"/>
    <ds:schemaRef ds:uri="http://schemas.microsoft.com/sharepoint/v3"/>
    <ds:schemaRef ds:uri="http://schemas.microsoft.com/office/infopath/2007/PartnerControls"/>
    <ds:schemaRef ds:uri="http://schemas.openxmlformats.org/package/2006/metadata/core-properties"/>
    <ds:schemaRef ds:uri="http://purl.org/dc/terms/"/>
  </ds:schemaRefs>
</ds:datastoreItem>
</file>

<file path=customXml/itemProps3.xml><?xml version="1.0" encoding="utf-8"?>
<ds:datastoreItem xmlns:ds="http://schemas.openxmlformats.org/officeDocument/2006/customXml" ds:itemID="{12987177-9E8F-4AF5-9027-F6F19F40AFF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b5896bc4-9af0-47aa-a861-96ea3ff970bf"/>
    <ds:schemaRef ds:uri="26b7977d-846f-439e-b153-5ac9efcb7cf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554eecc5-e26c-4620-b240-5a8bb326c33d}" enabled="1" method="Privileged" siteId="{fae6d70f-954b-4811-92b6-0530d6f84c4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Overall Total</vt:lpstr>
      <vt:lpstr>DBA</vt:lpstr>
      <vt:lpstr>BLS</vt:lpstr>
      <vt:lpstr>12 PAX Van</vt:lpstr>
    </vt:vector>
  </TitlesOfParts>
  <Manager/>
  <Company>Tripler Army Medical Center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TAMC</dc:creator>
  <cp:keywords/>
  <dc:description/>
  <cp:lastModifiedBy>Francisco, Mandy N SFC USARMY 413 CONTR SPT BDE (USA)</cp:lastModifiedBy>
  <cp:revision/>
  <dcterms:created xsi:type="dcterms:W3CDTF">2004-03-04T23:21:33Z</dcterms:created>
  <dcterms:modified xsi:type="dcterms:W3CDTF">2026-05-07T02:56:33Z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0x010100D026C0236510F043A3EFBBB91C181C12</vt:lpwstr>
  </property>
  <property fmtid="{D5CDD505-2E9C-101B-9397-08002B2CF9AE}" pid="3" name="MediaServiceImageTags">
    <vt:lpwstr/>
  </property>
</Properties>
</file>