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g-my.sharepoint-mil.us/personal/melissa_n_hyacinth_uscg_mil/Documents/Desktop/"/>
    </mc:Choice>
  </mc:AlternateContent>
  <xr:revisionPtr revIDLastSave="15" documentId="8_{B5866B50-D421-4817-8A48-35CDAF8778AD}" xr6:coauthVersionLast="47" xr6:coauthVersionMax="47" xr10:uidLastSave="{3AD1D1CC-3978-45BB-A3E0-4FBE6B9FAB5C}"/>
  <bookViews>
    <workbookView xWindow="-27540" yWindow="2205" windowWidth="20850" windowHeight="12390" xr2:uid="{B409004D-9E31-4D8B-B2C8-86FB67BD35FC}"/>
  </bookViews>
  <sheets>
    <sheet name="SOS&amp;S" sheetId="1" r:id="rId1"/>
    <sheet name="CostEstimateBreakdowns" sheetId="2" r:id="rId2"/>
    <sheet name="CostEstimateTemplate" sheetId="3" r:id="rId3"/>
  </sheets>
  <definedNames>
    <definedName name="_xlnm.Print_Titles" localSheetId="1">CostEstimateBreakdowns!$A:$C,CostEstimateBreakdowns!$1:$4</definedName>
    <definedName name="_xlnm.Print_Titles" localSheetId="0">'SOS&amp;S'!$1:$4,'SOS&amp;S'!$A:$F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4" i="1"/>
  <c r="F15" i="1"/>
  <c r="F16" i="1"/>
  <c r="F17" i="1"/>
  <c r="F18" i="1"/>
  <c r="F19" i="1"/>
  <c r="F22" i="1"/>
</calcChain>
</file>

<file path=xl/sharedStrings.xml><?xml version="1.0" encoding="utf-8"?>
<sst xmlns="http://schemas.openxmlformats.org/spreadsheetml/2006/main" count="144" uniqueCount="107">
  <si>
    <t>PRICING SCHEDULE FOR:</t>
  </si>
  <si>
    <t>USCGC STONE (WMSL-418) DOCKSIDE AVAILABILITY FY2026</t>
  </si>
  <si>
    <t>ITEM</t>
  </si>
  <si>
    <t>DESCRIPTION</t>
  </si>
  <si>
    <t>UNIT PRICE</t>
  </si>
  <si>
    <t>UNIT</t>
  </si>
  <si>
    <t>QTY</t>
  </si>
  <si>
    <t>EXTENDED PRICE</t>
  </si>
  <si>
    <t>D-001</t>
  </si>
  <si>
    <t>Cargo Handling Elevator, Annual Inspection and Test, Perform</t>
  </si>
  <si>
    <t/>
  </si>
  <si>
    <t>JOB</t>
  </si>
  <si>
    <t>D-002</t>
  </si>
  <si>
    <t>Fire Detection System, Inspect and Test</t>
  </si>
  <si>
    <t>D-003</t>
  </si>
  <si>
    <t>Stern Boat Launch and Recovery, Level II</t>
  </si>
  <si>
    <t>D-004</t>
  </si>
  <si>
    <t>Potable Water Pneumatic Tank, Clean and Inspect</t>
  </si>
  <si>
    <t>D-005</t>
  </si>
  <si>
    <t>Dewatering Overboard Discharge Connections, Install</t>
  </si>
  <si>
    <t>D-006</t>
  </si>
  <si>
    <t>Tanks, Clean and Inspect</t>
  </si>
  <si>
    <t>D-007</t>
  </si>
  <si>
    <t>Talon Grid (Type 18-08), Inspect and Test</t>
  </si>
  <si>
    <t>D-008</t>
  </si>
  <si>
    <t>Deck Covering (Slip-Resistant) Flight Deck, Renew</t>
  </si>
  <si>
    <t>D-009</t>
  </si>
  <si>
    <t>Deck Covering (Slip-Resistant) Hanger, Renew</t>
  </si>
  <si>
    <t>D-010</t>
  </si>
  <si>
    <t>Deck Covering (Slip-Resistant) Renew</t>
  </si>
  <si>
    <t>D-011</t>
  </si>
  <si>
    <t>Tenting, Provide</t>
  </si>
  <si>
    <t>D-012</t>
  </si>
  <si>
    <t>Decks, Preserve Full</t>
  </si>
  <si>
    <t>D-013</t>
  </si>
  <si>
    <t>Deck Covering (Polymeric), Renew</t>
  </si>
  <si>
    <t>D-014</t>
  </si>
  <si>
    <t>Deck Covering (Polymeric), Repair and Seal</t>
  </si>
  <si>
    <t>D-015</t>
  </si>
  <si>
    <t>Fan Conduit Box, Renew</t>
  </si>
  <si>
    <t>O-016</t>
  </si>
  <si>
    <t>OPTIONAL - Welding, Provide (General)</t>
  </si>
  <si>
    <t>D-017</t>
  </si>
  <si>
    <t>QAWTDBLD 52x66 (Mafo), Replace</t>
  </si>
  <si>
    <t>D-018</t>
  </si>
  <si>
    <t>Fire Prevention, Provide</t>
  </si>
  <si>
    <t>O-00A</t>
  </si>
  <si>
    <t>Composite Labor Rate</t>
  </si>
  <si>
    <t>Hour</t>
  </si>
  <si>
    <t>O-00Z</t>
  </si>
  <si>
    <t>Laydays</t>
  </si>
  <si>
    <t>Day</t>
  </si>
  <si>
    <t>Total Price of Definite Items</t>
  </si>
  <si>
    <t>Total Price of Option Items</t>
  </si>
  <si>
    <t>Total Price of Definite and Optional Items</t>
  </si>
  <si>
    <t xml:space="preserve">Assumed G&amp;A Factor </t>
  </si>
  <si>
    <t xml:space="preserve">Assumed Profit Factor </t>
  </si>
  <si>
    <t>Direct Labor</t>
  </si>
  <si>
    <t>Direct Material/Subs Cost</t>
  </si>
  <si>
    <t>Sub-Contracted        (put a "1" in the blank)</t>
  </si>
  <si>
    <t>Total Labor Hours</t>
  </si>
  <si>
    <r>
      <rPr>
        <b/>
        <sz val="8"/>
        <rFont val="Arial"/>
        <family val="2"/>
      </rPr>
      <t xml:space="preserve">Total Material &amp; Subs          </t>
    </r>
    <r>
      <rPr>
        <b/>
        <sz val="6"/>
        <rFont val="Arial"/>
        <family val="2"/>
      </rPr>
      <t>(cost + G&amp;A + profit)</t>
    </r>
  </si>
  <si>
    <t>Eng Tech</t>
  </si>
  <si>
    <t>Machinest/Pipe Fitter</t>
  </si>
  <si>
    <t>Electrician</t>
  </si>
  <si>
    <t>Shipfitter</t>
  </si>
  <si>
    <t>Welder</t>
  </si>
  <si>
    <t>Firewatch</t>
  </si>
  <si>
    <t>Insulator/Lagger</t>
  </si>
  <si>
    <t>Painter</t>
  </si>
  <si>
    <t>Gen Labor/Helper/Rigger</t>
  </si>
  <si>
    <t>Supt/QA/NDT</t>
  </si>
  <si>
    <t>Mat/Sub Cost 1</t>
  </si>
  <si>
    <t>Mat/Sub Cost 2</t>
  </si>
  <si>
    <t>Mat/Sub Cost 3</t>
  </si>
  <si>
    <t>Mat/Sub Cost 4</t>
  </si>
  <si>
    <t>Lab Rate</t>
  </si>
  <si>
    <t>Area</t>
  </si>
  <si>
    <t>WorkItemID</t>
  </si>
  <si>
    <t>WIFileID</t>
  </si>
  <si>
    <t>LoadData</t>
  </si>
  <si>
    <t>Baltimore, MD</t>
  </si>
  <si>
    <t>Biloxi, MS</t>
  </si>
  <si>
    <t>Boston, MA</t>
  </si>
  <si>
    <t>Charleston, SC</t>
  </si>
  <si>
    <t>Corpus Christi, TX</t>
  </si>
  <si>
    <t>Hampton Roads</t>
  </si>
  <si>
    <t>Honolulu, HI</t>
  </si>
  <si>
    <t>Houston, TX</t>
  </si>
  <si>
    <t>Los Angeles, CA</t>
  </si>
  <si>
    <t>Median Rate</t>
  </si>
  <si>
    <t>Miami</t>
  </si>
  <si>
    <t>Narragansett Bay, RI</t>
  </si>
  <si>
    <t>New London, CN</t>
  </si>
  <si>
    <t>New Orleans</t>
  </si>
  <si>
    <t>NYNY</t>
  </si>
  <si>
    <t>Panama City, FL</t>
  </si>
  <si>
    <t>Philadelphia, PA</t>
  </si>
  <si>
    <t>Portland, ME</t>
  </si>
  <si>
    <t>Portland, OR</t>
  </si>
  <si>
    <t>San Diego, CA</t>
  </si>
  <si>
    <t>San Francisco, CA</t>
  </si>
  <si>
    <t>Santa Barbara, CA</t>
  </si>
  <si>
    <t>SE North Carolina</t>
  </si>
  <si>
    <t>Seattle, WA</t>
  </si>
  <si>
    <t>Tampa-St. Petersburg</t>
  </si>
  <si>
    <t>Wilmington,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</si>
</sst>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15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name val="Courier New"/>
      <family val="3"/>
    </font>
    <font>
      <sz val="8"/>
      <name val="Courier New"/>
      <family val="3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Courier New"/>
      <family val="3"/>
    </font>
    <font>
      <b/>
      <sz val="12"/>
      <name val="Arial"/>
      <family val="2"/>
    </font>
    <font>
      <sz val="8"/>
      <color indexed="10"/>
      <name val="Courier New"/>
      <family val="3"/>
    </font>
    <font>
      <b/>
      <sz val="8"/>
      <name val="Courier New"/>
      <family val="3"/>
    </font>
    <font>
      <b/>
      <sz val="6"/>
      <name val="Arial"/>
      <family val="2"/>
    </font>
    <font>
      <sz val="8"/>
      <color indexed="8"/>
      <name val="Courier New"/>
      <family val="2"/>
    </font>
    <font>
      <strike/>
      <sz val="8"/>
      <color rgb="FFFF0000"/>
      <name val="Calibri Light"/>
      <family val="2"/>
    </font>
    <font>
      <strike/>
      <sz val="10"/>
      <color rgb="FFFF0000"/>
      <name val="Calibri Light"/>
      <family val="2"/>
    </font>
    <font>
      <strike/>
      <sz val="9"/>
      <color rgb="FFFF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9" fillId="0" borderId="0" xfId="0" applyFont="1" applyAlignment="1" applyProtection="1">
      <alignment horizontal="right" wrapText="1"/>
      <protection locked="0"/>
    </xf>
    <xf numFmtId="37" fontId="8" fillId="2" borderId="0" xfId="2" applyNumberFormat="1" applyFont="1" applyFill="1" applyAlignment="1" applyProtection="1">
      <protection locked="0"/>
    </xf>
    <xf numFmtId="9" fontId="3" fillId="0" borderId="0" xfId="1" applyFont="1" applyAlignment="1" applyProtection="1">
      <protection locked="0"/>
    </xf>
    <xf numFmtId="9" fontId="4" fillId="0" borderId="0" xfId="1" applyFont="1" applyAlignment="1" applyProtection="1">
      <protection locked="0"/>
    </xf>
    <xf numFmtId="0" fontId="6" fillId="3" borderId="1" xfId="0" applyFont="1" applyFill="1" applyBorder="1" applyProtection="1">
      <protection locked="0"/>
    </xf>
    <xf numFmtId="0" fontId="6" fillId="3" borderId="1" xfId="0" applyFont="1" applyFill="1" applyBorder="1" applyAlignment="1" applyProtection="1">
      <alignment horizontal="center" wrapText="1"/>
      <protection locked="0"/>
    </xf>
    <xf numFmtId="44" fontId="6" fillId="3" borderId="1" xfId="2" applyFont="1" applyFill="1" applyBorder="1" applyAlignment="1" applyProtection="1">
      <protection locked="0"/>
    </xf>
    <xf numFmtId="0" fontId="5" fillId="0" borderId="0" xfId="0" applyFont="1" applyAlignment="1" applyProtection="1">
      <alignment horizontal="center" textRotation="90" wrapText="1"/>
      <protection locked="0"/>
    </xf>
    <xf numFmtId="0" fontId="4" fillId="0" borderId="0" xfId="0" applyFont="1" applyAlignment="1" applyProtection="1">
      <alignment horizontal="center" textRotation="90" wrapText="1"/>
      <protection locked="0"/>
    </xf>
    <xf numFmtId="0" fontId="4" fillId="0" borderId="0" xfId="0" applyFont="1" applyAlignment="1">
      <alignment textRotation="90" wrapText="1"/>
    </xf>
    <xf numFmtId="0" fontId="4" fillId="0" borderId="0" xfId="0" applyFont="1" applyAlignment="1" applyProtection="1">
      <alignment horizontal="center" wrapText="1"/>
      <protection locked="0"/>
    </xf>
    <xf numFmtId="0" fontId="4" fillId="0" borderId="0" xfId="0" applyFont="1"/>
    <xf numFmtId="0" fontId="3" fillId="0" borderId="0" xfId="0" applyFont="1"/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wrapText="1"/>
      <protection locked="0"/>
    </xf>
    <xf numFmtId="44" fontId="3" fillId="0" borderId="0" xfId="2" applyFont="1" applyAlignment="1" applyProtection="1">
      <protection locked="0"/>
    </xf>
    <xf numFmtId="0" fontId="2" fillId="0" borderId="0" xfId="0" applyFont="1"/>
    <xf numFmtId="0" fontId="11" fillId="0" borderId="0" xfId="0" applyFont="1"/>
    <xf numFmtId="0" fontId="11" fillId="0" borderId="2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9" xfId="0" applyFont="1" applyBorder="1"/>
    <xf numFmtId="0" fontId="11" fillId="0" borderId="8" xfId="0" applyFont="1" applyBorder="1" applyAlignment="1">
      <alignment wrapText="1"/>
    </xf>
    <xf numFmtId="0" fontId="0" fillId="0" borderId="0" xfId="0" applyAlignment="1">
      <alignment wrapText="1"/>
    </xf>
    <xf numFmtId="7" fontId="0" fillId="0" borderId="2" xfId="0" applyNumberFormat="1" applyBorder="1"/>
    <xf numFmtId="7" fontId="0" fillId="0" borderId="8" xfId="0" applyNumberFormat="1" applyBorder="1"/>
    <xf numFmtId="7" fontId="0" fillId="0" borderId="4" xfId="0" applyNumberFormat="1" applyBorder="1"/>
    <xf numFmtId="7" fontId="0" fillId="0" borderId="10" xfId="0" applyNumberFormat="1" applyBorder="1"/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7" fontId="13" fillId="0" borderId="10" xfId="0" applyNumberFormat="1" applyFont="1" applyBorder="1"/>
    <xf numFmtId="0" fontId="11" fillId="0" borderId="0" xfId="0" applyFont="1" applyBorder="1" applyAlignment="1">
      <alignment wrapText="1"/>
    </xf>
    <xf numFmtId="0" fontId="11" fillId="0" borderId="0" xfId="0" applyFont="1" applyBorder="1"/>
    <xf numFmtId="0" fontId="11" fillId="0" borderId="4" xfId="0" applyFont="1" applyBorder="1"/>
    <xf numFmtId="0" fontId="11" fillId="0" borderId="10" xfId="0" applyFont="1" applyBorder="1"/>
    <xf numFmtId="0" fontId="11" fillId="0" borderId="10" xfId="0" applyFont="1" applyBorder="1" applyAlignment="1">
      <alignment wrapText="1"/>
    </xf>
    <xf numFmtId="0" fontId="12" fillId="0" borderId="10" xfId="0" applyFont="1" applyBorder="1"/>
    <xf numFmtId="0" fontId="12" fillId="0" borderId="10" xfId="0" applyFont="1" applyBorder="1" applyAlignment="1">
      <alignment wrapText="1"/>
    </xf>
    <xf numFmtId="0" fontId="14" fillId="0" borderId="10" xfId="0" applyFont="1" applyBorder="1"/>
    <xf numFmtId="1" fontId="0" fillId="0" borderId="10" xfId="0" applyNumberFormat="1" applyBorder="1"/>
    <xf numFmtId="0" fontId="6" fillId="0" borderId="10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3" xfId="0" applyFont="1" applyBorder="1"/>
    <xf numFmtId="0" fontId="6" fillId="0" borderId="11" xfId="0" applyFont="1" applyBorder="1" applyAlignment="1">
      <alignment wrapText="1"/>
    </xf>
    <xf numFmtId="0" fontId="6" fillId="0" borderId="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0" xfId="0" applyFont="1" applyAlignment="1">
      <alignment wrapText="1"/>
    </xf>
  </cellXfs>
  <cellStyles count="3">
    <cellStyle name="Currency" xfId="2" builtinId="4"/>
    <cellStyle name="Normal" xfId="0" builtinId="0"/>
    <cellStyle name="Percent" xfId="1" builtinId="5"/>
  </cellStyles>
  <dxfs count="1"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F15E-8C4D-4992-A477-CF4470C34FAC}">
  <dimension ref="A1:F28"/>
  <sheetViews>
    <sheetView tabSelected="1" topLeftCell="A5" zoomScaleNormal="100" workbookViewId="0">
      <selection activeCell="B9" sqref="B9"/>
    </sheetView>
  </sheetViews>
  <sheetFormatPr defaultRowHeight="13.2" x14ac:dyDescent="0.25"/>
  <cols>
    <col min="1" max="1" width="6.33203125" customWidth="1"/>
    <col min="2" max="2" width="60.6640625" style="27" customWidth="1"/>
    <col min="3" max="3" width="13.6640625" customWidth="1"/>
    <col min="4" max="4" width="10.6640625" customWidth="1"/>
    <col min="5" max="5" width="4.33203125" customWidth="1"/>
    <col min="6" max="6" width="15.6640625" customWidth="1"/>
  </cols>
  <sheetData>
    <row r="1" spans="1:6" ht="15.9" customHeight="1" x14ac:dyDescent="0.25">
      <c r="A1" s="20"/>
      <c r="B1" s="51" t="s">
        <v>0</v>
      </c>
      <c r="C1" s="20"/>
      <c r="D1" s="20"/>
      <c r="E1" s="20"/>
      <c r="F1" s="20"/>
    </row>
    <row r="2" spans="1:6" ht="15.9" customHeight="1" x14ac:dyDescent="0.25">
      <c r="A2" s="20"/>
      <c r="B2" s="51" t="s">
        <v>1</v>
      </c>
      <c r="C2" s="20"/>
      <c r="D2" s="20"/>
      <c r="E2" s="20"/>
      <c r="F2" s="20"/>
    </row>
    <row r="3" spans="1:6" ht="15.9" customHeight="1" thickBot="1" x14ac:dyDescent="0.3">
      <c r="A3" s="21"/>
      <c r="B3" s="35"/>
      <c r="C3" s="20"/>
      <c r="D3" s="36"/>
      <c r="E3" s="36"/>
      <c r="F3" s="36"/>
    </row>
    <row r="4" spans="1:6" ht="24.9" customHeight="1" thickTop="1" thickBot="1" x14ac:dyDescent="0.3">
      <c r="A4" s="46" t="s">
        <v>2</v>
      </c>
      <c r="B4" s="47" t="s">
        <v>3</v>
      </c>
      <c r="C4" s="48" t="s">
        <v>4</v>
      </c>
      <c r="D4" s="49" t="s">
        <v>5</v>
      </c>
      <c r="E4" s="49" t="s">
        <v>6</v>
      </c>
      <c r="F4" s="50" t="s">
        <v>7</v>
      </c>
    </row>
    <row r="5" spans="1:6" ht="15.9" customHeight="1" thickTop="1" x14ac:dyDescent="0.25">
      <c r="A5" s="24" t="s">
        <v>8</v>
      </c>
      <c r="B5" s="26" t="s">
        <v>9</v>
      </c>
      <c r="C5" s="29" t="s">
        <v>10</v>
      </c>
      <c r="D5" s="25" t="s">
        <v>11</v>
      </c>
      <c r="E5" s="25">
        <v>1</v>
      </c>
      <c r="F5" s="29" t="str">
        <f>IF($C$5="","",$C$5*$E$5)</f>
        <v/>
      </c>
    </row>
    <row r="6" spans="1:6" ht="15.9" customHeight="1" x14ac:dyDescent="0.25">
      <c r="A6" s="38" t="s">
        <v>12</v>
      </c>
      <c r="B6" s="39" t="s">
        <v>13</v>
      </c>
      <c r="C6" s="31" t="s">
        <v>10</v>
      </c>
      <c r="D6" s="38" t="s">
        <v>11</v>
      </c>
      <c r="E6" s="38">
        <v>1</v>
      </c>
      <c r="F6" s="31" t="str">
        <f>IF($C$6="","",$C$6*$E$6)</f>
        <v/>
      </c>
    </row>
    <row r="7" spans="1:6" ht="15.9" customHeight="1" x14ac:dyDescent="0.25">
      <c r="A7" s="38" t="s">
        <v>14</v>
      </c>
      <c r="B7" s="39" t="s">
        <v>15</v>
      </c>
      <c r="C7" s="31" t="s">
        <v>10</v>
      </c>
      <c r="D7" s="38" t="s">
        <v>11</v>
      </c>
      <c r="E7" s="38">
        <v>1</v>
      </c>
      <c r="F7" s="31" t="str">
        <f>IF($C$7="","",$C$7*$E$7)</f>
        <v/>
      </c>
    </row>
    <row r="8" spans="1:6" ht="15.9" customHeight="1" x14ac:dyDescent="0.25">
      <c r="A8" s="38" t="s">
        <v>16</v>
      </c>
      <c r="B8" s="39" t="s">
        <v>17</v>
      </c>
      <c r="C8" s="31" t="s">
        <v>10</v>
      </c>
      <c r="D8" s="38" t="s">
        <v>11</v>
      </c>
      <c r="E8" s="38">
        <v>1</v>
      </c>
      <c r="F8" s="31" t="str">
        <f>IF($C$8="","",$C$8*$E$8)</f>
        <v/>
      </c>
    </row>
    <row r="9" spans="1:6" ht="15.9" customHeight="1" x14ac:dyDescent="0.25">
      <c r="A9" s="38" t="s">
        <v>18</v>
      </c>
      <c r="B9" s="39" t="s">
        <v>19</v>
      </c>
      <c r="C9" s="31" t="s">
        <v>10</v>
      </c>
      <c r="D9" s="38" t="s">
        <v>11</v>
      </c>
      <c r="E9" s="38">
        <v>1</v>
      </c>
      <c r="F9" s="31" t="str">
        <f>IF($C$9="","",$C$9*$E$9)</f>
        <v/>
      </c>
    </row>
    <row r="10" spans="1:6" ht="15.9" customHeight="1" x14ac:dyDescent="0.25">
      <c r="A10" s="38" t="s">
        <v>20</v>
      </c>
      <c r="B10" s="39" t="s">
        <v>21</v>
      </c>
      <c r="C10" s="31" t="s">
        <v>10</v>
      </c>
      <c r="D10" s="38" t="s">
        <v>11</v>
      </c>
      <c r="E10" s="38">
        <v>1</v>
      </c>
      <c r="F10" s="31" t="str">
        <f>IF($C$10="","",$C$10*$E$10)</f>
        <v/>
      </c>
    </row>
    <row r="11" spans="1:6" ht="15.9" customHeight="1" x14ac:dyDescent="0.3">
      <c r="A11" s="40" t="s">
        <v>22</v>
      </c>
      <c r="B11" s="41" t="s">
        <v>23</v>
      </c>
      <c r="C11" s="34" t="s">
        <v>10</v>
      </c>
      <c r="D11" s="40" t="s">
        <v>11</v>
      </c>
      <c r="E11" s="40">
        <v>1</v>
      </c>
      <c r="F11" s="31" t="str">
        <f>IF($C$11="","",$C$11*$E$11)</f>
        <v/>
      </c>
    </row>
    <row r="12" spans="1:6" ht="15.9" customHeight="1" x14ac:dyDescent="0.3">
      <c r="A12" s="40" t="s">
        <v>24</v>
      </c>
      <c r="B12" s="41" t="s">
        <v>25</v>
      </c>
      <c r="C12" s="34" t="s">
        <v>10</v>
      </c>
      <c r="D12" s="40" t="s">
        <v>11</v>
      </c>
      <c r="E12" s="40">
        <v>1</v>
      </c>
      <c r="F12" s="34" t="str">
        <f>IF($C$12="","",$C$12*$E$12)</f>
        <v/>
      </c>
    </row>
    <row r="13" spans="1:6" ht="15.9" customHeight="1" x14ac:dyDescent="0.3">
      <c r="A13" s="40" t="s">
        <v>26</v>
      </c>
      <c r="B13" s="41" t="s">
        <v>27</v>
      </c>
      <c r="C13" s="34"/>
      <c r="D13" s="40" t="s">
        <v>11</v>
      </c>
      <c r="E13" s="40">
        <v>1</v>
      </c>
      <c r="F13" s="31"/>
    </row>
    <row r="14" spans="1:6" ht="15.9" customHeight="1" x14ac:dyDescent="0.25">
      <c r="A14" s="38" t="s">
        <v>28</v>
      </c>
      <c r="B14" s="39" t="s">
        <v>29</v>
      </c>
      <c r="C14" s="31" t="s">
        <v>10</v>
      </c>
      <c r="D14" s="38" t="s">
        <v>11</v>
      </c>
      <c r="E14" s="38">
        <v>1</v>
      </c>
      <c r="F14" s="31" t="str">
        <f>IF($C$14="","",$C$14*$E$14)</f>
        <v/>
      </c>
    </row>
    <row r="15" spans="1:6" ht="15.9" customHeight="1" x14ac:dyDescent="0.25">
      <c r="A15" s="38" t="s">
        <v>30</v>
      </c>
      <c r="B15" s="39" t="s">
        <v>31</v>
      </c>
      <c r="C15" s="31" t="s">
        <v>10</v>
      </c>
      <c r="D15" s="38" t="s">
        <v>11</v>
      </c>
      <c r="E15" s="38">
        <v>1</v>
      </c>
      <c r="F15" s="31" t="str">
        <f>IF($C$15="","",$C$15*$E$15)</f>
        <v/>
      </c>
    </row>
    <row r="16" spans="1:6" ht="15.9" customHeight="1" x14ac:dyDescent="0.25">
      <c r="A16" s="38" t="s">
        <v>32</v>
      </c>
      <c r="B16" s="39" t="s">
        <v>33</v>
      </c>
      <c r="C16" s="31" t="s">
        <v>10</v>
      </c>
      <c r="D16" s="38" t="s">
        <v>11</v>
      </c>
      <c r="E16" s="38">
        <v>1</v>
      </c>
      <c r="F16" s="31" t="str">
        <f>IF($C$16="","",$C$16*$E$16)</f>
        <v/>
      </c>
    </row>
    <row r="17" spans="1:6" ht="15.9" customHeight="1" x14ac:dyDescent="0.25">
      <c r="A17" s="38" t="s">
        <v>34</v>
      </c>
      <c r="B17" s="39" t="s">
        <v>35</v>
      </c>
      <c r="C17" s="31" t="s">
        <v>10</v>
      </c>
      <c r="D17" s="38" t="s">
        <v>11</v>
      </c>
      <c r="E17" s="38">
        <v>1</v>
      </c>
      <c r="F17" s="31" t="str">
        <f>IF($C$17="","",$C$17*$E$17)</f>
        <v/>
      </c>
    </row>
    <row r="18" spans="1:6" ht="15.9" customHeight="1" x14ac:dyDescent="0.25">
      <c r="A18" s="38" t="s">
        <v>36</v>
      </c>
      <c r="B18" s="39" t="s">
        <v>37</v>
      </c>
      <c r="C18" s="31" t="s">
        <v>10</v>
      </c>
      <c r="D18" s="38" t="s">
        <v>11</v>
      </c>
      <c r="E18" s="38">
        <v>1</v>
      </c>
      <c r="F18" s="31" t="str">
        <f>IF($C$18="","",$C$18*$E$18)</f>
        <v/>
      </c>
    </row>
    <row r="19" spans="1:6" ht="15.9" customHeight="1" x14ac:dyDescent="0.25">
      <c r="A19" s="38" t="s">
        <v>38</v>
      </c>
      <c r="B19" s="39" t="s">
        <v>39</v>
      </c>
      <c r="C19" s="31" t="s">
        <v>10</v>
      </c>
      <c r="D19" s="38" t="s">
        <v>11</v>
      </c>
      <c r="E19" s="38">
        <v>1</v>
      </c>
      <c r="F19" s="31" t="str">
        <f>IF($C$19="","",$C$19*$E$19)</f>
        <v/>
      </c>
    </row>
    <row r="20" spans="1:6" ht="15.9" customHeight="1" x14ac:dyDescent="0.25">
      <c r="A20" s="38" t="s">
        <v>40</v>
      </c>
      <c r="B20" s="39" t="s">
        <v>41</v>
      </c>
      <c r="C20" s="31"/>
      <c r="D20" s="38" t="s">
        <v>11</v>
      </c>
      <c r="E20" s="38">
        <v>1</v>
      </c>
      <c r="F20" s="31"/>
    </row>
    <row r="21" spans="1:6" ht="15.9" customHeight="1" x14ac:dyDescent="0.3">
      <c r="A21" s="40" t="s">
        <v>42</v>
      </c>
      <c r="B21" s="42" t="s">
        <v>43</v>
      </c>
      <c r="C21" s="34"/>
      <c r="D21" s="40" t="s">
        <v>11</v>
      </c>
      <c r="E21" s="40">
        <v>1</v>
      </c>
      <c r="F21" s="31"/>
    </row>
    <row r="22" spans="1:6" ht="15.6" customHeight="1" x14ac:dyDescent="0.25">
      <c r="A22" s="38" t="s">
        <v>44</v>
      </c>
      <c r="B22" s="39" t="s">
        <v>45</v>
      </c>
      <c r="C22" s="31" t="s">
        <v>10</v>
      </c>
      <c r="D22" s="38" t="s">
        <v>11</v>
      </c>
      <c r="E22" s="38">
        <v>1</v>
      </c>
      <c r="F22" s="31" t="str">
        <f>IF($C$22="","",$C$22*$E$22)</f>
        <v/>
      </c>
    </row>
    <row r="23" spans="1:6" ht="15.9" customHeight="1" x14ac:dyDescent="0.25">
      <c r="A23" s="38" t="s">
        <v>46</v>
      </c>
      <c r="B23" s="39" t="s">
        <v>47</v>
      </c>
      <c r="C23" s="31" t="s">
        <v>10</v>
      </c>
      <c r="D23" s="38" t="s">
        <v>48</v>
      </c>
      <c r="E23" s="38"/>
      <c r="F23" s="38"/>
    </row>
    <row r="24" spans="1:6" ht="15.9" hidden="1" customHeight="1" x14ac:dyDescent="0.25">
      <c r="A24" s="38" t="s">
        <v>49</v>
      </c>
      <c r="B24" s="39" t="s">
        <v>50</v>
      </c>
      <c r="C24" s="31" t="s">
        <v>10</v>
      </c>
      <c r="D24" s="38" t="s">
        <v>51</v>
      </c>
      <c r="E24" s="43">
        <v>5</v>
      </c>
      <c r="F24" s="31"/>
    </row>
    <row r="25" spans="1:6" ht="15.9" customHeight="1" x14ac:dyDescent="0.25">
      <c r="A25" s="38"/>
      <c r="B25" s="44" t="s">
        <v>52</v>
      </c>
      <c r="C25" s="31"/>
      <c r="D25" s="38"/>
      <c r="E25" s="38"/>
      <c r="F25" s="31"/>
    </row>
    <row r="26" spans="1:6" ht="15.9" customHeight="1" x14ac:dyDescent="0.25">
      <c r="A26" s="38"/>
      <c r="B26" s="44" t="s">
        <v>53</v>
      </c>
      <c r="C26" s="31"/>
      <c r="D26" s="38"/>
      <c r="E26" s="38"/>
      <c r="F26" s="31"/>
    </row>
    <row r="27" spans="1:6" ht="15.9" customHeight="1" thickBot="1" x14ac:dyDescent="0.3">
      <c r="A27" s="22"/>
      <c r="B27" s="45" t="s">
        <v>54</v>
      </c>
      <c r="C27" s="28"/>
      <c r="D27" s="37"/>
      <c r="E27" s="23"/>
      <c r="F27" s="30"/>
    </row>
    <row r="28" spans="1:6" ht="13.8" thickTop="1" x14ac:dyDescent="0.25"/>
  </sheetData>
  <phoneticPr fontId="4" type="noConversion"/>
  <pageMargins left="0.75" right="0.75" top="1" bottom="1" header="0.5" footer="0.5"/>
  <pageSetup scale="70" orientation="landscape"/>
  <headerFooter>
    <oddFooter>&amp;C(11/28/2025)_x000D_
Draft-0 -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4CCE-0318-4C11-A946-624159592B63}">
  <sheetPr codeName="Sheet2"/>
  <dimension ref="A1:AG30"/>
  <sheetViews>
    <sheetView zoomScaleNormal="100" workbookViewId="0">
      <pane xSplit="3" ySplit="4" topLeftCell="Y5" activePane="bottomRight" state="frozenSplit"/>
      <selection pane="topRight" activeCell="D1" sqref="D1"/>
      <selection pane="bottomLeft" activeCell="A5" sqref="A5"/>
      <selection pane="bottomRight" activeCell="AD19" sqref="AD19"/>
    </sheetView>
  </sheetViews>
  <sheetFormatPr defaultColWidth="9.109375" defaultRowHeight="15.75" customHeight="1" x14ac:dyDescent="0.3"/>
  <cols>
    <col min="1" max="1" width="5" style="16" bestFit="1" customWidth="1"/>
    <col min="2" max="2" width="65.6640625" style="17" customWidth="1"/>
    <col min="3" max="3" width="12.33203125" style="18" customWidth="1"/>
    <col min="4" max="4" width="2.5546875" style="16" customWidth="1"/>
    <col min="5" max="5" width="3.88671875" style="16" customWidth="1"/>
    <col min="6" max="6" width="0.5546875" style="16" customWidth="1"/>
    <col min="7" max="7" width="3.6640625" style="16" customWidth="1"/>
    <col min="8" max="8" width="0.6640625" style="16" customWidth="1"/>
    <col min="9" max="9" width="6.33203125" style="16" customWidth="1"/>
    <col min="10" max="10" width="0.6640625" style="16" customWidth="1"/>
    <col min="11" max="17" width="3.33203125" style="16" customWidth="1"/>
    <col min="18" max="20" width="3.33203125" style="19" customWidth="1"/>
    <col min="21" max="21" width="0.5546875" style="19" customWidth="1"/>
    <col min="22" max="22" width="8" style="19" customWidth="1"/>
    <col min="23" max="25" width="7.33203125" style="19" customWidth="1"/>
    <col min="26" max="26" width="12.33203125" style="19" customWidth="1"/>
    <col min="27" max="27" width="11.6640625" style="19" customWidth="1"/>
    <col min="28" max="16384" width="9.109375" style="19"/>
  </cols>
  <sheetData>
    <row r="1" spans="1:33" ht="15.6" x14ac:dyDescent="0.3">
      <c r="B1" s="1" t="s">
        <v>47</v>
      </c>
      <c r="C1" s="2">
        <v>55</v>
      </c>
    </row>
    <row r="2" spans="1:33" ht="15.6" x14ac:dyDescent="0.3">
      <c r="B2" s="1" t="s">
        <v>55</v>
      </c>
      <c r="C2" s="3">
        <v>0.15</v>
      </c>
    </row>
    <row r="3" spans="1:33" ht="16.2" thickBot="1" x14ac:dyDescent="0.35">
      <c r="B3" s="1" t="s">
        <v>56</v>
      </c>
      <c r="C3" s="3">
        <v>0.1</v>
      </c>
      <c r="E3" s="4"/>
      <c r="K3" s="33" t="s">
        <v>57</v>
      </c>
      <c r="L3" s="33"/>
      <c r="M3" s="33"/>
      <c r="N3" s="33"/>
      <c r="O3" s="33"/>
      <c r="P3" s="33"/>
      <c r="Q3" s="33"/>
      <c r="R3" s="33"/>
      <c r="S3" s="33"/>
      <c r="T3" s="33"/>
      <c r="V3" s="33" t="s">
        <v>58</v>
      </c>
      <c r="W3" s="33"/>
      <c r="X3" s="33"/>
      <c r="Y3" s="33"/>
      <c r="Z3" s="32"/>
      <c r="AA3" s="32"/>
      <c r="AB3" s="32"/>
      <c r="AC3" s="32"/>
      <c r="AD3" s="32"/>
      <c r="AE3" s="32"/>
    </row>
    <row r="4" spans="1:33" ht="95.25" customHeight="1" thickBot="1" x14ac:dyDescent="0.35">
      <c r="A4" s="5" t="s">
        <v>2</v>
      </c>
      <c r="B4" s="6" t="s">
        <v>3</v>
      </c>
      <c r="C4" s="7" t="s">
        <v>4</v>
      </c>
      <c r="E4" s="8" t="s">
        <v>59</v>
      </c>
      <c r="G4" s="8" t="s">
        <v>60</v>
      </c>
      <c r="H4" s="9"/>
      <c r="I4" s="8" t="s">
        <v>61</v>
      </c>
      <c r="J4" s="9"/>
      <c r="K4" s="9" t="s">
        <v>62</v>
      </c>
      <c r="L4" s="9" t="s">
        <v>63</v>
      </c>
      <c r="M4" s="9" t="s">
        <v>64</v>
      </c>
      <c r="N4" s="9" t="s">
        <v>65</v>
      </c>
      <c r="O4" s="9" t="s">
        <v>66</v>
      </c>
      <c r="P4" s="9" t="s">
        <v>67</v>
      </c>
      <c r="Q4" s="9" t="s">
        <v>68</v>
      </c>
      <c r="R4" s="9" t="s">
        <v>69</v>
      </c>
      <c r="S4" s="9" t="s">
        <v>70</v>
      </c>
      <c r="T4" s="9" t="s">
        <v>71</v>
      </c>
      <c r="V4" s="10" t="s">
        <v>72</v>
      </c>
      <c r="W4" s="10" t="s">
        <v>73</v>
      </c>
      <c r="X4" s="10" t="s">
        <v>74</v>
      </c>
      <c r="Y4" s="10" t="s">
        <v>75</v>
      </c>
      <c r="Z4" s="11"/>
      <c r="AA4" s="12" t="s">
        <v>76</v>
      </c>
      <c r="AB4" s="12" t="s">
        <v>77</v>
      </c>
      <c r="AE4" s="13" t="s">
        <v>78</v>
      </c>
      <c r="AF4" s="13" t="s">
        <v>79</v>
      </c>
      <c r="AG4" s="13" t="s">
        <v>80</v>
      </c>
    </row>
    <row r="5" spans="1:33" ht="15.6" x14ac:dyDescent="0.3"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5"/>
      <c r="AA5" s="12">
        <v>62</v>
      </c>
      <c r="AB5" s="12" t="s">
        <v>81</v>
      </c>
      <c r="AG5" s="13"/>
    </row>
    <row r="6" spans="1:33" ht="15.6" x14ac:dyDescent="0.3"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  <c r="S6" s="15"/>
      <c r="T6" s="15"/>
      <c r="AA6" s="12">
        <v>52</v>
      </c>
      <c r="AB6" s="12" t="s">
        <v>82</v>
      </c>
      <c r="AG6" s="13"/>
    </row>
    <row r="7" spans="1:33" ht="15.6" x14ac:dyDescent="0.3"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15"/>
      <c r="T7" s="15"/>
      <c r="AA7" s="12">
        <v>56</v>
      </c>
      <c r="AB7" s="12" t="s">
        <v>83</v>
      </c>
      <c r="AG7" s="13"/>
    </row>
    <row r="8" spans="1:33" ht="15.6" x14ac:dyDescent="0.3"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15"/>
      <c r="T8" s="15"/>
      <c r="AA8" s="12">
        <v>50</v>
      </c>
      <c r="AB8" s="12" t="s">
        <v>84</v>
      </c>
      <c r="AG8" s="13"/>
    </row>
    <row r="9" spans="1:33" ht="15.6" x14ac:dyDescent="0.3"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T9" s="15"/>
      <c r="AA9" s="12">
        <v>60</v>
      </c>
      <c r="AB9" s="12" t="s">
        <v>85</v>
      </c>
      <c r="AG9" s="13"/>
    </row>
    <row r="10" spans="1:33" ht="15.6" x14ac:dyDescent="0.3"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15"/>
      <c r="T10" s="15"/>
      <c r="AA10" s="12">
        <v>51</v>
      </c>
      <c r="AB10" s="12" t="s">
        <v>86</v>
      </c>
      <c r="AG10" s="13"/>
    </row>
    <row r="11" spans="1:33" ht="15.6" x14ac:dyDescent="0.3"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  <c r="S11" s="15"/>
      <c r="T11" s="15"/>
      <c r="AA11" s="12">
        <v>64</v>
      </c>
      <c r="AB11" s="12" t="s">
        <v>87</v>
      </c>
      <c r="AG11" s="13"/>
    </row>
    <row r="12" spans="1:33" ht="15.6" x14ac:dyDescent="0.3"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  <c r="S12" s="15"/>
      <c r="T12" s="15"/>
      <c r="AA12" s="12">
        <v>55</v>
      </c>
      <c r="AB12" s="12" t="s">
        <v>88</v>
      </c>
      <c r="AG12" s="13"/>
    </row>
    <row r="13" spans="1:33" ht="15.6" x14ac:dyDescent="0.3"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5"/>
      <c r="S13" s="15"/>
      <c r="T13" s="15"/>
      <c r="AA13" s="12">
        <v>56</v>
      </c>
      <c r="AB13" s="12" t="s">
        <v>89</v>
      </c>
      <c r="AG13" s="13"/>
    </row>
    <row r="14" spans="1:33" ht="15.6" x14ac:dyDescent="0.3"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15"/>
      <c r="T14" s="15"/>
      <c r="AA14" s="12">
        <v>55</v>
      </c>
      <c r="AB14" s="12" t="s">
        <v>90</v>
      </c>
      <c r="AG14" s="13"/>
    </row>
    <row r="15" spans="1:33" ht="15.6" x14ac:dyDescent="0.3">
      <c r="AA15" s="12">
        <v>49</v>
      </c>
      <c r="AB15" s="12" t="s">
        <v>91</v>
      </c>
    </row>
    <row r="16" spans="1:33" ht="15.6" x14ac:dyDescent="0.3">
      <c r="AA16" s="12">
        <v>50</v>
      </c>
      <c r="AB16" s="12" t="s">
        <v>92</v>
      </c>
    </row>
    <row r="17" spans="27:28" ht="15.6" x14ac:dyDescent="0.3">
      <c r="AA17" s="12">
        <v>55</v>
      </c>
      <c r="AB17" s="12" t="s">
        <v>93</v>
      </c>
    </row>
    <row r="18" spans="27:28" ht="15.6" x14ac:dyDescent="0.3">
      <c r="AA18" s="12">
        <v>45</v>
      </c>
      <c r="AB18" s="12" t="s">
        <v>94</v>
      </c>
    </row>
    <row r="19" spans="27:28" ht="15.6" x14ac:dyDescent="0.3">
      <c r="AA19" s="12">
        <v>62</v>
      </c>
      <c r="AB19" s="12" t="s">
        <v>95</v>
      </c>
    </row>
    <row r="20" spans="27:28" ht="15.6" x14ac:dyDescent="0.3">
      <c r="AA20" s="12">
        <v>49</v>
      </c>
      <c r="AB20" s="12" t="s">
        <v>96</v>
      </c>
    </row>
    <row r="21" spans="27:28" ht="15.6" x14ac:dyDescent="0.3">
      <c r="AA21" s="12">
        <v>60</v>
      </c>
      <c r="AB21" s="12" t="s">
        <v>97</v>
      </c>
    </row>
    <row r="22" spans="27:28" ht="15.6" x14ac:dyDescent="0.3">
      <c r="AA22" s="12">
        <v>51</v>
      </c>
      <c r="AB22" s="12" t="s">
        <v>98</v>
      </c>
    </row>
    <row r="23" spans="27:28" ht="15.6" x14ac:dyDescent="0.3">
      <c r="AA23" s="12">
        <v>57</v>
      </c>
      <c r="AB23" s="12" t="s">
        <v>99</v>
      </c>
    </row>
    <row r="24" spans="27:28" ht="15.6" x14ac:dyDescent="0.3">
      <c r="AA24" s="12">
        <v>55</v>
      </c>
      <c r="AB24" s="12" t="s">
        <v>100</v>
      </c>
    </row>
    <row r="25" spans="27:28" ht="15.6" x14ac:dyDescent="0.3">
      <c r="AA25" s="12">
        <v>67</v>
      </c>
      <c r="AB25" s="12" t="s">
        <v>101</v>
      </c>
    </row>
    <row r="26" spans="27:28" ht="15.6" x14ac:dyDescent="0.3">
      <c r="AA26" s="12">
        <v>55</v>
      </c>
      <c r="AB26" s="12" t="s">
        <v>102</v>
      </c>
    </row>
    <row r="27" spans="27:28" ht="15.6" x14ac:dyDescent="0.3">
      <c r="AA27" s="12">
        <v>55</v>
      </c>
      <c r="AB27" s="12" t="s">
        <v>103</v>
      </c>
    </row>
    <row r="28" spans="27:28" ht="15.6" x14ac:dyDescent="0.3">
      <c r="AA28" s="12">
        <v>65</v>
      </c>
      <c r="AB28" s="12" t="s">
        <v>104</v>
      </c>
    </row>
    <row r="29" spans="27:28" ht="15.6" x14ac:dyDescent="0.3">
      <c r="AA29" s="12">
        <v>48</v>
      </c>
      <c r="AB29" s="12" t="s">
        <v>105</v>
      </c>
    </row>
    <row r="30" spans="27:28" ht="15.6" x14ac:dyDescent="0.3">
      <c r="AA30" s="12">
        <v>60</v>
      </c>
      <c r="AB30" s="12" t="s">
        <v>106</v>
      </c>
    </row>
  </sheetData>
  <mergeCells count="2">
    <mergeCell ref="K3:T3"/>
    <mergeCell ref="V3:Y3"/>
  </mergeCells>
  <conditionalFormatting sqref="A1">
    <cfRule type="containsText" dxfId="0" priority="1" operator="containsText" text="O-">
      <formula>NOT(ISERROR(SEARCH("O-",A1)))</formula>
    </cfRule>
  </conditionalFormatting>
  <dataValidations count="1">
    <dataValidation type="list" allowBlank="1" showInputMessage="1" showErrorMessage="1" sqref="C1" xr:uid="{797748DE-F6BD-44D1-B0AA-74AD0D27F5C4}">
      <formula1>$AA$5:$AA$30</formula1>
    </dataValidation>
  </dataValidations>
  <pageMargins left="0.75" right="0.75" top="1" bottom="1" header="0.5" footer="0.5"/>
  <pageSetup scale="70" fitToHeight="7" orientation="landscape" r:id="rId1"/>
  <headerFooter alignWithMargins="0">
    <oddFooter>&amp;C(09/28/2009)_x000D_
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9DFF-782B-402C-A6D0-3CDB16432D24}">
  <dimension ref="C1"/>
  <sheetViews>
    <sheetView zoomScaleNormal="100" workbookViewId="0"/>
  </sheetViews>
  <sheetFormatPr defaultRowHeight="13.2" x14ac:dyDescent="0.25"/>
  <sheetData>
    <row r="1" spans="3:3" x14ac:dyDescent="0.25">
      <c r="C1">
        <v>1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3581B48A80142AB1181A0790C612C" ma:contentTypeVersion="27" ma:contentTypeDescription="Create a new document." ma:contentTypeScope="" ma:versionID="7073500cf40c89f952a92be971ff9e23">
  <xsd:schema xmlns:xsd="http://www.w3.org/2001/XMLSchema" xmlns:xs="http://www.w3.org/2001/XMLSchema" xmlns:p="http://schemas.microsoft.com/office/2006/metadata/properties" xmlns:ns1="http://schemas.microsoft.com/sharepoint/v3" xmlns:ns2="7e527dd2-f01c-4f5c-8b67-9a946448f3af" xmlns:ns3="b49662ed-82a8-4daa-a67f-731182ab73b4" targetNamespace="http://schemas.microsoft.com/office/2006/metadata/properties" ma:root="true" ma:fieldsID="5d2587ec7df68e5e765f1b59fe6c0bbb" ns1:_="" ns2:_="" ns3:_="">
    <xsd:import namespace="http://schemas.microsoft.com/sharepoint/v3"/>
    <xsd:import namespace="7e527dd2-f01c-4f5c-8b67-9a946448f3af"/>
    <xsd:import namespace="b49662ed-82a8-4daa-a67f-731182ab73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utter" minOccurs="0"/>
                <xsd:element ref="ns2:FY" minOccurs="0"/>
                <xsd:element ref="ns2:EquipmentCategory" minOccurs="0"/>
                <xsd:element ref="ns2:FQ" minOccurs="0"/>
                <xsd:element ref="ns2:ProjectTyp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PDMDocumentType" minOccurs="0"/>
                <xsd:element ref="ns2:CY" minOccurs="0"/>
                <xsd:element ref="ns2:DISCREP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27dd2-f01c-4f5c-8b67-9a946448f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utter" ma:index="10" nillable="true" ma:displayName="Hull/Class" ma:format="Dropdown" ma:internalName="Cutter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WAGB-399"/>
                    <xsd:enumeration value="WAGB-420"/>
                    <xsd:enumeration value="WMSL-418"/>
                    <xsd:enumeration value="WMEC-282"/>
                    <xsd:enumeration value="WAGB 10"/>
                    <xsd:enumeration value="WAGB 11"/>
                    <xsd:enumeration value="WMSL 750"/>
                    <xsd:enumeration value="WMSL 751"/>
                    <xsd:enumeration value="WMSL 752"/>
                    <xsd:enumeration value="WMSL 753"/>
                    <xsd:enumeration value="WMSL 754"/>
                    <xsd:enumeration value="WMSL 755"/>
                    <xsd:enumeration value="WMSL 756"/>
                    <xsd:enumeration value="WMSL 757"/>
                    <xsd:enumeration value="WMSL 758"/>
                    <xsd:enumeration value="WMSL 759"/>
                    <xsd:enumeration value="WMSL 760"/>
                    <xsd:enumeration value="WAGB 21"/>
                    <xsd:enumeration value="WMSP-460"/>
                  </xsd:restriction>
                </xsd:simpleType>
              </xsd:element>
            </xsd:sequence>
          </xsd:extension>
        </xsd:complexContent>
      </xsd:complexType>
    </xsd:element>
    <xsd:element name="FY" ma:index="11" nillable="true" ma:displayName="FY" ma:format="Dropdown" ma:internalName="FY">
      <xsd:simpleType>
        <xsd:restriction base="dms:Choice">
          <xsd:enumeration value="1970s"/>
          <xsd:enumeration value="1980s"/>
          <xsd:enumeration value="1990s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</xsd:restriction>
      </xsd:simpleType>
    </xsd:element>
    <xsd:element name="EquipmentCategory" ma:index="12" nillable="true" ma:displayName="Equipment Category" ma:format="Dropdown" ma:internalName="EquipmentCateg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000 - General Admin"/>
                    <xsd:enumeration value="100 - Hull"/>
                    <xsd:enumeration value="222 - Generators (Prime Mover)"/>
                    <xsd:enumeration value="230 - Propulsion Units"/>
                    <xsd:enumeration value="233 - Propulsion Internal Combustion Engines"/>
                    <xsd:enumeration value="234 - Propulsion Gas Turbines"/>
                    <xsd:enumeration value="235 - Electric Propulsion"/>
                    <xsd:enumeration value="240 - Transmission and Propulsor Systems"/>
                    <xsd:enumeration value="260 - Propulsion Support Systems"/>
                    <xsd:enumeration value="300 - Electrical"/>
                    <xsd:enumeration value="310 - Electric Power Generation (Alternator)"/>
                    <xsd:enumeration value="320 - Power Distribution Systems"/>
                    <xsd:enumeration value="400 - Command &amp; Surveillance"/>
                    <xsd:enumeration value="404 - Transmission Lines"/>
                    <xsd:enumeration value="405 - Antennas"/>
                    <xsd:enumeration value="415 - Digital Data Communications"/>
                    <xsd:enumeration value="420 - Navigation Systems"/>
                    <xsd:enumeration value="430 - Interior Communications"/>
                    <xsd:enumeration value="440 - Exterior Communications"/>
                    <xsd:enumeration value="441 - Radio Systems"/>
                    <xsd:enumeration value="450 - Surveillance Systems, Surface and Air"/>
                    <xsd:enumeration value="470 - Countermeasure Systems"/>
                    <xsd:enumeration value="480 - Fire Control Systems (Weapons)"/>
                    <xsd:enumeration value="495 - Special Purpose Intelligence Systems"/>
                    <xsd:enumeration value="500 - Auxiliary"/>
                    <xsd:enumeration value="510 - Climate Control"/>
                    <xsd:enumeration value="520 - Sea Water Systems"/>
                    <xsd:enumeration value="530 - Fresh Water Systems"/>
                    <xsd:enumeration value="540 - Fuels and Lubricants, Handling and Storage"/>
                    <xsd:enumeration value="550 - Air, Gas, and Miscellaneous Fluid Systems"/>
                    <xsd:enumeration value="580 - Mechanical Handling Systems"/>
                    <xsd:enumeration value="600 - Outfittings"/>
                    <xsd:enumeration value="700 - Armaments"/>
                    <xsd:enumeration value="800 - Shipbuilding"/>
                    <xsd:enumeration value="900 - Acquisition"/>
                  </xsd:restriction>
                </xsd:simpleType>
              </xsd:element>
            </xsd:sequence>
          </xsd:extension>
        </xsd:complexContent>
      </xsd:complexType>
    </xsd:element>
    <xsd:element name="FQ" ma:index="13" nillable="true" ma:displayName="FQ" ma:format="Dropdown" ma:internalName="FQ">
      <xsd:simpleType>
        <xsd:restriction base="dms:Choice">
          <xsd:enumeration value="1"/>
          <xsd:enumeration value="2"/>
          <xsd:enumeration value="3"/>
          <xsd:enumeration value="4"/>
        </xsd:restriction>
      </xsd:simpleType>
    </xsd:element>
    <xsd:element name="ProjectType" ma:index="14" nillable="true" ma:displayName="Project Type" ma:format="Dropdown" ma:internalName="ProjectType">
      <xsd:simpleType>
        <xsd:restriction base="dms:Choice">
          <xsd:enumeration value="DS"/>
          <xsd:enumeration value="DD"/>
          <xsd:enumeration value="SMP"/>
          <xsd:enumeration value="DISCREP"/>
          <xsd:enumeration value="C5I"/>
          <xsd:enumeration value="PC&amp;I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0711c0e-4245-4ab7-b236-62d0b6835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PDMDocumentType" ma:index="26" nillable="true" ma:displayName="PDM Doc Type" ma:format="Dropdown" ma:internalName="PDMDocumentType">
      <xsd:simpleType>
        <xsd:restriction base="dms:Choice">
          <xsd:enumeration value="CFR"/>
          <xsd:enumeration value="Specification"/>
          <xsd:enumeration value="IGE"/>
          <xsd:enumeration value="Standard Report"/>
          <xsd:enumeration value="Inspection Report"/>
          <xsd:enumeration value="Drawing"/>
          <xsd:enumeration value="Acceptance Tests"/>
          <xsd:enumeration value="MPC"/>
          <xsd:enumeration value="Tech Pub"/>
          <xsd:enumeration value="Photos"/>
          <xsd:enumeration value="Choice 11"/>
        </xsd:restriction>
      </xsd:simpleType>
    </xsd:element>
    <xsd:element name="CY" ma:index="27" nillable="true" ma:displayName="CY" ma:format="Dropdown" ma:internalName="CY">
      <xsd:simpleType>
        <xsd:restriction base="dms:Choice">
          <xsd:enumeration value="1970s"/>
          <xsd:enumeration value="1980s"/>
          <xsd:enumeration value="1990s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</xsd:restriction>
      </xsd:simpleType>
    </xsd:element>
    <xsd:element name="DISCREPStatus" ma:index="28" nillable="true" ma:displayName="DISCREP Status" ma:format="Dropdown" ma:internalName="DISCREPStatus">
      <xsd:simpleType>
        <xsd:restriction base="dms:Choice">
          <xsd:enumeration value="OPEN"/>
          <xsd:enumeration value="CLOSE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662ed-82a8-4daa-a67f-731182ab73b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10cecd2-1f2f-4066-8d28-3da6647ec94c}" ma:internalName="TaxCatchAll" ma:showField="CatchAllData" ma:web="b49662ed-82a8-4daa-a67f-731182ab73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ojectType xmlns="7e527dd2-f01c-4f5c-8b67-9a946448f3af" xsi:nil="true"/>
    <TaxCatchAll xmlns="b49662ed-82a8-4daa-a67f-731182ab73b4" xsi:nil="true"/>
    <CY xmlns="7e527dd2-f01c-4f5c-8b67-9a946448f3af" xsi:nil="true"/>
    <DISCREPStatus xmlns="7e527dd2-f01c-4f5c-8b67-9a946448f3af" xsi:nil="true"/>
    <_ip_UnifiedCompliancePolicyProperties xmlns="http://schemas.microsoft.com/sharepoint/v3" xsi:nil="true"/>
    <FY xmlns="7e527dd2-f01c-4f5c-8b67-9a946448f3af" xsi:nil="true"/>
    <PDMDocumentType xmlns="7e527dd2-f01c-4f5c-8b67-9a946448f3af" xsi:nil="true"/>
    <EquipmentCategory xmlns="7e527dd2-f01c-4f5c-8b67-9a946448f3af" xsi:nil="true"/>
    <lcf76f155ced4ddcb4097134ff3c332f xmlns="7e527dd2-f01c-4f5c-8b67-9a946448f3af">
      <Terms xmlns="http://schemas.microsoft.com/office/infopath/2007/PartnerControls"/>
    </lcf76f155ced4ddcb4097134ff3c332f>
    <Cutter xmlns="7e527dd2-f01c-4f5c-8b67-9a946448f3af" xsi:nil="true"/>
    <FQ xmlns="7e527dd2-f01c-4f5c-8b67-9a946448f3af" xsi:nil="true"/>
  </documentManagement>
</p:properties>
</file>

<file path=customXml/itemProps1.xml><?xml version="1.0" encoding="utf-8"?>
<ds:datastoreItem xmlns:ds="http://schemas.openxmlformats.org/officeDocument/2006/customXml" ds:itemID="{CA8536CA-FB0B-47A7-8FDB-82DAF92ABC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5809B7-9267-4390-897B-FCBF6474EA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527dd2-f01c-4f5c-8b67-9a946448f3af"/>
    <ds:schemaRef ds:uri="b49662ed-82a8-4daa-a67f-731182ab73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A8A45C-3460-41C5-92E6-C494C6D701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e527dd2-f01c-4f5c-8b67-9a946448f3af"/>
    <ds:schemaRef ds:uri="b49662ed-82a8-4daa-a67f-731182ab73b4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SOS&amp;S</vt:lpstr>
      <vt:lpstr>CostEstimateBreakdowns</vt:lpstr>
      <vt:lpstr>CostEstimateTemplate</vt:lpstr>
      <vt:lpstr>CostEstimateBreakdowns!Print_Titles</vt:lpstr>
      <vt:lpstr>'SOS&amp;S'!Print_Titles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Hyacinth, Melissa N LTJG USCG SFLC (USA)</dc:creator>
  <cp:keywords/>
  <dc:description/>
  <cp:lastModifiedBy>Hyacinth, Melissa N LTJG USCG SFLC (USA)</cp:lastModifiedBy>
  <cp:revision/>
  <dcterms:created xsi:type="dcterms:W3CDTF">2025-11-28T18:18:02Z</dcterms:created>
  <dcterms:modified xsi:type="dcterms:W3CDTF">2026-04-27T17:01:58Z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0x0101008B73581B48A80142AB1181A0790C612C</vt:lpwstr>
  </property>
  <property fmtid="{D5CDD505-2E9C-101B-9397-08002B2CF9AE}" pid="3" name="MediaServiceImageTags">
    <vt:lpwstr/>
  </property>
</Properties>
</file>