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R:\PKA\2. Contracts\FY26\26QAxxxx - Local Drayage Service - Takeshi\Tab.C - Solicitation\"/>
    </mc:Choice>
  </mc:AlternateContent>
  <xr:revisionPtr revIDLastSave="0" documentId="13_ncr:1_{6F2CADEB-6FFF-4EE1-A0A1-934FB85C579A}" xr6:coauthVersionLast="47" xr6:coauthVersionMax="47" xr10:uidLastSave="{00000000-0000-0000-0000-000000000000}"/>
  <bookViews>
    <workbookView xWindow="-28920" yWindow="90" windowWidth="29040" windowHeight="15510" xr2:uid="{00000000-000D-0000-FFFF-FFFF00000000}"/>
  </bookViews>
  <sheets>
    <sheet name="FY26-FY30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4" l="1"/>
  <c r="L42" i="4" s="1"/>
  <c r="L53" i="4" s="1"/>
  <c r="M53" i="4" s="1"/>
  <c r="L32" i="4"/>
  <c r="L43" i="4" s="1"/>
  <c r="L54" i="4" s="1"/>
  <c r="M54" i="4" s="1"/>
  <c r="L18" i="4"/>
  <c r="L29" i="4" s="1"/>
  <c r="L40" i="4" s="1"/>
  <c r="L51" i="4" s="1"/>
  <c r="M51" i="4" s="1"/>
  <c r="L19" i="4"/>
  <c r="L30" i="4" s="1"/>
  <c r="L41" i="4" s="1"/>
  <c r="L52" i="4" s="1"/>
  <c r="M52" i="4" s="1"/>
  <c r="L20" i="4"/>
  <c r="L21" i="4"/>
  <c r="L22" i="4"/>
  <c r="L33" i="4" s="1"/>
  <c r="L44" i="4" s="1"/>
  <c r="L55" i="4" s="1"/>
  <c r="M55" i="4" s="1"/>
  <c r="L17" i="4"/>
  <c r="L28" i="4" s="1"/>
  <c r="L39" i="4" s="1"/>
  <c r="L50" i="4" s="1"/>
  <c r="M50" i="4" s="1"/>
  <c r="E17" i="4"/>
  <c r="E28" i="4" s="1"/>
  <c r="E39" i="4" s="1"/>
  <c r="E50" i="4" s="1"/>
  <c r="F50" i="4" s="1"/>
  <c r="E32" i="4"/>
  <c r="E43" i="4" s="1"/>
  <c r="E54" i="4" s="1"/>
  <c r="F54" i="4" s="1"/>
  <c r="E18" i="4"/>
  <c r="E29" i="4" s="1"/>
  <c r="E40" i="4" s="1"/>
  <c r="E51" i="4" s="1"/>
  <c r="F51" i="4" s="1"/>
  <c r="E19" i="4"/>
  <c r="E30" i="4" s="1"/>
  <c r="E41" i="4" s="1"/>
  <c r="E52" i="4" s="1"/>
  <c r="F52" i="4" s="1"/>
  <c r="E20" i="4"/>
  <c r="E31" i="4" s="1"/>
  <c r="E42" i="4" s="1"/>
  <c r="E53" i="4" s="1"/>
  <c r="F53" i="4" s="1"/>
  <c r="E21" i="4"/>
  <c r="E22" i="4"/>
  <c r="E33" i="4" s="1"/>
  <c r="E44" i="4" s="1"/>
  <c r="E55" i="4" s="1"/>
  <c r="F55" i="4" s="1"/>
  <c r="M56" i="4" l="1"/>
  <c r="M57" i="4" s="1"/>
  <c r="F56" i="4"/>
  <c r="F57" i="4" s="1"/>
  <c r="M33" i="4"/>
  <c r="M32" i="4"/>
  <c r="M31" i="4"/>
  <c r="M30" i="4"/>
  <c r="M29" i="4"/>
  <c r="M28" i="4"/>
  <c r="M44" i="4"/>
  <c r="M43" i="4"/>
  <c r="M42" i="4"/>
  <c r="M41" i="4"/>
  <c r="M40" i="4"/>
  <c r="M39" i="4"/>
  <c r="F44" i="4"/>
  <c r="F43" i="4"/>
  <c r="F42" i="4"/>
  <c r="F41" i="4"/>
  <c r="F40" i="4"/>
  <c r="F39" i="4"/>
  <c r="F33" i="4"/>
  <c r="F32" i="4"/>
  <c r="F31" i="4"/>
  <c r="F30" i="4"/>
  <c r="F29" i="4"/>
  <c r="F28" i="4"/>
  <c r="M45" i="4" l="1"/>
  <c r="M46" i="4" s="1"/>
  <c r="M34" i="4"/>
  <c r="M35" i="4" s="1"/>
  <c r="M22" i="4"/>
  <c r="M21" i="4"/>
  <c r="M20" i="4"/>
  <c r="M19" i="4"/>
  <c r="M18" i="4"/>
  <c r="M17" i="4"/>
  <c r="M12" i="4" l="1"/>
  <c r="M13" i="4" s="1"/>
  <c r="M23" i="4"/>
  <c r="M24" i="4" s="1"/>
  <c r="F22" i="4" l="1"/>
  <c r="F21" i="4"/>
  <c r="F20" i="4"/>
  <c r="F19" i="4"/>
  <c r="F18" i="4"/>
  <c r="F17" i="4"/>
  <c r="F11" i="4"/>
  <c r="F12" i="4" l="1"/>
  <c r="F13" i="4" s="1"/>
  <c r="F34" i="4"/>
  <c r="F35" i="4" s="1"/>
  <c r="F23" i="4"/>
  <c r="F24" i="4" s="1"/>
  <c r="F45" i="4"/>
  <c r="F46" i="4" s="1"/>
</calcChain>
</file>

<file path=xl/sharedStrings.xml><?xml version="1.0" encoding="utf-8"?>
<sst xmlns="http://schemas.openxmlformats.org/spreadsheetml/2006/main" count="206" uniqueCount="37">
  <si>
    <t>SUPPLIES/SERVICES</t>
  </si>
  <si>
    <t>ESTIMATED QUANTITY</t>
  </si>
  <si>
    <t>EA</t>
  </si>
  <si>
    <t>UNIT OF
ISSUE</t>
  </si>
  <si>
    <t>CLINS</t>
  </si>
  <si>
    <t>UNIT 
PRICE</t>
  </si>
  <si>
    <t>CATEGORY 1,  IAW  PWS  1.1.1</t>
  </si>
  <si>
    <t>CATEGORY 2,  IAW PWS   1.1.2</t>
  </si>
  <si>
    <t>CATEGORY 3,  IAW PWS   1.1.3</t>
  </si>
  <si>
    <t>CATEGORY 4,   IAW PWS   1.1.4</t>
  </si>
  <si>
    <t>CATEGORY 5,   IAW PWS   1.1.5</t>
  </si>
  <si>
    <t>CATEGORY 6,   IAW PWS   1.1.6</t>
  </si>
  <si>
    <t>ESTIMATED 
TOTAL AMOUNT</t>
  </si>
  <si>
    <t>CATEGORY 3,   IAW PWS   1.1.3</t>
  </si>
  <si>
    <t>CATEGORY 2,   IAW PWS   1.1.2</t>
  </si>
  <si>
    <t>CATEGORY 1,   IAW  PWS  1.1.1</t>
  </si>
  <si>
    <t>4002</t>
  </si>
  <si>
    <t>0001</t>
  </si>
  <si>
    <t>0002</t>
  </si>
  <si>
    <r>
      <t xml:space="preserve">DOCUMENT 2,  </t>
    </r>
    <r>
      <rPr>
        <sz val="11"/>
        <color theme="1"/>
        <rFont val="Cambria"/>
        <family val="1"/>
        <scheme val="major"/>
      </rPr>
      <t xml:space="preserve">PRICE EXHIBIT B  </t>
    </r>
    <r>
      <rPr>
        <b/>
        <sz val="11"/>
        <color rgb="FFFF0000"/>
        <rFont val="Cambria"/>
        <family val="1"/>
        <scheme val="major"/>
      </rPr>
      <t xml:space="preserve"> (</t>
    </r>
    <r>
      <rPr>
        <b/>
        <i/>
        <u/>
        <sz val="11"/>
        <color rgb="FFFF0000"/>
        <rFont val="Cambria"/>
        <family val="1"/>
        <scheme val="major"/>
      </rPr>
      <t>UNACCOMPANIED</t>
    </r>
    <r>
      <rPr>
        <b/>
        <sz val="11"/>
        <color rgb="FFFF0000"/>
        <rFont val="Cambria"/>
        <family val="1"/>
        <scheme val="major"/>
      </rPr>
      <t>)</t>
    </r>
    <r>
      <rPr>
        <sz val="11"/>
        <color rgb="FFFF0000"/>
        <rFont val="Cambria"/>
        <family val="1"/>
        <scheme val="major"/>
      </rPr>
      <t xml:space="preserve"> </t>
    </r>
    <r>
      <rPr>
        <sz val="11"/>
        <color theme="1"/>
        <rFont val="Cambria"/>
        <family val="1"/>
        <scheme val="major"/>
      </rPr>
      <t xml:space="preserve"> O&amp;M</t>
    </r>
    <r>
      <rPr>
        <sz val="12"/>
        <color theme="1"/>
        <rFont val="Cambria"/>
        <family val="1"/>
        <scheme val="major"/>
      </rPr>
      <t xml:space="preserve">
RFP NUMBER:   FA5270</t>
    </r>
    <r>
      <rPr>
        <b/>
        <sz val="12"/>
        <color theme="1"/>
        <rFont val="Cambria"/>
        <family val="1"/>
        <scheme val="major"/>
      </rPr>
      <t xml:space="preserve">
</t>
    </r>
    <r>
      <rPr>
        <sz val="12"/>
        <color theme="1"/>
        <rFont val="Cambria"/>
        <family val="1"/>
        <scheme val="major"/>
      </rPr>
      <t xml:space="preserve">APPLIANCE DRAYAGE SERVICES, OKINAWA, JAPAN </t>
    </r>
  </si>
  <si>
    <r>
      <t xml:space="preserve">DOCUMENT 1, </t>
    </r>
    <r>
      <rPr>
        <sz val="11"/>
        <color theme="1"/>
        <rFont val="Cambria"/>
        <family val="1"/>
        <scheme val="major"/>
      </rPr>
      <t xml:space="preserve">PRICE EXHIBIT A  </t>
    </r>
    <r>
      <rPr>
        <b/>
        <sz val="11"/>
        <color rgb="FFFF0000"/>
        <rFont val="Cambria"/>
        <family val="1"/>
        <scheme val="major"/>
      </rPr>
      <t xml:space="preserve"> (ACCOMPANIED)</t>
    </r>
    <r>
      <rPr>
        <sz val="12"/>
        <color theme="1"/>
        <rFont val="Cambria"/>
        <family val="1"/>
        <scheme val="major"/>
      </rPr>
      <t xml:space="preserve">
RFP NUMBER: </t>
    </r>
    <r>
      <rPr>
        <b/>
        <sz val="12"/>
        <color rgb="FFC00000"/>
        <rFont val="Cambria"/>
        <family val="1"/>
        <scheme val="major"/>
      </rPr>
      <t xml:space="preserve">  FA5270-</t>
    </r>
    <r>
      <rPr>
        <b/>
        <sz val="12"/>
        <color theme="1"/>
        <rFont val="Cambria"/>
        <family val="1"/>
        <scheme val="major"/>
      </rPr>
      <t xml:space="preserve">
</t>
    </r>
    <r>
      <rPr>
        <sz val="12"/>
        <color theme="1"/>
        <rFont val="Cambria"/>
        <family val="1"/>
        <scheme val="major"/>
      </rPr>
      <t xml:space="preserve">APPLIANCE DRAYAGE SERVICES, OKINAWA, JAPAN </t>
    </r>
  </si>
  <si>
    <t xml:space="preserve">FY26 Total Estimated Amount: </t>
  </si>
  <si>
    <t xml:space="preserve">FY27 Total Estimated Amount: </t>
  </si>
  <si>
    <t xml:space="preserve">FY28 Total Estimated Amount: </t>
  </si>
  <si>
    <t xml:space="preserve">FY29 Total Estimated Amount: </t>
  </si>
  <si>
    <t xml:space="preserve">FY30 Total Estimated Amount: </t>
  </si>
  <si>
    <r>
      <t xml:space="preserve">FY27 OPTION YEAR 1    </t>
    </r>
    <r>
      <rPr>
        <b/>
        <sz val="10"/>
        <color theme="1"/>
        <rFont val="Cambria"/>
        <family val="1"/>
        <scheme val="major"/>
      </rPr>
      <t xml:space="preserve">(1 July 2027 thru 30 June 2028)       </t>
    </r>
    <r>
      <rPr>
        <b/>
        <sz val="12"/>
        <color theme="1"/>
        <rFont val="Cambria"/>
        <family val="1"/>
        <scheme val="major"/>
      </rPr>
      <t xml:space="preserve">      </t>
    </r>
    <r>
      <rPr>
        <b/>
        <sz val="12"/>
        <rFont val="Cambria"/>
        <family val="1"/>
        <scheme val="major"/>
      </rPr>
      <t xml:space="preserve"> </t>
    </r>
    <r>
      <rPr>
        <b/>
        <sz val="12"/>
        <rFont val="Aptos Black"/>
        <family val="2"/>
      </rPr>
      <t>3% increased the unit price from FY26</t>
    </r>
  </si>
  <si>
    <r>
      <t xml:space="preserve">FY28  OPTION YEAR 2    </t>
    </r>
    <r>
      <rPr>
        <b/>
        <sz val="10"/>
        <color theme="1"/>
        <rFont val="Cambria"/>
        <family val="1"/>
        <scheme val="major"/>
      </rPr>
      <t xml:space="preserve">(1 July 2028 thru 30 June 2029)             </t>
    </r>
    <r>
      <rPr>
        <b/>
        <sz val="12"/>
        <color theme="1"/>
        <rFont val="Aptos Black"/>
        <family val="2"/>
      </rPr>
      <t xml:space="preserve"> </t>
    </r>
    <r>
      <rPr>
        <b/>
        <sz val="12"/>
        <rFont val="Aptos Black"/>
        <family val="2"/>
      </rPr>
      <t>3% increased the unit price from FY27</t>
    </r>
  </si>
  <si>
    <r>
      <t xml:space="preserve">FY29  OPTION YEAR 3    </t>
    </r>
    <r>
      <rPr>
        <b/>
        <sz val="10"/>
        <color theme="1"/>
        <rFont val="Cambria"/>
        <family val="1"/>
        <scheme val="major"/>
      </rPr>
      <t xml:space="preserve">(1 July 2029 thru 30 June 2030)    </t>
    </r>
    <r>
      <rPr>
        <b/>
        <sz val="12"/>
        <color theme="1"/>
        <rFont val="Cambria"/>
        <family val="1"/>
        <scheme val="major"/>
      </rPr>
      <t xml:space="preserve">         </t>
    </r>
    <r>
      <rPr>
        <b/>
        <sz val="12"/>
        <color theme="1"/>
        <rFont val="Aptos Black"/>
        <family val="2"/>
      </rPr>
      <t>3% increased the unit price from FY28</t>
    </r>
  </si>
  <si>
    <r>
      <t xml:space="preserve">FY30  OPTION YEAR 4    </t>
    </r>
    <r>
      <rPr>
        <b/>
        <sz val="10"/>
        <color theme="1"/>
        <rFont val="Cambria"/>
        <family val="1"/>
        <scheme val="major"/>
      </rPr>
      <t xml:space="preserve">(1 July 2030 thru 30 June 2031)         </t>
    </r>
    <r>
      <rPr>
        <b/>
        <sz val="12"/>
        <color theme="1"/>
        <rFont val="Cambria"/>
        <family val="1"/>
        <scheme val="major"/>
      </rPr>
      <t xml:space="preserve">    </t>
    </r>
    <r>
      <rPr>
        <b/>
        <sz val="12"/>
        <color theme="1"/>
        <rFont val="Aptos Black"/>
        <family val="2"/>
      </rPr>
      <t>3% increased the unit price from FY29</t>
    </r>
  </si>
  <si>
    <r>
      <t xml:space="preserve">FY27 OPTION YEAR 1    </t>
    </r>
    <r>
      <rPr>
        <b/>
        <sz val="10"/>
        <color theme="1"/>
        <rFont val="Cambria"/>
        <family val="1"/>
        <scheme val="major"/>
      </rPr>
      <t xml:space="preserve">(1 July 2027 thru 30 June 2028)               </t>
    </r>
    <r>
      <rPr>
        <b/>
        <sz val="12"/>
        <color theme="1"/>
        <rFont val="Cambria"/>
        <family val="1"/>
        <scheme val="major"/>
      </rPr>
      <t xml:space="preserve">   </t>
    </r>
    <r>
      <rPr>
        <b/>
        <sz val="12"/>
        <color theme="1"/>
        <rFont val="Aptos Black"/>
        <family val="2"/>
      </rPr>
      <t>3% increased the unit price from FY26</t>
    </r>
  </si>
  <si>
    <r>
      <t xml:space="preserve">FY28  OPTION YEAR 2    </t>
    </r>
    <r>
      <rPr>
        <b/>
        <sz val="10"/>
        <color theme="1"/>
        <rFont val="Cambria"/>
        <family val="1"/>
        <scheme val="major"/>
      </rPr>
      <t xml:space="preserve">(1 July 2028 thru 30 June 2029)                </t>
    </r>
    <r>
      <rPr>
        <b/>
        <sz val="12"/>
        <color theme="1"/>
        <rFont val="Aptos Black"/>
        <family val="2"/>
      </rPr>
      <t xml:space="preserve">  3% increasedthe unit price from FY27</t>
    </r>
  </si>
  <si>
    <r>
      <t xml:space="preserve">FY29  OPTION YEAR 3    </t>
    </r>
    <r>
      <rPr>
        <b/>
        <sz val="10"/>
        <color theme="1"/>
        <rFont val="Cambria"/>
        <family val="1"/>
        <scheme val="major"/>
      </rPr>
      <t xml:space="preserve">(1 July 2029 thru 30 June 2030)                </t>
    </r>
    <r>
      <rPr>
        <b/>
        <sz val="12"/>
        <color theme="1"/>
        <rFont val="Aptos Black"/>
        <family val="2"/>
      </rPr>
      <t xml:space="preserve"> 3% increased the unit price from FY28</t>
    </r>
  </si>
  <si>
    <r>
      <t xml:space="preserve">FY30  OPTION YEAR 4    </t>
    </r>
    <r>
      <rPr>
        <b/>
        <sz val="10"/>
        <color theme="1"/>
        <rFont val="Cambria"/>
        <family val="1"/>
        <scheme val="major"/>
      </rPr>
      <t xml:space="preserve">(1 July 2030 thru 30 June 2031)                 </t>
    </r>
    <r>
      <rPr>
        <b/>
        <sz val="12"/>
        <color theme="1"/>
        <rFont val="Cambria"/>
        <family val="1"/>
        <scheme val="major"/>
      </rPr>
      <t xml:space="preserve"> </t>
    </r>
    <r>
      <rPr>
        <b/>
        <sz val="12"/>
        <color theme="1"/>
        <rFont val="Aptos Black"/>
        <family val="2"/>
      </rPr>
      <t>3% increased the unit price from FY29</t>
    </r>
  </si>
  <si>
    <r>
      <t xml:space="preserve">FY26  BASIC YEAR     </t>
    </r>
    <r>
      <rPr>
        <b/>
        <sz val="10"/>
        <color theme="1"/>
        <rFont val="Cambria"/>
        <family val="1"/>
        <scheme val="major"/>
      </rPr>
      <t xml:space="preserve">(1 July 2026 thru 30 June 2027)  </t>
    </r>
    <r>
      <rPr>
        <b/>
        <sz val="12"/>
        <rFont val="Aptos Black"/>
        <family val="2"/>
      </rPr>
      <t xml:space="preserve"> 15% increased the unit price from last contract</t>
    </r>
  </si>
  <si>
    <r>
      <t xml:space="preserve">FY26  BASIC YEAR     </t>
    </r>
    <r>
      <rPr>
        <b/>
        <sz val="10"/>
        <color theme="1"/>
        <rFont val="Cambria"/>
        <family val="1"/>
        <scheme val="major"/>
      </rPr>
      <t xml:space="preserve">(1 July 2026 thru 30 June 2027) </t>
    </r>
    <r>
      <rPr>
        <b/>
        <sz val="12"/>
        <color theme="1"/>
        <rFont val="Cambria"/>
        <family val="1"/>
        <scheme val="major"/>
      </rPr>
      <t xml:space="preserve">     </t>
    </r>
    <r>
      <rPr>
        <b/>
        <sz val="12"/>
        <color theme="1"/>
        <rFont val="Aptos Black"/>
        <family val="2"/>
      </rPr>
      <t>15% increased the unit price from last contract</t>
    </r>
  </si>
  <si>
    <t xml:space="preserve"> **The unit price increased and Estimated Qty also increased.                                                                         FY26 Yen rate : 1$=Y150.4415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</si>
</sst>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¥-804]* #,##0_ ;_ [$¥-804]* \-#,##0_ ;_ [$¥-804]* &quot;-&quot;??_ ;_ @_ "/>
    <numFmt numFmtId="165" formatCode="&quot;$&quot;#,##0.00"/>
    <numFmt numFmtId="166" formatCode="_ [$¥-804]* #,##0.0000_ ;_ [$¥-804]* \-#,##0.0000_ ;_ [$¥-804]* &quot;-&quot;????_ ;_ @_ "/>
  </numFmts>
  <fonts count="20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b/>
      <i/>
      <sz val="10"/>
      <color theme="1"/>
      <name val="Cambria"/>
      <family val="1"/>
      <scheme val="major"/>
    </font>
    <font>
      <sz val="11"/>
      <color rgb="FFFF0000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i/>
      <sz val="11"/>
      <color theme="1"/>
      <name val="Cambria"/>
      <family val="1"/>
      <scheme val="major"/>
    </font>
    <font>
      <b/>
      <sz val="11"/>
      <color rgb="FFFF0000"/>
      <name val="Cambria"/>
      <family val="1"/>
      <scheme val="major"/>
    </font>
    <font>
      <b/>
      <i/>
      <u/>
      <sz val="11"/>
      <color rgb="FFFF0000"/>
      <name val="Cambria"/>
      <family val="1"/>
      <scheme val="major"/>
    </font>
    <font>
      <b/>
      <sz val="12"/>
      <color rgb="FFC00000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name val="Aptos Black"/>
      <family val="2"/>
    </font>
    <font>
      <b/>
      <sz val="12"/>
      <color theme="1"/>
      <name val="Aptos Black"/>
      <family val="2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164" fontId="6" fillId="0" borderId="2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right"/>
    </xf>
    <xf numFmtId="165" fontId="9" fillId="0" borderId="0" xfId="0" applyNumberFormat="1" applyFont="1" applyAlignment="1">
      <alignment horizontal="right"/>
    </xf>
    <xf numFmtId="0" fontId="7" fillId="0" borderId="17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165" fontId="9" fillId="0" borderId="6" xfId="0" applyNumberFormat="1" applyFont="1" applyBorder="1" applyAlignment="1">
      <alignment horizontal="right"/>
    </xf>
    <xf numFmtId="0" fontId="6" fillId="0" borderId="17" xfId="0" applyFont="1" applyBorder="1" applyAlignment="1">
      <alignment horizontal="right" wrapText="1"/>
    </xf>
    <xf numFmtId="0" fontId="8" fillId="0" borderId="18" xfId="0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4" fontId="6" fillId="4" borderId="2" xfId="0" applyNumberFormat="1" applyFont="1" applyFill="1" applyBorder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64" fontId="5" fillId="2" borderId="7" xfId="0" applyNumberFormat="1" applyFont="1" applyFill="1" applyBorder="1" applyAlignment="1">
      <alignment horizontal="center"/>
    </xf>
    <xf numFmtId="165" fontId="9" fillId="2" borderId="21" xfId="0" applyNumberFormat="1" applyFont="1" applyFill="1" applyBorder="1" applyAlignment="1">
      <alignment horizontal="right"/>
    </xf>
    <xf numFmtId="165" fontId="12" fillId="2" borderId="21" xfId="0" applyNumberFormat="1" applyFont="1" applyFill="1" applyBorder="1"/>
    <xf numFmtId="0" fontId="5" fillId="6" borderId="9" xfId="0" applyFont="1" applyFill="1" applyBorder="1" applyAlignment="1">
      <alignment horizontal="right" wrapText="1"/>
    </xf>
    <xf numFmtId="0" fontId="5" fillId="6" borderId="1" xfId="0" applyFont="1" applyFill="1" applyBorder="1" applyAlignment="1">
      <alignment horizontal="center" wrapText="1"/>
    </xf>
    <xf numFmtId="164" fontId="5" fillId="6" borderId="7" xfId="0" applyNumberFormat="1" applyFont="1" applyFill="1" applyBorder="1" applyAlignment="1">
      <alignment horizontal="center"/>
    </xf>
    <xf numFmtId="165" fontId="9" fillId="6" borderId="21" xfId="0" applyNumberFormat="1" applyFont="1" applyFill="1" applyBorder="1" applyAlignment="1">
      <alignment horizontal="right"/>
    </xf>
    <xf numFmtId="165" fontId="12" fillId="6" borderId="24" xfId="0" applyNumberFormat="1" applyFont="1" applyFill="1" applyBorder="1"/>
    <xf numFmtId="0" fontId="5" fillId="6" borderId="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6" borderId="5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vertical="center"/>
    </xf>
    <xf numFmtId="0" fontId="5" fillId="6" borderId="9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vertical="center"/>
    </xf>
    <xf numFmtId="0" fontId="0" fillId="5" borderId="29" xfId="0" applyFill="1" applyBorder="1"/>
    <xf numFmtId="0" fontId="0" fillId="5" borderId="29" xfId="0" applyFill="1" applyBorder="1" applyAlignment="1">
      <alignment vertical="top"/>
    </xf>
    <xf numFmtId="0" fontId="0" fillId="5" borderId="30" xfId="0" applyFill="1" applyBorder="1"/>
    <xf numFmtId="0" fontId="8" fillId="0" borderId="22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23" xfId="0" applyFont="1" applyBorder="1" applyAlignment="1">
      <alignment horizontal="right"/>
    </xf>
    <xf numFmtId="0" fontId="0" fillId="0" borderId="0" xfId="0"/>
    <xf numFmtId="0" fontId="4" fillId="0" borderId="11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6" fillId="0" borderId="5" xfId="0" applyFont="1" applyBorder="1" applyAlignment="1">
      <alignment horizontal="right" wrapText="1"/>
    </xf>
    <xf numFmtId="0" fontId="8" fillId="0" borderId="1" xfId="0" applyFont="1" applyBorder="1" applyAlignment="1">
      <alignment horizontal="right"/>
    </xf>
    <xf numFmtId="0" fontId="1" fillId="6" borderId="25" xfId="0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right"/>
    </xf>
    <xf numFmtId="0" fontId="8" fillId="0" borderId="19" xfId="0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0" fontId="0" fillId="0" borderId="10" xfId="0" applyBorder="1"/>
    <xf numFmtId="49" fontId="8" fillId="0" borderId="14" xfId="0" applyNumberFormat="1" applyFont="1" applyBorder="1" applyAlignment="1">
      <alignment horizontal="left" vertical="center"/>
    </xf>
    <xf numFmtId="49" fontId="8" fillId="0" borderId="15" xfId="0" applyNumberFormat="1" applyFont="1" applyBorder="1" applyAlignment="1">
      <alignment horizontal="left" vertical="center"/>
    </xf>
    <xf numFmtId="49" fontId="8" fillId="0" borderId="16" xfId="0" applyNumberFormat="1" applyFont="1" applyBorder="1" applyAlignment="1">
      <alignment horizontal="left" vertical="center"/>
    </xf>
    <xf numFmtId="166" fontId="0" fillId="0" borderId="0" xfId="0" applyNumberFormat="1"/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zoomScaleNormal="100" workbookViewId="0">
      <selection activeCell="O18" sqref="O18"/>
    </sheetView>
  </sheetViews>
  <sheetFormatPr defaultRowHeight="15" x14ac:dyDescent="0.25"/>
  <cols>
    <col min="1" max="1" width="9.42578125" customWidth="1"/>
    <col min="2" max="2" width="28.42578125" customWidth="1"/>
    <col min="3" max="3" width="12.5703125" customWidth="1"/>
    <col min="4" max="4" width="12.42578125" bestFit="1" customWidth="1"/>
    <col min="5" max="5" width="13.7109375" bestFit="1" customWidth="1"/>
    <col min="6" max="6" width="25.28515625" customWidth="1"/>
    <col min="7" max="7" width="1.28515625" customWidth="1"/>
    <col min="8" max="8" width="9.7109375" customWidth="1"/>
    <col min="9" max="9" width="27.7109375" customWidth="1"/>
    <col min="10" max="10" width="11.85546875" customWidth="1"/>
    <col min="11" max="11" width="11.28515625" customWidth="1"/>
    <col min="12" max="12" width="13.7109375" customWidth="1"/>
    <col min="13" max="13" width="26.140625" customWidth="1"/>
  </cols>
  <sheetData>
    <row r="1" spans="1:13" ht="21" customHeight="1" thickBot="1" x14ac:dyDescent="0.3">
      <c r="A1" s="51" t="s">
        <v>36</v>
      </c>
      <c r="B1" s="52"/>
      <c r="C1" s="52"/>
      <c r="D1" s="52"/>
      <c r="E1" s="52"/>
      <c r="F1" s="52"/>
      <c r="G1" s="53"/>
      <c r="H1" s="52"/>
      <c r="I1" s="52"/>
      <c r="J1" s="52"/>
      <c r="K1" s="52"/>
      <c r="L1" s="52"/>
      <c r="M1" s="54"/>
    </row>
    <row r="2" spans="1:13" ht="48" customHeight="1" thickBot="1" x14ac:dyDescent="0.3">
      <c r="A2" s="78" t="s">
        <v>20</v>
      </c>
      <c r="B2" s="79"/>
      <c r="C2" s="79"/>
      <c r="D2" s="79"/>
      <c r="E2" s="79"/>
      <c r="F2" s="80"/>
      <c r="H2" s="67" t="s">
        <v>19</v>
      </c>
      <c r="I2" s="68"/>
      <c r="J2" s="68"/>
      <c r="K2" s="68"/>
      <c r="L2" s="68"/>
      <c r="M2" s="69"/>
    </row>
    <row r="3" spans="1:13" ht="9.6" customHeight="1" thickTop="1" thickBot="1" x14ac:dyDescent="0.3">
      <c r="A3" s="73"/>
      <c r="B3" s="73"/>
      <c r="C3" s="73"/>
      <c r="D3" s="73"/>
      <c r="E3" s="73"/>
      <c r="F3" s="73"/>
      <c r="H3" s="73"/>
      <c r="I3" s="73"/>
      <c r="J3" s="73"/>
      <c r="K3" s="73"/>
      <c r="L3" s="73"/>
      <c r="M3" s="73"/>
    </row>
    <row r="4" spans="1:13" ht="15.75" x14ac:dyDescent="0.25">
      <c r="A4" s="59" t="s">
        <v>34</v>
      </c>
      <c r="B4" s="60"/>
      <c r="C4" s="60"/>
      <c r="D4" s="60"/>
      <c r="E4" s="60"/>
      <c r="F4" s="61"/>
      <c r="H4" s="59" t="s">
        <v>35</v>
      </c>
      <c r="I4" s="60"/>
      <c r="J4" s="60"/>
      <c r="K4" s="60"/>
      <c r="L4" s="60"/>
      <c r="M4" s="61"/>
    </row>
    <row r="5" spans="1:13" ht="23.45" customHeight="1" x14ac:dyDescent="0.25">
      <c r="A5" s="40" t="s">
        <v>4</v>
      </c>
      <c r="B5" s="41" t="s">
        <v>0</v>
      </c>
      <c r="C5" s="42" t="s">
        <v>1</v>
      </c>
      <c r="D5" s="43" t="s">
        <v>3</v>
      </c>
      <c r="E5" s="43" t="s">
        <v>5</v>
      </c>
      <c r="F5" s="44" t="s">
        <v>12</v>
      </c>
      <c r="H5" s="47" t="s">
        <v>4</v>
      </c>
      <c r="I5" s="46" t="s">
        <v>0</v>
      </c>
      <c r="J5" s="48" t="s">
        <v>1</v>
      </c>
      <c r="K5" s="49" t="s">
        <v>3</v>
      </c>
      <c r="L5" s="49" t="s">
        <v>5</v>
      </c>
      <c r="M5" s="50" t="s">
        <v>12</v>
      </c>
    </row>
    <row r="6" spans="1:13" ht="22.9" customHeight="1" x14ac:dyDescent="0.25">
      <c r="A6" s="74" t="s">
        <v>17</v>
      </c>
      <c r="B6" s="11" t="s">
        <v>15</v>
      </c>
      <c r="C6" s="12">
        <v>2500</v>
      </c>
      <c r="D6" s="5" t="s">
        <v>2</v>
      </c>
      <c r="E6" s="1"/>
      <c r="F6" s="6"/>
      <c r="H6" s="74" t="s">
        <v>18</v>
      </c>
      <c r="I6" s="11" t="s">
        <v>15</v>
      </c>
      <c r="J6" s="12">
        <v>350</v>
      </c>
      <c r="K6" s="5" t="s">
        <v>2</v>
      </c>
      <c r="L6" s="1"/>
      <c r="M6" s="6"/>
    </row>
    <row r="7" spans="1:13" ht="22.9" customHeight="1" x14ac:dyDescent="0.25">
      <c r="A7" s="75"/>
      <c r="B7" s="4" t="s">
        <v>14</v>
      </c>
      <c r="C7" s="13">
        <v>3500</v>
      </c>
      <c r="D7" s="7" t="s">
        <v>2</v>
      </c>
      <c r="E7" s="2"/>
      <c r="F7" s="6"/>
      <c r="H7" s="75"/>
      <c r="I7" s="4" t="s">
        <v>14</v>
      </c>
      <c r="J7" s="13">
        <v>200</v>
      </c>
      <c r="K7" s="7" t="s">
        <v>2</v>
      </c>
      <c r="L7" s="2"/>
      <c r="M7" s="6"/>
    </row>
    <row r="8" spans="1:13" ht="22.9" customHeight="1" x14ac:dyDescent="0.25">
      <c r="A8" s="75"/>
      <c r="B8" s="4" t="s">
        <v>13</v>
      </c>
      <c r="C8" s="13">
        <v>2500</v>
      </c>
      <c r="D8" s="7" t="s">
        <v>2</v>
      </c>
      <c r="E8" s="2"/>
      <c r="F8" s="6"/>
      <c r="H8" s="75"/>
      <c r="I8" s="4" t="s">
        <v>13</v>
      </c>
      <c r="J8" s="13">
        <v>600</v>
      </c>
      <c r="K8" s="7" t="s">
        <v>2</v>
      </c>
      <c r="L8" s="2"/>
      <c r="M8" s="6"/>
    </row>
    <row r="9" spans="1:13" ht="22.9" customHeight="1" x14ac:dyDescent="0.25">
      <c r="A9" s="75"/>
      <c r="B9" s="4" t="s">
        <v>9</v>
      </c>
      <c r="C9" s="13">
        <v>4500</v>
      </c>
      <c r="D9" s="7" t="s">
        <v>2</v>
      </c>
      <c r="E9" s="2"/>
      <c r="F9" s="6"/>
      <c r="H9" s="75"/>
      <c r="I9" s="4" t="s">
        <v>9</v>
      </c>
      <c r="J9" s="13">
        <v>650</v>
      </c>
      <c r="K9" s="7" t="s">
        <v>2</v>
      </c>
      <c r="L9" s="2"/>
      <c r="M9" s="6"/>
    </row>
    <row r="10" spans="1:13" ht="22.9" customHeight="1" x14ac:dyDescent="0.25">
      <c r="A10" s="75"/>
      <c r="B10" s="4" t="s">
        <v>10</v>
      </c>
      <c r="C10" s="13">
        <v>100</v>
      </c>
      <c r="D10" s="7" t="s">
        <v>2</v>
      </c>
      <c r="E10" s="2"/>
      <c r="F10" s="6"/>
      <c r="H10" s="75"/>
      <c r="I10" s="4" t="s">
        <v>10</v>
      </c>
      <c r="J10" s="14">
        <v>10</v>
      </c>
      <c r="K10" s="7" t="s">
        <v>2</v>
      </c>
      <c r="L10" s="2"/>
      <c r="M10" s="6"/>
    </row>
    <row r="11" spans="1:13" ht="22.9" customHeight="1" x14ac:dyDescent="0.25">
      <c r="A11" s="76"/>
      <c r="B11" s="8" t="s">
        <v>11</v>
      </c>
      <c r="C11" s="15">
        <v>10</v>
      </c>
      <c r="D11" s="9" t="s">
        <v>2</v>
      </c>
      <c r="E11" s="3"/>
      <c r="F11" s="10">
        <f t="shared" ref="F7:F11" si="0">C11*E11</f>
        <v>0</v>
      </c>
      <c r="H11" s="76"/>
      <c r="I11" s="8" t="s">
        <v>11</v>
      </c>
      <c r="J11" s="15">
        <v>6</v>
      </c>
      <c r="K11" s="9" t="s">
        <v>2</v>
      </c>
      <c r="L11" s="3"/>
      <c r="M11" s="10"/>
    </row>
    <row r="12" spans="1:13" ht="17.45" customHeight="1" x14ac:dyDescent="0.25">
      <c r="A12" s="65" t="s">
        <v>21</v>
      </c>
      <c r="B12" s="66"/>
      <c r="C12" s="66"/>
      <c r="D12" s="66"/>
      <c r="E12" s="66"/>
      <c r="F12" s="30">
        <f>SUM(F6:F11)</f>
        <v>0</v>
      </c>
      <c r="H12" s="65" t="s">
        <v>21</v>
      </c>
      <c r="I12" s="66"/>
      <c r="J12" s="66"/>
      <c r="K12" s="66"/>
      <c r="L12" s="66"/>
      <c r="M12" s="35">
        <f>SUM(M6:M11)</f>
        <v>0</v>
      </c>
    </row>
    <row r="13" spans="1:13" ht="16.149999999999999" customHeight="1" thickBot="1" x14ac:dyDescent="0.3">
      <c r="A13" s="19"/>
      <c r="B13" s="70"/>
      <c r="C13" s="71"/>
      <c r="D13" s="71"/>
      <c r="E13" s="72"/>
      <c r="F13" s="31">
        <f>+F12/150.4415</f>
        <v>0</v>
      </c>
      <c r="H13" s="19"/>
      <c r="I13" s="70"/>
      <c r="J13" s="71"/>
      <c r="K13" s="71"/>
      <c r="L13" s="72"/>
      <c r="M13" s="36">
        <f>+M12/150.5526</f>
        <v>0</v>
      </c>
    </row>
    <row r="14" spans="1:13" ht="12.6" customHeight="1" thickBot="1" x14ac:dyDescent="0.3">
      <c r="A14" s="77"/>
      <c r="B14" s="58"/>
      <c r="C14" s="58"/>
      <c r="D14" s="58"/>
      <c r="E14" s="58"/>
      <c r="F14" s="58"/>
      <c r="H14" s="58"/>
      <c r="I14" s="58"/>
      <c r="J14" s="58"/>
      <c r="K14" s="58"/>
      <c r="L14" s="58"/>
      <c r="M14" s="58"/>
    </row>
    <row r="15" spans="1:13" ht="15.75" x14ac:dyDescent="0.25">
      <c r="A15" s="59" t="s">
        <v>26</v>
      </c>
      <c r="B15" s="60"/>
      <c r="C15" s="60"/>
      <c r="D15" s="60"/>
      <c r="E15" s="60"/>
      <c r="F15" s="61"/>
      <c r="H15" s="59" t="s">
        <v>30</v>
      </c>
      <c r="I15" s="60"/>
      <c r="J15" s="60"/>
      <c r="K15" s="60"/>
      <c r="L15" s="60"/>
      <c r="M15" s="61"/>
    </row>
    <row r="16" spans="1:13" ht="25.9" customHeight="1" x14ac:dyDescent="0.25">
      <c r="A16" s="40" t="s">
        <v>4</v>
      </c>
      <c r="B16" s="41" t="s">
        <v>0</v>
      </c>
      <c r="C16" s="42" t="s">
        <v>1</v>
      </c>
      <c r="D16" s="43" t="s">
        <v>3</v>
      </c>
      <c r="E16" s="43" t="s">
        <v>5</v>
      </c>
      <c r="F16" s="44" t="s">
        <v>12</v>
      </c>
      <c r="H16" s="47" t="s">
        <v>4</v>
      </c>
      <c r="I16" s="46" t="s">
        <v>0</v>
      </c>
      <c r="J16" s="48" t="s">
        <v>1</v>
      </c>
      <c r="K16" s="49" t="s">
        <v>3</v>
      </c>
      <c r="L16" s="49" t="s">
        <v>5</v>
      </c>
      <c r="M16" s="50" t="s">
        <v>12</v>
      </c>
    </row>
    <row r="17" spans="1:13" ht="22.9" customHeight="1" x14ac:dyDescent="0.25">
      <c r="A17" s="62">
        <v>1001</v>
      </c>
      <c r="B17" s="11" t="s">
        <v>6</v>
      </c>
      <c r="C17" s="12">
        <v>2500</v>
      </c>
      <c r="D17" s="5" t="s">
        <v>2</v>
      </c>
      <c r="E17" s="27">
        <f>SUM(E6*103%)</f>
        <v>0</v>
      </c>
      <c r="F17" s="28">
        <f>C17*E17</f>
        <v>0</v>
      </c>
      <c r="H17" s="62">
        <v>1002</v>
      </c>
      <c r="I17" s="11" t="s">
        <v>15</v>
      </c>
      <c r="J17" s="12">
        <v>350</v>
      </c>
      <c r="K17" s="5" t="s">
        <v>2</v>
      </c>
      <c r="L17" s="27">
        <f>SUM(L6*103%)</f>
        <v>0</v>
      </c>
      <c r="M17" s="28">
        <f>J17*L17</f>
        <v>0</v>
      </c>
    </row>
    <row r="18" spans="1:13" ht="22.9" customHeight="1" x14ac:dyDescent="0.25">
      <c r="A18" s="63"/>
      <c r="B18" s="4" t="s">
        <v>7</v>
      </c>
      <c r="C18" s="12">
        <v>3500</v>
      </c>
      <c r="D18" s="7" t="s">
        <v>2</v>
      </c>
      <c r="E18" s="27">
        <f>SUM(E7*103%)</f>
        <v>0</v>
      </c>
      <c r="F18" s="28">
        <f t="shared" ref="F18:F22" si="1">C18*E18</f>
        <v>0</v>
      </c>
      <c r="H18" s="63"/>
      <c r="I18" s="4" t="s">
        <v>14</v>
      </c>
      <c r="J18" s="12">
        <v>200</v>
      </c>
      <c r="K18" s="7" t="s">
        <v>2</v>
      </c>
      <c r="L18" s="27">
        <f t="shared" ref="L18:L22" si="2">SUM(L7*103%)</f>
        <v>0</v>
      </c>
      <c r="M18" s="28">
        <f t="shared" ref="M18:M22" si="3">J18*L18</f>
        <v>0</v>
      </c>
    </row>
    <row r="19" spans="1:13" ht="22.9" customHeight="1" x14ac:dyDescent="0.25">
      <c r="A19" s="63"/>
      <c r="B19" s="4" t="s">
        <v>8</v>
      </c>
      <c r="C19" s="12">
        <v>2500</v>
      </c>
      <c r="D19" s="7" t="s">
        <v>2</v>
      </c>
      <c r="E19" s="27">
        <f>SUM(E8*103%)</f>
        <v>0</v>
      </c>
      <c r="F19" s="28">
        <f t="shared" si="1"/>
        <v>0</v>
      </c>
      <c r="H19" s="63"/>
      <c r="I19" s="4" t="s">
        <v>13</v>
      </c>
      <c r="J19" s="12">
        <v>600</v>
      </c>
      <c r="K19" s="7" t="s">
        <v>2</v>
      </c>
      <c r="L19" s="27">
        <f t="shared" si="2"/>
        <v>0</v>
      </c>
      <c r="M19" s="28">
        <f t="shared" si="3"/>
        <v>0</v>
      </c>
    </row>
    <row r="20" spans="1:13" ht="22.9" customHeight="1" x14ac:dyDescent="0.25">
      <c r="A20" s="63"/>
      <c r="B20" s="4" t="s">
        <v>9</v>
      </c>
      <c r="C20" s="12">
        <v>4500</v>
      </c>
      <c r="D20" s="7" t="s">
        <v>2</v>
      </c>
      <c r="E20" s="27">
        <f t="shared" ref="E20:E22" si="4">SUM(E9*103%)</f>
        <v>0</v>
      </c>
      <c r="F20" s="28">
        <f t="shared" si="1"/>
        <v>0</v>
      </c>
      <c r="H20" s="63"/>
      <c r="I20" s="4" t="s">
        <v>9</v>
      </c>
      <c r="J20" s="12">
        <v>650</v>
      </c>
      <c r="K20" s="7" t="s">
        <v>2</v>
      </c>
      <c r="L20" s="27">
        <f t="shared" si="2"/>
        <v>0</v>
      </c>
      <c r="M20" s="28">
        <f t="shared" si="3"/>
        <v>0</v>
      </c>
    </row>
    <row r="21" spans="1:13" ht="22.9" customHeight="1" x14ac:dyDescent="0.25">
      <c r="A21" s="63"/>
      <c r="B21" s="4" t="s">
        <v>10</v>
      </c>
      <c r="C21" s="12">
        <v>100</v>
      </c>
      <c r="D21" s="7" t="s">
        <v>2</v>
      </c>
      <c r="E21" s="27">
        <f t="shared" si="4"/>
        <v>0</v>
      </c>
      <c r="F21" s="28">
        <f t="shared" si="1"/>
        <v>0</v>
      </c>
      <c r="H21" s="63"/>
      <c r="I21" s="4" t="s">
        <v>10</v>
      </c>
      <c r="J21" s="12">
        <v>10</v>
      </c>
      <c r="K21" s="7" t="s">
        <v>2</v>
      </c>
      <c r="L21" s="27">
        <f t="shared" si="2"/>
        <v>0</v>
      </c>
      <c r="M21" s="28">
        <f t="shared" si="3"/>
        <v>0</v>
      </c>
    </row>
    <row r="22" spans="1:13" ht="22.9" customHeight="1" x14ac:dyDescent="0.25">
      <c r="A22" s="64"/>
      <c r="B22" s="8" t="s">
        <v>11</v>
      </c>
      <c r="C22" s="12">
        <v>10</v>
      </c>
      <c r="D22" s="9" t="s">
        <v>2</v>
      </c>
      <c r="E22" s="27">
        <f t="shared" si="4"/>
        <v>0</v>
      </c>
      <c r="F22" s="29">
        <f t="shared" si="1"/>
        <v>0</v>
      </c>
      <c r="H22" s="64"/>
      <c r="I22" s="8" t="s">
        <v>11</v>
      </c>
      <c r="J22" s="12">
        <v>6</v>
      </c>
      <c r="K22" s="9" t="s">
        <v>2</v>
      </c>
      <c r="L22" s="27">
        <f t="shared" si="2"/>
        <v>0</v>
      </c>
      <c r="M22" s="29">
        <f t="shared" si="3"/>
        <v>0</v>
      </c>
    </row>
    <row r="23" spans="1:13" ht="17.45" customHeight="1" x14ac:dyDescent="0.25">
      <c r="A23" s="65" t="s">
        <v>22</v>
      </c>
      <c r="B23" s="66"/>
      <c r="C23" s="66"/>
      <c r="D23" s="66"/>
      <c r="E23" s="66"/>
      <c r="F23" s="30">
        <f>SUM(F17:F22)</f>
        <v>0</v>
      </c>
      <c r="H23" s="65" t="s">
        <v>22</v>
      </c>
      <c r="I23" s="66"/>
      <c r="J23" s="66"/>
      <c r="K23" s="66"/>
      <c r="L23" s="66"/>
      <c r="M23" s="35">
        <f>SUM(M17:M22)</f>
        <v>0</v>
      </c>
    </row>
    <row r="24" spans="1:13" ht="16.149999999999999" customHeight="1" thickBot="1" x14ac:dyDescent="0.3">
      <c r="A24" s="19"/>
      <c r="B24" s="70"/>
      <c r="C24" s="71"/>
      <c r="D24" s="71"/>
      <c r="E24" s="72"/>
      <c r="F24" s="32">
        <f>+F23/150.4415</f>
        <v>0</v>
      </c>
      <c r="H24" s="19"/>
      <c r="I24" s="70"/>
      <c r="J24" s="71"/>
      <c r="K24" s="71"/>
      <c r="L24" s="72"/>
      <c r="M24" s="37">
        <f>+M23/150.4415</f>
        <v>0</v>
      </c>
    </row>
    <row r="25" spans="1:13" ht="12.6" customHeight="1" thickBot="1" x14ac:dyDescent="0.3">
      <c r="A25" s="16"/>
      <c r="B25" s="17"/>
      <c r="C25" s="17"/>
      <c r="D25" s="17"/>
      <c r="E25" s="17"/>
      <c r="F25" s="18"/>
      <c r="H25" s="16"/>
      <c r="I25" s="17"/>
      <c r="J25" s="17"/>
      <c r="K25" s="17"/>
      <c r="L25" s="17"/>
      <c r="M25" s="26"/>
    </row>
    <row r="26" spans="1:13" ht="15.75" x14ac:dyDescent="0.25">
      <c r="A26" s="59" t="s">
        <v>27</v>
      </c>
      <c r="B26" s="60"/>
      <c r="C26" s="60"/>
      <c r="D26" s="60"/>
      <c r="E26" s="60"/>
      <c r="F26" s="61"/>
      <c r="H26" s="59" t="s">
        <v>31</v>
      </c>
      <c r="I26" s="60"/>
      <c r="J26" s="60"/>
      <c r="K26" s="60"/>
      <c r="L26" s="60"/>
      <c r="M26" s="61"/>
    </row>
    <row r="27" spans="1:13" ht="25.5" x14ac:dyDescent="0.25">
      <c r="A27" s="40" t="s">
        <v>4</v>
      </c>
      <c r="B27" s="41" t="s">
        <v>0</v>
      </c>
      <c r="C27" s="42" t="s">
        <v>1</v>
      </c>
      <c r="D27" s="43" t="s">
        <v>3</v>
      </c>
      <c r="E27" s="43" t="s">
        <v>5</v>
      </c>
      <c r="F27" s="44" t="s">
        <v>12</v>
      </c>
      <c r="H27" s="47" t="s">
        <v>4</v>
      </c>
      <c r="I27" s="46" t="s">
        <v>0</v>
      </c>
      <c r="J27" s="48" t="s">
        <v>1</v>
      </c>
      <c r="K27" s="49" t="s">
        <v>3</v>
      </c>
      <c r="L27" s="49" t="s">
        <v>5</v>
      </c>
      <c r="M27" s="50" t="s">
        <v>12</v>
      </c>
    </row>
    <row r="28" spans="1:13" ht="22.9" customHeight="1" x14ac:dyDescent="0.25">
      <c r="A28" s="62">
        <v>2001</v>
      </c>
      <c r="B28" s="11" t="s">
        <v>6</v>
      </c>
      <c r="C28" s="12">
        <v>2500</v>
      </c>
      <c r="D28" s="5" t="s">
        <v>2</v>
      </c>
      <c r="E28" s="27">
        <f>SUM(E17*103%)</f>
        <v>0</v>
      </c>
      <c r="F28" s="28">
        <f>C28*E28</f>
        <v>0</v>
      </c>
      <c r="H28" s="62">
        <v>2002</v>
      </c>
      <c r="I28" s="11" t="s">
        <v>15</v>
      </c>
      <c r="J28" s="12">
        <v>350</v>
      </c>
      <c r="K28" s="5" t="s">
        <v>2</v>
      </c>
      <c r="L28" s="27">
        <f>SUM(L17*103%)</f>
        <v>0</v>
      </c>
      <c r="M28" s="28">
        <f>J28*L28</f>
        <v>0</v>
      </c>
    </row>
    <row r="29" spans="1:13" ht="22.9" customHeight="1" x14ac:dyDescent="0.25">
      <c r="A29" s="63"/>
      <c r="B29" s="4" t="s">
        <v>7</v>
      </c>
      <c r="C29" s="12">
        <v>3500</v>
      </c>
      <c r="D29" s="7" t="s">
        <v>2</v>
      </c>
      <c r="E29" s="27">
        <f t="shared" ref="E29:E33" si="5">SUM(E18*103%)</f>
        <v>0</v>
      </c>
      <c r="F29" s="28">
        <f t="shared" ref="F29:F33" si="6">C29*E29</f>
        <v>0</v>
      </c>
      <c r="H29" s="63"/>
      <c r="I29" s="4" t="s">
        <v>14</v>
      </c>
      <c r="J29" s="12">
        <v>200</v>
      </c>
      <c r="K29" s="7" t="s">
        <v>2</v>
      </c>
      <c r="L29" s="27">
        <f t="shared" ref="L29:L33" si="7">SUM(L18*103%)</f>
        <v>0</v>
      </c>
      <c r="M29" s="28">
        <f t="shared" ref="M29:M33" si="8">J29*L29</f>
        <v>0</v>
      </c>
    </row>
    <row r="30" spans="1:13" ht="22.9" customHeight="1" x14ac:dyDescent="0.25">
      <c r="A30" s="63"/>
      <c r="B30" s="4" t="s">
        <v>8</v>
      </c>
      <c r="C30" s="12">
        <v>2500</v>
      </c>
      <c r="D30" s="7" t="s">
        <v>2</v>
      </c>
      <c r="E30" s="27">
        <f t="shared" si="5"/>
        <v>0</v>
      </c>
      <c r="F30" s="28">
        <f t="shared" si="6"/>
        <v>0</v>
      </c>
      <c r="H30" s="63"/>
      <c r="I30" s="4" t="s">
        <v>13</v>
      </c>
      <c r="J30" s="12">
        <v>600</v>
      </c>
      <c r="K30" s="7" t="s">
        <v>2</v>
      </c>
      <c r="L30" s="27">
        <f t="shared" si="7"/>
        <v>0</v>
      </c>
      <c r="M30" s="28">
        <f t="shared" si="8"/>
        <v>0</v>
      </c>
    </row>
    <row r="31" spans="1:13" ht="22.9" customHeight="1" x14ac:dyDescent="0.25">
      <c r="A31" s="63"/>
      <c r="B31" s="4" t="s">
        <v>9</v>
      </c>
      <c r="C31" s="12">
        <v>4500</v>
      </c>
      <c r="D31" s="7" t="s">
        <v>2</v>
      </c>
      <c r="E31" s="27">
        <f t="shared" si="5"/>
        <v>0</v>
      </c>
      <c r="F31" s="28">
        <f t="shared" si="6"/>
        <v>0</v>
      </c>
      <c r="H31" s="63"/>
      <c r="I31" s="4" t="s">
        <v>9</v>
      </c>
      <c r="J31" s="12">
        <v>650</v>
      </c>
      <c r="K31" s="7" t="s">
        <v>2</v>
      </c>
      <c r="L31" s="27">
        <f t="shared" si="7"/>
        <v>0</v>
      </c>
      <c r="M31" s="28">
        <f t="shared" si="8"/>
        <v>0</v>
      </c>
    </row>
    <row r="32" spans="1:13" ht="22.9" customHeight="1" x14ac:dyDescent="0.25">
      <c r="A32" s="63"/>
      <c r="B32" s="4" t="s">
        <v>10</v>
      </c>
      <c r="C32" s="12">
        <v>100</v>
      </c>
      <c r="D32" s="7" t="s">
        <v>2</v>
      </c>
      <c r="E32" s="27">
        <f t="shared" si="5"/>
        <v>0</v>
      </c>
      <c r="F32" s="28">
        <f t="shared" si="6"/>
        <v>0</v>
      </c>
      <c r="H32" s="63"/>
      <c r="I32" s="4" t="s">
        <v>10</v>
      </c>
      <c r="J32" s="12">
        <v>10</v>
      </c>
      <c r="K32" s="7" t="s">
        <v>2</v>
      </c>
      <c r="L32" s="27">
        <f t="shared" si="7"/>
        <v>0</v>
      </c>
      <c r="M32" s="28">
        <f t="shared" si="8"/>
        <v>0</v>
      </c>
    </row>
    <row r="33" spans="1:13" ht="22.9" customHeight="1" x14ac:dyDescent="0.25">
      <c r="A33" s="64"/>
      <c r="B33" s="8" t="s">
        <v>11</v>
      </c>
      <c r="C33" s="12">
        <v>10</v>
      </c>
      <c r="D33" s="9" t="s">
        <v>2</v>
      </c>
      <c r="E33" s="27">
        <f t="shared" si="5"/>
        <v>0</v>
      </c>
      <c r="F33" s="29">
        <f t="shared" si="6"/>
        <v>0</v>
      </c>
      <c r="H33" s="64"/>
      <c r="I33" s="8" t="s">
        <v>11</v>
      </c>
      <c r="J33" s="12">
        <v>6</v>
      </c>
      <c r="K33" s="9" t="s">
        <v>2</v>
      </c>
      <c r="L33" s="27">
        <f t="shared" si="7"/>
        <v>0</v>
      </c>
      <c r="M33" s="29">
        <f t="shared" si="8"/>
        <v>0</v>
      </c>
    </row>
    <row r="34" spans="1:13" ht="16.149999999999999" customHeight="1" x14ac:dyDescent="0.25">
      <c r="A34" s="65" t="s">
        <v>23</v>
      </c>
      <c r="B34" s="66"/>
      <c r="C34" s="66"/>
      <c r="D34" s="66"/>
      <c r="E34" s="66"/>
      <c r="F34" s="30">
        <f>SUM(F28:F33)</f>
        <v>0</v>
      </c>
      <c r="H34" s="65" t="s">
        <v>23</v>
      </c>
      <c r="I34" s="66"/>
      <c r="J34" s="66"/>
      <c r="K34" s="66"/>
      <c r="L34" s="66"/>
      <c r="M34" s="35">
        <f>SUM(M28:M33)</f>
        <v>0</v>
      </c>
    </row>
    <row r="35" spans="1:13" ht="15.75" thickBot="1" x14ac:dyDescent="0.3">
      <c r="A35" s="19"/>
      <c r="B35" s="70"/>
      <c r="C35" s="71"/>
      <c r="D35" s="71"/>
      <c r="E35" s="72"/>
      <c r="F35" s="31">
        <f>+F34/150.4415</f>
        <v>0</v>
      </c>
      <c r="H35" s="19"/>
      <c r="I35" s="70"/>
      <c r="J35" s="71"/>
      <c r="K35" s="71"/>
      <c r="L35" s="72"/>
      <c r="M35" s="36">
        <f>+M34/150.4415</f>
        <v>0</v>
      </c>
    </row>
    <row r="36" spans="1:13" ht="19.5" customHeight="1" thickBot="1" x14ac:dyDescent="0.3">
      <c r="A36" s="58"/>
      <c r="B36" s="58"/>
      <c r="C36" s="58"/>
      <c r="D36" s="58"/>
      <c r="E36" s="58"/>
      <c r="F36" s="58"/>
      <c r="H36" s="58"/>
      <c r="I36" s="58"/>
      <c r="J36" s="58"/>
      <c r="K36" s="58"/>
      <c r="L36" s="58"/>
      <c r="M36" s="58"/>
    </row>
    <row r="37" spans="1:13" ht="19.899999999999999" customHeight="1" x14ac:dyDescent="0.25">
      <c r="A37" s="59" t="s">
        <v>28</v>
      </c>
      <c r="B37" s="60"/>
      <c r="C37" s="60"/>
      <c r="D37" s="60"/>
      <c r="E37" s="60"/>
      <c r="F37" s="61"/>
      <c r="H37" s="59" t="s">
        <v>32</v>
      </c>
      <c r="I37" s="60"/>
      <c r="J37" s="60"/>
      <c r="K37" s="60"/>
      <c r="L37" s="60"/>
      <c r="M37" s="61"/>
    </row>
    <row r="38" spans="1:13" ht="26.25" x14ac:dyDescent="0.25">
      <c r="A38" s="40" t="s">
        <v>4</v>
      </c>
      <c r="B38" s="41" t="s">
        <v>0</v>
      </c>
      <c r="C38" s="42" t="s">
        <v>1</v>
      </c>
      <c r="D38" s="43" t="s">
        <v>3</v>
      </c>
      <c r="E38" s="43" t="s">
        <v>5</v>
      </c>
      <c r="F38" s="44" t="s">
        <v>12</v>
      </c>
      <c r="H38" s="45" t="s">
        <v>4</v>
      </c>
      <c r="I38" s="39" t="s">
        <v>0</v>
      </c>
      <c r="J38" s="33" t="s">
        <v>1</v>
      </c>
      <c r="K38" s="34" t="s">
        <v>3</v>
      </c>
      <c r="L38" s="34" t="s">
        <v>5</v>
      </c>
      <c r="M38" s="38" t="s">
        <v>12</v>
      </c>
    </row>
    <row r="39" spans="1:13" ht="22.9" customHeight="1" x14ac:dyDescent="0.25">
      <c r="A39" s="62">
        <v>3001</v>
      </c>
      <c r="B39" s="11" t="s">
        <v>6</v>
      </c>
      <c r="C39" s="12">
        <v>2500</v>
      </c>
      <c r="D39" s="5" t="s">
        <v>2</v>
      </c>
      <c r="E39" s="27">
        <f>SUM(E28*103%)</f>
        <v>0</v>
      </c>
      <c r="F39" s="28">
        <f>C39*E39</f>
        <v>0</v>
      </c>
      <c r="H39" s="62">
        <v>3002</v>
      </c>
      <c r="I39" s="11" t="s">
        <v>15</v>
      </c>
      <c r="J39" s="12">
        <v>350</v>
      </c>
      <c r="K39" s="5" t="s">
        <v>2</v>
      </c>
      <c r="L39" s="27">
        <f>SUM(L28*103%)</f>
        <v>0</v>
      </c>
      <c r="M39" s="28">
        <f>J39*L39</f>
        <v>0</v>
      </c>
    </row>
    <row r="40" spans="1:13" ht="22.9" customHeight="1" x14ac:dyDescent="0.25">
      <c r="A40" s="63"/>
      <c r="B40" s="4" t="s">
        <v>7</v>
      </c>
      <c r="C40" s="12">
        <v>3500</v>
      </c>
      <c r="D40" s="7" t="s">
        <v>2</v>
      </c>
      <c r="E40" s="27">
        <f t="shared" ref="E40:E44" si="9">SUM(E29*103%)</f>
        <v>0</v>
      </c>
      <c r="F40" s="28">
        <f t="shared" ref="F40:F44" si="10">C40*E40</f>
        <v>0</v>
      </c>
      <c r="H40" s="63"/>
      <c r="I40" s="4" t="s">
        <v>14</v>
      </c>
      <c r="J40" s="12">
        <v>200</v>
      </c>
      <c r="K40" s="7" t="s">
        <v>2</v>
      </c>
      <c r="L40" s="27">
        <f t="shared" ref="L40:L44" si="11">SUM(L29*103%)</f>
        <v>0</v>
      </c>
      <c r="M40" s="28">
        <f t="shared" ref="M40:M44" si="12">J40*L40</f>
        <v>0</v>
      </c>
    </row>
    <row r="41" spans="1:13" ht="22.9" customHeight="1" x14ac:dyDescent="0.25">
      <c r="A41" s="63"/>
      <c r="B41" s="4" t="s">
        <v>8</v>
      </c>
      <c r="C41" s="12">
        <v>2500</v>
      </c>
      <c r="D41" s="7" t="s">
        <v>2</v>
      </c>
      <c r="E41" s="27">
        <f t="shared" si="9"/>
        <v>0</v>
      </c>
      <c r="F41" s="28">
        <f t="shared" si="10"/>
        <v>0</v>
      </c>
      <c r="H41" s="63"/>
      <c r="I41" s="4" t="s">
        <v>13</v>
      </c>
      <c r="J41" s="12">
        <v>600</v>
      </c>
      <c r="K41" s="7" t="s">
        <v>2</v>
      </c>
      <c r="L41" s="27">
        <f t="shared" si="11"/>
        <v>0</v>
      </c>
      <c r="M41" s="28">
        <f t="shared" si="12"/>
        <v>0</v>
      </c>
    </row>
    <row r="42" spans="1:13" ht="22.9" customHeight="1" x14ac:dyDescent="0.25">
      <c r="A42" s="63"/>
      <c r="B42" s="4" t="s">
        <v>9</v>
      </c>
      <c r="C42" s="12">
        <v>4500</v>
      </c>
      <c r="D42" s="7" t="s">
        <v>2</v>
      </c>
      <c r="E42" s="27">
        <f t="shared" si="9"/>
        <v>0</v>
      </c>
      <c r="F42" s="28">
        <f t="shared" si="10"/>
        <v>0</v>
      </c>
      <c r="H42" s="63"/>
      <c r="I42" s="4" t="s">
        <v>9</v>
      </c>
      <c r="J42" s="12">
        <v>650</v>
      </c>
      <c r="K42" s="7" t="s">
        <v>2</v>
      </c>
      <c r="L42" s="27">
        <f t="shared" si="11"/>
        <v>0</v>
      </c>
      <c r="M42" s="28">
        <f t="shared" si="12"/>
        <v>0</v>
      </c>
    </row>
    <row r="43" spans="1:13" ht="22.9" customHeight="1" x14ac:dyDescent="0.25">
      <c r="A43" s="63"/>
      <c r="B43" s="4" t="s">
        <v>10</v>
      </c>
      <c r="C43" s="12">
        <v>100</v>
      </c>
      <c r="D43" s="7" t="s">
        <v>2</v>
      </c>
      <c r="E43" s="27">
        <f t="shared" si="9"/>
        <v>0</v>
      </c>
      <c r="F43" s="28">
        <f t="shared" si="10"/>
        <v>0</v>
      </c>
      <c r="H43" s="63"/>
      <c r="I43" s="4" t="s">
        <v>10</v>
      </c>
      <c r="J43" s="12">
        <v>10</v>
      </c>
      <c r="K43" s="7" t="s">
        <v>2</v>
      </c>
      <c r="L43" s="27">
        <f t="shared" si="11"/>
        <v>0</v>
      </c>
      <c r="M43" s="28">
        <f t="shared" si="12"/>
        <v>0</v>
      </c>
    </row>
    <row r="44" spans="1:13" ht="22.9" customHeight="1" x14ac:dyDescent="0.25">
      <c r="A44" s="64"/>
      <c r="B44" s="8" t="s">
        <v>11</v>
      </c>
      <c r="C44" s="12">
        <v>10</v>
      </c>
      <c r="D44" s="9" t="s">
        <v>2</v>
      </c>
      <c r="E44" s="27">
        <f t="shared" si="9"/>
        <v>0</v>
      </c>
      <c r="F44" s="29">
        <f t="shared" si="10"/>
        <v>0</v>
      </c>
      <c r="H44" s="64"/>
      <c r="I44" s="8" t="s">
        <v>11</v>
      </c>
      <c r="J44" s="12">
        <v>6</v>
      </c>
      <c r="K44" s="9" t="s">
        <v>2</v>
      </c>
      <c r="L44" s="27">
        <f t="shared" si="11"/>
        <v>0</v>
      </c>
      <c r="M44" s="29">
        <f t="shared" si="12"/>
        <v>0</v>
      </c>
    </row>
    <row r="45" spans="1:13" ht="18.600000000000001" customHeight="1" x14ac:dyDescent="0.25">
      <c r="A45" s="65" t="s">
        <v>24</v>
      </c>
      <c r="B45" s="66"/>
      <c r="C45" s="66"/>
      <c r="D45" s="66"/>
      <c r="E45" s="66"/>
      <c r="F45" s="30">
        <f>SUM(F39:F44)</f>
        <v>0</v>
      </c>
      <c r="H45" s="65" t="s">
        <v>24</v>
      </c>
      <c r="I45" s="66"/>
      <c r="J45" s="66"/>
      <c r="K45" s="66"/>
      <c r="L45" s="66"/>
      <c r="M45" s="35">
        <f>SUM(M39:M44)</f>
        <v>0</v>
      </c>
    </row>
    <row r="46" spans="1:13" ht="19.899999999999999" customHeight="1" thickBot="1" x14ac:dyDescent="0.3">
      <c r="A46" s="22"/>
      <c r="B46" s="23"/>
      <c r="C46" s="24"/>
      <c r="D46" s="24"/>
      <c r="E46" s="25"/>
      <c r="F46" s="31">
        <f>+F45/150.4415</f>
        <v>0</v>
      </c>
      <c r="H46" s="22"/>
      <c r="I46" s="23"/>
      <c r="J46" s="24"/>
      <c r="K46" s="24"/>
      <c r="L46" s="25"/>
      <c r="M46" s="36">
        <f>+M45/150.4415</f>
        <v>0</v>
      </c>
    </row>
    <row r="47" spans="1:13" ht="15.75" thickBot="1" x14ac:dyDescent="0.3">
      <c r="A47" s="20"/>
      <c r="B47" s="55"/>
      <c r="C47" s="56"/>
      <c r="D47" s="56"/>
      <c r="E47" s="57"/>
      <c r="F47" s="21"/>
      <c r="H47" s="20"/>
      <c r="I47" s="55"/>
      <c r="J47" s="56"/>
      <c r="K47" s="56"/>
      <c r="L47" s="57"/>
      <c r="M47" s="21"/>
    </row>
    <row r="48" spans="1:13" ht="21.6" customHeight="1" x14ac:dyDescent="0.25">
      <c r="A48" s="59" t="s">
        <v>29</v>
      </c>
      <c r="B48" s="60"/>
      <c r="C48" s="60"/>
      <c r="D48" s="60"/>
      <c r="E48" s="60"/>
      <c r="F48" s="61"/>
      <c r="H48" s="59" t="s">
        <v>33</v>
      </c>
      <c r="I48" s="60"/>
      <c r="J48" s="60"/>
      <c r="K48" s="60"/>
      <c r="L48" s="60"/>
      <c r="M48" s="61"/>
    </row>
    <row r="49" spans="1:13" ht="27.2" customHeight="1" x14ac:dyDescent="0.25">
      <c r="A49" s="40" t="s">
        <v>4</v>
      </c>
      <c r="B49" s="41" t="s">
        <v>0</v>
      </c>
      <c r="C49" s="42" t="s">
        <v>1</v>
      </c>
      <c r="D49" s="43" t="s">
        <v>3</v>
      </c>
      <c r="E49" s="43" t="s">
        <v>5</v>
      </c>
      <c r="F49" s="44" t="s">
        <v>12</v>
      </c>
      <c r="H49" s="47" t="s">
        <v>4</v>
      </c>
      <c r="I49" s="46" t="s">
        <v>0</v>
      </c>
      <c r="J49" s="48" t="s">
        <v>1</v>
      </c>
      <c r="K49" s="49" t="s">
        <v>3</v>
      </c>
      <c r="L49" s="49" t="s">
        <v>5</v>
      </c>
      <c r="M49" s="50" t="s">
        <v>12</v>
      </c>
    </row>
    <row r="50" spans="1:13" ht="22.9" customHeight="1" x14ac:dyDescent="0.25">
      <c r="A50" s="62">
        <v>4001</v>
      </c>
      <c r="B50" s="11" t="s">
        <v>6</v>
      </c>
      <c r="C50" s="12">
        <v>2500</v>
      </c>
      <c r="D50" s="5" t="s">
        <v>2</v>
      </c>
      <c r="E50" s="27">
        <f>SUM(E39*103%)</f>
        <v>0</v>
      </c>
      <c r="F50" s="28">
        <f>C50*E50</f>
        <v>0</v>
      </c>
      <c r="H50" s="62" t="s">
        <v>16</v>
      </c>
      <c r="I50" s="11" t="s">
        <v>15</v>
      </c>
      <c r="J50" s="12">
        <v>350</v>
      </c>
      <c r="K50" s="5" t="s">
        <v>2</v>
      </c>
      <c r="L50" s="27">
        <f>SUM(L39*103%)</f>
        <v>0</v>
      </c>
      <c r="M50" s="28">
        <f>J50*L50</f>
        <v>0</v>
      </c>
    </row>
    <row r="51" spans="1:13" ht="22.9" customHeight="1" x14ac:dyDescent="0.25">
      <c r="A51" s="63"/>
      <c r="B51" s="4" t="s">
        <v>7</v>
      </c>
      <c r="C51" s="12">
        <v>3500</v>
      </c>
      <c r="D51" s="7" t="s">
        <v>2</v>
      </c>
      <c r="E51" s="27">
        <f t="shared" ref="E51:E55" si="13">SUM(E40*103%)</f>
        <v>0</v>
      </c>
      <c r="F51" s="28">
        <f t="shared" ref="F51:F55" si="14">C51*E51</f>
        <v>0</v>
      </c>
      <c r="H51" s="63"/>
      <c r="I51" s="4" t="s">
        <v>14</v>
      </c>
      <c r="J51" s="12">
        <v>200</v>
      </c>
      <c r="K51" s="7" t="s">
        <v>2</v>
      </c>
      <c r="L51" s="27">
        <f t="shared" ref="L51:L55" si="15">SUM(L40*103%)</f>
        <v>0</v>
      </c>
      <c r="M51" s="28">
        <f t="shared" ref="M51:M55" si="16">J51*L51</f>
        <v>0</v>
      </c>
    </row>
    <row r="52" spans="1:13" ht="22.9" customHeight="1" x14ac:dyDescent="0.25">
      <c r="A52" s="63"/>
      <c r="B52" s="4" t="s">
        <v>8</v>
      </c>
      <c r="C52" s="12">
        <v>2500</v>
      </c>
      <c r="D52" s="7" t="s">
        <v>2</v>
      </c>
      <c r="E52" s="27">
        <f t="shared" si="13"/>
        <v>0</v>
      </c>
      <c r="F52" s="28">
        <f t="shared" si="14"/>
        <v>0</v>
      </c>
      <c r="H52" s="63"/>
      <c r="I52" s="4" t="s">
        <v>13</v>
      </c>
      <c r="J52" s="12">
        <v>600</v>
      </c>
      <c r="K52" s="7" t="s">
        <v>2</v>
      </c>
      <c r="L52" s="27">
        <f t="shared" si="15"/>
        <v>0</v>
      </c>
      <c r="M52" s="28">
        <f t="shared" si="16"/>
        <v>0</v>
      </c>
    </row>
    <row r="53" spans="1:13" ht="22.9" customHeight="1" x14ac:dyDescent="0.25">
      <c r="A53" s="63"/>
      <c r="B53" s="4" t="s">
        <v>9</v>
      </c>
      <c r="C53" s="12">
        <v>4500</v>
      </c>
      <c r="D53" s="7" t="s">
        <v>2</v>
      </c>
      <c r="E53" s="27">
        <f t="shared" si="13"/>
        <v>0</v>
      </c>
      <c r="F53" s="28">
        <f t="shared" si="14"/>
        <v>0</v>
      </c>
      <c r="H53" s="63"/>
      <c r="I53" s="4" t="s">
        <v>9</v>
      </c>
      <c r="J53" s="12">
        <v>650</v>
      </c>
      <c r="K53" s="7" t="s">
        <v>2</v>
      </c>
      <c r="L53" s="27">
        <f t="shared" si="15"/>
        <v>0</v>
      </c>
      <c r="M53" s="28">
        <f t="shared" si="16"/>
        <v>0</v>
      </c>
    </row>
    <row r="54" spans="1:13" ht="22.9" customHeight="1" x14ac:dyDescent="0.25">
      <c r="A54" s="63"/>
      <c r="B54" s="4" t="s">
        <v>10</v>
      </c>
      <c r="C54" s="12">
        <v>100</v>
      </c>
      <c r="D54" s="7" t="s">
        <v>2</v>
      </c>
      <c r="E54" s="27">
        <f t="shared" si="13"/>
        <v>0</v>
      </c>
      <c r="F54" s="28">
        <f t="shared" si="14"/>
        <v>0</v>
      </c>
      <c r="H54" s="63"/>
      <c r="I54" s="4" t="s">
        <v>10</v>
      </c>
      <c r="J54" s="12">
        <v>10</v>
      </c>
      <c r="K54" s="7" t="s">
        <v>2</v>
      </c>
      <c r="L54" s="27">
        <f t="shared" si="15"/>
        <v>0</v>
      </c>
      <c r="M54" s="28">
        <f t="shared" si="16"/>
        <v>0</v>
      </c>
    </row>
    <row r="55" spans="1:13" ht="22.9" customHeight="1" x14ac:dyDescent="0.25">
      <c r="A55" s="64"/>
      <c r="B55" s="8" t="s">
        <v>11</v>
      </c>
      <c r="C55" s="12">
        <v>10</v>
      </c>
      <c r="D55" s="9" t="s">
        <v>2</v>
      </c>
      <c r="E55" s="27">
        <f t="shared" si="13"/>
        <v>0</v>
      </c>
      <c r="F55" s="29">
        <f t="shared" si="14"/>
        <v>0</v>
      </c>
      <c r="H55" s="64"/>
      <c r="I55" s="8" t="s">
        <v>11</v>
      </c>
      <c r="J55" s="12">
        <v>6</v>
      </c>
      <c r="K55" s="9" t="s">
        <v>2</v>
      </c>
      <c r="L55" s="27">
        <f t="shared" si="15"/>
        <v>0</v>
      </c>
      <c r="M55" s="29">
        <f t="shared" si="16"/>
        <v>0</v>
      </c>
    </row>
    <row r="56" spans="1:13" ht="18" customHeight="1" x14ac:dyDescent="0.25">
      <c r="A56" s="65" t="s">
        <v>25</v>
      </c>
      <c r="B56" s="66"/>
      <c r="C56" s="66"/>
      <c r="D56" s="66"/>
      <c r="E56" s="66"/>
      <c r="F56" s="30">
        <f>SUM(F50:F55)</f>
        <v>0</v>
      </c>
      <c r="H56" s="65" t="s">
        <v>25</v>
      </c>
      <c r="I56" s="66"/>
      <c r="J56" s="66"/>
      <c r="K56" s="66"/>
      <c r="L56" s="66"/>
      <c r="M56" s="35">
        <f>SUM(M50:M55)</f>
        <v>0</v>
      </c>
    </row>
    <row r="57" spans="1:13" ht="18" customHeight="1" thickBot="1" x14ac:dyDescent="0.3">
      <c r="A57" s="19"/>
      <c r="B57" s="70"/>
      <c r="C57" s="71"/>
      <c r="D57" s="71"/>
      <c r="E57" s="72"/>
      <c r="F57" s="31">
        <f>+F56/150.4415</f>
        <v>0</v>
      </c>
      <c r="H57" s="19"/>
      <c r="I57" s="70"/>
      <c r="J57" s="71"/>
      <c r="K57" s="71"/>
      <c r="L57" s="72"/>
      <c r="M57" s="36">
        <f>+M56/150.4415</f>
        <v>0</v>
      </c>
    </row>
  </sheetData>
  <mergeCells count="48">
    <mergeCell ref="B57:E57"/>
    <mergeCell ref="I57:L57"/>
    <mergeCell ref="A48:F48"/>
    <mergeCell ref="H48:M48"/>
    <mergeCell ref="A50:A55"/>
    <mergeCell ref="H50:H55"/>
    <mergeCell ref="A56:E56"/>
    <mergeCell ref="H56:L56"/>
    <mergeCell ref="B24:E24"/>
    <mergeCell ref="B47:E47"/>
    <mergeCell ref="A36:F36"/>
    <mergeCell ref="A26:F26"/>
    <mergeCell ref="A34:E34"/>
    <mergeCell ref="B35:E35"/>
    <mergeCell ref="A37:F37"/>
    <mergeCell ref="A45:E45"/>
    <mergeCell ref="A39:A44"/>
    <mergeCell ref="A28:A33"/>
    <mergeCell ref="A2:F2"/>
    <mergeCell ref="A3:F3"/>
    <mergeCell ref="A4:F4"/>
    <mergeCell ref="A12:E12"/>
    <mergeCell ref="B13:E13"/>
    <mergeCell ref="A15:F15"/>
    <mergeCell ref="A23:E23"/>
    <mergeCell ref="A14:F14"/>
    <mergeCell ref="A17:A22"/>
    <mergeCell ref="A6:A11"/>
    <mergeCell ref="H2:M2"/>
    <mergeCell ref="I35:L35"/>
    <mergeCell ref="H3:M3"/>
    <mergeCell ref="H4:M4"/>
    <mergeCell ref="H6:H11"/>
    <mergeCell ref="H12:L12"/>
    <mergeCell ref="I24:L24"/>
    <mergeCell ref="H26:M26"/>
    <mergeCell ref="H28:H33"/>
    <mergeCell ref="H34:L34"/>
    <mergeCell ref="I13:L13"/>
    <mergeCell ref="H14:M14"/>
    <mergeCell ref="H15:M15"/>
    <mergeCell ref="H17:H22"/>
    <mergeCell ref="H23:L23"/>
    <mergeCell ref="I47:L47"/>
    <mergeCell ref="H36:M36"/>
    <mergeCell ref="H37:M37"/>
    <mergeCell ref="H39:H44"/>
    <mergeCell ref="H45:L45"/>
  </mergeCells>
  <printOptions horizontalCentered="1"/>
  <pageMargins left="0.25" right="0.25" top="0.5" bottom="0" header="0.75" footer="0"/>
  <pageSetup orientation="portrait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FY26-FY30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hitomi.kamiyama.jp</dc:creator>
  <cp:lastModifiedBy>NAKAMURA, TAKESHI JP USAF PACAF 18 CONS/PKA</cp:lastModifiedBy>
  <cp:lastPrinted>2025-08-19T06:46:48Z</cp:lastPrinted>
  <dcterms:created xsi:type="dcterms:W3CDTF">2012-08-07T01:41:30Z</dcterms:created>
  <dcterms:modified xsi:type="dcterms:W3CDTF">2026-05-04T05:04:38Z</dcterms:modified>
</cp:coreProperties>
</file>