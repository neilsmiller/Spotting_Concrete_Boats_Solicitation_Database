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https://socom.sharepoint-mil.us/sites/marsoc-contracting/Shared Documents/General/eFiles/FY26/BG - CD&amp;I SETA Recompete/B - Sol Docs/B-3 Solicitation/"/>
    </mc:Choice>
  </mc:AlternateContent>
  <xr:revisionPtr revIDLastSave="145" documentId="13_ncr:1_{181F17A0-B854-4316-9242-8F688850BFE7}" xr6:coauthVersionLast="47" xr6:coauthVersionMax="47" xr10:uidLastSave="{696DFD7D-C019-45E0-92DA-4EE112F27833}"/>
  <bookViews>
    <workbookView xWindow="-90" yWindow="0" windowWidth="19380" windowHeight="20970" tabRatio="854" xr2:uid="{00000000-000D-0000-FFFF-FFFF00000000}"/>
  </bookViews>
  <sheets>
    <sheet name="R&amp;A TEP"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6" l="1"/>
  <c r="J5" i="6" s="1"/>
  <c r="L5" i="6" s="1"/>
  <c r="N5" i="6" s="1"/>
  <c r="H6" i="6"/>
  <c r="J6" i="6" s="1"/>
  <c r="L6" i="6" s="1"/>
  <c r="N6" i="6" s="1"/>
  <c r="H7" i="6"/>
  <c r="H8" i="6"/>
  <c r="J8" i="6"/>
  <c r="L8" i="6" s="1"/>
  <c r="N8" i="6" s="1"/>
  <c r="H9" i="6"/>
  <c r="J9" i="6"/>
  <c r="G10" i="6"/>
  <c r="H10" i="6"/>
  <c r="I10" i="6"/>
  <c r="J10" i="6"/>
  <c r="K10" i="6" s="1"/>
  <c r="H4" i="6"/>
  <c r="J4" i="6" s="1"/>
  <c r="L4" i="6" s="1"/>
  <c r="N4" i="6" s="1"/>
  <c r="O12" i="6"/>
  <c r="O13" i="6" s="1"/>
  <c r="M12" i="6"/>
  <c r="M13" i="6" s="1"/>
  <c r="K12" i="6"/>
  <c r="K13" i="6" s="1"/>
  <c r="E10" i="6"/>
  <c r="L10" i="6" l="1"/>
  <c r="L9" i="6"/>
  <c r="J7" i="6"/>
  <c r="M10" i="6" l="1"/>
  <c r="N10" i="6"/>
  <c r="O10" i="6" s="1"/>
  <c r="P10" i="6" s="1"/>
  <c r="L7" i="6"/>
  <c r="N9" i="6"/>
  <c r="N7" i="6" l="1"/>
  <c r="E9" i="6"/>
  <c r="E5" i="6"/>
  <c r="G5" i="6" l="1"/>
  <c r="K5" i="6"/>
  <c r="M5" i="6"/>
  <c r="O5" i="6"/>
  <c r="P5" i="6" s="1"/>
  <c r="I5" i="6"/>
  <c r="G9" i="6"/>
  <c r="I9" i="6"/>
  <c r="K9" i="6"/>
  <c r="M9" i="6"/>
  <c r="O9" i="6"/>
  <c r="P9" i="6" s="1"/>
  <c r="H11" i="6"/>
  <c r="I12" i="6"/>
  <c r="I13" i="6" s="1"/>
  <c r="G12" i="6" l="1"/>
  <c r="E8" i="6"/>
  <c r="E7" i="6"/>
  <c r="E6" i="6"/>
  <c r="E4" i="6"/>
  <c r="M4" i="6" l="1"/>
  <c r="K4" i="6"/>
  <c r="O4" i="6"/>
  <c r="G6" i="6"/>
  <c r="I6" i="6"/>
  <c r="K6" i="6"/>
  <c r="M6" i="6"/>
  <c r="O6" i="6"/>
  <c r="P6" i="6" s="1"/>
  <c r="G7" i="6"/>
  <c r="I7" i="6"/>
  <c r="K7" i="6"/>
  <c r="M7" i="6"/>
  <c r="O7" i="6"/>
  <c r="P7" i="6" s="1"/>
  <c r="I8" i="6"/>
  <c r="K8" i="6"/>
  <c r="G8" i="6"/>
  <c r="M8" i="6"/>
  <c r="O8" i="6"/>
  <c r="P8" i="6" s="1"/>
  <c r="G13" i="6"/>
  <c r="P13" i="6"/>
  <c r="G4" i="6"/>
  <c r="P4" i="6" s="1"/>
  <c r="I4" i="6"/>
  <c r="G11" i="6" l="1"/>
  <c r="G14" i="6" s="1"/>
  <c r="I11" i="6" l="1"/>
  <c r="I14" i="6" s="1"/>
  <c r="J11" i="6"/>
  <c r="K11" i="6" l="1"/>
  <c r="K14" i="6" s="1"/>
  <c r="L11" i="6"/>
  <c r="M11" i="6" l="1"/>
  <c r="M14" i="6" s="1"/>
  <c r="N11" i="6"/>
  <c r="O11" i="6" l="1"/>
  <c r="O14" i="6" s="1"/>
  <c r="P11" i="6"/>
  <c r="P14" i="6" s="1"/>
  <c r="P17" i="6" l="1"/>
</calcChain>
</file>

<file path=xl/sharedStrings.xml><?xml version="1.0" encoding="utf-8"?>
<sst xmlns="http://schemas.openxmlformats.org/spreadsheetml/2006/main" count="54" uniqueCount="51">
  <si>
    <t>SOW Para.</t>
  </si>
  <si>
    <t># of FTEs</t>
  </si>
  <si>
    <t>Hours per FTE*</t>
  </si>
  <si>
    <t>Total Annual Hrs</t>
  </si>
  <si>
    <t>FBLR</t>
  </si>
  <si>
    <t>Base Year
2026-2027</t>
  </si>
  <si>
    <t xml:space="preserve">FBLR </t>
  </si>
  <si>
    <t>Option Yr 1
2027-2028</t>
  </si>
  <si>
    <t>6 Mont Ext
52.217-8</t>
  </si>
  <si>
    <t xml:space="preserve">FFP Subtotal </t>
  </si>
  <si>
    <t>COST Subtotal</t>
  </si>
  <si>
    <t>Annual Total</t>
  </si>
  <si>
    <t>*Hours: The hours provided are the required hours for this task; DO NOT change the number of hours per FTE or Total Annual Hours</t>
  </si>
  <si>
    <t>Labor Categories FFP</t>
  </si>
  <si>
    <t>Indirect Catergory</t>
  </si>
  <si>
    <t>Rate</t>
  </si>
  <si>
    <t>Application Base</t>
  </si>
  <si>
    <t>Fringe</t>
  </si>
  <si>
    <t>Direct Labor</t>
  </si>
  <si>
    <t>OH</t>
  </si>
  <si>
    <t>Direct Labor + Fringe</t>
  </si>
  <si>
    <t>G&amp;A</t>
  </si>
  <si>
    <t>Direct Labor + Fringe + Overhead</t>
  </si>
  <si>
    <t>Fee</t>
  </si>
  <si>
    <t>Direct Labor + Fringe + Overhead + Fee</t>
  </si>
  <si>
    <t>Travel/ODC Fixed/Capped G&amp;A</t>
  </si>
  <si>
    <t>Escalation Rate Opt1</t>
  </si>
  <si>
    <t>C5ISR Analyst</t>
  </si>
  <si>
    <t>Targeting Analyst</t>
  </si>
  <si>
    <t>ISS Analyst</t>
  </si>
  <si>
    <t>SA &amp; Effects Analyst</t>
  </si>
  <si>
    <t>Lethality Analyst</t>
  </si>
  <si>
    <t>CDD General Analyst</t>
  </si>
  <si>
    <t>Requirements Analyst</t>
  </si>
  <si>
    <t>3.0.2</t>
  </si>
  <si>
    <t>3.0.3</t>
  </si>
  <si>
    <t>3.0.4</t>
  </si>
  <si>
    <t>3.0.5</t>
  </si>
  <si>
    <t>3.0.6</t>
  </si>
  <si>
    <t>3.0.7</t>
  </si>
  <si>
    <t>3.0.8</t>
  </si>
  <si>
    <t>Option Yr 2
2028-2029</t>
  </si>
  <si>
    <t>Option Yr 3
2029-2030</t>
  </si>
  <si>
    <t>Option Yr 4
2030-2031</t>
  </si>
  <si>
    <t>Escalation Rate Opt2</t>
  </si>
  <si>
    <t>Escalation Rate Opt3</t>
  </si>
  <si>
    <t>Escalation Rate Opt4</t>
  </si>
  <si>
    <t xml:space="preserve"> Total Evaluated Price </t>
  </si>
  <si>
    <t>Travel Plug** (FFP CLIN) Gov't Plug of $120K inclusive of G&amp;A; Do Not Change</t>
  </si>
  <si>
    <t>Contract Total (Base + 4 Option Year &amp; 52.217-8 Extension)</t>
  </si>
  <si>
    <t xml:space="preserve">CD&amp;I SETA Pricing Template
Firm Fixed Price: The quantity of hours for each labor category will be multiplied by the fully burdened labor rate.  The amount negotiated for ODCs will be added to the total labor amount to arrive at the task order FFP.  The Government provided travel plug number. It is the offeror's responsbility to ensure the accuracy of this spreadsheet and that all formulas calculate as intended.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</si>
</sst>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quot;$&quot;#,##0.00"/>
  </numFmts>
  <fonts count="12">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0"/>
      <name val="Geneva"/>
    </font>
    <font>
      <b/>
      <sz val="10"/>
      <color theme="1"/>
      <name val="Times New Roman"/>
      <family val="1"/>
    </font>
    <font>
      <sz val="10"/>
      <color theme="1"/>
      <name val="Times New Roman"/>
      <family val="1"/>
    </font>
    <font>
      <sz val="11"/>
      <color theme="1"/>
      <name val="Times New Roman"/>
      <family val="1"/>
    </font>
    <font>
      <b/>
      <sz val="9"/>
      <color theme="1"/>
      <name val="Times New Roman"/>
      <family val="1"/>
    </font>
    <font>
      <b/>
      <sz val="11"/>
      <color theme="1"/>
      <name val="Times New Roman"/>
      <family val="1"/>
    </font>
  </fonts>
  <fills count="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6">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6" fillId="0" borderId="0"/>
    <xf numFmtId="9" fontId="1" fillId="0" borderId="0" applyFont="0" applyFill="0" applyBorder="0" applyAlignment="0" applyProtection="0"/>
  </cellStyleXfs>
  <cellXfs count="68">
    <xf numFmtId="0" fontId="0" fillId="0" borderId="0" xfId="0"/>
    <xf numFmtId="0" fontId="0" fillId="0" borderId="0" xfId="0" applyAlignment="1">
      <alignment vertical="center"/>
    </xf>
    <xf numFmtId="165" fontId="0" fillId="0" borderId="0" xfId="0" applyNumberFormat="1" applyAlignment="1">
      <alignment vertical="center"/>
    </xf>
    <xf numFmtId="165" fontId="0" fillId="0" borderId="1" xfId="0" applyNumberFormat="1" applyBorder="1" applyAlignment="1">
      <alignment vertical="center"/>
    </xf>
    <xf numFmtId="9" fontId="2" fillId="4" borderId="1" xfId="3" applyFont="1" applyFill="1" applyBorder="1" applyAlignment="1">
      <alignment vertical="center"/>
    </xf>
    <xf numFmtId="0" fontId="3" fillId="3" borderId="1" xfId="0" applyFont="1" applyFill="1" applyBorder="1" applyAlignment="1">
      <alignment horizontal="center" vertical="center" wrapText="1"/>
    </xf>
    <xf numFmtId="164" fontId="3" fillId="3" borderId="1" xfId="1" applyNumberFormat="1" applyFont="1" applyFill="1" applyBorder="1" applyAlignment="1">
      <alignment horizontal="center" vertical="center" wrapText="1"/>
    </xf>
    <xf numFmtId="44" fontId="3" fillId="3" borderId="1" xfId="2"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0" fontId="3" fillId="3" borderId="1" xfId="0" applyFont="1" applyFill="1" applyBorder="1" applyAlignment="1">
      <alignment vertical="center"/>
    </xf>
    <xf numFmtId="0" fontId="0" fillId="0" borderId="1" xfId="0" applyBorder="1" applyAlignment="1">
      <alignment vertical="center"/>
    </xf>
    <xf numFmtId="0" fontId="0" fillId="0" borderId="1" xfId="0" applyBorder="1" applyAlignment="1">
      <alignment horizontal="left" vertical="center"/>
    </xf>
    <xf numFmtId="164" fontId="2" fillId="0" borderId="1" xfId="1" applyNumberFormat="1" applyFont="1" applyBorder="1" applyAlignment="1">
      <alignment vertical="center"/>
    </xf>
    <xf numFmtId="164" fontId="0" fillId="0" borderId="1" xfId="0" applyNumberFormat="1" applyBorder="1" applyAlignment="1">
      <alignment vertical="center"/>
    </xf>
    <xf numFmtId="44" fontId="2" fillId="0" borderId="1" xfId="2" applyFont="1" applyBorder="1" applyAlignment="1">
      <alignment vertical="center"/>
    </xf>
    <xf numFmtId="165" fontId="3" fillId="3" borderId="1" xfId="0" applyNumberFormat="1" applyFont="1" applyFill="1" applyBorder="1" applyAlignment="1">
      <alignment vertical="center"/>
    </xf>
    <xf numFmtId="165" fontId="3" fillId="0" borderId="1" xfId="0" applyNumberFormat="1" applyFont="1" applyBorder="1" applyAlignment="1">
      <alignment vertical="center"/>
    </xf>
    <xf numFmtId="0" fontId="4" fillId="0" borderId="0" xfId="0" applyFont="1" applyAlignment="1">
      <alignment vertical="center"/>
    </xf>
    <xf numFmtId="164" fontId="4" fillId="0" borderId="0" xfId="1" applyNumberFormat="1" applyFont="1" applyFill="1" applyAlignment="1">
      <alignment vertical="center"/>
    </xf>
    <xf numFmtId="44" fontId="4" fillId="0" borderId="0" xfId="2" applyFont="1" applyFill="1" applyAlignment="1">
      <alignment vertical="center"/>
    </xf>
    <xf numFmtId="165" fontId="4" fillId="0" borderId="0" xfId="0" applyNumberFormat="1" applyFont="1" applyAlignment="1">
      <alignment vertical="center"/>
    </xf>
    <xf numFmtId="165" fontId="5" fillId="0" borderId="0" xfId="0" applyNumberFormat="1" applyFont="1" applyAlignment="1">
      <alignment vertical="center"/>
    </xf>
    <xf numFmtId="0" fontId="5" fillId="0" borderId="0" xfId="0" applyFont="1" applyAlignment="1">
      <alignment vertical="center"/>
    </xf>
    <xf numFmtId="164" fontId="2" fillId="0" borderId="0" xfId="1" applyNumberFormat="1" applyFont="1" applyAlignment="1">
      <alignment vertical="center"/>
    </xf>
    <xf numFmtId="44" fontId="2" fillId="0" borderId="0" xfId="2" applyFont="1" applyAlignment="1">
      <alignment vertical="center"/>
    </xf>
    <xf numFmtId="44" fontId="3" fillId="0" borderId="1" xfId="2" applyFont="1" applyBorder="1" applyAlignment="1">
      <alignment vertical="center"/>
    </xf>
    <xf numFmtId="164" fontId="2" fillId="0" borderId="1" xfId="1" applyNumberFormat="1" applyFont="1" applyFill="1" applyBorder="1" applyAlignment="1">
      <alignment vertical="center"/>
    </xf>
    <xf numFmtId="0" fontId="3" fillId="0" borderId="0" xfId="0" applyFont="1" applyAlignment="1">
      <alignment vertical="center" wrapText="1"/>
    </xf>
    <xf numFmtId="0" fontId="0" fillId="0" borderId="4" xfId="0" applyBorder="1" applyAlignment="1">
      <alignment horizontal="left" vertical="center"/>
    </xf>
    <xf numFmtId="165" fontId="3" fillId="2" borderId="1" xfId="0" applyNumberFormat="1" applyFont="1" applyFill="1" applyBorder="1" applyAlignment="1">
      <alignment horizontal="center" vertical="center" wrapText="1"/>
    </xf>
    <xf numFmtId="0" fontId="3" fillId="0" borderId="2" xfId="0" applyFont="1" applyBorder="1" applyAlignment="1">
      <alignment vertical="center" wrapText="1"/>
    </xf>
    <xf numFmtId="165" fontId="3" fillId="3" borderId="3" xfId="0" applyNumberFormat="1" applyFont="1" applyFill="1" applyBorder="1" applyAlignment="1">
      <alignment horizontal="center" vertical="center" wrapText="1"/>
    </xf>
    <xf numFmtId="165" fontId="0" fillId="0" borderId="3" xfId="0" applyNumberFormat="1" applyBorder="1" applyAlignment="1">
      <alignment vertical="center"/>
    </xf>
    <xf numFmtId="165" fontId="3" fillId="3" borderId="3" xfId="0" applyNumberFormat="1" applyFont="1" applyFill="1" applyBorder="1" applyAlignment="1">
      <alignment vertical="center"/>
    </xf>
    <xf numFmtId="44" fontId="3" fillId="3" borderId="3" xfId="2" applyFont="1" applyFill="1" applyBorder="1" applyAlignment="1">
      <alignment horizontal="center" vertical="center" wrapText="1"/>
    </xf>
    <xf numFmtId="44" fontId="2" fillId="5" borderId="3" xfId="2" applyFont="1" applyFill="1" applyBorder="1" applyAlignment="1">
      <alignment vertical="center"/>
    </xf>
    <xf numFmtId="165" fontId="3" fillId="3" borderId="5" xfId="0" applyNumberFormat="1" applyFont="1" applyFill="1" applyBorder="1" applyAlignment="1">
      <alignment horizontal="center" vertical="center" wrapText="1"/>
    </xf>
    <xf numFmtId="165" fontId="0" fillId="0" borderId="5" xfId="0" applyNumberFormat="1" applyBorder="1" applyAlignment="1">
      <alignment vertical="center"/>
    </xf>
    <xf numFmtId="165" fontId="3" fillId="3" borderId="5" xfId="0" applyNumberFormat="1" applyFont="1" applyFill="1" applyBorder="1" applyAlignment="1">
      <alignment vertical="center"/>
    </xf>
    <xf numFmtId="0" fontId="3" fillId="2" borderId="1" xfId="0" applyFont="1" applyFill="1" applyBorder="1" applyAlignment="1">
      <alignment horizontal="left" vertical="center" wrapText="1"/>
    </xf>
    <xf numFmtId="0" fontId="8" fillId="6" borderId="0" xfId="0" applyFont="1" applyFill="1" applyAlignment="1">
      <alignment horizontal="left" vertical="center"/>
    </xf>
    <xf numFmtId="0" fontId="9" fillId="6" borderId="0" xfId="0" applyFont="1" applyFill="1" applyAlignment="1">
      <alignment vertical="center"/>
    </xf>
    <xf numFmtId="165" fontId="7" fillId="6" borderId="1" xfId="0" applyNumberFormat="1" applyFont="1" applyFill="1" applyBorder="1" applyAlignment="1">
      <alignment horizontal="center" vertical="center"/>
    </xf>
    <xf numFmtId="0" fontId="7" fillId="6" borderId="1" xfId="0" applyFont="1" applyFill="1" applyBorder="1" applyAlignment="1">
      <alignment horizontal="center" vertical="center"/>
    </xf>
    <xf numFmtId="165" fontId="8" fillId="6" borderId="1" xfId="0" applyNumberFormat="1" applyFont="1" applyFill="1" applyBorder="1" applyAlignment="1">
      <alignment horizontal="center" vertical="center"/>
    </xf>
    <xf numFmtId="165" fontId="10" fillId="6" borderId="1" xfId="0" applyNumberFormat="1" applyFont="1" applyFill="1" applyBorder="1" applyAlignment="1">
      <alignment horizontal="center" vertical="center" wrapText="1"/>
    </xf>
    <xf numFmtId="0" fontId="7" fillId="6" borderId="0" xfId="0" applyFont="1" applyFill="1" applyAlignment="1">
      <alignment vertical="center" wrapText="1"/>
    </xf>
    <xf numFmtId="0" fontId="8" fillId="6" borderId="0" xfId="0" applyFont="1" applyFill="1" applyAlignment="1">
      <alignment vertical="center"/>
    </xf>
    <xf numFmtId="0" fontId="9" fillId="6" borderId="0" xfId="0" applyFont="1" applyFill="1" applyAlignment="1">
      <alignment horizontal="left" vertical="center"/>
    </xf>
    <xf numFmtId="0" fontId="8" fillId="6" borderId="1" xfId="0" applyFont="1" applyFill="1" applyBorder="1" applyAlignment="1">
      <alignment horizontal="center" vertical="center"/>
    </xf>
    <xf numFmtId="0" fontId="7" fillId="6" borderId="1" xfId="0" applyFont="1" applyFill="1" applyBorder="1" applyAlignment="1">
      <alignment horizontal="center" vertical="center" wrapText="1"/>
    </xf>
    <xf numFmtId="10" fontId="7" fillId="2" borderId="1" xfId="3" applyNumberFormat="1" applyFont="1" applyFill="1" applyBorder="1" applyAlignment="1">
      <alignment horizontal="center" vertical="center"/>
    </xf>
    <xf numFmtId="10" fontId="8" fillId="2" borderId="1" xfId="3" applyNumberFormat="1" applyFont="1" applyFill="1" applyBorder="1" applyAlignment="1">
      <alignment horizontal="center" vertical="center"/>
    </xf>
    <xf numFmtId="10" fontId="11" fillId="2" borderId="1" xfId="3" applyNumberFormat="1" applyFont="1" applyFill="1" applyBorder="1" applyAlignment="1">
      <alignment horizontal="center" vertical="center"/>
    </xf>
    <xf numFmtId="0" fontId="9" fillId="0" borderId="1" xfId="0" applyFont="1" applyBorder="1" applyAlignment="1">
      <alignment horizontal="center" vertical="center"/>
    </xf>
    <xf numFmtId="10" fontId="8" fillId="6" borderId="6" xfId="3" applyNumberFormat="1" applyFont="1" applyFill="1" applyBorder="1" applyAlignment="1">
      <alignment horizontal="right" wrapText="1"/>
    </xf>
    <xf numFmtId="10" fontId="8" fillId="2" borderId="7" xfId="0" applyNumberFormat="1" applyFont="1" applyFill="1" applyBorder="1"/>
    <xf numFmtId="0" fontId="3" fillId="0" borderId="2" xfId="0" applyFont="1" applyBorder="1" applyAlignment="1">
      <alignment vertical="center" wrapText="1"/>
    </xf>
    <xf numFmtId="0" fontId="3" fillId="2" borderId="1" xfId="0" applyFont="1" applyFill="1" applyBorder="1" applyAlignment="1">
      <alignment horizontal="left" vertical="center" wrapText="1"/>
    </xf>
    <xf numFmtId="0" fontId="3" fillId="3" borderId="3" xfId="0" applyFont="1" applyFill="1" applyBorder="1" applyAlignment="1">
      <alignment horizontal="right" vertical="center"/>
    </xf>
    <xf numFmtId="0" fontId="3" fillId="3" borderId="4" xfId="0" applyFont="1" applyFill="1" applyBorder="1" applyAlignment="1">
      <alignment horizontal="right" vertical="center"/>
    </xf>
    <xf numFmtId="0" fontId="3" fillId="3" borderId="5" xfId="0" applyFont="1" applyFill="1" applyBorder="1" applyAlignment="1">
      <alignment horizontal="righ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3" xfId="0" applyBorder="1" applyAlignment="1">
      <alignment vertical="center"/>
    </xf>
    <xf numFmtId="0" fontId="0" fillId="0" borderId="4" xfId="0" applyBorder="1" applyAlignment="1">
      <alignment vertical="center"/>
    </xf>
    <xf numFmtId="0" fontId="3" fillId="0" borderId="0" xfId="0" applyFont="1" applyBorder="1" applyAlignment="1">
      <alignment vertical="center" wrapText="1"/>
    </xf>
  </cellXfs>
  <cellStyles count="6">
    <cellStyle name="Comma" xfId="1" builtinId="3"/>
    <cellStyle name="Currency" xfId="2" builtinId="4"/>
    <cellStyle name="Normal" xfId="0" builtinId="0"/>
    <cellStyle name="Normal 4" xfId="4" xr:uid="{00000000-0005-0000-0000-000003000000}"/>
    <cellStyle name="Percent" xfId="3" builtinId="5"/>
    <cellStyle name="Percent 2" xfId="5" xr:uid="{00000000-0005-0000-0000-000005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7"/>
  <sheetViews>
    <sheetView tabSelected="1" zoomScale="130" zoomScaleNormal="130" workbookViewId="0">
      <selection activeCell="A2" sqref="A2"/>
    </sheetView>
  </sheetViews>
  <sheetFormatPr defaultColWidth="9.26953125" defaultRowHeight="14.5"/>
  <cols>
    <col min="1" max="1" width="61.453125" style="1" bestFit="1" customWidth="1"/>
    <col min="2" max="2" width="6.26953125" style="1" bestFit="1" customWidth="1"/>
    <col min="3" max="3" width="4.7265625" style="1" bestFit="1" customWidth="1"/>
    <col min="4" max="4" width="9.54296875" style="23" bestFit="1" customWidth="1"/>
    <col min="5" max="5" width="12" style="1" bestFit="1" customWidth="1"/>
    <col min="6" max="6" width="10.7265625" style="24" customWidth="1"/>
    <col min="7" max="7" width="13.7265625" style="2" bestFit="1" customWidth="1"/>
    <col min="8" max="8" width="8.453125" style="24" bestFit="1" customWidth="1"/>
    <col min="9" max="9" width="13.7265625" style="2" bestFit="1" customWidth="1"/>
    <col min="10" max="10" width="8.453125" style="24" bestFit="1" customWidth="1"/>
    <col min="11" max="11" width="13.7265625" style="2" bestFit="1" customWidth="1"/>
    <col min="12" max="12" width="8.453125" style="24" bestFit="1" customWidth="1"/>
    <col min="13" max="13" width="13.7265625" style="2" bestFit="1" customWidth="1"/>
    <col min="14" max="14" width="8.453125" style="24" bestFit="1" customWidth="1"/>
    <col min="15" max="15" width="15" style="2" bestFit="1" customWidth="1"/>
    <col min="16" max="16" width="12.81640625" style="2" bestFit="1" customWidth="1"/>
    <col min="17" max="17" width="15.7265625" style="1" bestFit="1" customWidth="1"/>
    <col min="18" max="18" width="9.26953125" style="1"/>
    <col min="19" max="19" width="30.90625" style="1" bestFit="1" customWidth="1"/>
    <col min="20" max="16384" width="9.26953125" style="1"/>
  </cols>
  <sheetData>
    <row r="1" spans="1:26" ht="67.5" customHeight="1" thickBot="1">
      <c r="A1" s="57" t="s">
        <v>50</v>
      </c>
      <c r="B1" s="57"/>
      <c r="C1" s="57"/>
      <c r="D1" s="57"/>
      <c r="E1" s="57"/>
      <c r="F1" s="57"/>
      <c r="G1" s="57"/>
      <c r="H1" s="57"/>
      <c r="I1" s="57"/>
      <c r="J1" s="67"/>
      <c r="K1" s="67"/>
      <c r="L1" s="67"/>
      <c r="M1" s="67"/>
      <c r="N1" s="67"/>
      <c r="O1" s="67"/>
      <c r="P1" s="27"/>
    </row>
    <row r="2" spans="1:26" ht="67.5" customHeight="1">
      <c r="A2" s="30"/>
      <c r="B2" s="30"/>
      <c r="C2" s="30"/>
      <c r="D2" s="30"/>
      <c r="E2" s="30"/>
      <c r="F2" s="30"/>
      <c r="G2" s="30"/>
      <c r="H2" s="55" t="s">
        <v>26</v>
      </c>
      <c r="I2" s="56">
        <v>0</v>
      </c>
      <c r="J2" s="55" t="s">
        <v>44</v>
      </c>
      <c r="K2" s="56">
        <v>0</v>
      </c>
      <c r="L2" s="55" t="s">
        <v>45</v>
      </c>
      <c r="M2" s="56">
        <v>0</v>
      </c>
      <c r="N2" s="55" t="s">
        <v>46</v>
      </c>
      <c r="O2" s="56">
        <v>0</v>
      </c>
      <c r="P2" s="27"/>
    </row>
    <row r="3" spans="1:26" ht="29">
      <c r="A3" s="9" t="s">
        <v>13</v>
      </c>
      <c r="B3" s="5" t="s">
        <v>0</v>
      </c>
      <c r="C3" s="5" t="s">
        <v>1</v>
      </c>
      <c r="D3" s="6" t="s">
        <v>2</v>
      </c>
      <c r="E3" s="5" t="s">
        <v>3</v>
      </c>
      <c r="F3" s="34" t="s">
        <v>4</v>
      </c>
      <c r="G3" s="36" t="s">
        <v>5</v>
      </c>
      <c r="H3" s="7" t="s">
        <v>6</v>
      </c>
      <c r="I3" s="8" t="s">
        <v>7</v>
      </c>
      <c r="J3" s="7" t="s">
        <v>6</v>
      </c>
      <c r="K3" s="8" t="s">
        <v>41</v>
      </c>
      <c r="L3" s="7" t="s">
        <v>6</v>
      </c>
      <c r="M3" s="8" t="s">
        <v>42</v>
      </c>
      <c r="N3" s="7" t="s">
        <v>6</v>
      </c>
      <c r="O3" s="8" t="s">
        <v>43</v>
      </c>
      <c r="P3" s="31" t="s">
        <v>8</v>
      </c>
      <c r="Q3" s="42" t="s">
        <v>14</v>
      </c>
      <c r="R3" s="43" t="s">
        <v>15</v>
      </c>
      <c r="S3" s="50" t="s">
        <v>16</v>
      </c>
      <c r="T3" s="46"/>
      <c r="U3" s="46"/>
      <c r="V3" s="46"/>
      <c r="W3" s="46"/>
      <c r="X3" s="46"/>
      <c r="Y3" s="46"/>
      <c r="Z3" s="46"/>
    </row>
    <row r="4" spans="1:26">
      <c r="A4" s="10" t="s">
        <v>27</v>
      </c>
      <c r="B4" s="11" t="s">
        <v>34</v>
      </c>
      <c r="C4" s="10">
        <v>1</v>
      </c>
      <c r="D4" s="26">
        <v>1920</v>
      </c>
      <c r="E4" s="13">
        <f>SUM(C4*D4)</f>
        <v>1920</v>
      </c>
      <c r="F4" s="35">
        <v>0</v>
      </c>
      <c r="G4" s="37">
        <f t="shared" ref="G4" si="0">SUM(E4*F4)</f>
        <v>0</v>
      </c>
      <c r="H4" s="14">
        <f>F4*(1+$I$2)</f>
        <v>0</v>
      </c>
      <c r="I4" s="3">
        <f t="shared" ref="I4" si="1">SUM(H4*E4)</f>
        <v>0</v>
      </c>
      <c r="J4" s="14">
        <f>H4*(1+$K$2)</f>
        <v>0</v>
      </c>
      <c r="K4" s="3">
        <f>E4*J4</f>
        <v>0</v>
      </c>
      <c r="L4" s="14">
        <f>J4*(1+$M$2)</f>
        <v>0</v>
      </c>
      <c r="M4" s="3">
        <f>E4*L4</f>
        <v>0</v>
      </c>
      <c r="N4" s="14">
        <f>L4*(1+$O$2)</f>
        <v>0</v>
      </c>
      <c r="O4" s="3">
        <f>N4*E4</f>
        <v>0</v>
      </c>
      <c r="P4" s="32">
        <f>O4/2</f>
        <v>0</v>
      </c>
      <c r="Q4" s="42" t="s">
        <v>17</v>
      </c>
      <c r="R4" s="51"/>
      <c r="S4" s="49" t="s">
        <v>18</v>
      </c>
      <c r="T4" s="47"/>
      <c r="U4" s="47"/>
      <c r="V4" s="47"/>
      <c r="W4" s="47"/>
      <c r="X4" s="47"/>
      <c r="Y4" s="47"/>
      <c r="Z4" s="47"/>
    </row>
    <row r="5" spans="1:26">
      <c r="A5" s="10" t="s">
        <v>28</v>
      </c>
      <c r="B5" s="11" t="s">
        <v>35</v>
      </c>
      <c r="C5" s="10">
        <v>1</v>
      </c>
      <c r="D5" s="12">
        <v>1920</v>
      </c>
      <c r="E5" s="13">
        <f t="shared" ref="E5:E9" si="2">SUM(C5*D5)</f>
        <v>1920</v>
      </c>
      <c r="F5" s="35">
        <v>0</v>
      </c>
      <c r="G5" s="37">
        <f t="shared" ref="G5:G10" si="3">SUM(E5*F5)</f>
        <v>0</v>
      </c>
      <c r="H5" s="14">
        <f t="shared" ref="H5:H10" si="4">F5*(1+$I$2)</f>
        <v>0</v>
      </c>
      <c r="I5" s="3">
        <f t="shared" ref="I5:I10" si="5">SUM(H5*E5)</f>
        <v>0</v>
      </c>
      <c r="J5" s="14">
        <f t="shared" ref="J5:J10" si="6">H5*(1+$K$2)</f>
        <v>0</v>
      </c>
      <c r="K5" s="3">
        <f t="shared" ref="K5:K10" si="7">E5*J5</f>
        <v>0</v>
      </c>
      <c r="L5" s="14">
        <f t="shared" ref="L5:L10" si="8">J5*(1+$M$2)</f>
        <v>0</v>
      </c>
      <c r="M5" s="3">
        <f t="shared" ref="M5:M10" si="9">E5*L5</f>
        <v>0</v>
      </c>
      <c r="N5" s="14">
        <f t="shared" ref="N5:N10" si="10">L5*(1+$O$2)</f>
        <v>0</v>
      </c>
      <c r="O5" s="3">
        <f t="shared" ref="O5:O10" si="11">N5*E5</f>
        <v>0</v>
      </c>
      <c r="P5" s="32">
        <f t="shared" ref="P5:P10" si="12">O5/2</f>
        <v>0</v>
      </c>
      <c r="Q5" s="44" t="s">
        <v>19</v>
      </c>
      <c r="R5" s="52"/>
      <c r="S5" s="49" t="s">
        <v>20</v>
      </c>
      <c r="T5" s="47"/>
      <c r="U5" s="47"/>
      <c r="V5" s="47"/>
      <c r="W5" s="47"/>
      <c r="X5" s="47"/>
      <c r="Y5" s="47"/>
      <c r="Z5" s="47"/>
    </row>
    <row r="6" spans="1:26">
      <c r="A6" s="10" t="s">
        <v>29</v>
      </c>
      <c r="B6" s="11" t="s">
        <v>36</v>
      </c>
      <c r="C6" s="10">
        <v>1</v>
      </c>
      <c r="D6" s="12">
        <v>1920</v>
      </c>
      <c r="E6" s="13">
        <f t="shared" si="2"/>
        <v>1920</v>
      </c>
      <c r="F6" s="35">
        <v>0</v>
      </c>
      <c r="G6" s="37">
        <f t="shared" si="3"/>
        <v>0</v>
      </c>
      <c r="H6" s="14">
        <f t="shared" si="4"/>
        <v>0</v>
      </c>
      <c r="I6" s="3">
        <f t="shared" si="5"/>
        <v>0</v>
      </c>
      <c r="J6" s="14">
        <f t="shared" si="6"/>
        <v>0</v>
      </c>
      <c r="K6" s="3">
        <f t="shared" si="7"/>
        <v>0</v>
      </c>
      <c r="L6" s="14">
        <f t="shared" si="8"/>
        <v>0</v>
      </c>
      <c r="M6" s="3">
        <f t="shared" si="9"/>
        <v>0</v>
      </c>
      <c r="N6" s="14">
        <f t="shared" si="10"/>
        <v>0</v>
      </c>
      <c r="O6" s="3">
        <f t="shared" si="11"/>
        <v>0</v>
      </c>
      <c r="P6" s="32">
        <f t="shared" si="12"/>
        <v>0</v>
      </c>
      <c r="Q6" s="44" t="s">
        <v>21</v>
      </c>
      <c r="R6" s="52"/>
      <c r="S6" s="49" t="s">
        <v>22</v>
      </c>
      <c r="T6" s="40"/>
      <c r="U6" s="40"/>
      <c r="V6" s="40"/>
      <c r="W6" s="40"/>
      <c r="X6" s="40"/>
      <c r="Y6" s="40"/>
      <c r="Z6" s="40"/>
    </row>
    <row r="7" spans="1:26">
      <c r="A7" s="10" t="s">
        <v>30</v>
      </c>
      <c r="B7" s="11" t="s">
        <v>37</v>
      </c>
      <c r="C7" s="10">
        <v>1</v>
      </c>
      <c r="D7" s="12">
        <v>1920</v>
      </c>
      <c r="E7" s="13">
        <f t="shared" si="2"/>
        <v>1920</v>
      </c>
      <c r="F7" s="35">
        <v>0</v>
      </c>
      <c r="G7" s="37">
        <f t="shared" si="3"/>
        <v>0</v>
      </c>
      <c r="H7" s="14">
        <f t="shared" si="4"/>
        <v>0</v>
      </c>
      <c r="I7" s="3">
        <f t="shared" si="5"/>
        <v>0</v>
      </c>
      <c r="J7" s="14">
        <f t="shared" si="6"/>
        <v>0</v>
      </c>
      <c r="K7" s="3">
        <f t="shared" si="7"/>
        <v>0</v>
      </c>
      <c r="L7" s="14">
        <f t="shared" si="8"/>
        <v>0</v>
      </c>
      <c r="M7" s="3">
        <f t="shared" si="9"/>
        <v>0</v>
      </c>
      <c r="N7" s="14">
        <f t="shared" si="10"/>
        <v>0</v>
      </c>
      <c r="O7" s="3">
        <f t="shared" si="11"/>
        <v>0</v>
      </c>
      <c r="P7" s="32">
        <f t="shared" si="12"/>
        <v>0</v>
      </c>
      <c r="Q7" s="44" t="s">
        <v>23</v>
      </c>
      <c r="R7" s="52"/>
      <c r="S7" s="49" t="s">
        <v>24</v>
      </c>
      <c r="T7" s="40"/>
      <c r="U7" s="40"/>
      <c r="V7" s="40"/>
      <c r="W7" s="40"/>
      <c r="X7" s="40"/>
      <c r="Y7" s="48"/>
      <c r="Z7" s="48"/>
    </row>
    <row r="8" spans="1:26" ht="23">
      <c r="A8" s="10" t="s">
        <v>31</v>
      </c>
      <c r="B8" s="11" t="s">
        <v>38</v>
      </c>
      <c r="C8" s="10">
        <v>1</v>
      </c>
      <c r="D8" s="12">
        <v>1920</v>
      </c>
      <c r="E8" s="13">
        <f>SUM(C8*D8)</f>
        <v>1920</v>
      </c>
      <c r="F8" s="35">
        <v>0</v>
      </c>
      <c r="G8" s="37">
        <f t="shared" si="3"/>
        <v>0</v>
      </c>
      <c r="H8" s="14">
        <f t="shared" si="4"/>
        <v>0</v>
      </c>
      <c r="I8" s="3">
        <f t="shared" si="5"/>
        <v>0</v>
      </c>
      <c r="J8" s="14">
        <f t="shared" si="6"/>
        <v>0</v>
      </c>
      <c r="K8" s="3">
        <f t="shared" si="7"/>
        <v>0</v>
      </c>
      <c r="L8" s="14">
        <f t="shared" si="8"/>
        <v>0</v>
      </c>
      <c r="M8" s="3">
        <f t="shared" si="9"/>
        <v>0</v>
      </c>
      <c r="N8" s="14">
        <f t="shared" si="10"/>
        <v>0</v>
      </c>
      <c r="O8" s="3">
        <f t="shared" si="11"/>
        <v>0</v>
      </c>
      <c r="P8" s="32">
        <f t="shared" si="12"/>
        <v>0</v>
      </c>
      <c r="Q8" s="45" t="s">
        <v>25</v>
      </c>
      <c r="R8" s="53"/>
      <c r="S8" s="54"/>
      <c r="T8" s="41"/>
      <c r="U8" s="41"/>
      <c r="V8" s="41"/>
      <c r="W8" s="41"/>
      <c r="X8" s="41"/>
      <c r="Y8" s="41"/>
      <c r="Z8" s="41"/>
    </row>
    <row r="9" spans="1:26">
      <c r="A9" s="10" t="s">
        <v>32</v>
      </c>
      <c r="B9" s="11" t="s">
        <v>39</v>
      </c>
      <c r="C9" s="10">
        <v>1</v>
      </c>
      <c r="D9" s="26">
        <v>1920</v>
      </c>
      <c r="E9" s="13">
        <f t="shared" si="2"/>
        <v>1920</v>
      </c>
      <c r="F9" s="35">
        <v>0</v>
      </c>
      <c r="G9" s="37">
        <f t="shared" si="3"/>
        <v>0</v>
      </c>
      <c r="H9" s="14">
        <f t="shared" si="4"/>
        <v>0</v>
      </c>
      <c r="I9" s="3">
        <f t="shared" si="5"/>
        <v>0</v>
      </c>
      <c r="J9" s="14">
        <f t="shared" si="6"/>
        <v>0</v>
      </c>
      <c r="K9" s="3">
        <f t="shared" si="7"/>
        <v>0</v>
      </c>
      <c r="L9" s="14">
        <f t="shared" si="8"/>
        <v>0</v>
      </c>
      <c r="M9" s="3">
        <f t="shared" si="9"/>
        <v>0</v>
      </c>
      <c r="N9" s="14">
        <f t="shared" si="10"/>
        <v>0</v>
      </c>
      <c r="O9" s="3">
        <f t="shared" si="11"/>
        <v>0</v>
      </c>
      <c r="P9" s="32">
        <f t="shared" si="12"/>
        <v>0</v>
      </c>
    </row>
    <row r="10" spans="1:26">
      <c r="A10" s="65" t="s">
        <v>33</v>
      </c>
      <c r="B10" s="28" t="s">
        <v>40</v>
      </c>
      <c r="C10" s="66">
        <v>1</v>
      </c>
      <c r="D10" s="26">
        <v>1920</v>
      </c>
      <c r="E10" s="13">
        <f t="shared" ref="E10" si="13">SUM(C10*D10)</f>
        <v>1920</v>
      </c>
      <c r="F10" s="35">
        <v>0</v>
      </c>
      <c r="G10" s="37">
        <f t="shared" si="3"/>
        <v>0</v>
      </c>
      <c r="H10" s="14">
        <f t="shared" si="4"/>
        <v>0</v>
      </c>
      <c r="I10" s="3">
        <f t="shared" si="5"/>
        <v>0</v>
      </c>
      <c r="J10" s="14">
        <f t="shared" si="6"/>
        <v>0</v>
      </c>
      <c r="K10" s="3">
        <f t="shared" si="7"/>
        <v>0</v>
      </c>
      <c r="L10" s="14">
        <f t="shared" si="8"/>
        <v>0</v>
      </c>
      <c r="M10" s="3">
        <f t="shared" si="9"/>
        <v>0</v>
      </c>
      <c r="N10" s="14">
        <f t="shared" si="10"/>
        <v>0</v>
      </c>
      <c r="O10" s="3">
        <f t="shared" si="11"/>
        <v>0</v>
      </c>
      <c r="P10" s="32">
        <f t="shared" si="12"/>
        <v>0</v>
      </c>
    </row>
    <row r="11" spans="1:26">
      <c r="A11" s="59" t="s">
        <v>9</v>
      </c>
      <c r="B11" s="60"/>
      <c r="C11" s="60"/>
      <c r="D11" s="60"/>
      <c r="E11" s="60"/>
      <c r="F11" s="60"/>
      <c r="G11" s="38">
        <f>SUM(G4:G9)</f>
        <v>0</v>
      </c>
      <c r="H11" s="15">
        <f t="shared" ref="H11:I11" si="14">SUM(H4:H9)</f>
        <v>0</v>
      </c>
      <c r="I11" s="15">
        <f t="shared" si="14"/>
        <v>0</v>
      </c>
      <c r="J11" s="15">
        <f t="shared" ref="J11:K11" si="15">SUM(J4:J9)</f>
        <v>0</v>
      </c>
      <c r="K11" s="15">
        <f t="shared" si="15"/>
        <v>0</v>
      </c>
      <c r="L11" s="15">
        <f t="shared" ref="L11:M11" si="16">SUM(L4:L9)</f>
        <v>0</v>
      </c>
      <c r="M11" s="15">
        <f t="shared" si="16"/>
        <v>0</v>
      </c>
      <c r="N11" s="15">
        <f t="shared" ref="N11:O11" si="17">SUM(N4:N9)</f>
        <v>0</v>
      </c>
      <c r="O11" s="15">
        <f t="shared" si="17"/>
        <v>0</v>
      </c>
      <c r="P11" s="33">
        <f t="shared" ref="P11" si="18">SUM(P4:P9)</f>
        <v>0</v>
      </c>
    </row>
    <row r="12" spans="1:26">
      <c r="A12" s="62" t="s">
        <v>48</v>
      </c>
      <c r="B12" s="63"/>
      <c r="C12" s="63"/>
      <c r="D12" s="64"/>
      <c r="E12" s="3">
        <v>120000</v>
      </c>
      <c r="F12" s="4"/>
      <c r="G12" s="3">
        <f>SUM(($E12*$F12)+$E12)</f>
        <v>120000</v>
      </c>
      <c r="H12" s="14"/>
      <c r="I12" s="3">
        <f>SUM(($E12*$F12)+$E12)</f>
        <v>120000</v>
      </c>
      <c r="J12" s="14"/>
      <c r="K12" s="3">
        <f>SUM(($E12*$F12)+$E12)</f>
        <v>120000</v>
      </c>
      <c r="L12" s="14"/>
      <c r="M12" s="3">
        <f>SUM(($E12*$F12)+$E12)</f>
        <v>120000</v>
      </c>
      <c r="N12" s="14"/>
      <c r="O12" s="3">
        <f>SUM(($E12*$F12)+$E12)</f>
        <v>120000</v>
      </c>
      <c r="P12" s="3">
        <v>75000</v>
      </c>
    </row>
    <row r="13" spans="1:26">
      <c r="A13" s="59" t="s">
        <v>10</v>
      </c>
      <c r="B13" s="60"/>
      <c r="C13" s="60"/>
      <c r="D13" s="60"/>
      <c r="E13" s="60"/>
      <c r="F13" s="61"/>
      <c r="G13" s="15">
        <f>SUM(G12:G12)</f>
        <v>120000</v>
      </c>
      <c r="H13" s="15"/>
      <c r="I13" s="15">
        <f>SUM(I12:I12)</f>
        <v>120000</v>
      </c>
      <c r="J13" s="15"/>
      <c r="K13" s="15">
        <f>SUM(K12:K12)</f>
        <v>120000</v>
      </c>
      <c r="L13" s="15"/>
      <c r="M13" s="15">
        <f>SUM(M12:M12)</f>
        <v>120000</v>
      </c>
      <c r="N13" s="15"/>
      <c r="O13" s="15">
        <f>SUM(O12:O12)</f>
        <v>120000</v>
      </c>
      <c r="P13" s="15">
        <f>SUM(P12:P12)</f>
        <v>75000</v>
      </c>
    </row>
    <row r="14" spans="1:26">
      <c r="A14" s="59" t="s">
        <v>11</v>
      </c>
      <c r="B14" s="60"/>
      <c r="C14" s="60"/>
      <c r="D14" s="60"/>
      <c r="E14" s="60"/>
      <c r="F14" s="61"/>
      <c r="G14" s="16">
        <f>G11+G13</f>
        <v>120000</v>
      </c>
      <c r="H14" s="16"/>
      <c r="I14" s="16">
        <f>I11+I13</f>
        <v>120000</v>
      </c>
      <c r="J14" s="16"/>
      <c r="K14" s="16">
        <f>K11+K13</f>
        <v>120000</v>
      </c>
      <c r="L14" s="16"/>
      <c r="M14" s="16">
        <f>M11+M13</f>
        <v>120000</v>
      </c>
      <c r="N14" s="16"/>
      <c r="O14" s="16">
        <f>O11+O13</f>
        <v>120000</v>
      </c>
      <c r="P14" s="16">
        <f>P11+P13</f>
        <v>75000</v>
      </c>
    </row>
    <row r="15" spans="1:26">
      <c r="A15" s="59" t="s">
        <v>47</v>
      </c>
      <c r="B15" s="60"/>
      <c r="C15" s="60"/>
      <c r="D15" s="60"/>
      <c r="E15" s="60"/>
      <c r="F15" s="61"/>
      <c r="G15" s="16"/>
      <c r="H15" s="25"/>
      <c r="I15" s="16"/>
      <c r="J15" s="25"/>
      <c r="K15" s="16"/>
      <c r="L15" s="25"/>
      <c r="M15" s="16"/>
      <c r="N15" s="25"/>
      <c r="O15" s="16"/>
      <c r="P15" s="16"/>
    </row>
    <row r="16" spans="1:26" s="22" customFormat="1">
      <c r="A16" s="17" t="s">
        <v>12</v>
      </c>
      <c r="B16" s="17"/>
      <c r="C16" s="17"/>
      <c r="D16" s="17"/>
      <c r="E16" s="18"/>
      <c r="F16" s="17"/>
      <c r="G16" s="19"/>
      <c r="H16" s="20"/>
      <c r="I16" s="21"/>
      <c r="J16" s="20"/>
      <c r="K16" s="21"/>
      <c r="L16" s="20"/>
      <c r="M16" s="21"/>
      <c r="N16" s="20"/>
      <c r="O16" s="21"/>
      <c r="P16" s="21"/>
    </row>
    <row r="17" spans="1:16">
      <c r="A17" s="58" t="s">
        <v>49</v>
      </c>
      <c r="B17" s="58"/>
      <c r="C17" s="58"/>
      <c r="D17" s="58"/>
      <c r="E17" s="58"/>
      <c r="F17" s="58"/>
      <c r="G17" s="58"/>
      <c r="H17" s="58"/>
      <c r="I17" s="58"/>
      <c r="J17" s="39"/>
      <c r="K17" s="39"/>
      <c r="L17" s="39"/>
      <c r="M17" s="39"/>
      <c r="N17" s="39"/>
      <c r="O17" s="39"/>
      <c r="P17" s="29">
        <f>SUM(G14:P14)</f>
        <v>675000</v>
      </c>
    </row>
  </sheetData>
  <mergeCells count="7">
    <mergeCell ref="A1:I1"/>
    <mergeCell ref="A17:I17"/>
    <mergeCell ref="A14:F14"/>
    <mergeCell ref="A11:F11"/>
    <mergeCell ref="A13:F13"/>
    <mergeCell ref="A12:D12"/>
    <mergeCell ref="A15:F15"/>
  </mergeCells>
  <pageMargins left="0.2" right="0.2" top="0.75" bottom="0.75" header="0.3" footer="0.3"/>
  <pageSetup scale="7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E161FA35D6554792BAFA111AA5E2C2" ma:contentTypeVersion="14" ma:contentTypeDescription="Create a new document." ma:contentTypeScope="" ma:versionID="502ed81cdec0f45cf66ab20928d163d4">
  <xsd:schema xmlns:xsd="http://www.w3.org/2001/XMLSchema" xmlns:xs="http://www.w3.org/2001/XMLSchema" xmlns:p="http://schemas.microsoft.com/office/2006/metadata/properties" xmlns:ns1="http://schemas.microsoft.com/sharepoint/v3" xmlns:ns2="7b04bcd1-2aa8-4d7e-9aea-d926e930a71d" xmlns:ns3="1dde1231-415b-4e86-be37-c99daebfce2a" targetNamespace="http://schemas.microsoft.com/office/2006/metadata/properties" ma:root="true" ma:fieldsID="5e20fc8c857435fe94c79090bc976d14" ns1:_="" ns2:_="" ns3:_="">
    <xsd:import namespace="http://schemas.microsoft.com/sharepoint/v3"/>
    <xsd:import namespace="7b04bcd1-2aa8-4d7e-9aea-d926e930a71d"/>
    <xsd:import namespace="1dde1231-415b-4e86-be37-c99daebfce2a"/>
    <xsd:element name="properties">
      <xsd:complexType>
        <xsd:sequence>
          <xsd:element name="documentManagement">
            <xsd:complexType>
              <xsd:all>
                <xsd:element ref="ns2:TaxCatchAll" minOccurs="0"/>
                <xsd:element ref="ns3:lcf76f155ced4ddcb4097134ff3c332f" minOccurs="0"/>
                <xsd:element ref="ns3:Assignedto" minOccurs="0"/>
                <xsd:element ref="ns3:Completereview" minOccurs="0"/>
                <xsd:element ref="ns3:MediaLengthInSeconds" minOccurs="0"/>
                <xsd:element ref="ns1:_ip_UnifiedCompliancePolicyProperties" minOccurs="0"/>
                <xsd:element ref="ns1:_ip_UnifiedCompliancePolicyUIActio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04bcd1-2aa8-4d7e-9aea-d926e930a71d"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c7341bd3-249a-42ff-a029-e612c9610290}" ma:internalName="TaxCatchAll" ma:showField="CatchAllData" ma:web="7b04bcd1-2aa8-4d7e-9aea-d926e930a7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dde1231-415b-4e86-be37-c99daebfce2a" elementFormDefault="qualified">
    <xsd:import namespace="http://schemas.microsoft.com/office/2006/documentManagement/types"/>
    <xsd:import namespace="http://schemas.microsoft.com/office/infopath/2007/PartnerControls"/>
    <xsd:element name="lcf76f155ced4ddcb4097134ff3c332f" ma:index="10" nillable="true" ma:taxonomy="true" ma:internalName="lcf76f155ced4ddcb4097134ff3c332f" ma:taxonomyFieldName="MediaServiceImageTags" ma:displayName="Image Tags" ma:readOnly="false" ma:fieldId="{5cf76f15-5ced-4ddc-b409-7134ff3c332f}" ma:taxonomyMulti="true" ma:sspId="41bcb310-9c3d-4239-a405-6899594bcd61" ma:termSetId="09814cd3-568e-fe90-9814-8d621ff8fb84" ma:anchorId="fba54fb3-c3e1-fe81-a776-ca4b69148c4d" ma:open="true" ma:isKeyword="false">
      <xsd:complexType>
        <xsd:sequence>
          <xsd:element ref="pc:Terms" minOccurs="0" maxOccurs="1"/>
        </xsd:sequence>
      </xsd:complexType>
    </xsd:element>
    <xsd:element name="Assignedto" ma:index="11" nillable="true" ma:displayName="Assigned to" ma:description="Corrections and revision of contract file"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mpletereview" ma:index="12" nillable="true" ma:displayName="Review Completed" ma:default="0" ma:format="Dropdown" ma:internalName="Completereview">
      <xsd:simpleType>
        <xsd:restriction base="dms:Boolean"/>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6"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1dde1231-415b-4e86-be37-c99daebfce2a">
      <Terms xmlns="http://schemas.microsoft.com/office/infopath/2007/PartnerControls"/>
    </lcf76f155ced4ddcb4097134ff3c332f>
    <Completereview xmlns="1dde1231-415b-4e86-be37-c99daebfce2a">false</Completereview>
    <_ip_UnifiedCompliancePolicyProperties xmlns="http://schemas.microsoft.com/sharepoint/v3" xsi:nil="true"/>
    <TaxCatchAll xmlns="7b04bcd1-2aa8-4d7e-9aea-d926e930a71d" xsi:nil="true"/>
    <Assignedto xmlns="1dde1231-415b-4e86-be37-c99daebfce2a">
      <UserInfo>
        <DisplayName/>
        <AccountId xsi:nil="true"/>
        <AccountType/>
      </UserInfo>
    </Assignedto>
  </documentManagement>
</p:properties>
</file>

<file path=customXml/itemProps1.xml><?xml version="1.0" encoding="utf-8"?>
<ds:datastoreItem xmlns:ds="http://schemas.openxmlformats.org/officeDocument/2006/customXml" ds:itemID="{FD67ACEF-50CF-4B50-B528-10D3786562D1}">
  <ds:schemaRefs>
    <ds:schemaRef ds:uri="http://schemas.microsoft.com/sharepoint/v3/contenttype/forms"/>
  </ds:schemaRefs>
</ds:datastoreItem>
</file>

<file path=customXml/itemProps2.xml><?xml version="1.0" encoding="utf-8"?>
<ds:datastoreItem xmlns:ds="http://schemas.openxmlformats.org/officeDocument/2006/customXml" ds:itemID="{63E329D9-F1E4-49B7-A046-63AC2DBF96F5}">
  <ds:schemaRefs>
    <ds:schemaRef ds:uri="http://schemas.microsoft.com/office/2006/metadata/longProperties"/>
  </ds:schemaRefs>
</ds:datastoreItem>
</file>

<file path=customXml/itemProps3.xml><?xml version="1.0" encoding="utf-8"?>
<ds:datastoreItem xmlns:ds="http://schemas.openxmlformats.org/officeDocument/2006/customXml" ds:itemID="{EC5B102E-F422-4C72-91AA-9F83B5DE9B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b04bcd1-2aa8-4d7e-9aea-d926e930a71d"/>
    <ds:schemaRef ds:uri="1dde1231-415b-4e86-be37-c99daebfce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D9DD9E4-63C8-49C0-A599-DB83968C4670}">
  <ds:schemaRefs>
    <ds:schemaRef ds:uri="http://schemas.microsoft.com/office/2006/metadata/properties"/>
    <ds:schemaRef ds:uri="http://schemas.microsoft.com/office/infopath/2007/PartnerControls"/>
    <ds:schemaRef ds:uri="http://schemas.microsoft.com/sharepoint/v3"/>
    <ds:schemaRef ds:uri="1dde1231-415b-4e86-be37-c99daebfce2a"/>
    <ds:schemaRef ds:uri="7b04bcd1-2aa8-4d7e-9aea-d926e930a71d"/>
  </ds:schemaRefs>
</ds:datastoreItem>
</file>

<file path=docMetadata/LabelInfo.xml><?xml version="1.0" encoding="utf-8"?>
<clbl:labelList xmlns:clbl="http://schemas.microsoft.com/office/2020/mipLabelMetadata">
  <clbl:label id="{56b665fc-95ee-4bc0-ba4f-93fdedf161ac}" enabled="0" method="" siteId="{56b665fc-95ee-4bc0-ba4f-93fdedf161a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R&amp;A TEP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Corrects MSOS ITC G27 cell formula</dc:title>
  <dc:subject/>
  <dc:creator>Stevens, Karen M CIV USSOCOM HQ</dc:creator>
  <cp:keywords/>
  <dc:description/>
  <cp:lastModifiedBy>Williams, Samuel P CIV USSOCOM MARSOC (USA)</cp:lastModifiedBy>
  <cp:revision/>
  <dcterms:created xsi:type="dcterms:W3CDTF">2014-10-16T15:20:21Z</dcterms:created>
  <dcterms:modified xsi:type="dcterms:W3CDTF">2026-04-30T17:46:06Z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Word Document</vt:lpwstr>
  </property>
  <property fmtid="{D5CDD505-2E9C-101B-9397-08002B2CF9AE}" pid="3" name="ContentTypeId">
    <vt:lpwstr>0x010100C0E161FA35D6554792BAFA111AA5E2C2</vt:lpwstr>
  </property>
  <property fmtid="{D5CDD505-2E9C-101B-9397-08002B2CF9AE}" pid="4" name="MediaServiceImageTags">
    <vt:lpwstr/>
  </property>
</Properties>
</file>