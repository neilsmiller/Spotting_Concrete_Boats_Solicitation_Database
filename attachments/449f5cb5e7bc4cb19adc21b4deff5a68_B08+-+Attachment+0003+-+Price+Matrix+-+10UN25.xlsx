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nifer.B.Trevino\OneDrive - US Army\Desktop\PANROC-25-P-0000 006800 Hydraulics Components\SAM Solicitation Posting\"/>
    </mc:Choice>
  </mc:AlternateContent>
  <xr:revisionPtr revIDLastSave="0" documentId="8_{E602E913-F313-44A8-A3B2-25A4B540BFEC}" xr6:coauthVersionLast="47" xr6:coauthVersionMax="47" xr10:uidLastSave="{00000000-0000-0000-0000-000000000000}"/>
  <bookViews>
    <workbookView xWindow="-108" yWindow="60" windowWidth="23256" windowHeight="12288" xr2:uid="{7F906CEC-E649-449D-8606-CF5415C0C70A}"/>
  </bookViews>
  <sheets>
    <sheet name="Sheet1" sheetId="1" r:id="rId1"/>
  </sheets>
  <definedNames>
    <definedName name="_xlnm._FilterDatabase" localSheetId="0" hidden="1">Sheet1!$A$11:$K$185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8" i="1" l="1"/>
  <c r="J186" i="1"/>
  <c r="J187" i="1"/>
  <c r="J183" i="1"/>
  <c r="J185" i="1"/>
  <c r="J97" i="1"/>
  <c r="J165" i="1"/>
  <c r="J160" i="1"/>
  <c r="J145" i="1"/>
  <c r="J139" i="1"/>
  <c r="J140" i="1"/>
  <c r="J141" i="1"/>
  <c r="J142" i="1"/>
  <c r="J143" i="1"/>
  <c r="J144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1" i="1"/>
  <c r="J162" i="1"/>
  <c r="J163" i="1"/>
  <c r="J164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4" i="1"/>
  <c r="J128" i="1"/>
  <c r="J122" i="1"/>
  <c r="J123" i="1"/>
  <c r="J124" i="1"/>
  <c r="J125" i="1"/>
  <c r="J126" i="1"/>
  <c r="J127" i="1"/>
  <c r="J129" i="1"/>
  <c r="J130" i="1"/>
  <c r="J131" i="1"/>
  <c r="J132" i="1"/>
  <c r="J133" i="1"/>
  <c r="J134" i="1"/>
  <c r="J135" i="1"/>
  <c r="J136" i="1"/>
  <c r="J137" i="1"/>
  <c r="J138" i="1"/>
  <c r="J121" i="1"/>
  <c r="J108" i="1"/>
  <c r="J107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06" i="1"/>
  <c r="J96" i="1"/>
  <c r="J98" i="1"/>
  <c r="J99" i="1"/>
  <c r="J100" i="1"/>
  <c r="J101" i="1"/>
  <c r="J102" i="1"/>
  <c r="J103" i="1"/>
  <c r="J104" i="1"/>
  <c r="J105" i="1"/>
  <c r="J91" i="1"/>
  <c r="J75" i="1"/>
  <c r="J64" i="1"/>
  <c r="J63" i="1"/>
  <c r="J65" i="1"/>
  <c r="J66" i="1"/>
  <c r="J67" i="1"/>
  <c r="J68" i="1"/>
  <c r="J69" i="1"/>
  <c r="J70" i="1"/>
  <c r="J71" i="1"/>
  <c r="J72" i="1"/>
  <c r="J73" i="1"/>
  <c r="J74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2" i="1"/>
  <c r="J93" i="1"/>
  <c r="J94" i="1"/>
  <c r="J95" i="1"/>
  <c r="J62" i="1"/>
  <c r="J61" i="1"/>
  <c r="J60" i="1"/>
  <c r="J59" i="1"/>
  <c r="J58" i="1"/>
  <c r="J56" i="1"/>
  <c r="J55" i="1"/>
  <c r="J49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50" i="1"/>
  <c r="J51" i="1"/>
  <c r="J52" i="1"/>
  <c r="J53" i="1"/>
  <c r="J54" i="1"/>
  <c r="J57" i="1"/>
  <c r="J13" i="1"/>
  <c r="J14" i="1"/>
  <c r="J15" i="1"/>
  <c r="J16" i="1"/>
  <c r="J17" i="1"/>
  <c r="J18" i="1"/>
  <c r="J19" i="1"/>
  <c r="J20" i="1"/>
  <c r="J21" i="1"/>
  <c r="J22" i="1"/>
  <c r="J12" i="1"/>
  <c r="J11" i="1"/>
</calcChain>
</file>

<file path=xl/sharedStrings.xml><?xml version="1.0" encoding="utf-8"?>
<sst xmlns="http://schemas.openxmlformats.org/spreadsheetml/2006/main" count="1254" uniqueCount="615">
  <si>
    <t>HOSE FEMALE37°SWIVEL MALESTRAIGHT THREAD</t>
  </si>
  <si>
    <t>11E421924RIA:59678</t>
  </si>
  <si>
    <t>EA</t>
  </si>
  <si>
    <t>11E421402RIA:59678</t>
  </si>
  <si>
    <t>Clamp, Block</t>
  </si>
  <si>
    <t>11E421431RIA:59678</t>
  </si>
  <si>
    <t>STRAIGHT BOSS UNION, STRAIGHT THREAD</t>
  </si>
  <si>
    <t>11E421424RIA:59678</t>
  </si>
  <si>
    <t>MOUNTING PLATE</t>
  </si>
  <si>
    <t>11E421439RIA:59678</t>
  </si>
  <si>
    <t>VALVE, POPPET, QUICK COUPLING,</t>
  </si>
  <si>
    <t>11E421460RIA:59678</t>
  </si>
  <si>
    <t>UNION, BULKHEAD, STR TUBE TO TUBE</t>
  </si>
  <si>
    <t>11E421412RIA:59678</t>
  </si>
  <si>
    <t>1/2" HOSE ASSY</t>
  </si>
  <si>
    <t>11E421411RIA:59678</t>
  </si>
  <si>
    <t>1" HOSE ASSY</t>
  </si>
  <si>
    <t>11E421309RIA:59678</t>
  </si>
  <si>
    <t>FITTING, ELBOW, TUBE ADAPTOR</t>
  </si>
  <si>
    <t>W52H1B510601PJ</t>
  </si>
  <si>
    <t>11E421310RIA:59678</t>
  </si>
  <si>
    <t>FITTING, REDUCING, 1-1/4 NPTF TO 3/4 NPT</t>
  </si>
  <si>
    <t>11E421315RIA:59678</t>
  </si>
  <si>
    <t>FITTING, ELBOW, 90 DEG, TUBE TO PIPE</t>
  </si>
  <si>
    <t>11E421405RIA:59678</t>
  </si>
  <si>
    <t>HYDRAULIC TUBE, SOLID</t>
  </si>
  <si>
    <t>11E421406RIA:59678</t>
  </si>
  <si>
    <t>11E421407RIA:59678</t>
  </si>
  <si>
    <t>11E421059RIA:59678</t>
  </si>
  <si>
    <t>VALVE, FLOW CONTROL</t>
  </si>
  <si>
    <t>11E421417RIA:59678</t>
  </si>
  <si>
    <t>3/4" HOSE ASSY, 31.6 OAL</t>
  </si>
  <si>
    <t>11E421432RIA:59678</t>
  </si>
  <si>
    <t>FITTING, REDUCING, ORFS SWIVEL</t>
  </si>
  <si>
    <t>11E421435RIA:59678</t>
  </si>
  <si>
    <t>FITTING, ORFS BULKHEAD UNION</t>
  </si>
  <si>
    <t>11E421305RIA:59678</t>
  </si>
  <si>
    <t>FITTING, FEMALE, QUICK COUPLING</t>
  </si>
  <si>
    <t>11E421308RIA:59678</t>
  </si>
  <si>
    <t>FITTING, CONNECTOR, MALE TO PIPE</t>
  </si>
  <si>
    <t>11E421419RIA:59678</t>
  </si>
  <si>
    <t>1" HOSE ASSY, 87.8"</t>
  </si>
  <si>
    <t>11E421438RIA:59678</t>
  </si>
  <si>
    <t>FITTING, ORFS, BULKHEAD UNION</t>
  </si>
  <si>
    <t>11E421440RIA:59678</t>
  </si>
  <si>
    <t>VALVE, POPPET, QUICK COUPLING</t>
  </si>
  <si>
    <t>11E421463RIA:59678</t>
  </si>
  <si>
    <t>COUPLING HALF, QUICK CONNECT</t>
  </si>
  <si>
    <t>11E421303RIA:59678</t>
  </si>
  <si>
    <t>PIPE NIPPLE, 1/2 NPTF</t>
  </si>
  <si>
    <t>11E421307RIA:59678</t>
  </si>
  <si>
    <t>FITTING, MALE ELBOW</t>
  </si>
  <si>
    <t>11E421437RIA:59678</t>
  </si>
  <si>
    <t>FITTING, POPPET, QUICK COUPLING</t>
  </si>
  <si>
    <t>11E421462RIA:59678</t>
  </si>
  <si>
    <t>ADAPTER, STR, PIPE TO HOSE</t>
  </si>
  <si>
    <t>11E421416RIA:59678</t>
  </si>
  <si>
    <t>1/4" HOSE ASSY, 32.0 OAL</t>
  </si>
  <si>
    <t>11E421418RIA:59678</t>
  </si>
  <si>
    <t>1" HOSE ASSY, 31.5 OAL</t>
  </si>
  <si>
    <t>11E421413RIA:59678</t>
  </si>
  <si>
    <t>3/4" HOSE ASSY</t>
  </si>
  <si>
    <t>11E421414RIA:59678</t>
  </si>
  <si>
    <t>3/4" HOSE ASSY 90deg. SHT F ORFS SWIV</t>
  </si>
  <si>
    <t>11E421903RIA:59678</t>
  </si>
  <si>
    <t>PUMP, HYDRAULIC</t>
  </si>
  <si>
    <t>11E421441RIA:59678</t>
  </si>
  <si>
    <t>11E421442RIA:59678</t>
  </si>
  <si>
    <t>11E421454RIA:59678</t>
  </si>
  <si>
    <t>UNION, STR TUBE TO TUBE</t>
  </si>
  <si>
    <t>11E421456RIA:59678</t>
  </si>
  <si>
    <t>ADAPTER, STR TUBE TO BOSS</t>
  </si>
  <si>
    <t>11E421461RIA:59678</t>
  </si>
  <si>
    <t>REDUCER, STR TUBE</t>
  </si>
  <si>
    <t>11E421306RIA:59678</t>
  </si>
  <si>
    <t>90 DEG ELBOW, 1/2 NPTF</t>
  </si>
  <si>
    <t>11E421415RIA:59678</t>
  </si>
  <si>
    <t>1/4" HOSE ASSY, 23.2 OAL</t>
  </si>
  <si>
    <t>11E421443RIA:59678</t>
  </si>
  <si>
    <t>SAE FLANGE KIT, CODE 61</t>
  </si>
  <si>
    <t>11E421430RIA:59678</t>
  </si>
  <si>
    <t>BRANCH TEE, STRAIGHT THREAD</t>
  </si>
  <si>
    <t>11E421434RIA:59678</t>
  </si>
  <si>
    <t>FITTING, ORFS REDUCING SWIVEL</t>
  </si>
  <si>
    <t>11E421436RIA:59678</t>
  </si>
  <si>
    <t>FITTING, REDUCING, ORFS TO STOR</t>
  </si>
  <si>
    <t>11E421455RIA:59678</t>
  </si>
  <si>
    <t>11E421459RIA:59678</t>
  </si>
  <si>
    <t>11E421470RIA:59678</t>
  </si>
  <si>
    <t>PLUG, PIPE, MAGNETIC</t>
  </si>
  <si>
    <t>11E421029RIA:59678</t>
  </si>
  <si>
    <t>REGULATOR</t>
  </si>
  <si>
    <t>11E421301RIA:59678</t>
  </si>
  <si>
    <t>FITTING, ELBOW, 90 DEG, 3/4 NPTF</t>
  </si>
  <si>
    <t>11E421304RIA:59678</t>
  </si>
  <si>
    <t>FITTING, BRANCH, PIPE TEE</t>
  </si>
  <si>
    <t>11E421420RIA:59678</t>
  </si>
  <si>
    <t>11E421316RIA:59678</t>
  </si>
  <si>
    <t>11E421311RIA:59678</t>
  </si>
  <si>
    <t>FITTING, ELBOW, TUBE TO PIPE</t>
  </si>
  <si>
    <t>11E421313RIA:59678</t>
  </si>
  <si>
    <t>FITTING, TEE, TUBE</t>
  </si>
  <si>
    <t>11E421925RIA:59678</t>
  </si>
  <si>
    <t>HOSE, FEMALE TO FEMALE, 37° SWIVEL ENDS</t>
  </si>
  <si>
    <t>11E421453RIA:59678</t>
  </si>
  <si>
    <t>11E421457RIA:59678</t>
  </si>
  <si>
    <t>11E421421RIA:59678</t>
  </si>
  <si>
    <t>1/4" HOSE ASSY</t>
  </si>
  <si>
    <t>11E421464RIA:59678</t>
  </si>
  <si>
    <t>NIPPLE, MALE STR BOSS</t>
  </si>
  <si>
    <t>11E421422RIA:59678</t>
  </si>
  <si>
    <t>FILTER ASSY, HYDR OIL, 10 MICRON</t>
  </si>
  <si>
    <t xml:space="preserve"> PRICE MATRIX SPREADSHEET </t>
  </si>
  <si>
    <t>Vendor Name:</t>
  </si>
  <si>
    <t>Date of Quote:</t>
  </si>
  <si>
    <t>Vendor CAGE Code:</t>
  </si>
  <si>
    <t>Vendor POC:</t>
  </si>
  <si>
    <t xml:space="preserve">                      Name:</t>
  </si>
  <si>
    <t xml:space="preserve">                      Email:</t>
  </si>
  <si>
    <t xml:space="preserve">       Phone Number:</t>
  </si>
  <si>
    <t>CLIN</t>
  </si>
  <si>
    <t xml:space="preserve">Description </t>
  </si>
  <si>
    <t>CLIN 0001</t>
  </si>
  <si>
    <t>CLIN 0002</t>
  </si>
  <si>
    <t>CLIN 0003</t>
  </si>
  <si>
    <t>CLIN 0004</t>
  </si>
  <si>
    <t>CLIN 0005</t>
  </si>
  <si>
    <t>CLIN 0006</t>
  </si>
  <si>
    <t>CLIN 0007</t>
  </si>
  <si>
    <t>CLIN 0008</t>
  </si>
  <si>
    <t>CLIN 0009</t>
  </si>
  <si>
    <t>CLIN 0010</t>
  </si>
  <si>
    <t>CLIN 0011</t>
  </si>
  <si>
    <t>CLIN 0012</t>
  </si>
  <si>
    <t>CLIN 0013</t>
  </si>
  <si>
    <t>CLIN 0014</t>
  </si>
  <si>
    <t>CLIN 0015</t>
  </si>
  <si>
    <t>CLIN 0016</t>
  </si>
  <si>
    <t>CLIN 0017</t>
  </si>
  <si>
    <t>CLIN 0018</t>
  </si>
  <si>
    <t>CLIN 0019</t>
  </si>
  <si>
    <t>CLIN 0020</t>
  </si>
  <si>
    <t>CLIN 0021</t>
  </si>
  <si>
    <t>CLIN 0022</t>
  </si>
  <si>
    <t>CLIN 0023</t>
  </si>
  <si>
    <t>CLIN 0024</t>
  </si>
  <si>
    <t>CLIN 0025</t>
  </si>
  <si>
    <t>CLIN 0026</t>
  </si>
  <si>
    <t>CLIN 0027</t>
  </si>
  <si>
    <t>CLIN 0028</t>
  </si>
  <si>
    <t>CLIN 0029</t>
  </si>
  <si>
    <t>CLIN 0030</t>
  </si>
  <si>
    <t>CLIN 0031</t>
  </si>
  <si>
    <t>CLIN 0032</t>
  </si>
  <si>
    <t>CLIN 0033</t>
  </si>
  <si>
    <t>CLIN 0034</t>
  </si>
  <si>
    <t>CLIN 0035</t>
  </si>
  <si>
    <t>CLIN 0036</t>
  </si>
  <si>
    <t>CLIN 0037</t>
  </si>
  <si>
    <t>CLIN 0038</t>
  </si>
  <si>
    <t>CLIN 0039</t>
  </si>
  <si>
    <t>CLIN 0040</t>
  </si>
  <si>
    <t>CLIN 0041</t>
  </si>
  <si>
    <t>CLIN 0042</t>
  </si>
  <si>
    <t>CLIN 0043</t>
  </si>
  <si>
    <t>CLIN 0044</t>
  </si>
  <si>
    <t>CLIN 0045</t>
  </si>
  <si>
    <t>CLIN 0046</t>
  </si>
  <si>
    <t>CLIN 0047</t>
  </si>
  <si>
    <t>CLIN 0048</t>
  </si>
  <si>
    <t>CLIN 0049</t>
  </si>
  <si>
    <t>CLIN 0050</t>
  </si>
  <si>
    <t>CLIN 0051</t>
  </si>
  <si>
    <t>CLIN 0052</t>
  </si>
  <si>
    <t>CLIN 0053</t>
  </si>
  <si>
    <t>CLIN 0054</t>
  </si>
  <si>
    <t>CLIN 0055</t>
  </si>
  <si>
    <t>CLIN 0056</t>
  </si>
  <si>
    <t>CLIN 0057</t>
  </si>
  <si>
    <t>CLIN 0058</t>
  </si>
  <si>
    <t>CLIN 0059</t>
  </si>
  <si>
    <t>CLIN 0060</t>
  </si>
  <si>
    <t>CLIN 0061</t>
  </si>
  <si>
    <t>CLIN 0062</t>
  </si>
  <si>
    <t>CLIN 0063</t>
  </si>
  <si>
    <t>CLIN 0064</t>
  </si>
  <si>
    <t>CLIN 0065</t>
  </si>
  <si>
    <t>CLIN 0066</t>
  </si>
  <si>
    <t>CLIN 0067</t>
  </si>
  <si>
    <t>CLIN 0068</t>
  </si>
  <si>
    <t>CLIN 0069</t>
  </si>
  <si>
    <t>CLIN 0070</t>
  </si>
  <si>
    <t>CLIN 0071</t>
  </si>
  <si>
    <t>CLIN 0072</t>
  </si>
  <si>
    <t>CLIN 0073</t>
  </si>
  <si>
    <t>CLIN 0074</t>
  </si>
  <si>
    <t>CLIN 0075</t>
  </si>
  <si>
    <t>CLIN 0076</t>
  </si>
  <si>
    <t>CLIN 0077</t>
  </si>
  <si>
    <t>CLIN 0078</t>
  </si>
  <si>
    <t>CLIN 0079</t>
  </si>
  <si>
    <t>CLIN 0080</t>
  </si>
  <si>
    <t>CLIN 0081</t>
  </si>
  <si>
    <t>CLIN 0082</t>
  </si>
  <si>
    <t>CLIN 0083</t>
  </si>
  <si>
    <t>CLIN 0084</t>
  </si>
  <si>
    <t>CLIN 0085</t>
  </si>
  <si>
    <t>CLIN 0086</t>
  </si>
  <si>
    <t>CLIN 0087</t>
  </si>
  <si>
    <t>CLIN 0088</t>
  </si>
  <si>
    <t>CLIN 0089</t>
  </si>
  <si>
    <t>CLIN 0090</t>
  </si>
  <si>
    <t>CLIN 0091</t>
  </si>
  <si>
    <t>CLIN 0092</t>
  </si>
  <si>
    <t>CLIN 0093</t>
  </si>
  <si>
    <t>CLIN 0094</t>
  </si>
  <si>
    <t>CLIN 0095</t>
  </si>
  <si>
    <t>CLIN 0096</t>
  </si>
  <si>
    <t>CLIN 0097</t>
  </si>
  <si>
    <t>CLIN 0098</t>
  </si>
  <si>
    <t>CLIN 0099</t>
  </si>
  <si>
    <t>CLIN 0100</t>
  </si>
  <si>
    <t>CLIN 0101</t>
  </si>
  <si>
    <t>CLIN 0102</t>
  </si>
  <si>
    <t>CLIN 0103</t>
  </si>
  <si>
    <t>CLIN 0104</t>
  </si>
  <si>
    <t>CLIN 0105</t>
  </si>
  <si>
    <t>CLIN 0106</t>
  </si>
  <si>
    <t>CLIN 0107</t>
  </si>
  <si>
    <t>CLIN 0108</t>
  </si>
  <si>
    <t>CLIN 0109</t>
  </si>
  <si>
    <t>CLIN 0110</t>
  </si>
  <si>
    <t>CLIN 0111</t>
  </si>
  <si>
    <t>CLIN 0112</t>
  </si>
  <si>
    <t>CLIN 0113</t>
  </si>
  <si>
    <t>CLIN 0114</t>
  </si>
  <si>
    <t>CLIN 0115</t>
  </si>
  <si>
    <t>CLIN 0116</t>
  </si>
  <si>
    <t>CLIN 0117</t>
  </si>
  <si>
    <t>CLIN 0118</t>
  </si>
  <si>
    <t>CLIN 0119</t>
  </si>
  <si>
    <t>CLIN 0120</t>
  </si>
  <si>
    <t>CLIN 0121</t>
  </si>
  <si>
    <t>CLIN 0122</t>
  </si>
  <si>
    <t>CLIN 0123</t>
  </si>
  <si>
    <t>CLIN 0124</t>
  </si>
  <si>
    <t>CLIN 0125</t>
  </si>
  <si>
    <t>CLIN 0126</t>
  </si>
  <si>
    <t>CLIN 0127</t>
  </si>
  <si>
    <t>CLIN 0128</t>
  </si>
  <si>
    <t>CLIN 0129</t>
  </si>
  <si>
    <t>CLIN 0130</t>
  </si>
  <si>
    <t>CLIN 0131</t>
  </si>
  <si>
    <t>CLIN 0132</t>
  </si>
  <si>
    <t>CLIN 0133</t>
  </si>
  <si>
    <t>CLIN 0134</t>
  </si>
  <si>
    <t>CLIN 0135</t>
  </si>
  <si>
    <t>CLIN 0136</t>
  </si>
  <si>
    <t>CLIN 0137</t>
  </si>
  <si>
    <t>CLIN 0138</t>
  </si>
  <si>
    <t>CLIN 0139</t>
  </si>
  <si>
    <t>CLIN 0140</t>
  </si>
  <si>
    <t>CLIN 0141</t>
  </si>
  <si>
    <t>CLIN 0142</t>
  </si>
  <si>
    <t>CLIN 0143</t>
  </si>
  <si>
    <t>CLIN 0144</t>
  </si>
  <si>
    <t>CLIN 0145</t>
  </si>
  <si>
    <t>CLIN 0146</t>
  </si>
  <si>
    <t>CLIN 0147</t>
  </si>
  <si>
    <t>CLIN 0148</t>
  </si>
  <si>
    <t>CLIN 0149</t>
  </si>
  <si>
    <t>CLIN 0150</t>
  </si>
  <si>
    <t>CLIN 0151</t>
  </si>
  <si>
    <t>CLIN 0152</t>
  </si>
  <si>
    <t>CLIN 0153</t>
  </si>
  <si>
    <t>CLIN 0154</t>
  </si>
  <si>
    <t>CLIN 0155</t>
  </si>
  <si>
    <t>CLIN 0156</t>
  </si>
  <si>
    <t>CLIN 0157</t>
  </si>
  <si>
    <t>CLIN 0158</t>
  </si>
  <si>
    <t>CLIN 0159</t>
  </si>
  <si>
    <t>CLIN 0160</t>
  </si>
  <si>
    <t>CLIN 0161</t>
  </si>
  <si>
    <t>CLIN 0162</t>
  </si>
  <si>
    <t>CLIN 0163</t>
  </si>
  <si>
    <t>CLIN 0164</t>
  </si>
  <si>
    <t>CLIN 0165</t>
  </si>
  <si>
    <t>CLIN 0166</t>
  </si>
  <si>
    <t>CLIN 0167</t>
  </si>
  <si>
    <t>CLIN 0168</t>
  </si>
  <si>
    <t>CLIN 0169</t>
  </si>
  <si>
    <t>CLIN 0170</t>
  </si>
  <si>
    <t>CLIN 0171</t>
  </si>
  <si>
    <t>CLIN 0172</t>
  </si>
  <si>
    <t>CLIN 0173</t>
  </si>
  <si>
    <t>CLIN 0174</t>
  </si>
  <si>
    <t>CLIN 0175</t>
  </si>
  <si>
    <t>Quantity</t>
  </si>
  <si>
    <t>Stock Number</t>
  </si>
  <si>
    <t>Federal Supply Classification (FSC)</t>
  </si>
  <si>
    <t>Unit of Issue</t>
  </si>
  <si>
    <t>Unit Price</t>
  </si>
  <si>
    <t xml:space="preserve">Total </t>
  </si>
  <si>
    <r>
      <rPr>
        <u/>
        <sz val="12"/>
        <rFont val="Aptos"/>
        <family val="2"/>
      </rPr>
      <t xml:space="preserve">
</t>
    </r>
    <r>
      <rPr>
        <b/>
        <u/>
        <sz val="12"/>
        <rFont val="Aptos"/>
        <family val="2"/>
      </rPr>
      <t xml:space="preserve">Delivery Location:
</t>
    </r>
    <r>
      <rPr>
        <b/>
        <sz val="12"/>
        <rFont val="Aptos"/>
        <family val="2"/>
      </rPr>
      <t>Transportation Officer
Bldg 299, Beck and Gillespie Rock Island, IL 61299-5000</t>
    </r>
  </si>
  <si>
    <t xml:space="preserve">1. At a minimum, the vendor shall supply a delivery note listing for each load addressing:
       - Delivery address
       - Attention to Bryan Brittenham
       - Contract reference number
       - Material description 
       - Material total quantity
</t>
  </si>
  <si>
    <t>Drawing #</t>
  </si>
  <si>
    <t>11E421924</t>
  </si>
  <si>
    <t>Funding Doc</t>
  </si>
  <si>
    <t>W52H1B510500IO</t>
  </si>
  <si>
    <t>W52H1B510500IP</t>
  </si>
  <si>
    <t>W52H1B510500IQ</t>
  </si>
  <si>
    <t>W52H1B510500IR</t>
  </si>
  <si>
    <t>W52H1B510500IS</t>
  </si>
  <si>
    <t>W52H1B510500IU</t>
  </si>
  <si>
    <t>W52H1B510500IW</t>
  </si>
  <si>
    <t>Extended Description</t>
  </si>
  <si>
    <r>
      <t xml:space="preserve">HOSE FEMALE 37° SWIVEL MALE STRAIGHT THREAD PER DRAWING </t>
    </r>
    <r>
      <rPr>
        <sz val="9"/>
        <color rgb="FFFF0000"/>
        <rFont val="Aptos Narrow"/>
        <family val="2"/>
        <scheme val="minor"/>
      </rPr>
      <t>11E421924</t>
    </r>
    <r>
      <rPr>
        <sz val="9"/>
        <color theme="1"/>
        <rFont val="Aptos Narrow"/>
        <family val="2"/>
        <scheme val="minor"/>
      </rPr>
      <t xml:space="preserve">
FROM PARKER-HANNIFIN CORPORATION  VENDOR PART NO. F7720605121212360
OR
NOTT COMPANY DIV FLUID POWER VENDOR PART NO. F7720605121212360</t>
    </r>
  </si>
  <si>
    <t>TYPE: 1 5/8" - 12 STRAIGHT THREAD - MATERIAL: STEEL - FINISH: ZINC PLATE
- SEAL: SEAL-LOK, OR O-LOK - STANDARD 1: SAEJ518 - STANDARD 2: SAE070120</t>
  </si>
  <si>
    <t>W52H1B510500IY</t>
  </si>
  <si>
    <t>W52H1B510500IZ</t>
  </si>
  <si>
    <t>11E421439</t>
  </si>
  <si>
    <r>
      <t xml:space="preserve">HOSE FEMALE 37° SWIVEL MALE STRAIGHT THREAD PER DRAWING
</t>
    </r>
    <r>
      <rPr>
        <sz val="9"/>
        <color rgb="FFFF0000"/>
        <rFont val="Aptos Narrow"/>
        <family val="2"/>
        <scheme val="minor"/>
      </rPr>
      <t>11E421924</t>
    </r>
  </si>
  <si>
    <t>W52H1B510500J0</t>
  </si>
  <si>
    <t>W52H1B510500J1</t>
  </si>
  <si>
    <t>W52H1B510500J2</t>
  </si>
  <si>
    <t>W52H1B510500J3</t>
  </si>
  <si>
    <t>W52H1B510500J5</t>
  </si>
  <si>
    <t>W52H1B510500J6</t>
  </si>
  <si>
    <t>W52H1B510500J8</t>
  </si>
  <si>
    <r>
      <t xml:space="preserve">VALVE, POPPET, QUICK COUPLING, IAW PRINT </t>
    </r>
    <r>
      <rPr>
        <sz val="9"/>
        <color rgb="FFFF0000"/>
        <rFont val="Aptos Narrow"/>
        <family val="2"/>
        <scheme val="minor"/>
      </rPr>
      <t>11E421439</t>
    </r>
  </si>
  <si>
    <t>11E421460</t>
  </si>
  <si>
    <t>W52H1B510500J9</t>
  </si>
  <si>
    <r>
      <t xml:space="preserve">UNION, BULKHEAD, STR TUBE TO TUBE, PURCHASE IAW PRINT </t>
    </r>
    <r>
      <rPr>
        <sz val="9"/>
        <color rgb="FFFF0000"/>
        <rFont val="Aptos Narrow"/>
        <family val="2"/>
        <scheme val="minor"/>
      </rPr>
      <t>11E421460</t>
    </r>
  </si>
  <si>
    <t>11E421412</t>
  </si>
  <si>
    <t>11E421411</t>
  </si>
  <si>
    <t>11E421309</t>
  </si>
  <si>
    <t>W52H1B510500JA</t>
  </si>
  <si>
    <t>W52H1B510500JC</t>
  </si>
  <si>
    <r>
      <t xml:space="preserve">1/2" HOSE ASSY, PURCHASE IAW PRINT </t>
    </r>
    <r>
      <rPr>
        <sz val="9"/>
        <color rgb="FFFF0000"/>
        <rFont val="Aptos Narrow"/>
        <family val="2"/>
        <scheme val="minor"/>
      </rPr>
      <t>11E421412</t>
    </r>
  </si>
  <si>
    <t>W52H1B510500JD</t>
  </si>
  <si>
    <t>W52H1B510500JE</t>
  </si>
  <si>
    <t>W52H1B510500JF</t>
  </si>
  <si>
    <r>
      <t xml:space="preserve">1" HOSE ASSY, PURCHASE IAW PRINT </t>
    </r>
    <r>
      <rPr>
        <sz val="9"/>
        <color rgb="FFFF0000"/>
        <rFont val="Aptos Narrow"/>
        <family val="2"/>
        <scheme val="minor"/>
      </rPr>
      <t>11E421411</t>
    </r>
  </si>
  <si>
    <t>W52H1B510500JG</t>
  </si>
  <si>
    <t>W52H1B510601PI</t>
  </si>
  <si>
    <t>11E421310</t>
  </si>
  <si>
    <r>
      <t xml:space="preserve">FITTING, ELBOW, TUBE ADAPTOR PER DRAWING </t>
    </r>
    <r>
      <rPr>
        <sz val="9"/>
        <color rgb="FFFF0000"/>
        <rFont val="Aptos Narrow"/>
        <family val="2"/>
        <scheme val="minor"/>
      </rPr>
      <t>11E421309</t>
    </r>
    <r>
      <rPr>
        <sz val="9"/>
        <color theme="1"/>
        <rFont val="Aptos Narrow"/>
        <family val="2"/>
        <scheme val="minor"/>
      </rPr>
      <t>. SUGGESTED SOURCE OF
SUPPLY: PARKER HANNIFIN CORPORATION, VENDOR PART NO. 12
C6X-S, FITTING, ELBOW, 90° TUBE ADAPTOR, 1-3/16-12 37° FLARE TO 1-
3/16-12 37° FLARE, TYPE 90° TUBE ADAPTOR ELBO FITTING, MATERIAL STEEL,
FINISH ZINC PLATED, SEAL NONE, STANDARD SAE J518</t>
    </r>
  </si>
  <si>
    <t>11E421315</t>
  </si>
  <si>
    <t>W52H1B510601PK</t>
  </si>
  <si>
    <t>W52H1B510601PL</t>
  </si>
  <si>
    <r>
      <t xml:space="preserve">FITTING, REDUCING 1-1/4 NPTF TO 3/4 NPTF PER DRAWING </t>
    </r>
    <r>
      <rPr>
        <sz val="9"/>
        <color rgb="FFFF0000"/>
        <rFont val="Aptos Narrow"/>
        <family val="2"/>
        <scheme val="minor"/>
      </rPr>
      <t>11E421310.</t>
    </r>
    <r>
      <rPr>
        <sz val="9"/>
        <color theme="1"/>
        <rFont val="Aptos Narrow"/>
        <family val="2"/>
        <scheme val="minor"/>
      </rPr>
      <t xml:space="preserve">
SUGGESTED SOURCE OF SUPPLY: PARKER HANNIFIN CORPORATION,  VENDOR PART NO. 1-1/4 X 3/4 PTR-S, PIPE FITTING, REDUCING, 1-1/4
NPTF MALE, TO 3/4 NPTF FEMALE, MATERIAL STEEL, FINISH ZINC PLATED,
SEAL NONE, STANDARD SAE 140140</t>
    </r>
  </si>
  <si>
    <t>W52H1B510601PM</t>
  </si>
  <si>
    <t>W52H1B510601PN</t>
  </si>
  <si>
    <t>W52H1B510601PR</t>
  </si>
  <si>
    <r>
      <t xml:space="preserve">FITTING, ELBOW 90°, TUBE TO PIPE PER DRAWING </t>
    </r>
    <r>
      <rPr>
        <sz val="9"/>
        <color rgb="FFFF0000"/>
        <rFont val="Aptos Narrow"/>
        <family val="2"/>
        <scheme val="minor"/>
      </rPr>
      <t>11E421315</t>
    </r>
    <r>
      <rPr>
        <sz val="9"/>
        <color theme="1"/>
        <rFont val="Aptos Narrow"/>
        <family val="2"/>
        <scheme val="minor"/>
      </rPr>
      <t>. SUGGESTED SOURCE
OF SUPPLY: PARKER HANNIFIN CORPORATION,  VENDOR PART NO
6-6 CTX-S, FITTING, 90° ELBOW TUBE TO PIPE 1-3/16-12 37° FLARE 3/8"
NPTF, MATERIAL STEEL, SEAL NONE,, STANDARD SAE 070202</t>
    </r>
  </si>
  <si>
    <t>11E421405</t>
  </si>
  <si>
    <t>11E421406</t>
  </si>
  <si>
    <t>W52H1B510601PS</t>
  </si>
  <si>
    <t>W52H1B510601PT</t>
  </si>
  <si>
    <t>W52H1B510601QC</t>
  </si>
  <si>
    <r>
      <t xml:space="preserve">HYDRAULIC TUBE, SOLID. PURCHASE IAW DRAWING </t>
    </r>
    <r>
      <rPr>
        <sz val="9"/>
        <color rgb="FFFF0000"/>
        <rFont val="Aptos Narrow"/>
        <family val="2"/>
        <scheme val="minor"/>
      </rPr>
      <t>11E421405</t>
    </r>
    <r>
      <rPr>
        <sz val="9"/>
        <color theme="1"/>
        <rFont val="Aptos Narrow"/>
        <family val="2"/>
        <scheme val="minor"/>
      </rPr>
      <t>.</t>
    </r>
  </si>
  <si>
    <t>11E421407</t>
  </si>
  <si>
    <t>11E421059</t>
  </si>
  <si>
    <t>11E421417</t>
  </si>
  <si>
    <t>11E421432</t>
  </si>
  <si>
    <t>W52H1B510601QD</t>
  </si>
  <si>
    <t>W52H1B510601QG</t>
  </si>
  <si>
    <r>
      <t xml:space="preserve">HYDRAULIC TUBE, SOLID, 144.00 OAL. PURCHASE IAW DRAWING </t>
    </r>
    <r>
      <rPr>
        <sz val="9"/>
        <color rgb="FFFF0000"/>
        <rFont val="Aptos Narrow"/>
        <family val="2"/>
        <scheme val="minor"/>
      </rPr>
      <t>11E421406</t>
    </r>
    <r>
      <rPr>
        <sz val="9"/>
        <color theme="1"/>
        <rFont val="Aptos Narrow"/>
        <family val="2"/>
        <scheme val="minor"/>
      </rPr>
      <t>.</t>
    </r>
  </si>
  <si>
    <t>W52H1B510601QH</t>
  </si>
  <si>
    <t>W52H1B510601QI</t>
  </si>
  <si>
    <t>W52H1B510601QJ</t>
  </si>
  <si>
    <t>W52H1B510601QN</t>
  </si>
  <si>
    <r>
      <t xml:space="preserve">VALVE, FLOW CONTROL. PURCHASE IAW PRINT </t>
    </r>
    <r>
      <rPr>
        <sz val="9"/>
        <color rgb="FFFF0000"/>
        <rFont val="Aptos Narrow"/>
        <family val="2"/>
        <scheme val="minor"/>
      </rPr>
      <t>11E421059</t>
    </r>
    <r>
      <rPr>
        <sz val="9"/>
        <color theme="1"/>
        <rFont val="Aptos Narrow"/>
        <family val="2"/>
        <scheme val="minor"/>
      </rPr>
      <t>. SUGGESTED SOURCE OF
SUPPLY: NOTT COMPANY INC,  VENDOR PART: NUMBER V500P-8</t>
    </r>
  </si>
  <si>
    <r>
      <t xml:space="preserve">HYDRAULIC TUBE, SOLID , 144.00 OAL. PURCHASE IAW DRAWING </t>
    </r>
    <r>
      <rPr>
        <sz val="9"/>
        <color rgb="FFFF0000"/>
        <rFont val="Aptos Narrow"/>
        <family val="2"/>
        <scheme val="minor"/>
      </rPr>
      <t>11E421407</t>
    </r>
    <r>
      <rPr>
        <sz val="9"/>
        <color theme="1"/>
        <rFont val="Aptos Narrow"/>
        <family val="2"/>
        <scheme val="minor"/>
      </rPr>
      <t>.</t>
    </r>
  </si>
  <si>
    <t>W52H1B510601QO</t>
  </si>
  <si>
    <t>W52H1B510601QP</t>
  </si>
  <si>
    <t>11E421435</t>
  </si>
  <si>
    <t>11E421305</t>
  </si>
  <si>
    <t>11E421308</t>
  </si>
  <si>
    <t>W52H1B510601QQ</t>
  </si>
  <si>
    <r>
      <t xml:space="preserve">3/4" HOSE ASSY, 31.6 OAL PURCHASE IAW PRINT </t>
    </r>
    <r>
      <rPr>
        <sz val="9"/>
        <color rgb="FFFF0000"/>
        <rFont val="Aptos Narrow"/>
        <family val="2"/>
        <scheme val="minor"/>
      </rPr>
      <t>11E421417</t>
    </r>
  </si>
  <si>
    <t>W52H1B510601QT</t>
  </si>
  <si>
    <t>W52H1B510601QU</t>
  </si>
  <si>
    <r>
      <t xml:space="preserve">FITTING, REDUCING, ORFS SWIVEL, PURCHASE IAW PRINT </t>
    </r>
    <r>
      <rPr>
        <sz val="9"/>
        <color rgb="FFFF0000"/>
        <rFont val="Aptos Narrow"/>
        <family val="2"/>
        <scheme val="minor"/>
      </rPr>
      <t>11E421432</t>
    </r>
  </si>
  <si>
    <t>W52H1B510601QV</t>
  </si>
  <si>
    <t>W52H1B510601QW</t>
  </si>
  <si>
    <t>W52H1B510601QX</t>
  </si>
  <si>
    <r>
      <t xml:space="preserve">FITTING, ORFS BULKHEAD UNION, PURCHASE IAW PRINT </t>
    </r>
    <r>
      <rPr>
        <sz val="9"/>
        <color rgb="FFFF0000"/>
        <rFont val="Aptos Narrow"/>
        <family val="2"/>
        <scheme val="minor"/>
      </rPr>
      <t>11E421435</t>
    </r>
  </si>
  <si>
    <t>W52H1B510601QY</t>
  </si>
  <si>
    <t>W52H1B510601QZ</t>
  </si>
  <si>
    <t>W52H1B510701E1</t>
  </si>
  <si>
    <r>
      <t xml:space="preserve">FITTING, FEMALE QUICK COUPLING PER DRAWING </t>
    </r>
    <r>
      <rPr>
        <sz val="9"/>
        <color rgb="FFFF0000"/>
        <rFont val="Aptos Narrow"/>
        <family val="2"/>
        <scheme val="minor"/>
      </rPr>
      <t>11E421305</t>
    </r>
    <r>
      <rPr>
        <sz val="9"/>
        <color theme="1"/>
        <rFont val="Aptos Narrow"/>
        <family val="2"/>
        <scheme val="minor"/>
      </rPr>
      <t>. SUGGESTED SOURCE
OF SUPPLY: PARKER HANNIFIN CORPORATION TUBE FITTINGS DIVISION,  VENDOR PART NO. B37, FEMALE QUICK COUPLER, 1/2" NPTF THREAD,
BRASS BODY, MATERIAL BRASS, PORT SIZE 1/2" NPTF, SEAL NITRILE, TEMPERATURE RATING -40° F TO 250° F, PRESSURE RATING 300 PSI, VALVE TYPE
TUBULAR, LOCKING MECHANISM PAWL</t>
    </r>
  </si>
  <si>
    <t>11E421419</t>
  </si>
  <si>
    <t>W52H1B510701E2</t>
  </si>
  <si>
    <t>W52H1B510701E3</t>
  </si>
  <si>
    <r>
      <t xml:space="preserve">FITTING, CONNECTOR, MALE, TUBE TO PIPE PER DRAWING </t>
    </r>
    <r>
      <rPr>
        <sz val="9"/>
        <color rgb="FFFF0000"/>
        <rFont val="Aptos Narrow"/>
        <family val="2"/>
        <scheme val="minor"/>
      </rPr>
      <t>11E421308</t>
    </r>
    <r>
      <rPr>
        <sz val="9"/>
        <color theme="1"/>
        <rFont val="Aptos Narrow"/>
        <family val="2"/>
        <scheme val="minor"/>
      </rPr>
      <t>. SUGGESTED
SOURCE OF SUPPLY: PARKER HANNIFIN CORPORATION TUBE FITTINGS DIVISION,
VENDOR PART NO. 12 FTX-S, MALE CONNECTOR, TUBE TO PIPE, 1-3/16-12 37° FLARE TUBE TO 3/4" NPTF PIPE, MATERIAL STEEL, SEAL NONE</t>
    </r>
  </si>
  <si>
    <t>W52H1B510701E4</t>
  </si>
  <si>
    <t>W52H1B510701E5</t>
  </si>
  <si>
    <t>W52H1B511100OW</t>
  </si>
  <si>
    <r>
      <t xml:space="preserve">1" HOSE ASSY, 87.8, PURCHASE IAW PRINT </t>
    </r>
    <r>
      <rPr>
        <sz val="9"/>
        <color rgb="FFFF0000"/>
        <rFont val="Aptos Narrow"/>
        <family val="2"/>
        <scheme val="minor"/>
      </rPr>
      <t>11E421419</t>
    </r>
  </si>
  <si>
    <t>W52H1B511100OX</t>
  </si>
  <si>
    <t>W52H1B511100OZ</t>
  </si>
  <si>
    <t>W52H1B5105012X</t>
  </si>
  <si>
    <t>11E421438</t>
  </si>
  <si>
    <t>11E421440</t>
  </si>
  <si>
    <t>W52H1B5105012Y</t>
  </si>
  <si>
    <t>W52H1B5105016I</t>
  </si>
  <si>
    <r>
      <t xml:space="preserve">FITTING, ORFS, BULKHEAD UNION PURCHASE IAW PRINT </t>
    </r>
    <r>
      <rPr>
        <sz val="9"/>
        <color rgb="FFFF0000"/>
        <rFont val="Aptos Narrow"/>
        <family val="2"/>
        <scheme val="minor"/>
      </rPr>
      <t>11E421438</t>
    </r>
  </si>
  <si>
    <t>11E421463</t>
  </si>
  <si>
    <t>11E421303</t>
  </si>
  <si>
    <t>W52H1B5105016J</t>
  </si>
  <si>
    <t>W52H1B5105016K</t>
  </si>
  <si>
    <t>W52H1B5105017E</t>
  </si>
  <si>
    <r>
      <t xml:space="preserve">VALVE, POPPET, QUICK COUPLING, PURCHASE IAW PRINT </t>
    </r>
    <r>
      <rPr>
        <sz val="9"/>
        <color rgb="FFFF0000"/>
        <rFont val="Aptos Narrow"/>
        <family val="2"/>
        <scheme val="minor"/>
      </rPr>
      <t>11E421440</t>
    </r>
  </si>
  <si>
    <t>W52H1B5105017F</t>
  </si>
  <si>
    <t>W52H1B5105017I</t>
  </si>
  <si>
    <t>W52H1B5105017K</t>
  </si>
  <si>
    <t>W52H1B5105017L</t>
  </si>
  <si>
    <t>W52H1B5105017M</t>
  </si>
  <si>
    <r>
      <t xml:space="preserve">COUPLING HALF, QUICK CONNECT, PURCHASE IAW PRINT </t>
    </r>
    <r>
      <rPr>
        <sz val="9"/>
        <color rgb="FFFF0000"/>
        <rFont val="Aptos Narrow"/>
        <family val="2"/>
        <scheme val="minor"/>
      </rPr>
      <t>11E421463</t>
    </r>
  </si>
  <si>
    <t>W52H1B5105017N</t>
  </si>
  <si>
    <t>11E421307</t>
  </si>
  <si>
    <t>11E421437</t>
  </si>
  <si>
    <t>W52H1B5105017O</t>
  </si>
  <si>
    <t>W52H1B5105017P</t>
  </si>
  <si>
    <r>
      <t xml:space="preserve">PIPE NIPPLE, 1/2" NPTF PER DRAWING </t>
    </r>
    <r>
      <rPr>
        <sz val="9"/>
        <color rgb="FFFF0000"/>
        <rFont val="Aptos Narrow"/>
        <family val="2"/>
        <scheme val="minor"/>
      </rPr>
      <t>11E421303</t>
    </r>
    <r>
      <rPr>
        <sz val="9"/>
        <color theme="1"/>
        <rFont val="Aptos Narrow"/>
        <family val="2"/>
        <scheme val="minor"/>
      </rPr>
      <t>. SUGGESTED SOURCE OF SUPPLY: PARKER HANNIFIN CORPORATION TUBE FITTINGS DIVISION, VENDOR PART NO. 1/2 FF-S, PIPE NIPPLE, 1/2" NPTF MALE THREAD, MATERIAL STEEL, FINISH ZINC PLATED, SEAL NONE, STANDARD 1 SAE 140137</t>
    </r>
  </si>
  <si>
    <r>
      <t xml:space="preserve">FITTING, MALE ELBOW PER DRAWING </t>
    </r>
    <r>
      <rPr>
        <sz val="9"/>
        <color rgb="FFFF0000"/>
        <rFont val="Aptos Narrow"/>
        <family val="2"/>
        <scheme val="minor"/>
      </rPr>
      <t>11E421307</t>
    </r>
    <r>
      <rPr>
        <sz val="9"/>
        <color theme="1"/>
        <rFont val="Aptos Narrow"/>
        <family val="2"/>
        <scheme val="minor"/>
      </rPr>
      <t>. SUGGESTED SOURCE OF SUPPLY: PARKER HANNIFIN CORPORATION TUBE FITTINGS DIVISION, VENDOR PART NO. 12 CTX-S, 90° MALE ELBOW, 1-3/16-12 37° FLARE TUBE TO 3/4" NPTF PIPE., MATERIAL STEEL, SEAL NONE, STANDARD SAE 070202</t>
    </r>
  </si>
  <si>
    <t>11E421462</t>
  </si>
  <si>
    <t>11E421416</t>
  </si>
  <si>
    <t>W52H1B5105017Q</t>
  </si>
  <si>
    <t>W52H1B5105017R</t>
  </si>
  <si>
    <t>W52H1B5105017T</t>
  </si>
  <si>
    <r>
      <t xml:space="preserve">FITTING, POPPET, QUICK COUPLING PURCHASE IAW PRINT </t>
    </r>
    <r>
      <rPr>
        <sz val="9"/>
        <color rgb="FFFF0000"/>
        <rFont val="Aptos Narrow"/>
        <family val="2"/>
        <scheme val="minor"/>
      </rPr>
      <t>11E421437</t>
    </r>
  </si>
  <si>
    <t>11E421418</t>
  </si>
  <si>
    <t>W52H1B5105017U</t>
  </si>
  <si>
    <t>W52H1B5105017Z</t>
  </si>
  <si>
    <r>
      <t xml:space="preserve">ADAPTER, STR, PIPE TO HOSE, PURCHASE IAW PRINT </t>
    </r>
    <r>
      <rPr>
        <sz val="9"/>
        <color rgb="FFFF0000"/>
        <rFont val="Aptos Narrow"/>
        <family val="2"/>
        <scheme val="minor"/>
      </rPr>
      <t>11E421462</t>
    </r>
  </si>
  <si>
    <t>W52H1B5106013N</t>
  </si>
  <si>
    <r>
      <t xml:space="preserve">1/4" HOSE ASSY, 32.0 OAL, PURCHASE IAW PRINT, </t>
    </r>
    <r>
      <rPr>
        <sz val="9"/>
        <color rgb="FFFF0000"/>
        <rFont val="Aptos Narrow"/>
        <family val="2"/>
        <scheme val="minor"/>
      </rPr>
      <t>11E421416</t>
    </r>
  </si>
  <si>
    <t>W52H1B5106013O</t>
  </si>
  <si>
    <t>W52H1B5106013P</t>
  </si>
  <si>
    <t>W52H1B5106013S</t>
  </si>
  <si>
    <r>
      <t xml:space="preserve">1" HOSE ASSY, 31.5 OAL, PURCHASE IAW PRINT </t>
    </r>
    <r>
      <rPr>
        <sz val="9"/>
        <color rgb="FFFF0000"/>
        <rFont val="Aptos Narrow"/>
        <family val="2"/>
        <scheme val="minor"/>
      </rPr>
      <t>11E421418</t>
    </r>
  </si>
  <si>
    <t>11E421413</t>
  </si>
  <si>
    <t>W52H1B5106013U</t>
  </si>
  <si>
    <t>W52H1B5106013V</t>
  </si>
  <si>
    <t>W52H1B5106014C</t>
  </si>
  <si>
    <r>
      <t>Labeling = Sleeve Shrink Label, "</t>
    </r>
    <r>
      <rPr>
        <sz val="9"/>
        <color rgb="FFFF0000"/>
        <rFont val="Aptos Narrow"/>
        <family val="2"/>
        <scheme val="minor"/>
      </rPr>
      <t>11E421413</t>
    </r>
    <r>
      <rPr>
        <sz val="9"/>
        <color theme="1"/>
        <rFont val="Aptos Narrow"/>
        <family val="2"/>
        <scheme val="minor"/>
      </rPr>
      <t>" and Vendor Name and Part Number IAW 11E421413 Print</t>
    </r>
  </si>
  <si>
    <t>11E421903</t>
  </si>
  <si>
    <t>W52H1B5106014D</t>
  </si>
  <si>
    <t>W52H1B5106014E</t>
  </si>
  <si>
    <t>W52H1B5106014F</t>
  </si>
  <si>
    <t>W52H1B5106014J</t>
  </si>
  <si>
    <t>OAL: 31" - 1ST FITTING END SIZE: 3/4", 1-3/16-12 THREAD - 2ND FITTING
END SIZE: 3/4", 1-3/16-12 THREAD - PREFIX DESCRIPTION: PARKCRIMP CRIMP
FITTINGS - 1ST FITTING END CONFIGURATION: FEMALE ORFS SEAL-LOK SWIVEL,
90deg. ELBOW SHORT, IAW ISO 12151-1-SWES90 - 2ND FITTING END
CONFIGURATION: FEMALE ORFS SEAL-LOK SWIVEL, 90deg. ELBOW SHORT, IAW ISO
12151-1-SWES90 - HOSE SPECIFICATIONS: 3/4" HOSE ID, 4000 PSI WORKING
PRESSURE, 9.5" MIN BEND RADIUS.94 LBS/FT, LABELING SLEEVE SHRINK LABEL,</t>
  </si>
  <si>
    <t>W52H1B5106014K</t>
  </si>
  <si>
    <t>W52H1B5106014R</t>
  </si>
  <si>
    <t>W52H1B5106014S</t>
  </si>
  <si>
    <t>W52H1B5106014Y</t>
  </si>
  <si>
    <r>
      <t xml:space="preserve">PUMP, HYDRAULIC PER DRAWING </t>
    </r>
    <r>
      <rPr>
        <sz val="9"/>
        <color rgb="FFFF0000"/>
        <rFont val="Aptos Narrow"/>
        <family val="2"/>
        <scheme val="minor"/>
      </rPr>
      <t xml:space="preserve">11E421903 </t>
    </r>
    <r>
      <rPr>
        <sz val="9"/>
        <color theme="1"/>
        <rFont val="Aptos Narrow"/>
        <family val="2"/>
        <scheme val="minor"/>
      </rPr>
      <t>FROM PARKER-HANNIFIN CORPORATION DBA HYDRAULIC PUMP DIVISION , VENDOR PART NO PVP3336BRA21
TYPE PISTON PUMP, HYDRAULIC, VARIABLE VOLUME
DISPLACEMENT / REVOLUTION 33 CUBIC INCHES
PUMP DELIVERY AT 1200 RPM 10.4 GPM (AT 300 PSI)
INPUT POWER, MAXIMUM 27.2 KW (36.5 HP)
MAX OPERATING SPEED 3,000 RPM
PRESSURE RANGE 250 - 3,600 PSI</t>
    </r>
  </si>
  <si>
    <t>11E421441</t>
  </si>
  <si>
    <t>11E421442</t>
  </si>
  <si>
    <t>11E421454</t>
  </si>
  <si>
    <t>11E421456</t>
  </si>
  <si>
    <t>11E421461</t>
  </si>
  <si>
    <t>W52H1B5107002C</t>
  </si>
  <si>
    <r>
      <t xml:space="preserve">FITTING, ORFS, BULKHEAD UNION, PURCHASE IAW PRINT </t>
    </r>
    <r>
      <rPr>
        <sz val="9"/>
        <color rgb="FFFF0000"/>
        <rFont val="Aptos Narrow"/>
        <family val="2"/>
        <scheme val="minor"/>
      </rPr>
      <t>11E421441</t>
    </r>
  </si>
  <si>
    <t>W52H1B5107002D</t>
  </si>
  <si>
    <t>W52H1B5107002E</t>
  </si>
  <si>
    <t>W52H1B5107012Y</t>
  </si>
  <si>
    <r>
      <t xml:space="preserve">FITTING, REDUCING, ORFS SWIVEL PURCHASE IAW PRINT </t>
    </r>
    <r>
      <rPr>
        <sz val="9"/>
        <color rgb="FFFF0000"/>
        <rFont val="Aptos Narrow"/>
        <family val="2"/>
        <scheme val="minor"/>
      </rPr>
      <t>11E421442</t>
    </r>
  </si>
  <si>
    <t>W52H1B5107013A</t>
  </si>
  <si>
    <t>W52H1B5107013B</t>
  </si>
  <si>
    <t>W52H1B5107013C</t>
  </si>
  <si>
    <t>W52H1B5107013E</t>
  </si>
  <si>
    <t>11E421306</t>
  </si>
  <si>
    <t>11E421415</t>
  </si>
  <si>
    <t>W52H1B5107013F</t>
  </si>
  <si>
    <t>W52H1B5107013G</t>
  </si>
  <si>
    <t>W52H1B5107013L</t>
  </si>
  <si>
    <r>
      <t xml:space="preserve">UNION, STR TUBE TO TUBE, PURCHASE IAW PRINT </t>
    </r>
    <r>
      <rPr>
        <sz val="9"/>
        <color rgb="FFFF0000"/>
        <rFont val="Aptos Narrow"/>
        <family val="2"/>
        <scheme val="minor"/>
      </rPr>
      <t>11E421454</t>
    </r>
  </si>
  <si>
    <r>
      <t xml:space="preserve">ADAPTER, STR TUBE TO BOSS, PURCHASE IAW PRINT </t>
    </r>
    <r>
      <rPr>
        <sz val="9"/>
        <color rgb="FFFF0000"/>
        <rFont val="Aptos Narrow"/>
        <family val="2"/>
        <scheme val="minor"/>
      </rPr>
      <t>11E421456</t>
    </r>
  </si>
  <si>
    <r>
      <t xml:space="preserve">REDUCER, STR TUBE, PURCHASE IAW PRINT </t>
    </r>
    <r>
      <rPr>
        <sz val="9"/>
        <color rgb="FFFF0000"/>
        <rFont val="Aptos Narrow"/>
        <family val="2"/>
        <scheme val="minor"/>
      </rPr>
      <t>11E421461</t>
    </r>
  </si>
  <si>
    <t>W52H1B5107013N</t>
  </si>
  <si>
    <t>W52H1B5107013O</t>
  </si>
  <si>
    <t>W52H1B5107013P</t>
  </si>
  <si>
    <r>
      <t xml:space="preserve">90° ELBOW, 1/2" NPTF PER DRAWING </t>
    </r>
    <r>
      <rPr>
        <sz val="9"/>
        <color rgb="FFFF0000"/>
        <rFont val="Aptos Narrow"/>
        <family val="2"/>
        <scheme val="minor"/>
      </rPr>
      <t>11E421306.</t>
    </r>
    <r>
      <rPr>
        <sz val="9"/>
        <color theme="1"/>
        <rFont val="Aptos Narrow"/>
        <family val="2"/>
        <scheme val="minor"/>
      </rPr>
      <t xml:space="preserve"> SUGGESTED SOURCE OF SUPPLY: PARKERHANNIFIN CORPORATION HOSE PRODUCTS DIVISION, VENDOR PART NO. 1/2 DD-S, 1/2" NPTF 90° FEMALE PIPE ELBOW, MATERIAL STEEL, FINISH ZINC PLATED, STANDARD SAE 140238</t>
    </r>
  </si>
  <si>
    <t>W52H1B5107013Q</t>
  </si>
  <si>
    <t>W52H1B5107013R</t>
  </si>
  <si>
    <t>W52H1B5107013S</t>
  </si>
  <si>
    <r>
      <t xml:space="preserve">1/4" HOSE ASSY, 23.2 OAL, PURCHASE IAW PRINT </t>
    </r>
    <r>
      <rPr>
        <sz val="9"/>
        <color rgb="FFFF0000"/>
        <rFont val="Aptos Narrow"/>
        <family val="2"/>
        <scheme val="minor"/>
      </rPr>
      <t>11E421415</t>
    </r>
  </si>
  <si>
    <t>W52H1B5107013T</t>
  </si>
  <si>
    <t>W52H1B5107013U</t>
  </si>
  <si>
    <t>W52H1B5107013V</t>
  </si>
  <si>
    <t>W52H1B5107013W</t>
  </si>
  <si>
    <t>11E421443</t>
  </si>
  <si>
    <t>11E421430</t>
  </si>
  <si>
    <t>11E421434</t>
  </si>
  <si>
    <t>W52H1B5107013Y</t>
  </si>
  <si>
    <t>W52H1B5107013Z</t>
  </si>
  <si>
    <t>W52H1B5107014A</t>
  </si>
  <si>
    <t>W52H1B5107014B</t>
  </si>
  <si>
    <t>W52H1B5107014C</t>
  </si>
  <si>
    <t>W52H1B5107014K</t>
  </si>
  <si>
    <t>11E421436</t>
  </si>
  <si>
    <t>11E421455</t>
  </si>
  <si>
    <t>W52H1B5107014L</t>
  </si>
  <si>
    <t>W52H1B5107014N</t>
  </si>
  <si>
    <t>W52H1B5107014O</t>
  </si>
  <si>
    <t>W52H1B5107014Q</t>
  </si>
  <si>
    <t>W52H1B5107014R</t>
  </si>
  <si>
    <t>W52H1B5107014S</t>
  </si>
  <si>
    <t>W52H1B5107014U</t>
  </si>
  <si>
    <t>11E421459</t>
  </si>
  <si>
    <t>11E421470</t>
  </si>
  <si>
    <t>11E421029</t>
  </si>
  <si>
    <t>W52H1B5107014V</t>
  </si>
  <si>
    <t>W52H1B5107014W</t>
  </si>
  <si>
    <t>W52H1B5107014Y</t>
  </si>
  <si>
    <t>W52H1B5107014Z</t>
  </si>
  <si>
    <t>W52H1B5107015A</t>
  </si>
  <si>
    <t>W52H1B5107015C</t>
  </si>
  <si>
    <t>W52H1B5107015D</t>
  </si>
  <si>
    <t>W52H1B5107015F</t>
  </si>
  <si>
    <t>W52H1B5107015G</t>
  </si>
  <si>
    <t>W52H1B5107015I</t>
  </si>
  <si>
    <t>FITTING, ELBOW, 90° , 3/4 NPTF, PER DRAWING 11E421301. SUGGESTED SOURCE OF SUPPLY: PARKER HANNIFIN CORPORATION TUBE FITTINGS DIVISION,  VENDOR PART NO. 3/4 CD-S, 3/4" 90° PIPE ELBOW, PIPE ELBOW, 3/4" NPTF THRD MALE TO FEMALE THREAD, MATERIAL STEEL, FINISH ZINC PLATED, SEAL NONE, STANDARD SAE 140239</t>
  </si>
  <si>
    <t>W52H1B5107015J</t>
  </si>
  <si>
    <t>W52H1B5107015K</t>
  </si>
  <si>
    <t>W52H1B5107015L</t>
  </si>
  <si>
    <r>
      <t xml:space="preserve">FITTING, BRANCH, PIPE TEE PER DRAWING </t>
    </r>
    <r>
      <rPr>
        <sz val="9"/>
        <color rgb="FFFF0000"/>
        <rFont val="Aptos Narrow"/>
        <family val="2"/>
        <scheme val="minor"/>
      </rPr>
      <t>11E421304</t>
    </r>
    <r>
      <rPr>
        <sz val="9"/>
        <color theme="1"/>
        <rFont val="Aptos Narrow"/>
        <family val="2"/>
        <scheme val="minor"/>
      </rPr>
      <t>. SUGGESTED SOURCE OF SUPPLY: PARKER HANNIFIN CORPORATION TUBE FITTINGS DIVISION,  VENDOR PART NO. 1/2 MMO-S, Fitting, Female, PIPE TEE, Standard SAE 140438 (J514)</t>
    </r>
  </si>
  <si>
    <t>11E421304</t>
  </si>
  <si>
    <t>11E421420</t>
  </si>
  <si>
    <t>11E421316</t>
  </si>
  <si>
    <t>11E421311</t>
  </si>
  <si>
    <t>11E421313</t>
  </si>
  <si>
    <t>11E421925</t>
  </si>
  <si>
    <t>W52H1B5107015M</t>
  </si>
  <si>
    <t>W52H1B5107015N</t>
  </si>
  <si>
    <t>W52H1B5107015O</t>
  </si>
  <si>
    <r>
      <t xml:space="preserve">FITTING, FEMALE QUICK COUPLING PER DRAWING </t>
    </r>
    <r>
      <rPr>
        <sz val="9"/>
        <color rgb="FFFF0000"/>
        <rFont val="Aptos Narrow"/>
        <family val="2"/>
        <scheme val="minor"/>
      </rPr>
      <t>11E421305</t>
    </r>
    <r>
      <rPr>
        <sz val="9"/>
        <color theme="1"/>
        <rFont val="Aptos Narrow"/>
        <family val="2"/>
        <scheme val="minor"/>
      </rPr>
      <t>. SUGGESTED SOURCE OF SUPPLY: PARKER HANNIFIN CORPORATION TUBE FITTINGS DIVISION,  VENDOR PART NO. B37, FEMALE QUICK COUPLER, 1/2" NPTF THREAD, BRASS BODY, MATERIAL BRASS, PORT SIZE 1/2" NPTF, SEAL NITRILE, TEMPERATURE RATING -40° F TO 250° F, PRESSURE RATING 300 PSI, VALVE TYPE TUBULAR, LOCKING MECHANISM PAWL</t>
    </r>
  </si>
  <si>
    <t>W52H1B5111012Y</t>
  </si>
  <si>
    <t>W52H1B5111012Z</t>
  </si>
  <si>
    <t>W52H1B5111013C</t>
  </si>
  <si>
    <t>W52H1B5111013D</t>
  </si>
  <si>
    <t>W52H1B51050182</t>
  </si>
  <si>
    <t>W52H1B51050184</t>
  </si>
  <si>
    <r>
      <t xml:space="preserve">FITTING, ELBOW, TUBE TO PIPE PER DRAWING </t>
    </r>
    <r>
      <rPr>
        <sz val="9"/>
        <color rgb="FFFF0000"/>
        <rFont val="Aptos Narrow"/>
        <family val="2"/>
        <scheme val="minor"/>
      </rPr>
      <t>11E421311</t>
    </r>
    <r>
      <rPr>
        <sz val="9"/>
        <color theme="1"/>
        <rFont val="Aptos Narrow"/>
        <family val="2"/>
        <scheme val="minor"/>
      </rPr>
      <t>. SUGGESTED SOURCE OF SUPPLY: PARKER HANNIFIN CORPORATION,  VENDOR PART NO. 6 CTX-S, FITTING, ELBOW, TUBE TO PIPE, 90° 3/8" 37° FLARE MALE TO 1/4" NPTF MALE, MATERIAL STEEL, SEAL NONE, STANDARD SAE J514</t>
    </r>
  </si>
  <si>
    <t>W52H1B51050185</t>
  </si>
  <si>
    <t>W52H1B51050186</t>
  </si>
  <si>
    <r>
      <t xml:space="preserve">FITTING, TEE, TUBE PER DRAWING </t>
    </r>
    <r>
      <rPr>
        <sz val="9"/>
        <color rgb="FFFF0000"/>
        <rFont val="Aptos Narrow"/>
        <family val="2"/>
        <scheme val="minor"/>
      </rPr>
      <t>11E421313</t>
    </r>
    <r>
      <rPr>
        <sz val="9"/>
        <color theme="1"/>
        <rFont val="Aptos Narrow"/>
        <family val="2"/>
        <scheme val="minor"/>
      </rPr>
      <t>. SUGGESTED SOURE OF SUPPLY: PARKER HANNIFIN CORPORATION, VENDOR PART NO. 12 R6X-S, FITTING, SWIVEL NUT RUN TEE, 3/4" 37° FLARE TUBE W/ONE SWIVEL END, MATERIAL STEEL, FINISH ZINC PLATED, SEAL NONE, STANDARD SAE J514</t>
    </r>
  </si>
  <si>
    <t>W52H1B51050187</t>
  </si>
  <si>
    <t>W52H1B51060143</t>
  </si>
  <si>
    <r>
      <t xml:space="preserve">HOSE, FEMALE TO FEMALE, 37° SWIVEL ENDS PER DRAWING </t>
    </r>
    <r>
      <rPr>
        <sz val="9"/>
        <color rgb="FFFF0000"/>
        <rFont val="Aptos Narrow"/>
        <family val="2"/>
        <scheme val="minor"/>
      </rPr>
      <t xml:space="preserve">11E421925 </t>
    </r>
    <r>
      <rPr>
        <sz val="9"/>
        <color theme="1"/>
        <rFont val="Aptos Narrow"/>
        <family val="2"/>
        <scheme val="minor"/>
      </rPr>
      <t>FROM PARKER-HANNIFIN CORPORATION  VENDOR PART NO. F7720606121212360
OR
NOTT COMPANY DIV FLUID POWER  VENDOR PART NO F7720606121212360</t>
    </r>
  </si>
  <si>
    <t>11E421453</t>
  </si>
  <si>
    <t>W52H1B51060144</t>
  </si>
  <si>
    <t>W52H1B51060152</t>
  </si>
  <si>
    <r>
      <t xml:space="preserve">PUMP, HYDRAULIC PER DRAWING </t>
    </r>
    <r>
      <rPr>
        <sz val="9"/>
        <color rgb="FFFF0000"/>
        <rFont val="Aptos Narrow"/>
        <family val="2"/>
        <scheme val="minor"/>
      </rPr>
      <t xml:space="preserve">11E421903 </t>
    </r>
    <r>
      <rPr>
        <sz val="9"/>
        <color theme="1"/>
        <rFont val="Aptos Narrow"/>
        <family val="2"/>
        <scheme val="minor"/>
      </rPr>
      <t>FROM PARKER-HANNIFIN CORPORATION DBA HYDRAULIC PUMP DIVISION, VENDOR PART NO PVP3336BRA21
TYPE PISTON PUMP, HYDRAULIC, VARIABLE VOLUME
DISPLACEMENT / REVOLUTION 33 CUBIC INCHES
PUMP DELIVERY AT 1200 RPM 10.4 GPM (AT 300 PSI)
INPUT POWER, MAXIMUM 27.2 KW (36.5 HP)
MAX OPERATING SPEED 3,000 RPM
PRESSURE RANGE 250 - 3,600 PSI</t>
    </r>
  </si>
  <si>
    <t>W52H1B51070130</t>
  </si>
  <si>
    <t>11E421457</t>
  </si>
  <si>
    <t>11E421421</t>
  </si>
  <si>
    <r>
      <t xml:space="preserve">SAE FLANGE KIT, CODE 61, PURCHASE IAW PRINT </t>
    </r>
    <r>
      <rPr>
        <sz val="9"/>
        <color rgb="FFFF0000"/>
        <rFont val="Aptos Narrow"/>
        <family val="2"/>
        <scheme val="minor"/>
      </rPr>
      <t>11E421443</t>
    </r>
  </si>
  <si>
    <r>
      <t xml:space="preserve">BRANCH TEE, STRAIGHT THREAD, PURCHASE IAW PRINT </t>
    </r>
    <r>
      <rPr>
        <sz val="9"/>
        <color rgb="FFFF0000"/>
        <rFont val="Aptos Narrow"/>
        <family val="2"/>
        <scheme val="minor"/>
      </rPr>
      <t>11E421430</t>
    </r>
  </si>
  <si>
    <r>
      <t xml:space="preserve">FITTING, REDUCING, ORFS TO STOR, PURCHASE IAW PRINT </t>
    </r>
    <r>
      <rPr>
        <sz val="9"/>
        <color rgb="FFFF0000"/>
        <rFont val="Aptos Narrow"/>
        <family val="2"/>
        <scheme val="minor"/>
      </rPr>
      <t>11E421436</t>
    </r>
  </si>
  <si>
    <r>
      <t xml:space="preserve">COUPLING HALF, QUICK CONNECT, PURCHASE IAW PRINT </t>
    </r>
    <r>
      <rPr>
        <sz val="9"/>
        <color rgb="FFFF0000"/>
        <rFont val="Aptos Narrow"/>
        <family val="2"/>
        <scheme val="minor"/>
      </rPr>
      <t>11E421455</t>
    </r>
  </si>
  <si>
    <r>
      <t xml:space="preserve">REDUCER, STR TUBEPURCHASE IAW PRINT </t>
    </r>
    <r>
      <rPr>
        <sz val="9"/>
        <color rgb="FFFF0000"/>
        <rFont val="Aptos Narrow"/>
        <family val="2"/>
        <scheme val="minor"/>
      </rPr>
      <t>11E421459</t>
    </r>
  </si>
  <si>
    <r>
      <t xml:space="preserve">PLUG, PIPE, MAGNETIC, PURCHASE IAW PRINT </t>
    </r>
    <r>
      <rPr>
        <sz val="9"/>
        <color rgb="FFFF0000"/>
        <rFont val="Aptos Narrow"/>
        <family val="2"/>
        <scheme val="minor"/>
      </rPr>
      <t>11E421470</t>
    </r>
  </si>
  <si>
    <r>
      <t xml:space="preserve">3/4" HOSE ASSY, PURCHASE IAW PRINT </t>
    </r>
    <r>
      <rPr>
        <sz val="9"/>
        <color rgb="FFFF0000"/>
        <rFont val="Aptos Narrow"/>
        <family val="2"/>
        <scheme val="minor"/>
      </rPr>
      <t>11E421420</t>
    </r>
  </si>
  <si>
    <t>W52H1B51070133</t>
  </si>
  <si>
    <t>W52H1B51070137</t>
  </si>
  <si>
    <r>
      <t xml:space="preserve">REDUCER, STR TUBE, PURCHASE IAW PRINT </t>
    </r>
    <r>
      <rPr>
        <sz val="9"/>
        <color rgb="FFFF0000"/>
        <rFont val="Aptos Narrow"/>
        <family val="2"/>
        <scheme val="minor"/>
      </rPr>
      <t>11E421453</t>
    </r>
  </si>
  <si>
    <t>W52H1B51070138</t>
  </si>
  <si>
    <t>W52H1B51070139</t>
  </si>
  <si>
    <t>W52H1B51070141</t>
  </si>
  <si>
    <t>W52H1B51070143</t>
  </si>
  <si>
    <r>
      <t xml:space="preserve">ADAPTER, STR TUBE TO BOSS, PURCHASE IAW PRINT </t>
    </r>
    <r>
      <rPr>
        <sz val="9"/>
        <color rgb="FFFF0000"/>
        <rFont val="Aptos Narrow"/>
        <family val="2"/>
        <scheme val="minor"/>
      </rPr>
      <t>11E421457</t>
    </r>
  </si>
  <si>
    <t>11E421464</t>
  </si>
  <si>
    <t>W52H1B51070145</t>
  </si>
  <si>
    <t>W52H1B51070146</t>
  </si>
  <si>
    <t>W52H1B51070148</t>
  </si>
  <si>
    <r>
      <t xml:space="preserve">1/4" HOSE ASSY, PURCHASE IAW PRINT </t>
    </r>
    <r>
      <rPr>
        <sz val="9"/>
        <color rgb="FFFF0000"/>
        <rFont val="Aptos Narrow"/>
        <family val="2"/>
        <scheme val="minor"/>
      </rPr>
      <t>11E421421</t>
    </r>
  </si>
  <si>
    <t>11E421422</t>
  </si>
  <si>
    <t>W52H1B51070149</t>
  </si>
  <si>
    <t>W52H1B51070150</t>
  </si>
  <si>
    <t>W52H1B51070152</t>
  </si>
  <si>
    <r>
      <t xml:space="preserve">NIPPLE, MALE STR BOSS, PURCHASE IAW PRINT </t>
    </r>
    <r>
      <rPr>
        <sz val="9"/>
        <color rgb="FFFF0000"/>
        <rFont val="Aptos Narrow"/>
        <family val="2"/>
        <scheme val="minor"/>
      </rPr>
      <t>11E421464</t>
    </r>
  </si>
  <si>
    <t>W52H1B51070153</t>
  </si>
  <si>
    <t>W52H1B51070154</t>
  </si>
  <si>
    <t>W52H1B51070157</t>
  </si>
  <si>
    <t>W52H1B51070158</t>
  </si>
  <si>
    <t>W52H1B51070159</t>
  </si>
  <si>
    <t>W52H1B51110130</t>
  </si>
  <si>
    <r>
      <t>3/4" HOSE ASSY, PURCHASE IAW PRINT</t>
    </r>
    <r>
      <rPr>
        <sz val="9"/>
        <color rgb="FFFF0000"/>
        <rFont val="Aptos Narrow"/>
        <family val="2"/>
        <scheme val="minor"/>
      </rPr>
      <t xml:space="preserve"> 11E421420</t>
    </r>
  </si>
  <si>
    <t>W52H1B51110132</t>
  </si>
  <si>
    <r>
      <t xml:space="preserve">FILTER ASSY, HYDRO OIL, 10 MICRON, PURCHASE IAW PRINT </t>
    </r>
    <r>
      <rPr>
        <sz val="9"/>
        <color rgb="FFFF0000"/>
        <rFont val="Aptos Narrow"/>
        <family val="2"/>
        <scheme val="minor"/>
      </rPr>
      <t>11E421422</t>
    </r>
  </si>
  <si>
    <t>W52H1B51110134</t>
  </si>
  <si>
    <t>W52H1B51110135</t>
  </si>
  <si>
    <t>11E421424</t>
  </si>
  <si>
    <t>11E421402</t>
  </si>
  <si>
    <r>
      <t xml:space="preserve">SPECIFICATIONS: </t>
    </r>
    <r>
      <rPr>
        <sz val="9"/>
        <color rgb="FFFF0000"/>
        <rFont val="Aptos Narrow"/>
        <family val="2"/>
        <scheme val="minor"/>
      </rPr>
      <t>11E421402</t>
    </r>
    <r>
      <rPr>
        <sz val="9"/>
        <color theme="1"/>
        <rFont val="Aptos Narrow"/>
        <family val="2"/>
        <scheme val="minor"/>
      </rPr>
      <t>RIA:
PART NO: 3190-PP
Clamp Halves
Tube OD : .75"
MATERIAL: POLYPROPYLENE
COLOR: Black</t>
    </r>
  </si>
  <si>
    <r>
      <t xml:space="preserve">MATERIAL: STEEL - FINISH: ZINC-NICKEL PLATED PER DRAWING </t>
    </r>
    <r>
      <rPr>
        <sz val="9"/>
        <color rgb="FFFF0000"/>
        <rFont val="Aptos Narrow"/>
        <family val="2"/>
        <scheme val="minor"/>
      </rPr>
      <t>11E421424</t>
    </r>
  </si>
  <si>
    <r>
      <t xml:space="preserve">Attachment 0003: Price Matric RFQ </t>
    </r>
    <r>
      <rPr>
        <b/>
        <sz val="12"/>
        <rFont val="Arial"/>
        <family val="2"/>
      </rPr>
      <t>PANROC-25-P-6800</t>
    </r>
  </si>
  <si>
    <t>&lt;------------- TOTAL -------------&gt;</t>
  </si>
  <si>
    <t>&lt;----------------------------------------------- TOTAL --------------------------------------------------&gt;</t>
  </si>
  <si>
    <t>Indicate Delivery Date (in Number of Calendar Days) After Date of Contract</t>
  </si>
  <si>
    <t>CLIN 0176</t>
  </si>
  <si>
    <t>CLIN 0177</t>
  </si>
  <si>
    <t>11E421410RIA:59678</t>
  </si>
  <si>
    <t>W52H1B51060149</t>
  </si>
  <si>
    <t>W52H1B5106014A</t>
  </si>
  <si>
    <t>1-1/4" HOSE ASSY</t>
  </si>
  <si>
    <t>1-1/4" HOSE ASSY.  PURCHASE IAW DRAWING 11E421410.</t>
  </si>
  <si>
    <t>11E421410</t>
  </si>
  <si>
    <r>
      <t xml:space="preserve">FITTING, ORFS REDUCING SWIVEL, PURCHASE IAW PRINT </t>
    </r>
    <r>
      <rPr>
        <sz val="9"/>
        <color rgb="FFFF0000"/>
        <rFont val="Aptos Narrow"/>
        <family val="2"/>
        <scheme val="minor"/>
      </rPr>
      <t xml:space="preserve">11E421434. </t>
    </r>
    <r>
      <rPr>
        <sz val="9"/>
        <rFont val="Aptos Narrow"/>
        <family val="2"/>
        <scheme val="minor"/>
      </rPr>
      <t>Drawing is mislabeled. Correct P/N is Parker 12-8-TRLON-S-ZJ or equivalent.</t>
    </r>
  </si>
  <si>
    <r>
      <t xml:space="preserve">FITTING, ELBOW, 90°, TUBE TO PIPE PER DRAWING </t>
    </r>
    <r>
      <rPr>
        <sz val="9"/>
        <color rgb="FFFF0000"/>
        <rFont val="Aptos Narrow"/>
        <family val="2"/>
        <scheme val="minor"/>
      </rPr>
      <t>11E421316</t>
    </r>
    <r>
      <rPr>
        <sz val="9"/>
        <color theme="1"/>
        <rFont val="Aptos Narrow"/>
        <family val="2"/>
        <scheme val="minor"/>
      </rPr>
      <t>. SUGGESTED SOURCE OF SUPPLY: PARKERHANNIFIN CORPORATION,  VENDOR PART NO. SM-751-16FO, FITTING 90° ELBOW TUBE TO PIPE 11/16-12 37° FLARE 1/2" NPTF MATERIAL STEEL, SEAL NONE, STANDARD SAE 070202. Suggested source in drawing can be ignored, it is mislabeled. Drawing is accurate.</t>
    </r>
  </si>
  <si>
    <r>
      <t xml:space="preserve">REGULATOR PER DRAWING </t>
    </r>
    <r>
      <rPr>
        <sz val="9"/>
        <color rgb="FFFF0000"/>
        <rFont val="Aptos Narrow"/>
        <family val="2"/>
        <scheme val="minor"/>
      </rPr>
      <t>11E421029</t>
    </r>
    <r>
      <rPr>
        <sz val="9"/>
        <color theme="1"/>
        <rFont val="Aptos Narrow"/>
        <family val="2"/>
        <scheme val="minor"/>
      </rPr>
      <t>. SUGGESTED SOURCE OF SUPPLY: PARKER
HANNIFIN CORP MOTION &amp; CONTROL GROUP PNEUMATIC DIV. Please purchase in accordance with the drawing specifications.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</si>
</sst>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ptos"/>
      <family val="2"/>
    </font>
    <font>
      <b/>
      <u/>
      <sz val="12"/>
      <name val="Aptos"/>
      <family val="2"/>
    </font>
    <font>
      <b/>
      <sz val="12"/>
      <name val="Aptos"/>
      <family val="2"/>
    </font>
    <font>
      <sz val="8"/>
      <name val="Aptos Narrow"/>
      <family val="2"/>
      <scheme val="minor"/>
    </font>
    <font>
      <b/>
      <sz val="22"/>
      <color theme="1"/>
      <name val="Arial"/>
      <family val="2"/>
    </font>
    <font>
      <b/>
      <u/>
      <sz val="12"/>
      <color theme="1"/>
      <name val="Arial"/>
      <family val="2"/>
    </font>
    <font>
      <b/>
      <sz val="20"/>
      <color theme="1"/>
      <name val="Arial"/>
      <family val="2"/>
    </font>
    <font>
      <u/>
      <sz val="12"/>
      <name val="Aptos"/>
      <family val="2"/>
    </font>
    <font>
      <b/>
      <sz val="12"/>
      <name val="Arial"/>
      <family val="2"/>
    </font>
    <font>
      <b/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name val="Aptos Narrow"/>
      <family val="2"/>
      <scheme val="minor"/>
    </font>
    <font>
      <sz val="9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wrapText="1"/>
    </xf>
    <xf numFmtId="164" fontId="0" fillId="0" borderId="0" xfId="0" applyNumberFormat="1"/>
    <xf numFmtId="0" fontId="3" fillId="0" borderId="0" xfId="0" applyFont="1"/>
    <xf numFmtId="49" fontId="3" fillId="0" borderId="1" xfId="0" applyNumberFormat="1" applyFont="1" applyBorder="1" applyAlignment="1">
      <alignment horizontal="center" vertical="center" wrapText="1"/>
    </xf>
    <xf numFmtId="164" fontId="9" fillId="2" borderId="0" xfId="0" applyNumberFormat="1" applyFont="1" applyFill="1"/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left" wrapText="1"/>
    </xf>
    <xf numFmtId="11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4" fillId="4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11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3" fillId="6" borderId="1" xfId="0" applyFont="1" applyFill="1" applyBorder="1" applyAlignment="1">
      <alignment horizontal="center" vertical="center"/>
    </xf>
    <xf numFmtId="11" fontId="14" fillId="0" borderId="1" xfId="0" applyNumberFormat="1" applyFont="1" applyBorder="1"/>
    <xf numFmtId="11" fontId="14" fillId="0" borderId="1" xfId="0" applyNumberFormat="1" applyFont="1" applyBorder="1" applyAlignment="1">
      <alignment horizontal="left"/>
    </xf>
    <xf numFmtId="0" fontId="14" fillId="0" borderId="0" xfId="0" applyFont="1"/>
    <xf numFmtId="0" fontId="15" fillId="0" borderId="1" xfId="0" applyFont="1" applyBorder="1" applyAlignment="1">
      <alignment horizontal="left" wrapText="1"/>
    </xf>
    <xf numFmtId="11" fontId="15" fillId="0" borderId="1" xfId="0" applyNumberFormat="1" applyFont="1" applyBorder="1" applyAlignment="1">
      <alignment horizontal="left" wrapText="1"/>
    </xf>
    <xf numFmtId="0" fontId="18" fillId="6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wrapText="1"/>
    </xf>
    <xf numFmtId="11" fontId="15" fillId="0" borderId="1" xfId="0" applyNumberFormat="1" applyFont="1" applyBorder="1"/>
    <xf numFmtId="11" fontId="15" fillId="0" borderId="1" xfId="0" applyNumberFormat="1" applyFont="1" applyBorder="1" applyAlignment="1">
      <alignment horizontal="left"/>
    </xf>
    <xf numFmtId="0" fontId="15" fillId="0" borderId="1" xfId="0" applyFont="1" applyBorder="1"/>
    <xf numFmtId="0" fontId="15" fillId="0" borderId="0" xfId="0" applyFont="1"/>
    <xf numFmtId="11" fontId="0" fillId="5" borderId="1" xfId="0" applyNumberFormat="1" applyFill="1" applyBorder="1" applyAlignment="1">
      <alignment horizontal="center" wrapText="1"/>
    </xf>
    <xf numFmtId="11" fontId="19" fillId="0" borderId="1" xfId="0" applyNumberFormat="1" applyFont="1" applyBorder="1" applyAlignment="1">
      <alignment horizontal="center" wrapText="1"/>
    </xf>
    <xf numFmtId="0" fontId="20" fillId="0" borderId="1" xfId="0" applyFont="1" applyFill="1" applyBorder="1" applyAlignment="1">
      <alignment horizontal="left" wrapText="1"/>
    </xf>
    <xf numFmtId="0" fontId="4" fillId="4" borderId="3" xfId="0" applyFont="1" applyFill="1" applyBorder="1" applyAlignment="1">
      <alignment horizontal="left" vertical="center" wrapText="1"/>
    </xf>
    <xf numFmtId="0" fontId="0" fillId="0" borderId="0" xfId="0" applyProtection="1"/>
    <xf numFmtId="0" fontId="17" fillId="0" borderId="0" xfId="0" applyFont="1" applyProtection="1">
      <protection locked="0"/>
    </xf>
    <xf numFmtId="164" fontId="0" fillId="3" borderId="1" xfId="0" applyNumberFormat="1" applyFill="1" applyBorder="1" applyProtection="1">
      <protection locked="0"/>
    </xf>
    <xf numFmtId="0" fontId="10" fillId="0" borderId="0" xfId="0" applyFont="1" applyAlignment="1"/>
    <xf numFmtId="0" fontId="0" fillId="7" borderId="1" xfId="0" applyFill="1" applyBorder="1"/>
    <xf numFmtId="11" fontId="14" fillId="7" borderId="1" xfId="0" applyNumberFormat="1" applyFont="1" applyFill="1" applyBorder="1"/>
    <xf numFmtId="11" fontId="15" fillId="7" borderId="1" xfId="0" applyNumberFormat="1" applyFont="1" applyFill="1" applyBorder="1"/>
    <xf numFmtId="0" fontId="0" fillId="7" borderId="1" xfId="0" applyFill="1" applyBorder="1" applyAlignment="1">
      <alignment horizontal="left"/>
    </xf>
    <xf numFmtId="0" fontId="15" fillId="7" borderId="1" xfId="0" applyFont="1" applyFill="1" applyBorder="1" applyAlignment="1">
      <alignment horizontal="left" wrapText="1"/>
    </xf>
    <xf numFmtId="11" fontId="0" fillId="7" borderId="1" xfId="0" applyNumberFormat="1" applyFill="1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Protection="1">
      <protection locked="0"/>
    </xf>
    <xf numFmtId="164" fontId="0" fillId="7" borderId="1" xfId="0" applyNumberFormat="1" applyFill="1" applyBorder="1"/>
    <xf numFmtId="49" fontId="3" fillId="7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/>
    <xf numFmtId="0" fontId="0" fillId="0" borderId="1" xfId="0" applyBorder="1" applyAlignment="1" applyProtection="1"/>
    <xf numFmtId="0" fontId="2" fillId="3" borderId="1" xfId="0" applyFont="1" applyFill="1" applyBorder="1" applyAlignment="1" applyProtection="1">
      <alignment horizontal="left"/>
    </xf>
    <xf numFmtId="0" fontId="10" fillId="0" borderId="0" xfId="0" applyFont="1" applyBorder="1" applyAlignment="1">
      <alignment horizontal="center"/>
    </xf>
    <xf numFmtId="49" fontId="8" fillId="0" borderId="0" xfId="0" applyNumberFormat="1" applyFont="1" applyBorder="1" applyAlignment="1">
      <alignment horizontal="center"/>
    </xf>
    <xf numFmtId="0" fontId="1" fillId="0" borderId="2" xfId="0" applyFont="1" applyBorder="1" applyAlignment="1" applyProtection="1">
      <alignment horizontal="center"/>
    </xf>
    <xf numFmtId="0" fontId="2" fillId="2" borderId="0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AEB8-A0C1-44B9-84FA-9559068EF1E1}">
  <dimension ref="A1:M200"/>
  <sheetViews>
    <sheetView tabSelected="1" topLeftCell="A181" workbookViewId="0">
      <selection activeCell="E128" sqref="E128"/>
    </sheetView>
  </sheetViews>
  <sheetFormatPr defaultRowHeight="14.4" x14ac:dyDescent="0.3"/>
  <cols>
    <col min="1" max="1" width="10.88671875" customWidth="1"/>
    <col min="2" max="2" width="15" style="21" customWidth="1"/>
    <col min="3" max="3" width="15" style="29" bestFit="1" customWidth="1"/>
    <col min="4" max="4" width="35.6640625" style="1" customWidth="1"/>
    <col min="5" max="5" width="35.6640625" style="25" customWidth="1"/>
    <col min="6" max="6" width="12.88671875" style="1" customWidth="1"/>
    <col min="7" max="7" width="11.44140625" customWidth="1"/>
    <col min="8" max="8" width="10.109375" bestFit="1" customWidth="1"/>
    <col min="9" max="9" width="12.44140625" style="2" customWidth="1"/>
    <col min="10" max="10" width="14.88671875" style="2" customWidth="1"/>
    <col min="11" max="11" width="17" customWidth="1"/>
    <col min="12" max="12" width="38.5546875" customWidth="1"/>
    <col min="13" max="13" width="48.88671875" customWidth="1"/>
  </cols>
  <sheetData>
    <row r="1" spans="1:13" ht="17.399999999999999" x14ac:dyDescent="0.3">
      <c r="A1" s="53" t="s">
        <v>112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34"/>
      <c r="M1" s="34"/>
    </row>
    <row r="2" spans="1:13" ht="15.6" x14ac:dyDescent="0.3">
      <c r="A2" s="54" t="s">
        <v>600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3" ht="15.6" x14ac:dyDescent="0.3">
      <c r="A3" s="48" t="s">
        <v>113</v>
      </c>
      <c r="B3" s="49"/>
      <c r="C3" s="49"/>
      <c r="D3" s="49"/>
      <c r="E3" s="35"/>
      <c r="F3" s="15"/>
      <c r="G3" s="3"/>
      <c r="H3" s="3"/>
      <c r="I3" s="3"/>
      <c r="J3" s="3"/>
      <c r="K3" s="3"/>
      <c r="L3" s="3"/>
    </row>
    <row r="4" spans="1:13" ht="15.6" x14ac:dyDescent="0.3">
      <c r="A4" s="48" t="s">
        <v>114</v>
      </c>
      <c r="B4" s="49"/>
      <c r="C4" s="49"/>
      <c r="D4" s="49"/>
      <c r="E4" s="35"/>
      <c r="F4" s="15"/>
      <c r="G4" s="3"/>
      <c r="H4" s="3"/>
      <c r="I4" s="3"/>
      <c r="J4" s="3"/>
      <c r="K4" s="3"/>
      <c r="L4" s="3"/>
    </row>
    <row r="5" spans="1:13" ht="15.6" x14ac:dyDescent="0.3">
      <c r="A5" s="48" t="s">
        <v>115</v>
      </c>
      <c r="B5" s="49"/>
      <c r="C5" s="49"/>
      <c r="D5" s="49"/>
      <c r="E5" s="35"/>
      <c r="F5" s="15"/>
      <c r="G5" s="3"/>
      <c r="H5" s="3"/>
      <c r="I5" s="3"/>
      <c r="J5" s="3"/>
      <c r="K5" s="3"/>
      <c r="L5" s="3"/>
    </row>
    <row r="6" spans="1:13" ht="15.6" x14ac:dyDescent="0.3">
      <c r="A6" s="48" t="s">
        <v>116</v>
      </c>
      <c r="B6" s="49"/>
      <c r="C6" s="49"/>
      <c r="D6" s="49"/>
      <c r="E6" s="35"/>
      <c r="F6" s="15"/>
      <c r="G6" s="3"/>
      <c r="H6" s="3"/>
      <c r="I6" s="3"/>
      <c r="J6" s="3"/>
      <c r="K6" s="3"/>
      <c r="L6" s="3"/>
    </row>
    <row r="7" spans="1:13" ht="15.6" x14ac:dyDescent="0.3">
      <c r="A7" s="50" t="s">
        <v>117</v>
      </c>
      <c r="B7" s="49"/>
      <c r="C7" s="49"/>
      <c r="D7" s="49"/>
      <c r="E7" s="35"/>
      <c r="F7" s="15"/>
      <c r="G7" s="3"/>
      <c r="H7" s="3"/>
      <c r="I7" s="3"/>
      <c r="J7" s="3"/>
      <c r="K7" s="3"/>
      <c r="L7" s="3"/>
    </row>
    <row r="8" spans="1:13" ht="15.6" x14ac:dyDescent="0.3">
      <c r="A8" s="50" t="s">
        <v>118</v>
      </c>
      <c r="B8" s="49"/>
      <c r="C8" s="49"/>
      <c r="D8" s="49"/>
      <c r="E8" s="35"/>
      <c r="F8" s="15"/>
      <c r="G8" s="3"/>
      <c r="H8" s="3"/>
      <c r="I8" s="3"/>
      <c r="J8" s="3"/>
      <c r="K8" s="3"/>
      <c r="L8" s="3"/>
    </row>
    <row r="9" spans="1:13" ht="15.6" x14ac:dyDescent="0.3">
      <c r="A9" s="50" t="s">
        <v>119</v>
      </c>
      <c r="B9" s="49"/>
      <c r="C9" s="49"/>
      <c r="D9" s="49"/>
      <c r="E9" s="35"/>
      <c r="F9" s="15"/>
      <c r="G9" s="3"/>
      <c r="H9" s="3"/>
      <c r="I9" s="3"/>
      <c r="J9" s="3"/>
      <c r="K9" s="3"/>
      <c r="L9" s="3"/>
    </row>
    <row r="10" spans="1:13" ht="120" customHeight="1" x14ac:dyDescent="0.3">
      <c r="A10" s="6" t="s">
        <v>120</v>
      </c>
      <c r="B10" s="18" t="s">
        <v>298</v>
      </c>
      <c r="C10" s="24" t="s">
        <v>307</v>
      </c>
      <c r="D10" s="6" t="s">
        <v>121</v>
      </c>
      <c r="E10" s="24" t="s">
        <v>315</v>
      </c>
      <c r="F10" s="6" t="s">
        <v>305</v>
      </c>
      <c r="G10" s="7" t="s">
        <v>297</v>
      </c>
      <c r="H10" s="7" t="s">
        <v>300</v>
      </c>
      <c r="I10" s="6" t="s">
        <v>301</v>
      </c>
      <c r="J10" s="7" t="s">
        <v>302</v>
      </c>
      <c r="K10" s="7" t="s">
        <v>299</v>
      </c>
      <c r="L10" s="7" t="s">
        <v>603</v>
      </c>
      <c r="M10" s="33" t="s">
        <v>304</v>
      </c>
    </row>
    <row r="11" spans="1:13" ht="87" customHeight="1" x14ac:dyDescent="0.3">
      <c r="A11" s="8" t="s">
        <v>122</v>
      </c>
      <c r="B11" s="19" t="s">
        <v>1</v>
      </c>
      <c r="C11" s="26" t="s">
        <v>308</v>
      </c>
      <c r="D11" s="10" t="s">
        <v>0</v>
      </c>
      <c r="E11" s="22" t="s">
        <v>316</v>
      </c>
      <c r="F11" s="16" t="s">
        <v>306</v>
      </c>
      <c r="G11" s="13">
        <v>6</v>
      </c>
      <c r="H11" s="13" t="s">
        <v>2</v>
      </c>
      <c r="I11" s="36">
        <v>0</v>
      </c>
      <c r="J11" s="9">
        <f>SUM(G11*I11)</f>
        <v>0</v>
      </c>
      <c r="K11" s="8">
        <v>5340</v>
      </c>
      <c r="L11" s="4"/>
      <c r="M11" s="14" t="s">
        <v>303</v>
      </c>
    </row>
    <row r="12" spans="1:13" ht="84.6" x14ac:dyDescent="0.3">
      <c r="A12" s="8" t="s">
        <v>123</v>
      </c>
      <c r="B12" s="20" t="s">
        <v>1</v>
      </c>
      <c r="C12" s="27" t="s">
        <v>309</v>
      </c>
      <c r="D12" s="10" t="s">
        <v>0</v>
      </c>
      <c r="E12" s="22" t="s">
        <v>316</v>
      </c>
      <c r="F12" s="16" t="s">
        <v>306</v>
      </c>
      <c r="G12" s="13">
        <v>3</v>
      </c>
      <c r="H12" s="13" t="s">
        <v>2</v>
      </c>
      <c r="I12" s="36">
        <v>0</v>
      </c>
      <c r="J12" s="9">
        <f>SUM(G12*I12)</f>
        <v>0</v>
      </c>
      <c r="K12" s="8">
        <v>5340</v>
      </c>
      <c r="L12" s="4"/>
    </row>
    <row r="13" spans="1:13" ht="76.2" customHeight="1" x14ac:dyDescent="0.3">
      <c r="A13" s="8" t="s">
        <v>124</v>
      </c>
      <c r="B13" s="19" t="s">
        <v>3</v>
      </c>
      <c r="C13" s="26" t="s">
        <v>310</v>
      </c>
      <c r="D13" s="10" t="s">
        <v>4</v>
      </c>
      <c r="E13" s="22" t="s">
        <v>598</v>
      </c>
      <c r="F13" s="30" t="s">
        <v>597</v>
      </c>
      <c r="G13" s="13">
        <v>30</v>
      </c>
      <c r="H13" s="13" t="s">
        <v>2</v>
      </c>
      <c r="I13" s="36">
        <v>0</v>
      </c>
      <c r="J13" s="9">
        <f t="shared" ref="J13:J76" si="0">SUM(G13*I13)</f>
        <v>0</v>
      </c>
      <c r="K13" s="8">
        <v>2590</v>
      </c>
      <c r="L13" s="4"/>
    </row>
    <row r="14" spans="1:13" ht="72.599999999999994" x14ac:dyDescent="0.3">
      <c r="A14" s="8" t="s">
        <v>125</v>
      </c>
      <c r="B14" s="19" t="s">
        <v>3</v>
      </c>
      <c r="C14" s="26" t="s">
        <v>311</v>
      </c>
      <c r="D14" s="10" t="s">
        <v>4</v>
      </c>
      <c r="E14" s="22" t="s">
        <v>598</v>
      </c>
      <c r="F14" s="30" t="s">
        <v>597</v>
      </c>
      <c r="G14" s="13">
        <v>15</v>
      </c>
      <c r="H14" s="13" t="s">
        <v>2</v>
      </c>
      <c r="I14" s="36">
        <v>0</v>
      </c>
      <c r="J14" s="9">
        <f t="shared" si="0"/>
        <v>0</v>
      </c>
      <c r="K14" s="8">
        <v>2590</v>
      </c>
      <c r="L14" s="4"/>
    </row>
    <row r="15" spans="1:13" ht="56.4" customHeight="1" x14ac:dyDescent="0.3">
      <c r="A15" s="8" t="s">
        <v>126</v>
      </c>
      <c r="B15" s="19" t="s">
        <v>5</v>
      </c>
      <c r="C15" s="26" t="s">
        <v>312</v>
      </c>
      <c r="D15" s="10" t="s">
        <v>6</v>
      </c>
      <c r="E15" s="22" t="s">
        <v>317</v>
      </c>
      <c r="F15" s="17"/>
      <c r="G15" s="13">
        <v>18</v>
      </c>
      <c r="H15" s="13" t="s">
        <v>2</v>
      </c>
      <c r="I15" s="36">
        <v>0</v>
      </c>
      <c r="J15" s="9">
        <f t="shared" si="0"/>
        <v>0</v>
      </c>
      <c r="K15" s="8">
        <v>4730</v>
      </c>
      <c r="L15" s="4"/>
    </row>
    <row r="16" spans="1:13" ht="48.6" x14ac:dyDescent="0.3">
      <c r="A16" s="8" t="s">
        <v>127</v>
      </c>
      <c r="B16" s="19" t="s">
        <v>5</v>
      </c>
      <c r="C16" s="26" t="s">
        <v>313</v>
      </c>
      <c r="D16" s="10" t="s">
        <v>6</v>
      </c>
      <c r="E16" s="22" t="s">
        <v>317</v>
      </c>
      <c r="F16" s="17"/>
      <c r="G16" s="13">
        <v>9</v>
      </c>
      <c r="H16" s="13" t="s">
        <v>2</v>
      </c>
      <c r="I16" s="36">
        <v>0</v>
      </c>
      <c r="J16" s="9">
        <f t="shared" si="0"/>
        <v>0</v>
      </c>
      <c r="K16" s="8">
        <v>4730</v>
      </c>
      <c r="L16" s="4"/>
    </row>
    <row r="17" spans="1:12" ht="24.6" x14ac:dyDescent="0.3">
      <c r="A17" s="8" t="s">
        <v>128</v>
      </c>
      <c r="B17" s="19" t="s">
        <v>7</v>
      </c>
      <c r="C17" s="26" t="s">
        <v>314</v>
      </c>
      <c r="D17" s="10" t="s">
        <v>8</v>
      </c>
      <c r="E17" s="32" t="s">
        <v>599</v>
      </c>
      <c r="F17" s="31" t="s">
        <v>596</v>
      </c>
      <c r="G17" s="13">
        <v>30</v>
      </c>
      <c r="H17" s="13" t="s">
        <v>2</v>
      </c>
      <c r="I17" s="36">
        <v>0</v>
      </c>
      <c r="J17" s="9">
        <f t="shared" si="0"/>
        <v>0</v>
      </c>
      <c r="K17" s="8">
        <v>2590</v>
      </c>
      <c r="L17" s="4"/>
    </row>
    <row r="18" spans="1:12" ht="24.6" x14ac:dyDescent="0.3">
      <c r="A18" s="8" t="s">
        <v>129</v>
      </c>
      <c r="B18" s="19" t="s">
        <v>7</v>
      </c>
      <c r="C18" s="26" t="s">
        <v>318</v>
      </c>
      <c r="D18" s="10" t="s">
        <v>8</v>
      </c>
      <c r="E18" s="32" t="s">
        <v>599</v>
      </c>
      <c r="F18" s="31" t="s">
        <v>596</v>
      </c>
      <c r="G18" s="13">
        <v>15</v>
      </c>
      <c r="H18" s="13" t="s">
        <v>2</v>
      </c>
      <c r="I18" s="36">
        <v>0</v>
      </c>
      <c r="J18" s="9">
        <f t="shared" si="0"/>
        <v>0</v>
      </c>
      <c r="K18" s="8">
        <v>2590</v>
      </c>
      <c r="L18" s="4"/>
    </row>
    <row r="19" spans="1:12" ht="36.6" x14ac:dyDescent="0.3">
      <c r="A19" s="8" t="s">
        <v>130</v>
      </c>
      <c r="B19" s="19" t="s">
        <v>1</v>
      </c>
      <c r="C19" s="26" t="s">
        <v>319</v>
      </c>
      <c r="D19" s="10" t="s">
        <v>0</v>
      </c>
      <c r="E19" s="22" t="s">
        <v>321</v>
      </c>
      <c r="F19" s="16" t="s">
        <v>306</v>
      </c>
      <c r="G19" s="13">
        <v>1</v>
      </c>
      <c r="H19" s="13" t="s">
        <v>2</v>
      </c>
      <c r="I19" s="36">
        <v>0</v>
      </c>
      <c r="J19" s="9">
        <f t="shared" si="0"/>
        <v>0</v>
      </c>
      <c r="K19" s="8">
        <v>5340</v>
      </c>
      <c r="L19" s="4"/>
    </row>
    <row r="20" spans="1:12" ht="36.6" x14ac:dyDescent="0.3">
      <c r="A20" s="8" t="s">
        <v>131</v>
      </c>
      <c r="B20" s="19" t="s">
        <v>1</v>
      </c>
      <c r="C20" s="26" t="s">
        <v>322</v>
      </c>
      <c r="D20" s="10" t="s">
        <v>0</v>
      </c>
      <c r="E20" s="22" t="s">
        <v>321</v>
      </c>
      <c r="F20" s="16" t="s">
        <v>306</v>
      </c>
      <c r="G20" s="13">
        <v>1</v>
      </c>
      <c r="H20" s="13" t="s">
        <v>2</v>
      </c>
      <c r="I20" s="36">
        <v>0</v>
      </c>
      <c r="J20" s="9">
        <f t="shared" si="0"/>
        <v>0</v>
      </c>
      <c r="K20" s="8">
        <v>5340</v>
      </c>
      <c r="L20" s="4"/>
    </row>
    <row r="21" spans="1:12" ht="72.599999999999994" x14ac:dyDescent="0.3">
      <c r="A21" s="8" t="s">
        <v>132</v>
      </c>
      <c r="B21" s="19" t="s">
        <v>3</v>
      </c>
      <c r="C21" s="26" t="s">
        <v>323</v>
      </c>
      <c r="D21" s="10" t="s">
        <v>4</v>
      </c>
      <c r="E21" s="22" t="s">
        <v>598</v>
      </c>
      <c r="F21" s="30" t="s">
        <v>597</v>
      </c>
      <c r="G21" s="13">
        <v>5</v>
      </c>
      <c r="H21" s="13" t="s">
        <v>2</v>
      </c>
      <c r="I21" s="36">
        <v>0</v>
      </c>
      <c r="J21" s="9">
        <f t="shared" si="0"/>
        <v>0</v>
      </c>
      <c r="K21" s="8">
        <v>2590</v>
      </c>
      <c r="L21" s="4"/>
    </row>
    <row r="22" spans="1:12" ht="48.6" x14ac:dyDescent="0.3">
      <c r="A22" s="8" t="s">
        <v>133</v>
      </c>
      <c r="B22" s="19" t="s">
        <v>5</v>
      </c>
      <c r="C22" s="26" t="s">
        <v>324</v>
      </c>
      <c r="D22" s="10" t="s">
        <v>6</v>
      </c>
      <c r="E22" s="22" t="s">
        <v>317</v>
      </c>
      <c r="F22" s="17"/>
      <c r="G22" s="13">
        <v>3</v>
      </c>
      <c r="H22" s="13" t="s">
        <v>2</v>
      </c>
      <c r="I22" s="36">
        <v>0</v>
      </c>
      <c r="J22" s="9">
        <f t="shared" si="0"/>
        <v>0</v>
      </c>
      <c r="K22" s="8">
        <v>4730</v>
      </c>
      <c r="L22" s="4"/>
    </row>
    <row r="23" spans="1:12" ht="24.6" x14ac:dyDescent="0.3">
      <c r="A23" s="8" t="s">
        <v>134</v>
      </c>
      <c r="B23" s="19" t="s">
        <v>7</v>
      </c>
      <c r="C23" s="26" t="s">
        <v>325</v>
      </c>
      <c r="D23" s="10" t="s">
        <v>8</v>
      </c>
      <c r="E23" s="32" t="s">
        <v>599</v>
      </c>
      <c r="F23" s="31" t="s">
        <v>596</v>
      </c>
      <c r="G23" s="13">
        <v>5</v>
      </c>
      <c r="H23" s="13" t="s">
        <v>2</v>
      </c>
      <c r="I23" s="36">
        <v>0</v>
      </c>
      <c r="J23" s="9">
        <f t="shared" si="0"/>
        <v>0</v>
      </c>
      <c r="K23" s="8">
        <v>2590</v>
      </c>
      <c r="L23" s="4"/>
    </row>
    <row r="24" spans="1:12" ht="24.6" x14ac:dyDescent="0.3">
      <c r="A24" s="8" t="s">
        <v>135</v>
      </c>
      <c r="B24" s="19" t="s">
        <v>9</v>
      </c>
      <c r="C24" s="26" t="s">
        <v>326</v>
      </c>
      <c r="D24" s="10" t="s">
        <v>10</v>
      </c>
      <c r="E24" s="22" t="s">
        <v>329</v>
      </c>
      <c r="F24" s="16" t="s">
        <v>320</v>
      </c>
      <c r="G24" s="13">
        <v>5</v>
      </c>
      <c r="H24" s="13" t="s">
        <v>2</v>
      </c>
      <c r="I24" s="36">
        <v>0</v>
      </c>
      <c r="J24" s="9">
        <f t="shared" si="0"/>
        <v>0</v>
      </c>
      <c r="K24" s="8">
        <v>4730</v>
      </c>
      <c r="L24" s="4"/>
    </row>
    <row r="25" spans="1:12" ht="24.6" x14ac:dyDescent="0.3">
      <c r="A25" s="8" t="s">
        <v>136</v>
      </c>
      <c r="B25" s="19" t="s">
        <v>9</v>
      </c>
      <c r="C25" s="26" t="s">
        <v>327</v>
      </c>
      <c r="D25" s="10" t="s">
        <v>10</v>
      </c>
      <c r="E25" s="22" t="s">
        <v>329</v>
      </c>
      <c r="F25" s="16" t="s">
        <v>320</v>
      </c>
      <c r="G25" s="13">
        <v>30</v>
      </c>
      <c r="H25" s="13" t="s">
        <v>2</v>
      </c>
      <c r="I25" s="36">
        <v>0</v>
      </c>
      <c r="J25" s="9">
        <f t="shared" si="0"/>
        <v>0</v>
      </c>
      <c r="K25" s="8">
        <v>4730</v>
      </c>
      <c r="L25" s="4"/>
    </row>
    <row r="26" spans="1:12" ht="24.6" x14ac:dyDescent="0.3">
      <c r="A26" s="8" t="s">
        <v>137</v>
      </c>
      <c r="B26" s="19" t="s">
        <v>9</v>
      </c>
      <c r="C26" s="26" t="s">
        <v>328</v>
      </c>
      <c r="D26" s="10" t="s">
        <v>10</v>
      </c>
      <c r="E26" s="22" t="s">
        <v>329</v>
      </c>
      <c r="F26" s="16" t="s">
        <v>320</v>
      </c>
      <c r="G26" s="13">
        <v>15</v>
      </c>
      <c r="H26" s="13" t="s">
        <v>2</v>
      </c>
      <c r="I26" s="36">
        <v>0</v>
      </c>
      <c r="J26" s="9">
        <f t="shared" si="0"/>
        <v>0</v>
      </c>
      <c r="K26" s="8">
        <v>4730</v>
      </c>
      <c r="L26" s="4"/>
    </row>
    <row r="27" spans="1:12" ht="24.6" x14ac:dyDescent="0.3">
      <c r="A27" s="8" t="s">
        <v>138</v>
      </c>
      <c r="B27" s="19" t="s">
        <v>11</v>
      </c>
      <c r="C27" s="26" t="s">
        <v>331</v>
      </c>
      <c r="D27" s="10" t="s">
        <v>12</v>
      </c>
      <c r="E27" s="22" t="s">
        <v>332</v>
      </c>
      <c r="F27" s="16" t="s">
        <v>330</v>
      </c>
      <c r="G27" s="13">
        <v>18</v>
      </c>
      <c r="H27" s="13" t="s">
        <v>2</v>
      </c>
      <c r="I27" s="36">
        <v>0</v>
      </c>
      <c r="J27" s="9">
        <f t="shared" si="0"/>
        <v>0</v>
      </c>
      <c r="K27" s="8">
        <v>4730</v>
      </c>
      <c r="L27" s="4"/>
    </row>
    <row r="28" spans="1:12" ht="24.6" x14ac:dyDescent="0.3">
      <c r="A28" s="8" t="s">
        <v>139</v>
      </c>
      <c r="B28" s="19" t="s">
        <v>11</v>
      </c>
      <c r="C28" s="26" t="s">
        <v>336</v>
      </c>
      <c r="D28" s="10" t="s">
        <v>12</v>
      </c>
      <c r="E28" s="22" t="s">
        <v>332</v>
      </c>
      <c r="F28" s="16" t="s">
        <v>330</v>
      </c>
      <c r="G28" s="13">
        <v>9</v>
      </c>
      <c r="H28" s="13" t="s">
        <v>2</v>
      </c>
      <c r="I28" s="36">
        <v>0</v>
      </c>
      <c r="J28" s="9">
        <f t="shared" si="0"/>
        <v>0</v>
      </c>
      <c r="K28" s="8">
        <v>4730</v>
      </c>
      <c r="L28" s="4"/>
    </row>
    <row r="29" spans="1:12" ht="15" x14ac:dyDescent="0.3">
      <c r="A29" s="8" t="s">
        <v>140</v>
      </c>
      <c r="B29" s="19" t="s">
        <v>13</v>
      </c>
      <c r="C29" s="26" t="s">
        <v>337</v>
      </c>
      <c r="D29" s="10" t="s">
        <v>14</v>
      </c>
      <c r="E29" s="22" t="s">
        <v>338</v>
      </c>
      <c r="F29" s="16" t="s">
        <v>333</v>
      </c>
      <c r="G29" s="13">
        <v>2</v>
      </c>
      <c r="H29" s="13" t="s">
        <v>2</v>
      </c>
      <c r="I29" s="36">
        <v>0</v>
      </c>
      <c r="J29" s="9">
        <f t="shared" si="0"/>
        <v>0</v>
      </c>
      <c r="K29" s="8">
        <v>4720</v>
      </c>
      <c r="L29" s="4"/>
    </row>
    <row r="30" spans="1:12" ht="15" x14ac:dyDescent="0.3">
      <c r="A30" s="8" t="s">
        <v>141</v>
      </c>
      <c r="B30" s="19" t="s">
        <v>13</v>
      </c>
      <c r="C30" s="26" t="s">
        <v>339</v>
      </c>
      <c r="D30" s="10" t="s">
        <v>14</v>
      </c>
      <c r="E30" s="22" t="s">
        <v>338</v>
      </c>
      <c r="F30" s="16" t="s">
        <v>333</v>
      </c>
      <c r="G30" s="13">
        <v>18</v>
      </c>
      <c r="H30" s="13" t="s">
        <v>2</v>
      </c>
      <c r="I30" s="36">
        <v>0</v>
      </c>
      <c r="J30" s="9">
        <f t="shared" si="0"/>
        <v>0</v>
      </c>
      <c r="K30" s="8">
        <v>4720</v>
      </c>
      <c r="L30" s="4"/>
    </row>
    <row r="31" spans="1:12" ht="15" x14ac:dyDescent="0.3">
      <c r="A31" s="8" t="s">
        <v>142</v>
      </c>
      <c r="B31" s="19" t="s">
        <v>13</v>
      </c>
      <c r="C31" s="26" t="s">
        <v>340</v>
      </c>
      <c r="D31" s="10" t="s">
        <v>14</v>
      </c>
      <c r="E31" s="22" t="s">
        <v>338</v>
      </c>
      <c r="F31" s="16" t="s">
        <v>333</v>
      </c>
      <c r="G31" s="13">
        <v>9</v>
      </c>
      <c r="H31" s="13" t="s">
        <v>2</v>
      </c>
      <c r="I31" s="36">
        <v>0</v>
      </c>
      <c r="J31" s="9">
        <f t="shared" si="0"/>
        <v>0</v>
      </c>
      <c r="K31" s="8">
        <v>4720</v>
      </c>
      <c r="L31" s="4"/>
    </row>
    <row r="32" spans="1:12" ht="15" x14ac:dyDescent="0.3">
      <c r="A32" s="8" t="s">
        <v>143</v>
      </c>
      <c r="B32" s="19" t="s">
        <v>15</v>
      </c>
      <c r="C32" s="26" t="s">
        <v>341</v>
      </c>
      <c r="D32" s="10" t="s">
        <v>16</v>
      </c>
      <c r="E32" s="22" t="s">
        <v>342</v>
      </c>
      <c r="F32" s="16" t="s">
        <v>334</v>
      </c>
      <c r="G32" s="13">
        <v>2</v>
      </c>
      <c r="H32" s="13" t="s">
        <v>2</v>
      </c>
      <c r="I32" s="36">
        <v>0</v>
      </c>
      <c r="J32" s="9">
        <f t="shared" si="0"/>
        <v>0</v>
      </c>
      <c r="K32" s="8">
        <v>4720</v>
      </c>
      <c r="L32" s="4"/>
    </row>
    <row r="33" spans="1:12" ht="15" x14ac:dyDescent="0.3">
      <c r="A33" s="8" t="s">
        <v>144</v>
      </c>
      <c r="B33" s="19" t="s">
        <v>15</v>
      </c>
      <c r="C33" s="26" t="s">
        <v>343</v>
      </c>
      <c r="D33" s="10" t="s">
        <v>16</v>
      </c>
      <c r="E33" s="22" t="s">
        <v>342</v>
      </c>
      <c r="F33" s="16" t="s">
        <v>334</v>
      </c>
      <c r="G33" s="13">
        <v>3</v>
      </c>
      <c r="H33" s="13" t="s">
        <v>2</v>
      </c>
      <c r="I33" s="36">
        <v>0</v>
      </c>
      <c r="J33" s="9">
        <f t="shared" si="0"/>
        <v>0</v>
      </c>
      <c r="K33" s="8">
        <v>4720</v>
      </c>
      <c r="L33" s="4"/>
    </row>
    <row r="34" spans="1:12" ht="120.6" x14ac:dyDescent="0.3">
      <c r="A34" s="8" t="s">
        <v>145</v>
      </c>
      <c r="B34" s="19" t="s">
        <v>17</v>
      </c>
      <c r="C34" s="26" t="s">
        <v>344</v>
      </c>
      <c r="D34" s="10" t="s">
        <v>18</v>
      </c>
      <c r="E34" s="22" t="s">
        <v>346</v>
      </c>
      <c r="F34" s="16" t="s">
        <v>335</v>
      </c>
      <c r="G34" s="13">
        <v>1</v>
      </c>
      <c r="H34" s="13" t="s">
        <v>2</v>
      </c>
      <c r="I34" s="36">
        <v>0</v>
      </c>
      <c r="J34" s="9">
        <f t="shared" si="0"/>
        <v>0</v>
      </c>
      <c r="K34" s="8">
        <v>4730</v>
      </c>
      <c r="L34" s="4"/>
    </row>
    <row r="35" spans="1:12" ht="120.6" x14ac:dyDescent="0.3">
      <c r="A35" s="8" t="s">
        <v>146</v>
      </c>
      <c r="B35" s="19" t="s">
        <v>17</v>
      </c>
      <c r="C35" s="28" t="s">
        <v>19</v>
      </c>
      <c r="D35" s="10" t="s">
        <v>18</v>
      </c>
      <c r="E35" s="22" t="s">
        <v>346</v>
      </c>
      <c r="F35" s="16" t="s">
        <v>335</v>
      </c>
      <c r="G35" s="13">
        <v>6</v>
      </c>
      <c r="H35" s="13" t="s">
        <v>2</v>
      </c>
      <c r="I35" s="36">
        <v>0</v>
      </c>
      <c r="J35" s="9">
        <f t="shared" si="0"/>
        <v>0</v>
      </c>
      <c r="K35" s="8">
        <v>4730</v>
      </c>
      <c r="L35" s="4"/>
    </row>
    <row r="36" spans="1:12" ht="120.6" x14ac:dyDescent="0.3">
      <c r="A36" s="8" t="s">
        <v>147</v>
      </c>
      <c r="B36" s="19" t="s">
        <v>17</v>
      </c>
      <c r="C36" s="26" t="s">
        <v>348</v>
      </c>
      <c r="D36" s="10" t="s">
        <v>18</v>
      </c>
      <c r="E36" s="22" t="s">
        <v>346</v>
      </c>
      <c r="F36" s="16" t="s">
        <v>335</v>
      </c>
      <c r="G36" s="13">
        <v>3</v>
      </c>
      <c r="H36" s="13" t="s">
        <v>2</v>
      </c>
      <c r="I36" s="36">
        <v>0</v>
      </c>
      <c r="J36" s="9">
        <f t="shared" si="0"/>
        <v>0</v>
      </c>
      <c r="K36" s="8">
        <v>4730</v>
      </c>
      <c r="L36" s="4"/>
    </row>
    <row r="37" spans="1:12" ht="96.6" x14ac:dyDescent="0.3">
      <c r="A37" s="8" t="s">
        <v>148</v>
      </c>
      <c r="B37" s="19" t="s">
        <v>20</v>
      </c>
      <c r="C37" s="26" t="s">
        <v>349</v>
      </c>
      <c r="D37" s="10" t="s">
        <v>21</v>
      </c>
      <c r="E37" s="22" t="s">
        <v>350</v>
      </c>
      <c r="F37" s="16" t="s">
        <v>345</v>
      </c>
      <c r="G37" s="13">
        <v>1</v>
      </c>
      <c r="H37" s="13" t="s">
        <v>2</v>
      </c>
      <c r="I37" s="36">
        <v>0</v>
      </c>
      <c r="J37" s="9">
        <f t="shared" si="0"/>
        <v>0</v>
      </c>
      <c r="K37" s="8">
        <v>4730</v>
      </c>
      <c r="L37" s="4"/>
    </row>
    <row r="38" spans="1:12" ht="96.6" x14ac:dyDescent="0.3">
      <c r="A38" s="8" t="s">
        <v>149</v>
      </c>
      <c r="B38" s="19" t="s">
        <v>20</v>
      </c>
      <c r="C38" s="26" t="s">
        <v>351</v>
      </c>
      <c r="D38" s="10" t="s">
        <v>21</v>
      </c>
      <c r="E38" s="22" t="s">
        <v>350</v>
      </c>
      <c r="F38" s="16" t="s">
        <v>345</v>
      </c>
      <c r="G38" s="13">
        <v>6</v>
      </c>
      <c r="H38" s="13" t="s">
        <v>2</v>
      </c>
      <c r="I38" s="36">
        <v>0</v>
      </c>
      <c r="J38" s="9">
        <f t="shared" si="0"/>
        <v>0</v>
      </c>
      <c r="K38" s="8">
        <v>4730</v>
      </c>
      <c r="L38" s="4"/>
    </row>
    <row r="39" spans="1:12" ht="96.6" x14ac:dyDescent="0.3">
      <c r="A39" s="8" t="s">
        <v>150</v>
      </c>
      <c r="B39" s="19" t="s">
        <v>20</v>
      </c>
      <c r="C39" s="26" t="s">
        <v>352</v>
      </c>
      <c r="D39" s="10" t="s">
        <v>21</v>
      </c>
      <c r="E39" s="22" t="s">
        <v>350</v>
      </c>
      <c r="F39" s="16" t="s">
        <v>345</v>
      </c>
      <c r="G39" s="13">
        <v>3</v>
      </c>
      <c r="H39" s="13" t="s">
        <v>2</v>
      </c>
      <c r="I39" s="36">
        <v>0</v>
      </c>
      <c r="J39" s="9">
        <f t="shared" si="0"/>
        <v>0</v>
      </c>
      <c r="K39" s="8">
        <v>4730</v>
      </c>
      <c r="L39" s="4"/>
    </row>
    <row r="40" spans="1:12" ht="96.6" x14ac:dyDescent="0.3">
      <c r="A40" s="8" t="s">
        <v>151</v>
      </c>
      <c r="B40" s="19" t="s">
        <v>22</v>
      </c>
      <c r="C40" s="26" t="s">
        <v>353</v>
      </c>
      <c r="D40" s="10" t="s">
        <v>23</v>
      </c>
      <c r="E40" s="22" t="s">
        <v>354</v>
      </c>
      <c r="F40" s="16" t="s">
        <v>347</v>
      </c>
      <c r="G40" s="13">
        <v>2</v>
      </c>
      <c r="H40" s="13" t="s">
        <v>2</v>
      </c>
      <c r="I40" s="36">
        <v>0</v>
      </c>
      <c r="J40" s="9">
        <f t="shared" si="0"/>
        <v>0</v>
      </c>
      <c r="K40" s="8">
        <v>4730</v>
      </c>
      <c r="L40" s="4"/>
    </row>
    <row r="41" spans="1:12" ht="96.6" x14ac:dyDescent="0.3">
      <c r="A41" s="8" t="s">
        <v>152</v>
      </c>
      <c r="B41" s="19" t="s">
        <v>22</v>
      </c>
      <c r="C41" s="26" t="s">
        <v>357</v>
      </c>
      <c r="D41" s="10" t="s">
        <v>23</v>
      </c>
      <c r="E41" s="22" t="s">
        <v>354</v>
      </c>
      <c r="F41" s="16" t="s">
        <v>347</v>
      </c>
      <c r="G41" s="13">
        <v>12</v>
      </c>
      <c r="H41" s="13" t="s">
        <v>2</v>
      </c>
      <c r="I41" s="36">
        <v>0</v>
      </c>
      <c r="J41" s="9">
        <f t="shared" si="0"/>
        <v>0</v>
      </c>
      <c r="K41" s="8">
        <v>4730</v>
      </c>
      <c r="L41" s="4"/>
    </row>
    <row r="42" spans="1:12" ht="96.6" x14ac:dyDescent="0.3">
      <c r="A42" s="8" t="s">
        <v>153</v>
      </c>
      <c r="B42" s="19" t="s">
        <v>22</v>
      </c>
      <c r="C42" s="26" t="s">
        <v>358</v>
      </c>
      <c r="D42" s="10" t="s">
        <v>23</v>
      </c>
      <c r="E42" s="22" t="s">
        <v>354</v>
      </c>
      <c r="F42" s="16" t="s">
        <v>347</v>
      </c>
      <c r="G42" s="13">
        <v>6</v>
      </c>
      <c r="H42" s="13" t="s">
        <v>2</v>
      </c>
      <c r="I42" s="36">
        <v>0</v>
      </c>
      <c r="J42" s="9">
        <f t="shared" si="0"/>
        <v>0</v>
      </c>
      <c r="K42" s="8">
        <v>4730</v>
      </c>
      <c r="L42" s="4"/>
    </row>
    <row r="43" spans="1:12" ht="24.6" x14ac:dyDescent="0.3">
      <c r="A43" s="8" t="s">
        <v>154</v>
      </c>
      <c r="B43" s="19" t="s">
        <v>24</v>
      </c>
      <c r="C43" s="26" t="s">
        <v>359</v>
      </c>
      <c r="D43" s="10" t="s">
        <v>25</v>
      </c>
      <c r="E43" s="22" t="s">
        <v>360</v>
      </c>
      <c r="F43" s="16" t="s">
        <v>355</v>
      </c>
      <c r="G43" s="13">
        <v>18</v>
      </c>
      <c r="H43" s="13" t="s">
        <v>2</v>
      </c>
      <c r="I43" s="36">
        <v>0</v>
      </c>
      <c r="J43" s="9">
        <f t="shared" si="0"/>
        <v>0</v>
      </c>
      <c r="K43" s="8">
        <v>4710</v>
      </c>
      <c r="L43" s="4"/>
    </row>
    <row r="44" spans="1:12" ht="24.6" x14ac:dyDescent="0.3">
      <c r="A44" s="8" t="s">
        <v>155</v>
      </c>
      <c r="B44" s="19" t="s">
        <v>24</v>
      </c>
      <c r="C44" s="26" t="s">
        <v>365</v>
      </c>
      <c r="D44" s="10" t="s">
        <v>25</v>
      </c>
      <c r="E44" s="22" t="s">
        <v>360</v>
      </c>
      <c r="F44" s="16" t="s">
        <v>355</v>
      </c>
      <c r="G44" s="13">
        <v>9</v>
      </c>
      <c r="H44" s="13" t="s">
        <v>2</v>
      </c>
      <c r="I44" s="36">
        <v>0</v>
      </c>
      <c r="J44" s="9">
        <f t="shared" si="0"/>
        <v>0</v>
      </c>
      <c r="K44" s="8">
        <v>4710</v>
      </c>
      <c r="L44" s="4"/>
    </row>
    <row r="45" spans="1:12" ht="24.6" x14ac:dyDescent="0.3">
      <c r="A45" s="8" t="s">
        <v>156</v>
      </c>
      <c r="B45" s="19" t="s">
        <v>26</v>
      </c>
      <c r="C45" s="26" t="s">
        <v>366</v>
      </c>
      <c r="D45" s="10" t="s">
        <v>25</v>
      </c>
      <c r="E45" s="22" t="s">
        <v>367</v>
      </c>
      <c r="F45" s="16" t="s">
        <v>356</v>
      </c>
      <c r="G45" s="13">
        <v>18</v>
      </c>
      <c r="H45" s="13" t="s">
        <v>2</v>
      </c>
      <c r="I45" s="36">
        <v>0</v>
      </c>
      <c r="J45" s="9">
        <f t="shared" si="0"/>
        <v>0</v>
      </c>
      <c r="K45" s="8">
        <v>4710</v>
      </c>
      <c r="L45" s="4"/>
    </row>
    <row r="46" spans="1:12" ht="24.6" x14ac:dyDescent="0.3">
      <c r="A46" s="8" t="s">
        <v>157</v>
      </c>
      <c r="B46" s="19" t="s">
        <v>26</v>
      </c>
      <c r="C46" s="26" t="s">
        <v>368</v>
      </c>
      <c r="D46" s="10" t="s">
        <v>25</v>
      </c>
      <c r="E46" s="22" t="s">
        <v>367</v>
      </c>
      <c r="F46" s="16" t="s">
        <v>356</v>
      </c>
      <c r="G46" s="13">
        <v>9</v>
      </c>
      <c r="H46" s="13" t="s">
        <v>2</v>
      </c>
      <c r="I46" s="36">
        <v>0</v>
      </c>
      <c r="J46" s="9">
        <f t="shared" si="0"/>
        <v>0</v>
      </c>
      <c r="K46" s="8">
        <v>4710</v>
      </c>
      <c r="L46" s="4"/>
    </row>
    <row r="47" spans="1:12" ht="24.6" x14ac:dyDescent="0.3">
      <c r="A47" s="8" t="s">
        <v>158</v>
      </c>
      <c r="B47" s="19" t="s">
        <v>27</v>
      </c>
      <c r="C47" s="26" t="s">
        <v>369</v>
      </c>
      <c r="D47" s="10" t="s">
        <v>25</v>
      </c>
      <c r="E47" s="22" t="s">
        <v>373</v>
      </c>
      <c r="F47" s="16" t="s">
        <v>361</v>
      </c>
      <c r="G47" s="13">
        <v>18</v>
      </c>
      <c r="H47" s="13" t="s">
        <v>2</v>
      </c>
      <c r="I47" s="36">
        <v>0</v>
      </c>
      <c r="J47" s="9">
        <f t="shared" si="0"/>
        <v>0</v>
      </c>
      <c r="K47" s="8">
        <v>4710</v>
      </c>
      <c r="L47" s="4"/>
    </row>
    <row r="48" spans="1:12" ht="24.6" x14ac:dyDescent="0.3">
      <c r="A48" s="8" t="s">
        <v>159</v>
      </c>
      <c r="B48" s="19" t="s">
        <v>27</v>
      </c>
      <c r="C48" s="26" t="s">
        <v>370</v>
      </c>
      <c r="D48" s="10" t="s">
        <v>25</v>
      </c>
      <c r="E48" s="22" t="s">
        <v>373</v>
      </c>
      <c r="F48" s="16" t="s">
        <v>361</v>
      </c>
      <c r="G48" s="13">
        <v>9</v>
      </c>
      <c r="H48" s="13" t="s">
        <v>2</v>
      </c>
      <c r="I48" s="36">
        <v>0</v>
      </c>
      <c r="J48" s="9">
        <f t="shared" si="0"/>
        <v>0</v>
      </c>
      <c r="K48" s="8">
        <v>4710</v>
      </c>
      <c r="L48" s="4"/>
    </row>
    <row r="49" spans="1:12" ht="48.6" x14ac:dyDescent="0.3">
      <c r="A49" s="8" t="s">
        <v>160</v>
      </c>
      <c r="B49" s="19" t="s">
        <v>28</v>
      </c>
      <c r="C49" s="26" t="s">
        <v>371</v>
      </c>
      <c r="D49" s="10" t="s">
        <v>29</v>
      </c>
      <c r="E49" s="22" t="s">
        <v>372</v>
      </c>
      <c r="F49" s="16" t="s">
        <v>362</v>
      </c>
      <c r="G49" s="13">
        <v>24</v>
      </c>
      <c r="H49" s="13" t="s">
        <v>2</v>
      </c>
      <c r="I49" s="36">
        <v>0</v>
      </c>
      <c r="J49" s="9">
        <f>SUM(G49*I49)</f>
        <v>0</v>
      </c>
      <c r="K49" s="8">
        <v>4820</v>
      </c>
      <c r="L49" s="4"/>
    </row>
    <row r="50" spans="1:12" ht="48.6" x14ac:dyDescent="0.3">
      <c r="A50" s="8" t="s">
        <v>161</v>
      </c>
      <c r="B50" s="19" t="s">
        <v>28</v>
      </c>
      <c r="C50" s="26" t="s">
        <v>374</v>
      </c>
      <c r="D50" s="10" t="s">
        <v>29</v>
      </c>
      <c r="E50" s="22" t="s">
        <v>372</v>
      </c>
      <c r="F50" s="16" t="s">
        <v>362</v>
      </c>
      <c r="G50" s="13">
        <v>12</v>
      </c>
      <c r="H50" s="13" t="s">
        <v>2</v>
      </c>
      <c r="I50" s="36">
        <v>0</v>
      </c>
      <c r="J50" s="9">
        <f t="shared" si="0"/>
        <v>0</v>
      </c>
      <c r="K50" s="8">
        <v>4820</v>
      </c>
      <c r="L50" s="4"/>
    </row>
    <row r="51" spans="1:12" ht="24.6" x14ac:dyDescent="0.3">
      <c r="A51" s="8" t="s">
        <v>162</v>
      </c>
      <c r="B51" s="19" t="s">
        <v>30</v>
      </c>
      <c r="C51" s="26" t="s">
        <v>375</v>
      </c>
      <c r="D51" s="10" t="s">
        <v>31</v>
      </c>
      <c r="E51" s="22" t="s">
        <v>380</v>
      </c>
      <c r="F51" s="16" t="s">
        <v>363</v>
      </c>
      <c r="G51" s="13">
        <v>3</v>
      </c>
      <c r="H51" s="13" t="s">
        <v>2</v>
      </c>
      <c r="I51" s="36">
        <v>0</v>
      </c>
      <c r="J51" s="9">
        <f t="shared" si="0"/>
        <v>0</v>
      </c>
      <c r="K51" s="8">
        <v>4720</v>
      </c>
      <c r="L51" s="4"/>
    </row>
    <row r="52" spans="1:12" ht="24.6" x14ac:dyDescent="0.3">
      <c r="A52" s="8" t="s">
        <v>163</v>
      </c>
      <c r="B52" s="19" t="s">
        <v>30</v>
      </c>
      <c r="C52" s="26" t="s">
        <v>379</v>
      </c>
      <c r="D52" s="10" t="s">
        <v>31</v>
      </c>
      <c r="E52" s="22" t="s">
        <v>380</v>
      </c>
      <c r="F52" s="16" t="s">
        <v>363</v>
      </c>
      <c r="G52" s="13">
        <v>18</v>
      </c>
      <c r="H52" s="13" t="s">
        <v>2</v>
      </c>
      <c r="I52" s="36">
        <v>0</v>
      </c>
      <c r="J52" s="9">
        <f t="shared" si="0"/>
        <v>0</v>
      </c>
      <c r="K52" s="8">
        <v>4720</v>
      </c>
      <c r="L52" s="4"/>
    </row>
    <row r="53" spans="1:12" ht="24.6" x14ac:dyDescent="0.3">
      <c r="A53" s="8" t="s">
        <v>164</v>
      </c>
      <c r="B53" s="19" t="s">
        <v>30</v>
      </c>
      <c r="C53" s="26" t="s">
        <v>381</v>
      </c>
      <c r="D53" s="10" t="s">
        <v>31</v>
      </c>
      <c r="E53" s="22" t="s">
        <v>380</v>
      </c>
      <c r="F53" s="16" t="s">
        <v>363</v>
      </c>
      <c r="G53" s="13">
        <v>9</v>
      </c>
      <c r="H53" s="13" t="s">
        <v>2</v>
      </c>
      <c r="I53" s="36">
        <v>0</v>
      </c>
      <c r="J53" s="9">
        <f t="shared" si="0"/>
        <v>0</v>
      </c>
      <c r="K53" s="8">
        <v>4720</v>
      </c>
      <c r="L53" s="4"/>
    </row>
    <row r="54" spans="1:12" ht="24.6" x14ac:dyDescent="0.3">
      <c r="A54" s="8" t="s">
        <v>165</v>
      </c>
      <c r="B54" s="19" t="s">
        <v>32</v>
      </c>
      <c r="C54" s="26" t="s">
        <v>382</v>
      </c>
      <c r="D54" s="10" t="s">
        <v>33</v>
      </c>
      <c r="E54" s="22" t="s">
        <v>383</v>
      </c>
      <c r="F54" s="16" t="s">
        <v>364</v>
      </c>
      <c r="G54" s="13">
        <v>3</v>
      </c>
      <c r="H54" s="13" t="s">
        <v>2</v>
      </c>
      <c r="I54" s="36">
        <v>0</v>
      </c>
      <c r="J54" s="9">
        <f t="shared" si="0"/>
        <v>0</v>
      </c>
      <c r="K54" s="8">
        <v>4730</v>
      </c>
      <c r="L54" s="4"/>
    </row>
    <row r="55" spans="1:12" ht="24.6" x14ac:dyDescent="0.3">
      <c r="A55" s="8" t="s">
        <v>166</v>
      </c>
      <c r="B55" s="19" t="s">
        <v>32</v>
      </c>
      <c r="C55" s="26" t="s">
        <v>384</v>
      </c>
      <c r="D55" s="10" t="s">
        <v>33</v>
      </c>
      <c r="E55" s="22" t="s">
        <v>383</v>
      </c>
      <c r="F55" s="16" t="s">
        <v>364</v>
      </c>
      <c r="G55" s="13">
        <v>18</v>
      </c>
      <c r="H55" s="13" t="s">
        <v>2</v>
      </c>
      <c r="I55" s="36">
        <v>0</v>
      </c>
      <c r="J55" s="9">
        <f>SUM(G55*I55)</f>
        <v>0</v>
      </c>
      <c r="K55" s="8">
        <v>4730</v>
      </c>
      <c r="L55" s="4"/>
    </row>
    <row r="56" spans="1:12" ht="24.6" x14ac:dyDescent="0.3">
      <c r="A56" s="8" t="s">
        <v>167</v>
      </c>
      <c r="B56" s="19" t="s">
        <v>32</v>
      </c>
      <c r="C56" s="26" t="s">
        <v>385</v>
      </c>
      <c r="D56" s="10" t="s">
        <v>33</v>
      </c>
      <c r="E56" s="22" t="s">
        <v>383</v>
      </c>
      <c r="F56" s="16" t="s">
        <v>364</v>
      </c>
      <c r="G56" s="13">
        <v>9</v>
      </c>
      <c r="H56" s="13" t="s">
        <v>2</v>
      </c>
      <c r="I56" s="36">
        <v>0</v>
      </c>
      <c r="J56" s="9">
        <f>SUM(G56*I56)</f>
        <v>0</v>
      </c>
      <c r="K56" s="8">
        <v>4730</v>
      </c>
      <c r="L56" s="4"/>
    </row>
    <row r="57" spans="1:12" ht="24.6" x14ac:dyDescent="0.3">
      <c r="A57" s="8" t="s">
        <v>168</v>
      </c>
      <c r="B57" s="19" t="s">
        <v>34</v>
      </c>
      <c r="C57" s="26" t="s">
        <v>386</v>
      </c>
      <c r="D57" s="10" t="s">
        <v>35</v>
      </c>
      <c r="E57" s="22" t="s">
        <v>387</v>
      </c>
      <c r="F57" s="16" t="s">
        <v>376</v>
      </c>
      <c r="G57" s="13">
        <v>8</v>
      </c>
      <c r="H57" s="13" t="s">
        <v>2</v>
      </c>
      <c r="I57" s="36">
        <v>0</v>
      </c>
      <c r="J57" s="9">
        <f t="shared" si="0"/>
        <v>0</v>
      </c>
      <c r="K57" s="8">
        <v>4730</v>
      </c>
      <c r="L57" s="4"/>
    </row>
    <row r="58" spans="1:12" ht="24.6" x14ac:dyDescent="0.3">
      <c r="A58" s="8" t="s">
        <v>169</v>
      </c>
      <c r="B58" s="19" t="s">
        <v>34</v>
      </c>
      <c r="C58" s="26" t="s">
        <v>388</v>
      </c>
      <c r="D58" s="10" t="s">
        <v>35</v>
      </c>
      <c r="E58" s="22" t="s">
        <v>387</v>
      </c>
      <c r="F58" s="16" t="s">
        <v>376</v>
      </c>
      <c r="G58" s="13">
        <v>48</v>
      </c>
      <c r="H58" s="13" t="s">
        <v>2</v>
      </c>
      <c r="I58" s="36">
        <v>0</v>
      </c>
      <c r="J58" s="9">
        <f t="shared" si="0"/>
        <v>0</v>
      </c>
      <c r="K58" s="8">
        <v>4730</v>
      </c>
      <c r="L58" s="4"/>
    </row>
    <row r="59" spans="1:12" ht="24.6" x14ac:dyDescent="0.3">
      <c r="A59" s="8" t="s">
        <v>170</v>
      </c>
      <c r="B59" s="19" t="s">
        <v>34</v>
      </c>
      <c r="C59" s="26" t="s">
        <v>389</v>
      </c>
      <c r="D59" s="10" t="s">
        <v>35</v>
      </c>
      <c r="E59" s="22" t="s">
        <v>387</v>
      </c>
      <c r="F59" s="16" t="s">
        <v>376</v>
      </c>
      <c r="G59" s="13">
        <v>24</v>
      </c>
      <c r="H59" s="13" t="s">
        <v>2</v>
      </c>
      <c r="I59" s="36">
        <v>0</v>
      </c>
      <c r="J59" s="9">
        <f t="shared" si="0"/>
        <v>0</v>
      </c>
      <c r="K59" s="8">
        <v>4730</v>
      </c>
      <c r="L59" s="4"/>
    </row>
    <row r="60" spans="1:12" ht="108.6" x14ac:dyDescent="0.3">
      <c r="A60" s="8" t="s">
        <v>171</v>
      </c>
      <c r="B60" s="19" t="s">
        <v>36</v>
      </c>
      <c r="C60" s="26" t="s">
        <v>390</v>
      </c>
      <c r="D60" s="10" t="s">
        <v>37</v>
      </c>
      <c r="E60" s="22" t="s">
        <v>391</v>
      </c>
      <c r="F60" s="16" t="s">
        <v>377</v>
      </c>
      <c r="G60" s="13">
        <v>6</v>
      </c>
      <c r="H60" s="13" t="s">
        <v>2</v>
      </c>
      <c r="I60" s="36">
        <v>0</v>
      </c>
      <c r="J60" s="9">
        <f t="shared" si="0"/>
        <v>0</v>
      </c>
      <c r="K60" s="8">
        <v>4730</v>
      </c>
      <c r="L60" s="4"/>
    </row>
    <row r="61" spans="1:12" ht="108.6" x14ac:dyDescent="0.3">
      <c r="A61" s="8" t="s">
        <v>172</v>
      </c>
      <c r="B61" s="19" t="s">
        <v>36</v>
      </c>
      <c r="C61" s="26" t="s">
        <v>393</v>
      </c>
      <c r="D61" s="10" t="s">
        <v>37</v>
      </c>
      <c r="E61" s="22" t="s">
        <v>391</v>
      </c>
      <c r="F61" s="16" t="s">
        <v>377</v>
      </c>
      <c r="G61" s="13">
        <v>3</v>
      </c>
      <c r="H61" s="13" t="s">
        <v>2</v>
      </c>
      <c r="I61" s="36">
        <v>0</v>
      </c>
      <c r="J61" s="9">
        <f t="shared" si="0"/>
        <v>0</v>
      </c>
      <c r="K61" s="8">
        <v>4730</v>
      </c>
      <c r="L61" s="4"/>
    </row>
    <row r="62" spans="1:12" ht="84.6" x14ac:dyDescent="0.3">
      <c r="A62" s="8" t="s">
        <v>173</v>
      </c>
      <c r="B62" s="19" t="s">
        <v>38</v>
      </c>
      <c r="C62" s="26" t="s">
        <v>394</v>
      </c>
      <c r="D62" s="10" t="s">
        <v>39</v>
      </c>
      <c r="E62" s="22" t="s">
        <v>395</v>
      </c>
      <c r="F62" s="16" t="s">
        <v>378</v>
      </c>
      <c r="G62" s="13">
        <v>2</v>
      </c>
      <c r="H62" s="13" t="s">
        <v>2</v>
      </c>
      <c r="I62" s="36">
        <v>0</v>
      </c>
      <c r="J62" s="9">
        <f t="shared" si="0"/>
        <v>0</v>
      </c>
      <c r="K62" s="8">
        <v>4730</v>
      </c>
      <c r="L62" s="4"/>
    </row>
    <row r="63" spans="1:12" ht="84.6" x14ac:dyDescent="0.3">
      <c r="A63" s="8" t="s">
        <v>174</v>
      </c>
      <c r="B63" s="19" t="s">
        <v>38</v>
      </c>
      <c r="C63" s="26" t="s">
        <v>396</v>
      </c>
      <c r="D63" s="10" t="s">
        <v>39</v>
      </c>
      <c r="E63" s="22" t="s">
        <v>395</v>
      </c>
      <c r="F63" s="16" t="s">
        <v>378</v>
      </c>
      <c r="G63" s="13">
        <v>12</v>
      </c>
      <c r="H63" s="13" t="s">
        <v>2</v>
      </c>
      <c r="I63" s="36">
        <v>0</v>
      </c>
      <c r="J63" s="9">
        <f t="shared" si="0"/>
        <v>0</v>
      </c>
      <c r="K63" s="8">
        <v>4730</v>
      </c>
      <c r="L63" s="4"/>
    </row>
    <row r="64" spans="1:12" ht="84.6" x14ac:dyDescent="0.3">
      <c r="A64" s="8" t="s">
        <v>175</v>
      </c>
      <c r="B64" s="19" t="s">
        <v>38</v>
      </c>
      <c r="C64" s="26" t="s">
        <v>397</v>
      </c>
      <c r="D64" s="10" t="s">
        <v>39</v>
      </c>
      <c r="E64" s="22" t="s">
        <v>395</v>
      </c>
      <c r="F64" s="16" t="s">
        <v>378</v>
      </c>
      <c r="G64" s="13">
        <v>6</v>
      </c>
      <c r="H64" s="13" t="s">
        <v>2</v>
      </c>
      <c r="I64" s="36">
        <v>0</v>
      </c>
      <c r="J64" s="9">
        <f>SUM(G64*I64)</f>
        <v>0</v>
      </c>
      <c r="K64" s="8">
        <v>4730</v>
      </c>
      <c r="L64" s="4"/>
    </row>
    <row r="65" spans="1:12" ht="24.6" x14ac:dyDescent="0.3">
      <c r="A65" s="8" t="s">
        <v>176</v>
      </c>
      <c r="B65" s="19" t="s">
        <v>40</v>
      </c>
      <c r="C65" s="26" t="s">
        <v>398</v>
      </c>
      <c r="D65" s="10" t="s">
        <v>41</v>
      </c>
      <c r="E65" s="22" t="s">
        <v>399</v>
      </c>
      <c r="F65" s="16" t="s">
        <v>392</v>
      </c>
      <c r="G65" s="13">
        <v>3</v>
      </c>
      <c r="H65" s="13" t="s">
        <v>2</v>
      </c>
      <c r="I65" s="36">
        <v>0</v>
      </c>
      <c r="J65" s="9">
        <f t="shared" si="0"/>
        <v>0</v>
      </c>
      <c r="K65" s="8">
        <v>4720</v>
      </c>
      <c r="L65" s="4"/>
    </row>
    <row r="66" spans="1:12" ht="24.6" x14ac:dyDescent="0.3">
      <c r="A66" s="8" t="s">
        <v>177</v>
      </c>
      <c r="B66" s="19" t="s">
        <v>40</v>
      </c>
      <c r="C66" s="26" t="s">
        <v>400</v>
      </c>
      <c r="D66" s="10" t="s">
        <v>41</v>
      </c>
      <c r="E66" s="22" t="s">
        <v>399</v>
      </c>
      <c r="F66" s="16" t="s">
        <v>392</v>
      </c>
      <c r="G66" s="13">
        <v>18</v>
      </c>
      <c r="H66" s="13" t="s">
        <v>2</v>
      </c>
      <c r="I66" s="36">
        <v>0</v>
      </c>
      <c r="J66" s="9">
        <f t="shared" si="0"/>
        <v>0</v>
      </c>
      <c r="K66" s="8">
        <v>4720</v>
      </c>
      <c r="L66" s="4"/>
    </row>
    <row r="67" spans="1:12" ht="24.6" x14ac:dyDescent="0.3">
      <c r="A67" s="8" t="s">
        <v>178</v>
      </c>
      <c r="B67" s="19" t="s">
        <v>40</v>
      </c>
      <c r="C67" s="26" t="s">
        <v>401</v>
      </c>
      <c r="D67" s="10" t="s">
        <v>41</v>
      </c>
      <c r="E67" s="22" t="s">
        <v>399</v>
      </c>
      <c r="F67" s="16" t="s">
        <v>392</v>
      </c>
      <c r="G67" s="13">
        <v>9</v>
      </c>
      <c r="H67" s="13" t="s">
        <v>2</v>
      </c>
      <c r="I67" s="36">
        <v>0</v>
      </c>
      <c r="J67" s="9">
        <f t="shared" si="0"/>
        <v>0</v>
      </c>
      <c r="K67" s="8">
        <v>4720</v>
      </c>
      <c r="L67" s="4"/>
    </row>
    <row r="68" spans="1:12" ht="15" x14ac:dyDescent="0.3">
      <c r="A68" s="8" t="s">
        <v>179</v>
      </c>
      <c r="B68" s="19" t="s">
        <v>15</v>
      </c>
      <c r="C68" s="26" t="s">
        <v>402</v>
      </c>
      <c r="D68" s="10" t="s">
        <v>16</v>
      </c>
      <c r="E68" s="22" t="s">
        <v>342</v>
      </c>
      <c r="F68" s="16" t="s">
        <v>334</v>
      </c>
      <c r="G68" s="13">
        <v>18</v>
      </c>
      <c r="H68" s="13" t="s">
        <v>2</v>
      </c>
      <c r="I68" s="36">
        <v>0</v>
      </c>
      <c r="J68" s="9">
        <f t="shared" si="0"/>
        <v>0</v>
      </c>
      <c r="K68" s="8">
        <v>4720</v>
      </c>
      <c r="L68" s="4"/>
    </row>
    <row r="69" spans="1:12" ht="15" x14ac:dyDescent="0.3">
      <c r="A69" s="8" t="s">
        <v>180</v>
      </c>
      <c r="B69" s="19" t="s">
        <v>15</v>
      </c>
      <c r="C69" s="26" t="s">
        <v>405</v>
      </c>
      <c r="D69" s="10" t="s">
        <v>16</v>
      </c>
      <c r="E69" s="22" t="s">
        <v>342</v>
      </c>
      <c r="F69" s="16" t="s">
        <v>334</v>
      </c>
      <c r="G69" s="13">
        <v>9</v>
      </c>
      <c r="H69" s="13" t="s">
        <v>2</v>
      </c>
      <c r="I69" s="36">
        <v>0</v>
      </c>
      <c r="J69" s="9">
        <f t="shared" si="0"/>
        <v>0</v>
      </c>
      <c r="K69" s="8">
        <v>4720</v>
      </c>
      <c r="L69" s="4"/>
    </row>
    <row r="70" spans="1:12" ht="24.6" x14ac:dyDescent="0.3">
      <c r="A70" s="8" t="s">
        <v>181</v>
      </c>
      <c r="B70" s="19" t="s">
        <v>42</v>
      </c>
      <c r="C70" s="26" t="s">
        <v>406</v>
      </c>
      <c r="D70" s="10" t="s">
        <v>43</v>
      </c>
      <c r="E70" s="22" t="s">
        <v>407</v>
      </c>
      <c r="F70" s="16" t="s">
        <v>403</v>
      </c>
      <c r="G70" s="13">
        <v>6</v>
      </c>
      <c r="H70" s="13" t="s">
        <v>2</v>
      </c>
      <c r="I70" s="36">
        <v>0</v>
      </c>
      <c r="J70" s="9">
        <f t="shared" si="0"/>
        <v>0</v>
      </c>
      <c r="K70" s="8">
        <v>4730</v>
      </c>
      <c r="L70" s="4"/>
    </row>
    <row r="71" spans="1:12" ht="24.6" x14ac:dyDescent="0.3">
      <c r="A71" s="8" t="s">
        <v>182</v>
      </c>
      <c r="B71" s="19" t="s">
        <v>42</v>
      </c>
      <c r="C71" s="26" t="s">
        <v>410</v>
      </c>
      <c r="D71" s="10" t="s">
        <v>43</v>
      </c>
      <c r="E71" s="22" t="s">
        <v>407</v>
      </c>
      <c r="F71" s="16" t="s">
        <v>403</v>
      </c>
      <c r="G71" s="13">
        <v>36</v>
      </c>
      <c r="H71" s="13" t="s">
        <v>2</v>
      </c>
      <c r="I71" s="36">
        <v>0</v>
      </c>
      <c r="J71" s="9">
        <f t="shared" si="0"/>
        <v>0</v>
      </c>
      <c r="K71" s="8">
        <v>4730</v>
      </c>
      <c r="L71" s="4"/>
    </row>
    <row r="72" spans="1:12" ht="24.6" x14ac:dyDescent="0.3">
      <c r="A72" s="8" t="s">
        <v>183</v>
      </c>
      <c r="B72" s="19" t="s">
        <v>42</v>
      </c>
      <c r="C72" s="26" t="s">
        <v>411</v>
      </c>
      <c r="D72" s="10" t="s">
        <v>43</v>
      </c>
      <c r="E72" s="22" t="s">
        <v>407</v>
      </c>
      <c r="F72" s="16" t="s">
        <v>403</v>
      </c>
      <c r="G72" s="13">
        <v>18</v>
      </c>
      <c r="H72" s="13" t="s">
        <v>2</v>
      </c>
      <c r="I72" s="36">
        <v>0</v>
      </c>
      <c r="J72" s="9">
        <f t="shared" si="0"/>
        <v>0</v>
      </c>
      <c r="K72" s="8">
        <v>4730</v>
      </c>
      <c r="L72" s="4"/>
    </row>
    <row r="73" spans="1:12" ht="24.6" x14ac:dyDescent="0.3">
      <c r="A73" s="8" t="s">
        <v>184</v>
      </c>
      <c r="B73" s="19" t="s">
        <v>44</v>
      </c>
      <c r="C73" s="26" t="s">
        <v>412</v>
      </c>
      <c r="D73" s="10" t="s">
        <v>45</v>
      </c>
      <c r="E73" s="22" t="s">
        <v>413</v>
      </c>
      <c r="F73" s="16" t="s">
        <v>404</v>
      </c>
      <c r="G73" s="13">
        <v>3</v>
      </c>
      <c r="H73" s="13" t="s">
        <v>2</v>
      </c>
      <c r="I73" s="36">
        <v>0</v>
      </c>
      <c r="J73" s="9">
        <f t="shared" si="0"/>
        <v>0</v>
      </c>
      <c r="K73" s="8">
        <v>4730</v>
      </c>
      <c r="L73" s="4"/>
    </row>
    <row r="74" spans="1:12" ht="24.6" x14ac:dyDescent="0.3">
      <c r="A74" s="8" t="s">
        <v>185</v>
      </c>
      <c r="B74" s="19" t="s">
        <v>44</v>
      </c>
      <c r="C74" s="26" t="s">
        <v>414</v>
      </c>
      <c r="D74" s="10" t="s">
        <v>45</v>
      </c>
      <c r="E74" s="22" t="s">
        <v>413</v>
      </c>
      <c r="F74" s="16" t="s">
        <v>404</v>
      </c>
      <c r="G74" s="13">
        <v>18</v>
      </c>
      <c r="H74" s="13" t="s">
        <v>2</v>
      </c>
      <c r="I74" s="36">
        <v>0</v>
      </c>
      <c r="J74" s="9">
        <f t="shared" si="0"/>
        <v>0</v>
      </c>
      <c r="K74" s="8">
        <v>4730</v>
      </c>
      <c r="L74" s="4"/>
    </row>
    <row r="75" spans="1:12" ht="24.6" x14ac:dyDescent="0.3">
      <c r="A75" s="8" t="s">
        <v>186</v>
      </c>
      <c r="B75" s="19" t="s">
        <v>44</v>
      </c>
      <c r="C75" s="26" t="s">
        <v>415</v>
      </c>
      <c r="D75" s="10" t="s">
        <v>45</v>
      </c>
      <c r="E75" s="22" t="s">
        <v>413</v>
      </c>
      <c r="F75" s="16" t="s">
        <v>404</v>
      </c>
      <c r="G75" s="13">
        <v>9</v>
      </c>
      <c r="H75" s="13" t="s">
        <v>2</v>
      </c>
      <c r="I75" s="36">
        <v>0</v>
      </c>
      <c r="J75" s="9">
        <f>SUM(G75*I75)</f>
        <v>0</v>
      </c>
      <c r="K75" s="8">
        <v>4730</v>
      </c>
      <c r="L75" s="4"/>
    </row>
    <row r="76" spans="1:12" ht="24.6" x14ac:dyDescent="0.3">
      <c r="A76" s="8" t="s">
        <v>187</v>
      </c>
      <c r="B76" s="19" t="s">
        <v>46</v>
      </c>
      <c r="C76" s="26" t="s">
        <v>416</v>
      </c>
      <c r="D76" s="10" t="s">
        <v>47</v>
      </c>
      <c r="E76" s="22" t="s">
        <v>419</v>
      </c>
      <c r="F76" s="16" t="s">
        <v>408</v>
      </c>
      <c r="G76" s="13">
        <v>3</v>
      </c>
      <c r="H76" s="13" t="s">
        <v>2</v>
      </c>
      <c r="I76" s="36">
        <v>0</v>
      </c>
      <c r="J76" s="9">
        <f t="shared" si="0"/>
        <v>0</v>
      </c>
      <c r="K76" s="8">
        <v>4730</v>
      </c>
      <c r="L76" s="4"/>
    </row>
    <row r="77" spans="1:12" ht="24.6" x14ac:dyDescent="0.3">
      <c r="A77" s="8" t="s">
        <v>188</v>
      </c>
      <c r="B77" s="19" t="s">
        <v>46</v>
      </c>
      <c r="C77" s="26" t="s">
        <v>417</v>
      </c>
      <c r="D77" s="10" t="s">
        <v>47</v>
      </c>
      <c r="E77" s="22" t="s">
        <v>419</v>
      </c>
      <c r="F77" s="16" t="s">
        <v>408</v>
      </c>
      <c r="G77" s="13">
        <v>18</v>
      </c>
      <c r="H77" s="13" t="s">
        <v>2</v>
      </c>
      <c r="I77" s="36">
        <v>0</v>
      </c>
      <c r="J77" s="9">
        <f t="shared" ref="J77:J140" si="1">SUM(G77*I77)</f>
        <v>0</v>
      </c>
      <c r="K77" s="8">
        <v>4730</v>
      </c>
      <c r="L77" s="4"/>
    </row>
    <row r="78" spans="1:12" ht="24.6" x14ac:dyDescent="0.3">
      <c r="A78" s="8" t="s">
        <v>189</v>
      </c>
      <c r="B78" s="19" t="s">
        <v>46</v>
      </c>
      <c r="C78" s="26" t="s">
        <v>418</v>
      </c>
      <c r="D78" s="10" t="s">
        <v>47</v>
      </c>
      <c r="E78" s="22" t="s">
        <v>419</v>
      </c>
      <c r="F78" s="16" t="s">
        <v>408</v>
      </c>
      <c r="G78" s="13">
        <v>9</v>
      </c>
      <c r="H78" s="13" t="s">
        <v>2</v>
      </c>
      <c r="I78" s="36">
        <v>0</v>
      </c>
      <c r="J78" s="9">
        <f t="shared" si="1"/>
        <v>0</v>
      </c>
      <c r="K78" s="8">
        <v>4730</v>
      </c>
      <c r="L78" s="4"/>
    </row>
    <row r="79" spans="1:12" ht="79.2" customHeight="1" x14ac:dyDescent="0.3">
      <c r="A79" s="8" t="s">
        <v>190</v>
      </c>
      <c r="B79" s="19" t="s">
        <v>48</v>
      </c>
      <c r="C79" s="26" t="s">
        <v>420</v>
      </c>
      <c r="D79" s="10" t="s">
        <v>49</v>
      </c>
      <c r="E79" s="22" t="s">
        <v>425</v>
      </c>
      <c r="F79" s="16" t="s">
        <v>409</v>
      </c>
      <c r="G79" s="13">
        <v>24</v>
      </c>
      <c r="H79" s="13" t="s">
        <v>2</v>
      </c>
      <c r="I79" s="36">
        <v>0</v>
      </c>
      <c r="J79" s="9">
        <f t="shared" si="1"/>
        <v>0</v>
      </c>
      <c r="K79" s="8">
        <v>4730</v>
      </c>
      <c r="L79" s="4"/>
    </row>
    <row r="80" spans="1:12" ht="72.599999999999994" customHeight="1" x14ac:dyDescent="0.3">
      <c r="A80" s="8" t="s">
        <v>191</v>
      </c>
      <c r="B80" s="19" t="s">
        <v>48</v>
      </c>
      <c r="C80" s="26" t="s">
        <v>423</v>
      </c>
      <c r="D80" s="10" t="s">
        <v>49</v>
      </c>
      <c r="E80" s="22" t="s">
        <v>425</v>
      </c>
      <c r="F80" s="16" t="s">
        <v>409</v>
      </c>
      <c r="G80" s="13">
        <v>12</v>
      </c>
      <c r="H80" s="13" t="s">
        <v>2</v>
      </c>
      <c r="I80" s="36">
        <v>0</v>
      </c>
      <c r="J80" s="9">
        <f t="shared" si="1"/>
        <v>0</v>
      </c>
      <c r="K80" s="8">
        <v>4730</v>
      </c>
      <c r="L80" s="4"/>
    </row>
    <row r="81" spans="1:12" ht="84.6" x14ac:dyDescent="0.3">
      <c r="A81" s="8" t="s">
        <v>192</v>
      </c>
      <c r="B81" s="19" t="s">
        <v>50</v>
      </c>
      <c r="C81" s="26" t="s">
        <v>424</v>
      </c>
      <c r="D81" s="10" t="s">
        <v>51</v>
      </c>
      <c r="E81" s="22" t="s">
        <v>426</v>
      </c>
      <c r="F81" s="16" t="s">
        <v>421</v>
      </c>
      <c r="G81" s="13">
        <v>4</v>
      </c>
      <c r="H81" s="13" t="s">
        <v>2</v>
      </c>
      <c r="I81" s="36">
        <v>0</v>
      </c>
      <c r="J81" s="9">
        <f t="shared" si="1"/>
        <v>0</v>
      </c>
      <c r="K81" s="8">
        <v>4730</v>
      </c>
      <c r="L81" s="4"/>
    </row>
    <row r="82" spans="1:12" ht="84.6" x14ac:dyDescent="0.3">
      <c r="A82" s="8" t="s">
        <v>193</v>
      </c>
      <c r="B82" s="19" t="s">
        <v>50</v>
      </c>
      <c r="C82" s="26" t="s">
        <v>429</v>
      </c>
      <c r="D82" s="10" t="s">
        <v>51</v>
      </c>
      <c r="E82" s="22" t="s">
        <v>426</v>
      </c>
      <c r="F82" s="16" t="s">
        <v>421</v>
      </c>
      <c r="G82" s="13">
        <v>24</v>
      </c>
      <c r="H82" s="13" t="s">
        <v>2</v>
      </c>
      <c r="I82" s="36">
        <v>0</v>
      </c>
      <c r="J82" s="9">
        <f t="shared" si="1"/>
        <v>0</v>
      </c>
      <c r="K82" s="8">
        <v>4730</v>
      </c>
      <c r="L82" s="4"/>
    </row>
    <row r="83" spans="1:12" ht="84.6" x14ac:dyDescent="0.3">
      <c r="A83" s="8" t="s">
        <v>194</v>
      </c>
      <c r="B83" s="19" t="s">
        <v>50</v>
      </c>
      <c r="C83" s="26" t="s">
        <v>430</v>
      </c>
      <c r="D83" s="10" t="s">
        <v>51</v>
      </c>
      <c r="E83" s="22" t="s">
        <v>426</v>
      </c>
      <c r="F83" s="16" t="s">
        <v>421</v>
      </c>
      <c r="G83" s="13">
        <v>12</v>
      </c>
      <c r="H83" s="13" t="s">
        <v>2</v>
      </c>
      <c r="I83" s="36">
        <v>0</v>
      </c>
      <c r="J83" s="9">
        <f t="shared" si="1"/>
        <v>0</v>
      </c>
      <c r="K83" s="8">
        <v>4730</v>
      </c>
      <c r="L83" s="4"/>
    </row>
    <row r="84" spans="1:12" ht="24.6" x14ac:dyDescent="0.3">
      <c r="A84" s="8" t="s">
        <v>195</v>
      </c>
      <c r="B84" s="19" t="s">
        <v>52</v>
      </c>
      <c r="C84" s="26" t="s">
        <v>431</v>
      </c>
      <c r="D84" s="10" t="s">
        <v>53</v>
      </c>
      <c r="E84" s="22" t="s">
        <v>432</v>
      </c>
      <c r="F84" s="16" t="s">
        <v>422</v>
      </c>
      <c r="G84" s="13">
        <v>30</v>
      </c>
      <c r="H84" s="13" t="s">
        <v>2</v>
      </c>
      <c r="I84" s="36">
        <v>0</v>
      </c>
      <c r="J84" s="9">
        <f t="shared" si="1"/>
        <v>0</v>
      </c>
      <c r="K84" s="8">
        <v>4730</v>
      </c>
      <c r="L84" s="4"/>
    </row>
    <row r="85" spans="1:12" ht="24.6" x14ac:dyDescent="0.3">
      <c r="A85" s="8" t="s">
        <v>196</v>
      </c>
      <c r="B85" s="19" t="s">
        <v>52</v>
      </c>
      <c r="C85" s="26" t="s">
        <v>434</v>
      </c>
      <c r="D85" s="10" t="s">
        <v>53</v>
      </c>
      <c r="E85" s="22" t="s">
        <v>432</v>
      </c>
      <c r="F85" s="16" t="s">
        <v>422</v>
      </c>
      <c r="G85" s="13">
        <v>15</v>
      </c>
      <c r="H85" s="13" t="s">
        <v>2</v>
      </c>
      <c r="I85" s="36">
        <v>0</v>
      </c>
      <c r="J85" s="9">
        <f t="shared" si="1"/>
        <v>0</v>
      </c>
      <c r="K85" s="8">
        <v>4730</v>
      </c>
      <c r="L85" s="4"/>
    </row>
    <row r="86" spans="1:12" ht="24.6" x14ac:dyDescent="0.3">
      <c r="A86" s="8" t="s">
        <v>197</v>
      </c>
      <c r="B86" s="19" t="s">
        <v>54</v>
      </c>
      <c r="C86" s="26" t="s">
        <v>435</v>
      </c>
      <c r="D86" s="10" t="s">
        <v>55</v>
      </c>
      <c r="E86" s="22" t="s">
        <v>436</v>
      </c>
      <c r="F86" s="16" t="s">
        <v>427</v>
      </c>
      <c r="G86" s="13">
        <v>18</v>
      </c>
      <c r="H86" s="13" t="s">
        <v>2</v>
      </c>
      <c r="I86" s="36">
        <v>0</v>
      </c>
      <c r="J86" s="9">
        <f t="shared" si="1"/>
        <v>0</v>
      </c>
      <c r="K86" s="8">
        <v>4730</v>
      </c>
      <c r="L86" s="4"/>
    </row>
    <row r="87" spans="1:12" ht="24.6" x14ac:dyDescent="0.3">
      <c r="A87" s="8" t="s">
        <v>198</v>
      </c>
      <c r="B87" s="19" t="s">
        <v>56</v>
      </c>
      <c r="C87" s="26" t="s">
        <v>437</v>
      </c>
      <c r="D87" s="10" t="s">
        <v>57</v>
      </c>
      <c r="E87" s="22" t="s">
        <v>438</v>
      </c>
      <c r="F87" s="16" t="s">
        <v>428</v>
      </c>
      <c r="G87" s="13">
        <v>3</v>
      </c>
      <c r="H87" s="13" t="s">
        <v>2</v>
      </c>
      <c r="I87" s="36">
        <v>0</v>
      </c>
      <c r="J87" s="9">
        <f t="shared" si="1"/>
        <v>0</v>
      </c>
      <c r="K87" s="8">
        <v>4720</v>
      </c>
      <c r="L87" s="4"/>
    </row>
    <row r="88" spans="1:12" ht="24.6" x14ac:dyDescent="0.3">
      <c r="A88" s="8" t="s">
        <v>199</v>
      </c>
      <c r="B88" s="19" t="s">
        <v>56</v>
      </c>
      <c r="C88" s="26" t="s">
        <v>439</v>
      </c>
      <c r="D88" s="10" t="s">
        <v>57</v>
      </c>
      <c r="E88" s="22" t="s">
        <v>438</v>
      </c>
      <c r="F88" s="16" t="s">
        <v>428</v>
      </c>
      <c r="G88" s="13">
        <v>18</v>
      </c>
      <c r="H88" s="13" t="s">
        <v>2</v>
      </c>
      <c r="I88" s="36">
        <v>0</v>
      </c>
      <c r="J88" s="9">
        <f t="shared" si="1"/>
        <v>0</v>
      </c>
      <c r="K88" s="8">
        <v>4720</v>
      </c>
      <c r="L88" s="4"/>
    </row>
    <row r="89" spans="1:12" ht="24.6" x14ac:dyDescent="0.3">
      <c r="A89" s="8" t="s">
        <v>200</v>
      </c>
      <c r="B89" s="19" t="s">
        <v>56</v>
      </c>
      <c r="C89" s="26" t="s">
        <v>440</v>
      </c>
      <c r="D89" s="10" t="s">
        <v>57</v>
      </c>
      <c r="E89" s="22" t="s">
        <v>438</v>
      </c>
      <c r="F89" s="16" t="s">
        <v>428</v>
      </c>
      <c r="G89" s="13">
        <v>9</v>
      </c>
      <c r="H89" s="13" t="s">
        <v>2</v>
      </c>
      <c r="I89" s="36">
        <v>0</v>
      </c>
      <c r="J89" s="9">
        <f t="shared" si="1"/>
        <v>0</v>
      </c>
      <c r="K89" s="8">
        <v>4720</v>
      </c>
      <c r="L89" s="4"/>
    </row>
    <row r="90" spans="1:12" ht="24.6" x14ac:dyDescent="0.3">
      <c r="A90" s="8" t="s">
        <v>201</v>
      </c>
      <c r="B90" s="19" t="s">
        <v>58</v>
      </c>
      <c r="C90" s="26" t="s">
        <v>441</v>
      </c>
      <c r="D90" s="10" t="s">
        <v>59</v>
      </c>
      <c r="E90" s="22" t="s">
        <v>442</v>
      </c>
      <c r="F90" s="16" t="s">
        <v>433</v>
      </c>
      <c r="G90" s="13">
        <v>3</v>
      </c>
      <c r="H90" s="13" t="s">
        <v>2</v>
      </c>
      <c r="I90" s="36">
        <v>0</v>
      </c>
      <c r="J90" s="9">
        <f t="shared" si="1"/>
        <v>0</v>
      </c>
      <c r="K90" s="8">
        <v>4720</v>
      </c>
      <c r="L90" s="4"/>
    </row>
    <row r="91" spans="1:12" ht="24.6" x14ac:dyDescent="0.3">
      <c r="A91" s="8" t="s">
        <v>202</v>
      </c>
      <c r="B91" s="19" t="s">
        <v>58</v>
      </c>
      <c r="C91" s="26" t="s">
        <v>444</v>
      </c>
      <c r="D91" s="10" t="s">
        <v>59</v>
      </c>
      <c r="E91" s="22" t="s">
        <v>442</v>
      </c>
      <c r="F91" s="16" t="s">
        <v>433</v>
      </c>
      <c r="G91" s="13">
        <v>18</v>
      </c>
      <c r="H91" s="13" t="s">
        <v>2</v>
      </c>
      <c r="I91" s="36">
        <v>0</v>
      </c>
      <c r="J91" s="9">
        <f>SUM(G91*I91)</f>
        <v>0</v>
      </c>
      <c r="K91" s="8">
        <v>4720</v>
      </c>
      <c r="L91" s="4"/>
    </row>
    <row r="92" spans="1:12" ht="24.6" x14ac:dyDescent="0.3">
      <c r="A92" s="8" t="s">
        <v>203</v>
      </c>
      <c r="B92" s="19" t="s">
        <v>58</v>
      </c>
      <c r="C92" s="26" t="s">
        <v>445</v>
      </c>
      <c r="D92" s="10" t="s">
        <v>59</v>
      </c>
      <c r="E92" s="22" t="s">
        <v>442</v>
      </c>
      <c r="F92" s="16" t="s">
        <v>433</v>
      </c>
      <c r="G92" s="13">
        <v>9</v>
      </c>
      <c r="H92" s="13" t="s">
        <v>2</v>
      </c>
      <c r="I92" s="36">
        <v>0</v>
      </c>
      <c r="J92" s="9">
        <f t="shared" si="1"/>
        <v>0</v>
      </c>
      <c r="K92" s="8">
        <v>4720</v>
      </c>
      <c r="L92" s="4"/>
    </row>
    <row r="93" spans="1:12" ht="36.6" x14ac:dyDescent="0.3">
      <c r="A93" s="8" t="s">
        <v>204</v>
      </c>
      <c r="B93" s="19" t="s">
        <v>60</v>
      </c>
      <c r="C93" s="26" t="s">
        <v>446</v>
      </c>
      <c r="D93" s="10" t="s">
        <v>61</v>
      </c>
      <c r="E93" s="22" t="s">
        <v>447</v>
      </c>
      <c r="F93" s="16" t="s">
        <v>443</v>
      </c>
      <c r="G93" s="13">
        <v>1</v>
      </c>
      <c r="H93" s="13" t="s">
        <v>2</v>
      </c>
      <c r="I93" s="36">
        <v>0</v>
      </c>
      <c r="J93" s="9">
        <f t="shared" si="1"/>
        <v>0</v>
      </c>
      <c r="K93" s="8">
        <v>4720</v>
      </c>
      <c r="L93" s="4"/>
    </row>
    <row r="94" spans="1:12" ht="36.6" x14ac:dyDescent="0.3">
      <c r="A94" s="8" t="s">
        <v>205</v>
      </c>
      <c r="B94" s="19" t="s">
        <v>60</v>
      </c>
      <c r="C94" s="26" t="s">
        <v>449</v>
      </c>
      <c r="D94" s="10" t="s">
        <v>61</v>
      </c>
      <c r="E94" s="22" t="s">
        <v>447</v>
      </c>
      <c r="F94" s="16" t="s">
        <v>443</v>
      </c>
      <c r="G94" s="13">
        <v>3</v>
      </c>
      <c r="H94" s="13" t="s">
        <v>2</v>
      </c>
      <c r="I94" s="36">
        <v>0</v>
      </c>
      <c r="J94" s="9">
        <f t="shared" si="1"/>
        <v>0</v>
      </c>
      <c r="K94" s="8">
        <v>4720</v>
      </c>
      <c r="L94" s="4"/>
    </row>
    <row r="95" spans="1:12" ht="36.6" x14ac:dyDescent="0.3">
      <c r="A95" s="8" t="s">
        <v>206</v>
      </c>
      <c r="B95" s="19" t="s">
        <v>60</v>
      </c>
      <c r="C95" s="26" t="s">
        <v>450</v>
      </c>
      <c r="D95" s="10" t="s">
        <v>61</v>
      </c>
      <c r="E95" s="22" t="s">
        <v>447</v>
      </c>
      <c r="F95" s="16" t="s">
        <v>443</v>
      </c>
      <c r="G95" s="13">
        <v>18</v>
      </c>
      <c r="H95" s="13" t="s">
        <v>2</v>
      </c>
      <c r="I95" s="36">
        <v>0</v>
      </c>
      <c r="J95" s="9">
        <f t="shared" si="1"/>
        <v>0</v>
      </c>
      <c r="K95" s="8">
        <v>4720</v>
      </c>
      <c r="L95" s="4"/>
    </row>
    <row r="96" spans="1:12" ht="36.6" x14ac:dyDescent="0.3">
      <c r="A96" s="8" t="s">
        <v>207</v>
      </c>
      <c r="B96" s="19" t="s">
        <v>60</v>
      </c>
      <c r="C96" s="26" t="s">
        <v>451</v>
      </c>
      <c r="D96" s="10" t="s">
        <v>61</v>
      </c>
      <c r="E96" s="22" t="s">
        <v>447</v>
      </c>
      <c r="F96" s="16" t="s">
        <v>443</v>
      </c>
      <c r="G96" s="13">
        <v>9</v>
      </c>
      <c r="H96" s="13" t="s">
        <v>2</v>
      </c>
      <c r="I96" s="36">
        <v>0</v>
      </c>
      <c r="J96" s="9">
        <f t="shared" si="1"/>
        <v>0</v>
      </c>
      <c r="K96" s="8">
        <v>4720</v>
      </c>
      <c r="L96" s="4"/>
    </row>
    <row r="97" spans="1:12" ht="168.6" x14ac:dyDescent="0.3">
      <c r="A97" s="8" t="s">
        <v>208</v>
      </c>
      <c r="B97" s="19" t="s">
        <v>62</v>
      </c>
      <c r="C97" s="26" t="s">
        <v>452</v>
      </c>
      <c r="D97" s="10" t="s">
        <v>63</v>
      </c>
      <c r="E97" s="22" t="s">
        <v>453</v>
      </c>
      <c r="F97" s="17"/>
      <c r="G97" s="13">
        <v>3</v>
      </c>
      <c r="H97" s="13" t="s">
        <v>2</v>
      </c>
      <c r="I97" s="36">
        <v>0</v>
      </c>
      <c r="J97" s="9" t="e">
        <f>#REF!=SUM(G97*I97)</f>
        <v>#REF!</v>
      </c>
      <c r="K97" s="8">
        <v>5630</v>
      </c>
      <c r="L97" s="4"/>
    </row>
    <row r="98" spans="1:12" ht="168.6" x14ac:dyDescent="0.3">
      <c r="A98" s="8" t="s">
        <v>209</v>
      </c>
      <c r="B98" s="19" t="s">
        <v>62</v>
      </c>
      <c r="C98" s="26" t="s">
        <v>454</v>
      </c>
      <c r="D98" s="10" t="s">
        <v>63</v>
      </c>
      <c r="E98" s="22" t="s">
        <v>453</v>
      </c>
      <c r="F98" s="17"/>
      <c r="G98" s="13">
        <v>3</v>
      </c>
      <c r="H98" s="13" t="s">
        <v>2</v>
      </c>
      <c r="I98" s="36">
        <v>0</v>
      </c>
      <c r="J98" s="9">
        <f t="shared" si="1"/>
        <v>0</v>
      </c>
      <c r="K98" s="8">
        <v>5630</v>
      </c>
      <c r="L98" s="4"/>
    </row>
    <row r="99" spans="1:12" ht="168.6" x14ac:dyDescent="0.3">
      <c r="A99" s="8" t="s">
        <v>210</v>
      </c>
      <c r="B99" s="19" t="s">
        <v>62</v>
      </c>
      <c r="C99" s="26" t="s">
        <v>455</v>
      </c>
      <c r="D99" s="10" t="s">
        <v>63</v>
      </c>
      <c r="E99" s="22" t="s">
        <v>453</v>
      </c>
      <c r="F99" s="17"/>
      <c r="G99" s="13">
        <v>18</v>
      </c>
      <c r="H99" s="13" t="s">
        <v>2</v>
      </c>
      <c r="I99" s="36">
        <v>0</v>
      </c>
      <c r="J99" s="9">
        <f t="shared" si="1"/>
        <v>0</v>
      </c>
      <c r="K99" s="8">
        <v>5630</v>
      </c>
      <c r="L99" s="4"/>
    </row>
    <row r="100" spans="1:12" ht="168.6" x14ac:dyDescent="0.3">
      <c r="A100" s="8" t="s">
        <v>211</v>
      </c>
      <c r="B100" s="19" t="s">
        <v>62</v>
      </c>
      <c r="C100" s="26" t="s">
        <v>456</v>
      </c>
      <c r="D100" s="10" t="s">
        <v>63</v>
      </c>
      <c r="E100" s="22" t="s">
        <v>453</v>
      </c>
      <c r="F100" s="17"/>
      <c r="G100" s="13">
        <v>9</v>
      </c>
      <c r="H100" s="13" t="s">
        <v>2</v>
      </c>
      <c r="I100" s="36">
        <v>0</v>
      </c>
      <c r="J100" s="9">
        <f t="shared" si="1"/>
        <v>0</v>
      </c>
      <c r="K100" s="8">
        <v>5630</v>
      </c>
      <c r="L100" s="4"/>
    </row>
    <row r="101" spans="1:12" ht="120.6" x14ac:dyDescent="0.3">
      <c r="A101" s="8" t="s">
        <v>212</v>
      </c>
      <c r="B101" s="19" t="s">
        <v>64</v>
      </c>
      <c r="C101" s="26" t="s">
        <v>457</v>
      </c>
      <c r="D101" s="10" t="s">
        <v>65</v>
      </c>
      <c r="E101" s="22" t="s">
        <v>458</v>
      </c>
      <c r="F101" s="16" t="s">
        <v>448</v>
      </c>
      <c r="G101" s="13">
        <v>6</v>
      </c>
      <c r="H101" s="13" t="s">
        <v>2</v>
      </c>
      <c r="I101" s="36">
        <v>0</v>
      </c>
      <c r="J101" s="9">
        <f t="shared" si="1"/>
        <v>0</v>
      </c>
      <c r="K101" s="8">
        <v>5340</v>
      </c>
      <c r="L101" s="4"/>
    </row>
    <row r="102" spans="1:12" ht="24.6" x14ac:dyDescent="0.3">
      <c r="A102" s="8" t="s">
        <v>213</v>
      </c>
      <c r="B102" s="19" t="s">
        <v>66</v>
      </c>
      <c r="C102" s="26" t="s">
        <v>464</v>
      </c>
      <c r="D102" s="10" t="s">
        <v>43</v>
      </c>
      <c r="E102" s="22" t="s">
        <v>465</v>
      </c>
      <c r="F102" s="16" t="s">
        <v>459</v>
      </c>
      <c r="G102" s="13">
        <v>1</v>
      </c>
      <c r="H102" s="13" t="s">
        <v>2</v>
      </c>
      <c r="I102" s="36">
        <v>0</v>
      </c>
      <c r="J102" s="9">
        <f t="shared" si="1"/>
        <v>0</v>
      </c>
      <c r="K102" s="8">
        <v>4730</v>
      </c>
      <c r="L102" s="4"/>
    </row>
    <row r="103" spans="1:12" ht="24.6" x14ac:dyDescent="0.3">
      <c r="A103" s="8" t="s">
        <v>214</v>
      </c>
      <c r="B103" s="19" t="s">
        <v>66</v>
      </c>
      <c r="C103" s="26" t="s">
        <v>466</v>
      </c>
      <c r="D103" s="10" t="s">
        <v>43</v>
      </c>
      <c r="E103" s="22" t="s">
        <v>465</v>
      </c>
      <c r="F103" s="16" t="s">
        <v>459</v>
      </c>
      <c r="G103" s="13">
        <v>6</v>
      </c>
      <c r="H103" s="13" t="s">
        <v>2</v>
      </c>
      <c r="I103" s="36">
        <v>0</v>
      </c>
      <c r="J103" s="9">
        <f t="shared" si="1"/>
        <v>0</v>
      </c>
      <c r="K103" s="8">
        <v>4730</v>
      </c>
      <c r="L103" s="4"/>
    </row>
    <row r="104" spans="1:12" ht="24.6" x14ac:dyDescent="0.3">
      <c r="A104" s="8" t="s">
        <v>215</v>
      </c>
      <c r="B104" s="19" t="s">
        <v>66</v>
      </c>
      <c r="C104" s="26" t="s">
        <v>467</v>
      </c>
      <c r="D104" s="10" t="s">
        <v>43</v>
      </c>
      <c r="E104" s="22" t="s">
        <v>465</v>
      </c>
      <c r="F104" s="16" t="s">
        <v>459</v>
      </c>
      <c r="G104" s="13">
        <v>3</v>
      </c>
      <c r="H104" s="13" t="s">
        <v>2</v>
      </c>
      <c r="I104" s="36">
        <v>0</v>
      </c>
      <c r="J104" s="9">
        <f t="shared" si="1"/>
        <v>0</v>
      </c>
      <c r="K104" s="8">
        <v>4730</v>
      </c>
      <c r="L104" s="4"/>
    </row>
    <row r="105" spans="1:12" ht="24.6" x14ac:dyDescent="0.3">
      <c r="A105" s="8" t="s">
        <v>216</v>
      </c>
      <c r="B105" s="19" t="s">
        <v>67</v>
      </c>
      <c r="C105" s="26" t="s">
        <v>468</v>
      </c>
      <c r="D105" s="10" t="s">
        <v>33</v>
      </c>
      <c r="E105" s="22" t="s">
        <v>469</v>
      </c>
      <c r="F105" s="16" t="s">
        <v>460</v>
      </c>
      <c r="G105" s="13">
        <v>3</v>
      </c>
      <c r="H105" s="13" t="s">
        <v>2</v>
      </c>
      <c r="I105" s="36">
        <v>0</v>
      </c>
      <c r="J105" s="9">
        <f t="shared" si="1"/>
        <v>0</v>
      </c>
      <c r="K105" s="8">
        <v>4730</v>
      </c>
      <c r="L105" s="4"/>
    </row>
    <row r="106" spans="1:12" ht="24.6" x14ac:dyDescent="0.3">
      <c r="A106" s="8" t="s">
        <v>217</v>
      </c>
      <c r="B106" s="19" t="s">
        <v>68</v>
      </c>
      <c r="C106" s="26" t="s">
        <v>470</v>
      </c>
      <c r="D106" s="11" t="s">
        <v>69</v>
      </c>
      <c r="E106" s="23" t="s">
        <v>479</v>
      </c>
      <c r="F106" s="16" t="s">
        <v>461</v>
      </c>
      <c r="G106" s="13">
        <v>6</v>
      </c>
      <c r="H106" s="13" t="s">
        <v>2</v>
      </c>
      <c r="I106" s="36">
        <v>0</v>
      </c>
      <c r="J106" s="9">
        <f t="shared" si="1"/>
        <v>0</v>
      </c>
      <c r="K106" s="8">
        <v>4730</v>
      </c>
      <c r="L106" s="4"/>
    </row>
    <row r="107" spans="1:12" ht="24.6" x14ac:dyDescent="0.3">
      <c r="A107" s="8" t="s">
        <v>218</v>
      </c>
      <c r="B107" s="19" t="s">
        <v>68</v>
      </c>
      <c r="C107" s="26" t="s">
        <v>471</v>
      </c>
      <c r="D107" s="10" t="s">
        <v>69</v>
      </c>
      <c r="E107" s="23" t="s">
        <v>479</v>
      </c>
      <c r="F107" s="16" t="s">
        <v>461</v>
      </c>
      <c r="G107" s="13">
        <v>36</v>
      </c>
      <c r="H107" s="13" t="s">
        <v>2</v>
      </c>
      <c r="I107" s="36">
        <v>0</v>
      </c>
      <c r="J107" s="9">
        <f t="shared" si="1"/>
        <v>0</v>
      </c>
      <c r="K107" s="8">
        <v>4730</v>
      </c>
      <c r="L107" s="4"/>
    </row>
    <row r="108" spans="1:12" ht="24.6" x14ac:dyDescent="0.3">
      <c r="A108" s="8" t="s">
        <v>219</v>
      </c>
      <c r="B108" s="19" t="s">
        <v>68</v>
      </c>
      <c r="C108" s="26" t="s">
        <v>472</v>
      </c>
      <c r="D108" s="10" t="s">
        <v>69</v>
      </c>
      <c r="E108" s="23" t="s">
        <v>479</v>
      </c>
      <c r="F108" s="16" t="s">
        <v>461</v>
      </c>
      <c r="G108" s="13">
        <v>18</v>
      </c>
      <c r="H108" s="13" t="s">
        <v>2</v>
      </c>
      <c r="I108" s="36">
        <v>0</v>
      </c>
      <c r="J108" s="9">
        <f>SUM(G108*I108)</f>
        <v>0</v>
      </c>
      <c r="K108" s="8">
        <v>4730</v>
      </c>
      <c r="L108" s="4"/>
    </row>
    <row r="109" spans="1:12" ht="24.6" x14ac:dyDescent="0.3">
      <c r="A109" s="8" t="s">
        <v>220</v>
      </c>
      <c r="B109" s="19" t="s">
        <v>70</v>
      </c>
      <c r="C109" s="26" t="s">
        <v>473</v>
      </c>
      <c r="D109" s="10" t="s">
        <v>71</v>
      </c>
      <c r="E109" s="22" t="s">
        <v>480</v>
      </c>
      <c r="F109" s="16" t="s">
        <v>462</v>
      </c>
      <c r="G109" s="13">
        <v>3</v>
      </c>
      <c r="H109" s="13" t="s">
        <v>2</v>
      </c>
      <c r="I109" s="36">
        <v>0</v>
      </c>
      <c r="J109" s="9">
        <f t="shared" si="1"/>
        <v>0</v>
      </c>
      <c r="K109" s="8">
        <v>4730</v>
      </c>
      <c r="L109" s="4"/>
    </row>
    <row r="110" spans="1:12" ht="24.6" x14ac:dyDescent="0.3">
      <c r="A110" s="8" t="s">
        <v>221</v>
      </c>
      <c r="B110" s="19" t="s">
        <v>70</v>
      </c>
      <c r="C110" s="26" t="s">
        <v>476</v>
      </c>
      <c r="D110" s="10" t="s">
        <v>71</v>
      </c>
      <c r="E110" s="22" t="s">
        <v>480</v>
      </c>
      <c r="F110" s="16" t="s">
        <v>462</v>
      </c>
      <c r="G110" s="13">
        <v>18</v>
      </c>
      <c r="H110" s="13" t="s">
        <v>2</v>
      </c>
      <c r="I110" s="36">
        <v>0</v>
      </c>
      <c r="J110" s="9">
        <f t="shared" si="1"/>
        <v>0</v>
      </c>
      <c r="K110" s="8">
        <v>4730</v>
      </c>
      <c r="L110" s="4"/>
    </row>
    <row r="111" spans="1:12" ht="24.6" x14ac:dyDescent="0.3">
      <c r="A111" s="8" t="s">
        <v>222</v>
      </c>
      <c r="B111" s="19" t="s">
        <v>70</v>
      </c>
      <c r="C111" s="26" t="s">
        <v>477</v>
      </c>
      <c r="D111" s="10" t="s">
        <v>71</v>
      </c>
      <c r="E111" s="22" t="s">
        <v>480</v>
      </c>
      <c r="F111" s="16" t="s">
        <v>462</v>
      </c>
      <c r="G111" s="13">
        <v>9</v>
      </c>
      <c r="H111" s="13" t="s">
        <v>2</v>
      </c>
      <c r="I111" s="36">
        <v>0</v>
      </c>
      <c r="J111" s="9">
        <f t="shared" si="1"/>
        <v>0</v>
      </c>
      <c r="K111" s="8">
        <v>4730</v>
      </c>
      <c r="L111" s="4"/>
    </row>
    <row r="112" spans="1:12" ht="24.6" x14ac:dyDescent="0.3">
      <c r="A112" s="8" t="s">
        <v>223</v>
      </c>
      <c r="B112" s="19" t="s">
        <v>72</v>
      </c>
      <c r="C112" s="26" t="s">
        <v>478</v>
      </c>
      <c r="D112" s="10" t="s">
        <v>73</v>
      </c>
      <c r="E112" s="22" t="s">
        <v>481</v>
      </c>
      <c r="F112" s="16" t="s">
        <v>463</v>
      </c>
      <c r="G112" s="13">
        <v>6</v>
      </c>
      <c r="H112" s="13" t="s">
        <v>2</v>
      </c>
      <c r="I112" s="36">
        <v>0</v>
      </c>
      <c r="J112" s="9">
        <f t="shared" si="1"/>
        <v>0</v>
      </c>
      <c r="K112" s="8">
        <v>4730</v>
      </c>
      <c r="L112" s="4"/>
    </row>
    <row r="113" spans="1:12" ht="24.6" x14ac:dyDescent="0.3">
      <c r="A113" s="8" t="s">
        <v>224</v>
      </c>
      <c r="B113" s="19" t="s">
        <v>72</v>
      </c>
      <c r="C113" s="26" t="s">
        <v>482</v>
      </c>
      <c r="D113" s="10" t="s">
        <v>73</v>
      </c>
      <c r="E113" s="22" t="s">
        <v>481</v>
      </c>
      <c r="F113" s="16" t="s">
        <v>463</v>
      </c>
      <c r="G113" s="13">
        <v>36</v>
      </c>
      <c r="H113" s="13" t="s">
        <v>2</v>
      </c>
      <c r="I113" s="36">
        <v>0</v>
      </c>
      <c r="J113" s="9">
        <f t="shared" si="1"/>
        <v>0</v>
      </c>
      <c r="K113" s="8">
        <v>4730</v>
      </c>
      <c r="L113" s="4"/>
    </row>
    <row r="114" spans="1:12" ht="24.6" x14ac:dyDescent="0.3">
      <c r="A114" s="8" t="s">
        <v>225</v>
      </c>
      <c r="B114" s="19" t="s">
        <v>72</v>
      </c>
      <c r="C114" s="26" t="s">
        <v>483</v>
      </c>
      <c r="D114" s="10" t="s">
        <v>73</v>
      </c>
      <c r="E114" s="22" t="s">
        <v>481</v>
      </c>
      <c r="F114" s="16" t="s">
        <v>463</v>
      </c>
      <c r="G114" s="13">
        <v>18</v>
      </c>
      <c r="H114" s="13" t="s">
        <v>2</v>
      </c>
      <c r="I114" s="36">
        <v>0</v>
      </c>
      <c r="J114" s="9">
        <f t="shared" si="1"/>
        <v>0</v>
      </c>
      <c r="K114" s="8">
        <v>4730</v>
      </c>
      <c r="L114" s="4"/>
    </row>
    <row r="115" spans="1:12" ht="72.599999999999994" x14ac:dyDescent="0.3">
      <c r="A115" s="8" t="s">
        <v>226</v>
      </c>
      <c r="B115" s="19" t="s">
        <v>74</v>
      </c>
      <c r="C115" s="26" t="s">
        <v>484</v>
      </c>
      <c r="D115" s="10" t="s">
        <v>75</v>
      </c>
      <c r="E115" s="22" t="s">
        <v>485</v>
      </c>
      <c r="F115" s="16" t="s">
        <v>474</v>
      </c>
      <c r="G115" s="13">
        <v>1</v>
      </c>
      <c r="H115" s="13" t="s">
        <v>2</v>
      </c>
      <c r="I115" s="36">
        <v>0</v>
      </c>
      <c r="J115" s="9">
        <f t="shared" si="1"/>
        <v>0</v>
      </c>
      <c r="K115" s="8">
        <v>4730</v>
      </c>
      <c r="L115" s="4"/>
    </row>
    <row r="116" spans="1:12" ht="72.599999999999994" x14ac:dyDescent="0.3">
      <c r="A116" s="8" t="s">
        <v>227</v>
      </c>
      <c r="B116" s="19" t="s">
        <v>74</v>
      </c>
      <c r="C116" s="26" t="s">
        <v>486</v>
      </c>
      <c r="D116" s="10" t="s">
        <v>75</v>
      </c>
      <c r="E116" s="22" t="s">
        <v>485</v>
      </c>
      <c r="F116" s="16" t="s">
        <v>474</v>
      </c>
      <c r="G116" s="13">
        <v>6</v>
      </c>
      <c r="H116" s="13" t="s">
        <v>2</v>
      </c>
      <c r="I116" s="36">
        <v>0</v>
      </c>
      <c r="J116" s="9">
        <f t="shared" si="1"/>
        <v>0</v>
      </c>
      <c r="K116" s="8">
        <v>4730</v>
      </c>
      <c r="L116" s="4"/>
    </row>
    <row r="117" spans="1:12" ht="72.599999999999994" x14ac:dyDescent="0.3">
      <c r="A117" s="8" t="s">
        <v>228</v>
      </c>
      <c r="B117" s="19" t="s">
        <v>74</v>
      </c>
      <c r="C117" s="26" t="s">
        <v>487</v>
      </c>
      <c r="D117" s="10" t="s">
        <v>75</v>
      </c>
      <c r="E117" s="22" t="s">
        <v>485</v>
      </c>
      <c r="F117" s="16" t="s">
        <v>474</v>
      </c>
      <c r="G117" s="13">
        <v>3</v>
      </c>
      <c r="H117" s="13" t="s">
        <v>2</v>
      </c>
      <c r="I117" s="36">
        <v>0</v>
      </c>
      <c r="J117" s="9">
        <f t="shared" si="1"/>
        <v>0</v>
      </c>
      <c r="K117" s="8">
        <v>4730</v>
      </c>
      <c r="L117" s="4"/>
    </row>
    <row r="118" spans="1:12" ht="24.6" x14ac:dyDescent="0.3">
      <c r="A118" s="8" t="s">
        <v>229</v>
      </c>
      <c r="B118" s="19" t="s">
        <v>76</v>
      </c>
      <c r="C118" s="26" t="s">
        <v>488</v>
      </c>
      <c r="D118" s="10" t="s">
        <v>77</v>
      </c>
      <c r="E118" s="22" t="s">
        <v>489</v>
      </c>
      <c r="F118" s="16" t="s">
        <v>475</v>
      </c>
      <c r="G118" s="13">
        <v>6</v>
      </c>
      <c r="H118" s="13" t="s">
        <v>2</v>
      </c>
      <c r="I118" s="36">
        <v>0</v>
      </c>
      <c r="J118" s="9">
        <f t="shared" si="1"/>
        <v>0</v>
      </c>
      <c r="K118" s="8">
        <v>4720</v>
      </c>
      <c r="L118" s="4"/>
    </row>
    <row r="119" spans="1:12" ht="24.6" x14ac:dyDescent="0.3">
      <c r="A119" s="8" t="s">
        <v>230</v>
      </c>
      <c r="B119" s="19" t="s">
        <v>76</v>
      </c>
      <c r="C119" s="26" t="s">
        <v>490</v>
      </c>
      <c r="D119" s="10" t="s">
        <v>77</v>
      </c>
      <c r="E119" s="22" t="s">
        <v>489</v>
      </c>
      <c r="F119" s="16" t="s">
        <v>475</v>
      </c>
      <c r="G119" s="13">
        <v>3</v>
      </c>
      <c r="H119" s="13" t="s">
        <v>2</v>
      </c>
      <c r="I119" s="36">
        <v>0</v>
      </c>
      <c r="J119" s="9">
        <f t="shared" si="1"/>
        <v>0</v>
      </c>
      <c r="K119" s="8">
        <v>4720</v>
      </c>
      <c r="L119" s="4"/>
    </row>
    <row r="120" spans="1:12" ht="24.6" x14ac:dyDescent="0.3">
      <c r="A120" s="8" t="s">
        <v>231</v>
      </c>
      <c r="B120" s="19" t="s">
        <v>76</v>
      </c>
      <c r="C120" s="26" t="s">
        <v>491</v>
      </c>
      <c r="D120" s="10" t="s">
        <v>77</v>
      </c>
      <c r="E120" s="22" t="s">
        <v>489</v>
      </c>
      <c r="F120" s="16" t="s">
        <v>475</v>
      </c>
      <c r="G120" s="13">
        <v>18</v>
      </c>
      <c r="H120" s="13" t="s">
        <v>2</v>
      </c>
      <c r="I120" s="36">
        <v>0</v>
      </c>
      <c r="J120" s="9">
        <f t="shared" si="1"/>
        <v>0</v>
      </c>
      <c r="K120" s="8">
        <v>4720</v>
      </c>
      <c r="L120" s="4"/>
    </row>
    <row r="121" spans="1:12" ht="24.6" x14ac:dyDescent="0.3">
      <c r="A121" s="8" t="s">
        <v>232</v>
      </c>
      <c r="B121" s="19" t="s">
        <v>76</v>
      </c>
      <c r="C121" s="26" t="s">
        <v>492</v>
      </c>
      <c r="D121" s="10" t="s">
        <v>77</v>
      </c>
      <c r="E121" s="22" t="s">
        <v>489</v>
      </c>
      <c r="F121" s="16" t="s">
        <v>475</v>
      </c>
      <c r="G121" s="13">
        <v>9</v>
      </c>
      <c r="H121" s="13" t="s">
        <v>2</v>
      </c>
      <c r="I121" s="36">
        <v>0</v>
      </c>
      <c r="J121" s="9">
        <f t="shared" si="1"/>
        <v>0</v>
      </c>
      <c r="K121" s="8">
        <v>4720</v>
      </c>
      <c r="L121" s="4"/>
    </row>
    <row r="122" spans="1:12" ht="24.6" x14ac:dyDescent="0.3">
      <c r="A122" s="8" t="s">
        <v>233</v>
      </c>
      <c r="B122" s="19" t="s">
        <v>78</v>
      </c>
      <c r="C122" s="26" t="s">
        <v>493</v>
      </c>
      <c r="D122" s="10" t="s">
        <v>79</v>
      </c>
      <c r="E122" s="22" t="s">
        <v>560</v>
      </c>
      <c r="F122" s="16" t="s">
        <v>494</v>
      </c>
      <c r="G122" s="13">
        <v>2</v>
      </c>
      <c r="H122" s="13" t="s">
        <v>2</v>
      </c>
      <c r="I122" s="36">
        <v>0</v>
      </c>
      <c r="J122" s="9">
        <f t="shared" si="1"/>
        <v>0</v>
      </c>
      <c r="K122" s="8">
        <v>4730</v>
      </c>
      <c r="L122" s="4"/>
    </row>
    <row r="123" spans="1:12" ht="24.6" x14ac:dyDescent="0.3">
      <c r="A123" s="8" t="s">
        <v>234</v>
      </c>
      <c r="B123" s="19" t="s">
        <v>78</v>
      </c>
      <c r="C123" s="26" t="s">
        <v>497</v>
      </c>
      <c r="D123" s="10" t="s">
        <v>79</v>
      </c>
      <c r="E123" s="22" t="s">
        <v>560</v>
      </c>
      <c r="F123" s="16" t="s">
        <v>494</v>
      </c>
      <c r="G123" s="13">
        <v>2</v>
      </c>
      <c r="H123" s="13" t="s">
        <v>2</v>
      </c>
      <c r="I123" s="36">
        <v>0</v>
      </c>
      <c r="J123" s="9">
        <f t="shared" si="1"/>
        <v>0</v>
      </c>
      <c r="K123" s="8">
        <v>4730</v>
      </c>
      <c r="L123" s="4"/>
    </row>
    <row r="124" spans="1:12" ht="24.6" x14ac:dyDescent="0.3">
      <c r="A124" s="8" t="s">
        <v>235</v>
      </c>
      <c r="B124" s="19" t="s">
        <v>78</v>
      </c>
      <c r="C124" s="26" t="s">
        <v>498</v>
      </c>
      <c r="D124" s="10" t="s">
        <v>79</v>
      </c>
      <c r="E124" s="22" t="s">
        <v>560</v>
      </c>
      <c r="F124" s="16" t="s">
        <v>494</v>
      </c>
      <c r="G124" s="13">
        <v>12</v>
      </c>
      <c r="H124" s="13" t="s">
        <v>2</v>
      </c>
      <c r="I124" s="36">
        <v>0</v>
      </c>
      <c r="J124" s="9">
        <f t="shared" si="1"/>
        <v>0</v>
      </c>
      <c r="K124" s="8">
        <v>4730</v>
      </c>
      <c r="L124" s="4"/>
    </row>
    <row r="125" spans="1:12" ht="24.6" x14ac:dyDescent="0.3">
      <c r="A125" s="8" t="s">
        <v>236</v>
      </c>
      <c r="B125" s="19" t="s">
        <v>80</v>
      </c>
      <c r="C125" s="26" t="s">
        <v>499</v>
      </c>
      <c r="D125" s="10" t="s">
        <v>81</v>
      </c>
      <c r="E125" s="22" t="s">
        <v>561</v>
      </c>
      <c r="F125" s="16" t="s">
        <v>495</v>
      </c>
      <c r="G125" s="13">
        <v>3</v>
      </c>
      <c r="H125" s="13" t="s">
        <v>2</v>
      </c>
      <c r="I125" s="36">
        <v>0</v>
      </c>
      <c r="J125" s="9">
        <f t="shared" si="1"/>
        <v>0</v>
      </c>
      <c r="K125" s="8">
        <v>4730</v>
      </c>
      <c r="L125" s="4"/>
    </row>
    <row r="126" spans="1:12" ht="24.6" x14ac:dyDescent="0.3">
      <c r="A126" s="8" t="s">
        <v>237</v>
      </c>
      <c r="B126" s="19" t="s">
        <v>80</v>
      </c>
      <c r="C126" s="26" t="s">
        <v>500</v>
      </c>
      <c r="D126" s="10" t="s">
        <v>81</v>
      </c>
      <c r="E126" s="22" t="s">
        <v>561</v>
      </c>
      <c r="F126" s="16" t="s">
        <v>495</v>
      </c>
      <c r="G126" s="13">
        <v>18</v>
      </c>
      <c r="H126" s="13" t="s">
        <v>2</v>
      </c>
      <c r="I126" s="36">
        <v>0</v>
      </c>
      <c r="J126" s="9">
        <f t="shared" si="1"/>
        <v>0</v>
      </c>
      <c r="K126" s="8">
        <v>4730</v>
      </c>
      <c r="L126" s="4"/>
    </row>
    <row r="127" spans="1:12" ht="24.6" x14ac:dyDescent="0.3">
      <c r="A127" s="8" t="s">
        <v>238</v>
      </c>
      <c r="B127" s="19" t="s">
        <v>80</v>
      </c>
      <c r="C127" s="26" t="s">
        <v>501</v>
      </c>
      <c r="D127" s="10" t="s">
        <v>81</v>
      </c>
      <c r="E127" s="22" t="s">
        <v>561</v>
      </c>
      <c r="F127" s="16" t="s">
        <v>495</v>
      </c>
      <c r="G127" s="13">
        <v>9</v>
      </c>
      <c r="H127" s="13" t="s">
        <v>2</v>
      </c>
      <c r="I127" s="36">
        <v>0</v>
      </c>
      <c r="J127" s="9">
        <f t="shared" si="1"/>
        <v>0</v>
      </c>
      <c r="K127" s="8">
        <v>4730</v>
      </c>
      <c r="L127" s="4"/>
    </row>
    <row r="128" spans="1:12" ht="36.6" x14ac:dyDescent="0.3">
      <c r="A128" s="8" t="s">
        <v>239</v>
      </c>
      <c r="B128" s="19" t="s">
        <v>82</v>
      </c>
      <c r="C128" s="26" t="s">
        <v>502</v>
      </c>
      <c r="D128" s="10" t="s">
        <v>83</v>
      </c>
      <c r="E128" s="42" t="s">
        <v>612</v>
      </c>
      <c r="F128" s="16" t="s">
        <v>496</v>
      </c>
      <c r="G128" s="13">
        <v>6</v>
      </c>
      <c r="H128" s="13" t="s">
        <v>2</v>
      </c>
      <c r="I128" s="36">
        <v>0</v>
      </c>
      <c r="J128" s="9">
        <f t="shared" si="1"/>
        <v>0</v>
      </c>
      <c r="K128" s="8">
        <v>4730</v>
      </c>
      <c r="L128" s="4"/>
    </row>
    <row r="129" spans="1:12" ht="36.6" x14ac:dyDescent="0.3">
      <c r="A129" s="8" t="s">
        <v>240</v>
      </c>
      <c r="B129" s="19" t="s">
        <v>82</v>
      </c>
      <c r="C129" s="26" t="s">
        <v>505</v>
      </c>
      <c r="D129" s="10" t="s">
        <v>83</v>
      </c>
      <c r="E129" s="42" t="s">
        <v>612</v>
      </c>
      <c r="F129" s="16" t="s">
        <v>496</v>
      </c>
      <c r="G129" s="13">
        <v>3</v>
      </c>
      <c r="H129" s="13" t="s">
        <v>2</v>
      </c>
      <c r="I129" s="36">
        <v>0</v>
      </c>
      <c r="J129" s="9">
        <f t="shared" si="1"/>
        <v>0</v>
      </c>
      <c r="K129" s="8">
        <v>4730</v>
      </c>
      <c r="L129" s="4"/>
    </row>
    <row r="130" spans="1:12" ht="36.6" x14ac:dyDescent="0.3">
      <c r="A130" s="8" t="s">
        <v>241</v>
      </c>
      <c r="B130" s="19" t="s">
        <v>82</v>
      </c>
      <c r="C130" s="26" t="s">
        <v>506</v>
      </c>
      <c r="D130" s="10" t="s">
        <v>83</v>
      </c>
      <c r="E130" s="42" t="s">
        <v>612</v>
      </c>
      <c r="F130" s="16" t="s">
        <v>496</v>
      </c>
      <c r="G130" s="13">
        <v>18</v>
      </c>
      <c r="H130" s="13" t="s">
        <v>2</v>
      </c>
      <c r="I130" s="36">
        <v>0</v>
      </c>
      <c r="J130" s="9">
        <f t="shared" si="1"/>
        <v>0</v>
      </c>
      <c r="K130" s="8">
        <v>4730</v>
      </c>
      <c r="L130" s="4"/>
    </row>
    <row r="131" spans="1:12" ht="36.6" x14ac:dyDescent="0.3">
      <c r="A131" s="8" t="s">
        <v>242</v>
      </c>
      <c r="B131" s="19" t="s">
        <v>82</v>
      </c>
      <c r="C131" s="26" t="s">
        <v>507</v>
      </c>
      <c r="D131" s="10" t="s">
        <v>83</v>
      </c>
      <c r="E131" s="42" t="s">
        <v>612</v>
      </c>
      <c r="F131" s="16" t="s">
        <v>496</v>
      </c>
      <c r="G131" s="13">
        <v>9</v>
      </c>
      <c r="H131" s="13" t="s">
        <v>2</v>
      </c>
      <c r="I131" s="36">
        <v>0</v>
      </c>
      <c r="J131" s="9">
        <f t="shared" si="1"/>
        <v>0</v>
      </c>
      <c r="K131" s="8">
        <v>4730</v>
      </c>
      <c r="L131" s="4"/>
    </row>
    <row r="132" spans="1:12" ht="24.6" x14ac:dyDescent="0.3">
      <c r="A132" s="8" t="s">
        <v>243</v>
      </c>
      <c r="B132" s="19" t="s">
        <v>84</v>
      </c>
      <c r="C132" s="26" t="s">
        <v>508</v>
      </c>
      <c r="D132" s="10" t="s">
        <v>85</v>
      </c>
      <c r="E132" s="22" t="s">
        <v>562</v>
      </c>
      <c r="F132" s="16" t="s">
        <v>503</v>
      </c>
      <c r="G132" s="13">
        <v>6</v>
      </c>
      <c r="H132" s="13" t="s">
        <v>2</v>
      </c>
      <c r="I132" s="36">
        <v>0</v>
      </c>
      <c r="J132" s="9">
        <f t="shared" si="1"/>
        <v>0</v>
      </c>
      <c r="K132" s="8">
        <v>4730</v>
      </c>
      <c r="L132" s="4"/>
    </row>
    <row r="133" spans="1:12" ht="24.6" x14ac:dyDescent="0.3">
      <c r="A133" s="8" t="s">
        <v>244</v>
      </c>
      <c r="B133" s="19" t="s">
        <v>84</v>
      </c>
      <c r="C133" s="26" t="s">
        <v>509</v>
      </c>
      <c r="D133" s="10" t="s">
        <v>85</v>
      </c>
      <c r="E133" s="22" t="s">
        <v>562</v>
      </c>
      <c r="F133" s="16" t="s">
        <v>503</v>
      </c>
      <c r="G133" s="13">
        <v>36</v>
      </c>
      <c r="H133" s="13" t="s">
        <v>2</v>
      </c>
      <c r="I133" s="36">
        <v>0</v>
      </c>
      <c r="J133" s="9">
        <f t="shared" si="1"/>
        <v>0</v>
      </c>
      <c r="K133" s="8">
        <v>4730</v>
      </c>
      <c r="L133" s="4"/>
    </row>
    <row r="134" spans="1:12" ht="24.6" x14ac:dyDescent="0.3">
      <c r="A134" s="8" t="s">
        <v>245</v>
      </c>
      <c r="B134" s="19" t="s">
        <v>84</v>
      </c>
      <c r="C134" s="26" t="s">
        <v>510</v>
      </c>
      <c r="D134" s="10" t="s">
        <v>85</v>
      </c>
      <c r="E134" s="22" t="s">
        <v>562</v>
      </c>
      <c r="F134" s="16" t="s">
        <v>503</v>
      </c>
      <c r="G134" s="13">
        <v>18</v>
      </c>
      <c r="H134" s="13" t="s">
        <v>2</v>
      </c>
      <c r="I134" s="36">
        <v>0</v>
      </c>
      <c r="J134" s="9">
        <f t="shared" si="1"/>
        <v>0</v>
      </c>
      <c r="K134" s="8">
        <v>4730</v>
      </c>
      <c r="L134" s="4"/>
    </row>
    <row r="135" spans="1:12" ht="24.6" x14ac:dyDescent="0.3">
      <c r="A135" s="8" t="s">
        <v>246</v>
      </c>
      <c r="B135" s="19" t="s">
        <v>86</v>
      </c>
      <c r="C135" s="26" t="s">
        <v>511</v>
      </c>
      <c r="D135" s="10" t="s">
        <v>47</v>
      </c>
      <c r="E135" s="22" t="s">
        <v>563</v>
      </c>
      <c r="F135" s="16" t="s">
        <v>504</v>
      </c>
      <c r="G135" s="13">
        <v>7</v>
      </c>
      <c r="H135" s="13" t="s">
        <v>2</v>
      </c>
      <c r="I135" s="36">
        <v>0</v>
      </c>
      <c r="J135" s="9">
        <f t="shared" si="1"/>
        <v>0</v>
      </c>
      <c r="K135" s="8">
        <v>4730</v>
      </c>
      <c r="L135" s="4"/>
    </row>
    <row r="136" spans="1:12" ht="31.2" customHeight="1" x14ac:dyDescent="0.3">
      <c r="A136" s="8" t="s">
        <v>247</v>
      </c>
      <c r="B136" s="19" t="s">
        <v>86</v>
      </c>
      <c r="C136" s="26" t="s">
        <v>515</v>
      </c>
      <c r="D136" s="10" t="s">
        <v>47</v>
      </c>
      <c r="E136" s="22" t="s">
        <v>563</v>
      </c>
      <c r="F136" s="16" t="s">
        <v>504</v>
      </c>
      <c r="G136" s="13">
        <v>42</v>
      </c>
      <c r="H136" s="13" t="s">
        <v>2</v>
      </c>
      <c r="I136" s="36">
        <v>0</v>
      </c>
      <c r="J136" s="9">
        <f t="shared" si="1"/>
        <v>0</v>
      </c>
      <c r="K136" s="8">
        <v>4730</v>
      </c>
      <c r="L136" s="4"/>
    </row>
    <row r="137" spans="1:12" ht="24.6" x14ac:dyDescent="0.3">
      <c r="A137" s="8" t="s">
        <v>248</v>
      </c>
      <c r="B137" s="19" t="s">
        <v>86</v>
      </c>
      <c r="C137" s="26" t="s">
        <v>516</v>
      </c>
      <c r="D137" s="10" t="s">
        <v>47</v>
      </c>
      <c r="E137" s="22" t="s">
        <v>563</v>
      </c>
      <c r="F137" s="16" t="s">
        <v>504</v>
      </c>
      <c r="G137" s="13">
        <v>21</v>
      </c>
      <c r="H137" s="13" t="s">
        <v>2</v>
      </c>
      <c r="I137" s="36">
        <v>0</v>
      </c>
      <c r="J137" s="9">
        <f t="shared" si="1"/>
        <v>0</v>
      </c>
      <c r="K137" s="8">
        <v>4730</v>
      </c>
      <c r="L137" s="4"/>
    </row>
    <row r="138" spans="1:12" ht="24.6" x14ac:dyDescent="0.3">
      <c r="A138" s="8" t="s">
        <v>249</v>
      </c>
      <c r="B138" s="19" t="s">
        <v>87</v>
      </c>
      <c r="C138" s="26" t="s">
        <v>517</v>
      </c>
      <c r="D138" s="10" t="s">
        <v>73</v>
      </c>
      <c r="E138" s="22" t="s">
        <v>564</v>
      </c>
      <c r="F138" s="16" t="s">
        <v>512</v>
      </c>
      <c r="G138" s="13">
        <v>3</v>
      </c>
      <c r="H138" s="13" t="s">
        <v>2</v>
      </c>
      <c r="I138" s="36">
        <v>0</v>
      </c>
      <c r="J138" s="9">
        <f t="shared" si="1"/>
        <v>0</v>
      </c>
      <c r="K138" s="8">
        <v>4730</v>
      </c>
      <c r="L138" s="4"/>
    </row>
    <row r="139" spans="1:12" ht="24.6" x14ac:dyDescent="0.3">
      <c r="A139" s="8" t="s">
        <v>250</v>
      </c>
      <c r="B139" s="19" t="s">
        <v>87</v>
      </c>
      <c r="C139" s="26" t="s">
        <v>518</v>
      </c>
      <c r="D139" s="10" t="s">
        <v>73</v>
      </c>
      <c r="E139" s="22" t="s">
        <v>564</v>
      </c>
      <c r="F139" s="16" t="s">
        <v>512</v>
      </c>
      <c r="G139" s="13">
        <v>18</v>
      </c>
      <c r="H139" s="13" t="s">
        <v>2</v>
      </c>
      <c r="I139" s="36">
        <v>0</v>
      </c>
      <c r="J139" s="9">
        <f t="shared" si="1"/>
        <v>0</v>
      </c>
      <c r="K139" s="8">
        <v>4730</v>
      </c>
      <c r="L139" s="4"/>
    </row>
    <row r="140" spans="1:12" ht="24.6" x14ac:dyDescent="0.3">
      <c r="A140" s="8" t="s">
        <v>251</v>
      </c>
      <c r="B140" s="19" t="s">
        <v>88</v>
      </c>
      <c r="C140" s="26" t="s">
        <v>519</v>
      </c>
      <c r="D140" s="10" t="s">
        <v>89</v>
      </c>
      <c r="E140" s="22" t="s">
        <v>565</v>
      </c>
      <c r="F140" s="16" t="s">
        <v>513</v>
      </c>
      <c r="G140" s="13">
        <v>9</v>
      </c>
      <c r="H140" s="13" t="s">
        <v>2</v>
      </c>
      <c r="I140" s="36">
        <v>0</v>
      </c>
      <c r="J140" s="9">
        <f t="shared" si="1"/>
        <v>0</v>
      </c>
      <c r="K140" s="8">
        <v>4730</v>
      </c>
      <c r="L140" s="4"/>
    </row>
    <row r="141" spans="1:12" ht="60.6" x14ac:dyDescent="0.3">
      <c r="A141" s="8" t="s">
        <v>252</v>
      </c>
      <c r="B141" s="19" t="s">
        <v>90</v>
      </c>
      <c r="C141" s="26" t="s">
        <v>520</v>
      </c>
      <c r="D141" s="10" t="s">
        <v>91</v>
      </c>
      <c r="E141" s="42" t="s">
        <v>614</v>
      </c>
      <c r="F141" s="16" t="s">
        <v>514</v>
      </c>
      <c r="G141" s="13">
        <v>2</v>
      </c>
      <c r="H141" s="13" t="s">
        <v>2</v>
      </c>
      <c r="I141" s="36">
        <v>0</v>
      </c>
      <c r="J141" s="9">
        <f t="shared" ref="J141:J187" si="2">SUM(G141*I141)</f>
        <v>0</v>
      </c>
      <c r="K141" s="8">
        <v>4460</v>
      </c>
      <c r="L141" s="4"/>
    </row>
    <row r="142" spans="1:12" ht="60.6" x14ac:dyDescent="0.3">
      <c r="A142" s="8" t="s">
        <v>253</v>
      </c>
      <c r="B142" s="19" t="s">
        <v>90</v>
      </c>
      <c r="C142" s="26" t="s">
        <v>521</v>
      </c>
      <c r="D142" s="10" t="s">
        <v>91</v>
      </c>
      <c r="E142" s="42" t="s">
        <v>614</v>
      </c>
      <c r="F142" s="16" t="s">
        <v>514</v>
      </c>
      <c r="G142" s="13">
        <v>1</v>
      </c>
      <c r="H142" s="13" t="s">
        <v>2</v>
      </c>
      <c r="I142" s="36">
        <v>0</v>
      </c>
      <c r="J142" s="9">
        <f t="shared" si="2"/>
        <v>0</v>
      </c>
      <c r="K142" s="8">
        <v>4460</v>
      </c>
      <c r="L142" s="4"/>
    </row>
    <row r="143" spans="1:12" ht="60.6" x14ac:dyDescent="0.3">
      <c r="A143" s="8" t="s">
        <v>254</v>
      </c>
      <c r="B143" s="19" t="s">
        <v>90</v>
      </c>
      <c r="C143" s="26" t="s">
        <v>522</v>
      </c>
      <c r="D143" s="10" t="s">
        <v>91</v>
      </c>
      <c r="E143" s="42" t="s">
        <v>614</v>
      </c>
      <c r="F143" s="16" t="s">
        <v>514</v>
      </c>
      <c r="G143" s="13">
        <v>6</v>
      </c>
      <c r="H143" s="13" t="s">
        <v>2</v>
      </c>
      <c r="I143" s="36">
        <v>0</v>
      </c>
      <c r="J143" s="9">
        <f t="shared" si="2"/>
        <v>0</v>
      </c>
      <c r="K143" s="8">
        <v>4460</v>
      </c>
      <c r="L143" s="4"/>
    </row>
    <row r="144" spans="1:12" ht="60.6" x14ac:dyDescent="0.3">
      <c r="A144" s="8" t="s">
        <v>255</v>
      </c>
      <c r="B144" s="19" t="s">
        <v>90</v>
      </c>
      <c r="C144" s="26" t="s">
        <v>523</v>
      </c>
      <c r="D144" s="10" t="s">
        <v>91</v>
      </c>
      <c r="E144" s="42" t="s">
        <v>614</v>
      </c>
      <c r="F144" s="16" t="s">
        <v>514</v>
      </c>
      <c r="G144" s="13">
        <v>3</v>
      </c>
      <c r="H144" s="13" t="s">
        <v>2</v>
      </c>
      <c r="I144" s="36">
        <v>0</v>
      </c>
      <c r="J144" s="9">
        <f t="shared" si="2"/>
        <v>0</v>
      </c>
      <c r="K144" s="8">
        <v>4460</v>
      </c>
      <c r="L144" s="4"/>
    </row>
    <row r="145" spans="1:12" ht="84.6" x14ac:dyDescent="0.3">
      <c r="A145" s="8" t="s">
        <v>256</v>
      </c>
      <c r="B145" s="19" t="s">
        <v>92</v>
      </c>
      <c r="C145" s="26" t="s">
        <v>524</v>
      </c>
      <c r="D145" s="10" t="s">
        <v>93</v>
      </c>
      <c r="E145" s="22" t="s">
        <v>525</v>
      </c>
      <c r="F145" s="17"/>
      <c r="G145" s="13">
        <v>2</v>
      </c>
      <c r="H145" s="13" t="s">
        <v>2</v>
      </c>
      <c r="I145" s="36">
        <v>0</v>
      </c>
      <c r="J145" s="9">
        <f>SUM(G145*I145)</f>
        <v>0</v>
      </c>
      <c r="K145" s="8">
        <v>4730</v>
      </c>
      <c r="L145" s="4"/>
    </row>
    <row r="146" spans="1:12" ht="84.6" x14ac:dyDescent="0.3">
      <c r="A146" s="8" t="s">
        <v>257</v>
      </c>
      <c r="B146" s="19" t="s">
        <v>92</v>
      </c>
      <c r="C146" s="26" t="s">
        <v>526</v>
      </c>
      <c r="D146" s="10" t="s">
        <v>93</v>
      </c>
      <c r="E146" s="22" t="s">
        <v>525</v>
      </c>
      <c r="F146" s="17"/>
      <c r="G146" s="13">
        <v>12</v>
      </c>
      <c r="H146" s="13" t="s">
        <v>2</v>
      </c>
      <c r="I146" s="36">
        <v>0</v>
      </c>
      <c r="J146" s="9">
        <f t="shared" si="2"/>
        <v>0</v>
      </c>
      <c r="K146" s="8">
        <v>4730</v>
      </c>
      <c r="L146" s="4"/>
    </row>
    <row r="147" spans="1:12" ht="84.6" x14ac:dyDescent="0.3">
      <c r="A147" s="8" t="s">
        <v>258</v>
      </c>
      <c r="B147" s="19" t="s">
        <v>92</v>
      </c>
      <c r="C147" s="26" t="s">
        <v>527</v>
      </c>
      <c r="D147" s="10" t="s">
        <v>93</v>
      </c>
      <c r="E147" s="22" t="s">
        <v>525</v>
      </c>
      <c r="F147" s="17"/>
      <c r="G147" s="13">
        <v>6</v>
      </c>
      <c r="H147" s="13" t="s">
        <v>2</v>
      </c>
      <c r="I147" s="36">
        <v>0</v>
      </c>
      <c r="J147" s="9">
        <f t="shared" si="2"/>
        <v>0</v>
      </c>
      <c r="K147" s="8">
        <v>4730</v>
      </c>
      <c r="L147" s="4"/>
    </row>
    <row r="148" spans="1:12" ht="60.6" x14ac:dyDescent="0.3">
      <c r="A148" s="8" t="s">
        <v>259</v>
      </c>
      <c r="B148" s="19" t="s">
        <v>94</v>
      </c>
      <c r="C148" s="26" t="s">
        <v>528</v>
      </c>
      <c r="D148" s="10" t="s">
        <v>95</v>
      </c>
      <c r="E148" s="22" t="s">
        <v>529</v>
      </c>
      <c r="F148" s="16" t="s">
        <v>530</v>
      </c>
      <c r="G148" s="13">
        <v>1</v>
      </c>
      <c r="H148" s="13" t="s">
        <v>2</v>
      </c>
      <c r="I148" s="36">
        <v>0</v>
      </c>
      <c r="J148" s="9">
        <f t="shared" si="2"/>
        <v>0</v>
      </c>
      <c r="K148" s="8">
        <v>4730</v>
      </c>
      <c r="L148" s="4"/>
    </row>
    <row r="149" spans="1:12" ht="60.6" x14ac:dyDescent="0.3">
      <c r="A149" s="8" t="s">
        <v>260</v>
      </c>
      <c r="B149" s="19" t="s">
        <v>94</v>
      </c>
      <c r="C149" s="26" t="s">
        <v>536</v>
      </c>
      <c r="D149" s="10" t="s">
        <v>95</v>
      </c>
      <c r="E149" s="22" t="s">
        <v>529</v>
      </c>
      <c r="F149" s="16" t="s">
        <v>530</v>
      </c>
      <c r="G149" s="13">
        <v>6</v>
      </c>
      <c r="H149" s="13" t="s">
        <v>2</v>
      </c>
      <c r="I149" s="36">
        <v>0</v>
      </c>
      <c r="J149" s="9">
        <f t="shared" si="2"/>
        <v>0</v>
      </c>
      <c r="K149" s="8">
        <v>4730</v>
      </c>
      <c r="L149" s="4"/>
    </row>
    <row r="150" spans="1:12" ht="60.6" x14ac:dyDescent="0.3">
      <c r="A150" s="8" t="s">
        <v>261</v>
      </c>
      <c r="B150" s="19" t="s">
        <v>94</v>
      </c>
      <c r="C150" s="26" t="s">
        <v>537</v>
      </c>
      <c r="D150" s="10" t="s">
        <v>95</v>
      </c>
      <c r="E150" s="22" t="s">
        <v>529</v>
      </c>
      <c r="F150" s="16" t="s">
        <v>530</v>
      </c>
      <c r="G150" s="13">
        <v>3</v>
      </c>
      <c r="H150" s="13" t="s">
        <v>2</v>
      </c>
      <c r="I150" s="36">
        <v>0</v>
      </c>
      <c r="J150" s="9">
        <f t="shared" si="2"/>
        <v>0</v>
      </c>
      <c r="K150" s="8">
        <v>4730</v>
      </c>
      <c r="L150" s="4"/>
    </row>
    <row r="151" spans="1:12" ht="108.6" x14ac:dyDescent="0.3">
      <c r="A151" s="8" t="s">
        <v>262</v>
      </c>
      <c r="B151" s="19" t="s">
        <v>36</v>
      </c>
      <c r="C151" s="26" t="s">
        <v>538</v>
      </c>
      <c r="D151" s="10" t="s">
        <v>37</v>
      </c>
      <c r="E151" s="22" t="s">
        <v>539</v>
      </c>
      <c r="F151" s="16" t="s">
        <v>377</v>
      </c>
      <c r="G151" s="13">
        <v>1</v>
      </c>
      <c r="H151" s="13" t="s">
        <v>2</v>
      </c>
      <c r="I151" s="36">
        <v>0</v>
      </c>
      <c r="J151" s="9">
        <f t="shared" si="2"/>
        <v>0</v>
      </c>
      <c r="K151" s="8">
        <v>4730</v>
      </c>
      <c r="L151" s="4"/>
    </row>
    <row r="152" spans="1:12" ht="15" x14ac:dyDescent="0.3">
      <c r="A152" s="8" t="s">
        <v>263</v>
      </c>
      <c r="B152" s="19" t="s">
        <v>96</v>
      </c>
      <c r="C152" s="26" t="s">
        <v>540</v>
      </c>
      <c r="D152" s="10" t="s">
        <v>61</v>
      </c>
      <c r="E152" s="22" t="s">
        <v>566</v>
      </c>
      <c r="F152" s="16" t="s">
        <v>531</v>
      </c>
      <c r="G152" s="13">
        <v>3</v>
      </c>
      <c r="H152" s="13" t="s">
        <v>2</v>
      </c>
      <c r="I152" s="36">
        <v>0</v>
      </c>
      <c r="J152" s="9">
        <f t="shared" si="2"/>
        <v>0</v>
      </c>
      <c r="K152" s="8">
        <v>4720</v>
      </c>
      <c r="L152" s="4"/>
    </row>
    <row r="153" spans="1:12" ht="15" x14ac:dyDescent="0.3">
      <c r="A153" s="8" t="s">
        <v>264</v>
      </c>
      <c r="B153" s="19" t="s">
        <v>96</v>
      </c>
      <c r="C153" s="26" t="s">
        <v>541</v>
      </c>
      <c r="D153" s="10" t="s">
        <v>61</v>
      </c>
      <c r="E153" s="22" t="s">
        <v>566</v>
      </c>
      <c r="F153" s="16" t="s">
        <v>531</v>
      </c>
      <c r="G153" s="13">
        <v>18</v>
      </c>
      <c r="H153" s="13" t="s">
        <v>2</v>
      </c>
      <c r="I153" s="36">
        <v>0</v>
      </c>
      <c r="J153" s="9">
        <f t="shared" si="2"/>
        <v>0</v>
      </c>
      <c r="K153" s="8">
        <v>4720</v>
      </c>
      <c r="L153" s="4"/>
    </row>
    <row r="154" spans="1:12" ht="96.6" x14ac:dyDescent="0.3">
      <c r="A154" s="8" t="s">
        <v>265</v>
      </c>
      <c r="B154" s="19" t="s">
        <v>97</v>
      </c>
      <c r="C154" s="26" t="s">
        <v>542</v>
      </c>
      <c r="D154" s="10" t="s">
        <v>23</v>
      </c>
      <c r="E154" s="42" t="s">
        <v>613</v>
      </c>
      <c r="F154" s="16" t="s">
        <v>532</v>
      </c>
      <c r="G154" s="13">
        <v>6</v>
      </c>
      <c r="H154" s="13" t="s">
        <v>2</v>
      </c>
      <c r="I154" s="36">
        <v>0</v>
      </c>
      <c r="J154" s="9">
        <f t="shared" si="2"/>
        <v>0</v>
      </c>
      <c r="K154" s="8">
        <v>4730</v>
      </c>
      <c r="L154" s="4"/>
    </row>
    <row r="155" spans="1:12" ht="96.6" x14ac:dyDescent="0.3">
      <c r="A155" s="8" t="s">
        <v>266</v>
      </c>
      <c r="B155" s="19" t="s">
        <v>97</v>
      </c>
      <c r="C155" s="26" t="s">
        <v>543</v>
      </c>
      <c r="D155" s="10" t="s">
        <v>23</v>
      </c>
      <c r="E155" s="42" t="s">
        <v>613</v>
      </c>
      <c r="F155" s="16" t="s">
        <v>532</v>
      </c>
      <c r="G155" s="13">
        <v>3</v>
      </c>
      <c r="H155" s="13" t="s">
        <v>2</v>
      </c>
      <c r="I155" s="36">
        <v>0</v>
      </c>
      <c r="J155" s="9">
        <f t="shared" si="2"/>
        <v>0</v>
      </c>
      <c r="K155" s="8">
        <v>4730</v>
      </c>
      <c r="L155" s="4"/>
    </row>
    <row r="156" spans="1:12" ht="24.6" x14ac:dyDescent="0.3">
      <c r="A156" s="8" t="s">
        <v>267</v>
      </c>
      <c r="B156" s="19" t="s">
        <v>54</v>
      </c>
      <c r="C156" s="26" t="s">
        <v>544</v>
      </c>
      <c r="D156" s="10" t="s">
        <v>55</v>
      </c>
      <c r="E156" s="22" t="s">
        <v>436</v>
      </c>
      <c r="F156" s="16" t="s">
        <v>427</v>
      </c>
      <c r="G156" s="13">
        <v>9</v>
      </c>
      <c r="H156" s="13" t="s">
        <v>2</v>
      </c>
      <c r="I156" s="36">
        <v>0</v>
      </c>
      <c r="J156" s="9">
        <f t="shared" si="2"/>
        <v>0</v>
      </c>
      <c r="K156" s="8">
        <v>4730</v>
      </c>
      <c r="L156" s="4"/>
    </row>
    <row r="157" spans="1:12" ht="72.599999999999994" x14ac:dyDescent="0.3">
      <c r="A157" s="8" t="s">
        <v>268</v>
      </c>
      <c r="B157" s="19" t="s">
        <v>98</v>
      </c>
      <c r="C157" s="26" t="s">
        <v>545</v>
      </c>
      <c r="D157" s="10" t="s">
        <v>99</v>
      </c>
      <c r="E157" s="22" t="s">
        <v>546</v>
      </c>
      <c r="F157" s="16" t="s">
        <v>533</v>
      </c>
      <c r="G157" s="13">
        <v>6</v>
      </c>
      <c r="H157" s="13" t="s">
        <v>2</v>
      </c>
      <c r="I157" s="36">
        <v>0</v>
      </c>
      <c r="J157" s="9">
        <f t="shared" si="2"/>
        <v>0</v>
      </c>
      <c r="K157" s="8">
        <v>4730</v>
      </c>
      <c r="L157" s="4"/>
    </row>
    <row r="158" spans="1:12" ht="72.599999999999994" x14ac:dyDescent="0.3">
      <c r="A158" s="8" t="s">
        <v>269</v>
      </c>
      <c r="B158" s="19" t="s">
        <v>98</v>
      </c>
      <c r="C158" s="26" t="s">
        <v>547</v>
      </c>
      <c r="D158" s="10" t="s">
        <v>99</v>
      </c>
      <c r="E158" s="22" t="s">
        <v>546</v>
      </c>
      <c r="F158" s="16" t="s">
        <v>533</v>
      </c>
      <c r="G158" s="13">
        <v>3</v>
      </c>
      <c r="H158" s="13" t="s">
        <v>2</v>
      </c>
      <c r="I158" s="36">
        <v>0</v>
      </c>
      <c r="J158" s="9">
        <f t="shared" si="2"/>
        <v>0</v>
      </c>
      <c r="K158" s="8">
        <v>4730</v>
      </c>
      <c r="L158" s="4"/>
    </row>
    <row r="159" spans="1:12" ht="72.599999999999994" x14ac:dyDescent="0.3">
      <c r="A159" s="8" t="s">
        <v>270</v>
      </c>
      <c r="B159" s="19" t="s">
        <v>100</v>
      </c>
      <c r="C159" s="26" t="s">
        <v>548</v>
      </c>
      <c r="D159" s="10" t="s">
        <v>101</v>
      </c>
      <c r="E159" s="22" t="s">
        <v>549</v>
      </c>
      <c r="F159" s="16" t="s">
        <v>534</v>
      </c>
      <c r="G159" s="13">
        <v>6</v>
      </c>
      <c r="H159" s="13" t="s">
        <v>2</v>
      </c>
      <c r="I159" s="36">
        <v>0</v>
      </c>
      <c r="J159" s="9">
        <f t="shared" si="2"/>
        <v>0</v>
      </c>
      <c r="K159" s="8">
        <v>4730</v>
      </c>
      <c r="L159" s="4"/>
    </row>
    <row r="160" spans="1:12" ht="72.599999999999994" x14ac:dyDescent="0.3">
      <c r="A160" s="8" t="s">
        <v>271</v>
      </c>
      <c r="B160" s="19" t="s">
        <v>100</v>
      </c>
      <c r="C160" s="26" t="s">
        <v>550</v>
      </c>
      <c r="D160" s="10" t="s">
        <v>101</v>
      </c>
      <c r="E160" s="22" t="s">
        <v>549</v>
      </c>
      <c r="F160" s="16" t="s">
        <v>534</v>
      </c>
      <c r="G160" s="13">
        <v>3</v>
      </c>
      <c r="H160" s="13" t="s">
        <v>2</v>
      </c>
      <c r="I160" s="36">
        <v>0</v>
      </c>
      <c r="J160" s="9">
        <f>SUM(G160*I160)</f>
        <v>0</v>
      </c>
      <c r="K160" s="8">
        <v>4730</v>
      </c>
      <c r="L160" s="4"/>
    </row>
    <row r="161" spans="1:12" ht="84.6" x14ac:dyDescent="0.3">
      <c r="A161" s="8" t="s">
        <v>272</v>
      </c>
      <c r="B161" s="19" t="s">
        <v>102</v>
      </c>
      <c r="C161" s="26" t="s">
        <v>551</v>
      </c>
      <c r="D161" s="10" t="s">
        <v>103</v>
      </c>
      <c r="E161" s="22" t="s">
        <v>552</v>
      </c>
      <c r="F161" s="16" t="s">
        <v>535</v>
      </c>
      <c r="G161" s="13">
        <v>6</v>
      </c>
      <c r="H161" s="13" t="s">
        <v>2</v>
      </c>
      <c r="I161" s="36">
        <v>0</v>
      </c>
      <c r="J161" s="9">
        <f t="shared" si="2"/>
        <v>0</v>
      </c>
      <c r="K161" s="8">
        <v>5340</v>
      </c>
      <c r="L161" s="4"/>
    </row>
    <row r="162" spans="1:12" ht="84.6" x14ac:dyDescent="0.3">
      <c r="A162" s="8" t="s">
        <v>273</v>
      </c>
      <c r="B162" s="19" t="s">
        <v>102</v>
      </c>
      <c r="C162" s="26" t="s">
        <v>554</v>
      </c>
      <c r="D162" s="10" t="s">
        <v>103</v>
      </c>
      <c r="E162" s="22" t="s">
        <v>552</v>
      </c>
      <c r="F162" s="16" t="s">
        <v>535</v>
      </c>
      <c r="G162" s="13">
        <v>3</v>
      </c>
      <c r="H162" s="13" t="s">
        <v>2</v>
      </c>
      <c r="I162" s="36">
        <v>0</v>
      </c>
      <c r="J162" s="9">
        <f t="shared" si="2"/>
        <v>0</v>
      </c>
      <c r="K162" s="8">
        <v>5340</v>
      </c>
      <c r="L162" s="4"/>
    </row>
    <row r="163" spans="1:12" ht="120.6" x14ac:dyDescent="0.3">
      <c r="A163" s="8" t="s">
        <v>274</v>
      </c>
      <c r="B163" s="19" t="s">
        <v>64</v>
      </c>
      <c r="C163" s="26" t="s">
        <v>555</v>
      </c>
      <c r="D163" s="10" t="s">
        <v>65</v>
      </c>
      <c r="E163" s="22" t="s">
        <v>556</v>
      </c>
      <c r="F163" s="16" t="s">
        <v>448</v>
      </c>
      <c r="G163" s="13">
        <v>3</v>
      </c>
      <c r="H163" s="13" t="s">
        <v>2</v>
      </c>
      <c r="I163" s="36">
        <v>0</v>
      </c>
      <c r="J163" s="9">
        <f t="shared" si="2"/>
        <v>0</v>
      </c>
      <c r="K163" s="8">
        <v>5340</v>
      </c>
      <c r="L163" s="4"/>
    </row>
    <row r="164" spans="1:12" ht="24.6" x14ac:dyDescent="0.3">
      <c r="A164" s="8" t="s">
        <v>275</v>
      </c>
      <c r="B164" s="19" t="s">
        <v>67</v>
      </c>
      <c r="C164" s="26" t="s">
        <v>557</v>
      </c>
      <c r="D164" s="10" t="s">
        <v>33</v>
      </c>
      <c r="E164" s="22" t="s">
        <v>469</v>
      </c>
      <c r="F164" s="16" t="s">
        <v>460</v>
      </c>
      <c r="G164" s="13">
        <v>18</v>
      </c>
      <c r="H164" s="13" t="s">
        <v>2</v>
      </c>
      <c r="I164" s="36">
        <v>0</v>
      </c>
      <c r="J164" s="9">
        <f t="shared" si="2"/>
        <v>0</v>
      </c>
      <c r="K164" s="8">
        <v>4730</v>
      </c>
      <c r="L164" s="4"/>
    </row>
    <row r="165" spans="1:12" ht="24.6" x14ac:dyDescent="0.3">
      <c r="A165" s="8" t="s">
        <v>276</v>
      </c>
      <c r="B165" s="19" t="s">
        <v>67</v>
      </c>
      <c r="C165" s="26" t="s">
        <v>567</v>
      </c>
      <c r="D165" s="10" t="s">
        <v>33</v>
      </c>
      <c r="E165" s="22" t="s">
        <v>469</v>
      </c>
      <c r="F165" s="16" t="s">
        <v>460</v>
      </c>
      <c r="G165" s="13">
        <v>9</v>
      </c>
      <c r="H165" s="13" t="s">
        <v>2</v>
      </c>
      <c r="I165" s="36">
        <v>0</v>
      </c>
      <c r="J165" s="9">
        <f>SUM(G165*I165)</f>
        <v>0</v>
      </c>
      <c r="K165" s="8">
        <v>4730</v>
      </c>
      <c r="L165" s="4"/>
    </row>
    <row r="166" spans="1:12" ht="24.6" x14ac:dyDescent="0.3">
      <c r="A166" s="8" t="s">
        <v>277</v>
      </c>
      <c r="B166" s="19" t="s">
        <v>104</v>
      </c>
      <c r="C166" s="26" t="s">
        <v>568</v>
      </c>
      <c r="D166" s="10" t="s">
        <v>73</v>
      </c>
      <c r="E166" s="22" t="s">
        <v>569</v>
      </c>
      <c r="F166" s="16" t="s">
        <v>553</v>
      </c>
      <c r="G166" s="13">
        <v>3</v>
      </c>
      <c r="H166" s="13" t="s">
        <v>2</v>
      </c>
      <c r="I166" s="36">
        <v>0</v>
      </c>
      <c r="J166" s="9">
        <f t="shared" si="2"/>
        <v>0</v>
      </c>
      <c r="K166" s="8">
        <v>4730</v>
      </c>
      <c r="L166" s="4"/>
    </row>
    <row r="167" spans="1:12" ht="24.6" x14ac:dyDescent="0.3">
      <c r="A167" s="8" t="s">
        <v>278</v>
      </c>
      <c r="B167" s="19" t="s">
        <v>104</v>
      </c>
      <c r="C167" s="26" t="s">
        <v>570</v>
      </c>
      <c r="D167" s="10" t="s">
        <v>73</v>
      </c>
      <c r="E167" s="22" t="s">
        <v>569</v>
      </c>
      <c r="F167" s="16" t="s">
        <v>553</v>
      </c>
      <c r="G167" s="13">
        <v>18</v>
      </c>
      <c r="H167" s="13" t="s">
        <v>2</v>
      </c>
      <c r="I167" s="36">
        <v>0</v>
      </c>
      <c r="J167" s="9">
        <f t="shared" si="2"/>
        <v>0</v>
      </c>
      <c r="K167" s="8">
        <v>4730</v>
      </c>
      <c r="L167" s="4"/>
    </row>
    <row r="168" spans="1:12" ht="24.6" x14ac:dyDescent="0.3">
      <c r="A168" s="8" t="s">
        <v>279</v>
      </c>
      <c r="B168" s="19" t="s">
        <v>104</v>
      </c>
      <c r="C168" s="26" t="s">
        <v>571</v>
      </c>
      <c r="D168" s="10" t="s">
        <v>73</v>
      </c>
      <c r="E168" s="22" t="s">
        <v>569</v>
      </c>
      <c r="F168" s="16" t="s">
        <v>553</v>
      </c>
      <c r="G168" s="13">
        <v>9</v>
      </c>
      <c r="H168" s="13" t="s">
        <v>2</v>
      </c>
      <c r="I168" s="36">
        <v>0</v>
      </c>
      <c r="J168" s="9">
        <f t="shared" si="2"/>
        <v>0</v>
      </c>
      <c r="K168" s="8">
        <v>4730</v>
      </c>
      <c r="L168" s="4"/>
    </row>
    <row r="169" spans="1:12" ht="24.6" x14ac:dyDescent="0.3">
      <c r="A169" s="8" t="s">
        <v>280</v>
      </c>
      <c r="B169" s="19" t="s">
        <v>78</v>
      </c>
      <c r="C169" s="26" t="s">
        <v>572</v>
      </c>
      <c r="D169" s="10" t="s">
        <v>79</v>
      </c>
      <c r="E169" s="22" t="s">
        <v>560</v>
      </c>
      <c r="F169" s="16" t="s">
        <v>494</v>
      </c>
      <c r="G169" s="13">
        <v>6</v>
      </c>
      <c r="H169" s="13" t="s">
        <v>2</v>
      </c>
      <c r="I169" s="36">
        <v>0</v>
      </c>
      <c r="J169" s="9">
        <f t="shared" si="2"/>
        <v>0</v>
      </c>
      <c r="K169" s="8">
        <v>4730</v>
      </c>
      <c r="L169" s="4"/>
    </row>
    <row r="170" spans="1:12" ht="24.6" x14ac:dyDescent="0.3">
      <c r="A170" s="8" t="s">
        <v>281</v>
      </c>
      <c r="B170" s="19" t="s">
        <v>105</v>
      </c>
      <c r="C170" s="26" t="s">
        <v>573</v>
      </c>
      <c r="D170" s="10" t="s">
        <v>71</v>
      </c>
      <c r="E170" s="22" t="s">
        <v>574</v>
      </c>
      <c r="F170" s="16" t="s">
        <v>558</v>
      </c>
      <c r="G170" s="13">
        <v>1</v>
      </c>
      <c r="H170" s="13" t="s">
        <v>2</v>
      </c>
      <c r="I170" s="36">
        <v>0</v>
      </c>
      <c r="J170" s="9">
        <f t="shared" si="2"/>
        <v>0</v>
      </c>
      <c r="K170" s="8">
        <v>4730</v>
      </c>
      <c r="L170" s="4"/>
    </row>
    <row r="171" spans="1:12" ht="24.6" x14ac:dyDescent="0.3">
      <c r="A171" s="8" t="s">
        <v>282</v>
      </c>
      <c r="B171" s="19" t="s">
        <v>105</v>
      </c>
      <c r="C171" s="26" t="s">
        <v>576</v>
      </c>
      <c r="D171" s="10" t="s">
        <v>71</v>
      </c>
      <c r="E171" s="22" t="s">
        <v>574</v>
      </c>
      <c r="F171" s="16" t="s">
        <v>558</v>
      </c>
      <c r="G171" s="13">
        <v>18</v>
      </c>
      <c r="H171" s="13" t="s">
        <v>2</v>
      </c>
      <c r="I171" s="36">
        <v>0</v>
      </c>
      <c r="J171" s="9">
        <f t="shared" si="2"/>
        <v>0</v>
      </c>
      <c r="K171" s="8">
        <v>4730</v>
      </c>
      <c r="L171" s="4"/>
    </row>
    <row r="172" spans="1:12" ht="24.6" x14ac:dyDescent="0.3">
      <c r="A172" s="8" t="s">
        <v>283</v>
      </c>
      <c r="B172" s="19" t="s">
        <v>105</v>
      </c>
      <c r="C172" s="26" t="s">
        <v>577</v>
      </c>
      <c r="D172" s="10" t="s">
        <v>71</v>
      </c>
      <c r="E172" s="22" t="s">
        <v>574</v>
      </c>
      <c r="F172" s="16" t="s">
        <v>558</v>
      </c>
      <c r="G172" s="13">
        <v>9</v>
      </c>
      <c r="H172" s="13" t="s">
        <v>2</v>
      </c>
      <c r="I172" s="36">
        <v>0</v>
      </c>
      <c r="J172" s="9">
        <f t="shared" si="2"/>
        <v>0</v>
      </c>
      <c r="K172" s="8">
        <v>4730</v>
      </c>
      <c r="L172" s="4"/>
    </row>
    <row r="173" spans="1:12" ht="15" x14ac:dyDescent="0.3">
      <c r="A173" s="8" t="s">
        <v>284</v>
      </c>
      <c r="B173" s="19" t="s">
        <v>106</v>
      </c>
      <c r="C173" s="26" t="s">
        <v>578</v>
      </c>
      <c r="D173" s="10" t="s">
        <v>107</v>
      </c>
      <c r="E173" s="22" t="s">
        <v>579</v>
      </c>
      <c r="F173" s="16" t="s">
        <v>559</v>
      </c>
      <c r="G173" s="13">
        <v>18</v>
      </c>
      <c r="H173" s="13" t="s">
        <v>2</v>
      </c>
      <c r="I173" s="36">
        <v>0</v>
      </c>
      <c r="J173" s="9">
        <f t="shared" si="2"/>
        <v>0</v>
      </c>
      <c r="K173" s="8">
        <v>4720</v>
      </c>
      <c r="L173" s="4"/>
    </row>
    <row r="174" spans="1:12" ht="15" x14ac:dyDescent="0.3">
      <c r="A174" s="8" t="s">
        <v>285</v>
      </c>
      <c r="B174" s="19" t="s">
        <v>106</v>
      </c>
      <c r="C174" s="26" t="s">
        <v>581</v>
      </c>
      <c r="D174" s="10" t="s">
        <v>107</v>
      </c>
      <c r="E174" s="22" t="s">
        <v>579</v>
      </c>
      <c r="F174" s="16" t="s">
        <v>559</v>
      </c>
      <c r="G174" s="13">
        <v>9</v>
      </c>
      <c r="H174" s="13" t="s">
        <v>2</v>
      </c>
      <c r="I174" s="36">
        <v>0</v>
      </c>
      <c r="J174" s="9">
        <f t="shared" si="2"/>
        <v>0</v>
      </c>
      <c r="K174" s="8">
        <v>4720</v>
      </c>
      <c r="L174" s="4"/>
    </row>
    <row r="175" spans="1:12" ht="24.6" x14ac:dyDescent="0.3">
      <c r="A175" s="8" t="s">
        <v>286</v>
      </c>
      <c r="B175" s="19" t="s">
        <v>87</v>
      </c>
      <c r="C175" s="26" t="s">
        <v>582</v>
      </c>
      <c r="D175" s="10" t="s">
        <v>73</v>
      </c>
      <c r="E175" s="22" t="s">
        <v>564</v>
      </c>
      <c r="F175" s="16" t="s">
        <v>512</v>
      </c>
      <c r="G175" s="13">
        <v>9</v>
      </c>
      <c r="H175" s="13" t="s">
        <v>2</v>
      </c>
      <c r="I175" s="36">
        <v>0</v>
      </c>
      <c r="J175" s="9">
        <f t="shared" si="2"/>
        <v>0</v>
      </c>
      <c r="K175" s="8">
        <v>4730</v>
      </c>
      <c r="L175" s="4"/>
    </row>
    <row r="176" spans="1:12" ht="24.6" x14ac:dyDescent="0.3">
      <c r="A176" s="8" t="s">
        <v>287</v>
      </c>
      <c r="B176" s="19" t="s">
        <v>108</v>
      </c>
      <c r="C176" s="26" t="s">
        <v>583</v>
      </c>
      <c r="D176" s="10" t="s">
        <v>109</v>
      </c>
      <c r="E176" s="22" t="s">
        <v>584</v>
      </c>
      <c r="F176" s="16" t="s">
        <v>575</v>
      </c>
      <c r="G176" s="13">
        <v>3</v>
      </c>
      <c r="H176" s="13" t="s">
        <v>2</v>
      </c>
      <c r="I176" s="36">
        <v>0</v>
      </c>
      <c r="J176" s="9">
        <f t="shared" si="2"/>
        <v>0</v>
      </c>
      <c r="K176" s="8">
        <v>4730</v>
      </c>
      <c r="L176" s="4"/>
    </row>
    <row r="177" spans="1:13" ht="24.6" x14ac:dyDescent="0.3">
      <c r="A177" s="8" t="s">
        <v>288</v>
      </c>
      <c r="B177" s="19" t="s">
        <v>108</v>
      </c>
      <c r="C177" s="26" t="s">
        <v>585</v>
      </c>
      <c r="D177" s="10" t="s">
        <v>109</v>
      </c>
      <c r="E177" s="22" t="s">
        <v>584</v>
      </c>
      <c r="F177" s="16" t="s">
        <v>575</v>
      </c>
      <c r="G177" s="13">
        <v>18</v>
      </c>
      <c r="H177" s="13" t="s">
        <v>2</v>
      </c>
      <c r="I177" s="36">
        <v>0</v>
      </c>
      <c r="J177" s="9">
        <f t="shared" si="2"/>
        <v>0</v>
      </c>
      <c r="K177" s="8">
        <v>4730</v>
      </c>
      <c r="L177" s="4"/>
    </row>
    <row r="178" spans="1:13" ht="24.6" x14ac:dyDescent="0.3">
      <c r="A178" s="8" t="s">
        <v>289</v>
      </c>
      <c r="B178" s="19" t="s">
        <v>108</v>
      </c>
      <c r="C178" s="26" t="s">
        <v>586</v>
      </c>
      <c r="D178" s="10" t="s">
        <v>109</v>
      </c>
      <c r="E178" s="22" t="s">
        <v>584</v>
      </c>
      <c r="F178" s="16" t="s">
        <v>575</v>
      </c>
      <c r="G178" s="13">
        <v>9</v>
      </c>
      <c r="H178" s="13" t="s">
        <v>2</v>
      </c>
      <c r="I178" s="36">
        <v>0</v>
      </c>
      <c r="J178" s="9">
        <f t="shared" si="2"/>
        <v>0</v>
      </c>
      <c r="K178" s="8">
        <v>4730</v>
      </c>
      <c r="L178" s="4"/>
    </row>
    <row r="179" spans="1:13" ht="24.6" x14ac:dyDescent="0.3">
      <c r="A179" s="8" t="s">
        <v>290</v>
      </c>
      <c r="B179" s="19" t="s">
        <v>88</v>
      </c>
      <c r="C179" s="26" t="s">
        <v>587</v>
      </c>
      <c r="D179" s="10" t="s">
        <v>89</v>
      </c>
      <c r="E179" s="22" t="s">
        <v>565</v>
      </c>
      <c r="F179" s="16" t="s">
        <v>513</v>
      </c>
      <c r="G179" s="13">
        <v>3</v>
      </c>
      <c r="H179" s="13" t="s">
        <v>2</v>
      </c>
      <c r="I179" s="36">
        <v>0</v>
      </c>
      <c r="J179" s="9">
        <f t="shared" si="2"/>
        <v>0</v>
      </c>
      <c r="K179" s="8">
        <v>4730</v>
      </c>
      <c r="L179" s="4"/>
    </row>
    <row r="180" spans="1:13" ht="24.6" x14ac:dyDescent="0.3">
      <c r="A180" s="8" t="s">
        <v>291</v>
      </c>
      <c r="B180" s="19" t="s">
        <v>88</v>
      </c>
      <c r="C180" s="26" t="s">
        <v>588</v>
      </c>
      <c r="D180" s="10" t="s">
        <v>89</v>
      </c>
      <c r="E180" s="22" t="s">
        <v>565</v>
      </c>
      <c r="F180" s="16" t="s">
        <v>513</v>
      </c>
      <c r="G180" s="13">
        <v>3</v>
      </c>
      <c r="H180" s="13" t="s">
        <v>2</v>
      </c>
      <c r="I180" s="36">
        <v>0</v>
      </c>
      <c r="J180" s="9">
        <f t="shared" si="2"/>
        <v>0</v>
      </c>
      <c r="K180" s="8">
        <v>4730</v>
      </c>
      <c r="L180" s="4"/>
    </row>
    <row r="181" spans="1:13" ht="24.6" x14ac:dyDescent="0.3">
      <c r="A181" s="8" t="s">
        <v>292</v>
      </c>
      <c r="B181" s="19" t="s">
        <v>88</v>
      </c>
      <c r="C181" s="26" t="s">
        <v>589</v>
      </c>
      <c r="D181" s="10" t="s">
        <v>89</v>
      </c>
      <c r="E181" s="22" t="s">
        <v>565</v>
      </c>
      <c r="F181" s="16" t="s">
        <v>513</v>
      </c>
      <c r="G181" s="13">
        <v>18</v>
      </c>
      <c r="H181" s="13" t="s">
        <v>2</v>
      </c>
      <c r="I181" s="36">
        <v>0</v>
      </c>
      <c r="J181" s="9">
        <f t="shared" si="2"/>
        <v>0</v>
      </c>
      <c r="K181" s="8">
        <v>4730</v>
      </c>
      <c r="L181" s="4"/>
    </row>
    <row r="182" spans="1:13" ht="15" x14ac:dyDescent="0.3">
      <c r="A182" s="8" t="s">
        <v>293</v>
      </c>
      <c r="B182" s="19" t="s">
        <v>96</v>
      </c>
      <c r="C182" s="26" t="s">
        <v>590</v>
      </c>
      <c r="D182" s="10" t="s">
        <v>61</v>
      </c>
      <c r="E182" s="22" t="s">
        <v>591</v>
      </c>
      <c r="F182" s="16" t="s">
        <v>531</v>
      </c>
      <c r="G182" s="13">
        <v>9</v>
      </c>
      <c r="H182" s="13" t="s">
        <v>2</v>
      </c>
      <c r="I182" s="36">
        <v>0</v>
      </c>
      <c r="J182" s="9">
        <f t="shared" si="2"/>
        <v>0</v>
      </c>
      <c r="K182" s="8">
        <v>4720</v>
      </c>
      <c r="L182" s="4"/>
    </row>
    <row r="183" spans="1:13" ht="24.6" x14ac:dyDescent="0.3">
      <c r="A183" s="8" t="s">
        <v>294</v>
      </c>
      <c r="B183" s="19" t="s">
        <v>110</v>
      </c>
      <c r="C183" s="26" t="s">
        <v>592</v>
      </c>
      <c r="D183" s="10" t="s">
        <v>111</v>
      </c>
      <c r="E183" s="22" t="s">
        <v>593</v>
      </c>
      <c r="F183" s="16" t="s">
        <v>580</v>
      </c>
      <c r="G183" s="13">
        <v>3</v>
      </c>
      <c r="H183" s="13" t="s">
        <v>2</v>
      </c>
      <c r="I183" s="36">
        <v>0</v>
      </c>
      <c r="J183" s="9">
        <f t="shared" si="2"/>
        <v>0</v>
      </c>
      <c r="K183" s="8">
        <v>2940</v>
      </c>
      <c r="L183" s="4"/>
    </row>
    <row r="184" spans="1:13" ht="24.6" x14ac:dyDescent="0.3">
      <c r="A184" s="8" t="s">
        <v>295</v>
      </c>
      <c r="B184" s="19" t="s">
        <v>110</v>
      </c>
      <c r="C184" s="26" t="s">
        <v>594</v>
      </c>
      <c r="D184" s="12" t="s">
        <v>111</v>
      </c>
      <c r="E184" s="22" t="s">
        <v>593</v>
      </c>
      <c r="F184" s="16" t="s">
        <v>580</v>
      </c>
      <c r="G184" s="13">
        <v>18</v>
      </c>
      <c r="H184" s="13" t="s">
        <v>2</v>
      </c>
      <c r="I184" s="36">
        <v>0</v>
      </c>
      <c r="J184" s="9">
        <f t="shared" si="2"/>
        <v>0</v>
      </c>
      <c r="K184" s="8">
        <v>2940</v>
      </c>
      <c r="L184" s="4"/>
    </row>
    <row r="185" spans="1:13" ht="24.6" x14ac:dyDescent="0.3">
      <c r="A185" s="8" t="s">
        <v>296</v>
      </c>
      <c r="B185" s="19" t="s">
        <v>110</v>
      </c>
      <c r="C185" s="26" t="s">
        <v>595</v>
      </c>
      <c r="D185" s="12" t="s">
        <v>111</v>
      </c>
      <c r="E185" s="22" t="s">
        <v>593</v>
      </c>
      <c r="F185" s="16" t="s">
        <v>580</v>
      </c>
      <c r="G185" s="13">
        <v>9</v>
      </c>
      <c r="H185" s="13" t="s">
        <v>2</v>
      </c>
      <c r="I185" s="36">
        <v>0</v>
      </c>
      <c r="J185" s="9">
        <f t="shared" si="2"/>
        <v>0</v>
      </c>
      <c r="K185" s="8">
        <v>2940</v>
      </c>
      <c r="L185" s="4"/>
    </row>
    <row r="186" spans="1:13" ht="24.6" x14ac:dyDescent="0.3">
      <c r="A186" s="38" t="s">
        <v>604</v>
      </c>
      <c r="B186" s="39" t="s">
        <v>606</v>
      </c>
      <c r="C186" s="40" t="s">
        <v>607</v>
      </c>
      <c r="D186" s="41" t="s">
        <v>609</v>
      </c>
      <c r="E186" s="42" t="s">
        <v>610</v>
      </c>
      <c r="F186" s="43" t="s">
        <v>611</v>
      </c>
      <c r="G186" s="44">
        <v>18</v>
      </c>
      <c r="H186" s="44" t="s">
        <v>2</v>
      </c>
      <c r="I186" s="45">
        <v>0</v>
      </c>
      <c r="J186" s="46">
        <f t="shared" si="2"/>
        <v>0</v>
      </c>
      <c r="K186" s="38">
        <v>4720</v>
      </c>
      <c r="L186" s="47"/>
    </row>
    <row r="187" spans="1:13" ht="24.6" x14ac:dyDescent="0.3">
      <c r="A187" s="38" t="s">
        <v>605</v>
      </c>
      <c r="B187" s="39" t="s">
        <v>606</v>
      </c>
      <c r="C187" s="40" t="s">
        <v>608</v>
      </c>
      <c r="D187" s="41" t="s">
        <v>609</v>
      </c>
      <c r="E187" s="42" t="s">
        <v>610</v>
      </c>
      <c r="F187" s="43" t="s">
        <v>611</v>
      </c>
      <c r="G187" s="44">
        <v>9</v>
      </c>
      <c r="H187" s="44" t="s">
        <v>2</v>
      </c>
      <c r="I187" s="45">
        <v>0</v>
      </c>
      <c r="J187" s="46">
        <f t="shared" si="2"/>
        <v>0</v>
      </c>
      <c r="K187" s="38">
        <v>4720</v>
      </c>
      <c r="L187" s="47"/>
    </row>
    <row r="188" spans="1:13" ht="28.2" customHeight="1" x14ac:dyDescent="0.5">
      <c r="A188" s="52" t="s">
        <v>602</v>
      </c>
      <c r="B188" s="52"/>
      <c r="C188" s="52"/>
      <c r="D188" s="52"/>
      <c r="E188" s="52"/>
      <c r="F188" s="52"/>
      <c r="G188" s="52"/>
      <c r="H188" s="52"/>
      <c r="I188" s="52"/>
      <c r="J188" s="5" t="e">
        <f>SUM(J11:J187)</f>
        <v>#REF!</v>
      </c>
      <c r="K188" s="51" t="s">
        <v>601</v>
      </c>
      <c r="L188" s="51"/>
      <c r="M188" s="37"/>
    </row>
    <row r="191" spans="1:13" x14ac:dyDescent="0.3">
      <c r="A191" s="2"/>
      <c r="B191" s="2"/>
      <c r="C191"/>
      <c r="D191" s="2"/>
      <c r="E191" s="2"/>
      <c r="F191"/>
    </row>
    <row r="192" spans="1:13" x14ac:dyDescent="0.3">
      <c r="A192" s="2"/>
      <c r="B192" s="2"/>
      <c r="C192"/>
      <c r="D192" s="2"/>
      <c r="E192" s="2"/>
      <c r="F192"/>
    </row>
    <row r="193" spans="1:6" x14ac:dyDescent="0.3">
      <c r="A193" s="2"/>
      <c r="B193" s="2"/>
      <c r="C193"/>
      <c r="D193" s="2"/>
      <c r="E193" s="2"/>
      <c r="F193"/>
    </row>
    <row r="194" spans="1:6" x14ac:dyDescent="0.3">
      <c r="A194" s="2"/>
      <c r="B194" s="2"/>
      <c r="C194"/>
      <c r="D194" s="2"/>
      <c r="E194" s="2"/>
      <c r="F194"/>
    </row>
    <row r="195" spans="1:6" x14ac:dyDescent="0.3">
      <c r="A195" s="2"/>
      <c r="B195" s="2"/>
      <c r="C195"/>
      <c r="D195" s="2"/>
      <c r="E195" s="2"/>
      <c r="F195"/>
    </row>
    <row r="196" spans="1:6" x14ac:dyDescent="0.3">
      <c r="A196" s="2"/>
      <c r="B196" s="2"/>
      <c r="C196"/>
      <c r="D196" s="2"/>
      <c r="E196" s="2"/>
      <c r="F196"/>
    </row>
    <row r="197" spans="1:6" x14ac:dyDescent="0.3">
      <c r="A197" s="2"/>
      <c r="B197" s="2"/>
      <c r="C197"/>
      <c r="D197" s="2"/>
      <c r="E197" s="2"/>
      <c r="F197"/>
    </row>
    <row r="198" spans="1:6" x14ac:dyDescent="0.3">
      <c r="A198" s="2"/>
      <c r="B198" s="2"/>
      <c r="C198"/>
      <c r="D198" s="2"/>
      <c r="E198" s="2"/>
      <c r="F198"/>
    </row>
    <row r="199" spans="1:6" x14ac:dyDescent="0.3">
      <c r="A199" s="2"/>
      <c r="B199" s="2"/>
      <c r="C199"/>
      <c r="D199" s="2"/>
      <c r="E199" s="2"/>
      <c r="F199"/>
    </row>
    <row r="200" spans="1:6" x14ac:dyDescent="0.3">
      <c r="A200" s="2"/>
      <c r="B200" s="2"/>
      <c r="C200"/>
      <c r="D200" s="2"/>
      <c r="E200" s="2"/>
      <c r="F200"/>
    </row>
  </sheetData>
  <protectedRanges>
    <protectedRange sqref="B3:F6 B7:C9" name="Range1"/>
  </protectedRanges>
  <mergeCells count="11">
    <mergeCell ref="A1:K1"/>
    <mergeCell ref="A2:M2"/>
    <mergeCell ref="A3:D3"/>
    <mergeCell ref="A4:D4"/>
    <mergeCell ref="A5:D5"/>
    <mergeCell ref="A6:D6"/>
    <mergeCell ref="A7:D7"/>
    <mergeCell ref="A8:D8"/>
    <mergeCell ref="A9:D9"/>
    <mergeCell ref="K188:L188"/>
    <mergeCell ref="A188:I188"/>
  </mergeCells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adc925-6b5d-4628-b7e0-5b86efa9895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8C060DC519C5438F279013B0EC9B02" ma:contentTypeVersion="18" ma:contentTypeDescription="Create a new document." ma:contentTypeScope="" ma:versionID="15dfa184a472c436796374227599f8d0">
  <xsd:schema xmlns:xsd="http://www.w3.org/2001/XMLSchema" xmlns:xs="http://www.w3.org/2001/XMLSchema" xmlns:p="http://schemas.microsoft.com/office/2006/metadata/properties" xmlns:ns1="http://schemas.microsoft.com/sharepoint/v3" xmlns:ns3="bc96db8f-62c4-44cc-8b28-7ef117495d18" xmlns:ns4="04adc925-6b5d-4628-b7e0-5b86efa98958" targetNamespace="http://schemas.microsoft.com/office/2006/metadata/properties" ma:root="true" ma:fieldsID="c47431249e0f2a13a2f8255861f422a2" ns1:_="" ns3:_="" ns4:_="">
    <xsd:import namespace="http://schemas.microsoft.com/sharepoint/v3"/>
    <xsd:import namespace="bc96db8f-62c4-44cc-8b28-7ef117495d18"/>
    <xsd:import namespace="04adc925-6b5d-4628-b7e0-5b86efa9895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OCR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96db8f-62c4-44cc-8b28-7ef117495d1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adc925-6b5d-4628-b7e0-5b86efa989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1B25AE-4B48-435A-9891-7013F64B73CE}">
  <ds:schemaRefs>
    <ds:schemaRef ds:uri="http://schemas.microsoft.com/sharepoint/v3"/>
    <ds:schemaRef ds:uri="http://purl.org/dc/terms/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04adc925-6b5d-4628-b7e0-5b86efa98958"/>
    <ds:schemaRef ds:uri="http://schemas.openxmlformats.org/package/2006/metadata/core-properties"/>
    <ds:schemaRef ds:uri="bc96db8f-62c4-44cc-8b28-7ef117495d18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9A747E9-B146-40E3-A7AA-10C9C557DA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20561B-2641-47FF-9008-D92F5DDB08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c96db8f-62c4-44cc-8b28-7ef117495d18"/>
    <ds:schemaRef ds:uri="04adc925-6b5d-4628-b7e0-5b86efa989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ae6d70f-954b-4811-92b6-0530d6f84c43}" enabled="0" method="" siteId="{fae6d70f-954b-4811-92b6-0530d6f84c4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Trevino, Jennifer B CIV USARMY ACC (USA)</dc:creator>
  <cp:lastModifiedBy>Trevino, Jennifer B CIV USARMY ACC (USA)</cp:lastModifiedBy>
  <dcterms:created xsi:type="dcterms:W3CDTF">2025-05-05T18:48:26Z</dcterms:created>
  <dcterms:modified xsi:type="dcterms:W3CDTF">2025-06-10T20:46:37Z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0x010100398C060DC519C5438F279013B0EC9B02</vt:lpwstr>
  </property>
</Properties>
</file>