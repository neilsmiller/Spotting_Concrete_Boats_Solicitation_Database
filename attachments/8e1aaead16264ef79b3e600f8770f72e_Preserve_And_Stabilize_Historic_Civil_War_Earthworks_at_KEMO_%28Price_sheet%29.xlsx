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ldownie_nps_gov/Documents/PMIS# 339536A, Preserve And Stabilize Historic Civil War Earthworks at KEMO/"/>
    </mc:Choice>
  </mc:AlternateContent>
  <xr:revisionPtr revIDLastSave="0" documentId="8_{B475ED60-97F6-4302-B739-A569FE1C3051}" xr6:coauthVersionLast="47" xr6:coauthVersionMax="47" xr10:uidLastSave="{00000000-0000-0000-0000-000000000000}"/>
  <bookViews>
    <workbookView xWindow="-120" yWindow="-120" windowWidth="29040" windowHeight="17520" xr2:uid="{34918D98-AAFA-4A37-9FF3-7E364130DBA0}"/>
  </bookViews>
  <sheets>
    <sheet name="Sheet1" sheetId="1" r:id="rId1"/>
  </sheets>
  <definedNames>
    <definedName name="DL_Subtotal" localSheetId="0">Sheet1!$F$13</definedName>
    <definedName name="EP_Subtotal" localSheetId="0">Sheet1!$F$20</definedName>
    <definedName name="ODC_MS_Subtotal" localSheetId="0">Sheet1!$F$51</definedName>
    <definedName name="ODC_Other_Subtotal" localSheetId="0">Sheet1!$F$58</definedName>
    <definedName name="ODC_Travel_Subtotal" localSheetId="0">Sheet1!$F$44</definedName>
    <definedName name="SP_Subtotal" localSheetId="0">Sheet1!$F$36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0" i="1"/>
  <c r="E29" i="1"/>
  <c r="E28" i="1"/>
  <c r="E27" i="1"/>
  <c r="E26" i="1"/>
  <c r="E23" i="1"/>
  <c r="E22" i="1"/>
  <c r="E21" i="1"/>
  <c r="E20" i="1"/>
  <c r="E19" i="1"/>
  <c r="E11" i="1"/>
  <c r="E15" i="1"/>
  <c r="E14" i="1"/>
  <c r="E13" i="1"/>
  <c r="E12" i="1"/>
  <c r="E8" i="1" l="1"/>
  <c r="E31" i="1"/>
  <c r="E24" i="1"/>
  <c r="E16" i="1"/>
  <c r="E33" i="1" l="1"/>
</calcChain>
</file>

<file path=xl/sharedStrings.xml><?xml version="1.0" encoding="utf-8"?>
<sst xmlns="http://schemas.openxmlformats.org/spreadsheetml/2006/main" count="39" uniqueCount="16">
  <si>
    <t>Kennesaw Mountain National Battlefield Park Kennesaw, GA</t>
  </si>
  <si>
    <t>Type A Tree Removal</t>
  </si>
  <si>
    <t>Quantity</t>
  </si>
  <si>
    <t>Unit Price</t>
  </si>
  <si>
    <t>16 to 24 inch DBH</t>
  </si>
  <si>
    <t>25 to 30 inch DBH</t>
  </si>
  <si>
    <t>31 to 36 inch DBH</t>
  </si>
  <si>
    <t>37+ inch DBH</t>
  </si>
  <si>
    <t>SUBTOTAL</t>
  </si>
  <si>
    <t>Type B Tree Removal</t>
  </si>
  <si>
    <t>10 to 15 inch DBH</t>
  </si>
  <si>
    <t>Type C Tree Removal</t>
  </si>
  <si>
    <t>Type D Tree Removal</t>
  </si>
  <si>
    <t xml:space="preserve"> TOTAL</t>
  </si>
  <si>
    <t>The above estimate includes labor, equipment, travel, overhead, and profit per tree.</t>
  </si>
  <si>
    <t>Preserve and stabilize earthworks at KEMO. Independent Government Estimate (IGE)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</si>
</sst>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0" fillId="0" borderId="3" xfId="0" applyNumberFormat="1" applyBorder="1"/>
    <xf numFmtId="0" fontId="0" fillId="0" borderId="1" xfId="0" applyBorder="1"/>
    <xf numFmtId="164" fontId="0" fillId="0" borderId="1" xfId="0" applyNumberFormat="1" applyBorder="1"/>
    <xf numFmtId="0" fontId="5" fillId="0" borderId="3" xfId="0" applyFont="1" applyBorder="1" applyAlignment="1">
      <alignment horizontal="left"/>
    </xf>
    <xf numFmtId="0" fontId="0" fillId="0" borderId="10" xfId="0" applyBorder="1"/>
    <xf numFmtId="164" fontId="3" fillId="0" borderId="11" xfId="0" applyNumberFormat="1" applyFont="1" applyBorder="1" applyAlignment="1">
      <alignment horizontal="center"/>
    </xf>
    <xf numFmtId="164" fontId="0" fillId="0" borderId="11" xfId="0" applyNumberFormat="1" applyBorder="1"/>
    <xf numFmtId="0" fontId="0" fillId="0" borderId="12" xfId="0" applyBorder="1"/>
    <xf numFmtId="164" fontId="0" fillId="3" borderId="11" xfId="0" applyNumberFormat="1" applyFill="1" applyBorder="1"/>
    <xf numFmtId="164" fontId="0" fillId="0" borderId="13" xfId="0" applyNumberFormat="1" applyBorder="1"/>
    <xf numFmtId="0" fontId="3" fillId="4" borderId="12" xfId="0" applyFont="1" applyFill="1" applyBorder="1" applyAlignment="1">
      <alignment horizontal="right"/>
    </xf>
    <xf numFmtId="0" fontId="0" fillId="0" borderId="14" xfId="0" applyBorder="1"/>
    <xf numFmtId="164" fontId="4" fillId="2" borderId="18" xfId="0" applyNumberFormat="1" applyFont="1" applyFill="1" applyBorder="1"/>
    <xf numFmtId="164" fontId="0" fillId="0" borderId="0" xfId="0" applyNumberFormat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3" fillId="3" borderId="12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2" borderId="15" xfId="0" applyFont="1" applyFill="1" applyBorder="1" applyAlignment="1">
      <alignment horizontal="right"/>
    </xf>
    <xf numFmtId="0" fontId="4" fillId="2" borderId="16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2" fillId="3" borderId="8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3BE2-224D-48F2-8CF3-68371987AB76}">
  <dimension ref="A1:J36"/>
  <sheetViews>
    <sheetView tabSelected="1" zoomScale="145" zoomScaleNormal="145" workbookViewId="0">
      <selection activeCell="J5" sqref="J5"/>
    </sheetView>
  </sheetViews>
  <sheetFormatPr defaultRowHeight="15" x14ac:dyDescent="0.25"/>
  <cols>
    <col min="1" max="1" width="2" bestFit="1" customWidth="1"/>
    <col min="2" max="2" width="17.7109375" bestFit="1" customWidth="1"/>
    <col min="3" max="3" width="9.85546875" bestFit="1" customWidth="1"/>
    <col min="4" max="4" width="20.28515625" customWidth="1"/>
    <col min="5" max="5" width="26.7109375" customWidth="1"/>
    <col min="10" max="10" width="11.140625" bestFit="1" customWidth="1"/>
  </cols>
  <sheetData>
    <row r="1" spans="1:10" x14ac:dyDescent="0.25">
      <c r="A1" s="27" t="s">
        <v>0</v>
      </c>
      <c r="B1" s="28"/>
      <c r="C1" s="28"/>
      <c r="D1" s="28"/>
      <c r="E1" s="29"/>
    </row>
    <row r="2" spans="1:10" ht="33" customHeight="1" x14ac:dyDescent="0.25">
      <c r="A2" s="30" t="s">
        <v>15</v>
      </c>
      <c r="B2" s="31"/>
      <c r="C2" s="31"/>
      <c r="D2" s="31"/>
      <c r="E2" s="32"/>
    </row>
    <row r="3" spans="1:10" x14ac:dyDescent="0.25">
      <c r="A3" s="8"/>
      <c r="B3" s="2" t="s">
        <v>1</v>
      </c>
      <c r="C3" s="2" t="s">
        <v>2</v>
      </c>
      <c r="D3" s="3" t="s">
        <v>3</v>
      </c>
      <c r="E3" s="9"/>
      <c r="J3" s="1"/>
    </row>
    <row r="4" spans="1:10" x14ac:dyDescent="0.25">
      <c r="A4" s="8">
        <v>1</v>
      </c>
      <c r="B4" s="1" t="s">
        <v>4</v>
      </c>
      <c r="C4" s="1">
        <v>28</v>
      </c>
      <c r="D4" s="4"/>
      <c r="E4" s="10">
        <f>(C4*D4)</f>
        <v>0</v>
      </c>
      <c r="J4" s="1"/>
    </row>
    <row r="5" spans="1:10" x14ac:dyDescent="0.25">
      <c r="A5" s="8">
        <v>2</v>
      </c>
      <c r="B5" s="1" t="s">
        <v>5</v>
      </c>
      <c r="C5" s="1">
        <v>29</v>
      </c>
      <c r="D5" s="4"/>
      <c r="E5" s="10">
        <f>(C5*D5)</f>
        <v>0</v>
      </c>
      <c r="J5" s="1"/>
    </row>
    <row r="6" spans="1:10" x14ac:dyDescent="0.25">
      <c r="A6" s="8">
        <v>3</v>
      </c>
      <c r="B6" s="1" t="s">
        <v>6</v>
      </c>
      <c r="C6" s="1">
        <v>41</v>
      </c>
      <c r="D6" s="4"/>
      <c r="E6" s="10">
        <f>(C6*D6)</f>
        <v>0</v>
      </c>
      <c r="J6" s="1"/>
    </row>
    <row r="7" spans="1:10" x14ac:dyDescent="0.25">
      <c r="A7" s="11">
        <v>4</v>
      </c>
      <c r="B7" s="5" t="s">
        <v>7</v>
      </c>
      <c r="C7" s="1"/>
      <c r="D7" s="4"/>
      <c r="E7" s="10">
        <f>(C7*D7)</f>
        <v>0</v>
      </c>
      <c r="J7" s="1"/>
    </row>
    <row r="8" spans="1:10" x14ac:dyDescent="0.25">
      <c r="A8" s="21" t="s">
        <v>8</v>
      </c>
      <c r="B8" s="22"/>
      <c r="C8" s="22"/>
      <c r="D8" s="23"/>
      <c r="E8" s="12">
        <f>E4+E5+E6+E7</f>
        <v>0</v>
      </c>
      <c r="J8" s="1"/>
    </row>
    <row r="9" spans="1:10" x14ac:dyDescent="0.25">
      <c r="A9" s="11"/>
      <c r="B9" s="5"/>
      <c r="C9" s="5"/>
      <c r="D9" s="6"/>
      <c r="E9" s="13"/>
      <c r="J9" s="1"/>
    </row>
    <row r="10" spans="1:10" x14ac:dyDescent="0.25">
      <c r="A10" s="8"/>
      <c r="B10" s="2" t="s">
        <v>9</v>
      </c>
      <c r="C10" s="2" t="s">
        <v>2</v>
      </c>
      <c r="D10" s="3" t="s">
        <v>3</v>
      </c>
      <c r="E10" s="9"/>
      <c r="J10" s="1"/>
    </row>
    <row r="11" spans="1:10" x14ac:dyDescent="0.25">
      <c r="A11" s="8">
        <v>1</v>
      </c>
      <c r="B11" s="7" t="s">
        <v>10</v>
      </c>
      <c r="C11" s="1">
        <v>25</v>
      </c>
      <c r="D11" s="4"/>
      <c r="E11" s="10">
        <f>(C11*D11)</f>
        <v>0</v>
      </c>
      <c r="J11" s="1"/>
    </row>
    <row r="12" spans="1:10" x14ac:dyDescent="0.25">
      <c r="A12" s="8">
        <v>2</v>
      </c>
      <c r="B12" s="1" t="s">
        <v>4</v>
      </c>
      <c r="C12" s="1">
        <v>35</v>
      </c>
      <c r="D12" s="4"/>
      <c r="E12" s="10">
        <f>(C12*D12)</f>
        <v>0</v>
      </c>
      <c r="J12" s="1"/>
    </row>
    <row r="13" spans="1:10" x14ac:dyDescent="0.25">
      <c r="A13" s="8">
        <v>3</v>
      </c>
      <c r="B13" s="1" t="s">
        <v>5</v>
      </c>
      <c r="C13" s="1">
        <v>51</v>
      </c>
      <c r="D13" s="4"/>
      <c r="E13" s="10">
        <f>(C13*D13)</f>
        <v>0</v>
      </c>
      <c r="J13" s="1"/>
    </row>
    <row r="14" spans="1:10" x14ac:dyDescent="0.25">
      <c r="A14" s="8">
        <v>4</v>
      </c>
      <c r="B14" s="1" t="s">
        <v>6</v>
      </c>
      <c r="C14" s="1">
        <v>41</v>
      </c>
      <c r="D14" s="4"/>
      <c r="E14" s="10">
        <f>(C14*D14)</f>
        <v>0</v>
      </c>
      <c r="J14" s="1"/>
    </row>
    <row r="15" spans="1:10" x14ac:dyDescent="0.25">
      <c r="A15" s="11">
        <v>5</v>
      </c>
      <c r="B15" s="5" t="s">
        <v>7</v>
      </c>
      <c r="C15" s="1"/>
      <c r="D15" s="4"/>
      <c r="E15" s="10">
        <f>(C15*D15)</f>
        <v>0</v>
      </c>
      <c r="J15" s="1"/>
    </row>
    <row r="16" spans="1:10" x14ac:dyDescent="0.25">
      <c r="A16" s="21" t="s">
        <v>8</v>
      </c>
      <c r="B16" s="22"/>
      <c r="C16" s="22"/>
      <c r="D16" s="23"/>
      <c r="E16" s="12">
        <f>E11+E12+E13+E14+E15</f>
        <v>0</v>
      </c>
      <c r="J16" s="1"/>
    </row>
    <row r="17" spans="1:10" x14ac:dyDescent="0.25">
      <c r="A17" s="11"/>
      <c r="B17" s="5"/>
      <c r="C17" s="5"/>
      <c r="D17" s="6"/>
      <c r="E17" s="13"/>
      <c r="J17" s="1"/>
    </row>
    <row r="18" spans="1:10" x14ac:dyDescent="0.25">
      <c r="A18" s="8"/>
      <c r="B18" s="2" t="s">
        <v>11</v>
      </c>
      <c r="C18" s="2" t="s">
        <v>2</v>
      </c>
      <c r="D18" s="3" t="s">
        <v>3</v>
      </c>
      <c r="E18" s="9"/>
      <c r="J18" s="1"/>
    </row>
    <row r="19" spans="1:10" x14ac:dyDescent="0.25">
      <c r="A19" s="8">
        <v>1</v>
      </c>
      <c r="B19" s="7" t="s">
        <v>10</v>
      </c>
      <c r="C19" s="1">
        <v>35</v>
      </c>
      <c r="D19" s="4"/>
      <c r="E19" s="10">
        <f>(C19*D19)</f>
        <v>0</v>
      </c>
      <c r="J19" s="17"/>
    </row>
    <row r="20" spans="1:10" x14ac:dyDescent="0.25">
      <c r="A20" s="8">
        <v>2</v>
      </c>
      <c r="B20" s="1" t="s">
        <v>4</v>
      </c>
      <c r="C20" s="1">
        <v>44</v>
      </c>
      <c r="D20" s="4"/>
      <c r="E20" s="10">
        <f>(C20*D20)</f>
        <v>0</v>
      </c>
      <c r="J20" s="17"/>
    </row>
    <row r="21" spans="1:10" x14ac:dyDescent="0.25">
      <c r="A21" s="8">
        <v>3</v>
      </c>
      <c r="B21" s="1" t="s">
        <v>5</v>
      </c>
      <c r="C21" s="1">
        <v>36</v>
      </c>
      <c r="D21" s="4"/>
      <c r="E21" s="10">
        <f>(C21*D21)</f>
        <v>0</v>
      </c>
      <c r="J21" s="17"/>
    </row>
    <row r="22" spans="1:10" x14ac:dyDescent="0.25">
      <c r="A22" s="8">
        <v>4</v>
      </c>
      <c r="B22" s="1" t="s">
        <v>6</v>
      </c>
      <c r="C22" s="1">
        <v>28</v>
      </c>
      <c r="D22" s="4"/>
      <c r="E22" s="10">
        <f>(C22*D22)</f>
        <v>0</v>
      </c>
    </row>
    <row r="23" spans="1:10" x14ac:dyDescent="0.25">
      <c r="A23" s="11">
        <v>5</v>
      </c>
      <c r="B23" s="5" t="s">
        <v>7</v>
      </c>
      <c r="C23" s="1"/>
      <c r="D23" s="4"/>
      <c r="E23" s="10">
        <f>(C23*D23)</f>
        <v>0</v>
      </c>
    </row>
    <row r="24" spans="1:10" x14ac:dyDescent="0.25">
      <c r="A24" s="21" t="s">
        <v>8</v>
      </c>
      <c r="B24" s="22"/>
      <c r="C24" s="22"/>
      <c r="D24" s="23"/>
      <c r="E24" s="12">
        <f>E19+E20+E21+E22+E23</f>
        <v>0</v>
      </c>
    </row>
    <row r="25" spans="1:10" x14ac:dyDescent="0.25">
      <c r="A25" s="8"/>
      <c r="B25" s="2" t="s">
        <v>12</v>
      </c>
      <c r="C25" s="2" t="s">
        <v>2</v>
      </c>
      <c r="D25" s="3" t="s">
        <v>3</v>
      </c>
      <c r="E25" s="10"/>
    </row>
    <row r="26" spans="1:10" x14ac:dyDescent="0.25">
      <c r="A26" s="8">
        <v>1</v>
      </c>
      <c r="B26" s="7" t="s">
        <v>10</v>
      </c>
      <c r="C26" s="1"/>
      <c r="D26" s="4"/>
      <c r="E26" s="10">
        <f>(C26*D26)</f>
        <v>0</v>
      </c>
    </row>
    <row r="27" spans="1:10" x14ac:dyDescent="0.25">
      <c r="A27" s="8">
        <v>2</v>
      </c>
      <c r="B27" s="1" t="s">
        <v>4</v>
      </c>
      <c r="C27" s="1"/>
      <c r="D27" s="4"/>
      <c r="E27" s="10">
        <f>(C27*D27)</f>
        <v>0</v>
      </c>
    </row>
    <row r="28" spans="1:10" x14ac:dyDescent="0.25">
      <c r="A28" s="8">
        <v>3</v>
      </c>
      <c r="B28" s="1" t="s">
        <v>5</v>
      </c>
      <c r="C28" s="1"/>
      <c r="D28" s="4"/>
      <c r="E28" s="10">
        <f>(C28*D28)</f>
        <v>0</v>
      </c>
    </row>
    <row r="29" spans="1:10" x14ac:dyDescent="0.25">
      <c r="A29" s="8">
        <v>4</v>
      </c>
      <c r="B29" s="1" t="s">
        <v>6</v>
      </c>
      <c r="C29" s="1"/>
      <c r="D29" s="4"/>
      <c r="E29" s="10">
        <f>(C29*D29)</f>
        <v>0</v>
      </c>
    </row>
    <row r="30" spans="1:10" x14ac:dyDescent="0.25">
      <c r="A30" s="11">
        <v>5</v>
      </c>
      <c r="B30" s="5" t="s">
        <v>7</v>
      </c>
      <c r="C30" s="1"/>
      <c r="D30" s="4"/>
      <c r="E30" s="10">
        <f>(C30*D30)</f>
        <v>0</v>
      </c>
    </row>
    <row r="31" spans="1:10" x14ac:dyDescent="0.25">
      <c r="A31" s="21" t="s">
        <v>8</v>
      </c>
      <c r="B31" s="22"/>
      <c r="C31" s="22"/>
      <c r="D31" s="23"/>
      <c r="E31" s="12">
        <f>E26+E27+E28+E29+E30</f>
        <v>0</v>
      </c>
    </row>
    <row r="32" spans="1:10" x14ac:dyDescent="0.25">
      <c r="A32" s="14"/>
      <c r="C32">
        <v>393</v>
      </c>
      <c r="E32" s="15"/>
    </row>
    <row r="33" spans="1:5" ht="21.75" thickBot="1" x14ac:dyDescent="0.4">
      <c r="A33" s="24" t="s">
        <v>13</v>
      </c>
      <c r="B33" s="25"/>
      <c r="C33" s="25"/>
      <c r="D33" s="26"/>
      <c r="E33" s="16">
        <f>E8+E16+E24+E31</f>
        <v>0</v>
      </c>
    </row>
    <row r="35" spans="1:5" ht="15.75" thickBot="1" x14ac:dyDescent="0.3"/>
    <row r="36" spans="1:5" ht="15.75" thickBot="1" x14ac:dyDescent="0.3">
      <c r="A36" s="18" t="s">
        <v>14</v>
      </c>
      <c r="B36" s="19"/>
      <c r="C36" s="19"/>
      <c r="D36" s="19"/>
      <c r="E36" s="20"/>
    </row>
  </sheetData>
  <mergeCells count="8">
    <mergeCell ref="A36:E36"/>
    <mergeCell ref="A24:D24"/>
    <mergeCell ref="A33:D33"/>
    <mergeCell ref="A31:D31"/>
    <mergeCell ref="A1:E1"/>
    <mergeCell ref="A2:E2"/>
    <mergeCell ref="A8:D8"/>
    <mergeCell ref="A16:D16"/>
  </mergeCell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Sheet1!DL_Subtotal</vt:lpstr>
      <vt:lpstr>Sheet1!EP_Subtotal</vt:lpstr>
      <vt:lpstr>Sheet1!ODC_MS_Subtotal</vt:lpstr>
      <vt:lpstr>Sheet1!ODC_Other_Subtotal</vt:lpstr>
      <vt:lpstr>Sheet1!ODC_Travel_Subtotal</vt:lpstr>
      <vt:lpstr>Sheet1!SP_Subtotal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Dingle, Edward</dc:creator>
  <cp:keywords/>
  <dc:description/>
  <cp:lastModifiedBy>Downie, Ladrick</cp:lastModifiedBy>
  <cp:revision/>
  <dcterms:created xsi:type="dcterms:W3CDTF">2023-06-05T17:02:54Z</dcterms:created>
  <dcterms:modified xsi:type="dcterms:W3CDTF">2026-03-27T19:34:20Z</dcterms:modified>
  <cp:category/>
  <cp:contentStatus/>
</cp:coreProperties>
</file>